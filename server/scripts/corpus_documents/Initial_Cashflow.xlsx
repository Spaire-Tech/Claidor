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pwcgbr-my.sharepoint.com/personal/alice_x_okeeffe_pwc_com/Documents/Documents/Projects/Homes England/Cashflow/Draft Complete Models/Empty and locked/"/>
    </mc:Choice>
  </mc:AlternateContent>
  <xr:revisionPtr revIDLastSave="749" documentId="8_{299EBA43-B258-4480-A747-5E4C263C6569}" xr6:coauthVersionLast="47" xr6:coauthVersionMax="47" xr10:uidLastSave="{0BC9FE8C-2D5B-4F23-B8B5-B1C08C162174}"/>
  <workbookProtection workbookAlgorithmName="SHA-1" workbookHashValue="NqZCc8+oeu4SSixNd35hhg/4v9Y=" workbookSaltValue="xGP2YlFnT5xt8poidOvgDA==" workbookSpinCount="100000" lockStructure="1"/>
  <bookViews>
    <workbookView xWindow="-110" yWindow="-110" windowWidth="19420" windowHeight="11500" xr2:uid="{F21FFAFF-49FF-48EE-BB31-9E09F8811795}"/>
  </bookViews>
  <sheets>
    <sheet name="CoverSheet" sheetId="20" r:id="rId1"/>
    <sheet name="1_SetUp" sheetId="21" r:id="rId2"/>
    <sheet name="2_Homes" sheetId="10" r:id="rId3"/>
    <sheet name="3_ProjectCosts" sheetId="3" r:id="rId4"/>
    <sheet name="4_Funding" sheetId="18" r:id="rId5"/>
    <sheet name="FinancialSummary" sheetId="2" r:id="rId6"/>
    <sheet name="ErrorChecks" sheetId="19" state="hidden" r:id="rId7"/>
    <sheet name="ErrorImport" sheetId="23" state="hidden" r:id="rId8"/>
    <sheet name="ImportLabels" sheetId="17" state="hidden" r:id="rId9"/>
    <sheet name="ImportPlots" sheetId="5" state="hidden" r:id="rId10"/>
    <sheet name="ReferenceData" sheetId="16" state="hidden" r:id="rId11"/>
    <sheet name="ImportCosts" sheetId="9" state="hidden" r:id="rId12"/>
    <sheet name="ImportFunding" sheetId="22" state="hidden" r:id="rId13"/>
  </sheets>
  <definedNames>
    <definedName name="AffordableRent">ReferenceData!$A$5</definedName>
    <definedName name="AHPIntermediate">ReferenceData!$A$7</definedName>
    <definedName name="AHPSharedEquity">ReferenceData!$A$6</definedName>
    <definedName name="AHPSharedOwnership">ReferenceData!$A$8</definedName>
    <definedName name="BuildType">ReferenceData!$G$4:$G$7</definedName>
    <definedName name="BuildTypeCategoryCode">ImportPlots!$L:$L</definedName>
    <definedName name="BuildTypeRef">ReferenceData!$G$4:$H$7</definedName>
    <definedName name="CategorisedCompletionKey">ImportPlots!$R:$R</definedName>
    <definedName name="CategorisedSaleKey">ImportPlots!$V:$V</definedName>
    <definedName name="CompletionMonth">'1_SetUp'!$B$9</definedName>
    <definedName name="CompletionYear">'1_SetUp'!$B$10</definedName>
    <definedName name="CustomCost1">'3_ProjectCosts'!$A$17</definedName>
    <definedName name="CustomCost2">'3_ProjectCosts'!$A$18</definedName>
    <definedName name="CustomCost3">'3_ProjectCosts'!$A$19</definedName>
    <definedName name="CustomCost4">'3_ProjectCosts'!$A$20</definedName>
    <definedName name="CustomCost5">'3_ProjectCosts'!$A$21</definedName>
    <definedName name="DevelopmentCosts">'3_ProjectCosts'!$A$4:$DW$22</definedName>
    <definedName name="DevelopmentCostTitle">'3_ProjectCosts'!$A$4:$DW$4</definedName>
    <definedName name="DevelopmentName">'1_SetUp'!$B$5</definedName>
    <definedName name="ErrorCheck">ErrorChecks!$A$4:$W$604</definedName>
    <definedName name="ErrorCheckPlotNumber">ErrorChecks!$A$4:$A$604</definedName>
    <definedName name="ErrorCheckTitle">ErrorChecks!$A$4:$W$4</definedName>
    <definedName name="ExpectedSales">ImportPlots!$W:$W</definedName>
    <definedName name="FundingErrorChecks">'4_Funding'!$D$6:$D$11</definedName>
    <definedName name="FundingQuestions">'4_Funding'!$B$6:$B$11</definedName>
    <definedName name="HomeCompletionDate">ImportPlots!$O:$O</definedName>
    <definedName name="HomesImports">ImportPlots!$A:$A</definedName>
    <definedName name="Import">ImportCosts!$A:$A</definedName>
    <definedName name="ImportCosts">ImportCosts!$A:$V</definedName>
    <definedName name="ImportTitles">ImportCosts!$A$3:$V$3</definedName>
    <definedName name="IssueCode">ReferenceData!$S$4:$S$7</definedName>
    <definedName name="IssueType">ReferenceData!$R$4:$S$7</definedName>
    <definedName name="IssueTypeName">ReferenceData!$R$4:$R$7</definedName>
    <definedName name="Loan1Questions">'4_Funding'!$B$14:$B$18</definedName>
    <definedName name="Loan2Questions">'4_Funding'!$B$21:$B$25</definedName>
    <definedName name="Loan3Questions">'4_Funding'!$B$28:$B$32</definedName>
    <definedName name="MMCYesNo">ReferenceData!$K$4:$L$5</definedName>
    <definedName name="MMCYesNoLookUp">ReferenceData!$K$4:$K$5</definedName>
    <definedName name="Months">ReferenceData!$P$4:$P$15</definedName>
    <definedName name="NonAHPIntermediateRent">ReferenceData!$A$10</definedName>
    <definedName name="NonAHPSharedEquity">ReferenceData!$A$9</definedName>
    <definedName name="NonAHPSharedOwnership">ReferenceData!$A$11</definedName>
    <definedName name="NumberOfLoans">'4_Funding'!$C$10</definedName>
    <definedName name="NumberOfPlots">'1_SetUp'!$B$11</definedName>
    <definedName name="OpenMarketHousing">ReferenceData!$A$4</definedName>
    <definedName name="OtherLoansErrorCheck1">'4_Funding'!$D$14:$D$18</definedName>
    <definedName name="OtherLoansErrorCheck2">'4_Funding'!$D$21:$D$25</definedName>
    <definedName name="OtherLoansErrorCheck3">'4_Funding'!$D$28:$D$32</definedName>
    <definedName name="OtherTenure">ReferenceData!$A$12</definedName>
    <definedName name="PlotCategory">ReferenceData!$A$4:$A$12</definedName>
    <definedName name="PlotData">'2_Homes'!$A$4:$N$604</definedName>
    <definedName name="PlotExpectedSales">'2_Homes'!$M:$M</definedName>
    <definedName name="PlotID">'2_Homes'!$B:$B</definedName>
    <definedName name="PlotNumber">'2_Homes'!$A$4:$A$604</definedName>
    <definedName name="PlotsBuildType">'2_Homes'!$G:$G</definedName>
    <definedName name="PlotsSquFeet">ImportPlots!$M:$M</definedName>
    <definedName name="PlotsSquMetres">ImportPlots!$N:$N</definedName>
    <definedName name="PlotTitles">'2_Homes'!$A$4:$N$4</definedName>
    <definedName name="ProfitSummaryTable">FinancialSummary!$A$28:$B$30</definedName>
    <definedName name="ProfitSummaryTitles">FinancialSummary!$A$28:$A$30</definedName>
    <definedName name="ProjectDuration">'1_SetUp'!$B$8</definedName>
    <definedName name="ProjectMetrics">FinancialSummary!$A$23:$B$26</definedName>
    <definedName name="ProjectMetricsTitles">FinancialSummary!$A$23:$A$26</definedName>
    <definedName name="ProjectStartYears">ReferenceData!$O$4:$O$18</definedName>
    <definedName name="PropertyType">ReferenceData!$E$4:$E$8</definedName>
    <definedName name="PropertyTypeRef">ReferenceData!$E$4:$F$8</definedName>
    <definedName name="SaleCompletionDate">ImportPlots!$S:$S</definedName>
    <definedName name="SetUpErrorChecks">'1_SetUp'!$C$5:$C$11</definedName>
    <definedName name="StartDateMonth">'1_SetUp'!$B$6</definedName>
    <definedName name="StartDateYear">'1_SetUp'!$B$7</definedName>
    <definedName name="SumAffordableHousing">ImportCosts!$AF:$AF</definedName>
    <definedName name="SumCostsIncurredDate">'3_ProjectCosts'!$C$22</definedName>
    <definedName name="TenureDetail">ReferenceData!$C$4:$C$7</definedName>
    <definedName name="TenureDetailRef">ReferenceData!$C$4:$D$7</definedName>
    <definedName name="TenureRef">ReferenceData!$A$4:$B$12</definedName>
    <definedName name="TotalBuild">ImportCosts!$AG:$AG</definedName>
    <definedName name="TotalDevCostsCat">'3_ProjectCosts'!$A$4:$B$22</definedName>
    <definedName name="TotalDevCostsList">'3_ProjectCosts'!$A$4:$A$22</definedName>
    <definedName name="TotalDevCostsTitles">'3_ProjectCosts'!$A$4:$B$4</definedName>
    <definedName name="Years">ReferenceData!$N$4:$N$15</definedName>
    <definedName name="YesNo">ReferenceData!$I$4:$I$6</definedName>
    <definedName name="YesNoNA">ReferenceData!$I$4:$J$6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23" l="1"/>
  <c r="L5" i="22"/>
  <c r="M5" i="22" s="1"/>
  <c r="C10" i="17"/>
  <c r="D10" i="17" s="1"/>
  <c r="E10" i="17"/>
  <c r="J5" i="22"/>
  <c r="C4" i="9"/>
  <c r="O4" i="16"/>
  <c r="O5" i="16" s="1"/>
  <c r="O6" i="16" s="1"/>
  <c r="O7" i="16" s="1"/>
  <c r="O8" i="16" s="1"/>
  <c r="O9" i="16" s="1"/>
  <c r="O10" i="16" s="1"/>
  <c r="O11" i="16" s="1"/>
  <c r="O12" i="16" s="1"/>
  <c r="O13" i="16" s="1"/>
  <c r="O14" i="16" s="1"/>
  <c r="O15" i="16" s="1"/>
  <c r="O16" i="16" s="1"/>
  <c r="O17" i="16" s="1"/>
  <c r="O18" i="16" s="1"/>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B24" i="2" l="1"/>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T4" i="5"/>
  <c r="S4" i="5" s="1"/>
  <c r="T5" i="5"/>
  <c r="T6" i="5"/>
  <c r="T7" i="5"/>
  <c r="T8" i="5"/>
  <c r="T9" i="5"/>
  <c r="S9" i="5" s="1"/>
  <c r="T10" i="5"/>
  <c r="S10" i="5" s="1"/>
  <c r="T11" i="5"/>
  <c r="S11" i="5" s="1"/>
  <c r="T12" i="5"/>
  <c r="S12" i="5" s="1"/>
  <c r="T13" i="5"/>
  <c r="S13" i="5" s="1"/>
  <c r="T14" i="5"/>
  <c r="S14" i="5" s="1"/>
  <c r="T15" i="5"/>
  <c r="S15" i="5" s="1"/>
  <c r="T16" i="5"/>
  <c r="S16" i="5" s="1"/>
  <c r="T17" i="5"/>
  <c r="S17" i="5" s="1"/>
  <c r="T18" i="5"/>
  <c r="S18" i="5" s="1"/>
  <c r="T19" i="5"/>
  <c r="T20" i="5"/>
  <c r="S20" i="5" s="1"/>
  <c r="T21" i="5"/>
  <c r="S21" i="5" s="1"/>
  <c r="T22" i="5"/>
  <c r="S22" i="5" s="1"/>
  <c r="T23" i="5"/>
  <c r="S23" i="5" s="1"/>
  <c r="T24" i="5"/>
  <c r="S24" i="5" s="1"/>
  <c r="T25" i="5"/>
  <c r="S25" i="5" s="1"/>
  <c r="T26" i="5"/>
  <c r="S26" i="5" s="1"/>
  <c r="T27" i="5"/>
  <c r="T28" i="5"/>
  <c r="S28" i="5" s="1"/>
  <c r="T29" i="5"/>
  <c r="S29" i="5" s="1"/>
  <c r="T30" i="5"/>
  <c r="T31" i="5"/>
  <c r="S31" i="5" s="1"/>
  <c r="T32" i="5"/>
  <c r="S32" i="5" s="1"/>
  <c r="T33" i="5"/>
  <c r="S33" i="5" s="1"/>
  <c r="T34" i="5"/>
  <c r="S34" i="5" s="1"/>
  <c r="T35" i="5"/>
  <c r="T36" i="5"/>
  <c r="S36" i="5" s="1"/>
  <c r="T37" i="5"/>
  <c r="S37" i="5" s="1"/>
  <c r="T38" i="5"/>
  <c r="S38" i="5" s="1"/>
  <c r="T39" i="5"/>
  <c r="S39" i="5" s="1"/>
  <c r="T40" i="5"/>
  <c r="S40" i="5" s="1"/>
  <c r="T41" i="5"/>
  <c r="S41" i="5" s="1"/>
  <c r="T42" i="5"/>
  <c r="S42" i="5" s="1"/>
  <c r="T43" i="5"/>
  <c r="S43" i="5" s="1"/>
  <c r="T44" i="5"/>
  <c r="S44" i="5" s="1"/>
  <c r="T45" i="5"/>
  <c r="S45" i="5" s="1"/>
  <c r="T46" i="5"/>
  <c r="S46" i="5" s="1"/>
  <c r="T47" i="5"/>
  <c r="S47" i="5" s="1"/>
  <c r="T48" i="5"/>
  <c r="S48" i="5" s="1"/>
  <c r="T49" i="5"/>
  <c r="S49" i="5" s="1"/>
  <c r="T50" i="5"/>
  <c r="S50" i="5" s="1"/>
  <c r="T51" i="5"/>
  <c r="T52" i="5"/>
  <c r="S52" i="5" s="1"/>
  <c r="T53" i="5"/>
  <c r="S53" i="5" s="1"/>
  <c r="T54" i="5"/>
  <c r="S54" i="5" s="1"/>
  <c r="T55" i="5"/>
  <c r="S55" i="5" s="1"/>
  <c r="T56" i="5"/>
  <c r="S56" i="5" s="1"/>
  <c r="T57" i="5"/>
  <c r="S57" i="5" s="1"/>
  <c r="T58" i="5"/>
  <c r="S58" i="5" s="1"/>
  <c r="T59" i="5"/>
  <c r="T60" i="5"/>
  <c r="S60" i="5" s="1"/>
  <c r="T61" i="5"/>
  <c r="S61" i="5" s="1"/>
  <c r="T62" i="5"/>
  <c r="S62" i="5" s="1"/>
  <c r="T63" i="5"/>
  <c r="S63" i="5" s="1"/>
  <c r="T64" i="5"/>
  <c r="S64" i="5" s="1"/>
  <c r="T65" i="5"/>
  <c r="S65" i="5" s="1"/>
  <c r="T66" i="5"/>
  <c r="S66" i="5" s="1"/>
  <c r="T67" i="5"/>
  <c r="T68" i="5"/>
  <c r="S68" i="5" s="1"/>
  <c r="T69" i="5"/>
  <c r="S69" i="5" s="1"/>
  <c r="T70" i="5"/>
  <c r="S70" i="5" s="1"/>
  <c r="T71" i="5"/>
  <c r="S71" i="5" s="1"/>
  <c r="T72" i="5"/>
  <c r="S72" i="5" s="1"/>
  <c r="T73" i="5"/>
  <c r="T74" i="5"/>
  <c r="S74" i="5" s="1"/>
  <c r="T75" i="5"/>
  <c r="S75" i="5" s="1"/>
  <c r="T76" i="5"/>
  <c r="S76" i="5" s="1"/>
  <c r="T77" i="5"/>
  <c r="S77" i="5" s="1"/>
  <c r="T78" i="5"/>
  <c r="S78" i="5" s="1"/>
  <c r="T79" i="5"/>
  <c r="S79" i="5" s="1"/>
  <c r="T80" i="5"/>
  <c r="S80" i="5" s="1"/>
  <c r="T81" i="5"/>
  <c r="T82" i="5"/>
  <c r="S82" i="5" s="1"/>
  <c r="T83" i="5"/>
  <c r="T84" i="5"/>
  <c r="S84" i="5" s="1"/>
  <c r="T85" i="5"/>
  <c r="S85" i="5" s="1"/>
  <c r="T86" i="5"/>
  <c r="S86" i="5" s="1"/>
  <c r="T87" i="5"/>
  <c r="S87" i="5" s="1"/>
  <c r="T88" i="5"/>
  <c r="S88" i="5" s="1"/>
  <c r="T89" i="5"/>
  <c r="S89" i="5" s="1"/>
  <c r="T90" i="5"/>
  <c r="S90" i="5" s="1"/>
  <c r="T91" i="5"/>
  <c r="T92" i="5"/>
  <c r="S92" i="5" s="1"/>
  <c r="T93" i="5"/>
  <c r="S93" i="5" s="1"/>
  <c r="T94" i="5"/>
  <c r="S94" i="5" s="1"/>
  <c r="T95" i="5"/>
  <c r="S95" i="5" s="1"/>
  <c r="T96" i="5"/>
  <c r="S96" i="5" s="1"/>
  <c r="T97" i="5"/>
  <c r="S97" i="5" s="1"/>
  <c r="T98" i="5"/>
  <c r="S98" i="5" s="1"/>
  <c r="T99" i="5"/>
  <c r="T100" i="5"/>
  <c r="S100" i="5" s="1"/>
  <c r="T101" i="5"/>
  <c r="S101" i="5" s="1"/>
  <c r="T102" i="5"/>
  <c r="S102" i="5" s="1"/>
  <c r="T103" i="5"/>
  <c r="S103" i="5" s="1"/>
  <c r="T104" i="5"/>
  <c r="S104" i="5" s="1"/>
  <c r="T105" i="5"/>
  <c r="S105" i="5" s="1"/>
  <c r="T106" i="5"/>
  <c r="S106" i="5" s="1"/>
  <c r="T107" i="5"/>
  <c r="S107" i="5" s="1"/>
  <c r="T108" i="5"/>
  <c r="S108" i="5" s="1"/>
  <c r="T109" i="5"/>
  <c r="S109" i="5" s="1"/>
  <c r="T110" i="5"/>
  <c r="S110" i="5" s="1"/>
  <c r="T111" i="5"/>
  <c r="S111" i="5" s="1"/>
  <c r="T112" i="5"/>
  <c r="S112" i="5" s="1"/>
  <c r="T113" i="5"/>
  <c r="S113" i="5" s="1"/>
  <c r="T114" i="5"/>
  <c r="S114" i="5" s="1"/>
  <c r="T115" i="5"/>
  <c r="T116" i="5"/>
  <c r="S116" i="5" s="1"/>
  <c r="T117" i="5"/>
  <c r="S117" i="5" s="1"/>
  <c r="T118" i="5"/>
  <c r="S118" i="5" s="1"/>
  <c r="T119" i="5"/>
  <c r="S119" i="5" s="1"/>
  <c r="T120" i="5"/>
  <c r="S120" i="5" s="1"/>
  <c r="T121" i="5"/>
  <c r="S121" i="5" s="1"/>
  <c r="T122" i="5"/>
  <c r="S122" i="5" s="1"/>
  <c r="T123" i="5"/>
  <c r="T124" i="5"/>
  <c r="S124" i="5" s="1"/>
  <c r="T125" i="5"/>
  <c r="S125" i="5" s="1"/>
  <c r="T126" i="5"/>
  <c r="S126" i="5" s="1"/>
  <c r="T127" i="5"/>
  <c r="S127" i="5" s="1"/>
  <c r="T128" i="5"/>
  <c r="S128" i="5" s="1"/>
  <c r="T129" i="5"/>
  <c r="S129" i="5" s="1"/>
  <c r="T130" i="5"/>
  <c r="S130" i="5" s="1"/>
  <c r="T131" i="5"/>
  <c r="T132" i="5"/>
  <c r="S132" i="5" s="1"/>
  <c r="T133" i="5"/>
  <c r="S133" i="5" s="1"/>
  <c r="T134" i="5"/>
  <c r="S134" i="5" s="1"/>
  <c r="T135" i="5"/>
  <c r="S135" i="5" s="1"/>
  <c r="T136" i="5"/>
  <c r="S136" i="5" s="1"/>
  <c r="T137" i="5"/>
  <c r="S137" i="5" s="1"/>
  <c r="T138" i="5"/>
  <c r="S138" i="5" s="1"/>
  <c r="T139" i="5"/>
  <c r="S139" i="5" s="1"/>
  <c r="T140" i="5"/>
  <c r="S140" i="5" s="1"/>
  <c r="T141" i="5"/>
  <c r="S141" i="5" s="1"/>
  <c r="T142" i="5"/>
  <c r="S142" i="5" s="1"/>
  <c r="T143" i="5"/>
  <c r="S143" i="5" s="1"/>
  <c r="T144" i="5"/>
  <c r="S144" i="5" s="1"/>
  <c r="T145" i="5"/>
  <c r="S145" i="5" s="1"/>
  <c r="T146" i="5"/>
  <c r="S146" i="5" s="1"/>
  <c r="T147" i="5"/>
  <c r="T148" i="5"/>
  <c r="S148" i="5" s="1"/>
  <c r="T149" i="5"/>
  <c r="S149" i="5" s="1"/>
  <c r="T150" i="5"/>
  <c r="S150" i="5" s="1"/>
  <c r="T151" i="5"/>
  <c r="S151" i="5" s="1"/>
  <c r="T152" i="5"/>
  <c r="S152" i="5" s="1"/>
  <c r="T153" i="5"/>
  <c r="S153" i="5" s="1"/>
  <c r="T154" i="5"/>
  <c r="T155" i="5"/>
  <c r="T156" i="5"/>
  <c r="S156" i="5" s="1"/>
  <c r="T157" i="5"/>
  <c r="S157" i="5" s="1"/>
  <c r="T158" i="5"/>
  <c r="S158" i="5" s="1"/>
  <c r="T159" i="5"/>
  <c r="S159" i="5" s="1"/>
  <c r="T160" i="5"/>
  <c r="S160" i="5" s="1"/>
  <c r="T161" i="5"/>
  <c r="S161" i="5" s="1"/>
  <c r="T162" i="5"/>
  <c r="S162" i="5" s="1"/>
  <c r="T163" i="5"/>
  <c r="T164" i="5"/>
  <c r="S164" i="5" s="1"/>
  <c r="T165" i="5"/>
  <c r="S165" i="5" s="1"/>
  <c r="T166" i="5"/>
  <c r="S166" i="5" s="1"/>
  <c r="T167" i="5"/>
  <c r="S167" i="5" s="1"/>
  <c r="T168" i="5"/>
  <c r="S168" i="5" s="1"/>
  <c r="T169" i="5"/>
  <c r="S169" i="5" s="1"/>
  <c r="T170" i="5"/>
  <c r="S170" i="5" s="1"/>
  <c r="T171" i="5"/>
  <c r="T172" i="5"/>
  <c r="S172" i="5" s="1"/>
  <c r="T173" i="5"/>
  <c r="S173" i="5" s="1"/>
  <c r="T174" i="5"/>
  <c r="S174" i="5" s="1"/>
  <c r="T175" i="5"/>
  <c r="S175" i="5" s="1"/>
  <c r="T176" i="5"/>
  <c r="S176" i="5" s="1"/>
  <c r="T177" i="5"/>
  <c r="S177" i="5" s="1"/>
  <c r="T178" i="5"/>
  <c r="S178" i="5" s="1"/>
  <c r="T179" i="5"/>
  <c r="T180" i="5"/>
  <c r="S180" i="5" s="1"/>
  <c r="T181" i="5"/>
  <c r="S181" i="5" s="1"/>
  <c r="T182" i="5"/>
  <c r="S182" i="5" s="1"/>
  <c r="T183" i="5"/>
  <c r="S183" i="5" s="1"/>
  <c r="T184" i="5"/>
  <c r="S184" i="5" s="1"/>
  <c r="T185" i="5"/>
  <c r="S185" i="5" s="1"/>
  <c r="T186" i="5"/>
  <c r="S186" i="5" s="1"/>
  <c r="T187" i="5"/>
  <c r="T188" i="5"/>
  <c r="S188" i="5" s="1"/>
  <c r="T189" i="5"/>
  <c r="S189" i="5" s="1"/>
  <c r="T190" i="5"/>
  <c r="S190" i="5" s="1"/>
  <c r="T191" i="5"/>
  <c r="S191" i="5" s="1"/>
  <c r="T192" i="5"/>
  <c r="S192" i="5" s="1"/>
  <c r="T193" i="5"/>
  <c r="S193" i="5" s="1"/>
  <c r="T194" i="5"/>
  <c r="S194" i="5" s="1"/>
  <c r="T195" i="5"/>
  <c r="T196" i="5"/>
  <c r="S196" i="5" s="1"/>
  <c r="T197" i="5"/>
  <c r="S197" i="5" s="1"/>
  <c r="T198" i="5"/>
  <c r="T199" i="5"/>
  <c r="S199" i="5" s="1"/>
  <c r="T200" i="5"/>
  <c r="S200" i="5" s="1"/>
  <c r="T201" i="5"/>
  <c r="S201" i="5" s="1"/>
  <c r="T202" i="5"/>
  <c r="S202" i="5" s="1"/>
  <c r="T203" i="5"/>
  <c r="S203" i="5" s="1"/>
  <c r="T204" i="5"/>
  <c r="S204" i="5" s="1"/>
  <c r="T205" i="5"/>
  <c r="S205" i="5" s="1"/>
  <c r="T206" i="5"/>
  <c r="S206" i="5" s="1"/>
  <c r="T207" i="5"/>
  <c r="S207" i="5" s="1"/>
  <c r="T208" i="5"/>
  <c r="S208" i="5" s="1"/>
  <c r="T209" i="5"/>
  <c r="S209" i="5" s="1"/>
  <c r="T210" i="5"/>
  <c r="S210" i="5" s="1"/>
  <c r="T211" i="5"/>
  <c r="T212" i="5"/>
  <c r="S212" i="5" s="1"/>
  <c r="T213" i="5"/>
  <c r="S213" i="5" s="1"/>
  <c r="T214" i="5"/>
  <c r="S214" i="5" s="1"/>
  <c r="T215" i="5"/>
  <c r="S215" i="5" s="1"/>
  <c r="T216" i="5"/>
  <c r="S216" i="5" s="1"/>
  <c r="T217" i="5"/>
  <c r="S217" i="5" s="1"/>
  <c r="T218" i="5"/>
  <c r="S218" i="5" s="1"/>
  <c r="T219" i="5"/>
  <c r="T220" i="5"/>
  <c r="S220" i="5" s="1"/>
  <c r="T221" i="5"/>
  <c r="S221" i="5" s="1"/>
  <c r="T222" i="5"/>
  <c r="S222" i="5" s="1"/>
  <c r="T223" i="5"/>
  <c r="S223" i="5" s="1"/>
  <c r="T224" i="5"/>
  <c r="S224" i="5" s="1"/>
  <c r="T225" i="5"/>
  <c r="S225" i="5" s="1"/>
  <c r="T226" i="5"/>
  <c r="S226" i="5" s="1"/>
  <c r="T227" i="5"/>
  <c r="T228" i="5"/>
  <c r="S228" i="5" s="1"/>
  <c r="T229" i="5"/>
  <c r="S229" i="5" s="1"/>
  <c r="T230" i="5"/>
  <c r="S230" i="5" s="1"/>
  <c r="T231" i="5"/>
  <c r="S231" i="5" s="1"/>
  <c r="T232" i="5"/>
  <c r="S232" i="5" s="1"/>
  <c r="T233" i="5"/>
  <c r="S233" i="5" s="1"/>
  <c r="T234" i="5"/>
  <c r="S234" i="5" s="1"/>
  <c r="T235" i="5"/>
  <c r="T236" i="5"/>
  <c r="S236" i="5" s="1"/>
  <c r="T237" i="5"/>
  <c r="T238" i="5"/>
  <c r="S238" i="5" s="1"/>
  <c r="T239" i="5"/>
  <c r="S239" i="5" s="1"/>
  <c r="T240" i="5"/>
  <c r="S240" i="5" s="1"/>
  <c r="T241" i="5"/>
  <c r="S241" i="5" s="1"/>
  <c r="T242" i="5"/>
  <c r="S242" i="5" s="1"/>
  <c r="T243" i="5"/>
  <c r="T244" i="5"/>
  <c r="S244" i="5" s="1"/>
  <c r="T245" i="5"/>
  <c r="S245" i="5" s="1"/>
  <c r="T246" i="5"/>
  <c r="S246" i="5" s="1"/>
  <c r="T247" i="5"/>
  <c r="S247" i="5" s="1"/>
  <c r="T248" i="5"/>
  <c r="S248" i="5" s="1"/>
  <c r="T249" i="5"/>
  <c r="S249" i="5" s="1"/>
  <c r="T250" i="5"/>
  <c r="S250" i="5" s="1"/>
  <c r="T251" i="5"/>
  <c r="T252" i="5"/>
  <c r="S252" i="5" s="1"/>
  <c r="T253" i="5"/>
  <c r="S253" i="5" s="1"/>
  <c r="T254" i="5"/>
  <c r="S254" i="5" s="1"/>
  <c r="T255" i="5"/>
  <c r="S255" i="5" s="1"/>
  <c r="T256" i="5"/>
  <c r="S256" i="5" s="1"/>
  <c r="T257" i="5"/>
  <c r="S257" i="5" s="1"/>
  <c r="T258" i="5"/>
  <c r="S258" i="5" s="1"/>
  <c r="T259" i="5"/>
  <c r="T260" i="5"/>
  <c r="S260" i="5" s="1"/>
  <c r="T261" i="5"/>
  <c r="S261" i="5" s="1"/>
  <c r="T262" i="5"/>
  <c r="S262" i="5" s="1"/>
  <c r="T263" i="5"/>
  <c r="S263" i="5" s="1"/>
  <c r="T264" i="5"/>
  <c r="S264" i="5" s="1"/>
  <c r="T265" i="5"/>
  <c r="S265" i="5" s="1"/>
  <c r="T266" i="5"/>
  <c r="S266" i="5" s="1"/>
  <c r="T267" i="5"/>
  <c r="S267" i="5" s="1"/>
  <c r="T268" i="5"/>
  <c r="S268" i="5" s="1"/>
  <c r="T269" i="5"/>
  <c r="S269" i="5" s="1"/>
  <c r="T270" i="5"/>
  <c r="S270" i="5" s="1"/>
  <c r="T271" i="5"/>
  <c r="S271" i="5" s="1"/>
  <c r="T272" i="5"/>
  <c r="S272" i="5" s="1"/>
  <c r="T273" i="5"/>
  <c r="S273" i="5" s="1"/>
  <c r="T274" i="5"/>
  <c r="S274" i="5" s="1"/>
  <c r="T275" i="5"/>
  <c r="T276" i="5"/>
  <c r="S276" i="5" s="1"/>
  <c r="T277" i="5"/>
  <c r="S277" i="5" s="1"/>
  <c r="T278" i="5"/>
  <c r="S278" i="5" s="1"/>
  <c r="T279" i="5"/>
  <c r="S279" i="5" s="1"/>
  <c r="T280" i="5"/>
  <c r="S280" i="5" s="1"/>
  <c r="T281" i="5"/>
  <c r="S281" i="5" s="1"/>
  <c r="T282" i="5"/>
  <c r="S282" i="5" s="1"/>
  <c r="T283" i="5"/>
  <c r="T284" i="5"/>
  <c r="S284" i="5" s="1"/>
  <c r="T285" i="5"/>
  <c r="S285" i="5" s="1"/>
  <c r="T286" i="5"/>
  <c r="S286" i="5" s="1"/>
  <c r="T287" i="5"/>
  <c r="S287" i="5" s="1"/>
  <c r="T288" i="5"/>
  <c r="S288" i="5" s="1"/>
  <c r="T289" i="5"/>
  <c r="S289" i="5" s="1"/>
  <c r="T290" i="5"/>
  <c r="S290" i="5" s="1"/>
  <c r="T291" i="5"/>
  <c r="T292" i="5"/>
  <c r="S292" i="5" s="1"/>
  <c r="T293" i="5"/>
  <c r="S293" i="5" s="1"/>
  <c r="T294" i="5"/>
  <c r="S294" i="5" s="1"/>
  <c r="T295" i="5"/>
  <c r="S295" i="5" s="1"/>
  <c r="T296" i="5"/>
  <c r="S296" i="5" s="1"/>
  <c r="T297" i="5"/>
  <c r="S297" i="5" s="1"/>
  <c r="T298" i="5"/>
  <c r="S298" i="5" s="1"/>
  <c r="T299" i="5"/>
  <c r="T300" i="5"/>
  <c r="S300" i="5" s="1"/>
  <c r="T301" i="5"/>
  <c r="S301" i="5" s="1"/>
  <c r="T302" i="5"/>
  <c r="S302" i="5" s="1"/>
  <c r="T303" i="5"/>
  <c r="S303" i="5" s="1"/>
  <c r="T304" i="5"/>
  <c r="S304" i="5" s="1"/>
  <c r="T305" i="5"/>
  <c r="S305" i="5" s="1"/>
  <c r="T306" i="5"/>
  <c r="S306" i="5" s="1"/>
  <c r="T307" i="5"/>
  <c r="T308" i="5"/>
  <c r="S308" i="5" s="1"/>
  <c r="T309" i="5"/>
  <c r="S309" i="5" s="1"/>
  <c r="T310" i="5"/>
  <c r="S310" i="5" s="1"/>
  <c r="T311" i="5"/>
  <c r="S311" i="5" s="1"/>
  <c r="T312" i="5"/>
  <c r="S312" i="5" s="1"/>
  <c r="T313" i="5"/>
  <c r="S313" i="5" s="1"/>
  <c r="T314" i="5"/>
  <c r="S314" i="5" s="1"/>
  <c r="T315" i="5"/>
  <c r="T316" i="5"/>
  <c r="S316" i="5" s="1"/>
  <c r="T317" i="5"/>
  <c r="S317" i="5" s="1"/>
  <c r="T318" i="5"/>
  <c r="S318" i="5" s="1"/>
  <c r="T319" i="5"/>
  <c r="S319" i="5" s="1"/>
  <c r="T320" i="5"/>
  <c r="S320" i="5" s="1"/>
  <c r="T321" i="5"/>
  <c r="S321" i="5" s="1"/>
  <c r="T322" i="5"/>
  <c r="S322" i="5" s="1"/>
  <c r="T323" i="5"/>
  <c r="T324" i="5"/>
  <c r="S324" i="5" s="1"/>
  <c r="T325" i="5"/>
  <c r="S325" i="5" s="1"/>
  <c r="T326" i="5"/>
  <c r="S326" i="5" s="1"/>
  <c r="T327" i="5"/>
  <c r="S327" i="5" s="1"/>
  <c r="T328" i="5"/>
  <c r="S328" i="5" s="1"/>
  <c r="T329" i="5"/>
  <c r="S329" i="5" s="1"/>
  <c r="T330" i="5"/>
  <c r="S330" i="5" s="1"/>
  <c r="T331" i="5"/>
  <c r="S331" i="5" s="1"/>
  <c r="T332" i="5"/>
  <c r="S332" i="5" s="1"/>
  <c r="T333" i="5"/>
  <c r="S333" i="5" s="1"/>
  <c r="T334" i="5"/>
  <c r="S334" i="5" s="1"/>
  <c r="T335" i="5"/>
  <c r="S335" i="5" s="1"/>
  <c r="T336" i="5"/>
  <c r="S336" i="5" s="1"/>
  <c r="T337" i="5"/>
  <c r="S337" i="5" s="1"/>
  <c r="T338" i="5"/>
  <c r="S338" i="5" s="1"/>
  <c r="T339" i="5"/>
  <c r="T340" i="5"/>
  <c r="S340" i="5" s="1"/>
  <c r="T341" i="5"/>
  <c r="S341" i="5" s="1"/>
  <c r="T342" i="5"/>
  <c r="S342" i="5" s="1"/>
  <c r="T343" i="5"/>
  <c r="S343" i="5" s="1"/>
  <c r="T344" i="5"/>
  <c r="S344" i="5" s="1"/>
  <c r="T345" i="5"/>
  <c r="S345" i="5" s="1"/>
  <c r="T346" i="5"/>
  <c r="S346" i="5" s="1"/>
  <c r="T347" i="5"/>
  <c r="T348" i="5"/>
  <c r="S348" i="5" s="1"/>
  <c r="T349" i="5"/>
  <c r="S349" i="5" s="1"/>
  <c r="T350" i="5"/>
  <c r="T351" i="5"/>
  <c r="S351" i="5" s="1"/>
  <c r="T352" i="5"/>
  <c r="S352" i="5" s="1"/>
  <c r="T353" i="5"/>
  <c r="S353" i="5" s="1"/>
  <c r="T354" i="5"/>
  <c r="S354" i="5" s="1"/>
  <c r="T355" i="5"/>
  <c r="T356" i="5"/>
  <c r="S356" i="5" s="1"/>
  <c r="T357" i="5"/>
  <c r="S357" i="5" s="1"/>
  <c r="T358" i="5"/>
  <c r="S358" i="5" s="1"/>
  <c r="T359" i="5"/>
  <c r="S359" i="5" s="1"/>
  <c r="T360" i="5"/>
  <c r="S360" i="5" s="1"/>
  <c r="T361" i="5"/>
  <c r="S361" i="5" s="1"/>
  <c r="T362" i="5"/>
  <c r="S362" i="5" s="1"/>
  <c r="T363" i="5"/>
  <c r="T364" i="5"/>
  <c r="S364" i="5" s="1"/>
  <c r="T365" i="5"/>
  <c r="S365" i="5" s="1"/>
  <c r="T366" i="5"/>
  <c r="S366" i="5" s="1"/>
  <c r="T367" i="5"/>
  <c r="S367" i="5" s="1"/>
  <c r="T368" i="5"/>
  <c r="S368" i="5" s="1"/>
  <c r="T369" i="5"/>
  <c r="S369" i="5" s="1"/>
  <c r="T370" i="5"/>
  <c r="S370" i="5" s="1"/>
  <c r="T371" i="5"/>
  <c r="T372" i="5"/>
  <c r="S372" i="5" s="1"/>
  <c r="T373" i="5"/>
  <c r="S373" i="5" s="1"/>
  <c r="T374" i="5"/>
  <c r="S374" i="5" s="1"/>
  <c r="T375" i="5"/>
  <c r="S375" i="5" s="1"/>
  <c r="T376" i="5"/>
  <c r="S376" i="5" s="1"/>
  <c r="T377" i="5"/>
  <c r="S377" i="5" s="1"/>
  <c r="T378" i="5"/>
  <c r="S378" i="5" s="1"/>
  <c r="T379" i="5"/>
  <c r="T380" i="5"/>
  <c r="S380" i="5" s="1"/>
  <c r="T381" i="5"/>
  <c r="S381" i="5" s="1"/>
  <c r="T382" i="5"/>
  <c r="S382" i="5" s="1"/>
  <c r="T383" i="5"/>
  <c r="S383" i="5" s="1"/>
  <c r="T384" i="5"/>
  <c r="S384" i="5" s="1"/>
  <c r="T385" i="5"/>
  <c r="S385" i="5" s="1"/>
  <c r="T386" i="5"/>
  <c r="S386" i="5" s="1"/>
  <c r="T387" i="5"/>
  <c r="T388" i="5"/>
  <c r="S388" i="5" s="1"/>
  <c r="T389" i="5"/>
  <c r="S389" i="5" s="1"/>
  <c r="T390" i="5"/>
  <c r="S390" i="5" s="1"/>
  <c r="T391" i="5"/>
  <c r="S391" i="5" s="1"/>
  <c r="T392" i="5"/>
  <c r="S392" i="5" s="1"/>
  <c r="T393" i="5"/>
  <c r="S393" i="5" s="1"/>
  <c r="T394" i="5"/>
  <c r="S394" i="5" s="1"/>
  <c r="T395" i="5"/>
  <c r="S395" i="5" s="1"/>
  <c r="T396" i="5"/>
  <c r="S396" i="5" s="1"/>
  <c r="T397" i="5"/>
  <c r="S397" i="5" s="1"/>
  <c r="T398" i="5"/>
  <c r="S398" i="5" s="1"/>
  <c r="T399" i="5"/>
  <c r="S399" i="5" s="1"/>
  <c r="T400" i="5"/>
  <c r="S400" i="5" s="1"/>
  <c r="T401" i="5"/>
  <c r="S401" i="5" s="1"/>
  <c r="T402" i="5"/>
  <c r="S402" i="5" s="1"/>
  <c r="T403" i="5"/>
  <c r="T404" i="5"/>
  <c r="S404" i="5" s="1"/>
  <c r="T405" i="5"/>
  <c r="S405" i="5" s="1"/>
  <c r="T406" i="5"/>
  <c r="S406" i="5" s="1"/>
  <c r="T407" i="5"/>
  <c r="S407" i="5" s="1"/>
  <c r="T408" i="5"/>
  <c r="S408" i="5" s="1"/>
  <c r="T409" i="5"/>
  <c r="S409" i="5" s="1"/>
  <c r="T410" i="5"/>
  <c r="S410" i="5" s="1"/>
  <c r="T411" i="5"/>
  <c r="T412" i="5"/>
  <c r="S412" i="5" s="1"/>
  <c r="T413" i="5"/>
  <c r="S413" i="5" s="1"/>
  <c r="T414" i="5"/>
  <c r="S414" i="5" s="1"/>
  <c r="T415" i="5"/>
  <c r="S415" i="5" s="1"/>
  <c r="T416" i="5"/>
  <c r="S416" i="5" s="1"/>
  <c r="T417" i="5"/>
  <c r="S417" i="5" s="1"/>
  <c r="T418" i="5"/>
  <c r="S418" i="5" s="1"/>
  <c r="T419" i="5"/>
  <c r="T420" i="5"/>
  <c r="S420" i="5" s="1"/>
  <c r="T421" i="5"/>
  <c r="S421" i="5" s="1"/>
  <c r="T422" i="5"/>
  <c r="S422" i="5" s="1"/>
  <c r="T423" i="5"/>
  <c r="S423" i="5" s="1"/>
  <c r="T424" i="5"/>
  <c r="S424" i="5" s="1"/>
  <c r="T425" i="5"/>
  <c r="S425" i="5" s="1"/>
  <c r="T426" i="5"/>
  <c r="S426" i="5" s="1"/>
  <c r="T427" i="5"/>
  <c r="T428" i="5"/>
  <c r="S428" i="5" s="1"/>
  <c r="T429" i="5"/>
  <c r="S429" i="5" s="1"/>
  <c r="T430" i="5"/>
  <c r="S430" i="5" s="1"/>
  <c r="T431" i="5"/>
  <c r="S431" i="5" s="1"/>
  <c r="T432" i="5"/>
  <c r="S432" i="5" s="1"/>
  <c r="T433" i="5"/>
  <c r="S433" i="5" s="1"/>
  <c r="T434" i="5"/>
  <c r="S434" i="5" s="1"/>
  <c r="T435" i="5"/>
  <c r="T436" i="5"/>
  <c r="S436" i="5" s="1"/>
  <c r="T437" i="5"/>
  <c r="S437" i="5" s="1"/>
  <c r="T438" i="5"/>
  <c r="S438" i="5" s="1"/>
  <c r="T439" i="5"/>
  <c r="S439" i="5" s="1"/>
  <c r="T440" i="5"/>
  <c r="S440" i="5" s="1"/>
  <c r="T441" i="5"/>
  <c r="S441" i="5" s="1"/>
  <c r="T442" i="5"/>
  <c r="S442" i="5" s="1"/>
  <c r="T443" i="5"/>
  <c r="T444" i="5"/>
  <c r="S444" i="5" s="1"/>
  <c r="T445" i="5"/>
  <c r="S445" i="5" s="1"/>
  <c r="T446" i="5"/>
  <c r="S446" i="5" s="1"/>
  <c r="T447" i="5"/>
  <c r="S447" i="5" s="1"/>
  <c r="T448" i="5"/>
  <c r="S448" i="5" s="1"/>
  <c r="T449" i="5"/>
  <c r="S449" i="5" s="1"/>
  <c r="T450" i="5"/>
  <c r="S450" i="5" s="1"/>
  <c r="T451" i="5"/>
  <c r="T452" i="5"/>
  <c r="S452" i="5" s="1"/>
  <c r="T453" i="5"/>
  <c r="S453" i="5" s="1"/>
  <c r="T454" i="5"/>
  <c r="S454" i="5" s="1"/>
  <c r="T455" i="5"/>
  <c r="S455" i="5" s="1"/>
  <c r="T456" i="5"/>
  <c r="S456" i="5" s="1"/>
  <c r="T457" i="5"/>
  <c r="S457" i="5" s="1"/>
  <c r="T458" i="5"/>
  <c r="S458" i="5" s="1"/>
  <c r="T459" i="5"/>
  <c r="S459" i="5" s="1"/>
  <c r="T460" i="5"/>
  <c r="S460" i="5" s="1"/>
  <c r="T461" i="5"/>
  <c r="S461" i="5" s="1"/>
  <c r="T462" i="5"/>
  <c r="S462" i="5" s="1"/>
  <c r="T463" i="5"/>
  <c r="S463" i="5" s="1"/>
  <c r="T464" i="5"/>
  <c r="S464" i="5" s="1"/>
  <c r="T465" i="5"/>
  <c r="S465" i="5" s="1"/>
  <c r="T466" i="5"/>
  <c r="S466" i="5" s="1"/>
  <c r="T467" i="5"/>
  <c r="T468" i="5"/>
  <c r="S468" i="5" s="1"/>
  <c r="T469" i="5"/>
  <c r="S469" i="5" s="1"/>
  <c r="T470" i="5"/>
  <c r="S470" i="5" s="1"/>
  <c r="T471" i="5"/>
  <c r="S471" i="5" s="1"/>
  <c r="T472" i="5"/>
  <c r="T473" i="5"/>
  <c r="S473" i="5" s="1"/>
  <c r="T474" i="5"/>
  <c r="S474" i="5" s="1"/>
  <c r="T475" i="5"/>
  <c r="T476" i="5"/>
  <c r="S476" i="5" s="1"/>
  <c r="T477" i="5"/>
  <c r="S477" i="5" s="1"/>
  <c r="T478" i="5"/>
  <c r="S478" i="5" s="1"/>
  <c r="T479" i="5"/>
  <c r="S479" i="5" s="1"/>
  <c r="T480" i="5"/>
  <c r="S480" i="5" s="1"/>
  <c r="T481" i="5"/>
  <c r="S481" i="5" s="1"/>
  <c r="T482" i="5"/>
  <c r="S482" i="5" s="1"/>
  <c r="T483" i="5"/>
  <c r="T484" i="5"/>
  <c r="S484" i="5" s="1"/>
  <c r="T485" i="5"/>
  <c r="S485" i="5" s="1"/>
  <c r="T486" i="5"/>
  <c r="S486" i="5" s="1"/>
  <c r="T487" i="5"/>
  <c r="S487" i="5" s="1"/>
  <c r="T488" i="5"/>
  <c r="S488" i="5" s="1"/>
  <c r="T489" i="5"/>
  <c r="S489" i="5" s="1"/>
  <c r="T490" i="5"/>
  <c r="S490" i="5" s="1"/>
  <c r="T491" i="5"/>
  <c r="T492" i="5"/>
  <c r="S492" i="5" s="1"/>
  <c r="T493" i="5"/>
  <c r="S493" i="5" s="1"/>
  <c r="T494" i="5"/>
  <c r="S494" i="5" s="1"/>
  <c r="T495" i="5"/>
  <c r="S495" i="5" s="1"/>
  <c r="T496" i="5"/>
  <c r="S496" i="5" s="1"/>
  <c r="T497" i="5"/>
  <c r="S497" i="5" s="1"/>
  <c r="T498" i="5"/>
  <c r="S498" i="5" s="1"/>
  <c r="T499" i="5"/>
  <c r="T500" i="5"/>
  <c r="S500" i="5" s="1"/>
  <c r="T501" i="5"/>
  <c r="S501" i="5" s="1"/>
  <c r="T502" i="5"/>
  <c r="S502" i="5" s="1"/>
  <c r="T503" i="5"/>
  <c r="S503" i="5" s="1"/>
  <c r="T504" i="5"/>
  <c r="S504" i="5" s="1"/>
  <c r="T505" i="5"/>
  <c r="S505" i="5" s="1"/>
  <c r="T506" i="5"/>
  <c r="S506" i="5" s="1"/>
  <c r="T507" i="5"/>
  <c r="T508" i="5"/>
  <c r="S508" i="5" s="1"/>
  <c r="T509" i="5"/>
  <c r="S509" i="5" s="1"/>
  <c r="T510" i="5"/>
  <c r="S510" i="5" s="1"/>
  <c r="T511" i="5"/>
  <c r="S511" i="5" s="1"/>
  <c r="T512" i="5"/>
  <c r="S512" i="5" s="1"/>
  <c r="T513" i="5"/>
  <c r="S513" i="5" s="1"/>
  <c r="T514" i="5"/>
  <c r="S514" i="5" s="1"/>
  <c r="T515" i="5"/>
  <c r="S515" i="5" s="1"/>
  <c r="T516" i="5"/>
  <c r="S516" i="5" s="1"/>
  <c r="T517" i="5"/>
  <c r="T518" i="5"/>
  <c r="S518" i="5" s="1"/>
  <c r="T519" i="5"/>
  <c r="S519" i="5" s="1"/>
  <c r="T520" i="5"/>
  <c r="S520" i="5" s="1"/>
  <c r="T521" i="5"/>
  <c r="T522" i="5"/>
  <c r="S522" i="5" s="1"/>
  <c r="T523" i="5"/>
  <c r="T524" i="5"/>
  <c r="S524" i="5" s="1"/>
  <c r="T525" i="5"/>
  <c r="S525" i="5" s="1"/>
  <c r="T526" i="5"/>
  <c r="S526" i="5" s="1"/>
  <c r="T527" i="5"/>
  <c r="T528" i="5"/>
  <c r="T529" i="5"/>
  <c r="S529" i="5" s="1"/>
  <c r="T530" i="5"/>
  <c r="S530" i="5" s="1"/>
  <c r="T531" i="5"/>
  <c r="T532" i="5"/>
  <c r="S532" i="5" s="1"/>
  <c r="T533" i="5"/>
  <c r="S533" i="5" s="1"/>
  <c r="T534" i="5"/>
  <c r="S534" i="5" s="1"/>
  <c r="T535" i="5"/>
  <c r="S535" i="5" s="1"/>
  <c r="T536" i="5"/>
  <c r="S536" i="5" s="1"/>
  <c r="T537" i="5"/>
  <c r="S537" i="5" s="1"/>
  <c r="T538" i="5"/>
  <c r="S538" i="5" s="1"/>
  <c r="T539" i="5"/>
  <c r="T540" i="5"/>
  <c r="S540" i="5" s="1"/>
  <c r="T541" i="5"/>
  <c r="S541" i="5" s="1"/>
  <c r="T542" i="5"/>
  <c r="S542" i="5" s="1"/>
  <c r="T543" i="5"/>
  <c r="T544" i="5"/>
  <c r="S544" i="5" s="1"/>
  <c r="T545" i="5"/>
  <c r="S545" i="5" s="1"/>
  <c r="T546" i="5"/>
  <c r="S546" i="5" s="1"/>
  <c r="T547" i="5"/>
  <c r="S547" i="5" s="1"/>
  <c r="T548" i="5"/>
  <c r="S548" i="5" s="1"/>
  <c r="T549" i="5"/>
  <c r="S549" i="5" s="1"/>
  <c r="T550" i="5"/>
  <c r="S550" i="5" s="1"/>
  <c r="T551" i="5"/>
  <c r="S551" i="5" s="1"/>
  <c r="T552" i="5"/>
  <c r="S552" i="5" s="1"/>
  <c r="T553" i="5"/>
  <c r="T554" i="5"/>
  <c r="S554" i="5" s="1"/>
  <c r="T555" i="5"/>
  <c r="T556" i="5"/>
  <c r="S556" i="5" s="1"/>
  <c r="T557" i="5"/>
  <c r="S557" i="5" s="1"/>
  <c r="T558" i="5"/>
  <c r="S558" i="5" s="1"/>
  <c r="T559" i="5"/>
  <c r="T560" i="5"/>
  <c r="S560" i="5" s="1"/>
  <c r="T561" i="5"/>
  <c r="S561" i="5" s="1"/>
  <c r="T562" i="5"/>
  <c r="S562" i="5" s="1"/>
  <c r="T563" i="5"/>
  <c r="T564" i="5"/>
  <c r="S564" i="5" s="1"/>
  <c r="T565" i="5"/>
  <c r="S565" i="5" s="1"/>
  <c r="T566" i="5"/>
  <c r="S566" i="5" s="1"/>
  <c r="T567" i="5"/>
  <c r="S567" i="5" s="1"/>
  <c r="T568" i="5"/>
  <c r="S568" i="5" s="1"/>
  <c r="T569" i="5"/>
  <c r="S569" i="5" s="1"/>
  <c r="T570" i="5"/>
  <c r="S570" i="5" s="1"/>
  <c r="T571" i="5"/>
  <c r="T572" i="5"/>
  <c r="S572" i="5" s="1"/>
  <c r="T573" i="5"/>
  <c r="S573" i="5" s="1"/>
  <c r="T574" i="5"/>
  <c r="S574" i="5" s="1"/>
  <c r="T575" i="5"/>
  <c r="T576" i="5"/>
  <c r="S576" i="5" s="1"/>
  <c r="T577" i="5"/>
  <c r="T578" i="5"/>
  <c r="S578" i="5" s="1"/>
  <c r="T579" i="5"/>
  <c r="S579" i="5" s="1"/>
  <c r="T580" i="5"/>
  <c r="S580" i="5" s="1"/>
  <c r="T581" i="5"/>
  <c r="S581" i="5" s="1"/>
  <c r="T582" i="5"/>
  <c r="S582" i="5" s="1"/>
  <c r="T583" i="5"/>
  <c r="T584" i="5"/>
  <c r="T585" i="5"/>
  <c r="T586" i="5"/>
  <c r="S586" i="5" s="1"/>
  <c r="T587" i="5"/>
  <c r="T588" i="5"/>
  <c r="S588" i="5" s="1"/>
  <c r="T589" i="5"/>
  <c r="T590" i="5"/>
  <c r="S590" i="5" s="1"/>
  <c r="T591" i="5"/>
  <c r="T592" i="5"/>
  <c r="S592" i="5" s="1"/>
  <c r="T593" i="5"/>
  <c r="S593" i="5" s="1"/>
  <c r="T594" i="5"/>
  <c r="S594" i="5" s="1"/>
  <c r="T595" i="5"/>
  <c r="T596" i="5"/>
  <c r="S596" i="5" s="1"/>
  <c r="T597" i="5"/>
  <c r="S597" i="5" s="1"/>
  <c r="T598" i="5"/>
  <c r="T599" i="5"/>
  <c r="T600" i="5"/>
  <c r="S600" i="5" s="1"/>
  <c r="T601" i="5"/>
  <c r="T602" i="5"/>
  <c r="T603" i="5"/>
  <c r="P5" i="5"/>
  <c r="S5" i="5"/>
  <c r="S6" i="5"/>
  <c r="S7" i="5"/>
  <c r="S8" i="5"/>
  <c r="S73" i="5" l="1"/>
  <c r="S81" i="5"/>
  <c r="S30" i="5"/>
  <c r="S350" i="5"/>
  <c r="S589" i="5"/>
  <c r="S584" i="5"/>
  <c r="S237" i="5"/>
  <c r="S528" i="5"/>
  <c r="S154" i="5"/>
  <c r="S602" i="5"/>
  <c r="S198" i="5"/>
  <c r="S472" i="5"/>
  <c r="S577" i="5"/>
  <c r="S603" i="5"/>
  <c r="S595" i="5"/>
  <c r="S587" i="5"/>
  <c r="S571" i="5"/>
  <c r="S563" i="5"/>
  <c r="S555" i="5"/>
  <c r="S539" i="5"/>
  <c r="S531" i="5"/>
  <c r="S523" i="5"/>
  <c r="S507" i="5"/>
  <c r="S499" i="5"/>
  <c r="S491" i="5"/>
  <c r="S483" i="5"/>
  <c r="S475" i="5"/>
  <c r="S467" i="5"/>
  <c r="S451" i="5"/>
  <c r="S443" i="5"/>
  <c r="S435" i="5"/>
  <c r="S427" i="5"/>
  <c r="S419" i="5"/>
  <c r="S411" i="5"/>
  <c r="S403" i="5"/>
  <c r="S387" i="5"/>
  <c r="S379" i="5"/>
  <c r="S371" i="5"/>
  <c r="S363" i="5"/>
  <c r="S355" i="5"/>
  <c r="S347" i="5"/>
  <c r="S339" i="5"/>
  <c r="S323" i="5"/>
  <c r="S315" i="5"/>
  <c r="S307" i="5"/>
  <c r="S299" i="5"/>
  <c r="S291" i="5"/>
  <c r="S283" i="5"/>
  <c r="S275" i="5"/>
  <c r="S259" i="5"/>
  <c r="S251" i="5"/>
  <c r="S243" i="5"/>
  <c r="S235" i="5"/>
  <c r="S227" i="5"/>
  <c r="S219" i="5"/>
  <c r="S211" i="5"/>
  <c r="S195" i="5"/>
  <c r="S187" i="5"/>
  <c r="S179" i="5"/>
  <c r="S171" i="5"/>
  <c r="S163" i="5"/>
  <c r="S155" i="5"/>
  <c r="S147" i="5"/>
  <c r="S131" i="5"/>
  <c r="S123" i="5"/>
  <c r="S115" i="5"/>
  <c r="S99" i="5"/>
  <c r="S91" i="5"/>
  <c r="S83" i="5"/>
  <c r="S67" i="5"/>
  <c r="S59" i="5"/>
  <c r="S51" i="5"/>
  <c r="S35" i="5"/>
  <c r="S27" i="5"/>
  <c r="S19" i="5"/>
  <c r="S601" i="5"/>
  <c r="S585" i="5"/>
  <c r="S553" i="5"/>
  <c r="S521" i="5"/>
  <c r="S599" i="5"/>
  <c r="S591" i="5"/>
  <c r="S583" i="5"/>
  <c r="S575" i="5"/>
  <c r="S559" i="5"/>
  <c r="S543" i="5"/>
  <c r="S527" i="5"/>
  <c r="S598" i="5"/>
  <c r="S517" i="5"/>
  <c r="J10" i="17" l="1"/>
  <c r="M10" i="17"/>
  <c r="D11" i="23"/>
  <c r="D12" i="23" s="1"/>
  <c r="A12" i="23" s="1"/>
  <c r="G11" i="23"/>
  <c r="G631" i="23"/>
  <c r="G630" i="23"/>
  <c r="G629" i="23"/>
  <c r="G628" i="23"/>
  <c r="G627" i="23"/>
  <c r="G626" i="23"/>
  <c r="G625" i="23"/>
  <c r="G624" i="23"/>
  <c r="G623" i="23"/>
  <c r="G622" i="23"/>
  <c r="G621" i="23"/>
  <c r="G620" i="23"/>
  <c r="G619" i="23"/>
  <c r="G618" i="23"/>
  <c r="G617" i="23"/>
  <c r="G616" i="23"/>
  <c r="G615" i="23"/>
  <c r="G614" i="23"/>
  <c r="G613" i="23"/>
  <c r="G612" i="23"/>
  <c r="G611" i="23"/>
  <c r="G610" i="23"/>
  <c r="G609" i="23"/>
  <c r="G608" i="23"/>
  <c r="G607" i="23"/>
  <c r="G606" i="23"/>
  <c r="G605" i="23"/>
  <c r="G604" i="23"/>
  <c r="G603" i="23"/>
  <c r="G602" i="23"/>
  <c r="G601" i="23"/>
  <c r="G600" i="23"/>
  <c r="G599" i="23"/>
  <c r="G598" i="23"/>
  <c r="G597" i="23"/>
  <c r="G596" i="23"/>
  <c r="G595" i="23"/>
  <c r="G594" i="23"/>
  <c r="G593" i="23"/>
  <c r="G592" i="23"/>
  <c r="G591" i="23"/>
  <c r="G590" i="23"/>
  <c r="G589" i="23"/>
  <c r="G588" i="23"/>
  <c r="G587" i="23"/>
  <c r="G586" i="23"/>
  <c r="G585" i="23"/>
  <c r="G584" i="23"/>
  <c r="G583" i="23"/>
  <c r="G582" i="23"/>
  <c r="G581" i="23"/>
  <c r="G580" i="23"/>
  <c r="G579" i="23"/>
  <c r="G578" i="23"/>
  <c r="G577" i="23"/>
  <c r="G576" i="23"/>
  <c r="G575" i="23"/>
  <c r="G574" i="23"/>
  <c r="G573" i="23"/>
  <c r="G572" i="23"/>
  <c r="G571" i="23"/>
  <c r="G570" i="23"/>
  <c r="G569" i="23"/>
  <c r="G568" i="23"/>
  <c r="G567" i="23"/>
  <c r="G566" i="23"/>
  <c r="G565" i="23"/>
  <c r="G564" i="23"/>
  <c r="G563" i="23"/>
  <c r="G562" i="23"/>
  <c r="G561" i="23"/>
  <c r="G560" i="23"/>
  <c r="G559" i="23"/>
  <c r="G558" i="23"/>
  <c r="G557" i="23"/>
  <c r="G556" i="23"/>
  <c r="G555" i="23"/>
  <c r="G554" i="23"/>
  <c r="G553" i="23"/>
  <c r="G552" i="23"/>
  <c r="G551" i="23"/>
  <c r="G550" i="23"/>
  <c r="G549" i="23"/>
  <c r="G548" i="23"/>
  <c r="G547" i="23"/>
  <c r="G546" i="23"/>
  <c r="G545" i="23"/>
  <c r="G544" i="23"/>
  <c r="G543" i="23"/>
  <c r="G542" i="23"/>
  <c r="G541" i="23"/>
  <c r="G540" i="23"/>
  <c r="G539" i="23"/>
  <c r="G538" i="23"/>
  <c r="G537" i="23"/>
  <c r="G536" i="23"/>
  <c r="G535" i="23"/>
  <c r="G534" i="23"/>
  <c r="G533" i="23"/>
  <c r="G532" i="23"/>
  <c r="G531" i="23"/>
  <c r="G530" i="23"/>
  <c r="G529" i="23"/>
  <c r="G528" i="23"/>
  <c r="G527" i="23"/>
  <c r="G526" i="23"/>
  <c r="G525" i="23"/>
  <c r="G524" i="23"/>
  <c r="G523" i="23"/>
  <c r="G522" i="23"/>
  <c r="G521" i="23"/>
  <c r="G520" i="23"/>
  <c r="G519" i="23"/>
  <c r="G518" i="23"/>
  <c r="G517" i="23"/>
  <c r="G516" i="23"/>
  <c r="G515" i="23"/>
  <c r="G514" i="23"/>
  <c r="G513" i="23"/>
  <c r="G512" i="23"/>
  <c r="G511" i="23"/>
  <c r="G510" i="23"/>
  <c r="G509" i="23"/>
  <c r="G508" i="23"/>
  <c r="G507" i="23"/>
  <c r="G506" i="23"/>
  <c r="G505" i="23"/>
  <c r="G504" i="23"/>
  <c r="G503" i="23"/>
  <c r="G502" i="23"/>
  <c r="G501" i="23"/>
  <c r="G500" i="23"/>
  <c r="G499" i="23"/>
  <c r="G498" i="23"/>
  <c r="G497" i="23"/>
  <c r="G496" i="23"/>
  <c r="G495" i="23"/>
  <c r="G494" i="23"/>
  <c r="G493" i="23"/>
  <c r="G492" i="23"/>
  <c r="G491" i="23"/>
  <c r="G490" i="23"/>
  <c r="G489" i="23"/>
  <c r="G488" i="23"/>
  <c r="G487" i="23"/>
  <c r="G486" i="23"/>
  <c r="G485" i="23"/>
  <c r="G484" i="23"/>
  <c r="G483" i="23"/>
  <c r="G482" i="23"/>
  <c r="G481" i="23"/>
  <c r="G480" i="23"/>
  <c r="G479" i="23"/>
  <c r="G478" i="23"/>
  <c r="G477" i="23"/>
  <c r="G476" i="23"/>
  <c r="G475" i="23"/>
  <c r="G474" i="23"/>
  <c r="G473" i="23"/>
  <c r="G472" i="23"/>
  <c r="G471" i="23"/>
  <c r="G470" i="23"/>
  <c r="G469" i="23"/>
  <c r="G468" i="23"/>
  <c r="G467" i="23"/>
  <c r="G466" i="23"/>
  <c r="G465" i="23"/>
  <c r="G464" i="23"/>
  <c r="G463" i="23"/>
  <c r="G462" i="23"/>
  <c r="G461" i="23"/>
  <c r="G460" i="23"/>
  <c r="G459" i="23"/>
  <c r="G458" i="23"/>
  <c r="G457" i="23"/>
  <c r="G456" i="23"/>
  <c r="G455" i="23"/>
  <c r="G454" i="23"/>
  <c r="G453" i="23"/>
  <c r="G452" i="23"/>
  <c r="G451" i="23"/>
  <c r="G450" i="23"/>
  <c r="G449" i="23"/>
  <c r="G448" i="23"/>
  <c r="G447" i="23"/>
  <c r="G446" i="23"/>
  <c r="G445" i="23"/>
  <c r="G444" i="23"/>
  <c r="G443" i="23"/>
  <c r="G442" i="23"/>
  <c r="G441" i="23"/>
  <c r="G440" i="23"/>
  <c r="G439" i="23"/>
  <c r="G438" i="23"/>
  <c r="G437" i="23"/>
  <c r="G436" i="23"/>
  <c r="G435" i="23"/>
  <c r="G434" i="23"/>
  <c r="G433" i="23"/>
  <c r="G432" i="23"/>
  <c r="G431" i="23"/>
  <c r="G430" i="23"/>
  <c r="G429" i="23"/>
  <c r="G428" i="23"/>
  <c r="G427" i="23"/>
  <c r="G426" i="23"/>
  <c r="G425" i="23"/>
  <c r="G424" i="23"/>
  <c r="G423" i="23"/>
  <c r="G422" i="23"/>
  <c r="G421" i="23"/>
  <c r="G420" i="23"/>
  <c r="G419" i="23"/>
  <c r="G418" i="23"/>
  <c r="G417" i="23"/>
  <c r="G416" i="23"/>
  <c r="G415" i="23"/>
  <c r="G414" i="23"/>
  <c r="G413" i="23"/>
  <c r="G412" i="23"/>
  <c r="G411" i="23"/>
  <c r="G410" i="23"/>
  <c r="G409" i="23"/>
  <c r="G408" i="23"/>
  <c r="G407" i="23"/>
  <c r="G406" i="23"/>
  <c r="G405" i="23"/>
  <c r="G404" i="23"/>
  <c r="G403" i="23"/>
  <c r="G402" i="23"/>
  <c r="G401" i="23"/>
  <c r="G400" i="23"/>
  <c r="G399" i="23"/>
  <c r="G398" i="23"/>
  <c r="G397" i="23"/>
  <c r="G396" i="23"/>
  <c r="G395" i="23"/>
  <c r="G394" i="23"/>
  <c r="G393" i="23"/>
  <c r="G392" i="23"/>
  <c r="G391" i="23"/>
  <c r="G390" i="23"/>
  <c r="G389" i="23"/>
  <c r="G388" i="23"/>
  <c r="G387" i="23"/>
  <c r="G386" i="23"/>
  <c r="G385" i="23"/>
  <c r="G384" i="23"/>
  <c r="G383" i="23"/>
  <c r="G382" i="23"/>
  <c r="G381" i="23"/>
  <c r="G380" i="23"/>
  <c r="G379" i="23"/>
  <c r="G378" i="23"/>
  <c r="G377" i="23"/>
  <c r="G376" i="23"/>
  <c r="G375" i="23"/>
  <c r="G374" i="23"/>
  <c r="G373" i="23"/>
  <c r="G372" i="23"/>
  <c r="G371" i="23"/>
  <c r="G370" i="23"/>
  <c r="G369" i="23"/>
  <c r="G368" i="23"/>
  <c r="G367" i="23"/>
  <c r="G366" i="23"/>
  <c r="G365" i="23"/>
  <c r="G364" i="23"/>
  <c r="G363" i="23"/>
  <c r="G362" i="23"/>
  <c r="G361" i="23"/>
  <c r="G360" i="23"/>
  <c r="G359" i="23"/>
  <c r="G358" i="23"/>
  <c r="G357" i="23"/>
  <c r="G356" i="23"/>
  <c r="G355" i="23"/>
  <c r="G354" i="23"/>
  <c r="G353" i="23"/>
  <c r="G352" i="23"/>
  <c r="G351" i="23"/>
  <c r="G350" i="23"/>
  <c r="G349" i="23"/>
  <c r="G348" i="23"/>
  <c r="G347" i="23"/>
  <c r="G346" i="23"/>
  <c r="G345" i="23"/>
  <c r="G344" i="23"/>
  <c r="G343" i="23"/>
  <c r="G342" i="23"/>
  <c r="G341" i="23"/>
  <c r="G340" i="23"/>
  <c r="G339" i="23"/>
  <c r="G338" i="23"/>
  <c r="G337" i="23"/>
  <c r="G336" i="23"/>
  <c r="G335" i="23"/>
  <c r="G334" i="23"/>
  <c r="G333" i="23"/>
  <c r="G332" i="23"/>
  <c r="G331" i="23"/>
  <c r="G330" i="23"/>
  <c r="G329" i="23"/>
  <c r="G328" i="23"/>
  <c r="G327" i="23"/>
  <c r="G326" i="23"/>
  <c r="G325" i="23"/>
  <c r="G324" i="23"/>
  <c r="G323" i="23"/>
  <c r="G322" i="23"/>
  <c r="G321" i="23"/>
  <c r="G320" i="23"/>
  <c r="G319" i="23"/>
  <c r="G318" i="23"/>
  <c r="G317" i="23"/>
  <c r="G316" i="23"/>
  <c r="G315" i="23"/>
  <c r="G314" i="23"/>
  <c r="G313" i="23"/>
  <c r="G312" i="23"/>
  <c r="G311" i="23"/>
  <c r="G310" i="23"/>
  <c r="G309" i="23"/>
  <c r="G308" i="23"/>
  <c r="G307" i="23"/>
  <c r="G306" i="23"/>
  <c r="G305" i="23"/>
  <c r="G304" i="23"/>
  <c r="G303" i="23"/>
  <c r="G302" i="23"/>
  <c r="G301" i="23"/>
  <c r="G300" i="23"/>
  <c r="G299" i="23"/>
  <c r="G298" i="23"/>
  <c r="G297" i="23"/>
  <c r="G296" i="23"/>
  <c r="G295" i="23"/>
  <c r="G294" i="23"/>
  <c r="G293" i="23"/>
  <c r="G292" i="23"/>
  <c r="G291" i="23"/>
  <c r="G290" i="23"/>
  <c r="G289" i="23"/>
  <c r="G288" i="23"/>
  <c r="G287" i="23"/>
  <c r="G286" i="23"/>
  <c r="G285" i="23"/>
  <c r="G284" i="23"/>
  <c r="G283" i="23"/>
  <c r="G282" i="23"/>
  <c r="G281" i="23"/>
  <c r="G280" i="23"/>
  <c r="G279" i="23"/>
  <c r="G278" i="23"/>
  <c r="G277" i="23"/>
  <c r="G276" i="23"/>
  <c r="G275" i="23"/>
  <c r="G274" i="23"/>
  <c r="G273" i="23"/>
  <c r="G272" i="23"/>
  <c r="G271" i="23"/>
  <c r="G270" i="23"/>
  <c r="G269" i="23"/>
  <c r="G268" i="23"/>
  <c r="G267" i="23"/>
  <c r="G266" i="23"/>
  <c r="G265" i="23"/>
  <c r="G264" i="23"/>
  <c r="G263" i="23"/>
  <c r="G262" i="23"/>
  <c r="G261" i="23"/>
  <c r="G260" i="23"/>
  <c r="G259" i="23"/>
  <c r="G258" i="23"/>
  <c r="G257" i="23"/>
  <c r="G256" i="23"/>
  <c r="G255" i="23"/>
  <c r="G254" i="23"/>
  <c r="G253" i="23"/>
  <c r="G252" i="23"/>
  <c r="G251" i="23"/>
  <c r="G250" i="23"/>
  <c r="G249" i="23"/>
  <c r="G248" i="23"/>
  <c r="G247" i="23"/>
  <c r="G246" i="23"/>
  <c r="G245" i="23"/>
  <c r="G244" i="23"/>
  <c r="G243" i="23"/>
  <c r="G242" i="23"/>
  <c r="G241" i="23"/>
  <c r="G240" i="23"/>
  <c r="G239" i="23"/>
  <c r="G238" i="23"/>
  <c r="G237" i="23"/>
  <c r="G236" i="23"/>
  <c r="G235" i="23"/>
  <c r="G234" i="23"/>
  <c r="G233" i="23"/>
  <c r="G232" i="23"/>
  <c r="G231" i="23"/>
  <c r="G230" i="23"/>
  <c r="G229" i="23"/>
  <c r="G228" i="23"/>
  <c r="G227" i="23"/>
  <c r="G226" i="23"/>
  <c r="G225" i="23"/>
  <c r="G224" i="23"/>
  <c r="G223" i="23"/>
  <c r="G222" i="23"/>
  <c r="G221" i="23"/>
  <c r="G220" i="23"/>
  <c r="G219" i="23"/>
  <c r="G218" i="23"/>
  <c r="G217" i="23"/>
  <c r="G216" i="23"/>
  <c r="G215" i="23"/>
  <c r="G214" i="23"/>
  <c r="G213" i="23"/>
  <c r="G212" i="23"/>
  <c r="G211" i="23"/>
  <c r="G210" i="23"/>
  <c r="G209" i="23"/>
  <c r="G208" i="23"/>
  <c r="G207" i="23"/>
  <c r="G206" i="23"/>
  <c r="G205" i="23"/>
  <c r="G204" i="23"/>
  <c r="G203" i="23"/>
  <c r="G202" i="23"/>
  <c r="G201" i="23"/>
  <c r="G200" i="23"/>
  <c r="G199" i="23"/>
  <c r="G198" i="23"/>
  <c r="G197" i="23"/>
  <c r="G196" i="23"/>
  <c r="G195" i="23"/>
  <c r="G194" i="23"/>
  <c r="G193" i="23"/>
  <c r="G192" i="23"/>
  <c r="G191" i="23"/>
  <c r="G190" i="23"/>
  <c r="G189" i="23"/>
  <c r="G188" i="23"/>
  <c r="G187" i="23"/>
  <c r="G186" i="23"/>
  <c r="G185" i="23"/>
  <c r="G184" i="23"/>
  <c r="G183" i="23"/>
  <c r="G182" i="23"/>
  <c r="G181" i="23"/>
  <c r="G180" i="23"/>
  <c r="G179" i="23"/>
  <c r="G178" i="23"/>
  <c r="G177" i="23"/>
  <c r="G176" i="23"/>
  <c r="G175" i="23"/>
  <c r="G174" i="23"/>
  <c r="G173" i="23"/>
  <c r="G172" i="23"/>
  <c r="G171" i="23"/>
  <c r="G170" i="23"/>
  <c r="G169" i="23"/>
  <c r="G168" i="23"/>
  <c r="G167" i="23"/>
  <c r="G166" i="23"/>
  <c r="G165" i="23"/>
  <c r="G164" i="23"/>
  <c r="G163" i="23"/>
  <c r="G162" i="23"/>
  <c r="G161" i="23"/>
  <c r="G160" i="23"/>
  <c r="G159" i="23"/>
  <c r="G158" i="23"/>
  <c r="G157" i="23"/>
  <c r="G156" i="23"/>
  <c r="G155" i="23"/>
  <c r="G154" i="23"/>
  <c r="G153" i="23"/>
  <c r="G152" i="23"/>
  <c r="G151" i="23"/>
  <c r="G150" i="23"/>
  <c r="G149" i="23"/>
  <c r="G148" i="23"/>
  <c r="G147" i="23"/>
  <c r="G146" i="23"/>
  <c r="G145" i="23"/>
  <c r="G144" i="23"/>
  <c r="G143" i="23"/>
  <c r="G142" i="23"/>
  <c r="G141" i="23"/>
  <c r="G140" i="23"/>
  <c r="G139" i="23"/>
  <c r="G138" i="23"/>
  <c r="G137" i="23"/>
  <c r="G136" i="23"/>
  <c r="G135" i="23"/>
  <c r="G134" i="23"/>
  <c r="G133" i="23"/>
  <c r="G132" i="23"/>
  <c r="G131" i="23"/>
  <c r="G130" i="23"/>
  <c r="G129" i="23"/>
  <c r="G128" i="23"/>
  <c r="G127" i="23"/>
  <c r="G126" i="23"/>
  <c r="G125" i="23"/>
  <c r="G124" i="23"/>
  <c r="G123" i="23"/>
  <c r="G122" i="23"/>
  <c r="G121" i="23"/>
  <c r="G120" i="23"/>
  <c r="G119" i="23"/>
  <c r="G118" i="23"/>
  <c r="G117" i="23"/>
  <c r="G116" i="23"/>
  <c r="G115" i="23"/>
  <c r="G114" i="23"/>
  <c r="G113" i="23"/>
  <c r="G112" i="23"/>
  <c r="G111" i="23"/>
  <c r="G110" i="23"/>
  <c r="G109" i="23"/>
  <c r="G108" i="23"/>
  <c r="G107" i="23"/>
  <c r="G106" i="23"/>
  <c r="G105" i="23"/>
  <c r="G104" i="23"/>
  <c r="G103" i="23"/>
  <c r="G102" i="23"/>
  <c r="G101" i="23"/>
  <c r="G100" i="23"/>
  <c r="G99" i="23"/>
  <c r="G98" i="23"/>
  <c r="G97" i="23"/>
  <c r="G96" i="23"/>
  <c r="G95" i="23"/>
  <c r="G94" i="23"/>
  <c r="G93" i="23"/>
  <c r="G92" i="23"/>
  <c r="G91" i="23"/>
  <c r="G90" i="23"/>
  <c r="G89" i="23"/>
  <c r="G88" i="23"/>
  <c r="G87" i="23"/>
  <c r="G86" i="23"/>
  <c r="G85" i="23"/>
  <c r="G84" i="23"/>
  <c r="G83" i="23"/>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52" i="23"/>
  <c r="G51" i="23"/>
  <c r="G50" i="23"/>
  <c r="G49" i="23"/>
  <c r="G48" i="23"/>
  <c r="G47" i="23"/>
  <c r="G46" i="23"/>
  <c r="G45" i="23"/>
  <c r="G44" i="23"/>
  <c r="G43" i="23"/>
  <c r="G42" i="23"/>
  <c r="G41" i="23"/>
  <c r="G40" i="23"/>
  <c r="G39" i="23"/>
  <c r="G38" i="23"/>
  <c r="G37" i="23"/>
  <c r="G36" i="23"/>
  <c r="G35" i="23"/>
  <c r="G34" i="23"/>
  <c r="G33" i="23"/>
  <c r="G32" i="23"/>
  <c r="G13" i="23"/>
  <c r="G14" i="23"/>
  <c r="G15" i="23"/>
  <c r="G16" i="23"/>
  <c r="G17" i="23"/>
  <c r="G18" i="23"/>
  <c r="G19" i="23"/>
  <c r="G20" i="23"/>
  <c r="G21" i="23"/>
  <c r="G22" i="23"/>
  <c r="G23" i="23"/>
  <c r="G24" i="23"/>
  <c r="G25" i="23"/>
  <c r="G26" i="23"/>
  <c r="G27" i="23"/>
  <c r="G28" i="23"/>
  <c r="G29" i="23"/>
  <c r="G30" i="23"/>
  <c r="G31" i="23"/>
  <c r="D10" i="18"/>
  <c r="K5" i="22" s="1"/>
  <c r="D9" i="18"/>
  <c r="D7" i="18"/>
  <c r="D5" i="22" s="1"/>
  <c r="D4" i="5"/>
  <c r="G10" i="23"/>
  <c r="C11" i="21"/>
  <c r="G9" i="23" l="1"/>
  <c r="G8" i="23"/>
  <c r="G7" i="23"/>
  <c r="H5" i="19" a="1"/>
  <c r="H5" i="19" s="1"/>
  <c r="L22" i="3"/>
  <c r="B21" i="3"/>
  <c r="C22" i="3"/>
  <c r="C6" i="18" s="1"/>
  <c r="B20" i="3"/>
  <c r="B19" i="3"/>
  <c r="B18" i="3"/>
  <c r="B17" i="3"/>
  <c r="B16" i="3"/>
  <c r="B15" i="2" s="1"/>
  <c r="B15" i="3"/>
  <c r="B14" i="2" s="1"/>
  <c r="B14" i="3"/>
  <c r="B13" i="2" s="1"/>
  <c r="B13" i="3"/>
  <c r="B12" i="2" s="1"/>
  <c r="B12" i="3"/>
  <c r="B11" i="2" s="1"/>
  <c r="B11" i="3"/>
  <c r="B10" i="2" s="1"/>
  <c r="B10" i="3"/>
  <c r="B9" i="2" s="1"/>
  <c r="B9" i="3"/>
  <c r="B8" i="2" s="1"/>
  <c r="B8" i="3"/>
  <c r="B7" i="2" s="1"/>
  <c r="B7" i="3"/>
  <c r="B6" i="2" s="1"/>
  <c r="B6" i="3"/>
  <c r="B5" i="2" s="1"/>
  <c r="D6" i="18" l="1"/>
  <c r="B22" i="3"/>
  <c r="A4" i="9"/>
  <c r="O4" i="9" s="1"/>
  <c r="D4" i="9"/>
  <c r="E5" i="9"/>
  <c r="C5" i="9" s="1"/>
  <c r="P4" i="5"/>
  <c r="O4" i="5" s="1"/>
  <c r="E4" i="5"/>
  <c r="E5" i="5"/>
  <c r="F5" i="5" s="1"/>
  <c r="E6" i="5"/>
  <c r="F6" i="5" s="1"/>
  <c r="E7" i="5"/>
  <c r="F7" i="5" s="1"/>
  <c r="E8" i="5"/>
  <c r="F8" i="5" s="1"/>
  <c r="E9" i="5"/>
  <c r="F9" i="5" s="1"/>
  <c r="E10" i="5"/>
  <c r="F10" i="5" s="1"/>
  <c r="E11" i="5"/>
  <c r="F11" i="5" s="1"/>
  <c r="E12" i="5"/>
  <c r="F12" i="5" s="1"/>
  <c r="E13" i="5"/>
  <c r="F13" i="5" s="1"/>
  <c r="E14" i="5"/>
  <c r="F14" i="5" s="1"/>
  <c r="E15" i="5"/>
  <c r="F15" i="5" s="1"/>
  <c r="E16" i="5"/>
  <c r="F16" i="5" s="1"/>
  <c r="E17" i="5"/>
  <c r="F17" i="5" s="1"/>
  <c r="E18" i="5"/>
  <c r="F18" i="5" s="1"/>
  <c r="E19" i="5"/>
  <c r="F19" i="5" s="1"/>
  <c r="E20" i="5"/>
  <c r="F20" i="5" s="1"/>
  <c r="E21" i="5"/>
  <c r="F21" i="5" s="1"/>
  <c r="E22" i="5"/>
  <c r="F22" i="5" s="1"/>
  <c r="E23" i="5"/>
  <c r="F23" i="5" s="1"/>
  <c r="E24" i="5"/>
  <c r="F24" i="5" s="1"/>
  <c r="E25" i="5"/>
  <c r="F25" i="5" s="1"/>
  <c r="E26" i="5"/>
  <c r="F26" i="5" s="1"/>
  <c r="E27" i="5"/>
  <c r="F27" i="5" s="1"/>
  <c r="E28" i="5"/>
  <c r="F28" i="5" s="1"/>
  <c r="E29" i="5"/>
  <c r="F29" i="5" s="1"/>
  <c r="E30" i="5"/>
  <c r="F30" i="5" s="1"/>
  <c r="E31" i="5"/>
  <c r="F31" i="5" s="1"/>
  <c r="E32" i="5"/>
  <c r="F32" i="5" s="1"/>
  <c r="E33" i="5"/>
  <c r="F33" i="5" s="1"/>
  <c r="E34" i="5"/>
  <c r="F34" i="5" s="1"/>
  <c r="E35" i="5"/>
  <c r="F35" i="5" s="1"/>
  <c r="E36" i="5"/>
  <c r="F36" i="5" s="1"/>
  <c r="E37" i="5"/>
  <c r="F37" i="5" s="1"/>
  <c r="E38" i="5"/>
  <c r="F38" i="5" s="1"/>
  <c r="E39" i="5"/>
  <c r="F39" i="5" s="1"/>
  <c r="E40" i="5"/>
  <c r="F40" i="5" s="1"/>
  <c r="E41" i="5"/>
  <c r="F41" i="5" s="1"/>
  <c r="E42" i="5"/>
  <c r="F42" i="5" s="1"/>
  <c r="E43" i="5"/>
  <c r="F43" i="5" s="1"/>
  <c r="E44" i="5"/>
  <c r="F44" i="5" s="1"/>
  <c r="E45" i="5"/>
  <c r="F45" i="5" s="1"/>
  <c r="E46" i="5"/>
  <c r="F46" i="5" s="1"/>
  <c r="E47" i="5"/>
  <c r="F47" i="5" s="1"/>
  <c r="E48" i="5"/>
  <c r="F48" i="5" s="1"/>
  <c r="E49" i="5"/>
  <c r="F49" i="5" s="1"/>
  <c r="E50" i="5"/>
  <c r="F50" i="5" s="1"/>
  <c r="E51" i="5"/>
  <c r="F51" i="5" s="1"/>
  <c r="E52" i="5"/>
  <c r="F52" i="5" s="1"/>
  <c r="E53" i="5"/>
  <c r="F53" i="5" s="1"/>
  <c r="E54" i="5"/>
  <c r="F54" i="5" s="1"/>
  <c r="E55" i="5"/>
  <c r="F55" i="5" s="1"/>
  <c r="E56" i="5"/>
  <c r="F56" i="5" s="1"/>
  <c r="E57" i="5"/>
  <c r="F57" i="5" s="1"/>
  <c r="E58" i="5"/>
  <c r="F58" i="5" s="1"/>
  <c r="E59" i="5"/>
  <c r="F59" i="5" s="1"/>
  <c r="E60" i="5"/>
  <c r="F60" i="5" s="1"/>
  <c r="E61" i="5"/>
  <c r="F61" i="5" s="1"/>
  <c r="E62" i="5"/>
  <c r="F62" i="5" s="1"/>
  <c r="E63" i="5"/>
  <c r="F63" i="5" s="1"/>
  <c r="E64" i="5"/>
  <c r="F64" i="5" s="1"/>
  <c r="E65" i="5"/>
  <c r="F65" i="5" s="1"/>
  <c r="E66" i="5"/>
  <c r="F66" i="5" s="1"/>
  <c r="E67" i="5"/>
  <c r="F67" i="5" s="1"/>
  <c r="E68" i="5"/>
  <c r="F68" i="5" s="1"/>
  <c r="E69" i="5"/>
  <c r="F69" i="5" s="1"/>
  <c r="E70" i="5"/>
  <c r="F70" i="5" s="1"/>
  <c r="E71" i="5"/>
  <c r="F71" i="5" s="1"/>
  <c r="E72" i="5"/>
  <c r="F72" i="5" s="1"/>
  <c r="E73" i="5"/>
  <c r="F73" i="5" s="1"/>
  <c r="E74" i="5"/>
  <c r="F74" i="5" s="1"/>
  <c r="E75" i="5"/>
  <c r="F75" i="5" s="1"/>
  <c r="E76" i="5"/>
  <c r="F76" i="5" s="1"/>
  <c r="E77" i="5"/>
  <c r="F77" i="5" s="1"/>
  <c r="E78" i="5"/>
  <c r="F78" i="5" s="1"/>
  <c r="E79" i="5"/>
  <c r="F79" i="5" s="1"/>
  <c r="E80" i="5"/>
  <c r="F80" i="5" s="1"/>
  <c r="E81" i="5"/>
  <c r="F81" i="5" s="1"/>
  <c r="E82" i="5"/>
  <c r="F82" i="5" s="1"/>
  <c r="E83" i="5"/>
  <c r="F83" i="5" s="1"/>
  <c r="E84" i="5"/>
  <c r="F84" i="5" s="1"/>
  <c r="E85" i="5"/>
  <c r="F85" i="5" s="1"/>
  <c r="E86" i="5"/>
  <c r="F86" i="5" s="1"/>
  <c r="E87" i="5"/>
  <c r="F87" i="5" s="1"/>
  <c r="E88" i="5"/>
  <c r="F88" i="5" s="1"/>
  <c r="E89" i="5"/>
  <c r="F89" i="5" s="1"/>
  <c r="E90" i="5"/>
  <c r="F90" i="5" s="1"/>
  <c r="E91" i="5"/>
  <c r="F91" i="5" s="1"/>
  <c r="E92" i="5"/>
  <c r="F92" i="5" s="1"/>
  <c r="E93" i="5"/>
  <c r="F93" i="5" s="1"/>
  <c r="E94" i="5"/>
  <c r="F94" i="5" s="1"/>
  <c r="E95" i="5"/>
  <c r="F95" i="5" s="1"/>
  <c r="E96" i="5"/>
  <c r="F96" i="5" s="1"/>
  <c r="E97" i="5"/>
  <c r="F97" i="5" s="1"/>
  <c r="E98" i="5"/>
  <c r="F98" i="5" s="1"/>
  <c r="E99" i="5"/>
  <c r="F99" i="5" s="1"/>
  <c r="E100" i="5"/>
  <c r="F100" i="5" s="1"/>
  <c r="E101" i="5"/>
  <c r="F101" i="5" s="1"/>
  <c r="E102" i="5"/>
  <c r="F102" i="5" s="1"/>
  <c r="E103" i="5"/>
  <c r="F103" i="5" s="1"/>
  <c r="E104" i="5"/>
  <c r="F104" i="5" s="1"/>
  <c r="E105" i="5"/>
  <c r="F105" i="5" s="1"/>
  <c r="E106" i="5"/>
  <c r="F106" i="5" s="1"/>
  <c r="E107" i="5"/>
  <c r="F107" i="5" s="1"/>
  <c r="E108" i="5"/>
  <c r="F108" i="5" s="1"/>
  <c r="E109" i="5"/>
  <c r="F109" i="5" s="1"/>
  <c r="E110" i="5"/>
  <c r="F110" i="5" s="1"/>
  <c r="E111" i="5"/>
  <c r="F111" i="5" s="1"/>
  <c r="E112" i="5"/>
  <c r="F112" i="5" s="1"/>
  <c r="E113" i="5"/>
  <c r="F113" i="5" s="1"/>
  <c r="E114" i="5"/>
  <c r="F114" i="5" s="1"/>
  <c r="E115" i="5"/>
  <c r="F115" i="5" s="1"/>
  <c r="E116" i="5"/>
  <c r="F116" i="5" s="1"/>
  <c r="E117" i="5"/>
  <c r="F117" i="5" s="1"/>
  <c r="E118" i="5"/>
  <c r="F118" i="5" s="1"/>
  <c r="E119" i="5"/>
  <c r="F119" i="5" s="1"/>
  <c r="E120" i="5"/>
  <c r="F120" i="5" s="1"/>
  <c r="E121" i="5"/>
  <c r="F121" i="5" s="1"/>
  <c r="E122" i="5"/>
  <c r="F122" i="5" s="1"/>
  <c r="E123" i="5"/>
  <c r="F123" i="5" s="1"/>
  <c r="E124" i="5"/>
  <c r="F124" i="5" s="1"/>
  <c r="E125" i="5"/>
  <c r="F125" i="5" s="1"/>
  <c r="E126" i="5"/>
  <c r="F126" i="5" s="1"/>
  <c r="E127" i="5"/>
  <c r="F127" i="5" s="1"/>
  <c r="E128" i="5"/>
  <c r="F128" i="5" s="1"/>
  <c r="E129" i="5"/>
  <c r="F129" i="5" s="1"/>
  <c r="E130" i="5"/>
  <c r="F130" i="5" s="1"/>
  <c r="E131" i="5"/>
  <c r="F131" i="5" s="1"/>
  <c r="E132" i="5"/>
  <c r="F132" i="5" s="1"/>
  <c r="E133" i="5"/>
  <c r="F133" i="5" s="1"/>
  <c r="E134" i="5"/>
  <c r="F134" i="5" s="1"/>
  <c r="E135" i="5"/>
  <c r="F135" i="5" s="1"/>
  <c r="E136" i="5"/>
  <c r="F136" i="5" s="1"/>
  <c r="E137" i="5"/>
  <c r="F137" i="5" s="1"/>
  <c r="E138" i="5"/>
  <c r="F138" i="5" s="1"/>
  <c r="E139" i="5"/>
  <c r="F139" i="5" s="1"/>
  <c r="E140" i="5"/>
  <c r="F140" i="5" s="1"/>
  <c r="E141" i="5"/>
  <c r="F141" i="5" s="1"/>
  <c r="E142" i="5"/>
  <c r="F142" i="5" s="1"/>
  <c r="E143" i="5"/>
  <c r="F143" i="5" s="1"/>
  <c r="E144" i="5"/>
  <c r="F144" i="5" s="1"/>
  <c r="E145" i="5"/>
  <c r="F145" i="5" s="1"/>
  <c r="E146" i="5"/>
  <c r="F146" i="5" s="1"/>
  <c r="E147" i="5"/>
  <c r="F147" i="5" s="1"/>
  <c r="E148" i="5"/>
  <c r="F148" i="5" s="1"/>
  <c r="E149" i="5"/>
  <c r="F149" i="5" s="1"/>
  <c r="E150" i="5"/>
  <c r="F150" i="5" s="1"/>
  <c r="E151" i="5"/>
  <c r="F151" i="5" s="1"/>
  <c r="E152" i="5"/>
  <c r="F152" i="5" s="1"/>
  <c r="E153" i="5"/>
  <c r="F153" i="5" s="1"/>
  <c r="E154" i="5"/>
  <c r="F154" i="5" s="1"/>
  <c r="E155" i="5"/>
  <c r="F155" i="5" s="1"/>
  <c r="E156" i="5"/>
  <c r="F156" i="5" s="1"/>
  <c r="E157" i="5"/>
  <c r="F157" i="5" s="1"/>
  <c r="E158" i="5"/>
  <c r="F158" i="5" s="1"/>
  <c r="E159" i="5"/>
  <c r="F159" i="5" s="1"/>
  <c r="E160" i="5"/>
  <c r="F160" i="5" s="1"/>
  <c r="E161" i="5"/>
  <c r="F161" i="5" s="1"/>
  <c r="E162" i="5"/>
  <c r="F162" i="5" s="1"/>
  <c r="E163" i="5"/>
  <c r="F163" i="5" s="1"/>
  <c r="E164" i="5"/>
  <c r="F164" i="5" s="1"/>
  <c r="E165" i="5"/>
  <c r="F165" i="5" s="1"/>
  <c r="E166" i="5"/>
  <c r="F166" i="5" s="1"/>
  <c r="E167" i="5"/>
  <c r="F167" i="5" s="1"/>
  <c r="E168" i="5"/>
  <c r="F168" i="5" s="1"/>
  <c r="E169" i="5"/>
  <c r="F169" i="5" s="1"/>
  <c r="E170" i="5"/>
  <c r="F170" i="5" s="1"/>
  <c r="E171" i="5"/>
  <c r="F171" i="5" s="1"/>
  <c r="E172" i="5"/>
  <c r="F172" i="5" s="1"/>
  <c r="E173" i="5"/>
  <c r="F173" i="5" s="1"/>
  <c r="E174" i="5"/>
  <c r="F174" i="5" s="1"/>
  <c r="E175" i="5"/>
  <c r="F175" i="5" s="1"/>
  <c r="E176" i="5"/>
  <c r="F176" i="5" s="1"/>
  <c r="E177" i="5"/>
  <c r="F177" i="5" s="1"/>
  <c r="E178" i="5"/>
  <c r="F178" i="5" s="1"/>
  <c r="E179" i="5"/>
  <c r="F179" i="5" s="1"/>
  <c r="E180" i="5"/>
  <c r="F180" i="5" s="1"/>
  <c r="E181" i="5"/>
  <c r="F181" i="5" s="1"/>
  <c r="E182" i="5"/>
  <c r="F182" i="5" s="1"/>
  <c r="E183" i="5"/>
  <c r="F183" i="5" s="1"/>
  <c r="E184" i="5"/>
  <c r="F184" i="5" s="1"/>
  <c r="E185" i="5"/>
  <c r="F185" i="5" s="1"/>
  <c r="E186" i="5"/>
  <c r="F186" i="5" s="1"/>
  <c r="E187" i="5"/>
  <c r="F187" i="5" s="1"/>
  <c r="E188" i="5"/>
  <c r="F188" i="5" s="1"/>
  <c r="E189" i="5"/>
  <c r="F189" i="5" s="1"/>
  <c r="E190" i="5"/>
  <c r="F190" i="5" s="1"/>
  <c r="E191" i="5"/>
  <c r="F191" i="5" s="1"/>
  <c r="E192" i="5"/>
  <c r="F192" i="5" s="1"/>
  <c r="E193" i="5"/>
  <c r="F193" i="5" s="1"/>
  <c r="E194" i="5"/>
  <c r="F194" i="5" s="1"/>
  <c r="E195" i="5"/>
  <c r="F195" i="5" s="1"/>
  <c r="E196" i="5"/>
  <c r="F196" i="5" s="1"/>
  <c r="E197" i="5"/>
  <c r="F197" i="5" s="1"/>
  <c r="E198" i="5"/>
  <c r="F198" i="5" s="1"/>
  <c r="E199" i="5"/>
  <c r="F199" i="5" s="1"/>
  <c r="E200" i="5"/>
  <c r="F200" i="5" s="1"/>
  <c r="E201" i="5"/>
  <c r="F201" i="5" s="1"/>
  <c r="E202" i="5"/>
  <c r="F202" i="5" s="1"/>
  <c r="E203" i="5"/>
  <c r="F203" i="5" s="1"/>
  <c r="E204" i="5"/>
  <c r="F204" i="5" s="1"/>
  <c r="E205" i="5"/>
  <c r="F205" i="5" s="1"/>
  <c r="E206" i="5"/>
  <c r="F206" i="5" s="1"/>
  <c r="E207" i="5"/>
  <c r="F207" i="5" s="1"/>
  <c r="E208" i="5"/>
  <c r="F208" i="5" s="1"/>
  <c r="E209" i="5"/>
  <c r="F209" i="5" s="1"/>
  <c r="E210" i="5"/>
  <c r="F210" i="5" s="1"/>
  <c r="E211" i="5"/>
  <c r="F211" i="5" s="1"/>
  <c r="E212" i="5"/>
  <c r="F212" i="5" s="1"/>
  <c r="E213" i="5"/>
  <c r="F213" i="5" s="1"/>
  <c r="E214" i="5"/>
  <c r="F214" i="5" s="1"/>
  <c r="E215" i="5"/>
  <c r="F215" i="5" s="1"/>
  <c r="E216" i="5"/>
  <c r="F216" i="5" s="1"/>
  <c r="E217" i="5"/>
  <c r="F217" i="5" s="1"/>
  <c r="E218" i="5"/>
  <c r="F218" i="5" s="1"/>
  <c r="E219" i="5"/>
  <c r="F219" i="5" s="1"/>
  <c r="E220" i="5"/>
  <c r="F220" i="5" s="1"/>
  <c r="E221" i="5"/>
  <c r="F221" i="5" s="1"/>
  <c r="E222" i="5"/>
  <c r="F222" i="5" s="1"/>
  <c r="E223" i="5"/>
  <c r="F223" i="5" s="1"/>
  <c r="E224" i="5"/>
  <c r="F224" i="5" s="1"/>
  <c r="E225" i="5"/>
  <c r="F225" i="5" s="1"/>
  <c r="E226" i="5"/>
  <c r="F226" i="5" s="1"/>
  <c r="E227" i="5"/>
  <c r="F227" i="5" s="1"/>
  <c r="E228" i="5"/>
  <c r="F228" i="5" s="1"/>
  <c r="E229" i="5"/>
  <c r="F229" i="5" s="1"/>
  <c r="E230" i="5"/>
  <c r="F230" i="5" s="1"/>
  <c r="E231" i="5"/>
  <c r="F231" i="5" s="1"/>
  <c r="E232" i="5"/>
  <c r="F232" i="5" s="1"/>
  <c r="E233" i="5"/>
  <c r="F233" i="5" s="1"/>
  <c r="E234" i="5"/>
  <c r="F234" i="5" s="1"/>
  <c r="E235" i="5"/>
  <c r="F235" i="5" s="1"/>
  <c r="E236" i="5"/>
  <c r="F236" i="5" s="1"/>
  <c r="E237" i="5"/>
  <c r="F237" i="5" s="1"/>
  <c r="E238" i="5"/>
  <c r="F238" i="5" s="1"/>
  <c r="E239" i="5"/>
  <c r="F239" i="5" s="1"/>
  <c r="E240" i="5"/>
  <c r="F240" i="5" s="1"/>
  <c r="E241" i="5"/>
  <c r="F241" i="5" s="1"/>
  <c r="E242" i="5"/>
  <c r="F242" i="5" s="1"/>
  <c r="E243" i="5"/>
  <c r="F243" i="5" s="1"/>
  <c r="E244" i="5"/>
  <c r="F244" i="5" s="1"/>
  <c r="E245" i="5"/>
  <c r="F245" i="5" s="1"/>
  <c r="E246" i="5"/>
  <c r="F246" i="5" s="1"/>
  <c r="E247" i="5"/>
  <c r="F247" i="5" s="1"/>
  <c r="E248" i="5"/>
  <c r="F248" i="5" s="1"/>
  <c r="E249" i="5"/>
  <c r="F249" i="5" s="1"/>
  <c r="E250" i="5"/>
  <c r="F250" i="5" s="1"/>
  <c r="E251" i="5"/>
  <c r="F251" i="5" s="1"/>
  <c r="E252" i="5"/>
  <c r="F252" i="5" s="1"/>
  <c r="E253" i="5"/>
  <c r="F253" i="5" s="1"/>
  <c r="E254" i="5"/>
  <c r="F254" i="5" s="1"/>
  <c r="E255" i="5"/>
  <c r="F255" i="5" s="1"/>
  <c r="E256" i="5"/>
  <c r="F256" i="5" s="1"/>
  <c r="E257" i="5"/>
  <c r="F257" i="5" s="1"/>
  <c r="E258" i="5"/>
  <c r="F258" i="5" s="1"/>
  <c r="E259" i="5"/>
  <c r="F259" i="5" s="1"/>
  <c r="E260" i="5"/>
  <c r="F260" i="5" s="1"/>
  <c r="E261" i="5"/>
  <c r="F261" i="5" s="1"/>
  <c r="E262" i="5"/>
  <c r="F262" i="5" s="1"/>
  <c r="E263" i="5"/>
  <c r="F263" i="5" s="1"/>
  <c r="E264" i="5"/>
  <c r="F264" i="5" s="1"/>
  <c r="E265" i="5"/>
  <c r="F265" i="5" s="1"/>
  <c r="E266" i="5"/>
  <c r="F266" i="5" s="1"/>
  <c r="E267" i="5"/>
  <c r="F267" i="5" s="1"/>
  <c r="E268" i="5"/>
  <c r="F268" i="5" s="1"/>
  <c r="E269" i="5"/>
  <c r="F269" i="5" s="1"/>
  <c r="E270" i="5"/>
  <c r="F270" i="5" s="1"/>
  <c r="E271" i="5"/>
  <c r="F271" i="5" s="1"/>
  <c r="E272" i="5"/>
  <c r="F272" i="5" s="1"/>
  <c r="E273" i="5"/>
  <c r="F273" i="5" s="1"/>
  <c r="E274" i="5"/>
  <c r="F274" i="5" s="1"/>
  <c r="E275" i="5"/>
  <c r="F275" i="5" s="1"/>
  <c r="E276" i="5"/>
  <c r="F276" i="5" s="1"/>
  <c r="E277" i="5"/>
  <c r="F277" i="5" s="1"/>
  <c r="E278" i="5"/>
  <c r="F278" i="5" s="1"/>
  <c r="E279" i="5"/>
  <c r="F279" i="5" s="1"/>
  <c r="E280" i="5"/>
  <c r="F280" i="5" s="1"/>
  <c r="E281" i="5"/>
  <c r="F281" i="5" s="1"/>
  <c r="E282" i="5"/>
  <c r="F282" i="5" s="1"/>
  <c r="E283" i="5"/>
  <c r="F283" i="5" s="1"/>
  <c r="E284" i="5"/>
  <c r="F284" i="5" s="1"/>
  <c r="E285" i="5"/>
  <c r="F285" i="5" s="1"/>
  <c r="E286" i="5"/>
  <c r="F286" i="5" s="1"/>
  <c r="E287" i="5"/>
  <c r="F287" i="5" s="1"/>
  <c r="E288" i="5"/>
  <c r="F288" i="5" s="1"/>
  <c r="E289" i="5"/>
  <c r="F289" i="5" s="1"/>
  <c r="E290" i="5"/>
  <c r="F290" i="5" s="1"/>
  <c r="E291" i="5"/>
  <c r="F291" i="5" s="1"/>
  <c r="E292" i="5"/>
  <c r="F292" i="5" s="1"/>
  <c r="E293" i="5"/>
  <c r="F293" i="5" s="1"/>
  <c r="E294" i="5"/>
  <c r="F294" i="5" s="1"/>
  <c r="E295" i="5"/>
  <c r="F295" i="5" s="1"/>
  <c r="E296" i="5"/>
  <c r="F296" i="5" s="1"/>
  <c r="E297" i="5"/>
  <c r="F297" i="5" s="1"/>
  <c r="E298" i="5"/>
  <c r="F298" i="5" s="1"/>
  <c r="E299" i="5"/>
  <c r="F299" i="5" s="1"/>
  <c r="E300" i="5"/>
  <c r="F300" i="5" s="1"/>
  <c r="E301" i="5"/>
  <c r="F301" i="5" s="1"/>
  <c r="E302" i="5"/>
  <c r="F302" i="5" s="1"/>
  <c r="E303" i="5"/>
  <c r="F303" i="5" s="1"/>
  <c r="E304" i="5"/>
  <c r="F304" i="5" s="1"/>
  <c r="E305" i="5"/>
  <c r="F305" i="5" s="1"/>
  <c r="E306" i="5"/>
  <c r="F306" i="5" s="1"/>
  <c r="E307" i="5"/>
  <c r="F307" i="5" s="1"/>
  <c r="E308" i="5"/>
  <c r="F308" i="5" s="1"/>
  <c r="E309" i="5"/>
  <c r="F309" i="5" s="1"/>
  <c r="E310" i="5"/>
  <c r="F310" i="5" s="1"/>
  <c r="E311" i="5"/>
  <c r="F311" i="5" s="1"/>
  <c r="E312" i="5"/>
  <c r="F312" i="5" s="1"/>
  <c r="E313" i="5"/>
  <c r="F313" i="5" s="1"/>
  <c r="E314" i="5"/>
  <c r="F314" i="5" s="1"/>
  <c r="E315" i="5"/>
  <c r="F315" i="5" s="1"/>
  <c r="E316" i="5"/>
  <c r="F316" i="5" s="1"/>
  <c r="E317" i="5"/>
  <c r="F317" i="5" s="1"/>
  <c r="E318" i="5"/>
  <c r="F318" i="5" s="1"/>
  <c r="E319" i="5"/>
  <c r="F319" i="5" s="1"/>
  <c r="E320" i="5"/>
  <c r="F320" i="5" s="1"/>
  <c r="E321" i="5"/>
  <c r="F321" i="5" s="1"/>
  <c r="E322" i="5"/>
  <c r="F322" i="5" s="1"/>
  <c r="E323" i="5"/>
  <c r="F323" i="5" s="1"/>
  <c r="E324" i="5"/>
  <c r="F324" i="5" s="1"/>
  <c r="E325" i="5"/>
  <c r="F325" i="5" s="1"/>
  <c r="E326" i="5"/>
  <c r="F326" i="5" s="1"/>
  <c r="E327" i="5"/>
  <c r="F327" i="5" s="1"/>
  <c r="E328" i="5"/>
  <c r="F328" i="5" s="1"/>
  <c r="E329" i="5"/>
  <c r="F329" i="5" s="1"/>
  <c r="E330" i="5"/>
  <c r="F330" i="5" s="1"/>
  <c r="E331" i="5"/>
  <c r="F331" i="5" s="1"/>
  <c r="E332" i="5"/>
  <c r="F332" i="5" s="1"/>
  <c r="E333" i="5"/>
  <c r="F333" i="5" s="1"/>
  <c r="E334" i="5"/>
  <c r="F334" i="5" s="1"/>
  <c r="E335" i="5"/>
  <c r="F335" i="5" s="1"/>
  <c r="E336" i="5"/>
  <c r="F336" i="5" s="1"/>
  <c r="E337" i="5"/>
  <c r="F337" i="5" s="1"/>
  <c r="E338" i="5"/>
  <c r="F338" i="5" s="1"/>
  <c r="E339" i="5"/>
  <c r="F339" i="5" s="1"/>
  <c r="E340" i="5"/>
  <c r="F340" i="5" s="1"/>
  <c r="E341" i="5"/>
  <c r="F341" i="5" s="1"/>
  <c r="E342" i="5"/>
  <c r="F342" i="5" s="1"/>
  <c r="E343" i="5"/>
  <c r="F343" i="5" s="1"/>
  <c r="E344" i="5"/>
  <c r="F344" i="5" s="1"/>
  <c r="E345" i="5"/>
  <c r="F345" i="5" s="1"/>
  <c r="E346" i="5"/>
  <c r="F346" i="5" s="1"/>
  <c r="E347" i="5"/>
  <c r="F347" i="5" s="1"/>
  <c r="E348" i="5"/>
  <c r="F348" i="5" s="1"/>
  <c r="E349" i="5"/>
  <c r="F349" i="5" s="1"/>
  <c r="E350" i="5"/>
  <c r="F350" i="5" s="1"/>
  <c r="E351" i="5"/>
  <c r="F351" i="5" s="1"/>
  <c r="E352" i="5"/>
  <c r="F352" i="5" s="1"/>
  <c r="E353" i="5"/>
  <c r="F353" i="5" s="1"/>
  <c r="E354" i="5"/>
  <c r="F354" i="5" s="1"/>
  <c r="E355" i="5"/>
  <c r="F355" i="5" s="1"/>
  <c r="E356" i="5"/>
  <c r="F356" i="5" s="1"/>
  <c r="E357" i="5"/>
  <c r="F357" i="5" s="1"/>
  <c r="E358" i="5"/>
  <c r="F358" i="5" s="1"/>
  <c r="E359" i="5"/>
  <c r="F359" i="5" s="1"/>
  <c r="E360" i="5"/>
  <c r="F360" i="5" s="1"/>
  <c r="E361" i="5"/>
  <c r="F361" i="5" s="1"/>
  <c r="E362" i="5"/>
  <c r="F362" i="5" s="1"/>
  <c r="E363" i="5"/>
  <c r="F363" i="5" s="1"/>
  <c r="E364" i="5"/>
  <c r="F364" i="5" s="1"/>
  <c r="E365" i="5"/>
  <c r="F365" i="5" s="1"/>
  <c r="E366" i="5"/>
  <c r="F366" i="5" s="1"/>
  <c r="E367" i="5"/>
  <c r="F367" i="5" s="1"/>
  <c r="E368" i="5"/>
  <c r="F368" i="5" s="1"/>
  <c r="E369" i="5"/>
  <c r="F369" i="5" s="1"/>
  <c r="E370" i="5"/>
  <c r="F370" i="5" s="1"/>
  <c r="E371" i="5"/>
  <c r="F371" i="5" s="1"/>
  <c r="E372" i="5"/>
  <c r="F372" i="5" s="1"/>
  <c r="E373" i="5"/>
  <c r="F373" i="5" s="1"/>
  <c r="E374" i="5"/>
  <c r="F374" i="5" s="1"/>
  <c r="E375" i="5"/>
  <c r="F375" i="5" s="1"/>
  <c r="E376" i="5"/>
  <c r="F376" i="5" s="1"/>
  <c r="E377" i="5"/>
  <c r="F377" i="5" s="1"/>
  <c r="E378" i="5"/>
  <c r="F378" i="5" s="1"/>
  <c r="E379" i="5"/>
  <c r="F379" i="5" s="1"/>
  <c r="E380" i="5"/>
  <c r="F380" i="5" s="1"/>
  <c r="E381" i="5"/>
  <c r="F381" i="5" s="1"/>
  <c r="E382" i="5"/>
  <c r="F382" i="5" s="1"/>
  <c r="E383" i="5"/>
  <c r="F383" i="5" s="1"/>
  <c r="E384" i="5"/>
  <c r="F384" i="5" s="1"/>
  <c r="E385" i="5"/>
  <c r="F385" i="5" s="1"/>
  <c r="E386" i="5"/>
  <c r="F386" i="5" s="1"/>
  <c r="E387" i="5"/>
  <c r="F387" i="5" s="1"/>
  <c r="E388" i="5"/>
  <c r="F388" i="5" s="1"/>
  <c r="E389" i="5"/>
  <c r="F389" i="5" s="1"/>
  <c r="E390" i="5"/>
  <c r="F390" i="5" s="1"/>
  <c r="E391" i="5"/>
  <c r="F391" i="5" s="1"/>
  <c r="E392" i="5"/>
  <c r="F392" i="5" s="1"/>
  <c r="E393" i="5"/>
  <c r="F393" i="5" s="1"/>
  <c r="E394" i="5"/>
  <c r="F394" i="5" s="1"/>
  <c r="E395" i="5"/>
  <c r="F395" i="5" s="1"/>
  <c r="E396" i="5"/>
  <c r="F396" i="5" s="1"/>
  <c r="E397" i="5"/>
  <c r="F397" i="5" s="1"/>
  <c r="E398" i="5"/>
  <c r="F398" i="5" s="1"/>
  <c r="E399" i="5"/>
  <c r="F399" i="5" s="1"/>
  <c r="E400" i="5"/>
  <c r="F400" i="5" s="1"/>
  <c r="E401" i="5"/>
  <c r="F401" i="5" s="1"/>
  <c r="E402" i="5"/>
  <c r="F402" i="5" s="1"/>
  <c r="E403" i="5"/>
  <c r="F403" i="5" s="1"/>
  <c r="E404" i="5"/>
  <c r="F404" i="5" s="1"/>
  <c r="E405" i="5"/>
  <c r="F405" i="5" s="1"/>
  <c r="E406" i="5"/>
  <c r="F406" i="5" s="1"/>
  <c r="E407" i="5"/>
  <c r="F407" i="5" s="1"/>
  <c r="E408" i="5"/>
  <c r="F408" i="5" s="1"/>
  <c r="E409" i="5"/>
  <c r="F409" i="5" s="1"/>
  <c r="E410" i="5"/>
  <c r="F410" i="5" s="1"/>
  <c r="E411" i="5"/>
  <c r="F411" i="5" s="1"/>
  <c r="E412" i="5"/>
  <c r="F412" i="5" s="1"/>
  <c r="E413" i="5"/>
  <c r="F413" i="5" s="1"/>
  <c r="E414" i="5"/>
  <c r="F414" i="5" s="1"/>
  <c r="E415" i="5"/>
  <c r="F415" i="5" s="1"/>
  <c r="E416" i="5"/>
  <c r="F416" i="5" s="1"/>
  <c r="E417" i="5"/>
  <c r="F417" i="5" s="1"/>
  <c r="E418" i="5"/>
  <c r="F418" i="5" s="1"/>
  <c r="E419" i="5"/>
  <c r="F419" i="5" s="1"/>
  <c r="E420" i="5"/>
  <c r="F420" i="5" s="1"/>
  <c r="E421" i="5"/>
  <c r="F421" i="5" s="1"/>
  <c r="E422" i="5"/>
  <c r="F422" i="5" s="1"/>
  <c r="E423" i="5"/>
  <c r="F423" i="5" s="1"/>
  <c r="E424" i="5"/>
  <c r="F424" i="5" s="1"/>
  <c r="E425" i="5"/>
  <c r="F425" i="5" s="1"/>
  <c r="E426" i="5"/>
  <c r="F426" i="5" s="1"/>
  <c r="E427" i="5"/>
  <c r="F427" i="5" s="1"/>
  <c r="E428" i="5"/>
  <c r="F428" i="5" s="1"/>
  <c r="E429" i="5"/>
  <c r="F429" i="5" s="1"/>
  <c r="E430" i="5"/>
  <c r="F430" i="5" s="1"/>
  <c r="E431" i="5"/>
  <c r="F431" i="5" s="1"/>
  <c r="E432" i="5"/>
  <c r="F432" i="5" s="1"/>
  <c r="E433" i="5"/>
  <c r="F433" i="5" s="1"/>
  <c r="E434" i="5"/>
  <c r="F434" i="5" s="1"/>
  <c r="E435" i="5"/>
  <c r="F435" i="5" s="1"/>
  <c r="E436" i="5"/>
  <c r="F436" i="5" s="1"/>
  <c r="E437" i="5"/>
  <c r="F437" i="5" s="1"/>
  <c r="E438" i="5"/>
  <c r="F438" i="5" s="1"/>
  <c r="E439" i="5"/>
  <c r="F439" i="5" s="1"/>
  <c r="E440" i="5"/>
  <c r="F440" i="5" s="1"/>
  <c r="E441" i="5"/>
  <c r="F441" i="5" s="1"/>
  <c r="E442" i="5"/>
  <c r="F442" i="5" s="1"/>
  <c r="E443" i="5"/>
  <c r="F443" i="5" s="1"/>
  <c r="E444" i="5"/>
  <c r="F444" i="5" s="1"/>
  <c r="E445" i="5"/>
  <c r="F445" i="5" s="1"/>
  <c r="E446" i="5"/>
  <c r="F446" i="5" s="1"/>
  <c r="E447" i="5"/>
  <c r="F447" i="5" s="1"/>
  <c r="E448" i="5"/>
  <c r="F448" i="5" s="1"/>
  <c r="E449" i="5"/>
  <c r="F449" i="5" s="1"/>
  <c r="E450" i="5"/>
  <c r="F450" i="5" s="1"/>
  <c r="E451" i="5"/>
  <c r="F451" i="5" s="1"/>
  <c r="E452" i="5"/>
  <c r="F452" i="5" s="1"/>
  <c r="E453" i="5"/>
  <c r="F453" i="5" s="1"/>
  <c r="E454" i="5"/>
  <c r="F454" i="5" s="1"/>
  <c r="E455" i="5"/>
  <c r="F455" i="5" s="1"/>
  <c r="E456" i="5"/>
  <c r="F456" i="5" s="1"/>
  <c r="E457" i="5"/>
  <c r="F457" i="5" s="1"/>
  <c r="E458" i="5"/>
  <c r="F458" i="5" s="1"/>
  <c r="E459" i="5"/>
  <c r="F459" i="5" s="1"/>
  <c r="E460" i="5"/>
  <c r="F460" i="5" s="1"/>
  <c r="E461" i="5"/>
  <c r="F461" i="5" s="1"/>
  <c r="E462" i="5"/>
  <c r="F462" i="5" s="1"/>
  <c r="E463" i="5"/>
  <c r="F463" i="5" s="1"/>
  <c r="E464" i="5"/>
  <c r="F464" i="5" s="1"/>
  <c r="E465" i="5"/>
  <c r="F465" i="5" s="1"/>
  <c r="E466" i="5"/>
  <c r="F466" i="5" s="1"/>
  <c r="E467" i="5"/>
  <c r="F467" i="5" s="1"/>
  <c r="E468" i="5"/>
  <c r="F468" i="5" s="1"/>
  <c r="E469" i="5"/>
  <c r="F469" i="5" s="1"/>
  <c r="E470" i="5"/>
  <c r="F470" i="5" s="1"/>
  <c r="E471" i="5"/>
  <c r="F471" i="5" s="1"/>
  <c r="E472" i="5"/>
  <c r="F472" i="5" s="1"/>
  <c r="E473" i="5"/>
  <c r="F473" i="5" s="1"/>
  <c r="E474" i="5"/>
  <c r="F474" i="5" s="1"/>
  <c r="E475" i="5"/>
  <c r="F475" i="5" s="1"/>
  <c r="E476" i="5"/>
  <c r="F476" i="5" s="1"/>
  <c r="E477" i="5"/>
  <c r="F477" i="5" s="1"/>
  <c r="E478" i="5"/>
  <c r="F478" i="5" s="1"/>
  <c r="E479" i="5"/>
  <c r="F479" i="5" s="1"/>
  <c r="E480" i="5"/>
  <c r="F480" i="5" s="1"/>
  <c r="E481" i="5"/>
  <c r="F481" i="5" s="1"/>
  <c r="E482" i="5"/>
  <c r="F482" i="5" s="1"/>
  <c r="E483" i="5"/>
  <c r="F483" i="5" s="1"/>
  <c r="E484" i="5"/>
  <c r="F484" i="5" s="1"/>
  <c r="E485" i="5"/>
  <c r="F485" i="5" s="1"/>
  <c r="E486" i="5"/>
  <c r="F486" i="5" s="1"/>
  <c r="E487" i="5"/>
  <c r="F487" i="5" s="1"/>
  <c r="E488" i="5"/>
  <c r="F488" i="5" s="1"/>
  <c r="E489" i="5"/>
  <c r="F489" i="5" s="1"/>
  <c r="E490" i="5"/>
  <c r="F490" i="5" s="1"/>
  <c r="E491" i="5"/>
  <c r="F491" i="5" s="1"/>
  <c r="E492" i="5"/>
  <c r="F492" i="5" s="1"/>
  <c r="E493" i="5"/>
  <c r="F493" i="5" s="1"/>
  <c r="E494" i="5"/>
  <c r="F494" i="5" s="1"/>
  <c r="E495" i="5"/>
  <c r="F495" i="5" s="1"/>
  <c r="E496" i="5"/>
  <c r="F496" i="5" s="1"/>
  <c r="E497" i="5"/>
  <c r="F497" i="5" s="1"/>
  <c r="E498" i="5"/>
  <c r="F498" i="5" s="1"/>
  <c r="E499" i="5"/>
  <c r="F499" i="5" s="1"/>
  <c r="E500" i="5"/>
  <c r="F500" i="5" s="1"/>
  <c r="E501" i="5"/>
  <c r="F501" i="5" s="1"/>
  <c r="E502" i="5"/>
  <c r="F502" i="5" s="1"/>
  <c r="E503" i="5"/>
  <c r="F503" i="5" s="1"/>
  <c r="E504" i="5"/>
  <c r="F504" i="5" s="1"/>
  <c r="E505" i="5"/>
  <c r="F505" i="5" s="1"/>
  <c r="E506" i="5"/>
  <c r="F506" i="5" s="1"/>
  <c r="E507" i="5"/>
  <c r="F507" i="5" s="1"/>
  <c r="E508" i="5"/>
  <c r="F508" i="5" s="1"/>
  <c r="E509" i="5"/>
  <c r="F509" i="5" s="1"/>
  <c r="E510" i="5"/>
  <c r="F510" i="5" s="1"/>
  <c r="E511" i="5"/>
  <c r="F511" i="5" s="1"/>
  <c r="E512" i="5"/>
  <c r="F512" i="5" s="1"/>
  <c r="E513" i="5"/>
  <c r="F513" i="5" s="1"/>
  <c r="E514" i="5"/>
  <c r="F514" i="5" s="1"/>
  <c r="E515" i="5"/>
  <c r="F515" i="5" s="1"/>
  <c r="E516" i="5"/>
  <c r="F516" i="5" s="1"/>
  <c r="E517" i="5"/>
  <c r="F517" i="5" s="1"/>
  <c r="E518" i="5"/>
  <c r="F518" i="5" s="1"/>
  <c r="E519" i="5"/>
  <c r="F519" i="5" s="1"/>
  <c r="E520" i="5"/>
  <c r="F520" i="5" s="1"/>
  <c r="E521" i="5"/>
  <c r="F521" i="5" s="1"/>
  <c r="E522" i="5"/>
  <c r="F522" i="5" s="1"/>
  <c r="E523" i="5"/>
  <c r="F523" i="5" s="1"/>
  <c r="E524" i="5"/>
  <c r="F524" i="5" s="1"/>
  <c r="E525" i="5"/>
  <c r="F525" i="5" s="1"/>
  <c r="E526" i="5"/>
  <c r="F526" i="5" s="1"/>
  <c r="E527" i="5"/>
  <c r="F527" i="5" s="1"/>
  <c r="E528" i="5"/>
  <c r="F528" i="5" s="1"/>
  <c r="E529" i="5"/>
  <c r="F529" i="5" s="1"/>
  <c r="E530" i="5"/>
  <c r="F530" i="5" s="1"/>
  <c r="E531" i="5"/>
  <c r="F531" i="5" s="1"/>
  <c r="E532" i="5"/>
  <c r="F532" i="5" s="1"/>
  <c r="E533" i="5"/>
  <c r="F533" i="5" s="1"/>
  <c r="E534" i="5"/>
  <c r="F534" i="5" s="1"/>
  <c r="E535" i="5"/>
  <c r="F535" i="5" s="1"/>
  <c r="E536" i="5"/>
  <c r="F536" i="5" s="1"/>
  <c r="E537" i="5"/>
  <c r="F537" i="5" s="1"/>
  <c r="E538" i="5"/>
  <c r="F538" i="5" s="1"/>
  <c r="E539" i="5"/>
  <c r="F539" i="5" s="1"/>
  <c r="E540" i="5"/>
  <c r="F540" i="5" s="1"/>
  <c r="E541" i="5"/>
  <c r="F541" i="5" s="1"/>
  <c r="E542" i="5"/>
  <c r="F542" i="5" s="1"/>
  <c r="E543" i="5"/>
  <c r="F543" i="5" s="1"/>
  <c r="E544" i="5"/>
  <c r="F544" i="5" s="1"/>
  <c r="E545" i="5"/>
  <c r="F545" i="5" s="1"/>
  <c r="E546" i="5"/>
  <c r="F546" i="5" s="1"/>
  <c r="E547" i="5"/>
  <c r="F547" i="5" s="1"/>
  <c r="E548" i="5"/>
  <c r="F548" i="5" s="1"/>
  <c r="E549" i="5"/>
  <c r="F549" i="5" s="1"/>
  <c r="E550" i="5"/>
  <c r="F550" i="5" s="1"/>
  <c r="E551" i="5"/>
  <c r="F551" i="5" s="1"/>
  <c r="E552" i="5"/>
  <c r="F552" i="5" s="1"/>
  <c r="E553" i="5"/>
  <c r="F553" i="5" s="1"/>
  <c r="E554" i="5"/>
  <c r="F554" i="5" s="1"/>
  <c r="E555" i="5"/>
  <c r="F555" i="5" s="1"/>
  <c r="E556" i="5"/>
  <c r="F556" i="5" s="1"/>
  <c r="E557" i="5"/>
  <c r="F557" i="5" s="1"/>
  <c r="E558" i="5"/>
  <c r="F558" i="5" s="1"/>
  <c r="E559" i="5"/>
  <c r="F559" i="5" s="1"/>
  <c r="E560" i="5"/>
  <c r="F560" i="5" s="1"/>
  <c r="E561" i="5"/>
  <c r="F561" i="5" s="1"/>
  <c r="E562" i="5"/>
  <c r="F562" i="5" s="1"/>
  <c r="E563" i="5"/>
  <c r="F563" i="5" s="1"/>
  <c r="E564" i="5"/>
  <c r="F564" i="5" s="1"/>
  <c r="E565" i="5"/>
  <c r="F565" i="5" s="1"/>
  <c r="E566" i="5"/>
  <c r="F566" i="5" s="1"/>
  <c r="E567" i="5"/>
  <c r="F567" i="5" s="1"/>
  <c r="E568" i="5"/>
  <c r="F568" i="5" s="1"/>
  <c r="E569" i="5"/>
  <c r="F569" i="5" s="1"/>
  <c r="E570" i="5"/>
  <c r="F570" i="5" s="1"/>
  <c r="E571" i="5"/>
  <c r="F571" i="5" s="1"/>
  <c r="E572" i="5"/>
  <c r="F572" i="5" s="1"/>
  <c r="E573" i="5"/>
  <c r="F573" i="5" s="1"/>
  <c r="E574" i="5"/>
  <c r="F574" i="5" s="1"/>
  <c r="E575" i="5"/>
  <c r="F575" i="5" s="1"/>
  <c r="E576" i="5"/>
  <c r="F576" i="5" s="1"/>
  <c r="E577" i="5"/>
  <c r="F577" i="5" s="1"/>
  <c r="E578" i="5"/>
  <c r="F578" i="5" s="1"/>
  <c r="E579" i="5"/>
  <c r="F579" i="5" s="1"/>
  <c r="E580" i="5"/>
  <c r="F580" i="5" s="1"/>
  <c r="E581" i="5"/>
  <c r="F581" i="5" s="1"/>
  <c r="E582" i="5"/>
  <c r="F582" i="5" s="1"/>
  <c r="E583" i="5"/>
  <c r="F583" i="5" s="1"/>
  <c r="E584" i="5"/>
  <c r="F584" i="5" s="1"/>
  <c r="E585" i="5"/>
  <c r="F585" i="5" s="1"/>
  <c r="E586" i="5"/>
  <c r="F586" i="5" s="1"/>
  <c r="E587" i="5"/>
  <c r="F587" i="5" s="1"/>
  <c r="E588" i="5"/>
  <c r="F588" i="5" s="1"/>
  <c r="E589" i="5"/>
  <c r="F589" i="5" s="1"/>
  <c r="E590" i="5"/>
  <c r="F590" i="5" s="1"/>
  <c r="E591" i="5"/>
  <c r="F591" i="5" s="1"/>
  <c r="E592" i="5"/>
  <c r="F592" i="5" s="1"/>
  <c r="E593" i="5"/>
  <c r="F593" i="5" s="1"/>
  <c r="E594" i="5"/>
  <c r="F594" i="5" s="1"/>
  <c r="E595" i="5"/>
  <c r="F595" i="5" s="1"/>
  <c r="E596" i="5"/>
  <c r="F596" i="5" s="1"/>
  <c r="E597" i="5"/>
  <c r="F597" i="5" s="1"/>
  <c r="E598" i="5"/>
  <c r="F598" i="5" s="1"/>
  <c r="E599" i="5"/>
  <c r="F599" i="5" s="1"/>
  <c r="E600" i="5"/>
  <c r="F600" i="5" s="1"/>
  <c r="E601" i="5"/>
  <c r="F601" i="5" s="1"/>
  <c r="E602" i="5"/>
  <c r="F602" i="5" s="1"/>
  <c r="E603" i="5"/>
  <c r="F603" i="5" s="1"/>
  <c r="K4" i="5"/>
  <c r="L4" i="5" s="1"/>
  <c r="F7" i="16"/>
  <c r="N5" i="22"/>
  <c r="F4" i="5" l="1"/>
  <c r="D5" i="9"/>
  <c r="A5" i="9"/>
  <c r="F5" i="9" s="1"/>
  <c r="F4" i="9"/>
  <c r="N4" i="9"/>
  <c r="H4" i="9"/>
  <c r="P4" i="9"/>
  <c r="J4" i="9"/>
  <c r="R4" i="9"/>
  <c r="S4" i="9"/>
  <c r="G4" i="9"/>
  <c r="T4" i="9"/>
  <c r="I4" i="9"/>
  <c r="U4" i="9"/>
  <c r="K4" i="9"/>
  <c r="L4" i="9"/>
  <c r="M4" i="9"/>
  <c r="Q4" i="9"/>
  <c r="B10" i="17"/>
  <c r="C9" i="22"/>
  <c r="D9" i="22"/>
  <c r="C10" i="22"/>
  <c r="D10" i="22"/>
  <c r="E10" i="22"/>
  <c r="F10" i="22"/>
  <c r="C11" i="22"/>
  <c r="D11" i="22"/>
  <c r="E11" i="22"/>
  <c r="F11" i="22"/>
  <c r="G11" i="22"/>
  <c r="G10" i="22"/>
  <c r="G9" i="22"/>
  <c r="E9" i="22"/>
  <c r="F9" i="22"/>
  <c r="E5" i="22"/>
  <c r="G5" i="22"/>
  <c r="C5" i="22"/>
  <c r="I5" i="22" l="1"/>
  <c r="H5" i="22"/>
  <c r="S5" i="9"/>
  <c r="Q5" i="9"/>
  <c r="K5" i="9"/>
  <c r="I5" i="9"/>
  <c r="O5" i="9"/>
  <c r="J5" i="9"/>
  <c r="P5" i="9"/>
  <c r="N5" i="9"/>
  <c r="M5" i="9"/>
  <c r="L5" i="9"/>
  <c r="H5" i="9"/>
  <c r="U5" i="9"/>
  <c r="G5" i="9"/>
  <c r="T5" i="9"/>
  <c r="R5" i="9"/>
  <c r="V4" i="9"/>
  <c r="H9" i="22"/>
  <c r="A10" i="22"/>
  <c r="A11" i="22"/>
  <c r="H10" i="22"/>
  <c r="A9" i="22"/>
  <c r="H11" i="22"/>
  <c r="M22" i="3"/>
  <c r="N22" i="3"/>
  <c r="O22" i="3"/>
  <c r="P22" i="3"/>
  <c r="Q22" i="3"/>
  <c r="R22" i="3"/>
  <c r="S22" i="3"/>
  <c r="T22" i="3"/>
  <c r="U22" i="3"/>
  <c r="V22" i="3"/>
  <c r="W22" i="3"/>
  <c r="X22" i="3"/>
  <c r="Y22" i="3"/>
  <c r="Z22" i="3"/>
  <c r="AA22" i="3"/>
  <c r="AB22" i="3"/>
  <c r="AC22" i="3"/>
  <c r="AD22" i="3"/>
  <c r="AE22" i="3"/>
  <c r="AF22" i="3"/>
  <c r="AG22" i="3"/>
  <c r="AH22" i="3"/>
  <c r="AI22" i="3"/>
  <c r="AJ22" i="3"/>
  <c r="AK22" i="3"/>
  <c r="AL22" i="3"/>
  <c r="AM22" i="3"/>
  <c r="AN22" i="3"/>
  <c r="AO22" i="3"/>
  <c r="AP22" i="3"/>
  <c r="AQ22" i="3"/>
  <c r="AR22" i="3"/>
  <c r="AS22" i="3"/>
  <c r="AT22" i="3"/>
  <c r="AU22" i="3"/>
  <c r="AV22" i="3"/>
  <c r="AW22" i="3"/>
  <c r="AX22" i="3"/>
  <c r="AY22" i="3"/>
  <c r="AZ22" i="3"/>
  <c r="BA22" i="3"/>
  <c r="BB22" i="3"/>
  <c r="BC22" i="3"/>
  <c r="BD22" i="3"/>
  <c r="BE22" i="3"/>
  <c r="BF22" i="3"/>
  <c r="BG22" i="3"/>
  <c r="BH22" i="3"/>
  <c r="BI22" i="3"/>
  <c r="BJ22" i="3"/>
  <c r="BK22" i="3"/>
  <c r="BL22" i="3"/>
  <c r="BM22" i="3"/>
  <c r="BN22" i="3"/>
  <c r="BO22" i="3"/>
  <c r="BP22" i="3"/>
  <c r="BQ22" i="3"/>
  <c r="BR22" i="3"/>
  <c r="BS22" i="3"/>
  <c r="BT22" i="3"/>
  <c r="BU22" i="3"/>
  <c r="BV22" i="3"/>
  <c r="BW22" i="3"/>
  <c r="BX22" i="3"/>
  <c r="BY22" i="3"/>
  <c r="BZ22" i="3"/>
  <c r="CA22" i="3"/>
  <c r="CB22" i="3"/>
  <c r="CC22" i="3"/>
  <c r="CD22" i="3"/>
  <c r="CE22" i="3"/>
  <c r="CF22" i="3"/>
  <c r="CG22" i="3"/>
  <c r="CH22" i="3"/>
  <c r="CI22" i="3"/>
  <c r="CJ22" i="3"/>
  <c r="CK22" i="3"/>
  <c r="CL22" i="3"/>
  <c r="CM22" i="3"/>
  <c r="CN22" i="3"/>
  <c r="CO22" i="3"/>
  <c r="CP22" i="3"/>
  <c r="CQ22" i="3"/>
  <c r="CR22" i="3"/>
  <c r="CS22" i="3"/>
  <c r="CT22" i="3"/>
  <c r="CU22" i="3"/>
  <c r="CV22" i="3"/>
  <c r="CW22" i="3"/>
  <c r="CX22" i="3"/>
  <c r="CY22" i="3"/>
  <c r="CZ22" i="3"/>
  <c r="DA22" i="3"/>
  <c r="DB22" i="3"/>
  <c r="DC22" i="3"/>
  <c r="DD22" i="3"/>
  <c r="DE22" i="3"/>
  <c r="DF22" i="3"/>
  <c r="DG22" i="3"/>
  <c r="DH22" i="3"/>
  <c r="DI22" i="3"/>
  <c r="DJ22" i="3"/>
  <c r="DK22" i="3"/>
  <c r="DL22" i="3"/>
  <c r="DM22" i="3"/>
  <c r="DN22" i="3"/>
  <c r="DO22" i="3"/>
  <c r="DP22" i="3"/>
  <c r="DQ22" i="3"/>
  <c r="DR22" i="3"/>
  <c r="DS22" i="3"/>
  <c r="DT22" i="3"/>
  <c r="DU22" i="3"/>
  <c r="DV22" i="3"/>
  <c r="DW22" i="3"/>
  <c r="N4" i="16"/>
  <c r="N5" i="16" s="1"/>
  <c r="N6" i="16" s="1"/>
  <c r="N7" i="16" s="1"/>
  <c r="N8" i="16" s="1"/>
  <c r="N9" i="16" s="1"/>
  <c r="N10" i="16" s="1"/>
  <c r="N11" i="16" s="1"/>
  <c r="N12" i="16" s="1"/>
  <c r="N13" i="16" s="1"/>
  <c r="N14" i="16" s="1"/>
  <c r="N15" i="16" s="1"/>
  <c r="C6" i="21"/>
  <c r="C7" i="21"/>
  <c r="C8" i="21" a="1"/>
  <c r="C8" i="21" s="1"/>
  <c r="B10" i="21"/>
  <c r="B9" i="21"/>
  <c r="D5" i="3"/>
  <c r="D11" i="18"/>
  <c r="D8" i="18"/>
  <c r="F5" i="22" s="1"/>
  <c r="A12" i="18"/>
  <c r="U604" i="19" a="1"/>
  <c r="U604" i="19" s="1"/>
  <c r="T604" i="19" a="1"/>
  <c r="T604" i="19" s="1"/>
  <c r="S604" i="19" a="1"/>
  <c r="S604" i="19" s="1"/>
  <c r="Q604" i="19" a="1"/>
  <c r="Q604" i="19" s="1"/>
  <c r="P604" i="19"/>
  <c r="O604" i="19" a="1"/>
  <c r="O604" i="19" s="1"/>
  <c r="N604" i="19" a="1"/>
  <c r="N604" i="19" s="1"/>
  <c r="L604" i="19" a="1"/>
  <c r="L604" i="19" s="1"/>
  <c r="K604" i="19"/>
  <c r="J604" i="19" a="1"/>
  <c r="J604" i="19" s="1"/>
  <c r="I604" i="19" a="1"/>
  <c r="I604" i="19" s="1"/>
  <c r="H604" i="19" a="1"/>
  <c r="H604" i="19" s="1"/>
  <c r="G604" i="19" a="1"/>
  <c r="G604" i="19" s="1"/>
  <c r="F604" i="19" a="1"/>
  <c r="F604" i="19" s="1"/>
  <c r="E604" i="19" a="1"/>
  <c r="E604" i="19" s="1"/>
  <c r="D604" i="19" a="1"/>
  <c r="D604" i="19" s="1"/>
  <c r="C604" i="19" a="1"/>
  <c r="C604" i="19" s="1"/>
  <c r="B604" i="19" a="1"/>
  <c r="B604" i="19" s="1"/>
  <c r="U603" i="19" a="1"/>
  <c r="U603" i="19" s="1"/>
  <c r="T603" i="19" a="1"/>
  <c r="T603" i="19" s="1"/>
  <c r="S603" i="19" a="1"/>
  <c r="S603" i="19" s="1"/>
  <c r="Q603" i="19" a="1"/>
  <c r="Q603" i="19" s="1"/>
  <c r="P603" i="19"/>
  <c r="O603" i="19" a="1"/>
  <c r="O603" i="19" s="1"/>
  <c r="N603" i="19" a="1"/>
  <c r="N603" i="19" s="1"/>
  <c r="L603" i="19" a="1"/>
  <c r="L603" i="19" s="1"/>
  <c r="K603" i="19"/>
  <c r="J603" i="19" a="1"/>
  <c r="J603" i="19" s="1"/>
  <c r="I603" i="19" a="1"/>
  <c r="I603" i="19" s="1"/>
  <c r="H603" i="19" a="1"/>
  <c r="H603" i="19" s="1"/>
  <c r="G603" i="19" a="1"/>
  <c r="G603" i="19" s="1"/>
  <c r="F603" i="19" a="1"/>
  <c r="F603" i="19" s="1"/>
  <c r="E603" i="19" a="1"/>
  <c r="E603" i="19" s="1"/>
  <c r="D603" i="19" a="1"/>
  <c r="D603" i="19" s="1"/>
  <c r="C603" i="19" a="1"/>
  <c r="C603" i="19" s="1"/>
  <c r="B603" i="19" a="1"/>
  <c r="B603" i="19" s="1"/>
  <c r="U602" i="19" a="1"/>
  <c r="U602" i="19" s="1"/>
  <c r="T602" i="19" a="1"/>
  <c r="T602" i="19" s="1"/>
  <c r="S602" i="19" a="1"/>
  <c r="S602" i="19" s="1"/>
  <c r="Q602" i="19" a="1"/>
  <c r="Q602" i="19" s="1"/>
  <c r="P602" i="19"/>
  <c r="O602" i="19" a="1"/>
  <c r="O602" i="19" s="1"/>
  <c r="N602" i="19" a="1"/>
  <c r="N602" i="19" s="1"/>
  <c r="L602" i="19" a="1"/>
  <c r="L602" i="19" s="1"/>
  <c r="K602" i="19"/>
  <c r="J602" i="19" a="1"/>
  <c r="J602" i="19" s="1"/>
  <c r="I602" i="19" a="1"/>
  <c r="I602" i="19" s="1"/>
  <c r="H602" i="19" a="1"/>
  <c r="H602" i="19" s="1"/>
  <c r="G602" i="19" a="1"/>
  <c r="G602" i="19" s="1"/>
  <c r="F602" i="19" a="1"/>
  <c r="F602" i="19" s="1"/>
  <c r="E602" i="19" a="1"/>
  <c r="E602" i="19" s="1"/>
  <c r="D602" i="19" a="1"/>
  <c r="D602" i="19" s="1"/>
  <c r="C602" i="19" a="1"/>
  <c r="C602" i="19" s="1"/>
  <c r="B602" i="19" a="1"/>
  <c r="B602" i="19" s="1"/>
  <c r="U601" i="19" a="1"/>
  <c r="U601" i="19" s="1"/>
  <c r="T601" i="19" a="1"/>
  <c r="T601" i="19" s="1"/>
  <c r="S601" i="19" a="1"/>
  <c r="S601" i="19" s="1"/>
  <c r="Q601" i="19" a="1"/>
  <c r="Q601" i="19" s="1"/>
  <c r="P601" i="19"/>
  <c r="O601" i="19" a="1"/>
  <c r="O601" i="19" s="1"/>
  <c r="N601" i="19" a="1"/>
  <c r="N601" i="19" s="1"/>
  <c r="L601" i="19" a="1"/>
  <c r="L601" i="19" s="1"/>
  <c r="K601" i="19"/>
  <c r="J601" i="19" a="1"/>
  <c r="J601" i="19" s="1"/>
  <c r="I601" i="19" a="1"/>
  <c r="I601" i="19" s="1"/>
  <c r="H601" i="19" a="1"/>
  <c r="H601" i="19" s="1"/>
  <c r="G601" i="19" a="1"/>
  <c r="G601" i="19" s="1"/>
  <c r="F601" i="19" a="1"/>
  <c r="F601" i="19" s="1"/>
  <c r="E601" i="19" a="1"/>
  <c r="E601" i="19" s="1"/>
  <c r="D601" i="19" a="1"/>
  <c r="D601" i="19" s="1"/>
  <c r="C601" i="19" a="1"/>
  <c r="C601" i="19" s="1"/>
  <c r="B601" i="19" a="1"/>
  <c r="B601" i="19" s="1"/>
  <c r="U600" i="19" a="1"/>
  <c r="U600" i="19" s="1"/>
  <c r="T600" i="19" a="1"/>
  <c r="T600" i="19" s="1"/>
  <c r="S600" i="19" a="1"/>
  <c r="S600" i="19" s="1"/>
  <c r="Q600" i="19" a="1"/>
  <c r="Q600" i="19" s="1"/>
  <c r="P600" i="19"/>
  <c r="O600" i="19" a="1"/>
  <c r="O600" i="19" s="1"/>
  <c r="N600" i="19" a="1"/>
  <c r="N600" i="19" s="1"/>
  <c r="L600" i="19" a="1"/>
  <c r="L600" i="19" s="1"/>
  <c r="K600" i="19"/>
  <c r="J600" i="19" a="1"/>
  <c r="J600" i="19" s="1"/>
  <c r="I600" i="19" a="1"/>
  <c r="I600" i="19" s="1"/>
  <c r="H600" i="19" a="1"/>
  <c r="H600" i="19" s="1"/>
  <c r="G600" i="19" a="1"/>
  <c r="G600" i="19" s="1"/>
  <c r="F600" i="19" a="1"/>
  <c r="F600" i="19" s="1"/>
  <c r="E600" i="19" a="1"/>
  <c r="E600" i="19" s="1"/>
  <c r="D600" i="19" a="1"/>
  <c r="D600" i="19" s="1"/>
  <c r="C600" i="19" a="1"/>
  <c r="C600" i="19" s="1"/>
  <c r="B600" i="19" a="1"/>
  <c r="B600" i="19" s="1"/>
  <c r="U599" i="19" a="1"/>
  <c r="U599" i="19" s="1"/>
  <c r="T599" i="19" a="1"/>
  <c r="T599" i="19" s="1"/>
  <c r="S599" i="19" a="1"/>
  <c r="S599" i="19" s="1"/>
  <c r="Q599" i="19" a="1"/>
  <c r="Q599" i="19" s="1"/>
  <c r="P599" i="19"/>
  <c r="O599" i="19" a="1"/>
  <c r="O599" i="19" s="1"/>
  <c r="N599" i="19" a="1"/>
  <c r="N599" i="19" s="1"/>
  <c r="L599" i="19" a="1"/>
  <c r="L599" i="19" s="1"/>
  <c r="K599" i="19"/>
  <c r="J599" i="19" a="1"/>
  <c r="J599" i="19" s="1"/>
  <c r="I599" i="19" a="1"/>
  <c r="I599" i="19" s="1"/>
  <c r="H599" i="19" a="1"/>
  <c r="H599" i="19" s="1"/>
  <c r="G599" i="19" a="1"/>
  <c r="G599" i="19" s="1"/>
  <c r="F599" i="19" a="1"/>
  <c r="F599" i="19" s="1"/>
  <c r="E599" i="19" a="1"/>
  <c r="E599" i="19" s="1"/>
  <c r="D599" i="19" a="1"/>
  <c r="D599" i="19" s="1"/>
  <c r="C599" i="19" a="1"/>
  <c r="C599" i="19" s="1"/>
  <c r="B599" i="19" a="1"/>
  <c r="B599" i="19" s="1"/>
  <c r="U598" i="19" a="1"/>
  <c r="U598" i="19" s="1"/>
  <c r="T598" i="19" a="1"/>
  <c r="T598" i="19" s="1"/>
  <c r="S598" i="19" a="1"/>
  <c r="S598" i="19" s="1"/>
  <c r="Q598" i="19" a="1"/>
  <c r="Q598" i="19" s="1"/>
  <c r="P598" i="19"/>
  <c r="O598" i="19" a="1"/>
  <c r="O598" i="19" s="1"/>
  <c r="N598" i="19" a="1"/>
  <c r="N598" i="19" s="1"/>
  <c r="L598" i="19" a="1"/>
  <c r="L598" i="19" s="1"/>
  <c r="K598" i="19"/>
  <c r="J598" i="19" a="1"/>
  <c r="J598" i="19" s="1"/>
  <c r="I598" i="19" a="1"/>
  <c r="I598" i="19" s="1"/>
  <c r="H598" i="19" a="1"/>
  <c r="H598" i="19" s="1"/>
  <c r="G598" i="19" a="1"/>
  <c r="G598" i="19" s="1"/>
  <c r="F598" i="19" a="1"/>
  <c r="F598" i="19" s="1"/>
  <c r="E598" i="19" a="1"/>
  <c r="E598" i="19" s="1"/>
  <c r="D598" i="19" a="1"/>
  <c r="D598" i="19" s="1"/>
  <c r="C598" i="19" a="1"/>
  <c r="C598" i="19" s="1"/>
  <c r="B598" i="19" a="1"/>
  <c r="B598" i="19" s="1"/>
  <c r="U597" i="19" a="1"/>
  <c r="U597" i="19" s="1"/>
  <c r="T597" i="19" a="1"/>
  <c r="T597" i="19" s="1"/>
  <c r="S597" i="19" a="1"/>
  <c r="S597" i="19" s="1"/>
  <c r="Q597" i="19" a="1"/>
  <c r="Q597" i="19" s="1"/>
  <c r="P597" i="19"/>
  <c r="O597" i="19" a="1"/>
  <c r="O597" i="19" s="1"/>
  <c r="N597" i="19" a="1"/>
  <c r="N597" i="19" s="1"/>
  <c r="L597" i="19" a="1"/>
  <c r="L597" i="19" s="1"/>
  <c r="K597" i="19"/>
  <c r="J597" i="19" a="1"/>
  <c r="J597" i="19" s="1"/>
  <c r="I597" i="19" a="1"/>
  <c r="I597" i="19" s="1"/>
  <c r="H597" i="19" a="1"/>
  <c r="H597" i="19" s="1"/>
  <c r="G597" i="19" a="1"/>
  <c r="G597" i="19" s="1"/>
  <c r="F597" i="19" a="1"/>
  <c r="F597" i="19" s="1"/>
  <c r="E597" i="19" a="1"/>
  <c r="E597" i="19" s="1"/>
  <c r="D597" i="19" a="1"/>
  <c r="D597" i="19" s="1"/>
  <c r="C597" i="19" a="1"/>
  <c r="C597" i="19" s="1"/>
  <c r="B597" i="19" a="1"/>
  <c r="B597" i="19" s="1"/>
  <c r="U596" i="19" a="1"/>
  <c r="U596" i="19" s="1"/>
  <c r="T596" i="19" a="1"/>
  <c r="T596" i="19" s="1"/>
  <c r="S596" i="19" a="1"/>
  <c r="S596" i="19" s="1"/>
  <c r="Q596" i="19" a="1"/>
  <c r="Q596" i="19" s="1"/>
  <c r="P596" i="19"/>
  <c r="O596" i="19" a="1"/>
  <c r="O596" i="19" s="1"/>
  <c r="N596" i="19" a="1"/>
  <c r="N596" i="19" s="1"/>
  <c r="L596" i="19" a="1"/>
  <c r="L596" i="19" s="1"/>
  <c r="K596" i="19"/>
  <c r="J596" i="19" a="1"/>
  <c r="J596" i="19" s="1"/>
  <c r="I596" i="19" a="1"/>
  <c r="I596" i="19" s="1"/>
  <c r="H596" i="19" a="1"/>
  <c r="H596" i="19" s="1"/>
  <c r="G596" i="19" a="1"/>
  <c r="G596" i="19" s="1"/>
  <c r="F596" i="19" a="1"/>
  <c r="F596" i="19" s="1"/>
  <c r="E596" i="19" a="1"/>
  <c r="E596" i="19" s="1"/>
  <c r="D596" i="19" a="1"/>
  <c r="D596" i="19" s="1"/>
  <c r="C596" i="19" a="1"/>
  <c r="C596" i="19" s="1"/>
  <c r="B596" i="19" a="1"/>
  <c r="B596" i="19" s="1"/>
  <c r="U595" i="19" a="1"/>
  <c r="U595" i="19" s="1"/>
  <c r="T595" i="19" a="1"/>
  <c r="T595" i="19" s="1"/>
  <c r="S595" i="19" a="1"/>
  <c r="S595" i="19" s="1"/>
  <c r="Q595" i="19" a="1"/>
  <c r="Q595" i="19" s="1"/>
  <c r="P595" i="19"/>
  <c r="O595" i="19" a="1"/>
  <c r="O595" i="19" s="1"/>
  <c r="N595" i="19" a="1"/>
  <c r="N595" i="19" s="1"/>
  <c r="L595" i="19" a="1"/>
  <c r="L595" i="19" s="1"/>
  <c r="K595" i="19"/>
  <c r="J595" i="19" a="1"/>
  <c r="J595" i="19" s="1"/>
  <c r="I595" i="19" a="1"/>
  <c r="I595" i="19" s="1"/>
  <c r="H595" i="19" a="1"/>
  <c r="H595" i="19" s="1"/>
  <c r="G595" i="19" a="1"/>
  <c r="G595" i="19" s="1"/>
  <c r="F595" i="19" a="1"/>
  <c r="F595" i="19" s="1"/>
  <c r="E595" i="19" a="1"/>
  <c r="E595" i="19" s="1"/>
  <c r="D595" i="19" a="1"/>
  <c r="D595" i="19" s="1"/>
  <c r="C595" i="19" a="1"/>
  <c r="C595" i="19" s="1"/>
  <c r="B595" i="19" a="1"/>
  <c r="B595" i="19" s="1"/>
  <c r="U594" i="19" a="1"/>
  <c r="U594" i="19" s="1"/>
  <c r="T594" i="19" a="1"/>
  <c r="T594" i="19" s="1"/>
  <c r="S594" i="19" a="1"/>
  <c r="S594" i="19" s="1"/>
  <c r="Q594" i="19" a="1"/>
  <c r="Q594" i="19" s="1"/>
  <c r="P594" i="19"/>
  <c r="O594" i="19" a="1"/>
  <c r="O594" i="19" s="1"/>
  <c r="N594" i="19" a="1"/>
  <c r="N594" i="19" s="1"/>
  <c r="L594" i="19" a="1"/>
  <c r="L594" i="19" s="1"/>
  <c r="K594" i="19"/>
  <c r="J594" i="19" a="1"/>
  <c r="J594" i="19" s="1"/>
  <c r="I594" i="19" a="1"/>
  <c r="I594" i="19" s="1"/>
  <c r="H594" i="19" a="1"/>
  <c r="H594" i="19" s="1"/>
  <c r="G594" i="19" a="1"/>
  <c r="G594" i="19" s="1"/>
  <c r="F594" i="19" a="1"/>
  <c r="F594" i="19" s="1"/>
  <c r="E594" i="19" a="1"/>
  <c r="E594" i="19" s="1"/>
  <c r="D594" i="19" a="1"/>
  <c r="D594" i="19" s="1"/>
  <c r="C594" i="19" a="1"/>
  <c r="C594" i="19" s="1"/>
  <c r="B594" i="19" a="1"/>
  <c r="B594" i="19" s="1"/>
  <c r="U593" i="19" a="1"/>
  <c r="U593" i="19" s="1"/>
  <c r="T593" i="19" a="1"/>
  <c r="T593" i="19" s="1"/>
  <c r="S593" i="19" a="1"/>
  <c r="S593" i="19" s="1"/>
  <c r="Q593" i="19" a="1"/>
  <c r="Q593" i="19" s="1"/>
  <c r="P593" i="19"/>
  <c r="O593" i="19" a="1"/>
  <c r="O593" i="19" s="1"/>
  <c r="N593" i="19" a="1"/>
  <c r="N593" i="19" s="1"/>
  <c r="L593" i="19" a="1"/>
  <c r="L593" i="19" s="1"/>
  <c r="K593" i="19"/>
  <c r="J593" i="19" a="1"/>
  <c r="J593" i="19" s="1"/>
  <c r="I593" i="19" a="1"/>
  <c r="I593" i="19" s="1"/>
  <c r="H593" i="19" a="1"/>
  <c r="H593" i="19" s="1"/>
  <c r="G593" i="19" a="1"/>
  <c r="G593" i="19" s="1"/>
  <c r="F593" i="19" a="1"/>
  <c r="F593" i="19" s="1"/>
  <c r="E593" i="19" a="1"/>
  <c r="E593" i="19" s="1"/>
  <c r="D593" i="19" a="1"/>
  <c r="D593" i="19" s="1"/>
  <c r="C593" i="19" a="1"/>
  <c r="C593" i="19" s="1"/>
  <c r="B593" i="19" a="1"/>
  <c r="B593" i="19" s="1"/>
  <c r="U592" i="19" a="1"/>
  <c r="U592" i="19" s="1"/>
  <c r="T592" i="19" a="1"/>
  <c r="T592" i="19" s="1"/>
  <c r="S592" i="19" a="1"/>
  <c r="S592" i="19" s="1"/>
  <c r="Q592" i="19" a="1"/>
  <c r="Q592" i="19" s="1"/>
  <c r="P592" i="19"/>
  <c r="O592" i="19" a="1"/>
  <c r="O592" i="19" s="1"/>
  <c r="N592" i="19" a="1"/>
  <c r="N592" i="19" s="1"/>
  <c r="L592" i="19" a="1"/>
  <c r="L592" i="19" s="1"/>
  <c r="K592" i="19"/>
  <c r="J592" i="19" a="1"/>
  <c r="J592" i="19" s="1"/>
  <c r="I592" i="19" a="1"/>
  <c r="I592" i="19" s="1"/>
  <c r="H592" i="19" a="1"/>
  <c r="H592" i="19" s="1"/>
  <c r="G592" i="19" a="1"/>
  <c r="G592" i="19" s="1"/>
  <c r="F592" i="19" a="1"/>
  <c r="F592" i="19" s="1"/>
  <c r="E592" i="19" a="1"/>
  <c r="E592" i="19" s="1"/>
  <c r="D592" i="19" a="1"/>
  <c r="D592" i="19" s="1"/>
  <c r="C592" i="19" a="1"/>
  <c r="C592" i="19" s="1"/>
  <c r="B592" i="19" a="1"/>
  <c r="B592" i="19" s="1"/>
  <c r="U591" i="19" a="1"/>
  <c r="U591" i="19" s="1"/>
  <c r="T591" i="19" a="1"/>
  <c r="T591" i="19" s="1"/>
  <c r="S591" i="19" a="1"/>
  <c r="S591" i="19" s="1"/>
  <c r="Q591" i="19" a="1"/>
  <c r="Q591" i="19" s="1"/>
  <c r="P591" i="19"/>
  <c r="O591" i="19" a="1"/>
  <c r="O591" i="19" s="1"/>
  <c r="N591" i="19" a="1"/>
  <c r="N591" i="19" s="1"/>
  <c r="L591" i="19" a="1"/>
  <c r="L591" i="19" s="1"/>
  <c r="K591" i="19"/>
  <c r="J591" i="19" a="1"/>
  <c r="J591" i="19" s="1"/>
  <c r="I591" i="19" a="1"/>
  <c r="I591" i="19" s="1"/>
  <c r="H591" i="19" a="1"/>
  <c r="H591" i="19" s="1"/>
  <c r="G591" i="19" a="1"/>
  <c r="G591" i="19" s="1"/>
  <c r="F591" i="19" a="1"/>
  <c r="F591" i="19" s="1"/>
  <c r="E591" i="19" a="1"/>
  <c r="E591" i="19" s="1"/>
  <c r="D591" i="19" a="1"/>
  <c r="D591" i="19" s="1"/>
  <c r="C591" i="19" a="1"/>
  <c r="C591" i="19" s="1"/>
  <c r="B591" i="19" a="1"/>
  <c r="B591" i="19" s="1"/>
  <c r="U590" i="19" a="1"/>
  <c r="U590" i="19" s="1"/>
  <c r="T590" i="19" a="1"/>
  <c r="T590" i="19" s="1"/>
  <c r="S590" i="19" a="1"/>
  <c r="S590" i="19" s="1"/>
  <c r="Q590" i="19" a="1"/>
  <c r="Q590" i="19" s="1"/>
  <c r="P590" i="19"/>
  <c r="O590" i="19" a="1"/>
  <c r="O590" i="19" s="1"/>
  <c r="N590" i="19" a="1"/>
  <c r="N590" i="19" s="1"/>
  <c r="L590" i="19" a="1"/>
  <c r="L590" i="19" s="1"/>
  <c r="K590" i="19"/>
  <c r="J590" i="19" a="1"/>
  <c r="J590" i="19" s="1"/>
  <c r="I590" i="19" a="1"/>
  <c r="I590" i="19" s="1"/>
  <c r="H590" i="19" a="1"/>
  <c r="H590" i="19" s="1"/>
  <c r="G590" i="19" a="1"/>
  <c r="G590" i="19" s="1"/>
  <c r="F590" i="19" a="1"/>
  <c r="F590" i="19" s="1"/>
  <c r="E590" i="19" a="1"/>
  <c r="E590" i="19" s="1"/>
  <c r="D590" i="19" a="1"/>
  <c r="D590" i="19" s="1"/>
  <c r="C590" i="19" a="1"/>
  <c r="C590" i="19" s="1"/>
  <c r="B590" i="19" a="1"/>
  <c r="B590" i="19" s="1"/>
  <c r="U589" i="19" a="1"/>
  <c r="U589" i="19" s="1"/>
  <c r="T589" i="19" a="1"/>
  <c r="T589" i="19" s="1"/>
  <c r="S589" i="19" a="1"/>
  <c r="S589" i="19" s="1"/>
  <c r="Q589" i="19" a="1"/>
  <c r="Q589" i="19" s="1"/>
  <c r="P589" i="19"/>
  <c r="O589" i="19" a="1"/>
  <c r="O589" i="19" s="1"/>
  <c r="N589" i="19" a="1"/>
  <c r="N589" i="19" s="1"/>
  <c r="L589" i="19" a="1"/>
  <c r="L589" i="19" s="1"/>
  <c r="K589" i="19"/>
  <c r="J589" i="19" a="1"/>
  <c r="J589" i="19" s="1"/>
  <c r="I589" i="19" a="1"/>
  <c r="I589" i="19" s="1"/>
  <c r="H589" i="19" a="1"/>
  <c r="H589" i="19" s="1"/>
  <c r="G589" i="19" a="1"/>
  <c r="G589" i="19" s="1"/>
  <c r="F589" i="19" a="1"/>
  <c r="F589" i="19" s="1"/>
  <c r="E589" i="19" a="1"/>
  <c r="E589" i="19" s="1"/>
  <c r="D589" i="19" a="1"/>
  <c r="D589" i="19" s="1"/>
  <c r="C589" i="19" a="1"/>
  <c r="C589" i="19" s="1"/>
  <c r="B589" i="19" a="1"/>
  <c r="B589" i="19" s="1"/>
  <c r="U588" i="19" a="1"/>
  <c r="U588" i="19" s="1"/>
  <c r="T588" i="19" a="1"/>
  <c r="T588" i="19" s="1"/>
  <c r="S588" i="19" a="1"/>
  <c r="S588" i="19" s="1"/>
  <c r="Q588" i="19" a="1"/>
  <c r="Q588" i="19" s="1"/>
  <c r="P588" i="19"/>
  <c r="O588" i="19" a="1"/>
  <c r="O588" i="19" s="1"/>
  <c r="N588" i="19" a="1"/>
  <c r="N588" i="19" s="1"/>
  <c r="L588" i="19" a="1"/>
  <c r="L588" i="19" s="1"/>
  <c r="K588" i="19"/>
  <c r="J588" i="19" a="1"/>
  <c r="J588" i="19" s="1"/>
  <c r="I588" i="19" a="1"/>
  <c r="I588" i="19" s="1"/>
  <c r="H588" i="19" a="1"/>
  <c r="H588" i="19" s="1"/>
  <c r="G588" i="19" a="1"/>
  <c r="G588" i="19" s="1"/>
  <c r="F588" i="19" a="1"/>
  <c r="F588" i="19" s="1"/>
  <c r="E588" i="19" a="1"/>
  <c r="E588" i="19" s="1"/>
  <c r="D588" i="19" a="1"/>
  <c r="D588" i="19" s="1"/>
  <c r="C588" i="19" a="1"/>
  <c r="C588" i="19" s="1"/>
  <c r="B588" i="19" a="1"/>
  <c r="B588" i="19" s="1"/>
  <c r="U587" i="19" a="1"/>
  <c r="U587" i="19" s="1"/>
  <c r="T587" i="19" a="1"/>
  <c r="T587" i="19" s="1"/>
  <c r="S587" i="19" a="1"/>
  <c r="S587" i="19" s="1"/>
  <c r="Q587" i="19" a="1"/>
  <c r="Q587" i="19" s="1"/>
  <c r="P587" i="19"/>
  <c r="O587" i="19" a="1"/>
  <c r="O587" i="19" s="1"/>
  <c r="N587" i="19" a="1"/>
  <c r="N587" i="19" s="1"/>
  <c r="L587" i="19" a="1"/>
  <c r="L587" i="19" s="1"/>
  <c r="K587" i="19"/>
  <c r="J587" i="19" a="1"/>
  <c r="J587" i="19" s="1"/>
  <c r="I587" i="19" a="1"/>
  <c r="I587" i="19" s="1"/>
  <c r="H587" i="19" a="1"/>
  <c r="H587" i="19" s="1"/>
  <c r="G587" i="19" a="1"/>
  <c r="G587" i="19" s="1"/>
  <c r="F587" i="19" a="1"/>
  <c r="F587" i="19" s="1"/>
  <c r="E587" i="19" a="1"/>
  <c r="E587" i="19" s="1"/>
  <c r="D587" i="19" a="1"/>
  <c r="D587" i="19" s="1"/>
  <c r="C587" i="19" a="1"/>
  <c r="C587" i="19" s="1"/>
  <c r="B587" i="19" a="1"/>
  <c r="B587" i="19" s="1"/>
  <c r="U586" i="19" a="1"/>
  <c r="U586" i="19" s="1"/>
  <c r="T586" i="19" a="1"/>
  <c r="T586" i="19" s="1"/>
  <c r="S586" i="19" a="1"/>
  <c r="S586" i="19" s="1"/>
  <c r="Q586" i="19" a="1"/>
  <c r="Q586" i="19" s="1"/>
  <c r="P586" i="19"/>
  <c r="O586" i="19" a="1"/>
  <c r="O586" i="19" s="1"/>
  <c r="N586" i="19" a="1"/>
  <c r="N586" i="19" s="1"/>
  <c r="L586" i="19" a="1"/>
  <c r="L586" i="19" s="1"/>
  <c r="K586" i="19"/>
  <c r="J586" i="19" a="1"/>
  <c r="J586" i="19" s="1"/>
  <c r="I586" i="19" a="1"/>
  <c r="I586" i="19" s="1"/>
  <c r="H586" i="19" a="1"/>
  <c r="H586" i="19" s="1"/>
  <c r="G586" i="19" a="1"/>
  <c r="G586" i="19" s="1"/>
  <c r="F586" i="19" a="1"/>
  <c r="F586" i="19" s="1"/>
  <c r="E586" i="19" a="1"/>
  <c r="E586" i="19" s="1"/>
  <c r="D586" i="19" a="1"/>
  <c r="D586" i="19" s="1"/>
  <c r="C586" i="19" a="1"/>
  <c r="C586" i="19" s="1"/>
  <c r="B586" i="19" a="1"/>
  <c r="B586" i="19" s="1"/>
  <c r="U585" i="19" a="1"/>
  <c r="U585" i="19" s="1"/>
  <c r="T585" i="19" a="1"/>
  <c r="T585" i="19" s="1"/>
  <c r="S585" i="19" a="1"/>
  <c r="S585" i="19" s="1"/>
  <c r="Q585" i="19" a="1"/>
  <c r="Q585" i="19" s="1"/>
  <c r="P585" i="19"/>
  <c r="O585" i="19" a="1"/>
  <c r="O585" i="19" s="1"/>
  <c r="N585" i="19" a="1"/>
  <c r="N585" i="19" s="1"/>
  <c r="L585" i="19" a="1"/>
  <c r="L585" i="19" s="1"/>
  <c r="K585" i="19"/>
  <c r="J585" i="19" a="1"/>
  <c r="J585" i="19" s="1"/>
  <c r="I585" i="19" a="1"/>
  <c r="I585" i="19" s="1"/>
  <c r="H585" i="19" a="1"/>
  <c r="H585" i="19" s="1"/>
  <c r="G585" i="19" a="1"/>
  <c r="G585" i="19" s="1"/>
  <c r="F585" i="19" a="1"/>
  <c r="F585" i="19" s="1"/>
  <c r="E585" i="19" a="1"/>
  <c r="E585" i="19" s="1"/>
  <c r="D585" i="19" a="1"/>
  <c r="D585" i="19" s="1"/>
  <c r="C585" i="19" a="1"/>
  <c r="C585" i="19" s="1"/>
  <c r="B585" i="19" a="1"/>
  <c r="B585" i="19" s="1"/>
  <c r="U584" i="19" a="1"/>
  <c r="U584" i="19" s="1"/>
  <c r="T584" i="19" a="1"/>
  <c r="T584" i="19" s="1"/>
  <c r="S584" i="19" a="1"/>
  <c r="S584" i="19" s="1"/>
  <c r="Q584" i="19" a="1"/>
  <c r="Q584" i="19" s="1"/>
  <c r="P584" i="19"/>
  <c r="O584" i="19" a="1"/>
  <c r="O584" i="19" s="1"/>
  <c r="N584" i="19" a="1"/>
  <c r="N584" i="19" s="1"/>
  <c r="L584" i="19" a="1"/>
  <c r="L584" i="19" s="1"/>
  <c r="K584" i="19"/>
  <c r="J584" i="19" a="1"/>
  <c r="J584" i="19" s="1"/>
  <c r="I584" i="19" a="1"/>
  <c r="I584" i="19" s="1"/>
  <c r="H584" i="19" a="1"/>
  <c r="H584" i="19" s="1"/>
  <c r="G584" i="19" a="1"/>
  <c r="G584" i="19" s="1"/>
  <c r="F584" i="19" a="1"/>
  <c r="F584" i="19" s="1"/>
  <c r="E584" i="19" a="1"/>
  <c r="E584" i="19" s="1"/>
  <c r="D584" i="19" a="1"/>
  <c r="D584" i="19" s="1"/>
  <c r="C584" i="19" a="1"/>
  <c r="C584" i="19" s="1"/>
  <c r="B584" i="19" a="1"/>
  <c r="B584" i="19" s="1"/>
  <c r="U583" i="19" a="1"/>
  <c r="U583" i="19" s="1"/>
  <c r="T583" i="19" a="1"/>
  <c r="T583" i="19" s="1"/>
  <c r="S583" i="19" a="1"/>
  <c r="S583" i="19" s="1"/>
  <c r="Q583" i="19" a="1"/>
  <c r="Q583" i="19" s="1"/>
  <c r="P583" i="19"/>
  <c r="O583" i="19" a="1"/>
  <c r="O583" i="19" s="1"/>
  <c r="N583" i="19" a="1"/>
  <c r="N583" i="19" s="1"/>
  <c r="L583" i="19" a="1"/>
  <c r="L583" i="19" s="1"/>
  <c r="K583" i="19"/>
  <c r="J583" i="19" a="1"/>
  <c r="J583" i="19" s="1"/>
  <c r="I583" i="19" a="1"/>
  <c r="I583" i="19" s="1"/>
  <c r="H583" i="19" a="1"/>
  <c r="H583" i="19" s="1"/>
  <c r="G583" i="19" a="1"/>
  <c r="G583" i="19" s="1"/>
  <c r="F583" i="19" a="1"/>
  <c r="F583" i="19" s="1"/>
  <c r="E583" i="19" a="1"/>
  <c r="E583" i="19" s="1"/>
  <c r="D583" i="19" a="1"/>
  <c r="D583" i="19" s="1"/>
  <c r="C583" i="19" a="1"/>
  <c r="C583" i="19" s="1"/>
  <c r="B583" i="19" a="1"/>
  <c r="B583" i="19" s="1"/>
  <c r="U582" i="19" a="1"/>
  <c r="U582" i="19" s="1"/>
  <c r="T582" i="19" a="1"/>
  <c r="T582" i="19" s="1"/>
  <c r="S582" i="19" a="1"/>
  <c r="S582" i="19" s="1"/>
  <c r="Q582" i="19" a="1"/>
  <c r="Q582" i="19" s="1"/>
  <c r="P582" i="19"/>
  <c r="O582" i="19" a="1"/>
  <c r="O582" i="19" s="1"/>
  <c r="N582" i="19" a="1"/>
  <c r="N582" i="19" s="1"/>
  <c r="L582" i="19" a="1"/>
  <c r="L582" i="19" s="1"/>
  <c r="K582" i="19"/>
  <c r="J582" i="19" a="1"/>
  <c r="J582" i="19" s="1"/>
  <c r="I582" i="19" a="1"/>
  <c r="I582" i="19" s="1"/>
  <c r="H582" i="19" a="1"/>
  <c r="H582" i="19" s="1"/>
  <c r="G582" i="19" a="1"/>
  <c r="G582" i="19" s="1"/>
  <c r="F582" i="19" a="1"/>
  <c r="F582" i="19" s="1"/>
  <c r="E582" i="19" a="1"/>
  <c r="E582" i="19" s="1"/>
  <c r="D582" i="19" a="1"/>
  <c r="D582" i="19" s="1"/>
  <c r="C582" i="19" a="1"/>
  <c r="C582" i="19" s="1"/>
  <c r="B582" i="19" a="1"/>
  <c r="B582" i="19" s="1"/>
  <c r="U581" i="19" a="1"/>
  <c r="U581" i="19" s="1"/>
  <c r="T581" i="19" a="1"/>
  <c r="T581" i="19" s="1"/>
  <c r="S581" i="19" a="1"/>
  <c r="S581" i="19" s="1"/>
  <c r="Q581" i="19" a="1"/>
  <c r="Q581" i="19" s="1"/>
  <c r="P581" i="19"/>
  <c r="O581" i="19" a="1"/>
  <c r="O581" i="19" s="1"/>
  <c r="N581" i="19" a="1"/>
  <c r="N581" i="19" s="1"/>
  <c r="L581" i="19" a="1"/>
  <c r="L581" i="19" s="1"/>
  <c r="K581" i="19"/>
  <c r="J581" i="19" a="1"/>
  <c r="J581" i="19" s="1"/>
  <c r="I581" i="19" a="1"/>
  <c r="I581" i="19" s="1"/>
  <c r="H581" i="19" a="1"/>
  <c r="H581" i="19" s="1"/>
  <c r="G581" i="19" a="1"/>
  <c r="G581" i="19" s="1"/>
  <c r="F581" i="19" a="1"/>
  <c r="F581" i="19" s="1"/>
  <c r="E581" i="19" a="1"/>
  <c r="E581" i="19" s="1"/>
  <c r="D581" i="19" a="1"/>
  <c r="D581" i="19" s="1"/>
  <c r="C581" i="19" a="1"/>
  <c r="C581" i="19" s="1"/>
  <c r="B581" i="19" a="1"/>
  <c r="B581" i="19" s="1"/>
  <c r="U580" i="19" a="1"/>
  <c r="U580" i="19" s="1"/>
  <c r="T580" i="19" a="1"/>
  <c r="T580" i="19" s="1"/>
  <c r="S580" i="19" a="1"/>
  <c r="S580" i="19" s="1"/>
  <c r="Q580" i="19" a="1"/>
  <c r="Q580" i="19" s="1"/>
  <c r="P580" i="19"/>
  <c r="O580" i="19" a="1"/>
  <c r="O580" i="19" s="1"/>
  <c r="N580" i="19" a="1"/>
  <c r="N580" i="19" s="1"/>
  <c r="L580" i="19" a="1"/>
  <c r="L580" i="19" s="1"/>
  <c r="K580" i="19"/>
  <c r="J580" i="19" a="1"/>
  <c r="J580" i="19" s="1"/>
  <c r="I580" i="19" a="1"/>
  <c r="I580" i="19" s="1"/>
  <c r="H580" i="19" a="1"/>
  <c r="H580" i="19" s="1"/>
  <c r="G580" i="19" a="1"/>
  <c r="G580" i="19" s="1"/>
  <c r="F580" i="19" a="1"/>
  <c r="F580" i="19" s="1"/>
  <c r="E580" i="19" a="1"/>
  <c r="E580" i="19" s="1"/>
  <c r="D580" i="19" a="1"/>
  <c r="D580" i="19" s="1"/>
  <c r="C580" i="19" a="1"/>
  <c r="C580" i="19" s="1"/>
  <c r="B580" i="19" a="1"/>
  <c r="B580" i="19" s="1"/>
  <c r="U579" i="19" a="1"/>
  <c r="U579" i="19" s="1"/>
  <c r="T579" i="19" a="1"/>
  <c r="T579" i="19" s="1"/>
  <c r="S579" i="19" a="1"/>
  <c r="S579" i="19" s="1"/>
  <c r="Q579" i="19" a="1"/>
  <c r="Q579" i="19" s="1"/>
  <c r="P579" i="19"/>
  <c r="O579" i="19" a="1"/>
  <c r="O579" i="19" s="1"/>
  <c r="N579" i="19" a="1"/>
  <c r="N579" i="19" s="1"/>
  <c r="L579" i="19" a="1"/>
  <c r="L579" i="19" s="1"/>
  <c r="K579" i="19"/>
  <c r="J579" i="19" a="1"/>
  <c r="J579" i="19" s="1"/>
  <c r="I579" i="19" a="1"/>
  <c r="I579" i="19" s="1"/>
  <c r="H579" i="19" a="1"/>
  <c r="H579" i="19" s="1"/>
  <c r="G579" i="19" a="1"/>
  <c r="G579" i="19" s="1"/>
  <c r="F579" i="19" a="1"/>
  <c r="F579" i="19" s="1"/>
  <c r="E579" i="19" a="1"/>
  <c r="E579" i="19" s="1"/>
  <c r="D579" i="19" a="1"/>
  <c r="D579" i="19" s="1"/>
  <c r="C579" i="19" a="1"/>
  <c r="C579" i="19" s="1"/>
  <c r="B579" i="19" a="1"/>
  <c r="B579" i="19" s="1"/>
  <c r="U578" i="19" a="1"/>
  <c r="U578" i="19" s="1"/>
  <c r="T578" i="19" a="1"/>
  <c r="T578" i="19" s="1"/>
  <c r="S578" i="19" a="1"/>
  <c r="S578" i="19" s="1"/>
  <c r="Q578" i="19" a="1"/>
  <c r="Q578" i="19" s="1"/>
  <c r="P578" i="19"/>
  <c r="O578" i="19" a="1"/>
  <c r="O578" i="19" s="1"/>
  <c r="N578" i="19" a="1"/>
  <c r="N578" i="19" s="1"/>
  <c r="L578" i="19" a="1"/>
  <c r="L578" i="19" s="1"/>
  <c r="K578" i="19"/>
  <c r="J578" i="19" a="1"/>
  <c r="J578" i="19" s="1"/>
  <c r="I578" i="19" a="1"/>
  <c r="I578" i="19" s="1"/>
  <c r="H578" i="19" a="1"/>
  <c r="H578" i="19" s="1"/>
  <c r="G578" i="19" a="1"/>
  <c r="G578" i="19" s="1"/>
  <c r="F578" i="19" a="1"/>
  <c r="F578" i="19" s="1"/>
  <c r="E578" i="19" a="1"/>
  <c r="E578" i="19" s="1"/>
  <c r="D578" i="19" a="1"/>
  <c r="D578" i="19" s="1"/>
  <c r="C578" i="19" a="1"/>
  <c r="C578" i="19" s="1"/>
  <c r="B578" i="19" a="1"/>
  <c r="B578" i="19" s="1"/>
  <c r="U577" i="19" a="1"/>
  <c r="U577" i="19" s="1"/>
  <c r="T577" i="19" a="1"/>
  <c r="T577" i="19" s="1"/>
  <c r="S577" i="19" a="1"/>
  <c r="S577" i="19" s="1"/>
  <c r="Q577" i="19" a="1"/>
  <c r="Q577" i="19" s="1"/>
  <c r="P577" i="19"/>
  <c r="O577" i="19" a="1"/>
  <c r="O577" i="19" s="1"/>
  <c r="N577" i="19" a="1"/>
  <c r="N577" i="19" s="1"/>
  <c r="L577" i="19" a="1"/>
  <c r="L577" i="19" s="1"/>
  <c r="K577" i="19"/>
  <c r="J577" i="19" a="1"/>
  <c r="J577" i="19" s="1"/>
  <c r="I577" i="19" a="1"/>
  <c r="I577" i="19" s="1"/>
  <c r="H577" i="19" a="1"/>
  <c r="H577" i="19" s="1"/>
  <c r="G577" i="19" a="1"/>
  <c r="G577" i="19" s="1"/>
  <c r="F577" i="19" a="1"/>
  <c r="F577" i="19" s="1"/>
  <c r="E577" i="19" a="1"/>
  <c r="E577" i="19" s="1"/>
  <c r="D577" i="19" a="1"/>
  <c r="D577" i="19" s="1"/>
  <c r="C577" i="19" a="1"/>
  <c r="C577" i="19" s="1"/>
  <c r="B577" i="19" a="1"/>
  <c r="B577" i="19" s="1"/>
  <c r="U576" i="19" a="1"/>
  <c r="U576" i="19" s="1"/>
  <c r="T576" i="19" a="1"/>
  <c r="T576" i="19" s="1"/>
  <c r="S576" i="19" a="1"/>
  <c r="S576" i="19" s="1"/>
  <c r="Q576" i="19" a="1"/>
  <c r="Q576" i="19" s="1"/>
  <c r="P576" i="19"/>
  <c r="O576" i="19" a="1"/>
  <c r="O576" i="19" s="1"/>
  <c r="N576" i="19" a="1"/>
  <c r="N576" i="19" s="1"/>
  <c r="L576" i="19" a="1"/>
  <c r="L576" i="19" s="1"/>
  <c r="K576" i="19"/>
  <c r="J576" i="19" a="1"/>
  <c r="J576" i="19" s="1"/>
  <c r="I576" i="19" a="1"/>
  <c r="I576" i="19" s="1"/>
  <c r="H576" i="19" a="1"/>
  <c r="H576" i="19" s="1"/>
  <c r="G576" i="19" a="1"/>
  <c r="G576" i="19" s="1"/>
  <c r="F576" i="19" a="1"/>
  <c r="F576" i="19" s="1"/>
  <c r="E576" i="19" a="1"/>
  <c r="E576" i="19" s="1"/>
  <c r="D576" i="19" a="1"/>
  <c r="D576" i="19" s="1"/>
  <c r="C576" i="19" a="1"/>
  <c r="C576" i="19" s="1"/>
  <c r="B576" i="19" a="1"/>
  <c r="B576" i="19" s="1"/>
  <c r="U575" i="19" a="1"/>
  <c r="U575" i="19" s="1"/>
  <c r="T575" i="19" a="1"/>
  <c r="T575" i="19" s="1"/>
  <c r="S575" i="19" a="1"/>
  <c r="S575" i="19" s="1"/>
  <c r="Q575" i="19" a="1"/>
  <c r="Q575" i="19" s="1"/>
  <c r="P575" i="19"/>
  <c r="O575" i="19" a="1"/>
  <c r="O575" i="19" s="1"/>
  <c r="N575" i="19" a="1"/>
  <c r="N575" i="19" s="1"/>
  <c r="L575" i="19" a="1"/>
  <c r="L575" i="19" s="1"/>
  <c r="K575" i="19"/>
  <c r="J575" i="19" a="1"/>
  <c r="J575" i="19" s="1"/>
  <c r="I575" i="19" a="1"/>
  <c r="I575" i="19" s="1"/>
  <c r="H575" i="19" a="1"/>
  <c r="H575" i="19" s="1"/>
  <c r="G575" i="19" a="1"/>
  <c r="G575" i="19" s="1"/>
  <c r="F575" i="19" a="1"/>
  <c r="F575" i="19" s="1"/>
  <c r="E575" i="19" a="1"/>
  <c r="E575" i="19" s="1"/>
  <c r="D575" i="19" a="1"/>
  <c r="D575" i="19" s="1"/>
  <c r="C575" i="19" a="1"/>
  <c r="C575" i="19" s="1"/>
  <c r="B575" i="19" a="1"/>
  <c r="B575" i="19" s="1"/>
  <c r="U574" i="19" a="1"/>
  <c r="U574" i="19" s="1"/>
  <c r="T574" i="19" a="1"/>
  <c r="T574" i="19" s="1"/>
  <c r="S574" i="19" a="1"/>
  <c r="S574" i="19" s="1"/>
  <c r="Q574" i="19" a="1"/>
  <c r="Q574" i="19" s="1"/>
  <c r="P574" i="19"/>
  <c r="O574" i="19" a="1"/>
  <c r="O574" i="19" s="1"/>
  <c r="N574" i="19" a="1"/>
  <c r="N574" i="19" s="1"/>
  <c r="L574" i="19" a="1"/>
  <c r="L574" i="19" s="1"/>
  <c r="K574" i="19"/>
  <c r="J574" i="19" a="1"/>
  <c r="J574" i="19" s="1"/>
  <c r="I574" i="19" a="1"/>
  <c r="I574" i="19" s="1"/>
  <c r="H574" i="19" a="1"/>
  <c r="H574" i="19" s="1"/>
  <c r="G574" i="19" a="1"/>
  <c r="G574" i="19" s="1"/>
  <c r="F574" i="19" a="1"/>
  <c r="F574" i="19" s="1"/>
  <c r="E574" i="19" a="1"/>
  <c r="E574" i="19" s="1"/>
  <c r="D574" i="19" a="1"/>
  <c r="D574" i="19" s="1"/>
  <c r="C574" i="19" a="1"/>
  <c r="C574" i="19" s="1"/>
  <c r="B574" i="19" a="1"/>
  <c r="B574" i="19" s="1"/>
  <c r="U573" i="19" a="1"/>
  <c r="U573" i="19" s="1"/>
  <c r="T573" i="19" a="1"/>
  <c r="T573" i="19" s="1"/>
  <c r="S573" i="19" a="1"/>
  <c r="S573" i="19" s="1"/>
  <c r="Q573" i="19" a="1"/>
  <c r="Q573" i="19" s="1"/>
  <c r="P573" i="19"/>
  <c r="O573" i="19" a="1"/>
  <c r="O573" i="19" s="1"/>
  <c r="N573" i="19" a="1"/>
  <c r="N573" i="19" s="1"/>
  <c r="L573" i="19" a="1"/>
  <c r="L573" i="19" s="1"/>
  <c r="K573" i="19"/>
  <c r="J573" i="19" a="1"/>
  <c r="J573" i="19" s="1"/>
  <c r="I573" i="19" a="1"/>
  <c r="I573" i="19" s="1"/>
  <c r="H573" i="19" a="1"/>
  <c r="H573" i="19" s="1"/>
  <c r="G573" i="19" a="1"/>
  <c r="G573" i="19" s="1"/>
  <c r="F573" i="19" a="1"/>
  <c r="F573" i="19" s="1"/>
  <c r="E573" i="19" a="1"/>
  <c r="E573" i="19" s="1"/>
  <c r="D573" i="19" a="1"/>
  <c r="D573" i="19" s="1"/>
  <c r="C573" i="19" a="1"/>
  <c r="C573" i="19" s="1"/>
  <c r="B573" i="19" a="1"/>
  <c r="B573" i="19" s="1"/>
  <c r="U572" i="19" a="1"/>
  <c r="U572" i="19" s="1"/>
  <c r="T572" i="19" a="1"/>
  <c r="T572" i="19" s="1"/>
  <c r="S572" i="19" a="1"/>
  <c r="S572" i="19" s="1"/>
  <c r="Q572" i="19" a="1"/>
  <c r="Q572" i="19" s="1"/>
  <c r="P572" i="19"/>
  <c r="O572" i="19" a="1"/>
  <c r="O572" i="19" s="1"/>
  <c r="N572" i="19" a="1"/>
  <c r="N572" i="19" s="1"/>
  <c r="L572" i="19" a="1"/>
  <c r="L572" i="19" s="1"/>
  <c r="K572" i="19"/>
  <c r="J572" i="19" a="1"/>
  <c r="J572" i="19" s="1"/>
  <c r="I572" i="19" a="1"/>
  <c r="I572" i="19" s="1"/>
  <c r="H572" i="19" a="1"/>
  <c r="H572" i="19" s="1"/>
  <c r="G572" i="19" a="1"/>
  <c r="G572" i="19" s="1"/>
  <c r="F572" i="19" a="1"/>
  <c r="F572" i="19" s="1"/>
  <c r="E572" i="19" a="1"/>
  <c r="E572" i="19" s="1"/>
  <c r="D572" i="19" a="1"/>
  <c r="D572" i="19" s="1"/>
  <c r="C572" i="19" a="1"/>
  <c r="C572" i="19" s="1"/>
  <c r="B572" i="19" a="1"/>
  <c r="B572" i="19" s="1"/>
  <c r="U571" i="19" a="1"/>
  <c r="U571" i="19" s="1"/>
  <c r="T571" i="19" a="1"/>
  <c r="T571" i="19" s="1"/>
  <c r="S571" i="19" a="1"/>
  <c r="S571" i="19" s="1"/>
  <c r="Q571" i="19" a="1"/>
  <c r="Q571" i="19" s="1"/>
  <c r="P571" i="19"/>
  <c r="O571" i="19" a="1"/>
  <c r="O571" i="19" s="1"/>
  <c r="N571" i="19" a="1"/>
  <c r="N571" i="19" s="1"/>
  <c r="L571" i="19" a="1"/>
  <c r="L571" i="19" s="1"/>
  <c r="K571" i="19"/>
  <c r="J571" i="19" a="1"/>
  <c r="J571" i="19" s="1"/>
  <c r="I571" i="19" a="1"/>
  <c r="I571" i="19" s="1"/>
  <c r="H571" i="19" a="1"/>
  <c r="H571" i="19" s="1"/>
  <c r="G571" i="19" a="1"/>
  <c r="G571" i="19" s="1"/>
  <c r="F571" i="19" a="1"/>
  <c r="F571" i="19" s="1"/>
  <c r="E571" i="19" a="1"/>
  <c r="E571" i="19" s="1"/>
  <c r="D571" i="19" a="1"/>
  <c r="D571" i="19" s="1"/>
  <c r="C571" i="19" a="1"/>
  <c r="C571" i="19" s="1"/>
  <c r="B571" i="19" a="1"/>
  <c r="B571" i="19" s="1"/>
  <c r="U570" i="19" a="1"/>
  <c r="U570" i="19" s="1"/>
  <c r="T570" i="19" a="1"/>
  <c r="T570" i="19" s="1"/>
  <c r="S570" i="19" a="1"/>
  <c r="S570" i="19" s="1"/>
  <c r="Q570" i="19" a="1"/>
  <c r="Q570" i="19" s="1"/>
  <c r="P570" i="19"/>
  <c r="O570" i="19" a="1"/>
  <c r="O570" i="19" s="1"/>
  <c r="N570" i="19" a="1"/>
  <c r="N570" i="19" s="1"/>
  <c r="L570" i="19" a="1"/>
  <c r="L570" i="19" s="1"/>
  <c r="K570" i="19"/>
  <c r="J570" i="19" a="1"/>
  <c r="J570" i="19" s="1"/>
  <c r="I570" i="19" a="1"/>
  <c r="I570" i="19" s="1"/>
  <c r="H570" i="19" a="1"/>
  <c r="H570" i="19" s="1"/>
  <c r="G570" i="19" a="1"/>
  <c r="G570" i="19" s="1"/>
  <c r="F570" i="19" a="1"/>
  <c r="F570" i="19" s="1"/>
  <c r="E570" i="19" a="1"/>
  <c r="E570" i="19" s="1"/>
  <c r="D570" i="19" a="1"/>
  <c r="D570" i="19" s="1"/>
  <c r="C570" i="19" a="1"/>
  <c r="C570" i="19" s="1"/>
  <c r="B570" i="19" a="1"/>
  <c r="B570" i="19" s="1"/>
  <c r="U569" i="19" a="1"/>
  <c r="U569" i="19" s="1"/>
  <c r="T569" i="19" a="1"/>
  <c r="T569" i="19" s="1"/>
  <c r="S569" i="19" a="1"/>
  <c r="S569" i="19" s="1"/>
  <c r="Q569" i="19" a="1"/>
  <c r="Q569" i="19" s="1"/>
  <c r="P569" i="19"/>
  <c r="O569" i="19" a="1"/>
  <c r="O569" i="19" s="1"/>
  <c r="N569" i="19" a="1"/>
  <c r="N569" i="19" s="1"/>
  <c r="L569" i="19" a="1"/>
  <c r="L569" i="19" s="1"/>
  <c r="K569" i="19"/>
  <c r="J569" i="19" a="1"/>
  <c r="J569" i="19" s="1"/>
  <c r="I569" i="19" a="1"/>
  <c r="I569" i="19" s="1"/>
  <c r="H569" i="19" a="1"/>
  <c r="H569" i="19" s="1"/>
  <c r="G569" i="19" a="1"/>
  <c r="G569" i="19" s="1"/>
  <c r="F569" i="19" a="1"/>
  <c r="F569" i="19" s="1"/>
  <c r="E569" i="19" a="1"/>
  <c r="E569" i="19" s="1"/>
  <c r="D569" i="19" a="1"/>
  <c r="D569" i="19" s="1"/>
  <c r="C569" i="19" a="1"/>
  <c r="C569" i="19" s="1"/>
  <c r="B569" i="19" a="1"/>
  <c r="B569" i="19" s="1"/>
  <c r="U568" i="19" a="1"/>
  <c r="U568" i="19" s="1"/>
  <c r="T568" i="19" a="1"/>
  <c r="T568" i="19" s="1"/>
  <c r="S568" i="19" a="1"/>
  <c r="S568" i="19" s="1"/>
  <c r="Q568" i="19" a="1"/>
  <c r="Q568" i="19" s="1"/>
  <c r="P568" i="19"/>
  <c r="O568" i="19" a="1"/>
  <c r="O568" i="19" s="1"/>
  <c r="N568" i="19" a="1"/>
  <c r="N568" i="19" s="1"/>
  <c r="L568" i="19" a="1"/>
  <c r="L568" i="19" s="1"/>
  <c r="K568" i="19"/>
  <c r="J568" i="19" a="1"/>
  <c r="J568" i="19" s="1"/>
  <c r="I568" i="19" a="1"/>
  <c r="I568" i="19" s="1"/>
  <c r="H568" i="19" a="1"/>
  <c r="H568" i="19" s="1"/>
  <c r="G568" i="19" a="1"/>
  <c r="G568" i="19" s="1"/>
  <c r="F568" i="19" a="1"/>
  <c r="F568" i="19" s="1"/>
  <c r="E568" i="19" a="1"/>
  <c r="E568" i="19" s="1"/>
  <c r="D568" i="19" a="1"/>
  <c r="D568" i="19" s="1"/>
  <c r="C568" i="19" a="1"/>
  <c r="C568" i="19" s="1"/>
  <c r="B568" i="19" a="1"/>
  <c r="B568" i="19" s="1"/>
  <c r="U567" i="19" a="1"/>
  <c r="U567" i="19" s="1"/>
  <c r="T567" i="19" a="1"/>
  <c r="T567" i="19" s="1"/>
  <c r="S567" i="19" a="1"/>
  <c r="S567" i="19" s="1"/>
  <c r="Q567" i="19" a="1"/>
  <c r="Q567" i="19" s="1"/>
  <c r="P567" i="19"/>
  <c r="O567" i="19" a="1"/>
  <c r="O567" i="19" s="1"/>
  <c r="N567" i="19" a="1"/>
  <c r="N567" i="19" s="1"/>
  <c r="L567" i="19" a="1"/>
  <c r="L567" i="19" s="1"/>
  <c r="K567" i="19"/>
  <c r="J567" i="19" a="1"/>
  <c r="J567" i="19" s="1"/>
  <c r="I567" i="19" a="1"/>
  <c r="I567" i="19" s="1"/>
  <c r="H567" i="19" a="1"/>
  <c r="H567" i="19" s="1"/>
  <c r="G567" i="19" a="1"/>
  <c r="G567" i="19" s="1"/>
  <c r="F567" i="19" a="1"/>
  <c r="F567" i="19" s="1"/>
  <c r="E567" i="19" a="1"/>
  <c r="E567" i="19" s="1"/>
  <c r="D567" i="19" a="1"/>
  <c r="D567" i="19" s="1"/>
  <c r="C567" i="19" a="1"/>
  <c r="C567" i="19" s="1"/>
  <c r="B567" i="19" a="1"/>
  <c r="B567" i="19" s="1"/>
  <c r="U566" i="19" a="1"/>
  <c r="U566" i="19" s="1"/>
  <c r="T566" i="19" a="1"/>
  <c r="T566" i="19" s="1"/>
  <c r="S566" i="19" a="1"/>
  <c r="S566" i="19" s="1"/>
  <c r="Q566" i="19" a="1"/>
  <c r="Q566" i="19" s="1"/>
  <c r="P566" i="19"/>
  <c r="O566" i="19" a="1"/>
  <c r="O566" i="19" s="1"/>
  <c r="N566" i="19" a="1"/>
  <c r="N566" i="19" s="1"/>
  <c r="L566" i="19" a="1"/>
  <c r="L566" i="19" s="1"/>
  <c r="K566" i="19"/>
  <c r="J566" i="19" a="1"/>
  <c r="J566" i="19" s="1"/>
  <c r="I566" i="19" a="1"/>
  <c r="I566" i="19" s="1"/>
  <c r="H566" i="19" a="1"/>
  <c r="H566" i="19" s="1"/>
  <c r="G566" i="19" a="1"/>
  <c r="G566" i="19" s="1"/>
  <c r="F566" i="19" a="1"/>
  <c r="F566" i="19" s="1"/>
  <c r="E566" i="19" a="1"/>
  <c r="E566" i="19" s="1"/>
  <c r="D566" i="19" a="1"/>
  <c r="D566" i="19" s="1"/>
  <c r="C566" i="19" a="1"/>
  <c r="C566" i="19" s="1"/>
  <c r="B566" i="19" a="1"/>
  <c r="B566" i="19" s="1"/>
  <c r="U565" i="19" a="1"/>
  <c r="U565" i="19" s="1"/>
  <c r="T565" i="19" a="1"/>
  <c r="T565" i="19" s="1"/>
  <c r="S565" i="19" a="1"/>
  <c r="S565" i="19" s="1"/>
  <c r="Q565" i="19" a="1"/>
  <c r="Q565" i="19" s="1"/>
  <c r="P565" i="19"/>
  <c r="O565" i="19" a="1"/>
  <c r="O565" i="19" s="1"/>
  <c r="N565" i="19" a="1"/>
  <c r="N565" i="19" s="1"/>
  <c r="L565" i="19" a="1"/>
  <c r="L565" i="19" s="1"/>
  <c r="K565" i="19"/>
  <c r="J565" i="19" a="1"/>
  <c r="J565" i="19" s="1"/>
  <c r="I565" i="19" a="1"/>
  <c r="I565" i="19" s="1"/>
  <c r="H565" i="19" a="1"/>
  <c r="H565" i="19" s="1"/>
  <c r="G565" i="19" a="1"/>
  <c r="G565" i="19" s="1"/>
  <c r="F565" i="19" a="1"/>
  <c r="F565" i="19" s="1"/>
  <c r="E565" i="19" a="1"/>
  <c r="E565" i="19" s="1"/>
  <c r="D565" i="19" a="1"/>
  <c r="D565" i="19" s="1"/>
  <c r="C565" i="19" a="1"/>
  <c r="C565" i="19" s="1"/>
  <c r="B565" i="19" a="1"/>
  <c r="B565" i="19" s="1"/>
  <c r="U564" i="19" a="1"/>
  <c r="U564" i="19" s="1"/>
  <c r="T564" i="19" a="1"/>
  <c r="T564" i="19" s="1"/>
  <c r="S564" i="19" a="1"/>
  <c r="S564" i="19" s="1"/>
  <c r="Q564" i="19" a="1"/>
  <c r="Q564" i="19" s="1"/>
  <c r="P564" i="19"/>
  <c r="O564" i="19" a="1"/>
  <c r="O564" i="19" s="1"/>
  <c r="N564" i="19" a="1"/>
  <c r="N564" i="19" s="1"/>
  <c r="L564" i="19" a="1"/>
  <c r="L564" i="19" s="1"/>
  <c r="K564" i="19"/>
  <c r="J564" i="19" a="1"/>
  <c r="J564" i="19" s="1"/>
  <c r="I564" i="19" a="1"/>
  <c r="I564" i="19" s="1"/>
  <c r="H564" i="19" a="1"/>
  <c r="H564" i="19" s="1"/>
  <c r="G564" i="19" a="1"/>
  <c r="G564" i="19" s="1"/>
  <c r="F564" i="19" a="1"/>
  <c r="F564" i="19" s="1"/>
  <c r="E564" i="19" a="1"/>
  <c r="E564" i="19" s="1"/>
  <c r="D564" i="19" a="1"/>
  <c r="D564" i="19" s="1"/>
  <c r="C564" i="19" a="1"/>
  <c r="C564" i="19" s="1"/>
  <c r="B564" i="19" a="1"/>
  <c r="B564" i="19" s="1"/>
  <c r="U563" i="19" a="1"/>
  <c r="U563" i="19" s="1"/>
  <c r="T563" i="19" a="1"/>
  <c r="T563" i="19" s="1"/>
  <c r="S563" i="19" a="1"/>
  <c r="S563" i="19" s="1"/>
  <c r="Q563" i="19" a="1"/>
  <c r="Q563" i="19" s="1"/>
  <c r="P563" i="19"/>
  <c r="O563" i="19" a="1"/>
  <c r="O563" i="19" s="1"/>
  <c r="N563" i="19" a="1"/>
  <c r="N563" i="19" s="1"/>
  <c r="L563" i="19" a="1"/>
  <c r="L563" i="19" s="1"/>
  <c r="K563" i="19"/>
  <c r="J563" i="19" a="1"/>
  <c r="J563" i="19" s="1"/>
  <c r="I563" i="19" a="1"/>
  <c r="I563" i="19" s="1"/>
  <c r="H563" i="19" a="1"/>
  <c r="H563" i="19" s="1"/>
  <c r="G563" i="19" a="1"/>
  <c r="G563" i="19" s="1"/>
  <c r="F563" i="19" a="1"/>
  <c r="F563" i="19" s="1"/>
  <c r="E563" i="19" a="1"/>
  <c r="E563" i="19" s="1"/>
  <c r="D563" i="19" a="1"/>
  <c r="D563" i="19" s="1"/>
  <c r="C563" i="19" a="1"/>
  <c r="C563" i="19" s="1"/>
  <c r="B563" i="19" a="1"/>
  <c r="B563" i="19" s="1"/>
  <c r="U562" i="19" a="1"/>
  <c r="U562" i="19" s="1"/>
  <c r="T562" i="19" a="1"/>
  <c r="T562" i="19" s="1"/>
  <c r="S562" i="19" a="1"/>
  <c r="S562" i="19" s="1"/>
  <c r="Q562" i="19" a="1"/>
  <c r="Q562" i="19" s="1"/>
  <c r="P562" i="19"/>
  <c r="O562" i="19" a="1"/>
  <c r="O562" i="19" s="1"/>
  <c r="N562" i="19" a="1"/>
  <c r="N562" i="19" s="1"/>
  <c r="L562" i="19" a="1"/>
  <c r="L562" i="19" s="1"/>
  <c r="K562" i="19"/>
  <c r="J562" i="19" a="1"/>
  <c r="J562" i="19" s="1"/>
  <c r="I562" i="19" a="1"/>
  <c r="I562" i="19" s="1"/>
  <c r="H562" i="19" a="1"/>
  <c r="H562" i="19" s="1"/>
  <c r="G562" i="19" a="1"/>
  <c r="G562" i="19" s="1"/>
  <c r="F562" i="19" a="1"/>
  <c r="F562" i="19" s="1"/>
  <c r="E562" i="19" a="1"/>
  <c r="E562" i="19" s="1"/>
  <c r="D562" i="19" a="1"/>
  <c r="D562" i="19" s="1"/>
  <c r="C562" i="19" a="1"/>
  <c r="C562" i="19" s="1"/>
  <c r="B562" i="19" a="1"/>
  <c r="B562" i="19" s="1"/>
  <c r="U561" i="19" a="1"/>
  <c r="U561" i="19" s="1"/>
  <c r="T561" i="19" a="1"/>
  <c r="T561" i="19" s="1"/>
  <c r="S561" i="19" a="1"/>
  <c r="S561" i="19" s="1"/>
  <c r="Q561" i="19" a="1"/>
  <c r="Q561" i="19" s="1"/>
  <c r="P561" i="19"/>
  <c r="O561" i="19" a="1"/>
  <c r="O561" i="19" s="1"/>
  <c r="N561" i="19" a="1"/>
  <c r="N561" i="19" s="1"/>
  <c r="L561" i="19" a="1"/>
  <c r="L561" i="19" s="1"/>
  <c r="K561" i="19"/>
  <c r="J561" i="19" a="1"/>
  <c r="J561" i="19" s="1"/>
  <c r="I561" i="19" a="1"/>
  <c r="I561" i="19" s="1"/>
  <c r="H561" i="19" a="1"/>
  <c r="H561" i="19" s="1"/>
  <c r="G561" i="19" a="1"/>
  <c r="G561" i="19" s="1"/>
  <c r="F561" i="19" a="1"/>
  <c r="F561" i="19" s="1"/>
  <c r="E561" i="19" a="1"/>
  <c r="E561" i="19" s="1"/>
  <c r="D561" i="19" a="1"/>
  <c r="D561" i="19" s="1"/>
  <c r="C561" i="19" a="1"/>
  <c r="C561" i="19" s="1"/>
  <c r="B561" i="19" a="1"/>
  <c r="B561" i="19" s="1"/>
  <c r="U560" i="19" a="1"/>
  <c r="U560" i="19" s="1"/>
  <c r="T560" i="19" a="1"/>
  <c r="T560" i="19" s="1"/>
  <c r="S560" i="19" a="1"/>
  <c r="S560" i="19" s="1"/>
  <c r="Q560" i="19" a="1"/>
  <c r="Q560" i="19" s="1"/>
  <c r="P560" i="19"/>
  <c r="O560" i="19" a="1"/>
  <c r="O560" i="19" s="1"/>
  <c r="N560" i="19" a="1"/>
  <c r="N560" i="19" s="1"/>
  <c r="L560" i="19" a="1"/>
  <c r="L560" i="19" s="1"/>
  <c r="K560" i="19"/>
  <c r="J560" i="19" a="1"/>
  <c r="J560" i="19" s="1"/>
  <c r="I560" i="19" a="1"/>
  <c r="I560" i="19" s="1"/>
  <c r="H560" i="19" a="1"/>
  <c r="H560" i="19" s="1"/>
  <c r="G560" i="19" a="1"/>
  <c r="G560" i="19" s="1"/>
  <c r="F560" i="19" a="1"/>
  <c r="F560" i="19" s="1"/>
  <c r="E560" i="19" a="1"/>
  <c r="E560" i="19" s="1"/>
  <c r="D560" i="19" a="1"/>
  <c r="D560" i="19" s="1"/>
  <c r="C560" i="19" a="1"/>
  <c r="C560" i="19" s="1"/>
  <c r="B560" i="19" a="1"/>
  <c r="B560" i="19" s="1"/>
  <c r="U559" i="19" a="1"/>
  <c r="U559" i="19" s="1"/>
  <c r="T559" i="19" a="1"/>
  <c r="T559" i="19" s="1"/>
  <c r="S559" i="19" a="1"/>
  <c r="S559" i="19" s="1"/>
  <c r="Q559" i="19" a="1"/>
  <c r="Q559" i="19" s="1"/>
  <c r="P559" i="19"/>
  <c r="O559" i="19" a="1"/>
  <c r="O559" i="19" s="1"/>
  <c r="N559" i="19" a="1"/>
  <c r="N559" i="19" s="1"/>
  <c r="L559" i="19" a="1"/>
  <c r="L559" i="19" s="1"/>
  <c r="K559" i="19"/>
  <c r="J559" i="19" a="1"/>
  <c r="J559" i="19" s="1"/>
  <c r="I559" i="19" a="1"/>
  <c r="I559" i="19" s="1"/>
  <c r="H559" i="19" a="1"/>
  <c r="H559" i="19" s="1"/>
  <c r="G559" i="19" a="1"/>
  <c r="G559" i="19" s="1"/>
  <c r="F559" i="19" a="1"/>
  <c r="F559" i="19" s="1"/>
  <c r="E559" i="19" a="1"/>
  <c r="E559" i="19" s="1"/>
  <c r="D559" i="19" a="1"/>
  <c r="D559" i="19" s="1"/>
  <c r="C559" i="19" a="1"/>
  <c r="C559" i="19" s="1"/>
  <c r="B559" i="19" a="1"/>
  <c r="B559" i="19" s="1"/>
  <c r="U558" i="19" a="1"/>
  <c r="U558" i="19" s="1"/>
  <c r="T558" i="19" a="1"/>
  <c r="T558" i="19" s="1"/>
  <c r="S558" i="19" a="1"/>
  <c r="S558" i="19" s="1"/>
  <c r="Q558" i="19" a="1"/>
  <c r="Q558" i="19" s="1"/>
  <c r="P558" i="19"/>
  <c r="O558" i="19" a="1"/>
  <c r="O558" i="19" s="1"/>
  <c r="N558" i="19" a="1"/>
  <c r="N558" i="19" s="1"/>
  <c r="L558" i="19" a="1"/>
  <c r="L558" i="19" s="1"/>
  <c r="K558" i="19"/>
  <c r="J558" i="19" a="1"/>
  <c r="J558" i="19" s="1"/>
  <c r="I558" i="19" a="1"/>
  <c r="I558" i="19" s="1"/>
  <c r="H558" i="19" a="1"/>
  <c r="H558" i="19" s="1"/>
  <c r="G558" i="19" a="1"/>
  <c r="G558" i="19" s="1"/>
  <c r="F558" i="19" a="1"/>
  <c r="F558" i="19" s="1"/>
  <c r="E558" i="19" a="1"/>
  <c r="E558" i="19" s="1"/>
  <c r="D558" i="19" a="1"/>
  <c r="D558" i="19" s="1"/>
  <c r="C558" i="19" a="1"/>
  <c r="C558" i="19" s="1"/>
  <c r="B558" i="19" a="1"/>
  <c r="B558" i="19" s="1"/>
  <c r="U557" i="19" a="1"/>
  <c r="U557" i="19" s="1"/>
  <c r="T557" i="19" a="1"/>
  <c r="T557" i="19" s="1"/>
  <c r="S557" i="19" a="1"/>
  <c r="S557" i="19" s="1"/>
  <c r="Q557" i="19" a="1"/>
  <c r="Q557" i="19" s="1"/>
  <c r="P557" i="19"/>
  <c r="O557" i="19" a="1"/>
  <c r="O557" i="19" s="1"/>
  <c r="N557" i="19" a="1"/>
  <c r="N557" i="19" s="1"/>
  <c r="L557" i="19" a="1"/>
  <c r="L557" i="19" s="1"/>
  <c r="K557" i="19"/>
  <c r="J557" i="19" a="1"/>
  <c r="J557" i="19" s="1"/>
  <c r="I557" i="19" a="1"/>
  <c r="I557" i="19" s="1"/>
  <c r="H557" i="19" a="1"/>
  <c r="H557" i="19" s="1"/>
  <c r="G557" i="19" a="1"/>
  <c r="G557" i="19" s="1"/>
  <c r="F557" i="19" a="1"/>
  <c r="F557" i="19" s="1"/>
  <c r="E557" i="19" a="1"/>
  <c r="E557" i="19" s="1"/>
  <c r="D557" i="19" a="1"/>
  <c r="D557" i="19" s="1"/>
  <c r="C557" i="19" a="1"/>
  <c r="C557" i="19" s="1"/>
  <c r="B557" i="19" a="1"/>
  <c r="B557" i="19" s="1"/>
  <c r="U556" i="19" a="1"/>
  <c r="U556" i="19" s="1"/>
  <c r="T556" i="19" a="1"/>
  <c r="T556" i="19" s="1"/>
  <c r="S556" i="19" a="1"/>
  <c r="S556" i="19" s="1"/>
  <c r="Q556" i="19" a="1"/>
  <c r="Q556" i="19" s="1"/>
  <c r="P556" i="19"/>
  <c r="O556" i="19" a="1"/>
  <c r="O556" i="19" s="1"/>
  <c r="N556" i="19" a="1"/>
  <c r="N556" i="19" s="1"/>
  <c r="L556" i="19" a="1"/>
  <c r="L556" i="19" s="1"/>
  <c r="K556" i="19"/>
  <c r="J556" i="19" a="1"/>
  <c r="J556" i="19" s="1"/>
  <c r="I556" i="19" a="1"/>
  <c r="I556" i="19" s="1"/>
  <c r="H556" i="19" a="1"/>
  <c r="H556" i="19" s="1"/>
  <c r="G556" i="19" a="1"/>
  <c r="G556" i="19" s="1"/>
  <c r="F556" i="19" a="1"/>
  <c r="F556" i="19" s="1"/>
  <c r="E556" i="19" a="1"/>
  <c r="E556" i="19" s="1"/>
  <c r="D556" i="19" a="1"/>
  <c r="D556" i="19" s="1"/>
  <c r="C556" i="19" a="1"/>
  <c r="C556" i="19" s="1"/>
  <c r="B556" i="19" a="1"/>
  <c r="B556" i="19" s="1"/>
  <c r="U555" i="19" a="1"/>
  <c r="U555" i="19" s="1"/>
  <c r="T555" i="19" a="1"/>
  <c r="T555" i="19" s="1"/>
  <c r="S555" i="19" a="1"/>
  <c r="S555" i="19" s="1"/>
  <c r="Q555" i="19" a="1"/>
  <c r="Q555" i="19" s="1"/>
  <c r="P555" i="19"/>
  <c r="O555" i="19" a="1"/>
  <c r="O555" i="19" s="1"/>
  <c r="N555" i="19" a="1"/>
  <c r="N555" i="19" s="1"/>
  <c r="L555" i="19" a="1"/>
  <c r="L555" i="19" s="1"/>
  <c r="K555" i="19"/>
  <c r="J555" i="19" a="1"/>
  <c r="J555" i="19" s="1"/>
  <c r="I555" i="19" a="1"/>
  <c r="I555" i="19" s="1"/>
  <c r="H555" i="19" a="1"/>
  <c r="H555" i="19" s="1"/>
  <c r="G555" i="19" a="1"/>
  <c r="G555" i="19" s="1"/>
  <c r="F555" i="19" a="1"/>
  <c r="F555" i="19" s="1"/>
  <c r="E555" i="19" a="1"/>
  <c r="E555" i="19" s="1"/>
  <c r="D555" i="19" a="1"/>
  <c r="D555" i="19" s="1"/>
  <c r="C555" i="19" a="1"/>
  <c r="C555" i="19" s="1"/>
  <c r="B555" i="19" a="1"/>
  <c r="B555" i="19" s="1"/>
  <c r="U554" i="19" a="1"/>
  <c r="U554" i="19" s="1"/>
  <c r="T554" i="19" a="1"/>
  <c r="T554" i="19" s="1"/>
  <c r="S554" i="19" a="1"/>
  <c r="S554" i="19" s="1"/>
  <c r="Q554" i="19" a="1"/>
  <c r="Q554" i="19" s="1"/>
  <c r="P554" i="19"/>
  <c r="O554" i="19" a="1"/>
  <c r="O554" i="19" s="1"/>
  <c r="N554" i="19" a="1"/>
  <c r="N554" i="19" s="1"/>
  <c r="L554" i="19" a="1"/>
  <c r="L554" i="19" s="1"/>
  <c r="K554" i="19"/>
  <c r="J554" i="19" a="1"/>
  <c r="J554" i="19" s="1"/>
  <c r="I554" i="19" a="1"/>
  <c r="I554" i="19" s="1"/>
  <c r="H554" i="19" a="1"/>
  <c r="H554" i="19" s="1"/>
  <c r="G554" i="19" a="1"/>
  <c r="G554" i="19" s="1"/>
  <c r="F554" i="19" a="1"/>
  <c r="F554" i="19" s="1"/>
  <c r="E554" i="19" a="1"/>
  <c r="E554" i="19" s="1"/>
  <c r="D554" i="19" a="1"/>
  <c r="D554" i="19" s="1"/>
  <c r="C554" i="19" a="1"/>
  <c r="C554" i="19" s="1"/>
  <c r="B554" i="19" a="1"/>
  <c r="B554" i="19" s="1"/>
  <c r="U553" i="19" a="1"/>
  <c r="U553" i="19" s="1"/>
  <c r="T553" i="19" a="1"/>
  <c r="T553" i="19" s="1"/>
  <c r="S553" i="19" a="1"/>
  <c r="S553" i="19" s="1"/>
  <c r="Q553" i="19" a="1"/>
  <c r="Q553" i="19" s="1"/>
  <c r="P553" i="19"/>
  <c r="O553" i="19" a="1"/>
  <c r="O553" i="19" s="1"/>
  <c r="N553" i="19" a="1"/>
  <c r="N553" i="19" s="1"/>
  <c r="L553" i="19" a="1"/>
  <c r="L553" i="19" s="1"/>
  <c r="K553" i="19"/>
  <c r="J553" i="19" a="1"/>
  <c r="J553" i="19" s="1"/>
  <c r="I553" i="19" a="1"/>
  <c r="I553" i="19" s="1"/>
  <c r="H553" i="19" a="1"/>
  <c r="H553" i="19" s="1"/>
  <c r="G553" i="19" a="1"/>
  <c r="G553" i="19" s="1"/>
  <c r="F553" i="19" a="1"/>
  <c r="F553" i="19" s="1"/>
  <c r="E553" i="19" a="1"/>
  <c r="E553" i="19" s="1"/>
  <c r="D553" i="19" a="1"/>
  <c r="D553" i="19" s="1"/>
  <c r="C553" i="19" a="1"/>
  <c r="C553" i="19" s="1"/>
  <c r="B553" i="19" a="1"/>
  <c r="B553" i="19" s="1"/>
  <c r="U552" i="19" a="1"/>
  <c r="U552" i="19" s="1"/>
  <c r="T552" i="19" a="1"/>
  <c r="T552" i="19" s="1"/>
  <c r="S552" i="19" a="1"/>
  <c r="S552" i="19" s="1"/>
  <c r="Q552" i="19" a="1"/>
  <c r="Q552" i="19" s="1"/>
  <c r="P552" i="19"/>
  <c r="O552" i="19" a="1"/>
  <c r="O552" i="19" s="1"/>
  <c r="N552" i="19" a="1"/>
  <c r="N552" i="19" s="1"/>
  <c r="L552" i="19" a="1"/>
  <c r="L552" i="19" s="1"/>
  <c r="K552" i="19"/>
  <c r="J552" i="19" a="1"/>
  <c r="J552" i="19" s="1"/>
  <c r="I552" i="19" a="1"/>
  <c r="I552" i="19" s="1"/>
  <c r="H552" i="19" a="1"/>
  <c r="H552" i="19" s="1"/>
  <c r="G552" i="19" a="1"/>
  <c r="G552" i="19" s="1"/>
  <c r="F552" i="19" a="1"/>
  <c r="F552" i="19" s="1"/>
  <c r="E552" i="19" a="1"/>
  <c r="E552" i="19" s="1"/>
  <c r="D552" i="19" a="1"/>
  <c r="D552" i="19" s="1"/>
  <c r="C552" i="19" a="1"/>
  <c r="C552" i="19" s="1"/>
  <c r="B552" i="19" a="1"/>
  <c r="B552" i="19" s="1"/>
  <c r="U551" i="19" a="1"/>
  <c r="U551" i="19" s="1"/>
  <c r="T551" i="19" a="1"/>
  <c r="T551" i="19" s="1"/>
  <c r="S551" i="19" a="1"/>
  <c r="S551" i="19" s="1"/>
  <c r="Q551" i="19" a="1"/>
  <c r="Q551" i="19" s="1"/>
  <c r="P551" i="19"/>
  <c r="O551" i="19" a="1"/>
  <c r="O551" i="19" s="1"/>
  <c r="N551" i="19" a="1"/>
  <c r="N551" i="19" s="1"/>
  <c r="L551" i="19" a="1"/>
  <c r="L551" i="19" s="1"/>
  <c r="K551" i="19"/>
  <c r="J551" i="19" a="1"/>
  <c r="J551" i="19" s="1"/>
  <c r="I551" i="19" a="1"/>
  <c r="I551" i="19" s="1"/>
  <c r="H551" i="19" a="1"/>
  <c r="H551" i="19" s="1"/>
  <c r="G551" i="19" a="1"/>
  <c r="G551" i="19" s="1"/>
  <c r="F551" i="19" a="1"/>
  <c r="F551" i="19" s="1"/>
  <c r="E551" i="19" a="1"/>
  <c r="E551" i="19" s="1"/>
  <c r="D551" i="19" a="1"/>
  <c r="D551" i="19" s="1"/>
  <c r="C551" i="19" a="1"/>
  <c r="C551" i="19" s="1"/>
  <c r="B551" i="19" a="1"/>
  <c r="B551" i="19" s="1"/>
  <c r="U550" i="19" a="1"/>
  <c r="U550" i="19" s="1"/>
  <c r="T550" i="19" a="1"/>
  <c r="T550" i="19" s="1"/>
  <c r="S550" i="19" a="1"/>
  <c r="S550" i="19" s="1"/>
  <c r="Q550" i="19" a="1"/>
  <c r="Q550" i="19" s="1"/>
  <c r="P550" i="19"/>
  <c r="O550" i="19" a="1"/>
  <c r="O550" i="19" s="1"/>
  <c r="N550" i="19" a="1"/>
  <c r="N550" i="19" s="1"/>
  <c r="L550" i="19" a="1"/>
  <c r="L550" i="19" s="1"/>
  <c r="K550" i="19"/>
  <c r="J550" i="19" a="1"/>
  <c r="J550" i="19" s="1"/>
  <c r="I550" i="19" a="1"/>
  <c r="I550" i="19" s="1"/>
  <c r="H550" i="19" a="1"/>
  <c r="H550" i="19" s="1"/>
  <c r="G550" i="19" a="1"/>
  <c r="G550" i="19" s="1"/>
  <c r="F550" i="19" a="1"/>
  <c r="F550" i="19" s="1"/>
  <c r="E550" i="19" a="1"/>
  <c r="E550" i="19" s="1"/>
  <c r="D550" i="19" a="1"/>
  <c r="D550" i="19" s="1"/>
  <c r="C550" i="19" a="1"/>
  <c r="C550" i="19" s="1"/>
  <c r="B550" i="19" a="1"/>
  <c r="B550" i="19" s="1"/>
  <c r="U549" i="19" a="1"/>
  <c r="U549" i="19" s="1"/>
  <c r="T549" i="19" a="1"/>
  <c r="T549" i="19" s="1"/>
  <c r="S549" i="19" a="1"/>
  <c r="S549" i="19" s="1"/>
  <c r="Q549" i="19" a="1"/>
  <c r="Q549" i="19" s="1"/>
  <c r="P549" i="19"/>
  <c r="O549" i="19" a="1"/>
  <c r="O549" i="19" s="1"/>
  <c r="N549" i="19" a="1"/>
  <c r="N549" i="19" s="1"/>
  <c r="L549" i="19" a="1"/>
  <c r="L549" i="19" s="1"/>
  <c r="K549" i="19"/>
  <c r="J549" i="19" a="1"/>
  <c r="J549" i="19" s="1"/>
  <c r="I549" i="19" a="1"/>
  <c r="I549" i="19" s="1"/>
  <c r="H549" i="19" a="1"/>
  <c r="H549" i="19" s="1"/>
  <c r="G549" i="19" a="1"/>
  <c r="G549" i="19" s="1"/>
  <c r="F549" i="19" a="1"/>
  <c r="F549" i="19" s="1"/>
  <c r="E549" i="19" a="1"/>
  <c r="E549" i="19" s="1"/>
  <c r="D549" i="19" a="1"/>
  <c r="D549" i="19" s="1"/>
  <c r="C549" i="19" a="1"/>
  <c r="C549" i="19" s="1"/>
  <c r="B549" i="19" a="1"/>
  <c r="B549" i="19" s="1"/>
  <c r="U548" i="19" a="1"/>
  <c r="U548" i="19" s="1"/>
  <c r="T548" i="19" a="1"/>
  <c r="T548" i="19" s="1"/>
  <c r="S548" i="19" a="1"/>
  <c r="S548" i="19" s="1"/>
  <c r="Q548" i="19" a="1"/>
  <c r="Q548" i="19" s="1"/>
  <c r="P548" i="19"/>
  <c r="O548" i="19" a="1"/>
  <c r="O548" i="19" s="1"/>
  <c r="N548" i="19" a="1"/>
  <c r="N548" i="19" s="1"/>
  <c r="L548" i="19" a="1"/>
  <c r="L548" i="19" s="1"/>
  <c r="K548" i="19"/>
  <c r="J548" i="19" a="1"/>
  <c r="J548" i="19" s="1"/>
  <c r="I548" i="19" a="1"/>
  <c r="I548" i="19" s="1"/>
  <c r="H548" i="19" a="1"/>
  <c r="H548" i="19" s="1"/>
  <c r="G548" i="19" a="1"/>
  <c r="G548" i="19" s="1"/>
  <c r="F548" i="19" a="1"/>
  <c r="F548" i="19" s="1"/>
  <c r="E548" i="19" a="1"/>
  <c r="E548" i="19" s="1"/>
  <c r="D548" i="19" a="1"/>
  <c r="D548" i="19" s="1"/>
  <c r="C548" i="19" a="1"/>
  <c r="C548" i="19" s="1"/>
  <c r="B548" i="19" a="1"/>
  <c r="B548" i="19" s="1"/>
  <c r="U547" i="19" a="1"/>
  <c r="U547" i="19" s="1"/>
  <c r="T547" i="19" a="1"/>
  <c r="T547" i="19" s="1"/>
  <c r="S547" i="19" a="1"/>
  <c r="S547" i="19" s="1"/>
  <c r="Q547" i="19" a="1"/>
  <c r="Q547" i="19" s="1"/>
  <c r="P547" i="19"/>
  <c r="O547" i="19" a="1"/>
  <c r="O547" i="19" s="1"/>
  <c r="N547" i="19" a="1"/>
  <c r="N547" i="19" s="1"/>
  <c r="L547" i="19" a="1"/>
  <c r="L547" i="19" s="1"/>
  <c r="K547" i="19"/>
  <c r="J547" i="19" a="1"/>
  <c r="J547" i="19" s="1"/>
  <c r="I547" i="19" a="1"/>
  <c r="I547" i="19" s="1"/>
  <c r="H547" i="19" a="1"/>
  <c r="H547" i="19" s="1"/>
  <c r="G547" i="19" a="1"/>
  <c r="G547" i="19" s="1"/>
  <c r="F547" i="19" a="1"/>
  <c r="F547" i="19" s="1"/>
  <c r="E547" i="19" a="1"/>
  <c r="E547" i="19" s="1"/>
  <c r="D547" i="19" a="1"/>
  <c r="D547" i="19" s="1"/>
  <c r="C547" i="19" a="1"/>
  <c r="C547" i="19" s="1"/>
  <c r="B547" i="19" a="1"/>
  <c r="B547" i="19" s="1"/>
  <c r="U546" i="19" a="1"/>
  <c r="U546" i="19" s="1"/>
  <c r="T546" i="19" a="1"/>
  <c r="T546" i="19" s="1"/>
  <c r="S546" i="19" a="1"/>
  <c r="S546" i="19" s="1"/>
  <c r="Q546" i="19" a="1"/>
  <c r="Q546" i="19" s="1"/>
  <c r="P546" i="19"/>
  <c r="O546" i="19" a="1"/>
  <c r="O546" i="19" s="1"/>
  <c r="N546" i="19" a="1"/>
  <c r="N546" i="19" s="1"/>
  <c r="L546" i="19" a="1"/>
  <c r="L546" i="19" s="1"/>
  <c r="K546" i="19"/>
  <c r="J546" i="19" a="1"/>
  <c r="J546" i="19" s="1"/>
  <c r="I546" i="19" a="1"/>
  <c r="I546" i="19" s="1"/>
  <c r="H546" i="19" a="1"/>
  <c r="H546" i="19" s="1"/>
  <c r="G546" i="19" a="1"/>
  <c r="G546" i="19" s="1"/>
  <c r="F546" i="19" a="1"/>
  <c r="F546" i="19" s="1"/>
  <c r="E546" i="19" a="1"/>
  <c r="E546" i="19" s="1"/>
  <c r="D546" i="19" a="1"/>
  <c r="D546" i="19" s="1"/>
  <c r="C546" i="19" a="1"/>
  <c r="C546" i="19" s="1"/>
  <c r="B546" i="19" a="1"/>
  <c r="B546" i="19" s="1"/>
  <c r="U545" i="19" a="1"/>
  <c r="U545" i="19" s="1"/>
  <c r="T545" i="19" a="1"/>
  <c r="T545" i="19" s="1"/>
  <c r="S545" i="19" a="1"/>
  <c r="S545" i="19" s="1"/>
  <c r="Q545" i="19" a="1"/>
  <c r="Q545" i="19" s="1"/>
  <c r="P545" i="19"/>
  <c r="O545" i="19" a="1"/>
  <c r="O545" i="19" s="1"/>
  <c r="N545" i="19" a="1"/>
  <c r="N545" i="19" s="1"/>
  <c r="L545" i="19" a="1"/>
  <c r="L545" i="19" s="1"/>
  <c r="K545" i="19"/>
  <c r="J545" i="19" a="1"/>
  <c r="J545" i="19" s="1"/>
  <c r="I545" i="19" a="1"/>
  <c r="I545" i="19" s="1"/>
  <c r="H545" i="19" a="1"/>
  <c r="H545" i="19" s="1"/>
  <c r="G545" i="19" a="1"/>
  <c r="G545" i="19" s="1"/>
  <c r="F545" i="19" a="1"/>
  <c r="F545" i="19" s="1"/>
  <c r="E545" i="19" a="1"/>
  <c r="E545" i="19" s="1"/>
  <c r="D545" i="19" a="1"/>
  <c r="D545" i="19" s="1"/>
  <c r="C545" i="19" a="1"/>
  <c r="C545" i="19" s="1"/>
  <c r="B545" i="19" a="1"/>
  <c r="B545" i="19" s="1"/>
  <c r="U544" i="19" a="1"/>
  <c r="U544" i="19" s="1"/>
  <c r="T544" i="19" a="1"/>
  <c r="T544" i="19" s="1"/>
  <c r="S544" i="19" a="1"/>
  <c r="S544" i="19" s="1"/>
  <c r="Q544" i="19" a="1"/>
  <c r="Q544" i="19" s="1"/>
  <c r="P544" i="19"/>
  <c r="O544" i="19" a="1"/>
  <c r="O544" i="19" s="1"/>
  <c r="N544" i="19" a="1"/>
  <c r="N544" i="19" s="1"/>
  <c r="L544" i="19" a="1"/>
  <c r="L544" i="19" s="1"/>
  <c r="K544" i="19"/>
  <c r="J544" i="19" a="1"/>
  <c r="J544" i="19" s="1"/>
  <c r="I544" i="19" a="1"/>
  <c r="I544" i="19" s="1"/>
  <c r="H544" i="19" a="1"/>
  <c r="H544" i="19" s="1"/>
  <c r="G544" i="19" a="1"/>
  <c r="G544" i="19" s="1"/>
  <c r="F544" i="19" a="1"/>
  <c r="F544" i="19" s="1"/>
  <c r="E544" i="19" a="1"/>
  <c r="E544" i="19" s="1"/>
  <c r="D544" i="19" a="1"/>
  <c r="D544" i="19" s="1"/>
  <c r="C544" i="19" a="1"/>
  <c r="C544" i="19" s="1"/>
  <c r="B544" i="19" a="1"/>
  <c r="B544" i="19" s="1"/>
  <c r="U543" i="19" a="1"/>
  <c r="U543" i="19" s="1"/>
  <c r="T543" i="19" a="1"/>
  <c r="T543" i="19" s="1"/>
  <c r="S543" i="19" a="1"/>
  <c r="S543" i="19" s="1"/>
  <c r="Q543" i="19" a="1"/>
  <c r="Q543" i="19" s="1"/>
  <c r="P543" i="19"/>
  <c r="O543" i="19" a="1"/>
  <c r="O543" i="19" s="1"/>
  <c r="N543" i="19" a="1"/>
  <c r="N543" i="19" s="1"/>
  <c r="L543" i="19" a="1"/>
  <c r="L543" i="19" s="1"/>
  <c r="K543" i="19"/>
  <c r="J543" i="19" a="1"/>
  <c r="J543" i="19" s="1"/>
  <c r="I543" i="19" a="1"/>
  <c r="I543" i="19" s="1"/>
  <c r="H543" i="19" a="1"/>
  <c r="H543" i="19" s="1"/>
  <c r="G543" i="19" a="1"/>
  <c r="G543" i="19" s="1"/>
  <c r="F543" i="19" a="1"/>
  <c r="F543" i="19" s="1"/>
  <c r="E543" i="19" a="1"/>
  <c r="E543" i="19" s="1"/>
  <c r="D543" i="19" a="1"/>
  <c r="D543" i="19" s="1"/>
  <c r="C543" i="19" a="1"/>
  <c r="C543" i="19" s="1"/>
  <c r="B543" i="19" a="1"/>
  <c r="B543" i="19" s="1"/>
  <c r="U542" i="19" a="1"/>
  <c r="U542" i="19" s="1"/>
  <c r="T542" i="19" a="1"/>
  <c r="T542" i="19" s="1"/>
  <c r="S542" i="19" a="1"/>
  <c r="S542" i="19" s="1"/>
  <c r="Q542" i="19" a="1"/>
  <c r="Q542" i="19" s="1"/>
  <c r="P542" i="19"/>
  <c r="O542" i="19" a="1"/>
  <c r="O542" i="19" s="1"/>
  <c r="N542" i="19" a="1"/>
  <c r="N542" i="19" s="1"/>
  <c r="L542" i="19" a="1"/>
  <c r="L542" i="19" s="1"/>
  <c r="K542" i="19"/>
  <c r="J542" i="19" a="1"/>
  <c r="J542" i="19" s="1"/>
  <c r="I542" i="19" a="1"/>
  <c r="I542" i="19" s="1"/>
  <c r="H542" i="19" a="1"/>
  <c r="H542" i="19" s="1"/>
  <c r="G542" i="19" a="1"/>
  <c r="G542" i="19" s="1"/>
  <c r="F542" i="19" a="1"/>
  <c r="F542" i="19" s="1"/>
  <c r="E542" i="19" a="1"/>
  <c r="E542" i="19" s="1"/>
  <c r="D542" i="19" a="1"/>
  <c r="D542" i="19" s="1"/>
  <c r="C542" i="19" a="1"/>
  <c r="C542" i="19" s="1"/>
  <c r="B542" i="19" a="1"/>
  <c r="B542" i="19" s="1"/>
  <c r="U541" i="19" a="1"/>
  <c r="U541" i="19" s="1"/>
  <c r="T541" i="19" a="1"/>
  <c r="T541" i="19" s="1"/>
  <c r="S541" i="19" a="1"/>
  <c r="S541" i="19" s="1"/>
  <c r="Q541" i="19" a="1"/>
  <c r="Q541" i="19" s="1"/>
  <c r="P541" i="19"/>
  <c r="O541" i="19" a="1"/>
  <c r="O541" i="19" s="1"/>
  <c r="N541" i="19" a="1"/>
  <c r="N541" i="19" s="1"/>
  <c r="L541" i="19" a="1"/>
  <c r="L541" i="19" s="1"/>
  <c r="K541" i="19"/>
  <c r="J541" i="19" a="1"/>
  <c r="J541" i="19" s="1"/>
  <c r="I541" i="19" a="1"/>
  <c r="I541" i="19" s="1"/>
  <c r="H541" i="19" a="1"/>
  <c r="H541" i="19" s="1"/>
  <c r="G541" i="19" a="1"/>
  <c r="G541" i="19" s="1"/>
  <c r="F541" i="19" a="1"/>
  <c r="F541" i="19" s="1"/>
  <c r="E541" i="19" a="1"/>
  <c r="E541" i="19" s="1"/>
  <c r="D541" i="19" a="1"/>
  <c r="D541" i="19" s="1"/>
  <c r="C541" i="19" a="1"/>
  <c r="C541" i="19" s="1"/>
  <c r="B541" i="19" a="1"/>
  <c r="B541" i="19" s="1"/>
  <c r="U540" i="19" a="1"/>
  <c r="U540" i="19" s="1"/>
  <c r="T540" i="19" a="1"/>
  <c r="T540" i="19" s="1"/>
  <c r="S540" i="19" a="1"/>
  <c r="S540" i="19" s="1"/>
  <c r="Q540" i="19" a="1"/>
  <c r="Q540" i="19" s="1"/>
  <c r="P540" i="19"/>
  <c r="O540" i="19" a="1"/>
  <c r="O540" i="19" s="1"/>
  <c r="N540" i="19" a="1"/>
  <c r="N540" i="19" s="1"/>
  <c r="L540" i="19" a="1"/>
  <c r="L540" i="19" s="1"/>
  <c r="K540" i="19"/>
  <c r="J540" i="19" a="1"/>
  <c r="J540" i="19" s="1"/>
  <c r="I540" i="19" a="1"/>
  <c r="I540" i="19" s="1"/>
  <c r="H540" i="19" a="1"/>
  <c r="H540" i="19" s="1"/>
  <c r="G540" i="19" a="1"/>
  <c r="G540" i="19" s="1"/>
  <c r="F540" i="19" a="1"/>
  <c r="F540" i="19" s="1"/>
  <c r="E540" i="19" a="1"/>
  <c r="E540" i="19" s="1"/>
  <c r="D540" i="19" a="1"/>
  <c r="D540" i="19" s="1"/>
  <c r="C540" i="19" a="1"/>
  <c r="C540" i="19" s="1"/>
  <c r="B540" i="19" a="1"/>
  <c r="B540" i="19" s="1"/>
  <c r="U539" i="19" a="1"/>
  <c r="U539" i="19" s="1"/>
  <c r="T539" i="19" a="1"/>
  <c r="T539" i="19" s="1"/>
  <c r="S539" i="19" a="1"/>
  <c r="S539" i="19" s="1"/>
  <c r="Q539" i="19" a="1"/>
  <c r="Q539" i="19" s="1"/>
  <c r="P539" i="19"/>
  <c r="O539" i="19" a="1"/>
  <c r="O539" i="19" s="1"/>
  <c r="N539" i="19" a="1"/>
  <c r="N539" i="19" s="1"/>
  <c r="L539" i="19" a="1"/>
  <c r="L539" i="19" s="1"/>
  <c r="K539" i="19"/>
  <c r="J539" i="19" a="1"/>
  <c r="J539" i="19" s="1"/>
  <c r="I539" i="19" a="1"/>
  <c r="I539" i="19" s="1"/>
  <c r="H539" i="19" a="1"/>
  <c r="H539" i="19" s="1"/>
  <c r="G539" i="19" a="1"/>
  <c r="G539" i="19" s="1"/>
  <c r="F539" i="19" a="1"/>
  <c r="F539" i="19" s="1"/>
  <c r="E539" i="19" a="1"/>
  <c r="E539" i="19" s="1"/>
  <c r="D539" i="19" a="1"/>
  <c r="D539" i="19" s="1"/>
  <c r="C539" i="19" a="1"/>
  <c r="C539" i="19" s="1"/>
  <c r="B539" i="19" a="1"/>
  <c r="B539" i="19" s="1"/>
  <c r="U538" i="19" a="1"/>
  <c r="U538" i="19" s="1"/>
  <c r="T538" i="19" a="1"/>
  <c r="T538" i="19" s="1"/>
  <c r="S538" i="19" a="1"/>
  <c r="S538" i="19" s="1"/>
  <c r="Q538" i="19" a="1"/>
  <c r="Q538" i="19" s="1"/>
  <c r="P538" i="19"/>
  <c r="O538" i="19" a="1"/>
  <c r="O538" i="19" s="1"/>
  <c r="N538" i="19" a="1"/>
  <c r="N538" i="19" s="1"/>
  <c r="L538" i="19" a="1"/>
  <c r="L538" i="19" s="1"/>
  <c r="K538" i="19"/>
  <c r="J538" i="19" a="1"/>
  <c r="J538" i="19" s="1"/>
  <c r="I538" i="19" a="1"/>
  <c r="I538" i="19" s="1"/>
  <c r="H538" i="19" a="1"/>
  <c r="H538" i="19" s="1"/>
  <c r="G538" i="19" a="1"/>
  <c r="G538" i="19" s="1"/>
  <c r="F538" i="19" a="1"/>
  <c r="F538" i="19" s="1"/>
  <c r="E538" i="19" a="1"/>
  <c r="E538" i="19" s="1"/>
  <c r="D538" i="19" a="1"/>
  <c r="D538" i="19" s="1"/>
  <c r="C538" i="19" a="1"/>
  <c r="C538" i="19" s="1"/>
  <c r="B538" i="19" a="1"/>
  <c r="B538" i="19" s="1"/>
  <c r="U537" i="19" a="1"/>
  <c r="U537" i="19" s="1"/>
  <c r="T537" i="19" a="1"/>
  <c r="T537" i="19" s="1"/>
  <c r="S537" i="19" a="1"/>
  <c r="S537" i="19" s="1"/>
  <c r="Q537" i="19" a="1"/>
  <c r="Q537" i="19" s="1"/>
  <c r="P537" i="19"/>
  <c r="O537" i="19" a="1"/>
  <c r="O537" i="19" s="1"/>
  <c r="N537" i="19" a="1"/>
  <c r="N537" i="19" s="1"/>
  <c r="L537" i="19" a="1"/>
  <c r="L537" i="19" s="1"/>
  <c r="K537" i="19"/>
  <c r="J537" i="19" a="1"/>
  <c r="J537" i="19" s="1"/>
  <c r="I537" i="19" a="1"/>
  <c r="I537" i="19" s="1"/>
  <c r="H537" i="19" a="1"/>
  <c r="H537" i="19" s="1"/>
  <c r="G537" i="19" a="1"/>
  <c r="G537" i="19" s="1"/>
  <c r="F537" i="19" a="1"/>
  <c r="F537" i="19" s="1"/>
  <c r="E537" i="19" a="1"/>
  <c r="E537" i="19" s="1"/>
  <c r="D537" i="19" a="1"/>
  <c r="D537" i="19" s="1"/>
  <c r="C537" i="19" a="1"/>
  <c r="C537" i="19" s="1"/>
  <c r="B537" i="19" a="1"/>
  <c r="B537" i="19" s="1"/>
  <c r="U536" i="19" a="1"/>
  <c r="U536" i="19" s="1"/>
  <c r="T536" i="19" a="1"/>
  <c r="T536" i="19" s="1"/>
  <c r="S536" i="19" a="1"/>
  <c r="S536" i="19" s="1"/>
  <c r="Q536" i="19" a="1"/>
  <c r="Q536" i="19" s="1"/>
  <c r="P536" i="19"/>
  <c r="O536" i="19" a="1"/>
  <c r="O536" i="19" s="1"/>
  <c r="N536" i="19" a="1"/>
  <c r="N536" i="19" s="1"/>
  <c r="L536" i="19" a="1"/>
  <c r="L536" i="19" s="1"/>
  <c r="K536" i="19"/>
  <c r="J536" i="19" a="1"/>
  <c r="J536" i="19" s="1"/>
  <c r="I536" i="19" a="1"/>
  <c r="I536" i="19" s="1"/>
  <c r="H536" i="19" a="1"/>
  <c r="H536" i="19" s="1"/>
  <c r="G536" i="19" a="1"/>
  <c r="G536" i="19" s="1"/>
  <c r="F536" i="19" a="1"/>
  <c r="F536" i="19" s="1"/>
  <c r="E536" i="19" a="1"/>
  <c r="E536" i="19" s="1"/>
  <c r="D536" i="19" a="1"/>
  <c r="D536" i="19" s="1"/>
  <c r="C536" i="19" a="1"/>
  <c r="C536" i="19" s="1"/>
  <c r="B536" i="19" a="1"/>
  <c r="B536" i="19" s="1"/>
  <c r="U535" i="19" a="1"/>
  <c r="U535" i="19" s="1"/>
  <c r="T535" i="19" a="1"/>
  <c r="T535" i="19" s="1"/>
  <c r="S535" i="19" a="1"/>
  <c r="S535" i="19" s="1"/>
  <c r="Q535" i="19" a="1"/>
  <c r="Q535" i="19" s="1"/>
  <c r="P535" i="19"/>
  <c r="O535" i="19" a="1"/>
  <c r="O535" i="19" s="1"/>
  <c r="N535" i="19" a="1"/>
  <c r="N535" i="19" s="1"/>
  <c r="L535" i="19" a="1"/>
  <c r="L535" i="19" s="1"/>
  <c r="K535" i="19"/>
  <c r="J535" i="19" a="1"/>
  <c r="J535" i="19" s="1"/>
  <c r="I535" i="19" a="1"/>
  <c r="I535" i="19" s="1"/>
  <c r="H535" i="19" a="1"/>
  <c r="H535" i="19" s="1"/>
  <c r="G535" i="19" a="1"/>
  <c r="G535" i="19" s="1"/>
  <c r="F535" i="19" a="1"/>
  <c r="F535" i="19" s="1"/>
  <c r="E535" i="19" a="1"/>
  <c r="E535" i="19" s="1"/>
  <c r="D535" i="19" a="1"/>
  <c r="D535" i="19" s="1"/>
  <c r="C535" i="19" a="1"/>
  <c r="C535" i="19" s="1"/>
  <c r="B535" i="19" a="1"/>
  <c r="B535" i="19" s="1"/>
  <c r="U534" i="19" a="1"/>
  <c r="U534" i="19" s="1"/>
  <c r="T534" i="19" a="1"/>
  <c r="T534" i="19" s="1"/>
  <c r="S534" i="19" a="1"/>
  <c r="S534" i="19" s="1"/>
  <c r="Q534" i="19" a="1"/>
  <c r="Q534" i="19" s="1"/>
  <c r="P534" i="19"/>
  <c r="O534" i="19" a="1"/>
  <c r="O534" i="19" s="1"/>
  <c r="N534" i="19" a="1"/>
  <c r="N534" i="19" s="1"/>
  <c r="L534" i="19" a="1"/>
  <c r="L534" i="19" s="1"/>
  <c r="K534" i="19"/>
  <c r="J534" i="19" a="1"/>
  <c r="J534" i="19" s="1"/>
  <c r="I534" i="19" a="1"/>
  <c r="I534" i="19" s="1"/>
  <c r="H534" i="19" a="1"/>
  <c r="H534" i="19" s="1"/>
  <c r="G534" i="19" a="1"/>
  <c r="G534" i="19" s="1"/>
  <c r="F534" i="19" a="1"/>
  <c r="F534" i="19" s="1"/>
  <c r="E534" i="19" a="1"/>
  <c r="E534" i="19" s="1"/>
  <c r="D534" i="19" a="1"/>
  <c r="D534" i="19" s="1"/>
  <c r="C534" i="19" a="1"/>
  <c r="C534" i="19" s="1"/>
  <c r="B534" i="19" a="1"/>
  <c r="B534" i="19" s="1"/>
  <c r="U533" i="19" a="1"/>
  <c r="U533" i="19" s="1"/>
  <c r="T533" i="19" a="1"/>
  <c r="T533" i="19" s="1"/>
  <c r="S533" i="19" a="1"/>
  <c r="S533" i="19" s="1"/>
  <c r="Q533" i="19" a="1"/>
  <c r="Q533" i="19" s="1"/>
  <c r="P533" i="19"/>
  <c r="O533" i="19" a="1"/>
  <c r="O533" i="19" s="1"/>
  <c r="N533" i="19" a="1"/>
  <c r="N533" i="19" s="1"/>
  <c r="L533" i="19" a="1"/>
  <c r="L533" i="19" s="1"/>
  <c r="K533" i="19"/>
  <c r="J533" i="19" a="1"/>
  <c r="J533" i="19" s="1"/>
  <c r="I533" i="19" a="1"/>
  <c r="I533" i="19" s="1"/>
  <c r="H533" i="19" a="1"/>
  <c r="H533" i="19" s="1"/>
  <c r="G533" i="19" a="1"/>
  <c r="G533" i="19" s="1"/>
  <c r="F533" i="19" a="1"/>
  <c r="F533" i="19" s="1"/>
  <c r="E533" i="19" a="1"/>
  <c r="E533" i="19" s="1"/>
  <c r="D533" i="19" a="1"/>
  <c r="D533" i="19" s="1"/>
  <c r="C533" i="19" a="1"/>
  <c r="C533" i="19" s="1"/>
  <c r="B533" i="19" a="1"/>
  <c r="B533" i="19" s="1"/>
  <c r="U532" i="19" a="1"/>
  <c r="U532" i="19" s="1"/>
  <c r="T532" i="19" a="1"/>
  <c r="T532" i="19" s="1"/>
  <c r="S532" i="19" a="1"/>
  <c r="S532" i="19" s="1"/>
  <c r="Q532" i="19" a="1"/>
  <c r="Q532" i="19" s="1"/>
  <c r="P532" i="19"/>
  <c r="O532" i="19" a="1"/>
  <c r="O532" i="19" s="1"/>
  <c r="N532" i="19" a="1"/>
  <c r="N532" i="19" s="1"/>
  <c r="L532" i="19" a="1"/>
  <c r="L532" i="19" s="1"/>
  <c r="K532" i="19"/>
  <c r="J532" i="19" a="1"/>
  <c r="J532" i="19" s="1"/>
  <c r="I532" i="19" a="1"/>
  <c r="I532" i="19" s="1"/>
  <c r="H532" i="19" a="1"/>
  <c r="H532" i="19" s="1"/>
  <c r="G532" i="19" a="1"/>
  <c r="G532" i="19" s="1"/>
  <c r="F532" i="19" a="1"/>
  <c r="F532" i="19" s="1"/>
  <c r="E532" i="19" a="1"/>
  <c r="E532" i="19" s="1"/>
  <c r="D532" i="19" a="1"/>
  <c r="D532" i="19" s="1"/>
  <c r="C532" i="19" a="1"/>
  <c r="C532" i="19" s="1"/>
  <c r="B532" i="19" a="1"/>
  <c r="B532" i="19" s="1"/>
  <c r="U531" i="19" a="1"/>
  <c r="U531" i="19" s="1"/>
  <c r="T531" i="19" a="1"/>
  <c r="T531" i="19" s="1"/>
  <c r="S531" i="19" a="1"/>
  <c r="S531" i="19" s="1"/>
  <c r="Q531" i="19" a="1"/>
  <c r="Q531" i="19" s="1"/>
  <c r="P531" i="19"/>
  <c r="O531" i="19" a="1"/>
  <c r="O531" i="19" s="1"/>
  <c r="N531" i="19" a="1"/>
  <c r="N531" i="19" s="1"/>
  <c r="L531" i="19" a="1"/>
  <c r="L531" i="19" s="1"/>
  <c r="K531" i="19"/>
  <c r="J531" i="19" a="1"/>
  <c r="J531" i="19" s="1"/>
  <c r="I531" i="19" a="1"/>
  <c r="I531" i="19" s="1"/>
  <c r="H531" i="19" a="1"/>
  <c r="H531" i="19" s="1"/>
  <c r="G531" i="19" a="1"/>
  <c r="G531" i="19" s="1"/>
  <c r="F531" i="19" a="1"/>
  <c r="F531" i="19" s="1"/>
  <c r="E531" i="19" a="1"/>
  <c r="E531" i="19" s="1"/>
  <c r="D531" i="19" a="1"/>
  <c r="D531" i="19" s="1"/>
  <c r="C531" i="19" a="1"/>
  <c r="C531" i="19" s="1"/>
  <c r="B531" i="19" a="1"/>
  <c r="B531" i="19" s="1"/>
  <c r="U530" i="19" a="1"/>
  <c r="U530" i="19" s="1"/>
  <c r="T530" i="19" a="1"/>
  <c r="T530" i="19" s="1"/>
  <c r="S530" i="19" a="1"/>
  <c r="S530" i="19" s="1"/>
  <c r="Q530" i="19" a="1"/>
  <c r="Q530" i="19" s="1"/>
  <c r="P530" i="19"/>
  <c r="O530" i="19" a="1"/>
  <c r="O530" i="19" s="1"/>
  <c r="N530" i="19" a="1"/>
  <c r="N530" i="19" s="1"/>
  <c r="L530" i="19" a="1"/>
  <c r="L530" i="19" s="1"/>
  <c r="K530" i="19"/>
  <c r="J530" i="19" a="1"/>
  <c r="J530" i="19" s="1"/>
  <c r="I530" i="19" a="1"/>
  <c r="I530" i="19" s="1"/>
  <c r="H530" i="19" a="1"/>
  <c r="H530" i="19" s="1"/>
  <c r="G530" i="19" a="1"/>
  <c r="G530" i="19" s="1"/>
  <c r="F530" i="19" a="1"/>
  <c r="F530" i="19" s="1"/>
  <c r="E530" i="19" a="1"/>
  <c r="E530" i="19" s="1"/>
  <c r="D530" i="19" a="1"/>
  <c r="D530" i="19" s="1"/>
  <c r="C530" i="19" a="1"/>
  <c r="C530" i="19" s="1"/>
  <c r="B530" i="19" a="1"/>
  <c r="B530" i="19" s="1"/>
  <c r="U529" i="19" a="1"/>
  <c r="U529" i="19" s="1"/>
  <c r="T529" i="19" a="1"/>
  <c r="T529" i="19" s="1"/>
  <c r="S529" i="19" a="1"/>
  <c r="S529" i="19" s="1"/>
  <c r="Q529" i="19" a="1"/>
  <c r="Q529" i="19" s="1"/>
  <c r="P529" i="19"/>
  <c r="O529" i="19" a="1"/>
  <c r="O529" i="19" s="1"/>
  <c r="N529" i="19" a="1"/>
  <c r="N529" i="19" s="1"/>
  <c r="L529" i="19" a="1"/>
  <c r="L529" i="19" s="1"/>
  <c r="K529" i="19"/>
  <c r="J529" i="19" a="1"/>
  <c r="J529" i="19" s="1"/>
  <c r="I529" i="19" a="1"/>
  <c r="I529" i="19" s="1"/>
  <c r="H529" i="19" a="1"/>
  <c r="H529" i="19" s="1"/>
  <c r="G529" i="19" a="1"/>
  <c r="G529" i="19" s="1"/>
  <c r="F529" i="19" a="1"/>
  <c r="F529" i="19" s="1"/>
  <c r="E529" i="19" a="1"/>
  <c r="E529" i="19" s="1"/>
  <c r="D529" i="19" a="1"/>
  <c r="D529" i="19" s="1"/>
  <c r="C529" i="19" a="1"/>
  <c r="C529" i="19" s="1"/>
  <c r="B529" i="19" a="1"/>
  <c r="B529" i="19" s="1"/>
  <c r="U528" i="19" a="1"/>
  <c r="U528" i="19" s="1"/>
  <c r="T528" i="19" a="1"/>
  <c r="T528" i="19" s="1"/>
  <c r="S528" i="19" a="1"/>
  <c r="S528" i="19" s="1"/>
  <c r="Q528" i="19" a="1"/>
  <c r="Q528" i="19" s="1"/>
  <c r="P528" i="19"/>
  <c r="O528" i="19" a="1"/>
  <c r="O528" i="19" s="1"/>
  <c r="N528" i="19" a="1"/>
  <c r="N528" i="19" s="1"/>
  <c r="L528" i="19" a="1"/>
  <c r="L528" i="19" s="1"/>
  <c r="K528" i="19"/>
  <c r="J528" i="19" a="1"/>
  <c r="J528" i="19" s="1"/>
  <c r="I528" i="19" a="1"/>
  <c r="I528" i="19" s="1"/>
  <c r="H528" i="19" a="1"/>
  <c r="H528" i="19" s="1"/>
  <c r="G528" i="19" a="1"/>
  <c r="G528" i="19" s="1"/>
  <c r="F528" i="19" a="1"/>
  <c r="F528" i="19" s="1"/>
  <c r="E528" i="19" a="1"/>
  <c r="E528" i="19" s="1"/>
  <c r="D528" i="19" a="1"/>
  <c r="D528" i="19" s="1"/>
  <c r="C528" i="19" a="1"/>
  <c r="C528" i="19" s="1"/>
  <c r="B528" i="19" a="1"/>
  <c r="B528" i="19" s="1"/>
  <c r="U527" i="19" a="1"/>
  <c r="U527" i="19" s="1"/>
  <c r="T527" i="19" a="1"/>
  <c r="T527" i="19" s="1"/>
  <c r="S527" i="19" a="1"/>
  <c r="S527" i="19" s="1"/>
  <c r="Q527" i="19" a="1"/>
  <c r="Q527" i="19" s="1"/>
  <c r="P527" i="19"/>
  <c r="O527" i="19" a="1"/>
  <c r="O527" i="19" s="1"/>
  <c r="N527" i="19" a="1"/>
  <c r="N527" i="19" s="1"/>
  <c r="L527" i="19" a="1"/>
  <c r="L527" i="19" s="1"/>
  <c r="K527" i="19"/>
  <c r="J527" i="19" a="1"/>
  <c r="J527" i="19" s="1"/>
  <c r="I527" i="19" a="1"/>
  <c r="I527" i="19" s="1"/>
  <c r="H527" i="19" a="1"/>
  <c r="H527" i="19" s="1"/>
  <c r="G527" i="19" a="1"/>
  <c r="G527" i="19" s="1"/>
  <c r="F527" i="19" a="1"/>
  <c r="F527" i="19" s="1"/>
  <c r="E527" i="19" a="1"/>
  <c r="E527" i="19" s="1"/>
  <c r="D527" i="19" a="1"/>
  <c r="D527" i="19" s="1"/>
  <c r="C527" i="19" a="1"/>
  <c r="C527" i="19" s="1"/>
  <c r="B527" i="19" a="1"/>
  <c r="B527" i="19" s="1"/>
  <c r="U526" i="19" a="1"/>
  <c r="U526" i="19" s="1"/>
  <c r="T526" i="19" a="1"/>
  <c r="T526" i="19" s="1"/>
  <c r="S526" i="19" a="1"/>
  <c r="S526" i="19" s="1"/>
  <c r="Q526" i="19" a="1"/>
  <c r="Q526" i="19" s="1"/>
  <c r="P526" i="19"/>
  <c r="O526" i="19" a="1"/>
  <c r="O526" i="19" s="1"/>
  <c r="N526" i="19" a="1"/>
  <c r="N526" i="19" s="1"/>
  <c r="L526" i="19" a="1"/>
  <c r="L526" i="19" s="1"/>
  <c r="K526" i="19"/>
  <c r="J526" i="19" a="1"/>
  <c r="J526" i="19" s="1"/>
  <c r="I526" i="19" a="1"/>
  <c r="I526" i="19" s="1"/>
  <c r="H526" i="19" a="1"/>
  <c r="H526" i="19" s="1"/>
  <c r="G526" i="19" a="1"/>
  <c r="G526" i="19" s="1"/>
  <c r="F526" i="19" a="1"/>
  <c r="F526" i="19" s="1"/>
  <c r="E526" i="19" a="1"/>
  <c r="E526" i="19" s="1"/>
  <c r="D526" i="19" a="1"/>
  <c r="D526" i="19" s="1"/>
  <c r="C526" i="19" a="1"/>
  <c r="C526" i="19" s="1"/>
  <c r="B526" i="19" a="1"/>
  <c r="B526" i="19" s="1"/>
  <c r="U525" i="19" a="1"/>
  <c r="U525" i="19" s="1"/>
  <c r="T525" i="19" a="1"/>
  <c r="T525" i="19" s="1"/>
  <c r="S525" i="19" a="1"/>
  <c r="S525" i="19" s="1"/>
  <c r="Q525" i="19" a="1"/>
  <c r="Q525" i="19" s="1"/>
  <c r="P525" i="19"/>
  <c r="O525" i="19" a="1"/>
  <c r="O525" i="19" s="1"/>
  <c r="N525" i="19" a="1"/>
  <c r="N525" i="19" s="1"/>
  <c r="L525" i="19" a="1"/>
  <c r="L525" i="19" s="1"/>
  <c r="K525" i="19"/>
  <c r="J525" i="19" a="1"/>
  <c r="J525" i="19" s="1"/>
  <c r="I525" i="19" a="1"/>
  <c r="I525" i="19" s="1"/>
  <c r="H525" i="19" a="1"/>
  <c r="H525" i="19" s="1"/>
  <c r="G525" i="19" a="1"/>
  <c r="G525" i="19" s="1"/>
  <c r="F525" i="19" a="1"/>
  <c r="F525" i="19" s="1"/>
  <c r="E525" i="19" a="1"/>
  <c r="E525" i="19" s="1"/>
  <c r="D525" i="19" a="1"/>
  <c r="D525" i="19" s="1"/>
  <c r="C525" i="19" a="1"/>
  <c r="C525" i="19" s="1"/>
  <c r="B525" i="19" a="1"/>
  <c r="B525" i="19" s="1"/>
  <c r="U524" i="19" a="1"/>
  <c r="U524" i="19" s="1"/>
  <c r="T524" i="19" a="1"/>
  <c r="T524" i="19" s="1"/>
  <c r="S524" i="19" a="1"/>
  <c r="S524" i="19" s="1"/>
  <c r="Q524" i="19" a="1"/>
  <c r="Q524" i="19" s="1"/>
  <c r="P524" i="19"/>
  <c r="O524" i="19" a="1"/>
  <c r="O524" i="19" s="1"/>
  <c r="N524" i="19" a="1"/>
  <c r="N524" i="19" s="1"/>
  <c r="L524" i="19" a="1"/>
  <c r="L524" i="19" s="1"/>
  <c r="K524" i="19"/>
  <c r="J524" i="19" a="1"/>
  <c r="J524" i="19" s="1"/>
  <c r="I524" i="19" a="1"/>
  <c r="I524" i="19" s="1"/>
  <c r="H524" i="19" a="1"/>
  <c r="H524" i="19" s="1"/>
  <c r="G524" i="19" a="1"/>
  <c r="G524" i="19" s="1"/>
  <c r="F524" i="19" a="1"/>
  <c r="F524" i="19" s="1"/>
  <c r="E524" i="19" a="1"/>
  <c r="E524" i="19" s="1"/>
  <c r="D524" i="19" a="1"/>
  <c r="D524" i="19" s="1"/>
  <c r="C524" i="19" a="1"/>
  <c r="C524" i="19" s="1"/>
  <c r="B524" i="19" a="1"/>
  <c r="B524" i="19" s="1"/>
  <c r="U523" i="19" a="1"/>
  <c r="U523" i="19" s="1"/>
  <c r="T523" i="19" a="1"/>
  <c r="T523" i="19" s="1"/>
  <c r="S523" i="19" a="1"/>
  <c r="S523" i="19" s="1"/>
  <c r="Q523" i="19" a="1"/>
  <c r="Q523" i="19" s="1"/>
  <c r="P523" i="19"/>
  <c r="O523" i="19" a="1"/>
  <c r="O523" i="19" s="1"/>
  <c r="N523" i="19" a="1"/>
  <c r="N523" i="19" s="1"/>
  <c r="L523" i="19" a="1"/>
  <c r="L523" i="19" s="1"/>
  <c r="K523" i="19"/>
  <c r="J523" i="19" a="1"/>
  <c r="J523" i="19" s="1"/>
  <c r="I523" i="19" a="1"/>
  <c r="I523" i="19" s="1"/>
  <c r="H523" i="19" a="1"/>
  <c r="H523" i="19" s="1"/>
  <c r="G523" i="19" a="1"/>
  <c r="G523" i="19" s="1"/>
  <c r="F523" i="19" a="1"/>
  <c r="F523" i="19" s="1"/>
  <c r="E523" i="19" a="1"/>
  <c r="E523" i="19" s="1"/>
  <c r="D523" i="19" a="1"/>
  <c r="D523" i="19" s="1"/>
  <c r="C523" i="19" a="1"/>
  <c r="C523" i="19" s="1"/>
  <c r="B523" i="19" a="1"/>
  <c r="B523" i="19" s="1"/>
  <c r="U522" i="19" a="1"/>
  <c r="U522" i="19" s="1"/>
  <c r="T522" i="19" a="1"/>
  <c r="T522" i="19" s="1"/>
  <c r="S522" i="19" a="1"/>
  <c r="S522" i="19" s="1"/>
  <c r="Q522" i="19" a="1"/>
  <c r="Q522" i="19" s="1"/>
  <c r="P522" i="19"/>
  <c r="O522" i="19" a="1"/>
  <c r="O522" i="19" s="1"/>
  <c r="N522" i="19" a="1"/>
  <c r="N522" i="19" s="1"/>
  <c r="L522" i="19" a="1"/>
  <c r="L522" i="19" s="1"/>
  <c r="K522" i="19"/>
  <c r="J522" i="19" a="1"/>
  <c r="J522" i="19" s="1"/>
  <c r="I522" i="19" a="1"/>
  <c r="I522" i="19" s="1"/>
  <c r="H522" i="19" a="1"/>
  <c r="H522" i="19" s="1"/>
  <c r="G522" i="19" a="1"/>
  <c r="G522" i="19" s="1"/>
  <c r="F522" i="19" a="1"/>
  <c r="F522" i="19" s="1"/>
  <c r="E522" i="19" a="1"/>
  <c r="E522" i="19" s="1"/>
  <c r="D522" i="19" a="1"/>
  <c r="D522" i="19" s="1"/>
  <c r="C522" i="19" a="1"/>
  <c r="C522" i="19" s="1"/>
  <c r="B522" i="19" a="1"/>
  <c r="B522" i="19" s="1"/>
  <c r="U521" i="19" a="1"/>
  <c r="U521" i="19" s="1"/>
  <c r="T521" i="19" a="1"/>
  <c r="T521" i="19" s="1"/>
  <c r="S521" i="19" a="1"/>
  <c r="S521" i="19" s="1"/>
  <c r="Q521" i="19" a="1"/>
  <c r="Q521" i="19" s="1"/>
  <c r="P521" i="19"/>
  <c r="O521" i="19" a="1"/>
  <c r="O521" i="19" s="1"/>
  <c r="N521" i="19" a="1"/>
  <c r="N521" i="19" s="1"/>
  <c r="L521" i="19" a="1"/>
  <c r="L521" i="19" s="1"/>
  <c r="K521" i="19"/>
  <c r="J521" i="19" a="1"/>
  <c r="J521" i="19" s="1"/>
  <c r="I521" i="19" a="1"/>
  <c r="I521" i="19" s="1"/>
  <c r="H521" i="19" a="1"/>
  <c r="H521" i="19" s="1"/>
  <c r="G521" i="19" a="1"/>
  <c r="G521" i="19" s="1"/>
  <c r="F521" i="19" a="1"/>
  <c r="F521" i="19" s="1"/>
  <c r="E521" i="19" a="1"/>
  <c r="E521" i="19" s="1"/>
  <c r="D521" i="19" a="1"/>
  <c r="D521" i="19" s="1"/>
  <c r="C521" i="19" a="1"/>
  <c r="C521" i="19" s="1"/>
  <c r="B521" i="19" a="1"/>
  <c r="B521" i="19" s="1"/>
  <c r="U520" i="19" a="1"/>
  <c r="U520" i="19" s="1"/>
  <c r="T520" i="19" a="1"/>
  <c r="T520" i="19" s="1"/>
  <c r="S520" i="19" a="1"/>
  <c r="S520" i="19" s="1"/>
  <c r="Q520" i="19" a="1"/>
  <c r="Q520" i="19" s="1"/>
  <c r="P520" i="19"/>
  <c r="O520" i="19" a="1"/>
  <c r="O520" i="19" s="1"/>
  <c r="N520" i="19" a="1"/>
  <c r="N520" i="19" s="1"/>
  <c r="L520" i="19" a="1"/>
  <c r="L520" i="19" s="1"/>
  <c r="K520" i="19"/>
  <c r="J520" i="19" a="1"/>
  <c r="J520" i="19" s="1"/>
  <c r="I520" i="19" a="1"/>
  <c r="I520" i="19" s="1"/>
  <c r="H520" i="19" a="1"/>
  <c r="H520" i="19" s="1"/>
  <c r="G520" i="19" a="1"/>
  <c r="G520" i="19" s="1"/>
  <c r="F520" i="19" a="1"/>
  <c r="F520" i="19" s="1"/>
  <c r="E520" i="19" a="1"/>
  <c r="E520" i="19" s="1"/>
  <c r="D520" i="19" a="1"/>
  <c r="D520" i="19" s="1"/>
  <c r="C520" i="19" a="1"/>
  <c r="C520" i="19" s="1"/>
  <c r="B520" i="19" a="1"/>
  <c r="B520" i="19" s="1"/>
  <c r="U519" i="19" a="1"/>
  <c r="U519" i="19" s="1"/>
  <c r="T519" i="19" a="1"/>
  <c r="T519" i="19" s="1"/>
  <c r="S519" i="19" a="1"/>
  <c r="S519" i="19" s="1"/>
  <c r="Q519" i="19" a="1"/>
  <c r="Q519" i="19" s="1"/>
  <c r="P519" i="19"/>
  <c r="O519" i="19" a="1"/>
  <c r="O519" i="19" s="1"/>
  <c r="N519" i="19" a="1"/>
  <c r="N519" i="19" s="1"/>
  <c r="L519" i="19" a="1"/>
  <c r="L519" i="19" s="1"/>
  <c r="K519" i="19"/>
  <c r="J519" i="19" a="1"/>
  <c r="J519" i="19" s="1"/>
  <c r="I519" i="19" a="1"/>
  <c r="I519" i="19" s="1"/>
  <c r="H519" i="19" a="1"/>
  <c r="H519" i="19" s="1"/>
  <c r="G519" i="19" a="1"/>
  <c r="G519" i="19" s="1"/>
  <c r="F519" i="19" a="1"/>
  <c r="F519" i="19" s="1"/>
  <c r="E519" i="19" a="1"/>
  <c r="E519" i="19" s="1"/>
  <c r="D519" i="19" a="1"/>
  <c r="D519" i="19" s="1"/>
  <c r="C519" i="19" a="1"/>
  <c r="C519" i="19" s="1"/>
  <c r="B519" i="19" a="1"/>
  <c r="B519" i="19" s="1"/>
  <c r="U518" i="19" a="1"/>
  <c r="U518" i="19" s="1"/>
  <c r="T518" i="19" a="1"/>
  <c r="T518" i="19" s="1"/>
  <c r="S518" i="19" a="1"/>
  <c r="S518" i="19" s="1"/>
  <c r="Q518" i="19" a="1"/>
  <c r="Q518" i="19" s="1"/>
  <c r="P518" i="19"/>
  <c r="O518" i="19" a="1"/>
  <c r="O518" i="19" s="1"/>
  <c r="N518" i="19" a="1"/>
  <c r="N518" i="19" s="1"/>
  <c r="L518" i="19" a="1"/>
  <c r="L518" i="19" s="1"/>
  <c r="K518" i="19"/>
  <c r="J518" i="19" a="1"/>
  <c r="J518" i="19" s="1"/>
  <c r="I518" i="19" a="1"/>
  <c r="I518" i="19" s="1"/>
  <c r="H518" i="19" a="1"/>
  <c r="H518" i="19" s="1"/>
  <c r="G518" i="19" a="1"/>
  <c r="G518" i="19" s="1"/>
  <c r="F518" i="19" a="1"/>
  <c r="F518" i="19" s="1"/>
  <c r="E518" i="19" a="1"/>
  <c r="E518" i="19" s="1"/>
  <c r="D518" i="19" a="1"/>
  <c r="D518" i="19" s="1"/>
  <c r="C518" i="19" a="1"/>
  <c r="C518" i="19" s="1"/>
  <c r="B518" i="19" a="1"/>
  <c r="B518" i="19" s="1"/>
  <c r="U517" i="19" a="1"/>
  <c r="U517" i="19" s="1"/>
  <c r="T517" i="19" a="1"/>
  <c r="T517" i="19" s="1"/>
  <c r="S517" i="19" a="1"/>
  <c r="S517" i="19" s="1"/>
  <c r="Q517" i="19" a="1"/>
  <c r="Q517" i="19" s="1"/>
  <c r="P517" i="19"/>
  <c r="O517" i="19" a="1"/>
  <c r="O517" i="19" s="1"/>
  <c r="N517" i="19" a="1"/>
  <c r="N517" i="19" s="1"/>
  <c r="L517" i="19" a="1"/>
  <c r="L517" i="19" s="1"/>
  <c r="K517" i="19"/>
  <c r="J517" i="19" a="1"/>
  <c r="J517" i="19" s="1"/>
  <c r="I517" i="19" a="1"/>
  <c r="I517" i="19" s="1"/>
  <c r="H517" i="19" a="1"/>
  <c r="H517" i="19" s="1"/>
  <c r="G517" i="19" a="1"/>
  <c r="G517" i="19" s="1"/>
  <c r="F517" i="19" a="1"/>
  <c r="F517" i="19" s="1"/>
  <c r="E517" i="19" a="1"/>
  <c r="E517" i="19" s="1"/>
  <c r="D517" i="19" a="1"/>
  <c r="D517" i="19" s="1"/>
  <c r="C517" i="19" a="1"/>
  <c r="C517" i="19" s="1"/>
  <c r="B517" i="19" a="1"/>
  <c r="B517" i="19" s="1"/>
  <c r="U516" i="19" a="1"/>
  <c r="U516" i="19" s="1"/>
  <c r="T516" i="19" a="1"/>
  <c r="T516" i="19" s="1"/>
  <c r="S516" i="19" a="1"/>
  <c r="S516" i="19" s="1"/>
  <c r="Q516" i="19" a="1"/>
  <c r="Q516" i="19" s="1"/>
  <c r="P516" i="19"/>
  <c r="O516" i="19" a="1"/>
  <c r="O516" i="19" s="1"/>
  <c r="N516" i="19" a="1"/>
  <c r="N516" i="19" s="1"/>
  <c r="L516" i="19" a="1"/>
  <c r="L516" i="19" s="1"/>
  <c r="K516" i="19"/>
  <c r="J516" i="19" a="1"/>
  <c r="J516" i="19" s="1"/>
  <c r="I516" i="19" a="1"/>
  <c r="I516" i="19" s="1"/>
  <c r="H516" i="19" a="1"/>
  <c r="H516" i="19" s="1"/>
  <c r="G516" i="19" a="1"/>
  <c r="G516" i="19" s="1"/>
  <c r="F516" i="19" a="1"/>
  <c r="F516" i="19" s="1"/>
  <c r="E516" i="19" a="1"/>
  <c r="E516" i="19" s="1"/>
  <c r="D516" i="19" a="1"/>
  <c r="D516" i="19" s="1"/>
  <c r="C516" i="19" a="1"/>
  <c r="C516" i="19" s="1"/>
  <c r="B516" i="19" a="1"/>
  <c r="B516" i="19" s="1"/>
  <c r="U515" i="19" a="1"/>
  <c r="U515" i="19" s="1"/>
  <c r="T515" i="19" a="1"/>
  <c r="T515" i="19" s="1"/>
  <c r="S515" i="19" a="1"/>
  <c r="S515" i="19" s="1"/>
  <c r="Q515" i="19" a="1"/>
  <c r="Q515" i="19" s="1"/>
  <c r="P515" i="19"/>
  <c r="O515" i="19" a="1"/>
  <c r="O515" i="19" s="1"/>
  <c r="N515" i="19" a="1"/>
  <c r="N515" i="19" s="1"/>
  <c r="L515" i="19" a="1"/>
  <c r="L515" i="19" s="1"/>
  <c r="K515" i="19"/>
  <c r="J515" i="19" a="1"/>
  <c r="J515" i="19" s="1"/>
  <c r="I515" i="19" a="1"/>
  <c r="I515" i="19" s="1"/>
  <c r="H515" i="19" a="1"/>
  <c r="H515" i="19" s="1"/>
  <c r="G515" i="19" a="1"/>
  <c r="G515" i="19" s="1"/>
  <c r="F515" i="19" a="1"/>
  <c r="F515" i="19" s="1"/>
  <c r="E515" i="19" a="1"/>
  <c r="E515" i="19" s="1"/>
  <c r="D515" i="19" a="1"/>
  <c r="D515" i="19" s="1"/>
  <c r="C515" i="19" a="1"/>
  <c r="C515" i="19" s="1"/>
  <c r="B515" i="19" a="1"/>
  <c r="B515" i="19" s="1"/>
  <c r="U514" i="19" a="1"/>
  <c r="U514" i="19" s="1"/>
  <c r="T514" i="19" a="1"/>
  <c r="T514" i="19" s="1"/>
  <c r="S514" i="19" a="1"/>
  <c r="S514" i="19" s="1"/>
  <c r="Q514" i="19" a="1"/>
  <c r="Q514" i="19" s="1"/>
  <c r="P514" i="19"/>
  <c r="O514" i="19" a="1"/>
  <c r="O514" i="19" s="1"/>
  <c r="N514" i="19" a="1"/>
  <c r="N514" i="19" s="1"/>
  <c r="L514" i="19" a="1"/>
  <c r="L514" i="19" s="1"/>
  <c r="K514" i="19"/>
  <c r="J514" i="19" a="1"/>
  <c r="J514" i="19" s="1"/>
  <c r="I514" i="19" a="1"/>
  <c r="I514" i="19" s="1"/>
  <c r="H514" i="19" a="1"/>
  <c r="H514" i="19" s="1"/>
  <c r="G514" i="19" a="1"/>
  <c r="G514" i="19" s="1"/>
  <c r="F514" i="19" a="1"/>
  <c r="F514" i="19" s="1"/>
  <c r="E514" i="19" a="1"/>
  <c r="E514" i="19" s="1"/>
  <c r="D514" i="19" a="1"/>
  <c r="D514" i="19" s="1"/>
  <c r="C514" i="19" a="1"/>
  <c r="C514" i="19" s="1"/>
  <c r="B514" i="19" a="1"/>
  <c r="B514" i="19" s="1"/>
  <c r="U513" i="19" a="1"/>
  <c r="U513" i="19" s="1"/>
  <c r="T513" i="19" a="1"/>
  <c r="T513" i="19" s="1"/>
  <c r="S513" i="19" a="1"/>
  <c r="S513" i="19" s="1"/>
  <c r="Q513" i="19" a="1"/>
  <c r="Q513" i="19" s="1"/>
  <c r="P513" i="19"/>
  <c r="O513" i="19" a="1"/>
  <c r="O513" i="19" s="1"/>
  <c r="N513" i="19" a="1"/>
  <c r="N513" i="19" s="1"/>
  <c r="L513" i="19" a="1"/>
  <c r="L513" i="19" s="1"/>
  <c r="K513" i="19"/>
  <c r="J513" i="19" a="1"/>
  <c r="J513" i="19" s="1"/>
  <c r="I513" i="19" a="1"/>
  <c r="I513" i="19" s="1"/>
  <c r="H513" i="19" a="1"/>
  <c r="H513" i="19" s="1"/>
  <c r="G513" i="19" a="1"/>
  <c r="G513" i="19" s="1"/>
  <c r="F513" i="19" a="1"/>
  <c r="F513" i="19" s="1"/>
  <c r="E513" i="19" a="1"/>
  <c r="E513" i="19" s="1"/>
  <c r="D513" i="19" a="1"/>
  <c r="D513" i="19" s="1"/>
  <c r="C513" i="19" a="1"/>
  <c r="C513" i="19" s="1"/>
  <c r="B513" i="19" a="1"/>
  <c r="B513" i="19" s="1"/>
  <c r="U512" i="19" a="1"/>
  <c r="U512" i="19" s="1"/>
  <c r="T512" i="19" a="1"/>
  <c r="T512" i="19" s="1"/>
  <c r="S512" i="19" a="1"/>
  <c r="S512" i="19" s="1"/>
  <c r="Q512" i="19" a="1"/>
  <c r="Q512" i="19" s="1"/>
  <c r="P512" i="19"/>
  <c r="O512" i="19" a="1"/>
  <c r="O512" i="19" s="1"/>
  <c r="N512" i="19" a="1"/>
  <c r="N512" i="19" s="1"/>
  <c r="L512" i="19" a="1"/>
  <c r="L512" i="19" s="1"/>
  <c r="K512" i="19"/>
  <c r="J512" i="19" a="1"/>
  <c r="J512" i="19" s="1"/>
  <c r="I512" i="19" a="1"/>
  <c r="I512" i="19" s="1"/>
  <c r="H512" i="19" a="1"/>
  <c r="H512" i="19" s="1"/>
  <c r="G512" i="19" a="1"/>
  <c r="G512" i="19" s="1"/>
  <c r="F512" i="19" a="1"/>
  <c r="F512" i="19" s="1"/>
  <c r="E512" i="19" a="1"/>
  <c r="E512" i="19" s="1"/>
  <c r="D512" i="19" a="1"/>
  <c r="D512" i="19" s="1"/>
  <c r="C512" i="19" a="1"/>
  <c r="C512" i="19" s="1"/>
  <c r="B512" i="19" a="1"/>
  <c r="B512" i="19" s="1"/>
  <c r="U511" i="19" a="1"/>
  <c r="U511" i="19" s="1"/>
  <c r="T511" i="19" a="1"/>
  <c r="T511" i="19" s="1"/>
  <c r="S511" i="19" a="1"/>
  <c r="S511" i="19" s="1"/>
  <c r="Q511" i="19" a="1"/>
  <c r="Q511" i="19" s="1"/>
  <c r="P511" i="19"/>
  <c r="O511" i="19" a="1"/>
  <c r="O511" i="19" s="1"/>
  <c r="N511" i="19" a="1"/>
  <c r="N511" i="19" s="1"/>
  <c r="L511" i="19" a="1"/>
  <c r="L511" i="19" s="1"/>
  <c r="K511" i="19"/>
  <c r="J511" i="19" a="1"/>
  <c r="J511" i="19" s="1"/>
  <c r="I511" i="19" a="1"/>
  <c r="I511" i="19" s="1"/>
  <c r="H511" i="19" a="1"/>
  <c r="H511" i="19" s="1"/>
  <c r="G511" i="19" a="1"/>
  <c r="G511" i="19" s="1"/>
  <c r="F511" i="19" a="1"/>
  <c r="F511" i="19" s="1"/>
  <c r="E511" i="19" a="1"/>
  <c r="E511" i="19" s="1"/>
  <c r="D511" i="19" a="1"/>
  <c r="D511" i="19" s="1"/>
  <c r="C511" i="19" a="1"/>
  <c r="C511" i="19" s="1"/>
  <c r="B511" i="19" a="1"/>
  <c r="B511" i="19" s="1"/>
  <c r="U510" i="19" a="1"/>
  <c r="U510" i="19" s="1"/>
  <c r="T510" i="19" a="1"/>
  <c r="T510" i="19" s="1"/>
  <c r="S510" i="19" a="1"/>
  <c r="S510" i="19" s="1"/>
  <c r="Q510" i="19" a="1"/>
  <c r="Q510" i="19" s="1"/>
  <c r="P510" i="19"/>
  <c r="O510" i="19" a="1"/>
  <c r="O510" i="19" s="1"/>
  <c r="N510" i="19" a="1"/>
  <c r="N510" i="19" s="1"/>
  <c r="L510" i="19" a="1"/>
  <c r="L510" i="19" s="1"/>
  <c r="K510" i="19"/>
  <c r="J510" i="19" a="1"/>
  <c r="J510" i="19" s="1"/>
  <c r="I510" i="19" a="1"/>
  <c r="I510" i="19" s="1"/>
  <c r="H510" i="19" a="1"/>
  <c r="H510" i="19" s="1"/>
  <c r="G510" i="19" a="1"/>
  <c r="G510" i="19" s="1"/>
  <c r="F510" i="19" a="1"/>
  <c r="F510" i="19" s="1"/>
  <c r="E510" i="19" a="1"/>
  <c r="E510" i="19" s="1"/>
  <c r="D510" i="19" a="1"/>
  <c r="D510" i="19" s="1"/>
  <c r="C510" i="19" a="1"/>
  <c r="C510" i="19" s="1"/>
  <c r="B510" i="19" a="1"/>
  <c r="B510" i="19" s="1"/>
  <c r="U509" i="19" a="1"/>
  <c r="U509" i="19" s="1"/>
  <c r="T509" i="19" a="1"/>
  <c r="T509" i="19" s="1"/>
  <c r="S509" i="19" a="1"/>
  <c r="S509" i="19" s="1"/>
  <c r="Q509" i="19" a="1"/>
  <c r="Q509" i="19" s="1"/>
  <c r="P509" i="19"/>
  <c r="O509" i="19" a="1"/>
  <c r="O509" i="19" s="1"/>
  <c r="N509" i="19" a="1"/>
  <c r="N509" i="19" s="1"/>
  <c r="L509" i="19" a="1"/>
  <c r="L509" i="19" s="1"/>
  <c r="K509" i="19"/>
  <c r="J509" i="19" a="1"/>
  <c r="J509" i="19" s="1"/>
  <c r="I509" i="19" a="1"/>
  <c r="I509" i="19" s="1"/>
  <c r="H509" i="19" a="1"/>
  <c r="H509" i="19" s="1"/>
  <c r="G509" i="19" a="1"/>
  <c r="G509" i="19" s="1"/>
  <c r="F509" i="19" a="1"/>
  <c r="F509" i="19" s="1"/>
  <c r="E509" i="19" a="1"/>
  <c r="E509" i="19" s="1"/>
  <c r="D509" i="19" a="1"/>
  <c r="D509" i="19" s="1"/>
  <c r="C509" i="19" a="1"/>
  <c r="C509" i="19" s="1"/>
  <c r="B509" i="19" a="1"/>
  <c r="B509" i="19" s="1"/>
  <c r="U508" i="19" a="1"/>
  <c r="U508" i="19" s="1"/>
  <c r="T508" i="19" a="1"/>
  <c r="T508" i="19" s="1"/>
  <c r="S508" i="19" a="1"/>
  <c r="S508" i="19" s="1"/>
  <c r="Q508" i="19" a="1"/>
  <c r="Q508" i="19" s="1"/>
  <c r="P508" i="19"/>
  <c r="O508" i="19" a="1"/>
  <c r="O508" i="19" s="1"/>
  <c r="N508" i="19" a="1"/>
  <c r="N508" i="19" s="1"/>
  <c r="L508" i="19" a="1"/>
  <c r="L508" i="19" s="1"/>
  <c r="K508" i="19"/>
  <c r="J508" i="19" a="1"/>
  <c r="J508" i="19" s="1"/>
  <c r="I508" i="19" a="1"/>
  <c r="I508" i="19" s="1"/>
  <c r="H508" i="19" a="1"/>
  <c r="H508" i="19" s="1"/>
  <c r="G508" i="19" a="1"/>
  <c r="G508" i="19" s="1"/>
  <c r="F508" i="19" a="1"/>
  <c r="F508" i="19" s="1"/>
  <c r="E508" i="19" a="1"/>
  <c r="E508" i="19" s="1"/>
  <c r="D508" i="19" a="1"/>
  <c r="D508" i="19" s="1"/>
  <c r="C508" i="19" a="1"/>
  <c r="C508" i="19" s="1"/>
  <c r="B508" i="19" a="1"/>
  <c r="B508" i="19" s="1"/>
  <c r="U507" i="19" a="1"/>
  <c r="U507" i="19" s="1"/>
  <c r="T507" i="19" a="1"/>
  <c r="T507" i="19" s="1"/>
  <c r="S507" i="19" a="1"/>
  <c r="S507" i="19" s="1"/>
  <c r="Q507" i="19" a="1"/>
  <c r="Q507" i="19" s="1"/>
  <c r="P507" i="19"/>
  <c r="O507" i="19" a="1"/>
  <c r="O507" i="19" s="1"/>
  <c r="N507" i="19" a="1"/>
  <c r="N507" i="19" s="1"/>
  <c r="L507" i="19" a="1"/>
  <c r="L507" i="19" s="1"/>
  <c r="K507" i="19"/>
  <c r="J507" i="19" a="1"/>
  <c r="J507" i="19" s="1"/>
  <c r="I507" i="19" a="1"/>
  <c r="I507" i="19" s="1"/>
  <c r="H507" i="19" a="1"/>
  <c r="H507" i="19" s="1"/>
  <c r="G507" i="19" a="1"/>
  <c r="G507" i="19" s="1"/>
  <c r="F507" i="19" a="1"/>
  <c r="F507" i="19" s="1"/>
  <c r="E507" i="19" a="1"/>
  <c r="E507" i="19" s="1"/>
  <c r="D507" i="19" a="1"/>
  <c r="D507" i="19" s="1"/>
  <c r="C507" i="19" a="1"/>
  <c r="C507" i="19" s="1"/>
  <c r="B507" i="19" a="1"/>
  <c r="B507" i="19" s="1"/>
  <c r="U506" i="19" a="1"/>
  <c r="U506" i="19" s="1"/>
  <c r="T506" i="19" a="1"/>
  <c r="T506" i="19" s="1"/>
  <c r="S506" i="19" a="1"/>
  <c r="S506" i="19" s="1"/>
  <c r="Q506" i="19" a="1"/>
  <c r="Q506" i="19" s="1"/>
  <c r="P506" i="19"/>
  <c r="O506" i="19" a="1"/>
  <c r="O506" i="19" s="1"/>
  <c r="N506" i="19" a="1"/>
  <c r="N506" i="19" s="1"/>
  <c r="L506" i="19" a="1"/>
  <c r="L506" i="19" s="1"/>
  <c r="K506" i="19"/>
  <c r="J506" i="19" a="1"/>
  <c r="J506" i="19" s="1"/>
  <c r="I506" i="19" a="1"/>
  <c r="I506" i="19" s="1"/>
  <c r="H506" i="19" a="1"/>
  <c r="H506" i="19" s="1"/>
  <c r="G506" i="19" a="1"/>
  <c r="G506" i="19" s="1"/>
  <c r="F506" i="19" a="1"/>
  <c r="F506" i="19" s="1"/>
  <c r="E506" i="19" a="1"/>
  <c r="E506" i="19" s="1"/>
  <c r="D506" i="19" a="1"/>
  <c r="D506" i="19" s="1"/>
  <c r="C506" i="19" a="1"/>
  <c r="C506" i="19" s="1"/>
  <c r="B506" i="19" a="1"/>
  <c r="B506" i="19" s="1"/>
  <c r="U505" i="19" a="1"/>
  <c r="U505" i="19" s="1"/>
  <c r="T505" i="19" a="1"/>
  <c r="T505" i="19" s="1"/>
  <c r="S505" i="19" a="1"/>
  <c r="S505" i="19" s="1"/>
  <c r="Q505" i="19" a="1"/>
  <c r="Q505" i="19" s="1"/>
  <c r="P505" i="19"/>
  <c r="O505" i="19" a="1"/>
  <c r="O505" i="19" s="1"/>
  <c r="N505" i="19" a="1"/>
  <c r="N505" i="19" s="1"/>
  <c r="L505" i="19" a="1"/>
  <c r="L505" i="19" s="1"/>
  <c r="K505" i="19"/>
  <c r="J505" i="19" a="1"/>
  <c r="J505" i="19" s="1"/>
  <c r="I505" i="19" a="1"/>
  <c r="I505" i="19" s="1"/>
  <c r="H505" i="19" a="1"/>
  <c r="H505" i="19" s="1"/>
  <c r="G505" i="19" a="1"/>
  <c r="G505" i="19" s="1"/>
  <c r="F505" i="19" a="1"/>
  <c r="F505" i="19" s="1"/>
  <c r="E505" i="19" a="1"/>
  <c r="E505" i="19" s="1"/>
  <c r="D505" i="19" a="1"/>
  <c r="D505" i="19" s="1"/>
  <c r="C505" i="19" a="1"/>
  <c r="C505" i="19" s="1"/>
  <c r="B505" i="19" a="1"/>
  <c r="B505" i="19" s="1"/>
  <c r="U504" i="19" a="1"/>
  <c r="U504" i="19" s="1"/>
  <c r="T504" i="19" a="1"/>
  <c r="T504" i="19" s="1"/>
  <c r="S504" i="19" a="1"/>
  <c r="S504" i="19" s="1"/>
  <c r="Q504" i="19" a="1"/>
  <c r="Q504" i="19" s="1"/>
  <c r="P504" i="19"/>
  <c r="O504" i="19" a="1"/>
  <c r="O504" i="19" s="1"/>
  <c r="N504" i="19" a="1"/>
  <c r="N504" i="19" s="1"/>
  <c r="L504" i="19" a="1"/>
  <c r="L504" i="19" s="1"/>
  <c r="K504" i="19"/>
  <c r="J504" i="19" a="1"/>
  <c r="J504" i="19" s="1"/>
  <c r="I504" i="19" a="1"/>
  <c r="I504" i="19" s="1"/>
  <c r="H504" i="19" a="1"/>
  <c r="H504" i="19" s="1"/>
  <c r="G504" i="19" a="1"/>
  <c r="G504" i="19" s="1"/>
  <c r="F504" i="19" a="1"/>
  <c r="F504" i="19" s="1"/>
  <c r="E504" i="19" a="1"/>
  <c r="E504" i="19" s="1"/>
  <c r="D504" i="19" a="1"/>
  <c r="D504" i="19" s="1"/>
  <c r="C504" i="19" a="1"/>
  <c r="C504" i="19" s="1"/>
  <c r="B504" i="19" a="1"/>
  <c r="B504" i="19" s="1"/>
  <c r="U503" i="19" a="1"/>
  <c r="U503" i="19" s="1"/>
  <c r="T503" i="19" a="1"/>
  <c r="T503" i="19" s="1"/>
  <c r="S503" i="19" a="1"/>
  <c r="S503" i="19" s="1"/>
  <c r="Q503" i="19" a="1"/>
  <c r="Q503" i="19" s="1"/>
  <c r="P503" i="19"/>
  <c r="O503" i="19" a="1"/>
  <c r="O503" i="19" s="1"/>
  <c r="N503" i="19" a="1"/>
  <c r="N503" i="19" s="1"/>
  <c r="L503" i="19" a="1"/>
  <c r="L503" i="19" s="1"/>
  <c r="K503" i="19"/>
  <c r="J503" i="19" a="1"/>
  <c r="J503" i="19" s="1"/>
  <c r="I503" i="19" a="1"/>
  <c r="I503" i="19" s="1"/>
  <c r="H503" i="19" a="1"/>
  <c r="H503" i="19" s="1"/>
  <c r="G503" i="19" a="1"/>
  <c r="G503" i="19" s="1"/>
  <c r="F503" i="19" a="1"/>
  <c r="F503" i="19" s="1"/>
  <c r="E503" i="19" a="1"/>
  <c r="E503" i="19" s="1"/>
  <c r="D503" i="19" a="1"/>
  <c r="D503" i="19" s="1"/>
  <c r="C503" i="19" a="1"/>
  <c r="C503" i="19" s="1"/>
  <c r="B503" i="19" a="1"/>
  <c r="B503" i="19" s="1"/>
  <c r="U502" i="19" a="1"/>
  <c r="U502" i="19" s="1"/>
  <c r="T502" i="19" a="1"/>
  <c r="T502" i="19" s="1"/>
  <c r="S502" i="19" a="1"/>
  <c r="S502" i="19" s="1"/>
  <c r="Q502" i="19" a="1"/>
  <c r="Q502" i="19" s="1"/>
  <c r="P502" i="19"/>
  <c r="O502" i="19" a="1"/>
  <c r="O502" i="19" s="1"/>
  <c r="N502" i="19" a="1"/>
  <c r="N502" i="19" s="1"/>
  <c r="L502" i="19" a="1"/>
  <c r="L502" i="19" s="1"/>
  <c r="K502" i="19"/>
  <c r="J502" i="19" a="1"/>
  <c r="J502" i="19" s="1"/>
  <c r="I502" i="19" a="1"/>
  <c r="I502" i="19" s="1"/>
  <c r="H502" i="19" a="1"/>
  <c r="H502" i="19" s="1"/>
  <c r="G502" i="19" a="1"/>
  <c r="G502" i="19" s="1"/>
  <c r="F502" i="19" a="1"/>
  <c r="F502" i="19" s="1"/>
  <c r="E502" i="19" a="1"/>
  <c r="E502" i="19" s="1"/>
  <c r="D502" i="19" a="1"/>
  <c r="D502" i="19" s="1"/>
  <c r="C502" i="19" a="1"/>
  <c r="C502" i="19" s="1"/>
  <c r="B502" i="19" a="1"/>
  <c r="B502" i="19" s="1"/>
  <c r="U501" i="19" a="1"/>
  <c r="U501" i="19" s="1"/>
  <c r="T501" i="19" a="1"/>
  <c r="T501" i="19" s="1"/>
  <c r="S501" i="19" a="1"/>
  <c r="S501" i="19" s="1"/>
  <c r="Q501" i="19" a="1"/>
  <c r="Q501" i="19" s="1"/>
  <c r="P501" i="19"/>
  <c r="O501" i="19" a="1"/>
  <c r="O501" i="19" s="1"/>
  <c r="N501" i="19" a="1"/>
  <c r="N501" i="19" s="1"/>
  <c r="L501" i="19" a="1"/>
  <c r="L501" i="19" s="1"/>
  <c r="K501" i="19"/>
  <c r="J501" i="19" a="1"/>
  <c r="J501" i="19" s="1"/>
  <c r="I501" i="19" a="1"/>
  <c r="I501" i="19" s="1"/>
  <c r="H501" i="19" a="1"/>
  <c r="H501" i="19" s="1"/>
  <c r="G501" i="19" a="1"/>
  <c r="G501" i="19" s="1"/>
  <c r="F501" i="19" a="1"/>
  <c r="F501" i="19" s="1"/>
  <c r="E501" i="19" a="1"/>
  <c r="E501" i="19" s="1"/>
  <c r="D501" i="19" a="1"/>
  <c r="D501" i="19" s="1"/>
  <c r="C501" i="19" a="1"/>
  <c r="C501" i="19" s="1"/>
  <c r="B501" i="19" a="1"/>
  <c r="B501" i="19" s="1"/>
  <c r="U500" i="19" a="1"/>
  <c r="U500" i="19" s="1"/>
  <c r="T500" i="19" a="1"/>
  <c r="T500" i="19" s="1"/>
  <c r="S500" i="19" a="1"/>
  <c r="S500" i="19" s="1"/>
  <c r="Q500" i="19" a="1"/>
  <c r="Q500" i="19" s="1"/>
  <c r="P500" i="19"/>
  <c r="O500" i="19" a="1"/>
  <c r="O500" i="19" s="1"/>
  <c r="N500" i="19" a="1"/>
  <c r="N500" i="19" s="1"/>
  <c r="L500" i="19" a="1"/>
  <c r="L500" i="19" s="1"/>
  <c r="K500" i="19"/>
  <c r="J500" i="19" a="1"/>
  <c r="J500" i="19" s="1"/>
  <c r="I500" i="19" a="1"/>
  <c r="I500" i="19" s="1"/>
  <c r="H500" i="19" a="1"/>
  <c r="H500" i="19" s="1"/>
  <c r="G500" i="19" a="1"/>
  <c r="G500" i="19" s="1"/>
  <c r="F500" i="19" a="1"/>
  <c r="F500" i="19" s="1"/>
  <c r="E500" i="19" a="1"/>
  <c r="E500" i="19" s="1"/>
  <c r="D500" i="19" a="1"/>
  <c r="D500" i="19" s="1"/>
  <c r="C500" i="19" a="1"/>
  <c r="C500" i="19" s="1"/>
  <c r="B500" i="19" a="1"/>
  <c r="B500" i="19" s="1"/>
  <c r="U499" i="19" a="1"/>
  <c r="U499" i="19" s="1"/>
  <c r="T499" i="19" a="1"/>
  <c r="T499" i="19" s="1"/>
  <c r="S499" i="19" a="1"/>
  <c r="S499" i="19" s="1"/>
  <c r="Q499" i="19" a="1"/>
  <c r="Q499" i="19" s="1"/>
  <c r="P499" i="19"/>
  <c r="O499" i="19" a="1"/>
  <c r="O499" i="19" s="1"/>
  <c r="N499" i="19" a="1"/>
  <c r="N499" i="19" s="1"/>
  <c r="L499" i="19" a="1"/>
  <c r="L499" i="19" s="1"/>
  <c r="K499" i="19"/>
  <c r="J499" i="19" a="1"/>
  <c r="J499" i="19" s="1"/>
  <c r="I499" i="19" a="1"/>
  <c r="I499" i="19" s="1"/>
  <c r="H499" i="19" a="1"/>
  <c r="H499" i="19" s="1"/>
  <c r="G499" i="19" a="1"/>
  <c r="G499" i="19" s="1"/>
  <c r="F499" i="19" a="1"/>
  <c r="F499" i="19" s="1"/>
  <c r="E499" i="19" a="1"/>
  <c r="E499" i="19" s="1"/>
  <c r="D499" i="19" a="1"/>
  <c r="D499" i="19" s="1"/>
  <c r="C499" i="19" a="1"/>
  <c r="C499" i="19" s="1"/>
  <c r="B499" i="19" a="1"/>
  <c r="B499" i="19" s="1"/>
  <c r="U498" i="19" a="1"/>
  <c r="U498" i="19" s="1"/>
  <c r="T498" i="19" a="1"/>
  <c r="T498" i="19" s="1"/>
  <c r="S498" i="19" a="1"/>
  <c r="S498" i="19" s="1"/>
  <c r="Q498" i="19" a="1"/>
  <c r="Q498" i="19" s="1"/>
  <c r="P498" i="19"/>
  <c r="O498" i="19" a="1"/>
  <c r="O498" i="19" s="1"/>
  <c r="N498" i="19" a="1"/>
  <c r="N498" i="19" s="1"/>
  <c r="L498" i="19" a="1"/>
  <c r="L498" i="19" s="1"/>
  <c r="K498" i="19"/>
  <c r="J498" i="19" a="1"/>
  <c r="J498" i="19" s="1"/>
  <c r="I498" i="19" a="1"/>
  <c r="I498" i="19" s="1"/>
  <c r="H498" i="19" a="1"/>
  <c r="H498" i="19" s="1"/>
  <c r="G498" i="19" a="1"/>
  <c r="G498" i="19" s="1"/>
  <c r="F498" i="19" a="1"/>
  <c r="F498" i="19" s="1"/>
  <c r="E498" i="19" a="1"/>
  <c r="E498" i="19" s="1"/>
  <c r="D498" i="19" a="1"/>
  <c r="D498" i="19" s="1"/>
  <c r="C498" i="19" a="1"/>
  <c r="C498" i="19" s="1"/>
  <c r="B498" i="19" a="1"/>
  <c r="B498" i="19" s="1"/>
  <c r="U497" i="19" a="1"/>
  <c r="U497" i="19" s="1"/>
  <c r="T497" i="19" a="1"/>
  <c r="T497" i="19" s="1"/>
  <c r="S497" i="19" a="1"/>
  <c r="S497" i="19" s="1"/>
  <c r="Q497" i="19" a="1"/>
  <c r="Q497" i="19" s="1"/>
  <c r="P497" i="19"/>
  <c r="O497" i="19" a="1"/>
  <c r="O497" i="19" s="1"/>
  <c r="N497" i="19" a="1"/>
  <c r="N497" i="19" s="1"/>
  <c r="L497" i="19" a="1"/>
  <c r="L497" i="19" s="1"/>
  <c r="K497" i="19"/>
  <c r="J497" i="19" a="1"/>
  <c r="J497" i="19" s="1"/>
  <c r="I497" i="19" a="1"/>
  <c r="I497" i="19" s="1"/>
  <c r="H497" i="19" a="1"/>
  <c r="H497" i="19" s="1"/>
  <c r="G497" i="19" a="1"/>
  <c r="G497" i="19" s="1"/>
  <c r="F497" i="19" a="1"/>
  <c r="F497" i="19" s="1"/>
  <c r="E497" i="19" a="1"/>
  <c r="E497" i="19" s="1"/>
  <c r="D497" i="19" a="1"/>
  <c r="D497" i="19" s="1"/>
  <c r="C497" i="19" a="1"/>
  <c r="C497" i="19" s="1"/>
  <c r="B497" i="19" a="1"/>
  <c r="B497" i="19" s="1"/>
  <c r="U496" i="19" a="1"/>
  <c r="U496" i="19" s="1"/>
  <c r="T496" i="19" a="1"/>
  <c r="T496" i="19" s="1"/>
  <c r="S496" i="19" a="1"/>
  <c r="S496" i="19" s="1"/>
  <c r="Q496" i="19" a="1"/>
  <c r="Q496" i="19" s="1"/>
  <c r="P496" i="19"/>
  <c r="O496" i="19" a="1"/>
  <c r="O496" i="19" s="1"/>
  <c r="N496" i="19" a="1"/>
  <c r="N496" i="19" s="1"/>
  <c r="L496" i="19" a="1"/>
  <c r="L496" i="19" s="1"/>
  <c r="K496" i="19"/>
  <c r="J496" i="19" a="1"/>
  <c r="J496" i="19" s="1"/>
  <c r="I496" i="19" a="1"/>
  <c r="I496" i="19" s="1"/>
  <c r="H496" i="19" a="1"/>
  <c r="H496" i="19" s="1"/>
  <c r="G496" i="19" a="1"/>
  <c r="G496" i="19" s="1"/>
  <c r="F496" i="19" a="1"/>
  <c r="F496" i="19" s="1"/>
  <c r="E496" i="19" a="1"/>
  <c r="E496" i="19" s="1"/>
  <c r="D496" i="19" a="1"/>
  <c r="D496" i="19" s="1"/>
  <c r="C496" i="19" a="1"/>
  <c r="C496" i="19" s="1"/>
  <c r="B496" i="19" a="1"/>
  <c r="B496" i="19" s="1"/>
  <c r="U495" i="19" a="1"/>
  <c r="U495" i="19" s="1"/>
  <c r="T495" i="19" a="1"/>
  <c r="T495" i="19" s="1"/>
  <c r="S495" i="19" a="1"/>
  <c r="S495" i="19" s="1"/>
  <c r="Q495" i="19" a="1"/>
  <c r="Q495" i="19" s="1"/>
  <c r="P495" i="19"/>
  <c r="O495" i="19" a="1"/>
  <c r="O495" i="19" s="1"/>
  <c r="N495" i="19" a="1"/>
  <c r="N495" i="19" s="1"/>
  <c r="L495" i="19" a="1"/>
  <c r="L495" i="19" s="1"/>
  <c r="K495" i="19"/>
  <c r="J495" i="19" a="1"/>
  <c r="J495" i="19" s="1"/>
  <c r="I495" i="19" a="1"/>
  <c r="I495" i="19" s="1"/>
  <c r="H495" i="19" a="1"/>
  <c r="H495" i="19" s="1"/>
  <c r="G495" i="19" a="1"/>
  <c r="G495" i="19" s="1"/>
  <c r="F495" i="19" a="1"/>
  <c r="F495" i="19" s="1"/>
  <c r="E495" i="19" a="1"/>
  <c r="E495" i="19" s="1"/>
  <c r="D495" i="19" a="1"/>
  <c r="D495" i="19" s="1"/>
  <c r="C495" i="19" a="1"/>
  <c r="C495" i="19" s="1"/>
  <c r="B495" i="19" a="1"/>
  <c r="B495" i="19" s="1"/>
  <c r="U494" i="19" a="1"/>
  <c r="U494" i="19" s="1"/>
  <c r="T494" i="19" a="1"/>
  <c r="T494" i="19" s="1"/>
  <c r="S494" i="19" a="1"/>
  <c r="S494" i="19" s="1"/>
  <c r="Q494" i="19" a="1"/>
  <c r="Q494" i="19" s="1"/>
  <c r="P494" i="19"/>
  <c r="O494" i="19" a="1"/>
  <c r="O494" i="19" s="1"/>
  <c r="N494" i="19" a="1"/>
  <c r="N494" i="19" s="1"/>
  <c r="L494" i="19" a="1"/>
  <c r="L494" i="19" s="1"/>
  <c r="K494" i="19"/>
  <c r="J494" i="19" a="1"/>
  <c r="J494" i="19" s="1"/>
  <c r="I494" i="19" a="1"/>
  <c r="I494" i="19" s="1"/>
  <c r="H494" i="19" a="1"/>
  <c r="H494" i="19" s="1"/>
  <c r="G494" i="19" a="1"/>
  <c r="G494" i="19" s="1"/>
  <c r="F494" i="19" a="1"/>
  <c r="F494" i="19" s="1"/>
  <c r="E494" i="19" a="1"/>
  <c r="E494" i="19" s="1"/>
  <c r="D494" i="19" a="1"/>
  <c r="D494" i="19" s="1"/>
  <c r="C494" i="19" a="1"/>
  <c r="C494" i="19" s="1"/>
  <c r="B494" i="19" a="1"/>
  <c r="B494" i="19" s="1"/>
  <c r="U493" i="19" a="1"/>
  <c r="U493" i="19" s="1"/>
  <c r="T493" i="19" a="1"/>
  <c r="T493" i="19" s="1"/>
  <c r="S493" i="19" a="1"/>
  <c r="S493" i="19" s="1"/>
  <c r="Q493" i="19" a="1"/>
  <c r="Q493" i="19" s="1"/>
  <c r="P493" i="19"/>
  <c r="O493" i="19" a="1"/>
  <c r="O493" i="19" s="1"/>
  <c r="N493" i="19" a="1"/>
  <c r="N493" i="19" s="1"/>
  <c r="L493" i="19" a="1"/>
  <c r="L493" i="19" s="1"/>
  <c r="K493" i="19"/>
  <c r="J493" i="19" a="1"/>
  <c r="J493" i="19" s="1"/>
  <c r="I493" i="19" a="1"/>
  <c r="I493" i="19" s="1"/>
  <c r="H493" i="19" a="1"/>
  <c r="H493" i="19" s="1"/>
  <c r="G493" i="19" a="1"/>
  <c r="G493" i="19" s="1"/>
  <c r="F493" i="19" a="1"/>
  <c r="F493" i="19" s="1"/>
  <c r="E493" i="19" a="1"/>
  <c r="E493" i="19" s="1"/>
  <c r="D493" i="19" a="1"/>
  <c r="D493" i="19" s="1"/>
  <c r="C493" i="19" a="1"/>
  <c r="C493" i="19" s="1"/>
  <c r="B493" i="19" a="1"/>
  <c r="B493" i="19" s="1"/>
  <c r="U492" i="19" a="1"/>
  <c r="U492" i="19" s="1"/>
  <c r="T492" i="19" a="1"/>
  <c r="T492" i="19" s="1"/>
  <c r="S492" i="19" a="1"/>
  <c r="S492" i="19" s="1"/>
  <c r="Q492" i="19" a="1"/>
  <c r="Q492" i="19" s="1"/>
  <c r="P492" i="19"/>
  <c r="O492" i="19" a="1"/>
  <c r="O492" i="19" s="1"/>
  <c r="N492" i="19" a="1"/>
  <c r="N492" i="19" s="1"/>
  <c r="L492" i="19" a="1"/>
  <c r="L492" i="19" s="1"/>
  <c r="K492" i="19"/>
  <c r="J492" i="19" a="1"/>
  <c r="J492" i="19" s="1"/>
  <c r="I492" i="19" a="1"/>
  <c r="I492" i="19" s="1"/>
  <c r="H492" i="19" a="1"/>
  <c r="H492" i="19" s="1"/>
  <c r="G492" i="19" a="1"/>
  <c r="G492" i="19" s="1"/>
  <c r="F492" i="19" a="1"/>
  <c r="F492" i="19" s="1"/>
  <c r="E492" i="19" a="1"/>
  <c r="E492" i="19" s="1"/>
  <c r="D492" i="19" a="1"/>
  <c r="D492" i="19" s="1"/>
  <c r="C492" i="19" a="1"/>
  <c r="C492" i="19" s="1"/>
  <c r="B492" i="19" a="1"/>
  <c r="B492" i="19" s="1"/>
  <c r="U491" i="19" a="1"/>
  <c r="U491" i="19" s="1"/>
  <c r="T491" i="19" a="1"/>
  <c r="T491" i="19" s="1"/>
  <c r="S491" i="19" a="1"/>
  <c r="S491" i="19" s="1"/>
  <c r="Q491" i="19" a="1"/>
  <c r="Q491" i="19" s="1"/>
  <c r="P491" i="19"/>
  <c r="O491" i="19" a="1"/>
  <c r="O491" i="19" s="1"/>
  <c r="N491" i="19" a="1"/>
  <c r="N491" i="19" s="1"/>
  <c r="L491" i="19" a="1"/>
  <c r="L491" i="19" s="1"/>
  <c r="K491" i="19"/>
  <c r="J491" i="19" a="1"/>
  <c r="J491" i="19" s="1"/>
  <c r="I491" i="19" a="1"/>
  <c r="I491" i="19" s="1"/>
  <c r="H491" i="19" a="1"/>
  <c r="H491" i="19" s="1"/>
  <c r="G491" i="19" a="1"/>
  <c r="G491" i="19" s="1"/>
  <c r="F491" i="19" a="1"/>
  <c r="F491" i="19" s="1"/>
  <c r="E491" i="19" a="1"/>
  <c r="E491" i="19" s="1"/>
  <c r="D491" i="19" a="1"/>
  <c r="D491" i="19" s="1"/>
  <c r="C491" i="19" a="1"/>
  <c r="C491" i="19" s="1"/>
  <c r="B491" i="19" a="1"/>
  <c r="B491" i="19" s="1"/>
  <c r="U490" i="19" a="1"/>
  <c r="U490" i="19" s="1"/>
  <c r="T490" i="19" a="1"/>
  <c r="T490" i="19" s="1"/>
  <c r="S490" i="19" a="1"/>
  <c r="S490" i="19" s="1"/>
  <c r="Q490" i="19" a="1"/>
  <c r="Q490" i="19" s="1"/>
  <c r="P490" i="19"/>
  <c r="O490" i="19" a="1"/>
  <c r="O490" i="19" s="1"/>
  <c r="N490" i="19" a="1"/>
  <c r="N490" i="19" s="1"/>
  <c r="L490" i="19" a="1"/>
  <c r="L490" i="19" s="1"/>
  <c r="K490" i="19"/>
  <c r="J490" i="19" a="1"/>
  <c r="J490" i="19" s="1"/>
  <c r="I490" i="19" a="1"/>
  <c r="I490" i="19" s="1"/>
  <c r="H490" i="19" a="1"/>
  <c r="H490" i="19" s="1"/>
  <c r="G490" i="19" a="1"/>
  <c r="G490" i="19" s="1"/>
  <c r="F490" i="19" a="1"/>
  <c r="F490" i="19" s="1"/>
  <c r="E490" i="19" a="1"/>
  <c r="E490" i="19" s="1"/>
  <c r="D490" i="19" a="1"/>
  <c r="D490" i="19" s="1"/>
  <c r="C490" i="19" a="1"/>
  <c r="C490" i="19" s="1"/>
  <c r="B490" i="19" a="1"/>
  <c r="B490" i="19" s="1"/>
  <c r="U489" i="19" a="1"/>
  <c r="U489" i="19" s="1"/>
  <c r="T489" i="19" a="1"/>
  <c r="T489" i="19" s="1"/>
  <c r="S489" i="19" a="1"/>
  <c r="S489" i="19" s="1"/>
  <c r="Q489" i="19" a="1"/>
  <c r="Q489" i="19" s="1"/>
  <c r="P489" i="19"/>
  <c r="O489" i="19" a="1"/>
  <c r="O489" i="19" s="1"/>
  <c r="N489" i="19" a="1"/>
  <c r="N489" i="19" s="1"/>
  <c r="L489" i="19" a="1"/>
  <c r="L489" i="19" s="1"/>
  <c r="K489" i="19"/>
  <c r="J489" i="19" a="1"/>
  <c r="J489" i="19" s="1"/>
  <c r="I489" i="19" a="1"/>
  <c r="I489" i="19" s="1"/>
  <c r="H489" i="19" a="1"/>
  <c r="H489" i="19" s="1"/>
  <c r="G489" i="19" a="1"/>
  <c r="G489" i="19" s="1"/>
  <c r="F489" i="19" a="1"/>
  <c r="F489" i="19" s="1"/>
  <c r="E489" i="19" a="1"/>
  <c r="E489" i="19" s="1"/>
  <c r="D489" i="19" a="1"/>
  <c r="D489" i="19" s="1"/>
  <c r="C489" i="19" a="1"/>
  <c r="C489" i="19" s="1"/>
  <c r="B489" i="19" a="1"/>
  <c r="B489" i="19" s="1"/>
  <c r="U488" i="19" a="1"/>
  <c r="U488" i="19" s="1"/>
  <c r="T488" i="19" a="1"/>
  <c r="T488" i="19" s="1"/>
  <c r="S488" i="19" a="1"/>
  <c r="S488" i="19" s="1"/>
  <c r="Q488" i="19" a="1"/>
  <c r="Q488" i="19" s="1"/>
  <c r="P488" i="19"/>
  <c r="O488" i="19" a="1"/>
  <c r="O488" i="19" s="1"/>
  <c r="N488" i="19" a="1"/>
  <c r="N488" i="19" s="1"/>
  <c r="L488" i="19" a="1"/>
  <c r="L488" i="19" s="1"/>
  <c r="K488" i="19"/>
  <c r="J488" i="19" a="1"/>
  <c r="J488" i="19" s="1"/>
  <c r="I488" i="19" a="1"/>
  <c r="I488" i="19" s="1"/>
  <c r="H488" i="19" a="1"/>
  <c r="H488" i="19" s="1"/>
  <c r="G488" i="19" a="1"/>
  <c r="G488" i="19" s="1"/>
  <c r="F488" i="19" a="1"/>
  <c r="F488" i="19" s="1"/>
  <c r="E488" i="19" a="1"/>
  <c r="E488" i="19" s="1"/>
  <c r="D488" i="19" a="1"/>
  <c r="D488" i="19" s="1"/>
  <c r="C488" i="19" a="1"/>
  <c r="C488" i="19" s="1"/>
  <c r="B488" i="19" a="1"/>
  <c r="B488" i="19" s="1"/>
  <c r="U487" i="19" a="1"/>
  <c r="U487" i="19" s="1"/>
  <c r="T487" i="19" a="1"/>
  <c r="T487" i="19" s="1"/>
  <c r="S487" i="19" a="1"/>
  <c r="S487" i="19" s="1"/>
  <c r="Q487" i="19" a="1"/>
  <c r="Q487" i="19" s="1"/>
  <c r="P487" i="19"/>
  <c r="O487" i="19" a="1"/>
  <c r="O487" i="19" s="1"/>
  <c r="N487" i="19" a="1"/>
  <c r="N487" i="19" s="1"/>
  <c r="L487" i="19" a="1"/>
  <c r="L487" i="19" s="1"/>
  <c r="K487" i="19"/>
  <c r="J487" i="19" a="1"/>
  <c r="J487" i="19" s="1"/>
  <c r="I487" i="19" a="1"/>
  <c r="I487" i="19" s="1"/>
  <c r="H487" i="19" a="1"/>
  <c r="H487" i="19" s="1"/>
  <c r="G487" i="19" a="1"/>
  <c r="G487" i="19" s="1"/>
  <c r="F487" i="19" a="1"/>
  <c r="F487" i="19" s="1"/>
  <c r="E487" i="19" a="1"/>
  <c r="E487" i="19" s="1"/>
  <c r="D487" i="19" a="1"/>
  <c r="D487" i="19" s="1"/>
  <c r="C487" i="19" a="1"/>
  <c r="C487" i="19" s="1"/>
  <c r="B487" i="19" a="1"/>
  <c r="B487" i="19" s="1"/>
  <c r="U486" i="19" a="1"/>
  <c r="U486" i="19" s="1"/>
  <c r="T486" i="19" a="1"/>
  <c r="T486" i="19" s="1"/>
  <c r="S486" i="19" a="1"/>
  <c r="S486" i="19" s="1"/>
  <c r="Q486" i="19" a="1"/>
  <c r="Q486" i="19" s="1"/>
  <c r="P486" i="19"/>
  <c r="O486" i="19" a="1"/>
  <c r="O486" i="19" s="1"/>
  <c r="N486" i="19" a="1"/>
  <c r="N486" i="19" s="1"/>
  <c r="L486" i="19" a="1"/>
  <c r="L486" i="19" s="1"/>
  <c r="K486" i="19"/>
  <c r="J486" i="19" a="1"/>
  <c r="J486" i="19" s="1"/>
  <c r="I486" i="19" a="1"/>
  <c r="I486" i="19" s="1"/>
  <c r="H486" i="19" a="1"/>
  <c r="H486" i="19" s="1"/>
  <c r="G486" i="19" a="1"/>
  <c r="G486" i="19" s="1"/>
  <c r="F486" i="19" a="1"/>
  <c r="F486" i="19" s="1"/>
  <c r="E486" i="19" a="1"/>
  <c r="E486" i="19" s="1"/>
  <c r="D486" i="19" a="1"/>
  <c r="D486" i="19" s="1"/>
  <c r="C486" i="19" a="1"/>
  <c r="C486" i="19" s="1"/>
  <c r="B486" i="19" a="1"/>
  <c r="B486" i="19" s="1"/>
  <c r="U485" i="19" a="1"/>
  <c r="U485" i="19" s="1"/>
  <c r="T485" i="19" a="1"/>
  <c r="T485" i="19" s="1"/>
  <c r="S485" i="19" a="1"/>
  <c r="S485" i="19" s="1"/>
  <c r="Q485" i="19" a="1"/>
  <c r="Q485" i="19" s="1"/>
  <c r="P485" i="19"/>
  <c r="O485" i="19" a="1"/>
  <c r="O485" i="19" s="1"/>
  <c r="N485" i="19" a="1"/>
  <c r="N485" i="19" s="1"/>
  <c r="L485" i="19" a="1"/>
  <c r="L485" i="19" s="1"/>
  <c r="K485" i="19"/>
  <c r="J485" i="19" a="1"/>
  <c r="J485" i="19" s="1"/>
  <c r="I485" i="19" a="1"/>
  <c r="I485" i="19" s="1"/>
  <c r="H485" i="19" a="1"/>
  <c r="H485" i="19" s="1"/>
  <c r="G485" i="19" a="1"/>
  <c r="G485" i="19" s="1"/>
  <c r="F485" i="19" a="1"/>
  <c r="F485" i="19" s="1"/>
  <c r="E485" i="19" a="1"/>
  <c r="E485" i="19" s="1"/>
  <c r="D485" i="19" a="1"/>
  <c r="D485" i="19" s="1"/>
  <c r="C485" i="19" a="1"/>
  <c r="C485" i="19" s="1"/>
  <c r="B485" i="19" a="1"/>
  <c r="B485" i="19" s="1"/>
  <c r="U484" i="19" a="1"/>
  <c r="U484" i="19" s="1"/>
  <c r="T484" i="19" a="1"/>
  <c r="T484" i="19" s="1"/>
  <c r="S484" i="19" a="1"/>
  <c r="S484" i="19" s="1"/>
  <c r="Q484" i="19" a="1"/>
  <c r="Q484" i="19" s="1"/>
  <c r="P484" i="19"/>
  <c r="O484" i="19" a="1"/>
  <c r="O484" i="19" s="1"/>
  <c r="N484" i="19" a="1"/>
  <c r="N484" i="19" s="1"/>
  <c r="L484" i="19" a="1"/>
  <c r="L484" i="19" s="1"/>
  <c r="K484" i="19"/>
  <c r="J484" i="19" a="1"/>
  <c r="J484" i="19" s="1"/>
  <c r="I484" i="19" a="1"/>
  <c r="I484" i="19" s="1"/>
  <c r="H484" i="19" a="1"/>
  <c r="H484" i="19" s="1"/>
  <c r="G484" i="19" a="1"/>
  <c r="G484" i="19" s="1"/>
  <c r="F484" i="19" a="1"/>
  <c r="F484" i="19" s="1"/>
  <c r="E484" i="19" a="1"/>
  <c r="E484" i="19" s="1"/>
  <c r="D484" i="19" a="1"/>
  <c r="D484" i="19" s="1"/>
  <c r="C484" i="19" a="1"/>
  <c r="C484" i="19" s="1"/>
  <c r="B484" i="19" a="1"/>
  <c r="B484" i="19" s="1"/>
  <c r="U483" i="19" a="1"/>
  <c r="U483" i="19" s="1"/>
  <c r="T483" i="19" a="1"/>
  <c r="T483" i="19" s="1"/>
  <c r="S483" i="19" a="1"/>
  <c r="S483" i="19" s="1"/>
  <c r="Q483" i="19" a="1"/>
  <c r="Q483" i="19" s="1"/>
  <c r="P483" i="19"/>
  <c r="O483" i="19" a="1"/>
  <c r="O483" i="19" s="1"/>
  <c r="N483" i="19" a="1"/>
  <c r="N483" i="19" s="1"/>
  <c r="L483" i="19" a="1"/>
  <c r="L483" i="19" s="1"/>
  <c r="K483" i="19"/>
  <c r="J483" i="19" a="1"/>
  <c r="J483" i="19" s="1"/>
  <c r="I483" i="19" a="1"/>
  <c r="I483" i="19" s="1"/>
  <c r="H483" i="19" a="1"/>
  <c r="H483" i="19" s="1"/>
  <c r="G483" i="19" a="1"/>
  <c r="G483" i="19" s="1"/>
  <c r="F483" i="19" a="1"/>
  <c r="F483" i="19" s="1"/>
  <c r="E483" i="19" a="1"/>
  <c r="E483" i="19" s="1"/>
  <c r="D483" i="19" a="1"/>
  <c r="D483" i="19" s="1"/>
  <c r="C483" i="19" a="1"/>
  <c r="C483" i="19" s="1"/>
  <c r="B483" i="19" a="1"/>
  <c r="B483" i="19" s="1"/>
  <c r="U482" i="19" a="1"/>
  <c r="U482" i="19" s="1"/>
  <c r="T482" i="19" a="1"/>
  <c r="T482" i="19" s="1"/>
  <c r="S482" i="19" a="1"/>
  <c r="S482" i="19" s="1"/>
  <c r="Q482" i="19" a="1"/>
  <c r="Q482" i="19" s="1"/>
  <c r="P482" i="19"/>
  <c r="O482" i="19" a="1"/>
  <c r="O482" i="19" s="1"/>
  <c r="N482" i="19" a="1"/>
  <c r="N482" i="19" s="1"/>
  <c r="L482" i="19" a="1"/>
  <c r="L482" i="19" s="1"/>
  <c r="K482" i="19"/>
  <c r="J482" i="19" a="1"/>
  <c r="J482" i="19" s="1"/>
  <c r="I482" i="19" a="1"/>
  <c r="I482" i="19" s="1"/>
  <c r="H482" i="19" a="1"/>
  <c r="H482" i="19" s="1"/>
  <c r="G482" i="19" a="1"/>
  <c r="G482" i="19" s="1"/>
  <c r="F482" i="19" a="1"/>
  <c r="F482" i="19" s="1"/>
  <c r="E482" i="19" a="1"/>
  <c r="E482" i="19" s="1"/>
  <c r="D482" i="19" a="1"/>
  <c r="D482" i="19" s="1"/>
  <c r="C482" i="19" a="1"/>
  <c r="C482" i="19" s="1"/>
  <c r="B482" i="19" a="1"/>
  <c r="B482" i="19" s="1"/>
  <c r="U481" i="19" a="1"/>
  <c r="U481" i="19" s="1"/>
  <c r="T481" i="19" a="1"/>
  <c r="T481" i="19" s="1"/>
  <c r="S481" i="19" a="1"/>
  <c r="S481" i="19" s="1"/>
  <c r="Q481" i="19" a="1"/>
  <c r="Q481" i="19" s="1"/>
  <c r="P481" i="19"/>
  <c r="O481" i="19" a="1"/>
  <c r="O481" i="19" s="1"/>
  <c r="N481" i="19" a="1"/>
  <c r="N481" i="19" s="1"/>
  <c r="L481" i="19" a="1"/>
  <c r="L481" i="19" s="1"/>
  <c r="K481" i="19"/>
  <c r="J481" i="19" a="1"/>
  <c r="J481" i="19" s="1"/>
  <c r="I481" i="19" a="1"/>
  <c r="I481" i="19" s="1"/>
  <c r="H481" i="19" a="1"/>
  <c r="H481" i="19" s="1"/>
  <c r="G481" i="19" a="1"/>
  <c r="G481" i="19" s="1"/>
  <c r="F481" i="19" a="1"/>
  <c r="F481" i="19" s="1"/>
  <c r="E481" i="19" a="1"/>
  <c r="E481" i="19" s="1"/>
  <c r="D481" i="19" a="1"/>
  <c r="D481" i="19" s="1"/>
  <c r="C481" i="19" a="1"/>
  <c r="C481" i="19" s="1"/>
  <c r="B481" i="19" a="1"/>
  <c r="B481" i="19" s="1"/>
  <c r="U480" i="19" a="1"/>
  <c r="U480" i="19" s="1"/>
  <c r="T480" i="19" a="1"/>
  <c r="T480" i="19" s="1"/>
  <c r="S480" i="19" a="1"/>
  <c r="S480" i="19" s="1"/>
  <c r="Q480" i="19" a="1"/>
  <c r="Q480" i="19" s="1"/>
  <c r="P480" i="19"/>
  <c r="O480" i="19" a="1"/>
  <c r="O480" i="19" s="1"/>
  <c r="N480" i="19" a="1"/>
  <c r="N480" i="19" s="1"/>
  <c r="L480" i="19" a="1"/>
  <c r="L480" i="19" s="1"/>
  <c r="K480" i="19"/>
  <c r="J480" i="19" a="1"/>
  <c r="J480" i="19" s="1"/>
  <c r="I480" i="19" a="1"/>
  <c r="I480" i="19" s="1"/>
  <c r="H480" i="19" a="1"/>
  <c r="H480" i="19" s="1"/>
  <c r="G480" i="19" a="1"/>
  <c r="G480" i="19" s="1"/>
  <c r="F480" i="19" a="1"/>
  <c r="F480" i="19" s="1"/>
  <c r="E480" i="19" a="1"/>
  <c r="E480" i="19" s="1"/>
  <c r="D480" i="19" a="1"/>
  <c r="D480" i="19" s="1"/>
  <c r="C480" i="19" a="1"/>
  <c r="C480" i="19" s="1"/>
  <c r="B480" i="19" a="1"/>
  <c r="B480" i="19" s="1"/>
  <c r="U479" i="19" a="1"/>
  <c r="U479" i="19" s="1"/>
  <c r="T479" i="19" a="1"/>
  <c r="T479" i="19" s="1"/>
  <c r="S479" i="19" a="1"/>
  <c r="S479" i="19" s="1"/>
  <c r="Q479" i="19" a="1"/>
  <c r="Q479" i="19" s="1"/>
  <c r="P479" i="19"/>
  <c r="O479" i="19" a="1"/>
  <c r="O479" i="19" s="1"/>
  <c r="N479" i="19" a="1"/>
  <c r="N479" i="19" s="1"/>
  <c r="L479" i="19" a="1"/>
  <c r="L479" i="19" s="1"/>
  <c r="K479" i="19"/>
  <c r="J479" i="19" a="1"/>
  <c r="J479" i="19" s="1"/>
  <c r="I479" i="19" a="1"/>
  <c r="I479" i="19" s="1"/>
  <c r="H479" i="19" a="1"/>
  <c r="H479" i="19" s="1"/>
  <c r="G479" i="19" a="1"/>
  <c r="G479" i="19" s="1"/>
  <c r="F479" i="19" a="1"/>
  <c r="F479" i="19" s="1"/>
  <c r="E479" i="19" a="1"/>
  <c r="E479" i="19" s="1"/>
  <c r="D479" i="19" a="1"/>
  <c r="D479" i="19" s="1"/>
  <c r="C479" i="19" a="1"/>
  <c r="C479" i="19" s="1"/>
  <c r="B479" i="19" a="1"/>
  <c r="B479" i="19" s="1"/>
  <c r="U478" i="19" a="1"/>
  <c r="U478" i="19" s="1"/>
  <c r="T478" i="19" a="1"/>
  <c r="T478" i="19" s="1"/>
  <c r="S478" i="19" a="1"/>
  <c r="S478" i="19" s="1"/>
  <c r="Q478" i="19" a="1"/>
  <c r="Q478" i="19" s="1"/>
  <c r="P478" i="19"/>
  <c r="O478" i="19" a="1"/>
  <c r="O478" i="19" s="1"/>
  <c r="N478" i="19" a="1"/>
  <c r="N478" i="19" s="1"/>
  <c r="L478" i="19" a="1"/>
  <c r="L478" i="19" s="1"/>
  <c r="K478" i="19"/>
  <c r="J478" i="19" a="1"/>
  <c r="J478" i="19" s="1"/>
  <c r="I478" i="19" a="1"/>
  <c r="I478" i="19" s="1"/>
  <c r="H478" i="19" a="1"/>
  <c r="H478" i="19" s="1"/>
  <c r="G478" i="19" a="1"/>
  <c r="G478" i="19" s="1"/>
  <c r="F478" i="19" a="1"/>
  <c r="F478" i="19" s="1"/>
  <c r="E478" i="19" a="1"/>
  <c r="E478" i="19" s="1"/>
  <c r="D478" i="19" a="1"/>
  <c r="D478" i="19" s="1"/>
  <c r="C478" i="19" a="1"/>
  <c r="C478" i="19" s="1"/>
  <c r="B478" i="19" a="1"/>
  <c r="B478" i="19" s="1"/>
  <c r="U477" i="19" a="1"/>
  <c r="U477" i="19" s="1"/>
  <c r="T477" i="19" a="1"/>
  <c r="T477" i="19" s="1"/>
  <c r="S477" i="19" a="1"/>
  <c r="S477" i="19" s="1"/>
  <c r="Q477" i="19" a="1"/>
  <c r="Q477" i="19" s="1"/>
  <c r="P477" i="19"/>
  <c r="O477" i="19" a="1"/>
  <c r="O477" i="19" s="1"/>
  <c r="N477" i="19" a="1"/>
  <c r="N477" i="19" s="1"/>
  <c r="L477" i="19" a="1"/>
  <c r="L477" i="19" s="1"/>
  <c r="K477" i="19"/>
  <c r="J477" i="19" a="1"/>
  <c r="J477" i="19" s="1"/>
  <c r="I477" i="19" a="1"/>
  <c r="I477" i="19" s="1"/>
  <c r="H477" i="19" a="1"/>
  <c r="H477" i="19" s="1"/>
  <c r="G477" i="19" a="1"/>
  <c r="G477" i="19" s="1"/>
  <c r="F477" i="19" a="1"/>
  <c r="F477" i="19" s="1"/>
  <c r="E477" i="19" a="1"/>
  <c r="E477" i="19" s="1"/>
  <c r="D477" i="19" a="1"/>
  <c r="D477" i="19" s="1"/>
  <c r="C477" i="19" a="1"/>
  <c r="C477" i="19" s="1"/>
  <c r="B477" i="19" a="1"/>
  <c r="B477" i="19" s="1"/>
  <c r="U476" i="19" a="1"/>
  <c r="U476" i="19" s="1"/>
  <c r="T476" i="19" a="1"/>
  <c r="T476" i="19" s="1"/>
  <c r="S476" i="19" a="1"/>
  <c r="S476" i="19" s="1"/>
  <c r="Q476" i="19" a="1"/>
  <c r="Q476" i="19" s="1"/>
  <c r="P476" i="19"/>
  <c r="O476" i="19" a="1"/>
  <c r="O476" i="19" s="1"/>
  <c r="N476" i="19" a="1"/>
  <c r="N476" i="19" s="1"/>
  <c r="L476" i="19" a="1"/>
  <c r="L476" i="19" s="1"/>
  <c r="K476" i="19"/>
  <c r="J476" i="19" a="1"/>
  <c r="J476" i="19" s="1"/>
  <c r="I476" i="19" a="1"/>
  <c r="I476" i="19" s="1"/>
  <c r="H476" i="19" a="1"/>
  <c r="H476" i="19" s="1"/>
  <c r="G476" i="19" a="1"/>
  <c r="G476" i="19" s="1"/>
  <c r="F476" i="19" a="1"/>
  <c r="F476" i="19" s="1"/>
  <c r="E476" i="19" a="1"/>
  <c r="E476" i="19" s="1"/>
  <c r="D476" i="19" a="1"/>
  <c r="D476" i="19" s="1"/>
  <c r="C476" i="19" a="1"/>
  <c r="C476" i="19" s="1"/>
  <c r="B476" i="19" a="1"/>
  <c r="B476" i="19" s="1"/>
  <c r="U475" i="19" a="1"/>
  <c r="U475" i="19" s="1"/>
  <c r="T475" i="19" a="1"/>
  <c r="T475" i="19" s="1"/>
  <c r="S475" i="19" a="1"/>
  <c r="S475" i="19" s="1"/>
  <c r="Q475" i="19" a="1"/>
  <c r="Q475" i="19" s="1"/>
  <c r="P475" i="19"/>
  <c r="O475" i="19" a="1"/>
  <c r="O475" i="19" s="1"/>
  <c r="N475" i="19" a="1"/>
  <c r="N475" i="19" s="1"/>
  <c r="L475" i="19" a="1"/>
  <c r="L475" i="19" s="1"/>
  <c r="K475" i="19"/>
  <c r="J475" i="19" a="1"/>
  <c r="J475" i="19" s="1"/>
  <c r="I475" i="19" a="1"/>
  <c r="I475" i="19" s="1"/>
  <c r="H475" i="19" a="1"/>
  <c r="H475" i="19" s="1"/>
  <c r="G475" i="19" a="1"/>
  <c r="G475" i="19" s="1"/>
  <c r="F475" i="19" a="1"/>
  <c r="F475" i="19" s="1"/>
  <c r="E475" i="19" a="1"/>
  <c r="E475" i="19" s="1"/>
  <c r="D475" i="19" a="1"/>
  <c r="D475" i="19" s="1"/>
  <c r="C475" i="19" a="1"/>
  <c r="C475" i="19" s="1"/>
  <c r="B475" i="19" a="1"/>
  <c r="B475" i="19" s="1"/>
  <c r="U474" i="19" a="1"/>
  <c r="U474" i="19" s="1"/>
  <c r="T474" i="19" a="1"/>
  <c r="T474" i="19" s="1"/>
  <c r="S474" i="19" a="1"/>
  <c r="S474" i="19" s="1"/>
  <c r="Q474" i="19" a="1"/>
  <c r="Q474" i="19" s="1"/>
  <c r="P474" i="19"/>
  <c r="O474" i="19" a="1"/>
  <c r="O474" i="19" s="1"/>
  <c r="N474" i="19" a="1"/>
  <c r="N474" i="19" s="1"/>
  <c r="L474" i="19" a="1"/>
  <c r="L474" i="19" s="1"/>
  <c r="K474" i="19"/>
  <c r="J474" i="19" a="1"/>
  <c r="J474" i="19" s="1"/>
  <c r="I474" i="19" a="1"/>
  <c r="I474" i="19" s="1"/>
  <c r="H474" i="19" a="1"/>
  <c r="H474" i="19" s="1"/>
  <c r="G474" i="19" a="1"/>
  <c r="G474" i="19" s="1"/>
  <c r="F474" i="19" a="1"/>
  <c r="F474" i="19" s="1"/>
  <c r="E474" i="19" a="1"/>
  <c r="E474" i="19" s="1"/>
  <c r="D474" i="19" a="1"/>
  <c r="D474" i="19" s="1"/>
  <c r="C474" i="19" a="1"/>
  <c r="C474" i="19" s="1"/>
  <c r="B474" i="19" a="1"/>
  <c r="B474" i="19" s="1"/>
  <c r="U473" i="19" a="1"/>
  <c r="U473" i="19" s="1"/>
  <c r="T473" i="19" a="1"/>
  <c r="T473" i="19" s="1"/>
  <c r="S473" i="19" a="1"/>
  <c r="S473" i="19" s="1"/>
  <c r="Q473" i="19" a="1"/>
  <c r="Q473" i="19" s="1"/>
  <c r="P473" i="19"/>
  <c r="O473" i="19" a="1"/>
  <c r="O473" i="19" s="1"/>
  <c r="N473" i="19" a="1"/>
  <c r="N473" i="19" s="1"/>
  <c r="L473" i="19" a="1"/>
  <c r="L473" i="19" s="1"/>
  <c r="K473" i="19"/>
  <c r="J473" i="19" a="1"/>
  <c r="J473" i="19" s="1"/>
  <c r="I473" i="19" a="1"/>
  <c r="I473" i="19" s="1"/>
  <c r="H473" i="19" a="1"/>
  <c r="H473" i="19" s="1"/>
  <c r="G473" i="19" a="1"/>
  <c r="G473" i="19" s="1"/>
  <c r="F473" i="19" a="1"/>
  <c r="F473" i="19" s="1"/>
  <c r="E473" i="19" a="1"/>
  <c r="E473" i="19" s="1"/>
  <c r="D473" i="19" a="1"/>
  <c r="D473" i="19" s="1"/>
  <c r="C473" i="19" a="1"/>
  <c r="C473" i="19" s="1"/>
  <c r="B473" i="19" a="1"/>
  <c r="B473" i="19" s="1"/>
  <c r="U472" i="19" a="1"/>
  <c r="U472" i="19" s="1"/>
  <c r="T472" i="19" a="1"/>
  <c r="T472" i="19" s="1"/>
  <c r="S472" i="19" a="1"/>
  <c r="S472" i="19" s="1"/>
  <c r="Q472" i="19" a="1"/>
  <c r="Q472" i="19" s="1"/>
  <c r="P472" i="19"/>
  <c r="O472" i="19" a="1"/>
  <c r="O472" i="19" s="1"/>
  <c r="N472" i="19" a="1"/>
  <c r="N472" i="19" s="1"/>
  <c r="L472" i="19" a="1"/>
  <c r="L472" i="19" s="1"/>
  <c r="K472" i="19"/>
  <c r="J472" i="19" a="1"/>
  <c r="J472" i="19" s="1"/>
  <c r="I472" i="19" a="1"/>
  <c r="I472" i="19" s="1"/>
  <c r="H472" i="19" a="1"/>
  <c r="H472" i="19" s="1"/>
  <c r="G472" i="19" a="1"/>
  <c r="G472" i="19" s="1"/>
  <c r="F472" i="19" a="1"/>
  <c r="F472" i="19" s="1"/>
  <c r="E472" i="19" a="1"/>
  <c r="E472" i="19" s="1"/>
  <c r="D472" i="19" a="1"/>
  <c r="D472" i="19" s="1"/>
  <c r="C472" i="19" a="1"/>
  <c r="C472" i="19" s="1"/>
  <c r="B472" i="19" a="1"/>
  <c r="B472" i="19" s="1"/>
  <c r="U471" i="19" a="1"/>
  <c r="U471" i="19" s="1"/>
  <c r="T471" i="19" a="1"/>
  <c r="T471" i="19" s="1"/>
  <c r="S471" i="19" a="1"/>
  <c r="S471" i="19" s="1"/>
  <c r="Q471" i="19" a="1"/>
  <c r="Q471" i="19" s="1"/>
  <c r="P471" i="19"/>
  <c r="O471" i="19" a="1"/>
  <c r="O471" i="19" s="1"/>
  <c r="N471" i="19" a="1"/>
  <c r="N471" i="19" s="1"/>
  <c r="L471" i="19" a="1"/>
  <c r="L471" i="19" s="1"/>
  <c r="K471" i="19"/>
  <c r="J471" i="19" a="1"/>
  <c r="J471" i="19" s="1"/>
  <c r="I471" i="19" a="1"/>
  <c r="I471" i="19" s="1"/>
  <c r="H471" i="19" a="1"/>
  <c r="H471" i="19" s="1"/>
  <c r="G471" i="19" a="1"/>
  <c r="G471" i="19" s="1"/>
  <c r="F471" i="19" a="1"/>
  <c r="F471" i="19" s="1"/>
  <c r="E471" i="19" a="1"/>
  <c r="E471" i="19" s="1"/>
  <c r="D471" i="19" a="1"/>
  <c r="D471" i="19" s="1"/>
  <c r="C471" i="19" a="1"/>
  <c r="C471" i="19" s="1"/>
  <c r="B471" i="19" a="1"/>
  <c r="B471" i="19" s="1"/>
  <c r="U470" i="19" a="1"/>
  <c r="U470" i="19" s="1"/>
  <c r="T470" i="19" a="1"/>
  <c r="T470" i="19" s="1"/>
  <c r="S470" i="19" a="1"/>
  <c r="S470" i="19" s="1"/>
  <c r="Q470" i="19" a="1"/>
  <c r="Q470" i="19" s="1"/>
  <c r="P470" i="19"/>
  <c r="O470" i="19" a="1"/>
  <c r="O470" i="19" s="1"/>
  <c r="N470" i="19" a="1"/>
  <c r="N470" i="19" s="1"/>
  <c r="L470" i="19" a="1"/>
  <c r="L470" i="19" s="1"/>
  <c r="K470" i="19"/>
  <c r="J470" i="19" a="1"/>
  <c r="J470" i="19" s="1"/>
  <c r="I470" i="19" a="1"/>
  <c r="I470" i="19" s="1"/>
  <c r="H470" i="19" a="1"/>
  <c r="H470" i="19" s="1"/>
  <c r="G470" i="19" a="1"/>
  <c r="G470" i="19" s="1"/>
  <c r="F470" i="19" a="1"/>
  <c r="F470" i="19" s="1"/>
  <c r="E470" i="19" a="1"/>
  <c r="E470" i="19" s="1"/>
  <c r="D470" i="19" a="1"/>
  <c r="D470" i="19" s="1"/>
  <c r="C470" i="19" a="1"/>
  <c r="C470" i="19" s="1"/>
  <c r="B470" i="19" a="1"/>
  <c r="B470" i="19" s="1"/>
  <c r="U469" i="19" a="1"/>
  <c r="U469" i="19" s="1"/>
  <c r="T469" i="19" a="1"/>
  <c r="T469" i="19" s="1"/>
  <c r="S469" i="19" a="1"/>
  <c r="S469" i="19" s="1"/>
  <c r="Q469" i="19" a="1"/>
  <c r="Q469" i="19" s="1"/>
  <c r="P469" i="19"/>
  <c r="O469" i="19" a="1"/>
  <c r="O469" i="19" s="1"/>
  <c r="N469" i="19" a="1"/>
  <c r="N469" i="19" s="1"/>
  <c r="L469" i="19" a="1"/>
  <c r="L469" i="19" s="1"/>
  <c r="K469" i="19"/>
  <c r="J469" i="19" a="1"/>
  <c r="J469" i="19" s="1"/>
  <c r="I469" i="19" a="1"/>
  <c r="I469" i="19" s="1"/>
  <c r="H469" i="19" a="1"/>
  <c r="H469" i="19" s="1"/>
  <c r="G469" i="19" a="1"/>
  <c r="G469" i="19" s="1"/>
  <c r="F469" i="19" a="1"/>
  <c r="F469" i="19" s="1"/>
  <c r="E469" i="19" a="1"/>
  <c r="E469" i="19" s="1"/>
  <c r="D469" i="19" a="1"/>
  <c r="D469" i="19" s="1"/>
  <c r="C469" i="19" a="1"/>
  <c r="C469" i="19" s="1"/>
  <c r="B469" i="19" a="1"/>
  <c r="B469" i="19" s="1"/>
  <c r="U468" i="19" a="1"/>
  <c r="U468" i="19" s="1"/>
  <c r="T468" i="19" a="1"/>
  <c r="T468" i="19" s="1"/>
  <c r="S468" i="19" a="1"/>
  <c r="S468" i="19" s="1"/>
  <c r="Q468" i="19" a="1"/>
  <c r="Q468" i="19" s="1"/>
  <c r="P468" i="19"/>
  <c r="O468" i="19" a="1"/>
  <c r="O468" i="19" s="1"/>
  <c r="N468" i="19" a="1"/>
  <c r="N468" i="19" s="1"/>
  <c r="L468" i="19" a="1"/>
  <c r="L468" i="19" s="1"/>
  <c r="K468" i="19"/>
  <c r="J468" i="19" a="1"/>
  <c r="J468" i="19" s="1"/>
  <c r="I468" i="19" a="1"/>
  <c r="I468" i="19" s="1"/>
  <c r="H468" i="19" a="1"/>
  <c r="H468" i="19" s="1"/>
  <c r="G468" i="19" a="1"/>
  <c r="G468" i="19" s="1"/>
  <c r="F468" i="19" a="1"/>
  <c r="F468" i="19" s="1"/>
  <c r="E468" i="19" a="1"/>
  <c r="E468" i="19" s="1"/>
  <c r="D468" i="19" a="1"/>
  <c r="D468" i="19" s="1"/>
  <c r="C468" i="19" a="1"/>
  <c r="C468" i="19" s="1"/>
  <c r="B468" i="19" a="1"/>
  <c r="B468" i="19" s="1"/>
  <c r="U467" i="19" a="1"/>
  <c r="U467" i="19" s="1"/>
  <c r="T467" i="19" a="1"/>
  <c r="T467" i="19" s="1"/>
  <c r="S467" i="19" a="1"/>
  <c r="S467" i="19" s="1"/>
  <c r="Q467" i="19" a="1"/>
  <c r="Q467" i="19" s="1"/>
  <c r="P467" i="19"/>
  <c r="O467" i="19" a="1"/>
  <c r="O467" i="19" s="1"/>
  <c r="N467" i="19" a="1"/>
  <c r="N467" i="19" s="1"/>
  <c r="L467" i="19" a="1"/>
  <c r="L467" i="19" s="1"/>
  <c r="K467" i="19"/>
  <c r="J467" i="19" a="1"/>
  <c r="J467" i="19" s="1"/>
  <c r="I467" i="19" a="1"/>
  <c r="I467" i="19" s="1"/>
  <c r="H467" i="19" a="1"/>
  <c r="H467" i="19" s="1"/>
  <c r="G467" i="19" a="1"/>
  <c r="G467" i="19" s="1"/>
  <c r="F467" i="19" a="1"/>
  <c r="F467" i="19" s="1"/>
  <c r="E467" i="19" a="1"/>
  <c r="E467" i="19" s="1"/>
  <c r="D467" i="19" a="1"/>
  <c r="D467" i="19" s="1"/>
  <c r="C467" i="19" a="1"/>
  <c r="C467" i="19" s="1"/>
  <c r="B467" i="19" a="1"/>
  <c r="B467" i="19" s="1"/>
  <c r="U466" i="19" a="1"/>
  <c r="U466" i="19" s="1"/>
  <c r="T466" i="19" a="1"/>
  <c r="T466" i="19" s="1"/>
  <c r="S466" i="19" a="1"/>
  <c r="S466" i="19" s="1"/>
  <c r="Q466" i="19" a="1"/>
  <c r="Q466" i="19" s="1"/>
  <c r="P466" i="19"/>
  <c r="O466" i="19" a="1"/>
  <c r="O466" i="19" s="1"/>
  <c r="N466" i="19" a="1"/>
  <c r="N466" i="19" s="1"/>
  <c r="L466" i="19" a="1"/>
  <c r="L466" i="19" s="1"/>
  <c r="K466" i="19"/>
  <c r="J466" i="19" a="1"/>
  <c r="J466" i="19" s="1"/>
  <c r="I466" i="19" a="1"/>
  <c r="I466" i="19" s="1"/>
  <c r="H466" i="19" a="1"/>
  <c r="H466" i="19" s="1"/>
  <c r="G466" i="19" a="1"/>
  <c r="G466" i="19" s="1"/>
  <c r="F466" i="19" a="1"/>
  <c r="F466" i="19" s="1"/>
  <c r="E466" i="19" a="1"/>
  <c r="E466" i="19" s="1"/>
  <c r="D466" i="19" a="1"/>
  <c r="D466" i="19" s="1"/>
  <c r="C466" i="19" a="1"/>
  <c r="C466" i="19" s="1"/>
  <c r="B466" i="19" a="1"/>
  <c r="B466" i="19" s="1"/>
  <c r="U465" i="19" a="1"/>
  <c r="U465" i="19" s="1"/>
  <c r="T465" i="19" a="1"/>
  <c r="T465" i="19" s="1"/>
  <c r="S465" i="19" a="1"/>
  <c r="S465" i="19" s="1"/>
  <c r="Q465" i="19" a="1"/>
  <c r="Q465" i="19" s="1"/>
  <c r="P465" i="19"/>
  <c r="O465" i="19" a="1"/>
  <c r="O465" i="19" s="1"/>
  <c r="N465" i="19" a="1"/>
  <c r="N465" i="19" s="1"/>
  <c r="L465" i="19" a="1"/>
  <c r="L465" i="19" s="1"/>
  <c r="K465" i="19"/>
  <c r="J465" i="19" a="1"/>
  <c r="J465" i="19" s="1"/>
  <c r="I465" i="19" a="1"/>
  <c r="I465" i="19" s="1"/>
  <c r="H465" i="19" a="1"/>
  <c r="H465" i="19" s="1"/>
  <c r="G465" i="19" a="1"/>
  <c r="G465" i="19" s="1"/>
  <c r="F465" i="19" a="1"/>
  <c r="F465" i="19" s="1"/>
  <c r="E465" i="19" a="1"/>
  <c r="E465" i="19" s="1"/>
  <c r="D465" i="19" a="1"/>
  <c r="D465" i="19" s="1"/>
  <c r="C465" i="19" a="1"/>
  <c r="C465" i="19" s="1"/>
  <c r="B465" i="19" a="1"/>
  <c r="B465" i="19" s="1"/>
  <c r="U464" i="19" a="1"/>
  <c r="U464" i="19" s="1"/>
  <c r="T464" i="19" a="1"/>
  <c r="T464" i="19" s="1"/>
  <c r="S464" i="19" a="1"/>
  <c r="S464" i="19" s="1"/>
  <c r="Q464" i="19" a="1"/>
  <c r="Q464" i="19" s="1"/>
  <c r="P464" i="19"/>
  <c r="O464" i="19" a="1"/>
  <c r="O464" i="19" s="1"/>
  <c r="N464" i="19" a="1"/>
  <c r="N464" i="19" s="1"/>
  <c r="L464" i="19" a="1"/>
  <c r="L464" i="19" s="1"/>
  <c r="K464" i="19"/>
  <c r="J464" i="19" a="1"/>
  <c r="J464" i="19" s="1"/>
  <c r="I464" i="19" a="1"/>
  <c r="I464" i="19" s="1"/>
  <c r="H464" i="19" a="1"/>
  <c r="H464" i="19" s="1"/>
  <c r="G464" i="19" a="1"/>
  <c r="G464" i="19" s="1"/>
  <c r="F464" i="19" a="1"/>
  <c r="F464" i="19" s="1"/>
  <c r="E464" i="19" a="1"/>
  <c r="E464" i="19" s="1"/>
  <c r="D464" i="19" a="1"/>
  <c r="D464" i="19" s="1"/>
  <c r="C464" i="19" a="1"/>
  <c r="C464" i="19" s="1"/>
  <c r="B464" i="19" a="1"/>
  <c r="B464" i="19" s="1"/>
  <c r="U463" i="19" a="1"/>
  <c r="U463" i="19" s="1"/>
  <c r="T463" i="19" a="1"/>
  <c r="T463" i="19" s="1"/>
  <c r="S463" i="19" a="1"/>
  <c r="S463" i="19" s="1"/>
  <c r="Q463" i="19" a="1"/>
  <c r="Q463" i="19" s="1"/>
  <c r="P463" i="19"/>
  <c r="O463" i="19" a="1"/>
  <c r="O463" i="19" s="1"/>
  <c r="N463" i="19" a="1"/>
  <c r="N463" i="19" s="1"/>
  <c r="L463" i="19" a="1"/>
  <c r="L463" i="19" s="1"/>
  <c r="K463" i="19"/>
  <c r="J463" i="19" a="1"/>
  <c r="J463" i="19" s="1"/>
  <c r="I463" i="19" a="1"/>
  <c r="I463" i="19" s="1"/>
  <c r="H463" i="19" a="1"/>
  <c r="H463" i="19" s="1"/>
  <c r="G463" i="19" a="1"/>
  <c r="G463" i="19" s="1"/>
  <c r="F463" i="19" a="1"/>
  <c r="F463" i="19" s="1"/>
  <c r="E463" i="19" a="1"/>
  <c r="E463" i="19" s="1"/>
  <c r="D463" i="19" a="1"/>
  <c r="D463" i="19" s="1"/>
  <c r="C463" i="19" a="1"/>
  <c r="C463" i="19" s="1"/>
  <c r="B463" i="19" a="1"/>
  <c r="B463" i="19" s="1"/>
  <c r="U462" i="19" a="1"/>
  <c r="U462" i="19" s="1"/>
  <c r="T462" i="19" a="1"/>
  <c r="T462" i="19" s="1"/>
  <c r="S462" i="19" a="1"/>
  <c r="S462" i="19" s="1"/>
  <c r="Q462" i="19" a="1"/>
  <c r="Q462" i="19" s="1"/>
  <c r="P462" i="19"/>
  <c r="O462" i="19" a="1"/>
  <c r="O462" i="19" s="1"/>
  <c r="N462" i="19" a="1"/>
  <c r="N462" i="19" s="1"/>
  <c r="L462" i="19" a="1"/>
  <c r="L462" i="19" s="1"/>
  <c r="K462" i="19"/>
  <c r="J462" i="19" a="1"/>
  <c r="J462" i="19" s="1"/>
  <c r="I462" i="19" a="1"/>
  <c r="I462" i="19" s="1"/>
  <c r="H462" i="19" a="1"/>
  <c r="H462" i="19" s="1"/>
  <c r="G462" i="19" a="1"/>
  <c r="G462" i="19" s="1"/>
  <c r="F462" i="19" a="1"/>
  <c r="F462" i="19" s="1"/>
  <c r="E462" i="19" a="1"/>
  <c r="E462" i="19" s="1"/>
  <c r="D462" i="19" a="1"/>
  <c r="D462" i="19" s="1"/>
  <c r="C462" i="19" a="1"/>
  <c r="C462" i="19" s="1"/>
  <c r="B462" i="19" a="1"/>
  <c r="B462" i="19" s="1"/>
  <c r="U461" i="19" a="1"/>
  <c r="U461" i="19" s="1"/>
  <c r="T461" i="19" a="1"/>
  <c r="T461" i="19" s="1"/>
  <c r="S461" i="19" a="1"/>
  <c r="S461" i="19" s="1"/>
  <c r="Q461" i="19" a="1"/>
  <c r="Q461" i="19" s="1"/>
  <c r="P461" i="19"/>
  <c r="O461" i="19" a="1"/>
  <c r="O461" i="19" s="1"/>
  <c r="N461" i="19" a="1"/>
  <c r="N461" i="19" s="1"/>
  <c r="L461" i="19" a="1"/>
  <c r="L461" i="19" s="1"/>
  <c r="K461" i="19"/>
  <c r="J461" i="19" a="1"/>
  <c r="J461" i="19" s="1"/>
  <c r="I461" i="19" a="1"/>
  <c r="I461" i="19" s="1"/>
  <c r="H461" i="19" a="1"/>
  <c r="H461" i="19" s="1"/>
  <c r="G461" i="19" a="1"/>
  <c r="G461" i="19" s="1"/>
  <c r="F461" i="19" a="1"/>
  <c r="F461" i="19" s="1"/>
  <c r="E461" i="19" a="1"/>
  <c r="E461" i="19" s="1"/>
  <c r="D461" i="19" a="1"/>
  <c r="D461" i="19" s="1"/>
  <c r="C461" i="19" a="1"/>
  <c r="C461" i="19" s="1"/>
  <c r="B461" i="19" a="1"/>
  <c r="B461" i="19" s="1"/>
  <c r="U460" i="19" a="1"/>
  <c r="U460" i="19" s="1"/>
  <c r="T460" i="19" a="1"/>
  <c r="T460" i="19" s="1"/>
  <c r="S460" i="19" a="1"/>
  <c r="S460" i="19" s="1"/>
  <c r="Q460" i="19" a="1"/>
  <c r="Q460" i="19" s="1"/>
  <c r="P460" i="19"/>
  <c r="O460" i="19" a="1"/>
  <c r="O460" i="19" s="1"/>
  <c r="N460" i="19" a="1"/>
  <c r="N460" i="19" s="1"/>
  <c r="L460" i="19" a="1"/>
  <c r="L460" i="19" s="1"/>
  <c r="K460" i="19"/>
  <c r="J460" i="19" a="1"/>
  <c r="J460" i="19" s="1"/>
  <c r="I460" i="19" a="1"/>
  <c r="I460" i="19" s="1"/>
  <c r="H460" i="19" a="1"/>
  <c r="H460" i="19" s="1"/>
  <c r="G460" i="19" a="1"/>
  <c r="G460" i="19" s="1"/>
  <c r="F460" i="19" a="1"/>
  <c r="F460" i="19" s="1"/>
  <c r="E460" i="19" a="1"/>
  <c r="E460" i="19" s="1"/>
  <c r="D460" i="19" a="1"/>
  <c r="D460" i="19" s="1"/>
  <c r="C460" i="19" a="1"/>
  <c r="C460" i="19" s="1"/>
  <c r="B460" i="19" a="1"/>
  <c r="B460" i="19" s="1"/>
  <c r="U459" i="19" a="1"/>
  <c r="U459" i="19" s="1"/>
  <c r="T459" i="19" a="1"/>
  <c r="T459" i="19" s="1"/>
  <c r="S459" i="19" a="1"/>
  <c r="S459" i="19" s="1"/>
  <c r="Q459" i="19" a="1"/>
  <c r="Q459" i="19" s="1"/>
  <c r="P459" i="19"/>
  <c r="O459" i="19" a="1"/>
  <c r="O459" i="19" s="1"/>
  <c r="N459" i="19" a="1"/>
  <c r="N459" i="19" s="1"/>
  <c r="L459" i="19" a="1"/>
  <c r="L459" i="19" s="1"/>
  <c r="K459" i="19"/>
  <c r="J459" i="19" a="1"/>
  <c r="J459" i="19" s="1"/>
  <c r="I459" i="19" a="1"/>
  <c r="I459" i="19" s="1"/>
  <c r="H459" i="19" a="1"/>
  <c r="H459" i="19" s="1"/>
  <c r="G459" i="19" a="1"/>
  <c r="G459" i="19" s="1"/>
  <c r="F459" i="19" a="1"/>
  <c r="F459" i="19" s="1"/>
  <c r="E459" i="19" a="1"/>
  <c r="E459" i="19" s="1"/>
  <c r="D459" i="19" a="1"/>
  <c r="D459" i="19" s="1"/>
  <c r="C459" i="19" a="1"/>
  <c r="C459" i="19" s="1"/>
  <c r="B459" i="19" a="1"/>
  <c r="B459" i="19" s="1"/>
  <c r="U458" i="19" a="1"/>
  <c r="U458" i="19" s="1"/>
  <c r="T458" i="19" a="1"/>
  <c r="T458" i="19" s="1"/>
  <c r="S458" i="19" a="1"/>
  <c r="S458" i="19" s="1"/>
  <c r="Q458" i="19" a="1"/>
  <c r="Q458" i="19" s="1"/>
  <c r="P458" i="19"/>
  <c r="O458" i="19" a="1"/>
  <c r="O458" i="19" s="1"/>
  <c r="N458" i="19" a="1"/>
  <c r="N458" i="19" s="1"/>
  <c r="L458" i="19" a="1"/>
  <c r="L458" i="19" s="1"/>
  <c r="K458" i="19"/>
  <c r="J458" i="19" a="1"/>
  <c r="J458" i="19" s="1"/>
  <c r="I458" i="19" a="1"/>
  <c r="I458" i="19" s="1"/>
  <c r="H458" i="19" a="1"/>
  <c r="H458" i="19" s="1"/>
  <c r="G458" i="19" a="1"/>
  <c r="G458" i="19" s="1"/>
  <c r="F458" i="19" a="1"/>
  <c r="F458" i="19" s="1"/>
  <c r="E458" i="19" a="1"/>
  <c r="E458" i="19" s="1"/>
  <c r="D458" i="19" a="1"/>
  <c r="D458" i="19" s="1"/>
  <c r="C458" i="19" a="1"/>
  <c r="C458" i="19" s="1"/>
  <c r="B458" i="19" a="1"/>
  <c r="B458" i="19" s="1"/>
  <c r="U457" i="19" a="1"/>
  <c r="U457" i="19" s="1"/>
  <c r="T457" i="19" a="1"/>
  <c r="T457" i="19" s="1"/>
  <c r="S457" i="19" a="1"/>
  <c r="S457" i="19" s="1"/>
  <c r="Q457" i="19" a="1"/>
  <c r="Q457" i="19" s="1"/>
  <c r="P457" i="19"/>
  <c r="O457" i="19" a="1"/>
  <c r="O457" i="19" s="1"/>
  <c r="N457" i="19" a="1"/>
  <c r="N457" i="19" s="1"/>
  <c r="L457" i="19" a="1"/>
  <c r="L457" i="19" s="1"/>
  <c r="K457" i="19"/>
  <c r="J457" i="19" a="1"/>
  <c r="J457" i="19" s="1"/>
  <c r="I457" i="19" a="1"/>
  <c r="I457" i="19" s="1"/>
  <c r="H457" i="19" a="1"/>
  <c r="H457" i="19" s="1"/>
  <c r="G457" i="19" a="1"/>
  <c r="G457" i="19" s="1"/>
  <c r="F457" i="19" a="1"/>
  <c r="F457" i="19" s="1"/>
  <c r="E457" i="19" a="1"/>
  <c r="E457" i="19" s="1"/>
  <c r="D457" i="19" a="1"/>
  <c r="D457" i="19" s="1"/>
  <c r="C457" i="19" a="1"/>
  <c r="C457" i="19" s="1"/>
  <c r="B457" i="19" a="1"/>
  <c r="B457" i="19" s="1"/>
  <c r="U456" i="19" a="1"/>
  <c r="U456" i="19" s="1"/>
  <c r="T456" i="19" a="1"/>
  <c r="T456" i="19" s="1"/>
  <c r="S456" i="19" a="1"/>
  <c r="S456" i="19" s="1"/>
  <c r="Q456" i="19" a="1"/>
  <c r="Q456" i="19" s="1"/>
  <c r="P456" i="19"/>
  <c r="O456" i="19" a="1"/>
  <c r="O456" i="19" s="1"/>
  <c r="N456" i="19" a="1"/>
  <c r="N456" i="19" s="1"/>
  <c r="L456" i="19" a="1"/>
  <c r="L456" i="19" s="1"/>
  <c r="K456" i="19"/>
  <c r="J456" i="19" a="1"/>
  <c r="J456" i="19" s="1"/>
  <c r="I456" i="19" a="1"/>
  <c r="I456" i="19" s="1"/>
  <c r="H456" i="19" a="1"/>
  <c r="H456" i="19" s="1"/>
  <c r="G456" i="19" a="1"/>
  <c r="G456" i="19" s="1"/>
  <c r="F456" i="19" a="1"/>
  <c r="F456" i="19" s="1"/>
  <c r="E456" i="19" a="1"/>
  <c r="E456" i="19" s="1"/>
  <c r="D456" i="19" a="1"/>
  <c r="D456" i="19" s="1"/>
  <c r="C456" i="19" a="1"/>
  <c r="C456" i="19" s="1"/>
  <c r="B456" i="19" a="1"/>
  <c r="B456" i="19" s="1"/>
  <c r="U455" i="19" a="1"/>
  <c r="U455" i="19" s="1"/>
  <c r="T455" i="19" a="1"/>
  <c r="T455" i="19" s="1"/>
  <c r="S455" i="19" a="1"/>
  <c r="S455" i="19" s="1"/>
  <c r="Q455" i="19" a="1"/>
  <c r="Q455" i="19" s="1"/>
  <c r="P455" i="19"/>
  <c r="O455" i="19" a="1"/>
  <c r="O455" i="19" s="1"/>
  <c r="N455" i="19" a="1"/>
  <c r="N455" i="19" s="1"/>
  <c r="L455" i="19" a="1"/>
  <c r="L455" i="19" s="1"/>
  <c r="K455" i="19"/>
  <c r="J455" i="19" a="1"/>
  <c r="J455" i="19" s="1"/>
  <c r="I455" i="19" a="1"/>
  <c r="I455" i="19" s="1"/>
  <c r="H455" i="19" a="1"/>
  <c r="H455" i="19" s="1"/>
  <c r="G455" i="19" a="1"/>
  <c r="G455" i="19" s="1"/>
  <c r="F455" i="19" a="1"/>
  <c r="F455" i="19" s="1"/>
  <c r="E455" i="19" a="1"/>
  <c r="E455" i="19" s="1"/>
  <c r="D455" i="19" a="1"/>
  <c r="D455" i="19" s="1"/>
  <c r="C455" i="19" a="1"/>
  <c r="C455" i="19" s="1"/>
  <c r="B455" i="19" a="1"/>
  <c r="B455" i="19" s="1"/>
  <c r="U454" i="19" a="1"/>
  <c r="U454" i="19" s="1"/>
  <c r="T454" i="19" a="1"/>
  <c r="T454" i="19" s="1"/>
  <c r="S454" i="19" a="1"/>
  <c r="S454" i="19" s="1"/>
  <c r="Q454" i="19" a="1"/>
  <c r="Q454" i="19" s="1"/>
  <c r="P454" i="19"/>
  <c r="O454" i="19" a="1"/>
  <c r="O454" i="19" s="1"/>
  <c r="N454" i="19" a="1"/>
  <c r="N454" i="19" s="1"/>
  <c r="L454" i="19" a="1"/>
  <c r="L454" i="19" s="1"/>
  <c r="K454" i="19"/>
  <c r="J454" i="19" a="1"/>
  <c r="J454" i="19" s="1"/>
  <c r="I454" i="19" a="1"/>
  <c r="I454" i="19" s="1"/>
  <c r="H454" i="19" a="1"/>
  <c r="H454" i="19" s="1"/>
  <c r="G454" i="19" a="1"/>
  <c r="G454" i="19" s="1"/>
  <c r="F454" i="19" a="1"/>
  <c r="F454" i="19" s="1"/>
  <c r="E454" i="19" a="1"/>
  <c r="E454" i="19" s="1"/>
  <c r="D454" i="19" a="1"/>
  <c r="D454" i="19" s="1"/>
  <c r="C454" i="19" a="1"/>
  <c r="C454" i="19" s="1"/>
  <c r="B454" i="19" a="1"/>
  <c r="B454" i="19" s="1"/>
  <c r="U453" i="19" a="1"/>
  <c r="U453" i="19" s="1"/>
  <c r="T453" i="19" a="1"/>
  <c r="T453" i="19" s="1"/>
  <c r="S453" i="19" a="1"/>
  <c r="S453" i="19" s="1"/>
  <c r="Q453" i="19" a="1"/>
  <c r="Q453" i="19" s="1"/>
  <c r="P453" i="19"/>
  <c r="O453" i="19" a="1"/>
  <c r="O453" i="19" s="1"/>
  <c r="N453" i="19" a="1"/>
  <c r="N453" i="19" s="1"/>
  <c r="L453" i="19" a="1"/>
  <c r="L453" i="19" s="1"/>
  <c r="K453" i="19"/>
  <c r="J453" i="19" a="1"/>
  <c r="J453" i="19" s="1"/>
  <c r="I453" i="19" a="1"/>
  <c r="I453" i="19" s="1"/>
  <c r="H453" i="19" a="1"/>
  <c r="H453" i="19" s="1"/>
  <c r="G453" i="19" a="1"/>
  <c r="G453" i="19" s="1"/>
  <c r="F453" i="19" a="1"/>
  <c r="F453" i="19" s="1"/>
  <c r="E453" i="19" a="1"/>
  <c r="E453" i="19" s="1"/>
  <c r="D453" i="19" a="1"/>
  <c r="D453" i="19" s="1"/>
  <c r="C453" i="19" a="1"/>
  <c r="C453" i="19" s="1"/>
  <c r="B453" i="19" a="1"/>
  <c r="B453" i="19" s="1"/>
  <c r="U452" i="19" a="1"/>
  <c r="U452" i="19" s="1"/>
  <c r="T452" i="19" a="1"/>
  <c r="T452" i="19" s="1"/>
  <c r="S452" i="19" a="1"/>
  <c r="S452" i="19" s="1"/>
  <c r="Q452" i="19" a="1"/>
  <c r="Q452" i="19" s="1"/>
  <c r="P452" i="19"/>
  <c r="O452" i="19" a="1"/>
  <c r="O452" i="19" s="1"/>
  <c r="N452" i="19" a="1"/>
  <c r="N452" i="19" s="1"/>
  <c r="L452" i="19" a="1"/>
  <c r="L452" i="19" s="1"/>
  <c r="K452" i="19"/>
  <c r="J452" i="19" a="1"/>
  <c r="J452" i="19" s="1"/>
  <c r="I452" i="19" a="1"/>
  <c r="I452" i="19" s="1"/>
  <c r="H452" i="19" a="1"/>
  <c r="H452" i="19" s="1"/>
  <c r="G452" i="19" a="1"/>
  <c r="G452" i="19" s="1"/>
  <c r="F452" i="19" a="1"/>
  <c r="F452" i="19" s="1"/>
  <c r="E452" i="19" a="1"/>
  <c r="E452" i="19" s="1"/>
  <c r="D452" i="19" a="1"/>
  <c r="D452" i="19" s="1"/>
  <c r="C452" i="19" a="1"/>
  <c r="C452" i="19" s="1"/>
  <c r="B452" i="19" a="1"/>
  <c r="B452" i="19" s="1"/>
  <c r="U451" i="19" a="1"/>
  <c r="U451" i="19" s="1"/>
  <c r="T451" i="19" a="1"/>
  <c r="T451" i="19" s="1"/>
  <c r="S451" i="19" a="1"/>
  <c r="S451" i="19" s="1"/>
  <c r="Q451" i="19" a="1"/>
  <c r="Q451" i="19" s="1"/>
  <c r="P451" i="19"/>
  <c r="O451" i="19" a="1"/>
  <c r="O451" i="19" s="1"/>
  <c r="N451" i="19" a="1"/>
  <c r="N451" i="19" s="1"/>
  <c r="L451" i="19" a="1"/>
  <c r="L451" i="19" s="1"/>
  <c r="K451" i="19"/>
  <c r="J451" i="19" a="1"/>
  <c r="J451" i="19" s="1"/>
  <c r="I451" i="19" a="1"/>
  <c r="I451" i="19" s="1"/>
  <c r="H451" i="19" a="1"/>
  <c r="H451" i="19" s="1"/>
  <c r="G451" i="19" a="1"/>
  <c r="G451" i="19" s="1"/>
  <c r="F451" i="19" a="1"/>
  <c r="F451" i="19" s="1"/>
  <c r="E451" i="19" a="1"/>
  <c r="E451" i="19" s="1"/>
  <c r="D451" i="19" a="1"/>
  <c r="D451" i="19" s="1"/>
  <c r="C451" i="19" a="1"/>
  <c r="C451" i="19" s="1"/>
  <c r="B451" i="19" a="1"/>
  <c r="B451" i="19" s="1"/>
  <c r="U450" i="19" a="1"/>
  <c r="U450" i="19" s="1"/>
  <c r="T450" i="19" a="1"/>
  <c r="T450" i="19" s="1"/>
  <c r="S450" i="19" a="1"/>
  <c r="S450" i="19" s="1"/>
  <c r="Q450" i="19" a="1"/>
  <c r="Q450" i="19" s="1"/>
  <c r="P450" i="19"/>
  <c r="O450" i="19" a="1"/>
  <c r="O450" i="19" s="1"/>
  <c r="N450" i="19" a="1"/>
  <c r="N450" i="19" s="1"/>
  <c r="L450" i="19" a="1"/>
  <c r="L450" i="19" s="1"/>
  <c r="K450" i="19"/>
  <c r="J450" i="19" a="1"/>
  <c r="J450" i="19" s="1"/>
  <c r="I450" i="19" a="1"/>
  <c r="I450" i="19" s="1"/>
  <c r="H450" i="19" a="1"/>
  <c r="H450" i="19" s="1"/>
  <c r="G450" i="19" a="1"/>
  <c r="G450" i="19" s="1"/>
  <c r="F450" i="19" a="1"/>
  <c r="F450" i="19" s="1"/>
  <c r="E450" i="19" a="1"/>
  <c r="E450" i="19" s="1"/>
  <c r="D450" i="19" a="1"/>
  <c r="D450" i="19" s="1"/>
  <c r="C450" i="19" a="1"/>
  <c r="C450" i="19" s="1"/>
  <c r="B450" i="19" a="1"/>
  <c r="B450" i="19" s="1"/>
  <c r="U449" i="19" a="1"/>
  <c r="U449" i="19" s="1"/>
  <c r="T449" i="19" a="1"/>
  <c r="T449" i="19" s="1"/>
  <c r="S449" i="19" a="1"/>
  <c r="S449" i="19" s="1"/>
  <c r="Q449" i="19" a="1"/>
  <c r="Q449" i="19" s="1"/>
  <c r="P449" i="19"/>
  <c r="O449" i="19" a="1"/>
  <c r="O449" i="19" s="1"/>
  <c r="N449" i="19" a="1"/>
  <c r="N449" i="19" s="1"/>
  <c r="L449" i="19" a="1"/>
  <c r="L449" i="19" s="1"/>
  <c r="K449" i="19"/>
  <c r="J449" i="19" a="1"/>
  <c r="J449" i="19" s="1"/>
  <c r="I449" i="19" a="1"/>
  <c r="I449" i="19" s="1"/>
  <c r="H449" i="19" a="1"/>
  <c r="H449" i="19" s="1"/>
  <c r="G449" i="19" a="1"/>
  <c r="G449" i="19" s="1"/>
  <c r="F449" i="19" a="1"/>
  <c r="F449" i="19" s="1"/>
  <c r="E449" i="19" a="1"/>
  <c r="E449" i="19" s="1"/>
  <c r="D449" i="19" a="1"/>
  <c r="D449" i="19" s="1"/>
  <c r="C449" i="19" a="1"/>
  <c r="C449" i="19" s="1"/>
  <c r="B449" i="19" a="1"/>
  <c r="B449" i="19" s="1"/>
  <c r="U448" i="19" a="1"/>
  <c r="U448" i="19" s="1"/>
  <c r="T448" i="19" a="1"/>
  <c r="T448" i="19" s="1"/>
  <c r="S448" i="19" a="1"/>
  <c r="S448" i="19" s="1"/>
  <c r="Q448" i="19" a="1"/>
  <c r="Q448" i="19" s="1"/>
  <c r="P448" i="19"/>
  <c r="O448" i="19" a="1"/>
  <c r="O448" i="19" s="1"/>
  <c r="N448" i="19" a="1"/>
  <c r="N448" i="19" s="1"/>
  <c r="L448" i="19" a="1"/>
  <c r="L448" i="19" s="1"/>
  <c r="K448" i="19"/>
  <c r="J448" i="19" a="1"/>
  <c r="J448" i="19" s="1"/>
  <c r="I448" i="19" a="1"/>
  <c r="I448" i="19" s="1"/>
  <c r="H448" i="19" a="1"/>
  <c r="H448" i="19" s="1"/>
  <c r="G448" i="19" a="1"/>
  <c r="G448" i="19" s="1"/>
  <c r="F448" i="19" a="1"/>
  <c r="F448" i="19" s="1"/>
  <c r="E448" i="19" a="1"/>
  <c r="E448" i="19" s="1"/>
  <c r="D448" i="19" a="1"/>
  <c r="D448" i="19" s="1"/>
  <c r="C448" i="19" a="1"/>
  <c r="C448" i="19" s="1"/>
  <c r="B448" i="19" a="1"/>
  <c r="B448" i="19" s="1"/>
  <c r="U447" i="19" a="1"/>
  <c r="U447" i="19" s="1"/>
  <c r="T447" i="19" a="1"/>
  <c r="T447" i="19" s="1"/>
  <c r="S447" i="19" a="1"/>
  <c r="S447" i="19" s="1"/>
  <c r="Q447" i="19" a="1"/>
  <c r="Q447" i="19" s="1"/>
  <c r="P447" i="19"/>
  <c r="O447" i="19" a="1"/>
  <c r="O447" i="19" s="1"/>
  <c r="N447" i="19" a="1"/>
  <c r="N447" i="19" s="1"/>
  <c r="L447" i="19" a="1"/>
  <c r="L447" i="19" s="1"/>
  <c r="K447" i="19"/>
  <c r="J447" i="19" a="1"/>
  <c r="J447" i="19" s="1"/>
  <c r="I447" i="19" a="1"/>
  <c r="I447" i="19" s="1"/>
  <c r="H447" i="19" a="1"/>
  <c r="H447" i="19" s="1"/>
  <c r="G447" i="19" a="1"/>
  <c r="G447" i="19" s="1"/>
  <c r="F447" i="19" a="1"/>
  <c r="F447" i="19" s="1"/>
  <c r="E447" i="19" a="1"/>
  <c r="E447" i="19" s="1"/>
  <c r="D447" i="19" a="1"/>
  <c r="D447" i="19" s="1"/>
  <c r="C447" i="19" a="1"/>
  <c r="C447" i="19" s="1"/>
  <c r="B447" i="19" a="1"/>
  <c r="B447" i="19" s="1"/>
  <c r="U446" i="19" a="1"/>
  <c r="U446" i="19" s="1"/>
  <c r="T446" i="19" a="1"/>
  <c r="T446" i="19" s="1"/>
  <c r="S446" i="19" a="1"/>
  <c r="S446" i="19" s="1"/>
  <c r="Q446" i="19" a="1"/>
  <c r="Q446" i="19" s="1"/>
  <c r="P446" i="19"/>
  <c r="O446" i="19" a="1"/>
  <c r="O446" i="19" s="1"/>
  <c r="N446" i="19" a="1"/>
  <c r="N446" i="19" s="1"/>
  <c r="L446" i="19" a="1"/>
  <c r="L446" i="19" s="1"/>
  <c r="K446" i="19"/>
  <c r="J446" i="19" a="1"/>
  <c r="J446" i="19" s="1"/>
  <c r="I446" i="19" a="1"/>
  <c r="I446" i="19" s="1"/>
  <c r="H446" i="19" a="1"/>
  <c r="H446" i="19" s="1"/>
  <c r="G446" i="19" a="1"/>
  <c r="G446" i="19" s="1"/>
  <c r="F446" i="19" a="1"/>
  <c r="F446" i="19" s="1"/>
  <c r="E446" i="19" a="1"/>
  <c r="E446" i="19" s="1"/>
  <c r="D446" i="19" a="1"/>
  <c r="D446" i="19" s="1"/>
  <c r="C446" i="19" a="1"/>
  <c r="C446" i="19" s="1"/>
  <c r="B446" i="19" a="1"/>
  <c r="B446" i="19" s="1"/>
  <c r="U445" i="19" a="1"/>
  <c r="U445" i="19" s="1"/>
  <c r="T445" i="19" a="1"/>
  <c r="T445" i="19" s="1"/>
  <c r="S445" i="19" a="1"/>
  <c r="S445" i="19" s="1"/>
  <c r="Q445" i="19" a="1"/>
  <c r="Q445" i="19" s="1"/>
  <c r="P445" i="19"/>
  <c r="O445" i="19" a="1"/>
  <c r="O445" i="19" s="1"/>
  <c r="N445" i="19" a="1"/>
  <c r="N445" i="19" s="1"/>
  <c r="L445" i="19" a="1"/>
  <c r="L445" i="19" s="1"/>
  <c r="K445" i="19"/>
  <c r="J445" i="19" a="1"/>
  <c r="J445" i="19" s="1"/>
  <c r="I445" i="19" a="1"/>
  <c r="I445" i="19" s="1"/>
  <c r="H445" i="19" a="1"/>
  <c r="H445" i="19" s="1"/>
  <c r="G445" i="19" a="1"/>
  <c r="G445" i="19" s="1"/>
  <c r="F445" i="19" a="1"/>
  <c r="F445" i="19" s="1"/>
  <c r="E445" i="19" a="1"/>
  <c r="E445" i="19" s="1"/>
  <c r="D445" i="19" a="1"/>
  <c r="D445" i="19" s="1"/>
  <c r="C445" i="19" a="1"/>
  <c r="C445" i="19" s="1"/>
  <c r="B445" i="19" a="1"/>
  <c r="B445" i="19" s="1"/>
  <c r="U444" i="19" a="1"/>
  <c r="U444" i="19" s="1"/>
  <c r="T444" i="19" a="1"/>
  <c r="T444" i="19" s="1"/>
  <c r="S444" i="19" a="1"/>
  <c r="S444" i="19" s="1"/>
  <c r="Q444" i="19" a="1"/>
  <c r="Q444" i="19" s="1"/>
  <c r="P444" i="19"/>
  <c r="O444" i="19" a="1"/>
  <c r="O444" i="19" s="1"/>
  <c r="N444" i="19" a="1"/>
  <c r="N444" i="19" s="1"/>
  <c r="L444" i="19" a="1"/>
  <c r="L444" i="19" s="1"/>
  <c r="K444" i="19"/>
  <c r="J444" i="19" a="1"/>
  <c r="J444" i="19" s="1"/>
  <c r="I444" i="19" a="1"/>
  <c r="I444" i="19" s="1"/>
  <c r="H444" i="19" a="1"/>
  <c r="H444" i="19" s="1"/>
  <c r="G444" i="19" a="1"/>
  <c r="G444" i="19" s="1"/>
  <c r="F444" i="19" a="1"/>
  <c r="F444" i="19" s="1"/>
  <c r="E444" i="19" a="1"/>
  <c r="E444" i="19" s="1"/>
  <c r="D444" i="19" a="1"/>
  <c r="D444" i="19" s="1"/>
  <c r="C444" i="19" a="1"/>
  <c r="C444" i="19" s="1"/>
  <c r="B444" i="19" a="1"/>
  <c r="B444" i="19" s="1"/>
  <c r="U443" i="19" a="1"/>
  <c r="U443" i="19" s="1"/>
  <c r="T443" i="19" a="1"/>
  <c r="T443" i="19" s="1"/>
  <c r="S443" i="19" a="1"/>
  <c r="S443" i="19" s="1"/>
  <c r="Q443" i="19" a="1"/>
  <c r="Q443" i="19" s="1"/>
  <c r="P443" i="19"/>
  <c r="O443" i="19" a="1"/>
  <c r="O443" i="19" s="1"/>
  <c r="N443" i="19" a="1"/>
  <c r="N443" i="19" s="1"/>
  <c r="L443" i="19" a="1"/>
  <c r="L443" i="19" s="1"/>
  <c r="K443" i="19"/>
  <c r="J443" i="19" a="1"/>
  <c r="J443" i="19" s="1"/>
  <c r="I443" i="19" a="1"/>
  <c r="I443" i="19" s="1"/>
  <c r="H443" i="19" a="1"/>
  <c r="H443" i="19" s="1"/>
  <c r="G443" i="19" a="1"/>
  <c r="G443" i="19" s="1"/>
  <c r="F443" i="19" a="1"/>
  <c r="F443" i="19" s="1"/>
  <c r="E443" i="19" a="1"/>
  <c r="E443" i="19" s="1"/>
  <c r="D443" i="19" a="1"/>
  <c r="D443" i="19" s="1"/>
  <c r="C443" i="19" a="1"/>
  <c r="C443" i="19" s="1"/>
  <c r="B443" i="19" a="1"/>
  <c r="B443" i="19" s="1"/>
  <c r="U442" i="19" a="1"/>
  <c r="U442" i="19" s="1"/>
  <c r="T442" i="19" a="1"/>
  <c r="T442" i="19" s="1"/>
  <c r="S442" i="19" a="1"/>
  <c r="S442" i="19" s="1"/>
  <c r="Q442" i="19" a="1"/>
  <c r="Q442" i="19" s="1"/>
  <c r="P442" i="19"/>
  <c r="O442" i="19" a="1"/>
  <c r="O442" i="19" s="1"/>
  <c r="N442" i="19" a="1"/>
  <c r="N442" i="19" s="1"/>
  <c r="L442" i="19" a="1"/>
  <c r="L442" i="19" s="1"/>
  <c r="K442" i="19"/>
  <c r="J442" i="19" a="1"/>
  <c r="J442" i="19" s="1"/>
  <c r="I442" i="19" a="1"/>
  <c r="I442" i="19" s="1"/>
  <c r="H442" i="19" a="1"/>
  <c r="H442" i="19" s="1"/>
  <c r="G442" i="19" a="1"/>
  <c r="G442" i="19" s="1"/>
  <c r="F442" i="19" a="1"/>
  <c r="F442" i="19" s="1"/>
  <c r="E442" i="19" a="1"/>
  <c r="E442" i="19" s="1"/>
  <c r="D442" i="19" a="1"/>
  <c r="D442" i="19" s="1"/>
  <c r="C442" i="19" a="1"/>
  <c r="C442" i="19" s="1"/>
  <c r="B442" i="19" a="1"/>
  <c r="B442" i="19" s="1"/>
  <c r="U441" i="19" a="1"/>
  <c r="U441" i="19" s="1"/>
  <c r="T441" i="19" a="1"/>
  <c r="T441" i="19" s="1"/>
  <c r="S441" i="19" a="1"/>
  <c r="S441" i="19" s="1"/>
  <c r="Q441" i="19" a="1"/>
  <c r="Q441" i="19" s="1"/>
  <c r="P441" i="19"/>
  <c r="O441" i="19" a="1"/>
  <c r="O441" i="19" s="1"/>
  <c r="N441" i="19" a="1"/>
  <c r="N441" i="19" s="1"/>
  <c r="L441" i="19" a="1"/>
  <c r="L441" i="19" s="1"/>
  <c r="K441" i="19"/>
  <c r="J441" i="19" a="1"/>
  <c r="J441" i="19" s="1"/>
  <c r="I441" i="19" a="1"/>
  <c r="I441" i="19" s="1"/>
  <c r="H441" i="19" a="1"/>
  <c r="H441" i="19" s="1"/>
  <c r="G441" i="19" a="1"/>
  <c r="G441" i="19" s="1"/>
  <c r="F441" i="19" a="1"/>
  <c r="F441" i="19" s="1"/>
  <c r="E441" i="19" a="1"/>
  <c r="E441" i="19" s="1"/>
  <c r="D441" i="19" a="1"/>
  <c r="D441" i="19" s="1"/>
  <c r="C441" i="19" a="1"/>
  <c r="C441" i="19" s="1"/>
  <c r="B441" i="19" a="1"/>
  <c r="B441" i="19" s="1"/>
  <c r="U440" i="19" a="1"/>
  <c r="U440" i="19" s="1"/>
  <c r="T440" i="19" a="1"/>
  <c r="T440" i="19" s="1"/>
  <c r="S440" i="19" a="1"/>
  <c r="S440" i="19" s="1"/>
  <c r="Q440" i="19" a="1"/>
  <c r="Q440" i="19" s="1"/>
  <c r="P440" i="19"/>
  <c r="O440" i="19" a="1"/>
  <c r="O440" i="19" s="1"/>
  <c r="N440" i="19" a="1"/>
  <c r="N440" i="19" s="1"/>
  <c r="L440" i="19" a="1"/>
  <c r="L440" i="19" s="1"/>
  <c r="K440" i="19"/>
  <c r="J440" i="19" a="1"/>
  <c r="J440" i="19" s="1"/>
  <c r="I440" i="19" a="1"/>
  <c r="I440" i="19" s="1"/>
  <c r="H440" i="19" a="1"/>
  <c r="H440" i="19" s="1"/>
  <c r="G440" i="19" a="1"/>
  <c r="G440" i="19" s="1"/>
  <c r="F440" i="19" a="1"/>
  <c r="F440" i="19" s="1"/>
  <c r="E440" i="19" a="1"/>
  <c r="E440" i="19" s="1"/>
  <c r="D440" i="19" a="1"/>
  <c r="D440" i="19" s="1"/>
  <c r="C440" i="19" a="1"/>
  <c r="C440" i="19" s="1"/>
  <c r="B440" i="19" a="1"/>
  <c r="B440" i="19" s="1"/>
  <c r="U439" i="19" a="1"/>
  <c r="U439" i="19" s="1"/>
  <c r="T439" i="19" a="1"/>
  <c r="T439" i="19" s="1"/>
  <c r="S439" i="19" a="1"/>
  <c r="S439" i="19" s="1"/>
  <c r="Q439" i="19" a="1"/>
  <c r="Q439" i="19" s="1"/>
  <c r="P439" i="19"/>
  <c r="O439" i="19" a="1"/>
  <c r="O439" i="19" s="1"/>
  <c r="N439" i="19" a="1"/>
  <c r="N439" i="19" s="1"/>
  <c r="L439" i="19" a="1"/>
  <c r="L439" i="19" s="1"/>
  <c r="K439" i="19"/>
  <c r="J439" i="19" a="1"/>
  <c r="J439" i="19" s="1"/>
  <c r="I439" i="19" a="1"/>
  <c r="I439" i="19" s="1"/>
  <c r="H439" i="19" a="1"/>
  <c r="H439" i="19" s="1"/>
  <c r="G439" i="19" a="1"/>
  <c r="G439" i="19" s="1"/>
  <c r="F439" i="19" a="1"/>
  <c r="F439" i="19" s="1"/>
  <c r="E439" i="19" a="1"/>
  <c r="E439" i="19" s="1"/>
  <c r="D439" i="19" a="1"/>
  <c r="D439" i="19" s="1"/>
  <c r="C439" i="19" a="1"/>
  <c r="C439" i="19" s="1"/>
  <c r="B439" i="19" a="1"/>
  <c r="B439" i="19" s="1"/>
  <c r="U438" i="19" a="1"/>
  <c r="U438" i="19" s="1"/>
  <c r="T438" i="19" a="1"/>
  <c r="T438" i="19" s="1"/>
  <c r="S438" i="19" a="1"/>
  <c r="S438" i="19" s="1"/>
  <c r="Q438" i="19" a="1"/>
  <c r="Q438" i="19" s="1"/>
  <c r="P438" i="19"/>
  <c r="O438" i="19" a="1"/>
  <c r="O438" i="19" s="1"/>
  <c r="N438" i="19" a="1"/>
  <c r="N438" i="19" s="1"/>
  <c r="L438" i="19" a="1"/>
  <c r="L438" i="19" s="1"/>
  <c r="K438" i="19"/>
  <c r="J438" i="19" a="1"/>
  <c r="J438" i="19" s="1"/>
  <c r="I438" i="19" a="1"/>
  <c r="I438" i="19" s="1"/>
  <c r="H438" i="19" a="1"/>
  <c r="H438" i="19" s="1"/>
  <c r="G438" i="19" a="1"/>
  <c r="G438" i="19" s="1"/>
  <c r="F438" i="19" a="1"/>
  <c r="F438" i="19" s="1"/>
  <c r="E438" i="19" a="1"/>
  <c r="E438" i="19" s="1"/>
  <c r="D438" i="19" a="1"/>
  <c r="D438" i="19" s="1"/>
  <c r="C438" i="19" a="1"/>
  <c r="C438" i="19" s="1"/>
  <c r="B438" i="19" a="1"/>
  <c r="B438" i="19" s="1"/>
  <c r="U437" i="19" a="1"/>
  <c r="U437" i="19" s="1"/>
  <c r="T437" i="19" a="1"/>
  <c r="T437" i="19" s="1"/>
  <c r="S437" i="19" a="1"/>
  <c r="S437" i="19" s="1"/>
  <c r="Q437" i="19" a="1"/>
  <c r="Q437" i="19" s="1"/>
  <c r="P437" i="19"/>
  <c r="O437" i="19" a="1"/>
  <c r="O437" i="19" s="1"/>
  <c r="N437" i="19" a="1"/>
  <c r="N437" i="19" s="1"/>
  <c r="L437" i="19" a="1"/>
  <c r="L437" i="19" s="1"/>
  <c r="K437" i="19"/>
  <c r="J437" i="19" a="1"/>
  <c r="J437" i="19" s="1"/>
  <c r="I437" i="19" a="1"/>
  <c r="I437" i="19" s="1"/>
  <c r="H437" i="19" a="1"/>
  <c r="H437" i="19" s="1"/>
  <c r="G437" i="19" a="1"/>
  <c r="G437" i="19" s="1"/>
  <c r="F437" i="19" a="1"/>
  <c r="F437" i="19" s="1"/>
  <c r="E437" i="19" a="1"/>
  <c r="E437" i="19" s="1"/>
  <c r="D437" i="19" a="1"/>
  <c r="D437" i="19" s="1"/>
  <c r="C437" i="19" a="1"/>
  <c r="C437" i="19" s="1"/>
  <c r="B437" i="19" a="1"/>
  <c r="B437" i="19" s="1"/>
  <c r="U436" i="19" a="1"/>
  <c r="U436" i="19" s="1"/>
  <c r="T436" i="19" a="1"/>
  <c r="T436" i="19" s="1"/>
  <c r="S436" i="19" a="1"/>
  <c r="S436" i="19" s="1"/>
  <c r="Q436" i="19" a="1"/>
  <c r="Q436" i="19" s="1"/>
  <c r="P436" i="19"/>
  <c r="O436" i="19" a="1"/>
  <c r="O436" i="19" s="1"/>
  <c r="N436" i="19" a="1"/>
  <c r="N436" i="19" s="1"/>
  <c r="L436" i="19" a="1"/>
  <c r="L436" i="19" s="1"/>
  <c r="K436" i="19"/>
  <c r="J436" i="19" a="1"/>
  <c r="J436" i="19" s="1"/>
  <c r="I436" i="19" a="1"/>
  <c r="I436" i="19" s="1"/>
  <c r="H436" i="19" a="1"/>
  <c r="H436" i="19" s="1"/>
  <c r="G436" i="19" a="1"/>
  <c r="G436" i="19" s="1"/>
  <c r="F436" i="19" a="1"/>
  <c r="F436" i="19" s="1"/>
  <c r="E436" i="19" a="1"/>
  <c r="E436" i="19" s="1"/>
  <c r="D436" i="19" a="1"/>
  <c r="D436" i="19" s="1"/>
  <c r="C436" i="19" a="1"/>
  <c r="C436" i="19" s="1"/>
  <c r="B436" i="19" a="1"/>
  <c r="B436" i="19" s="1"/>
  <c r="U435" i="19" a="1"/>
  <c r="U435" i="19" s="1"/>
  <c r="T435" i="19" a="1"/>
  <c r="T435" i="19" s="1"/>
  <c r="S435" i="19" a="1"/>
  <c r="S435" i="19" s="1"/>
  <c r="Q435" i="19" a="1"/>
  <c r="Q435" i="19" s="1"/>
  <c r="P435" i="19"/>
  <c r="O435" i="19" a="1"/>
  <c r="O435" i="19" s="1"/>
  <c r="N435" i="19" a="1"/>
  <c r="N435" i="19" s="1"/>
  <c r="L435" i="19" a="1"/>
  <c r="L435" i="19" s="1"/>
  <c r="K435" i="19"/>
  <c r="J435" i="19" a="1"/>
  <c r="J435" i="19" s="1"/>
  <c r="I435" i="19" a="1"/>
  <c r="I435" i="19" s="1"/>
  <c r="H435" i="19" a="1"/>
  <c r="H435" i="19" s="1"/>
  <c r="G435" i="19" a="1"/>
  <c r="G435" i="19" s="1"/>
  <c r="F435" i="19" a="1"/>
  <c r="F435" i="19" s="1"/>
  <c r="E435" i="19" a="1"/>
  <c r="E435" i="19" s="1"/>
  <c r="D435" i="19" a="1"/>
  <c r="D435" i="19" s="1"/>
  <c r="C435" i="19" a="1"/>
  <c r="C435" i="19" s="1"/>
  <c r="B435" i="19" a="1"/>
  <c r="B435" i="19" s="1"/>
  <c r="U434" i="19" a="1"/>
  <c r="U434" i="19" s="1"/>
  <c r="T434" i="19" a="1"/>
  <c r="T434" i="19" s="1"/>
  <c r="S434" i="19" a="1"/>
  <c r="S434" i="19" s="1"/>
  <c r="Q434" i="19" a="1"/>
  <c r="Q434" i="19" s="1"/>
  <c r="P434" i="19"/>
  <c r="O434" i="19" a="1"/>
  <c r="O434" i="19" s="1"/>
  <c r="N434" i="19" a="1"/>
  <c r="N434" i="19" s="1"/>
  <c r="L434" i="19" a="1"/>
  <c r="L434" i="19" s="1"/>
  <c r="K434" i="19"/>
  <c r="J434" i="19" a="1"/>
  <c r="J434" i="19" s="1"/>
  <c r="I434" i="19" a="1"/>
  <c r="I434" i="19" s="1"/>
  <c r="H434" i="19" a="1"/>
  <c r="H434" i="19" s="1"/>
  <c r="G434" i="19" a="1"/>
  <c r="G434" i="19" s="1"/>
  <c r="F434" i="19" a="1"/>
  <c r="F434" i="19" s="1"/>
  <c r="E434" i="19" a="1"/>
  <c r="E434" i="19" s="1"/>
  <c r="D434" i="19" a="1"/>
  <c r="D434" i="19" s="1"/>
  <c r="C434" i="19" a="1"/>
  <c r="C434" i="19" s="1"/>
  <c r="B434" i="19" a="1"/>
  <c r="B434" i="19" s="1"/>
  <c r="U433" i="19" a="1"/>
  <c r="U433" i="19" s="1"/>
  <c r="T433" i="19" a="1"/>
  <c r="T433" i="19" s="1"/>
  <c r="S433" i="19" a="1"/>
  <c r="S433" i="19" s="1"/>
  <c r="Q433" i="19" a="1"/>
  <c r="Q433" i="19" s="1"/>
  <c r="P433" i="19"/>
  <c r="O433" i="19" a="1"/>
  <c r="O433" i="19" s="1"/>
  <c r="N433" i="19" a="1"/>
  <c r="N433" i="19" s="1"/>
  <c r="L433" i="19" a="1"/>
  <c r="L433" i="19" s="1"/>
  <c r="K433" i="19"/>
  <c r="J433" i="19" a="1"/>
  <c r="J433" i="19" s="1"/>
  <c r="I433" i="19" a="1"/>
  <c r="I433" i="19" s="1"/>
  <c r="H433" i="19" a="1"/>
  <c r="H433" i="19" s="1"/>
  <c r="G433" i="19" a="1"/>
  <c r="G433" i="19" s="1"/>
  <c r="F433" i="19" a="1"/>
  <c r="F433" i="19" s="1"/>
  <c r="E433" i="19" a="1"/>
  <c r="E433" i="19" s="1"/>
  <c r="D433" i="19" a="1"/>
  <c r="D433" i="19" s="1"/>
  <c r="C433" i="19" a="1"/>
  <c r="C433" i="19" s="1"/>
  <c r="B433" i="19" a="1"/>
  <c r="B433" i="19" s="1"/>
  <c r="U432" i="19" a="1"/>
  <c r="U432" i="19" s="1"/>
  <c r="T432" i="19" a="1"/>
  <c r="T432" i="19" s="1"/>
  <c r="S432" i="19" a="1"/>
  <c r="S432" i="19" s="1"/>
  <c r="Q432" i="19" a="1"/>
  <c r="Q432" i="19" s="1"/>
  <c r="P432" i="19"/>
  <c r="O432" i="19" a="1"/>
  <c r="O432" i="19" s="1"/>
  <c r="N432" i="19" a="1"/>
  <c r="N432" i="19" s="1"/>
  <c r="L432" i="19" a="1"/>
  <c r="L432" i="19" s="1"/>
  <c r="K432" i="19"/>
  <c r="J432" i="19" a="1"/>
  <c r="J432" i="19" s="1"/>
  <c r="I432" i="19" a="1"/>
  <c r="I432" i="19" s="1"/>
  <c r="H432" i="19" a="1"/>
  <c r="H432" i="19" s="1"/>
  <c r="G432" i="19" a="1"/>
  <c r="G432" i="19" s="1"/>
  <c r="F432" i="19" a="1"/>
  <c r="F432" i="19" s="1"/>
  <c r="E432" i="19" a="1"/>
  <c r="E432" i="19" s="1"/>
  <c r="D432" i="19" a="1"/>
  <c r="D432" i="19" s="1"/>
  <c r="C432" i="19" a="1"/>
  <c r="C432" i="19" s="1"/>
  <c r="B432" i="19" a="1"/>
  <c r="B432" i="19" s="1"/>
  <c r="U431" i="19" a="1"/>
  <c r="U431" i="19" s="1"/>
  <c r="T431" i="19" a="1"/>
  <c r="T431" i="19" s="1"/>
  <c r="S431" i="19" a="1"/>
  <c r="S431" i="19" s="1"/>
  <c r="Q431" i="19" a="1"/>
  <c r="Q431" i="19" s="1"/>
  <c r="P431" i="19"/>
  <c r="O431" i="19" a="1"/>
  <c r="O431" i="19" s="1"/>
  <c r="N431" i="19" a="1"/>
  <c r="N431" i="19" s="1"/>
  <c r="L431" i="19" a="1"/>
  <c r="L431" i="19" s="1"/>
  <c r="K431" i="19"/>
  <c r="J431" i="19" a="1"/>
  <c r="J431" i="19" s="1"/>
  <c r="I431" i="19" a="1"/>
  <c r="I431" i="19" s="1"/>
  <c r="H431" i="19" a="1"/>
  <c r="H431" i="19" s="1"/>
  <c r="G431" i="19" a="1"/>
  <c r="G431" i="19" s="1"/>
  <c r="F431" i="19" a="1"/>
  <c r="F431" i="19" s="1"/>
  <c r="E431" i="19" a="1"/>
  <c r="E431" i="19" s="1"/>
  <c r="D431" i="19" a="1"/>
  <c r="D431" i="19" s="1"/>
  <c r="C431" i="19" a="1"/>
  <c r="C431" i="19" s="1"/>
  <c r="B431" i="19" a="1"/>
  <c r="B431" i="19" s="1"/>
  <c r="U430" i="19" a="1"/>
  <c r="U430" i="19" s="1"/>
  <c r="T430" i="19" a="1"/>
  <c r="T430" i="19" s="1"/>
  <c r="S430" i="19" a="1"/>
  <c r="S430" i="19" s="1"/>
  <c r="Q430" i="19" a="1"/>
  <c r="Q430" i="19" s="1"/>
  <c r="P430" i="19"/>
  <c r="O430" i="19" a="1"/>
  <c r="O430" i="19" s="1"/>
  <c r="N430" i="19" a="1"/>
  <c r="N430" i="19" s="1"/>
  <c r="L430" i="19" a="1"/>
  <c r="L430" i="19" s="1"/>
  <c r="K430" i="19"/>
  <c r="J430" i="19" a="1"/>
  <c r="J430" i="19" s="1"/>
  <c r="I430" i="19" a="1"/>
  <c r="I430" i="19" s="1"/>
  <c r="H430" i="19" a="1"/>
  <c r="H430" i="19" s="1"/>
  <c r="G430" i="19" a="1"/>
  <c r="G430" i="19" s="1"/>
  <c r="F430" i="19" a="1"/>
  <c r="F430" i="19" s="1"/>
  <c r="E430" i="19" a="1"/>
  <c r="E430" i="19" s="1"/>
  <c r="D430" i="19" a="1"/>
  <c r="D430" i="19" s="1"/>
  <c r="C430" i="19" a="1"/>
  <c r="C430" i="19" s="1"/>
  <c r="B430" i="19" a="1"/>
  <c r="B430" i="19" s="1"/>
  <c r="U429" i="19" a="1"/>
  <c r="U429" i="19" s="1"/>
  <c r="T429" i="19" a="1"/>
  <c r="T429" i="19" s="1"/>
  <c r="S429" i="19" a="1"/>
  <c r="S429" i="19" s="1"/>
  <c r="Q429" i="19" a="1"/>
  <c r="Q429" i="19" s="1"/>
  <c r="P429" i="19"/>
  <c r="O429" i="19" a="1"/>
  <c r="O429" i="19" s="1"/>
  <c r="N429" i="19" a="1"/>
  <c r="N429" i="19" s="1"/>
  <c r="L429" i="19" a="1"/>
  <c r="L429" i="19" s="1"/>
  <c r="K429" i="19"/>
  <c r="J429" i="19" a="1"/>
  <c r="J429" i="19" s="1"/>
  <c r="I429" i="19" a="1"/>
  <c r="I429" i="19" s="1"/>
  <c r="H429" i="19" a="1"/>
  <c r="H429" i="19" s="1"/>
  <c r="G429" i="19" a="1"/>
  <c r="G429" i="19" s="1"/>
  <c r="F429" i="19" a="1"/>
  <c r="F429" i="19" s="1"/>
  <c r="E429" i="19" a="1"/>
  <c r="E429" i="19" s="1"/>
  <c r="D429" i="19" a="1"/>
  <c r="D429" i="19" s="1"/>
  <c r="C429" i="19" a="1"/>
  <c r="C429" i="19" s="1"/>
  <c r="B429" i="19" a="1"/>
  <c r="B429" i="19" s="1"/>
  <c r="U428" i="19" a="1"/>
  <c r="U428" i="19" s="1"/>
  <c r="T428" i="19" a="1"/>
  <c r="T428" i="19" s="1"/>
  <c r="S428" i="19" a="1"/>
  <c r="S428" i="19" s="1"/>
  <c r="Q428" i="19" a="1"/>
  <c r="Q428" i="19" s="1"/>
  <c r="P428" i="19"/>
  <c r="O428" i="19" a="1"/>
  <c r="O428" i="19" s="1"/>
  <c r="N428" i="19" a="1"/>
  <c r="N428" i="19" s="1"/>
  <c r="L428" i="19" a="1"/>
  <c r="L428" i="19" s="1"/>
  <c r="K428" i="19"/>
  <c r="J428" i="19" a="1"/>
  <c r="J428" i="19" s="1"/>
  <c r="I428" i="19" a="1"/>
  <c r="I428" i="19" s="1"/>
  <c r="H428" i="19" a="1"/>
  <c r="H428" i="19" s="1"/>
  <c r="G428" i="19" a="1"/>
  <c r="G428" i="19" s="1"/>
  <c r="F428" i="19" a="1"/>
  <c r="F428" i="19" s="1"/>
  <c r="E428" i="19" a="1"/>
  <c r="E428" i="19" s="1"/>
  <c r="D428" i="19" a="1"/>
  <c r="D428" i="19" s="1"/>
  <c r="C428" i="19" a="1"/>
  <c r="C428" i="19" s="1"/>
  <c r="B428" i="19" a="1"/>
  <c r="B428" i="19" s="1"/>
  <c r="U427" i="19" a="1"/>
  <c r="U427" i="19" s="1"/>
  <c r="T427" i="19" a="1"/>
  <c r="T427" i="19" s="1"/>
  <c r="S427" i="19" a="1"/>
  <c r="S427" i="19" s="1"/>
  <c r="Q427" i="19" a="1"/>
  <c r="Q427" i="19" s="1"/>
  <c r="P427" i="19"/>
  <c r="O427" i="19" a="1"/>
  <c r="O427" i="19" s="1"/>
  <c r="N427" i="19" a="1"/>
  <c r="N427" i="19" s="1"/>
  <c r="L427" i="19" a="1"/>
  <c r="L427" i="19" s="1"/>
  <c r="K427" i="19"/>
  <c r="J427" i="19" a="1"/>
  <c r="J427" i="19" s="1"/>
  <c r="I427" i="19" a="1"/>
  <c r="I427" i="19" s="1"/>
  <c r="H427" i="19" a="1"/>
  <c r="H427" i="19" s="1"/>
  <c r="G427" i="19" a="1"/>
  <c r="G427" i="19" s="1"/>
  <c r="F427" i="19" a="1"/>
  <c r="F427" i="19" s="1"/>
  <c r="E427" i="19" a="1"/>
  <c r="E427" i="19" s="1"/>
  <c r="D427" i="19" a="1"/>
  <c r="D427" i="19" s="1"/>
  <c r="C427" i="19" a="1"/>
  <c r="C427" i="19" s="1"/>
  <c r="B427" i="19" a="1"/>
  <c r="B427" i="19" s="1"/>
  <c r="U426" i="19" a="1"/>
  <c r="U426" i="19" s="1"/>
  <c r="T426" i="19" a="1"/>
  <c r="T426" i="19" s="1"/>
  <c r="S426" i="19" a="1"/>
  <c r="S426" i="19" s="1"/>
  <c r="Q426" i="19" a="1"/>
  <c r="Q426" i="19" s="1"/>
  <c r="P426" i="19"/>
  <c r="O426" i="19" a="1"/>
  <c r="O426" i="19" s="1"/>
  <c r="N426" i="19" a="1"/>
  <c r="N426" i="19" s="1"/>
  <c r="L426" i="19" a="1"/>
  <c r="L426" i="19" s="1"/>
  <c r="K426" i="19"/>
  <c r="J426" i="19" a="1"/>
  <c r="J426" i="19" s="1"/>
  <c r="I426" i="19" a="1"/>
  <c r="I426" i="19" s="1"/>
  <c r="H426" i="19" a="1"/>
  <c r="H426" i="19" s="1"/>
  <c r="G426" i="19" a="1"/>
  <c r="G426" i="19" s="1"/>
  <c r="F426" i="19" a="1"/>
  <c r="F426" i="19" s="1"/>
  <c r="E426" i="19" a="1"/>
  <c r="E426" i="19" s="1"/>
  <c r="D426" i="19" a="1"/>
  <c r="D426" i="19" s="1"/>
  <c r="C426" i="19" a="1"/>
  <c r="C426" i="19" s="1"/>
  <c r="B426" i="19" a="1"/>
  <c r="B426" i="19" s="1"/>
  <c r="U425" i="19" a="1"/>
  <c r="U425" i="19" s="1"/>
  <c r="T425" i="19" a="1"/>
  <c r="T425" i="19" s="1"/>
  <c r="S425" i="19" a="1"/>
  <c r="S425" i="19" s="1"/>
  <c r="Q425" i="19" a="1"/>
  <c r="Q425" i="19" s="1"/>
  <c r="P425" i="19"/>
  <c r="O425" i="19" a="1"/>
  <c r="O425" i="19" s="1"/>
  <c r="N425" i="19" a="1"/>
  <c r="N425" i="19" s="1"/>
  <c r="L425" i="19" a="1"/>
  <c r="L425" i="19" s="1"/>
  <c r="K425" i="19"/>
  <c r="J425" i="19" a="1"/>
  <c r="J425" i="19" s="1"/>
  <c r="I425" i="19" a="1"/>
  <c r="I425" i="19" s="1"/>
  <c r="H425" i="19" a="1"/>
  <c r="H425" i="19" s="1"/>
  <c r="G425" i="19" a="1"/>
  <c r="G425" i="19" s="1"/>
  <c r="F425" i="19" a="1"/>
  <c r="F425" i="19" s="1"/>
  <c r="E425" i="19" a="1"/>
  <c r="E425" i="19" s="1"/>
  <c r="D425" i="19" a="1"/>
  <c r="D425" i="19" s="1"/>
  <c r="C425" i="19" a="1"/>
  <c r="C425" i="19" s="1"/>
  <c r="B425" i="19" a="1"/>
  <c r="B425" i="19" s="1"/>
  <c r="U424" i="19" a="1"/>
  <c r="U424" i="19" s="1"/>
  <c r="T424" i="19" a="1"/>
  <c r="T424" i="19" s="1"/>
  <c r="S424" i="19" a="1"/>
  <c r="S424" i="19" s="1"/>
  <c r="Q424" i="19" a="1"/>
  <c r="Q424" i="19" s="1"/>
  <c r="P424" i="19"/>
  <c r="O424" i="19" a="1"/>
  <c r="O424" i="19" s="1"/>
  <c r="N424" i="19" a="1"/>
  <c r="N424" i="19" s="1"/>
  <c r="L424" i="19" a="1"/>
  <c r="L424" i="19" s="1"/>
  <c r="K424" i="19"/>
  <c r="J424" i="19" a="1"/>
  <c r="J424" i="19" s="1"/>
  <c r="I424" i="19" a="1"/>
  <c r="I424" i="19" s="1"/>
  <c r="H424" i="19" a="1"/>
  <c r="H424" i="19" s="1"/>
  <c r="G424" i="19" a="1"/>
  <c r="G424" i="19" s="1"/>
  <c r="F424" i="19" a="1"/>
  <c r="F424" i="19" s="1"/>
  <c r="E424" i="19" a="1"/>
  <c r="E424" i="19" s="1"/>
  <c r="D424" i="19" a="1"/>
  <c r="D424" i="19" s="1"/>
  <c r="C424" i="19" a="1"/>
  <c r="C424" i="19" s="1"/>
  <c r="B424" i="19" a="1"/>
  <c r="B424" i="19" s="1"/>
  <c r="U423" i="19" a="1"/>
  <c r="U423" i="19" s="1"/>
  <c r="T423" i="19" a="1"/>
  <c r="T423" i="19" s="1"/>
  <c r="S423" i="19" a="1"/>
  <c r="S423" i="19" s="1"/>
  <c r="Q423" i="19" a="1"/>
  <c r="Q423" i="19" s="1"/>
  <c r="P423" i="19"/>
  <c r="O423" i="19" a="1"/>
  <c r="O423" i="19" s="1"/>
  <c r="N423" i="19" a="1"/>
  <c r="N423" i="19" s="1"/>
  <c r="L423" i="19" a="1"/>
  <c r="L423" i="19" s="1"/>
  <c r="K423" i="19"/>
  <c r="J423" i="19" a="1"/>
  <c r="J423" i="19" s="1"/>
  <c r="I423" i="19" a="1"/>
  <c r="I423" i="19" s="1"/>
  <c r="H423" i="19" a="1"/>
  <c r="H423" i="19" s="1"/>
  <c r="G423" i="19" a="1"/>
  <c r="G423" i="19" s="1"/>
  <c r="F423" i="19" a="1"/>
  <c r="F423" i="19" s="1"/>
  <c r="E423" i="19" a="1"/>
  <c r="E423" i="19" s="1"/>
  <c r="D423" i="19" a="1"/>
  <c r="D423" i="19" s="1"/>
  <c r="C423" i="19" a="1"/>
  <c r="C423" i="19" s="1"/>
  <c r="B423" i="19" a="1"/>
  <c r="B423" i="19" s="1"/>
  <c r="U422" i="19" a="1"/>
  <c r="U422" i="19" s="1"/>
  <c r="T422" i="19" a="1"/>
  <c r="T422" i="19" s="1"/>
  <c r="S422" i="19" a="1"/>
  <c r="S422" i="19" s="1"/>
  <c r="Q422" i="19" a="1"/>
  <c r="Q422" i="19" s="1"/>
  <c r="P422" i="19"/>
  <c r="O422" i="19" a="1"/>
  <c r="O422" i="19" s="1"/>
  <c r="N422" i="19" a="1"/>
  <c r="N422" i="19" s="1"/>
  <c r="L422" i="19" a="1"/>
  <c r="L422" i="19" s="1"/>
  <c r="K422" i="19"/>
  <c r="J422" i="19" a="1"/>
  <c r="J422" i="19" s="1"/>
  <c r="I422" i="19" a="1"/>
  <c r="I422" i="19" s="1"/>
  <c r="H422" i="19" a="1"/>
  <c r="H422" i="19" s="1"/>
  <c r="G422" i="19" a="1"/>
  <c r="G422" i="19" s="1"/>
  <c r="F422" i="19" a="1"/>
  <c r="F422" i="19" s="1"/>
  <c r="E422" i="19" a="1"/>
  <c r="E422" i="19" s="1"/>
  <c r="D422" i="19" a="1"/>
  <c r="D422" i="19" s="1"/>
  <c r="C422" i="19" a="1"/>
  <c r="C422" i="19" s="1"/>
  <c r="B422" i="19" a="1"/>
  <c r="B422" i="19" s="1"/>
  <c r="U421" i="19" a="1"/>
  <c r="U421" i="19" s="1"/>
  <c r="T421" i="19" a="1"/>
  <c r="T421" i="19" s="1"/>
  <c r="S421" i="19" a="1"/>
  <c r="S421" i="19" s="1"/>
  <c r="Q421" i="19" a="1"/>
  <c r="Q421" i="19" s="1"/>
  <c r="P421" i="19"/>
  <c r="O421" i="19" a="1"/>
  <c r="O421" i="19" s="1"/>
  <c r="N421" i="19" a="1"/>
  <c r="N421" i="19" s="1"/>
  <c r="L421" i="19" a="1"/>
  <c r="L421" i="19" s="1"/>
  <c r="K421" i="19"/>
  <c r="J421" i="19" a="1"/>
  <c r="J421" i="19" s="1"/>
  <c r="I421" i="19" a="1"/>
  <c r="I421" i="19" s="1"/>
  <c r="H421" i="19" a="1"/>
  <c r="H421" i="19" s="1"/>
  <c r="G421" i="19" a="1"/>
  <c r="G421" i="19" s="1"/>
  <c r="F421" i="19" a="1"/>
  <c r="F421" i="19" s="1"/>
  <c r="E421" i="19" a="1"/>
  <c r="E421" i="19" s="1"/>
  <c r="D421" i="19" a="1"/>
  <c r="D421" i="19" s="1"/>
  <c r="C421" i="19" a="1"/>
  <c r="C421" i="19" s="1"/>
  <c r="B421" i="19" a="1"/>
  <c r="B421" i="19" s="1"/>
  <c r="U420" i="19" a="1"/>
  <c r="U420" i="19" s="1"/>
  <c r="T420" i="19" a="1"/>
  <c r="T420" i="19" s="1"/>
  <c r="S420" i="19" a="1"/>
  <c r="S420" i="19" s="1"/>
  <c r="Q420" i="19" a="1"/>
  <c r="Q420" i="19" s="1"/>
  <c r="P420" i="19"/>
  <c r="O420" i="19" a="1"/>
  <c r="O420" i="19" s="1"/>
  <c r="N420" i="19" a="1"/>
  <c r="N420" i="19" s="1"/>
  <c r="L420" i="19" a="1"/>
  <c r="L420" i="19" s="1"/>
  <c r="K420" i="19"/>
  <c r="J420" i="19" a="1"/>
  <c r="J420" i="19" s="1"/>
  <c r="I420" i="19" a="1"/>
  <c r="I420" i="19" s="1"/>
  <c r="H420" i="19" a="1"/>
  <c r="H420" i="19" s="1"/>
  <c r="G420" i="19" a="1"/>
  <c r="G420" i="19" s="1"/>
  <c r="F420" i="19" a="1"/>
  <c r="F420" i="19" s="1"/>
  <c r="E420" i="19" a="1"/>
  <c r="E420" i="19" s="1"/>
  <c r="D420" i="19" a="1"/>
  <c r="D420" i="19" s="1"/>
  <c r="C420" i="19" a="1"/>
  <c r="C420" i="19" s="1"/>
  <c r="B420" i="19" a="1"/>
  <c r="B420" i="19" s="1"/>
  <c r="U419" i="19" a="1"/>
  <c r="U419" i="19" s="1"/>
  <c r="T419" i="19" a="1"/>
  <c r="T419" i="19" s="1"/>
  <c r="S419" i="19" a="1"/>
  <c r="S419" i="19" s="1"/>
  <c r="Q419" i="19" a="1"/>
  <c r="Q419" i="19" s="1"/>
  <c r="P419" i="19"/>
  <c r="O419" i="19" a="1"/>
  <c r="O419" i="19" s="1"/>
  <c r="N419" i="19" a="1"/>
  <c r="N419" i="19" s="1"/>
  <c r="L419" i="19" a="1"/>
  <c r="L419" i="19" s="1"/>
  <c r="K419" i="19"/>
  <c r="J419" i="19" a="1"/>
  <c r="J419" i="19" s="1"/>
  <c r="I419" i="19" a="1"/>
  <c r="I419" i="19" s="1"/>
  <c r="H419" i="19" a="1"/>
  <c r="H419" i="19" s="1"/>
  <c r="G419" i="19" a="1"/>
  <c r="G419" i="19" s="1"/>
  <c r="F419" i="19" a="1"/>
  <c r="F419" i="19" s="1"/>
  <c r="E419" i="19" a="1"/>
  <c r="E419" i="19" s="1"/>
  <c r="D419" i="19" a="1"/>
  <c r="D419" i="19" s="1"/>
  <c r="C419" i="19" a="1"/>
  <c r="C419" i="19" s="1"/>
  <c r="B419" i="19" a="1"/>
  <c r="B419" i="19" s="1"/>
  <c r="U418" i="19" a="1"/>
  <c r="U418" i="19" s="1"/>
  <c r="T418" i="19" a="1"/>
  <c r="T418" i="19" s="1"/>
  <c r="S418" i="19" a="1"/>
  <c r="S418" i="19" s="1"/>
  <c r="Q418" i="19" a="1"/>
  <c r="Q418" i="19" s="1"/>
  <c r="P418" i="19"/>
  <c r="O418" i="19" a="1"/>
  <c r="O418" i="19" s="1"/>
  <c r="N418" i="19" a="1"/>
  <c r="N418" i="19" s="1"/>
  <c r="L418" i="19" a="1"/>
  <c r="L418" i="19" s="1"/>
  <c r="K418" i="19"/>
  <c r="J418" i="19" a="1"/>
  <c r="J418" i="19" s="1"/>
  <c r="I418" i="19" a="1"/>
  <c r="I418" i="19" s="1"/>
  <c r="H418" i="19" a="1"/>
  <c r="H418" i="19" s="1"/>
  <c r="G418" i="19" a="1"/>
  <c r="G418" i="19" s="1"/>
  <c r="F418" i="19" a="1"/>
  <c r="F418" i="19" s="1"/>
  <c r="E418" i="19" a="1"/>
  <c r="E418" i="19" s="1"/>
  <c r="D418" i="19" a="1"/>
  <c r="D418" i="19" s="1"/>
  <c r="C418" i="19" a="1"/>
  <c r="C418" i="19" s="1"/>
  <c r="B418" i="19" a="1"/>
  <c r="B418" i="19" s="1"/>
  <c r="U417" i="19" a="1"/>
  <c r="U417" i="19" s="1"/>
  <c r="T417" i="19" a="1"/>
  <c r="T417" i="19" s="1"/>
  <c r="S417" i="19" a="1"/>
  <c r="S417" i="19" s="1"/>
  <c r="Q417" i="19" a="1"/>
  <c r="Q417" i="19" s="1"/>
  <c r="P417" i="19"/>
  <c r="O417" i="19" a="1"/>
  <c r="O417" i="19" s="1"/>
  <c r="N417" i="19" a="1"/>
  <c r="N417" i="19" s="1"/>
  <c r="L417" i="19" a="1"/>
  <c r="L417" i="19" s="1"/>
  <c r="K417" i="19"/>
  <c r="J417" i="19" a="1"/>
  <c r="J417" i="19" s="1"/>
  <c r="I417" i="19" a="1"/>
  <c r="I417" i="19" s="1"/>
  <c r="H417" i="19" a="1"/>
  <c r="H417" i="19" s="1"/>
  <c r="G417" i="19" a="1"/>
  <c r="G417" i="19" s="1"/>
  <c r="F417" i="19" a="1"/>
  <c r="F417" i="19" s="1"/>
  <c r="E417" i="19" a="1"/>
  <c r="E417" i="19" s="1"/>
  <c r="D417" i="19" a="1"/>
  <c r="D417" i="19" s="1"/>
  <c r="C417" i="19" a="1"/>
  <c r="C417" i="19" s="1"/>
  <c r="B417" i="19" a="1"/>
  <c r="B417" i="19" s="1"/>
  <c r="U416" i="19" a="1"/>
  <c r="U416" i="19" s="1"/>
  <c r="T416" i="19" a="1"/>
  <c r="T416" i="19" s="1"/>
  <c r="S416" i="19" a="1"/>
  <c r="S416" i="19" s="1"/>
  <c r="Q416" i="19" a="1"/>
  <c r="Q416" i="19" s="1"/>
  <c r="P416" i="19"/>
  <c r="O416" i="19" a="1"/>
  <c r="O416" i="19" s="1"/>
  <c r="N416" i="19" a="1"/>
  <c r="N416" i="19" s="1"/>
  <c r="L416" i="19" a="1"/>
  <c r="L416" i="19" s="1"/>
  <c r="K416" i="19"/>
  <c r="J416" i="19" a="1"/>
  <c r="J416" i="19" s="1"/>
  <c r="I416" i="19" a="1"/>
  <c r="I416" i="19" s="1"/>
  <c r="H416" i="19" a="1"/>
  <c r="H416" i="19" s="1"/>
  <c r="G416" i="19" a="1"/>
  <c r="G416" i="19" s="1"/>
  <c r="F416" i="19" a="1"/>
  <c r="F416" i="19" s="1"/>
  <c r="E416" i="19" a="1"/>
  <c r="E416" i="19" s="1"/>
  <c r="D416" i="19" a="1"/>
  <c r="D416" i="19" s="1"/>
  <c r="C416" i="19" a="1"/>
  <c r="C416" i="19" s="1"/>
  <c r="B416" i="19" a="1"/>
  <c r="B416" i="19" s="1"/>
  <c r="U415" i="19" a="1"/>
  <c r="U415" i="19" s="1"/>
  <c r="T415" i="19" a="1"/>
  <c r="T415" i="19" s="1"/>
  <c r="S415" i="19" a="1"/>
  <c r="S415" i="19" s="1"/>
  <c r="Q415" i="19" a="1"/>
  <c r="Q415" i="19" s="1"/>
  <c r="P415" i="19"/>
  <c r="O415" i="19" a="1"/>
  <c r="O415" i="19" s="1"/>
  <c r="N415" i="19" a="1"/>
  <c r="N415" i="19" s="1"/>
  <c r="L415" i="19" a="1"/>
  <c r="L415" i="19" s="1"/>
  <c r="K415" i="19"/>
  <c r="J415" i="19" a="1"/>
  <c r="J415" i="19" s="1"/>
  <c r="I415" i="19" a="1"/>
  <c r="I415" i="19" s="1"/>
  <c r="H415" i="19" a="1"/>
  <c r="H415" i="19" s="1"/>
  <c r="G415" i="19" a="1"/>
  <c r="G415" i="19" s="1"/>
  <c r="F415" i="19" a="1"/>
  <c r="F415" i="19" s="1"/>
  <c r="E415" i="19" a="1"/>
  <c r="E415" i="19" s="1"/>
  <c r="D415" i="19" a="1"/>
  <c r="D415" i="19" s="1"/>
  <c r="C415" i="19" a="1"/>
  <c r="C415" i="19" s="1"/>
  <c r="B415" i="19" a="1"/>
  <c r="B415" i="19" s="1"/>
  <c r="U414" i="19" a="1"/>
  <c r="U414" i="19" s="1"/>
  <c r="T414" i="19" a="1"/>
  <c r="T414" i="19" s="1"/>
  <c r="S414" i="19" a="1"/>
  <c r="S414" i="19" s="1"/>
  <c r="Q414" i="19" a="1"/>
  <c r="Q414" i="19" s="1"/>
  <c r="P414" i="19"/>
  <c r="O414" i="19" a="1"/>
  <c r="O414" i="19" s="1"/>
  <c r="N414" i="19" a="1"/>
  <c r="N414" i="19" s="1"/>
  <c r="L414" i="19" a="1"/>
  <c r="L414" i="19" s="1"/>
  <c r="K414" i="19"/>
  <c r="J414" i="19" a="1"/>
  <c r="J414" i="19" s="1"/>
  <c r="I414" i="19" a="1"/>
  <c r="I414" i="19" s="1"/>
  <c r="H414" i="19" a="1"/>
  <c r="H414" i="19" s="1"/>
  <c r="G414" i="19" a="1"/>
  <c r="G414" i="19" s="1"/>
  <c r="F414" i="19" a="1"/>
  <c r="F414" i="19" s="1"/>
  <c r="E414" i="19" a="1"/>
  <c r="E414" i="19" s="1"/>
  <c r="D414" i="19" a="1"/>
  <c r="D414" i="19" s="1"/>
  <c r="C414" i="19" a="1"/>
  <c r="C414" i="19" s="1"/>
  <c r="B414" i="19" a="1"/>
  <c r="B414" i="19" s="1"/>
  <c r="U413" i="19" a="1"/>
  <c r="U413" i="19" s="1"/>
  <c r="T413" i="19" a="1"/>
  <c r="T413" i="19" s="1"/>
  <c r="S413" i="19" a="1"/>
  <c r="S413" i="19" s="1"/>
  <c r="Q413" i="19" a="1"/>
  <c r="Q413" i="19" s="1"/>
  <c r="P413" i="19"/>
  <c r="O413" i="19" a="1"/>
  <c r="O413" i="19" s="1"/>
  <c r="N413" i="19" a="1"/>
  <c r="N413" i="19" s="1"/>
  <c r="L413" i="19" a="1"/>
  <c r="L413" i="19" s="1"/>
  <c r="K413" i="19"/>
  <c r="J413" i="19" a="1"/>
  <c r="J413" i="19" s="1"/>
  <c r="I413" i="19" a="1"/>
  <c r="I413" i="19" s="1"/>
  <c r="H413" i="19" a="1"/>
  <c r="H413" i="19" s="1"/>
  <c r="G413" i="19" a="1"/>
  <c r="G413" i="19" s="1"/>
  <c r="F413" i="19" a="1"/>
  <c r="F413" i="19" s="1"/>
  <c r="E413" i="19" a="1"/>
  <c r="E413" i="19" s="1"/>
  <c r="D413" i="19" a="1"/>
  <c r="D413" i="19" s="1"/>
  <c r="C413" i="19" a="1"/>
  <c r="C413" i="19" s="1"/>
  <c r="B413" i="19" a="1"/>
  <c r="B413" i="19" s="1"/>
  <c r="U412" i="19" a="1"/>
  <c r="U412" i="19" s="1"/>
  <c r="T412" i="19" a="1"/>
  <c r="T412" i="19" s="1"/>
  <c r="S412" i="19" a="1"/>
  <c r="S412" i="19" s="1"/>
  <c r="Q412" i="19" a="1"/>
  <c r="Q412" i="19" s="1"/>
  <c r="P412" i="19"/>
  <c r="O412" i="19" a="1"/>
  <c r="O412" i="19" s="1"/>
  <c r="N412" i="19" a="1"/>
  <c r="N412" i="19" s="1"/>
  <c r="L412" i="19" a="1"/>
  <c r="L412" i="19" s="1"/>
  <c r="K412" i="19"/>
  <c r="J412" i="19" a="1"/>
  <c r="J412" i="19" s="1"/>
  <c r="I412" i="19" a="1"/>
  <c r="I412" i="19" s="1"/>
  <c r="H412" i="19" a="1"/>
  <c r="H412" i="19" s="1"/>
  <c r="G412" i="19" a="1"/>
  <c r="G412" i="19" s="1"/>
  <c r="F412" i="19" a="1"/>
  <c r="F412" i="19" s="1"/>
  <c r="E412" i="19" a="1"/>
  <c r="E412" i="19" s="1"/>
  <c r="D412" i="19" a="1"/>
  <c r="D412" i="19" s="1"/>
  <c r="C412" i="19" a="1"/>
  <c r="C412" i="19" s="1"/>
  <c r="B412" i="19" a="1"/>
  <c r="B412" i="19" s="1"/>
  <c r="U411" i="19" a="1"/>
  <c r="U411" i="19" s="1"/>
  <c r="T411" i="19" a="1"/>
  <c r="T411" i="19" s="1"/>
  <c r="S411" i="19" a="1"/>
  <c r="S411" i="19" s="1"/>
  <c r="Q411" i="19" a="1"/>
  <c r="Q411" i="19" s="1"/>
  <c r="P411" i="19"/>
  <c r="O411" i="19" a="1"/>
  <c r="O411" i="19" s="1"/>
  <c r="N411" i="19" a="1"/>
  <c r="N411" i="19" s="1"/>
  <c r="L411" i="19" a="1"/>
  <c r="L411" i="19" s="1"/>
  <c r="K411" i="19"/>
  <c r="J411" i="19" a="1"/>
  <c r="J411" i="19" s="1"/>
  <c r="I411" i="19" a="1"/>
  <c r="I411" i="19" s="1"/>
  <c r="H411" i="19" a="1"/>
  <c r="H411" i="19" s="1"/>
  <c r="G411" i="19" a="1"/>
  <c r="G411" i="19" s="1"/>
  <c r="F411" i="19" a="1"/>
  <c r="F411" i="19" s="1"/>
  <c r="E411" i="19" a="1"/>
  <c r="E411" i="19" s="1"/>
  <c r="D411" i="19" a="1"/>
  <c r="D411" i="19" s="1"/>
  <c r="C411" i="19" a="1"/>
  <c r="C411" i="19" s="1"/>
  <c r="B411" i="19" a="1"/>
  <c r="B411" i="19" s="1"/>
  <c r="U410" i="19" a="1"/>
  <c r="U410" i="19" s="1"/>
  <c r="T410" i="19" a="1"/>
  <c r="T410" i="19" s="1"/>
  <c r="S410" i="19" a="1"/>
  <c r="S410" i="19" s="1"/>
  <c r="Q410" i="19" a="1"/>
  <c r="Q410" i="19" s="1"/>
  <c r="P410" i="19"/>
  <c r="O410" i="19" a="1"/>
  <c r="O410" i="19" s="1"/>
  <c r="N410" i="19" a="1"/>
  <c r="N410" i="19" s="1"/>
  <c r="L410" i="19" a="1"/>
  <c r="L410" i="19" s="1"/>
  <c r="K410" i="19"/>
  <c r="J410" i="19" a="1"/>
  <c r="J410" i="19" s="1"/>
  <c r="I410" i="19" a="1"/>
  <c r="I410" i="19" s="1"/>
  <c r="H410" i="19" a="1"/>
  <c r="H410" i="19" s="1"/>
  <c r="G410" i="19" a="1"/>
  <c r="G410" i="19" s="1"/>
  <c r="F410" i="19" a="1"/>
  <c r="F410" i="19" s="1"/>
  <c r="E410" i="19" a="1"/>
  <c r="E410" i="19" s="1"/>
  <c r="D410" i="19" a="1"/>
  <c r="D410" i="19" s="1"/>
  <c r="C410" i="19" a="1"/>
  <c r="C410" i="19" s="1"/>
  <c r="B410" i="19" a="1"/>
  <c r="B410" i="19" s="1"/>
  <c r="U409" i="19" a="1"/>
  <c r="U409" i="19" s="1"/>
  <c r="T409" i="19" a="1"/>
  <c r="T409" i="19" s="1"/>
  <c r="S409" i="19" a="1"/>
  <c r="S409" i="19" s="1"/>
  <c r="Q409" i="19" a="1"/>
  <c r="Q409" i="19" s="1"/>
  <c r="P409" i="19"/>
  <c r="O409" i="19" a="1"/>
  <c r="O409" i="19" s="1"/>
  <c r="N409" i="19" a="1"/>
  <c r="N409" i="19" s="1"/>
  <c r="L409" i="19" a="1"/>
  <c r="L409" i="19" s="1"/>
  <c r="K409" i="19"/>
  <c r="J409" i="19" a="1"/>
  <c r="J409" i="19" s="1"/>
  <c r="I409" i="19" a="1"/>
  <c r="I409" i="19" s="1"/>
  <c r="H409" i="19" a="1"/>
  <c r="H409" i="19" s="1"/>
  <c r="G409" i="19" a="1"/>
  <c r="G409" i="19" s="1"/>
  <c r="F409" i="19" a="1"/>
  <c r="F409" i="19" s="1"/>
  <c r="E409" i="19" a="1"/>
  <c r="E409" i="19" s="1"/>
  <c r="D409" i="19" a="1"/>
  <c r="D409" i="19" s="1"/>
  <c r="C409" i="19" a="1"/>
  <c r="C409" i="19" s="1"/>
  <c r="B409" i="19" a="1"/>
  <c r="B409" i="19" s="1"/>
  <c r="U408" i="19" a="1"/>
  <c r="U408" i="19" s="1"/>
  <c r="T408" i="19" a="1"/>
  <c r="T408" i="19" s="1"/>
  <c r="S408" i="19" a="1"/>
  <c r="S408" i="19" s="1"/>
  <c r="Q408" i="19" a="1"/>
  <c r="Q408" i="19" s="1"/>
  <c r="P408" i="19"/>
  <c r="O408" i="19" a="1"/>
  <c r="O408" i="19" s="1"/>
  <c r="N408" i="19" a="1"/>
  <c r="N408" i="19" s="1"/>
  <c r="L408" i="19" a="1"/>
  <c r="L408" i="19" s="1"/>
  <c r="K408" i="19"/>
  <c r="J408" i="19" a="1"/>
  <c r="J408" i="19" s="1"/>
  <c r="I408" i="19" a="1"/>
  <c r="I408" i="19" s="1"/>
  <c r="H408" i="19" a="1"/>
  <c r="H408" i="19" s="1"/>
  <c r="G408" i="19" a="1"/>
  <c r="G408" i="19" s="1"/>
  <c r="F408" i="19" a="1"/>
  <c r="F408" i="19" s="1"/>
  <c r="E408" i="19" a="1"/>
  <c r="E408" i="19" s="1"/>
  <c r="D408" i="19" a="1"/>
  <c r="D408" i="19" s="1"/>
  <c r="C408" i="19" a="1"/>
  <c r="C408" i="19" s="1"/>
  <c r="B408" i="19" a="1"/>
  <c r="B408" i="19" s="1"/>
  <c r="U407" i="19" a="1"/>
  <c r="U407" i="19" s="1"/>
  <c r="T407" i="19" a="1"/>
  <c r="T407" i="19" s="1"/>
  <c r="S407" i="19" a="1"/>
  <c r="S407" i="19" s="1"/>
  <c r="Q407" i="19" a="1"/>
  <c r="Q407" i="19" s="1"/>
  <c r="P407" i="19"/>
  <c r="O407" i="19" a="1"/>
  <c r="O407" i="19" s="1"/>
  <c r="N407" i="19" a="1"/>
  <c r="N407" i="19" s="1"/>
  <c r="L407" i="19" a="1"/>
  <c r="L407" i="19" s="1"/>
  <c r="K407" i="19"/>
  <c r="J407" i="19" a="1"/>
  <c r="J407" i="19" s="1"/>
  <c r="I407" i="19" a="1"/>
  <c r="I407" i="19" s="1"/>
  <c r="H407" i="19" a="1"/>
  <c r="H407" i="19" s="1"/>
  <c r="G407" i="19" a="1"/>
  <c r="G407" i="19" s="1"/>
  <c r="F407" i="19" a="1"/>
  <c r="F407" i="19" s="1"/>
  <c r="E407" i="19" a="1"/>
  <c r="E407" i="19" s="1"/>
  <c r="D407" i="19" a="1"/>
  <c r="D407" i="19" s="1"/>
  <c r="C407" i="19" a="1"/>
  <c r="C407" i="19" s="1"/>
  <c r="B407" i="19" a="1"/>
  <c r="B407" i="19" s="1"/>
  <c r="U406" i="19" a="1"/>
  <c r="U406" i="19" s="1"/>
  <c r="T406" i="19" a="1"/>
  <c r="T406" i="19" s="1"/>
  <c r="S406" i="19" a="1"/>
  <c r="S406" i="19" s="1"/>
  <c r="Q406" i="19" a="1"/>
  <c r="Q406" i="19" s="1"/>
  <c r="P406" i="19"/>
  <c r="O406" i="19" a="1"/>
  <c r="O406" i="19" s="1"/>
  <c r="N406" i="19" a="1"/>
  <c r="N406" i="19" s="1"/>
  <c r="L406" i="19" a="1"/>
  <c r="L406" i="19" s="1"/>
  <c r="K406" i="19"/>
  <c r="J406" i="19" a="1"/>
  <c r="J406" i="19" s="1"/>
  <c r="I406" i="19" a="1"/>
  <c r="I406" i="19" s="1"/>
  <c r="H406" i="19" a="1"/>
  <c r="H406" i="19" s="1"/>
  <c r="G406" i="19" a="1"/>
  <c r="G406" i="19" s="1"/>
  <c r="F406" i="19" a="1"/>
  <c r="F406" i="19" s="1"/>
  <c r="E406" i="19" a="1"/>
  <c r="E406" i="19" s="1"/>
  <c r="D406" i="19" a="1"/>
  <c r="D406" i="19" s="1"/>
  <c r="C406" i="19" a="1"/>
  <c r="C406" i="19" s="1"/>
  <c r="B406" i="19" a="1"/>
  <c r="B406" i="19" s="1"/>
  <c r="U405" i="19" a="1"/>
  <c r="U405" i="19" s="1"/>
  <c r="T405" i="19" a="1"/>
  <c r="T405" i="19" s="1"/>
  <c r="S405" i="19" a="1"/>
  <c r="S405" i="19" s="1"/>
  <c r="Q405" i="19" a="1"/>
  <c r="Q405" i="19" s="1"/>
  <c r="P405" i="19"/>
  <c r="O405" i="19" a="1"/>
  <c r="O405" i="19" s="1"/>
  <c r="N405" i="19" a="1"/>
  <c r="N405" i="19" s="1"/>
  <c r="L405" i="19" a="1"/>
  <c r="L405" i="19" s="1"/>
  <c r="K405" i="19"/>
  <c r="J405" i="19" a="1"/>
  <c r="J405" i="19" s="1"/>
  <c r="I405" i="19" a="1"/>
  <c r="I405" i="19" s="1"/>
  <c r="H405" i="19" a="1"/>
  <c r="H405" i="19" s="1"/>
  <c r="G405" i="19" a="1"/>
  <c r="G405" i="19" s="1"/>
  <c r="F405" i="19" a="1"/>
  <c r="F405" i="19" s="1"/>
  <c r="E405" i="19" a="1"/>
  <c r="E405" i="19" s="1"/>
  <c r="D405" i="19" a="1"/>
  <c r="D405" i="19" s="1"/>
  <c r="C405" i="19" a="1"/>
  <c r="C405" i="19" s="1"/>
  <c r="B405" i="19" a="1"/>
  <c r="B405" i="19" s="1"/>
  <c r="U404" i="19" a="1"/>
  <c r="U404" i="19" s="1"/>
  <c r="T404" i="19" a="1"/>
  <c r="T404" i="19" s="1"/>
  <c r="S404" i="19" a="1"/>
  <c r="S404" i="19" s="1"/>
  <c r="Q404" i="19" a="1"/>
  <c r="Q404" i="19" s="1"/>
  <c r="P404" i="19"/>
  <c r="O404" i="19" a="1"/>
  <c r="O404" i="19" s="1"/>
  <c r="N404" i="19" a="1"/>
  <c r="N404" i="19" s="1"/>
  <c r="L404" i="19" a="1"/>
  <c r="L404" i="19" s="1"/>
  <c r="K404" i="19"/>
  <c r="J404" i="19" a="1"/>
  <c r="J404" i="19" s="1"/>
  <c r="I404" i="19" a="1"/>
  <c r="I404" i="19" s="1"/>
  <c r="H404" i="19" a="1"/>
  <c r="H404" i="19" s="1"/>
  <c r="G404" i="19" a="1"/>
  <c r="G404" i="19" s="1"/>
  <c r="F404" i="19" a="1"/>
  <c r="F404" i="19" s="1"/>
  <c r="E404" i="19" a="1"/>
  <c r="E404" i="19" s="1"/>
  <c r="D404" i="19" a="1"/>
  <c r="D404" i="19" s="1"/>
  <c r="C404" i="19" a="1"/>
  <c r="C404" i="19" s="1"/>
  <c r="B404" i="19" a="1"/>
  <c r="B404" i="19" s="1"/>
  <c r="U403" i="19" a="1"/>
  <c r="U403" i="19" s="1"/>
  <c r="T403" i="19" a="1"/>
  <c r="T403" i="19" s="1"/>
  <c r="S403" i="19" a="1"/>
  <c r="S403" i="19" s="1"/>
  <c r="Q403" i="19" a="1"/>
  <c r="Q403" i="19" s="1"/>
  <c r="P403" i="19"/>
  <c r="O403" i="19" a="1"/>
  <c r="O403" i="19" s="1"/>
  <c r="N403" i="19" a="1"/>
  <c r="N403" i="19" s="1"/>
  <c r="L403" i="19" a="1"/>
  <c r="L403" i="19" s="1"/>
  <c r="K403" i="19"/>
  <c r="J403" i="19" a="1"/>
  <c r="J403" i="19" s="1"/>
  <c r="I403" i="19" a="1"/>
  <c r="I403" i="19" s="1"/>
  <c r="H403" i="19" a="1"/>
  <c r="H403" i="19" s="1"/>
  <c r="G403" i="19" a="1"/>
  <c r="G403" i="19" s="1"/>
  <c r="F403" i="19" a="1"/>
  <c r="F403" i="19" s="1"/>
  <c r="E403" i="19" a="1"/>
  <c r="E403" i="19" s="1"/>
  <c r="D403" i="19" a="1"/>
  <c r="D403" i="19" s="1"/>
  <c r="C403" i="19" a="1"/>
  <c r="C403" i="19" s="1"/>
  <c r="B403" i="19" a="1"/>
  <c r="B403" i="19" s="1"/>
  <c r="U402" i="19" a="1"/>
  <c r="U402" i="19" s="1"/>
  <c r="T402" i="19" a="1"/>
  <c r="T402" i="19" s="1"/>
  <c r="S402" i="19" a="1"/>
  <c r="S402" i="19" s="1"/>
  <c r="Q402" i="19" a="1"/>
  <c r="Q402" i="19" s="1"/>
  <c r="P402" i="19"/>
  <c r="O402" i="19" a="1"/>
  <c r="O402" i="19" s="1"/>
  <c r="N402" i="19" a="1"/>
  <c r="N402" i="19" s="1"/>
  <c r="L402" i="19" a="1"/>
  <c r="L402" i="19" s="1"/>
  <c r="K402" i="19"/>
  <c r="J402" i="19" a="1"/>
  <c r="J402" i="19" s="1"/>
  <c r="I402" i="19" a="1"/>
  <c r="I402" i="19" s="1"/>
  <c r="H402" i="19" a="1"/>
  <c r="H402" i="19" s="1"/>
  <c r="G402" i="19" a="1"/>
  <c r="G402" i="19" s="1"/>
  <c r="F402" i="19" a="1"/>
  <c r="F402" i="19" s="1"/>
  <c r="E402" i="19" a="1"/>
  <c r="E402" i="19" s="1"/>
  <c r="D402" i="19" a="1"/>
  <c r="D402" i="19" s="1"/>
  <c r="C402" i="19" a="1"/>
  <c r="C402" i="19" s="1"/>
  <c r="B402" i="19" a="1"/>
  <c r="B402" i="19" s="1"/>
  <c r="U401" i="19" a="1"/>
  <c r="U401" i="19" s="1"/>
  <c r="T401" i="19" a="1"/>
  <c r="T401" i="19" s="1"/>
  <c r="S401" i="19" a="1"/>
  <c r="S401" i="19" s="1"/>
  <c r="Q401" i="19" a="1"/>
  <c r="Q401" i="19" s="1"/>
  <c r="P401" i="19"/>
  <c r="O401" i="19" a="1"/>
  <c r="O401" i="19" s="1"/>
  <c r="N401" i="19" a="1"/>
  <c r="N401" i="19" s="1"/>
  <c r="L401" i="19" a="1"/>
  <c r="L401" i="19" s="1"/>
  <c r="K401" i="19"/>
  <c r="J401" i="19" a="1"/>
  <c r="J401" i="19" s="1"/>
  <c r="I401" i="19" a="1"/>
  <c r="I401" i="19" s="1"/>
  <c r="H401" i="19" a="1"/>
  <c r="H401" i="19" s="1"/>
  <c r="G401" i="19" a="1"/>
  <c r="G401" i="19" s="1"/>
  <c r="F401" i="19" a="1"/>
  <c r="F401" i="19" s="1"/>
  <c r="E401" i="19" a="1"/>
  <c r="E401" i="19" s="1"/>
  <c r="D401" i="19" a="1"/>
  <c r="D401" i="19" s="1"/>
  <c r="C401" i="19" a="1"/>
  <c r="C401" i="19" s="1"/>
  <c r="B401" i="19" a="1"/>
  <c r="B401" i="19" s="1"/>
  <c r="U400" i="19" a="1"/>
  <c r="U400" i="19" s="1"/>
  <c r="T400" i="19" a="1"/>
  <c r="T400" i="19" s="1"/>
  <c r="S400" i="19" a="1"/>
  <c r="S400" i="19" s="1"/>
  <c r="Q400" i="19" a="1"/>
  <c r="Q400" i="19" s="1"/>
  <c r="P400" i="19"/>
  <c r="O400" i="19" a="1"/>
  <c r="O400" i="19" s="1"/>
  <c r="N400" i="19" a="1"/>
  <c r="N400" i="19" s="1"/>
  <c r="L400" i="19" a="1"/>
  <c r="L400" i="19" s="1"/>
  <c r="K400" i="19"/>
  <c r="J400" i="19" a="1"/>
  <c r="J400" i="19" s="1"/>
  <c r="I400" i="19" a="1"/>
  <c r="I400" i="19" s="1"/>
  <c r="H400" i="19" a="1"/>
  <c r="H400" i="19" s="1"/>
  <c r="G400" i="19" a="1"/>
  <c r="G400" i="19" s="1"/>
  <c r="F400" i="19" a="1"/>
  <c r="F400" i="19" s="1"/>
  <c r="E400" i="19" a="1"/>
  <c r="E400" i="19" s="1"/>
  <c r="D400" i="19" a="1"/>
  <c r="D400" i="19" s="1"/>
  <c r="C400" i="19" a="1"/>
  <c r="C400" i="19" s="1"/>
  <c r="B400" i="19" a="1"/>
  <c r="B400" i="19" s="1"/>
  <c r="U399" i="19" a="1"/>
  <c r="U399" i="19" s="1"/>
  <c r="T399" i="19" a="1"/>
  <c r="T399" i="19" s="1"/>
  <c r="S399" i="19" a="1"/>
  <c r="S399" i="19" s="1"/>
  <c r="Q399" i="19" a="1"/>
  <c r="Q399" i="19" s="1"/>
  <c r="P399" i="19"/>
  <c r="O399" i="19" a="1"/>
  <c r="O399" i="19" s="1"/>
  <c r="N399" i="19" a="1"/>
  <c r="N399" i="19" s="1"/>
  <c r="L399" i="19" a="1"/>
  <c r="L399" i="19" s="1"/>
  <c r="K399" i="19"/>
  <c r="J399" i="19" a="1"/>
  <c r="J399" i="19" s="1"/>
  <c r="I399" i="19" a="1"/>
  <c r="I399" i="19" s="1"/>
  <c r="H399" i="19" a="1"/>
  <c r="H399" i="19" s="1"/>
  <c r="G399" i="19" a="1"/>
  <c r="G399" i="19" s="1"/>
  <c r="F399" i="19" a="1"/>
  <c r="F399" i="19" s="1"/>
  <c r="E399" i="19" a="1"/>
  <c r="E399" i="19" s="1"/>
  <c r="D399" i="19" a="1"/>
  <c r="D399" i="19" s="1"/>
  <c r="C399" i="19" a="1"/>
  <c r="C399" i="19" s="1"/>
  <c r="B399" i="19" a="1"/>
  <c r="B399" i="19" s="1"/>
  <c r="U398" i="19" a="1"/>
  <c r="U398" i="19" s="1"/>
  <c r="T398" i="19" a="1"/>
  <c r="T398" i="19" s="1"/>
  <c r="S398" i="19" a="1"/>
  <c r="S398" i="19" s="1"/>
  <c r="Q398" i="19" a="1"/>
  <c r="Q398" i="19" s="1"/>
  <c r="P398" i="19"/>
  <c r="O398" i="19" a="1"/>
  <c r="O398" i="19" s="1"/>
  <c r="N398" i="19" a="1"/>
  <c r="N398" i="19" s="1"/>
  <c r="L398" i="19" a="1"/>
  <c r="L398" i="19" s="1"/>
  <c r="K398" i="19"/>
  <c r="J398" i="19" a="1"/>
  <c r="J398" i="19" s="1"/>
  <c r="I398" i="19" a="1"/>
  <c r="I398" i="19" s="1"/>
  <c r="H398" i="19" a="1"/>
  <c r="H398" i="19" s="1"/>
  <c r="G398" i="19" a="1"/>
  <c r="G398" i="19" s="1"/>
  <c r="F398" i="19" a="1"/>
  <c r="F398" i="19" s="1"/>
  <c r="E398" i="19" a="1"/>
  <c r="E398" i="19" s="1"/>
  <c r="D398" i="19" a="1"/>
  <c r="D398" i="19" s="1"/>
  <c r="C398" i="19" a="1"/>
  <c r="C398" i="19" s="1"/>
  <c r="B398" i="19" a="1"/>
  <c r="B398" i="19" s="1"/>
  <c r="U397" i="19" a="1"/>
  <c r="U397" i="19" s="1"/>
  <c r="T397" i="19" a="1"/>
  <c r="T397" i="19" s="1"/>
  <c r="S397" i="19" a="1"/>
  <c r="S397" i="19" s="1"/>
  <c r="Q397" i="19" a="1"/>
  <c r="Q397" i="19" s="1"/>
  <c r="P397" i="19"/>
  <c r="O397" i="19" a="1"/>
  <c r="O397" i="19" s="1"/>
  <c r="N397" i="19" a="1"/>
  <c r="N397" i="19" s="1"/>
  <c r="L397" i="19" a="1"/>
  <c r="L397" i="19" s="1"/>
  <c r="K397" i="19"/>
  <c r="J397" i="19" a="1"/>
  <c r="J397" i="19" s="1"/>
  <c r="I397" i="19" a="1"/>
  <c r="I397" i="19" s="1"/>
  <c r="H397" i="19" a="1"/>
  <c r="H397" i="19" s="1"/>
  <c r="G397" i="19" a="1"/>
  <c r="G397" i="19" s="1"/>
  <c r="F397" i="19" a="1"/>
  <c r="F397" i="19" s="1"/>
  <c r="E397" i="19" a="1"/>
  <c r="E397" i="19" s="1"/>
  <c r="D397" i="19" a="1"/>
  <c r="D397" i="19" s="1"/>
  <c r="C397" i="19" a="1"/>
  <c r="C397" i="19" s="1"/>
  <c r="B397" i="19" a="1"/>
  <c r="B397" i="19" s="1"/>
  <c r="U396" i="19" a="1"/>
  <c r="U396" i="19" s="1"/>
  <c r="T396" i="19" a="1"/>
  <c r="T396" i="19" s="1"/>
  <c r="S396" i="19" a="1"/>
  <c r="S396" i="19" s="1"/>
  <c r="Q396" i="19" a="1"/>
  <c r="Q396" i="19" s="1"/>
  <c r="P396" i="19"/>
  <c r="O396" i="19" a="1"/>
  <c r="O396" i="19" s="1"/>
  <c r="N396" i="19" a="1"/>
  <c r="N396" i="19" s="1"/>
  <c r="L396" i="19" a="1"/>
  <c r="L396" i="19" s="1"/>
  <c r="K396" i="19"/>
  <c r="J396" i="19" a="1"/>
  <c r="J396" i="19" s="1"/>
  <c r="I396" i="19" a="1"/>
  <c r="I396" i="19" s="1"/>
  <c r="H396" i="19" a="1"/>
  <c r="H396" i="19" s="1"/>
  <c r="G396" i="19" a="1"/>
  <c r="G396" i="19" s="1"/>
  <c r="F396" i="19" a="1"/>
  <c r="F396" i="19" s="1"/>
  <c r="E396" i="19" a="1"/>
  <c r="E396" i="19" s="1"/>
  <c r="D396" i="19" a="1"/>
  <c r="D396" i="19" s="1"/>
  <c r="C396" i="19" a="1"/>
  <c r="C396" i="19" s="1"/>
  <c r="B396" i="19" a="1"/>
  <c r="B396" i="19" s="1"/>
  <c r="U395" i="19" a="1"/>
  <c r="U395" i="19" s="1"/>
  <c r="T395" i="19" a="1"/>
  <c r="T395" i="19" s="1"/>
  <c r="S395" i="19" a="1"/>
  <c r="S395" i="19" s="1"/>
  <c r="Q395" i="19" a="1"/>
  <c r="Q395" i="19" s="1"/>
  <c r="P395" i="19"/>
  <c r="O395" i="19" a="1"/>
  <c r="O395" i="19" s="1"/>
  <c r="N395" i="19" a="1"/>
  <c r="N395" i="19" s="1"/>
  <c r="L395" i="19" a="1"/>
  <c r="L395" i="19" s="1"/>
  <c r="K395" i="19"/>
  <c r="J395" i="19" a="1"/>
  <c r="J395" i="19" s="1"/>
  <c r="I395" i="19" a="1"/>
  <c r="I395" i="19" s="1"/>
  <c r="H395" i="19" a="1"/>
  <c r="H395" i="19" s="1"/>
  <c r="G395" i="19" a="1"/>
  <c r="G395" i="19" s="1"/>
  <c r="F395" i="19" a="1"/>
  <c r="F395" i="19" s="1"/>
  <c r="E395" i="19" a="1"/>
  <c r="E395" i="19" s="1"/>
  <c r="D395" i="19" a="1"/>
  <c r="D395" i="19" s="1"/>
  <c r="C395" i="19" a="1"/>
  <c r="C395" i="19" s="1"/>
  <c r="B395" i="19" a="1"/>
  <c r="B395" i="19" s="1"/>
  <c r="U394" i="19" a="1"/>
  <c r="U394" i="19" s="1"/>
  <c r="T394" i="19" a="1"/>
  <c r="T394" i="19" s="1"/>
  <c r="S394" i="19" a="1"/>
  <c r="S394" i="19" s="1"/>
  <c r="Q394" i="19" a="1"/>
  <c r="Q394" i="19" s="1"/>
  <c r="P394" i="19"/>
  <c r="O394" i="19" a="1"/>
  <c r="O394" i="19" s="1"/>
  <c r="N394" i="19" a="1"/>
  <c r="N394" i="19" s="1"/>
  <c r="L394" i="19" a="1"/>
  <c r="L394" i="19" s="1"/>
  <c r="K394" i="19"/>
  <c r="J394" i="19" a="1"/>
  <c r="J394" i="19" s="1"/>
  <c r="I394" i="19" a="1"/>
  <c r="I394" i="19" s="1"/>
  <c r="H394" i="19" a="1"/>
  <c r="H394" i="19" s="1"/>
  <c r="G394" i="19" a="1"/>
  <c r="G394" i="19" s="1"/>
  <c r="F394" i="19" a="1"/>
  <c r="F394" i="19" s="1"/>
  <c r="E394" i="19" a="1"/>
  <c r="E394" i="19" s="1"/>
  <c r="D394" i="19" a="1"/>
  <c r="D394" i="19" s="1"/>
  <c r="C394" i="19" a="1"/>
  <c r="C394" i="19" s="1"/>
  <c r="B394" i="19" a="1"/>
  <c r="B394" i="19" s="1"/>
  <c r="U393" i="19" a="1"/>
  <c r="U393" i="19" s="1"/>
  <c r="T393" i="19" a="1"/>
  <c r="T393" i="19" s="1"/>
  <c r="S393" i="19" a="1"/>
  <c r="S393" i="19" s="1"/>
  <c r="Q393" i="19" a="1"/>
  <c r="Q393" i="19" s="1"/>
  <c r="P393" i="19"/>
  <c r="O393" i="19" a="1"/>
  <c r="O393" i="19" s="1"/>
  <c r="N393" i="19" a="1"/>
  <c r="N393" i="19" s="1"/>
  <c r="L393" i="19" a="1"/>
  <c r="L393" i="19" s="1"/>
  <c r="K393" i="19"/>
  <c r="J393" i="19" a="1"/>
  <c r="J393" i="19" s="1"/>
  <c r="I393" i="19" a="1"/>
  <c r="I393" i="19" s="1"/>
  <c r="H393" i="19" a="1"/>
  <c r="H393" i="19" s="1"/>
  <c r="G393" i="19" a="1"/>
  <c r="G393" i="19" s="1"/>
  <c r="F393" i="19" a="1"/>
  <c r="F393" i="19" s="1"/>
  <c r="E393" i="19" a="1"/>
  <c r="E393" i="19" s="1"/>
  <c r="D393" i="19" a="1"/>
  <c r="D393" i="19" s="1"/>
  <c r="C393" i="19" a="1"/>
  <c r="C393" i="19" s="1"/>
  <c r="B393" i="19" a="1"/>
  <c r="B393" i="19" s="1"/>
  <c r="U392" i="19" a="1"/>
  <c r="U392" i="19" s="1"/>
  <c r="T392" i="19" a="1"/>
  <c r="T392" i="19" s="1"/>
  <c r="S392" i="19" a="1"/>
  <c r="S392" i="19" s="1"/>
  <c r="Q392" i="19" a="1"/>
  <c r="Q392" i="19" s="1"/>
  <c r="P392" i="19"/>
  <c r="O392" i="19" a="1"/>
  <c r="O392" i="19" s="1"/>
  <c r="N392" i="19" a="1"/>
  <c r="N392" i="19" s="1"/>
  <c r="L392" i="19" a="1"/>
  <c r="L392" i="19" s="1"/>
  <c r="K392" i="19"/>
  <c r="J392" i="19" a="1"/>
  <c r="J392" i="19" s="1"/>
  <c r="I392" i="19" a="1"/>
  <c r="I392" i="19" s="1"/>
  <c r="H392" i="19" a="1"/>
  <c r="H392" i="19" s="1"/>
  <c r="G392" i="19" a="1"/>
  <c r="G392" i="19" s="1"/>
  <c r="F392" i="19" a="1"/>
  <c r="F392" i="19" s="1"/>
  <c r="E392" i="19" a="1"/>
  <c r="E392" i="19" s="1"/>
  <c r="D392" i="19" a="1"/>
  <c r="D392" i="19" s="1"/>
  <c r="C392" i="19" a="1"/>
  <c r="C392" i="19" s="1"/>
  <c r="B392" i="19" a="1"/>
  <c r="B392" i="19" s="1"/>
  <c r="U391" i="19" a="1"/>
  <c r="U391" i="19" s="1"/>
  <c r="T391" i="19" a="1"/>
  <c r="T391" i="19" s="1"/>
  <c r="S391" i="19" a="1"/>
  <c r="S391" i="19" s="1"/>
  <c r="Q391" i="19" a="1"/>
  <c r="Q391" i="19" s="1"/>
  <c r="P391" i="19"/>
  <c r="O391" i="19" a="1"/>
  <c r="O391" i="19" s="1"/>
  <c r="N391" i="19" a="1"/>
  <c r="N391" i="19" s="1"/>
  <c r="L391" i="19" a="1"/>
  <c r="L391" i="19" s="1"/>
  <c r="K391" i="19"/>
  <c r="J391" i="19" a="1"/>
  <c r="J391" i="19" s="1"/>
  <c r="I391" i="19" a="1"/>
  <c r="I391" i="19" s="1"/>
  <c r="H391" i="19" a="1"/>
  <c r="H391" i="19" s="1"/>
  <c r="G391" i="19" a="1"/>
  <c r="G391" i="19" s="1"/>
  <c r="F391" i="19" a="1"/>
  <c r="F391" i="19" s="1"/>
  <c r="E391" i="19" a="1"/>
  <c r="E391" i="19" s="1"/>
  <c r="D391" i="19" a="1"/>
  <c r="D391" i="19" s="1"/>
  <c r="C391" i="19" a="1"/>
  <c r="C391" i="19" s="1"/>
  <c r="B391" i="19" a="1"/>
  <c r="B391" i="19" s="1"/>
  <c r="U390" i="19" a="1"/>
  <c r="U390" i="19" s="1"/>
  <c r="T390" i="19" a="1"/>
  <c r="T390" i="19" s="1"/>
  <c r="S390" i="19" a="1"/>
  <c r="S390" i="19" s="1"/>
  <c r="Q390" i="19" a="1"/>
  <c r="Q390" i="19" s="1"/>
  <c r="P390" i="19"/>
  <c r="O390" i="19" a="1"/>
  <c r="O390" i="19" s="1"/>
  <c r="N390" i="19" a="1"/>
  <c r="N390" i="19" s="1"/>
  <c r="L390" i="19" a="1"/>
  <c r="L390" i="19" s="1"/>
  <c r="K390" i="19"/>
  <c r="J390" i="19" a="1"/>
  <c r="J390" i="19" s="1"/>
  <c r="I390" i="19" a="1"/>
  <c r="I390" i="19" s="1"/>
  <c r="H390" i="19" a="1"/>
  <c r="H390" i="19" s="1"/>
  <c r="G390" i="19" a="1"/>
  <c r="G390" i="19" s="1"/>
  <c r="F390" i="19" a="1"/>
  <c r="F390" i="19" s="1"/>
  <c r="E390" i="19" a="1"/>
  <c r="E390" i="19" s="1"/>
  <c r="D390" i="19" a="1"/>
  <c r="D390" i="19" s="1"/>
  <c r="C390" i="19" a="1"/>
  <c r="C390" i="19" s="1"/>
  <c r="B390" i="19" a="1"/>
  <c r="B390" i="19" s="1"/>
  <c r="U389" i="19" a="1"/>
  <c r="U389" i="19" s="1"/>
  <c r="T389" i="19" a="1"/>
  <c r="T389" i="19" s="1"/>
  <c r="S389" i="19" a="1"/>
  <c r="S389" i="19" s="1"/>
  <c r="Q389" i="19" a="1"/>
  <c r="Q389" i="19" s="1"/>
  <c r="P389" i="19"/>
  <c r="O389" i="19" a="1"/>
  <c r="O389" i="19" s="1"/>
  <c r="N389" i="19" a="1"/>
  <c r="N389" i="19" s="1"/>
  <c r="L389" i="19" a="1"/>
  <c r="L389" i="19" s="1"/>
  <c r="K389" i="19"/>
  <c r="J389" i="19" a="1"/>
  <c r="J389" i="19" s="1"/>
  <c r="I389" i="19" a="1"/>
  <c r="I389" i="19" s="1"/>
  <c r="H389" i="19" a="1"/>
  <c r="H389" i="19" s="1"/>
  <c r="G389" i="19" a="1"/>
  <c r="G389" i="19" s="1"/>
  <c r="F389" i="19" a="1"/>
  <c r="F389" i="19" s="1"/>
  <c r="E389" i="19" a="1"/>
  <c r="E389" i="19" s="1"/>
  <c r="D389" i="19" a="1"/>
  <c r="D389" i="19" s="1"/>
  <c r="C389" i="19" a="1"/>
  <c r="C389" i="19" s="1"/>
  <c r="B389" i="19" a="1"/>
  <c r="B389" i="19" s="1"/>
  <c r="U388" i="19" a="1"/>
  <c r="U388" i="19" s="1"/>
  <c r="T388" i="19" a="1"/>
  <c r="T388" i="19" s="1"/>
  <c r="S388" i="19" a="1"/>
  <c r="S388" i="19" s="1"/>
  <c r="Q388" i="19" a="1"/>
  <c r="Q388" i="19" s="1"/>
  <c r="P388" i="19"/>
  <c r="O388" i="19" a="1"/>
  <c r="O388" i="19" s="1"/>
  <c r="N388" i="19" a="1"/>
  <c r="N388" i="19" s="1"/>
  <c r="L388" i="19" a="1"/>
  <c r="L388" i="19" s="1"/>
  <c r="K388" i="19"/>
  <c r="J388" i="19" a="1"/>
  <c r="J388" i="19" s="1"/>
  <c r="I388" i="19" a="1"/>
  <c r="I388" i="19" s="1"/>
  <c r="H388" i="19" a="1"/>
  <c r="H388" i="19" s="1"/>
  <c r="G388" i="19" a="1"/>
  <c r="G388" i="19" s="1"/>
  <c r="F388" i="19" a="1"/>
  <c r="F388" i="19" s="1"/>
  <c r="E388" i="19" a="1"/>
  <c r="E388" i="19" s="1"/>
  <c r="D388" i="19" a="1"/>
  <c r="D388" i="19" s="1"/>
  <c r="C388" i="19" a="1"/>
  <c r="C388" i="19" s="1"/>
  <c r="B388" i="19" a="1"/>
  <c r="B388" i="19" s="1"/>
  <c r="U387" i="19" a="1"/>
  <c r="U387" i="19" s="1"/>
  <c r="T387" i="19" a="1"/>
  <c r="T387" i="19" s="1"/>
  <c r="S387" i="19" a="1"/>
  <c r="S387" i="19" s="1"/>
  <c r="Q387" i="19" a="1"/>
  <c r="Q387" i="19" s="1"/>
  <c r="P387" i="19"/>
  <c r="O387" i="19" a="1"/>
  <c r="O387" i="19" s="1"/>
  <c r="N387" i="19" a="1"/>
  <c r="N387" i="19" s="1"/>
  <c r="L387" i="19" a="1"/>
  <c r="L387" i="19" s="1"/>
  <c r="K387" i="19"/>
  <c r="J387" i="19" a="1"/>
  <c r="J387" i="19" s="1"/>
  <c r="I387" i="19" a="1"/>
  <c r="I387" i="19" s="1"/>
  <c r="H387" i="19" a="1"/>
  <c r="H387" i="19" s="1"/>
  <c r="G387" i="19" a="1"/>
  <c r="G387" i="19" s="1"/>
  <c r="F387" i="19" a="1"/>
  <c r="F387" i="19" s="1"/>
  <c r="E387" i="19" a="1"/>
  <c r="E387" i="19" s="1"/>
  <c r="D387" i="19" a="1"/>
  <c r="D387" i="19" s="1"/>
  <c r="C387" i="19" a="1"/>
  <c r="C387" i="19" s="1"/>
  <c r="B387" i="19" a="1"/>
  <c r="B387" i="19" s="1"/>
  <c r="U386" i="19" a="1"/>
  <c r="U386" i="19" s="1"/>
  <c r="T386" i="19" a="1"/>
  <c r="T386" i="19" s="1"/>
  <c r="S386" i="19" a="1"/>
  <c r="S386" i="19" s="1"/>
  <c r="Q386" i="19" a="1"/>
  <c r="Q386" i="19" s="1"/>
  <c r="P386" i="19"/>
  <c r="O386" i="19" a="1"/>
  <c r="O386" i="19" s="1"/>
  <c r="N386" i="19" a="1"/>
  <c r="N386" i="19" s="1"/>
  <c r="L386" i="19" a="1"/>
  <c r="L386" i="19" s="1"/>
  <c r="K386" i="19"/>
  <c r="J386" i="19" a="1"/>
  <c r="J386" i="19" s="1"/>
  <c r="I386" i="19" a="1"/>
  <c r="I386" i="19" s="1"/>
  <c r="H386" i="19" a="1"/>
  <c r="H386" i="19" s="1"/>
  <c r="G386" i="19" a="1"/>
  <c r="G386" i="19" s="1"/>
  <c r="F386" i="19" a="1"/>
  <c r="F386" i="19" s="1"/>
  <c r="E386" i="19" a="1"/>
  <c r="E386" i="19" s="1"/>
  <c r="D386" i="19" a="1"/>
  <c r="D386" i="19" s="1"/>
  <c r="C386" i="19" a="1"/>
  <c r="C386" i="19" s="1"/>
  <c r="B386" i="19" a="1"/>
  <c r="B386" i="19" s="1"/>
  <c r="U385" i="19" a="1"/>
  <c r="U385" i="19" s="1"/>
  <c r="T385" i="19" a="1"/>
  <c r="T385" i="19" s="1"/>
  <c r="S385" i="19" a="1"/>
  <c r="S385" i="19" s="1"/>
  <c r="Q385" i="19" a="1"/>
  <c r="Q385" i="19" s="1"/>
  <c r="P385" i="19"/>
  <c r="O385" i="19" a="1"/>
  <c r="O385" i="19" s="1"/>
  <c r="N385" i="19" a="1"/>
  <c r="N385" i="19" s="1"/>
  <c r="L385" i="19" a="1"/>
  <c r="L385" i="19" s="1"/>
  <c r="K385" i="19"/>
  <c r="J385" i="19" a="1"/>
  <c r="J385" i="19" s="1"/>
  <c r="I385" i="19" a="1"/>
  <c r="I385" i="19" s="1"/>
  <c r="H385" i="19" a="1"/>
  <c r="H385" i="19" s="1"/>
  <c r="G385" i="19" a="1"/>
  <c r="G385" i="19" s="1"/>
  <c r="F385" i="19" a="1"/>
  <c r="F385" i="19" s="1"/>
  <c r="E385" i="19" a="1"/>
  <c r="E385" i="19" s="1"/>
  <c r="D385" i="19" a="1"/>
  <c r="D385" i="19" s="1"/>
  <c r="C385" i="19" a="1"/>
  <c r="C385" i="19" s="1"/>
  <c r="B385" i="19" a="1"/>
  <c r="B385" i="19" s="1"/>
  <c r="U384" i="19" a="1"/>
  <c r="U384" i="19" s="1"/>
  <c r="T384" i="19" a="1"/>
  <c r="T384" i="19" s="1"/>
  <c r="S384" i="19" a="1"/>
  <c r="S384" i="19" s="1"/>
  <c r="Q384" i="19" a="1"/>
  <c r="Q384" i="19" s="1"/>
  <c r="P384" i="19"/>
  <c r="O384" i="19" a="1"/>
  <c r="O384" i="19" s="1"/>
  <c r="N384" i="19" a="1"/>
  <c r="N384" i="19" s="1"/>
  <c r="L384" i="19" a="1"/>
  <c r="L384" i="19" s="1"/>
  <c r="K384" i="19"/>
  <c r="J384" i="19" a="1"/>
  <c r="J384" i="19" s="1"/>
  <c r="I384" i="19" a="1"/>
  <c r="I384" i="19" s="1"/>
  <c r="H384" i="19" a="1"/>
  <c r="H384" i="19" s="1"/>
  <c r="G384" i="19" a="1"/>
  <c r="G384" i="19" s="1"/>
  <c r="F384" i="19" a="1"/>
  <c r="F384" i="19" s="1"/>
  <c r="E384" i="19" a="1"/>
  <c r="E384" i="19" s="1"/>
  <c r="D384" i="19" a="1"/>
  <c r="D384" i="19" s="1"/>
  <c r="C384" i="19" a="1"/>
  <c r="C384" i="19" s="1"/>
  <c r="B384" i="19" a="1"/>
  <c r="B384" i="19" s="1"/>
  <c r="U383" i="19" a="1"/>
  <c r="U383" i="19" s="1"/>
  <c r="T383" i="19" a="1"/>
  <c r="T383" i="19" s="1"/>
  <c r="S383" i="19" a="1"/>
  <c r="S383" i="19" s="1"/>
  <c r="Q383" i="19" a="1"/>
  <c r="Q383" i="19" s="1"/>
  <c r="P383" i="19"/>
  <c r="O383" i="19" a="1"/>
  <c r="O383" i="19" s="1"/>
  <c r="N383" i="19" a="1"/>
  <c r="N383" i="19" s="1"/>
  <c r="L383" i="19" a="1"/>
  <c r="L383" i="19" s="1"/>
  <c r="K383" i="19"/>
  <c r="J383" i="19" a="1"/>
  <c r="J383" i="19" s="1"/>
  <c r="I383" i="19" a="1"/>
  <c r="I383" i="19" s="1"/>
  <c r="H383" i="19" a="1"/>
  <c r="H383" i="19" s="1"/>
  <c r="G383" i="19" a="1"/>
  <c r="G383" i="19" s="1"/>
  <c r="F383" i="19" a="1"/>
  <c r="F383" i="19" s="1"/>
  <c r="E383" i="19" a="1"/>
  <c r="E383" i="19" s="1"/>
  <c r="D383" i="19" a="1"/>
  <c r="D383" i="19" s="1"/>
  <c r="C383" i="19" a="1"/>
  <c r="C383" i="19" s="1"/>
  <c r="B383" i="19" a="1"/>
  <c r="B383" i="19" s="1"/>
  <c r="U382" i="19" a="1"/>
  <c r="U382" i="19" s="1"/>
  <c r="T382" i="19" a="1"/>
  <c r="T382" i="19" s="1"/>
  <c r="S382" i="19" a="1"/>
  <c r="S382" i="19" s="1"/>
  <c r="Q382" i="19" a="1"/>
  <c r="Q382" i="19" s="1"/>
  <c r="P382" i="19"/>
  <c r="O382" i="19" a="1"/>
  <c r="O382" i="19" s="1"/>
  <c r="N382" i="19" a="1"/>
  <c r="N382" i="19" s="1"/>
  <c r="L382" i="19" a="1"/>
  <c r="L382" i="19" s="1"/>
  <c r="K382" i="19"/>
  <c r="J382" i="19" a="1"/>
  <c r="J382" i="19" s="1"/>
  <c r="I382" i="19" a="1"/>
  <c r="I382" i="19" s="1"/>
  <c r="H382" i="19" a="1"/>
  <c r="H382" i="19" s="1"/>
  <c r="G382" i="19" a="1"/>
  <c r="G382" i="19" s="1"/>
  <c r="F382" i="19" a="1"/>
  <c r="F382" i="19" s="1"/>
  <c r="E382" i="19" a="1"/>
  <c r="E382" i="19" s="1"/>
  <c r="D382" i="19" a="1"/>
  <c r="D382" i="19" s="1"/>
  <c r="C382" i="19" a="1"/>
  <c r="C382" i="19" s="1"/>
  <c r="B382" i="19" a="1"/>
  <c r="B382" i="19" s="1"/>
  <c r="U381" i="19" a="1"/>
  <c r="U381" i="19" s="1"/>
  <c r="T381" i="19" a="1"/>
  <c r="T381" i="19" s="1"/>
  <c r="S381" i="19" a="1"/>
  <c r="S381" i="19" s="1"/>
  <c r="Q381" i="19" a="1"/>
  <c r="Q381" i="19" s="1"/>
  <c r="P381" i="19"/>
  <c r="O381" i="19" a="1"/>
  <c r="O381" i="19" s="1"/>
  <c r="N381" i="19" a="1"/>
  <c r="N381" i="19" s="1"/>
  <c r="L381" i="19" a="1"/>
  <c r="L381" i="19" s="1"/>
  <c r="K381" i="19"/>
  <c r="J381" i="19" a="1"/>
  <c r="J381" i="19" s="1"/>
  <c r="I381" i="19" a="1"/>
  <c r="I381" i="19" s="1"/>
  <c r="H381" i="19" a="1"/>
  <c r="H381" i="19" s="1"/>
  <c r="G381" i="19" a="1"/>
  <c r="G381" i="19" s="1"/>
  <c r="F381" i="19" a="1"/>
  <c r="F381" i="19" s="1"/>
  <c r="E381" i="19" a="1"/>
  <c r="E381" i="19" s="1"/>
  <c r="D381" i="19" a="1"/>
  <c r="D381" i="19" s="1"/>
  <c r="C381" i="19" a="1"/>
  <c r="C381" i="19" s="1"/>
  <c r="B381" i="19" a="1"/>
  <c r="B381" i="19" s="1"/>
  <c r="U380" i="19" a="1"/>
  <c r="U380" i="19" s="1"/>
  <c r="T380" i="19" a="1"/>
  <c r="T380" i="19" s="1"/>
  <c r="S380" i="19" a="1"/>
  <c r="S380" i="19" s="1"/>
  <c r="Q380" i="19" a="1"/>
  <c r="Q380" i="19" s="1"/>
  <c r="P380" i="19"/>
  <c r="O380" i="19" a="1"/>
  <c r="O380" i="19" s="1"/>
  <c r="N380" i="19" a="1"/>
  <c r="N380" i="19" s="1"/>
  <c r="L380" i="19" a="1"/>
  <c r="L380" i="19" s="1"/>
  <c r="K380" i="19"/>
  <c r="J380" i="19" a="1"/>
  <c r="J380" i="19" s="1"/>
  <c r="I380" i="19" a="1"/>
  <c r="I380" i="19" s="1"/>
  <c r="H380" i="19" a="1"/>
  <c r="H380" i="19" s="1"/>
  <c r="G380" i="19" a="1"/>
  <c r="G380" i="19" s="1"/>
  <c r="F380" i="19" a="1"/>
  <c r="F380" i="19" s="1"/>
  <c r="E380" i="19" a="1"/>
  <c r="E380" i="19" s="1"/>
  <c r="D380" i="19" a="1"/>
  <c r="D380" i="19" s="1"/>
  <c r="C380" i="19" a="1"/>
  <c r="C380" i="19" s="1"/>
  <c r="B380" i="19" a="1"/>
  <c r="B380" i="19" s="1"/>
  <c r="U379" i="19" a="1"/>
  <c r="U379" i="19" s="1"/>
  <c r="T379" i="19" a="1"/>
  <c r="T379" i="19" s="1"/>
  <c r="S379" i="19" a="1"/>
  <c r="S379" i="19" s="1"/>
  <c r="Q379" i="19" a="1"/>
  <c r="Q379" i="19" s="1"/>
  <c r="P379" i="19"/>
  <c r="O379" i="19" a="1"/>
  <c r="O379" i="19" s="1"/>
  <c r="N379" i="19" a="1"/>
  <c r="N379" i="19" s="1"/>
  <c r="L379" i="19" a="1"/>
  <c r="L379" i="19" s="1"/>
  <c r="K379" i="19"/>
  <c r="J379" i="19" a="1"/>
  <c r="J379" i="19" s="1"/>
  <c r="I379" i="19" a="1"/>
  <c r="I379" i="19" s="1"/>
  <c r="H379" i="19" a="1"/>
  <c r="H379" i="19" s="1"/>
  <c r="G379" i="19" a="1"/>
  <c r="G379" i="19" s="1"/>
  <c r="F379" i="19" a="1"/>
  <c r="F379" i="19" s="1"/>
  <c r="E379" i="19" a="1"/>
  <c r="E379" i="19" s="1"/>
  <c r="D379" i="19" a="1"/>
  <c r="D379" i="19" s="1"/>
  <c r="C379" i="19" a="1"/>
  <c r="C379" i="19" s="1"/>
  <c r="B379" i="19" a="1"/>
  <c r="B379" i="19" s="1"/>
  <c r="U378" i="19" a="1"/>
  <c r="U378" i="19" s="1"/>
  <c r="T378" i="19" a="1"/>
  <c r="T378" i="19" s="1"/>
  <c r="S378" i="19" a="1"/>
  <c r="S378" i="19" s="1"/>
  <c r="Q378" i="19" a="1"/>
  <c r="Q378" i="19" s="1"/>
  <c r="P378" i="19"/>
  <c r="O378" i="19" a="1"/>
  <c r="O378" i="19" s="1"/>
  <c r="N378" i="19" a="1"/>
  <c r="N378" i="19" s="1"/>
  <c r="L378" i="19" a="1"/>
  <c r="L378" i="19" s="1"/>
  <c r="K378" i="19"/>
  <c r="J378" i="19" a="1"/>
  <c r="J378" i="19" s="1"/>
  <c r="I378" i="19" a="1"/>
  <c r="I378" i="19" s="1"/>
  <c r="H378" i="19" a="1"/>
  <c r="H378" i="19" s="1"/>
  <c r="G378" i="19" a="1"/>
  <c r="G378" i="19" s="1"/>
  <c r="F378" i="19" a="1"/>
  <c r="F378" i="19" s="1"/>
  <c r="E378" i="19" a="1"/>
  <c r="E378" i="19" s="1"/>
  <c r="D378" i="19" a="1"/>
  <c r="D378" i="19" s="1"/>
  <c r="C378" i="19" a="1"/>
  <c r="C378" i="19" s="1"/>
  <c r="B378" i="19" a="1"/>
  <c r="B378" i="19" s="1"/>
  <c r="U377" i="19" a="1"/>
  <c r="U377" i="19" s="1"/>
  <c r="T377" i="19" a="1"/>
  <c r="T377" i="19" s="1"/>
  <c r="S377" i="19" a="1"/>
  <c r="S377" i="19" s="1"/>
  <c r="Q377" i="19" a="1"/>
  <c r="Q377" i="19" s="1"/>
  <c r="P377" i="19"/>
  <c r="O377" i="19" a="1"/>
  <c r="O377" i="19" s="1"/>
  <c r="N377" i="19" a="1"/>
  <c r="N377" i="19" s="1"/>
  <c r="L377" i="19" a="1"/>
  <c r="L377" i="19" s="1"/>
  <c r="K377" i="19"/>
  <c r="J377" i="19" a="1"/>
  <c r="J377" i="19" s="1"/>
  <c r="I377" i="19" a="1"/>
  <c r="I377" i="19" s="1"/>
  <c r="H377" i="19" a="1"/>
  <c r="H377" i="19" s="1"/>
  <c r="G377" i="19" a="1"/>
  <c r="G377" i="19" s="1"/>
  <c r="F377" i="19" a="1"/>
  <c r="F377" i="19" s="1"/>
  <c r="E377" i="19" a="1"/>
  <c r="E377" i="19" s="1"/>
  <c r="D377" i="19" a="1"/>
  <c r="D377" i="19" s="1"/>
  <c r="C377" i="19" a="1"/>
  <c r="C377" i="19" s="1"/>
  <c r="B377" i="19" a="1"/>
  <c r="B377" i="19" s="1"/>
  <c r="U376" i="19" a="1"/>
  <c r="U376" i="19" s="1"/>
  <c r="T376" i="19" a="1"/>
  <c r="T376" i="19" s="1"/>
  <c r="S376" i="19" a="1"/>
  <c r="S376" i="19" s="1"/>
  <c r="Q376" i="19" a="1"/>
  <c r="Q376" i="19" s="1"/>
  <c r="P376" i="19"/>
  <c r="O376" i="19" a="1"/>
  <c r="O376" i="19" s="1"/>
  <c r="N376" i="19" a="1"/>
  <c r="N376" i="19" s="1"/>
  <c r="L376" i="19" a="1"/>
  <c r="L376" i="19" s="1"/>
  <c r="K376" i="19"/>
  <c r="J376" i="19" a="1"/>
  <c r="J376" i="19" s="1"/>
  <c r="I376" i="19" a="1"/>
  <c r="I376" i="19" s="1"/>
  <c r="H376" i="19" a="1"/>
  <c r="H376" i="19" s="1"/>
  <c r="G376" i="19" a="1"/>
  <c r="G376" i="19" s="1"/>
  <c r="F376" i="19" a="1"/>
  <c r="F376" i="19" s="1"/>
  <c r="E376" i="19" a="1"/>
  <c r="E376" i="19" s="1"/>
  <c r="D376" i="19" a="1"/>
  <c r="D376" i="19" s="1"/>
  <c r="C376" i="19" a="1"/>
  <c r="C376" i="19" s="1"/>
  <c r="B376" i="19" a="1"/>
  <c r="B376" i="19" s="1"/>
  <c r="U375" i="19" a="1"/>
  <c r="U375" i="19" s="1"/>
  <c r="T375" i="19" a="1"/>
  <c r="T375" i="19" s="1"/>
  <c r="S375" i="19" a="1"/>
  <c r="S375" i="19" s="1"/>
  <c r="Q375" i="19" a="1"/>
  <c r="Q375" i="19" s="1"/>
  <c r="P375" i="19"/>
  <c r="O375" i="19" a="1"/>
  <c r="O375" i="19" s="1"/>
  <c r="N375" i="19" a="1"/>
  <c r="N375" i="19" s="1"/>
  <c r="L375" i="19" a="1"/>
  <c r="L375" i="19" s="1"/>
  <c r="K375" i="19"/>
  <c r="J375" i="19" a="1"/>
  <c r="J375" i="19" s="1"/>
  <c r="I375" i="19" a="1"/>
  <c r="I375" i="19" s="1"/>
  <c r="H375" i="19" a="1"/>
  <c r="H375" i="19" s="1"/>
  <c r="G375" i="19" a="1"/>
  <c r="G375" i="19" s="1"/>
  <c r="F375" i="19" a="1"/>
  <c r="F375" i="19" s="1"/>
  <c r="E375" i="19" a="1"/>
  <c r="E375" i="19" s="1"/>
  <c r="D375" i="19" a="1"/>
  <c r="D375" i="19" s="1"/>
  <c r="C375" i="19" a="1"/>
  <c r="C375" i="19" s="1"/>
  <c r="B375" i="19" a="1"/>
  <c r="B375" i="19" s="1"/>
  <c r="U374" i="19" a="1"/>
  <c r="U374" i="19" s="1"/>
  <c r="T374" i="19" a="1"/>
  <c r="T374" i="19" s="1"/>
  <c r="S374" i="19" a="1"/>
  <c r="S374" i="19" s="1"/>
  <c r="Q374" i="19" a="1"/>
  <c r="Q374" i="19" s="1"/>
  <c r="P374" i="19"/>
  <c r="O374" i="19" a="1"/>
  <c r="O374" i="19" s="1"/>
  <c r="N374" i="19" a="1"/>
  <c r="N374" i="19" s="1"/>
  <c r="L374" i="19" a="1"/>
  <c r="L374" i="19" s="1"/>
  <c r="K374" i="19"/>
  <c r="J374" i="19" a="1"/>
  <c r="J374" i="19" s="1"/>
  <c r="I374" i="19" a="1"/>
  <c r="I374" i="19" s="1"/>
  <c r="H374" i="19" a="1"/>
  <c r="H374" i="19" s="1"/>
  <c r="G374" i="19" a="1"/>
  <c r="G374" i="19" s="1"/>
  <c r="F374" i="19" a="1"/>
  <c r="F374" i="19" s="1"/>
  <c r="E374" i="19" a="1"/>
  <c r="E374" i="19" s="1"/>
  <c r="D374" i="19" a="1"/>
  <c r="D374" i="19" s="1"/>
  <c r="C374" i="19" a="1"/>
  <c r="C374" i="19" s="1"/>
  <c r="B374" i="19" a="1"/>
  <c r="B374" i="19" s="1"/>
  <c r="U373" i="19" a="1"/>
  <c r="U373" i="19" s="1"/>
  <c r="T373" i="19" a="1"/>
  <c r="T373" i="19" s="1"/>
  <c r="S373" i="19" a="1"/>
  <c r="S373" i="19" s="1"/>
  <c r="Q373" i="19" a="1"/>
  <c r="Q373" i="19" s="1"/>
  <c r="P373" i="19"/>
  <c r="O373" i="19" a="1"/>
  <c r="O373" i="19" s="1"/>
  <c r="N373" i="19" a="1"/>
  <c r="N373" i="19" s="1"/>
  <c r="L373" i="19" a="1"/>
  <c r="L373" i="19" s="1"/>
  <c r="K373" i="19"/>
  <c r="J373" i="19" a="1"/>
  <c r="J373" i="19" s="1"/>
  <c r="I373" i="19" a="1"/>
  <c r="I373" i="19" s="1"/>
  <c r="H373" i="19" a="1"/>
  <c r="H373" i="19" s="1"/>
  <c r="G373" i="19" a="1"/>
  <c r="G373" i="19" s="1"/>
  <c r="F373" i="19" a="1"/>
  <c r="F373" i="19" s="1"/>
  <c r="E373" i="19" a="1"/>
  <c r="E373" i="19" s="1"/>
  <c r="D373" i="19" a="1"/>
  <c r="D373" i="19" s="1"/>
  <c r="C373" i="19" a="1"/>
  <c r="C373" i="19" s="1"/>
  <c r="B373" i="19" a="1"/>
  <c r="B373" i="19" s="1"/>
  <c r="U372" i="19" a="1"/>
  <c r="U372" i="19" s="1"/>
  <c r="T372" i="19" a="1"/>
  <c r="T372" i="19" s="1"/>
  <c r="S372" i="19" a="1"/>
  <c r="S372" i="19" s="1"/>
  <c r="Q372" i="19" a="1"/>
  <c r="Q372" i="19" s="1"/>
  <c r="P372" i="19"/>
  <c r="O372" i="19" a="1"/>
  <c r="O372" i="19" s="1"/>
  <c r="N372" i="19" a="1"/>
  <c r="N372" i="19" s="1"/>
  <c r="L372" i="19" a="1"/>
  <c r="L372" i="19" s="1"/>
  <c r="K372" i="19"/>
  <c r="J372" i="19" a="1"/>
  <c r="J372" i="19" s="1"/>
  <c r="I372" i="19" a="1"/>
  <c r="I372" i="19" s="1"/>
  <c r="H372" i="19" a="1"/>
  <c r="H372" i="19" s="1"/>
  <c r="G372" i="19" a="1"/>
  <c r="G372" i="19" s="1"/>
  <c r="F372" i="19" a="1"/>
  <c r="F372" i="19" s="1"/>
  <c r="E372" i="19" a="1"/>
  <c r="E372" i="19" s="1"/>
  <c r="D372" i="19" a="1"/>
  <c r="D372" i="19" s="1"/>
  <c r="C372" i="19" a="1"/>
  <c r="C372" i="19" s="1"/>
  <c r="B372" i="19" a="1"/>
  <c r="B372" i="19" s="1"/>
  <c r="U371" i="19" a="1"/>
  <c r="U371" i="19" s="1"/>
  <c r="T371" i="19" a="1"/>
  <c r="T371" i="19" s="1"/>
  <c r="S371" i="19" a="1"/>
  <c r="S371" i="19" s="1"/>
  <c r="Q371" i="19" a="1"/>
  <c r="Q371" i="19" s="1"/>
  <c r="P371" i="19"/>
  <c r="O371" i="19" a="1"/>
  <c r="O371" i="19" s="1"/>
  <c r="N371" i="19" a="1"/>
  <c r="N371" i="19" s="1"/>
  <c r="L371" i="19" a="1"/>
  <c r="L371" i="19" s="1"/>
  <c r="K371" i="19"/>
  <c r="J371" i="19" a="1"/>
  <c r="J371" i="19" s="1"/>
  <c r="I371" i="19" a="1"/>
  <c r="I371" i="19" s="1"/>
  <c r="H371" i="19" a="1"/>
  <c r="H371" i="19" s="1"/>
  <c r="G371" i="19" a="1"/>
  <c r="G371" i="19" s="1"/>
  <c r="F371" i="19" a="1"/>
  <c r="F371" i="19" s="1"/>
  <c r="E371" i="19" a="1"/>
  <c r="E371" i="19" s="1"/>
  <c r="D371" i="19" a="1"/>
  <c r="D371" i="19" s="1"/>
  <c r="C371" i="19" a="1"/>
  <c r="C371" i="19" s="1"/>
  <c r="B371" i="19" a="1"/>
  <c r="B371" i="19" s="1"/>
  <c r="U370" i="19" a="1"/>
  <c r="U370" i="19" s="1"/>
  <c r="T370" i="19" a="1"/>
  <c r="T370" i="19" s="1"/>
  <c r="S370" i="19" a="1"/>
  <c r="S370" i="19" s="1"/>
  <c r="Q370" i="19" a="1"/>
  <c r="Q370" i="19" s="1"/>
  <c r="P370" i="19"/>
  <c r="O370" i="19" a="1"/>
  <c r="O370" i="19" s="1"/>
  <c r="N370" i="19" a="1"/>
  <c r="N370" i="19" s="1"/>
  <c r="L370" i="19" a="1"/>
  <c r="L370" i="19" s="1"/>
  <c r="K370" i="19"/>
  <c r="J370" i="19" a="1"/>
  <c r="J370" i="19" s="1"/>
  <c r="I370" i="19" a="1"/>
  <c r="I370" i="19" s="1"/>
  <c r="H370" i="19" a="1"/>
  <c r="H370" i="19" s="1"/>
  <c r="G370" i="19" a="1"/>
  <c r="G370" i="19" s="1"/>
  <c r="F370" i="19" a="1"/>
  <c r="F370" i="19" s="1"/>
  <c r="E370" i="19" a="1"/>
  <c r="E370" i="19" s="1"/>
  <c r="D370" i="19" a="1"/>
  <c r="D370" i="19" s="1"/>
  <c r="C370" i="19" a="1"/>
  <c r="C370" i="19" s="1"/>
  <c r="B370" i="19" a="1"/>
  <c r="B370" i="19" s="1"/>
  <c r="U369" i="19" a="1"/>
  <c r="U369" i="19" s="1"/>
  <c r="T369" i="19" a="1"/>
  <c r="T369" i="19" s="1"/>
  <c r="S369" i="19" a="1"/>
  <c r="S369" i="19" s="1"/>
  <c r="Q369" i="19" a="1"/>
  <c r="Q369" i="19" s="1"/>
  <c r="P369" i="19"/>
  <c r="O369" i="19" a="1"/>
  <c r="O369" i="19" s="1"/>
  <c r="N369" i="19" a="1"/>
  <c r="N369" i="19" s="1"/>
  <c r="L369" i="19" a="1"/>
  <c r="L369" i="19" s="1"/>
  <c r="K369" i="19"/>
  <c r="J369" i="19" a="1"/>
  <c r="J369" i="19" s="1"/>
  <c r="I369" i="19" a="1"/>
  <c r="I369" i="19" s="1"/>
  <c r="H369" i="19" a="1"/>
  <c r="H369" i="19" s="1"/>
  <c r="G369" i="19" a="1"/>
  <c r="G369" i="19" s="1"/>
  <c r="F369" i="19" a="1"/>
  <c r="F369" i="19" s="1"/>
  <c r="E369" i="19" a="1"/>
  <c r="E369" i="19" s="1"/>
  <c r="D369" i="19" a="1"/>
  <c r="D369" i="19" s="1"/>
  <c r="C369" i="19" a="1"/>
  <c r="C369" i="19" s="1"/>
  <c r="B369" i="19" a="1"/>
  <c r="B369" i="19" s="1"/>
  <c r="U368" i="19" a="1"/>
  <c r="U368" i="19" s="1"/>
  <c r="T368" i="19" a="1"/>
  <c r="T368" i="19" s="1"/>
  <c r="S368" i="19" a="1"/>
  <c r="S368" i="19" s="1"/>
  <c r="Q368" i="19" a="1"/>
  <c r="Q368" i="19" s="1"/>
  <c r="P368" i="19"/>
  <c r="O368" i="19" a="1"/>
  <c r="O368" i="19" s="1"/>
  <c r="N368" i="19" a="1"/>
  <c r="N368" i="19" s="1"/>
  <c r="L368" i="19" a="1"/>
  <c r="L368" i="19" s="1"/>
  <c r="K368" i="19"/>
  <c r="J368" i="19" a="1"/>
  <c r="J368" i="19" s="1"/>
  <c r="I368" i="19" a="1"/>
  <c r="I368" i="19" s="1"/>
  <c r="H368" i="19" a="1"/>
  <c r="H368" i="19" s="1"/>
  <c r="G368" i="19" a="1"/>
  <c r="G368" i="19" s="1"/>
  <c r="F368" i="19" a="1"/>
  <c r="F368" i="19" s="1"/>
  <c r="E368" i="19" a="1"/>
  <c r="E368" i="19" s="1"/>
  <c r="D368" i="19" a="1"/>
  <c r="D368" i="19" s="1"/>
  <c r="C368" i="19" a="1"/>
  <c r="C368" i="19" s="1"/>
  <c r="B368" i="19" a="1"/>
  <c r="B368" i="19" s="1"/>
  <c r="U367" i="19" a="1"/>
  <c r="U367" i="19" s="1"/>
  <c r="T367" i="19" a="1"/>
  <c r="T367" i="19" s="1"/>
  <c r="S367" i="19" a="1"/>
  <c r="S367" i="19" s="1"/>
  <c r="Q367" i="19" a="1"/>
  <c r="Q367" i="19" s="1"/>
  <c r="P367" i="19"/>
  <c r="O367" i="19" a="1"/>
  <c r="O367" i="19" s="1"/>
  <c r="N367" i="19" a="1"/>
  <c r="N367" i="19" s="1"/>
  <c r="L367" i="19" a="1"/>
  <c r="L367" i="19" s="1"/>
  <c r="K367" i="19"/>
  <c r="J367" i="19" a="1"/>
  <c r="J367" i="19" s="1"/>
  <c r="I367" i="19" a="1"/>
  <c r="I367" i="19" s="1"/>
  <c r="H367" i="19" a="1"/>
  <c r="H367" i="19" s="1"/>
  <c r="G367" i="19" a="1"/>
  <c r="G367" i="19" s="1"/>
  <c r="F367" i="19" a="1"/>
  <c r="F367" i="19" s="1"/>
  <c r="E367" i="19" a="1"/>
  <c r="E367" i="19" s="1"/>
  <c r="D367" i="19" a="1"/>
  <c r="D367" i="19" s="1"/>
  <c r="C367" i="19" a="1"/>
  <c r="C367" i="19" s="1"/>
  <c r="B367" i="19" a="1"/>
  <c r="B367" i="19" s="1"/>
  <c r="U366" i="19" a="1"/>
  <c r="U366" i="19" s="1"/>
  <c r="T366" i="19" a="1"/>
  <c r="T366" i="19" s="1"/>
  <c r="S366" i="19" a="1"/>
  <c r="S366" i="19" s="1"/>
  <c r="Q366" i="19" a="1"/>
  <c r="Q366" i="19" s="1"/>
  <c r="P366" i="19"/>
  <c r="O366" i="19" a="1"/>
  <c r="O366" i="19" s="1"/>
  <c r="N366" i="19" a="1"/>
  <c r="N366" i="19" s="1"/>
  <c r="L366" i="19" a="1"/>
  <c r="L366" i="19" s="1"/>
  <c r="K366" i="19"/>
  <c r="J366" i="19" a="1"/>
  <c r="J366" i="19" s="1"/>
  <c r="I366" i="19" a="1"/>
  <c r="I366" i="19" s="1"/>
  <c r="H366" i="19" a="1"/>
  <c r="H366" i="19" s="1"/>
  <c r="G366" i="19" a="1"/>
  <c r="G366" i="19" s="1"/>
  <c r="F366" i="19" a="1"/>
  <c r="F366" i="19" s="1"/>
  <c r="E366" i="19" a="1"/>
  <c r="E366" i="19" s="1"/>
  <c r="D366" i="19" a="1"/>
  <c r="D366" i="19" s="1"/>
  <c r="C366" i="19" a="1"/>
  <c r="C366" i="19" s="1"/>
  <c r="B366" i="19" a="1"/>
  <c r="B366" i="19" s="1"/>
  <c r="U365" i="19" a="1"/>
  <c r="U365" i="19" s="1"/>
  <c r="T365" i="19" a="1"/>
  <c r="T365" i="19" s="1"/>
  <c r="S365" i="19" a="1"/>
  <c r="S365" i="19" s="1"/>
  <c r="Q365" i="19" a="1"/>
  <c r="Q365" i="19" s="1"/>
  <c r="P365" i="19"/>
  <c r="O365" i="19" a="1"/>
  <c r="O365" i="19" s="1"/>
  <c r="N365" i="19" a="1"/>
  <c r="N365" i="19" s="1"/>
  <c r="L365" i="19" a="1"/>
  <c r="L365" i="19" s="1"/>
  <c r="K365" i="19"/>
  <c r="J365" i="19" a="1"/>
  <c r="J365" i="19" s="1"/>
  <c r="I365" i="19" a="1"/>
  <c r="I365" i="19" s="1"/>
  <c r="H365" i="19" a="1"/>
  <c r="H365" i="19" s="1"/>
  <c r="G365" i="19" a="1"/>
  <c r="G365" i="19" s="1"/>
  <c r="F365" i="19" a="1"/>
  <c r="F365" i="19" s="1"/>
  <c r="E365" i="19" a="1"/>
  <c r="E365" i="19" s="1"/>
  <c r="D365" i="19" a="1"/>
  <c r="D365" i="19" s="1"/>
  <c r="C365" i="19" a="1"/>
  <c r="C365" i="19" s="1"/>
  <c r="B365" i="19" a="1"/>
  <c r="B365" i="19" s="1"/>
  <c r="U364" i="19" a="1"/>
  <c r="U364" i="19" s="1"/>
  <c r="T364" i="19" a="1"/>
  <c r="T364" i="19" s="1"/>
  <c r="S364" i="19" a="1"/>
  <c r="S364" i="19" s="1"/>
  <c r="Q364" i="19" a="1"/>
  <c r="Q364" i="19" s="1"/>
  <c r="P364" i="19"/>
  <c r="O364" i="19" a="1"/>
  <c r="O364" i="19" s="1"/>
  <c r="N364" i="19" a="1"/>
  <c r="N364" i="19" s="1"/>
  <c r="L364" i="19" a="1"/>
  <c r="L364" i="19" s="1"/>
  <c r="K364" i="19"/>
  <c r="J364" i="19" a="1"/>
  <c r="J364" i="19" s="1"/>
  <c r="I364" i="19" a="1"/>
  <c r="I364" i="19" s="1"/>
  <c r="H364" i="19" a="1"/>
  <c r="H364" i="19" s="1"/>
  <c r="G364" i="19" a="1"/>
  <c r="G364" i="19" s="1"/>
  <c r="F364" i="19" a="1"/>
  <c r="F364" i="19" s="1"/>
  <c r="E364" i="19" a="1"/>
  <c r="E364" i="19" s="1"/>
  <c r="D364" i="19" a="1"/>
  <c r="D364" i="19" s="1"/>
  <c r="C364" i="19" a="1"/>
  <c r="C364" i="19" s="1"/>
  <c r="B364" i="19" a="1"/>
  <c r="B364" i="19" s="1"/>
  <c r="U363" i="19" a="1"/>
  <c r="U363" i="19" s="1"/>
  <c r="T363" i="19" a="1"/>
  <c r="T363" i="19" s="1"/>
  <c r="S363" i="19" a="1"/>
  <c r="S363" i="19" s="1"/>
  <c r="Q363" i="19" a="1"/>
  <c r="Q363" i="19" s="1"/>
  <c r="P363" i="19"/>
  <c r="O363" i="19" a="1"/>
  <c r="O363" i="19" s="1"/>
  <c r="N363" i="19" a="1"/>
  <c r="N363" i="19" s="1"/>
  <c r="L363" i="19" a="1"/>
  <c r="L363" i="19" s="1"/>
  <c r="K363" i="19"/>
  <c r="J363" i="19" a="1"/>
  <c r="J363" i="19" s="1"/>
  <c r="I363" i="19" a="1"/>
  <c r="I363" i="19" s="1"/>
  <c r="H363" i="19" a="1"/>
  <c r="H363" i="19" s="1"/>
  <c r="G363" i="19" a="1"/>
  <c r="G363" i="19" s="1"/>
  <c r="F363" i="19" a="1"/>
  <c r="F363" i="19" s="1"/>
  <c r="E363" i="19" a="1"/>
  <c r="E363" i="19" s="1"/>
  <c r="D363" i="19" a="1"/>
  <c r="D363" i="19" s="1"/>
  <c r="C363" i="19" a="1"/>
  <c r="C363" i="19" s="1"/>
  <c r="B363" i="19" a="1"/>
  <c r="B363" i="19" s="1"/>
  <c r="U362" i="19" a="1"/>
  <c r="U362" i="19" s="1"/>
  <c r="T362" i="19" a="1"/>
  <c r="T362" i="19" s="1"/>
  <c r="S362" i="19" a="1"/>
  <c r="S362" i="19" s="1"/>
  <c r="Q362" i="19" a="1"/>
  <c r="Q362" i="19" s="1"/>
  <c r="P362" i="19"/>
  <c r="O362" i="19" a="1"/>
  <c r="O362" i="19" s="1"/>
  <c r="N362" i="19" a="1"/>
  <c r="N362" i="19" s="1"/>
  <c r="L362" i="19" a="1"/>
  <c r="L362" i="19" s="1"/>
  <c r="K362" i="19"/>
  <c r="J362" i="19" a="1"/>
  <c r="J362" i="19" s="1"/>
  <c r="I362" i="19" a="1"/>
  <c r="I362" i="19" s="1"/>
  <c r="H362" i="19" a="1"/>
  <c r="H362" i="19" s="1"/>
  <c r="G362" i="19" a="1"/>
  <c r="G362" i="19" s="1"/>
  <c r="F362" i="19" a="1"/>
  <c r="F362" i="19" s="1"/>
  <c r="E362" i="19" a="1"/>
  <c r="E362" i="19" s="1"/>
  <c r="D362" i="19" a="1"/>
  <c r="D362" i="19" s="1"/>
  <c r="C362" i="19" a="1"/>
  <c r="C362" i="19" s="1"/>
  <c r="B362" i="19" a="1"/>
  <c r="B362" i="19" s="1"/>
  <c r="U361" i="19" a="1"/>
  <c r="U361" i="19" s="1"/>
  <c r="T361" i="19" a="1"/>
  <c r="T361" i="19" s="1"/>
  <c r="S361" i="19" a="1"/>
  <c r="S361" i="19" s="1"/>
  <c r="Q361" i="19" a="1"/>
  <c r="Q361" i="19" s="1"/>
  <c r="P361" i="19"/>
  <c r="O361" i="19" a="1"/>
  <c r="O361" i="19" s="1"/>
  <c r="N361" i="19" a="1"/>
  <c r="N361" i="19" s="1"/>
  <c r="L361" i="19" a="1"/>
  <c r="L361" i="19" s="1"/>
  <c r="K361" i="19"/>
  <c r="J361" i="19" a="1"/>
  <c r="J361" i="19" s="1"/>
  <c r="I361" i="19" a="1"/>
  <c r="I361" i="19" s="1"/>
  <c r="H361" i="19" a="1"/>
  <c r="H361" i="19" s="1"/>
  <c r="G361" i="19" a="1"/>
  <c r="G361" i="19" s="1"/>
  <c r="F361" i="19" a="1"/>
  <c r="F361" i="19" s="1"/>
  <c r="E361" i="19" a="1"/>
  <c r="E361" i="19" s="1"/>
  <c r="D361" i="19" a="1"/>
  <c r="D361" i="19" s="1"/>
  <c r="C361" i="19" a="1"/>
  <c r="C361" i="19" s="1"/>
  <c r="B361" i="19" a="1"/>
  <c r="B361" i="19" s="1"/>
  <c r="U360" i="19" a="1"/>
  <c r="U360" i="19" s="1"/>
  <c r="T360" i="19" a="1"/>
  <c r="T360" i="19" s="1"/>
  <c r="S360" i="19" a="1"/>
  <c r="S360" i="19" s="1"/>
  <c r="Q360" i="19" a="1"/>
  <c r="Q360" i="19" s="1"/>
  <c r="P360" i="19"/>
  <c r="O360" i="19" a="1"/>
  <c r="O360" i="19" s="1"/>
  <c r="N360" i="19" a="1"/>
  <c r="N360" i="19" s="1"/>
  <c r="L360" i="19" a="1"/>
  <c r="L360" i="19" s="1"/>
  <c r="K360" i="19"/>
  <c r="J360" i="19" a="1"/>
  <c r="J360" i="19" s="1"/>
  <c r="I360" i="19" a="1"/>
  <c r="I360" i="19" s="1"/>
  <c r="H360" i="19" a="1"/>
  <c r="H360" i="19" s="1"/>
  <c r="G360" i="19" a="1"/>
  <c r="G360" i="19" s="1"/>
  <c r="F360" i="19" a="1"/>
  <c r="F360" i="19" s="1"/>
  <c r="E360" i="19" a="1"/>
  <c r="E360" i="19" s="1"/>
  <c r="D360" i="19" a="1"/>
  <c r="D360" i="19" s="1"/>
  <c r="C360" i="19" a="1"/>
  <c r="C360" i="19" s="1"/>
  <c r="B360" i="19" a="1"/>
  <c r="B360" i="19" s="1"/>
  <c r="U359" i="19" a="1"/>
  <c r="U359" i="19" s="1"/>
  <c r="T359" i="19" a="1"/>
  <c r="T359" i="19" s="1"/>
  <c r="S359" i="19" a="1"/>
  <c r="S359" i="19" s="1"/>
  <c r="Q359" i="19" a="1"/>
  <c r="Q359" i="19" s="1"/>
  <c r="P359" i="19"/>
  <c r="O359" i="19" a="1"/>
  <c r="O359" i="19" s="1"/>
  <c r="N359" i="19" a="1"/>
  <c r="N359" i="19" s="1"/>
  <c r="L359" i="19" a="1"/>
  <c r="L359" i="19" s="1"/>
  <c r="K359" i="19"/>
  <c r="J359" i="19" a="1"/>
  <c r="J359" i="19" s="1"/>
  <c r="I359" i="19" a="1"/>
  <c r="I359" i="19" s="1"/>
  <c r="H359" i="19" a="1"/>
  <c r="H359" i="19" s="1"/>
  <c r="G359" i="19" a="1"/>
  <c r="G359" i="19" s="1"/>
  <c r="F359" i="19" a="1"/>
  <c r="F359" i="19" s="1"/>
  <c r="E359" i="19" a="1"/>
  <c r="E359" i="19" s="1"/>
  <c r="D359" i="19" a="1"/>
  <c r="D359" i="19" s="1"/>
  <c r="C359" i="19" a="1"/>
  <c r="C359" i="19" s="1"/>
  <c r="B359" i="19" a="1"/>
  <c r="B359" i="19" s="1"/>
  <c r="U358" i="19" a="1"/>
  <c r="U358" i="19" s="1"/>
  <c r="T358" i="19" a="1"/>
  <c r="T358" i="19" s="1"/>
  <c r="S358" i="19" a="1"/>
  <c r="S358" i="19" s="1"/>
  <c r="Q358" i="19" a="1"/>
  <c r="Q358" i="19" s="1"/>
  <c r="P358" i="19"/>
  <c r="O358" i="19" a="1"/>
  <c r="O358" i="19" s="1"/>
  <c r="N358" i="19" a="1"/>
  <c r="N358" i="19" s="1"/>
  <c r="L358" i="19" a="1"/>
  <c r="L358" i="19" s="1"/>
  <c r="K358" i="19"/>
  <c r="J358" i="19" a="1"/>
  <c r="J358" i="19" s="1"/>
  <c r="I358" i="19" a="1"/>
  <c r="I358" i="19" s="1"/>
  <c r="H358" i="19" a="1"/>
  <c r="H358" i="19" s="1"/>
  <c r="G358" i="19" a="1"/>
  <c r="G358" i="19" s="1"/>
  <c r="F358" i="19" a="1"/>
  <c r="F358" i="19" s="1"/>
  <c r="E358" i="19" a="1"/>
  <c r="E358" i="19" s="1"/>
  <c r="D358" i="19" a="1"/>
  <c r="D358" i="19" s="1"/>
  <c r="C358" i="19" a="1"/>
  <c r="C358" i="19" s="1"/>
  <c r="B358" i="19" a="1"/>
  <c r="B358" i="19" s="1"/>
  <c r="U357" i="19" a="1"/>
  <c r="U357" i="19" s="1"/>
  <c r="T357" i="19" a="1"/>
  <c r="T357" i="19" s="1"/>
  <c r="S357" i="19" a="1"/>
  <c r="S357" i="19" s="1"/>
  <c r="Q357" i="19" a="1"/>
  <c r="Q357" i="19" s="1"/>
  <c r="P357" i="19"/>
  <c r="O357" i="19" a="1"/>
  <c r="O357" i="19" s="1"/>
  <c r="N357" i="19" a="1"/>
  <c r="N357" i="19" s="1"/>
  <c r="L357" i="19" a="1"/>
  <c r="L357" i="19" s="1"/>
  <c r="K357" i="19"/>
  <c r="J357" i="19" a="1"/>
  <c r="J357" i="19" s="1"/>
  <c r="I357" i="19" a="1"/>
  <c r="I357" i="19" s="1"/>
  <c r="H357" i="19" a="1"/>
  <c r="H357" i="19" s="1"/>
  <c r="G357" i="19" a="1"/>
  <c r="G357" i="19" s="1"/>
  <c r="F357" i="19" a="1"/>
  <c r="F357" i="19" s="1"/>
  <c r="E357" i="19" a="1"/>
  <c r="E357" i="19" s="1"/>
  <c r="D357" i="19" a="1"/>
  <c r="D357" i="19" s="1"/>
  <c r="C357" i="19" a="1"/>
  <c r="C357" i="19" s="1"/>
  <c r="B357" i="19" a="1"/>
  <c r="B357" i="19" s="1"/>
  <c r="U356" i="19" a="1"/>
  <c r="U356" i="19" s="1"/>
  <c r="T356" i="19" a="1"/>
  <c r="T356" i="19" s="1"/>
  <c r="S356" i="19" a="1"/>
  <c r="S356" i="19" s="1"/>
  <c r="Q356" i="19" a="1"/>
  <c r="Q356" i="19" s="1"/>
  <c r="P356" i="19"/>
  <c r="O356" i="19" a="1"/>
  <c r="O356" i="19" s="1"/>
  <c r="N356" i="19" a="1"/>
  <c r="N356" i="19" s="1"/>
  <c r="L356" i="19" a="1"/>
  <c r="L356" i="19" s="1"/>
  <c r="K356" i="19"/>
  <c r="J356" i="19" a="1"/>
  <c r="J356" i="19" s="1"/>
  <c r="I356" i="19" a="1"/>
  <c r="I356" i="19" s="1"/>
  <c r="H356" i="19" a="1"/>
  <c r="H356" i="19" s="1"/>
  <c r="G356" i="19" a="1"/>
  <c r="G356" i="19" s="1"/>
  <c r="F356" i="19" a="1"/>
  <c r="F356" i="19" s="1"/>
  <c r="E356" i="19" a="1"/>
  <c r="E356" i="19" s="1"/>
  <c r="D356" i="19" a="1"/>
  <c r="D356" i="19" s="1"/>
  <c r="C356" i="19" a="1"/>
  <c r="C356" i="19" s="1"/>
  <c r="B356" i="19" a="1"/>
  <c r="B356" i="19" s="1"/>
  <c r="U355" i="19" a="1"/>
  <c r="U355" i="19" s="1"/>
  <c r="T355" i="19" a="1"/>
  <c r="T355" i="19" s="1"/>
  <c r="S355" i="19" a="1"/>
  <c r="S355" i="19" s="1"/>
  <c r="Q355" i="19" a="1"/>
  <c r="Q355" i="19" s="1"/>
  <c r="P355" i="19"/>
  <c r="O355" i="19" a="1"/>
  <c r="O355" i="19" s="1"/>
  <c r="N355" i="19" a="1"/>
  <c r="N355" i="19" s="1"/>
  <c r="L355" i="19" a="1"/>
  <c r="L355" i="19" s="1"/>
  <c r="K355" i="19"/>
  <c r="J355" i="19" a="1"/>
  <c r="J355" i="19" s="1"/>
  <c r="I355" i="19" a="1"/>
  <c r="I355" i="19" s="1"/>
  <c r="H355" i="19" a="1"/>
  <c r="H355" i="19" s="1"/>
  <c r="G355" i="19" a="1"/>
  <c r="G355" i="19" s="1"/>
  <c r="F355" i="19" a="1"/>
  <c r="F355" i="19" s="1"/>
  <c r="E355" i="19" a="1"/>
  <c r="E355" i="19" s="1"/>
  <c r="D355" i="19" a="1"/>
  <c r="D355" i="19" s="1"/>
  <c r="C355" i="19" a="1"/>
  <c r="C355" i="19" s="1"/>
  <c r="B355" i="19" a="1"/>
  <c r="B355" i="19" s="1"/>
  <c r="U354" i="19" a="1"/>
  <c r="U354" i="19" s="1"/>
  <c r="T354" i="19" a="1"/>
  <c r="T354" i="19" s="1"/>
  <c r="S354" i="19" a="1"/>
  <c r="S354" i="19" s="1"/>
  <c r="Q354" i="19" a="1"/>
  <c r="Q354" i="19" s="1"/>
  <c r="P354" i="19"/>
  <c r="O354" i="19" a="1"/>
  <c r="O354" i="19" s="1"/>
  <c r="N354" i="19" a="1"/>
  <c r="N354" i="19" s="1"/>
  <c r="L354" i="19" a="1"/>
  <c r="L354" i="19" s="1"/>
  <c r="K354" i="19"/>
  <c r="J354" i="19" a="1"/>
  <c r="J354" i="19" s="1"/>
  <c r="I354" i="19" a="1"/>
  <c r="I354" i="19" s="1"/>
  <c r="H354" i="19" a="1"/>
  <c r="H354" i="19" s="1"/>
  <c r="G354" i="19" a="1"/>
  <c r="G354" i="19" s="1"/>
  <c r="F354" i="19" a="1"/>
  <c r="F354" i="19" s="1"/>
  <c r="E354" i="19" a="1"/>
  <c r="E354" i="19" s="1"/>
  <c r="D354" i="19" a="1"/>
  <c r="D354" i="19" s="1"/>
  <c r="C354" i="19" a="1"/>
  <c r="C354" i="19" s="1"/>
  <c r="B354" i="19" a="1"/>
  <c r="B354" i="19" s="1"/>
  <c r="U353" i="19" a="1"/>
  <c r="U353" i="19" s="1"/>
  <c r="T353" i="19" a="1"/>
  <c r="T353" i="19" s="1"/>
  <c r="S353" i="19" a="1"/>
  <c r="S353" i="19" s="1"/>
  <c r="Q353" i="19" a="1"/>
  <c r="Q353" i="19" s="1"/>
  <c r="P353" i="19"/>
  <c r="O353" i="19" a="1"/>
  <c r="O353" i="19" s="1"/>
  <c r="N353" i="19" a="1"/>
  <c r="N353" i="19" s="1"/>
  <c r="L353" i="19" a="1"/>
  <c r="L353" i="19" s="1"/>
  <c r="K353" i="19"/>
  <c r="J353" i="19" a="1"/>
  <c r="J353" i="19" s="1"/>
  <c r="I353" i="19" a="1"/>
  <c r="I353" i="19" s="1"/>
  <c r="H353" i="19" a="1"/>
  <c r="H353" i="19" s="1"/>
  <c r="G353" i="19" a="1"/>
  <c r="G353" i="19" s="1"/>
  <c r="F353" i="19" a="1"/>
  <c r="F353" i="19" s="1"/>
  <c r="E353" i="19" a="1"/>
  <c r="E353" i="19" s="1"/>
  <c r="D353" i="19" a="1"/>
  <c r="D353" i="19" s="1"/>
  <c r="C353" i="19" a="1"/>
  <c r="C353" i="19" s="1"/>
  <c r="B353" i="19" a="1"/>
  <c r="B353" i="19" s="1"/>
  <c r="U352" i="19" a="1"/>
  <c r="U352" i="19" s="1"/>
  <c r="T352" i="19" a="1"/>
  <c r="T352" i="19" s="1"/>
  <c r="S352" i="19" a="1"/>
  <c r="S352" i="19" s="1"/>
  <c r="Q352" i="19" a="1"/>
  <c r="Q352" i="19" s="1"/>
  <c r="P352" i="19"/>
  <c r="O352" i="19" a="1"/>
  <c r="O352" i="19" s="1"/>
  <c r="N352" i="19" a="1"/>
  <c r="N352" i="19" s="1"/>
  <c r="L352" i="19" a="1"/>
  <c r="L352" i="19" s="1"/>
  <c r="K352" i="19"/>
  <c r="J352" i="19" a="1"/>
  <c r="J352" i="19" s="1"/>
  <c r="I352" i="19" a="1"/>
  <c r="I352" i="19" s="1"/>
  <c r="H352" i="19" a="1"/>
  <c r="H352" i="19" s="1"/>
  <c r="G352" i="19" a="1"/>
  <c r="G352" i="19" s="1"/>
  <c r="F352" i="19" a="1"/>
  <c r="F352" i="19" s="1"/>
  <c r="E352" i="19" a="1"/>
  <c r="E352" i="19" s="1"/>
  <c r="D352" i="19" a="1"/>
  <c r="D352" i="19" s="1"/>
  <c r="C352" i="19" a="1"/>
  <c r="C352" i="19" s="1"/>
  <c r="B352" i="19" a="1"/>
  <c r="B352" i="19" s="1"/>
  <c r="U351" i="19" a="1"/>
  <c r="U351" i="19" s="1"/>
  <c r="T351" i="19" a="1"/>
  <c r="T351" i="19" s="1"/>
  <c r="S351" i="19" a="1"/>
  <c r="S351" i="19" s="1"/>
  <c r="Q351" i="19" a="1"/>
  <c r="Q351" i="19" s="1"/>
  <c r="P351" i="19"/>
  <c r="O351" i="19" a="1"/>
  <c r="O351" i="19" s="1"/>
  <c r="N351" i="19" a="1"/>
  <c r="N351" i="19" s="1"/>
  <c r="L351" i="19" a="1"/>
  <c r="L351" i="19" s="1"/>
  <c r="K351" i="19"/>
  <c r="J351" i="19" a="1"/>
  <c r="J351" i="19" s="1"/>
  <c r="I351" i="19" a="1"/>
  <c r="I351" i="19" s="1"/>
  <c r="H351" i="19" a="1"/>
  <c r="H351" i="19" s="1"/>
  <c r="G351" i="19" a="1"/>
  <c r="G351" i="19" s="1"/>
  <c r="F351" i="19" a="1"/>
  <c r="F351" i="19" s="1"/>
  <c r="E351" i="19" a="1"/>
  <c r="E351" i="19" s="1"/>
  <c r="D351" i="19" a="1"/>
  <c r="D351" i="19" s="1"/>
  <c r="C351" i="19" a="1"/>
  <c r="C351" i="19" s="1"/>
  <c r="B351" i="19" a="1"/>
  <c r="B351" i="19" s="1"/>
  <c r="U350" i="19" a="1"/>
  <c r="U350" i="19" s="1"/>
  <c r="T350" i="19" a="1"/>
  <c r="T350" i="19" s="1"/>
  <c r="S350" i="19" a="1"/>
  <c r="S350" i="19" s="1"/>
  <c r="Q350" i="19" a="1"/>
  <c r="Q350" i="19" s="1"/>
  <c r="P350" i="19"/>
  <c r="O350" i="19" a="1"/>
  <c r="O350" i="19" s="1"/>
  <c r="N350" i="19" a="1"/>
  <c r="N350" i="19" s="1"/>
  <c r="L350" i="19" a="1"/>
  <c r="L350" i="19" s="1"/>
  <c r="K350" i="19"/>
  <c r="J350" i="19" a="1"/>
  <c r="J350" i="19" s="1"/>
  <c r="I350" i="19" a="1"/>
  <c r="I350" i="19" s="1"/>
  <c r="H350" i="19" a="1"/>
  <c r="H350" i="19" s="1"/>
  <c r="G350" i="19" a="1"/>
  <c r="G350" i="19" s="1"/>
  <c r="F350" i="19" a="1"/>
  <c r="F350" i="19" s="1"/>
  <c r="E350" i="19" a="1"/>
  <c r="E350" i="19" s="1"/>
  <c r="D350" i="19" a="1"/>
  <c r="D350" i="19" s="1"/>
  <c r="C350" i="19" a="1"/>
  <c r="C350" i="19" s="1"/>
  <c r="B350" i="19" a="1"/>
  <c r="B350" i="19" s="1"/>
  <c r="U349" i="19" a="1"/>
  <c r="U349" i="19" s="1"/>
  <c r="T349" i="19" a="1"/>
  <c r="T349" i="19" s="1"/>
  <c r="S349" i="19" a="1"/>
  <c r="S349" i="19" s="1"/>
  <c r="Q349" i="19" a="1"/>
  <c r="Q349" i="19" s="1"/>
  <c r="P349" i="19"/>
  <c r="O349" i="19" a="1"/>
  <c r="O349" i="19" s="1"/>
  <c r="N349" i="19" a="1"/>
  <c r="N349" i="19" s="1"/>
  <c r="L349" i="19" a="1"/>
  <c r="L349" i="19" s="1"/>
  <c r="K349" i="19"/>
  <c r="J349" i="19" a="1"/>
  <c r="J349" i="19" s="1"/>
  <c r="I349" i="19" a="1"/>
  <c r="I349" i="19" s="1"/>
  <c r="H349" i="19" a="1"/>
  <c r="H349" i="19" s="1"/>
  <c r="G349" i="19" a="1"/>
  <c r="G349" i="19" s="1"/>
  <c r="F349" i="19" a="1"/>
  <c r="F349" i="19" s="1"/>
  <c r="E349" i="19" a="1"/>
  <c r="E349" i="19" s="1"/>
  <c r="D349" i="19" a="1"/>
  <c r="D349" i="19" s="1"/>
  <c r="C349" i="19" a="1"/>
  <c r="C349" i="19" s="1"/>
  <c r="B349" i="19" a="1"/>
  <c r="B349" i="19" s="1"/>
  <c r="U348" i="19" a="1"/>
  <c r="U348" i="19" s="1"/>
  <c r="T348" i="19" a="1"/>
  <c r="T348" i="19" s="1"/>
  <c r="S348" i="19" a="1"/>
  <c r="S348" i="19" s="1"/>
  <c r="Q348" i="19" a="1"/>
  <c r="Q348" i="19" s="1"/>
  <c r="P348" i="19"/>
  <c r="O348" i="19" a="1"/>
  <c r="O348" i="19" s="1"/>
  <c r="N348" i="19" a="1"/>
  <c r="N348" i="19" s="1"/>
  <c r="L348" i="19" a="1"/>
  <c r="L348" i="19" s="1"/>
  <c r="K348" i="19"/>
  <c r="J348" i="19" a="1"/>
  <c r="J348" i="19" s="1"/>
  <c r="I348" i="19" a="1"/>
  <c r="I348" i="19" s="1"/>
  <c r="H348" i="19" a="1"/>
  <c r="H348" i="19" s="1"/>
  <c r="G348" i="19" a="1"/>
  <c r="G348" i="19" s="1"/>
  <c r="F348" i="19" a="1"/>
  <c r="F348" i="19" s="1"/>
  <c r="E348" i="19" a="1"/>
  <c r="E348" i="19" s="1"/>
  <c r="D348" i="19" a="1"/>
  <c r="D348" i="19" s="1"/>
  <c r="C348" i="19" a="1"/>
  <c r="C348" i="19" s="1"/>
  <c r="B348" i="19" a="1"/>
  <c r="B348" i="19" s="1"/>
  <c r="U347" i="19" a="1"/>
  <c r="U347" i="19" s="1"/>
  <c r="T347" i="19" a="1"/>
  <c r="T347" i="19" s="1"/>
  <c r="S347" i="19" a="1"/>
  <c r="S347" i="19" s="1"/>
  <c r="Q347" i="19" a="1"/>
  <c r="Q347" i="19" s="1"/>
  <c r="P347" i="19"/>
  <c r="O347" i="19" a="1"/>
  <c r="O347" i="19" s="1"/>
  <c r="N347" i="19" a="1"/>
  <c r="N347" i="19" s="1"/>
  <c r="L347" i="19" a="1"/>
  <c r="L347" i="19" s="1"/>
  <c r="K347" i="19"/>
  <c r="J347" i="19" a="1"/>
  <c r="J347" i="19" s="1"/>
  <c r="I347" i="19" a="1"/>
  <c r="I347" i="19" s="1"/>
  <c r="H347" i="19" a="1"/>
  <c r="H347" i="19" s="1"/>
  <c r="G347" i="19" a="1"/>
  <c r="G347" i="19" s="1"/>
  <c r="F347" i="19" a="1"/>
  <c r="F347" i="19" s="1"/>
  <c r="E347" i="19" a="1"/>
  <c r="E347" i="19" s="1"/>
  <c r="D347" i="19" a="1"/>
  <c r="D347" i="19" s="1"/>
  <c r="C347" i="19" a="1"/>
  <c r="C347" i="19" s="1"/>
  <c r="B347" i="19" a="1"/>
  <c r="B347" i="19" s="1"/>
  <c r="U346" i="19" a="1"/>
  <c r="U346" i="19" s="1"/>
  <c r="T346" i="19" a="1"/>
  <c r="T346" i="19" s="1"/>
  <c r="S346" i="19" a="1"/>
  <c r="S346" i="19" s="1"/>
  <c r="Q346" i="19" a="1"/>
  <c r="Q346" i="19" s="1"/>
  <c r="P346" i="19"/>
  <c r="O346" i="19" a="1"/>
  <c r="O346" i="19" s="1"/>
  <c r="N346" i="19" a="1"/>
  <c r="N346" i="19" s="1"/>
  <c r="L346" i="19" a="1"/>
  <c r="L346" i="19" s="1"/>
  <c r="K346" i="19"/>
  <c r="J346" i="19" a="1"/>
  <c r="J346" i="19" s="1"/>
  <c r="I346" i="19" a="1"/>
  <c r="I346" i="19" s="1"/>
  <c r="H346" i="19" a="1"/>
  <c r="H346" i="19" s="1"/>
  <c r="G346" i="19" a="1"/>
  <c r="G346" i="19" s="1"/>
  <c r="F346" i="19" a="1"/>
  <c r="F346" i="19" s="1"/>
  <c r="E346" i="19" a="1"/>
  <c r="E346" i="19" s="1"/>
  <c r="D346" i="19" a="1"/>
  <c r="D346" i="19" s="1"/>
  <c r="C346" i="19" a="1"/>
  <c r="C346" i="19" s="1"/>
  <c r="B346" i="19" a="1"/>
  <c r="B346" i="19" s="1"/>
  <c r="U345" i="19" a="1"/>
  <c r="U345" i="19" s="1"/>
  <c r="T345" i="19" a="1"/>
  <c r="T345" i="19" s="1"/>
  <c r="S345" i="19" a="1"/>
  <c r="S345" i="19" s="1"/>
  <c r="Q345" i="19" a="1"/>
  <c r="Q345" i="19" s="1"/>
  <c r="P345" i="19"/>
  <c r="O345" i="19" a="1"/>
  <c r="O345" i="19" s="1"/>
  <c r="N345" i="19" a="1"/>
  <c r="N345" i="19" s="1"/>
  <c r="L345" i="19" a="1"/>
  <c r="L345" i="19" s="1"/>
  <c r="K345" i="19"/>
  <c r="J345" i="19" a="1"/>
  <c r="J345" i="19" s="1"/>
  <c r="I345" i="19" a="1"/>
  <c r="I345" i="19" s="1"/>
  <c r="H345" i="19" a="1"/>
  <c r="H345" i="19" s="1"/>
  <c r="G345" i="19" a="1"/>
  <c r="G345" i="19" s="1"/>
  <c r="F345" i="19" a="1"/>
  <c r="F345" i="19" s="1"/>
  <c r="E345" i="19" a="1"/>
  <c r="E345" i="19" s="1"/>
  <c r="D345" i="19" a="1"/>
  <c r="D345" i="19" s="1"/>
  <c r="C345" i="19" a="1"/>
  <c r="C345" i="19" s="1"/>
  <c r="B345" i="19" a="1"/>
  <c r="B345" i="19" s="1"/>
  <c r="U344" i="19" a="1"/>
  <c r="U344" i="19" s="1"/>
  <c r="T344" i="19" a="1"/>
  <c r="T344" i="19" s="1"/>
  <c r="S344" i="19" a="1"/>
  <c r="S344" i="19" s="1"/>
  <c r="Q344" i="19" a="1"/>
  <c r="Q344" i="19" s="1"/>
  <c r="P344" i="19"/>
  <c r="O344" i="19" a="1"/>
  <c r="O344" i="19" s="1"/>
  <c r="N344" i="19" a="1"/>
  <c r="N344" i="19" s="1"/>
  <c r="L344" i="19" a="1"/>
  <c r="L344" i="19" s="1"/>
  <c r="K344" i="19"/>
  <c r="J344" i="19" a="1"/>
  <c r="J344" i="19" s="1"/>
  <c r="I344" i="19" a="1"/>
  <c r="I344" i="19" s="1"/>
  <c r="H344" i="19" a="1"/>
  <c r="H344" i="19" s="1"/>
  <c r="G344" i="19" a="1"/>
  <c r="G344" i="19" s="1"/>
  <c r="F344" i="19" a="1"/>
  <c r="F344" i="19" s="1"/>
  <c r="E344" i="19" a="1"/>
  <c r="E344" i="19" s="1"/>
  <c r="D344" i="19" a="1"/>
  <c r="D344" i="19" s="1"/>
  <c r="C344" i="19" a="1"/>
  <c r="C344" i="19" s="1"/>
  <c r="B344" i="19" a="1"/>
  <c r="B344" i="19" s="1"/>
  <c r="U343" i="19" a="1"/>
  <c r="U343" i="19" s="1"/>
  <c r="T343" i="19" a="1"/>
  <c r="T343" i="19" s="1"/>
  <c r="S343" i="19" a="1"/>
  <c r="S343" i="19" s="1"/>
  <c r="Q343" i="19" a="1"/>
  <c r="Q343" i="19" s="1"/>
  <c r="P343" i="19"/>
  <c r="O343" i="19" a="1"/>
  <c r="O343" i="19" s="1"/>
  <c r="N343" i="19" a="1"/>
  <c r="N343" i="19" s="1"/>
  <c r="L343" i="19" a="1"/>
  <c r="L343" i="19" s="1"/>
  <c r="K343" i="19"/>
  <c r="J343" i="19" a="1"/>
  <c r="J343" i="19" s="1"/>
  <c r="I343" i="19" a="1"/>
  <c r="I343" i="19" s="1"/>
  <c r="H343" i="19" a="1"/>
  <c r="H343" i="19" s="1"/>
  <c r="G343" i="19" a="1"/>
  <c r="G343" i="19" s="1"/>
  <c r="F343" i="19" a="1"/>
  <c r="F343" i="19" s="1"/>
  <c r="E343" i="19" a="1"/>
  <c r="E343" i="19" s="1"/>
  <c r="D343" i="19" a="1"/>
  <c r="D343" i="19" s="1"/>
  <c r="C343" i="19" a="1"/>
  <c r="C343" i="19" s="1"/>
  <c r="B343" i="19" a="1"/>
  <c r="B343" i="19" s="1"/>
  <c r="U342" i="19" a="1"/>
  <c r="U342" i="19" s="1"/>
  <c r="T342" i="19" a="1"/>
  <c r="T342" i="19" s="1"/>
  <c r="S342" i="19" a="1"/>
  <c r="S342" i="19" s="1"/>
  <c r="Q342" i="19" a="1"/>
  <c r="Q342" i="19" s="1"/>
  <c r="P342" i="19"/>
  <c r="O342" i="19" a="1"/>
  <c r="O342" i="19" s="1"/>
  <c r="N342" i="19" a="1"/>
  <c r="N342" i="19" s="1"/>
  <c r="L342" i="19" a="1"/>
  <c r="L342" i="19" s="1"/>
  <c r="K342" i="19"/>
  <c r="J342" i="19" a="1"/>
  <c r="J342" i="19" s="1"/>
  <c r="I342" i="19" a="1"/>
  <c r="I342" i="19" s="1"/>
  <c r="H342" i="19" a="1"/>
  <c r="H342" i="19" s="1"/>
  <c r="G342" i="19" a="1"/>
  <c r="G342" i="19" s="1"/>
  <c r="F342" i="19" a="1"/>
  <c r="F342" i="19" s="1"/>
  <c r="E342" i="19" a="1"/>
  <c r="E342" i="19" s="1"/>
  <c r="D342" i="19" a="1"/>
  <c r="D342" i="19" s="1"/>
  <c r="C342" i="19" a="1"/>
  <c r="C342" i="19" s="1"/>
  <c r="B342" i="19" a="1"/>
  <c r="B342" i="19" s="1"/>
  <c r="U341" i="19" a="1"/>
  <c r="U341" i="19" s="1"/>
  <c r="T341" i="19" a="1"/>
  <c r="T341" i="19" s="1"/>
  <c r="S341" i="19" a="1"/>
  <c r="S341" i="19" s="1"/>
  <c r="Q341" i="19" a="1"/>
  <c r="Q341" i="19" s="1"/>
  <c r="P341" i="19"/>
  <c r="O341" i="19" a="1"/>
  <c r="O341" i="19" s="1"/>
  <c r="N341" i="19" a="1"/>
  <c r="N341" i="19" s="1"/>
  <c r="L341" i="19" a="1"/>
  <c r="L341" i="19" s="1"/>
  <c r="K341" i="19"/>
  <c r="J341" i="19" a="1"/>
  <c r="J341" i="19" s="1"/>
  <c r="I341" i="19" a="1"/>
  <c r="I341" i="19" s="1"/>
  <c r="H341" i="19" a="1"/>
  <c r="H341" i="19" s="1"/>
  <c r="G341" i="19" a="1"/>
  <c r="G341" i="19" s="1"/>
  <c r="F341" i="19" a="1"/>
  <c r="F341" i="19" s="1"/>
  <c r="E341" i="19" a="1"/>
  <c r="E341" i="19" s="1"/>
  <c r="D341" i="19" a="1"/>
  <c r="D341" i="19" s="1"/>
  <c r="C341" i="19" a="1"/>
  <c r="C341" i="19" s="1"/>
  <c r="B341" i="19" a="1"/>
  <c r="B341" i="19" s="1"/>
  <c r="U340" i="19" a="1"/>
  <c r="U340" i="19" s="1"/>
  <c r="T340" i="19" a="1"/>
  <c r="T340" i="19" s="1"/>
  <c r="S340" i="19" a="1"/>
  <c r="S340" i="19" s="1"/>
  <c r="Q340" i="19" a="1"/>
  <c r="Q340" i="19" s="1"/>
  <c r="P340" i="19"/>
  <c r="O340" i="19" a="1"/>
  <c r="O340" i="19" s="1"/>
  <c r="N340" i="19" a="1"/>
  <c r="N340" i="19" s="1"/>
  <c r="L340" i="19" a="1"/>
  <c r="L340" i="19" s="1"/>
  <c r="K340" i="19"/>
  <c r="J340" i="19" a="1"/>
  <c r="J340" i="19" s="1"/>
  <c r="I340" i="19" a="1"/>
  <c r="I340" i="19" s="1"/>
  <c r="H340" i="19" a="1"/>
  <c r="H340" i="19" s="1"/>
  <c r="G340" i="19" a="1"/>
  <c r="G340" i="19" s="1"/>
  <c r="F340" i="19" a="1"/>
  <c r="F340" i="19" s="1"/>
  <c r="E340" i="19" a="1"/>
  <c r="E340" i="19" s="1"/>
  <c r="D340" i="19" a="1"/>
  <c r="D340" i="19" s="1"/>
  <c r="C340" i="19" a="1"/>
  <c r="C340" i="19" s="1"/>
  <c r="B340" i="19" a="1"/>
  <c r="B340" i="19" s="1"/>
  <c r="U339" i="19" a="1"/>
  <c r="U339" i="19" s="1"/>
  <c r="T339" i="19" a="1"/>
  <c r="T339" i="19" s="1"/>
  <c r="S339" i="19" a="1"/>
  <c r="S339" i="19" s="1"/>
  <c r="Q339" i="19" a="1"/>
  <c r="Q339" i="19" s="1"/>
  <c r="P339" i="19"/>
  <c r="O339" i="19" a="1"/>
  <c r="O339" i="19" s="1"/>
  <c r="N339" i="19" a="1"/>
  <c r="N339" i="19" s="1"/>
  <c r="L339" i="19" a="1"/>
  <c r="L339" i="19" s="1"/>
  <c r="K339" i="19"/>
  <c r="J339" i="19" a="1"/>
  <c r="J339" i="19" s="1"/>
  <c r="I339" i="19" a="1"/>
  <c r="I339" i="19" s="1"/>
  <c r="H339" i="19" a="1"/>
  <c r="H339" i="19" s="1"/>
  <c r="G339" i="19" a="1"/>
  <c r="G339" i="19" s="1"/>
  <c r="F339" i="19" a="1"/>
  <c r="F339" i="19" s="1"/>
  <c r="E339" i="19" a="1"/>
  <c r="E339" i="19" s="1"/>
  <c r="D339" i="19" a="1"/>
  <c r="D339" i="19" s="1"/>
  <c r="C339" i="19" a="1"/>
  <c r="C339" i="19" s="1"/>
  <c r="B339" i="19" a="1"/>
  <c r="B339" i="19" s="1"/>
  <c r="U338" i="19" a="1"/>
  <c r="U338" i="19" s="1"/>
  <c r="T338" i="19" a="1"/>
  <c r="T338" i="19" s="1"/>
  <c r="S338" i="19" a="1"/>
  <c r="S338" i="19" s="1"/>
  <c r="Q338" i="19" a="1"/>
  <c r="Q338" i="19" s="1"/>
  <c r="P338" i="19"/>
  <c r="O338" i="19" a="1"/>
  <c r="O338" i="19" s="1"/>
  <c r="N338" i="19" a="1"/>
  <c r="N338" i="19" s="1"/>
  <c r="L338" i="19" a="1"/>
  <c r="L338" i="19" s="1"/>
  <c r="K338" i="19"/>
  <c r="J338" i="19" a="1"/>
  <c r="J338" i="19" s="1"/>
  <c r="I338" i="19" a="1"/>
  <c r="I338" i="19" s="1"/>
  <c r="H338" i="19" a="1"/>
  <c r="H338" i="19" s="1"/>
  <c r="G338" i="19" a="1"/>
  <c r="G338" i="19" s="1"/>
  <c r="F338" i="19" a="1"/>
  <c r="F338" i="19" s="1"/>
  <c r="E338" i="19" a="1"/>
  <c r="E338" i="19" s="1"/>
  <c r="D338" i="19" a="1"/>
  <c r="D338" i="19" s="1"/>
  <c r="C338" i="19" a="1"/>
  <c r="C338" i="19" s="1"/>
  <c r="B338" i="19" a="1"/>
  <c r="B338" i="19" s="1"/>
  <c r="U337" i="19" a="1"/>
  <c r="U337" i="19" s="1"/>
  <c r="T337" i="19" a="1"/>
  <c r="T337" i="19" s="1"/>
  <c r="S337" i="19" a="1"/>
  <c r="S337" i="19" s="1"/>
  <c r="Q337" i="19" a="1"/>
  <c r="Q337" i="19" s="1"/>
  <c r="P337" i="19"/>
  <c r="O337" i="19" a="1"/>
  <c r="O337" i="19" s="1"/>
  <c r="N337" i="19" a="1"/>
  <c r="N337" i="19" s="1"/>
  <c r="L337" i="19" a="1"/>
  <c r="L337" i="19" s="1"/>
  <c r="K337" i="19"/>
  <c r="J337" i="19" a="1"/>
  <c r="J337" i="19" s="1"/>
  <c r="I337" i="19" a="1"/>
  <c r="I337" i="19" s="1"/>
  <c r="H337" i="19" a="1"/>
  <c r="H337" i="19" s="1"/>
  <c r="G337" i="19" a="1"/>
  <c r="G337" i="19" s="1"/>
  <c r="F337" i="19" a="1"/>
  <c r="F337" i="19" s="1"/>
  <c r="E337" i="19" a="1"/>
  <c r="E337" i="19" s="1"/>
  <c r="D337" i="19" a="1"/>
  <c r="D337" i="19" s="1"/>
  <c r="C337" i="19" a="1"/>
  <c r="C337" i="19" s="1"/>
  <c r="B337" i="19" a="1"/>
  <c r="B337" i="19" s="1"/>
  <c r="U336" i="19" a="1"/>
  <c r="U336" i="19" s="1"/>
  <c r="T336" i="19" a="1"/>
  <c r="T336" i="19" s="1"/>
  <c r="S336" i="19" a="1"/>
  <c r="S336" i="19" s="1"/>
  <c r="Q336" i="19" a="1"/>
  <c r="Q336" i="19" s="1"/>
  <c r="P336" i="19"/>
  <c r="O336" i="19" a="1"/>
  <c r="O336" i="19" s="1"/>
  <c r="N336" i="19" a="1"/>
  <c r="N336" i="19" s="1"/>
  <c r="L336" i="19" a="1"/>
  <c r="L336" i="19" s="1"/>
  <c r="K336" i="19"/>
  <c r="J336" i="19" a="1"/>
  <c r="J336" i="19" s="1"/>
  <c r="I336" i="19" a="1"/>
  <c r="I336" i="19" s="1"/>
  <c r="H336" i="19" a="1"/>
  <c r="H336" i="19" s="1"/>
  <c r="G336" i="19" a="1"/>
  <c r="G336" i="19" s="1"/>
  <c r="F336" i="19" a="1"/>
  <c r="F336" i="19" s="1"/>
  <c r="E336" i="19" a="1"/>
  <c r="E336" i="19" s="1"/>
  <c r="D336" i="19" a="1"/>
  <c r="D336" i="19" s="1"/>
  <c r="C336" i="19" a="1"/>
  <c r="C336" i="19" s="1"/>
  <c r="B336" i="19" a="1"/>
  <c r="B336" i="19" s="1"/>
  <c r="U335" i="19" a="1"/>
  <c r="U335" i="19" s="1"/>
  <c r="T335" i="19" a="1"/>
  <c r="T335" i="19" s="1"/>
  <c r="S335" i="19" a="1"/>
  <c r="S335" i="19" s="1"/>
  <c r="Q335" i="19" a="1"/>
  <c r="Q335" i="19" s="1"/>
  <c r="P335" i="19"/>
  <c r="O335" i="19" a="1"/>
  <c r="O335" i="19" s="1"/>
  <c r="N335" i="19" a="1"/>
  <c r="N335" i="19" s="1"/>
  <c r="L335" i="19" a="1"/>
  <c r="L335" i="19" s="1"/>
  <c r="K335" i="19"/>
  <c r="J335" i="19" a="1"/>
  <c r="J335" i="19" s="1"/>
  <c r="I335" i="19" a="1"/>
  <c r="I335" i="19" s="1"/>
  <c r="H335" i="19" a="1"/>
  <c r="H335" i="19" s="1"/>
  <c r="G335" i="19" a="1"/>
  <c r="G335" i="19" s="1"/>
  <c r="F335" i="19" a="1"/>
  <c r="F335" i="19" s="1"/>
  <c r="E335" i="19" a="1"/>
  <c r="E335" i="19" s="1"/>
  <c r="D335" i="19" a="1"/>
  <c r="D335" i="19" s="1"/>
  <c r="C335" i="19" a="1"/>
  <c r="C335" i="19" s="1"/>
  <c r="B335" i="19" a="1"/>
  <c r="B335" i="19" s="1"/>
  <c r="U334" i="19" a="1"/>
  <c r="U334" i="19" s="1"/>
  <c r="T334" i="19" a="1"/>
  <c r="T334" i="19" s="1"/>
  <c r="S334" i="19" a="1"/>
  <c r="S334" i="19" s="1"/>
  <c r="Q334" i="19" a="1"/>
  <c r="Q334" i="19" s="1"/>
  <c r="P334" i="19"/>
  <c r="O334" i="19" a="1"/>
  <c r="O334" i="19" s="1"/>
  <c r="N334" i="19" a="1"/>
  <c r="N334" i="19" s="1"/>
  <c r="L334" i="19" a="1"/>
  <c r="L334" i="19" s="1"/>
  <c r="K334" i="19"/>
  <c r="J334" i="19" a="1"/>
  <c r="J334" i="19" s="1"/>
  <c r="I334" i="19" a="1"/>
  <c r="I334" i="19" s="1"/>
  <c r="H334" i="19" a="1"/>
  <c r="H334" i="19" s="1"/>
  <c r="G334" i="19" a="1"/>
  <c r="G334" i="19" s="1"/>
  <c r="F334" i="19" a="1"/>
  <c r="F334" i="19" s="1"/>
  <c r="E334" i="19" a="1"/>
  <c r="E334" i="19" s="1"/>
  <c r="D334" i="19" a="1"/>
  <c r="D334" i="19" s="1"/>
  <c r="C334" i="19" a="1"/>
  <c r="C334" i="19" s="1"/>
  <c r="B334" i="19" a="1"/>
  <c r="B334" i="19" s="1"/>
  <c r="U333" i="19" a="1"/>
  <c r="U333" i="19" s="1"/>
  <c r="T333" i="19" a="1"/>
  <c r="T333" i="19" s="1"/>
  <c r="S333" i="19" a="1"/>
  <c r="S333" i="19" s="1"/>
  <c r="Q333" i="19" a="1"/>
  <c r="Q333" i="19" s="1"/>
  <c r="P333" i="19"/>
  <c r="O333" i="19" a="1"/>
  <c r="O333" i="19" s="1"/>
  <c r="N333" i="19" a="1"/>
  <c r="N333" i="19" s="1"/>
  <c r="L333" i="19" a="1"/>
  <c r="L333" i="19" s="1"/>
  <c r="K333" i="19"/>
  <c r="J333" i="19" a="1"/>
  <c r="J333" i="19" s="1"/>
  <c r="I333" i="19" a="1"/>
  <c r="I333" i="19" s="1"/>
  <c r="H333" i="19" a="1"/>
  <c r="H333" i="19" s="1"/>
  <c r="G333" i="19" a="1"/>
  <c r="G333" i="19" s="1"/>
  <c r="F333" i="19" a="1"/>
  <c r="F333" i="19" s="1"/>
  <c r="E333" i="19" a="1"/>
  <c r="E333" i="19" s="1"/>
  <c r="D333" i="19" a="1"/>
  <c r="D333" i="19" s="1"/>
  <c r="C333" i="19" a="1"/>
  <c r="C333" i="19" s="1"/>
  <c r="B333" i="19" a="1"/>
  <c r="B333" i="19" s="1"/>
  <c r="U332" i="19" a="1"/>
  <c r="U332" i="19" s="1"/>
  <c r="T332" i="19" a="1"/>
  <c r="T332" i="19" s="1"/>
  <c r="S332" i="19" a="1"/>
  <c r="S332" i="19" s="1"/>
  <c r="Q332" i="19" a="1"/>
  <c r="Q332" i="19" s="1"/>
  <c r="P332" i="19"/>
  <c r="O332" i="19" a="1"/>
  <c r="O332" i="19" s="1"/>
  <c r="N332" i="19" a="1"/>
  <c r="N332" i="19" s="1"/>
  <c r="L332" i="19" a="1"/>
  <c r="L332" i="19" s="1"/>
  <c r="K332" i="19"/>
  <c r="J332" i="19" a="1"/>
  <c r="J332" i="19" s="1"/>
  <c r="I332" i="19" a="1"/>
  <c r="I332" i="19" s="1"/>
  <c r="H332" i="19" a="1"/>
  <c r="H332" i="19" s="1"/>
  <c r="G332" i="19" a="1"/>
  <c r="G332" i="19" s="1"/>
  <c r="F332" i="19" a="1"/>
  <c r="F332" i="19" s="1"/>
  <c r="E332" i="19" a="1"/>
  <c r="E332" i="19" s="1"/>
  <c r="D332" i="19" a="1"/>
  <c r="D332" i="19" s="1"/>
  <c r="C332" i="19" a="1"/>
  <c r="C332" i="19" s="1"/>
  <c r="B332" i="19" a="1"/>
  <c r="B332" i="19" s="1"/>
  <c r="U331" i="19" a="1"/>
  <c r="U331" i="19" s="1"/>
  <c r="T331" i="19" a="1"/>
  <c r="T331" i="19" s="1"/>
  <c r="S331" i="19" a="1"/>
  <c r="S331" i="19" s="1"/>
  <c r="Q331" i="19" a="1"/>
  <c r="Q331" i="19" s="1"/>
  <c r="P331" i="19"/>
  <c r="O331" i="19" a="1"/>
  <c r="O331" i="19" s="1"/>
  <c r="N331" i="19" a="1"/>
  <c r="N331" i="19" s="1"/>
  <c r="L331" i="19" a="1"/>
  <c r="L331" i="19" s="1"/>
  <c r="K331" i="19"/>
  <c r="J331" i="19" a="1"/>
  <c r="J331" i="19" s="1"/>
  <c r="I331" i="19" a="1"/>
  <c r="I331" i="19" s="1"/>
  <c r="H331" i="19" a="1"/>
  <c r="H331" i="19" s="1"/>
  <c r="G331" i="19" a="1"/>
  <c r="G331" i="19" s="1"/>
  <c r="F331" i="19" a="1"/>
  <c r="F331" i="19" s="1"/>
  <c r="E331" i="19" a="1"/>
  <c r="E331" i="19" s="1"/>
  <c r="D331" i="19" a="1"/>
  <c r="D331" i="19" s="1"/>
  <c r="C331" i="19" a="1"/>
  <c r="C331" i="19" s="1"/>
  <c r="B331" i="19" a="1"/>
  <c r="B331" i="19" s="1"/>
  <c r="U330" i="19" a="1"/>
  <c r="U330" i="19" s="1"/>
  <c r="T330" i="19" a="1"/>
  <c r="T330" i="19" s="1"/>
  <c r="S330" i="19" a="1"/>
  <c r="S330" i="19" s="1"/>
  <c r="Q330" i="19" a="1"/>
  <c r="Q330" i="19" s="1"/>
  <c r="P330" i="19"/>
  <c r="O330" i="19" a="1"/>
  <c r="O330" i="19" s="1"/>
  <c r="N330" i="19" a="1"/>
  <c r="N330" i="19" s="1"/>
  <c r="L330" i="19" a="1"/>
  <c r="L330" i="19" s="1"/>
  <c r="K330" i="19"/>
  <c r="J330" i="19" a="1"/>
  <c r="J330" i="19" s="1"/>
  <c r="I330" i="19" a="1"/>
  <c r="I330" i="19" s="1"/>
  <c r="H330" i="19" a="1"/>
  <c r="H330" i="19" s="1"/>
  <c r="G330" i="19" a="1"/>
  <c r="G330" i="19" s="1"/>
  <c r="F330" i="19" a="1"/>
  <c r="F330" i="19" s="1"/>
  <c r="E330" i="19" a="1"/>
  <c r="E330" i="19" s="1"/>
  <c r="D330" i="19" a="1"/>
  <c r="D330" i="19" s="1"/>
  <c r="C330" i="19" a="1"/>
  <c r="C330" i="19" s="1"/>
  <c r="B330" i="19" a="1"/>
  <c r="B330" i="19" s="1"/>
  <c r="U329" i="19" a="1"/>
  <c r="U329" i="19" s="1"/>
  <c r="T329" i="19" a="1"/>
  <c r="T329" i="19" s="1"/>
  <c r="S329" i="19" a="1"/>
  <c r="S329" i="19" s="1"/>
  <c r="Q329" i="19" a="1"/>
  <c r="Q329" i="19" s="1"/>
  <c r="P329" i="19"/>
  <c r="O329" i="19" a="1"/>
  <c r="O329" i="19" s="1"/>
  <c r="N329" i="19" a="1"/>
  <c r="N329" i="19" s="1"/>
  <c r="L329" i="19" a="1"/>
  <c r="L329" i="19" s="1"/>
  <c r="K329" i="19"/>
  <c r="J329" i="19" a="1"/>
  <c r="J329" i="19" s="1"/>
  <c r="I329" i="19" a="1"/>
  <c r="I329" i="19" s="1"/>
  <c r="H329" i="19" a="1"/>
  <c r="H329" i="19" s="1"/>
  <c r="G329" i="19" a="1"/>
  <c r="G329" i="19" s="1"/>
  <c r="F329" i="19" a="1"/>
  <c r="F329" i="19" s="1"/>
  <c r="E329" i="19" a="1"/>
  <c r="E329" i="19" s="1"/>
  <c r="D329" i="19" a="1"/>
  <c r="D329" i="19" s="1"/>
  <c r="C329" i="19" a="1"/>
  <c r="C329" i="19" s="1"/>
  <c r="B329" i="19" a="1"/>
  <c r="B329" i="19" s="1"/>
  <c r="U328" i="19" a="1"/>
  <c r="U328" i="19" s="1"/>
  <c r="T328" i="19" a="1"/>
  <c r="T328" i="19" s="1"/>
  <c r="S328" i="19" a="1"/>
  <c r="S328" i="19" s="1"/>
  <c r="Q328" i="19" a="1"/>
  <c r="Q328" i="19" s="1"/>
  <c r="P328" i="19"/>
  <c r="O328" i="19" a="1"/>
  <c r="O328" i="19" s="1"/>
  <c r="N328" i="19" a="1"/>
  <c r="N328" i="19" s="1"/>
  <c r="L328" i="19" a="1"/>
  <c r="L328" i="19" s="1"/>
  <c r="K328" i="19"/>
  <c r="J328" i="19" a="1"/>
  <c r="J328" i="19" s="1"/>
  <c r="I328" i="19" a="1"/>
  <c r="I328" i="19" s="1"/>
  <c r="H328" i="19" a="1"/>
  <c r="H328" i="19" s="1"/>
  <c r="G328" i="19" a="1"/>
  <c r="G328" i="19" s="1"/>
  <c r="F328" i="19" a="1"/>
  <c r="F328" i="19" s="1"/>
  <c r="E328" i="19" a="1"/>
  <c r="E328" i="19" s="1"/>
  <c r="D328" i="19" a="1"/>
  <c r="D328" i="19" s="1"/>
  <c r="C328" i="19" a="1"/>
  <c r="C328" i="19" s="1"/>
  <c r="B328" i="19" a="1"/>
  <c r="B328" i="19" s="1"/>
  <c r="U327" i="19" a="1"/>
  <c r="U327" i="19" s="1"/>
  <c r="T327" i="19" a="1"/>
  <c r="T327" i="19" s="1"/>
  <c r="S327" i="19" a="1"/>
  <c r="S327" i="19" s="1"/>
  <c r="Q327" i="19" a="1"/>
  <c r="Q327" i="19" s="1"/>
  <c r="P327" i="19"/>
  <c r="O327" i="19" a="1"/>
  <c r="O327" i="19" s="1"/>
  <c r="N327" i="19" a="1"/>
  <c r="N327" i="19" s="1"/>
  <c r="L327" i="19" a="1"/>
  <c r="L327" i="19" s="1"/>
  <c r="K327" i="19"/>
  <c r="J327" i="19" a="1"/>
  <c r="J327" i="19" s="1"/>
  <c r="I327" i="19" a="1"/>
  <c r="I327" i="19" s="1"/>
  <c r="H327" i="19" a="1"/>
  <c r="H327" i="19" s="1"/>
  <c r="G327" i="19" a="1"/>
  <c r="G327" i="19" s="1"/>
  <c r="F327" i="19" a="1"/>
  <c r="F327" i="19" s="1"/>
  <c r="E327" i="19" a="1"/>
  <c r="E327" i="19" s="1"/>
  <c r="D327" i="19" a="1"/>
  <c r="D327" i="19" s="1"/>
  <c r="C327" i="19" a="1"/>
  <c r="C327" i="19" s="1"/>
  <c r="B327" i="19" a="1"/>
  <c r="B327" i="19" s="1"/>
  <c r="U326" i="19" a="1"/>
  <c r="U326" i="19" s="1"/>
  <c r="T326" i="19" a="1"/>
  <c r="T326" i="19" s="1"/>
  <c r="S326" i="19" a="1"/>
  <c r="S326" i="19" s="1"/>
  <c r="Q326" i="19" a="1"/>
  <c r="Q326" i="19" s="1"/>
  <c r="P326" i="19"/>
  <c r="O326" i="19" a="1"/>
  <c r="O326" i="19" s="1"/>
  <c r="N326" i="19" a="1"/>
  <c r="N326" i="19" s="1"/>
  <c r="L326" i="19" a="1"/>
  <c r="L326" i="19" s="1"/>
  <c r="K326" i="19"/>
  <c r="J326" i="19" a="1"/>
  <c r="J326" i="19" s="1"/>
  <c r="I326" i="19" a="1"/>
  <c r="I326" i="19" s="1"/>
  <c r="H326" i="19" a="1"/>
  <c r="H326" i="19" s="1"/>
  <c r="G326" i="19" a="1"/>
  <c r="G326" i="19" s="1"/>
  <c r="F326" i="19" a="1"/>
  <c r="F326" i="19" s="1"/>
  <c r="E326" i="19" a="1"/>
  <c r="E326" i="19" s="1"/>
  <c r="D326" i="19" a="1"/>
  <c r="D326" i="19" s="1"/>
  <c r="C326" i="19" a="1"/>
  <c r="C326" i="19" s="1"/>
  <c r="B326" i="19" a="1"/>
  <c r="B326" i="19" s="1"/>
  <c r="U325" i="19" a="1"/>
  <c r="U325" i="19" s="1"/>
  <c r="T325" i="19" a="1"/>
  <c r="T325" i="19" s="1"/>
  <c r="S325" i="19" a="1"/>
  <c r="S325" i="19" s="1"/>
  <c r="Q325" i="19" a="1"/>
  <c r="Q325" i="19" s="1"/>
  <c r="P325" i="19"/>
  <c r="O325" i="19" a="1"/>
  <c r="O325" i="19" s="1"/>
  <c r="N325" i="19" a="1"/>
  <c r="N325" i="19" s="1"/>
  <c r="L325" i="19" a="1"/>
  <c r="L325" i="19" s="1"/>
  <c r="K325" i="19"/>
  <c r="J325" i="19" a="1"/>
  <c r="J325" i="19" s="1"/>
  <c r="I325" i="19" a="1"/>
  <c r="I325" i="19" s="1"/>
  <c r="H325" i="19" a="1"/>
  <c r="H325" i="19" s="1"/>
  <c r="G325" i="19" a="1"/>
  <c r="G325" i="19" s="1"/>
  <c r="F325" i="19" a="1"/>
  <c r="F325" i="19" s="1"/>
  <c r="E325" i="19" a="1"/>
  <c r="E325" i="19" s="1"/>
  <c r="D325" i="19" a="1"/>
  <c r="D325" i="19" s="1"/>
  <c r="C325" i="19" a="1"/>
  <c r="C325" i="19" s="1"/>
  <c r="B325" i="19" a="1"/>
  <c r="B325" i="19" s="1"/>
  <c r="U324" i="19" a="1"/>
  <c r="U324" i="19" s="1"/>
  <c r="T324" i="19" a="1"/>
  <c r="T324" i="19" s="1"/>
  <c r="S324" i="19" a="1"/>
  <c r="S324" i="19" s="1"/>
  <c r="Q324" i="19" a="1"/>
  <c r="Q324" i="19" s="1"/>
  <c r="P324" i="19"/>
  <c r="O324" i="19" a="1"/>
  <c r="O324" i="19" s="1"/>
  <c r="N324" i="19" a="1"/>
  <c r="N324" i="19" s="1"/>
  <c r="L324" i="19" a="1"/>
  <c r="L324" i="19" s="1"/>
  <c r="K324" i="19"/>
  <c r="J324" i="19" a="1"/>
  <c r="J324" i="19" s="1"/>
  <c r="I324" i="19" a="1"/>
  <c r="I324" i="19" s="1"/>
  <c r="H324" i="19" a="1"/>
  <c r="H324" i="19" s="1"/>
  <c r="G324" i="19" a="1"/>
  <c r="G324" i="19" s="1"/>
  <c r="F324" i="19" a="1"/>
  <c r="F324" i="19" s="1"/>
  <c r="E324" i="19" a="1"/>
  <c r="E324" i="19" s="1"/>
  <c r="D324" i="19" a="1"/>
  <c r="D324" i="19" s="1"/>
  <c r="C324" i="19" a="1"/>
  <c r="C324" i="19" s="1"/>
  <c r="B324" i="19" a="1"/>
  <c r="B324" i="19" s="1"/>
  <c r="U323" i="19" a="1"/>
  <c r="U323" i="19" s="1"/>
  <c r="T323" i="19" a="1"/>
  <c r="T323" i="19" s="1"/>
  <c r="S323" i="19" a="1"/>
  <c r="S323" i="19" s="1"/>
  <c r="Q323" i="19" a="1"/>
  <c r="Q323" i="19" s="1"/>
  <c r="P323" i="19"/>
  <c r="O323" i="19" a="1"/>
  <c r="O323" i="19" s="1"/>
  <c r="N323" i="19" a="1"/>
  <c r="N323" i="19" s="1"/>
  <c r="L323" i="19" a="1"/>
  <c r="L323" i="19" s="1"/>
  <c r="K323" i="19"/>
  <c r="J323" i="19" a="1"/>
  <c r="J323" i="19" s="1"/>
  <c r="I323" i="19" a="1"/>
  <c r="I323" i="19" s="1"/>
  <c r="H323" i="19" a="1"/>
  <c r="H323" i="19" s="1"/>
  <c r="G323" i="19" a="1"/>
  <c r="G323" i="19" s="1"/>
  <c r="F323" i="19" a="1"/>
  <c r="F323" i="19" s="1"/>
  <c r="E323" i="19" a="1"/>
  <c r="E323" i="19" s="1"/>
  <c r="D323" i="19" a="1"/>
  <c r="D323" i="19" s="1"/>
  <c r="C323" i="19" a="1"/>
  <c r="C323" i="19" s="1"/>
  <c r="B323" i="19" a="1"/>
  <c r="B323" i="19" s="1"/>
  <c r="U322" i="19" a="1"/>
  <c r="U322" i="19" s="1"/>
  <c r="T322" i="19" a="1"/>
  <c r="T322" i="19" s="1"/>
  <c r="S322" i="19" a="1"/>
  <c r="S322" i="19" s="1"/>
  <c r="Q322" i="19" a="1"/>
  <c r="Q322" i="19" s="1"/>
  <c r="P322" i="19"/>
  <c r="O322" i="19" a="1"/>
  <c r="O322" i="19" s="1"/>
  <c r="N322" i="19" a="1"/>
  <c r="N322" i="19" s="1"/>
  <c r="L322" i="19" a="1"/>
  <c r="L322" i="19" s="1"/>
  <c r="K322" i="19"/>
  <c r="J322" i="19" a="1"/>
  <c r="J322" i="19" s="1"/>
  <c r="I322" i="19" a="1"/>
  <c r="I322" i="19" s="1"/>
  <c r="H322" i="19" a="1"/>
  <c r="H322" i="19" s="1"/>
  <c r="G322" i="19" a="1"/>
  <c r="G322" i="19" s="1"/>
  <c r="F322" i="19" a="1"/>
  <c r="F322" i="19" s="1"/>
  <c r="E322" i="19" a="1"/>
  <c r="E322" i="19" s="1"/>
  <c r="D322" i="19" a="1"/>
  <c r="D322" i="19" s="1"/>
  <c r="C322" i="19" a="1"/>
  <c r="C322" i="19" s="1"/>
  <c r="B322" i="19" a="1"/>
  <c r="B322" i="19" s="1"/>
  <c r="U321" i="19" a="1"/>
  <c r="U321" i="19" s="1"/>
  <c r="T321" i="19" a="1"/>
  <c r="T321" i="19" s="1"/>
  <c r="S321" i="19" a="1"/>
  <c r="S321" i="19" s="1"/>
  <c r="Q321" i="19" a="1"/>
  <c r="Q321" i="19" s="1"/>
  <c r="P321" i="19"/>
  <c r="O321" i="19" a="1"/>
  <c r="O321" i="19" s="1"/>
  <c r="N321" i="19" a="1"/>
  <c r="N321" i="19" s="1"/>
  <c r="L321" i="19" a="1"/>
  <c r="L321" i="19" s="1"/>
  <c r="K321" i="19"/>
  <c r="J321" i="19" a="1"/>
  <c r="J321" i="19" s="1"/>
  <c r="I321" i="19" a="1"/>
  <c r="I321" i="19" s="1"/>
  <c r="H321" i="19" a="1"/>
  <c r="H321" i="19" s="1"/>
  <c r="G321" i="19" a="1"/>
  <c r="G321" i="19" s="1"/>
  <c r="F321" i="19" a="1"/>
  <c r="F321" i="19" s="1"/>
  <c r="E321" i="19" a="1"/>
  <c r="E321" i="19" s="1"/>
  <c r="D321" i="19" a="1"/>
  <c r="D321" i="19" s="1"/>
  <c r="C321" i="19" a="1"/>
  <c r="C321" i="19" s="1"/>
  <c r="B321" i="19" a="1"/>
  <c r="B321" i="19" s="1"/>
  <c r="U320" i="19" a="1"/>
  <c r="U320" i="19" s="1"/>
  <c r="T320" i="19" a="1"/>
  <c r="T320" i="19" s="1"/>
  <c r="S320" i="19" a="1"/>
  <c r="S320" i="19" s="1"/>
  <c r="Q320" i="19" a="1"/>
  <c r="Q320" i="19" s="1"/>
  <c r="P320" i="19"/>
  <c r="O320" i="19" a="1"/>
  <c r="O320" i="19" s="1"/>
  <c r="N320" i="19" a="1"/>
  <c r="N320" i="19" s="1"/>
  <c r="L320" i="19" a="1"/>
  <c r="L320" i="19" s="1"/>
  <c r="K320" i="19"/>
  <c r="J320" i="19" a="1"/>
  <c r="J320" i="19" s="1"/>
  <c r="I320" i="19" a="1"/>
  <c r="I320" i="19" s="1"/>
  <c r="H320" i="19" a="1"/>
  <c r="H320" i="19" s="1"/>
  <c r="G320" i="19" a="1"/>
  <c r="G320" i="19" s="1"/>
  <c r="F320" i="19" a="1"/>
  <c r="F320" i="19" s="1"/>
  <c r="E320" i="19" a="1"/>
  <c r="E320" i="19" s="1"/>
  <c r="D320" i="19" a="1"/>
  <c r="D320" i="19" s="1"/>
  <c r="C320" i="19" a="1"/>
  <c r="C320" i="19" s="1"/>
  <c r="B320" i="19" a="1"/>
  <c r="B320" i="19" s="1"/>
  <c r="U319" i="19" a="1"/>
  <c r="U319" i="19" s="1"/>
  <c r="T319" i="19" a="1"/>
  <c r="T319" i="19" s="1"/>
  <c r="S319" i="19" a="1"/>
  <c r="S319" i="19" s="1"/>
  <c r="Q319" i="19" a="1"/>
  <c r="Q319" i="19" s="1"/>
  <c r="P319" i="19"/>
  <c r="O319" i="19" a="1"/>
  <c r="O319" i="19" s="1"/>
  <c r="N319" i="19" a="1"/>
  <c r="N319" i="19" s="1"/>
  <c r="L319" i="19" a="1"/>
  <c r="L319" i="19" s="1"/>
  <c r="K319" i="19"/>
  <c r="J319" i="19" a="1"/>
  <c r="J319" i="19" s="1"/>
  <c r="I319" i="19" a="1"/>
  <c r="I319" i="19" s="1"/>
  <c r="H319" i="19" a="1"/>
  <c r="H319" i="19" s="1"/>
  <c r="G319" i="19" a="1"/>
  <c r="G319" i="19" s="1"/>
  <c r="F319" i="19" a="1"/>
  <c r="F319" i="19" s="1"/>
  <c r="E319" i="19" a="1"/>
  <c r="E319" i="19" s="1"/>
  <c r="D319" i="19" a="1"/>
  <c r="D319" i="19" s="1"/>
  <c r="C319" i="19" a="1"/>
  <c r="C319" i="19" s="1"/>
  <c r="B319" i="19" a="1"/>
  <c r="B319" i="19" s="1"/>
  <c r="U318" i="19" a="1"/>
  <c r="U318" i="19" s="1"/>
  <c r="T318" i="19" a="1"/>
  <c r="T318" i="19" s="1"/>
  <c r="S318" i="19" a="1"/>
  <c r="S318" i="19" s="1"/>
  <c r="Q318" i="19" a="1"/>
  <c r="Q318" i="19" s="1"/>
  <c r="P318" i="19"/>
  <c r="O318" i="19" a="1"/>
  <c r="O318" i="19" s="1"/>
  <c r="N318" i="19" a="1"/>
  <c r="N318" i="19" s="1"/>
  <c r="L318" i="19" a="1"/>
  <c r="L318" i="19" s="1"/>
  <c r="K318" i="19"/>
  <c r="J318" i="19" a="1"/>
  <c r="J318" i="19" s="1"/>
  <c r="I318" i="19" a="1"/>
  <c r="I318" i="19" s="1"/>
  <c r="H318" i="19" a="1"/>
  <c r="H318" i="19" s="1"/>
  <c r="G318" i="19" a="1"/>
  <c r="G318" i="19" s="1"/>
  <c r="F318" i="19" a="1"/>
  <c r="F318" i="19" s="1"/>
  <c r="E318" i="19" a="1"/>
  <c r="E318" i="19" s="1"/>
  <c r="D318" i="19" a="1"/>
  <c r="D318" i="19" s="1"/>
  <c r="C318" i="19" a="1"/>
  <c r="C318" i="19" s="1"/>
  <c r="B318" i="19" a="1"/>
  <c r="B318" i="19" s="1"/>
  <c r="U317" i="19" a="1"/>
  <c r="U317" i="19" s="1"/>
  <c r="T317" i="19" a="1"/>
  <c r="T317" i="19" s="1"/>
  <c r="S317" i="19" a="1"/>
  <c r="S317" i="19" s="1"/>
  <c r="Q317" i="19" a="1"/>
  <c r="Q317" i="19" s="1"/>
  <c r="P317" i="19"/>
  <c r="O317" i="19" a="1"/>
  <c r="O317" i="19" s="1"/>
  <c r="N317" i="19" a="1"/>
  <c r="N317" i="19" s="1"/>
  <c r="L317" i="19" a="1"/>
  <c r="L317" i="19" s="1"/>
  <c r="K317" i="19"/>
  <c r="J317" i="19" a="1"/>
  <c r="J317" i="19" s="1"/>
  <c r="I317" i="19" a="1"/>
  <c r="I317" i="19" s="1"/>
  <c r="H317" i="19" a="1"/>
  <c r="H317" i="19" s="1"/>
  <c r="G317" i="19" a="1"/>
  <c r="G317" i="19" s="1"/>
  <c r="F317" i="19" a="1"/>
  <c r="F317" i="19" s="1"/>
  <c r="E317" i="19" a="1"/>
  <c r="E317" i="19" s="1"/>
  <c r="D317" i="19" a="1"/>
  <c r="D317" i="19" s="1"/>
  <c r="C317" i="19" a="1"/>
  <c r="C317" i="19" s="1"/>
  <c r="B317" i="19" a="1"/>
  <c r="B317" i="19" s="1"/>
  <c r="U316" i="19" a="1"/>
  <c r="U316" i="19" s="1"/>
  <c r="T316" i="19" a="1"/>
  <c r="T316" i="19" s="1"/>
  <c r="S316" i="19" a="1"/>
  <c r="S316" i="19" s="1"/>
  <c r="Q316" i="19" a="1"/>
  <c r="Q316" i="19" s="1"/>
  <c r="P316" i="19"/>
  <c r="O316" i="19" a="1"/>
  <c r="O316" i="19" s="1"/>
  <c r="N316" i="19" a="1"/>
  <c r="N316" i="19" s="1"/>
  <c r="L316" i="19" a="1"/>
  <c r="L316" i="19" s="1"/>
  <c r="K316" i="19"/>
  <c r="J316" i="19" a="1"/>
  <c r="J316" i="19" s="1"/>
  <c r="I316" i="19" a="1"/>
  <c r="I316" i="19" s="1"/>
  <c r="H316" i="19" a="1"/>
  <c r="H316" i="19" s="1"/>
  <c r="G316" i="19" a="1"/>
  <c r="G316" i="19" s="1"/>
  <c r="F316" i="19" a="1"/>
  <c r="F316" i="19" s="1"/>
  <c r="E316" i="19" a="1"/>
  <c r="E316" i="19" s="1"/>
  <c r="D316" i="19" a="1"/>
  <c r="D316" i="19" s="1"/>
  <c r="C316" i="19" a="1"/>
  <c r="C316" i="19" s="1"/>
  <c r="B316" i="19" a="1"/>
  <c r="B316" i="19" s="1"/>
  <c r="U315" i="19" a="1"/>
  <c r="U315" i="19" s="1"/>
  <c r="T315" i="19" a="1"/>
  <c r="T315" i="19" s="1"/>
  <c r="S315" i="19" a="1"/>
  <c r="S315" i="19" s="1"/>
  <c r="Q315" i="19" a="1"/>
  <c r="Q315" i="19" s="1"/>
  <c r="P315" i="19"/>
  <c r="O315" i="19" a="1"/>
  <c r="O315" i="19" s="1"/>
  <c r="N315" i="19" a="1"/>
  <c r="N315" i="19" s="1"/>
  <c r="L315" i="19" a="1"/>
  <c r="L315" i="19" s="1"/>
  <c r="K315" i="19"/>
  <c r="J315" i="19" a="1"/>
  <c r="J315" i="19" s="1"/>
  <c r="I315" i="19" a="1"/>
  <c r="I315" i="19" s="1"/>
  <c r="H315" i="19" a="1"/>
  <c r="H315" i="19" s="1"/>
  <c r="G315" i="19" a="1"/>
  <c r="G315" i="19" s="1"/>
  <c r="F315" i="19" a="1"/>
  <c r="F315" i="19" s="1"/>
  <c r="E315" i="19" a="1"/>
  <c r="E315" i="19" s="1"/>
  <c r="D315" i="19" a="1"/>
  <c r="D315" i="19" s="1"/>
  <c r="C315" i="19" a="1"/>
  <c r="C315" i="19" s="1"/>
  <c r="B315" i="19" a="1"/>
  <c r="B315" i="19" s="1"/>
  <c r="U314" i="19" a="1"/>
  <c r="U314" i="19" s="1"/>
  <c r="T314" i="19" a="1"/>
  <c r="T314" i="19" s="1"/>
  <c r="S314" i="19" a="1"/>
  <c r="S314" i="19" s="1"/>
  <c r="Q314" i="19" a="1"/>
  <c r="Q314" i="19" s="1"/>
  <c r="P314" i="19"/>
  <c r="O314" i="19" a="1"/>
  <c r="O314" i="19" s="1"/>
  <c r="N314" i="19" a="1"/>
  <c r="N314" i="19" s="1"/>
  <c r="L314" i="19" a="1"/>
  <c r="L314" i="19" s="1"/>
  <c r="K314" i="19"/>
  <c r="J314" i="19" a="1"/>
  <c r="J314" i="19" s="1"/>
  <c r="I314" i="19" a="1"/>
  <c r="I314" i="19" s="1"/>
  <c r="H314" i="19" a="1"/>
  <c r="H314" i="19" s="1"/>
  <c r="G314" i="19" a="1"/>
  <c r="G314" i="19" s="1"/>
  <c r="F314" i="19" a="1"/>
  <c r="F314" i="19" s="1"/>
  <c r="E314" i="19" a="1"/>
  <c r="E314" i="19" s="1"/>
  <c r="D314" i="19" a="1"/>
  <c r="D314" i="19" s="1"/>
  <c r="C314" i="19" a="1"/>
  <c r="C314" i="19" s="1"/>
  <c r="B314" i="19" a="1"/>
  <c r="B314" i="19" s="1"/>
  <c r="U313" i="19" a="1"/>
  <c r="U313" i="19" s="1"/>
  <c r="T313" i="19" a="1"/>
  <c r="T313" i="19" s="1"/>
  <c r="S313" i="19" a="1"/>
  <c r="S313" i="19" s="1"/>
  <c r="Q313" i="19" a="1"/>
  <c r="Q313" i="19" s="1"/>
  <c r="P313" i="19"/>
  <c r="O313" i="19" a="1"/>
  <c r="O313" i="19" s="1"/>
  <c r="N313" i="19" a="1"/>
  <c r="N313" i="19" s="1"/>
  <c r="L313" i="19" a="1"/>
  <c r="L313" i="19" s="1"/>
  <c r="K313" i="19"/>
  <c r="J313" i="19" a="1"/>
  <c r="J313" i="19" s="1"/>
  <c r="I313" i="19" a="1"/>
  <c r="I313" i="19" s="1"/>
  <c r="H313" i="19" a="1"/>
  <c r="H313" i="19" s="1"/>
  <c r="G313" i="19" a="1"/>
  <c r="G313" i="19" s="1"/>
  <c r="F313" i="19" a="1"/>
  <c r="F313" i="19" s="1"/>
  <c r="E313" i="19" a="1"/>
  <c r="E313" i="19" s="1"/>
  <c r="D313" i="19" a="1"/>
  <c r="D313" i="19" s="1"/>
  <c r="C313" i="19" a="1"/>
  <c r="C313" i="19" s="1"/>
  <c r="B313" i="19" a="1"/>
  <c r="B313" i="19" s="1"/>
  <c r="U312" i="19" a="1"/>
  <c r="U312" i="19" s="1"/>
  <c r="T312" i="19" a="1"/>
  <c r="T312" i="19" s="1"/>
  <c r="S312" i="19" a="1"/>
  <c r="S312" i="19" s="1"/>
  <c r="Q312" i="19" a="1"/>
  <c r="Q312" i="19" s="1"/>
  <c r="P312" i="19"/>
  <c r="O312" i="19" a="1"/>
  <c r="O312" i="19" s="1"/>
  <c r="N312" i="19" a="1"/>
  <c r="N312" i="19" s="1"/>
  <c r="L312" i="19" a="1"/>
  <c r="L312" i="19" s="1"/>
  <c r="K312" i="19"/>
  <c r="J312" i="19" a="1"/>
  <c r="J312" i="19" s="1"/>
  <c r="I312" i="19" a="1"/>
  <c r="I312" i="19" s="1"/>
  <c r="H312" i="19" a="1"/>
  <c r="H312" i="19" s="1"/>
  <c r="G312" i="19" a="1"/>
  <c r="G312" i="19" s="1"/>
  <c r="F312" i="19" a="1"/>
  <c r="F312" i="19" s="1"/>
  <c r="E312" i="19" a="1"/>
  <c r="E312" i="19" s="1"/>
  <c r="D312" i="19" a="1"/>
  <c r="D312" i="19" s="1"/>
  <c r="C312" i="19" a="1"/>
  <c r="C312" i="19" s="1"/>
  <c r="B312" i="19" a="1"/>
  <c r="B312" i="19" s="1"/>
  <c r="U311" i="19" a="1"/>
  <c r="U311" i="19" s="1"/>
  <c r="T311" i="19" a="1"/>
  <c r="T311" i="19" s="1"/>
  <c r="S311" i="19" a="1"/>
  <c r="S311" i="19" s="1"/>
  <c r="Q311" i="19" a="1"/>
  <c r="Q311" i="19" s="1"/>
  <c r="P311" i="19"/>
  <c r="O311" i="19" a="1"/>
  <c r="O311" i="19" s="1"/>
  <c r="N311" i="19" a="1"/>
  <c r="N311" i="19" s="1"/>
  <c r="L311" i="19" a="1"/>
  <c r="L311" i="19" s="1"/>
  <c r="K311" i="19"/>
  <c r="J311" i="19" a="1"/>
  <c r="J311" i="19" s="1"/>
  <c r="I311" i="19" a="1"/>
  <c r="I311" i="19" s="1"/>
  <c r="H311" i="19" a="1"/>
  <c r="H311" i="19" s="1"/>
  <c r="G311" i="19" a="1"/>
  <c r="G311" i="19" s="1"/>
  <c r="F311" i="19" a="1"/>
  <c r="F311" i="19" s="1"/>
  <c r="E311" i="19" a="1"/>
  <c r="E311" i="19" s="1"/>
  <c r="D311" i="19" a="1"/>
  <c r="D311" i="19" s="1"/>
  <c r="C311" i="19" a="1"/>
  <c r="C311" i="19" s="1"/>
  <c r="B311" i="19" a="1"/>
  <c r="B311" i="19" s="1"/>
  <c r="U310" i="19" a="1"/>
  <c r="U310" i="19" s="1"/>
  <c r="T310" i="19" a="1"/>
  <c r="T310" i="19" s="1"/>
  <c r="S310" i="19" a="1"/>
  <c r="S310" i="19" s="1"/>
  <c r="Q310" i="19" a="1"/>
  <c r="Q310" i="19" s="1"/>
  <c r="P310" i="19"/>
  <c r="O310" i="19" a="1"/>
  <c r="O310" i="19" s="1"/>
  <c r="N310" i="19" a="1"/>
  <c r="N310" i="19" s="1"/>
  <c r="L310" i="19" a="1"/>
  <c r="L310" i="19" s="1"/>
  <c r="K310" i="19"/>
  <c r="J310" i="19" a="1"/>
  <c r="J310" i="19" s="1"/>
  <c r="I310" i="19" a="1"/>
  <c r="I310" i="19" s="1"/>
  <c r="H310" i="19" a="1"/>
  <c r="H310" i="19" s="1"/>
  <c r="G310" i="19" a="1"/>
  <c r="G310" i="19" s="1"/>
  <c r="F310" i="19" a="1"/>
  <c r="F310" i="19" s="1"/>
  <c r="E310" i="19" a="1"/>
  <c r="E310" i="19" s="1"/>
  <c r="D310" i="19" a="1"/>
  <c r="D310" i="19" s="1"/>
  <c r="C310" i="19" a="1"/>
  <c r="C310" i="19" s="1"/>
  <c r="B310" i="19" a="1"/>
  <c r="B310" i="19" s="1"/>
  <c r="U309" i="19" a="1"/>
  <c r="U309" i="19" s="1"/>
  <c r="T309" i="19" a="1"/>
  <c r="T309" i="19" s="1"/>
  <c r="S309" i="19" a="1"/>
  <c r="S309" i="19" s="1"/>
  <c r="Q309" i="19" a="1"/>
  <c r="Q309" i="19" s="1"/>
  <c r="P309" i="19"/>
  <c r="O309" i="19" a="1"/>
  <c r="O309" i="19" s="1"/>
  <c r="N309" i="19" a="1"/>
  <c r="N309" i="19" s="1"/>
  <c r="L309" i="19" a="1"/>
  <c r="L309" i="19" s="1"/>
  <c r="K309" i="19"/>
  <c r="J309" i="19" a="1"/>
  <c r="J309" i="19" s="1"/>
  <c r="I309" i="19" a="1"/>
  <c r="I309" i="19" s="1"/>
  <c r="H309" i="19" a="1"/>
  <c r="H309" i="19" s="1"/>
  <c r="G309" i="19" a="1"/>
  <c r="G309" i="19" s="1"/>
  <c r="F309" i="19" a="1"/>
  <c r="F309" i="19" s="1"/>
  <c r="E309" i="19" a="1"/>
  <c r="E309" i="19" s="1"/>
  <c r="D309" i="19" a="1"/>
  <c r="D309" i="19" s="1"/>
  <c r="C309" i="19" a="1"/>
  <c r="C309" i="19" s="1"/>
  <c r="B309" i="19" a="1"/>
  <c r="B309" i="19" s="1"/>
  <c r="U308" i="19" a="1"/>
  <c r="U308" i="19" s="1"/>
  <c r="T308" i="19" a="1"/>
  <c r="T308" i="19" s="1"/>
  <c r="S308" i="19" a="1"/>
  <c r="S308" i="19" s="1"/>
  <c r="Q308" i="19" a="1"/>
  <c r="Q308" i="19" s="1"/>
  <c r="P308" i="19"/>
  <c r="O308" i="19" a="1"/>
  <c r="O308" i="19" s="1"/>
  <c r="N308" i="19" a="1"/>
  <c r="N308" i="19" s="1"/>
  <c r="L308" i="19" a="1"/>
  <c r="L308" i="19" s="1"/>
  <c r="K308" i="19"/>
  <c r="J308" i="19" a="1"/>
  <c r="J308" i="19" s="1"/>
  <c r="I308" i="19" a="1"/>
  <c r="I308" i="19" s="1"/>
  <c r="H308" i="19" a="1"/>
  <c r="H308" i="19" s="1"/>
  <c r="G308" i="19" a="1"/>
  <c r="G308" i="19" s="1"/>
  <c r="F308" i="19" a="1"/>
  <c r="F308" i="19" s="1"/>
  <c r="E308" i="19" a="1"/>
  <c r="E308" i="19" s="1"/>
  <c r="D308" i="19" a="1"/>
  <c r="D308" i="19" s="1"/>
  <c r="C308" i="19" a="1"/>
  <c r="C308" i="19" s="1"/>
  <c r="B308" i="19" a="1"/>
  <c r="B308" i="19" s="1"/>
  <c r="U307" i="19" a="1"/>
  <c r="U307" i="19" s="1"/>
  <c r="T307" i="19" a="1"/>
  <c r="T307" i="19" s="1"/>
  <c r="S307" i="19" a="1"/>
  <c r="S307" i="19" s="1"/>
  <c r="Q307" i="19" a="1"/>
  <c r="Q307" i="19" s="1"/>
  <c r="P307" i="19"/>
  <c r="O307" i="19" a="1"/>
  <c r="O307" i="19" s="1"/>
  <c r="N307" i="19" a="1"/>
  <c r="N307" i="19" s="1"/>
  <c r="L307" i="19" a="1"/>
  <c r="L307" i="19" s="1"/>
  <c r="K307" i="19"/>
  <c r="J307" i="19" a="1"/>
  <c r="J307" i="19" s="1"/>
  <c r="I307" i="19" a="1"/>
  <c r="I307" i="19" s="1"/>
  <c r="H307" i="19" a="1"/>
  <c r="H307" i="19" s="1"/>
  <c r="G307" i="19" a="1"/>
  <c r="G307" i="19" s="1"/>
  <c r="F307" i="19" a="1"/>
  <c r="F307" i="19" s="1"/>
  <c r="E307" i="19" a="1"/>
  <c r="E307" i="19" s="1"/>
  <c r="D307" i="19" a="1"/>
  <c r="D307" i="19" s="1"/>
  <c r="C307" i="19" a="1"/>
  <c r="C307" i="19" s="1"/>
  <c r="B307" i="19" a="1"/>
  <c r="B307" i="19" s="1"/>
  <c r="U306" i="19" a="1"/>
  <c r="U306" i="19" s="1"/>
  <c r="T306" i="19" a="1"/>
  <c r="T306" i="19" s="1"/>
  <c r="S306" i="19" a="1"/>
  <c r="S306" i="19" s="1"/>
  <c r="Q306" i="19" a="1"/>
  <c r="Q306" i="19" s="1"/>
  <c r="P306" i="19"/>
  <c r="O306" i="19" a="1"/>
  <c r="O306" i="19" s="1"/>
  <c r="N306" i="19" a="1"/>
  <c r="N306" i="19" s="1"/>
  <c r="L306" i="19" a="1"/>
  <c r="L306" i="19" s="1"/>
  <c r="K306" i="19"/>
  <c r="J306" i="19" a="1"/>
  <c r="J306" i="19" s="1"/>
  <c r="I306" i="19" a="1"/>
  <c r="I306" i="19" s="1"/>
  <c r="H306" i="19" a="1"/>
  <c r="H306" i="19" s="1"/>
  <c r="G306" i="19" a="1"/>
  <c r="G306" i="19" s="1"/>
  <c r="F306" i="19" a="1"/>
  <c r="F306" i="19" s="1"/>
  <c r="E306" i="19" a="1"/>
  <c r="E306" i="19" s="1"/>
  <c r="D306" i="19" a="1"/>
  <c r="D306" i="19" s="1"/>
  <c r="C306" i="19" a="1"/>
  <c r="C306" i="19" s="1"/>
  <c r="B306" i="19" a="1"/>
  <c r="B306" i="19" s="1"/>
  <c r="U305" i="19" a="1"/>
  <c r="U305" i="19" s="1"/>
  <c r="T305" i="19" a="1"/>
  <c r="T305" i="19" s="1"/>
  <c r="S305" i="19" a="1"/>
  <c r="S305" i="19" s="1"/>
  <c r="Q305" i="19" a="1"/>
  <c r="Q305" i="19" s="1"/>
  <c r="P305" i="19"/>
  <c r="O305" i="19" a="1"/>
  <c r="O305" i="19" s="1"/>
  <c r="N305" i="19" a="1"/>
  <c r="N305" i="19" s="1"/>
  <c r="L305" i="19" a="1"/>
  <c r="L305" i="19" s="1"/>
  <c r="K305" i="19"/>
  <c r="J305" i="19" a="1"/>
  <c r="J305" i="19" s="1"/>
  <c r="I305" i="19" a="1"/>
  <c r="I305" i="19" s="1"/>
  <c r="H305" i="19" a="1"/>
  <c r="H305" i="19" s="1"/>
  <c r="G305" i="19" a="1"/>
  <c r="G305" i="19" s="1"/>
  <c r="F305" i="19" a="1"/>
  <c r="F305" i="19" s="1"/>
  <c r="E305" i="19" a="1"/>
  <c r="E305" i="19" s="1"/>
  <c r="D305" i="19" a="1"/>
  <c r="D305" i="19" s="1"/>
  <c r="C305" i="19" a="1"/>
  <c r="C305" i="19" s="1"/>
  <c r="B305" i="19" a="1"/>
  <c r="B305" i="19" s="1"/>
  <c r="U304" i="19" a="1"/>
  <c r="U304" i="19" s="1"/>
  <c r="T304" i="19" a="1"/>
  <c r="T304" i="19" s="1"/>
  <c r="S304" i="19" a="1"/>
  <c r="S304" i="19" s="1"/>
  <c r="Q304" i="19" a="1"/>
  <c r="Q304" i="19" s="1"/>
  <c r="P304" i="19"/>
  <c r="O304" i="19" a="1"/>
  <c r="O304" i="19" s="1"/>
  <c r="N304" i="19" a="1"/>
  <c r="N304" i="19" s="1"/>
  <c r="L304" i="19" a="1"/>
  <c r="L304" i="19" s="1"/>
  <c r="K304" i="19"/>
  <c r="J304" i="19" a="1"/>
  <c r="J304" i="19" s="1"/>
  <c r="I304" i="19" a="1"/>
  <c r="I304" i="19" s="1"/>
  <c r="H304" i="19" a="1"/>
  <c r="H304" i="19" s="1"/>
  <c r="G304" i="19" a="1"/>
  <c r="G304" i="19" s="1"/>
  <c r="F304" i="19" a="1"/>
  <c r="F304" i="19" s="1"/>
  <c r="E304" i="19" a="1"/>
  <c r="E304" i="19" s="1"/>
  <c r="D304" i="19" a="1"/>
  <c r="D304" i="19" s="1"/>
  <c r="C304" i="19" a="1"/>
  <c r="C304" i="19" s="1"/>
  <c r="B304" i="19" a="1"/>
  <c r="B304" i="19" s="1"/>
  <c r="U303" i="19" a="1"/>
  <c r="U303" i="19" s="1"/>
  <c r="T303" i="19" a="1"/>
  <c r="T303" i="19" s="1"/>
  <c r="S303" i="19" a="1"/>
  <c r="S303" i="19" s="1"/>
  <c r="Q303" i="19" a="1"/>
  <c r="Q303" i="19" s="1"/>
  <c r="P303" i="19"/>
  <c r="O303" i="19" a="1"/>
  <c r="O303" i="19" s="1"/>
  <c r="N303" i="19" a="1"/>
  <c r="N303" i="19" s="1"/>
  <c r="L303" i="19" a="1"/>
  <c r="L303" i="19" s="1"/>
  <c r="K303" i="19"/>
  <c r="J303" i="19" a="1"/>
  <c r="J303" i="19" s="1"/>
  <c r="I303" i="19" a="1"/>
  <c r="I303" i="19" s="1"/>
  <c r="H303" i="19" a="1"/>
  <c r="H303" i="19" s="1"/>
  <c r="G303" i="19" a="1"/>
  <c r="G303" i="19" s="1"/>
  <c r="F303" i="19" a="1"/>
  <c r="F303" i="19" s="1"/>
  <c r="E303" i="19" a="1"/>
  <c r="E303" i="19" s="1"/>
  <c r="D303" i="19" a="1"/>
  <c r="D303" i="19" s="1"/>
  <c r="C303" i="19" a="1"/>
  <c r="C303" i="19" s="1"/>
  <c r="B303" i="19" a="1"/>
  <c r="B303" i="19" s="1"/>
  <c r="U302" i="19" a="1"/>
  <c r="U302" i="19" s="1"/>
  <c r="T302" i="19" a="1"/>
  <c r="T302" i="19" s="1"/>
  <c r="S302" i="19" a="1"/>
  <c r="S302" i="19" s="1"/>
  <c r="Q302" i="19" a="1"/>
  <c r="Q302" i="19" s="1"/>
  <c r="P302" i="19"/>
  <c r="O302" i="19" a="1"/>
  <c r="O302" i="19" s="1"/>
  <c r="N302" i="19" a="1"/>
  <c r="N302" i="19" s="1"/>
  <c r="L302" i="19" a="1"/>
  <c r="L302" i="19" s="1"/>
  <c r="K302" i="19"/>
  <c r="J302" i="19" a="1"/>
  <c r="J302" i="19" s="1"/>
  <c r="I302" i="19" a="1"/>
  <c r="I302" i="19" s="1"/>
  <c r="H302" i="19" a="1"/>
  <c r="H302" i="19" s="1"/>
  <c r="G302" i="19" a="1"/>
  <c r="G302" i="19" s="1"/>
  <c r="F302" i="19" a="1"/>
  <c r="F302" i="19" s="1"/>
  <c r="E302" i="19" a="1"/>
  <c r="E302" i="19" s="1"/>
  <c r="D302" i="19" a="1"/>
  <c r="D302" i="19" s="1"/>
  <c r="C302" i="19" a="1"/>
  <c r="C302" i="19" s="1"/>
  <c r="B302" i="19" a="1"/>
  <c r="B302" i="19" s="1"/>
  <c r="U301" i="19" a="1"/>
  <c r="U301" i="19" s="1"/>
  <c r="T301" i="19" a="1"/>
  <c r="T301" i="19" s="1"/>
  <c r="S301" i="19" a="1"/>
  <c r="S301" i="19" s="1"/>
  <c r="Q301" i="19" a="1"/>
  <c r="Q301" i="19" s="1"/>
  <c r="P301" i="19"/>
  <c r="O301" i="19" a="1"/>
  <c r="O301" i="19" s="1"/>
  <c r="N301" i="19" a="1"/>
  <c r="N301" i="19" s="1"/>
  <c r="L301" i="19" a="1"/>
  <c r="L301" i="19" s="1"/>
  <c r="K301" i="19"/>
  <c r="J301" i="19" a="1"/>
  <c r="J301" i="19" s="1"/>
  <c r="I301" i="19" a="1"/>
  <c r="I301" i="19" s="1"/>
  <c r="H301" i="19" a="1"/>
  <c r="H301" i="19" s="1"/>
  <c r="G301" i="19" a="1"/>
  <c r="G301" i="19" s="1"/>
  <c r="F301" i="19" a="1"/>
  <c r="F301" i="19" s="1"/>
  <c r="E301" i="19" a="1"/>
  <c r="E301" i="19" s="1"/>
  <c r="D301" i="19" a="1"/>
  <c r="D301" i="19" s="1"/>
  <c r="C301" i="19" a="1"/>
  <c r="C301" i="19" s="1"/>
  <c r="B301" i="19" a="1"/>
  <c r="B301" i="19" s="1"/>
  <c r="U300" i="19" a="1"/>
  <c r="U300" i="19" s="1"/>
  <c r="T300" i="19" a="1"/>
  <c r="T300" i="19" s="1"/>
  <c r="S300" i="19" a="1"/>
  <c r="S300" i="19" s="1"/>
  <c r="Q300" i="19" a="1"/>
  <c r="Q300" i="19" s="1"/>
  <c r="P300" i="19"/>
  <c r="O300" i="19" a="1"/>
  <c r="O300" i="19" s="1"/>
  <c r="N300" i="19" a="1"/>
  <c r="N300" i="19" s="1"/>
  <c r="L300" i="19" a="1"/>
  <c r="L300" i="19" s="1"/>
  <c r="K300" i="19"/>
  <c r="J300" i="19" a="1"/>
  <c r="J300" i="19" s="1"/>
  <c r="I300" i="19" a="1"/>
  <c r="I300" i="19" s="1"/>
  <c r="H300" i="19" a="1"/>
  <c r="H300" i="19" s="1"/>
  <c r="G300" i="19" a="1"/>
  <c r="G300" i="19" s="1"/>
  <c r="F300" i="19" a="1"/>
  <c r="F300" i="19" s="1"/>
  <c r="E300" i="19" a="1"/>
  <c r="E300" i="19" s="1"/>
  <c r="D300" i="19" a="1"/>
  <c r="D300" i="19" s="1"/>
  <c r="C300" i="19" a="1"/>
  <c r="C300" i="19" s="1"/>
  <c r="B300" i="19" a="1"/>
  <c r="B300" i="19" s="1"/>
  <c r="U299" i="19" a="1"/>
  <c r="U299" i="19" s="1"/>
  <c r="T299" i="19" a="1"/>
  <c r="T299" i="19" s="1"/>
  <c r="S299" i="19" a="1"/>
  <c r="S299" i="19" s="1"/>
  <c r="Q299" i="19" a="1"/>
  <c r="Q299" i="19" s="1"/>
  <c r="P299" i="19"/>
  <c r="O299" i="19" a="1"/>
  <c r="O299" i="19" s="1"/>
  <c r="N299" i="19" a="1"/>
  <c r="N299" i="19" s="1"/>
  <c r="L299" i="19" a="1"/>
  <c r="L299" i="19" s="1"/>
  <c r="K299" i="19"/>
  <c r="J299" i="19" a="1"/>
  <c r="J299" i="19" s="1"/>
  <c r="I299" i="19" a="1"/>
  <c r="I299" i="19" s="1"/>
  <c r="H299" i="19" a="1"/>
  <c r="H299" i="19" s="1"/>
  <c r="G299" i="19" a="1"/>
  <c r="G299" i="19" s="1"/>
  <c r="F299" i="19" a="1"/>
  <c r="F299" i="19" s="1"/>
  <c r="E299" i="19" a="1"/>
  <c r="E299" i="19" s="1"/>
  <c r="D299" i="19" a="1"/>
  <c r="D299" i="19" s="1"/>
  <c r="C299" i="19" a="1"/>
  <c r="C299" i="19" s="1"/>
  <c r="B299" i="19" a="1"/>
  <c r="B299" i="19" s="1"/>
  <c r="U298" i="19" a="1"/>
  <c r="U298" i="19" s="1"/>
  <c r="T298" i="19" a="1"/>
  <c r="T298" i="19" s="1"/>
  <c r="S298" i="19" a="1"/>
  <c r="S298" i="19" s="1"/>
  <c r="Q298" i="19" a="1"/>
  <c r="Q298" i="19" s="1"/>
  <c r="P298" i="19"/>
  <c r="O298" i="19" a="1"/>
  <c r="O298" i="19" s="1"/>
  <c r="N298" i="19" a="1"/>
  <c r="N298" i="19" s="1"/>
  <c r="L298" i="19" a="1"/>
  <c r="L298" i="19" s="1"/>
  <c r="K298" i="19"/>
  <c r="J298" i="19" a="1"/>
  <c r="J298" i="19" s="1"/>
  <c r="I298" i="19" a="1"/>
  <c r="I298" i="19" s="1"/>
  <c r="H298" i="19" a="1"/>
  <c r="H298" i="19" s="1"/>
  <c r="G298" i="19" a="1"/>
  <c r="G298" i="19" s="1"/>
  <c r="F298" i="19" a="1"/>
  <c r="F298" i="19" s="1"/>
  <c r="E298" i="19" a="1"/>
  <c r="E298" i="19" s="1"/>
  <c r="D298" i="19" a="1"/>
  <c r="D298" i="19" s="1"/>
  <c r="C298" i="19" a="1"/>
  <c r="C298" i="19" s="1"/>
  <c r="B298" i="19" a="1"/>
  <c r="B298" i="19" s="1"/>
  <c r="U297" i="19" a="1"/>
  <c r="U297" i="19" s="1"/>
  <c r="T297" i="19" a="1"/>
  <c r="T297" i="19" s="1"/>
  <c r="S297" i="19" a="1"/>
  <c r="S297" i="19" s="1"/>
  <c r="Q297" i="19" a="1"/>
  <c r="Q297" i="19" s="1"/>
  <c r="P297" i="19"/>
  <c r="O297" i="19" a="1"/>
  <c r="O297" i="19" s="1"/>
  <c r="N297" i="19" a="1"/>
  <c r="N297" i="19" s="1"/>
  <c r="L297" i="19" a="1"/>
  <c r="L297" i="19" s="1"/>
  <c r="K297" i="19"/>
  <c r="J297" i="19" a="1"/>
  <c r="J297" i="19" s="1"/>
  <c r="I297" i="19" a="1"/>
  <c r="I297" i="19" s="1"/>
  <c r="H297" i="19" a="1"/>
  <c r="H297" i="19" s="1"/>
  <c r="G297" i="19" a="1"/>
  <c r="G297" i="19" s="1"/>
  <c r="F297" i="19" a="1"/>
  <c r="F297" i="19" s="1"/>
  <c r="E297" i="19" a="1"/>
  <c r="E297" i="19" s="1"/>
  <c r="D297" i="19" a="1"/>
  <c r="D297" i="19" s="1"/>
  <c r="C297" i="19" a="1"/>
  <c r="C297" i="19" s="1"/>
  <c r="B297" i="19" a="1"/>
  <c r="B297" i="19" s="1"/>
  <c r="U296" i="19" a="1"/>
  <c r="U296" i="19" s="1"/>
  <c r="T296" i="19" a="1"/>
  <c r="T296" i="19" s="1"/>
  <c r="S296" i="19" a="1"/>
  <c r="S296" i="19" s="1"/>
  <c r="Q296" i="19" a="1"/>
  <c r="Q296" i="19" s="1"/>
  <c r="P296" i="19"/>
  <c r="O296" i="19" a="1"/>
  <c r="O296" i="19" s="1"/>
  <c r="N296" i="19" a="1"/>
  <c r="N296" i="19" s="1"/>
  <c r="L296" i="19" a="1"/>
  <c r="L296" i="19" s="1"/>
  <c r="K296" i="19"/>
  <c r="J296" i="19" a="1"/>
  <c r="J296" i="19" s="1"/>
  <c r="I296" i="19" a="1"/>
  <c r="I296" i="19" s="1"/>
  <c r="H296" i="19" a="1"/>
  <c r="H296" i="19" s="1"/>
  <c r="G296" i="19" a="1"/>
  <c r="G296" i="19" s="1"/>
  <c r="F296" i="19" a="1"/>
  <c r="F296" i="19" s="1"/>
  <c r="E296" i="19" a="1"/>
  <c r="E296" i="19" s="1"/>
  <c r="D296" i="19" a="1"/>
  <c r="D296" i="19" s="1"/>
  <c r="C296" i="19" a="1"/>
  <c r="C296" i="19" s="1"/>
  <c r="B296" i="19" a="1"/>
  <c r="B296" i="19" s="1"/>
  <c r="U295" i="19" a="1"/>
  <c r="U295" i="19" s="1"/>
  <c r="T295" i="19" a="1"/>
  <c r="T295" i="19" s="1"/>
  <c r="S295" i="19" a="1"/>
  <c r="S295" i="19" s="1"/>
  <c r="Q295" i="19" a="1"/>
  <c r="Q295" i="19" s="1"/>
  <c r="P295" i="19"/>
  <c r="O295" i="19" a="1"/>
  <c r="O295" i="19" s="1"/>
  <c r="N295" i="19" a="1"/>
  <c r="N295" i="19" s="1"/>
  <c r="L295" i="19" a="1"/>
  <c r="L295" i="19" s="1"/>
  <c r="K295" i="19"/>
  <c r="J295" i="19" a="1"/>
  <c r="J295" i="19" s="1"/>
  <c r="I295" i="19" a="1"/>
  <c r="I295" i="19" s="1"/>
  <c r="H295" i="19" a="1"/>
  <c r="H295" i="19" s="1"/>
  <c r="G295" i="19" a="1"/>
  <c r="G295" i="19" s="1"/>
  <c r="F295" i="19" a="1"/>
  <c r="F295" i="19" s="1"/>
  <c r="E295" i="19" a="1"/>
  <c r="E295" i="19" s="1"/>
  <c r="D295" i="19" a="1"/>
  <c r="D295" i="19" s="1"/>
  <c r="C295" i="19" a="1"/>
  <c r="C295" i="19" s="1"/>
  <c r="B295" i="19" a="1"/>
  <c r="B295" i="19" s="1"/>
  <c r="U294" i="19" a="1"/>
  <c r="U294" i="19" s="1"/>
  <c r="T294" i="19" a="1"/>
  <c r="T294" i="19" s="1"/>
  <c r="S294" i="19" a="1"/>
  <c r="S294" i="19" s="1"/>
  <c r="Q294" i="19" a="1"/>
  <c r="Q294" i="19" s="1"/>
  <c r="P294" i="19"/>
  <c r="O294" i="19" a="1"/>
  <c r="O294" i="19" s="1"/>
  <c r="N294" i="19" a="1"/>
  <c r="N294" i="19" s="1"/>
  <c r="L294" i="19" a="1"/>
  <c r="L294" i="19" s="1"/>
  <c r="K294" i="19"/>
  <c r="J294" i="19" a="1"/>
  <c r="J294" i="19" s="1"/>
  <c r="I294" i="19" a="1"/>
  <c r="I294" i="19" s="1"/>
  <c r="H294" i="19" a="1"/>
  <c r="H294" i="19" s="1"/>
  <c r="G294" i="19" a="1"/>
  <c r="G294" i="19" s="1"/>
  <c r="F294" i="19" a="1"/>
  <c r="F294" i="19" s="1"/>
  <c r="E294" i="19" a="1"/>
  <c r="E294" i="19" s="1"/>
  <c r="D294" i="19" a="1"/>
  <c r="D294" i="19" s="1"/>
  <c r="C294" i="19" a="1"/>
  <c r="C294" i="19" s="1"/>
  <c r="B294" i="19" a="1"/>
  <c r="B294" i="19" s="1"/>
  <c r="U293" i="19" a="1"/>
  <c r="U293" i="19" s="1"/>
  <c r="T293" i="19" a="1"/>
  <c r="T293" i="19" s="1"/>
  <c r="S293" i="19" a="1"/>
  <c r="S293" i="19" s="1"/>
  <c r="Q293" i="19" a="1"/>
  <c r="Q293" i="19" s="1"/>
  <c r="P293" i="19"/>
  <c r="O293" i="19" a="1"/>
  <c r="O293" i="19" s="1"/>
  <c r="N293" i="19" a="1"/>
  <c r="N293" i="19" s="1"/>
  <c r="L293" i="19" a="1"/>
  <c r="L293" i="19" s="1"/>
  <c r="K293" i="19"/>
  <c r="J293" i="19" a="1"/>
  <c r="J293" i="19" s="1"/>
  <c r="I293" i="19" a="1"/>
  <c r="I293" i="19" s="1"/>
  <c r="H293" i="19" a="1"/>
  <c r="H293" i="19" s="1"/>
  <c r="G293" i="19" a="1"/>
  <c r="G293" i="19" s="1"/>
  <c r="F293" i="19" a="1"/>
  <c r="F293" i="19" s="1"/>
  <c r="E293" i="19" a="1"/>
  <c r="E293" i="19" s="1"/>
  <c r="D293" i="19" a="1"/>
  <c r="D293" i="19" s="1"/>
  <c r="C293" i="19" a="1"/>
  <c r="C293" i="19" s="1"/>
  <c r="B293" i="19" a="1"/>
  <c r="B293" i="19" s="1"/>
  <c r="U292" i="19" a="1"/>
  <c r="U292" i="19" s="1"/>
  <c r="T292" i="19" a="1"/>
  <c r="T292" i="19" s="1"/>
  <c r="S292" i="19" a="1"/>
  <c r="S292" i="19" s="1"/>
  <c r="Q292" i="19" a="1"/>
  <c r="Q292" i="19" s="1"/>
  <c r="P292" i="19"/>
  <c r="O292" i="19" a="1"/>
  <c r="O292" i="19" s="1"/>
  <c r="N292" i="19" a="1"/>
  <c r="N292" i="19" s="1"/>
  <c r="L292" i="19" a="1"/>
  <c r="L292" i="19" s="1"/>
  <c r="K292" i="19"/>
  <c r="J292" i="19" a="1"/>
  <c r="J292" i="19" s="1"/>
  <c r="I292" i="19" a="1"/>
  <c r="I292" i="19" s="1"/>
  <c r="H292" i="19" a="1"/>
  <c r="H292" i="19" s="1"/>
  <c r="G292" i="19" a="1"/>
  <c r="G292" i="19" s="1"/>
  <c r="F292" i="19" a="1"/>
  <c r="F292" i="19" s="1"/>
  <c r="E292" i="19" a="1"/>
  <c r="E292" i="19" s="1"/>
  <c r="D292" i="19" a="1"/>
  <c r="D292" i="19" s="1"/>
  <c r="C292" i="19" a="1"/>
  <c r="C292" i="19" s="1"/>
  <c r="B292" i="19" a="1"/>
  <c r="B292" i="19" s="1"/>
  <c r="U291" i="19" a="1"/>
  <c r="U291" i="19" s="1"/>
  <c r="T291" i="19" a="1"/>
  <c r="T291" i="19" s="1"/>
  <c r="S291" i="19" a="1"/>
  <c r="S291" i="19" s="1"/>
  <c r="Q291" i="19" a="1"/>
  <c r="Q291" i="19" s="1"/>
  <c r="P291" i="19"/>
  <c r="O291" i="19" a="1"/>
  <c r="O291" i="19" s="1"/>
  <c r="N291" i="19" a="1"/>
  <c r="N291" i="19" s="1"/>
  <c r="L291" i="19" a="1"/>
  <c r="L291" i="19" s="1"/>
  <c r="K291" i="19"/>
  <c r="J291" i="19" a="1"/>
  <c r="J291" i="19" s="1"/>
  <c r="I291" i="19" a="1"/>
  <c r="I291" i="19" s="1"/>
  <c r="H291" i="19" a="1"/>
  <c r="H291" i="19" s="1"/>
  <c r="G291" i="19" a="1"/>
  <c r="G291" i="19" s="1"/>
  <c r="F291" i="19" a="1"/>
  <c r="F291" i="19" s="1"/>
  <c r="E291" i="19" a="1"/>
  <c r="E291" i="19" s="1"/>
  <c r="D291" i="19" a="1"/>
  <c r="D291" i="19" s="1"/>
  <c r="C291" i="19" a="1"/>
  <c r="C291" i="19" s="1"/>
  <c r="B291" i="19" a="1"/>
  <c r="B291" i="19" s="1"/>
  <c r="U290" i="19" a="1"/>
  <c r="U290" i="19" s="1"/>
  <c r="T290" i="19" a="1"/>
  <c r="T290" i="19" s="1"/>
  <c r="S290" i="19" a="1"/>
  <c r="S290" i="19" s="1"/>
  <c r="Q290" i="19" a="1"/>
  <c r="Q290" i="19" s="1"/>
  <c r="P290" i="19"/>
  <c r="O290" i="19" a="1"/>
  <c r="O290" i="19" s="1"/>
  <c r="N290" i="19" a="1"/>
  <c r="N290" i="19" s="1"/>
  <c r="L290" i="19" a="1"/>
  <c r="L290" i="19" s="1"/>
  <c r="K290" i="19"/>
  <c r="J290" i="19" a="1"/>
  <c r="J290" i="19" s="1"/>
  <c r="I290" i="19" a="1"/>
  <c r="I290" i="19" s="1"/>
  <c r="H290" i="19" a="1"/>
  <c r="H290" i="19" s="1"/>
  <c r="G290" i="19" a="1"/>
  <c r="G290" i="19" s="1"/>
  <c r="F290" i="19" a="1"/>
  <c r="F290" i="19" s="1"/>
  <c r="E290" i="19" a="1"/>
  <c r="E290" i="19" s="1"/>
  <c r="D290" i="19" a="1"/>
  <c r="D290" i="19" s="1"/>
  <c r="C290" i="19" a="1"/>
  <c r="C290" i="19" s="1"/>
  <c r="B290" i="19" a="1"/>
  <c r="B290" i="19" s="1"/>
  <c r="U289" i="19" a="1"/>
  <c r="U289" i="19" s="1"/>
  <c r="T289" i="19" a="1"/>
  <c r="T289" i="19" s="1"/>
  <c r="S289" i="19" a="1"/>
  <c r="S289" i="19" s="1"/>
  <c r="Q289" i="19" a="1"/>
  <c r="Q289" i="19" s="1"/>
  <c r="P289" i="19"/>
  <c r="O289" i="19" a="1"/>
  <c r="O289" i="19" s="1"/>
  <c r="N289" i="19" a="1"/>
  <c r="N289" i="19" s="1"/>
  <c r="L289" i="19" a="1"/>
  <c r="L289" i="19" s="1"/>
  <c r="K289" i="19"/>
  <c r="J289" i="19" a="1"/>
  <c r="J289" i="19" s="1"/>
  <c r="I289" i="19" a="1"/>
  <c r="I289" i="19" s="1"/>
  <c r="H289" i="19" a="1"/>
  <c r="H289" i="19" s="1"/>
  <c r="G289" i="19" a="1"/>
  <c r="G289" i="19" s="1"/>
  <c r="F289" i="19" a="1"/>
  <c r="F289" i="19" s="1"/>
  <c r="E289" i="19" a="1"/>
  <c r="E289" i="19" s="1"/>
  <c r="D289" i="19" a="1"/>
  <c r="D289" i="19" s="1"/>
  <c r="C289" i="19" a="1"/>
  <c r="C289" i="19" s="1"/>
  <c r="B289" i="19" a="1"/>
  <c r="B289" i="19" s="1"/>
  <c r="U288" i="19" a="1"/>
  <c r="U288" i="19" s="1"/>
  <c r="T288" i="19" a="1"/>
  <c r="T288" i="19" s="1"/>
  <c r="S288" i="19" a="1"/>
  <c r="S288" i="19" s="1"/>
  <c r="Q288" i="19" a="1"/>
  <c r="Q288" i="19" s="1"/>
  <c r="P288" i="19"/>
  <c r="O288" i="19" a="1"/>
  <c r="O288" i="19" s="1"/>
  <c r="N288" i="19" a="1"/>
  <c r="N288" i="19" s="1"/>
  <c r="L288" i="19" a="1"/>
  <c r="L288" i="19" s="1"/>
  <c r="K288" i="19"/>
  <c r="J288" i="19" a="1"/>
  <c r="J288" i="19" s="1"/>
  <c r="I288" i="19" a="1"/>
  <c r="I288" i="19" s="1"/>
  <c r="H288" i="19" a="1"/>
  <c r="H288" i="19" s="1"/>
  <c r="G288" i="19" a="1"/>
  <c r="G288" i="19" s="1"/>
  <c r="F288" i="19" a="1"/>
  <c r="F288" i="19" s="1"/>
  <c r="E288" i="19" a="1"/>
  <c r="E288" i="19" s="1"/>
  <c r="D288" i="19" a="1"/>
  <c r="D288" i="19" s="1"/>
  <c r="C288" i="19" a="1"/>
  <c r="C288" i="19" s="1"/>
  <c r="B288" i="19" a="1"/>
  <c r="B288" i="19" s="1"/>
  <c r="U287" i="19" a="1"/>
  <c r="U287" i="19" s="1"/>
  <c r="T287" i="19" a="1"/>
  <c r="T287" i="19" s="1"/>
  <c r="S287" i="19" a="1"/>
  <c r="S287" i="19" s="1"/>
  <c r="Q287" i="19" a="1"/>
  <c r="Q287" i="19" s="1"/>
  <c r="P287" i="19"/>
  <c r="O287" i="19" a="1"/>
  <c r="O287" i="19" s="1"/>
  <c r="N287" i="19" a="1"/>
  <c r="N287" i="19" s="1"/>
  <c r="L287" i="19" a="1"/>
  <c r="L287" i="19" s="1"/>
  <c r="K287" i="19"/>
  <c r="J287" i="19" a="1"/>
  <c r="J287" i="19" s="1"/>
  <c r="I287" i="19" a="1"/>
  <c r="I287" i="19" s="1"/>
  <c r="H287" i="19" a="1"/>
  <c r="H287" i="19" s="1"/>
  <c r="G287" i="19" a="1"/>
  <c r="G287" i="19" s="1"/>
  <c r="F287" i="19" a="1"/>
  <c r="F287" i="19" s="1"/>
  <c r="E287" i="19" a="1"/>
  <c r="E287" i="19" s="1"/>
  <c r="D287" i="19" a="1"/>
  <c r="D287" i="19" s="1"/>
  <c r="C287" i="19" a="1"/>
  <c r="C287" i="19" s="1"/>
  <c r="B287" i="19" a="1"/>
  <c r="B287" i="19" s="1"/>
  <c r="U286" i="19" a="1"/>
  <c r="U286" i="19" s="1"/>
  <c r="T286" i="19" a="1"/>
  <c r="T286" i="19" s="1"/>
  <c r="S286" i="19" a="1"/>
  <c r="S286" i="19" s="1"/>
  <c r="Q286" i="19" a="1"/>
  <c r="Q286" i="19" s="1"/>
  <c r="P286" i="19"/>
  <c r="O286" i="19" a="1"/>
  <c r="O286" i="19" s="1"/>
  <c r="N286" i="19" a="1"/>
  <c r="N286" i="19" s="1"/>
  <c r="L286" i="19" a="1"/>
  <c r="L286" i="19" s="1"/>
  <c r="K286" i="19"/>
  <c r="J286" i="19" a="1"/>
  <c r="J286" i="19" s="1"/>
  <c r="I286" i="19" a="1"/>
  <c r="I286" i="19" s="1"/>
  <c r="H286" i="19" a="1"/>
  <c r="H286" i="19" s="1"/>
  <c r="G286" i="19" a="1"/>
  <c r="G286" i="19" s="1"/>
  <c r="F286" i="19" a="1"/>
  <c r="F286" i="19" s="1"/>
  <c r="E286" i="19" a="1"/>
  <c r="E286" i="19" s="1"/>
  <c r="D286" i="19" a="1"/>
  <c r="D286" i="19" s="1"/>
  <c r="C286" i="19" a="1"/>
  <c r="C286" i="19" s="1"/>
  <c r="B286" i="19" a="1"/>
  <c r="B286" i="19" s="1"/>
  <c r="U285" i="19" a="1"/>
  <c r="U285" i="19" s="1"/>
  <c r="T285" i="19" a="1"/>
  <c r="T285" i="19" s="1"/>
  <c r="S285" i="19" a="1"/>
  <c r="S285" i="19" s="1"/>
  <c r="Q285" i="19" a="1"/>
  <c r="Q285" i="19" s="1"/>
  <c r="P285" i="19"/>
  <c r="O285" i="19" a="1"/>
  <c r="O285" i="19" s="1"/>
  <c r="N285" i="19" a="1"/>
  <c r="N285" i="19" s="1"/>
  <c r="L285" i="19" a="1"/>
  <c r="L285" i="19" s="1"/>
  <c r="K285" i="19"/>
  <c r="J285" i="19" a="1"/>
  <c r="J285" i="19" s="1"/>
  <c r="I285" i="19" a="1"/>
  <c r="I285" i="19" s="1"/>
  <c r="H285" i="19" a="1"/>
  <c r="H285" i="19" s="1"/>
  <c r="G285" i="19" a="1"/>
  <c r="G285" i="19" s="1"/>
  <c r="F285" i="19" a="1"/>
  <c r="F285" i="19" s="1"/>
  <c r="E285" i="19" a="1"/>
  <c r="E285" i="19" s="1"/>
  <c r="D285" i="19" a="1"/>
  <c r="D285" i="19" s="1"/>
  <c r="C285" i="19" a="1"/>
  <c r="C285" i="19" s="1"/>
  <c r="B285" i="19" a="1"/>
  <c r="B285" i="19" s="1"/>
  <c r="U284" i="19" a="1"/>
  <c r="U284" i="19" s="1"/>
  <c r="T284" i="19" a="1"/>
  <c r="T284" i="19" s="1"/>
  <c r="S284" i="19" a="1"/>
  <c r="S284" i="19" s="1"/>
  <c r="Q284" i="19" a="1"/>
  <c r="Q284" i="19" s="1"/>
  <c r="P284" i="19"/>
  <c r="O284" i="19" a="1"/>
  <c r="O284" i="19" s="1"/>
  <c r="N284" i="19" a="1"/>
  <c r="N284" i="19" s="1"/>
  <c r="L284" i="19" a="1"/>
  <c r="L284" i="19" s="1"/>
  <c r="K284" i="19"/>
  <c r="J284" i="19" a="1"/>
  <c r="J284" i="19" s="1"/>
  <c r="I284" i="19" a="1"/>
  <c r="I284" i="19" s="1"/>
  <c r="H284" i="19" a="1"/>
  <c r="H284" i="19" s="1"/>
  <c r="G284" i="19" a="1"/>
  <c r="G284" i="19" s="1"/>
  <c r="F284" i="19" a="1"/>
  <c r="F284" i="19" s="1"/>
  <c r="E284" i="19" a="1"/>
  <c r="E284" i="19" s="1"/>
  <c r="D284" i="19" a="1"/>
  <c r="D284" i="19" s="1"/>
  <c r="C284" i="19" a="1"/>
  <c r="C284" i="19" s="1"/>
  <c r="B284" i="19" a="1"/>
  <c r="B284" i="19" s="1"/>
  <c r="U283" i="19" a="1"/>
  <c r="U283" i="19" s="1"/>
  <c r="T283" i="19" a="1"/>
  <c r="T283" i="19" s="1"/>
  <c r="S283" i="19" a="1"/>
  <c r="S283" i="19" s="1"/>
  <c r="Q283" i="19" a="1"/>
  <c r="Q283" i="19" s="1"/>
  <c r="P283" i="19"/>
  <c r="O283" i="19" a="1"/>
  <c r="O283" i="19" s="1"/>
  <c r="N283" i="19" a="1"/>
  <c r="N283" i="19" s="1"/>
  <c r="L283" i="19" a="1"/>
  <c r="L283" i="19" s="1"/>
  <c r="K283" i="19"/>
  <c r="J283" i="19" a="1"/>
  <c r="J283" i="19" s="1"/>
  <c r="I283" i="19" a="1"/>
  <c r="I283" i="19" s="1"/>
  <c r="H283" i="19" a="1"/>
  <c r="H283" i="19" s="1"/>
  <c r="G283" i="19" a="1"/>
  <c r="G283" i="19" s="1"/>
  <c r="F283" i="19" a="1"/>
  <c r="F283" i="19" s="1"/>
  <c r="E283" i="19" a="1"/>
  <c r="E283" i="19" s="1"/>
  <c r="D283" i="19" a="1"/>
  <c r="D283" i="19" s="1"/>
  <c r="C283" i="19" a="1"/>
  <c r="C283" i="19" s="1"/>
  <c r="B283" i="19" a="1"/>
  <c r="B283" i="19" s="1"/>
  <c r="U282" i="19" a="1"/>
  <c r="U282" i="19" s="1"/>
  <c r="T282" i="19" a="1"/>
  <c r="T282" i="19" s="1"/>
  <c r="S282" i="19" a="1"/>
  <c r="S282" i="19" s="1"/>
  <c r="Q282" i="19" a="1"/>
  <c r="Q282" i="19" s="1"/>
  <c r="P282" i="19"/>
  <c r="O282" i="19" a="1"/>
  <c r="O282" i="19" s="1"/>
  <c r="N282" i="19" a="1"/>
  <c r="N282" i="19" s="1"/>
  <c r="L282" i="19" a="1"/>
  <c r="L282" i="19" s="1"/>
  <c r="K282" i="19"/>
  <c r="J282" i="19" a="1"/>
  <c r="J282" i="19" s="1"/>
  <c r="I282" i="19" a="1"/>
  <c r="I282" i="19" s="1"/>
  <c r="H282" i="19" a="1"/>
  <c r="H282" i="19" s="1"/>
  <c r="G282" i="19" a="1"/>
  <c r="G282" i="19" s="1"/>
  <c r="F282" i="19" a="1"/>
  <c r="F282" i="19" s="1"/>
  <c r="E282" i="19" a="1"/>
  <c r="E282" i="19" s="1"/>
  <c r="D282" i="19" a="1"/>
  <c r="D282" i="19" s="1"/>
  <c r="C282" i="19" a="1"/>
  <c r="C282" i="19" s="1"/>
  <c r="B282" i="19" a="1"/>
  <c r="B282" i="19" s="1"/>
  <c r="U281" i="19" a="1"/>
  <c r="U281" i="19" s="1"/>
  <c r="T281" i="19" a="1"/>
  <c r="T281" i="19" s="1"/>
  <c r="S281" i="19" a="1"/>
  <c r="S281" i="19" s="1"/>
  <c r="Q281" i="19" a="1"/>
  <c r="Q281" i="19" s="1"/>
  <c r="P281" i="19"/>
  <c r="O281" i="19" a="1"/>
  <c r="O281" i="19" s="1"/>
  <c r="N281" i="19" a="1"/>
  <c r="N281" i="19" s="1"/>
  <c r="L281" i="19" a="1"/>
  <c r="L281" i="19" s="1"/>
  <c r="K281" i="19"/>
  <c r="J281" i="19" a="1"/>
  <c r="J281" i="19" s="1"/>
  <c r="I281" i="19" a="1"/>
  <c r="I281" i="19" s="1"/>
  <c r="H281" i="19" a="1"/>
  <c r="H281" i="19" s="1"/>
  <c r="G281" i="19" a="1"/>
  <c r="G281" i="19" s="1"/>
  <c r="F281" i="19" a="1"/>
  <c r="F281" i="19" s="1"/>
  <c r="E281" i="19" a="1"/>
  <c r="E281" i="19" s="1"/>
  <c r="D281" i="19" a="1"/>
  <c r="D281" i="19" s="1"/>
  <c r="C281" i="19" a="1"/>
  <c r="C281" i="19" s="1"/>
  <c r="B281" i="19" a="1"/>
  <c r="B281" i="19" s="1"/>
  <c r="U280" i="19" a="1"/>
  <c r="U280" i="19" s="1"/>
  <c r="T280" i="19" a="1"/>
  <c r="T280" i="19" s="1"/>
  <c r="S280" i="19" a="1"/>
  <c r="S280" i="19" s="1"/>
  <c r="Q280" i="19" a="1"/>
  <c r="Q280" i="19" s="1"/>
  <c r="P280" i="19"/>
  <c r="O280" i="19" a="1"/>
  <c r="O280" i="19" s="1"/>
  <c r="N280" i="19" a="1"/>
  <c r="N280" i="19" s="1"/>
  <c r="L280" i="19" a="1"/>
  <c r="L280" i="19" s="1"/>
  <c r="K280" i="19"/>
  <c r="J280" i="19" a="1"/>
  <c r="J280" i="19" s="1"/>
  <c r="I280" i="19" a="1"/>
  <c r="I280" i="19" s="1"/>
  <c r="H280" i="19" a="1"/>
  <c r="H280" i="19" s="1"/>
  <c r="G280" i="19" a="1"/>
  <c r="G280" i="19" s="1"/>
  <c r="F280" i="19" a="1"/>
  <c r="F280" i="19" s="1"/>
  <c r="E280" i="19" a="1"/>
  <c r="E280" i="19" s="1"/>
  <c r="D280" i="19" a="1"/>
  <c r="D280" i="19" s="1"/>
  <c r="C280" i="19" a="1"/>
  <c r="C280" i="19" s="1"/>
  <c r="B280" i="19" a="1"/>
  <c r="B280" i="19" s="1"/>
  <c r="U279" i="19" a="1"/>
  <c r="U279" i="19" s="1"/>
  <c r="T279" i="19" a="1"/>
  <c r="T279" i="19" s="1"/>
  <c r="S279" i="19" a="1"/>
  <c r="S279" i="19" s="1"/>
  <c r="Q279" i="19" a="1"/>
  <c r="Q279" i="19" s="1"/>
  <c r="P279" i="19"/>
  <c r="O279" i="19" a="1"/>
  <c r="O279" i="19" s="1"/>
  <c r="N279" i="19" a="1"/>
  <c r="N279" i="19" s="1"/>
  <c r="L279" i="19" a="1"/>
  <c r="L279" i="19" s="1"/>
  <c r="K279" i="19"/>
  <c r="J279" i="19" a="1"/>
  <c r="J279" i="19" s="1"/>
  <c r="I279" i="19" a="1"/>
  <c r="I279" i="19" s="1"/>
  <c r="H279" i="19" a="1"/>
  <c r="H279" i="19" s="1"/>
  <c r="G279" i="19" a="1"/>
  <c r="G279" i="19" s="1"/>
  <c r="F279" i="19" a="1"/>
  <c r="F279" i="19" s="1"/>
  <c r="E279" i="19" a="1"/>
  <c r="E279" i="19" s="1"/>
  <c r="D279" i="19" a="1"/>
  <c r="D279" i="19" s="1"/>
  <c r="C279" i="19" a="1"/>
  <c r="C279" i="19" s="1"/>
  <c r="B279" i="19" a="1"/>
  <c r="B279" i="19" s="1"/>
  <c r="U278" i="19" a="1"/>
  <c r="U278" i="19" s="1"/>
  <c r="T278" i="19" a="1"/>
  <c r="T278" i="19" s="1"/>
  <c r="S278" i="19" a="1"/>
  <c r="S278" i="19" s="1"/>
  <c r="Q278" i="19" a="1"/>
  <c r="Q278" i="19" s="1"/>
  <c r="P278" i="19"/>
  <c r="O278" i="19" a="1"/>
  <c r="O278" i="19" s="1"/>
  <c r="N278" i="19" a="1"/>
  <c r="N278" i="19" s="1"/>
  <c r="L278" i="19" a="1"/>
  <c r="L278" i="19" s="1"/>
  <c r="K278" i="19"/>
  <c r="J278" i="19" a="1"/>
  <c r="J278" i="19" s="1"/>
  <c r="I278" i="19" a="1"/>
  <c r="I278" i="19" s="1"/>
  <c r="H278" i="19" a="1"/>
  <c r="H278" i="19" s="1"/>
  <c r="G278" i="19" a="1"/>
  <c r="G278" i="19" s="1"/>
  <c r="F278" i="19" a="1"/>
  <c r="F278" i="19" s="1"/>
  <c r="E278" i="19" a="1"/>
  <c r="E278" i="19" s="1"/>
  <c r="D278" i="19" a="1"/>
  <c r="D278" i="19" s="1"/>
  <c r="C278" i="19" a="1"/>
  <c r="C278" i="19" s="1"/>
  <c r="B278" i="19" a="1"/>
  <c r="B278" i="19" s="1"/>
  <c r="U277" i="19" a="1"/>
  <c r="U277" i="19" s="1"/>
  <c r="T277" i="19" a="1"/>
  <c r="T277" i="19" s="1"/>
  <c r="S277" i="19" a="1"/>
  <c r="S277" i="19" s="1"/>
  <c r="Q277" i="19" a="1"/>
  <c r="Q277" i="19" s="1"/>
  <c r="P277" i="19"/>
  <c r="O277" i="19" a="1"/>
  <c r="O277" i="19" s="1"/>
  <c r="N277" i="19" a="1"/>
  <c r="N277" i="19" s="1"/>
  <c r="L277" i="19" a="1"/>
  <c r="L277" i="19" s="1"/>
  <c r="K277" i="19"/>
  <c r="J277" i="19" a="1"/>
  <c r="J277" i="19" s="1"/>
  <c r="I277" i="19" a="1"/>
  <c r="I277" i="19" s="1"/>
  <c r="H277" i="19" a="1"/>
  <c r="H277" i="19" s="1"/>
  <c r="G277" i="19" a="1"/>
  <c r="G277" i="19" s="1"/>
  <c r="F277" i="19" a="1"/>
  <c r="F277" i="19" s="1"/>
  <c r="E277" i="19" a="1"/>
  <c r="E277" i="19" s="1"/>
  <c r="D277" i="19" a="1"/>
  <c r="D277" i="19" s="1"/>
  <c r="C277" i="19" a="1"/>
  <c r="C277" i="19" s="1"/>
  <c r="B277" i="19" a="1"/>
  <c r="B277" i="19" s="1"/>
  <c r="U276" i="19" a="1"/>
  <c r="U276" i="19" s="1"/>
  <c r="T276" i="19" a="1"/>
  <c r="T276" i="19" s="1"/>
  <c r="S276" i="19" a="1"/>
  <c r="S276" i="19" s="1"/>
  <c r="Q276" i="19" a="1"/>
  <c r="Q276" i="19" s="1"/>
  <c r="P276" i="19"/>
  <c r="O276" i="19" a="1"/>
  <c r="O276" i="19" s="1"/>
  <c r="N276" i="19" a="1"/>
  <c r="N276" i="19" s="1"/>
  <c r="L276" i="19" a="1"/>
  <c r="L276" i="19" s="1"/>
  <c r="K276" i="19"/>
  <c r="J276" i="19" a="1"/>
  <c r="J276" i="19" s="1"/>
  <c r="I276" i="19" a="1"/>
  <c r="I276" i="19" s="1"/>
  <c r="H276" i="19" a="1"/>
  <c r="H276" i="19" s="1"/>
  <c r="G276" i="19" a="1"/>
  <c r="G276" i="19" s="1"/>
  <c r="F276" i="19" a="1"/>
  <c r="F276" i="19" s="1"/>
  <c r="E276" i="19" a="1"/>
  <c r="E276" i="19" s="1"/>
  <c r="D276" i="19" a="1"/>
  <c r="D276" i="19" s="1"/>
  <c r="C276" i="19" a="1"/>
  <c r="C276" i="19" s="1"/>
  <c r="B276" i="19" a="1"/>
  <c r="B276" i="19" s="1"/>
  <c r="U275" i="19" a="1"/>
  <c r="U275" i="19" s="1"/>
  <c r="T275" i="19" a="1"/>
  <c r="T275" i="19" s="1"/>
  <c r="S275" i="19" a="1"/>
  <c r="S275" i="19" s="1"/>
  <c r="Q275" i="19" a="1"/>
  <c r="Q275" i="19" s="1"/>
  <c r="P275" i="19"/>
  <c r="O275" i="19" a="1"/>
  <c r="O275" i="19" s="1"/>
  <c r="N275" i="19" a="1"/>
  <c r="N275" i="19" s="1"/>
  <c r="L275" i="19" a="1"/>
  <c r="L275" i="19" s="1"/>
  <c r="K275" i="19"/>
  <c r="J275" i="19" a="1"/>
  <c r="J275" i="19" s="1"/>
  <c r="I275" i="19" a="1"/>
  <c r="I275" i="19" s="1"/>
  <c r="H275" i="19" a="1"/>
  <c r="H275" i="19" s="1"/>
  <c r="G275" i="19" a="1"/>
  <c r="G275" i="19" s="1"/>
  <c r="F275" i="19" a="1"/>
  <c r="F275" i="19" s="1"/>
  <c r="E275" i="19" a="1"/>
  <c r="E275" i="19" s="1"/>
  <c r="D275" i="19" a="1"/>
  <c r="D275" i="19" s="1"/>
  <c r="C275" i="19" a="1"/>
  <c r="C275" i="19" s="1"/>
  <c r="B275" i="19" a="1"/>
  <c r="B275" i="19" s="1"/>
  <c r="U274" i="19" a="1"/>
  <c r="U274" i="19" s="1"/>
  <c r="T274" i="19" a="1"/>
  <c r="T274" i="19" s="1"/>
  <c r="S274" i="19" a="1"/>
  <c r="S274" i="19" s="1"/>
  <c r="Q274" i="19" a="1"/>
  <c r="Q274" i="19" s="1"/>
  <c r="P274" i="19"/>
  <c r="O274" i="19" a="1"/>
  <c r="O274" i="19" s="1"/>
  <c r="N274" i="19" a="1"/>
  <c r="N274" i="19" s="1"/>
  <c r="L274" i="19" a="1"/>
  <c r="L274" i="19" s="1"/>
  <c r="K274" i="19"/>
  <c r="J274" i="19" a="1"/>
  <c r="J274" i="19" s="1"/>
  <c r="I274" i="19" a="1"/>
  <c r="I274" i="19" s="1"/>
  <c r="H274" i="19" a="1"/>
  <c r="H274" i="19" s="1"/>
  <c r="G274" i="19" a="1"/>
  <c r="G274" i="19" s="1"/>
  <c r="F274" i="19" a="1"/>
  <c r="F274" i="19" s="1"/>
  <c r="E274" i="19" a="1"/>
  <c r="E274" i="19" s="1"/>
  <c r="D274" i="19" a="1"/>
  <c r="D274" i="19" s="1"/>
  <c r="C274" i="19" a="1"/>
  <c r="C274" i="19" s="1"/>
  <c r="B274" i="19" a="1"/>
  <c r="B274" i="19" s="1"/>
  <c r="U273" i="19" a="1"/>
  <c r="U273" i="19" s="1"/>
  <c r="T273" i="19" a="1"/>
  <c r="T273" i="19" s="1"/>
  <c r="S273" i="19" a="1"/>
  <c r="S273" i="19" s="1"/>
  <c r="Q273" i="19" a="1"/>
  <c r="Q273" i="19" s="1"/>
  <c r="P273" i="19"/>
  <c r="O273" i="19" a="1"/>
  <c r="O273" i="19" s="1"/>
  <c r="N273" i="19" a="1"/>
  <c r="N273" i="19" s="1"/>
  <c r="L273" i="19" a="1"/>
  <c r="L273" i="19" s="1"/>
  <c r="K273" i="19"/>
  <c r="J273" i="19" a="1"/>
  <c r="J273" i="19" s="1"/>
  <c r="I273" i="19" a="1"/>
  <c r="I273" i="19" s="1"/>
  <c r="H273" i="19" a="1"/>
  <c r="H273" i="19" s="1"/>
  <c r="G273" i="19" a="1"/>
  <c r="G273" i="19" s="1"/>
  <c r="F273" i="19" a="1"/>
  <c r="F273" i="19" s="1"/>
  <c r="E273" i="19" a="1"/>
  <c r="E273" i="19" s="1"/>
  <c r="D273" i="19" a="1"/>
  <c r="D273" i="19" s="1"/>
  <c r="C273" i="19" a="1"/>
  <c r="C273" i="19" s="1"/>
  <c r="B273" i="19" a="1"/>
  <c r="B273" i="19" s="1"/>
  <c r="U272" i="19" a="1"/>
  <c r="U272" i="19" s="1"/>
  <c r="T272" i="19" a="1"/>
  <c r="T272" i="19" s="1"/>
  <c r="S272" i="19" a="1"/>
  <c r="S272" i="19" s="1"/>
  <c r="Q272" i="19" a="1"/>
  <c r="Q272" i="19" s="1"/>
  <c r="P272" i="19"/>
  <c r="O272" i="19" a="1"/>
  <c r="O272" i="19" s="1"/>
  <c r="N272" i="19" a="1"/>
  <c r="N272" i="19" s="1"/>
  <c r="L272" i="19" a="1"/>
  <c r="L272" i="19" s="1"/>
  <c r="K272" i="19"/>
  <c r="J272" i="19" a="1"/>
  <c r="J272" i="19" s="1"/>
  <c r="I272" i="19" a="1"/>
  <c r="I272" i="19" s="1"/>
  <c r="H272" i="19" a="1"/>
  <c r="H272" i="19" s="1"/>
  <c r="G272" i="19" a="1"/>
  <c r="G272" i="19" s="1"/>
  <c r="F272" i="19" a="1"/>
  <c r="F272" i="19" s="1"/>
  <c r="E272" i="19" a="1"/>
  <c r="E272" i="19" s="1"/>
  <c r="D272" i="19" a="1"/>
  <c r="D272" i="19" s="1"/>
  <c r="C272" i="19" a="1"/>
  <c r="C272" i="19" s="1"/>
  <c r="B272" i="19" a="1"/>
  <c r="B272" i="19" s="1"/>
  <c r="U271" i="19" a="1"/>
  <c r="U271" i="19" s="1"/>
  <c r="T271" i="19" a="1"/>
  <c r="T271" i="19" s="1"/>
  <c r="S271" i="19" a="1"/>
  <c r="S271" i="19" s="1"/>
  <c r="Q271" i="19" a="1"/>
  <c r="Q271" i="19" s="1"/>
  <c r="P271" i="19"/>
  <c r="O271" i="19" a="1"/>
  <c r="O271" i="19" s="1"/>
  <c r="N271" i="19" a="1"/>
  <c r="N271" i="19" s="1"/>
  <c r="L271" i="19" a="1"/>
  <c r="L271" i="19" s="1"/>
  <c r="K271" i="19"/>
  <c r="J271" i="19" a="1"/>
  <c r="J271" i="19" s="1"/>
  <c r="I271" i="19" a="1"/>
  <c r="I271" i="19" s="1"/>
  <c r="H271" i="19" a="1"/>
  <c r="H271" i="19" s="1"/>
  <c r="G271" i="19" a="1"/>
  <c r="G271" i="19" s="1"/>
  <c r="F271" i="19" a="1"/>
  <c r="F271" i="19" s="1"/>
  <c r="E271" i="19" a="1"/>
  <c r="E271" i="19" s="1"/>
  <c r="D271" i="19" a="1"/>
  <c r="D271" i="19" s="1"/>
  <c r="C271" i="19" a="1"/>
  <c r="C271" i="19" s="1"/>
  <c r="B271" i="19" a="1"/>
  <c r="B271" i="19" s="1"/>
  <c r="U270" i="19" a="1"/>
  <c r="U270" i="19" s="1"/>
  <c r="T270" i="19" a="1"/>
  <c r="T270" i="19" s="1"/>
  <c r="S270" i="19" a="1"/>
  <c r="S270" i="19" s="1"/>
  <c r="Q270" i="19" a="1"/>
  <c r="Q270" i="19" s="1"/>
  <c r="P270" i="19"/>
  <c r="O270" i="19" a="1"/>
  <c r="O270" i="19" s="1"/>
  <c r="N270" i="19" a="1"/>
  <c r="N270" i="19" s="1"/>
  <c r="L270" i="19" a="1"/>
  <c r="L270" i="19" s="1"/>
  <c r="K270" i="19"/>
  <c r="J270" i="19" a="1"/>
  <c r="J270" i="19" s="1"/>
  <c r="I270" i="19" a="1"/>
  <c r="I270" i="19" s="1"/>
  <c r="H270" i="19" a="1"/>
  <c r="H270" i="19" s="1"/>
  <c r="G270" i="19" a="1"/>
  <c r="G270" i="19" s="1"/>
  <c r="F270" i="19" a="1"/>
  <c r="F270" i="19" s="1"/>
  <c r="E270" i="19" a="1"/>
  <c r="E270" i="19" s="1"/>
  <c r="D270" i="19" a="1"/>
  <c r="D270" i="19" s="1"/>
  <c r="C270" i="19" a="1"/>
  <c r="C270" i="19" s="1"/>
  <c r="B270" i="19" a="1"/>
  <c r="B270" i="19" s="1"/>
  <c r="U269" i="19" a="1"/>
  <c r="U269" i="19" s="1"/>
  <c r="T269" i="19" a="1"/>
  <c r="T269" i="19" s="1"/>
  <c r="S269" i="19" a="1"/>
  <c r="S269" i="19" s="1"/>
  <c r="Q269" i="19" a="1"/>
  <c r="Q269" i="19" s="1"/>
  <c r="P269" i="19"/>
  <c r="O269" i="19" a="1"/>
  <c r="O269" i="19" s="1"/>
  <c r="N269" i="19" a="1"/>
  <c r="N269" i="19" s="1"/>
  <c r="L269" i="19" a="1"/>
  <c r="L269" i="19" s="1"/>
  <c r="K269" i="19"/>
  <c r="J269" i="19" a="1"/>
  <c r="J269" i="19" s="1"/>
  <c r="I269" i="19" a="1"/>
  <c r="I269" i="19" s="1"/>
  <c r="H269" i="19" a="1"/>
  <c r="H269" i="19" s="1"/>
  <c r="G269" i="19" a="1"/>
  <c r="G269" i="19" s="1"/>
  <c r="F269" i="19" a="1"/>
  <c r="F269" i="19" s="1"/>
  <c r="E269" i="19" a="1"/>
  <c r="E269" i="19" s="1"/>
  <c r="D269" i="19" a="1"/>
  <c r="D269" i="19" s="1"/>
  <c r="C269" i="19" a="1"/>
  <c r="C269" i="19" s="1"/>
  <c r="B269" i="19" a="1"/>
  <c r="B269" i="19" s="1"/>
  <c r="U268" i="19" a="1"/>
  <c r="U268" i="19" s="1"/>
  <c r="T268" i="19" a="1"/>
  <c r="T268" i="19" s="1"/>
  <c r="S268" i="19" a="1"/>
  <c r="S268" i="19" s="1"/>
  <c r="Q268" i="19" a="1"/>
  <c r="Q268" i="19" s="1"/>
  <c r="P268" i="19"/>
  <c r="O268" i="19" a="1"/>
  <c r="O268" i="19" s="1"/>
  <c r="N268" i="19" a="1"/>
  <c r="N268" i="19" s="1"/>
  <c r="L268" i="19" a="1"/>
  <c r="L268" i="19" s="1"/>
  <c r="K268" i="19"/>
  <c r="J268" i="19" a="1"/>
  <c r="J268" i="19" s="1"/>
  <c r="I268" i="19" a="1"/>
  <c r="I268" i="19" s="1"/>
  <c r="H268" i="19" a="1"/>
  <c r="H268" i="19" s="1"/>
  <c r="G268" i="19" a="1"/>
  <c r="G268" i="19" s="1"/>
  <c r="F268" i="19" a="1"/>
  <c r="F268" i="19" s="1"/>
  <c r="E268" i="19" a="1"/>
  <c r="E268" i="19" s="1"/>
  <c r="D268" i="19" a="1"/>
  <c r="D268" i="19" s="1"/>
  <c r="C268" i="19" a="1"/>
  <c r="C268" i="19" s="1"/>
  <c r="B268" i="19" a="1"/>
  <c r="B268" i="19" s="1"/>
  <c r="U267" i="19" a="1"/>
  <c r="U267" i="19" s="1"/>
  <c r="T267" i="19" a="1"/>
  <c r="T267" i="19" s="1"/>
  <c r="S267" i="19" a="1"/>
  <c r="S267" i="19" s="1"/>
  <c r="Q267" i="19" a="1"/>
  <c r="Q267" i="19" s="1"/>
  <c r="P267" i="19"/>
  <c r="O267" i="19" a="1"/>
  <c r="O267" i="19" s="1"/>
  <c r="N267" i="19" a="1"/>
  <c r="N267" i="19" s="1"/>
  <c r="L267" i="19" a="1"/>
  <c r="L267" i="19" s="1"/>
  <c r="K267" i="19"/>
  <c r="J267" i="19" a="1"/>
  <c r="J267" i="19" s="1"/>
  <c r="I267" i="19" a="1"/>
  <c r="I267" i="19" s="1"/>
  <c r="H267" i="19" a="1"/>
  <c r="H267" i="19" s="1"/>
  <c r="G267" i="19" a="1"/>
  <c r="G267" i="19" s="1"/>
  <c r="F267" i="19" a="1"/>
  <c r="F267" i="19" s="1"/>
  <c r="E267" i="19" a="1"/>
  <c r="E267" i="19" s="1"/>
  <c r="D267" i="19" a="1"/>
  <c r="D267" i="19" s="1"/>
  <c r="C267" i="19" a="1"/>
  <c r="C267" i="19" s="1"/>
  <c r="B267" i="19" a="1"/>
  <c r="B267" i="19" s="1"/>
  <c r="U266" i="19" a="1"/>
  <c r="U266" i="19" s="1"/>
  <c r="T266" i="19" a="1"/>
  <c r="T266" i="19" s="1"/>
  <c r="S266" i="19" a="1"/>
  <c r="S266" i="19" s="1"/>
  <c r="Q266" i="19" a="1"/>
  <c r="Q266" i="19" s="1"/>
  <c r="P266" i="19"/>
  <c r="O266" i="19" a="1"/>
  <c r="O266" i="19" s="1"/>
  <c r="N266" i="19" a="1"/>
  <c r="N266" i="19" s="1"/>
  <c r="L266" i="19" a="1"/>
  <c r="L266" i="19" s="1"/>
  <c r="K266" i="19"/>
  <c r="J266" i="19" a="1"/>
  <c r="J266" i="19" s="1"/>
  <c r="I266" i="19" a="1"/>
  <c r="I266" i="19" s="1"/>
  <c r="H266" i="19" a="1"/>
  <c r="H266" i="19" s="1"/>
  <c r="G266" i="19" a="1"/>
  <c r="G266" i="19" s="1"/>
  <c r="F266" i="19" a="1"/>
  <c r="F266" i="19" s="1"/>
  <c r="E266" i="19" a="1"/>
  <c r="E266" i="19" s="1"/>
  <c r="D266" i="19" a="1"/>
  <c r="D266" i="19" s="1"/>
  <c r="C266" i="19" a="1"/>
  <c r="C266" i="19" s="1"/>
  <c r="B266" i="19" a="1"/>
  <c r="B266" i="19" s="1"/>
  <c r="U265" i="19" a="1"/>
  <c r="U265" i="19" s="1"/>
  <c r="T265" i="19" a="1"/>
  <c r="T265" i="19" s="1"/>
  <c r="S265" i="19" a="1"/>
  <c r="S265" i="19" s="1"/>
  <c r="Q265" i="19" a="1"/>
  <c r="Q265" i="19" s="1"/>
  <c r="P265" i="19"/>
  <c r="O265" i="19" a="1"/>
  <c r="O265" i="19" s="1"/>
  <c r="N265" i="19" a="1"/>
  <c r="N265" i="19" s="1"/>
  <c r="L265" i="19" a="1"/>
  <c r="L265" i="19" s="1"/>
  <c r="K265" i="19"/>
  <c r="J265" i="19" a="1"/>
  <c r="J265" i="19" s="1"/>
  <c r="I265" i="19" a="1"/>
  <c r="I265" i="19" s="1"/>
  <c r="H265" i="19" a="1"/>
  <c r="H265" i="19" s="1"/>
  <c r="G265" i="19" a="1"/>
  <c r="G265" i="19" s="1"/>
  <c r="F265" i="19" a="1"/>
  <c r="F265" i="19" s="1"/>
  <c r="E265" i="19" a="1"/>
  <c r="E265" i="19" s="1"/>
  <c r="D265" i="19" a="1"/>
  <c r="D265" i="19" s="1"/>
  <c r="C265" i="19" a="1"/>
  <c r="C265" i="19" s="1"/>
  <c r="B265" i="19" a="1"/>
  <c r="B265" i="19" s="1"/>
  <c r="U264" i="19" a="1"/>
  <c r="U264" i="19" s="1"/>
  <c r="T264" i="19" a="1"/>
  <c r="T264" i="19" s="1"/>
  <c r="S264" i="19" a="1"/>
  <c r="S264" i="19" s="1"/>
  <c r="Q264" i="19" a="1"/>
  <c r="Q264" i="19" s="1"/>
  <c r="P264" i="19"/>
  <c r="O264" i="19" a="1"/>
  <c r="O264" i="19" s="1"/>
  <c r="N264" i="19" a="1"/>
  <c r="N264" i="19" s="1"/>
  <c r="L264" i="19" a="1"/>
  <c r="L264" i="19" s="1"/>
  <c r="K264" i="19"/>
  <c r="J264" i="19" a="1"/>
  <c r="J264" i="19" s="1"/>
  <c r="I264" i="19" a="1"/>
  <c r="I264" i="19" s="1"/>
  <c r="H264" i="19" a="1"/>
  <c r="H264" i="19" s="1"/>
  <c r="G264" i="19" a="1"/>
  <c r="G264" i="19" s="1"/>
  <c r="F264" i="19" a="1"/>
  <c r="F264" i="19" s="1"/>
  <c r="E264" i="19" a="1"/>
  <c r="E264" i="19" s="1"/>
  <c r="D264" i="19" a="1"/>
  <c r="D264" i="19" s="1"/>
  <c r="C264" i="19" a="1"/>
  <c r="C264" i="19" s="1"/>
  <c r="B264" i="19" a="1"/>
  <c r="B264" i="19" s="1"/>
  <c r="U263" i="19" a="1"/>
  <c r="U263" i="19" s="1"/>
  <c r="T263" i="19" a="1"/>
  <c r="T263" i="19" s="1"/>
  <c r="S263" i="19" a="1"/>
  <c r="S263" i="19" s="1"/>
  <c r="Q263" i="19" a="1"/>
  <c r="Q263" i="19" s="1"/>
  <c r="P263" i="19"/>
  <c r="O263" i="19" a="1"/>
  <c r="O263" i="19" s="1"/>
  <c r="N263" i="19" a="1"/>
  <c r="N263" i="19" s="1"/>
  <c r="L263" i="19" a="1"/>
  <c r="L263" i="19" s="1"/>
  <c r="K263" i="19"/>
  <c r="J263" i="19" a="1"/>
  <c r="J263" i="19" s="1"/>
  <c r="I263" i="19" a="1"/>
  <c r="I263" i="19" s="1"/>
  <c r="H263" i="19" a="1"/>
  <c r="H263" i="19" s="1"/>
  <c r="G263" i="19" a="1"/>
  <c r="G263" i="19" s="1"/>
  <c r="F263" i="19" a="1"/>
  <c r="F263" i="19" s="1"/>
  <c r="E263" i="19" a="1"/>
  <c r="E263" i="19" s="1"/>
  <c r="D263" i="19" a="1"/>
  <c r="D263" i="19" s="1"/>
  <c r="C263" i="19" a="1"/>
  <c r="C263" i="19" s="1"/>
  <c r="B263" i="19" a="1"/>
  <c r="B263" i="19" s="1"/>
  <c r="U262" i="19" a="1"/>
  <c r="U262" i="19" s="1"/>
  <c r="T262" i="19" a="1"/>
  <c r="T262" i="19" s="1"/>
  <c r="S262" i="19" a="1"/>
  <c r="S262" i="19" s="1"/>
  <c r="Q262" i="19" a="1"/>
  <c r="Q262" i="19" s="1"/>
  <c r="P262" i="19"/>
  <c r="O262" i="19" a="1"/>
  <c r="O262" i="19" s="1"/>
  <c r="N262" i="19" a="1"/>
  <c r="N262" i="19" s="1"/>
  <c r="L262" i="19" a="1"/>
  <c r="L262" i="19" s="1"/>
  <c r="K262" i="19"/>
  <c r="J262" i="19" a="1"/>
  <c r="J262" i="19" s="1"/>
  <c r="I262" i="19" a="1"/>
  <c r="I262" i="19" s="1"/>
  <c r="H262" i="19" a="1"/>
  <c r="H262" i="19" s="1"/>
  <c r="G262" i="19" a="1"/>
  <c r="G262" i="19" s="1"/>
  <c r="F262" i="19" a="1"/>
  <c r="F262" i="19" s="1"/>
  <c r="E262" i="19" a="1"/>
  <c r="E262" i="19" s="1"/>
  <c r="D262" i="19" a="1"/>
  <c r="D262" i="19" s="1"/>
  <c r="C262" i="19" a="1"/>
  <c r="C262" i="19" s="1"/>
  <c r="B262" i="19" a="1"/>
  <c r="B262" i="19" s="1"/>
  <c r="U261" i="19" a="1"/>
  <c r="U261" i="19" s="1"/>
  <c r="T261" i="19" a="1"/>
  <c r="T261" i="19" s="1"/>
  <c r="S261" i="19" a="1"/>
  <c r="S261" i="19" s="1"/>
  <c r="Q261" i="19" a="1"/>
  <c r="Q261" i="19" s="1"/>
  <c r="P261" i="19"/>
  <c r="O261" i="19" a="1"/>
  <c r="O261" i="19" s="1"/>
  <c r="N261" i="19" a="1"/>
  <c r="N261" i="19" s="1"/>
  <c r="L261" i="19" a="1"/>
  <c r="L261" i="19" s="1"/>
  <c r="K261" i="19"/>
  <c r="J261" i="19" a="1"/>
  <c r="J261" i="19" s="1"/>
  <c r="I261" i="19" a="1"/>
  <c r="I261" i="19" s="1"/>
  <c r="H261" i="19" a="1"/>
  <c r="H261" i="19" s="1"/>
  <c r="G261" i="19" a="1"/>
  <c r="G261" i="19" s="1"/>
  <c r="F261" i="19" a="1"/>
  <c r="F261" i="19" s="1"/>
  <c r="E261" i="19" a="1"/>
  <c r="E261" i="19" s="1"/>
  <c r="D261" i="19" a="1"/>
  <c r="D261" i="19" s="1"/>
  <c r="C261" i="19" a="1"/>
  <c r="C261" i="19" s="1"/>
  <c r="B261" i="19" a="1"/>
  <c r="B261" i="19" s="1"/>
  <c r="U260" i="19" a="1"/>
  <c r="U260" i="19" s="1"/>
  <c r="T260" i="19" a="1"/>
  <c r="T260" i="19" s="1"/>
  <c r="S260" i="19" a="1"/>
  <c r="S260" i="19" s="1"/>
  <c r="Q260" i="19" a="1"/>
  <c r="Q260" i="19" s="1"/>
  <c r="P260" i="19"/>
  <c r="O260" i="19" a="1"/>
  <c r="O260" i="19" s="1"/>
  <c r="N260" i="19" a="1"/>
  <c r="N260" i="19" s="1"/>
  <c r="L260" i="19" a="1"/>
  <c r="L260" i="19" s="1"/>
  <c r="K260" i="19"/>
  <c r="J260" i="19" a="1"/>
  <c r="J260" i="19" s="1"/>
  <c r="I260" i="19" a="1"/>
  <c r="I260" i="19" s="1"/>
  <c r="H260" i="19" a="1"/>
  <c r="H260" i="19" s="1"/>
  <c r="G260" i="19" a="1"/>
  <c r="G260" i="19" s="1"/>
  <c r="F260" i="19" a="1"/>
  <c r="F260" i="19" s="1"/>
  <c r="E260" i="19" a="1"/>
  <c r="E260" i="19" s="1"/>
  <c r="D260" i="19" a="1"/>
  <c r="D260" i="19" s="1"/>
  <c r="C260" i="19" a="1"/>
  <c r="C260" i="19" s="1"/>
  <c r="B260" i="19" a="1"/>
  <c r="B260" i="19" s="1"/>
  <c r="U259" i="19" a="1"/>
  <c r="U259" i="19" s="1"/>
  <c r="T259" i="19" a="1"/>
  <c r="T259" i="19" s="1"/>
  <c r="S259" i="19" a="1"/>
  <c r="S259" i="19" s="1"/>
  <c r="Q259" i="19" a="1"/>
  <c r="Q259" i="19" s="1"/>
  <c r="P259" i="19"/>
  <c r="O259" i="19" a="1"/>
  <c r="O259" i="19" s="1"/>
  <c r="N259" i="19" a="1"/>
  <c r="N259" i="19" s="1"/>
  <c r="L259" i="19" a="1"/>
  <c r="L259" i="19" s="1"/>
  <c r="K259" i="19"/>
  <c r="J259" i="19" a="1"/>
  <c r="J259" i="19" s="1"/>
  <c r="I259" i="19" a="1"/>
  <c r="I259" i="19" s="1"/>
  <c r="H259" i="19" a="1"/>
  <c r="H259" i="19" s="1"/>
  <c r="G259" i="19" a="1"/>
  <c r="G259" i="19" s="1"/>
  <c r="F259" i="19" a="1"/>
  <c r="F259" i="19" s="1"/>
  <c r="E259" i="19" a="1"/>
  <c r="E259" i="19" s="1"/>
  <c r="D259" i="19" a="1"/>
  <c r="D259" i="19" s="1"/>
  <c r="C259" i="19" a="1"/>
  <c r="C259" i="19" s="1"/>
  <c r="B259" i="19" a="1"/>
  <c r="B259" i="19" s="1"/>
  <c r="U258" i="19" a="1"/>
  <c r="U258" i="19" s="1"/>
  <c r="T258" i="19" a="1"/>
  <c r="T258" i="19" s="1"/>
  <c r="S258" i="19" a="1"/>
  <c r="S258" i="19" s="1"/>
  <c r="Q258" i="19" a="1"/>
  <c r="Q258" i="19" s="1"/>
  <c r="P258" i="19"/>
  <c r="O258" i="19" a="1"/>
  <c r="O258" i="19" s="1"/>
  <c r="N258" i="19" a="1"/>
  <c r="N258" i="19" s="1"/>
  <c r="L258" i="19" a="1"/>
  <c r="L258" i="19" s="1"/>
  <c r="K258" i="19"/>
  <c r="J258" i="19" a="1"/>
  <c r="J258" i="19" s="1"/>
  <c r="I258" i="19" a="1"/>
  <c r="I258" i="19" s="1"/>
  <c r="H258" i="19" a="1"/>
  <c r="H258" i="19" s="1"/>
  <c r="G258" i="19" a="1"/>
  <c r="G258" i="19" s="1"/>
  <c r="F258" i="19" a="1"/>
  <c r="F258" i="19" s="1"/>
  <c r="E258" i="19" a="1"/>
  <c r="E258" i="19" s="1"/>
  <c r="D258" i="19" a="1"/>
  <c r="D258" i="19" s="1"/>
  <c r="C258" i="19" a="1"/>
  <c r="C258" i="19" s="1"/>
  <c r="B258" i="19" a="1"/>
  <c r="B258" i="19" s="1"/>
  <c r="U257" i="19" a="1"/>
  <c r="U257" i="19" s="1"/>
  <c r="T257" i="19" a="1"/>
  <c r="T257" i="19" s="1"/>
  <c r="S257" i="19" a="1"/>
  <c r="S257" i="19" s="1"/>
  <c r="Q257" i="19" a="1"/>
  <c r="Q257" i="19" s="1"/>
  <c r="P257" i="19"/>
  <c r="O257" i="19" a="1"/>
  <c r="O257" i="19" s="1"/>
  <c r="N257" i="19" a="1"/>
  <c r="N257" i="19" s="1"/>
  <c r="L257" i="19" a="1"/>
  <c r="L257" i="19" s="1"/>
  <c r="K257" i="19"/>
  <c r="J257" i="19" a="1"/>
  <c r="J257" i="19" s="1"/>
  <c r="I257" i="19" a="1"/>
  <c r="I257" i="19" s="1"/>
  <c r="H257" i="19" a="1"/>
  <c r="H257" i="19" s="1"/>
  <c r="G257" i="19" a="1"/>
  <c r="G257" i="19" s="1"/>
  <c r="F257" i="19" a="1"/>
  <c r="F257" i="19" s="1"/>
  <c r="E257" i="19" a="1"/>
  <c r="E257" i="19" s="1"/>
  <c r="D257" i="19" a="1"/>
  <c r="D257" i="19" s="1"/>
  <c r="C257" i="19" a="1"/>
  <c r="C257" i="19" s="1"/>
  <c r="B257" i="19" a="1"/>
  <c r="B257" i="19" s="1"/>
  <c r="U256" i="19" a="1"/>
  <c r="U256" i="19" s="1"/>
  <c r="T256" i="19" a="1"/>
  <c r="T256" i="19" s="1"/>
  <c r="S256" i="19" a="1"/>
  <c r="S256" i="19" s="1"/>
  <c r="Q256" i="19" a="1"/>
  <c r="Q256" i="19" s="1"/>
  <c r="P256" i="19"/>
  <c r="O256" i="19" a="1"/>
  <c r="O256" i="19" s="1"/>
  <c r="N256" i="19" a="1"/>
  <c r="N256" i="19" s="1"/>
  <c r="L256" i="19" a="1"/>
  <c r="L256" i="19" s="1"/>
  <c r="K256" i="19"/>
  <c r="J256" i="19" a="1"/>
  <c r="J256" i="19" s="1"/>
  <c r="I256" i="19" a="1"/>
  <c r="I256" i="19" s="1"/>
  <c r="H256" i="19" a="1"/>
  <c r="H256" i="19" s="1"/>
  <c r="G256" i="19" a="1"/>
  <c r="G256" i="19" s="1"/>
  <c r="F256" i="19" a="1"/>
  <c r="F256" i="19" s="1"/>
  <c r="E256" i="19" a="1"/>
  <c r="E256" i="19" s="1"/>
  <c r="D256" i="19" a="1"/>
  <c r="D256" i="19" s="1"/>
  <c r="C256" i="19" a="1"/>
  <c r="C256" i="19" s="1"/>
  <c r="B256" i="19" a="1"/>
  <c r="B256" i="19" s="1"/>
  <c r="U255" i="19" a="1"/>
  <c r="U255" i="19" s="1"/>
  <c r="T255" i="19" a="1"/>
  <c r="T255" i="19" s="1"/>
  <c r="S255" i="19" a="1"/>
  <c r="S255" i="19" s="1"/>
  <c r="Q255" i="19" a="1"/>
  <c r="Q255" i="19" s="1"/>
  <c r="P255" i="19"/>
  <c r="O255" i="19" a="1"/>
  <c r="O255" i="19" s="1"/>
  <c r="N255" i="19" a="1"/>
  <c r="N255" i="19" s="1"/>
  <c r="L255" i="19" a="1"/>
  <c r="L255" i="19" s="1"/>
  <c r="K255" i="19"/>
  <c r="J255" i="19" a="1"/>
  <c r="J255" i="19" s="1"/>
  <c r="I255" i="19" a="1"/>
  <c r="I255" i="19" s="1"/>
  <c r="H255" i="19" a="1"/>
  <c r="H255" i="19" s="1"/>
  <c r="G255" i="19" a="1"/>
  <c r="G255" i="19" s="1"/>
  <c r="F255" i="19" a="1"/>
  <c r="F255" i="19" s="1"/>
  <c r="E255" i="19" a="1"/>
  <c r="E255" i="19" s="1"/>
  <c r="D255" i="19" a="1"/>
  <c r="D255" i="19" s="1"/>
  <c r="C255" i="19" a="1"/>
  <c r="C255" i="19" s="1"/>
  <c r="B255" i="19" a="1"/>
  <c r="B255" i="19" s="1"/>
  <c r="U254" i="19" a="1"/>
  <c r="U254" i="19" s="1"/>
  <c r="T254" i="19" a="1"/>
  <c r="T254" i="19" s="1"/>
  <c r="S254" i="19" a="1"/>
  <c r="S254" i="19" s="1"/>
  <c r="Q254" i="19" a="1"/>
  <c r="Q254" i="19" s="1"/>
  <c r="P254" i="19"/>
  <c r="O254" i="19" a="1"/>
  <c r="O254" i="19" s="1"/>
  <c r="N254" i="19" a="1"/>
  <c r="N254" i="19" s="1"/>
  <c r="L254" i="19" a="1"/>
  <c r="L254" i="19" s="1"/>
  <c r="K254" i="19"/>
  <c r="J254" i="19" a="1"/>
  <c r="J254" i="19" s="1"/>
  <c r="I254" i="19" a="1"/>
  <c r="I254" i="19" s="1"/>
  <c r="H254" i="19" a="1"/>
  <c r="H254" i="19" s="1"/>
  <c r="G254" i="19" a="1"/>
  <c r="G254" i="19" s="1"/>
  <c r="F254" i="19" a="1"/>
  <c r="F254" i="19" s="1"/>
  <c r="E254" i="19" a="1"/>
  <c r="E254" i="19" s="1"/>
  <c r="D254" i="19" a="1"/>
  <c r="D254" i="19" s="1"/>
  <c r="C254" i="19" a="1"/>
  <c r="C254" i="19" s="1"/>
  <c r="B254" i="19" a="1"/>
  <c r="B254" i="19" s="1"/>
  <c r="U253" i="19" a="1"/>
  <c r="U253" i="19" s="1"/>
  <c r="T253" i="19" a="1"/>
  <c r="T253" i="19" s="1"/>
  <c r="S253" i="19" a="1"/>
  <c r="S253" i="19" s="1"/>
  <c r="Q253" i="19" a="1"/>
  <c r="Q253" i="19" s="1"/>
  <c r="P253" i="19"/>
  <c r="O253" i="19" a="1"/>
  <c r="O253" i="19" s="1"/>
  <c r="N253" i="19" a="1"/>
  <c r="N253" i="19" s="1"/>
  <c r="L253" i="19" a="1"/>
  <c r="L253" i="19" s="1"/>
  <c r="K253" i="19"/>
  <c r="J253" i="19" a="1"/>
  <c r="J253" i="19" s="1"/>
  <c r="I253" i="19" a="1"/>
  <c r="I253" i="19" s="1"/>
  <c r="H253" i="19" a="1"/>
  <c r="H253" i="19" s="1"/>
  <c r="G253" i="19" a="1"/>
  <c r="G253" i="19" s="1"/>
  <c r="F253" i="19" a="1"/>
  <c r="F253" i="19" s="1"/>
  <c r="E253" i="19" a="1"/>
  <c r="E253" i="19" s="1"/>
  <c r="D253" i="19" a="1"/>
  <c r="D253" i="19" s="1"/>
  <c r="C253" i="19" a="1"/>
  <c r="C253" i="19" s="1"/>
  <c r="B253" i="19" a="1"/>
  <c r="B253" i="19" s="1"/>
  <c r="U252" i="19" a="1"/>
  <c r="U252" i="19" s="1"/>
  <c r="T252" i="19" a="1"/>
  <c r="T252" i="19" s="1"/>
  <c r="S252" i="19" a="1"/>
  <c r="S252" i="19" s="1"/>
  <c r="Q252" i="19" a="1"/>
  <c r="Q252" i="19" s="1"/>
  <c r="P252" i="19"/>
  <c r="O252" i="19" a="1"/>
  <c r="O252" i="19" s="1"/>
  <c r="N252" i="19" a="1"/>
  <c r="N252" i="19" s="1"/>
  <c r="L252" i="19" a="1"/>
  <c r="L252" i="19" s="1"/>
  <c r="K252" i="19"/>
  <c r="J252" i="19" a="1"/>
  <c r="J252" i="19" s="1"/>
  <c r="I252" i="19" a="1"/>
  <c r="I252" i="19" s="1"/>
  <c r="H252" i="19" a="1"/>
  <c r="H252" i="19" s="1"/>
  <c r="G252" i="19" a="1"/>
  <c r="G252" i="19" s="1"/>
  <c r="F252" i="19" a="1"/>
  <c r="F252" i="19" s="1"/>
  <c r="E252" i="19" a="1"/>
  <c r="E252" i="19" s="1"/>
  <c r="D252" i="19" a="1"/>
  <c r="D252" i="19" s="1"/>
  <c r="C252" i="19" a="1"/>
  <c r="C252" i="19" s="1"/>
  <c r="B252" i="19" a="1"/>
  <c r="B252" i="19" s="1"/>
  <c r="U251" i="19" a="1"/>
  <c r="U251" i="19" s="1"/>
  <c r="T251" i="19" a="1"/>
  <c r="T251" i="19" s="1"/>
  <c r="S251" i="19" a="1"/>
  <c r="S251" i="19" s="1"/>
  <c r="Q251" i="19" a="1"/>
  <c r="Q251" i="19" s="1"/>
  <c r="P251" i="19"/>
  <c r="O251" i="19" a="1"/>
  <c r="O251" i="19" s="1"/>
  <c r="N251" i="19" a="1"/>
  <c r="N251" i="19" s="1"/>
  <c r="L251" i="19" a="1"/>
  <c r="L251" i="19" s="1"/>
  <c r="K251" i="19"/>
  <c r="J251" i="19" a="1"/>
  <c r="J251" i="19" s="1"/>
  <c r="I251" i="19" a="1"/>
  <c r="I251" i="19" s="1"/>
  <c r="H251" i="19" a="1"/>
  <c r="H251" i="19" s="1"/>
  <c r="G251" i="19" a="1"/>
  <c r="G251" i="19" s="1"/>
  <c r="F251" i="19" a="1"/>
  <c r="F251" i="19" s="1"/>
  <c r="E251" i="19" a="1"/>
  <c r="E251" i="19" s="1"/>
  <c r="D251" i="19" a="1"/>
  <c r="D251" i="19" s="1"/>
  <c r="C251" i="19" a="1"/>
  <c r="C251" i="19" s="1"/>
  <c r="B251" i="19" a="1"/>
  <c r="B251" i="19" s="1"/>
  <c r="U250" i="19" a="1"/>
  <c r="U250" i="19" s="1"/>
  <c r="T250" i="19" a="1"/>
  <c r="T250" i="19" s="1"/>
  <c r="S250" i="19" a="1"/>
  <c r="S250" i="19" s="1"/>
  <c r="Q250" i="19" a="1"/>
  <c r="Q250" i="19" s="1"/>
  <c r="P250" i="19"/>
  <c r="O250" i="19" a="1"/>
  <c r="O250" i="19" s="1"/>
  <c r="N250" i="19" a="1"/>
  <c r="N250" i="19" s="1"/>
  <c r="L250" i="19" a="1"/>
  <c r="L250" i="19" s="1"/>
  <c r="K250" i="19"/>
  <c r="J250" i="19" a="1"/>
  <c r="J250" i="19" s="1"/>
  <c r="I250" i="19" a="1"/>
  <c r="I250" i="19" s="1"/>
  <c r="H250" i="19" a="1"/>
  <c r="H250" i="19" s="1"/>
  <c r="G250" i="19" a="1"/>
  <c r="G250" i="19" s="1"/>
  <c r="F250" i="19" a="1"/>
  <c r="F250" i="19" s="1"/>
  <c r="E250" i="19" a="1"/>
  <c r="E250" i="19" s="1"/>
  <c r="D250" i="19" a="1"/>
  <c r="D250" i="19" s="1"/>
  <c r="C250" i="19" a="1"/>
  <c r="C250" i="19" s="1"/>
  <c r="B250" i="19" a="1"/>
  <c r="B250" i="19" s="1"/>
  <c r="U249" i="19" a="1"/>
  <c r="U249" i="19" s="1"/>
  <c r="T249" i="19" a="1"/>
  <c r="T249" i="19" s="1"/>
  <c r="S249" i="19" a="1"/>
  <c r="S249" i="19" s="1"/>
  <c r="Q249" i="19" a="1"/>
  <c r="Q249" i="19" s="1"/>
  <c r="P249" i="19"/>
  <c r="O249" i="19" a="1"/>
  <c r="O249" i="19" s="1"/>
  <c r="N249" i="19" a="1"/>
  <c r="N249" i="19" s="1"/>
  <c r="L249" i="19" a="1"/>
  <c r="L249" i="19" s="1"/>
  <c r="K249" i="19"/>
  <c r="J249" i="19" a="1"/>
  <c r="J249" i="19" s="1"/>
  <c r="I249" i="19" a="1"/>
  <c r="I249" i="19" s="1"/>
  <c r="H249" i="19" a="1"/>
  <c r="H249" i="19" s="1"/>
  <c r="G249" i="19" a="1"/>
  <c r="G249" i="19" s="1"/>
  <c r="F249" i="19" a="1"/>
  <c r="F249" i="19" s="1"/>
  <c r="E249" i="19" a="1"/>
  <c r="E249" i="19" s="1"/>
  <c r="D249" i="19" a="1"/>
  <c r="D249" i="19" s="1"/>
  <c r="C249" i="19" a="1"/>
  <c r="C249" i="19" s="1"/>
  <c r="B249" i="19" a="1"/>
  <c r="B249" i="19" s="1"/>
  <c r="U248" i="19" a="1"/>
  <c r="U248" i="19" s="1"/>
  <c r="T248" i="19" a="1"/>
  <c r="T248" i="19" s="1"/>
  <c r="S248" i="19" a="1"/>
  <c r="S248" i="19" s="1"/>
  <c r="Q248" i="19" a="1"/>
  <c r="Q248" i="19" s="1"/>
  <c r="P248" i="19"/>
  <c r="O248" i="19" a="1"/>
  <c r="O248" i="19" s="1"/>
  <c r="N248" i="19" a="1"/>
  <c r="N248" i="19" s="1"/>
  <c r="L248" i="19" a="1"/>
  <c r="L248" i="19" s="1"/>
  <c r="K248" i="19"/>
  <c r="J248" i="19" a="1"/>
  <c r="J248" i="19" s="1"/>
  <c r="I248" i="19" a="1"/>
  <c r="I248" i="19" s="1"/>
  <c r="H248" i="19" a="1"/>
  <c r="H248" i="19" s="1"/>
  <c r="G248" i="19" a="1"/>
  <c r="G248" i="19" s="1"/>
  <c r="F248" i="19" a="1"/>
  <c r="F248" i="19" s="1"/>
  <c r="E248" i="19" a="1"/>
  <c r="E248" i="19" s="1"/>
  <c r="D248" i="19" a="1"/>
  <c r="D248" i="19" s="1"/>
  <c r="C248" i="19" a="1"/>
  <c r="C248" i="19" s="1"/>
  <c r="B248" i="19" a="1"/>
  <c r="B248" i="19" s="1"/>
  <c r="U247" i="19" a="1"/>
  <c r="U247" i="19" s="1"/>
  <c r="T247" i="19" a="1"/>
  <c r="T247" i="19" s="1"/>
  <c r="S247" i="19" a="1"/>
  <c r="S247" i="19" s="1"/>
  <c r="Q247" i="19" a="1"/>
  <c r="Q247" i="19" s="1"/>
  <c r="P247" i="19"/>
  <c r="O247" i="19" a="1"/>
  <c r="O247" i="19" s="1"/>
  <c r="N247" i="19" a="1"/>
  <c r="N247" i="19" s="1"/>
  <c r="L247" i="19" a="1"/>
  <c r="L247" i="19" s="1"/>
  <c r="K247" i="19"/>
  <c r="J247" i="19" a="1"/>
  <c r="J247" i="19" s="1"/>
  <c r="I247" i="19" a="1"/>
  <c r="I247" i="19" s="1"/>
  <c r="H247" i="19" a="1"/>
  <c r="H247" i="19" s="1"/>
  <c r="G247" i="19" a="1"/>
  <c r="G247" i="19" s="1"/>
  <c r="F247" i="19" a="1"/>
  <c r="F247" i="19" s="1"/>
  <c r="E247" i="19" a="1"/>
  <c r="E247" i="19" s="1"/>
  <c r="D247" i="19" a="1"/>
  <c r="D247" i="19" s="1"/>
  <c r="C247" i="19" a="1"/>
  <c r="C247" i="19" s="1"/>
  <c r="B247" i="19" a="1"/>
  <c r="B247" i="19" s="1"/>
  <c r="U246" i="19" a="1"/>
  <c r="U246" i="19" s="1"/>
  <c r="T246" i="19" a="1"/>
  <c r="T246" i="19" s="1"/>
  <c r="S246" i="19" a="1"/>
  <c r="S246" i="19" s="1"/>
  <c r="Q246" i="19" a="1"/>
  <c r="Q246" i="19" s="1"/>
  <c r="P246" i="19"/>
  <c r="O246" i="19" a="1"/>
  <c r="O246" i="19" s="1"/>
  <c r="N246" i="19" a="1"/>
  <c r="N246" i="19" s="1"/>
  <c r="L246" i="19" a="1"/>
  <c r="L246" i="19" s="1"/>
  <c r="K246" i="19"/>
  <c r="J246" i="19" a="1"/>
  <c r="J246" i="19" s="1"/>
  <c r="I246" i="19" a="1"/>
  <c r="I246" i="19" s="1"/>
  <c r="H246" i="19" a="1"/>
  <c r="H246" i="19" s="1"/>
  <c r="G246" i="19" a="1"/>
  <c r="G246" i="19" s="1"/>
  <c r="F246" i="19" a="1"/>
  <c r="F246" i="19" s="1"/>
  <c r="E246" i="19" a="1"/>
  <c r="E246" i="19" s="1"/>
  <c r="D246" i="19" a="1"/>
  <c r="D246" i="19" s="1"/>
  <c r="C246" i="19" a="1"/>
  <c r="C246" i="19" s="1"/>
  <c r="B246" i="19" a="1"/>
  <c r="B246" i="19" s="1"/>
  <c r="U245" i="19" a="1"/>
  <c r="U245" i="19" s="1"/>
  <c r="T245" i="19" a="1"/>
  <c r="T245" i="19" s="1"/>
  <c r="S245" i="19" a="1"/>
  <c r="S245" i="19" s="1"/>
  <c r="Q245" i="19" a="1"/>
  <c r="Q245" i="19" s="1"/>
  <c r="P245" i="19"/>
  <c r="O245" i="19" a="1"/>
  <c r="O245" i="19" s="1"/>
  <c r="N245" i="19" a="1"/>
  <c r="N245" i="19" s="1"/>
  <c r="L245" i="19" a="1"/>
  <c r="L245" i="19" s="1"/>
  <c r="K245" i="19"/>
  <c r="J245" i="19" a="1"/>
  <c r="J245" i="19" s="1"/>
  <c r="I245" i="19" a="1"/>
  <c r="I245" i="19" s="1"/>
  <c r="H245" i="19" a="1"/>
  <c r="H245" i="19" s="1"/>
  <c r="G245" i="19" a="1"/>
  <c r="G245" i="19" s="1"/>
  <c r="F245" i="19" a="1"/>
  <c r="F245" i="19" s="1"/>
  <c r="E245" i="19" a="1"/>
  <c r="E245" i="19" s="1"/>
  <c r="D245" i="19" a="1"/>
  <c r="D245" i="19" s="1"/>
  <c r="C245" i="19" a="1"/>
  <c r="C245" i="19" s="1"/>
  <c r="B245" i="19" a="1"/>
  <c r="B245" i="19" s="1"/>
  <c r="U244" i="19" a="1"/>
  <c r="U244" i="19" s="1"/>
  <c r="T244" i="19" a="1"/>
  <c r="T244" i="19" s="1"/>
  <c r="S244" i="19" a="1"/>
  <c r="S244" i="19" s="1"/>
  <c r="Q244" i="19" a="1"/>
  <c r="Q244" i="19" s="1"/>
  <c r="P244" i="19"/>
  <c r="O244" i="19" a="1"/>
  <c r="O244" i="19" s="1"/>
  <c r="N244" i="19" a="1"/>
  <c r="N244" i="19" s="1"/>
  <c r="L244" i="19" a="1"/>
  <c r="L244" i="19" s="1"/>
  <c r="K244" i="19"/>
  <c r="J244" i="19" a="1"/>
  <c r="J244" i="19" s="1"/>
  <c r="I244" i="19" a="1"/>
  <c r="I244" i="19" s="1"/>
  <c r="H244" i="19" a="1"/>
  <c r="H244" i="19" s="1"/>
  <c r="G244" i="19" a="1"/>
  <c r="G244" i="19" s="1"/>
  <c r="F244" i="19" a="1"/>
  <c r="F244" i="19" s="1"/>
  <c r="E244" i="19" a="1"/>
  <c r="E244" i="19" s="1"/>
  <c r="D244" i="19" a="1"/>
  <c r="D244" i="19" s="1"/>
  <c r="C244" i="19" a="1"/>
  <c r="C244" i="19" s="1"/>
  <c r="B244" i="19" a="1"/>
  <c r="B244" i="19" s="1"/>
  <c r="U243" i="19" a="1"/>
  <c r="U243" i="19" s="1"/>
  <c r="T243" i="19" a="1"/>
  <c r="T243" i="19" s="1"/>
  <c r="S243" i="19" a="1"/>
  <c r="S243" i="19" s="1"/>
  <c r="Q243" i="19" a="1"/>
  <c r="Q243" i="19" s="1"/>
  <c r="P243" i="19"/>
  <c r="O243" i="19" a="1"/>
  <c r="O243" i="19" s="1"/>
  <c r="N243" i="19" a="1"/>
  <c r="N243" i="19" s="1"/>
  <c r="L243" i="19" a="1"/>
  <c r="L243" i="19" s="1"/>
  <c r="K243" i="19"/>
  <c r="J243" i="19" a="1"/>
  <c r="J243" i="19" s="1"/>
  <c r="I243" i="19" a="1"/>
  <c r="I243" i="19" s="1"/>
  <c r="H243" i="19" a="1"/>
  <c r="H243" i="19" s="1"/>
  <c r="G243" i="19" a="1"/>
  <c r="G243" i="19" s="1"/>
  <c r="F243" i="19" a="1"/>
  <c r="F243" i="19" s="1"/>
  <c r="E243" i="19" a="1"/>
  <c r="E243" i="19" s="1"/>
  <c r="D243" i="19" a="1"/>
  <c r="D243" i="19" s="1"/>
  <c r="C243" i="19" a="1"/>
  <c r="C243" i="19" s="1"/>
  <c r="B243" i="19" a="1"/>
  <c r="B243" i="19" s="1"/>
  <c r="U242" i="19" a="1"/>
  <c r="U242" i="19" s="1"/>
  <c r="T242" i="19" a="1"/>
  <c r="T242" i="19" s="1"/>
  <c r="S242" i="19" a="1"/>
  <c r="S242" i="19" s="1"/>
  <c r="Q242" i="19" a="1"/>
  <c r="Q242" i="19" s="1"/>
  <c r="P242" i="19"/>
  <c r="O242" i="19" a="1"/>
  <c r="O242" i="19" s="1"/>
  <c r="N242" i="19" a="1"/>
  <c r="N242" i="19" s="1"/>
  <c r="L242" i="19" a="1"/>
  <c r="L242" i="19" s="1"/>
  <c r="K242" i="19"/>
  <c r="J242" i="19" a="1"/>
  <c r="J242" i="19" s="1"/>
  <c r="I242" i="19" a="1"/>
  <c r="I242" i="19" s="1"/>
  <c r="H242" i="19" a="1"/>
  <c r="H242" i="19" s="1"/>
  <c r="G242" i="19" a="1"/>
  <c r="G242" i="19" s="1"/>
  <c r="F242" i="19" a="1"/>
  <c r="F242" i="19" s="1"/>
  <c r="E242" i="19" a="1"/>
  <c r="E242" i="19" s="1"/>
  <c r="D242" i="19" a="1"/>
  <c r="D242" i="19" s="1"/>
  <c r="C242" i="19" a="1"/>
  <c r="C242" i="19" s="1"/>
  <c r="B242" i="19" a="1"/>
  <c r="B242" i="19" s="1"/>
  <c r="U241" i="19" a="1"/>
  <c r="U241" i="19" s="1"/>
  <c r="T241" i="19" a="1"/>
  <c r="T241" i="19" s="1"/>
  <c r="S241" i="19" a="1"/>
  <c r="S241" i="19" s="1"/>
  <c r="Q241" i="19" a="1"/>
  <c r="Q241" i="19" s="1"/>
  <c r="P241" i="19"/>
  <c r="O241" i="19" a="1"/>
  <c r="O241" i="19" s="1"/>
  <c r="N241" i="19" a="1"/>
  <c r="N241" i="19" s="1"/>
  <c r="L241" i="19" a="1"/>
  <c r="L241" i="19" s="1"/>
  <c r="K241" i="19"/>
  <c r="J241" i="19" a="1"/>
  <c r="J241" i="19" s="1"/>
  <c r="I241" i="19" a="1"/>
  <c r="I241" i="19" s="1"/>
  <c r="H241" i="19" a="1"/>
  <c r="H241" i="19" s="1"/>
  <c r="G241" i="19" a="1"/>
  <c r="G241" i="19" s="1"/>
  <c r="F241" i="19" a="1"/>
  <c r="F241" i="19" s="1"/>
  <c r="E241" i="19" a="1"/>
  <c r="E241" i="19" s="1"/>
  <c r="D241" i="19" a="1"/>
  <c r="D241" i="19" s="1"/>
  <c r="C241" i="19" a="1"/>
  <c r="C241" i="19" s="1"/>
  <c r="B241" i="19" a="1"/>
  <c r="B241" i="19" s="1"/>
  <c r="U240" i="19" a="1"/>
  <c r="U240" i="19" s="1"/>
  <c r="T240" i="19" a="1"/>
  <c r="T240" i="19" s="1"/>
  <c r="S240" i="19" a="1"/>
  <c r="S240" i="19" s="1"/>
  <c r="Q240" i="19" a="1"/>
  <c r="Q240" i="19" s="1"/>
  <c r="P240" i="19"/>
  <c r="O240" i="19" a="1"/>
  <c r="O240" i="19" s="1"/>
  <c r="N240" i="19" a="1"/>
  <c r="N240" i="19" s="1"/>
  <c r="L240" i="19" a="1"/>
  <c r="L240" i="19" s="1"/>
  <c r="K240" i="19"/>
  <c r="J240" i="19" a="1"/>
  <c r="J240" i="19" s="1"/>
  <c r="I240" i="19" a="1"/>
  <c r="I240" i="19" s="1"/>
  <c r="H240" i="19" a="1"/>
  <c r="H240" i="19" s="1"/>
  <c r="G240" i="19" a="1"/>
  <c r="G240" i="19" s="1"/>
  <c r="F240" i="19" a="1"/>
  <c r="F240" i="19" s="1"/>
  <c r="E240" i="19" a="1"/>
  <c r="E240" i="19" s="1"/>
  <c r="D240" i="19" a="1"/>
  <c r="D240" i="19" s="1"/>
  <c r="C240" i="19" a="1"/>
  <c r="C240" i="19" s="1"/>
  <c r="B240" i="19" a="1"/>
  <c r="B240" i="19" s="1"/>
  <c r="U239" i="19" a="1"/>
  <c r="U239" i="19" s="1"/>
  <c r="T239" i="19" a="1"/>
  <c r="T239" i="19" s="1"/>
  <c r="S239" i="19" a="1"/>
  <c r="S239" i="19" s="1"/>
  <c r="Q239" i="19" a="1"/>
  <c r="Q239" i="19" s="1"/>
  <c r="P239" i="19"/>
  <c r="O239" i="19" a="1"/>
  <c r="O239" i="19" s="1"/>
  <c r="N239" i="19" a="1"/>
  <c r="N239" i="19" s="1"/>
  <c r="L239" i="19" a="1"/>
  <c r="L239" i="19" s="1"/>
  <c r="K239" i="19"/>
  <c r="J239" i="19" a="1"/>
  <c r="J239" i="19" s="1"/>
  <c r="I239" i="19" a="1"/>
  <c r="I239" i="19" s="1"/>
  <c r="H239" i="19" a="1"/>
  <c r="H239" i="19" s="1"/>
  <c r="G239" i="19" a="1"/>
  <c r="G239" i="19" s="1"/>
  <c r="F239" i="19" a="1"/>
  <c r="F239" i="19" s="1"/>
  <c r="E239" i="19" a="1"/>
  <c r="E239" i="19" s="1"/>
  <c r="D239" i="19" a="1"/>
  <c r="D239" i="19" s="1"/>
  <c r="C239" i="19" a="1"/>
  <c r="C239" i="19" s="1"/>
  <c r="B239" i="19" a="1"/>
  <c r="B239" i="19" s="1"/>
  <c r="U238" i="19" a="1"/>
  <c r="U238" i="19" s="1"/>
  <c r="T238" i="19" a="1"/>
  <c r="T238" i="19" s="1"/>
  <c r="S238" i="19" a="1"/>
  <c r="S238" i="19" s="1"/>
  <c r="Q238" i="19" a="1"/>
  <c r="Q238" i="19" s="1"/>
  <c r="P238" i="19"/>
  <c r="O238" i="19" a="1"/>
  <c r="O238" i="19" s="1"/>
  <c r="N238" i="19" a="1"/>
  <c r="N238" i="19" s="1"/>
  <c r="L238" i="19" a="1"/>
  <c r="L238" i="19" s="1"/>
  <c r="K238" i="19"/>
  <c r="J238" i="19" a="1"/>
  <c r="J238" i="19" s="1"/>
  <c r="I238" i="19" a="1"/>
  <c r="I238" i="19" s="1"/>
  <c r="H238" i="19" a="1"/>
  <c r="H238" i="19" s="1"/>
  <c r="G238" i="19" a="1"/>
  <c r="G238" i="19" s="1"/>
  <c r="F238" i="19" a="1"/>
  <c r="F238" i="19" s="1"/>
  <c r="E238" i="19" a="1"/>
  <c r="E238" i="19" s="1"/>
  <c r="D238" i="19" a="1"/>
  <c r="D238" i="19" s="1"/>
  <c r="C238" i="19" a="1"/>
  <c r="C238" i="19" s="1"/>
  <c r="B238" i="19" a="1"/>
  <c r="B238" i="19" s="1"/>
  <c r="U237" i="19" a="1"/>
  <c r="U237" i="19" s="1"/>
  <c r="T237" i="19" a="1"/>
  <c r="T237" i="19" s="1"/>
  <c r="S237" i="19" a="1"/>
  <c r="S237" i="19" s="1"/>
  <c r="Q237" i="19" a="1"/>
  <c r="Q237" i="19" s="1"/>
  <c r="P237" i="19"/>
  <c r="O237" i="19" a="1"/>
  <c r="O237" i="19" s="1"/>
  <c r="N237" i="19" a="1"/>
  <c r="N237" i="19" s="1"/>
  <c r="L237" i="19" a="1"/>
  <c r="L237" i="19" s="1"/>
  <c r="K237" i="19"/>
  <c r="J237" i="19" a="1"/>
  <c r="J237" i="19" s="1"/>
  <c r="I237" i="19" a="1"/>
  <c r="I237" i="19" s="1"/>
  <c r="H237" i="19" a="1"/>
  <c r="H237" i="19" s="1"/>
  <c r="G237" i="19" a="1"/>
  <c r="G237" i="19" s="1"/>
  <c r="F237" i="19" a="1"/>
  <c r="F237" i="19" s="1"/>
  <c r="E237" i="19" a="1"/>
  <c r="E237" i="19" s="1"/>
  <c r="D237" i="19" a="1"/>
  <c r="D237" i="19" s="1"/>
  <c r="C237" i="19" a="1"/>
  <c r="C237" i="19" s="1"/>
  <c r="B237" i="19" a="1"/>
  <c r="B237" i="19" s="1"/>
  <c r="U236" i="19" a="1"/>
  <c r="U236" i="19" s="1"/>
  <c r="T236" i="19" a="1"/>
  <c r="T236" i="19" s="1"/>
  <c r="S236" i="19" a="1"/>
  <c r="S236" i="19" s="1"/>
  <c r="Q236" i="19" a="1"/>
  <c r="Q236" i="19" s="1"/>
  <c r="P236" i="19"/>
  <c r="O236" i="19" a="1"/>
  <c r="O236" i="19" s="1"/>
  <c r="N236" i="19" a="1"/>
  <c r="N236" i="19" s="1"/>
  <c r="L236" i="19" a="1"/>
  <c r="L236" i="19" s="1"/>
  <c r="K236" i="19"/>
  <c r="J236" i="19" a="1"/>
  <c r="J236" i="19" s="1"/>
  <c r="I236" i="19" a="1"/>
  <c r="I236" i="19" s="1"/>
  <c r="H236" i="19" a="1"/>
  <c r="H236" i="19" s="1"/>
  <c r="G236" i="19" a="1"/>
  <c r="G236" i="19" s="1"/>
  <c r="F236" i="19" a="1"/>
  <c r="F236" i="19" s="1"/>
  <c r="E236" i="19" a="1"/>
  <c r="E236" i="19" s="1"/>
  <c r="D236" i="19" a="1"/>
  <c r="D236" i="19" s="1"/>
  <c r="C236" i="19" a="1"/>
  <c r="C236" i="19" s="1"/>
  <c r="B236" i="19" a="1"/>
  <c r="B236" i="19" s="1"/>
  <c r="U235" i="19" a="1"/>
  <c r="U235" i="19" s="1"/>
  <c r="T235" i="19" a="1"/>
  <c r="T235" i="19" s="1"/>
  <c r="S235" i="19" a="1"/>
  <c r="S235" i="19" s="1"/>
  <c r="Q235" i="19" a="1"/>
  <c r="Q235" i="19" s="1"/>
  <c r="P235" i="19"/>
  <c r="O235" i="19" a="1"/>
  <c r="O235" i="19" s="1"/>
  <c r="N235" i="19" a="1"/>
  <c r="N235" i="19" s="1"/>
  <c r="L235" i="19" a="1"/>
  <c r="L235" i="19" s="1"/>
  <c r="K235" i="19"/>
  <c r="J235" i="19" a="1"/>
  <c r="J235" i="19" s="1"/>
  <c r="I235" i="19" a="1"/>
  <c r="I235" i="19" s="1"/>
  <c r="H235" i="19" a="1"/>
  <c r="H235" i="19" s="1"/>
  <c r="G235" i="19" a="1"/>
  <c r="G235" i="19" s="1"/>
  <c r="F235" i="19" a="1"/>
  <c r="F235" i="19" s="1"/>
  <c r="E235" i="19" a="1"/>
  <c r="E235" i="19" s="1"/>
  <c r="D235" i="19" a="1"/>
  <c r="D235" i="19" s="1"/>
  <c r="C235" i="19" a="1"/>
  <c r="C235" i="19" s="1"/>
  <c r="B235" i="19" a="1"/>
  <c r="B235" i="19" s="1"/>
  <c r="U234" i="19" a="1"/>
  <c r="U234" i="19" s="1"/>
  <c r="T234" i="19" a="1"/>
  <c r="T234" i="19" s="1"/>
  <c r="S234" i="19" a="1"/>
  <c r="S234" i="19" s="1"/>
  <c r="Q234" i="19" a="1"/>
  <c r="Q234" i="19" s="1"/>
  <c r="P234" i="19"/>
  <c r="O234" i="19" a="1"/>
  <c r="O234" i="19" s="1"/>
  <c r="N234" i="19" a="1"/>
  <c r="N234" i="19" s="1"/>
  <c r="L234" i="19" a="1"/>
  <c r="L234" i="19" s="1"/>
  <c r="K234" i="19"/>
  <c r="J234" i="19" a="1"/>
  <c r="J234" i="19" s="1"/>
  <c r="I234" i="19" a="1"/>
  <c r="I234" i="19" s="1"/>
  <c r="H234" i="19" a="1"/>
  <c r="H234" i="19" s="1"/>
  <c r="G234" i="19" a="1"/>
  <c r="G234" i="19" s="1"/>
  <c r="F234" i="19" a="1"/>
  <c r="F234" i="19" s="1"/>
  <c r="E234" i="19" a="1"/>
  <c r="E234" i="19" s="1"/>
  <c r="D234" i="19" a="1"/>
  <c r="D234" i="19" s="1"/>
  <c r="C234" i="19" a="1"/>
  <c r="C234" i="19" s="1"/>
  <c r="B234" i="19" a="1"/>
  <c r="B234" i="19" s="1"/>
  <c r="U233" i="19" a="1"/>
  <c r="U233" i="19" s="1"/>
  <c r="T233" i="19" a="1"/>
  <c r="T233" i="19" s="1"/>
  <c r="S233" i="19" a="1"/>
  <c r="S233" i="19" s="1"/>
  <c r="Q233" i="19" a="1"/>
  <c r="Q233" i="19" s="1"/>
  <c r="P233" i="19"/>
  <c r="O233" i="19" a="1"/>
  <c r="O233" i="19" s="1"/>
  <c r="N233" i="19" a="1"/>
  <c r="N233" i="19" s="1"/>
  <c r="L233" i="19" a="1"/>
  <c r="L233" i="19" s="1"/>
  <c r="K233" i="19"/>
  <c r="J233" i="19" a="1"/>
  <c r="J233" i="19" s="1"/>
  <c r="I233" i="19" a="1"/>
  <c r="I233" i="19" s="1"/>
  <c r="H233" i="19" a="1"/>
  <c r="H233" i="19" s="1"/>
  <c r="G233" i="19" a="1"/>
  <c r="G233" i="19" s="1"/>
  <c r="F233" i="19" a="1"/>
  <c r="F233" i="19" s="1"/>
  <c r="E233" i="19" a="1"/>
  <c r="E233" i="19" s="1"/>
  <c r="D233" i="19" a="1"/>
  <c r="D233" i="19" s="1"/>
  <c r="C233" i="19" a="1"/>
  <c r="C233" i="19" s="1"/>
  <c r="B233" i="19" a="1"/>
  <c r="B233" i="19" s="1"/>
  <c r="U232" i="19" a="1"/>
  <c r="U232" i="19" s="1"/>
  <c r="T232" i="19" a="1"/>
  <c r="T232" i="19" s="1"/>
  <c r="S232" i="19" a="1"/>
  <c r="S232" i="19" s="1"/>
  <c r="Q232" i="19" a="1"/>
  <c r="Q232" i="19" s="1"/>
  <c r="P232" i="19"/>
  <c r="O232" i="19" a="1"/>
  <c r="O232" i="19" s="1"/>
  <c r="N232" i="19" a="1"/>
  <c r="N232" i="19" s="1"/>
  <c r="L232" i="19" a="1"/>
  <c r="L232" i="19" s="1"/>
  <c r="K232" i="19"/>
  <c r="J232" i="19" a="1"/>
  <c r="J232" i="19" s="1"/>
  <c r="I232" i="19" a="1"/>
  <c r="I232" i="19" s="1"/>
  <c r="H232" i="19" a="1"/>
  <c r="H232" i="19" s="1"/>
  <c r="G232" i="19" a="1"/>
  <c r="G232" i="19" s="1"/>
  <c r="F232" i="19" a="1"/>
  <c r="F232" i="19" s="1"/>
  <c r="E232" i="19" a="1"/>
  <c r="E232" i="19" s="1"/>
  <c r="D232" i="19" a="1"/>
  <c r="D232" i="19" s="1"/>
  <c r="C232" i="19" a="1"/>
  <c r="C232" i="19" s="1"/>
  <c r="B232" i="19" a="1"/>
  <c r="B232" i="19" s="1"/>
  <c r="U231" i="19" a="1"/>
  <c r="U231" i="19" s="1"/>
  <c r="T231" i="19" a="1"/>
  <c r="T231" i="19" s="1"/>
  <c r="S231" i="19" a="1"/>
  <c r="S231" i="19" s="1"/>
  <c r="Q231" i="19" a="1"/>
  <c r="Q231" i="19" s="1"/>
  <c r="P231" i="19"/>
  <c r="O231" i="19" a="1"/>
  <c r="O231" i="19" s="1"/>
  <c r="N231" i="19" a="1"/>
  <c r="N231" i="19" s="1"/>
  <c r="L231" i="19" a="1"/>
  <c r="L231" i="19" s="1"/>
  <c r="K231" i="19"/>
  <c r="J231" i="19" a="1"/>
  <c r="J231" i="19" s="1"/>
  <c r="I231" i="19" a="1"/>
  <c r="I231" i="19" s="1"/>
  <c r="H231" i="19" a="1"/>
  <c r="H231" i="19" s="1"/>
  <c r="G231" i="19" a="1"/>
  <c r="G231" i="19" s="1"/>
  <c r="F231" i="19" a="1"/>
  <c r="F231" i="19" s="1"/>
  <c r="E231" i="19" a="1"/>
  <c r="E231" i="19" s="1"/>
  <c r="D231" i="19" a="1"/>
  <c r="D231" i="19" s="1"/>
  <c r="C231" i="19" a="1"/>
  <c r="C231" i="19" s="1"/>
  <c r="B231" i="19" a="1"/>
  <c r="B231" i="19" s="1"/>
  <c r="U230" i="19" a="1"/>
  <c r="U230" i="19" s="1"/>
  <c r="T230" i="19" a="1"/>
  <c r="T230" i="19" s="1"/>
  <c r="S230" i="19" a="1"/>
  <c r="S230" i="19" s="1"/>
  <c r="Q230" i="19" a="1"/>
  <c r="Q230" i="19" s="1"/>
  <c r="P230" i="19"/>
  <c r="O230" i="19" a="1"/>
  <c r="O230" i="19" s="1"/>
  <c r="N230" i="19" a="1"/>
  <c r="N230" i="19" s="1"/>
  <c r="L230" i="19" a="1"/>
  <c r="L230" i="19" s="1"/>
  <c r="K230" i="19"/>
  <c r="J230" i="19" a="1"/>
  <c r="J230" i="19" s="1"/>
  <c r="I230" i="19" a="1"/>
  <c r="I230" i="19" s="1"/>
  <c r="H230" i="19" a="1"/>
  <c r="H230" i="19" s="1"/>
  <c r="G230" i="19" a="1"/>
  <c r="G230" i="19" s="1"/>
  <c r="F230" i="19" a="1"/>
  <c r="F230" i="19" s="1"/>
  <c r="E230" i="19" a="1"/>
  <c r="E230" i="19" s="1"/>
  <c r="D230" i="19" a="1"/>
  <c r="D230" i="19" s="1"/>
  <c r="C230" i="19" a="1"/>
  <c r="C230" i="19" s="1"/>
  <c r="B230" i="19" a="1"/>
  <c r="B230" i="19" s="1"/>
  <c r="U229" i="19" a="1"/>
  <c r="U229" i="19" s="1"/>
  <c r="T229" i="19" a="1"/>
  <c r="T229" i="19" s="1"/>
  <c r="S229" i="19" a="1"/>
  <c r="S229" i="19" s="1"/>
  <c r="Q229" i="19" a="1"/>
  <c r="Q229" i="19" s="1"/>
  <c r="P229" i="19"/>
  <c r="O229" i="19" a="1"/>
  <c r="O229" i="19" s="1"/>
  <c r="N229" i="19" a="1"/>
  <c r="N229" i="19" s="1"/>
  <c r="L229" i="19" a="1"/>
  <c r="L229" i="19" s="1"/>
  <c r="K229" i="19"/>
  <c r="J229" i="19" a="1"/>
  <c r="J229" i="19" s="1"/>
  <c r="I229" i="19" a="1"/>
  <c r="I229" i="19" s="1"/>
  <c r="H229" i="19" a="1"/>
  <c r="H229" i="19" s="1"/>
  <c r="G229" i="19" a="1"/>
  <c r="G229" i="19" s="1"/>
  <c r="F229" i="19" a="1"/>
  <c r="F229" i="19" s="1"/>
  <c r="E229" i="19" a="1"/>
  <c r="E229" i="19" s="1"/>
  <c r="D229" i="19" a="1"/>
  <c r="D229" i="19" s="1"/>
  <c r="C229" i="19" a="1"/>
  <c r="C229" i="19" s="1"/>
  <c r="B229" i="19" a="1"/>
  <c r="B229" i="19" s="1"/>
  <c r="U228" i="19" a="1"/>
  <c r="U228" i="19" s="1"/>
  <c r="T228" i="19" a="1"/>
  <c r="T228" i="19" s="1"/>
  <c r="S228" i="19" a="1"/>
  <c r="S228" i="19" s="1"/>
  <c r="Q228" i="19" a="1"/>
  <c r="Q228" i="19" s="1"/>
  <c r="P228" i="19"/>
  <c r="O228" i="19" a="1"/>
  <c r="O228" i="19" s="1"/>
  <c r="N228" i="19" a="1"/>
  <c r="N228" i="19" s="1"/>
  <c r="L228" i="19" a="1"/>
  <c r="L228" i="19" s="1"/>
  <c r="K228" i="19"/>
  <c r="J228" i="19" a="1"/>
  <c r="J228" i="19" s="1"/>
  <c r="I228" i="19" a="1"/>
  <c r="I228" i="19" s="1"/>
  <c r="H228" i="19" a="1"/>
  <c r="H228" i="19" s="1"/>
  <c r="G228" i="19" a="1"/>
  <c r="G228" i="19" s="1"/>
  <c r="F228" i="19" a="1"/>
  <c r="F228" i="19" s="1"/>
  <c r="E228" i="19" a="1"/>
  <c r="E228" i="19" s="1"/>
  <c r="D228" i="19" a="1"/>
  <c r="D228" i="19" s="1"/>
  <c r="C228" i="19" a="1"/>
  <c r="C228" i="19" s="1"/>
  <c r="B228" i="19" a="1"/>
  <c r="B228" i="19" s="1"/>
  <c r="U227" i="19" a="1"/>
  <c r="U227" i="19" s="1"/>
  <c r="T227" i="19" a="1"/>
  <c r="T227" i="19" s="1"/>
  <c r="S227" i="19" a="1"/>
  <c r="S227" i="19" s="1"/>
  <c r="Q227" i="19" a="1"/>
  <c r="Q227" i="19" s="1"/>
  <c r="P227" i="19"/>
  <c r="O227" i="19" a="1"/>
  <c r="O227" i="19" s="1"/>
  <c r="N227" i="19" a="1"/>
  <c r="N227" i="19" s="1"/>
  <c r="L227" i="19" a="1"/>
  <c r="L227" i="19" s="1"/>
  <c r="K227" i="19"/>
  <c r="J227" i="19" a="1"/>
  <c r="J227" i="19" s="1"/>
  <c r="I227" i="19" a="1"/>
  <c r="I227" i="19" s="1"/>
  <c r="H227" i="19" a="1"/>
  <c r="H227" i="19" s="1"/>
  <c r="G227" i="19" a="1"/>
  <c r="G227" i="19" s="1"/>
  <c r="F227" i="19" a="1"/>
  <c r="F227" i="19" s="1"/>
  <c r="E227" i="19" a="1"/>
  <c r="E227" i="19" s="1"/>
  <c r="D227" i="19" a="1"/>
  <c r="D227" i="19" s="1"/>
  <c r="C227" i="19" a="1"/>
  <c r="C227" i="19" s="1"/>
  <c r="B227" i="19" a="1"/>
  <c r="B227" i="19" s="1"/>
  <c r="U226" i="19" a="1"/>
  <c r="U226" i="19" s="1"/>
  <c r="T226" i="19" a="1"/>
  <c r="T226" i="19" s="1"/>
  <c r="S226" i="19" a="1"/>
  <c r="S226" i="19" s="1"/>
  <c r="Q226" i="19" a="1"/>
  <c r="Q226" i="19" s="1"/>
  <c r="P226" i="19"/>
  <c r="O226" i="19" a="1"/>
  <c r="O226" i="19" s="1"/>
  <c r="N226" i="19" a="1"/>
  <c r="N226" i="19" s="1"/>
  <c r="L226" i="19" a="1"/>
  <c r="L226" i="19" s="1"/>
  <c r="K226" i="19"/>
  <c r="J226" i="19" a="1"/>
  <c r="J226" i="19" s="1"/>
  <c r="I226" i="19" a="1"/>
  <c r="I226" i="19" s="1"/>
  <c r="H226" i="19" a="1"/>
  <c r="H226" i="19" s="1"/>
  <c r="G226" i="19" a="1"/>
  <c r="G226" i="19" s="1"/>
  <c r="F226" i="19" a="1"/>
  <c r="F226" i="19" s="1"/>
  <c r="E226" i="19" a="1"/>
  <c r="E226" i="19" s="1"/>
  <c r="D226" i="19" a="1"/>
  <c r="D226" i="19" s="1"/>
  <c r="C226" i="19" a="1"/>
  <c r="C226" i="19" s="1"/>
  <c r="B226" i="19" a="1"/>
  <c r="B226" i="19" s="1"/>
  <c r="U225" i="19" a="1"/>
  <c r="U225" i="19" s="1"/>
  <c r="T225" i="19" a="1"/>
  <c r="T225" i="19" s="1"/>
  <c r="S225" i="19" a="1"/>
  <c r="S225" i="19" s="1"/>
  <c r="Q225" i="19" a="1"/>
  <c r="Q225" i="19" s="1"/>
  <c r="P225" i="19"/>
  <c r="O225" i="19" a="1"/>
  <c r="O225" i="19" s="1"/>
  <c r="N225" i="19" a="1"/>
  <c r="N225" i="19" s="1"/>
  <c r="L225" i="19" a="1"/>
  <c r="L225" i="19" s="1"/>
  <c r="K225" i="19"/>
  <c r="J225" i="19" a="1"/>
  <c r="J225" i="19" s="1"/>
  <c r="I225" i="19" a="1"/>
  <c r="I225" i="19" s="1"/>
  <c r="H225" i="19" a="1"/>
  <c r="H225" i="19" s="1"/>
  <c r="G225" i="19" a="1"/>
  <c r="G225" i="19" s="1"/>
  <c r="F225" i="19" a="1"/>
  <c r="F225" i="19" s="1"/>
  <c r="E225" i="19" a="1"/>
  <c r="E225" i="19" s="1"/>
  <c r="D225" i="19" a="1"/>
  <c r="D225" i="19" s="1"/>
  <c r="C225" i="19" a="1"/>
  <c r="C225" i="19" s="1"/>
  <c r="B225" i="19" a="1"/>
  <c r="B225" i="19" s="1"/>
  <c r="U224" i="19" a="1"/>
  <c r="U224" i="19" s="1"/>
  <c r="T224" i="19" a="1"/>
  <c r="T224" i="19" s="1"/>
  <c r="S224" i="19" a="1"/>
  <c r="S224" i="19" s="1"/>
  <c r="Q224" i="19" a="1"/>
  <c r="Q224" i="19" s="1"/>
  <c r="P224" i="19"/>
  <c r="O224" i="19" a="1"/>
  <c r="O224" i="19" s="1"/>
  <c r="N224" i="19" a="1"/>
  <c r="N224" i="19" s="1"/>
  <c r="L224" i="19" a="1"/>
  <c r="L224" i="19" s="1"/>
  <c r="K224" i="19"/>
  <c r="J224" i="19" a="1"/>
  <c r="J224" i="19" s="1"/>
  <c r="I224" i="19" a="1"/>
  <c r="I224" i="19" s="1"/>
  <c r="H224" i="19" a="1"/>
  <c r="H224" i="19" s="1"/>
  <c r="G224" i="19" a="1"/>
  <c r="G224" i="19" s="1"/>
  <c r="F224" i="19" a="1"/>
  <c r="F224" i="19" s="1"/>
  <c r="E224" i="19" a="1"/>
  <c r="E224" i="19" s="1"/>
  <c r="D224" i="19" a="1"/>
  <c r="D224" i="19" s="1"/>
  <c r="C224" i="19" a="1"/>
  <c r="C224" i="19" s="1"/>
  <c r="B224" i="19" a="1"/>
  <c r="B224" i="19" s="1"/>
  <c r="U223" i="19" a="1"/>
  <c r="U223" i="19" s="1"/>
  <c r="T223" i="19" a="1"/>
  <c r="T223" i="19" s="1"/>
  <c r="S223" i="19" a="1"/>
  <c r="S223" i="19" s="1"/>
  <c r="Q223" i="19" a="1"/>
  <c r="Q223" i="19" s="1"/>
  <c r="P223" i="19"/>
  <c r="O223" i="19" a="1"/>
  <c r="O223" i="19" s="1"/>
  <c r="N223" i="19" a="1"/>
  <c r="N223" i="19" s="1"/>
  <c r="L223" i="19" a="1"/>
  <c r="L223" i="19" s="1"/>
  <c r="K223" i="19"/>
  <c r="J223" i="19" a="1"/>
  <c r="J223" i="19" s="1"/>
  <c r="I223" i="19" a="1"/>
  <c r="I223" i="19" s="1"/>
  <c r="H223" i="19" a="1"/>
  <c r="H223" i="19" s="1"/>
  <c r="G223" i="19" a="1"/>
  <c r="G223" i="19" s="1"/>
  <c r="F223" i="19" a="1"/>
  <c r="F223" i="19" s="1"/>
  <c r="E223" i="19" a="1"/>
  <c r="E223" i="19" s="1"/>
  <c r="D223" i="19" a="1"/>
  <c r="D223" i="19" s="1"/>
  <c r="C223" i="19" a="1"/>
  <c r="C223" i="19" s="1"/>
  <c r="B223" i="19" a="1"/>
  <c r="B223" i="19" s="1"/>
  <c r="U222" i="19" a="1"/>
  <c r="U222" i="19" s="1"/>
  <c r="T222" i="19" a="1"/>
  <c r="T222" i="19" s="1"/>
  <c r="S222" i="19" a="1"/>
  <c r="S222" i="19" s="1"/>
  <c r="Q222" i="19" a="1"/>
  <c r="Q222" i="19" s="1"/>
  <c r="P222" i="19"/>
  <c r="O222" i="19" a="1"/>
  <c r="O222" i="19" s="1"/>
  <c r="N222" i="19" a="1"/>
  <c r="N222" i="19" s="1"/>
  <c r="L222" i="19" a="1"/>
  <c r="L222" i="19" s="1"/>
  <c r="K222" i="19"/>
  <c r="J222" i="19" a="1"/>
  <c r="J222" i="19" s="1"/>
  <c r="I222" i="19" a="1"/>
  <c r="I222" i="19" s="1"/>
  <c r="H222" i="19" a="1"/>
  <c r="H222" i="19" s="1"/>
  <c r="G222" i="19" a="1"/>
  <c r="G222" i="19" s="1"/>
  <c r="F222" i="19" a="1"/>
  <c r="F222" i="19" s="1"/>
  <c r="E222" i="19" a="1"/>
  <c r="E222" i="19" s="1"/>
  <c r="D222" i="19" a="1"/>
  <c r="D222" i="19" s="1"/>
  <c r="C222" i="19" a="1"/>
  <c r="C222" i="19" s="1"/>
  <c r="B222" i="19" a="1"/>
  <c r="B222" i="19" s="1"/>
  <c r="U221" i="19" a="1"/>
  <c r="U221" i="19" s="1"/>
  <c r="T221" i="19" a="1"/>
  <c r="T221" i="19" s="1"/>
  <c r="S221" i="19" a="1"/>
  <c r="S221" i="19" s="1"/>
  <c r="Q221" i="19" a="1"/>
  <c r="Q221" i="19" s="1"/>
  <c r="P221" i="19"/>
  <c r="O221" i="19" a="1"/>
  <c r="O221" i="19" s="1"/>
  <c r="N221" i="19" a="1"/>
  <c r="N221" i="19" s="1"/>
  <c r="L221" i="19" a="1"/>
  <c r="L221" i="19" s="1"/>
  <c r="K221" i="19"/>
  <c r="J221" i="19" a="1"/>
  <c r="J221" i="19" s="1"/>
  <c r="I221" i="19" a="1"/>
  <c r="I221" i="19" s="1"/>
  <c r="H221" i="19" a="1"/>
  <c r="H221" i="19" s="1"/>
  <c r="G221" i="19" a="1"/>
  <c r="G221" i="19" s="1"/>
  <c r="F221" i="19" a="1"/>
  <c r="F221" i="19" s="1"/>
  <c r="E221" i="19" a="1"/>
  <c r="E221" i="19" s="1"/>
  <c r="D221" i="19" a="1"/>
  <c r="D221" i="19" s="1"/>
  <c r="C221" i="19" a="1"/>
  <c r="C221" i="19" s="1"/>
  <c r="B221" i="19" a="1"/>
  <c r="B221" i="19" s="1"/>
  <c r="U220" i="19" a="1"/>
  <c r="U220" i="19" s="1"/>
  <c r="T220" i="19" a="1"/>
  <c r="T220" i="19" s="1"/>
  <c r="S220" i="19" a="1"/>
  <c r="S220" i="19" s="1"/>
  <c r="Q220" i="19" a="1"/>
  <c r="Q220" i="19" s="1"/>
  <c r="P220" i="19"/>
  <c r="O220" i="19" a="1"/>
  <c r="O220" i="19" s="1"/>
  <c r="N220" i="19" a="1"/>
  <c r="N220" i="19" s="1"/>
  <c r="L220" i="19" a="1"/>
  <c r="L220" i="19" s="1"/>
  <c r="K220" i="19"/>
  <c r="J220" i="19" a="1"/>
  <c r="J220" i="19" s="1"/>
  <c r="I220" i="19" a="1"/>
  <c r="I220" i="19" s="1"/>
  <c r="H220" i="19" a="1"/>
  <c r="H220" i="19" s="1"/>
  <c r="G220" i="19" a="1"/>
  <c r="G220" i="19" s="1"/>
  <c r="F220" i="19" a="1"/>
  <c r="F220" i="19" s="1"/>
  <c r="E220" i="19" a="1"/>
  <c r="E220" i="19" s="1"/>
  <c r="D220" i="19" a="1"/>
  <c r="D220" i="19" s="1"/>
  <c r="C220" i="19" a="1"/>
  <c r="C220" i="19" s="1"/>
  <c r="B220" i="19" a="1"/>
  <c r="B220" i="19" s="1"/>
  <c r="U219" i="19" a="1"/>
  <c r="U219" i="19" s="1"/>
  <c r="T219" i="19" a="1"/>
  <c r="T219" i="19" s="1"/>
  <c r="S219" i="19" a="1"/>
  <c r="S219" i="19" s="1"/>
  <c r="Q219" i="19" a="1"/>
  <c r="Q219" i="19" s="1"/>
  <c r="P219" i="19"/>
  <c r="O219" i="19" a="1"/>
  <c r="O219" i="19" s="1"/>
  <c r="N219" i="19" a="1"/>
  <c r="N219" i="19" s="1"/>
  <c r="L219" i="19" a="1"/>
  <c r="L219" i="19" s="1"/>
  <c r="K219" i="19"/>
  <c r="J219" i="19" a="1"/>
  <c r="J219" i="19" s="1"/>
  <c r="I219" i="19" a="1"/>
  <c r="I219" i="19" s="1"/>
  <c r="H219" i="19" a="1"/>
  <c r="H219" i="19" s="1"/>
  <c r="G219" i="19" a="1"/>
  <c r="G219" i="19" s="1"/>
  <c r="F219" i="19" a="1"/>
  <c r="F219" i="19" s="1"/>
  <c r="E219" i="19" a="1"/>
  <c r="E219" i="19" s="1"/>
  <c r="D219" i="19" a="1"/>
  <c r="D219" i="19" s="1"/>
  <c r="C219" i="19" a="1"/>
  <c r="C219" i="19" s="1"/>
  <c r="B219" i="19" a="1"/>
  <c r="B219" i="19" s="1"/>
  <c r="U218" i="19" a="1"/>
  <c r="U218" i="19" s="1"/>
  <c r="T218" i="19" a="1"/>
  <c r="T218" i="19" s="1"/>
  <c r="S218" i="19" a="1"/>
  <c r="S218" i="19" s="1"/>
  <c r="Q218" i="19" a="1"/>
  <c r="Q218" i="19" s="1"/>
  <c r="P218" i="19"/>
  <c r="O218" i="19" a="1"/>
  <c r="O218" i="19" s="1"/>
  <c r="N218" i="19" a="1"/>
  <c r="N218" i="19" s="1"/>
  <c r="L218" i="19" a="1"/>
  <c r="L218" i="19" s="1"/>
  <c r="K218" i="19"/>
  <c r="J218" i="19" a="1"/>
  <c r="J218" i="19" s="1"/>
  <c r="I218" i="19" a="1"/>
  <c r="I218" i="19" s="1"/>
  <c r="H218" i="19" a="1"/>
  <c r="H218" i="19" s="1"/>
  <c r="G218" i="19" a="1"/>
  <c r="G218" i="19" s="1"/>
  <c r="F218" i="19" a="1"/>
  <c r="F218" i="19" s="1"/>
  <c r="E218" i="19" a="1"/>
  <c r="E218" i="19" s="1"/>
  <c r="D218" i="19" a="1"/>
  <c r="D218" i="19" s="1"/>
  <c r="C218" i="19" a="1"/>
  <c r="C218" i="19" s="1"/>
  <c r="B218" i="19" a="1"/>
  <c r="B218" i="19" s="1"/>
  <c r="U217" i="19" a="1"/>
  <c r="U217" i="19" s="1"/>
  <c r="T217" i="19" a="1"/>
  <c r="T217" i="19" s="1"/>
  <c r="S217" i="19" a="1"/>
  <c r="S217" i="19" s="1"/>
  <c r="Q217" i="19" a="1"/>
  <c r="Q217" i="19" s="1"/>
  <c r="P217" i="19"/>
  <c r="O217" i="19" a="1"/>
  <c r="O217" i="19" s="1"/>
  <c r="N217" i="19" a="1"/>
  <c r="N217" i="19" s="1"/>
  <c r="L217" i="19" a="1"/>
  <c r="L217" i="19" s="1"/>
  <c r="K217" i="19"/>
  <c r="J217" i="19" a="1"/>
  <c r="J217" i="19" s="1"/>
  <c r="I217" i="19" a="1"/>
  <c r="I217" i="19" s="1"/>
  <c r="H217" i="19" a="1"/>
  <c r="H217" i="19" s="1"/>
  <c r="G217" i="19" a="1"/>
  <c r="G217" i="19" s="1"/>
  <c r="F217" i="19" a="1"/>
  <c r="F217" i="19" s="1"/>
  <c r="E217" i="19" a="1"/>
  <c r="E217" i="19" s="1"/>
  <c r="D217" i="19" a="1"/>
  <c r="D217" i="19" s="1"/>
  <c r="C217" i="19" a="1"/>
  <c r="C217" i="19" s="1"/>
  <c r="B217" i="19" a="1"/>
  <c r="B217" i="19" s="1"/>
  <c r="U216" i="19" a="1"/>
  <c r="U216" i="19" s="1"/>
  <c r="T216" i="19" a="1"/>
  <c r="T216" i="19" s="1"/>
  <c r="S216" i="19" a="1"/>
  <c r="S216" i="19" s="1"/>
  <c r="Q216" i="19" a="1"/>
  <c r="Q216" i="19" s="1"/>
  <c r="P216" i="19"/>
  <c r="O216" i="19" a="1"/>
  <c r="O216" i="19" s="1"/>
  <c r="N216" i="19" a="1"/>
  <c r="N216" i="19" s="1"/>
  <c r="L216" i="19" a="1"/>
  <c r="L216" i="19" s="1"/>
  <c r="K216" i="19"/>
  <c r="J216" i="19" a="1"/>
  <c r="J216" i="19" s="1"/>
  <c r="I216" i="19" a="1"/>
  <c r="I216" i="19" s="1"/>
  <c r="H216" i="19" a="1"/>
  <c r="H216" i="19" s="1"/>
  <c r="G216" i="19" a="1"/>
  <c r="G216" i="19" s="1"/>
  <c r="F216" i="19" a="1"/>
  <c r="F216" i="19" s="1"/>
  <c r="E216" i="19" a="1"/>
  <c r="E216" i="19" s="1"/>
  <c r="D216" i="19" a="1"/>
  <c r="D216" i="19" s="1"/>
  <c r="C216" i="19" a="1"/>
  <c r="C216" i="19" s="1"/>
  <c r="B216" i="19" a="1"/>
  <c r="B216" i="19" s="1"/>
  <c r="U215" i="19" a="1"/>
  <c r="U215" i="19" s="1"/>
  <c r="T215" i="19" a="1"/>
  <c r="T215" i="19" s="1"/>
  <c r="S215" i="19" a="1"/>
  <c r="S215" i="19" s="1"/>
  <c r="Q215" i="19" a="1"/>
  <c r="Q215" i="19" s="1"/>
  <c r="P215" i="19"/>
  <c r="O215" i="19" a="1"/>
  <c r="O215" i="19" s="1"/>
  <c r="N215" i="19" a="1"/>
  <c r="N215" i="19" s="1"/>
  <c r="L215" i="19" a="1"/>
  <c r="L215" i="19" s="1"/>
  <c r="K215" i="19"/>
  <c r="J215" i="19" a="1"/>
  <c r="J215" i="19" s="1"/>
  <c r="I215" i="19" a="1"/>
  <c r="I215" i="19" s="1"/>
  <c r="H215" i="19" a="1"/>
  <c r="H215" i="19" s="1"/>
  <c r="G215" i="19" a="1"/>
  <c r="G215" i="19" s="1"/>
  <c r="F215" i="19" a="1"/>
  <c r="F215" i="19" s="1"/>
  <c r="E215" i="19" a="1"/>
  <c r="E215" i="19" s="1"/>
  <c r="D215" i="19" a="1"/>
  <c r="D215" i="19" s="1"/>
  <c r="C215" i="19" a="1"/>
  <c r="C215" i="19" s="1"/>
  <c r="B215" i="19" a="1"/>
  <c r="B215" i="19" s="1"/>
  <c r="U214" i="19" a="1"/>
  <c r="U214" i="19" s="1"/>
  <c r="T214" i="19" a="1"/>
  <c r="T214" i="19" s="1"/>
  <c r="S214" i="19" a="1"/>
  <c r="S214" i="19" s="1"/>
  <c r="Q214" i="19" a="1"/>
  <c r="Q214" i="19" s="1"/>
  <c r="P214" i="19"/>
  <c r="O214" i="19" a="1"/>
  <c r="O214" i="19" s="1"/>
  <c r="N214" i="19" a="1"/>
  <c r="N214" i="19" s="1"/>
  <c r="L214" i="19" a="1"/>
  <c r="L214" i="19" s="1"/>
  <c r="K214" i="19"/>
  <c r="J214" i="19" a="1"/>
  <c r="J214" i="19" s="1"/>
  <c r="I214" i="19" a="1"/>
  <c r="I214" i="19" s="1"/>
  <c r="H214" i="19" a="1"/>
  <c r="H214" i="19" s="1"/>
  <c r="G214" i="19" a="1"/>
  <c r="G214" i="19" s="1"/>
  <c r="F214" i="19" a="1"/>
  <c r="F214" i="19" s="1"/>
  <c r="E214" i="19" a="1"/>
  <c r="E214" i="19" s="1"/>
  <c r="D214" i="19" a="1"/>
  <c r="D214" i="19" s="1"/>
  <c r="C214" i="19" a="1"/>
  <c r="C214" i="19" s="1"/>
  <c r="B214" i="19" a="1"/>
  <c r="B214" i="19" s="1"/>
  <c r="U213" i="19" a="1"/>
  <c r="U213" i="19" s="1"/>
  <c r="T213" i="19" a="1"/>
  <c r="T213" i="19" s="1"/>
  <c r="S213" i="19" a="1"/>
  <c r="S213" i="19" s="1"/>
  <c r="Q213" i="19" a="1"/>
  <c r="Q213" i="19" s="1"/>
  <c r="P213" i="19"/>
  <c r="O213" i="19" a="1"/>
  <c r="O213" i="19" s="1"/>
  <c r="N213" i="19" a="1"/>
  <c r="N213" i="19" s="1"/>
  <c r="L213" i="19" a="1"/>
  <c r="L213" i="19" s="1"/>
  <c r="K213" i="19"/>
  <c r="J213" i="19" a="1"/>
  <c r="J213" i="19" s="1"/>
  <c r="I213" i="19" a="1"/>
  <c r="I213" i="19" s="1"/>
  <c r="H213" i="19" a="1"/>
  <c r="H213" i="19" s="1"/>
  <c r="G213" i="19" a="1"/>
  <c r="G213" i="19" s="1"/>
  <c r="F213" i="19" a="1"/>
  <c r="F213" i="19" s="1"/>
  <c r="E213" i="19" a="1"/>
  <c r="E213" i="19" s="1"/>
  <c r="D213" i="19" a="1"/>
  <c r="D213" i="19" s="1"/>
  <c r="C213" i="19" a="1"/>
  <c r="C213" i="19" s="1"/>
  <c r="B213" i="19" a="1"/>
  <c r="B213" i="19" s="1"/>
  <c r="U212" i="19" a="1"/>
  <c r="U212" i="19" s="1"/>
  <c r="T212" i="19" a="1"/>
  <c r="T212" i="19" s="1"/>
  <c r="S212" i="19" a="1"/>
  <c r="S212" i="19" s="1"/>
  <c r="Q212" i="19" a="1"/>
  <c r="Q212" i="19" s="1"/>
  <c r="P212" i="19"/>
  <c r="O212" i="19" a="1"/>
  <c r="O212" i="19" s="1"/>
  <c r="N212" i="19" a="1"/>
  <c r="N212" i="19" s="1"/>
  <c r="L212" i="19" a="1"/>
  <c r="L212" i="19" s="1"/>
  <c r="K212" i="19"/>
  <c r="J212" i="19" a="1"/>
  <c r="J212" i="19" s="1"/>
  <c r="I212" i="19" a="1"/>
  <c r="I212" i="19" s="1"/>
  <c r="H212" i="19" a="1"/>
  <c r="H212" i="19" s="1"/>
  <c r="G212" i="19" a="1"/>
  <c r="G212" i="19" s="1"/>
  <c r="F212" i="19" a="1"/>
  <c r="F212" i="19" s="1"/>
  <c r="E212" i="19" a="1"/>
  <c r="E212" i="19" s="1"/>
  <c r="D212" i="19" a="1"/>
  <c r="D212" i="19" s="1"/>
  <c r="C212" i="19" a="1"/>
  <c r="C212" i="19" s="1"/>
  <c r="B212" i="19" a="1"/>
  <c r="B212" i="19" s="1"/>
  <c r="U211" i="19" a="1"/>
  <c r="U211" i="19" s="1"/>
  <c r="T211" i="19" a="1"/>
  <c r="T211" i="19" s="1"/>
  <c r="S211" i="19" a="1"/>
  <c r="S211" i="19" s="1"/>
  <c r="Q211" i="19" a="1"/>
  <c r="Q211" i="19" s="1"/>
  <c r="P211" i="19"/>
  <c r="O211" i="19" a="1"/>
  <c r="O211" i="19" s="1"/>
  <c r="N211" i="19" a="1"/>
  <c r="N211" i="19" s="1"/>
  <c r="L211" i="19" a="1"/>
  <c r="L211" i="19" s="1"/>
  <c r="K211" i="19"/>
  <c r="J211" i="19" a="1"/>
  <c r="J211" i="19" s="1"/>
  <c r="I211" i="19" a="1"/>
  <c r="I211" i="19" s="1"/>
  <c r="H211" i="19" a="1"/>
  <c r="H211" i="19" s="1"/>
  <c r="G211" i="19" a="1"/>
  <c r="G211" i="19" s="1"/>
  <c r="F211" i="19" a="1"/>
  <c r="F211" i="19" s="1"/>
  <c r="E211" i="19" a="1"/>
  <c r="E211" i="19" s="1"/>
  <c r="D211" i="19" a="1"/>
  <c r="D211" i="19" s="1"/>
  <c r="C211" i="19" a="1"/>
  <c r="C211" i="19" s="1"/>
  <c r="B211" i="19" a="1"/>
  <c r="B211" i="19" s="1"/>
  <c r="U210" i="19" a="1"/>
  <c r="U210" i="19" s="1"/>
  <c r="T210" i="19" a="1"/>
  <c r="T210" i="19" s="1"/>
  <c r="S210" i="19" a="1"/>
  <c r="S210" i="19" s="1"/>
  <c r="Q210" i="19" a="1"/>
  <c r="Q210" i="19" s="1"/>
  <c r="P210" i="19"/>
  <c r="O210" i="19" a="1"/>
  <c r="O210" i="19" s="1"/>
  <c r="N210" i="19" a="1"/>
  <c r="N210" i="19" s="1"/>
  <c r="L210" i="19" a="1"/>
  <c r="L210" i="19" s="1"/>
  <c r="K210" i="19"/>
  <c r="J210" i="19" a="1"/>
  <c r="J210" i="19" s="1"/>
  <c r="I210" i="19" a="1"/>
  <c r="I210" i="19" s="1"/>
  <c r="H210" i="19" a="1"/>
  <c r="H210" i="19" s="1"/>
  <c r="G210" i="19" a="1"/>
  <c r="G210" i="19" s="1"/>
  <c r="F210" i="19" a="1"/>
  <c r="F210" i="19" s="1"/>
  <c r="E210" i="19" a="1"/>
  <c r="E210" i="19" s="1"/>
  <c r="D210" i="19" a="1"/>
  <c r="D210" i="19" s="1"/>
  <c r="C210" i="19" a="1"/>
  <c r="C210" i="19" s="1"/>
  <c r="B210" i="19" a="1"/>
  <c r="B210" i="19" s="1"/>
  <c r="U209" i="19" a="1"/>
  <c r="U209" i="19" s="1"/>
  <c r="T209" i="19" a="1"/>
  <c r="T209" i="19" s="1"/>
  <c r="S209" i="19" a="1"/>
  <c r="S209" i="19" s="1"/>
  <c r="Q209" i="19" a="1"/>
  <c r="Q209" i="19" s="1"/>
  <c r="P209" i="19"/>
  <c r="O209" i="19" a="1"/>
  <c r="O209" i="19" s="1"/>
  <c r="N209" i="19" a="1"/>
  <c r="N209" i="19" s="1"/>
  <c r="L209" i="19" a="1"/>
  <c r="L209" i="19" s="1"/>
  <c r="K209" i="19"/>
  <c r="J209" i="19" a="1"/>
  <c r="J209" i="19" s="1"/>
  <c r="I209" i="19" a="1"/>
  <c r="I209" i="19" s="1"/>
  <c r="H209" i="19" a="1"/>
  <c r="H209" i="19" s="1"/>
  <c r="G209" i="19" a="1"/>
  <c r="G209" i="19" s="1"/>
  <c r="F209" i="19" a="1"/>
  <c r="F209" i="19" s="1"/>
  <c r="E209" i="19" a="1"/>
  <c r="E209" i="19" s="1"/>
  <c r="D209" i="19" a="1"/>
  <c r="D209" i="19" s="1"/>
  <c r="C209" i="19" a="1"/>
  <c r="C209" i="19" s="1"/>
  <c r="B209" i="19" a="1"/>
  <c r="B209" i="19" s="1"/>
  <c r="U208" i="19" a="1"/>
  <c r="U208" i="19" s="1"/>
  <c r="T208" i="19" a="1"/>
  <c r="T208" i="19" s="1"/>
  <c r="S208" i="19" a="1"/>
  <c r="S208" i="19" s="1"/>
  <c r="Q208" i="19" a="1"/>
  <c r="Q208" i="19" s="1"/>
  <c r="P208" i="19"/>
  <c r="O208" i="19" a="1"/>
  <c r="O208" i="19" s="1"/>
  <c r="N208" i="19" a="1"/>
  <c r="N208" i="19" s="1"/>
  <c r="L208" i="19" a="1"/>
  <c r="L208" i="19" s="1"/>
  <c r="K208" i="19"/>
  <c r="J208" i="19" a="1"/>
  <c r="J208" i="19" s="1"/>
  <c r="I208" i="19" a="1"/>
  <c r="I208" i="19" s="1"/>
  <c r="H208" i="19" a="1"/>
  <c r="H208" i="19" s="1"/>
  <c r="G208" i="19" a="1"/>
  <c r="G208" i="19" s="1"/>
  <c r="F208" i="19" a="1"/>
  <c r="F208" i="19" s="1"/>
  <c r="E208" i="19" a="1"/>
  <c r="E208" i="19" s="1"/>
  <c r="D208" i="19" a="1"/>
  <c r="D208" i="19" s="1"/>
  <c r="C208" i="19" a="1"/>
  <c r="C208" i="19" s="1"/>
  <c r="B208" i="19" a="1"/>
  <c r="B208" i="19" s="1"/>
  <c r="U207" i="19" a="1"/>
  <c r="U207" i="19" s="1"/>
  <c r="T207" i="19" a="1"/>
  <c r="T207" i="19" s="1"/>
  <c r="S207" i="19" a="1"/>
  <c r="S207" i="19" s="1"/>
  <c r="Q207" i="19" a="1"/>
  <c r="Q207" i="19" s="1"/>
  <c r="P207" i="19"/>
  <c r="O207" i="19" a="1"/>
  <c r="O207" i="19" s="1"/>
  <c r="N207" i="19" a="1"/>
  <c r="N207" i="19" s="1"/>
  <c r="L207" i="19" a="1"/>
  <c r="L207" i="19" s="1"/>
  <c r="K207" i="19"/>
  <c r="J207" i="19" a="1"/>
  <c r="J207" i="19" s="1"/>
  <c r="I207" i="19" a="1"/>
  <c r="I207" i="19" s="1"/>
  <c r="H207" i="19" a="1"/>
  <c r="H207" i="19" s="1"/>
  <c r="G207" i="19" a="1"/>
  <c r="G207" i="19" s="1"/>
  <c r="F207" i="19" a="1"/>
  <c r="F207" i="19" s="1"/>
  <c r="E207" i="19" a="1"/>
  <c r="E207" i="19" s="1"/>
  <c r="D207" i="19" a="1"/>
  <c r="D207" i="19" s="1"/>
  <c r="C207" i="19" a="1"/>
  <c r="C207" i="19" s="1"/>
  <c r="B207" i="19" a="1"/>
  <c r="B207" i="19" s="1"/>
  <c r="U206" i="19" a="1"/>
  <c r="U206" i="19" s="1"/>
  <c r="T206" i="19" a="1"/>
  <c r="T206" i="19" s="1"/>
  <c r="S206" i="19" a="1"/>
  <c r="S206" i="19" s="1"/>
  <c r="Q206" i="19" a="1"/>
  <c r="Q206" i="19" s="1"/>
  <c r="P206" i="19"/>
  <c r="O206" i="19" a="1"/>
  <c r="O206" i="19" s="1"/>
  <c r="N206" i="19" a="1"/>
  <c r="N206" i="19" s="1"/>
  <c r="L206" i="19" a="1"/>
  <c r="L206" i="19" s="1"/>
  <c r="K206" i="19"/>
  <c r="J206" i="19" a="1"/>
  <c r="J206" i="19" s="1"/>
  <c r="I206" i="19" a="1"/>
  <c r="I206" i="19" s="1"/>
  <c r="H206" i="19" a="1"/>
  <c r="H206" i="19" s="1"/>
  <c r="G206" i="19" a="1"/>
  <c r="G206" i="19" s="1"/>
  <c r="F206" i="19" a="1"/>
  <c r="F206" i="19" s="1"/>
  <c r="E206" i="19" a="1"/>
  <c r="E206" i="19" s="1"/>
  <c r="D206" i="19" a="1"/>
  <c r="D206" i="19" s="1"/>
  <c r="C206" i="19" a="1"/>
  <c r="C206" i="19" s="1"/>
  <c r="B206" i="19" a="1"/>
  <c r="B206" i="19" s="1"/>
  <c r="U205" i="19" a="1"/>
  <c r="U205" i="19" s="1"/>
  <c r="T205" i="19" a="1"/>
  <c r="T205" i="19" s="1"/>
  <c r="S205" i="19" a="1"/>
  <c r="S205" i="19" s="1"/>
  <c r="Q205" i="19" a="1"/>
  <c r="Q205" i="19" s="1"/>
  <c r="P205" i="19"/>
  <c r="O205" i="19" a="1"/>
  <c r="O205" i="19" s="1"/>
  <c r="N205" i="19" a="1"/>
  <c r="N205" i="19" s="1"/>
  <c r="L205" i="19" a="1"/>
  <c r="L205" i="19" s="1"/>
  <c r="K205" i="19"/>
  <c r="J205" i="19" a="1"/>
  <c r="J205" i="19" s="1"/>
  <c r="I205" i="19" a="1"/>
  <c r="I205" i="19" s="1"/>
  <c r="H205" i="19" a="1"/>
  <c r="H205" i="19" s="1"/>
  <c r="G205" i="19" a="1"/>
  <c r="G205" i="19" s="1"/>
  <c r="F205" i="19" a="1"/>
  <c r="F205" i="19" s="1"/>
  <c r="E205" i="19" a="1"/>
  <c r="E205" i="19" s="1"/>
  <c r="D205" i="19" a="1"/>
  <c r="D205" i="19" s="1"/>
  <c r="C205" i="19" a="1"/>
  <c r="C205" i="19" s="1"/>
  <c r="B205" i="19" a="1"/>
  <c r="B205" i="19" s="1"/>
  <c r="U204" i="19" a="1"/>
  <c r="U204" i="19" s="1"/>
  <c r="T204" i="19" a="1"/>
  <c r="T204" i="19" s="1"/>
  <c r="S204" i="19" a="1"/>
  <c r="S204" i="19" s="1"/>
  <c r="Q204" i="19" a="1"/>
  <c r="Q204" i="19" s="1"/>
  <c r="P204" i="19"/>
  <c r="O204" i="19" a="1"/>
  <c r="O204" i="19" s="1"/>
  <c r="N204" i="19" a="1"/>
  <c r="N204" i="19" s="1"/>
  <c r="L204" i="19" a="1"/>
  <c r="L204" i="19" s="1"/>
  <c r="K204" i="19"/>
  <c r="J204" i="19" a="1"/>
  <c r="J204" i="19" s="1"/>
  <c r="I204" i="19" a="1"/>
  <c r="I204" i="19" s="1"/>
  <c r="H204" i="19" a="1"/>
  <c r="H204" i="19" s="1"/>
  <c r="G204" i="19" a="1"/>
  <c r="G204" i="19" s="1"/>
  <c r="F204" i="19" a="1"/>
  <c r="F204" i="19" s="1"/>
  <c r="E204" i="19" a="1"/>
  <c r="E204" i="19" s="1"/>
  <c r="D204" i="19" a="1"/>
  <c r="D204" i="19" s="1"/>
  <c r="C204" i="19" a="1"/>
  <c r="C204" i="19" s="1"/>
  <c r="B204" i="19" a="1"/>
  <c r="B204" i="19" s="1"/>
  <c r="U203" i="19" a="1"/>
  <c r="U203" i="19" s="1"/>
  <c r="T203" i="19" a="1"/>
  <c r="T203" i="19" s="1"/>
  <c r="S203" i="19" a="1"/>
  <c r="S203" i="19" s="1"/>
  <c r="Q203" i="19" a="1"/>
  <c r="Q203" i="19" s="1"/>
  <c r="P203" i="19"/>
  <c r="O203" i="19" a="1"/>
  <c r="O203" i="19" s="1"/>
  <c r="N203" i="19" a="1"/>
  <c r="N203" i="19" s="1"/>
  <c r="L203" i="19" a="1"/>
  <c r="L203" i="19" s="1"/>
  <c r="K203" i="19"/>
  <c r="J203" i="19" a="1"/>
  <c r="J203" i="19" s="1"/>
  <c r="I203" i="19" a="1"/>
  <c r="I203" i="19" s="1"/>
  <c r="H203" i="19" a="1"/>
  <c r="H203" i="19" s="1"/>
  <c r="G203" i="19" a="1"/>
  <c r="G203" i="19" s="1"/>
  <c r="F203" i="19" a="1"/>
  <c r="F203" i="19" s="1"/>
  <c r="E203" i="19" a="1"/>
  <c r="E203" i="19" s="1"/>
  <c r="D203" i="19" a="1"/>
  <c r="D203" i="19" s="1"/>
  <c r="C203" i="19" a="1"/>
  <c r="C203" i="19" s="1"/>
  <c r="B203" i="19" a="1"/>
  <c r="B203" i="19" s="1"/>
  <c r="U202" i="19" a="1"/>
  <c r="U202" i="19" s="1"/>
  <c r="T202" i="19" a="1"/>
  <c r="T202" i="19" s="1"/>
  <c r="S202" i="19" a="1"/>
  <c r="S202" i="19" s="1"/>
  <c r="Q202" i="19" a="1"/>
  <c r="Q202" i="19" s="1"/>
  <c r="P202" i="19"/>
  <c r="O202" i="19" a="1"/>
  <c r="O202" i="19" s="1"/>
  <c r="N202" i="19" a="1"/>
  <c r="N202" i="19" s="1"/>
  <c r="L202" i="19" a="1"/>
  <c r="L202" i="19" s="1"/>
  <c r="K202" i="19"/>
  <c r="J202" i="19" a="1"/>
  <c r="J202" i="19" s="1"/>
  <c r="I202" i="19" a="1"/>
  <c r="I202" i="19" s="1"/>
  <c r="H202" i="19" a="1"/>
  <c r="H202" i="19" s="1"/>
  <c r="G202" i="19" a="1"/>
  <c r="G202" i="19" s="1"/>
  <c r="F202" i="19" a="1"/>
  <c r="F202" i="19" s="1"/>
  <c r="E202" i="19" a="1"/>
  <c r="E202" i="19" s="1"/>
  <c r="D202" i="19" a="1"/>
  <c r="D202" i="19" s="1"/>
  <c r="C202" i="19" a="1"/>
  <c r="C202" i="19" s="1"/>
  <c r="B202" i="19" a="1"/>
  <c r="B202" i="19" s="1"/>
  <c r="U201" i="19" a="1"/>
  <c r="U201" i="19" s="1"/>
  <c r="T201" i="19" a="1"/>
  <c r="T201" i="19" s="1"/>
  <c r="S201" i="19" a="1"/>
  <c r="S201" i="19" s="1"/>
  <c r="Q201" i="19" a="1"/>
  <c r="Q201" i="19" s="1"/>
  <c r="P201" i="19"/>
  <c r="O201" i="19" a="1"/>
  <c r="O201" i="19" s="1"/>
  <c r="N201" i="19" a="1"/>
  <c r="N201" i="19" s="1"/>
  <c r="L201" i="19" a="1"/>
  <c r="L201" i="19" s="1"/>
  <c r="K201" i="19"/>
  <c r="J201" i="19" a="1"/>
  <c r="J201" i="19" s="1"/>
  <c r="I201" i="19" a="1"/>
  <c r="I201" i="19" s="1"/>
  <c r="H201" i="19" a="1"/>
  <c r="H201" i="19" s="1"/>
  <c r="G201" i="19" a="1"/>
  <c r="G201" i="19" s="1"/>
  <c r="F201" i="19" a="1"/>
  <c r="F201" i="19" s="1"/>
  <c r="E201" i="19" a="1"/>
  <c r="E201" i="19" s="1"/>
  <c r="D201" i="19" a="1"/>
  <c r="D201" i="19" s="1"/>
  <c r="C201" i="19" a="1"/>
  <c r="C201" i="19" s="1"/>
  <c r="B201" i="19" a="1"/>
  <c r="B201" i="19" s="1"/>
  <c r="U200" i="19" a="1"/>
  <c r="U200" i="19" s="1"/>
  <c r="T200" i="19" a="1"/>
  <c r="T200" i="19" s="1"/>
  <c r="S200" i="19" a="1"/>
  <c r="S200" i="19" s="1"/>
  <c r="Q200" i="19" a="1"/>
  <c r="Q200" i="19" s="1"/>
  <c r="P200" i="19"/>
  <c r="O200" i="19" a="1"/>
  <c r="O200" i="19" s="1"/>
  <c r="N200" i="19" a="1"/>
  <c r="N200" i="19" s="1"/>
  <c r="L200" i="19" a="1"/>
  <c r="L200" i="19" s="1"/>
  <c r="K200" i="19"/>
  <c r="J200" i="19" a="1"/>
  <c r="J200" i="19" s="1"/>
  <c r="I200" i="19" a="1"/>
  <c r="I200" i="19" s="1"/>
  <c r="H200" i="19" a="1"/>
  <c r="H200" i="19" s="1"/>
  <c r="G200" i="19" a="1"/>
  <c r="G200" i="19" s="1"/>
  <c r="F200" i="19" a="1"/>
  <c r="F200" i="19" s="1"/>
  <c r="E200" i="19" a="1"/>
  <c r="E200" i="19" s="1"/>
  <c r="D200" i="19" a="1"/>
  <c r="D200" i="19" s="1"/>
  <c r="C200" i="19" a="1"/>
  <c r="C200" i="19" s="1"/>
  <c r="B200" i="19" a="1"/>
  <c r="B200" i="19" s="1"/>
  <c r="U199" i="19" a="1"/>
  <c r="U199" i="19" s="1"/>
  <c r="T199" i="19" a="1"/>
  <c r="T199" i="19" s="1"/>
  <c r="S199" i="19" a="1"/>
  <c r="S199" i="19" s="1"/>
  <c r="Q199" i="19" a="1"/>
  <c r="Q199" i="19" s="1"/>
  <c r="P199" i="19"/>
  <c r="O199" i="19" a="1"/>
  <c r="O199" i="19" s="1"/>
  <c r="N199" i="19" a="1"/>
  <c r="N199" i="19" s="1"/>
  <c r="L199" i="19" a="1"/>
  <c r="L199" i="19" s="1"/>
  <c r="K199" i="19"/>
  <c r="J199" i="19" a="1"/>
  <c r="J199" i="19" s="1"/>
  <c r="I199" i="19" a="1"/>
  <c r="I199" i="19" s="1"/>
  <c r="H199" i="19" a="1"/>
  <c r="H199" i="19" s="1"/>
  <c r="G199" i="19" a="1"/>
  <c r="G199" i="19" s="1"/>
  <c r="F199" i="19" a="1"/>
  <c r="F199" i="19" s="1"/>
  <c r="E199" i="19" a="1"/>
  <c r="E199" i="19" s="1"/>
  <c r="D199" i="19" a="1"/>
  <c r="D199" i="19" s="1"/>
  <c r="C199" i="19" a="1"/>
  <c r="C199" i="19" s="1"/>
  <c r="B199" i="19" a="1"/>
  <c r="B199" i="19" s="1"/>
  <c r="U198" i="19" a="1"/>
  <c r="U198" i="19" s="1"/>
  <c r="T198" i="19" a="1"/>
  <c r="T198" i="19" s="1"/>
  <c r="S198" i="19" a="1"/>
  <c r="S198" i="19" s="1"/>
  <c r="Q198" i="19" a="1"/>
  <c r="Q198" i="19" s="1"/>
  <c r="P198" i="19"/>
  <c r="O198" i="19" a="1"/>
  <c r="O198" i="19" s="1"/>
  <c r="N198" i="19" a="1"/>
  <c r="N198" i="19" s="1"/>
  <c r="L198" i="19" a="1"/>
  <c r="L198" i="19" s="1"/>
  <c r="K198" i="19"/>
  <c r="J198" i="19" a="1"/>
  <c r="J198" i="19" s="1"/>
  <c r="I198" i="19" a="1"/>
  <c r="I198" i="19" s="1"/>
  <c r="H198" i="19" a="1"/>
  <c r="H198" i="19" s="1"/>
  <c r="G198" i="19" a="1"/>
  <c r="G198" i="19" s="1"/>
  <c r="F198" i="19" a="1"/>
  <c r="F198" i="19" s="1"/>
  <c r="E198" i="19" a="1"/>
  <c r="E198" i="19" s="1"/>
  <c r="D198" i="19" a="1"/>
  <c r="D198" i="19" s="1"/>
  <c r="C198" i="19" a="1"/>
  <c r="C198" i="19" s="1"/>
  <c r="B198" i="19" a="1"/>
  <c r="B198" i="19" s="1"/>
  <c r="U197" i="19" a="1"/>
  <c r="U197" i="19" s="1"/>
  <c r="T197" i="19" a="1"/>
  <c r="T197" i="19" s="1"/>
  <c r="S197" i="19" a="1"/>
  <c r="S197" i="19" s="1"/>
  <c r="Q197" i="19" a="1"/>
  <c r="Q197" i="19" s="1"/>
  <c r="P197" i="19"/>
  <c r="O197" i="19" a="1"/>
  <c r="O197" i="19" s="1"/>
  <c r="N197" i="19" a="1"/>
  <c r="N197" i="19" s="1"/>
  <c r="L197" i="19" a="1"/>
  <c r="L197" i="19" s="1"/>
  <c r="K197" i="19"/>
  <c r="J197" i="19" a="1"/>
  <c r="J197" i="19" s="1"/>
  <c r="I197" i="19" a="1"/>
  <c r="I197" i="19" s="1"/>
  <c r="H197" i="19" a="1"/>
  <c r="H197" i="19" s="1"/>
  <c r="G197" i="19" a="1"/>
  <c r="G197" i="19" s="1"/>
  <c r="F197" i="19" a="1"/>
  <c r="F197" i="19" s="1"/>
  <c r="E197" i="19" a="1"/>
  <c r="E197" i="19" s="1"/>
  <c r="D197" i="19" a="1"/>
  <c r="D197" i="19" s="1"/>
  <c r="C197" i="19" a="1"/>
  <c r="C197" i="19" s="1"/>
  <c r="B197" i="19" a="1"/>
  <c r="B197" i="19" s="1"/>
  <c r="U196" i="19" a="1"/>
  <c r="U196" i="19" s="1"/>
  <c r="T196" i="19" a="1"/>
  <c r="T196" i="19" s="1"/>
  <c r="S196" i="19" a="1"/>
  <c r="S196" i="19" s="1"/>
  <c r="Q196" i="19" a="1"/>
  <c r="Q196" i="19" s="1"/>
  <c r="P196" i="19"/>
  <c r="O196" i="19" a="1"/>
  <c r="O196" i="19" s="1"/>
  <c r="N196" i="19" a="1"/>
  <c r="N196" i="19" s="1"/>
  <c r="L196" i="19" a="1"/>
  <c r="L196" i="19" s="1"/>
  <c r="K196" i="19"/>
  <c r="J196" i="19" a="1"/>
  <c r="J196" i="19" s="1"/>
  <c r="I196" i="19" a="1"/>
  <c r="I196" i="19" s="1"/>
  <c r="H196" i="19" a="1"/>
  <c r="H196" i="19" s="1"/>
  <c r="G196" i="19" a="1"/>
  <c r="G196" i="19" s="1"/>
  <c r="F196" i="19" a="1"/>
  <c r="F196" i="19" s="1"/>
  <c r="E196" i="19" a="1"/>
  <c r="E196" i="19" s="1"/>
  <c r="D196" i="19" a="1"/>
  <c r="D196" i="19" s="1"/>
  <c r="C196" i="19" a="1"/>
  <c r="C196" i="19" s="1"/>
  <c r="B196" i="19" a="1"/>
  <c r="B196" i="19" s="1"/>
  <c r="U195" i="19" a="1"/>
  <c r="U195" i="19" s="1"/>
  <c r="T195" i="19" a="1"/>
  <c r="T195" i="19" s="1"/>
  <c r="S195" i="19" a="1"/>
  <c r="S195" i="19" s="1"/>
  <c r="Q195" i="19" a="1"/>
  <c r="Q195" i="19" s="1"/>
  <c r="P195" i="19"/>
  <c r="O195" i="19" a="1"/>
  <c r="O195" i="19" s="1"/>
  <c r="N195" i="19" a="1"/>
  <c r="N195" i="19" s="1"/>
  <c r="L195" i="19" a="1"/>
  <c r="L195" i="19" s="1"/>
  <c r="K195" i="19"/>
  <c r="J195" i="19" a="1"/>
  <c r="J195" i="19" s="1"/>
  <c r="I195" i="19" a="1"/>
  <c r="I195" i="19" s="1"/>
  <c r="H195" i="19" a="1"/>
  <c r="H195" i="19" s="1"/>
  <c r="G195" i="19" a="1"/>
  <c r="G195" i="19" s="1"/>
  <c r="F195" i="19" a="1"/>
  <c r="F195" i="19" s="1"/>
  <c r="E195" i="19" a="1"/>
  <c r="E195" i="19" s="1"/>
  <c r="D195" i="19" a="1"/>
  <c r="D195" i="19" s="1"/>
  <c r="C195" i="19" a="1"/>
  <c r="C195" i="19" s="1"/>
  <c r="B195" i="19" a="1"/>
  <c r="B195" i="19" s="1"/>
  <c r="U194" i="19" a="1"/>
  <c r="U194" i="19" s="1"/>
  <c r="T194" i="19" a="1"/>
  <c r="T194" i="19" s="1"/>
  <c r="S194" i="19" a="1"/>
  <c r="S194" i="19" s="1"/>
  <c r="Q194" i="19" a="1"/>
  <c r="Q194" i="19" s="1"/>
  <c r="P194" i="19"/>
  <c r="O194" i="19" a="1"/>
  <c r="O194" i="19" s="1"/>
  <c r="N194" i="19" a="1"/>
  <c r="N194" i="19" s="1"/>
  <c r="L194" i="19" a="1"/>
  <c r="L194" i="19" s="1"/>
  <c r="K194" i="19"/>
  <c r="J194" i="19" a="1"/>
  <c r="J194" i="19" s="1"/>
  <c r="I194" i="19" a="1"/>
  <c r="I194" i="19" s="1"/>
  <c r="H194" i="19" a="1"/>
  <c r="H194" i="19" s="1"/>
  <c r="G194" i="19" a="1"/>
  <c r="G194" i="19" s="1"/>
  <c r="F194" i="19" a="1"/>
  <c r="F194" i="19" s="1"/>
  <c r="E194" i="19" a="1"/>
  <c r="E194" i="19" s="1"/>
  <c r="D194" i="19" a="1"/>
  <c r="D194" i="19" s="1"/>
  <c r="C194" i="19" a="1"/>
  <c r="C194" i="19" s="1"/>
  <c r="B194" i="19" a="1"/>
  <c r="B194" i="19" s="1"/>
  <c r="U193" i="19" a="1"/>
  <c r="U193" i="19" s="1"/>
  <c r="T193" i="19" a="1"/>
  <c r="T193" i="19" s="1"/>
  <c r="S193" i="19" a="1"/>
  <c r="S193" i="19" s="1"/>
  <c r="Q193" i="19" a="1"/>
  <c r="Q193" i="19" s="1"/>
  <c r="P193" i="19"/>
  <c r="O193" i="19" a="1"/>
  <c r="O193" i="19" s="1"/>
  <c r="N193" i="19" a="1"/>
  <c r="N193" i="19" s="1"/>
  <c r="L193" i="19" a="1"/>
  <c r="L193" i="19" s="1"/>
  <c r="K193" i="19"/>
  <c r="J193" i="19" a="1"/>
  <c r="J193" i="19" s="1"/>
  <c r="I193" i="19" a="1"/>
  <c r="I193" i="19" s="1"/>
  <c r="H193" i="19" a="1"/>
  <c r="H193" i="19" s="1"/>
  <c r="G193" i="19" a="1"/>
  <c r="G193" i="19" s="1"/>
  <c r="F193" i="19" a="1"/>
  <c r="F193" i="19" s="1"/>
  <c r="E193" i="19" a="1"/>
  <c r="E193" i="19" s="1"/>
  <c r="D193" i="19" a="1"/>
  <c r="D193" i="19" s="1"/>
  <c r="C193" i="19" a="1"/>
  <c r="C193" i="19" s="1"/>
  <c r="B193" i="19" a="1"/>
  <c r="B193" i="19" s="1"/>
  <c r="U192" i="19" a="1"/>
  <c r="U192" i="19" s="1"/>
  <c r="T192" i="19" a="1"/>
  <c r="T192" i="19" s="1"/>
  <c r="S192" i="19" a="1"/>
  <c r="S192" i="19" s="1"/>
  <c r="Q192" i="19" a="1"/>
  <c r="Q192" i="19" s="1"/>
  <c r="P192" i="19"/>
  <c r="O192" i="19" a="1"/>
  <c r="O192" i="19" s="1"/>
  <c r="N192" i="19" a="1"/>
  <c r="N192" i="19" s="1"/>
  <c r="L192" i="19" a="1"/>
  <c r="L192" i="19" s="1"/>
  <c r="K192" i="19"/>
  <c r="J192" i="19" a="1"/>
  <c r="J192" i="19" s="1"/>
  <c r="I192" i="19" a="1"/>
  <c r="I192" i="19" s="1"/>
  <c r="H192" i="19" a="1"/>
  <c r="H192" i="19" s="1"/>
  <c r="G192" i="19" a="1"/>
  <c r="G192" i="19" s="1"/>
  <c r="F192" i="19" a="1"/>
  <c r="F192" i="19" s="1"/>
  <c r="E192" i="19" a="1"/>
  <c r="E192" i="19" s="1"/>
  <c r="D192" i="19" a="1"/>
  <c r="D192" i="19" s="1"/>
  <c r="C192" i="19" a="1"/>
  <c r="C192" i="19" s="1"/>
  <c r="B192" i="19" a="1"/>
  <c r="B192" i="19" s="1"/>
  <c r="U191" i="19" a="1"/>
  <c r="U191" i="19" s="1"/>
  <c r="T191" i="19" a="1"/>
  <c r="T191" i="19" s="1"/>
  <c r="S191" i="19" a="1"/>
  <c r="S191" i="19" s="1"/>
  <c r="Q191" i="19" a="1"/>
  <c r="Q191" i="19" s="1"/>
  <c r="P191" i="19"/>
  <c r="O191" i="19" a="1"/>
  <c r="O191" i="19" s="1"/>
  <c r="N191" i="19" a="1"/>
  <c r="N191" i="19" s="1"/>
  <c r="L191" i="19" a="1"/>
  <c r="L191" i="19" s="1"/>
  <c r="K191" i="19"/>
  <c r="J191" i="19" a="1"/>
  <c r="J191" i="19" s="1"/>
  <c r="I191" i="19" a="1"/>
  <c r="I191" i="19" s="1"/>
  <c r="H191" i="19" a="1"/>
  <c r="H191" i="19" s="1"/>
  <c r="G191" i="19" a="1"/>
  <c r="G191" i="19" s="1"/>
  <c r="F191" i="19" a="1"/>
  <c r="F191" i="19" s="1"/>
  <c r="E191" i="19" a="1"/>
  <c r="E191" i="19" s="1"/>
  <c r="D191" i="19" a="1"/>
  <c r="D191" i="19" s="1"/>
  <c r="C191" i="19" a="1"/>
  <c r="C191" i="19" s="1"/>
  <c r="B191" i="19" a="1"/>
  <c r="B191" i="19" s="1"/>
  <c r="U190" i="19" a="1"/>
  <c r="U190" i="19" s="1"/>
  <c r="T190" i="19" a="1"/>
  <c r="T190" i="19" s="1"/>
  <c r="S190" i="19" a="1"/>
  <c r="S190" i="19" s="1"/>
  <c r="Q190" i="19" a="1"/>
  <c r="Q190" i="19" s="1"/>
  <c r="P190" i="19"/>
  <c r="O190" i="19" a="1"/>
  <c r="O190" i="19" s="1"/>
  <c r="N190" i="19" a="1"/>
  <c r="N190" i="19" s="1"/>
  <c r="L190" i="19" a="1"/>
  <c r="L190" i="19" s="1"/>
  <c r="K190" i="19"/>
  <c r="J190" i="19" a="1"/>
  <c r="J190" i="19" s="1"/>
  <c r="I190" i="19" a="1"/>
  <c r="I190" i="19" s="1"/>
  <c r="H190" i="19" a="1"/>
  <c r="H190" i="19" s="1"/>
  <c r="G190" i="19" a="1"/>
  <c r="G190" i="19" s="1"/>
  <c r="F190" i="19" a="1"/>
  <c r="F190" i="19" s="1"/>
  <c r="E190" i="19" a="1"/>
  <c r="E190" i="19" s="1"/>
  <c r="D190" i="19" a="1"/>
  <c r="D190" i="19" s="1"/>
  <c r="C190" i="19" a="1"/>
  <c r="C190" i="19" s="1"/>
  <c r="B190" i="19" a="1"/>
  <c r="B190" i="19" s="1"/>
  <c r="U189" i="19" a="1"/>
  <c r="U189" i="19" s="1"/>
  <c r="T189" i="19" a="1"/>
  <c r="T189" i="19" s="1"/>
  <c r="S189" i="19" a="1"/>
  <c r="S189" i="19" s="1"/>
  <c r="Q189" i="19" a="1"/>
  <c r="Q189" i="19" s="1"/>
  <c r="P189" i="19"/>
  <c r="O189" i="19" a="1"/>
  <c r="O189" i="19" s="1"/>
  <c r="N189" i="19" a="1"/>
  <c r="N189" i="19" s="1"/>
  <c r="L189" i="19" a="1"/>
  <c r="L189" i="19" s="1"/>
  <c r="K189" i="19"/>
  <c r="J189" i="19" a="1"/>
  <c r="J189" i="19" s="1"/>
  <c r="I189" i="19" a="1"/>
  <c r="I189" i="19" s="1"/>
  <c r="H189" i="19" a="1"/>
  <c r="H189" i="19" s="1"/>
  <c r="G189" i="19" a="1"/>
  <c r="G189" i="19" s="1"/>
  <c r="F189" i="19" a="1"/>
  <c r="F189" i="19" s="1"/>
  <c r="E189" i="19" a="1"/>
  <c r="E189" i="19" s="1"/>
  <c r="D189" i="19" a="1"/>
  <c r="D189" i="19" s="1"/>
  <c r="C189" i="19" a="1"/>
  <c r="C189" i="19" s="1"/>
  <c r="B189" i="19" a="1"/>
  <c r="B189" i="19" s="1"/>
  <c r="U188" i="19" a="1"/>
  <c r="U188" i="19" s="1"/>
  <c r="T188" i="19" a="1"/>
  <c r="T188" i="19" s="1"/>
  <c r="S188" i="19" a="1"/>
  <c r="S188" i="19" s="1"/>
  <c r="Q188" i="19" a="1"/>
  <c r="Q188" i="19" s="1"/>
  <c r="P188" i="19"/>
  <c r="O188" i="19" a="1"/>
  <c r="O188" i="19" s="1"/>
  <c r="N188" i="19" a="1"/>
  <c r="N188" i="19" s="1"/>
  <c r="L188" i="19" a="1"/>
  <c r="L188" i="19" s="1"/>
  <c r="K188" i="19"/>
  <c r="J188" i="19" a="1"/>
  <c r="J188" i="19" s="1"/>
  <c r="I188" i="19" a="1"/>
  <c r="I188" i="19" s="1"/>
  <c r="H188" i="19" a="1"/>
  <c r="H188" i="19" s="1"/>
  <c r="G188" i="19" a="1"/>
  <c r="G188" i="19" s="1"/>
  <c r="F188" i="19" a="1"/>
  <c r="F188" i="19" s="1"/>
  <c r="E188" i="19" a="1"/>
  <c r="E188" i="19" s="1"/>
  <c r="D188" i="19" a="1"/>
  <c r="D188" i="19" s="1"/>
  <c r="C188" i="19" a="1"/>
  <c r="C188" i="19" s="1"/>
  <c r="B188" i="19" a="1"/>
  <c r="B188" i="19" s="1"/>
  <c r="U187" i="19" a="1"/>
  <c r="U187" i="19" s="1"/>
  <c r="T187" i="19" a="1"/>
  <c r="T187" i="19" s="1"/>
  <c r="S187" i="19" a="1"/>
  <c r="S187" i="19" s="1"/>
  <c r="Q187" i="19" a="1"/>
  <c r="Q187" i="19" s="1"/>
  <c r="P187" i="19"/>
  <c r="O187" i="19" a="1"/>
  <c r="O187" i="19" s="1"/>
  <c r="N187" i="19" a="1"/>
  <c r="N187" i="19" s="1"/>
  <c r="L187" i="19" a="1"/>
  <c r="L187" i="19" s="1"/>
  <c r="K187" i="19"/>
  <c r="J187" i="19" a="1"/>
  <c r="J187" i="19" s="1"/>
  <c r="I187" i="19" a="1"/>
  <c r="I187" i="19" s="1"/>
  <c r="H187" i="19" a="1"/>
  <c r="H187" i="19" s="1"/>
  <c r="G187" i="19" a="1"/>
  <c r="G187" i="19" s="1"/>
  <c r="F187" i="19" a="1"/>
  <c r="F187" i="19" s="1"/>
  <c r="E187" i="19" a="1"/>
  <c r="E187" i="19" s="1"/>
  <c r="D187" i="19" a="1"/>
  <c r="D187" i="19" s="1"/>
  <c r="C187" i="19" a="1"/>
  <c r="C187" i="19" s="1"/>
  <c r="B187" i="19" a="1"/>
  <c r="B187" i="19" s="1"/>
  <c r="U186" i="19" a="1"/>
  <c r="U186" i="19" s="1"/>
  <c r="T186" i="19" a="1"/>
  <c r="T186" i="19" s="1"/>
  <c r="S186" i="19" a="1"/>
  <c r="S186" i="19" s="1"/>
  <c r="Q186" i="19" a="1"/>
  <c r="Q186" i="19" s="1"/>
  <c r="P186" i="19"/>
  <c r="O186" i="19" a="1"/>
  <c r="O186" i="19" s="1"/>
  <c r="N186" i="19" a="1"/>
  <c r="N186" i="19" s="1"/>
  <c r="L186" i="19" a="1"/>
  <c r="L186" i="19" s="1"/>
  <c r="K186" i="19"/>
  <c r="J186" i="19" a="1"/>
  <c r="J186" i="19" s="1"/>
  <c r="I186" i="19" a="1"/>
  <c r="I186" i="19" s="1"/>
  <c r="H186" i="19" a="1"/>
  <c r="H186" i="19" s="1"/>
  <c r="G186" i="19" a="1"/>
  <c r="G186" i="19" s="1"/>
  <c r="F186" i="19" a="1"/>
  <c r="F186" i="19" s="1"/>
  <c r="E186" i="19" a="1"/>
  <c r="E186" i="19" s="1"/>
  <c r="D186" i="19" a="1"/>
  <c r="D186" i="19" s="1"/>
  <c r="C186" i="19" a="1"/>
  <c r="C186" i="19" s="1"/>
  <c r="B186" i="19" a="1"/>
  <c r="B186" i="19" s="1"/>
  <c r="U185" i="19" a="1"/>
  <c r="U185" i="19" s="1"/>
  <c r="T185" i="19" a="1"/>
  <c r="T185" i="19" s="1"/>
  <c r="S185" i="19" a="1"/>
  <c r="S185" i="19" s="1"/>
  <c r="Q185" i="19" a="1"/>
  <c r="Q185" i="19" s="1"/>
  <c r="P185" i="19"/>
  <c r="O185" i="19" a="1"/>
  <c r="O185" i="19" s="1"/>
  <c r="N185" i="19" a="1"/>
  <c r="N185" i="19" s="1"/>
  <c r="L185" i="19" a="1"/>
  <c r="L185" i="19" s="1"/>
  <c r="K185" i="19"/>
  <c r="J185" i="19" a="1"/>
  <c r="J185" i="19" s="1"/>
  <c r="I185" i="19" a="1"/>
  <c r="I185" i="19" s="1"/>
  <c r="H185" i="19" a="1"/>
  <c r="H185" i="19" s="1"/>
  <c r="G185" i="19" a="1"/>
  <c r="G185" i="19" s="1"/>
  <c r="F185" i="19" a="1"/>
  <c r="F185" i="19" s="1"/>
  <c r="E185" i="19" a="1"/>
  <c r="E185" i="19" s="1"/>
  <c r="D185" i="19" a="1"/>
  <c r="D185" i="19" s="1"/>
  <c r="C185" i="19" a="1"/>
  <c r="C185" i="19" s="1"/>
  <c r="B185" i="19" a="1"/>
  <c r="B185" i="19" s="1"/>
  <c r="U184" i="19" a="1"/>
  <c r="U184" i="19" s="1"/>
  <c r="T184" i="19" a="1"/>
  <c r="T184" i="19" s="1"/>
  <c r="S184" i="19" a="1"/>
  <c r="S184" i="19" s="1"/>
  <c r="Q184" i="19" a="1"/>
  <c r="Q184" i="19" s="1"/>
  <c r="P184" i="19"/>
  <c r="O184" i="19" a="1"/>
  <c r="O184" i="19" s="1"/>
  <c r="N184" i="19" a="1"/>
  <c r="N184" i="19" s="1"/>
  <c r="L184" i="19" a="1"/>
  <c r="L184" i="19" s="1"/>
  <c r="K184" i="19"/>
  <c r="J184" i="19" a="1"/>
  <c r="J184" i="19" s="1"/>
  <c r="I184" i="19" a="1"/>
  <c r="I184" i="19" s="1"/>
  <c r="H184" i="19" a="1"/>
  <c r="H184" i="19" s="1"/>
  <c r="G184" i="19" a="1"/>
  <c r="G184" i="19" s="1"/>
  <c r="F184" i="19" a="1"/>
  <c r="F184" i="19" s="1"/>
  <c r="E184" i="19" a="1"/>
  <c r="E184" i="19" s="1"/>
  <c r="D184" i="19" a="1"/>
  <c r="D184" i="19" s="1"/>
  <c r="C184" i="19" a="1"/>
  <c r="C184" i="19" s="1"/>
  <c r="B184" i="19" a="1"/>
  <c r="B184" i="19" s="1"/>
  <c r="U183" i="19" a="1"/>
  <c r="U183" i="19" s="1"/>
  <c r="T183" i="19" a="1"/>
  <c r="T183" i="19" s="1"/>
  <c r="S183" i="19" a="1"/>
  <c r="S183" i="19" s="1"/>
  <c r="Q183" i="19" a="1"/>
  <c r="Q183" i="19" s="1"/>
  <c r="P183" i="19"/>
  <c r="O183" i="19" a="1"/>
  <c r="O183" i="19" s="1"/>
  <c r="N183" i="19" a="1"/>
  <c r="N183" i="19" s="1"/>
  <c r="L183" i="19" a="1"/>
  <c r="L183" i="19" s="1"/>
  <c r="K183" i="19"/>
  <c r="J183" i="19" a="1"/>
  <c r="J183" i="19" s="1"/>
  <c r="I183" i="19" a="1"/>
  <c r="I183" i="19" s="1"/>
  <c r="H183" i="19" a="1"/>
  <c r="H183" i="19" s="1"/>
  <c r="G183" i="19" a="1"/>
  <c r="G183" i="19" s="1"/>
  <c r="F183" i="19" a="1"/>
  <c r="F183" i="19" s="1"/>
  <c r="E183" i="19" a="1"/>
  <c r="E183" i="19" s="1"/>
  <c r="D183" i="19" a="1"/>
  <c r="D183" i="19" s="1"/>
  <c r="C183" i="19" a="1"/>
  <c r="C183" i="19" s="1"/>
  <c r="B183" i="19" a="1"/>
  <c r="B183" i="19" s="1"/>
  <c r="U182" i="19" a="1"/>
  <c r="U182" i="19" s="1"/>
  <c r="T182" i="19" a="1"/>
  <c r="T182" i="19" s="1"/>
  <c r="S182" i="19" a="1"/>
  <c r="S182" i="19" s="1"/>
  <c r="Q182" i="19" a="1"/>
  <c r="Q182" i="19" s="1"/>
  <c r="P182" i="19"/>
  <c r="O182" i="19" a="1"/>
  <c r="O182" i="19" s="1"/>
  <c r="N182" i="19" a="1"/>
  <c r="N182" i="19" s="1"/>
  <c r="L182" i="19" a="1"/>
  <c r="L182" i="19" s="1"/>
  <c r="K182" i="19"/>
  <c r="J182" i="19" a="1"/>
  <c r="J182" i="19" s="1"/>
  <c r="I182" i="19" a="1"/>
  <c r="I182" i="19" s="1"/>
  <c r="H182" i="19" a="1"/>
  <c r="H182" i="19" s="1"/>
  <c r="G182" i="19" a="1"/>
  <c r="G182" i="19" s="1"/>
  <c r="F182" i="19" a="1"/>
  <c r="F182" i="19" s="1"/>
  <c r="E182" i="19" a="1"/>
  <c r="E182" i="19" s="1"/>
  <c r="D182" i="19" a="1"/>
  <c r="D182" i="19" s="1"/>
  <c r="C182" i="19" a="1"/>
  <c r="C182" i="19" s="1"/>
  <c r="B182" i="19" a="1"/>
  <c r="B182" i="19" s="1"/>
  <c r="U181" i="19" a="1"/>
  <c r="U181" i="19" s="1"/>
  <c r="T181" i="19" a="1"/>
  <c r="T181" i="19" s="1"/>
  <c r="S181" i="19" a="1"/>
  <c r="S181" i="19" s="1"/>
  <c r="Q181" i="19" a="1"/>
  <c r="Q181" i="19" s="1"/>
  <c r="P181" i="19"/>
  <c r="O181" i="19" a="1"/>
  <c r="O181" i="19" s="1"/>
  <c r="N181" i="19" a="1"/>
  <c r="N181" i="19" s="1"/>
  <c r="L181" i="19" a="1"/>
  <c r="L181" i="19" s="1"/>
  <c r="K181" i="19"/>
  <c r="J181" i="19" a="1"/>
  <c r="J181" i="19" s="1"/>
  <c r="I181" i="19" a="1"/>
  <c r="I181" i="19" s="1"/>
  <c r="H181" i="19" a="1"/>
  <c r="H181" i="19" s="1"/>
  <c r="G181" i="19" a="1"/>
  <c r="G181" i="19" s="1"/>
  <c r="F181" i="19" a="1"/>
  <c r="F181" i="19" s="1"/>
  <c r="E181" i="19" a="1"/>
  <c r="E181" i="19" s="1"/>
  <c r="D181" i="19" a="1"/>
  <c r="D181" i="19" s="1"/>
  <c r="C181" i="19" a="1"/>
  <c r="C181" i="19" s="1"/>
  <c r="B181" i="19" a="1"/>
  <c r="B181" i="19" s="1"/>
  <c r="U180" i="19" a="1"/>
  <c r="U180" i="19" s="1"/>
  <c r="T180" i="19" a="1"/>
  <c r="T180" i="19" s="1"/>
  <c r="S180" i="19" a="1"/>
  <c r="S180" i="19" s="1"/>
  <c r="Q180" i="19" a="1"/>
  <c r="Q180" i="19" s="1"/>
  <c r="P180" i="19"/>
  <c r="O180" i="19" a="1"/>
  <c r="O180" i="19" s="1"/>
  <c r="N180" i="19" a="1"/>
  <c r="N180" i="19" s="1"/>
  <c r="L180" i="19" a="1"/>
  <c r="L180" i="19" s="1"/>
  <c r="K180" i="19"/>
  <c r="J180" i="19" a="1"/>
  <c r="J180" i="19" s="1"/>
  <c r="I180" i="19" a="1"/>
  <c r="I180" i="19" s="1"/>
  <c r="H180" i="19" a="1"/>
  <c r="H180" i="19" s="1"/>
  <c r="G180" i="19" a="1"/>
  <c r="G180" i="19" s="1"/>
  <c r="F180" i="19" a="1"/>
  <c r="F180" i="19" s="1"/>
  <c r="E180" i="19" a="1"/>
  <c r="E180" i="19" s="1"/>
  <c r="D180" i="19" a="1"/>
  <c r="D180" i="19" s="1"/>
  <c r="C180" i="19" a="1"/>
  <c r="C180" i="19" s="1"/>
  <c r="B180" i="19" a="1"/>
  <c r="B180" i="19" s="1"/>
  <c r="U179" i="19" a="1"/>
  <c r="U179" i="19" s="1"/>
  <c r="T179" i="19" a="1"/>
  <c r="T179" i="19" s="1"/>
  <c r="S179" i="19" a="1"/>
  <c r="S179" i="19" s="1"/>
  <c r="Q179" i="19" a="1"/>
  <c r="Q179" i="19" s="1"/>
  <c r="P179" i="19"/>
  <c r="O179" i="19" a="1"/>
  <c r="O179" i="19" s="1"/>
  <c r="N179" i="19" a="1"/>
  <c r="N179" i="19" s="1"/>
  <c r="L179" i="19" a="1"/>
  <c r="L179" i="19" s="1"/>
  <c r="K179" i="19"/>
  <c r="J179" i="19" a="1"/>
  <c r="J179" i="19" s="1"/>
  <c r="I179" i="19" a="1"/>
  <c r="I179" i="19" s="1"/>
  <c r="H179" i="19" a="1"/>
  <c r="H179" i="19" s="1"/>
  <c r="G179" i="19" a="1"/>
  <c r="G179" i="19" s="1"/>
  <c r="F179" i="19" a="1"/>
  <c r="F179" i="19" s="1"/>
  <c r="E179" i="19" a="1"/>
  <c r="E179" i="19" s="1"/>
  <c r="D179" i="19" a="1"/>
  <c r="D179" i="19" s="1"/>
  <c r="C179" i="19" a="1"/>
  <c r="C179" i="19" s="1"/>
  <c r="B179" i="19" a="1"/>
  <c r="B179" i="19" s="1"/>
  <c r="U178" i="19" a="1"/>
  <c r="U178" i="19" s="1"/>
  <c r="T178" i="19" a="1"/>
  <c r="T178" i="19" s="1"/>
  <c r="S178" i="19" a="1"/>
  <c r="S178" i="19" s="1"/>
  <c r="Q178" i="19" a="1"/>
  <c r="Q178" i="19" s="1"/>
  <c r="P178" i="19"/>
  <c r="O178" i="19" a="1"/>
  <c r="O178" i="19" s="1"/>
  <c r="N178" i="19" a="1"/>
  <c r="N178" i="19" s="1"/>
  <c r="L178" i="19" a="1"/>
  <c r="L178" i="19" s="1"/>
  <c r="K178" i="19"/>
  <c r="J178" i="19" a="1"/>
  <c r="J178" i="19" s="1"/>
  <c r="I178" i="19" a="1"/>
  <c r="I178" i="19" s="1"/>
  <c r="H178" i="19" a="1"/>
  <c r="H178" i="19" s="1"/>
  <c r="G178" i="19" a="1"/>
  <c r="G178" i="19" s="1"/>
  <c r="F178" i="19" a="1"/>
  <c r="F178" i="19" s="1"/>
  <c r="E178" i="19" a="1"/>
  <c r="E178" i="19" s="1"/>
  <c r="D178" i="19" a="1"/>
  <c r="D178" i="19" s="1"/>
  <c r="C178" i="19" a="1"/>
  <c r="C178" i="19" s="1"/>
  <c r="B178" i="19" a="1"/>
  <c r="B178" i="19" s="1"/>
  <c r="U177" i="19" a="1"/>
  <c r="U177" i="19" s="1"/>
  <c r="T177" i="19" a="1"/>
  <c r="T177" i="19" s="1"/>
  <c r="S177" i="19" a="1"/>
  <c r="S177" i="19" s="1"/>
  <c r="Q177" i="19" a="1"/>
  <c r="Q177" i="19" s="1"/>
  <c r="P177" i="19"/>
  <c r="O177" i="19" a="1"/>
  <c r="O177" i="19" s="1"/>
  <c r="N177" i="19" a="1"/>
  <c r="N177" i="19" s="1"/>
  <c r="L177" i="19" a="1"/>
  <c r="L177" i="19" s="1"/>
  <c r="K177" i="19"/>
  <c r="J177" i="19" a="1"/>
  <c r="J177" i="19" s="1"/>
  <c r="I177" i="19" a="1"/>
  <c r="I177" i="19" s="1"/>
  <c r="H177" i="19" a="1"/>
  <c r="H177" i="19" s="1"/>
  <c r="G177" i="19" a="1"/>
  <c r="G177" i="19" s="1"/>
  <c r="F177" i="19" a="1"/>
  <c r="F177" i="19" s="1"/>
  <c r="E177" i="19" a="1"/>
  <c r="E177" i="19" s="1"/>
  <c r="D177" i="19" a="1"/>
  <c r="D177" i="19" s="1"/>
  <c r="C177" i="19" a="1"/>
  <c r="C177" i="19" s="1"/>
  <c r="B177" i="19" a="1"/>
  <c r="B177" i="19" s="1"/>
  <c r="U176" i="19" a="1"/>
  <c r="U176" i="19" s="1"/>
  <c r="T176" i="19" a="1"/>
  <c r="T176" i="19" s="1"/>
  <c r="S176" i="19" a="1"/>
  <c r="S176" i="19" s="1"/>
  <c r="Q176" i="19" a="1"/>
  <c r="Q176" i="19" s="1"/>
  <c r="P176" i="19"/>
  <c r="O176" i="19" a="1"/>
  <c r="O176" i="19" s="1"/>
  <c r="N176" i="19" a="1"/>
  <c r="N176" i="19" s="1"/>
  <c r="L176" i="19" a="1"/>
  <c r="L176" i="19" s="1"/>
  <c r="K176" i="19"/>
  <c r="J176" i="19" a="1"/>
  <c r="J176" i="19" s="1"/>
  <c r="I176" i="19" a="1"/>
  <c r="I176" i="19" s="1"/>
  <c r="H176" i="19" a="1"/>
  <c r="H176" i="19" s="1"/>
  <c r="G176" i="19" a="1"/>
  <c r="G176" i="19" s="1"/>
  <c r="F176" i="19" a="1"/>
  <c r="F176" i="19" s="1"/>
  <c r="E176" i="19" a="1"/>
  <c r="E176" i="19" s="1"/>
  <c r="D176" i="19" a="1"/>
  <c r="D176" i="19" s="1"/>
  <c r="C176" i="19" a="1"/>
  <c r="C176" i="19" s="1"/>
  <c r="B176" i="19" a="1"/>
  <c r="B176" i="19" s="1"/>
  <c r="U175" i="19" a="1"/>
  <c r="U175" i="19" s="1"/>
  <c r="T175" i="19" a="1"/>
  <c r="T175" i="19" s="1"/>
  <c r="S175" i="19" a="1"/>
  <c r="S175" i="19" s="1"/>
  <c r="Q175" i="19" a="1"/>
  <c r="Q175" i="19" s="1"/>
  <c r="P175" i="19"/>
  <c r="O175" i="19" a="1"/>
  <c r="O175" i="19" s="1"/>
  <c r="N175" i="19" a="1"/>
  <c r="N175" i="19" s="1"/>
  <c r="L175" i="19" a="1"/>
  <c r="L175" i="19" s="1"/>
  <c r="K175" i="19"/>
  <c r="J175" i="19" a="1"/>
  <c r="J175" i="19" s="1"/>
  <c r="I175" i="19" a="1"/>
  <c r="I175" i="19" s="1"/>
  <c r="H175" i="19" a="1"/>
  <c r="H175" i="19" s="1"/>
  <c r="G175" i="19" a="1"/>
  <c r="G175" i="19" s="1"/>
  <c r="F175" i="19" a="1"/>
  <c r="F175" i="19" s="1"/>
  <c r="E175" i="19" a="1"/>
  <c r="E175" i="19" s="1"/>
  <c r="D175" i="19" a="1"/>
  <c r="D175" i="19" s="1"/>
  <c r="C175" i="19" a="1"/>
  <c r="C175" i="19" s="1"/>
  <c r="B175" i="19" a="1"/>
  <c r="B175" i="19" s="1"/>
  <c r="U174" i="19" a="1"/>
  <c r="U174" i="19" s="1"/>
  <c r="T174" i="19" a="1"/>
  <c r="T174" i="19" s="1"/>
  <c r="S174" i="19" a="1"/>
  <c r="S174" i="19" s="1"/>
  <c r="Q174" i="19" a="1"/>
  <c r="Q174" i="19" s="1"/>
  <c r="P174" i="19"/>
  <c r="O174" i="19" a="1"/>
  <c r="O174" i="19" s="1"/>
  <c r="N174" i="19" a="1"/>
  <c r="N174" i="19" s="1"/>
  <c r="L174" i="19" a="1"/>
  <c r="L174" i="19" s="1"/>
  <c r="K174" i="19"/>
  <c r="J174" i="19" a="1"/>
  <c r="J174" i="19" s="1"/>
  <c r="I174" i="19" a="1"/>
  <c r="I174" i="19" s="1"/>
  <c r="H174" i="19" a="1"/>
  <c r="H174" i="19" s="1"/>
  <c r="G174" i="19" a="1"/>
  <c r="G174" i="19" s="1"/>
  <c r="F174" i="19" a="1"/>
  <c r="F174" i="19" s="1"/>
  <c r="E174" i="19" a="1"/>
  <c r="E174" i="19" s="1"/>
  <c r="D174" i="19" a="1"/>
  <c r="D174" i="19" s="1"/>
  <c r="C174" i="19" a="1"/>
  <c r="C174" i="19" s="1"/>
  <c r="B174" i="19" a="1"/>
  <c r="B174" i="19" s="1"/>
  <c r="U173" i="19" a="1"/>
  <c r="U173" i="19" s="1"/>
  <c r="T173" i="19" a="1"/>
  <c r="T173" i="19" s="1"/>
  <c r="S173" i="19" a="1"/>
  <c r="S173" i="19" s="1"/>
  <c r="Q173" i="19" a="1"/>
  <c r="Q173" i="19" s="1"/>
  <c r="P173" i="19"/>
  <c r="O173" i="19" a="1"/>
  <c r="O173" i="19" s="1"/>
  <c r="N173" i="19" a="1"/>
  <c r="N173" i="19" s="1"/>
  <c r="L173" i="19" a="1"/>
  <c r="L173" i="19" s="1"/>
  <c r="K173" i="19"/>
  <c r="J173" i="19" a="1"/>
  <c r="J173" i="19" s="1"/>
  <c r="I173" i="19" a="1"/>
  <c r="I173" i="19" s="1"/>
  <c r="H173" i="19" a="1"/>
  <c r="H173" i="19" s="1"/>
  <c r="G173" i="19" a="1"/>
  <c r="G173" i="19" s="1"/>
  <c r="F173" i="19" a="1"/>
  <c r="F173" i="19" s="1"/>
  <c r="E173" i="19" a="1"/>
  <c r="E173" i="19" s="1"/>
  <c r="D173" i="19" a="1"/>
  <c r="D173" i="19" s="1"/>
  <c r="C173" i="19" a="1"/>
  <c r="C173" i="19" s="1"/>
  <c r="B173" i="19" a="1"/>
  <c r="B173" i="19" s="1"/>
  <c r="U172" i="19" a="1"/>
  <c r="U172" i="19" s="1"/>
  <c r="T172" i="19" a="1"/>
  <c r="T172" i="19" s="1"/>
  <c r="S172" i="19" a="1"/>
  <c r="S172" i="19" s="1"/>
  <c r="Q172" i="19" a="1"/>
  <c r="Q172" i="19" s="1"/>
  <c r="P172" i="19"/>
  <c r="O172" i="19" a="1"/>
  <c r="O172" i="19" s="1"/>
  <c r="N172" i="19" a="1"/>
  <c r="N172" i="19" s="1"/>
  <c r="L172" i="19" a="1"/>
  <c r="L172" i="19" s="1"/>
  <c r="K172" i="19"/>
  <c r="J172" i="19" a="1"/>
  <c r="J172" i="19" s="1"/>
  <c r="I172" i="19" a="1"/>
  <c r="I172" i="19" s="1"/>
  <c r="H172" i="19" a="1"/>
  <c r="H172" i="19" s="1"/>
  <c r="G172" i="19" a="1"/>
  <c r="G172" i="19" s="1"/>
  <c r="F172" i="19" a="1"/>
  <c r="F172" i="19" s="1"/>
  <c r="E172" i="19" a="1"/>
  <c r="E172" i="19" s="1"/>
  <c r="D172" i="19" a="1"/>
  <c r="D172" i="19" s="1"/>
  <c r="C172" i="19" a="1"/>
  <c r="C172" i="19" s="1"/>
  <c r="B172" i="19" a="1"/>
  <c r="B172" i="19" s="1"/>
  <c r="U171" i="19" a="1"/>
  <c r="U171" i="19" s="1"/>
  <c r="T171" i="19" a="1"/>
  <c r="T171" i="19" s="1"/>
  <c r="S171" i="19" a="1"/>
  <c r="S171" i="19" s="1"/>
  <c r="Q171" i="19" a="1"/>
  <c r="Q171" i="19" s="1"/>
  <c r="P171" i="19"/>
  <c r="O171" i="19" a="1"/>
  <c r="O171" i="19" s="1"/>
  <c r="N171" i="19" a="1"/>
  <c r="N171" i="19" s="1"/>
  <c r="L171" i="19" a="1"/>
  <c r="L171" i="19" s="1"/>
  <c r="K171" i="19"/>
  <c r="J171" i="19" a="1"/>
  <c r="J171" i="19" s="1"/>
  <c r="I171" i="19" a="1"/>
  <c r="I171" i="19" s="1"/>
  <c r="H171" i="19" a="1"/>
  <c r="H171" i="19" s="1"/>
  <c r="G171" i="19" a="1"/>
  <c r="G171" i="19" s="1"/>
  <c r="F171" i="19" a="1"/>
  <c r="F171" i="19" s="1"/>
  <c r="E171" i="19" a="1"/>
  <c r="E171" i="19" s="1"/>
  <c r="D171" i="19" a="1"/>
  <c r="D171" i="19" s="1"/>
  <c r="C171" i="19" a="1"/>
  <c r="C171" i="19" s="1"/>
  <c r="B171" i="19" a="1"/>
  <c r="B171" i="19" s="1"/>
  <c r="U170" i="19" a="1"/>
  <c r="U170" i="19" s="1"/>
  <c r="T170" i="19" a="1"/>
  <c r="T170" i="19" s="1"/>
  <c r="S170" i="19" a="1"/>
  <c r="S170" i="19" s="1"/>
  <c r="Q170" i="19" a="1"/>
  <c r="Q170" i="19" s="1"/>
  <c r="P170" i="19"/>
  <c r="O170" i="19" a="1"/>
  <c r="O170" i="19" s="1"/>
  <c r="N170" i="19" a="1"/>
  <c r="N170" i="19" s="1"/>
  <c r="L170" i="19" a="1"/>
  <c r="L170" i="19" s="1"/>
  <c r="K170" i="19"/>
  <c r="J170" i="19" a="1"/>
  <c r="J170" i="19" s="1"/>
  <c r="I170" i="19" a="1"/>
  <c r="I170" i="19" s="1"/>
  <c r="H170" i="19" a="1"/>
  <c r="H170" i="19" s="1"/>
  <c r="G170" i="19" a="1"/>
  <c r="G170" i="19" s="1"/>
  <c r="F170" i="19" a="1"/>
  <c r="F170" i="19" s="1"/>
  <c r="E170" i="19" a="1"/>
  <c r="E170" i="19" s="1"/>
  <c r="D170" i="19" a="1"/>
  <c r="D170" i="19" s="1"/>
  <c r="C170" i="19" a="1"/>
  <c r="C170" i="19" s="1"/>
  <c r="B170" i="19" a="1"/>
  <c r="B170" i="19" s="1"/>
  <c r="U169" i="19" a="1"/>
  <c r="U169" i="19" s="1"/>
  <c r="T169" i="19" a="1"/>
  <c r="T169" i="19" s="1"/>
  <c r="S169" i="19" a="1"/>
  <c r="S169" i="19" s="1"/>
  <c r="Q169" i="19" a="1"/>
  <c r="Q169" i="19" s="1"/>
  <c r="P169" i="19"/>
  <c r="O169" i="19" a="1"/>
  <c r="O169" i="19" s="1"/>
  <c r="N169" i="19" a="1"/>
  <c r="N169" i="19" s="1"/>
  <c r="L169" i="19" a="1"/>
  <c r="L169" i="19" s="1"/>
  <c r="K169" i="19"/>
  <c r="J169" i="19" a="1"/>
  <c r="J169" i="19" s="1"/>
  <c r="I169" i="19" a="1"/>
  <c r="I169" i="19" s="1"/>
  <c r="H169" i="19" a="1"/>
  <c r="H169" i="19" s="1"/>
  <c r="G169" i="19" a="1"/>
  <c r="G169" i="19" s="1"/>
  <c r="F169" i="19" a="1"/>
  <c r="F169" i="19" s="1"/>
  <c r="E169" i="19" a="1"/>
  <c r="E169" i="19" s="1"/>
  <c r="D169" i="19" a="1"/>
  <c r="D169" i="19" s="1"/>
  <c r="C169" i="19" a="1"/>
  <c r="C169" i="19" s="1"/>
  <c r="B169" i="19" a="1"/>
  <c r="B169" i="19" s="1"/>
  <c r="U168" i="19" a="1"/>
  <c r="U168" i="19" s="1"/>
  <c r="T168" i="19" a="1"/>
  <c r="T168" i="19" s="1"/>
  <c r="S168" i="19" a="1"/>
  <c r="S168" i="19" s="1"/>
  <c r="Q168" i="19" a="1"/>
  <c r="Q168" i="19" s="1"/>
  <c r="P168" i="19"/>
  <c r="O168" i="19" a="1"/>
  <c r="O168" i="19" s="1"/>
  <c r="N168" i="19" a="1"/>
  <c r="N168" i="19" s="1"/>
  <c r="L168" i="19" a="1"/>
  <c r="L168" i="19" s="1"/>
  <c r="K168" i="19"/>
  <c r="J168" i="19" a="1"/>
  <c r="J168" i="19" s="1"/>
  <c r="I168" i="19" a="1"/>
  <c r="I168" i="19" s="1"/>
  <c r="H168" i="19" a="1"/>
  <c r="H168" i="19" s="1"/>
  <c r="G168" i="19" a="1"/>
  <c r="G168" i="19" s="1"/>
  <c r="F168" i="19" a="1"/>
  <c r="F168" i="19" s="1"/>
  <c r="E168" i="19" a="1"/>
  <c r="E168" i="19" s="1"/>
  <c r="D168" i="19" a="1"/>
  <c r="D168" i="19" s="1"/>
  <c r="C168" i="19" a="1"/>
  <c r="C168" i="19" s="1"/>
  <c r="B168" i="19" a="1"/>
  <c r="B168" i="19" s="1"/>
  <c r="U167" i="19" a="1"/>
  <c r="U167" i="19" s="1"/>
  <c r="T167" i="19" a="1"/>
  <c r="T167" i="19" s="1"/>
  <c r="S167" i="19" a="1"/>
  <c r="S167" i="19" s="1"/>
  <c r="Q167" i="19" a="1"/>
  <c r="Q167" i="19" s="1"/>
  <c r="P167" i="19"/>
  <c r="O167" i="19" a="1"/>
  <c r="O167" i="19" s="1"/>
  <c r="N167" i="19" a="1"/>
  <c r="N167" i="19" s="1"/>
  <c r="L167" i="19" a="1"/>
  <c r="L167" i="19" s="1"/>
  <c r="K167" i="19"/>
  <c r="J167" i="19" a="1"/>
  <c r="J167" i="19" s="1"/>
  <c r="I167" i="19" a="1"/>
  <c r="I167" i="19" s="1"/>
  <c r="H167" i="19" a="1"/>
  <c r="H167" i="19" s="1"/>
  <c r="G167" i="19" a="1"/>
  <c r="G167" i="19" s="1"/>
  <c r="F167" i="19" a="1"/>
  <c r="F167" i="19" s="1"/>
  <c r="E167" i="19" a="1"/>
  <c r="E167" i="19" s="1"/>
  <c r="D167" i="19" a="1"/>
  <c r="D167" i="19" s="1"/>
  <c r="C167" i="19" a="1"/>
  <c r="C167" i="19" s="1"/>
  <c r="B167" i="19" a="1"/>
  <c r="B167" i="19" s="1"/>
  <c r="U166" i="19" a="1"/>
  <c r="U166" i="19" s="1"/>
  <c r="T166" i="19" a="1"/>
  <c r="T166" i="19" s="1"/>
  <c r="S166" i="19" a="1"/>
  <c r="S166" i="19" s="1"/>
  <c r="Q166" i="19" a="1"/>
  <c r="Q166" i="19" s="1"/>
  <c r="P166" i="19"/>
  <c r="O166" i="19" a="1"/>
  <c r="O166" i="19" s="1"/>
  <c r="N166" i="19" a="1"/>
  <c r="N166" i="19" s="1"/>
  <c r="L166" i="19" a="1"/>
  <c r="L166" i="19" s="1"/>
  <c r="K166" i="19"/>
  <c r="J166" i="19" a="1"/>
  <c r="J166" i="19" s="1"/>
  <c r="I166" i="19" a="1"/>
  <c r="I166" i="19" s="1"/>
  <c r="H166" i="19" a="1"/>
  <c r="H166" i="19" s="1"/>
  <c r="G166" i="19" a="1"/>
  <c r="G166" i="19" s="1"/>
  <c r="F166" i="19" a="1"/>
  <c r="F166" i="19" s="1"/>
  <c r="E166" i="19" a="1"/>
  <c r="E166" i="19" s="1"/>
  <c r="D166" i="19" a="1"/>
  <c r="D166" i="19" s="1"/>
  <c r="C166" i="19" a="1"/>
  <c r="C166" i="19" s="1"/>
  <c r="B166" i="19" a="1"/>
  <c r="B166" i="19" s="1"/>
  <c r="U165" i="19" a="1"/>
  <c r="U165" i="19" s="1"/>
  <c r="T165" i="19" a="1"/>
  <c r="T165" i="19" s="1"/>
  <c r="S165" i="19" a="1"/>
  <c r="S165" i="19" s="1"/>
  <c r="Q165" i="19" a="1"/>
  <c r="Q165" i="19" s="1"/>
  <c r="P165" i="19"/>
  <c r="O165" i="19" a="1"/>
  <c r="O165" i="19" s="1"/>
  <c r="N165" i="19" a="1"/>
  <c r="N165" i="19" s="1"/>
  <c r="L165" i="19" a="1"/>
  <c r="L165" i="19" s="1"/>
  <c r="K165" i="19"/>
  <c r="J165" i="19" a="1"/>
  <c r="J165" i="19" s="1"/>
  <c r="I165" i="19" a="1"/>
  <c r="I165" i="19" s="1"/>
  <c r="H165" i="19" a="1"/>
  <c r="H165" i="19" s="1"/>
  <c r="G165" i="19" a="1"/>
  <c r="G165" i="19" s="1"/>
  <c r="F165" i="19" a="1"/>
  <c r="F165" i="19" s="1"/>
  <c r="E165" i="19" a="1"/>
  <c r="E165" i="19" s="1"/>
  <c r="D165" i="19" a="1"/>
  <c r="D165" i="19" s="1"/>
  <c r="C165" i="19" a="1"/>
  <c r="C165" i="19" s="1"/>
  <c r="B165" i="19" a="1"/>
  <c r="B165" i="19" s="1"/>
  <c r="U164" i="19" a="1"/>
  <c r="U164" i="19" s="1"/>
  <c r="T164" i="19" a="1"/>
  <c r="T164" i="19" s="1"/>
  <c r="S164" i="19" a="1"/>
  <c r="S164" i="19" s="1"/>
  <c r="Q164" i="19" a="1"/>
  <c r="Q164" i="19" s="1"/>
  <c r="P164" i="19"/>
  <c r="O164" i="19" a="1"/>
  <c r="O164" i="19" s="1"/>
  <c r="N164" i="19" a="1"/>
  <c r="N164" i="19" s="1"/>
  <c r="L164" i="19" a="1"/>
  <c r="L164" i="19" s="1"/>
  <c r="K164" i="19"/>
  <c r="J164" i="19" a="1"/>
  <c r="J164" i="19" s="1"/>
  <c r="I164" i="19" a="1"/>
  <c r="I164" i="19" s="1"/>
  <c r="H164" i="19" a="1"/>
  <c r="H164" i="19" s="1"/>
  <c r="G164" i="19" a="1"/>
  <c r="G164" i="19" s="1"/>
  <c r="F164" i="19" a="1"/>
  <c r="F164" i="19" s="1"/>
  <c r="E164" i="19" a="1"/>
  <c r="E164" i="19" s="1"/>
  <c r="D164" i="19" a="1"/>
  <c r="D164" i="19" s="1"/>
  <c r="C164" i="19" a="1"/>
  <c r="C164" i="19" s="1"/>
  <c r="B164" i="19" a="1"/>
  <c r="B164" i="19" s="1"/>
  <c r="U163" i="19" a="1"/>
  <c r="U163" i="19" s="1"/>
  <c r="T163" i="19" a="1"/>
  <c r="T163" i="19" s="1"/>
  <c r="S163" i="19" a="1"/>
  <c r="S163" i="19" s="1"/>
  <c r="Q163" i="19" a="1"/>
  <c r="Q163" i="19" s="1"/>
  <c r="P163" i="19"/>
  <c r="O163" i="19" a="1"/>
  <c r="O163" i="19" s="1"/>
  <c r="N163" i="19" a="1"/>
  <c r="N163" i="19" s="1"/>
  <c r="L163" i="19" a="1"/>
  <c r="L163" i="19" s="1"/>
  <c r="K163" i="19"/>
  <c r="J163" i="19" a="1"/>
  <c r="J163" i="19" s="1"/>
  <c r="I163" i="19" a="1"/>
  <c r="I163" i="19" s="1"/>
  <c r="H163" i="19" a="1"/>
  <c r="H163" i="19" s="1"/>
  <c r="G163" i="19" a="1"/>
  <c r="G163" i="19" s="1"/>
  <c r="F163" i="19" a="1"/>
  <c r="F163" i="19" s="1"/>
  <c r="E163" i="19" a="1"/>
  <c r="E163" i="19" s="1"/>
  <c r="D163" i="19" a="1"/>
  <c r="D163" i="19" s="1"/>
  <c r="C163" i="19" a="1"/>
  <c r="C163" i="19" s="1"/>
  <c r="B163" i="19" a="1"/>
  <c r="B163" i="19" s="1"/>
  <c r="U162" i="19" a="1"/>
  <c r="U162" i="19" s="1"/>
  <c r="T162" i="19" a="1"/>
  <c r="T162" i="19" s="1"/>
  <c r="S162" i="19" a="1"/>
  <c r="S162" i="19" s="1"/>
  <c r="Q162" i="19" a="1"/>
  <c r="Q162" i="19" s="1"/>
  <c r="P162" i="19"/>
  <c r="O162" i="19" a="1"/>
  <c r="O162" i="19" s="1"/>
  <c r="N162" i="19" a="1"/>
  <c r="N162" i="19" s="1"/>
  <c r="L162" i="19" a="1"/>
  <c r="L162" i="19" s="1"/>
  <c r="K162" i="19"/>
  <c r="J162" i="19" a="1"/>
  <c r="J162" i="19" s="1"/>
  <c r="I162" i="19" a="1"/>
  <c r="I162" i="19" s="1"/>
  <c r="H162" i="19" a="1"/>
  <c r="H162" i="19" s="1"/>
  <c r="G162" i="19" a="1"/>
  <c r="G162" i="19" s="1"/>
  <c r="F162" i="19" a="1"/>
  <c r="F162" i="19" s="1"/>
  <c r="E162" i="19" a="1"/>
  <c r="E162" i="19" s="1"/>
  <c r="D162" i="19" a="1"/>
  <c r="D162" i="19" s="1"/>
  <c r="C162" i="19" a="1"/>
  <c r="C162" i="19" s="1"/>
  <c r="B162" i="19" a="1"/>
  <c r="B162" i="19" s="1"/>
  <c r="U161" i="19" a="1"/>
  <c r="U161" i="19" s="1"/>
  <c r="T161" i="19" a="1"/>
  <c r="T161" i="19" s="1"/>
  <c r="S161" i="19" a="1"/>
  <c r="S161" i="19" s="1"/>
  <c r="Q161" i="19" a="1"/>
  <c r="Q161" i="19" s="1"/>
  <c r="P161" i="19"/>
  <c r="O161" i="19" a="1"/>
  <c r="O161" i="19" s="1"/>
  <c r="N161" i="19" a="1"/>
  <c r="N161" i="19" s="1"/>
  <c r="L161" i="19" a="1"/>
  <c r="L161" i="19" s="1"/>
  <c r="K161" i="19"/>
  <c r="J161" i="19" a="1"/>
  <c r="J161" i="19" s="1"/>
  <c r="I161" i="19" a="1"/>
  <c r="I161" i="19" s="1"/>
  <c r="H161" i="19" a="1"/>
  <c r="H161" i="19" s="1"/>
  <c r="G161" i="19" a="1"/>
  <c r="G161" i="19" s="1"/>
  <c r="F161" i="19" a="1"/>
  <c r="F161" i="19" s="1"/>
  <c r="E161" i="19" a="1"/>
  <c r="E161" i="19" s="1"/>
  <c r="D161" i="19" a="1"/>
  <c r="D161" i="19" s="1"/>
  <c r="C161" i="19" a="1"/>
  <c r="C161" i="19" s="1"/>
  <c r="B161" i="19" a="1"/>
  <c r="B161" i="19" s="1"/>
  <c r="U160" i="19" a="1"/>
  <c r="U160" i="19" s="1"/>
  <c r="T160" i="19" a="1"/>
  <c r="T160" i="19" s="1"/>
  <c r="S160" i="19" a="1"/>
  <c r="S160" i="19" s="1"/>
  <c r="Q160" i="19" a="1"/>
  <c r="Q160" i="19" s="1"/>
  <c r="P160" i="19"/>
  <c r="O160" i="19" a="1"/>
  <c r="O160" i="19" s="1"/>
  <c r="N160" i="19" a="1"/>
  <c r="N160" i="19" s="1"/>
  <c r="L160" i="19" a="1"/>
  <c r="L160" i="19" s="1"/>
  <c r="K160" i="19"/>
  <c r="J160" i="19" a="1"/>
  <c r="J160" i="19" s="1"/>
  <c r="I160" i="19" a="1"/>
  <c r="I160" i="19" s="1"/>
  <c r="H160" i="19" a="1"/>
  <c r="H160" i="19" s="1"/>
  <c r="G160" i="19" a="1"/>
  <c r="G160" i="19" s="1"/>
  <c r="F160" i="19" a="1"/>
  <c r="F160" i="19" s="1"/>
  <c r="E160" i="19" a="1"/>
  <c r="E160" i="19" s="1"/>
  <c r="D160" i="19" a="1"/>
  <c r="D160" i="19" s="1"/>
  <c r="C160" i="19" a="1"/>
  <c r="C160" i="19" s="1"/>
  <c r="B160" i="19" a="1"/>
  <c r="B160" i="19" s="1"/>
  <c r="U159" i="19" a="1"/>
  <c r="U159" i="19" s="1"/>
  <c r="T159" i="19" a="1"/>
  <c r="T159" i="19" s="1"/>
  <c r="S159" i="19" a="1"/>
  <c r="S159" i="19" s="1"/>
  <c r="Q159" i="19" a="1"/>
  <c r="Q159" i="19" s="1"/>
  <c r="P159" i="19"/>
  <c r="O159" i="19" a="1"/>
  <c r="O159" i="19" s="1"/>
  <c r="N159" i="19" a="1"/>
  <c r="N159" i="19" s="1"/>
  <c r="L159" i="19" a="1"/>
  <c r="L159" i="19" s="1"/>
  <c r="K159" i="19"/>
  <c r="J159" i="19" a="1"/>
  <c r="J159" i="19" s="1"/>
  <c r="I159" i="19" a="1"/>
  <c r="I159" i="19" s="1"/>
  <c r="H159" i="19" a="1"/>
  <c r="H159" i="19" s="1"/>
  <c r="G159" i="19" a="1"/>
  <c r="G159" i="19" s="1"/>
  <c r="F159" i="19" a="1"/>
  <c r="F159" i="19" s="1"/>
  <c r="E159" i="19" a="1"/>
  <c r="E159" i="19" s="1"/>
  <c r="D159" i="19" a="1"/>
  <c r="D159" i="19" s="1"/>
  <c r="C159" i="19" a="1"/>
  <c r="C159" i="19" s="1"/>
  <c r="B159" i="19" a="1"/>
  <c r="B159" i="19" s="1"/>
  <c r="U158" i="19" a="1"/>
  <c r="U158" i="19" s="1"/>
  <c r="T158" i="19" a="1"/>
  <c r="T158" i="19" s="1"/>
  <c r="S158" i="19" a="1"/>
  <c r="S158" i="19" s="1"/>
  <c r="Q158" i="19" a="1"/>
  <c r="Q158" i="19" s="1"/>
  <c r="P158" i="19"/>
  <c r="O158" i="19" a="1"/>
  <c r="O158" i="19" s="1"/>
  <c r="N158" i="19" a="1"/>
  <c r="N158" i="19" s="1"/>
  <c r="L158" i="19" a="1"/>
  <c r="L158" i="19" s="1"/>
  <c r="K158" i="19"/>
  <c r="J158" i="19" a="1"/>
  <c r="J158" i="19" s="1"/>
  <c r="I158" i="19" a="1"/>
  <c r="I158" i="19" s="1"/>
  <c r="H158" i="19" a="1"/>
  <c r="H158" i="19" s="1"/>
  <c r="G158" i="19" a="1"/>
  <c r="G158" i="19" s="1"/>
  <c r="F158" i="19" a="1"/>
  <c r="F158" i="19" s="1"/>
  <c r="E158" i="19" a="1"/>
  <c r="E158" i="19" s="1"/>
  <c r="D158" i="19" a="1"/>
  <c r="D158" i="19" s="1"/>
  <c r="C158" i="19" a="1"/>
  <c r="C158" i="19" s="1"/>
  <c r="B158" i="19" a="1"/>
  <c r="B158" i="19" s="1"/>
  <c r="U157" i="19" a="1"/>
  <c r="U157" i="19" s="1"/>
  <c r="T157" i="19" a="1"/>
  <c r="T157" i="19" s="1"/>
  <c r="S157" i="19" a="1"/>
  <c r="S157" i="19" s="1"/>
  <c r="Q157" i="19" a="1"/>
  <c r="Q157" i="19" s="1"/>
  <c r="P157" i="19"/>
  <c r="O157" i="19" a="1"/>
  <c r="O157" i="19" s="1"/>
  <c r="N157" i="19" a="1"/>
  <c r="N157" i="19" s="1"/>
  <c r="L157" i="19" a="1"/>
  <c r="L157" i="19" s="1"/>
  <c r="K157" i="19"/>
  <c r="J157" i="19" a="1"/>
  <c r="J157" i="19" s="1"/>
  <c r="I157" i="19" a="1"/>
  <c r="I157" i="19" s="1"/>
  <c r="H157" i="19" a="1"/>
  <c r="H157" i="19" s="1"/>
  <c r="G157" i="19" a="1"/>
  <c r="G157" i="19" s="1"/>
  <c r="F157" i="19" a="1"/>
  <c r="F157" i="19" s="1"/>
  <c r="E157" i="19" a="1"/>
  <c r="E157" i="19" s="1"/>
  <c r="D157" i="19" a="1"/>
  <c r="D157" i="19" s="1"/>
  <c r="C157" i="19" a="1"/>
  <c r="C157" i="19" s="1"/>
  <c r="B157" i="19" a="1"/>
  <c r="B157" i="19" s="1"/>
  <c r="U156" i="19" a="1"/>
  <c r="U156" i="19" s="1"/>
  <c r="T156" i="19" a="1"/>
  <c r="T156" i="19" s="1"/>
  <c r="S156" i="19" a="1"/>
  <c r="S156" i="19" s="1"/>
  <c r="Q156" i="19" a="1"/>
  <c r="Q156" i="19" s="1"/>
  <c r="P156" i="19"/>
  <c r="O156" i="19" a="1"/>
  <c r="O156" i="19" s="1"/>
  <c r="N156" i="19" a="1"/>
  <c r="N156" i="19" s="1"/>
  <c r="L156" i="19" a="1"/>
  <c r="L156" i="19" s="1"/>
  <c r="K156" i="19"/>
  <c r="J156" i="19" a="1"/>
  <c r="J156" i="19" s="1"/>
  <c r="I156" i="19" a="1"/>
  <c r="I156" i="19" s="1"/>
  <c r="H156" i="19" a="1"/>
  <c r="H156" i="19" s="1"/>
  <c r="G156" i="19" a="1"/>
  <c r="G156" i="19" s="1"/>
  <c r="F156" i="19" a="1"/>
  <c r="F156" i="19" s="1"/>
  <c r="E156" i="19" a="1"/>
  <c r="E156" i="19" s="1"/>
  <c r="D156" i="19" a="1"/>
  <c r="D156" i="19" s="1"/>
  <c r="C156" i="19" a="1"/>
  <c r="C156" i="19" s="1"/>
  <c r="B156" i="19" a="1"/>
  <c r="B156" i="19" s="1"/>
  <c r="U155" i="19" a="1"/>
  <c r="U155" i="19" s="1"/>
  <c r="T155" i="19" a="1"/>
  <c r="T155" i="19" s="1"/>
  <c r="S155" i="19" a="1"/>
  <c r="S155" i="19" s="1"/>
  <c r="Q155" i="19" a="1"/>
  <c r="Q155" i="19" s="1"/>
  <c r="P155" i="19"/>
  <c r="O155" i="19" a="1"/>
  <c r="O155" i="19" s="1"/>
  <c r="N155" i="19" a="1"/>
  <c r="N155" i="19" s="1"/>
  <c r="L155" i="19" a="1"/>
  <c r="L155" i="19" s="1"/>
  <c r="K155" i="19"/>
  <c r="J155" i="19" a="1"/>
  <c r="J155" i="19" s="1"/>
  <c r="I155" i="19" a="1"/>
  <c r="I155" i="19" s="1"/>
  <c r="H155" i="19" a="1"/>
  <c r="H155" i="19" s="1"/>
  <c r="G155" i="19" a="1"/>
  <c r="G155" i="19" s="1"/>
  <c r="F155" i="19" a="1"/>
  <c r="F155" i="19" s="1"/>
  <c r="E155" i="19" a="1"/>
  <c r="E155" i="19" s="1"/>
  <c r="D155" i="19" a="1"/>
  <c r="D155" i="19" s="1"/>
  <c r="C155" i="19" a="1"/>
  <c r="C155" i="19" s="1"/>
  <c r="B155" i="19" a="1"/>
  <c r="B155" i="19" s="1"/>
  <c r="U154" i="19" a="1"/>
  <c r="U154" i="19" s="1"/>
  <c r="T154" i="19" a="1"/>
  <c r="T154" i="19" s="1"/>
  <c r="S154" i="19" a="1"/>
  <c r="S154" i="19" s="1"/>
  <c r="Q154" i="19" a="1"/>
  <c r="Q154" i="19" s="1"/>
  <c r="P154" i="19"/>
  <c r="O154" i="19" a="1"/>
  <c r="O154" i="19" s="1"/>
  <c r="N154" i="19" a="1"/>
  <c r="N154" i="19" s="1"/>
  <c r="L154" i="19" a="1"/>
  <c r="L154" i="19" s="1"/>
  <c r="K154" i="19"/>
  <c r="J154" i="19" a="1"/>
  <c r="J154" i="19" s="1"/>
  <c r="I154" i="19" a="1"/>
  <c r="I154" i="19" s="1"/>
  <c r="H154" i="19" a="1"/>
  <c r="H154" i="19" s="1"/>
  <c r="G154" i="19" a="1"/>
  <c r="G154" i="19" s="1"/>
  <c r="F154" i="19" a="1"/>
  <c r="F154" i="19" s="1"/>
  <c r="E154" i="19" a="1"/>
  <c r="E154" i="19" s="1"/>
  <c r="D154" i="19" a="1"/>
  <c r="D154" i="19" s="1"/>
  <c r="C154" i="19" a="1"/>
  <c r="C154" i="19" s="1"/>
  <c r="B154" i="19" a="1"/>
  <c r="B154" i="19" s="1"/>
  <c r="U153" i="19" a="1"/>
  <c r="U153" i="19" s="1"/>
  <c r="T153" i="19" a="1"/>
  <c r="T153" i="19" s="1"/>
  <c r="S153" i="19" a="1"/>
  <c r="S153" i="19" s="1"/>
  <c r="Q153" i="19" a="1"/>
  <c r="Q153" i="19" s="1"/>
  <c r="P153" i="19"/>
  <c r="O153" i="19" a="1"/>
  <c r="O153" i="19" s="1"/>
  <c r="N153" i="19" a="1"/>
  <c r="N153" i="19" s="1"/>
  <c r="L153" i="19" a="1"/>
  <c r="L153" i="19" s="1"/>
  <c r="K153" i="19"/>
  <c r="J153" i="19" a="1"/>
  <c r="J153" i="19" s="1"/>
  <c r="I153" i="19" a="1"/>
  <c r="I153" i="19" s="1"/>
  <c r="H153" i="19" a="1"/>
  <c r="H153" i="19" s="1"/>
  <c r="G153" i="19" a="1"/>
  <c r="G153" i="19" s="1"/>
  <c r="F153" i="19" a="1"/>
  <c r="F153" i="19" s="1"/>
  <c r="E153" i="19" a="1"/>
  <c r="E153" i="19" s="1"/>
  <c r="D153" i="19" a="1"/>
  <c r="D153" i="19" s="1"/>
  <c r="C153" i="19" a="1"/>
  <c r="C153" i="19" s="1"/>
  <c r="B153" i="19" a="1"/>
  <c r="B153" i="19" s="1"/>
  <c r="U152" i="19" a="1"/>
  <c r="U152" i="19" s="1"/>
  <c r="T152" i="19" a="1"/>
  <c r="T152" i="19" s="1"/>
  <c r="S152" i="19" a="1"/>
  <c r="S152" i="19" s="1"/>
  <c r="Q152" i="19" a="1"/>
  <c r="Q152" i="19" s="1"/>
  <c r="P152" i="19"/>
  <c r="O152" i="19" a="1"/>
  <c r="O152" i="19" s="1"/>
  <c r="N152" i="19" a="1"/>
  <c r="N152" i="19" s="1"/>
  <c r="L152" i="19" a="1"/>
  <c r="L152" i="19" s="1"/>
  <c r="K152" i="19"/>
  <c r="J152" i="19" a="1"/>
  <c r="J152" i="19" s="1"/>
  <c r="I152" i="19" a="1"/>
  <c r="I152" i="19" s="1"/>
  <c r="H152" i="19" a="1"/>
  <c r="H152" i="19" s="1"/>
  <c r="G152" i="19" a="1"/>
  <c r="G152" i="19" s="1"/>
  <c r="F152" i="19" a="1"/>
  <c r="F152" i="19" s="1"/>
  <c r="E152" i="19" a="1"/>
  <c r="E152" i="19" s="1"/>
  <c r="D152" i="19" a="1"/>
  <c r="D152" i="19" s="1"/>
  <c r="C152" i="19" a="1"/>
  <c r="C152" i="19" s="1"/>
  <c r="B152" i="19" a="1"/>
  <c r="B152" i="19" s="1"/>
  <c r="U151" i="19" a="1"/>
  <c r="U151" i="19" s="1"/>
  <c r="T151" i="19" a="1"/>
  <c r="T151" i="19" s="1"/>
  <c r="S151" i="19" a="1"/>
  <c r="S151" i="19" s="1"/>
  <c r="Q151" i="19" a="1"/>
  <c r="Q151" i="19" s="1"/>
  <c r="P151" i="19"/>
  <c r="O151" i="19" a="1"/>
  <c r="O151" i="19" s="1"/>
  <c r="N151" i="19" a="1"/>
  <c r="N151" i="19" s="1"/>
  <c r="L151" i="19" a="1"/>
  <c r="L151" i="19" s="1"/>
  <c r="K151" i="19"/>
  <c r="J151" i="19" a="1"/>
  <c r="J151" i="19" s="1"/>
  <c r="I151" i="19" a="1"/>
  <c r="I151" i="19" s="1"/>
  <c r="H151" i="19" a="1"/>
  <c r="H151" i="19" s="1"/>
  <c r="G151" i="19" a="1"/>
  <c r="G151" i="19" s="1"/>
  <c r="F151" i="19" a="1"/>
  <c r="F151" i="19" s="1"/>
  <c r="E151" i="19" a="1"/>
  <c r="E151" i="19" s="1"/>
  <c r="D151" i="19" a="1"/>
  <c r="D151" i="19" s="1"/>
  <c r="C151" i="19" a="1"/>
  <c r="C151" i="19" s="1"/>
  <c r="B151" i="19" a="1"/>
  <c r="B151" i="19" s="1"/>
  <c r="U150" i="19" a="1"/>
  <c r="U150" i="19" s="1"/>
  <c r="T150" i="19" a="1"/>
  <c r="T150" i="19" s="1"/>
  <c r="S150" i="19" a="1"/>
  <c r="S150" i="19" s="1"/>
  <c r="Q150" i="19" a="1"/>
  <c r="Q150" i="19" s="1"/>
  <c r="P150" i="19"/>
  <c r="O150" i="19" a="1"/>
  <c r="O150" i="19" s="1"/>
  <c r="N150" i="19" a="1"/>
  <c r="N150" i="19" s="1"/>
  <c r="L150" i="19" a="1"/>
  <c r="L150" i="19" s="1"/>
  <c r="K150" i="19"/>
  <c r="J150" i="19" a="1"/>
  <c r="J150" i="19" s="1"/>
  <c r="I150" i="19" a="1"/>
  <c r="I150" i="19" s="1"/>
  <c r="H150" i="19" a="1"/>
  <c r="H150" i="19" s="1"/>
  <c r="G150" i="19" a="1"/>
  <c r="G150" i="19" s="1"/>
  <c r="F150" i="19" a="1"/>
  <c r="F150" i="19" s="1"/>
  <c r="E150" i="19" a="1"/>
  <c r="E150" i="19" s="1"/>
  <c r="D150" i="19" a="1"/>
  <c r="D150" i="19" s="1"/>
  <c r="C150" i="19" a="1"/>
  <c r="C150" i="19" s="1"/>
  <c r="B150" i="19" a="1"/>
  <c r="B150" i="19" s="1"/>
  <c r="U149" i="19" a="1"/>
  <c r="U149" i="19" s="1"/>
  <c r="T149" i="19" a="1"/>
  <c r="T149" i="19" s="1"/>
  <c r="S149" i="19" a="1"/>
  <c r="S149" i="19" s="1"/>
  <c r="Q149" i="19" a="1"/>
  <c r="Q149" i="19" s="1"/>
  <c r="P149" i="19"/>
  <c r="O149" i="19" a="1"/>
  <c r="O149" i="19" s="1"/>
  <c r="N149" i="19" a="1"/>
  <c r="N149" i="19" s="1"/>
  <c r="L149" i="19" a="1"/>
  <c r="L149" i="19" s="1"/>
  <c r="K149" i="19"/>
  <c r="J149" i="19" a="1"/>
  <c r="J149" i="19" s="1"/>
  <c r="I149" i="19" a="1"/>
  <c r="I149" i="19" s="1"/>
  <c r="H149" i="19" a="1"/>
  <c r="H149" i="19" s="1"/>
  <c r="G149" i="19" a="1"/>
  <c r="G149" i="19" s="1"/>
  <c r="F149" i="19" a="1"/>
  <c r="F149" i="19" s="1"/>
  <c r="E149" i="19" a="1"/>
  <c r="E149" i="19" s="1"/>
  <c r="D149" i="19" a="1"/>
  <c r="D149" i="19" s="1"/>
  <c r="C149" i="19" a="1"/>
  <c r="C149" i="19" s="1"/>
  <c r="B149" i="19" a="1"/>
  <c r="B149" i="19" s="1"/>
  <c r="U148" i="19" a="1"/>
  <c r="U148" i="19" s="1"/>
  <c r="T148" i="19" a="1"/>
  <c r="T148" i="19" s="1"/>
  <c r="S148" i="19" a="1"/>
  <c r="S148" i="19" s="1"/>
  <c r="Q148" i="19" a="1"/>
  <c r="Q148" i="19" s="1"/>
  <c r="P148" i="19"/>
  <c r="O148" i="19" a="1"/>
  <c r="O148" i="19" s="1"/>
  <c r="N148" i="19" a="1"/>
  <c r="N148" i="19" s="1"/>
  <c r="L148" i="19" a="1"/>
  <c r="L148" i="19" s="1"/>
  <c r="K148" i="19"/>
  <c r="J148" i="19" a="1"/>
  <c r="J148" i="19" s="1"/>
  <c r="I148" i="19" a="1"/>
  <c r="I148" i="19" s="1"/>
  <c r="H148" i="19" a="1"/>
  <c r="H148" i="19" s="1"/>
  <c r="G148" i="19" a="1"/>
  <c r="G148" i="19" s="1"/>
  <c r="F148" i="19" a="1"/>
  <c r="F148" i="19" s="1"/>
  <c r="E148" i="19" a="1"/>
  <c r="E148" i="19" s="1"/>
  <c r="D148" i="19" a="1"/>
  <c r="D148" i="19" s="1"/>
  <c r="C148" i="19" a="1"/>
  <c r="C148" i="19" s="1"/>
  <c r="B148" i="19" a="1"/>
  <c r="B148" i="19" s="1"/>
  <c r="U147" i="19" a="1"/>
  <c r="U147" i="19" s="1"/>
  <c r="T147" i="19" a="1"/>
  <c r="T147" i="19" s="1"/>
  <c r="S147" i="19" a="1"/>
  <c r="S147" i="19" s="1"/>
  <c r="Q147" i="19" a="1"/>
  <c r="Q147" i="19" s="1"/>
  <c r="P147" i="19"/>
  <c r="O147" i="19" a="1"/>
  <c r="O147" i="19" s="1"/>
  <c r="N147" i="19" a="1"/>
  <c r="N147" i="19" s="1"/>
  <c r="L147" i="19" a="1"/>
  <c r="L147" i="19" s="1"/>
  <c r="K147" i="19"/>
  <c r="J147" i="19" a="1"/>
  <c r="J147" i="19" s="1"/>
  <c r="I147" i="19" a="1"/>
  <c r="I147" i="19" s="1"/>
  <c r="H147" i="19" a="1"/>
  <c r="H147" i="19" s="1"/>
  <c r="G147" i="19" a="1"/>
  <c r="G147" i="19" s="1"/>
  <c r="F147" i="19" a="1"/>
  <c r="F147" i="19" s="1"/>
  <c r="E147" i="19" a="1"/>
  <c r="E147" i="19" s="1"/>
  <c r="D147" i="19" a="1"/>
  <c r="D147" i="19" s="1"/>
  <c r="C147" i="19" a="1"/>
  <c r="C147" i="19" s="1"/>
  <c r="B147" i="19" a="1"/>
  <c r="B147" i="19" s="1"/>
  <c r="U146" i="19" a="1"/>
  <c r="U146" i="19" s="1"/>
  <c r="T146" i="19" a="1"/>
  <c r="T146" i="19" s="1"/>
  <c r="S146" i="19" a="1"/>
  <c r="S146" i="19" s="1"/>
  <c r="Q146" i="19" a="1"/>
  <c r="Q146" i="19" s="1"/>
  <c r="P146" i="19"/>
  <c r="O146" i="19" a="1"/>
  <c r="O146" i="19" s="1"/>
  <c r="N146" i="19" a="1"/>
  <c r="N146" i="19" s="1"/>
  <c r="L146" i="19" a="1"/>
  <c r="L146" i="19" s="1"/>
  <c r="K146" i="19"/>
  <c r="J146" i="19" a="1"/>
  <c r="J146" i="19" s="1"/>
  <c r="I146" i="19" a="1"/>
  <c r="I146" i="19" s="1"/>
  <c r="H146" i="19" a="1"/>
  <c r="H146" i="19" s="1"/>
  <c r="G146" i="19" a="1"/>
  <c r="G146" i="19" s="1"/>
  <c r="F146" i="19" a="1"/>
  <c r="F146" i="19" s="1"/>
  <c r="E146" i="19" a="1"/>
  <c r="E146" i="19" s="1"/>
  <c r="D146" i="19" a="1"/>
  <c r="D146" i="19" s="1"/>
  <c r="C146" i="19" a="1"/>
  <c r="C146" i="19" s="1"/>
  <c r="B146" i="19" a="1"/>
  <c r="B146" i="19" s="1"/>
  <c r="U145" i="19" a="1"/>
  <c r="U145" i="19" s="1"/>
  <c r="T145" i="19" a="1"/>
  <c r="T145" i="19" s="1"/>
  <c r="S145" i="19" a="1"/>
  <c r="S145" i="19" s="1"/>
  <c r="Q145" i="19" a="1"/>
  <c r="Q145" i="19" s="1"/>
  <c r="P145" i="19"/>
  <c r="O145" i="19" a="1"/>
  <c r="O145" i="19" s="1"/>
  <c r="N145" i="19" a="1"/>
  <c r="N145" i="19" s="1"/>
  <c r="L145" i="19" a="1"/>
  <c r="L145" i="19" s="1"/>
  <c r="K145" i="19"/>
  <c r="J145" i="19" a="1"/>
  <c r="J145" i="19" s="1"/>
  <c r="I145" i="19" a="1"/>
  <c r="I145" i="19" s="1"/>
  <c r="H145" i="19" a="1"/>
  <c r="H145" i="19" s="1"/>
  <c r="G145" i="19" a="1"/>
  <c r="G145" i="19" s="1"/>
  <c r="F145" i="19" a="1"/>
  <c r="F145" i="19" s="1"/>
  <c r="E145" i="19" a="1"/>
  <c r="E145" i="19" s="1"/>
  <c r="D145" i="19" a="1"/>
  <c r="D145" i="19" s="1"/>
  <c r="C145" i="19" a="1"/>
  <c r="C145" i="19" s="1"/>
  <c r="B145" i="19" a="1"/>
  <c r="B145" i="19" s="1"/>
  <c r="U144" i="19" a="1"/>
  <c r="U144" i="19" s="1"/>
  <c r="T144" i="19" a="1"/>
  <c r="T144" i="19" s="1"/>
  <c r="S144" i="19" a="1"/>
  <c r="S144" i="19" s="1"/>
  <c r="Q144" i="19" a="1"/>
  <c r="Q144" i="19" s="1"/>
  <c r="P144" i="19"/>
  <c r="O144" i="19" a="1"/>
  <c r="O144" i="19" s="1"/>
  <c r="N144" i="19" a="1"/>
  <c r="N144" i="19" s="1"/>
  <c r="L144" i="19" a="1"/>
  <c r="L144" i="19" s="1"/>
  <c r="K144" i="19"/>
  <c r="J144" i="19" a="1"/>
  <c r="J144" i="19" s="1"/>
  <c r="I144" i="19" a="1"/>
  <c r="I144" i="19" s="1"/>
  <c r="H144" i="19" a="1"/>
  <c r="H144" i="19" s="1"/>
  <c r="G144" i="19" a="1"/>
  <c r="G144" i="19" s="1"/>
  <c r="F144" i="19" a="1"/>
  <c r="F144" i="19" s="1"/>
  <c r="E144" i="19" a="1"/>
  <c r="E144" i="19" s="1"/>
  <c r="D144" i="19" a="1"/>
  <c r="D144" i="19" s="1"/>
  <c r="C144" i="19" a="1"/>
  <c r="C144" i="19" s="1"/>
  <c r="B144" i="19" a="1"/>
  <c r="B144" i="19" s="1"/>
  <c r="U143" i="19" a="1"/>
  <c r="U143" i="19" s="1"/>
  <c r="T143" i="19" a="1"/>
  <c r="T143" i="19" s="1"/>
  <c r="S143" i="19" a="1"/>
  <c r="S143" i="19" s="1"/>
  <c r="Q143" i="19" a="1"/>
  <c r="Q143" i="19" s="1"/>
  <c r="P143" i="19"/>
  <c r="O143" i="19" a="1"/>
  <c r="O143" i="19" s="1"/>
  <c r="N143" i="19" a="1"/>
  <c r="N143" i="19" s="1"/>
  <c r="L143" i="19" a="1"/>
  <c r="L143" i="19" s="1"/>
  <c r="K143" i="19"/>
  <c r="J143" i="19" a="1"/>
  <c r="J143" i="19" s="1"/>
  <c r="I143" i="19" a="1"/>
  <c r="I143" i="19" s="1"/>
  <c r="H143" i="19" a="1"/>
  <c r="H143" i="19" s="1"/>
  <c r="G143" i="19" a="1"/>
  <c r="G143" i="19" s="1"/>
  <c r="F143" i="19" a="1"/>
  <c r="F143" i="19" s="1"/>
  <c r="E143" i="19" a="1"/>
  <c r="E143" i="19" s="1"/>
  <c r="D143" i="19" a="1"/>
  <c r="D143" i="19" s="1"/>
  <c r="C143" i="19" a="1"/>
  <c r="C143" i="19" s="1"/>
  <c r="B143" i="19" a="1"/>
  <c r="B143" i="19" s="1"/>
  <c r="U142" i="19" a="1"/>
  <c r="U142" i="19" s="1"/>
  <c r="T142" i="19" a="1"/>
  <c r="T142" i="19" s="1"/>
  <c r="S142" i="19" a="1"/>
  <c r="S142" i="19" s="1"/>
  <c r="Q142" i="19" a="1"/>
  <c r="Q142" i="19" s="1"/>
  <c r="P142" i="19"/>
  <c r="O142" i="19" a="1"/>
  <c r="O142" i="19" s="1"/>
  <c r="N142" i="19" a="1"/>
  <c r="N142" i="19" s="1"/>
  <c r="L142" i="19" a="1"/>
  <c r="L142" i="19" s="1"/>
  <c r="K142" i="19"/>
  <c r="J142" i="19" a="1"/>
  <c r="J142" i="19" s="1"/>
  <c r="I142" i="19" a="1"/>
  <c r="I142" i="19" s="1"/>
  <c r="H142" i="19" a="1"/>
  <c r="H142" i="19" s="1"/>
  <c r="G142" i="19" a="1"/>
  <c r="G142" i="19" s="1"/>
  <c r="F142" i="19" a="1"/>
  <c r="F142" i="19" s="1"/>
  <c r="E142" i="19" a="1"/>
  <c r="E142" i="19" s="1"/>
  <c r="D142" i="19" a="1"/>
  <c r="D142" i="19" s="1"/>
  <c r="C142" i="19" a="1"/>
  <c r="C142" i="19" s="1"/>
  <c r="B142" i="19" a="1"/>
  <c r="B142" i="19" s="1"/>
  <c r="U141" i="19" a="1"/>
  <c r="U141" i="19" s="1"/>
  <c r="T141" i="19" a="1"/>
  <c r="T141" i="19" s="1"/>
  <c r="S141" i="19" a="1"/>
  <c r="S141" i="19" s="1"/>
  <c r="Q141" i="19" a="1"/>
  <c r="Q141" i="19" s="1"/>
  <c r="P141" i="19"/>
  <c r="O141" i="19" a="1"/>
  <c r="O141" i="19" s="1"/>
  <c r="N141" i="19" a="1"/>
  <c r="N141" i="19" s="1"/>
  <c r="L141" i="19" a="1"/>
  <c r="L141" i="19" s="1"/>
  <c r="K141" i="19"/>
  <c r="J141" i="19" a="1"/>
  <c r="J141" i="19" s="1"/>
  <c r="I141" i="19" a="1"/>
  <c r="I141" i="19" s="1"/>
  <c r="H141" i="19" a="1"/>
  <c r="H141" i="19" s="1"/>
  <c r="G141" i="19" a="1"/>
  <c r="G141" i="19" s="1"/>
  <c r="F141" i="19" a="1"/>
  <c r="F141" i="19" s="1"/>
  <c r="E141" i="19" a="1"/>
  <c r="E141" i="19" s="1"/>
  <c r="D141" i="19" a="1"/>
  <c r="D141" i="19" s="1"/>
  <c r="C141" i="19" a="1"/>
  <c r="C141" i="19" s="1"/>
  <c r="B141" i="19" a="1"/>
  <c r="B141" i="19" s="1"/>
  <c r="U140" i="19" a="1"/>
  <c r="U140" i="19" s="1"/>
  <c r="T140" i="19" a="1"/>
  <c r="T140" i="19" s="1"/>
  <c r="S140" i="19" a="1"/>
  <c r="S140" i="19" s="1"/>
  <c r="Q140" i="19" a="1"/>
  <c r="Q140" i="19" s="1"/>
  <c r="P140" i="19"/>
  <c r="O140" i="19" a="1"/>
  <c r="O140" i="19" s="1"/>
  <c r="N140" i="19" a="1"/>
  <c r="N140" i="19" s="1"/>
  <c r="L140" i="19" a="1"/>
  <c r="L140" i="19" s="1"/>
  <c r="K140" i="19"/>
  <c r="J140" i="19" a="1"/>
  <c r="J140" i="19" s="1"/>
  <c r="I140" i="19" a="1"/>
  <c r="I140" i="19" s="1"/>
  <c r="H140" i="19" a="1"/>
  <c r="H140" i="19" s="1"/>
  <c r="G140" i="19" a="1"/>
  <c r="G140" i="19" s="1"/>
  <c r="F140" i="19" a="1"/>
  <c r="F140" i="19" s="1"/>
  <c r="E140" i="19" a="1"/>
  <c r="E140" i="19" s="1"/>
  <c r="D140" i="19" a="1"/>
  <c r="D140" i="19" s="1"/>
  <c r="C140" i="19" a="1"/>
  <c r="C140" i="19" s="1"/>
  <c r="B140" i="19" a="1"/>
  <c r="B140" i="19" s="1"/>
  <c r="U139" i="19" a="1"/>
  <c r="U139" i="19" s="1"/>
  <c r="T139" i="19" a="1"/>
  <c r="T139" i="19" s="1"/>
  <c r="S139" i="19" a="1"/>
  <c r="S139" i="19" s="1"/>
  <c r="Q139" i="19" a="1"/>
  <c r="Q139" i="19" s="1"/>
  <c r="P139" i="19"/>
  <c r="O139" i="19" a="1"/>
  <c r="O139" i="19" s="1"/>
  <c r="N139" i="19" a="1"/>
  <c r="N139" i="19" s="1"/>
  <c r="L139" i="19" a="1"/>
  <c r="L139" i="19" s="1"/>
  <c r="K139" i="19"/>
  <c r="J139" i="19" a="1"/>
  <c r="J139" i="19" s="1"/>
  <c r="I139" i="19" a="1"/>
  <c r="I139" i="19" s="1"/>
  <c r="H139" i="19" a="1"/>
  <c r="H139" i="19" s="1"/>
  <c r="G139" i="19" a="1"/>
  <c r="G139" i="19" s="1"/>
  <c r="F139" i="19" a="1"/>
  <c r="F139" i="19" s="1"/>
  <c r="E139" i="19" a="1"/>
  <c r="E139" i="19" s="1"/>
  <c r="D139" i="19" a="1"/>
  <c r="D139" i="19" s="1"/>
  <c r="C139" i="19" a="1"/>
  <c r="C139" i="19" s="1"/>
  <c r="B139" i="19" a="1"/>
  <c r="B139" i="19" s="1"/>
  <c r="U138" i="19" a="1"/>
  <c r="U138" i="19" s="1"/>
  <c r="T138" i="19" a="1"/>
  <c r="T138" i="19" s="1"/>
  <c r="S138" i="19" a="1"/>
  <c r="S138" i="19" s="1"/>
  <c r="Q138" i="19" a="1"/>
  <c r="Q138" i="19" s="1"/>
  <c r="P138" i="19"/>
  <c r="O138" i="19" a="1"/>
  <c r="O138" i="19" s="1"/>
  <c r="N138" i="19" a="1"/>
  <c r="N138" i="19" s="1"/>
  <c r="L138" i="19" a="1"/>
  <c r="L138" i="19" s="1"/>
  <c r="K138" i="19"/>
  <c r="J138" i="19" a="1"/>
  <c r="J138" i="19" s="1"/>
  <c r="I138" i="19" a="1"/>
  <c r="I138" i="19" s="1"/>
  <c r="H138" i="19" a="1"/>
  <c r="H138" i="19" s="1"/>
  <c r="G138" i="19" a="1"/>
  <c r="G138" i="19" s="1"/>
  <c r="F138" i="19" a="1"/>
  <c r="F138" i="19" s="1"/>
  <c r="E138" i="19" a="1"/>
  <c r="E138" i="19" s="1"/>
  <c r="D138" i="19" a="1"/>
  <c r="D138" i="19" s="1"/>
  <c r="C138" i="19" a="1"/>
  <c r="C138" i="19" s="1"/>
  <c r="B138" i="19" a="1"/>
  <c r="B138" i="19" s="1"/>
  <c r="U137" i="19" a="1"/>
  <c r="U137" i="19" s="1"/>
  <c r="T137" i="19" a="1"/>
  <c r="T137" i="19" s="1"/>
  <c r="S137" i="19" a="1"/>
  <c r="S137" i="19" s="1"/>
  <c r="Q137" i="19" a="1"/>
  <c r="Q137" i="19" s="1"/>
  <c r="P137" i="19"/>
  <c r="O137" i="19" a="1"/>
  <c r="O137" i="19" s="1"/>
  <c r="N137" i="19" a="1"/>
  <c r="N137" i="19" s="1"/>
  <c r="L137" i="19" a="1"/>
  <c r="L137" i="19" s="1"/>
  <c r="K137" i="19"/>
  <c r="J137" i="19" a="1"/>
  <c r="J137" i="19" s="1"/>
  <c r="I137" i="19" a="1"/>
  <c r="I137" i="19" s="1"/>
  <c r="H137" i="19" a="1"/>
  <c r="H137" i="19" s="1"/>
  <c r="G137" i="19" a="1"/>
  <c r="G137" i="19" s="1"/>
  <c r="F137" i="19" a="1"/>
  <c r="F137" i="19" s="1"/>
  <c r="E137" i="19" a="1"/>
  <c r="E137" i="19" s="1"/>
  <c r="D137" i="19" a="1"/>
  <c r="D137" i="19" s="1"/>
  <c r="C137" i="19" a="1"/>
  <c r="C137" i="19" s="1"/>
  <c r="B137" i="19" a="1"/>
  <c r="B137" i="19" s="1"/>
  <c r="U136" i="19" a="1"/>
  <c r="U136" i="19" s="1"/>
  <c r="T136" i="19" a="1"/>
  <c r="T136" i="19" s="1"/>
  <c r="S136" i="19" a="1"/>
  <c r="S136" i="19" s="1"/>
  <c r="Q136" i="19" a="1"/>
  <c r="Q136" i="19" s="1"/>
  <c r="P136" i="19"/>
  <c r="O136" i="19" a="1"/>
  <c r="O136" i="19" s="1"/>
  <c r="N136" i="19" a="1"/>
  <c r="N136" i="19" s="1"/>
  <c r="L136" i="19" a="1"/>
  <c r="L136" i="19" s="1"/>
  <c r="K136" i="19"/>
  <c r="J136" i="19" a="1"/>
  <c r="J136" i="19" s="1"/>
  <c r="I136" i="19" a="1"/>
  <c r="I136" i="19" s="1"/>
  <c r="H136" i="19" a="1"/>
  <c r="H136" i="19" s="1"/>
  <c r="G136" i="19" a="1"/>
  <c r="G136" i="19" s="1"/>
  <c r="F136" i="19" a="1"/>
  <c r="F136" i="19" s="1"/>
  <c r="E136" i="19" a="1"/>
  <c r="E136" i="19" s="1"/>
  <c r="D136" i="19" a="1"/>
  <c r="D136" i="19" s="1"/>
  <c r="C136" i="19" a="1"/>
  <c r="C136" i="19" s="1"/>
  <c r="B136" i="19" a="1"/>
  <c r="B136" i="19" s="1"/>
  <c r="U135" i="19" a="1"/>
  <c r="U135" i="19" s="1"/>
  <c r="T135" i="19" a="1"/>
  <c r="T135" i="19" s="1"/>
  <c r="S135" i="19" a="1"/>
  <c r="S135" i="19" s="1"/>
  <c r="Q135" i="19" a="1"/>
  <c r="Q135" i="19" s="1"/>
  <c r="P135" i="19"/>
  <c r="O135" i="19" a="1"/>
  <c r="O135" i="19" s="1"/>
  <c r="N135" i="19" a="1"/>
  <c r="N135" i="19" s="1"/>
  <c r="L135" i="19" a="1"/>
  <c r="L135" i="19" s="1"/>
  <c r="K135" i="19"/>
  <c r="J135" i="19" a="1"/>
  <c r="J135" i="19" s="1"/>
  <c r="I135" i="19" a="1"/>
  <c r="I135" i="19" s="1"/>
  <c r="H135" i="19" a="1"/>
  <c r="H135" i="19" s="1"/>
  <c r="G135" i="19" a="1"/>
  <c r="G135" i="19" s="1"/>
  <c r="F135" i="19" a="1"/>
  <c r="F135" i="19" s="1"/>
  <c r="E135" i="19" a="1"/>
  <c r="E135" i="19" s="1"/>
  <c r="D135" i="19" a="1"/>
  <c r="D135" i="19" s="1"/>
  <c r="C135" i="19" a="1"/>
  <c r="C135" i="19" s="1"/>
  <c r="B135" i="19" a="1"/>
  <c r="B135" i="19" s="1"/>
  <c r="U134" i="19" a="1"/>
  <c r="U134" i="19" s="1"/>
  <c r="T134" i="19" a="1"/>
  <c r="T134" i="19" s="1"/>
  <c r="S134" i="19" a="1"/>
  <c r="S134" i="19" s="1"/>
  <c r="Q134" i="19" a="1"/>
  <c r="Q134" i="19" s="1"/>
  <c r="P134" i="19"/>
  <c r="O134" i="19" a="1"/>
  <c r="O134" i="19" s="1"/>
  <c r="N134" i="19" a="1"/>
  <c r="N134" i="19" s="1"/>
  <c r="L134" i="19" a="1"/>
  <c r="L134" i="19" s="1"/>
  <c r="K134" i="19"/>
  <c r="J134" i="19" a="1"/>
  <c r="J134" i="19" s="1"/>
  <c r="I134" i="19" a="1"/>
  <c r="I134" i="19" s="1"/>
  <c r="H134" i="19" a="1"/>
  <c r="H134" i="19" s="1"/>
  <c r="G134" i="19" a="1"/>
  <c r="G134" i="19" s="1"/>
  <c r="F134" i="19" a="1"/>
  <c r="F134" i="19" s="1"/>
  <c r="E134" i="19" a="1"/>
  <c r="E134" i="19" s="1"/>
  <c r="D134" i="19" a="1"/>
  <c r="D134" i="19" s="1"/>
  <c r="C134" i="19" a="1"/>
  <c r="C134" i="19" s="1"/>
  <c r="B134" i="19" a="1"/>
  <c r="B134" i="19" s="1"/>
  <c r="U133" i="19" a="1"/>
  <c r="U133" i="19" s="1"/>
  <c r="T133" i="19" a="1"/>
  <c r="T133" i="19" s="1"/>
  <c r="S133" i="19" a="1"/>
  <c r="S133" i="19" s="1"/>
  <c r="Q133" i="19" a="1"/>
  <c r="Q133" i="19" s="1"/>
  <c r="P133" i="19"/>
  <c r="O133" i="19" a="1"/>
  <c r="O133" i="19" s="1"/>
  <c r="N133" i="19" a="1"/>
  <c r="N133" i="19" s="1"/>
  <c r="L133" i="19" a="1"/>
  <c r="L133" i="19" s="1"/>
  <c r="K133" i="19"/>
  <c r="J133" i="19" a="1"/>
  <c r="J133" i="19" s="1"/>
  <c r="I133" i="19" a="1"/>
  <c r="I133" i="19" s="1"/>
  <c r="H133" i="19" a="1"/>
  <c r="H133" i="19" s="1"/>
  <c r="G133" i="19" a="1"/>
  <c r="G133" i="19" s="1"/>
  <c r="F133" i="19" a="1"/>
  <c r="F133" i="19" s="1"/>
  <c r="E133" i="19" a="1"/>
  <c r="E133" i="19" s="1"/>
  <c r="D133" i="19" a="1"/>
  <c r="D133" i="19" s="1"/>
  <c r="C133" i="19" a="1"/>
  <c r="C133" i="19" s="1"/>
  <c r="B133" i="19" a="1"/>
  <c r="B133" i="19" s="1"/>
  <c r="U132" i="19" a="1"/>
  <c r="U132" i="19" s="1"/>
  <c r="T132" i="19" a="1"/>
  <c r="T132" i="19" s="1"/>
  <c r="S132" i="19" a="1"/>
  <c r="S132" i="19" s="1"/>
  <c r="Q132" i="19" a="1"/>
  <c r="Q132" i="19" s="1"/>
  <c r="P132" i="19"/>
  <c r="O132" i="19" a="1"/>
  <c r="O132" i="19" s="1"/>
  <c r="N132" i="19" a="1"/>
  <c r="N132" i="19" s="1"/>
  <c r="L132" i="19" a="1"/>
  <c r="L132" i="19" s="1"/>
  <c r="K132" i="19"/>
  <c r="J132" i="19" a="1"/>
  <c r="J132" i="19" s="1"/>
  <c r="I132" i="19" a="1"/>
  <c r="I132" i="19" s="1"/>
  <c r="H132" i="19" a="1"/>
  <c r="H132" i="19" s="1"/>
  <c r="G132" i="19" a="1"/>
  <c r="G132" i="19" s="1"/>
  <c r="F132" i="19" a="1"/>
  <c r="F132" i="19" s="1"/>
  <c r="E132" i="19" a="1"/>
  <c r="E132" i="19" s="1"/>
  <c r="D132" i="19" a="1"/>
  <c r="D132" i="19" s="1"/>
  <c r="C132" i="19" a="1"/>
  <c r="C132" i="19" s="1"/>
  <c r="B132" i="19" a="1"/>
  <c r="B132" i="19" s="1"/>
  <c r="U131" i="19" a="1"/>
  <c r="U131" i="19" s="1"/>
  <c r="T131" i="19" a="1"/>
  <c r="T131" i="19" s="1"/>
  <c r="S131" i="19" a="1"/>
  <c r="S131" i="19" s="1"/>
  <c r="Q131" i="19" a="1"/>
  <c r="Q131" i="19" s="1"/>
  <c r="P131" i="19"/>
  <c r="O131" i="19" a="1"/>
  <c r="O131" i="19" s="1"/>
  <c r="N131" i="19" a="1"/>
  <c r="N131" i="19" s="1"/>
  <c r="L131" i="19" a="1"/>
  <c r="L131" i="19" s="1"/>
  <c r="K131" i="19"/>
  <c r="J131" i="19" a="1"/>
  <c r="J131" i="19" s="1"/>
  <c r="I131" i="19" a="1"/>
  <c r="I131" i="19" s="1"/>
  <c r="H131" i="19" a="1"/>
  <c r="H131" i="19" s="1"/>
  <c r="G131" i="19" a="1"/>
  <c r="G131" i="19" s="1"/>
  <c r="F131" i="19" a="1"/>
  <c r="F131" i="19" s="1"/>
  <c r="E131" i="19" a="1"/>
  <c r="E131" i="19" s="1"/>
  <c r="D131" i="19" a="1"/>
  <c r="D131" i="19" s="1"/>
  <c r="C131" i="19" a="1"/>
  <c r="C131" i="19" s="1"/>
  <c r="B131" i="19" a="1"/>
  <c r="B131" i="19" s="1"/>
  <c r="U130" i="19" a="1"/>
  <c r="U130" i="19" s="1"/>
  <c r="T130" i="19" a="1"/>
  <c r="T130" i="19" s="1"/>
  <c r="S130" i="19" a="1"/>
  <c r="S130" i="19" s="1"/>
  <c r="Q130" i="19" a="1"/>
  <c r="Q130" i="19" s="1"/>
  <c r="P130" i="19"/>
  <c r="O130" i="19" a="1"/>
  <c r="O130" i="19" s="1"/>
  <c r="N130" i="19" a="1"/>
  <c r="N130" i="19" s="1"/>
  <c r="L130" i="19" a="1"/>
  <c r="L130" i="19" s="1"/>
  <c r="K130" i="19"/>
  <c r="J130" i="19" a="1"/>
  <c r="J130" i="19" s="1"/>
  <c r="I130" i="19" a="1"/>
  <c r="I130" i="19" s="1"/>
  <c r="H130" i="19" a="1"/>
  <c r="H130" i="19" s="1"/>
  <c r="G130" i="19" a="1"/>
  <c r="G130" i="19" s="1"/>
  <c r="F130" i="19" a="1"/>
  <c r="F130" i="19" s="1"/>
  <c r="E130" i="19" a="1"/>
  <c r="E130" i="19" s="1"/>
  <c r="D130" i="19" a="1"/>
  <c r="D130" i="19" s="1"/>
  <c r="C130" i="19" a="1"/>
  <c r="C130" i="19" s="1"/>
  <c r="B130" i="19" a="1"/>
  <c r="B130" i="19" s="1"/>
  <c r="U129" i="19" a="1"/>
  <c r="U129" i="19" s="1"/>
  <c r="T129" i="19" a="1"/>
  <c r="T129" i="19" s="1"/>
  <c r="S129" i="19" a="1"/>
  <c r="S129" i="19" s="1"/>
  <c r="Q129" i="19" a="1"/>
  <c r="Q129" i="19" s="1"/>
  <c r="P129" i="19"/>
  <c r="O129" i="19" a="1"/>
  <c r="O129" i="19" s="1"/>
  <c r="N129" i="19" a="1"/>
  <c r="N129" i="19" s="1"/>
  <c r="L129" i="19" a="1"/>
  <c r="L129" i="19" s="1"/>
  <c r="K129" i="19"/>
  <c r="J129" i="19" a="1"/>
  <c r="J129" i="19" s="1"/>
  <c r="I129" i="19" a="1"/>
  <c r="I129" i="19" s="1"/>
  <c r="H129" i="19" a="1"/>
  <c r="H129" i="19" s="1"/>
  <c r="G129" i="19" a="1"/>
  <c r="G129" i="19" s="1"/>
  <c r="F129" i="19" a="1"/>
  <c r="F129" i="19" s="1"/>
  <c r="E129" i="19" a="1"/>
  <c r="E129" i="19" s="1"/>
  <c r="D129" i="19" a="1"/>
  <c r="D129" i="19" s="1"/>
  <c r="C129" i="19" a="1"/>
  <c r="C129" i="19" s="1"/>
  <c r="B129" i="19" a="1"/>
  <c r="B129" i="19" s="1"/>
  <c r="U128" i="19" a="1"/>
  <c r="U128" i="19" s="1"/>
  <c r="T128" i="19" a="1"/>
  <c r="T128" i="19" s="1"/>
  <c r="S128" i="19" a="1"/>
  <c r="S128" i="19" s="1"/>
  <c r="Q128" i="19" a="1"/>
  <c r="Q128" i="19" s="1"/>
  <c r="P128" i="19"/>
  <c r="O128" i="19" a="1"/>
  <c r="O128" i="19" s="1"/>
  <c r="N128" i="19" a="1"/>
  <c r="N128" i="19" s="1"/>
  <c r="L128" i="19" a="1"/>
  <c r="L128" i="19" s="1"/>
  <c r="K128" i="19"/>
  <c r="J128" i="19" a="1"/>
  <c r="J128" i="19" s="1"/>
  <c r="I128" i="19" a="1"/>
  <c r="I128" i="19" s="1"/>
  <c r="H128" i="19" a="1"/>
  <c r="H128" i="19" s="1"/>
  <c r="G128" i="19" a="1"/>
  <c r="G128" i="19" s="1"/>
  <c r="F128" i="19" a="1"/>
  <c r="F128" i="19" s="1"/>
  <c r="E128" i="19" a="1"/>
  <c r="E128" i="19" s="1"/>
  <c r="D128" i="19" a="1"/>
  <c r="D128" i="19" s="1"/>
  <c r="C128" i="19" a="1"/>
  <c r="C128" i="19" s="1"/>
  <c r="B128" i="19" a="1"/>
  <c r="B128" i="19" s="1"/>
  <c r="U127" i="19" a="1"/>
  <c r="U127" i="19" s="1"/>
  <c r="T127" i="19" a="1"/>
  <c r="T127" i="19" s="1"/>
  <c r="S127" i="19" a="1"/>
  <c r="S127" i="19" s="1"/>
  <c r="Q127" i="19" a="1"/>
  <c r="Q127" i="19" s="1"/>
  <c r="P127" i="19"/>
  <c r="O127" i="19" a="1"/>
  <c r="O127" i="19" s="1"/>
  <c r="N127" i="19" a="1"/>
  <c r="N127" i="19" s="1"/>
  <c r="L127" i="19" a="1"/>
  <c r="L127" i="19" s="1"/>
  <c r="K127" i="19"/>
  <c r="J127" i="19" a="1"/>
  <c r="J127" i="19" s="1"/>
  <c r="I127" i="19" a="1"/>
  <c r="I127" i="19" s="1"/>
  <c r="H127" i="19" a="1"/>
  <c r="H127" i="19" s="1"/>
  <c r="G127" i="19" a="1"/>
  <c r="G127" i="19" s="1"/>
  <c r="F127" i="19" a="1"/>
  <c r="F127" i="19" s="1"/>
  <c r="E127" i="19" a="1"/>
  <c r="E127" i="19" s="1"/>
  <c r="D127" i="19" a="1"/>
  <c r="D127" i="19" s="1"/>
  <c r="C127" i="19" a="1"/>
  <c r="C127" i="19" s="1"/>
  <c r="B127" i="19" a="1"/>
  <c r="B127" i="19" s="1"/>
  <c r="U126" i="19" a="1"/>
  <c r="U126" i="19" s="1"/>
  <c r="T126" i="19" a="1"/>
  <c r="T126" i="19" s="1"/>
  <c r="S126" i="19" a="1"/>
  <c r="S126" i="19" s="1"/>
  <c r="Q126" i="19" a="1"/>
  <c r="Q126" i="19" s="1"/>
  <c r="P126" i="19"/>
  <c r="O126" i="19" a="1"/>
  <c r="O126" i="19" s="1"/>
  <c r="N126" i="19" a="1"/>
  <c r="N126" i="19" s="1"/>
  <c r="L126" i="19" a="1"/>
  <c r="L126" i="19" s="1"/>
  <c r="K126" i="19"/>
  <c r="J126" i="19" a="1"/>
  <c r="J126" i="19" s="1"/>
  <c r="I126" i="19" a="1"/>
  <c r="I126" i="19" s="1"/>
  <c r="H126" i="19" a="1"/>
  <c r="H126" i="19" s="1"/>
  <c r="G126" i="19" a="1"/>
  <c r="G126" i="19" s="1"/>
  <c r="F126" i="19" a="1"/>
  <c r="F126" i="19" s="1"/>
  <c r="E126" i="19" a="1"/>
  <c r="E126" i="19" s="1"/>
  <c r="D126" i="19" a="1"/>
  <c r="D126" i="19" s="1"/>
  <c r="C126" i="19" a="1"/>
  <c r="C126" i="19" s="1"/>
  <c r="B126" i="19" a="1"/>
  <c r="B126" i="19" s="1"/>
  <c r="U125" i="19" a="1"/>
  <c r="U125" i="19" s="1"/>
  <c r="T125" i="19" a="1"/>
  <c r="T125" i="19" s="1"/>
  <c r="S125" i="19" a="1"/>
  <c r="S125" i="19" s="1"/>
  <c r="Q125" i="19" a="1"/>
  <c r="Q125" i="19" s="1"/>
  <c r="P125" i="19"/>
  <c r="O125" i="19" a="1"/>
  <c r="O125" i="19" s="1"/>
  <c r="N125" i="19" a="1"/>
  <c r="N125" i="19" s="1"/>
  <c r="L125" i="19" a="1"/>
  <c r="L125" i="19" s="1"/>
  <c r="K125" i="19"/>
  <c r="J125" i="19" a="1"/>
  <c r="J125" i="19" s="1"/>
  <c r="I125" i="19" a="1"/>
  <c r="I125" i="19" s="1"/>
  <c r="H125" i="19" a="1"/>
  <c r="H125" i="19" s="1"/>
  <c r="G125" i="19" a="1"/>
  <c r="G125" i="19" s="1"/>
  <c r="F125" i="19" a="1"/>
  <c r="F125" i="19" s="1"/>
  <c r="E125" i="19" a="1"/>
  <c r="E125" i="19" s="1"/>
  <c r="D125" i="19" a="1"/>
  <c r="D125" i="19" s="1"/>
  <c r="C125" i="19" a="1"/>
  <c r="C125" i="19" s="1"/>
  <c r="B125" i="19" a="1"/>
  <c r="B125" i="19" s="1"/>
  <c r="U124" i="19" a="1"/>
  <c r="U124" i="19" s="1"/>
  <c r="T124" i="19" a="1"/>
  <c r="T124" i="19" s="1"/>
  <c r="S124" i="19" a="1"/>
  <c r="S124" i="19" s="1"/>
  <c r="Q124" i="19" a="1"/>
  <c r="Q124" i="19" s="1"/>
  <c r="P124" i="19"/>
  <c r="O124" i="19" a="1"/>
  <c r="O124" i="19" s="1"/>
  <c r="N124" i="19" a="1"/>
  <c r="N124" i="19" s="1"/>
  <c r="L124" i="19" a="1"/>
  <c r="L124" i="19" s="1"/>
  <c r="K124" i="19"/>
  <c r="J124" i="19" a="1"/>
  <c r="J124" i="19" s="1"/>
  <c r="I124" i="19" a="1"/>
  <c r="I124" i="19" s="1"/>
  <c r="H124" i="19" a="1"/>
  <c r="H124" i="19" s="1"/>
  <c r="G124" i="19" a="1"/>
  <c r="G124" i="19" s="1"/>
  <c r="F124" i="19" a="1"/>
  <c r="F124" i="19" s="1"/>
  <c r="E124" i="19" a="1"/>
  <c r="E124" i="19" s="1"/>
  <c r="D124" i="19" a="1"/>
  <c r="D124" i="19" s="1"/>
  <c r="C124" i="19" a="1"/>
  <c r="C124" i="19" s="1"/>
  <c r="B124" i="19" a="1"/>
  <c r="B124" i="19" s="1"/>
  <c r="U123" i="19" a="1"/>
  <c r="U123" i="19" s="1"/>
  <c r="T123" i="19" a="1"/>
  <c r="T123" i="19" s="1"/>
  <c r="S123" i="19" a="1"/>
  <c r="S123" i="19" s="1"/>
  <c r="Q123" i="19" a="1"/>
  <c r="Q123" i="19" s="1"/>
  <c r="P123" i="19"/>
  <c r="O123" i="19" a="1"/>
  <c r="O123" i="19" s="1"/>
  <c r="N123" i="19" a="1"/>
  <c r="N123" i="19" s="1"/>
  <c r="L123" i="19" a="1"/>
  <c r="L123" i="19" s="1"/>
  <c r="K123" i="19"/>
  <c r="J123" i="19" a="1"/>
  <c r="J123" i="19" s="1"/>
  <c r="I123" i="19" a="1"/>
  <c r="I123" i="19" s="1"/>
  <c r="H123" i="19" a="1"/>
  <c r="H123" i="19" s="1"/>
  <c r="G123" i="19" a="1"/>
  <c r="G123" i="19" s="1"/>
  <c r="F123" i="19" a="1"/>
  <c r="F123" i="19" s="1"/>
  <c r="E123" i="19" a="1"/>
  <c r="E123" i="19" s="1"/>
  <c r="D123" i="19" a="1"/>
  <c r="D123" i="19" s="1"/>
  <c r="C123" i="19" a="1"/>
  <c r="C123" i="19" s="1"/>
  <c r="B123" i="19" a="1"/>
  <c r="B123" i="19" s="1"/>
  <c r="U122" i="19" a="1"/>
  <c r="U122" i="19" s="1"/>
  <c r="T122" i="19" a="1"/>
  <c r="T122" i="19" s="1"/>
  <c r="S122" i="19" a="1"/>
  <c r="S122" i="19" s="1"/>
  <c r="Q122" i="19" a="1"/>
  <c r="Q122" i="19" s="1"/>
  <c r="P122" i="19"/>
  <c r="O122" i="19" a="1"/>
  <c r="O122" i="19" s="1"/>
  <c r="N122" i="19" a="1"/>
  <c r="N122" i="19" s="1"/>
  <c r="L122" i="19" a="1"/>
  <c r="L122" i="19" s="1"/>
  <c r="K122" i="19"/>
  <c r="J122" i="19" a="1"/>
  <c r="J122" i="19" s="1"/>
  <c r="I122" i="19" a="1"/>
  <c r="I122" i="19" s="1"/>
  <c r="H122" i="19" a="1"/>
  <c r="H122" i="19" s="1"/>
  <c r="G122" i="19" a="1"/>
  <c r="G122" i="19" s="1"/>
  <c r="F122" i="19" a="1"/>
  <c r="F122" i="19" s="1"/>
  <c r="E122" i="19" a="1"/>
  <c r="E122" i="19" s="1"/>
  <c r="D122" i="19" a="1"/>
  <c r="D122" i="19" s="1"/>
  <c r="C122" i="19" a="1"/>
  <c r="C122" i="19" s="1"/>
  <c r="B122" i="19" a="1"/>
  <c r="B122" i="19" s="1"/>
  <c r="U121" i="19" a="1"/>
  <c r="U121" i="19" s="1"/>
  <c r="T121" i="19" a="1"/>
  <c r="T121" i="19" s="1"/>
  <c r="S121" i="19" a="1"/>
  <c r="S121" i="19" s="1"/>
  <c r="Q121" i="19" a="1"/>
  <c r="Q121" i="19" s="1"/>
  <c r="P121" i="19"/>
  <c r="O121" i="19" a="1"/>
  <c r="O121" i="19" s="1"/>
  <c r="N121" i="19" a="1"/>
  <c r="N121" i="19" s="1"/>
  <c r="L121" i="19" a="1"/>
  <c r="L121" i="19" s="1"/>
  <c r="K121" i="19"/>
  <c r="J121" i="19" a="1"/>
  <c r="J121" i="19" s="1"/>
  <c r="I121" i="19" a="1"/>
  <c r="I121" i="19" s="1"/>
  <c r="H121" i="19" a="1"/>
  <c r="H121" i="19" s="1"/>
  <c r="G121" i="19" a="1"/>
  <c r="G121" i="19" s="1"/>
  <c r="F121" i="19" a="1"/>
  <c r="F121" i="19" s="1"/>
  <c r="E121" i="19" a="1"/>
  <c r="E121" i="19" s="1"/>
  <c r="D121" i="19" a="1"/>
  <c r="D121" i="19" s="1"/>
  <c r="C121" i="19" a="1"/>
  <c r="C121" i="19" s="1"/>
  <c r="B121" i="19" a="1"/>
  <c r="B121" i="19" s="1"/>
  <c r="U120" i="19" a="1"/>
  <c r="U120" i="19" s="1"/>
  <c r="T120" i="19" a="1"/>
  <c r="T120" i="19" s="1"/>
  <c r="S120" i="19" a="1"/>
  <c r="S120" i="19" s="1"/>
  <c r="Q120" i="19" a="1"/>
  <c r="Q120" i="19" s="1"/>
  <c r="P120" i="19"/>
  <c r="O120" i="19" a="1"/>
  <c r="O120" i="19" s="1"/>
  <c r="N120" i="19" a="1"/>
  <c r="N120" i="19" s="1"/>
  <c r="L120" i="19" a="1"/>
  <c r="L120" i="19" s="1"/>
  <c r="K120" i="19"/>
  <c r="J120" i="19" a="1"/>
  <c r="J120" i="19" s="1"/>
  <c r="I120" i="19" a="1"/>
  <c r="I120" i="19" s="1"/>
  <c r="H120" i="19" a="1"/>
  <c r="H120" i="19" s="1"/>
  <c r="G120" i="19" a="1"/>
  <c r="G120" i="19" s="1"/>
  <c r="F120" i="19" a="1"/>
  <c r="F120" i="19" s="1"/>
  <c r="E120" i="19" a="1"/>
  <c r="E120" i="19" s="1"/>
  <c r="D120" i="19" a="1"/>
  <c r="D120" i="19" s="1"/>
  <c r="C120" i="19" a="1"/>
  <c r="C120" i="19" s="1"/>
  <c r="B120" i="19" a="1"/>
  <c r="B120" i="19" s="1"/>
  <c r="U119" i="19" a="1"/>
  <c r="U119" i="19" s="1"/>
  <c r="T119" i="19" a="1"/>
  <c r="T119" i="19" s="1"/>
  <c r="S119" i="19" a="1"/>
  <c r="S119" i="19" s="1"/>
  <c r="Q119" i="19" a="1"/>
  <c r="Q119" i="19" s="1"/>
  <c r="P119" i="19"/>
  <c r="O119" i="19" a="1"/>
  <c r="O119" i="19" s="1"/>
  <c r="N119" i="19" a="1"/>
  <c r="N119" i="19" s="1"/>
  <c r="L119" i="19" a="1"/>
  <c r="L119" i="19" s="1"/>
  <c r="K119" i="19"/>
  <c r="J119" i="19" a="1"/>
  <c r="J119" i="19" s="1"/>
  <c r="I119" i="19" a="1"/>
  <c r="I119" i="19" s="1"/>
  <c r="H119" i="19" a="1"/>
  <c r="H119" i="19" s="1"/>
  <c r="G119" i="19" a="1"/>
  <c r="G119" i="19" s="1"/>
  <c r="F119" i="19" a="1"/>
  <c r="F119" i="19" s="1"/>
  <c r="E119" i="19" a="1"/>
  <c r="E119" i="19" s="1"/>
  <c r="D119" i="19" a="1"/>
  <c r="D119" i="19" s="1"/>
  <c r="C119" i="19" a="1"/>
  <c r="C119" i="19" s="1"/>
  <c r="B119" i="19" a="1"/>
  <c r="B119" i="19" s="1"/>
  <c r="U118" i="19" a="1"/>
  <c r="U118" i="19" s="1"/>
  <c r="T118" i="19" a="1"/>
  <c r="T118" i="19" s="1"/>
  <c r="S118" i="19" a="1"/>
  <c r="S118" i="19" s="1"/>
  <c r="Q118" i="19" a="1"/>
  <c r="Q118" i="19" s="1"/>
  <c r="P118" i="19"/>
  <c r="O118" i="19" a="1"/>
  <c r="O118" i="19" s="1"/>
  <c r="N118" i="19" a="1"/>
  <c r="N118" i="19" s="1"/>
  <c r="L118" i="19" a="1"/>
  <c r="L118" i="19" s="1"/>
  <c r="K118" i="19"/>
  <c r="J118" i="19" a="1"/>
  <c r="J118" i="19" s="1"/>
  <c r="I118" i="19" a="1"/>
  <c r="I118" i="19" s="1"/>
  <c r="H118" i="19" a="1"/>
  <c r="H118" i="19" s="1"/>
  <c r="G118" i="19" a="1"/>
  <c r="G118" i="19" s="1"/>
  <c r="F118" i="19" a="1"/>
  <c r="F118" i="19" s="1"/>
  <c r="E118" i="19" a="1"/>
  <c r="E118" i="19" s="1"/>
  <c r="D118" i="19" a="1"/>
  <c r="D118" i="19" s="1"/>
  <c r="C118" i="19" a="1"/>
  <c r="C118" i="19" s="1"/>
  <c r="B118" i="19" a="1"/>
  <c r="B118" i="19" s="1"/>
  <c r="U117" i="19" a="1"/>
  <c r="U117" i="19" s="1"/>
  <c r="T117" i="19" a="1"/>
  <c r="T117" i="19" s="1"/>
  <c r="S117" i="19" a="1"/>
  <c r="S117" i="19" s="1"/>
  <c r="Q117" i="19" a="1"/>
  <c r="Q117" i="19" s="1"/>
  <c r="P117" i="19"/>
  <c r="O117" i="19" a="1"/>
  <c r="O117" i="19" s="1"/>
  <c r="N117" i="19" a="1"/>
  <c r="N117" i="19" s="1"/>
  <c r="L117" i="19" a="1"/>
  <c r="L117" i="19" s="1"/>
  <c r="K117" i="19"/>
  <c r="J117" i="19" a="1"/>
  <c r="J117" i="19" s="1"/>
  <c r="I117" i="19" a="1"/>
  <c r="I117" i="19" s="1"/>
  <c r="H117" i="19" a="1"/>
  <c r="H117" i="19" s="1"/>
  <c r="G117" i="19" a="1"/>
  <c r="G117" i="19" s="1"/>
  <c r="F117" i="19" a="1"/>
  <c r="F117" i="19" s="1"/>
  <c r="E117" i="19" a="1"/>
  <c r="E117" i="19" s="1"/>
  <c r="D117" i="19" a="1"/>
  <c r="D117" i="19" s="1"/>
  <c r="C117" i="19" a="1"/>
  <c r="C117" i="19" s="1"/>
  <c r="B117" i="19" a="1"/>
  <c r="B117" i="19" s="1"/>
  <c r="U116" i="19" a="1"/>
  <c r="U116" i="19" s="1"/>
  <c r="T116" i="19" a="1"/>
  <c r="T116" i="19" s="1"/>
  <c r="S116" i="19" a="1"/>
  <c r="S116" i="19" s="1"/>
  <c r="Q116" i="19" a="1"/>
  <c r="Q116" i="19" s="1"/>
  <c r="P116" i="19"/>
  <c r="O116" i="19" a="1"/>
  <c r="O116" i="19" s="1"/>
  <c r="N116" i="19" a="1"/>
  <c r="N116" i="19" s="1"/>
  <c r="L116" i="19" a="1"/>
  <c r="L116" i="19" s="1"/>
  <c r="K116" i="19"/>
  <c r="J116" i="19" a="1"/>
  <c r="J116" i="19" s="1"/>
  <c r="I116" i="19" a="1"/>
  <c r="I116" i="19" s="1"/>
  <c r="H116" i="19" a="1"/>
  <c r="H116" i="19" s="1"/>
  <c r="G116" i="19" a="1"/>
  <c r="G116" i="19" s="1"/>
  <c r="F116" i="19" a="1"/>
  <c r="F116" i="19" s="1"/>
  <c r="E116" i="19" a="1"/>
  <c r="E116" i="19" s="1"/>
  <c r="D116" i="19" a="1"/>
  <c r="D116" i="19" s="1"/>
  <c r="C116" i="19" a="1"/>
  <c r="C116" i="19" s="1"/>
  <c r="B116" i="19" a="1"/>
  <c r="B116" i="19" s="1"/>
  <c r="U115" i="19" a="1"/>
  <c r="U115" i="19" s="1"/>
  <c r="T115" i="19" a="1"/>
  <c r="T115" i="19" s="1"/>
  <c r="S115" i="19" a="1"/>
  <c r="S115" i="19" s="1"/>
  <c r="Q115" i="19" a="1"/>
  <c r="Q115" i="19" s="1"/>
  <c r="P115" i="19"/>
  <c r="O115" i="19" a="1"/>
  <c r="O115" i="19" s="1"/>
  <c r="N115" i="19" a="1"/>
  <c r="N115" i="19" s="1"/>
  <c r="L115" i="19" a="1"/>
  <c r="L115" i="19" s="1"/>
  <c r="K115" i="19"/>
  <c r="J115" i="19" a="1"/>
  <c r="J115" i="19" s="1"/>
  <c r="I115" i="19" a="1"/>
  <c r="I115" i="19" s="1"/>
  <c r="H115" i="19" a="1"/>
  <c r="H115" i="19" s="1"/>
  <c r="G115" i="19" a="1"/>
  <c r="G115" i="19" s="1"/>
  <c r="F115" i="19" a="1"/>
  <c r="F115" i="19" s="1"/>
  <c r="E115" i="19" a="1"/>
  <c r="E115" i="19" s="1"/>
  <c r="D115" i="19" a="1"/>
  <c r="D115" i="19" s="1"/>
  <c r="C115" i="19" a="1"/>
  <c r="C115" i="19" s="1"/>
  <c r="B115" i="19" a="1"/>
  <c r="B115" i="19" s="1"/>
  <c r="U114" i="19" a="1"/>
  <c r="U114" i="19" s="1"/>
  <c r="T114" i="19" a="1"/>
  <c r="T114" i="19" s="1"/>
  <c r="S114" i="19" a="1"/>
  <c r="S114" i="19" s="1"/>
  <c r="Q114" i="19" a="1"/>
  <c r="Q114" i="19" s="1"/>
  <c r="P114" i="19"/>
  <c r="O114" i="19" a="1"/>
  <c r="O114" i="19" s="1"/>
  <c r="N114" i="19" a="1"/>
  <c r="N114" i="19" s="1"/>
  <c r="L114" i="19" a="1"/>
  <c r="L114" i="19" s="1"/>
  <c r="K114" i="19"/>
  <c r="J114" i="19" a="1"/>
  <c r="J114" i="19" s="1"/>
  <c r="I114" i="19" a="1"/>
  <c r="I114" i="19" s="1"/>
  <c r="H114" i="19" a="1"/>
  <c r="H114" i="19" s="1"/>
  <c r="G114" i="19" a="1"/>
  <c r="G114" i="19" s="1"/>
  <c r="F114" i="19" a="1"/>
  <c r="F114" i="19" s="1"/>
  <c r="E114" i="19" a="1"/>
  <c r="E114" i="19" s="1"/>
  <c r="D114" i="19" a="1"/>
  <c r="D114" i="19" s="1"/>
  <c r="C114" i="19" a="1"/>
  <c r="C114" i="19" s="1"/>
  <c r="B114" i="19" a="1"/>
  <c r="B114" i="19" s="1"/>
  <c r="U113" i="19" a="1"/>
  <c r="U113" i="19" s="1"/>
  <c r="T113" i="19" a="1"/>
  <c r="T113" i="19" s="1"/>
  <c r="S113" i="19" a="1"/>
  <c r="S113" i="19" s="1"/>
  <c r="Q113" i="19" a="1"/>
  <c r="Q113" i="19" s="1"/>
  <c r="P113" i="19"/>
  <c r="O113" i="19" a="1"/>
  <c r="O113" i="19" s="1"/>
  <c r="N113" i="19" a="1"/>
  <c r="N113" i="19" s="1"/>
  <c r="L113" i="19" a="1"/>
  <c r="L113" i="19" s="1"/>
  <c r="K113" i="19"/>
  <c r="J113" i="19" a="1"/>
  <c r="J113" i="19" s="1"/>
  <c r="I113" i="19" a="1"/>
  <c r="I113" i="19" s="1"/>
  <c r="H113" i="19" a="1"/>
  <c r="H113" i="19" s="1"/>
  <c r="G113" i="19" a="1"/>
  <c r="G113" i="19" s="1"/>
  <c r="F113" i="19" a="1"/>
  <c r="F113" i="19" s="1"/>
  <c r="E113" i="19" a="1"/>
  <c r="E113" i="19" s="1"/>
  <c r="D113" i="19" a="1"/>
  <c r="D113" i="19" s="1"/>
  <c r="C113" i="19" a="1"/>
  <c r="C113" i="19" s="1"/>
  <c r="B113" i="19" a="1"/>
  <c r="B113" i="19" s="1"/>
  <c r="U112" i="19" a="1"/>
  <c r="U112" i="19" s="1"/>
  <c r="T112" i="19" a="1"/>
  <c r="T112" i="19" s="1"/>
  <c r="S112" i="19" a="1"/>
  <c r="S112" i="19" s="1"/>
  <c r="Q112" i="19" a="1"/>
  <c r="Q112" i="19" s="1"/>
  <c r="P112" i="19"/>
  <c r="O112" i="19" a="1"/>
  <c r="O112" i="19" s="1"/>
  <c r="N112" i="19" a="1"/>
  <c r="N112" i="19" s="1"/>
  <c r="L112" i="19" a="1"/>
  <c r="L112" i="19" s="1"/>
  <c r="K112" i="19"/>
  <c r="J112" i="19" a="1"/>
  <c r="J112" i="19" s="1"/>
  <c r="I112" i="19" a="1"/>
  <c r="I112" i="19" s="1"/>
  <c r="H112" i="19" a="1"/>
  <c r="H112" i="19" s="1"/>
  <c r="G112" i="19" a="1"/>
  <c r="G112" i="19" s="1"/>
  <c r="F112" i="19" a="1"/>
  <c r="F112" i="19" s="1"/>
  <c r="E112" i="19" a="1"/>
  <c r="E112" i="19" s="1"/>
  <c r="D112" i="19" a="1"/>
  <c r="D112" i="19" s="1"/>
  <c r="C112" i="19" a="1"/>
  <c r="C112" i="19" s="1"/>
  <c r="B112" i="19" a="1"/>
  <c r="B112" i="19" s="1"/>
  <c r="U111" i="19" a="1"/>
  <c r="U111" i="19" s="1"/>
  <c r="T111" i="19" a="1"/>
  <c r="T111" i="19" s="1"/>
  <c r="S111" i="19" a="1"/>
  <c r="S111" i="19" s="1"/>
  <c r="Q111" i="19" a="1"/>
  <c r="Q111" i="19" s="1"/>
  <c r="P111" i="19"/>
  <c r="O111" i="19" a="1"/>
  <c r="O111" i="19" s="1"/>
  <c r="N111" i="19" a="1"/>
  <c r="N111" i="19" s="1"/>
  <c r="L111" i="19" a="1"/>
  <c r="L111" i="19" s="1"/>
  <c r="K111" i="19"/>
  <c r="J111" i="19" a="1"/>
  <c r="J111" i="19" s="1"/>
  <c r="I111" i="19" a="1"/>
  <c r="I111" i="19" s="1"/>
  <c r="H111" i="19" a="1"/>
  <c r="H111" i="19" s="1"/>
  <c r="G111" i="19" a="1"/>
  <c r="G111" i="19" s="1"/>
  <c r="F111" i="19" a="1"/>
  <c r="F111" i="19" s="1"/>
  <c r="E111" i="19" a="1"/>
  <c r="E111" i="19" s="1"/>
  <c r="D111" i="19" a="1"/>
  <c r="D111" i="19" s="1"/>
  <c r="C111" i="19" a="1"/>
  <c r="C111" i="19" s="1"/>
  <c r="B111" i="19" a="1"/>
  <c r="B111" i="19" s="1"/>
  <c r="U110" i="19" a="1"/>
  <c r="U110" i="19" s="1"/>
  <c r="T110" i="19" a="1"/>
  <c r="T110" i="19" s="1"/>
  <c r="S110" i="19" a="1"/>
  <c r="S110" i="19" s="1"/>
  <c r="Q110" i="19" a="1"/>
  <c r="Q110" i="19" s="1"/>
  <c r="P110" i="19"/>
  <c r="O110" i="19" a="1"/>
  <c r="O110" i="19" s="1"/>
  <c r="N110" i="19" a="1"/>
  <c r="N110" i="19" s="1"/>
  <c r="L110" i="19" a="1"/>
  <c r="L110" i="19" s="1"/>
  <c r="K110" i="19"/>
  <c r="J110" i="19" a="1"/>
  <c r="J110" i="19" s="1"/>
  <c r="I110" i="19" a="1"/>
  <c r="I110" i="19" s="1"/>
  <c r="H110" i="19" a="1"/>
  <c r="H110" i="19" s="1"/>
  <c r="G110" i="19" a="1"/>
  <c r="G110" i="19" s="1"/>
  <c r="F110" i="19" a="1"/>
  <c r="F110" i="19" s="1"/>
  <c r="E110" i="19" a="1"/>
  <c r="E110" i="19" s="1"/>
  <c r="D110" i="19" a="1"/>
  <c r="D110" i="19" s="1"/>
  <c r="C110" i="19" a="1"/>
  <c r="C110" i="19" s="1"/>
  <c r="B110" i="19" a="1"/>
  <c r="B110" i="19" s="1"/>
  <c r="U109" i="19" a="1"/>
  <c r="U109" i="19" s="1"/>
  <c r="T109" i="19" a="1"/>
  <c r="T109" i="19" s="1"/>
  <c r="S109" i="19" a="1"/>
  <c r="S109" i="19" s="1"/>
  <c r="Q109" i="19" a="1"/>
  <c r="Q109" i="19" s="1"/>
  <c r="P109" i="19"/>
  <c r="O109" i="19" a="1"/>
  <c r="O109" i="19" s="1"/>
  <c r="N109" i="19" a="1"/>
  <c r="N109" i="19" s="1"/>
  <c r="L109" i="19" a="1"/>
  <c r="L109" i="19" s="1"/>
  <c r="K109" i="19"/>
  <c r="J109" i="19" a="1"/>
  <c r="J109" i="19" s="1"/>
  <c r="I109" i="19" a="1"/>
  <c r="I109" i="19" s="1"/>
  <c r="H109" i="19" a="1"/>
  <c r="H109" i="19" s="1"/>
  <c r="G109" i="19" a="1"/>
  <c r="G109" i="19" s="1"/>
  <c r="F109" i="19" a="1"/>
  <c r="F109" i="19" s="1"/>
  <c r="E109" i="19" a="1"/>
  <c r="E109" i="19" s="1"/>
  <c r="D109" i="19" a="1"/>
  <c r="D109" i="19" s="1"/>
  <c r="C109" i="19" a="1"/>
  <c r="C109" i="19" s="1"/>
  <c r="B109" i="19" a="1"/>
  <c r="B109" i="19" s="1"/>
  <c r="U108" i="19" a="1"/>
  <c r="U108" i="19" s="1"/>
  <c r="T108" i="19" a="1"/>
  <c r="T108" i="19" s="1"/>
  <c r="S108" i="19" a="1"/>
  <c r="S108" i="19" s="1"/>
  <c r="Q108" i="19" a="1"/>
  <c r="Q108" i="19" s="1"/>
  <c r="P108" i="19"/>
  <c r="O108" i="19" a="1"/>
  <c r="O108" i="19" s="1"/>
  <c r="N108" i="19" a="1"/>
  <c r="N108" i="19" s="1"/>
  <c r="L108" i="19" a="1"/>
  <c r="L108" i="19" s="1"/>
  <c r="K108" i="19"/>
  <c r="J108" i="19" a="1"/>
  <c r="J108" i="19" s="1"/>
  <c r="I108" i="19" a="1"/>
  <c r="I108" i="19" s="1"/>
  <c r="H108" i="19" a="1"/>
  <c r="H108" i="19" s="1"/>
  <c r="G108" i="19" a="1"/>
  <c r="G108" i="19" s="1"/>
  <c r="F108" i="19" a="1"/>
  <c r="F108" i="19" s="1"/>
  <c r="E108" i="19" a="1"/>
  <c r="E108" i="19" s="1"/>
  <c r="D108" i="19" a="1"/>
  <c r="D108" i="19" s="1"/>
  <c r="C108" i="19" a="1"/>
  <c r="C108" i="19" s="1"/>
  <c r="B108" i="19" a="1"/>
  <c r="B108" i="19" s="1"/>
  <c r="U107" i="19" a="1"/>
  <c r="U107" i="19" s="1"/>
  <c r="T107" i="19" a="1"/>
  <c r="T107" i="19" s="1"/>
  <c r="S107" i="19" a="1"/>
  <c r="S107" i="19" s="1"/>
  <c r="Q107" i="19" a="1"/>
  <c r="Q107" i="19" s="1"/>
  <c r="P107" i="19"/>
  <c r="O107" i="19" a="1"/>
  <c r="O107" i="19" s="1"/>
  <c r="N107" i="19" a="1"/>
  <c r="N107" i="19" s="1"/>
  <c r="L107" i="19" a="1"/>
  <c r="L107" i="19" s="1"/>
  <c r="K107" i="19"/>
  <c r="J107" i="19" a="1"/>
  <c r="J107" i="19" s="1"/>
  <c r="I107" i="19" a="1"/>
  <c r="I107" i="19" s="1"/>
  <c r="H107" i="19" a="1"/>
  <c r="H107" i="19" s="1"/>
  <c r="G107" i="19" a="1"/>
  <c r="G107" i="19" s="1"/>
  <c r="F107" i="19" a="1"/>
  <c r="F107" i="19" s="1"/>
  <c r="E107" i="19" a="1"/>
  <c r="E107" i="19" s="1"/>
  <c r="D107" i="19" a="1"/>
  <c r="D107" i="19" s="1"/>
  <c r="C107" i="19" a="1"/>
  <c r="C107" i="19" s="1"/>
  <c r="B107" i="19" a="1"/>
  <c r="B107" i="19" s="1"/>
  <c r="U106" i="19" a="1"/>
  <c r="U106" i="19" s="1"/>
  <c r="T106" i="19" a="1"/>
  <c r="T106" i="19" s="1"/>
  <c r="S106" i="19" a="1"/>
  <c r="S106" i="19" s="1"/>
  <c r="Q106" i="19" a="1"/>
  <c r="Q106" i="19" s="1"/>
  <c r="P106" i="19"/>
  <c r="O106" i="19" a="1"/>
  <c r="O106" i="19" s="1"/>
  <c r="N106" i="19" a="1"/>
  <c r="N106" i="19" s="1"/>
  <c r="L106" i="19" a="1"/>
  <c r="L106" i="19" s="1"/>
  <c r="K106" i="19"/>
  <c r="J106" i="19" a="1"/>
  <c r="J106" i="19" s="1"/>
  <c r="I106" i="19" a="1"/>
  <c r="I106" i="19" s="1"/>
  <c r="H106" i="19" a="1"/>
  <c r="H106" i="19" s="1"/>
  <c r="G106" i="19" a="1"/>
  <c r="G106" i="19" s="1"/>
  <c r="F106" i="19" a="1"/>
  <c r="F106" i="19" s="1"/>
  <c r="E106" i="19" a="1"/>
  <c r="E106" i="19" s="1"/>
  <c r="D106" i="19" a="1"/>
  <c r="D106" i="19" s="1"/>
  <c r="C106" i="19" a="1"/>
  <c r="C106" i="19" s="1"/>
  <c r="B106" i="19" a="1"/>
  <c r="B106" i="19" s="1"/>
  <c r="U105" i="19" a="1"/>
  <c r="U105" i="19" s="1"/>
  <c r="T105" i="19" a="1"/>
  <c r="T105" i="19" s="1"/>
  <c r="S105" i="19" a="1"/>
  <c r="S105" i="19" s="1"/>
  <c r="Q105" i="19" a="1"/>
  <c r="Q105" i="19" s="1"/>
  <c r="P105" i="19"/>
  <c r="O105" i="19" a="1"/>
  <c r="O105" i="19" s="1"/>
  <c r="N105" i="19" a="1"/>
  <c r="N105" i="19" s="1"/>
  <c r="L105" i="19" a="1"/>
  <c r="L105" i="19" s="1"/>
  <c r="K105" i="19"/>
  <c r="J105" i="19" a="1"/>
  <c r="J105" i="19" s="1"/>
  <c r="I105" i="19" a="1"/>
  <c r="I105" i="19" s="1"/>
  <c r="H105" i="19" a="1"/>
  <c r="H105" i="19" s="1"/>
  <c r="G105" i="19" a="1"/>
  <c r="G105" i="19" s="1"/>
  <c r="F105" i="19" a="1"/>
  <c r="F105" i="19" s="1"/>
  <c r="E105" i="19" a="1"/>
  <c r="E105" i="19" s="1"/>
  <c r="D105" i="19" a="1"/>
  <c r="D105" i="19" s="1"/>
  <c r="C105" i="19" a="1"/>
  <c r="C105" i="19" s="1"/>
  <c r="B105" i="19" a="1"/>
  <c r="B105" i="19" s="1"/>
  <c r="U104" i="19" a="1"/>
  <c r="U104" i="19" s="1"/>
  <c r="T104" i="19" a="1"/>
  <c r="T104" i="19" s="1"/>
  <c r="S104" i="19" a="1"/>
  <c r="S104" i="19" s="1"/>
  <c r="Q104" i="19" a="1"/>
  <c r="Q104" i="19" s="1"/>
  <c r="P104" i="19"/>
  <c r="O104" i="19" a="1"/>
  <c r="O104" i="19" s="1"/>
  <c r="N104" i="19" a="1"/>
  <c r="N104" i="19" s="1"/>
  <c r="L104" i="19" a="1"/>
  <c r="L104" i="19" s="1"/>
  <c r="K104" i="19"/>
  <c r="J104" i="19" a="1"/>
  <c r="J104" i="19" s="1"/>
  <c r="I104" i="19" a="1"/>
  <c r="I104" i="19" s="1"/>
  <c r="H104" i="19" a="1"/>
  <c r="H104" i="19" s="1"/>
  <c r="G104" i="19" a="1"/>
  <c r="G104" i="19" s="1"/>
  <c r="F104" i="19" a="1"/>
  <c r="F104" i="19" s="1"/>
  <c r="E104" i="19" a="1"/>
  <c r="E104" i="19" s="1"/>
  <c r="D104" i="19" a="1"/>
  <c r="D104" i="19" s="1"/>
  <c r="C104" i="19" a="1"/>
  <c r="C104" i="19" s="1"/>
  <c r="B104" i="19" a="1"/>
  <c r="B104" i="19" s="1"/>
  <c r="U103" i="19" a="1"/>
  <c r="U103" i="19" s="1"/>
  <c r="T103" i="19" a="1"/>
  <c r="T103" i="19" s="1"/>
  <c r="S103" i="19" a="1"/>
  <c r="S103" i="19" s="1"/>
  <c r="Q103" i="19" a="1"/>
  <c r="Q103" i="19" s="1"/>
  <c r="P103" i="19"/>
  <c r="O103" i="19" a="1"/>
  <c r="O103" i="19" s="1"/>
  <c r="N103" i="19" a="1"/>
  <c r="N103" i="19" s="1"/>
  <c r="L103" i="19" a="1"/>
  <c r="L103" i="19" s="1"/>
  <c r="K103" i="19"/>
  <c r="J103" i="19" a="1"/>
  <c r="J103" i="19" s="1"/>
  <c r="I103" i="19" a="1"/>
  <c r="I103" i="19" s="1"/>
  <c r="H103" i="19" a="1"/>
  <c r="H103" i="19" s="1"/>
  <c r="G103" i="19" a="1"/>
  <c r="G103" i="19" s="1"/>
  <c r="F103" i="19" a="1"/>
  <c r="F103" i="19" s="1"/>
  <c r="E103" i="19" a="1"/>
  <c r="E103" i="19" s="1"/>
  <c r="D103" i="19" a="1"/>
  <c r="D103" i="19" s="1"/>
  <c r="C103" i="19" a="1"/>
  <c r="C103" i="19" s="1"/>
  <c r="B103" i="19" a="1"/>
  <c r="B103" i="19" s="1"/>
  <c r="U102" i="19" a="1"/>
  <c r="U102" i="19" s="1"/>
  <c r="T102" i="19" a="1"/>
  <c r="T102" i="19" s="1"/>
  <c r="S102" i="19" a="1"/>
  <c r="S102" i="19" s="1"/>
  <c r="Q102" i="19" a="1"/>
  <c r="Q102" i="19" s="1"/>
  <c r="P102" i="19"/>
  <c r="O102" i="19" a="1"/>
  <c r="O102" i="19" s="1"/>
  <c r="N102" i="19" a="1"/>
  <c r="N102" i="19" s="1"/>
  <c r="L102" i="19" a="1"/>
  <c r="L102" i="19" s="1"/>
  <c r="K102" i="19"/>
  <c r="J102" i="19" a="1"/>
  <c r="J102" i="19" s="1"/>
  <c r="I102" i="19" a="1"/>
  <c r="I102" i="19" s="1"/>
  <c r="H102" i="19" a="1"/>
  <c r="H102" i="19" s="1"/>
  <c r="G102" i="19" a="1"/>
  <c r="G102" i="19" s="1"/>
  <c r="F102" i="19" a="1"/>
  <c r="F102" i="19" s="1"/>
  <c r="E102" i="19" a="1"/>
  <c r="E102" i="19" s="1"/>
  <c r="D102" i="19" a="1"/>
  <c r="D102" i="19" s="1"/>
  <c r="C102" i="19" a="1"/>
  <c r="C102" i="19" s="1"/>
  <c r="B102" i="19" a="1"/>
  <c r="B102" i="19" s="1"/>
  <c r="U101" i="19" a="1"/>
  <c r="U101" i="19" s="1"/>
  <c r="T101" i="19" a="1"/>
  <c r="T101" i="19" s="1"/>
  <c r="S101" i="19" a="1"/>
  <c r="S101" i="19" s="1"/>
  <c r="Q101" i="19" a="1"/>
  <c r="Q101" i="19" s="1"/>
  <c r="P101" i="19"/>
  <c r="O101" i="19" a="1"/>
  <c r="O101" i="19" s="1"/>
  <c r="N101" i="19" a="1"/>
  <c r="N101" i="19" s="1"/>
  <c r="L101" i="19" a="1"/>
  <c r="L101" i="19" s="1"/>
  <c r="K101" i="19"/>
  <c r="J101" i="19" a="1"/>
  <c r="J101" i="19" s="1"/>
  <c r="I101" i="19" a="1"/>
  <c r="I101" i="19" s="1"/>
  <c r="H101" i="19" a="1"/>
  <c r="H101" i="19" s="1"/>
  <c r="G101" i="19" a="1"/>
  <c r="G101" i="19" s="1"/>
  <c r="F101" i="19" a="1"/>
  <c r="F101" i="19" s="1"/>
  <c r="E101" i="19" a="1"/>
  <c r="E101" i="19" s="1"/>
  <c r="D101" i="19" a="1"/>
  <c r="D101" i="19" s="1"/>
  <c r="C101" i="19" a="1"/>
  <c r="C101" i="19" s="1"/>
  <c r="B101" i="19" a="1"/>
  <c r="B101" i="19" s="1"/>
  <c r="U100" i="19" a="1"/>
  <c r="U100" i="19" s="1"/>
  <c r="T100" i="19" a="1"/>
  <c r="T100" i="19" s="1"/>
  <c r="S100" i="19" a="1"/>
  <c r="S100" i="19" s="1"/>
  <c r="Q100" i="19" a="1"/>
  <c r="Q100" i="19" s="1"/>
  <c r="P100" i="19"/>
  <c r="O100" i="19" a="1"/>
  <c r="O100" i="19" s="1"/>
  <c r="N100" i="19" a="1"/>
  <c r="N100" i="19" s="1"/>
  <c r="L100" i="19" a="1"/>
  <c r="L100" i="19" s="1"/>
  <c r="K100" i="19"/>
  <c r="J100" i="19" a="1"/>
  <c r="J100" i="19" s="1"/>
  <c r="I100" i="19" a="1"/>
  <c r="I100" i="19" s="1"/>
  <c r="H100" i="19" a="1"/>
  <c r="H100" i="19" s="1"/>
  <c r="G100" i="19" a="1"/>
  <c r="G100" i="19" s="1"/>
  <c r="F100" i="19" a="1"/>
  <c r="F100" i="19" s="1"/>
  <c r="E100" i="19" a="1"/>
  <c r="E100" i="19" s="1"/>
  <c r="D100" i="19" a="1"/>
  <c r="D100" i="19" s="1"/>
  <c r="C100" i="19" a="1"/>
  <c r="C100" i="19" s="1"/>
  <c r="B100" i="19" a="1"/>
  <c r="B100" i="19" s="1"/>
  <c r="U99" i="19" a="1"/>
  <c r="U99" i="19" s="1"/>
  <c r="T99" i="19" a="1"/>
  <c r="T99" i="19" s="1"/>
  <c r="S99" i="19" a="1"/>
  <c r="S99" i="19" s="1"/>
  <c r="Q99" i="19" a="1"/>
  <c r="Q99" i="19" s="1"/>
  <c r="P99" i="19"/>
  <c r="O99" i="19" a="1"/>
  <c r="O99" i="19" s="1"/>
  <c r="N99" i="19" a="1"/>
  <c r="N99" i="19" s="1"/>
  <c r="L99" i="19" a="1"/>
  <c r="L99" i="19" s="1"/>
  <c r="K99" i="19"/>
  <c r="J99" i="19" a="1"/>
  <c r="J99" i="19" s="1"/>
  <c r="I99" i="19" a="1"/>
  <c r="I99" i="19" s="1"/>
  <c r="H99" i="19" a="1"/>
  <c r="H99" i="19" s="1"/>
  <c r="G99" i="19" a="1"/>
  <c r="G99" i="19" s="1"/>
  <c r="F99" i="19" a="1"/>
  <c r="F99" i="19" s="1"/>
  <c r="E99" i="19" a="1"/>
  <c r="E99" i="19" s="1"/>
  <c r="D99" i="19" a="1"/>
  <c r="D99" i="19" s="1"/>
  <c r="C99" i="19" a="1"/>
  <c r="C99" i="19" s="1"/>
  <c r="B99" i="19" a="1"/>
  <c r="B99" i="19" s="1"/>
  <c r="U98" i="19" a="1"/>
  <c r="U98" i="19" s="1"/>
  <c r="T98" i="19" a="1"/>
  <c r="T98" i="19" s="1"/>
  <c r="S98" i="19" a="1"/>
  <c r="S98" i="19" s="1"/>
  <c r="Q98" i="19" a="1"/>
  <c r="Q98" i="19" s="1"/>
  <c r="P98" i="19"/>
  <c r="O98" i="19" a="1"/>
  <c r="O98" i="19" s="1"/>
  <c r="N98" i="19" a="1"/>
  <c r="N98" i="19" s="1"/>
  <c r="L98" i="19" a="1"/>
  <c r="L98" i="19" s="1"/>
  <c r="K98" i="19"/>
  <c r="J98" i="19" a="1"/>
  <c r="J98" i="19" s="1"/>
  <c r="I98" i="19" a="1"/>
  <c r="I98" i="19" s="1"/>
  <c r="H98" i="19" a="1"/>
  <c r="H98" i="19" s="1"/>
  <c r="G98" i="19" a="1"/>
  <c r="G98" i="19" s="1"/>
  <c r="F98" i="19" a="1"/>
  <c r="F98" i="19" s="1"/>
  <c r="E98" i="19" a="1"/>
  <c r="E98" i="19" s="1"/>
  <c r="D98" i="19" a="1"/>
  <c r="D98" i="19" s="1"/>
  <c r="C98" i="19" a="1"/>
  <c r="C98" i="19" s="1"/>
  <c r="B98" i="19" a="1"/>
  <c r="B98" i="19" s="1"/>
  <c r="U97" i="19" a="1"/>
  <c r="U97" i="19" s="1"/>
  <c r="T97" i="19" a="1"/>
  <c r="T97" i="19" s="1"/>
  <c r="S97" i="19" a="1"/>
  <c r="S97" i="19" s="1"/>
  <c r="Q97" i="19" a="1"/>
  <c r="Q97" i="19" s="1"/>
  <c r="P97" i="19"/>
  <c r="O97" i="19" a="1"/>
  <c r="O97" i="19" s="1"/>
  <c r="N97" i="19" a="1"/>
  <c r="N97" i="19" s="1"/>
  <c r="L97" i="19" a="1"/>
  <c r="L97" i="19" s="1"/>
  <c r="K97" i="19"/>
  <c r="J97" i="19" a="1"/>
  <c r="J97" i="19" s="1"/>
  <c r="I97" i="19" a="1"/>
  <c r="I97" i="19" s="1"/>
  <c r="H97" i="19" a="1"/>
  <c r="H97" i="19" s="1"/>
  <c r="G97" i="19" a="1"/>
  <c r="G97" i="19" s="1"/>
  <c r="F97" i="19" a="1"/>
  <c r="F97" i="19" s="1"/>
  <c r="E97" i="19" a="1"/>
  <c r="E97" i="19" s="1"/>
  <c r="D97" i="19" a="1"/>
  <c r="D97" i="19" s="1"/>
  <c r="C97" i="19" a="1"/>
  <c r="C97" i="19" s="1"/>
  <c r="B97" i="19" a="1"/>
  <c r="B97" i="19" s="1"/>
  <c r="U96" i="19" a="1"/>
  <c r="U96" i="19" s="1"/>
  <c r="T96" i="19" a="1"/>
  <c r="T96" i="19" s="1"/>
  <c r="S96" i="19" a="1"/>
  <c r="S96" i="19" s="1"/>
  <c r="Q96" i="19" a="1"/>
  <c r="Q96" i="19" s="1"/>
  <c r="P96" i="19"/>
  <c r="O96" i="19" a="1"/>
  <c r="O96" i="19" s="1"/>
  <c r="N96" i="19" a="1"/>
  <c r="N96" i="19" s="1"/>
  <c r="L96" i="19" a="1"/>
  <c r="L96" i="19" s="1"/>
  <c r="K96" i="19"/>
  <c r="J96" i="19" a="1"/>
  <c r="J96" i="19" s="1"/>
  <c r="I96" i="19" a="1"/>
  <c r="I96" i="19" s="1"/>
  <c r="H96" i="19" a="1"/>
  <c r="H96" i="19" s="1"/>
  <c r="G96" i="19" a="1"/>
  <c r="G96" i="19" s="1"/>
  <c r="F96" i="19" a="1"/>
  <c r="F96" i="19" s="1"/>
  <c r="E96" i="19" a="1"/>
  <c r="E96" i="19" s="1"/>
  <c r="D96" i="19" a="1"/>
  <c r="D96" i="19" s="1"/>
  <c r="C96" i="19" a="1"/>
  <c r="C96" i="19" s="1"/>
  <c r="B96" i="19" a="1"/>
  <c r="B96" i="19" s="1"/>
  <c r="U95" i="19" a="1"/>
  <c r="U95" i="19" s="1"/>
  <c r="T95" i="19" a="1"/>
  <c r="T95" i="19" s="1"/>
  <c r="S95" i="19" a="1"/>
  <c r="S95" i="19" s="1"/>
  <c r="Q95" i="19" a="1"/>
  <c r="Q95" i="19" s="1"/>
  <c r="P95" i="19"/>
  <c r="O95" i="19" a="1"/>
  <c r="O95" i="19" s="1"/>
  <c r="N95" i="19" a="1"/>
  <c r="N95" i="19" s="1"/>
  <c r="L95" i="19" a="1"/>
  <c r="L95" i="19" s="1"/>
  <c r="K95" i="19"/>
  <c r="J95" i="19" a="1"/>
  <c r="J95" i="19" s="1"/>
  <c r="I95" i="19" a="1"/>
  <c r="I95" i="19" s="1"/>
  <c r="H95" i="19" a="1"/>
  <c r="H95" i="19" s="1"/>
  <c r="G95" i="19" a="1"/>
  <c r="G95" i="19" s="1"/>
  <c r="F95" i="19" a="1"/>
  <c r="F95" i="19" s="1"/>
  <c r="E95" i="19" a="1"/>
  <c r="E95" i="19" s="1"/>
  <c r="D95" i="19" a="1"/>
  <c r="D95" i="19" s="1"/>
  <c r="C95" i="19" a="1"/>
  <c r="C95" i="19" s="1"/>
  <c r="B95" i="19" a="1"/>
  <c r="B95" i="19" s="1"/>
  <c r="U94" i="19" a="1"/>
  <c r="U94" i="19" s="1"/>
  <c r="T94" i="19" a="1"/>
  <c r="T94" i="19" s="1"/>
  <c r="S94" i="19" a="1"/>
  <c r="S94" i="19" s="1"/>
  <c r="Q94" i="19" a="1"/>
  <c r="Q94" i="19" s="1"/>
  <c r="P94" i="19"/>
  <c r="O94" i="19" a="1"/>
  <c r="O94" i="19" s="1"/>
  <c r="N94" i="19" a="1"/>
  <c r="N94" i="19" s="1"/>
  <c r="L94" i="19" a="1"/>
  <c r="L94" i="19" s="1"/>
  <c r="K94" i="19"/>
  <c r="J94" i="19" a="1"/>
  <c r="J94" i="19" s="1"/>
  <c r="I94" i="19" a="1"/>
  <c r="I94" i="19" s="1"/>
  <c r="H94" i="19" a="1"/>
  <c r="H94" i="19" s="1"/>
  <c r="G94" i="19" a="1"/>
  <c r="G94" i="19" s="1"/>
  <c r="F94" i="19" a="1"/>
  <c r="F94" i="19" s="1"/>
  <c r="E94" i="19" a="1"/>
  <c r="E94" i="19" s="1"/>
  <c r="D94" i="19" a="1"/>
  <c r="D94" i="19" s="1"/>
  <c r="C94" i="19" a="1"/>
  <c r="C94" i="19" s="1"/>
  <c r="B94" i="19" a="1"/>
  <c r="B94" i="19" s="1"/>
  <c r="U93" i="19" a="1"/>
  <c r="U93" i="19" s="1"/>
  <c r="T93" i="19" a="1"/>
  <c r="T93" i="19" s="1"/>
  <c r="S93" i="19" a="1"/>
  <c r="S93" i="19" s="1"/>
  <c r="Q93" i="19" a="1"/>
  <c r="Q93" i="19" s="1"/>
  <c r="P93" i="19"/>
  <c r="O93" i="19" a="1"/>
  <c r="O93" i="19" s="1"/>
  <c r="N93" i="19" a="1"/>
  <c r="N93" i="19" s="1"/>
  <c r="L93" i="19" a="1"/>
  <c r="L93" i="19" s="1"/>
  <c r="K93" i="19"/>
  <c r="J93" i="19" a="1"/>
  <c r="J93" i="19" s="1"/>
  <c r="I93" i="19" a="1"/>
  <c r="I93" i="19" s="1"/>
  <c r="H93" i="19" a="1"/>
  <c r="H93" i="19" s="1"/>
  <c r="G93" i="19" a="1"/>
  <c r="G93" i="19" s="1"/>
  <c r="F93" i="19" a="1"/>
  <c r="F93" i="19" s="1"/>
  <c r="E93" i="19" a="1"/>
  <c r="E93" i="19" s="1"/>
  <c r="D93" i="19" a="1"/>
  <c r="D93" i="19" s="1"/>
  <c r="C93" i="19" a="1"/>
  <c r="C93" i="19" s="1"/>
  <c r="B93" i="19" a="1"/>
  <c r="B93" i="19" s="1"/>
  <c r="U92" i="19" a="1"/>
  <c r="U92" i="19" s="1"/>
  <c r="T92" i="19" a="1"/>
  <c r="T92" i="19" s="1"/>
  <c r="S92" i="19" a="1"/>
  <c r="S92" i="19" s="1"/>
  <c r="Q92" i="19" a="1"/>
  <c r="Q92" i="19" s="1"/>
  <c r="P92" i="19"/>
  <c r="O92" i="19" a="1"/>
  <c r="O92" i="19" s="1"/>
  <c r="N92" i="19" a="1"/>
  <c r="N92" i="19" s="1"/>
  <c r="L92" i="19" a="1"/>
  <c r="L92" i="19" s="1"/>
  <c r="K92" i="19"/>
  <c r="J92" i="19" a="1"/>
  <c r="J92" i="19" s="1"/>
  <c r="I92" i="19" a="1"/>
  <c r="I92" i="19" s="1"/>
  <c r="H92" i="19" a="1"/>
  <c r="H92" i="19" s="1"/>
  <c r="G92" i="19" a="1"/>
  <c r="G92" i="19" s="1"/>
  <c r="F92" i="19" a="1"/>
  <c r="F92" i="19" s="1"/>
  <c r="E92" i="19" a="1"/>
  <c r="E92" i="19" s="1"/>
  <c r="D92" i="19" a="1"/>
  <c r="D92" i="19" s="1"/>
  <c r="C92" i="19" a="1"/>
  <c r="C92" i="19" s="1"/>
  <c r="B92" i="19" a="1"/>
  <c r="B92" i="19" s="1"/>
  <c r="U91" i="19" a="1"/>
  <c r="U91" i="19" s="1"/>
  <c r="T91" i="19" a="1"/>
  <c r="T91" i="19" s="1"/>
  <c r="S91" i="19" a="1"/>
  <c r="S91" i="19" s="1"/>
  <c r="Q91" i="19" a="1"/>
  <c r="Q91" i="19" s="1"/>
  <c r="P91" i="19"/>
  <c r="O91" i="19" a="1"/>
  <c r="O91" i="19" s="1"/>
  <c r="N91" i="19" a="1"/>
  <c r="N91" i="19" s="1"/>
  <c r="L91" i="19" a="1"/>
  <c r="L91" i="19" s="1"/>
  <c r="K91" i="19"/>
  <c r="J91" i="19" a="1"/>
  <c r="J91" i="19" s="1"/>
  <c r="I91" i="19" a="1"/>
  <c r="I91" i="19" s="1"/>
  <c r="H91" i="19" a="1"/>
  <c r="H91" i="19" s="1"/>
  <c r="G91" i="19" a="1"/>
  <c r="G91" i="19" s="1"/>
  <c r="F91" i="19" a="1"/>
  <c r="F91" i="19" s="1"/>
  <c r="E91" i="19" a="1"/>
  <c r="E91" i="19" s="1"/>
  <c r="D91" i="19" a="1"/>
  <c r="D91" i="19" s="1"/>
  <c r="C91" i="19" a="1"/>
  <c r="C91" i="19" s="1"/>
  <c r="B91" i="19" a="1"/>
  <c r="B91" i="19" s="1"/>
  <c r="U90" i="19" a="1"/>
  <c r="U90" i="19" s="1"/>
  <c r="T90" i="19" a="1"/>
  <c r="T90" i="19" s="1"/>
  <c r="S90" i="19" a="1"/>
  <c r="S90" i="19" s="1"/>
  <c r="Q90" i="19" a="1"/>
  <c r="Q90" i="19" s="1"/>
  <c r="P90" i="19"/>
  <c r="O90" i="19" a="1"/>
  <c r="O90" i="19" s="1"/>
  <c r="N90" i="19" a="1"/>
  <c r="N90" i="19" s="1"/>
  <c r="L90" i="19" a="1"/>
  <c r="L90" i="19" s="1"/>
  <c r="K90" i="19"/>
  <c r="J90" i="19" a="1"/>
  <c r="J90" i="19" s="1"/>
  <c r="I90" i="19" a="1"/>
  <c r="I90" i="19" s="1"/>
  <c r="H90" i="19" a="1"/>
  <c r="H90" i="19" s="1"/>
  <c r="G90" i="19" a="1"/>
  <c r="G90" i="19" s="1"/>
  <c r="F90" i="19" a="1"/>
  <c r="F90" i="19" s="1"/>
  <c r="E90" i="19" a="1"/>
  <c r="E90" i="19" s="1"/>
  <c r="D90" i="19" a="1"/>
  <c r="D90" i="19" s="1"/>
  <c r="C90" i="19" a="1"/>
  <c r="C90" i="19" s="1"/>
  <c r="B90" i="19" a="1"/>
  <c r="B90" i="19" s="1"/>
  <c r="U89" i="19" a="1"/>
  <c r="U89" i="19" s="1"/>
  <c r="T89" i="19" a="1"/>
  <c r="T89" i="19" s="1"/>
  <c r="S89" i="19" a="1"/>
  <c r="S89" i="19" s="1"/>
  <c r="Q89" i="19" a="1"/>
  <c r="Q89" i="19" s="1"/>
  <c r="P89" i="19"/>
  <c r="O89" i="19" a="1"/>
  <c r="O89" i="19" s="1"/>
  <c r="N89" i="19" a="1"/>
  <c r="N89" i="19" s="1"/>
  <c r="L89" i="19" a="1"/>
  <c r="L89" i="19" s="1"/>
  <c r="K89" i="19"/>
  <c r="J89" i="19" a="1"/>
  <c r="J89" i="19" s="1"/>
  <c r="I89" i="19" a="1"/>
  <c r="I89" i="19" s="1"/>
  <c r="H89" i="19" a="1"/>
  <c r="H89" i="19" s="1"/>
  <c r="G89" i="19" a="1"/>
  <c r="G89" i="19" s="1"/>
  <c r="F89" i="19" a="1"/>
  <c r="F89" i="19" s="1"/>
  <c r="E89" i="19" a="1"/>
  <c r="E89" i="19" s="1"/>
  <c r="D89" i="19" a="1"/>
  <c r="D89" i="19" s="1"/>
  <c r="C89" i="19" a="1"/>
  <c r="C89" i="19" s="1"/>
  <c r="B89" i="19" a="1"/>
  <c r="B89" i="19" s="1"/>
  <c r="U88" i="19" a="1"/>
  <c r="U88" i="19" s="1"/>
  <c r="T88" i="19" a="1"/>
  <c r="T88" i="19" s="1"/>
  <c r="S88" i="19" a="1"/>
  <c r="S88" i="19" s="1"/>
  <c r="Q88" i="19" a="1"/>
  <c r="Q88" i="19" s="1"/>
  <c r="P88" i="19"/>
  <c r="O88" i="19" a="1"/>
  <c r="O88" i="19" s="1"/>
  <c r="N88" i="19" a="1"/>
  <c r="N88" i="19" s="1"/>
  <c r="L88" i="19" a="1"/>
  <c r="L88" i="19" s="1"/>
  <c r="K88" i="19"/>
  <c r="J88" i="19" a="1"/>
  <c r="J88" i="19" s="1"/>
  <c r="I88" i="19" a="1"/>
  <c r="I88" i="19" s="1"/>
  <c r="H88" i="19" a="1"/>
  <c r="H88" i="19" s="1"/>
  <c r="G88" i="19" a="1"/>
  <c r="G88" i="19" s="1"/>
  <c r="F88" i="19" a="1"/>
  <c r="F88" i="19" s="1"/>
  <c r="E88" i="19" a="1"/>
  <c r="E88" i="19" s="1"/>
  <c r="D88" i="19" a="1"/>
  <c r="D88" i="19" s="1"/>
  <c r="C88" i="19" a="1"/>
  <c r="C88" i="19" s="1"/>
  <c r="B88" i="19" a="1"/>
  <c r="B88" i="19" s="1"/>
  <c r="U87" i="19" a="1"/>
  <c r="U87" i="19" s="1"/>
  <c r="T87" i="19" a="1"/>
  <c r="T87" i="19" s="1"/>
  <c r="S87" i="19" a="1"/>
  <c r="S87" i="19" s="1"/>
  <c r="Q87" i="19" a="1"/>
  <c r="Q87" i="19" s="1"/>
  <c r="P87" i="19"/>
  <c r="O87" i="19" a="1"/>
  <c r="O87" i="19" s="1"/>
  <c r="N87" i="19" a="1"/>
  <c r="N87" i="19" s="1"/>
  <c r="L87" i="19" a="1"/>
  <c r="L87" i="19" s="1"/>
  <c r="K87" i="19"/>
  <c r="J87" i="19" a="1"/>
  <c r="J87" i="19" s="1"/>
  <c r="I87" i="19" a="1"/>
  <c r="I87" i="19" s="1"/>
  <c r="H87" i="19" a="1"/>
  <c r="H87" i="19" s="1"/>
  <c r="G87" i="19" a="1"/>
  <c r="G87" i="19" s="1"/>
  <c r="F87" i="19" a="1"/>
  <c r="F87" i="19" s="1"/>
  <c r="E87" i="19" a="1"/>
  <c r="E87" i="19" s="1"/>
  <c r="D87" i="19" a="1"/>
  <c r="D87" i="19" s="1"/>
  <c r="C87" i="19" a="1"/>
  <c r="C87" i="19" s="1"/>
  <c r="B87" i="19" a="1"/>
  <c r="B87" i="19" s="1"/>
  <c r="U86" i="19" a="1"/>
  <c r="U86" i="19" s="1"/>
  <c r="T86" i="19" a="1"/>
  <c r="T86" i="19" s="1"/>
  <c r="S86" i="19" a="1"/>
  <c r="S86" i="19" s="1"/>
  <c r="Q86" i="19" a="1"/>
  <c r="Q86" i="19" s="1"/>
  <c r="P86" i="19"/>
  <c r="O86" i="19" a="1"/>
  <c r="O86" i="19" s="1"/>
  <c r="N86" i="19" a="1"/>
  <c r="N86" i="19" s="1"/>
  <c r="L86" i="19" a="1"/>
  <c r="L86" i="19" s="1"/>
  <c r="K86" i="19"/>
  <c r="J86" i="19" a="1"/>
  <c r="J86" i="19" s="1"/>
  <c r="I86" i="19" a="1"/>
  <c r="I86" i="19" s="1"/>
  <c r="H86" i="19" a="1"/>
  <c r="H86" i="19" s="1"/>
  <c r="G86" i="19" a="1"/>
  <c r="G86" i="19" s="1"/>
  <c r="F86" i="19" a="1"/>
  <c r="F86" i="19" s="1"/>
  <c r="E86" i="19" a="1"/>
  <c r="E86" i="19" s="1"/>
  <c r="D86" i="19" a="1"/>
  <c r="D86" i="19" s="1"/>
  <c r="C86" i="19" a="1"/>
  <c r="C86" i="19" s="1"/>
  <c r="B86" i="19" a="1"/>
  <c r="B86" i="19" s="1"/>
  <c r="U85" i="19" a="1"/>
  <c r="U85" i="19" s="1"/>
  <c r="T85" i="19" a="1"/>
  <c r="T85" i="19" s="1"/>
  <c r="S85" i="19" a="1"/>
  <c r="S85" i="19" s="1"/>
  <c r="Q85" i="19" a="1"/>
  <c r="Q85" i="19" s="1"/>
  <c r="P85" i="19"/>
  <c r="O85" i="19" a="1"/>
  <c r="O85" i="19" s="1"/>
  <c r="N85" i="19" a="1"/>
  <c r="N85" i="19" s="1"/>
  <c r="L85" i="19" a="1"/>
  <c r="L85" i="19" s="1"/>
  <c r="K85" i="19"/>
  <c r="J85" i="19" a="1"/>
  <c r="J85" i="19" s="1"/>
  <c r="I85" i="19" a="1"/>
  <c r="I85" i="19" s="1"/>
  <c r="H85" i="19" a="1"/>
  <c r="H85" i="19" s="1"/>
  <c r="G85" i="19" a="1"/>
  <c r="G85" i="19" s="1"/>
  <c r="F85" i="19" a="1"/>
  <c r="F85" i="19" s="1"/>
  <c r="E85" i="19" a="1"/>
  <c r="E85" i="19" s="1"/>
  <c r="D85" i="19" a="1"/>
  <c r="D85" i="19" s="1"/>
  <c r="C85" i="19" a="1"/>
  <c r="C85" i="19" s="1"/>
  <c r="B85" i="19" a="1"/>
  <c r="B85" i="19" s="1"/>
  <c r="U84" i="19" a="1"/>
  <c r="U84" i="19" s="1"/>
  <c r="T84" i="19" a="1"/>
  <c r="T84" i="19" s="1"/>
  <c r="S84" i="19" a="1"/>
  <c r="S84" i="19" s="1"/>
  <c r="Q84" i="19" a="1"/>
  <c r="Q84" i="19" s="1"/>
  <c r="P84" i="19"/>
  <c r="O84" i="19" a="1"/>
  <c r="O84" i="19" s="1"/>
  <c r="N84" i="19" a="1"/>
  <c r="N84" i="19" s="1"/>
  <c r="L84" i="19" a="1"/>
  <c r="L84" i="19" s="1"/>
  <c r="K84" i="19"/>
  <c r="J84" i="19" a="1"/>
  <c r="J84" i="19" s="1"/>
  <c r="I84" i="19" a="1"/>
  <c r="I84" i="19" s="1"/>
  <c r="H84" i="19" a="1"/>
  <c r="H84" i="19" s="1"/>
  <c r="G84" i="19" a="1"/>
  <c r="G84" i="19" s="1"/>
  <c r="F84" i="19" a="1"/>
  <c r="F84" i="19" s="1"/>
  <c r="E84" i="19" a="1"/>
  <c r="E84" i="19" s="1"/>
  <c r="D84" i="19" a="1"/>
  <c r="D84" i="19" s="1"/>
  <c r="C84" i="19" a="1"/>
  <c r="C84" i="19" s="1"/>
  <c r="B84" i="19" a="1"/>
  <c r="B84" i="19" s="1"/>
  <c r="U83" i="19" a="1"/>
  <c r="U83" i="19" s="1"/>
  <c r="T83" i="19" a="1"/>
  <c r="T83" i="19" s="1"/>
  <c r="S83" i="19" a="1"/>
  <c r="S83" i="19" s="1"/>
  <c r="Q83" i="19" a="1"/>
  <c r="Q83" i="19" s="1"/>
  <c r="P83" i="19"/>
  <c r="O83" i="19" a="1"/>
  <c r="O83" i="19" s="1"/>
  <c r="N83" i="19" a="1"/>
  <c r="N83" i="19" s="1"/>
  <c r="L83" i="19" a="1"/>
  <c r="L83" i="19" s="1"/>
  <c r="K83" i="19"/>
  <c r="J83" i="19" a="1"/>
  <c r="J83" i="19" s="1"/>
  <c r="I83" i="19" a="1"/>
  <c r="I83" i="19" s="1"/>
  <c r="H83" i="19" a="1"/>
  <c r="H83" i="19" s="1"/>
  <c r="G83" i="19" a="1"/>
  <c r="G83" i="19" s="1"/>
  <c r="F83" i="19" a="1"/>
  <c r="F83" i="19" s="1"/>
  <c r="E83" i="19" a="1"/>
  <c r="E83" i="19" s="1"/>
  <c r="D83" i="19" a="1"/>
  <c r="D83" i="19" s="1"/>
  <c r="C83" i="19" a="1"/>
  <c r="C83" i="19" s="1"/>
  <c r="B83" i="19" a="1"/>
  <c r="B83" i="19" s="1"/>
  <c r="U82" i="19" a="1"/>
  <c r="U82" i="19" s="1"/>
  <c r="T82" i="19" a="1"/>
  <c r="T82" i="19" s="1"/>
  <c r="S82" i="19" a="1"/>
  <c r="S82" i="19" s="1"/>
  <c r="Q82" i="19" a="1"/>
  <c r="Q82" i="19" s="1"/>
  <c r="P82" i="19"/>
  <c r="O82" i="19" a="1"/>
  <c r="O82" i="19" s="1"/>
  <c r="N82" i="19" a="1"/>
  <c r="N82" i="19" s="1"/>
  <c r="L82" i="19" a="1"/>
  <c r="L82" i="19" s="1"/>
  <c r="K82" i="19"/>
  <c r="J82" i="19" a="1"/>
  <c r="J82" i="19" s="1"/>
  <c r="I82" i="19" a="1"/>
  <c r="I82" i="19" s="1"/>
  <c r="H82" i="19" a="1"/>
  <c r="H82" i="19" s="1"/>
  <c r="G82" i="19" a="1"/>
  <c r="G82" i="19" s="1"/>
  <c r="F82" i="19" a="1"/>
  <c r="F82" i="19" s="1"/>
  <c r="E82" i="19" a="1"/>
  <c r="E82" i="19" s="1"/>
  <c r="D82" i="19" a="1"/>
  <c r="D82" i="19" s="1"/>
  <c r="C82" i="19" a="1"/>
  <c r="C82" i="19" s="1"/>
  <c r="B82" i="19" a="1"/>
  <c r="B82" i="19" s="1"/>
  <c r="U81" i="19" a="1"/>
  <c r="U81" i="19" s="1"/>
  <c r="T81" i="19" a="1"/>
  <c r="T81" i="19" s="1"/>
  <c r="S81" i="19" a="1"/>
  <c r="S81" i="19" s="1"/>
  <c r="Q81" i="19" a="1"/>
  <c r="Q81" i="19" s="1"/>
  <c r="P81" i="19"/>
  <c r="O81" i="19" a="1"/>
  <c r="O81" i="19" s="1"/>
  <c r="N81" i="19" a="1"/>
  <c r="N81" i="19" s="1"/>
  <c r="L81" i="19" a="1"/>
  <c r="L81" i="19" s="1"/>
  <c r="K81" i="19"/>
  <c r="J81" i="19" a="1"/>
  <c r="J81" i="19" s="1"/>
  <c r="I81" i="19" a="1"/>
  <c r="I81" i="19" s="1"/>
  <c r="H81" i="19" a="1"/>
  <c r="H81" i="19" s="1"/>
  <c r="G81" i="19" a="1"/>
  <c r="G81" i="19" s="1"/>
  <c r="F81" i="19" a="1"/>
  <c r="F81" i="19" s="1"/>
  <c r="E81" i="19" a="1"/>
  <c r="E81" i="19" s="1"/>
  <c r="D81" i="19" a="1"/>
  <c r="D81" i="19" s="1"/>
  <c r="C81" i="19" a="1"/>
  <c r="C81" i="19" s="1"/>
  <c r="B81" i="19" a="1"/>
  <c r="B81" i="19" s="1"/>
  <c r="U80" i="19" a="1"/>
  <c r="U80" i="19" s="1"/>
  <c r="T80" i="19" a="1"/>
  <c r="T80" i="19" s="1"/>
  <c r="S80" i="19" a="1"/>
  <c r="S80" i="19" s="1"/>
  <c r="Q80" i="19" a="1"/>
  <c r="Q80" i="19" s="1"/>
  <c r="P80" i="19"/>
  <c r="O80" i="19" a="1"/>
  <c r="O80" i="19" s="1"/>
  <c r="N80" i="19" a="1"/>
  <c r="N80" i="19" s="1"/>
  <c r="L80" i="19" a="1"/>
  <c r="L80" i="19" s="1"/>
  <c r="K80" i="19"/>
  <c r="J80" i="19" a="1"/>
  <c r="J80" i="19" s="1"/>
  <c r="I80" i="19" a="1"/>
  <c r="I80" i="19" s="1"/>
  <c r="H80" i="19" a="1"/>
  <c r="H80" i="19" s="1"/>
  <c r="G80" i="19" a="1"/>
  <c r="G80" i="19" s="1"/>
  <c r="F80" i="19" a="1"/>
  <c r="F80" i="19" s="1"/>
  <c r="E80" i="19" a="1"/>
  <c r="E80" i="19" s="1"/>
  <c r="D80" i="19" a="1"/>
  <c r="D80" i="19" s="1"/>
  <c r="C80" i="19" a="1"/>
  <c r="C80" i="19" s="1"/>
  <c r="B80" i="19" a="1"/>
  <c r="B80" i="19" s="1"/>
  <c r="U79" i="19" a="1"/>
  <c r="U79" i="19" s="1"/>
  <c r="T79" i="19" a="1"/>
  <c r="T79" i="19" s="1"/>
  <c r="S79" i="19" a="1"/>
  <c r="S79" i="19" s="1"/>
  <c r="Q79" i="19" a="1"/>
  <c r="Q79" i="19" s="1"/>
  <c r="P79" i="19"/>
  <c r="O79" i="19" a="1"/>
  <c r="O79" i="19" s="1"/>
  <c r="N79" i="19" a="1"/>
  <c r="N79" i="19" s="1"/>
  <c r="L79" i="19" a="1"/>
  <c r="L79" i="19" s="1"/>
  <c r="K79" i="19"/>
  <c r="J79" i="19" a="1"/>
  <c r="J79" i="19" s="1"/>
  <c r="I79" i="19" a="1"/>
  <c r="I79" i="19" s="1"/>
  <c r="H79" i="19" a="1"/>
  <c r="H79" i="19" s="1"/>
  <c r="G79" i="19" a="1"/>
  <c r="G79" i="19" s="1"/>
  <c r="F79" i="19" a="1"/>
  <c r="F79" i="19" s="1"/>
  <c r="E79" i="19" a="1"/>
  <c r="E79" i="19" s="1"/>
  <c r="D79" i="19" a="1"/>
  <c r="D79" i="19" s="1"/>
  <c r="C79" i="19" a="1"/>
  <c r="C79" i="19" s="1"/>
  <c r="B79" i="19" a="1"/>
  <c r="B79" i="19" s="1"/>
  <c r="U78" i="19" a="1"/>
  <c r="U78" i="19" s="1"/>
  <c r="T78" i="19" a="1"/>
  <c r="T78" i="19" s="1"/>
  <c r="S78" i="19" a="1"/>
  <c r="S78" i="19" s="1"/>
  <c r="Q78" i="19" a="1"/>
  <c r="Q78" i="19" s="1"/>
  <c r="P78" i="19"/>
  <c r="O78" i="19" a="1"/>
  <c r="O78" i="19" s="1"/>
  <c r="N78" i="19" a="1"/>
  <c r="N78" i="19" s="1"/>
  <c r="L78" i="19" a="1"/>
  <c r="L78" i="19" s="1"/>
  <c r="K78" i="19"/>
  <c r="J78" i="19" a="1"/>
  <c r="J78" i="19" s="1"/>
  <c r="I78" i="19" a="1"/>
  <c r="I78" i="19" s="1"/>
  <c r="H78" i="19" a="1"/>
  <c r="H78" i="19" s="1"/>
  <c r="G78" i="19" a="1"/>
  <c r="G78" i="19" s="1"/>
  <c r="F78" i="19" a="1"/>
  <c r="F78" i="19" s="1"/>
  <c r="E78" i="19" a="1"/>
  <c r="E78" i="19" s="1"/>
  <c r="D78" i="19" a="1"/>
  <c r="D78" i="19" s="1"/>
  <c r="C78" i="19" a="1"/>
  <c r="C78" i="19" s="1"/>
  <c r="B78" i="19" a="1"/>
  <c r="B78" i="19" s="1"/>
  <c r="U77" i="19" a="1"/>
  <c r="U77" i="19" s="1"/>
  <c r="T77" i="19" a="1"/>
  <c r="T77" i="19" s="1"/>
  <c r="S77" i="19" a="1"/>
  <c r="S77" i="19" s="1"/>
  <c r="Q77" i="19" a="1"/>
  <c r="Q77" i="19" s="1"/>
  <c r="P77" i="19"/>
  <c r="O77" i="19" a="1"/>
  <c r="O77" i="19" s="1"/>
  <c r="N77" i="19" a="1"/>
  <c r="N77" i="19" s="1"/>
  <c r="L77" i="19" a="1"/>
  <c r="L77" i="19" s="1"/>
  <c r="K77" i="19"/>
  <c r="J77" i="19" a="1"/>
  <c r="J77" i="19" s="1"/>
  <c r="I77" i="19" a="1"/>
  <c r="I77" i="19" s="1"/>
  <c r="H77" i="19" a="1"/>
  <c r="H77" i="19" s="1"/>
  <c r="G77" i="19" a="1"/>
  <c r="G77" i="19" s="1"/>
  <c r="F77" i="19" a="1"/>
  <c r="F77" i="19" s="1"/>
  <c r="E77" i="19" a="1"/>
  <c r="E77" i="19" s="1"/>
  <c r="D77" i="19" a="1"/>
  <c r="D77" i="19" s="1"/>
  <c r="C77" i="19" a="1"/>
  <c r="C77" i="19" s="1"/>
  <c r="B77" i="19" a="1"/>
  <c r="B77" i="19" s="1"/>
  <c r="U76" i="19" a="1"/>
  <c r="U76" i="19" s="1"/>
  <c r="T76" i="19" a="1"/>
  <c r="T76" i="19" s="1"/>
  <c r="S76" i="19" a="1"/>
  <c r="S76" i="19" s="1"/>
  <c r="Q76" i="19" a="1"/>
  <c r="Q76" i="19" s="1"/>
  <c r="P76" i="19"/>
  <c r="O76" i="19" a="1"/>
  <c r="O76" i="19" s="1"/>
  <c r="N76" i="19" a="1"/>
  <c r="N76" i="19" s="1"/>
  <c r="L76" i="19" a="1"/>
  <c r="L76" i="19" s="1"/>
  <c r="K76" i="19"/>
  <c r="J76" i="19" a="1"/>
  <c r="J76" i="19" s="1"/>
  <c r="I76" i="19" a="1"/>
  <c r="I76" i="19" s="1"/>
  <c r="H76" i="19" a="1"/>
  <c r="H76" i="19" s="1"/>
  <c r="G76" i="19" a="1"/>
  <c r="G76" i="19" s="1"/>
  <c r="F76" i="19" a="1"/>
  <c r="F76" i="19" s="1"/>
  <c r="E76" i="19" a="1"/>
  <c r="E76" i="19" s="1"/>
  <c r="D76" i="19" a="1"/>
  <c r="D76" i="19" s="1"/>
  <c r="C76" i="19" a="1"/>
  <c r="C76" i="19" s="1"/>
  <c r="B76" i="19" a="1"/>
  <c r="B76" i="19" s="1"/>
  <c r="U75" i="19" a="1"/>
  <c r="U75" i="19" s="1"/>
  <c r="T75" i="19" a="1"/>
  <c r="T75" i="19" s="1"/>
  <c r="S75" i="19" a="1"/>
  <c r="S75" i="19" s="1"/>
  <c r="Q75" i="19" a="1"/>
  <c r="Q75" i="19" s="1"/>
  <c r="P75" i="19"/>
  <c r="O75" i="19" a="1"/>
  <c r="O75" i="19" s="1"/>
  <c r="N75" i="19" a="1"/>
  <c r="N75" i="19" s="1"/>
  <c r="L75" i="19" a="1"/>
  <c r="L75" i="19" s="1"/>
  <c r="K75" i="19"/>
  <c r="J75" i="19" a="1"/>
  <c r="J75" i="19" s="1"/>
  <c r="I75" i="19" a="1"/>
  <c r="I75" i="19" s="1"/>
  <c r="H75" i="19" a="1"/>
  <c r="H75" i="19" s="1"/>
  <c r="G75" i="19" a="1"/>
  <c r="G75" i="19" s="1"/>
  <c r="F75" i="19" a="1"/>
  <c r="F75" i="19" s="1"/>
  <c r="E75" i="19" a="1"/>
  <c r="E75" i="19" s="1"/>
  <c r="D75" i="19" a="1"/>
  <c r="D75" i="19" s="1"/>
  <c r="C75" i="19" a="1"/>
  <c r="C75" i="19" s="1"/>
  <c r="B75" i="19" a="1"/>
  <c r="B75" i="19" s="1"/>
  <c r="U74" i="19" a="1"/>
  <c r="U74" i="19" s="1"/>
  <c r="T74" i="19" a="1"/>
  <c r="T74" i="19" s="1"/>
  <c r="S74" i="19" a="1"/>
  <c r="S74" i="19" s="1"/>
  <c r="Q74" i="19" a="1"/>
  <c r="Q74" i="19" s="1"/>
  <c r="P74" i="19"/>
  <c r="O74" i="19" a="1"/>
  <c r="O74" i="19" s="1"/>
  <c r="N74" i="19" a="1"/>
  <c r="N74" i="19" s="1"/>
  <c r="L74" i="19" a="1"/>
  <c r="L74" i="19" s="1"/>
  <c r="K74" i="19"/>
  <c r="J74" i="19" a="1"/>
  <c r="J74" i="19" s="1"/>
  <c r="I74" i="19" a="1"/>
  <c r="I74" i="19" s="1"/>
  <c r="H74" i="19" a="1"/>
  <c r="H74" i="19" s="1"/>
  <c r="G74" i="19" a="1"/>
  <c r="G74" i="19" s="1"/>
  <c r="F74" i="19" a="1"/>
  <c r="F74" i="19" s="1"/>
  <c r="E74" i="19" a="1"/>
  <c r="E74" i="19" s="1"/>
  <c r="D74" i="19" a="1"/>
  <c r="D74" i="19" s="1"/>
  <c r="C74" i="19" a="1"/>
  <c r="C74" i="19" s="1"/>
  <c r="B74" i="19" a="1"/>
  <c r="B74" i="19" s="1"/>
  <c r="U73" i="19" a="1"/>
  <c r="U73" i="19" s="1"/>
  <c r="T73" i="19" a="1"/>
  <c r="T73" i="19" s="1"/>
  <c r="S73" i="19" a="1"/>
  <c r="S73" i="19" s="1"/>
  <c r="Q73" i="19" a="1"/>
  <c r="Q73" i="19" s="1"/>
  <c r="P73" i="19"/>
  <c r="O73" i="19" a="1"/>
  <c r="O73" i="19" s="1"/>
  <c r="N73" i="19" a="1"/>
  <c r="N73" i="19" s="1"/>
  <c r="L73" i="19" a="1"/>
  <c r="L73" i="19" s="1"/>
  <c r="K73" i="19"/>
  <c r="J73" i="19" a="1"/>
  <c r="J73" i="19" s="1"/>
  <c r="I73" i="19" a="1"/>
  <c r="I73" i="19" s="1"/>
  <c r="H73" i="19" a="1"/>
  <c r="H73" i="19" s="1"/>
  <c r="G73" i="19" a="1"/>
  <c r="G73" i="19" s="1"/>
  <c r="F73" i="19" a="1"/>
  <c r="F73" i="19" s="1"/>
  <c r="E73" i="19" a="1"/>
  <c r="E73" i="19" s="1"/>
  <c r="D73" i="19" a="1"/>
  <c r="D73" i="19" s="1"/>
  <c r="C73" i="19" a="1"/>
  <c r="C73" i="19" s="1"/>
  <c r="B73" i="19" a="1"/>
  <c r="B73" i="19" s="1"/>
  <c r="U72" i="19" a="1"/>
  <c r="U72" i="19" s="1"/>
  <c r="T72" i="19" a="1"/>
  <c r="T72" i="19" s="1"/>
  <c r="S72" i="19" a="1"/>
  <c r="S72" i="19" s="1"/>
  <c r="Q72" i="19" a="1"/>
  <c r="Q72" i="19" s="1"/>
  <c r="P72" i="19"/>
  <c r="O72" i="19" a="1"/>
  <c r="O72" i="19" s="1"/>
  <c r="N72" i="19" a="1"/>
  <c r="N72" i="19" s="1"/>
  <c r="L72" i="19" a="1"/>
  <c r="L72" i="19" s="1"/>
  <c r="K72" i="19"/>
  <c r="J72" i="19" a="1"/>
  <c r="J72" i="19" s="1"/>
  <c r="I72" i="19" a="1"/>
  <c r="I72" i="19" s="1"/>
  <c r="H72" i="19" a="1"/>
  <c r="H72" i="19" s="1"/>
  <c r="G72" i="19" a="1"/>
  <c r="G72" i="19" s="1"/>
  <c r="F72" i="19" a="1"/>
  <c r="F72" i="19" s="1"/>
  <c r="E72" i="19" a="1"/>
  <c r="E72" i="19" s="1"/>
  <c r="D72" i="19" a="1"/>
  <c r="D72" i="19" s="1"/>
  <c r="C72" i="19" a="1"/>
  <c r="C72" i="19" s="1"/>
  <c r="B72" i="19" a="1"/>
  <c r="B72" i="19" s="1"/>
  <c r="U71" i="19" a="1"/>
  <c r="U71" i="19" s="1"/>
  <c r="T71" i="19" a="1"/>
  <c r="T71" i="19" s="1"/>
  <c r="S71" i="19" a="1"/>
  <c r="S71" i="19" s="1"/>
  <c r="Q71" i="19" a="1"/>
  <c r="Q71" i="19" s="1"/>
  <c r="P71" i="19"/>
  <c r="O71" i="19" a="1"/>
  <c r="O71" i="19" s="1"/>
  <c r="N71" i="19" a="1"/>
  <c r="N71" i="19" s="1"/>
  <c r="L71" i="19" a="1"/>
  <c r="L71" i="19" s="1"/>
  <c r="K71" i="19"/>
  <c r="J71" i="19" a="1"/>
  <c r="J71" i="19" s="1"/>
  <c r="I71" i="19" a="1"/>
  <c r="I71" i="19" s="1"/>
  <c r="H71" i="19" a="1"/>
  <c r="H71" i="19" s="1"/>
  <c r="G71" i="19" a="1"/>
  <c r="G71" i="19" s="1"/>
  <c r="F71" i="19" a="1"/>
  <c r="F71" i="19" s="1"/>
  <c r="E71" i="19" a="1"/>
  <c r="E71" i="19" s="1"/>
  <c r="D71" i="19" a="1"/>
  <c r="D71" i="19" s="1"/>
  <c r="C71" i="19" a="1"/>
  <c r="C71" i="19" s="1"/>
  <c r="B71" i="19" a="1"/>
  <c r="B71" i="19" s="1"/>
  <c r="U70" i="19" a="1"/>
  <c r="U70" i="19" s="1"/>
  <c r="T70" i="19" a="1"/>
  <c r="T70" i="19" s="1"/>
  <c r="S70" i="19" a="1"/>
  <c r="S70" i="19" s="1"/>
  <c r="Q70" i="19" a="1"/>
  <c r="Q70" i="19" s="1"/>
  <c r="P70" i="19"/>
  <c r="O70" i="19" a="1"/>
  <c r="O70" i="19" s="1"/>
  <c r="N70" i="19" a="1"/>
  <c r="N70" i="19" s="1"/>
  <c r="L70" i="19" a="1"/>
  <c r="L70" i="19" s="1"/>
  <c r="K70" i="19"/>
  <c r="J70" i="19" a="1"/>
  <c r="J70" i="19" s="1"/>
  <c r="I70" i="19" a="1"/>
  <c r="I70" i="19" s="1"/>
  <c r="H70" i="19" a="1"/>
  <c r="H70" i="19" s="1"/>
  <c r="G70" i="19" a="1"/>
  <c r="G70" i="19" s="1"/>
  <c r="F70" i="19" a="1"/>
  <c r="F70" i="19" s="1"/>
  <c r="E70" i="19" a="1"/>
  <c r="E70" i="19" s="1"/>
  <c r="D70" i="19" a="1"/>
  <c r="D70" i="19" s="1"/>
  <c r="C70" i="19" a="1"/>
  <c r="C70" i="19" s="1"/>
  <c r="B70" i="19" a="1"/>
  <c r="B70" i="19" s="1"/>
  <c r="U69" i="19" a="1"/>
  <c r="U69" i="19" s="1"/>
  <c r="T69" i="19" a="1"/>
  <c r="T69" i="19" s="1"/>
  <c r="S69" i="19" a="1"/>
  <c r="S69" i="19" s="1"/>
  <c r="Q69" i="19" a="1"/>
  <c r="Q69" i="19" s="1"/>
  <c r="P69" i="19"/>
  <c r="O69" i="19" a="1"/>
  <c r="O69" i="19" s="1"/>
  <c r="N69" i="19" a="1"/>
  <c r="N69" i="19" s="1"/>
  <c r="L69" i="19" a="1"/>
  <c r="L69" i="19" s="1"/>
  <c r="K69" i="19"/>
  <c r="J69" i="19" a="1"/>
  <c r="J69" i="19" s="1"/>
  <c r="I69" i="19" a="1"/>
  <c r="I69" i="19" s="1"/>
  <c r="H69" i="19" a="1"/>
  <c r="H69" i="19" s="1"/>
  <c r="G69" i="19" a="1"/>
  <c r="G69" i="19" s="1"/>
  <c r="F69" i="19" a="1"/>
  <c r="F69" i="19" s="1"/>
  <c r="E69" i="19" a="1"/>
  <c r="E69" i="19" s="1"/>
  <c r="D69" i="19" a="1"/>
  <c r="D69" i="19" s="1"/>
  <c r="C69" i="19" a="1"/>
  <c r="C69" i="19" s="1"/>
  <c r="B69" i="19" a="1"/>
  <c r="B69" i="19" s="1"/>
  <c r="U68" i="19" a="1"/>
  <c r="U68" i="19" s="1"/>
  <c r="T68" i="19" a="1"/>
  <c r="T68" i="19" s="1"/>
  <c r="S68" i="19" a="1"/>
  <c r="S68" i="19" s="1"/>
  <c r="Q68" i="19" a="1"/>
  <c r="Q68" i="19" s="1"/>
  <c r="P68" i="19"/>
  <c r="O68" i="19" a="1"/>
  <c r="O68" i="19" s="1"/>
  <c r="N68" i="19" a="1"/>
  <c r="N68" i="19" s="1"/>
  <c r="L68" i="19" a="1"/>
  <c r="L68" i="19" s="1"/>
  <c r="K68" i="19"/>
  <c r="J68" i="19" a="1"/>
  <c r="J68" i="19" s="1"/>
  <c r="I68" i="19" a="1"/>
  <c r="I68" i="19" s="1"/>
  <c r="H68" i="19" a="1"/>
  <c r="H68" i="19" s="1"/>
  <c r="G68" i="19" a="1"/>
  <c r="G68" i="19" s="1"/>
  <c r="F68" i="19" a="1"/>
  <c r="F68" i="19" s="1"/>
  <c r="E68" i="19" a="1"/>
  <c r="E68" i="19" s="1"/>
  <c r="D68" i="19" a="1"/>
  <c r="D68" i="19" s="1"/>
  <c r="C68" i="19" a="1"/>
  <c r="C68" i="19" s="1"/>
  <c r="B68" i="19" a="1"/>
  <c r="B68" i="19" s="1"/>
  <c r="U67" i="19" a="1"/>
  <c r="U67" i="19" s="1"/>
  <c r="T67" i="19" a="1"/>
  <c r="T67" i="19" s="1"/>
  <c r="S67" i="19" a="1"/>
  <c r="S67" i="19" s="1"/>
  <c r="Q67" i="19" a="1"/>
  <c r="Q67" i="19" s="1"/>
  <c r="P67" i="19"/>
  <c r="O67" i="19" a="1"/>
  <c r="O67" i="19" s="1"/>
  <c r="N67" i="19" a="1"/>
  <c r="N67" i="19" s="1"/>
  <c r="L67" i="19" a="1"/>
  <c r="L67" i="19" s="1"/>
  <c r="K67" i="19"/>
  <c r="J67" i="19" a="1"/>
  <c r="J67" i="19" s="1"/>
  <c r="I67" i="19" a="1"/>
  <c r="I67" i="19" s="1"/>
  <c r="H67" i="19" a="1"/>
  <c r="H67" i="19" s="1"/>
  <c r="G67" i="19" a="1"/>
  <c r="G67" i="19" s="1"/>
  <c r="F67" i="19" a="1"/>
  <c r="F67" i="19" s="1"/>
  <c r="E67" i="19" a="1"/>
  <c r="E67" i="19" s="1"/>
  <c r="D67" i="19" a="1"/>
  <c r="D67" i="19" s="1"/>
  <c r="C67" i="19" a="1"/>
  <c r="C67" i="19" s="1"/>
  <c r="B67" i="19" a="1"/>
  <c r="B67" i="19" s="1"/>
  <c r="U66" i="19" a="1"/>
  <c r="U66" i="19" s="1"/>
  <c r="T66" i="19" a="1"/>
  <c r="T66" i="19" s="1"/>
  <c r="S66" i="19" a="1"/>
  <c r="S66" i="19" s="1"/>
  <c r="Q66" i="19" a="1"/>
  <c r="Q66" i="19" s="1"/>
  <c r="P66" i="19"/>
  <c r="O66" i="19" a="1"/>
  <c r="O66" i="19" s="1"/>
  <c r="N66" i="19" a="1"/>
  <c r="N66" i="19" s="1"/>
  <c r="L66" i="19" a="1"/>
  <c r="L66" i="19" s="1"/>
  <c r="K66" i="19"/>
  <c r="J66" i="19" a="1"/>
  <c r="J66" i="19" s="1"/>
  <c r="I66" i="19" a="1"/>
  <c r="I66" i="19" s="1"/>
  <c r="H66" i="19" a="1"/>
  <c r="H66" i="19" s="1"/>
  <c r="G66" i="19" a="1"/>
  <c r="G66" i="19" s="1"/>
  <c r="F66" i="19" a="1"/>
  <c r="F66" i="19" s="1"/>
  <c r="E66" i="19" a="1"/>
  <c r="E66" i="19" s="1"/>
  <c r="D66" i="19" a="1"/>
  <c r="D66" i="19" s="1"/>
  <c r="C66" i="19" a="1"/>
  <c r="C66" i="19" s="1"/>
  <c r="B66" i="19" a="1"/>
  <c r="B66" i="19" s="1"/>
  <c r="U65" i="19" a="1"/>
  <c r="U65" i="19" s="1"/>
  <c r="T65" i="19" a="1"/>
  <c r="T65" i="19" s="1"/>
  <c r="S65" i="19" a="1"/>
  <c r="S65" i="19" s="1"/>
  <c r="Q65" i="19" a="1"/>
  <c r="Q65" i="19" s="1"/>
  <c r="P65" i="19"/>
  <c r="O65" i="19" a="1"/>
  <c r="O65" i="19" s="1"/>
  <c r="N65" i="19" a="1"/>
  <c r="N65" i="19" s="1"/>
  <c r="L65" i="19" a="1"/>
  <c r="L65" i="19" s="1"/>
  <c r="K65" i="19"/>
  <c r="J65" i="19" a="1"/>
  <c r="J65" i="19" s="1"/>
  <c r="I65" i="19" a="1"/>
  <c r="I65" i="19" s="1"/>
  <c r="H65" i="19" a="1"/>
  <c r="H65" i="19" s="1"/>
  <c r="G65" i="19" a="1"/>
  <c r="G65" i="19" s="1"/>
  <c r="F65" i="19" a="1"/>
  <c r="F65" i="19" s="1"/>
  <c r="E65" i="19" a="1"/>
  <c r="E65" i="19" s="1"/>
  <c r="D65" i="19" a="1"/>
  <c r="D65" i="19" s="1"/>
  <c r="C65" i="19" a="1"/>
  <c r="C65" i="19" s="1"/>
  <c r="B65" i="19" a="1"/>
  <c r="B65" i="19" s="1"/>
  <c r="U64" i="19" a="1"/>
  <c r="U64" i="19" s="1"/>
  <c r="T64" i="19" a="1"/>
  <c r="T64" i="19" s="1"/>
  <c r="S64" i="19" a="1"/>
  <c r="S64" i="19" s="1"/>
  <c r="Q64" i="19" a="1"/>
  <c r="Q64" i="19" s="1"/>
  <c r="P64" i="19"/>
  <c r="O64" i="19" a="1"/>
  <c r="O64" i="19" s="1"/>
  <c r="N64" i="19" a="1"/>
  <c r="N64" i="19" s="1"/>
  <c r="L64" i="19" a="1"/>
  <c r="L64" i="19" s="1"/>
  <c r="K64" i="19"/>
  <c r="J64" i="19" a="1"/>
  <c r="J64" i="19" s="1"/>
  <c r="I64" i="19" a="1"/>
  <c r="I64" i="19" s="1"/>
  <c r="H64" i="19" a="1"/>
  <c r="H64" i="19" s="1"/>
  <c r="G64" i="19" a="1"/>
  <c r="G64" i="19" s="1"/>
  <c r="F64" i="19" a="1"/>
  <c r="F64" i="19" s="1"/>
  <c r="E64" i="19" a="1"/>
  <c r="E64" i="19" s="1"/>
  <c r="D64" i="19" a="1"/>
  <c r="D64" i="19" s="1"/>
  <c r="C64" i="19" a="1"/>
  <c r="C64" i="19" s="1"/>
  <c r="B64" i="19" a="1"/>
  <c r="B64" i="19" s="1"/>
  <c r="U63" i="19" a="1"/>
  <c r="U63" i="19" s="1"/>
  <c r="T63" i="19" a="1"/>
  <c r="T63" i="19" s="1"/>
  <c r="S63" i="19" a="1"/>
  <c r="S63" i="19" s="1"/>
  <c r="Q63" i="19" a="1"/>
  <c r="Q63" i="19" s="1"/>
  <c r="P63" i="19"/>
  <c r="O63" i="19" a="1"/>
  <c r="O63" i="19" s="1"/>
  <c r="N63" i="19" a="1"/>
  <c r="N63" i="19" s="1"/>
  <c r="L63" i="19" a="1"/>
  <c r="L63" i="19" s="1"/>
  <c r="K63" i="19"/>
  <c r="J63" i="19" a="1"/>
  <c r="J63" i="19" s="1"/>
  <c r="I63" i="19" a="1"/>
  <c r="I63" i="19" s="1"/>
  <c r="H63" i="19" a="1"/>
  <c r="H63" i="19" s="1"/>
  <c r="G63" i="19" a="1"/>
  <c r="G63" i="19" s="1"/>
  <c r="F63" i="19" a="1"/>
  <c r="F63" i="19" s="1"/>
  <c r="E63" i="19" a="1"/>
  <c r="E63" i="19" s="1"/>
  <c r="D63" i="19" a="1"/>
  <c r="D63" i="19" s="1"/>
  <c r="C63" i="19" a="1"/>
  <c r="C63" i="19" s="1"/>
  <c r="B63" i="19" a="1"/>
  <c r="B63" i="19" s="1"/>
  <c r="U62" i="19" a="1"/>
  <c r="U62" i="19" s="1"/>
  <c r="T62" i="19" a="1"/>
  <c r="T62" i="19" s="1"/>
  <c r="S62" i="19" a="1"/>
  <c r="S62" i="19" s="1"/>
  <c r="Q62" i="19" a="1"/>
  <c r="Q62" i="19" s="1"/>
  <c r="P62" i="19"/>
  <c r="O62" i="19" a="1"/>
  <c r="O62" i="19" s="1"/>
  <c r="N62" i="19" a="1"/>
  <c r="N62" i="19" s="1"/>
  <c r="L62" i="19" a="1"/>
  <c r="L62" i="19" s="1"/>
  <c r="K62" i="19"/>
  <c r="J62" i="19" a="1"/>
  <c r="J62" i="19" s="1"/>
  <c r="I62" i="19" a="1"/>
  <c r="I62" i="19" s="1"/>
  <c r="H62" i="19" a="1"/>
  <c r="H62" i="19" s="1"/>
  <c r="G62" i="19" a="1"/>
  <c r="G62" i="19" s="1"/>
  <c r="F62" i="19" a="1"/>
  <c r="F62" i="19" s="1"/>
  <c r="E62" i="19" a="1"/>
  <c r="E62" i="19" s="1"/>
  <c r="D62" i="19" a="1"/>
  <c r="D62" i="19" s="1"/>
  <c r="C62" i="19" a="1"/>
  <c r="C62" i="19" s="1"/>
  <c r="B62" i="19" a="1"/>
  <c r="B62" i="19" s="1"/>
  <c r="U61" i="19" a="1"/>
  <c r="U61" i="19" s="1"/>
  <c r="T61" i="19" a="1"/>
  <c r="T61" i="19" s="1"/>
  <c r="S61" i="19" a="1"/>
  <c r="S61" i="19" s="1"/>
  <c r="Q61" i="19" a="1"/>
  <c r="Q61" i="19" s="1"/>
  <c r="P61" i="19"/>
  <c r="O61" i="19" a="1"/>
  <c r="O61" i="19" s="1"/>
  <c r="N61" i="19" a="1"/>
  <c r="N61" i="19" s="1"/>
  <c r="L61" i="19" a="1"/>
  <c r="L61" i="19" s="1"/>
  <c r="K61" i="19"/>
  <c r="J61" i="19" a="1"/>
  <c r="J61" i="19" s="1"/>
  <c r="I61" i="19" a="1"/>
  <c r="I61" i="19" s="1"/>
  <c r="H61" i="19" a="1"/>
  <c r="H61" i="19" s="1"/>
  <c r="G61" i="19" a="1"/>
  <c r="G61" i="19" s="1"/>
  <c r="F61" i="19" a="1"/>
  <c r="F61" i="19" s="1"/>
  <c r="E61" i="19" a="1"/>
  <c r="E61" i="19" s="1"/>
  <c r="D61" i="19" a="1"/>
  <c r="D61" i="19" s="1"/>
  <c r="C61" i="19" a="1"/>
  <c r="C61" i="19" s="1"/>
  <c r="B61" i="19" a="1"/>
  <c r="B61" i="19" s="1"/>
  <c r="U60" i="19" a="1"/>
  <c r="U60" i="19" s="1"/>
  <c r="T60" i="19" a="1"/>
  <c r="T60" i="19" s="1"/>
  <c r="S60" i="19" a="1"/>
  <c r="S60" i="19" s="1"/>
  <c r="Q60" i="19" a="1"/>
  <c r="Q60" i="19" s="1"/>
  <c r="P60" i="19"/>
  <c r="O60" i="19" a="1"/>
  <c r="O60" i="19" s="1"/>
  <c r="N60" i="19" a="1"/>
  <c r="N60" i="19" s="1"/>
  <c r="L60" i="19" a="1"/>
  <c r="L60" i="19" s="1"/>
  <c r="K60" i="19"/>
  <c r="J60" i="19" a="1"/>
  <c r="J60" i="19" s="1"/>
  <c r="I60" i="19" a="1"/>
  <c r="I60" i="19" s="1"/>
  <c r="H60" i="19" a="1"/>
  <c r="H60" i="19" s="1"/>
  <c r="G60" i="19" a="1"/>
  <c r="G60" i="19" s="1"/>
  <c r="F60" i="19" a="1"/>
  <c r="F60" i="19" s="1"/>
  <c r="E60" i="19" a="1"/>
  <c r="E60" i="19" s="1"/>
  <c r="D60" i="19" a="1"/>
  <c r="D60" i="19" s="1"/>
  <c r="C60" i="19" a="1"/>
  <c r="C60" i="19" s="1"/>
  <c r="B60" i="19" a="1"/>
  <c r="B60" i="19" s="1"/>
  <c r="U59" i="19" a="1"/>
  <c r="U59" i="19" s="1"/>
  <c r="T59" i="19" a="1"/>
  <c r="T59" i="19" s="1"/>
  <c r="S59" i="19" a="1"/>
  <c r="S59" i="19" s="1"/>
  <c r="Q59" i="19" a="1"/>
  <c r="Q59" i="19" s="1"/>
  <c r="P59" i="19"/>
  <c r="O59" i="19" a="1"/>
  <c r="O59" i="19" s="1"/>
  <c r="N59" i="19" a="1"/>
  <c r="N59" i="19" s="1"/>
  <c r="L59" i="19" a="1"/>
  <c r="L59" i="19" s="1"/>
  <c r="K59" i="19"/>
  <c r="J59" i="19" a="1"/>
  <c r="J59" i="19" s="1"/>
  <c r="I59" i="19" a="1"/>
  <c r="I59" i="19" s="1"/>
  <c r="H59" i="19" a="1"/>
  <c r="H59" i="19" s="1"/>
  <c r="G59" i="19" a="1"/>
  <c r="G59" i="19" s="1"/>
  <c r="F59" i="19" a="1"/>
  <c r="F59" i="19" s="1"/>
  <c r="E59" i="19" a="1"/>
  <c r="E59" i="19" s="1"/>
  <c r="D59" i="19" a="1"/>
  <c r="D59" i="19" s="1"/>
  <c r="C59" i="19" a="1"/>
  <c r="C59" i="19" s="1"/>
  <c r="B59" i="19" a="1"/>
  <c r="B59" i="19" s="1"/>
  <c r="U58" i="19" a="1"/>
  <c r="U58" i="19" s="1"/>
  <c r="T58" i="19" a="1"/>
  <c r="T58" i="19" s="1"/>
  <c r="S58" i="19" a="1"/>
  <c r="S58" i="19" s="1"/>
  <c r="Q58" i="19" a="1"/>
  <c r="Q58" i="19" s="1"/>
  <c r="P58" i="19"/>
  <c r="O58" i="19" a="1"/>
  <c r="O58" i="19" s="1"/>
  <c r="N58" i="19" a="1"/>
  <c r="N58" i="19" s="1"/>
  <c r="L58" i="19" a="1"/>
  <c r="L58" i="19" s="1"/>
  <c r="K58" i="19"/>
  <c r="J58" i="19" a="1"/>
  <c r="J58" i="19" s="1"/>
  <c r="I58" i="19" a="1"/>
  <c r="I58" i="19" s="1"/>
  <c r="H58" i="19" a="1"/>
  <c r="H58" i="19" s="1"/>
  <c r="G58" i="19" a="1"/>
  <c r="G58" i="19" s="1"/>
  <c r="F58" i="19" a="1"/>
  <c r="F58" i="19" s="1"/>
  <c r="E58" i="19" a="1"/>
  <c r="E58" i="19" s="1"/>
  <c r="D58" i="19" a="1"/>
  <c r="D58" i="19" s="1"/>
  <c r="C58" i="19" a="1"/>
  <c r="C58" i="19" s="1"/>
  <c r="B58" i="19" a="1"/>
  <c r="B58" i="19" s="1"/>
  <c r="U57" i="19" a="1"/>
  <c r="U57" i="19" s="1"/>
  <c r="T57" i="19" a="1"/>
  <c r="T57" i="19" s="1"/>
  <c r="S57" i="19" a="1"/>
  <c r="S57" i="19" s="1"/>
  <c r="Q57" i="19" a="1"/>
  <c r="Q57" i="19" s="1"/>
  <c r="P57" i="19"/>
  <c r="O57" i="19" a="1"/>
  <c r="O57" i="19" s="1"/>
  <c r="N57" i="19" a="1"/>
  <c r="N57" i="19" s="1"/>
  <c r="L57" i="19" a="1"/>
  <c r="L57" i="19" s="1"/>
  <c r="K57" i="19"/>
  <c r="J57" i="19" a="1"/>
  <c r="J57" i="19" s="1"/>
  <c r="I57" i="19" a="1"/>
  <c r="I57" i="19" s="1"/>
  <c r="H57" i="19" a="1"/>
  <c r="H57" i="19" s="1"/>
  <c r="G57" i="19" a="1"/>
  <c r="G57" i="19" s="1"/>
  <c r="F57" i="19" a="1"/>
  <c r="F57" i="19" s="1"/>
  <c r="E57" i="19" a="1"/>
  <c r="E57" i="19" s="1"/>
  <c r="D57" i="19" a="1"/>
  <c r="D57" i="19" s="1"/>
  <c r="C57" i="19" a="1"/>
  <c r="C57" i="19" s="1"/>
  <c r="B57" i="19" a="1"/>
  <c r="B57" i="19" s="1"/>
  <c r="U56" i="19" a="1"/>
  <c r="U56" i="19" s="1"/>
  <c r="T56" i="19" a="1"/>
  <c r="T56" i="19" s="1"/>
  <c r="S56" i="19" a="1"/>
  <c r="S56" i="19" s="1"/>
  <c r="Q56" i="19" a="1"/>
  <c r="Q56" i="19" s="1"/>
  <c r="P56" i="19"/>
  <c r="O56" i="19" a="1"/>
  <c r="O56" i="19" s="1"/>
  <c r="N56" i="19" a="1"/>
  <c r="N56" i="19" s="1"/>
  <c r="L56" i="19" a="1"/>
  <c r="L56" i="19" s="1"/>
  <c r="K56" i="19"/>
  <c r="J56" i="19" a="1"/>
  <c r="J56" i="19" s="1"/>
  <c r="I56" i="19" a="1"/>
  <c r="I56" i="19" s="1"/>
  <c r="H56" i="19" a="1"/>
  <c r="H56" i="19" s="1"/>
  <c r="G56" i="19" a="1"/>
  <c r="G56" i="19" s="1"/>
  <c r="F56" i="19" a="1"/>
  <c r="F56" i="19" s="1"/>
  <c r="E56" i="19" a="1"/>
  <c r="E56" i="19" s="1"/>
  <c r="D56" i="19" a="1"/>
  <c r="D56" i="19" s="1"/>
  <c r="C56" i="19" a="1"/>
  <c r="C56" i="19" s="1"/>
  <c r="B56" i="19" a="1"/>
  <c r="B56" i="19" s="1"/>
  <c r="U55" i="19" a="1"/>
  <c r="U55" i="19" s="1"/>
  <c r="T55" i="19" a="1"/>
  <c r="T55" i="19" s="1"/>
  <c r="S55" i="19" a="1"/>
  <c r="S55" i="19" s="1"/>
  <c r="Q55" i="19" a="1"/>
  <c r="Q55" i="19" s="1"/>
  <c r="P55" i="19"/>
  <c r="O55" i="19" a="1"/>
  <c r="O55" i="19" s="1"/>
  <c r="N55" i="19" a="1"/>
  <c r="N55" i="19" s="1"/>
  <c r="L55" i="19" a="1"/>
  <c r="L55" i="19" s="1"/>
  <c r="K55" i="19"/>
  <c r="J55" i="19" a="1"/>
  <c r="J55" i="19" s="1"/>
  <c r="I55" i="19" a="1"/>
  <c r="I55" i="19" s="1"/>
  <c r="H55" i="19" a="1"/>
  <c r="H55" i="19" s="1"/>
  <c r="G55" i="19" a="1"/>
  <c r="G55" i="19" s="1"/>
  <c r="F55" i="19" a="1"/>
  <c r="F55" i="19" s="1"/>
  <c r="E55" i="19" a="1"/>
  <c r="E55" i="19" s="1"/>
  <c r="D55" i="19" a="1"/>
  <c r="D55" i="19" s="1"/>
  <c r="C55" i="19" a="1"/>
  <c r="C55" i="19" s="1"/>
  <c r="B55" i="19" a="1"/>
  <c r="B55" i="19" s="1"/>
  <c r="U54" i="19" a="1"/>
  <c r="U54" i="19" s="1"/>
  <c r="T54" i="19" a="1"/>
  <c r="T54" i="19" s="1"/>
  <c r="S54" i="19" a="1"/>
  <c r="S54" i="19" s="1"/>
  <c r="Q54" i="19" a="1"/>
  <c r="Q54" i="19" s="1"/>
  <c r="P54" i="19"/>
  <c r="O54" i="19" a="1"/>
  <c r="O54" i="19" s="1"/>
  <c r="N54" i="19" a="1"/>
  <c r="N54" i="19" s="1"/>
  <c r="L54" i="19" a="1"/>
  <c r="L54" i="19" s="1"/>
  <c r="K54" i="19"/>
  <c r="J54" i="19" a="1"/>
  <c r="J54" i="19" s="1"/>
  <c r="I54" i="19" a="1"/>
  <c r="I54" i="19" s="1"/>
  <c r="H54" i="19" a="1"/>
  <c r="H54" i="19" s="1"/>
  <c r="G54" i="19" a="1"/>
  <c r="G54" i="19" s="1"/>
  <c r="F54" i="19" a="1"/>
  <c r="F54" i="19" s="1"/>
  <c r="E54" i="19" a="1"/>
  <c r="E54" i="19" s="1"/>
  <c r="D54" i="19" a="1"/>
  <c r="D54" i="19" s="1"/>
  <c r="C54" i="19" a="1"/>
  <c r="C54" i="19" s="1"/>
  <c r="B54" i="19" a="1"/>
  <c r="B54" i="19" s="1"/>
  <c r="U53" i="19" a="1"/>
  <c r="U53" i="19" s="1"/>
  <c r="T53" i="19" a="1"/>
  <c r="T53" i="19" s="1"/>
  <c r="S53" i="19" a="1"/>
  <c r="S53" i="19" s="1"/>
  <c r="Q53" i="19" a="1"/>
  <c r="Q53" i="19" s="1"/>
  <c r="P53" i="19"/>
  <c r="O53" i="19" a="1"/>
  <c r="O53" i="19" s="1"/>
  <c r="N53" i="19" a="1"/>
  <c r="N53" i="19" s="1"/>
  <c r="L53" i="19" a="1"/>
  <c r="L53" i="19" s="1"/>
  <c r="K53" i="19"/>
  <c r="J53" i="19" a="1"/>
  <c r="J53" i="19" s="1"/>
  <c r="I53" i="19" a="1"/>
  <c r="I53" i="19" s="1"/>
  <c r="H53" i="19" a="1"/>
  <c r="H53" i="19" s="1"/>
  <c r="G53" i="19" a="1"/>
  <c r="G53" i="19" s="1"/>
  <c r="F53" i="19" a="1"/>
  <c r="F53" i="19" s="1"/>
  <c r="E53" i="19" a="1"/>
  <c r="E53" i="19" s="1"/>
  <c r="D53" i="19" a="1"/>
  <c r="D53" i="19" s="1"/>
  <c r="C53" i="19" a="1"/>
  <c r="C53" i="19" s="1"/>
  <c r="B53" i="19" a="1"/>
  <c r="B53" i="19" s="1"/>
  <c r="U52" i="19" a="1"/>
  <c r="U52" i="19" s="1"/>
  <c r="T52" i="19" a="1"/>
  <c r="T52" i="19" s="1"/>
  <c r="S52" i="19" a="1"/>
  <c r="S52" i="19" s="1"/>
  <c r="Q52" i="19" a="1"/>
  <c r="Q52" i="19" s="1"/>
  <c r="P52" i="19"/>
  <c r="O52" i="19" a="1"/>
  <c r="O52" i="19" s="1"/>
  <c r="N52" i="19" a="1"/>
  <c r="N52" i="19" s="1"/>
  <c r="L52" i="19" a="1"/>
  <c r="L52" i="19" s="1"/>
  <c r="K52" i="19"/>
  <c r="J52" i="19" a="1"/>
  <c r="J52" i="19" s="1"/>
  <c r="I52" i="19" a="1"/>
  <c r="I52" i="19" s="1"/>
  <c r="H52" i="19" a="1"/>
  <c r="H52" i="19" s="1"/>
  <c r="G52" i="19" a="1"/>
  <c r="G52" i="19" s="1"/>
  <c r="F52" i="19" a="1"/>
  <c r="F52" i="19" s="1"/>
  <c r="E52" i="19" a="1"/>
  <c r="E52" i="19" s="1"/>
  <c r="D52" i="19" a="1"/>
  <c r="D52" i="19" s="1"/>
  <c r="C52" i="19" a="1"/>
  <c r="C52" i="19" s="1"/>
  <c r="B52" i="19" a="1"/>
  <c r="B52" i="19" s="1"/>
  <c r="U51" i="19" a="1"/>
  <c r="U51" i="19" s="1"/>
  <c r="T51" i="19" a="1"/>
  <c r="T51" i="19" s="1"/>
  <c r="S51" i="19" a="1"/>
  <c r="S51" i="19" s="1"/>
  <c r="Q51" i="19" a="1"/>
  <c r="Q51" i="19" s="1"/>
  <c r="P51" i="19"/>
  <c r="O51" i="19" a="1"/>
  <c r="O51" i="19" s="1"/>
  <c r="N51" i="19" a="1"/>
  <c r="N51" i="19" s="1"/>
  <c r="L51" i="19" a="1"/>
  <c r="L51" i="19" s="1"/>
  <c r="K51" i="19"/>
  <c r="J51" i="19" a="1"/>
  <c r="J51" i="19" s="1"/>
  <c r="I51" i="19" a="1"/>
  <c r="I51" i="19" s="1"/>
  <c r="H51" i="19" a="1"/>
  <c r="H51" i="19" s="1"/>
  <c r="G51" i="19" a="1"/>
  <c r="G51" i="19" s="1"/>
  <c r="F51" i="19" a="1"/>
  <c r="F51" i="19" s="1"/>
  <c r="E51" i="19" a="1"/>
  <c r="E51" i="19" s="1"/>
  <c r="D51" i="19" a="1"/>
  <c r="D51" i="19" s="1"/>
  <c r="C51" i="19" a="1"/>
  <c r="C51" i="19" s="1"/>
  <c r="B51" i="19" a="1"/>
  <c r="B51" i="19" s="1"/>
  <c r="U50" i="19" a="1"/>
  <c r="U50" i="19" s="1"/>
  <c r="T50" i="19" a="1"/>
  <c r="T50" i="19" s="1"/>
  <c r="S50" i="19" a="1"/>
  <c r="S50" i="19" s="1"/>
  <c r="Q50" i="19" a="1"/>
  <c r="Q50" i="19" s="1"/>
  <c r="P50" i="19"/>
  <c r="O50" i="19" a="1"/>
  <c r="O50" i="19" s="1"/>
  <c r="N50" i="19" a="1"/>
  <c r="N50" i="19" s="1"/>
  <c r="L50" i="19" a="1"/>
  <c r="L50" i="19" s="1"/>
  <c r="K50" i="19"/>
  <c r="J50" i="19" a="1"/>
  <c r="J50" i="19" s="1"/>
  <c r="I50" i="19" a="1"/>
  <c r="I50" i="19" s="1"/>
  <c r="H50" i="19" a="1"/>
  <c r="H50" i="19" s="1"/>
  <c r="G50" i="19" a="1"/>
  <c r="G50" i="19" s="1"/>
  <c r="F50" i="19" a="1"/>
  <c r="F50" i="19" s="1"/>
  <c r="E50" i="19" a="1"/>
  <c r="E50" i="19" s="1"/>
  <c r="D50" i="19" a="1"/>
  <c r="D50" i="19" s="1"/>
  <c r="C50" i="19" a="1"/>
  <c r="C50" i="19" s="1"/>
  <c r="B50" i="19" a="1"/>
  <c r="B50" i="19" s="1"/>
  <c r="U49" i="19" a="1"/>
  <c r="U49" i="19" s="1"/>
  <c r="T49" i="19" a="1"/>
  <c r="T49" i="19" s="1"/>
  <c r="S49" i="19" a="1"/>
  <c r="S49" i="19" s="1"/>
  <c r="Q49" i="19" a="1"/>
  <c r="Q49" i="19" s="1"/>
  <c r="P49" i="19"/>
  <c r="O49" i="19" a="1"/>
  <c r="O49" i="19" s="1"/>
  <c r="N49" i="19" a="1"/>
  <c r="N49" i="19" s="1"/>
  <c r="L49" i="19" a="1"/>
  <c r="L49" i="19" s="1"/>
  <c r="K49" i="19"/>
  <c r="J49" i="19" a="1"/>
  <c r="J49" i="19" s="1"/>
  <c r="I49" i="19" a="1"/>
  <c r="I49" i="19" s="1"/>
  <c r="H49" i="19" a="1"/>
  <c r="H49" i="19" s="1"/>
  <c r="G49" i="19" a="1"/>
  <c r="G49" i="19" s="1"/>
  <c r="F49" i="19" a="1"/>
  <c r="F49" i="19" s="1"/>
  <c r="E49" i="19" a="1"/>
  <c r="E49" i="19" s="1"/>
  <c r="D49" i="19" a="1"/>
  <c r="D49" i="19" s="1"/>
  <c r="C49" i="19" a="1"/>
  <c r="C49" i="19" s="1"/>
  <c r="B49" i="19" a="1"/>
  <c r="B49" i="19" s="1"/>
  <c r="U48" i="19" a="1"/>
  <c r="U48" i="19" s="1"/>
  <c r="T48" i="19" a="1"/>
  <c r="T48" i="19" s="1"/>
  <c r="S48" i="19" a="1"/>
  <c r="S48" i="19" s="1"/>
  <c r="Q48" i="19" a="1"/>
  <c r="Q48" i="19" s="1"/>
  <c r="P48" i="19"/>
  <c r="O48" i="19" a="1"/>
  <c r="O48" i="19" s="1"/>
  <c r="N48" i="19" a="1"/>
  <c r="N48" i="19" s="1"/>
  <c r="L48" i="19" a="1"/>
  <c r="L48" i="19" s="1"/>
  <c r="K48" i="19"/>
  <c r="J48" i="19" a="1"/>
  <c r="J48" i="19" s="1"/>
  <c r="I48" i="19" a="1"/>
  <c r="I48" i="19" s="1"/>
  <c r="H48" i="19" a="1"/>
  <c r="H48" i="19" s="1"/>
  <c r="G48" i="19" a="1"/>
  <c r="G48" i="19" s="1"/>
  <c r="F48" i="19" a="1"/>
  <c r="F48" i="19" s="1"/>
  <c r="E48" i="19" a="1"/>
  <c r="E48" i="19" s="1"/>
  <c r="D48" i="19" a="1"/>
  <c r="D48" i="19" s="1"/>
  <c r="C48" i="19" a="1"/>
  <c r="C48" i="19" s="1"/>
  <c r="B48" i="19" a="1"/>
  <c r="B48" i="19" s="1"/>
  <c r="U47" i="19" a="1"/>
  <c r="U47" i="19" s="1"/>
  <c r="T47" i="19" a="1"/>
  <c r="T47" i="19" s="1"/>
  <c r="S47" i="19" a="1"/>
  <c r="S47" i="19" s="1"/>
  <c r="Q47" i="19" a="1"/>
  <c r="Q47" i="19" s="1"/>
  <c r="P47" i="19"/>
  <c r="O47" i="19" a="1"/>
  <c r="O47" i="19" s="1"/>
  <c r="N47" i="19" a="1"/>
  <c r="N47" i="19" s="1"/>
  <c r="L47" i="19" a="1"/>
  <c r="L47" i="19" s="1"/>
  <c r="K47" i="19"/>
  <c r="J47" i="19" a="1"/>
  <c r="J47" i="19" s="1"/>
  <c r="I47" i="19" a="1"/>
  <c r="I47" i="19" s="1"/>
  <c r="H47" i="19" a="1"/>
  <c r="H47" i="19" s="1"/>
  <c r="G47" i="19" a="1"/>
  <c r="G47" i="19" s="1"/>
  <c r="F47" i="19" a="1"/>
  <c r="F47" i="19" s="1"/>
  <c r="E47" i="19" a="1"/>
  <c r="E47" i="19" s="1"/>
  <c r="D47" i="19" a="1"/>
  <c r="D47" i="19" s="1"/>
  <c r="C47" i="19" a="1"/>
  <c r="C47" i="19" s="1"/>
  <c r="B47" i="19" a="1"/>
  <c r="B47" i="19" s="1"/>
  <c r="U46" i="19" a="1"/>
  <c r="U46" i="19" s="1"/>
  <c r="T46" i="19" a="1"/>
  <c r="T46" i="19" s="1"/>
  <c r="S46" i="19" a="1"/>
  <c r="S46" i="19" s="1"/>
  <c r="Q46" i="19" a="1"/>
  <c r="Q46" i="19" s="1"/>
  <c r="P46" i="19"/>
  <c r="O46" i="19" a="1"/>
  <c r="O46" i="19" s="1"/>
  <c r="N46" i="19" a="1"/>
  <c r="N46" i="19" s="1"/>
  <c r="L46" i="19" a="1"/>
  <c r="L46" i="19" s="1"/>
  <c r="K46" i="19"/>
  <c r="J46" i="19" a="1"/>
  <c r="J46" i="19" s="1"/>
  <c r="I46" i="19" a="1"/>
  <c r="I46" i="19" s="1"/>
  <c r="H46" i="19" a="1"/>
  <c r="H46" i="19" s="1"/>
  <c r="G46" i="19" a="1"/>
  <c r="G46" i="19" s="1"/>
  <c r="F46" i="19" a="1"/>
  <c r="F46" i="19" s="1"/>
  <c r="E46" i="19" a="1"/>
  <c r="E46" i="19" s="1"/>
  <c r="D46" i="19" a="1"/>
  <c r="D46" i="19" s="1"/>
  <c r="C46" i="19" a="1"/>
  <c r="C46" i="19" s="1"/>
  <c r="B46" i="19" a="1"/>
  <c r="B46" i="19" s="1"/>
  <c r="U45" i="19" a="1"/>
  <c r="U45" i="19" s="1"/>
  <c r="T45" i="19" a="1"/>
  <c r="T45" i="19" s="1"/>
  <c r="S45" i="19" a="1"/>
  <c r="S45" i="19" s="1"/>
  <c r="Q45" i="19" a="1"/>
  <c r="Q45" i="19" s="1"/>
  <c r="P45" i="19"/>
  <c r="O45" i="19" a="1"/>
  <c r="O45" i="19" s="1"/>
  <c r="N45" i="19" a="1"/>
  <c r="N45" i="19" s="1"/>
  <c r="L45" i="19" a="1"/>
  <c r="L45" i="19" s="1"/>
  <c r="K45" i="19"/>
  <c r="J45" i="19" a="1"/>
  <c r="J45" i="19" s="1"/>
  <c r="I45" i="19" a="1"/>
  <c r="I45" i="19" s="1"/>
  <c r="H45" i="19" a="1"/>
  <c r="H45" i="19" s="1"/>
  <c r="G45" i="19" a="1"/>
  <c r="G45" i="19" s="1"/>
  <c r="F45" i="19" a="1"/>
  <c r="F45" i="19" s="1"/>
  <c r="E45" i="19" a="1"/>
  <c r="E45" i="19" s="1"/>
  <c r="D45" i="19" a="1"/>
  <c r="D45" i="19" s="1"/>
  <c r="C45" i="19" a="1"/>
  <c r="C45" i="19" s="1"/>
  <c r="B45" i="19" a="1"/>
  <c r="B45" i="19" s="1"/>
  <c r="U44" i="19" a="1"/>
  <c r="U44" i="19" s="1"/>
  <c r="T44" i="19" a="1"/>
  <c r="T44" i="19" s="1"/>
  <c r="S44" i="19" a="1"/>
  <c r="S44" i="19" s="1"/>
  <c r="Q44" i="19" a="1"/>
  <c r="Q44" i="19" s="1"/>
  <c r="P44" i="19"/>
  <c r="O44" i="19" a="1"/>
  <c r="O44" i="19" s="1"/>
  <c r="N44" i="19" a="1"/>
  <c r="N44" i="19" s="1"/>
  <c r="L44" i="19" a="1"/>
  <c r="L44" i="19" s="1"/>
  <c r="K44" i="19"/>
  <c r="J44" i="19" a="1"/>
  <c r="J44" i="19" s="1"/>
  <c r="I44" i="19" a="1"/>
  <c r="I44" i="19" s="1"/>
  <c r="H44" i="19" a="1"/>
  <c r="H44" i="19" s="1"/>
  <c r="G44" i="19" a="1"/>
  <c r="G44" i="19" s="1"/>
  <c r="F44" i="19" a="1"/>
  <c r="F44" i="19" s="1"/>
  <c r="E44" i="19" a="1"/>
  <c r="E44" i="19" s="1"/>
  <c r="D44" i="19" a="1"/>
  <c r="D44" i="19" s="1"/>
  <c r="C44" i="19" a="1"/>
  <c r="C44" i="19" s="1"/>
  <c r="B44" i="19" a="1"/>
  <c r="B44" i="19" s="1"/>
  <c r="U43" i="19" a="1"/>
  <c r="U43" i="19" s="1"/>
  <c r="T43" i="19" a="1"/>
  <c r="T43" i="19" s="1"/>
  <c r="S43" i="19" a="1"/>
  <c r="S43" i="19" s="1"/>
  <c r="Q43" i="19" a="1"/>
  <c r="Q43" i="19" s="1"/>
  <c r="P43" i="19"/>
  <c r="O43" i="19" a="1"/>
  <c r="O43" i="19" s="1"/>
  <c r="N43" i="19" a="1"/>
  <c r="N43" i="19" s="1"/>
  <c r="L43" i="19" a="1"/>
  <c r="L43" i="19" s="1"/>
  <c r="K43" i="19"/>
  <c r="J43" i="19" a="1"/>
  <c r="J43" i="19" s="1"/>
  <c r="I43" i="19" a="1"/>
  <c r="I43" i="19" s="1"/>
  <c r="H43" i="19" a="1"/>
  <c r="H43" i="19" s="1"/>
  <c r="G43" i="19" a="1"/>
  <c r="G43" i="19" s="1"/>
  <c r="F43" i="19" a="1"/>
  <c r="F43" i="19" s="1"/>
  <c r="E43" i="19" a="1"/>
  <c r="E43" i="19" s="1"/>
  <c r="D43" i="19" a="1"/>
  <c r="D43" i="19" s="1"/>
  <c r="C43" i="19" a="1"/>
  <c r="C43" i="19" s="1"/>
  <c r="B43" i="19" a="1"/>
  <c r="B43" i="19" s="1"/>
  <c r="U42" i="19" a="1"/>
  <c r="U42" i="19" s="1"/>
  <c r="T42" i="19" a="1"/>
  <c r="T42" i="19" s="1"/>
  <c r="S42" i="19" a="1"/>
  <c r="S42" i="19" s="1"/>
  <c r="Q42" i="19" a="1"/>
  <c r="Q42" i="19" s="1"/>
  <c r="P42" i="19"/>
  <c r="O42" i="19" a="1"/>
  <c r="O42" i="19" s="1"/>
  <c r="N42" i="19" a="1"/>
  <c r="N42" i="19" s="1"/>
  <c r="L42" i="19" a="1"/>
  <c r="L42" i="19" s="1"/>
  <c r="K42" i="19"/>
  <c r="J42" i="19" a="1"/>
  <c r="J42" i="19" s="1"/>
  <c r="I42" i="19" a="1"/>
  <c r="I42" i="19" s="1"/>
  <c r="H42" i="19" a="1"/>
  <c r="H42" i="19" s="1"/>
  <c r="G42" i="19" a="1"/>
  <c r="G42" i="19" s="1"/>
  <c r="F42" i="19" a="1"/>
  <c r="F42" i="19" s="1"/>
  <c r="E42" i="19" a="1"/>
  <c r="E42" i="19" s="1"/>
  <c r="D42" i="19" a="1"/>
  <c r="D42" i="19" s="1"/>
  <c r="C42" i="19" a="1"/>
  <c r="C42" i="19" s="1"/>
  <c r="B42" i="19" a="1"/>
  <c r="B42" i="19" s="1"/>
  <c r="U41" i="19" a="1"/>
  <c r="U41" i="19" s="1"/>
  <c r="T41" i="19" a="1"/>
  <c r="T41" i="19" s="1"/>
  <c r="S41" i="19" a="1"/>
  <c r="S41" i="19" s="1"/>
  <c r="Q41" i="19" a="1"/>
  <c r="Q41" i="19" s="1"/>
  <c r="P41" i="19"/>
  <c r="O41" i="19" a="1"/>
  <c r="O41" i="19" s="1"/>
  <c r="N41" i="19" a="1"/>
  <c r="N41" i="19" s="1"/>
  <c r="L41" i="19" a="1"/>
  <c r="L41" i="19" s="1"/>
  <c r="K41" i="19"/>
  <c r="J41" i="19" a="1"/>
  <c r="J41" i="19" s="1"/>
  <c r="I41" i="19" a="1"/>
  <c r="I41" i="19" s="1"/>
  <c r="H41" i="19" a="1"/>
  <c r="H41" i="19" s="1"/>
  <c r="G41" i="19" a="1"/>
  <c r="G41" i="19" s="1"/>
  <c r="F41" i="19" a="1"/>
  <c r="F41" i="19" s="1"/>
  <c r="E41" i="19" a="1"/>
  <c r="E41" i="19" s="1"/>
  <c r="D41" i="19" a="1"/>
  <c r="D41" i="19" s="1"/>
  <c r="C41" i="19" a="1"/>
  <c r="C41" i="19" s="1"/>
  <c r="B41" i="19" a="1"/>
  <c r="B41" i="19" s="1"/>
  <c r="U40" i="19" a="1"/>
  <c r="U40" i="19" s="1"/>
  <c r="T40" i="19" a="1"/>
  <c r="T40" i="19" s="1"/>
  <c r="S40" i="19" a="1"/>
  <c r="S40" i="19" s="1"/>
  <c r="Q40" i="19" a="1"/>
  <c r="Q40" i="19" s="1"/>
  <c r="P40" i="19"/>
  <c r="O40" i="19" a="1"/>
  <c r="O40" i="19" s="1"/>
  <c r="N40" i="19" a="1"/>
  <c r="N40" i="19" s="1"/>
  <c r="L40" i="19" a="1"/>
  <c r="L40" i="19" s="1"/>
  <c r="K40" i="19"/>
  <c r="J40" i="19" a="1"/>
  <c r="J40" i="19" s="1"/>
  <c r="I40" i="19" a="1"/>
  <c r="I40" i="19" s="1"/>
  <c r="H40" i="19" a="1"/>
  <c r="H40" i="19" s="1"/>
  <c r="G40" i="19" a="1"/>
  <c r="G40" i="19" s="1"/>
  <c r="F40" i="19" a="1"/>
  <c r="F40" i="19" s="1"/>
  <c r="E40" i="19" a="1"/>
  <c r="E40" i="19" s="1"/>
  <c r="D40" i="19" a="1"/>
  <c r="D40" i="19" s="1"/>
  <c r="C40" i="19" a="1"/>
  <c r="C40" i="19" s="1"/>
  <c r="B40" i="19" a="1"/>
  <c r="B40" i="19" s="1"/>
  <c r="U39" i="19" a="1"/>
  <c r="U39" i="19" s="1"/>
  <c r="T39" i="19" a="1"/>
  <c r="T39" i="19" s="1"/>
  <c r="S39" i="19" a="1"/>
  <c r="S39" i="19" s="1"/>
  <c r="Q39" i="19" a="1"/>
  <c r="Q39" i="19" s="1"/>
  <c r="P39" i="19"/>
  <c r="O39" i="19" a="1"/>
  <c r="O39" i="19" s="1"/>
  <c r="N39" i="19" a="1"/>
  <c r="N39" i="19" s="1"/>
  <c r="L39" i="19" a="1"/>
  <c r="L39" i="19" s="1"/>
  <c r="K39" i="19"/>
  <c r="J39" i="19" a="1"/>
  <c r="J39" i="19" s="1"/>
  <c r="I39" i="19" a="1"/>
  <c r="I39" i="19" s="1"/>
  <c r="H39" i="19" a="1"/>
  <c r="H39" i="19" s="1"/>
  <c r="G39" i="19" a="1"/>
  <c r="G39" i="19" s="1"/>
  <c r="F39" i="19" a="1"/>
  <c r="F39" i="19" s="1"/>
  <c r="E39" i="19" a="1"/>
  <c r="E39" i="19" s="1"/>
  <c r="D39" i="19" a="1"/>
  <c r="D39" i="19" s="1"/>
  <c r="C39" i="19" a="1"/>
  <c r="C39" i="19" s="1"/>
  <c r="B39" i="19" a="1"/>
  <c r="B39" i="19" s="1"/>
  <c r="U38" i="19" a="1"/>
  <c r="U38" i="19" s="1"/>
  <c r="T38" i="19" a="1"/>
  <c r="T38" i="19" s="1"/>
  <c r="S38" i="19" a="1"/>
  <c r="S38" i="19" s="1"/>
  <c r="Q38" i="19" a="1"/>
  <c r="Q38" i="19" s="1"/>
  <c r="P38" i="19"/>
  <c r="O38" i="19" a="1"/>
  <c r="O38" i="19" s="1"/>
  <c r="N38" i="19" a="1"/>
  <c r="N38" i="19" s="1"/>
  <c r="L38" i="19" a="1"/>
  <c r="L38" i="19" s="1"/>
  <c r="K38" i="19"/>
  <c r="J38" i="19" a="1"/>
  <c r="J38" i="19" s="1"/>
  <c r="I38" i="19" a="1"/>
  <c r="I38" i="19" s="1"/>
  <c r="H38" i="19" a="1"/>
  <c r="H38" i="19" s="1"/>
  <c r="G38" i="19" a="1"/>
  <c r="G38" i="19" s="1"/>
  <c r="F38" i="19" a="1"/>
  <c r="F38" i="19" s="1"/>
  <c r="E38" i="19" a="1"/>
  <c r="E38" i="19" s="1"/>
  <c r="D38" i="19" a="1"/>
  <c r="D38" i="19" s="1"/>
  <c r="C38" i="19" a="1"/>
  <c r="C38" i="19" s="1"/>
  <c r="B38" i="19" a="1"/>
  <c r="B38" i="19" s="1"/>
  <c r="U37" i="19" a="1"/>
  <c r="U37" i="19" s="1"/>
  <c r="T37" i="19" a="1"/>
  <c r="T37" i="19" s="1"/>
  <c r="S37" i="19" a="1"/>
  <c r="S37" i="19" s="1"/>
  <c r="Q37" i="19" a="1"/>
  <c r="Q37" i="19" s="1"/>
  <c r="P37" i="19"/>
  <c r="O37" i="19" a="1"/>
  <c r="O37" i="19" s="1"/>
  <c r="N37" i="19" a="1"/>
  <c r="N37" i="19" s="1"/>
  <c r="L37" i="19" a="1"/>
  <c r="L37" i="19" s="1"/>
  <c r="K37" i="19"/>
  <c r="J37" i="19" a="1"/>
  <c r="J37" i="19" s="1"/>
  <c r="I37" i="19" a="1"/>
  <c r="I37" i="19" s="1"/>
  <c r="H37" i="19" a="1"/>
  <c r="H37" i="19" s="1"/>
  <c r="G37" i="19" a="1"/>
  <c r="G37" i="19" s="1"/>
  <c r="F37" i="19" a="1"/>
  <c r="F37" i="19" s="1"/>
  <c r="E37" i="19" a="1"/>
  <c r="E37" i="19" s="1"/>
  <c r="D37" i="19" a="1"/>
  <c r="D37" i="19" s="1"/>
  <c r="C37" i="19" a="1"/>
  <c r="C37" i="19" s="1"/>
  <c r="B37" i="19" a="1"/>
  <c r="B37" i="19" s="1"/>
  <c r="U36" i="19" a="1"/>
  <c r="U36" i="19" s="1"/>
  <c r="T36" i="19" a="1"/>
  <c r="T36" i="19" s="1"/>
  <c r="S36" i="19" a="1"/>
  <c r="S36" i="19" s="1"/>
  <c r="Q36" i="19" a="1"/>
  <c r="Q36" i="19" s="1"/>
  <c r="P36" i="19"/>
  <c r="O36" i="19" a="1"/>
  <c r="O36" i="19" s="1"/>
  <c r="N36" i="19" a="1"/>
  <c r="N36" i="19" s="1"/>
  <c r="L36" i="19" a="1"/>
  <c r="L36" i="19" s="1"/>
  <c r="K36" i="19"/>
  <c r="J36" i="19" a="1"/>
  <c r="J36" i="19" s="1"/>
  <c r="I36" i="19" a="1"/>
  <c r="I36" i="19" s="1"/>
  <c r="H36" i="19" a="1"/>
  <c r="H36" i="19" s="1"/>
  <c r="G36" i="19" a="1"/>
  <c r="G36" i="19" s="1"/>
  <c r="F36" i="19" a="1"/>
  <c r="F36" i="19" s="1"/>
  <c r="E36" i="19" a="1"/>
  <c r="E36" i="19" s="1"/>
  <c r="D36" i="19" a="1"/>
  <c r="D36" i="19" s="1"/>
  <c r="C36" i="19" a="1"/>
  <c r="C36" i="19" s="1"/>
  <c r="B36" i="19" a="1"/>
  <c r="B36" i="19" s="1"/>
  <c r="U35" i="19" a="1"/>
  <c r="U35" i="19" s="1"/>
  <c r="T35" i="19" a="1"/>
  <c r="T35" i="19" s="1"/>
  <c r="S35" i="19" a="1"/>
  <c r="S35" i="19" s="1"/>
  <c r="Q35" i="19" a="1"/>
  <c r="Q35" i="19" s="1"/>
  <c r="P35" i="19"/>
  <c r="O35" i="19" a="1"/>
  <c r="O35" i="19" s="1"/>
  <c r="N35" i="19" a="1"/>
  <c r="N35" i="19" s="1"/>
  <c r="L35" i="19" a="1"/>
  <c r="L35" i="19" s="1"/>
  <c r="K35" i="19"/>
  <c r="J35" i="19" a="1"/>
  <c r="J35" i="19" s="1"/>
  <c r="I35" i="19" a="1"/>
  <c r="I35" i="19" s="1"/>
  <c r="H35" i="19" a="1"/>
  <c r="H35" i="19" s="1"/>
  <c r="G35" i="19" a="1"/>
  <c r="G35" i="19" s="1"/>
  <c r="F35" i="19" a="1"/>
  <c r="F35" i="19" s="1"/>
  <c r="E35" i="19" a="1"/>
  <c r="E35" i="19" s="1"/>
  <c r="D35" i="19" a="1"/>
  <c r="D35" i="19" s="1"/>
  <c r="C35" i="19" a="1"/>
  <c r="C35" i="19" s="1"/>
  <c r="B35" i="19" a="1"/>
  <c r="B35" i="19" s="1"/>
  <c r="U34" i="19" a="1"/>
  <c r="U34" i="19" s="1"/>
  <c r="T34" i="19" a="1"/>
  <c r="T34" i="19" s="1"/>
  <c r="S34" i="19" a="1"/>
  <c r="S34" i="19" s="1"/>
  <c r="Q34" i="19" a="1"/>
  <c r="Q34" i="19" s="1"/>
  <c r="P34" i="19"/>
  <c r="O34" i="19" a="1"/>
  <c r="O34" i="19" s="1"/>
  <c r="N34" i="19" a="1"/>
  <c r="N34" i="19" s="1"/>
  <c r="L34" i="19" a="1"/>
  <c r="L34" i="19" s="1"/>
  <c r="K34" i="19"/>
  <c r="J34" i="19" a="1"/>
  <c r="J34" i="19" s="1"/>
  <c r="I34" i="19" a="1"/>
  <c r="I34" i="19" s="1"/>
  <c r="H34" i="19" a="1"/>
  <c r="H34" i="19" s="1"/>
  <c r="G34" i="19" a="1"/>
  <c r="G34" i="19" s="1"/>
  <c r="F34" i="19" a="1"/>
  <c r="F34" i="19" s="1"/>
  <c r="E34" i="19" a="1"/>
  <c r="E34" i="19" s="1"/>
  <c r="D34" i="19" a="1"/>
  <c r="D34" i="19" s="1"/>
  <c r="C34" i="19" a="1"/>
  <c r="C34" i="19" s="1"/>
  <c r="B34" i="19" a="1"/>
  <c r="B34" i="19" s="1"/>
  <c r="U33" i="19" a="1"/>
  <c r="U33" i="19" s="1"/>
  <c r="T33" i="19" a="1"/>
  <c r="T33" i="19" s="1"/>
  <c r="S33" i="19" a="1"/>
  <c r="S33" i="19" s="1"/>
  <c r="Q33" i="19" a="1"/>
  <c r="Q33" i="19" s="1"/>
  <c r="P33" i="19"/>
  <c r="O33" i="19" a="1"/>
  <c r="O33" i="19" s="1"/>
  <c r="N33" i="19" a="1"/>
  <c r="N33" i="19" s="1"/>
  <c r="L33" i="19" a="1"/>
  <c r="L33" i="19" s="1"/>
  <c r="K33" i="19"/>
  <c r="J33" i="19" a="1"/>
  <c r="J33" i="19" s="1"/>
  <c r="I33" i="19" a="1"/>
  <c r="I33" i="19" s="1"/>
  <c r="H33" i="19" a="1"/>
  <c r="H33" i="19" s="1"/>
  <c r="G33" i="19" a="1"/>
  <c r="G33" i="19" s="1"/>
  <c r="F33" i="19" a="1"/>
  <c r="F33" i="19" s="1"/>
  <c r="E33" i="19" a="1"/>
  <c r="E33" i="19" s="1"/>
  <c r="D33" i="19" a="1"/>
  <c r="D33" i="19" s="1"/>
  <c r="C33" i="19" a="1"/>
  <c r="C33" i="19" s="1"/>
  <c r="B33" i="19" a="1"/>
  <c r="B33" i="19" s="1"/>
  <c r="U32" i="19" a="1"/>
  <c r="U32" i="19" s="1"/>
  <c r="T32" i="19" a="1"/>
  <c r="T32" i="19" s="1"/>
  <c r="S32" i="19" a="1"/>
  <c r="S32" i="19" s="1"/>
  <c r="Q32" i="19" a="1"/>
  <c r="Q32" i="19" s="1"/>
  <c r="P32" i="19"/>
  <c r="O32" i="19" a="1"/>
  <c r="O32" i="19" s="1"/>
  <c r="N32" i="19" a="1"/>
  <c r="N32" i="19" s="1"/>
  <c r="L32" i="19" a="1"/>
  <c r="L32" i="19" s="1"/>
  <c r="K32" i="19"/>
  <c r="J32" i="19" a="1"/>
  <c r="J32" i="19" s="1"/>
  <c r="I32" i="19" a="1"/>
  <c r="I32" i="19" s="1"/>
  <c r="H32" i="19" a="1"/>
  <c r="H32" i="19" s="1"/>
  <c r="G32" i="19" a="1"/>
  <c r="G32" i="19" s="1"/>
  <c r="F32" i="19" a="1"/>
  <c r="F32" i="19" s="1"/>
  <c r="E32" i="19" a="1"/>
  <c r="E32" i="19" s="1"/>
  <c r="D32" i="19" a="1"/>
  <c r="D32" i="19" s="1"/>
  <c r="C32" i="19" a="1"/>
  <c r="C32" i="19" s="1"/>
  <c r="B32" i="19" a="1"/>
  <c r="B32" i="19" s="1"/>
  <c r="U31" i="19" a="1"/>
  <c r="U31" i="19" s="1"/>
  <c r="T31" i="19" a="1"/>
  <c r="T31" i="19" s="1"/>
  <c r="S31" i="19" a="1"/>
  <c r="S31" i="19" s="1"/>
  <c r="Q31" i="19" a="1"/>
  <c r="Q31" i="19" s="1"/>
  <c r="P31" i="19"/>
  <c r="O31" i="19" a="1"/>
  <c r="O31" i="19" s="1"/>
  <c r="N31" i="19" a="1"/>
  <c r="N31" i="19" s="1"/>
  <c r="L31" i="19" a="1"/>
  <c r="L31" i="19" s="1"/>
  <c r="K31" i="19"/>
  <c r="J31" i="19" a="1"/>
  <c r="J31" i="19" s="1"/>
  <c r="I31" i="19" a="1"/>
  <c r="I31" i="19" s="1"/>
  <c r="H31" i="19" a="1"/>
  <c r="H31" i="19" s="1"/>
  <c r="G31" i="19" a="1"/>
  <c r="G31" i="19" s="1"/>
  <c r="F31" i="19" a="1"/>
  <c r="F31" i="19" s="1"/>
  <c r="E31" i="19" a="1"/>
  <c r="E31" i="19" s="1"/>
  <c r="D31" i="19" a="1"/>
  <c r="D31" i="19" s="1"/>
  <c r="C31" i="19" a="1"/>
  <c r="C31" i="19" s="1"/>
  <c r="B31" i="19" a="1"/>
  <c r="B31" i="19" s="1"/>
  <c r="U30" i="19" a="1"/>
  <c r="U30" i="19" s="1"/>
  <c r="T30" i="19" a="1"/>
  <c r="T30" i="19" s="1"/>
  <c r="S30" i="19" a="1"/>
  <c r="S30" i="19" s="1"/>
  <c r="Q30" i="19" a="1"/>
  <c r="Q30" i="19" s="1"/>
  <c r="P30" i="19"/>
  <c r="O30" i="19" a="1"/>
  <c r="O30" i="19" s="1"/>
  <c r="N30" i="19" a="1"/>
  <c r="N30" i="19" s="1"/>
  <c r="L30" i="19" a="1"/>
  <c r="L30" i="19" s="1"/>
  <c r="K30" i="19"/>
  <c r="J30" i="19" a="1"/>
  <c r="J30" i="19" s="1"/>
  <c r="I30" i="19" a="1"/>
  <c r="I30" i="19" s="1"/>
  <c r="H30" i="19" a="1"/>
  <c r="H30" i="19" s="1"/>
  <c r="G30" i="19" a="1"/>
  <c r="G30" i="19" s="1"/>
  <c r="F30" i="19" a="1"/>
  <c r="F30" i="19" s="1"/>
  <c r="E30" i="19" a="1"/>
  <c r="E30" i="19" s="1"/>
  <c r="D30" i="19" a="1"/>
  <c r="D30" i="19" s="1"/>
  <c r="C30" i="19" a="1"/>
  <c r="C30" i="19" s="1"/>
  <c r="B30" i="19" a="1"/>
  <c r="B30" i="19" s="1"/>
  <c r="U29" i="19" a="1"/>
  <c r="U29" i="19" s="1"/>
  <c r="T29" i="19" a="1"/>
  <c r="T29" i="19" s="1"/>
  <c r="S29" i="19" a="1"/>
  <c r="S29" i="19" s="1"/>
  <c r="Q29" i="19" a="1"/>
  <c r="Q29" i="19" s="1"/>
  <c r="P29" i="19"/>
  <c r="O29" i="19" a="1"/>
  <c r="O29" i="19" s="1"/>
  <c r="N29" i="19" a="1"/>
  <c r="N29" i="19" s="1"/>
  <c r="L29" i="19" a="1"/>
  <c r="L29" i="19" s="1"/>
  <c r="K29" i="19"/>
  <c r="J29" i="19" a="1"/>
  <c r="J29" i="19" s="1"/>
  <c r="I29" i="19" a="1"/>
  <c r="I29" i="19" s="1"/>
  <c r="H29" i="19" a="1"/>
  <c r="H29" i="19" s="1"/>
  <c r="G29" i="19" a="1"/>
  <c r="G29" i="19" s="1"/>
  <c r="F29" i="19" a="1"/>
  <c r="F29" i="19" s="1"/>
  <c r="E29" i="19" a="1"/>
  <c r="E29" i="19" s="1"/>
  <c r="D29" i="19" a="1"/>
  <c r="D29" i="19" s="1"/>
  <c r="C29" i="19" a="1"/>
  <c r="C29" i="19" s="1"/>
  <c r="B29" i="19" a="1"/>
  <c r="B29" i="19" s="1"/>
  <c r="U28" i="19" a="1"/>
  <c r="U28" i="19" s="1"/>
  <c r="T28" i="19" a="1"/>
  <c r="T28" i="19" s="1"/>
  <c r="S28" i="19" a="1"/>
  <c r="S28" i="19" s="1"/>
  <c r="Q28" i="19" a="1"/>
  <c r="Q28" i="19" s="1"/>
  <c r="P28" i="19"/>
  <c r="O28" i="19" a="1"/>
  <c r="O28" i="19" s="1"/>
  <c r="N28" i="19" a="1"/>
  <c r="N28" i="19" s="1"/>
  <c r="L28" i="19" a="1"/>
  <c r="L28" i="19" s="1"/>
  <c r="K28" i="19"/>
  <c r="J28" i="19" a="1"/>
  <c r="J28" i="19" s="1"/>
  <c r="I28" i="19" a="1"/>
  <c r="I28" i="19" s="1"/>
  <c r="H28" i="19" a="1"/>
  <c r="H28" i="19" s="1"/>
  <c r="G28" i="19" a="1"/>
  <c r="G28" i="19" s="1"/>
  <c r="F28" i="19" a="1"/>
  <c r="F28" i="19" s="1"/>
  <c r="E28" i="19" a="1"/>
  <c r="E28" i="19" s="1"/>
  <c r="D28" i="19" a="1"/>
  <c r="D28" i="19" s="1"/>
  <c r="C28" i="19" a="1"/>
  <c r="C28" i="19" s="1"/>
  <c r="B28" i="19" a="1"/>
  <c r="B28" i="19" s="1"/>
  <c r="U27" i="19" a="1"/>
  <c r="U27" i="19" s="1"/>
  <c r="T27" i="19" a="1"/>
  <c r="T27" i="19" s="1"/>
  <c r="S27" i="19" a="1"/>
  <c r="S27" i="19" s="1"/>
  <c r="Q27" i="19" a="1"/>
  <c r="Q27" i="19" s="1"/>
  <c r="P27" i="19"/>
  <c r="O27" i="19" a="1"/>
  <c r="O27" i="19" s="1"/>
  <c r="N27" i="19" a="1"/>
  <c r="N27" i="19" s="1"/>
  <c r="L27" i="19" a="1"/>
  <c r="L27" i="19" s="1"/>
  <c r="K27" i="19"/>
  <c r="J27" i="19" a="1"/>
  <c r="J27" i="19" s="1"/>
  <c r="I27" i="19" a="1"/>
  <c r="I27" i="19" s="1"/>
  <c r="H27" i="19" a="1"/>
  <c r="H27" i="19" s="1"/>
  <c r="G27" i="19" a="1"/>
  <c r="G27" i="19" s="1"/>
  <c r="F27" i="19" a="1"/>
  <c r="F27" i="19" s="1"/>
  <c r="E27" i="19" a="1"/>
  <c r="E27" i="19" s="1"/>
  <c r="D27" i="19" a="1"/>
  <c r="D27" i="19" s="1"/>
  <c r="C27" i="19" a="1"/>
  <c r="C27" i="19" s="1"/>
  <c r="B27" i="19" a="1"/>
  <c r="B27" i="19" s="1"/>
  <c r="U26" i="19" a="1"/>
  <c r="U26" i="19" s="1"/>
  <c r="T26" i="19" a="1"/>
  <c r="T26" i="19" s="1"/>
  <c r="S26" i="19" a="1"/>
  <c r="S26" i="19" s="1"/>
  <c r="Q26" i="19" a="1"/>
  <c r="Q26" i="19" s="1"/>
  <c r="P26" i="19"/>
  <c r="O26" i="19" a="1"/>
  <c r="O26" i="19" s="1"/>
  <c r="N26" i="19" a="1"/>
  <c r="N26" i="19" s="1"/>
  <c r="L26" i="19" a="1"/>
  <c r="L26" i="19" s="1"/>
  <c r="K26" i="19"/>
  <c r="J26" i="19" a="1"/>
  <c r="J26" i="19" s="1"/>
  <c r="I26" i="19" a="1"/>
  <c r="I26" i="19" s="1"/>
  <c r="H26" i="19" a="1"/>
  <c r="H26" i="19" s="1"/>
  <c r="G26" i="19" a="1"/>
  <c r="G26" i="19" s="1"/>
  <c r="F26" i="19" a="1"/>
  <c r="F26" i="19" s="1"/>
  <c r="E26" i="19" a="1"/>
  <c r="E26" i="19" s="1"/>
  <c r="D26" i="19" a="1"/>
  <c r="D26" i="19" s="1"/>
  <c r="C26" i="19" a="1"/>
  <c r="C26" i="19" s="1"/>
  <c r="B26" i="19" a="1"/>
  <c r="B26" i="19" s="1"/>
  <c r="U25" i="19" a="1"/>
  <c r="U25" i="19" s="1"/>
  <c r="T25" i="19" a="1"/>
  <c r="T25" i="19" s="1"/>
  <c r="S25" i="19" a="1"/>
  <c r="S25" i="19" s="1"/>
  <c r="Q25" i="19" a="1"/>
  <c r="Q25" i="19" s="1"/>
  <c r="P25" i="19"/>
  <c r="O25" i="19" a="1"/>
  <c r="O25" i="19" s="1"/>
  <c r="N25" i="19" a="1"/>
  <c r="N25" i="19" s="1"/>
  <c r="L25" i="19" a="1"/>
  <c r="L25" i="19" s="1"/>
  <c r="K25" i="19"/>
  <c r="J25" i="19" a="1"/>
  <c r="J25" i="19" s="1"/>
  <c r="I25" i="19" a="1"/>
  <c r="I25" i="19" s="1"/>
  <c r="H25" i="19" a="1"/>
  <c r="H25" i="19" s="1"/>
  <c r="G25" i="19" a="1"/>
  <c r="G25" i="19" s="1"/>
  <c r="F25" i="19" a="1"/>
  <c r="F25" i="19" s="1"/>
  <c r="E25" i="19" a="1"/>
  <c r="E25" i="19" s="1"/>
  <c r="D25" i="19" a="1"/>
  <c r="D25" i="19" s="1"/>
  <c r="C25" i="19" a="1"/>
  <c r="C25" i="19" s="1"/>
  <c r="B25" i="19" a="1"/>
  <c r="B25" i="19" s="1"/>
  <c r="U24" i="19" a="1"/>
  <c r="U24" i="19" s="1"/>
  <c r="T24" i="19" a="1"/>
  <c r="T24" i="19" s="1"/>
  <c r="S24" i="19" a="1"/>
  <c r="S24" i="19" s="1"/>
  <c r="Q24" i="19" a="1"/>
  <c r="Q24" i="19" s="1"/>
  <c r="P24" i="19"/>
  <c r="O24" i="19" a="1"/>
  <c r="O24" i="19" s="1"/>
  <c r="N24" i="19" a="1"/>
  <c r="N24" i="19" s="1"/>
  <c r="L24" i="19" a="1"/>
  <c r="L24" i="19" s="1"/>
  <c r="K24" i="19"/>
  <c r="J24" i="19" a="1"/>
  <c r="J24" i="19" s="1"/>
  <c r="I24" i="19" a="1"/>
  <c r="I24" i="19" s="1"/>
  <c r="H24" i="19" a="1"/>
  <c r="H24" i="19" s="1"/>
  <c r="G24" i="19" a="1"/>
  <c r="G24" i="19" s="1"/>
  <c r="F24" i="19" a="1"/>
  <c r="F24" i="19" s="1"/>
  <c r="E24" i="19" a="1"/>
  <c r="E24" i="19" s="1"/>
  <c r="D24" i="19" a="1"/>
  <c r="D24" i="19" s="1"/>
  <c r="C24" i="19" a="1"/>
  <c r="C24" i="19" s="1"/>
  <c r="B24" i="19" a="1"/>
  <c r="B24" i="19" s="1"/>
  <c r="U23" i="19" a="1"/>
  <c r="U23" i="19" s="1"/>
  <c r="T23" i="19" a="1"/>
  <c r="T23" i="19" s="1"/>
  <c r="S23" i="19" a="1"/>
  <c r="S23" i="19" s="1"/>
  <c r="Q23" i="19" a="1"/>
  <c r="Q23" i="19" s="1"/>
  <c r="P23" i="19"/>
  <c r="O23" i="19" a="1"/>
  <c r="O23" i="19" s="1"/>
  <c r="N23" i="19" a="1"/>
  <c r="N23" i="19" s="1"/>
  <c r="L23" i="19" a="1"/>
  <c r="L23" i="19" s="1"/>
  <c r="K23" i="19"/>
  <c r="J23" i="19" a="1"/>
  <c r="J23" i="19" s="1"/>
  <c r="I23" i="19" a="1"/>
  <c r="I23" i="19" s="1"/>
  <c r="H23" i="19" a="1"/>
  <c r="H23" i="19" s="1"/>
  <c r="G23" i="19" a="1"/>
  <c r="G23" i="19" s="1"/>
  <c r="F23" i="19" a="1"/>
  <c r="F23" i="19" s="1"/>
  <c r="E23" i="19" a="1"/>
  <c r="E23" i="19" s="1"/>
  <c r="D23" i="19" a="1"/>
  <c r="D23" i="19" s="1"/>
  <c r="C23" i="19" a="1"/>
  <c r="C23" i="19" s="1"/>
  <c r="B23" i="19" a="1"/>
  <c r="B23" i="19" s="1"/>
  <c r="U22" i="19" a="1"/>
  <c r="U22" i="19" s="1"/>
  <c r="T22" i="19" a="1"/>
  <c r="T22" i="19" s="1"/>
  <c r="S22" i="19" a="1"/>
  <c r="S22" i="19" s="1"/>
  <c r="Q22" i="19" a="1"/>
  <c r="Q22" i="19" s="1"/>
  <c r="P22" i="19"/>
  <c r="O22" i="19" a="1"/>
  <c r="O22" i="19" s="1"/>
  <c r="N22" i="19" a="1"/>
  <c r="N22" i="19" s="1"/>
  <c r="L22" i="19" a="1"/>
  <c r="L22" i="19" s="1"/>
  <c r="K22" i="19"/>
  <c r="J22" i="19" a="1"/>
  <c r="J22" i="19" s="1"/>
  <c r="I22" i="19" a="1"/>
  <c r="I22" i="19" s="1"/>
  <c r="H22" i="19" a="1"/>
  <c r="H22" i="19" s="1"/>
  <c r="G22" i="19" a="1"/>
  <c r="G22" i="19" s="1"/>
  <c r="F22" i="19" a="1"/>
  <c r="F22" i="19" s="1"/>
  <c r="E22" i="19" a="1"/>
  <c r="E22" i="19" s="1"/>
  <c r="D22" i="19" a="1"/>
  <c r="D22" i="19" s="1"/>
  <c r="C22" i="19" a="1"/>
  <c r="C22" i="19" s="1"/>
  <c r="B22" i="19" a="1"/>
  <c r="B22" i="19" s="1"/>
  <c r="U21" i="19" a="1"/>
  <c r="U21" i="19" s="1"/>
  <c r="T21" i="19" a="1"/>
  <c r="T21" i="19" s="1"/>
  <c r="S21" i="19" a="1"/>
  <c r="S21" i="19" s="1"/>
  <c r="Q21" i="19" a="1"/>
  <c r="Q21" i="19" s="1"/>
  <c r="P21" i="19"/>
  <c r="O21" i="19" a="1"/>
  <c r="O21" i="19" s="1"/>
  <c r="N21" i="19" a="1"/>
  <c r="N21" i="19" s="1"/>
  <c r="L21" i="19" a="1"/>
  <c r="L21" i="19" s="1"/>
  <c r="K21" i="19"/>
  <c r="J21" i="19" a="1"/>
  <c r="J21" i="19" s="1"/>
  <c r="I21" i="19" a="1"/>
  <c r="I21" i="19" s="1"/>
  <c r="H21" i="19" a="1"/>
  <c r="H21" i="19" s="1"/>
  <c r="G21" i="19" a="1"/>
  <c r="G21" i="19" s="1"/>
  <c r="F21" i="19" a="1"/>
  <c r="F21" i="19" s="1"/>
  <c r="E21" i="19" a="1"/>
  <c r="E21" i="19" s="1"/>
  <c r="D21" i="19" a="1"/>
  <c r="D21" i="19" s="1"/>
  <c r="C21" i="19" a="1"/>
  <c r="C21" i="19" s="1"/>
  <c r="B21" i="19" a="1"/>
  <c r="B21" i="19" s="1"/>
  <c r="U20" i="19" a="1"/>
  <c r="U20" i="19" s="1"/>
  <c r="T20" i="19" a="1"/>
  <c r="T20" i="19" s="1"/>
  <c r="S20" i="19" a="1"/>
  <c r="S20" i="19" s="1"/>
  <c r="Q20" i="19" a="1"/>
  <c r="Q20" i="19" s="1"/>
  <c r="P20" i="19"/>
  <c r="O20" i="19" a="1"/>
  <c r="O20" i="19" s="1"/>
  <c r="N20" i="19" a="1"/>
  <c r="N20" i="19" s="1"/>
  <c r="L20" i="19" a="1"/>
  <c r="L20" i="19" s="1"/>
  <c r="K20" i="19"/>
  <c r="J20" i="19" a="1"/>
  <c r="J20" i="19" s="1"/>
  <c r="I20" i="19" a="1"/>
  <c r="I20" i="19" s="1"/>
  <c r="H20" i="19" a="1"/>
  <c r="H20" i="19" s="1"/>
  <c r="G20" i="19" a="1"/>
  <c r="G20" i="19" s="1"/>
  <c r="F20" i="19" a="1"/>
  <c r="F20" i="19" s="1"/>
  <c r="E20" i="19" a="1"/>
  <c r="E20" i="19" s="1"/>
  <c r="D20" i="19" a="1"/>
  <c r="D20" i="19" s="1"/>
  <c r="C20" i="19" a="1"/>
  <c r="C20" i="19" s="1"/>
  <c r="B20" i="19" a="1"/>
  <c r="B20" i="19" s="1"/>
  <c r="U19" i="19" a="1"/>
  <c r="U19" i="19" s="1"/>
  <c r="T19" i="19" a="1"/>
  <c r="T19" i="19" s="1"/>
  <c r="S19" i="19" a="1"/>
  <c r="S19" i="19" s="1"/>
  <c r="Q19" i="19" a="1"/>
  <c r="Q19" i="19" s="1"/>
  <c r="P19" i="19"/>
  <c r="O19" i="19" a="1"/>
  <c r="O19" i="19" s="1"/>
  <c r="N19" i="19" a="1"/>
  <c r="N19" i="19" s="1"/>
  <c r="L19" i="19" a="1"/>
  <c r="L19" i="19" s="1"/>
  <c r="K19" i="19"/>
  <c r="J19" i="19" a="1"/>
  <c r="J19" i="19" s="1"/>
  <c r="I19" i="19" a="1"/>
  <c r="I19" i="19" s="1"/>
  <c r="H19" i="19" a="1"/>
  <c r="H19" i="19" s="1"/>
  <c r="G19" i="19" a="1"/>
  <c r="G19" i="19" s="1"/>
  <c r="F19" i="19" a="1"/>
  <c r="F19" i="19" s="1"/>
  <c r="E19" i="19" a="1"/>
  <c r="E19" i="19" s="1"/>
  <c r="D19" i="19" a="1"/>
  <c r="D19" i="19" s="1"/>
  <c r="C19" i="19" a="1"/>
  <c r="C19" i="19" s="1"/>
  <c r="B19" i="19" a="1"/>
  <c r="B19" i="19" s="1"/>
  <c r="U18" i="19" a="1"/>
  <c r="U18" i="19" s="1"/>
  <c r="T18" i="19" a="1"/>
  <c r="T18" i="19" s="1"/>
  <c r="S18" i="19" a="1"/>
  <c r="S18" i="19" s="1"/>
  <c r="Q18" i="19" a="1"/>
  <c r="Q18" i="19" s="1"/>
  <c r="P18" i="19"/>
  <c r="O18" i="19" a="1"/>
  <c r="O18" i="19" s="1"/>
  <c r="N18" i="19" a="1"/>
  <c r="N18" i="19" s="1"/>
  <c r="L18" i="19" a="1"/>
  <c r="L18" i="19" s="1"/>
  <c r="K18" i="19"/>
  <c r="J18" i="19" a="1"/>
  <c r="J18" i="19" s="1"/>
  <c r="I18" i="19" a="1"/>
  <c r="I18" i="19" s="1"/>
  <c r="H18" i="19" a="1"/>
  <c r="H18" i="19" s="1"/>
  <c r="G18" i="19" a="1"/>
  <c r="G18" i="19" s="1"/>
  <c r="F18" i="19" a="1"/>
  <c r="F18" i="19" s="1"/>
  <c r="E18" i="19" a="1"/>
  <c r="E18" i="19" s="1"/>
  <c r="D18" i="19" a="1"/>
  <c r="D18" i="19" s="1"/>
  <c r="C18" i="19" a="1"/>
  <c r="C18" i="19" s="1"/>
  <c r="B18" i="19" a="1"/>
  <c r="B18" i="19" s="1"/>
  <c r="U17" i="19" a="1"/>
  <c r="U17" i="19" s="1"/>
  <c r="T17" i="19" a="1"/>
  <c r="T17" i="19" s="1"/>
  <c r="S17" i="19" a="1"/>
  <c r="S17" i="19" s="1"/>
  <c r="Q17" i="19" a="1"/>
  <c r="Q17" i="19" s="1"/>
  <c r="P17" i="19"/>
  <c r="O17" i="19" a="1"/>
  <c r="O17" i="19" s="1"/>
  <c r="N17" i="19" a="1"/>
  <c r="N17" i="19" s="1"/>
  <c r="L17" i="19" a="1"/>
  <c r="L17" i="19" s="1"/>
  <c r="K17" i="19"/>
  <c r="J17" i="19" a="1"/>
  <c r="J17" i="19" s="1"/>
  <c r="I17" i="19" a="1"/>
  <c r="I17" i="19" s="1"/>
  <c r="H17" i="19" a="1"/>
  <c r="H17" i="19" s="1"/>
  <c r="G17" i="19" a="1"/>
  <c r="G17" i="19" s="1"/>
  <c r="F17" i="19" a="1"/>
  <c r="F17" i="19" s="1"/>
  <c r="E17" i="19" a="1"/>
  <c r="E17" i="19" s="1"/>
  <c r="D17" i="19" a="1"/>
  <c r="D17" i="19" s="1"/>
  <c r="C17" i="19" a="1"/>
  <c r="C17" i="19" s="1"/>
  <c r="B17" i="19" a="1"/>
  <c r="B17" i="19" s="1"/>
  <c r="U16" i="19" a="1"/>
  <c r="U16" i="19" s="1"/>
  <c r="T16" i="19" a="1"/>
  <c r="T16" i="19" s="1"/>
  <c r="S16" i="19" a="1"/>
  <c r="S16" i="19" s="1"/>
  <c r="Q16" i="19" a="1"/>
  <c r="Q16" i="19" s="1"/>
  <c r="P16" i="19"/>
  <c r="O16" i="19" a="1"/>
  <c r="O16" i="19" s="1"/>
  <c r="N16" i="19" a="1"/>
  <c r="N16" i="19" s="1"/>
  <c r="L16" i="19" a="1"/>
  <c r="L16" i="19" s="1"/>
  <c r="K16" i="19"/>
  <c r="J16" i="19" a="1"/>
  <c r="J16" i="19" s="1"/>
  <c r="I16" i="19" a="1"/>
  <c r="I16" i="19" s="1"/>
  <c r="H16" i="19" a="1"/>
  <c r="H16" i="19" s="1"/>
  <c r="G16" i="19" a="1"/>
  <c r="G16" i="19" s="1"/>
  <c r="F16" i="19" a="1"/>
  <c r="F16" i="19" s="1"/>
  <c r="E16" i="19" a="1"/>
  <c r="E16" i="19" s="1"/>
  <c r="D16" i="19" a="1"/>
  <c r="D16" i="19" s="1"/>
  <c r="C16" i="19" a="1"/>
  <c r="C16" i="19" s="1"/>
  <c r="B16" i="19" a="1"/>
  <c r="B16" i="19" s="1"/>
  <c r="U15" i="19" a="1"/>
  <c r="U15" i="19" s="1"/>
  <c r="T15" i="19" a="1"/>
  <c r="T15" i="19" s="1"/>
  <c r="S15" i="19" a="1"/>
  <c r="S15" i="19" s="1"/>
  <c r="Q15" i="19" a="1"/>
  <c r="Q15" i="19" s="1"/>
  <c r="P15" i="19"/>
  <c r="O15" i="19" a="1"/>
  <c r="O15" i="19" s="1"/>
  <c r="N15" i="19" a="1"/>
  <c r="N15" i="19" s="1"/>
  <c r="L15" i="19" a="1"/>
  <c r="L15" i="19" s="1"/>
  <c r="K15" i="19"/>
  <c r="J15" i="19" a="1"/>
  <c r="J15" i="19" s="1"/>
  <c r="I15" i="19" a="1"/>
  <c r="I15" i="19" s="1"/>
  <c r="H15" i="19" a="1"/>
  <c r="H15" i="19" s="1"/>
  <c r="G15" i="19" a="1"/>
  <c r="G15" i="19" s="1"/>
  <c r="F15" i="19" a="1"/>
  <c r="F15" i="19" s="1"/>
  <c r="E15" i="19" a="1"/>
  <c r="E15" i="19" s="1"/>
  <c r="D15" i="19" a="1"/>
  <c r="D15" i="19" s="1"/>
  <c r="C15" i="19" a="1"/>
  <c r="C15" i="19" s="1"/>
  <c r="B15" i="19" a="1"/>
  <c r="B15" i="19" s="1"/>
  <c r="U14" i="19" a="1"/>
  <c r="U14" i="19" s="1"/>
  <c r="T14" i="19" a="1"/>
  <c r="T14" i="19" s="1"/>
  <c r="S14" i="19" a="1"/>
  <c r="S14" i="19" s="1"/>
  <c r="Q14" i="19" a="1"/>
  <c r="Q14" i="19" s="1"/>
  <c r="P14" i="19"/>
  <c r="O14" i="19" a="1"/>
  <c r="O14" i="19" s="1"/>
  <c r="N14" i="19" a="1"/>
  <c r="N14" i="19" s="1"/>
  <c r="L14" i="19" a="1"/>
  <c r="L14" i="19" s="1"/>
  <c r="K14" i="19"/>
  <c r="J14" i="19" a="1"/>
  <c r="J14" i="19" s="1"/>
  <c r="I14" i="19" a="1"/>
  <c r="I14" i="19" s="1"/>
  <c r="H14" i="19" a="1"/>
  <c r="H14" i="19" s="1"/>
  <c r="G14" i="19" a="1"/>
  <c r="G14" i="19" s="1"/>
  <c r="F14" i="19" a="1"/>
  <c r="F14" i="19" s="1"/>
  <c r="E14" i="19" a="1"/>
  <c r="E14" i="19" s="1"/>
  <c r="D14" i="19" a="1"/>
  <c r="D14" i="19" s="1"/>
  <c r="C14" i="19" a="1"/>
  <c r="C14" i="19" s="1"/>
  <c r="B14" i="19" a="1"/>
  <c r="B14" i="19" s="1"/>
  <c r="U13" i="19" a="1"/>
  <c r="U13" i="19" s="1"/>
  <c r="T13" i="19" a="1"/>
  <c r="T13" i="19" s="1"/>
  <c r="S13" i="19" a="1"/>
  <c r="S13" i="19" s="1"/>
  <c r="Q13" i="19" a="1"/>
  <c r="Q13" i="19" s="1"/>
  <c r="P13" i="19"/>
  <c r="O13" i="19" a="1"/>
  <c r="O13" i="19" s="1"/>
  <c r="N13" i="19" a="1"/>
  <c r="N13" i="19" s="1"/>
  <c r="L13" i="19" a="1"/>
  <c r="L13" i="19" s="1"/>
  <c r="K13" i="19"/>
  <c r="J13" i="19" a="1"/>
  <c r="J13" i="19" s="1"/>
  <c r="I13" i="19" a="1"/>
  <c r="I13" i="19" s="1"/>
  <c r="H13" i="19" a="1"/>
  <c r="H13" i="19" s="1"/>
  <c r="G13" i="19" a="1"/>
  <c r="G13" i="19" s="1"/>
  <c r="F13" i="19" a="1"/>
  <c r="F13" i="19" s="1"/>
  <c r="E13" i="19" a="1"/>
  <c r="E13" i="19" s="1"/>
  <c r="D13" i="19" a="1"/>
  <c r="D13" i="19" s="1"/>
  <c r="C13" i="19" a="1"/>
  <c r="C13" i="19" s="1"/>
  <c r="B13" i="19" a="1"/>
  <c r="B13" i="19" s="1"/>
  <c r="U12" i="19" a="1"/>
  <c r="U12" i="19" s="1"/>
  <c r="T12" i="19" a="1"/>
  <c r="T12" i="19" s="1"/>
  <c r="S12" i="19" a="1"/>
  <c r="S12" i="19" s="1"/>
  <c r="Q12" i="19" a="1"/>
  <c r="Q12" i="19" s="1"/>
  <c r="P12" i="19"/>
  <c r="O12" i="19" a="1"/>
  <c r="O12" i="19" s="1"/>
  <c r="N12" i="19" a="1"/>
  <c r="N12" i="19" s="1"/>
  <c r="L12" i="19" a="1"/>
  <c r="L12" i="19" s="1"/>
  <c r="K12" i="19"/>
  <c r="J12" i="19" a="1"/>
  <c r="J12" i="19" s="1"/>
  <c r="I12" i="19" a="1"/>
  <c r="I12" i="19" s="1"/>
  <c r="H12" i="19" a="1"/>
  <c r="H12" i="19" s="1"/>
  <c r="G12" i="19" a="1"/>
  <c r="G12" i="19" s="1"/>
  <c r="F12" i="19" a="1"/>
  <c r="F12" i="19" s="1"/>
  <c r="E12" i="19" a="1"/>
  <c r="E12" i="19" s="1"/>
  <c r="D12" i="19" a="1"/>
  <c r="D12" i="19" s="1"/>
  <c r="C12" i="19" a="1"/>
  <c r="C12" i="19" s="1"/>
  <c r="B12" i="19" a="1"/>
  <c r="B12" i="19" s="1"/>
  <c r="U11" i="19" a="1"/>
  <c r="U11" i="19" s="1"/>
  <c r="T11" i="19" a="1"/>
  <c r="T11" i="19" s="1"/>
  <c r="S11" i="19" a="1"/>
  <c r="S11" i="19" s="1"/>
  <c r="Q11" i="19" a="1"/>
  <c r="Q11" i="19" s="1"/>
  <c r="P11" i="19"/>
  <c r="O11" i="19" a="1"/>
  <c r="O11" i="19" s="1"/>
  <c r="N11" i="19" a="1"/>
  <c r="N11" i="19" s="1"/>
  <c r="L11" i="19" a="1"/>
  <c r="L11" i="19" s="1"/>
  <c r="K11" i="19"/>
  <c r="J11" i="19" a="1"/>
  <c r="J11" i="19" s="1"/>
  <c r="I11" i="19" a="1"/>
  <c r="I11" i="19" s="1"/>
  <c r="H11" i="19" a="1"/>
  <c r="H11" i="19" s="1"/>
  <c r="G11" i="19" a="1"/>
  <c r="G11" i="19" s="1"/>
  <c r="F11" i="19" a="1"/>
  <c r="F11" i="19" s="1"/>
  <c r="E11" i="19" a="1"/>
  <c r="E11" i="19" s="1"/>
  <c r="D11" i="19" a="1"/>
  <c r="D11" i="19" s="1"/>
  <c r="C11" i="19" a="1"/>
  <c r="C11" i="19" s="1"/>
  <c r="B11" i="19" a="1"/>
  <c r="B11" i="19" s="1"/>
  <c r="U10" i="19" a="1"/>
  <c r="U10" i="19" s="1"/>
  <c r="T10" i="19" a="1"/>
  <c r="T10" i="19" s="1"/>
  <c r="S10" i="19" a="1"/>
  <c r="S10" i="19" s="1"/>
  <c r="Q10" i="19" a="1"/>
  <c r="Q10" i="19" s="1"/>
  <c r="P10" i="19"/>
  <c r="O10" i="19" a="1"/>
  <c r="O10" i="19" s="1"/>
  <c r="N10" i="19" a="1"/>
  <c r="N10" i="19" s="1"/>
  <c r="L10" i="19" a="1"/>
  <c r="L10" i="19" s="1"/>
  <c r="K10" i="19"/>
  <c r="J10" i="19" a="1"/>
  <c r="J10" i="19" s="1"/>
  <c r="I10" i="19" a="1"/>
  <c r="I10" i="19" s="1"/>
  <c r="H10" i="19" a="1"/>
  <c r="H10" i="19" s="1"/>
  <c r="G10" i="19" a="1"/>
  <c r="G10" i="19" s="1"/>
  <c r="F10" i="19" a="1"/>
  <c r="F10" i="19" s="1"/>
  <c r="E10" i="19" a="1"/>
  <c r="E10" i="19" s="1"/>
  <c r="D10" i="19" a="1"/>
  <c r="D10" i="19" s="1"/>
  <c r="C10" i="19" a="1"/>
  <c r="C10" i="19" s="1"/>
  <c r="B10" i="19" a="1"/>
  <c r="B10" i="19" s="1"/>
  <c r="U9" i="19" a="1"/>
  <c r="U9" i="19" s="1"/>
  <c r="T9" i="19" a="1"/>
  <c r="T9" i="19" s="1"/>
  <c r="S9" i="19" a="1"/>
  <c r="S9" i="19" s="1"/>
  <c r="Q9" i="19" a="1"/>
  <c r="Q9" i="19" s="1"/>
  <c r="P9" i="19"/>
  <c r="O9" i="19" a="1"/>
  <c r="O9" i="19" s="1"/>
  <c r="N9" i="19" a="1"/>
  <c r="N9" i="19" s="1"/>
  <c r="L9" i="19" a="1"/>
  <c r="L9" i="19" s="1"/>
  <c r="K9" i="19"/>
  <c r="J9" i="19" a="1"/>
  <c r="J9" i="19" s="1"/>
  <c r="I9" i="19" a="1"/>
  <c r="I9" i="19" s="1"/>
  <c r="H9" i="19" a="1"/>
  <c r="H9" i="19" s="1"/>
  <c r="G9" i="19" a="1"/>
  <c r="G9" i="19" s="1"/>
  <c r="F9" i="19" a="1"/>
  <c r="F9" i="19" s="1"/>
  <c r="E9" i="19" a="1"/>
  <c r="E9" i="19" s="1"/>
  <c r="D9" i="19" a="1"/>
  <c r="D9" i="19" s="1"/>
  <c r="C9" i="19" a="1"/>
  <c r="C9" i="19" s="1"/>
  <c r="B9" i="19" a="1"/>
  <c r="B9" i="19" s="1"/>
  <c r="U8" i="19" a="1"/>
  <c r="U8" i="19" s="1"/>
  <c r="T8" i="19" a="1"/>
  <c r="T8" i="19" s="1"/>
  <c r="S8" i="19" a="1"/>
  <c r="S8" i="19" s="1"/>
  <c r="Q8" i="19" a="1"/>
  <c r="Q8" i="19" s="1"/>
  <c r="P8" i="19"/>
  <c r="O8" i="19" a="1"/>
  <c r="O8" i="19" s="1"/>
  <c r="N8" i="19" a="1"/>
  <c r="N8" i="19" s="1"/>
  <c r="L8" i="19" a="1"/>
  <c r="L8" i="19" s="1"/>
  <c r="K8" i="19"/>
  <c r="J8" i="19" a="1"/>
  <c r="J8" i="19" s="1"/>
  <c r="I8" i="19" a="1"/>
  <c r="I8" i="19" s="1"/>
  <c r="H8" i="19" a="1"/>
  <c r="H8" i="19" s="1"/>
  <c r="G8" i="19" a="1"/>
  <c r="G8" i="19" s="1"/>
  <c r="F8" i="19" a="1"/>
  <c r="F8" i="19" s="1"/>
  <c r="E8" i="19" a="1"/>
  <c r="E8" i="19" s="1"/>
  <c r="D8" i="19" a="1"/>
  <c r="D8" i="19" s="1"/>
  <c r="C8" i="19" a="1"/>
  <c r="C8" i="19" s="1"/>
  <c r="B8" i="19" a="1"/>
  <c r="B8" i="19" s="1"/>
  <c r="U7" i="19" a="1"/>
  <c r="U7" i="19" s="1"/>
  <c r="T7" i="19" a="1"/>
  <c r="T7" i="19" s="1"/>
  <c r="S7" i="19" a="1"/>
  <c r="S7" i="19" s="1"/>
  <c r="Q7" i="19" a="1"/>
  <c r="Q7" i="19" s="1"/>
  <c r="P7" i="19"/>
  <c r="O7" i="19" a="1"/>
  <c r="O7" i="19" s="1"/>
  <c r="N7" i="19" a="1"/>
  <c r="N7" i="19" s="1"/>
  <c r="L7" i="19" a="1"/>
  <c r="L7" i="19" s="1"/>
  <c r="K7" i="19"/>
  <c r="J7" i="19" a="1"/>
  <c r="J7" i="19" s="1"/>
  <c r="I7" i="19" a="1"/>
  <c r="I7" i="19" s="1"/>
  <c r="H7" i="19" a="1"/>
  <c r="H7" i="19" s="1"/>
  <c r="G7" i="19" a="1"/>
  <c r="G7" i="19" s="1"/>
  <c r="F7" i="19" a="1"/>
  <c r="F7" i="19" s="1"/>
  <c r="E7" i="19" a="1"/>
  <c r="E7" i="19" s="1"/>
  <c r="D7" i="19" a="1"/>
  <c r="D7" i="19" s="1"/>
  <c r="C7" i="19" a="1"/>
  <c r="C7" i="19" s="1"/>
  <c r="B7" i="19" a="1"/>
  <c r="B7" i="19" s="1"/>
  <c r="U6" i="19" a="1"/>
  <c r="U6" i="19" s="1"/>
  <c r="T6" i="19" a="1"/>
  <c r="T6" i="19" s="1"/>
  <c r="S6" i="19" a="1"/>
  <c r="S6" i="19" s="1"/>
  <c r="Q6" i="19" a="1"/>
  <c r="Q6" i="19" s="1"/>
  <c r="P6" i="19"/>
  <c r="O6" i="19" a="1"/>
  <c r="O6" i="19" s="1"/>
  <c r="N6" i="19" a="1"/>
  <c r="N6" i="19" s="1"/>
  <c r="L6" i="19" a="1"/>
  <c r="L6" i="19" s="1"/>
  <c r="K6" i="19"/>
  <c r="J6" i="19" a="1"/>
  <c r="J6" i="19" s="1"/>
  <c r="I6" i="19" a="1"/>
  <c r="I6" i="19" s="1"/>
  <c r="H6" i="19" a="1"/>
  <c r="H6" i="19" s="1"/>
  <c r="G6" i="19" a="1"/>
  <c r="G6" i="19" s="1"/>
  <c r="F6" i="19" a="1"/>
  <c r="F6" i="19" s="1"/>
  <c r="E6" i="19" a="1"/>
  <c r="E6" i="19" s="1"/>
  <c r="D6" i="19" a="1"/>
  <c r="D6" i="19" s="1"/>
  <c r="C6" i="19" a="1"/>
  <c r="C6" i="19" s="1"/>
  <c r="B6" i="19" a="1"/>
  <c r="B6" i="19" s="1"/>
  <c r="U5" i="19" a="1"/>
  <c r="U5" i="19" s="1"/>
  <c r="T5" i="19" a="1"/>
  <c r="T5" i="19" s="1"/>
  <c r="S5" i="19" a="1"/>
  <c r="S5" i="19" s="1"/>
  <c r="Q5" i="19" a="1"/>
  <c r="Q5" i="19" s="1"/>
  <c r="P5" i="19"/>
  <c r="O5" i="19" a="1"/>
  <c r="O5" i="19" s="1"/>
  <c r="N5" i="19" a="1"/>
  <c r="N5" i="19" s="1"/>
  <c r="L5" i="19" a="1"/>
  <c r="L5" i="19" s="1"/>
  <c r="K5" i="19"/>
  <c r="J5" i="19" a="1"/>
  <c r="J5" i="19" s="1"/>
  <c r="I5" i="19" a="1"/>
  <c r="I5" i="19" s="1"/>
  <c r="G5" i="19" a="1"/>
  <c r="G5" i="19" s="1"/>
  <c r="F5" i="19" a="1"/>
  <c r="F5" i="19" s="1"/>
  <c r="E5" i="19" a="1"/>
  <c r="E5" i="19" s="1"/>
  <c r="D5" i="19" a="1"/>
  <c r="D5" i="19" s="1"/>
  <c r="C5" i="19" a="1"/>
  <c r="C5" i="19" s="1"/>
  <c r="B5" i="19" a="1"/>
  <c r="B5" i="19" s="1"/>
  <c r="A26" i="18"/>
  <c r="A19" i="18"/>
  <c r="A14" i="18"/>
  <c r="D14" i="18" s="1"/>
  <c r="D7" i="23" l="1"/>
  <c r="A7" i="23" s="1"/>
  <c r="D14" i="23"/>
  <c r="A14" i="23" s="1"/>
  <c r="D15" i="23"/>
  <c r="A15" i="23" s="1"/>
  <c r="D16" i="23"/>
  <c r="A16" i="23" s="1"/>
  <c r="D13" i="23"/>
  <c r="A13" i="23" s="1"/>
  <c r="D10" i="23"/>
  <c r="A10" i="23" s="1"/>
  <c r="D9" i="23"/>
  <c r="A9" i="23" s="1"/>
  <c r="D8" i="23"/>
  <c r="A8" i="23" s="1"/>
  <c r="E6" i="9" a="1"/>
  <c r="E6" i="9" s="1"/>
  <c r="V5" i="9"/>
  <c r="A11" i="23" l="1"/>
  <c r="A6" i="9"/>
  <c r="D6" i="9"/>
  <c r="E7" i="9" a="1"/>
  <c r="E7" i="9" s="1"/>
  <c r="C6" i="9"/>
  <c r="M587" i="19" a="1"/>
  <c r="M587" i="19" s="1"/>
  <c r="R585" i="19" a="1"/>
  <c r="R585" i="19" s="1"/>
  <c r="M585" i="19" a="1"/>
  <c r="M585" i="19" s="1"/>
  <c r="M582" i="19" a="1"/>
  <c r="M582" i="19" s="1"/>
  <c r="R581" i="19" a="1"/>
  <c r="R581" i="19" s="1"/>
  <c r="M564" i="19" a="1"/>
  <c r="M564" i="19" s="1"/>
  <c r="R560" i="19" a="1"/>
  <c r="R560" i="19" s="1"/>
  <c r="M560" i="19" a="1"/>
  <c r="M560" i="19" s="1"/>
  <c r="M559" i="19" a="1"/>
  <c r="M559" i="19" s="1"/>
  <c r="M553" i="19" a="1"/>
  <c r="M553" i="19" s="1"/>
  <c r="R540" i="19" a="1"/>
  <c r="R540" i="19" s="1"/>
  <c r="R536" i="19" a="1"/>
  <c r="R536" i="19" s="1"/>
  <c r="M535" i="19" a="1"/>
  <c r="M535" i="19" s="1"/>
  <c r="M523" i="19" a="1"/>
  <c r="M523" i="19" s="1"/>
  <c r="R520" i="19" a="1"/>
  <c r="R520" i="19" s="1"/>
  <c r="M519" i="19" a="1"/>
  <c r="M519" i="19" s="1"/>
  <c r="R513" i="19" a="1"/>
  <c r="R513" i="19" s="1"/>
  <c r="R510" i="19" a="1"/>
  <c r="R510" i="19" s="1"/>
  <c r="R506" i="19" a="1"/>
  <c r="R506" i="19" s="1"/>
  <c r="M506" i="19" a="1"/>
  <c r="M506" i="19" s="1"/>
  <c r="R493" i="19" a="1"/>
  <c r="R493" i="19" s="1"/>
  <c r="M493" i="19" a="1"/>
  <c r="M493" i="19" s="1"/>
  <c r="R492" i="19" a="1"/>
  <c r="R492" i="19" s="1"/>
  <c r="M492" i="19" a="1"/>
  <c r="M492" i="19" s="1"/>
  <c r="R491" i="19" a="1"/>
  <c r="R491" i="19" s="1"/>
  <c r="M491" i="19" a="1"/>
  <c r="M491" i="19" s="1"/>
  <c r="R490" i="19" a="1"/>
  <c r="R490" i="19" s="1"/>
  <c r="M490" i="19" a="1"/>
  <c r="M490" i="19" s="1"/>
  <c r="R489" i="19" a="1"/>
  <c r="R489" i="19" s="1"/>
  <c r="M489" i="19" a="1"/>
  <c r="M489" i="19" s="1"/>
  <c r="R488" i="19" a="1"/>
  <c r="R488" i="19" s="1"/>
  <c r="M488" i="19" a="1"/>
  <c r="M488" i="19" s="1"/>
  <c r="R487" i="19" a="1"/>
  <c r="R487" i="19" s="1"/>
  <c r="M487" i="19" a="1"/>
  <c r="M487" i="19" s="1"/>
  <c r="M471" i="19" a="1"/>
  <c r="M471" i="19" s="1"/>
  <c r="R469" i="19" a="1"/>
  <c r="R469" i="19" s="1"/>
  <c r="M462" i="19" a="1"/>
  <c r="M462" i="19" s="1"/>
  <c r="M459" i="19" a="1"/>
  <c r="M459" i="19" s="1"/>
  <c r="R456" i="19" a="1"/>
  <c r="R456" i="19" s="1"/>
  <c r="R452" i="19" a="1"/>
  <c r="R452" i="19" s="1"/>
  <c r="R444" i="19" a="1"/>
  <c r="R444" i="19" s="1"/>
  <c r="R592" i="19" a="1"/>
  <c r="R592" i="19" s="1"/>
  <c r="M592" i="19" a="1"/>
  <c r="M592" i="19" s="1"/>
  <c r="M588" i="19" a="1"/>
  <c r="M588" i="19" s="1"/>
  <c r="R587" i="19" a="1"/>
  <c r="R587" i="19" s="1"/>
  <c r="M583" i="19" a="1"/>
  <c r="M583" i="19" s="1"/>
  <c r="R582" i="19" a="1"/>
  <c r="R582" i="19" s="1"/>
  <c r="R564" i="19" a="1"/>
  <c r="R564" i="19" s="1"/>
  <c r="R559" i="19" a="1"/>
  <c r="R559" i="19" s="1"/>
  <c r="R535" i="19" a="1"/>
  <c r="R535" i="19" s="1"/>
  <c r="R523" i="19" a="1"/>
  <c r="R523" i="19" s="1"/>
  <c r="R519" i="19" a="1"/>
  <c r="R519" i="19" s="1"/>
  <c r="R518" i="19" a="1"/>
  <c r="R518" i="19" s="1"/>
  <c r="M518" i="19" a="1"/>
  <c r="M518" i="19" s="1"/>
  <c r="M510" i="19" a="1"/>
  <c r="M510" i="19" s="1"/>
  <c r="R505" i="19" a="1"/>
  <c r="R505" i="19" s="1"/>
  <c r="M505" i="19" a="1"/>
  <c r="M505" i="19" s="1"/>
  <c r="R500" i="19" a="1"/>
  <c r="R500" i="19" s="1"/>
  <c r="M500" i="19" a="1"/>
  <c r="M500" i="19" s="1"/>
  <c r="R496" i="19" a="1"/>
  <c r="R496" i="19" s="1"/>
  <c r="R486" i="19" a="1"/>
  <c r="R486" i="19" s="1"/>
  <c r="M486" i="19" a="1"/>
  <c r="M486" i="19" s="1"/>
  <c r="R485" i="19" a="1"/>
  <c r="R485" i="19" s="1"/>
  <c r="M485" i="19" a="1"/>
  <c r="M485" i="19" s="1"/>
  <c r="M473" i="19" a="1"/>
  <c r="M473" i="19" s="1"/>
  <c r="R471" i="19" a="1"/>
  <c r="R471" i="19" s="1"/>
  <c r="R466" i="19" a="1"/>
  <c r="R466" i="19" s="1"/>
  <c r="M466" i="19" a="1"/>
  <c r="M466" i="19" s="1"/>
  <c r="M455" i="19" a="1"/>
  <c r="M455" i="19" s="1"/>
  <c r="R451" i="19" a="1"/>
  <c r="R451" i="19" s="1"/>
  <c r="M451" i="19" a="1"/>
  <c r="M451" i="19" s="1"/>
  <c r="M450" i="19" a="1"/>
  <c r="M450" i="19" s="1"/>
  <c r="R443" i="19" a="1"/>
  <c r="R443" i="19" s="1"/>
  <c r="M443" i="19" a="1"/>
  <c r="M443" i="19" s="1"/>
  <c r="M442" i="19" a="1"/>
  <c r="M442" i="19" s="1"/>
  <c r="R437" i="19" a="1"/>
  <c r="R437" i="19" s="1"/>
  <c r="M437" i="19" a="1"/>
  <c r="M437" i="19" s="1"/>
  <c r="M433" i="19" a="1"/>
  <c r="M433" i="19" s="1"/>
  <c r="M426" i="19" a="1"/>
  <c r="M426" i="19" s="1"/>
  <c r="R424" i="19" a="1"/>
  <c r="R424" i="19" s="1"/>
  <c r="M591" i="19" a="1"/>
  <c r="M591" i="19" s="1"/>
  <c r="M589" i="19" a="1"/>
  <c r="M589" i="19" s="1"/>
  <c r="R588" i="19" a="1"/>
  <c r="R588" i="19" s="1"/>
  <c r="R583" i="19" a="1"/>
  <c r="R583" i="19" s="1"/>
  <c r="M577" i="19" a="1"/>
  <c r="M577" i="19" s="1"/>
  <c r="R569" i="19" a="1"/>
  <c r="R569" i="19" s="1"/>
  <c r="M569" i="19" a="1"/>
  <c r="M569" i="19" s="1"/>
  <c r="M567" i="19" a="1"/>
  <c r="M567" i="19" s="1"/>
  <c r="M563" i="19" a="1"/>
  <c r="M563" i="19" s="1"/>
  <c r="R558" i="19" a="1"/>
  <c r="R558" i="19" s="1"/>
  <c r="M558" i="19" a="1"/>
  <c r="M558" i="19" s="1"/>
  <c r="M557" i="19" a="1"/>
  <c r="M557" i="19" s="1"/>
  <c r="R554" i="19" a="1"/>
  <c r="R554" i="19" s="1"/>
  <c r="M554" i="19" a="1"/>
  <c r="M554" i="19" s="1"/>
  <c r="R553" i="19" a="1"/>
  <c r="R553" i="19" s="1"/>
  <c r="M552" i="19" a="1"/>
  <c r="M552" i="19" s="1"/>
  <c r="R546" i="19" a="1"/>
  <c r="R546" i="19" s="1"/>
  <c r="M546" i="19" a="1"/>
  <c r="M546" i="19" s="1"/>
  <c r="R545" i="19" a="1"/>
  <c r="R545" i="19" s="1"/>
  <c r="M545" i="19" a="1"/>
  <c r="M545" i="19" s="1"/>
  <c r="M514" i="19" a="1"/>
  <c r="M514" i="19" s="1"/>
  <c r="M511" i="19" a="1"/>
  <c r="M511" i="19" s="1"/>
  <c r="R502" i="19" a="1"/>
  <c r="R502" i="19" s="1"/>
  <c r="M502" i="19" a="1"/>
  <c r="M502" i="19" s="1"/>
  <c r="M496" i="19" a="1"/>
  <c r="M496" i="19" s="1"/>
  <c r="R484" i="19" a="1"/>
  <c r="R484" i="19" s="1"/>
  <c r="M484" i="19" a="1"/>
  <c r="M484" i="19" s="1"/>
  <c r="R473" i="19" a="1"/>
  <c r="R473" i="19" s="1"/>
  <c r="M461" i="19" a="1"/>
  <c r="M461" i="19" s="1"/>
  <c r="R459" i="19" a="1"/>
  <c r="R459" i="19" s="1"/>
  <c r="R455" i="19" a="1"/>
  <c r="R455" i="19" s="1"/>
  <c r="R450" i="19" a="1"/>
  <c r="R450" i="19" s="1"/>
  <c r="R442" i="19" a="1"/>
  <c r="R442" i="19" s="1"/>
  <c r="R439" i="19" a="1"/>
  <c r="R439" i="19" s="1"/>
  <c r="M439" i="19" a="1"/>
  <c r="M439" i="19" s="1"/>
  <c r="R433" i="19" a="1"/>
  <c r="R433" i="19" s="1"/>
  <c r="R429" i="19" a="1"/>
  <c r="R429" i="19" s="1"/>
  <c r="M428" i="19" a="1"/>
  <c r="M428" i="19" s="1"/>
  <c r="R425" i="19" a="1"/>
  <c r="R425" i="19" s="1"/>
  <c r="R420" i="19" a="1"/>
  <c r="R420" i="19" s="1"/>
  <c r="R591" i="19" a="1"/>
  <c r="R591" i="19" s="1"/>
  <c r="M590" i="19" a="1"/>
  <c r="M590" i="19" s="1"/>
  <c r="R589" i="19" a="1"/>
  <c r="R589" i="19" s="1"/>
  <c r="M586" i="19" a="1"/>
  <c r="M586" i="19" s="1"/>
  <c r="M584" i="19" a="1"/>
  <c r="M584" i="19" s="1"/>
  <c r="M579" i="19" a="1"/>
  <c r="M579" i="19" s="1"/>
  <c r="R577" i="19" a="1"/>
  <c r="R577" i="19" s="1"/>
  <c r="R571" i="19" a="1"/>
  <c r="R571" i="19" s="1"/>
  <c r="M571" i="19" a="1"/>
  <c r="M571" i="19" s="1"/>
  <c r="R567" i="19" a="1"/>
  <c r="R567" i="19" s="1"/>
  <c r="M566" i="19" a="1"/>
  <c r="M566" i="19" s="1"/>
  <c r="R563" i="19" a="1"/>
  <c r="R563" i="19" s="1"/>
  <c r="R557" i="19" a="1"/>
  <c r="R557" i="19" s="1"/>
  <c r="M555" i="19" a="1"/>
  <c r="M555" i="19" s="1"/>
  <c r="M551" i="19" a="1"/>
  <c r="M551" i="19" s="1"/>
  <c r="R544" i="19" a="1"/>
  <c r="R544" i="19" s="1"/>
  <c r="M544" i="19" a="1"/>
  <c r="M544" i="19" s="1"/>
  <c r="R539" i="19" a="1"/>
  <c r="R539" i="19" s="1"/>
  <c r="M539" i="19" a="1"/>
  <c r="M539" i="19" s="1"/>
  <c r="R534" i="19" a="1"/>
  <c r="R534" i="19" s="1"/>
  <c r="M534" i="19" a="1"/>
  <c r="M534" i="19" s="1"/>
  <c r="M522" i="19" a="1"/>
  <c r="M522" i="19" s="1"/>
  <c r="R517" i="19" a="1"/>
  <c r="R517" i="19" s="1"/>
  <c r="M517" i="19" a="1"/>
  <c r="M517" i="19" s="1"/>
  <c r="M516" i="19" a="1"/>
  <c r="M516" i="19" s="1"/>
  <c r="R511" i="19" a="1"/>
  <c r="R511" i="19" s="1"/>
  <c r="R509" i="19" a="1"/>
  <c r="R509" i="19" s="1"/>
  <c r="M509" i="19" a="1"/>
  <c r="M509" i="19" s="1"/>
  <c r="R504" i="19" a="1"/>
  <c r="R504" i="19" s="1"/>
  <c r="M504" i="19" a="1"/>
  <c r="M504" i="19" s="1"/>
  <c r="R497" i="19" a="1"/>
  <c r="R497" i="19" s="1"/>
  <c r="R468" i="19" a="1"/>
  <c r="R468" i="19" s="1"/>
  <c r="M468" i="19" a="1"/>
  <c r="M468" i="19" s="1"/>
  <c r="M465" i="19" a="1"/>
  <c r="M465" i="19" s="1"/>
  <c r="M463" i="19" a="1"/>
  <c r="M463" i="19" s="1"/>
  <c r="M454" i="19" a="1"/>
  <c r="M454" i="19" s="1"/>
  <c r="R449" i="19" a="1"/>
  <c r="R449" i="19" s="1"/>
  <c r="M449" i="19" a="1"/>
  <c r="M449" i="19" s="1"/>
  <c r="M448" i="19" a="1"/>
  <c r="M448" i="19" s="1"/>
  <c r="R604" i="19" a="1"/>
  <c r="R604" i="19" s="1"/>
  <c r="M604" i="19" a="1"/>
  <c r="M604" i="19" s="1"/>
  <c r="R603" i="19" a="1"/>
  <c r="R603" i="19" s="1"/>
  <c r="M603" i="19" a="1"/>
  <c r="M603" i="19" s="1"/>
  <c r="R602" i="19" a="1"/>
  <c r="R602" i="19" s="1"/>
  <c r="M602" i="19" a="1"/>
  <c r="M602" i="19" s="1"/>
  <c r="R601" i="19" a="1"/>
  <c r="R601" i="19" s="1"/>
  <c r="M601" i="19" a="1"/>
  <c r="M601" i="19" s="1"/>
  <c r="R600" i="19" a="1"/>
  <c r="R600" i="19" s="1"/>
  <c r="M600" i="19" a="1"/>
  <c r="M600" i="19" s="1"/>
  <c r="R599" i="19" a="1"/>
  <c r="R599" i="19" s="1"/>
  <c r="M599" i="19" a="1"/>
  <c r="M599" i="19" s="1"/>
  <c r="R598" i="19" a="1"/>
  <c r="R598" i="19" s="1"/>
  <c r="M598" i="19" a="1"/>
  <c r="M598" i="19" s="1"/>
  <c r="R597" i="19" a="1"/>
  <c r="R597" i="19" s="1"/>
  <c r="M597" i="19" a="1"/>
  <c r="M597" i="19" s="1"/>
  <c r="R596" i="19" a="1"/>
  <c r="R596" i="19" s="1"/>
  <c r="M596" i="19" a="1"/>
  <c r="M596" i="19" s="1"/>
  <c r="R595" i="19" a="1"/>
  <c r="R595" i="19" s="1"/>
  <c r="M595" i="19" a="1"/>
  <c r="M595" i="19" s="1"/>
  <c r="R590" i="19" a="1"/>
  <c r="R590" i="19" s="1"/>
  <c r="R586" i="19" a="1"/>
  <c r="R586" i="19" s="1"/>
  <c r="R584" i="19" a="1"/>
  <c r="R584" i="19" s="1"/>
  <c r="R579" i="19" a="1"/>
  <c r="R579" i="19" s="1"/>
  <c r="M575" i="19" a="1"/>
  <c r="M575" i="19" s="1"/>
  <c r="R573" i="19" a="1"/>
  <c r="R573" i="19" s="1"/>
  <c r="M573" i="19" a="1"/>
  <c r="M573" i="19" s="1"/>
  <c r="M562" i="19" a="1"/>
  <c r="M562" i="19" s="1"/>
  <c r="R556" i="19" a="1"/>
  <c r="R556" i="19" s="1"/>
  <c r="M556" i="19" a="1"/>
  <c r="M556" i="19" s="1"/>
  <c r="R552" i="19" a="1"/>
  <c r="R552" i="19" s="1"/>
  <c r="R550" i="19" a="1"/>
  <c r="R550" i="19" s="1"/>
  <c r="M550" i="19" a="1"/>
  <c r="M550" i="19" s="1"/>
  <c r="R549" i="19" a="1"/>
  <c r="R549" i="19" s="1"/>
  <c r="M549" i="19" a="1"/>
  <c r="M549" i="19" s="1"/>
  <c r="R543" i="19" a="1"/>
  <c r="R543" i="19" s="1"/>
  <c r="M543" i="19" a="1"/>
  <c r="M543" i="19" s="1"/>
  <c r="R542" i="19" a="1"/>
  <c r="R542" i="19" s="1"/>
  <c r="M542" i="19" a="1"/>
  <c r="M542" i="19" s="1"/>
  <c r="R541" i="19" a="1"/>
  <c r="R541" i="19" s="1"/>
  <c r="M541" i="19" a="1"/>
  <c r="M541" i="19" s="1"/>
  <c r="M532" i="19" a="1"/>
  <c r="M532" i="19" s="1"/>
  <c r="R531" i="19" a="1"/>
  <c r="R531" i="19" s="1"/>
  <c r="M531" i="19" a="1"/>
  <c r="M531" i="19" s="1"/>
  <c r="R530" i="19" a="1"/>
  <c r="R530" i="19" s="1"/>
  <c r="M530" i="19" a="1"/>
  <c r="M530" i="19" s="1"/>
  <c r="R529" i="19" a="1"/>
  <c r="R529" i="19" s="1"/>
  <c r="M529" i="19" a="1"/>
  <c r="M529" i="19" s="1"/>
  <c r="R528" i="19" a="1"/>
  <c r="R528" i="19" s="1"/>
  <c r="M528" i="19" a="1"/>
  <c r="M528" i="19" s="1"/>
  <c r="R527" i="19" a="1"/>
  <c r="R527" i="19" s="1"/>
  <c r="M527" i="19" a="1"/>
  <c r="M527" i="19" s="1"/>
  <c r="R526" i="19" a="1"/>
  <c r="R526" i="19" s="1"/>
  <c r="M526" i="19" a="1"/>
  <c r="M526" i="19" s="1"/>
  <c r="R522" i="19" a="1"/>
  <c r="R522" i="19" s="1"/>
  <c r="R516" i="19" a="1"/>
  <c r="R516" i="19" s="1"/>
  <c r="M515" i="19" a="1"/>
  <c r="M515" i="19" s="1"/>
  <c r="R514" i="19" a="1"/>
  <c r="R514" i="19" s="1"/>
  <c r="M512" i="19" a="1"/>
  <c r="M512" i="19" s="1"/>
  <c r="R503" i="19" a="1"/>
  <c r="R503" i="19" s="1"/>
  <c r="M503" i="19" a="1"/>
  <c r="M503" i="19" s="1"/>
  <c r="R499" i="19" a="1"/>
  <c r="R499" i="19" s="1"/>
  <c r="M499" i="19" a="1"/>
  <c r="M499" i="19" s="1"/>
  <c r="M497" i="19" a="1"/>
  <c r="M497" i="19" s="1"/>
  <c r="R575" i="19" a="1"/>
  <c r="R575" i="19" s="1"/>
  <c r="R566" i="19" a="1"/>
  <c r="R566" i="19" s="1"/>
  <c r="R562" i="19" a="1"/>
  <c r="R562" i="19" s="1"/>
  <c r="R555" i="19" a="1"/>
  <c r="R555" i="19" s="1"/>
  <c r="R551" i="19" a="1"/>
  <c r="R551" i="19" s="1"/>
  <c r="M538" i="19" a="1"/>
  <c r="M538" i="19" s="1"/>
  <c r="M533" i="19" a="1"/>
  <c r="M533" i="19" s="1"/>
  <c r="R532" i="19" a="1"/>
  <c r="R532" i="19" s="1"/>
  <c r="R525" i="19" a="1"/>
  <c r="R525" i="19" s="1"/>
  <c r="M525" i="19" a="1"/>
  <c r="M525" i="19" s="1"/>
  <c r="M521" i="19" a="1"/>
  <c r="M521" i="19" s="1"/>
  <c r="R515" i="19" a="1"/>
  <c r="R515" i="19" s="1"/>
  <c r="R512" i="19" a="1"/>
  <c r="R512" i="19" s="1"/>
  <c r="R508" i="19" a="1"/>
  <c r="R508" i="19" s="1"/>
  <c r="M508" i="19" a="1"/>
  <c r="M508" i="19" s="1"/>
  <c r="R472" i="19" a="1"/>
  <c r="R472" i="19" s="1"/>
  <c r="M472" i="19" a="1"/>
  <c r="M472" i="19" s="1"/>
  <c r="R465" i="19" a="1"/>
  <c r="R465" i="19" s="1"/>
  <c r="R463" i="19" a="1"/>
  <c r="R463" i="19" s="1"/>
  <c r="M457" i="19" a="1"/>
  <c r="M457" i="19" s="1"/>
  <c r="M453" i="19" a="1"/>
  <c r="M453" i="19" s="1"/>
  <c r="R447" i="19" a="1"/>
  <c r="R447" i="19" s="1"/>
  <c r="M447" i="19" a="1"/>
  <c r="M447" i="19" s="1"/>
  <c r="M446" i="19" a="1"/>
  <c r="M446" i="19" s="1"/>
  <c r="M438" i="19" a="1"/>
  <c r="M438" i="19" s="1"/>
  <c r="M435" i="19" a="1"/>
  <c r="M435" i="19" s="1"/>
  <c r="M431" i="19" a="1"/>
  <c r="M431" i="19" s="1"/>
  <c r="R427" i="19" a="1"/>
  <c r="R427" i="19" s="1"/>
  <c r="R421" i="19" a="1"/>
  <c r="R421" i="19" s="1"/>
  <c r="R413" i="19" a="1"/>
  <c r="R413" i="19" s="1"/>
  <c r="R409" i="19" a="1"/>
  <c r="R409" i="19" s="1"/>
  <c r="R594" i="19" a="1"/>
  <c r="R594" i="19" s="1"/>
  <c r="M594" i="19" a="1"/>
  <c r="M594" i="19" s="1"/>
  <c r="M580" i="19" a="1"/>
  <c r="M580" i="19" s="1"/>
  <c r="M578" i="19" a="1"/>
  <c r="M578" i="19" s="1"/>
  <c r="R570" i="19" a="1"/>
  <c r="R570" i="19" s="1"/>
  <c r="M570" i="19" a="1"/>
  <c r="M570" i="19" s="1"/>
  <c r="R568" i="19" a="1"/>
  <c r="R568" i="19" s="1"/>
  <c r="M568" i="19" a="1"/>
  <c r="M568" i="19" s="1"/>
  <c r="R565" i="19" a="1"/>
  <c r="R565" i="19" s="1"/>
  <c r="M565" i="19" a="1"/>
  <c r="M565" i="19" s="1"/>
  <c r="M561" i="19" a="1"/>
  <c r="M561" i="19" s="1"/>
  <c r="R538" i="19" a="1"/>
  <c r="R538" i="19" s="1"/>
  <c r="M537" i="19" a="1"/>
  <c r="M537" i="19" s="1"/>
  <c r="R533" i="19" a="1"/>
  <c r="R533" i="19" s="1"/>
  <c r="R521" i="19" a="1"/>
  <c r="R521" i="19" s="1"/>
  <c r="M513" i="19" a="1"/>
  <c r="M513" i="19" s="1"/>
  <c r="R507" i="19" a="1"/>
  <c r="R507" i="19" s="1"/>
  <c r="M507" i="19" a="1"/>
  <c r="M507" i="19" s="1"/>
  <c r="R501" i="19" a="1"/>
  <c r="R501" i="19" s="1"/>
  <c r="M501" i="19" a="1"/>
  <c r="M501" i="19" s="1"/>
  <c r="R495" i="19" a="1"/>
  <c r="R495" i="19" s="1"/>
  <c r="M495" i="19" a="1"/>
  <c r="M495" i="19" s="1"/>
  <c r="R482" i="19" a="1"/>
  <c r="R482" i="19" s="1"/>
  <c r="M482" i="19" a="1"/>
  <c r="M482" i="19" s="1"/>
  <c r="R481" i="19" a="1"/>
  <c r="R481" i="19" s="1"/>
  <c r="M481" i="19" a="1"/>
  <c r="M481" i="19" s="1"/>
  <c r="R480" i="19" a="1"/>
  <c r="R480" i="19" s="1"/>
  <c r="M480" i="19" a="1"/>
  <c r="M480" i="19" s="1"/>
  <c r="R479" i="19" a="1"/>
  <c r="R479" i="19" s="1"/>
  <c r="M479" i="19" a="1"/>
  <c r="M479" i="19" s="1"/>
  <c r="R478" i="19" a="1"/>
  <c r="R478" i="19" s="1"/>
  <c r="M478" i="19" a="1"/>
  <c r="M478" i="19" s="1"/>
  <c r="R477" i="19" a="1"/>
  <c r="R477" i="19" s="1"/>
  <c r="M477" i="19" a="1"/>
  <c r="M477" i="19" s="1"/>
  <c r="R476" i="19" a="1"/>
  <c r="R476" i="19" s="1"/>
  <c r="M476" i="19" a="1"/>
  <c r="M476" i="19" s="1"/>
  <c r="R475" i="19" a="1"/>
  <c r="R475" i="19" s="1"/>
  <c r="M475" i="19" a="1"/>
  <c r="M475" i="19" s="1"/>
  <c r="R474" i="19" a="1"/>
  <c r="R474" i="19" s="1"/>
  <c r="M474" i="19" a="1"/>
  <c r="M474" i="19" s="1"/>
  <c r="M467" i="19" a="1"/>
  <c r="M467" i="19" s="1"/>
  <c r="R460" i="19" a="1"/>
  <c r="R460" i="19" s="1"/>
  <c r="M460" i="19" a="1"/>
  <c r="M460" i="19" s="1"/>
  <c r="R457" i="19" a="1"/>
  <c r="R457" i="19" s="1"/>
  <c r="R453" i="19" a="1"/>
  <c r="R453" i="19" s="1"/>
  <c r="R446" i="19" a="1"/>
  <c r="R446" i="19" s="1"/>
  <c r="M440" i="19" a="1"/>
  <c r="M440" i="19" s="1"/>
  <c r="R438" i="19" a="1"/>
  <c r="R438" i="19" s="1"/>
  <c r="R435" i="19" a="1"/>
  <c r="R435" i="19" s="1"/>
  <c r="R431" i="19" a="1"/>
  <c r="R431" i="19" s="1"/>
  <c r="R593" i="19" a="1"/>
  <c r="R593" i="19" s="1"/>
  <c r="M593" i="19" a="1"/>
  <c r="M593" i="19" s="1"/>
  <c r="M581" i="19" a="1"/>
  <c r="M581" i="19" s="1"/>
  <c r="R580" i="19" a="1"/>
  <c r="R580" i="19" s="1"/>
  <c r="R578" i="19" a="1"/>
  <c r="R578" i="19" s="1"/>
  <c r="R576" i="19" a="1"/>
  <c r="R576" i="19" s="1"/>
  <c r="M576" i="19" a="1"/>
  <c r="M576" i="19" s="1"/>
  <c r="R574" i="19" a="1"/>
  <c r="R574" i="19" s="1"/>
  <c r="M574" i="19" a="1"/>
  <c r="M574" i="19" s="1"/>
  <c r="R572" i="19" a="1"/>
  <c r="R572" i="19" s="1"/>
  <c r="M572" i="19" a="1"/>
  <c r="M572" i="19" s="1"/>
  <c r="R561" i="19" a="1"/>
  <c r="R561" i="19" s="1"/>
  <c r="R548" i="19" a="1"/>
  <c r="R548" i="19" s="1"/>
  <c r="M548" i="19" a="1"/>
  <c r="M548" i="19" s="1"/>
  <c r="R547" i="19" a="1"/>
  <c r="R547" i="19" s="1"/>
  <c r="M547" i="19" a="1"/>
  <c r="M547" i="19" s="1"/>
  <c r="M540" i="19" a="1"/>
  <c r="M540" i="19" s="1"/>
  <c r="R537" i="19" a="1"/>
  <c r="R537" i="19" s="1"/>
  <c r="M536" i="19" a="1"/>
  <c r="M536" i="19" s="1"/>
  <c r="R524" i="19" a="1"/>
  <c r="R524" i="19" s="1"/>
  <c r="M524" i="19" a="1"/>
  <c r="M524" i="19" s="1"/>
  <c r="M520" i="19" a="1"/>
  <c r="M520" i="19" s="1"/>
  <c r="R498" i="19" a="1"/>
  <c r="R498" i="19" s="1"/>
  <c r="M498" i="19" a="1"/>
  <c r="M498" i="19" s="1"/>
  <c r="R494" i="19" a="1"/>
  <c r="R494" i="19" s="1"/>
  <c r="M494" i="19" a="1"/>
  <c r="M494" i="19" s="1"/>
  <c r="M469" i="19" a="1"/>
  <c r="M469" i="19" s="1"/>
  <c r="R467" i="19" a="1"/>
  <c r="R467" i="19" s="1"/>
  <c r="R464" i="19" a="1"/>
  <c r="R464" i="19" s="1"/>
  <c r="M464" i="19" a="1"/>
  <c r="M464" i="19" s="1"/>
  <c r="R462" i="19" a="1"/>
  <c r="R462" i="19" s="1"/>
  <c r="M456" i="19" a="1"/>
  <c r="M456" i="19" s="1"/>
  <c r="M452" i="19" a="1"/>
  <c r="M452" i="19" s="1"/>
  <c r="R445" i="19" a="1"/>
  <c r="R445" i="19" s="1"/>
  <c r="M445" i="19" a="1"/>
  <c r="M445" i="19" s="1"/>
  <c r="M444" i="19" a="1"/>
  <c r="M444" i="19" s="1"/>
  <c r="R440" i="19" a="1"/>
  <c r="R440" i="19" s="1"/>
  <c r="M434" i="19" a="1"/>
  <c r="M434" i="19" s="1"/>
  <c r="M430" i="19" a="1"/>
  <c r="M430" i="19" s="1"/>
  <c r="M424" i="19" a="1"/>
  <c r="M424" i="19" s="1"/>
  <c r="R422" i="19" a="1"/>
  <c r="R422" i="19" s="1"/>
  <c r="R419" i="19" a="1"/>
  <c r="R419" i="19" s="1"/>
  <c r="M416" i="19" a="1"/>
  <c r="M416" i="19" s="1"/>
  <c r="R448" i="19" a="1"/>
  <c r="R448" i="19" s="1"/>
  <c r="R436" i="19" a="1"/>
  <c r="R436" i="19" s="1"/>
  <c r="R434" i="19" a="1"/>
  <c r="R434" i="19" s="1"/>
  <c r="R432" i="19" a="1"/>
  <c r="R432" i="19" s="1"/>
  <c r="R430" i="19" a="1"/>
  <c r="R430" i="19" s="1"/>
  <c r="M422" i="19" a="1"/>
  <c r="M422" i="19" s="1"/>
  <c r="R417" i="19" a="1"/>
  <c r="R417" i="19" s="1"/>
  <c r="M415" i="19" a="1"/>
  <c r="M415" i="19" s="1"/>
  <c r="M413" i="19" a="1"/>
  <c r="M413" i="19" s="1"/>
  <c r="M382" i="19" a="1"/>
  <c r="M382" i="19" s="1"/>
  <c r="R379" i="19" a="1"/>
  <c r="R379" i="19" s="1"/>
  <c r="M377" i="19" a="1"/>
  <c r="M377" i="19" s="1"/>
  <c r="R374" i="19" a="1"/>
  <c r="R374" i="19" s="1"/>
  <c r="M372" i="19" a="1"/>
  <c r="M372" i="19" s="1"/>
  <c r="R366" i="19" a="1"/>
  <c r="R366" i="19" s="1"/>
  <c r="M359" i="19" a="1"/>
  <c r="M359" i="19" s="1"/>
  <c r="R357" i="19" a="1"/>
  <c r="R357" i="19" s="1"/>
  <c r="R352" i="19" a="1"/>
  <c r="R352" i="19" s="1"/>
  <c r="M348" i="19" a="1"/>
  <c r="M348" i="19" s="1"/>
  <c r="M345" i="19" a="1"/>
  <c r="M345" i="19" s="1"/>
  <c r="R340" i="19" a="1"/>
  <c r="R340" i="19" s="1"/>
  <c r="M340" i="19" a="1"/>
  <c r="M340" i="19" s="1"/>
  <c r="R328" i="19" a="1"/>
  <c r="R328" i="19" s="1"/>
  <c r="M328" i="19" a="1"/>
  <c r="M328" i="19" s="1"/>
  <c r="R325" i="19" a="1"/>
  <c r="R325" i="19" s="1"/>
  <c r="M325" i="19" a="1"/>
  <c r="M325" i="19" s="1"/>
  <c r="R323" i="19" a="1"/>
  <c r="R323" i="19" s="1"/>
  <c r="M323" i="19" a="1"/>
  <c r="M323" i="19" s="1"/>
  <c r="R316" i="19" a="1"/>
  <c r="R316" i="19" s="1"/>
  <c r="M316" i="19" a="1"/>
  <c r="M316" i="19" s="1"/>
  <c r="R306" i="19" a="1"/>
  <c r="R306" i="19" s="1"/>
  <c r="R294" i="19" a="1"/>
  <c r="R294" i="19" s="1"/>
  <c r="M294" i="19" a="1"/>
  <c r="M294" i="19" s="1"/>
  <c r="R286" i="19" a="1"/>
  <c r="R286" i="19" s="1"/>
  <c r="R282" i="19" a="1"/>
  <c r="R282" i="19" s="1"/>
  <c r="R278" i="19" a="1"/>
  <c r="R278" i="19" s="1"/>
  <c r="M483" i="19" a="1"/>
  <c r="M483" i="19" s="1"/>
  <c r="M470" i="19" a="1"/>
  <c r="M470" i="19" s="1"/>
  <c r="M420" i="19" a="1"/>
  <c r="M420" i="19" s="1"/>
  <c r="M418" i="19" a="1"/>
  <c r="M418" i="19" s="1"/>
  <c r="R415" i="19" a="1"/>
  <c r="R415" i="19" s="1"/>
  <c r="R392" i="19" a="1"/>
  <c r="R392" i="19" s="1"/>
  <c r="M392" i="19" a="1"/>
  <c r="M392" i="19" s="1"/>
  <c r="R389" i="19" a="1"/>
  <c r="R389" i="19" s="1"/>
  <c r="M389" i="19" a="1"/>
  <c r="M389" i="19" s="1"/>
  <c r="M383" i="19" a="1"/>
  <c r="M383" i="19" s="1"/>
  <c r="R380" i="19" a="1"/>
  <c r="R380" i="19" s="1"/>
  <c r="M375" i="19" a="1"/>
  <c r="M375" i="19" s="1"/>
  <c r="R369" i="19" a="1"/>
  <c r="R369" i="19" s="1"/>
  <c r="M367" i="19" a="1"/>
  <c r="M367" i="19" s="1"/>
  <c r="R345" i="19" a="1"/>
  <c r="R345" i="19" s="1"/>
  <c r="R337" i="19" a="1"/>
  <c r="R337" i="19" s="1"/>
  <c r="M337" i="19" a="1"/>
  <c r="M337" i="19" s="1"/>
  <c r="R334" i="19" a="1"/>
  <c r="R334" i="19" s="1"/>
  <c r="M334" i="19" a="1"/>
  <c r="M334" i="19" s="1"/>
  <c r="R326" i="19" a="1"/>
  <c r="R326" i="19" s="1"/>
  <c r="M326" i="19" a="1"/>
  <c r="M326" i="19" s="1"/>
  <c r="R324" i="19" a="1"/>
  <c r="R324" i="19" s="1"/>
  <c r="M324" i="19" a="1"/>
  <c r="M324" i="19" s="1"/>
  <c r="R320" i="19" a="1"/>
  <c r="R320" i="19" s="1"/>
  <c r="M320" i="19" a="1"/>
  <c r="M320" i="19" s="1"/>
  <c r="R315" i="19" a="1"/>
  <c r="R315" i="19" s="1"/>
  <c r="M315" i="19" a="1"/>
  <c r="M315" i="19" s="1"/>
  <c r="R310" i="19" a="1"/>
  <c r="R310" i="19" s="1"/>
  <c r="M310" i="19" a="1"/>
  <c r="M310" i="19" s="1"/>
  <c r="M308" i="19" a="1"/>
  <c r="M308" i="19" s="1"/>
  <c r="R297" i="19" a="1"/>
  <c r="R297" i="19" s="1"/>
  <c r="M297" i="19" a="1"/>
  <c r="M297" i="19" s="1"/>
  <c r="R292" i="19" a="1"/>
  <c r="R292" i="19" s="1"/>
  <c r="M292" i="19" a="1"/>
  <c r="M292" i="19" s="1"/>
  <c r="R271" i="19" a="1"/>
  <c r="R271" i="19" s="1"/>
  <c r="R270" i="19" a="1"/>
  <c r="R270" i="19" s="1"/>
  <c r="R269" i="19" a="1"/>
  <c r="R269" i="19" s="1"/>
  <c r="R268" i="19" a="1"/>
  <c r="R268" i="19" s="1"/>
  <c r="R267" i="19" a="1"/>
  <c r="R267" i="19" s="1"/>
  <c r="M266" i="19" a="1"/>
  <c r="M266" i="19" s="1"/>
  <c r="M265" i="19" a="1"/>
  <c r="M265" i="19" s="1"/>
  <c r="M259" i="19" a="1"/>
  <c r="M259" i="19" s="1"/>
  <c r="R248" i="19" a="1"/>
  <c r="R248" i="19" s="1"/>
  <c r="M248" i="19" a="1"/>
  <c r="M248" i="19" s="1"/>
  <c r="R483" i="19" a="1"/>
  <c r="R483" i="19" s="1"/>
  <c r="R470" i="19" a="1"/>
  <c r="R470" i="19" s="1"/>
  <c r="M441" i="19" a="1"/>
  <c r="M441" i="19" s="1"/>
  <c r="M423" i="19" a="1"/>
  <c r="M423" i="19" s="1"/>
  <c r="R418" i="19" a="1"/>
  <c r="R418" i="19" s="1"/>
  <c r="M412" i="19" a="1"/>
  <c r="M412" i="19" s="1"/>
  <c r="M384" i="19" a="1"/>
  <c r="M384" i="19" s="1"/>
  <c r="R381" i="19" a="1"/>
  <c r="R381" i="19" s="1"/>
  <c r="R372" i="19" a="1"/>
  <c r="R372" i="19" s="1"/>
  <c r="M370" i="19" a="1"/>
  <c r="M370" i="19" s="1"/>
  <c r="M360" i="19" a="1"/>
  <c r="M360" i="19" s="1"/>
  <c r="R359" i="19" a="1"/>
  <c r="R359" i="19" s="1"/>
  <c r="M354" i="19" a="1"/>
  <c r="M354" i="19" s="1"/>
  <c r="R348" i="19" a="1"/>
  <c r="R348" i="19" s="1"/>
  <c r="M346" i="19" a="1"/>
  <c r="M346" i="19" s="1"/>
  <c r="R342" i="19" a="1"/>
  <c r="R342" i="19" s="1"/>
  <c r="M342" i="19" a="1"/>
  <c r="M342" i="19" s="1"/>
  <c r="R333" i="19" a="1"/>
  <c r="R333" i="19" s="1"/>
  <c r="M333" i="19" a="1"/>
  <c r="M333" i="19" s="1"/>
  <c r="R309" i="19" a="1"/>
  <c r="R309" i="19" s="1"/>
  <c r="M309" i="19" a="1"/>
  <c r="M309" i="19" s="1"/>
  <c r="R308" i="19" a="1"/>
  <c r="R308" i="19" s="1"/>
  <c r="R289" i="19" a="1"/>
  <c r="R289" i="19" s="1"/>
  <c r="M289" i="19" a="1"/>
  <c r="M289" i="19" s="1"/>
  <c r="M285" i="19" a="1"/>
  <c r="M285" i="19" s="1"/>
  <c r="M281" i="19" a="1"/>
  <c r="M281" i="19" s="1"/>
  <c r="M277" i="19" a="1"/>
  <c r="M277" i="19" s="1"/>
  <c r="M273" i="19" a="1"/>
  <c r="M273" i="19" s="1"/>
  <c r="R266" i="19" a="1"/>
  <c r="R266" i="19" s="1"/>
  <c r="R265" i="19" a="1"/>
  <c r="R265" i="19" s="1"/>
  <c r="M262" i="19" a="1"/>
  <c r="M262" i="19" s="1"/>
  <c r="R259" i="19" a="1"/>
  <c r="R259" i="19" s="1"/>
  <c r="R243" i="19" a="1"/>
  <c r="R243" i="19" s="1"/>
  <c r="R458" i="19" a="1"/>
  <c r="R458" i="19" s="1"/>
  <c r="M458" i="19" a="1"/>
  <c r="M458" i="19" s="1"/>
  <c r="R441" i="19" a="1"/>
  <c r="R441" i="19" s="1"/>
  <c r="R412" i="19" a="1"/>
  <c r="R412" i="19" s="1"/>
  <c r="R390" i="19" a="1"/>
  <c r="R390" i="19" s="1"/>
  <c r="M390" i="19" a="1"/>
  <c r="M390" i="19" s="1"/>
  <c r="R387" i="19" a="1"/>
  <c r="R387" i="19" s="1"/>
  <c r="M387" i="19" a="1"/>
  <c r="M387" i="19" s="1"/>
  <c r="M385" i="19" a="1"/>
  <c r="M385" i="19" s="1"/>
  <c r="R382" i="19" a="1"/>
  <c r="R382" i="19" s="1"/>
  <c r="M378" i="19" a="1"/>
  <c r="M378" i="19" s="1"/>
  <c r="R377" i="19" a="1"/>
  <c r="R377" i="19" s="1"/>
  <c r="R375" i="19" a="1"/>
  <c r="R375" i="19" s="1"/>
  <c r="M373" i="19" a="1"/>
  <c r="M373" i="19" s="1"/>
  <c r="R367" i="19" a="1"/>
  <c r="R367" i="19" s="1"/>
  <c r="M365" i="19" a="1"/>
  <c r="M365" i="19" s="1"/>
  <c r="M361" i="19" a="1"/>
  <c r="M361" i="19" s="1"/>
  <c r="R360" i="19" a="1"/>
  <c r="R360" i="19" s="1"/>
  <c r="R354" i="19" a="1"/>
  <c r="R354" i="19" s="1"/>
  <c r="M353" i="19" a="1"/>
  <c r="M353" i="19" s="1"/>
  <c r="M349" i="19" a="1"/>
  <c r="M349" i="19" s="1"/>
  <c r="R339" i="19" a="1"/>
  <c r="R339" i="19" s="1"/>
  <c r="M339" i="19" a="1"/>
  <c r="M339" i="19" s="1"/>
  <c r="R322" i="19" a="1"/>
  <c r="R322" i="19" s="1"/>
  <c r="M322" i="19" a="1"/>
  <c r="M322" i="19" s="1"/>
  <c r="R319" i="19" a="1"/>
  <c r="R319" i="19" s="1"/>
  <c r="M319" i="19" a="1"/>
  <c r="M319" i="19" s="1"/>
  <c r="R314" i="19" a="1"/>
  <c r="R314" i="19" s="1"/>
  <c r="M314" i="19" a="1"/>
  <c r="M314" i="19" s="1"/>
  <c r="R305" i="19" a="1"/>
  <c r="R305" i="19" s="1"/>
  <c r="M305" i="19" a="1"/>
  <c r="M305" i="19" s="1"/>
  <c r="M288" i="19" a="1"/>
  <c r="M288" i="19" s="1"/>
  <c r="R285" i="19" a="1"/>
  <c r="R285" i="19" s="1"/>
  <c r="M284" i="19" a="1"/>
  <c r="M284" i="19" s="1"/>
  <c r="R281" i="19" a="1"/>
  <c r="R281" i="19" s="1"/>
  <c r="M280" i="19" a="1"/>
  <c r="M280" i="19" s="1"/>
  <c r="R277" i="19" a="1"/>
  <c r="R277" i="19" s="1"/>
  <c r="M276" i="19" a="1"/>
  <c r="M276" i="19" s="1"/>
  <c r="R273" i="19" a="1"/>
  <c r="R273" i="19" s="1"/>
  <c r="M272" i="19" a="1"/>
  <c r="M272" i="19" s="1"/>
  <c r="R423" i="19" a="1"/>
  <c r="R423" i="19" s="1"/>
  <c r="M419" i="19" a="1"/>
  <c r="M419" i="19" s="1"/>
  <c r="M414" i="19" a="1"/>
  <c r="M414" i="19" s="1"/>
  <c r="R383" i="19" a="1"/>
  <c r="R383" i="19" s="1"/>
  <c r="M376" i="19" a="1"/>
  <c r="M376" i="19" s="1"/>
  <c r="R370" i="19" a="1"/>
  <c r="R370" i="19" s="1"/>
  <c r="M368" i="19" a="1"/>
  <c r="M368" i="19" s="1"/>
  <c r="M362" i="19" a="1"/>
  <c r="M362" i="19" s="1"/>
  <c r="R361" i="19" a="1"/>
  <c r="R361" i="19" s="1"/>
  <c r="R356" i="19" a="1"/>
  <c r="R356" i="19" s="1"/>
  <c r="M356" i="19" a="1"/>
  <c r="M356" i="19" s="1"/>
  <c r="R353" i="19" a="1"/>
  <c r="R353" i="19" s="1"/>
  <c r="M350" i="19" a="1"/>
  <c r="M350" i="19" s="1"/>
  <c r="R346" i="19" a="1"/>
  <c r="R346" i="19" s="1"/>
  <c r="R344" i="19" a="1"/>
  <c r="R344" i="19" s="1"/>
  <c r="M344" i="19" a="1"/>
  <c r="M344" i="19" s="1"/>
  <c r="R336" i="19" a="1"/>
  <c r="R336" i="19" s="1"/>
  <c r="M336" i="19" a="1"/>
  <c r="M336" i="19" s="1"/>
  <c r="R331" i="19" a="1"/>
  <c r="R331" i="19" s="1"/>
  <c r="M331" i="19" a="1"/>
  <c r="M331" i="19" s="1"/>
  <c r="R296" i="19" a="1"/>
  <c r="R296" i="19" s="1"/>
  <c r="M296" i="19" a="1"/>
  <c r="M296" i="19" s="1"/>
  <c r="R288" i="19" a="1"/>
  <c r="R288" i="19" s="1"/>
  <c r="R284" i="19" a="1"/>
  <c r="R284" i="19" s="1"/>
  <c r="R280" i="19" a="1"/>
  <c r="R280" i="19" s="1"/>
  <c r="R276" i="19" a="1"/>
  <c r="R276" i="19" s="1"/>
  <c r="R272" i="19" a="1"/>
  <c r="R272" i="19" s="1"/>
  <c r="R258" i="19" a="1"/>
  <c r="R258" i="19" s="1"/>
  <c r="M257" i="19" a="1"/>
  <c r="M257" i="19" s="1"/>
  <c r="M256" i="19" a="1"/>
  <c r="M256" i="19" s="1"/>
  <c r="R255" i="19" a="1"/>
  <c r="R255" i="19" s="1"/>
  <c r="R254" i="19" a="1"/>
  <c r="R254" i="19" s="1"/>
  <c r="R461" i="19" a="1"/>
  <c r="R461" i="19" s="1"/>
  <c r="M429" i="19" a="1"/>
  <c r="M429" i="19" s="1"/>
  <c r="M427" i="19" a="1"/>
  <c r="M427" i="19" s="1"/>
  <c r="M421" i="19" a="1"/>
  <c r="M421" i="19" s="1"/>
  <c r="R414" i="19" a="1"/>
  <c r="R414" i="19" s="1"/>
  <c r="M411" i="19" a="1"/>
  <c r="M411" i="19" s="1"/>
  <c r="M408" i="19" a="1"/>
  <c r="M408" i="19" s="1"/>
  <c r="R407" i="19" a="1"/>
  <c r="R407" i="19" s="1"/>
  <c r="M407" i="19" a="1"/>
  <c r="M407" i="19" s="1"/>
  <c r="R406" i="19" a="1"/>
  <c r="R406" i="19" s="1"/>
  <c r="M406" i="19" a="1"/>
  <c r="M406" i="19" s="1"/>
  <c r="R405" i="19" a="1"/>
  <c r="R405" i="19" s="1"/>
  <c r="M405" i="19" a="1"/>
  <c r="M405" i="19" s="1"/>
  <c r="R404" i="19" a="1"/>
  <c r="R404" i="19" s="1"/>
  <c r="M404" i="19" a="1"/>
  <c r="M404" i="19" s="1"/>
  <c r="R403" i="19" a="1"/>
  <c r="R403" i="19" s="1"/>
  <c r="M403" i="19" a="1"/>
  <c r="M403" i="19" s="1"/>
  <c r="R402" i="19" a="1"/>
  <c r="R402" i="19" s="1"/>
  <c r="M402" i="19" a="1"/>
  <c r="M402" i="19" s="1"/>
  <c r="R401" i="19" a="1"/>
  <c r="R401" i="19" s="1"/>
  <c r="M401" i="19" a="1"/>
  <c r="M401" i="19" s="1"/>
  <c r="R400" i="19" a="1"/>
  <c r="R400" i="19" s="1"/>
  <c r="M400" i="19" a="1"/>
  <c r="M400" i="19" s="1"/>
  <c r="R399" i="19" a="1"/>
  <c r="R399" i="19" s="1"/>
  <c r="M399" i="19" a="1"/>
  <c r="M399" i="19" s="1"/>
  <c r="R398" i="19" a="1"/>
  <c r="R398" i="19" s="1"/>
  <c r="M398" i="19" a="1"/>
  <c r="M398" i="19" s="1"/>
  <c r="R397" i="19" a="1"/>
  <c r="R397" i="19" s="1"/>
  <c r="M397" i="19" a="1"/>
  <c r="M397" i="19" s="1"/>
  <c r="R396" i="19" a="1"/>
  <c r="R396" i="19" s="1"/>
  <c r="M396" i="19" a="1"/>
  <c r="M396" i="19" s="1"/>
  <c r="R395" i="19" a="1"/>
  <c r="R395" i="19" s="1"/>
  <c r="M395" i="19" a="1"/>
  <c r="M395" i="19" s="1"/>
  <c r="R394" i="19" a="1"/>
  <c r="R394" i="19" s="1"/>
  <c r="M394" i="19" a="1"/>
  <c r="M394" i="19" s="1"/>
  <c r="R393" i="19" a="1"/>
  <c r="R393" i="19" s="1"/>
  <c r="M393" i="19" a="1"/>
  <c r="M393" i="19" s="1"/>
  <c r="R388" i="19" a="1"/>
  <c r="R388" i="19" s="1"/>
  <c r="M388" i="19" a="1"/>
  <c r="M388" i="19" s="1"/>
  <c r="R384" i="19" a="1"/>
  <c r="R384" i="19" s="1"/>
  <c r="M379" i="19" a="1"/>
  <c r="M379" i="19" s="1"/>
  <c r="R373" i="19" a="1"/>
  <c r="R373" i="19" s="1"/>
  <c r="M371" i="19" a="1"/>
  <c r="M371" i="19" s="1"/>
  <c r="R365" i="19" a="1"/>
  <c r="R365" i="19" s="1"/>
  <c r="M363" i="19" a="1"/>
  <c r="M363" i="19" s="1"/>
  <c r="R362" i="19" a="1"/>
  <c r="R362" i="19" s="1"/>
  <c r="M355" i="19" a="1"/>
  <c r="M355" i="19" s="1"/>
  <c r="M351" i="19" a="1"/>
  <c r="M351" i="19" s="1"/>
  <c r="R349" i="19" a="1"/>
  <c r="R349" i="19" s="1"/>
  <c r="M347" i="19" a="1"/>
  <c r="M347" i="19" s="1"/>
  <c r="R341" i="19" a="1"/>
  <c r="R341" i="19" s="1"/>
  <c r="M341" i="19" a="1"/>
  <c r="M341" i="19" s="1"/>
  <c r="R332" i="19" a="1"/>
  <c r="R332" i="19" s="1"/>
  <c r="M332" i="19" a="1"/>
  <c r="M332" i="19" s="1"/>
  <c r="R318" i="19" a="1"/>
  <c r="R318" i="19" s="1"/>
  <c r="M318" i="19" a="1"/>
  <c r="M318" i="19" s="1"/>
  <c r="R313" i="19" a="1"/>
  <c r="R313" i="19" s="1"/>
  <c r="M313" i="19" a="1"/>
  <c r="M313" i="19" s="1"/>
  <c r="R307" i="19" a="1"/>
  <c r="R307" i="19" s="1"/>
  <c r="M307" i="19" a="1"/>
  <c r="M307" i="19" s="1"/>
  <c r="M304" i="19" a="1"/>
  <c r="M304" i="19" s="1"/>
  <c r="M303" i="19" a="1"/>
  <c r="M303" i="19" s="1"/>
  <c r="M301" i="19" a="1"/>
  <c r="M301" i="19" s="1"/>
  <c r="M300" i="19" a="1"/>
  <c r="M300" i="19" s="1"/>
  <c r="M299" i="19" a="1"/>
  <c r="M299" i="19" s="1"/>
  <c r="M263" i="19" a="1"/>
  <c r="M263" i="19" s="1"/>
  <c r="M261" i="19" a="1"/>
  <c r="M261" i="19" s="1"/>
  <c r="R257" i="19" a="1"/>
  <c r="R257" i="19" s="1"/>
  <c r="R256" i="19" a="1"/>
  <c r="R256" i="19" s="1"/>
  <c r="R252" i="19" a="1"/>
  <c r="R252" i="19" s="1"/>
  <c r="M252" i="19" a="1"/>
  <c r="M252" i="19" s="1"/>
  <c r="R454" i="19" a="1"/>
  <c r="R454" i="19" s="1"/>
  <c r="R426" i="19" a="1"/>
  <c r="R426" i="19" s="1"/>
  <c r="R416" i="19" a="1"/>
  <c r="R416" i="19" s="1"/>
  <c r="R411" i="19" a="1"/>
  <c r="R411" i="19" s="1"/>
  <c r="M410" i="19" a="1"/>
  <c r="M410" i="19" s="1"/>
  <c r="M409" i="19" a="1"/>
  <c r="M409" i="19" s="1"/>
  <c r="R408" i="19" a="1"/>
  <c r="R408" i="19" s="1"/>
  <c r="R385" i="19" a="1"/>
  <c r="R385" i="19" s="1"/>
  <c r="M380" i="19" a="1"/>
  <c r="M380" i="19" s="1"/>
  <c r="R378" i="19" a="1"/>
  <c r="R378" i="19" s="1"/>
  <c r="M374" i="19" a="1"/>
  <c r="M374" i="19" s="1"/>
  <c r="R368" i="19" a="1"/>
  <c r="R368" i="19" s="1"/>
  <c r="M366" i="19" a="1"/>
  <c r="M366" i="19" s="1"/>
  <c r="M364" i="19" a="1"/>
  <c r="M364" i="19" s="1"/>
  <c r="R363" i="19" a="1"/>
  <c r="R363" i="19" s="1"/>
  <c r="R358" i="19" a="1"/>
  <c r="R358" i="19" s="1"/>
  <c r="M358" i="19" a="1"/>
  <c r="M358" i="19" s="1"/>
  <c r="M357" i="19" a="1"/>
  <c r="M357" i="19" s="1"/>
  <c r="R355" i="19" a="1"/>
  <c r="R355" i="19" s="1"/>
  <c r="M352" i="19" a="1"/>
  <c r="M352" i="19" s="1"/>
  <c r="R350" i="19" a="1"/>
  <c r="R350" i="19" s="1"/>
  <c r="R338" i="19" a="1"/>
  <c r="R338" i="19" s="1"/>
  <c r="M338" i="19" a="1"/>
  <c r="M338" i="19" s="1"/>
  <c r="R329" i="19" a="1"/>
  <c r="R329" i="19" s="1"/>
  <c r="M329" i="19" a="1"/>
  <c r="M329" i="19" s="1"/>
  <c r="R321" i="19" a="1"/>
  <c r="R321" i="19" s="1"/>
  <c r="M321" i="19" a="1"/>
  <c r="M321" i="19" s="1"/>
  <c r="R312" i="19" a="1"/>
  <c r="R312" i="19" s="1"/>
  <c r="M312" i="19" a="1"/>
  <c r="M312" i="19" s="1"/>
  <c r="R304" i="19" a="1"/>
  <c r="R304" i="19" s="1"/>
  <c r="R303" i="19" a="1"/>
  <c r="R303" i="19" s="1"/>
  <c r="M302" i="19" a="1"/>
  <c r="M302" i="19" s="1"/>
  <c r="R301" i="19" a="1"/>
  <c r="R301" i="19" s="1"/>
  <c r="R300" i="19" a="1"/>
  <c r="R300" i="19" s="1"/>
  <c r="R299" i="19" a="1"/>
  <c r="R299" i="19" s="1"/>
  <c r="R295" i="19" a="1"/>
  <c r="R295" i="19" s="1"/>
  <c r="M295" i="19" a="1"/>
  <c r="M295" i="19" s="1"/>
  <c r="R293" i="19" a="1"/>
  <c r="R293" i="19" s="1"/>
  <c r="M293" i="19" a="1"/>
  <c r="M293" i="19" s="1"/>
  <c r="R291" i="19" a="1"/>
  <c r="R291" i="19" s="1"/>
  <c r="M291" i="19" a="1"/>
  <c r="M291" i="19" s="1"/>
  <c r="M290" i="19" a="1"/>
  <c r="M290" i="19" s="1"/>
  <c r="M287" i="19" a="1"/>
  <c r="M287" i="19" s="1"/>
  <c r="M283" i="19" a="1"/>
  <c r="M283" i="19" s="1"/>
  <c r="M279" i="19" a="1"/>
  <c r="M279" i="19" s="1"/>
  <c r="M275" i="19" a="1"/>
  <c r="M275" i="19" s="1"/>
  <c r="M436" i="19" a="1"/>
  <c r="M436" i="19" s="1"/>
  <c r="M432" i="19" a="1"/>
  <c r="M432" i="19" s="1"/>
  <c r="R428" i="19" a="1"/>
  <c r="R428" i="19" s="1"/>
  <c r="M425" i="19" a="1"/>
  <c r="M425" i="19" s="1"/>
  <c r="M417" i="19" a="1"/>
  <c r="M417" i="19" s="1"/>
  <c r="R410" i="19" a="1"/>
  <c r="R410" i="19" s="1"/>
  <c r="R391" i="19" a="1"/>
  <c r="R391" i="19" s="1"/>
  <c r="M391" i="19" a="1"/>
  <c r="M391" i="19" s="1"/>
  <c r="R386" i="19" a="1"/>
  <c r="R386" i="19" s="1"/>
  <c r="M386" i="19" a="1"/>
  <c r="M386" i="19" s="1"/>
  <c r="M381" i="19" a="1"/>
  <c r="M381" i="19" s="1"/>
  <c r="R376" i="19" a="1"/>
  <c r="R376" i="19" s="1"/>
  <c r="R371" i="19" a="1"/>
  <c r="R371" i="19" s="1"/>
  <c r="M369" i="19" a="1"/>
  <c r="M369" i="19" s="1"/>
  <c r="R364" i="19" a="1"/>
  <c r="R364" i="19" s="1"/>
  <c r="R351" i="19" a="1"/>
  <c r="R351" i="19" s="1"/>
  <c r="R347" i="19" a="1"/>
  <c r="R347" i="19" s="1"/>
  <c r="R343" i="19" a="1"/>
  <c r="R343" i="19" s="1"/>
  <c r="M343" i="19" a="1"/>
  <c r="M343" i="19" s="1"/>
  <c r="R335" i="19" a="1"/>
  <c r="R335" i="19" s="1"/>
  <c r="M335" i="19" a="1"/>
  <c r="M335" i="19" s="1"/>
  <c r="R330" i="19" a="1"/>
  <c r="R330" i="19" s="1"/>
  <c r="M330" i="19" a="1"/>
  <c r="M330" i="19" s="1"/>
  <c r="R327" i="19" a="1"/>
  <c r="R327" i="19" s="1"/>
  <c r="M327" i="19" a="1"/>
  <c r="M327" i="19" s="1"/>
  <c r="R317" i="19" a="1"/>
  <c r="R317" i="19" s="1"/>
  <c r="M317" i="19" a="1"/>
  <c r="M317" i="19" s="1"/>
  <c r="R311" i="19" a="1"/>
  <c r="R311" i="19" s="1"/>
  <c r="M311" i="19" a="1"/>
  <c r="M311" i="19" s="1"/>
  <c r="M306" i="19" a="1"/>
  <c r="M306" i="19" s="1"/>
  <c r="R302" i="19" a="1"/>
  <c r="R302" i="19" s="1"/>
  <c r="R298" i="19" a="1"/>
  <c r="R298" i="19" s="1"/>
  <c r="M298" i="19" a="1"/>
  <c r="M298" i="19" s="1"/>
  <c r="M286" i="19" a="1"/>
  <c r="M286" i="19" s="1"/>
  <c r="R283" i="19" a="1"/>
  <c r="R283" i="19" s="1"/>
  <c r="M274" i="19" a="1"/>
  <c r="M274" i="19" s="1"/>
  <c r="M271" i="19" a="1"/>
  <c r="M271" i="19" s="1"/>
  <c r="M258" i="19" a="1"/>
  <c r="M258" i="19" s="1"/>
  <c r="M250" i="19" a="1"/>
  <c r="M250" i="19" s="1"/>
  <c r="R246" i="19" a="1"/>
  <c r="R246" i="19" s="1"/>
  <c r="R244" i="19" a="1"/>
  <c r="R244" i="19" s="1"/>
  <c r="M244" i="19" a="1"/>
  <c r="M244" i="19" s="1"/>
  <c r="R242" i="19" a="1"/>
  <c r="R242" i="19" s="1"/>
  <c r="R234" i="19" a="1"/>
  <c r="R234" i="19" s="1"/>
  <c r="M234" i="19" a="1"/>
  <c r="M234" i="19" s="1"/>
  <c r="R228" i="19" a="1"/>
  <c r="R228" i="19" s="1"/>
  <c r="R173" i="19" a="1"/>
  <c r="R173" i="19" s="1"/>
  <c r="M173" i="19" a="1"/>
  <c r="M173" i="19" s="1"/>
  <c r="M170" i="19" a="1"/>
  <c r="M170" i="19" s="1"/>
  <c r="R168" i="19" a="1"/>
  <c r="R168" i="19" s="1"/>
  <c r="R162" i="19" a="1"/>
  <c r="R162" i="19" s="1"/>
  <c r="R161" i="19" a="1"/>
  <c r="R161" i="19" s="1"/>
  <c r="M159" i="19" a="1"/>
  <c r="M159" i="19" s="1"/>
  <c r="M158" i="19" a="1"/>
  <c r="M158" i="19" s="1"/>
  <c r="R147" i="19" a="1"/>
  <c r="R147" i="19" s="1"/>
  <c r="M146" i="19" a="1"/>
  <c r="M146" i="19" s="1"/>
  <c r="M129" i="19" a="1"/>
  <c r="M129" i="19" s="1"/>
  <c r="R121" i="19" a="1"/>
  <c r="R121" i="19" s="1"/>
  <c r="M121" i="19" a="1"/>
  <c r="M121" i="19" s="1"/>
  <c r="R119" i="19" a="1"/>
  <c r="R119" i="19" s="1"/>
  <c r="M119" i="19" a="1"/>
  <c r="M119" i="19" s="1"/>
  <c r="M117" i="19" a="1"/>
  <c r="M117" i="19" s="1"/>
  <c r="R116" i="19" a="1"/>
  <c r="R116" i="19" s="1"/>
  <c r="M115" i="19" a="1"/>
  <c r="M115" i="19" s="1"/>
  <c r="R114" i="19" a="1"/>
  <c r="R114" i="19" s="1"/>
  <c r="R113" i="19" a="1"/>
  <c r="R113" i="19" s="1"/>
  <c r="R112" i="19" a="1"/>
  <c r="R112" i="19" s="1"/>
  <c r="R111" i="19" a="1"/>
  <c r="R111" i="19" s="1"/>
  <c r="R263" i="19" a="1"/>
  <c r="R263" i="19" s="1"/>
  <c r="R250" i="19" a="1"/>
  <c r="R250" i="19" s="1"/>
  <c r="M246" i="19" a="1"/>
  <c r="M246" i="19" s="1"/>
  <c r="R238" i="19" a="1"/>
  <c r="R238" i="19" s="1"/>
  <c r="M238" i="19" a="1"/>
  <c r="M238" i="19" s="1"/>
  <c r="M235" i="19" a="1"/>
  <c r="M235" i="19" s="1"/>
  <c r="M231" i="19" a="1"/>
  <c r="M231" i="19" s="1"/>
  <c r="M227" i="19" a="1"/>
  <c r="M227" i="19" s="1"/>
  <c r="R224" i="19" a="1"/>
  <c r="R224" i="19" s="1"/>
  <c r="M224" i="19" a="1"/>
  <c r="M224" i="19" s="1"/>
  <c r="R199" i="19" a="1"/>
  <c r="R199" i="19" s="1"/>
  <c r="M199" i="19" a="1"/>
  <c r="M199" i="19" s="1"/>
  <c r="R198" i="19" a="1"/>
  <c r="R198" i="19" s="1"/>
  <c r="M198" i="19" a="1"/>
  <c r="M198" i="19" s="1"/>
  <c r="R195" i="19" a="1"/>
  <c r="R195" i="19" s="1"/>
  <c r="M195" i="19" a="1"/>
  <c r="M195" i="19" s="1"/>
  <c r="R188" i="19" a="1"/>
  <c r="R188" i="19" s="1"/>
  <c r="R184" i="19" a="1"/>
  <c r="R184" i="19" s="1"/>
  <c r="R180" i="19" a="1"/>
  <c r="R180" i="19" s="1"/>
  <c r="M278" i="19" a="1"/>
  <c r="M278" i="19" s="1"/>
  <c r="R275" i="19" a="1"/>
  <c r="R275" i="19" s="1"/>
  <c r="R274" i="19" a="1"/>
  <c r="R274" i="19" s="1"/>
  <c r="M260" i="19" a="1"/>
  <c r="M260" i="19" s="1"/>
  <c r="R249" i="19" a="1"/>
  <c r="R249" i="19" s="1"/>
  <c r="M249" i="19" a="1"/>
  <c r="M249" i="19" s="1"/>
  <c r="R235" i="19" a="1"/>
  <c r="R235" i="19" s="1"/>
  <c r="R231" i="19" a="1"/>
  <c r="R231" i="19" s="1"/>
  <c r="R227" i="19" a="1"/>
  <c r="R227" i="19" s="1"/>
  <c r="R221" i="19" a="1"/>
  <c r="R221" i="19" s="1"/>
  <c r="M221" i="19" a="1"/>
  <c r="M221" i="19" s="1"/>
  <c r="R192" i="19" a="1"/>
  <c r="R192" i="19" s="1"/>
  <c r="M192" i="19" a="1"/>
  <c r="M192" i="19" s="1"/>
  <c r="R187" i="19" a="1"/>
  <c r="R187" i="19" s="1"/>
  <c r="M187" i="19" a="1"/>
  <c r="M187" i="19" s="1"/>
  <c r="R183" i="19" a="1"/>
  <c r="R183" i="19" s="1"/>
  <c r="M183" i="19" a="1"/>
  <c r="M183" i="19" s="1"/>
  <c r="R179" i="19" a="1"/>
  <c r="R179" i="19" s="1"/>
  <c r="M179" i="19" a="1"/>
  <c r="M179" i="19" s="1"/>
  <c r="R175" i="19" a="1"/>
  <c r="R175" i="19" s="1"/>
  <c r="M175" i="19" a="1"/>
  <c r="M175" i="19" s="1"/>
  <c r="M172" i="19" a="1"/>
  <c r="M172" i="19" s="1"/>
  <c r="R170" i="19" a="1"/>
  <c r="R170" i="19" s="1"/>
  <c r="R167" i="19" a="1"/>
  <c r="R167" i="19" s="1"/>
  <c r="M167" i="19" a="1"/>
  <c r="M167" i="19" s="1"/>
  <c r="R158" i="19" a="1"/>
  <c r="R158" i="19" s="1"/>
  <c r="M153" i="19" a="1"/>
  <c r="M153" i="19" s="1"/>
  <c r="M152" i="19" a="1"/>
  <c r="M152" i="19" s="1"/>
  <c r="R145" i="19" a="1"/>
  <c r="R145" i="19" s="1"/>
  <c r="M144" i="19" a="1"/>
  <c r="M144" i="19" s="1"/>
  <c r="R128" i="19" a="1"/>
  <c r="R128" i="19" s="1"/>
  <c r="M128" i="19" a="1"/>
  <c r="M128" i="19" s="1"/>
  <c r="R287" i="19" a="1"/>
  <c r="R287" i="19" s="1"/>
  <c r="M264" i="19" a="1"/>
  <c r="M264" i="19" s="1"/>
  <c r="R262" i="19" a="1"/>
  <c r="R262" i="19" s="1"/>
  <c r="R261" i="19" a="1"/>
  <c r="R261" i="19" s="1"/>
  <c r="R260" i="19" a="1"/>
  <c r="R260" i="19" s="1"/>
  <c r="R241" i="19" a="1"/>
  <c r="R241" i="19" s="1"/>
  <c r="M241" i="19" a="1"/>
  <c r="M241" i="19" s="1"/>
  <c r="M230" i="19" a="1"/>
  <c r="M230" i="19" s="1"/>
  <c r="M226" i="19" a="1"/>
  <c r="M226" i="19" s="1"/>
  <c r="R197" i="19" a="1"/>
  <c r="R197" i="19" s="1"/>
  <c r="M197" i="19" a="1"/>
  <c r="M197" i="19" s="1"/>
  <c r="M186" i="19" a="1"/>
  <c r="M186" i="19" s="1"/>
  <c r="M182" i="19" a="1"/>
  <c r="M182" i="19" s="1"/>
  <c r="M178" i="19" a="1"/>
  <c r="M178" i="19" s="1"/>
  <c r="M166" i="19" a="1"/>
  <c r="M166" i="19" s="1"/>
  <c r="R153" i="19" a="1"/>
  <c r="R153" i="19" s="1"/>
  <c r="R152" i="19" a="1"/>
  <c r="R152" i="19" s="1"/>
  <c r="M151" i="19" a="1"/>
  <c r="M151" i="19" s="1"/>
  <c r="R144" i="19" a="1"/>
  <c r="R144" i="19" s="1"/>
  <c r="M143" i="19" a="1"/>
  <c r="M143" i="19" s="1"/>
  <c r="M142" i="19" a="1"/>
  <c r="M142" i="19" s="1"/>
  <c r="M141" i="19" a="1"/>
  <c r="M141" i="19" s="1"/>
  <c r="M140" i="19" a="1"/>
  <c r="M140" i="19" s="1"/>
  <c r="M139" i="19" a="1"/>
  <c r="M139" i="19" s="1"/>
  <c r="M138" i="19" a="1"/>
  <c r="M138" i="19" s="1"/>
  <c r="M137" i="19" a="1"/>
  <c r="M137" i="19" s="1"/>
  <c r="M136" i="19" a="1"/>
  <c r="M136" i="19" s="1"/>
  <c r="M135" i="19" a="1"/>
  <c r="M135" i="19" s="1"/>
  <c r="M134" i="19" a="1"/>
  <c r="M134" i="19" s="1"/>
  <c r="M133" i="19" a="1"/>
  <c r="M133" i="19" s="1"/>
  <c r="M127" i="19" a="1"/>
  <c r="M127" i="19" s="1"/>
  <c r="M105" i="19" a="1"/>
  <c r="M105" i="19" s="1"/>
  <c r="M253" i="19" a="1"/>
  <c r="M253" i="19" s="1"/>
  <c r="M243" i="19" a="1"/>
  <c r="M243" i="19" s="1"/>
  <c r="R239" i="19" a="1"/>
  <c r="R239" i="19" s="1"/>
  <c r="M239" i="19" a="1"/>
  <c r="M239" i="19" s="1"/>
  <c r="R230" i="19" a="1"/>
  <c r="R230" i="19" s="1"/>
  <c r="R226" i="19" a="1"/>
  <c r="R226" i="19" s="1"/>
  <c r="R223" i="19" a="1"/>
  <c r="R223" i="19" s="1"/>
  <c r="M223" i="19" a="1"/>
  <c r="M223" i="19" s="1"/>
  <c r="R194" i="19" a="1"/>
  <c r="R194" i="19" s="1"/>
  <c r="M194" i="19" a="1"/>
  <c r="M194" i="19" s="1"/>
  <c r="R191" i="19" a="1"/>
  <c r="R191" i="19" s="1"/>
  <c r="M191" i="19" a="1"/>
  <c r="M191" i="19" s="1"/>
  <c r="M174" i="19" a="1"/>
  <c r="M174" i="19" s="1"/>
  <c r="R172" i="19" a="1"/>
  <c r="R172" i="19" s="1"/>
  <c r="R169" i="19" a="1"/>
  <c r="R169" i="19" s="1"/>
  <c r="M169" i="19" a="1"/>
  <c r="M169" i="19" s="1"/>
  <c r="R151" i="19" a="1"/>
  <c r="R151" i="19" s="1"/>
  <c r="M150" i="19" a="1"/>
  <c r="M150" i="19" s="1"/>
  <c r="R143" i="19" a="1"/>
  <c r="R143" i="19" s="1"/>
  <c r="R142" i="19" a="1"/>
  <c r="R142" i="19" s="1"/>
  <c r="R141" i="19" a="1"/>
  <c r="R141" i="19" s="1"/>
  <c r="R140" i="19" a="1"/>
  <c r="R140" i="19" s="1"/>
  <c r="R139" i="19" a="1"/>
  <c r="R139" i="19" s="1"/>
  <c r="R138" i="19" a="1"/>
  <c r="R138" i="19" s="1"/>
  <c r="R137" i="19" a="1"/>
  <c r="R137" i="19" s="1"/>
  <c r="R136" i="19" a="1"/>
  <c r="R136" i="19" s="1"/>
  <c r="R135" i="19" a="1"/>
  <c r="R135" i="19" s="1"/>
  <c r="R134" i="19" a="1"/>
  <c r="R134" i="19" s="1"/>
  <c r="R133" i="19" a="1"/>
  <c r="R133" i="19" s="1"/>
  <c r="R132" i="19" a="1"/>
  <c r="R132" i="19" s="1"/>
  <c r="R290" i="19" a="1"/>
  <c r="R290" i="19" s="1"/>
  <c r="M282" i="19" a="1"/>
  <c r="M282" i="19" s="1"/>
  <c r="R279" i="19" a="1"/>
  <c r="R279" i="19" s="1"/>
  <c r="M268" i="19" a="1"/>
  <c r="M268" i="19" s="1"/>
  <c r="M267" i="19" a="1"/>
  <c r="M267" i="19" s="1"/>
  <c r="R264" i="19" a="1"/>
  <c r="R264" i="19" s="1"/>
  <c r="M254" i="19" a="1"/>
  <c r="M254" i="19" s="1"/>
  <c r="R236" i="19" a="1"/>
  <c r="R236" i="19" s="1"/>
  <c r="M236" i="19" a="1"/>
  <c r="M236" i="19" s="1"/>
  <c r="R232" i="19" a="1"/>
  <c r="R232" i="19" s="1"/>
  <c r="M232" i="19" a="1"/>
  <c r="M232" i="19" s="1"/>
  <c r="M229" i="19" a="1"/>
  <c r="M229" i="19" s="1"/>
  <c r="R220" i="19" a="1"/>
  <c r="R220" i="19" s="1"/>
  <c r="M220" i="19" a="1"/>
  <c r="M220" i="19" s="1"/>
  <c r="R190" i="19" a="1"/>
  <c r="R190" i="19" s="1"/>
  <c r="M190" i="19" a="1"/>
  <c r="M190" i="19" s="1"/>
  <c r="R186" i="19" a="1"/>
  <c r="R186" i="19" s="1"/>
  <c r="R182" i="19" a="1"/>
  <c r="R182" i="19" s="1"/>
  <c r="R178" i="19" a="1"/>
  <c r="R178" i="19" s="1"/>
  <c r="R166" i="19" a="1"/>
  <c r="R166" i="19" s="1"/>
  <c r="R165" i="19" a="1"/>
  <c r="R165" i="19" s="1"/>
  <c r="M165" i="19" a="1"/>
  <c r="M165" i="19" s="1"/>
  <c r="M164" i="19" a="1"/>
  <c r="M164" i="19" s="1"/>
  <c r="R150" i="19" a="1"/>
  <c r="R150" i="19" s="1"/>
  <c r="M149" i="19" a="1"/>
  <c r="M149" i="19" s="1"/>
  <c r="M131" i="19" a="1"/>
  <c r="M131" i="19" s="1"/>
  <c r="R126" i="19" a="1"/>
  <c r="R126" i="19" s="1"/>
  <c r="M126" i="19" a="1"/>
  <c r="M126" i="19" s="1"/>
  <c r="M108" i="19" a="1"/>
  <c r="M108" i="19" s="1"/>
  <c r="M107" i="19" a="1"/>
  <c r="M107" i="19" s="1"/>
  <c r="R105" i="19" a="1"/>
  <c r="R105" i="19" s="1"/>
  <c r="M269" i="19" a="1"/>
  <c r="M269" i="19" s="1"/>
  <c r="R253" i="19" a="1"/>
  <c r="R253" i="19" s="1"/>
  <c r="M247" i="19" a="1"/>
  <c r="M247" i="19" s="1"/>
  <c r="M245" i="19" a="1"/>
  <c r="M245" i="19" s="1"/>
  <c r="R229" i="19" a="1"/>
  <c r="R229" i="19" s="1"/>
  <c r="R225" i="19" a="1"/>
  <c r="R225" i="19" s="1"/>
  <c r="M225" i="19" a="1"/>
  <c r="M225" i="19" s="1"/>
  <c r="R196" i="19" a="1"/>
  <c r="R196" i="19" s="1"/>
  <c r="M196" i="19" a="1"/>
  <c r="M196" i="19" s="1"/>
  <c r="R189" i="19" a="1"/>
  <c r="R189" i="19" s="1"/>
  <c r="M189" i="19" a="1"/>
  <c r="M189" i="19" s="1"/>
  <c r="R185" i="19" a="1"/>
  <c r="R185" i="19" s="1"/>
  <c r="M185" i="19" a="1"/>
  <c r="M185" i="19" s="1"/>
  <c r="R181" i="19" a="1"/>
  <c r="R181" i="19" s="1"/>
  <c r="M181" i="19" a="1"/>
  <c r="M181" i="19" s="1"/>
  <c r="R177" i="19" a="1"/>
  <c r="R177" i="19" s="1"/>
  <c r="M177" i="19" a="1"/>
  <c r="M177" i="19" s="1"/>
  <c r="R174" i="19" a="1"/>
  <c r="R174" i="19" s="1"/>
  <c r="R171" i="19" a="1"/>
  <c r="R171" i="19" s="1"/>
  <c r="M171" i="19" a="1"/>
  <c r="M171" i="19" s="1"/>
  <c r="M168" i="19" a="1"/>
  <c r="M168" i="19" s="1"/>
  <c r="M163" i="19" a="1"/>
  <c r="M163" i="19" s="1"/>
  <c r="M162" i="19" a="1"/>
  <c r="M162" i="19" s="1"/>
  <c r="R149" i="19" a="1"/>
  <c r="R149" i="19" s="1"/>
  <c r="M148" i="19" a="1"/>
  <c r="M148" i="19" s="1"/>
  <c r="M251" i="19" a="1"/>
  <c r="M251" i="19" s="1"/>
  <c r="M242" i="19" a="1"/>
  <c r="M242" i="19" s="1"/>
  <c r="R218" i="19" a="1"/>
  <c r="R218" i="19" s="1"/>
  <c r="R214" i="19" a="1"/>
  <c r="R214" i="19" s="1"/>
  <c r="R210" i="19" a="1"/>
  <c r="R210" i="19" s="1"/>
  <c r="R206" i="19" a="1"/>
  <c r="R206" i="19" s="1"/>
  <c r="R202" i="19" a="1"/>
  <c r="R202" i="19" s="1"/>
  <c r="R163" i="19" a="1"/>
  <c r="R163" i="19" s="1"/>
  <c r="R129" i="19" a="1"/>
  <c r="R129" i="19" s="1"/>
  <c r="R127" i="19" a="1"/>
  <c r="R127" i="19" s="1"/>
  <c r="R125" i="19" a="1"/>
  <c r="R125" i="19" s="1"/>
  <c r="R124" i="19" a="1"/>
  <c r="R124" i="19" s="1"/>
  <c r="R118" i="19" a="1"/>
  <c r="R118" i="19" s="1"/>
  <c r="M109" i="19" a="1"/>
  <c r="M109" i="19" s="1"/>
  <c r="R108" i="19" a="1"/>
  <c r="R108" i="19" s="1"/>
  <c r="R104" i="19" a="1"/>
  <c r="R104" i="19" s="1"/>
  <c r="R93" i="19" a="1"/>
  <c r="R93" i="19" s="1"/>
  <c r="R82" i="19" a="1"/>
  <c r="R82" i="19" s="1"/>
  <c r="M82" i="19" a="1"/>
  <c r="M82" i="19" s="1"/>
  <c r="R80" i="19" a="1"/>
  <c r="R80" i="19" s="1"/>
  <c r="M80" i="19" a="1"/>
  <c r="M80" i="19" s="1"/>
  <c r="R79" i="19" a="1"/>
  <c r="R79" i="19" s="1"/>
  <c r="M79" i="19" a="1"/>
  <c r="M79" i="19" s="1"/>
  <c r="R71" i="19" a="1"/>
  <c r="R71" i="19" s="1"/>
  <c r="M68" i="19" a="1"/>
  <c r="M68" i="19" s="1"/>
  <c r="M65" i="19" a="1"/>
  <c r="M65" i="19" s="1"/>
  <c r="R56" i="19" a="1"/>
  <c r="R56" i="19" s="1"/>
  <c r="R49" i="19" a="1"/>
  <c r="R49" i="19" s="1"/>
  <c r="R45" i="19" a="1"/>
  <c r="R45" i="19" s="1"/>
  <c r="R39" i="19" a="1"/>
  <c r="R39" i="19" s="1"/>
  <c r="M36" i="19" a="1"/>
  <c r="M36" i="19" s="1"/>
  <c r="R31" i="19" a="1"/>
  <c r="R31" i="19" s="1"/>
  <c r="M28" i="19" a="1"/>
  <c r="M28" i="19" s="1"/>
  <c r="R23" i="19" a="1"/>
  <c r="R23" i="19" s="1"/>
  <c r="M20" i="19" a="1"/>
  <c r="M20" i="19" s="1"/>
  <c r="R15" i="19" a="1"/>
  <c r="R15" i="19" s="1"/>
  <c r="M12" i="19" a="1"/>
  <c r="M12" i="19" s="1"/>
  <c r="R7" i="19" a="1"/>
  <c r="R7" i="19" s="1"/>
  <c r="M34" i="19" a="1"/>
  <c r="M34" i="19" s="1"/>
  <c r="M26" i="19" a="1"/>
  <c r="M26" i="19" s="1"/>
  <c r="M18" i="19" a="1"/>
  <c r="M18" i="19" s="1"/>
  <c r="M10" i="19" a="1"/>
  <c r="M10" i="19" s="1"/>
  <c r="M255" i="19" a="1"/>
  <c r="M255" i="19" s="1"/>
  <c r="R251" i="19" a="1"/>
  <c r="R251" i="19" s="1"/>
  <c r="M219" i="19" a="1"/>
  <c r="M219" i="19" s="1"/>
  <c r="M215" i="19" a="1"/>
  <c r="M215" i="19" s="1"/>
  <c r="M211" i="19" a="1"/>
  <c r="M211" i="19" s="1"/>
  <c r="M207" i="19" a="1"/>
  <c r="M207" i="19" s="1"/>
  <c r="M203" i="19" a="1"/>
  <c r="M203" i="19" s="1"/>
  <c r="M188" i="19" a="1"/>
  <c r="M188" i="19" s="1"/>
  <c r="M176" i="19" a="1"/>
  <c r="M176" i="19" s="1"/>
  <c r="R146" i="19" a="1"/>
  <c r="R146" i="19" s="1"/>
  <c r="M123" i="19" a="1"/>
  <c r="M123" i="19" s="1"/>
  <c r="R92" i="19" a="1"/>
  <c r="R92" i="19" s="1"/>
  <c r="R83" i="19" a="1"/>
  <c r="R83" i="19" s="1"/>
  <c r="M83" i="19" a="1"/>
  <c r="M83" i="19" s="1"/>
  <c r="R81" i="19" a="1"/>
  <c r="R81" i="19" s="1"/>
  <c r="M81" i="19" a="1"/>
  <c r="M81" i="19" s="1"/>
  <c r="R68" i="19" a="1"/>
  <c r="R68" i="19" s="1"/>
  <c r="M64" i="19" a="1"/>
  <c r="M64" i="19" s="1"/>
  <c r="M63" i="19" a="1"/>
  <c r="M63" i="19" s="1"/>
  <c r="M58" i="19" a="1"/>
  <c r="M58" i="19" s="1"/>
  <c r="M50" i="19" a="1"/>
  <c r="M50" i="19" s="1"/>
  <c r="M46" i="19" a="1"/>
  <c r="M46" i="19" s="1"/>
  <c r="M41" i="19" a="1"/>
  <c r="M41" i="19" s="1"/>
  <c r="R36" i="19" a="1"/>
  <c r="R36" i="19" s="1"/>
  <c r="M33" i="19" a="1"/>
  <c r="M33" i="19" s="1"/>
  <c r="R28" i="19" a="1"/>
  <c r="R28" i="19" s="1"/>
  <c r="M25" i="19" a="1"/>
  <c r="M25" i="19" s="1"/>
  <c r="R20" i="19" a="1"/>
  <c r="R20" i="19" s="1"/>
  <c r="M17" i="19" a="1"/>
  <c r="M17" i="19" s="1"/>
  <c r="R12" i="19" a="1"/>
  <c r="R12" i="19" s="1"/>
  <c r="M9" i="19" a="1"/>
  <c r="M9" i="19" s="1"/>
  <c r="R245" i="19" a="1"/>
  <c r="R245" i="19" s="1"/>
  <c r="R233" i="19" a="1"/>
  <c r="R233" i="19" s="1"/>
  <c r="M233" i="19" a="1"/>
  <c r="M233" i="19" s="1"/>
  <c r="M228" i="19" a="1"/>
  <c r="M228" i="19" s="1"/>
  <c r="R219" i="19" a="1"/>
  <c r="R219" i="19" s="1"/>
  <c r="R215" i="19" a="1"/>
  <c r="R215" i="19" s="1"/>
  <c r="R211" i="19" a="1"/>
  <c r="R211" i="19" s="1"/>
  <c r="R207" i="19" a="1"/>
  <c r="R207" i="19" s="1"/>
  <c r="R203" i="19" a="1"/>
  <c r="R203" i="19" s="1"/>
  <c r="R164" i="19" a="1"/>
  <c r="R164" i="19" s="1"/>
  <c r="M155" i="19" a="1"/>
  <c r="M155" i="19" s="1"/>
  <c r="M154" i="19" a="1"/>
  <c r="M154" i="19" s="1"/>
  <c r="R123" i="19" a="1"/>
  <c r="R123" i="19" s="1"/>
  <c r="M122" i="19" a="1"/>
  <c r="M122" i="19" s="1"/>
  <c r="M120" i="19" a="1"/>
  <c r="M120" i="19" s="1"/>
  <c r="M116" i="19" a="1"/>
  <c r="M116" i="19" s="1"/>
  <c r="R115" i="19" a="1"/>
  <c r="R115" i="19" s="1"/>
  <c r="M111" i="19" a="1"/>
  <c r="M111" i="19" s="1"/>
  <c r="M110" i="19" a="1"/>
  <c r="M110" i="19" s="1"/>
  <c r="R109" i="19" a="1"/>
  <c r="R109" i="19" s="1"/>
  <c r="M106" i="19" a="1"/>
  <c r="M106" i="19" s="1"/>
  <c r="M70" i="19" a="1"/>
  <c r="M70" i="19" s="1"/>
  <c r="R65" i="19" a="1"/>
  <c r="R65" i="19" s="1"/>
  <c r="R64" i="19" a="1"/>
  <c r="R64" i="19" s="1"/>
  <c r="M62" i="19" a="1"/>
  <c r="M62" i="19" s="1"/>
  <c r="M61" i="19" a="1"/>
  <c r="M61" i="19" s="1"/>
  <c r="R57" i="19" a="1"/>
  <c r="R57" i="19" s="1"/>
  <c r="R50" i="19" a="1"/>
  <c r="R50" i="19" s="1"/>
  <c r="R46" i="19" a="1"/>
  <c r="R46" i="19" s="1"/>
  <c r="M43" i="19" a="1"/>
  <c r="M43" i="19" s="1"/>
  <c r="R41" i="19" a="1"/>
  <c r="R41" i="19" s="1"/>
  <c r="M38" i="19" a="1"/>
  <c r="M38" i="19" s="1"/>
  <c r="R33" i="19" a="1"/>
  <c r="R33" i="19" s="1"/>
  <c r="M30" i="19" a="1"/>
  <c r="M30" i="19" s="1"/>
  <c r="R25" i="19" a="1"/>
  <c r="R25" i="19" s="1"/>
  <c r="M22" i="19" a="1"/>
  <c r="M22" i="19" s="1"/>
  <c r="R17" i="19" a="1"/>
  <c r="R17" i="19" s="1"/>
  <c r="M14" i="19" a="1"/>
  <c r="M14" i="19" s="1"/>
  <c r="R9" i="19" a="1"/>
  <c r="R9" i="19" s="1"/>
  <c r="M6" i="19" a="1"/>
  <c r="M6" i="19" s="1"/>
  <c r="M5" i="19" a="1"/>
  <c r="M5" i="19" s="1"/>
  <c r="R6" i="19" a="1"/>
  <c r="R6" i="19" s="1"/>
  <c r="R29" i="19" a="1"/>
  <c r="R29" i="19" s="1"/>
  <c r="M240" i="19" a="1"/>
  <c r="M240" i="19" s="1"/>
  <c r="R237" i="19" a="1"/>
  <c r="R237" i="19" s="1"/>
  <c r="M237" i="19" a="1"/>
  <c r="M237" i="19" s="1"/>
  <c r="M216" i="19" a="1"/>
  <c r="M216" i="19" s="1"/>
  <c r="M212" i="19" a="1"/>
  <c r="M212" i="19" s="1"/>
  <c r="M208" i="19" a="1"/>
  <c r="M208" i="19" s="1"/>
  <c r="M204" i="19" a="1"/>
  <c r="M204" i="19" s="1"/>
  <c r="M200" i="19" a="1"/>
  <c r="M200" i="19" s="1"/>
  <c r="R193" i="19" a="1"/>
  <c r="R193" i="19" s="1"/>
  <c r="M193" i="19" a="1"/>
  <c r="M193" i="19" s="1"/>
  <c r="M180" i="19" a="1"/>
  <c r="M180" i="19" s="1"/>
  <c r="R176" i="19" a="1"/>
  <c r="R176" i="19" s="1"/>
  <c r="M160" i="19" a="1"/>
  <c r="M160" i="19" s="1"/>
  <c r="R155" i="19" a="1"/>
  <c r="R155" i="19" s="1"/>
  <c r="R154" i="19" a="1"/>
  <c r="R154" i="19" s="1"/>
  <c r="R148" i="19" a="1"/>
  <c r="R148" i="19" s="1"/>
  <c r="R122" i="19" a="1"/>
  <c r="R122" i="19" s="1"/>
  <c r="R120" i="19" a="1"/>
  <c r="R120" i="19" s="1"/>
  <c r="M112" i="19" a="1"/>
  <c r="M112" i="19" s="1"/>
  <c r="R110" i="19" a="1"/>
  <c r="R110" i="19" s="1"/>
  <c r="R70" i="19" a="1"/>
  <c r="R70" i="19" s="1"/>
  <c r="M67" i="19" a="1"/>
  <c r="M67" i="19" s="1"/>
  <c r="R63" i="19" a="1"/>
  <c r="R63" i="19" s="1"/>
  <c r="R62" i="19" a="1"/>
  <c r="R62" i="19" s="1"/>
  <c r="M60" i="19" a="1"/>
  <c r="M60" i="19" s="1"/>
  <c r="M59" i="19" a="1"/>
  <c r="M59" i="19" s="1"/>
  <c r="M51" i="19" a="1"/>
  <c r="M51" i="19" s="1"/>
  <c r="M47" i="19" a="1"/>
  <c r="M47" i="19" s="1"/>
  <c r="R43" i="19" a="1"/>
  <c r="R43" i="19" s="1"/>
  <c r="R38" i="19" a="1"/>
  <c r="R38" i="19" s="1"/>
  <c r="M35" i="19" a="1"/>
  <c r="M35" i="19" s="1"/>
  <c r="R30" i="19" a="1"/>
  <c r="R30" i="19" s="1"/>
  <c r="M27" i="19" a="1"/>
  <c r="M27" i="19" s="1"/>
  <c r="R22" i="19" a="1"/>
  <c r="R22" i="19" s="1"/>
  <c r="M19" i="19" a="1"/>
  <c r="M19" i="19" s="1"/>
  <c r="R14" i="19" a="1"/>
  <c r="R14" i="19" s="1"/>
  <c r="M11" i="19" a="1"/>
  <c r="M11" i="19" s="1"/>
  <c r="R240" i="19" a="1"/>
  <c r="R240" i="19" s="1"/>
  <c r="M222" i="19" a="1"/>
  <c r="M222" i="19" s="1"/>
  <c r="R216" i="19" a="1"/>
  <c r="R216" i="19" s="1"/>
  <c r="R212" i="19" a="1"/>
  <c r="R212" i="19" s="1"/>
  <c r="R208" i="19" a="1"/>
  <c r="R208" i="19" s="1"/>
  <c r="R204" i="19" a="1"/>
  <c r="R204" i="19" s="1"/>
  <c r="R200" i="19" a="1"/>
  <c r="R200" i="19" s="1"/>
  <c r="M161" i="19" a="1"/>
  <c r="M161" i="19" s="1"/>
  <c r="R159" i="19" a="1"/>
  <c r="R159" i="19" s="1"/>
  <c r="M156" i="19" a="1"/>
  <c r="M156" i="19" s="1"/>
  <c r="M132" i="19" a="1"/>
  <c r="M132" i="19" s="1"/>
  <c r="M113" i="19" a="1"/>
  <c r="M113" i="19" s="1"/>
  <c r="R106" i="19" a="1"/>
  <c r="R106" i="19" s="1"/>
  <c r="R72" i="19" a="1"/>
  <c r="R72" i="19" s="1"/>
  <c r="M72" i="19" a="1"/>
  <c r="M72" i="19" s="1"/>
  <c r="R67" i="19" a="1"/>
  <c r="R67" i="19" s="1"/>
  <c r="R61" i="19" a="1"/>
  <c r="R61" i="19" s="1"/>
  <c r="R60" i="19" a="1"/>
  <c r="R60" i="19" s="1"/>
  <c r="R58" i="19" a="1"/>
  <c r="R58" i="19" s="1"/>
  <c r="R51" i="19" a="1"/>
  <c r="R51" i="19" s="1"/>
  <c r="R47" i="19" a="1"/>
  <c r="R47" i="19" s="1"/>
  <c r="M40" i="19" a="1"/>
  <c r="M40" i="19" s="1"/>
  <c r="R35" i="19" a="1"/>
  <c r="R35" i="19" s="1"/>
  <c r="M32" i="19" a="1"/>
  <c r="M32" i="19" s="1"/>
  <c r="R27" i="19" a="1"/>
  <c r="R27" i="19" s="1"/>
  <c r="M24" i="19" a="1"/>
  <c r="M24" i="19" s="1"/>
  <c r="R19" i="19" a="1"/>
  <c r="R19" i="19" s="1"/>
  <c r="M16" i="19" a="1"/>
  <c r="M16" i="19" s="1"/>
  <c r="R11" i="19" a="1"/>
  <c r="R11" i="19" s="1"/>
  <c r="M8" i="19" a="1"/>
  <c r="M8" i="19" s="1"/>
  <c r="R5" i="19" a="1"/>
  <c r="R5" i="19" s="1"/>
  <c r="R37" i="19" a="1"/>
  <c r="R37" i="19" s="1"/>
  <c r="R21" i="19" a="1"/>
  <c r="R21" i="19" s="1"/>
  <c r="R222" i="19" a="1"/>
  <c r="R222" i="19" s="1"/>
  <c r="M217" i="19" a="1"/>
  <c r="M217" i="19" s="1"/>
  <c r="M213" i="19" a="1"/>
  <c r="M213" i="19" s="1"/>
  <c r="M209" i="19" a="1"/>
  <c r="M209" i="19" s="1"/>
  <c r="M205" i="19" a="1"/>
  <c r="M205" i="19" s="1"/>
  <c r="M201" i="19" a="1"/>
  <c r="M201" i="19" s="1"/>
  <c r="R160" i="19" a="1"/>
  <c r="R160" i="19" s="1"/>
  <c r="R156" i="19" a="1"/>
  <c r="R156" i="19" s="1"/>
  <c r="M103" i="19" a="1"/>
  <c r="M103" i="19" s="1"/>
  <c r="M102" i="19" a="1"/>
  <c r="M102" i="19" s="1"/>
  <c r="M101" i="19" a="1"/>
  <c r="M101" i="19" s="1"/>
  <c r="M100" i="19" a="1"/>
  <c r="M100" i="19" s="1"/>
  <c r="M99" i="19" a="1"/>
  <c r="M99" i="19" s="1"/>
  <c r="M98" i="19" a="1"/>
  <c r="M98" i="19" s="1"/>
  <c r="M97" i="19" a="1"/>
  <c r="M97" i="19" s="1"/>
  <c r="M96" i="19" a="1"/>
  <c r="M96" i="19" s="1"/>
  <c r="M95" i="19" a="1"/>
  <c r="M95" i="19" s="1"/>
  <c r="M94" i="19" a="1"/>
  <c r="M94" i="19" s="1"/>
  <c r="R74" i="19" a="1"/>
  <c r="R74" i="19" s="1"/>
  <c r="M74" i="19" a="1"/>
  <c r="M74" i="19" s="1"/>
  <c r="R73" i="19" a="1"/>
  <c r="R73" i="19" s="1"/>
  <c r="M73" i="19" a="1"/>
  <c r="M73" i="19" s="1"/>
  <c r="M69" i="19" a="1"/>
  <c r="M69" i="19" s="1"/>
  <c r="R59" i="19" a="1"/>
  <c r="R59" i="19" s="1"/>
  <c r="M55" i="19" a="1"/>
  <c r="M55" i="19" s="1"/>
  <c r="M54" i="19" a="1"/>
  <c r="M54" i="19" s="1"/>
  <c r="M53" i="19" a="1"/>
  <c r="M53" i="19" s="1"/>
  <c r="M52" i="19" a="1"/>
  <c r="M52" i="19" s="1"/>
  <c r="M48" i="19" a="1"/>
  <c r="M48" i="19" s="1"/>
  <c r="M44" i="19" a="1"/>
  <c r="M44" i="19" s="1"/>
  <c r="R40" i="19" a="1"/>
  <c r="R40" i="19" s="1"/>
  <c r="M37" i="19" a="1"/>
  <c r="M37" i="19" s="1"/>
  <c r="R32" i="19" a="1"/>
  <c r="R32" i="19" s="1"/>
  <c r="M29" i="19" a="1"/>
  <c r="M29" i="19" s="1"/>
  <c r="R24" i="19" a="1"/>
  <c r="R24" i="19" s="1"/>
  <c r="M21" i="19" a="1"/>
  <c r="M21" i="19" s="1"/>
  <c r="R16" i="19" a="1"/>
  <c r="R16" i="19" s="1"/>
  <c r="M13" i="19" a="1"/>
  <c r="M13" i="19" s="1"/>
  <c r="R8" i="19" a="1"/>
  <c r="R8" i="19" s="1"/>
  <c r="R13" i="19" a="1"/>
  <c r="R13" i="19" s="1"/>
  <c r="M7" i="19" a="1"/>
  <c r="M7" i="19" s="1"/>
  <c r="M270" i="19" a="1"/>
  <c r="M270" i="19" s="1"/>
  <c r="R217" i="19" a="1"/>
  <c r="R217" i="19" s="1"/>
  <c r="R213" i="19" a="1"/>
  <c r="R213" i="19" s="1"/>
  <c r="R209" i="19" a="1"/>
  <c r="R209" i="19" s="1"/>
  <c r="R205" i="19" a="1"/>
  <c r="R205" i="19" s="1"/>
  <c r="R201" i="19" a="1"/>
  <c r="R201" i="19" s="1"/>
  <c r="M184" i="19" a="1"/>
  <c r="M184" i="19" s="1"/>
  <c r="M157" i="19" a="1"/>
  <c r="M157" i="19" s="1"/>
  <c r="M145" i="19" a="1"/>
  <c r="M145" i="19" s="1"/>
  <c r="R131" i="19" a="1"/>
  <c r="R131" i="19" s="1"/>
  <c r="R130" i="19" a="1"/>
  <c r="R130" i="19" s="1"/>
  <c r="M130" i="19" a="1"/>
  <c r="M130" i="19" s="1"/>
  <c r="M125" i="19" a="1"/>
  <c r="M125" i="19" s="1"/>
  <c r="R117" i="19" a="1"/>
  <c r="R117" i="19" s="1"/>
  <c r="M114" i="19" a="1"/>
  <c r="M114" i="19" s="1"/>
  <c r="R107" i="19" a="1"/>
  <c r="R107" i="19" s="1"/>
  <c r="M104" i="19" a="1"/>
  <c r="M104" i="19" s="1"/>
  <c r="M93" i="19" a="1"/>
  <c r="M93" i="19" s="1"/>
  <c r="R91" i="19" a="1"/>
  <c r="R91" i="19" s="1"/>
  <c r="M91" i="19" a="1"/>
  <c r="M91" i="19" s="1"/>
  <c r="R90" i="19" a="1"/>
  <c r="R90" i="19" s="1"/>
  <c r="M90" i="19" a="1"/>
  <c r="M90" i="19" s="1"/>
  <c r="R89" i="19" a="1"/>
  <c r="R89" i="19" s="1"/>
  <c r="M89" i="19" a="1"/>
  <c r="M89" i="19" s="1"/>
  <c r="R88" i="19" a="1"/>
  <c r="R88" i="19" s="1"/>
  <c r="M88" i="19" a="1"/>
  <c r="M88" i="19" s="1"/>
  <c r="R87" i="19" a="1"/>
  <c r="R87" i="19" s="1"/>
  <c r="M87" i="19" a="1"/>
  <c r="M87" i="19" s="1"/>
  <c r="R86" i="19" a="1"/>
  <c r="R86" i="19" s="1"/>
  <c r="M86" i="19" a="1"/>
  <c r="M86" i="19" s="1"/>
  <c r="R85" i="19" a="1"/>
  <c r="R85" i="19" s="1"/>
  <c r="M85" i="19" a="1"/>
  <c r="M85" i="19" s="1"/>
  <c r="R84" i="19" a="1"/>
  <c r="R84" i="19" s="1"/>
  <c r="M84" i="19" a="1"/>
  <c r="M84" i="19" s="1"/>
  <c r="R76" i="19" a="1"/>
  <c r="R76" i="19" s="1"/>
  <c r="M76" i="19" a="1"/>
  <c r="M76" i="19" s="1"/>
  <c r="R75" i="19" a="1"/>
  <c r="R75" i="19" s="1"/>
  <c r="M75" i="19" a="1"/>
  <c r="M75" i="19" s="1"/>
  <c r="R69" i="19" a="1"/>
  <c r="R69" i="19" s="1"/>
  <c r="M66" i="19" a="1"/>
  <c r="M66" i="19" s="1"/>
  <c r="M56" i="19" a="1"/>
  <c r="M56" i="19" s="1"/>
  <c r="R52" i="19" a="1"/>
  <c r="R52" i="19" s="1"/>
  <c r="R48" i="19" a="1"/>
  <c r="R48" i="19" s="1"/>
  <c r="R44" i="19" a="1"/>
  <c r="R44" i="19" s="1"/>
  <c r="M42" i="19" a="1"/>
  <c r="M42" i="19" s="1"/>
  <c r="R247" i="19" a="1"/>
  <c r="R247" i="19" s="1"/>
  <c r="M218" i="19" a="1"/>
  <c r="M218" i="19" s="1"/>
  <c r="M214" i="19" a="1"/>
  <c r="M214" i="19" s="1"/>
  <c r="M210" i="19" a="1"/>
  <c r="M210" i="19" s="1"/>
  <c r="M206" i="19" a="1"/>
  <c r="M206" i="19" s="1"/>
  <c r="M202" i="19" a="1"/>
  <c r="M202" i="19" s="1"/>
  <c r="R157" i="19" a="1"/>
  <c r="R157" i="19" s="1"/>
  <c r="M147" i="19" a="1"/>
  <c r="M147" i="19" s="1"/>
  <c r="M124" i="19" a="1"/>
  <c r="M124" i="19" s="1"/>
  <c r="M118" i="19" a="1"/>
  <c r="M118" i="19" s="1"/>
  <c r="R103" i="19" a="1"/>
  <c r="R103" i="19" s="1"/>
  <c r="R102" i="19" a="1"/>
  <c r="R102" i="19" s="1"/>
  <c r="R101" i="19" a="1"/>
  <c r="R101" i="19" s="1"/>
  <c r="R100" i="19" a="1"/>
  <c r="R100" i="19" s="1"/>
  <c r="R99" i="19" a="1"/>
  <c r="R99" i="19" s="1"/>
  <c r="R98" i="19" a="1"/>
  <c r="R98" i="19" s="1"/>
  <c r="R97" i="19" a="1"/>
  <c r="R97" i="19" s="1"/>
  <c r="R96" i="19" a="1"/>
  <c r="R96" i="19" s="1"/>
  <c r="R95" i="19" a="1"/>
  <c r="R95" i="19" s="1"/>
  <c r="R94" i="19" a="1"/>
  <c r="R94" i="19" s="1"/>
  <c r="M92" i="19" a="1"/>
  <c r="M92" i="19" s="1"/>
  <c r="R78" i="19" a="1"/>
  <c r="R78" i="19" s="1"/>
  <c r="M78" i="19" a="1"/>
  <c r="M78" i="19" s="1"/>
  <c r="R77" i="19" a="1"/>
  <c r="R77" i="19" s="1"/>
  <c r="M77" i="19" a="1"/>
  <c r="M77" i="19" s="1"/>
  <c r="M71" i="19" a="1"/>
  <c r="M71" i="19" s="1"/>
  <c r="R66" i="19" a="1"/>
  <c r="R66" i="19" s="1"/>
  <c r="M57" i="19" a="1"/>
  <c r="M57" i="19" s="1"/>
  <c r="R55" i="19" a="1"/>
  <c r="R55" i="19" s="1"/>
  <c r="R54" i="19" a="1"/>
  <c r="R54" i="19" s="1"/>
  <c r="R53" i="19" a="1"/>
  <c r="R53" i="19" s="1"/>
  <c r="M49" i="19" a="1"/>
  <c r="M49" i="19" s="1"/>
  <c r="M45" i="19" a="1"/>
  <c r="M45" i="19" s="1"/>
  <c r="R42" i="19" a="1"/>
  <c r="R42" i="19" s="1"/>
  <c r="M39" i="19" a="1"/>
  <c r="M39" i="19" s="1"/>
  <c r="R34" i="19" a="1"/>
  <c r="R34" i="19" s="1"/>
  <c r="M31" i="19" a="1"/>
  <c r="M31" i="19" s="1"/>
  <c r="R26" i="19" a="1"/>
  <c r="R26" i="19" s="1"/>
  <c r="M23" i="19" a="1"/>
  <c r="M23" i="19" s="1"/>
  <c r="R18" i="19" a="1"/>
  <c r="R18" i="19" s="1"/>
  <c r="M15" i="19" a="1"/>
  <c r="M15" i="19" s="1"/>
  <c r="R10" i="19" a="1"/>
  <c r="R10" i="19" s="1"/>
  <c r="A21" i="18"/>
  <c r="D21" i="18" s="1"/>
  <c r="A22" i="18"/>
  <c r="D22" i="18" s="1"/>
  <c r="A23" i="18"/>
  <c r="D23" i="18" s="1"/>
  <c r="A24" i="18"/>
  <c r="D24" i="18" s="1"/>
  <c r="A25" i="18"/>
  <c r="D25" i="18" s="1"/>
  <c r="A28" i="18"/>
  <c r="D28" i="18" s="1"/>
  <c r="A29" i="18"/>
  <c r="D29" i="18" s="1"/>
  <c r="A30" i="18"/>
  <c r="D30" i="18" s="1"/>
  <c r="A31" i="18"/>
  <c r="D31" i="18" s="1"/>
  <c r="A32" i="18"/>
  <c r="D32" i="18" s="1"/>
  <c r="A17" i="18"/>
  <c r="D17" i="18" s="1"/>
  <c r="A15" i="18"/>
  <c r="D15" i="18" s="1"/>
  <c r="A16" i="18"/>
  <c r="D16" i="18" s="1"/>
  <c r="A18" i="18"/>
  <c r="D18" i="18" s="1"/>
  <c r="D601" i="5"/>
  <c r="G601" i="5"/>
  <c r="H601" i="5" s="1"/>
  <c r="I601" i="5"/>
  <c r="J601" i="5" s="1"/>
  <c r="K601" i="5"/>
  <c r="L601" i="5" s="1"/>
  <c r="M601" i="5"/>
  <c r="N601" i="5" s="1"/>
  <c r="P601" i="5"/>
  <c r="W601" i="5"/>
  <c r="D602" i="5"/>
  <c r="G602" i="5"/>
  <c r="H602" i="5" s="1"/>
  <c r="I602" i="5"/>
  <c r="J602" i="5" s="1"/>
  <c r="K602" i="5"/>
  <c r="L602" i="5" s="1"/>
  <c r="M602" i="5"/>
  <c r="N602" i="5" s="1"/>
  <c r="P602" i="5"/>
  <c r="W602" i="5"/>
  <c r="D603" i="5"/>
  <c r="G603" i="5"/>
  <c r="H603" i="5" s="1"/>
  <c r="I603" i="5"/>
  <c r="J603" i="5" s="1"/>
  <c r="K603" i="5"/>
  <c r="L603" i="5" s="1"/>
  <c r="M603" i="5"/>
  <c r="N603" i="5" s="1"/>
  <c r="P603" i="5"/>
  <c r="W603" i="5"/>
  <c r="D104" i="5"/>
  <c r="G104" i="5"/>
  <c r="H104" i="5" s="1"/>
  <c r="I104" i="5"/>
  <c r="J104" i="5" s="1"/>
  <c r="K104" i="5"/>
  <c r="L104" i="5" s="1"/>
  <c r="M104" i="5"/>
  <c r="N104" i="5" s="1"/>
  <c r="P104" i="5"/>
  <c r="W104" i="5"/>
  <c r="D105" i="5"/>
  <c r="G105" i="5"/>
  <c r="H105" i="5" s="1"/>
  <c r="I105" i="5"/>
  <c r="J105" i="5" s="1"/>
  <c r="K105" i="5"/>
  <c r="L105" i="5" s="1"/>
  <c r="M105" i="5"/>
  <c r="N105" i="5" s="1"/>
  <c r="P105" i="5"/>
  <c r="W105" i="5"/>
  <c r="D106" i="5"/>
  <c r="G106" i="5"/>
  <c r="H106" i="5" s="1"/>
  <c r="I106" i="5"/>
  <c r="J106" i="5" s="1"/>
  <c r="K106" i="5"/>
  <c r="L106" i="5" s="1"/>
  <c r="M106" i="5"/>
  <c r="N106" i="5" s="1"/>
  <c r="P106" i="5"/>
  <c r="W106" i="5"/>
  <c r="D107" i="5"/>
  <c r="G107" i="5"/>
  <c r="H107" i="5" s="1"/>
  <c r="I107" i="5"/>
  <c r="J107" i="5" s="1"/>
  <c r="K107" i="5"/>
  <c r="L107" i="5" s="1"/>
  <c r="M107" i="5"/>
  <c r="N107" i="5" s="1"/>
  <c r="P107" i="5"/>
  <c r="W107" i="5"/>
  <c r="D108" i="5"/>
  <c r="G108" i="5"/>
  <c r="H108" i="5" s="1"/>
  <c r="I108" i="5"/>
  <c r="J108" i="5" s="1"/>
  <c r="K108" i="5"/>
  <c r="L108" i="5" s="1"/>
  <c r="M108" i="5"/>
  <c r="N108" i="5" s="1"/>
  <c r="P108" i="5"/>
  <c r="W108" i="5"/>
  <c r="D109" i="5"/>
  <c r="G109" i="5"/>
  <c r="H109" i="5" s="1"/>
  <c r="I109" i="5"/>
  <c r="J109" i="5" s="1"/>
  <c r="K109" i="5"/>
  <c r="L109" i="5" s="1"/>
  <c r="M109" i="5"/>
  <c r="N109" i="5" s="1"/>
  <c r="P109" i="5"/>
  <c r="W109" i="5"/>
  <c r="D110" i="5"/>
  <c r="G110" i="5"/>
  <c r="H110" i="5" s="1"/>
  <c r="I110" i="5"/>
  <c r="J110" i="5" s="1"/>
  <c r="K110" i="5"/>
  <c r="L110" i="5" s="1"/>
  <c r="M110" i="5"/>
  <c r="N110" i="5" s="1"/>
  <c r="P110" i="5"/>
  <c r="W110" i="5"/>
  <c r="D111" i="5"/>
  <c r="G111" i="5"/>
  <c r="H111" i="5" s="1"/>
  <c r="I111" i="5"/>
  <c r="J111" i="5" s="1"/>
  <c r="K111" i="5"/>
  <c r="L111" i="5" s="1"/>
  <c r="M111" i="5"/>
  <c r="N111" i="5" s="1"/>
  <c r="P111" i="5"/>
  <c r="W111" i="5"/>
  <c r="D112" i="5"/>
  <c r="G112" i="5"/>
  <c r="H112" i="5" s="1"/>
  <c r="I112" i="5"/>
  <c r="J112" i="5" s="1"/>
  <c r="K112" i="5"/>
  <c r="L112" i="5" s="1"/>
  <c r="M112" i="5"/>
  <c r="N112" i="5" s="1"/>
  <c r="P112" i="5"/>
  <c r="W112" i="5"/>
  <c r="D113" i="5"/>
  <c r="G113" i="5"/>
  <c r="H113" i="5" s="1"/>
  <c r="I113" i="5"/>
  <c r="J113" i="5" s="1"/>
  <c r="K113" i="5"/>
  <c r="L113" i="5" s="1"/>
  <c r="M113" i="5"/>
  <c r="N113" i="5" s="1"/>
  <c r="P113" i="5"/>
  <c r="W113" i="5"/>
  <c r="D114" i="5"/>
  <c r="G114" i="5"/>
  <c r="H114" i="5" s="1"/>
  <c r="I114" i="5"/>
  <c r="J114" i="5" s="1"/>
  <c r="K114" i="5"/>
  <c r="L114" i="5" s="1"/>
  <c r="M114" i="5"/>
  <c r="N114" i="5" s="1"/>
  <c r="P114" i="5"/>
  <c r="W114" i="5"/>
  <c r="D115" i="5"/>
  <c r="G115" i="5"/>
  <c r="H115" i="5" s="1"/>
  <c r="I115" i="5"/>
  <c r="J115" i="5" s="1"/>
  <c r="K115" i="5"/>
  <c r="L115" i="5" s="1"/>
  <c r="M115" i="5"/>
  <c r="N115" i="5" s="1"/>
  <c r="P115" i="5"/>
  <c r="W115" i="5"/>
  <c r="D116" i="5"/>
  <c r="G116" i="5"/>
  <c r="H116" i="5" s="1"/>
  <c r="I116" i="5"/>
  <c r="J116" i="5" s="1"/>
  <c r="K116" i="5"/>
  <c r="L116" i="5" s="1"/>
  <c r="M116" i="5"/>
  <c r="N116" i="5" s="1"/>
  <c r="P116" i="5"/>
  <c r="W116" i="5"/>
  <c r="D117" i="5"/>
  <c r="G117" i="5"/>
  <c r="H117" i="5" s="1"/>
  <c r="I117" i="5"/>
  <c r="J117" i="5" s="1"/>
  <c r="K117" i="5"/>
  <c r="L117" i="5" s="1"/>
  <c r="M117" i="5"/>
  <c r="N117" i="5" s="1"/>
  <c r="P117" i="5"/>
  <c r="W117" i="5"/>
  <c r="D118" i="5"/>
  <c r="G118" i="5"/>
  <c r="H118" i="5" s="1"/>
  <c r="I118" i="5"/>
  <c r="J118" i="5" s="1"/>
  <c r="K118" i="5"/>
  <c r="L118" i="5" s="1"/>
  <c r="M118" i="5"/>
  <c r="N118" i="5" s="1"/>
  <c r="P118" i="5"/>
  <c r="W118" i="5"/>
  <c r="D119" i="5"/>
  <c r="G119" i="5"/>
  <c r="H119" i="5" s="1"/>
  <c r="I119" i="5"/>
  <c r="J119" i="5" s="1"/>
  <c r="K119" i="5"/>
  <c r="L119" i="5" s="1"/>
  <c r="M119" i="5"/>
  <c r="N119" i="5" s="1"/>
  <c r="P119" i="5"/>
  <c r="W119" i="5"/>
  <c r="D120" i="5"/>
  <c r="G120" i="5"/>
  <c r="H120" i="5" s="1"/>
  <c r="I120" i="5"/>
  <c r="J120" i="5" s="1"/>
  <c r="K120" i="5"/>
  <c r="L120" i="5" s="1"/>
  <c r="M120" i="5"/>
  <c r="N120" i="5" s="1"/>
  <c r="P120" i="5"/>
  <c r="W120" i="5"/>
  <c r="D121" i="5"/>
  <c r="G121" i="5"/>
  <c r="H121" i="5" s="1"/>
  <c r="I121" i="5"/>
  <c r="J121" i="5" s="1"/>
  <c r="K121" i="5"/>
  <c r="L121" i="5" s="1"/>
  <c r="M121" i="5"/>
  <c r="N121" i="5" s="1"/>
  <c r="P121" i="5"/>
  <c r="W121" i="5"/>
  <c r="D122" i="5"/>
  <c r="G122" i="5"/>
  <c r="H122" i="5" s="1"/>
  <c r="I122" i="5"/>
  <c r="J122" i="5" s="1"/>
  <c r="K122" i="5"/>
  <c r="L122" i="5" s="1"/>
  <c r="M122" i="5"/>
  <c r="N122" i="5" s="1"/>
  <c r="P122" i="5"/>
  <c r="W122" i="5"/>
  <c r="D123" i="5"/>
  <c r="G123" i="5"/>
  <c r="H123" i="5" s="1"/>
  <c r="I123" i="5"/>
  <c r="J123" i="5" s="1"/>
  <c r="K123" i="5"/>
  <c r="L123" i="5" s="1"/>
  <c r="M123" i="5"/>
  <c r="N123" i="5" s="1"/>
  <c r="P123" i="5"/>
  <c r="W123" i="5"/>
  <c r="D124" i="5"/>
  <c r="G124" i="5"/>
  <c r="H124" i="5" s="1"/>
  <c r="I124" i="5"/>
  <c r="J124" i="5" s="1"/>
  <c r="K124" i="5"/>
  <c r="L124" i="5" s="1"/>
  <c r="M124" i="5"/>
  <c r="N124" i="5" s="1"/>
  <c r="P124" i="5"/>
  <c r="W124" i="5"/>
  <c r="D125" i="5"/>
  <c r="G125" i="5"/>
  <c r="H125" i="5" s="1"/>
  <c r="I125" i="5"/>
  <c r="J125" i="5" s="1"/>
  <c r="K125" i="5"/>
  <c r="L125" i="5" s="1"/>
  <c r="M125" i="5"/>
  <c r="N125" i="5" s="1"/>
  <c r="P125" i="5"/>
  <c r="W125" i="5"/>
  <c r="D126" i="5"/>
  <c r="G126" i="5"/>
  <c r="H126" i="5" s="1"/>
  <c r="I126" i="5"/>
  <c r="J126" i="5" s="1"/>
  <c r="K126" i="5"/>
  <c r="L126" i="5" s="1"/>
  <c r="M126" i="5"/>
  <c r="N126" i="5" s="1"/>
  <c r="P126" i="5"/>
  <c r="W126" i="5"/>
  <c r="D127" i="5"/>
  <c r="G127" i="5"/>
  <c r="H127" i="5" s="1"/>
  <c r="I127" i="5"/>
  <c r="J127" i="5" s="1"/>
  <c r="K127" i="5"/>
  <c r="L127" i="5" s="1"/>
  <c r="M127" i="5"/>
  <c r="N127" i="5" s="1"/>
  <c r="P127" i="5"/>
  <c r="W127" i="5"/>
  <c r="D128" i="5"/>
  <c r="G128" i="5"/>
  <c r="H128" i="5" s="1"/>
  <c r="I128" i="5"/>
  <c r="J128" i="5" s="1"/>
  <c r="K128" i="5"/>
  <c r="L128" i="5" s="1"/>
  <c r="M128" i="5"/>
  <c r="N128" i="5" s="1"/>
  <c r="P128" i="5"/>
  <c r="W128" i="5"/>
  <c r="D129" i="5"/>
  <c r="G129" i="5"/>
  <c r="H129" i="5" s="1"/>
  <c r="I129" i="5"/>
  <c r="J129" i="5" s="1"/>
  <c r="K129" i="5"/>
  <c r="L129" i="5" s="1"/>
  <c r="M129" i="5"/>
  <c r="N129" i="5" s="1"/>
  <c r="P129" i="5"/>
  <c r="W129" i="5"/>
  <c r="D130" i="5"/>
  <c r="G130" i="5"/>
  <c r="H130" i="5" s="1"/>
  <c r="I130" i="5"/>
  <c r="J130" i="5" s="1"/>
  <c r="K130" i="5"/>
  <c r="L130" i="5" s="1"/>
  <c r="M130" i="5"/>
  <c r="N130" i="5" s="1"/>
  <c r="P130" i="5"/>
  <c r="W130" i="5"/>
  <c r="D131" i="5"/>
  <c r="G131" i="5"/>
  <c r="H131" i="5" s="1"/>
  <c r="I131" i="5"/>
  <c r="J131" i="5" s="1"/>
  <c r="K131" i="5"/>
  <c r="L131" i="5" s="1"/>
  <c r="M131" i="5"/>
  <c r="N131" i="5" s="1"/>
  <c r="P131" i="5"/>
  <c r="W131" i="5"/>
  <c r="D132" i="5"/>
  <c r="G132" i="5"/>
  <c r="H132" i="5" s="1"/>
  <c r="I132" i="5"/>
  <c r="J132" i="5" s="1"/>
  <c r="K132" i="5"/>
  <c r="L132" i="5" s="1"/>
  <c r="M132" i="5"/>
  <c r="N132" i="5" s="1"/>
  <c r="P132" i="5"/>
  <c r="W132" i="5"/>
  <c r="D133" i="5"/>
  <c r="G133" i="5"/>
  <c r="H133" i="5" s="1"/>
  <c r="I133" i="5"/>
  <c r="J133" i="5" s="1"/>
  <c r="K133" i="5"/>
  <c r="L133" i="5" s="1"/>
  <c r="M133" i="5"/>
  <c r="N133" i="5" s="1"/>
  <c r="P133" i="5"/>
  <c r="W133" i="5"/>
  <c r="D134" i="5"/>
  <c r="G134" i="5"/>
  <c r="H134" i="5" s="1"/>
  <c r="I134" i="5"/>
  <c r="J134" i="5" s="1"/>
  <c r="K134" i="5"/>
  <c r="L134" i="5" s="1"/>
  <c r="M134" i="5"/>
  <c r="N134" i="5" s="1"/>
  <c r="P134" i="5"/>
  <c r="W134" i="5"/>
  <c r="D135" i="5"/>
  <c r="G135" i="5"/>
  <c r="H135" i="5" s="1"/>
  <c r="I135" i="5"/>
  <c r="J135" i="5" s="1"/>
  <c r="K135" i="5"/>
  <c r="L135" i="5" s="1"/>
  <c r="M135" i="5"/>
  <c r="N135" i="5" s="1"/>
  <c r="P135" i="5"/>
  <c r="W135" i="5"/>
  <c r="D136" i="5"/>
  <c r="G136" i="5"/>
  <c r="H136" i="5" s="1"/>
  <c r="I136" i="5"/>
  <c r="J136" i="5" s="1"/>
  <c r="K136" i="5"/>
  <c r="L136" i="5" s="1"/>
  <c r="M136" i="5"/>
  <c r="N136" i="5" s="1"/>
  <c r="P136" i="5"/>
  <c r="W136" i="5"/>
  <c r="D137" i="5"/>
  <c r="G137" i="5"/>
  <c r="H137" i="5" s="1"/>
  <c r="I137" i="5"/>
  <c r="J137" i="5" s="1"/>
  <c r="K137" i="5"/>
  <c r="L137" i="5" s="1"/>
  <c r="M137" i="5"/>
  <c r="N137" i="5" s="1"/>
  <c r="P137" i="5"/>
  <c r="W137" i="5"/>
  <c r="D138" i="5"/>
  <c r="G138" i="5"/>
  <c r="H138" i="5" s="1"/>
  <c r="I138" i="5"/>
  <c r="J138" i="5" s="1"/>
  <c r="K138" i="5"/>
  <c r="L138" i="5" s="1"/>
  <c r="M138" i="5"/>
  <c r="N138" i="5" s="1"/>
  <c r="P138" i="5"/>
  <c r="W138" i="5"/>
  <c r="D139" i="5"/>
  <c r="G139" i="5"/>
  <c r="H139" i="5" s="1"/>
  <c r="I139" i="5"/>
  <c r="J139" i="5" s="1"/>
  <c r="K139" i="5"/>
  <c r="L139" i="5" s="1"/>
  <c r="M139" i="5"/>
  <c r="N139" i="5" s="1"/>
  <c r="P139" i="5"/>
  <c r="W139" i="5"/>
  <c r="D140" i="5"/>
  <c r="G140" i="5"/>
  <c r="H140" i="5" s="1"/>
  <c r="I140" i="5"/>
  <c r="J140" i="5" s="1"/>
  <c r="K140" i="5"/>
  <c r="L140" i="5" s="1"/>
  <c r="M140" i="5"/>
  <c r="N140" i="5" s="1"/>
  <c r="P140" i="5"/>
  <c r="W140" i="5"/>
  <c r="D141" i="5"/>
  <c r="G141" i="5"/>
  <c r="H141" i="5" s="1"/>
  <c r="I141" i="5"/>
  <c r="J141" i="5" s="1"/>
  <c r="K141" i="5"/>
  <c r="L141" i="5" s="1"/>
  <c r="M141" i="5"/>
  <c r="N141" i="5" s="1"/>
  <c r="P141" i="5"/>
  <c r="W141" i="5"/>
  <c r="D142" i="5"/>
  <c r="G142" i="5"/>
  <c r="H142" i="5" s="1"/>
  <c r="I142" i="5"/>
  <c r="J142" i="5" s="1"/>
  <c r="K142" i="5"/>
  <c r="L142" i="5" s="1"/>
  <c r="M142" i="5"/>
  <c r="N142" i="5" s="1"/>
  <c r="P142" i="5"/>
  <c r="W142" i="5"/>
  <c r="D143" i="5"/>
  <c r="G143" i="5"/>
  <c r="H143" i="5" s="1"/>
  <c r="I143" i="5"/>
  <c r="J143" i="5" s="1"/>
  <c r="K143" i="5"/>
  <c r="L143" i="5" s="1"/>
  <c r="M143" i="5"/>
  <c r="N143" i="5" s="1"/>
  <c r="P143" i="5"/>
  <c r="W143" i="5"/>
  <c r="D144" i="5"/>
  <c r="G144" i="5"/>
  <c r="H144" i="5" s="1"/>
  <c r="I144" i="5"/>
  <c r="J144" i="5" s="1"/>
  <c r="K144" i="5"/>
  <c r="L144" i="5" s="1"/>
  <c r="M144" i="5"/>
  <c r="N144" i="5" s="1"/>
  <c r="P144" i="5"/>
  <c r="W144" i="5"/>
  <c r="D145" i="5"/>
  <c r="G145" i="5"/>
  <c r="H145" i="5" s="1"/>
  <c r="I145" i="5"/>
  <c r="J145" i="5" s="1"/>
  <c r="K145" i="5"/>
  <c r="L145" i="5" s="1"/>
  <c r="M145" i="5"/>
  <c r="N145" i="5" s="1"/>
  <c r="P145" i="5"/>
  <c r="W145" i="5"/>
  <c r="D146" i="5"/>
  <c r="G146" i="5"/>
  <c r="H146" i="5" s="1"/>
  <c r="I146" i="5"/>
  <c r="J146" i="5" s="1"/>
  <c r="K146" i="5"/>
  <c r="L146" i="5" s="1"/>
  <c r="M146" i="5"/>
  <c r="N146" i="5" s="1"/>
  <c r="P146" i="5"/>
  <c r="W146" i="5"/>
  <c r="D147" i="5"/>
  <c r="G147" i="5"/>
  <c r="H147" i="5" s="1"/>
  <c r="I147" i="5"/>
  <c r="J147" i="5" s="1"/>
  <c r="K147" i="5"/>
  <c r="L147" i="5" s="1"/>
  <c r="M147" i="5"/>
  <c r="N147" i="5" s="1"/>
  <c r="P147" i="5"/>
  <c r="W147" i="5"/>
  <c r="D148" i="5"/>
  <c r="G148" i="5"/>
  <c r="H148" i="5" s="1"/>
  <c r="I148" i="5"/>
  <c r="J148" i="5" s="1"/>
  <c r="K148" i="5"/>
  <c r="L148" i="5" s="1"/>
  <c r="M148" i="5"/>
  <c r="N148" i="5" s="1"/>
  <c r="P148" i="5"/>
  <c r="W148" i="5"/>
  <c r="D149" i="5"/>
  <c r="G149" i="5"/>
  <c r="H149" i="5" s="1"/>
  <c r="I149" i="5"/>
  <c r="J149" i="5" s="1"/>
  <c r="K149" i="5"/>
  <c r="L149" i="5" s="1"/>
  <c r="M149" i="5"/>
  <c r="N149" i="5" s="1"/>
  <c r="P149" i="5"/>
  <c r="W149" i="5"/>
  <c r="D150" i="5"/>
  <c r="G150" i="5"/>
  <c r="H150" i="5" s="1"/>
  <c r="I150" i="5"/>
  <c r="J150" i="5" s="1"/>
  <c r="K150" i="5"/>
  <c r="L150" i="5" s="1"/>
  <c r="M150" i="5"/>
  <c r="N150" i="5" s="1"/>
  <c r="P150" i="5"/>
  <c r="W150" i="5"/>
  <c r="D151" i="5"/>
  <c r="G151" i="5"/>
  <c r="H151" i="5" s="1"/>
  <c r="I151" i="5"/>
  <c r="J151" i="5" s="1"/>
  <c r="K151" i="5"/>
  <c r="L151" i="5" s="1"/>
  <c r="M151" i="5"/>
  <c r="N151" i="5" s="1"/>
  <c r="P151" i="5"/>
  <c r="W151" i="5"/>
  <c r="D152" i="5"/>
  <c r="G152" i="5"/>
  <c r="H152" i="5" s="1"/>
  <c r="I152" i="5"/>
  <c r="J152" i="5" s="1"/>
  <c r="K152" i="5"/>
  <c r="L152" i="5" s="1"/>
  <c r="M152" i="5"/>
  <c r="N152" i="5" s="1"/>
  <c r="P152" i="5"/>
  <c r="W152" i="5"/>
  <c r="D153" i="5"/>
  <c r="G153" i="5"/>
  <c r="H153" i="5" s="1"/>
  <c r="I153" i="5"/>
  <c r="J153" i="5" s="1"/>
  <c r="K153" i="5"/>
  <c r="L153" i="5" s="1"/>
  <c r="M153" i="5"/>
  <c r="N153" i="5" s="1"/>
  <c r="P153" i="5"/>
  <c r="W153" i="5"/>
  <c r="D154" i="5"/>
  <c r="G154" i="5"/>
  <c r="H154" i="5" s="1"/>
  <c r="I154" i="5"/>
  <c r="J154" i="5" s="1"/>
  <c r="K154" i="5"/>
  <c r="L154" i="5" s="1"/>
  <c r="M154" i="5"/>
  <c r="N154" i="5" s="1"/>
  <c r="P154" i="5"/>
  <c r="W154" i="5"/>
  <c r="D155" i="5"/>
  <c r="G155" i="5"/>
  <c r="H155" i="5" s="1"/>
  <c r="I155" i="5"/>
  <c r="J155" i="5" s="1"/>
  <c r="K155" i="5"/>
  <c r="L155" i="5" s="1"/>
  <c r="M155" i="5"/>
  <c r="N155" i="5" s="1"/>
  <c r="P155" i="5"/>
  <c r="W155" i="5"/>
  <c r="D156" i="5"/>
  <c r="G156" i="5"/>
  <c r="H156" i="5" s="1"/>
  <c r="I156" i="5"/>
  <c r="J156" i="5" s="1"/>
  <c r="K156" i="5"/>
  <c r="L156" i="5" s="1"/>
  <c r="M156" i="5"/>
  <c r="N156" i="5" s="1"/>
  <c r="P156" i="5"/>
  <c r="W156" i="5"/>
  <c r="D157" i="5"/>
  <c r="G157" i="5"/>
  <c r="H157" i="5" s="1"/>
  <c r="I157" i="5"/>
  <c r="J157" i="5" s="1"/>
  <c r="K157" i="5"/>
  <c r="L157" i="5" s="1"/>
  <c r="M157" i="5"/>
  <c r="N157" i="5" s="1"/>
  <c r="P157" i="5"/>
  <c r="W157" i="5"/>
  <c r="D158" i="5"/>
  <c r="G158" i="5"/>
  <c r="H158" i="5" s="1"/>
  <c r="I158" i="5"/>
  <c r="J158" i="5" s="1"/>
  <c r="K158" i="5"/>
  <c r="L158" i="5" s="1"/>
  <c r="M158" i="5"/>
  <c r="N158" i="5" s="1"/>
  <c r="P158" i="5"/>
  <c r="W158" i="5"/>
  <c r="D159" i="5"/>
  <c r="G159" i="5"/>
  <c r="H159" i="5" s="1"/>
  <c r="I159" i="5"/>
  <c r="J159" i="5" s="1"/>
  <c r="K159" i="5"/>
  <c r="L159" i="5" s="1"/>
  <c r="M159" i="5"/>
  <c r="N159" i="5" s="1"/>
  <c r="P159" i="5"/>
  <c r="W159" i="5"/>
  <c r="D160" i="5"/>
  <c r="G160" i="5"/>
  <c r="H160" i="5" s="1"/>
  <c r="I160" i="5"/>
  <c r="J160" i="5" s="1"/>
  <c r="K160" i="5"/>
  <c r="L160" i="5" s="1"/>
  <c r="M160" i="5"/>
  <c r="N160" i="5" s="1"/>
  <c r="P160" i="5"/>
  <c r="W160" i="5"/>
  <c r="D161" i="5"/>
  <c r="G161" i="5"/>
  <c r="H161" i="5" s="1"/>
  <c r="I161" i="5"/>
  <c r="J161" i="5" s="1"/>
  <c r="K161" i="5"/>
  <c r="L161" i="5" s="1"/>
  <c r="M161" i="5"/>
  <c r="N161" i="5" s="1"/>
  <c r="P161" i="5"/>
  <c r="W161" i="5"/>
  <c r="D162" i="5"/>
  <c r="G162" i="5"/>
  <c r="H162" i="5" s="1"/>
  <c r="I162" i="5"/>
  <c r="J162" i="5" s="1"/>
  <c r="K162" i="5"/>
  <c r="L162" i="5" s="1"/>
  <c r="M162" i="5"/>
  <c r="N162" i="5" s="1"/>
  <c r="P162" i="5"/>
  <c r="W162" i="5"/>
  <c r="D163" i="5"/>
  <c r="G163" i="5"/>
  <c r="H163" i="5" s="1"/>
  <c r="I163" i="5"/>
  <c r="J163" i="5" s="1"/>
  <c r="K163" i="5"/>
  <c r="L163" i="5" s="1"/>
  <c r="M163" i="5"/>
  <c r="N163" i="5" s="1"/>
  <c r="P163" i="5"/>
  <c r="W163" i="5"/>
  <c r="D164" i="5"/>
  <c r="G164" i="5"/>
  <c r="H164" i="5" s="1"/>
  <c r="I164" i="5"/>
  <c r="J164" i="5" s="1"/>
  <c r="K164" i="5"/>
  <c r="L164" i="5" s="1"/>
  <c r="M164" i="5"/>
  <c r="N164" i="5" s="1"/>
  <c r="P164" i="5"/>
  <c r="W164" i="5"/>
  <c r="D165" i="5"/>
  <c r="G165" i="5"/>
  <c r="H165" i="5" s="1"/>
  <c r="I165" i="5"/>
  <c r="J165" i="5" s="1"/>
  <c r="K165" i="5"/>
  <c r="L165" i="5" s="1"/>
  <c r="M165" i="5"/>
  <c r="N165" i="5" s="1"/>
  <c r="P165" i="5"/>
  <c r="W165" i="5"/>
  <c r="D166" i="5"/>
  <c r="G166" i="5"/>
  <c r="H166" i="5" s="1"/>
  <c r="I166" i="5"/>
  <c r="J166" i="5" s="1"/>
  <c r="K166" i="5"/>
  <c r="L166" i="5" s="1"/>
  <c r="M166" i="5"/>
  <c r="N166" i="5" s="1"/>
  <c r="P166" i="5"/>
  <c r="W166" i="5"/>
  <c r="D167" i="5"/>
  <c r="G167" i="5"/>
  <c r="H167" i="5" s="1"/>
  <c r="I167" i="5"/>
  <c r="J167" i="5" s="1"/>
  <c r="K167" i="5"/>
  <c r="L167" i="5" s="1"/>
  <c r="M167" i="5"/>
  <c r="N167" i="5" s="1"/>
  <c r="P167" i="5"/>
  <c r="W167" i="5"/>
  <c r="D168" i="5"/>
  <c r="G168" i="5"/>
  <c r="H168" i="5" s="1"/>
  <c r="I168" i="5"/>
  <c r="J168" i="5" s="1"/>
  <c r="K168" i="5"/>
  <c r="L168" i="5" s="1"/>
  <c r="M168" i="5"/>
  <c r="N168" i="5" s="1"/>
  <c r="P168" i="5"/>
  <c r="W168" i="5"/>
  <c r="D169" i="5"/>
  <c r="G169" i="5"/>
  <c r="H169" i="5" s="1"/>
  <c r="I169" i="5"/>
  <c r="J169" i="5" s="1"/>
  <c r="K169" i="5"/>
  <c r="L169" i="5" s="1"/>
  <c r="M169" i="5"/>
  <c r="N169" i="5" s="1"/>
  <c r="P169" i="5"/>
  <c r="W169" i="5"/>
  <c r="D170" i="5"/>
  <c r="G170" i="5"/>
  <c r="H170" i="5" s="1"/>
  <c r="I170" i="5"/>
  <c r="J170" i="5" s="1"/>
  <c r="K170" i="5"/>
  <c r="L170" i="5" s="1"/>
  <c r="M170" i="5"/>
  <c r="N170" i="5" s="1"/>
  <c r="P170" i="5"/>
  <c r="W170" i="5"/>
  <c r="D171" i="5"/>
  <c r="G171" i="5"/>
  <c r="H171" i="5" s="1"/>
  <c r="I171" i="5"/>
  <c r="J171" i="5" s="1"/>
  <c r="K171" i="5"/>
  <c r="L171" i="5" s="1"/>
  <c r="M171" i="5"/>
  <c r="N171" i="5" s="1"/>
  <c r="P171" i="5"/>
  <c r="W171" i="5"/>
  <c r="D172" i="5"/>
  <c r="G172" i="5"/>
  <c r="H172" i="5" s="1"/>
  <c r="I172" i="5"/>
  <c r="J172" i="5" s="1"/>
  <c r="K172" i="5"/>
  <c r="L172" i="5" s="1"/>
  <c r="M172" i="5"/>
  <c r="N172" i="5" s="1"/>
  <c r="P172" i="5"/>
  <c r="W172" i="5"/>
  <c r="D173" i="5"/>
  <c r="G173" i="5"/>
  <c r="H173" i="5" s="1"/>
  <c r="I173" i="5"/>
  <c r="J173" i="5" s="1"/>
  <c r="K173" i="5"/>
  <c r="L173" i="5" s="1"/>
  <c r="M173" i="5"/>
  <c r="N173" i="5" s="1"/>
  <c r="P173" i="5"/>
  <c r="W173" i="5"/>
  <c r="D174" i="5"/>
  <c r="G174" i="5"/>
  <c r="H174" i="5" s="1"/>
  <c r="I174" i="5"/>
  <c r="J174" i="5" s="1"/>
  <c r="K174" i="5"/>
  <c r="L174" i="5" s="1"/>
  <c r="M174" i="5"/>
  <c r="N174" i="5" s="1"/>
  <c r="P174" i="5"/>
  <c r="W174" i="5"/>
  <c r="D175" i="5"/>
  <c r="G175" i="5"/>
  <c r="H175" i="5" s="1"/>
  <c r="I175" i="5"/>
  <c r="J175" i="5" s="1"/>
  <c r="K175" i="5"/>
  <c r="L175" i="5" s="1"/>
  <c r="M175" i="5"/>
  <c r="N175" i="5" s="1"/>
  <c r="P175" i="5"/>
  <c r="W175" i="5"/>
  <c r="D176" i="5"/>
  <c r="G176" i="5"/>
  <c r="H176" i="5" s="1"/>
  <c r="I176" i="5"/>
  <c r="J176" i="5" s="1"/>
  <c r="K176" i="5"/>
  <c r="L176" i="5" s="1"/>
  <c r="M176" i="5"/>
  <c r="N176" i="5" s="1"/>
  <c r="P176" i="5"/>
  <c r="W176" i="5"/>
  <c r="D177" i="5"/>
  <c r="G177" i="5"/>
  <c r="H177" i="5" s="1"/>
  <c r="I177" i="5"/>
  <c r="J177" i="5" s="1"/>
  <c r="K177" i="5"/>
  <c r="L177" i="5" s="1"/>
  <c r="M177" i="5"/>
  <c r="N177" i="5" s="1"/>
  <c r="P177" i="5"/>
  <c r="W177" i="5"/>
  <c r="D178" i="5"/>
  <c r="G178" i="5"/>
  <c r="H178" i="5" s="1"/>
  <c r="I178" i="5"/>
  <c r="J178" i="5" s="1"/>
  <c r="K178" i="5"/>
  <c r="L178" i="5" s="1"/>
  <c r="M178" i="5"/>
  <c r="N178" i="5" s="1"/>
  <c r="P178" i="5"/>
  <c r="W178" i="5"/>
  <c r="D179" i="5"/>
  <c r="G179" i="5"/>
  <c r="H179" i="5" s="1"/>
  <c r="I179" i="5"/>
  <c r="J179" i="5" s="1"/>
  <c r="K179" i="5"/>
  <c r="L179" i="5" s="1"/>
  <c r="M179" i="5"/>
  <c r="N179" i="5" s="1"/>
  <c r="P179" i="5"/>
  <c r="W179" i="5"/>
  <c r="D180" i="5"/>
  <c r="G180" i="5"/>
  <c r="H180" i="5" s="1"/>
  <c r="I180" i="5"/>
  <c r="J180" i="5" s="1"/>
  <c r="K180" i="5"/>
  <c r="L180" i="5" s="1"/>
  <c r="M180" i="5"/>
  <c r="N180" i="5" s="1"/>
  <c r="P180" i="5"/>
  <c r="W180" i="5"/>
  <c r="D181" i="5"/>
  <c r="G181" i="5"/>
  <c r="H181" i="5" s="1"/>
  <c r="I181" i="5"/>
  <c r="J181" i="5" s="1"/>
  <c r="K181" i="5"/>
  <c r="L181" i="5" s="1"/>
  <c r="M181" i="5"/>
  <c r="N181" i="5" s="1"/>
  <c r="P181" i="5"/>
  <c r="W181" i="5"/>
  <c r="D182" i="5"/>
  <c r="G182" i="5"/>
  <c r="H182" i="5" s="1"/>
  <c r="I182" i="5"/>
  <c r="J182" i="5" s="1"/>
  <c r="K182" i="5"/>
  <c r="L182" i="5" s="1"/>
  <c r="M182" i="5"/>
  <c r="N182" i="5" s="1"/>
  <c r="P182" i="5"/>
  <c r="W182" i="5"/>
  <c r="D183" i="5"/>
  <c r="G183" i="5"/>
  <c r="H183" i="5" s="1"/>
  <c r="I183" i="5"/>
  <c r="J183" i="5" s="1"/>
  <c r="K183" i="5"/>
  <c r="L183" i="5" s="1"/>
  <c r="M183" i="5"/>
  <c r="N183" i="5" s="1"/>
  <c r="P183" i="5"/>
  <c r="W183" i="5"/>
  <c r="D184" i="5"/>
  <c r="G184" i="5"/>
  <c r="H184" i="5" s="1"/>
  <c r="I184" i="5"/>
  <c r="J184" i="5" s="1"/>
  <c r="K184" i="5"/>
  <c r="L184" i="5" s="1"/>
  <c r="M184" i="5"/>
  <c r="N184" i="5" s="1"/>
  <c r="P184" i="5"/>
  <c r="W184" i="5"/>
  <c r="D185" i="5"/>
  <c r="G185" i="5"/>
  <c r="H185" i="5" s="1"/>
  <c r="I185" i="5"/>
  <c r="J185" i="5" s="1"/>
  <c r="K185" i="5"/>
  <c r="L185" i="5" s="1"/>
  <c r="M185" i="5"/>
  <c r="N185" i="5" s="1"/>
  <c r="P185" i="5"/>
  <c r="W185" i="5"/>
  <c r="D186" i="5"/>
  <c r="G186" i="5"/>
  <c r="H186" i="5" s="1"/>
  <c r="I186" i="5"/>
  <c r="J186" i="5" s="1"/>
  <c r="K186" i="5"/>
  <c r="L186" i="5" s="1"/>
  <c r="M186" i="5"/>
  <c r="N186" i="5" s="1"/>
  <c r="P186" i="5"/>
  <c r="W186" i="5"/>
  <c r="D187" i="5"/>
  <c r="G187" i="5"/>
  <c r="H187" i="5" s="1"/>
  <c r="I187" i="5"/>
  <c r="J187" i="5" s="1"/>
  <c r="K187" i="5"/>
  <c r="L187" i="5" s="1"/>
  <c r="M187" i="5"/>
  <c r="N187" i="5" s="1"/>
  <c r="P187" i="5"/>
  <c r="W187" i="5"/>
  <c r="D188" i="5"/>
  <c r="G188" i="5"/>
  <c r="H188" i="5" s="1"/>
  <c r="I188" i="5"/>
  <c r="J188" i="5" s="1"/>
  <c r="K188" i="5"/>
  <c r="L188" i="5" s="1"/>
  <c r="M188" i="5"/>
  <c r="N188" i="5" s="1"/>
  <c r="P188" i="5"/>
  <c r="W188" i="5"/>
  <c r="D189" i="5"/>
  <c r="G189" i="5"/>
  <c r="H189" i="5" s="1"/>
  <c r="I189" i="5"/>
  <c r="J189" i="5" s="1"/>
  <c r="K189" i="5"/>
  <c r="L189" i="5" s="1"/>
  <c r="M189" i="5"/>
  <c r="N189" i="5" s="1"/>
  <c r="P189" i="5"/>
  <c r="W189" i="5"/>
  <c r="D190" i="5"/>
  <c r="G190" i="5"/>
  <c r="H190" i="5" s="1"/>
  <c r="I190" i="5"/>
  <c r="J190" i="5" s="1"/>
  <c r="K190" i="5"/>
  <c r="L190" i="5" s="1"/>
  <c r="M190" i="5"/>
  <c r="N190" i="5" s="1"/>
  <c r="P190" i="5"/>
  <c r="W190" i="5"/>
  <c r="D191" i="5"/>
  <c r="G191" i="5"/>
  <c r="H191" i="5" s="1"/>
  <c r="I191" i="5"/>
  <c r="J191" i="5" s="1"/>
  <c r="K191" i="5"/>
  <c r="L191" i="5" s="1"/>
  <c r="M191" i="5"/>
  <c r="N191" i="5" s="1"/>
  <c r="P191" i="5"/>
  <c r="W191" i="5"/>
  <c r="D192" i="5"/>
  <c r="G192" i="5"/>
  <c r="H192" i="5" s="1"/>
  <c r="I192" i="5"/>
  <c r="J192" i="5" s="1"/>
  <c r="K192" i="5"/>
  <c r="L192" i="5" s="1"/>
  <c r="M192" i="5"/>
  <c r="N192" i="5" s="1"/>
  <c r="P192" i="5"/>
  <c r="W192" i="5"/>
  <c r="D193" i="5"/>
  <c r="G193" i="5"/>
  <c r="H193" i="5" s="1"/>
  <c r="I193" i="5"/>
  <c r="J193" i="5" s="1"/>
  <c r="K193" i="5"/>
  <c r="L193" i="5" s="1"/>
  <c r="M193" i="5"/>
  <c r="N193" i="5" s="1"/>
  <c r="P193" i="5"/>
  <c r="W193" i="5"/>
  <c r="D194" i="5"/>
  <c r="G194" i="5"/>
  <c r="H194" i="5" s="1"/>
  <c r="I194" i="5"/>
  <c r="J194" i="5" s="1"/>
  <c r="K194" i="5"/>
  <c r="L194" i="5" s="1"/>
  <c r="M194" i="5"/>
  <c r="N194" i="5" s="1"/>
  <c r="P194" i="5"/>
  <c r="W194" i="5"/>
  <c r="D195" i="5"/>
  <c r="G195" i="5"/>
  <c r="H195" i="5" s="1"/>
  <c r="I195" i="5"/>
  <c r="J195" i="5" s="1"/>
  <c r="K195" i="5"/>
  <c r="L195" i="5" s="1"/>
  <c r="M195" i="5"/>
  <c r="N195" i="5" s="1"/>
  <c r="P195" i="5"/>
  <c r="W195" i="5"/>
  <c r="D196" i="5"/>
  <c r="G196" i="5"/>
  <c r="H196" i="5" s="1"/>
  <c r="I196" i="5"/>
  <c r="J196" i="5" s="1"/>
  <c r="K196" i="5"/>
  <c r="L196" i="5" s="1"/>
  <c r="M196" i="5"/>
  <c r="N196" i="5" s="1"/>
  <c r="P196" i="5"/>
  <c r="W196" i="5"/>
  <c r="D197" i="5"/>
  <c r="G197" i="5"/>
  <c r="H197" i="5" s="1"/>
  <c r="I197" i="5"/>
  <c r="J197" i="5" s="1"/>
  <c r="K197" i="5"/>
  <c r="L197" i="5" s="1"/>
  <c r="M197" i="5"/>
  <c r="N197" i="5" s="1"/>
  <c r="P197" i="5"/>
  <c r="W197" i="5"/>
  <c r="D198" i="5"/>
  <c r="G198" i="5"/>
  <c r="H198" i="5" s="1"/>
  <c r="I198" i="5"/>
  <c r="J198" i="5" s="1"/>
  <c r="K198" i="5"/>
  <c r="L198" i="5" s="1"/>
  <c r="M198" i="5"/>
  <c r="N198" i="5" s="1"/>
  <c r="P198" i="5"/>
  <c r="W198" i="5"/>
  <c r="D199" i="5"/>
  <c r="G199" i="5"/>
  <c r="H199" i="5" s="1"/>
  <c r="I199" i="5"/>
  <c r="J199" i="5" s="1"/>
  <c r="K199" i="5"/>
  <c r="L199" i="5" s="1"/>
  <c r="M199" i="5"/>
  <c r="N199" i="5" s="1"/>
  <c r="P199" i="5"/>
  <c r="W199" i="5"/>
  <c r="D200" i="5"/>
  <c r="G200" i="5"/>
  <c r="H200" i="5" s="1"/>
  <c r="I200" i="5"/>
  <c r="J200" i="5" s="1"/>
  <c r="K200" i="5"/>
  <c r="L200" i="5" s="1"/>
  <c r="M200" i="5"/>
  <c r="N200" i="5" s="1"/>
  <c r="P200" i="5"/>
  <c r="W200" i="5"/>
  <c r="D201" i="5"/>
  <c r="G201" i="5"/>
  <c r="H201" i="5" s="1"/>
  <c r="I201" i="5"/>
  <c r="J201" i="5" s="1"/>
  <c r="K201" i="5"/>
  <c r="L201" i="5" s="1"/>
  <c r="M201" i="5"/>
  <c r="N201" i="5" s="1"/>
  <c r="P201" i="5"/>
  <c r="W201" i="5"/>
  <c r="D202" i="5"/>
  <c r="G202" i="5"/>
  <c r="H202" i="5" s="1"/>
  <c r="I202" i="5"/>
  <c r="J202" i="5" s="1"/>
  <c r="K202" i="5"/>
  <c r="L202" i="5" s="1"/>
  <c r="M202" i="5"/>
  <c r="N202" i="5" s="1"/>
  <c r="P202" i="5"/>
  <c r="W202" i="5"/>
  <c r="D203" i="5"/>
  <c r="G203" i="5"/>
  <c r="H203" i="5" s="1"/>
  <c r="I203" i="5"/>
  <c r="J203" i="5" s="1"/>
  <c r="K203" i="5"/>
  <c r="L203" i="5" s="1"/>
  <c r="M203" i="5"/>
  <c r="N203" i="5" s="1"/>
  <c r="P203" i="5"/>
  <c r="W203" i="5"/>
  <c r="D204" i="5"/>
  <c r="G204" i="5"/>
  <c r="H204" i="5" s="1"/>
  <c r="I204" i="5"/>
  <c r="J204" i="5" s="1"/>
  <c r="K204" i="5"/>
  <c r="L204" i="5" s="1"/>
  <c r="M204" i="5"/>
  <c r="N204" i="5" s="1"/>
  <c r="P204" i="5"/>
  <c r="W204" i="5"/>
  <c r="D205" i="5"/>
  <c r="G205" i="5"/>
  <c r="H205" i="5" s="1"/>
  <c r="I205" i="5"/>
  <c r="J205" i="5" s="1"/>
  <c r="K205" i="5"/>
  <c r="L205" i="5" s="1"/>
  <c r="M205" i="5"/>
  <c r="N205" i="5" s="1"/>
  <c r="P205" i="5"/>
  <c r="W205" i="5"/>
  <c r="D206" i="5"/>
  <c r="G206" i="5"/>
  <c r="H206" i="5" s="1"/>
  <c r="I206" i="5"/>
  <c r="J206" i="5" s="1"/>
  <c r="K206" i="5"/>
  <c r="L206" i="5" s="1"/>
  <c r="M206" i="5"/>
  <c r="N206" i="5" s="1"/>
  <c r="P206" i="5"/>
  <c r="W206" i="5"/>
  <c r="D207" i="5"/>
  <c r="G207" i="5"/>
  <c r="H207" i="5" s="1"/>
  <c r="I207" i="5"/>
  <c r="J207" i="5" s="1"/>
  <c r="K207" i="5"/>
  <c r="L207" i="5" s="1"/>
  <c r="M207" i="5"/>
  <c r="N207" i="5" s="1"/>
  <c r="P207" i="5"/>
  <c r="W207" i="5"/>
  <c r="D208" i="5"/>
  <c r="G208" i="5"/>
  <c r="H208" i="5" s="1"/>
  <c r="I208" i="5"/>
  <c r="J208" i="5" s="1"/>
  <c r="K208" i="5"/>
  <c r="L208" i="5" s="1"/>
  <c r="M208" i="5"/>
  <c r="N208" i="5" s="1"/>
  <c r="P208" i="5"/>
  <c r="W208" i="5"/>
  <c r="D209" i="5"/>
  <c r="G209" i="5"/>
  <c r="H209" i="5" s="1"/>
  <c r="I209" i="5"/>
  <c r="J209" i="5" s="1"/>
  <c r="K209" i="5"/>
  <c r="L209" i="5" s="1"/>
  <c r="M209" i="5"/>
  <c r="N209" i="5" s="1"/>
  <c r="P209" i="5"/>
  <c r="W209" i="5"/>
  <c r="D210" i="5"/>
  <c r="G210" i="5"/>
  <c r="H210" i="5" s="1"/>
  <c r="I210" i="5"/>
  <c r="J210" i="5" s="1"/>
  <c r="K210" i="5"/>
  <c r="L210" i="5" s="1"/>
  <c r="M210" i="5"/>
  <c r="N210" i="5" s="1"/>
  <c r="P210" i="5"/>
  <c r="W210" i="5"/>
  <c r="D211" i="5"/>
  <c r="G211" i="5"/>
  <c r="H211" i="5" s="1"/>
  <c r="I211" i="5"/>
  <c r="J211" i="5" s="1"/>
  <c r="K211" i="5"/>
  <c r="L211" i="5" s="1"/>
  <c r="M211" i="5"/>
  <c r="N211" i="5" s="1"/>
  <c r="P211" i="5"/>
  <c r="W211" i="5"/>
  <c r="D212" i="5"/>
  <c r="G212" i="5"/>
  <c r="H212" i="5" s="1"/>
  <c r="I212" i="5"/>
  <c r="J212" i="5" s="1"/>
  <c r="K212" i="5"/>
  <c r="L212" i="5" s="1"/>
  <c r="M212" i="5"/>
  <c r="N212" i="5" s="1"/>
  <c r="P212" i="5"/>
  <c r="W212" i="5"/>
  <c r="D213" i="5"/>
  <c r="G213" i="5"/>
  <c r="H213" i="5" s="1"/>
  <c r="I213" i="5"/>
  <c r="J213" i="5" s="1"/>
  <c r="K213" i="5"/>
  <c r="L213" i="5" s="1"/>
  <c r="M213" i="5"/>
  <c r="N213" i="5" s="1"/>
  <c r="P213" i="5"/>
  <c r="W213" i="5"/>
  <c r="D214" i="5"/>
  <c r="G214" i="5"/>
  <c r="H214" i="5" s="1"/>
  <c r="I214" i="5"/>
  <c r="J214" i="5" s="1"/>
  <c r="K214" i="5"/>
  <c r="L214" i="5" s="1"/>
  <c r="M214" i="5"/>
  <c r="N214" i="5" s="1"/>
  <c r="P214" i="5"/>
  <c r="W214" i="5"/>
  <c r="D215" i="5"/>
  <c r="G215" i="5"/>
  <c r="H215" i="5" s="1"/>
  <c r="I215" i="5"/>
  <c r="J215" i="5" s="1"/>
  <c r="K215" i="5"/>
  <c r="L215" i="5" s="1"/>
  <c r="M215" i="5"/>
  <c r="N215" i="5" s="1"/>
  <c r="P215" i="5"/>
  <c r="W215" i="5"/>
  <c r="D216" i="5"/>
  <c r="G216" i="5"/>
  <c r="H216" i="5" s="1"/>
  <c r="I216" i="5"/>
  <c r="J216" i="5" s="1"/>
  <c r="K216" i="5"/>
  <c r="L216" i="5" s="1"/>
  <c r="M216" i="5"/>
  <c r="N216" i="5" s="1"/>
  <c r="P216" i="5"/>
  <c r="W216" i="5"/>
  <c r="D217" i="5"/>
  <c r="G217" i="5"/>
  <c r="H217" i="5" s="1"/>
  <c r="I217" i="5"/>
  <c r="J217" i="5" s="1"/>
  <c r="K217" i="5"/>
  <c r="L217" i="5" s="1"/>
  <c r="M217" i="5"/>
  <c r="N217" i="5" s="1"/>
  <c r="P217" i="5"/>
  <c r="W217" i="5"/>
  <c r="D218" i="5"/>
  <c r="G218" i="5"/>
  <c r="H218" i="5" s="1"/>
  <c r="I218" i="5"/>
  <c r="J218" i="5" s="1"/>
  <c r="K218" i="5"/>
  <c r="L218" i="5" s="1"/>
  <c r="M218" i="5"/>
  <c r="N218" i="5" s="1"/>
  <c r="P218" i="5"/>
  <c r="W218" i="5"/>
  <c r="D219" i="5"/>
  <c r="G219" i="5"/>
  <c r="H219" i="5" s="1"/>
  <c r="I219" i="5"/>
  <c r="J219" i="5" s="1"/>
  <c r="K219" i="5"/>
  <c r="L219" i="5" s="1"/>
  <c r="M219" i="5"/>
  <c r="N219" i="5" s="1"/>
  <c r="P219" i="5"/>
  <c r="W219" i="5"/>
  <c r="D220" i="5"/>
  <c r="G220" i="5"/>
  <c r="H220" i="5" s="1"/>
  <c r="I220" i="5"/>
  <c r="J220" i="5" s="1"/>
  <c r="K220" i="5"/>
  <c r="L220" i="5" s="1"/>
  <c r="M220" i="5"/>
  <c r="N220" i="5" s="1"/>
  <c r="P220" i="5"/>
  <c r="W220" i="5"/>
  <c r="D221" i="5"/>
  <c r="G221" i="5"/>
  <c r="H221" i="5" s="1"/>
  <c r="I221" i="5"/>
  <c r="J221" i="5" s="1"/>
  <c r="K221" i="5"/>
  <c r="L221" i="5" s="1"/>
  <c r="M221" i="5"/>
  <c r="N221" i="5" s="1"/>
  <c r="P221" i="5"/>
  <c r="W221" i="5"/>
  <c r="D222" i="5"/>
  <c r="G222" i="5"/>
  <c r="H222" i="5" s="1"/>
  <c r="I222" i="5"/>
  <c r="J222" i="5" s="1"/>
  <c r="K222" i="5"/>
  <c r="L222" i="5" s="1"/>
  <c r="M222" i="5"/>
  <c r="N222" i="5" s="1"/>
  <c r="P222" i="5"/>
  <c r="W222" i="5"/>
  <c r="D223" i="5"/>
  <c r="G223" i="5"/>
  <c r="H223" i="5" s="1"/>
  <c r="I223" i="5"/>
  <c r="J223" i="5" s="1"/>
  <c r="K223" i="5"/>
  <c r="L223" i="5" s="1"/>
  <c r="M223" i="5"/>
  <c r="N223" i="5" s="1"/>
  <c r="P223" i="5"/>
  <c r="W223" i="5"/>
  <c r="D224" i="5"/>
  <c r="G224" i="5"/>
  <c r="H224" i="5" s="1"/>
  <c r="I224" i="5"/>
  <c r="J224" i="5" s="1"/>
  <c r="K224" i="5"/>
  <c r="L224" i="5" s="1"/>
  <c r="M224" i="5"/>
  <c r="N224" i="5" s="1"/>
  <c r="P224" i="5"/>
  <c r="W224" i="5"/>
  <c r="D225" i="5"/>
  <c r="G225" i="5"/>
  <c r="H225" i="5" s="1"/>
  <c r="I225" i="5"/>
  <c r="J225" i="5" s="1"/>
  <c r="K225" i="5"/>
  <c r="L225" i="5" s="1"/>
  <c r="M225" i="5"/>
  <c r="N225" i="5" s="1"/>
  <c r="P225" i="5"/>
  <c r="W225" i="5"/>
  <c r="D226" i="5"/>
  <c r="G226" i="5"/>
  <c r="H226" i="5" s="1"/>
  <c r="I226" i="5"/>
  <c r="J226" i="5" s="1"/>
  <c r="K226" i="5"/>
  <c r="L226" i="5" s="1"/>
  <c r="M226" i="5"/>
  <c r="N226" i="5" s="1"/>
  <c r="P226" i="5"/>
  <c r="W226" i="5"/>
  <c r="D227" i="5"/>
  <c r="G227" i="5"/>
  <c r="H227" i="5" s="1"/>
  <c r="I227" i="5"/>
  <c r="J227" i="5" s="1"/>
  <c r="K227" i="5"/>
  <c r="L227" i="5" s="1"/>
  <c r="M227" i="5"/>
  <c r="N227" i="5" s="1"/>
  <c r="P227" i="5"/>
  <c r="W227" i="5"/>
  <c r="D228" i="5"/>
  <c r="G228" i="5"/>
  <c r="H228" i="5" s="1"/>
  <c r="I228" i="5"/>
  <c r="J228" i="5" s="1"/>
  <c r="K228" i="5"/>
  <c r="L228" i="5" s="1"/>
  <c r="M228" i="5"/>
  <c r="N228" i="5" s="1"/>
  <c r="P228" i="5"/>
  <c r="W228" i="5"/>
  <c r="D229" i="5"/>
  <c r="G229" i="5"/>
  <c r="H229" i="5" s="1"/>
  <c r="I229" i="5"/>
  <c r="J229" i="5" s="1"/>
  <c r="K229" i="5"/>
  <c r="L229" i="5" s="1"/>
  <c r="M229" i="5"/>
  <c r="N229" i="5" s="1"/>
  <c r="P229" i="5"/>
  <c r="W229" i="5"/>
  <c r="D230" i="5"/>
  <c r="G230" i="5"/>
  <c r="H230" i="5" s="1"/>
  <c r="I230" i="5"/>
  <c r="J230" i="5" s="1"/>
  <c r="K230" i="5"/>
  <c r="L230" i="5" s="1"/>
  <c r="M230" i="5"/>
  <c r="N230" i="5" s="1"/>
  <c r="P230" i="5"/>
  <c r="W230" i="5"/>
  <c r="D231" i="5"/>
  <c r="G231" i="5"/>
  <c r="H231" i="5" s="1"/>
  <c r="I231" i="5"/>
  <c r="J231" i="5" s="1"/>
  <c r="K231" i="5"/>
  <c r="L231" i="5" s="1"/>
  <c r="M231" i="5"/>
  <c r="N231" i="5" s="1"/>
  <c r="P231" i="5"/>
  <c r="W231" i="5"/>
  <c r="D232" i="5"/>
  <c r="G232" i="5"/>
  <c r="H232" i="5" s="1"/>
  <c r="I232" i="5"/>
  <c r="J232" i="5" s="1"/>
  <c r="K232" i="5"/>
  <c r="L232" i="5" s="1"/>
  <c r="M232" i="5"/>
  <c r="N232" i="5" s="1"/>
  <c r="P232" i="5"/>
  <c r="W232" i="5"/>
  <c r="D233" i="5"/>
  <c r="G233" i="5"/>
  <c r="H233" i="5" s="1"/>
  <c r="I233" i="5"/>
  <c r="J233" i="5" s="1"/>
  <c r="K233" i="5"/>
  <c r="L233" i="5" s="1"/>
  <c r="M233" i="5"/>
  <c r="N233" i="5" s="1"/>
  <c r="P233" i="5"/>
  <c r="W233" i="5"/>
  <c r="D234" i="5"/>
  <c r="G234" i="5"/>
  <c r="H234" i="5" s="1"/>
  <c r="I234" i="5"/>
  <c r="J234" i="5" s="1"/>
  <c r="K234" i="5"/>
  <c r="L234" i="5" s="1"/>
  <c r="M234" i="5"/>
  <c r="N234" i="5" s="1"/>
  <c r="P234" i="5"/>
  <c r="W234" i="5"/>
  <c r="D235" i="5"/>
  <c r="G235" i="5"/>
  <c r="H235" i="5" s="1"/>
  <c r="I235" i="5"/>
  <c r="J235" i="5" s="1"/>
  <c r="K235" i="5"/>
  <c r="L235" i="5" s="1"/>
  <c r="M235" i="5"/>
  <c r="N235" i="5" s="1"/>
  <c r="P235" i="5"/>
  <c r="W235" i="5"/>
  <c r="D236" i="5"/>
  <c r="G236" i="5"/>
  <c r="H236" i="5" s="1"/>
  <c r="I236" i="5"/>
  <c r="J236" i="5" s="1"/>
  <c r="K236" i="5"/>
  <c r="L236" i="5" s="1"/>
  <c r="M236" i="5"/>
  <c r="N236" i="5" s="1"/>
  <c r="P236" i="5"/>
  <c r="W236" i="5"/>
  <c r="D237" i="5"/>
  <c r="G237" i="5"/>
  <c r="H237" i="5" s="1"/>
  <c r="I237" i="5"/>
  <c r="J237" i="5" s="1"/>
  <c r="K237" i="5"/>
  <c r="L237" i="5" s="1"/>
  <c r="M237" i="5"/>
  <c r="N237" i="5" s="1"/>
  <c r="P237" i="5"/>
  <c r="W237" i="5"/>
  <c r="D238" i="5"/>
  <c r="G238" i="5"/>
  <c r="H238" i="5" s="1"/>
  <c r="I238" i="5"/>
  <c r="J238" i="5" s="1"/>
  <c r="K238" i="5"/>
  <c r="L238" i="5" s="1"/>
  <c r="M238" i="5"/>
  <c r="N238" i="5" s="1"/>
  <c r="P238" i="5"/>
  <c r="W238" i="5"/>
  <c r="D239" i="5"/>
  <c r="G239" i="5"/>
  <c r="H239" i="5" s="1"/>
  <c r="I239" i="5"/>
  <c r="J239" i="5" s="1"/>
  <c r="K239" i="5"/>
  <c r="L239" i="5" s="1"/>
  <c r="M239" i="5"/>
  <c r="N239" i="5" s="1"/>
  <c r="P239" i="5"/>
  <c r="W239" i="5"/>
  <c r="D240" i="5"/>
  <c r="G240" i="5"/>
  <c r="H240" i="5" s="1"/>
  <c r="I240" i="5"/>
  <c r="J240" i="5" s="1"/>
  <c r="K240" i="5"/>
  <c r="L240" i="5" s="1"/>
  <c r="M240" i="5"/>
  <c r="N240" i="5" s="1"/>
  <c r="P240" i="5"/>
  <c r="W240" i="5"/>
  <c r="D241" i="5"/>
  <c r="G241" i="5"/>
  <c r="H241" i="5" s="1"/>
  <c r="I241" i="5"/>
  <c r="J241" i="5" s="1"/>
  <c r="K241" i="5"/>
  <c r="L241" i="5" s="1"/>
  <c r="M241" i="5"/>
  <c r="N241" i="5" s="1"/>
  <c r="P241" i="5"/>
  <c r="W241" i="5"/>
  <c r="D242" i="5"/>
  <c r="G242" i="5"/>
  <c r="H242" i="5" s="1"/>
  <c r="I242" i="5"/>
  <c r="J242" i="5" s="1"/>
  <c r="K242" i="5"/>
  <c r="L242" i="5" s="1"/>
  <c r="M242" i="5"/>
  <c r="N242" i="5" s="1"/>
  <c r="P242" i="5"/>
  <c r="W242" i="5"/>
  <c r="D243" i="5"/>
  <c r="G243" i="5"/>
  <c r="H243" i="5" s="1"/>
  <c r="I243" i="5"/>
  <c r="J243" i="5" s="1"/>
  <c r="K243" i="5"/>
  <c r="L243" i="5" s="1"/>
  <c r="M243" i="5"/>
  <c r="N243" i="5" s="1"/>
  <c r="P243" i="5"/>
  <c r="W243" i="5"/>
  <c r="D244" i="5"/>
  <c r="G244" i="5"/>
  <c r="H244" i="5" s="1"/>
  <c r="I244" i="5"/>
  <c r="J244" i="5" s="1"/>
  <c r="K244" i="5"/>
  <c r="L244" i="5" s="1"/>
  <c r="M244" i="5"/>
  <c r="N244" i="5" s="1"/>
  <c r="P244" i="5"/>
  <c r="W244" i="5"/>
  <c r="D245" i="5"/>
  <c r="G245" i="5"/>
  <c r="H245" i="5" s="1"/>
  <c r="I245" i="5"/>
  <c r="J245" i="5" s="1"/>
  <c r="K245" i="5"/>
  <c r="L245" i="5" s="1"/>
  <c r="M245" i="5"/>
  <c r="N245" i="5" s="1"/>
  <c r="P245" i="5"/>
  <c r="W245" i="5"/>
  <c r="D246" i="5"/>
  <c r="G246" i="5"/>
  <c r="H246" i="5" s="1"/>
  <c r="I246" i="5"/>
  <c r="J246" i="5" s="1"/>
  <c r="K246" i="5"/>
  <c r="L246" i="5" s="1"/>
  <c r="M246" i="5"/>
  <c r="N246" i="5" s="1"/>
  <c r="P246" i="5"/>
  <c r="W246" i="5"/>
  <c r="D247" i="5"/>
  <c r="G247" i="5"/>
  <c r="H247" i="5" s="1"/>
  <c r="I247" i="5"/>
  <c r="J247" i="5" s="1"/>
  <c r="K247" i="5"/>
  <c r="L247" i="5" s="1"/>
  <c r="M247" i="5"/>
  <c r="N247" i="5" s="1"/>
  <c r="P247" i="5"/>
  <c r="W247" i="5"/>
  <c r="D248" i="5"/>
  <c r="G248" i="5"/>
  <c r="H248" i="5" s="1"/>
  <c r="I248" i="5"/>
  <c r="J248" i="5" s="1"/>
  <c r="K248" i="5"/>
  <c r="L248" i="5" s="1"/>
  <c r="M248" i="5"/>
  <c r="N248" i="5" s="1"/>
  <c r="P248" i="5"/>
  <c r="W248" i="5"/>
  <c r="D249" i="5"/>
  <c r="G249" i="5"/>
  <c r="H249" i="5" s="1"/>
  <c r="I249" i="5"/>
  <c r="J249" i="5" s="1"/>
  <c r="K249" i="5"/>
  <c r="L249" i="5" s="1"/>
  <c r="M249" i="5"/>
  <c r="N249" i="5" s="1"/>
  <c r="P249" i="5"/>
  <c r="W249" i="5"/>
  <c r="D250" i="5"/>
  <c r="G250" i="5"/>
  <c r="H250" i="5" s="1"/>
  <c r="I250" i="5"/>
  <c r="J250" i="5" s="1"/>
  <c r="K250" i="5"/>
  <c r="L250" i="5" s="1"/>
  <c r="M250" i="5"/>
  <c r="N250" i="5" s="1"/>
  <c r="P250" i="5"/>
  <c r="W250" i="5"/>
  <c r="D251" i="5"/>
  <c r="G251" i="5"/>
  <c r="H251" i="5" s="1"/>
  <c r="I251" i="5"/>
  <c r="J251" i="5" s="1"/>
  <c r="K251" i="5"/>
  <c r="L251" i="5" s="1"/>
  <c r="M251" i="5"/>
  <c r="N251" i="5" s="1"/>
  <c r="P251" i="5"/>
  <c r="W251" i="5"/>
  <c r="D252" i="5"/>
  <c r="G252" i="5"/>
  <c r="H252" i="5" s="1"/>
  <c r="I252" i="5"/>
  <c r="J252" i="5" s="1"/>
  <c r="K252" i="5"/>
  <c r="L252" i="5" s="1"/>
  <c r="M252" i="5"/>
  <c r="N252" i="5" s="1"/>
  <c r="P252" i="5"/>
  <c r="W252" i="5"/>
  <c r="D253" i="5"/>
  <c r="G253" i="5"/>
  <c r="H253" i="5" s="1"/>
  <c r="I253" i="5"/>
  <c r="J253" i="5" s="1"/>
  <c r="K253" i="5"/>
  <c r="L253" i="5" s="1"/>
  <c r="M253" i="5"/>
  <c r="N253" i="5" s="1"/>
  <c r="P253" i="5"/>
  <c r="W253" i="5"/>
  <c r="D254" i="5"/>
  <c r="G254" i="5"/>
  <c r="H254" i="5" s="1"/>
  <c r="I254" i="5"/>
  <c r="J254" i="5" s="1"/>
  <c r="K254" i="5"/>
  <c r="L254" i="5" s="1"/>
  <c r="M254" i="5"/>
  <c r="N254" i="5" s="1"/>
  <c r="P254" i="5"/>
  <c r="W254" i="5"/>
  <c r="D255" i="5"/>
  <c r="G255" i="5"/>
  <c r="H255" i="5" s="1"/>
  <c r="I255" i="5"/>
  <c r="J255" i="5" s="1"/>
  <c r="K255" i="5"/>
  <c r="L255" i="5" s="1"/>
  <c r="M255" i="5"/>
  <c r="N255" i="5" s="1"/>
  <c r="P255" i="5"/>
  <c r="W255" i="5"/>
  <c r="D256" i="5"/>
  <c r="G256" i="5"/>
  <c r="H256" i="5" s="1"/>
  <c r="I256" i="5"/>
  <c r="J256" i="5" s="1"/>
  <c r="K256" i="5"/>
  <c r="L256" i="5" s="1"/>
  <c r="M256" i="5"/>
  <c r="N256" i="5" s="1"/>
  <c r="P256" i="5"/>
  <c r="W256" i="5"/>
  <c r="D257" i="5"/>
  <c r="G257" i="5"/>
  <c r="H257" i="5" s="1"/>
  <c r="I257" i="5"/>
  <c r="J257" i="5" s="1"/>
  <c r="K257" i="5"/>
  <c r="L257" i="5" s="1"/>
  <c r="M257" i="5"/>
  <c r="N257" i="5" s="1"/>
  <c r="P257" i="5"/>
  <c r="W257" i="5"/>
  <c r="D258" i="5"/>
  <c r="G258" i="5"/>
  <c r="H258" i="5" s="1"/>
  <c r="I258" i="5"/>
  <c r="J258" i="5" s="1"/>
  <c r="K258" i="5"/>
  <c r="L258" i="5" s="1"/>
  <c r="M258" i="5"/>
  <c r="N258" i="5" s="1"/>
  <c r="P258" i="5"/>
  <c r="W258" i="5"/>
  <c r="D259" i="5"/>
  <c r="G259" i="5"/>
  <c r="H259" i="5" s="1"/>
  <c r="I259" i="5"/>
  <c r="J259" i="5" s="1"/>
  <c r="K259" i="5"/>
  <c r="L259" i="5" s="1"/>
  <c r="M259" i="5"/>
  <c r="N259" i="5" s="1"/>
  <c r="P259" i="5"/>
  <c r="W259" i="5"/>
  <c r="D260" i="5"/>
  <c r="G260" i="5"/>
  <c r="H260" i="5" s="1"/>
  <c r="I260" i="5"/>
  <c r="J260" i="5" s="1"/>
  <c r="K260" i="5"/>
  <c r="L260" i="5" s="1"/>
  <c r="M260" i="5"/>
  <c r="N260" i="5" s="1"/>
  <c r="P260" i="5"/>
  <c r="W260" i="5"/>
  <c r="D261" i="5"/>
  <c r="G261" i="5"/>
  <c r="H261" i="5" s="1"/>
  <c r="I261" i="5"/>
  <c r="J261" i="5" s="1"/>
  <c r="K261" i="5"/>
  <c r="L261" i="5" s="1"/>
  <c r="M261" i="5"/>
  <c r="N261" i="5" s="1"/>
  <c r="P261" i="5"/>
  <c r="W261" i="5"/>
  <c r="D262" i="5"/>
  <c r="G262" i="5"/>
  <c r="H262" i="5" s="1"/>
  <c r="I262" i="5"/>
  <c r="J262" i="5" s="1"/>
  <c r="K262" i="5"/>
  <c r="L262" i="5" s="1"/>
  <c r="M262" i="5"/>
  <c r="N262" i="5" s="1"/>
  <c r="P262" i="5"/>
  <c r="W262" i="5"/>
  <c r="D263" i="5"/>
  <c r="G263" i="5"/>
  <c r="H263" i="5" s="1"/>
  <c r="I263" i="5"/>
  <c r="J263" i="5" s="1"/>
  <c r="K263" i="5"/>
  <c r="L263" i="5" s="1"/>
  <c r="M263" i="5"/>
  <c r="N263" i="5" s="1"/>
  <c r="P263" i="5"/>
  <c r="W263" i="5"/>
  <c r="D264" i="5"/>
  <c r="G264" i="5"/>
  <c r="H264" i="5" s="1"/>
  <c r="I264" i="5"/>
  <c r="J264" i="5" s="1"/>
  <c r="K264" i="5"/>
  <c r="L264" i="5" s="1"/>
  <c r="M264" i="5"/>
  <c r="N264" i="5" s="1"/>
  <c r="P264" i="5"/>
  <c r="W264" i="5"/>
  <c r="D265" i="5"/>
  <c r="G265" i="5"/>
  <c r="H265" i="5" s="1"/>
  <c r="I265" i="5"/>
  <c r="J265" i="5" s="1"/>
  <c r="K265" i="5"/>
  <c r="L265" i="5" s="1"/>
  <c r="M265" i="5"/>
  <c r="N265" i="5" s="1"/>
  <c r="P265" i="5"/>
  <c r="W265" i="5"/>
  <c r="D266" i="5"/>
  <c r="G266" i="5"/>
  <c r="H266" i="5" s="1"/>
  <c r="I266" i="5"/>
  <c r="J266" i="5" s="1"/>
  <c r="K266" i="5"/>
  <c r="L266" i="5" s="1"/>
  <c r="M266" i="5"/>
  <c r="N266" i="5" s="1"/>
  <c r="P266" i="5"/>
  <c r="W266" i="5"/>
  <c r="D267" i="5"/>
  <c r="G267" i="5"/>
  <c r="H267" i="5" s="1"/>
  <c r="I267" i="5"/>
  <c r="J267" i="5" s="1"/>
  <c r="K267" i="5"/>
  <c r="L267" i="5" s="1"/>
  <c r="M267" i="5"/>
  <c r="N267" i="5" s="1"/>
  <c r="P267" i="5"/>
  <c r="W267" i="5"/>
  <c r="D268" i="5"/>
  <c r="G268" i="5"/>
  <c r="H268" i="5" s="1"/>
  <c r="I268" i="5"/>
  <c r="J268" i="5" s="1"/>
  <c r="K268" i="5"/>
  <c r="L268" i="5" s="1"/>
  <c r="M268" i="5"/>
  <c r="N268" i="5" s="1"/>
  <c r="P268" i="5"/>
  <c r="W268" i="5"/>
  <c r="D269" i="5"/>
  <c r="G269" i="5"/>
  <c r="H269" i="5" s="1"/>
  <c r="I269" i="5"/>
  <c r="J269" i="5" s="1"/>
  <c r="K269" i="5"/>
  <c r="L269" i="5" s="1"/>
  <c r="M269" i="5"/>
  <c r="N269" i="5" s="1"/>
  <c r="P269" i="5"/>
  <c r="W269" i="5"/>
  <c r="D270" i="5"/>
  <c r="G270" i="5"/>
  <c r="H270" i="5" s="1"/>
  <c r="I270" i="5"/>
  <c r="J270" i="5" s="1"/>
  <c r="K270" i="5"/>
  <c r="L270" i="5" s="1"/>
  <c r="M270" i="5"/>
  <c r="N270" i="5" s="1"/>
  <c r="P270" i="5"/>
  <c r="W270" i="5"/>
  <c r="D271" i="5"/>
  <c r="G271" i="5"/>
  <c r="H271" i="5" s="1"/>
  <c r="I271" i="5"/>
  <c r="J271" i="5" s="1"/>
  <c r="K271" i="5"/>
  <c r="L271" i="5" s="1"/>
  <c r="M271" i="5"/>
  <c r="N271" i="5" s="1"/>
  <c r="P271" i="5"/>
  <c r="W271" i="5"/>
  <c r="D272" i="5"/>
  <c r="G272" i="5"/>
  <c r="H272" i="5" s="1"/>
  <c r="I272" i="5"/>
  <c r="J272" i="5" s="1"/>
  <c r="K272" i="5"/>
  <c r="L272" i="5" s="1"/>
  <c r="M272" i="5"/>
  <c r="N272" i="5" s="1"/>
  <c r="P272" i="5"/>
  <c r="W272" i="5"/>
  <c r="D273" i="5"/>
  <c r="G273" i="5"/>
  <c r="H273" i="5" s="1"/>
  <c r="I273" i="5"/>
  <c r="J273" i="5" s="1"/>
  <c r="K273" i="5"/>
  <c r="L273" i="5" s="1"/>
  <c r="M273" i="5"/>
  <c r="N273" i="5" s="1"/>
  <c r="P273" i="5"/>
  <c r="W273" i="5"/>
  <c r="D274" i="5"/>
  <c r="G274" i="5"/>
  <c r="H274" i="5" s="1"/>
  <c r="I274" i="5"/>
  <c r="J274" i="5" s="1"/>
  <c r="K274" i="5"/>
  <c r="L274" i="5" s="1"/>
  <c r="M274" i="5"/>
  <c r="N274" i="5" s="1"/>
  <c r="P274" i="5"/>
  <c r="W274" i="5"/>
  <c r="D275" i="5"/>
  <c r="G275" i="5"/>
  <c r="H275" i="5" s="1"/>
  <c r="I275" i="5"/>
  <c r="J275" i="5" s="1"/>
  <c r="K275" i="5"/>
  <c r="L275" i="5" s="1"/>
  <c r="M275" i="5"/>
  <c r="N275" i="5" s="1"/>
  <c r="P275" i="5"/>
  <c r="W275" i="5"/>
  <c r="D276" i="5"/>
  <c r="G276" i="5"/>
  <c r="H276" i="5" s="1"/>
  <c r="I276" i="5"/>
  <c r="J276" i="5" s="1"/>
  <c r="K276" i="5"/>
  <c r="L276" i="5" s="1"/>
  <c r="M276" i="5"/>
  <c r="N276" i="5" s="1"/>
  <c r="P276" i="5"/>
  <c r="W276" i="5"/>
  <c r="D277" i="5"/>
  <c r="G277" i="5"/>
  <c r="H277" i="5" s="1"/>
  <c r="I277" i="5"/>
  <c r="J277" i="5" s="1"/>
  <c r="K277" i="5"/>
  <c r="L277" i="5" s="1"/>
  <c r="M277" i="5"/>
  <c r="N277" i="5" s="1"/>
  <c r="P277" i="5"/>
  <c r="W277" i="5"/>
  <c r="D278" i="5"/>
  <c r="G278" i="5"/>
  <c r="H278" i="5" s="1"/>
  <c r="I278" i="5"/>
  <c r="J278" i="5" s="1"/>
  <c r="K278" i="5"/>
  <c r="L278" i="5" s="1"/>
  <c r="M278" i="5"/>
  <c r="N278" i="5" s="1"/>
  <c r="P278" i="5"/>
  <c r="W278" i="5"/>
  <c r="D279" i="5"/>
  <c r="G279" i="5"/>
  <c r="H279" i="5" s="1"/>
  <c r="I279" i="5"/>
  <c r="J279" i="5" s="1"/>
  <c r="K279" i="5"/>
  <c r="L279" i="5" s="1"/>
  <c r="M279" i="5"/>
  <c r="N279" i="5" s="1"/>
  <c r="P279" i="5"/>
  <c r="W279" i="5"/>
  <c r="D280" i="5"/>
  <c r="G280" i="5"/>
  <c r="H280" i="5" s="1"/>
  <c r="I280" i="5"/>
  <c r="J280" i="5" s="1"/>
  <c r="K280" i="5"/>
  <c r="L280" i="5" s="1"/>
  <c r="M280" i="5"/>
  <c r="N280" i="5" s="1"/>
  <c r="P280" i="5"/>
  <c r="W280" i="5"/>
  <c r="D281" i="5"/>
  <c r="G281" i="5"/>
  <c r="H281" i="5" s="1"/>
  <c r="I281" i="5"/>
  <c r="J281" i="5" s="1"/>
  <c r="K281" i="5"/>
  <c r="L281" i="5" s="1"/>
  <c r="M281" i="5"/>
  <c r="N281" i="5" s="1"/>
  <c r="P281" i="5"/>
  <c r="W281" i="5"/>
  <c r="D282" i="5"/>
  <c r="G282" i="5"/>
  <c r="H282" i="5" s="1"/>
  <c r="I282" i="5"/>
  <c r="J282" i="5" s="1"/>
  <c r="K282" i="5"/>
  <c r="L282" i="5" s="1"/>
  <c r="M282" i="5"/>
  <c r="N282" i="5" s="1"/>
  <c r="P282" i="5"/>
  <c r="W282" i="5"/>
  <c r="D283" i="5"/>
  <c r="G283" i="5"/>
  <c r="H283" i="5" s="1"/>
  <c r="I283" i="5"/>
  <c r="J283" i="5" s="1"/>
  <c r="K283" i="5"/>
  <c r="L283" i="5" s="1"/>
  <c r="M283" i="5"/>
  <c r="N283" i="5" s="1"/>
  <c r="P283" i="5"/>
  <c r="W283" i="5"/>
  <c r="D284" i="5"/>
  <c r="G284" i="5"/>
  <c r="H284" i="5" s="1"/>
  <c r="I284" i="5"/>
  <c r="J284" i="5" s="1"/>
  <c r="K284" i="5"/>
  <c r="L284" i="5" s="1"/>
  <c r="M284" i="5"/>
  <c r="N284" i="5" s="1"/>
  <c r="P284" i="5"/>
  <c r="W284" i="5"/>
  <c r="D285" i="5"/>
  <c r="G285" i="5"/>
  <c r="H285" i="5" s="1"/>
  <c r="I285" i="5"/>
  <c r="J285" i="5" s="1"/>
  <c r="K285" i="5"/>
  <c r="L285" i="5" s="1"/>
  <c r="M285" i="5"/>
  <c r="N285" i="5" s="1"/>
  <c r="P285" i="5"/>
  <c r="W285" i="5"/>
  <c r="D286" i="5"/>
  <c r="G286" i="5"/>
  <c r="H286" i="5" s="1"/>
  <c r="I286" i="5"/>
  <c r="J286" i="5" s="1"/>
  <c r="K286" i="5"/>
  <c r="L286" i="5" s="1"/>
  <c r="M286" i="5"/>
  <c r="N286" i="5" s="1"/>
  <c r="P286" i="5"/>
  <c r="W286" i="5"/>
  <c r="D287" i="5"/>
  <c r="G287" i="5"/>
  <c r="H287" i="5" s="1"/>
  <c r="I287" i="5"/>
  <c r="J287" i="5" s="1"/>
  <c r="K287" i="5"/>
  <c r="L287" i="5" s="1"/>
  <c r="M287" i="5"/>
  <c r="N287" i="5" s="1"/>
  <c r="P287" i="5"/>
  <c r="W287" i="5"/>
  <c r="D288" i="5"/>
  <c r="G288" i="5"/>
  <c r="H288" i="5" s="1"/>
  <c r="I288" i="5"/>
  <c r="J288" i="5" s="1"/>
  <c r="K288" i="5"/>
  <c r="L288" i="5" s="1"/>
  <c r="M288" i="5"/>
  <c r="N288" i="5" s="1"/>
  <c r="P288" i="5"/>
  <c r="W288" i="5"/>
  <c r="D289" i="5"/>
  <c r="G289" i="5"/>
  <c r="H289" i="5" s="1"/>
  <c r="I289" i="5"/>
  <c r="J289" i="5" s="1"/>
  <c r="K289" i="5"/>
  <c r="L289" i="5" s="1"/>
  <c r="M289" i="5"/>
  <c r="N289" i="5" s="1"/>
  <c r="P289" i="5"/>
  <c r="W289" i="5"/>
  <c r="D290" i="5"/>
  <c r="G290" i="5"/>
  <c r="H290" i="5" s="1"/>
  <c r="I290" i="5"/>
  <c r="J290" i="5" s="1"/>
  <c r="K290" i="5"/>
  <c r="L290" i="5" s="1"/>
  <c r="M290" i="5"/>
  <c r="N290" i="5" s="1"/>
  <c r="P290" i="5"/>
  <c r="W290" i="5"/>
  <c r="D291" i="5"/>
  <c r="G291" i="5"/>
  <c r="H291" i="5" s="1"/>
  <c r="I291" i="5"/>
  <c r="J291" i="5" s="1"/>
  <c r="K291" i="5"/>
  <c r="L291" i="5" s="1"/>
  <c r="M291" i="5"/>
  <c r="N291" i="5" s="1"/>
  <c r="P291" i="5"/>
  <c r="W291" i="5"/>
  <c r="D292" i="5"/>
  <c r="G292" i="5"/>
  <c r="H292" i="5" s="1"/>
  <c r="I292" i="5"/>
  <c r="J292" i="5" s="1"/>
  <c r="K292" i="5"/>
  <c r="L292" i="5" s="1"/>
  <c r="M292" i="5"/>
  <c r="N292" i="5" s="1"/>
  <c r="P292" i="5"/>
  <c r="W292" i="5"/>
  <c r="D293" i="5"/>
  <c r="G293" i="5"/>
  <c r="H293" i="5" s="1"/>
  <c r="I293" i="5"/>
  <c r="J293" i="5" s="1"/>
  <c r="K293" i="5"/>
  <c r="L293" i="5" s="1"/>
  <c r="M293" i="5"/>
  <c r="N293" i="5" s="1"/>
  <c r="P293" i="5"/>
  <c r="W293" i="5"/>
  <c r="D294" i="5"/>
  <c r="G294" i="5"/>
  <c r="H294" i="5" s="1"/>
  <c r="I294" i="5"/>
  <c r="J294" i="5" s="1"/>
  <c r="K294" i="5"/>
  <c r="L294" i="5" s="1"/>
  <c r="M294" i="5"/>
  <c r="N294" i="5" s="1"/>
  <c r="P294" i="5"/>
  <c r="W294" i="5"/>
  <c r="D295" i="5"/>
  <c r="G295" i="5"/>
  <c r="H295" i="5" s="1"/>
  <c r="I295" i="5"/>
  <c r="J295" i="5" s="1"/>
  <c r="K295" i="5"/>
  <c r="L295" i="5" s="1"/>
  <c r="M295" i="5"/>
  <c r="N295" i="5" s="1"/>
  <c r="P295" i="5"/>
  <c r="W295" i="5"/>
  <c r="D296" i="5"/>
  <c r="G296" i="5"/>
  <c r="H296" i="5" s="1"/>
  <c r="I296" i="5"/>
  <c r="J296" i="5" s="1"/>
  <c r="K296" i="5"/>
  <c r="L296" i="5" s="1"/>
  <c r="M296" i="5"/>
  <c r="N296" i="5" s="1"/>
  <c r="P296" i="5"/>
  <c r="W296" i="5"/>
  <c r="D297" i="5"/>
  <c r="G297" i="5"/>
  <c r="H297" i="5" s="1"/>
  <c r="I297" i="5"/>
  <c r="J297" i="5" s="1"/>
  <c r="K297" i="5"/>
  <c r="L297" i="5" s="1"/>
  <c r="M297" i="5"/>
  <c r="N297" i="5" s="1"/>
  <c r="P297" i="5"/>
  <c r="W297" i="5"/>
  <c r="D298" i="5"/>
  <c r="G298" i="5"/>
  <c r="H298" i="5" s="1"/>
  <c r="I298" i="5"/>
  <c r="J298" i="5" s="1"/>
  <c r="K298" i="5"/>
  <c r="L298" i="5" s="1"/>
  <c r="M298" i="5"/>
  <c r="N298" i="5" s="1"/>
  <c r="P298" i="5"/>
  <c r="W298" i="5"/>
  <c r="D299" i="5"/>
  <c r="G299" i="5"/>
  <c r="H299" i="5" s="1"/>
  <c r="I299" i="5"/>
  <c r="J299" i="5" s="1"/>
  <c r="K299" i="5"/>
  <c r="L299" i="5" s="1"/>
  <c r="M299" i="5"/>
  <c r="N299" i="5" s="1"/>
  <c r="P299" i="5"/>
  <c r="W299" i="5"/>
  <c r="D300" i="5"/>
  <c r="G300" i="5"/>
  <c r="H300" i="5" s="1"/>
  <c r="I300" i="5"/>
  <c r="J300" i="5" s="1"/>
  <c r="K300" i="5"/>
  <c r="L300" i="5" s="1"/>
  <c r="M300" i="5"/>
  <c r="N300" i="5" s="1"/>
  <c r="P300" i="5"/>
  <c r="W300" i="5"/>
  <c r="D301" i="5"/>
  <c r="G301" i="5"/>
  <c r="H301" i="5" s="1"/>
  <c r="I301" i="5"/>
  <c r="J301" i="5" s="1"/>
  <c r="K301" i="5"/>
  <c r="L301" i="5" s="1"/>
  <c r="M301" i="5"/>
  <c r="N301" i="5" s="1"/>
  <c r="P301" i="5"/>
  <c r="W301" i="5"/>
  <c r="D302" i="5"/>
  <c r="G302" i="5"/>
  <c r="H302" i="5" s="1"/>
  <c r="I302" i="5"/>
  <c r="J302" i="5" s="1"/>
  <c r="K302" i="5"/>
  <c r="L302" i="5" s="1"/>
  <c r="M302" i="5"/>
  <c r="N302" i="5" s="1"/>
  <c r="P302" i="5"/>
  <c r="W302" i="5"/>
  <c r="D303" i="5"/>
  <c r="G303" i="5"/>
  <c r="H303" i="5" s="1"/>
  <c r="I303" i="5"/>
  <c r="J303" i="5" s="1"/>
  <c r="K303" i="5"/>
  <c r="L303" i="5" s="1"/>
  <c r="M303" i="5"/>
  <c r="N303" i="5" s="1"/>
  <c r="P303" i="5"/>
  <c r="W303" i="5"/>
  <c r="D304" i="5"/>
  <c r="G304" i="5"/>
  <c r="H304" i="5" s="1"/>
  <c r="I304" i="5"/>
  <c r="J304" i="5" s="1"/>
  <c r="K304" i="5"/>
  <c r="L304" i="5" s="1"/>
  <c r="M304" i="5"/>
  <c r="N304" i="5" s="1"/>
  <c r="P304" i="5"/>
  <c r="W304" i="5"/>
  <c r="D305" i="5"/>
  <c r="G305" i="5"/>
  <c r="H305" i="5" s="1"/>
  <c r="I305" i="5"/>
  <c r="J305" i="5" s="1"/>
  <c r="K305" i="5"/>
  <c r="L305" i="5" s="1"/>
  <c r="M305" i="5"/>
  <c r="N305" i="5" s="1"/>
  <c r="P305" i="5"/>
  <c r="W305" i="5"/>
  <c r="D306" i="5"/>
  <c r="G306" i="5"/>
  <c r="H306" i="5" s="1"/>
  <c r="I306" i="5"/>
  <c r="J306" i="5" s="1"/>
  <c r="K306" i="5"/>
  <c r="L306" i="5" s="1"/>
  <c r="M306" i="5"/>
  <c r="N306" i="5" s="1"/>
  <c r="P306" i="5"/>
  <c r="W306" i="5"/>
  <c r="D307" i="5"/>
  <c r="G307" i="5"/>
  <c r="H307" i="5" s="1"/>
  <c r="I307" i="5"/>
  <c r="J307" i="5" s="1"/>
  <c r="K307" i="5"/>
  <c r="L307" i="5" s="1"/>
  <c r="M307" i="5"/>
  <c r="N307" i="5" s="1"/>
  <c r="P307" i="5"/>
  <c r="W307" i="5"/>
  <c r="D308" i="5"/>
  <c r="G308" i="5"/>
  <c r="H308" i="5" s="1"/>
  <c r="I308" i="5"/>
  <c r="J308" i="5" s="1"/>
  <c r="K308" i="5"/>
  <c r="L308" i="5" s="1"/>
  <c r="M308" i="5"/>
  <c r="N308" i="5" s="1"/>
  <c r="P308" i="5"/>
  <c r="W308" i="5"/>
  <c r="D309" i="5"/>
  <c r="G309" i="5"/>
  <c r="H309" i="5" s="1"/>
  <c r="I309" i="5"/>
  <c r="J309" i="5" s="1"/>
  <c r="K309" i="5"/>
  <c r="L309" i="5" s="1"/>
  <c r="M309" i="5"/>
  <c r="N309" i="5" s="1"/>
  <c r="P309" i="5"/>
  <c r="W309" i="5"/>
  <c r="D310" i="5"/>
  <c r="G310" i="5"/>
  <c r="H310" i="5" s="1"/>
  <c r="I310" i="5"/>
  <c r="J310" i="5" s="1"/>
  <c r="K310" i="5"/>
  <c r="L310" i="5" s="1"/>
  <c r="M310" i="5"/>
  <c r="N310" i="5" s="1"/>
  <c r="P310" i="5"/>
  <c r="W310" i="5"/>
  <c r="D311" i="5"/>
  <c r="G311" i="5"/>
  <c r="H311" i="5" s="1"/>
  <c r="I311" i="5"/>
  <c r="J311" i="5" s="1"/>
  <c r="K311" i="5"/>
  <c r="L311" i="5" s="1"/>
  <c r="M311" i="5"/>
  <c r="N311" i="5" s="1"/>
  <c r="P311" i="5"/>
  <c r="W311" i="5"/>
  <c r="D312" i="5"/>
  <c r="G312" i="5"/>
  <c r="H312" i="5" s="1"/>
  <c r="I312" i="5"/>
  <c r="J312" i="5" s="1"/>
  <c r="K312" i="5"/>
  <c r="L312" i="5" s="1"/>
  <c r="M312" i="5"/>
  <c r="N312" i="5" s="1"/>
  <c r="P312" i="5"/>
  <c r="W312" i="5"/>
  <c r="D313" i="5"/>
  <c r="G313" i="5"/>
  <c r="H313" i="5" s="1"/>
  <c r="I313" i="5"/>
  <c r="J313" i="5" s="1"/>
  <c r="K313" i="5"/>
  <c r="L313" i="5" s="1"/>
  <c r="M313" i="5"/>
  <c r="N313" i="5" s="1"/>
  <c r="P313" i="5"/>
  <c r="W313" i="5"/>
  <c r="D314" i="5"/>
  <c r="G314" i="5"/>
  <c r="H314" i="5" s="1"/>
  <c r="I314" i="5"/>
  <c r="J314" i="5" s="1"/>
  <c r="K314" i="5"/>
  <c r="L314" i="5" s="1"/>
  <c r="M314" i="5"/>
  <c r="N314" i="5" s="1"/>
  <c r="P314" i="5"/>
  <c r="W314" i="5"/>
  <c r="D315" i="5"/>
  <c r="G315" i="5"/>
  <c r="H315" i="5" s="1"/>
  <c r="I315" i="5"/>
  <c r="J315" i="5" s="1"/>
  <c r="K315" i="5"/>
  <c r="L315" i="5" s="1"/>
  <c r="M315" i="5"/>
  <c r="N315" i="5" s="1"/>
  <c r="P315" i="5"/>
  <c r="W315" i="5"/>
  <c r="D316" i="5"/>
  <c r="G316" i="5"/>
  <c r="H316" i="5" s="1"/>
  <c r="I316" i="5"/>
  <c r="J316" i="5" s="1"/>
  <c r="K316" i="5"/>
  <c r="L316" i="5" s="1"/>
  <c r="M316" i="5"/>
  <c r="N316" i="5" s="1"/>
  <c r="P316" i="5"/>
  <c r="W316" i="5"/>
  <c r="D317" i="5"/>
  <c r="G317" i="5"/>
  <c r="H317" i="5" s="1"/>
  <c r="I317" i="5"/>
  <c r="J317" i="5" s="1"/>
  <c r="K317" i="5"/>
  <c r="L317" i="5" s="1"/>
  <c r="M317" i="5"/>
  <c r="N317" i="5" s="1"/>
  <c r="P317" i="5"/>
  <c r="W317" i="5"/>
  <c r="D318" i="5"/>
  <c r="G318" i="5"/>
  <c r="H318" i="5" s="1"/>
  <c r="I318" i="5"/>
  <c r="J318" i="5" s="1"/>
  <c r="K318" i="5"/>
  <c r="L318" i="5" s="1"/>
  <c r="M318" i="5"/>
  <c r="N318" i="5" s="1"/>
  <c r="P318" i="5"/>
  <c r="W318" i="5"/>
  <c r="D319" i="5"/>
  <c r="G319" i="5"/>
  <c r="H319" i="5" s="1"/>
  <c r="I319" i="5"/>
  <c r="J319" i="5" s="1"/>
  <c r="K319" i="5"/>
  <c r="L319" i="5" s="1"/>
  <c r="M319" i="5"/>
  <c r="N319" i="5" s="1"/>
  <c r="P319" i="5"/>
  <c r="W319" i="5"/>
  <c r="D320" i="5"/>
  <c r="G320" i="5"/>
  <c r="H320" i="5" s="1"/>
  <c r="I320" i="5"/>
  <c r="J320" i="5" s="1"/>
  <c r="K320" i="5"/>
  <c r="L320" i="5" s="1"/>
  <c r="M320" i="5"/>
  <c r="N320" i="5" s="1"/>
  <c r="P320" i="5"/>
  <c r="W320" i="5"/>
  <c r="D321" i="5"/>
  <c r="G321" i="5"/>
  <c r="H321" i="5" s="1"/>
  <c r="I321" i="5"/>
  <c r="J321" i="5" s="1"/>
  <c r="K321" i="5"/>
  <c r="L321" i="5" s="1"/>
  <c r="M321" i="5"/>
  <c r="N321" i="5" s="1"/>
  <c r="P321" i="5"/>
  <c r="W321" i="5"/>
  <c r="D322" i="5"/>
  <c r="G322" i="5"/>
  <c r="H322" i="5" s="1"/>
  <c r="I322" i="5"/>
  <c r="J322" i="5" s="1"/>
  <c r="K322" i="5"/>
  <c r="L322" i="5" s="1"/>
  <c r="M322" i="5"/>
  <c r="N322" i="5" s="1"/>
  <c r="P322" i="5"/>
  <c r="W322" i="5"/>
  <c r="D323" i="5"/>
  <c r="G323" i="5"/>
  <c r="H323" i="5" s="1"/>
  <c r="I323" i="5"/>
  <c r="J323" i="5" s="1"/>
  <c r="K323" i="5"/>
  <c r="L323" i="5" s="1"/>
  <c r="M323" i="5"/>
  <c r="N323" i="5" s="1"/>
  <c r="P323" i="5"/>
  <c r="W323" i="5"/>
  <c r="D324" i="5"/>
  <c r="G324" i="5"/>
  <c r="H324" i="5" s="1"/>
  <c r="I324" i="5"/>
  <c r="J324" i="5" s="1"/>
  <c r="K324" i="5"/>
  <c r="L324" i="5" s="1"/>
  <c r="M324" i="5"/>
  <c r="N324" i="5" s="1"/>
  <c r="P324" i="5"/>
  <c r="W324" i="5"/>
  <c r="D325" i="5"/>
  <c r="G325" i="5"/>
  <c r="H325" i="5" s="1"/>
  <c r="I325" i="5"/>
  <c r="J325" i="5" s="1"/>
  <c r="K325" i="5"/>
  <c r="L325" i="5" s="1"/>
  <c r="M325" i="5"/>
  <c r="N325" i="5" s="1"/>
  <c r="P325" i="5"/>
  <c r="W325" i="5"/>
  <c r="D326" i="5"/>
  <c r="G326" i="5"/>
  <c r="H326" i="5" s="1"/>
  <c r="I326" i="5"/>
  <c r="J326" i="5" s="1"/>
  <c r="K326" i="5"/>
  <c r="L326" i="5" s="1"/>
  <c r="M326" i="5"/>
  <c r="N326" i="5" s="1"/>
  <c r="P326" i="5"/>
  <c r="W326" i="5"/>
  <c r="D327" i="5"/>
  <c r="G327" i="5"/>
  <c r="H327" i="5" s="1"/>
  <c r="I327" i="5"/>
  <c r="J327" i="5" s="1"/>
  <c r="K327" i="5"/>
  <c r="L327" i="5" s="1"/>
  <c r="M327" i="5"/>
  <c r="N327" i="5" s="1"/>
  <c r="P327" i="5"/>
  <c r="W327" i="5"/>
  <c r="D328" i="5"/>
  <c r="G328" i="5"/>
  <c r="H328" i="5" s="1"/>
  <c r="I328" i="5"/>
  <c r="J328" i="5" s="1"/>
  <c r="K328" i="5"/>
  <c r="L328" i="5" s="1"/>
  <c r="M328" i="5"/>
  <c r="N328" i="5" s="1"/>
  <c r="P328" i="5"/>
  <c r="W328" i="5"/>
  <c r="D329" i="5"/>
  <c r="G329" i="5"/>
  <c r="H329" i="5" s="1"/>
  <c r="I329" i="5"/>
  <c r="J329" i="5" s="1"/>
  <c r="K329" i="5"/>
  <c r="L329" i="5" s="1"/>
  <c r="M329" i="5"/>
  <c r="N329" i="5" s="1"/>
  <c r="P329" i="5"/>
  <c r="W329" i="5"/>
  <c r="D330" i="5"/>
  <c r="G330" i="5"/>
  <c r="H330" i="5" s="1"/>
  <c r="I330" i="5"/>
  <c r="J330" i="5" s="1"/>
  <c r="K330" i="5"/>
  <c r="L330" i="5" s="1"/>
  <c r="M330" i="5"/>
  <c r="N330" i="5" s="1"/>
  <c r="P330" i="5"/>
  <c r="W330" i="5"/>
  <c r="D331" i="5"/>
  <c r="G331" i="5"/>
  <c r="H331" i="5" s="1"/>
  <c r="I331" i="5"/>
  <c r="J331" i="5" s="1"/>
  <c r="K331" i="5"/>
  <c r="L331" i="5" s="1"/>
  <c r="M331" i="5"/>
  <c r="N331" i="5" s="1"/>
  <c r="P331" i="5"/>
  <c r="W331" i="5"/>
  <c r="D332" i="5"/>
  <c r="G332" i="5"/>
  <c r="H332" i="5" s="1"/>
  <c r="I332" i="5"/>
  <c r="J332" i="5" s="1"/>
  <c r="K332" i="5"/>
  <c r="L332" i="5" s="1"/>
  <c r="M332" i="5"/>
  <c r="N332" i="5" s="1"/>
  <c r="P332" i="5"/>
  <c r="W332" i="5"/>
  <c r="D333" i="5"/>
  <c r="G333" i="5"/>
  <c r="H333" i="5" s="1"/>
  <c r="I333" i="5"/>
  <c r="J333" i="5" s="1"/>
  <c r="K333" i="5"/>
  <c r="L333" i="5" s="1"/>
  <c r="M333" i="5"/>
  <c r="N333" i="5" s="1"/>
  <c r="P333" i="5"/>
  <c r="W333" i="5"/>
  <c r="D334" i="5"/>
  <c r="G334" i="5"/>
  <c r="H334" i="5" s="1"/>
  <c r="I334" i="5"/>
  <c r="J334" i="5" s="1"/>
  <c r="K334" i="5"/>
  <c r="L334" i="5" s="1"/>
  <c r="M334" i="5"/>
  <c r="N334" i="5" s="1"/>
  <c r="P334" i="5"/>
  <c r="W334" i="5"/>
  <c r="D335" i="5"/>
  <c r="G335" i="5"/>
  <c r="H335" i="5" s="1"/>
  <c r="I335" i="5"/>
  <c r="J335" i="5" s="1"/>
  <c r="K335" i="5"/>
  <c r="L335" i="5" s="1"/>
  <c r="M335" i="5"/>
  <c r="N335" i="5" s="1"/>
  <c r="P335" i="5"/>
  <c r="W335" i="5"/>
  <c r="D336" i="5"/>
  <c r="G336" i="5"/>
  <c r="H336" i="5" s="1"/>
  <c r="I336" i="5"/>
  <c r="J336" i="5" s="1"/>
  <c r="K336" i="5"/>
  <c r="L336" i="5" s="1"/>
  <c r="M336" i="5"/>
  <c r="N336" i="5" s="1"/>
  <c r="P336" i="5"/>
  <c r="W336" i="5"/>
  <c r="D337" i="5"/>
  <c r="G337" i="5"/>
  <c r="H337" i="5" s="1"/>
  <c r="I337" i="5"/>
  <c r="J337" i="5" s="1"/>
  <c r="K337" i="5"/>
  <c r="L337" i="5" s="1"/>
  <c r="M337" i="5"/>
  <c r="N337" i="5" s="1"/>
  <c r="P337" i="5"/>
  <c r="W337" i="5"/>
  <c r="D338" i="5"/>
  <c r="G338" i="5"/>
  <c r="H338" i="5" s="1"/>
  <c r="I338" i="5"/>
  <c r="J338" i="5" s="1"/>
  <c r="K338" i="5"/>
  <c r="L338" i="5" s="1"/>
  <c r="M338" i="5"/>
  <c r="N338" i="5" s="1"/>
  <c r="P338" i="5"/>
  <c r="W338" i="5"/>
  <c r="D339" i="5"/>
  <c r="G339" i="5"/>
  <c r="H339" i="5" s="1"/>
  <c r="I339" i="5"/>
  <c r="J339" i="5" s="1"/>
  <c r="K339" i="5"/>
  <c r="L339" i="5" s="1"/>
  <c r="M339" i="5"/>
  <c r="N339" i="5" s="1"/>
  <c r="P339" i="5"/>
  <c r="W339" i="5"/>
  <c r="D340" i="5"/>
  <c r="G340" i="5"/>
  <c r="H340" i="5" s="1"/>
  <c r="I340" i="5"/>
  <c r="J340" i="5" s="1"/>
  <c r="K340" i="5"/>
  <c r="L340" i="5" s="1"/>
  <c r="M340" i="5"/>
  <c r="N340" i="5" s="1"/>
  <c r="P340" i="5"/>
  <c r="W340" i="5"/>
  <c r="D341" i="5"/>
  <c r="G341" i="5"/>
  <c r="H341" i="5" s="1"/>
  <c r="I341" i="5"/>
  <c r="J341" i="5" s="1"/>
  <c r="K341" i="5"/>
  <c r="L341" i="5" s="1"/>
  <c r="M341" i="5"/>
  <c r="N341" i="5" s="1"/>
  <c r="P341" i="5"/>
  <c r="W341" i="5"/>
  <c r="D342" i="5"/>
  <c r="G342" i="5"/>
  <c r="H342" i="5" s="1"/>
  <c r="I342" i="5"/>
  <c r="J342" i="5" s="1"/>
  <c r="K342" i="5"/>
  <c r="L342" i="5" s="1"/>
  <c r="M342" i="5"/>
  <c r="N342" i="5" s="1"/>
  <c r="P342" i="5"/>
  <c r="W342" i="5"/>
  <c r="D343" i="5"/>
  <c r="G343" i="5"/>
  <c r="H343" i="5" s="1"/>
  <c r="I343" i="5"/>
  <c r="J343" i="5" s="1"/>
  <c r="K343" i="5"/>
  <c r="L343" i="5" s="1"/>
  <c r="M343" i="5"/>
  <c r="N343" i="5" s="1"/>
  <c r="P343" i="5"/>
  <c r="W343" i="5"/>
  <c r="D344" i="5"/>
  <c r="G344" i="5"/>
  <c r="H344" i="5" s="1"/>
  <c r="I344" i="5"/>
  <c r="J344" i="5" s="1"/>
  <c r="K344" i="5"/>
  <c r="L344" i="5" s="1"/>
  <c r="M344" i="5"/>
  <c r="N344" i="5" s="1"/>
  <c r="P344" i="5"/>
  <c r="W344" i="5"/>
  <c r="D345" i="5"/>
  <c r="G345" i="5"/>
  <c r="H345" i="5" s="1"/>
  <c r="I345" i="5"/>
  <c r="J345" i="5" s="1"/>
  <c r="K345" i="5"/>
  <c r="L345" i="5" s="1"/>
  <c r="M345" i="5"/>
  <c r="N345" i="5" s="1"/>
  <c r="P345" i="5"/>
  <c r="W345" i="5"/>
  <c r="D346" i="5"/>
  <c r="G346" i="5"/>
  <c r="H346" i="5" s="1"/>
  <c r="I346" i="5"/>
  <c r="J346" i="5" s="1"/>
  <c r="K346" i="5"/>
  <c r="L346" i="5" s="1"/>
  <c r="M346" i="5"/>
  <c r="N346" i="5" s="1"/>
  <c r="P346" i="5"/>
  <c r="W346" i="5"/>
  <c r="D347" i="5"/>
  <c r="G347" i="5"/>
  <c r="H347" i="5" s="1"/>
  <c r="I347" i="5"/>
  <c r="J347" i="5" s="1"/>
  <c r="K347" i="5"/>
  <c r="L347" i="5" s="1"/>
  <c r="M347" i="5"/>
  <c r="N347" i="5" s="1"/>
  <c r="P347" i="5"/>
  <c r="W347" i="5"/>
  <c r="D348" i="5"/>
  <c r="G348" i="5"/>
  <c r="H348" i="5" s="1"/>
  <c r="I348" i="5"/>
  <c r="J348" i="5" s="1"/>
  <c r="K348" i="5"/>
  <c r="L348" i="5" s="1"/>
  <c r="M348" i="5"/>
  <c r="N348" i="5" s="1"/>
  <c r="P348" i="5"/>
  <c r="W348" i="5"/>
  <c r="D349" i="5"/>
  <c r="G349" i="5"/>
  <c r="H349" i="5" s="1"/>
  <c r="I349" i="5"/>
  <c r="J349" i="5" s="1"/>
  <c r="K349" i="5"/>
  <c r="L349" i="5" s="1"/>
  <c r="M349" i="5"/>
  <c r="N349" i="5" s="1"/>
  <c r="P349" i="5"/>
  <c r="W349" i="5"/>
  <c r="D350" i="5"/>
  <c r="G350" i="5"/>
  <c r="H350" i="5" s="1"/>
  <c r="I350" i="5"/>
  <c r="J350" i="5" s="1"/>
  <c r="K350" i="5"/>
  <c r="L350" i="5" s="1"/>
  <c r="M350" i="5"/>
  <c r="N350" i="5" s="1"/>
  <c r="P350" i="5"/>
  <c r="W350" i="5"/>
  <c r="D351" i="5"/>
  <c r="G351" i="5"/>
  <c r="H351" i="5" s="1"/>
  <c r="I351" i="5"/>
  <c r="J351" i="5" s="1"/>
  <c r="K351" i="5"/>
  <c r="L351" i="5" s="1"/>
  <c r="M351" i="5"/>
  <c r="N351" i="5" s="1"/>
  <c r="P351" i="5"/>
  <c r="W351" i="5"/>
  <c r="D352" i="5"/>
  <c r="G352" i="5"/>
  <c r="H352" i="5" s="1"/>
  <c r="I352" i="5"/>
  <c r="J352" i="5" s="1"/>
  <c r="K352" i="5"/>
  <c r="L352" i="5" s="1"/>
  <c r="M352" i="5"/>
  <c r="N352" i="5" s="1"/>
  <c r="P352" i="5"/>
  <c r="W352" i="5"/>
  <c r="D353" i="5"/>
  <c r="G353" i="5"/>
  <c r="H353" i="5" s="1"/>
  <c r="I353" i="5"/>
  <c r="J353" i="5" s="1"/>
  <c r="K353" i="5"/>
  <c r="L353" i="5" s="1"/>
  <c r="M353" i="5"/>
  <c r="N353" i="5" s="1"/>
  <c r="P353" i="5"/>
  <c r="W353" i="5"/>
  <c r="D354" i="5"/>
  <c r="G354" i="5"/>
  <c r="H354" i="5" s="1"/>
  <c r="I354" i="5"/>
  <c r="J354" i="5" s="1"/>
  <c r="K354" i="5"/>
  <c r="L354" i="5" s="1"/>
  <c r="M354" i="5"/>
  <c r="N354" i="5" s="1"/>
  <c r="P354" i="5"/>
  <c r="W354" i="5"/>
  <c r="D355" i="5"/>
  <c r="G355" i="5"/>
  <c r="H355" i="5" s="1"/>
  <c r="I355" i="5"/>
  <c r="J355" i="5" s="1"/>
  <c r="K355" i="5"/>
  <c r="L355" i="5" s="1"/>
  <c r="M355" i="5"/>
  <c r="N355" i="5" s="1"/>
  <c r="P355" i="5"/>
  <c r="W355" i="5"/>
  <c r="D356" i="5"/>
  <c r="G356" i="5"/>
  <c r="H356" i="5" s="1"/>
  <c r="I356" i="5"/>
  <c r="J356" i="5" s="1"/>
  <c r="K356" i="5"/>
  <c r="L356" i="5" s="1"/>
  <c r="M356" i="5"/>
  <c r="N356" i="5" s="1"/>
  <c r="P356" i="5"/>
  <c r="W356" i="5"/>
  <c r="D357" i="5"/>
  <c r="G357" i="5"/>
  <c r="H357" i="5" s="1"/>
  <c r="I357" i="5"/>
  <c r="J357" i="5" s="1"/>
  <c r="K357" i="5"/>
  <c r="L357" i="5" s="1"/>
  <c r="M357" i="5"/>
  <c r="N357" i="5" s="1"/>
  <c r="P357" i="5"/>
  <c r="W357" i="5"/>
  <c r="D358" i="5"/>
  <c r="G358" i="5"/>
  <c r="H358" i="5" s="1"/>
  <c r="I358" i="5"/>
  <c r="J358" i="5" s="1"/>
  <c r="K358" i="5"/>
  <c r="L358" i="5" s="1"/>
  <c r="M358" i="5"/>
  <c r="N358" i="5" s="1"/>
  <c r="P358" i="5"/>
  <c r="W358" i="5"/>
  <c r="D359" i="5"/>
  <c r="G359" i="5"/>
  <c r="H359" i="5" s="1"/>
  <c r="I359" i="5"/>
  <c r="J359" i="5" s="1"/>
  <c r="K359" i="5"/>
  <c r="L359" i="5" s="1"/>
  <c r="M359" i="5"/>
  <c r="N359" i="5" s="1"/>
  <c r="P359" i="5"/>
  <c r="W359" i="5"/>
  <c r="D360" i="5"/>
  <c r="G360" i="5"/>
  <c r="H360" i="5" s="1"/>
  <c r="I360" i="5"/>
  <c r="J360" i="5" s="1"/>
  <c r="K360" i="5"/>
  <c r="L360" i="5" s="1"/>
  <c r="M360" i="5"/>
  <c r="N360" i="5" s="1"/>
  <c r="P360" i="5"/>
  <c r="W360" i="5"/>
  <c r="D361" i="5"/>
  <c r="G361" i="5"/>
  <c r="H361" i="5" s="1"/>
  <c r="I361" i="5"/>
  <c r="J361" i="5" s="1"/>
  <c r="K361" i="5"/>
  <c r="L361" i="5" s="1"/>
  <c r="M361" i="5"/>
  <c r="N361" i="5" s="1"/>
  <c r="P361" i="5"/>
  <c r="W361" i="5"/>
  <c r="D362" i="5"/>
  <c r="G362" i="5"/>
  <c r="H362" i="5" s="1"/>
  <c r="I362" i="5"/>
  <c r="J362" i="5" s="1"/>
  <c r="K362" i="5"/>
  <c r="L362" i="5" s="1"/>
  <c r="M362" i="5"/>
  <c r="N362" i="5" s="1"/>
  <c r="P362" i="5"/>
  <c r="W362" i="5"/>
  <c r="D363" i="5"/>
  <c r="G363" i="5"/>
  <c r="H363" i="5" s="1"/>
  <c r="I363" i="5"/>
  <c r="J363" i="5" s="1"/>
  <c r="K363" i="5"/>
  <c r="L363" i="5" s="1"/>
  <c r="M363" i="5"/>
  <c r="N363" i="5" s="1"/>
  <c r="P363" i="5"/>
  <c r="W363" i="5"/>
  <c r="D364" i="5"/>
  <c r="G364" i="5"/>
  <c r="H364" i="5" s="1"/>
  <c r="I364" i="5"/>
  <c r="J364" i="5" s="1"/>
  <c r="K364" i="5"/>
  <c r="L364" i="5" s="1"/>
  <c r="M364" i="5"/>
  <c r="N364" i="5" s="1"/>
  <c r="P364" i="5"/>
  <c r="W364" i="5"/>
  <c r="D365" i="5"/>
  <c r="G365" i="5"/>
  <c r="H365" i="5" s="1"/>
  <c r="I365" i="5"/>
  <c r="J365" i="5" s="1"/>
  <c r="K365" i="5"/>
  <c r="L365" i="5" s="1"/>
  <c r="M365" i="5"/>
  <c r="N365" i="5" s="1"/>
  <c r="P365" i="5"/>
  <c r="W365" i="5"/>
  <c r="D366" i="5"/>
  <c r="G366" i="5"/>
  <c r="H366" i="5" s="1"/>
  <c r="I366" i="5"/>
  <c r="J366" i="5" s="1"/>
  <c r="K366" i="5"/>
  <c r="L366" i="5" s="1"/>
  <c r="M366" i="5"/>
  <c r="N366" i="5" s="1"/>
  <c r="P366" i="5"/>
  <c r="W366" i="5"/>
  <c r="D367" i="5"/>
  <c r="G367" i="5"/>
  <c r="H367" i="5" s="1"/>
  <c r="I367" i="5"/>
  <c r="J367" i="5" s="1"/>
  <c r="K367" i="5"/>
  <c r="L367" i="5" s="1"/>
  <c r="M367" i="5"/>
  <c r="N367" i="5" s="1"/>
  <c r="P367" i="5"/>
  <c r="W367" i="5"/>
  <c r="D368" i="5"/>
  <c r="G368" i="5"/>
  <c r="H368" i="5" s="1"/>
  <c r="I368" i="5"/>
  <c r="J368" i="5" s="1"/>
  <c r="K368" i="5"/>
  <c r="L368" i="5" s="1"/>
  <c r="M368" i="5"/>
  <c r="N368" i="5" s="1"/>
  <c r="P368" i="5"/>
  <c r="W368" i="5"/>
  <c r="D369" i="5"/>
  <c r="G369" i="5"/>
  <c r="H369" i="5" s="1"/>
  <c r="I369" i="5"/>
  <c r="J369" i="5" s="1"/>
  <c r="K369" i="5"/>
  <c r="L369" i="5" s="1"/>
  <c r="M369" i="5"/>
  <c r="N369" i="5" s="1"/>
  <c r="P369" i="5"/>
  <c r="W369" i="5"/>
  <c r="D370" i="5"/>
  <c r="G370" i="5"/>
  <c r="H370" i="5" s="1"/>
  <c r="I370" i="5"/>
  <c r="J370" i="5" s="1"/>
  <c r="K370" i="5"/>
  <c r="L370" i="5" s="1"/>
  <c r="M370" i="5"/>
  <c r="N370" i="5" s="1"/>
  <c r="P370" i="5"/>
  <c r="W370" i="5"/>
  <c r="D371" i="5"/>
  <c r="G371" i="5"/>
  <c r="H371" i="5" s="1"/>
  <c r="I371" i="5"/>
  <c r="J371" i="5" s="1"/>
  <c r="K371" i="5"/>
  <c r="L371" i="5" s="1"/>
  <c r="M371" i="5"/>
  <c r="N371" i="5" s="1"/>
  <c r="P371" i="5"/>
  <c r="W371" i="5"/>
  <c r="D372" i="5"/>
  <c r="G372" i="5"/>
  <c r="H372" i="5" s="1"/>
  <c r="I372" i="5"/>
  <c r="J372" i="5" s="1"/>
  <c r="K372" i="5"/>
  <c r="L372" i="5" s="1"/>
  <c r="M372" i="5"/>
  <c r="N372" i="5" s="1"/>
  <c r="P372" i="5"/>
  <c r="W372" i="5"/>
  <c r="D373" i="5"/>
  <c r="G373" i="5"/>
  <c r="H373" i="5" s="1"/>
  <c r="I373" i="5"/>
  <c r="J373" i="5" s="1"/>
  <c r="K373" i="5"/>
  <c r="L373" i="5" s="1"/>
  <c r="M373" i="5"/>
  <c r="N373" i="5" s="1"/>
  <c r="P373" i="5"/>
  <c r="W373" i="5"/>
  <c r="D374" i="5"/>
  <c r="G374" i="5"/>
  <c r="H374" i="5" s="1"/>
  <c r="I374" i="5"/>
  <c r="J374" i="5" s="1"/>
  <c r="K374" i="5"/>
  <c r="L374" i="5" s="1"/>
  <c r="M374" i="5"/>
  <c r="N374" i="5" s="1"/>
  <c r="P374" i="5"/>
  <c r="W374" i="5"/>
  <c r="D375" i="5"/>
  <c r="G375" i="5"/>
  <c r="H375" i="5" s="1"/>
  <c r="I375" i="5"/>
  <c r="J375" i="5" s="1"/>
  <c r="K375" i="5"/>
  <c r="L375" i="5" s="1"/>
  <c r="M375" i="5"/>
  <c r="N375" i="5" s="1"/>
  <c r="P375" i="5"/>
  <c r="W375" i="5"/>
  <c r="D376" i="5"/>
  <c r="G376" i="5"/>
  <c r="H376" i="5" s="1"/>
  <c r="I376" i="5"/>
  <c r="J376" i="5" s="1"/>
  <c r="K376" i="5"/>
  <c r="L376" i="5" s="1"/>
  <c r="M376" i="5"/>
  <c r="N376" i="5" s="1"/>
  <c r="P376" i="5"/>
  <c r="W376" i="5"/>
  <c r="D377" i="5"/>
  <c r="G377" i="5"/>
  <c r="H377" i="5" s="1"/>
  <c r="I377" i="5"/>
  <c r="J377" i="5" s="1"/>
  <c r="K377" i="5"/>
  <c r="L377" i="5" s="1"/>
  <c r="M377" i="5"/>
  <c r="N377" i="5" s="1"/>
  <c r="P377" i="5"/>
  <c r="W377" i="5"/>
  <c r="D378" i="5"/>
  <c r="G378" i="5"/>
  <c r="H378" i="5" s="1"/>
  <c r="I378" i="5"/>
  <c r="J378" i="5" s="1"/>
  <c r="K378" i="5"/>
  <c r="L378" i="5" s="1"/>
  <c r="M378" i="5"/>
  <c r="N378" i="5" s="1"/>
  <c r="P378" i="5"/>
  <c r="W378" i="5"/>
  <c r="D379" i="5"/>
  <c r="G379" i="5"/>
  <c r="H379" i="5" s="1"/>
  <c r="I379" i="5"/>
  <c r="J379" i="5" s="1"/>
  <c r="K379" i="5"/>
  <c r="L379" i="5" s="1"/>
  <c r="M379" i="5"/>
  <c r="N379" i="5" s="1"/>
  <c r="P379" i="5"/>
  <c r="W379" i="5"/>
  <c r="D380" i="5"/>
  <c r="G380" i="5"/>
  <c r="H380" i="5" s="1"/>
  <c r="I380" i="5"/>
  <c r="J380" i="5" s="1"/>
  <c r="K380" i="5"/>
  <c r="L380" i="5" s="1"/>
  <c r="M380" i="5"/>
  <c r="N380" i="5" s="1"/>
  <c r="P380" i="5"/>
  <c r="W380" i="5"/>
  <c r="D381" i="5"/>
  <c r="G381" i="5"/>
  <c r="H381" i="5" s="1"/>
  <c r="I381" i="5"/>
  <c r="J381" i="5" s="1"/>
  <c r="K381" i="5"/>
  <c r="L381" i="5" s="1"/>
  <c r="M381" i="5"/>
  <c r="N381" i="5" s="1"/>
  <c r="P381" i="5"/>
  <c r="W381" i="5"/>
  <c r="D382" i="5"/>
  <c r="G382" i="5"/>
  <c r="H382" i="5" s="1"/>
  <c r="I382" i="5"/>
  <c r="J382" i="5" s="1"/>
  <c r="K382" i="5"/>
  <c r="L382" i="5" s="1"/>
  <c r="M382" i="5"/>
  <c r="N382" i="5" s="1"/>
  <c r="P382" i="5"/>
  <c r="W382" i="5"/>
  <c r="D383" i="5"/>
  <c r="G383" i="5"/>
  <c r="H383" i="5" s="1"/>
  <c r="I383" i="5"/>
  <c r="J383" i="5" s="1"/>
  <c r="K383" i="5"/>
  <c r="L383" i="5" s="1"/>
  <c r="M383" i="5"/>
  <c r="N383" i="5" s="1"/>
  <c r="P383" i="5"/>
  <c r="W383" i="5"/>
  <c r="D384" i="5"/>
  <c r="G384" i="5"/>
  <c r="H384" i="5" s="1"/>
  <c r="I384" i="5"/>
  <c r="J384" i="5" s="1"/>
  <c r="K384" i="5"/>
  <c r="L384" i="5" s="1"/>
  <c r="M384" i="5"/>
  <c r="N384" i="5" s="1"/>
  <c r="P384" i="5"/>
  <c r="W384" i="5"/>
  <c r="D385" i="5"/>
  <c r="G385" i="5"/>
  <c r="H385" i="5" s="1"/>
  <c r="I385" i="5"/>
  <c r="J385" i="5" s="1"/>
  <c r="K385" i="5"/>
  <c r="L385" i="5" s="1"/>
  <c r="M385" i="5"/>
  <c r="N385" i="5" s="1"/>
  <c r="P385" i="5"/>
  <c r="W385" i="5"/>
  <c r="D386" i="5"/>
  <c r="G386" i="5"/>
  <c r="H386" i="5" s="1"/>
  <c r="I386" i="5"/>
  <c r="J386" i="5" s="1"/>
  <c r="K386" i="5"/>
  <c r="L386" i="5" s="1"/>
  <c r="M386" i="5"/>
  <c r="N386" i="5" s="1"/>
  <c r="P386" i="5"/>
  <c r="W386" i="5"/>
  <c r="D387" i="5"/>
  <c r="G387" i="5"/>
  <c r="H387" i="5" s="1"/>
  <c r="I387" i="5"/>
  <c r="J387" i="5" s="1"/>
  <c r="K387" i="5"/>
  <c r="L387" i="5" s="1"/>
  <c r="M387" i="5"/>
  <c r="N387" i="5" s="1"/>
  <c r="P387" i="5"/>
  <c r="W387" i="5"/>
  <c r="D388" i="5"/>
  <c r="G388" i="5"/>
  <c r="H388" i="5" s="1"/>
  <c r="I388" i="5"/>
  <c r="J388" i="5" s="1"/>
  <c r="K388" i="5"/>
  <c r="L388" i="5" s="1"/>
  <c r="M388" i="5"/>
  <c r="N388" i="5" s="1"/>
  <c r="P388" i="5"/>
  <c r="W388" i="5"/>
  <c r="D389" i="5"/>
  <c r="G389" i="5"/>
  <c r="H389" i="5" s="1"/>
  <c r="I389" i="5"/>
  <c r="J389" i="5" s="1"/>
  <c r="K389" i="5"/>
  <c r="L389" i="5" s="1"/>
  <c r="M389" i="5"/>
  <c r="N389" i="5" s="1"/>
  <c r="P389" i="5"/>
  <c r="W389" i="5"/>
  <c r="D390" i="5"/>
  <c r="G390" i="5"/>
  <c r="H390" i="5" s="1"/>
  <c r="I390" i="5"/>
  <c r="J390" i="5" s="1"/>
  <c r="K390" i="5"/>
  <c r="L390" i="5" s="1"/>
  <c r="M390" i="5"/>
  <c r="N390" i="5" s="1"/>
  <c r="P390" i="5"/>
  <c r="W390" i="5"/>
  <c r="D391" i="5"/>
  <c r="G391" i="5"/>
  <c r="H391" i="5" s="1"/>
  <c r="I391" i="5"/>
  <c r="J391" i="5" s="1"/>
  <c r="K391" i="5"/>
  <c r="L391" i="5" s="1"/>
  <c r="M391" i="5"/>
  <c r="N391" i="5" s="1"/>
  <c r="P391" i="5"/>
  <c r="W391" i="5"/>
  <c r="D392" i="5"/>
  <c r="G392" i="5"/>
  <c r="H392" i="5" s="1"/>
  <c r="I392" i="5"/>
  <c r="J392" i="5" s="1"/>
  <c r="K392" i="5"/>
  <c r="L392" i="5" s="1"/>
  <c r="M392" i="5"/>
  <c r="N392" i="5" s="1"/>
  <c r="P392" i="5"/>
  <c r="W392" i="5"/>
  <c r="D393" i="5"/>
  <c r="G393" i="5"/>
  <c r="H393" i="5" s="1"/>
  <c r="I393" i="5"/>
  <c r="J393" i="5" s="1"/>
  <c r="K393" i="5"/>
  <c r="L393" i="5" s="1"/>
  <c r="M393" i="5"/>
  <c r="N393" i="5" s="1"/>
  <c r="P393" i="5"/>
  <c r="W393" i="5"/>
  <c r="D394" i="5"/>
  <c r="G394" i="5"/>
  <c r="H394" i="5" s="1"/>
  <c r="I394" i="5"/>
  <c r="J394" i="5" s="1"/>
  <c r="K394" i="5"/>
  <c r="L394" i="5" s="1"/>
  <c r="M394" i="5"/>
  <c r="N394" i="5" s="1"/>
  <c r="P394" i="5"/>
  <c r="W394" i="5"/>
  <c r="D395" i="5"/>
  <c r="G395" i="5"/>
  <c r="H395" i="5" s="1"/>
  <c r="I395" i="5"/>
  <c r="J395" i="5" s="1"/>
  <c r="K395" i="5"/>
  <c r="L395" i="5" s="1"/>
  <c r="M395" i="5"/>
  <c r="N395" i="5" s="1"/>
  <c r="P395" i="5"/>
  <c r="W395" i="5"/>
  <c r="D396" i="5"/>
  <c r="G396" i="5"/>
  <c r="H396" i="5" s="1"/>
  <c r="I396" i="5"/>
  <c r="J396" i="5" s="1"/>
  <c r="K396" i="5"/>
  <c r="L396" i="5" s="1"/>
  <c r="M396" i="5"/>
  <c r="N396" i="5" s="1"/>
  <c r="P396" i="5"/>
  <c r="W396" i="5"/>
  <c r="D397" i="5"/>
  <c r="G397" i="5"/>
  <c r="H397" i="5" s="1"/>
  <c r="I397" i="5"/>
  <c r="J397" i="5" s="1"/>
  <c r="K397" i="5"/>
  <c r="L397" i="5" s="1"/>
  <c r="M397" i="5"/>
  <c r="N397" i="5" s="1"/>
  <c r="P397" i="5"/>
  <c r="W397" i="5"/>
  <c r="D398" i="5"/>
  <c r="G398" i="5"/>
  <c r="H398" i="5" s="1"/>
  <c r="I398" i="5"/>
  <c r="J398" i="5" s="1"/>
  <c r="K398" i="5"/>
  <c r="L398" i="5" s="1"/>
  <c r="M398" i="5"/>
  <c r="N398" i="5" s="1"/>
  <c r="P398" i="5"/>
  <c r="W398" i="5"/>
  <c r="D399" i="5"/>
  <c r="G399" i="5"/>
  <c r="H399" i="5" s="1"/>
  <c r="I399" i="5"/>
  <c r="J399" i="5" s="1"/>
  <c r="K399" i="5"/>
  <c r="L399" i="5" s="1"/>
  <c r="M399" i="5"/>
  <c r="N399" i="5" s="1"/>
  <c r="P399" i="5"/>
  <c r="W399" i="5"/>
  <c r="D400" i="5"/>
  <c r="G400" i="5"/>
  <c r="H400" i="5" s="1"/>
  <c r="I400" i="5"/>
  <c r="J400" i="5" s="1"/>
  <c r="K400" i="5"/>
  <c r="L400" i="5" s="1"/>
  <c r="M400" i="5"/>
  <c r="N400" i="5" s="1"/>
  <c r="P400" i="5"/>
  <c r="W400" i="5"/>
  <c r="D401" i="5"/>
  <c r="G401" i="5"/>
  <c r="H401" i="5" s="1"/>
  <c r="I401" i="5"/>
  <c r="J401" i="5" s="1"/>
  <c r="K401" i="5"/>
  <c r="L401" i="5" s="1"/>
  <c r="M401" i="5"/>
  <c r="N401" i="5" s="1"/>
  <c r="P401" i="5"/>
  <c r="W401" i="5"/>
  <c r="D402" i="5"/>
  <c r="G402" i="5"/>
  <c r="H402" i="5" s="1"/>
  <c r="I402" i="5"/>
  <c r="J402" i="5" s="1"/>
  <c r="K402" i="5"/>
  <c r="L402" i="5" s="1"/>
  <c r="M402" i="5"/>
  <c r="N402" i="5" s="1"/>
  <c r="P402" i="5"/>
  <c r="W402" i="5"/>
  <c r="D403" i="5"/>
  <c r="G403" i="5"/>
  <c r="H403" i="5" s="1"/>
  <c r="I403" i="5"/>
  <c r="J403" i="5" s="1"/>
  <c r="K403" i="5"/>
  <c r="L403" i="5" s="1"/>
  <c r="M403" i="5"/>
  <c r="N403" i="5" s="1"/>
  <c r="P403" i="5"/>
  <c r="W403" i="5"/>
  <c r="D404" i="5"/>
  <c r="G404" i="5"/>
  <c r="H404" i="5" s="1"/>
  <c r="I404" i="5"/>
  <c r="J404" i="5" s="1"/>
  <c r="K404" i="5"/>
  <c r="L404" i="5" s="1"/>
  <c r="M404" i="5"/>
  <c r="N404" i="5" s="1"/>
  <c r="P404" i="5"/>
  <c r="W404" i="5"/>
  <c r="D405" i="5"/>
  <c r="G405" i="5"/>
  <c r="H405" i="5" s="1"/>
  <c r="I405" i="5"/>
  <c r="J405" i="5" s="1"/>
  <c r="K405" i="5"/>
  <c r="L405" i="5" s="1"/>
  <c r="M405" i="5"/>
  <c r="N405" i="5" s="1"/>
  <c r="P405" i="5"/>
  <c r="W405" i="5"/>
  <c r="D406" i="5"/>
  <c r="G406" i="5"/>
  <c r="H406" i="5" s="1"/>
  <c r="I406" i="5"/>
  <c r="J406" i="5" s="1"/>
  <c r="K406" i="5"/>
  <c r="L406" i="5" s="1"/>
  <c r="M406" i="5"/>
  <c r="N406" i="5" s="1"/>
  <c r="P406" i="5"/>
  <c r="W406" i="5"/>
  <c r="D407" i="5"/>
  <c r="G407" i="5"/>
  <c r="H407" i="5" s="1"/>
  <c r="I407" i="5"/>
  <c r="J407" i="5" s="1"/>
  <c r="K407" i="5"/>
  <c r="L407" i="5" s="1"/>
  <c r="M407" i="5"/>
  <c r="N407" i="5" s="1"/>
  <c r="P407" i="5"/>
  <c r="W407" i="5"/>
  <c r="D408" i="5"/>
  <c r="G408" i="5"/>
  <c r="H408" i="5" s="1"/>
  <c r="I408" i="5"/>
  <c r="J408" i="5" s="1"/>
  <c r="K408" i="5"/>
  <c r="L408" i="5" s="1"/>
  <c r="M408" i="5"/>
  <c r="N408" i="5" s="1"/>
  <c r="P408" i="5"/>
  <c r="W408" i="5"/>
  <c r="D409" i="5"/>
  <c r="G409" i="5"/>
  <c r="H409" i="5" s="1"/>
  <c r="I409" i="5"/>
  <c r="J409" i="5" s="1"/>
  <c r="K409" i="5"/>
  <c r="L409" i="5" s="1"/>
  <c r="M409" i="5"/>
  <c r="N409" i="5" s="1"/>
  <c r="P409" i="5"/>
  <c r="W409" i="5"/>
  <c r="D410" i="5"/>
  <c r="G410" i="5"/>
  <c r="H410" i="5" s="1"/>
  <c r="I410" i="5"/>
  <c r="J410" i="5" s="1"/>
  <c r="K410" i="5"/>
  <c r="L410" i="5" s="1"/>
  <c r="M410" i="5"/>
  <c r="N410" i="5" s="1"/>
  <c r="P410" i="5"/>
  <c r="W410" i="5"/>
  <c r="D411" i="5"/>
  <c r="G411" i="5"/>
  <c r="H411" i="5" s="1"/>
  <c r="I411" i="5"/>
  <c r="J411" i="5" s="1"/>
  <c r="K411" i="5"/>
  <c r="L411" i="5" s="1"/>
  <c r="M411" i="5"/>
  <c r="N411" i="5" s="1"/>
  <c r="P411" i="5"/>
  <c r="W411" i="5"/>
  <c r="D412" i="5"/>
  <c r="G412" i="5"/>
  <c r="H412" i="5" s="1"/>
  <c r="I412" i="5"/>
  <c r="J412" i="5" s="1"/>
  <c r="K412" i="5"/>
  <c r="L412" i="5" s="1"/>
  <c r="M412" i="5"/>
  <c r="N412" i="5" s="1"/>
  <c r="P412" i="5"/>
  <c r="W412" i="5"/>
  <c r="D413" i="5"/>
  <c r="G413" i="5"/>
  <c r="H413" i="5" s="1"/>
  <c r="I413" i="5"/>
  <c r="J413" i="5" s="1"/>
  <c r="K413" i="5"/>
  <c r="L413" i="5" s="1"/>
  <c r="M413" i="5"/>
  <c r="N413" i="5" s="1"/>
  <c r="P413" i="5"/>
  <c r="W413" i="5"/>
  <c r="D414" i="5"/>
  <c r="G414" i="5"/>
  <c r="H414" i="5" s="1"/>
  <c r="I414" i="5"/>
  <c r="J414" i="5" s="1"/>
  <c r="K414" i="5"/>
  <c r="L414" i="5" s="1"/>
  <c r="M414" i="5"/>
  <c r="N414" i="5" s="1"/>
  <c r="P414" i="5"/>
  <c r="W414" i="5"/>
  <c r="D415" i="5"/>
  <c r="G415" i="5"/>
  <c r="H415" i="5" s="1"/>
  <c r="I415" i="5"/>
  <c r="J415" i="5" s="1"/>
  <c r="K415" i="5"/>
  <c r="L415" i="5" s="1"/>
  <c r="M415" i="5"/>
  <c r="N415" i="5" s="1"/>
  <c r="P415" i="5"/>
  <c r="W415" i="5"/>
  <c r="D416" i="5"/>
  <c r="G416" i="5"/>
  <c r="H416" i="5" s="1"/>
  <c r="I416" i="5"/>
  <c r="J416" i="5" s="1"/>
  <c r="K416" i="5"/>
  <c r="L416" i="5" s="1"/>
  <c r="M416" i="5"/>
  <c r="N416" i="5" s="1"/>
  <c r="P416" i="5"/>
  <c r="W416" i="5"/>
  <c r="D417" i="5"/>
  <c r="G417" i="5"/>
  <c r="H417" i="5" s="1"/>
  <c r="I417" i="5"/>
  <c r="J417" i="5" s="1"/>
  <c r="K417" i="5"/>
  <c r="L417" i="5" s="1"/>
  <c r="M417" i="5"/>
  <c r="N417" i="5" s="1"/>
  <c r="P417" i="5"/>
  <c r="W417" i="5"/>
  <c r="D418" i="5"/>
  <c r="G418" i="5"/>
  <c r="H418" i="5" s="1"/>
  <c r="I418" i="5"/>
  <c r="J418" i="5" s="1"/>
  <c r="K418" i="5"/>
  <c r="L418" i="5" s="1"/>
  <c r="M418" i="5"/>
  <c r="N418" i="5" s="1"/>
  <c r="P418" i="5"/>
  <c r="W418" i="5"/>
  <c r="D419" i="5"/>
  <c r="G419" i="5"/>
  <c r="H419" i="5" s="1"/>
  <c r="I419" i="5"/>
  <c r="J419" i="5" s="1"/>
  <c r="K419" i="5"/>
  <c r="L419" i="5" s="1"/>
  <c r="M419" i="5"/>
  <c r="N419" i="5" s="1"/>
  <c r="P419" i="5"/>
  <c r="W419" i="5"/>
  <c r="D420" i="5"/>
  <c r="G420" i="5"/>
  <c r="H420" i="5" s="1"/>
  <c r="I420" i="5"/>
  <c r="J420" i="5" s="1"/>
  <c r="K420" i="5"/>
  <c r="L420" i="5" s="1"/>
  <c r="M420" i="5"/>
  <c r="N420" i="5" s="1"/>
  <c r="P420" i="5"/>
  <c r="W420" i="5"/>
  <c r="D421" i="5"/>
  <c r="G421" i="5"/>
  <c r="H421" i="5" s="1"/>
  <c r="I421" i="5"/>
  <c r="J421" i="5" s="1"/>
  <c r="K421" i="5"/>
  <c r="L421" i="5" s="1"/>
  <c r="M421" i="5"/>
  <c r="N421" i="5" s="1"/>
  <c r="P421" i="5"/>
  <c r="W421" i="5"/>
  <c r="D422" i="5"/>
  <c r="G422" i="5"/>
  <c r="H422" i="5" s="1"/>
  <c r="I422" i="5"/>
  <c r="J422" i="5" s="1"/>
  <c r="K422" i="5"/>
  <c r="L422" i="5" s="1"/>
  <c r="M422" i="5"/>
  <c r="N422" i="5" s="1"/>
  <c r="P422" i="5"/>
  <c r="W422" i="5"/>
  <c r="D423" i="5"/>
  <c r="G423" i="5"/>
  <c r="H423" i="5" s="1"/>
  <c r="I423" i="5"/>
  <c r="J423" i="5" s="1"/>
  <c r="K423" i="5"/>
  <c r="L423" i="5" s="1"/>
  <c r="M423" i="5"/>
  <c r="N423" i="5" s="1"/>
  <c r="P423" i="5"/>
  <c r="W423" i="5"/>
  <c r="D424" i="5"/>
  <c r="G424" i="5"/>
  <c r="H424" i="5" s="1"/>
  <c r="I424" i="5"/>
  <c r="J424" i="5" s="1"/>
  <c r="K424" i="5"/>
  <c r="L424" i="5" s="1"/>
  <c r="M424" i="5"/>
  <c r="N424" i="5" s="1"/>
  <c r="P424" i="5"/>
  <c r="W424" i="5"/>
  <c r="D425" i="5"/>
  <c r="G425" i="5"/>
  <c r="H425" i="5" s="1"/>
  <c r="I425" i="5"/>
  <c r="J425" i="5" s="1"/>
  <c r="K425" i="5"/>
  <c r="L425" i="5" s="1"/>
  <c r="M425" i="5"/>
  <c r="N425" i="5" s="1"/>
  <c r="P425" i="5"/>
  <c r="W425" i="5"/>
  <c r="D426" i="5"/>
  <c r="G426" i="5"/>
  <c r="H426" i="5" s="1"/>
  <c r="I426" i="5"/>
  <c r="J426" i="5" s="1"/>
  <c r="K426" i="5"/>
  <c r="L426" i="5" s="1"/>
  <c r="M426" i="5"/>
  <c r="N426" i="5" s="1"/>
  <c r="P426" i="5"/>
  <c r="W426" i="5"/>
  <c r="D427" i="5"/>
  <c r="G427" i="5"/>
  <c r="H427" i="5" s="1"/>
  <c r="I427" i="5"/>
  <c r="J427" i="5" s="1"/>
  <c r="K427" i="5"/>
  <c r="L427" i="5" s="1"/>
  <c r="M427" i="5"/>
  <c r="N427" i="5" s="1"/>
  <c r="P427" i="5"/>
  <c r="W427" i="5"/>
  <c r="D428" i="5"/>
  <c r="G428" i="5"/>
  <c r="H428" i="5" s="1"/>
  <c r="I428" i="5"/>
  <c r="J428" i="5" s="1"/>
  <c r="K428" i="5"/>
  <c r="L428" i="5" s="1"/>
  <c r="M428" i="5"/>
  <c r="N428" i="5" s="1"/>
  <c r="P428" i="5"/>
  <c r="W428" i="5"/>
  <c r="D429" i="5"/>
  <c r="G429" i="5"/>
  <c r="H429" i="5" s="1"/>
  <c r="I429" i="5"/>
  <c r="J429" i="5" s="1"/>
  <c r="K429" i="5"/>
  <c r="L429" i="5" s="1"/>
  <c r="M429" i="5"/>
  <c r="N429" i="5" s="1"/>
  <c r="P429" i="5"/>
  <c r="W429" i="5"/>
  <c r="D430" i="5"/>
  <c r="G430" i="5"/>
  <c r="H430" i="5" s="1"/>
  <c r="I430" i="5"/>
  <c r="J430" i="5" s="1"/>
  <c r="K430" i="5"/>
  <c r="L430" i="5" s="1"/>
  <c r="M430" i="5"/>
  <c r="N430" i="5" s="1"/>
  <c r="P430" i="5"/>
  <c r="W430" i="5"/>
  <c r="D431" i="5"/>
  <c r="G431" i="5"/>
  <c r="H431" i="5" s="1"/>
  <c r="I431" i="5"/>
  <c r="J431" i="5" s="1"/>
  <c r="K431" i="5"/>
  <c r="L431" i="5" s="1"/>
  <c r="M431" i="5"/>
  <c r="N431" i="5" s="1"/>
  <c r="P431" i="5"/>
  <c r="W431" i="5"/>
  <c r="D432" i="5"/>
  <c r="G432" i="5"/>
  <c r="H432" i="5" s="1"/>
  <c r="I432" i="5"/>
  <c r="J432" i="5" s="1"/>
  <c r="K432" i="5"/>
  <c r="L432" i="5" s="1"/>
  <c r="M432" i="5"/>
  <c r="N432" i="5" s="1"/>
  <c r="P432" i="5"/>
  <c r="W432" i="5"/>
  <c r="D433" i="5"/>
  <c r="G433" i="5"/>
  <c r="H433" i="5" s="1"/>
  <c r="I433" i="5"/>
  <c r="J433" i="5" s="1"/>
  <c r="K433" i="5"/>
  <c r="L433" i="5" s="1"/>
  <c r="M433" i="5"/>
  <c r="N433" i="5" s="1"/>
  <c r="P433" i="5"/>
  <c r="W433" i="5"/>
  <c r="D434" i="5"/>
  <c r="G434" i="5"/>
  <c r="H434" i="5" s="1"/>
  <c r="I434" i="5"/>
  <c r="J434" i="5" s="1"/>
  <c r="K434" i="5"/>
  <c r="L434" i="5" s="1"/>
  <c r="M434" i="5"/>
  <c r="N434" i="5" s="1"/>
  <c r="P434" i="5"/>
  <c r="W434" i="5"/>
  <c r="D435" i="5"/>
  <c r="G435" i="5"/>
  <c r="H435" i="5" s="1"/>
  <c r="I435" i="5"/>
  <c r="J435" i="5" s="1"/>
  <c r="K435" i="5"/>
  <c r="L435" i="5" s="1"/>
  <c r="M435" i="5"/>
  <c r="N435" i="5" s="1"/>
  <c r="P435" i="5"/>
  <c r="W435" i="5"/>
  <c r="D436" i="5"/>
  <c r="G436" i="5"/>
  <c r="H436" i="5" s="1"/>
  <c r="I436" i="5"/>
  <c r="J436" i="5" s="1"/>
  <c r="K436" i="5"/>
  <c r="L436" i="5" s="1"/>
  <c r="M436" i="5"/>
  <c r="N436" i="5" s="1"/>
  <c r="P436" i="5"/>
  <c r="W436" i="5"/>
  <c r="D437" i="5"/>
  <c r="G437" i="5"/>
  <c r="H437" i="5" s="1"/>
  <c r="I437" i="5"/>
  <c r="J437" i="5" s="1"/>
  <c r="K437" i="5"/>
  <c r="L437" i="5" s="1"/>
  <c r="M437" i="5"/>
  <c r="N437" i="5" s="1"/>
  <c r="P437" i="5"/>
  <c r="W437" i="5"/>
  <c r="D438" i="5"/>
  <c r="G438" i="5"/>
  <c r="H438" i="5" s="1"/>
  <c r="I438" i="5"/>
  <c r="J438" i="5" s="1"/>
  <c r="K438" i="5"/>
  <c r="L438" i="5" s="1"/>
  <c r="M438" i="5"/>
  <c r="N438" i="5" s="1"/>
  <c r="P438" i="5"/>
  <c r="W438" i="5"/>
  <c r="D439" i="5"/>
  <c r="G439" i="5"/>
  <c r="H439" i="5" s="1"/>
  <c r="I439" i="5"/>
  <c r="J439" i="5" s="1"/>
  <c r="K439" i="5"/>
  <c r="L439" i="5" s="1"/>
  <c r="M439" i="5"/>
  <c r="N439" i="5" s="1"/>
  <c r="P439" i="5"/>
  <c r="W439" i="5"/>
  <c r="D440" i="5"/>
  <c r="G440" i="5"/>
  <c r="H440" i="5" s="1"/>
  <c r="I440" i="5"/>
  <c r="J440" i="5" s="1"/>
  <c r="K440" i="5"/>
  <c r="L440" i="5" s="1"/>
  <c r="M440" i="5"/>
  <c r="N440" i="5" s="1"/>
  <c r="P440" i="5"/>
  <c r="W440" i="5"/>
  <c r="D441" i="5"/>
  <c r="G441" i="5"/>
  <c r="H441" i="5" s="1"/>
  <c r="I441" i="5"/>
  <c r="J441" i="5" s="1"/>
  <c r="K441" i="5"/>
  <c r="L441" i="5" s="1"/>
  <c r="M441" i="5"/>
  <c r="N441" i="5" s="1"/>
  <c r="P441" i="5"/>
  <c r="W441" i="5"/>
  <c r="D442" i="5"/>
  <c r="G442" i="5"/>
  <c r="H442" i="5" s="1"/>
  <c r="I442" i="5"/>
  <c r="J442" i="5" s="1"/>
  <c r="K442" i="5"/>
  <c r="L442" i="5" s="1"/>
  <c r="M442" i="5"/>
  <c r="N442" i="5" s="1"/>
  <c r="P442" i="5"/>
  <c r="W442" i="5"/>
  <c r="D443" i="5"/>
  <c r="G443" i="5"/>
  <c r="H443" i="5" s="1"/>
  <c r="I443" i="5"/>
  <c r="J443" i="5" s="1"/>
  <c r="K443" i="5"/>
  <c r="L443" i="5" s="1"/>
  <c r="M443" i="5"/>
  <c r="N443" i="5" s="1"/>
  <c r="P443" i="5"/>
  <c r="W443" i="5"/>
  <c r="D444" i="5"/>
  <c r="G444" i="5"/>
  <c r="H444" i="5" s="1"/>
  <c r="I444" i="5"/>
  <c r="J444" i="5" s="1"/>
  <c r="K444" i="5"/>
  <c r="L444" i="5" s="1"/>
  <c r="M444" i="5"/>
  <c r="N444" i="5" s="1"/>
  <c r="P444" i="5"/>
  <c r="W444" i="5"/>
  <c r="D445" i="5"/>
  <c r="G445" i="5"/>
  <c r="H445" i="5" s="1"/>
  <c r="I445" i="5"/>
  <c r="J445" i="5" s="1"/>
  <c r="K445" i="5"/>
  <c r="L445" i="5" s="1"/>
  <c r="M445" i="5"/>
  <c r="N445" i="5" s="1"/>
  <c r="P445" i="5"/>
  <c r="W445" i="5"/>
  <c r="D446" i="5"/>
  <c r="G446" i="5"/>
  <c r="H446" i="5" s="1"/>
  <c r="I446" i="5"/>
  <c r="J446" i="5" s="1"/>
  <c r="K446" i="5"/>
  <c r="L446" i="5" s="1"/>
  <c r="M446" i="5"/>
  <c r="N446" i="5" s="1"/>
  <c r="P446" i="5"/>
  <c r="W446" i="5"/>
  <c r="D447" i="5"/>
  <c r="G447" i="5"/>
  <c r="H447" i="5" s="1"/>
  <c r="I447" i="5"/>
  <c r="J447" i="5" s="1"/>
  <c r="K447" i="5"/>
  <c r="L447" i="5" s="1"/>
  <c r="M447" i="5"/>
  <c r="N447" i="5" s="1"/>
  <c r="P447" i="5"/>
  <c r="W447" i="5"/>
  <c r="D448" i="5"/>
  <c r="G448" i="5"/>
  <c r="H448" i="5" s="1"/>
  <c r="I448" i="5"/>
  <c r="J448" i="5" s="1"/>
  <c r="K448" i="5"/>
  <c r="L448" i="5" s="1"/>
  <c r="M448" i="5"/>
  <c r="N448" i="5" s="1"/>
  <c r="P448" i="5"/>
  <c r="W448" i="5"/>
  <c r="D449" i="5"/>
  <c r="G449" i="5"/>
  <c r="H449" i="5" s="1"/>
  <c r="I449" i="5"/>
  <c r="J449" i="5" s="1"/>
  <c r="K449" i="5"/>
  <c r="L449" i="5" s="1"/>
  <c r="M449" i="5"/>
  <c r="N449" i="5" s="1"/>
  <c r="P449" i="5"/>
  <c r="W449" i="5"/>
  <c r="D450" i="5"/>
  <c r="G450" i="5"/>
  <c r="H450" i="5" s="1"/>
  <c r="I450" i="5"/>
  <c r="J450" i="5" s="1"/>
  <c r="K450" i="5"/>
  <c r="L450" i="5" s="1"/>
  <c r="M450" i="5"/>
  <c r="N450" i="5" s="1"/>
  <c r="P450" i="5"/>
  <c r="W450" i="5"/>
  <c r="D451" i="5"/>
  <c r="G451" i="5"/>
  <c r="H451" i="5" s="1"/>
  <c r="I451" i="5"/>
  <c r="J451" i="5" s="1"/>
  <c r="K451" i="5"/>
  <c r="L451" i="5" s="1"/>
  <c r="M451" i="5"/>
  <c r="N451" i="5" s="1"/>
  <c r="P451" i="5"/>
  <c r="W451" i="5"/>
  <c r="D452" i="5"/>
  <c r="G452" i="5"/>
  <c r="H452" i="5" s="1"/>
  <c r="I452" i="5"/>
  <c r="J452" i="5" s="1"/>
  <c r="K452" i="5"/>
  <c r="L452" i="5" s="1"/>
  <c r="M452" i="5"/>
  <c r="N452" i="5" s="1"/>
  <c r="P452" i="5"/>
  <c r="W452" i="5"/>
  <c r="D453" i="5"/>
  <c r="G453" i="5"/>
  <c r="H453" i="5" s="1"/>
  <c r="I453" i="5"/>
  <c r="J453" i="5" s="1"/>
  <c r="K453" i="5"/>
  <c r="L453" i="5" s="1"/>
  <c r="M453" i="5"/>
  <c r="N453" i="5" s="1"/>
  <c r="P453" i="5"/>
  <c r="W453" i="5"/>
  <c r="D454" i="5"/>
  <c r="G454" i="5"/>
  <c r="H454" i="5" s="1"/>
  <c r="I454" i="5"/>
  <c r="J454" i="5" s="1"/>
  <c r="K454" i="5"/>
  <c r="L454" i="5" s="1"/>
  <c r="M454" i="5"/>
  <c r="N454" i="5" s="1"/>
  <c r="P454" i="5"/>
  <c r="W454" i="5"/>
  <c r="D455" i="5"/>
  <c r="G455" i="5"/>
  <c r="H455" i="5" s="1"/>
  <c r="I455" i="5"/>
  <c r="J455" i="5" s="1"/>
  <c r="K455" i="5"/>
  <c r="L455" i="5" s="1"/>
  <c r="M455" i="5"/>
  <c r="N455" i="5" s="1"/>
  <c r="P455" i="5"/>
  <c r="W455" i="5"/>
  <c r="D456" i="5"/>
  <c r="G456" i="5"/>
  <c r="H456" i="5" s="1"/>
  <c r="I456" i="5"/>
  <c r="J456" i="5" s="1"/>
  <c r="K456" i="5"/>
  <c r="L456" i="5" s="1"/>
  <c r="M456" i="5"/>
  <c r="N456" i="5" s="1"/>
  <c r="P456" i="5"/>
  <c r="W456" i="5"/>
  <c r="D457" i="5"/>
  <c r="G457" i="5"/>
  <c r="H457" i="5" s="1"/>
  <c r="I457" i="5"/>
  <c r="J457" i="5" s="1"/>
  <c r="K457" i="5"/>
  <c r="L457" i="5" s="1"/>
  <c r="M457" i="5"/>
  <c r="N457" i="5" s="1"/>
  <c r="P457" i="5"/>
  <c r="W457" i="5"/>
  <c r="D458" i="5"/>
  <c r="G458" i="5"/>
  <c r="H458" i="5" s="1"/>
  <c r="I458" i="5"/>
  <c r="J458" i="5" s="1"/>
  <c r="K458" i="5"/>
  <c r="L458" i="5" s="1"/>
  <c r="M458" i="5"/>
  <c r="N458" i="5" s="1"/>
  <c r="P458" i="5"/>
  <c r="W458" i="5"/>
  <c r="D459" i="5"/>
  <c r="G459" i="5"/>
  <c r="H459" i="5" s="1"/>
  <c r="I459" i="5"/>
  <c r="J459" i="5" s="1"/>
  <c r="K459" i="5"/>
  <c r="L459" i="5" s="1"/>
  <c r="M459" i="5"/>
  <c r="N459" i="5" s="1"/>
  <c r="P459" i="5"/>
  <c r="W459" i="5"/>
  <c r="D460" i="5"/>
  <c r="G460" i="5"/>
  <c r="H460" i="5" s="1"/>
  <c r="I460" i="5"/>
  <c r="J460" i="5" s="1"/>
  <c r="K460" i="5"/>
  <c r="L460" i="5" s="1"/>
  <c r="M460" i="5"/>
  <c r="N460" i="5" s="1"/>
  <c r="P460" i="5"/>
  <c r="W460" i="5"/>
  <c r="D461" i="5"/>
  <c r="G461" i="5"/>
  <c r="H461" i="5" s="1"/>
  <c r="I461" i="5"/>
  <c r="J461" i="5" s="1"/>
  <c r="K461" i="5"/>
  <c r="L461" i="5" s="1"/>
  <c r="M461" i="5"/>
  <c r="N461" i="5" s="1"/>
  <c r="P461" i="5"/>
  <c r="W461" i="5"/>
  <c r="D462" i="5"/>
  <c r="G462" i="5"/>
  <c r="H462" i="5" s="1"/>
  <c r="I462" i="5"/>
  <c r="J462" i="5" s="1"/>
  <c r="K462" i="5"/>
  <c r="L462" i="5" s="1"/>
  <c r="M462" i="5"/>
  <c r="N462" i="5" s="1"/>
  <c r="P462" i="5"/>
  <c r="W462" i="5"/>
  <c r="D463" i="5"/>
  <c r="G463" i="5"/>
  <c r="H463" i="5" s="1"/>
  <c r="I463" i="5"/>
  <c r="J463" i="5" s="1"/>
  <c r="K463" i="5"/>
  <c r="L463" i="5" s="1"/>
  <c r="M463" i="5"/>
  <c r="N463" i="5" s="1"/>
  <c r="P463" i="5"/>
  <c r="W463" i="5"/>
  <c r="D464" i="5"/>
  <c r="G464" i="5"/>
  <c r="H464" i="5" s="1"/>
  <c r="I464" i="5"/>
  <c r="J464" i="5" s="1"/>
  <c r="K464" i="5"/>
  <c r="L464" i="5" s="1"/>
  <c r="M464" i="5"/>
  <c r="N464" i="5" s="1"/>
  <c r="P464" i="5"/>
  <c r="W464" i="5"/>
  <c r="D465" i="5"/>
  <c r="G465" i="5"/>
  <c r="H465" i="5" s="1"/>
  <c r="I465" i="5"/>
  <c r="J465" i="5" s="1"/>
  <c r="K465" i="5"/>
  <c r="L465" i="5" s="1"/>
  <c r="M465" i="5"/>
  <c r="N465" i="5" s="1"/>
  <c r="P465" i="5"/>
  <c r="W465" i="5"/>
  <c r="D466" i="5"/>
  <c r="G466" i="5"/>
  <c r="H466" i="5" s="1"/>
  <c r="I466" i="5"/>
  <c r="J466" i="5" s="1"/>
  <c r="K466" i="5"/>
  <c r="L466" i="5" s="1"/>
  <c r="M466" i="5"/>
  <c r="N466" i="5" s="1"/>
  <c r="P466" i="5"/>
  <c r="W466" i="5"/>
  <c r="D467" i="5"/>
  <c r="G467" i="5"/>
  <c r="H467" i="5" s="1"/>
  <c r="I467" i="5"/>
  <c r="J467" i="5" s="1"/>
  <c r="K467" i="5"/>
  <c r="L467" i="5" s="1"/>
  <c r="M467" i="5"/>
  <c r="N467" i="5" s="1"/>
  <c r="P467" i="5"/>
  <c r="W467" i="5"/>
  <c r="D468" i="5"/>
  <c r="G468" i="5"/>
  <c r="H468" i="5" s="1"/>
  <c r="I468" i="5"/>
  <c r="J468" i="5" s="1"/>
  <c r="K468" i="5"/>
  <c r="L468" i="5" s="1"/>
  <c r="M468" i="5"/>
  <c r="N468" i="5" s="1"/>
  <c r="P468" i="5"/>
  <c r="W468" i="5"/>
  <c r="D469" i="5"/>
  <c r="G469" i="5"/>
  <c r="H469" i="5" s="1"/>
  <c r="I469" i="5"/>
  <c r="J469" i="5" s="1"/>
  <c r="K469" i="5"/>
  <c r="L469" i="5" s="1"/>
  <c r="M469" i="5"/>
  <c r="N469" i="5" s="1"/>
  <c r="P469" i="5"/>
  <c r="W469" i="5"/>
  <c r="D470" i="5"/>
  <c r="G470" i="5"/>
  <c r="H470" i="5" s="1"/>
  <c r="I470" i="5"/>
  <c r="J470" i="5" s="1"/>
  <c r="K470" i="5"/>
  <c r="L470" i="5" s="1"/>
  <c r="M470" i="5"/>
  <c r="N470" i="5" s="1"/>
  <c r="P470" i="5"/>
  <c r="W470" i="5"/>
  <c r="D471" i="5"/>
  <c r="G471" i="5"/>
  <c r="H471" i="5" s="1"/>
  <c r="I471" i="5"/>
  <c r="J471" i="5" s="1"/>
  <c r="K471" i="5"/>
  <c r="L471" i="5" s="1"/>
  <c r="M471" i="5"/>
  <c r="N471" i="5" s="1"/>
  <c r="P471" i="5"/>
  <c r="W471" i="5"/>
  <c r="D472" i="5"/>
  <c r="G472" i="5"/>
  <c r="H472" i="5" s="1"/>
  <c r="I472" i="5"/>
  <c r="J472" i="5" s="1"/>
  <c r="K472" i="5"/>
  <c r="L472" i="5" s="1"/>
  <c r="M472" i="5"/>
  <c r="N472" i="5" s="1"/>
  <c r="P472" i="5"/>
  <c r="W472" i="5"/>
  <c r="D473" i="5"/>
  <c r="G473" i="5"/>
  <c r="H473" i="5" s="1"/>
  <c r="I473" i="5"/>
  <c r="J473" i="5" s="1"/>
  <c r="K473" i="5"/>
  <c r="L473" i="5" s="1"/>
  <c r="M473" i="5"/>
  <c r="N473" i="5" s="1"/>
  <c r="P473" i="5"/>
  <c r="W473" i="5"/>
  <c r="D474" i="5"/>
  <c r="G474" i="5"/>
  <c r="H474" i="5" s="1"/>
  <c r="I474" i="5"/>
  <c r="J474" i="5" s="1"/>
  <c r="K474" i="5"/>
  <c r="L474" i="5" s="1"/>
  <c r="M474" i="5"/>
  <c r="N474" i="5" s="1"/>
  <c r="P474" i="5"/>
  <c r="W474" i="5"/>
  <c r="D475" i="5"/>
  <c r="G475" i="5"/>
  <c r="H475" i="5" s="1"/>
  <c r="I475" i="5"/>
  <c r="J475" i="5" s="1"/>
  <c r="K475" i="5"/>
  <c r="L475" i="5" s="1"/>
  <c r="M475" i="5"/>
  <c r="N475" i="5" s="1"/>
  <c r="P475" i="5"/>
  <c r="W475" i="5"/>
  <c r="D476" i="5"/>
  <c r="G476" i="5"/>
  <c r="H476" i="5" s="1"/>
  <c r="I476" i="5"/>
  <c r="J476" i="5" s="1"/>
  <c r="K476" i="5"/>
  <c r="L476" i="5" s="1"/>
  <c r="M476" i="5"/>
  <c r="N476" i="5" s="1"/>
  <c r="P476" i="5"/>
  <c r="W476" i="5"/>
  <c r="D477" i="5"/>
  <c r="G477" i="5"/>
  <c r="H477" i="5" s="1"/>
  <c r="I477" i="5"/>
  <c r="J477" i="5" s="1"/>
  <c r="K477" i="5"/>
  <c r="L477" i="5" s="1"/>
  <c r="M477" i="5"/>
  <c r="N477" i="5" s="1"/>
  <c r="P477" i="5"/>
  <c r="W477" i="5"/>
  <c r="D478" i="5"/>
  <c r="G478" i="5"/>
  <c r="H478" i="5" s="1"/>
  <c r="I478" i="5"/>
  <c r="J478" i="5" s="1"/>
  <c r="K478" i="5"/>
  <c r="L478" i="5" s="1"/>
  <c r="M478" i="5"/>
  <c r="N478" i="5" s="1"/>
  <c r="P478" i="5"/>
  <c r="W478" i="5"/>
  <c r="D479" i="5"/>
  <c r="G479" i="5"/>
  <c r="H479" i="5" s="1"/>
  <c r="I479" i="5"/>
  <c r="J479" i="5" s="1"/>
  <c r="K479" i="5"/>
  <c r="L479" i="5" s="1"/>
  <c r="M479" i="5"/>
  <c r="N479" i="5" s="1"/>
  <c r="P479" i="5"/>
  <c r="W479" i="5"/>
  <c r="D480" i="5"/>
  <c r="G480" i="5"/>
  <c r="H480" i="5" s="1"/>
  <c r="I480" i="5"/>
  <c r="J480" i="5" s="1"/>
  <c r="K480" i="5"/>
  <c r="L480" i="5" s="1"/>
  <c r="M480" i="5"/>
  <c r="N480" i="5" s="1"/>
  <c r="P480" i="5"/>
  <c r="W480" i="5"/>
  <c r="D481" i="5"/>
  <c r="G481" i="5"/>
  <c r="H481" i="5" s="1"/>
  <c r="I481" i="5"/>
  <c r="J481" i="5" s="1"/>
  <c r="K481" i="5"/>
  <c r="L481" i="5" s="1"/>
  <c r="M481" i="5"/>
  <c r="N481" i="5" s="1"/>
  <c r="P481" i="5"/>
  <c r="W481" i="5"/>
  <c r="D482" i="5"/>
  <c r="G482" i="5"/>
  <c r="H482" i="5" s="1"/>
  <c r="I482" i="5"/>
  <c r="J482" i="5" s="1"/>
  <c r="K482" i="5"/>
  <c r="L482" i="5" s="1"/>
  <c r="M482" i="5"/>
  <c r="N482" i="5" s="1"/>
  <c r="P482" i="5"/>
  <c r="W482" i="5"/>
  <c r="D483" i="5"/>
  <c r="G483" i="5"/>
  <c r="H483" i="5" s="1"/>
  <c r="I483" i="5"/>
  <c r="J483" i="5" s="1"/>
  <c r="K483" i="5"/>
  <c r="L483" i="5" s="1"/>
  <c r="M483" i="5"/>
  <c r="N483" i="5" s="1"/>
  <c r="P483" i="5"/>
  <c r="W483" i="5"/>
  <c r="D484" i="5"/>
  <c r="G484" i="5"/>
  <c r="H484" i="5" s="1"/>
  <c r="I484" i="5"/>
  <c r="J484" i="5" s="1"/>
  <c r="K484" i="5"/>
  <c r="L484" i="5" s="1"/>
  <c r="M484" i="5"/>
  <c r="N484" i="5" s="1"/>
  <c r="P484" i="5"/>
  <c r="W484" i="5"/>
  <c r="D485" i="5"/>
  <c r="G485" i="5"/>
  <c r="H485" i="5" s="1"/>
  <c r="I485" i="5"/>
  <c r="J485" i="5" s="1"/>
  <c r="K485" i="5"/>
  <c r="L485" i="5" s="1"/>
  <c r="M485" i="5"/>
  <c r="N485" i="5" s="1"/>
  <c r="P485" i="5"/>
  <c r="W485" i="5"/>
  <c r="D486" i="5"/>
  <c r="G486" i="5"/>
  <c r="H486" i="5" s="1"/>
  <c r="I486" i="5"/>
  <c r="J486" i="5" s="1"/>
  <c r="K486" i="5"/>
  <c r="L486" i="5" s="1"/>
  <c r="M486" i="5"/>
  <c r="N486" i="5" s="1"/>
  <c r="P486" i="5"/>
  <c r="W486" i="5"/>
  <c r="D487" i="5"/>
  <c r="G487" i="5"/>
  <c r="H487" i="5" s="1"/>
  <c r="I487" i="5"/>
  <c r="J487" i="5" s="1"/>
  <c r="K487" i="5"/>
  <c r="L487" i="5" s="1"/>
  <c r="M487" i="5"/>
  <c r="N487" i="5" s="1"/>
  <c r="P487" i="5"/>
  <c r="W487" i="5"/>
  <c r="D488" i="5"/>
  <c r="G488" i="5"/>
  <c r="H488" i="5" s="1"/>
  <c r="I488" i="5"/>
  <c r="J488" i="5" s="1"/>
  <c r="K488" i="5"/>
  <c r="L488" i="5" s="1"/>
  <c r="M488" i="5"/>
  <c r="N488" i="5" s="1"/>
  <c r="P488" i="5"/>
  <c r="W488" i="5"/>
  <c r="D489" i="5"/>
  <c r="G489" i="5"/>
  <c r="H489" i="5" s="1"/>
  <c r="I489" i="5"/>
  <c r="J489" i="5" s="1"/>
  <c r="K489" i="5"/>
  <c r="L489" i="5" s="1"/>
  <c r="M489" i="5"/>
  <c r="N489" i="5" s="1"/>
  <c r="P489" i="5"/>
  <c r="W489" i="5"/>
  <c r="D490" i="5"/>
  <c r="G490" i="5"/>
  <c r="H490" i="5" s="1"/>
  <c r="I490" i="5"/>
  <c r="J490" i="5" s="1"/>
  <c r="K490" i="5"/>
  <c r="L490" i="5" s="1"/>
  <c r="M490" i="5"/>
  <c r="N490" i="5" s="1"/>
  <c r="P490" i="5"/>
  <c r="W490" i="5"/>
  <c r="D491" i="5"/>
  <c r="G491" i="5"/>
  <c r="H491" i="5" s="1"/>
  <c r="I491" i="5"/>
  <c r="J491" i="5" s="1"/>
  <c r="K491" i="5"/>
  <c r="L491" i="5" s="1"/>
  <c r="M491" i="5"/>
  <c r="N491" i="5" s="1"/>
  <c r="P491" i="5"/>
  <c r="W491" i="5"/>
  <c r="D492" i="5"/>
  <c r="G492" i="5"/>
  <c r="H492" i="5" s="1"/>
  <c r="I492" i="5"/>
  <c r="J492" i="5" s="1"/>
  <c r="K492" i="5"/>
  <c r="L492" i="5" s="1"/>
  <c r="M492" i="5"/>
  <c r="N492" i="5" s="1"/>
  <c r="P492" i="5"/>
  <c r="W492" i="5"/>
  <c r="D493" i="5"/>
  <c r="G493" i="5"/>
  <c r="H493" i="5" s="1"/>
  <c r="I493" i="5"/>
  <c r="J493" i="5" s="1"/>
  <c r="K493" i="5"/>
  <c r="L493" i="5" s="1"/>
  <c r="M493" i="5"/>
  <c r="N493" i="5" s="1"/>
  <c r="P493" i="5"/>
  <c r="W493" i="5"/>
  <c r="D494" i="5"/>
  <c r="G494" i="5"/>
  <c r="H494" i="5" s="1"/>
  <c r="I494" i="5"/>
  <c r="J494" i="5" s="1"/>
  <c r="K494" i="5"/>
  <c r="L494" i="5" s="1"/>
  <c r="M494" i="5"/>
  <c r="N494" i="5" s="1"/>
  <c r="P494" i="5"/>
  <c r="W494" i="5"/>
  <c r="D495" i="5"/>
  <c r="G495" i="5"/>
  <c r="H495" i="5" s="1"/>
  <c r="I495" i="5"/>
  <c r="J495" i="5" s="1"/>
  <c r="K495" i="5"/>
  <c r="L495" i="5" s="1"/>
  <c r="M495" i="5"/>
  <c r="N495" i="5" s="1"/>
  <c r="P495" i="5"/>
  <c r="W495" i="5"/>
  <c r="D496" i="5"/>
  <c r="G496" i="5"/>
  <c r="H496" i="5" s="1"/>
  <c r="I496" i="5"/>
  <c r="J496" i="5" s="1"/>
  <c r="K496" i="5"/>
  <c r="L496" i="5" s="1"/>
  <c r="M496" i="5"/>
  <c r="N496" i="5" s="1"/>
  <c r="P496" i="5"/>
  <c r="W496" i="5"/>
  <c r="D497" i="5"/>
  <c r="G497" i="5"/>
  <c r="H497" i="5" s="1"/>
  <c r="I497" i="5"/>
  <c r="J497" i="5" s="1"/>
  <c r="K497" i="5"/>
  <c r="L497" i="5" s="1"/>
  <c r="M497" i="5"/>
  <c r="N497" i="5" s="1"/>
  <c r="P497" i="5"/>
  <c r="W497" i="5"/>
  <c r="D498" i="5"/>
  <c r="G498" i="5"/>
  <c r="H498" i="5" s="1"/>
  <c r="I498" i="5"/>
  <c r="J498" i="5" s="1"/>
  <c r="K498" i="5"/>
  <c r="L498" i="5" s="1"/>
  <c r="M498" i="5"/>
  <c r="N498" i="5" s="1"/>
  <c r="P498" i="5"/>
  <c r="W498" i="5"/>
  <c r="D499" i="5"/>
  <c r="G499" i="5"/>
  <c r="H499" i="5" s="1"/>
  <c r="I499" i="5"/>
  <c r="J499" i="5" s="1"/>
  <c r="K499" i="5"/>
  <c r="L499" i="5" s="1"/>
  <c r="M499" i="5"/>
  <c r="N499" i="5" s="1"/>
  <c r="P499" i="5"/>
  <c r="W499" i="5"/>
  <c r="D500" i="5"/>
  <c r="G500" i="5"/>
  <c r="H500" i="5" s="1"/>
  <c r="I500" i="5"/>
  <c r="J500" i="5" s="1"/>
  <c r="K500" i="5"/>
  <c r="L500" i="5" s="1"/>
  <c r="M500" i="5"/>
  <c r="N500" i="5" s="1"/>
  <c r="P500" i="5"/>
  <c r="W500" i="5"/>
  <c r="D501" i="5"/>
  <c r="G501" i="5"/>
  <c r="H501" i="5" s="1"/>
  <c r="I501" i="5"/>
  <c r="J501" i="5" s="1"/>
  <c r="K501" i="5"/>
  <c r="L501" i="5" s="1"/>
  <c r="M501" i="5"/>
  <c r="N501" i="5" s="1"/>
  <c r="P501" i="5"/>
  <c r="W501" i="5"/>
  <c r="D502" i="5"/>
  <c r="G502" i="5"/>
  <c r="H502" i="5" s="1"/>
  <c r="I502" i="5"/>
  <c r="J502" i="5" s="1"/>
  <c r="K502" i="5"/>
  <c r="L502" i="5" s="1"/>
  <c r="M502" i="5"/>
  <c r="N502" i="5" s="1"/>
  <c r="P502" i="5"/>
  <c r="W502" i="5"/>
  <c r="D503" i="5"/>
  <c r="G503" i="5"/>
  <c r="H503" i="5" s="1"/>
  <c r="I503" i="5"/>
  <c r="J503" i="5" s="1"/>
  <c r="K503" i="5"/>
  <c r="L503" i="5" s="1"/>
  <c r="M503" i="5"/>
  <c r="N503" i="5" s="1"/>
  <c r="P503" i="5"/>
  <c r="W503" i="5"/>
  <c r="D504" i="5"/>
  <c r="G504" i="5"/>
  <c r="H504" i="5" s="1"/>
  <c r="I504" i="5"/>
  <c r="J504" i="5" s="1"/>
  <c r="K504" i="5"/>
  <c r="L504" i="5" s="1"/>
  <c r="M504" i="5"/>
  <c r="N504" i="5" s="1"/>
  <c r="P504" i="5"/>
  <c r="W504" i="5"/>
  <c r="D505" i="5"/>
  <c r="G505" i="5"/>
  <c r="H505" i="5" s="1"/>
  <c r="I505" i="5"/>
  <c r="J505" i="5" s="1"/>
  <c r="K505" i="5"/>
  <c r="L505" i="5" s="1"/>
  <c r="M505" i="5"/>
  <c r="N505" i="5" s="1"/>
  <c r="P505" i="5"/>
  <c r="W505" i="5"/>
  <c r="D506" i="5"/>
  <c r="G506" i="5"/>
  <c r="H506" i="5" s="1"/>
  <c r="I506" i="5"/>
  <c r="J506" i="5" s="1"/>
  <c r="K506" i="5"/>
  <c r="L506" i="5" s="1"/>
  <c r="M506" i="5"/>
  <c r="N506" i="5" s="1"/>
  <c r="P506" i="5"/>
  <c r="W506" i="5"/>
  <c r="D507" i="5"/>
  <c r="G507" i="5"/>
  <c r="H507" i="5" s="1"/>
  <c r="I507" i="5"/>
  <c r="J507" i="5" s="1"/>
  <c r="K507" i="5"/>
  <c r="L507" i="5" s="1"/>
  <c r="M507" i="5"/>
  <c r="N507" i="5" s="1"/>
  <c r="P507" i="5"/>
  <c r="W507" i="5"/>
  <c r="D508" i="5"/>
  <c r="G508" i="5"/>
  <c r="H508" i="5" s="1"/>
  <c r="I508" i="5"/>
  <c r="J508" i="5" s="1"/>
  <c r="K508" i="5"/>
  <c r="L508" i="5" s="1"/>
  <c r="M508" i="5"/>
  <c r="N508" i="5" s="1"/>
  <c r="P508" i="5"/>
  <c r="W508" i="5"/>
  <c r="D509" i="5"/>
  <c r="G509" i="5"/>
  <c r="H509" i="5" s="1"/>
  <c r="I509" i="5"/>
  <c r="J509" i="5" s="1"/>
  <c r="K509" i="5"/>
  <c r="L509" i="5" s="1"/>
  <c r="M509" i="5"/>
  <c r="N509" i="5" s="1"/>
  <c r="P509" i="5"/>
  <c r="W509" i="5"/>
  <c r="D510" i="5"/>
  <c r="G510" i="5"/>
  <c r="H510" i="5" s="1"/>
  <c r="I510" i="5"/>
  <c r="J510" i="5" s="1"/>
  <c r="K510" i="5"/>
  <c r="L510" i="5" s="1"/>
  <c r="M510" i="5"/>
  <c r="N510" i="5" s="1"/>
  <c r="P510" i="5"/>
  <c r="W510" i="5"/>
  <c r="D511" i="5"/>
  <c r="G511" i="5"/>
  <c r="H511" i="5" s="1"/>
  <c r="I511" i="5"/>
  <c r="J511" i="5" s="1"/>
  <c r="K511" i="5"/>
  <c r="L511" i="5" s="1"/>
  <c r="M511" i="5"/>
  <c r="N511" i="5" s="1"/>
  <c r="P511" i="5"/>
  <c r="W511" i="5"/>
  <c r="D512" i="5"/>
  <c r="G512" i="5"/>
  <c r="H512" i="5" s="1"/>
  <c r="I512" i="5"/>
  <c r="J512" i="5" s="1"/>
  <c r="K512" i="5"/>
  <c r="L512" i="5" s="1"/>
  <c r="M512" i="5"/>
  <c r="N512" i="5" s="1"/>
  <c r="P512" i="5"/>
  <c r="W512" i="5"/>
  <c r="D513" i="5"/>
  <c r="G513" i="5"/>
  <c r="H513" i="5" s="1"/>
  <c r="I513" i="5"/>
  <c r="J513" i="5" s="1"/>
  <c r="K513" i="5"/>
  <c r="L513" i="5" s="1"/>
  <c r="M513" i="5"/>
  <c r="N513" i="5" s="1"/>
  <c r="P513" i="5"/>
  <c r="W513" i="5"/>
  <c r="D514" i="5"/>
  <c r="G514" i="5"/>
  <c r="H514" i="5" s="1"/>
  <c r="I514" i="5"/>
  <c r="J514" i="5" s="1"/>
  <c r="K514" i="5"/>
  <c r="L514" i="5" s="1"/>
  <c r="M514" i="5"/>
  <c r="N514" i="5" s="1"/>
  <c r="P514" i="5"/>
  <c r="W514" i="5"/>
  <c r="D515" i="5"/>
  <c r="G515" i="5"/>
  <c r="H515" i="5" s="1"/>
  <c r="I515" i="5"/>
  <c r="J515" i="5" s="1"/>
  <c r="K515" i="5"/>
  <c r="L515" i="5" s="1"/>
  <c r="M515" i="5"/>
  <c r="N515" i="5" s="1"/>
  <c r="P515" i="5"/>
  <c r="W515" i="5"/>
  <c r="D516" i="5"/>
  <c r="G516" i="5"/>
  <c r="H516" i="5" s="1"/>
  <c r="I516" i="5"/>
  <c r="J516" i="5" s="1"/>
  <c r="K516" i="5"/>
  <c r="L516" i="5" s="1"/>
  <c r="M516" i="5"/>
  <c r="N516" i="5" s="1"/>
  <c r="P516" i="5"/>
  <c r="W516" i="5"/>
  <c r="D517" i="5"/>
  <c r="G517" i="5"/>
  <c r="H517" i="5" s="1"/>
  <c r="I517" i="5"/>
  <c r="J517" i="5" s="1"/>
  <c r="K517" i="5"/>
  <c r="L517" i="5" s="1"/>
  <c r="M517" i="5"/>
  <c r="N517" i="5" s="1"/>
  <c r="P517" i="5"/>
  <c r="W517" i="5"/>
  <c r="D518" i="5"/>
  <c r="G518" i="5"/>
  <c r="H518" i="5" s="1"/>
  <c r="I518" i="5"/>
  <c r="J518" i="5" s="1"/>
  <c r="K518" i="5"/>
  <c r="L518" i="5" s="1"/>
  <c r="M518" i="5"/>
  <c r="N518" i="5" s="1"/>
  <c r="P518" i="5"/>
  <c r="W518" i="5"/>
  <c r="D519" i="5"/>
  <c r="G519" i="5"/>
  <c r="H519" i="5" s="1"/>
  <c r="I519" i="5"/>
  <c r="J519" i="5" s="1"/>
  <c r="K519" i="5"/>
  <c r="L519" i="5" s="1"/>
  <c r="M519" i="5"/>
  <c r="N519" i="5" s="1"/>
  <c r="P519" i="5"/>
  <c r="W519" i="5"/>
  <c r="D520" i="5"/>
  <c r="G520" i="5"/>
  <c r="H520" i="5" s="1"/>
  <c r="I520" i="5"/>
  <c r="J520" i="5" s="1"/>
  <c r="K520" i="5"/>
  <c r="L520" i="5" s="1"/>
  <c r="M520" i="5"/>
  <c r="N520" i="5" s="1"/>
  <c r="P520" i="5"/>
  <c r="W520" i="5"/>
  <c r="D521" i="5"/>
  <c r="G521" i="5"/>
  <c r="H521" i="5" s="1"/>
  <c r="I521" i="5"/>
  <c r="J521" i="5" s="1"/>
  <c r="K521" i="5"/>
  <c r="L521" i="5" s="1"/>
  <c r="M521" i="5"/>
  <c r="N521" i="5" s="1"/>
  <c r="P521" i="5"/>
  <c r="W521" i="5"/>
  <c r="D522" i="5"/>
  <c r="G522" i="5"/>
  <c r="H522" i="5" s="1"/>
  <c r="I522" i="5"/>
  <c r="J522" i="5" s="1"/>
  <c r="K522" i="5"/>
  <c r="L522" i="5" s="1"/>
  <c r="M522" i="5"/>
  <c r="N522" i="5" s="1"/>
  <c r="P522" i="5"/>
  <c r="W522" i="5"/>
  <c r="D523" i="5"/>
  <c r="G523" i="5"/>
  <c r="H523" i="5" s="1"/>
  <c r="I523" i="5"/>
  <c r="J523" i="5" s="1"/>
  <c r="K523" i="5"/>
  <c r="L523" i="5" s="1"/>
  <c r="M523" i="5"/>
  <c r="N523" i="5" s="1"/>
  <c r="P523" i="5"/>
  <c r="W523" i="5"/>
  <c r="D524" i="5"/>
  <c r="G524" i="5"/>
  <c r="H524" i="5" s="1"/>
  <c r="I524" i="5"/>
  <c r="J524" i="5" s="1"/>
  <c r="K524" i="5"/>
  <c r="L524" i="5" s="1"/>
  <c r="M524" i="5"/>
  <c r="N524" i="5" s="1"/>
  <c r="P524" i="5"/>
  <c r="W524" i="5"/>
  <c r="D525" i="5"/>
  <c r="G525" i="5"/>
  <c r="H525" i="5" s="1"/>
  <c r="I525" i="5"/>
  <c r="J525" i="5" s="1"/>
  <c r="K525" i="5"/>
  <c r="L525" i="5" s="1"/>
  <c r="M525" i="5"/>
  <c r="N525" i="5" s="1"/>
  <c r="P525" i="5"/>
  <c r="W525" i="5"/>
  <c r="D526" i="5"/>
  <c r="G526" i="5"/>
  <c r="H526" i="5" s="1"/>
  <c r="I526" i="5"/>
  <c r="J526" i="5" s="1"/>
  <c r="K526" i="5"/>
  <c r="L526" i="5" s="1"/>
  <c r="M526" i="5"/>
  <c r="N526" i="5" s="1"/>
  <c r="P526" i="5"/>
  <c r="W526" i="5"/>
  <c r="D527" i="5"/>
  <c r="G527" i="5"/>
  <c r="H527" i="5" s="1"/>
  <c r="I527" i="5"/>
  <c r="J527" i="5" s="1"/>
  <c r="K527" i="5"/>
  <c r="L527" i="5" s="1"/>
  <c r="M527" i="5"/>
  <c r="N527" i="5" s="1"/>
  <c r="P527" i="5"/>
  <c r="W527" i="5"/>
  <c r="D528" i="5"/>
  <c r="G528" i="5"/>
  <c r="H528" i="5" s="1"/>
  <c r="I528" i="5"/>
  <c r="J528" i="5" s="1"/>
  <c r="K528" i="5"/>
  <c r="L528" i="5" s="1"/>
  <c r="M528" i="5"/>
  <c r="N528" i="5" s="1"/>
  <c r="P528" i="5"/>
  <c r="W528" i="5"/>
  <c r="D529" i="5"/>
  <c r="G529" i="5"/>
  <c r="H529" i="5" s="1"/>
  <c r="I529" i="5"/>
  <c r="J529" i="5" s="1"/>
  <c r="K529" i="5"/>
  <c r="L529" i="5" s="1"/>
  <c r="M529" i="5"/>
  <c r="N529" i="5" s="1"/>
  <c r="P529" i="5"/>
  <c r="W529" i="5"/>
  <c r="D530" i="5"/>
  <c r="G530" i="5"/>
  <c r="H530" i="5" s="1"/>
  <c r="I530" i="5"/>
  <c r="J530" i="5" s="1"/>
  <c r="K530" i="5"/>
  <c r="L530" i="5" s="1"/>
  <c r="M530" i="5"/>
  <c r="N530" i="5" s="1"/>
  <c r="P530" i="5"/>
  <c r="W530" i="5"/>
  <c r="D531" i="5"/>
  <c r="G531" i="5"/>
  <c r="H531" i="5" s="1"/>
  <c r="I531" i="5"/>
  <c r="J531" i="5" s="1"/>
  <c r="K531" i="5"/>
  <c r="L531" i="5" s="1"/>
  <c r="M531" i="5"/>
  <c r="N531" i="5" s="1"/>
  <c r="P531" i="5"/>
  <c r="W531" i="5"/>
  <c r="D532" i="5"/>
  <c r="G532" i="5"/>
  <c r="H532" i="5" s="1"/>
  <c r="I532" i="5"/>
  <c r="J532" i="5" s="1"/>
  <c r="K532" i="5"/>
  <c r="L532" i="5" s="1"/>
  <c r="M532" i="5"/>
  <c r="N532" i="5" s="1"/>
  <c r="P532" i="5"/>
  <c r="W532" i="5"/>
  <c r="D533" i="5"/>
  <c r="G533" i="5"/>
  <c r="H533" i="5" s="1"/>
  <c r="I533" i="5"/>
  <c r="J533" i="5" s="1"/>
  <c r="K533" i="5"/>
  <c r="L533" i="5" s="1"/>
  <c r="M533" i="5"/>
  <c r="N533" i="5" s="1"/>
  <c r="P533" i="5"/>
  <c r="W533" i="5"/>
  <c r="D534" i="5"/>
  <c r="G534" i="5"/>
  <c r="H534" i="5" s="1"/>
  <c r="I534" i="5"/>
  <c r="J534" i="5" s="1"/>
  <c r="K534" i="5"/>
  <c r="L534" i="5" s="1"/>
  <c r="M534" i="5"/>
  <c r="N534" i="5" s="1"/>
  <c r="P534" i="5"/>
  <c r="W534" i="5"/>
  <c r="D535" i="5"/>
  <c r="G535" i="5"/>
  <c r="H535" i="5" s="1"/>
  <c r="I535" i="5"/>
  <c r="J535" i="5" s="1"/>
  <c r="K535" i="5"/>
  <c r="L535" i="5" s="1"/>
  <c r="M535" i="5"/>
  <c r="N535" i="5" s="1"/>
  <c r="P535" i="5"/>
  <c r="W535" i="5"/>
  <c r="D536" i="5"/>
  <c r="G536" i="5"/>
  <c r="H536" i="5" s="1"/>
  <c r="I536" i="5"/>
  <c r="J536" i="5" s="1"/>
  <c r="K536" i="5"/>
  <c r="L536" i="5" s="1"/>
  <c r="M536" i="5"/>
  <c r="N536" i="5" s="1"/>
  <c r="P536" i="5"/>
  <c r="W536" i="5"/>
  <c r="D537" i="5"/>
  <c r="G537" i="5"/>
  <c r="H537" i="5" s="1"/>
  <c r="I537" i="5"/>
  <c r="J537" i="5" s="1"/>
  <c r="K537" i="5"/>
  <c r="L537" i="5" s="1"/>
  <c r="M537" i="5"/>
  <c r="N537" i="5" s="1"/>
  <c r="P537" i="5"/>
  <c r="W537" i="5"/>
  <c r="D538" i="5"/>
  <c r="G538" i="5"/>
  <c r="H538" i="5" s="1"/>
  <c r="I538" i="5"/>
  <c r="J538" i="5" s="1"/>
  <c r="K538" i="5"/>
  <c r="L538" i="5" s="1"/>
  <c r="M538" i="5"/>
  <c r="N538" i="5" s="1"/>
  <c r="P538" i="5"/>
  <c r="W538" i="5"/>
  <c r="D539" i="5"/>
  <c r="G539" i="5"/>
  <c r="H539" i="5" s="1"/>
  <c r="I539" i="5"/>
  <c r="J539" i="5" s="1"/>
  <c r="K539" i="5"/>
  <c r="L539" i="5" s="1"/>
  <c r="M539" i="5"/>
  <c r="N539" i="5" s="1"/>
  <c r="P539" i="5"/>
  <c r="W539" i="5"/>
  <c r="D540" i="5"/>
  <c r="G540" i="5"/>
  <c r="H540" i="5" s="1"/>
  <c r="I540" i="5"/>
  <c r="J540" i="5" s="1"/>
  <c r="K540" i="5"/>
  <c r="L540" i="5" s="1"/>
  <c r="M540" i="5"/>
  <c r="N540" i="5" s="1"/>
  <c r="P540" i="5"/>
  <c r="W540" i="5"/>
  <c r="D541" i="5"/>
  <c r="G541" i="5"/>
  <c r="H541" i="5" s="1"/>
  <c r="I541" i="5"/>
  <c r="J541" i="5" s="1"/>
  <c r="K541" i="5"/>
  <c r="L541" i="5" s="1"/>
  <c r="M541" i="5"/>
  <c r="N541" i="5" s="1"/>
  <c r="P541" i="5"/>
  <c r="W541" i="5"/>
  <c r="D542" i="5"/>
  <c r="G542" i="5"/>
  <c r="H542" i="5" s="1"/>
  <c r="I542" i="5"/>
  <c r="J542" i="5" s="1"/>
  <c r="K542" i="5"/>
  <c r="L542" i="5" s="1"/>
  <c r="M542" i="5"/>
  <c r="N542" i="5" s="1"/>
  <c r="P542" i="5"/>
  <c r="W542" i="5"/>
  <c r="D543" i="5"/>
  <c r="G543" i="5"/>
  <c r="H543" i="5" s="1"/>
  <c r="I543" i="5"/>
  <c r="J543" i="5" s="1"/>
  <c r="K543" i="5"/>
  <c r="L543" i="5" s="1"/>
  <c r="M543" i="5"/>
  <c r="N543" i="5" s="1"/>
  <c r="P543" i="5"/>
  <c r="W543" i="5"/>
  <c r="D544" i="5"/>
  <c r="G544" i="5"/>
  <c r="H544" i="5" s="1"/>
  <c r="I544" i="5"/>
  <c r="J544" i="5" s="1"/>
  <c r="K544" i="5"/>
  <c r="L544" i="5" s="1"/>
  <c r="M544" i="5"/>
  <c r="N544" i="5" s="1"/>
  <c r="P544" i="5"/>
  <c r="W544" i="5"/>
  <c r="D545" i="5"/>
  <c r="G545" i="5"/>
  <c r="H545" i="5" s="1"/>
  <c r="I545" i="5"/>
  <c r="J545" i="5" s="1"/>
  <c r="K545" i="5"/>
  <c r="L545" i="5" s="1"/>
  <c r="M545" i="5"/>
  <c r="N545" i="5" s="1"/>
  <c r="P545" i="5"/>
  <c r="W545" i="5"/>
  <c r="D546" i="5"/>
  <c r="G546" i="5"/>
  <c r="H546" i="5" s="1"/>
  <c r="I546" i="5"/>
  <c r="J546" i="5" s="1"/>
  <c r="K546" i="5"/>
  <c r="L546" i="5" s="1"/>
  <c r="M546" i="5"/>
  <c r="N546" i="5" s="1"/>
  <c r="P546" i="5"/>
  <c r="W546" i="5"/>
  <c r="D547" i="5"/>
  <c r="G547" i="5"/>
  <c r="H547" i="5" s="1"/>
  <c r="I547" i="5"/>
  <c r="J547" i="5" s="1"/>
  <c r="K547" i="5"/>
  <c r="L547" i="5" s="1"/>
  <c r="M547" i="5"/>
  <c r="N547" i="5" s="1"/>
  <c r="P547" i="5"/>
  <c r="W547" i="5"/>
  <c r="D548" i="5"/>
  <c r="G548" i="5"/>
  <c r="H548" i="5" s="1"/>
  <c r="I548" i="5"/>
  <c r="J548" i="5" s="1"/>
  <c r="K548" i="5"/>
  <c r="L548" i="5" s="1"/>
  <c r="M548" i="5"/>
  <c r="N548" i="5" s="1"/>
  <c r="P548" i="5"/>
  <c r="W548" i="5"/>
  <c r="D549" i="5"/>
  <c r="G549" i="5"/>
  <c r="H549" i="5" s="1"/>
  <c r="I549" i="5"/>
  <c r="J549" i="5" s="1"/>
  <c r="K549" i="5"/>
  <c r="L549" i="5" s="1"/>
  <c r="M549" i="5"/>
  <c r="N549" i="5" s="1"/>
  <c r="P549" i="5"/>
  <c r="W549" i="5"/>
  <c r="D550" i="5"/>
  <c r="G550" i="5"/>
  <c r="H550" i="5" s="1"/>
  <c r="I550" i="5"/>
  <c r="J550" i="5" s="1"/>
  <c r="K550" i="5"/>
  <c r="L550" i="5" s="1"/>
  <c r="M550" i="5"/>
  <c r="N550" i="5" s="1"/>
  <c r="P550" i="5"/>
  <c r="W550" i="5"/>
  <c r="D551" i="5"/>
  <c r="G551" i="5"/>
  <c r="H551" i="5" s="1"/>
  <c r="I551" i="5"/>
  <c r="J551" i="5" s="1"/>
  <c r="K551" i="5"/>
  <c r="L551" i="5" s="1"/>
  <c r="M551" i="5"/>
  <c r="N551" i="5" s="1"/>
  <c r="P551" i="5"/>
  <c r="W551" i="5"/>
  <c r="D552" i="5"/>
  <c r="G552" i="5"/>
  <c r="H552" i="5" s="1"/>
  <c r="I552" i="5"/>
  <c r="J552" i="5" s="1"/>
  <c r="K552" i="5"/>
  <c r="L552" i="5" s="1"/>
  <c r="M552" i="5"/>
  <c r="N552" i="5" s="1"/>
  <c r="P552" i="5"/>
  <c r="W552" i="5"/>
  <c r="D553" i="5"/>
  <c r="G553" i="5"/>
  <c r="H553" i="5" s="1"/>
  <c r="I553" i="5"/>
  <c r="J553" i="5" s="1"/>
  <c r="K553" i="5"/>
  <c r="L553" i="5" s="1"/>
  <c r="M553" i="5"/>
  <c r="N553" i="5" s="1"/>
  <c r="P553" i="5"/>
  <c r="W553" i="5"/>
  <c r="D554" i="5"/>
  <c r="G554" i="5"/>
  <c r="H554" i="5" s="1"/>
  <c r="I554" i="5"/>
  <c r="J554" i="5" s="1"/>
  <c r="K554" i="5"/>
  <c r="L554" i="5" s="1"/>
  <c r="M554" i="5"/>
  <c r="N554" i="5" s="1"/>
  <c r="P554" i="5"/>
  <c r="W554" i="5"/>
  <c r="D555" i="5"/>
  <c r="G555" i="5"/>
  <c r="H555" i="5" s="1"/>
  <c r="I555" i="5"/>
  <c r="J555" i="5" s="1"/>
  <c r="K555" i="5"/>
  <c r="L555" i="5" s="1"/>
  <c r="M555" i="5"/>
  <c r="N555" i="5" s="1"/>
  <c r="P555" i="5"/>
  <c r="W555" i="5"/>
  <c r="D556" i="5"/>
  <c r="G556" i="5"/>
  <c r="H556" i="5" s="1"/>
  <c r="I556" i="5"/>
  <c r="J556" i="5" s="1"/>
  <c r="K556" i="5"/>
  <c r="L556" i="5" s="1"/>
  <c r="M556" i="5"/>
  <c r="N556" i="5" s="1"/>
  <c r="P556" i="5"/>
  <c r="W556" i="5"/>
  <c r="D557" i="5"/>
  <c r="G557" i="5"/>
  <c r="H557" i="5" s="1"/>
  <c r="I557" i="5"/>
  <c r="J557" i="5" s="1"/>
  <c r="K557" i="5"/>
  <c r="L557" i="5" s="1"/>
  <c r="M557" i="5"/>
  <c r="N557" i="5" s="1"/>
  <c r="P557" i="5"/>
  <c r="W557" i="5"/>
  <c r="D558" i="5"/>
  <c r="G558" i="5"/>
  <c r="H558" i="5" s="1"/>
  <c r="I558" i="5"/>
  <c r="J558" i="5" s="1"/>
  <c r="K558" i="5"/>
  <c r="L558" i="5" s="1"/>
  <c r="M558" i="5"/>
  <c r="N558" i="5" s="1"/>
  <c r="P558" i="5"/>
  <c r="W558" i="5"/>
  <c r="D559" i="5"/>
  <c r="G559" i="5"/>
  <c r="H559" i="5" s="1"/>
  <c r="I559" i="5"/>
  <c r="J559" i="5" s="1"/>
  <c r="K559" i="5"/>
  <c r="L559" i="5" s="1"/>
  <c r="M559" i="5"/>
  <c r="N559" i="5" s="1"/>
  <c r="P559" i="5"/>
  <c r="W559" i="5"/>
  <c r="D560" i="5"/>
  <c r="G560" i="5"/>
  <c r="H560" i="5" s="1"/>
  <c r="I560" i="5"/>
  <c r="J560" i="5" s="1"/>
  <c r="K560" i="5"/>
  <c r="L560" i="5" s="1"/>
  <c r="M560" i="5"/>
  <c r="N560" i="5" s="1"/>
  <c r="P560" i="5"/>
  <c r="W560" i="5"/>
  <c r="D561" i="5"/>
  <c r="G561" i="5"/>
  <c r="H561" i="5" s="1"/>
  <c r="I561" i="5"/>
  <c r="J561" i="5" s="1"/>
  <c r="K561" i="5"/>
  <c r="L561" i="5" s="1"/>
  <c r="M561" i="5"/>
  <c r="N561" i="5" s="1"/>
  <c r="P561" i="5"/>
  <c r="W561" i="5"/>
  <c r="D562" i="5"/>
  <c r="G562" i="5"/>
  <c r="H562" i="5" s="1"/>
  <c r="I562" i="5"/>
  <c r="J562" i="5" s="1"/>
  <c r="K562" i="5"/>
  <c r="L562" i="5" s="1"/>
  <c r="M562" i="5"/>
  <c r="N562" i="5" s="1"/>
  <c r="P562" i="5"/>
  <c r="W562" i="5"/>
  <c r="D563" i="5"/>
  <c r="G563" i="5"/>
  <c r="H563" i="5" s="1"/>
  <c r="I563" i="5"/>
  <c r="J563" i="5" s="1"/>
  <c r="K563" i="5"/>
  <c r="L563" i="5" s="1"/>
  <c r="M563" i="5"/>
  <c r="N563" i="5" s="1"/>
  <c r="P563" i="5"/>
  <c r="W563" i="5"/>
  <c r="D564" i="5"/>
  <c r="G564" i="5"/>
  <c r="H564" i="5" s="1"/>
  <c r="I564" i="5"/>
  <c r="J564" i="5" s="1"/>
  <c r="K564" i="5"/>
  <c r="L564" i="5" s="1"/>
  <c r="M564" i="5"/>
  <c r="N564" i="5" s="1"/>
  <c r="P564" i="5"/>
  <c r="W564" i="5"/>
  <c r="D565" i="5"/>
  <c r="G565" i="5"/>
  <c r="H565" i="5" s="1"/>
  <c r="I565" i="5"/>
  <c r="J565" i="5" s="1"/>
  <c r="K565" i="5"/>
  <c r="L565" i="5" s="1"/>
  <c r="M565" i="5"/>
  <c r="N565" i="5" s="1"/>
  <c r="P565" i="5"/>
  <c r="W565" i="5"/>
  <c r="D566" i="5"/>
  <c r="G566" i="5"/>
  <c r="H566" i="5" s="1"/>
  <c r="I566" i="5"/>
  <c r="J566" i="5" s="1"/>
  <c r="K566" i="5"/>
  <c r="L566" i="5" s="1"/>
  <c r="M566" i="5"/>
  <c r="N566" i="5" s="1"/>
  <c r="P566" i="5"/>
  <c r="W566" i="5"/>
  <c r="D567" i="5"/>
  <c r="G567" i="5"/>
  <c r="H567" i="5" s="1"/>
  <c r="I567" i="5"/>
  <c r="J567" i="5" s="1"/>
  <c r="K567" i="5"/>
  <c r="L567" i="5" s="1"/>
  <c r="M567" i="5"/>
  <c r="N567" i="5" s="1"/>
  <c r="P567" i="5"/>
  <c r="W567" i="5"/>
  <c r="D568" i="5"/>
  <c r="G568" i="5"/>
  <c r="H568" i="5" s="1"/>
  <c r="I568" i="5"/>
  <c r="J568" i="5" s="1"/>
  <c r="K568" i="5"/>
  <c r="L568" i="5" s="1"/>
  <c r="M568" i="5"/>
  <c r="N568" i="5" s="1"/>
  <c r="P568" i="5"/>
  <c r="W568" i="5"/>
  <c r="D569" i="5"/>
  <c r="G569" i="5"/>
  <c r="H569" i="5" s="1"/>
  <c r="I569" i="5"/>
  <c r="J569" i="5" s="1"/>
  <c r="K569" i="5"/>
  <c r="L569" i="5" s="1"/>
  <c r="M569" i="5"/>
  <c r="N569" i="5" s="1"/>
  <c r="P569" i="5"/>
  <c r="W569" i="5"/>
  <c r="D570" i="5"/>
  <c r="G570" i="5"/>
  <c r="H570" i="5" s="1"/>
  <c r="I570" i="5"/>
  <c r="J570" i="5" s="1"/>
  <c r="K570" i="5"/>
  <c r="L570" i="5" s="1"/>
  <c r="M570" i="5"/>
  <c r="N570" i="5" s="1"/>
  <c r="P570" i="5"/>
  <c r="W570" i="5"/>
  <c r="D571" i="5"/>
  <c r="G571" i="5"/>
  <c r="H571" i="5" s="1"/>
  <c r="I571" i="5"/>
  <c r="J571" i="5" s="1"/>
  <c r="K571" i="5"/>
  <c r="L571" i="5" s="1"/>
  <c r="M571" i="5"/>
  <c r="N571" i="5" s="1"/>
  <c r="P571" i="5"/>
  <c r="W571" i="5"/>
  <c r="D572" i="5"/>
  <c r="G572" i="5"/>
  <c r="H572" i="5" s="1"/>
  <c r="I572" i="5"/>
  <c r="J572" i="5" s="1"/>
  <c r="K572" i="5"/>
  <c r="L572" i="5" s="1"/>
  <c r="M572" i="5"/>
  <c r="N572" i="5" s="1"/>
  <c r="P572" i="5"/>
  <c r="W572" i="5"/>
  <c r="D573" i="5"/>
  <c r="G573" i="5"/>
  <c r="H573" i="5" s="1"/>
  <c r="I573" i="5"/>
  <c r="J573" i="5" s="1"/>
  <c r="K573" i="5"/>
  <c r="L573" i="5" s="1"/>
  <c r="M573" i="5"/>
  <c r="N573" i="5" s="1"/>
  <c r="P573" i="5"/>
  <c r="W573" i="5"/>
  <c r="D574" i="5"/>
  <c r="G574" i="5"/>
  <c r="H574" i="5" s="1"/>
  <c r="I574" i="5"/>
  <c r="J574" i="5" s="1"/>
  <c r="K574" i="5"/>
  <c r="L574" i="5" s="1"/>
  <c r="M574" i="5"/>
  <c r="N574" i="5" s="1"/>
  <c r="P574" i="5"/>
  <c r="W574" i="5"/>
  <c r="D575" i="5"/>
  <c r="G575" i="5"/>
  <c r="H575" i="5" s="1"/>
  <c r="I575" i="5"/>
  <c r="J575" i="5" s="1"/>
  <c r="K575" i="5"/>
  <c r="L575" i="5" s="1"/>
  <c r="M575" i="5"/>
  <c r="N575" i="5" s="1"/>
  <c r="P575" i="5"/>
  <c r="W575" i="5"/>
  <c r="D576" i="5"/>
  <c r="G576" i="5"/>
  <c r="H576" i="5" s="1"/>
  <c r="I576" i="5"/>
  <c r="J576" i="5" s="1"/>
  <c r="K576" i="5"/>
  <c r="L576" i="5" s="1"/>
  <c r="M576" i="5"/>
  <c r="N576" i="5" s="1"/>
  <c r="P576" i="5"/>
  <c r="W576" i="5"/>
  <c r="D577" i="5"/>
  <c r="G577" i="5"/>
  <c r="H577" i="5" s="1"/>
  <c r="I577" i="5"/>
  <c r="J577" i="5" s="1"/>
  <c r="K577" i="5"/>
  <c r="L577" i="5" s="1"/>
  <c r="M577" i="5"/>
  <c r="N577" i="5" s="1"/>
  <c r="P577" i="5"/>
  <c r="W577" i="5"/>
  <c r="D578" i="5"/>
  <c r="G578" i="5"/>
  <c r="H578" i="5" s="1"/>
  <c r="I578" i="5"/>
  <c r="J578" i="5" s="1"/>
  <c r="K578" i="5"/>
  <c r="L578" i="5" s="1"/>
  <c r="M578" i="5"/>
  <c r="N578" i="5" s="1"/>
  <c r="P578" i="5"/>
  <c r="W578" i="5"/>
  <c r="D579" i="5"/>
  <c r="G579" i="5"/>
  <c r="H579" i="5" s="1"/>
  <c r="I579" i="5"/>
  <c r="J579" i="5" s="1"/>
  <c r="K579" i="5"/>
  <c r="L579" i="5" s="1"/>
  <c r="M579" i="5"/>
  <c r="N579" i="5" s="1"/>
  <c r="P579" i="5"/>
  <c r="W579" i="5"/>
  <c r="D580" i="5"/>
  <c r="G580" i="5"/>
  <c r="H580" i="5" s="1"/>
  <c r="I580" i="5"/>
  <c r="J580" i="5" s="1"/>
  <c r="K580" i="5"/>
  <c r="L580" i="5" s="1"/>
  <c r="M580" i="5"/>
  <c r="N580" i="5" s="1"/>
  <c r="P580" i="5"/>
  <c r="W580" i="5"/>
  <c r="D581" i="5"/>
  <c r="G581" i="5"/>
  <c r="H581" i="5" s="1"/>
  <c r="I581" i="5"/>
  <c r="J581" i="5" s="1"/>
  <c r="K581" i="5"/>
  <c r="L581" i="5" s="1"/>
  <c r="M581" i="5"/>
  <c r="N581" i="5" s="1"/>
  <c r="P581" i="5"/>
  <c r="W581" i="5"/>
  <c r="D582" i="5"/>
  <c r="G582" i="5"/>
  <c r="H582" i="5" s="1"/>
  <c r="I582" i="5"/>
  <c r="J582" i="5" s="1"/>
  <c r="K582" i="5"/>
  <c r="L582" i="5" s="1"/>
  <c r="M582" i="5"/>
  <c r="N582" i="5" s="1"/>
  <c r="P582" i="5"/>
  <c r="W582" i="5"/>
  <c r="D583" i="5"/>
  <c r="G583" i="5"/>
  <c r="H583" i="5" s="1"/>
  <c r="I583" i="5"/>
  <c r="J583" i="5" s="1"/>
  <c r="K583" i="5"/>
  <c r="L583" i="5" s="1"/>
  <c r="M583" i="5"/>
  <c r="N583" i="5" s="1"/>
  <c r="P583" i="5"/>
  <c r="W583" i="5"/>
  <c r="D584" i="5"/>
  <c r="G584" i="5"/>
  <c r="H584" i="5" s="1"/>
  <c r="I584" i="5"/>
  <c r="J584" i="5" s="1"/>
  <c r="K584" i="5"/>
  <c r="L584" i="5" s="1"/>
  <c r="M584" i="5"/>
  <c r="N584" i="5" s="1"/>
  <c r="P584" i="5"/>
  <c r="W584" i="5"/>
  <c r="D585" i="5"/>
  <c r="G585" i="5"/>
  <c r="H585" i="5" s="1"/>
  <c r="I585" i="5"/>
  <c r="J585" i="5" s="1"/>
  <c r="K585" i="5"/>
  <c r="L585" i="5" s="1"/>
  <c r="M585" i="5"/>
  <c r="N585" i="5" s="1"/>
  <c r="P585" i="5"/>
  <c r="W585" i="5"/>
  <c r="D586" i="5"/>
  <c r="G586" i="5"/>
  <c r="H586" i="5" s="1"/>
  <c r="I586" i="5"/>
  <c r="J586" i="5" s="1"/>
  <c r="K586" i="5"/>
  <c r="L586" i="5" s="1"/>
  <c r="M586" i="5"/>
  <c r="N586" i="5" s="1"/>
  <c r="P586" i="5"/>
  <c r="W586" i="5"/>
  <c r="D587" i="5"/>
  <c r="G587" i="5"/>
  <c r="H587" i="5" s="1"/>
  <c r="I587" i="5"/>
  <c r="J587" i="5" s="1"/>
  <c r="K587" i="5"/>
  <c r="L587" i="5" s="1"/>
  <c r="M587" i="5"/>
  <c r="N587" i="5" s="1"/>
  <c r="P587" i="5"/>
  <c r="W587" i="5"/>
  <c r="D588" i="5"/>
  <c r="G588" i="5"/>
  <c r="H588" i="5" s="1"/>
  <c r="I588" i="5"/>
  <c r="J588" i="5" s="1"/>
  <c r="K588" i="5"/>
  <c r="L588" i="5" s="1"/>
  <c r="M588" i="5"/>
  <c r="N588" i="5" s="1"/>
  <c r="P588" i="5"/>
  <c r="W588" i="5"/>
  <c r="D589" i="5"/>
  <c r="G589" i="5"/>
  <c r="H589" i="5" s="1"/>
  <c r="I589" i="5"/>
  <c r="J589" i="5" s="1"/>
  <c r="K589" i="5"/>
  <c r="L589" i="5" s="1"/>
  <c r="M589" i="5"/>
  <c r="N589" i="5" s="1"/>
  <c r="P589" i="5"/>
  <c r="W589" i="5"/>
  <c r="D590" i="5"/>
  <c r="G590" i="5"/>
  <c r="H590" i="5" s="1"/>
  <c r="I590" i="5"/>
  <c r="J590" i="5" s="1"/>
  <c r="K590" i="5"/>
  <c r="L590" i="5" s="1"/>
  <c r="M590" i="5"/>
  <c r="N590" i="5" s="1"/>
  <c r="P590" i="5"/>
  <c r="W590" i="5"/>
  <c r="D591" i="5"/>
  <c r="G591" i="5"/>
  <c r="H591" i="5" s="1"/>
  <c r="I591" i="5"/>
  <c r="J591" i="5" s="1"/>
  <c r="K591" i="5"/>
  <c r="L591" i="5" s="1"/>
  <c r="M591" i="5"/>
  <c r="N591" i="5" s="1"/>
  <c r="P591" i="5"/>
  <c r="W591" i="5"/>
  <c r="D592" i="5"/>
  <c r="G592" i="5"/>
  <c r="H592" i="5" s="1"/>
  <c r="I592" i="5"/>
  <c r="J592" i="5" s="1"/>
  <c r="K592" i="5"/>
  <c r="L592" i="5" s="1"/>
  <c r="M592" i="5"/>
  <c r="N592" i="5" s="1"/>
  <c r="P592" i="5"/>
  <c r="W592" i="5"/>
  <c r="D593" i="5"/>
  <c r="G593" i="5"/>
  <c r="H593" i="5" s="1"/>
  <c r="I593" i="5"/>
  <c r="J593" i="5" s="1"/>
  <c r="K593" i="5"/>
  <c r="L593" i="5" s="1"/>
  <c r="M593" i="5"/>
  <c r="N593" i="5" s="1"/>
  <c r="P593" i="5"/>
  <c r="W593" i="5"/>
  <c r="D594" i="5"/>
  <c r="G594" i="5"/>
  <c r="H594" i="5" s="1"/>
  <c r="I594" i="5"/>
  <c r="J594" i="5" s="1"/>
  <c r="K594" i="5"/>
  <c r="L594" i="5" s="1"/>
  <c r="M594" i="5"/>
  <c r="N594" i="5" s="1"/>
  <c r="P594" i="5"/>
  <c r="W594" i="5"/>
  <c r="D595" i="5"/>
  <c r="G595" i="5"/>
  <c r="H595" i="5" s="1"/>
  <c r="I595" i="5"/>
  <c r="J595" i="5" s="1"/>
  <c r="K595" i="5"/>
  <c r="L595" i="5" s="1"/>
  <c r="M595" i="5"/>
  <c r="N595" i="5" s="1"/>
  <c r="P595" i="5"/>
  <c r="W595" i="5"/>
  <c r="D596" i="5"/>
  <c r="G596" i="5"/>
  <c r="H596" i="5" s="1"/>
  <c r="I596" i="5"/>
  <c r="J596" i="5" s="1"/>
  <c r="K596" i="5"/>
  <c r="L596" i="5" s="1"/>
  <c r="M596" i="5"/>
  <c r="N596" i="5" s="1"/>
  <c r="P596" i="5"/>
  <c r="W596" i="5"/>
  <c r="D597" i="5"/>
  <c r="G597" i="5"/>
  <c r="H597" i="5" s="1"/>
  <c r="I597" i="5"/>
  <c r="J597" i="5" s="1"/>
  <c r="K597" i="5"/>
  <c r="L597" i="5" s="1"/>
  <c r="M597" i="5"/>
  <c r="N597" i="5" s="1"/>
  <c r="P597" i="5"/>
  <c r="W597" i="5"/>
  <c r="D598" i="5"/>
  <c r="G598" i="5"/>
  <c r="H598" i="5" s="1"/>
  <c r="I598" i="5"/>
  <c r="J598" i="5" s="1"/>
  <c r="K598" i="5"/>
  <c r="L598" i="5" s="1"/>
  <c r="M598" i="5"/>
  <c r="N598" i="5" s="1"/>
  <c r="P598" i="5"/>
  <c r="W598" i="5"/>
  <c r="D599" i="5"/>
  <c r="G599" i="5"/>
  <c r="H599" i="5" s="1"/>
  <c r="I599" i="5"/>
  <c r="J599" i="5" s="1"/>
  <c r="K599" i="5"/>
  <c r="L599" i="5" s="1"/>
  <c r="M599" i="5"/>
  <c r="N599" i="5" s="1"/>
  <c r="P599" i="5"/>
  <c r="W599" i="5"/>
  <c r="D600" i="5"/>
  <c r="G600" i="5"/>
  <c r="H600" i="5" s="1"/>
  <c r="I600" i="5"/>
  <c r="J600" i="5" s="1"/>
  <c r="K600" i="5"/>
  <c r="L600" i="5" s="1"/>
  <c r="M600" i="5"/>
  <c r="N600" i="5" s="1"/>
  <c r="P600" i="5"/>
  <c r="W600" i="5"/>
  <c r="A20" i="2"/>
  <c r="A19" i="2"/>
  <c r="B19" i="2" s="1"/>
  <c r="A18" i="2"/>
  <c r="B18" i="2" s="1"/>
  <c r="A17" i="2"/>
  <c r="B17" i="2" s="1"/>
  <c r="A16" i="2"/>
  <c r="B16" i="2" s="1"/>
  <c r="B13" i="17"/>
  <c r="W4" i="5"/>
  <c r="I5" i="5"/>
  <c r="J5" i="5" s="1"/>
  <c r="F4" i="17"/>
  <c r="E4" i="17"/>
  <c r="D4" i="17"/>
  <c r="C4" i="17"/>
  <c r="B4" i="17"/>
  <c r="M4" i="5"/>
  <c r="N4" i="5" s="1"/>
  <c r="I4" i="5"/>
  <c r="J4" i="5" s="1"/>
  <c r="G4" i="5"/>
  <c r="H4" i="5" s="1"/>
  <c r="P103" i="5"/>
  <c r="P102" i="5"/>
  <c r="P101" i="5"/>
  <c r="P100" i="5"/>
  <c r="P99" i="5"/>
  <c r="P98" i="5"/>
  <c r="P97" i="5"/>
  <c r="P96" i="5"/>
  <c r="P95" i="5"/>
  <c r="P94" i="5"/>
  <c r="P93" i="5"/>
  <c r="P92" i="5"/>
  <c r="P91" i="5"/>
  <c r="P90" i="5"/>
  <c r="P89" i="5"/>
  <c r="P88" i="5"/>
  <c r="P87" i="5"/>
  <c r="P86" i="5"/>
  <c r="P85" i="5"/>
  <c r="P84" i="5"/>
  <c r="P83" i="5"/>
  <c r="P82" i="5"/>
  <c r="P81" i="5"/>
  <c r="P80" i="5"/>
  <c r="P79" i="5"/>
  <c r="P78" i="5"/>
  <c r="P77" i="5"/>
  <c r="P76" i="5"/>
  <c r="P75" i="5"/>
  <c r="P74" i="5"/>
  <c r="P73" i="5"/>
  <c r="P72" i="5"/>
  <c r="P71" i="5"/>
  <c r="P70" i="5"/>
  <c r="P69" i="5"/>
  <c r="P68" i="5"/>
  <c r="P67" i="5"/>
  <c r="P66" i="5"/>
  <c r="P65" i="5"/>
  <c r="P64" i="5"/>
  <c r="P63" i="5"/>
  <c r="P62" i="5"/>
  <c r="P61" i="5"/>
  <c r="P60" i="5"/>
  <c r="P59" i="5"/>
  <c r="P58" i="5"/>
  <c r="P57" i="5"/>
  <c r="P56" i="5"/>
  <c r="P55" i="5"/>
  <c r="P54" i="5"/>
  <c r="P53" i="5"/>
  <c r="P52" i="5"/>
  <c r="P51" i="5"/>
  <c r="P50" i="5"/>
  <c r="P49" i="5"/>
  <c r="P48" i="5"/>
  <c r="P47" i="5"/>
  <c r="P46" i="5"/>
  <c r="P45" i="5"/>
  <c r="P44" i="5"/>
  <c r="P43" i="5"/>
  <c r="P42" i="5"/>
  <c r="P41" i="5"/>
  <c r="P40"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P8" i="5"/>
  <c r="P7" i="5"/>
  <c r="P6" i="5"/>
  <c r="D5" i="5"/>
  <c r="G5" i="5"/>
  <c r="H5" i="5" s="1"/>
  <c r="D6" i="5"/>
  <c r="G6" i="5"/>
  <c r="H6" i="5" s="1"/>
  <c r="D7" i="5"/>
  <c r="G7" i="5"/>
  <c r="H7" i="5" s="1"/>
  <c r="D8" i="5"/>
  <c r="G8" i="5"/>
  <c r="H8" i="5" s="1"/>
  <c r="D9" i="5"/>
  <c r="G9" i="5"/>
  <c r="H9" i="5" s="1"/>
  <c r="D10" i="5"/>
  <c r="G10" i="5"/>
  <c r="H10" i="5" s="1"/>
  <c r="D11" i="5"/>
  <c r="G11" i="5"/>
  <c r="H11" i="5" s="1"/>
  <c r="D12" i="5"/>
  <c r="G12" i="5"/>
  <c r="H12" i="5" s="1"/>
  <c r="D13" i="5"/>
  <c r="G13" i="5"/>
  <c r="H13" i="5" s="1"/>
  <c r="D14" i="5"/>
  <c r="G14" i="5"/>
  <c r="H14" i="5" s="1"/>
  <c r="D15" i="5"/>
  <c r="G15" i="5"/>
  <c r="H15" i="5" s="1"/>
  <c r="D16" i="5"/>
  <c r="G16" i="5"/>
  <c r="H16" i="5" s="1"/>
  <c r="D17" i="5"/>
  <c r="G17" i="5"/>
  <c r="H17" i="5" s="1"/>
  <c r="D18" i="5"/>
  <c r="G18" i="5"/>
  <c r="H18" i="5" s="1"/>
  <c r="D19" i="5"/>
  <c r="G19" i="5"/>
  <c r="H19" i="5" s="1"/>
  <c r="D20" i="5"/>
  <c r="G20" i="5"/>
  <c r="H20" i="5" s="1"/>
  <c r="D21" i="5"/>
  <c r="G21" i="5"/>
  <c r="H21" i="5" s="1"/>
  <c r="D22" i="5"/>
  <c r="G22" i="5"/>
  <c r="H22" i="5" s="1"/>
  <c r="D23" i="5"/>
  <c r="G23" i="5"/>
  <c r="H23" i="5" s="1"/>
  <c r="D24" i="5"/>
  <c r="G24" i="5"/>
  <c r="H24" i="5" s="1"/>
  <c r="D25" i="5"/>
  <c r="G25" i="5"/>
  <c r="H25" i="5" s="1"/>
  <c r="D26" i="5"/>
  <c r="G26" i="5"/>
  <c r="H26" i="5" s="1"/>
  <c r="D27" i="5"/>
  <c r="G27" i="5"/>
  <c r="H27" i="5" s="1"/>
  <c r="D28" i="5"/>
  <c r="G28" i="5"/>
  <c r="H28" i="5" s="1"/>
  <c r="D29" i="5"/>
  <c r="G29" i="5"/>
  <c r="H29" i="5" s="1"/>
  <c r="D30" i="5"/>
  <c r="G30" i="5"/>
  <c r="H30" i="5" s="1"/>
  <c r="D31" i="5"/>
  <c r="G31" i="5"/>
  <c r="H31" i="5" s="1"/>
  <c r="D32" i="5"/>
  <c r="G32" i="5"/>
  <c r="H32" i="5" s="1"/>
  <c r="D33" i="5"/>
  <c r="G33" i="5"/>
  <c r="H33" i="5" s="1"/>
  <c r="D34" i="5"/>
  <c r="G34" i="5"/>
  <c r="H34" i="5" s="1"/>
  <c r="D35" i="5"/>
  <c r="G35" i="5"/>
  <c r="H35" i="5" s="1"/>
  <c r="D36" i="5"/>
  <c r="G36" i="5"/>
  <c r="H36" i="5" s="1"/>
  <c r="D37" i="5"/>
  <c r="G37" i="5"/>
  <c r="H37" i="5" s="1"/>
  <c r="D38" i="5"/>
  <c r="G38" i="5"/>
  <c r="H38" i="5" s="1"/>
  <c r="D39" i="5"/>
  <c r="G39" i="5"/>
  <c r="H39" i="5" s="1"/>
  <c r="D40" i="5"/>
  <c r="G40" i="5"/>
  <c r="H40" i="5" s="1"/>
  <c r="D41" i="5"/>
  <c r="G41" i="5"/>
  <c r="H41" i="5" s="1"/>
  <c r="D42" i="5"/>
  <c r="G42" i="5"/>
  <c r="H42" i="5" s="1"/>
  <c r="D43" i="5"/>
  <c r="G43" i="5"/>
  <c r="H43" i="5" s="1"/>
  <c r="D44" i="5"/>
  <c r="G44" i="5"/>
  <c r="H44" i="5" s="1"/>
  <c r="D45" i="5"/>
  <c r="G45" i="5"/>
  <c r="H45" i="5" s="1"/>
  <c r="D46" i="5"/>
  <c r="G46" i="5"/>
  <c r="H46" i="5" s="1"/>
  <c r="D47" i="5"/>
  <c r="G47" i="5"/>
  <c r="H47" i="5" s="1"/>
  <c r="D48" i="5"/>
  <c r="G48" i="5"/>
  <c r="H48" i="5" s="1"/>
  <c r="D49" i="5"/>
  <c r="G49" i="5"/>
  <c r="H49" i="5" s="1"/>
  <c r="D50" i="5"/>
  <c r="G50" i="5"/>
  <c r="H50" i="5" s="1"/>
  <c r="D51" i="5"/>
  <c r="G51" i="5"/>
  <c r="H51" i="5" s="1"/>
  <c r="D52" i="5"/>
  <c r="G52" i="5"/>
  <c r="H52" i="5" s="1"/>
  <c r="D53" i="5"/>
  <c r="G53" i="5"/>
  <c r="H53" i="5" s="1"/>
  <c r="D54" i="5"/>
  <c r="G54" i="5"/>
  <c r="H54" i="5" s="1"/>
  <c r="D55" i="5"/>
  <c r="G55" i="5"/>
  <c r="H55" i="5" s="1"/>
  <c r="D56" i="5"/>
  <c r="G56" i="5"/>
  <c r="H56" i="5" s="1"/>
  <c r="D57" i="5"/>
  <c r="G57" i="5"/>
  <c r="H57" i="5" s="1"/>
  <c r="D58" i="5"/>
  <c r="G58" i="5"/>
  <c r="H58" i="5" s="1"/>
  <c r="D59" i="5"/>
  <c r="G59" i="5"/>
  <c r="H59" i="5" s="1"/>
  <c r="D60" i="5"/>
  <c r="G60" i="5"/>
  <c r="H60" i="5" s="1"/>
  <c r="D61" i="5"/>
  <c r="G61" i="5"/>
  <c r="H61" i="5" s="1"/>
  <c r="D62" i="5"/>
  <c r="G62" i="5"/>
  <c r="H62" i="5" s="1"/>
  <c r="D63" i="5"/>
  <c r="G63" i="5"/>
  <c r="H63" i="5" s="1"/>
  <c r="D64" i="5"/>
  <c r="G64" i="5"/>
  <c r="H64" i="5" s="1"/>
  <c r="D65" i="5"/>
  <c r="G65" i="5"/>
  <c r="H65" i="5" s="1"/>
  <c r="D66" i="5"/>
  <c r="G66" i="5"/>
  <c r="H66" i="5" s="1"/>
  <c r="D67" i="5"/>
  <c r="G67" i="5"/>
  <c r="H67" i="5" s="1"/>
  <c r="D68" i="5"/>
  <c r="G68" i="5"/>
  <c r="H68" i="5" s="1"/>
  <c r="D69" i="5"/>
  <c r="G69" i="5"/>
  <c r="H69" i="5" s="1"/>
  <c r="D70" i="5"/>
  <c r="G70" i="5"/>
  <c r="H70" i="5" s="1"/>
  <c r="D71" i="5"/>
  <c r="G71" i="5"/>
  <c r="H71" i="5" s="1"/>
  <c r="D72" i="5"/>
  <c r="G72" i="5"/>
  <c r="H72" i="5" s="1"/>
  <c r="D73" i="5"/>
  <c r="G73" i="5"/>
  <c r="H73" i="5" s="1"/>
  <c r="D74" i="5"/>
  <c r="G74" i="5"/>
  <c r="H74" i="5" s="1"/>
  <c r="D75" i="5"/>
  <c r="G75" i="5"/>
  <c r="H75" i="5" s="1"/>
  <c r="D76" i="5"/>
  <c r="G76" i="5"/>
  <c r="H76" i="5" s="1"/>
  <c r="D77" i="5"/>
  <c r="G77" i="5"/>
  <c r="H77" i="5" s="1"/>
  <c r="D78" i="5"/>
  <c r="G78" i="5"/>
  <c r="H78" i="5" s="1"/>
  <c r="D79" i="5"/>
  <c r="G79" i="5"/>
  <c r="H79" i="5" s="1"/>
  <c r="D80" i="5"/>
  <c r="G80" i="5"/>
  <c r="H80" i="5" s="1"/>
  <c r="D81" i="5"/>
  <c r="G81" i="5"/>
  <c r="H81" i="5" s="1"/>
  <c r="D82" i="5"/>
  <c r="G82" i="5"/>
  <c r="H82" i="5" s="1"/>
  <c r="D83" i="5"/>
  <c r="G83" i="5"/>
  <c r="H83" i="5" s="1"/>
  <c r="D84" i="5"/>
  <c r="G84" i="5"/>
  <c r="H84" i="5" s="1"/>
  <c r="D85" i="5"/>
  <c r="G85" i="5"/>
  <c r="H85" i="5" s="1"/>
  <c r="D86" i="5"/>
  <c r="G86" i="5"/>
  <c r="H86" i="5" s="1"/>
  <c r="D87" i="5"/>
  <c r="G87" i="5"/>
  <c r="H87" i="5" s="1"/>
  <c r="D88" i="5"/>
  <c r="G88" i="5"/>
  <c r="H88" i="5" s="1"/>
  <c r="D89" i="5"/>
  <c r="G89" i="5"/>
  <c r="H89" i="5" s="1"/>
  <c r="D90" i="5"/>
  <c r="G90" i="5"/>
  <c r="H90" i="5" s="1"/>
  <c r="D91" i="5"/>
  <c r="G91" i="5"/>
  <c r="H91" i="5" s="1"/>
  <c r="D92" i="5"/>
  <c r="G92" i="5"/>
  <c r="H92" i="5" s="1"/>
  <c r="D93" i="5"/>
  <c r="G93" i="5"/>
  <c r="H93" i="5" s="1"/>
  <c r="D94" i="5"/>
  <c r="G94" i="5"/>
  <c r="H94" i="5" s="1"/>
  <c r="D95" i="5"/>
  <c r="G95" i="5"/>
  <c r="H95" i="5" s="1"/>
  <c r="D96" i="5"/>
  <c r="G96" i="5"/>
  <c r="H96" i="5" s="1"/>
  <c r="D97" i="5"/>
  <c r="G97" i="5"/>
  <c r="H97" i="5" s="1"/>
  <c r="D98" i="5"/>
  <c r="G98" i="5"/>
  <c r="H98" i="5" s="1"/>
  <c r="D99" i="5"/>
  <c r="G99" i="5"/>
  <c r="H99" i="5" s="1"/>
  <c r="D100" i="5"/>
  <c r="G100" i="5"/>
  <c r="H100" i="5" s="1"/>
  <c r="D101" i="5"/>
  <c r="G101" i="5"/>
  <c r="H101" i="5" s="1"/>
  <c r="D102" i="5"/>
  <c r="G102" i="5"/>
  <c r="H102" i="5" s="1"/>
  <c r="D103" i="5"/>
  <c r="G103" i="5"/>
  <c r="H103" i="5" s="1"/>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M5" i="5"/>
  <c r="N5" i="5" s="1"/>
  <c r="M6" i="5"/>
  <c r="N6" i="5" s="1"/>
  <c r="M7" i="5"/>
  <c r="N7" i="5" s="1"/>
  <c r="M8" i="5"/>
  <c r="N8" i="5" s="1"/>
  <c r="M9" i="5"/>
  <c r="N9" i="5" s="1"/>
  <c r="M10" i="5"/>
  <c r="N10" i="5" s="1"/>
  <c r="M11" i="5"/>
  <c r="N11" i="5" s="1"/>
  <c r="M12" i="5"/>
  <c r="N12" i="5" s="1"/>
  <c r="M13" i="5"/>
  <c r="N13" i="5" s="1"/>
  <c r="M14" i="5"/>
  <c r="N14" i="5" s="1"/>
  <c r="M15" i="5"/>
  <c r="N15" i="5" s="1"/>
  <c r="M16" i="5"/>
  <c r="N16" i="5" s="1"/>
  <c r="M17" i="5"/>
  <c r="N17" i="5" s="1"/>
  <c r="M18" i="5"/>
  <c r="N18" i="5" s="1"/>
  <c r="M19" i="5"/>
  <c r="N19" i="5" s="1"/>
  <c r="M20" i="5"/>
  <c r="N20" i="5" s="1"/>
  <c r="M21" i="5"/>
  <c r="N21" i="5" s="1"/>
  <c r="M22" i="5"/>
  <c r="N22" i="5" s="1"/>
  <c r="M23" i="5"/>
  <c r="N23" i="5" s="1"/>
  <c r="M24" i="5"/>
  <c r="N24" i="5" s="1"/>
  <c r="M25" i="5"/>
  <c r="N25" i="5" s="1"/>
  <c r="M26" i="5"/>
  <c r="N26" i="5" s="1"/>
  <c r="M27" i="5"/>
  <c r="N27" i="5" s="1"/>
  <c r="M28" i="5"/>
  <c r="N28" i="5" s="1"/>
  <c r="M29" i="5"/>
  <c r="N29" i="5" s="1"/>
  <c r="M30" i="5"/>
  <c r="N30" i="5" s="1"/>
  <c r="M31" i="5"/>
  <c r="N31" i="5" s="1"/>
  <c r="M32" i="5"/>
  <c r="N32" i="5" s="1"/>
  <c r="M33" i="5"/>
  <c r="N33" i="5" s="1"/>
  <c r="M34" i="5"/>
  <c r="N34" i="5" s="1"/>
  <c r="M35" i="5"/>
  <c r="N35" i="5" s="1"/>
  <c r="M36" i="5"/>
  <c r="N36" i="5" s="1"/>
  <c r="M37" i="5"/>
  <c r="N37" i="5" s="1"/>
  <c r="M38" i="5"/>
  <c r="N38" i="5" s="1"/>
  <c r="M39" i="5"/>
  <c r="N39" i="5" s="1"/>
  <c r="M40" i="5"/>
  <c r="N40" i="5" s="1"/>
  <c r="M41" i="5"/>
  <c r="N41" i="5" s="1"/>
  <c r="M42" i="5"/>
  <c r="N42" i="5" s="1"/>
  <c r="M43" i="5"/>
  <c r="N43" i="5" s="1"/>
  <c r="M44" i="5"/>
  <c r="N44" i="5" s="1"/>
  <c r="M45" i="5"/>
  <c r="N45" i="5" s="1"/>
  <c r="M46" i="5"/>
  <c r="N46" i="5" s="1"/>
  <c r="M47" i="5"/>
  <c r="N47" i="5" s="1"/>
  <c r="M48" i="5"/>
  <c r="N48" i="5" s="1"/>
  <c r="M49" i="5"/>
  <c r="N49" i="5" s="1"/>
  <c r="M50" i="5"/>
  <c r="N50" i="5" s="1"/>
  <c r="M51" i="5"/>
  <c r="N51" i="5" s="1"/>
  <c r="M52" i="5"/>
  <c r="N52" i="5" s="1"/>
  <c r="M53" i="5"/>
  <c r="N53" i="5" s="1"/>
  <c r="M54" i="5"/>
  <c r="N54" i="5" s="1"/>
  <c r="M55" i="5"/>
  <c r="N55" i="5" s="1"/>
  <c r="M56" i="5"/>
  <c r="N56" i="5" s="1"/>
  <c r="M57" i="5"/>
  <c r="N57" i="5" s="1"/>
  <c r="M58" i="5"/>
  <c r="N58" i="5" s="1"/>
  <c r="M59" i="5"/>
  <c r="N59" i="5" s="1"/>
  <c r="M60" i="5"/>
  <c r="N60" i="5" s="1"/>
  <c r="M61" i="5"/>
  <c r="N61" i="5" s="1"/>
  <c r="M62" i="5"/>
  <c r="N62" i="5" s="1"/>
  <c r="M63" i="5"/>
  <c r="N63" i="5" s="1"/>
  <c r="M64" i="5"/>
  <c r="N64" i="5" s="1"/>
  <c r="M65" i="5"/>
  <c r="N65" i="5" s="1"/>
  <c r="M66" i="5"/>
  <c r="N66" i="5" s="1"/>
  <c r="M67" i="5"/>
  <c r="N67" i="5" s="1"/>
  <c r="M68" i="5"/>
  <c r="N68" i="5" s="1"/>
  <c r="M69" i="5"/>
  <c r="N69" i="5" s="1"/>
  <c r="M70" i="5"/>
  <c r="N70" i="5" s="1"/>
  <c r="M71" i="5"/>
  <c r="N71" i="5" s="1"/>
  <c r="M72" i="5"/>
  <c r="N72" i="5" s="1"/>
  <c r="M73" i="5"/>
  <c r="N73" i="5" s="1"/>
  <c r="M74" i="5"/>
  <c r="N74" i="5" s="1"/>
  <c r="M75" i="5"/>
  <c r="N75" i="5" s="1"/>
  <c r="M76" i="5"/>
  <c r="N76" i="5" s="1"/>
  <c r="M77" i="5"/>
  <c r="N77" i="5" s="1"/>
  <c r="M78" i="5"/>
  <c r="N78" i="5" s="1"/>
  <c r="M79" i="5"/>
  <c r="N79" i="5" s="1"/>
  <c r="M80" i="5"/>
  <c r="N80" i="5" s="1"/>
  <c r="M81" i="5"/>
  <c r="N81" i="5" s="1"/>
  <c r="M82" i="5"/>
  <c r="N82" i="5" s="1"/>
  <c r="M83" i="5"/>
  <c r="N83" i="5" s="1"/>
  <c r="M84" i="5"/>
  <c r="N84" i="5" s="1"/>
  <c r="M85" i="5"/>
  <c r="N85" i="5" s="1"/>
  <c r="M86" i="5"/>
  <c r="N86" i="5" s="1"/>
  <c r="M87" i="5"/>
  <c r="N87" i="5" s="1"/>
  <c r="M88" i="5"/>
  <c r="N88" i="5" s="1"/>
  <c r="M89" i="5"/>
  <c r="N89" i="5" s="1"/>
  <c r="M90" i="5"/>
  <c r="N90" i="5" s="1"/>
  <c r="M91" i="5"/>
  <c r="N91" i="5" s="1"/>
  <c r="M92" i="5"/>
  <c r="N92" i="5" s="1"/>
  <c r="M93" i="5"/>
  <c r="N93" i="5" s="1"/>
  <c r="M94" i="5"/>
  <c r="N94" i="5" s="1"/>
  <c r="M95" i="5"/>
  <c r="N95" i="5" s="1"/>
  <c r="M96" i="5"/>
  <c r="N96" i="5" s="1"/>
  <c r="M97" i="5"/>
  <c r="N97" i="5" s="1"/>
  <c r="M98" i="5"/>
  <c r="N98" i="5" s="1"/>
  <c r="M99" i="5"/>
  <c r="N99" i="5" s="1"/>
  <c r="M100" i="5"/>
  <c r="N100" i="5" s="1"/>
  <c r="M101" i="5"/>
  <c r="N101" i="5" s="1"/>
  <c r="M102" i="5"/>
  <c r="N102" i="5" s="1"/>
  <c r="M103" i="5"/>
  <c r="N103" i="5" s="1"/>
  <c r="K5" i="5"/>
  <c r="L5" i="5" s="1"/>
  <c r="K6" i="5"/>
  <c r="L6" i="5" s="1"/>
  <c r="K7" i="5"/>
  <c r="L7" i="5" s="1"/>
  <c r="K8" i="5"/>
  <c r="L8" i="5" s="1"/>
  <c r="K9" i="5"/>
  <c r="L9" i="5" s="1"/>
  <c r="K10" i="5"/>
  <c r="L10" i="5" s="1"/>
  <c r="K11" i="5"/>
  <c r="L11" i="5" s="1"/>
  <c r="K12" i="5"/>
  <c r="L12" i="5" s="1"/>
  <c r="K13" i="5"/>
  <c r="L13" i="5" s="1"/>
  <c r="K14" i="5"/>
  <c r="L14" i="5" s="1"/>
  <c r="K15" i="5"/>
  <c r="L15" i="5" s="1"/>
  <c r="K16" i="5"/>
  <c r="L16" i="5" s="1"/>
  <c r="K17" i="5"/>
  <c r="L17" i="5" s="1"/>
  <c r="K18" i="5"/>
  <c r="L18" i="5" s="1"/>
  <c r="K19" i="5"/>
  <c r="L19" i="5" s="1"/>
  <c r="K20" i="5"/>
  <c r="L20" i="5" s="1"/>
  <c r="K21" i="5"/>
  <c r="L21" i="5" s="1"/>
  <c r="K22" i="5"/>
  <c r="L22" i="5" s="1"/>
  <c r="K23" i="5"/>
  <c r="L23" i="5" s="1"/>
  <c r="K24" i="5"/>
  <c r="L24" i="5" s="1"/>
  <c r="K25" i="5"/>
  <c r="L25" i="5" s="1"/>
  <c r="K26" i="5"/>
  <c r="L26" i="5" s="1"/>
  <c r="K27" i="5"/>
  <c r="L27" i="5" s="1"/>
  <c r="K28" i="5"/>
  <c r="L28" i="5" s="1"/>
  <c r="K29" i="5"/>
  <c r="L29" i="5" s="1"/>
  <c r="K30" i="5"/>
  <c r="L30" i="5" s="1"/>
  <c r="K31" i="5"/>
  <c r="L31" i="5" s="1"/>
  <c r="K32" i="5"/>
  <c r="L32" i="5" s="1"/>
  <c r="K33" i="5"/>
  <c r="L33" i="5" s="1"/>
  <c r="K34" i="5"/>
  <c r="L34" i="5" s="1"/>
  <c r="K35" i="5"/>
  <c r="L35" i="5" s="1"/>
  <c r="K36" i="5"/>
  <c r="L36" i="5" s="1"/>
  <c r="K37" i="5"/>
  <c r="L37" i="5" s="1"/>
  <c r="K38" i="5"/>
  <c r="L38" i="5" s="1"/>
  <c r="K39" i="5"/>
  <c r="L39" i="5" s="1"/>
  <c r="K40" i="5"/>
  <c r="L40" i="5" s="1"/>
  <c r="K41" i="5"/>
  <c r="L41" i="5" s="1"/>
  <c r="K42" i="5"/>
  <c r="L42" i="5" s="1"/>
  <c r="K43" i="5"/>
  <c r="L43" i="5" s="1"/>
  <c r="K44" i="5"/>
  <c r="L44" i="5" s="1"/>
  <c r="K45" i="5"/>
  <c r="L45" i="5" s="1"/>
  <c r="K46" i="5"/>
  <c r="L46" i="5" s="1"/>
  <c r="K47" i="5"/>
  <c r="L47" i="5" s="1"/>
  <c r="K48" i="5"/>
  <c r="L48" i="5" s="1"/>
  <c r="K49" i="5"/>
  <c r="L49" i="5" s="1"/>
  <c r="K50" i="5"/>
  <c r="L50" i="5" s="1"/>
  <c r="K51" i="5"/>
  <c r="L51" i="5" s="1"/>
  <c r="K52" i="5"/>
  <c r="L52" i="5" s="1"/>
  <c r="K53" i="5"/>
  <c r="L53" i="5" s="1"/>
  <c r="K54" i="5"/>
  <c r="L54" i="5" s="1"/>
  <c r="K55" i="5"/>
  <c r="L55" i="5" s="1"/>
  <c r="K56" i="5"/>
  <c r="L56" i="5" s="1"/>
  <c r="K57" i="5"/>
  <c r="L57" i="5" s="1"/>
  <c r="K58" i="5"/>
  <c r="L58" i="5" s="1"/>
  <c r="K59" i="5"/>
  <c r="L59" i="5" s="1"/>
  <c r="K60" i="5"/>
  <c r="L60" i="5" s="1"/>
  <c r="K61" i="5"/>
  <c r="L61" i="5" s="1"/>
  <c r="K62" i="5"/>
  <c r="L62" i="5" s="1"/>
  <c r="K63" i="5"/>
  <c r="L63" i="5" s="1"/>
  <c r="K64" i="5"/>
  <c r="L64" i="5" s="1"/>
  <c r="K65" i="5"/>
  <c r="L65" i="5" s="1"/>
  <c r="K66" i="5"/>
  <c r="L66" i="5" s="1"/>
  <c r="K67" i="5"/>
  <c r="L67" i="5" s="1"/>
  <c r="K68" i="5"/>
  <c r="L68" i="5" s="1"/>
  <c r="K69" i="5"/>
  <c r="L69" i="5" s="1"/>
  <c r="K70" i="5"/>
  <c r="L70" i="5" s="1"/>
  <c r="K71" i="5"/>
  <c r="L71" i="5" s="1"/>
  <c r="K72" i="5"/>
  <c r="L72" i="5" s="1"/>
  <c r="K73" i="5"/>
  <c r="L73" i="5" s="1"/>
  <c r="K74" i="5"/>
  <c r="L74" i="5" s="1"/>
  <c r="K75" i="5"/>
  <c r="L75" i="5" s="1"/>
  <c r="K76" i="5"/>
  <c r="L76" i="5" s="1"/>
  <c r="K77" i="5"/>
  <c r="L77" i="5" s="1"/>
  <c r="K78" i="5"/>
  <c r="L78" i="5" s="1"/>
  <c r="K79" i="5"/>
  <c r="L79" i="5" s="1"/>
  <c r="K80" i="5"/>
  <c r="L80" i="5" s="1"/>
  <c r="K81" i="5"/>
  <c r="L81" i="5" s="1"/>
  <c r="K82" i="5"/>
  <c r="L82" i="5" s="1"/>
  <c r="K83" i="5"/>
  <c r="L83" i="5" s="1"/>
  <c r="K84" i="5"/>
  <c r="L84" i="5" s="1"/>
  <c r="K85" i="5"/>
  <c r="L85" i="5" s="1"/>
  <c r="K86" i="5"/>
  <c r="L86" i="5" s="1"/>
  <c r="K87" i="5"/>
  <c r="L87" i="5" s="1"/>
  <c r="K88" i="5"/>
  <c r="L88" i="5" s="1"/>
  <c r="K89" i="5"/>
  <c r="L89" i="5" s="1"/>
  <c r="K90" i="5"/>
  <c r="L90" i="5" s="1"/>
  <c r="K91" i="5"/>
  <c r="L91" i="5" s="1"/>
  <c r="K92" i="5"/>
  <c r="L92" i="5" s="1"/>
  <c r="K93" i="5"/>
  <c r="L93" i="5" s="1"/>
  <c r="K94" i="5"/>
  <c r="L94" i="5" s="1"/>
  <c r="K95" i="5"/>
  <c r="L95" i="5" s="1"/>
  <c r="K96" i="5"/>
  <c r="L96" i="5" s="1"/>
  <c r="K97" i="5"/>
  <c r="L97" i="5" s="1"/>
  <c r="K98" i="5"/>
  <c r="L98" i="5" s="1"/>
  <c r="K99" i="5"/>
  <c r="L99" i="5" s="1"/>
  <c r="K100" i="5"/>
  <c r="L100" i="5" s="1"/>
  <c r="K101" i="5"/>
  <c r="L101" i="5" s="1"/>
  <c r="K102" i="5"/>
  <c r="L102" i="5" s="1"/>
  <c r="K103" i="5"/>
  <c r="L103" i="5" s="1"/>
  <c r="I6" i="5"/>
  <c r="J6" i="5" s="1"/>
  <c r="I7" i="5"/>
  <c r="J7" i="5" s="1"/>
  <c r="I8" i="5"/>
  <c r="J8" i="5" s="1"/>
  <c r="I9" i="5"/>
  <c r="J9" i="5" s="1"/>
  <c r="I10" i="5"/>
  <c r="J10" i="5" s="1"/>
  <c r="I11" i="5"/>
  <c r="J11" i="5" s="1"/>
  <c r="I12" i="5"/>
  <c r="J12" i="5" s="1"/>
  <c r="I13" i="5"/>
  <c r="J13" i="5" s="1"/>
  <c r="I14" i="5"/>
  <c r="J14" i="5" s="1"/>
  <c r="I15" i="5"/>
  <c r="J15" i="5" s="1"/>
  <c r="I16" i="5"/>
  <c r="J16" i="5" s="1"/>
  <c r="I17" i="5"/>
  <c r="J17" i="5" s="1"/>
  <c r="I18" i="5"/>
  <c r="J18" i="5" s="1"/>
  <c r="I19" i="5"/>
  <c r="J19" i="5" s="1"/>
  <c r="I20" i="5"/>
  <c r="J20" i="5" s="1"/>
  <c r="I21" i="5"/>
  <c r="J21" i="5" s="1"/>
  <c r="I22" i="5"/>
  <c r="J22" i="5" s="1"/>
  <c r="I23" i="5"/>
  <c r="J23" i="5" s="1"/>
  <c r="I24" i="5"/>
  <c r="J24" i="5" s="1"/>
  <c r="I25" i="5"/>
  <c r="J25" i="5" s="1"/>
  <c r="I26" i="5"/>
  <c r="J26" i="5" s="1"/>
  <c r="I27" i="5"/>
  <c r="J27" i="5" s="1"/>
  <c r="I28" i="5"/>
  <c r="J28" i="5" s="1"/>
  <c r="I29" i="5"/>
  <c r="J29" i="5" s="1"/>
  <c r="I30" i="5"/>
  <c r="J30" i="5" s="1"/>
  <c r="I31" i="5"/>
  <c r="J31" i="5" s="1"/>
  <c r="I32" i="5"/>
  <c r="J32" i="5" s="1"/>
  <c r="I33" i="5"/>
  <c r="J33" i="5" s="1"/>
  <c r="I34" i="5"/>
  <c r="J34" i="5" s="1"/>
  <c r="I35" i="5"/>
  <c r="J35" i="5" s="1"/>
  <c r="I36" i="5"/>
  <c r="J36" i="5" s="1"/>
  <c r="I37" i="5"/>
  <c r="J37" i="5" s="1"/>
  <c r="I38" i="5"/>
  <c r="J38" i="5" s="1"/>
  <c r="I39" i="5"/>
  <c r="J39" i="5" s="1"/>
  <c r="I40" i="5"/>
  <c r="J40" i="5" s="1"/>
  <c r="I41" i="5"/>
  <c r="J41" i="5" s="1"/>
  <c r="I42" i="5"/>
  <c r="J42" i="5" s="1"/>
  <c r="I43" i="5"/>
  <c r="J43" i="5" s="1"/>
  <c r="I44" i="5"/>
  <c r="J44" i="5" s="1"/>
  <c r="I45" i="5"/>
  <c r="J45" i="5" s="1"/>
  <c r="I46" i="5"/>
  <c r="J46" i="5" s="1"/>
  <c r="I47" i="5"/>
  <c r="J47" i="5" s="1"/>
  <c r="I48" i="5"/>
  <c r="J48" i="5" s="1"/>
  <c r="I49" i="5"/>
  <c r="J49" i="5" s="1"/>
  <c r="I50" i="5"/>
  <c r="J50" i="5" s="1"/>
  <c r="I51" i="5"/>
  <c r="J51" i="5" s="1"/>
  <c r="I52" i="5"/>
  <c r="J52" i="5" s="1"/>
  <c r="I53" i="5"/>
  <c r="J53" i="5" s="1"/>
  <c r="I54" i="5"/>
  <c r="J54" i="5" s="1"/>
  <c r="I55" i="5"/>
  <c r="J55" i="5" s="1"/>
  <c r="I56" i="5"/>
  <c r="J56" i="5" s="1"/>
  <c r="I57" i="5"/>
  <c r="J57" i="5" s="1"/>
  <c r="I58" i="5"/>
  <c r="J58" i="5" s="1"/>
  <c r="I59" i="5"/>
  <c r="J59" i="5" s="1"/>
  <c r="I60" i="5"/>
  <c r="J60" i="5" s="1"/>
  <c r="I61" i="5"/>
  <c r="J61" i="5" s="1"/>
  <c r="I62" i="5"/>
  <c r="J62" i="5" s="1"/>
  <c r="I63" i="5"/>
  <c r="J63" i="5" s="1"/>
  <c r="I64" i="5"/>
  <c r="J64" i="5" s="1"/>
  <c r="I65" i="5"/>
  <c r="J65" i="5" s="1"/>
  <c r="I66" i="5"/>
  <c r="J66" i="5" s="1"/>
  <c r="I67" i="5"/>
  <c r="J67" i="5" s="1"/>
  <c r="I68" i="5"/>
  <c r="J68" i="5" s="1"/>
  <c r="I69" i="5"/>
  <c r="J69" i="5" s="1"/>
  <c r="I70" i="5"/>
  <c r="J70" i="5" s="1"/>
  <c r="I71" i="5"/>
  <c r="J71" i="5" s="1"/>
  <c r="I72" i="5"/>
  <c r="J72" i="5" s="1"/>
  <c r="I73" i="5"/>
  <c r="J73" i="5" s="1"/>
  <c r="I74" i="5"/>
  <c r="J74" i="5" s="1"/>
  <c r="I75" i="5"/>
  <c r="J75" i="5" s="1"/>
  <c r="I76" i="5"/>
  <c r="J76" i="5" s="1"/>
  <c r="I77" i="5"/>
  <c r="J77" i="5" s="1"/>
  <c r="I78" i="5"/>
  <c r="J78" i="5" s="1"/>
  <c r="I79" i="5"/>
  <c r="J79" i="5" s="1"/>
  <c r="I80" i="5"/>
  <c r="J80" i="5" s="1"/>
  <c r="I81" i="5"/>
  <c r="J81" i="5" s="1"/>
  <c r="I82" i="5"/>
  <c r="J82" i="5" s="1"/>
  <c r="I83" i="5"/>
  <c r="J83" i="5" s="1"/>
  <c r="I84" i="5"/>
  <c r="J84" i="5" s="1"/>
  <c r="I85" i="5"/>
  <c r="J85" i="5" s="1"/>
  <c r="I86" i="5"/>
  <c r="J86" i="5" s="1"/>
  <c r="I87" i="5"/>
  <c r="J87" i="5" s="1"/>
  <c r="I88" i="5"/>
  <c r="J88" i="5" s="1"/>
  <c r="I89" i="5"/>
  <c r="J89" i="5" s="1"/>
  <c r="I90" i="5"/>
  <c r="J90" i="5" s="1"/>
  <c r="I91" i="5"/>
  <c r="J91" i="5" s="1"/>
  <c r="I92" i="5"/>
  <c r="J92" i="5" s="1"/>
  <c r="I93" i="5"/>
  <c r="J93" i="5" s="1"/>
  <c r="I94" i="5"/>
  <c r="J94" i="5" s="1"/>
  <c r="I95" i="5"/>
  <c r="J95" i="5" s="1"/>
  <c r="I96" i="5"/>
  <c r="J96" i="5" s="1"/>
  <c r="I97" i="5"/>
  <c r="J97" i="5" s="1"/>
  <c r="I98" i="5"/>
  <c r="J98" i="5" s="1"/>
  <c r="I99" i="5"/>
  <c r="J99" i="5" s="1"/>
  <c r="I100" i="5"/>
  <c r="J100" i="5" s="1"/>
  <c r="I101" i="5"/>
  <c r="J101" i="5" s="1"/>
  <c r="I102" i="5"/>
  <c r="J102" i="5" s="1"/>
  <c r="I103" i="5"/>
  <c r="J103" i="5" s="1"/>
  <c r="E22" i="3"/>
  <c r="F22" i="3"/>
  <c r="G22" i="3"/>
  <c r="H22" i="3"/>
  <c r="I22" i="3"/>
  <c r="J22" i="3"/>
  <c r="K22" i="3"/>
  <c r="D22" i="3"/>
  <c r="D24" i="23" l="1"/>
  <c r="A24" i="23" s="1"/>
  <c r="D25" i="23"/>
  <c r="A25" i="23" s="1"/>
  <c r="D26" i="23"/>
  <c r="A26" i="23" s="1"/>
  <c r="D22" i="23"/>
  <c r="A22" i="23" s="1"/>
  <c r="D23" i="23"/>
  <c r="A23" i="23" s="1"/>
  <c r="D28" i="23"/>
  <c r="A28" i="23" s="1"/>
  <c r="D29" i="23"/>
  <c r="A29" i="23" s="1"/>
  <c r="D30" i="23"/>
  <c r="A30" i="23" s="1"/>
  <c r="D31" i="23"/>
  <c r="A31" i="23" s="1"/>
  <c r="D27" i="23"/>
  <c r="A27" i="23" s="1"/>
  <c r="D17" i="23"/>
  <c r="A17" i="23" s="1"/>
  <c r="D21" i="23"/>
  <c r="A21" i="23" s="1"/>
  <c r="D18" i="23"/>
  <c r="A18" i="23" s="1"/>
  <c r="D19" i="23"/>
  <c r="A19" i="23" s="1"/>
  <c r="D20" i="23"/>
  <c r="A20" i="23" s="1"/>
  <c r="V21" i="19" a="1"/>
  <c r="V21" i="19" s="1"/>
  <c r="W21" i="19" s="1"/>
  <c r="E48" i="23" s="1"/>
  <c r="V162" i="19" a="1"/>
  <c r="V162" i="19" s="1"/>
  <c r="W162" i="19" s="1"/>
  <c r="E189" i="23" s="1"/>
  <c r="V239" i="19" a="1"/>
  <c r="V239" i="19" s="1"/>
  <c r="W239" i="19" s="1"/>
  <c r="E266" i="23" s="1"/>
  <c r="V381" i="19" a="1"/>
  <c r="V381" i="19" s="1"/>
  <c r="W381" i="19" s="1"/>
  <c r="E408" i="23" s="1"/>
  <c r="V444" i="19" a="1"/>
  <c r="V444" i="19" s="1"/>
  <c r="W444" i="19" s="1"/>
  <c r="E471" i="23" s="1"/>
  <c r="V545" i="19" a="1"/>
  <c r="V545" i="19" s="1"/>
  <c r="W545" i="19" s="1"/>
  <c r="E572" i="23" s="1"/>
  <c r="V466" i="19" a="1"/>
  <c r="V466" i="19" s="1"/>
  <c r="W466" i="19" s="1"/>
  <c r="E493" i="23" s="1"/>
  <c r="V490" i="19" a="1"/>
  <c r="V490" i="19" s="1"/>
  <c r="W490" i="19" s="1"/>
  <c r="E517" i="23" s="1"/>
  <c r="V506" i="19" a="1"/>
  <c r="V506" i="19" s="1"/>
  <c r="W506" i="19" s="1"/>
  <c r="E533" i="23" s="1"/>
  <c r="V31" i="19" a="1"/>
  <c r="V31" i="19" s="1"/>
  <c r="W31" i="19" s="1"/>
  <c r="E58" i="23" s="1"/>
  <c r="V92" i="19" a="1"/>
  <c r="V92" i="19" s="1"/>
  <c r="W92" i="19" s="1"/>
  <c r="E119" i="23" s="1"/>
  <c r="V206" i="19" a="1"/>
  <c r="V206" i="19" s="1"/>
  <c r="W206" i="19" s="1"/>
  <c r="E233" i="23" s="1"/>
  <c r="V93" i="19" a="1"/>
  <c r="V93" i="19" s="1"/>
  <c r="W93" i="19" s="1"/>
  <c r="E120" i="23" s="1"/>
  <c r="V113" i="19" a="1"/>
  <c r="V113" i="19" s="1"/>
  <c r="W113" i="19" s="1"/>
  <c r="E140" i="23" s="1"/>
  <c r="V60" i="19" a="1"/>
  <c r="V60" i="19" s="1"/>
  <c r="W60" i="19" s="1"/>
  <c r="E87" i="23" s="1"/>
  <c r="V154" i="19" a="1"/>
  <c r="V154" i="19" s="1"/>
  <c r="W154" i="19" s="1"/>
  <c r="E181" i="23" s="1"/>
  <c r="V228" i="19" a="1"/>
  <c r="V228" i="19" s="1"/>
  <c r="W228" i="19" s="1"/>
  <c r="E255" i="23" s="1"/>
  <c r="V63" i="19" a="1"/>
  <c r="V63" i="19" s="1"/>
  <c r="W63" i="19" s="1"/>
  <c r="E90" i="23" s="1"/>
  <c r="V267" i="19" a="1"/>
  <c r="V267" i="19" s="1"/>
  <c r="W267" i="19" s="1"/>
  <c r="E294" i="23" s="1"/>
  <c r="V432" i="19" a="1"/>
  <c r="V432" i="19" s="1"/>
  <c r="W432" i="19" s="1"/>
  <c r="E459" i="23" s="1"/>
  <c r="V469" i="19" a="1"/>
  <c r="V469" i="19" s="1"/>
  <c r="W469" i="19" s="1"/>
  <c r="E496" i="23" s="1"/>
  <c r="V536" i="19" a="1"/>
  <c r="V536" i="19" s="1"/>
  <c r="W536" i="19" s="1"/>
  <c r="E563" i="23" s="1"/>
  <c r="V581" i="19" a="1"/>
  <c r="V581" i="19" s="1"/>
  <c r="W581" i="19" s="1"/>
  <c r="E608" i="23" s="1"/>
  <c r="V57" i="19" a="1"/>
  <c r="V57" i="19" s="1"/>
  <c r="W57" i="19" s="1"/>
  <c r="E84" i="23" s="1"/>
  <c r="V56" i="19" a="1"/>
  <c r="V56" i="19" s="1"/>
  <c r="W56" i="19" s="1"/>
  <c r="E83" i="23" s="1"/>
  <c r="V104" i="19" a="1"/>
  <c r="V104" i="19" s="1"/>
  <c r="W104" i="19" s="1"/>
  <c r="E131" i="23" s="1"/>
  <c r="V145" i="19" a="1"/>
  <c r="V145" i="19" s="1"/>
  <c r="W145" i="19" s="1"/>
  <c r="E172" i="23" s="1"/>
  <c r="V270" i="19" a="1"/>
  <c r="V270" i="19" s="1"/>
  <c r="W270" i="19" s="1"/>
  <c r="E297" i="23" s="1"/>
  <c r="V29" i="19" a="1"/>
  <c r="V29" i="19" s="1"/>
  <c r="W29" i="19" s="1"/>
  <c r="E56" i="23" s="1"/>
  <c r="V132" i="19" a="1"/>
  <c r="V132" i="19" s="1"/>
  <c r="W132" i="19" s="1"/>
  <c r="E159" i="23" s="1"/>
  <c r="V168" i="19" a="1"/>
  <c r="V168" i="19" s="1"/>
  <c r="W168" i="19" s="1"/>
  <c r="E195" i="23" s="1"/>
  <c r="V268" i="19" a="1"/>
  <c r="V268" i="19" s="1"/>
  <c r="W268" i="19" s="1"/>
  <c r="E295" i="23" s="1"/>
  <c r="V243" i="19" a="1"/>
  <c r="V243" i="19" s="1"/>
  <c r="W243" i="19" s="1"/>
  <c r="E270" i="23" s="1"/>
  <c r="V238" i="19" a="1"/>
  <c r="V238" i="19" s="1"/>
  <c r="W238" i="19" s="1"/>
  <c r="E265" i="23" s="1"/>
  <c r="V436" i="19" a="1"/>
  <c r="V436" i="19" s="1"/>
  <c r="W436" i="19" s="1"/>
  <c r="E463" i="23" s="1"/>
  <c r="V390" i="19" a="1"/>
  <c r="V390" i="19" s="1"/>
  <c r="W390" i="19" s="1"/>
  <c r="E417" i="23" s="1"/>
  <c r="V420" i="19" a="1"/>
  <c r="V420" i="19" s="1"/>
  <c r="W420" i="19" s="1"/>
  <c r="E447" i="23" s="1"/>
  <c r="V494" i="19" a="1"/>
  <c r="V494" i="19" s="1"/>
  <c r="W494" i="19" s="1"/>
  <c r="E521" i="23" s="1"/>
  <c r="V593" i="19" a="1"/>
  <c r="V593" i="19" s="1"/>
  <c r="W593" i="19" s="1"/>
  <c r="E620" i="23" s="1"/>
  <c r="V476" i="19" a="1"/>
  <c r="V476" i="19" s="1"/>
  <c r="W476" i="19" s="1"/>
  <c r="E503" i="23" s="1"/>
  <c r="V480" i="19" a="1"/>
  <c r="V480" i="19" s="1"/>
  <c r="W480" i="19" s="1"/>
  <c r="E507" i="23" s="1"/>
  <c r="V512" i="19" a="1"/>
  <c r="V512" i="19" s="1"/>
  <c r="W512" i="19" s="1"/>
  <c r="E539" i="23" s="1"/>
  <c r="V546" i="19" a="1"/>
  <c r="V546" i="19" s="1"/>
  <c r="W546" i="19" s="1"/>
  <c r="E573" i="23" s="1"/>
  <c r="V443" i="19" a="1"/>
  <c r="V443" i="19" s="1"/>
  <c r="W443" i="19" s="1"/>
  <c r="E470" i="23" s="1"/>
  <c r="V487" i="19" a="1"/>
  <c r="V487" i="19" s="1"/>
  <c r="W487" i="19" s="1"/>
  <c r="E514" i="23" s="1"/>
  <c r="V491" i="19" a="1"/>
  <c r="V491" i="19" s="1"/>
  <c r="W491" i="19" s="1"/>
  <c r="E518" i="23" s="1"/>
  <c r="V255" i="19" a="1"/>
  <c r="V255" i="19" s="1"/>
  <c r="W255" i="19" s="1"/>
  <c r="E282" i="23" s="1"/>
  <c r="V278" i="19" a="1"/>
  <c r="V278" i="19" s="1"/>
  <c r="W278" i="19" s="1"/>
  <c r="E305" i="23" s="1"/>
  <c r="V409" i="19" a="1"/>
  <c r="V409" i="19" s="1"/>
  <c r="W409" i="19" s="1"/>
  <c r="E436" i="23" s="1"/>
  <c r="V422" i="19" a="1"/>
  <c r="V422" i="19" s="1"/>
  <c r="W422" i="19" s="1"/>
  <c r="E449" i="23" s="1"/>
  <c r="V452" i="19" a="1"/>
  <c r="V452" i="19" s="1"/>
  <c r="W452" i="19" s="1"/>
  <c r="E479" i="23" s="1"/>
  <c r="V540" i="19" a="1"/>
  <c r="V540" i="19" s="1"/>
  <c r="W540" i="19" s="1"/>
  <c r="E567" i="23" s="1"/>
  <c r="V71" i="19" a="1"/>
  <c r="V71" i="19" s="1"/>
  <c r="W71" i="19" s="1"/>
  <c r="E98" i="23" s="1"/>
  <c r="V218" i="19" a="1"/>
  <c r="V218" i="19" s="1"/>
  <c r="W218" i="19" s="1"/>
  <c r="E245" i="23" s="1"/>
  <c r="V184" i="19" a="1"/>
  <c r="V184" i="19" s="1"/>
  <c r="W184" i="19" s="1"/>
  <c r="E211" i="23" s="1"/>
  <c r="V188" i="19" a="1"/>
  <c r="V188" i="19" s="1"/>
  <c r="W188" i="19" s="1"/>
  <c r="E215" i="23" s="1"/>
  <c r="V242" i="19" a="1"/>
  <c r="V242" i="19" s="1"/>
  <c r="W242" i="19" s="1"/>
  <c r="E269" i="23" s="1"/>
  <c r="V189" i="19" a="1"/>
  <c r="V189" i="19" s="1"/>
  <c r="W189" i="19" s="1"/>
  <c r="E216" i="23" s="1"/>
  <c r="V282" i="19" a="1"/>
  <c r="V282" i="19" s="1"/>
  <c r="W282" i="19" s="1"/>
  <c r="E309" i="23" s="1"/>
  <c r="V169" i="19" a="1"/>
  <c r="V169" i="19" s="1"/>
  <c r="W169" i="19" s="1"/>
  <c r="E196" i="23" s="1"/>
  <c r="V223" i="19" a="1"/>
  <c r="V223" i="19" s="1"/>
  <c r="W223" i="19" s="1"/>
  <c r="E250" i="23" s="1"/>
  <c r="V139" i="19" a="1"/>
  <c r="V139" i="19" s="1"/>
  <c r="W139" i="19" s="1"/>
  <c r="E166" i="23" s="1"/>
  <c r="V128" i="19" a="1"/>
  <c r="V128" i="19" s="1"/>
  <c r="W128" i="19" s="1"/>
  <c r="E155" i="23" s="1"/>
  <c r="V246" i="19" a="1"/>
  <c r="V246" i="19" s="1"/>
  <c r="W246" i="19" s="1"/>
  <c r="E273" i="23" s="1"/>
  <c r="V250" i="19" a="1"/>
  <c r="V250" i="19" s="1"/>
  <c r="W250" i="19" s="1"/>
  <c r="E277" i="23" s="1"/>
  <c r="V330" i="19" a="1"/>
  <c r="V330" i="19" s="1"/>
  <c r="W330" i="19" s="1"/>
  <c r="E357" i="23" s="1"/>
  <c r="V295" i="19" a="1"/>
  <c r="V295" i="19" s="1"/>
  <c r="W295" i="19" s="1"/>
  <c r="E322" i="23" s="1"/>
  <c r="V312" i="19" a="1"/>
  <c r="V312" i="19" s="1"/>
  <c r="W312" i="19" s="1"/>
  <c r="E339" i="23" s="1"/>
  <c r="V410" i="19" a="1"/>
  <c r="V410" i="19" s="1"/>
  <c r="W410" i="19" s="1"/>
  <c r="E437" i="23" s="1"/>
  <c r="V307" i="19" a="1"/>
  <c r="V307" i="19" s="1"/>
  <c r="W307" i="19" s="1"/>
  <c r="E334" i="23" s="1"/>
  <c r="V341" i="19" a="1"/>
  <c r="V341" i="19" s="1"/>
  <c r="W341" i="19" s="1"/>
  <c r="E368" i="23" s="1"/>
  <c r="V421" i="19" a="1"/>
  <c r="V421" i="19" s="1"/>
  <c r="W421" i="19" s="1"/>
  <c r="E448" i="23" s="1"/>
  <c r="V331" i="19" a="1"/>
  <c r="V331" i="19" s="1"/>
  <c r="W331" i="19" s="1"/>
  <c r="E358" i="23" s="1"/>
  <c r="V309" i="19" a="1"/>
  <c r="V309" i="19" s="1"/>
  <c r="W309" i="19" s="1"/>
  <c r="E336" i="23" s="1"/>
  <c r="V354" i="19" a="1"/>
  <c r="V354" i="19" s="1"/>
  <c r="W354" i="19" s="1"/>
  <c r="E381" i="23" s="1"/>
  <c r="V320" i="19" a="1"/>
  <c r="V320" i="19" s="1"/>
  <c r="W320" i="19" s="1"/>
  <c r="E347" i="23" s="1"/>
  <c r="V337" i="19" a="1"/>
  <c r="V337" i="19" s="1"/>
  <c r="W337" i="19" s="1"/>
  <c r="E364" i="23" s="1"/>
  <c r="V389" i="19" a="1"/>
  <c r="V389" i="19" s="1"/>
  <c r="W389" i="19" s="1"/>
  <c r="E416" i="23" s="1"/>
  <c r="V424" i="19" a="1"/>
  <c r="V424" i="19" s="1"/>
  <c r="W424" i="19" s="1"/>
  <c r="E451" i="23" s="1"/>
  <c r="V456" i="19" a="1"/>
  <c r="V456" i="19" s="1"/>
  <c r="W456" i="19" s="1"/>
  <c r="E483" i="23" s="1"/>
  <c r="V498" i="19" a="1"/>
  <c r="V498" i="19" s="1"/>
  <c r="W498" i="19" s="1"/>
  <c r="E525" i="23" s="1"/>
  <c r="V547" i="19" a="1"/>
  <c r="V547" i="19" s="1"/>
  <c r="W547" i="19" s="1"/>
  <c r="E574" i="23" s="1"/>
  <c r="V477" i="19" a="1"/>
  <c r="V477" i="19" s="1"/>
  <c r="W477" i="19" s="1"/>
  <c r="E504" i="23" s="1"/>
  <c r="V481" i="19" a="1"/>
  <c r="V481" i="19" s="1"/>
  <c r="W481" i="19" s="1"/>
  <c r="E508" i="23" s="1"/>
  <c r="V507" i="19" a="1"/>
  <c r="V507" i="19" s="1"/>
  <c r="W507" i="19" s="1"/>
  <c r="E534" i="23" s="1"/>
  <c r="V565" i="19" a="1"/>
  <c r="V565" i="19" s="1"/>
  <c r="W565" i="19" s="1"/>
  <c r="E592" i="23" s="1"/>
  <c r="V594" i="19" a="1"/>
  <c r="V594" i="19" s="1"/>
  <c r="W594" i="19" s="1"/>
  <c r="E621" i="23" s="1"/>
  <c r="V472" i="19" a="1"/>
  <c r="V472" i="19" s="1"/>
  <c r="W472" i="19" s="1"/>
  <c r="E499" i="23" s="1"/>
  <c r="V541" i="19" a="1"/>
  <c r="V541" i="19" s="1"/>
  <c r="W541" i="19" s="1"/>
  <c r="E568" i="23" s="1"/>
  <c r="V550" i="19" a="1"/>
  <c r="V550" i="19" s="1"/>
  <c r="W550" i="19" s="1"/>
  <c r="E577" i="23" s="1"/>
  <c r="V517" i="19" a="1"/>
  <c r="V517" i="19" s="1"/>
  <c r="W517" i="19" s="1"/>
  <c r="E544" i="23" s="1"/>
  <c r="V502" i="19" a="1"/>
  <c r="V502" i="19" s="1"/>
  <c r="W502" i="19" s="1"/>
  <c r="E529" i="23" s="1"/>
  <c r="V485" i="19" a="1"/>
  <c r="V485" i="19" s="1"/>
  <c r="W485" i="19" s="1"/>
  <c r="E512" i="23" s="1"/>
  <c r="V488" i="19" a="1"/>
  <c r="V488" i="19" s="1"/>
  <c r="W488" i="19" s="1"/>
  <c r="E515" i="23" s="1"/>
  <c r="V492" i="19" a="1"/>
  <c r="V492" i="19" s="1"/>
  <c r="W492" i="19" s="1"/>
  <c r="E519" i="23" s="1"/>
  <c r="V560" i="19" a="1"/>
  <c r="V560" i="19" s="1"/>
  <c r="W560" i="19" s="1"/>
  <c r="E587" i="23" s="1"/>
  <c r="V45" i="19" a="1"/>
  <c r="V45" i="19" s="1"/>
  <c r="W45" i="19" s="1"/>
  <c r="E72" i="23" s="1"/>
  <c r="V116" i="19" a="1"/>
  <c r="V116" i="19" s="1"/>
  <c r="W116" i="19" s="1"/>
  <c r="E143" i="23" s="1"/>
  <c r="V258" i="19" a="1"/>
  <c r="V258" i="19" s="1"/>
  <c r="W258" i="19" s="1"/>
  <c r="E285" i="23" s="1"/>
  <c r="V369" i="19" a="1"/>
  <c r="V369" i="19" s="1"/>
  <c r="W369" i="19" s="1"/>
  <c r="E396" i="23" s="1"/>
  <c r="V427" i="19" a="1"/>
  <c r="V427" i="19" s="1"/>
  <c r="W427" i="19" s="1"/>
  <c r="E454" i="23" s="1"/>
  <c r="V497" i="19" a="1"/>
  <c r="V497" i="19" s="1"/>
  <c r="W497" i="19" s="1"/>
  <c r="E524" i="23" s="1"/>
  <c r="V147" i="19" a="1"/>
  <c r="V147" i="19" s="1"/>
  <c r="W147" i="19" s="1"/>
  <c r="E174" i="23" s="1"/>
  <c r="V125" i="19" a="1"/>
  <c r="V125" i="19" s="1"/>
  <c r="W125" i="19" s="1"/>
  <c r="E152" i="23" s="1"/>
  <c r="V269" i="19" a="1"/>
  <c r="V269" i="19" s="1"/>
  <c r="W269" i="19" s="1"/>
  <c r="E296" i="23" s="1"/>
  <c r="V374" i="19" a="1"/>
  <c r="V374" i="19" s="1"/>
  <c r="W374" i="19" s="1"/>
  <c r="E401" i="23" s="1"/>
  <c r="V429" i="19" a="1"/>
  <c r="V429" i="19" s="1"/>
  <c r="W429" i="19" s="1"/>
  <c r="E456" i="23" s="1"/>
  <c r="V520" i="19" a="1"/>
  <c r="V520" i="19" s="1"/>
  <c r="W520" i="19" s="1"/>
  <c r="E547" i="23" s="1"/>
  <c r="V513" i="19" a="1"/>
  <c r="V513" i="19" s="1"/>
  <c r="W513" i="19" s="1"/>
  <c r="E540" i="23" s="1"/>
  <c r="V554" i="19" a="1"/>
  <c r="V554" i="19" s="1"/>
  <c r="W554" i="19" s="1"/>
  <c r="E581" i="23" s="1"/>
  <c r="V486" i="19" a="1"/>
  <c r="V486" i="19" s="1"/>
  <c r="W486" i="19" s="1"/>
  <c r="E513" i="23" s="1"/>
  <c r="V518" i="19" a="1"/>
  <c r="V518" i="19" s="1"/>
  <c r="W518" i="19" s="1"/>
  <c r="E545" i="23" s="1"/>
  <c r="V489" i="19" a="1"/>
  <c r="V489" i="19" s="1"/>
  <c r="W489" i="19" s="1"/>
  <c r="E516" i="23" s="1"/>
  <c r="V493" i="19" a="1"/>
  <c r="V493" i="19" s="1"/>
  <c r="W493" i="19" s="1"/>
  <c r="E520" i="23" s="1"/>
  <c r="V23" i="19" a="1"/>
  <c r="V23" i="19" s="1"/>
  <c r="W23" i="19" s="1"/>
  <c r="E50" i="23" s="1"/>
  <c r="V8" i="19" a="1"/>
  <c r="V8" i="19" s="1"/>
  <c r="W8" i="19" s="1"/>
  <c r="V40" i="19" a="1"/>
  <c r="V40" i="19" s="1"/>
  <c r="W40" i="19" s="1"/>
  <c r="E67" i="23" s="1"/>
  <c r="V112" i="19" a="1"/>
  <c r="V112" i="19" s="1"/>
  <c r="W112" i="19" s="1"/>
  <c r="E139" i="23" s="1"/>
  <c r="V180" i="19" a="1"/>
  <c r="V180" i="19" s="1"/>
  <c r="W180" i="19" s="1"/>
  <c r="E207" i="23" s="1"/>
  <c r="V43" i="19" a="1"/>
  <c r="V43" i="19" s="1"/>
  <c r="W43" i="19" s="1"/>
  <c r="E70" i="23" s="1"/>
  <c r="V70" i="19" a="1"/>
  <c r="V70" i="19" s="1"/>
  <c r="W70" i="19" s="1"/>
  <c r="E97" i="23" s="1"/>
  <c r="V254" i="19" a="1"/>
  <c r="V254" i="19" s="1"/>
  <c r="W254" i="19" s="1"/>
  <c r="E281" i="23" s="1"/>
  <c r="V425" i="19" a="1"/>
  <c r="V425" i="19" s="1"/>
  <c r="W425" i="19" s="1"/>
  <c r="E452" i="23" s="1"/>
  <c r="V357" i="19" a="1"/>
  <c r="V357" i="19" s="1"/>
  <c r="W357" i="19" s="1"/>
  <c r="E384" i="23" s="1"/>
  <c r="V379" i="19" a="1"/>
  <c r="V379" i="19" s="1"/>
  <c r="W379" i="19" s="1"/>
  <c r="E406" i="23" s="1"/>
  <c r="V202" i="19" a="1"/>
  <c r="V202" i="19" s="1"/>
  <c r="W202" i="19" s="1"/>
  <c r="E229" i="23" s="1"/>
  <c r="V413" i="19" a="1"/>
  <c r="V413" i="19" s="1"/>
  <c r="W413" i="19" s="1"/>
  <c r="E440" i="23" s="1"/>
  <c r="V286" i="19" a="1"/>
  <c r="V286" i="19" s="1"/>
  <c r="W286" i="19" s="1"/>
  <c r="E313" i="23" s="1"/>
  <c r="V111" i="19" a="1"/>
  <c r="V111" i="19" s="1"/>
  <c r="W111" i="19" s="1"/>
  <c r="E138" i="23" s="1"/>
  <c r="V596" i="19" a="1"/>
  <c r="V596" i="19" s="1"/>
  <c r="W596" i="19" s="1"/>
  <c r="E623" i="23" s="1"/>
  <c r="V230" i="19" a="1"/>
  <c r="V230" i="19" s="1"/>
  <c r="W230" i="19" s="1"/>
  <c r="E257" i="23" s="1"/>
  <c r="V280" i="19" a="1"/>
  <c r="V280" i="19" s="1"/>
  <c r="W280" i="19" s="1"/>
  <c r="E307" i="23" s="1"/>
  <c r="V32" i="19" a="1"/>
  <c r="V32" i="19" s="1"/>
  <c r="W32" i="19" s="1"/>
  <c r="E59" i="23" s="1"/>
  <c r="V161" i="19" a="1"/>
  <c r="V161" i="19" s="1"/>
  <c r="W161" i="19" s="1"/>
  <c r="E188" i="23" s="1"/>
  <c r="V6" i="19" a="1"/>
  <c r="V6" i="19" s="1"/>
  <c r="W6" i="19" s="1"/>
  <c r="E33" i="23" s="1"/>
  <c r="V68" i="19" a="1"/>
  <c r="V68" i="19" s="1"/>
  <c r="W68" i="19" s="1"/>
  <c r="E95" i="23" s="1"/>
  <c r="V352" i="19" a="1"/>
  <c r="V352" i="19" s="1"/>
  <c r="W352" i="19" s="1"/>
  <c r="E379" i="23" s="1"/>
  <c r="V13" i="19" a="1"/>
  <c r="V13" i="19" s="1"/>
  <c r="W13" i="19" s="1"/>
  <c r="E40" i="23" s="1"/>
  <c r="V177" i="19" a="1"/>
  <c r="V177" i="19" s="1"/>
  <c r="W177" i="19" s="1"/>
  <c r="E204" i="23" s="1"/>
  <c r="V196" i="19" a="1"/>
  <c r="V196" i="19" s="1"/>
  <c r="W196" i="19" s="1"/>
  <c r="E223" i="23" s="1"/>
  <c r="V190" i="19" a="1"/>
  <c r="V190" i="19" s="1"/>
  <c r="W190" i="19" s="1"/>
  <c r="E217" i="23" s="1"/>
  <c r="V133" i="19" a="1"/>
  <c r="V133" i="19" s="1"/>
  <c r="W133" i="19" s="1"/>
  <c r="E160" i="23" s="1"/>
  <c r="V141" i="19" a="1"/>
  <c r="V141" i="19" s="1"/>
  <c r="W141" i="19" s="1"/>
  <c r="E168" i="23" s="1"/>
  <c r="V144" i="19" a="1"/>
  <c r="V144" i="19" s="1"/>
  <c r="W144" i="19" s="1"/>
  <c r="E171" i="23" s="1"/>
  <c r="V249" i="19" a="1"/>
  <c r="V249" i="19" s="1"/>
  <c r="W249" i="19" s="1"/>
  <c r="E276" i="23" s="1"/>
  <c r="V119" i="19" a="1"/>
  <c r="V119" i="19" s="1"/>
  <c r="W119" i="19" s="1"/>
  <c r="E146" i="23" s="1"/>
  <c r="V234" i="19" a="1"/>
  <c r="V234" i="19" s="1"/>
  <c r="W234" i="19" s="1"/>
  <c r="E261" i="23" s="1"/>
  <c r="V311" i="19" a="1"/>
  <c r="V311" i="19" s="1"/>
  <c r="W311" i="19" s="1"/>
  <c r="E338" i="23" s="1"/>
  <c r="V335" i="19" a="1"/>
  <c r="V335" i="19" s="1"/>
  <c r="W335" i="19" s="1"/>
  <c r="E362" i="23" s="1"/>
  <c r="V321" i="19" a="1"/>
  <c r="V321" i="19" s="1"/>
  <c r="W321" i="19" s="1"/>
  <c r="E348" i="23" s="1"/>
  <c r="V313" i="19" a="1"/>
  <c r="V313" i="19" s="1"/>
  <c r="W313" i="19" s="1"/>
  <c r="E340" i="23" s="1"/>
  <c r="V336" i="19" a="1"/>
  <c r="V336" i="19" s="1"/>
  <c r="W336" i="19" s="1"/>
  <c r="E363" i="23" s="1"/>
  <c r="V458" i="19" a="1"/>
  <c r="V458" i="19" s="1"/>
  <c r="W458" i="19" s="1"/>
  <c r="E485" i="23" s="1"/>
  <c r="V333" i="19" a="1"/>
  <c r="V333" i="19" s="1"/>
  <c r="W333" i="19" s="1"/>
  <c r="E360" i="23" s="1"/>
  <c r="V441" i="19" a="1"/>
  <c r="V441" i="19" s="1"/>
  <c r="W441" i="19" s="1"/>
  <c r="E468" i="23" s="1"/>
  <c r="V324" i="19" a="1"/>
  <c r="V324" i="19" s="1"/>
  <c r="W324" i="19" s="1"/>
  <c r="E351" i="23" s="1"/>
  <c r="V392" i="19" a="1"/>
  <c r="V392" i="19" s="1"/>
  <c r="W392" i="19" s="1"/>
  <c r="E419" i="23" s="1"/>
  <c r="V464" i="19" a="1"/>
  <c r="V464" i="19" s="1"/>
  <c r="W464" i="19" s="1"/>
  <c r="E491" i="23" s="1"/>
  <c r="V548" i="19" a="1"/>
  <c r="V548" i="19" s="1"/>
  <c r="W548" i="19" s="1"/>
  <c r="E575" i="23" s="1"/>
  <c r="V474" i="19" a="1"/>
  <c r="V474" i="19" s="1"/>
  <c r="W474" i="19" s="1"/>
  <c r="E501" i="23" s="1"/>
  <c r="V478" i="19" a="1"/>
  <c r="V478" i="19" s="1"/>
  <c r="W478" i="19" s="1"/>
  <c r="E505" i="23" s="1"/>
  <c r="V482" i="19" a="1"/>
  <c r="V482" i="19" s="1"/>
  <c r="W482" i="19" s="1"/>
  <c r="E509" i="23" s="1"/>
  <c r="V568" i="19" a="1"/>
  <c r="V568" i="19" s="1"/>
  <c r="W568" i="19" s="1"/>
  <c r="E595" i="23" s="1"/>
  <c r="V447" i="19" a="1"/>
  <c r="V447" i="19" s="1"/>
  <c r="W447" i="19" s="1"/>
  <c r="E474" i="23" s="1"/>
  <c r="V508" i="19" a="1"/>
  <c r="V508" i="19" s="1"/>
  <c r="W508" i="19" s="1"/>
  <c r="E535" i="23" s="1"/>
  <c r="V499" i="19" a="1"/>
  <c r="V499" i="19" s="1"/>
  <c r="W499" i="19" s="1"/>
  <c r="E526" i="23" s="1"/>
  <c r="V542" i="19" a="1"/>
  <c r="V542" i="19" s="1"/>
  <c r="W542" i="19" s="1"/>
  <c r="E569" i="23" s="1"/>
  <c r="V449" i="19" a="1"/>
  <c r="V449" i="19" s="1"/>
  <c r="W449" i="19" s="1"/>
  <c r="E476" i="23" s="1"/>
  <c r="V504" i="19" a="1"/>
  <c r="V504" i="19" s="1"/>
  <c r="W504" i="19" s="1"/>
  <c r="E531" i="23" s="1"/>
  <c r="V380" i="19" a="1"/>
  <c r="V380" i="19" s="1"/>
  <c r="W380" i="19" s="1"/>
  <c r="E407" i="23" s="1"/>
  <c r="V84" i="19" a="1"/>
  <c r="V84" i="19" s="1"/>
  <c r="W84" i="19" s="1"/>
  <c r="E111" i="23" s="1"/>
  <c r="V88" i="19" a="1"/>
  <c r="V88" i="19" s="1"/>
  <c r="W88" i="19" s="1"/>
  <c r="E115" i="23" s="1"/>
  <c r="V213" i="19" a="1"/>
  <c r="V213" i="19" s="1"/>
  <c r="W213" i="19" s="1"/>
  <c r="E240" i="23" s="1"/>
  <c r="V27" i="19" a="1"/>
  <c r="V27" i="19" s="1"/>
  <c r="W27" i="19" s="1"/>
  <c r="E54" i="23" s="1"/>
  <c r="V240" i="19" a="1"/>
  <c r="V240" i="19" s="1"/>
  <c r="W240" i="19" s="1"/>
  <c r="E267" i="23" s="1"/>
  <c r="V22" i="19" a="1"/>
  <c r="V22" i="19" s="1"/>
  <c r="W22" i="19" s="1"/>
  <c r="E49" i="23" s="1"/>
  <c r="V25" i="19" a="1"/>
  <c r="V25" i="19" s="1"/>
  <c r="W25" i="19" s="1"/>
  <c r="E52" i="23" s="1"/>
  <c r="V123" i="19" a="1"/>
  <c r="V123" i="19" s="1"/>
  <c r="W123" i="19" s="1"/>
  <c r="E150" i="23" s="1"/>
  <c r="V219" i="19" a="1"/>
  <c r="V219" i="19" s="1"/>
  <c r="W219" i="19" s="1"/>
  <c r="E246" i="23" s="1"/>
  <c r="V12" i="19" a="1"/>
  <c r="V12" i="19" s="1"/>
  <c r="W12" i="19" s="1"/>
  <c r="E39" i="23" s="1"/>
  <c r="V80" i="19" a="1"/>
  <c r="V80" i="19" s="1"/>
  <c r="W80" i="19" s="1"/>
  <c r="E107" i="23" s="1"/>
  <c r="V163" i="19" a="1"/>
  <c r="V163" i="19" s="1"/>
  <c r="W163" i="19" s="1"/>
  <c r="E190" i="23" s="1"/>
  <c r="V39" i="19" a="1"/>
  <c r="V39" i="19" s="1"/>
  <c r="W39" i="19" s="1"/>
  <c r="E66" i="23" s="1"/>
  <c r="V214" i="19" a="1"/>
  <c r="V214" i="19" s="1"/>
  <c r="W214" i="19" s="1"/>
  <c r="E241" i="23" s="1"/>
  <c r="V85" i="19" a="1"/>
  <c r="V85" i="19" s="1"/>
  <c r="W85" i="19" s="1"/>
  <c r="E112" i="23" s="1"/>
  <c r="V89" i="19" a="1"/>
  <c r="V89" i="19" s="1"/>
  <c r="W89" i="19" s="1"/>
  <c r="E116" i="23" s="1"/>
  <c r="V7" i="19" a="1"/>
  <c r="V7" i="19" s="1"/>
  <c r="W7" i="19" s="1"/>
  <c r="E34" i="23" s="1"/>
  <c r="V156" i="19" a="1"/>
  <c r="V156" i="19" s="1"/>
  <c r="W156" i="19" s="1"/>
  <c r="E183" i="23" s="1"/>
  <c r="V35" i="19" a="1"/>
  <c r="V35" i="19" s="1"/>
  <c r="W35" i="19" s="1"/>
  <c r="E62" i="23" s="1"/>
  <c r="V30" i="19" a="1"/>
  <c r="V30" i="19" s="1"/>
  <c r="W30" i="19" s="1"/>
  <c r="E57" i="23" s="1"/>
  <c r="V33" i="19" a="1"/>
  <c r="V33" i="19" s="1"/>
  <c r="W33" i="19" s="1"/>
  <c r="E60" i="23" s="1"/>
  <c r="V82" i="19" a="1"/>
  <c r="V82" i="19" s="1"/>
  <c r="W82" i="19" s="1"/>
  <c r="E109" i="23" s="1"/>
  <c r="V171" i="19" a="1"/>
  <c r="V171" i="19" s="1"/>
  <c r="W171" i="19" s="1"/>
  <c r="E198" i="23" s="1"/>
  <c r="V496" i="19" a="1"/>
  <c r="V496" i="19" s="1"/>
  <c r="W496" i="19" s="1"/>
  <c r="E523" i="23" s="1"/>
  <c r="V114" i="19" a="1"/>
  <c r="V114" i="19" s="1"/>
  <c r="W114" i="19" s="1"/>
  <c r="E141" i="23" s="1"/>
  <c r="V366" i="19" a="1"/>
  <c r="V366" i="19" s="1"/>
  <c r="W366" i="19" s="1"/>
  <c r="E393" i="23" s="1"/>
  <c r="V483" i="19" a="1"/>
  <c r="V483" i="19" s="1"/>
  <c r="W483" i="19" s="1"/>
  <c r="E510" i="23" s="1"/>
  <c r="V515" i="19" a="1"/>
  <c r="V515" i="19" s="1"/>
  <c r="W515" i="19" s="1"/>
  <c r="E542" i="23" s="1"/>
  <c r="V15" i="19" a="1"/>
  <c r="V15" i="19" s="1"/>
  <c r="W15" i="19" s="1"/>
  <c r="E42" i="23" s="1"/>
  <c r="V77" i="19" a="1"/>
  <c r="V77" i="19" s="1"/>
  <c r="W77" i="19" s="1"/>
  <c r="E104" i="23" s="1"/>
  <c r="V124" i="19" a="1"/>
  <c r="V124" i="19" s="1"/>
  <c r="W124" i="19" s="1"/>
  <c r="E151" i="23" s="1"/>
  <c r="V75" i="19" a="1"/>
  <c r="V75" i="19" s="1"/>
  <c r="W75" i="19" s="1"/>
  <c r="E102" i="23" s="1"/>
  <c r="V86" i="19" a="1"/>
  <c r="V86" i="19" s="1"/>
  <c r="W86" i="19" s="1"/>
  <c r="E113" i="23" s="1"/>
  <c r="V90" i="19" a="1"/>
  <c r="V90" i="19" s="1"/>
  <c r="W90" i="19" s="1"/>
  <c r="E117" i="23" s="1"/>
  <c r="V69" i="19" a="1"/>
  <c r="V69" i="19" s="1"/>
  <c r="W69" i="19" s="1"/>
  <c r="E96" i="23" s="1"/>
  <c r="V11" i="19" a="1"/>
  <c r="V11" i="19" s="1"/>
  <c r="W11" i="19" s="1"/>
  <c r="E38" i="23" s="1"/>
  <c r="V38" i="19" a="1"/>
  <c r="V38" i="19" s="1"/>
  <c r="W38" i="19" s="1"/>
  <c r="E65" i="23" s="1"/>
  <c r="V9" i="19" a="1"/>
  <c r="V9" i="19" s="1"/>
  <c r="W9" i="19" s="1"/>
  <c r="V41" i="19" a="1"/>
  <c r="V41" i="19" s="1"/>
  <c r="W41" i="19" s="1"/>
  <c r="E68" i="23" s="1"/>
  <c r="V203" i="19" a="1"/>
  <c r="V203" i="19" s="1"/>
  <c r="W203" i="19" s="1"/>
  <c r="E230" i="23" s="1"/>
  <c r="V28" i="19" a="1"/>
  <c r="V28" i="19" s="1"/>
  <c r="W28" i="19" s="1"/>
  <c r="E55" i="23" s="1"/>
  <c r="V306" i="19" a="1"/>
  <c r="V306" i="19" s="1"/>
  <c r="W306" i="19" s="1"/>
  <c r="E333" i="23" s="1"/>
  <c r="V510" i="19" a="1"/>
  <c r="V510" i="19" s="1"/>
  <c r="W510" i="19" s="1"/>
  <c r="E537" i="23" s="1"/>
  <c r="V49" i="19" a="1"/>
  <c r="V49" i="19" s="1"/>
  <c r="W49" i="19" s="1"/>
  <c r="E76" i="23" s="1"/>
  <c r="V271" i="19" a="1"/>
  <c r="V271" i="19" s="1"/>
  <c r="W271" i="19" s="1"/>
  <c r="E298" i="23" s="1"/>
  <c r="V417" i="19" a="1"/>
  <c r="V417" i="19" s="1"/>
  <c r="W417" i="19" s="1"/>
  <c r="E444" i="23" s="1"/>
  <c r="V419" i="19" a="1"/>
  <c r="V419" i="19" s="1"/>
  <c r="W419" i="19" s="1"/>
  <c r="E446" i="23" s="1"/>
  <c r="V284" i="19" a="1"/>
  <c r="V284" i="19" s="1"/>
  <c r="W284" i="19" s="1"/>
  <c r="E311" i="23" s="1"/>
  <c r="V533" i="19" a="1"/>
  <c r="V533" i="19" s="1"/>
  <c r="W533" i="19" s="1"/>
  <c r="E560" i="23" s="1"/>
  <c r="V78" i="19" a="1"/>
  <c r="V78" i="19" s="1"/>
  <c r="W78" i="19" s="1"/>
  <c r="E105" i="23" s="1"/>
  <c r="V76" i="19" a="1"/>
  <c r="V76" i="19" s="1"/>
  <c r="W76" i="19" s="1"/>
  <c r="E103" i="23" s="1"/>
  <c r="V87" i="19" a="1"/>
  <c r="V87" i="19" s="1"/>
  <c r="W87" i="19" s="1"/>
  <c r="E114" i="23" s="1"/>
  <c r="V91" i="19" a="1"/>
  <c r="V91" i="19" s="1"/>
  <c r="W91" i="19" s="1"/>
  <c r="E118" i="23" s="1"/>
  <c r="V130" i="19" a="1"/>
  <c r="V130" i="19" s="1"/>
  <c r="W130" i="19" s="1"/>
  <c r="E157" i="23" s="1"/>
  <c r="V48" i="19" a="1"/>
  <c r="V48" i="19" s="1"/>
  <c r="W48" i="19" s="1"/>
  <c r="E75" i="23" s="1"/>
  <c r="V205" i="19" a="1"/>
  <c r="V205" i="19" s="1"/>
  <c r="W205" i="19" s="1"/>
  <c r="E232" i="23" s="1"/>
  <c r="V19" i="19" a="1"/>
  <c r="V19" i="19" s="1"/>
  <c r="W19" i="19" s="1"/>
  <c r="E46" i="23" s="1"/>
  <c r="V51" i="19" a="1"/>
  <c r="V51" i="19" s="1"/>
  <c r="W51" i="19" s="1"/>
  <c r="E78" i="23" s="1"/>
  <c r="V237" i="19" a="1"/>
  <c r="V237" i="19" s="1"/>
  <c r="W237" i="19" s="1"/>
  <c r="E264" i="23" s="1"/>
  <c r="V14" i="19" a="1"/>
  <c r="V14" i="19" s="1"/>
  <c r="W14" i="19" s="1"/>
  <c r="E41" i="23" s="1"/>
  <c r="V122" i="19" a="1"/>
  <c r="V122" i="19" s="1"/>
  <c r="W122" i="19" s="1"/>
  <c r="E149" i="23" s="1"/>
  <c r="V17" i="19" a="1"/>
  <c r="V17" i="19" s="1"/>
  <c r="W17" i="19" s="1"/>
  <c r="E44" i="23" s="1"/>
  <c r="V50" i="19" a="1"/>
  <c r="V50" i="19" s="1"/>
  <c r="W50" i="19" s="1"/>
  <c r="E77" i="23" s="1"/>
  <c r="V211" i="19" a="1"/>
  <c r="V211" i="19" s="1"/>
  <c r="W211" i="19" s="1"/>
  <c r="E238" i="23" s="1"/>
  <c r="V34" i="19" a="1"/>
  <c r="V34" i="19" s="1"/>
  <c r="W34" i="19" s="1"/>
  <c r="E61" i="23" s="1"/>
  <c r="V36" i="19" a="1"/>
  <c r="V36" i="19" s="1"/>
  <c r="W36" i="19" s="1"/>
  <c r="E63" i="23" s="1"/>
  <c r="V79" i="19" a="1"/>
  <c r="V79" i="19" s="1"/>
  <c r="W79" i="19" s="1"/>
  <c r="E106" i="23" s="1"/>
  <c r="V175" i="19" a="1"/>
  <c r="V175" i="19" s="1"/>
  <c r="W175" i="19" s="1"/>
  <c r="E202" i="23" s="1"/>
  <c r="V192" i="19" a="1"/>
  <c r="V192" i="19" s="1"/>
  <c r="W192" i="19" s="1"/>
  <c r="E219" i="23" s="1"/>
  <c r="V195" i="19" a="1"/>
  <c r="V195" i="19" s="1"/>
  <c r="W195" i="19" s="1"/>
  <c r="E222" i="23" s="1"/>
  <c r="V395" i="19" a="1"/>
  <c r="V395" i="19" s="1"/>
  <c r="W395" i="19" s="1"/>
  <c r="E422" i="23" s="1"/>
  <c r="V399" i="19" a="1"/>
  <c r="V399" i="19" s="1"/>
  <c r="W399" i="19" s="1"/>
  <c r="E426" i="23" s="1"/>
  <c r="V403" i="19" a="1"/>
  <c r="V403" i="19" s="1"/>
  <c r="W403" i="19" s="1"/>
  <c r="E430" i="23" s="1"/>
  <c r="V407" i="19" a="1"/>
  <c r="V407" i="19" s="1"/>
  <c r="W407" i="19" s="1"/>
  <c r="E434" i="23" s="1"/>
  <c r="V322" i="19" a="1"/>
  <c r="V322" i="19" s="1"/>
  <c r="W322" i="19" s="1"/>
  <c r="E349" i="23" s="1"/>
  <c r="V325" i="19" a="1"/>
  <c r="V325" i="19" s="1"/>
  <c r="W325" i="19" s="1"/>
  <c r="E352" i="23" s="1"/>
  <c r="V524" i="19" a="1"/>
  <c r="V524" i="19" s="1"/>
  <c r="W524" i="19" s="1"/>
  <c r="E551" i="23" s="1"/>
  <c r="V526" i="19" a="1"/>
  <c r="V526" i="19" s="1"/>
  <c r="W526" i="19" s="1"/>
  <c r="E553" i="23" s="1"/>
  <c r="V530" i="19" a="1"/>
  <c r="V530" i="19" s="1"/>
  <c r="W530" i="19" s="1"/>
  <c r="E557" i="23" s="1"/>
  <c r="V556" i="19" a="1"/>
  <c r="V556" i="19" s="1"/>
  <c r="W556" i="19" s="1"/>
  <c r="E583" i="23" s="1"/>
  <c r="V598" i="19" a="1"/>
  <c r="V598" i="19" s="1"/>
  <c r="W598" i="19" s="1"/>
  <c r="E625" i="23" s="1"/>
  <c r="V602" i="19" a="1"/>
  <c r="V602" i="19" s="1"/>
  <c r="W602" i="19" s="1"/>
  <c r="E629" i="23" s="1"/>
  <c r="V534" i="19" a="1"/>
  <c r="V534" i="19" s="1"/>
  <c r="W534" i="19" s="1"/>
  <c r="E561" i="23" s="1"/>
  <c r="V437" i="19" a="1"/>
  <c r="V437" i="19" s="1"/>
  <c r="W437" i="19" s="1"/>
  <c r="E464" i="23" s="1"/>
  <c r="V99" i="19" a="1"/>
  <c r="V99" i="19" s="1"/>
  <c r="W99" i="19" s="1"/>
  <c r="E126" i="23" s="1"/>
  <c r="V52" i="19" a="1"/>
  <c r="V52" i="19" s="1"/>
  <c r="W52" i="19" s="1"/>
  <c r="E79" i="23" s="1"/>
  <c r="V74" i="19" a="1"/>
  <c r="V74" i="19" s="1"/>
  <c r="W74" i="19" s="1"/>
  <c r="E101" i="23" s="1"/>
  <c r="V100" i="19" a="1"/>
  <c r="V100" i="19" s="1"/>
  <c r="W100" i="19" s="1"/>
  <c r="E127" i="23" s="1"/>
  <c r="V209" i="19" a="1"/>
  <c r="V209" i="19" s="1"/>
  <c r="W209" i="19" s="1"/>
  <c r="E236" i="23" s="1"/>
  <c r="V59" i="19" a="1"/>
  <c r="V59" i="19" s="1"/>
  <c r="W59" i="19" s="1"/>
  <c r="E86" i="23" s="1"/>
  <c r="V193" i="19" a="1"/>
  <c r="V193" i="19" s="1"/>
  <c r="W193" i="19" s="1"/>
  <c r="E220" i="23" s="1"/>
  <c r="V106" i="19" a="1"/>
  <c r="V106" i="19" s="1"/>
  <c r="W106" i="19" s="1"/>
  <c r="E133" i="23" s="1"/>
  <c r="V58" i="19" a="1"/>
  <c r="V58" i="19" s="1"/>
  <c r="W58" i="19" s="1"/>
  <c r="E85" i="23" s="1"/>
  <c r="V215" i="19" a="1"/>
  <c r="V215" i="19" s="1"/>
  <c r="W215" i="19" s="1"/>
  <c r="E242" i="23" s="1"/>
  <c r="V109" i="19" a="1"/>
  <c r="V109" i="19" s="1"/>
  <c r="W109" i="19" s="1"/>
  <c r="E136" i="23" s="1"/>
  <c r="V181" i="19" a="1"/>
  <c r="V181" i="19" s="1"/>
  <c r="W181" i="19" s="1"/>
  <c r="E208" i="23" s="1"/>
  <c r="V225" i="19" a="1"/>
  <c r="V225" i="19" s="1"/>
  <c r="W225" i="19" s="1"/>
  <c r="E252" i="23" s="1"/>
  <c r="V107" i="19" a="1"/>
  <c r="V107" i="19" s="1"/>
  <c r="W107" i="19" s="1"/>
  <c r="E134" i="23" s="1"/>
  <c r="V165" i="19" a="1"/>
  <c r="V165" i="19" s="1"/>
  <c r="W165" i="19" s="1"/>
  <c r="E192" i="23" s="1"/>
  <c r="V220" i="19" a="1"/>
  <c r="V220" i="19" s="1"/>
  <c r="W220" i="19" s="1"/>
  <c r="E247" i="23" s="1"/>
  <c r="V191" i="19" a="1"/>
  <c r="V191" i="19" s="1"/>
  <c r="W191" i="19" s="1"/>
  <c r="E218" i="23" s="1"/>
  <c r="V135" i="19" a="1"/>
  <c r="V135" i="19" s="1"/>
  <c r="W135" i="19" s="1"/>
  <c r="E162" i="23" s="1"/>
  <c r="V143" i="19" a="1"/>
  <c r="V143" i="19" s="1"/>
  <c r="W143" i="19" s="1"/>
  <c r="E170" i="23" s="1"/>
  <c r="V186" i="19" a="1"/>
  <c r="V186" i="19" s="1"/>
  <c r="W186" i="19" s="1"/>
  <c r="E213" i="23" s="1"/>
  <c r="V152" i="19" a="1"/>
  <c r="V152" i="19" s="1"/>
  <c r="W152" i="19" s="1"/>
  <c r="E179" i="23" s="1"/>
  <c r="V260" i="19" a="1"/>
  <c r="V260" i="19" s="1"/>
  <c r="W260" i="19" s="1"/>
  <c r="E287" i="23" s="1"/>
  <c r="V231" i="19" a="1"/>
  <c r="V231" i="19" s="1"/>
  <c r="W231" i="19" s="1"/>
  <c r="E258" i="23" s="1"/>
  <c r="V121" i="19" a="1"/>
  <c r="V121" i="19" s="1"/>
  <c r="W121" i="19" s="1"/>
  <c r="E148" i="23" s="1"/>
  <c r="V317" i="19" a="1"/>
  <c r="V317" i="19" s="1"/>
  <c r="W317" i="19" s="1"/>
  <c r="E344" i="23" s="1"/>
  <c r="V343" i="19" a="1"/>
  <c r="V343" i="19" s="1"/>
  <c r="W343" i="19" s="1"/>
  <c r="E370" i="23" s="1"/>
  <c r="V291" i="19" a="1"/>
  <c r="V291" i="19" s="1"/>
  <c r="W291" i="19" s="1"/>
  <c r="E318" i="23" s="1"/>
  <c r="V329" i="19" a="1"/>
  <c r="V329" i="19" s="1"/>
  <c r="W329" i="19" s="1"/>
  <c r="E356" i="23" s="1"/>
  <c r="V358" i="19" a="1"/>
  <c r="V358" i="19" s="1"/>
  <c r="W358" i="19" s="1"/>
  <c r="E385" i="23" s="1"/>
  <c r="V300" i="19" a="1"/>
  <c r="V300" i="19" s="1"/>
  <c r="W300" i="19" s="1"/>
  <c r="E327" i="23" s="1"/>
  <c r="V318" i="19" a="1"/>
  <c r="V318" i="19" s="1"/>
  <c r="W318" i="19" s="1"/>
  <c r="E345" i="23" s="1"/>
  <c r="V351" i="19" a="1"/>
  <c r="V351" i="19" s="1"/>
  <c r="W351" i="19" s="1"/>
  <c r="E378" i="23" s="1"/>
  <c r="V344" i="19" a="1"/>
  <c r="V344" i="19" s="1"/>
  <c r="W344" i="19" s="1"/>
  <c r="E371" i="23" s="1"/>
  <c r="V362" i="19" a="1"/>
  <c r="V362" i="19" s="1"/>
  <c r="W362" i="19" s="1"/>
  <c r="E389" i="23" s="1"/>
  <c r="V272" i="19" a="1"/>
  <c r="V272" i="19" s="1"/>
  <c r="W272" i="19" s="1"/>
  <c r="E299" i="23" s="1"/>
  <c r="V288" i="19" a="1"/>
  <c r="V288" i="19" s="1"/>
  <c r="W288" i="19" s="1"/>
  <c r="E315" i="23" s="1"/>
  <c r="V365" i="19" a="1"/>
  <c r="V365" i="19" s="1"/>
  <c r="W365" i="19" s="1"/>
  <c r="E392" i="23" s="1"/>
  <c r="V387" i="19" a="1"/>
  <c r="V387" i="19" s="1"/>
  <c r="W387" i="19" s="1"/>
  <c r="E414" i="23" s="1"/>
  <c r="V285" i="19" a="1"/>
  <c r="V285" i="19" s="1"/>
  <c r="W285" i="19" s="1"/>
  <c r="E312" i="23" s="1"/>
  <c r="V342" i="19" a="1"/>
  <c r="V342" i="19" s="1"/>
  <c r="W342" i="19" s="1"/>
  <c r="E369" i="23" s="1"/>
  <c r="V310" i="19" a="1"/>
  <c r="V310" i="19" s="1"/>
  <c r="W310" i="19" s="1"/>
  <c r="E337" i="23" s="1"/>
  <c r="V326" i="19" a="1"/>
  <c r="V326" i="19" s="1"/>
  <c r="W326" i="19" s="1"/>
  <c r="E353" i="23" s="1"/>
  <c r="V294" i="19" a="1"/>
  <c r="V294" i="19" s="1"/>
  <c r="W294" i="19" s="1"/>
  <c r="E321" i="23" s="1"/>
  <c r="V475" i="19" a="1"/>
  <c r="V475" i="19" s="1"/>
  <c r="W475" i="19" s="1"/>
  <c r="E502" i="23" s="1"/>
  <c r="V479" i="19" a="1"/>
  <c r="V479" i="19" s="1"/>
  <c r="W479" i="19" s="1"/>
  <c r="E506" i="23" s="1"/>
  <c r="V495" i="19" a="1"/>
  <c r="V495" i="19" s="1"/>
  <c r="W495" i="19" s="1"/>
  <c r="E522" i="23" s="1"/>
  <c r="V570" i="19" a="1"/>
  <c r="V570" i="19" s="1"/>
  <c r="W570" i="19" s="1"/>
  <c r="E597" i="23" s="1"/>
  <c r="V453" i="19" a="1"/>
  <c r="V453" i="19" s="1"/>
  <c r="W453" i="19" s="1"/>
  <c r="E480" i="23" s="1"/>
  <c r="V503" i="19" a="1"/>
  <c r="V503" i="19" s="1"/>
  <c r="W503" i="19" s="1"/>
  <c r="E530" i="23" s="1"/>
  <c r="V543" i="19" a="1"/>
  <c r="V543" i="19" s="1"/>
  <c r="W543" i="19" s="1"/>
  <c r="E570" i="23" s="1"/>
  <c r="V454" i="19" a="1"/>
  <c r="V454" i="19" s="1"/>
  <c r="W454" i="19" s="1"/>
  <c r="E481" i="23" s="1"/>
  <c r="V509" i="19" a="1"/>
  <c r="V509" i="19" s="1"/>
  <c r="W509" i="19" s="1"/>
  <c r="E536" i="23" s="1"/>
  <c r="V586" i="19" a="1"/>
  <c r="V586" i="19" s="1"/>
  <c r="W586" i="19" s="1"/>
  <c r="E613" i="23" s="1"/>
  <c r="V557" i="19" a="1"/>
  <c r="V557" i="19" s="1"/>
  <c r="W557" i="19" s="1"/>
  <c r="E584" i="23" s="1"/>
  <c r="V588" i="19" a="1"/>
  <c r="V588" i="19" s="1"/>
  <c r="W588" i="19" s="1"/>
  <c r="E615" i="23" s="1"/>
  <c r="V582" i="19" a="1"/>
  <c r="V582" i="19" s="1"/>
  <c r="W582" i="19" s="1"/>
  <c r="E609" i="23" s="1"/>
  <c r="V53" i="19" a="1"/>
  <c r="V53" i="19" s="1"/>
  <c r="W53" i="19" s="1"/>
  <c r="E80" i="23" s="1"/>
  <c r="V16" i="19" a="1"/>
  <c r="V16" i="19" s="1"/>
  <c r="W16" i="19" s="1"/>
  <c r="E43" i="23" s="1"/>
  <c r="V108" i="19" a="1"/>
  <c r="V108" i="19" s="1"/>
  <c r="W108" i="19" s="1"/>
  <c r="E135" i="23" s="1"/>
  <c r="V136" i="19" a="1"/>
  <c r="V136" i="19" s="1"/>
  <c r="W136" i="19" s="1"/>
  <c r="E163" i="23" s="1"/>
  <c r="V197" i="19" a="1"/>
  <c r="V197" i="19" s="1"/>
  <c r="W197" i="19" s="1"/>
  <c r="E224" i="23" s="1"/>
  <c r="V153" i="19" a="1"/>
  <c r="V153" i="19" s="1"/>
  <c r="W153" i="19" s="1"/>
  <c r="E180" i="23" s="1"/>
  <c r="V179" i="19" a="1"/>
  <c r="V179" i="19" s="1"/>
  <c r="W179" i="19" s="1"/>
  <c r="E206" i="23" s="1"/>
  <c r="V221" i="19" a="1"/>
  <c r="V221" i="19" s="1"/>
  <c r="W221" i="19" s="1"/>
  <c r="E248" i="23" s="1"/>
  <c r="V198" i="19" a="1"/>
  <c r="V198" i="19" s="1"/>
  <c r="W198" i="19" s="1"/>
  <c r="E225" i="23" s="1"/>
  <c r="V235" i="19" a="1"/>
  <c r="V235" i="19" s="1"/>
  <c r="W235" i="19" s="1"/>
  <c r="E262" i="23" s="1"/>
  <c r="V244" i="19" a="1"/>
  <c r="V244" i="19" s="1"/>
  <c r="W244" i="19" s="1"/>
  <c r="E271" i="23" s="1"/>
  <c r="V386" i="19" a="1"/>
  <c r="V386" i="19" s="1"/>
  <c r="W386" i="19" s="1"/>
  <c r="E413" i="23" s="1"/>
  <c r="V302" i="19" a="1"/>
  <c r="V302" i="19" s="1"/>
  <c r="W302" i="19" s="1"/>
  <c r="E329" i="23" s="1"/>
  <c r="V252" i="19" a="1"/>
  <c r="V252" i="19" s="1"/>
  <c r="W252" i="19" s="1"/>
  <c r="E279" i="23" s="1"/>
  <c r="V301" i="19" a="1"/>
  <c r="V301" i="19" s="1"/>
  <c r="W301" i="19" s="1"/>
  <c r="E328" i="23" s="1"/>
  <c r="V355" i="19" a="1"/>
  <c r="V355" i="19" s="1"/>
  <c r="W355" i="19" s="1"/>
  <c r="E382" i="23" s="1"/>
  <c r="V388" i="19" a="1"/>
  <c r="V388" i="19" s="1"/>
  <c r="W388" i="19" s="1"/>
  <c r="E415" i="23" s="1"/>
  <c r="V396" i="19" a="1"/>
  <c r="V396" i="19" s="1"/>
  <c r="W396" i="19" s="1"/>
  <c r="E423" i="23" s="1"/>
  <c r="V400" i="19" a="1"/>
  <c r="V400" i="19" s="1"/>
  <c r="W400" i="19" s="1"/>
  <c r="E427" i="23" s="1"/>
  <c r="V404" i="19" a="1"/>
  <c r="V404" i="19" s="1"/>
  <c r="W404" i="19" s="1"/>
  <c r="E431" i="23" s="1"/>
  <c r="V408" i="19" a="1"/>
  <c r="V408" i="19" s="1"/>
  <c r="W408" i="19" s="1"/>
  <c r="E435" i="23" s="1"/>
  <c r="V368" i="19" a="1"/>
  <c r="V368" i="19" s="1"/>
  <c r="W368" i="19" s="1"/>
  <c r="E395" i="23" s="1"/>
  <c r="V305" i="19" a="1"/>
  <c r="V305" i="19" s="1"/>
  <c r="W305" i="19" s="1"/>
  <c r="E332" i="23" s="1"/>
  <c r="V339" i="19" a="1"/>
  <c r="V339" i="19" s="1"/>
  <c r="W339" i="19" s="1"/>
  <c r="E366" i="23" s="1"/>
  <c r="V289" i="19" a="1"/>
  <c r="V289" i="19" s="1"/>
  <c r="W289" i="19" s="1"/>
  <c r="E316" i="23" s="1"/>
  <c r="V248" i="19" a="1"/>
  <c r="V248" i="19" s="1"/>
  <c r="W248" i="19" s="1"/>
  <c r="E275" i="23" s="1"/>
  <c r="V375" i="19" a="1"/>
  <c r="V375" i="19" s="1"/>
  <c r="W375" i="19" s="1"/>
  <c r="E402" i="23" s="1"/>
  <c r="V418" i="19" a="1"/>
  <c r="V418" i="19" s="1"/>
  <c r="W418" i="19" s="1"/>
  <c r="E445" i="23" s="1"/>
  <c r="V328" i="19" a="1"/>
  <c r="V328" i="19" s="1"/>
  <c r="W328" i="19" s="1"/>
  <c r="E355" i="23" s="1"/>
  <c r="V359" i="19" a="1"/>
  <c r="V359" i="19" s="1"/>
  <c r="W359" i="19" s="1"/>
  <c r="E386" i="23" s="1"/>
  <c r="V415" i="19" a="1"/>
  <c r="V415" i="19" s="1"/>
  <c r="W415" i="19" s="1"/>
  <c r="E442" i="23" s="1"/>
  <c r="V416" i="19" a="1"/>
  <c r="V416" i="19" s="1"/>
  <c r="W416" i="19" s="1"/>
  <c r="E443" i="23" s="1"/>
  <c r="V445" i="19" a="1"/>
  <c r="V445" i="19" s="1"/>
  <c r="W445" i="19" s="1"/>
  <c r="E472" i="23" s="1"/>
  <c r="V572" i="19" a="1"/>
  <c r="V572" i="19" s="1"/>
  <c r="W572" i="19" s="1"/>
  <c r="E599" i="23" s="1"/>
  <c r="V537" i="19" a="1"/>
  <c r="V537" i="19" s="1"/>
  <c r="W537" i="19" s="1"/>
  <c r="E564" i="23" s="1"/>
  <c r="V457" i="19" a="1"/>
  <c r="V457" i="19" s="1"/>
  <c r="W457" i="19" s="1"/>
  <c r="E484" i="23" s="1"/>
  <c r="V527" i="19" a="1"/>
  <c r="V527" i="19" s="1"/>
  <c r="W527" i="19" s="1"/>
  <c r="E554" i="23" s="1"/>
  <c r="V531" i="19" a="1"/>
  <c r="V531" i="19" s="1"/>
  <c r="W531" i="19" s="1"/>
  <c r="E558" i="23" s="1"/>
  <c r="V562" i="19" a="1"/>
  <c r="V562" i="19" s="1"/>
  <c r="W562" i="19" s="1"/>
  <c r="E589" i="23" s="1"/>
  <c r="V595" i="19" a="1"/>
  <c r="V595" i="19" s="1"/>
  <c r="W595" i="19" s="1"/>
  <c r="E622" i="23" s="1"/>
  <c r="V599" i="19" a="1"/>
  <c r="V599" i="19" s="1"/>
  <c r="W599" i="19" s="1"/>
  <c r="E626" i="23" s="1"/>
  <c r="V603" i="19" a="1"/>
  <c r="V603" i="19" s="1"/>
  <c r="W603" i="19" s="1"/>
  <c r="E630" i="23" s="1"/>
  <c r="V463" i="19" a="1"/>
  <c r="V463" i="19" s="1"/>
  <c r="W463" i="19" s="1"/>
  <c r="E490" i="23" s="1"/>
  <c r="V539" i="19" a="1"/>
  <c r="V539" i="19" s="1"/>
  <c r="W539" i="19" s="1"/>
  <c r="E566" i="23" s="1"/>
  <c r="V566" i="19" a="1"/>
  <c r="V566" i="19" s="1"/>
  <c r="W566" i="19" s="1"/>
  <c r="E593" i="23" s="1"/>
  <c r="V439" i="19" a="1"/>
  <c r="V439" i="19" s="1"/>
  <c r="W439" i="19" s="1"/>
  <c r="E466" i="23" s="1"/>
  <c r="V484" i="19" a="1"/>
  <c r="V484" i="19" s="1"/>
  <c r="W484" i="19" s="1"/>
  <c r="E511" i="23" s="1"/>
  <c r="V558" i="19" a="1"/>
  <c r="V558" i="19" s="1"/>
  <c r="W558" i="19" s="1"/>
  <c r="E585" i="23" s="1"/>
  <c r="V442" i="19" a="1"/>
  <c r="V442" i="19" s="1"/>
  <c r="W442" i="19" s="1"/>
  <c r="E469" i="23" s="1"/>
  <c r="V500" i="19" a="1"/>
  <c r="V500" i="19" s="1"/>
  <c r="W500" i="19" s="1"/>
  <c r="E527" i="23" s="1"/>
  <c r="V592" i="19" a="1"/>
  <c r="V592" i="19" s="1"/>
  <c r="W592" i="19" s="1"/>
  <c r="E619" i="23" s="1"/>
  <c r="V471" i="19" a="1"/>
  <c r="V471" i="19" s="1"/>
  <c r="W471" i="19" s="1"/>
  <c r="E498" i="23" s="1"/>
  <c r="V585" i="19" a="1"/>
  <c r="V585" i="19" s="1"/>
  <c r="W585" i="19" s="1"/>
  <c r="E612" i="23" s="1"/>
  <c r="V210" i="19" a="1"/>
  <c r="V210" i="19" s="1"/>
  <c r="W210" i="19" s="1"/>
  <c r="E237" i="23" s="1"/>
  <c r="V54" i="19" a="1"/>
  <c r="V54" i="19" s="1"/>
  <c r="W54" i="19" s="1"/>
  <c r="E81" i="23" s="1"/>
  <c r="V94" i="19" a="1"/>
  <c r="V94" i="19" s="1"/>
  <c r="W94" i="19" s="1"/>
  <c r="E121" i="23" s="1"/>
  <c r="V102" i="19" a="1"/>
  <c r="V102" i="19" s="1"/>
  <c r="W102" i="19" s="1"/>
  <c r="E129" i="23" s="1"/>
  <c r="V217" i="19" a="1"/>
  <c r="V217" i="19" s="1"/>
  <c r="W217" i="19" s="1"/>
  <c r="E244" i="23" s="1"/>
  <c r="V200" i="19" a="1"/>
  <c r="V200" i="19" s="1"/>
  <c r="W200" i="19" s="1"/>
  <c r="E227" i="23" s="1"/>
  <c r="V110" i="19" a="1"/>
  <c r="V110" i="19" s="1"/>
  <c r="W110" i="19" s="1"/>
  <c r="E137" i="23" s="1"/>
  <c r="V155" i="19" a="1"/>
  <c r="V155" i="19" s="1"/>
  <c r="W155" i="19" s="1"/>
  <c r="E182" i="23" s="1"/>
  <c r="V233" i="19" a="1"/>
  <c r="V233" i="19" s="1"/>
  <c r="W233" i="19" s="1"/>
  <c r="E260" i="23" s="1"/>
  <c r="V64" i="19" a="1"/>
  <c r="V64" i="19" s="1"/>
  <c r="W64" i="19" s="1"/>
  <c r="E91" i="23" s="1"/>
  <c r="V185" i="19" a="1"/>
  <c r="V185" i="19" s="1"/>
  <c r="W185" i="19" s="1"/>
  <c r="E212" i="23" s="1"/>
  <c r="V126" i="19" a="1"/>
  <c r="V126" i="19" s="1"/>
  <c r="W126" i="19" s="1"/>
  <c r="E153" i="23" s="1"/>
  <c r="V229" i="19" a="1"/>
  <c r="V229" i="19" s="1"/>
  <c r="W229" i="19" s="1"/>
  <c r="E256" i="23" s="1"/>
  <c r="V150" i="19" a="1"/>
  <c r="V150" i="19" s="1"/>
  <c r="W150" i="19" s="1"/>
  <c r="E177" i="23" s="1"/>
  <c r="V194" i="19" a="1"/>
  <c r="V194" i="19" s="1"/>
  <c r="W194" i="19" s="1"/>
  <c r="E221" i="23" s="1"/>
  <c r="V137" i="19" a="1"/>
  <c r="V137" i="19" s="1"/>
  <c r="W137" i="19" s="1"/>
  <c r="E164" i="23" s="1"/>
  <c r="V151" i="19" a="1"/>
  <c r="V151" i="19" s="1"/>
  <c r="W151" i="19" s="1"/>
  <c r="E178" i="23" s="1"/>
  <c r="V264" i="19" a="1"/>
  <c r="V264" i="19" s="1"/>
  <c r="W264" i="19" s="1"/>
  <c r="E291" i="23" s="1"/>
  <c r="V129" i="19" a="1"/>
  <c r="V129" i="19" s="1"/>
  <c r="W129" i="19" s="1"/>
  <c r="E156" i="23" s="1"/>
  <c r="V170" i="19" a="1"/>
  <c r="V170" i="19" s="1"/>
  <c r="W170" i="19" s="1"/>
  <c r="E197" i="23" s="1"/>
  <c r="V298" i="19" a="1"/>
  <c r="V298" i="19" s="1"/>
  <c r="W298" i="19" s="1"/>
  <c r="E325" i="23" s="1"/>
  <c r="V327" i="19" a="1"/>
  <c r="V327" i="19" s="1"/>
  <c r="W327" i="19" s="1"/>
  <c r="E354" i="23" s="1"/>
  <c r="V293" i="19" a="1"/>
  <c r="V293" i="19" s="1"/>
  <c r="W293" i="19" s="1"/>
  <c r="E320" i="23" s="1"/>
  <c r="V338" i="19" a="1"/>
  <c r="V338" i="19" s="1"/>
  <c r="W338" i="19" s="1"/>
  <c r="E365" i="23" s="1"/>
  <c r="V303" i="19" a="1"/>
  <c r="V303" i="19" s="1"/>
  <c r="W303" i="19" s="1"/>
  <c r="E330" i="23" s="1"/>
  <c r="V332" i="19" a="1"/>
  <c r="V332" i="19" s="1"/>
  <c r="W332" i="19" s="1"/>
  <c r="E359" i="23" s="1"/>
  <c r="V411" i="19" a="1"/>
  <c r="V411" i="19" s="1"/>
  <c r="W411" i="19" s="1"/>
  <c r="E438" i="23" s="1"/>
  <c r="V256" i="19" a="1"/>
  <c r="V256" i="19" s="1"/>
  <c r="W256" i="19" s="1"/>
  <c r="E283" i="23" s="1"/>
  <c r="V296" i="19" a="1"/>
  <c r="V296" i="19" s="1"/>
  <c r="W296" i="19" s="1"/>
  <c r="E323" i="23" s="1"/>
  <c r="V276" i="19" a="1"/>
  <c r="V276" i="19" s="1"/>
  <c r="W276" i="19" s="1"/>
  <c r="E303" i="23" s="1"/>
  <c r="V373" i="19" a="1"/>
  <c r="V373" i="19" s="1"/>
  <c r="W373" i="19" s="1"/>
  <c r="E400" i="23" s="1"/>
  <c r="V262" i="19" a="1"/>
  <c r="V262" i="19" s="1"/>
  <c r="W262" i="19" s="1"/>
  <c r="E289" i="23" s="1"/>
  <c r="V346" i="19" a="1"/>
  <c r="V346" i="19" s="1"/>
  <c r="W346" i="19" s="1"/>
  <c r="E373" i="23" s="1"/>
  <c r="V384" i="19" a="1"/>
  <c r="V384" i="19" s="1"/>
  <c r="W384" i="19" s="1"/>
  <c r="E411" i="23" s="1"/>
  <c r="V315" i="19" a="1"/>
  <c r="V315" i="19" s="1"/>
  <c r="W315" i="19" s="1"/>
  <c r="E342" i="23" s="1"/>
  <c r="V334" i="19" a="1"/>
  <c r="V334" i="19" s="1"/>
  <c r="W334" i="19" s="1"/>
  <c r="E361" i="23" s="1"/>
  <c r="V501" i="19" a="1"/>
  <c r="V501" i="19" s="1"/>
  <c r="W501" i="19" s="1"/>
  <c r="E528" i="23" s="1"/>
  <c r="V578" i="19" a="1"/>
  <c r="V578" i="19" s="1"/>
  <c r="W578" i="19" s="1"/>
  <c r="E605" i="23" s="1"/>
  <c r="V431" i="19" a="1"/>
  <c r="V431" i="19" s="1"/>
  <c r="W431" i="19" s="1"/>
  <c r="E458" i="23" s="1"/>
  <c r="V521" i="19" a="1"/>
  <c r="V521" i="19" s="1"/>
  <c r="W521" i="19" s="1"/>
  <c r="E548" i="23" s="1"/>
  <c r="V549" i="19" a="1"/>
  <c r="V549" i="19" s="1"/>
  <c r="W549" i="19" s="1"/>
  <c r="E576" i="23" s="1"/>
  <c r="V573" i="19" a="1"/>
  <c r="V573" i="19" s="1"/>
  <c r="W573" i="19" s="1"/>
  <c r="E600" i="23" s="1"/>
  <c r="V465" i="19" a="1"/>
  <c r="V465" i="19" s="1"/>
  <c r="W465" i="19" s="1"/>
  <c r="E492" i="23" s="1"/>
  <c r="V590" i="19" a="1"/>
  <c r="V590" i="19" s="1"/>
  <c r="W590" i="19" s="1"/>
  <c r="E617" i="23" s="1"/>
  <c r="V589" i="19" a="1"/>
  <c r="V589" i="19" s="1"/>
  <c r="W589" i="19" s="1"/>
  <c r="E616" i="23" s="1"/>
  <c r="V553" i="19" a="1"/>
  <c r="V553" i="19" s="1"/>
  <c r="W553" i="19" s="1"/>
  <c r="E580" i="23" s="1"/>
  <c r="V101" i="19" a="1"/>
  <c r="V101" i="19" s="1"/>
  <c r="W101" i="19" s="1"/>
  <c r="E128" i="23" s="1"/>
  <c r="V66" i="19" a="1"/>
  <c r="V66" i="19" s="1"/>
  <c r="W66" i="19" s="1"/>
  <c r="E93" i="23" s="1"/>
  <c r="V157" i="19" a="1"/>
  <c r="V157" i="19" s="1"/>
  <c r="W157" i="19" s="1"/>
  <c r="E184" i="23" s="1"/>
  <c r="V55" i="19" a="1"/>
  <c r="V55" i="19" s="1"/>
  <c r="W55" i="19" s="1"/>
  <c r="E82" i="23" s="1"/>
  <c r="V95" i="19" a="1"/>
  <c r="V95" i="19" s="1"/>
  <c r="W95" i="19" s="1"/>
  <c r="E122" i="23" s="1"/>
  <c r="V103" i="19" a="1"/>
  <c r="V103" i="19" s="1"/>
  <c r="W103" i="19" s="1"/>
  <c r="E130" i="23" s="1"/>
  <c r="V24" i="19" a="1"/>
  <c r="V24" i="19" s="1"/>
  <c r="W24" i="19" s="1"/>
  <c r="E51" i="23" s="1"/>
  <c r="V222" i="19" a="1"/>
  <c r="V222" i="19" s="1"/>
  <c r="W222" i="19" s="1"/>
  <c r="E249" i="23" s="1"/>
  <c r="V204" i="19" a="1"/>
  <c r="V204" i="19" s="1"/>
  <c r="W204" i="19" s="1"/>
  <c r="E231" i="23" s="1"/>
  <c r="V61" i="19" a="1"/>
  <c r="V61" i="19" s="1"/>
  <c r="W61" i="19" s="1"/>
  <c r="E88" i="23" s="1"/>
  <c r="V176" i="19" a="1"/>
  <c r="V176" i="19" s="1"/>
  <c r="W176" i="19" s="1"/>
  <c r="E203" i="23" s="1"/>
  <c r="V20" i="19" a="1"/>
  <c r="V20" i="19" s="1"/>
  <c r="W20" i="19" s="1"/>
  <c r="E47" i="23" s="1"/>
  <c r="V245" i="19" a="1"/>
  <c r="V245" i="19" s="1"/>
  <c r="W245" i="19" s="1"/>
  <c r="E272" i="23" s="1"/>
  <c r="V232" i="19" a="1"/>
  <c r="V232" i="19" s="1"/>
  <c r="W232" i="19" s="1"/>
  <c r="E259" i="23" s="1"/>
  <c r="V253" i="19" a="1"/>
  <c r="V253" i="19" s="1"/>
  <c r="W253" i="19" s="1"/>
  <c r="E280" i="23" s="1"/>
  <c r="V138" i="19" a="1"/>
  <c r="V138" i="19" s="1"/>
  <c r="W138" i="19" s="1"/>
  <c r="E165" i="23" s="1"/>
  <c r="V226" i="19" a="1"/>
  <c r="V226" i="19" s="1"/>
  <c r="W226" i="19" s="1"/>
  <c r="E253" i="23" s="1"/>
  <c r="V167" i="19" a="1"/>
  <c r="V167" i="19" s="1"/>
  <c r="W167" i="19" s="1"/>
  <c r="E194" i="23" s="1"/>
  <c r="V183" i="19" a="1"/>
  <c r="V183" i="19" s="1"/>
  <c r="W183" i="19" s="1"/>
  <c r="E210" i="23" s="1"/>
  <c r="V199" i="19" a="1"/>
  <c r="V199" i="19" s="1"/>
  <c r="W199" i="19" s="1"/>
  <c r="E226" i="23" s="1"/>
  <c r="V115" i="19" a="1"/>
  <c r="V115" i="19" s="1"/>
  <c r="W115" i="19" s="1"/>
  <c r="E142" i="23" s="1"/>
  <c r="V146" i="19" a="1"/>
  <c r="V146" i="19" s="1"/>
  <c r="W146" i="19" s="1"/>
  <c r="E173" i="23" s="1"/>
  <c r="V173" i="19" a="1"/>
  <c r="V173" i="19" s="1"/>
  <c r="W173" i="19" s="1"/>
  <c r="E200" i="23" s="1"/>
  <c r="V391" i="19" a="1"/>
  <c r="V391" i="19" s="1"/>
  <c r="W391" i="19" s="1"/>
  <c r="E418" i="23" s="1"/>
  <c r="V275" i="19" a="1"/>
  <c r="V275" i="19" s="1"/>
  <c r="W275" i="19" s="1"/>
  <c r="E302" i="23" s="1"/>
  <c r="V364" i="19" a="1"/>
  <c r="V364" i="19" s="1"/>
  <c r="W364" i="19" s="1"/>
  <c r="E391" i="23" s="1"/>
  <c r="V304" i="19" a="1"/>
  <c r="V304" i="19" s="1"/>
  <c r="W304" i="19" s="1"/>
  <c r="E331" i="23" s="1"/>
  <c r="V363" i="19" a="1"/>
  <c r="V363" i="19" s="1"/>
  <c r="W363" i="19" s="1"/>
  <c r="E390" i="23" s="1"/>
  <c r="V393" i="19" a="1"/>
  <c r="V393" i="19" s="1"/>
  <c r="W393" i="19" s="1"/>
  <c r="E420" i="23" s="1"/>
  <c r="V397" i="19" a="1"/>
  <c r="V397" i="19" s="1"/>
  <c r="W397" i="19" s="1"/>
  <c r="E424" i="23" s="1"/>
  <c r="V401" i="19" a="1"/>
  <c r="V401" i="19" s="1"/>
  <c r="W401" i="19" s="1"/>
  <c r="E428" i="23" s="1"/>
  <c r="V405" i="19" a="1"/>
  <c r="V405" i="19" s="1"/>
  <c r="W405" i="19" s="1"/>
  <c r="E432" i="23" s="1"/>
  <c r="V257" i="19" a="1"/>
  <c r="V257" i="19" s="1"/>
  <c r="W257" i="19" s="1"/>
  <c r="E284" i="23" s="1"/>
  <c r="V350" i="19" a="1"/>
  <c r="V350" i="19" s="1"/>
  <c r="W350" i="19" s="1"/>
  <c r="E377" i="23" s="1"/>
  <c r="V376" i="19" a="1"/>
  <c r="V376" i="19" s="1"/>
  <c r="W376" i="19" s="1"/>
  <c r="E403" i="23" s="1"/>
  <c r="V314" i="19" a="1"/>
  <c r="V314" i="19" s="1"/>
  <c r="W314" i="19" s="1"/>
  <c r="E341" i="23" s="1"/>
  <c r="V349" i="19" a="1"/>
  <c r="V349" i="19" s="1"/>
  <c r="W349" i="19" s="1"/>
  <c r="E376" i="23" s="1"/>
  <c r="V412" i="19" a="1"/>
  <c r="V412" i="19" s="1"/>
  <c r="W412" i="19" s="1"/>
  <c r="E439" i="23" s="1"/>
  <c r="V259" i="19" a="1"/>
  <c r="V259" i="19" s="1"/>
  <c r="W259" i="19" s="1"/>
  <c r="E286" i="23" s="1"/>
  <c r="V292" i="19" a="1"/>
  <c r="V292" i="19" s="1"/>
  <c r="W292" i="19" s="1"/>
  <c r="E319" i="23" s="1"/>
  <c r="V383" i="19" a="1"/>
  <c r="V383" i="19" s="1"/>
  <c r="W383" i="19" s="1"/>
  <c r="E410" i="23" s="1"/>
  <c r="V470" i="19" a="1"/>
  <c r="V470" i="19" s="1"/>
  <c r="W470" i="19" s="1"/>
  <c r="E497" i="23" s="1"/>
  <c r="V316" i="19" a="1"/>
  <c r="V316" i="19" s="1"/>
  <c r="W316" i="19" s="1"/>
  <c r="E343" i="23" s="1"/>
  <c r="V340" i="19" a="1"/>
  <c r="V340" i="19" s="1"/>
  <c r="W340" i="19" s="1"/>
  <c r="E367" i="23" s="1"/>
  <c r="V372" i="19" a="1"/>
  <c r="V372" i="19" s="1"/>
  <c r="W372" i="19" s="1"/>
  <c r="E399" i="23" s="1"/>
  <c r="V574" i="19" a="1"/>
  <c r="V574" i="19" s="1"/>
  <c r="W574" i="19" s="1"/>
  <c r="E601" i="23" s="1"/>
  <c r="V460" i="19" a="1"/>
  <c r="V460" i="19" s="1"/>
  <c r="W460" i="19" s="1"/>
  <c r="E487" i="23" s="1"/>
  <c r="V561" i="19" a="1"/>
  <c r="V561" i="19" s="1"/>
  <c r="W561" i="19" s="1"/>
  <c r="E588" i="23" s="1"/>
  <c r="V580" i="19" a="1"/>
  <c r="V580" i="19" s="1"/>
  <c r="W580" i="19" s="1"/>
  <c r="E607" i="23" s="1"/>
  <c r="V435" i="19" a="1"/>
  <c r="V435" i="19" s="1"/>
  <c r="W435" i="19" s="1"/>
  <c r="E462" i="23" s="1"/>
  <c r="V525" i="19" a="1"/>
  <c r="V525" i="19" s="1"/>
  <c r="W525" i="19" s="1"/>
  <c r="E552" i="23" s="1"/>
  <c r="V528" i="19" a="1"/>
  <c r="V528" i="19" s="1"/>
  <c r="W528" i="19" s="1"/>
  <c r="E555" i="23" s="1"/>
  <c r="V532" i="19" a="1"/>
  <c r="V532" i="19" s="1"/>
  <c r="W532" i="19" s="1"/>
  <c r="E559" i="23" s="1"/>
  <c r="V600" i="19" a="1"/>
  <c r="V600" i="19" s="1"/>
  <c r="W600" i="19" s="1"/>
  <c r="E627" i="23" s="1"/>
  <c r="V604" i="19" a="1"/>
  <c r="V604" i="19" s="1"/>
  <c r="W604" i="19" s="1"/>
  <c r="E631" i="23" s="1"/>
  <c r="V468" i="19" a="1"/>
  <c r="V468" i="19" s="1"/>
  <c r="W468" i="19" s="1"/>
  <c r="E495" i="23" s="1"/>
  <c r="V516" i="19" a="1"/>
  <c r="V516" i="19" s="1"/>
  <c r="W516" i="19" s="1"/>
  <c r="E543" i="23" s="1"/>
  <c r="V544" i="19" a="1"/>
  <c r="V544" i="19" s="1"/>
  <c r="W544" i="19" s="1"/>
  <c r="E571" i="23" s="1"/>
  <c r="V571" i="19" a="1"/>
  <c r="V571" i="19" s="1"/>
  <c r="W571" i="19" s="1"/>
  <c r="E598" i="23" s="1"/>
  <c r="V563" i="19" a="1"/>
  <c r="V563" i="19" s="1"/>
  <c r="W563" i="19" s="1"/>
  <c r="E590" i="23" s="1"/>
  <c r="V591" i="19" a="1"/>
  <c r="V591" i="19" s="1"/>
  <c r="W591" i="19" s="1"/>
  <c r="E618" i="23" s="1"/>
  <c r="V473" i="19" a="1"/>
  <c r="V473" i="19" s="1"/>
  <c r="W473" i="19" s="1"/>
  <c r="E500" i="23" s="1"/>
  <c r="V505" i="19" a="1"/>
  <c r="V505" i="19" s="1"/>
  <c r="W505" i="19" s="1"/>
  <c r="E532" i="23" s="1"/>
  <c r="V559" i="19" a="1"/>
  <c r="V559" i="19" s="1"/>
  <c r="W559" i="19" s="1"/>
  <c r="E586" i="23" s="1"/>
  <c r="V587" i="19" a="1"/>
  <c r="V587" i="19" s="1"/>
  <c r="W587" i="19" s="1"/>
  <c r="E614" i="23" s="1"/>
  <c r="V118" i="19" a="1"/>
  <c r="V118" i="19" s="1"/>
  <c r="W118" i="19" s="1"/>
  <c r="E145" i="23" s="1"/>
  <c r="V37" i="19" a="1"/>
  <c r="V37" i="19" s="1"/>
  <c r="W37" i="19" s="1"/>
  <c r="E64" i="23" s="1"/>
  <c r="V96" i="19" a="1"/>
  <c r="V96" i="19" s="1"/>
  <c r="W96" i="19" s="1"/>
  <c r="E123" i="23" s="1"/>
  <c r="V67" i="19" a="1"/>
  <c r="V67" i="19" s="1"/>
  <c r="W67" i="19" s="1"/>
  <c r="E94" i="23" s="1"/>
  <c r="V208" i="19" a="1"/>
  <c r="V208" i="19" s="1"/>
  <c r="W208" i="19" s="1"/>
  <c r="E235" i="23" s="1"/>
  <c r="V5" i="19" a="1"/>
  <c r="V5" i="19" s="1"/>
  <c r="V62" i="19" a="1"/>
  <c r="V62" i="19" s="1"/>
  <c r="W62" i="19" s="1"/>
  <c r="E89" i="23" s="1"/>
  <c r="V81" i="19" a="1"/>
  <c r="V81" i="19" s="1"/>
  <c r="W81" i="19" s="1"/>
  <c r="E108" i="23" s="1"/>
  <c r="V10" i="19" a="1"/>
  <c r="V10" i="19" s="1"/>
  <c r="W10" i="19" s="1"/>
  <c r="V65" i="19" a="1"/>
  <c r="V65" i="19" s="1"/>
  <c r="W65" i="19" s="1"/>
  <c r="E92" i="23" s="1"/>
  <c r="V247" i="19" a="1"/>
  <c r="V247" i="19" s="1"/>
  <c r="W247" i="19" s="1"/>
  <c r="E274" i="23" s="1"/>
  <c r="V131" i="19" a="1"/>
  <c r="V131" i="19" s="1"/>
  <c r="W131" i="19" s="1"/>
  <c r="E158" i="23" s="1"/>
  <c r="V105" i="19" a="1"/>
  <c r="V105" i="19" s="1"/>
  <c r="W105" i="19" s="1"/>
  <c r="E132" i="23" s="1"/>
  <c r="V279" i="19" a="1"/>
  <c r="V279" i="19" s="1"/>
  <c r="W279" i="19" s="1"/>
  <c r="E306" i="23" s="1"/>
  <c r="V353" i="19" a="1"/>
  <c r="V353" i="19" s="1"/>
  <c r="W353" i="19" s="1"/>
  <c r="E380" i="23" s="1"/>
  <c r="V265" i="19" a="1"/>
  <c r="V265" i="19" s="1"/>
  <c r="W265" i="19" s="1"/>
  <c r="E292" i="23" s="1"/>
  <c r="V438" i="19" a="1"/>
  <c r="V438" i="19" s="1"/>
  <c r="W438" i="19" s="1"/>
  <c r="E465" i="23" s="1"/>
  <c r="V575" i="19" a="1"/>
  <c r="V575" i="19" s="1"/>
  <c r="W575" i="19" s="1"/>
  <c r="E602" i="23" s="1"/>
  <c r="V552" i="19" a="1"/>
  <c r="V552" i="19" s="1"/>
  <c r="W552" i="19" s="1"/>
  <c r="E579" i="23" s="1"/>
  <c r="V567" i="19" a="1"/>
  <c r="V567" i="19" s="1"/>
  <c r="W567" i="19" s="1"/>
  <c r="E594" i="23" s="1"/>
  <c r="V450" i="19" a="1"/>
  <c r="V450" i="19" s="1"/>
  <c r="W450" i="19" s="1"/>
  <c r="E477" i="23" s="1"/>
  <c r="V519" i="19" a="1"/>
  <c r="V519" i="19" s="1"/>
  <c r="W519" i="19" s="1"/>
  <c r="E546" i="23" s="1"/>
  <c r="V97" i="19" a="1"/>
  <c r="V97" i="19" s="1"/>
  <c r="W97" i="19" s="1"/>
  <c r="E124" i="23" s="1"/>
  <c r="V160" i="19" a="1"/>
  <c r="V160" i="19" s="1"/>
  <c r="W160" i="19" s="1"/>
  <c r="E187" i="23" s="1"/>
  <c r="V212" i="19" a="1"/>
  <c r="V212" i="19" s="1"/>
  <c r="W212" i="19" s="1"/>
  <c r="E239" i="23" s="1"/>
  <c r="V18" i="19" a="1"/>
  <c r="V18" i="19" s="1"/>
  <c r="W18" i="19" s="1"/>
  <c r="E45" i="23" s="1"/>
  <c r="V251" i="19" a="1"/>
  <c r="V251" i="19" s="1"/>
  <c r="W251" i="19" s="1"/>
  <c r="E278" i="23" s="1"/>
  <c r="V149" i="19" a="1"/>
  <c r="V149" i="19" s="1"/>
  <c r="W149" i="19" s="1"/>
  <c r="E176" i="23" s="1"/>
  <c r="V236" i="19" a="1"/>
  <c r="V236" i="19" s="1"/>
  <c r="W236" i="19" s="1"/>
  <c r="E263" i="23" s="1"/>
  <c r="V127" i="19" a="1"/>
  <c r="V127" i="19" s="1"/>
  <c r="W127" i="19" s="1"/>
  <c r="E154" i="23" s="1"/>
  <c r="V140" i="19" a="1"/>
  <c r="V140" i="19" s="1"/>
  <c r="W140" i="19" s="1"/>
  <c r="E167" i="23" s="1"/>
  <c r="V166" i="19" a="1"/>
  <c r="V166" i="19" s="1"/>
  <c r="W166" i="19" s="1"/>
  <c r="E193" i="23" s="1"/>
  <c r="V241" i="19" a="1"/>
  <c r="V241" i="19" s="1"/>
  <c r="W241" i="19" s="1"/>
  <c r="E268" i="23" s="1"/>
  <c r="V187" i="19" a="1"/>
  <c r="V187" i="19" s="1"/>
  <c r="W187" i="19" s="1"/>
  <c r="E214" i="23" s="1"/>
  <c r="V224" i="19" a="1"/>
  <c r="V224" i="19" s="1"/>
  <c r="W224" i="19" s="1"/>
  <c r="E251" i="23" s="1"/>
  <c r="V117" i="19" a="1"/>
  <c r="V117" i="19" s="1"/>
  <c r="W117" i="19" s="1"/>
  <c r="E144" i="23" s="1"/>
  <c r="V158" i="19" a="1"/>
  <c r="V158" i="19" s="1"/>
  <c r="W158" i="19" s="1"/>
  <c r="E185" i="23" s="1"/>
  <c r="V283" i="19" a="1"/>
  <c r="V283" i="19" s="1"/>
  <c r="W283" i="19" s="1"/>
  <c r="E310" i="23" s="1"/>
  <c r="V261" i="19" a="1"/>
  <c r="V261" i="19" s="1"/>
  <c r="W261" i="19" s="1"/>
  <c r="E288" i="23" s="1"/>
  <c r="V371" i="19" a="1"/>
  <c r="V371" i="19" s="1"/>
  <c r="W371" i="19" s="1"/>
  <c r="E398" i="23" s="1"/>
  <c r="V394" i="19" a="1"/>
  <c r="V394" i="19" s="1"/>
  <c r="W394" i="19" s="1"/>
  <c r="E421" i="23" s="1"/>
  <c r="V398" i="19" a="1"/>
  <c r="V398" i="19" s="1"/>
  <c r="W398" i="19" s="1"/>
  <c r="E425" i="23" s="1"/>
  <c r="V402" i="19" a="1"/>
  <c r="V402" i="19" s="1"/>
  <c r="W402" i="19" s="1"/>
  <c r="E429" i="23" s="1"/>
  <c r="V406" i="19" a="1"/>
  <c r="V406" i="19" s="1"/>
  <c r="W406" i="19" s="1"/>
  <c r="E433" i="23" s="1"/>
  <c r="V356" i="19" a="1"/>
  <c r="V356" i="19" s="1"/>
  <c r="W356" i="19" s="1"/>
  <c r="E383" i="23" s="1"/>
  <c r="V414" i="19" a="1"/>
  <c r="V414" i="19" s="1"/>
  <c r="W414" i="19" s="1"/>
  <c r="E441" i="23" s="1"/>
  <c r="V319" i="19" a="1"/>
  <c r="V319" i="19" s="1"/>
  <c r="W319" i="19" s="1"/>
  <c r="E346" i="23" s="1"/>
  <c r="V378" i="19" a="1"/>
  <c r="V378" i="19" s="1"/>
  <c r="W378" i="19" s="1"/>
  <c r="E405" i="23" s="1"/>
  <c r="V273" i="19" a="1"/>
  <c r="V273" i="19" s="1"/>
  <c r="W273" i="19" s="1"/>
  <c r="E300" i="23" s="1"/>
  <c r="V423" i="19" a="1"/>
  <c r="V423" i="19" s="1"/>
  <c r="W423" i="19" s="1"/>
  <c r="E450" i="23" s="1"/>
  <c r="V266" i="19" a="1"/>
  <c r="V266" i="19" s="1"/>
  <c r="W266" i="19" s="1"/>
  <c r="E293" i="23" s="1"/>
  <c r="V297" i="19" a="1"/>
  <c r="V297" i="19" s="1"/>
  <c r="W297" i="19" s="1"/>
  <c r="E324" i="23" s="1"/>
  <c r="V323" i="19" a="1"/>
  <c r="V323" i="19" s="1"/>
  <c r="W323" i="19" s="1"/>
  <c r="E350" i="23" s="1"/>
  <c r="V345" i="19" a="1"/>
  <c r="V345" i="19" s="1"/>
  <c r="W345" i="19" s="1"/>
  <c r="E372" i="23" s="1"/>
  <c r="V377" i="19" a="1"/>
  <c r="V377" i="19" s="1"/>
  <c r="W377" i="19" s="1"/>
  <c r="E404" i="23" s="1"/>
  <c r="V430" i="19" a="1"/>
  <c r="V430" i="19" s="1"/>
  <c r="W430" i="19" s="1"/>
  <c r="E457" i="23" s="1"/>
  <c r="V576" i="19" a="1"/>
  <c r="V576" i="19" s="1"/>
  <c r="W576" i="19" s="1"/>
  <c r="E603" i="23" s="1"/>
  <c r="V467" i="19" a="1"/>
  <c r="V467" i="19" s="1"/>
  <c r="W467" i="19" s="1"/>
  <c r="E494" i="23" s="1"/>
  <c r="V446" i="19" a="1"/>
  <c r="V446" i="19" s="1"/>
  <c r="W446" i="19" s="1"/>
  <c r="E473" i="23" s="1"/>
  <c r="V529" i="19" a="1"/>
  <c r="V529" i="19" s="1"/>
  <c r="W529" i="19" s="1"/>
  <c r="E556" i="23" s="1"/>
  <c r="V597" i="19" a="1"/>
  <c r="V597" i="19" s="1"/>
  <c r="W597" i="19" s="1"/>
  <c r="E624" i="23" s="1"/>
  <c r="V601" i="19" a="1"/>
  <c r="V601" i="19" s="1"/>
  <c r="W601" i="19" s="1"/>
  <c r="E628" i="23" s="1"/>
  <c r="V448" i="19" a="1"/>
  <c r="V448" i="19" s="1"/>
  <c r="W448" i="19" s="1"/>
  <c r="E475" i="23" s="1"/>
  <c r="V551" i="19" a="1"/>
  <c r="V551" i="19" s="1"/>
  <c r="W551" i="19" s="1"/>
  <c r="E578" i="23" s="1"/>
  <c r="V569" i="19" a="1"/>
  <c r="V569" i="19" s="1"/>
  <c r="W569" i="19" s="1"/>
  <c r="E596" i="23" s="1"/>
  <c r="V426" i="19" a="1"/>
  <c r="V426" i="19" s="1"/>
  <c r="W426" i="19" s="1"/>
  <c r="E453" i="23" s="1"/>
  <c r="V451" i="19" a="1"/>
  <c r="V451" i="19" s="1"/>
  <c r="W451" i="19" s="1"/>
  <c r="E478" i="23" s="1"/>
  <c r="V42" i="19" a="1"/>
  <c r="V42" i="19" s="1"/>
  <c r="W42" i="19" s="1"/>
  <c r="E69" i="23" s="1"/>
  <c r="V44" i="19" a="1"/>
  <c r="V44" i="19" s="1"/>
  <c r="W44" i="19" s="1"/>
  <c r="E71" i="23" s="1"/>
  <c r="V73" i="19" a="1"/>
  <c r="V73" i="19" s="1"/>
  <c r="W73" i="19" s="1"/>
  <c r="E100" i="23" s="1"/>
  <c r="V98" i="19" a="1"/>
  <c r="V98" i="19" s="1"/>
  <c r="W98" i="19" s="1"/>
  <c r="E125" i="23" s="1"/>
  <c r="V201" i="19" a="1"/>
  <c r="V201" i="19" s="1"/>
  <c r="W201" i="19" s="1"/>
  <c r="E228" i="23" s="1"/>
  <c r="V72" i="19" a="1"/>
  <c r="V72" i="19" s="1"/>
  <c r="W72" i="19" s="1"/>
  <c r="E99" i="23" s="1"/>
  <c r="V47" i="19" a="1"/>
  <c r="V47" i="19" s="1"/>
  <c r="W47" i="19" s="1"/>
  <c r="E74" i="23" s="1"/>
  <c r="V216" i="19" a="1"/>
  <c r="V216" i="19" s="1"/>
  <c r="W216" i="19" s="1"/>
  <c r="E243" i="23" s="1"/>
  <c r="V120" i="19" a="1"/>
  <c r="V120" i="19" s="1"/>
  <c r="W120" i="19" s="1"/>
  <c r="E147" i="23" s="1"/>
  <c r="V46" i="19" a="1"/>
  <c r="V46" i="19" s="1"/>
  <c r="W46" i="19" s="1"/>
  <c r="E73" i="23" s="1"/>
  <c r="V83" i="19" a="1"/>
  <c r="V83" i="19" s="1"/>
  <c r="W83" i="19" s="1"/>
  <c r="E110" i="23" s="1"/>
  <c r="V207" i="19" a="1"/>
  <c r="V207" i="19" s="1"/>
  <c r="W207" i="19" s="1"/>
  <c r="E234" i="23" s="1"/>
  <c r="V26" i="19" a="1"/>
  <c r="V26" i="19" s="1"/>
  <c r="W26" i="19" s="1"/>
  <c r="E53" i="23" s="1"/>
  <c r="V148" i="19" a="1"/>
  <c r="V148" i="19" s="1"/>
  <c r="W148" i="19" s="1"/>
  <c r="E175" i="23" s="1"/>
  <c r="V178" i="19" a="1"/>
  <c r="V178" i="19" s="1"/>
  <c r="W178" i="19" s="1"/>
  <c r="E205" i="23" s="1"/>
  <c r="V172" i="19" a="1"/>
  <c r="V172" i="19" s="1"/>
  <c r="W172" i="19" s="1"/>
  <c r="E199" i="23" s="1"/>
  <c r="V159" i="19" a="1"/>
  <c r="V159" i="19" s="1"/>
  <c r="W159" i="19" s="1"/>
  <c r="E186" i="23" s="1"/>
  <c r="V287" i="19" a="1"/>
  <c r="V287" i="19" s="1"/>
  <c r="W287" i="19" s="1"/>
  <c r="E314" i="23" s="1"/>
  <c r="V263" i="19" a="1"/>
  <c r="V263" i="19" s="1"/>
  <c r="W263" i="19" s="1"/>
  <c r="E290" i="23" s="1"/>
  <c r="V347" i="19" a="1"/>
  <c r="V347" i="19" s="1"/>
  <c r="W347" i="19" s="1"/>
  <c r="E374" i="23" s="1"/>
  <c r="V277" i="19" a="1"/>
  <c r="V277" i="19" s="1"/>
  <c r="W277" i="19" s="1"/>
  <c r="E304" i="23" s="1"/>
  <c r="V360" i="19" a="1"/>
  <c r="V360" i="19" s="1"/>
  <c r="W360" i="19" s="1"/>
  <c r="E387" i="23" s="1"/>
  <c r="V348" i="19" a="1"/>
  <c r="V348" i="19" s="1"/>
  <c r="W348" i="19" s="1"/>
  <c r="E375" i="23" s="1"/>
  <c r="V434" i="19" a="1"/>
  <c r="V434" i="19" s="1"/>
  <c r="W434" i="19" s="1"/>
  <c r="E461" i="23" s="1"/>
  <c r="V522" i="19" a="1"/>
  <c r="V522" i="19" s="1"/>
  <c r="W522" i="19" s="1"/>
  <c r="E549" i="23" s="1"/>
  <c r="V555" i="19" a="1"/>
  <c r="V555" i="19" s="1"/>
  <c r="W555" i="19" s="1"/>
  <c r="E582" i="23" s="1"/>
  <c r="V579" i="19" a="1"/>
  <c r="V579" i="19" s="1"/>
  <c r="W579" i="19" s="1"/>
  <c r="E606" i="23" s="1"/>
  <c r="V428" i="19" a="1"/>
  <c r="V428" i="19" s="1"/>
  <c r="W428" i="19" s="1"/>
  <c r="E455" i="23" s="1"/>
  <c r="V511" i="19" a="1"/>
  <c r="V511" i="19" s="1"/>
  <c r="W511" i="19" s="1"/>
  <c r="E538" i="23" s="1"/>
  <c r="V433" i="19" a="1"/>
  <c r="V433" i="19" s="1"/>
  <c r="W433" i="19" s="1"/>
  <c r="E460" i="23" s="1"/>
  <c r="V583" i="19" a="1"/>
  <c r="V583" i="19" s="1"/>
  <c r="W583" i="19" s="1"/>
  <c r="E610" i="23" s="1"/>
  <c r="V459" i="19" a="1"/>
  <c r="V459" i="19" s="1"/>
  <c r="W459" i="19" s="1"/>
  <c r="E486" i="23" s="1"/>
  <c r="V523" i="19" a="1"/>
  <c r="V523" i="19" s="1"/>
  <c r="W523" i="19" s="1"/>
  <c r="E550" i="23" s="1"/>
  <c r="V564" i="19" a="1"/>
  <c r="V564" i="19" s="1"/>
  <c r="W564" i="19" s="1"/>
  <c r="E591" i="23" s="1"/>
  <c r="V164" i="19" a="1"/>
  <c r="V164" i="19" s="1"/>
  <c r="W164" i="19" s="1"/>
  <c r="E191" i="23" s="1"/>
  <c r="V174" i="19" a="1"/>
  <c r="V174" i="19" s="1"/>
  <c r="W174" i="19" s="1"/>
  <c r="E201" i="23" s="1"/>
  <c r="V134" i="19" a="1"/>
  <c r="V134" i="19" s="1"/>
  <c r="W134" i="19" s="1"/>
  <c r="E161" i="23" s="1"/>
  <c r="V142" i="19" a="1"/>
  <c r="V142" i="19" s="1"/>
  <c r="W142" i="19" s="1"/>
  <c r="E169" i="23" s="1"/>
  <c r="V182" i="19" a="1"/>
  <c r="V182" i="19" s="1"/>
  <c r="W182" i="19" s="1"/>
  <c r="E209" i="23" s="1"/>
  <c r="V227" i="19" a="1"/>
  <c r="V227" i="19" s="1"/>
  <c r="W227" i="19" s="1"/>
  <c r="E254" i="23" s="1"/>
  <c r="V274" i="19" a="1"/>
  <c r="V274" i="19" s="1"/>
  <c r="W274" i="19" s="1"/>
  <c r="E301" i="23" s="1"/>
  <c r="V290" i="19" a="1"/>
  <c r="V290" i="19" s="1"/>
  <c r="W290" i="19" s="1"/>
  <c r="E317" i="23" s="1"/>
  <c r="V299" i="19" a="1"/>
  <c r="V299" i="19" s="1"/>
  <c r="W299" i="19" s="1"/>
  <c r="E326" i="23" s="1"/>
  <c r="V361" i="19" a="1"/>
  <c r="V361" i="19" s="1"/>
  <c r="W361" i="19" s="1"/>
  <c r="E388" i="23" s="1"/>
  <c r="V385" i="19" a="1"/>
  <c r="V385" i="19" s="1"/>
  <c r="W385" i="19" s="1"/>
  <c r="E412" i="23" s="1"/>
  <c r="V281" i="19" a="1"/>
  <c r="V281" i="19" s="1"/>
  <c r="W281" i="19" s="1"/>
  <c r="E308" i="23" s="1"/>
  <c r="V370" i="19" a="1"/>
  <c r="V370" i="19" s="1"/>
  <c r="W370" i="19" s="1"/>
  <c r="E397" i="23" s="1"/>
  <c r="V308" i="19" a="1"/>
  <c r="V308" i="19" s="1"/>
  <c r="W308" i="19" s="1"/>
  <c r="E335" i="23" s="1"/>
  <c r="V367" i="19" a="1"/>
  <c r="V367" i="19" s="1"/>
  <c r="W367" i="19" s="1"/>
  <c r="E394" i="23" s="1"/>
  <c r="V382" i="19" a="1"/>
  <c r="V382" i="19" s="1"/>
  <c r="W382" i="19" s="1"/>
  <c r="E409" i="23" s="1"/>
  <c r="V440" i="19" a="1"/>
  <c r="V440" i="19" s="1"/>
  <c r="W440" i="19" s="1"/>
  <c r="E467" i="23" s="1"/>
  <c r="V538" i="19" a="1"/>
  <c r="V538" i="19" s="1"/>
  <c r="W538" i="19" s="1"/>
  <c r="E565" i="23" s="1"/>
  <c r="V584" i="19" a="1"/>
  <c r="V584" i="19" s="1"/>
  <c r="W584" i="19" s="1"/>
  <c r="E611" i="23" s="1"/>
  <c r="V461" i="19" a="1"/>
  <c r="V461" i="19" s="1"/>
  <c r="W461" i="19" s="1"/>
  <c r="E488" i="23" s="1"/>
  <c r="V514" i="19" a="1"/>
  <c r="V514" i="19" s="1"/>
  <c r="W514" i="19" s="1"/>
  <c r="E541" i="23" s="1"/>
  <c r="V577" i="19" a="1"/>
  <c r="V577" i="19" s="1"/>
  <c r="W577" i="19" s="1"/>
  <c r="E604" i="23" s="1"/>
  <c r="V455" i="19" a="1"/>
  <c r="V455" i="19" s="1"/>
  <c r="W455" i="19" s="1"/>
  <c r="E482" i="23" s="1"/>
  <c r="V462" i="19" a="1"/>
  <c r="V462" i="19" s="1"/>
  <c r="W462" i="19" s="1"/>
  <c r="E489" i="23" s="1"/>
  <c r="V535" i="19" a="1"/>
  <c r="V535" i="19" s="1"/>
  <c r="W535" i="19" s="1"/>
  <c r="E562" i="23" s="1"/>
  <c r="O5" i="5"/>
  <c r="O13" i="5"/>
  <c r="O21" i="5"/>
  <c r="O29" i="5"/>
  <c r="O37" i="5"/>
  <c r="O45" i="5"/>
  <c r="O53" i="5"/>
  <c r="O61" i="5"/>
  <c r="O69" i="5"/>
  <c r="O77" i="5"/>
  <c r="O85" i="5"/>
  <c r="O93" i="5"/>
  <c r="O101" i="5"/>
  <c r="O597" i="5"/>
  <c r="O589" i="5"/>
  <c r="O581" i="5"/>
  <c r="O573" i="5"/>
  <c r="O565" i="5"/>
  <c r="O557" i="5"/>
  <c r="O549" i="5"/>
  <c r="O541" i="5"/>
  <c r="O533" i="5"/>
  <c r="O525" i="5"/>
  <c r="O517" i="5"/>
  <c r="O509" i="5"/>
  <c r="O501" i="5"/>
  <c r="O493" i="5"/>
  <c r="O485" i="5"/>
  <c r="O477" i="5"/>
  <c r="O469" i="5"/>
  <c r="O461" i="5"/>
  <c r="O453" i="5"/>
  <c r="O445" i="5"/>
  <c r="O437" i="5"/>
  <c r="O429" i="5"/>
  <c r="O421" i="5"/>
  <c r="O413" i="5"/>
  <c r="O405" i="5"/>
  <c r="O397" i="5"/>
  <c r="O389" i="5"/>
  <c r="O381" i="5"/>
  <c r="O373" i="5"/>
  <c r="O365" i="5"/>
  <c r="O357" i="5"/>
  <c r="O349" i="5"/>
  <c r="O341" i="5"/>
  <c r="O333" i="5"/>
  <c r="O325" i="5"/>
  <c r="O317" i="5"/>
  <c r="O309" i="5"/>
  <c r="O301" i="5"/>
  <c r="O293" i="5"/>
  <c r="O285" i="5"/>
  <c r="O277" i="5"/>
  <c r="O269" i="5"/>
  <c r="O261" i="5"/>
  <c r="O253" i="5"/>
  <c r="O245" i="5"/>
  <c r="O237" i="5"/>
  <c r="O229" i="5"/>
  <c r="O221" i="5"/>
  <c r="O213" i="5"/>
  <c r="O205" i="5"/>
  <c r="O197" i="5"/>
  <c r="O189" i="5"/>
  <c r="O181" i="5"/>
  <c r="O173" i="5"/>
  <c r="O165" i="5"/>
  <c r="O157" i="5"/>
  <c r="O149" i="5"/>
  <c r="O141" i="5"/>
  <c r="O133" i="5"/>
  <c r="O125" i="5"/>
  <c r="O117" i="5"/>
  <c r="O109" i="5"/>
  <c r="O601" i="5"/>
  <c r="O9" i="5"/>
  <c r="O17" i="5"/>
  <c r="O25" i="5"/>
  <c r="O33" i="5"/>
  <c r="O41" i="5"/>
  <c r="O49" i="5"/>
  <c r="O57" i="5"/>
  <c r="O65" i="5"/>
  <c r="O73" i="5"/>
  <c r="O81" i="5"/>
  <c r="O89" i="5"/>
  <c r="O97" i="5"/>
  <c r="O10" i="5"/>
  <c r="O18" i="5"/>
  <c r="O26" i="5"/>
  <c r="O34" i="5"/>
  <c r="O42" i="5"/>
  <c r="O50" i="5"/>
  <c r="O58" i="5"/>
  <c r="O66" i="5"/>
  <c r="O74" i="5"/>
  <c r="O82" i="5"/>
  <c r="O90" i="5"/>
  <c r="O98" i="5"/>
  <c r="O594" i="5"/>
  <c r="O586" i="5"/>
  <c r="O578" i="5"/>
  <c r="O570" i="5"/>
  <c r="O562" i="5"/>
  <c r="O554" i="5"/>
  <c r="O546" i="5"/>
  <c r="O538" i="5"/>
  <c r="O530" i="5"/>
  <c r="O522" i="5"/>
  <c r="O514" i="5"/>
  <c r="O506" i="5"/>
  <c r="O498" i="5"/>
  <c r="O490" i="5"/>
  <c r="O482" i="5"/>
  <c r="O474" i="5"/>
  <c r="O466" i="5"/>
  <c r="O458" i="5"/>
  <c r="O450" i="5"/>
  <c r="O442" i="5"/>
  <c r="O434" i="5"/>
  <c r="O426" i="5"/>
  <c r="O418" i="5"/>
  <c r="O410" i="5"/>
  <c r="O402" i="5"/>
  <c r="O394" i="5"/>
  <c r="O386" i="5"/>
  <c r="O378" i="5"/>
  <c r="O370" i="5"/>
  <c r="O362" i="5"/>
  <c r="O354" i="5"/>
  <c r="O346" i="5"/>
  <c r="O338" i="5"/>
  <c r="O330" i="5"/>
  <c r="O322" i="5"/>
  <c r="O314" i="5"/>
  <c r="O306" i="5"/>
  <c r="O298" i="5"/>
  <c r="O290" i="5"/>
  <c r="O282" i="5"/>
  <c r="O274" i="5"/>
  <c r="O266" i="5"/>
  <c r="O258" i="5"/>
  <c r="O250" i="5"/>
  <c r="O242" i="5"/>
  <c r="O234" i="5"/>
  <c r="O226" i="5"/>
  <c r="O218" i="5"/>
  <c r="O210" i="5"/>
  <c r="O202" i="5"/>
  <c r="O194" i="5"/>
  <c r="O186" i="5"/>
  <c r="O178" i="5"/>
  <c r="O170" i="5"/>
  <c r="O162" i="5"/>
  <c r="O154" i="5"/>
  <c r="O146" i="5"/>
  <c r="O138" i="5"/>
  <c r="O130" i="5"/>
  <c r="O122" i="5"/>
  <c r="O114" i="5"/>
  <c r="O106" i="5"/>
  <c r="O572" i="5"/>
  <c r="O556" i="5"/>
  <c r="O548" i="5"/>
  <c r="O524" i="5"/>
  <c r="O508" i="5"/>
  <c r="O492" i="5"/>
  <c r="O476" i="5"/>
  <c r="O452" i="5"/>
  <c r="O436" i="5"/>
  <c r="O420" i="5"/>
  <c r="O404" i="5"/>
  <c r="O380" i="5"/>
  <c r="O364" i="5"/>
  <c r="O356" i="5"/>
  <c r="O348" i="5"/>
  <c r="O332" i="5"/>
  <c r="O300" i="5"/>
  <c r="O268" i="5"/>
  <c r="O244" i="5"/>
  <c r="O228" i="5"/>
  <c r="O212" i="5"/>
  <c r="O204" i="5"/>
  <c r="O172" i="5"/>
  <c r="O156" i="5"/>
  <c r="O148" i="5"/>
  <c r="O140" i="5"/>
  <c r="O132" i="5"/>
  <c r="O124" i="5"/>
  <c r="O116" i="5"/>
  <c r="O108" i="5"/>
  <c r="O564" i="5"/>
  <c r="O444" i="5"/>
  <c r="O284" i="5"/>
  <c r="O276" i="5"/>
  <c r="O260" i="5"/>
  <c r="O196" i="5"/>
  <c r="O188" i="5"/>
  <c r="O164" i="5"/>
  <c r="O585" i="5"/>
  <c r="O577" i="5"/>
  <c r="O569" i="5"/>
  <c r="O561" i="5"/>
  <c r="O529" i="5"/>
  <c r="O521" i="5"/>
  <c r="O513" i="5"/>
  <c r="O505" i="5"/>
  <c r="O497" i="5"/>
  <c r="O489" i="5"/>
  <c r="O481" i="5"/>
  <c r="O473" i="5"/>
  <c r="O465" i="5"/>
  <c r="O457" i="5"/>
  <c r="O449" i="5"/>
  <c r="O441" i="5"/>
  <c r="O433" i="5"/>
  <c r="O425" i="5"/>
  <c r="O417" i="5"/>
  <c r="O409" i="5"/>
  <c r="O401" i="5"/>
  <c r="O393" i="5"/>
  <c r="O385" i="5"/>
  <c r="O377" i="5"/>
  <c r="O369" i="5"/>
  <c r="O361" i="5"/>
  <c r="O353" i="5"/>
  <c r="O345" i="5"/>
  <c r="O337" i="5"/>
  <c r="O329" i="5"/>
  <c r="O321" i="5"/>
  <c r="O313" i="5"/>
  <c r="O305" i="5"/>
  <c r="O297" i="5"/>
  <c r="O289" i="5"/>
  <c r="O281" i="5"/>
  <c r="O273" i="5"/>
  <c r="O265" i="5"/>
  <c r="O257" i="5"/>
  <c r="O249" i="5"/>
  <c r="O241" i="5"/>
  <c r="O233" i="5"/>
  <c r="O225" i="5"/>
  <c r="O217" i="5"/>
  <c r="O209" i="5"/>
  <c r="O201" i="5"/>
  <c r="O193" i="5"/>
  <c r="O185" i="5"/>
  <c r="O177" i="5"/>
  <c r="O169" i="5"/>
  <c r="O161" i="5"/>
  <c r="O153" i="5"/>
  <c r="O145" i="5"/>
  <c r="O137" i="5"/>
  <c r="O129" i="5"/>
  <c r="O121" i="5"/>
  <c r="O113" i="5"/>
  <c r="O105" i="5"/>
  <c r="O540" i="5"/>
  <c r="O532" i="5"/>
  <c r="O500" i="5"/>
  <c r="O484" i="5"/>
  <c r="O372" i="5"/>
  <c r="O340" i="5"/>
  <c r="O324" i="5"/>
  <c r="O292" i="5"/>
  <c r="O252" i="5"/>
  <c r="O236" i="5"/>
  <c r="O545" i="5"/>
  <c r="O537" i="5"/>
  <c r="D7" i="9"/>
  <c r="E8" i="9" a="1"/>
  <c r="E8" i="9" s="1"/>
  <c r="C7" i="9"/>
  <c r="A7" i="9"/>
  <c r="O580" i="5"/>
  <c r="O516" i="5"/>
  <c r="O468" i="5"/>
  <c r="O460" i="5"/>
  <c r="O428" i="5"/>
  <c r="O412" i="5"/>
  <c r="O396" i="5"/>
  <c r="O388" i="5"/>
  <c r="O316" i="5"/>
  <c r="O308" i="5"/>
  <c r="O220" i="5"/>
  <c r="O180" i="5"/>
  <c r="O593" i="5"/>
  <c r="O553" i="5"/>
  <c r="O179" i="5"/>
  <c r="O171" i="5"/>
  <c r="O163" i="5"/>
  <c r="O155" i="5"/>
  <c r="O147" i="5"/>
  <c r="O139" i="5"/>
  <c r="O131" i="5"/>
  <c r="O123" i="5"/>
  <c r="O115" i="5"/>
  <c r="O107" i="5"/>
  <c r="O596" i="5"/>
  <c r="O588" i="5"/>
  <c r="O6" i="5"/>
  <c r="O14" i="5"/>
  <c r="O22" i="5"/>
  <c r="O30" i="5"/>
  <c r="O38" i="5"/>
  <c r="O46" i="5"/>
  <c r="O54" i="5"/>
  <c r="O62" i="5"/>
  <c r="O70" i="5"/>
  <c r="O78" i="5"/>
  <c r="O86" i="5"/>
  <c r="O94" i="5"/>
  <c r="O102" i="5"/>
  <c r="Q6" i="9"/>
  <c r="L6" i="9"/>
  <c r="U6" i="9"/>
  <c r="R6" i="9"/>
  <c r="K6" i="9"/>
  <c r="N6" i="9"/>
  <c r="S6" i="9"/>
  <c r="F6" i="9"/>
  <c r="M6" i="9"/>
  <c r="J6" i="9"/>
  <c r="G6" i="9"/>
  <c r="O6" i="9"/>
  <c r="T6" i="9"/>
  <c r="P6" i="9"/>
  <c r="I6" i="9"/>
  <c r="H6" i="9"/>
  <c r="O11" i="5"/>
  <c r="O19" i="5"/>
  <c r="O27" i="5"/>
  <c r="O35" i="5"/>
  <c r="O43" i="5"/>
  <c r="O51" i="5"/>
  <c r="O59" i="5"/>
  <c r="O67" i="5"/>
  <c r="O75" i="5"/>
  <c r="O83" i="5"/>
  <c r="O91" i="5"/>
  <c r="O99" i="5"/>
  <c r="O599" i="5"/>
  <c r="O591" i="5"/>
  <c r="O583" i="5"/>
  <c r="O575" i="5"/>
  <c r="O567" i="5"/>
  <c r="O559" i="5"/>
  <c r="O551" i="5"/>
  <c r="O543" i="5"/>
  <c r="O535" i="5"/>
  <c r="O527" i="5"/>
  <c r="O519" i="5"/>
  <c r="O511" i="5"/>
  <c r="O503" i="5"/>
  <c r="O495" i="5"/>
  <c r="O487" i="5"/>
  <c r="O479" i="5"/>
  <c r="O471" i="5"/>
  <c r="O463" i="5"/>
  <c r="O455" i="5"/>
  <c r="O447" i="5"/>
  <c r="O439" i="5"/>
  <c r="O431" i="5"/>
  <c r="O423" i="5"/>
  <c r="O415" i="5"/>
  <c r="O407" i="5"/>
  <c r="O399" i="5"/>
  <c r="O391" i="5"/>
  <c r="O383" i="5"/>
  <c r="O375" i="5"/>
  <c r="O367" i="5"/>
  <c r="O359" i="5"/>
  <c r="O351" i="5"/>
  <c r="O343" i="5"/>
  <c r="O335" i="5"/>
  <c r="O327" i="5"/>
  <c r="O319" i="5"/>
  <c r="O311" i="5"/>
  <c r="O303" i="5"/>
  <c r="O295" i="5"/>
  <c r="O287" i="5"/>
  <c r="O279" i="5"/>
  <c r="O271" i="5"/>
  <c r="O263" i="5"/>
  <c r="O255" i="5"/>
  <c r="O247" i="5"/>
  <c r="O239" i="5"/>
  <c r="O231" i="5"/>
  <c r="O223" i="5"/>
  <c r="O215" i="5"/>
  <c r="O207" i="5"/>
  <c r="O199" i="5"/>
  <c r="O191" i="5"/>
  <c r="O183" i="5"/>
  <c r="O175" i="5"/>
  <c r="O167" i="5"/>
  <c r="O159" i="5"/>
  <c r="O151" i="5"/>
  <c r="O143" i="5"/>
  <c r="O135" i="5"/>
  <c r="O127" i="5"/>
  <c r="O119" i="5"/>
  <c r="O111" i="5"/>
  <c r="O603" i="5"/>
  <c r="O12" i="5"/>
  <c r="O20" i="5"/>
  <c r="O28" i="5"/>
  <c r="O36" i="5"/>
  <c r="O44" i="5"/>
  <c r="O52" i="5"/>
  <c r="O60" i="5"/>
  <c r="O68" i="5"/>
  <c r="O76" i="5"/>
  <c r="O84" i="5"/>
  <c r="O92" i="5"/>
  <c r="O100" i="5"/>
  <c r="O598" i="5"/>
  <c r="O590" i="5"/>
  <c r="O582" i="5"/>
  <c r="O574" i="5"/>
  <c r="O566" i="5"/>
  <c r="O558" i="5"/>
  <c r="O550" i="5"/>
  <c r="O542" i="5"/>
  <c r="O534" i="5"/>
  <c r="O526" i="5"/>
  <c r="O518" i="5"/>
  <c r="O510" i="5"/>
  <c r="O502" i="5"/>
  <c r="O494" i="5"/>
  <c r="O486" i="5"/>
  <c r="O478" i="5"/>
  <c r="O470" i="5"/>
  <c r="O462" i="5"/>
  <c r="O454" i="5"/>
  <c r="O446" i="5"/>
  <c r="O438" i="5"/>
  <c r="O430" i="5"/>
  <c r="O422" i="5"/>
  <c r="O414" i="5"/>
  <c r="O406" i="5"/>
  <c r="O398" i="5"/>
  <c r="O390" i="5"/>
  <c r="O382" i="5"/>
  <c r="O374" i="5"/>
  <c r="O366" i="5"/>
  <c r="O358" i="5"/>
  <c r="O350" i="5"/>
  <c r="O342" i="5"/>
  <c r="O334" i="5"/>
  <c r="O326" i="5"/>
  <c r="O318" i="5"/>
  <c r="O310" i="5"/>
  <c r="O302" i="5"/>
  <c r="O294" i="5"/>
  <c r="O286" i="5"/>
  <c r="O278" i="5"/>
  <c r="O270" i="5"/>
  <c r="O262" i="5"/>
  <c r="O254" i="5"/>
  <c r="O246" i="5"/>
  <c r="O238" i="5"/>
  <c r="O230" i="5"/>
  <c r="O222" i="5"/>
  <c r="O214" i="5"/>
  <c r="O206" i="5"/>
  <c r="O198" i="5"/>
  <c r="O190" i="5"/>
  <c r="O182" i="5"/>
  <c r="O174" i="5"/>
  <c r="O166" i="5"/>
  <c r="O158" i="5"/>
  <c r="O150" i="5"/>
  <c r="O142" i="5"/>
  <c r="O134" i="5"/>
  <c r="O126" i="5"/>
  <c r="O118" i="5"/>
  <c r="O110" i="5"/>
  <c r="O602" i="5"/>
  <c r="O7" i="5"/>
  <c r="O23" i="5"/>
  <c r="O39" i="5"/>
  <c r="O63" i="5"/>
  <c r="O79" i="5"/>
  <c r="O95" i="5"/>
  <c r="O595" i="5"/>
  <c r="O579" i="5"/>
  <c r="O571" i="5"/>
  <c r="O563" i="5"/>
  <c r="O555" i="5"/>
  <c r="O547" i="5"/>
  <c r="O539" i="5"/>
  <c r="O531" i="5"/>
  <c r="O523" i="5"/>
  <c r="O515" i="5"/>
  <c r="O507" i="5"/>
  <c r="O499" i="5"/>
  <c r="O491" i="5"/>
  <c r="O483" i="5"/>
  <c r="O475" i="5"/>
  <c r="O467" i="5"/>
  <c r="O459" i="5"/>
  <c r="O451" i="5"/>
  <c r="O443" i="5"/>
  <c r="O435" i="5"/>
  <c r="O427" i="5"/>
  <c r="O419" i="5"/>
  <c r="O411" i="5"/>
  <c r="O403" i="5"/>
  <c r="O395" i="5"/>
  <c r="O387" i="5"/>
  <c r="O379" i="5"/>
  <c r="O371" i="5"/>
  <c r="O363" i="5"/>
  <c r="O355" i="5"/>
  <c r="O347" i="5"/>
  <c r="O339" i="5"/>
  <c r="O331" i="5"/>
  <c r="O323" i="5"/>
  <c r="O315" i="5"/>
  <c r="O307" i="5"/>
  <c r="O299" i="5"/>
  <c r="O291" i="5"/>
  <c r="O283" i="5"/>
  <c r="O275" i="5"/>
  <c r="O267" i="5"/>
  <c r="O259" i="5"/>
  <c r="O251" i="5"/>
  <c r="O243" i="5"/>
  <c r="O235" i="5"/>
  <c r="O227" i="5"/>
  <c r="O219" i="5"/>
  <c r="O211" i="5"/>
  <c r="O203" i="5"/>
  <c r="O195" i="5"/>
  <c r="O187" i="5"/>
  <c r="O15" i="5"/>
  <c r="O31" i="5"/>
  <c r="O47" i="5"/>
  <c r="O55" i="5"/>
  <c r="O71" i="5"/>
  <c r="O87" i="5"/>
  <c r="O103" i="5"/>
  <c r="O587" i="5"/>
  <c r="O8" i="5"/>
  <c r="O16" i="5"/>
  <c r="O24" i="5"/>
  <c r="O32" i="5"/>
  <c r="O40" i="5"/>
  <c r="O48" i="5"/>
  <c r="O56" i="5"/>
  <c r="O64" i="5"/>
  <c r="O72" i="5"/>
  <c r="O80" i="5"/>
  <c r="O88" i="5"/>
  <c r="O96" i="5"/>
  <c r="O600" i="5"/>
  <c r="O592" i="5"/>
  <c r="O584" i="5"/>
  <c r="O576" i="5"/>
  <c r="O568" i="5"/>
  <c r="O560" i="5"/>
  <c r="O552" i="5"/>
  <c r="O544" i="5"/>
  <c r="O536" i="5"/>
  <c r="O528" i="5"/>
  <c r="O520" i="5"/>
  <c r="O512" i="5"/>
  <c r="O504" i="5"/>
  <c r="O496" i="5"/>
  <c r="O488" i="5"/>
  <c r="O480" i="5"/>
  <c r="O472" i="5"/>
  <c r="O464" i="5"/>
  <c r="O456" i="5"/>
  <c r="O448" i="5"/>
  <c r="O440" i="5"/>
  <c r="O432" i="5"/>
  <c r="O424" i="5"/>
  <c r="O416" i="5"/>
  <c r="O408" i="5"/>
  <c r="O400" i="5"/>
  <c r="O392" i="5"/>
  <c r="O384" i="5"/>
  <c r="O376" i="5"/>
  <c r="O368" i="5"/>
  <c r="O360" i="5"/>
  <c r="O352" i="5"/>
  <c r="O344" i="5"/>
  <c r="O336" i="5"/>
  <c r="O328" i="5"/>
  <c r="O320" i="5"/>
  <c r="O312" i="5"/>
  <c r="O304" i="5"/>
  <c r="O296" i="5"/>
  <c r="O288" i="5"/>
  <c r="O280" i="5"/>
  <c r="O272" i="5"/>
  <c r="O264" i="5"/>
  <c r="O256" i="5"/>
  <c r="O248" i="5"/>
  <c r="O240" i="5"/>
  <c r="O232" i="5"/>
  <c r="O224" i="5"/>
  <c r="O216" i="5"/>
  <c r="O208" i="5"/>
  <c r="O200" i="5"/>
  <c r="O192" i="5"/>
  <c r="O184" i="5"/>
  <c r="O176" i="5"/>
  <c r="O168" i="5"/>
  <c r="O160" i="5"/>
  <c r="O152" i="5"/>
  <c r="O144" i="5"/>
  <c r="O136" i="5"/>
  <c r="O128" i="5"/>
  <c r="O120" i="5"/>
  <c r="O112" i="5"/>
  <c r="O104" i="5"/>
  <c r="K10" i="17"/>
  <c r="L10" i="17" s="1"/>
  <c r="B5" i="22"/>
  <c r="B26" i="2"/>
  <c r="C13" i="17" s="1"/>
  <c r="V217" i="5"/>
  <c r="V333" i="5"/>
  <c r="R241" i="5"/>
  <c r="V244" i="5"/>
  <c r="R479" i="5"/>
  <c r="R465" i="5"/>
  <c r="V465" i="5"/>
  <c r="R163" i="5"/>
  <c r="R331" i="5"/>
  <c r="R490" i="5"/>
  <c r="R319" i="5"/>
  <c r="R510" i="5"/>
  <c r="V410" i="5"/>
  <c r="R244" i="5"/>
  <c r="R431" i="5"/>
  <c r="V105" i="5"/>
  <c r="R475" i="5"/>
  <c r="V462" i="5"/>
  <c r="R498" i="5"/>
  <c r="V135" i="5"/>
  <c r="R549" i="5"/>
  <c r="V421" i="5"/>
  <c r="V274" i="5"/>
  <c r="R560" i="5"/>
  <c r="R373" i="5"/>
  <c r="V338" i="5"/>
  <c r="R137" i="5"/>
  <c r="V560" i="5"/>
  <c r="R517" i="5"/>
  <c r="V387" i="5"/>
  <c r="R164" i="5"/>
  <c r="R591" i="5"/>
  <c r="V542" i="5"/>
  <c r="R541" i="5"/>
  <c r="R449" i="5"/>
  <c r="R414" i="5"/>
  <c r="R568" i="5"/>
  <c r="R521" i="5"/>
  <c r="V499" i="5"/>
  <c r="V288" i="5"/>
  <c r="V266" i="5"/>
  <c r="R233" i="5"/>
  <c r="R230" i="5"/>
  <c r="R170" i="5"/>
  <c r="R600" i="5"/>
  <c r="R597" i="5"/>
  <c r="V509" i="5"/>
  <c r="R565" i="5"/>
  <c r="V561" i="5"/>
  <c r="V558" i="5"/>
  <c r="R518" i="5"/>
  <c r="V361" i="5"/>
  <c r="R264" i="5"/>
  <c r="V260" i="5"/>
  <c r="V246" i="5"/>
  <c r="V233" i="5"/>
  <c r="V180" i="5"/>
  <c r="V391" i="5"/>
  <c r="V383" i="5"/>
  <c r="V316" i="5"/>
  <c r="V264" i="5"/>
  <c r="R181" i="5"/>
  <c r="V171" i="5"/>
  <c r="V579" i="5"/>
  <c r="V549" i="5"/>
  <c r="R299" i="5"/>
  <c r="R224" i="5"/>
  <c r="V184" i="5"/>
  <c r="R180" i="5"/>
  <c r="R460" i="5"/>
  <c r="V145" i="5"/>
  <c r="R142" i="5"/>
  <c r="R530" i="5"/>
  <c r="R455" i="5"/>
  <c r="R302" i="5"/>
  <c r="V161" i="5"/>
  <c r="V532" i="5"/>
  <c r="R383" i="5"/>
  <c r="V377" i="5"/>
  <c r="V348" i="5"/>
  <c r="V258" i="5"/>
  <c r="R594" i="5"/>
  <c r="R536" i="5"/>
  <c r="R395" i="5"/>
  <c r="R545" i="5"/>
  <c r="R540" i="5"/>
  <c r="R491" i="5"/>
  <c r="V420" i="5"/>
  <c r="V283" i="5"/>
  <c r="V278" i="5"/>
  <c r="V121" i="5"/>
  <c r="V531" i="5"/>
  <c r="R472" i="5"/>
  <c r="V432" i="5"/>
  <c r="R406" i="5"/>
  <c r="V401" i="5"/>
  <c r="R173" i="5"/>
  <c r="V147" i="5"/>
  <c r="R262" i="5"/>
  <c r="V222" i="5"/>
  <c r="R218" i="5"/>
  <c r="R266" i="5"/>
  <c r="R131" i="5"/>
  <c r="V224" i="5"/>
  <c r="R192" i="5"/>
  <c r="R214" i="5"/>
  <c r="R438" i="5"/>
  <c r="V550" i="5"/>
  <c r="V438" i="5"/>
  <c r="R234" i="5"/>
  <c r="V592" i="5"/>
  <c r="R524" i="5"/>
  <c r="V491" i="5"/>
  <c r="R444" i="5"/>
  <c r="V425" i="5"/>
  <c r="R589" i="5"/>
  <c r="V529" i="5"/>
  <c r="R470" i="5"/>
  <c r="V441" i="5"/>
  <c r="R561" i="5"/>
  <c r="R528" i="5"/>
  <c r="R478" i="5"/>
  <c r="R571" i="5"/>
  <c r="R550" i="5"/>
  <c r="V528" i="5"/>
  <c r="V511" i="5"/>
  <c r="R489" i="5"/>
  <c r="V481" i="5"/>
  <c r="R425" i="5"/>
  <c r="R197" i="5"/>
  <c r="V570" i="5"/>
  <c r="R441" i="5"/>
  <c r="V197" i="5"/>
  <c r="R587" i="5"/>
  <c r="R580" i="5"/>
  <c r="V480" i="5"/>
  <c r="V268" i="5"/>
  <c r="V574" i="5"/>
  <c r="R574" i="5"/>
  <c r="V548" i="5"/>
  <c r="R535" i="5"/>
  <c r="R519" i="5"/>
  <c r="R511" i="5"/>
  <c r="V350" i="5"/>
  <c r="V386" i="5"/>
  <c r="V349" i="5"/>
  <c r="V287" i="5"/>
  <c r="V162" i="5"/>
  <c r="R558" i="5"/>
  <c r="V501" i="5"/>
  <c r="R422" i="5"/>
  <c r="V418" i="5"/>
  <c r="V402" i="5"/>
  <c r="R276" i="5"/>
  <c r="V435" i="5"/>
  <c r="V429" i="5"/>
  <c r="V393" i="5"/>
  <c r="R344" i="5"/>
  <c r="R329" i="5"/>
  <c r="R198" i="5"/>
  <c r="R178" i="5"/>
  <c r="R176" i="5"/>
  <c r="V175" i="5"/>
  <c r="V413" i="5"/>
  <c r="V340" i="5"/>
  <c r="V210" i="5"/>
  <c r="V202" i="5"/>
  <c r="V198" i="5"/>
  <c r="R421" i="5"/>
  <c r="V400" i="5"/>
  <c r="V351" i="5"/>
  <c r="V320" i="5"/>
  <c r="V226" i="5"/>
  <c r="R596" i="5"/>
  <c r="R582" i="5"/>
  <c r="R424" i="5"/>
  <c r="V265" i="5"/>
  <c r="V253" i="5"/>
  <c r="R250" i="5"/>
  <c r="V245" i="5"/>
  <c r="V194" i="5"/>
  <c r="R153" i="5"/>
  <c r="R148" i="5"/>
  <c r="R129" i="5"/>
  <c r="V130" i="5"/>
  <c r="R592" i="5"/>
  <c r="R585" i="5"/>
  <c r="V552" i="5"/>
  <c r="R547" i="5"/>
  <c r="R544" i="5"/>
  <c r="R467" i="5"/>
  <c r="R216" i="5"/>
  <c r="V140" i="5"/>
  <c r="V594" i="5"/>
  <c r="V583" i="5"/>
  <c r="V569" i="5"/>
  <c r="R520" i="5"/>
  <c r="V519" i="5"/>
  <c r="V448" i="5"/>
  <c r="V360" i="5"/>
  <c r="V252" i="5"/>
  <c r="R160" i="5"/>
  <c r="R152" i="5"/>
  <c r="V228" i="5"/>
  <c r="R213" i="5"/>
  <c r="R187" i="5"/>
  <c r="V154" i="5"/>
  <c r="V132" i="5"/>
  <c r="V125" i="5"/>
  <c r="R408" i="5"/>
  <c r="V341" i="5"/>
  <c r="V273" i="5"/>
  <c r="V270" i="5"/>
  <c r="V193" i="5"/>
  <c r="R117" i="5"/>
  <c r="R534" i="5"/>
  <c r="V510" i="5"/>
  <c r="R508" i="5"/>
  <c r="R448" i="5"/>
  <c r="V378" i="5"/>
  <c r="R337" i="5"/>
  <c r="V334" i="5"/>
  <c r="R292" i="5"/>
  <c r="V284" i="5"/>
  <c r="V280" i="5"/>
  <c r="R267" i="5"/>
  <c r="V211" i="5"/>
  <c r="V207" i="5"/>
  <c r="R203" i="5"/>
  <c r="R162" i="5"/>
  <c r="R158" i="5"/>
  <c r="V153" i="5"/>
  <c r="R108" i="5"/>
  <c r="V455" i="5"/>
  <c r="R439" i="5"/>
  <c r="V419" i="5"/>
  <c r="R270" i="5"/>
  <c r="R243" i="5"/>
  <c r="R204" i="5"/>
  <c r="V196" i="5"/>
  <c r="R193" i="5"/>
  <c r="R190" i="5"/>
  <c r="V188" i="5"/>
  <c r="R169" i="5"/>
  <c r="V164" i="5"/>
  <c r="R156" i="5"/>
  <c r="R150" i="5"/>
  <c r="R141" i="5"/>
  <c r="R132" i="5"/>
  <c r="V115" i="5"/>
  <c r="R112" i="5"/>
  <c r="V111" i="5"/>
  <c r="V603" i="5"/>
  <c r="R399" i="5"/>
  <c r="R396" i="5"/>
  <c r="V380" i="5"/>
  <c r="R300" i="5"/>
  <c r="R236" i="5"/>
  <c r="R210" i="5"/>
  <c r="V205" i="5"/>
  <c r="R201" i="5"/>
  <c r="R191" i="5"/>
  <c r="V173" i="5"/>
  <c r="V151" i="5"/>
  <c r="R138" i="5"/>
  <c r="R118" i="5"/>
  <c r="V106" i="5"/>
  <c r="V408" i="5"/>
  <c r="V395" i="5"/>
  <c r="R392" i="5"/>
  <c r="V379" i="5"/>
  <c r="R310" i="5"/>
  <c r="V216" i="5"/>
  <c r="R206" i="5"/>
  <c r="V144" i="5"/>
  <c r="R127" i="5"/>
  <c r="R537" i="5"/>
  <c r="R488" i="5"/>
  <c r="V482" i="5"/>
  <c r="V461" i="5"/>
  <c r="V440" i="5"/>
  <c r="V554" i="5"/>
  <c r="R548" i="5"/>
  <c r="V530" i="5"/>
  <c r="V442" i="5"/>
  <c r="V433" i="5"/>
  <c r="V599" i="5"/>
  <c r="V576" i="5"/>
  <c r="R507" i="5"/>
  <c r="R500" i="5"/>
  <c r="V487" i="5"/>
  <c r="R487" i="5"/>
  <c r="V484" i="5"/>
  <c r="R484" i="5"/>
  <c r="V478" i="5"/>
  <c r="V472" i="5"/>
  <c r="V469" i="5"/>
  <c r="R469" i="5"/>
  <c r="R336" i="5"/>
  <c r="R599" i="5"/>
  <c r="R595" i="5"/>
  <c r="V581" i="5"/>
  <c r="V571" i="5"/>
  <c r="R556" i="5"/>
  <c r="R554" i="5"/>
  <c r="R527" i="5"/>
  <c r="V524" i="5"/>
  <c r="V521" i="5"/>
  <c r="V500" i="5"/>
  <c r="V475" i="5"/>
  <c r="R461" i="5"/>
  <c r="R458" i="5"/>
  <c r="V518" i="5"/>
  <c r="V590" i="5"/>
  <c r="V588" i="5"/>
  <c r="R509" i="5"/>
  <c r="V477" i="5"/>
  <c r="R477" i="5"/>
  <c r="R471" i="5"/>
  <c r="R436" i="5"/>
  <c r="R429" i="5"/>
  <c r="V600" i="5"/>
  <c r="R590" i="5"/>
  <c r="R581" i="5"/>
  <c r="V578" i="5"/>
  <c r="V573" i="5"/>
  <c r="V565" i="5"/>
  <c r="R551" i="5"/>
  <c r="R515" i="5"/>
  <c r="V471" i="5"/>
  <c r="R459" i="5"/>
  <c r="V459" i="5"/>
  <c r="V297" i="5"/>
  <c r="R588" i="5"/>
  <c r="V568" i="5"/>
  <c r="R529" i="5"/>
  <c r="R497" i="5"/>
  <c r="R480" i="5"/>
  <c r="V449" i="5"/>
  <c r="R314" i="5"/>
  <c r="R598" i="5"/>
  <c r="R578" i="5"/>
  <c r="R577" i="5"/>
  <c r="R539" i="5"/>
  <c r="V538" i="5"/>
  <c r="R538" i="5"/>
  <c r="V502" i="5"/>
  <c r="V572" i="5"/>
  <c r="V541" i="5"/>
  <c r="R531" i="5"/>
  <c r="V522" i="5"/>
  <c r="R499" i="5"/>
  <c r="V488" i="5"/>
  <c r="V473" i="5"/>
  <c r="V431" i="5"/>
  <c r="V457" i="5"/>
  <c r="V373" i="5"/>
  <c r="V346" i="5"/>
  <c r="V580" i="5"/>
  <c r="R572" i="5"/>
  <c r="V545" i="5"/>
  <c r="V534" i="5"/>
  <c r="V508" i="5"/>
  <c r="R504" i="5"/>
  <c r="V498" i="5"/>
  <c r="R494" i="5"/>
  <c r="R454" i="5"/>
  <c r="R446" i="5"/>
  <c r="R418" i="5"/>
  <c r="R411" i="5"/>
  <c r="V409" i="5"/>
  <c r="V394" i="5"/>
  <c r="V388" i="5"/>
  <c r="V354" i="5"/>
  <c r="V342" i="5"/>
  <c r="V330" i="5"/>
  <c r="V324" i="5"/>
  <c r="R324" i="5"/>
  <c r="V422" i="5"/>
  <c r="R409" i="5"/>
  <c r="R379" i="5"/>
  <c r="V539" i="5"/>
  <c r="V515" i="5"/>
  <c r="V485" i="5"/>
  <c r="R457" i="5"/>
  <c r="R401" i="5"/>
  <c r="V399" i="5"/>
  <c r="V403" i="5"/>
  <c r="R369" i="5"/>
  <c r="R356" i="5"/>
  <c r="V356" i="5"/>
  <c r="R286" i="5"/>
  <c r="V269" i="5"/>
  <c r="R269" i="5"/>
  <c r="R579" i="5"/>
  <c r="V551" i="5"/>
  <c r="V535" i="5"/>
  <c r="V520" i="5"/>
  <c r="V512" i="5"/>
  <c r="V507" i="5"/>
  <c r="R501" i="5"/>
  <c r="V497" i="5"/>
  <c r="R481" i="5"/>
  <c r="R456" i="5"/>
  <c r="R451" i="5"/>
  <c r="V445" i="5"/>
  <c r="V443" i="5"/>
  <c r="R442" i="5"/>
  <c r="R347" i="5"/>
  <c r="R326" i="5"/>
  <c r="R315" i="5"/>
  <c r="V286" i="5"/>
  <c r="V595" i="5"/>
  <c r="V593" i="5"/>
  <c r="V564" i="5"/>
  <c r="V544" i="5"/>
  <c r="V492" i="5"/>
  <c r="V466" i="5"/>
  <c r="V464" i="5"/>
  <c r="V458" i="5"/>
  <c r="V451" i="5"/>
  <c r="R445" i="5"/>
  <c r="V439" i="5"/>
  <c r="R428" i="5"/>
  <c r="V428" i="5"/>
  <c r="R415" i="5"/>
  <c r="V412" i="5"/>
  <c r="R407" i="5"/>
  <c r="V405" i="5"/>
  <c r="V398" i="5"/>
  <c r="R377" i="5"/>
  <c r="R320" i="5"/>
  <c r="V307" i="5"/>
  <c r="V555" i="5"/>
  <c r="V476" i="5"/>
  <c r="R466" i="5"/>
  <c r="V454" i="5"/>
  <c r="V452" i="5"/>
  <c r="V430" i="5"/>
  <c r="R419" i="5"/>
  <c r="R405" i="5"/>
  <c r="V366" i="5"/>
  <c r="R359" i="5"/>
  <c r="R353" i="5"/>
  <c r="V585" i="5"/>
  <c r="V540" i="5"/>
  <c r="V525" i="5"/>
  <c r="V506" i="5"/>
  <c r="V504" i="5"/>
  <c r="V496" i="5"/>
  <c r="V494" i="5"/>
  <c r="V490" i="5"/>
  <c r="V470" i="5"/>
  <c r="R464" i="5"/>
  <c r="V460" i="5"/>
  <c r="V450" i="5"/>
  <c r="R416" i="5"/>
  <c r="V414" i="5"/>
  <c r="R389" i="5"/>
  <c r="V389" i="5"/>
  <c r="V359" i="5"/>
  <c r="R291" i="5"/>
  <c r="R274" i="5"/>
  <c r="V404" i="5"/>
  <c r="V327" i="5"/>
  <c r="V309" i="5"/>
  <c r="R307" i="5"/>
  <c r="R281" i="5"/>
  <c r="R228" i="5"/>
  <c r="V192" i="5"/>
  <c r="V189" i="5"/>
  <c r="V157" i="5"/>
  <c r="V275" i="5"/>
  <c r="R242" i="5"/>
  <c r="V221" i="5"/>
  <c r="V436" i="5"/>
  <c r="V434" i="5"/>
  <c r="R412" i="5"/>
  <c r="R404" i="5"/>
  <c r="R386" i="5"/>
  <c r="V376" i="5"/>
  <c r="V363" i="5"/>
  <c r="V353" i="5"/>
  <c r="V331" i="5"/>
  <c r="V329" i="5"/>
  <c r="V325" i="5"/>
  <c r="V272" i="5"/>
  <c r="V254" i="5"/>
  <c r="R240" i="5"/>
  <c r="V167" i="5"/>
  <c r="R157" i="5"/>
  <c r="R136" i="5"/>
  <c r="R452" i="5"/>
  <c r="R434" i="5"/>
  <c r="V426" i="5"/>
  <c r="V411" i="5"/>
  <c r="R402" i="5"/>
  <c r="R394" i="5"/>
  <c r="R374" i="5"/>
  <c r="R366" i="5"/>
  <c r="R349" i="5"/>
  <c r="V343" i="5"/>
  <c r="V337" i="5"/>
  <c r="V335" i="5"/>
  <c r="R327" i="5"/>
  <c r="V323" i="5"/>
  <c r="V319" i="5"/>
  <c r="R317" i="5"/>
  <c r="V299" i="5"/>
  <c r="R296" i="5"/>
  <c r="V293" i="5"/>
  <c r="V285" i="5"/>
  <c r="R285" i="5"/>
  <c r="R227" i="5"/>
  <c r="R221" i="5"/>
  <c r="V215" i="5"/>
  <c r="V415" i="5"/>
  <c r="V369" i="5"/>
  <c r="V347" i="5"/>
  <c r="R306" i="5"/>
  <c r="R260" i="5"/>
  <c r="R238" i="5"/>
  <c r="V235" i="5"/>
  <c r="V191" i="5"/>
  <c r="R462" i="5"/>
  <c r="V446" i="5"/>
  <c r="R432" i="5"/>
  <c r="V424" i="5"/>
  <c r="R376" i="5"/>
  <c r="V367" i="5"/>
  <c r="R339" i="5"/>
  <c r="R335" i="5"/>
  <c r="R323" i="5"/>
  <c r="R316" i="5"/>
  <c r="V257" i="5"/>
  <c r="R251" i="5"/>
  <c r="R199" i="5"/>
  <c r="V322" i="5"/>
  <c r="R322" i="5"/>
  <c r="V310" i="5"/>
  <c r="V279" i="5"/>
  <c r="R279" i="5"/>
  <c r="R254" i="5"/>
  <c r="R186" i="5"/>
  <c r="V163" i="5"/>
  <c r="V362" i="5"/>
  <c r="R256" i="5"/>
  <c r="V234" i="5"/>
  <c r="V203" i="5"/>
  <c r="V185" i="5"/>
  <c r="V166" i="5"/>
  <c r="R290" i="5"/>
  <c r="V259" i="5"/>
  <c r="R258" i="5"/>
  <c r="V247" i="5"/>
  <c r="R194" i="5"/>
  <c r="V181" i="5"/>
  <c r="R166" i="5"/>
  <c r="V150" i="5"/>
  <c r="R301" i="5"/>
  <c r="V137" i="5"/>
  <c r="R109" i="5"/>
  <c r="V169" i="5"/>
  <c r="R146" i="5"/>
  <c r="V146" i="5"/>
  <c r="V112" i="5"/>
  <c r="R111" i="5"/>
  <c r="R106" i="5"/>
  <c r="R154" i="5"/>
  <c r="V124" i="5"/>
  <c r="R309" i="5"/>
  <c r="R297" i="5"/>
  <c r="V296" i="5"/>
  <c r="R257" i="5"/>
  <c r="R253" i="5"/>
  <c r="V218" i="5"/>
  <c r="R189" i="5"/>
  <c r="V186" i="5"/>
  <c r="V176" i="5"/>
  <c r="R139" i="5"/>
  <c r="V126" i="5"/>
  <c r="V230" i="5"/>
  <c r="V178" i="5"/>
  <c r="R161" i="5"/>
  <c r="V143" i="5"/>
  <c r="V300" i="5"/>
  <c r="V290" i="5"/>
  <c r="R265" i="5"/>
  <c r="R239" i="5"/>
  <c r="R226" i="5"/>
  <c r="V212" i="5"/>
  <c r="V208" i="5"/>
  <c r="V200" i="5"/>
  <c r="R174" i="5"/>
  <c r="R149" i="5"/>
  <c r="R143" i="5"/>
  <c r="R134" i="5"/>
  <c r="R126" i="5"/>
  <c r="R114" i="5"/>
  <c r="V298" i="5"/>
  <c r="V281" i="5"/>
  <c r="R273" i="5"/>
  <c r="R220" i="5"/>
  <c r="R212" i="5"/>
  <c r="V206" i="5"/>
  <c r="R202" i="5"/>
  <c r="R151" i="5"/>
  <c r="R128" i="5"/>
  <c r="R123" i="5"/>
  <c r="V152" i="5"/>
  <c r="V136" i="5"/>
  <c r="V134" i="5"/>
  <c r="V602" i="5"/>
  <c r="R602" i="5"/>
  <c r="R120" i="5"/>
  <c r="V142" i="5"/>
  <c r="V113" i="5"/>
  <c r="V108" i="5"/>
  <c r="R603" i="5"/>
  <c r="V127" i="5"/>
  <c r="V123" i="5"/>
  <c r="V117" i="5"/>
  <c r="R113" i="5"/>
  <c r="V104" i="5"/>
  <c r="R147" i="5"/>
  <c r="R144" i="5"/>
  <c r="V591" i="5"/>
  <c r="V582" i="5"/>
  <c r="R576" i="5"/>
  <c r="R564" i="5"/>
  <c r="V559" i="5"/>
  <c r="V517" i="5"/>
  <c r="V495" i="5"/>
  <c r="R495" i="5"/>
  <c r="R523" i="5"/>
  <c r="V523" i="5"/>
  <c r="V489" i="5"/>
  <c r="R586" i="5"/>
  <c r="V526" i="5"/>
  <c r="R485" i="5"/>
  <c r="V479" i="5"/>
  <c r="V586" i="5"/>
  <c r="V577" i="5"/>
  <c r="R573" i="5"/>
  <c r="R569" i="5"/>
  <c r="V566" i="5"/>
  <c r="V557" i="5"/>
  <c r="V546" i="5"/>
  <c r="R543" i="5"/>
  <c r="V543" i="5"/>
  <c r="V537" i="5"/>
  <c r="R526" i="5"/>
  <c r="R506" i="5"/>
  <c r="V486" i="5"/>
  <c r="R486" i="5"/>
  <c r="V596" i="5"/>
  <c r="V587" i="5"/>
  <c r="V575" i="5"/>
  <c r="R566" i="5"/>
  <c r="R563" i="5"/>
  <c r="V563" i="5"/>
  <c r="V516" i="5"/>
  <c r="V598" i="5"/>
  <c r="V584" i="5"/>
  <c r="R583" i="5"/>
  <c r="R557" i="5"/>
  <c r="R555" i="5"/>
  <c r="R546" i="5"/>
  <c r="V597" i="5"/>
  <c r="V589" i="5"/>
  <c r="V527" i="5"/>
  <c r="R516" i="5"/>
  <c r="V514" i="5"/>
  <c r="R514" i="5"/>
  <c r="V505" i="5"/>
  <c r="R505" i="5"/>
  <c r="R496" i="5"/>
  <c r="R593" i="5"/>
  <c r="V567" i="5"/>
  <c r="R533" i="5"/>
  <c r="V533" i="5"/>
  <c r="R584" i="5"/>
  <c r="R575" i="5"/>
  <c r="R570" i="5"/>
  <c r="R567" i="5"/>
  <c r="V562" i="5"/>
  <c r="V556" i="5"/>
  <c r="R553" i="5"/>
  <c r="V553" i="5"/>
  <c r="V547" i="5"/>
  <c r="V536" i="5"/>
  <c r="R525" i="5"/>
  <c r="R463" i="5"/>
  <c r="R423" i="5"/>
  <c r="V417" i="5"/>
  <c r="V385" i="5"/>
  <c r="R334" i="5"/>
  <c r="R211" i="5"/>
  <c r="V187" i="5"/>
  <c r="R107" i="5"/>
  <c r="V107" i="5"/>
  <c r="R104" i="5"/>
  <c r="R453" i="5"/>
  <c r="R388" i="5"/>
  <c r="R368" i="5"/>
  <c r="V368" i="5"/>
  <c r="R287" i="5"/>
  <c r="V256" i="5"/>
  <c r="R155" i="5"/>
  <c r="V155" i="5"/>
  <c r="R476" i="5"/>
  <c r="R433" i="5"/>
  <c r="V427" i="5"/>
  <c r="R417" i="5"/>
  <c r="R398" i="5"/>
  <c r="R385" i="5"/>
  <c r="V375" i="5"/>
  <c r="R375" i="5"/>
  <c r="R372" i="5"/>
  <c r="R358" i="5"/>
  <c r="V358" i="5"/>
  <c r="V345" i="5"/>
  <c r="V328" i="5"/>
  <c r="V263" i="5"/>
  <c r="V248" i="5"/>
  <c r="R246" i="5"/>
  <c r="R229" i="5"/>
  <c r="R175" i="5"/>
  <c r="V172" i="5"/>
  <c r="R122" i="5"/>
  <c r="R450" i="5"/>
  <c r="R443" i="5"/>
  <c r="R362" i="5"/>
  <c r="V352" i="5"/>
  <c r="V339" i="5"/>
  <c r="R318" i="5"/>
  <c r="R263" i="5"/>
  <c r="R259" i="5"/>
  <c r="V177" i="5"/>
  <c r="R177" i="5"/>
  <c r="R172" i="5"/>
  <c r="V447" i="5"/>
  <c r="V437" i="5"/>
  <c r="R427" i="5"/>
  <c r="V396" i="5"/>
  <c r="R393" i="5"/>
  <c r="R391" i="5"/>
  <c r="V384" i="5"/>
  <c r="R371" i="5"/>
  <c r="V371" i="5"/>
  <c r="R352" i="5"/>
  <c r="R345" i="5"/>
  <c r="V318" i="5"/>
  <c r="R248" i="5"/>
  <c r="R223" i="5"/>
  <c r="V223" i="5"/>
  <c r="R559" i="5"/>
  <c r="V513" i="5"/>
  <c r="V503" i="5"/>
  <c r="V493" i="5"/>
  <c r="V483" i="5"/>
  <c r="V468" i="5"/>
  <c r="R447" i="5"/>
  <c r="V382" i="5"/>
  <c r="V313" i="5"/>
  <c r="V303" i="5"/>
  <c r="R208" i="5"/>
  <c r="R130" i="5"/>
  <c r="V474" i="5"/>
  <c r="R437" i="5"/>
  <c r="V406" i="5"/>
  <c r="R403" i="5"/>
  <c r="V397" i="5"/>
  <c r="R313" i="5"/>
  <c r="R252" i="5"/>
  <c r="R473" i="5"/>
  <c r="V467" i="5"/>
  <c r="V463" i="5"/>
  <c r="V444" i="5"/>
  <c r="R384" i="5"/>
  <c r="R378" i="5"/>
  <c r="V365" i="5"/>
  <c r="V355" i="5"/>
  <c r="V305" i="5"/>
  <c r="R303" i="5"/>
  <c r="R280" i="5"/>
  <c r="R277" i="5"/>
  <c r="R196" i="5"/>
  <c r="V182" i="5"/>
  <c r="R182" i="5"/>
  <c r="R562" i="5"/>
  <c r="R552" i="5"/>
  <c r="R542" i="5"/>
  <c r="R532" i="5"/>
  <c r="R522" i="5"/>
  <c r="R512" i="5"/>
  <c r="R502" i="5"/>
  <c r="R492" i="5"/>
  <c r="R482" i="5"/>
  <c r="V456" i="5"/>
  <c r="V423" i="5"/>
  <c r="V416" i="5"/>
  <c r="R413" i="5"/>
  <c r="V407" i="5"/>
  <c r="R397" i="5"/>
  <c r="R382" i="5"/>
  <c r="R365" i="5"/>
  <c r="R355" i="5"/>
  <c r="R342" i="5"/>
  <c r="V332" i="5"/>
  <c r="V315" i="5"/>
  <c r="R305" i="5"/>
  <c r="V295" i="5"/>
  <c r="R295" i="5"/>
  <c r="V209" i="5"/>
  <c r="R209" i="5"/>
  <c r="R184" i="5"/>
  <c r="V141" i="5"/>
  <c r="R513" i="5"/>
  <c r="R503" i="5"/>
  <c r="R493" i="5"/>
  <c r="R483" i="5"/>
  <c r="R474" i="5"/>
  <c r="R468" i="5"/>
  <c r="V453" i="5"/>
  <c r="R435" i="5"/>
  <c r="R426" i="5"/>
  <c r="R387" i="5"/>
  <c r="R381" i="5"/>
  <c r="V381" i="5"/>
  <c r="R367" i="5"/>
  <c r="R357" i="5"/>
  <c r="R332" i="5"/>
  <c r="V306" i="5"/>
  <c r="R272" i="5"/>
  <c r="V170" i="5"/>
  <c r="R167" i="5"/>
  <c r="V118" i="5"/>
  <c r="V114" i="5"/>
  <c r="V372" i="5"/>
  <c r="V370" i="5"/>
  <c r="V357" i="5"/>
  <c r="R346" i="5"/>
  <c r="R343" i="5"/>
  <c r="V314" i="5"/>
  <c r="V301" i="5"/>
  <c r="R293" i="5"/>
  <c r="V251" i="5"/>
  <c r="V238" i="5"/>
  <c r="V236" i="5"/>
  <c r="V227" i="5"/>
  <c r="R185" i="5"/>
  <c r="V174" i="5"/>
  <c r="V156" i="5"/>
  <c r="R278" i="5"/>
  <c r="R275" i="5"/>
  <c r="R219" i="5"/>
  <c r="R217" i="5"/>
  <c r="V159" i="5"/>
  <c r="V110" i="5"/>
  <c r="R105" i="5"/>
  <c r="R440" i="5"/>
  <c r="R430" i="5"/>
  <c r="R420" i="5"/>
  <c r="R410" i="5"/>
  <c r="R400" i="5"/>
  <c r="V392" i="5"/>
  <c r="V390" i="5"/>
  <c r="R363" i="5"/>
  <c r="V344" i="5"/>
  <c r="V336" i="5"/>
  <c r="R330" i="5"/>
  <c r="V291" i="5"/>
  <c r="R247" i="5"/>
  <c r="R215" i="5"/>
  <c r="V179" i="5"/>
  <c r="R179" i="5"/>
  <c r="R115" i="5"/>
  <c r="R341" i="5"/>
  <c r="R338" i="5"/>
  <c r="V304" i="5"/>
  <c r="V294" i="5"/>
  <c r="R268" i="5"/>
  <c r="R255" i="5"/>
  <c r="V255" i="5"/>
  <c r="V232" i="5"/>
  <c r="R165" i="5"/>
  <c r="R159" i="5"/>
  <c r="R110" i="5"/>
  <c r="V364" i="5"/>
  <c r="R354" i="5"/>
  <c r="R351" i="5"/>
  <c r="R328" i="5"/>
  <c r="R325" i="5"/>
  <c r="R308" i="5"/>
  <c r="V308" i="5"/>
  <c r="R304" i="5"/>
  <c r="V292" i="5"/>
  <c r="R284" i="5"/>
  <c r="V282" i="5"/>
  <c r="V241" i="5"/>
  <c r="R222" i="5"/>
  <c r="R188" i="5"/>
  <c r="V183" i="5"/>
  <c r="R183" i="5"/>
  <c r="V165" i="5"/>
  <c r="R140" i="5"/>
  <c r="V374" i="5"/>
  <c r="R364" i="5"/>
  <c r="R361" i="5"/>
  <c r="R348" i="5"/>
  <c r="R312" i="5"/>
  <c r="R294" i="5"/>
  <c r="R289" i="5"/>
  <c r="V289" i="5"/>
  <c r="R282" i="5"/>
  <c r="V277" i="5"/>
  <c r="V243" i="5"/>
  <c r="R232" i="5"/>
  <c r="V220" i="5"/>
  <c r="V201" i="5"/>
  <c r="V190" i="5"/>
  <c r="V138" i="5"/>
  <c r="V120" i="5"/>
  <c r="R333" i="5"/>
  <c r="V326" i="5"/>
  <c r="V317" i="5"/>
  <c r="R311" i="5"/>
  <c r="R288" i="5"/>
  <c r="R283" i="5"/>
  <c r="V276" i="5"/>
  <c r="V267" i="5"/>
  <c r="R261" i="5"/>
  <c r="V250" i="5"/>
  <c r="R249" i="5"/>
  <c r="V249" i="5"/>
  <c r="R245" i="5"/>
  <c r="V240" i="5"/>
  <c r="V237" i="5"/>
  <c r="V204" i="5"/>
  <c r="R200" i="5"/>
  <c r="V168" i="5"/>
  <c r="R168" i="5"/>
  <c r="V311" i="5"/>
  <c r="V302" i="5"/>
  <c r="V261" i="5"/>
  <c r="V242" i="5"/>
  <c r="V231" i="5"/>
  <c r="R171" i="5"/>
  <c r="V133" i="5"/>
  <c r="R116" i="5"/>
  <c r="V116" i="5"/>
  <c r="R390" i="5"/>
  <c r="R380" i="5"/>
  <c r="R370" i="5"/>
  <c r="R360" i="5"/>
  <c r="R350" i="5"/>
  <c r="R340" i="5"/>
  <c r="R321" i="5"/>
  <c r="R298" i="5"/>
  <c r="R271" i="5"/>
  <c r="R237" i="5"/>
  <c r="R231" i="5"/>
  <c r="R225" i="5"/>
  <c r="V225" i="5"/>
  <c r="V213" i="5"/>
  <c r="R207" i="5"/>
  <c r="R195" i="5"/>
  <c r="V195" i="5"/>
  <c r="R133" i="5"/>
  <c r="V601" i="5"/>
  <c r="V321" i="5"/>
  <c r="V312" i="5"/>
  <c r="V271" i="5"/>
  <c r="V262" i="5"/>
  <c r="V219" i="5"/>
  <c r="V214" i="5"/>
  <c r="V160" i="5"/>
  <c r="R121" i="5"/>
  <c r="R601" i="5"/>
  <c r="V239" i="5"/>
  <c r="V148" i="5"/>
  <c r="V139" i="5"/>
  <c r="V131" i="5"/>
  <c r="V128" i="5"/>
  <c r="R124" i="5"/>
  <c r="V119" i="5"/>
  <c r="V109" i="5"/>
  <c r="R205" i="5"/>
  <c r="V199" i="5"/>
  <c r="V158" i="5"/>
  <c r="V149" i="5"/>
  <c r="R235" i="5"/>
  <c r="V229" i="5"/>
  <c r="R145" i="5"/>
  <c r="V129" i="5"/>
  <c r="V122" i="5"/>
  <c r="R119" i="5"/>
  <c r="R135" i="5"/>
  <c r="R125" i="5"/>
  <c r="E5" i="3"/>
  <c r="F5" i="3" s="1"/>
  <c r="G5" i="3" s="1"/>
  <c r="H5" i="3" s="1"/>
  <c r="I5" i="3" s="1"/>
  <c r="J5" i="3" s="1"/>
  <c r="K5" i="3" s="1"/>
  <c r="L5" i="3" s="1"/>
  <c r="M5" i="3" s="1"/>
  <c r="N5" i="3" s="1"/>
  <c r="O5" i="3" s="1"/>
  <c r="P5" i="3" s="1"/>
  <c r="R4" i="5"/>
  <c r="V20" i="5"/>
  <c r="R20" i="5"/>
  <c r="V18" i="5"/>
  <c r="R18" i="5"/>
  <c r="V85" i="5"/>
  <c r="R85" i="5"/>
  <c r="V69" i="5"/>
  <c r="R69" i="5"/>
  <c r="V45" i="5"/>
  <c r="R45" i="5"/>
  <c r="V17" i="5"/>
  <c r="R17" i="5"/>
  <c r="R9" i="5"/>
  <c r="V9" i="5"/>
  <c r="V100" i="5"/>
  <c r="R100" i="5"/>
  <c r="R92" i="5"/>
  <c r="V92" i="5"/>
  <c r="R84" i="5"/>
  <c r="V84" i="5"/>
  <c r="R76" i="5"/>
  <c r="V76" i="5"/>
  <c r="V68" i="5"/>
  <c r="R68" i="5"/>
  <c r="V60" i="5"/>
  <c r="R60" i="5"/>
  <c r="V52" i="5"/>
  <c r="R52" i="5"/>
  <c r="R44" i="5"/>
  <c r="V44" i="5"/>
  <c r="V36" i="5"/>
  <c r="R36" i="5"/>
  <c r="R28" i="5"/>
  <c r="V28" i="5"/>
  <c r="V10" i="5"/>
  <c r="R10" i="5"/>
  <c r="V93" i="5"/>
  <c r="R93" i="5"/>
  <c r="V61" i="5"/>
  <c r="R61" i="5"/>
  <c r="R37" i="5"/>
  <c r="V37" i="5"/>
  <c r="R16" i="5"/>
  <c r="V16" i="5"/>
  <c r="V91" i="5"/>
  <c r="R91" i="5"/>
  <c r="V75" i="5"/>
  <c r="R75" i="5"/>
  <c r="V51" i="5"/>
  <c r="R51" i="5"/>
  <c r="V27" i="5"/>
  <c r="R27" i="5"/>
  <c r="R101" i="5"/>
  <c r="V101" i="5"/>
  <c r="V77" i="5"/>
  <c r="R77" i="5"/>
  <c r="R53" i="5"/>
  <c r="V53" i="5"/>
  <c r="V29" i="5"/>
  <c r="R29" i="5"/>
  <c r="V59" i="5"/>
  <c r="R59" i="5"/>
  <c r="R23" i="5"/>
  <c r="V23" i="5"/>
  <c r="R15" i="5"/>
  <c r="V15" i="5"/>
  <c r="R7" i="5"/>
  <c r="V7" i="5"/>
  <c r="V98" i="5"/>
  <c r="R98" i="5"/>
  <c r="V90" i="5"/>
  <c r="R90" i="5"/>
  <c r="V82" i="5"/>
  <c r="R82" i="5"/>
  <c r="V74" i="5"/>
  <c r="R74" i="5"/>
  <c r="V66" i="5"/>
  <c r="R66" i="5"/>
  <c r="V58" i="5"/>
  <c r="R58" i="5"/>
  <c r="V50" i="5"/>
  <c r="R50" i="5"/>
  <c r="V42" i="5"/>
  <c r="R42" i="5"/>
  <c r="V34" i="5"/>
  <c r="R34" i="5"/>
  <c r="V26" i="5"/>
  <c r="R26" i="5"/>
  <c r="R12" i="5"/>
  <c r="V12" i="5"/>
  <c r="R95" i="5"/>
  <c r="V95" i="5"/>
  <c r="R79" i="5"/>
  <c r="V79" i="5"/>
  <c r="R63" i="5"/>
  <c r="V63" i="5"/>
  <c r="R47" i="5"/>
  <c r="V47" i="5"/>
  <c r="R39" i="5"/>
  <c r="V39" i="5"/>
  <c r="V8" i="5"/>
  <c r="R8" i="5"/>
  <c r="V83" i="5"/>
  <c r="R83" i="5"/>
  <c r="V43" i="5"/>
  <c r="R43" i="5"/>
  <c r="R22" i="5"/>
  <c r="V22" i="5"/>
  <c r="R14" i="5"/>
  <c r="V14" i="5"/>
  <c r="R6" i="5"/>
  <c r="V6" i="5"/>
  <c r="V97" i="5"/>
  <c r="R97" i="5"/>
  <c r="V89" i="5"/>
  <c r="R89" i="5"/>
  <c r="V81" i="5"/>
  <c r="R81" i="5"/>
  <c r="V73" i="5"/>
  <c r="R73" i="5"/>
  <c r="V65" i="5"/>
  <c r="R65" i="5"/>
  <c r="V57" i="5"/>
  <c r="R57" i="5"/>
  <c r="R49" i="5"/>
  <c r="V49" i="5"/>
  <c r="R41" i="5"/>
  <c r="V41" i="5"/>
  <c r="V33" i="5"/>
  <c r="R33" i="5"/>
  <c r="R25" i="5"/>
  <c r="V25" i="5"/>
  <c r="V4" i="5"/>
  <c r="V103" i="5"/>
  <c r="R103" i="5"/>
  <c r="V87" i="5"/>
  <c r="R87" i="5"/>
  <c r="V71" i="5"/>
  <c r="R71" i="5"/>
  <c r="R55" i="5"/>
  <c r="V55" i="5"/>
  <c r="R31" i="5"/>
  <c r="V31" i="5"/>
  <c r="V99" i="5"/>
  <c r="R99" i="5"/>
  <c r="V67" i="5"/>
  <c r="R67" i="5"/>
  <c r="V35" i="5"/>
  <c r="R35" i="5"/>
  <c r="R21" i="5"/>
  <c r="V21" i="5"/>
  <c r="V13" i="5"/>
  <c r="R13" i="5"/>
  <c r="R5" i="5"/>
  <c r="V5" i="5"/>
  <c r="R96" i="5"/>
  <c r="V96" i="5"/>
  <c r="V88" i="5"/>
  <c r="R88" i="5"/>
  <c r="R80" i="5"/>
  <c r="V80" i="5"/>
  <c r="V72" i="5"/>
  <c r="R72" i="5"/>
  <c r="R64" i="5"/>
  <c r="V64" i="5"/>
  <c r="V56" i="5"/>
  <c r="R56" i="5"/>
  <c r="R48" i="5"/>
  <c r="V48" i="5"/>
  <c r="R40" i="5"/>
  <c r="V40" i="5"/>
  <c r="R32" i="5"/>
  <c r="V32" i="5"/>
  <c r="V24" i="5"/>
  <c r="R24" i="5"/>
  <c r="V19" i="5"/>
  <c r="R19" i="5"/>
  <c r="V11" i="5"/>
  <c r="R11" i="5"/>
  <c r="R102" i="5"/>
  <c r="V102" i="5"/>
  <c r="V94" i="5"/>
  <c r="R94" i="5"/>
  <c r="V86" i="5"/>
  <c r="R86" i="5"/>
  <c r="V78" i="5"/>
  <c r="R78" i="5"/>
  <c r="V70" i="5"/>
  <c r="R70" i="5"/>
  <c r="R62" i="5"/>
  <c r="V62" i="5"/>
  <c r="R54" i="5"/>
  <c r="V54" i="5"/>
  <c r="V46" i="5"/>
  <c r="R46" i="5"/>
  <c r="R38" i="5"/>
  <c r="V38" i="5"/>
  <c r="R30" i="5"/>
  <c r="V30" i="5"/>
  <c r="I10" i="17" l="1"/>
  <c r="E36" i="23"/>
  <c r="D36" i="23" s="1"/>
  <c r="A36" i="23" s="1"/>
  <c r="E35" i="23"/>
  <c r="D35" i="23" s="1"/>
  <c r="A35" i="23" s="1"/>
  <c r="E37" i="23"/>
  <c r="D37" i="23" s="1"/>
  <c r="A37" i="23" s="1"/>
  <c r="A321" i="5"/>
  <c r="A385" i="5"/>
  <c r="A508" i="5"/>
  <c r="A53" i="5"/>
  <c r="A314" i="5"/>
  <c r="A570" i="5"/>
  <c r="D41" i="23"/>
  <c r="D38" i="23"/>
  <c r="D51" i="23"/>
  <c r="D43" i="23"/>
  <c r="D44" i="23"/>
  <c r="D57" i="23"/>
  <c r="D49" i="23"/>
  <c r="D42" i="23"/>
  <c r="D33" i="23"/>
  <c r="D47" i="23"/>
  <c r="D56" i="23"/>
  <c r="D45" i="23"/>
  <c r="D39" i="23"/>
  <c r="D58" i="23"/>
  <c r="D46" i="23"/>
  <c r="D34" i="23"/>
  <c r="D50" i="23"/>
  <c r="D40" i="23"/>
  <c r="D52" i="23"/>
  <c r="D48" i="23"/>
  <c r="N5" i="10"/>
  <c r="W5" i="19"/>
  <c r="E32" i="23" s="1"/>
  <c r="A323" i="5"/>
  <c r="A476" i="5"/>
  <c r="A391" i="5"/>
  <c r="A455" i="5"/>
  <c r="A519" i="5"/>
  <c r="A122" i="5"/>
  <c r="A186" i="5"/>
  <c r="A250" i="5"/>
  <c r="A378" i="5"/>
  <c r="A506" i="5"/>
  <c r="A513" i="5"/>
  <c r="A339" i="5"/>
  <c r="A467" i="5"/>
  <c r="A12" i="5"/>
  <c r="A35" i="5"/>
  <c r="A548" i="5"/>
  <c r="A157" i="5"/>
  <c r="A285" i="5"/>
  <c r="A349" i="5"/>
  <c r="A413" i="5"/>
  <c r="A449" i="5"/>
  <c r="A257" i="5"/>
  <c r="A46" i="5"/>
  <c r="A5" i="5"/>
  <c r="A156" i="5"/>
  <c r="A263" i="5"/>
  <c r="A477" i="5"/>
  <c r="A221" i="5"/>
  <c r="A412" i="5"/>
  <c r="A193" i="5"/>
  <c r="A80" i="5"/>
  <c r="A171" i="5"/>
  <c r="A49" i="5"/>
  <c r="A144" i="5"/>
  <c r="A272" i="5"/>
  <c r="A336" i="5"/>
  <c r="A400" i="5"/>
  <c r="A592" i="5"/>
  <c r="A48" i="5"/>
  <c r="A87" i="5"/>
  <c r="A267" i="5"/>
  <c r="A395" i="5"/>
  <c r="A459" i="5"/>
  <c r="A523" i="5"/>
  <c r="A110" i="5"/>
  <c r="A302" i="5"/>
  <c r="A430" i="5"/>
  <c r="A494" i="5"/>
  <c r="A558" i="5"/>
  <c r="A20" i="5"/>
  <c r="A215" i="5"/>
  <c r="A343" i="5"/>
  <c r="A407" i="5"/>
  <c r="A471" i="5"/>
  <c r="A599" i="5"/>
  <c r="A43" i="5"/>
  <c r="A14" i="5"/>
  <c r="A139" i="5"/>
  <c r="A180" i="5"/>
  <c r="A329" i="5"/>
  <c r="A393" i="5"/>
  <c r="A196" i="5"/>
  <c r="A124" i="5"/>
  <c r="A380" i="5"/>
  <c r="A138" i="5"/>
  <c r="A330" i="5"/>
  <c r="A458" i="5"/>
  <c r="A586" i="5"/>
  <c r="A50" i="5"/>
  <c r="A81" i="5"/>
  <c r="A405" i="5"/>
  <c r="A469" i="5"/>
  <c r="A597" i="5"/>
  <c r="A4" i="5"/>
  <c r="A216" i="5"/>
  <c r="A408" i="5"/>
  <c r="A472" i="5"/>
  <c r="A600" i="5"/>
  <c r="A211" i="5"/>
  <c r="A275" i="5"/>
  <c r="A403" i="5"/>
  <c r="A118" i="5"/>
  <c r="A182" i="5"/>
  <c r="A374" i="5"/>
  <c r="A502" i="5"/>
  <c r="A76" i="5"/>
  <c r="A479" i="5"/>
  <c r="A99" i="5"/>
  <c r="A70" i="5"/>
  <c r="A147" i="5"/>
  <c r="A545" i="5"/>
  <c r="A145" i="5"/>
  <c r="A273" i="5"/>
  <c r="A337" i="5"/>
  <c r="A401" i="5"/>
  <c r="A465" i="5"/>
  <c r="A529" i="5"/>
  <c r="A260" i="5"/>
  <c r="A132" i="5"/>
  <c r="A146" i="5"/>
  <c r="A274" i="5"/>
  <c r="A402" i="5"/>
  <c r="A466" i="5"/>
  <c r="A530" i="5"/>
  <c r="A594" i="5"/>
  <c r="A9" i="5"/>
  <c r="A101" i="5"/>
  <c r="A37" i="5"/>
  <c r="A160" i="5"/>
  <c r="A224" i="5"/>
  <c r="A288" i="5"/>
  <c r="A480" i="5"/>
  <c r="A96" i="5"/>
  <c r="A32" i="5"/>
  <c r="A55" i="5"/>
  <c r="A219" i="5"/>
  <c r="A283" i="5"/>
  <c r="A347" i="5"/>
  <c r="A475" i="5"/>
  <c r="A539" i="5"/>
  <c r="A79" i="5"/>
  <c r="A126" i="5"/>
  <c r="A190" i="5"/>
  <c r="A254" i="5"/>
  <c r="A382" i="5"/>
  <c r="A446" i="5"/>
  <c r="A510" i="5"/>
  <c r="A574" i="5"/>
  <c r="A167" i="5"/>
  <c r="A295" i="5"/>
  <c r="A359" i="5"/>
  <c r="A423" i="5"/>
  <c r="A487" i="5"/>
  <c r="A588" i="5"/>
  <c r="A516" i="5"/>
  <c r="A532" i="5"/>
  <c r="A281" i="5"/>
  <c r="A345" i="5"/>
  <c r="A409" i="5"/>
  <c r="A473" i="5"/>
  <c r="A561" i="5"/>
  <c r="A276" i="5"/>
  <c r="A140" i="5"/>
  <c r="A268" i="5"/>
  <c r="A420" i="5"/>
  <c r="A556" i="5"/>
  <c r="A154" i="5"/>
  <c r="A218" i="5"/>
  <c r="A282" i="5"/>
  <c r="A346" i="5"/>
  <c r="A538" i="5"/>
  <c r="A98" i="5"/>
  <c r="A34" i="5"/>
  <c r="A65" i="5"/>
  <c r="A601" i="5"/>
  <c r="A165" i="5"/>
  <c r="A357" i="5"/>
  <c r="A421" i="5"/>
  <c r="A485" i="5"/>
  <c r="A93" i="5"/>
  <c r="A42" i="5"/>
  <c r="A199" i="5"/>
  <c r="A583" i="5"/>
  <c r="A220" i="5"/>
  <c r="A327" i="5"/>
  <c r="A541" i="5"/>
  <c r="A577" i="5"/>
  <c r="A442" i="5"/>
  <c r="A129" i="5"/>
  <c r="A491" i="5"/>
  <c r="A348" i="5"/>
  <c r="A104" i="5"/>
  <c r="A168" i="5"/>
  <c r="A232" i="5"/>
  <c r="A296" i="5"/>
  <c r="A488" i="5"/>
  <c r="A552" i="5"/>
  <c r="A47" i="5"/>
  <c r="A227" i="5"/>
  <c r="A419" i="5"/>
  <c r="A483" i="5"/>
  <c r="A63" i="5"/>
  <c r="A134" i="5"/>
  <c r="A198" i="5"/>
  <c r="A262" i="5"/>
  <c r="A326" i="5"/>
  <c r="A390" i="5"/>
  <c r="A454" i="5"/>
  <c r="A582" i="5"/>
  <c r="A111" i="5"/>
  <c r="A175" i="5"/>
  <c r="A303" i="5"/>
  <c r="A431" i="5"/>
  <c r="A559" i="5"/>
  <c r="A83" i="5"/>
  <c r="A19" i="5"/>
  <c r="A54" i="5"/>
  <c r="A596" i="5"/>
  <c r="A163" i="5"/>
  <c r="A580" i="5"/>
  <c r="A252" i="5"/>
  <c r="A225" i="5"/>
  <c r="A289" i="5"/>
  <c r="A353" i="5"/>
  <c r="A417" i="5"/>
  <c r="A481" i="5"/>
  <c r="A569" i="5"/>
  <c r="A284" i="5"/>
  <c r="A148" i="5"/>
  <c r="A436" i="5"/>
  <c r="A572" i="5"/>
  <c r="A162" i="5"/>
  <c r="A226" i="5"/>
  <c r="A290" i="5"/>
  <c r="A354" i="5"/>
  <c r="A482" i="5"/>
  <c r="A546" i="5"/>
  <c r="A90" i="5"/>
  <c r="A26" i="5"/>
  <c r="A365" i="5"/>
  <c r="A85" i="5"/>
  <c r="A21" i="5"/>
  <c r="A240" i="5"/>
  <c r="A304" i="5"/>
  <c r="A368" i="5"/>
  <c r="A432" i="5"/>
  <c r="A496" i="5"/>
  <c r="A560" i="5"/>
  <c r="A235" i="5"/>
  <c r="A299" i="5"/>
  <c r="A427" i="5"/>
  <c r="A142" i="5"/>
  <c r="A206" i="5"/>
  <c r="A270" i="5"/>
  <c r="A398" i="5"/>
  <c r="A462" i="5"/>
  <c r="A590" i="5"/>
  <c r="A119" i="5"/>
  <c r="A247" i="5"/>
  <c r="A439" i="5"/>
  <c r="A503" i="5"/>
  <c r="A567" i="5"/>
  <c r="A105" i="5"/>
  <c r="A169" i="5"/>
  <c r="A297" i="5"/>
  <c r="A361" i="5"/>
  <c r="A425" i="5"/>
  <c r="A489" i="5"/>
  <c r="A444" i="5"/>
  <c r="A452" i="5"/>
  <c r="A170" i="5"/>
  <c r="A234" i="5"/>
  <c r="A362" i="5"/>
  <c r="A82" i="5"/>
  <c r="A117" i="5"/>
  <c r="A181" i="5"/>
  <c r="A309" i="5"/>
  <c r="A373" i="5"/>
  <c r="A437" i="5"/>
  <c r="A16" i="5"/>
  <c r="A120" i="5"/>
  <c r="A184" i="5"/>
  <c r="A248" i="5"/>
  <c r="A376" i="5"/>
  <c r="A440" i="5"/>
  <c r="A8" i="5"/>
  <c r="A15" i="5"/>
  <c r="A307" i="5"/>
  <c r="A371" i="5"/>
  <c r="A435" i="5"/>
  <c r="A499" i="5"/>
  <c r="A563" i="5"/>
  <c r="A150" i="5"/>
  <c r="A278" i="5"/>
  <c r="A406" i="5"/>
  <c r="A534" i="5"/>
  <c r="A598" i="5"/>
  <c r="A44" i="5"/>
  <c r="A127" i="5"/>
  <c r="A383" i="5"/>
  <c r="A447" i="5"/>
  <c r="A511" i="5"/>
  <c r="A575" i="5"/>
  <c r="A102" i="5"/>
  <c r="A38" i="5"/>
  <c r="A115" i="5"/>
  <c r="A396" i="5"/>
  <c r="A324" i="5"/>
  <c r="A113" i="5"/>
  <c r="A241" i="5"/>
  <c r="A305" i="5"/>
  <c r="A369" i="5"/>
  <c r="A433" i="5"/>
  <c r="A497" i="5"/>
  <c r="A585" i="5"/>
  <c r="A564" i="5"/>
  <c r="A172" i="5"/>
  <c r="A242" i="5"/>
  <c r="A306" i="5"/>
  <c r="A370" i="5"/>
  <c r="A562" i="5"/>
  <c r="A189" i="5"/>
  <c r="A317" i="5"/>
  <c r="A381" i="5"/>
  <c r="A445" i="5"/>
  <c r="A509" i="5"/>
  <c r="A192" i="5"/>
  <c r="A256" i="5"/>
  <c r="A320" i="5"/>
  <c r="A448" i="5"/>
  <c r="A512" i="5"/>
  <c r="A576" i="5"/>
  <c r="A64" i="5"/>
  <c r="A315" i="5"/>
  <c r="A379" i="5"/>
  <c r="A571" i="5"/>
  <c r="A350" i="5"/>
  <c r="A414" i="5"/>
  <c r="A478" i="5"/>
  <c r="A542" i="5"/>
  <c r="A553" i="5"/>
  <c r="A340" i="5"/>
  <c r="A121" i="5"/>
  <c r="A249" i="5"/>
  <c r="A313" i="5"/>
  <c r="A377" i="5"/>
  <c r="A441" i="5"/>
  <c r="A108" i="5"/>
  <c r="A204" i="5"/>
  <c r="A492" i="5"/>
  <c r="A66" i="5"/>
  <c r="A97" i="5"/>
  <c r="A33" i="5"/>
  <c r="A133" i="5"/>
  <c r="A197" i="5"/>
  <c r="A261" i="5"/>
  <c r="A325" i="5"/>
  <c r="A389" i="5"/>
  <c r="A453" i="5"/>
  <c r="A517" i="5"/>
  <c r="A581" i="5"/>
  <c r="A92" i="5"/>
  <c r="A135" i="5"/>
  <c r="A328" i="5"/>
  <c r="A392" i="5"/>
  <c r="A456" i="5"/>
  <c r="A520" i="5"/>
  <c r="A584" i="5"/>
  <c r="A259" i="5"/>
  <c r="A387" i="5"/>
  <c r="A579" i="5"/>
  <c r="A166" i="5"/>
  <c r="A230" i="5"/>
  <c r="A358" i="5"/>
  <c r="A422" i="5"/>
  <c r="A486" i="5"/>
  <c r="A550" i="5"/>
  <c r="A143" i="5"/>
  <c r="A207" i="5"/>
  <c r="A271" i="5"/>
  <c r="A335" i="5"/>
  <c r="A399" i="5"/>
  <c r="A463" i="5"/>
  <c r="A527" i="5"/>
  <c r="A51" i="5"/>
  <c r="A86" i="5"/>
  <c r="A593" i="5"/>
  <c r="A188" i="5"/>
  <c r="A130" i="5"/>
  <c r="A194" i="5"/>
  <c r="A322" i="5"/>
  <c r="A386" i="5"/>
  <c r="A450" i="5"/>
  <c r="A514" i="5"/>
  <c r="A578" i="5"/>
  <c r="A141" i="5"/>
  <c r="A205" i="5"/>
  <c r="A269" i="5"/>
  <c r="A397" i="5"/>
  <c r="A461" i="5"/>
  <c r="A589" i="5"/>
  <c r="A239" i="5"/>
  <c r="A316" i="5"/>
  <c r="A161" i="5"/>
  <c r="A418" i="5"/>
  <c r="A109" i="5"/>
  <c r="A112" i="5"/>
  <c r="A176" i="5"/>
  <c r="A31" i="5"/>
  <c r="A363" i="5"/>
  <c r="A555" i="5"/>
  <c r="A39" i="5"/>
  <c r="A334" i="5"/>
  <c r="A526" i="5"/>
  <c r="A52" i="5"/>
  <c r="A183" i="5"/>
  <c r="A311" i="5"/>
  <c r="A375" i="5"/>
  <c r="A75" i="5"/>
  <c r="A11" i="5"/>
  <c r="A107" i="5"/>
  <c r="A388" i="5"/>
  <c r="A292" i="5"/>
  <c r="A233" i="5"/>
  <c r="A332" i="5"/>
  <c r="A106" i="5"/>
  <c r="A298" i="5"/>
  <c r="A426" i="5"/>
  <c r="A490" i="5"/>
  <c r="A554" i="5"/>
  <c r="A18" i="5"/>
  <c r="A245" i="5"/>
  <c r="A501" i="5"/>
  <c r="A565" i="5"/>
  <c r="A77" i="5"/>
  <c r="A13" i="5"/>
  <c r="A24" i="5"/>
  <c r="A495" i="5"/>
  <c r="A300" i="5"/>
  <c r="A173" i="5"/>
  <c r="A429" i="5"/>
  <c r="A312" i="5"/>
  <c r="A504" i="5"/>
  <c r="A568" i="5"/>
  <c r="A72" i="5"/>
  <c r="A243" i="5"/>
  <c r="A23" i="5"/>
  <c r="A214" i="5"/>
  <c r="A342" i="5"/>
  <c r="A470" i="5"/>
  <c r="A191" i="5"/>
  <c r="A255" i="5"/>
  <c r="A319" i="5"/>
  <c r="A67" i="5"/>
  <c r="A179" i="5"/>
  <c r="A177" i="5"/>
  <c r="A114" i="5"/>
  <c r="A178" i="5"/>
  <c r="A434" i="5"/>
  <c r="A498" i="5"/>
  <c r="A74" i="5"/>
  <c r="A10" i="5"/>
  <c r="A41" i="5"/>
  <c r="A125" i="5"/>
  <c r="A253" i="5"/>
  <c r="A573" i="5"/>
  <c r="A69" i="5"/>
  <c r="A291" i="5"/>
  <c r="A547" i="5"/>
  <c r="A518" i="5"/>
  <c r="A367" i="5"/>
  <c r="A237" i="5"/>
  <c r="A128" i="5"/>
  <c r="A384" i="5"/>
  <c r="A587" i="5"/>
  <c r="A187" i="5"/>
  <c r="A251" i="5"/>
  <c r="A443" i="5"/>
  <c r="A507" i="5"/>
  <c r="A7" i="5"/>
  <c r="A158" i="5"/>
  <c r="A222" i="5"/>
  <c r="A286" i="5"/>
  <c r="A100" i="5"/>
  <c r="A36" i="5"/>
  <c r="A59" i="5"/>
  <c r="A94" i="5"/>
  <c r="A30" i="5"/>
  <c r="A185" i="5"/>
  <c r="A505" i="5"/>
  <c r="A164" i="5"/>
  <c r="A356" i="5"/>
  <c r="A61" i="5"/>
  <c r="A355" i="5"/>
  <c r="A264" i="5"/>
  <c r="A28" i="5"/>
  <c r="A591" i="5"/>
  <c r="A22" i="5"/>
  <c r="A131" i="5"/>
  <c r="A428" i="5"/>
  <c r="A372" i="5"/>
  <c r="A116" i="5"/>
  <c r="A212" i="5"/>
  <c r="A364" i="5"/>
  <c r="A58" i="5"/>
  <c r="A89" i="5"/>
  <c r="A25" i="5"/>
  <c r="A333" i="5"/>
  <c r="A525" i="5"/>
  <c r="A123" i="5"/>
  <c r="A136" i="5"/>
  <c r="A56" i="5"/>
  <c r="A195" i="5"/>
  <c r="A451" i="5"/>
  <c r="A294" i="5"/>
  <c r="A258" i="5"/>
  <c r="A208" i="5"/>
  <c r="A464" i="5"/>
  <c r="A528" i="5"/>
  <c r="A203" i="5"/>
  <c r="A331" i="5"/>
  <c r="A595" i="5"/>
  <c r="A174" i="5"/>
  <c r="A238" i="5"/>
  <c r="A366" i="5"/>
  <c r="A84" i="5"/>
  <c r="A151" i="5"/>
  <c r="A279" i="5"/>
  <c r="A535" i="5"/>
  <c r="A78" i="5"/>
  <c r="A460" i="5"/>
  <c r="A537" i="5"/>
  <c r="A484" i="5"/>
  <c r="A137" i="5"/>
  <c r="A201" i="5"/>
  <c r="A265" i="5"/>
  <c r="A457" i="5"/>
  <c r="A521" i="5"/>
  <c r="A228" i="5"/>
  <c r="A524" i="5"/>
  <c r="A202" i="5"/>
  <c r="A266" i="5"/>
  <c r="A394" i="5"/>
  <c r="A522" i="5"/>
  <c r="A17" i="5"/>
  <c r="A149" i="5"/>
  <c r="A213" i="5"/>
  <c r="A277" i="5"/>
  <c r="A341" i="5"/>
  <c r="A533" i="5"/>
  <c r="A45" i="5"/>
  <c r="A360" i="5"/>
  <c r="A200" i="5"/>
  <c r="A103" i="5"/>
  <c r="A515" i="5"/>
  <c r="A602" i="5"/>
  <c r="A152" i="5"/>
  <c r="A280" i="5"/>
  <c r="A344" i="5"/>
  <c r="A536" i="5"/>
  <c r="A40" i="5"/>
  <c r="A71" i="5"/>
  <c r="A531" i="5"/>
  <c r="A95" i="5"/>
  <c r="A246" i="5"/>
  <c r="A310" i="5"/>
  <c r="A438" i="5"/>
  <c r="A566" i="5"/>
  <c r="A159" i="5"/>
  <c r="A223" i="5"/>
  <c r="A287" i="5"/>
  <c r="A351" i="5"/>
  <c r="A415" i="5"/>
  <c r="A543" i="5"/>
  <c r="A6" i="5"/>
  <c r="A468" i="5"/>
  <c r="A500" i="5"/>
  <c r="A209" i="5"/>
  <c r="A244" i="5"/>
  <c r="A404" i="5"/>
  <c r="A210" i="5"/>
  <c r="A338" i="5"/>
  <c r="A73" i="5"/>
  <c r="A88" i="5"/>
  <c r="A60" i="5"/>
  <c r="A352" i="5"/>
  <c r="A416" i="5"/>
  <c r="A544" i="5"/>
  <c r="A411" i="5"/>
  <c r="A318" i="5"/>
  <c r="A68" i="5"/>
  <c r="A603" i="5"/>
  <c r="A231" i="5"/>
  <c r="A551" i="5"/>
  <c r="A91" i="5"/>
  <c r="A27" i="5"/>
  <c r="A62" i="5"/>
  <c r="A155" i="5"/>
  <c r="A308" i="5"/>
  <c r="A236" i="5"/>
  <c r="A153" i="5"/>
  <c r="A217" i="5"/>
  <c r="A410" i="5"/>
  <c r="A474" i="5"/>
  <c r="A229" i="5"/>
  <c r="A293" i="5"/>
  <c r="A549" i="5"/>
  <c r="A29" i="5"/>
  <c r="A424" i="5"/>
  <c r="A540" i="5"/>
  <c r="A57" i="5"/>
  <c r="A301" i="5"/>
  <c r="A493" i="5"/>
  <c r="A557" i="5"/>
  <c r="Z6" i="9"/>
  <c r="BA4" i="9"/>
  <c r="AH4" i="9"/>
  <c r="AG4" i="9"/>
  <c r="AK4" i="9"/>
  <c r="AZ4" i="9"/>
  <c r="AJ4" i="9"/>
  <c r="AL4" i="9"/>
  <c r="AV4" i="9"/>
  <c r="AS4" i="9"/>
  <c r="AU4" i="9"/>
  <c r="AN4" i="9"/>
  <c r="AI4" i="9"/>
  <c r="AM4" i="9"/>
  <c r="AY4" i="9"/>
  <c r="AX4" i="9"/>
  <c r="AW4" i="9"/>
  <c r="AO4" i="9"/>
  <c r="AT4" i="9"/>
  <c r="AP4" i="9"/>
  <c r="AT5" i="9"/>
  <c r="AG5" i="9"/>
  <c r="BA5" i="9"/>
  <c r="AS5" i="9"/>
  <c r="AL5" i="9"/>
  <c r="AZ5" i="9"/>
  <c r="AP5" i="9"/>
  <c r="AY5" i="9"/>
  <c r="AO5" i="9"/>
  <c r="AK5" i="9"/>
  <c r="AX5" i="9"/>
  <c r="AN5" i="9"/>
  <c r="AJ5" i="9"/>
  <c r="AW5" i="9"/>
  <c r="AM5" i="9"/>
  <c r="AI5" i="9"/>
  <c r="AV5" i="9"/>
  <c r="AH5" i="9"/>
  <c r="AU5" i="9"/>
  <c r="E9" i="9" a="1"/>
  <c r="E9" i="9" s="1"/>
  <c r="D8" i="9"/>
  <c r="A8" i="9"/>
  <c r="C8" i="9"/>
  <c r="AT6" i="9"/>
  <c r="AV6" i="9"/>
  <c r="AI6" i="9"/>
  <c r="AS6" i="9"/>
  <c r="X6" i="9"/>
  <c r="AG6" i="9"/>
  <c r="AZ6" i="9"/>
  <c r="BA6" i="9"/>
  <c r="AX6" i="9"/>
  <c r="AL6" i="9"/>
  <c r="Y6" i="9"/>
  <c r="AW6" i="9"/>
  <c r="AE6" i="9"/>
  <c r="AU6" i="9"/>
  <c r="AH6" i="9"/>
  <c r="AE4" i="9"/>
  <c r="Z4" i="9"/>
  <c r="Y4" i="9"/>
  <c r="X4" i="9"/>
  <c r="AB4" i="9"/>
  <c r="AC4" i="9"/>
  <c r="AA4" i="9"/>
  <c r="AD4" i="9"/>
  <c r="W4" i="9"/>
  <c r="W5" i="9"/>
  <c r="Z5" i="9"/>
  <c r="AD5" i="9"/>
  <c r="AE5" i="9"/>
  <c r="Y5" i="9"/>
  <c r="AC5" i="9"/>
  <c r="X5" i="9"/>
  <c r="AB5" i="9"/>
  <c r="AA5" i="9"/>
  <c r="W6" i="9"/>
  <c r="AP6" i="9"/>
  <c r="AO6" i="9"/>
  <c r="K7" i="9"/>
  <c r="I7" i="9"/>
  <c r="S7" i="9"/>
  <c r="L7" i="9"/>
  <c r="M7" i="9"/>
  <c r="N7" i="9"/>
  <c r="R7" i="9"/>
  <c r="U7" i="9"/>
  <c r="P7" i="9"/>
  <c r="O7" i="9"/>
  <c r="G7" i="9"/>
  <c r="Q7" i="9"/>
  <c r="H7" i="9"/>
  <c r="F7" i="9"/>
  <c r="T7" i="9"/>
  <c r="J7" i="9"/>
  <c r="AC6" i="9"/>
  <c r="AD6" i="9"/>
  <c r="AY6" i="9"/>
  <c r="AA6" i="9"/>
  <c r="AN6" i="9"/>
  <c r="V6" i="9"/>
  <c r="AW7" i="9"/>
  <c r="AP7" i="9"/>
  <c r="AG7" i="9"/>
  <c r="Z7" i="9"/>
  <c r="AX7" i="9"/>
  <c r="AM7" i="9"/>
  <c r="W7" i="9"/>
  <c r="AA7" i="9"/>
  <c r="AU7" i="9"/>
  <c r="AN7" i="9"/>
  <c r="AE7" i="9"/>
  <c r="X7" i="9"/>
  <c r="AV7" i="9"/>
  <c r="AL7" i="9"/>
  <c r="AD7" i="9"/>
  <c r="AT7" i="9"/>
  <c r="BA7" i="9"/>
  <c r="AS7" i="9"/>
  <c r="AJ7" i="9"/>
  <c r="AC7" i="9"/>
  <c r="AK7" i="9"/>
  <c r="AY7" i="9"/>
  <c r="AH7" i="9"/>
  <c r="AB7" i="9"/>
  <c r="AZ7" i="9"/>
  <c r="AO7" i="9"/>
  <c r="AI7" i="9"/>
  <c r="Y7" i="9"/>
  <c r="AK6" i="9"/>
  <c r="AM6" i="9"/>
  <c r="AB6" i="9"/>
  <c r="AJ6" i="9"/>
  <c r="G10" i="17"/>
  <c r="F10" i="17" s="1"/>
  <c r="H10" i="17"/>
  <c r="Q5" i="3"/>
  <c r="R5" i="3" s="1"/>
  <c r="S5" i="3" s="1"/>
  <c r="T5" i="3" s="1"/>
  <c r="U5" i="3" s="1"/>
  <c r="V5" i="3" s="1"/>
  <c r="W5" i="3" s="1"/>
  <c r="X5" i="3" s="1"/>
  <c r="Y5" i="3" s="1"/>
  <c r="Z5" i="3" s="1"/>
  <c r="AA5" i="3" s="1"/>
  <c r="AB5" i="3" s="1"/>
  <c r="AC5" i="3" s="1"/>
  <c r="AD5" i="3" s="1"/>
  <c r="AE5" i="3" s="1"/>
  <c r="AF5" i="3" s="1"/>
  <c r="AG5" i="3" s="1"/>
  <c r="AH5" i="3" s="1"/>
  <c r="AI5" i="3" s="1"/>
  <c r="AJ5" i="3" s="1"/>
  <c r="AK5" i="3" s="1"/>
  <c r="AL5" i="3" s="1"/>
  <c r="AM5" i="3" s="1"/>
  <c r="AN5" i="3" s="1"/>
  <c r="AO5" i="3" s="1"/>
  <c r="AP5" i="3" s="1"/>
  <c r="AQ5" i="3" s="1"/>
  <c r="AR5" i="3" s="1"/>
  <c r="AS5" i="3" s="1"/>
  <c r="AT5" i="3" s="1"/>
  <c r="AU5" i="3" s="1"/>
  <c r="AV5" i="3" s="1"/>
  <c r="AW5" i="3" s="1"/>
  <c r="AX5" i="3" s="1"/>
  <c r="AY5" i="3" s="1"/>
  <c r="AZ5" i="3" s="1"/>
  <c r="BA5" i="3" s="1"/>
  <c r="BB5" i="3" s="1"/>
  <c r="BC5" i="3" s="1"/>
  <c r="BD5" i="3" s="1"/>
  <c r="BE5" i="3" s="1"/>
  <c r="BF5" i="3" s="1"/>
  <c r="BG5" i="3" s="1"/>
  <c r="BH5" i="3" s="1"/>
  <c r="BI5" i="3" s="1"/>
  <c r="BJ5" i="3" s="1"/>
  <c r="BK5" i="3" s="1"/>
  <c r="BL5" i="3" s="1"/>
  <c r="BM5" i="3" s="1"/>
  <c r="BN5" i="3" s="1"/>
  <c r="BO5" i="3" s="1"/>
  <c r="BP5" i="3" s="1"/>
  <c r="BQ5" i="3" s="1"/>
  <c r="BR5" i="3" s="1"/>
  <c r="BS5" i="3" s="1"/>
  <c r="BT5" i="3" s="1"/>
  <c r="BU5" i="3" s="1"/>
  <c r="BV5" i="3" s="1"/>
  <c r="BW5" i="3" s="1"/>
  <c r="BX5" i="3" s="1"/>
  <c r="BY5" i="3" s="1"/>
  <c r="BZ5" i="3" s="1"/>
  <c r="CA5" i="3" s="1"/>
  <c r="CB5" i="3" s="1"/>
  <c r="CC5" i="3" s="1"/>
  <c r="CD5" i="3" s="1"/>
  <c r="CE5" i="3" s="1"/>
  <c r="CF5" i="3" s="1"/>
  <c r="CG5" i="3" s="1"/>
  <c r="CH5" i="3" s="1"/>
  <c r="CI5" i="3" s="1"/>
  <c r="CJ5" i="3" s="1"/>
  <c r="CK5" i="3" s="1"/>
  <c r="CL5" i="3" s="1"/>
  <c r="CM5" i="3" s="1"/>
  <c r="CN5" i="3" s="1"/>
  <c r="CO5" i="3" s="1"/>
  <c r="CP5" i="3" s="1"/>
  <c r="CQ5" i="3" s="1"/>
  <c r="CR5" i="3" s="1"/>
  <c r="CS5" i="3" s="1"/>
  <c r="CT5" i="3" s="1"/>
  <c r="CU5" i="3" s="1"/>
  <c r="CV5" i="3" s="1"/>
  <c r="CW5" i="3" s="1"/>
  <c r="CX5" i="3" s="1"/>
  <c r="CY5" i="3" s="1"/>
  <c r="CZ5" i="3" s="1"/>
  <c r="DA5" i="3" s="1"/>
  <c r="DB5" i="3" s="1"/>
  <c r="DC5" i="3" s="1"/>
  <c r="DD5" i="3" s="1"/>
  <c r="DE5" i="3" s="1"/>
  <c r="DF5" i="3" s="1"/>
  <c r="DG5" i="3" s="1"/>
  <c r="DH5" i="3" s="1"/>
  <c r="DI5" i="3" s="1"/>
  <c r="DJ5" i="3" s="1"/>
  <c r="DK5" i="3" s="1"/>
  <c r="DL5" i="3" s="1"/>
  <c r="DM5" i="3" s="1"/>
  <c r="DN5" i="3" s="1"/>
  <c r="DO5" i="3" s="1"/>
  <c r="DP5" i="3" s="1"/>
  <c r="DQ5" i="3" s="1"/>
  <c r="DR5" i="3" s="1"/>
  <c r="DS5" i="3" s="1"/>
  <c r="DT5" i="3" s="1"/>
  <c r="DU5" i="3" s="1"/>
  <c r="DV5" i="3" s="1"/>
  <c r="DW5" i="3" s="1"/>
  <c r="N321" i="10"/>
  <c r="N340" i="10"/>
  <c r="N78" i="10"/>
  <c r="N361" i="10"/>
  <c r="N90" i="10"/>
  <c r="N388" i="10"/>
  <c r="N145" i="10"/>
  <c r="N505" i="10"/>
  <c r="N358" i="10"/>
  <c r="N342" i="10"/>
  <c r="N177" i="10"/>
  <c r="N601" i="10"/>
  <c r="N378" i="10"/>
  <c r="N228" i="10"/>
  <c r="N579" i="10"/>
  <c r="N149" i="10"/>
  <c r="N320" i="10"/>
  <c r="N506" i="10"/>
  <c r="N167" i="10"/>
  <c r="N157" i="10"/>
  <c r="N10" i="10"/>
  <c r="N170" i="10"/>
  <c r="N339" i="10"/>
  <c r="N359" i="10"/>
  <c r="N222" i="10"/>
  <c r="N44" i="10"/>
  <c r="N119" i="10"/>
  <c r="N19" i="10"/>
  <c r="N243" i="10"/>
  <c r="N163" i="10"/>
  <c r="N584" i="10"/>
  <c r="N423" i="10"/>
  <c r="N107" i="10"/>
  <c r="N15" i="10"/>
  <c r="N88" i="10"/>
  <c r="N217" i="10"/>
  <c r="N64" i="10"/>
  <c r="N542" i="10"/>
  <c r="N50" i="10"/>
  <c r="N263" i="10"/>
  <c r="N450" i="10"/>
  <c r="N556" i="10"/>
  <c r="N515" i="10"/>
  <c r="N464" i="10"/>
  <c r="N129" i="10"/>
  <c r="N318" i="10"/>
  <c r="N418" i="10"/>
  <c r="N518" i="10"/>
  <c r="N238" i="10"/>
  <c r="N81" i="10"/>
  <c r="N237" i="10"/>
  <c r="N80" i="10"/>
  <c r="N60" i="10"/>
  <c r="N448" i="10"/>
  <c r="N74" i="10"/>
  <c r="N491" i="10"/>
  <c r="N427" i="10"/>
  <c r="N317" i="10"/>
  <c r="N51" i="10"/>
  <c r="N47" i="10"/>
  <c r="N230" i="10"/>
  <c r="N151" i="10"/>
  <c r="N181" i="10"/>
  <c r="N338" i="10"/>
  <c r="N457" i="10"/>
  <c r="N226" i="10"/>
  <c r="N87" i="10"/>
  <c r="N353" i="10"/>
  <c r="N587" i="10"/>
  <c r="N349" i="10"/>
  <c r="N446" i="10"/>
  <c r="N455" i="10"/>
  <c r="N152" i="10"/>
  <c r="N232" i="10"/>
  <c r="N66" i="10"/>
  <c r="N166" i="10"/>
  <c r="N413" i="10"/>
  <c r="N563" i="10"/>
  <c r="N235" i="10"/>
  <c r="N257" i="10"/>
  <c r="N99" i="10"/>
  <c r="N559" i="10"/>
  <c r="N315" i="10"/>
  <c r="N406" i="10"/>
  <c r="N242" i="10"/>
  <c r="N550" i="10"/>
  <c r="N458" i="10"/>
  <c r="N134" i="10"/>
  <c r="N552" i="10"/>
  <c r="N462" i="10"/>
  <c r="N566" i="10"/>
  <c r="N100" i="10"/>
  <c r="N314" i="10"/>
  <c r="N376" i="10"/>
  <c r="N329" i="10"/>
  <c r="N210" i="10"/>
  <c r="N252" i="10"/>
  <c r="N447" i="10"/>
  <c r="N551" i="10"/>
  <c r="N334" i="10"/>
  <c r="N73" i="10"/>
  <c r="N180" i="10"/>
  <c r="N575" i="10"/>
  <c r="N121" i="10"/>
  <c r="N175" i="10"/>
  <c r="N553" i="10"/>
  <c r="N153" i="10"/>
  <c r="N76" i="10"/>
  <c r="N139" i="10"/>
  <c r="N59" i="10"/>
  <c r="N264" i="10"/>
  <c r="N186" i="10"/>
  <c r="N33" i="10"/>
  <c r="N595" i="10"/>
  <c r="N557" i="10"/>
  <c r="N404" i="10"/>
  <c r="N598" i="10"/>
  <c r="N442" i="10"/>
  <c r="N371" i="10"/>
  <c r="N539" i="10"/>
  <c r="N42" i="10"/>
  <c r="N258" i="10"/>
  <c r="N582" i="10"/>
  <c r="N203" i="10"/>
  <c r="N125" i="10"/>
  <c r="N17" i="10"/>
  <c r="N526" i="10"/>
  <c r="N366" i="10"/>
  <c r="N178" i="10"/>
  <c r="N501" i="10"/>
  <c r="N124" i="10"/>
  <c r="N398" i="10"/>
  <c r="N499" i="10"/>
  <c r="N600" i="10"/>
  <c r="N432" i="10"/>
  <c r="N266" i="10"/>
  <c r="N187" i="10"/>
  <c r="N176" i="10"/>
  <c r="N521" i="10"/>
  <c r="N190" i="10"/>
  <c r="N20" i="10"/>
  <c r="N357" i="10"/>
  <c r="N14" i="10"/>
  <c r="N590" i="10"/>
  <c r="N22" i="10"/>
  <c r="N260" i="10"/>
  <c r="N511" i="10"/>
  <c r="N199" i="10"/>
  <c r="N449" i="10"/>
  <c r="N422" i="10"/>
  <c r="N524" i="10"/>
  <c r="N581" i="10"/>
  <c r="N375" i="10"/>
  <c r="N588" i="10"/>
  <c r="N275" i="10"/>
  <c r="N336" i="10"/>
  <c r="N179" i="10"/>
  <c r="N437" i="10"/>
  <c r="N123" i="10"/>
  <c r="N39" i="10"/>
  <c r="N248" i="10"/>
  <c r="N430" i="10"/>
  <c r="N343" i="10"/>
  <c r="N281" i="10"/>
  <c r="N460" i="10"/>
  <c r="N97" i="10"/>
  <c r="N267" i="10"/>
  <c r="N294" i="10"/>
  <c r="N397" i="10"/>
  <c r="N497" i="10"/>
  <c r="N487" i="10"/>
  <c r="N568" i="10"/>
  <c r="N392" i="10"/>
  <c r="N541" i="10"/>
  <c r="N333" i="10"/>
  <c r="N194" i="10"/>
  <c r="N381" i="10"/>
  <c r="N227" i="10"/>
  <c r="N148" i="10"/>
  <c r="N476" i="10"/>
  <c r="N483" i="10"/>
  <c r="N307" i="10"/>
  <c r="N52" i="10"/>
  <c r="N310" i="10"/>
  <c r="N202" i="10"/>
  <c r="N142" i="10"/>
  <c r="N21" i="10"/>
  <c r="N298" i="10"/>
  <c r="N401" i="10"/>
  <c r="N602" i="10"/>
  <c r="N472" i="10"/>
  <c r="N535" i="10"/>
  <c r="N250" i="10"/>
  <c r="N540" i="10"/>
  <c r="N377" i="10"/>
  <c r="N470" i="10"/>
  <c r="N11" i="10"/>
  <c r="N236" i="10"/>
  <c r="N461" i="10"/>
  <c r="N546" i="10"/>
  <c r="N200" i="10"/>
  <c r="N114" i="10"/>
  <c r="N54" i="10"/>
  <c r="N270" i="10"/>
  <c r="N364" i="10"/>
  <c r="N456" i="10"/>
  <c r="N531" i="10"/>
  <c r="N360" i="10"/>
  <c r="N282" i="10"/>
  <c r="N545" i="10"/>
  <c r="N68" i="10"/>
  <c r="N271" i="10"/>
  <c r="N467" i="10"/>
  <c r="N319" i="10"/>
  <c r="N13" i="10"/>
  <c r="N355" i="10"/>
  <c r="N278" i="10"/>
  <c r="N390" i="10"/>
  <c r="N489" i="10"/>
  <c r="N352" i="10"/>
  <c r="N537" i="10"/>
  <c r="N303" i="10"/>
  <c r="N277" i="10"/>
  <c r="N198" i="10"/>
  <c r="N34" i="10"/>
  <c r="N276" i="10"/>
  <c r="N597" i="10"/>
  <c r="N143" i="10"/>
  <c r="N344" i="10"/>
  <c r="N109" i="10"/>
  <c r="N444" i="10"/>
  <c r="N372" i="10"/>
  <c r="N209" i="10"/>
  <c r="N49" i="10"/>
  <c r="N256" i="10"/>
  <c r="N91" i="10"/>
  <c r="N23" i="10"/>
  <c r="N189" i="10"/>
  <c r="N111" i="10"/>
  <c r="N116" i="10"/>
  <c r="N36" i="10"/>
  <c r="N35" i="10"/>
  <c r="N162" i="10"/>
  <c r="N411" i="10"/>
  <c r="N89" i="10"/>
  <c r="N56" i="10"/>
  <c r="N246" i="10"/>
  <c r="N345" i="10"/>
  <c r="N61" i="10"/>
  <c r="N410" i="10"/>
  <c r="N354" i="10"/>
  <c r="N286" i="10"/>
  <c r="N484" i="10"/>
  <c r="N337" i="10"/>
  <c r="N536" i="10"/>
  <c r="N65" i="10"/>
  <c r="N389" i="10"/>
  <c r="N591" i="10"/>
  <c r="N348" i="10"/>
  <c r="N387" i="10"/>
  <c r="N259" i="10"/>
  <c r="N101" i="10"/>
  <c r="N365" i="10"/>
  <c r="N201" i="10"/>
  <c r="N261" i="10"/>
  <c r="N8" i="10"/>
  <c r="N325" i="10"/>
  <c r="N28" i="10"/>
  <c r="N573" i="10"/>
  <c r="N495" i="10"/>
  <c r="N416" i="10"/>
  <c r="N520" i="10"/>
  <c r="N363" i="10"/>
  <c r="N565" i="10"/>
  <c r="N494" i="10"/>
  <c r="N164" i="10"/>
  <c r="N443" i="10"/>
  <c r="N519" i="10"/>
  <c r="N409" i="10"/>
  <c r="N160" i="10"/>
  <c r="N173" i="10"/>
  <c r="N335" i="10"/>
  <c r="N395" i="10"/>
  <c r="N93" i="10"/>
  <c r="N532" i="10"/>
  <c r="N471" i="10"/>
  <c r="N312" i="10"/>
  <c r="N57" i="10"/>
  <c r="N604" i="10"/>
  <c r="N247" i="10"/>
  <c r="N144" i="10"/>
  <c r="N327" i="10"/>
  <c r="N380" i="10"/>
  <c r="N308" i="10"/>
  <c r="N510" i="10"/>
  <c r="N168" i="10"/>
  <c r="N83" i="10"/>
  <c r="N182" i="10"/>
  <c r="N9" i="10"/>
  <c r="N103" i="10"/>
  <c r="N324" i="10"/>
  <c r="N48" i="10"/>
  <c r="N402" i="10"/>
  <c r="N207" i="10"/>
  <c r="N570" i="10"/>
  <c r="N94" i="10"/>
  <c r="N220" i="10"/>
  <c r="N300" i="10"/>
  <c r="N433" i="10"/>
  <c r="N534" i="10"/>
  <c r="N27" i="10"/>
  <c r="N384" i="10"/>
  <c r="N405" i="10"/>
  <c r="N578" i="10"/>
  <c r="N500" i="10"/>
  <c r="N171" i="10"/>
  <c r="N240" i="10"/>
  <c r="N75" i="10"/>
  <c r="N174" i="10"/>
  <c r="N330" i="10"/>
  <c r="N253" i="10"/>
  <c r="N95" i="10"/>
  <c r="N492" i="10"/>
  <c r="N474" i="10"/>
  <c r="N72" i="10"/>
  <c r="N368" i="10"/>
  <c r="N309" i="10"/>
  <c r="N373" i="10"/>
  <c r="N544" i="10"/>
  <c r="N394" i="10"/>
  <c r="N558" i="10"/>
  <c r="N108" i="10"/>
  <c r="N509" i="10"/>
  <c r="N350" i="10"/>
  <c r="N272" i="10"/>
  <c r="N439" i="10"/>
  <c r="N383" i="10"/>
  <c r="N172" i="10"/>
  <c r="N438" i="10"/>
  <c r="N138" i="10"/>
  <c r="N158" i="10"/>
  <c r="N331" i="10"/>
  <c r="N424" i="10"/>
  <c r="N293" i="10"/>
  <c r="N322" i="10"/>
  <c r="N351" i="10"/>
  <c r="N555" i="10"/>
  <c r="N477" i="10"/>
  <c r="N528" i="10"/>
  <c r="N569" i="10"/>
  <c r="N249" i="10"/>
  <c r="N169" i="10"/>
  <c r="N92" i="10"/>
  <c r="N216" i="10"/>
  <c r="N130" i="10"/>
  <c r="N150" i="10"/>
  <c r="N576" i="10"/>
  <c r="N498" i="10"/>
  <c r="N224" i="10"/>
  <c r="N58" i="10"/>
  <c r="N154" i="10"/>
  <c r="N564" i="10"/>
  <c r="N502" i="10"/>
  <c r="N31" i="10"/>
  <c r="N385" i="10"/>
  <c r="N589" i="10"/>
  <c r="N436" i="10"/>
  <c r="N215" i="10"/>
  <c r="N362" i="10"/>
  <c r="N562" i="10"/>
  <c r="N547" i="10"/>
  <c r="N469" i="10"/>
  <c r="N374" i="10"/>
  <c r="N297" i="10"/>
  <c r="N219" i="10"/>
  <c r="N141" i="10"/>
  <c r="N504" i="10"/>
  <c r="N561" i="10"/>
  <c r="N475" i="10"/>
  <c r="N400" i="10"/>
  <c r="N326" i="10"/>
  <c r="N241" i="10"/>
  <c r="N161" i="10"/>
  <c r="N84" i="10"/>
  <c r="N287" i="10"/>
  <c r="N208" i="10"/>
  <c r="N122" i="10"/>
  <c r="N299" i="10"/>
  <c r="N63" i="10"/>
  <c r="N512" i="10"/>
  <c r="N482" i="10"/>
  <c r="N279" i="10"/>
  <c r="N12" i="10"/>
  <c r="N301" i="10"/>
  <c r="N214" i="10"/>
  <c r="N136" i="10"/>
  <c r="N55" i="10"/>
  <c r="N135" i="10"/>
  <c r="N37" i="10"/>
  <c r="N296" i="10"/>
  <c r="N140" i="10"/>
  <c r="N435" i="10"/>
  <c r="N113" i="10"/>
  <c r="N594" i="10"/>
  <c r="N434" i="10"/>
  <c r="N159" i="10"/>
  <c r="N79" i="10"/>
  <c r="N525" i="10"/>
  <c r="N126" i="10"/>
  <c r="N486" i="10"/>
  <c r="N165" i="10"/>
  <c r="N85" i="10"/>
  <c r="N196" i="10"/>
  <c r="N480" i="10"/>
  <c r="N583" i="10"/>
  <c r="N137" i="10"/>
  <c r="N323" i="10"/>
  <c r="N421" i="10"/>
  <c r="N223" i="10"/>
  <c r="N493" i="10"/>
  <c r="N183" i="10"/>
  <c r="N346" i="10"/>
  <c r="N82" i="10"/>
  <c r="N560" i="10"/>
  <c r="N549" i="10"/>
  <c r="N580" i="10"/>
  <c r="N459" i="10"/>
  <c r="N386" i="10"/>
  <c r="N311" i="10"/>
  <c r="N225" i="10"/>
  <c r="N146" i="10"/>
  <c r="N285" i="10"/>
  <c r="N128" i="10"/>
  <c r="N45" i="10"/>
  <c r="N284" i="10"/>
  <c r="N205" i="10"/>
  <c r="N127" i="10"/>
  <c r="N43" i="10"/>
  <c r="N29" i="10"/>
  <c r="N530" i="10"/>
  <c r="N289" i="10"/>
  <c r="N18" i="10"/>
  <c r="N185" i="10"/>
  <c r="N25" i="10"/>
  <c r="N262" i="10"/>
  <c r="N184" i="10"/>
  <c r="N283" i="10"/>
  <c r="N38" i="10"/>
  <c r="N77" i="10"/>
  <c r="N391" i="10"/>
  <c r="N490" i="10"/>
  <c r="N593" i="10"/>
  <c r="N156" i="10"/>
  <c r="N332" i="10"/>
  <c r="N431" i="10"/>
  <c r="N244" i="10"/>
  <c r="N403" i="10"/>
  <c r="N503" i="10"/>
  <c r="N603" i="10"/>
  <c r="N204" i="10"/>
  <c r="N356" i="10"/>
  <c r="N463" i="10"/>
  <c r="N102" i="10"/>
  <c r="N302" i="10"/>
  <c r="N414" i="10"/>
  <c r="N517" i="10"/>
  <c r="N7" i="10"/>
  <c r="N234" i="10"/>
  <c r="N466" i="10"/>
  <c r="N571" i="10"/>
  <c r="N62" i="10"/>
  <c r="N147" i="10"/>
  <c r="N274" i="10"/>
  <c r="N195" i="10"/>
  <c r="N117" i="10"/>
  <c r="N451" i="10"/>
  <c r="N379" i="10"/>
  <c r="N197" i="10"/>
  <c r="N585" i="10"/>
  <c r="N16" i="10"/>
  <c r="N239" i="10"/>
  <c r="N543" i="10"/>
  <c r="N53" i="10"/>
  <c r="N265" i="10"/>
  <c r="N577" i="10"/>
  <c r="N316" i="10"/>
  <c r="N425" i="10"/>
  <c r="N40" i="10"/>
  <c r="N255" i="10"/>
  <c r="N478" i="10"/>
  <c r="N273" i="10"/>
  <c r="N304" i="10"/>
  <c r="N407" i="10"/>
  <c r="N396" i="10"/>
  <c r="N382" i="10"/>
  <c r="N452" i="10"/>
  <c r="N291" i="10"/>
  <c r="N527" i="10"/>
  <c r="N453" i="10"/>
  <c r="N192" i="10"/>
  <c r="N533" i="10"/>
  <c r="N567" i="10"/>
  <c r="N370" i="10"/>
  <c r="N592" i="10"/>
  <c r="N445" i="10"/>
  <c r="N98" i="10"/>
  <c r="N32" i="10"/>
  <c r="N399" i="10"/>
  <c r="N440" i="10"/>
  <c r="N412" i="10"/>
  <c r="N473" i="10"/>
  <c r="N106" i="10"/>
  <c r="N206" i="10"/>
  <c r="N218" i="10"/>
  <c r="N24" i="10"/>
  <c r="N105" i="10"/>
  <c r="N131" i="10"/>
  <c r="N554" i="10"/>
  <c r="N488" i="10"/>
  <c r="N586" i="10"/>
  <c r="N508" i="10"/>
  <c r="N288" i="10"/>
  <c r="N104" i="10"/>
  <c r="N6" i="10"/>
  <c r="N71" i="10"/>
  <c r="N420" i="10"/>
  <c r="N596" i="10"/>
  <c r="N347" i="10"/>
  <c r="N548" i="10"/>
  <c r="N599" i="10"/>
  <c r="N426" i="10"/>
  <c r="N465" i="10"/>
  <c r="N295" i="10"/>
  <c r="N529" i="10"/>
  <c r="N269" i="10"/>
  <c r="N112" i="10"/>
  <c r="N46" i="10"/>
  <c r="N369" i="10"/>
  <c r="N132" i="10"/>
  <c r="N328" i="10"/>
  <c r="N251" i="10"/>
  <c r="N514" i="10"/>
  <c r="N193" i="10"/>
  <c r="N115" i="10"/>
  <c r="N26" i="10"/>
  <c r="N429" i="10"/>
  <c r="N574" i="10"/>
  <c r="N118" i="10"/>
  <c r="N441" i="10"/>
  <c r="N454" i="10"/>
  <c r="N507" i="10"/>
  <c r="N538" i="10"/>
  <c r="N155" i="10"/>
  <c r="N367" i="10"/>
  <c r="N110" i="10"/>
  <c r="N468" i="10"/>
  <c r="N572" i="10"/>
  <c r="N393" i="10"/>
  <c r="N419" i="10"/>
  <c r="N280" i="10"/>
  <c r="N254" i="10"/>
  <c r="N96" i="10"/>
  <c r="N191" i="10"/>
  <c r="N133" i="10"/>
  <c r="N30" i="10"/>
  <c r="N233" i="10"/>
  <c r="N292" i="10"/>
  <c r="N213" i="10"/>
  <c r="N341" i="10"/>
  <c r="N496" i="10"/>
  <c r="N522" i="10"/>
  <c r="N212" i="10"/>
  <c r="N120" i="10"/>
  <c r="N513" i="10"/>
  <c r="N188" i="10"/>
  <c r="N231" i="10"/>
  <c r="N417" i="10"/>
  <c r="N245" i="10"/>
  <c r="N67" i="10"/>
  <c r="N306" i="10"/>
  <c r="N428" i="10"/>
  <c r="N516" i="10"/>
  <c r="N415" i="10"/>
  <c r="N408" i="10"/>
  <c r="N290" i="10"/>
  <c r="N86" i="10"/>
  <c r="N221" i="10"/>
  <c r="N229" i="10"/>
  <c r="N523" i="10"/>
  <c r="N313" i="10"/>
  <c r="N485" i="10"/>
  <c r="N481" i="10"/>
  <c r="N305" i="10"/>
  <c r="N211" i="10"/>
  <c r="N70" i="10"/>
  <c r="N268" i="10"/>
  <c r="N69" i="10"/>
  <c r="N41" i="10"/>
  <c r="N479" i="10"/>
  <c r="C12" i="23" l="1"/>
  <c r="AF4" i="9"/>
  <c r="AQ4" i="9"/>
  <c r="AR4" i="9" s="1"/>
  <c r="BB4" i="9"/>
  <c r="BC4" i="9" s="1"/>
  <c r="BB7" i="9"/>
  <c r="BC7" i="9" s="1"/>
  <c r="BB6" i="9"/>
  <c r="BC6" i="9" s="1"/>
  <c r="BB5" i="9"/>
  <c r="BC5" i="9" s="1"/>
  <c r="A46" i="23"/>
  <c r="D67" i="23"/>
  <c r="A50" i="23"/>
  <c r="D71" i="23"/>
  <c r="A51" i="23"/>
  <c r="D72" i="23"/>
  <c r="A45" i="23"/>
  <c r="D66" i="23"/>
  <c r="A57" i="23"/>
  <c r="D78" i="23"/>
  <c r="A52" i="23"/>
  <c r="D73" i="23"/>
  <c r="A34" i="23"/>
  <c r="D55" i="23"/>
  <c r="A58" i="23"/>
  <c r="D79" i="23"/>
  <c r="A39" i="23"/>
  <c r="D60" i="23"/>
  <c r="A40" i="23"/>
  <c r="D61" i="23"/>
  <c r="A44" i="23"/>
  <c r="D65" i="23"/>
  <c r="A38" i="23"/>
  <c r="D59" i="23"/>
  <c r="A33" i="23"/>
  <c r="D54" i="23"/>
  <c r="A43" i="23"/>
  <c r="D64" i="23"/>
  <c r="A41" i="23"/>
  <c r="D62" i="23"/>
  <c r="A49" i="23"/>
  <c r="D70" i="23"/>
  <c r="A42" i="23"/>
  <c r="D63" i="23"/>
  <c r="A48" i="23"/>
  <c r="D69" i="23"/>
  <c r="A56" i="23"/>
  <c r="D77" i="23"/>
  <c r="A47" i="23"/>
  <c r="D68" i="23"/>
  <c r="D32" i="23"/>
  <c r="N10" i="17"/>
  <c r="AQ7" i="9"/>
  <c r="AR7" i="9" s="1"/>
  <c r="AF6" i="9"/>
  <c r="A9" i="9"/>
  <c r="E10" i="9" a="1"/>
  <c r="E10" i="9" s="1"/>
  <c r="C9" i="9"/>
  <c r="D9" i="9"/>
  <c r="AQ6" i="9"/>
  <c r="AR6" i="9" s="1"/>
  <c r="V7" i="9"/>
  <c r="AQ5" i="9"/>
  <c r="AR5" i="9" s="1"/>
  <c r="BA8" i="9"/>
  <c r="AS8" i="9"/>
  <c r="AJ8" i="9"/>
  <c r="AB8" i="9"/>
  <c r="AT8" i="9"/>
  <c r="AK8" i="9"/>
  <c r="AC8" i="9"/>
  <c r="AZ8" i="9"/>
  <c r="AH8" i="9"/>
  <c r="AA8" i="9"/>
  <c r="AV8" i="9"/>
  <c r="AG8" i="9"/>
  <c r="W8" i="9"/>
  <c r="AX8" i="9"/>
  <c r="AO8" i="9"/>
  <c r="AI8" i="9"/>
  <c r="Y8" i="9"/>
  <c r="AY8" i="9"/>
  <c r="AP8" i="9"/>
  <c r="AD8" i="9"/>
  <c r="Z8" i="9"/>
  <c r="AW8" i="9"/>
  <c r="AN8" i="9"/>
  <c r="X8" i="9"/>
  <c r="AU8" i="9"/>
  <c r="AL8" i="9"/>
  <c r="AE8" i="9"/>
  <c r="AM8" i="9"/>
  <c r="AF7" i="9"/>
  <c r="AF5" i="9"/>
  <c r="M8" i="9"/>
  <c r="J8" i="9"/>
  <c r="U8" i="9"/>
  <c r="L8" i="9"/>
  <c r="G8" i="9"/>
  <c r="N8" i="9"/>
  <c r="K8" i="9"/>
  <c r="O8" i="9"/>
  <c r="F8" i="9"/>
  <c r="I8" i="9"/>
  <c r="S8" i="9"/>
  <c r="H8" i="9"/>
  <c r="P8" i="9"/>
  <c r="T8" i="9"/>
  <c r="R8" i="9"/>
  <c r="Q8" i="9"/>
  <c r="B20" i="2"/>
  <c r="BB8" i="9" l="1"/>
  <c r="BC8" i="9" s="1"/>
  <c r="A68" i="23"/>
  <c r="D89" i="23"/>
  <c r="A70" i="23"/>
  <c r="D91" i="23"/>
  <c r="A59" i="23"/>
  <c r="D80" i="23"/>
  <c r="A79" i="23"/>
  <c r="D100" i="23"/>
  <c r="A66" i="23"/>
  <c r="D87" i="23"/>
  <c r="A72" i="23"/>
  <c r="D93" i="23"/>
  <c r="A77" i="23"/>
  <c r="D98" i="23"/>
  <c r="A62" i="23"/>
  <c r="D83" i="23"/>
  <c r="A55" i="23"/>
  <c r="D76" i="23"/>
  <c r="A69" i="23"/>
  <c r="D90" i="23"/>
  <c r="A64" i="23"/>
  <c r="D85" i="23"/>
  <c r="A61" i="23"/>
  <c r="D82" i="23"/>
  <c r="A73" i="23"/>
  <c r="D94" i="23"/>
  <c r="A71" i="23"/>
  <c r="D92" i="23"/>
  <c r="A63" i="23"/>
  <c r="D84" i="23"/>
  <c r="A54" i="23"/>
  <c r="D75" i="23"/>
  <c r="A60" i="23"/>
  <c r="D81" i="23"/>
  <c r="A78" i="23"/>
  <c r="D99" i="23"/>
  <c r="A67" i="23"/>
  <c r="D88" i="23"/>
  <c r="A65" i="23"/>
  <c r="D86" i="23"/>
  <c r="A32" i="23"/>
  <c r="D53" i="23"/>
  <c r="AQ8" i="9"/>
  <c r="AR8" i="9" s="1"/>
  <c r="AX9" i="9"/>
  <c r="AO9" i="9"/>
  <c r="AH9" i="9"/>
  <c r="Y9" i="9"/>
  <c r="AW9" i="9"/>
  <c r="AN9" i="9"/>
  <c r="AD9" i="9"/>
  <c r="X9" i="9"/>
  <c r="AY9" i="9"/>
  <c r="AG9" i="9"/>
  <c r="AV9" i="9"/>
  <c r="AM9" i="9"/>
  <c r="W9" i="9"/>
  <c r="BA9" i="9"/>
  <c r="AI9" i="9"/>
  <c r="AU9" i="9"/>
  <c r="AK9" i="9"/>
  <c r="AE9" i="9"/>
  <c r="AS9" i="9"/>
  <c r="AB9" i="9"/>
  <c r="AT9" i="9"/>
  <c r="AL9" i="9"/>
  <c r="AC9" i="9"/>
  <c r="AP9" i="9"/>
  <c r="Z9" i="9"/>
  <c r="AZ9" i="9"/>
  <c r="AJ9" i="9"/>
  <c r="AA9" i="9"/>
  <c r="V8" i="9"/>
  <c r="E11" i="9" a="1"/>
  <c r="E11" i="9" s="1"/>
  <c r="A10" i="9"/>
  <c r="D10" i="9"/>
  <c r="C10" i="9"/>
  <c r="G9" i="9"/>
  <c r="F9" i="9"/>
  <c r="O9" i="9"/>
  <c r="I9" i="9"/>
  <c r="K9" i="9"/>
  <c r="J9" i="9"/>
  <c r="Q9" i="9"/>
  <c r="S9" i="9"/>
  <c r="L9" i="9"/>
  <c r="P9" i="9"/>
  <c r="N9" i="9"/>
  <c r="M9" i="9"/>
  <c r="R9" i="9"/>
  <c r="T9" i="9"/>
  <c r="H9" i="9"/>
  <c r="U9" i="9"/>
  <c r="AF8" i="9"/>
  <c r="B21" i="2"/>
  <c r="B25" i="2" s="1"/>
  <c r="D13" i="17" s="1"/>
  <c r="BB9" i="9" l="1"/>
  <c r="BC9" i="9" s="1"/>
  <c r="A86" i="23"/>
  <c r="D107" i="23"/>
  <c r="A75" i="23"/>
  <c r="D96" i="23"/>
  <c r="A82" i="23"/>
  <c r="D103" i="23"/>
  <c r="A83" i="23"/>
  <c r="D104" i="23"/>
  <c r="A100" i="23"/>
  <c r="D121" i="23"/>
  <c r="A85" i="23"/>
  <c r="D106" i="23"/>
  <c r="A80" i="23"/>
  <c r="D101" i="23"/>
  <c r="A98" i="23"/>
  <c r="D119" i="23"/>
  <c r="A99" i="23"/>
  <c r="D120" i="23"/>
  <c r="A92" i="23"/>
  <c r="D113" i="23"/>
  <c r="A90" i="23"/>
  <c r="D111" i="23"/>
  <c r="A93" i="23"/>
  <c r="D114" i="23"/>
  <c r="A91" i="23"/>
  <c r="D112" i="23"/>
  <c r="A88" i="23"/>
  <c r="D109" i="23"/>
  <c r="A53" i="23"/>
  <c r="D74" i="23"/>
  <c r="A81" i="23"/>
  <c r="D102" i="23"/>
  <c r="A94" i="23"/>
  <c r="D115" i="23"/>
  <c r="A76" i="23"/>
  <c r="D97" i="23"/>
  <c r="A87" i="23"/>
  <c r="D108" i="23"/>
  <c r="A89" i="23"/>
  <c r="D110" i="23"/>
  <c r="A84" i="23"/>
  <c r="D105" i="23"/>
  <c r="AQ9" i="9"/>
  <c r="AR9" i="9" s="1"/>
  <c r="O10" i="9"/>
  <c r="G10" i="9"/>
  <c r="M10" i="9"/>
  <c r="F10" i="9"/>
  <c r="I10" i="9"/>
  <c r="P10" i="9"/>
  <c r="Q10" i="9"/>
  <c r="R10" i="9"/>
  <c r="J10" i="9"/>
  <c r="U10" i="9"/>
  <c r="H10" i="9"/>
  <c r="K10" i="9"/>
  <c r="T10" i="9"/>
  <c r="N10" i="9"/>
  <c r="L10" i="9"/>
  <c r="S10" i="9"/>
  <c r="E12" i="9" a="1"/>
  <c r="E12" i="9" s="1"/>
  <c r="C11" i="9"/>
  <c r="A11" i="9"/>
  <c r="D11" i="9"/>
  <c r="V9" i="9"/>
  <c r="AY10" i="9"/>
  <c r="AO10" i="9"/>
  <c r="AH10" i="9"/>
  <c r="Y10" i="9"/>
  <c r="AN10" i="9"/>
  <c r="X10" i="9"/>
  <c r="AX10" i="9"/>
  <c r="AP10" i="9"/>
  <c r="AD10" i="9"/>
  <c r="Z10" i="9"/>
  <c r="AW10" i="9"/>
  <c r="AM10" i="9"/>
  <c r="AG10" i="9"/>
  <c r="W10" i="9"/>
  <c r="AV10" i="9"/>
  <c r="AU10" i="9"/>
  <c r="AK10" i="9"/>
  <c r="AE10" i="9"/>
  <c r="AT10" i="9"/>
  <c r="AC10" i="9"/>
  <c r="BA10" i="9"/>
  <c r="AS10" i="9"/>
  <c r="AJ10" i="9"/>
  <c r="AA10" i="9"/>
  <c r="AL10" i="9"/>
  <c r="AZ10" i="9"/>
  <c r="AI10" i="9"/>
  <c r="AB10" i="9"/>
  <c r="AF9" i="9"/>
  <c r="B29" i="2"/>
  <c r="BB10" i="9" l="1"/>
  <c r="BC10" i="9" s="1"/>
  <c r="A110" i="23"/>
  <c r="D131" i="23"/>
  <c r="A102" i="23"/>
  <c r="D123" i="23"/>
  <c r="A114" i="23"/>
  <c r="D135" i="23"/>
  <c r="A119" i="23"/>
  <c r="D140" i="23"/>
  <c r="A104" i="23"/>
  <c r="D125" i="23"/>
  <c r="A108" i="23"/>
  <c r="D129" i="23"/>
  <c r="A74" i="23"/>
  <c r="D95" i="23"/>
  <c r="A111" i="23"/>
  <c r="D132" i="23"/>
  <c r="A101" i="23"/>
  <c r="D122" i="23"/>
  <c r="A103" i="23"/>
  <c r="D124" i="23"/>
  <c r="A97" i="23"/>
  <c r="D118" i="23"/>
  <c r="A109" i="23"/>
  <c r="D130" i="23"/>
  <c r="A113" i="23"/>
  <c r="D134" i="23"/>
  <c r="A106" i="23"/>
  <c r="D127" i="23"/>
  <c r="A96" i="23"/>
  <c r="D117" i="23"/>
  <c r="A105" i="23"/>
  <c r="D126" i="23"/>
  <c r="A115" i="23"/>
  <c r="D136" i="23"/>
  <c r="A112" i="23"/>
  <c r="D133" i="23"/>
  <c r="A120" i="23"/>
  <c r="D141" i="23"/>
  <c r="A121" i="23"/>
  <c r="D142" i="23"/>
  <c r="A107" i="23"/>
  <c r="D128" i="23"/>
  <c r="AQ10" i="9"/>
  <c r="AR10" i="9" s="1"/>
  <c r="AF10" i="9"/>
  <c r="V10" i="9"/>
  <c r="K11" i="9"/>
  <c r="H11" i="9"/>
  <c r="S11" i="9"/>
  <c r="U11" i="9"/>
  <c r="G11" i="9"/>
  <c r="I11" i="9"/>
  <c r="J11" i="9"/>
  <c r="O11" i="9"/>
  <c r="N11" i="9"/>
  <c r="L11" i="9"/>
  <c r="P11" i="9"/>
  <c r="Q11" i="9"/>
  <c r="R11" i="9"/>
  <c r="T11" i="9"/>
  <c r="M11" i="9"/>
  <c r="F11" i="9"/>
  <c r="AY11" i="9"/>
  <c r="AO11" i="9"/>
  <c r="AH11" i="9"/>
  <c r="Y11" i="9"/>
  <c r="AV11" i="9"/>
  <c r="AM11" i="9"/>
  <c r="X11" i="9"/>
  <c r="AW11" i="9"/>
  <c r="AN11" i="9"/>
  <c r="AD11" i="9"/>
  <c r="W11" i="9"/>
  <c r="AU11" i="9"/>
  <c r="AE11" i="9"/>
  <c r="AI11" i="9"/>
  <c r="AL11" i="9"/>
  <c r="BA11" i="9"/>
  <c r="AS11" i="9"/>
  <c r="AK11" i="9"/>
  <c r="AC11" i="9"/>
  <c r="AZ11" i="9"/>
  <c r="AP11" i="9"/>
  <c r="AJ11" i="9"/>
  <c r="AA11" i="9"/>
  <c r="AX11" i="9"/>
  <c r="AG11" i="9"/>
  <c r="Z11" i="9"/>
  <c r="AT11" i="9"/>
  <c r="AB11" i="9"/>
  <c r="E13" i="9" a="1"/>
  <c r="E13" i="9" s="1"/>
  <c r="D12" i="9"/>
  <c r="C12" i="9"/>
  <c r="A12" i="9"/>
  <c r="B30" i="2"/>
  <c r="G13" i="17" s="1"/>
  <c r="F13" i="17" s="1"/>
  <c r="E13" i="17"/>
  <c r="BB11" i="9" l="1"/>
  <c r="BC11" i="9" s="1"/>
  <c r="A132" i="23"/>
  <c r="D153" i="23"/>
  <c r="A140" i="23"/>
  <c r="D161" i="23"/>
  <c r="A141" i="23"/>
  <c r="D162" i="23"/>
  <c r="A117" i="23"/>
  <c r="D138" i="23"/>
  <c r="A118" i="23"/>
  <c r="D139" i="23"/>
  <c r="A95" i="23"/>
  <c r="D116" i="23"/>
  <c r="A135" i="23"/>
  <c r="D156" i="23"/>
  <c r="A133" i="23"/>
  <c r="D154" i="23"/>
  <c r="A127" i="23"/>
  <c r="D148" i="23"/>
  <c r="A124" i="23"/>
  <c r="D145" i="23"/>
  <c r="A129" i="23"/>
  <c r="D150" i="23"/>
  <c r="A123" i="23"/>
  <c r="D144" i="23"/>
  <c r="A128" i="23"/>
  <c r="D149" i="23"/>
  <c r="A136" i="23"/>
  <c r="D157" i="23"/>
  <c r="A134" i="23"/>
  <c r="D155" i="23"/>
  <c r="A122" i="23"/>
  <c r="D143" i="23"/>
  <c r="A125" i="23"/>
  <c r="D146" i="23"/>
  <c r="A131" i="23"/>
  <c r="D152" i="23"/>
  <c r="A142" i="23"/>
  <c r="D163" i="23"/>
  <c r="A126" i="23"/>
  <c r="D147" i="23"/>
  <c r="A130" i="23"/>
  <c r="D151" i="23"/>
  <c r="C13" i="9"/>
  <c r="A13" i="9"/>
  <c r="E14" i="9" a="1"/>
  <c r="E14" i="9" s="1"/>
  <c r="D13" i="9"/>
  <c r="H12" i="9"/>
  <c r="O12" i="9"/>
  <c r="Q12" i="9"/>
  <c r="L12" i="9"/>
  <c r="M12" i="9"/>
  <c r="T12" i="9"/>
  <c r="U12" i="9"/>
  <c r="F12" i="9"/>
  <c r="J12" i="9"/>
  <c r="G12" i="9"/>
  <c r="P12" i="9"/>
  <c r="S12" i="9"/>
  <c r="R12" i="9"/>
  <c r="I12" i="9"/>
  <c r="K12" i="9"/>
  <c r="N12" i="9"/>
  <c r="V11" i="9"/>
  <c r="AU12" i="9"/>
  <c r="AN12" i="9"/>
  <c r="X12" i="9"/>
  <c r="AY12" i="9"/>
  <c r="AH12" i="9"/>
  <c r="AA12" i="9"/>
  <c r="AV12" i="9"/>
  <c r="AK12" i="9"/>
  <c r="AE12" i="9"/>
  <c r="AL12" i="9"/>
  <c r="AB12" i="9"/>
  <c r="BA12" i="9"/>
  <c r="AS12" i="9"/>
  <c r="AJ12" i="9"/>
  <c r="AC12" i="9"/>
  <c r="AT12" i="9"/>
  <c r="AW12" i="9"/>
  <c r="AP12" i="9"/>
  <c r="AD12" i="9"/>
  <c r="Z12" i="9"/>
  <c r="AX12" i="9"/>
  <c r="AM12" i="9"/>
  <c r="AG12" i="9"/>
  <c r="W12" i="9"/>
  <c r="AZ12" i="9"/>
  <c r="AO12" i="9"/>
  <c r="AI12" i="9"/>
  <c r="Y12" i="9"/>
  <c r="AF11" i="9"/>
  <c r="AQ11" i="9"/>
  <c r="AR11" i="9" s="1"/>
  <c r="BB12" i="9" l="1"/>
  <c r="BC12" i="9" s="1"/>
  <c r="A147" i="23"/>
  <c r="D168" i="23"/>
  <c r="A143" i="23"/>
  <c r="D164" i="23"/>
  <c r="A144" i="23"/>
  <c r="D165" i="23"/>
  <c r="A154" i="23"/>
  <c r="D175" i="23"/>
  <c r="A138" i="23"/>
  <c r="D159" i="23"/>
  <c r="A163" i="23"/>
  <c r="D184" i="23"/>
  <c r="A155" i="23"/>
  <c r="D176" i="23"/>
  <c r="A150" i="23"/>
  <c r="D171" i="23"/>
  <c r="A156" i="23"/>
  <c r="D177" i="23"/>
  <c r="A162" i="23"/>
  <c r="D183" i="23"/>
  <c r="A152" i="23"/>
  <c r="D173" i="23"/>
  <c r="A157" i="23"/>
  <c r="D178" i="23"/>
  <c r="A145" i="23"/>
  <c r="D166" i="23"/>
  <c r="A116" i="23"/>
  <c r="D137" i="23"/>
  <c r="A161" i="23"/>
  <c r="D182" i="23"/>
  <c r="A151" i="23"/>
  <c r="D172" i="23"/>
  <c r="A146" i="23"/>
  <c r="D167" i="23"/>
  <c r="A149" i="23"/>
  <c r="D170" i="23"/>
  <c r="A148" i="23"/>
  <c r="D169" i="23"/>
  <c r="A139" i="23"/>
  <c r="D160" i="23"/>
  <c r="A153" i="23"/>
  <c r="D174" i="23"/>
  <c r="V12" i="9"/>
  <c r="D14" i="9"/>
  <c r="E15" i="9" a="1"/>
  <c r="E15" i="9" s="1"/>
  <c r="C14" i="9"/>
  <c r="A14" i="9"/>
  <c r="R13" i="9"/>
  <c r="Q13" i="9"/>
  <c r="H13" i="9"/>
  <c r="N13" i="9"/>
  <c r="O13" i="9"/>
  <c r="G13" i="9"/>
  <c r="T13" i="9"/>
  <c r="S13" i="9"/>
  <c r="J13" i="9"/>
  <c r="I13" i="9"/>
  <c r="K13" i="9"/>
  <c r="U13" i="9"/>
  <c r="P13" i="9"/>
  <c r="L13" i="9"/>
  <c r="F13" i="9"/>
  <c r="M13" i="9"/>
  <c r="AQ12" i="9"/>
  <c r="AR12" i="9" s="1"/>
  <c r="AF12" i="9"/>
  <c r="AW13" i="9"/>
  <c r="AM13" i="9"/>
  <c r="W13" i="9"/>
  <c r="AV13" i="9"/>
  <c r="AN13" i="9"/>
  <c r="AE13" i="9"/>
  <c r="X13" i="9"/>
  <c r="AK13" i="9"/>
  <c r="AU13" i="9"/>
  <c r="AL13" i="9"/>
  <c r="AD13" i="9"/>
  <c r="AZ13" i="9"/>
  <c r="AI13" i="9"/>
  <c r="AB13" i="9"/>
  <c r="AT13" i="9"/>
  <c r="AJ13" i="9"/>
  <c r="AC13" i="9"/>
  <c r="BA13" i="9"/>
  <c r="AS13" i="9"/>
  <c r="AA13" i="9"/>
  <c r="AY13" i="9"/>
  <c r="AO13" i="9"/>
  <c r="AG13" i="9"/>
  <c r="Y13" i="9"/>
  <c r="AX13" i="9"/>
  <c r="AP13" i="9"/>
  <c r="AH13" i="9"/>
  <c r="Z13" i="9"/>
  <c r="BB13" i="9" l="1"/>
  <c r="BC13" i="9" s="1"/>
  <c r="A178" i="23"/>
  <c r="D199" i="23"/>
  <c r="A171" i="23"/>
  <c r="D192" i="23"/>
  <c r="A175" i="23"/>
  <c r="D196" i="23"/>
  <c r="A169" i="23"/>
  <c r="D190" i="23"/>
  <c r="A182" i="23"/>
  <c r="D203" i="23"/>
  <c r="A173" i="23"/>
  <c r="D194" i="23"/>
  <c r="A176" i="23"/>
  <c r="D197" i="23"/>
  <c r="A165" i="23"/>
  <c r="D186" i="23"/>
  <c r="A170" i="23"/>
  <c r="D191" i="23"/>
  <c r="A137" i="23"/>
  <c r="D158" i="23"/>
  <c r="A183" i="23"/>
  <c r="D204" i="23"/>
  <c r="A184" i="23"/>
  <c r="D205" i="23"/>
  <c r="A164" i="23"/>
  <c r="D185" i="23"/>
  <c r="A174" i="23"/>
  <c r="D195" i="23"/>
  <c r="A167" i="23"/>
  <c r="D188" i="23"/>
  <c r="A166" i="23"/>
  <c r="D187" i="23"/>
  <c r="A177" i="23"/>
  <c r="D198" i="23"/>
  <c r="A159" i="23"/>
  <c r="D180" i="23"/>
  <c r="A168" i="23"/>
  <c r="D189" i="23"/>
  <c r="A160" i="23"/>
  <c r="D181" i="23"/>
  <c r="A172" i="23"/>
  <c r="D193" i="23"/>
  <c r="AF13" i="9"/>
  <c r="AQ13" i="9"/>
  <c r="AR13" i="9" s="1"/>
  <c r="V13" i="9"/>
  <c r="E16" i="9" a="1"/>
  <c r="E16" i="9" s="1"/>
  <c r="C15" i="9"/>
  <c r="D15" i="9"/>
  <c r="A15" i="9"/>
  <c r="AX14" i="9"/>
  <c r="AP14" i="9"/>
  <c r="AH14" i="9"/>
  <c r="Z14" i="9"/>
  <c r="AV14" i="9"/>
  <c r="AN14" i="9"/>
  <c r="AE14" i="9"/>
  <c r="X14" i="9"/>
  <c r="AU14" i="9"/>
  <c r="AK14" i="9"/>
  <c r="AD14" i="9"/>
  <c r="AT14" i="9"/>
  <c r="AL14" i="9"/>
  <c r="AC14" i="9"/>
  <c r="AZ14" i="9"/>
  <c r="AI14" i="9"/>
  <c r="AB14" i="9"/>
  <c r="AY14" i="9"/>
  <c r="AO14" i="9"/>
  <c r="AG14" i="9"/>
  <c r="Y14" i="9"/>
  <c r="AW14" i="9"/>
  <c r="AM14" i="9"/>
  <c r="W14" i="9"/>
  <c r="BA14" i="9"/>
  <c r="AS14" i="9"/>
  <c r="AJ14" i="9"/>
  <c r="AA14" i="9"/>
  <c r="J14" i="9"/>
  <c r="L14" i="9"/>
  <c r="P14" i="9"/>
  <c r="O14" i="9"/>
  <c r="F14" i="9"/>
  <c r="H14" i="9"/>
  <c r="I14" i="9"/>
  <c r="R14" i="9"/>
  <c r="M14" i="9"/>
  <c r="S14" i="9"/>
  <c r="U14" i="9"/>
  <c r="K14" i="9"/>
  <c r="T14" i="9"/>
  <c r="N14" i="9"/>
  <c r="Q14" i="9"/>
  <c r="G14" i="9"/>
  <c r="BB14" i="9" l="1"/>
  <c r="BC14" i="9" s="1"/>
  <c r="A181" i="23"/>
  <c r="D202" i="23"/>
  <c r="A187" i="23"/>
  <c r="D208" i="23"/>
  <c r="A205" i="23"/>
  <c r="D226" i="23"/>
  <c r="A186" i="23"/>
  <c r="D207" i="23"/>
  <c r="A190" i="23"/>
  <c r="D211" i="23"/>
  <c r="A189" i="23"/>
  <c r="D210" i="23"/>
  <c r="A188" i="23"/>
  <c r="D209" i="23"/>
  <c r="A204" i="23"/>
  <c r="D225" i="23"/>
  <c r="A197" i="23"/>
  <c r="D218" i="23"/>
  <c r="A196" i="23"/>
  <c r="D217" i="23"/>
  <c r="A180" i="23"/>
  <c r="D201" i="23"/>
  <c r="A195" i="23"/>
  <c r="D216" i="23"/>
  <c r="A158" i="23"/>
  <c r="D179" i="23"/>
  <c r="A194" i="23"/>
  <c r="D215" i="23"/>
  <c r="A192" i="23"/>
  <c r="D213" i="23"/>
  <c r="A193" i="23"/>
  <c r="D214" i="23"/>
  <c r="A198" i="23"/>
  <c r="D219" i="23"/>
  <c r="A185" i="23"/>
  <c r="D206" i="23"/>
  <c r="A191" i="23"/>
  <c r="D212" i="23"/>
  <c r="A203" i="23"/>
  <c r="D224" i="23"/>
  <c r="A199" i="23"/>
  <c r="D220" i="23"/>
  <c r="AQ14" i="9"/>
  <c r="AR14" i="9" s="1"/>
  <c r="AF14" i="9"/>
  <c r="U15" i="9"/>
  <c r="R15" i="9"/>
  <c r="L15" i="9"/>
  <c r="T15" i="9"/>
  <c r="M15" i="9"/>
  <c r="N15" i="9"/>
  <c r="O15" i="9"/>
  <c r="H15" i="9"/>
  <c r="G15" i="9"/>
  <c r="K15" i="9"/>
  <c r="Q15" i="9"/>
  <c r="S15" i="9"/>
  <c r="P15" i="9"/>
  <c r="F15" i="9"/>
  <c r="J15" i="9"/>
  <c r="I15" i="9"/>
  <c r="E17" i="9" a="1"/>
  <c r="E17" i="9" s="1"/>
  <c r="D16" i="9"/>
  <c r="C16" i="9"/>
  <c r="A16" i="9"/>
  <c r="AX15" i="9"/>
  <c r="AO15" i="9"/>
  <c r="AG15" i="9"/>
  <c r="Z15" i="9"/>
  <c r="AW15" i="9"/>
  <c r="AN15" i="9"/>
  <c r="X15" i="9"/>
  <c r="AV15" i="9"/>
  <c r="AM15" i="9"/>
  <c r="AD15" i="9"/>
  <c r="W15" i="9"/>
  <c r="AT15" i="9"/>
  <c r="AL15" i="9"/>
  <c r="AC15" i="9"/>
  <c r="AU15" i="9"/>
  <c r="AE15" i="9"/>
  <c r="AY15" i="9"/>
  <c r="AI15" i="9"/>
  <c r="Y15" i="9"/>
  <c r="AZ15" i="9"/>
  <c r="AP15" i="9"/>
  <c r="AH15" i="9"/>
  <c r="AA15" i="9"/>
  <c r="AK15" i="9"/>
  <c r="BA15" i="9"/>
  <c r="AS15" i="9"/>
  <c r="AJ15" i="9"/>
  <c r="AB15" i="9"/>
  <c r="V14" i="9"/>
  <c r="BB15" i="9" l="1"/>
  <c r="BC15" i="9" s="1"/>
  <c r="A216" i="23"/>
  <c r="D237" i="23"/>
  <c r="A225" i="23"/>
  <c r="D246" i="23"/>
  <c r="A207" i="23"/>
  <c r="D228" i="23"/>
  <c r="A212" i="23"/>
  <c r="D233" i="23"/>
  <c r="A213" i="23"/>
  <c r="D234" i="23"/>
  <c r="A201" i="23"/>
  <c r="D222" i="23"/>
  <c r="A209" i="23"/>
  <c r="D230" i="23"/>
  <c r="A226" i="23"/>
  <c r="D247" i="23"/>
  <c r="A206" i="23"/>
  <c r="D227" i="23"/>
  <c r="A215" i="23"/>
  <c r="D236" i="23"/>
  <c r="A217" i="23"/>
  <c r="D238" i="23"/>
  <c r="A210" i="23"/>
  <c r="D231" i="23"/>
  <c r="A208" i="23"/>
  <c r="D229" i="23"/>
  <c r="A220" i="23"/>
  <c r="D241" i="23"/>
  <c r="A219" i="23"/>
  <c r="D240" i="23"/>
  <c r="A179" i="23"/>
  <c r="D200" i="23"/>
  <c r="A218" i="23"/>
  <c r="D239" i="23"/>
  <c r="A211" i="23"/>
  <c r="D232" i="23"/>
  <c r="A202" i="23"/>
  <c r="D223" i="23"/>
  <c r="A224" i="23"/>
  <c r="D245" i="23"/>
  <c r="A214" i="23"/>
  <c r="D235" i="23"/>
  <c r="V15" i="9"/>
  <c r="M16" i="9"/>
  <c r="P16" i="9"/>
  <c r="U16" i="9"/>
  <c r="Q16" i="9"/>
  <c r="J16" i="9"/>
  <c r="T16" i="9"/>
  <c r="I16" i="9"/>
  <c r="R16" i="9"/>
  <c r="G16" i="9"/>
  <c r="K16" i="9"/>
  <c r="F16" i="9"/>
  <c r="L16" i="9"/>
  <c r="S16" i="9"/>
  <c r="H16" i="9"/>
  <c r="O16" i="9"/>
  <c r="N16" i="9"/>
  <c r="AF15" i="9"/>
  <c r="AW16" i="9"/>
  <c r="AP16" i="9"/>
  <c r="AD16" i="9"/>
  <c r="Z16" i="9"/>
  <c r="AX16" i="9"/>
  <c r="AM16" i="9"/>
  <c r="AG16" i="9"/>
  <c r="W16" i="9"/>
  <c r="AU16" i="9"/>
  <c r="BA16" i="9"/>
  <c r="AT16" i="9"/>
  <c r="AJ16" i="9"/>
  <c r="AA16" i="9"/>
  <c r="AY16" i="9"/>
  <c r="AH16" i="9"/>
  <c r="AN16" i="9"/>
  <c r="X16" i="9"/>
  <c r="AS16" i="9"/>
  <c r="AK16" i="9"/>
  <c r="AC16" i="9"/>
  <c r="AB16" i="9"/>
  <c r="AO16" i="9"/>
  <c r="AI16" i="9"/>
  <c r="AV16" i="9"/>
  <c r="AL16" i="9"/>
  <c r="AE16" i="9"/>
  <c r="AZ16" i="9"/>
  <c r="Y16" i="9"/>
  <c r="AQ15" i="9"/>
  <c r="AR15" i="9" s="1"/>
  <c r="A17" i="9"/>
  <c r="C17" i="9"/>
  <c r="D17" i="9"/>
  <c r="E18" i="9" a="1"/>
  <c r="E18" i="9" s="1"/>
  <c r="BB16" i="9" l="1"/>
  <c r="A223" i="23"/>
  <c r="D244" i="23"/>
  <c r="A240" i="23"/>
  <c r="D261" i="23"/>
  <c r="A238" i="23"/>
  <c r="D259" i="23"/>
  <c r="A230" i="23"/>
  <c r="D251" i="23"/>
  <c r="A228" i="23"/>
  <c r="D249" i="23"/>
  <c r="A247" i="23"/>
  <c r="D268" i="23"/>
  <c r="A232" i="23"/>
  <c r="D253" i="23"/>
  <c r="A241" i="23"/>
  <c r="D262" i="23"/>
  <c r="A236" i="23"/>
  <c r="D257" i="23"/>
  <c r="A222" i="23"/>
  <c r="D243" i="23"/>
  <c r="A246" i="23"/>
  <c r="D267" i="23"/>
  <c r="A231" i="23"/>
  <c r="D252" i="23"/>
  <c r="A245" i="23"/>
  <c r="D266" i="23"/>
  <c r="A200" i="23"/>
  <c r="D221" i="23"/>
  <c r="A233" i="23"/>
  <c r="D254" i="23"/>
  <c r="A235" i="23"/>
  <c r="D256" i="23"/>
  <c r="A239" i="23"/>
  <c r="D260" i="23"/>
  <c r="A229" i="23"/>
  <c r="D250" i="23"/>
  <c r="A227" i="23"/>
  <c r="D248" i="23"/>
  <c r="A234" i="23"/>
  <c r="D255" i="23"/>
  <c r="A237" i="23"/>
  <c r="D258" i="23"/>
  <c r="AQ16" i="9"/>
  <c r="AR16" i="9" s="1"/>
  <c r="T17" i="9"/>
  <c r="L17" i="9"/>
  <c r="R17" i="9"/>
  <c r="G17" i="9"/>
  <c r="U17" i="9"/>
  <c r="F17" i="9"/>
  <c r="O17" i="9"/>
  <c r="I17" i="9"/>
  <c r="H17" i="9"/>
  <c r="M17" i="9"/>
  <c r="J17" i="9"/>
  <c r="S17" i="9"/>
  <c r="P17" i="9"/>
  <c r="K17" i="9"/>
  <c r="N17" i="9"/>
  <c r="Q17" i="9"/>
  <c r="AV17" i="9"/>
  <c r="AN17" i="9"/>
  <c r="X17" i="9"/>
  <c r="AU17" i="9"/>
  <c r="AK17" i="9"/>
  <c r="AE17" i="9"/>
  <c r="AH17" i="9"/>
  <c r="AT17" i="9"/>
  <c r="AL17" i="9"/>
  <c r="AC17" i="9"/>
  <c r="BA17" i="9"/>
  <c r="AS17" i="9"/>
  <c r="AJ17" i="9"/>
  <c r="AA17" i="9"/>
  <c r="AZ17" i="9"/>
  <c r="AO17" i="9"/>
  <c r="AX17" i="9"/>
  <c r="AP17" i="9"/>
  <c r="AD17" i="9"/>
  <c r="Z17" i="9"/>
  <c r="W17" i="9"/>
  <c r="AB17" i="9"/>
  <c r="AY17" i="9"/>
  <c r="AI17" i="9"/>
  <c r="Y17" i="9"/>
  <c r="AW17" i="9"/>
  <c r="AM17" i="9"/>
  <c r="AG17" i="9"/>
  <c r="BC16" i="9"/>
  <c r="V16" i="9"/>
  <c r="AF16" i="9"/>
  <c r="A18" i="9"/>
  <c r="E19" i="9" a="1"/>
  <c r="E19" i="9" s="1"/>
  <c r="D18" i="9"/>
  <c r="C18" i="9"/>
  <c r="BB17" i="9" l="1"/>
  <c r="BC17" i="9" s="1"/>
  <c r="A262" i="23"/>
  <c r="D283" i="23"/>
  <c r="A251" i="23"/>
  <c r="D272" i="23"/>
  <c r="A248" i="23"/>
  <c r="D269" i="23"/>
  <c r="A254" i="23"/>
  <c r="D275" i="23"/>
  <c r="A267" i="23"/>
  <c r="D288" i="23"/>
  <c r="A253" i="23"/>
  <c r="D274" i="23"/>
  <c r="A259" i="23"/>
  <c r="D280" i="23"/>
  <c r="A252" i="23"/>
  <c r="D273" i="23"/>
  <c r="A255" i="23"/>
  <c r="D276" i="23"/>
  <c r="A250" i="23"/>
  <c r="D271" i="23"/>
  <c r="A221" i="23"/>
  <c r="D242" i="23"/>
  <c r="A243" i="23"/>
  <c r="D264" i="23"/>
  <c r="A268" i="23"/>
  <c r="D289" i="23"/>
  <c r="A261" i="23"/>
  <c r="D282" i="23"/>
  <c r="A260" i="23"/>
  <c r="D281" i="23"/>
  <c r="A266" i="23"/>
  <c r="D287" i="23"/>
  <c r="A257" i="23"/>
  <c r="D278" i="23"/>
  <c r="A249" i="23"/>
  <c r="D270" i="23"/>
  <c r="A244" i="23"/>
  <c r="D265" i="23"/>
  <c r="A256" i="23"/>
  <c r="D277" i="23"/>
  <c r="A258" i="23"/>
  <c r="D279" i="23"/>
  <c r="AQ17" i="9"/>
  <c r="AR17" i="9" s="1"/>
  <c r="S18" i="9"/>
  <c r="U18" i="9"/>
  <c r="G18" i="9"/>
  <c r="M18" i="9"/>
  <c r="P18" i="9"/>
  <c r="J18" i="9"/>
  <c r="I18" i="9"/>
  <c r="K18" i="9"/>
  <c r="Q18" i="9"/>
  <c r="L18" i="9"/>
  <c r="O18" i="9"/>
  <c r="N18" i="9"/>
  <c r="H18" i="9"/>
  <c r="T18" i="9"/>
  <c r="R18" i="9"/>
  <c r="F18" i="9"/>
  <c r="V17" i="9"/>
  <c r="AF17" i="9"/>
  <c r="AV18" i="9"/>
  <c r="AM18" i="9"/>
  <c r="AD18" i="9"/>
  <c r="W18" i="9"/>
  <c r="BA18" i="9"/>
  <c r="AS18" i="9"/>
  <c r="AJ18" i="9"/>
  <c r="AA18" i="9"/>
  <c r="AN18" i="9"/>
  <c r="AU18" i="9"/>
  <c r="AL18" i="9"/>
  <c r="AE18" i="9"/>
  <c r="AT18" i="9"/>
  <c r="AK18" i="9"/>
  <c r="AC18" i="9"/>
  <c r="AZ18" i="9"/>
  <c r="AI18" i="9"/>
  <c r="AB18" i="9"/>
  <c r="AY18" i="9"/>
  <c r="AP18" i="9"/>
  <c r="AH18" i="9"/>
  <c r="Z18" i="9"/>
  <c r="AW18" i="9"/>
  <c r="X18" i="9"/>
  <c r="AX18" i="9"/>
  <c r="AO18" i="9"/>
  <c r="AG18" i="9"/>
  <c r="Y18" i="9"/>
  <c r="A19" i="9"/>
  <c r="D19" i="9"/>
  <c r="E20" i="9" a="1"/>
  <c r="E20" i="9" s="1"/>
  <c r="C19" i="9"/>
  <c r="BB18" i="9" l="1"/>
  <c r="BC18" i="9" s="1"/>
  <c r="A277" i="23"/>
  <c r="D298" i="23"/>
  <c r="A287" i="23"/>
  <c r="D308" i="23"/>
  <c r="A264" i="23"/>
  <c r="D285" i="23"/>
  <c r="A273" i="23"/>
  <c r="D294" i="23"/>
  <c r="A275" i="23"/>
  <c r="D296" i="23"/>
  <c r="A279" i="23"/>
  <c r="D300" i="23"/>
  <c r="A289" i="23"/>
  <c r="D310" i="23"/>
  <c r="A276" i="23"/>
  <c r="D297" i="23"/>
  <c r="A283" i="23"/>
  <c r="D304" i="23"/>
  <c r="A265" i="23"/>
  <c r="D286" i="23"/>
  <c r="A281" i="23"/>
  <c r="D302" i="23"/>
  <c r="A242" i="23"/>
  <c r="D263" i="23"/>
  <c r="A280" i="23"/>
  <c r="D301" i="23"/>
  <c r="A269" i="23"/>
  <c r="D290" i="23"/>
  <c r="A278" i="23"/>
  <c r="D299" i="23"/>
  <c r="A288" i="23"/>
  <c r="D309" i="23"/>
  <c r="A270" i="23"/>
  <c r="D291" i="23"/>
  <c r="A282" i="23"/>
  <c r="D303" i="23"/>
  <c r="A271" i="23"/>
  <c r="D292" i="23"/>
  <c r="A274" i="23"/>
  <c r="D295" i="23"/>
  <c r="A272" i="23"/>
  <c r="D293" i="23"/>
  <c r="V18" i="9"/>
  <c r="AQ18" i="9"/>
  <c r="AR18" i="9" s="1"/>
  <c r="H19" i="9"/>
  <c r="L19" i="9"/>
  <c r="F19" i="9"/>
  <c r="Q19" i="9"/>
  <c r="T19" i="9"/>
  <c r="K19" i="9"/>
  <c r="M19" i="9"/>
  <c r="S19" i="9"/>
  <c r="N19" i="9"/>
  <c r="R19" i="9"/>
  <c r="O19" i="9"/>
  <c r="U19" i="9"/>
  <c r="G19" i="9"/>
  <c r="I19" i="9"/>
  <c r="P19" i="9"/>
  <c r="J19" i="9"/>
  <c r="BA19" i="9"/>
  <c r="AU19" i="9"/>
  <c r="AN19" i="9"/>
  <c r="X19" i="9"/>
  <c r="AV19" i="9"/>
  <c r="AK19" i="9"/>
  <c r="AE19" i="9"/>
  <c r="AS19" i="9"/>
  <c r="AL19" i="9"/>
  <c r="AB19" i="9"/>
  <c r="AT19" i="9"/>
  <c r="AI19" i="9"/>
  <c r="AC19" i="9"/>
  <c r="AY19" i="9"/>
  <c r="AJ19" i="9"/>
  <c r="AA19" i="9"/>
  <c r="AZ19" i="9"/>
  <c r="AO19" i="9"/>
  <c r="AH19" i="9"/>
  <c r="Y19" i="9"/>
  <c r="AW19" i="9"/>
  <c r="AP19" i="9"/>
  <c r="AD19" i="9"/>
  <c r="Z19" i="9"/>
  <c r="AX19" i="9"/>
  <c r="AM19" i="9"/>
  <c r="AG19" i="9"/>
  <c r="W19" i="9"/>
  <c r="AF18" i="9"/>
  <c r="C20" i="9"/>
  <c r="E21" i="9" a="1"/>
  <c r="E21" i="9" s="1"/>
  <c r="D20" i="9"/>
  <c r="A20" i="9"/>
  <c r="BB19" i="9" l="1"/>
  <c r="BC19" i="9" s="1"/>
  <c r="A293" i="23"/>
  <c r="D314" i="23"/>
  <c r="A291" i="23"/>
  <c r="D312" i="23"/>
  <c r="A296" i="23"/>
  <c r="D317" i="23"/>
  <c r="A309" i="23"/>
  <c r="D330" i="23"/>
  <c r="A263" i="23"/>
  <c r="D284" i="23"/>
  <c r="A297" i="23"/>
  <c r="D318" i="23"/>
  <c r="A294" i="23"/>
  <c r="D315" i="23"/>
  <c r="A301" i="23"/>
  <c r="D322" i="23"/>
  <c r="A295" i="23"/>
  <c r="D316" i="23"/>
  <c r="A292" i="23"/>
  <c r="D313" i="23"/>
  <c r="A310" i="23"/>
  <c r="D331" i="23"/>
  <c r="A285" i="23"/>
  <c r="D306" i="23"/>
  <c r="A302" i="23"/>
  <c r="D323" i="23"/>
  <c r="A299" i="23"/>
  <c r="D320" i="23"/>
  <c r="A303" i="23"/>
  <c r="D324" i="23"/>
  <c r="A290" i="23"/>
  <c r="D311" i="23"/>
  <c r="A286" i="23"/>
  <c r="D307" i="23"/>
  <c r="A300" i="23"/>
  <c r="D321" i="23"/>
  <c r="A308" i="23"/>
  <c r="D329" i="23"/>
  <c r="A304" i="23"/>
  <c r="D325" i="23"/>
  <c r="A298" i="23"/>
  <c r="D319" i="23"/>
  <c r="V19" i="9"/>
  <c r="AW20" i="9"/>
  <c r="AM20" i="9"/>
  <c r="W20" i="9"/>
  <c r="AV20" i="9"/>
  <c r="AN20" i="9"/>
  <c r="AE20" i="9"/>
  <c r="X20" i="9"/>
  <c r="AG20" i="9"/>
  <c r="AH20" i="9"/>
  <c r="Y20" i="9"/>
  <c r="AX20" i="9"/>
  <c r="Z20" i="9"/>
  <c r="AU20" i="9"/>
  <c r="AK20" i="9"/>
  <c r="AD20" i="9"/>
  <c r="AT20" i="9"/>
  <c r="AL20" i="9"/>
  <c r="AC20" i="9"/>
  <c r="BA20" i="9"/>
  <c r="AS20" i="9"/>
  <c r="AI20" i="9"/>
  <c r="AA20" i="9"/>
  <c r="AZ20" i="9"/>
  <c r="AJ20" i="9"/>
  <c r="AB20" i="9"/>
  <c r="AO20" i="9"/>
  <c r="AY20" i="9"/>
  <c r="AP20" i="9"/>
  <c r="AQ19" i="9"/>
  <c r="AR19" i="9" s="1"/>
  <c r="P20" i="9"/>
  <c r="L20" i="9"/>
  <c r="R20" i="9"/>
  <c r="Q20" i="9"/>
  <c r="J20" i="9"/>
  <c r="I20" i="9"/>
  <c r="F20" i="9"/>
  <c r="K20" i="9"/>
  <c r="M20" i="9"/>
  <c r="S20" i="9"/>
  <c r="U20" i="9"/>
  <c r="H20" i="9"/>
  <c r="N20" i="9"/>
  <c r="T20" i="9"/>
  <c r="O20" i="9"/>
  <c r="G20" i="9"/>
  <c r="AF19" i="9"/>
  <c r="C21" i="9"/>
  <c r="E22" i="9" a="1"/>
  <c r="E22" i="9" s="1"/>
  <c r="A21" i="9"/>
  <c r="D21" i="9"/>
  <c r="BB20" i="9" l="1"/>
  <c r="BC20" i="9" s="1"/>
  <c r="A325" i="23"/>
  <c r="D346" i="23"/>
  <c r="A311" i="23"/>
  <c r="D332" i="23"/>
  <c r="A306" i="23"/>
  <c r="D327" i="23"/>
  <c r="A322" i="23"/>
  <c r="D343" i="23"/>
  <c r="A330" i="23"/>
  <c r="D351" i="23"/>
  <c r="A319" i="23"/>
  <c r="D340" i="23"/>
  <c r="A323" i="23"/>
  <c r="D344" i="23"/>
  <c r="A316" i="23"/>
  <c r="D337" i="23"/>
  <c r="A314" i="23"/>
  <c r="D335" i="23"/>
  <c r="A331" i="23"/>
  <c r="D352" i="23"/>
  <c r="A329" i="23"/>
  <c r="D350" i="23"/>
  <c r="A315" i="23"/>
  <c r="D336" i="23"/>
  <c r="A317" i="23"/>
  <c r="D338" i="23"/>
  <c r="A324" i="23"/>
  <c r="D345" i="23"/>
  <c r="A321" i="23"/>
  <c r="D342" i="23"/>
  <c r="A320" i="23"/>
  <c r="D341" i="23"/>
  <c r="A313" i="23"/>
  <c r="D334" i="23"/>
  <c r="A318" i="23"/>
  <c r="D339" i="23"/>
  <c r="A312" i="23"/>
  <c r="D333" i="23"/>
  <c r="A307" i="23"/>
  <c r="D328" i="23"/>
  <c r="A284" i="23"/>
  <c r="D305" i="23"/>
  <c r="AQ20" i="9"/>
  <c r="AR20" i="9" s="1"/>
  <c r="D22" i="9"/>
  <c r="E23" i="9" a="1"/>
  <c r="E23" i="9" s="1"/>
  <c r="C22" i="9"/>
  <c r="A22" i="9"/>
  <c r="AF20" i="9"/>
  <c r="V20" i="9"/>
  <c r="H21" i="9"/>
  <c r="R21" i="9"/>
  <c r="S21" i="9"/>
  <c r="F21" i="9"/>
  <c r="L21" i="9"/>
  <c r="M21" i="9"/>
  <c r="I21" i="9"/>
  <c r="K21" i="9"/>
  <c r="O21" i="9"/>
  <c r="J21" i="9"/>
  <c r="U21" i="9"/>
  <c r="P21" i="9"/>
  <c r="N21" i="9"/>
  <c r="G21" i="9"/>
  <c r="T21" i="9"/>
  <c r="Q21" i="9"/>
  <c r="AW21" i="9"/>
  <c r="AP21" i="9"/>
  <c r="AG21" i="9"/>
  <c r="Z21" i="9"/>
  <c r="AX21" i="9"/>
  <c r="AM21" i="9"/>
  <c r="W21" i="9"/>
  <c r="AZ21" i="9"/>
  <c r="AT21" i="9"/>
  <c r="AK21" i="9"/>
  <c r="AA21" i="9"/>
  <c r="AU21" i="9"/>
  <c r="AN21" i="9"/>
  <c r="AE21" i="9"/>
  <c r="X21" i="9"/>
  <c r="AS21" i="9"/>
  <c r="AJ21" i="9"/>
  <c r="AC21" i="9"/>
  <c r="BA21" i="9"/>
  <c r="AI21" i="9"/>
  <c r="AB21" i="9"/>
  <c r="AH21" i="9"/>
  <c r="AV21" i="9"/>
  <c r="AL21" i="9"/>
  <c r="AD21" i="9"/>
  <c r="AY21" i="9"/>
  <c r="AO21" i="9"/>
  <c r="Y21" i="9"/>
  <c r="BB21" i="9" l="1"/>
  <c r="BC21" i="9" s="1"/>
  <c r="A328" i="23"/>
  <c r="D349" i="23"/>
  <c r="A341" i="23"/>
  <c r="D362" i="23"/>
  <c r="A336" i="23"/>
  <c r="D357" i="23"/>
  <c r="A337" i="23"/>
  <c r="D358" i="23"/>
  <c r="A343" i="23"/>
  <c r="D364" i="23"/>
  <c r="A342" i="23"/>
  <c r="D363" i="23"/>
  <c r="A333" i="23"/>
  <c r="D354" i="23"/>
  <c r="A350" i="23"/>
  <c r="D371" i="23"/>
  <c r="A344" i="23"/>
  <c r="D365" i="23"/>
  <c r="A327" i="23"/>
  <c r="D348" i="23"/>
  <c r="A352" i="23"/>
  <c r="D373" i="23"/>
  <c r="A339" i="23"/>
  <c r="D360" i="23"/>
  <c r="A345" i="23"/>
  <c r="D366" i="23"/>
  <c r="A340" i="23"/>
  <c r="D361" i="23"/>
  <c r="A332" i="23"/>
  <c r="D353" i="23"/>
  <c r="A305" i="23"/>
  <c r="D326" i="23"/>
  <c r="A334" i="23"/>
  <c r="D355" i="23"/>
  <c r="A338" i="23"/>
  <c r="D359" i="23"/>
  <c r="A335" i="23"/>
  <c r="D356" i="23"/>
  <c r="A351" i="23"/>
  <c r="D372" i="23"/>
  <c r="A346" i="23"/>
  <c r="D367" i="23"/>
  <c r="AF21" i="9"/>
  <c r="P22" i="9"/>
  <c r="L22" i="9"/>
  <c r="K22" i="9"/>
  <c r="N22" i="9"/>
  <c r="T22" i="9"/>
  <c r="I22" i="9"/>
  <c r="F22" i="9"/>
  <c r="M22" i="9"/>
  <c r="G22" i="9"/>
  <c r="U22" i="9"/>
  <c r="R22" i="9"/>
  <c r="S22" i="9"/>
  <c r="Q22" i="9"/>
  <c r="O22" i="9"/>
  <c r="J22" i="9"/>
  <c r="H22" i="9"/>
  <c r="AQ21" i="9"/>
  <c r="AR21" i="9" s="1"/>
  <c r="V21" i="9"/>
  <c r="AZ22" i="9"/>
  <c r="AT22" i="9"/>
  <c r="AJ22" i="9"/>
  <c r="AC22" i="9"/>
  <c r="AV22" i="9"/>
  <c r="AM22" i="9"/>
  <c r="AD22" i="9"/>
  <c r="AU22" i="9"/>
  <c r="AL22" i="9"/>
  <c r="AE22" i="9"/>
  <c r="W22" i="9"/>
  <c r="BA22" i="9"/>
  <c r="AI22" i="9"/>
  <c r="AA22" i="9"/>
  <c r="AW22" i="9"/>
  <c r="AN22" i="9"/>
  <c r="X22" i="9"/>
  <c r="AS22" i="9"/>
  <c r="AK22" i="9"/>
  <c r="AB22" i="9"/>
  <c r="AY22" i="9"/>
  <c r="AO22" i="9"/>
  <c r="AH22" i="9"/>
  <c r="Y22" i="9"/>
  <c r="AX22" i="9"/>
  <c r="AP22" i="9"/>
  <c r="AG22" i="9"/>
  <c r="Z22" i="9"/>
  <c r="C23" i="9"/>
  <c r="A23" i="9"/>
  <c r="E24" i="9" a="1"/>
  <c r="E24" i="9" s="1"/>
  <c r="D23" i="9"/>
  <c r="BB22" i="9" l="1"/>
  <c r="BC22" i="9" s="1"/>
  <c r="A372" i="23"/>
  <c r="D393" i="23"/>
  <c r="A326" i="23"/>
  <c r="D347" i="23"/>
  <c r="A360" i="23"/>
  <c r="D381" i="23"/>
  <c r="A371" i="23"/>
  <c r="D392" i="23"/>
  <c r="A358" i="23"/>
  <c r="D379" i="23"/>
  <c r="A356" i="23"/>
  <c r="D377" i="23"/>
  <c r="A353" i="23"/>
  <c r="D374" i="23"/>
  <c r="A354" i="23"/>
  <c r="D375" i="23"/>
  <c r="A357" i="23"/>
  <c r="D378" i="23"/>
  <c r="A373" i="23"/>
  <c r="D394" i="23"/>
  <c r="A359" i="23"/>
  <c r="D380" i="23"/>
  <c r="A361" i="23"/>
  <c r="D382" i="23"/>
  <c r="A348" i="23"/>
  <c r="D369" i="23"/>
  <c r="A363" i="23"/>
  <c r="D384" i="23"/>
  <c r="A362" i="23"/>
  <c r="D383" i="23"/>
  <c r="A367" i="23"/>
  <c r="D388" i="23"/>
  <c r="A355" i="23"/>
  <c r="D376" i="23"/>
  <c r="A366" i="23"/>
  <c r="D387" i="23"/>
  <c r="A365" i="23"/>
  <c r="D386" i="23"/>
  <c r="A364" i="23"/>
  <c r="D385" i="23"/>
  <c r="A349" i="23"/>
  <c r="D370" i="23"/>
  <c r="AQ22" i="9"/>
  <c r="AR22" i="9" s="1"/>
  <c r="V22" i="9"/>
  <c r="AX23" i="9"/>
  <c r="AN23" i="9"/>
  <c r="X23" i="9"/>
  <c r="AV23" i="9"/>
  <c r="AL23" i="9"/>
  <c r="AE23" i="9"/>
  <c r="BA23" i="9"/>
  <c r="AI23" i="9"/>
  <c r="AA23" i="9"/>
  <c r="AW23" i="9"/>
  <c r="AO23" i="9"/>
  <c r="AG23" i="9"/>
  <c r="Y23" i="9"/>
  <c r="AU23" i="9"/>
  <c r="AM23" i="9"/>
  <c r="AD23" i="9"/>
  <c r="W23" i="9"/>
  <c r="AS23" i="9"/>
  <c r="AK23" i="9"/>
  <c r="AB23" i="9"/>
  <c r="AZ23" i="9"/>
  <c r="AT23" i="9"/>
  <c r="AJ23" i="9"/>
  <c r="AC23" i="9"/>
  <c r="AY23" i="9"/>
  <c r="AP23" i="9"/>
  <c r="AH23" i="9"/>
  <c r="Z23" i="9"/>
  <c r="C24" i="9"/>
  <c r="E25" i="9" a="1"/>
  <c r="E25" i="9" s="1"/>
  <c r="A24" i="9"/>
  <c r="D24" i="9"/>
  <c r="AF22" i="9"/>
  <c r="T23" i="9"/>
  <c r="O23" i="9"/>
  <c r="N23" i="9"/>
  <c r="P23" i="9"/>
  <c r="H23" i="9"/>
  <c r="J23" i="9"/>
  <c r="G23" i="9"/>
  <c r="L23" i="9"/>
  <c r="K23" i="9"/>
  <c r="F23" i="9"/>
  <c r="M23" i="9"/>
  <c r="I23" i="9"/>
  <c r="Q23" i="9"/>
  <c r="S23" i="9"/>
  <c r="U23" i="9"/>
  <c r="R23" i="9"/>
  <c r="BB23" i="9" l="1"/>
  <c r="BC23" i="9" s="1"/>
  <c r="A375" i="23"/>
  <c r="D396" i="23"/>
  <c r="A386" i="23"/>
  <c r="D407" i="23"/>
  <c r="A383" i="23"/>
  <c r="D404" i="23"/>
  <c r="A380" i="23"/>
  <c r="D401" i="23"/>
  <c r="A374" i="23"/>
  <c r="D395" i="23"/>
  <c r="A381" i="23"/>
  <c r="D402" i="23"/>
  <c r="A388" i="23"/>
  <c r="D409" i="23"/>
  <c r="A385" i="23"/>
  <c r="D406" i="23"/>
  <c r="A387" i="23"/>
  <c r="D408" i="23"/>
  <c r="A384" i="23"/>
  <c r="D405" i="23"/>
  <c r="A394" i="23"/>
  <c r="D415" i="23"/>
  <c r="A377" i="23"/>
  <c r="D398" i="23"/>
  <c r="A347" i="23"/>
  <c r="D368" i="23"/>
  <c r="A382" i="23"/>
  <c r="D403" i="23"/>
  <c r="A392" i="23"/>
  <c r="D413" i="23"/>
  <c r="A370" i="23"/>
  <c r="D391" i="23"/>
  <c r="A376" i="23"/>
  <c r="D397" i="23"/>
  <c r="A369" i="23"/>
  <c r="D390" i="23"/>
  <c r="A378" i="23"/>
  <c r="D399" i="23"/>
  <c r="A379" i="23"/>
  <c r="D400" i="23"/>
  <c r="A393" i="23"/>
  <c r="D414" i="23"/>
  <c r="A25" i="9"/>
  <c r="C25" i="9"/>
  <c r="E26" i="9" a="1"/>
  <c r="E26" i="9" s="1"/>
  <c r="D25" i="9"/>
  <c r="AW24" i="9"/>
  <c r="AN24" i="9"/>
  <c r="X24" i="9"/>
  <c r="AV24" i="9"/>
  <c r="AM24" i="9"/>
  <c r="AD24" i="9"/>
  <c r="W24" i="9"/>
  <c r="BA24" i="9"/>
  <c r="AB24" i="9"/>
  <c r="AY24" i="9"/>
  <c r="AP24" i="9"/>
  <c r="AI24" i="9"/>
  <c r="AA24" i="9"/>
  <c r="AT24" i="9"/>
  <c r="AK24" i="9"/>
  <c r="AC24" i="9"/>
  <c r="AZ24" i="9"/>
  <c r="AH24" i="9"/>
  <c r="Z24" i="9"/>
  <c r="AU24" i="9"/>
  <c r="AL24" i="9"/>
  <c r="AE24" i="9"/>
  <c r="AO24" i="9"/>
  <c r="Y24" i="9"/>
  <c r="AJ24" i="9"/>
  <c r="AS24" i="9"/>
  <c r="AX24" i="9"/>
  <c r="AG24" i="9"/>
  <c r="V23" i="9"/>
  <c r="AF23" i="9"/>
  <c r="N24" i="9"/>
  <c r="Q24" i="9"/>
  <c r="H24" i="9"/>
  <c r="S24" i="9"/>
  <c r="T24" i="9"/>
  <c r="J24" i="9"/>
  <c r="G24" i="9"/>
  <c r="K24" i="9"/>
  <c r="L24" i="9"/>
  <c r="U24" i="9"/>
  <c r="O24" i="9"/>
  <c r="I24" i="9"/>
  <c r="P24" i="9"/>
  <c r="R24" i="9"/>
  <c r="M24" i="9"/>
  <c r="F24" i="9"/>
  <c r="AQ23" i="9"/>
  <c r="AR23" i="9" s="1"/>
  <c r="BB24" i="9" l="1"/>
  <c r="BC24" i="9" s="1"/>
  <c r="A400" i="23"/>
  <c r="D421" i="23"/>
  <c r="A401" i="23"/>
  <c r="D422" i="23"/>
  <c r="A391" i="23"/>
  <c r="D412" i="23"/>
  <c r="A406" i="23"/>
  <c r="D427" i="23"/>
  <c r="A399" i="23"/>
  <c r="D420" i="23"/>
  <c r="A413" i="23"/>
  <c r="D434" i="23"/>
  <c r="A415" i="23"/>
  <c r="D436" i="23"/>
  <c r="A409" i="23"/>
  <c r="D430" i="23"/>
  <c r="A404" i="23"/>
  <c r="D425" i="23"/>
  <c r="A398" i="23"/>
  <c r="D419" i="23"/>
  <c r="A390" i="23"/>
  <c r="D411" i="23"/>
  <c r="A403" i="23"/>
  <c r="D424" i="23"/>
  <c r="A405" i="23"/>
  <c r="D426" i="23"/>
  <c r="A402" i="23"/>
  <c r="D423" i="23"/>
  <c r="A407" i="23"/>
  <c r="D428" i="23"/>
  <c r="A414" i="23"/>
  <c r="D435" i="23"/>
  <c r="A397" i="23"/>
  <c r="D418" i="23"/>
  <c r="A368" i="23"/>
  <c r="D389" i="23"/>
  <c r="A408" i="23"/>
  <c r="D429" i="23"/>
  <c r="A395" i="23"/>
  <c r="D416" i="23"/>
  <c r="A396" i="23"/>
  <c r="D417" i="23"/>
  <c r="AQ24" i="9"/>
  <c r="AR24" i="9" s="1"/>
  <c r="AF24" i="9"/>
  <c r="E27" i="9" a="1"/>
  <c r="E27" i="9" s="1"/>
  <c r="A26" i="9"/>
  <c r="C26" i="9"/>
  <c r="D26" i="9"/>
  <c r="AV25" i="9"/>
  <c r="AM25" i="9"/>
  <c r="W25" i="9"/>
  <c r="AN25" i="9"/>
  <c r="AE25" i="9"/>
  <c r="AD25" i="9"/>
  <c r="AC25" i="9"/>
  <c r="BA25" i="9"/>
  <c r="AX25" i="9"/>
  <c r="AW25" i="9"/>
  <c r="X25" i="9"/>
  <c r="AT25" i="9"/>
  <c r="AK25" i="9"/>
  <c r="AU25" i="9"/>
  <c r="AL25" i="9"/>
  <c r="AS25" i="9"/>
  <c r="AB25" i="9"/>
  <c r="AI25" i="9"/>
  <c r="AZ25" i="9"/>
  <c r="AP25" i="9"/>
  <c r="AA25" i="9"/>
  <c r="Y25" i="9"/>
  <c r="AY25" i="9"/>
  <c r="AO25" i="9"/>
  <c r="AH25" i="9"/>
  <c r="Z25" i="9"/>
  <c r="AJ25" i="9"/>
  <c r="AG25" i="9"/>
  <c r="V24" i="9"/>
  <c r="Q25" i="9"/>
  <c r="U25" i="9"/>
  <c r="G25" i="9"/>
  <c r="S25" i="9"/>
  <c r="K25" i="9"/>
  <c r="J25" i="9"/>
  <c r="T25" i="9"/>
  <c r="I25" i="9"/>
  <c r="H25" i="9"/>
  <c r="L25" i="9"/>
  <c r="O25" i="9"/>
  <c r="R25" i="9"/>
  <c r="N25" i="9"/>
  <c r="P25" i="9"/>
  <c r="F25" i="9"/>
  <c r="M25" i="9"/>
  <c r="BB25" i="9" l="1"/>
  <c r="BC25" i="9" s="1"/>
  <c r="A416" i="23"/>
  <c r="D437" i="23"/>
  <c r="A427" i="23"/>
  <c r="D448" i="23"/>
  <c r="A429" i="23"/>
  <c r="D450" i="23"/>
  <c r="A436" i="23"/>
  <c r="D457" i="23"/>
  <c r="A428" i="23"/>
  <c r="D449" i="23"/>
  <c r="A411" i="23"/>
  <c r="D432" i="23"/>
  <c r="A412" i="23"/>
  <c r="D433" i="23"/>
  <c r="A424" i="23"/>
  <c r="D445" i="23"/>
  <c r="A389" i="23"/>
  <c r="D410" i="23"/>
  <c r="A419" i="23"/>
  <c r="D440" i="23"/>
  <c r="A422" i="23"/>
  <c r="D443" i="23"/>
  <c r="A435" i="23"/>
  <c r="D456" i="23"/>
  <c r="A423" i="23"/>
  <c r="D444" i="23"/>
  <c r="A434" i="23"/>
  <c r="D455" i="23"/>
  <c r="A430" i="23"/>
  <c r="D451" i="23"/>
  <c r="A417" i="23"/>
  <c r="D438" i="23"/>
  <c r="A418" i="23"/>
  <c r="D439" i="23"/>
  <c r="A426" i="23"/>
  <c r="D447" i="23"/>
  <c r="A425" i="23"/>
  <c r="D446" i="23"/>
  <c r="A420" i="23"/>
  <c r="D441" i="23"/>
  <c r="A421" i="23"/>
  <c r="D442" i="23"/>
  <c r="AF25" i="9"/>
  <c r="AQ25" i="9"/>
  <c r="AR25" i="9" s="1"/>
  <c r="AX26" i="9"/>
  <c r="AO26" i="9"/>
  <c r="AG26" i="9"/>
  <c r="Y26" i="9"/>
  <c r="AD26" i="9"/>
  <c r="AU26" i="9"/>
  <c r="AL26" i="9"/>
  <c r="AS26" i="9"/>
  <c r="AK26" i="9"/>
  <c r="AV26" i="9"/>
  <c r="AN26" i="9"/>
  <c r="X26" i="9"/>
  <c r="AW26" i="9"/>
  <c r="AM26" i="9"/>
  <c r="W26" i="9"/>
  <c r="AE26" i="9"/>
  <c r="AI26" i="9"/>
  <c r="AT26" i="9"/>
  <c r="AJ26" i="9"/>
  <c r="BA26" i="9"/>
  <c r="AC26" i="9"/>
  <c r="AA26" i="9"/>
  <c r="AP26" i="9"/>
  <c r="AY26" i="9"/>
  <c r="AH26" i="9"/>
  <c r="AB26" i="9"/>
  <c r="AZ26" i="9"/>
  <c r="Z26" i="9"/>
  <c r="M26" i="9"/>
  <c r="Q26" i="9"/>
  <c r="U26" i="9"/>
  <c r="J26" i="9"/>
  <c r="R26" i="9"/>
  <c r="H26" i="9"/>
  <c r="S26" i="9"/>
  <c r="I26" i="9"/>
  <c r="N26" i="9"/>
  <c r="O26" i="9"/>
  <c r="L26" i="9"/>
  <c r="P26" i="9"/>
  <c r="F26" i="9"/>
  <c r="K26" i="9"/>
  <c r="T26" i="9"/>
  <c r="G26" i="9"/>
  <c r="E28" i="9" a="1"/>
  <c r="E28" i="9" s="1"/>
  <c r="C27" i="9"/>
  <c r="A27" i="9"/>
  <c r="D27" i="9"/>
  <c r="V25" i="9"/>
  <c r="BB26" i="9" l="1"/>
  <c r="BC26" i="9" s="1"/>
  <c r="A441" i="23"/>
  <c r="D462" i="23"/>
  <c r="A438" i="23"/>
  <c r="D459" i="23"/>
  <c r="A456" i="23"/>
  <c r="D477" i="23"/>
  <c r="A445" i="23"/>
  <c r="D466" i="23"/>
  <c r="A457" i="23"/>
  <c r="D478" i="23"/>
  <c r="A446" i="23"/>
  <c r="D467" i="23"/>
  <c r="A451" i="23"/>
  <c r="D472" i="23"/>
  <c r="A443" i="23"/>
  <c r="D464" i="23"/>
  <c r="A433" i="23"/>
  <c r="D454" i="23"/>
  <c r="A450" i="23"/>
  <c r="D471" i="23"/>
  <c r="A447" i="23"/>
  <c r="D468" i="23"/>
  <c r="A455" i="23"/>
  <c r="D476" i="23"/>
  <c r="A440" i="23"/>
  <c r="D461" i="23"/>
  <c r="A432" i="23"/>
  <c r="D453" i="23"/>
  <c r="A448" i="23"/>
  <c r="D469" i="23"/>
  <c r="A442" i="23"/>
  <c r="D463" i="23"/>
  <c r="A439" i="23"/>
  <c r="D460" i="23"/>
  <c r="A444" i="23"/>
  <c r="D465" i="23"/>
  <c r="A410" i="23"/>
  <c r="D431" i="23"/>
  <c r="A449" i="23"/>
  <c r="D470" i="23"/>
  <c r="A437" i="23"/>
  <c r="D458" i="23"/>
  <c r="E29" i="9" a="1"/>
  <c r="E29" i="9" s="1"/>
  <c r="D28" i="9"/>
  <c r="A28" i="9"/>
  <c r="C28" i="9"/>
  <c r="AF26" i="9"/>
  <c r="AQ26" i="9"/>
  <c r="AR26" i="9" s="1"/>
  <c r="V26" i="9"/>
  <c r="F27" i="9"/>
  <c r="R27" i="9"/>
  <c r="N27" i="9"/>
  <c r="L27" i="9"/>
  <c r="Q27" i="9"/>
  <c r="I27" i="9"/>
  <c r="T27" i="9"/>
  <c r="S27" i="9"/>
  <c r="G27" i="9"/>
  <c r="M27" i="9"/>
  <c r="U27" i="9"/>
  <c r="J27" i="9"/>
  <c r="H27" i="9"/>
  <c r="O27" i="9"/>
  <c r="K27" i="9"/>
  <c r="P27" i="9"/>
  <c r="AU27" i="9"/>
  <c r="AM27" i="9"/>
  <c r="AD27" i="9"/>
  <c r="W27" i="9"/>
  <c r="AY27" i="9"/>
  <c r="AJ27" i="9"/>
  <c r="AX27" i="9"/>
  <c r="X27" i="9"/>
  <c r="AV27" i="9"/>
  <c r="AL27" i="9"/>
  <c r="AE27" i="9"/>
  <c r="AB27" i="9"/>
  <c r="BA27" i="9"/>
  <c r="AS27" i="9"/>
  <c r="AK27" i="9"/>
  <c r="AC27" i="9"/>
  <c r="AP27" i="9"/>
  <c r="AT27" i="9"/>
  <c r="AI27" i="9"/>
  <c r="AA27" i="9"/>
  <c r="AZ27" i="9"/>
  <c r="AH27" i="9"/>
  <c r="Z27" i="9"/>
  <c r="AN27" i="9"/>
  <c r="AW27" i="9"/>
  <c r="AO27" i="9"/>
  <c r="AG27" i="9"/>
  <c r="Y27" i="9"/>
  <c r="BB27" i="9" l="1"/>
  <c r="BC27" i="9" s="1"/>
  <c r="A470" i="23"/>
  <c r="D491" i="23"/>
  <c r="A463" i="23"/>
  <c r="D484" i="23"/>
  <c r="A476" i="23"/>
  <c r="D497" i="23"/>
  <c r="A464" i="23"/>
  <c r="D485" i="23"/>
  <c r="A466" i="23"/>
  <c r="D487" i="23"/>
  <c r="A431" i="23"/>
  <c r="D452" i="23"/>
  <c r="A468" i="23"/>
  <c r="D489" i="23"/>
  <c r="A477" i="23"/>
  <c r="D498" i="23"/>
  <c r="A469" i="23"/>
  <c r="D490" i="23"/>
  <c r="A472" i="23"/>
  <c r="D493" i="23"/>
  <c r="A465" i="23"/>
  <c r="D486" i="23"/>
  <c r="A453" i="23"/>
  <c r="D474" i="23"/>
  <c r="A471" i="23"/>
  <c r="D492" i="23"/>
  <c r="A467" i="23"/>
  <c r="D488" i="23"/>
  <c r="A459" i="23"/>
  <c r="D480" i="23"/>
  <c r="A460" i="23"/>
  <c r="D481" i="23"/>
  <c r="A461" i="23"/>
  <c r="D482" i="23"/>
  <c r="A454" i="23"/>
  <c r="D475" i="23"/>
  <c r="A478" i="23"/>
  <c r="D499" i="23"/>
  <c r="A462" i="23"/>
  <c r="D483" i="23"/>
  <c r="A458" i="23"/>
  <c r="D479" i="23"/>
  <c r="AF27" i="9"/>
  <c r="AW28" i="9"/>
  <c r="AP28" i="9"/>
  <c r="AG28" i="9"/>
  <c r="Y28" i="9"/>
  <c r="BA28" i="9"/>
  <c r="AS28" i="9"/>
  <c r="AX28" i="9"/>
  <c r="AN28" i="9"/>
  <c r="X28" i="9"/>
  <c r="AK28" i="9"/>
  <c r="AJ28" i="9"/>
  <c r="AU28" i="9"/>
  <c r="AM28" i="9"/>
  <c r="AD28" i="9"/>
  <c r="W28" i="9"/>
  <c r="AV28" i="9"/>
  <c r="AE28" i="9"/>
  <c r="AT28" i="9"/>
  <c r="AL28" i="9"/>
  <c r="AC28" i="9"/>
  <c r="AA28" i="9"/>
  <c r="AZ28" i="9"/>
  <c r="AI28" i="9"/>
  <c r="AB28" i="9"/>
  <c r="AY28" i="9"/>
  <c r="AO28" i="9"/>
  <c r="AH28" i="9"/>
  <c r="Z28" i="9"/>
  <c r="AQ27" i="9"/>
  <c r="AR27" i="9" s="1"/>
  <c r="M28" i="9"/>
  <c r="L28" i="9"/>
  <c r="T28" i="9"/>
  <c r="P28" i="9"/>
  <c r="H28" i="9"/>
  <c r="R28" i="9"/>
  <c r="U28" i="9"/>
  <c r="Q28" i="9"/>
  <c r="I28" i="9"/>
  <c r="N28" i="9"/>
  <c r="F28" i="9"/>
  <c r="J28" i="9"/>
  <c r="O28" i="9"/>
  <c r="S28" i="9"/>
  <c r="G28" i="9"/>
  <c r="K28" i="9"/>
  <c r="V27" i="9"/>
  <c r="D29" i="9"/>
  <c r="E30" i="9" a="1"/>
  <c r="E30" i="9" s="1"/>
  <c r="A29" i="9"/>
  <c r="C29" i="9"/>
  <c r="BB28" i="9" l="1"/>
  <c r="BC28" i="9" s="1"/>
  <c r="A483" i="23"/>
  <c r="D504" i="23"/>
  <c r="A481" i="23"/>
  <c r="D502" i="23"/>
  <c r="A474" i="23"/>
  <c r="D495" i="23"/>
  <c r="A498" i="23"/>
  <c r="D519" i="23"/>
  <c r="A485" i="23"/>
  <c r="D506" i="23"/>
  <c r="A499" i="23"/>
  <c r="D520" i="23"/>
  <c r="A480" i="23"/>
  <c r="D501" i="23"/>
  <c r="A486" i="23"/>
  <c r="D507" i="23"/>
  <c r="A489" i="23"/>
  <c r="D510" i="23"/>
  <c r="A497" i="23"/>
  <c r="D518" i="23"/>
  <c r="A475" i="23"/>
  <c r="D496" i="23"/>
  <c r="A488" i="23"/>
  <c r="D509" i="23"/>
  <c r="A493" i="23"/>
  <c r="D514" i="23"/>
  <c r="A452" i="23"/>
  <c r="D473" i="23"/>
  <c r="A484" i="23"/>
  <c r="D505" i="23"/>
  <c r="A479" i="23"/>
  <c r="D500" i="23"/>
  <c r="A482" i="23"/>
  <c r="D503" i="23"/>
  <c r="A492" i="23"/>
  <c r="D513" i="23"/>
  <c r="A490" i="23"/>
  <c r="D511" i="23"/>
  <c r="A487" i="23"/>
  <c r="D508" i="23"/>
  <c r="A491" i="23"/>
  <c r="D512" i="23"/>
  <c r="AF28" i="9"/>
  <c r="AW29" i="9"/>
  <c r="AM29" i="9"/>
  <c r="AG29" i="9"/>
  <c r="W29" i="9"/>
  <c r="AV29" i="9"/>
  <c r="AN29" i="9"/>
  <c r="X29" i="9"/>
  <c r="AU29" i="9"/>
  <c r="AL29" i="9"/>
  <c r="AE29" i="9"/>
  <c r="AO29" i="9"/>
  <c r="AY29" i="9"/>
  <c r="Z29" i="9"/>
  <c r="AT29" i="9"/>
  <c r="AJ29" i="9"/>
  <c r="AB29" i="9"/>
  <c r="AX29" i="9"/>
  <c r="Y29" i="9"/>
  <c r="AD29" i="9"/>
  <c r="BA29" i="9"/>
  <c r="AS29" i="9"/>
  <c r="AK29" i="9"/>
  <c r="AC29" i="9"/>
  <c r="AZ29" i="9"/>
  <c r="AH29" i="9"/>
  <c r="AA29" i="9"/>
  <c r="AI29" i="9"/>
  <c r="AP29" i="9"/>
  <c r="U29" i="9"/>
  <c r="G29" i="9"/>
  <c r="I29" i="9"/>
  <c r="F29" i="9"/>
  <c r="N29" i="9"/>
  <c r="R29" i="9"/>
  <c r="J29" i="9"/>
  <c r="L29" i="9"/>
  <c r="K29" i="9"/>
  <c r="H29" i="9"/>
  <c r="M29" i="9"/>
  <c r="O29" i="9"/>
  <c r="Q29" i="9"/>
  <c r="P29" i="9"/>
  <c r="T29" i="9"/>
  <c r="S29" i="9"/>
  <c r="A30" i="9"/>
  <c r="C30" i="9"/>
  <c r="E31" i="9" a="1"/>
  <c r="E31" i="9" s="1"/>
  <c r="D30" i="9"/>
  <c r="V28" i="9"/>
  <c r="AQ28" i="9"/>
  <c r="AR28" i="9" s="1"/>
  <c r="BB29" i="9" l="1"/>
  <c r="BC29" i="9" s="1"/>
  <c r="A508" i="23"/>
  <c r="D529" i="23"/>
  <c r="A500" i="23"/>
  <c r="D521" i="23"/>
  <c r="A509" i="23"/>
  <c r="D530" i="23"/>
  <c r="A507" i="23"/>
  <c r="D528" i="23"/>
  <c r="A519" i="23"/>
  <c r="D540" i="23"/>
  <c r="A505" i="23"/>
  <c r="D526" i="23"/>
  <c r="A495" i="23"/>
  <c r="D516" i="23"/>
  <c r="A511" i="23"/>
  <c r="D532" i="23"/>
  <c r="A496" i="23"/>
  <c r="D517" i="23"/>
  <c r="A501" i="23"/>
  <c r="D522" i="23"/>
  <c r="A513" i="23"/>
  <c r="D534" i="23"/>
  <c r="A518" i="23"/>
  <c r="D539" i="23"/>
  <c r="A502" i="23"/>
  <c r="D523" i="23"/>
  <c r="A473" i="23"/>
  <c r="D494" i="23"/>
  <c r="A520" i="23"/>
  <c r="D541" i="23"/>
  <c r="A512" i="23"/>
  <c r="D533" i="23"/>
  <c r="A503" i="23"/>
  <c r="D524" i="23"/>
  <c r="A514" i="23"/>
  <c r="D535" i="23"/>
  <c r="A510" i="23"/>
  <c r="D531" i="23"/>
  <c r="A506" i="23"/>
  <c r="D527" i="23"/>
  <c r="A504" i="23"/>
  <c r="D525" i="23"/>
  <c r="R30" i="9"/>
  <c r="N30" i="9"/>
  <c r="O30" i="9"/>
  <c r="M30" i="9"/>
  <c r="I30" i="9"/>
  <c r="Q30" i="9"/>
  <c r="U30" i="9"/>
  <c r="J30" i="9"/>
  <c r="T30" i="9"/>
  <c r="S30" i="9"/>
  <c r="G30" i="9"/>
  <c r="F30" i="9"/>
  <c r="H30" i="9"/>
  <c r="L30" i="9"/>
  <c r="P30" i="9"/>
  <c r="K30" i="9"/>
  <c r="AW30" i="9"/>
  <c r="AP30" i="9"/>
  <c r="AH30" i="9"/>
  <c r="Z30" i="9"/>
  <c r="AG30" i="9"/>
  <c r="AX30" i="9"/>
  <c r="AM30" i="9"/>
  <c r="W30" i="9"/>
  <c r="AV30" i="9"/>
  <c r="AN30" i="9"/>
  <c r="AE30" i="9"/>
  <c r="X30" i="9"/>
  <c r="AT30" i="9"/>
  <c r="Y30" i="9"/>
  <c r="AK30" i="9"/>
  <c r="AY30" i="9"/>
  <c r="AU30" i="9"/>
  <c r="AD30" i="9"/>
  <c r="AL30" i="9"/>
  <c r="AC30" i="9"/>
  <c r="BA30" i="9"/>
  <c r="AS30" i="9"/>
  <c r="AJ30" i="9"/>
  <c r="AA30" i="9"/>
  <c r="AO30" i="9"/>
  <c r="AZ30" i="9"/>
  <c r="AI30" i="9"/>
  <c r="AB30" i="9"/>
  <c r="AQ29" i="9"/>
  <c r="AR29" i="9" s="1"/>
  <c r="V29" i="9"/>
  <c r="E32" i="9" a="1"/>
  <c r="E32" i="9" s="1"/>
  <c r="A31" i="9"/>
  <c r="C31" i="9"/>
  <c r="D31" i="9"/>
  <c r="AF29" i="9"/>
  <c r="BB30" i="9" l="1"/>
  <c r="BC30" i="9" s="1"/>
  <c r="A533" i="23"/>
  <c r="D554" i="23"/>
  <c r="A539" i="23"/>
  <c r="D560" i="23"/>
  <c r="A528" i="23"/>
  <c r="D549" i="23"/>
  <c r="A531" i="23"/>
  <c r="D552" i="23"/>
  <c r="A541" i="23"/>
  <c r="D562" i="23"/>
  <c r="A534" i="23"/>
  <c r="D555" i="23"/>
  <c r="A516" i="23"/>
  <c r="D537" i="23"/>
  <c r="A530" i="23"/>
  <c r="D551" i="23"/>
  <c r="A527" i="23"/>
  <c r="D548" i="23"/>
  <c r="A532" i="23"/>
  <c r="D553" i="23"/>
  <c r="A535" i="23"/>
  <c r="D556" i="23"/>
  <c r="A494" i="23"/>
  <c r="D515" i="23"/>
  <c r="A522" i="23"/>
  <c r="D543" i="23"/>
  <c r="A526" i="23"/>
  <c r="D547" i="23"/>
  <c r="A521" i="23"/>
  <c r="D542" i="23"/>
  <c r="A525" i="23"/>
  <c r="D546" i="23"/>
  <c r="A524" i="23"/>
  <c r="D545" i="23"/>
  <c r="A523" i="23"/>
  <c r="D544" i="23"/>
  <c r="A517" i="23"/>
  <c r="D538" i="23"/>
  <c r="A540" i="23"/>
  <c r="D561" i="23"/>
  <c r="A529" i="23"/>
  <c r="D550" i="23"/>
  <c r="AF30" i="9"/>
  <c r="V30" i="9"/>
  <c r="AQ30" i="9"/>
  <c r="AR30" i="9" s="1"/>
  <c r="C32" i="9"/>
  <c r="D32" i="9"/>
  <c r="A32" i="9"/>
  <c r="E33" i="9" a="1"/>
  <c r="E33" i="9" s="1"/>
  <c r="AX31" i="9"/>
  <c r="AN31" i="9"/>
  <c r="X31" i="9"/>
  <c r="AM31" i="9"/>
  <c r="AD31" i="9"/>
  <c r="AT31" i="9"/>
  <c r="AU31" i="9"/>
  <c r="W31" i="9"/>
  <c r="AV31" i="9"/>
  <c r="AE31" i="9"/>
  <c r="AA31" i="9"/>
  <c r="AZ31" i="9"/>
  <c r="AP31" i="9"/>
  <c r="AH31" i="9"/>
  <c r="Y31" i="9"/>
  <c r="AW31" i="9"/>
  <c r="AG31" i="9"/>
  <c r="AK31" i="9"/>
  <c r="BA31" i="9"/>
  <c r="AS31" i="9"/>
  <c r="AL31" i="9"/>
  <c r="AC31" i="9"/>
  <c r="AI31" i="9"/>
  <c r="AO31" i="9"/>
  <c r="Z31" i="9"/>
  <c r="AY31" i="9"/>
  <c r="AJ31" i="9"/>
  <c r="AB31" i="9"/>
  <c r="M31" i="9"/>
  <c r="U31" i="9"/>
  <c r="N31" i="9"/>
  <c r="F31" i="9"/>
  <c r="K31" i="9"/>
  <c r="G31" i="9"/>
  <c r="R31" i="9"/>
  <c r="S31" i="9"/>
  <c r="L31" i="9"/>
  <c r="H31" i="9"/>
  <c r="Q31" i="9"/>
  <c r="I31" i="9"/>
  <c r="P31" i="9"/>
  <c r="T31" i="9"/>
  <c r="J31" i="9"/>
  <c r="O31" i="9"/>
  <c r="BB31" i="9" l="1"/>
  <c r="BC31" i="9" s="1"/>
  <c r="A561" i="23"/>
  <c r="D582" i="23"/>
  <c r="A546" i="23"/>
  <c r="D567" i="23"/>
  <c r="A515" i="23"/>
  <c r="D536" i="23"/>
  <c r="A551" i="23"/>
  <c r="D572" i="23"/>
  <c r="A552" i="23"/>
  <c r="D573" i="23"/>
  <c r="A549" i="23"/>
  <c r="D570" i="23"/>
  <c r="A556" i="23"/>
  <c r="D577" i="23"/>
  <c r="A537" i="23"/>
  <c r="D558" i="23"/>
  <c r="A538" i="23"/>
  <c r="D559" i="23"/>
  <c r="A542" i="23"/>
  <c r="D563" i="23"/>
  <c r="A544" i="23"/>
  <c r="D565" i="23"/>
  <c r="A547" i="23"/>
  <c r="D568" i="23"/>
  <c r="A553" i="23"/>
  <c r="D574" i="23"/>
  <c r="A555" i="23"/>
  <c r="D576" i="23"/>
  <c r="A560" i="23"/>
  <c r="D581" i="23"/>
  <c r="A550" i="23"/>
  <c r="D571" i="23"/>
  <c r="A545" i="23"/>
  <c r="D566" i="23"/>
  <c r="A548" i="23"/>
  <c r="D569" i="23"/>
  <c r="A562" i="23"/>
  <c r="D583" i="23"/>
  <c r="A554" i="23"/>
  <c r="D575" i="23"/>
  <c r="A543" i="23"/>
  <c r="D564" i="23"/>
  <c r="AQ31" i="9"/>
  <c r="AR31" i="9" s="1"/>
  <c r="V31" i="9"/>
  <c r="D33" i="9"/>
  <c r="C33" i="9"/>
  <c r="E34" i="9" a="1"/>
  <c r="E34" i="9" s="1"/>
  <c r="A33" i="9"/>
  <c r="S32" i="9"/>
  <c r="R32" i="9"/>
  <c r="F32" i="9"/>
  <c r="O32" i="9"/>
  <c r="P32" i="9"/>
  <c r="L32" i="9"/>
  <c r="J32" i="9"/>
  <c r="U32" i="9"/>
  <c r="M32" i="9"/>
  <c r="T32" i="9"/>
  <c r="N32" i="9"/>
  <c r="G32" i="9"/>
  <c r="I32" i="9"/>
  <c r="Q32" i="9"/>
  <c r="K32" i="9"/>
  <c r="H32" i="9"/>
  <c r="AX32" i="9"/>
  <c r="AO32" i="9"/>
  <c r="AG32" i="9"/>
  <c r="Y32" i="9"/>
  <c r="AT32" i="9"/>
  <c r="AL32" i="9"/>
  <c r="AE32" i="9"/>
  <c r="AU32" i="9"/>
  <c r="AK32" i="9"/>
  <c r="AC32" i="9"/>
  <c r="AW32" i="9"/>
  <c r="AN32" i="9"/>
  <c r="X32" i="9"/>
  <c r="AI32" i="9"/>
  <c r="AV32" i="9"/>
  <c r="AM32" i="9"/>
  <c r="AD32" i="9"/>
  <c r="W32" i="9"/>
  <c r="AZ32" i="9"/>
  <c r="AS32" i="9"/>
  <c r="AJ32" i="9"/>
  <c r="AA32" i="9"/>
  <c r="BA32" i="9"/>
  <c r="AB32" i="9"/>
  <c r="AY32" i="9"/>
  <c r="AP32" i="9"/>
  <c r="AH32" i="9"/>
  <c r="Z32" i="9"/>
  <c r="AF31" i="9"/>
  <c r="BB32" i="9" l="1"/>
  <c r="BC32" i="9" s="1"/>
  <c r="A564" i="23"/>
  <c r="D585" i="23"/>
  <c r="A566" i="23"/>
  <c r="D587" i="23"/>
  <c r="A574" i="23"/>
  <c r="D595" i="23"/>
  <c r="A573" i="23"/>
  <c r="D594" i="23"/>
  <c r="A582" i="23"/>
  <c r="D603" i="23"/>
  <c r="A575" i="23"/>
  <c r="D596" i="23"/>
  <c r="A571" i="23"/>
  <c r="D592" i="23"/>
  <c r="A568" i="23"/>
  <c r="D589" i="23"/>
  <c r="A558" i="23"/>
  <c r="D579" i="23"/>
  <c r="A572" i="23"/>
  <c r="D593" i="23"/>
  <c r="A536" i="23"/>
  <c r="D557" i="23"/>
  <c r="A583" i="23"/>
  <c r="D604" i="23"/>
  <c r="A565" i="23"/>
  <c r="D586" i="23"/>
  <c r="A569" i="23"/>
  <c r="D590" i="23"/>
  <c r="A576" i="23"/>
  <c r="D597" i="23"/>
  <c r="A563" i="23"/>
  <c r="D584" i="23"/>
  <c r="A570" i="23"/>
  <c r="D591" i="23"/>
  <c r="A567" i="23"/>
  <c r="D588" i="23"/>
  <c r="A581" i="23"/>
  <c r="D602" i="23"/>
  <c r="A577" i="23"/>
  <c r="D598" i="23"/>
  <c r="A559" i="23"/>
  <c r="D580" i="23"/>
  <c r="C34" i="9"/>
  <c r="E35" i="9" a="1"/>
  <c r="E35" i="9" s="1"/>
  <c r="A34" i="9"/>
  <c r="D34" i="9"/>
  <c r="T33" i="9"/>
  <c r="P33" i="9"/>
  <c r="M33" i="9"/>
  <c r="K33" i="9"/>
  <c r="R33" i="9"/>
  <c r="U33" i="9"/>
  <c r="O33" i="9"/>
  <c r="F33" i="9"/>
  <c r="Q33" i="9"/>
  <c r="N33" i="9"/>
  <c r="I33" i="9"/>
  <c r="G33" i="9"/>
  <c r="S33" i="9"/>
  <c r="L33" i="9"/>
  <c r="J33" i="9"/>
  <c r="H33" i="9"/>
  <c r="AQ32" i="9"/>
  <c r="AR32" i="9" s="1"/>
  <c r="AV33" i="9"/>
  <c r="AN33" i="9"/>
  <c r="X33" i="9"/>
  <c r="AU33" i="9"/>
  <c r="AK33" i="9"/>
  <c r="AE33" i="9"/>
  <c r="AZ33" i="9"/>
  <c r="AH33" i="9"/>
  <c r="AB33" i="9"/>
  <c r="AT33" i="9"/>
  <c r="AL33" i="9"/>
  <c r="AC33" i="9"/>
  <c r="BA33" i="9"/>
  <c r="AS33" i="9"/>
  <c r="AA33" i="9"/>
  <c r="AY33" i="9"/>
  <c r="AO33" i="9"/>
  <c r="AI33" i="9"/>
  <c r="Y33" i="9"/>
  <c r="AX33" i="9"/>
  <c r="AP33" i="9"/>
  <c r="AD33" i="9"/>
  <c r="Z33" i="9"/>
  <c r="AW33" i="9"/>
  <c r="AM33" i="9"/>
  <c r="AG33" i="9"/>
  <c r="W33" i="9"/>
  <c r="AJ33" i="9"/>
  <c r="AF32" i="9"/>
  <c r="V32" i="9"/>
  <c r="BB33" i="9" l="1"/>
  <c r="BC33" i="9" s="1"/>
  <c r="A586" i="23"/>
  <c r="D607" i="23"/>
  <c r="A603" i="23"/>
  <c r="D624" i="23"/>
  <c r="A624" i="23" s="1"/>
  <c r="A598" i="23"/>
  <c r="D619" i="23"/>
  <c r="A619" i="23" s="1"/>
  <c r="A584" i="23"/>
  <c r="D605" i="23"/>
  <c r="A604" i="23"/>
  <c r="D625" i="23"/>
  <c r="A625" i="23" s="1"/>
  <c r="A589" i="23"/>
  <c r="D610" i="23"/>
  <c r="A594" i="23"/>
  <c r="D615" i="23"/>
  <c r="A615" i="23" s="1"/>
  <c r="A580" i="23"/>
  <c r="D601" i="23"/>
  <c r="A602" i="23"/>
  <c r="D623" i="23"/>
  <c r="A623" i="23" s="1"/>
  <c r="A597" i="23"/>
  <c r="D618" i="23"/>
  <c r="A618" i="23" s="1"/>
  <c r="A557" i="23"/>
  <c r="D578" i="23"/>
  <c r="A592" i="23"/>
  <c r="D613" i="23"/>
  <c r="A613" i="23" s="1"/>
  <c r="A595" i="23"/>
  <c r="D616" i="23"/>
  <c r="A616" i="23" s="1"/>
  <c r="A588" i="23"/>
  <c r="D609" i="23"/>
  <c r="A590" i="23"/>
  <c r="D611" i="23"/>
  <c r="A611" i="23" s="1"/>
  <c r="A593" i="23"/>
  <c r="D614" i="23"/>
  <c r="A614" i="23" s="1"/>
  <c r="A596" i="23"/>
  <c r="D617" i="23"/>
  <c r="A617" i="23" s="1"/>
  <c r="A587" i="23"/>
  <c r="D608" i="23"/>
  <c r="A591" i="23"/>
  <c r="D612" i="23"/>
  <c r="A612" i="23" s="1"/>
  <c r="A579" i="23"/>
  <c r="D600" i="23"/>
  <c r="A585" i="23"/>
  <c r="D606" i="23"/>
  <c r="AQ33" i="9"/>
  <c r="AR33" i="9" s="1"/>
  <c r="AF33" i="9"/>
  <c r="N34" i="9"/>
  <c r="R34" i="9"/>
  <c r="Q34" i="9"/>
  <c r="L34" i="9"/>
  <c r="F34" i="9"/>
  <c r="I34" i="9"/>
  <c r="T34" i="9"/>
  <c r="G34" i="9"/>
  <c r="S34" i="9"/>
  <c r="P34" i="9"/>
  <c r="O34" i="9"/>
  <c r="U34" i="9"/>
  <c r="M34" i="9"/>
  <c r="K34" i="9"/>
  <c r="H34" i="9"/>
  <c r="J34" i="9"/>
  <c r="V33" i="9"/>
  <c r="C35" i="9"/>
  <c r="E36" i="9" a="1"/>
  <c r="E36" i="9" s="1"/>
  <c r="D35" i="9"/>
  <c r="A35" i="9"/>
  <c r="AX34" i="9"/>
  <c r="AO34" i="9"/>
  <c r="AG34" i="9"/>
  <c r="X34" i="9"/>
  <c r="AW34" i="9"/>
  <c r="AM34" i="9"/>
  <c r="Y34" i="9"/>
  <c r="BA34" i="9"/>
  <c r="AS34" i="9"/>
  <c r="AC34" i="9"/>
  <c r="AV34" i="9"/>
  <c r="AN34" i="9"/>
  <c r="AD34" i="9"/>
  <c r="W34" i="9"/>
  <c r="AL34" i="9"/>
  <c r="AJ34" i="9"/>
  <c r="AU34" i="9"/>
  <c r="AE34" i="9"/>
  <c r="AT34" i="9"/>
  <c r="AK34" i="9"/>
  <c r="AB34" i="9"/>
  <c r="AA34" i="9"/>
  <c r="AI34" i="9"/>
  <c r="AY34" i="9"/>
  <c r="AP34" i="9"/>
  <c r="AH34" i="9"/>
  <c r="AZ34" i="9"/>
  <c r="Z34" i="9"/>
  <c r="BB34" i="9" l="1"/>
  <c r="BC34" i="9" s="1"/>
  <c r="A600" i="23"/>
  <c r="D621" i="23"/>
  <c r="A621" i="23" s="1"/>
  <c r="A601" i="23"/>
  <c r="D622" i="23"/>
  <c r="A622" i="23" s="1"/>
  <c r="A605" i="23"/>
  <c r="D626" i="23"/>
  <c r="A626" i="23" s="1"/>
  <c r="A578" i="23"/>
  <c r="D599" i="23"/>
  <c r="A608" i="23"/>
  <c r="D629" i="23"/>
  <c r="A629" i="23" s="1"/>
  <c r="A609" i="23"/>
  <c r="D630" i="23"/>
  <c r="A630" i="23" s="1"/>
  <c r="A610" i="23"/>
  <c r="D631" i="23"/>
  <c r="A631" i="23" s="1"/>
  <c r="A606" i="23"/>
  <c r="D627" i="23"/>
  <c r="A627" i="23" s="1"/>
  <c r="A607" i="23"/>
  <c r="D628" i="23"/>
  <c r="A628" i="23" s="1"/>
  <c r="V34" i="9"/>
  <c r="D36" i="9"/>
  <c r="E37" i="9" a="1"/>
  <c r="E37" i="9" s="1"/>
  <c r="A36" i="9"/>
  <c r="C36" i="9"/>
  <c r="G35" i="9"/>
  <c r="M35" i="9"/>
  <c r="S35" i="9"/>
  <c r="P35" i="9"/>
  <c r="L35" i="9"/>
  <c r="J35" i="9"/>
  <c r="R35" i="9"/>
  <c r="I35" i="9"/>
  <c r="O35" i="9"/>
  <c r="K35" i="9"/>
  <c r="Q35" i="9"/>
  <c r="T35" i="9"/>
  <c r="N35" i="9"/>
  <c r="U35" i="9"/>
  <c r="F35" i="9"/>
  <c r="H35" i="9"/>
  <c r="AX35" i="9"/>
  <c r="AN35" i="9"/>
  <c r="AD35" i="9"/>
  <c r="Z35" i="9"/>
  <c r="AU35" i="9"/>
  <c r="AE35" i="9"/>
  <c r="AW35" i="9"/>
  <c r="AO35" i="9"/>
  <c r="AG35" i="9"/>
  <c r="W35" i="9"/>
  <c r="AV35" i="9"/>
  <c r="AM35" i="9"/>
  <c r="X35" i="9"/>
  <c r="AK35" i="9"/>
  <c r="AY35" i="9"/>
  <c r="AP35" i="9"/>
  <c r="AI35" i="9"/>
  <c r="Y35" i="9"/>
  <c r="AT35" i="9"/>
  <c r="AL35" i="9"/>
  <c r="AC35" i="9"/>
  <c r="AZ35" i="9"/>
  <c r="BA35" i="9"/>
  <c r="AS35" i="9"/>
  <c r="AJ35" i="9"/>
  <c r="AB35" i="9"/>
  <c r="AH35" i="9"/>
  <c r="AA35" i="9"/>
  <c r="AF34" i="9"/>
  <c r="AQ34" i="9"/>
  <c r="AR34" i="9" s="1"/>
  <c r="BB35" i="9" l="1"/>
  <c r="BC35" i="9" s="1"/>
  <c r="A599" i="23"/>
  <c r="D620" i="23"/>
  <c r="A620" i="23" s="1"/>
  <c r="AQ35" i="9"/>
  <c r="AR35" i="9" s="1"/>
  <c r="AX36" i="9"/>
  <c r="AO36" i="9"/>
  <c r="X36" i="9"/>
  <c r="AW36" i="9"/>
  <c r="AN36" i="9"/>
  <c r="Y36" i="9"/>
  <c r="AV36" i="9"/>
  <c r="AM36" i="9"/>
  <c r="AD36" i="9"/>
  <c r="W36" i="9"/>
  <c r="AL36" i="9"/>
  <c r="AZ36" i="9"/>
  <c r="AI36" i="9"/>
  <c r="AY36" i="9"/>
  <c r="AP36" i="9"/>
  <c r="AH36" i="9"/>
  <c r="AA36" i="9"/>
  <c r="AG36" i="9"/>
  <c r="AU36" i="9"/>
  <c r="AE36" i="9"/>
  <c r="AT36" i="9"/>
  <c r="AK36" i="9"/>
  <c r="AC36" i="9"/>
  <c r="BA36" i="9"/>
  <c r="AS36" i="9"/>
  <c r="AJ36" i="9"/>
  <c r="AB36" i="9"/>
  <c r="Z36" i="9"/>
  <c r="V35" i="9"/>
  <c r="S36" i="9"/>
  <c r="T36" i="9"/>
  <c r="M36" i="9"/>
  <c r="U36" i="9"/>
  <c r="H36" i="9"/>
  <c r="Q36" i="9"/>
  <c r="J36" i="9"/>
  <c r="K36" i="9"/>
  <c r="R36" i="9"/>
  <c r="N36" i="9"/>
  <c r="G36" i="9"/>
  <c r="F36" i="9"/>
  <c r="I36" i="9"/>
  <c r="O36" i="9"/>
  <c r="L36" i="9"/>
  <c r="P36" i="9"/>
  <c r="E38" i="9" a="1"/>
  <c r="E38" i="9" s="1"/>
  <c r="C37" i="9"/>
  <c r="D37" i="9"/>
  <c r="A37" i="9"/>
  <c r="AF35" i="9"/>
  <c r="BB36" i="9" l="1"/>
  <c r="BC36" i="9" s="1"/>
  <c r="B4" i="23"/>
  <c r="E39" i="9" a="1"/>
  <c r="E39" i="9" s="1"/>
  <c r="C38" i="9"/>
  <c r="A38" i="9"/>
  <c r="D38" i="9"/>
  <c r="AW37" i="9"/>
  <c r="AM37" i="9"/>
  <c r="AG37" i="9"/>
  <c r="W37" i="9"/>
  <c r="AV37" i="9"/>
  <c r="AN37" i="9"/>
  <c r="X37" i="9"/>
  <c r="AT37" i="9"/>
  <c r="AC37" i="9"/>
  <c r="AX37" i="9"/>
  <c r="AP37" i="9"/>
  <c r="AD37" i="9"/>
  <c r="Z37" i="9"/>
  <c r="AU37" i="9"/>
  <c r="AK37" i="9"/>
  <c r="AE37" i="9"/>
  <c r="AL37" i="9"/>
  <c r="BA37" i="9"/>
  <c r="AS37" i="9"/>
  <c r="AJ37" i="9"/>
  <c r="AB37" i="9"/>
  <c r="AY37" i="9"/>
  <c r="AO37" i="9"/>
  <c r="AI37" i="9"/>
  <c r="Y37" i="9"/>
  <c r="AZ37" i="9"/>
  <c r="AH37" i="9"/>
  <c r="AA37" i="9"/>
  <c r="AF36" i="9"/>
  <c r="N37" i="9"/>
  <c r="I37" i="9"/>
  <c r="G37" i="9"/>
  <c r="H37" i="9"/>
  <c r="O37" i="9"/>
  <c r="F37" i="9"/>
  <c r="P37" i="9"/>
  <c r="J37" i="9"/>
  <c r="M37" i="9"/>
  <c r="U37" i="9"/>
  <c r="Q37" i="9"/>
  <c r="T37" i="9"/>
  <c r="S37" i="9"/>
  <c r="L37" i="9"/>
  <c r="K37" i="9"/>
  <c r="R37" i="9"/>
  <c r="V36" i="9"/>
  <c r="AQ36" i="9"/>
  <c r="AR36" i="9" s="1"/>
  <c r="BB37" i="9" l="1"/>
  <c r="BC37" i="9" s="1"/>
  <c r="V37" i="9"/>
  <c r="AQ37" i="9"/>
  <c r="AR37" i="9" s="1"/>
  <c r="AF37" i="9"/>
  <c r="S38" i="9"/>
  <c r="G38" i="9"/>
  <c r="M38" i="9"/>
  <c r="F38" i="9"/>
  <c r="U38" i="9"/>
  <c r="H38" i="9"/>
  <c r="L38" i="9"/>
  <c r="O38" i="9"/>
  <c r="K38" i="9"/>
  <c r="I38" i="9"/>
  <c r="T38" i="9"/>
  <c r="Q38" i="9"/>
  <c r="N38" i="9"/>
  <c r="J38" i="9"/>
  <c r="R38" i="9"/>
  <c r="P38" i="9"/>
  <c r="BA38" i="9"/>
  <c r="AX38" i="9"/>
  <c r="AM38" i="9"/>
  <c r="W38" i="9"/>
  <c r="AU38" i="9"/>
  <c r="AN38" i="9"/>
  <c r="AE38" i="9"/>
  <c r="X38" i="9"/>
  <c r="AD38" i="9"/>
  <c r="AC38" i="9"/>
  <c r="AW38" i="9"/>
  <c r="AH38" i="9"/>
  <c r="AV38" i="9"/>
  <c r="AK38" i="9"/>
  <c r="AS38" i="9"/>
  <c r="AL38" i="9"/>
  <c r="AY38" i="9"/>
  <c r="AB38" i="9"/>
  <c r="AP38" i="9"/>
  <c r="Z38" i="9"/>
  <c r="AT38" i="9"/>
  <c r="AI38" i="9"/>
  <c r="AA38" i="9"/>
  <c r="AJ38" i="9"/>
  <c r="AZ38" i="9"/>
  <c r="AO38" i="9"/>
  <c r="AG38" i="9"/>
  <c r="Y38" i="9"/>
  <c r="E40" i="9" a="1"/>
  <c r="E40" i="9" s="1"/>
  <c r="C39" i="9"/>
  <c r="A39" i="9"/>
  <c r="D39" i="9"/>
  <c r="BB38" i="9" l="1"/>
  <c r="BC38" i="9" s="1"/>
  <c r="V38" i="9"/>
  <c r="AF38" i="9"/>
  <c r="M39" i="9"/>
  <c r="N39" i="9"/>
  <c r="T39" i="9"/>
  <c r="U39" i="9"/>
  <c r="Q39" i="9"/>
  <c r="P39" i="9"/>
  <c r="H39" i="9"/>
  <c r="G39" i="9"/>
  <c r="O39" i="9"/>
  <c r="R39" i="9"/>
  <c r="K39" i="9"/>
  <c r="F39" i="9"/>
  <c r="S39" i="9"/>
  <c r="L39" i="9"/>
  <c r="J39" i="9"/>
  <c r="I39" i="9"/>
  <c r="AX39" i="9"/>
  <c r="AO39" i="9"/>
  <c r="AH39" i="9"/>
  <c r="X39" i="9"/>
  <c r="AG39" i="9"/>
  <c r="AW39" i="9"/>
  <c r="AN39" i="9"/>
  <c r="Y39" i="9"/>
  <c r="AV39" i="9"/>
  <c r="AM39" i="9"/>
  <c r="AD39" i="9"/>
  <c r="W39" i="9"/>
  <c r="AI39" i="9"/>
  <c r="BA39" i="9"/>
  <c r="AC39" i="9"/>
  <c r="AU39" i="9"/>
  <c r="AL39" i="9"/>
  <c r="AE39" i="9"/>
  <c r="AT39" i="9"/>
  <c r="AK39" i="9"/>
  <c r="AB39" i="9"/>
  <c r="AS39" i="9"/>
  <c r="AY39" i="9"/>
  <c r="AP39" i="9"/>
  <c r="AA39" i="9"/>
  <c r="AZ39" i="9"/>
  <c r="AJ39" i="9"/>
  <c r="Z39" i="9"/>
  <c r="AQ38" i="9"/>
  <c r="AR38" i="9" s="1"/>
  <c r="A40" i="9"/>
  <c r="D40" i="9"/>
  <c r="E41" i="9" a="1"/>
  <c r="E41" i="9" s="1"/>
  <c r="C40" i="9"/>
  <c r="BB39" i="9" l="1"/>
  <c r="BC39" i="9" s="1"/>
  <c r="AQ39" i="9"/>
  <c r="AR39" i="9" s="1"/>
  <c r="AF39" i="9"/>
  <c r="V39" i="9"/>
  <c r="AY40" i="9"/>
  <c r="AP40" i="9"/>
  <c r="AD40" i="9"/>
  <c r="Z40" i="9"/>
  <c r="BA40" i="9"/>
  <c r="AK40" i="9"/>
  <c r="AC40" i="9"/>
  <c r="AV40" i="9"/>
  <c r="AM40" i="9"/>
  <c r="AG40" i="9"/>
  <c r="W40" i="9"/>
  <c r="AW40" i="9"/>
  <c r="AN40" i="9"/>
  <c r="X40" i="9"/>
  <c r="AU40" i="9"/>
  <c r="AL40" i="9"/>
  <c r="Y40" i="9"/>
  <c r="AE40" i="9"/>
  <c r="AS40" i="9"/>
  <c r="AT40" i="9"/>
  <c r="AJ40" i="9"/>
  <c r="AB40" i="9"/>
  <c r="AX40" i="9"/>
  <c r="AO40" i="9"/>
  <c r="AI40" i="9"/>
  <c r="AZ40" i="9"/>
  <c r="AH40" i="9"/>
  <c r="AA40" i="9"/>
  <c r="A41" i="9"/>
  <c r="E42" i="9" a="1"/>
  <c r="E42" i="9" s="1"/>
  <c r="D41" i="9"/>
  <c r="C41" i="9"/>
  <c r="M40" i="9"/>
  <c r="L40" i="9"/>
  <c r="O40" i="9"/>
  <c r="U40" i="9"/>
  <c r="P40" i="9"/>
  <c r="F40" i="9"/>
  <c r="R40" i="9"/>
  <c r="Q40" i="9"/>
  <c r="N40" i="9"/>
  <c r="S40" i="9"/>
  <c r="J40" i="9"/>
  <c r="G40" i="9"/>
  <c r="T40" i="9"/>
  <c r="H40" i="9"/>
  <c r="I40" i="9"/>
  <c r="K40" i="9"/>
  <c r="BB40" i="9" l="1"/>
  <c r="BC40" i="9" s="1"/>
  <c r="V40" i="9"/>
  <c r="I41" i="9"/>
  <c r="N41" i="9"/>
  <c r="R41" i="9"/>
  <c r="S41" i="9"/>
  <c r="U41" i="9"/>
  <c r="Q41" i="9"/>
  <c r="T41" i="9"/>
  <c r="G41" i="9"/>
  <c r="P41" i="9"/>
  <c r="K41" i="9"/>
  <c r="J41" i="9"/>
  <c r="F41" i="9"/>
  <c r="O41" i="9"/>
  <c r="M41" i="9"/>
  <c r="H41" i="9"/>
  <c r="L41" i="9"/>
  <c r="AQ40" i="9"/>
  <c r="AR40" i="9" s="1"/>
  <c r="AX41" i="9"/>
  <c r="AO41" i="9"/>
  <c r="AG41" i="9"/>
  <c r="X41" i="9"/>
  <c r="AU41" i="9"/>
  <c r="AE41" i="9"/>
  <c r="AW41" i="9"/>
  <c r="AN41" i="9"/>
  <c r="Y41" i="9"/>
  <c r="AV41" i="9"/>
  <c r="AM41" i="9"/>
  <c r="AD41" i="9"/>
  <c r="W41" i="9"/>
  <c r="AK41" i="9"/>
  <c r="AS41" i="9"/>
  <c r="AT41" i="9"/>
  <c r="AL41" i="9"/>
  <c r="AC41" i="9"/>
  <c r="BA41" i="9"/>
  <c r="AI41" i="9"/>
  <c r="AB41" i="9"/>
  <c r="AY41" i="9"/>
  <c r="AP41" i="9"/>
  <c r="AH41" i="9"/>
  <c r="AA41" i="9"/>
  <c r="AZ41" i="9"/>
  <c r="AJ41" i="9"/>
  <c r="Z41" i="9"/>
  <c r="E43" i="9" a="1"/>
  <c r="E43" i="9" s="1"/>
  <c r="A42" i="9"/>
  <c r="C42" i="9"/>
  <c r="D42" i="9"/>
  <c r="AF40" i="9"/>
  <c r="BB41" i="9" l="1"/>
  <c r="BC41" i="9" s="1"/>
  <c r="BA42" i="9"/>
  <c r="AU42" i="9"/>
  <c r="AN42" i="9"/>
  <c r="AE42" i="9"/>
  <c r="X42" i="9"/>
  <c r="AJ42" i="9"/>
  <c r="AZ42" i="9"/>
  <c r="AO42" i="9"/>
  <c r="AG42" i="9"/>
  <c r="Y42" i="9"/>
  <c r="AP42" i="9"/>
  <c r="Z42" i="9"/>
  <c r="AV42" i="9"/>
  <c r="AL42" i="9"/>
  <c r="AD42" i="9"/>
  <c r="AS42" i="9"/>
  <c r="AC42" i="9"/>
  <c r="AX42" i="9"/>
  <c r="W42" i="9"/>
  <c r="AT42" i="9"/>
  <c r="AK42" i="9"/>
  <c r="AA42" i="9"/>
  <c r="AB42" i="9"/>
  <c r="AW42" i="9"/>
  <c r="AH42" i="9"/>
  <c r="AY42" i="9"/>
  <c r="AI42" i="9"/>
  <c r="AM42" i="9"/>
  <c r="U42" i="9"/>
  <c r="O42" i="9"/>
  <c r="Q42" i="9"/>
  <c r="K42" i="9"/>
  <c r="H42" i="9"/>
  <c r="N42" i="9"/>
  <c r="I42" i="9"/>
  <c r="P42" i="9"/>
  <c r="T42" i="9"/>
  <c r="M42" i="9"/>
  <c r="J42" i="9"/>
  <c r="F42" i="9"/>
  <c r="R42" i="9"/>
  <c r="S42" i="9"/>
  <c r="G42" i="9"/>
  <c r="L42" i="9"/>
  <c r="A43" i="9"/>
  <c r="E44" i="9" a="1"/>
  <c r="E44" i="9" s="1"/>
  <c r="C43" i="9"/>
  <c r="D43" i="9"/>
  <c r="AQ41" i="9"/>
  <c r="AR41" i="9" s="1"/>
  <c r="V41" i="9"/>
  <c r="AF41" i="9"/>
  <c r="BB42" i="9" l="1"/>
  <c r="BC42" i="9" s="1"/>
  <c r="V42" i="9"/>
  <c r="AU43" i="9"/>
  <c r="AM43" i="9"/>
  <c r="AD43" i="9"/>
  <c r="W43" i="9"/>
  <c r="AV43" i="9"/>
  <c r="AL43" i="9"/>
  <c r="AE43" i="9"/>
  <c r="AS43" i="9"/>
  <c r="AK43" i="9"/>
  <c r="AC43" i="9"/>
  <c r="AZ43" i="9"/>
  <c r="AP43" i="9"/>
  <c r="AH43" i="9"/>
  <c r="Z43" i="9"/>
  <c r="BA43" i="9"/>
  <c r="AT43" i="9"/>
  <c r="AI43" i="9"/>
  <c r="AB43" i="9"/>
  <c r="AY43" i="9"/>
  <c r="AJ43" i="9"/>
  <c r="AA43" i="9"/>
  <c r="AW43" i="9"/>
  <c r="AG43" i="9"/>
  <c r="Y43" i="9"/>
  <c r="AX43" i="9"/>
  <c r="AN43" i="9"/>
  <c r="X43" i="9"/>
  <c r="AO43" i="9"/>
  <c r="O43" i="9"/>
  <c r="I43" i="9"/>
  <c r="K43" i="9"/>
  <c r="J43" i="9"/>
  <c r="S43" i="9"/>
  <c r="N43" i="9"/>
  <c r="M43" i="9"/>
  <c r="R43" i="9"/>
  <c r="L43" i="9"/>
  <c r="P43" i="9"/>
  <c r="T43" i="9"/>
  <c r="Q43" i="9"/>
  <c r="U43" i="9"/>
  <c r="F43" i="9"/>
  <c r="H43" i="9"/>
  <c r="G43" i="9"/>
  <c r="AF42" i="9"/>
  <c r="AQ42" i="9"/>
  <c r="AR42" i="9" s="1"/>
  <c r="E45" i="9" a="1"/>
  <c r="E45" i="9" s="1"/>
  <c r="C44" i="9"/>
  <c r="D44" i="9"/>
  <c r="A44" i="9"/>
  <c r="BB43" i="9" l="1"/>
  <c r="BC43" i="9" s="1"/>
  <c r="AF43" i="9"/>
  <c r="Q44" i="9"/>
  <c r="K44" i="9"/>
  <c r="O44" i="9"/>
  <c r="J44" i="9"/>
  <c r="G44" i="9"/>
  <c r="I44" i="9"/>
  <c r="T44" i="9"/>
  <c r="P44" i="9"/>
  <c r="L44" i="9"/>
  <c r="U44" i="9"/>
  <c r="F44" i="9"/>
  <c r="S44" i="9"/>
  <c r="M44" i="9"/>
  <c r="R44" i="9"/>
  <c r="N44" i="9"/>
  <c r="H44" i="9"/>
  <c r="V43" i="9"/>
  <c r="A45" i="9"/>
  <c r="E46" i="9" a="1"/>
  <c r="E46" i="9" s="1"/>
  <c r="C45" i="9"/>
  <c r="D45" i="9"/>
  <c r="AQ43" i="9"/>
  <c r="AR43" i="9" s="1"/>
  <c r="AV44" i="9"/>
  <c r="AM44" i="9"/>
  <c r="AG44" i="9"/>
  <c r="W44" i="9"/>
  <c r="AW44" i="9"/>
  <c r="AN44" i="9"/>
  <c r="X44" i="9"/>
  <c r="BA44" i="9"/>
  <c r="AS44" i="9"/>
  <c r="AK44" i="9"/>
  <c r="AC44" i="9"/>
  <c r="AX44" i="9"/>
  <c r="AP44" i="9"/>
  <c r="AD44" i="9"/>
  <c r="Z44" i="9"/>
  <c r="AU44" i="9"/>
  <c r="AL44" i="9"/>
  <c r="AE44" i="9"/>
  <c r="AZ44" i="9"/>
  <c r="AH44" i="9"/>
  <c r="AT44" i="9"/>
  <c r="AJ44" i="9"/>
  <c r="AB44" i="9"/>
  <c r="AA44" i="9"/>
  <c r="AY44" i="9"/>
  <c r="AO44" i="9"/>
  <c r="AI44" i="9"/>
  <c r="Y44" i="9"/>
  <c r="BB44" i="9" l="1"/>
  <c r="BC44" i="9" s="1"/>
  <c r="AF44" i="9"/>
  <c r="AW45" i="9"/>
  <c r="AN45" i="9"/>
  <c r="Y45" i="9"/>
  <c r="AV45" i="9"/>
  <c r="AM45" i="9"/>
  <c r="AD45" i="9"/>
  <c r="W45" i="9"/>
  <c r="AZ45" i="9"/>
  <c r="AU45" i="9"/>
  <c r="AL45" i="9"/>
  <c r="AE45" i="9"/>
  <c r="BA45" i="9"/>
  <c r="AJ45" i="9"/>
  <c r="AB45" i="9"/>
  <c r="AI45" i="9"/>
  <c r="AA45" i="9"/>
  <c r="AT45" i="9"/>
  <c r="AK45" i="9"/>
  <c r="AC45" i="9"/>
  <c r="AS45" i="9"/>
  <c r="AX45" i="9"/>
  <c r="AP45" i="9"/>
  <c r="AG45" i="9"/>
  <c r="X45" i="9"/>
  <c r="AY45" i="9"/>
  <c r="AO45" i="9"/>
  <c r="AH45" i="9"/>
  <c r="Z45" i="9"/>
  <c r="E47" i="9" a="1"/>
  <c r="E47" i="9" s="1"/>
  <c r="D46" i="9"/>
  <c r="C46" i="9"/>
  <c r="A46" i="9"/>
  <c r="V44" i="9"/>
  <c r="K45" i="9"/>
  <c r="H45" i="9"/>
  <c r="S45" i="9"/>
  <c r="R45" i="9"/>
  <c r="J45" i="9"/>
  <c r="F45" i="9"/>
  <c r="L45" i="9"/>
  <c r="M45" i="9"/>
  <c r="U45" i="9"/>
  <c r="I45" i="9"/>
  <c r="Q45" i="9"/>
  <c r="T45" i="9"/>
  <c r="O45" i="9"/>
  <c r="P45" i="9"/>
  <c r="G45" i="9"/>
  <c r="N45" i="9"/>
  <c r="AQ44" i="9"/>
  <c r="AR44" i="9" s="1"/>
  <c r="BB45" i="9" l="1"/>
  <c r="BC45" i="9" s="1"/>
  <c r="A47" i="9"/>
  <c r="E48" i="9" a="1"/>
  <c r="E48" i="9" s="1"/>
  <c r="C47" i="9"/>
  <c r="D47" i="9"/>
  <c r="O46" i="9"/>
  <c r="T46" i="9"/>
  <c r="U46" i="9"/>
  <c r="F46" i="9"/>
  <c r="L46" i="9"/>
  <c r="J46" i="9"/>
  <c r="P46" i="9"/>
  <c r="K46" i="9"/>
  <c r="G46" i="9"/>
  <c r="N46" i="9"/>
  <c r="Q46" i="9"/>
  <c r="H46" i="9"/>
  <c r="I46" i="9"/>
  <c r="R46" i="9"/>
  <c r="M46" i="9"/>
  <c r="S46" i="9"/>
  <c r="AF45" i="9"/>
  <c r="V45" i="9"/>
  <c r="AW46" i="9"/>
  <c r="AP46" i="9"/>
  <c r="AD46" i="9"/>
  <c r="Y46" i="9"/>
  <c r="AZ46" i="9"/>
  <c r="AH46" i="9"/>
  <c r="AX46" i="9"/>
  <c r="AM46" i="9"/>
  <c r="AG46" i="9"/>
  <c r="W46" i="9"/>
  <c r="AU46" i="9"/>
  <c r="AN46" i="9"/>
  <c r="X46" i="9"/>
  <c r="AE46" i="9"/>
  <c r="AV46" i="9"/>
  <c r="AK46" i="9"/>
  <c r="BA46" i="9"/>
  <c r="AS46" i="9"/>
  <c r="AJ46" i="9"/>
  <c r="AC46" i="9"/>
  <c r="AT46" i="9"/>
  <c r="AL46" i="9"/>
  <c r="AB46" i="9"/>
  <c r="AY46" i="9"/>
  <c r="AI46" i="9"/>
  <c r="AA46" i="9"/>
  <c r="AO46" i="9"/>
  <c r="Z46" i="9"/>
  <c r="AQ45" i="9"/>
  <c r="AR45" i="9" s="1"/>
  <c r="BB46" i="9" l="1"/>
  <c r="BC46" i="9" s="1"/>
  <c r="V46" i="9"/>
  <c r="AQ46" i="9"/>
  <c r="AR46" i="9" s="1"/>
  <c r="AF46" i="9"/>
  <c r="AX47" i="9"/>
  <c r="AO47" i="9"/>
  <c r="AG47" i="9"/>
  <c r="Y47" i="9"/>
  <c r="AW47" i="9"/>
  <c r="AN47" i="9"/>
  <c r="X47" i="9"/>
  <c r="AC47" i="9"/>
  <c r="AV47" i="9"/>
  <c r="AM47" i="9"/>
  <c r="AD47" i="9"/>
  <c r="W47" i="9"/>
  <c r="AK47" i="9"/>
  <c r="BA47" i="9"/>
  <c r="AJ47" i="9"/>
  <c r="AU47" i="9"/>
  <c r="AL47" i="9"/>
  <c r="AE47" i="9"/>
  <c r="AT47" i="9"/>
  <c r="AS47" i="9"/>
  <c r="AB47" i="9"/>
  <c r="AZ47" i="9"/>
  <c r="AA47" i="9"/>
  <c r="AP47" i="9"/>
  <c r="AH47" i="9"/>
  <c r="AY47" i="9"/>
  <c r="AI47" i="9"/>
  <c r="Z47" i="9"/>
  <c r="D48" i="9"/>
  <c r="A48" i="9"/>
  <c r="E49" i="9" a="1"/>
  <c r="E49" i="9" s="1"/>
  <c r="C48" i="9"/>
  <c r="K47" i="9"/>
  <c r="L47" i="9"/>
  <c r="I47" i="9"/>
  <c r="S47" i="9"/>
  <c r="M47" i="9"/>
  <c r="G47" i="9"/>
  <c r="N47" i="9"/>
  <c r="Q47" i="9"/>
  <c r="O47" i="9"/>
  <c r="F47" i="9"/>
  <c r="H47" i="9"/>
  <c r="J47" i="9"/>
  <c r="P47" i="9"/>
  <c r="T47" i="9"/>
  <c r="U47" i="9"/>
  <c r="R47" i="9"/>
  <c r="BB47" i="9" l="1"/>
  <c r="BC47" i="9" s="1"/>
  <c r="AQ47" i="9"/>
  <c r="AR47" i="9" s="1"/>
  <c r="V47" i="9"/>
  <c r="AV48" i="9"/>
  <c r="AN48" i="9"/>
  <c r="X48" i="9"/>
  <c r="AL48" i="9"/>
  <c r="BA48" i="9"/>
  <c r="AC48" i="9"/>
  <c r="AT48" i="9"/>
  <c r="AJ48" i="9"/>
  <c r="AB48" i="9"/>
  <c r="AY48" i="9"/>
  <c r="AO48" i="9"/>
  <c r="AI48" i="9"/>
  <c r="Y48" i="9"/>
  <c r="AX48" i="9"/>
  <c r="AP48" i="9"/>
  <c r="AD48" i="9"/>
  <c r="Z48" i="9"/>
  <c r="AW48" i="9"/>
  <c r="AM48" i="9"/>
  <c r="AG48" i="9"/>
  <c r="W48" i="9"/>
  <c r="AS48" i="9"/>
  <c r="AK48" i="9"/>
  <c r="AU48" i="9"/>
  <c r="AE48" i="9"/>
  <c r="AZ48" i="9"/>
  <c r="AH48" i="9"/>
  <c r="AA48" i="9"/>
  <c r="E50" i="9" a="1"/>
  <c r="E50" i="9" s="1"/>
  <c r="A49" i="9"/>
  <c r="C49" i="9"/>
  <c r="D49" i="9"/>
  <c r="AF47" i="9"/>
  <c r="L48" i="9"/>
  <c r="R48" i="9"/>
  <c r="M48" i="9"/>
  <c r="G48" i="9"/>
  <c r="Q48" i="9"/>
  <c r="S48" i="9"/>
  <c r="N48" i="9"/>
  <c r="J48" i="9"/>
  <c r="F48" i="9"/>
  <c r="U48" i="9"/>
  <c r="K48" i="9"/>
  <c r="O48" i="9"/>
  <c r="P48" i="9"/>
  <c r="T48" i="9"/>
  <c r="I48" i="9"/>
  <c r="H48" i="9"/>
  <c r="BB48" i="9" l="1"/>
  <c r="BC48" i="9" s="1"/>
  <c r="G49" i="9"/>
  <c r="I49" i="9"/>
  <c r="F49" i="9"/>
  <c r="J49" i="9"/>
  <c r="Q49" i="9"/>
  <c r="U49" i="9"/>
  <c r="O49" i="9"/>
  <c r="R49" i="9"/>
  <c r="M49" i="9"/>
  <c r="K49" i="9"/>
  <c r="N49" i="9"/>
  <c r="T49" i="9"/>
  <c r="P49" i="9"/>
  <c r="H49" i="9"/>
  <c r="S49" i="9"/>
  <c r="L49" i="9"/>
  <c r="AW49" i="9"/>
  <c r="AO49" i="9"/>
  <c r="AG49" i="9"/>
  <c r="X49" i="9"/>
  <c r="AS49" i="9"/>
  <c r="AJ49" i="9"/>
  <c r="AC49" i="9"/>
  <c r="AY49" i="9"/>
  <c r="AP49" i="9"/>
  <c r="AH49" i="9"/>
  <c r="Z49" i="9"/>
  <c r="AX49" i="9"/>
  <c r="AN49" i="9"/>
  <c r="Y49" i="9"/>
  <c r="AU49" i="9"/>
  <c r="AM49" i="9"/>
  <c r="AD49" i="9"/>
  <c r="W49" i="9"/>
  <c r="AV49" i="9"/>
  <c r="AL49" i="9"/>
  <c r="AE49" i="9"/>
  <c r="AT49" i="9"/>
  <c r="AA49" i="9"/>
  <c r="BA49" i="9"/>
  <c r="AI49" i="9"/>
  <c r="AB49" i="9"/>
  <c r="AZ49" i="9"/>
  <c r="AK49" i="9"/>
  <c r="AQ48" i="9"/>
  <c r="AR48" i="9" s="1"/>
  <c r="AF48" i="9"/>
  <c r="V48" i="9"/>
  <c r="A50" i="9"/>
  <c r="E51" i="9" a="1"/>
  <c r="E51" i="9" s="1"/>
  <c r="C50" i="9"/>
  <c r="D50" i="9"/>
  <c r="BB49" i="9" l="1"/>
  <c r="BC49" i="9" s="1"/>
  <c r="AF49" i="9"/>
  <c r="V49" i="9"/>
  <c r="E52" i="9" a="1"/>
  <c r="E52" i="9" s="1"/>
  <c r="A51" i="9"/>
  <c r="C51" i="9"/>
  <c r="D51" i="9"/>
  <c r="BA50" i="9"/>
  <c r="AV50" i="9"/>
  <c r="AL50" i="9"/>
  <c r="AE50" i="9"/>
  <c r="AS50" i="9"/>
  <c r="AK50" i="9"/>
  <c r="AC50" i="9"/>
  <c r="AU50" i="9"/>
  <c r="AM50" i="9"/>
  <c r="W50" i="9"/>
  <c r="AT50" i="9"/>
  <c r="AI50" i="9"/>
  <c r="AB50" i="9"/>
  <c r="AY50" i="9"/>
  <c r="AJ50" i="9"/>
  <c r="AA50" i="9"/>
  <c r="AZ50" i="9"/>
  <c r="AP50" i="9"/>
  <c r="AH50" i="9"/>
  <c r="Z50" i="9"/>
  <c r="AW50" i="9"/>
  <c r="AO50" i="9"/>
  <c r="AG50" i="9"/>
  <c r="Y50" i="9"/>
  <c r="AD50" i="9"/>
  <c r="AX50" i="9"/>
  <c r="AN50" i="9"/>
  <c r="X50" i="9"/>
  <c r="AQ49" i="9"/>
  <c r="AR49" i="9" s="1"/>
  <c r="O50" i="9"/>
  <c r="R50" i="9"/>
  <c r="I50" i="9"/>
  <c r="G50" i="9"/>
  <c r="Q50" i="9"/>
  <c r="P50" i="9"/>
  <c r="L50" i="9"/>
  <c r="J50" i="9"/>
  <c r="U50" i="9"/>
  <c r="S50" i="9"/>
  <c r="F50" i="9"/>
  <c r="M50" i="9"/>
  <c r="T50" i="9"/>
  <c r="H50" i="9"/>
  <c r="N50" i="9"/>
  <c r="K50" i="9"/>
  <c r="BB50" i="9" l="1"/>
  <c r="BC50" i="9" s="1"/>
  <c r="AX51" i="9"/>
  <c r="AO51" i="9"/>
  <c r="AG51" i="9"/>
  <c r="Y51" i="9"/>
  <c r="AW51" i="9"/>
  <c r="AN51" i="9"/>
  <c r="X51" i="9"/>
  <c r="AV51" i="9"/>
  <c r="AM51" i="9"/>
  <c r="AD51" i="9"/>
  <c r="W51" i="9"/>
  <c r="AU51" i="9"/>
  <c r="AK51" i="9"/>
  <c r="AE51" i="9"/>
  <c r="AC51" i="9"/>
  <c r="AT51" i="9"/>
  <c r="AL51" i="9"/>
  <c r="BA51" i="9"/>
  <c r="AS51" i="9"/>
  <c r="AB51" i="9"/>
  <c r="AJ51" i="9"/>
  <c r="AZ51" i="9"/>
  <c r="AH51" i="9"/>
  <c r="AA51" i="9"/>
  <c r="AY51" i="9"/>
  <c r="AP51" i="9"/>
  <c r="AI51" i="9"/>
  <c r="Z51" i="9"/>
  <c r="K51" i="9"/>
  <c r="H51" i="9"/>
  <c r="S51" i="9"/>
  <c r="Q51" i="9"/>
  <c r="G51" i="9"/>
  <c r="T51" i="9"/>
  <c r="L51" i="9"/>
  <c r="O51" i="9"/>
  <c r="J51" i="9"/>
  <c r="I51" i="9"/>
  <c r="U51" i="9"/>
  <c r="P51" i="9"/>
  <c r="M51" i="9"/>
  <c r="R51" i="9"/>
  <c r="N51" i="9"/>
  <c r="F51" i="9"/>
  <c r="V50" i="9"/>
  <c r="E53" i="9" a="1"/>
  <c r="E53" i="9" s="1"/>
  <c r="D52" i="9"/>
  <c r="A52" i="9"/>
  <c r="C52" i="9"/>
  <c r="AQ50" i="9"/>
  <c r="AR50" i="9" s="1"/>
  <c r="AF50" i="9"/>
  <c r="BB51" i="9" l="1"/>
  <c r="BC51" i="9" s="1"/>
  <c r="AQ51" i="9"/>
  <c r="AR51" i="9" s="1"/>
  <c r="L52" i="9"/>
  <c r="F52" i="9"/>
  <c r="T52" i="9"/>
  <c r="M52" i="9"/>
  <c r="H52" i="9"/>
  <c r="I52" i="9"/>
  <c r="G52" i="9"/>
  <c r="R52" i="9"/>
  <c r="P52" i="9"/>
  <c r="Q52" i="9"/>
  <c r="O52" i="9"/>
  <c r="J52" i="9"/>
  <c r="N52" i="9"/>
  <c r="K52" i="9"/>
  <c r="U52" i="9"/>
  <c r="S52" i="9"/>
  <c r="E54" i="9" a="1"/>
  <c r="E54" i="9" s="1"/>
  <c r="D53" i="9"/>
  <c r="A53" i="9"/>
  <c r="C53" i="9"/>
  <c r="AF51" i="9"/>
  <c r="V51" i="9"/>
  <c r="AW52" i="9"/>
  <c r="AM52" i="9"/>
  <c r="AG52" i="9"/>
  <c r="W52" i="9"/>
  <c r="AP52" i="9"/>
  <c r="Z52" i="9"/>
  <c r="AV52" i="9"/>
  <c r="AN52" i="9"/>
  <c r="X52" i="9"/>
  <c r="AD52" i="9"/>
  <c r="AU52" i="9"/>
  <c r="AL52" i="9"/>
  <c r="AE52" i="9"/>
  <c r="AZ52" i="9"/>
  <c r="AA52" i="9"/>
  <c r="AT52" i="9"/>
  <c r="AJ52" i="9"/>
  <c r="AB52" i="9"/>
  <c r="BA52" i="9"/>
  <c r="AS52" i="9"/>
  <c r="AK52" i="9"/>
  <c r="AC52" i="9"/>
  <c r="AY52" i="9"/>
  <c r="AO52" i="9"/>
  <c r="Y52" i="9"/>
  <c r="AI52" i="9"/>
  <c r="AH52" i="9"/>
  <c r="AX52" i="9"/>
  <c r="BB52" i="9" l="1"/>
  <c r="BC52" i="9" s="1"/>
  <c r="AF52" i="9"/>
  <c r="AX53" i="9"/>
  <c r="AN53" i="9"/>
  <c r="X53" i="9"/>
  <c r="AU53" i="9"/>
  <c r="AM53" i="9"/>
  <c r="AD53" i="9"/>
  <c r="W53" i="9"/>
  <c r="AC53" i="9"/>
  <c r="AV53" i="9"/>
  <c r="AL53" i="9"/>
  <c r="AE53" i="9"/>
  <c r="BA53" i="9"/>
  <c r="AK53" i="9"/>
  <c r="AT53" i="9"/>
  <c r="AI53" i="9"/>
  <c r="AA53" i="9"/>
  <c r="AY53" i="9"/>
  <c r="AJ53" i="9"/>
  <c r="AB53" i="9"/>
  <c r="AW53" i="9"/>
  <c r="AG53" i="9"/>
  <c r="AS53" i="9"/>
  <c r="AZ53" i="9"/>
  <c r="AP53" i="9"/>
  <c r="AH53" i="9"/>
  <c r="Z53" i="9"/>
  <c r="AO53" i="9"/>
  <c r="Y53" i="9"/>
  <c r="S53" i="9"/>
  <c r="O53" i="9"/>
  <c r="L53" i="9"/>
  <c r="P53" i="9"/>
  <c r="T53" i="9"/>
  <c r="R53" i="9"/>
  <c r="M53" i="9"/>
  <c r="U53" i="9"/>
  <c r="H53" i="9"/>
  <c r="I53" i="9"/>
  <c r="G53" i="9"/>
  <c r="K53" i="9"/>
  <c r="F53" i="9"/>
  <c r="Q53" i="9"/>
  <c r="J53" i="9"/>
  <c r="N53" i="9"/>
  <c r="V52" i="9"/>
  <c r="AQ52" i="9"/>
  <c r="AR52" i="9" s="1"/>
  <c r="E55" i="9" a="1"/>
  <c r="E55" i="9" s="1"/>
  <c r="A54" i="9"/>
  <c r="C54" i="9"/>
  <c r="D54" i="9"/>
  <c r="BB53" i="9" l="1"/>
  <c r="BC53" i="9" s="1"/>
  <c r="AQ53" i="9"/>
  <c r="AR53" i="9" s="1"/>
  <c r="AF53" i="9"/>
  <c r="AZ54" i="9"/>
  <c r="AJ54" i="9"/>
  <c r="AB54" i="9"/>
  <c r="AU54" i="9"/>
  <c r="AK54" i="9"/>
  <c r="AD54" i="9"/>
  <c r="AT54" i="9"/>
  <c r="AL54" i="9"/>
  <c r="AC54" i="9"/>
  <c r="AI54" i="9"/>
  <c r="BA54" i="9"/>
  <c r="AS54" i="9"/>
  <c r="AA54" i="9"/>
  <c r="AY54" i="9"/>
  <c r="AO54" i="9"/>
  <c r="AG54" i="9"/>
  <c r="Y54" i="9"/>
  <c r="AX54" i="9"/>
  <c r="AP54" i="9"/>
  <c r="AH54" i="9"/>
  <c r="Z54" i="9"/>
  <c r="AW54" i="9"/>
  <c r="AM54" i="9"/>
  <c r="W54" i="9"/>
  <c r="AV54" i="9"/>
  <c r="AN54" i="9"/>
  <c r="AE54" i="9"/>
  <c r="X54" i="9"/>
  <c r="V53" i="9"/>
  <c r="N54" i="9"/>
  <c r="J54" i="9"/>
  <c r="M54" i="9"/>
  <c r="T54" i="9"/>
  <c r="U54" i="9"/>
  <c r="H54" i="9"/>
  <c r="F54" i="9"/>
  <c r="I54" i="9"/>
  <c r="G54" i="9"/>
  <c r="L54" i="9"/>
  <c r="O54" i="9"/>
  <c r="Q54" i="9"/>
  <c r="K54" i="9"/>
  <c r="P54" i="9"/>
  <c r="S54" i="9"/>
  <c r="R54" i="9"/>
  <c r="D55" i="9"/>
  <c r="E56" i="9" a="1"/>
  <c r="E56" i="9" s="1"/>
  <c r="A55" i="9"/>
  <c r="C55" i="9"/>
  <c r="BB54" i="9" l="1"/>
  <c r="BC54" i="9" s="1"/>
  <c r="AF54" i="9"/>
  <c r="AQ54" i="9"/>
  <c r="AR54" i="9" s="1"/>
  <c r="AW55" i="9"/>
  <c r="AO55" i="9"/>
  <c r="AG55" i="9"/>
  <c r="Z55" i="9"/>
  <c r="X55" i="9"/>
  <c r="AU55" i="9"/>
  <c r="W55" i="9"/>
  <c r="AE55" i="9"/>
  <c r="BA55" i="9"/>
  <c r="Y55" i="9"/>
  <c r="AX55" i="9"/>
  <c r="AN55" i="9"/>
  <c r="AM55" i="9"/>
  <c r="AL55" i="9"/>
  <c r="AS55" i="9"/>
  <c r="AC55" i="9"/>
  <c r="AH55" i="9"/>
  <c r="AD55" i="9"/>
  <c r="AV55" i="9"/>
  <c r="AK55" i="9"/>
  <c r="AT55" i="9"/>
  <c r="AJ55" i="9"/>
  <c r="AB55" i="9"/>
  <c r="AY55" i="9"/>
  <c r="AI55" i="9"/>
  <c r="AA55" i="9"/>
  <c r="AZ55" i="9"/>
  <c r="AP55" i="9"/>
  <c r="O55" i="9"/>
  <c r="N55" i="9"/>
  <c r="H55" i="9"/>
  <c r="F55" i="9"/>
  <c r="I55" i="9"/>
  <c r="S55" i="9"/>
  <c r="R55" i="9"/>
  <c r="P55" i="9"/>
  <c r="T55" i="9"/>
  <c r="Q55" i="9"/>
  <c r="M55" i="9"/>
  <c r="K55" i="9"/>
  <c r="U55" i="9"/>
  <c r="L55" i="9"/>
  <c r="J55" i="9"/>
  <c r="G55" i="9"/>
  <c r="V54" i="9"/>
  <c r="A56" i="9"/>
  <c r="E57" i="9" a="1"/>
  <c r="E57" i="9" s="1"/>
  <c r="C56" i="9"/>
  <c r="D56" i="9"/>
  <c r="BB55" i="9" l="1"/>
  <c r="BC55" i="9" s="1"/>
  <c r="F56" i="9"/>
  <c r="L56" i="9"/>
  <c r="Q56" i="9"/>
  <c r="U56" i="9"/>
  <c r="P56" i="9"/>
  <c r="N56" i="9"/>
  <c r="I56" i="9"/>
  <c r="H56" i="9"/>
  <c r="T56" i="9"/>
  <c r="J56" i="9"/>
  <c r="G56" i="9"/>
  <c r="O56" i="9"/>
  <c r="R56" i="9"/>
  <c r="M56" i="9"/>
  <c r="K56" i="9"/>
  <c r="S56" i="9"/>
  <c r="AF55" i="9"/>
  <c r="AQ55" i="9"/>
  <c r="AR55" i="9" s="1"/>
  <c r="AW56" i="9"/>
  <c r="AO56" i="9"/>
  <c r="AG56" i="9"/>
  <c r="Y56" i="9"/>
  <c r="BA56" i="9"/>
  <c r="AI56" i="9"/>
  <c r="AB56" i="9"/>
  <c r="AX56" i="9"/>
  <c r="AN56" i="9"/>
  <c r="AD56" i="9"/>
  <c r="X56" i="9"/>
  <c r="AS56" i="9"/>
  <c r="AK56" i="9"/>
  <c r="AT56" i="9"/>
  <c r="AA56" i="9"/>
  <c r="AJ56" i="9"/>
  <c r="AU56" i="9"/>
  <c r="AM56" i="9"/>
  <c r="W56" i="9"/>
  <c r="AV56" i="9"/>
  <c r="AL56" i="9"/>
  <c r="AE56" i="9"/>
  <c r="AC56" i="9"/>
  <c r="AY56" i="9"/>
  <c r="AZ56" i="9"/>
  <c r="AP56" i="9"/>
  <c r="AH56" i="9"/>
  <c r="Z56" i="9"/>
  <c r="V55" i="9"/>
  <c r="A57" i="9"/>
  <c r="E58" i="9" a="1"/>
  <c r="E58" i="9" s="1"/>
  <c r="D57" i="9"/>
  <c r="C57" i="9"/>
  <c r="BB56" i="9" l="1"/>
  <c r="BC56" i="9" s="1"/>
  <c r="G57" i="9"/>
  <c r="O57" i="9"/>
  <c r="I57" i="9"/>
  <c r="K57" i="9"/>
  <c r="F57" i="9"/>
  <c r="S57" i="9"/>
  <c r="P57" i="9"/>
  <c r="M57" i="9"/>
  <c r="H57" i="9"/>
  <c r="R57" i="9"/>
  <c r="U57" i="9"/>
  <c r="Q57" i="9"/>
  <c r="L57" i="9"/>
  <c r="T57" i="9"/>
  <c r="N57" i="9"/>
  <c r="J57" i="9"/>
  <c r="AF56" i="9"/>
  <c r="AQ56" i="9"/>
  <c r="AR56" i="9" s="1"/>
  <c r="BA57" i="9"/>
  <c r="AN57" i="9"/>
  <c r="AV57" i="9"/>
  <c r="AL57" i="9"/>
  <c r="AD57" i="9"/>
  <c r="Y57" i="9"/>
  <c r="AS57" i="9"/>
  <c r="AJ57" i="9"/>
  <c r="AC57" i="9"/>
  <c r="AT57" i="9"/>
  <c r="AK57" i="9"/>
  <c r="AA57" i="9"/>
  <c r="AY57" i="9"/>
  <c r="AI57" i="9"/>
  <c r="AB57" i="9"/>
  <c r="AZ57" i="9"/>
  <c r="AP57" i="9"/>
  <c r="AG57" i="9"/>
  <c r="AW57" i="9"/>
  <c r="AO57" i="9"/>
  <c r="AH57" i="9"/>
  <c r="Z57" i="9"/>
  <c r="AX57" i="9"/>
  <c r="AM57" i="9"/>
  <c r="W57" i="9"/>
  <c r="AU57" i="9"/>
  <c r="AE57" i="9"/>
  <c r="X57" i="9"/>
  <c r="C58" i="9"/>
  <c r="E59" i="9" a="1"/>
  <c r="E59" i="9" s="1"/>
  <c r="D58" i="9"/>
  <c r="A58" i="9"/>
  <c r="V56" i="9"/>
  <c r="BB57" i="9" l="1"/>
  <c r="BC57" i="9" s="1"/>
  <c r="AX58" i="9"/>
  <c r="AP58" i="9"/>
  <c r="AD58" i="9"/>
  <c r="Z58" i="9"/>
  <c r="AZ58" i="9"/>
  <c r="AH58" i="9"/>
  <c r="AA58" i="9"/>
  <c r="AW58" i="9"/>
  <c r="AM58" i="9"/>
  <c r="AG58" i="9"/>
  <c r="W58" i="9"/>
  <c r="AV58" i="9"/>
  <c r="AN58" i="9"/>
  <c r="X58" i="9"/>
  <c r="AU58" i="9"/>
  <c r="AK58" i="9"/>
  <c r="AE58" i="9"/>
  <c r="AT58" i="9"/>
  <c r="AL58" i="9"/>
  <c r="AB58" i="9"/>
  <c r="AY58" i="9"/>
  <c r="AO58" i="9"/>
  <c r="AI58" i="9"/>
  <c r="BA58" i="9"/>
  <c r="AS58" i="9"/>
  <c r="AJ58" i="9"/>
  <c r="AC58" i="9"/>
  <c r="Y58" i="9"/>
  <c r="AF57" i="9"/>
  <c r="V57" i="9"/>
  <c r="M58" i="9"/>
  <c r="F58" i="9"/>
  <c r="G58" i="9"/>
  <c r="U58" i="9"/>
  <c r="O58" i="9"/>
  <c r="J58" i="9"/>
  <c r="H58" i="9"/>
  <c r="S58" i="9"/>
  <c r="Q58" i="9"/>
  <c r="K58" i="9"/>
  <c r="P58" i="9"/>
  <c r="N58" i="9"/>
  <c r="T58" i="9"/>
  <c r="R58" i="9"/>
  <c r="I58" i="9"/>
  <c r="L58" i="9"/>
  <c r="E60" i="9" a="1"/>
  <c r="E60" i="9" s="1"/>
  <c r="A59" i="9"/>
  <c r="D59" i="9"/>
  <c r="C59" i="9"/>
  <c r="AQ57" i="9"/>
  <c r="AR57" i="9" s="1"/>
  <c r="BB58" i="9" l="1"/>
  <c r="BC58" i="9" s="1"/>
  <c r="AQ58" i="9"/>
  <c r="AR58" i="9" s="1"/>
  <c r="AF58" i="9"/>
  <c r="E61" i="9" a="1"/>
  <c r="E61" i="9" s="1"/>
  <c r="A60" i="9"/>
  <c r="D60" i="9"/>
  <c r="C60" i="9"/>
  <c r="V58" i="9"/>
  <c r="AX59" i="9"/>
  <c r="AN59" i="9"/>
  <c r="Y59" i="9"/>
  <c r="AU59" i="9"/>
  <c r="AM59" i="9"/>
  <c r="AD59" i="9"/>
  <c r="W59" i="9"/>
  <c r="AV59" i="9"/>
  <c r="AL59" i="9"/>
  <c r="AE59" i="9"/>
  <c r="BA59" i="9"/>
  <c r="AS59" i="9"/>
  <c r="AK59" i="9"/>
  <c r="AC59" i="9"/>
  <c r="AT59" i="9"/>
  <c r="AI59" i="9"/>
  <c r="AA59" i="9"/>
  <c r="AY59" i="9"/>
  <c r="AJ59" i="9"/>
  <c r="AB59" i="9"/>
  <c r="AP59" i="9"/>
  <c r="AG59" i="9"/>
  <c r="Z59" i="9"/>
  <c r="X59" i="9"/>
  <c r="AH59" i="9"/>
  <c r="AO59" i="9"/>
  <c r="AZ59" i="9"/>
  <c r="AW59" i="9"/>
  <c r="O59" i="9"/>
  <c r="U59" i="9"/>
  <c r="I59" i="9"/>
  <c r="M59" i="9"/>
  <c r="F59" i="9"/>
  <c r="R59" i="9"/>
  <c r="J59" i="9"/>
  <c r="P59" i="9"/>
  <c r="S59" i="9"/>
  <c r="N59" i="9"/>
  <c r="K59" i="9"/>
  <c r="Q59" i="9"/>
  <c r="H59" i="9"/>
  <c r="G59" i="9"/>
  <c r="L59" i="9"/>
  <c r="T59" i="9"/>
  <c r="BB59" i="9" l="1"/>
  <c r="BC59" i="9" s="1"/>
  <c r="V59" i="9"/>
  <c r="AQ59" i="9"/>
  <c r="AR59" i="9" s="1"/>
  <c r="AF59" i="9"/>
  <c r="AX60" i="9"/>
  <c r="AP60" i="9"/>
  <c r="AD60" i="9"/>
  <c r="Z60" i="9"/>
  <c r="AV60" i="9"/>
  <c r="AN60" i="9"/>
  <c r="X60" i="9"/>
  <c r="AW60" i="9"/>
  <c r="AM60" i="9"/>
  <c r="AG60" i="9"/>
  <c r="W60" i="9"/>
  <c r="AO60" i="9"/>
  <c r="AU60" i="9"/>
  <c r="AL60" i="9"/>
  <c r="AE60" i="9"/>
  <c r="AY60" i="9"/>
  <c r="Y60" i="9"/>
  <c r="AT60" i="9"/>
  <c r="AJ60" i="9"/>
  <c r="AB60" i="9"/>
  <c r="AZ60" i="9"/>
  <c r="AH60" i="9"/>
  <c r="AA60" i="9"/>
  <c r="BA60" i="9"/>
  <c r="AS60" i="9"/>
  <c r="AK60" i="9"/>
  <c r="AC60" i="9"/>
  <c r="AI60" i="9"/>
  <c r="O60" i="9"/>
  <c r="S60" i="9"/>
  <c r="P60" i="9"/>
  <c r="U60" i="9"/>
  <c r="H60" i="9"/>
  <c r="M60" i="9"/>
  <c r="G60" i="9"/>
  <c r="I60" i="9"/>
  <c r="F60" i="9"/>
  <c r="T60" i="9"/>
  <c r="Q60" i="9"/>
  <c r="L60" i="9"/>
  <c r="N60" i="9"/>
  <c r="R60" i="9"/>
  <c r="J60" i="9"/>
  <c r="K60" i="9"/>
  <c r="E62" i="9" a="1"/>
  <c r="E62" i="9" s="1"/>
  <c r="A61" i="9"/>
  <c r="C61" i="9"/>
  <c r="D61" i="9"/>
  <c r="BB60" i="9" l="1"/>
  <c r="BC60" i="9" s="1"/>
  <c r="V60" i="9"/>
  <c r="AQ60" i="9"/>
  <c r="AR60" i="9" s="1"/>
  <c r="AY61" i="9"/>
  <c r="AO61" i="9"/>
  <c r="AG61" i="9"/>
  <c r="Y61" i="9"/>
  <c r="AV61" i="9"/>
  <c r="AN61" i="9"/>
  <c r="X61" i="9"/>
  <c r="AU61" i="9"/>
  <c r="AL61" i="9"/>
  <c r="AE61" i="9"/>
  <c r="AW61" i="9"/>
  <c r="AM61" i="9"/>
  <c r="AD61" i="9"/>
  <c r="W61" i="9"/>
  <c r="AS61" i="9"/>
  <c r="AK61" i="9"/>
  <c r="AC61" i="9"/>
  <c r="AZ61" i="9"/>
  <c r="AT61" i="9"/>
  <c r="AI61" i="9"/>
  <c r="AA61" i="9"/>
  <c r="AB61" i="9"/>
  <c r="AP61" i="9"/>
  <c r="BA61" i="9"/>
  <c r="AJ61" i="9"/>
  <c r="AH61" i="9"/>
  <c r="AX61" i="9"/>
  <c r="Z61" i="9"/>
  <c r="Q61" i="9"/>
  <c r="U61" i="9"/>
  <c r="J61" i="9"/>
  <c r="G61" i="9"/>
  <c r="K61" i="9"/>
  <c r="F61" i="9"/>
  <c r="R61" i="9"/>
  <c r="O61" i="9"/>
  <c r="I61" i="9"/>
  <c r="M61" i="9"/>
  <c r="S61" i="9"/>
  <c r="H61" i="9"/>
  <c r="L61" i="9"/>
  <c r="N61" i="9"/>
  <c r="T61" i="9"/>
  <c r="P61" i="9"/>
  <c r="AF60" i="9"/>
  <c r="E63" i="9" a="1"/>
  <c r="E63" i="9" s="1"/>
  <c r="A62" i="9"/>
  <c r="C62" i="9"/>
  <c r="D62" i="9"/>
  <c r="BB61" i="9" l="1"/>
  <c r="BC61" i="9" s="1"/>
  <c r="AF61" i="9"/>
  <c r="E64" i="9" a="1"/>
  <c r="E64" i="9" s="1"/>
  <c r="D63" i="9"/>
  <c r="C63" i="9"/>
  <c r="A63" i="9"/>
  <c r="AQ61" i="9"/>
  <c r="AR61" i="9" s="1"/>
  <c r="V61" i="9"/>
  <c r="M62" i="9"/>
  <c r="H62" i="9"/>
  <c r="U62" i="9"/>
  <c r="J62" i="9"/>
  <c r="F62" i="9"/>
  <c r="P62" i="9"/>
  <c r="N62" i="9"/>
  <c r="R62" i="9"/>
  <c r="K62" i="9"/>
  <c r="G62" i="9"/>
  <c r="T62" i="9"/>
  <c r="S62" i="9"/>
  <c r="Q62" i="9"/>
  <c r="O62" i="9"/>
  <c r="L62" i="9"/>
  <c r="I62" i="9"/>
  <c r="AW62" i="9"/>
  <c r="AO62" i="9"/>
  <c r="AG62" i="9"/>
  <c r="Y62" i="9"/>
  <c r="AX62" i="9"/>
  <c r="AN62" i="9"/>
  <c r="X62" i="9"/>
  <c r="AU62" i="9"/>
  <c r="AM62" i="9"/>
  <c r="AD62" i="9"/>
  <c r="W62" i="9"/>
  <c r="AV62" i="9"/>
  <c r="AL62" i="9"/>
  <c r="AE62" i="9"/>
  <c r="AS62" i="9"/>
  <c r="AK62" i="9"/>
  <c r="AC62" i="9"/>
  <c r="AT62" i="9"/>
  <c r="AB62" i="9"/>
  <c r="AH62" i="9"/>
  <c r="AZ62" i="9"/>
  <c r="AY62" i="9"/>
  <c r="AP62" i="9"/>
  <c r="Z62" i="9"/>
  <c r="AI62" i="9"/>
  <c r="BA62" i="9"/>
  <c r="AJ62" i="9"/>
  <c r="AA62" i="9"/>
  <c r="BB62" i="9" l="1"/>
  <c r="BC62" i="9" s="1"/>
  <c r="AF62" i="9"/>
  <c r="H63" i="9"/>
  <c r="T63" i="9"/>
  <c r="J63" i="9"/>
  <c r="P63" i="9"/>
  <c r="M63" i="9"/>
  <c r="R63" i="9"/>
  <c r="I63" i="9"/>
  <c r="O63" i="9"/>
  <c r="U63" i="9"/>
  <c r="Q63" i="9"/>
  <c r="F63" i="9"/>
  <c r="K63" i="9"/>
  <c r="N63" i="9"/>
  <c r="S63" i="9"/>
  <c r="G63" i="9"/>
  <c r="L63" i="9"/>
  <c r="AQ62" i="9"/>
  <c r="AR62" i="9" s="1"/>
  <c r="V62" i="9"/>
  <c r="AV63" i="9"/>
  <c r="AN63" i="9"/>
  <c r="X63" i="9"/>
  <c r="AU63" i="9"/>
  <c r="AL63" i="9"/>
  <c r="AE63" i="9"/>
  <c r="AJ63" i="9"/>
  <c r="AB63" i="9"/>
  <c r="AT63" i="9"/>
  <c r="AM63" i="9"/>
  <c r="W63" i="9"/>
  <c r="AW63" i="9"/>
  <c r="AG63" i="9"/>
  <c r="BA63" i="9"/>
  <c r="AS63" i="9"/>
  <c r="AK63" i="9"/>
  <c r="AC63" i="9"/>
  <c r="AZ63" i="9"/>
  <c r="AI63" i="9"/>
  <c r="AA63" i="9"/>
  <c r="AY63" i="9"/>
  <c r="AO63" i="9"/>
  <c r="AH63" i="9"/>
  <c r="Y63" i="9"/>
  <c r="AX63" i="9"/>
  <c r="AP63" i="9"/>
  <c r="AD63" i="9"/>
  <c r="Z63" i="9"/>
  <c r="E65" i="9" a="1"/>
  <c r="E65" i="9" s="1"/>
  <c r="A64" i="9"/>
  <c r="D64" i="9"/>
  <c r="C64" i="9"/>
  <c r="BB63" i="9" l="1"/>
  <c r="BC63" i="9" s="1"/>
  <c r="AQ63" i="9"/>
  <c r="AR63" i="9" s="1"/>
  <c r="AF63" i="9"/>
  <c r="V63" i="9"/>
  <c r="AU64" i="9"/>
  <c r="AN64" i="9"/>
  <c r="AE64" i="9"/>
  <c r="X64" i="9"/>
  <c r="AV64" i="9"/>
  <c r="AK64" i="9"/>
  <c r="AD64" i="9"/>
  <c r="AW64" i="9"/>
  <c r="AP64" i="9"/>
  <c r="AH64" i="9"/>
  <c r="Z64" i="9"/>
  <c r="AS64" i="9"/>
  <c r="AL64" i="9"/>
  <c r="AC64" i="9"/>
  <c r="AZ64" i="9"/>
  <c r="AT64" i="9"/>
  <c r="AI64" i="9"/>
  <c r="AA64" i="9"/>
  <c r="BA64" i="9"/>
  <c r="AJ64" i="9"/>
  <c r="AB64" i="9"/>
  <c r="AM64" i="9"/>
  <c r="W64" i="9"/>
  <c r="AY64" i="9"/>
  <c r="AO64" i="9"/>
  <c r="AG64" i="9"/>
  <c r="Y64" i="9"/>
  <c r="AX64" i="9"/>
  <c r="H64" i="9"/>
  <c r="M64" i="9"/>
  <c r="P64" i="9"/>
  <c r="U64" i="9"/>
  <c r="G64" i="9"/>
  <c r="K64" i="9"/>
  <c r="I64" i="9"/>
  <c r="F64" i="9"/>
  <c r="Q64" i="9"/>
  <c r="L64" i="9"/>
  <c r="J64" i="9"/>
  <c r="N64" i="9"/>
  <c r="S64" i="9"/>
  <c r="R64" i="9"/>
  <c r="T64" i="9"/>
  <c r="O64" i="9"/>
  <c r="E66" i="9" a="1"/>
  <c r="E66" i="9" s="1"/>
  <c r="A65" i="9"/>
  <c r="C65" i="9"/>
  <c r="D65" i="9"/>
  <c r="BB64" i="9" l="1"/>
  <c r="BC64" i="9" s="1"/>
  <c r="AF64" i="9"/>
  <c r="AQ64" i="9"/>
  <c r="AR64" i="9" s="1"/>
  <c r="V64" i="9"/>
  <c r="AX65" i="9"/>
  <c r="AN65" i="9"/>
  <c r="X65" i="9"/>
  <c r="AU65" i="9"/>
  <c r="AD65" i="9"/>
  <c r="BA65" i="9"/>
  <c r="AS65" i="9"/>
  <c r="AK65" i="9"/>
  <c r="AC65" i="9"/>
  <c r="AT65" i="9"/>
  <c r="AJ65" i="9"/>
  <c r="AB65" i="9"/>
  <c r="AZ65" i="9"/>
  <c r="AI65" i="9"/>
  <c r="AA65" i="9"/>
  <c r="AM65" i="9"/>
  <c r="W65" i="9"/>
  <c r="AP65" i="9"/>
  <c r="Z65" i="9"/>
  <c r="AW65" i="9"/>
  <c r="Y65" i="9"/>
  <c r="AV65" i="9"/>
  <c r="AL65" i="9"/>
  <c r="AE65" i="9"/>
  <c r="AY65" i="9"/>
  <c r="AH65" i="9"/>
  <c r="AO65" i="9"/>
  <c r="AG65" i="9"/>
  <c r="R65" i="9"/>
  <c r="O65" i="9"/>
  <c r="K65" i="9"/>
  <c r="Q65" i="9"/>
  <c r="S65" i="9"/>
  <c r="F65" i="9"/>
  <c r="L65" i="9"/>
  <c r="H65" i="9"/>
  <c r="T65" i="9"/>
  <c r="N65" i="9"/>
  <c r="M65" i="9"/>
  <c r="P65" i="9"/>
  <c r="G65" i="9"/>
  <c r="U65" i="9"/>
  <c r="I65" i="9"/>
  <c r="J65" i="9"/>
  <c r="C66" i="9"/>
  <c r="D66" i="9"/>
  <c r="A66" i="9"/>
  <c r="E67" i="9" a="1"/>
  <c r="E67" i="9" s="1"/>
  <c r="BB65" i="9" l="1"/>
  <c r="BC65" i="9" s="1"/>
  <c r="AF65" i="9"/>
  <c r="E68" i="9" a="1"/>
  <c r="E68" i="9" s="1"/>
  <c r="A67" i="9"/>
  <c r="C67" i="9"/>
  <c r="D67" i="9"/>
  <c r="V65" i="9"/>
  <c r="G66" i="9"/>
  <c r="H66" i="9"/>
  <c r="O66" i="9"/>
  <c r="J66" i="9"/>
  <c r="U66" i="9"/>
  <c r="I66" i="9"/>
  <c r="N66" i="9"/>
  <c r="L66" i="9"/>
  <c r="P66" i="9"/>
  <c r="F66" i="9"/>
  <c r="Q66" i="9"/>
  <c r="K66" i="9"/>
  <c r="T66" i="9"/>
  <c r="R66" i="9"/>
  <c r="M66" i="9"/>
  <c r="S66" i="9"/>
  <c r="AQ65" i="9"/>
  <c r="AR65" i="9" s="1"/>
  <c r="AW66" i="9"/>
  <c r="AO66" i="9"/>
  <c r="AG66" i="9"/>
  <c r="Y66" i="9"/>
  <c r="AX66" i="9"/>
  <c r="AN66" i="9"/>
  <c r="X66" i="9"/>
  <c r="AP66" i="9"/>
  <c r="AV66" i="9"/>
  <c r="AM66" i="9"/>
  <c r="AD66" i="9"/>
  <c r="W66" i="9"/>
  <c r="AJ66" i="9"/>
  <c r="AH66" i="9"/>
  <c r="AU66" i="9"/>
  <c r="AL66" i="9"/>
  <c r="AE66" i="9"/>
  <c r="AT66" i="9"/>
  <c r="AB66" i="9"/>
  <c r="BA66" i="9"/>
  <c r="AS66" i="9"/>
  <c r="AK66" i="9"/>
  <c r="AC66" i="9"/>
  <c r="AZ66" i="9"/>
  <c r="AI66" i="9"/>
  <c r="AA66" i="9"/>
  <c r="AY66" i="9"/>
  <c r="Z66" i="9"/>
  <c r="BB66" i="9" l="1"/>
  <c r="BC66" i="9" s="1"/>
  <c r="V66" i="9"/>
  <c r="AF66" i="9"/>
  <c r="AX67" i="9"/>
  <c r="AO67" i="9"/>
  <c r="AG67" i="9"/>
  <c r="Y67" i="9"/>
  <c r="AC67" i="9"/>
  <c r="AW67" i="9"/>
  <c r="AN67" i="9"/>
  <c r="X67" i="9"/>
  <c r="AT67" i="9"/>
  <c r="AL67" i="9"/>
  <c r="AV67" i="9"/>
  <c r="AM67" i="9"/>
  <c r="AD67" i="9"/>
  <c r="W67" i="9"/>
  <c r="AU67" i="9"/>
  <c r="AK67" i="9"/>
  <c r="AE67" i="9"/>
  <c r="AY67" i="9"/>
  <c r="AP67" i="9"/>
  <c r="AI67" i="9"/>
  <c r="Z67" i="9"/>
  <c r="AS67" i="9"/>
  <c r="AB67" i="9"/>
  <c r="AZ67" i="9"/>
  <c r="AH67" i="9"/>
  <c r="AA67" i="9"/>
  <c r="BA67" i="9"/>
  <c r="AJ67" i="9"/>
  <c r="I67" i="9"/>
  <c r="P67" i="9"/>
  <c r="Q67" i="9"/>
  <c r="T67" i="9"/>
  <c r="F67" i="9"/>
  <c r="H67" i="9"/>
  <c r="K67" i="9"/>
  <c r="U67" i="9"/>
  <c r="S67" i="9"/>
  <c r="R67" i="9"/>
  <c r="N67" i="9"/>
  <c r="G67" i="9"/>
  <c r="L67" i="9"/>
  <c r="O67" i="9"/>
  <c r="M67" i="9"/>
  <c r="J67" i="9"/>
  <c r="E69" i="9" a="1"/>
  <c r="E69" i="9" s="1"/>
  <c r="A68" i="9"/>
  <c r="D68" i="9"/>
  <c r="C68" i="9"/>
  <c r="AQ66" i="9"/>
  <c r="AR66" i="9" s="1"/>
  <c r="BB67" i="9" l="1"/>
  <c r="BC67" i="9" s="1"/>
  <c r="AQ67" i="9"/>
  <c r="AR67" i="9" s="1"/>
  <c r="V67" i="9"/>
  <c r="S68" i="9"/>
  <c r="L68" i="9"/>
  <c r="M68" i="9"/>
  <c r="N68" i="9"/>
  <c r="U68" i="9"/>
  <c r="O68" i="9"/>
  <c r="R68" i="9"/>
  <c r="P68" i="9"/>
  <c r="T68" i="9"/>
  <c r="K68" i="9"/>
  <c r="H68" i="9"/>
  <c r="J68" i="9"/>
  <c r="I68" i="9"/>
  <c r="F68" i="9"/>
  <c r="G68" i="9"/>
  <c r="Q68" i="9"/>
  <c r="A69" i="9"/>
  <c r="E70" i="9" a="1"/>
  <c r="E70" i="9" s="1"/>
  <c r="D69" i="9"/>
  <c r="C69" i="9"/>
  <c r="AW68" i="9"/>
  <c r="AP68" i="9"/>
  <c r="AD68" i="9"/>
  <c r="Z68" i="9"/>
  <c r="AX68" i="9"/>
  <c r="AM68" i="9"/>
  <c r="AG68" i="9"/>
  <c r="W68" i="9"/>
  <c r="AV68" i="9"/>
  <c r="AN68" i="9"/>
  <c r="X68" i="9"/>
  <c r="AL68" i="9"/>
  <c r="AE68" i="9"/>
  <c r="AT68" i="9"/>
  <c r="AJ68" i="9"/>
  <c r="AC68" i="9"/>
  <c r="AI68" i="9"/>
  <c r="AU68" i="9"/>
  <c r="AZ68" i="9"/>
  <c r="Y68" i="9"/>
  <c r="BA68" i="9"/>
  <c r="AS68" i="9"/>
  <c r="AK68" i="9"/>
  <c r="AA68" i="9"/>
  <c r="AY68" i="9"/>
  <c r="AH68" i="9"/>
  <c r="AB68" i="9"/>
  <c r="AO68" i="9"/>
  <c r="AF67" i="9"/>
  <c r="BB68" i="9" l="1"/>
  <c r="BC68" i="9" s="1"/>
  <c r="V68" i="9"/>
  <c r="AQ68" i="9"/>
  <c r="AR68" i="9" s="1"/>
  <c r="AW69" i="9"/>
  <c r="AM69" i="9"/>
  <c r="W69" i="9"/>
  <c r="AV69" i="9"/>
  <c r="AN69" i="9"/>
  <c r="AE69" i="9"/>
  <c r="X69" i="9"/>
  <c r="AT69" i="9"/>
  <c r="AL69" i="9"/>
  <c r="AC69" i="9"/>
  <c r="BA69" i="9"/>
  <c r="AS69" i="9"/>
  <c r="AJ69" i="9"/>
  <c r="AA69" i="9"/>
  <c r="AU69" i="9"/>
  <c r="AK69" i="9"/>
  <c r="AX69" i="9"/>
  <c r="AP69" i="9"/>
  <c r="AH69" i="9"/>
  <c r="Z69" i="9"/>
  <c r="AD69" i="9"/>
  <c r="AZ69" i="9"/>
  <c r="AI69" i="9"/>
  <c r="AB69" i="9"/>
  <c r="AY69" i="9"/>
  <c r="AO69" i="9"/>
  <c r="AG69" i="9"/>
  <c r="Y69" i="9"/>
  <c r="E71" i="9" a="1"/>
  <c r="E71" i="9" s="1"/>
  <c r="C70" i="9"/>
  <c r="D70" i="9"/>
  <c r="A70" i="9"/>
  <c r="U69" i="9"/>
  <c r="H69" i="9"/>
  <c r="G69" i="9"/>
  <c r="I69" i="9"/>
  <c r="J69" i="9"/>
  <c r="N69" i="9"/>
  <c r="R69" i="9"/>
  <c r="P69" i="9"/>
  <c r="M69" i="9"/>
  <c r="F69" i="9"/>
  <c r="O69" i="9"/>
  <c r="L69" i="9"/>
  <c r="K69" i="9"/>
  <c r="Q69" i="9"/>
  <c r="S69" i="9"/>
  <c r="T69" i="9"/>
  <c r="AF68" i="9"/>
  <c r="BB69" i="9" l="1"/>
  <c r="BC69" i="9" s="1"/>
  <c r="AQ69" i="9"/>
  <c r="AR69" i="9" s="1"/>
  <c r="AF69" i="9"/>
  <c r="AX70" i="9"/>
  <c r="AN70" i="9"/>
  <c r="X70" i="9"/>
  <c r="AT70" i="9"/>
  <c r="AA70" i="9"/>
  <c r="AU70" i="9"/>
  <c r="AM70" i="9"/>
  <c r="AD70" i="9"/>
  <c r="W70" i="9"/>
  <c r="AI70" i="9"/>
  <c r="AV70" i="9"/>
  <c r="AL70" i="9"/>
  <c r="AE70" i="9"/>
  <c r="AS70" i="9"/>
  <c r="AK70" i="9"/>
  <c r="AC70" i="9"/>
  <c r="AZ70" i="9"/>
  <c r="AW70" i="9"/>
  <c r="AG70" i="9"/>
  <c r="Z70" i="9"/>
  <c r="AO70" i="9"/>
  <c r="BA70" i="9"/>
  <c r="AJ70" i="9"/>
  <c r="AB70" i="9"/>
  <c r="AY70" i="9"/>
  <c r="AP70" i="9"/>
  <c r="AH70" i="9"/>
  <c r="Y70" i="9"/>
  <c r="A71" i="9"/>
  <c r="E72" i="9" a="1"/>
  <c r="E72" i="9" s="1"/>
  <c r="C71" i="9"/>
  <c r="D71" i="9"/>
  <c r="V69" i="9"/>
  <c r="O70" i="9"/>
  <c r="P70" i="9"/>
  <c r="R70" i="9"/>
  <c r="I70" i="9"/>
  <c r="T70" i="9"/>
  <c r="Q70" i="9"/>
  <c r="S70" i="9"/>
  <c r="L70" i="9"/>
  <c r="H70" i="9"/>
  <c r="J70" i="9"/>
  <c r="G70" i="9"/>
  <c r="F70" i="9"/>
  <c r="M70" i="9"/>
  <c r="K70" i="9"/>
  <c r="U70" i="9"/>
  <c r="N70" i="9"/>
  <c r="BB70" i="9" l="1"/>
  <c r="BC70" i="9" s="1"/>
  <c r="V70" i="9"/>
  <c r="AW71" i="9"/>
  <c r="AN71" i="9"/>
  <c r="X71" i="9"/>
  <c r="AK71" i="9"/>
  <c r="AV71" i="9"/>
  <c r="AM71" i="9"/>
  <c r="AD71" i="9"/>
  <c r="W71" i="9"/>
  <c r="AE71" i="9"/>
  <c r="AT71" i="9"/>
  <c r="AC71" i="9"/>
  <c r="AU71" i="9"/>
  <c r="AL71" i="9"/>
  <c r="BA71" i="9"/>
  <c r="AS71" i="9"/>
  <c r="AJ71" i="9"/>
  <c r="AB71" i="9"/>
  <c r="AZ71" i="9"/>
  <c r="AH71" i="9"/>
  <c r="Z71" i="9"/>
  <c r="AY71" i="9"/>
  <c r="AP71" i="9"/>
  <c r="AI71" i="9"/>
  <c r="AA71" i="9"/>
  <c r="AX71" i="9"/>
  <c r="AO71" i="9"/>
  <c r="AG71" i="9"/>
  <c r="Y71" i="9"/>
  <c r="E73" i="9" a="1"/>
  <c r="E73" i="9" s="1"/>
  <c r="A72" i="9"/>
  <c r="D72" i="9"/>
  <c r="C72" i="9"/>
  <c r="N71" i="9"/>
  <c r="R71" i="9"/>
  <c r="O71" i="9"/>
  <c r="G71" i="9"/>
  <c r="T71" i="9"/>
  <c r="U71" i="9"/>
  <c r="I71" i="9"/>
  <c r="J71" i="9"/>
  <c r="H71" i="9"/>
  <c r="Q71" i="9"/>
  <c r="K71" i="9"/>
  <c r="M71" i="9"/>
  <c r="S71" i="9"/>
  <c r="L71" i="9"/>
  <c r="F71" i="9"/>
  <c r="P71" i="9"/>
  <c r="AF70" i="9"/>
  <c r="AQ70" i="9"/>
  <c r="AR70" i="9" s="1"/>
  <c r="BB71" i="9" l="1"/>
  <c r="BC71" i="9" s="1"/>
  <c r="BA72" i="9"/>
  <c r="AV72" i="9"/>
  <c r="AL72" i="9"/>
  <c r="AE72" i="9"/>
  <c r="AS72" i="9"/>
  <c r="AJ72" i="9"/>
  <c r="AB72" i="9"/>
  <c r="AY72" i="9"/>
  <c r="AH72" i="9"/>
  <c r="Z72" i="9"/>
  <c r="AZ72" i="9"/>
  <c r="AA72" i="9"/>
  <c r="AI72" i="9"/>
  <c r="AP72" i="9"/>
  <c r="Y72" i="9"/>
  <c r="AO72" i="9"/>
  <c r="AW72" i="9"/>
  <c r="AD72" i="9"/>
  <c r="AX72" i="9"/>
  <c r="AM72" i="9"/>
  <c r="AG72" i="9"/>
  <c r="W72" i="9"/>
  <c r="AT72" i="9"/>
  <c r="AC72" i="9"/>
  <c r="AU72" i="9"/>
  <c r="AN72" i="9"/>
  <c r="X72" i="9"/>
  <c r="AK72" i="9"/>
  <c r="V71" i="9"/>
  <c r="AQ71" i="9"/>
  <c r="AR71" i="9" s="1"/>
  <c r="U72" i="9"/>
  <c r="R72" i="9"/>
  <c r="P72" i="9"/>
  <c r="H72" i="9"/>
  <c r="J72" i="9"/>
  <c r="I72" i="9"/>
  <c r="N72" i="9"/>
  <c r="O72" i="9"/>
  <c r="F72" i="9"/>
  <c r="Q72" i="9"/>
  <c r="K72" i="9"/>
  <c r="S72" i="9"/>
  <c r="G72" i="9"/>
  <c r="M72" i="9"/>
  <c r="T72" i="9"/>
  <c r="L72" i="9"/>
  <c r="AF71" i="9"/>
  <c r="E74" i="9" a="1"/>
  <c r="E74" i="9" s="1"/>
  <c r="D73" i="9"/>
  <c r="C73" i="9"/>
  <c r="A73" i="9"/>
  <c r="BB72" i="9" l="1"/>
  <c r="BC72" i="9" s="1"/>
  <c r="AQ72" i="9"/>
  <c r="AR72" i="9" s="1"/>
  <c r="V72" i="9"/>
  <c r="S73" i="9"/>
  <c r="I73" i="9"/>
  <c r="M73" i="9"/>
  <c r="P73" i="9"/>
  <c r="Q73" i="9"/>
  <c r="L73" i="9"/>
  <c r="R73" i="9"/>
  <c r="H73" i="9"/>
  <c r="U73" i="9"/>
  <c r="O73" i="9"/>
  <c r="F73" i="9"/>
  <c r="G73" i="9"/>
  <c r="J73" i="9"/>
  <c r="N73" i="9"/>
  <c r="T73" i="9"/>
  <c r="K73" i="9"/>
  <c r="BA73" i="9"/>
  <c r="AV73" i="9"/>
  <c r="AK73" i="9"/>
  <c r="AD73" i="9"/>
  <c r="AS73" i="9"/>
  <c r="AL73" i="9"/>
  <c r="AC73" i="9"/>
  <c r="AT73" i="9"/>
  <c r="AA73" i="9"/>
  <c r="AB73" i="9"/>
  <c r="AO73" i="9"/>
  <c r="Y73" i="9"/>
  <c r="AX73" i="9"/>
  <c r="AM73" i="9"/>
  <c r="W73" i="9"/>
  <c r="AE73" i="9"/>
  <c r="AI73" i="9"/>
  <c r="AJ73" i="9"/>
  <c r="AG73" i="9"/>
  <c r="AU73" i="9"/>
  <c r="AN73" i="9"/>
  <c r="X73" i="9"/>
  <c r="AY73" i="9"/>
  <c r="AW73" i="9"/>
  <c r="AP73" i="9"/>
  <c r="AH73" i="9"/>
  <c r="AZ73" i="9"/>
  <c r="Z73" i="9"/>
  <c r="AF72" i="9"/>
  <c r="E75" i="9" a="1"/>
  <c r="E75" i="9" s="1"/>
  <c r="C74" i="9"/>
  <c r="D74" i="9"/>
  <c r="A74" i="9"/>
  <c r="BB73" i="9" l="1"/>
  <c r="BC73" i="9" s="1"/>
  <c r="AF73" i="9"/>
  <c r="V73" i="9"/>
  <c r="A75" i="9"/>
  <c r="E76" i="9" a="1"/>
  <c r="E76" i="9" s="1"/>
  <c r="D75" i="9"/>
  <c r="C75" i="9"/>
  <c r="L74" i="9"/>
  <c r="N74" i="9"/>
  <c r="T74" i="9"/>
  <c r="P74" i="9"/>
  <c r="G74" i="9"/>
  <c r="Q74" i="9"/>
  <c r="F74" i="9"/>
  <c r="M74" i="9"/>
  <c r="R74" i="9"/>
  <c r="U74" i="9"/>
  <c r="S74" i="9"/>
  <c r="H74" i="9"/>
  <c r="O74" i="9"/>
  <c r="J74" i="9"/>
  <c r="I74" i="9"/>
  <c r="K74" i="9"/>
  <c r="AQ73" i="9"/>
  <c r="AR73" i="9" s="1"/>
  <c r="AX74" i="9"/>
  <c r="AO74" i="9"/>
  <c r="AG74" i="9"/>
  <c r="Y74" i="9"/>
  <c r="AW74" i="9"/>
  <c r="AM74" i="9"/>
  <c r="X74" i="9"/>
  <c r="AJ74" i="9"/>
  <c r="AZ74" i="9"/>
  <c r="AP74" i="9"/>
  <c r="AI74" i="9"/>
  <c r="Z74" i="9"/>
  <c r="AV74" i="9"/>
  <c r="AN74" i="9"/>
  <c r="AD74" i="9"/>
  <c r="W74" i="9"/>
  <c r="AU74" i="9"/>
  <c r="AL74" i="9"/>
  <c r="AE74" i="9"/>
  <c r="AT74" i="9"/>
  <c r="AB74" i="9"/>
  <c r="BA74" i="9"/>
  <c r="AS74" i="9"/>
  <c r="AK74" i="9"/>
  <c r="AC74" i="9"/>
  <c r="AY74" i="9"/>
  <c r="AH74" i="9"/>
  <c r="AA74" i="9"/>
  <c r="BB74" i="9" l="1"/>
  <c r="BC74" i="9" s="1"/>
  <c r="AF74" i="9"/>
  <c r="AW75" i="9"/>
  <c r="AM75" i="9"/>
  <c r="W75" i="9"/>
  <c r="BA75" i="9"/>
  <c r="AB75" i="9"/>
  <c r="AY75" i="9"/>
  <c r="AO75" i="9"/>
  <c r="AG75" i="9"/>
  <c r="Y75" i="9"/>
  <c r="AV75" i="9"/>
  <c r="AN75" i="9"/>
  <c r="AD75" i="9"/>
  <c r="X75" i="9"/>
  <c r="AZ75" i="9"/>
  <c r="AA75" i="9"/>
  <c r="AX75" i="9"/>
  <c r="AP75" i="9"/>
  <c r="AH75" i="9"/>
  <c r="Z75" i="9"/>
  <c r="AU75" i="9"/>
  <c r="AK75" i="9"/>
  <c r="AE75" i="9"/>
  <c r="AS75" i="9"/>
  <c r="AJ75" i="9"/>
  <c r="AT75" i="9"/>
  <c r="AL75" i="9"/>
  <c r="AC75" i="9"/>
  <c r="AI75" i="9"/>
  <c r="V74" i="9"/>
  <c r="C76" i="9"/>
  <c r="A76" i="9"/>
  <c r="D76" i="9"/>
  <c r="E77" i="9" a="1"/>
  <c r="E77" i="9" s="1"/>
  <c r="Q75" i="9"/>
  <c r="R75" i="9"/>
  <c r="H75" i="9"/>
  <c r="O75" i="9"/>
  <c r="L75" i="9"/>
  <c r="K75" i="9"/>
  <c r="M75" i="9"/>
  <c r="J75" i="9"/>
  <c r="I75" i="9"/>
  <c r="P75" i="9"/>
  <c r="S75" i="9"/>
  <c r="T75" i="9"/>
  <c r="N75" i="9"/>
  <c r="F75" i="9"/>
  <c r="U75" i="9"/>
  <c r="G75" i="9"/>
  <c r="AQ74" i="9"/>
  <c r="AR74" i="9" s="1"/>
  <c r="BB75" i="9" l="1"/>
  <c r="BC75" i="9" s="1"/>
  <c r="AF75" i="9"/>
  <c r="AS76" i="9"/>
  <c r="AL76" i="9"/>
  <c r="AC76" i="9"/>
  <c r="AZ76" i="9"/>
  <c r="AT76" i="9"/>
  <c r="AI76" i="9"/>
  <c r="AA76" i="9"/>
  <c r="BA76" i="9"/>
  <c r="AJ76" i="9"/>
  <c r="AB76" i="9"/>
  <c r="AW76" i="9"/>
  <c r="AP76" i="9"/>
  <c r="AH76" i="9"/>
  <c r="Z76" i="9"/>
  <c r="AX76" i="9"/>
  <c r="AM76" i="9"/>
  <c r="W76" i="9"/>
  <c r="AU76" i="9"/>
  <c r="AN76" i="9"/>
  <c r="AE76" i="9"/>
  <c r="X76" i="9"/>
  <c r="AV76" i="9"/>
  <c r="AK76" i="9"/>
  <c r="AD76" i="9"/>
  <c r="AY76" i="9"/>
  <c r="AO76" i="9"/>
  <c r="AG76" i="9"/>
  <c r="Y76" i="9"/>
  <c r="AQ75" i="9"/>
  <c r="AR75" i="9" s="1"/>
  <c r="A77" i="9"/>
  <c r="D77" i="9"/>
  <c r="C77" i="9"/>
  <c r="E78" i="9" a="1"/>
  <c r="E78" i="9" s="1"/>
  <c r="V75" i="9"/>
  <c r="J76" i="9"/>
  <c r="P76" i="9"/>
  <c r="R76" i="9"/>
  <c r="I76" i="9"/>
  <c r="T76" i="9"/>
  <c r="F76" i="9"/>
  <c r="Q76" i="9"/>
  <c r="S76" i="9"/>
  <c r="L76" i="9"/>
  <c r="M76" i="9"/>
  <c r="G76" i="9"/>
  <c r="U76" i="9"/>
  <c r="N76" i="9"/>
  <c r="H76" i="9"/>
  <c r="O76" i="9"/>
  <c r="K76" i="9"/>
  <c r="BB76" i="9" l="1"/>
  <c r="BC76" i="9" s="1"/>
  <c r="G77" i="9"/>
  <c r="R77" i="9"/>
  <c r="I77" i="9"/>
  <c r="J77" i="9"/>
  <c r="L77" i="9"/>
  <c r="K77" i="9"/>
  <c r="S77" i="9"/>
  <c r="N77" i="9"/>
  <c r="M77" i="9"/>
  <c r="P77" i="9"/>
  <c r="U77" i="9"/>
  <c r="F77" i="9"/>
  <c r="T77" i="9"/>
  <c r="H77" i="9"/>
  <c r="Q77" i="9"/>
  <c r="O77" i="9"/>
  <c r="AQ76" i="9"/>
  <c r="AR76" i="9" s="1"/>
  <c r="AF76" i="9"/>
  <c r="A78" i="9"/>
  <c r="C78" i="9"/>
  <c r="E79" i="9" a="1"/>
  <c r="E79" i="9" s="1"/>
  <c r="D78" i="9"/>
  <c r="V76" i="9"/>
  <c r="AX77" i="9"/>
  <c r="AP77" i="9"/>
  <c r="AD77" i="9"/>
  <c r="Z77" i="9"/>
  <c r="AL77" i="9"/>
  <c r="AG77" i="9"/>
  <c r="AV77" i="9"/>
  <c r="X77" i="9"/>
  <c r="AU77" i="9"/>
  <c r="AS77" i="9"/>
  <c r="AK77" i="9"/>
  <c r="AJ77" i="9"/>
  <c r="AZ77" i="9"/>
  <c r="AH77" i="9"/>
  <c r="AA77" i="9"/>
  <c r="AI77" i="9"/>
  <c r="AW77" i="9"/>
  <c r="W77" i="9"/>
  <c r="AN77" i="9"/>
  <c r="AE77" i="9"/>
  <c r="AT77" i="9"/>
  <c r="AB77" i="9"/>
  <c r="AY77" i="9"/>
  <c r="AO77" i="9"/>
  <c r="Y77" i="9"/>
  <c r="AM77" i="9"/>
  <c r="BA77" i="9"/>
  <c r="AC77" i="9"/>
  <c r="BB77" i="9" l="1"/>
  <c r="BC77" i="9" s="1"/>
  <c r="AQ77" i="9"/>
  <c r="AR77" i="9" s="1"/>
  <c r="AF77" i="9"/>
  <c r="E80" i="9" a="1"/>
  <c r="E80" i="9" s="1"/>
  <c r="A79" i="9"/>
  <c r="C79" i="9"/>
  <c r="D79" i="9"/>
  <c r="AW78" i="9"/>
  <c r="AM78" i="9"/>
  <c r="W78" i="9"/>
  <c r="AU78" i="9"/>
  <c r="AV78" i="9"/>
  <c r="AK78" i="9"/>
  <c r="AD78" i="9"/>
  <c r="AE78" i="9"/>
  <c r="AT78" i="9"/>
  <c r="AL78" i="9"/>
  <c r="AC78" i="9"/>
  <c r="AB78" i="9"/>
  <c r="BA78" i="9"/>
  <c r="AS78" i="9"/>
  <c r="AI78" i="9"/>
  <c r="AA78" i="9"/>
  <c r="AZ78" i="9"/>
  <c r="AJ78" i="9"/>
  <c r="AY78" i="9"/>
  <c r="AH78" i="9"/>
  <c r="X78" i="9"/>
  <c r="AX78" i="9"/>
  <c r="AO78" i="9"/>
  <c r="AG78" i="9"/>
  <c r="Y78" i="9"/>
  <c r="AP78" i="9"/>
  <c r="Z78" i="9"/>
  <c r="AN78" i="9"/>
  <c r="V77" i="9"/>
  <c r="R78" i="9"/>
  <c r="L78" i="9"/>
  <c r="M78" i="9"/>
  <c r="N78" i="9"/>
  <c r="P78" i="9"/>
  <c r="U78" i="9"/>
  <c r="S78" i="9"/>
  <c r="H78" i="9"/>
  <c r="G78" i="9"/>
  <c r="T78" i="9"/>
  <c r="O78" i="9"/>
  <c r="Q78" i="9"/>
  <c r="J78" i="9"/>
  <c r="I78" i="9"/>
  <c r="K78" i="9"/>
  <c r="F78" i="9"/>
  <c r="BB78" i="9" l="1"/>
  <c r="BC78" i="9" s="1"/>
  <c r="V78" i="9"/>
  <c r="AQ78" i="9"/>
  <c r="AR78" i="9" s="1"/>
  <c r="AV79" i="9"/>
  <c r="AM79" i="9"/>
  <c r="AD79" i="9"/>
  <c r="W79" i="9"/>
  <c r="AY79" i="9"/>
  <c r="AP79" i="9"/>
  <c r="AI79" i="9"/>
  <c r="Z79" i="9"/>
  <c r="AX79" i="9"/>
  <c r="AO79" i="9"/>
  <c r="AG79" i="9"/>
  <c r="X79" i="9"/>
  <c r="AU79" i="9"/>
  <c r="AK79" i="9"/>
  <c r="AE79" i="9"/>
  <c r="AT79" i="9"/>
  <c r="AL79" i="9"/>
  <c r="AC79" i="9"/>
  <c r="AN79" i="9"/>
  <c r="AW79" i="9"/>
  <c r="BA79" i="9"/>
  <c r="AS79" i="9"/>
  <c r="AJ79" i="9"/>
  <c r="AA79" i="9"/>
  <c r="AZ79" i="9"/>
  <c r="AH79" i="9"/>
  <c r="AB79" i="9"/>
  <c r="Y79" i="9"/>
  <c r="Q79" i="9"/>
  <c r="F79" i="9"/>
  <c r="M79" i="9"/>
  <c r="P79" i="9"/>
  <c r="G79" i="9"/>
  <c r="K79" i="9"/>
  <c r="L79" i="9"/>
  <c r="S79" i="9"/>
  <c r="O79" i="9"/>
  <c r="I79" i="9"/>
  <c r="T79" i="9"/>
  <c r="J79" i="9"/>
  <c r="R79" i="9"/>
  <c r="U79" i="9"/>
  <c r="H79" i="9"/>
  <c r="N79" i="9"/>
  <c r="AF78" i="9"/>
  <c r="D80" i="9"/>
  <c r="E81" i="9" a="1"/>
  <c r="E81" i="9" s="1"/>
  <c r="A80" i="9"/>
  <c r="C80" i="9"/>
  <c r="BB79" i="9" l="1"/>
  <c r="BC79" i="9" s="1"/>
  <c r="AF79" i="9"/>
  <c r="AX80" i="9"/>
  <c r="AO80" i="9"/>
  <c r="AG80" i="9"/>
  <c r="Y80" i="9"/>
  <c r="AE80" i="9"/>
  <c r="AM80" i="9"/>
  <c r="AU80" i="9"/>
  <c r="AT80" i="9"/>
  <c r="AK80" i="9"/>
  <c r="AC80" i="9"/>
  <c r="AI80" i="9"/>
  <c r="AB80" i="9"/>
  <c r="AY80" i="9"/>
  <c r="AH80" i="9"/>
  <c r="AN80" i="9"/>
  <c r="X80" i="9"/>
  <c r="AV80" i="9"/>
  <c r="W80" i="9"/>
  <c r="BA80" i="9"/>
  <c r="AS80" i="9"/>
  <c r="AJ80" i="9"/>
  <c r="AA80" i="9"/>
  <c r="AZ80" i="9"/>
  <c r="AP80" i="9"/>
  <c r="Z80" i="9"/>
  <c r="AW80" i="9"/>
  <c r="AL80" i="9"/>
  <c r="AD80" i="9"/>
  <c r="O80" i="9"/>
  <c r="U80" i="9"/>
  <c r="P80" i="9"/>
  <c r="L80" i="9"/>
  <c r="R80" i="9"/>
  <c r="K80" i="9"/>
  <c r="N80" i="9"/>
  <c r="T80" i="9"/>
  <c r="F80" i="9"/>
  <c r="G80" i="9"/>
  <c r="S80" i="9"/>
  <c r="Q80" i="9"/>
  <c r="M80" i="9"/>
  <c r="H80" i="9"/>
  <c r="I80" i="9"/>
  <c r="J80" i="9"/>
  <c r="E82" i="9" a="1"/>
  <c r="E82" i="9" s="1"/>
  <c r="A81" i="9"/>
  <c r="D81" i="9"/>
  <c r="C81" i="9"/>
  <c r="V79" i="9"/>
  <c r="AQ79" i="9"/>
  <c r="AR79" i="9" s="1"/>
  <c r="BB80" i="9" l="1"/>
  <c r="BC80" i="9" s="1"/>
  <c r="M81" i="9"/>
  <c r="G81" i="9"/>
  <c r="U81" i="9"/>
  <c r="S81" i="9"/>
  <c r="K81" i="9"/>
  <c r="H81" i="9"/>
  <c r="T81" i="9"/>
  <c r="P81" i="9"/>
  <c r="J81" i="9"/>
  <c r="L81" i="9"/>
  <c r="F81" i="9"/>
  <c r="N81" i="9"/>
  <c r="Q81" i="9"/>
  <c r="R81" i="9"/>
  <c r="O81" i="9"/>
  <c r="I81" i="9"/>
  <c r="A82" i="9"/>
  <c r="E83" i="9" a="1"/>
  <c r="E83" i="9" s="1"/>
  <c r="C82" i="9"/>
  <c r="D82" i="9"/>
  <c r="V80" i="9"/>
  <c r="AQ80" i="9"/>
  <c r="AR80" i="9" s="1"/>
  <c r="AX81" i="9"/>
  <c r="AP81" i="9"/>
  <c r="AH81" i="9"/>
  <c r="Z81" i="9"/>
  <c r="AU81" i="9"/>
  <c r="AL81" i="9"/>
  <c r="AD81" i="9"/>
  <c r="AC81" i="9"/>
  <c r="AS81" i="9"/>
  <c r="AW81" i="9"/>
  <c r="AM81" i="9"/>
  <c r="W81" i="9"/>
  <c r="AV81" i="9"/>
  <c r="AN81" i="9"/>
  <c r="AE81" i="9"/>
  <c r="X81" i="9"/>
  <c r="AJ81" i="9"/>
  <c r="Y81" i="9"/>
  <c r="BA81" i="9"/>
  <c r="AA81" i="9"/>
  <c r="AT81" i="9"/>
  <c r="AK81" i="9"/>
  <c r="AY81" i="9"/>
  <c r="AG81" i="9"/>
  <c r="AZ81" i="9"/>
  <c r="AI81" i="9"/>
  <c r="AB81" i="9"/>
  <c r="AO81" i="9"/>
  <c r="AF80" i="9"/>
  <c r="BB81" i="9" l="1"/>
  <c r="BC81" i="9" s="1"/>
  <c r="AF81" i="9"/>
  <c r="AW82" i="9"/>
  <c r="AO82" i="9"/>
  <c r="X82" i="9"/>
  <c r="AT82" i="9"/>
  <c r="AC82" i="9"/>
  <c r="AV82" i="9"/>
  <c r="AM82" i="9"/>
  <c r="AD82" i="9"/>
  <c r="W82" i="9"/>
  <c r="AU82" i="9"/>
  <c r="AL82" i="9"/>
  <c r="AE82" i="9"/>
  <c r="AK82" i="9"/>
  <c r="AA82" i="9"/>
  <c r="AX82" i="9"/>
  <c r="AN82" i="9"/>
  <c r="AG82" i="9"/>
  <c r="Z82" i="9"/>
  <c r="BA82" i="9"/>
  <c r="AJ82" i="9"/>
  <c r="AS82" i="9"/>
  <c r="AZ82" i="9"/>
  <c r="AP82" i="9"/>
  <c r="AH82" i="9"/>
  <c r="AB82" i="9"/>
  <c r="AY82" i="9"/>
  <c r="AI82" i="9"/>
  <c r="Y82" i="9"/>
  <c r="V81" i="9"/>
  <c r="E84" i="9" a="1"/>
  <c r="E84" i="9" s="1"/>
  <c r="A83" i="9"/>
  <c r="C83" i="9"/>
  <c r="D83" i="9"/>
  <c r="AQ81" i="9"/>
  <c r="AR81" i="9" s="1"/>
  <c r="U82" i="9"/>
  <c r="T82" i="9"/>
  <c r="K82" i="9"/>
  <c r="M82" i="9"/>
  <c r="F82" i="9"/>
  <c r="H82" i="9"/>
  <c r="G82" i="9"/>
  <c r="L82" i="9"/>
  <c r="P82" i="9"/>
  <c r="I82" i="9"/>
  <c r="N82" i="9"/>
  <c r="O82" i="9"/>
  <c r="J82" i="9"/>
  <c r="Q82" i="9"/>
  <c r="S82" i="9"/>
  <c r="R82" i="9"/>
  <c r="BB82" i="9" l="1"/>
  <c r="BC82" i="9" s="1"/>
  <c r="AY83" i="9"/>
  <c r="AO83" i="9"/>
  <c r="AG83" i="9"/>
  <c r="Z83" i="9"/>
  <c r="AV83" i="9"/>
  <c r="AN83" i="9"/>
  <c r="X83" i="9"/>
  <c r="AW83" i="9"/>
  <c r="AD83" i="9"/>
  <c r="AS83" i="9"/>
  <c r="AA83" i="9"/>
  <c r="AM83" i="9"/>
  <c r="W83" i="9"/>
  <c r="AZ83" i="9"/>
  <c r="AJ83" i="9"/>
  <c r="AT83" i="9"/>
  <c r="AL83" i="9"/>
  <c r="AE83" i="9"/>
  <c r="AU83" i="9"/>
  <c r="AK83" i="9"/>
  <c r="AC83" i="9"/>
  <c r="BA83" i="9"/>
  <c r="AI83" i="9"/>
  <c r="AB83" i="9"/>
  <c r="AX83" i="9"/>
  <c r="AP83" i="9"/>
  <c r="AH83" i="9"/>
  <c r="Y83" i="9"/>
  <c r="D84" i="9"/>
  <c r="E85" i="9" a="1"/>
  <c r="E85" i="9" s="1"/>
  <c r="A84" i="9"/>
  <c r="C84" i="9"/>
  <c r="AF82" i="9"/>
  <c r="AQ82" i="9"/>
  <c r="AR82" i="9" s="1"/>
  <c r="V82" i="9"/>
  <c r="I83" i="9"/>
  <c r="O83" i="9"/>
  <c r="Q83" i="9"/>
  <c r="P83" i="9"/>
  <c r="H83" i="9"/>
  <c r="N83" i="9"/>
  <c r="S83" i="9"/>
  <c r="T83" i="9"/>
  <c r="R83" i="9"/>
  <c r="G83" i="9"/>
  <c r="K83" i="9"/>
  <c r="J83" i="9"/>
  <c r="L83" i="9"/>
  <c r="F83" i="9"/>
  <c r="U83" i="9"/>
  <c r="M83" i="9"/>
  <c r="BB83" i="9" l="1"/>
  <c r="BC83" i="9" s="1"/>
  <c r="V83" i="9"/>
  <c r="AX84" i="9"/>
  <c r="AP84" i="9"/>
  <c r="AH84" i="9"/>
  <c r="Z84" i="9"/>
  <c r="BA84" i="9"/>
  <c r="AS84" i="9"/>
  <c r="AA84" i="9"/>
  <c r="AV84" i="9"/>
  <c r="AN84" i="9"/>
  <c r="AE84" i="9"/>
  <c r="X84" i="9"/>
  <c r="AT84" i="9"/>
  <c r="AJ84" i="9"/>
  <c r="AK84" i="9"/>
  <c r="AU84" i="9"/>
  <c r="AL84" i="9"/>
  <c r="AD84" i="9"/>
  <c r="AC84" i="9"/>
  <c r="AZ84" i="9"/>
  <c r="AI84" i="9"/>
  <c r="AB84" i="9"/>
  <c r="AY84" i="9"/>
  <c r="AG84" i="9"/>
  <c r="Y84" i="9"/>
  <c r="AO84" i="9"/>
  <c r="AW84" i="9"/>
  <c r="AM84" i="9"/>
  <c r="W84" i="9"/>
  <c r="AQ83" i="9"/>
  <c r="AR83" i="9" s="1"/>
  <c r="AF83" i="9"/>
  <c r="D85" i="9"/>
  <c r="E86" i="9" a="1"/>
  <c r="E86" i="9" s="1"/>
  <c r="A85" i="9"/>
  <c r="C85" i="9"/>
  <c r="I84" i="9"/>
  <c r="N84" i="9"/>
  <c r="R84" i="9"/>
  <c r="S84" i="9"/>
  <c r="F84" i="9"/>
  <c r="J84" i="9"/>
  <c r="O84" i="9"/>
  <c r="K84" i="9"/>
  <c r="U84" i="9"/>
  <c r="T84" i="9"/>
  <c r="Q84" i="9"/>
  <c r="G84" i="9"/>
  <c r="H84" i="9"/>
  <c r="M84" i="9"/>
  <c r="P84" i="9"/>
  <c r="L84" i="9"/>
  <c r="BB84" i="9" l="1"/>
  <c r="BC84" i="9" s="1"/>
  <c r="V84" i="9"/>
  <c r="M85" i="9"/>
  <c r="K85" i="9"/>
  <c r="Q85" i="9"/>
  <c r="P85" i="9"/>
  <c r="U85" i="9"/>
  <c r="G85" i="9"/>
  <c r="I85" i="9"/>
  <c r="F85" i="9"/>
  <c r="N85" i="9"/>
  <c r="O85" i="9"/>
  <c r="S85" i="9"/>
  <c r="H85" i="9"/>
  <c r="T85" i="9"/>
  <c r="R85" i="9"/>
  <c r="J85" i="9"/>
  <c r="L85" i="9"/>
  <c r="AQ84" i="9"/>
  <c r="AR84" i="9" s="1"/>
  <c r="AF84" i="9"/>
  <c r="AW85" i="9"/>
  <c r="AP85" i="9"/>
  <c r="AD85" i="9"/>
  <c r="Z85" i="9"/>
  <c r="AY85" i="9"/>
  <c r="AI85" i="9"/>
  <c r="BA85" i="9"/>
  <c r="AS85" i="9"/>
  <c r="AJ85" i="9"/>
  <c r="AC85" i="9"/>
  <c r="AA85" i="9"/>
  <c r="AV85" i="9"/>
  <c r="AN85" i="9"/>
  <c r="X85" i="9"/>
  <c r="AE85" i="9"/>
  <c r="AU85" i="9"/>
  <c r="AK85" i="9"/>
  <c r="AL85" i="9"/>
  <c r="AB85" i="9"/>
  <c r="AT85" i="9"/>
  <c r="AZ85" i="9"/>
  <c r="AO85" i="9"/>
  <c r="AH85" i="9"/>
  <c r="Y85" i="9"/>
  <c r="AX85" i="9"/>
  <c r="AM85" i="9"/>
  <c r="AG85" i="9"/>
  <c r="W85" i="9"/>
  <c r="A86" i="9"/>
  <c r="C86" i="9"/>
  <c r="E87" i="9" a="1"/>
  <c r="E87" i="9" s="1"/>
  <c r="D86" i="9"/>
  <c r="BB85" i="9" l="1"/>
  <c r="BC85" i="9" s="1"/>
  <c r="A87" i="9"/>
  <c r="C87" i="9"/>
  <c r="D87" i="9"/>
  <c r="E88" i="9" a="1"/>
  <c r="E88" i="9" s="1"/>
  <c r="AU86" i="9"/>
  <c r="AM86" i="9"/>
  <c r="AD86" i="9"/>
  <c r="W86" i="9"/>
  <c r="AV86" i="9"/>
  <c r="AL86" i="9"/>
  <c r="AE86" i="9"/>
  <c r="AK86" i="9"/>
  <c r="AZ86" i="9"/>
  <c r="AT86" i="9"/>
  <c r="AJ86" i="9"/>
  <c r="AB86" i="9"/>
  <c r="AC86" i="9"/>
  <c r="BA86" i="9"/>
  <c r="AI86" i="9"/>
  <c r="AA86" i="9"/>
  <c r="Y86" i="9"/>
  <c r="AN86" i="9"/>
  <c r="X86" i="9"/>
  <c r="AS86" i="9"/>
  <c r="AX86" i="9"/>
  <c r="AP86" i="9"/>
  <c r="AH86" i="9"/>
  <c r="Z86" i="9"/>
  <c r="AY86" i="9"/>
  <c r="AO86" i="9"/>
  <c r="AG86" i="9"/>
  <c r="AW86" i="9"/>
  <c r="AF85" i="9"/>
  <c r="AQ85" i="9"/>
  <c r="AR85" i="9" s="1"/>
  <c r="V85" i="9"/>
  <c r="P86" i="9"/>
  <c r="U86" i="9"/>
  <c r="Q86" i="9"/>
  <c r="H86" i="9"/>
  <c r="R86" i="9"/>
  <c r="M86" i="9"/>
  <c r="I86" i="9"/>
  <c r="K86" i="9"/>
  <c r="N86" i="9"/>
  <c r="F86" i="9"/>
  <c r="S86" i="9"/>
  <c r="T86" i="9"/>
  <c r="G86" i="9"/>
  <c r="O86" i="9"/>
  <c r="J86" i="9"/>
  <c r="L86" i="9"/>
  <c r="BB86" i="9" l="1"/>
  <c r="BC86" i="9" s="1"/>
  <c r="AF86" i="9"/>
  <c r="V86" i="9"/>
  <c r="E89" i="9" a="1"/>
  <c r="E89" i="9" s="1"/>
  <c r="C88" i="9"/>
  <c r="D88" i="9"/>
  <c r="A88" i="9"/>
  <c r="AQ86" i="9"/>
  <c r="AR86" i="9" s="1"/>
  <c r="AX87" i="9"/>
  <c r="AO87" i="9"/>
  <c r="AG87" i="9"/>
  <c r="Y87" i="9"/>
  <c r="AW87" i="9"/>
  <c r="AN87" i="9"/>
  <c r="X87" i="9"/>
  <c r="AD87" i="9"/>
  <c r="AT87" i="9"/>
  <c r="AK87" i="9"/>
  <c r="AY87" i="9"/>
  <c r="AI87" i="9"/>
  <c r="AA87" i="9"/>
  <c r="AV87" i="9"/>
  <c r="AM87" i="9"/>
  <c r="W87" i="9"/>
  <c r="AB87" i="9"/>
  <c r="AU87" i="9"/>
  <c r="AL87" i="9"/>
  <c r="AE87" i="9"/>
  <c r="AZ87" i="9"/>
  <c r="AP87" i="9"/>
  <c r="AH87" i="9"/>
  <c r="Z87" i="9"/>
  <c r="BA87" i="9"/>
  <c r="AS87" i="9"/>
  <c r="AJ87" i="9"/>
  <c r="AC87" i="9"/>
  <c r="M87" i="9"/>
  <c r="T87" i="9"/>
  <c r="F87" i="9"/>
  <c r="G87" i="9"/>
  <c r="K87" i="9"/>
  <c r="I87" i="9"/>
  <c r="U87" i="9"/>
  <c r="S87" i="9"/>
  <c r="N87" i="9"/>
  <c r="J87" i="9"/>
  <c r="P87" i="9"/>
  <c r="H87" i="9"/>
  <c r="L87" i="9"/>
  <c r="O87" i="9"/>
  <c r="Q87" i="9"/>
  <c r="R87" i="9"/>
  <c r="BB87" i="9" l="1"/>
  <c r="BC87" i="9" s="1"/>
  <c r="AF87" i="9"/>
  <c r="I88" i="9"/>
  <c r="F88" i="9"/>
  <c r="Q88" i="9"/>
  <c r="N88" i="9"/>
  <c r="J88" i="9"/>
  <c r="T88" i="9"/>
  <c r="K88" i="9"/>
  <c r="M88" i="9"/>
  <c r="G88" i="9"/>
  <c r="R88" i="9"/>
  <c r="H88" i="9"/>
  <c r="O88" i="9"/>
  <c r="U88" i="9"/>
  <c r="P88" i="9"/>
  <c r="S88" i="9"/>
  <c r="L88" i="9"/>
  <c r="V87" i="9"/>
  <c r="AX88" i="9"/>
  <c r="AP88" i="9"/>
  <c r="AH88" i="9"/>
  <c r="Z88" i="9"/>
  <c r="AW88" i="9"/>
  <c r="AM88" i="9"/>
  <c r="W88" i="9"/>
  <c r="AV88" i="9"/>
  <c r="AN88" i="9"/>
  <c r="AE88" i="9"/>
  <c r="X88" i="9"/>
  <c r="AU88" i="9"/>
  <c r="AK88" i="9"/>
  <c r="AT88" i="9"/>
  <c r="AC88" i="9"/>
  <c r="AZ88" i="9"/>
  <c r="AJ88" i="9"/>
  <c r="AB88" i="9"/>
  <c r="AD88" i="9"/>
  <c r="AG88" i="9"/>
  <c r="AL88" i="9"/>
  <c r="AS88" i="9"/>
  <c r="AA88" i="9"/>
  <c r="AY88" i="9"/>
  <c r="AO88" i="9"/>
  <c r="Y88" i="9"/>
  <c r="BA88" i="9"/>
  <c r="AI88" i="9"/>
  <c r="AQ87" i="9"/>
  <c r="AR87" i="9" s="1"/>
  <c r="E90" i="9" a="1"/>
  <c r="E90" i="9" s="1"/>
  <c r="A89" i="9"/>
  <c r="D89" i="9"/>
  <c r="C89" i="9"/>
  <c r="BB88" i="9" l="1"/>
  <c r="BC88" i="9" s="1"/>
  <c r="AQ88" i="9"/>
  <c r="AR88" i="9" s="1"/>
  <c r="AF88" i="9"/>
  <c r="E91" i="9" a="1"/>
  <c r="E91" i="9" s="1"/>
  <c r="D90" i="9"/>
  <c r="C90" i="9"/>
  <c r="A90" i="9"/>
  <c r="V88" i="9"/>
  <c r="AX89" i="9"/>
  <c r="AN89" i="9"/>
  <c r="X89" i="9"/>
  <c r="AU89" i="9"/>
  <c r="AM89" i="9"/>
  <c r="AD89" i="9"/>
  <c r="W89" i="9"/>
  <c r="AO89" i="9"/>
  <c r="AV89" i="9"/>
  <c r="AL89" i="9"/>
  <c r="AE89" i="9"/>
  <c r="AS89" i="9"/>
  <c r="AK89" i="9"/>
  <c r="AC89" i="9"/>
  <c r="AT89" i="9"/>
  <c r="BA89" i="9"/>
  <c r="AH89" i="9"/>
  <c r="AZ89" i="9"/>
  <c r="AJ89" i="9"/>
  <c r="AA89" i="9"/>
  <c r="AB89" i="9"/>
  <c r="AY89" i="9"/>
  <c r="AP89" i="9"/>
  <c r="AI89" i="9"/>
  <c r="Z89" i="9"/>
  <c r="AW89" i="9"/>
  <c r="AG89" i="9"/>
  <c r="Y89" i="9"/>
  <c r="U89" i="9"/>
  <c r="R89" i="9"/>
  <c r="G89" i="9"/>
  <c r="Q89" i="9"/>
  <c r="M89" i="9"/>
  <c r="O89" i="9"/>
  <c r="J89" i="9"/>
  <c r="K89" i="9"/>
  <c r="H89" i="9"/>
  <c r="S89" i="9"/>
  <c r="L89" i="9"/>
  <c r="N89" i="9"/>
  <c r="P89" i="9"/>
  <c r="F89" i="9"/>
  <c r="T89" i="9"/>
  <c r="I89" i="9"/>
  <c r="BB89" i="9" l="1"/>
  <c r="BC89" i="9" s="1"/>
  <c r="AQ89" i="9"/>
  <c r="AR89" i="9" s="1"/>
  <c r="I90" i="9"/>
  <c r="S90" i="9"/>
  <c r="L90" i="9"/>
  <c r="F90" i="9"/>
  <c r="K90" i="9"/>
  <c r="Q90" i="9"/>
  <c r="M90" i="9"/>
  <c r="J90" i="9"/>
  <c r="H90" i="9"/>
  <c r="U90" i="9"/>
  <c r="R90" i="9"/>
  <c r="N90" i="9"/>
  <c r="O90" i="9"/>
  <c r="T90" i="9"/>
  <c r="G90" i="9"/>
  <c r="P90" i="9"/>
  <c r="AW90" i="9"/>
  <c r="AM90" i="9"/>
  <c r="AG90" i="9"/>
  <c r="W90" i="9"/>
  <c r="AK90" i="9"/>
  <c r="AZ90" i="9"/>
  <c r="AH90" i="9"/>
  <c r="AA90" i="9"/>
  <c r="AV90" i="9"/>
  <c r="AN90" i="9"/>
  <c r="X90" i="9"/>
  <c r="AU90" i="9"/>
  <c r="AL90" i="9"/>
  <c r="AE90" i="9"/>
  <c r="BA90" i="9"/>
  <c r="AS90" i="9"/>
  <c r="AC90" i="9"/>
  <c r="AT90" i="9"/>
  <c r="AJ90" i="9"/>
  <c r="AB90" i="9"/>
  <c r="AX90" i="9"/>
  <c r="AP90" i="9"/>
  <c r="AD90" i="9"/>
  <c r="Z90" i="9"/>
  <c r="AY90" i="9"/>
  <c r="AO90" i="9"/>
  <c r="AI90" i="9"/>
  <c r="Y90" i="9"/>
  <c r="A91" i="9"/>
  <c r="C91" i="9"/>
  <c r="E92" i="9" a="1"/>
  <c r="E92" i="9" s="1"/>
  <c r="D91" i="9"/>
  <c r="AF89" i="9"/>
  <c r="V89" i="9"/>
  <c r="BB90" i="9" l="1"/>
  <c r="BC90" i="9" s="1"/>
  <c r="K91" i="9"/>
  <c r="F91" i="9"/>
  <c r="G91" i="9"/>
  <c r="S91" i="9"/>
  <c r="R91" i="9"/>
  <c r="L91" i="9"/>
  <c r="H91" i="9"/>
  <c r="N91" i="9"/>
  <c r="U91" i="9"/>
  <c r="I91" i="9"/>
  <c r="Q91" i="9"/>
  <c r="O91" i="9"/>
  <c r="T91" i="9"/>
  <c r="J91" i="9"/>
  <c r="P91" i="9"/>
  <c r="M91" i="9"/>
  <c r="AW91" i="9"/>
  <c r="AN91" i="9"/>
  <c r="X91" i="9"/>
  <c r="AL91" i="9"/>
  <c r="AV91" i="9"/>
  <c r="AM91" i="9"/>
  <c r="AD91" i="9"/>
  <c r="W91" i="9"/>
  <c r="AU91" i="9"/>
  <c r="AE91" i="9"/>
  <c r="BA91" i="9"/>
  <c r="AJ91" i="9"/>
  <c r="AP91" i="9"/>
  <c r="AA91" i="9"/>
  <c r="AX91" i="9"/>
  <c r="AG91" i="9"/>
  <c r="AT91" i="9"/>
  <c r="AK91" i="9"/>
  <c r="AC91" i="9"/>
  <c r="AS91" i="9"/>
  <c r="AB91" i="9"/>
  <c r="AZ91" i="9"/>
  <c r="AI91" i="9"/>
  <c r="AO91" i="9"/>
  <c r="Y91" i="9"/>
  <c r="AY91" i="9"/>
  <c r="AH91" i="9"/>
  <c r="Z91" i="9"/>
  <c r="V90" i="9"/>
  <c r="AQ90" i="9"/>
  <c r="AR90" i="9" s="1"/>
  <c r="AF90" i="9"/>
  <c r="E93" i="9" a="1"/>
  <c r="E93" i="9" s="1"/>
  <c r="C92" i="9"/>
  <c r="D92" i="9"/>
  <c r="A92" i="9"/>
  <c r="BB91" i="9" l="1"/>
  <c r="BC91" i="9" s="1"/>
  <c r="AF91" i="9"/>
  <c r="M92" i="9"/>
  <c r="H92" i="9"/>
  <c r="U92" i="9"/>
  <c r="T92" i="9"/>
  <c r="I92" i="9"/>
  <c r="O92" i="9"/>
  <c r="S92" i="9"/>
  <c r="F92" i="9"/>
  <c r="Q92" i="9"/>
  <c r="N92" i="9"/>
  <c r="K92" i="9"/>
  <c r="G92" i="9"/>
  <c r="J92" i="9"/>
  <c r="L92" i="9"/>
  <c r="R92" i="9"/>
  <c r="P92" i="9"/>
  <c r="BA92" i="9"/>
  <c r="AU92" i="9"/>
  <c r="AN92" i="9"/>
  <c r="AE92" i="9"/>
  <c r="X92" i="9"/>
  <c r="AV92" i="9"/>
  <c r="AL92" i="9"/>
  <c r="AD92" i="9"/>
  <c r="AS92" i="9"/>
  <c r="AJ92" i="9"/>
  <c r="AC92" i="9"/>
  <c r="AW92" i="9"/>
  <c r="AP92" i="9"/>
  <c r="Z92" i="9"/>
  <c r="AX92" i="9"/>
  <c r="AT92" i="9"/>
  <c r="AK92" i="9"/>
  <c r="AA92" i="9"/>
  <c r="AH92" i="9"/>
  <c r="AM92" i="9"/>
  <c r="W92" i="9"/>
  <c r="AY92" i="9"/>
  <c r="AI92" i="9"/>
  <c r="AB92" i="9"/>
  <c r="AZ92" i="9"/>
  <c r="AO92" i="9"/>
  <c r="AG92" i="9"/>
  <c r="Y92" i="9"/>
  <c r="E94" i="9" a="1"/>
  <c r="E94" i="9" s="1"/>
  <c r="A93" i="9"/>
  <c r="C93" i="9"/>
  <c r="D93" i="9"/>
  <c r="AQ91" i="9"/>
  <c r="AR91" i="9" s="1"/>
  <c r="V91" i="9"/>
  <c r="BB92" i="9" l="1"/>
  <c r="BC92" i="9" s="1"/>
  <c r="V92" i="9"/>
  <c r="AE93" i="9"/>
  <c r="AT93" i="9"/>
  <c r="AK93" i="9"/>
  <c r="AC93" i="9"/>
  <c r="BA93" i="9"/>
  <c r="AS93" i="9"/>
  <c r="AJ93" i="9"/>
  <c r="AA93" i="9"/>
  <c r="AN93" i="9"/>
  <c r="X93" i="9"/>
  <c r="AV93" i="9"/>
  <c r="AM93" i="9"/>
  <c r="W93" i="9"/>
  <c r="AZ93" i="9"/>
  <c r="AP93" i="9"/>
  <c r="AH93" i="9"/>
  <c r="AB93" i="9"/>
  <c r="AW93" i="9"/>
  <c r="AY93" i="9"/>
  <c r="AI93" i="9"/>
  <c r="Z93" i="9"/>
  <c r="AX93" i="9"/>
  <c r="AO93" i="9"/>
  <c r="AG93" i="9"/>
  <c r="Y93" i="9"/>
  <c r="AD93" i="9"/>
  <c r="AU93" i="9"/>
  <c r="AL93" i="9"/>
  <c r="AQ92" i="9"/>
  <c r="AR92" i="9" s="1"/>
  <c r="AF92" i="9"/>
  <c r="D94" i="9"/>
  <c r="A94" i="9"/>
  <c r="C94" i="9"/>
  <c r="E95" i="9" a="1"/>
  <c r="E95" i="9" s="1"/>
  <c r="S93" i="9"/>
  <c r="P93" i="9"/>
  <c r="L93" i="9"/>
  <c r="Q93" i="9"/>
  <c r="G93" i="9"/>
  <c r="I93" i="9"/>
  <c r="N93" i="9"/>
  <c r="T93" i="9"/>
  <c r="R93" i="9"/>
  <c r="M93" i="9"/>
  <c r="F93" i="9"/>
  <c r="U93" i="9"/>
  <c r="J93" i="9"/>
  <c r="O93" i="9"/>
  <c r="K93" i="9"/>
  <c r="H93" i="9"/>
  <c r="BB93" i="9" l="1"/>
  <c r="BC93" i="9" s="1"/>
  <c r="AQ93" i="9"/>
  <c r="AR93" i="9" s="1"/>
  <c r="V93" i="9"/>
  <c r="C95" i="9"/>
  <c r="E96" i="9" a="1"/>
  <c r="E96" i="9" s="1"/>
  <c r="D95" i="9"/>
  <c r="A95" i="9"/>
  <c r="AF93" i="9"/>
  <c r="AY94" i="9"/>
  <c r="AH94" i="9"/>
  <c r="AV94" i="9"/>
  <c r="AK94" i="9"/>
  <c r="AE94" i="9"/>
  <c r="AB94" i="9"/>
  <c r="AT94" i="9"/>
  <c r="AL94" i="9"/>
  <c r="AC94" i="9"/>
  <c r="AZ94" i="9"/>
  <c r="AO94" i="9"/>
  <c r="AI94" i="9"/>
  <c r="Y94" i="9"/>
  <c r="AG94" i="9"/>
  <c r="AU94" i="9"/>
  <c r="AN94" i="9"/>
  <c r="AS94" i="9"/>
  <c r="AA94" i="9"/>
  <c r="AW94" i="9"/>
  <c r="AP94" i="9"/>
  <c r="AD94" i="9"/>
  <c r="Z94" i="9"/>
  <c r="AX94" i="9"/>
  <c r="AM94" i="9"/>
  <c r="W94" i="9"/>
  <c r="X94" i="9"/>
  <c r="BA94" i="9"/>
  <c r="AJ94" i="9"/>
  <c r="F94" i="9"/>
  <c r="Q94" i="9"/>
  <c r="P94" i="9"/>
  <c r="J94" i="9"/>
  <c r="S94" i="9"/>
  <c r="M94" i="9"/>
  <c r="N94" i="9"/>
  <c r="T94" i="9"/>
  <c r="L94" i="9"/>
  <c r="I94" i="9"/>
  <c r="R94" i="9"/>
  <c r="G94" i="9"/>
  <c r="H94" i="9"/>
  <c r="O94" i="9"/>
  <c r="K94" i="9"/>
  <c r="U94" i="9"/>
  <c r="BB94" i="9" l="1"/>
  <c r="BC94" i="9" s="1"/>
  <c r="I95" i="9"/>
  <c r="R95" i="9"/>
  <c r="Q95" i="9"/>
  <c r="K95" i="9"/>
  <c r="J95" i="9"/>
  <c r="S95" i="9"/>
  <c r="G95" i="9"/>
  <c r="N95" i="9"/>
  <c r="U95" i="9"/>
  <c r="L95" i="9"/>
  <c r="T95" i="9"/>
  <c r="O95" i="9"/>
  <c r="P95" i="9"/>
  <c r="M95" i="9"/>
  <c r="H95" i="9"/>
  <c r="F95" i="9"/>
  <c r="V94" i="9"/>
  <c r="E97" i="9" a="1"/>
  <c r="E97" i="9" s="1"/>
  <c r="A96" i="9"/>
  <c r="C96" i="9"/>
  <c r="D96" i="9"/>
  <c r="AQ94" i="9"/>
  <c r="AR94" i="9" s="1"/>
  <c r="AX95" i="9"/>
  <c r="AO95" i="9"/>
  <c r="AG95" i="9"/>
  <c r="Y95" i="9"/>
  <c r="AW95" i="9"/>
  <c r="X95" i="9"/>
  <c r="AV95" i="9"/>
  <c r="AD95" i="9"/>
  <c r="AL95" i="9"/>
  <c r="AK95" i="9"/>
  <c r="AN95" i="9"/>
  <c r="AM95" i="9"/>
  <c r="W95" i="9"/>
  <c r="AE95" i="9"/>
  <c r="AT95" i="9"/>
  <c r="AC95" i="9"/>
  <c r="BA95" i="9"/>
  <c r="AS95" i="9"/>
  <c r="AA95" i="9"/>
  <c r="AU95" i="9"/>
  <c r="AJ95" i="9"/>
  <c r="AY95" i="9"/>
  <c r="AH95" i="9"/>
  <c r="Z95" i="9"/>
  <c r="AZ95" i="9"/>
  <c r="AP95" i="9"/>
  <c r="AI95" i="9"/>
  <c r="AB95" i="9"/>
  <c r="AF94" i="9"/>
  <c r="BB95" i="9" l="1"/>
  <c r="BC95" i="9" s="1"/>
  <c r="V95" i="9"/>
  <c r="AF95" i="9"/>
  <c r="AX96" i="9"/>
  <c r="AP96" i="9"/>
  <c r="AD96" i="9"/>
  <c r="Z96" i="9"/>
  <c r="AW96" i="9"/>
  <c r="AM96" i="9"/>
  <c r="AG96" i="9"/>
  <c r="W96" i="9"/>
  <c r="AV96" i="9"/>
  <c r="AN96" i="9"/>
  <c r="X96" i="9"/>
  <c r="AU96" i="9"/>
  <c r="AE96" i="9"/>
  <c r="AK96" i="9"/>
  <c r="AL96" i="9"/>
  <c r="BA96" i="9"/>
  <c r="AC96" i="9"/>
  <c r="AT96" i="9"/>
  <c r="AJ96" i="9"/>
  <c r="AB96" i="9"/>
  <c r="AZ96" i="9"/>
  <c r="AI96" i="9"/>
  <c r="AA96" i="9"/>
  <c r="AY96" i="9"/>
  <c r="AO96" i="9"/>
  <c r="AH96" i="9"/>
  <c r="Y96" i="9"/>
  <c r="AS96" i="9"/>
  <c r="Q96" i="9"/>
  <c r="N96" i="9"/>
  <c r="J96" i="9"/>
  <c r="H96" i="9"/>
  <c r="R96" i="9"/>
  <c r="G96" i="9"/>
  <c r="P96" i="9"/>
  <c r="K96" i="9"/>
  <c r="O96" i="9"/>
  <c r="S96" i="9"/>
  <c r="T96" i="9"/>
  <c r="U96" i="9"/>
  <c r="L96" i="9"/>
  <c r="I96" i="9"/>
  <c r="F96" i="9"/>
  <c r="M96" i="9"/>
  <c r="C97" i="9"/>
  <c r="E98" i="9" a="1"/>
  <c r="E98" i="9" s="1"/>
  <c r="A97" i="9"/>
  <c r="D97" i="9"/>
  <c r="AQ95" i="9"/>
  <c r="AR95" i="9" s="1"/>
  <c r="BB96" i="9" l="1"/>
  <c r="BC96" i="9" s="1"/>
  <c r="V96" i="9"/>
  <c r="AW97" i="9"/>
  <c r="AO97" i="9"/>
  <c r="AG97" i="9"/>
  <c r="Y97" i="9"/>
  <c r="AX97" i="9"/>
  <c r="AN97" i="9"/>
  <c r="X97" i="9"/>
  <c r="AZ97" i="9"/>
  <c r="AT97" i="9"/>
  <c r="AI97" i="9"/>
  <c r="AA97" i="9"/>
  <c r="BA97" i="9"/>
  <c r="AJ97" i="9"/>
  <c r="AB97" i="9"/>
  <c r="AY97" i="9"/>
  <c r="AP97" i="9"/>
  <c r="AH97" i="9"/>
  <c r="Z97" i="9"/>
  <c r="AU97" i="9"/>
  <c r="AM97" i="9"/>
  <c r="AD97" i="9"/>
  <c r="W97" i="9"/>
  <c r="AV97" i="9"/>
  <c r="AL97" i="9"/>
  <c r="AE97" i="9"/>
  <c r="AS97" i="9"/>
  <c r="AK97" i="9"/>
  <c r="AC97" i="9"/>
  <c r="AF96" i="9"/>
  <c r="K97" i="9"/>
  <c r="H97" i="9"/>
  <c r="S97" i="9"/>
  <c r="P97" i="9"/>
  <c r="U97" i="9"/>
  <c r="R97" i="9"/>
  <c r="G97" i="9"/>
  <c r="F97" i="9"/>
  <c r="O97" i="9"/>
  <c r="Q97" i="9"/>
  <c r="L97" i="9"/>
  <c r="I97" i="9"/>
  <c r="J97" i="9"/>
  <c r="M97" i="9"/>
  <c r="T97" i="9"/>
  <c r="N97" i="9"/>
  <c r="D98" i="9"/>
  <c r="C98" i="9"/>
  <c r="A98" i="9"/>
  <c r="E99" i="9" a="1"/>
  <c r="E99" i="9" s="1"/>
  <c r="AQ96" i="9"/>
  <c r="AR96" i="9" s="1"/>
  <c r="BB97" i="9" l="1"/>
  <c r="BC97" i="9" s="1"/>
  <c r="V97" i="9"/>
  <c r="AQ97" i="9"/>
  <c r="AR97" i="9" s="1"/>
  <c r="E100" i="9" a="1"/>
  <c r="E100" i="9" s="1"/>
  <c r="D99" i="9"/>
  <c r="A99" i="9"/>
  <c r="C99" i="9"/>
  <c r="Q98" i="9"/>
  <c r="S98" i="9"/>
  <c r="I98" i="9"/>
  <c r="T98" i="9"/>
  <c r="J98" i="9"/>
  <c r="F98" i="9"/>
  <c r="H98" i="9"/>
  <c r="K98" i="9"/>
  <c r="R98" i="9"/>
  <c r="N98" i="9"/>
  <c r="M98" i="9"/>
  <c r="U98" i="9"/>
  <c r="G98" i="9"/>
  <c r="L98" i="9"/>
  <c r="O98" i="9"/>
  <c r="P98" i="9"/>
  <c r="AX98" i="9"/>
  <c r="AP98" i="9"/>
  <c r="AD98" i="9"/>
  <c r="Z98" i="9"/>
  <c r="AT98" i="9"/>
  <c r="AB98" i="9"/>
  <c r="AY98" i="9"/>
  <c r="AO98" i="9"/>
  <c r="Y98" i="9"/>
  <c r="AW98" i="9"/>
  <c r="AM98" i="9"/>
  <c r="AG98" i="9"/>
  <c r="W98" i="9"/>
  <c r="AU98" i="9"/>
  <c r="AE98" i="9"/>
  <c r="AJ98" i="9"/>
  <c r="AV98" i="9"/>
  <c r="AN98" i="9"/>
  <c r="X98" i="9"/>
  <c r="AL98" i="9"/>
  <c r="AI98" i="9"/>
  <c r="BA98" i="9"/>
  <c r="AS98" i="9"/>
  <c r="AK98" i="9"/>
  <c r="AC98" i="9"/>
  <c r="AZ98" i="9"/>
  <c r="AH98" i="9"/>
  <c r="AA98" i="9"/>
  <c r="AF97" i="9"/>
  <c r="BB98" i="9" l="1"/>
  <c r="BC98" i="9" s="1"/>
  <c r="AQ98" i="9"/>
  <c r="AR98" i="9" s="1"/>
  <c r="AX99" i="9"/>
  <c r="AO99" i="9"/>
  <c r="AG99" i="9"/>
  <c r="Z99" i="9"/>
  <c r="AW99" i="9"/>
  <c r="AN99" i="9"/>
  <c r="X99" i="9"/>
  <c r="AV99" i="9"/>
  <c r="AM99" i="9"/>
  <c r="AD99" i="9"/>
  <c r="W99" i="9"/>
  <c r="AU99" i="9"/>
  <c r="AL99" i="9"/>
  <c r="AE99" i="9"/>
  <c r="AT99" i="9"/>
  <c r="AK99" i="9"/>
  <c r="AC99" i="9"/>
  <c r="AZ99" i="9"/>
  <c r="AJ99" i="9"/>
  <c r="AA99" i="9"/>
  <c r="AY99" i="9"/>
  <c r="AP99" i="9"/>
  <c r="AH99" i="9"/>
  <c r="Y99" i="9"/>
  <c r="BA99" i="9"/>
  <c r="AS99" i="9"/>
  <c r="AI99" i="9"/>
  <c r="AB99" i="9"/>
  <c r="O99" i="9"/>
  <c r="U99" i="9"/>
  <c r="I99" i="9"/>
  <c r="F99" i="9"/>
  <c r="Q99" i="9"/>
  <c r="J99" i="9"/>
  <c r="K99" i="9"/>
  <c r="M99" i="9"/>
  <c r="T99" i="9"/>
  <c r="P99" i="9"/>
  <c r="G99" i="9"/>
  <c r="R99" i="9"/>
  <c r="S99" i="9"/>
  <c r="N99" i="9"/>
  <c r="L99" i="9"/>
  <c r="H99" i="9"/>
  <c r="V98" i="9"/>
  <c r="E101" i="9" a="1"/>
  <c r="E101" i="9" s="1"/>
  <c r="A100" i="9"/>
  <c r="C100" i="9"/>
  <c r="D100" i="9"/>
  <c r="AF98" i="9"/>
  <c r="BB99" i="9" l="1"/>
  <c r="BC99" i="9" s="1"/>
  <c r="U100" i="9"/>
  <c r="G100" i="9"/>
  <c r="F100" i="9"/>
  <c r="H100" i="9"/>
  <c r="N100" i="9"/>
  <c r="P100" i="9"/>
  <c r="I100" i="9"/>
  <c r="J100" i="9"/>
  <c r="Q100" i="9"/>
  <c r="O100" i="9"/>
  <c r="K100" i="9"/>
  <c r="L100" i="9"/>
  <c r="T100" i="9"/>
  <c r="S100" i="9"/>
  <c r="R100" i="9"/>
  <c r="M100" i="9"/>
  <c r="V99" i="9"/>
  <c r="E102" i="9" a="1"/>
  <c r="E102" i="9" s="1"/>
  <c r="A101" i="9"/>
  <c r="D101" i="9"/>
  <c r="C101" i="9"/>
  <c r="AF99" i="9"/>
  <c r="AQ99" i="9"/>
  <c r="AR99" i="9" s="1"/>
  <c r="AX100" i="9"/>
  <c r="AP100" i="9"/>
  <c r="AH100" i="9"/>
  <c r="Z100" i="9"/>
  <c r="AW100" i="9"/>
  <c r="AM100" i="9"/>
  <c r="W100" i="9"/>
  <c r="AV100" i="9"/>
  <c r="AN100" i="9"/>
  <c r="AE100" i="9"/>
  <c r="X100" i="9"/>
  <c r="AU100" i="9"/>
  <c r="AK100" i="9"/>
  <c r="AD100" i="9"/>
  <c r="AT100" i="9"/>
  <c r="AL100" i="9"/>
  <c r="AC100" i="9"/>
  <c r="BA100" i="9"/>
  <c r="AS100" i="9"/>
  <c r="AI100" i="9"/>
  <c r="AA100" i="9"/>
  <c r="AZ100" i="9"/>
  <c r="AJ100" i="9"/>
  <c r="AB100" i="9"/>
  <c r="AY100" i="9"/>
  <c r="AO100" i="9"/>
  <c r="AG100" i="9"/>
  <c r="Y100" i="9"/>
  <c r="BB100" i="9" l="1"/>
  <c r="BC100" i="9" s="1"/>
  <c r="BA101" i="9"/>
  <c r="AU101" i="9"/>
  <c r="AN101" i="9"/>
  <c r="X101" i="9"/>
  <c r="AV101" i="9"/>
  <c r="AL101" i="9"/>
  <c r="AE101" i="9"/>
  <c r="AH101" i="9"/>
  <c r="AT101" i="9"/>
  <c r="AK101" i="9"/>
  <c r="AC101" i="9"/>
  <c r="AY101" i="9"/>
  <c r="AI101" i="9"/>
  <c r="AA101" i="9"/>
  <c r="AW101" i="9"/>
  <c r="AP101" i="9"/>
  <c r="AD101" i="9"/>
  <c r="Z101" i="9"/>
  <c r="AS101" i="9"/>
  <c r="AJ101" i="9"/>
  <c r="AB101" i="9"/>
  <c r="AX101" i="9"/>
  <c r="AM101" i="9"/>
  <c r="AG101" i="9"/>
  <c r="W101" i="9"/>
  <c r="AZ101" i="9"/>
  <c r="AO101" i="9"/>
  <c r="Y101" i="9"/>
  <c r="AQ100" i="9"/>
  <c r="AR100" i="9" s="1"/>
  <c r="H101" i="9"/>
  <c r="R101" i="9"/>
  <c r="P101" i="9"/>
  <c r="J101" i="9"/>
  <c r="S101" i="9"/>
  <c r="I101" i="9"/>
  <c r="U101" i="9"/>
  <c r="M101" i="9"/>
  <c r="F101" i="9"/>
  <c r="G101" i="9"/>
  <c r="N101" i="9"/>
  <c r="K101" i="9"/>
  <c r="T101" i="9"/>
  <c r="O101" i="9"/>
  <c r="Q101" i="9"/>
  <c r="L101" i="9"/>
  <c r="V100" i="9"/>
  <c r="AF100" i="9"/>
  <c r="D102" i="9"/>
  <c r="A102" i="9"/>
  <c r="C102" i="9"/>
  <c r="E103" i="9" a="1"/>
  <c r="E103" i="9" s="1"/>
  <c r="BB101" i="9" l="1"/>
  <c r="BC101" i="9" s="1"/>
  <c r="V101" i="9"/>
  <c r="AQ101" i="9"/>
  <c r="AR101" i="9" s="1"/>
  <c r="AF101" i="9"/>
  <c r="AV102" i="9"/>
  <c r="AM102" i="9"/>
  <c r="W102" i="9"/>
  <c r="AN102" i="9"/>
  <c r="X102" i="9"/>
  <c r="AB102" i="9"/>
  <c r="AW102" i="9"/>
  <c r="AE102" i="9"/>
  <c r="AZ102" i="9"/>
  <c r="AI102" i="9"/>
  <c r="AU102" i="9"/>
  <c r="AK102" i="9"/>
  <c r="AD102" i="9"/>
  <c r="AT102" i="9"/>
  <c r="AL102" i="9"/>
  <c r="AC102" i="9"/>
  <c r="BA102" i="9"/>
  <c r="AS102" i="9"/>
  <c r="AJ102" i="9"/>
  <c r="AA102" i="9"/>
  <c r="AY102" i="9"/>
  <c r="AO102" i="9"/>
  <c r="AG102" i="9"/>
  <c r="Y102" i="9"/>
  <c r="AX102" i="9"/>
  <c r="AP102" i="9"/>
  <c r="AH102" i="9"/>
  <c r="Z102" i="9"/>
  <c r="C103" i="9"/>
  <c r="E104" i="9" a="1"/>
  <c r="E104" i="9" s="1"/>
  <c r="A103" i="9"/>
  <c r="D103" i="9"/>
  <c r="J102" i="9"/>
  <c r="L102" i="9"/>
  <c r="T102" i="9"/>
  <c r="F102" i="9"/>
  <c r="R102" i="9"/>
  <c r="O102" i="9"/>
  <c r="M102" i="9"/>
  <c r="N102" i="9"/>
  <c r="U102" i="9"/>
  <c r="P102" i="9"/>
  <c r="G102" i="9"/>
  <c r="S102" i="9"/>
  <c r="I102" i="9"/>
  <c r="H102" i="9"/>
  <c r="Q102" i="9"/>
  <c r="K102" i="9"/>
  <c r="BB102" i="9" l="1"/>
  <c r="BC102" i="9" s="1"/>
  <c r="V102" i="9"/>
  <c r="AF102" i="9"/>
  <c r="AX103" i="9"/>
  <c r="AP103" i="9"/>
  <c r="AG103" i="9"/>
  <c r="Y103" i="9"/>
  <c r="AW103" i="9"/>
  <c r="AN103" i="9"/>
  <c r="X103" i="9"/>
  <c r="AE103" i="9"/>
  <c r="AT103" i="9"/>
  <c r="AV103" i="9"/>
  <c r="AM103" i="9"/>
  <c r="AD103" i="9"/>
  <c r="W103" i="9"/>
  <c r="AK103" i="9"/>
  <c r="AC103" i="9"/>
  <c r="AS103" i="9"/>
  <c r="AL103" i="9"/>
  <c r="AA103" i="9"/>
  <c r="AZ103" i="9"/>
  <c r="AH103" i="9"/>
  <c r="AB103" i="9"/>
  <c r="AY103" i="9"/>
  <c r="AO103" i="9"/>
  <c r="AI103" i="9"/>
  <c r="Z103" i="9"/>
  <c r="AU103" i="9"/>
  <c r="BA103" i="9"/>
  <c r="AJ103" i="9"/>
  <c r="AQ102" i="9"/>
  <c r="AR102" i="9" s="1"/>
  <c r="S103" i="9"/>
  <c r="U103" i="9"/>
  <c r="L103" i="9"/>
  <c r="F103" i="9"/>
  <c r="O103" i="9"/>
  <c r="T103" i="9"/>
  <c r="N103" i="9"/>
  <c r="H103" i="9"/>
  <c r="M103" i="9"/>
  <c r="Q103" i="9"/>
  <c r="K103" i="9"/>
  <c r="R103" i="9"/>
  <c r="G103" i="9"/>
  <c r="J103" i="9"/>
  <c r="I103" i="9"/>
  <c r="P103" i="9"/>
  <c r="E105" i="9" a="1"/>
  <c r="E105" i="9" s="1"/>
  <c r="D104" i="9"/>
  <c r="C104" i="9"/>
  <c r="A104" i="9"/>
  <c r="BB103" i="9" l="1"/>
  <c r="BC103" i="9" s="1"/>
  <c r="N104" i="9"/>
  <c r="G104" i="9"/>
  <c r="H104" i="9"/>
  <c r="I104" i="9"/>
  <c r="P104" i="9"/>
  <c r="Q104" i="9"/>
  <c r="R104" i="9"/>
  <c r="J104" i="9"/>
  <c r="K104" i="9"/>
  <c r="S104" i="9"/>
  <c r="M104" i="9"/>
  <c r="L104" i="9"/>
  <c r="F104" i="9"/>
  <c r="T104" i="9"/>
  <c r="U104" i="9"/>
  <c r="O104" i="9"/>
  <c r="BA104" i="9"/>
  <c r="AU104" i="9"/>
  <c r="AN104" i="9"/>
  <c r="X104" i="9"/>
  <c r="AK104" i="9"/>
  <c r="AV104" i="9"/>
  <c r="AL104" i="9"/>
  <c r="AE104" i="9"/>
  <c r="AS104" i="9"/>
  <c r="AJ104" i="9"/>
  <c r="AB104" i="9"/>
  <c r="AT104" i="9"/>
  <c r="AC104" i="9"/>
  <c r="AY104" i="9"/>
  <c r="AH104" i="9"/>
  <c r="AA104" i="9"/>
  <c r="AZ104" i="9"/>
  <c r="AI104" i="9"/>
  <c r="Y104" i="9"/>
  <c r="AX104" i="9"/>
  <c r="AM104" i="9"/>
  <c r="W104" i="9"/>
  <c r="AG104" i="9"/>
  <c r="AO104" i="9"/>
  <c r="AW104" i="9"/>
  <c r="AP104" i="9"/>
  <c r="AD104" i="9"/>
  <c r="Z104" i="9"/>
  <c r="AQ103" i="9"/>
  <c r="AR103" i="9" s="1"/>
  <c r="V103" i="9"/>
  <c r="E106" i="9" a="1"/>
  <c r="E106" i="9" s="1"/>
  <c r="A105" i="9"/>
  <c r="D105" i="9"/>
  <c r="C105" i="9"/>
  <c r="AF103" i="9"/>
  <c r="BB104" i="9" l="1"/>
  <c r="BC104" i="9" s="1"/>
  <c r="D106" i="9"/>
  <c r="E107" i="9" a="1"/>
  <c r="E107" i="9" s="1"/>
  <c r="C106" i="9"/>
  <c r="A106" i="9"/>
  <c r="G105" i="9"/>
  <c r="F105" i="9"/>
  <c r="H105" i="9"/>
  <c r="P105" i="9"/>
  <c r="J105" i="9"/>
  <c r="S105" i="9"/>
  <c r="O105" i="9"/>
  <c r="Q105" i="9"/>
  <c r="N105" i="9"/>
  <c r="U105" i="9"/>
  <c r="T105" i="9"/>
  <c r="I105" i="9"/>
  <c r="K105" i="9"/>
  <c r="M105" i="9"/>
  <c r="L105" i="9"/>
  <c r="R105" i="9"/>
  <c r="V104" i="9"/>
  <c r="AF104" i="9"/>
  <c r="AX105" i="9"/>
  <c r="AP105" i="9"/>
  <c r="AD105" i="9"/>
  <c r="Z105" i="9"/>
  <c r="AK105" i="9"/>
  <c r="AS105" i="9"/>
  <c r="AW105" i="9"/>
  <c r="AM105" i="9"/>
  <c r="AG105" i="9"/>
  <c r="W105" i="9"/>
  <c r="AV105" i="9"/>
  <c r="AN105" i="9"/>
  <c r="AB105" i="9"/>
  <c r="AO105" i="9"/>
  <c r="X105" i="9"/>
  <c r="AU105" i="9"/>
  <c r="AE105" i="9"/>
  <c r="AT105" i="9"/>
  <c r="AC105" i="9"/>
  <c r="AY105" i="9"/>
  <c r="Y105" i="9"/>
  <c r="AI105" i="9"/>
  <c r="AL105" i="9"/>
  <c r="BA105" i="9"/>
  <c r="AJ105" i="9"/>
  <c r="AZ105" i="9"/>
  <c r="AH105" i="9"/>
  <c r="AA105" i="9"/>
  <c r="AQ104" i="9"/>
  <c r="AR104" i="9" s="1"/>
  <c r="BB105" i="9" l="1"/>
  <c r="BC105" i="9" s="1"/>
  <c r="V105" i="9"/>
  <c r="AF105" i="9"/>
  <c r="AQ105" i="9"/>
  <c r="AR105" i="9" s="1"/>
  <c r="J106" i="9"/>
  <c r="H106" i="9"/>
  <c r="Q106" i="9"/>
  <c r="R106" i="9"/>
  <c r="K106" i="9"/>
  <c r="U106" i="9"/>
  <c r="M106" i="9"/>
  <c r="T106" i="9"/>
  <c r="F106" i="9"/>
  <c r="G106" i="9"/>
  <c r="L106" i="9"/>
  <c r="I106" i="9"/>
  <c r="S106" i="9"/>
  <c r="O106" i="9"/>
  <c r="N106" i="9"/>
  <c r="P106" i="9"/>
  <c r="AX106" i="9"/>
  <c r="AM106" i="9"/>
  <c r="W106" i="9"/>
  <c r="AC106" i="9"/>
  <c r="AV106" i="9"/>
  <c r="AN106" i="9"/>
  <c r="AE106" i="9"/>
  <c r="X106" i="9"/>
  <c r="AT106" i="9"/>
  <c r="AJ106" i="9"/>
  <c r="AU106" i="9"/>
  <c r="AL106" i="9"/>
  <c r="AD106" i="9"/>
  <c r="Z106" i="9"/>
  <c r="BA106" i="9"/>
  <c r="AS106" i="9"/>
  <c r="AK106" i="9"/>
  <c r="AA106" i="9"/>
  <c r="AO106" i="9"/>
  <c r="AG106" i="9"/>
  <c r="AW106" i="9"/>
  <c r="AH106" i="9"/>
  <c r="AZ106" i="9"/>
  <c r="AI106" i="9"/>
  <c r="AB106" i="9"/>
  <c r="AY106" i="9"/>
  <c r="Y106" i="9"/>
  <c r="AP106" i="9"/>
  <c r="A107" i="9"/>
  <c r="E108" i="9" a="1"/>
  <c r="E108" i="9" s="1"/>
  <c r="C107" i="9"/>
  <c r="D107" i="9"/>
  <c r="BB106" i="9" l="1"/>
  <c r="BC106" i="9" s="1"/>
  <c r="V106" i="9"/>
  <c r="AQ106" i="9"/>
  <c r="AR106" i="9" s="1"/>
  <c r="AF106" i="9"/>
  <c r="C108" i="9"/>
  <c r="E109" i="9" a="1"/>
  <c r="E109" i="9" s="1"/>
  <c r="A108" i="9"/>
  <c r="D108" i="9"/>
  <c r="AW107" i="9"/>
  <c r="AO107" i="9"/>
  <c r="AG107" i="9"/>
  <c r="Y107" i="9"/>
  <c r="X107" i="9"/>
  <c r="AB107" i="9"/>
  <c r="AZ107" i="9"/>
  <c r="AP107" i="9"/>
  <c r="AH107" i="9"/>
  <c r="Z107" i="9"/>
  <c r="AX107" i="9"/>
  <c r="AM107" i="9"/>
  <c r="AU107" i="9"/>
  <c r="AN107" i="9"/>
  <c r="AD107" i="9"/>
  <c r="W107" i="9"/>
  <c r="AV107" i="9"/>
  <c r="AL107" i="9"/>
  <c r="AE107" i="9"/>
  <c r="BA107" i="9"/>
  <c r="AS107" i="9"/>
  <c r="AJ107" i="9"/>
  <c r="AC107" i="9"/>
  <c r="AK107" i="9"/>
  <c r="AY107" i="9"/>
  <c r="AI107" i="9"/>
  <c r="AT107" i="9"/>
  <c r="AA107" i="9"/>
  <c r="O107" i="9"/>
  <c r="P107" i="9"/>
  <c r="I107" i="9"/>
  <c r="G107" i="9"/>
  <c r="N107" i="9"/>
  <c r="F107" i="9"/>
  <c r="Q107" i="9"/>
  <c r="H107" i="9"/>
  <c r="K107" i="9"/>
  <c r="M107" i="9"/>
  <c r="S107" i="9"/>
  <c r="J107" i="9"/>
  <c r="L107" i="9"/>
  <c r="U107" i="9"/>
  <c r="R107" i="9"/>
  <c r="T107" i="9"/>
  <c r="BB107" i="9" l="1"/>
  <c r="BC107" i="9" s="1"/>
  <c r="M108" i="9"/>
  <c r="J108" i="9"/>
  <c r="U108" i="9"/>
  <c r="L108" i="9"/>
  <c r="F108" i="9"/>
  <c r="R108" i="9"/>
  <c r="N108" i="9"/>
  <c r="T108" i="9"/>
  <c r="I108" i="9"/>
  <c r="G108" i="9"/>
  <c r="K108" i="9"/>
  <c r="O108" i="9"/>
  <c r="S108" i="9"/>
  <c r="Q108" i="9"/>
  <c r="H108" i="9"/>
  <c r="P108" i="9"/>
  <c r="C109" i="9"/>
  <c r="D109" i="9"/>
  <c r="E110" i="9" a="1"/>
  <c r="E110" i="9" s="1"/>
  <c r="A109" i="9"/>
  <c r="AF107" i="9"/>
  <c r="AX108" i="9"/>
  <c r="AP108" i="9"/>
  <c r="AD108" i="9"/>
  <c r="Z108" i="9"/>
  <c r="AW108" i="9"/>
  <c r="AM108" i="9"/>
  <c r="AG108" i="9"/>
  <c r="W108" i="9"/>
  <c r="AV108" i="9"/>
  <c r="X108" i="9"/>
  <c r="AU108" i="9"/>
  <c r="AE108" i="9"/>
  <c r="AK108" i="9"/>
  <c r="AO108" i="9"/>
  <c r="Y108" i="9"/>
  <c r="AN108" i="9"/>
  <c r="AT108" i="9"/>
  <c r="AL108" i="9"/>
  <c r="AB108" i="9"/>
  <c r="AZ108" i="9"/>
  <c r="AH108" i="9"/>
  <c r="AA108" i="9"/>
  <c r="BA108" i="9"/>
  <c r="AS108" i="9"/>
  <c r="AJ108" i="9"/>
  <c r="AC108" i="9"/>
  <c r="AY108" i="9"/>
  <c r="AI108" i="9"/>
  <c r="AQ107" i="9"/>
  <c r="AR107" i="9" s="1"/>
  <c r="V107" i="9"/>
  <c r="BB108" i="9" l="1"/>
  <c r="BC108" i="9" s="1"/>
  <c r="AF108" i="9"/>
  <c r="V108" i="9"/>
  <c r="S109" i="9"/>
  <c r="R109" i="9"/>
  <c r="M109" i="9"/>
  <c r="U109" i="9"/>
  <c r="J109" i="9"/>
  <c r="N109" i="9"/>
  <c r="I109" i="9"/>
  <c r="L109" i="9"/>
  <c r="G109" i="9"/>
  <c r="F109" i="9"/>
  <c r="Q109" i="9"/>
  <c r="O109" i="9"/>
  <c r="H109" i="9"/>
  <c r="P109" i="9"/>
  <c r="T109" i="9"/>
  <c r="K109" i="9"/>
  <c r="D110" i="9"/>
  <c r="A110" i="9"/>
  <c r="E111" i="9" a="1"/>
  <c r="E111" i="9" s="1"/>
  <c r="C110" i="9"/>
  <c r="AQ108" i="9"/>
  <c r="AR108" i="9" s="1"/>
  <c r="BA109" i="9"/>
  <c r="AX109" i="9"/>
  <c r="AM109" i="9"/>
  <c r="W109" i="9"/>
  <c r="AU109" i="9"/>
  <c r="AN109" i="9"/>
  <c r="AE109" i="9"/>
  <c r="X109" i="9"/>
  <c r="AJ109" i="9"/>
  <c r="AA109" i="9"/>
  <c r="AY109" i="9"/>
  <c r="AV109" i="9"/>
  <c r="AK109" i="9"/>
  <c r="AD109" i="9"/>
  <c r="AS109" i="9"/>
  <c r="AL109" i="9"/>
  <c r="AC109" i="9"/>
  <c r="AT109" i="9"/>
  <c r="AI109" i="9"/>
  <c r="AB109" i="9"/>
  <c r="AZ109" i="9"/>
  <c r="AO109" i="9"/>
  <c r="AG109" i="9"/>
  <c r="Y109" i="9"/>
  <c r="AW109" i="9"/>
  <c r="AH109" i="9"/>
  <c r="Z109" i="9"/>
  <c r="AP109" i="9"/>
  <c r="BB109" i="9" l="1"/>
  <c r="BC109" i="9" s="1"/>
  <c r="AF109" i="9"/>
  <c r="AW110" i="9"/>
  <c r="AM110" i="9"/>
  <c r="AG110" i="9"/>
  <c r="W110" i="9"/>
  <c r="AV110" i="9"/>
  <c r="AN110" i="9"/>
  <c r="X110" i="9"/>
  <c r="AU110" i="9"/>
  <c r="AL110" i="9"/>
  <c r="AE110" i="9"/>
  <c r="AJ110" i="9"/>
  <c r="AZ110" i="9"/>
  <c r="AI110" i="9"/>
  <c r="AY110" i="9"/>
  <c r="AP110" i="9"/>
  <c r="AD110" i="9"/>
  <c r="Z110" i="9"/>
  <c r="AO110" i="9"/>
  <c r="AT110" i="9"/>
  <c r="AB110" i="9"/>
  <c r="AA110" i="9"/>
  <c r="AX110" i="9"/>
  <c r="Y110" i="9"/>
  <c r="BA110" i="9"/>
  <c r="AS110" i="9"/>
  <c r="AK110" i="9"/>
  <c r="AC110" i="9"/>
  <c r="AH110" i="9"/>
  <c r="E112" i="9" a="1"/>
  <c r="E112" i="9" s="1"/>
  <c r="C111" i="9"/>
  <c r="A111" i="9"/>
  <c r="D111" i="9"/>
  <c r="J110" i="9"/>
  <c r="P110" i="9"/>
  <c r="R110" i="9"/>
  <c r="N110" i="9"/>
  <c r="M110" i="9"/>
  <c r="K110" i="9"/>
  <c r="U110" i="9"/>
  <c r="O110" i="9"/>
  <c r="Q110" i="9"/>
  <c r="H110" i="9"/>
  <c r="T110" i="9"/>
  <c r="I110" i="9"/>
  <c r="L110" i="9"/>
  <c r="F110" i="9"/>
  <c r="G110" i="9"/>
  <c r="S110" i="9"/>
  <c r="V109" i="9"/>
  <c r="AQ109" i="9"/>
  <c r="AR109" i="9" s="1"/>
  <c r="BB110" i="9" l="1"/>
  <c r="BC110" i="9" s="1"/>
  <c r="V110" i="9"/>
  <c r="AX111" i="9"/>
  <c r="AO111" i="9"/>
  <c r="AG111" i="9"/>
  <c r="X111" i="9"/>
  <c r="AW111" i="9"/>
  <c r="AN111" i="9"/>
  <c r="Y111" i="9"/>
  <c r="AT111" i="9"/>
  <c r="AK111" i="9"/>
  <c r="BA111" i="9"/>
  <c r="AS111" i="9"/>
  <c r="AJ111" i="9"/>
  <c r="AB111" i="9"/>
  <c r="AV111" i="9"/>
  <c r="AM111" i="9"/>
  <c r="AD111" i="9"/>
  <c r="W111" i="9"/>
  <c r="AU111" i="9"/>
  <c r="AL111" i="9"/>
  <c r="AE111" i="9"/>
  <c r="AC111" i="9"/>
  <c r="AY111" i="9"/>
  <c r="AI111" i="9"/>
  <c r="Z111" i="9"/>
  <c r="AZ111" i="9"/>
  <c r="AP111" i="9"/>
  <c r="AH111" i="9"/>
  <c r="AA111" i="9"/>
  <c r="A112" i="9"/>
  <c r="E113" i="9" a="1"/>
  <c r="E113" i="9" s="1"/>
  <c r="D112" i="9"/>
  <c r="C112" i="9"/>
  <c r="AQ110" i="9"/>
  <c r="AR110" i="9" s="1"/>
  <c r="K111" i="9"/>
  <c r="R111" i="9"/>
  <c r="S111" i="9"/>
  <c r="T111" i="9"/>
  <c r="G111" i="9"/>
  <c r="H111" i="9"/>
  <c r="O111" i="9"/>
  <c r="U111" i="9"/>
  <c r="N111" i="9"/>
  <c r="L111" i="9"/>
  <c r="P111" i="9"/>
  <c r="F111" i="9"/>
  <c r="Q111" i="9"/>
  <c r="M111" i="9"/>
  <c r="I111" i="9"/>
  <c r="J111" i="9"/>
  <c r="AF110" i="9"/>
  <c r="BB111" i="9" l="1"/>
  <c r="BC111" i="9" s="1"/>
  <c r="AQ111" i="9"/>
  <c r="AR111" i="9" s="1"/>
  <c r="D113" i="9"/>
  <c r="E114" i="9" a="1"/>
  <c r="E114" i="9" s="1"/>
  <c r="A113" i="9"/>
  <c r="C113" i="9"/>
  <c r="V111" i="9"/>
  <c r="AF111" i="9"/>
  <c r="Q112" i="9"/>
  <c r="P112" i="9"/>
  <c r="T112" i="9"/>
  <c r="M112" i="9"/>
  <c r="S112" i="9"/>
  <c r="U112" i="9"/>
  <c r="G112" i="9"/>
  <c r="H112" i="9"/>
  <c r="L112" i="9"/>
  <c r="K112" i="9"/>
  <c r="J112" i="9"/>
  <c r="N112" i="9"/>
  <c r="R112" i="9"/>
  <c r="I112" i="9"/>
  <c r="F112" i="9"/>
  <c r="O112" i="9"/>
  <c r="BA112" i="9"/>
  <c r="AV112" i="9"/>
  <c r="AM112" i="9"/>
  <c r="W112" i="9"/>
  <c r="AB112" i="9"/>
  <c r="AW112" i="9"/>
  <c r="AN112" i="9"/>
  <c r="AE112" i="9"/>
  <c r="X112" i="9"/>
  <c r="AT112" i="9"/>
  <c r="AL112" i="9"/>
  <c r="AD112" i="9"/>
  <c r="AU112" i="9"/>
  <c r="AJ112" i="9"/>
  <c r="AC112" i="9"/>
  <c r="AS112" i="9"/>
  <c r="AA112" i="9"/>
  <c r="AG112" i="9"/>
  <c r="AK112" i="9"/>
  <c r="AY112" i="9"/>
  <c r="AI112" i="9"/>
  <c r="AO112" i="9"/>
  <c r="Y112" i="9"/>
  <c r="AZ112" i="9"/>
  <c r="AX112" i="9"/>
  <c r="AP112" i="9"/>
  <c r="AH112" i="9"/>
  <c r="Z112" i="9"/>
  <c r="BB112" i="9" l="1"/>
  <c r="BC112" i="9" s="1"/>
  <c r="AF112" i="9"/>
  <c r="V112" i="9"/>
  <c r="AQ112" i="9"/>
  <c r="AR112" i="9" s="1"/>
  <c r="AX113" i="9"/>
  <c r="AP113" i="9"/>
  <c r="AG113" i="9"/>
  <c r="Z113" i="9"/>
  <c r="W113" i="9"/>
  <c r="AC113" i="9"/>
  <c r="AA113" i="9"/>
  <c r="AZ113" i="9"/>
  <c r="AB113" i="9"/>
  <c r="AW113" i="9"/>
  <c r="AN113" i="9"/>
  <c r="X113" i="9"/>
  <c r="AV113" i="9"/>
  <c r="AD113" i="9"/>
  <c r="AT113" i="9"/>
  <c r="AK113" i="9"/>
  <c r="AM113" i="9"/>
  <c r="AJ113" i="9"/>
  <c r="AO113" i="9"/>
  <c r="AU113" i="9"/>
  <c r="AL113" i="9"/>
  <c r="AE113" i="9"/>
  <c r="AY113" i="9"/>
  <c r="Y113" i="9"/>
  <c r="AS113" i="9"/>
  <c r="BA113" i="9"/>
  <c r="AI113" i="9"/>
  <c r="AH113" i="9"/>
  <c r="N113" i="9"/>
  <c r="R113" i="9"/>
  <c r="P113" i="9"/>
  <c r="L113" i="9"/>
  <c r="M113" i="9"/>
  <c r="I113" i="9"/>
  <c r="H113" i="9"/>
  <c r="O113" i="9"/>
  <c r="T113" i="9"/>
  <c r="Q113" i="9"/>
  <c r="K113" i="9"/>
  <c r="U113" i="9"/>
  <c r="J113" i="9"/>
  <c r="G113" i="9"/>
  <c r="S113" i="9"/>
  <c r="F113" i="9"/>
  <c r="E115" i="9" a="1"/>
  <c r="E115" i="9" s="1"/>
  <c r="A114" i="9"/>
  <c r="C114" i="9"/>
  <c r="D114" i="9"/>
  <c r="BB113" i="9" l="1"/>
  <c r="BC113" i="9" s="1"/>
  <c r="V113" i="9"/>
  <c r="AF113" i="9"/>
  <c r="AQ113" i="9"/>
  <c r="AR113" i="9" s="1"/>
  <c r="AV114" i="9"/>
  <c r="AN114" i="9"/>
  <c r="X114" i="9"/>
  <c r="AT114" i="9"/>
  <c r="AJ114" i="9"/>
  <c r="AB114" i="9"/>
  <c r="AA114" i="9"/>
  <c r="AX114" i="9"/>
  <c r="AI114" i="9"/>
  <c r="AY114" i="9"/>
  <c r="AP114" i="9"/>
  <c r="AD114" i="9"/>
  <c r="Z114" i="9"/>
  <c r="AW114" i="9"/>
  <c r="AM114" i="9"/>
  <c r="W114" i="9"/>
  <c r="AU114" i="9"/>
  <c r="AE114" i="9"/>
  <c r="BA114" i="9"/>
  <c r="AS114" i="9"/>
  <c r="AK114" i="9"/>
  <c r="AC114" i="9"/>
  <c r="AZ114" i="9"/>
  <c r="AH114" i="9"/>
  <c r="AO114" i="9"/>
  <c r="Y114" i="9"/>
  <c r="AG114" i="9"/>
  <c r="AL114" i="9"/>
  <c r="T114" i="9"/>
  <c r="P114" i="9"/>
  <c r="M114" i="9"/>
  <c r="O114" i="9"/>
  <c r="K114" i="9"/>
  <c r="H114" i="9"/>
  <c r="S114" i="9"/>
  <c r="G114" i="9"/>
  <c r="J114" i="9"/>
  <c r="N114" i="9"/>
  <c r="R114" i="9"/>
  <c r="I114" i="9"/>
  <c r="F114" i="9"/>
  <c r="Q114" i="9"/>
  <c r="U114" i="9"/>
  <c r="L114" i="9"/>
  <c r="E116" i="9" a="1"/>
  <c r="E116" i="9" s="1"/>
  <c r="D115" i="9"/>
  <c r="A115" i="9"/>
  <c r="C115" i="9"/>
  <c r="BB114" i="9" l="1"/>
  <c r="BC114" i="9" s="1"/>
  <c r="AF114" i="9"/>
  <c r="AQ114" i="9"/>
  <c r="AR114" i="9" s="1"/>
  <c r="AW115" i="9"/>
  <c r="AO115" i="9"/>
  <c r="X115" i="9"/>
  <c r="AV115" i="9"/>
  <c r="AM115" i="9"/>
  <c r="AD115" i="9"/>
  <c r="W115" i="9"/>
  <c r="AS115" i="9"/>
  <c r="AB115" i="9"/>
  <c r="AX115" i="9"/>
  <c r="AU115" i="9"/>
  <c r="AL115" i="9"/>
  <c r="AE115" i="9"/>
  <c r="AT115" i="9"/>
  <c r="AK115" i="9"/>
  <c r="AC115" i="9"/>
  <c r="BA115" i="9"/>
  <c r="AJ115" i="9"/>
  <c r="AN115" i="9"/>
  <c r="AZ115" i="9"/>
  <c r="AI115" i="9"/>
  <c r="AA115" i="9"/>
  <c r="Y115" i="9"/>
  <c r="AY115" i="9"/>
  <c r="AP115" i="9"/>
  <c r="AH115" i="9"/>
  <c r="Z115" i="9"/>
  <c r="AG115" i="9"/>
  <c r="V114" i="9"/>
  <c r="H115" i="9"/>
  <c r="J115" i="9"/>
  <c r="Q115" i="9"/>
  <c r="G115" i="9"/>
  <c r="M115" i="9"/>
  <c r="O115" i="9"/>
  <c r="T115" i="9"/>
  <c r="I115" i="9"/>
  <c r="L115" i="9"/>
  <c r="R115" i="9"/>
  <c r="P115" i="9"/>
  <c r="S115" i="9"/>
  <c r="N115" i="9"/>
  <c r="K115" i="9"/>
  <c r="U115" i="9"/>
  <c r="F115" i="9"/>
  <c r="E117" i="9" a="1"/>
  <c r="E117" i="9" s="1"/>
  <c r="A116" i="9"/>
  <c r="D116" i="9"/>
  <c r="C116" i="9"/>
  <c r="BB115" i="9" l="1"/>
  <c r="BC115" i="9" s="1"/>
  <c r="V115" i="9"/>
  <c r="AQ115" i="9"/>
  <c r="AR115" i="9" s="1"/>
  <c r="E118" i="9" a="1"/>
  <c r="E118" i="9" s="1"/>
  <c r="D117" i="9"/>
  <c r="C117" i="9"/>
  <c r="A117" i="9"/>
  <c r="AF115" i="9"/>
  <c r="AX116" i="9"/>
  <c r="AN116" i="9"/>
  <c r="AD116" i="9"/>
  <c r="Z116" i="9"/>
  <c r="BA116" i="9"/>
  <c r="AS116" i="9"/>
  <c r="AK116" i="9"/>
  <c r="AA116" i="9"/>
  <c r="AI116" i="9"/>
  <c r="AW116" i="9"/>
  <c r="AO116" i="9"/>
  <c r="AG116" i="9"/>
  <c r="W116" i="9"/>
  <c r="AV116" i="9"/>
  <c r="AM116" i="9"/>
  <c r="X116" i="9"/>
  <c r="AU116" i="9"/>
  <c r="AL116" i="9"/>
  <c r="AE116" i="9"/>
  <c r="AT116" i="9"/>
  <c r="AC116" i="9"/>
  <c r="AZ116" i="9"/>
  <c r="AP116" i="9"/>
  <c r="AB116" i="9"/>
  <c r="AJ116" i="9"/>
  <c r="AH116" i="9"/>
  <c r="AY116" i="9"/>
  <c r="Y116" i="9"/>
  <c r="J116" i="9"/>
  <c r="T116" i="9"/>
  <c r="N116" i="9"/>
  <c r="U116" i="9"/>
  <c r="M116" i="9"/>
  <c r="R116" i="9"/>
  <c r="H116" i="9"/>
  <c r="K116" i="9"/>
  <c r="L116" i="9"/>
  <c r="I116" i="9"/>
  <c r="P116" i="9"/>
  <c r="S116" i="9"/>
  <c r="F116" i="9"/>
  <c r="Q116" i="9"/>
  <c r="G116" i="9"/>
  <c r="O116" i="9"/>
  <c r="BB116" i="9" l="1"/>
  <c r="BC116" i="9" s="1"/>
  <c r="AF116" i="9"/>
  <c r="AW117" i="9"/>
  <c r="AN117" i="9"/>
  <c r="X117" i="9"/>
  <c r="AM117" i="9"/>
  <c r="W117" i="9"/>
  <c r="AT117" i="9"/>
  <c r="AK117" i="9"/>
  <c r="AC117" i="9"/>
  <c r="BA117" i="9"/>
  <c r="AS117" i="9"/>
  <c r="AI117" i="9"/>
  <c r="AB117" i="9"/>
  <c r="AV117" i="9"/>
  <c r="AD117" i="9"/>
  <c r="AU117" i="9"/>
  <c r="AL117" i="9"/>
  <c r="AE117" i="9"/>
  <c r="Y117" i="9"/>
  <c r="AY117" i="9"/>
  <c r="AJ117" i="9"/>
  <c r="Z117" i="9"/>
  <c r="AX117" i="9"/>
  <c r="AO117" i="9"/>
  <c r="AG117" i="9"/>
  <c r="AZ117" i="9"/>
  <c r="AP117" i="9"/>
  <c r="AH117" i="9"/>
  <c r="AA117" i="9"/>
  <c r="M117" i="9"/>
  <c r="F117" i="9"/>
  <c r="S117" i="9"/>
  <c r="J117" i="9"/>
  <c r="P117" i="9"/>
  <c r="K117" i="9"/>
  <c r="R117" i="9"/>
  <c r="U117" i="9"/>
  <c r="H117" i="9"/>
  <c r="O117" i="9"/>
  <c r="I117" i="9"/>
  <c r="Q117" i="9"/>
  <c r="G117" i="9"/>
  <c r="T117" i="9"/>
  <c r="L117" i="9"/>
  <c r="N117" i="9"/>
  <c r="A118" i="9"/>
  <c r="E119" i="9" a="1"/>
  <c r="E119" i="9" s="1"/>
  <c r="D118" i="9"/>
  <c r="C118" i="9"/>
  <c r="V116" i="9"/>
  <c r="AQ116" i="9"/>
  <c r="AR116" i="9" s="1"/>
  <c r="BB117" i="9" l="1"/>
  <c r="BC117" i="9" s="1"/>
  <c r="E120" i="9" a="1"/>
  <c r="E120" i="9" s="1"/>
  <c r="D119" i="9"/>
  <c r="C119" i="9"/>
  <c r="A119" i="9"/>
  <c r="V117" i="9"/>
  <c r="F118" i="9"/>
  <c r="U118" i="9"/>
  <c r="G118" i="9"/>
  <c r="M118" i="9"/>
  <c r="Q118" i="9"/>
  <c r="O118" i="9"/>
  <c r="L118" i="9"/>
  <c r="J118" i="9"/>
  <c r="K118" i="9"/>
  <c r="T118" i="9"/>
  <c r="I118" i="9"/>
  <c r="R118" i="9"/>
  <c r="S118" i="9"/>
  <c r="P118" i="9"/>
  <c r="N118" i="9"/>
  <c r="H118" i="9"/>
  <c r="AQ117" i="9"/>
  <c r="AR117" i="9" s="1"/>
  <c r="AF117" i="9"/>
  <c r="AW118" i="9"/>
  <c r="AO118" i="9"/>
  <c r="AG118" i="9"/>
  <c r="Y118" i="9"/>
  <c r="AU118" i="9"/>
  <c r="AM118" i="9"/>
  <c r="AD118" i="9"/>
  <c r="X118" i="9"/>
  <c r="AS118" i="9"/>
  <c r="AC118" i="9"/>
  <c r="AJ118" i="9"/>
  <c r="AV118" i="9"/>
  <c r="AL118" i="9"/>
  <c r="AE118" i="9"/>
  <c r="AK118" i="9"/>
  <c r="AY118" i="9"/>
  <c r="AI118" i="9"/>
  <c r="Z118" i="9"/>
  <c r="AN118" i="9"/>
  <c r="AT118" i="9"/>
  <c r="AZ118" i="9"/>
  <c r="AP118" i="9"/>
  <c r="AH118" i="9"/>
  <c r="AA118" i="9"/>
  <c r="AX118" i="9"/>
  <c r="W118" i="9"/>
  <c r="BA118" i="9"/>
  <c r="AB118" i="9"/>
  <c r="BB118" i="9" l="1"/>
  <c r="AF118" i="9"/>
  <c r="V118" i="9"/>
  <c r="I119" i="9"/>
  <c r="G119" i="9"/>
  <c r="T119" i="9"/>
  <c r="M119" i="9"/>
  <c r="P119" i="9"/>
  <c r="Q119" i="9"/>
  <c r="F119" i="9"/>
  <c r="L119" i="9"/>
  <c r="K119" i="9"/>
  <c r="N119" i="9"/>
  <c r="R119" i="9"/>
  <c r="U119" i="9"/>
  <c r="O119" i="9"/>
  <c r="H119" i="9"/>
  <c r="J119" i="9"/>
  <c r="S119" i="9"/>
  <c r="BA119" i="9"/>
  <c r="AU119" i="9"/>
  <c r="AM119" i="9"/>
  <c r="AD119" i="9"/>
  <c r="W119" i="9"/>
  <c r="AT119" i="9"/>
  <c r="AA119" i="9"/>
  <c r="AY119" i="9"/>
  <c r="AV119" i="9"/>
  <c r="AL119" i="9"/>
  <c r="AE119" i="9"/>
  <c r="AS119" i="9"/>
  <c r="AK119" i="9"/>
  <c r="AC119" i="9"/>
  <c r="AB119" i="9"/>
  <c r="AN119" i="9"/>
  <c r="X119" i="9"/>
  <c r="AI119" i="9"/>
  <c r="AJ119" i="9"/>
  <c r="AZ119" i="9"/>
  <c r="AP119" i="9"/>
  <c r="AH119" i="9"/>
  <c r="Z119" i="9"/>
  <c r="AW119" i="9"/>
  <c r="AO119" i="9"/>
  <c r="AG119" i="9"/>
  <c r="Y119" i="9"/>
  <c r="AX119" i="9"/>
  <c r="AQ118" i="9"/>
  <c r="AR118" i="9" s="1"/>
  <c r="BC118" i="9"/>
  <c r="A120" i="9"/>
  <c r="E121" i="9" a="1"/>
  <c r="E121" i="9" s="1"/>
  <c r="C120" i="9"/>
  <c r="D120" i="9"/>
  <c r="BB119" i="9" l="1"/>
  <c r="BC119" i="9" s="1"/>
  <c r="AQ119" i="9"/>
  <c r="AR119" i="9" s="1"/>
  <c r="AF119" i="9"/>
  <c r="E122" i="9" a="1"/>
  <c r="E122" i="9" s="1"/>
  <c r="C121" i="9"/>
  <c r="D121" i="9"/>
  <c r="A121" i="9"/>
  <c r="AX120" i="9"/>
  <c r="AO120" i="9"/>
  <c r="AG120" i="9"/>
  <c r="X120" i="9"/>
  <c r="AK120" i="9"/>
  <c r="AS120" i="9"/>
  <c r="AW120" i="9"/>
  <c r="AN120" i="9"/>
  <c r="Y120" i="9"/>
  <c r="AC120" i="9"/>
  <c r="AJ120" i="9"/>
  <c r="AV120" i="9"/>
  <c r="AM120" i="9"/>
  <c r="AD120" i="9"/>
  <c r="W120" i="9"/>
  <c r="AT120" i="9"/>
  <c r="AU120" i="9"/>
  <c r="AL120" i="9"/>
  <c r="AE120" i="9"/>
  <c r="BA120" i="9"/>
  <c r="AB120" i="9"/>
  <c r="AZ120" i="9"/>
  <c r="AH120" i="9"/>
  <c r="Z120" i="9"/>
  <c r="AY120" i="9"/>
  <c r="AP120" i="9"/>
  <c r="AI120" i="9"/>
  <c r="AA120" i="9"/>
  <c r="J120" i="9"/>
  <c r="H120" i="9"/>
  <c r="T120" i="9"/>
  <c r="N120" i="9"/>
  <c r="R120" i="9"/>
  <c r="L120" i="9"/>
  <c r="F120" i="9"/>
  <c r="Q120" i="9"/>
  <c r="K120" i="9"/>
  <c r="P120" i="9"/>
  <c r="S120" i="9"/>
  <c r="M120" i="9"/>
  <c r="G120" i="9"/>
  <c r="U120" i="9"/>
  <c r="O120" i="9"/>
  <c r="I120" i="9"/>
  <c r="V119" i="9"/>
  <c r="BB120" i="9" l="1"/>
  <c r="BC120" i="9" s="1"/>
  <c r="AQ120" i="9"/>
  <c r="AR120" i="9" s="1"/>
  <c r="H121" i="9"/>
  <c r="N121" i="9"/>
  <c r="O121" i="9"/>
  <c r="T121" i="9"/>
  <c r="P121" i="9"/>
  <c r="K121" i="9"/>
  <c r="F121" i="9"/>
  <c r="S121" i="9"/>
  <c r="L121" i="9"/>
  <c r="M121" i="9"/>
  <c r="J121" i="9"/>
  <c r="Q121" i="9"/>
  <c r="U121" i="9"/>
  <c r="G121" i="9"/>
  <c r="I121" i="9"/>
  <c r="R121" i="9"/>
  <c r="AW121" i="9"/>
  <c r="AO121" i="9"/>
  <c r="AG121" i="9"/>
  <c r="Y121" i="9"/>
  <c r="AX121" i="9"/>
  <c r="AN121" i="9"/>
  <c r="X121" i="9"/>
  <c r="AU121" i="9"/>
  <c r="AM121" i="9"/>
  <c r="AD121" i="9"/>
  <c r="W121" i="9"/>
  <c r="AZ121" i="9"/>
  <c r="AV121" i="9"/>
  <c r="AL121" i="9"/>
  <c r="AE121" i="9"/>
  <c r="AA121" i="9"/>
  <c r="AS121" i="9"/>
  <c r="AK121" i="9"/>
  <c r="AC121" i="9"/>
  <c r="BA121" i="9"/>
  <c r="AJ121" i="9"/>
  <c r="AB121" i="9"/>
  <c r="AI121" i="9"/>
  <c r="AY121" i="9"/>
  <c r="AP121" i="9"/>
  <c r="AH121" i="9"/>
  <c r="Z121" i="9"/>
  <c r="AT121" i="9"/>
  <c r="E123" i="9" a="1"/>
  <c r="E123" i="9" s="1"/>
  <c r="A122" i="9"/>
  <c r="D122" i="9"/>
  <c r="C122" i="9"/>
  <c r="AF120" i="9"/>
  <c r="V120" i="9"/>
  <c r="BB121" i="9" l="1"/>
  <c r="BC121" i="9" s="1"/>
  <c r="AQ121" i="9"/>
  <c r="AR121" i="9" s="1"/>
  <c r="AF121" i="9"/>
  <c r="F122" i="9"/>
  <c r="M122" i="9"/>
  <c r="N122" i="9"/>
  <c r="P122" i="9"/>
  <c r="G122" i="9"/>
  <c r="Q122" i="9"/>
  <c r="O122" i="9"/>
  <c r="T122" i="9"/>
  <c r="R122" i="9"/>
  <c r="H122" i="9"/>
  <c r="J122" i="9"/>
  <c r="U122" i="9"/>
  <c r="I122" i="9"/>
  <c r="K122" i="9"/>
  <c r="L122" i="9"/>
  <c r="S122" i="9"/>
  <c r="V121" i="9"/>
  <c r="C123" i="9"/>
  <c r="E124" i="9" a="1"/>
  <c r="E124" i="9" s="1"/>
  <c r="D123" i="9"/>
  <c r="A123" i="9"/>
  <c r="AX122" i="9"/>
  <c r="AP122" i="9"/>
  <c r="AD122" i="9"/>
  <c r="Z122" i="9"/>
  <c r="AW122" i="9"/>
  <c r="AM122" i="9"/>
  <c r="AG122" i="9"/>
  <c r="W122" i="9"/>
  <c r="AV122" i="9"/>
  <c r="AN122" i="9"/>
  <c r="X122" i="9"/>
  <c r="AU122" i="9"/>
  <c r="AL122" i="9"/>
  <c r="AE122" i="9"/>
  <c r="BA122" i="9"/>
  <c r="AS122" i="9"/>
  <c r="AK122" i="9"/>
  <c r="AC122" i="9"/>
  <c r="AT122" i="9"/>
  <c r="AJ122" i="9"/>
  <c r="AB122" i="9"/>
  <c r="AY122" i="9"/>
  <c r="AO122" i="9"/>
  <c r="Y122" i="9"/>
  <c r="AZ122" i="9"/>
  <c r="AH122" i="9"/>
  <c r="AA122" i="9"/>
  <c r="AI122" i="9"/>
  <c r="BB122" i="9" l="1"/>
  <c r="BC122" i="9" s="1"/>
  <c r="AQ122" i="9"/>
  <c r="AR122" i="9" s="1"/>
  <c r="P123" i="9"/>
  <c r="K123" i="9"/>
  <c r="I123" i="9"/>
  <c r="J123" i="9"/>
  <c r="Q123" i="9"/>
  <c r="N123" i="9"/>
  <c r="O123" i="9"/>
  <c r="T123" i="9"/>
  <c r="F123" i="9"/>
  <c r="R123" i="9"/>
  <c r="L123" i="9"/>
  <c r="M123" i="9"/>
  <c r="U123" i="9"/>
  <c r="S123" i="9"/>
  <c r="H123" i="9"/>
  <c r="G123" i="9"/>
  <c r="E125" i="9" a="1"/>
  <c r="E125" i="9" s="1"/>
  <c r="A124" i="9"/>
  <c r="C124" i="9"/>
  <c r="D124" i="9"/>
  <c r="BA123" i="9"/>
  <c r="AX123" i="9"/>
  <c r="AN123" i="9"/>
  <c r="X123" i="9"/>
  <c r="AU123" i="9"/>
  <c r="AM123" i="9"/>
  <c r="AD123" i="9"/>
  <c r="W123" i="9"/>
  <c r="AV123" i="9"/>
  <c r="AL123" i="9"/>
  <c r="AE123" i="9"/>
  <c r="AS123" i="9"/>
  <c r="AK123" i="9"/>
  <c r="AC123" i="9"/>
  <c r="AT123" i="9"/>
  <c r="AB123" i="9"/>
  <c r="AI123" i="9"/>
  <c r="AA123" i="9"/>
  <c r="AY123" i="9"/>
  <c r="AJ123" i="9"/>
  <c r="AZ123" i="9"/>
  <c r="AP123" i="9"/>
  <c r="AH123" i="9"/>
  <c r="Y123" i="9"/>
  <c r="AO123" i="9"/>
  <c r="Z123" i="9"/>
  <c r="AW123" i="9"/>
  <c r="AG123" i="9"/>
  <c r="AF122" i="9"/>
  <c r="V122" i="9"/>
  <c r="BB123" i="9" l="1"/>
  <c r="BC123" i="9" s="1"/>
  <c r="AF123" i="9"/>
  <c r="AQ123" i="9"/>
  <c r="AR123" i="9" s="1"/>
  <c r="AX124" i="9"/>
  <c r="AO124" i="9"/>
  <c r="AG124" i="9"/>
  <c r="Y124" i="9"/>
  <c r="AW124" i="9"/>
  <c r="AN124" i="9"/>
  <c r="X124" i="9"/>
  <c r="AV124" i="9"/>
  <c r="AM124" i="9"/>
  <c r="AD124" i="9"/>
  <c r="W124" i="9"/>
  <c r="AE124" i="9"/>
  <c r="AT124" i="9"/>
  <c r="AK124" i="9"/>
  <c r="AY124" i="9"/>
  <c r="AP124" i="9"/>
  <c r="AI124" i="9"/>
  <c r="Z124" i="9"/>
  <c r="AU124" i="9"/>
  <c r="AL124" i="9"/>
  <c r="AC124" i="9"/>
  <c r="BA124" i="9"/>
  <c r="AS124" i="9"/>
  <c r="AJ124" i="9"/>
  <c r="AA124" i="9"/>
  <c r="AZ124" i="9"/>
  <c r="AH124" i="9"/>
  <c r="AB124" i="9"/>
  <c r="J124" i="9"/>
  <c r="R124" i="9"/>
  <c r="P124" i="9"/>
  <c r="K124" i="9"/>
  <c r="Q124" i="9"/>
  <c r="S124" i="9"/>
  <c r="T124" i="9"/>
  <c r="F124" i="9"/>
  <c r="H124" i="9"/>
  <c r="O124" i="9"/>
  <c r="U124" i="9"/>
  <c r="L124" i="9"/>
  <c r="N124" i="9"/>
  <c r="I124" i="9"/>
  <c r="G124" i="9"/>
  <c r="M124" i="9"/>
  <c r="A125" i="9"/>
  <c r="E126" i="9" a="1"/>
  <c r="E126" i="9" s="1"/>
  <c r="C125" i="9"/>
  <c r="D125" i="9"/>
  <c r="V123" i="9"/>
  <c r="BB124" i="9" l="1"/>
  <c r="BC124" i="9" s="1"/>
  <c r="AF124" i="9"/>
  <c r="D126" i="9"/>
  <c r="C126" i="9"/>
  <c r="E127" i="9" a="1"/>
  <c r="E127" i="9" s="1"/>
  <c r="A126" i="9"/>
  <c r="U125" i="9"/>
  <c r="K125" i="9"/>
  <c r="G125" i="9"/>
  <c r="Q125" i="9"/>
  <c r="O125" i="9"/>
  <c r="H125" i="9"/>
  <c r="R125" i="9"/>
  <c r="P125" i="9"/>
  <c r="S125" i="9"/>
  <c r="M125" i="9"/>
  <c r="N125" i="9"/>
  <c r="I125" i="9"/>
  <c r="F125" i="9"/>
  <c r="L125" i="9"/>
  <c r="T125" i="9"/>
  <c r="J125" i="9"/>
  <c r="V124" i="9"/>
  <c r="AU125" i="9"/>
  <c r="AM125" i="9"/>
  <c r="AD125" i="9"/>
  <c r="W125" i="9"/>
  <c r="AZ125" i="9"/>
  <c r="AT125" i="9"/>
  <c r="AI125" i="9"/>
  <c r="AA125" i="9"/>
  <c r="AP125" i="9"/>
  <c r="Z125" i="9"/>
  <c r="AV125" i="9"/>
  <c r="AL125" i="9"/>
  <c r="AE125" i="9"/>
  <c r="AS125" i="9"/>
  <c r="AK125" i="9"/>
  <c r="AX125" i="9"/>
  <c r="AN125" i="9"/>
  <c r="X125" i="9"/>
  <c r="AC125" i="9"/>
  <c r="BA125" i="9"/>
  <c r="AJ125" i="9"/>
  <c r="AB125" i="9"/>
  <c r="AY125" i="9"/>
  <c r="AH125" i="9"/>
  <c r="AW125" i="9"/>
  <c r="AO125" i="9"/>
  <c r="AG125" i="9"/>
  <c r="Y125" i="9"/>
  <c r="AQ124" i="9"/>
  <c r="AR124" i="9" s="1"/>
  <c r="BB125" i="9" l="1"/>
  <c r="BC125" i="9" s="1"/>
  <c r="V125" i="9"/>
  <c r="AF125" i="9"/>
  <c r="AQ125" i="9"/>
  <c r="AR125" i="9" s="1"/>
  <c r="K126" i="9"/>
  <c r="L126" i="9"/>
  <c r="M126" i="9"/>
  <c r="N126" i="9"/>
  <c r="G126" i="9"/>
  <c r="S126" i="9"/>
  <c r="H126" i="9"/>
  <c r="F126" i="9"/>
  <c r="Q126" i="9"/>
  <c r="U126" i="9"/>
  <c r="P126" i="9"/>
  <c r="R126" i="9"/>
  <c r="O126" i="9"/>
  <c r="T126" i="9"/>
  <c r="J126" i="9"/>
  <c r="I126" i="9"/>
  <c r="C127" i="9"/>
  <c r="E128" i="9" a="1"/>
  <c r="E128" i="9" s="1"/>
  <c r="D127" i="9"/>
  <c r="A127" i="9"/>
  <c r="AV126" i="9"/>
  <c r="AN126" i="9"/>
  <c r="X126" i="9"/>
  <c r="AT126" i="9"/>
  <c r="AJ126" i="9"/>
  <c r="AS126" i="9"/>
  <c r="AC126" i="9"/>
  <c r="AW126" i="9"/>
  <c r="W126" i="9"/>
  <c r="AU126" i="9"/>
  <c r="AL126" i="9"/>
  <c r="AE126" i="9"/>
  <c r="AB126" i="9"/>
  <c r="BA126" i="9"/>
  <c r="AK126" i="9"/>
  <c r="AZ126" i="9"/>
  <c r="AH126" i="9"/>
  <c r="AG126" i="9"/>
  <c r="AA126" i="9"/>
  <c r="AM126" i="9"/>
  <c r="AY126" i="9"/>
  <c r="AO126" i="9"/>
  <c r="AI126" i="9"/>
  <c r="Y126" i="9"/>
  <c r="AX126" i="9"/>
  <c r="AP126" i="9"/>
  <c r="AD126" i="9"/>
  <c r="Z126" i="9"/>
  <c r="BB126" i="9" l="1"/>
  <c r="BC126" i="9" s="1"/>
  <c r="Q127" i="9"/>
  <c r="N127" i="9"/>
  <c r="L127" i="9"/>
  <c r="S127" i="9"/>
  <c r="T127" i="9"/>
  <c r="F127" i="9"/>
  <c r="R127" i="9"/>
  <c r="P127" i="9"/>
  <c r="K127" i="9"/>
  <c r="M127" i="9"/>
  <c r="G127" i="9"/>
  <c r="U127" i="9"/>
  <c r="J127" i="9"/>
  <c r="H127" i="9"/>
  <c r="I127" i="9"/>
  <c r="O127" i="9"/>
  <c r="AQ126" i="9"/>
  <c r="AR126" i="9" s="1"/>
  <c r="A128" i="9"/>
  <c r="C128" i="9"/>
  <c r="D128" i="9"/>
  <c r="AU127" i="9"/>
  <c r="AL127" i="9"/>
  <c r="AE127" i="9"/>
  <c r="AS127" i="9"/>
  <c r="AK127" i="9"/>
  <c r="AC127" i="9"/>
  <c r="BA127" i="9"/>
  <c r="AT127" i="9"/>
  <c r="AI127" i="9"/>
  <c r="AB127" i="9"/>
  <c r="AW127" i="9"/>
  <c r="AN127" i="9"/>
  <c r="X127" i="9"/>
  <c r="AY127" i="9"/>
  <c r="AJ127" i="9"/>
  <c r="AA127" i="9"/>
  <c r="AZ127" i="9"/>
  <c r="AP127" i="9"/>
  <c r="AH127" i="9"/>
  <c r="Z127" i="9"/>
  <c r="AX127" i="9"/>
  <c r="AO127" i="9"/>
  <c r="AG127" i="9"/>
  <c r="Y127" i="9"/>
  <c r="AV127" i="9"/>
  <c r="AM127" i="9"/>
  <c r="AD127" i="9"/>
  <c r="W127" i="9"/>
  <c r="AF126" i="9"/>
  <c r="V126" i="9"/>
  <c r="BB127" i="9" l="1"/>
  <c r="AQ127" i="9"/>
  <c r="AR127" i="9" s="1"/>
  <c r="V127" i="9"/>
  <c r="AW128" i="9"/>
  <c r="AM128" i="9"/>
  <c r="AD128" i="9"/>
  <c r="X128" i="9"/>
  <c r="AT128" i="9"/>
  <c r="AK128" i="9"/>
  <c r="AE128" i="9"/>
  <c r="AU128" i="9"/>
  <c r="AL128" i="9"/>
  <c r="AC128" i="9"/>
  <c r="AZ128" i="9"/>
  <c r="AP128" i="9"/>
  <c r="AJ128" i="9"/>
  <c r="AB128" i="9"/>
  <c r="AO128" i="9"/>
  <c r="Y128" i="9"/>
  <c r="AV128" i="9"/>
  <c r="AN128" i="9"/>
  <c r="W128" i="9"/>
  <c r="BA128" i="9"/>
  <c r="AS128" i="9"/>
  <c r="AI128" i="9"/>
  <c r="Z128" i="9"/>
  <c r="AY128" i="9"/>
  <c r="AG128" i="9"/>
  <c r="AX128" i="9"/>
  <c r="AH128" i="9"/>
  <c r="AA128" i="9"/>
  <c r="K128" i="9"/>
  <c r="I128" i="9"/>
  <c r="G7" i="17"/>
  <c r="N7" i="17"/>
  <c r="S128" i="9"/>
  <c r="U128" i="9"/>
  <c r="O7" i="17"/>
  <c r="K7" i="17"/>
  <c r="D7" i="17"/>
  <c r="F128" i="9"/>
  <c r="L128" i="9"/>
  <c r="I7" i="17"/>
  <c r="M7" i="17"/>
  <c r="N128" i="9"/>
  <c r="M128" i="9"/>
  <c r="F7" i="17"/>
  <c r="J7" i="17"/>
  <c r="T128" i="9"/>
  <c r="P7" i="17"/>
  <c r="R128" i="9"/>
  <c r="H128" i="9"/>
  <c r="E7" i="17"/>
  <c r="G128" i="9"/>
  <c r="Q128" i="9"/>
  <c r="Q7" i="17"/>
  <c r="C7" i="17"/>
  <c r="J128" i="9"/>
  <c r="B7" i="17"/>
  <c r="O128" i="9"/>
  <c r="P128" i="9"/>
  <c r="L7" i="17"/>
  <c r="H7" i="17"/>
  <c r="AF127" i="9"/>
  <c r="BC127" i="9"/>
  <c r="C4" i="23" l="1" a="1"/>
  <c r="C4" i="23" s="1"/>
  <c r="BB128" i="9"/>
  <c r="BC128" i="9" s="1"/>
  <c r="AQ128" i="9"/>
  <c r="AR128" i="9" s="1"/>
  <c r="AF128" i="9"/>
  <c r="T7" i="17"/>
  <c r="S7" i="17" s="1"/>
  <c r="V128" i="9"/>
  <c r="R7"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<sst xmlns="http://schemas.openxmlformats.org/spreadsheetml/2006/main" count="3886" uniqueCount="483">
  <si>
    <t>Homes England cashflow</t>
  </si>
  <si>
    <t>This spreadsheet contains six tabs.</t>
  </si>
  <si>
    <t>Table of contents</t>
  </si>
  <si>
    <t>1. Set up - complete this to set up your spreadsheet correctly</t>
  </si>
  <si>
    <t>2. Homes</t>
  </si>
  <si>
    <t>3. Project costs</t>
  </si>
  <si>
    <t>4. Funding</t>
  </si>
  <si>
    <t>Financial summary - this summary will populate as you complete the spreadsheet</t>
  </si>
  <si>
    <t xml:space="preserve">Introduction </t>
  </si>
  <si>
    <t>Use this spreadsheet to submit a cashflow. Once it is filled in, email it to your Homes England contact.
They will use this information to begin refining your cashflow with you.</t>
  </si>
  <si>
    <t xml:space="preserve">Set up </t>
  </si>
  <si>
    <t>Guidance</t>
  </si>
  <si>
    <t>Read our guidance for step-by-step help to complete the spreadsheet correctly. To understand the wording and terminology within the spreadsheet, use our cashflow glossary.</t>
  </si>
  <si>
    <t>Learn how to complete your Homes England cashflow (opens in a new window)</t>
  </si>
  <si>
    <t>Read the cashflow glossary (opens in a new window)</t>
  </si>
  <si>
    <t>Contact</t>
  </si>
  <si>
    <t xml:space="preserve">If you have any questions while completing your cashflow, get in touch with your Homes England contact. </t>
  </si>
  <si>
    <t>Date of publication</t>
  </si>
  <si>
    <t>Date published: 3 November 2023</t>
  </si>
  <si>
    <t>Version</t>
  </si>
  <si>
    <t>Version number: v.1</t>
  </si>
  <si>
    <t xml:space="preserve">Page 1: Set up </t>
  </si>
  <si>
    <t>Read the glossary</t>
  </si>
  <si>
    <t>Read the guidance</t>
  </si>
  <si>
    <t>Fill in this tab first, to make sure your spreadsheet is set up correctly. 
This information will add the right dates to your timeline and add the right amount of homes for you to complete.</t>
  </si>
  <si>
    <t>Back to cover sheet</t>
  </si>
  <si>
    <t>Information required</t>
  </si>
  <si>
    <t>Answer</t>
  </si>
  <si>
    <t>Error check</t>
  </si>
  <si>
    <t xml:space="preserve">Project  name </t>
  </si>
  <si>
    <t>No error</t>
  </si>
  <si>
    <t>Project start date
(month)</t>
  </si>
  <si>
    <t>January</t>
  </si>
  <si>
    <t>Project start date 
(year)</t>
  </si>
  <si>
    <t>Project duration including sales
(number of months)</t>
  </si>
  <si>
    <t>Month the project is expected to complete 
(month)</t>
  </si>
  <si>
    <t>Year the project is expected to complete 
(year)</t>
  </si>
  <si>
    <t>Total number of homes 
(number)</t>
  </si>
  <si>
    <t>Page 2: Homes</t>
  </si>
  <si>
    <t>Enter details and select options to tell us about your homes.</t>
  </si>
  <si>
    <t>Go to next step</t>
  </si>
  <si>
    <t>ID</t>
  </si>
  <si>
    <t>Home type / name</t>
  </si>
  <si>
    <t>Number of bedrooms</t>
  </si>
  <si>
    <t>Property type</t>
  </si>
  <si>
    <t>Tenure</t>
  </si>
  <si>
    <t>Tenure detail</t>
  </si>
  <si>
    <t>Build type</t>
  </si>
  <si>
    <t>Home size in square feet</t>
  </si>
  <si>
    <t>Expected physical completion month</t>
  </si>
  <si>
    <t>Expected physical completion year</t>
  </si>
  <si>
    <t>Expected sale completion month</t>
  </si>
  <si>
    <t>Expected sale completion year</t>
  </si>
  <si>
    <t>Expected sales revenue</t>
  </si>
  <si>
    <t>Bungalow</t>
  </si>
  <si>
    <t>Open market housing</t>
  </si>
  <si>
    <t>New build</t>
  </si>
  <si>
    <t>Combined traditional and MMC</t>
  </si>
  <si>
    <t>March</t>
  </si>
  <si>
    <t>Page 3: Project costs</t>
  </si>
  <si>
    <t>Add all the costs associated with your development. If there are months with no costs, you can enter a 0 in the dated column.  
If there are rows with costs that don’t apply to your build, you can enter a 0.</t>
  </si>
  <si>
    <t>Cost category</t>
  </si>
  <si>
    <t>Total per cost category</t>
  </si>
  <si>
    <t>Costs incurred to date</t>
  </si>
  <si>
    <t>Month 1</t>
  </si>
  <si>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</si>
  <si>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</si>
  <si>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</si>
  <si>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</si>
  <si>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</si>
  <si>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</si>
  <si>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</si>
  <si>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</si>
  <si>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</si>
  <si>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</si>
  <si>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</si>
  <si>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</si>
  <si>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</si>
  <si>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</si>
  <si>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</si>
  <si>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</si>
  <si>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</si>
  <si>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Month 19</t>
  </si>
  <si>
    <t>Month 20</t>
  </si>
  <si>
    <t>Month 21</t>
  </si>
  <si>
    <t>Month 22</t>
  </si>
  <si>
    <t>Month 23</t>
  </si>
  <si>
    <t>Month 24</t>
  </si>
  <si>
    <t>Month 25</t>
  </si>
  <si>
    <t>Month 26</t>
  </si>
  <si>
    <t>Month 27</t>
  </si>
  <si>
    <t>Month 28</t>
  </si>
  <si>
    <t>Month 29</t>
  </si>
  <si>
    <t>Month 30</t>
  </si>
  <si>
    <t>Month 31</t>
  </si>
  <si>
    <t>Month 32</t>
  </si>
  <si>
    <t>Month 33</t>
  </si>
  <si>
    <t>Month 34</t>
  </si>
  <si>
    <t>Month 35</t>
  </si>
  <si>
    <t>Month 36</t>
  </si>
  <si>
    <t>Month 37</t>
  </si>
  <si>
    <t>Month 38</t>
  </si>
  <si>
    <t>Month 39</t>
  </si>
  <si>
    <t>Month 40</t>
  </si>
  <si>
    <t>Month 41</t>
  </si>
  <si>
    <t>Month 42</t>
  </si>
  <si>
    <t>Month 43</t>
  </si>
  <si>
    <t>Month 44</t>
  </si>
  <si>
    <t>Month 45</t>
  </si>
  <si>
    <t>Month 46</t>
  </si>
  <si>
    <t>Month 47</t>
  </si>
  <si>
    <t>Month 48</t>
  </si>
  <si>
    <t>Month 49</t>
  </si>
  <si>
    <t>Month 50</t>
  </si>
  <si>
    <t>Month 51</t>
  </si>
  <si>
    <t>Month 52</t>
  </si>
  <si>
    <t>Month 53</t>
  </si>
  <si>
    <t>Month 54</t>
  </si>
  <si>
    <t>Month 55</t>
  </si>
  <si>
    <t>Month 56</t>
  </si>
  <si>
    <t>Month 57</t>
  </si>
  <si>
    <t>Month 58</t>
  </si>
  <si>
    <t>Month 59</t>
  </si>
  <si>
    <t>Month 60</t>
  </si>
  <si>
    <t>Month 61</t>
  </si>
  <si>
    <t>Month 62</t>
  </si>
  <si>
    <t>Month 63</t>
  </si>
  <si>
    <t>Month 64</t>
  </si>
  <si>
    <t>Month 65</t>
  </si>
  <si>
    <t>Month 66</t>
  </si>
  <si>
    <t>Month 67</t>
  </si>
  <si>
    <t>Month 68</t>
  </si>
  <si>
    <t>Month 69</t>
  </si>
  <si>
    <t>Month 70</t>
  </si>
  <si>
    <t>Month 71</t>
  </si>
  <si>
    <t>Month 72</t>
  </si>
  <si>
    <t>Month 73</t>
  </si>
  <si>
    <t>Month 74</t>
  </si>
  <si>
    <t>Month 75</t>
  </si>
  <si>
    <t>Month 76</t>
  </si>
  <si>
    <t>Month 77</t>
  </si>
  <si>
    <t>Month 78</t>
  </si>
  <si>
    <t>Month 79</t>
  </si>
  <si>
    <t>Month 80</t>
  </si>
  <si>
    <t>Month 81</t>
  </si>
  <si>
    <t>Month 82</t>
  </si>
  <si>
    <t>Month 83</t>
  </si>
  <si>
    <t>Month 84</t>
  </si>
  <si>
    <t>Month 85</t>
  </si>
  <si>
    <t>Month 86</t>
  </si>
  <si>
    <t>Month 87</t>
  </si>
  <si>
    <t>Month 88</t>
  </si>
  <si>
    <t>Month 89</t>
  </si>
  <si>
    <t>Month 90</t>
  </si>
  <si>
    <t>Month 91</t>
  </si>
  <si>
    <t>Month 92</t>
  </si>
  <si>
    <t>Month 93</t>
  </si>
  <si>
    <t>Month 94</t>
  </si>
  <si>
    <t>Month 95</t>
  </si>
  <si>
    <t>Month 96</t>
  </si>
  <si>
    <t>Month 97</t>
  </si>
  <si>
    <t>Month 98</t>
  </si>
  <si>
    <t>Month 99</t>
  </si>
  <si>
    <t>Month 100</t>
  </si>
  <si>
    <t>Month 101</t>
  </si>
  <si>
    <t>Month 102</t>
  </si>
  <si>
    <t>Month 103</t>
  </si>
  <si>
    <t>Month 104</t>
  </si>
  <si>
    <t>Month 105</t>
  </si>
  <si>
    <t>Month 106</t>
  </si>
  <si>
    <t>Month 107</t>
  </si>
  <si>
    <t>Month 108</t>
  </si>
  <si>
    <t>Month 109</t>
  </si>
  <si>
    <t>Month 110</t>
  </si>
  <si>
    <t>Month 111</t>
  </si>
  <si>
    <t>Month 112</t>
  </si>
  <si>
    <t>Month 113</t>
  </si>
  <si>
    <t>Month 114</t>
  </si>
  <si>
    <t>Month 115</t>
  </si>
  <si>
    <t>Month 116</t>
  </si>
  <si>
    <t>Month 117</t>
  </si>
  <si>
    <t>Month 118</t>
  </si>
  <si>
    <t>Month 119</t>
  </si>
  <si>
    <t>Month 120</t>
  </si>
  <si>
    <t>Month 121</t>
  </si>
  <si>
    <t>Month 122</t>
  </si>
  <si>
    <t>Month 123</t>
  </si>
  <si>
    <t>Month 124</t>
  </si>
  <si>
    <t>Month</t>
  </si>
  <si>
    <t>Blank cell</t>
  </si>
  <si>
    <t>Land cost (purchase)</t>
  </si>
  <si>
    <t>Land acquisition costs</t>
  </si>
  <si>
    <t>Professional fees</t>
  </si>
  <si>
    <t>Prelim costs</t>
  </si>
  <si>
    <t>Infrastructure costs</t>
  </si>
  <si>
    <t>Abnormal costs</t>
  </si>
  <si>
    <t>MMC costs</t>
  </si>
  <si>
    <t>Construction costs</t>
  </si>
  <si>
    <t>S106/CIL costs</t>
  </si>
  <si>
    <t>Sales costs</t>
  </si>
  <si>
    <t>Contingency</t>
  </si>
  <si>
    <t>Enter your first additional cost name here</t>
  </si>
  <si>
    <t>Enter your second additional cost name here</t>
  </si>
  <si>
    <t>Enter your third additional cost name here</t>
  </si>
  <si>
    <t>Enter your fourth additional cost name here</t>
  </si>
  <si>
    <t>Enter your fifth additional cost name here</t>
  </si>
  <si>
    <t>Total costs</t>
  </si>
  <si>
    <t>Page 4: Funding</t>
  </si>
  <si>
    <t>Answer the questions to tell us about your funding. If you are unsure about how to answer these questions, get in touch with your Homes England contact.</t>
  </si>
  <si>
    <t>Go to financial summary</t>
  </si>
  <si>
    <t>The following six questions are mandatory.</t>
  </si>
  <si>
    <t>Required/not required</t>
  </si>
  <si>
    <t>Questions</t>
  </si>
  <si>
    <t>Your answers</t>
  </si>
  <si>
    <t>Required</t>
  </si>
  <si>
    <t>Equity invested to date (excluding any uplifts in land value)</t>
  </si>
  <si>
    <t>Equity available to invest in the future</t>
  </si>
  <si>
    <t>Current land value</t>
  </si>
  <si>
    <t>Will other loans be used alongside a Homes England loan for this project?</t>
  </si>
  <si>
    <t>How many other loans?</t>
  </si>
  <si>
    <t>Are you planning to use any Homes England loans to repay your other loans?</t>
  </si>
  <si>
    <t>What is the name of the lender?</t>
  </si>
  <si>
    <t>What is the value of the loan?</t>
  </si>
  <si>
    <t>How do you plan on repaying this other loan?</t>
  </si>
  <si>
    <t>What is the final repayment date? (month)</t>
  </si>
  <si>
    <t>What is the final repayment date? (year)</t>
  </si>
  <si>
    <t>Financial summary</t>
  </si>
  <si>
    <t xml:space="preserve">A summary of the amounts you have entered and the total costs will appear here once you have completed the spreadsheet. </t>
  </si>
  <si>
    <t>Go to how to submit</t>
  </si>
  <si>
    <t>Costs summary</t>
  </si>
  <si>
    <t>Total costs £</t>
  </si>
  <si>
    <t>Change values</t>
  </si>
  <si>
    <t>Change</t>
  </si>
  <si>
    <t>Project metrics</t>
  </si>
  <si>
    <t>Value</t>
  </si>
  <si>
    <t>Gross development value</t>
  </si>
  <si>
    <t>Average cost per square foot</t>
  </si>
  <si>
    <t>Average value per square foot</t>
  </si>
  <si>
    <t>Profit summary</t>
  </si>
  <si>
    <t>Developer profit (excluding finance costs)</t>
  </si>
  <si>
    <t>Gross margin</t>
  </si>
  <si>
    <t>Error Checks</t>
  </si>
  <si>
    <t>Expected Physical Completion Month</t>
  </si>
  <si>
    <t>Expected Physical Completion Year</t>
  </si>
  <si>
    <t>Expected Physical Completion Month and Year</t>
  </si>
  <si>
    <t>Expected Sale Completion Month</t>
  </si>
  <si>
    <t>Expected Sale Completion Year</t>
  </si>
  <si>
    <t>Expected Sale Completion Month and Year</t>
  </si>
  <si>
    <t>Messages</t>
  </si>
  <si>
    <t>Not blank, a number</t>
  </si>
  <si>
    <t>Not empty</t>
  </si>
  <si>
    <t>Not blank</t>
  </si>
  <si>
    <t>A number and greater than 500</t>
  </si>
  <si>
    <t>In the future</t>
  </si>
  <si>
    <t>After project start date</t>
  </si>
  <si>
    <t>Before project end date</t>
  </si>
  <si>
    <t>After physical completion date</t>
  </si>
  <si>
    <t>A number</t>
  </si>
  <si>
    <t>Over 10k</t>
  </si>
  <si>
    <t>0 or blank</t>
  </si>
  <si>
    <t>Field</t>
  </si>
  <si>
    <t>Check</t>
  </si>
  <si>
    <t>Message</t>
  </si>
  <si>
    <t>Enter the number of bedrooms as a number using digits 1 to 10</t>
  </si>
  <si>
    <t>Select a property type</t>
  </si>
  <si>
    <t>Select a tenure</t>
  </si>
  <si>
    <t>Select a tenure detail</t>
  </si>
  <si>
    <t>Select a build type</t>
  </si>
  <si>
    <t>Square feet</t>
  </si>
  <si>
    <t>Enter the size of the home in square feet</t>
  </si>
  <si>
    <t>Check the value you have entered is in square feet rather than square metres</t>
  </si>
  <si>
    <t>Enter an expected physical completion month</t>
  </si>
  <si>
    <t>Enter an expected physical completion year</t>
  </si>
  <si>
    <t>Expected physical completion date</t>
  </si>
  <si>
    <t>Enter an expected physical completion date in the future</t>
  </si>
  <si>
    <t/>
  </si>
  <si>
    <t>The expected physical completion date must be after the project start date</t>
  </si>
  <si>
    <t>The expected physical completion date must be before the project end date</t>
  </si>
  <si>
    <t>Enter an expected sales completion month</t>
  </si>
  <si>
    <t>Enter an expected sales completion year</t>
  </si>
  <si>
    <t>Expected sale completion date</t>
  </si>
  <si>
    <t>Enter an expected sales completion date in the future</t>
  </si>
  <si>
    <t>The expected sale completion date must be after the expected physical completion date</t>
  </si>
  <si>
    <t>The expected sale completion date must be before the project end date</t>
  </si>
  <si>
    <t>A number*</t>
  </si>
  <si>
    <t>Enter the expected sales revenue</t>
  </si>
  <si>
    <t>Rev over 10k*</t>
  </si>
  <si>
    <t>Enter the expected revenue in full, do not shorten to a value in thousands</t>
  </si>
  <si>
    <t xml:space="preserve"> If you are renting the property, enter 0 in expected sales revenue</t>
  </si>
  <si>
    <t>Import Plots</t>
  </si>
  <si>
    <t>Import</t>
  </si>
  <si>
    <t>PropertyTypeCategoryCode</t>
  </si>
  <si>
    <t>TenureCategoryCode</t>
  </si>
  <si>
    <t>Tenure Detail</t>
  </si>
  <si>
    <t>TenureDetailCategoryCode</t>
  </si>
  <si>
    <t>BuildTypeCategoryCode</t>
  </si>
  <si>
    <t>Square metres (converstion)</t>
  </si>
  <si>
    <t>Expected Physical Completion Date</t>
  </si>
  <si>
    <t>Categorised Completion Date Key</t>
  </si>
  <si>
    <t>Expected Sale Completion Date</t>
  </si>
  <si>
    <t>Categorised Sale Date Key</t>
  </si>
  <si>
    <t>Import Labels</t>
  </si>
  <si>
    <t>Custom cost</t>
  </si>
  <si>
    <t>AdditionalCost1</t>
  </si>
  <si>
    <t>AdditionalCost2</t>
  </si>
  <si>
    <t>AdditionalCost3</t>
  </si>
  <si>
    <t>AdditionalCost4</t>
  </si>
  <si>
    <t>AdditionalCost5</t>
  </si>
  <si>
    <t>Description</t>
  </si>
  <si>
    <t>TotalDevCosts</t>
  </si>
  <si>
    <t>ContingencyPercent</t>
  </si>
  <si>
    <t>Project Name</t>
  </si>
  <si>
    <t>Project Start Date</t>
  </si>
  <si>
    <t>Project Duration</t>
  </si>
  <si>
    <t>Expected Project Completion Date</t>
  </si>
  <si>
    <t>Final Home Completion Date</t>
  </si>
  <si>
    <t>Final Sale Date</t>
  </si>
  <si>
    <t>Earliest Completion Date</t>
  </si>
  <si>
    <t>Earliest Sale Date</t>
  </si>
  <si>
    <t>MMC Costs Present</t>
  </si>
  <si>
    <t>MMC Costs Present Category Code</t>
  </si>
  <si>
    <t>Number of Homes</t>
  </si>
  <si>
    <t>Reference Data</t>
  </si>
  <si>
    <t>Property Type</t>
  </si>
  <si>
    <t>Build Type</t>
  </si>
  <si>
    <t>Yes / No / NA</t>
  </si>
  <si>
    <t>Yes / No MMC Costs</t>
  </si>
  <si>
    <t>Year</t>
  </si>
  <si>
    <t>Terrace house</t>
  </si>
  <si>
    <t>Traditional</t>
  </si>
  <si>
    <t>Yes</t>
  </si>
  <si>
    <t>Affordable Rent</t>
  </si>
  <si>
    <t>Custom build</t>
  </si>
  <si>
    <t>Detached house</t>
  </si>
  <si>
    <t>MMC</t>
  </si>
  <si>
    <t>No</t>
  </si>
  <si>
    <t>February</t>
  </si>
  <si>
    <t>Affordable Home Ownership (AHO) (AHP) - Shared equity</t>
  </si>
  <si>
    <t>Rehabilitated</t>
  </si>
  <si>
    <t>Semi-detached house</t>
  </si>
  <si>
    <t>N/A</t>
  </si>
  <si>
    <t>Affordable Home Ownership (AHO) (AHP) - Intermediate rent</t>
  </si>
  <si>
    <t>Private rented sector</t>
  </si>
  <si>
    <t>Other</t>
  </si>
  <si>
    <t>April</t>
  </si>
  <si>
    <t>Affordable Home Ownership (AHO) (AHP) - Shared ownership</t>
  </si>
  <si>
    <t>Flat</t>
  </si>
  <si>
    <t>May</t>
  </si>
  <si>
    <t>Affordable Home Ownership (AHO) (Non-AHP) - Shared equity</t>
  </si>
  <si>
    <t>June</t>
  </si>
  <si>
    <t>Affordable Home Ownership (AHO) (Non-AHP) - Intermediate rent</t>
  </si>
  <si>
    <t>July</t>
  </si>
  <si>
    <t>Affordable Home Ownership (AHO) (Non-AHP) - Shared ownership</t>
  </si>
  <si>
    <t>August</t>
  </si>
  <si>
    <t>Other (include any social rent, LCHO and intermediate rent)</t>
  </si>
  <si>
    <t>September</t>
  </si>
  <si>
    <t>October</t>
  </si>
  <si>
    <t>November</t>
  </si>
  <si>
    <t>December</t>
  </si>
  <si>
    <t>Import Costs</t>
  </si>
  <si>
    <t>Month Number</t>
  </si>
  <si>
    <t>Date</t>
  </si>
  <si>
    <t>Open market housing build completions</t>
  </si>
  <si>
    <t>Affordable rent build completions</t>
  </si>
  <si>
    <t>Affordable Home Ownership (AHO) (AHP) - Shared equity build completions</t>
  </si>
  <si>
    <t>Affordable Home Ownership (AHO) (AHP) - Intermediate rent build completions</t>
  </si>
  <si>
    <t>Affordable Home Ownership (AHO) (AHP) - Shared ownership build completions</t>
  </si>
  <si>
    <t>Affordable Home Ownership (AHO) (Non-AHP) - Shared equity build completions</t>
  </si>
  <si>
    <t>Affordable Home Ownership (AHO) (Non-AHP) - Intermediate rent build completions</t>
  </si>
  <si>
    <t>Affordable Home Ownership (AHO) (Non-AHP) - Shared ownership build completions</t>
  </si>
  <si>
    <t>Other (include any social rent, LCHO and intermediate rent) build completions</t>
  </si>
  <si>
    <t>Sum of AH Build Completions</t>
  </si>
  <si>
    <t>Total build completions</t>
  </si>
  <si>
    <t>Open market housing sale completions</t>
  </si>
  <si>
    <t>Affordable rent sales completions</t>
  </si>
  <si>
    <t>Affordable Home Ownership (AHO) (AHP) - Shared equity sale completions</t>
  </si>
  <si>
    <t>Affordable Home Ownership (AHO) (AHP) - Intermediate rent sale completions</t>
  </si>
  <si>
    <t>Affordable Home Ownership (AHO) (AHP) - Shared ownership sale completions</t>
  </si>
  <si>
    <t>Affordable Home Ownership (AHO) (Non-AHP) - Shared equity sale completions</t>
  </si>
  <si>
    <t>Affordable Home Ownership (AHO) (Non-AHP) - Intermediate rent sale completions</t>
  </si>
  <si>
    <t>Affordable Home Ownership (AHO) (Non-AHP) - Shared ownership sale completions</t>
  </si>
  <si>
    <t>Other (include any social rent, LCHO and intermediate rent) sale completions</t>
  </si>
  <si>
    <t>Sum of AH Sales Completions</t>
  </si>
  <si>
    <t>Total sale completions</t>
  </si>
  <si>
    <t>Open market housing sales revenue</t>
  </si>
  <si>
    <t>Affordable rent sales revenue</t>
  </si>
  <si>
    <t>Affordable Home Ownership (AHO) (AHP) - Shared equity sales revenue</t>
  </si>
  <si>
    <t>Affordable Home Ownership (AHO) (AHP) - Intermediate rent sales revenue</t>
  </si>
  <si>
    <t>Affordable Home Ownership (AHO) (AHP) - Shared ownership sales revenue</t>
  </si>
  <si>
    <t>Affordable Home Ownership (AHO) (Non-AHP) - Shared equity sales revenue</t>
  </si>
  <si>
    <t>Affordable Home Ownership (AHO) (Non-AHP) - Intermediate rent sales revenue</t>
  </si>
  <si>
    <t>Affordable Home Ownership (AHO) (Non-AHP) - Shared ownership sales revenue</t>
  </si>
  <si>
    <t>Other (include any social rent, LCHO and intermediate rent) sales revenue</t>
  </si>
  <si>
    <t>Sum of AH Sales Revenue</t>
  </si>
  <si>
    <t>Total sales revenue</t>
  </si>
  <si>
    <t>Import Funding</t>
  </si>
  <si>
    <t>Lookup</t>
  </si>
  <si>
    <t>Equity Invested to Date</t>
  </si>
  <si>
    <t>Equity Available to Invest in the Future</t>
  </si>
  <si>
    <t>Current Land Value</t>
  </si>
  <si>
    <t>Non-HE Loans in Use</t>
  </si>
  <si>
    <t>Non-HE Loans in Use Category Code</t>
  </si>
  <si>
    <t>Number of Other Loans</t>
  </si>
  <si>
    <t>HE Loan to Repay Other Loans</t>
  </si>
  <si>
    <t>HE Loan to Repay Other Loans Category Code</t>
  </si>
  <si>
    <t>Loan number</t>
  </si>
  <si>
    <t>Loan Number</t>
  </si>
  <si>
    <t>Name of the Lender</t>
  </si>
  <si>
    <t>Value of the Loan</t>
  </si>
  <si>
    <t>Plan to Repay the Loan</t>
  </si>
  <si>
    <t>Final Repayment Month</t>
  </si>
  <si>
    <t>Final Repayment Year</t>
  </si>
  <si>
    <t>Final Repayment Date</t>
  </si>
  <si>
    <t>Error Import</t>
  </si>
  <si>
    <t>Error Type</t>
  </si>
  <si>
    <t>Error Type Category Code</t>
  </si>
  <si>
    <t>Dynamics Error Message</t>
  </si>
  <si>
    <t>Error Present?</t>
  </si>
  <si>
    <t>Sheet</t>
  </si>
  <si>
    <t>1_SetUp</t>
  </si>
  <si>
    <t>Enter the project start date month</t>
  </si>
  <si>
    <t>Enter the project start date year</t>
  </si>
  <si>
    <t>The Borrower has not provided a start date month for their project in the 1_SetUp sheet of the Initial Cashflow spreadsheet</t>
  </si>
  <si>
    <t>The Borrower has not provided a start date year for their project in the 1_SetUp sheet of the Initial Cashflow spreadsheet</t>
  </si>
  <si>
    <t>Enter the project duration including sales</t>
  </si>
  <si>
    <t>The Borrower has not provided the project duration for their project in the 1_SetUp sheet of the Initial Cashflow spreadsheet</t>
  </si>
  <si>
    <t>Set Up Error</t>
  </si>
  <si>
    <t>Issue Type</t>
  </si>
  <si>
    <t>Comparison Difference</t>
  </si>
  <si>
    <t>Home Error</t>
  </si>
  <si>
    <t>You must be developing at least five homes</t>
  </si>
  <si>
    <t>The Borrower has provided a number less than 5 in response to the number of homes question in the 1_SetUp sheet of the Initial Cashflow spreadsheet</t>
  </si>
  <si>
    <t>Error Check</t>
  </si>
  <si>
    <t>4_Funding</t>
  </si>
  <si>
    <t>Enter the equity invested</t>
  </si>
  <si>
    <t>Enter the equity available</t>
  </si>
  <si>
    <t>Enter yes or no or N/A</t>
  </si>
  <si>
    <t>Enter the number of other loans</t>
  </si>
  <si>
    <t>Enter the name of the lender</t>
  </si>
  <si>
    <t>Enter the loan value</t>
  </si>
  <si>
    <t>Enter how you plan on repaying the loan</t>
  </si>
  <si>
    <t>Enter the month of the final repayment</t>
  </si>
  <si>
    <t>Enter the year of the final repayment</t>
  </si>
  <si>
    <t>The Borrower has not stated the amount of equity invested</t>
  </si>
  <si>
    <t>The Borrower has not stated the equity they have available</t>
  </si>
  <si>
    <t>Funding Error</t>
  </si>
  <si>
    <t>The Borrower has not stated if this loan will be used to repay other loans</t>
  </si>
  <si>
    <t>The Borrower has not stated the number of other loans they are / plan to use</t>
  </si>
  <si>
    <t>The Borrower has not provided the name of their first other lender</t>
  </si>
  <si>
    <t>The Borrower has not provided the name of their second other lender</t>
  </si>
  <si>
    <t>The Borrower has not provided the loan value of their first other loan</t>
  </si>
  <si>
    <t>The Borrower has not stated how they plan on repaying their first other loan</t>
  </si>
  <si>
    <t>The Borrower has not provided the loan value of their second other loan</t>
  </si>
  <si>
    <t>The Borrower has not stated how they plan on repaying their second other loan</t>
  </si>
  <si>
    <t>The Borrower has not stated what month the final repayment of their first other loan is due</t>
  </si>
  <si>
    <t>The Borrower has not stated what year the final repayment of their first other loan is due</t>
  </si>
  <si>
    <t>The Borrower has not stated what month the final repayment of their second other loan is due</t>
  </si>
  <si>
    <t>The Borrower has not stated what year the final repayment of their second other loan is due</t>
  </si>
  <si>
    <t>The Borrower has not provided the name of their third other lender</t>
  </si>
  <si>
    <t>The Borrower has not provided the loan value of their third other loan</t>
  </si>
  <si>
    <t>The Borrower has not stated how they plan on repaying their third other loan</t>
  </si>
  <si>
    <t>The Borrower has not stated what month the final repayment of their third other loan is due</t>
  </si>
  <si>
    <t>The Borrower has not stated what year the final repayment of their third other loan is due</t>
  </si>
  <si>
    <t>2_Homes</t>
  </si>
  <si>
    <t>Issues in File</t>
  </si>
  <si>
    <t>Home ID</t>
  </si>
  <si>
    <t>Error Concat</t>
  </si>
  <si>
    <t>Not specified the number of homes</t>
  </si>
  <si>
    <t>The Borrower has not entered the number of homes in 1_SetUp</t>
  </si>
  <si>
    <t>Greater than 50% Affordable Housing Flag</t>
  </si>
  <si>
    <t>Issue Message</t>
  </si>
  <si>
    <t>Stated Number of Homes</t>
  </si>
  <si>
    <t>Fill in the set up tab first, to make sure your spreadsheet is set up correctly. This information will add the right dates to your timeline.
Once set up is complete, fill in the four numbered tabs in order, this will make sure you have all the right fields in each tab.
Before filling in your cashflow spreadsheet, make sure the software you are using is set to United Kingdom regional format.</t>
  </si>
  <si>
    <t>Gross margin percent text</t>
  </si>
  <si>
    <t>ContingencyPercentText</t>
  </si>
  <si>
    <t>Projcet Start Year</t>
  </si>
  <si>
    <t>Equity Available Error Check</t>
  </si>
  <si>
    <t>Current Land Value Error Check</t>
  </si>
  <si>
    <t>Number of Other Loans Error Check</t>
  </si>
  <si>
    <t>Project Start Date Error Check</t>
  </si>
  <si>
    <t>HE Loan to Repay Other Loans Error Check</t>
  </si>
  <si>
    <t>Non-HE Loans in Use Error Check</t>
  </si>
  <si>
    <t>Number of homes in 2_Homes does not match number of homes provided in 1_SetUp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</si>
</sst>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4" formatCode="_-&quot;£&quot;* #,##0.00_-;\-&quot;£&quot;* #,##0.00_-;_-&quot;£&quot;* &quot;-&quot;??_-;_-@_-"/>
    <numFmt numFmtId="43" formatCode="_-* #,##0.00_-;\-* #,##0.00_-;_-* &quot;-&quot;??_-;_-@_-"/>
    <numFmt numFmtId="164" formatCode="[$-409]mmm\-yy;@"/>
    <numFmt numFmtId="165" formatCode="[$-409]d\-mmm\-yy;@"/>
    <numFmt numFmtId="166" formatCode="_-[$£-809]* #,##0.00_-;\-[$£-809]* #,##0.00_-;_-[$£-809]* &quot;-&quot;??_-;_-@_-"/>
    <numFmt numFmtId="167" formatCode="_-&quot;£&quot;* #,##0_-;\-&quot;£&quot;* #,##0_-;_-&quot;£&quot;* &quot;-&quot;??_-;_-@_-"/>
    <numFmt numFmtId="168" formatCode="_-[$£-809]* #,##0_-;\-[$£-809]* #,##0_-;_-[$£-809]* &quot;-&quot;??_-;_-@_-"/>
    <numFmt numFmtId="169" formatCode="_-* #,##0_-;\-* #,##0_-;_-* &quot;-&quot;??_-;_-@_-"/>
    <numFmt numFmtId="170" formatCode="mmmm\ yyyy"/>
    <numFmt numFmtId="171" formatCode="&quot;£&quot;#,##0"/>
    <numFmt numFmtId="172" formatCode="[$-409]d\-mmm;@"/>
    <numFmt numFmtId="173" formatCode="0.0"/>
    <numFmt numFmtId="174" formatCode="yyyy"/>
    <numFmt numFmtId="175" formatCode="dd/mm/yyyy;@"/>
  </numFmts>
  <fonts count="34">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8"/>
      <name val="Calibri"/>
      <family val="2"/>
      <scheme val="minor"/>
    </font>
    <font>
      <sz val="10"/>
      <color rgb="FF000000"/>
      <name val="Calibri"/>
      <family val="2"/>
      <scheme val="minor"/>
    </font>
    <font>
      <b/>
      <sz val="12"/>
      <color theme="1"/>
      <name val="Calibri"/>
      <family val="2"/>
      <scheme val="minor"/>
    </font>
    <font>
      <sz val="12"/>
      <color rgb="FF000000"/>
      <name val="Calibri"/>
      <family val="2"/>
      <scheme val="minor"/>
    </font>
    <font>
      <b/>
      <sz val="12"/>
      <color theme="1" tint="4.9989318521683403E-2"/>
      <name val="Calibri"/>
      <family val="2"/>
      <scheme val="minor"/>
    </font>
    <font>
      <sz val="12"/>
      <color theme="1" tint="4.9989318521683403E-2"/>
      <name val="Calibri"/>
      <family val="2"/>
      <scheme val="minor"/>
    </font>
    <font>
      <b/>
      <sz val="12"/>
      <color theme="1"/>
      <name val="Calibri (Body)"/>
    </font>
    <font>
      <sz val="12"/>
      <color theme="1"/>
      <name val="Calibri (Body)"/>
    </font>
    <font>
      <sz val="12"/>
      <color rgb="FF000000"/>
      <name val="Calibri (Body)"/>
    </font>
    <font>
      <b/>
      <sz val="11"/>
      <color theme="3"/>
      <name val="Calibri"/>
      <family val="2"/>
      <scheme val="minor"/>
    </font>
    <font>
      <sz val="12"/>
      <color rgb="FF000000"/>
      <name val="Arial"/>
      <family val="2"/>
    </font>
    <font>
      <b/>
      <sz val="12"/>
      <color rgb="FF000000"/>
      <name val="Arial"/>
      <family val="2"/>
    </font>
    <font>
      <sz val="12"/>
      <color theme="1"/>
      <name val="Arial"/>
      <family val="2"/>
    </font>
    <font>
      <sz val="12"/>
      <name val="Calibri"/>
      <family val="2"/>
      <scheme val="minor"/>
    </font>
    <font>
      <b/>
      <sz val="12"/>
      <name val="Calibri"/>
      <family val="2"/>
      <scheme val="minor"/>
    </font>
    <font>
      <b/>
      <sz val="12"/>
      <name val="Calibri"/>
      <family val="2"/>
    </font>
    <font>
      <sz val="12"/>
      <name val="Calibri"/>
      <family val="2"/>
    </font>
    <font>
      <sz val="12"/>
      <color rgb="FF0000FF"/>
      <name val="Calibri"/>
      <family val="2"/>
      <scheme val="minor"/>
    </font>
    <font>
      <b/>
      <sz val="11"/>
      <color theme="1"/>
      <name val="Calibri"/>
      <family val="2"/>
      <scheme val="minor"/>
    </font>
    <font>
      <u/>
      <sz val="11"/>
      <color theme="10"/>
      <name val="Calibri"/>
      <family val="2"/>
      <scheme val="minor"/>
    </font>
    <font>
      <b/>
      <sz val="16"/>
      <color theme="1"/>
      <name val="Calibri"/>
      <family val="2"/>
      <scheme val="minor"/>
    </font>
    <font>
      <sz val="14"/>
      <color theme="1"/>
      <name val="Calibri"/>
      <family val="2"/>
      <scheme val="minor"/>
    </font>
    <font>
      <u/>
      <sz val="12"/>
      <color theme="10"/>
      <name val="Calibri"/>
      <family val="2"/>
      <scheme val="minor"/>
    </font>
    <font>
      <b/>
      <sz val="14"/>
      <color theme="1"/>
      <name val="Calibri"/>
      <family val="2"/>
      <scheme val="minor"/>
    </font>
    <font>
      <u/>
      <sz val="16"/>
      <color theme="10"/>
      <name val="Calibri"/>
      <family val="2"/>
      <scheme val="minor"/>
    </font>
    <font>
      <b/>
      <sz val="12"/>
      <color rgb="FFB30000"/>
      <name val="Calibri"/>
      <family val="2"/>
    </font>
    <font>
      <b/>
      <sz val="12"/>
      <color rgb="FFB30000"/>
      <name val="Calibri"/>
      <family val="2"/>
      <scheme val="minor"/>
    </font>
    <font>
      <sz val="12"/>
      <color rgb="FFB30000"/>
      <name val="Calibri"/>
      <family val="2"/>
      <scheme val="minor"/>
    </font>
    <font>
      <i/>
      <sz val="12"/>
      <name val="Calibri"/>
      <family val="2"/>
      <scheme val="minor"/>
    </font>
    <font>
      <sz val="12"/>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theme="4" tint="0.79998168889431442"/>
        <bgColor indexed="64"/>
      </patternFill>
    </fill>
    <fill>
      <patternFill patternType="solid">
        <fgColor rgb="FFFFC000"/>
        <bgColor indexed="64"/>
      </patternFill>
    </fill>
  </fills>
  <borders count="5">
    <border>
      <left/>
      <right/>
      <top/>
      <bottom/>
      <diagonal/>
    </border>
    <border>
      <left/>
      <right/>
      <top/>
      <bottom style="thin">
        <color indexed="64"/>
      </bottom>
      <diagonal/>
    </border>
    <border>
      <left/>
      <right/>
      <top/>
      <bottom style="thin">
        <color rgb="FF000000"/>
      </bottom>
      <diagonal/>
    </border>
    <border>
      <left/>
      <right/>
      <top style="thin">
        <color indexed="64"/>
      </top>
      <bottom style="thin">
        <color indexed="64"/>
      </bottom>
      <diagonal/>
    </border>
    <border>
      <left/>
      <right/>
      <top/>
      <bottom style="medium">
        <color indexed="64"/>
      </bottom>
      <diagonal/>
    </border>
  </borders>
  <cellStyleXfs count="10">
    <xf numFmtId="0" fontId="0" fillId="0" borderId="0"/>
    <xf numFmtId="44" fontId="3" fillId="0" borderId="0" applyFont="0" applyFill="0" applyBorder="0" applyAlignment="0" applyProtection="0"/>
    <xf numFmtId="0" fontId="5" fillId="0" borderId="0"/>
    <xf numFmtId="43" fontId="3" fillId="0" borderId="0" applyFont="0" applyFill="0" applyBorder="0" applyAlignment="0" applyProtection="0"/>
    <xf numFmtId="0" fontId="24" fillId="0" borderId="0" applyNumberFormat="0" applyFill="0" applyBorder="0" applyProtection="0">
      <alignment vertical="top"/>
    </xf>
    <xf numFmtId="0" fontId="13" fillId="0" borderId="0" applyNumberFormat="0" applyFill="0" applyBorder="0" applyAlignment="0" applyProtection="0"/>
    <xf numFmtId="0" fontId="23" fillId="0" borderId="0" applyNumberFormat="0" applyFill="0" applyBorder="0" applyAlignment="0" applyProtection="0"/>
    <xf numFmtId="9" fontId="3" fillId="0" borderId="0" applyFont="0" applyFill="0" applyBorder="0" applyAlignment="0" applyProtection="0"/>
    <xf numFmtId="0" fontId="25" fillId="0" borderId="0" applyNumberFormat="0" applyFill="0" applyBorder="0" applyProtection="0"/>
    <xf numFmtId="0" fontId="6" fillId="0" borderId="0" applyNumberFormat="0" applyFill="0" applyBorder="0" applyAlignment="0" applyProtection="0"/>
  </cellStyleXfs>
  <cellXfs count="214">
    <xf numFmtId="0" fontId="0" fillId="0" borderId="0" xfId="0"/>
    <xf numFmtId="0" fontId="9" fillId="2" borderId="0" xfId="0" applyFont="1" applyFill="1" applyAlignment="1">
      <alignment horizontal="right" vertical="top"/>
    </xf>
    <xf numFmtId="0" fontId="9" fillId="2" borderId="1" xfId="0" applyFont="1" applyFill="1" applyBorder="1"/>
    <xf numFmtId="0" fontId="2" fillId="2" borderId="0" xfId="0" applyFont="1" applyFill="1" applyAlignment="1">
      <alignment horizontal="right"/>
    </xf>
    <xf numFmtId="49" fontId="2" fillId="2" borderId="0" xfId="0" applyNumberFormat="1" applyFont="1" applyFill="1" applyAlignment="1">
      <alignment horizontal="right"/>
    </xf>
    <xf numFmtId="165" fontId="2" fillId="2" borderId="0" xfId="0" applyNumberFormat="1" applyFont="1" applyFill="1" applyAlignment="1">
      <alignment horizontal="right"/>
    </xf>
    <xf numFmtId="166" fontId="2" fillId="2" borderId="0" xfId="0" applyNumberFormat="1" applyFont="1" applyFill="1" applyAlignment="1">
      <alignment horizontal="right"/>
    </xf>
    <xf numFmtId="164" fontId="2" fillId="2" borderId="0" xfId="0" applyNumberFormat="1" applyFont="1" applyFill="1" applyAlignment="1">
      <alignment horizontal="right"/>
    </xf>
    <xf numFmtId="0" fontId="12" fillId="0" borderId="0" xfId="0" applyFont="1" applyAlignment="1">
      <alignment horizontal="right"/>
    </xf>
    <xf numFmtId="0" fontId="11" fillId="0" borderId="0" xfId="0" applyFont="1" applyAlignment="1">
      <alignment horizontal="right"/>
    </xf>
    <xf numFmtId="0" fontId="11" fillId="0" borderId="0" xfId="0" applyFont="1" applyAlignment="1">
      <alignment horizontal="right" wrapText="1"/>
    </xf>
    <xf numFmtId="0" fontId="10" fillId="0" borderId="1" xfId="0" applyFont="1" applyBorder="1" applyAlignment="1">
      <alignment horizontal="left"/>
    </xf>
    <xf numFmtId="0" fontId="11" fillId="0" borderId="1" xfId="0" applyFont="1" applyBorder="1"/>
    <xf numFmtId="0" fontId="6" fillId="2" borderId="0" xfId="0" applyFont="1" applyFill="1" applyAlignment="1">
      <alignment horizontal="right"/>
    </xf>
    <xf numFmtId="0" fontId="8" fillId="2" borderId="0" xfId="0" applyFont="1" applyFill="1" applyAlignment="1">
      <alignment horizontal="right" vertical="top"/>
    </xf>
    <xf numFmtId="165" fontId="6" fillId="2" borderId="0" xfId="0" applyNumberFormat="1" applyFont="1" applyFill="1" applyAlignment="1">
      <alignment horizontal="right"/>
    </xf>
    <xf numFmtId="164" fontId="6" fillId="2" borderId="0" xfId="0" applyNumberFormat="1" applyFont="1" applyFill="1" applyAlignment="1">
      <alignment horizontal="right"/>
    </xf>
    <xf numFmtId="166" fontId="6" fillId="2" borderId="0" xfId="0" applyNumberFormat="1" applyFont="1" applyFill="1" applyAlignment="1">
      <alignment horizontal="right"/>
    </xf>
    <xf numFmtId="0" fontId="10" fillId="0" borderId="0" xfId="0" applyFont="1" applyAlignment="1">
      <alignment horizontal="right"/>
    </xf>
    <xf numFmtId="0" fontId="15" fillId="0" borderId="0" xfId="5" applyFont="1"/>
    <xf numFmtId="0" fontId="15" fillId="0" borderId="0" xfId="5" applyFont="1" applyAlignment="1">
      <alignment horizontal="left" vertical="top"/>
    </xf>
    <xf numFmtId="15" fontId="15" fillId="0" borderId="0" xfId="5" applyNumberFormat="1" applyFont="1" applyAlignment="1">
      <alignment horizontal="left" vertical="top"/>
    </xf>
    <xf numFmtId="0" fontId="14" fillId="0" borderId="0" xfId="0" applyFont="1" applyAlignment="1">
      <alignment horizontal="left"/>
    </xf>
    <xf numFmtId="14" fontId="16" fillId="0" borderId="0" xfId="0" applyNumberFormat="1" applyFont="1" applyAlignment="1">
      <alignment horizontal="left"/>
    </xf>
    <xf numFmtId="0" fontId="17" fillId="0" borderId="0" xfId="0" applyFont="1"/>
    <xf numFmtId="0" fontId="18" fillId="0" borderId="0" xfId="8" applyFont="1" applyFill="1" applyBorder="1"/>
    <xf numFmtId="0" fontId="17" fillId="0" borderId="0" xfId="0" applyFont="1" applyAlignment="1">
      <alignment horizontal="left"/>
    </xf>
    <xf numFmtId="0" fontId="17" fillId="0" borderId="0" xfId="0" applyFont="1" applyAlignment="1">
      <alignment vertical="top"/>
    </xf>
    <xf numFmtId="0" fontId="17" fillId="0" borderId="0" xfId="0" applyFont="1" applyAlignment="1">
      <alignment horizontal="left" vertical="top" wrapText="1"/>
    </xf>
    <xf numFmtId="0" fontId="17" fillId="0" borderId="0" xfId="0" applyFont="1" applyAlignment="1">
      <alignment horizontal="center"/>
    </xf>
    <xf numFmtId="0" fontId="17" fillId="0" borderId="0" xfId="0" applyFont="1" applyProtection="1">
      <protection locked="0" hidden="1"/>
    </xf>
    <xf numFmtId="0" fontId="17" fillId="0" borderId="0" xfId="0" applyFont="1" applyAlignment="1" applyProtection="1">
      <alignment wrapText="1"/>
      <protection locked="0" hidden="1"/>
    </xf>
    <xf numFmtId="0" fontId="22" fillId="0" borderId="0" xfId="0" applyFont="1"/>
    <xf numFmtId="0" fontId="9" fillId="2" borderId="1" xfId="0" applyFont="1" applyFill="1" applyBorder="1" applyAlignment="1">
      <alignment wrapText="1"/>
    </xf>
    <xf numFmtId="0" fontId="6" fillId="2" borderId="0" xfId="0" applyFont="1" applyFill="1"/>
    <xf numFmtId="0" fontId="9" fillId="2" borderId="0" xfId="0" applyFont="1" applyFill="1"/>
    <xf numFmtId="0" fontId="8" fillId="2" borderId="0" xfId="0" applyFont="1" applyFill="1"/>
    <xf numFmtId="0" fontId="9" fillId="3" borderId="0" xfId="0" applyFont="1" applyFill="1"/>
    <xf numFmtId="0" fontId="6" fillId="0" borderId="0" xfId="9" applyAlignment="1" applyProtection="1">
      <alignment horizontal="left"/>
      <protection locked="0" hidden="1"/>
    </xf>
    <xf numFmtId="0" fontId="17" fillId="4" borderId="0" xfId="0" applyFont="1" applyFill="1" applyAlignment="1" applyProtection="1">
      <alignment horizontal="right"/>
      <protection locked="0" hidden="1"/>
    </xf>
    <xf numFmtId="1" fontId="17" fillId="4" borderId="0" xfId="2" applyNumberFormat="1" applyFont="1" applyFill="1" applyAlignment="1" applyProtection="1">
      <alignment horizontal="right"/>
      <protection locked="0" hidden="1"/>
    </xf>
    <xf numFmtId="0" fontId="2" fillId="0" borderId="0" xfId="0" applyFont="1" applyAlignment="1">
      <alignment wrapText="1"/>
    </xf>
    <xf numFmtId="0" fontId="2" fillId="0" borderId="0" xfId="0" applyFont="1"/>
    <xf numFmtId="0" fontId="6" fillId="0" borderId="0" xfId="0" applyFont="1"/>
    <xf numFmtId="0" fontId="8" fillId="0" borderId="1" xfId="0" applyFont="1" applyBorder="1" applyAlignment="1">
      <alignment horizontal="left"/>
    </xf>
    <xf numFmtId="0" fontId="7" fillId="0" borderId="2" xfId="0" applyFont="1" applyBorder="1" applyAlignment="1">
      <alignment horizontal="right" wrapText="1"/>
    </xf>
    <xf numFmtId="0" fontId="0" fillId="2" borderId="0" xfId="0" applyFill="1" applyAlignment="1">
      <alignment horizontal="right"/>
    </xf>
    <xf numFmtId="0" fontId="17" fillId="0" borderId="0" xfId="2" applyFont="1" applyAlignment="1" applyProtection="1">
      <alignment horizontal="left" wrapText="1"/>
      <protection hidden="1"/>
    </xf>
    <xf numFmtId="0" fontId="24" fillId="0" borderId="0" xfId="4" applyFill="1" applyBorder="1" applyAlignment="1">
      <alignment horizontal="left"/>
    </xf>
    <xf numFmtId="0" fontId="25" fillId="0" borderId="0" xfId="8" applyAlignment="1">
      <alignment vertical="top"/>
    </xf>
    <xf numFmtId="0" fontId="17" fillId="0" borderId="0" xfId="0" applyFont="1" applyAlignment="1">
      <alignment wrapText="1"/>
    </xf>
    <xf numFmtId="0" fontId="17" fillId="0" borderId="0" xfId="0" applyFont="1" applyAlignment="1">
      <alignment horizontal="right" wrapText="1"/>
    </xf>
    <xf numFmtId="0" fontId="25" fillId="0" borderId="0" xfId="8" applyBorder="1" applyAlignment="1">
      <alignment vertical="top"/>
    </xf>
    <xf numFmtId="0" fontId="17" fillId="0" borderId="0" xfId="0" applyFont="1" applyAlignment="1">
      <alignment horizontal="left" vertical="top"/>
    </xf>
    <xf numFmtId="0" fontId="18" fillId="0" borderId="0" xfId="0" applyFont="1" applyAlignment="1">
      <alignment wrapText="1"/>
    </xf>
    <xf numFmtId="0" fontId="18" fillId="0" borderId="0" xfId="0" applyFont="1" applyAlignment="1">
      <alignment horizontal="left" wrapText="1"/>
    </xf>
    <xf numFmtId="0" fontId="26" fillId="0" borderId="0" xfId="6" applyFont="1" applyBorder="1" applyAlignment="1">
      <alignment vertical="top"/>
    </xf>
    <xf numFmtId="0" fontId="24" fillId="0" borderId="4" xfId="4" applyBorder="1" applyAlignment="1"/>
    <xf numFmtId="0" fontId="27" fillId="0" borderId="0" xfId="9" applyFont="1" applyBorder="1"/>
    <xf numFmtId="0" fontId="27" fillId="0" borderId="0" xfId="9" applyFont="1"/>
    <xf numFmtId="0" fontId="6" fillId="0" borderId="0" xfId="9" applyProtection="1">
      <protection hidden="1"/>
    </xf>
    <xf numFmtId="0" fontId="6" fillId="0" borderId="0" xfId="9" applyAlignment="1" applyProtection="1">
      <alignment horizontal="left"/>
      <protection hidden="1"/>
    </xf>
    <xf numFmtId="0" fontId="25" fillId="0" borderId="0" xfId="8" applyFill="1" applyBorder="1" applyAlignment="1">
      <alignment vertical="top" wrapText="1"/>
    </xf>
    <xf numFmtId="165" fontId="19" fillId="0" borderId="0" xfId="8" applyNumberFormat="1" applyFont="1" applyFill="1" applyBorder="1" applyAlignment="1" applyProtection="1">
      <alignment wrapText="1"/>
      <protection hidden="1"/>
    </xf>
    <xf numFmtId="0" fontId="26" fillId="0" borderId="0" xfId="6" applyFont="1" applyFill="1" applyAlignment="1" applyProtection="1">
      <alignment vertical="top"/>
    </xf>
    <xf numFmtId="0" fontId="26" fillId="0" borderId="0" xfId="6" applyFont="1" applyAlignment="1" applyProtection="1">
      <alignment vertical="top"/>
    </xf>
    <xf numFmtId="0" fontId="24" fillId="0" borderId="0" xfId="4" applyFill="1" applyBorder="1" applyAlignment="1" applyProtection="1"/>
    <xf numFmtId="0" fontId="25" fillId="0" borderId="0" xfId="8" applyAlignment="1" applyProtection="1">
      <alignment vertical="top" wrapText="1"/>
    </xf>
    <xf numFmtId="0" fontId="26" fillId="0" borderId="0" xfId="6" applyFont="1" applyFill="1" applyBorder="1" applyAlignment="1" applyProtection="1">
      <alignment vertical="top"/>
    </xf>
    <xf numFmtId="0" fontId="19" fillId="0" borderId="0" xfId="8" applyFont="1" applyFill="1" applyBorder="1" applyAlignment="1" applyProtection="1">
      <alignment horizontal="left" wrapText="1"/>
      <protection hidden="1"/>
    </xf>
    <xf numFmtId="0" fontId="19" fillId="0" borderId="0" xfId="8" applyFont="1" applyFill="1" applyBorder="1" applyAlignment="1" applyProtection="1">
      <alignment wrapText="1"/>
      <protection hidden="1"/>
    </xf>
    <xf numFmtId="0" fontId="18" fillId="0" borderId="0" xfId="8" applyFont="1" applyFill="1" applyBorder="1" applyProtection="1">
      <protection hidden="1"/>
    </xf>
    <xf numFmtId="0" fontId="18" fillId="0" borderId="0" xfId="8" applyFont="1" applyFill="1" applyBorder="1" applyAlignment="1" applyProtection="1">
      <alignment wrapText="1"/>
      <protection hidden="1"/>
    </xf>
    <xf numFmtId="0" fontId="18" fillId="0" borderId="0" xfId="8" applyFont="1" applyFill="1" applyBorder="1" applyAlignment="1" applyProtection="1">
      <alignment horizontal="left"/>
      <protection hidden="1"/>
    </xf>
    <xf numFmtId="170" fontId="6" fillId="0" borderId="0" xfId="0" applyNumberFormat="1" applyFont="1" applyAlignment="1" applyProtection="1">
      <alignment horizontal="right"/>
      <protection hidden="1"/>
    </xf>
    <xf numFmtId="167" fontId="17" fillId="0" borderId="0" xfId="0" applyNumberFormat="1" applyFont="1" applyAlignment="1" applyProtection="1">
      <alignment vertical="top"/>
      <protection hidden="1"/>
    </xf>
    <xf numFmtId="0" fontId="24" fillId="0" borderId="0" xfId="4" applyBorder="1" applyAlignment="1" applyProtection="1"/>
    <xf numFmtId="0" fontId="25" fillId="0" borderId="0" xfId="8" applyBorder="1" applyAlignment="1" applyProtection="1">
      <alignment vertical="top" wrapText="1"/>
    </xf>
    <xf numFmtId="0" fontId="17" fillId="0" borderId="0" xfId="0" applyFont="1" applyAlignment="1" applyProtection="1">
      <alignment wrapText="1"/>
      <protection hidden="1"/>
    </xf>
    <xf numFmtId="0" fontId="17" fillId="0" borderId="0" xfId="0" applyFont="1" applyAlignment="1" applyProtection="1">
      <alignment horizontal="left" wrapText="1"/>
      <protection hidden="1"/>
    </xf>
    <xf numFmtId="167" fontId="17" fillId="4" borderId="0" xfId="0" applyNumberFormat="1" applyFont="1" applyFill="1" applyAlignment="1" applyProtection="1">
      <alignment horizontal="right" wrapText="1"/>
      <protection locked="0"/>
    </xf>
    <xf numFmtId="0" fontId="17" fillId="4" borderId="0" xfId="0" applyFont="1" applyFill="1" applyAlignment="1" applyProtection="1">
      <alignment horizontal="right" wrapText="1"/>
      <protection locked="0"/>
    </xf>
    <xf numFmtId="1" fontId="17" fillId="4" borderId="0" xfId="0" applyNumberFormat="1" applyFont="1" applyFill="1" applyAlignment="1" applyProtection="1">
      <alignment horizontal="right" wrapText="1"/>
      <protection locked="0"/>
    </xf>
    <xf numFmtId="0" fontId="24" fillId="0" borderId="0" xfId="4" applyProtection="1">
      <alignment vertical="top"/>
    </xf>
    <xf numFmtId="0" fontId="24" fillId="2" borderId="0" xfId="4" applyFill="1">
      <alignment vertical="top"/>
    </xf>
    <xf numFmtId="0" fontId="24" fillId="0" borderId="0" xfId="4">
      <alignment vertical="top"/>
    </xf>
    <xf numFmtId="0" fontId="24" fillId="2" borderId="0" xfId="4" applyFill="1" applyBorder="1">
      <alignment vertical="top"/>
    </xf>
    <xf numFmtId="0" fontId="3" fillId="0" borderId="0" xfId="0" applyFont="1"/>
    <xf numFmtId="0" fontId="7" fillId="0" borderId="0" xfId="0" applyFont="1" applyAlignment="1">
      <alignment vertical="top" wrapText="1"/>
    </xf>
    <xf numFmtId="0" fontId="6" fillId="2" borderId="0" xfId="8" applyFont="1" applyFill="1" applyBorder="1"/>
    <xf numFmtId="0" fontId="26" fillId="0" borderId="0" xfId="6" applyFont="1" applyAlignment="1">
      <alignment vertical="top"/>
    </xf>
    <xf numFmtId="0" fontId="28" fillId="0" borderId="0" xfId="6" applyFont="1" applyFill="1" applyBorder="1" applyProtection="1"/>
    <xf numFmtId="167" fontId="20" fillId="4" borderId="0" xfId="1" applyNumberFormat="1" applyFont="1" applyFill="1" applyBorder="1" applyAlignment="1" applyProtection="1">
      <alignment horizontal="right" wrapText="1"/>
      <protection locked="0"/>
    </xf>
    <xf numFmtId="0" fontId="20" fillId="4" borderId="0" xfId="0" applyFont="1" applyFill="1" applyAlignment="1" applyProtection="1">
      <alignment horizontal="right" wrapText="1"/>
      <protection locked="0"/>
    </xf>
    <xf numFmtId="169" fontId="20" fillId="4" borderId="0" xfId="3" applyNumberFormat="1" applyFont="1" applyFill="1" applyBorder="1" applyAlignment="1" applyProtection="1">
      <alignment horizontal="right" wrapText="1"/>
      <protection locked="0"/>
    </xf>
    <xf numFmtId="1" fontId="20" fillId="4" borderId="0" xfId="3" applyNumberFormat="1" applyFont="1" applyFill="1" applyBorder="1" applyAlignment="1" applyProtection="1">
      <alignment horizontal="right" wrapText="1"/>
      <protection locked="0"/>
    </xf>
    <xf numFmtId="165" fontId="29" fillId="0" borderId="0" xfId="8" applyNumberFormat="1" applyFont="1" applyFill="1" applyBorder="1" applyAlignment="1" applyProtection="1">
      <alignment wrapText="1"/>
      <protection hidden="1"/>
    </xf>
    <xf numFmtId="0" fontId="30" fillId="0" borderId="0" xfId="0" applyFont="1" applyAlignment="1">
      <alignment wrapText="1"/>
    </xf>
    <xf numFmtId="0" fontId="31" fillId="0" borderId="0" xfId="0" applyFont="1" applyAlignment="1">
      <alignment wrapText="1"/>
    </xf>
    <xf numFmtId="0" fontId="18" fillId="0" borderId="3" xfId="0" applyFont="1" applyBorder="1"/>
    <xf numFmtId="0" fontId="30" fillId="0" borderId="0" xfId="9" applyFont="1" applyProtection="1">
      <protection hidden="1"/>
    </xf>
    <xf numFmtId="0" fontId="7" fillId="5" borderId="2" xfId="0" applyFont="1" applyFill="1" applyBorder="1"/>
    <xf numFmtId="0" fontId="7" fillId="0" borderId="0" xfId="0" applyFont="1" applyAlignment="1">
      <alignment wrapText="1"/>
    </xf>
    <xf numFmtId="0" fontId="1" fillId="0" borderId="2" xfId="0" applyFont="1" applyBorder="1" applyAlignment="1">
      <alignment horizontal="right" wrapText="1"/>
    </xf>
    <xf numFmtId="0" fontId="1" fillId="0" borderId="0" xfId="0" applyFont="1" applyAlignment="1">
      <alignment horizontal="right" wrapText="1"/>
    </xf>
    <xf numFmtId="22" fontId="11" fillId="0" borderId="0" xfId="0" applyNumberFormat="1" applyFont="1" applyAlignment="1">
      <alignment horizontal="right"/>
    </xf>
    <xf numFmtId="14" fontId="11" fillId="0" borderId="0" xfId="0" applyNumberFormat="1" applyFont="1" applyAlignment="1">
      <alignment horizontal="right"/>
    </xf>
    <xf numFmtId="0" fontId="25" fillId="0" borderId="0" xfId="8" applyFill="1" applyBorder="1" applyAlignment="1" applyProtection="1">
      <alignment horizontal="left" vertical="top" wrapText="1"/>
    </xf>
    <xf numFmtId="0" fontId="6" fillId="0" borderId="0" xfId="8" applyFont="1" applyFill="1" applyBorder="1"/>
    <xf numFmtId="0" fontId="17" fillId="4" borderId="0" xfId="0" applyFont="1" applyFill="1" applyAlignment="1" applyProtection="1">
      <alignment horizontal="left" vertical="top" wrapText="1"/>
      <protection locked="0"/>
    </xf>
    <xf numFmtId="0" fontId="18" fillId="0" borderId="3" xfId="0" applyFont="1" applyBorder="1" applyAlignment="1" applyProtection="1">
      <alignment horizontal="left" vertical="top" wrapText="1"/>
      <protection hidden="1"/>
    </xf>
    <xf numFmtId="167" fontId="18" fillId="0" borderId="3" xfId="0" applyNumberFormat="1" applyFont="1" applyBorder="1" applyAlignment="1" applyProtection="1">
      <alignment horizontal="left" vertical="top" wrapText="1"/>
      <protection hidden="1"/>
    </xf>
    <xf numFmtId="167" fontId="18" fillId="0" borderId="3" xfId="1" applyNumberFormat="1" applyFont="1" applyFill="1" applyBorder="1" applyAlignment="1" applyProtection="1">
      <alignment horizontal="left"/>
      <protection hidden="1"/>
    </xf>
    <xf numFmtId="0" fontId="32" fillId="0" borderId="0" xfId="0" applyFont="1" applyAlignment="1">
      <alignment wrapText="1"/>
    </xf>
    <xf numFmtId="0" fontId="1" fillId="0" borderId="0" xfId="0" applyFont="1"/>
    <xf numFmtId="0" fontId="1" fillId="0" borderId="0" xfId="8" applyFont="1" applyAlignment="1" applyProtection="1">
      <alignment wrapText="1"/>
      <protection locked="0" hidden="1"/>
    </xf>
    <xf numFmtId="0" fontId="1" fillId="0" borderId="0" xfId="9" applyFont="1" applyAlignment="1" applyProtection="1">
      <alignment horizontal="left" vertical="top"/>
      <protection locked="0" hidden="1"/>
    </xf>
    <xf numFmtId="0" fontId="1" fillId="0" borderId="0" xfId="0" applyFont="1" applyAlignment="1">
      <alignment horizontal="left" vertical="top" wrapText="1"/>
    </xf>
    <xf numFmtId="0" fontId="1" fillId="0" borderId="0" xfId="0" applyFont="1" applyAlignment="1">
      <alignment wrapText="1"/>
    </xf>
    <xf numFmtId="0" fontId="1" fillId="0" borderId="1" xfId="8" applyFont="1" applyBorder="1" applyProtection="1"/>
    <xf numFmtId="165" fontId="1" fillId="0" borderId="1" xfId="8" applyNumberFormat="1" applyFont="1" applyBorder="1" applyProtection="1"/>
    <xf numFmtId="165" fontId="1" fillId="0" borderId="1" xfId="8" applyNumberFormat="1" applyFont="1" applyFill="1" applyBorder="1" applyProtection="1"/>
    <xf numFmtId="0" fontId="1" fillId="0" borderId="2" xfId="0" applyFont="1" applyBorder="1"/>
    <xf numFmtId="1" fontId="1" fillId="0" borderId="0" xfId="0" applyNumberFormat="1" applyFont="1"/>
    <xf numFmtId="0" fontId="1" fillId="0" borderId="0" xfId="0" applyFont="1" applyAlignment="1">
      <alignment horizontal="right"/>
    </xf>
    <xf numFmtId="0" fontId="1" fillId="0" borderId="0" xfId="0" applyFont="1" applyAlignment="1">
      <alignment horizontal="right" vertical="center"/>
    </xf>
    <xf numFmtId="49" fontId="1" fillId="2" borderId="0" xfId="0" applyNumberFormat="1" applyFont="1" applyFill="1" applyAlignment="1">
      <alignment horizontal="right"/>
    </xf>
    <xf numFmtId="164" fontId="1" fillId="2" borderId="1" xfId="8" applyNumberFormat="1" applyFont="1" applyFill="1" applyBorder="1"/>
    <xf numFmtId="0" fontId="1" fillId="2" borderId="1" xfId="8" applyFont="1" applyFill="1" applyBorder="1"/>
    <xf numFmtId="49" fontId="1" fillId="2" borderId="1" xfId="8" applyNumberFormat="1" applyFont="1" applyFill="1" applyBorder="1"/>
    <xf numFmtId="165" fontId="1" fillId="2" borderId="1" xfId="8" applyNumberFormat="1" applyFont="1" applyFill="1" applyBorder="1"/>
    <xf numFmtId="166" fontId="1" fillId="2" borderId="1" xfId="8" applyNumberFormat="1" applyFont="1" applyFill="1" applyBorder="1"/>
    <xf numFmtId="0" fontId="1" fillId="2" borderId="0" xfId="0" applyFont="1" applyFill="1" applyAlignment="1">
      <alignment horizontal="right"/>
    </xf>
    <xf numFmtId="1" fontId="1" fillId="2" borderId="0" xfId="0" applyNumberFormat="1" applyFont="1" applyFill="1" applyAlignment="1">
      <alignment horizontal="right"/>
    </xf>
    <xf numFmtId="173" fontId="1" fillId="2" borderId="0" xfId="0" applyNumberFormat="1" applyFont="1" applyFill="1" applyAlignment="1">
      <alignment horizontal="right"/>
    </xf>
    <xf numFmtId="170" fontId="1" fillId="2" borderId="0" xfId="0" applyNumberFormat="1" applyFont="1" applyFill="1" applyAlignment="1">
      <alignment horizontal="right"/>
    </xf>
    <xf numFmtId="166" fontId="1" fillId="2" borderId="0" xfId="0" applyNumberFormat="1" applyFont="1" applyFill="1" applyAlignment="1">
      <alignment horizontal="right"/>
    </xf>
    <xf numFmtId="165" fontId="1" fillId="2" borderId="0" xfId="0" applyNumberFormat="1" applyFont="1" applyFill="1" applyAlignment="1">
      <alignment horizontal="right"/>
    </xf>
    <xf numFmtId="164" fontId="1" fillId="2" borderId="0" xfId="0" applyNumberFormat="1" applyFont="1" applyFill="1" applyAlignment="1">
      <alignment horizontal="right"/>
    </xf>
    <xf numFmtId="0" fontId="20" fillId="0" borderId="0" xfId="0" applyFont="1" applyAlignment="1">
      <alignment horizontal="left" wrapText="1"/>
    </xf>
    <xf numFmtId="165" fontId="20" fillId="0" borderId="0" xfId="0" applyNumberFormat="1" applyFont="1" applyAlignment="1">
      <alignment horizontal="left" wrapText="1"/>
    </xf>
    <xf numFmtId="164" fontId="20" fillId="0" borderId="0" xfId="0" applyNumberFormat="1" applyFont="1" applyAlignment="1">
      <alignment horizontal="left" wrapText="1"/>
    </xf>
    <xf numFmtId="0" fontId="29" fillId="0" borderId="0" xfId="0" applyFont="1" applyAlignment="1">
      <alignment horizontal="left" wrapText="1"/>
    </xf>
    <xf numFmtId="0" fontId="20" fillId="0" borderId="0" xfId="0" applyFont="1" applyAlignment="1">
      <alignment horizontal="right" vertical="top"/>
    </xf>
    <xf numFmtId="165" fontId="20" fillId="0" borderId="0" xfId="0" applyNumberFormat="1" applyFont="1" applyAlignment="1">
      <alignment horizontal="right" vertical="top"/>
    </xf>
    <xf numFmtId="164" fontId="20" fillId="0" borderId="0" xfId="0" applyNumberFormat="1" applyFont="1" applyAlignment="1">
      <alignment horizontal="right" vertical="top"/>
    </xf>
    <xf numFmtId="0" fontId="29" fillId="0" borderId="0" xfId="0" applyFont="1" applyAlignment="1">
      <alignment horizontal="right" vertical="top"/>
    </xf>
    <xf numFmtId="0" fontId="20" fillId="0" borderId="0" xfId="0" applyFont="1" applyAlignment="1">
      <alignment horizontal="right" vertical="top" wrapText="1"/>
    </xf>
    <xf numFmtId="165" fontId="20" fillId="0" borderId="0" xfId="0" applyNumberFormat="1" applyFont="1" applyAlignment="1">
      <alignment horizontal="right" vertical="top" wrapText="1"/>
    </xf>
    <xf numFmtId="164" fontId="20" fillId="0" borderId="0" xfId="0" applyNumberFormat="1" applyFont="1" applyAlignment="1">
      <alignment horizontal="right" vertical="top" wrapText="1"/>
    </xf>
    <xf numFmtId="0" fontId="29" fillId="0" borderId="0" xfId="0" applyFont="1" applyAlignment="1">
      <alignment horizontal="right" vertical="top" wrapText="1"/>
    </xf>
    <xf numFmtId="0" fontId="19" fillId="0" borderId="0" xfId="0" applyFont="1" applyAlignment="1">
      <alignment horizontal="right" wrapText="1"/>
    </xf>
    <xf numFmtId="0" fontId="29" fillId="0" borderId="0" xfId="0" applyFont="1" applyAlignment="1" applyProtection="1">
      <alignment horizontal="right" wrapText="1"/>
      <protection hidden="1"/>
    </xf>
    <xf numFmtId="0" fontId="20" fillId="0" borderId="0" xfId="0" applyFont="1" applyAlignment="1">
      <alignment horizontal="right" wrapText="1"/>
    </xf>
    <xf numFmtId="14" fontId="20" fillId="0" borderId="0" xfId="0" applyNumberFormat="1" applyFont="1" applyAlignment="1">
      <alignment horizontal="right" wrapText="1"/>
    </xf>
    <xf numFmtId="165" fontId="20" fillId="0" borderId="0" xfId="0" applyNumberFormat="1" applyFont="1" applyAlignment="1">
      <alignment horizontal="right" wrapText="1"/>
    </xf>
    <xf numFmtId="164" fontId="20" fillId="0" borderId="0" xfId="0" applyNumberFormat="1" applyFont="1" applyAlignment="1">
      <alignment horizontal="right" wrapText="1"/>
    </xf>
    <xf numFmtId="0" fontId="29" fillId="0" borderId="0" xfId="0" applyFont="1" applyAlignment="1">
      <alignment horizontal="right" wrapText="1"/>
    </xf>
    <xf numFmtId="1" fontId="20" fillId="0" borderId="0" xfId="0" applyNumberFormat="1" applyFont="1" applyAlignment="1">
      <alignment horizontal="right" wrapText="1"/>
    </xf>
    <xf numFmtId="167" fontId="17" fillId="4" borderId="0" xfId="1" applyNumberFormat="1" applyFont="1" applyFill="1" applyBorder="1" applyAlignment="1" applyProtection="1">
      <alignment horizontal="left"/>
      <protection locked="0"/>
    </xf>
    <xf numFmtId="167" fontId="17" fillId="4" borderId="0" xfId="0" applyNumberFormat="1" applyFont="1" applyFill="1" applyProtection="1">
      <protection locked="0"/>
    </xf>
    <xf numFmtId="167" fontId="33" fillId="0" borderId="0" xfId="0" applyNumberFormat="1" applyFont="1" applyAlignment="1" applyProtection="1">
      <alignment vertical="top"/>
      <protection hidden="1"/>
    </xf>
    <xf numFmtId="170" fontId="33" fillId="0" borderId="0" xfId="0" applyNumberFormat="1" applyFont="1" applyProtection="1">
      <protection hidden="1"/>
    </xf>
    <xf numFmtId="0" fontId="17" fillId="0" borderId="3" xfId="0" applyFont="1" applyBorder="1"/>
    <xf numFmtId="174" fontId="17" fillId="0" borderId="0" xfId="0" applyNumberFormat="1" applyFont="1" applyAlignment="1" applyProtection="1">
      <alignment wrapText="1"/>
      <protection locked="0" hidden="1"/>
    </xf>
    <xf numFmtId="0" fontId="17" fillId="4" borderId="0" xfId="0" applyFont="1" applyFill="1" applyProtection="1">
      <protection locked="0" hidden="1"/>
    </xf>
    <xf numFmtId="0" fontId="30" fillId="0" borderId="0" xfId="2" applyFont="1" applyAlignment="1" applyProtection="1">
      <alignment horizontal="left" wrapText="1"/>
      <protection hidden="1"/>
    </xf>
    <xf numFmtId="0" fontId="26" fillId="0" borderId="0" xfId="6" applyFont="1"/>
    <xf numFmtId="0" fontId="26" fillId="0" borderId="0" xfId="6" applyFont="1" applyFill="1" applyBorder="1" applyAlignment="1" applyProtection="1">
      <alignment horizontal="left" vertical="top" wrapText="1"/>
    </xf>
    <xf numFmtId="0" fontId="26" fillId="0" borderId="0" xfId="6" applyFont="1" applyFill="1" applyBorder="1"/>
    <xf numFmtId="0" fontId="0" fillId="0" borderId="1" xfId="0" applyBorder="1"/>
    <xf numFmtId="0" fontId="0" fillId="0" borderId="0" xfId="0" applyAlignment="1">
      <alignment wrapText="1"/>
    </xf>
    <xf numFmtId="170" fontId="9" fillId="0" borderId="0" xfId="0" applyNumberFormat="1" applyFont="1" applyAlignment="1">
      <alignment horizontal="right" vertical="top"/>
    </xf>
    <xf numFmtId="164" fontId="9" fillId="2" borderId="0" xfId="0" applyNumberFormat="1" applyFont="1" applyFill="1" applyAlignment="1">
      <alignment horizontal="right" vertical="top"/>
    </xf>
    <xf numFmtId="175" fontId="9" fillId="2" borderId="0" xfId="0" applyNumberFormat="1" applyFont="1" applyFill="1"/>
    <xf numFmtId="0" fontId="10" fillId="0" borderId="1" xfId="0" applyFont="1" applyBorder="1"/>
    <xf numFmtId="171" fontId="9" fillId="2" borderId="0" xfId="0" applyNumberFormat="1" applyFont="1" applyFill="1" applyAlignment="1">
      <alignment horizontal="right" vertical="top"/>
    </xf>
    <xf numFmtId="1" fontId="9" fillId="2" borderId="0" xfId="0" applyNumberFormat="1" applyFont="1" applyFill="1" applyAlignment="1">
      <alignment horizontal="right" vertical="top"/>
    </xf>
    <xf numFmtId="171" fontId="1" fillId="2" borderId="0" xfId="0" applyNumberFormat="1" applyFont="1" applyFill="1" applyAlignment="1">
      <alignment horizontal="right"/>
    </xf>
    <xf numFmtId="0" fontId="20" fillId="4" borderId="0" xfId="0" applyNumberFormat="1" applyFont="1" applyFill="1" applyAlignment="1" applyProtection="1">
      <alignment horizontal="right" wrapText="1"/>
      <protection locked="0"/>
    </xf>
    <xf numFmtId="0" fontId="1" fillId="0" borderId="0" xfId="0" applyFont="1" applyFill="1" applyAlignment="1">
      <alignment wrapText="1"/>
    </xf>
    <xf numFmtId="0" fontId="7" fillId="0" borderId="2" xfId="0" applyFont="1" applyFill="1" applyBorder="1" applyAlignment="1">
      <alignment horizontal="right" wrapText="1"/>
    </xf>
    <xf numFmtId="0" fontId="1" fillId="0" borderId="0" xfId="0" applyFont="1" applyFill="1" applyAlignment="1">
      <alignment horizontal="right" wrapText="1"/>
    </xf>
    <xf numFmtId="0" fontId="2" fillId="0" borderId="0" xfId="0" applyFont="1" applyFill="1" applyAlignment="1">
      <alignment wrapText="1"/>
    </xf>
    <xf numFmtId="14" fontId="8" fillId="2" borderId="0" xfId="0" applyNumberFormat="1" applyFont="1" applyFill="1" applyAlignment="1">
      <alignment horizontal="right" vertical="top"/>
    </xf>
    <xf numFmtId="171" fontId="8" fillId="2" borderId="0" xfId="0" applyNumberFormat="1" applyFont="1" applyFill="1" applyAlignment="1">
      <alignment horizontal="right" vertical="top"/>
    </xf>
    <xf numFmtId="0" fontId="17" fillId="2" borderId="0" xfId="0" applyFont="1" applyFill="1" applyAlignment="1">
      <alignment vertical="top"/>
    </xf>
    <xf numFmtId="0" fontId="17" fillId="2" borderId="0" xfId="0" applyFont="1" applyFill="1" applyAlignment="1">
      <alignment horizontal="left" vertical="top" wrapText="1"/>
    </xf>
    <xf numFmtId="172" fontId="21" fillId="2" borderId="0" xfId="0" applyNumberFormat="1" applyFont="1" applyFill="1" applyAlignment="1">
      <alignment horizontal="left" vertical="top" wrapText="1"/>
    </xf>
    <xf numFmtId="0" fontId="21" fillId="2" borderId="0" xfId="0" applyFont="1" applyFill="1" applyAlignment="1">
      <alignment horizontal="left" vertical="top" wrapText="1"/>
    </xf>
    <xf numFmtId="171" fontId="1" fillId="2" borderId="1" xfId="8" applyNumberFormat="1" applyFont="1" applyFill="1" applyBorder="1"/>
    <xf numFmtId="0" fontId="7" fillId="2" borderId="0" xfId="0" applyFont="1" applyFill="1"/>
    <xf numFmtId="171" fontId="9" fillId="2" borderId="0" xfId="0" applyNumberFormat="1" applyFont="1" applyFill="1"/>
    <xf numFmtId="0" fontId="7" fillId="2" borderId="0" xfId="0" applyFont="1" applyFill="1" applyAlignment="1">
      <alignment horizontal="left" wrapText="1"/>
    </xf>
    <xf numFmtId="2" fontId="9" fillId="2" borderId="0" xfId="7" applyNumberFormat="1" applyFont="1" applyFill="1"/>
    <xf numFmtId="175" fontId="9" fillId="2" borderId="0" xfId="0" applyNumberFormat="1" applyFont="1" applyFill="1" applyAlignment="1">
      <alignment horizontal="right" vertical="top"/>
    </xf>
    <xf numFmtId="0" fontId="17" fillId="2" borderId="0" xfId="0" applyFont="1" applyFill="1"/>
    <xf numFmtId="168" fontId="17" fillId="0" borderId="0" xfId="0" applyNumberFormat="1" applyFont="1" applyProtection="1">
      <protection hidden="1"/>
    </xf>
    <xf numFmtId="168" fontId="18" fillId="0" borderId="3" xfId="0" applyNumberFormat="1" applyFont="1" applyBorder="1" applyProtection="1">
      <protection hidden="1"/>
    </xf>
    <xf numFmtId="9" fontId="17" fillId="0" borderId="0" xfId="7" applyFont="1" applyFill="1" applyBorder="1" applyProtection="1">
      <protection hidden="1"/>
    </xf>
    <xf numFmtId="0" fontId="17" fillId="0" borderId="0" xfId="0" applyFont="1" applyProtection="1">
      <protection hidden="1"/>
    </xf>
    <xf numFmtId="2" fontId="9" fillId="2" borderId="0" xfId="0" applyNumberFormat="1" applyFont="1" applyFill="1"/>
    <xf numFmtId="1" fontId="9" fillId="2" borderId="0" xfId="0" applyNumberFormat="1" applyFont="1" applyFill="1"/>
    <xf numFmtId="0" fontId="17" fillId="4" borderId="0" xfId="2" applyNumberFormat="1" applyFont="1" applyFill="1" applyAlignment="1" applyProtection="1">
      <alignment horizontal="right"/>
      <protection locked="0" hidden="1"/>
    </xf>
    <xf numFmtId="0" fontId="17" fillId="0" borderId="0" xfId="2" applyNumberFormat="1" applyFont="1" applyAlignment="1" applyProtection="1">
      <alignment horizontal="right"/>
      <protection hidden="1"/>
    </xf>
    <xf numFmtId="0" fontId="10" fillId="0" borderId="1" xfId="0" applyFont="1" applyBorder="1" applyAlignment="1">
      <alignment horizontal="left"/>
    </xf>
    <xf numFmtId="0" fontId="0" fillId="0" borderId="0" xfId="0" applyAlignment="1">
      <alignment horizontal="left"/>
    </xf>
    <xf numFmtId="0" fontId="18" fillId="0" borderId="0" xfId="6" applyFont="1" applyFill="1" applyBorder="1" applyAlignment="1" applyProtection="1">
      <alignment horizontal="left"/>
    </xf>
    <xf numFmtId="0" fontId="18" fillId="0" borderId="0" xfId="0" applyFont="1" applyAlignment="1">
      <alignment horizontal="left" wrapText="1"/>
    </xf>
    <xf numFmtId="0" fontId="17" fillId="0" borderId="0" xfId="0" applyFont="1" applyAlignment="1">
      <alignment horizontal="center"/>
    </xf>
    <xf numFmtId="0" fontId="8" fillId="0" borderId="1" xfId="0" applyFont="1" applyBorder="1" applyAlignment="1">
      <alignment horizontal="left"/>
    </xf>
    <xf numFmtId="0" fontId="1" fillId="0" borderId="0" xfId="8" applyFont="1" applyBorder="1" applyAlignment="1">
      <alignment horizontal="center"/>
    </xf>
    <xf numFmtId="0" fontId="10" fillId="0" borderId="1" xfId="0" applyFont="1" applyBorder="1" applyAlignment="1">
      <alignment horizontal="center"/>
    </xf>
    <xf numFmtId="0" fontId="10" fillId="0" borderId="1" xfId="0" applyFont="1" applyBorder="1" applyAlignment="1">
      <alignment horizontal="left"/>
    </xf>
  </cellXfs>
  <cellStyles count="10">
    <cellStyle name="Comma" xfId="3" builtinId="3"/>
    <cellStyle name="Currency" xfId="1" builtinId="4"/>
    <cellStyle name="Heading 1" xfId="4" builtinId="16" customBuiltin="1"/>
    <cellStyle name="Heading 2" xfId="8" builtinId="17" customBuiltin="1"/>
    <cellStyle name="Heading 3" xfId="9" builtinId="18" customBuiltin="1"/>
    <cellStyle name="Heading 4" xfId="5" builtinId="19"/>
    <cellStyle name="Hyperlink" xfId="6" builtinId="8"/>
    <cellStyle name="Normal" xfId="0" builtinId="0"/>
    <cellStyle name="Normal 2" xfId="2" xr:uid="{7166C0AE-F1AB-4993-A34B-77300A89B367}"/>
    <cellStyle name="Percent" xfId="7" builtinId="5"/>
  </cellStyles>
  <dxfs count="346">
    <dxf>
      <font>
        <b val="0"/>
        <i val="0"/>
        <strike val="0"/>
        <condense val="0"/>
        <extend val="0"/>
        <outline val="0"/>
        <shadow val="0"/>
        <u val="none"/>
        <vertAlign val="baseline"/>
        <sz val="12"/>
        <color theme="1" tint="4.9989318521683403E-2"/>
        <name val="Calibri"/>
        <family val="2"/>
        <scheme val="minor"/>
      </font>
      <numFmt numFmtId="170" formatCode="mmmm\ yyyy"/>
      <alignment horizontal="right" vertical="top" textRotation="0" wrapText="0" indent="0" justifyLastLine="0" shrinkToFit="0" readingOrder="0"/>
    </dxf>
    <dxf>
      <border outline="0">
        <bottom style="thin">
          <color indexed="64"/>
        </bottom>
      </border>
    </dxf>
    <dxf>
      <border outline="0">
        <bottom style="thin">
          <color indexed="64"/>
        </bottom>
      </border>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171" formatCode="&quot;£&quot;#,##0"/>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64" formatCode="[$-409]mmm\-yy;@"/>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0" formatCode="General"/>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numFmt numFmtId="0" formatCode="General"/>
      <fill>
        <patternFill patternType="solid">
          <fgColor indexed="64"/>
          <bgColor theme="0"/>
        </patternFill>
      </fill>
      <alignment horizontal="right" vertical="top" textRotation="0" wrapText="0" indent="0" justifyLastLine="0" shrinkToFit="0" readingOrder="0"/>
    </dxf>
    <dxf>
      <font>
        <strike val="0"/>
        <outline val="0"/>
        <shadow val="0"/>
        <u val="none"/>
        <vertAlign val="baseline"/>
        <sz val="12"/>
        <color theme="1" tint="4.9989318521683403E-2"/>
        <name val="Calibri"/>
        <family val="2"/>
        <scheme val="minor"/>
      </font>
      <fill>
        <patternFill patternType="solid">
          <fgColor indexed="64"/>
          <bgColor theme="0"/>
        </patternFill>
      </fill>
      <alignment horizontal="right" vertical="top" textRotation="0" wrapText="0" indent="0" justifyLastLine="0" shrinkToFit="0" readingOrder="0"/>
    </dxf>
    <dxf>
      <border>
        <bottom style="thin">
          <color indexed="64"/>
        </bottom>
      </border>
    </dxf>
    <dxf>
      <font>
        <strike val="0"/>
        <outline val="0"/>
        <shadow val="0"/>
        <u val="none"/>
        <vertAlign val="baseline"/>
        <sz val="12"/>
        <color theme="1"/>
        <name val="Calibri"/>
        <family val="2"/>
        <scheme val="minor"/>
      </font>
      <fill>
        <patternFill patternType="solid">
          <fgColor indexed="64"/>
          <bgColor theme="0"/>
        </patternFill>
      </fill>
    </dxf>
    <dxf>
      <font>
        <b val="0"/>
        <i val="0"/>
        <strike val="0"/>
        <condense val="0"/>
        <extend val="0"/>
        <outline val="0"/>
        <shadow val="0"/>
        <u val="none"/>
        <vertAlign val="baseline"/>
        <sz val="12"/>
        <color theme="1"/>
        <name val="Calibri"/>
        <family val="2"/>
        <scheme val="minor"/>
      </font>
      <numFmt numFmtId="171" formatCode="&quot;£&quot;#,##0"/>
      <fill>
        <patternFill>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numFmt numFmtId="0" formatCode="General"/>
      <fill>
        <patternFill>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numFmt numFmtId="0" formatCode="General"/>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numFmt numFmtId="170" formatCode="mmmm\ yyyy"/>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numFmt numFmtId="0" formatCode="General"/>
      <fill>
        <patternFill>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numFmt numFmtId="0" formatCode="General"/>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numFmt numFmtId="170" formatCode="mmmm\ yyyy"/>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3"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numFmt numFmtId="0" formatCode="General"/>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numFmt numFmtId="0" formatCode="General"/>
      <fill>
        <patternFill>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numFmt numFmtId="1" formatCode="0"/>
      <fill>
        <patternFill>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numFmt numFmtId="0" formatCode="General"/>
      <fill>
        <patternFill>
          <fgColor indexed="64"/>
          <bgColor theme="0"/>
        </patternFill>
      </fill>
      <alignment horizontal="right" vertical="bottom" textRotation="0" wrapText="0" indent="0" justifyLastLine="0" shrinkToFit="0" readingOrder="0"/>
    </dxf>
    <dxf>
      <border outline="0">
        <right style="thin">
          <color indexed="64"/>
        </right>
      </border>
    </dxf>
    <dxf>
      <font>
        <strike val="0"/>
        <outline val="0"/>
        <shadow val="0"/>
        <u val="none"/>
        <vertAlign val="baseline"/>
        <sz val="12"/>
        <color theme="1"/>
        <name val="Calibri"/>
        <family val="2"/>
        <scheme val="minor"/>
      </font>
      <numFmt numFmtId="164" formatCode="[$-409]mmm\-yy;@"/>
      <fill>
        <patternFill>
          <fgColor indexed="64"/>
          <bgColor theme="0"/>
        </patternFill>
      </fill>
      <alignment horizontal="right" vertical="bottom" textRotation="0" wrapText="0" indent="0" justifyLastLine="0" shrinkToFit="0" readingOrder="0"/>
    </dxf>
    <dxf>
      <border>
        <bottom style="thin">
          <color indexed="64"/>
        </bottom>
      </border>
    </dxf>
    <dxf>
      <font>
        <strike val="0"/>
        <outline val="0"/>
        <shadow val="0"/>
        <u val="none"/>
        <vertAlign val="baseline"/>
        <sz val="12"/>
        <color theme="1"/>
        <name val="Calibri"/>
        <family val="2"/>
        <scheme val="minor"/>
      </font>
      <numFmt numFmtId="164" formatCode="[$-409]mmm\-yy;@"/>
      <fill>
        <patternFill patternType="solid">
          <fgColor indexed="6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2"/>
        <color theme="1" tint="4.9989318521683403E-2"/>
        <name val="Calibri"/>
        <family val="2"/>
        <scheme val="minor"/>
      </font>
      <numFmt numFmtId="2" formatCode="0.00"/>
      <fill>
        <patternFill>
          <bgColor theme="0"/>
        </patternFill>
      </fill>
    </dxf>
    <dxf>
      <font>
        <b val="0"/>
        <i val="0"/>
        <strike val="0"/>
        <condense val="0"/>
        <extend val="0"/>
        <outline val="0"/>
        <shadow val="0"/>
        <u val="none"/>
        <vertAlign val="baseline"/>
        <sz val="12"/>
        <color theme="1" tint="4.9989318521683403E-2"/>
        <name val="Calibri"/>
        <family val="2"/>
        <scheme val="minor"/>
      </font>
      <numFmt numFmtId="1" formatCode="0"/>
      <fill>
        <patternFill patternType="solid">
          <fgColor indexed="64"/>
          <bgColor theme="0"/>
        </patternFill>
      </fill>
    </dxf>
    <dxf>
      <font>
        <b val="0"/>
        <i val="0"/>
        <strike val="0"/>
        <condense val="0"/>
        <extend val="0"/>
        <outline val="0"/>
        <shadow val="0"/>
        <u val="none"/>
        <vertAlign val="baseline"/>
        <sz val="12"/>
        <color theme="1" tint="4.9989318521683403E-2"/>
        <name val="Calibri"/>
        <family val="2"/>
        <scheme val="minor"/>
      </font>
      <numFmt numFmtId="171" formatCode="&quot;£&quot;#,##0"/>
      <fill>
        <patternFill>
          <bgColor theme="0"/>
        </patternFill>
      </fill>
    </dxf>
    <dxf>
      <font>
        <b val="0"/>
        <i val="0"/>
        <strike val="0"/>
        <condense val="0"/>
        <extend val="0"/>
        <outline val="0"/>
        <shadow val="0"/>
        <u val="none"/>
        <vertAlign val="baseline"/>
        <sz val="12"/>
        <color theme="1" tint="4.9989318521683403E-2"/>
        <name val="Calibri"/>
        <family val="2"/>
        <scheme val="minor"/>
      </font>
      <numFmt numFmtId="171" formatCode="&quot;£&quot;#,##0"/>
      <fill>
        <patternFill>
          <bgColor theme="0"/>
        </patternFill>
      </fill>
    </dxf>
    <dxf>
      <font>
        <b val="0"/>
        <i val="0"/>
        <strike val="0"/>
        <condense val="0"/>
        <extend val="0"/>
        <outline val="0"/>
        <shadow val="0"/>
        <u val="none"/>
        <vertAlign val="baseline"/>
        <sz val="12"/>
        <color theme="1" tint="4.9989318521683403E-2"/>
        <name val="Calibri"/>
        <family val="2"/>
        <scheme val="minor"/>
      </font>
      <numFmt numFmtId="171" formatCode="&quot;£&quot;#,##0"/>
      <fill>
        <patternFill>
          <bgColor theme="0"/>
        </patternFill>
      </fill>
    </dxf>
    <dxf>
      <font>
        <b val="0"/>
        <i val="0"/>
        <strike val="0"/>
        <condense val="0"/>
        <extend val="0"/>
        <outline val="0"/>
        <shadow val="0"/>
        <u val="none"/>
        <vertAlign val="baseline"/>
        <sz val="12"/>
        <color theme="1" tint="4.9989318521683403E-2"/>
        <name val="Calibri"/>
        <family val="2"/>
        <scheme val="minor"/>
      </font>
      <numFmt numFmtId="171" formatCode="&quot;£&quot;#,##0"/>
      <fill>
        <patternFill>
          <bgColor theme="0"/>
        </patternFill>
      </fill>
    </dxf>
    <dxf>
      <font>
        <b/>
        <i val="0"/>
        <strike val="0"/>
        <condense val="0"/>
        <extend val="0"/>
        <outline val="0"/>
        <shadow val="0"/>
        <u val="none"/>
        <vertAlign val="baseline"/>
        <sz val="12"/>
        <color theme="1" tint="4.9989318521683403E-2"/>
        <name val="Calibri"/>
        <family val="2"/>
        <scheme val="minor"/>
      </font>
      <fill>
        <patternFill patternType="solid">
          <fgColor indexed="64"/>
          <bgColor theme="0"/>
        </patternFill>
      </fill>
    </dxf>
    <dxf>
      <font>
        <b val="0"/>
        <i val="0"/>
        <strike val="0"/>
        <condense val="0"/>
        <extend val="0"/>
        <outline val="0"/>
        <shadow val="0"/>
        <u val="none"/>
        <vertAlign val="baseline"/>
        <sz val="12"/>
        <color theme="1" tint="4.9989318521683403E-2"/>
        <name val="Calibri"/>
        <family val="2"/>
        <scheme val="minor"/>
      </font>
      <fill>
        <patternFill>
          <bgColor theme="0"/>
        </patternFill>
      </fill>
    </dxf>
    <dxf>
      <font>
        <b val="0"/>
        <i val="0"/>
        <strike val="0"/>
        <condense val="0"/>
        <extend val="0"/>
        <outline val="0"/>
        <shadow val="0"/>
        <u val="none"/>
        <vertAlign val="baseline"/>
        <sz val="12"/>
        <color auto="1"/>
        <name val="Calibri"/>
        <family val="2"/>
        <scheme val="minor"/>
      </font>
      <fill>
        <patternFill>
          <bgColor theme="0"/>
        </patternFill>
      </fill>
    </dxf>
    <dxf>
      <font>
        <b val="0"/>
        <i val="0"/>
        <strike val="0"/>
        <condense val="0"/>
        <extend val="0"/>
        <outline val="0"/>
        <shadow val="0"/>
        <u val="none"/>
        <vertAlign val="baseline"/>
        <sz val="12"/>
        <color theme="1" tint="4.9989318521683403E-2"/>
        <name val="Calibri"/>
        <family val="2"/>
        <scheme val="minor"/>
      </font>
      <fill>
        <patternFill patternType="solid">
          <fgColor indexed="64"/>
          <bgColor theme="0"/>
        </patternFill>
      </fill>
    </dxf>
    <dxf>
      <font>
        <b val="0"/>
        <i val="0"/>
        <strike val="0"/>
        <condense val="0"/>
        <extend val="0"/>
        <outline val="0"/>
        <shadow val="0"/>
        <u val="none"/>
        <vertAlign val="baseline"/>
        <sz val="12"/>
        <color theme="1" tint="4.9989318521683403E-2"/>
        <name val="Calibri"/>
        <family val="2"/>
        <scheme val="minor"/>
      </font>
      <fill>
        <patternFill patternType="solid">
          <fgColor indexed="64"/>
          <bgColor theme="0"/>
        </patternFill>
      </fill>
    </dxf>
    <dxf>
      <font>
        <b val="0"/>
        <i val="0"/>
        <strike val="0"/>
        <condense val="0"/>
        <extend val="0"/>
        <outline val="0"/>
        <shadow val="0"/>
        <u val="none"/>
        <vertAlign val="baseline"/>
        <sz val="12"/>
        <color theme="1" tint="4.9989318521683403E-2"/>
        <name val="Calibri"/>
        <family val="2"/>
        <scheme val="minor"/>
      </font>
      <numFmt numFmtId="164" formatCode="[$-409]mmm\-yy;@"/>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 formatCode="0"/>
      <fill>
        <patternFill>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64" formatCode="[$-409]mmm\-yy;@"/>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 formatCode="0"/>
      <fill>
        <patternFill patternType="none">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64" formatCode="[$-409]mmm\-yy;@"/>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75" formatCode="dd/mm/yyyy;@"/>
      <fill>
        <patternFill patternType="none">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64" formatCode="[$-409]mmm\-yy;@"/>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75" formatCode="dd/mm/yyyy;@"/>
      <fill>
        <patternFill patternType="none">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75" formatCode="dd/mm/yyyy;@"/>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75" formatCode="dd/mm/yyyy;@"/>
      <fill>
        <patternFill patternType="none">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75" formatCode="dd/mm/yyyy;@"/>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75" formatCode="dd/mm/yyyy;@"/>
      <fill>
        <patternFill>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75" formatCode="dd/mm/yyyy;@"/>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75" formatCode="dd/mm/yyyy;@"/>
      <fill>
        <patternFill>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64" formatCode="[$-409]mmm\-yy;@"/>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75" formatCode="dd/mm/yyyy;@"/>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fill>
        <patternFill patternType="solid">
          <fgColor indexed="64"/>
          <bgColor theme="0"/>
        </patternFill>
      </fill>
    </dxf>
    <dxf>
      <font>
        <b val="0"/>
        <i val="0"/>
        <strike val="0"/>
        <condense val="0"/>
        <extend val="0"/>
        <outline val="0"/>
        <shadow val="0"/>
        <u val="none"/>
        <vertAlign val="baseline"/>
        <sz val="12"/>
        <color theme="1" tint="4.9989318521683403E-2"/>
        <name val="Calibri"/>
        <family val="2"/>
        <scheme val="minor"/>
      </font>
      <fill>
        <patternFill patternType="solid">
          <fgColor indexed="64"/>
          <bgColor theme="0"/>
        </patternFill>
      </fill>
    </dxf>
    <dxf>
      <font>
        <b val="0"/>
        <i val="0"/>
        <strike val="0"/>
        <condense val="0"/>
        <extend val="0"/>
        <outline val="0"/>
        <shadow val="0"/>
        <u val="none"/>
        <vertAlign val="baseline"/>
        <sz val="12"/>
        <color theme="1" tint="4.9989318521683403E-2"/>
        <name val="Calibri"/>
        <family val="2"/>
        <scheme val="minor"/>
      </font>
      <numFmt numFmtId="164" formatCode="[$-409]mmm\-yy;@"/>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numFmt numFmtId="164" formatCode="[$-409]mmm\-yy;@"/>
      <fill>
        <patternFill patternType="solid">
          <fgColor indexed="64"/>
          <bgColor theme="0"/>
        </patternFill>
      </fill>
      <alignment horizontal="right" vertical="top" textRotation="0" wrapText="0" indent="0" justifyLastLine="0" shrinkToFit="0" readingOrder="0"/>
    </dxf>
    <dxf>
      <font>
        <b val="0"/>
        <i val="0"/>
        <strike val="0"/>
        <condense val="0"/>
        <extend val="0"/>
        <outline val="0"/>
        <shadow val="0"/>
        <u val="none"/>
        <vertAlign val="baseline"/>
        <sz val="12"/>
        <color theme="1" tint="4.9989318521683403E-2"/>
        <name val="Calibri"/>
        <family val="2"/>
        <scheme val="minor"/>
      </font>
      <fill>
        <patternFill patternType="solid">
          <fgColor indexed="64"/>
          <bgColor theme="0"/>
        </patternFill>
      </fill>
    </dxf>
    <dxf>
      <font>
        <b val="0"/>
        <i val="0"/>
        <strike val="0"/>
        <condense val="0"/>
        <extend val="0"/>
        <outline val="0"/>
        <shadow val="0"/>
        <u val="none"/>
        <vertAlign val="baseline"/>
        <sz val="12"/>
        <color theme="1" tint="4.9989318521683403E-2"/>
        <name val="Calibri"/>
        <family val="2"/>
        <scheme val="minor"/>
      </font>
      <fill>
        <patternFill patternType="solid">
          <fgColor indexed="64"/>
          <bgColor theme="0"/>
        </patternFill>
      </fill>
    </dxf>
    <dxf>
      <font>
        <b/>
        <i val="0"/>
        <strike val="0"/>
        <condense val="0"/>
        <extend val="0"/>
        <outline val="0"/>
        <shadow val="0"/>
        <u val="none"/>
        <vertAlign val="baseline"/>
        <sz val="12"/>
        <color theme="1" tint="4.9989318521683403E-2"/>
        <name val="Calibri"/>
        <family val="2"/>
        <scheme val="minor"/>
      </font>
      <fill>
        <patternFill patternType="solid">
          <fgColor indexed="64"/>
          <bgColor theme="0"/>
        </patternFill>
      </fill>
    </dxf>
    <dxf>
      <font>
        <b/>
        <i val="0"/>
        <strike val="0"/>
        <condense val="0"/>
        <extend val="0"/>
        <outline val="0"/>
        <shadow val="0"/>
        <u val="none"/>
        <vertAlign val="baseline"/>
        <sz val="12"/>
        <color theme="1" tint="4.9989318521683403E-2"/>
        <name val="Calibri"/>
        <family val="2"/>
        <scheme val="minor"/>
      </font>
      <fill>
        <patternFill patternType="solid">
          <fgColor indexed="64"/>
          <bgColor theme="0"/>
        </patternFill>
      </fill>
    </dxf>
    <dxf>
      <font>
        <b val="0"/>
        <i val="0"/>
        <strike val="0"/>
        <condense val="0"/>
        <extend val="0"/>
        <outline val="0"/>
        <shadow val="0"/>
        <u val="none"/>
        <vertAlign val="baseline"/>
        <sz val="12"/>
        <color theme="1" tint="4.9989318521683403E-2"/>
        <name val="Calibri"/>
        <family val="2"/>
        <scheme val="minor"/>
      </font>
      <fill>
        <patternFill patternType="solid">
          <fgColor indexed="64"/>
          <bgColor theme="0"/>
        </patternFill>
      </fill>
    </dxf>
    <dxf>
      <font>
        <b val="0"/>
        <i val="0"/>
        <strike val="0"/>
        <condense val="0"/>
        <extend val="0"/>
        <outline val="0"/>
        <shadow val="0"/>
        <u val="none"/>
        <vertAlign val="baseline"/>
        <sz val="12"/>
        <color theme="1" tint="4.9989318521683403E-2"/>
        <name val="Calibri"/>
        <family val="2"/>
        <scheme val="minor"/>
      </font>
      <fill>
        <patternFill patternType="solid">
          <fgColor indexed="64"/>
          <bgColor theme="0"/>
        </patternFill>
      </fill>
    </dxf>
    <dxf>
      <font>
        <b val="0"/>
        <i val="0"/>
        <strike val="0"/>
        <condense val="0"/>
        <extend val="0"/>
        <outline val="0"/>
        <shadow val="0"/>
        <u val="none"/>
        <vertAlign val="baseline"/>
        <sz val="12"/>
        <color theme="1" tint="4.9989318521683403E-2"/>
        <name val="Calibri"/>
        <family val="2"/>
        <scheme val="minor"/>
      </font>
      <numFmt numFmtId="2" formatCode="0.00"/>
      <fill>
        <patternFill>
          <bgColor theme="0"/>
        </patternFill>
      </fill>
    </dxf>
    <dxf>
      <font>
        <b val="0"/>
        <i val="0"/>
        <strike val="0"/>
        <condense val="0"/>
        <extend val="0"/>
        <outline val="0"/>
        <shadow val="0"/>
        <u val="none"/>
        <vertAlign val="baseline"/>
        <sz val="12"/>
        <color theme="1" tint="4.9989318521683403E-2"/>
        <name val="Calibri"/>
        <family val="2"/>
        <scheme val="minor"/>
      </font>
      <numFmt numFmtId="1" formatCode="0"/>
      <fill>
        <patternFill patternType="solid">
          <fgColor indexed="64"/>
          <bgColor theme="0"/>
        </patternFill>
      </fill>
    </dxf>
    <dxf>
      <font>
        <strike val="0"/>
        <outline val="0"/>
        <shadow val="0"/>
        <u val="none"/>
        <vertAlign val="baseline"/>
        <sz val="12"/>
        <color theme="1" tint="4.9989318521683403E-2"/>
        <name val="Calibri"/>
        <family val="2"/>
        <scheme val="minor"/>
      </font>
      <numFmt numFmtId="171" formatCode="&quot;£&quot;#,##0"/>
      <fill>
        <patternFill patternType="solid">
          <fgColor theme="4" tint="0.79998168889431442"/>
          <bgColor theme="0"/>
        </patternFill>
      </fill>
    </dxf>
    <dxf>
      <font>
        <strike val="0"/>
        <outline val="0"/>
        <shadow val="0"/>
        <u val="none"/>
        <vertAlign val="baseline"/>
        <sz val="12"/>
        <color theme="1" tint="4.9989318521683403E-2"/>
        <name val="Calibri"/>
        <family val="2"/>
        <scheme val="minor"/>
      </font>
      <numFmt numFmtId="34" formatCode="_-&quot;£&quot;* #,##0.00_-;\-&quot;£&quot;* #,##0.00_-;_-&quot;£&quot;* &quot;-&quot;??_-;_-@_-"/>
      <fill>
        <patternFill patternType="solid">
          <fgColor theme="4" tint="0.79998168889431442"/>
          <bgColor theme="0"/>
        </patternFill>
      </fill>
    </dxf>
    <dxf>
      <font>
        <strike val="0"/>
        <outline val="0"/>
        <shadow val="0"/>
        <u val="none"/>
        <vertAlign val="baseline"/>
        <sz val="12"/>
        <color theme="1" tint="4.9989318521683403E-2"/>
        <name val="Calibri"/>
        <family val="2"/>
        <scheme val="minor"/>
      </font>
      <numFmt numFmtId="34" formatCode="_-&quot;£&quot;* #,##0.00_-;\-&quot;£&quot;* #,##0.00_-;_-&quot;£&quot;* &quot;-&quot;??_-;_-@_-"/>
      <fill>
        <patternFill patternType="solid">
          <fgColor theme="4" tint="0.79998168889431442"/>
          <bgColor theme="0"/>
        </patternFill>
      </fill>
    </dxf>
    <dxf>
      <font>
        <strike val="0"/>
        <outline val="0"/>
        <shadow val="0"/>
        <u val="none"/>
        <vertAlign val="baseline"/>
        <sz val="12"/>
        <color theme="1" tint="4.9989318521683403E-2"/>
        <name val="Calibri"/>
        <family val="2"/>
        <scheme val="minor"/>
      </font>
      <numFmt numFmtId="171" formatCode="&quot;£&quot;#,##0"/>
      <fill>
        <patternFill patternType="none">
          <fgColor indexed="64"/>
          <bgColor theme="0"/>
        </patternFill>
      </fill>
    </dxf>
    <dxf>
      <font>
        <strike val="0"/>
        <outline val="0"/>
        <shadow val="0"/>
        <u val="none"/>
        <vertAlign val="baseline"/>
        <sz val="12"/>
        <color theme="1" tint="4.9989318521683403E-2"/>
        <name val="Calibri"/>
        <family val="2"/>
        <scheme val="minor"/>
      </font>
      <numFmt numFmtId="34" formatCode="_-&quot;£&quot;* #,##0.00_-;\-&quot;£&quot;* #,##0.00_-;_-&quot;£&quot;* &quot;-&quot;??_-;_-@_-"/>
      <fill>
        <patternFill patternType="none">
          <fgColor indexed="64"/>
          <bgColor theme="0"/>
        </patternFill>
      </fill>
    </dxf>
    <dxf>
      <font>
        <strike val="0"/>
        <outline val="0"/>
        <shadow val="0"/>
        <u val="none"/>
        <vertAlign val="baseline"/>
        <sz val="12"/>
        <color theme="1" tint="4.9989318521683403E-2"/>
        <name val="Calibri"/>
        <family val="2"/>
        <scheme val="minor"/>
      </font>
      <numFmt numFmtId="34" formatCode="_-&quot;£&quot;* #,##0.00_-;\-&quot;£&quot;* #,##0.00_-;_-&quot;£&quot;* &quot;-&quot;??_-;_-@_-"/>
      <fill>
        <patternFill patternType="none">
          <fgColor indexed="64"/>
          <bgColor theme="0"/>
        </patternFill>
      </fill>
    </dxf>
    <dxf>
      <font>
        <strike val="0"/>
        <outline val="0"/>
        <shadow val="0"/>
        <u val="none"/>
        <vertAlign val="baseline"/>
        <sz val="12"/>
        <color theme="1" tint="4.9989318521683403E-2"/>
        <name val="Calibri"/>
        <family val="2"/>
        <scheme val="minor"/>
      </font>
      <numFmt numFmtId="34" formatCode="_-&quot;£&quot;* #,##0.00_-;\-&quot;£&quot;* #,##0.00_-;_-&quot;£&quot;* &quot;-&quot;??_-;_-@_-"/>
      <fill>
        <patternFill patternType="none">
          <fgColor indexed="64"/>
          <bgColor theme="0"/>
        </patternFill>
      </fill>
    </dxf>
    <dxf>
      <font>
        <strike val="0"/>
        <outline val="0"/>
        <shadow val="0"/>
        <u val="none"/>
        <vertAlign val="baseline"/>
        <sz val="12"/>
        <color theme="1" tint="4.9989318521683403E-2"/>
        <name val="Calibri"/>
        <family val="2"/>
        <scheme val="minor"/>
      </font>
      <numFmt numFmtId="34" formatCode="_-&quot;£&quot;* #,##0.00_-;\-&quot;£&quot;* #,##0.00_-;_-&quot;£&quot;* &quot;-&quot;??_-;_-@_-"/>
      <fill>
        <patternFill patternType="none">
          <fgColor indexed="64"/>
          <bgColor theme="0"/>
        </patternFill>
      </fill>
    </dxf>
    <dxf>
      <font>
        <b val="0"/>
        <i val="0"/>
        <strike val="0"/>
        <condense val="0"/>
        <extend val="0"/>
        <outline val="0"/>
        <shadow val="0"/>
        <u val="none"/>
        <vertAlign val="baseline"/>
        <sz val="12"/>
        <color theme="1" tint="4.9989318521683403E-2"/>
        <name val="Calibri"/>
        <family val="2"/>
        <scheme val="minor"/>
      </font>
      <numFmt numFmtId="34" formatCode="_-&quot;£&quot;* #,##0.00_-;\-&quot;£&quot;* #,##0.00_-;_-&quot;£&quot;* &quot;-&quot;??_-;_-@_-"/>
      <fill>
        <patternFill patternType="solid">
          <fgColor indexed="64"/>
          <bgColor theme="0"/>
        </patternFill>
      </fill>
    </dxf>
    <dxf>
      <font>
        <b val="0"/>
        <i val="0"/>
        <strike val="0"/>
        <condense val="0"/>
        <extend val="0"/>
        <outline val="0"/>
        <shadow val="0"/>
        <u val="none"/>
        <vertAlign val="baseline"/>
        <sz val="12"/>
        <color theme="1" tint="4.9989318521683403E-2"/>
        <name val="Calibri"/>
        <family val="2"/>
        <scheme val="minor"/>
      </font>
      <numFmt numFmtId="34" formatCode="_-&quot;£&quot;* #,##0.00_-;\-&quot;£&quot;* #,##0.00_-;_-&quot;£&quot;* &quot;-&quot;??_-;_-@_-"/>
      <fill>
        <patternFill patternType="solid">
          <fgColor indexed="64"/>
          <bgColor theme="0"/>
        </patternFill>
      </fill>
    </dxf>
    <dxf>
      <font>
        <strike val="0"/>
        <outline val="0"/>
        <shadow val="0"/>
        <u val="none"/>
        <vertAlign val="baseline"/>
        <sz val="12"/>
        <color theme="1" tint="4.9989318521683403E-2"/>
        <name val="Calibri"/>
        <family val="2"/>
        <scheme val="minor"/>
      </font>
      <numFmt numFmtId="34" formatCode="_-&quot;£&quot;* #,##0.00_-;\-&quot;£&quot;* #,##0.00_-;_-&quot;£&quot;* &quot;-&quot;??_-;_-@_-"/>
      <fill>
        <patternFill patternType="none">
          <fgColor indexed="64"/>
          <bgColor theme="0"/>
        </patternFill>
      </fill>
    </dxf>
    <dxf>
      <font>
        <strike val="0"/>
        <outline val="0"/>
        <shadow val="0"/>
        <u val="none"/>
        <vertAlign val="baseline"/>
        <sz val="12"/>
        <color theme="1" tint="4.9989318521683403E-2"/>
        <name val="Calibri"/>
        <family val="2"/>
        <scheme val="minor"/>
      </font>
      <numFmt numFmtId="34" formatCode="_-&quot;£&quot;* #,##0.00_-;\-&quot;£&quot;* #,##0.00_-;_-&quot;£&quot;* &quot;-&quot;??_-;_-@_-"/>
      <fill>
        <patternFill patternType="none">
          <fgColor indexed="64"/>
          <bgColor theme="0"/>
        </patternFill>
      </fill>
    </dxf>
    <dxf>
      <font>
        <strike val="0"/>
        <outline val="0"/>
        <shadow val="0"/>
        <u val="none"/>
        <vertAlign val="baseline"/>
        <sz val="12"/>
        <color theme="1" tint="4.9989318521683403E-2"/>
        <name val="Calibri"/>
        <family val="2"/>
        <scheme val="minor"/>
      </font>
      <numFmt numFmtId="34" formatCode="_-&quot;£&quot;* #,##0.00_-;\-&quot;£&quot;* #,##0.00_-;_-&quot;£&quot;* &quot;-&quot;??_-;_-@_-"/>
      <fill>
        <patternFill patternType="none">
          <fgColor indexed="64"/>
          <bgColor theme="0"/>
        </patternFill>
      </fill>
    </dxf>
    <dxf>
      <font>
        <strike val="0"/>
        <outline val="0"/>
        <shadow val="0"/>
        <u val="none"/>
        <vertAlign val="baseline"/>
        <sz val="12"/>
        <color theme="1" tint="4.9989318521683403E-2"/>
        <name val="Calibri"/>
        <family val="2"/>
        <scheme val="minor"/>
      </font>
      <numFmt numFmtId="34" formatCode="_-&quot;£&quot;* #,##0.00_-;\-&quot;£&quot;* #,##0.00_-;_-&quot;£&quot;* &quot;-&quot;??_-;_-@_-"/>
      <fill>
        <patternFill patternType="none">
          <fgColor indexed="64"/>
          <bgColor theme="0"/>
        </patternFill>
      </fill>
    </dxf>
    <dxf>
      <font>
        <strike val="0"/>
        <outline val="0"/>
        <shadow val="0"/>
        <u val="none"/>
        <vertAlign val="baseline"/>
        <sz val="12"/>
        <color theme="1" tint="4.9989318521683403E-2"/>
        <name val="Calibri"/>
        <family val="2"/>
        <scheme val="minor"/>
      </font>
      <numFmt numFmtId="34" formatCode="_-&quot;£&quot;* #,##0.00_-;\-&quot;£&quot;* #,##0.00_-;_-&quot;£&quot;* &quot;-&quot;??_-;_-@_-"/>
      <fill>
        <patternFill patternType="none">
          <fgColor indexed="64"/>
          <bgColor theme="0"/>
        </patternFill>
      </fill>
    </dxf>
    <dxf>
      <font>
        <strike val="0"/>
        <outline val="0"/>
        <shadow val="0"/>
        <u val="none"/>
        <vertAlign val="baseline"/>
        <sz val="12"/>
        <color theme="1" tint="4.9989318521683403E-2"/>
        <name val="Calibri"/>
        <family val="2"/>
        <scheme val="minor"/>
      </font>
      <numFmt numFmtId="34" formatCode="_-&quot;£&quot;* #,##0.00_-;\-&quot;£&quot;* #,##0.00_-;_-&quot;£&quot;* &quot;-&quot;??_-;_-@_-"/>
      <fill>
        <patternFill patternType="none">
          <fgColor indexed="64"/>
          <bgColor theme="0"/>
        </patternFill>
      </fill>
    </dxf>
    <dxf>
      <font>
        <strike val="0"/>
        <outline val="0"/>
        <shadow val="0"/>
        <u val="none"/>
        <vertAlign val="baseline"/>
        <sz val="12"/>
        <color theme="1" tint="4.9989318521683403E-2"/>
        <name val="Calibri"/>
        <family val="2"/>
        <scheme val="minor"/>
      </font>
      <numFmt numFmtId="34" formatCode="_-&quot;£&quot;* #,##0.00_-;\-&quot;£&quot;* #,##0.00_-;_-&quot;£&quot;* &quot;-&quot;??_-;_-@_-"/>
      <fill>
        <patternFill patternType="none">
          <fgColor indexed="64"/>
          <bgColor theme="0"/>
        </patternFill>
      </fill>
    </dxf>
    <dxf>
      <font>
        <b/>
        <strike val="0"/>
        <outline val="0"/>
        <shadow val="0"/>
        <u val="none"/>
        <vertAlign val="baseline"/>
        <sz val="12"/>
        <color theme="1" tint="4.9989318521683403E-2"/>
        <name val="Calibri"/>
        <family val="2"/>
        <scheme val="minor"/>
      </font>
      <fill>
        <patternFill>
          <bgColor theme="0"/>
        </patternFill>
      </fill>
    </dxf>
    <dxf>
      <font>
        <strike val="0"/>
        <outline val="0"/>
        <shadow val="0"/>
        <u val="none"/>
        <vertAlign val="baseline"/>
        <sz val="12"/>
        <color theme="1" tint="4.9989318521683403E-2"/>
        <name val="Calibri"/>
        <family val="2"/>
        <scheme val="minor"/>
      </font>
      <fill>
        <patternFill>
          <bgColor theme="0"/>
        </patternFill>
      </fill>
    </dxf>
    <dxf>
      <font>
        <strike val="0"/>
        <outline val="0"/>
        <shadow val="0"/>
        <u val="none"/>
        <vertAlign val="baseline"/>
        <sz val="12"/>
        <color theme="1"/>
        <name val="Calibri"/>
        <family val="2"/>
        <scheme val="minor"/>
      </font>
      <fill>
        <patternFill>
          <bgColor theme="0"/>
        </patternFill>
      </fill>
    </dxf>
    <dxf>
      <font>
        <b val="0"/>
        <i val="0"/>
        <strike val="0"/>
        <condense val="0"/>
        <extend val="0"/>
        <outline val="0"/>
        <shadow val="0"/>
        <u val="none"/>
        <vertAlign val="baseline"/>
        <sz val="12"/>
        <color theme="1" tint="4.9989318521683403E-2"/>
        <name val="Calibri"/>
        <family val="2"/>
        <scheme val="minor"/>
      </font>
      <numFmt numFmtId="171" formatCode="&quot;£&quot;#,##0"/>
      <fill>
        <patternFill patternType="solid">
          <fgColor theme="4" tint="0.79998168889431442"/>
          <bgColor theme="0"/>
        </patternFill>
      </fill>
    </dxf>
    <dxf>
      <font>
        <b val="0"/>
        <i val="0"/>
        <strike val="0"/>
        <condense val="0"/>
        <extend val="0"/>
        <outline val="0"/>
        <shadow val="0"/>
        <u val="none"/>
        <vertAlign val="baseline"/>
        <sz val="12"/>
        <color theme="1" tint="4.9989318521683403E-2"/>
        <name val="Calibri"/>
        <family val="2"/>
        <scheme val="minor"/>
      </font>
      <numFmt numFmtId="171" formatCode="&quot;£&quot;#,##0"/>
      <fill>
        <patternFill patternType="solid">
          <fgColor theme="4" tint="0.79998168889431442"/>
          <bgColor theme="0"/>
        </patternFill>
      </fill>
    </dxf>
    <dxf>
      <font>
        <b val="0"/>
        <i val="0"/>
        <strike val="0"/>
        <condense val="0"/>
        <extend val="0"/>
        <outline val="0"/>
        <shadow val="0"/>
        <u val="none"/>
        <vertAlign val="baseline"/>
        <sz val="12"/>
        <color theme="1" tint="4.9989318521683403E-2"/>
        <name val="Calibri"/>
        <family val="2"/>
        <scheme val="minor"/>
      </font>
      <numFmt numFmtId="171" formatCode="&quot;£&quot;#,##0"/>
      <fill>
        <patternFill patternType="solid">
          <fgColor theme="4" tint="0.79998168889431442"/>
          <bgColor theme="0"/>
        </patternFill>
      </fill>
    </dxf>
    <dxf>
      <font>
        <b val="0"/>
        <i val="0"/>
        <strike val="0"/>
        <condense val="0"/>
        <extend val="0"/>
        <outline val="0"/>
        <shadow val="0"/>
        <u val="none"/>
        <vertAlign val="baseline"/>
        <sz val="12"/>
        <color theme="1" tint="4.9989318521683403E-2"/>
        <name val="Calibri"/>
        <family val="2"/>
        <scheme val="minor"/>
      </font>
      <numFmt numFmtId="171" formatCode="&quot;£&quot;#,##0"/>
      <fill>
        <patternFill patternType="solid">
          <fgColor theme="4" tint="0.79998168889431442"/>
          <bgColor theme="0"/>
        </patternFill>
      </fill>
    </dxf>
    <dxf>
      <font>
        <b val="0"/>
        <i val="0"/>
        <strike val="0"/>
        <condense val="0"/>
        <extend val="0"/>
        <outline val="0"/>
        <shadow val="0"/>
        <u val="none"/>
        <vertAlign val="baseline"/>
        <sz val="12"/>
        <color theme="1" tint="4.9989318521683403E-2"/>
        <name val="Calibri"/>
        <family val="2"/>
        <scheme val="minor"/>
      </font>
      <numFmt numFmtId="171" formatCode="&quot;£&quot;#,##0"/>
      <fill>
        <patternFill patternType="solid">
          <fgColor theme="4" tint="0.79998168889431442"/>
          <bgColor theme="0"/>
        </patternFill>
      </fill>
    </dxf>
    <dxf>
      <font>
        <b/>
        <i val="0"/>
        <strike val="0"/>
        <condense val="0"/>
        <extend val="0"/>
        <outline val="0"/>
        <shadow val="0"/>
        <u val="none"/>
        <vertAlign val="baseline"/>
        <sz val="12"/>
        <color theme="1"/>
        <name val="Calibri"/>
        <family val="2"/>
        <scheme val="minor"/>
      </font>
      <fill>
        <patternFill patternType="solid">
          <fgColor indexed="64"/>
          <bgColor theme="0"/>
        </patternFill>
      </fill>
    </dxf>
    <dxf>
      <font>
        <b val="0"/>
        <i val="0"/>
        <strike val="0"/>
        <condense val="0"/>
        <extend val="0"/>
        <outline val="0"/>
        <shadow val="0"/>
        <u val="none"/>
        <vertAlign val="baseline"/>
        <sz val="12"/>
        <color theme="1"/>
        <name val="Calibri"/>
        <family val="2"/>
        <scheme val="minor"/>
      </font>
      <fill>
        <patternFill patternType="solid">
          <fgColor theme="4" tint="0.79998168889431442"/>
          <bgColor theme="0"/>
        </patternFill>
      </fill>
    </dxf>
    <dxf>
      <font>
        <strike val="0"/>
        <outline val="0"/>
        <shadow val="0"/>
        <u val="none"/>
        <vertAlign val="baseline"/>
        <sz val="12"/>
        <color theme="1"/>
        <name val="Calibri"/>
        <family val="2"/>
        <scheme val="minor"/>
      </font>
      <fill>
        <patternFill patternType="solid">
          <fgColor theme="4" tint="0.79998168889431442"/>
          <bgColor theme="0"/>
        </patternFill>
      </fill>
    </dxf>
    <dxf>
      <font>
        <b val="0"/>
        <i val="0"/>
        <strike val="0"/>
        <condense val="0"/>
        <extend val="0"/>
        <outline val="0"/>
        <shadow val="0"/>
        <u val="none"/>
        <vertAlign val="baseline"/>
        <sz val="12"/>
        <color theme="1"/>
        <name val="Calibri"/>
        <family val="2"/>
        <scheme val="minor"/>
      </font>
      <numFmt numFmtId="1" formatCode="0"/>
    </dxf>
    <dxf>
      <border outline="0">
        <bottom style="thin">
          <color indexed="64"/>
        </bottom>
      </border>
    </dxf>
    <dxf>
      <numFmt numFmtId="168" formatCode="_-[$£-809]* #,##0_-;\-[$£-809]* #,##0_-;_-[$£-809]* &quot;-&quot;??_-;_-@_-"/>
      <fill>
        <patternFill patternType="none">
          <fgColor indexed="64"/>
          <bgColor auto="1"/>
        </patternFill>
      </fill>
      <protection locked="1" hidden="1"/>
    </dxf>
    <dxf>
      <font>
        <b val="0"/>
        <i val="0"/>
        <strike val="0"/>
        <condense val="0"/>
        <extend val="0"/>
        <outline val="0"/>
        <shadow val="0"/>
        <u val="none"/>
        <vertAlign val="baseline"/>
        <sz val="12"/>
        <color auto="1"/>
        <name val="Calibri"/>
        <family val="2"/>
        <scheme val="minor"/>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2"/>
        <color theme="1"/>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numFmt numFmtId="168" formatCode="_-[$£-809]* #,##0_-;\-[$£-809]* #,##0_-;_-[$£-809]* &quot;-&quot;??_-;_-@_-"/>
      <fill>
        <patternFill patternType="none">
          <fgColor indexed="64"/>
          <bgColor auto="1"/>
        </patternFill>
      </fill>
      <protection locked="1" hidden="1"/>
    </dxf>
    <dxf>
      <font>
        <b val="0"/>
        <i val="0"/>
        <strike val="0"/>
        <condense val="0"/>
        <extend val="0"/>
        <outline val="0"/>
        <shadow val="0"/>
        <u val="none"/>
        <vertAlign val="baseline"/>
        <sz val="12"/>
        <color auto="1"/>
        <name val="Calibri"/>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vertAlign val="baseline"/>
        <sz val="12"/>
        <color auto="1"/>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numFmt numFmtId="166" formatCode="_-[$£-809]* #,##0.00_-;\-[$£-809]* #,##0.00_-;_-[$£-809]* &quot;-&quot;??_-;_-@_-"/>
      <fill>
        <patternFill patternType="none">
          <fgColor indexed="64"/>
          <bgColor auto="1"/>
        </patternFill>
      </fill>
      <protection locked="1" hidden="1"/>
    </dxf>
    <dxf>
      <font>
        <b val="0"/>
        <i val="0"/>
        <strike val="0"/>
        <condense val="0"/>
        <extend val="0"/>
        <outline val="0"/>
        <shadow val="0"/>
        <u val="none"/>
        <vertAlign val="baseline"/>
        <sz val="12"/>
        <color auto="1"/>
        <name val="Calibri"/>
        <family val="2"/>
        <scheme val="minor"/>
      </font>
      <fill>
        <patternFill patternType="none">
          <fgColor indexed="64"/>
          <bgColor auto="1"/>
        </patternFill>
      </fill>
    </dxf>
    <dxf>
      <font>
        <strike val="0"/>
        <outline val="0"/>
        <shadow val="0"/>
        <u val="none"/>
        <vertAlign val="baseline"/>
        <sz val="12"/>
        <color auto="1"/>
        <name val="Calibri"/>
        <family val="2"/>
        <scheme val="minor"/>
      </font>
      <fill>
        <patternFill patternType="none">
          <fgColor indexed="64"/>
          <bgColor auto="1"/>
        </patternFill>
      </fill>
    </dxf>
    <dxf>
      <font>
        <strike val="0"/>
        <outline val="0"/>
        <shadow val="0"/>
        <u val="none"/>
        <vertAlign val="baseline"/>
        <sz val="12"/>
        <color auto="1"/>
        <name val="Calibri"/>
        <family val="2"/>
        <scheme val="minor"/>
      </font>
      <fill>
        <patternFill patternType="none">
          <fgColor indexed="64"/>
          <bgColor auto="1"/>
        </patternFill>
      </fill>
    </dxf>
    <dxf>
      <font>
        <b/>
        <i val="0"/>
        <strike val="0"/>
        <condense val="0"/>
        <extend val="0"/>
        <outline val="0"/>
        <shadow val="0"/>
        <u val="none"/>
        <vertAlign val="baseline"/>
        <sz val="12"/>
        <color rgb="FFB30000"/>
        <name val="Calibri"/>
        <family val="2"/>
        <scheme val="minor"/>
      </font>
      <fill>
        <patternFill patternType="none">
          <fgColor indexed="64"/>
          <bgColor indexed="65"/>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minor"/>
      </font>
      <alignment horizontal="left" vertical="bottom" textRotation="0" wrapText="1" indent="0" justifyLastLine="0" shrinkToFit="0" readingOrder="0"/>
      <protection locked="1" hidden="1"/>
    </dxf>
    <dxf>
      <font>
        <b val="0"/>
        <i val="0"/>
        <strike val="0"/>
        <condense val="0"/>
        <extend val="0"/>
        <outline val="0"/>
        <shadow val="0"/>
        <u val="none"/>
        <vertAlign val="baseline"/>
        <sz val="12"/>
        <color auto="1"/>
        <name val="Calibri"/>
        <family val="2"/>
        <scheme val="minor"/>
      </font>
      <numFmt numFmtId="0" formatCode="General"/>
      <alignment horizontal="general" vertical="bottom" textRotation="0" wrapText="1" indent="0" justifyLastLine="0" shrinkToFit="0" readingOrder="0"/>
      <protection locked="1" hidden="1"/>
    </dxf>
    <dxf>
      <font>
        <b/>
        <i val="0"/>
        <strike val="0"/>
        <condense val="0"/>
        <extend val="0"/>
        <outline val="0"/>
        <shadow val="0"/>
        <u val="none"/>
        <vertAlign val="baseline"/>
        <sz val="12"/>
        <color rgb="FFB30000"/>
        <name val="Calibri"/>
        <family val="2"/>
        <scheme val="minor"/>
      </font>
      <fill>
        <patternFill patternType="none">
          <fgColor indexed="64"/>
          <bgColor indexed="65"/>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minor"/>
      </font>
      <alignment horizontal="left" vertical="bottom" textRotation="0" wrapText="1" indent="0" justifyLastLine="0" shrinkToFit="0" readingOrder="0"/>
      <protection locked="1" hidden="1"/>
    </dxf>
    <dxf>
      <font>
        <b val="0"/>
        <i val="0"/>
        <strike val="0"/>
        <condense val="0"/>
        <extend val="0"/>
        <outline val="0"/>
        <shadow val="0"/>
        <u val="none"/>
        <vertAlign val="baseline"/>
        <sz val="12"/>
        <color auto="1"/>
        <name val="Calibri"/>
        <family val="2"/>
        <scheme val="minor"/>
      </font>
      <numFmt numFmtId="0" formatCode="General"/>
      <alignment horizontal="general" vertical="bottom" textRotation="0" wrapText="1" indent="0" justifyLastLine="0" shrinkToFit="0" readingOrder="0"/>
      <protection locked="1" hidden="1"/>
    </dxf>
    <dxf>
      <protection locked="1" hidden="0"/>
    </dxf>
    <dxf>
      <font>
        <b/>
        <i val="0"/>
        <strike val="0"/>
        <condense val="0"/>
        <extend val="0"/>
        <outline val="0"/>
        <shadow val="0"/>
        <u val="none"/>
        <vertAlign val="baseline"/>
        <sz val="12"/>
        <color rgb="FFB30000"/>
        <name val="Calibri"/>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minor"/>
      </font>
      <alignment horizontal="left" vertical="bottom" textRotation="0" wrapText="1" indent="0" justifyLastLine="0" shrinkToFit="0" readingOrder="0"/>
      <protection locked="1" hidden="1"/>
    </dxf>
    <dxf>
      <font>
        <b val="0"/>
        <i val="0"/>
        <strike val="0"/>
        <condense val="0"/>
        <extend val="0"/>
        <outline val="0"/>
        <shadow val="0"/>
        <u val="none"/>
        <vertAlign val="baseline"/>
        <sz val="12"/>
        <color auto="1"/>
        <name val="Calibri"/>
        <family val="2"/>
        <scheme val="minor"/>
      </font>
      <numFmt numFmtId="0" formatCode="General"/>
      <alignment horizontal="general" vertical="bottom" textRotation="0" wrapText="1" indent="0" justifyLastLine="0" shrinkToFit="0" readingOrder="0"/>
      <protection locked="1" hidden="1"/>
    </dxf>
    <dxf>
      <font>
        <b/>
        <i val="0"/>
        <strike val="0"/>
        <condense val="0"/>
        <extend val="0"/>
        <outline val="0"/>
        <shadow val="0"/>
        <u val="none"/>
        <vertAlign val="baseline"/>
        <sz val="12"/>
        <color rgb="FFB30000"/>
        <name val="Calibri"/>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167" formatCode="_-&quot;£&quot;* #,##0_-;\-&quot;£&quot;* #,##0_-;_-&quot;£&quot;* &quot;-&quot;??_-;_-@_-"/>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minor"/>
      </font>
      <alignment horizontal="left" vertical="bottom" textRotation="0" wrapText="1" indent="0" justifyLastLine="0" shrinkToFit="0" readingOrder="0"/>
      <protection locked="1" hidden="1"/>
    </dxf>
    <dxf>
      <font>
        <b val="0"/>
        <i val="0"/>
        <strike val="0"/>
        <condense val="0"/>
        <extend val="0"/>
        <outline val="0"/>
        <shadow val="0"/>
        <u val="none"/>
        <vertAlign val="baseline"/>
        <sz val="12"/>
        <color auto="1"/>
        <name val="Calibri"/>
        <family val="2"/>
        <scheme val="minor"/>
      </font>
      <alignment horizontal="general" vertical="bottom" textRotation="0" wrapText="1" indent="0" justifyLastLine="0" shrinkToFit="0" readingOrder="0"/>
      <protection locked="1" hidden="1"/>
    </dxf>
    <dxf>
      <font>
        <b val="0"/>
        <i val="0"/>
        <strike val="0"/>
        <color theme="1"/>
      </font>
    </dxf>
    <dxf>
      <font>
        <b val="0"/>
        <i val="0"/>
        <strike val="0"/>
        <color theme="1"/>
      </font>
    </dxf>
    <dxf>
      <font>
        <b val="0"/>
        <i val="0"/>
        <strike val="0"/>
        <color theme="1"/>
      </font>
    </dxf>
    <dxf>
      <font>
        <b val="0"/>
        <i val="0"/>
        <strike val="0"/>
        <color theme="1"/>
      </font>
    </dxf>
    <dxf>
      <font>
        <b val="0"/>
        <i val="0"/>
        <strike val="0"/>
        <condense val="0"/>
        <extend val="0"/>
        <outline val="0"/>
        <shadow val="0"/>
        <u val="none"/>
        <vertAlign val="baseline"/>
        <sz val="12"/>
        <color auto="1"/>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0" formatCode="mmmm\ yyyy"/>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0" formatCode="mmmm\ yyyy"/>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0" formatCode="mmmm\ yyyy"/>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0" formatCode="mmmm\ yyyy"/>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34" formatCode="_-&quot;£&quot;* #,##0.00_-;\-&quot;£&quot;* #,##0.00_-;_-&quot;£&quot;* &quot;-&quot;??_-;_-@_-"/>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dxf>
    <dxf>
      <border outline="0">
        <bottom style="thick">
          <color theme="4" tint="0.499984740745262"/>
        </bottom>
      </border>
    </dxf>
    <dxf>
      <font>
        <strike val="0"/>
        <outline val="0"/>
        <shadow val="0"/>
        <u val="none"/>
        <vertAlign val="baseline"/>
        <sz val="12"/>
        <color auto="1"/>
        <name val="Calibri"/>
        <family val="2"/>
        <scheme val="minor"/>
      </font>
      <fill>
        <patternFill patternType="none">
          <fgColor indexed="64"/>
          <bgColor auto="1"/>
        </patternFill>
      </fill>
    </dxf>
    <dxf>
      <font>
        <b/>
        <i val="0"/>
        <strike val="0"/>
        <condense val="0"/>
        <extend val="0"/>
        <outline val="0"/>
        <shadow val="0"/>
        <u val="none"/>
        <vertAlign val="baseline"/>
        <sz val="12"/>
        <color rgb="FFB30000"/>
        <name val="Calibri"/>
        <family val="2"/>
        <scheme val="none"/>
      </font>
      <numFmt numFmtId="0" formatCode="General"/>
      <fill>
        <patternFill patternType="none">
          <fgColor indexed="64"/>
          <bgColor auto="1"/>
        </patternFill>
      </fill>
      <alignment horizontal="right" vertical="bottom" textRotation="0" wrapText="1" indent="0" justifyLastLine="0" shrinkToFit="0" readingOrder="0"/>
      <protection locked="1" hidden="1"/>
    </dxf>
    <dxf>
      <font>
        <b val="0"/>
        <i val="0"/>
        <strike val="0"/>
        <condense val="0"/>
        <extend val="0"/>
        <outline val="0"/>
        <shadow val="0"/>
        <u val="none"/>
        <vertAlign val="baseline"/>
        <sz val="12"/>
        <color auto="1"/>
        <name val="Calibri"/>
        <family val="2"/>
        <scheme val="none"/>
      </font>
      <numFmt numFmtId="34" formatCode="_-&quot;£&quot;* #,##0.00_-;\-&quot;£&quot;* #,##0.00_-;_-&quot;£&quot;* &quot;-&quot;??_-;_-@_-"/>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none"/>
      </font>
      <numFmt numFmtId="0" formatCode="General"/>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none"/>
      </font>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none"/>
      </font>
      <numFmt numFmtId="0" formatCode="General"/>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none"/>
      </font>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none"/>
      </font>
      <numFmt numFmtId="1" formatCode="0"/>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none"/>
      </font>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none"/>
      </font>
      <numFmt numFmtId="0" formatCode="General"/>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none"/>
      </font>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none"/>
      </font>
      <numFmt numFmtId="169" formatCode="_-* #,##0_-;\-* #,##0_-;_-* &quot;-&quot;??_-;_-@_-"/>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none"/>
      </font>
      <numFmt numFmtId="169" formatCode="_-* #,##0_-;\-* #,##0_-;_-* &quot;-&quot;??_-;_-@_-"/>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none"/>
      </font>
      <fill>
        <patternFill patternType="solid">
          <fgColor indexed="64"/>
          <bgColor theme="4" tint="0.79998168889431442"/>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Calibri"/>
        <family val="2"/>
        <scheme val="none"/>
      </font>
      <numFmt numFmtId="1" formatCode="0"/>
      <fill>
        <patternFill patternType="none">
          <fgColor indexed="64"/>
          <bgColor auto="1"/>
        </patternFill>
      </fill>
      <alignment horizontal="right" vertical="bottom" textRotation="0" wrapText="1" indent="0" justifyLastLine="0" shrinkToFit="0" readingOrder="0"/>
    </dxf>
    <dxf>
      <border outline="0">
        <right style="thin">
          <color indexed="64"/>
        </right>
      </border>
    </dxf>
    <dxf>
      <font>
        <strike val="0"/>
        <outline val="0"/>
        <shadow val="0"/>
        <u val="none"/>
        <vertAlign val="baseline"/>
        <sz val="12"/>
        <color auto="1"/>
        <name val="Calibri"/>
        <family val="2"/>
        <scheme val="none"/>
      </font>
      <numFmt numFmtId="0" formatCode="General"/>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Calibri"/>
        <family val="2"/>
        <scheme val="none"/>
      </font>
      <numFmt numFmtId="165" formatCode="[$-409]d\-mmm\-yy;@"/>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bottom/>
      </border>
      <protection locked="1" hidden="1"/>
    </dxf>
    <dxf>
      <font>
        <b val="0"/>
        <i val="0"/>
        <strike val="0"/>
        <color theme="1"/>
      </font>
    </dxf>
    <dxf>
      <font>
        <b/>
        <i val="0"/>
        <strike val="0"/>
        <condense val="0"/>
        <extend val="0"/>
        <outline val="0"/>
        <shadow val="0"/>
        <u val="none"/>
        <vertAlign val="baseline"/>
        <sz val="12"/>
        <color rgb="FFB30000"/>
        <name val="Calibri"/>
        <family val="2"/>
        <scheme val="minor"/>
      </font>
      <numFmt numFmtId="0" formatCode="General"/>
      <fill>
        <patternFill patternType="solid">
          <fgColor indexed="64"/>
          <bgColor theme="9" tint="0.39997558519241921"/>
        </patternFill>
      </fill>
      <alignment horizontal="left" vertical="bottom" textRotation="0" wrapText="1" indent="0" justifyLastLine="0" shrinkToFit="0" readingOrder="0"/>
      <protection locked="1" hidden="1"/>
    </dxf>
    <dxf>
      <font>
        <sz val="12"/>
        <color auto="1"/>
      </font>
      <numFmt numFmtId="22" formatCode="mmm\-yy"/>
      <fill>
        <patternFill patternType="solid">
          <fgColor indexed="64"/>
          <bgColor theme="4" tint="0.79998168889431442"/>
        </patternFill>
      </fill>
      <alignment horizontal="right" vertical="bottom" textRotation="0" wrapText="0" indent="0" justifyLastLine="0" shrinkToFit="0" readingOrder="0"/>
      <protection locked="0" hidden="1"/>
    </dxf>
    <dxf>
      <font>
        <b val="0"/>
        <i val="0"/>
        <strike val="0"/>
        <condense val="0"/>
        <extend val="0"/>
        <outline val="0"/>
        <shadow val="0"/>
        <u val="none"/>
        <vertAlign val="baseline"/>
        <sz val="12"/>
        <color auto="1"/>
        <name val="Calibri"/>
        <family val="2"/>
        <scheme val="minor"/>
      </font>
      <alignment horizontal="left" vertical="bottom" textRotation="0" wrapText="1" indent="0" justifyLastLine="0" shrinkToFit="0" readingOrder="0"/>
      <protection locked="1" hidden="1"/>
    </dxf>
    <dxf>
      <protection locked="1" hidden="1"/>
    </dxf>
    <dxf>
      <font>
        <b val="0"/>
        <i val="0"/>
        <strike val="0"/>
        <color theme="1"/>
      </font>
    </dxf>
  </dxfs>
  <tableStyles count="1" defaultTableStyle="TableStyleMedium2" defaultPivotStyle="PivotStyleLight16">
    <tableStyle name="Table Style 1" pivot="0" count="0" xr9:uid="{BE015492-9D11-3241-8706-3E0E57FC0FAF}"/>
  </tableStyles>
  <colors>
    <mruColors>
      <color rgb="FFB3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9ADA8DF-3144-4F70-B975-B1F2C3DED0BE}" name="SetUp" displayName="SetUp" ref="A4:C11" totalsRowShown="0" headerRowDxfId="344" headerRowCellStyle="Heading 3">
  <autoFilter ref="A4:C11" xr:uid="{A9ADA8DF-3144-4F70-B975-B1F2C3DED0BE}">
    <filterColumn colId="0" hiddenButton="1"/>
    <filterColumn colId="1" hiddenButton="1"/>
    <filterColumn colId="2" hiddenButton="1"/>
  </autoFilter>
  <tableColumns count="3">
    <tableColumn id="1" xr3:uid="{11324F26-CE78-4EB1-AA99-C0F1144E6377}" name="Information required" dataDxfId="343" dataCellStyle="Normal 2"/>
    <tableColumn id="2" xr3:uid="{B0B1CF9A-73A8-4236-89FF-3E9A4CF628B9}" name="Answer" dataDxfId="342" dataCellStyle="Normal 2"/>
    <tableColumn id="3" xr3:uid="{CB5E1C13-E76F-4431-83E1-2A2213E807BB}" name="Error check" dataDxfId="341" dataCellStyle="Normal 2">
      <calculatedColumnFormula>IF(ISBLANK($B$11),"",IF($B$11&lt;5, "You must be developing at least 5 plots",""))</calculatedColumnFormula>
    </tableColumn>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849027-BBF2-40DD-BEBB-D065EE162E17}" name="Plots" displayName="Plots" ref="A4:N604" totalsRowShown="0" headerRowDxfId="339" dataDxfId="338" tableBorderDxfId="337" headerRowCellStyle="Heading 2">
  <autoFilter ref="A4:N604" xr:uid="{B3849027-BBF2-40DD-BEBB-D065EE162E1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917AD1AD-FCA3-48FC-9280-76E6AB606486}" name="ID" dataDxfId="336"/>
    <tableColumn id="2" xr3:uid="{F8459B2F-6528-4139-8DCA-369F724C46D9}" name="Home type / name" dataDxfId="335"/>
    <tableColumn id="4" xr3:uid="{482302E3-5031-475D-8E19-C1DB6220F8D4}" name="Number of bedrooms" dataDxfId="334" dataCellStyle="Comma"/>
    <tableColumn id="5" xr3:uid="{2E806CCA-4BA7-4E8B-ADE6-C00FB481BD03}" name="Property type" dataDxfId="333" dataCellStyle="Comma"/>
    <tableColumn id="6" xr3:uid="{ACA40FCC-B105-49B2-98EE-2D0C6915C79A}" name="Tenure" dataDxfId="332"/>
    <tableColumn id="7" xr3:uid="{92F0D327-CE53-480B-9545-A345714BCBDD}" name="Tenure detail" dataDxfId="331"/>
    <tableColumn id="8" xr3:uid="{0A78F06D-E3F9-4F5D-9666-7B06F246AD6A}" name="Build type" dataDxfId="330"/>
    <tableColumn id="9" xr3:uid="{AF5E0446-405E-493D-8426-23B28B1DAB73}" name="Home size in square feet" dataDxfId="329" dataCellStyle="Comma"/>
    <tableColumn id="11" xr3:uid="{6E083AC2-0697-49C1-8176-87421B0ABF90}" name="Expected physical completion month" dataDxfId="328"/>
    <tableColumn id="12" xr3:uid="{67CB2B24-C563-4D62-92EB-863087A66177}" name="Expected physical completion year" dataDxfId="327"/>
    <tableColumn id="13" xr3:uid="{AC205C0B-2C78-4198-ABFD-3626E604775B}" name="Expected sale completion month" dataDxfId="326"/>
    <tableColumn id="14" xr3:uid="{481B41C9-9951-475A-84DE-0DDE33D2412D}" name="Expected sale completion year" dataDxfId="325"/>
    <tableColumn id="15" xr3:uid="{5743A096-E7D6-4EA4-B1A7-44173173E655}" name="Expected sales revenue" dataDxfId="324" dataCellStyle="Currency"/>
    <tableColumn id="16" xr3:uid="{F5400BC3-64B2-449D-8D79-B35750607AD4}" name="Error check" dataDxfId="323">
      <calculatedColumnFormula>INDEX(ErrorCheck,MATCH($A5,ErrorCheckPlotNumber,0),MATCH(N$4,ErrorCheckTitle,0))</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0A45F7-4939-4853-BDF4-03BE26D39419}" name="DevelopmentCostsTable" displayName="DevelopmentCostsTable" ref="A4:DW22" totalsRowShown="0" headerRowDxfId="322" dataDxfId="320" headerRowBorderDxfId="321" tableBorderDxfId="319" headerRowCellStyle="Heading 2">
  <autoFilter ref="A4:DW22" xr:uid="{E10A45F7-4939-4853-BDF4-03BE26D3941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autoFilter>
  <tableColumns count="127">
    <tableColumn id="1" xr3:uid="{CEDE2739-B526-4524-96AC-4F89C864FC8B}" name="Cost category" dataDxfId="318"/>
    <tableColumn id="2" xr3:uid="{EE2CD8F1-B7F9-476B-A504-39742F4C91BB}" name="Total per cost category" dataDxfId="317"/>
    <tableColumn id="3" xr3:uid="{723D19CD-47B1-4ED7-B440-68C03B82A80C}" name="Costs incurred to date" dataDxfId="316"/>
    <tableColumn id="4" xr3:uid="{AB4DFB3E-6466-4AF5-A170-4BB37E8AA28E}" name="Month 1" dataDxfId="315" dataCellStyle="Currency"/>
    <tableColumn id="5" xr3:uid="{FB057830-2E2B-498F-8051-FE51E487E3E6}" name="Month 2" dataDxfId="314" dataCellStyle="Currency"/>
    <tableColumn id="6" xr3:uid="{7C6F5D89-8633-43AA-9759-69D5BA23641F}" name="Month 3" dataDxfId="313" dataCellStyle="Currency"/>
    <tableColumn id="7" xr3:uid="{83FD47AB-0E4F-4B0C-BAEF-9DC12A3E7C73}" name="Month 4" dataDxfId="312" dataCellStyle="Currency"/>
    <tableColumn id="8" xr3:uid="{F4DCB0F0-CE2F-4A61-849C-9BFBD7A5AD3B}" name="Month 5" dataDxfId="311" dataCellStyle="Currency"/>
    <tableColumn id="9" xr3:uid="{78758910-628E-4ECE-8EB9-438F31C18EAE}" name="Month 6" dataDxfId="310" dataCellStyle="Currency"/>
    <tableColumn id="10" xr3:uid="{77326A2D-3AE5-49C9-AB9F-F2F18395E520}" name="Month 7" dataDxfId="309" dataCellStyle="Currency"/>
    <tableColumn id="11" xr3:uid="{75E92B2E-CDF1-4737-8FF3-800EA160CC81}" name="Month 8" dataDxfId="308" dataCellStyle="Currency"/>
    <tableColumn id="12" xr3:uid="{BD65E4E7-024D-4B71-84A2-1E413BB5323D}" name="Month 9" dataDxfId="307" dataCellStyle="Currency">
      <calculatedColumnFormula>IF(CompletionMonth="","",IF(K5&gt;=DATEVALUE(CompletionMonth&amp;CompletionYear),"",EDATE(K5,1)))</calculatedColumnFormula>
    </tableColumn>
    <tableColumn id="13" xr3:uid="{4155AC70-F404-401A-909E-33807A28A16F}" name="Month 10" dataDxfId="306" dataCellStyle="Currency">
      <calculatedColumnFormula>IF(CompletionMonth="","",IF(L5&gt;=DATEVALUE(CompletionMonth&amp;CompletionYear),"",EDATE(L5,1)))</calculatedColumnFormula>
    </tableColumn>
    <tableColumn id="14" xr3:uid="{E4D61B90-FF63-4B51-9EBB-4C2EDD3DE617}" name="Month 11" dataDxfId="305" dataCellStyle="Currency">
      <calculatedColumnFormula>IF(CompletionMonth="","",IF(M5&gt;=DATEVALUE(CompletionMonth&amp;CompletionYear),"",EDATE(M5,1)))</calculatedColumnFormula>
    </tableColumn>
    <tableColumn id="15" xr3:uid="{6D2E093B-2CFD-4DF4-819D-5488DAFD733C}" name="Month 12" dataDxfId="304" dataCellStyle="Currency">
      <calculatedColumnFormula>IF(CompletionMonth="","",IF(N5&gt;=DATEVALUE(CompletionMonth&amp;CompletionYear),"",EDATE(N5,1)))</calculatedColumnFormula>
    </tableColumn>
    <tableColumn id="16" xr3:uid="{A219659D-0947-459D-97F7-DC38106CFBFF}" name="Month 13" dataDxfId="303" dataCellStyle="Currency"/>
    <tableColumn id="17" xr3:uid="{C59D4446-75FD-4B08-83E5-F1D97CAA6946}" name="Month 14" dataDxfId="302" dataCellStyle="Currency"/>
    <tableColumn id="18" xr3:uid="{2374BC3D-E982-447F-BED0-1476BA32DBB9}" name="Month 15" dataDxfId="301" dataCellStyle="Currency"/>
    <tableColumn id="19" xr3:uid="{C8B3C94C-9507-41E7-8775-C3ECEC55A5B5}" name="Month 16" dataDxfId="300" dataCellStyle="Currency"/>
    <tableColumn id="20" xr3:uid="{290BA819-DB4E-4862-B73B-986483A4B858}" name="Month 17" dataDxfId="299" dataCellStyle="Currency"/>
    <tableColumn id="21" xr3:uid="{2704F2C2-4CCD-4F30-BD09-1EC9A01D4F60}" name="Month 18" dataDxfId="298" dataCellStyle="Currency"/>
    <tableColumn id="22" xr3:uid="{D408EEEB-3863-4D0D-AA9B-9DFDA8AED9BD}" name="Month 19" dataDxfId="297" dataCellStyle="Currency"/>
    <tableColumn id="23" xr3:uid="{77D69374-3EA2-4291-9307-9CA6DCDFEA65}" name="Month 20" dataDxfId="296" dataCellStyle="Currency"/>
    <tableColumn id="24" xr3:uid="{A4CAF3B5-7A84-4A7D-9D0A-D53CF70CCC8D}" name="Month 21" dataDxfId="295" dataCellStyle="Currency"/>
    <tableColumn id="25" xr3:uid="{78955E0D-CA25-4808-B6EB-0A67EBE332F1}" name="Month 22" dataDxfId="294" dataCellStyle="Currency"/>
    <tableColumn id="26" xr3:uid="{12AAA09A-0D3A-48E0-B939-7F240D2B72A9}" name="Month 23" dataDxfId="293" dataCellStyle="Currency"/>
    <tableColumn id="27" xr3:uid="{C52FB256-A4FA-4E77-A41E-6E0C26B79190}" name="Month 24" dataDxfId="292" dataCellStyle="Currency"/>
    <tableColumn id="28" xr3:uid="{8DE7908A-3FA5-4A21-8688-C3287FDB9794}" name="Month 25" dataDxfId="291" dataCellStyle="Currency"/>
    <tableColumn id="29" xr3:uid="{2A05F03F-757B-4395-A9CA-AAA1AC564AAD}" name="Month 26" dataDxfId="290" dataCellStyle="Currency"/>
    <tableColumn id="30" xr3:uid="{7B936C59-F9A8-429F-A99B-DF4679AE10B5}" name="Month 27" dataDxfId="289" dataCellStyle="Currency"/>
    <tableColumn id="31" xr3:uid="{6F68EA1C-F390-461C-9C5D-FF4F6E9BC4E2}" name="Month 28" dataDxfId="288" dataCellStyle="Currency"/>
    <tableColumn id="32" xr3:uid="{7C3B180A-EA74-4FDC-9058-FDAE6779B3FA}" name="Month 29" dataDxfId="287" dataCellStyle="Currency"/>
    <tableColumn id="33" xr3:uid="{2EAE6922-9F29-47A3-847C-81B2F2A48114}" name="Month 30" dataDxfId="286" dataCellStyle="Currency"/>
    <tableColumn id="34" xr3:uid="{0BD88753-6A96-45E2-BF8A-F94064CA7294}" name="Month 31" dataDxfId="285" dataCellStyle="Currency"/>
    <tableColumn id="35" xr3:uid="{103155F4-22B5-44BE-A71A-EDFFA3E75474}" name="Month 32" dataDxfId="284" dataCellStyle="Currency"/>
    <tableColumn id="36" xr3:uid="{2CC9689E-B1B5-425B-BEA0-342CCCCB475A}" name="Month 33" dataDxfId="283" dataCellStyle="Currency"/>
    <tableColumn id="37" xr3:uid="{30041F07-9130-4E80-A20F-F6DF4ACCA688}" name="Month 34" dataDxfId="282" dataCellStyle="Currency"/>
    <tableColumn id="38" xr3:uid="{7323D3B4-A634-46A7-9635-0FE088D0BD71}" name="Month 35" dataDxfId="281" dataCellStyle="Currency"/>
    <tableColumn id="39" xr3:uid="{5D004D37-4415-47CE-9BE8-025CCE33C3D6}" name="Month 36" dataDxfId="280" dataCellStyle="Currency"/>
    <tableColumn id="40" xr3:uid="{1A7E6426-F7F9-4433-A7C0-919BD5718155}" name="Month 37" dataDxfId="279" dataCellStyle="Currency"/>
    <tableColumn id="41" xr3:uid="{1E41F87F-C967-4722-883A-10208442EAE5}" name="Month 38" dataDxfId="278" dataCellStyle="Currency"/>
    <tableColumn id="42" xr3:uid="{3AC37CB8-0906-4C54-A501-662D2DEFBB0D}" name="Month 39" dataDxfId="277" dataCellStyle="Currency"/>
    <tableColumn id="43" xr3:uid="{ACD6B05C-7E0D-4CDA-A072-2F2972AE499F}" name="Month 40" dataDxfId="276" dataCellStyle="Currency"/>
    <tableColumn id="44" xr3:uid="{7722C82C-5C7E-4D29-8E48-130871B54C0A}" name="Month 41" dataDxfId="275" dataCellStyle="Currency"/>
    <tableColumn id="45" xr3:uid="{344A27CB-EFBF-4434-B546-321245286198}" name="Month 42" dataDxfId="274" dataCellStyle="Currency"/>
    <tableColumn id="46" xr3:uid="{580CF509-E289-40E9-AE90-4EA46DC5AD0B}" name="Month 43" dataDxfId="273" dataCellStyle="Currency"/>
    <tableColumn id="47" xr3:uid="{F6B0816D-0F6C-4196-94FA-EC4E687FBDD3}" name="Month 44" dataDxfId="272" dataCellStyle="Currency"/>
    <tableColumn id="48" xr3:uid="{9502AA5F-3C7E-4A49-AC4B-58653A84D612}" name="Month 45" dataDxfId="271" dataCellStyle="Currency"/>
    <tableColumn id="49" xr3:uid="{4B323F8F-3D9F-4747-93AF-7A7FD669A580}" name="Month 46" dataDxfId="270" dataCellStyle="Currency"/>
    <tableColumn id="50" xr3:uid="{B79FBB77-4DBB-4072-9F2E-D1C7EAD89E16}" name="Month 47" dataDxfId="269" dataCellStyle="Currency"/>
    <tableColumn id="51" xr3:uid="{D182A11B-5454-4DD2-984E-AB14E7621053}" name="Month 48" dataDxfId="268" dataCellStyle="Currency"/>
    <tableColumn id="52" xr3:uid="{9D3F21C5-8E02-4C55-85F0-CF623A5BD37E}" name="Month 49" dataDxfId="267" dataCellStyle="Currency"/>
    <tableColumn id="53" xr3:uid="{C0E6D2F8-013D-49EB-BE73-E6E2CEFB9D86}" name="Month 50" dataDxfId="266" dataCellStyle="Currency"/>
    <tableColumn id="54" xr3:uid="{B92F83DC-A64B-4DAD-A2D2-1C1400E49C72}" name="Month 51" dataDxfId="265" dataCellStyle="Currency"/>
    <tableColumn id="55" xr3:uid="{62DE7BDC-CEAD-44ED-8F5D-1D6DD2B96C55}" name="Month 52" dataDxfId="264" dataCellStyle="Currency"/>
    <tableColumn id="56" xr3:uid="{A727212D-80D6-4F1F-968D-6223E25EF9DE}" name="Month 53" dataDxfId="263" dataCellStyle="Currency"/>
    <tableColumn id="57" xr3:uid="{C133E9FC-253E-4579-B690-06B319B41C7B}" name="Month 54" dataDxfId="262" dataCellStyle="Currency"/>
    <tableColumn id="58" xr3:uid="{FF3A9D9A-D0F8-4012-AD12-97E4608CD468}" name="Month 55" dataDxfId="261" dataCellStyle="Currency"/>
    <tableColumn id="59" xr3:uid="{04049C85-07BA-4336-8C73-500126F6F3AC}" name="Month 56" dataDxfId="260" dataCellStyle="Currency"/>
    <tableColumn id="60" xr3:uid="{5FA98C78-702E-421A-81DE-D2A0AC54062E}" name="Month 57" dataDxfId="259" dataCellStyle="Currency"/>
    <tableColumn id="61" xr3:uid="{EB509F0B-BC3E-4C9D-BA4B-C61B7FF42045}" name="Month 58" dataDxfId="258" dataCellStyle="Currency"/>
    <tableColumn id="62" xr3:uid="{6A5ADE55-D7B8-4171-A056-BD1F16DB09A1}" name="Month 59" dataDxfId="257" dataCellStyle="Currency"/>
    <tableColumn id="63" xr3:uid="{7B92B915-3CBD-4D84-945C-D55AF2572978}" name="Month 60" dataDxfId="256" dataCellStyle="Currency"/>
    <tableColumn id="64" xr3:uid="{94279E28-73C5-4D48-9904-280730D1DFF7}" name="Month 61" dataDxfId="255" dataCellStyle="Currency"/>
    <tableColumn id="65" xr3:uid="{21B90C24-1E85-4B8E-93A1-4390FFDF352A}" name="Month 62" dataDxfId="254" dataCellStyle="Currency"/>
    <tableColumn id="66" xr3:uid="{EFD3694D-23BC-484F-8F6D-93DF3192F780}" name="Month 63" dataDxfId="253" dataCellStyle="Currency"/>
    <tableColumn id="67" xr3:uid="{3D93ABC8-E778-406A-A1B9-C647095E277A}" name="Month 64" dataDxfId="252" dataCellStyle="Currency"/>
    <tableColumn id="68" xr3:uid="{EA52B293-F36C-49B9-BC06-E4093DC961B0}" name="Month 65" dataDxfId="251" dataCellStyle="Currency"/>
    <tableColumn id="69" xr3:uid="{CC53F0EF-9115-43F4-811A-FAC81DA3347C}" name="Month 66" dataDxfId="250" dataCellStyle="Currency"/>
    <tableColumn id="70" xr3:uid="{30B24FAD-8BB3-444F-B6AD-E53C77330418}" name="Month 67" dataDxfId="249" dataCellStyle="Currency"/>
    <tableColumn id="71" xr3:uid="{679039FF-5E50-43B0-9B1C-D8E1163BA511}" name="Month 68" dataDxfId="248" dataCellStyle="Currency"/>
    <tableColumn id="72" xr3:uid="{9FF21088-2F39-46D6-969D-AD2B1DEAAFC2}" name="Month 69" dataDxfId="247" dataCellStyle="Currency"/>
    <tableColumn id="73" xr3:uid="{F175E859-23D6-4C51-A90F-4AA2F1C238B4}" name="Month 70" dataDxfId="246" dataCellStyle="Currency"/>
    <tableColumn id="74" xr3:uid="{D4671454-1BD7-408F-B1D6-EC73F950529E}" name="Month 71" dataDxfId="245" dataCellStyle="Currency"/>
    <tableColumn id="75" xr3:uid="{FC4C44C1-5039-4B92-A6EF-F0F867F26564}" name="Month 72" dataDxfId="244" dataCellStyle="Currency"/>
    <tableColumn id="76" xr3:uid="{2FCFE203-9865-4F77-A341-0E6316A498B1}" name="Month 73" dataDxfId="243" dataCellStyle="Currency"/>
    <tableColumn id="77" xr3:uid="{40899E7E-07F9-4C01-BFA9-35FD789EECFA}" name="Month 74" dataDxfId="242" dataCellStyle="Currency"/>
    <tableColumn id="78" xr3:uid="{706DC5A1-7E95-4CF5-933F-71D7CF170411}" name="Month 75" dataDxfId="241" dataCellStyle="Currency"/>
    <tableColumn id="79" xr3:uid="{06008E31-D8CE-49D3-8F7D-39DA683AF991}" name="Month 76" dataDxfId="240" dataCellStyle="Currency"/>
    <tableColumn id="80" xr3:uid="{C79A0A98-5353-4910-A5AA-5BBB32E77703}" name="Month 77" dataDxfId="239" dataCellStyle="Currency"/>
    <tableColumn id="81" xr3:uid="{BB4F89FC-0C3C-4208-A4F5-3C66F3B075B6}" name="Month 78" dataDxfId="238" dataCellStyle="Currency"/>
    <tableColumn id="82" xr3:uid="{F9CDE83D-4A1D-4A58-9545-3C704EAB3584}" name="Month 79" dataDxfId="237" dataCellStyle="Currency"/>
    <tableColumn id="83" xr3:uid="{E22D5B11-59AF-4D21-B805-B57BDF41212B}" name="Month 80" dataDxfId="236" dataCellStyle="Currency"/>
    <tableColumn id="84" xr3:uid="{CEF089D2-8849-43CA-8A88-1755D16423CA}" name="Month 81" dataDxfId="235" dataCellStyle="Currency"/>
    <tableColumn id="85" xr3:uid="{C657A343-0CC8-4B68-8E82-251F19B58C4A}" name="Month 82" dataDxfId="234" dataCellStyle="Currency"/>
    <tableColumn id="86" xr3:uid="{D749E507-753F-476A-A95E-1508E3D28045}" name="Month 83" dataDxfId="233" dataCellStyle="Currency"/>
    <tableColumn id="87" xr3:uid="{D2AADD92-E850-4517-9D27-2C9E7B34C990}" name="Month 84" dataDxfId="232" dataCellStyle="Currency"/>
    <tableColumn id="88" xr3:uid="{B4DD1CCC-54B2-4BE7-9725-9B0FDB4DD1D3}" name="Month 85" dataDxfId="231" dataCellStyle="Currency"/>
    <tableColumn id="89" xr3:uid="{DF32FD2C-33B5-4E61-A0DD-032969B73CA0}" name="Month 86" dataDxfId="230" dataCellStyle="Currency"/>
    <tableColumn id="90" xr3:uid="{EC952867-A9BA-413E-931F-96CE101FB339}" name="Month 87" dataDxfId="229" dataCellStyle="Currency"/>
    <tableColumn id="91" xr3:uid="{72D18C9C-D8A4-4294-9D5C-7E887D872574}" name="Month 88" dataDxfId="228" dataCellStyle="Currency"/>
    <tableColumn id="92" xr3:uid="{F5F9B177-CB8C-45DE-8246-E71DC23B442D}" name="Month 89" dataDxfId="227" dataCellStyle="Currency"/>
    <tableColumn id="93" xr3:uid="{0407DD6F-0C1E-4629-BE4D-550561ECAF2A}" name="Month 90" dataDxfId="226" dataCellStyle="Currency"/>
    <tableColumn id="94" xr3:uid="{3C0CAA46-F3B1-45F0-A1D1-068F7A6726C7}" name="Month 91" dataDxfId="225" dataCellStyle="Currency"/>
    <tableColumn id="95" xr3:uid="{7BB655A2-E795-4538-A138-CDFCFBDAFC24}" name="Month 92" dataDxfId="224" dataCellStyle="Currency"/>
    <tableColumn id="96" xr3:uid="{AF0BC590-5937-4E88-BE0E-11B4EB8658EB}" name="Month 93" dataDxfId="223" dataCellStyle="Currency"/>
    <tableColumn id="97" xr3:uid="{6FB14C8E-1BD9-4172-ADD2-4E1516914ADE}" name="Month 94" dataDxfId="222" dataCellStyle="Currency"/>
    <tableColumn id="98" xr3:uid="{19407DB1-F47D-4D5B-A992-A2B6B5BD8D16}" name="Month 95" dataDxfId="221" dataCellStyle="Currency"/>
    <tableColumn id="99" xr3:uid="{E93A1D44-A0AD-4088-B0C6-59F8340F1DA3}" name="Month 96" dataDxfId="220" dataCellStyle="Currency"/>
    <tableColumn id="100" xr3:uid="{7AF8F4B4-FDD6-44BB-A382-9D77436A37F0}" name="Month 97" dataDxfId="219" dataCellStyle="Currency"/>
    <tableColumn id="101" xr3:uid="{F31E31B0-72B3-4300-B111-8A9B9E7D05D6}" name="Month 98" dataDxfId="218" dataCellStyle="Currency"/>
    <tableColumn id="102" xr3:uid="{3EDF8743-94D9-4D8A-994B-2B8915834FE9}" name="Month 99" dataDxfId="217" dataCellStyle="Currency"/>
    <tableColumn id="103" xr3:uid="{DD2074C8-B286-4887-890E-990BC6D43DA5}" name="Month 100" dataDxfId="216" dataCellStyle="Currency"/>
    <tableColumn id="104" xr3:uid="{924BFC61-A42B-4874-A77A-32408DDCB41B}" name="Month 101" dataDxfId="215" dataCellStyle="Currency"/>
    <tableColumn id="105" xr3:uid="{65CE3320-C223-4F29-AA1B-CAB6650C21F0}" name="Month 102" dataDxfId="214" dataCellStyle="Currency"/>
    <tableColumn id="106" xr3:uid="{AD4D4D83-89DE-4395-8852-F91A11FC3A31}" name="Month 103" dataDxfId="213" dataCellStyle="Currency"/>
    <tableColumn id="107" xr3:uid="{345FDD18-99FE-40F1-A992-4AED4FE632D4}" name="Month 104" dataDxfId="212" dataCellStyle="Currency"/>
    <tableColumn id="108" xr3:uid="{A5AA7786-86BD-49A9-9D56-28AAF8A366BF}" name="Month 105" dataDxfId="211" dataCellStyle="Currency"/>
    <tableColumn id="109" xr3:uid="{AD702A43-9907-4698-AC27-D8B8ED756543}" name="Month 106" dataDxfId="210" dataCellStyle="Currency"/>
    <tableColumn id="110" xr3:uid="{BE1231B7-B08A-4BEA-8C6F-810D301A5A0C}" name="Month 107" dataDxfId="209" dataCellStyle="Currency"/>
    <tableColumn id="111" xr3:uid="{47FC070B-2A16-4CA6-B01F-EDD5D4F2A34F}" name="Month 108" dataDxfId="208" dataCellStyle="Currency"/>
    <tableColumn id="112" xr3:uid="{A6C84DEE-2F02-406E-987B-D19CCC1AE0B8}" name="Month 109" dataDxfId="207" dataCellStyle="Currency"/>
    <tableColumn id="113" xr3:uid="{359EB522-2914-4EDB-AB2A-5295A90E8A3B}" name="Month 110" dataDxfId="206" dataCellStyle="Currency"/>
    <tableColumn id="114" xr3:uid="{0F8FD59B-620B-4C22-8B7A-168476AF1939}" name="Month 111" dataDxfId="205" dataCellStyle="Currency"/>
    <tableColumn id="115" xr3:uid="{185024A9-0719-40A3-A01D-142A7CDDB085}" name="Month 112" dataDxfId="204" dataCellStyle="Currency"/>
    <tableColumn id="116" xr3:uid="{5C4F6856-1C76-4DAC-B13A-5D453293F38D}" name="Month 113" dataDxfId="203" dataCellStyle="Currency"/>
    <tableColumn id="117" xr3:uid="{8AAC72FF-2FAF-445D-944B-8DFFD0C5863B}" name="Month 114" dataDxfId="202" dataCellStyle="Currency"/>
    <tableColumn id="118" xr3:uid="{26320589-A6EA-414D-A099-35CD16413F6D}" name="Month 115" dataDxfId="201" dataCellStyle="Currency"/>
    <tableColumn id="119" xr3:uid="{CFDCBBA6-3CB4-46F6-B3BF-84D584DE46AD}" name="Month 116" dataDxfId="200" dataCellStyle="Currency"/>
    <tableColumn id="120" xr3:uid="{B329F82A-290A-481C-83B9-3D6ABDF91D37}" name="Month 117" dataDxfId="199" dataCellStyle="Currency"/>
    <tableColumn id="121" xr3:uid="{F71EBCA1-AB7E-4E0A-909F-9559BF5AB6DE}" name="Month 118" dataDxfId="198" dataCellStyle="Currency"/>
    <tableColumn id="122" xr3:uid="{729212B0-CF24-4A18-ABDE-8E490CE8CD75}" name="Month 119" dataDxfId="197" dataCellStyle="Currency"/>
    <tableColumn id="123" xr3:uid="{15BD4274-E45A-4464-8FD0-F427D529DC9F}" name="Month 120" dataDxfId="196" dataCellStyle="Currency"/>
    <tableColumn id="124" xr3:uid="{C0734285-9128-4E3F-9AA4-0C63D7AE6968}" name="Month 121" dataDxfId="195"/>
    <tableColumn id="125" xr3:uid="{EA13A879-EA71-4330-94E6-0C092E0DB90E}" name="Month 122" dataDxfId="194"/>
    <tableColumn id="126" xr3:uid="{575EF7E5-940A-46C0-8CD6-ADC9E689C168}" name="Month 123" dataDxfId="193"/>
    <tableColumn id="127" xr3:uid="{D81DFD6F-072A-427D-BADE-31868C9B3E98}" name="Month 124" dataDxfId="192"/>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C837655-9147-4EA5-98E1-9EE3A12682DA}" name="FundingDetails" displayName="FundingDetails" ref="A5:D11" totalsRowShown="0">
  <autoFilter ref="A5:D11" xr:uid="{5C837655-9147-4EA5-98E1-9EE3A12682DA}">
    <filterColumn colId="0" hiddenButton="1"/>
    <filterColumn colId="1" hiddenButton="1"/>
    <filterColumn colId="2" hiddenButton="1"/>
    <filterColumn colId="3" hiddenButton="1"/>
  </autoFilter>
  <tableColumns count="4">
    <tableColumn id="1" xr3:uid="{B05818BC-72F1-47A2-A44A-CB95997AF935}" name="Required/not required" dataDxfId="187"/>
    <tableColumn id="2" xr3:uid="{1E8A5EE3-8936-4064-A6ED-161D2B44AA88}" name="Questions" dataDxfId="186"/>
    <tableColumn id="3" xr3:uid="{D7E27C7A-471F-4A0A-AB69-362175827F38}" name="Your answers" dataDxfId="185">
      <calculatedColumnFormula>SumCostsIncurredDate</calculatedColumnFormula>
    </tableColumn>
    <tableColumn id="4" xr3:uid="{2D2AFEA9-32B3-4184-BB52-446AD135F186}" name="Error check" dataDxfId="184">
      <calculatedColumnFormula>IF(ISBLANK(C6),"Enter the equity invested", "")</calculatedColumnFormula>
    </tableColumn>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EE3BA4B-72BA-4535-AA5F-A17CA4254517}" name="Loan1Details" displayName="Loan1Details" ref="A13:D18" totalsRowShown="0">
  <autoFilter ref="A13:D18" xr:uid="{FEE3BA4B-72BA-4535-AA5F-A17CA4254517}">
    <filterColumn colId="0" hiddenButton="1"/>
    <filterColumn colId="1" hiddenButton="1"/>
    <filterColumn colId="2" hiddenButton="1"/>
    <filterColumn colId="3" hiddenButton="1"/>
  </autoFilter>
  <tableColumns count="4">
    <tableColumn id="1" xr3:uid="{872EFD51-E1F2-41CE-9393-E5E2BC8DAE5A}" name="Required/not required" dataDxfId="183">
      <calculatedColumnFormula>IF($C$10&gt;0,"Required","Not required")</calculatedColumnFormula>
    </tableColumn>
    <tableColumn id="2" xr3:uid="{570CA3F8-D7A0-4665-BA8E-A825E044951C}" name="Questions" dataDxfId="182"/>
    <tableColumn id="3" xr3:uid="{4C7FDDB4-D4DA-42BA-B673-BEE7D14AFC2F}" name="Your answers" dataDxfId="181"/>
    <tableColumn id="4" xr3:uid="{264FBFDE-2CE8-4CD5-A2EE-F9AFFCDEC673}" name="Error check" dataDxfId="180">
      <calculatedColumnFormula>IF(AND(ISBLANK($C$14),$A$14="Required"),"Enter the name of the lender", "")</calculatedColumnFormula>
    </tableColumn>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262DED2-C752-43D4-97AE-85A61C7BE8E7}" name="Loan2Details" displayName="Loan2Details" ref="A20:D25" totalsRowShown="0" headerRowDxfId="179">
  <autoFilter ref="A20:D25" xr:uid="{1262DED2-C752-43D4-97AE-85A61C7BE8E7}">
    <filterColumn colId="0" hiddenButton="1"/>
    <filterColumn colId="1" hiddenButton="1"/>
    <filterColumn colId="2" hiddenButton="1"/>
    <filterColumn colId="3" hiddenButton="1"/>
  </autoFilter>
  <tableColumns count="4">
    <tableColumn id="1" xr3:uid="{4379855F-3FD3-4D20-BD9A-C786E6A3C21E}" name="Required/not required" dataDxfId="178">
      <calculatedColumnFormula>IF($C$10&gt;1,"Required","Not required")</calculatedColumnFormula>
    </tableColumn>
    <tableColumn id="2" xr3:uid="{C5E6FBF1-2A8D-4E42-8E73-F452E7771C40}" name="Questions" dataDxfId="177"/>
    <tableColumn id="3" xr3:uid="{B82B220C-58C7-40EB-AE8D-93B3F4CB77CF}" name="Your answers" dataDxfId="176"/>
    <tableColumn id="4" xr3:uid="{647AD638-9B42-40BA-9290-837451387644}" name="Error check" dataDxfId="175"/>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14D14DD-11EF-45B2-9E9D-77FCDAABD624}" name="Loan3Details" displayName="Loan3Details" ref="A27:D32" totalsRowShown="0">
  <autoFilter ref="A27:D32" xr:uid="{114D14DD-11EF-45B2-9E9D-77FCDAABD624}">
    <filterColumn colId="0" hiddenButton="1"/>
    <filterColumn colId="1" hiddenButton="1"/>
    <filterColumn colId="2" hiddenButton="1"/>
    <filterColumn colId="3" hiddenButton="1"/>
  </autoFilter>
  <tableColumns count="4">
    <tableColumn id="1" xr3:uid="{BCEBA616-38ED-4C39-BED9-8496572AC2F2}" name="Required/not required" dataDxfId="174">
      <calculatedColumnFormula>IF($C$10&gt;2,"Required","Not required")</calculatedColumnFormula>
    </tableColumn>
    <tableColumn id="2" xr3:uid="{37EE45FB-C02D-4E56-898C-803C7E345F76}" name="Questions" dataDxfId="173"/>
    <tableColumn id="3" xr3:uid="{C5505379-2BAF-4B8A-BE19-8DF21F0AA8AB}" name="Your answers" dataDxfId="172"/>
    <tableColumn id="4" xr3:uid="{E09F4311-A5BA-492B-ACAD-26508CDD632D}" name="Error check" dataDxfId="171"/>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C1B5CC7-E787-446D-B9F2-7D6A83C18761}" name="FinancialSummary" displayName="FinancialSummary" ref="A4:C21" totalsRowShown="0" headerRowDxfId="170" dataDxfId="169" headerRowCellStyle="Heading 2">
  <tableColumns count="3">
    <tableColumn id="1" xr3:uid="{6C0D0B2D-CFF5-46DE-9C61-7547566FEAEC}" name="Costs summary" dataDxfId="168"/>
    <tableColumn id="2" xr3:uid="{B0E22361-82D7-4F28-BCF7-DC07F1C18A15}" name="Total costs £" dataDxfId="167"/>
    <tableColumn id="9" xr3:uid="{257DF675-E199-4ECE-A5C8-6532D4971AA2}" name="Change values" dataDxfId="166"/>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BFE267-5728-4171-899F-BCC12A5FD885}" name="DevelopmentFinancials" displayName="DevelopmentFinancials" ref="A23:B26" totalsRowShown="0" headerRowDxfId="165" dataDxfId="164">
  <autoFilter ref="A23:B26" xr:uid="{05BFE267-5728-4171-899F-BCC12A5FD885}">
    <filterColumn colId="0" hiddenButton="1"/>
    <filterColumn colId="1" hiddenButton="1"/>
  </autoFilter>
  <tableColumns count="2">
    <tableColumn id="1" xr3:uid="{2B0F913B-E826-4B7D-AF5B-C6AA1CE24A26}" name="Project metrics" dataDxfId="163"/>
    <tableColumn id="2" xr3:uid="{3923CD06-1453-400B-9345-2B2C8305D701}" name="Value" dataDxfId="162"/>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EA4559C-8B4D-4E4E-AB08-252A4F479EF8}" name="ProfitSummary" displayName="ProfitSummary" ref="A28:B30" totalsRowShown="0" headerRowDxfId="161" dataDxfId="160" headerRowCellStyle="Heading 2">
  <autoFilter ref="A28:B30" xr:uid="{1EA4559C-8B4D-4E4E-AB08-252A4F479EF8}">
    <filterColumn colId="0" hiddenButton="1"/>
    <filterColumn colId="1" hiddenButton="1"/>
  </autoFilter>
  <tableColumns count="2">
    <tableColumn id="1" xr3:uid="{8486DA42-61B2-4AD9-BD1B-5C1CB55D6212}" name="Profit summary" dataDxfId="159"/>
    <tableColumn id="2" xr3:uid="{AA6636FC-BFBC-4FD9-B4AE-56BF0BDAC38D}" name="Value" dataDxfId="158">
      <calculatedColumnFormula>B24-B21</calculatedColumnFormula>
    </tableColumn>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84384-4D0C-4132-B0ED-17585E284A8C}" name="ErrorOverviewImport" displayName="ErrorOverviewImport" ref="A3:C4" totalsRowShown="0">
  <autoFilter ref="A3:C4" xr:uid="{00584384-4D0C-4132-B0ED-17585E284A8C}">
    <filterColumn colId="0" hiddenButton="1"/>
    <filterColumn colId="1" hiddenButton="1"/>
    <filterColumn colId="2" hiddenButton="1"/>
  </autoFilter>
  <tableColumns count="3">
    <tableColumn id="1" xr3:uid="{F9B903A9-2A21-4A92-AED4-442839C59CD5}" name="Field"/>
    <tableColumn id="2" xr3:uid="{9E65875E-D55D-47EB-8D44-A5AF417CF716}" name="Issues in File">
      <calculatedColumnFormula>SUM($A$7:$A$631)</calculatedColumnFormula>
    </tableColumn>
    <tableColumn id="3" xr3:uid="{053642E2-9E46-4112-B091-E2911A386DFE}" name="Greater than 50% Affordable Housing Flag">
      <calculatedColumnFormula array="1">_xlfn.IFS(SUM(TotalBuild)=0,"Unknown",SUM(SumAffordableHousing)=0,"No",SUM(SumAffordableHousing)/SUM(TotalBuild)&gt;=0.5,"Yes",TRUE,"No")</calculatedColumnFormula>
    </tableColumn>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CF18D80-92FD-4F62-9EB2-1D88045D17AD}" name="ErrorTableImport" displayName="ErrorTableImport" ref="A6:H631" totalsRowShown="0" headerRowBorderDxfId="157">
  <autoFilter ref="A6:H631" xr:uid="{5CF18D80-92FD-4F62-9EB2-1D88045D17A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7526969-9ACA-410A-91FA-282B990983EB}" name="Import">
      <calculatedColumnFormula>IF(D7="Yes",1,0)</calculatedColumnFormula>
    </tableColumn>
    <tableColumn id="2" xr3:uid="{07432010-53F0-4985-8D47-9AFD44C0E645}" name="Sheet"/>
    <tableColumn id="3" xr3:uid="{FAECCAEB-5EDB-460F-819C-A13A456BEA88}" name="Error Check"/>
    <tableColumn id="4" xr3:uid="{FF095B92-943B-42FC-A8FB-B4BB1348DA69}" name="Error Present?">
      <calculatedColumnFormula>IF(E7="", "No", "Yes")</calculatedColumnFormula>
    </tableColumn>
    <tableColumn id="5" xr3:uid="{6366A365-8655-4F97-BBBE-24E0F9050F31}" name="Dynamics Error Message">
      <calculatedColumnFormula>IF($D$11="Yes","",INDEX(ErrorCheck,MATCH($H7,ErrorCheckPlotNumber,0),MATCH($C7,ErrorCheckTitle,0)))</calculatedColumnFormula>
    </tableColumn>
    <tableColumn id="6" xr3:uid="{A989DAEE-F4C0-40E4-91A4-2740C41164CE}" name="Error Type"/>
    <tableColumn id="7" xr3:uid="{189B2B4F-8674-4B72-84E0-1F6F3E799AFE}" name="Error Type Category Code">
      <calculatedColumnFormula>INDEX(IssueType,MATCH($F7,IssueTypeName,0),2)</calculatedColumnFormula>
    </tableColumn>
    <tableColumn id="8" xr3:uid="{9F7CF5C0-4FF6-44C3-BD2D-3DD2C0BDF93F}" name="Home ID" dataDxfId="156"/>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AD2DEC4-A3E9-402F-A496-E535648E9FC8}" name="CustomCosts" displayName="CustomCosts" ref="A3:F4" totalsRowShown="0" headerRowDxfId="155" dataDxfId="154" headerRowCellStyle="Heading 2">
  <autoFilter ref="A3:F4" xr:uid="{8AD2DEC4-A3E9-402F-A496-E535648E9FC8}">
    <filterColumn colId="0" hiddenButton="1"/>
    <filterColumn colId="1" hiddenButton="1"/>
    <filterColumn colId="2" hiddenButton="1"/>
    <filterColumn colId="3" hiddenButton="1"/>
    <filterColumn colId="4" hiddenButton="1"/>
    <filterColumn colId="5" hiddenButton="1"/>
  </autoFilter>
  <tableColumns count="6">
    <tableColumn id="1" xr3:uid="{BE1867FF-4817-49B4-94CB-29E9F695BB9B}" name="Custom cost" dataDxfId="153"/>
    <tableColumn id="2" xr3:uid="{31AB6E5F-308F-4D04-B88B-AD1140BC7D0C}" name="AdditionalCost1" dataDxfId="152">
      <calculatedColumnFormula>CustomCost1</calculatedColumnFormula>
    </tableColumn>
    <tableColumn id="3" xr3:uid="{32002EED-8E16-4365-867F-191A31081343}" name="AdditionalCost2" dataDxfId="151">
      <calculatedColumnFormula>CustomCost2</calculatedColumnFormula>
    </tableColumn>
    <tableColumn id="4" xr3:uid="{2ABA3D0A-430C-4D67-8F84-F09276727FE5}" name="AdditionalCost3" dataDxfId="150">
      <calculatedColumnFormula>CustomCost3</calculatedColumnFormula>
    </tableColumn>
    <tableColumn id="5" xr3:uid="{6EECC92A-F3F6-4E6B-8803-C648146702F8}" name="AdditionalCost4" dataDxfId="149">
      <calculatedColumnFormula>CustomCost4</calculatedColumnFormula>
    </tableColumn>
    <tableColumn id="6" xr3:uid="{92F5C146-846D-4D82-8ABC-08C5AAE818D1}" name="AdditionalCost5" dataDxfId="148">
      <calculatedColumnFormula>CustomCost5</calculatedColumnFormula>
    </tableColumn>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41230C-F003-461E-8012-85EC70788172}" name="ImportFields" displayName="ImportFields" ref="A6:T7" totalsRowShown="0" headerRowDxfId="147" dataDxfId="146" headerRowCellStyle="Heading 2">
  <autoFilter ref="A6:T7" xr:uid="{6241230C-F003-461E-8012-85EC7078817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F4F78F80-78A3-489B-9705-54FDE774410A}" name="Field" dataDxfId="145"/>
    <tableColumn id="2" xr3:uid="{9151F157-43B2-4871-803D-180E1787E6DD}" name="Land cost (purchase)" dataDxfId="144">
      <calculatedColumnFormula>SUMIF(Import,1,INDEX(ImportCosts,,MATCH(B$6,ImportTitles,0)))</calculatedColumnFormula>
    </tableColumn>
    <tableColumn id="3" xr3:uid="{B9AE2235-E785-4F6D-9042-62CB4E025250}" name="Land acquisition costs" dataDxfId="143">
      <calculatedColumnFormula>SUMIF(Import,1,INDEX(ImportCosts,,MATCH(C$6,ImportTitles,0)))</calculatedColumnFormula>
    </tableColumn>
    <tableColumn id="4" xr3:uid="{3EEDD42B-0CB1-42C2-A508-31EB92836E06}" name="Professional fees" dataDxfId="142">
      <calculatedColumnFormula>SUMIF(Import,1,INDEX(ImportCosts,,MATCH(D$6,ImportTitles,0)))</calculatedColumnFormula>
    </tableColumn>
    <tableColumn id="5" xr3:uid="{2FCCA0BB-A5D5-4154-8E84-34D45D0857B8}" name="Prelim costs" dataDxfId="141">
      <calculatedColumnFormula>SUMIF(Import,1,INDEX(ImportCosts,,MATCH(E$6,ImportTitles,0)))</calculatedColumnFormula>
    </tableColumn>
    <tableColumn id="6" xr3:uid="{AFEF682C-4852-4951-8DDD-BDFE8EE7D397}" name="Infrastructure costs" dataDxfId="140">
      <calculatedColumnFormula>SUMIF(Import,1,INDEX(ImportCosts,,MATCH(F$6,ImportTitles,0)))</calculatedColumnFormula>
    </tableColumn>
    <tableColumn id="7" xr3:uid="{1555BA63-7177-40B4-98CA-CBA00431C56B}" name="Abnormal costs" dataDxfId="139">
      <calculatedColumnFormula>SUMIF(Import,1,INDEX(ImportCosts,,MATCH(G$6,ImportTitles,0)))</calculatedColumnFormula>
    </tableColumn>
    <tableColumn id="8" xr3:uid="{C69A326C-686F-4588-AA3B-86AA031926C5}" name="MMC costs" dataDxfId="138">
      <calculatedColumnFormula>SUMIF(Import,1,INDEX(ImportCosts,,MATCH(H$6,ImportTitles,0)))</calculatedColumnFormula>
    </tableColumn>
    <tableColumn id="19" xr3:uid="{0A43C90D-F819-4346-BB4F-7281249D9DBC}" name="Construction costs" dataDxfId="137">
      <calculatedColumnFormula>SUMIF(Import,1,INDEX(ImportCosts,,MATCH(I$6,ImportTitles,0)))</calculatedColumnFormula>
    </tableColumn>
    <tableColumn id="21" xr3:uid="{7180FB16-C539-4DEA-8DAF-871920E1750D}" name="S106/CIL costs" dataDxfId="136">
      <calculatedColumnFormula>SUMIF(Import,1,INDEX(ImportCosts,,MATCH(J$6,ImportTitles,0)))</calculatedColumnFormula>
    </tableColumn>
    <tableColumn id="9" xr3:uid="{FFC14F94-45E5-4FE1-B4E0-F1C828700FAA}" name="Sales costs" dataDxfId="135">
      <calculatedColumnFormula>SUMIF(Import,1,INDEX(ImportCosts,,MATCH(K$6,ImportTitles,0)))</calculatedColumnFormula>
    </tableColumn>
    <tableColumn id="10" xr3:uid="{D6239541-4957-467D-9CCC-CFC1F86EBE6E}" name="Contingency" dataDxfId="134">
      <calculatedColumnFormula>SUMIF(Import,1,INDEX(ImportCosts,,MATCH(L$6,ImportTitles,0)))</calculatedColumnFormula>
    </tableColumn>
    <tableColumn id="11" xr3:uid="{94D40617-5605-4ABD-A943-13DD7CA7FB53}" name="AdditionalCost1" dataDxfId="133">
      <calculatedColumnFormula>SUMIF(Import,1,INDEX(ImportCosts,,MATCH(M$6,ImportTitles,0)))</calculatedColumnFormula>
    </tableColumn>
    <tableColumn id="13" xr3:uid="{C8EF527C-D621-4201-B01F-206A4018C660}" name="AdditionalCost2" dataDxfId="132">
      <calculatedColumnFormula>SUMIF(Import,1,INDEX(ImportCosts,,MATCH(N$6,ImportTitles,0)))</calculatedColumnFormula>
    </tableColumn>
    <tableColumn id="14" xr3:uid="{3213D132-ADF0-424B-A240-79DBDE204FF8}" name="AdditionalCost3" dataDxfId="131">
      <calculatedColumnFormula>SUMIF(Import,1,INDEX(ImportCosts,,MATCH(O$6,ImportTitles,0)))</calculatedColumnFormula>
    </tableColumn>
    <tableColumn id="15" xr3:uid="{55F4892E-3CCF-4E0C-AB2C-185A2B85C23C}" name="AdditionalCost4" dataDxfId="130">
      <calculatedColumnFormula>SUMIF(Import,1,INDEX(ImportCosts,,MATCH(P$6,ImportTitles,0)))</calculatedColumnFormula>
    </tableColumn>
    <tableColumn id="16" xr3:uid="{999D1FF2-7105-4DAE-9CAA-5B9ECA72C2A6}" name="AdditionalCost5" dataDxfId="129">
      <calculatedColumnFormula>SUMIF(Import,1,INDEX(ImportCosts,,MATCH(Q$6,ImportTitles,0)))</calculatedColumnFormula>
    </tableColumn>
    <tableColumn id="17" xr3:uid="{20DABBCF-14D1-4A96-99C4-54C9DFA06C13}" name="TotalDevCosts" dataDxfId="128">
      <calculatedColumnFormula>SUM($B$7:$L$7)+SUM($M$7:$Q$7)</calculatedColumnFormula>
    </tableColumn>
    <tableColumn id="18" xr3:uid="{FD15849D-9149-481D-8F68-BA8A6D5EEBD9}" name="ContingencyPercentText" dataDxfId="127">
      <calculatedColumnFormula>ROUND($T$7*100,0)</calculatedColumnFormula>
    </tableColumn>
    <tableColumn id="12" xr3:uid="{E5CD6D20-127D-40C5-B0D8-F5210642081A}" name="ContingencyPercent" dataDxfId="126">
      <calculatedColumnFormula>IF(OR(SUM($F$7,$G$7,$I$7)=0,$L$7=0),0,$L$7/SUM($F$7,$G$7,$I$7))</calculatedColumnFormula>
    </tableColumn>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2D9BA5D-2AE6-4844-AFF0-263DBC09767A}" name="ImportProjectDetails" displayName="ImportProjectDetails" ref="A9:N10" totalsRowShown="0" headerRowDxfId="125" dataDxfId="124">
  <autoFilter ref="A9:N10" xr:uid="{62D9BA5D-2AE6-4844-AFF0-263DBC09767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71D38B8-25AD-479C-9CCD-4832226969C5}" name="Field" dataDxfId="123" totalsRowDxfId="122"/>
    <tableColumn id="2" xr3:uid="{29490D48-F21E-4A80-9CC3-B3A9341F1716}" name="Project Name" dataDxfId="121" totalsRowDxfId="120">
      <calculatedColumnFormula>IF(ISBLANK(DevelopmentName),"",DevelopmentName)</calculatedColumnFormula>
    </tableColumn>
    <tableColumn id="3" xr3:uid="{DF585559-5411-4E5C-8F8D-DE37CAA68160}" name="Project Start Date" dataDxfId="119">
      <calculatedColumnFormula>IF(OR(ISBLANK(StartDateMonth),ISBLANK(StartDateYear)),"",DATEVALUE(StartDateMonth&amp;StartDateYear))</calculatedColumnFormula>
    </tableColumn>
    <tableColumn id="14" xr3:uid="{0A09FFDB-D339-430F-881B-6347E7CA94A9}" name="Project Start Date Error Check" dataDxfId="118" totalsRowDxfId="117">
      <calculatedColumnFormula>IF(C10="",0,1)</calculatedColumnFormula>
    </tableColumn>
    <tableColumn id="4" xr3:uid="{E9A4BD27-0BDD-4D6E-9CDF-CE36FB5999CC}" name="Project Duration" dataDxfId="116" totalsRowDxfId="115">
      <calculatedColumnFormula>IF(ISBLANK(ProjectDuration),0,ProjectDuration)</calculatedColumnFormula>
    </tableColumn>
    <tableColumn id="5" xr3:uid="{7A4654E8-9389-466E-8412-AB1AF81BEB14}" name="Expected Project Completion Date" dataDxfId="114" totalsRowDxfId="113">
      <calculatedColumnFormula>IF(OR(CompletionMonth="",CompletionYear=""),"",MAX(EDATE(DATEVALUE(CompletionMonth&amp;CompletionYear),1),$G$10))</calculatedColumnFormula>
    </tableColumn>
    <tableColumn id="9" xr3:uid="{6506B512-E99B-4891-A7F0-E3B62CA85D0D}" name="Final Home Completion Date" dataDxfId="112" totalsRowDxfId="111">
      <calculatedColumnFormula>MAX(HomeCompletionDate)</calculatedColumnFormula>
    </tableColumn>
    <tableColumn id="10" xr3:uid="{A1A32DBC-221D-41DD-8A8D-7A9147BBC510}" name="Final Sale Date" dataDxfId="110" totalsRowDxfId="109">
      <calculatedColumnFormula>MAX(SaleCompletionDate)</calculatedColumnFormula>
    </tableColumn>
    <tableColumn id="8" xr3:uid="{82F1E808-0BDB-4059-AEA4-6A845D96A846}" name="Earliest Completion Date" dataDxfId="108" totalsRowDxfId="107">
      <calculatedColumnFormula>IF(SUM(HomeCompletionDate)=0,0,SMALL(HomeCompletionDate,COUNTIF(HomeCompletionDate,0)+2))</calculatedColumnFormula>
    </tableColumn>
    <tableColumn id="7" xr3:uid="{4915788B-A0DB-4852-A916-B0154723E5C7}" name="Earliest Sale Date" dataDxfId="106" totalsRowDxfId="105">
      <calculatedColumnFormula>IF(SUM(SaleCompletionDate)=0,0,SMALL(SaleCompletionDate,COUNTIF(SaleCompletionDate,0)+2))</calculatedColumnFormula>
    </tableColumn>
    <tableColumn id="11" xr3:uid="{FE489ECF-BA46-4AF4-9278-212275801D46}" name="MMC Costs Present" dataDxfId="104" totalsRowDxfId="103">
      <calculatedColumnFormula>IF((COUNTIF(BuildTypeCategoryCode,"391930001")+COUNTIF(BuildTypeCategoryCode,"391930002"))&gt;0,"Yes","No")</calculatedColumnFormula>
    </tableColumn>
    <tableColumn id="12" xr3:uid="{461130DB-0596-4AB5-AD3A-D52FB993839C}" name="MMC Costs Present Category Code" dataDxfId="102" totalsRowDxfId="101">
      <calculatedColumnFormula>INDEX(MMCYesNo,MATCH($K$10,MMCYesNoLookUp,0),2)</calculatedColumnFormula>
    </tableColumn>
    <tableColumn id="13" xr3:uid="{D75992D4-BD12-4069-9AE3-FC1E283EB914}" name="Stated Number of Homes" dataDxfId="100" totalsRowDxfId="99">
      <calculatedColumnFormula>NumberOfPlots</calculatedColumnFormula>
    </tableColumn>
    <tableColumn id="6" xr3:uid="{8BB0C83C-D9E7-4648-8C20-5E9C77ADEC04}" name="Number of Homes" dataDxfId="98" totalsRowDxfId="97">
      <calculatedColumnFormula>SUM(HomesImports)</calculatedColumnFormula>
    </tableColumn>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C87FE1F-DC70-494C-9683-D971666CADBF}" name="ImportProfitMetrics" displayName="ImportProfitMetrics" ref="A12:G13" totalsRowShown="0" headerRowDxfId="96" dataDxfId="95">
  <autoFilter ref="A12:G13" xr:uid="{3C87FE1F-DC70-494C-9683-D971666CADB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8B5A842-EA1E-4A0B-936F-57ACB7E37ED3}" name="Field" dataDxfId="94"/>
    <tableColumn id="2" xr3:uid="{9C7A9A31-67BD-431C-AE69-1C658E5771F6}" name="Gross development value" dataDxfId="93">
      <calculatedColumnFormula>INDEX(ProjectMetrics,MATCH(B$12,ProjectMetricsTitles,0),2)</calculatedColumnFormula>
    </tableColumn>
    <tableColumn id="3" xr3:uid="{8C257A01-5EAC-4572-A2BC-9B9A06DC45C0}" name="Average value per square foot" dataDxfId="92">
      <calculatedColumnFormula>INDEX(ProjectMetrics,MATCH(C$12,ProjectMetricsTitles,0),2)</calculatedColumnFormula>
    </tableColumn>
    <tableColumn id="4" xr3:uid="{37443BEC-CF57-4B56-A44F-DFBE01C38437}" name="Average cost per square foot" dataDxfId="91">
      <calculatedColumnFormula>INDEX(ProjectMetrics,MATCH(D$12,ProjectMetricsTitles,0),2)</calculatedColumnFormula>
    </tableColumn>
    <tableColumn id="5" xr3:uid="{21EB0592-B8EE-4271-8102-CB354780BBF4}" name="Developer profit (excluding finance costs)" dataDxfId="90">
      <calculatedColumnFormula>INDEX(ProfitSummaryTable,MATCH(E$12,ProfitSummaryTitles,0),2)</calculatedColumnFormula>
    </tableColumn>
    <tableColumn id="7" xr3:uid="{716607F6-09F2-4839-BC9F-1A3570F745BB}" name="Gross margin percent text" dataDxfId="89">
      <calculatedColumnFormula>IF($G$13="",0,ROUND($G$13*100,0))</calculatedColumnFormula>
    </tableColumn>
    <tableColumn id="6" xr3:uid="{A1A6F2D6-5BA5-40CE-A7C7-F15B03A07A94}" name="Gross margin" dataDxfId="88">
      <calculatedColumnFormula>INDEX(ProfitSummaryTable,MATCH(G$12,ProfitSummaryTitles,0),2)</calculatedColumnFormula>
    </tableColumn>
  </tableColumns>
  <tableStyleInfo name="Table Style 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160429-AFED-402E-8B9C-5193AAD212FF}" name="Import2" displayName="Import2" ref="A3:W603" totalsRowShown="0" headerRowDxfId="87" dataDxfId="85" headerRowBorderDxfId="86" tableBorderDxfId="84" headerRowCellStyle="Heading 2">
  <autoFilter ref="A3:W603" xr:uid="{12160429-AFED-402E-8B9C-5193AAD212F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0E9DE3A8-7522-4AC3-BA20-01BAE64A5155}" name="Import" dataDxfId="83">
      <calculatedColumnFormula>IF((SUM($C4:$W4)-$H4-$J4)=0,0,1)</calculatedColumnFormula>
    </tableColumn>
    <tableColumn id="2" xr3:uid="{C3318D40-8F4E-4688-8C0B-69FC6DCBB221}" name="ID" dataDxfId="82"/>
    <tableColumn id="3" xr3:uid="{331748F2-6418-4B78-9F4D-A752C3DA9E7C}" name="Home type / name" dataDxfId="81">
      <calculatedColumnFormula>IF(INDEX(PlotData,MATCH($B4,PlotNumber,0),MATCH(C$3,PlotTitles,0))=0,"",INDEX(PlotData,MATCH($B4,PlotNumber,0),MATCH(C$3,PlotTitles,0)))</calculatedColumnFormula>
    </tableColumn>
    <tableColumn id="4" xr3:uid="{BB03CDC6-9615-4652-8D6B-6DD34C9E4A89}" name="Number of bedrooms" dataDxfId="80">
      <calculatedColumnFormula>INDEX(PlotData,MATCH($B4,PlotNumber,0),MATCH(D$3,PlotTitles,0))</calculatedColumnFormula>
    </tableColumn>
    <tableColumn id="22" xr3:uid="{22AD1F3C-6955-4C32-8030-0664A158B66C}" name="Property type" dataDxfId="79">
      <calculatedColumnFormula>INDEX(PlotData,MATCH($B4,PlotNumber,0),MATCH(E$3,PlotTitles,0))</calculatedColumnFormula>
    </tableColumn>
    <tableColumn id="8" xr3:uid="{146E6C85-97F2-452B-9EC3-CB4C6E78C7B7}" name="PropertyTypeCategoryCode" dataDxfId="78">
      <calculatedColumnFormula>_xlfn.IFNA(INDEX(PropertyTypeRef,MATCH(E4,PropertyType,0),2),0)</calculatedColumnFormula>
    </tableColumn>
    <tableColumn id="5" xr3:uid="{15579C24-E3DB-44B4-BEC9-4835A7DC984A}" name="Tenure" dataDxfId="77">
      <calculatedColumnFormula>INDEX(PlotData,MATCH($B4,PlotNumber,0),MATCH(G$3,PlotTitles,0))</calculatedColumnFormula>
    </tableColumn>
    <tableColumn id="15" xr3:uid="{AB37F1E4-84B1-467F-AB4A-6C10898BB58F}" name="TenureCategoryCode" dataDxfId="76">
      <calculatedColumnFormula>_xlfn.IFNA(INDEX(TenureRef,MATCH(G4,PlotCategory,0),2),0)</calculatedColumnFormula>
    </tableColumn>
    <tableColumn id="12" xr3:uid="{38D839DA-699D-46CE-86A6-DF695570068E}" name="Tenure Detail" dataDxfId="75">
      <calculatedColumnFormula>INDEX(PlotData,MATCH($B4,PlotNumber,0),MATCH(I$3,PlotTitles,0))</calculatedColumnFormula>
    </tableColumn>
    <tableColumn id="18" xr3:uid="{EC076B2D-048D-4112-BA51-A03E40CE73BE}" name="TenureDetailCategoryCode" dataDxfId="74">
      <calculatedColumnFormula>_xlfn.IFNA(INDEX(TenureDetailRef,MATCH(I4,TenureDetail,0),2),0)</calculatedColumnFormula>
    </tableColumn>
    <tableColumn id="19" xr3:uid="{4231B5BC-6FCF-4D1B-93BE-024DD641E828}" name="Build type" dataDxfId="73">
      <calculatedColumnFormula>INDEX(PlotData,MATCH($B4,PlotNumber,0),MATCH(K$3,PlotTitles,0))</calculatedColumnFormula>
    </tableColumn>
    <tableColumn id="20" xr3:uid="{0756835A-FEAC-4D16-9F08-389A2DD59726}" name="BuildTypeCategoryCode" dataDxfId="72">
      <calculatedColumnFormula>_xlfn.IFNA(INDEX(BuildTypeRef,MATCH(K4,BuildType,0),2),0)</calculatedColumnFormula>
    </tableColumn>
    <tableColumn id="21" xr3:uid="{05B50F34-0181-4E7E-ADF1-BA4B66786A7B}" name="Home size in square feet" dataDxfId="71">
      <calculatedColumnFormula>INDEX(PlotData,MATCH($B4,PlotNumber,0),MATCH(M$3,PlotTitles,0))</calculatedColumnFormula>
    </tableColumn>
    <tableColumn id="24" xr3:uid="{9B036D28-0979-4E04-A04E-73E6E44E23B3}" name="Square metres (converstion)" dataDxfId="70">
      <calculatedColumnFormula>IF($M4=0,0,$M4*0.09290304)</calculatedColumnFormula>
    </tableColumn>
    <tableColumn id="6" xr3:uid="{8F949960-82D9-4F83-A521-F402FA3A07E1}" name="Expected Physical Completion Date" dataDxfId="69">
      <calculatedColumnFormula>IF(OR($P4="",$Q4=""),0,(DATEVALUE($P4&amp;$Q4)))</calculatedColumnFormula>
    </tableColumn>
    <tableColumn id="16" xr3:uid="{48226A22-B606-4349-85D0-923716D4A965}" name="Expected Physical Completion Month" dataDxfId="68">
      <calculatedColumnFormula>IF(INDEX(PlotData,MATCH($B4,PlotNumber,0),MATCH(P$3,PlotTitles,0))=0,"",INDEX(PlotData,MATCH($B4,PlotNumber,0),MATCH(P$3,PlotTitles,0)))</calculatedColumnFormula>
    </tableColumn>
    <tableColumn id="7" xr3:uid="{CCB6788E-CB82-43FF-BC64-A2DCE3FA4139}" name="Expected Physical Completion Year" dataDxfId="67">
      <calculatedColumnFormula>IF(INDEX(PlotData,MATCH($B4,PlotNumber,0),MATCH(Q$3,PlotTitles,0))=0,"",INDEX(PlotData,MATCH($B4,PlotNumber,0),MATCH(Q$3,PlotTitles,0)))</calculatedColumnFormula>
    </tableColumn>
    <tableColumn id="9" xr3:uid="{D669B575-A4D4-4AFC-8ED8-5277B708D089}" name="Categorised Completion Date Key" dataDxfId="66">
      <calculatedColumnFormula>IF(ISNUMBER(SEARCH("AHO",Import2[[#This Row],[Tenure]])),"AHO",Import2[[#This Row],[Tenure]])&amp;Import2[[#This Row],[Expected Physical Completion Year]]&amp;Import2[[#This Row],[Expected Physical Completion Month]]</calculatedColumnFormula>
    </tableColumn>
    <tableColumn id="10" xr3:uid="{71094646-62AA-44F1-B235-4FE8DDC033E8}" name="Expected Sale Completion Date" dataDxfId="65">
      <calculatedColumnFormula>IF(OR($T4="",$U4=""),0,(DATEVALUE($T4&amp;$U4)))</calculatedColumnFormula>
    </tableColumn>
    <tableColumn id="17" xr3:uid="{F979B031-054D-4913-8753-27E373C52977}" name="Expected sale completion month" dataDxfId="64">
      <calculatedColumnFormula>IF(INDEX(PlotData,MATCH($B4,PlotNumber,0),MATCH(T$3,PlotTitles,0))=0,"",INDEX(PlotData,MATCH($B4,PlotNumber,0),MATCH(T$3,PlotTitles,0)))</calculatedColumnFormula>
    </tableColumn>
    <tableColumn id="11" xr3:uid="{BC4AC6B0-4A83-4D26-8F18-D5EB41903B24}" name="Expected sale completion year" dataDxfId="63">
      <calculatedColumnFormula>IF(INDEX(PlotData,MATCH($B4,PlotNumber,0),MATCH(U$3,PlotTitles,0))=0,"",INDEX(PlotData,MATCH($B4,PlotNumber,0),MATCH(U$3,PlotTitles,0)))</calculatedColumnFormula>
    </tableColumn>
    <tableColumn id="13" xr3:uid="{76FD4C80-A11C-49C1-A168-56E79D1ACE6A}" name="Categorised Sale Date Key" dataDxfId="62">
      <calculatedColumnFormula>IF(ISNUMBER(SEARCH("AHO",Import2[[#This Row],[Tenure]])),"AHO",Import2[[#This Row],[Tenure]])&amp;Import2[[#This Row],[Expected sale completion year]]&amp;Import2[[#This Row],[Expected sale completion month]]</calculatedColumnFormula>
    </tableColumn>
    <tableColumn id="14" xr3:uid="{8BD9106D-1AAC-4877-B32F-8E5183AF5624}" name="Expected sales revenue" dataDxfId="61" dataCellStyle="Currency">
      <calculatedColumnFormula>INDEX(PlotData,MATCH($B4,PlotNumber,0),MATCH(W$3,PlotTitles,0))</calculatedColumnFormula>
    </tableColumn>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52DC45-8469-4A43-A86D-EB34EAFD63BD}" name="Import1" displayName="Import1" ref="A3:BC128" totalsRowShown="0" headerRowDxfId="60" dataDxfId="58" headerRowBorderDxfId="59" headerRowCellStyle="Heading 2">
  <autoFilter ref="A3:BC128" xr:uid="{2A52DC45-8469-4A43-A86D-EB34EAFD63B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autoFilter>
  <tableColumns count="55">
    <tableColumn id="1" xr3:uid="{4CE93BD3-A30A-415E-B1E0-3BD6BECA7438}" name="Import" dataDxfId="57">
      <calculatedColumnFormula>IF(E4="",0,1)</calculatedColumnFormula>
    </tableColumn>
    <tableColumn id="35" xr3:uid="{3B3CD3AF-B83B-490D-9EC5-13430D0061CA}" name="Month Number" dataDxfId="56"/>
    <tableColumn id="2" xr3:uid="{890B84CD-5C4D-472E-9E31-D914FDA6B4FA}" name="Year" dataDxfId="55">
      <calculatedColumnFormula>IF(E4="","",YEAR(E4))</calculatedColumnFormula>
    </tableColumn>
    <tableColumn id="3" xr3:uid="{A7E54068-EBDC-47B0-827E-AD6A82856E0B}" name="Month" dataDxfId="54">
      <calculatedColumnFormula>IF(E4="","",TEXT(MONTH(E4)*28,"mmmm"))</calculatedColumnFormula>
    </tableColumn>
    <tableColumn id="4" xr3:uid="{99B2776B-8AB9-4333-86B5-82E27510DB21}" name="Date" dataDxfId="53"/>
    <tableColumn id="5" xr3:uid="{26E009DB-7739-41CE-90C3-DBB1C1814F0D}" name="Land cost (purchase)" dataDxfId="52">
      <calculatedColumnFormula>IF($A4=1,INDEX(DevelopmentCosts,MATCH(F$3,TotalDevCostsList,0),MATCH($B4,DevelopmentCostTitle,0)),0)</calculatedColumnFormula>
    </tableColumn>
    <tableColumn id="6" xr3:uid="{E9432A97-F39D-486B-9DAF-686EEF6DAC7A}" name="Land acquisition costs" dataDxfId="51">
      <calculatedColumnFormula>IF($A4=1,INDEX(DevelopmentCosts,MATCH(G$3,TotalDevCostsList,0),MATCH($B4,DevelopmentCostTitle,0)),0)</calculatedColumnFormula>
    </tableColumn>
    <tableColumn id="7" xr3:uid="{B8D385C2-DC33-43B2-B677-6DCEFAEFE89C}" name="Professional fees" dataDxfId="50">
      <calculatedColumnFormula>IF($A4=1,INDEX(DevelopmentCosts,MATCH(H$3,TotalDevCostsList,0),MATCH($B4,DevelopmentCostTitle,0)),0)</calculatedColumnFormula>
    </tableColumn>
    <tableColumn id="8" xr3:uid="{9EDCF45E-D8A0-4B72-8BB3-CEEBCC5D7149}" name="Prelim costs" dataDxfId="49">
      <calculatedColumnFormula>IF($A4=1,INDEX(DevelopmentCosts,MATCH(I$3,TotalDevCostsList,0),MATCH($B4,DevelopmentCostTitle,0)),0)</calculatedColumnFormula>
    </tableColumn>
    <tableColumn id="9" xr3:uid="{7720B4E3-4646-4925-A1D6-50C81916CB17}" name="Infrastructure costs" dataDxfId="48">
      <calculatedColumnFormula>IF($A4=1,INDEX(DevelopmentCosts,MATCH(J$3,TotalDevCostsList,0),MATCH($B4,DevelopmentCostTitle,0)),0)</calculatedColumnFormula>
    </tableColumn>
    <tableColumn id="10" xr3:uid="{6F40D30A-9503-4F40-80F6-9A99B41F87CC}" name="Abnormal costs" dataDxfId="47">
      <calculatedColumnFormula>IF($A4=1,INDEX(DevelopmentCosts,MATCH(K$3,TotalDevCostsList,0),MATCH($B4,DevelopmentCostTitle,0)),0)</calculatedColumnFormula>
    </tableColumn>
    <tableColumn id="11" xr3:uid="{C8DF582A-8279-4F43-A845-7DB26277DCE7}" name="Sales costs" dataDxfId="46">
      <calculatedColumnFormula>IF($A4=1,INDEX(DevelopmentCosts,MATCH(L$3,TotalDevCostsList,0),MATCH($B4,DevelopmentCostTitle,0)),0)</calculatedColumnFormula>
    </tableColumn>
    <tableColumn id="39" xr3:uid="{E532669E-9D1E-4EC5-A9B8-0B7A528A5D11}" name="Construction costs" dataDxfId="45">
      <calculatedColumnFormula>IF($A4=1,INDEX(DevelopmentCosts,MATCH(M$3,TotalDevCostsList,0),MATCH($B4,DevelopmentCostTitle,0)),0)</calculatedColumnFormula>
    </tableColumn>
    <tableColumn id="12" xr3:uid="{9F4F4458-0140-4C31-830D-B45F41CFCE36}" name="Contingency" dataDxfId="44">
      <calculatedColumnFormula>IF($A4=1,INDEX(DevelopmentCosts,MATCH(N$3,TotalDevCostsList,0),MATCH($B4,DevelopmentCostTitle,0)),0)</calculatedColumnFormula>
    </tableColumn>
    <tableColumn id="13" xr3:uid="{8FC7458E-A0C0-4341-B95D-ACCB1C33ADF7}" name="S106/CIL costs" dataDxfId="43">
      <calculatedColumnFormula>IF($A4=1,INDEX(DevelopmentCosts,MATCH(O$3,TotalDevCostsList,0),MATCH($B4,DevelopmentCostTitle,0)),0)</calculatedColumnFormula>
    </tableColumn>
    <tableColumn id="40" xr3:uid="{11C77461-FD73-45BC-9687-AD7891DCBF18}" name="MMC costs" dataDxfId="42">
      <calculatedColumnFormula>_xlfn.IFNA(IF($A4=1,INDEX(DevelopmentCosts,MATCH(P$3,TotalDevCostsList,0),MATCH($B4,DevelopmentCostTitle,0)),0),0)</calculatedColumnFormula>
    </tableColumn>
    <tableColumn id="14" xr3:uid="{28571563-CB5F-4054-BD44-A4861635F305}" name="AdditionalCost1" dataDxfId="41">
      <calculatedColumnFormula>_xlfn.IFNA(IF($A4=1,INDEX(DevelopmentCosts,MATCH(CustomCost1,TotalDevCostsList,0),MATCH($B4,DevelopmentCostTitle,0)),0),0)</calculatedColumnFormula>
    </tableColumn>
    <tableColumn id="15" xr3:uid="{89FA5264-1C0A-4D72-B05F-9B91B9D28DA5}" name="AdditionalCost2" dataDxfId="40">
      <calculatedColumnFormula>_xlfn.IFNA(IF($A4=1,INDEX(DevelopmentCosts,MATCH(CustomCost2,TotalDevCostsList,0),MATCH($B4,DevelopmentCostTitle,0)),0),0)</calculatedColumnFormula>
    </tableColumn>
    <tableColumn id="16" xr3:uid="{43DD7757-E247-4F9E-855B-3BBD802999F4}" name="AdditionalCost3" dataDxfId="39">
      <calculatedColumnFormula>_xlfn.IFNA(IF($A4=1,INDEX(DevelopmentCosts,MATCH(CustomCost3,TotalDevCostsList,0),MATCH($B4,DevelopmentCostTitle,0)),0),0)</calculatedColumnFormula>
    </tableColumn>
    <tableColumn id="17" xr3:uid="{22600E11-03F8-4E99-BBD5-E65006148D98}" name="AdditionalCost4" dataDxfId="38">
      <calculatedColumnFormula>_xlfn.IFNA(IF($A4=1,INDEX(DevelopmentCosts,MATCH(CustomCost4,TotalDevCostsList,0),MATCH($B4,DevelopmentCostTitle,0)),0),0)</calculatedColumnFormula>
    </tableColumn>
    <tableColumn id="18" xr3:uid="{B725EB02-6DCB-4B0D-B8FE-8D90B95ED333}" name="AdditionalCost5" dataDxfId="37">
      <calculatedColumnFormula>_xlfn.IFNA(IF($A4=1,INDEX(DevelopmentCosts,MATCH(CustomCost5,TotalDevCostsList,0),MATCH($B4,DevelopmentCostTitle,0)),0),0)</calculatedColumnFormula>
    </tableColumn>
    <tableColumn id="19" xr3:uid="{F85EBC6A-489D-4918-A631-1125B514B9C5}" name="TotalDevCosts" dataDxfId="36">
      <calculatedColumnFormula>SUM(F4:U4)</calculatedColumnFormula>
    </tableColumn>
    <tableColumn id="20" xr3:uid="{A71DAAA9-C5E5-4F68-B435-9694710F9BBC}" name="Open market housing build completions" dataDxfId="35">
      <calculatedColumnFormula>COUNTIF(CategorisedCompletionKey,(OpenMarketHousing&amp;$C4&amp;$D4))</calculatedColumnFormula>
    </tableColumn>
    <tableColumn id="21" xr3:uid="{8F49D771-0D45-4C9B-8C97-C61F99F3D49B}" name="Affordable rent build completions" dataDxfId="34">
      <calculatedColumnFormula>COUNTIF(CategorisedCompletionKey,(AffordableRent&amp;$C4&amp;$D4))</calculatedColumnFormula>
    </tableColumn>
    <tableColumn id="22" xr3:uid="{F13A3F07-C9EF-4FBC-859D-B8107F2F617C}" name="Affordable Home Ownership (AHO) (AHP) - Shared equity build completions" dataDxfId="33">
      <calculatedColumnFormula>COUNTIF(CategorisedCompletionKey,(AHPSharedEquity&amp;$C4&amp;$D4))</calculatedColumnFormula>
    </tableColumn>
    <tableColumn id="23" xr3:uid="{E1FD8343-B142-4DB3-8ACD-746D5F1F73B1}" name="Affordable Home Ownership (AHO) (AHP) - Intermediate rent build completions" dataDxfId="32">
      <calculatedColumnFormula>COUNTIF(CategorisedCompletionKey,(AHPIntermediate&amp;$C4&amp;$D4))</calculatedColumnFormula>
    </tableColumn>
    <tableColumn id="24" xr3:uid="{87D53289-A105-4906-899A-E1FDB2947D11}" name="Affordable Home Ownership (AHO) (AHP) - Shared ownership build completions" dataDxfId="31">
      <calculatedColumnFormula>COUNTIF(CategorisedCompletionKey,(AHPSharedOwnership&amp;$C4&amp;$D4))</calculatedColumnFormula>
    </tableColumn>
    <tableColumn id="25" xr3:uid="{C8CE92DC-3293-4221-BAC5-B229247564F3}" name="Affordable Home Ownership (AHO) (Non-AHP) - Shared equity build completions" dataDxfId="30">
      <calculatedColumnFormula>COUNTIF(CategorisedCompletionKey,(NonAHPSharedEquity&amp;$C4&amp;$D4))</calculatedColumnFormula>
    </tableColumn>
    <tableColumn id="26" xr3:uid="{9406C418-FDDD-4A35-BD85-CEB94773FF2C}" name="Affordable Home Ownership (AHO) (Non-AHP) - Intermediate rent build completions" dataDxfId="29">
      <calculatedColumnFormula>COUNTIF(CategorisedCompletionKey,(NonAHPIntermediateRent&amp;$C4&amp;$D4))</calculatedColumnFormula>
    </tableColumn>
    <tableColumn id="27" xr3:uid="{ABC69E2F-1FD1-4B41-A8C7-38F7F99BFDCD}" name="Affordable Home Ownership (AHO) (Non-AHP) - Shared ownership build completions" dataDxfId="28">
      <calculatedColumnFormula>COUNTIF(CategorisedCompletionKey,(NonAHPSharedOwnership&amp;$C4&amp;$D4))</calculatedColumnFormula>
    </tableColumn>
    <tableColumn id="28" xr3:uid="{3F94840A-1061-4CFE-A74D-CCE1A99B3C99}" name="Other (include any social rent, LCHO and intermediate rent) build completions" dataDxfId="27">
      <calculatedColumnFormula>COUNTIF(CategorisedCompletionKey,(OtherTenure&amp;$C4&amp;$D4))</calculatedColumnFormula>
    </tableColumn>
    <tableColumn id="29" xr3:uid="{896F9F96-82BB-43EE-91EB-B2FB84F5793F}" name="Sum of AH Build Completions" dataDxfId="26">
      <calculatedColumnFormula>SUM($X4:$AE4)</calculatedColumnFormula>
    </tableColumn>
    <tableColumn id="30" xr3:uid="{4AD39489-FD37-4D0D-A8E8-129130733714}" name="Total build completions" dataDxfId="25">
      <calculatedColumnFormula>COUNTIF(CategorisedSaleKey,(OpenMarketHousing&amp;$C4&amp;$D4))</calculatedColumnFormula>
    </tableColumn>
    <tableColumn id="31" xr3:uid="{0FBA9FB8-A2D8-40FD-80BA-4D5C0C925499}" name="Open market housing sale completions" dataDxfId="24">
      <calculatedColumnFormula>COUNTIF(CategorisedSaleKey,(OpenMarketHousing&amp;$C4&amp;$D4))</calculatedColumnFormula>
    </tableColumn>
    <tableColumn id="32" xr3:uid="{62D984F3-BA6D-4E8E-A0A6-28940AC8EA6B}" name="Affordable rent sales completions" dataDxfId="23">
      <calculatedColumnFormula>COUNTIF(CategorisedSaleKey,(AffordableRent&amp;$C4&amp;$D4))</calculatedColumnFormula>
    </tableColumn>
    <tableColumn id="33" xr3:uid="{407E9D12-6FC5-421D-BE46-05938DB13336}" name="Affordable Home Ownership (AHO) (AHP) - Shared equity sale completions" dataDxfId="22">
      <calculatedColumnFormula>COUNTIF(CategorisedSaleKey,(AHPSharedEquity&amp;$C4&amp;$D4))</calculatedColumnFormula>
    </tableColumn>
    <tableColumn id="34" xr3:uid="{4967CE77-6C3B-4C66-A3A5-F6AA119EA7D9}" name="Affordable Home Ownership (AHO) (AHP) - Intermediate rent sale completions" dataDxfId="21">
      <calculatedColumnFormula>COUNTIF(CategorisedSaleKey,(AHPIntermediate&amp;$C4&amp;$D4))</calculatedColumnFormula>
    </tableColumn>
    <tableColumn id="36" xr3:uid="{780486A4-C9D5-4270-BE12-BB98B1549261}" name="Affordable Home Ownership (AHO) (AHP) - Shared ownership sale completions" dataDxfId="20">
      <calculatedColumnFormula>COUNTIF(CategorisedSaleKey,(AHPSharedOwnership&amp;$C4&amp;$D4))</calculatedColumnFormula>
    </tableColumn>
    <tableColumn id="37" xr3:uid="{716322E6-4F86-42E5-A63A-7A683FBE2655}" name="Affordable Home Ownership (AHO) (Non-AHP) - Shared equity sale completions" dataDxfId="19">
      <calculatedColumnFormula>COUNTIF(CategorisedSaleKey,(NonAHPSharedEquity&amp;$C4&amp;$D4))</calculatedColumnFormula>
    </tableColumn>
    <tableColumn id="38" xr3:uid="{873045B0-F809-4E72-89A9-1A30321115F9}" name="Affordable Home Ownership (AHO) (Non-AHP) - Intermediate rent sale completions" dataDxfId="18">
      <calculatedColumnFormula>COUNTIF(CategorisedSaleKey,(NonAHPIntermediateRent&amp;$C4&amp;$D4))</calculatedColumnFormula>
    </tableColumn>
    <tableColumn id="41" xr3:uid="{98DEE71F-2907-4755-909C-63F39353DE77}" name="Affordable Home Ownership (AHO) (Non-AHP) - Shared ownership sale completions" dataDxfId="17">
      <calculatedColumnFormula>COUNTIF(CategorisedSaleKey,(NonAHPSharedOwnership&amp;$C4&amp;$D4))</calculatedColumnFormula>
    </tableColumn>
    <tableColumn id="42" xr3:uid="{A320D966-4BEB-4BE9-9DEF-B93D62537BD3}" name="Other (include any social rent, LCHO and intermediate rent) sale completions" dataDxfId="16">
      <calculatedColumnFormula>COUNTIF(CategorisedSaleKey,(OtherTenure&amp;$C4&amp;$D4))</calculatedColumnFormula>
    </tableColumn>
    <tableColumn id="43" xr3:uid="{4F0D638F-067F-4EF3-922F-F94E37486B8A}" name="Sum of AH Sales Completions" dataDxfId="15">
      <calculatedColumnFormula>SUM($AI4:$AP4)</calculatedColumnFormula>
    </tableColumn>
    <tableColumn id="44" xr3:uid="{2752B715-A5A6-45FD-BDB9-87A6AD3B815B}" name="Total sale completions" dataDxfId="14">
      <calculatedColumnFormula>$AH4+$AQ4</calculatedColumnFormula>
    </tableColumn>
    <tableColumn id="45" xr3:uid="{632E6459-B97A-4CCF-9251-3D663D8A71DE}" name="Open market housing sales revenue" dataDxfId="13">
      <calculatedColumnFormula>SUMIF(CategorisedSaleKey,(OpenMarketHousing&amp;$C4&amp;$D4),ExpectedSales)</calculatedColumnFormula>
    </tableColumn>
    <tableColumn id="46" xr3:uid="{3D13576E-59A2-4A04-855F-FA14B85F0A91}" name="Affordable rent sales revenue" dataDxfId="12">
      <calculatedColumnFormula>SUMIF(CategorisedSaleKey,(AffordableRent&amp;$C4&amp;$D4),ExpectedSales)</calculatedColumnFormula>
    </tableColumn>
    <tableColumn id="47" xr3:uid="{6DC19840-C82D-453C-B597-2BE546EEB8AE}" name="Affordable Home Ownership (AHO) (AHP) - Shared equity sales revenue" dataDxfId="11">
      <calculatedColumnFormula>SUMIF(CategorisedSaleKey,(AHPSharedEquity&amp;$C4&amp;$D4),ExpectedSales)</calculatedColumnFormula>
    </tableColumn>
    <tableColumn id="48" xr3:uid="{21C4CC3C-9615-40AD-91D7-9B39D00E6423}" name="Affordable Home Ownership (AHO) (AHP) - Intermediate rent sales revenue" dataDxfId="10">
      <calculatedColumnFormula>SUMIF(CategorisedSaleKey,(AHPIntermediate&amp;$C4&amp;$D4),ExpectedSales)</calculatedColumnFormula>
    </tableColumn>
    <tableColumn id="49" xr3:uid="{9FF00852-058C-458C-812B-5ACBED5DC803}" name="Affordable Home Ownership (AHO) (AHP) - Shared ownership sales revenue" dataDxfId="9">
      <calculatedColumnFormula>SUMIF(CategorisedSaleKey,(AHPSharedOwnership&amp;$C4&amp;$D4),ExpectedSales)</calculatedColumnFormula>
    </tableColumn>
    <tableColumn id="50" xr3:uid="{ADE4D4AC-9C73-4C8F-A3FC-941B4CCB8C79}" name="Affordable Home Ownership (AHO) (Non-AHP) - Shared equity sales revenue" dataDxfId="8">
      <calculatedColumnFormula>SUMIF(CategorisedSaleKey,(NonAHPSharedEquity&amp;$C4&amp;$D4),ExpectedSales)</calculatedColumnFormula>
    </tableColumn>
    <tableColumn id="51" xr3:uid="{8F6A406F-BBE6-4829-91A4-E6C48C0E4852}" name="Affordable Home Ownership (AHO) (Non-AHP) - Intermediate rent sales revenue" dataDxfId="7">
      <calculatedColumnFormula>SUMIF(CategorisedSaleKey,(NonAHPIntermediateRent&amp;$C4&amp;$D4),ExpectedSales)</calculatedColumnFormula>
    </tableColumn>
    <tableColumn id="52" xr3:uid="{915FDA17-5D8E-4666-97EE-3FFE2851F661}" name="Affordable Home Ownership (AHO) (Non-AHP) - Shared ownership sales revenue" dataDxfId="6">
      <calculatedColumnFormula>SUMIF(CategorisedSaleKey,(NonAHPSharedOwnership&amp;$C4&amp;$D4),ExpectedSales)</calculatedColumnFormula>
    </tableColumn>
    <tableColumn id="53" xr3:uid="{86FE626A-8FEF-4680-8898-904A0B303BE3}" name="Other (include any social rent, LCHO and intermediate rent) sales revenue" dataDxfId="5">
      <calculatedColumnFormula>SUMIF(CategorisedSaleKey,(OtherTenure&amp;$C4&amp;$D4),ExpectedSales)</calculatedColumnFormula>
    </tableColumn>
    <tableColumn id="54" xr3:uid="{BEDDD471-F55C-46CC-882E-F7DAC0D4EC7B}" name="Sum of AH Sales Revenue" dataDxfId="4">
      <calculatedColumnFormula>SUM($AT4:$BA4)</calculatedColumnFormula>
    </tableColumn>
    <tableColumn id="55" xr3:uid="{8EDA71C5-AC3F-411A-B4BB-0FA427D3DF22}" name="Total sales revenue" dataDxfId="3">
      <calculatedColumnFormula>$BB4+$AS4</calculatedColumnFormula>
    </tableColumn>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3654BB-EAEC-4407-AFF9-26A12B41BB94}" name="FundingImport1" displayName="FundingImport1" ref="A4:N5" totalsRowShown="0" headerRowBorderDxfId="2">
  <autoFilter ref="A4:N5" xr:uid="{9E3654BB-EAEC-4407-AFF9-26A12B41BB9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F027FE63-FBEB-4E88-B6B1-C15DB06CD42F}" name="Import"/>
    <tableColumn id="2" xr3:uid="{421B0E06-F07D-4867-A78A-AD169CB2A3FF}" name="Equity Invested to Date">
      <calculatedColumnFormula>INDEX(FundingDetails[],MATCH(B$3,FundingQuestions,0),3)</calculatedColumnFormula>
    </tableColumn>
    <tableColumn id="3" xr3:uid="{E6ED47E9-F189-4F2C-B6D5-27B6F70D5F8A}" name="Equity Available to Invest in the Future">
      <calculatedColumnFormula>INDEX(FundingDetails[],MATCH(C$3,FundingQuestions,0),3)</calculatedColumnFormula>
    </tableColumn>
    <tableColumn id="10" xr3:uid="{215CBC58-3A11-4A45-BCEB-A241AFBBA481}" name="Equity Available Error Check">
      <calculatedColumnFormula>IF(INDEX(FundingDetails[],MATCH(D$3,FundingQuestions,0),4)="Enter the equity available",0,1)</calculatedColumnFormula>
    </tableColumn>
    <tableColumn id="4" xr3:uid="{EC79414B-FC57-477B-B7F6-9C73D9C9F327}" name="Current Land Value">
      <calculatedColumnFormula>INDEX(FundingDetails[],MATCH(E$3,FundingQuestions,0),3)</calculatedColumnFormula>
    </tableColumn>
    <tableColumn id="11" xr3:uid="{FD5DF91A-0366-4291-BAEC-F58AB7239C54}" name="Current Land Value Error Check">
      <calculatedColumnFormula>IF(INDEX(FundingDetails[],MATCH(F$3,FundingQuestions,0),4)="Enter the current land value",0,1)</calculatedColumnFormula>
    </tableColumn>
    <tableColumn id="5" xr3:uid="{A719F4A9-9BF1-4219-AB8E-E96A8AC9CAA1}" name="Non-HE Loans in Use">
      <calculatedColumnFormula>INDEX(FundingDetails[],MATCH(G$3,FundingQuestions,0),3)</calculatedColumnFormula>
    </tableColumn>
    <tableColumn id="14" xr3:uid="{BB7394FE-8EC8-4893-A934-F79F5D2DC0DE}" name="Non-HE Loans in Use Error Check">
      <calculatedColumnFormula>IF(G5=0,0,1)</calculatedColumnFormula>
    </tableColumn>
    <tableColumn id="9" xr3:uid="{0BBE7CC9-99B6-476C-8BCA-4511D568BC91}" name="Non-HE Loans in Use Category Code">
      <calculatedColumnFormula>IF(G5=0,"",INDEX(YesNoNA,MATCH(G5,YesNo,0),2))</calculatedColumnFormula>
    </tableColumn>
    <tableColumn id="6" xr3:uid="{92C8F97E-60BE-4636-B7C3-6688FE3F38F6}" name="Number of Other Loans">
      <calculatedColumnFormula>INDEX(FundingDetails[],MATCH(I$3,FundingQuestions,0),3)</calculatedColumnFormula>
    </tableColumn>
    <tableColumn id="13" xr3:uid="{E4D85D0F-DE34-488D-9C6E-43C9D186E9EC}" name="Number of Other Loans Error Check">
      <calculatedColumnFormula>IF(INDEX(FundingDetails[],MATCH(J$3,FundingQuestions,0),4)="Enter the number of other loans",0,1)</calculatedColumnFormula>
    </tableColumn>
    <tableColumn id="7" xr3:uid="{5A19C564-FDBE-4642-8665-E70DC9D7D359}" name="HE Loan to Repay Other Loans">
      <calculatedColumnFormula>INDEX(FundingDetails[],MATCH(K$3,FundingQuestions,0),3)</calculatedColumnFormula>
    </tableColumn>
    <tableColumn id="12" xr3:uid="{F97B5C67-5810-4902-A890-76F8F0E820EF}" name="HE Loan to Repay Other Loans Error Check">
      <calculatedColumnFormula>IF(L5=0,0,1)</calculatedColumnFormula>
    </tableColumn>
    <tableColumn id="8" xr3:uid="{0F9D5152-45C8-498A-A72C-A8A78B338AF8}" name="HE Loan to Repay Other Loans Category Code">
      <calculatedColumnFormula>IF(L5=0,"",INDEX(YesNoNA,MATCH(L5,YesNo,0),2))</calculatedColumnFormula>
    </tableColumn>
  </tableColumns>
  <tableStyleInfo name="Table Style 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CD3115F-1B74-4F25-8833-D010FCFF71CD}" name="FundingImport2" displayName="FundingImport2" ref="A8:H11" totalsRowShown="0" headerRowBorderDxfId="1">
  <autoFilter ref="A8:H11" xr:uid="{BCD3115F-1B74-4F25-8833-D010FCFF71C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F97EA8E-D65D-4D78-87BD-E91CDDF07852}" name="Import">
      <calculatedColumnFormula>IF(AND(NOT(ISBLANK(C9)),D9&gt;0),1,0)</calculatedColumnFormula>
    </tableColumn>
    <tableColumn id="2" xr3:uid="{1CA9F891-A897-4D3E-B054-6A5381AD6CA0}" name="Loan Number"/>
    <tableColumn id="3" xr3:uid="{358D0773-F9D1-41D4-8661-1FF040288AFC}" name="Name of the Lender"/>
    <tableColumn id="4" xr3:uid="{400EA9B1-521B-4D8F-B875-E842A78221D0}" name="Value of the Loan"/>
    <tableColumn id="5" xr3:uid="{6E2DFEE9-1AED-4554-80AD-4035C9ACBB26}" name="Plan to Repay the Loan"/>
    <tableColumn id="6" xr3:uid="{BE4B4DFA-A27B-4F21-AD1F-08311DAD3ED7}" name="Final Repayment Month"/>
    <tableColumn id="7" xr3:uid="{EB8AB8C4-7839-416C-B60C-0C6F91840B18}" name="Final Repayment Year"/>
    <tableColumn id="8" xr3:uid="{9AE85D3D-04AF-440B-A47F-5F91B2A468E5}" name="Final Repayment Date" dataDxfId="0">
      <calculatedColumnFormula>IF(OR(F9=0,G9=0),0,DATEVALUE(F9&amp;G9))</calculatedColumnFormula>
    </tableColumn>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publications/completing-your-homes-england-cashflow-spreadsheet" TargetMode="External"/><Relationship Id="rId1" Type="http://schemas.openxmlformats.org/officeDocument/2006/relationships/hyperlink" Target="https://www.gov.uk/government/publications/glossary-for-homes-england-cashflow"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gov.uk/government/publications/completing-your-homes-england-cashflow-spreadsheet" TargetMode="External"/><Relationship Id="rId1" Type="http://schemas.openxmlformats.org/officeDocument/2006/relationships/hyperlink" Target="https://www.gov.uk/government/publications/glossary-for-homes-england-cashflow"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gov.uk/government/publications/glossary-for-homes-england-cashflow" TargetMode="External"/><Relationship Id="rId1" Type="http://schemas.openxmlformats.org/officeDocument/2006/relationships/hyperlink" Target="https://www.gov.uk/government/publications/completing-your-homes-england-cashflow-spreadsheet" TargetMode="Externa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gov.uk/government/publications/glossary-for-homes-england-cashflow" TargetMode="External"/><Relationship Id="rId1" Type="http://schemas.openxmlformats.org/officeDocument/2006/relationships/hyperlink" Target="https://www.gov.uk/government/publications/completing-your-homes-england-cashflow-spreadsheet" TargetMode="Externa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7" Type="http://schemas.openxmlformats.org/officeDocument/2006/relationships/table" Target="../tables/table7.xml"/><Relationship Id="rId2" Type="http://schemas.openxmlformats.org/officeDocument/2006/relationships/hyperlink" Target="https://www.gov.uk/government/publications/glossary-for-homes-england-cashflow" TargetMode="External"/><Relationship Id="rId1" Type="http://schemas.openxmlformats.org/officeDocument/2006/relationships/hyperlink" Target="https://www.gov.uk/government/publications/completing-your-homes-england-cashflow-spreadsheet"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gov.uk/government/publications/completing-your-homes-england-cashflow-spreadsheet" TargetMode="External"/><Relationship Id="rId7" Type="http://schemas.openxmlformats.org/officeDocument/2006/relationships/table" Target="../tables/table10.xml"/><Relationship Id="rId2" Type="http://schemas.openxmlformats.org/officeDocument/2006/relationships/hyperlink" Target="https://www.gov.uk/government/publications/glossary-for-homes-england-cashflow" TargetMode="External"/><Relationship Id="rId1" Type="http://schemas.openxmlformats.org/officeDocument/2006/relationships/hyperlink" Target="https://www.gov.uk/government/publications/completing-your-homes-england-cashflow-spreadsheet" TargetMode="Externa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9.bin"/><Relationship Id="rId5" Type="http://schemas.openxmlformats.org/officeDocument/2006/relationships/table" Target="../tables/table16.xml"/><Relationship Id="rId4" Type="http://schemas.openxmlformats.org/officeDocument/2006/relationships/table" Target="../tables/table1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32FA3-4E8C-4DDF-8E16-6613B5666FDF}">
  <sheetPr codeName="Sheet1"/>
  <dimension ref="A1:B27"/>
  <sheetViews>
    <sheetView showGridLines="0" tabSelected="1" workbookViewId="0"/>
  </sheetViews>
  <sheetFormatPr defaultColWidth="11.453125" defaultRowHeight="14.5"/>
  <cols>
    <col min="1" max="1" width="80.1796875" customWidth="1"/>
    <col min="2" max="2" width="22.81640625" customWidth="1"/>
  </cols>
  <sheetData>
    <row r="1" spans="1:2" ht="37" customHeight="1" thickBot="1">
      <c r="A1" s="57" t="s">
        <v>0</v>
      </c>
      <c r="B1" s="87"/>
    </row>
    <row r="2" spans="1:2" ht="27" customHeight="1">
      <c r="A2" s="52" t="s">
        <v>1</v>
      </c>
      <c r="B2" s="87"/>
    </row>
    <row r="3" spans="1:2" ht="23.25" customHeight="1">
      <c r="A3" s="58" t="s">
        <v>2</v>
      </c>
      <c r="B3" s="87"/>
    </row>
    <row r="4" spans="1:2" ht="22" customHeight="1">
      <c r="A4" s="167" t="s">
        <v>3</v>
      </c>
      <c r="B4" s="87"/>
    </row>
    <row r="5" spans="1:2" ht="22" customHeight="1">
      <c r="A5" s="167" t="s">
        <v>4</v>
      </c>
      <c r="B5" s="87"/>
    </row>
    <row r="6" spans="1:2" ht="22" customHeight="1">
      <c r="A6" s="167" t="s">
        <v>5</v>
      </c>
      <c r="B6" s="87"/>
    </row>
    <row r="7" spans="1:2" ht="22" customHeight="1">
      <c r="A7" s="167" t="s">
        <v>6</v>
      </c>
      <c r="B7" s="87"/>
    </row>
    <row r="8" spans="1:2" ht="22" customHeight="1">
      <c r="A8" s="167" t="s">
        <v>7</v>
      </c>
      <c r="B8" s="87"/>
    </row>
    <row r="9" spans="1:2" ht="35.15" customHeight="1">
      <c r="A9" s="59" t="s">
        <v>8</v>
      </c>
      <c r="B9" s="114"/>
    </row>
    <row r="10" spans="1:2" ht="46.5">
      <c r="A10" s="88" t="s">
        <v>9</v>
      </c>
      <c r="B10" s="114"/>
    </row>
    <row r="11" spans="1:2" ht="29.15" customHeight="1">
      <c r="A11" s="59" t="s">
        <v>10</v>
      </c>
      <c r="B11" s="114"/>
    </row>
    <row r="12" spans="1:2" ht="130.5" customHeight="1">
      <c r="A12" s="88" t="s">
        <v>472</v>
      </c>
      <c r="B12" s="114"/>
    </row>
    <row r="13" spans="1:2" ht="33" customHeight="1">
      <c r="A13" s="59" t="s">
        <v>11</v>
      </c>
      <c r="B13" s="114"/>
    </row>
    <row r="14" spans="1:2" ht="54" customHeight="1">
      <c r="A14" s="88" t="s">
        <v>12</v>
      </c>
      <c r="B14" s="114"/>
    </row>
    <row r="15" spans="1:2" ht="20.25" customHeight="1">
      <c r="A15" s="90" t="s">
        <v>13</v>
      </c>
      <c r="B15" s="87"/>
    </row>
    <row r="16" spans="1:2" ht="20.25" customHeight="1">
      <c r="A16" s="90" t="s">
        <v>14</v>
      </c>
      <c r="B16" s="87"/>
    </row>
    <row r="17" spans="1:2" ht="32.15" customHeight="1">
      <c r="A17" s="59" t="s">
        <v>15</v>
      </c>
      <c r="B17" s="87"/>
    </row>
    <row r="18" spans="1:2" ht="31">
      <c r="A18" s="102" t="s">
        <v>16</v>
      </c>
      <c r="B18" s="87"/>
    </row>
    <row r="19" spans="1:2" ht="31" customHeight="1">
      <c r="A19" s="59" t="s">
        <v>17</v>
      </c>
      <c r="B19" s="87"/>
    </row>
    <row r="20" spans="1:2" ht="15.5">
      <c r="A20" s="114" t="s">
        <v>18</v>
      </c>
      <c r="B20" s="87"/>
    </row>
    <row r="21" spans="1:2" ht="36" customHeight="1">
      <c r="A21" s="59" t="s">
        <v>19</v>
      </c>
      <c r="B21" s="87"/>
    </row>
    <row r="22" spans="1:2" ht="15.5">
      <c r="A22" s="114" t="s">
        <v>20</v>
      </c>
      <c r="B22" s="87"/>
    </row>
    <row r="23" spans="1:2" ht="32.15" customHeight="1">
      <c r="A23" s="32"/>
    </row>
    <row r="24" spans="1:2" ht="15.5">
      <c r="A24" s="19"/>
      <c r="B24" s="22"/>
    </row>
    <row r="25" spans="1:2" ht="15.5">
      <c r="A25" s="20"/>
      <c r="B25" s="22"/>
    </row>
    <row r="26" spans="1:2" ht="15.5">
      <c r="A26" s="21"/>
      <c r="B26" s="23"/>
    </row>
    <row r="27" spans="1:2" ht="15.5">
      <c r="A27" s="20"/>
      <c r="B27" s="22"/>
    </row>
  </sheetData>
  <sheetProtection algorithmName="SHA-1" hashValue="sbBE2qSmF6ty0TktiBsVOHNmanU=" saltValue="OUSYptRwxjewPcKdlcmLyw==" spinCount="100000" sheet="1" objects="1" scenarios="1"/>
  <hyperlinks>
    <hyperlink ref="A4" location="'1_SetUp'!A1" display="1. Set up - complete this to set up your spreadsheet correctly" xr:uid="{4C425AE2-44F9-42EF-A0F5-15B1F79B608B}"/>
    <hyperlink ref="A5" location="'2_Homes'!A1" display="2. Homes" xr:uid="{B804E744-6EFC-4A8D-91BA-75881E417950}"/>
    <hyperlink ref="A6" location="'3_ProjectCosts'!A1" display="3. Project costs" xr:uid="{19CC9C42-661F-4C63-9C8F-EA6854060AD0}"/>
    <hyperlink ref="A7" location="'4_Funding'!A1" display="4. Funding" xr:uid="{83FFA7F9-603D-48B9-A9C6-CCAE272E1DBC}"/>
    <hyperlink ref="A8" location="FinancialSummary!A1" display="Financial summary - this summary will populate as you complete the spreadsheet" xr:uid="{D8B00AEC-F90E-435A-B8E7-C2A468B92677}"/>
    <hyperlink ref="A16" r:id="rId1" xr:uid="{ED38BCAD-1E7C-0843-A9D2-23A9A4CA6A02}"/>
    <hyperlink ref="A15" r:id="rId2" xr:uid="{9FD5215B-6459-9646-B086-AED38DF655EA}"/>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CDC78-BF9E-4AC6-8B93-0D6677F963FA}">
  <sheetPr codeName="Sheet2"/>
  <dimension ref="A1:F11"/>
  <sheetViews>
    <sheetView topLeftCell="A7" zoomScaleNormal="100" workbookViewId="0">
      <selection activeCell="C5" sqref="C5"/>
    </sheetView>
  </sheetViews>
  <sheetFormatPr defaultColWidth="11.453125" defaultRowHeight="15.5"/>
  <cols>
    <col min="1" max="1" width="37" style="30" customWidth="1"/>
    <col min="2" max="2" width="24.26953125" style="30" customWidth="1"/>
    <col min="3" max="3" width="42.1796875" style="30" customWidth="1"/>
    <col min="4" max="4" width="35.1796875" style="30" bestFit="1" customWidth="1"/>
    <col min="5" max="5" width="11.453125" style="30"/>
    <col min="6" max="6" width="26.453125" style="31" customWidth="1"/>
    <col min="7" max="16384" width="11.453125" style="30"/>
  </cols>
  <sheetData>
    <row r="1" spans="1:6" ht="52" customHeight="1">
      <c r="A1" s="66" t="s">
        <v>21</v>
      </c>
      <c r="B1" s="91" t="s">
        <v>22</v>
      </c>
      <c r="C1" s="91" t="s">
        <v>23</v>
      </c>
    </row>
    <row r="2" spans="1:6" s="31" customFormat="1" ht="184" customHeight="1">
      <c r="A2" s="67" t="s">
        <v>24</v>
      </c>
      <c r="B2" s="115"/>
    </row>
    <row r="3" spans="1:6" ht="37" customHeight="1">
      <c r="A3" s="65" t="s">
        <v>25</v>
      </c>
      <c r="B3" s="65" t="s">
        <v>40</v>
      </c>
      <c r="C3" s="116"/>
      <c r="D3" s="116"/>
    </row>
    <row r="4" spans="1:6" ht="54" customHeight="1">
      <c r="A4" s="60" t="s">
        <v>26</v>
      </c>
      <c r="B4" s="61" t="s">
        <v>27</v>
      </c>
      <c r="C4" s="100" t="s">
        <v>28</v>
      </c>
      <c r="D4" s="38"/>
    </row>
    <row r="5" spans="1:6" ht="32.25" customHeight="1">
      <c r="A5" s="47" t="s">
        <v>29</v>
      </c>
      <c r="B5" s="39"/>
      <c r="C5" s="166" t="s">
        <v>30</v>
      </c>
    </row>
    <row r="6" spans="1:6" ht="31">
      <c r="A6" s="47" t="s">
        <v>31</v>
      </c>
      <c r="B6" s="203"/>
      <c r="C6" s="166" t="str">
        <f>IF(ISBLANK(StartDateMonth),"Enter the project start date month","No error")</f>
        <v>Enter the project start date month</v>
      </c>
    </row>
    <row r="7" spans="1:6" ht="31">
      <c r="A7" s="47" t="s">
        <v>33</v>
      </c>
      <c r="B7" s="165"/>
      <c r="C7" s="166" t="str">
        <f>IF(ISBLANK(StartDateYear),"Enter the project start date year","No error")</f>
        <v>Enter the project start date year</v>
      </c>
      <c r="F7" s="164"/>
    </row>
    <row r="8" spans="1:6" ht="48" customHeight="1">
      <c r="A8" s="47" t="s">
        <v>34</v>
      </c>
      <c r="B8" s="40"/>
      <c r="C8" s="166" t="str" cm="1">
        <f t="array" ref="C8">_xlfn.IFS(ISBLANK($B$8),"Enter the project duration including sales",ISNUMBER($B$8)=FALSE,"Enter the project duration as a number",$B$8&lt;4,"The project duration must be longer than three months", $B$8&gt;123, "The project duration must be less than 124 months, get in touch with your Homes England contact if this is not the case",TRUE,"No error")</f>
        <v>Enter the project duration including sales</v>
      </c>
    </row>
    <row r="9" spans="1:6" ht="48" customHeight="1">
      <c r="A9" s="47" t="s">
        <v>35</v>
      </c>
      <c r="B9" s="204" t="str">
        <f>IF(OR(ISBLANK($B$8),ISBLANK($B$6),ISBLANK($B$7),NOT(ISNUMBER($B$8))),"",TEXT(EDATE($B$6&amp;"-"&amp;$B$7,$B$8-1),"mmmm"))</f>
        <v/>
      </c>
      <c r="C9" s="166" t="s">
        <v>30</v>
      </c>
    </row>
    <row r="10" spans="1:6" ht="48" customHeight="1">
      <c r="A10" s="47" t="s">
        <v>36</v>
      </c>
      <c r="B10" s="204" t="str">
        <f>IF(OR(ISBLANK($B$8),ISBLANK($B$6),ISBLANK($B$7),NOT(ISNUMBER($B$8))),"",TEXT(EDATE($B$6&amp;"-"&amp;$B$7,$B$8-1),"yyyy"))</f>
        <v/>
      </c>
      <c r="C10" s="166" t="s">
        <v>30</v>
      </c>
    </row>
    <row r="11" spans="1:6" ht="36.75" customHeight="1">
      <c r="A11" s="47" t="s">
        <v>37</v>
      </c>
      <c r="B11" s="40"/>
      <c r="C11" s="166" t="str">
        <f>IF(ISBLANK($B$11),"No error",IF($B$11&lt;5, "You must be developing at least five homes","No error"))</f>
        <v>No error</v>
      </c>
    </row>
  </sheetData>
  <sheetProtection sheet="1" formatCells="0" formatColumns="0"/>
  <conditionalFormatting sqref="C5:C11">
    <cfRule type="cellIs" dxfId="345" priority="1" operator="equal">
      <formula>"No error"</formula>
    </cfRule>
  </conditionalFormatting>
  <dataValidations count="4">
    <dataValidation type="list" operator="greaterThanOrEqual" allowBlank="1" showInputMessage="1" showErrorMessage="1" sqref="B6" xr:uid="{E60EE91F-CB06-4B47-854C-84FBF04C125C}">
      <formula1>Months</formula1>
    </dataValidation>
    <dataValidation operator="lessThan" allowBlank="1" showInputMessage="1" showErrorMessage="1" sqref="B11" xr:uid="{D1F62BF6-5226-43AE-BA2B-EDD890257EA5}"/>
    <dataValidation type="list" allowBlank="1" showInputMessage="1" showErrorMessage="1" sqref="B7" xr:uid="{A29F7628-1C23-46AD-A70B-66F20BCF5833}">
      <formula1>ProjectStartYears</formula1>
    </dataValidation>
    <dataValidation type="list" operator="greaterThanOrEqual" allowBlank="1" showInputMessage="1" showErrorMessage="1" sqref="B7" xr:uid="{9F15DA9A-B4FD-4D76-9A77-E6B3E67F41B1}">
      <formula1>Years</formula1>
    </dataValidation>
  </dataValidations>
  <hyperlinks>
    <hyperlink ref="A3" location="CoverSheet!A1" display="Back to cover sheet" xr:uid="{9746F0E2-D6F6-428D-BDF6-BDBC8044B9DF}"/>
    <hyperlink ref="B1" r:id="rId1" xr:uid="{6CFDA9EF-273D-C345-857E-F4A374F25D74}"/>
    <hyperlink ref="C1" r:id="rId2" xr:uid="{04C44FB1-A81E-1441-812F-13504307C94E}"/>
    <hyperlink ref="B3" location="'2_Homes'!A1" display="Back to cover sheet" xr:uid="{34971BAD-56DE-4A0B-81C4-FCA77BDA2984}"/>
  </hyperlinks>
  <pageMargins left="0.7" right="0.7" top="0.75" bottom="0.75" header="0.3" footer="0.3"/>
  <pageSetup paperSize="9" orientation="portrait"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75406-B8D9-44CF-8E49-BE40CD0BBD88}">
  <sheetPr codeName="Sheet4"/>
  <dimension ref="A1:V604"/>
  <sheetViews>
    <sheetView zoomScaleNormal="100" workbookViewId="0"/>
  </sheetViews>
  <sheetFormatPr defaultColWidth="8.81640625" defaultRowHeight="15" customHeight="1"/>
  <cols>
    <col min="1" max="1" width="19.453125" style="153" customWidth="1"/>
    <col min="2" max="2" width="26" style="153" customWidth="1"/>
    <col min="3" max="3" width="25.453125" style="153" customWidth="1"/>
    <col min="4" max="4" width="21.81640625" style="153" customWidth="1"/>
    <col min="5" max="5" width="52.26953125" style="153" customWidth="1"/>
    <col min="6" max="6" width="23.453125" style="153" customWidth="1"/>
    <col min="7" max="7" width="23.1796875" style="153" customWidth="1"/>
    <col min="8" max="8" width="14" style="153" customWidth="1"/>
    <col min="9" max="9" width="18.453125" style="153" customWidth="1"/>
    <col min="10" max="10" width="20.1796875" style="155" customWidth="1"/>
    <col min="11" max="11" width="19.453125" style="156" customWidth="1"/>
    <col min="12" max="12" width="20.1796875" style="155" customWidth="1"/>
    <col min="13" max="13" width="17.1796875" style="153" customWidth="1"/>
    <col min="14" max="14" width="50.81640625" style="157" customWidth="1"/>
    <col min="15" max="15" width="24.453125" style="153" customWidth="1"/>
    <col min="16" max="16" width="19.453125" style="153" bestFit="1" customWidth="1"/>
    <col min="17" max="17" width="25.453125" style="153" bestFit="1" customWidth="1"/>
    <col min="18" max="18" width="77.453125" style="153" bestFit="1" customWidth="1"/>
    <col min="19" max="19" width="25.453125" style="153" customWidth="1"/>
    <col min="20" max="20" width="53" style="153" customWidth="1"/>
    <col min="21" max="21" width="16.453125" style="153" bestFit="1" customWidth="1"/>
    <col min="22" max="16384" width="8.81640625" style="153"/>
  </cols>
  <sheetData>
    <row r="1" spans="1:22" s="139" customFormat="1" ht="51" customHeight="1">
      <c r="A1" s="48" t="s">
        <v>38</v>
      </c>
      <c r="B1" s="91" t="s">
        <v>22</v>
      </c>
      <c r="C1" s="91" t="s">
        <v>23</v>
      </c>
      <c r="J1" s="140"/>
      <c r="K1" s="141"/>
      <c r="L1" s="140"/>
      <c r="N1" s="142"/>
    </row>
    <row r="2" spans="1:22" s="143" customFormat="1" ht="118" customHeight="1">
      <c r="A2" s="62" t="s">
        <v>39</v>
      </c>
      <c r="J2" s="144"/>
      <c r="K2" s="145"/>
      <c r="L2" s="144"/>
      <c r="N2" s="146"/>
    </row>
    <row r="3" spans="1:22" s="147" customFormat="1" ht="37" customHeight="1">
      <c r="A3" s="68" t="s">
        <v>25</v>
      </c>
      <c r="B3" s="168" t="s">
        <v>40</v>
      </c>
      <c r="J3" s="148"/>
      <c r="K3" s="149"/>
      <c r="L3" s="148"/>
      <c r="N3" s="150"/>
    </row>
    <row r="4" spans="1:22" s="151" customFormat="1" ht="85" customHeight="1">
      <c r="A4" s="69" t="s">
        <v>41</v>
      </c>
      <c r="B4" s="70" t="s">
        <v>42</v>
      </c>
      <c r="C4" s="70" t="s">
        <v>43</v>
      </c>
      <c r="D4" s="70" t="s">
        <v>44</v>
      </c>
      <c r="E4" s="70" t="s">
        <v>45</v>
      </c>
      <c r="F4" s="70" t="s">
        <v>46</v>
      </c>
      <c r="G4" s="70" t="s">
        <v>47</v>
      </c>
      <c r="H4" s="70" t="s">
        <v>48</v>
      </c>
      <c r="I4" s="70" t="s">
        <v>49</v>
      </c>
      <c r="J4" s="63" t="s">
        <v>50</v>
      </c>
      <c r="K4" s="63" t="s">
        <v>51</v>
      </c>
      <c r="L4" s="63" t="s">
        <v>52</v>
      </c>
      <c r="M4" s="63" t="s">
        <v>53</v>
      </c>
      <c r="N4" s="96" t="s">
        <v>28</v>
      </c>
    </row>
    <row r="5" spans="1:22" ht="40" customHeight="1">
      <c r="A5" s="158">
        <v>1</v>
      </c>
      <c r="B5" s="93"/>
      <c r="C5" s="94"/>
      <c r="D5" s="94"/>
      <c r="E5" s="93" t="s">
        <v>55</v>
      </c>
      <c r="F5" s="93" t="s">
        <v>56</v>
      </c>
      <c r="G5" s="93"/>
      <c r="H5" s="95"/>
      <c r="I5" s="93"/>
      <c r="J5" s="93"/>
      <c r="K5" s="93"/>
      <c r="L5" s="93"/>
      <c r="M5" s="92"/>
      <c r="N5" s="152" t="str">
        <f ca="1">INDEX(ErrorCheck,MATCH($A5,ErrorCheckPlotNumber,0),MATCH(N$4,ErrorCheckTitle,0))</f>
        <v>Enter the number of homes on the 1_SetUp sheet</v>
      </c>
    </row>
    <row r="6" spans="1:22" ht="40" customHeight="1">
      <c r="A6" s="158">
        <v>2</v>
      </c>
      <c r="B6" s="93"/>
      <c r="C6" s="94"/>
      <c r="D6" s="94"/>
      <c r="E6" s="93" t="s">
        <v>55</v>
      </c>
      <c r="F6" s="93" t="s">
        <v>56</v>
      </c>
      <c r="G6" s="93"/>
      <c r="H6" s="95"/>
      <c r="I6" s="93"/>
      <c r="J6" s="93"/>
      <c r="K6" s="93"/>
      <c r="L6" s="93"/>
      <c r="M6" s="92"/>
      <c r="N6" s="152" t="str">
        <f t="shared" ref="N6:N68" ca="1" si="0">INDEX(ErrorCheck,MATCH($A6,ErrorCheckPlotNumber,0),MATCH(N$4,ErrorCheckTitle,0))</f>
        <v>Enter the number of homes on the 1_SetUp sheet</v>
      </c>
    </row>
    <row r="7" spans="1:22" ht="40" customHeight="1">
      <c r="A7" s="158">
        <v>3</v>
      </c>
      <c r="B7" s="93"/>
      <c r="C7" s="94"/>
      <c r="D7" s="94"/>
      <c r="E7" s="93" t="s">
        <v>55</v>
      </c>
      <c r="F7" s="93" t="s">
        <v>56</v>
      </c>
      <c r="G7" s="93"/>
      <c r="H7" s="95"/>
      <c r="I7" s="93"/>
      <c r="J7" s="93"/>
      <c r="K7" s="93"/>
      <c r="L7" s="93"/>
      <c r="M7" s="92"/>
      <c r="N7" s="152" t="str">
        <f t="shared" ca="1" si="0"/>
        <v>Enter the number of homes on the 1_SetUp sheet</v>
      </c>
    </row>
    <row r="8" spans="1:22" ht="40" customHeight="1">
      <c r="A8" s="158">
        <v>4</v>
      </c>
      <c r="B8" s="93"/>
      <c r="C8" s="94"/>
      <c r="D8" s="94"/>
      <c r="E8" s="93" t="s">
        <v>55</v>
      </c>
      <c r="F8" s="93" t="s">
        <v>56</v>
      </c>
      <c r="G8" s="93"/>
      <c r="H8" s="95"/>
      <c r="I8" s="93"/>
      <c r="J8" s="93"/>
      <c r="K8" s="93"/>
      <c r="L8" s="93"/>
      <c r="M8" s="92"/>
      <c r="N8" s="152" t="str">
        <f t="shared" ca="1" si="0"/>
        <v>Enter the number of homes on the 1_SetUp sheet</v>
      </c>
    </row>
    <row r="9" spans="1:22" ht="40" customHeight="1">
      <c r="A9" s="158">
        <v>5</v>
      </c>
      <c r="B9" s="93"/>
      <c r="C9" s="94"/>
      <c r="D9" s="94"/>
      <c r="E9" s="93" t="s">
        <v>55</v>
      </c>
      <c r="F9" s="93" t="s">
        <v>56</v>
      </c>
      <c r="G9" s="93"/>
      <c r="H9" s="95"/>
      <c r="I9" s="93"/>
      <c r="J9" s="93"/>
      <c r="K9" s="93"/>
      <c r="L9" s="93"/>
      <c r="M9" s="92"/>
      <c r="N9" s="152" t="str">
        <f t="shared" ca="1" si="0"/>
        <v>Enter the number of homes on the 1_SetUp sheet</v>
      </c>
    </row>
    <row r="10" spans="1:22" ht="40" customHeight="1">
      <c r="A10" s="158">
        <v>6</v>
      </c>
      <c r="B10" s="93"/>
      <c r="C10" s="94"/>
      <c r="D10" s="94"/>
      <c r="E10" s="93" t="s">
        <v>55</v>
      </c>
      <c r="F10" s="93" t="s">
        <v>56</v>
      </c>
      <c r="G10" s="93"/>
      <c r="H10" s="95"/>
      <c r="I10" s="93"/>
      <c r="J10" s="93"/>
      <c r="K10" s="93"/>
      <c r="L10" s="93"/>
      <c r="M10" s="92"/>
      <c r="N10" s="152" t="str">
        <f t="shared" ca="1" si="0"/>
        <v>Enter the number of homes on the 1_SetUp sheet</v>
      </c>
    </row>
    <row r="11" spans="1:22" ht="40" customHeight="1">
      <c r="A11" s="158">
        <v>7</v>
      </c>
      <c r="B11" s="93"/>
      <c r="C11" s="94"/>
      <c r="D11" s="94"/>
      <c r="E11" s="93" t="s">
        <v>55</v>
      </c>
      <c r="F11" s="93" t="s">
        <v>56</v>
      </c>
      <c r="G11" s="93"/>
      <c r="H11" s="95"/>
      <c r="I11" s="93"/>
      <c r="J11" s="93"/>
      <c r="K11" s="93"/>
      <c r="L11" s="93"/>
      <c r="M11" s="92"/>
      <c r="N11" s="152" t="str">
        <f t="shared" ca="1" si="0"/>
        <v>Enter the number of homes on the 1_SetUp sheet</v>
      </c>
      <c r="V11" s="151"/>
    </row>
    <row r="12" spans="1:22" ht="40" customHeight="1">
      <c r="A12" s="158">
        <v>8</v>
      </c>
      <c r="B12" s="93"/>
      <c r="C12" s="94"/>
      <c r="D12" s="94"/>
      <c r="E12" s="93" t="s">
        <v>55</v>
      </c>
      <c r="F12" s="93" t="s">
        <v>56</v>
      </c>
      <c r="G12" s="93"/>
      <c r="H12" s="95"/>
      <c r="I12" s="93"/>
      <c r="J12" s="93"/>
      <c r="K12" s="93"/>
      <c r="L12" s="93"/>
      <c r="M12" s="92"/>
      <c r="N12" s="152" t="str">
        <f t="shared" ca="1" si="0"/>
        <v>Enter the number of homes on the 1_SetUp sheet</v>
      </c>
    </row>
    <row r="13" spans="1:22" ht="40" customHeight="1">
      <c r="A13" s="158">
        <v>9</v>
      </c>
      <c r="B13" s="93"/>
      <c r="C13" s="94"/>
      <c r="D13" s="94"/>
      <c r="E13" s="93" t="s">
        <v>55</v>
      </c>
      <c r="F13" s="93" t="s">
        <v>56</v>
      </c>
      <c r="G13" s="93"/>
      <c r="H13" s="95"/>
      <c r="I13" s="93"/>
      <c r="J13" s="93"/>
      <c r="K13" s="93"/>
      <c r="L13" s="93"/>
      <c r="M13" s="92"/>
      <c r="N13" s="152" t="str">
        <f t="shared" ca="1" si="0"/>
        <v>Enter the number of homes on the 1_SetUp sheet</v>
      </c>
    </row>
    <row r="14" spans="1:22" ht="40" customHeight="1">
      <c r="A14" s="158">
        <v>10</v>
      </c>
      <c r="B14" s="93"/>
      <c r="C14" s="94"/>
      <c r="D14" s="94"/>
      <c r="E14" s="93" t="s">
        <v>55</v>
      </c>
      <c r="F14" s="93" t="s">
        <v>56</v>
      </c>
      <c r="G14" s="93"/>
      <c r="H14" s="95"/>
      <c r="I14" s="93"/>
      <c r="J14" s="93"/>
      <c r="K14" s="93"/>
      <c r="L14" s="93"/>
      <c r="M14" s="92"/>
      <c r="N14" s="152" t="str">
        <f t="shared" ca="1" si="0"/>
        <v>Enter the number of homes on the 1_SetUp sheet</v>
      </c>
    </row>
    <row r="15" spans="1:22" ht="40" customHeight="1">
      <c r="A15" s="158">
        <v>11</v>
      </c>
      <c r="B15" s="93"/>
      <c r="C15" s="94"/>
      <c r="D15" s="94"/>
      <c r="E15" s="93" t="s">
        <v>55</v>
      </c>
      <c r="F15" s="93" t="s">
        <v>56</v>
      </c>
      <c r="G15" s="93"/>
      <c r="H15" s="95"/>
      <c r="I15" s="93"/>
      <c r="J15" s="93"/>
      <c r="K15" s="93"/>
      <c r="L15" s="179"/>
      <c r="M15" s="92"/>
      <c r="N15" s="152" t="str">
        <f t="shared" ca="1" si="0"/>
        <v>Enter the number of homes on the 1_SetUp sheet</v>
      </c>
    </row>
    <row r="16" spans="1:22" ht="40" customHeight="1">
      <c r="A16" s="158">
        <v>12</v>
      </c>
      <c r="B16" s="93"/>
      <c r="C16" s="94"/>
      <c r="D16" s="94"/>
      <c r="E16" s="93" t="s">
        <v>55</v>
      </c>
      <c r="F16" s="93" t="s">
        <v>56</v>
      </c>
      <c r="G16" s="93"/>
      <c r="H16" s="95"/>
      <c r="I16" s="93"/>
      <c r="J16" s="93"/>
      <c r="K16" s="93"/>
      <c r="L16" s="179"/>
      <c r="M16" s="92"/>
      <c r="N16" s="152" t="str">
        <f t="shared" ca="1" si="0"/>
        <v>Enter the number of homes on the 1_SetUp sheet</v>
      </c>
    </row>
    <row r="17" spans="1:18" ht="40" customHeight="1">
      <c r="A17" s="158">
        <v>13</v>
      </c>
      <c r="B17" s="93"/>
      <c r="C17" s="94"/>
      <c r="D17" s="94"/>
      <c r="E17" s="93" t="s">
        <v>55</v>
      </c>
      <c r="F17" s="93" t="s">
        <v>56</v>
      </c>
      <c r="G17" s="93"/>
      <c r="H17" s="95"/>
      <c r="I17" s="93"/>
      <c r="J17" s="93"/>
      <c r="K17" s="93"/>
      <c r="L17" s="179"/>
      <c r="M17" s="92"/>
      <c r="N17" s="152" t="str">
        <f t="shared" ca="1" si="0"/>
        <v>Enter the number of homes on the 1_SetUp sheet</v>
      </c>
      <c r="R17" s="154"/>
    </row>
    <row r="18" spans="1:18" ht="40" customHeight="1">
      <c r="A18" s="158">
        <v>14</v>
      </c>
      <c r="B18" s="93"/>
      <c r="C18" s="94"/>
      <c r="D18" s="94"/>
      <c r="E18" s="93" t="s">
        <v>55</v>
      </c>
      <c r="F18" s="93" t="s">
        <v>56</v>
      </c>
      <c r="G18" s="93"/>
      <c r="H18" s="95"/>
      <c r="I18" s="93"/>
      <c r="J18" s="93"/>
      <c r="K18" s="93"/>
      <c r="L18" s="179"/>
      <c r="M18" s="92"/>
      <c r="N18" s="152" t="str">
        <f t="shared" ca="1" si="0"/>
        <v>Enter the number of homes on the 1_SetUp sheet</v>
      </c>
    </row>
    <row r="19" spans="1:18" ht="40" customHeight="1">
      <c r="A19" s="158">
        <v>15</v>
      </c>
      <c r="B19" s="93"/>
      <c r="C19" s="94"/>
      <c r="D19" s="94"/>
      <c r="E19" s="93" t="s">
        <v>55</v>
      </c>
      <c r="F19" s="93" t="s">
        <v>56</v>
      </c>
      <c r="G19" s="93"/>
      <c r="H19" s="95"/>
      <c r="I19" s="93"/>
      <c r="J19" s="93"/>
      <c r="K19" s="93"/>
      <c r="L19" s="179"/>
      <c r="M19" s="92"/>
      <c r="N19" s="152" t="str">
        <f t="shared" ca="1" si="0"/>
        <v>Enter the number of homes on the 1_SetUp sheet</v>
      </c>
    </row>
    <row r="20" spans="1:18" ht="40" customHeight="1">
      <c r="A20" s="158">
        <v>16</v>
      </c>
      <c r="B20" s="93"/>
      <c r="C20" s="94"/>
      <c r="D20" s="94"/>
      <c r="E20" s="93" t="s">
        <v>55</v>
      </c>
      <c r="F20" s="93" t="s">
        <v>56</v>
      </c>
      <c r="G20" s="93"/>
      <c r="H20" s="95"/>
      <c r="I20" s="93"/>
      <c r="J20" s="93"/>
      <c r="K20" s="93"/>
      <c r="L20" s="179"/>
      <c r="M20" s="92"/>
      <c r="N20" s="152" t="str">
        <f t="shared" ca="1" si="0"/>
        <v>Enter the number of homes on the 1_SetUp sheet</v>
      </c>
    </row>
    <row r="21" spans="1:18" ht="40" customHeight="1">
      <c r="A21" s="158">
        <v>17</v>
      </c>
      <c r="B21" s="93"/>
      <c r="C21" s="94"/>
      <c r="D21" s="94"/>
      <c r="E21" s="93" t="s">
        <v>55</v>
      </c>
      <c r="F21" s="93" t="s">
        <v>56</v>
      </c>
      <c r="G21" s="93"/>
      <c r="H21" s="95"/>
      <c r="I21" s="93"/>
      <c r="J21" s="93"/>
      <c r="K21" s="93"/>
      <c r="L21" s="179"/>
      <c r="M21" s="92"/>
      <c r="N21" s="152" t="str">
        <f t="shared" ca="1" si="0"/>
        <v>Enter the number of homes on the 1_SetUp sheet</v>
      </c>
    </row>
    <row r="22" spans="1:18" ht="40" customHeight="1">
      <c r="A22" s="158">
        <v>18</v>
      </c>
      <c r="B22" s="93"/>
      <c r="C22" s="94"/>
      <c r="D22" s="94"/>
      <c r="E22" s="93" t="s">
        <v>55</v>
      </c>
      <c r="F22" s="93" t="s">
        <v>56</v>
      </c>
      <c r="G22" s="93"/>
      <c r="H22" s="95"/>
      <c r="I22" s="93"/>
      <c r="J22" s="93"/>
      <c r="K22" s="93"/>
      <c r="L22" s="179"/>
      <c r="M22" s="92"/>
      <c r="N22" s="152" t="str">
        <f t="shared" ca="1" si="0"/>
        <v>Enter the number of homes on the 1_SetUp sheet</v>
      </c>
    </row>
    <row r="23" spans="1:18" ht="40" customHeight="1">
      <c r="A23" s="158">
        <v>19</v>
      </c>
      <c r="B23" s="93"/>
      <c r="C23" s="94"/>
      <c r="D23" s="94"/>
      <c r="E23" s="93" t="s">
        <v>55</v>
      </c>
      <c r="F23" s="93" t="s">
        <v>56</v>
      </c>
      <c r="G23" s="93"/>
      <c r="H23" s="95"/>
      <c r="I23" s="93"/>
      <c r="J23" s="93"/>
      <c r="K23" s="93"/>
      <c r="L23" s="179"/>
      <c r="M23" s="92"/>
      <c r="N23" s="152" t="str">
        <f t="shared" ca="1" si="0"/>
        <v>Enter the number of homes on the 1_SetUp sheet</v>
      </c>
    </row>
    <row r="24" spans="1:18" ht="40" customHeight="1">
      <c r="A24" s="158">
        <v>20</v>
      </c>
      <c r="B24" s="93"/>
      <c r="C24" s="94"/>
      <c r="D24" s="94"/>
      <c r="E24" s="93" t="s">
        <v>55</v>
      </c>
      <c r="F24" s="93" t="s">
        <v>56</v>
      </c>
      <c r="G24" s="93"/>
      <c r="H24" s="95"/>
      <c r="I24" s="93"/>
      <c r="J24" s="93"/>
      <c r="K24" s="93"/>
      <c r="L24" s="179"/>
      <c r="M24" s="92"/>
      <c r="N24" s="152" t="str">
        <f t="shared" ca="1" si="0"/>
        <v>Enter the number of homes on the 1_SetUp sheet</v>
      </c>
    </row>
    <row r="25" spans="1:18" ht="15.5">
      <c r="A25" s="158">
        <v>21</v>
      </c>
      <c r="B25" s="93"/>
      <c r="C25" s="94"/>
      <c r="D25" s="94"/>
      <c r="E25" s="93" t="s">
        <v>55</v>
      </c>
      <c r="F25" s="93" t="s">
        <v>56</v>
      </c>
      <c r="G25" s="93"/>
      <c r="H25" s="95"/>
      <c r="I25" s="93"/>
      <c r="J25" s="93"/>
      <c r="K25" s="93"/>
      <c r="L25" s="179"/>
      <c r="M25" s="92"/>
      <c r="N25" s="152" t="str">
        <f t="shared" ca="1" si="0"/>
        <v>Enter the number of homes on the 1_SetUp sheet</v>
      </c>
    </row>
    <row r="26" spans="1:18" ht="15.5">
      <c r="A26" s="158">
        <v>22</v>
      </c>
      <c r="B26" s="93"/>
      <c r="C26" s="94"/>
      <c r="D26" s="94"/>
      <c r="E26" s="93" t="s">
        <v>55</v>
      </c>
      <c r="F26" s="93" t="s">
        <v>56</v>
      </c>
      <c r="G26" s="93"/>
      <c r="H26" s="95"/>
      <c r="I26" s="93"/>
      <c r="J26" s="93"/>
      <c r="K26" s="93"/>
      <c r="L26" s="179"/>
      <c r="M26" s="92"/>
      <c r="N26" s="152" t="str">
        <f t="shared" ca="1" si="0"/>
        <v>Enter the number of homes on the 1_SetUp sheet</v>
      </c>
    </row>
    <row r="27" spans="1:18" ht="15.5">
      <c r="A27" s="158">
        <v>23</v>
      </c>
      <c r="B27" s="93"/>
      <c r="C27" s="94"/>
      <c r="D27" s="94"/>
      <c r="E27" s="93" t="s">
        <v>55</v>
      </c>
      <c r="F27" s="93" t="s">
        <v>56</v>
      </c>
      <c r="G27" s="93"/>
      <c r="H27" s="95"/>
      <c r="I27" s="93"/>
      <c r="J27" s="93"/>
      <c r="K27" s="93"/>
      <c r="L27" s="179"/>
      <c r="M27" s="92"/>
      <c r="N27" s="152" t="str">
        <f t="shared" ca="1" si="0"/>
        <v>Enter the number of homes on the 1_SetUp sheet</v>
      </c>
    </row>
    <row r="28" spans="1:18" ht="15.5">
      <c r="A28" s="158">
        <v>24</v>
      </c>
      <c r="B28" s="93"/>
      <c r="C28" s="94"/>
      <c r="D28" s="94"/>
      <c r="E28" s="93" t="s">
        <v>55</v>
      </c>
      <c r="F28" s="93" t="s">
        <v>56</v>
      </c>
      <c r="G28" s="93"/>
      <c r="H28" s="95"/>
      <c r="I28" s="93"/>
      <c r="J28" s="93"/>
      <c r="K28" s="93"/>
      <c r="L28" s="179"/>
      <c r="M28" s="92"/>
      <c r="N28" s="152" t="str">
        <f t="shared" ca="1" si="0"/>
        <v>Enter the number of homes on the 1_SetUp sheet</v>
      </c>
    </row>
    <row r="29" spans="1:18" ht="15.5">
      <c r="A29" s="158">
        <v>25</v>
      </c>
      <c r="B29" s="93"/>
      <c r="C29" s="94"/>
      <c r="D29" s="94"/>
      <c r="E29" s="93" t="s">
        <v>55</v>
      </c>
      <c r="F29" s="93" t="s">
        <v>56</v>
      </c>
      <c r="G29" s="93"/>
      <c r="H29" s="95"/>
      <c r="I29" s="93"/>
      <c r="J29" s="93"/>
      <c r="K29" s="93"/>
      <c r="L29" s="179"/>
      <c r="M29" s="92"/>
      <c r="N29" s="152" t="str">
        <f t="shared" ca="1" si="0"/>
        <v>Enter the number of homes on the 1_SetUp sheet</v>
      </c>
    </row>
    <row r="30" spans="1:18" ht="15.5">
      <c r="A30" s="158">
        <v>26</v>
      </c>
      <c r="B30" s="93"/>
      <c r="C30" s="94"/>
      <c r="D30" s="94"/>
      <c r="E30" s="93" t="s">
        <v>55</v>
      </c>
      <c r="F30" s="93" t="s">
        <v>56</v>
      </c>
      <c r="G30" s="93"/>
      <c r="H30" s="95"/>
      <c r="I30" s="93"/>
      <c r="J30" s="93"/>
      <c r="K30" s="93"/>
      <c r="L30" s="179"/>
      <c r="M30" s="92"/>
      <c r="N30" s="152" t="str">
        <f t="shared" ca="1" si="0"/>
        <v>Enter the number of homes on the 1_SetUp sheet</v>
      </c>
    </row>
    <row r="31" spans="1:18" ht="15.5">
      <c r="A31" s="158">
        <v>27</v>
      </c>
      <c r="B31" s="93"/>
      <c r="C31" s="94"/>
      <c r="D31" s="94"/>
      <c r="E31" s="93" t="s">
        <v>55</v>
      </c>
      <c r="F31" s="93" t="s">
        <v>56</v>
      </c>
      <c r="G31" s="93"/>
      <c r="H31" s="95"/>
      <c r="I31" s="93"/>
      <c r="J31" s="93"/>
      <c r="K31" s="93"/>
      <c r="L31" s="179"/>
      <c r="M31" s="92"/>
      <c r="N31" s="152" t="str">
        <f t="shared" ca="1" si="0"/>
        <v>Enter the number of homes on the 1_SetUp sheet</v>
      </c>
    </row>
    <row r="32" spans="1:18" ht="15.5">
      <c r="A32" s="158">
        <v>28</v>
      </c>
      <c r="B32" s="93"/>
      <c r="C32" s="94"/>
      <c r="D32" s="94"/>
      <c r="E32" s="93" t="s">
        <v>55</v>
      </c>
      <c r="F32" s="93" t="s">
        <v>56</v>
      </c>
      <c r="G32" s="93"/>
      <c r="H32" s="95"/>
      <c r="I32" s="93"/>
      <c r="J32" s="93"/>
      <c r="K32" s="93"/>
      <c r="L32" s="179"/>
      <c r="M32" s="92"/>
      <c r="N32" s="152" t="str">
        <f t="shared" ca="1" si="0"/>
        <v>Enter the number of homes on the 1_SetUp sheet</v>
      </c>
    </row>
    <row r="33" spans="1:14" ht="15.5">
      <c r="A33" s="158">
        <v>29</v>
      </c>
      <c r="B33" s="93"/>
      <c r="C33" s="94"/>
      <c r="D33" s="94"/>
      <c r="E33" s="93" t="s">
        <v>55</v>
      </c>
      <c r="F33" s="93" t="s">
        <v>56</v>
      </c>
      <c r="G33" s="93"/>
      <c r="H33" s="95"/>
      <c r="I33" s="93"/>
      <c r="J33" s="93"/>
      <c r="K33" s="93"/>
      <c r="L33" s="179"/>
      <c r="M33" s="92"/>
      <c r="N33" s="152" t="str">
        <f t="shared" ca="1" si="0"/>
        <v>Enter the number of homes on the 1_SetUp sheet</v>
      </c>
    </row>
    <row r="34" spans="1:14" ht="15.5">
      <c r="A34" s="158">
        <v>30</v>
      </c>
      <c r="B34" s="93"/>
      <c r="C34" s="94"/>
      <c r="D34" s="94"/>
      <c r="E34" s="93" t="s">
        <v>55</v>
      </c>
      <c r="F34" s="93" t="s">
        <v>56</v>
      </c>
      <c r="G34" s="93"/>
      <c r="H34" s="95"/>
      <c r="I34" s="93"/>
      <c r="J34" s="93"/>
      <c r="K34" s="93"/>
      <c r="L34" s="179"/>
      <c r="M34" s="92"/>
      <c r="N34" s="152" t="str">
        <f t="shared" ca="1" si="0"/>
        <v>Enter the number of homes on the 1_SetUp sheet</v>
      </c>
    </row>
    <row r="35" spans="1:14" ht="15.5">
      <c r="A35" s="158">
        <v>31</v>
      </c>
      <c r="B35" s="93"/>
      <c r="C35" s="94"/>
      <c r="D35" s="94"/>
      <c r="E35" s="93" t="s">
        <v>55</v>
      </c>
      <c r="F35" s="93" t="s">
        <v>56</v>
      </c>
      <c r="G35" s="93"/>
      <c r="H35" s="95"/>
      <c r="I35" s="93"/>
      <c r="J35" s="93"/>
      <c r="K35" s="93"/>
      <c r="L35" s="179"/>
      <c r="M35" s="92"/>
      <c r="N35" s="152" t="str">
        <f t="shared" ca="1" si="0"/>
        <v>Enter the number of homes on the 1_SetUp sheet</v>
      </c>
    </row>
    <row r="36" spans="1:14" ht="15.5">
      <c r="A36" s="158">
        <v>32</v>
      </c>
      <c r="B36" s="93"/>
      <c r="C36" s="94"/>
      <c r="D36" s="94"/>
      <c r="E36" s="93" t="s">
        <v>55</v>
      </c>
      <c r="F36" s="93" t="s">
        <v>56</v>
      </c>
      <c r="G36" s="93"/>
      <c r="H36" s="95"/>
      <c r="I36" s="93"/>
      <c r="J36" s="93"/>
      <c r="K36" s="93"/>
      <c r="L36" s="179"/>
      <c r="M36" s="92"/>
      <c r="N36" s="152" t="str">
        <f t="shared" ca="1" si="0"/>
        <v>Enter the number of homes on the 1_SetUp sheet</v>
      </c>
    </row>
    <row r="37" spans="1:14" ht="15.5">
      <c r="A37" s="158">
        <v>33</v>
      </c>
      <c r="B37" s="93"/>
      <c r="C37" s="94"/>
      <c r="D37" s="94"/>
      <c r="E37" s="93" t="s">
        <v>55</v>
      </c>
      <c r="F37" s="93" t="s">
        <v>56</v>
      </c>
      <c r="G37" s="93"/>
      <c r="H37" s="95"/>
      <c r="I37" s="93"/>
      <c r="J37" s="93"/>
      <c r="K37" s="93"/>
      <c r="L37" s="179"/>
      <c r="M37" s="92"/>
      <c r="N37" s="152" t="str">
        <f t="shared" ca="1" si="0"/>
        <v>Enter the number of homes on the 1_SetUp sheet</v>
      </c>
    </row>
    <row r="38" spans="1:14" ht="15.5">
      <c r="A38" s="158">
        <v>34</v>
      </c>
      <c r="B38" s="93"/>
      <c r="C38" s="94"/>
      <c r="D38" s="94"/>
      <c r="E38" s="93" t="s">
        <v>55</v>
      </c>
      <c r="F38" s="93" t="s">
        <v>56</v>
      </c>
      <c r="G38" s="93"/>
      <c r="H38" s="95"/>
      <c r="I38" s="93"/>
      <c r="J38" s="93"/>
      <c r="K38" s="93"/>
      <c r="L38" s="179"/>
      <c r="M38" s="92"/>
      <c r="N38" s="152" t="str">
        <f t="shared" ca="1" si="0"/>
        <v>Enter the number of homes on the 1_SetUp sheet</v>
      </c>
    </row>
    <row r="39" spans="1:14" ht="15.5">
      <c r="A39" s="158">
        <v>35</v>
      </c>
      <c r="B39" s="93"/>
      <c r="C39" s="94"/>
      <c r="D39" s="94"/>
      <c r="E39" s="93" t="s">
        <v>55</v>
      </c>
      <c r="F39" s="93" t="s">
        <v>56</v>
      </c>
      <c r="G39" s="93"/>
      <c r="H39" s="95"/>
      <c r="I39" s="93"/>
      <c r="J39" s="93"/>
      <c r="K39" s="93"/>
      <c r="L39" s="179"/>
      <c r="M39" s="92"/>
      <c r="N39" s="152" t="str">
        <f t="shared" ca="1" si="0"/>
        <v>Enter the number of homes on the 1_SetUp sheet</v>
      </c>
    </row>
    <row r="40" spans="1:14" ht="15.5">
      <c r="A40" s="158">
        <v>36</v>
      </c>
      <c r="B40" s="93"/>
      <c r="C40" s="94"/>
      <c r="D40" s="94"/>
      <c r="E40" s="93" t="s">
        <v>55</v>
      </c>
      <c r="F40" s="93" t="s">
        <v>56</v>
      </c>
      <c r="G40" s="93"/>
      <c r="H40" s="95"/>
      <c r="I40" s="93"/>
      <c r="J40" s="93"/>
      <c r="K40" s="93"/>
      <c r="L40" s="179"/>
      <c r="M40" s="92"/>
      <c r="N40" s="152" t="str">
        <f t="shared" ca="1" si="0"/>
        <v>Enter the number of homes on the 1_SetUp sheet</v>
      </c>
    </row>
    <row r="41" spans="1:14" ht="15.5">
      <c r="A41" s="158">
        <v>37</v>
      </c>
      <c r="B41" s="93"/>
      <c r="C41" s="94"/>
      <c r="D41" s="94"/>
      <c r="E41" s="93" t="s">
        <v>55</v>
      </c>
      <c r="F41" s="93" t="s">
        <v>56</v>
      </c>
      <c r="G41" s="93"/>
      <c r="H41" s="95"/>
      <c r="I41" s="93"/>
      <c r="J41" s="93"/>
      <c r="K41" s="93"/>
      <c r="L41" s="179"/>
      <c r="M41" s="92"/>
      <c r="N41" s="152" t="str">
        <f t="shared" ca="1" si="0"/>
        <v>Enter the number of homes on the 1_SetUp sheet</v>
      </c>
    </row>
    <row r="42" spans="1:14" ht="15.5">
      <c r="A42" s="158">
        <v>38</v>
      </c>
      <c r="B42" s="93"/>
      <c r="C42" s="94"/>
      <c r="D42" s="94"/>
      <c r="E42" s="93" t="s">
        <v>55</v>
      </c>
      <c r="F42" s="93" t="s">
        <v>56</v>
      </c>
      <c r="G42" s="93"/>
      <c r="H42" s="95"/>
      <c r="I42" s="93"/>
      <c r="J42" s="93"/>
      <c r="K42" s="93"/>
      <c r="L42" s="179"/>
      <c r="M42" s="92"/>
      <c r="N42" s="152" t="str">
        <f t="shared" ca="1" si="0"/>
        <v>Enter the number of homes on the 1_SetUp sheet</v>
      </c>
    </row>
    <row r="43" spans="1:14" ht="15.5">
      <c r="A43" s="158">
        <v>39</v>
      </c>
      <c r="B43" s="93"/>
      <c r="C43" s="94"/>
      <c r="D43" s="94"/>
      <c r="E43" s="93" t="s">
        <v>55</v>
      </c>
      <c r="F43" s="93" t="s">
        <v>56</v>
      </c>
      <c r="G43" s="93"/>
      <c r="H43" s="95"/>
      <c r="I43" s="93"/>
      <c r="J43" s="93"/>
      <c r="K43" s="93"/>
      <c r="L43" s="179"/>
      <c r="M43" s="92"/>
      <c r="N43" s="152" t="str">
        <f t="shared" ca="1" si="0"/>
        <v>Enter the number of homes on the 1_SetUp sheet</v>
      </c>
    </row>
    <row r="44" spans="1:14" ht="15.5">
      <c r="A44" s="158">
        <v>40</v>
      </c>
      <c r="B44" s="93"/>
      <c r="C44" s="94"/>
      <c r="D44" s="94"/>
      <c r="E44" s="93" t="s">
        <v>55</v>
      </c>
      <c r="F44" s="93" t="s">
        <v>56</v>
      </c>
      <c r="G44" s="93"/>
      <c r="H44" s="95"/>
      <c r="I44" s="93"/>
      <c r="J44" s="93"/>
      <c r="K44" s="93"/>
      <c r="L44" s="179"/>
      <c r="M44" s="92"/>
      <c r="N44" s="152" t="str">
        <f t="shared" ca="1" si="0"/>
        <v>Enter the number of homes on the 1_SetUp sheet</v>
      </c>
    </row>
    <row r="45" spans="1:14" ht="15.5">
      <c r="A45" s="158">
        <v>41</v>
      </c>
      <c r="B45" s="93"/>
      <c r="C45" s="94"/>
      <c r="D45" s="94"/>
      <c r="E45" s="93" t="s">
        <v>55</v>
      </c>
      <c r="F45" s="93" t="s">
        <v>56</v>
      </c>
      <c r="G45" s="93"/>
      <c r="H45" s="95"/>
      <c r="I45" s="93"/>
      <c r="J45" s="93"/>
      <c r="K45" s="93"/>
      <c r="L45" s="179"/>
      <c r="M45" s="92"/>
      <c r="N45" s="152" t="str">
        <f t="shared" ca="1" si="0"/>
        <v>Enter the number of homes on the 1_SetUp sheet</v>
      </c>
    </row>
    <row r="46" spans="1:14" ht="15.5">
      <c r="A46" s="158">
        <v>42</v>
      </c>
      <c r="B46" s="93"/>
      <c r="C46" s="94"/>
      <c r="D46" s="94"/>
      <c r="E46" s="93" t="s">
        <v>55</v>
      </c>
      <c r="F46" s="93" t="s">
        <v>56</v>
      </c>
      <c r="G46" s="93"/>
      <c r="H46" s="95"/>
      <c r="I46" s="93"/>
      <c r="J46" s="93"/>
      <c r="K46" s="93"/>
      <c r="L46" s="179"/>
      <c r="M46" s="92"/>
      <c r="N46" s="152" t="str">
        <f t="shared" ca="1" si="0"/>
        <v>Enter the number of homes on the 1_SetUp sheet</v>
      </c>
    </row>
    <row r="47" spans="1:14" ht="15.5">
      <c r="A47" s="158">
        <v>43</v>
      </c>
      <c r="B47" s="93"/>
      <c r="C47" s="94"/>
      <c r="D47" s="94"/>
      <c r="E47" s="93" t="s">
        <v>55</v>
      </c>
      <c r="F47" s="93" t="s">
        <v>56</v>
      </c>
      <c r="G47" s="93"/>
      <c r="H47" s="95"/>
      <c r="I47" s="93"/>
      <c r="J47" s="93"/>
      <c r="K47" s="93"/>
      <c r="L47" s="179"/>
      <c r="M47" s="92"/>
      <c r="N47" s="152" t="str">
        <f t="shared" ca="1" si="0"/>
        <v>Enter the number of homes on the 1_SetUp sheet</v>
      </c>
    </row>
    <row r="48" spans="1:14" ht="15.5">
      <c r="A48" s="158">
        <v>44</v>
      </c>
      <c r="B48" s="93"/>
      <c r="C48" s="94"/>
      <c r="D48" s="94"/>
      <c r="E48" s="93" t="s">
        <v>55</v>
      </c>
      <c r="F48" s="93" t="s">
        <v>56</v>
      </c>
      <c r="G48" s="93"/>
      <c r="H48" s="95"/>
      <c r="I48" s="93"/>
      <c r="J48" s="93"/>
      <c r="K48" s="93"/>
      <c r="L48" s="179"/>
      <c r="M48" s="92"/>
      <c r="N48" s="152" t="str">
        <f t="shared" ca="1" si="0"/>
        <v>Enter the number of homes on the 1_SetUp sheet</v>
      </c>
    </row>
    <row r="49" spans="1:14" ht="15.5">
      <c r="A49" s="158">
        <v>45</v>
      </c>
      <c r="B49" s="93"/>
      <c r="C49" s="94"/>
      <c r="D49" s="94"/>
      <c r="E49" s="93" t="s">
        <v>55</v>
      </c>
      <c r="F49" s="93" t="s">
        <v>56</v>
      </c>
      <c r="G49" s="93"/>
      <c r="H49" s="95"/>
      <c r="I49" s="93"/>
      <c r="J49" s="93"/>
      <c r="K49" s="93"/>
      <c r="L49" s="179"/>
      <c r="M49" s="92"/>
      <c r="N49" s="152" t="str">
        <f t="shared" ca="1" si="0"/>
        <v>Enter the number of homes on the 1_SetUp sheet</v>
      </c>
    </row>
    <row r="50" spans="1:14" ht="15.5">
      <c r="A50" s="158">
        <v>46</v>
      </c>
      <c r="B50" s="93"/>
      <c r="C50" s="94"/>
      <c r="D50" s="94"/>
      <c r="E50" s="93" t="s">
        <v>55</v>
      </c>
      <c r="F50" s="93" t="s">
        <v>56</v>
      </c>
      <c r="G50" s="93"/>
      <c r="H50" s="95"/>
      <c r="I50" s="93"/>
      <c r="J50" s="93"/>
      <c r="K50" s="93"/>
      <c r="L50" s="179"/>
      <c r="M50" s="92"/>
      <c r="N50" s="152" t="str">
        <f t="shared" ca="1" si="0"/>
        <v>Enter the number of homes on the 1_SetUp sheet</v>
      </c>
    </row>
    <row r="51" spans="1:14" ht="15.5">
      <c r="A51" s="158">
        <v>47</v>
      </c>
      <c r="B51" s="93"/>
      <c r="C51" s="94"/>
      <c r="D51" s="94"/>
      <c r="E51" s="93" t="s">
        <v>55</v>
      </c>
      <c r="F51" s="93" t="s">
        <v>56</v>
      </c>
      <c r="G51" s="93"/>
      <c r="H51" s="95"/>
      <c r="I51" s="93"/>
      <c r="J51" s="93"/>
      <c r="K51" s="93"/>
      <c r="L51" s="179"/>
      <c r="M51" s="92"/>
      <c r="N51" s="152" t="str">
        <f t="shared" ca="1" si="0"/>
        <v>Enter the number of homes on the 1_SetUp sheet</v>
      </c>
    </row>
    <row r="52" spans="1:14" ht="15.5">
      <c r="A52" s="158">
        <v>48</v>
      </c>
      <c r="B52" s="93"/>
      <c r="C52" s="94"/>
      <c r="D52" s="94"/>
      <c r="E52" s="93" t="s">
        <v>55</v>
      </c>
      <c r="F52" s="93" t="s">
        <v>56</v>
      </c>
      <c r="G52" s="93"/>
      <c r="H52" s="95"/>
      <c r="I52" s="93"/>
      <c r="J52" s="93"/>
      <c r="K52" s="93"/>
      <c r="L52" s="179"/>
      <c r="M52" s="92"/>
      <c r="N52" s="152" t="str">
        <f t="shared" ca="1" si="0"/>
        <v>Enter the number of homes on the 1_SetUp sheet</v>
      </c>
    </row>
    <row r="53" spans="1:14" ht="15.5">
      <c r="A53" s="158">
        <v>49</v>
      </c>
      <c r="B53" s="93"/>
      <c r="C53" s="94"/>
      <c r="D53" s="94"/>
      <c r="E53" s="93" t="s">
        <v>55</v>
      </c>
      <c r="F53" s="93" t="s">
        <v>56</v>
      </c>
      <c r="G53" s="93"/>
      <c r="H53" s="95"/>
      <c r="I53" s="93"/>
      <c r="J53" s="93"/>
      <c r="K53" s="93"/>
      <c r="L53" s="179"/>
      <c r="M53" s="92"/>
      <c r="N53" s="152" t="str">
        <f t="shared" ca="1" si="0"/>
        <v>Enter the number of homes on the 1_SetUp sheet</v>
      </c>
    </row>
    <row r="54" spans="1:14" ht="15.5">
      <c r="A54" s="158">
        <v>50</v>
      </c>
      <c r="B54" s="93"/>
      <c r="C54" s="94"/>
      <c r="D54" s="94"/>
      <c r="E54" s="93" t="s">
        <v>55</v>
      </c>
      <c r="F54" s="93" t="s">
        <v>56</v>
      </c>
      <c r="G54" s="93"/>
      <c r="H54" s="95"/>
      <c r="I54" s="93"/>
      <c r="J54" s="93"/>
      <c r="K54" s="93"/>
      <c r="L54" s="179"/>
      <c r="M54" s="92"/>
      <c r="N54" s="152" t="str">
        <f t="shared" ca="1" si="0"/>
        <v>Enter the number of homes on the 1_SetUp sheet</v>
      </c>
    </row>
    <row r="55" spans="1:14" ht="15.5">
      <c r="A55" s="158">
        <v>51</v>
      </c>
      <c r="B55" s="93"/>
      <c r="C55" s="94"/>
      <c r="D55" s="94"/>
      <c r="E55" s="93" t="s">
        <v>55</v>
      </c>
      <c r="F55" s="93" t="s">
        <v>56</v>
      </c>
      <c r="G55" s="93"/>
      <c r="H55" s="95"/>
      <c r="I55" s="93"/>
      <c r="J55" s="93"/>
      <c r="K55" s="93"/>
      <c r="L55" s="179"/>
      <c r="M55" s="92"/>
      <c r="N55" s="152" t="str">
        <f t="shared" ca="1" si="0"/>
        <v>Enter the number of homes on the 1_SetUp sheet</v>
      </c>
    </row>
    <row r="56" spans="1:14" ht="15.5">
      <c r="A56" s="158">
        <v>52</v>
      </c>
      <c r="B56" s="93"/>
      <c r="C56" s="94"/>
      <c r="D56" s="94"/>
      <c r="E56" s="93" t="s">
        <v>55</v>
      </c>
      <c r="F56" s="93" t="s">
        <v>56</v>
      </c>
      <c r="G56" s="93"/>
      <c r="H56" s="95"/>
      <c r="I56" s="93"/>
      <c r="J56" s="93"/>
      <c r="K56" s="93"/>
      <c r="L56" s="179"/>
      <c r="M56" s="92"/>
      <c r="N56" s="152" t="str">
        <f t="shared" ca="1" si="0"/>
        <v>Enter the number of homes on the 1_SetUp sheet</v>
      </c>
    </row>
    <row r="57" spans="1:14" ht="15.5">
      <c r="A57" s="158">
        <v>53</v>
      </c>
      <c r="B57" s="93"/>
      <c r="C57" s="94"/>
      <c r="D57" s="94"/>
      <c r="E57" s="93" t="s">
        <v>55</v>
      </c>
      <c r="F57" s="93" t="s">
        <v>56</v>
      </c>
      <c r="G57" s="93"/>
      <c r="H57" s="95"/>
      <c r="I57" s="93"/>
      <c r="J57" s="93"/>
      <c r="K57" s="93"/>
      <c r="L57" s="179"/>
      <c r="M57" s="92"/>
      <c r="N57" s="152" t="str">
        <f t="shared" ca="1" si="0"/>
        <v>Enter the number of homes on the 1_SetUp sheet</v>
      </c>
    </row>
    <row r="58" spans="1:14" ht="15.5">
      <c r="A58" s="158">
        <v>54</v>
      </c>
      <c r="B58" s="93"/>
      <c r="C58" s="94"/>
      <c r="D58" s="94"/>
      <c r="E58" s="93" t="s">
        <v>55</v>
      </c>
      <c r="F58" s="93" t="s">
        <v>56</v>
      </c>
      <c r="G58" s="93"/>
      <c r="H58" s="95"/>
      <c r="I58" s="93"/>
      <c r="J58" s="93"/>
      <c r="K58" s="93"/>
      <c r="L58" s="179"/>
      <c r="M58" s="92"/>
      <c r="N58" s="152" t="str">
        <f t="shared" ca="1" si="0"/>
        <v>Enter the number of homes on the 1_SetUp sheet</v>
      </c>
    </row>
    <row r="59" spans="1:14" ht="15.5">
      <c r="A59" s="158">
        <v>55</v>
      </c>
      <c r="B59" s="93"/>
      <c r="C59" s="94"/>
      <c r="D59" s="94"/>
      <c r="E59" s="93" t="s">
        <v>55</v>
      </c>
      <c r="F59" s="93" t="s">
        <v>56</v>
      </c>
      <c r="G59" s="93"/>
      <c r="H59" s="95"/>
      <c r="I59" s="93"/>
      <c r="J59" s="93"/>
      <c r="K59" s="93"/>
      <c r="L59" s="179"/>
      <c r="M59" s="92"/>
      <c r="N59" s="152" t="str">
        <f t="shared" ca="1" si="0"/>
        <v>Enter the number of homes on the 1_SetUp sheet</v>
      </c>
    </row>
    <row r="60" spans="1:14" ht="15.5">
      <c r="A60" s="158">
        <v>56</v>
      </c>
      <c r="B60" s="93"/>
      <c r="C60" s="94"/>
      <c r="D60" s="94"/>
      <c r="E60" s="93" t="s">
        <v>55</v>
      </c>
      <c r="F60" s="93" t="s">
        <v>56</v>
      </c>
      <c r="G60" s="93"/>
      <c r="H60" s="95"/>
      <c r="I60" s="93"/>
      <c r="J60" s="93"/>
      <c r="K60" s="93"/>
      <c r="L60" s="179"/>
      <c r="M60" s="92"/>
      <c r="N60" s="152" t="str">
        <f t="shared" ca="1" si="0"/>
        <v>Enter the number of homes on the 1_SetUp sheet</v>
      </c>
    </row>
    <row r="61" spans="1:14" ht="15.5">
      <c r="A61" s="158">
        <v>57</v>
      </c>
      <c r="B61" s="93"/>
      <c r="C61" s="94"/>
      <c r="D61" s="94"/>
      <c r="E61" s="93" t="s">
        <v>55</v>
      </c>
      <c r="F61" s="93" t="s">
        <v>56</v>
      </c>
      <c r="G61" s="93"/>
      <c r="H61" s="95"/>
      <c r="I61" s="93"/>
      <c r="J61" s="93"/>
      <c r="K61" s="93"/>
      <c r="L61" s="179"/>
      <c r="M61" s="92"/>
      <c r="N61" s="152" t="str">
        <f t="shared" ca="1" si="0"/>
        <v>Enter the number of homes on the 1_SetUp sheet</v>
      </c>
    </row>
    <row r="62" spans="1:14" ht="15.5">
      <c r="A62" s="158">
        <v>58</v>
      </c>
      <c r="B62" s="93"/>
      <c r="C62" s="94"/>
      <c r="D62" s="94"/>
      <c r="E62" s="93" t="s">
        <v>55</v>
      </c>
      <c r="F62" s="93" t="s">
        <v>56</v>
      </c>
      <c r="G62" s="93"/>
      <c r="H62" s="95"/>
      <c r="I62" s="93"/>
      <c r="J62" s="93"/>
      <c r="K62" s="93"/>
      <c r="L62" s="179"/>
      <c r="M62" s="92"/>
      <c r="N62" s="152" t="str">
        <f t="shared" ca="1" si="0"/>
        <v>Enter the number of homes on the 1_SetUp sheet</v>
      </c>
    </row>
    <row r="63" spans="1:14" ht="15.5">
      <c r="A63" s="158">
        <v>59</v>
      </c>
      <c r="B63" s="93"/>
      <c r="C63" s="94"/>
      <c r="D63" s="94"/>
      <c r="E63" s="93" t="s">
        <v>55</v>
      </c>
      <c r="F63" s="93" t="s">
        <v>56</v>
      </c>
      <c r="G63" s="93"/>
      <c r="H63" s="95"/>
      <c r="I63" s="93"/>
      <c r="J63" s="93"/>
      <c r="K63" s="93"/>
      <c r="L63" s="179"/>
      <c r="M63" s="92"/>
      <c r="N63" s="152" t="str">
        <f t="shared" ca="1" si="0"/>
        <v>Enter the number of homes on the 1_SetUp sheet</v>
      </c>
    </row>
    <row r="64" spans="1:14" ht="15.5">
      <c r="A64" s="158">
        <v>60</v>
      </c>
      <c r="B64" s="93"/>
      <c r="C64" s="94"/>
      <c r="D64" s="94"/>
      <c r="E64" s="93" t="s">
        <v>55</v>
      </c>
      <c r="F64" s="93" t="s">
        <v>56</v>
      </c>
      <c r="G64" s="93"/>
      <c r="H64" s="95"/>
      <c r="I64" s="93"/>
      <c r="J64" s="93"/>
      <c r="K64" s="93"/>
      <c r="L64" s="179"/>
      <c r="M64" s="92"/>
      <c r="N64" s="152" t="str">
        <f t="shared" ca="1" si="0"/>
        <v>Enter the number of homes on the 1_SetUp sheet</v>
      </c>
    </row>
    <row r="65" spans="1:14" ht="15.5">
      <c r="A65" s="158">
        <v>61</v>
      </c>
      <c r="B65" s="93"/>
      <c r="C65" s="94"/>
      <c r="D65" s="94"/>
      <c r="E65" s="93" t="s">
        <v>55</v>
      </c>
      <c r="F65" s="93" t="s">
        <v>56</v>
      </c>
      <c r="G65" s="93"/>
      <c r="H65" s="95"/>
      <c r="I65" s="93"/>
      <c r="J65" s="93"/>
      <c r="K65" s="93"/>
      <c r="L65" s="179"/>
      <c r="M65" s="92"/>
      <c r="N65" s="152" t="str">
        <f t="shared" ca="1" si="0"/>
        <v>Enter the number of homes on the 1_SetUp sheet</v>
      </c>
    </row>
    <row r="66" spans="1:14" ht="15.5">
      <c r="A66" s="158">
        <v>62</v>
      </c>
      <c r="B66" s="93"/>
      <c r="C66" s="94"/>
      <c r="D66" s="94"/>
      <c r="E66" s="93" t="s">
        <v>55</v>
      </c>
      <c r="F66" s="93" t="s">
        <v>56</v>
      </c>
      <c r="G66" s="93"/>
      <c r="H66" s="95"/>
      <c r="I66" s="93"/>
      <c r="J66" s="93"/>
      <c r="K66" s="93"/>
      <c r="L66" s="179"/>
      <c r="M66" s="92"/>
      <c r="N66" s="152" t="str">
        <f t="shared" ca="1" si="0"/>
        <v>Enter the number of homes on the 1_SetUp sheet</v>
      </c>
    </row>
    <row r="67" spans="1:14" ht="15.5">
      <c r="A67" s="158">
        <v>63</v>
      </c>
      <c r="B67" s="93"/>
      <c r="C67" s="94"/>
      <c r="D67" s="94"/>
      <c r="E67" s="93" t="s">
        <v>55</v>
      </c>
      <c r="F67" s="93" t="s">
        <v>56</v>
      </c>
      <c r="G67" s="93"/>
      <c r="H67" s="95"/>
      <c r="I67" s="93"/>
      <c r="J67" s="93"/>
      <c r="K67" s="93"/>
      <c r="L67" s="179"/>
      <c r="M67" s="92"/>
      <c r="N67" s="152" t="str">
        <f t="shared" ca="1" si="0"/>
        <v>Enter the number of homes on the 1_SetUp sheet</v>
      </c>
    </row>
    <row r="68" spans="1:14" ht="15.5">
      <c r="A68" s="158">
        <v>64</v>
      </c>
      <c r="B68" s="93"/>
      <c r="C68" s="94"/>
      <c r="D68" s="94"/>
      <c r="E68" s="93" t="s">
        <v>55</v>
      </c>
      <c r="F68" s="93" t="s">
        <v>56</v>
      </c>
      <c r="G68" s="93"/>
      <c r="H68" s="95"/>
      <c r="I68" s="93"/>
      <c r="J68" s="93"/>
      <c r="K68" s="93"/>
      <c r="L68" s="179"/>
      <c r="M68" s="92"/>
      <c r="N68" s="152" t="str">
        <f t="shared" ca="1" si="0"/>
        <v>Enter the number of homes on the 1_SetUp sheet</v>
      </c>
    </row>
    <row r="69" spans="1:14" ht="15.5">
      <c r="A69" s="158">
        <v>65</v>
      </c>
      <c r="B69" s="93"/>
      <c r="C69" s="94"/>
      <c r="D69" s="94"/>
      <c r="E69" s="93" t="s">
        <v>55</v>
      </c>
      <c r="F69" s="93" t="s">
        <v>56</v>
      </c>
      <c r="G69" s="93"/>
      <c r="H69" s="95"/>
      <c r="I69" s="93"/>
      <c r="J69" s="93"/>
      <c r="K69" s="93"/>
      <c r="L69" s="179"/>
      <c r="M69" s="92"/>
      <c r="N69" s="152" t="str">
        <f t="shared" ref="N69:N132" ca="1" si="1">INDEX(ErrorCheck,MATCH($A69,ErrorCheckPlotNumber,0),MATCH(N$4,ErrorCheckTitle,0))</f>
        <v>Enter the number of homes on the 1_SetUp sheet</v>
      </c>
    </row>
    <row r="70" spans="1:14" ht="15.5">
      <c r="A70" s="158">
        <v>66</v>
      </c>
      <c r="B70" s="93"/>
      <c r="C70" s="94"/>
      <c r="D70" s="94"/>
      <c r="E70" s="93" t="s">
        <v>55</v>
      </c>
      <c r="F70" s="93" t="s">
        <v>56</v>
      </c>
      <c r="G70" s="93"/>
      <c r="H70" s="95"/>
      <c r="I70" s="93"/>
      <c r="J70" s="93"/>
      <c r="K70" s="93"/>
      <c r="L70" s="179"/>
      <c r="M70" s="92"/>
      <c r="N70" s="152" t="str">
        <f t="shared" ca="1" si="1"/>
        <v>Enter the number of homes on the 1_SetUp sheet</v>
      </c>
    </row>
    <row r="71" spans="1:14" ht="15.5">
      <c r="A71" s="158">
        <v>67</v>
      </c>
      <c r="B71" s="93"/>
      <c r="C71" s="94"/>
      <c r="D71" s="94"/>
      <c r="E71" s="93" t="s">
        <v>55</v>
      </c>
      <c r="F71" s="93" t="s">
        <v>56</v>
      </c>
      <c r="G71" s="93"/>
      <c r="H71" s="95"/>
      <c r="I71" s="93"/>
      <c r="J71" s="93"/>
      <c r="K71" s="93"/>
      <c r="L71" s="179"/>
      <c r="M71" s="92"/>
      <c r="N71" s="152" t="str">
        <f t="shared" ca="1" si="1"/>
        <v>Enter the number of homes on the 1_SetUp sheet</v>
      </c>
    </row>
    <row r="72" spans="1:14" ht="15.5">
      <c r="A72" s="158">
        <v>68</v>
      </c>
      <c r="B72" s="93"/>
      <c r="C72" s="94"/>
      <c r="D72" s="94"/>
      <c r="E72" s="93" t="s">
        <v>55</v>
      </c>
      <c r="F72" s="93" t="s">
        <v>56</v>
      </c>
      <c r="G72" s="93"/>
      <c r="H72" s="95"/>
      <c r="I72" s="93"/>
      <c r="J72" s="93"/>
      <c r="K72" s="93"/>
      <c r="L72" s="179"/>
      <c r="M72" s="92"/>
      <c r="N72" s="152" t="str">
        <f t="shared" ca="1" si="1"/>
        <v>Enter the number of homes on the 1_SetUp sheet</v>
      </c>
    </row>
    <row r="73" spans="1:14" ht="15.5">
      <c r="A73" s="158">
        <v>69</v>
      </c>
      <c r="B73" s="93"/>
      <c r="C73" s="94"/>
      <c r="D73" s="94"/>
      <c r="E73" s="93" t="s">
        <v>55</v>
      </c>
      <c r="F73" s="93" t="s">
        <v>56</v>
      </c>
      <c r="G73" s="93"/>
      <c r="H73" s="95"/>
      <c r="I73" s="93"/>
      <c r="J73" s="93"/>
      <c r="K73" s="93"/>
      <c r="L73" s="179"/>
      <c r="M73" s="92"/>
      <c r="N73" s="152" t="str">
        <f t="shared" ca="1" si="1"/>
        <v>Enter the number of homes on the 1_SetUp sheet</v>
      </c>
    </row>
    <row r="74" spans="1:14" ht="15.5">
      <c r="A74" s="158">
        <v>70</v>
      </c>
      <c r="B74" s="93"/>
      <c r="C74" s="94"/>
      <c r="D74" s="94"/>
      <c r="E74" s="93" t="s">
        <v>55</v>
      </c>
      <c r="F74" s="93" t="s">
        <v>56</v>
      </c>
      <c r="G74" s="93"/>
      <c r="H74" s="95"/>
      <c r="I74" s="93"/>
      <c r="J74" s="93"/>
      <c r="K74" s="93"/>
      <c r="L74" s="179"/>
      <c r="M74" s="92"/>
      <c r="N74" s="152" t="str">
        <f t="shared" ca="1" si="1"/>
        <v>Enter the number of homes on the 1_SetUp sheet</v>
      </c>
    </row>
    <row r="75" spans="1:14" ht="15.5">
      <c r="A75" s="158">
        <v>71</v>
      </c>
      <c r="B75" s="93"/>
      <c r="C75" s="94"/>
      <c r="D75" s="94"/>
      <c r="E75" s="93" t="s">
        <v>55</v>
      </c>
      <c r="F75" s="93" t="s">
        <v>56</v>
      </c>
      <c r="G75" s="93"/>
      <c r="H75" s="95"/>
      <c r="I75" s="93"/>
      <c r="J75" s="93"/>
      <c r="K75" s="93"/>
      <c r="L75" s="179"/>
      <c r="M75" s="92"/>
      <c r="N75" s="152" t="str">
        <f t="shared" ca="1" si="1"/>
        <v>Enter the number of homes on the 1_SetUp sheet</v>
      </c>
    </row>
    <row r="76" spans="1:14" ht="15.5">
      <c r="A76" s="158">
        <v>72</v>
      </c>
      <c r="B76" s="93"/>
      <c r="C76" s="94"/>
      <c r="D76" s="94"/>
      <c r="E76" s="93" t="s">
        <v>55</v>
      </c>
      <c r="F76" s="93" t="s">
        <v>56</v>
      </c>
      <c r="G76" s="93"/>
      <c r="H76" s="95"/>
      <c r="I76" s="93"/>
      <c r="J76" s="93"/>
      <c r="K76" s="93"/>
      <c r="L76" s="179"/>
      <c r="M76" s="92"/>
      <c r="N76" s="152" t="str">
        <f t="shared" ca="1" si="1"/>
        <v>Enter the number of homes on the 1_SetUp sheet</v>
      </c>
    </row>
    <row r="77" spans="1:14" ht="15.5">
      <c r="A77" s="158">
        <v>73</v>
      </c>
      <c r="B77" s="93"/>
      <c r="C77" s="94"/>
      <c r="D77" s="94"/>
      <c r="E77" s="93" t="s">
        <v>55</v>
      </c>
      <c r="F77" s="93" t="s">
        <v>56</v>
      </c>
      <c r="G77" s="93"/>
      <c r="H77" s="95"/>
      <c r="I77" s="93"/>
      <c r="J77" s="93"/>
      <c r="K77" s="93"/>
      <c r="L77" s="179"/>
      <c r="M77" s="92"/>
      <c r="N77" s="152" t="str">
        <f t="shared" ca="1" si="1"/>
        <v>Enter the number of homes on the 1_SetUp sheet</v>
      </c>
    </row>
    <row r="78" spans="1:14" ht="15.5">
      <c r="A78" s="158">
        <v>74</v>
      </c>
      <c r="B78" s="93"/>
      <c r="C78" s="94"/>
      <c r="D78" s="94"/>
      <c r="E78" s="93" t="s">
        <v>55</v>
      </c>
      <c r="F78" s="93" t="s">
        <v>56</v>
      </c>
      <c r="G78" s="93"/>
      <c r="H78" s="95"/>
      <c r="I78" s="93"/>
      <c r="J78" s="93"/>
      <c r="K78" s="93"/>
      <c r="L78" s="179"/>
      <c r="M78" s="92"/>
      <c r="N78" s="152" t="str">
        <f t="shared" ca="1" si="1"/>
        <v>Enter the number of homes on the 1_SetUp sheet</v>
      </c>
    </row>
    <row r="79" spans="1:14" ht="15.5">
      <c r="A79" s="158">
        <v>75</v>
      </c>
      <c r="B79" s="93"/>
      <c r="C79" s="94"/>
      <c r="D79" s="94"/>
      <c r="E79" s="93" t="s">
        <v>55</v>
      </c>
      <c r="F79" s="93" t="s">
        <v>56</v>
      </c>
      <c r="G79" s="93"/>
      <c r="H79" s="95"/>
      <c r="I79" s="93"/>
      <c r="J79" s="93"/>
      <c r="K79" s="93"/>
      <c r="L79" s="179"/>
      <c r="M79" s="92"/>
      <c r="N79" s="152" t="str">
        <f t="shared" ca="1" si="1"/>
        <v>Enter the number of homes on the 1_SetUp sheet</v>
      </c>
    </row>
    <row r="80" spans="1:14" ht="15.5">
      <c r="A80" s="158">
        <v>76</v>
      </c>
      <c r="B80" s="93"/>
      <c r="C80" s="94"/>
      <c r="D80" s="94"/>
      <c r="E80" s="93" t="s">
        <v>55</v>
      </c>
      <c r="F80" s="93" t="s">
        <v>56</v>
      </c>
      <c r="G80" s="93"/>
      <c r="H80" s="95"/>
      <c r="I80" s="93"/>
      <c r="J80" s="93"/>
      <c r="K80" s="93"/>
      <c r="L80" s="179"/>
      <c r="M80" s="92"/>
      <c r="N80" s="152" t="str">
        <f t="shared" ca="1" si="1"/>
        <v>Enter the number of homes on the 1_SetUp sheet</v>
      </c>
    </row>
    <row r="81" spans="1:14" ht="15.5">
      <c r="A81" s="158">
        <v>77</v>
      </c>
      <c r="B81" s="93"/>
      <c r="C81" s="94"/>
      <c r="D81" s="94"/>
      <c r="E81" s="93" t="s">
        <v>55</v>
      </c>
      <c r="F81" s="93" t="s">
        <v>56</v>
      </c>
      <c r="G81" s="93"/>
      <c r="H81" s="95"/>
      <c r="I81" s="93"/>
      <c r="J81" s="93"/>
      <c r="K81" s="93"/>
      <c r="L81" s="179"/>
      <c r="M81" s="92"/>
      <c r="N81" s="152" t="str">
        <f t="shared" ca="1" si="1"/>
        <v>Enter the number of homes on the 1_SetUp sheet</v>
      </c>
    </row>
    <row r="82" spans="1:14" ht="15.5">
      <c r="A82" s="158">
        <v>78</v>
      </c>
      <c r="B82" s="93"/>
      <c r="C82" s="94"/>
      <c r="D82" s="94"/>
      <c r="E82" s="93" t="s">
        <v>55</v>
      </c>
      <c r="F82" s="93" t="s">
        <v>56</v>
      </c>
      <c r="G82" s="93"/>
      <c r="H82" s="95"/>
      <c r="I82" s="93"/>
      <c r="J82" s="93"/>
      <c r="K82" s="93"/>
      <c r="L82" s="179"/>
      <c r="M82" s="92"/>
      <c r="N82" s="152" t="str">
        <f t="shared" ca="1" si="1"/>
        <v>Enter the number of homes on the 1_SetUp sheet</v>
      </c>
    </row>
    <row r="83" spans="1:14" ht="15.5">
      <c r="A83" s="158">
        <v>79</v>
      </c>
      <c r="B83" s="93"/>
      <c r="C83" s="94"/>
      <c r="D83" s="94"/>
      <c r="E83" s="93" t="s">
        <v>55</v>
      </c>
      <c r="F83" s="93" t="s">
        <v>56</v>
      </c>
      <c r="G83" s="93"/>
      <c r="H83" s="95"/>
      <c r="I83" s="93"/>
      <c r="J83" s="93"/>
      <c r="K83" s="93"/>
      <c r="L83" s="179"/>
      <c r="M83" s="92"/>
      <c r="N83" s="152" t="str">
        <f t="shared" ca="1" si="1"/>
        <v>Enter the number of homes on the 1_SetUp sheet</v>
      </c>
    </row>
    <row r="84" spans="1:14" ht="15.5">
      <c r="A84" s="158">
        <v>80</v>
      </c>
      <c r="B84" s="93"/>
      <c r="C84" s="94"/>
      <c r="D84" s="94"/>
      <c r="E84" s="93" t="s">
        <v>55</v>
      </c>
      <c r="F84" s="93" t="s">
        <v>56</v>
      </c>
      <c r="G84" s="93"/>
      <c r="H84" s="95"/>
      <c r="I84" s="93"/>
      <c r="J84" s="93"/>
      <c r="K84" s="93"/>
      <c r="L84" s="179"/>
      <c r="M84" s="92"/>
      <c r="N84" s="152" t="str">
        <f t="shared" ca="1" si="1"/>
        <v>Enter the number of homes on the 1_SetUp sheet</v>
      </c>
    </row>
    <row r="85" spans="1:14" ht="15.5">
      <c r="A85" s="158">
        <v>81</v>
      </c>
      <c r="B85" s="93"/>
      <c r="C85" s="94"/>
      <c r="D85" s="94"/>
      <c r="E85" s="93" t="s">
        <v>55</v>
      </c>
      <c r="F85" s="93" t="s">
        <v>56</v>
      </c>
      <c r="G85" s="93"/>
      <c r="H85" s="95"/>
      <c r="I85" s="93"/>
      <c r="J85" s="93"/>
      <c r="K85" s="93"/>
      <c r="L85" s="179"/>
      <c r="M85" s="92"/>
      <c r="N85" s="152" t="str">
        <f t="shared" ca="1" si="1"/>
        <v>Enter the number of homes on the 1_SetUp sheet</v>
      </c>
    </row>
    <row r="86" spans="1:14" ht="15.5">
      <c r="A86" s="158">
        <v>82</v>
      </c>
      <c r="B86" s="93"/>
      <c r="C86" s="94"/>
      <c r="D86" s="94"/>
      <c r="E86" s="93" t="s">
        <v>55</v>
      </c>
      <c r="F86" s="93" t="s">
        <v>56</v>
      </c>
      <c r="G86" s="93"/>
      <c r="H86" s="95"/>
      <c r="I86" s="93"/>
      <c r="J86" s="93"/>
      <c r="K86" s="93"/>
      <c r="L86" s="179"/>
      <c r="M86" s="92"/>
      <c r="N86" s="152" t="str">
        <f t="shared" ca="1" si="1"/>
        <v>Enter the number of homes on the 1_SetUp sheet</v>
      </c>
    </row>
    <row r="87" spans="1:14" ht="15.5">
      <c r="A87" s="158">
        <v>83</v>
      </c>
      <c r="B87" s="93"/>
      <c r="C87" s="94"/>
      <c r="D87" s="94"/>
      <c r="E87" s="93" t="s">
        <v>55</v>
      </c>
      <c r="F87" s="93" t="s">
        <v>56</v>
      </c>
      <c r="G87" s="93"/>
      <c r="H87" s="95"/>
      <c r="I87" s="93"/>
      <c r="J87" s="93"/>
      <c r="K87" s="93"/>
      <c r="L87" s="179"/>
      <c r="M87" s="92"/>
      <c r="N87" s="152" t="str">
        <f t="shared" ca="1" si="1"/>
        <v>Enter the number of homes on the 1_SetUp sheet</v>
      </c>
    </row>
    <row r="88" spans="1:14" ht="15.5">
      <c r="A88" s="158">
        <v>84</v>
      </c>
      <c r="B88" s="93"/>
      <c r="C88" s="94"/>
      <c r="D88" s="94"/>
      <c r="E88" s="93" t="s">
        <v>55</v>
      </c>
      <c r="F88" s="93" t="s">
        <v>56</v>
      </c>
      <c r="G88" s="93"/>
      <c r="H88" s="95"/>
      <c r="I88" s="93"/>
      <c r="J88" s="93"/>
      <c r="K88" s="93"/>
      <c r="L88" s="179"/>
      <c r="M88" s="92"/>
      <c r="N88" s="152" t="str">
        <f t="shared" ca="1" si="1"/>
        <v>Enter the number of homes on the 1_SetUp sheet</v>
      </c>
    </row>
    <row r="89" spans="1:14" ht="15.5">
      <c r="A89" s="158">
        <v>85</v>
      </c>
      <c r="B89" s="93"/>
      <c r="C89" s="94"/>
      <c r="D89" s="94"/>
      <c r="E89" s="93" t="s">
        <v>55</v>
      </c>
      <c r="F89" s="93" t="s">
        <v>56</v>
      </c>
      <c r="G89" s="93"/>
      <c r="H89" s="95"/>
      <c r="I89" s="93"/>
      <c r="J89" s="93"/>
      <c r="K89" s="93"/>
      <c r="L89" s="179"/>
      <c r="M89" s="92"/>
      <c r="N89" s="152" t="str">
        <f t="shared" ca="1" si="1"/>
        <v>Enter the number of homes on the 1_SetUp sheet</v>
      </c>
    </row>
    <row r="90" spans="1:14" ht="15.5">
      <c r="A90" s="158">
        <v>86</v>
      </c>
      <c r="B90" s="93"/>
      <c r="C90" s="94"/>
      <c r="D90" s="94"/>
      <c r="E90" s="93" t="s">
        <v>55</v>
      </c>
      <c r="F90" s="93" t="s">
        <v>56</v>
      </c>
      <c r="G90" s="93"/>
      <c r="H90" s="95"/>
      <c r="I90" s="93"/>
      <c r="J90" s="93"/>
      <c r="K90" s="93"/>
      <c r="L90" s="179"/>
      <c r="M90" s="92"/>
      <c r="N90" s="152" t="str">
        <f t="shared" ca="1" si="1"/>
        <v>Enter the number of homes on the 1_SetUp sheet</v>
      </c>
    </row>
    <row r="91" spans="1:14" ht="15.5">
      <c r="A91" s="158">
        <v>87</v>
      </c>
      <c r="B91" s="93"/>
      <c r="C91" s="94"/>
      <c r="D91" s="94"/>
      <c r="E91" s="93" t="s">
        <v>55</v>
      </c>
      <c r="F91" s="93" t="s">
        <v>56</v>
      </c>
      <c r="G91" s="93"/>
      <c r="H91" s="95"/>
      <c r="I91" s="93"/>
      <c r="J91" s="93"/>
      <c r="K91" s="93"/>
      <c r="L91" s="179"/>
      <c r="M91" s="92"/>
      <c r="N91" s="152" t="str">
        <f t="shared" ca="1" si="1"/>
        <v>Enter the number of homes on the 1_SetUp sheet</v>
      </c>
    </row>
    <row r="92" spans="1:14" ht="15.5">
      <c r="A92" s="158">
        <v>88</v>
      </c>
      <c r="B92" s="93"/>
      <c r="C92" s="94"/>
      <c r="D92" s="94"/>
      <c r="E92" s="93" t="s">
        <v>55</v>
      </c>
      <c r="F92" s="93" t="s">
        <v>56</v>
      </c>
      <c r="G92" s="93"/>
      <c r="H92" s="95"/>
      <c r="I92" s="93"/>
      <c r="J92" s="93"/>
      <c r="K92" s="93"/>
      <c r="L92" s="179"/>
      <c r="M92" s="92"/>
      <c r="N92" s="152" t="str">
        <f t="shared" ca="1" si="1"/>
        <v>Enter the number of homes on the 1_SetUp sheet</v>
      </c>
    </row>
    <row r="93" spans="1:14" ht="15.5">
      <c r="A93" s="158">
        <v>89</v>
      </c>
      <c r="B93" s="93"/>
      <c r="C93" s="94"/>
      <c r="D93" s="94"/>
      <c r="E93" s="93" t="s">
        <v>55</v>
      </c>
      <c r="F93" s="93" t="s">
        <v>56</v>
      </c>
      <c r="G93" s="93"/>
      <c r="H93" s="95"/>
      <c r="I93" s="93"/>
      <c r="J93" s="93"/>
      <c r="K93" s="93"/>
      <c r="L93" s="179"/>
      <c r="M93" s="92"/>
      <c r="N93" s="152" t="str">
        <f t="shared" ca="1" si="1"/>
        <v>Enter the number of homes on the 1_SetUp sheet</v>
      </c>
    </row>
    <row r="94" spans="1:14" ht="15.5">
      <c r="A94" s="158">
        <v>90</v>
      </c>
      <c r="B94" s="93"/>
      <c r="C94" s="94"/>
      <c r="D94" s="94"/>
      <c r="E94" s="93" t="s">
        <v>55</v>
      </c>
      <c r="F94" s="93" t="s">
        <v>56</v>
      </c>
      <c r="G94" s="93"/>
      <c r="H94" s="95"/>
      <c r="I94" s="93"/>
      <c r="J94" s="93"/>
      <c r="K94" s="93"/>
      <c r="L94" s="179"/>
      <c r="M94" s="92"/>
      <c r="N94" s="152" t="str">
        <f t="shared" ca="1" si="1"/>
        <v>Enter the number of homes on the 1_SetUp sheet</v>
      </c>
    </row>
    <row r="95" spans="1:14" ht="15.5">
      <c r="A95" s="158">
        <v>91</v>
      </c>
      <c r="B95" s="93"/>
      <c r="C95" s="94"/>
      <c r="D95" s="94"/>
      <c r="E95" s="93" t="s">
        <v>55</v>
      </c>
      <c r="F95" s="93" t="s">
        <v>56</v>
      </c>
      <c r="G95" s="93"/>
      <c r="H95" s="95"/>
      <c r="I95" s="93"/>
      <c r="J95" s="93"/>
      <c r="K95" s="93"/>
      <c r="L95" s="179"/>
      <c r="M95" s="92"/>
      <c r="N95" s="152" t="str">
        <f t="shared" ca="1" si="1"/>
        <v>Enter the number of homes on the 1_SetUp sheet</v>
      </c>
    </row>
    <row r="96" spans="1:14" ht="15.5">
      <c r="A96" s="158">
        <v>92</v>
      </c>
      <c r="B96" s="93"/>
      <c r="C96" s="94"/>
      <c r="D96" s="94"/>
      <c r="E96" s="93" t="s">
        <v>55</v>
      </c>
      <c r="F96" s="93" t="s">
        <v>56</v>
      </c>
      <c r="G96" s="93"/>
      <c r="H96" s="95"/>
      <c r="I96" s="93"/>
      <c r="J96" s="93"/>
      <c r="K96" s="93"/>
      <c r="L96" s="179"/>
      <c r="M96" s="92"/>
      <c r="N96" s="152" t="str">
        <f t="shared" ca="1" si="1"/>
        <v>Enter the number of homes on the 1_SetUp sheet</v>
      </c>
    </row>
    <row r="97" spans="1:14" ht="15.5">
      <c r="A97" s="158">
        <v>93</v>
      </c>
      <c r="B97" s="93"/>
      <c r="C97" s="94"/>
      <c r="D97" s="94"/>
      <c r="E97" s="93" t="s">
        <v>55</v>
      </c>
      <c r="F97" s="93" t="s">
        <v>56</v>
      </c>
      <c r="G97" s="93"/>
      <c r="H97" s="95"/>
      <c r="I97" s="93"/>
      <c r="J97" s="93"/>
      <c r="K97" s="93"/>
      <c r="L97" s="179"/>
      <c r="M97" s="92"/>
      <c r="N97" s="152" t="str">
        <f t="shared" ca="1" si="1"/>
        <v>Enter the number of homes on the 1_SetUp sheet</v>
      </c>
    </row>
    <row r="98" spans="1:14" ht="15.5">
      <c r="A98" s="158">
        <v>94</v>
      </c>
      <c r="B98" s="93"/>
      <c r="C98" s="94"/>
      <c r="D98" s="94"/>
      <c r="E98" s="93" t="s">
        <v>55</v>
      </c>
      <c r="F98" s="93" t="s">
        <v>56</v>
      </c>
      <c r="G98" s="93"/>
      <c r="H98" s="95"/>
      <c r="I98" s="93"/>
      <c r="J98" s="93"/>
      <c r="K98" s="93"/>
      <c r="L98" s="179"/>
      <c r="M98" s="92"/>
      <c r="N98" s="152" t="str">
        <f t="shared" ca="1" si="1"/>
        <v>Enter the number of homes on the 1_SetUp sheet</v>
      </c>
    </row>
    <row r="99" spans="1:14" ht="15.5">
      <c r="A99" s="158">
        <v>95</v>
      </c>
      <c r="B99" s="93"/>
      <c r="C99" s="94"/>
      <c r="D99" s="94"/>
      <c r="E99" s="93" t="s">
        <v>55</v>
      </c>
      <c r="F99" s="93" t="s">
        <v>56</v>
      </c>
      <c r="G99" s="93"/>
      <c r="H99" s="95"/>
      <c r="I99" s="93"/>
      <c r="J99" s="93"/>
      <c r="K99" s="93"/>
      <c r="L99" s="179"/>
      <c r="M99" s="92"/>
      <c r="N99" s="152" t="str">
        <f t="shared" ca="1" si="1"/>
        <v>Enter the number of homes on the 1_SetUp sheet</v>
      </c>
    </row>
    <row r="100" spans="1:14" ht="15.5">
      <c r="A100" s="158">
        <v>96</v>
      </c>
      <c r="B100" s="93"/>
      <c r="C100" s="94"/>
      <c r="D100" s="94"/>
      <c r="E100" s="93" t="s">
        <v>55</v>
      </c>
      <c r="F100" s="93" t="s">
        <v>56</v>
      </c>
      <c r="G100" s="93"/>
      <c r="H100" s="95"/>
      <c r="I100" s="93"/>
      <c r="J100" s="93"/>
      <c r="K100" s="93"/>
      <c r="L100" s="179"/>
      <c r="M100" s="92"/>
      <c r="N100" s="152" t="str">
        <f t="shared" ca="1" si="1"/>
        <v>Enter the number of homes on the 1_SetUp sheet</v>
      </c>
    </row>
    <row r="101" spans="1:14" ht="15.5">
      <c r="A101" s="158">
        <v>97</v>
      </c>
      <c r="B101" s="93"/>
      <c r="C101" s="94"/>
      <c r="D101" s="94"/>
      <c r="E101" s="93" t="s">
        <v>55</v>
      </c>
      <c r="F101" s="93" t="s">
        <v>56</v>
      </c>
      <c r="G101" s="93"/>
      <c r="H101" s="95"/>
      <c r="I101" s="93"/>
      <c r="J101" s="93"/>
      <c r="K101" s="93"/>
      <c r="L101" s="179"/>
      <c r="M101" s="92"/>
      <c r="N101" s="152" t="str">
        <f t="shared" ca="1" si="1"/>
        <v>Enter the number of homes on the 1_SetUp sheet</v>
      </c>
    </row>
    <row r="102" spans="1:14" ht="15.5">
      <c r="A102" s="158">
        <v>98</v>
      </c>
      <c r="B102" s="93"/>
      <c r="C102" s="94"/>
      <c r="D102" s="94"/>
      <c r="E102" s="93" t="s">
        <v>55</v>
      </c>
      <c r="F102" s="93" t="s">
        <v>56</v>
      </c>
      <c r="G102" s="93"/>
      <c r="H102" s="95"/>
      <c r="I102" s="93"/>
      <c r="J102" s="93"/>
      <c r="K102" s="93"/>
      <c r="L102" s="179"/>
      <c r="M102" s="92"/>
      <c r="N102" s="152" t="str">
        <f t="shared" ca="1" si="1"/>
        <v>Enter the number of homes on the 1_SetUp sheet</v>
      </c>
    </row>
    <row r="103" spans="1:14" ht="15.5">
      <c r="A103" s="158">
        <v>99</v>
      </c>
      <c r="B103" s="93"/>
      <c r="C103" s="94"/>
      <c r="D103" s="94"/>
      <c r="E103" s="93" t="s">
        <v>55</v>
      </c>
      <c r="F103" s="93" t="s">
        <v>56</v>
      </c>
      <c r="G103" s="93"/>
      <c r="H103" s="95"/>
      <c r="I103" s="93"/>
      <c r="J103" s="93"/>
      <c r="K103" s="93"/>
      <c r="L103" s="179"/>
      <c r="M103" s="92"/>
      <c r="N103" s="152" t="str">
        <f t="shared" ca="1" si="1"/>
        <v>Enter the number of homes on the 1_SetUp sheet</v>
      </c>
    </row>
    <row r="104" spans="1:14" ht="15.5">
      <c r="A104" s="158">
        <v>100</v>
      </c>
      <c r="B104" s="93"/>
      <c r="C104" s="94"/>
      <c r="D104" s="94"/>
      <c r="E104" s="93" t="s">
        <v>55</v>
      </c>
      <c r="F104" s="93" t="s">
        <v>56</v>
      </c>
      <c r="G104" s="93"/>
      <c r="H104" s="95"/>
      <c r="I104" s="93"/>
      <c r="J104" s="93"/>
      <c r="K104" s="93"/>
      <c r="L104" s="179"/>
      <c r="M104" s="92"/>
      <c r="N104" s="152" t="str">
        <f t="shared" ca="1" si="1"/>
        <v>Enter the number of homes on the 1_SetUp sheet</v>
      </c>
    </row>
    <row r="105" spans="1:14" ht="15.5">
      <c r="A105" s="158">
        <v>101</v>
      </c>
      <c r="B105" s="93"/>
      <c r="C105" s="94"/>
      <c r="D105" s="94"/>
      <c r="E105" s="93" t="s">
        <v>55</v>
      </c>
      <c r="F105" s="93" t="s">
        <v>56</v>
      </c>
      <c r="G105" s="93"/>
      <c r="H105" s="95"/>
      <c r="I105" s="93"/>
      <c r="J105" s="93"/>
      <c r="K105" s="93"/>
      <c r="L105" s="179"/>
      <c r="M105" s="92"/>
      <c r="N105" s="152" t="str">
        <f t="shared" ca="1" si="1"/>
        <v>Enter the number of homes on the 1_SetUp sheet</v>
      </c>
    </row>
    <row r="106" spans="1:14" ht="15" customHeight="1">
      <c r="A106" s="158">
        <v>102</v>
      </c>
      <c r="B106" s="93"/>
      <c r="C106" s="94"/>
      <c r="D106" s="94"/>
      <c r="E106" s="93" t="s">
        <v>55</v>
      </c>
      <c r="F106" s="93" t="s">
        <v>56</v>
      </c>
      <c r="G106" s="93"/>
      <c r="H106" s="95"/>
      <c r="I106" s="93"/>
      <c r="J106" s="93"/>
      <c r="K106" s="93"/>
      <c r="L106" s="179"/>
      <c r="M106" s="92"/>
      <c r="N106" s="152" t="str">
        <f t="shared" ca="1" si="1"/>
        <v>Enter the number of homes on the 1_SetUp sheet</v>
      </c>
    </row>
    <row r="107" spans="1:14" ht="15" customHeight="1">
      <c r="A107" s="158">
        <v>103</v>
      </c>
      <c r="B107" s="93"/>
      <c r="C107" s="94"/>
      <c r="D107" s="94"/>
      <c r="E107" s="93" t="s">
        <v>55</v>
      </c>
      <c r="F107" s="93" t="s">
        <v>56</v>
      </c>
      <c r="G107" s="93"/>
      <c r="H107" s="95"/>
      <c r="I107" s="93"/>
      <c r="J107" s="93"/>
      <c r="K107" s="93"/>
      <c r="L107" s="179"/>
      <c r="M107" s="92"/>
      <c r="N107" s="152" t="str">
        <f t="shared" ca="1" si="1"/>
        <v>Enter the number of homes on the 1_SetUp sheet</v>
      </c>
    </row>
    <row r="108" spans="1:14" ht="15" customHeight="1">
      <c r="A108" s="158">
        <v>104</v>
      </c>
      <c r="B108" s="93"/>
      <c r="C108" s="94"/>
      <c r="D108" s="94"/>
      <c r="E108" s="93" t="s">
        <v>55</v>
      </c>
      <c r="F108" s="93" t="s">
        <v>56</v>
      </c>
      <c r="G108" s="93"/>
      <c r="H108" s="95"/>
      <c r="I108" s="93"/>
      <c r="J108" s="93"/>
      <c r="K108" s="93"/>
      <c r="L108" s="179"/>
      <c r="M108" s="92"/>
      <c r="N108" s="152" t="str">
        <f t="shared" ca="1" si="1"/>
        <v>Enter the number of homes on the 1_SetUp sheet</v>
      </c>
    </row>
    <row r="109" spans="1:14" ht="15" customHeight="1">
      <c r="A109" s="158">
        <v>105</v>
      </c>
      <c r="B109" s="93"/>
      <c r="C109" s="94"/>
      <c r="D109" s="94"/>
      <c r="E109" s="93" t="s">
        <v>55</v>
      </c>
      <c r="F109" s="93" t="s">
        <v>56</v>
      </c>
      <c r="G109" s="93"/>
      <c r="H109" s="95"/>
      <c r="I109" s="93"/>
      <c r="J109" s="93"/>
      <c r="K109" s="93"/>
      <c r="L109" s="179"/>
      <c r="M109" s="92"/>
      <c r="N109" s="152" t="str">
        <f t="shared" ca="1" si="1"/>
        <v>Enter the number of homes on the 1_SetUp sheet</v>
      </c>
    </row>
    <row r="110" spans="1:14" ht="15" customHeight="1">
      <c r="A110" s="158">
        <v>106</v>
      </c>
      <c r="B110" s="93"/>
      <c r="C110" s="94"/>
      <c r="D110" s="94"/>
      <c r="E110" s="93" t="s">
        <v>55</v>
      </c>
      <c r="F110" s="93" t="s">
        <v>56</v>
      </c>
      <c r="G110" s="93"/>
      <c r="H110" s="95"/>
      <c r="I110" s="93"/>
      <c r="J110" s="93"/>
      <c r="K110" s="93"/>
      <c r="L110" s="179"/>
      <c r="M110" s="92"/>
      <c r="N110" s="152" t="str">
        <f t="shared" ca="1" si="1"/>
        <v>Enter the number of homes on the 1_SetUp sheet</v>
      </c>
    </row>
    <row r="111" spans="1:14" ht="15" customHeight="1">
      <c r="A111" s="158">
        <v>107</v>
      </c>
      <c r="B111" s="93"/>
      <c r="C111" s="94"/>
      <c r="D111" s="94"/>
      <c r="E111" s="93" t="s">
        <v>55</v>
      </c>
      <c r="F111" s="93" t="s">
        <v>56</v>
      </c>
      <c r="G111" s="93"/>
      <c r="H111" s="95"/>
      <c r="I111" s="93"/>
      <c r="J111" s="93"/>
      <c r="K111" s="93"/>
      <c r="L111" s="179"/>
      <c r="M111" s="92"/>
      <c r="N111" s="152" t="str">
        <f t="shared" ca="1" si="1"/>
        <v>Enter the number of homes on the 1_SetUp sheet</v>
      </c>
    </row>
    <row r="112" spans="1:14" ht="15" customHeight="1">
      <c r="A112" s="158">
        <v>108</v>
      </c>
      <c r="B112" s="93"/>
      <c r="C112" s="94"/>
      <c r="D112" s="94"/>
      <c r="E112" s="93" t="s">
        <v>55</v>
      </c>
      <c r="F112" s="93" t="s">
        <v>56</v>
      </c>
      <c r="G112" s="93"/>
      <c r="H112" s="95"/>
      <c r="I112" s="93"/>
      <c r="J112" s="93"/>
      <c r="K112" s="93"/>
      <c r="L112" s="179"/>
      <c r="M112" s="92"/>
      <c r="N112" s="152" t="str">
        <f t="shared" ca="1" si="1"/>
        <v>Enter the number of homes on the 1_SetUp sheet</v>
      </c>
    </row>
    <row r="113" spans="1:14" ht="15" customHeight="1">
      <c r="A113" s="158">
        <v>109</v>
      </c>
      <c r="B113" s="93"/>
      <c r="C113" s="94"/>
      <c r="D113" s="94"/>
      <c r="E113" s="93" t="s">
        <v>55</v>
      </c>
      <c r="F113" s="93" t="s">
        <v>56</v>
      </c>
      <c r="G113" s="93"/>
      <c r="H113" s="95"/>
      <c r="I113" s="93"/>
      <c r="J113" s="93"/>
      <c r="K113" s="93"/>
      <c r="L113" s="179"/>
      <c r="M113" s="92"/>
      <c r="N113" s="152" t="str">
        <f t="shared" ca="1" si="1"/>
        <v>Enter the number of homes on the 1_SetUp sheet</v>
      </c>
    </row>
    <row r="114" spans="1:14" ht="15" customHeight="1">
      <c r="A114" s="158">
        <v>110</v>
      </c>
      <c r="B114" s="93"/>
      <c r="C114" s="94"/>
      <c r="D114" s="94"/>
      <c r="E114" s="93" t="s">
        <v>55</v>
      </c>
      <c r="F114" s="93" t="s">
        <v>56</v>
      </c>
      <c r="G114" s="93"/>
      <c r="H114" s="95"/>
      <c r="I114" s="93"/>
      <c r="J114" s="93"/>
      <c r="K114" s="93"/>
      <c r="L114" s="179"/>
      <c r="M114" s="92"/>
      <c r="N114" s="152" t="str">
        <f t="shared" ca="1" si="1"/>
        <v>Enter the number of homes on the 1_SetUp sheet</v>
      </c>
    </row>
    <row r="115" spans="1:14" ht="15" customHeight="1">
      <c r="A115" s="158">
        <v>111</v>
      </c>
      <c r="B115" s="93"/>
      <c r="C115" s="94"/>
      <c r="D115" s="94"/>
      <c r="E115" s="93" t="s">
        <v>55</v>
      </c>
      <c r="F115" s="93" t="s">
        <v>56</v>
      </c>
      <c r="G115" s="93"/>
      <c r="H115" s="95"/>
      <c r="I115" s="93"/>
      <c r="J115" s="93"/>
      <c r="K115" s="93"/>
      <c r="L115" s="179"/>
      <c r="M115" s="92"/>
      <c r="N115" s="152" t="str">
        <f t="shared" ca="1" si="1"/>
        <v>Enter the number of homes on the 1_SetUp sheet</v>
      </c>
    </row>
    <row r="116" spans="1:14" ht="15" customHeight="1">
      <c r="A116" s="158">
        <v>112</v>
      </c>
      <c r="B116" s="93"/>
      <c r="C116" s="94"/>
      <c r="D116" s="94"/>
      <c r="E116" s="93" t="s">
        <v>55</v>
      </c>
      <c r="F116" s="93" t="s">
        <v>56</v>
      </c>
      <c r="G116" s="93"/>
      <c r="H116" s="95"/>
      <c r="I116" s="93"/>
      <c r="J116" s="93"/>
      <c r="K116" s="93"/>
      <c r="L116" s="179"/>
      <c r="M116" s="92"/>
      <c r="N116" s="152" t="str">
        <f t="shared" ca="1" si="1"/>
        <v>Enter the number of homes on the 1_SetUp sheet</v>
      </c>
    </row>
    <row r="117" spans="1:14" ht="15" customHeight="1">
      <c r="A117" s="158">
        <v>113</v>
      </c>
      <c r="B117" s="93"/>
      <c r="C117" s="94"/>
      <c r="D117" s="94"/>
      <c r="E117" s="93" t="s">
        <v>55</v>
      </c>
      <c r="F117" s="93" t="s">
        <v>56</v>
      </c>
      <c r="G117" s="93"/>
      <c r="H117" s="95"/>
      <c r="I117" s="93"/>
      <c r="J117" s="93"/>
      <c r="K117" s="93"/>
      <c r="L117" s="179"/>
      <c r="M117" s="92"/>
      <c r="N117" s="152" t="str">
        <f t="shared" ca="1" si="1"/>
        <v>Enter the number of homes on the 1_SetUp sheet</v>
      </c>
    </row>
    <row r="118" spans="1:14" ht="15" customHeight="1">
      <c r="A118" s="158">
        <v>114</v>
      </c>
      <c r="B118" s="93"/>
      <c r="C118" s="94"/>
      <c r="D118" s="94"/>
      <c r="E118" s="93" t="s">
        <v>55</v>
      </c>
      <c r="F118" s="93" t="s">
        <v>56</v>
      </c>
      <c r="G118" s="93"/>
      <c r="H118" s="95"/>
      <c r="I118" s="93"/>
      <c r="J118" s="93"/>
      <c r="K118" s="93"/>
      <c r="L118" s="179"/>
      <c r="M118" s="92"/>
      <c r="N118" s="152" t="str">
        <f t="shared" ca="1" si="1"/>
        <v>Enter the number of homes on the 1_SetUp sheet</v>
      </c>
    </row>
    <row r="119" spans="1:14" ht="15" customHeight="1">
      <c r="A119" s="158">
        <v>115</v>
      </c>
      <c r="B119" s="93"/>
      <c r="C119" s="94"/>
      <c r="D119" s="94"/>
      <c r="E119" s="93" t="s">
        <v>55</v>
      </c>
      <c r="F119" s="93" t="s">
        <v>56</v>
      </c>
      <c r="G119" s="93"/>
      <c r="H119" s="95"/>
      <c r="I119" s="93"/>
      <c r="J119" s="93"/>
      <c r="K119" s="93"/>
      <c r="L119" s="179"/>
      <c r="M119" s="92"/>
      <c r="N119" s="152" t="str">
        <f t="shared" ca="1" si="1"/>
        <v>Enter the number of homes on the 1_SetUp sheet</v>
      </c>
    </row>
    <row r="120" spans="1:14" ht="15" customHeight="1">
      <c r="A120" s="158">
        <v>116</v>
      </c>
      <c r="B120" s="93"/>
      <c r="C120" s="94"/>
      <c r="D120" s="94"/>
      <c r="E120" s="93" t="s">
        <v>55</v>
      </c>
      <c r="F120" s="93" t="s">
        <v>56</v>
      </c>
      <c r="G120" s="93"/>
      <c r="H120" s="95"/>
      <c r="I120" s="93"/>
      <c r="J120" s="93"/>
      <c r="K120" s="93"/>
      <c r="L120" s="179"/>
      <c r="M120" s="92"/>
      <c r="N120" s="152" t="str">
        <f t="shared" ca="1" si="1"/>
        <v>Enter the number of homes on the 1_SetUp sheet</v>
      </c>
    </row>
    <row r="121" spans="1:14" ht="15" customHeight="1">
      <c r="A121" s="158">
        <v>117</v>
      </c>
      <c r="B121" s="93"/>
      <c r="C121" s="94"/>
      <c r="D121" s="94"/>
      <c r="E121" s="93" t="s">
        <v>55</v>
      </c>
      <c r="F121" s="93" t="s">
        <v>56</v>
      </c>
      <c r="G121" s="93"/>
      <c r="H121" s="95"/>
      <c r="I121" s="93"/>
      <c r="J121" s="93"/>
      <c r="K121" s="93"/>
      <c r="L121" s="179"/>
      <c r="M121" s="92"/>
      <c r="N121" s="152" t="str">
        <f t="shared" ca="1" si="1"/>
        <v>Enter the number of homes on the 1_SetUp sheet</v>
      </c>
    </row>
    <row r="122" spans="1:14" ht="15" customHeight="1">
      <c r="A122" s="158">
        <v>118</v>
      </c>
      <c r="B122" s="93"/>
      <c r="C122" s="94"/>
      <c r="D122" s="94"/>
      <c r="E122" s="93" t="s">
        <v>55</v>
      </c>
      <c r="F122" s="93" t="s">
        <v>56</v>
      </c>
      <c r="G122" s="93"/>
      <c r="H122" s="95"/>
      <c r="I122" s="93"/>
      <c r="J122" s="93"/>
      <c r="K122" s="93"/>
      <c r="L122" s="179"/>
      <c r="M122" s="92"/>
      <c r="N122" s="152" t="str">
        <f t="shared" ca="1" si="1"/>
        <v>Enter the number of homes on the 1_SetUp sheet</v>
      </c>
    </row>
    <row r="123" spans="1:14" ht="15" customHeight="1">
      <c r="A123" s="158">
        <v>119</v>
      </c>
      <c r="B123" s="93"/>
      <c r="C123" s="94"/>
      <c r="D123" s="94"/>
      <c r="E123" s="93" t="s">
        <v>55</v>
      </c>
      <c r="F123" s="93" t="s">
        <v>56</v>
      </c>
      <c r="G123" s="93"/>
      <c r="H123" s="95"/>
      <c r="I123" s="93"/>
      <c r="J123" s="93"/>
      <c r="K123" s="93"/>
      <c r="L123" s="179"/>
      <c r="M123" s="92"/>
      <c r="N123" s="152" t="str">
        <f t="shared" ca="1" si="1"/>
        <v>Enter the number of homes on the 1_SetUp sheet</v>
      </c>
    </row>
    <row r="124" spans="1:14" ht="15" customHeight="1">
      <c r="A124" s="158">
        <v>120</v>
      </c>
      <c r="B124" s="93"/>
      <c r="C124" s="94"/>
      <c r="D124" s="94"/>
      <c r="E124" s="93" t="s">
        <v>55</v>
      </c>
      <c r="F124" s="93" t="s">
        <v>56</v>
      </c>
      <c r="G124" s="93"/>
      <c r="H124" s="95"/>
      <c r="I124" s="93"/>
      <c r="J124" s="93"/>
      <c r="K124" s="93"/>
      <c r="L124" s="179"/>
      <c r="M124" s="92"/>
      <c r="N124" s="152" t="str">
        <f t="shared" ca="1" si="1"/>
        <v>Enter the number of homes on the 1_SetUp sheet</v>
      </c>
    </row>
    <row r="125" spans="1:14" ht="15" customHeight="1">
      <c r="A125" s="158">
        <v>121</v>
      </c>
      <c r="B125" s="93"/>
      <c r="C125" s="94"/>
      <c r="D125" s="94"/>
      <c r="E125" s="93" t="s">
        <v>55</v>
      </c>
      <c r="F125" s="93" t="s">
        <v>56</v>
      </c>
      <c r="G125" s="93"/>
      <c r="H125" s="95"/>
      <c r="I125" s="93"/>
      <c r="J125" s="93"/>
      <c r="K125" s="93"/>
      <c r="L125" s="179"/>
      <c r="M125" s="92"/>
      <c r="N125" s="152" t="str">
        <f t="shared" ca="1" si="1"/>
        <v>Enter the number of homes on the 1_SetUp sheet</v>
      </c>
    </row>
    <row r="126" spans="1:14" ht="15" customHeight="1">
      <c r="A126" s="158">
        <v>122</v>
      </c>
      <c r="B126" s="93"/>
      <c r="C126" s="94"/>
      <c r="D126" s="94"/>
      <c r="E126" s="93" t="s">
        <v>55</v>
      </c>
      <c r="F126" s="93" t="s">
        <v>56</v>
      </c>
      <c r="G126" s="93"/>
      <c r="H126" s="95"/>
      <c r="I126" s="93"/>
      <c r="J126" s="93"/>
      <c r="K126" s="93"/>
      <c r="L126" s="179"/>
      <c r="M126" s="92"/>
      <c r="N126" s="152" t="str">
        <f t="shared" ca="1" si="1"/>
        <v>Enter the number of homes on the 1_SetUp sheet</v>
      </c>
    </row>
    <row r="127" spans="1:14" ht="15" customHeight="1">
      <c r="A127" s="158">
        <v>123</v>
      </c>
      <c r="B127" s="93"/>
      <c r="C127" s="94"/>
      <c r="D127" s="94"/>
      <c r="E127" s="93" t="s">
        <v>55</v>
      </c>
      <c r="F127" s="93" t="s">
        <v>56</v>
      </c>
      <c r="G127" s="93"/>
      <c r="H127" s="95"/>
      <c r="I127" s="93"/>
      <c r="J127" s="93"/>
      <c r="K127" s="93"/>
      <c r="L127" s="179"/>
      <c r="M127" s="92"/>
      <c r="N127" s="152" t="str">
        <f t="shared" ca="1" si="1"/>
        <v>Enter the number of homes on the 1_SetUp sheet</v>
      </c>
    </row>
    <row r="128" spans="1:14" ht="15" customHeight="1">
      <c r="A128" s="158">
        <v>124</v>
      </c>
      <c r="B128" s="93"/>
      <c r="C128" s="94"/>
      <c r="D128" s="94"/>
      <c r="E128" s="93" t="s">
        <v>55</v>
      </c>
      <c r="F128" s="93" t="s">
        <v>56</v>
      </c>
      <c r="G128" s="93"/>
      <c r="H128" s="95"/>
      <c r="I128" s="93"/>
      <c r="J128" s="93"/>
      <c r="K128" s="93"/>
      <c r="L128" s="179"/>
      <c r="M128" s="92"/>
      <c r="N128" s="152" t="str">
        <f t="shared" ca="1" si="1"/>
        <v>Enter the number of homes on the 1_SetUp sheet</v>
      </c>
    </row>
    <row r="129" spans="1:14" ht="15" customHeight="1">
      <c r="A129" s="158">
        <v>125</v>
      </c>
      <c r="B129" s="93"/>
      <c r="C129" s="94"/>
      <c r="D129" s="94"/>
      <c r="E129" s="93" t="s">
        <v>55</v>
      </c>
      <c r="F129" s="93" t="s">
        <v>56</v>
      </c>
      <c r="G129" s="93"/>
      <c r="H129" s="95"/>
      <c r="I129" s="93"/>
      <c r="J129" s="93"/>
      <c r="K129" s="93"/>
      <c r="L129" s="179"/>
      <c r="M129" s="92"/>
      <c r="N129" s="152" t="str">
        <f t="shared" ca="1" si="1"/>
        <v>Enter the number of homes on the 1_SetUp sheet</v>
      </c>
    </row>
    <row r="130" spans="1:14" ht="15" customHeight="1">
      <c r="A130" s="158">
        <v>126</v>
      </c>
      <c r="B130" s="93"/>
      <c r="C130" s="94"/>
      <c r="D130" s="94"/>
      <c r="E130" s="93" t="s">
        <v>55</v>
      </c>
      <c r="F130" s="93" t="s">
        <v>56</v>
      </c>
      <c r="G130" s="93"/>
      <c r="H130" s="95"/>
      <c r="I130" s="93"/>
      <c r="J130" s="93"/>
      <c r="K130" s="93"/>
      <c r="L130" s="179"/>
      <c r="M130" s="92"/>
      <c r="N130" s="152" t="str">
        <f t="shared" ca="1" si="1"/>
        <v>Enter the number of homes on the 1_SetUp sheet</v>
      </c>
    </row>
    <row r="131" spans="1:14" ht="15" customHeight="1">
      <c r="A131" s="158">
        <v>127</v>
      </c>
      <c r="B131" s="93"/>
      <c r="C131" s="94"/>
      <c r="D131" s="94"/>
      <c r="E131" s="93" t="s">
        <v>55</v>
      </c>
      <c r="F131" s="93" t="s">
        <v>56</v>
      </c>
      <c r="G131" s="93"/>
      <c r="H131" s="95"/>
      <c r="I131" s="93"/>
      <c r="J131" s="93"/>
      <c r="K131" s="93"/>
      <c r="L131" s="179"/>
      <c r="M131" s="92"/>
      <c r="N131" s="152" t="str">
        <f t="shared" ca="1" si="1"/>
        <v>Enter the number of homes on the 1_SetUp sheet</v>
      </c>
    </row>
    <row r="132" spans="1:14" ht="15" customHeight="1">
      <c r="A132" s="158">
        <v>128</v>
      </c>
      <c r="B132" s="93"/>
      <c r="C132" s="94"/>
      <c r="D132" s="94"/>
      <c r="E132" s="93" t="s">
        <v>55</v>
      </c>
      <c r="F132" s="93" t="s">
        <v>56</v>
      </c>
      <c r="G132" s="93"/>
      <c r="H132" s="95"/>
      <c r="I132" s="93"/>
      <c r="J132" s="93"/>
      <c r="K132" s="93"/>
      <c r="L132" s="179"/>
      <c r="M132" s="92"/>
      <c r="N132" s="152" t="str">
        <f t="shared" ca="1" si="1"/>
        <v>Enter the number of homes on the 1_SetUp sheet</v>
      </c>
    </row>
    <row r="133" spans="1:14" ht="15" customHeight="1">
      <c r="A133" s="158">
        <v>129</v>
      </c>
      <c r="B133" s="93"/>
      <c r="C133" s="94"/>
      <c r="D133" s="94"/>
      <c r="E133" s="93" t="s">
        <v>55</v>
      </c>
      <c r="F133" s="93" t="s">
        <v>56</v>
      </c>
      <c r="G133" s="93"/>
      <c r="H133" s="95"/>
      <c r="I133" s="93"/>
      <c r="J133" s="93"/>
      <c r="K133" s="93"/>
      <c r="L133" s="179"/>
      <c r="M133" s="92"/>
      <c r="N133" s="152" t="str">
        <f t="shared" ref="N133:N196" ca="1" si="2">INDEX(ErrorCheck,MATCH($A133,ErrorCheckPlotNumber,0),MATCH(N$4,ErrorCheckTitle,0))</f>
        <v>Enter the number of homes on the 1_SetUp sheet</v>
      </c>
    </row>
    <row r="134" spans="1:14" ht="15" customHeight="1">
      <c r="A134" s="158">
        <v>130</v>
      </c>
      <c r="B134" s="93"/>
      <c r="C134" s="94"/>
      <c r="D134" s="94"/>
      <c r="E134" s="93" t="s">
        <v>55</v>
      </c>
      <c r="F134" s="93" t="s">
        <v>56</v>
      </c>
      <c r="G134" s="93"/>
      <c r="H134" s="95"/>
      <c r="I134" s="93"/>
      <c r="J134" s="93"/>
      <c r="K134" s="93"/>
      <c r="L134" s="179"/>
      <c r="M134" s="92"/>
      <c r="N134" s="152" t="str">
        <f t="shared" ca="1" si="2"/>
        <v>Enter the number of homes on the 1_SetUp sheet</v>
      </c>
    </row>
    <row r="135" spans="1:14" ht="15" customHeight="1">
      <c r="A135" s="158">
        <v>131</v>
      </c>
      <c r="B135" s="93"/>
      <c r="C135" s="94"/>
      <c r="D135" s="94"/>
      <c r="E135" s="93" t="s">
        <v>55</v>
      </c>
      <c r="F135" s="93" t="s">
        <v>56</v>
      </c>
      <c r="G135" s="93"/>
      <c r="H135" s="95"/>
      <c r="I135" s="93"/>
      <c r="J135" s="93"/>
      <c r="K135" s="93"/>
      <c r="L135" s="179"/>
      <c r="M135" s="92"/>
      <c r="N135" s="152" t="str">
        <f t="shared" ca="1" si="2"/>
        <v>Enter the number of homes on the 1_SetUp sheet</v>
      </c>
    </row>
    <row r="136" spans="1:14" ht="15" customHeight="1">
      <c r="A136" s="158">
        <v>132</v>
      </c>
      <c r="B136" s="93"/>
      <c r="C136" s="94"/>
      <c r="D136" s="94"/>
      <c r="E136" s="93" t="s">
        <v>55</v>
      </c>
      <c r="F136" s="93" t="s">
        <v>56</v>
      </c>
      <c r="G136" s="93"/>
      <c r="H136" s="95"/>
      <c r="I136" s="93"/>
      <c r="J136" s="93"/>
      <c r="K136" s="93"/>
      <c r="L136" s="179"/>
      <c r="M136" s="92"/>
      <c r="N136" s="152" t="str">
        <f t="shared" ca="1" si="2"/>
        <v>Enter the number of homes on the 1_SetUp sheet</v>
      </c>
    </row>
    <row r="137" spans="1:14" ht="15" customHeight="1">
      <c r="A137" s="158">
        <v>133</v>
      </c>
      <c r="B137" s="93"/>
      <c r="C137" s="94"/>
      <c r="D137" s="94"/>
      <c r="E137" s="93" t="s">
        <v>55</v>
      </c>
      <c r="F137" s="93" t="s">
        <v>56</v>
      </c>
      <c r="G137" s="93"/>
      <c r="H137" s="95"/>
      <c r="I137" s="93"/>
      <c r="J137" s="93"/>
      <c r="K137" s="93"/>
      <c r="L137" s="179"/>
      <c r="M137" s="92"/>
      <c r="N137" s="152" t="str">
        <f t="shared" ca="1" si="2"/>
        <v>Enter the number of homes on the 1_SetUp sheet</v>
      </c>
    </row>
    <row r="138" spans="1:14" ht="15" customHeight="1">
      <c r="A138" s="158">
        <v>134</v>
      </c>
      <c r="B138" s="93"/>
      <c r="C138" s="94"/>
      <c r="D138" s="94"/>
      <c r="E138" s="93" t="s">
        <v>55</v>
      </c>
      <c r="F138" s="93" t="s">
        <v>56</v>
      </c>
      <c r="G138" s="93"/>
      <c r="H138" s="95"/>
      <c r="I138" s="93"/>
      <c r="J138" s="93"/>
      <c r="K138" s="93"/>
      <c r="L138" s="179"/>
      <c r="M138" s="92"/>
      <c r="N138" s="152" t="str">
        <f t="shared" ca="1" si="2"/>
        <v>Enter the number of homes on the 1_SetUp sheet</v>
      </c>
    </row>
    <row r="139" spans="1:14" ht="15" customHeight="1">
      <c r="A139" s="158">
        <v>135</v>
      </c>
      <c r="B139" s="93"/>
      <c r="C139" s="94"/>
      <c r="D139" s="94"/>
      <c r="E139" s="93" t="s">
        <v>55</v>
      </c>
      <c r="F139" s="93" t="s">
        <v>56</v>
      </c>
      <c r="G139" s="93"/>
      <c r="H139" s="95"/>
      <c r="I139" s="93"/>
      <c r="J139" s="93"/>
      <c r="K139" s="93"/>
      <c r="L139" s="179"/>
      <c r="M139" s="92"/>
      <c r="N139" s="152" t="str">
        <f t="shared" ca="1" si="2"/>
        <v>Enter the number of homes on the 1_SetUp sheet</v>
      </c>
    </row>
    <row r="140" spans="1:14" ht="15" customHeight="1">
      <c r="A140" s="158">
        <v>136</v>
      </c>
      <c r="B140" s="93"/>
      <c r="C140" s="94"/>
      <c r="D140" s="94"/>
      <c r="E140" s="93" t="s">
        <v>55</v>
      </c>
      <c r="F140" s="93" t="s">
        <v>56</v>
      </c>
      <c r="G140" s="93"/>
      <c r="H140" s="95"/>
      <c r="I140" s="93"/>
      <c r="J140" s="93"/>
      <c r="K140" s="93"/>
      <c r="L140" s="179"/>
      <c r="M140" s="92"/>
      <c r="N140" s="152" t="str">
        <f t="shared" ca="1" si="2"/>
        <v>Enter the number of homes on the 1_SetUp sheet</v>
      </c>
    </row>
    <row r="141" spans="1:14" ht="15" customHeight="1">
      <c r="A141" s="158">
        <v>137</v>
      </c>
      <c r="B141" s="93"/>
      <c r="C141" s="94"/>
      <c r="D141" s="94"/>
      <c r="E141" s="93" t="s">
        <v>55</v>
      </c>
      <c r="F141" s="93" t="s">
        <v>56</v>
      </c>
      <c r="G141" s="93"/>
      <c r="H141" s="95"/>
      <c r="I141" s="93"/>
      <c r="J141" s="93"/>
      <c r="K141" s="93"/>
      <c r="L141" s="179"/>
      <c r="M141" s="92"/>
      <c r="N141" s="152" t="str">
        <f t="shared" ca="1" si="2"/>
        <v>Enter the number of homes on the 1_SetUp sheet</v>
      </c>
    </row>
    <row r="142" spans="1:14" ht="15" customHeight="1">
      <c r="A142" s="158">
        <v>138</v>
      </c>
      <c r="B142" s="93"/>
      <c r="C142" s="94"/>
      <c r="D142" s="94"/>
      <c r="E142" s="93" t="s">
        <v>55</v>
      </c>
      <c r="F142" s="93" t="s">
        <v>56</v>
      </c>
      <c r="G142" s="93"/>
      <c r="H142" s="95"/>
      <c r="I142" s="93"/>
      <c r="J142" s="93"/>
      <c r="K142" s="93"/>
      <c r="L142" s="179"/>
      <c r="M142" s="92"/>
      <c r="N142" s="152" t="str">
        <f t="shared" ca="1" si="2"/>
        <v>Enter the number of homes on the 1_SetUp sheet</v>
      </c>
    </row>
    <row r="143" spans="1:14" ht="15" customHeight="1">
      <c r="A143" s="158">
        <v>139</v>
      </c>
      <c r="B143" s="93"/>
      <c r="C143" s="94"/>
      <c r="D143" s="94"/>
      <c r="E143" s="93" t="s">
        <v>55</v>
      </c>
      <c r="F143" s="93" t="s">
        <v>56</v>
      </c>
      <c r="G143" s="93"/>
      <c r="H143" s="95"/>
      <c r="I143" s="93"/>
      <c r="J143" s="93"/>
      <c r="K143" s="93"/>
      <c r="L143" s="179"/>
      <c r="M143" s="92"/>
      <c r="N143" s="152" t="str">
        <f t="shared" ca="1" si="2"/>
        <v>Enter the number of homes on the 1_SetUp sheet</v>
      </c>
    </row>
    <row r="144" spans="1:14" ht="15" customHeight="1">
      <c r="A144" s="158">
        <v>140</v>
      </c>
      <c r="B144" s="93"/>
      <c r="C144" s="94"/>
      <c r="D144" s="94"/>
      <c r="E144" s="93" t="s">
        <v>55</v>
      </c>
      <c r="F144" s="93" t="s">
        <v>56</v>
      </c>
      <c r="G144" s="93"/>
      <c r="H144" s="95"/>
      <c r="I144" s="93"/>
      <c r="J144" s="93"/>
      <c r="K144" s="93"/>
      <c r="L144" s="179"/>
      <c r="M144" s="92"/>
      <c r="N144" s="152" t="str">
        <f t="shared" ca="1" si="2"/>
        <v>Enter the number of homes on the 1_SetUp sheet</v>
      </c>
    </row>
    <row r="145" spans="1:14" ht="15" customHeight="1">
      <c r="A145" s="158">
        <v>141</v>
      </c>
      <c r="B145" s="93"/>
      <c r="C145" s="94"/>
      <c r="D145" s="94"/>
      <c r="E145" s="93" t="s">
        <v>55</v>
      </c>
      <c r="F145" s="93" t="s">
        <v>56</v>
      </c>
      <c r="G145" s="93"/>
      <c r="H145" s="95"/>
      <c r="I145" s="93"/>
      <c r="J145" s="93"/>
      <c r="K145" s="93"/>
      <c r="L145" s="179"/>
      <c r="M145" s="92"/>
      <c r="N145" s="152" t="str">
        <f t="shared" ca="1" si="2"/>
        <v>Enter the number of homes on the 1_SetUp sheet</v>
      </c>
    </row>
    <row r="146" spans="1:14" ht="15" customHeight="1">
      <c r="A146" s="158">
        <v>142</v>
      </c>
      <c r="B146" s="93"/>
      <c r="C146" s="94"/>
      <c r="D146" s="94"/>
      <c r="E146" s="93" t="s">
        <v>55</v>
      </c>
      <c r="F146" s="93" t="s">
        <v>56</v>
      </c>
      <c r="G146" s="93"/>
      <c r="H146" s="95"/>
      <c r="I146" s="93"/>
      <c r="J146" s="93"/>
      <c r="K146" s="93"/>
      <c r="L146" s="179"/>
      <c r="M146" s="92"/>
      <c r="N146" s="152" t="str">
        <f t="shared" ca="1" si="2"/>
        <v>Enter the number of homes on the 1_SetUp sheet</v>
      </c>
    </row>
    <row r="147" spans="1:14" ht="15" customHeight="1">
      <c r="A147" s="158">
        <v>143</v>
      </c>
      <c r="B147" s="93"/>
      <c r="C147" s="94"/>
      <c r="D147" s="94"/>
      <c r="E147" s="93" t="s">
        <v>55</v>
      </c>
      <c r="F147" s="93" t="s">
        <v>56</v>
      </c>
      <c r="G147" s="93"/>
      <c r="H147" s="95"/>
      <c r="I147" s="93"/>
      <c r="J147" s="93"/>
      <c r="K147" s="93"/>
      <c r="L147" s="179"/>
      <c r="M147" s="92"/>
      <c r="N147" s="152" t="str">
        <f t="shared" ca="1" si="2"/>
        <v>Enter the number of homes on the 1_SetUp sheet</v>
      </c>
    </row>
    <row r="148" spans="1:14" ht="15" customHeight="1">
      <c r="A148" s="158">
        <v>144</v>
      </c>
      <c r="B148" s="93"/>
      <c r="C148" s="94"/>
      <c r="D148" s="94"/>
      <c r="E148" s="93" t="s">
        <v>55</v>
      </c>
      <c r="F148" s="93" t="s">
        <v>56</v>
      </c>
      <c r="G148" s="93"/>
      <c r="H148" s="95"/>
      <c r="I148" s="93"/>
      <c r="J148" s="93"/>
      <c r="K148" s="93"/>
      <c r="L148" s="179"/>
      <c r="M148" s="92"/>
      <c r="N148" s="152" t="str">
        <f t="shared" ca="1" si="2"/>
        <v>Enter the number of homes on the 1_SetUp sheet</v>
      </c>
    </row>
    <row r="149" spans="1:14" ht="15" customHeight="1">
      <c r="A149" s="158">
        <v>145</v>
      </c>
      <c r="B149" s="93"/>
      <c r="C149" s="94"/>
      <c r="D149" s="94"/>
      <c r="E149" s="93" t="s">
        <v>55</v>
      </c>
      <c r="F149" s="93" t="s">
        <v>56</v>
      </c>
      <c r="G149" s="93"/>
      <c r="H149" s="95"/>
      <c r="I149" s="93"/>
      <c r="J149" s="93"/>
      <c r="K149" s="93"/>
      <c r="L149" s="179"/>
      <c r="M149" s="92"/>
      <c r="N149" s="152" t="str">
        <f t="shared" ca="1" si="2"/>
        <v>Enter the number of homes on the 1_SetUp sheet</v>
      </c>
    </row>
    <row r="150" spans="1:14" ht="15" customHeight="1">
      <c r="A150" s="158">
        <v>146</v>
      </c>
      <c r="B150" s="93"/>
      <c r="C150" s="94"/>
      <c r="D150" s="94"/>
      <c r="E150" s="93" t="s">
        <v>55</v>
      </c>
      <c r="F150" s="93" t="s">
        <v>56</v>
      </c>
      <c r="G150" s="93"/>
      <c r="H150" s="95"/>
      <c r="I150" s="93"/>
      <c r="J150" s="93"/>
      <c r="K150" s="93"/>
      <c r="L150" s="179"/>
      <c r="M150" s="92"/>
      <c r="N150" s="152" t="str">
        <f t="shared" ca="1" si="2"/>
        <v>Enter the number of homes on the 1_SetUp sheet</v>
      </c>
    </row>
    <row r="151" spans="1:14" ht="15" customHeight="1">
      <c r="A151" s="158">
        <v>147</v>
      </c>
      <c r="B151" s="93"/>
      <c r="C151" s="94"/>
      <c r="D151" s="94"/>
      <c r="E151" s="93" t="s">
        <v>55</v>
      </c>
      <c r="F151" s="93" t="s">
        <v>56</v>
      </c>
      <c r="G151" s="93"/>
      <c r="H151" s="95"/>
      <c r="I151" s="93"/>
      <c r="J151" s="93"/>
      <c r="K151" s="93"/>
      <c r="L151" s="179"/>
      <c r="M151" s="92"/>
      <c r="N151" s="152" t="str">
        <f t="shared" ca="1" si="2"/>
        <v>Enter the number of homes on the 1_SetUp sheet</v>
      </c>
    </row>
    <row r="152" spans="1:14" ht="15" customHeight="1">
      <c r="A152" s="158">
        <v>148</v>
      </c>
      <c r="B152" s="93"/>
      <c r="C152" s="94"/>
      <c r="D152" s="94"/>
      <c r="E152" s="93" t="s">
        <v>55</v>
      </c>
      <c r="F152" s="93" t="s">
        <v>56</v>
      </c>
      <c r="G152" s="93"/>
      <c r="H152" s="95"/>
      <c r="I152" s="93"/>
      <c r="J152" s="93"/>
      <c r="K152" s="93"/>
      <c r="L152" s="179"/>
      <c r="M152" s="92"/>
      <c r="N152" s="152" t="str">
        <f t="shared" ca="1" si="2"/>
        <v>Enter the number of homes on the 1_SetUp sheet</v>
      </c>
    </row>
    <row r="153" spans="1:14" ht="15" customHeight="1">
      <c r="A153" s="158">
        <v>149</v>
      </c>
      <c r="B153" s="93"/>
      <c r="C153" s="94"/>
      <c r="D153" s="94"/>
      <c r="E153" s="93" t="s">
        <v>55</v>
      </c>
      <c r="F153" s="93" t="s">
        <v>56</v>
      </c>
      <c r="G153" s="93"/>
      <c r="H153" s="95"/>
      <c r="I153" s="93"/>
      <c r="J153" s="93"/>
      <c r="K153" s="93"/>
      <c r="L153" s="179"/>
      <c r="M153" s="92"/>
      <c r="N153" s="152" t="str">
        <f t="shared" ca="1" si="2"/>
        <v>Enter the number of homes on the 1_SetUp sheet</v>
      </c>
    </row>
    <row r="154" spans="1:14" ht="15" customHeight="1">
      <c r="A154" s="158">
        <v>150</v>
      </c>
      <c r="B154" s="93"/>
      <c r="C154" s="94"/>
      <c r="D154" s="94"/>
      <c r="E154" s="93" t="s">
        <v>55</v>
      </c>
      <c r="F154" s="93" t="s">
        <v>56</v>
      </c>
      <c r="G154" s="93"/>
      <c r="H154" s="95"/>
      <c r="I154" s="93"/>
      <c r="J154" s="93"/>
      <c r="K154" s="93"/>
      <c r="L154" s="179"/>
      <c r="M154" s="92"/>
      <c r="N154" s="152" t="str">
        <f t="shared" ca="1" si="2"/>
        <v>Enter the number of homes on the 1_SetUp sheet</v>
      </c>
    </row>
    <row r="155" spans="1:14" ht="15" customHeight="1">
      <c r="A155" s="158">
        <v>151</v>
      </c>
      <c r="B155" s="93"/>
      <c r="C155" s="94"/>
      <c r="D155" s="94"/>
      <c r="E155" s="93" t="s">
        <v>55</v>
      </c>
      <c r="F155" s="93" t="s">
        <v>56</v>
      </c>
      <c r="G155" s="93"/>
      <c r="H155" s="95"/>
      <c r="I155" s="93"/>
      <c r="J155" s="93"/>
      <c r="K155" s="93"/>
      <c r="L155" s="179"/>
      <c r="M155" s="92"/>
      <c r="N155" s="152" t="str">
        <f t="shared" ca="1" si="2"/>
        <v>Enter the number of homes on the 1_SetUp sheet</v>
      </c>
    </row>
    <row r="156" spans="1:14" ht="15" customHeight="1">
      <c r="A156" s="158">
        <v>152</v>
      </c>
      <c r="B156" s="93"/>
      <c r="C156" s="94"/>
      <c r="D156" s="94"/>
      <c r="E156" s="93" t="s">
        <v>55</v>
      </c>
      <c r="F156" s="93" t="s">
        <v>56</v>
      </c>
      <c r="G156" s="93"/>
      <c r="H156" s="95"/>
      <c r="I156" s="93"/>
      <c r="J156" s="93"/>
      <c r="K156" s="93"/>
      <c r="L156" s="179"/>
      <c r="M156" s="92"/>
      <c r="N156" s="152" t="str">
        <f t="shared" ca="1" si="2"/>
        <v>Enter the number of homes on the 1_SetUp sheet</v>
      </c>
    </row>
    <row r="157" spans="1:14" ht="15" customHeight="1">
      <c r="A157" s="158">
        <v>153</v>
      </c>
      <c r="B157" s="93"/>
      <c r="C157" s="94"/>
      <c r="D157" s="94"/>
      <c r="E157" s="93" t="s">
        <v>55</v>
      </c>
      <c r="F157" s="93" t="s">
        <v>56</v>
      </c>
      <c r="G157" s="93"/>
      <c r="H157" s="95"/>
      <c r="I157" s="93"/>
      <c r="J157" s="93"/>
      <c r="K157" s="93"/>
      <c r="L157" s="179"/>
      <c r="M157" s="92"/>
      <c r="N157" s="152" t="str">
        <f t="shared" ca="1" si="2"/>
        <v>Enter the number of homes on the 1_SetUp sheet</v>
      </c>
    </row>
    <row r="158" spans="1:14" ht="15" customHeight="1">
      <c r="A158" s="158">
        <v>154</v>
      </c>
      <c r="B158" s="93"/>
      <c r="C158" s="94"/>
      <c r="D158" s="94"/>
      <c r="E158" s="93" t="s">
        <v>55</v>
      </c>
      <c r="F158" s="93" t="s">
        <v>56</v>
      </c>
      <c r="G158" s="93"/>
      <c r="H158" s="95"/>
      <c r="I158" s="93"/>
      <c r="J158" s="93"/>
      <c r="K158" s="93"/>
      <c r="L158" s="179"/>
      <c r="M158" s="92"/>
      <c r="N158" s="152" t="str">
        <f t="shared" ca="1" si="2"/>
        <v>Enter the number of homes on the 1_SetUp sheet</v>
      </c>
    </row>
    <row r="159" spans="1:14" ht="15" customHeight="1">
      <c r="A159" s="158">
        <v>155</v>
      </c>
      <c r="B159" s="93"/>
      <c r="C159" s="94"/>
      <c r="D159" s="94"/>
      <c r="E159" s="93" t="s">
        <v>55</v>
      </c>
      <c r="F159" s="93" t="s">
        <v>56</v>
      </c>
      <c r="G159" s="93"/>
      <c r="H159" s="95"/>
      <c r="I159" s="93"/>
      <c r="J159" s="93"/>
      <c r="K159" s="93"/>
      <c r="L159" s="179"/>
      <c r="M159" s="92"/>
      <c r="N159" s="152" t="str">
        <f t="shared" ca="1" si="2"/>
        <v>Enter the number of homes on the 1_SetUp sheet</v>
      </c>
    </row>
    <row r="160" spans="1:14" ht="15" customHeight="1">
      <c r="A160" s="158">
        <v>156</v>
      </c>
      <c r="B160" s="93"/>
      <c r="C160" s="94"/>
      <c r="D160" s="94"/>
      <c r="E160" s="93" t="s">
        <v>55</v>
      </c>
      <c r="F160" s="93" t="s">
        <v>56</v>
      </c>
      <c r="G160" s="93"/>
      <c r="H160" s="95"/>
      <c r="I160" s="93"/>
      <c r="J160" s="93"/>
      <c r="K160" s="93"/>
      <c r="L160" s="179"/>
      <c r="M160" s="92"/>
      <c r="N160" s="152" t="str">
        <f t="shared" ca="1" si="2"/>
        <v>Enter the number of homes on the 1_SetUp sheet</v>
      </c>
    </row>
    <row r="161" spans="1:14" ht="15" customHeight="1">
      <c r="A161" s="158">
        <v>157</v>
      </c>
      <c r="B161" s="93"/>
      <c r="C161" s="94"/>
      <c r="D161" s="94"/>
      <c r="E161" s="93" t="s">
        <v>55</v>
      </c>
      <c r="F161" s="93" t="s">
        <v>56</v>
      </c>
      <c r="G161" s="93"/>
      <c r="H161" s="95"/>
      <c r="I161" s="93"/>
      <c r="J161" s="93"/>
      <c r="K161" s="93"/>
      <c r="L161" s="179"/>
      <c r="M161" s="92"/>
      <c r="N161" s="152" t="str">
        <f t="shared" ca="1" si="2"/>
        <v>Enter the number of homes on the 1_SetUp sheet</v>
      </c>
    </row>
    <row r="162" spans="1:14" ht="15" customHeight="1">
      <c r="A162" s="158">
        <v>158</v>
      </c>
      <c r="B162" s="93"/>
      <c r="C162" s="94"/>
      <c r="D162" s="94"/>
      <c r="E162" s="93" t="s">
        <v>55</v>
      </c>
      <c r="F162" s="93" t="s">
        <v>56</v>
      </c>
      <c r="G162" s="93"/>
      <c r="H162" s="95"/>
      <c r="I162" s="93"/>
      <c r="J162" s="93"/>
      <c r="K162" s="93"/>
      <c r="L162" s="179"/>
      <c r="M162" s="92"/>
      <c r="N162" s="152" t="str">
        <f t="shared" ca="1" si="2"/>
        <v>Enter the number of homes on the 1_SetUp sheet</v>
      </c>
    </row>
    <row r="163" spans="1:14" ht="15" customHeight="1">
      <c r="A163" s="158">
        <v>159</v>
      </c>
      <c r="B163" s="93"/>
      <c r="C163" s="94"/>
      <c r="D163" s="94"/>
      <c r="E163" s="93" t="s">
        <v>55</v>
      </c>
      <c r="F163" s="93" t="s">
        <v>56</v>
      </c>
      <c r="G163" s="93"/>
      <c r="H163" s="95"/>
      <c r="I163" s="93"/>
      <c r="J163" s="93"/>
      <c r="K163" s="93"/>
      <c r="L163" s="179"/>
      <c r="M163" s="92"/>
      <c r="N163" s="152" t="str">
        <f t="shared" ca="1" si="2"/>
        <v>Enter the number of homes on the 1_SetUp sheet</v>
      </c>
    </row>
    <row r="164" spans="1:14" ht="15" customHeight="1">
      <c r="A164" s="158">
        <v>160</v>
      </c>
      <c r="B164" s="93"/>
      <c r="C164" s="94"/>
      <c r="D164" s="94"/>
      <c r="E164" s="93" t="s">
        <v>55</v>
      </c>
      <c r="F164" s="93" t="s">
        <v>56</v>
      </c>
      <c r="G164" s="93"/>
      <c r="H164" s="95"/>
      <c r="I164" s="93"/>
      <c r="J164" s="93"/>
      <c r="K164" s="93"/>
      <c r="L164" s="179"/>
      <c r="M164" s="92"/>
      <c r="N164" s="152" t="str">
        <f t="shared" ca="1" si="2"/>
        <v>Enter the number of homes on the 1_SetUp sheet</v>
      </c>
    </row>
    <row r="165" spans="1:14" ht="15" customHeight="1">
      <c r="A165" s="158">
        <v>161</v>
      </c>
      <c r="B165" s="93"/>
      <c r="C165" s="94"/>
      <c r="D165" s="94"/>
      <c r="E165" s="93" t="s">
        <v>55</v>
      </c>
      <c r="F165" s="93" t="s">
        <v>56</v>
      </c>
      <c r="G165" s="93"/>
      <c r="H165" s="95"/>
      <c r="I165" s="93"/>
      <c r="J165" s="93"/>
      <c r="K165" s="93"/>
      <c r="L165" s="179"/>
      <c r="M165" s="92"/>
      <c r="N165" s="152" t="str">
        <f t="shared" ca="1" si="2"/>
        <v>Enter the number of homes on the 1_SetUp sheet</v>
      </c>
    </row>
    <row r="166" spans="1:14" ht="15" customHeight="1">
      <c r="A166" s="158">
        <v>162</v>
      </c>
      <c r="B166" s="93"/>
      <c r="C166" s="94"/>
      <c r="D166" s="94"/>
      <c r="E166" s="93" t="s">
        <v>55</v>
      </c>
      <c r="F166" s="93" t="s">
        <v>56</v>
      </c>
      <c r="G166" s="93"/>
      <c r="H166" s="95"/>
      <c r="I166" s="93"/>
      <c r="J166" s="93"/>
      <c r="K166" s="93"/>
      <c r="L166" s="179"/>
      <c r="M166" s="92"/>
      <c r="N166" s="152" t="str">
        <f t="shared" ca="1" si="2"/>
        <v>Enter the number of homes on the 1_SetUp sheet</v>
      </c>
    </row>
    <row r="167" spans="1:14" ht="15" customHeight="1">
      <c r="A167" s="158">
        <v>163</v>
      </c>
      <c r="B167" s="93"/>
      <c r="C167" s="94"/>
      <c r="D167" s="94"/>
      <c r="E167" s="93" t="s">
        <v>55</v>
      </c>
      <c r="F167" s="93" t="s">
        <v>56</v>
      </c>
      <c r="G167" s="93"/>
      <c r="H167" s="95"/>
      <c r="I167" s="93"/>
      <c r="J167" s="93"/>
      <c r="K167" s="93"/>
      <c r="L167" s="179"/>
      <c r="M167" s="92"/>
      <c r="N167" s="152" t="str">
        <f t="shared" ca="1" si="2"/>
        <v>Enter the number of homes on the 1_SetUp sheet</v>
      </c>
    </row>
    <row r="168" spans="1:14" ht="15" customHeight="1">
      <c r="A168" s="158">
        <v>164</v>
      </c>
      <c r="B168" s="93"/>
      <c r="C168" s="94"/>
      <c r="D168" s="94"/>
      <c r="E168" s="93" t="s">
        <v>55</v>
      </c>
      <c r="F168" s="93" t="s">
        <v>56</v>
      </c>
      <c r="G168" s="93"/>
      <c r="H168" s="95"/>
      <c r="I168" s="93"/>
      <c r="J168" s="93"/>
      <c r="K168" s="93"/>
      <c r="L168" s="179"/>
      <c r="M168" s="92"/>
      <c r="N168" s="152" t="str">
        <f t="shared" ca="1" si="2"/>
        <v>Enter the number of homes on the 1_SetUp sheet</v>
      </c>
    </row>
    <row r="169" spans="1:14" ht="15" customHeight="1">
      <c r="A169" s="158">
        <v>165</v>
      </c>
      <c r="B169" s="93"/>
      <c r="C169" s="94"/>
      <c r="D169" s="94"/>
      <c r="E169" s="93" t="s">
        <v>55</v>
      </c>
      <c r="F169" s="93" t="s">
        <v>56</v>
      </c>
      <c r="G169" s="93"/>
      <c r="H169" s="95"/>
      <c r="I169" s="93"/>
      <c r="J169" s="93"/>
      <c r="K169" s="93"/>
      <c r="L169" s="179"/>
      <c r="M169" s="92"/>
      <c r="N169" s="152" t="str">
        <f t="shared" ca="1" si="2"/>
        <v>Enter the number of homes on the 1_SetUp sheet</v>
      </c>
    </row>
    <row r="170" spans="1:14" ht="15" customHeight="1">
      <c r="A170" s="158">
        <v>166</v>
      </c>
      <c r="B170" s="93"/>
      <c r="C170" s="94"/>
      <c r="D170" s="94"/>
      <c r="E170" s="93" t="s">
        <v>55</v>
      </c>
      <c r="F170" s="93" t="s">
        <v>56</v>
      </c>
      <c r="G170" s="93"/>
      <c r="H170" s="95"/>
      <c r="I170" s="93"/>
      <c r="J170" s="93"/>
      <c r="K170" s="93"/>
      <c r="L170" s="179"/>
      <c r="M170" s="92"/>
      <c r="N170" s="152" t="str">
        <f t="shared" ca="1" si="2"/>
        <v>Enter the number of homes on the 1_SetUp sheet</v>
      </c>
    </row>
    <row r="171" spans="1:14" ht="15" customHeight="1">
      <c r="A171" s="158">
        <v>167</v>
      </c>
      <c r="B171" s="93"/>
      <c r="C171" s="94"/>
      <c r="D171" s="94"/>
      <c r="E171" s="93" t="s">
        <v>55</v>
      </c>
      <c r="F171" s="93" t="s">
        <v>56</v>
      </c>
      <c r="G171" s="93"/>
      <c r="H171" s="95"/>
      <c r="I171" s="93"/>
      <c r="J171" s="93"/>
      <c r="K171" s="93"/>
      <c r="L171" s="179"/>
      <c r="M171" s="92"/>
      <c r="N171" s="152" t="str">
        <f t="shared" ca="1" si="2"/>
        <v>Enter the number of homes on the 1_SetUp sheet</v>
      </c>
    </row>
    <row r="172" spans="1:14" ht="15" customHeight="1">
      <c r="A172" s="158">
        <v>168</v>
      </c>
      <c r="B172" s="93"/>
      <c r="C172" s="94"/>
      <c r="D172" s="94"/>
      <c r="E172" s="93" t="s">
        <v>55</v>
      </c>
      <c r="F172" s="93" t="s">
        <v>56</v>
      </c>
      <c r="G172" s="93"/>
      <c r="H172" s="95"/>
      <c r="I172" s="93"/>
      <c r="J172" s="93"/>
      <c r="K172" s="93"/>
      <c r="L172" s="179"/>
      <c r="M172" s="92"/>
      <c r="N172" s="152" t="str">
        <f t="shared" ca="1" si="2"/>
        <v>Enter the number of homes on the 1_SetUp sheet</v>
      </c>
    </row>
    <row r="173" spans="1:14" ht="15" customHeight="1">
      <c r="A173" s="158">
        <v>169</v>
      </c>
      <c r="B173" s="93"/>
      <c r="C173" s="94"/>
      <c r="D173" s="94"/>
      <c r="E173" s="93" t="s">
        <v>55</v>
      </c>
      <c r="F173" s="93" t="s">
        <v>56</v>
      </c>
      <c r="G173" s="93"/>
      <c r="H173" s="95"/>
      <c r="I173" s="93"/>
      <c r="J173" s="93"/>
      <c r="K173" s="93"/>
      <c r="L173" s="179"/>
      <c r="M173" s="92"/>
      <c r="N173" s="152" t="str">
        <f t="shared" ca="1" si="2"/>
        <v>Enter the number of homes on the 1_SetUp sheet</v>
      </c>
    </row>
    <row r="174" spans="1:14" ht="15" customHeight="1">
      <c r="A174" s="158">
        <v>170</v>
      </c>
      <c r="B174" s="93"/>
      <c r="C174" s="94"/>
      <c r="D174" s="94"/>
      <c r="E174" s="93" t="s">
        <v>55</v>
      </c>
      <c r="F174" s="93" t="s">
        <v>56</v>
      </c>
      <c r="G174" s="93"/>
      <c r="H174" s="95"/>
      <c r="I174" s="93"/>
      <c r="J174" s="93"/>
      <c r="K174" s="93"/>
      <c r="L174" s="179"/>
      <c r="M174" s="92"/>
      <c r="N174" s="152" t="str">
        <f t="shared" ca="1" si="2"/>
        <v>Enter the number of homes on the 1_SetUp sheet</v>
      </c>
    </row>
    <row r="175" spans="1:14" ht="15" customHeight="1">
      <c r="A175" s="158">
        <v>171</v>
      </c>
      <c r="B175" s="93"/>
      <c r="C175" s="94"/>
      <c r="D175" s="94"/>
      <c r="E175" s="93" t="s">
        <v>55</v>
      </c>
      <c r="F175" s="93" t="s">
        <v>56</v>
      </c>
      <c r="G175" s="93"/>
      <c r="H175" s="95"/>
      <c r="I175" s="93"/>
      <c r="J175" s="93"/>
      <c r="K175" s="93"/>
      <c r="L175" s="179"/>
      <c r="M175" s="92"/>
      <c r="N175" s="152" t="str">
        <f t="shared" ca="1" si="2"/>
        <v>Enter the number of homes on the 1_SetUp sheet</v>
      </c>
    </row>
    <row r="176" spans="1:14" ht="15" customHeight="1">
      <c r="A176" s="158">
        <v>172</v>
      </c>
      <c r="B176" s="93"/>
      <c r="C176" s="94"/>
      <c r="D176" s="94"/>
      <c r="E176" s="93" t="s">
        <v>55</v>
      </c>
      <c r="F176" s="93" t="s">
        <v>56</v>
      </c>
      <c r="G176" s="93"/>
      <c r="H176" s="95"/>
      <c r="I176" s="93"/>
      <c r="J176" s="93"/>
      <c r="K176" s="93"/>
      <c r="L176" s="179"/>
      <c r="M176" s="92"/>
      <c r="N176" s="152" t="str">
        <f t="shared" ca="1" si="2"/>
        <v>Enter the number of homes on the 1_SetUp sheet</v>
      </c>
    </row>
    <row r="177" spans="1:14" ht="15" customHeight="1">
      <c r="A177" s="158">
        <v>173</v>
      </c>
      <c r="B177" s="93"/>
      <c r="C177" s="94"/>
      <c r="D177" s="94"/>
      <c r="E177" s="93" t="s">
        <v>55</v>
      </c>
      <c r="F177" s="93" t="s">
        <v>56</v>
      </c>
      <c r="G177" s="93"/>
      <c r="H177" s="95"/>
      <c r="I177" s="93"/>
      <c r="J177" s="93"/>
      <c r="K177" s="93"/>
      <c r="L177" s="179"/>
      <c r="M177" s="92"/>
      <c r="N177" s="152" t="str">
        <f t="shared" ca="1" si="2"/>
        <v>Enter the number of homes on the 1_SetUp sheet</v>
      </c>
    </row>
    <row r="178" spans="1:14" ht="15" customHeight="1">
      <c r="A178" s="158">
        <v>174</v>
      </c>
      <c r="B178" s="93"/>
      <c r="C178" s="94"/>
      <c r="D178" s="94"/>
      <c r="E178" s="93" t="s">
        <v>55</v>
      </c>
      <c r="F178" s="93" t="s">
        <v>56</v>
      </c>
      <c r="G178" s="93"/>
      <c r="H178" s="95"/>
      <c r="I178" s="93"/>
      <c r="J178" s="93"/>
      <c r="K178" s="93"/>
      <c r="L178" s="179"/>
      <c r="M178" s="92"/>
      <c r="N178" s="152" t="str">
        <f t="shared" ca="1" si="2"/>
        <v>Enter the number of homes on the 1_SetUp sheet</v>
      </c>
    </row>
    <row r="179" spans="1:14" ht="15" customHeight="1">
      <c r="A179" s="158">
        <v>175</v>
      </c>
      <c r="B179" s="93"/>
      <c r="C179" s="94"/>
      <c r="D179" s="94"/>
      <c r="E179" s="93" t="s">
        <v>55</v>
      </c>
      <c r="F179" s="93" t="s">
        <v>56</v>
      </c>
      <c r="G179" s="93"/>
      <c r="H179" s="95"/>
      <c r="I179" s="93"/>
      <c r="J179" s="93"/>
      <c r="K179" s="93"/>
      <c r="L179" s="179"/>
      <c r="M179" s="92"/>
      <c r="N179" s="152" t="str">
        <f t="shared" ca="1" si="2"/>
        <v>Enter the number of homes on the 1_SetUp sheet</v>
      </c>
    </row>
    <row r="180" spans="1:14" ht="15" customHeight="1">
      <c r="A180" s="158">
        <v>176</v>
      </c>
      <c r="B180" s="93"/>
      <c r="C180" s="94"/>
      <c r="D180" s="94"/>
      <c r="E180" s="93" t="s">
        <v>55</v>
      </c>
      <c r="F180" s="93" t="s">
        <v>56</v>
      </c>
      <c r="G180" s="93"/>
      <c r="H180" s="95"/>
      <c r="I180" s="93"/>
      <c r="J180" s="93"/>
      <c r="K180" s="93"/>
      <c r="L180" s="179"/>
      <c r="M180" s="92"/>
      <c r="N180" s="152" t="str">
        <f t="shared" ca="1" si="2"/>
        <v>Enter the number of homes on the 1_SetUp sheet</v>
      </c>
    </row>
    <row r="181" spans="1:14" ht="15" customHeight="1">
      <c r="A181" s="158">
        <v>177</v>
      </c>
      <c r="B181" s="93"/>
      <c r="C181" s="94"/>
      <c r="D181" s="94"/>
      <c r="E181" s="93" t="s">
        <v>55</v>
      </c>
      <c r="F181" s="93" t="s">
        <v>56</v>
      </c>
      <c r="G181" s="93"/>
      <c r="H181" s="95"/>
      <c r="I181" s="93"/>
      <c r="J181" s="93"/>
      <c r="K181" s="93"/>
      <c r="L181" s="179"/>
      <c r="M181" s="92"/>
      <c r="N181" s="152" t="str">
        <f t="shared" ca="1" si="2"/>
        <v>Enter the number of homes on the 1_SetUp sheet</v>
      </c>
    </row>
    <row r="182" spans="1:14" ht="15" customHeight="1">
      <c r="A182" s="158">
        <v>178</v>
      </c>
      <c r="B182" s="93"/>
      <c r="C182" s="94"/>
      <c r="D182" s="94"/>
      <c r="E182" s="93" t="s">
        <v>55</v>
      </c>
      <c r="F182" s="93" t="s">
        <v>56</v>
      </c>
      <c r="G182" s="93"/>
      <c r="H182" s="95"/>
      <c r="I182" s="93"/>
      <c r="J182" s="93"/>
      <c r="K182" s="93"/>
      <c r="L182" s="179"/>
      <c r="M182" s="92"/>
      <c r="N182" s="152" t="str">
        <f t="shared" ca="1" si="2"/>
        <v>Enter the number of homes on the 1_SetUp sheet</v>
      </c>
    </row>
    <row r="183" spans="1:14" ht="15" customHeight="1">
      <c r="A183" s="158">
        <v>179</v>
      </c>
      <c r="B183" s="93"/>
      <c r="C183" s="94"/>
      <c r="D183" s="94"/>
      <c r="E183" s="93" t="s">
        <v>55</v>
      </c>
      <c r="F183" s="93" t="s">
        <v>56</v>
      </c>
      <c r="G183" s="93"/>
      <c r="H183" s="95"/>
      <c r="I183" s="93"/>
      <c r="J183" s="93"/>
      <c r="K183" s="93"/>
      <c r="L183" s="179"/>
      <c r="M183" s="92"/>
      <c r="N183" s="152" t="str">
        <f t="shared" ca="1" si="2"/>
        <v>Enter the number of homes on the 1_SetUp sheet</v>
      </c>
    </row>
    <row r="184" spans="1:14" ht="15" customHeight="1">
      <c r="A184" s="158">
        <v>180</v>
      </c>
      <c r="B184" s="93"/>
      <c r="C184" s="94"/>
      <c r="D184" s="94"/>
      <c r="E184" s="93" t="s">
        <v>55</v>
      </c>
      <c r="F184" s="93" t="s">
        <v>56</v>
      </c>
      <c r="G184" s="93"/>
      <c r="H184" s="95"/>
      <c r="I184" s="93"/>
      <c r="J184" s="93"/>
      <c r="K184" s="93"/>
      <c r="L184" s="179"/>
      <c r="M184" s="92"/>
      <c r="N184" s="152" t="str">
        <f t="shared" ca="1" si="2"/>
        <v>Enter the number of homes on the 1_SetUp sheet</v>
      </c>
    </row>
    <row r="185" spans="1:14" ht="15" customHeight="1">
      <c r="A185" s="158">
        <v>181</v>
      </c>
      <c r="B185" s="93"/>
      <c r="C185" s="94"/>
      <c r="D185" s="94"/>
      <c r="E185" s="93" t="s">
        <v>55</v>
      </c>
      <c r="F185" s="93" t="s">
        <v>56</v>
      </c>
      <c r="G185" s="93"/>
      <c r="H185" s="95"/>
      <c r="I185" s="93"/>
      <c r="J185" s="93"/>
      <c r="K185" s="93"/>
      <c r="L185" s="179"/>
      <c r="M185" s="92"/>
      <c r="N185" s="152" t="str">
        <f t="shared" ca="1" si="2"/>
        <v>Enter the number of homes on the 1_SetUp sheet</v>
      </c>
    </row>
    <row r="186" spans="1:14" ht="15" customHeight="1">
      <c r="A186" s="158">
        <v>182</v>
      </c>
      <c r="B186" s="93"/>
      <c r="C186" s="94"/>
      <c r="D186" s="94"/>
      <c r="E186" s="93" t="s">
        <v>55</v>
      </c>
      <c r="F186" s="93" t="s">
        <v>56</v>
      </c>
      <c r="G186" s="93"/>
      <c r="H186" s="95"/>
      <c r="I186" s="93"/>
      <c r="J186" s="93"/>
      <c r="K186" s="93"/>
      <c r="L186" s="179"/>
      <c r="M186" s="92"/>
      <c r="N186" s="152" t="str">
        <f t="shared" ca="1" si="2"/>
        <v>Enter the number of homes on the 1_SetUp sheet</v>
      </c>
    </row>
    <row r="187" spans="1:14" ht="15" customHeight="1">
      <c r="A187" s="158">
        <v>183</v>
      </c>
      <c r="B187" s="93"/>
      <c r="C187" s="94"/>
      <c r="D187" s="94"/>
      <c r="E187" s="93" t="s">
        <v>55</v>
      </c>
      <c r="F187" s="93" t="s">
        <v>56</v>
      </c>
      <c r="G187" s="93"/>
      <c r="H187" s="95"/>
      <c r="I187" s="93"/>
      <c r="J187" s="93"/>
      <c r="K187" s="93"/>
      <c r="L187" s="179"/>
      <c r="M187" s="92"/>
      <c r="N187" s="152" t="str">
        <f t="shared" ca="1" si="2"/>
        <v>Enter the number of homes on the 1_SetUp sheet</v>
      </c>
    </row>
    <row r="188" spans="1:14" ht="15" customHeight="1">
      <c r="A188" s="158">
        <v>184</v>
      </c>
      <c r="B188" s="93"/>
      <c r="C188" s="94"/>
      <c r="D188" s="94"/>
      <c r="E188" s="93" t="s">
        <v>55</v>
      </c>
      <c r="F188" s="93" t="s">
        <v>56</v>
      </c>
      <c r="G188" s="93"/>
      <c r="H188" s="95"/>
      <c r="I188" s="93"/>
      <c r="J188" s="93"/>
      <c r="K188" s="93"/>
      <c r="L188" s="179"/>
      <c r="M188" s="92"/>
      <c r="N188" s="152" t="str">
        <f t="shared" ca="1" si="2"/>
        <v>Enter the number of homes on the 1_SetUp sheet</v>
      </c>
    </row>
    <row r="189" spans="1:14" ht="15" customHeight="1">
      <c r="A189" s="158">
        <v>185</v>
      </c>
      <c r="B189" s="93"/>
      <c r="C189" s="94"/>
      <c r="D189" s="94"/>
      <c r="E189" s="93" t="s">
        <v>55</v>
      </c>
      <c r="F189" s="93" t="s">
        <v>56</v>
      </c>
      <c r="G189" s="93"/>
      <c r="H189" s="95"/>
      <c r="I189" s="93"/>
      <c r="J189" s="93"/>
      <c r="K189" s="93"/>
      <c r="L189" s="179"/>
      <c r="M189" s="92"/>
      <c r="N189" s="152" t="str">
        <f t="shared" ca="1" si="2"/>
        <v>Enter the number of homes on the 1_SetUp sheet</v>
      </c>
    </row>
    <row r="190" spans="1:14" ht="15" customHeight="1">
      <c r="A190" s="158">
        <v>186</v>
      </c>
      <c r="B190" s="93"/>
      <c r="C190" s="94"/>
      <c r="D190" s="94"/>
      <c r="E190" s="93" t="s">
        <v>55</v>
      </c>
      <c r="F190" s="93" t="s">
        <v>56</v>
      </c>
      <c r="G190" s="93"/>
      <c r="H190" s="95"/>
      <c r="I190" s="93"/>
      <c r="J190" s="93"/>
      <c r="K190" s="93"/>
      <c r="L190" s="179"/>
      <c r="M190" s="92"/>
      <c r="N190" s="152" t="str">
        <f t="shared" ca="1" si="2"/>
        <v>Enter the number of homes on the 1_SetUp sheet</v>
      </c>
    </row>
    <row r="191" spans="1:14" ht="15" customHeight="1">
      <c r="A191" s="158">
        <v>187</v>
      </c>
      <c r="B191" s="93"/>
      <c r="C191" s="94"/>
      <c r="D191" s="94"/>
      <c r="E191" s="93" t="s">
        <v>55</v>
      </c>
      <c r="F191" s="93" t="s">
        <v>56</v>
      </c>
      <c r="G191" s="93"/>
      <c r="H191" s="95"/>
      <c r="I191" s="93"/>
      <c r="J191" s="93"/>
      <c r="K191" s="93"/>
      <c r="L191" s="179"/>
      <c r="M191" s="92"/>
      <c r="N191" s="152" t="str">
        <f t="shared" ca="1" si="2"/>
        <v>Enter the number of homes on the 1_SetUp sheet</v>
      </c>
    </row>
    <row r="192" spans="1:14" ht="15" customHeight="1">
      <c r="A192" s="158">
        <v>188</v>
      </c>
      <c r="B192" s="93"/>
      <c r="C192" s="94"/>
      <c r="D192" s="94"/>
      <c r="E192" s="93" t="s">
        <v>55</v>
      </c>
      <c r="F192" s="93" t="s">
        <v>56</v>
      </c>
      <c r="G192" s="93"/>
      <c r="H192" s="95"/>
      <c r="I192" s="93"/>
      <c r="J192" s="93"/>
      <c r="K192" s="93"/>
      <c r="L192" s="179"/>
      <c r="M192" s="92"/>
      <c r="N192" s="152" t="str">
        <f t="shared" ca="1" si="2"/>
        <v>Enter the number of homes on the 1_SetUp sheet</v>
      </c>
    </row>
    <row r="193" spans="1:14" ht="15" customHeight="1">
      <c r="A193" s="158">
        <v>189</v>
      </c>
      <c r="B193" s="93"/>
      <c r="C193" s="94"/>
      <c r="D193" s="94"/>
      <c r="E193" s="93" t="s">
        <v>55</v>
      </c>
      <c r="F193" s="93" t="s">
        <v>56</v>
      </c>
      <c r="G193" s="93"/>
      <c r="H193" s="95"/>
      <c r="I193" s="93"/>
      <c r="J193" s="93"/>
      <c r="K193" s="93"/>
      <c r="L193" s="179"/>
      <c r="M193" s="92"/>
      <c r="N193" s="152" t="str">
        <f t="shared" ca="1" si="2"/>
        <v>Enter the number of homes on the 1_SetUp sheet</v>
      </c>
    </row>
    <row r="194" spans="1:14" ht="15" customHeight="1">
      <c r="A194" s="158">
        <v>190</v>
      </c>
      <c r="B194" s="93"/>
      <c r="C194" s="94"/>
      <c r="D194" s="94"/>
      <c r="E194" s="93" t="s">
        <v>55</v>
      </c>
      <c r="F194" s="93" t="s">
        <v>56</v>
      </c>
      <c r="G194" s="93"/>
      <c r="H194" s="95"/>
      <c r="I194" s="93"/>
      <c r="J194" s="93"/>
      <c r="K194" s="93"/>
      <c r="L194" s="179"/>
      <c r="M194" s="92"/>
      <c r="N194" s="152" t="str">
        <f t="shared" ca="1" si="2"/>
        <v>Enter the number of homes on the 1_SetUp sheet</v>
      </c>
    </row>
    <row r="195" spans="1:14" ht="15" customHeight="1">
      <c r="A195" s="158">
        <v>191</v>
      </c>
      <c r="B195" s="93"/>
      <c r="C195" s="94"/>
      <c r="D195" s="94"/>
      <c r="E195" s="93" t="s">
        <v>55</v>
      </c>
      <c r="F195" s="93" t="s">
        <v>56</v>
      </c>
      <c r="G195" s="93"/>
      <c r="H195" s="95"/>
      <c r="I195" s="93"/>
      <c r="J195" s="93"/>
      <c r="K195" s="93"/>
      <c r="L195" s="179"/>
      <c r="M195" s="92"/>
      <c r="N195" s="152" t="str">
        <f t="shared" ca="1" si="2"/>
        <v>Enter the number of homes on the 1_SetUp sheet</v>
      </c>
    </row>
    <row r="196" spans="1:14" ht="15" customHeight="1">
      <c r="A196" s="158">
        <v>192</v>
      </c>
      <c r="B196" s="93"/>
      <c r="C196" s="94"/>
      <c r="D196" s="94"/>
      <c r="E196" s="93" t="s">
        <v>55</v>
      </c>
      <c r="F196" s="93" t="s">
        <v>56</v>
      </c>
      <c r="G196" s="93"/>
      <c r="H196" s="95"/>
      <c r="I196" s="93"/>
      <c r="J196" s="93"/>
      <c r="K196" s="93"/>
      <c r="L196" s="179"/>
      <c r="M196" s="92"/>
      <c r="N196" s="152" t="str">
        <f t="shared" ca="1" si="2"/>
        <v>Enter the number of homes on the 1_SetUp sheet</v>
      </c>
    </row>
    <row r="197" spans="1:14" ht="15" customHeight="1">
      <c r="A197" s="158">
        <v>193</v>
      </c>
      <c r="B197" s="93"/>
      <c r="C197" s="94"/>
      <c r="D197" s="94"/>
      <c r="E197" s="93" t="s">
        <v>55</v>
      </c>
      <c r="F197" s="93" t="s">
        <v>56</v>
      </c>
      <c r="G197" s="93"/>
      <c r="H197" s="95"/>
      <c r="I197" s="93"/>
      <c r="J197" s="93"/>
      <c r="K197" s="93"/>
      <c r="L197" s="179"/>
      <c r="M197" s="92"/>
      <c r="N197" s="152" t="str">
        <f t="shared" ref="N197:N260" ca="1" si="3">INDEX(ErrorCheck,MATCH($A197,ErrorCheckPlotNumber,0),MATCH(N$4,ErrorCheckTitle,0))</f>
        <v>Enter the number of homes on the 1_SetUp sheet</v>
      </c>
    </row>
    <row r="198" spans="1:14" ht="15" customHeight="1">
      <c r="A198" s="158">
        <v>194</v>
      </c>
      <c r="B198" s="93"/>
      <c r="C198" s="94"/>
      <c r="D198" s="94"/>
      <c r="E198" s="93" t="s">
        <v>55</v>
      </c>
      <c r="F198" s="93" t="s">
        <v>56</v>
      </c>
      <c r="G198" s="93"/>
      <c r="H198" s="95"/>
      <c r="I198" s="93"/>
      <c r="J198" s="93"/>
      <c r="K198" s="93"/>
      <c r="L198" s="179"/>
      <c r="M198" s="92"/>
      <c r="N198" s="152" t="str">
        <f t="shared" ca="1" si="3"/>
        <v>Enter the number of homes on the 1_SetUp sheet</v>
      </c>
    </row>
    <row r="199" spans="1:14" ht="15" customHeight="1">
      <c r="A199" s="158">
        <v>195</v>
      </c>
      <c r="B199" s="93"/>
      <c r="C199" s="94"/>
      <c r="D199" s="94"/>
      <c r="E199" s="93" t="s">
        <v>55</v>
      </c>
      <c r="F199" s="93" t="s">
        <v>56</v>
      </c>
      <c r="G199" s="93"/>
      <c r="H199" s="95"/>
      <c r="I199" s="93"/>
      <c r="J199" s="93"/>
      <c r="K199" s="93"/>
      <c r="L199" s="179"/>
      <c r="M199" s="92"/>
      <c r="N199" s="152" t="str">
        <f t="shared" ca="1" si="3"/>
        <v>Enter the number of homes on the 1_SetUp sheet</v>
      </c>
    </row>
    <row r="200" spans="1:14" ht="15" customHeight="1">
      <c r="A200" s="158">
        <v>196</v>
      </c>
      <c r="B200" s="93"/>
      <c r="C200" s="94"/>
      <c r="D200" s="94"/>
      <c r="E200" s="93" t="s">
        <v>55</v>
      </c>
      <c r="F200" s="93" t="s">
        <v>56</v>
      </c>
      <c r="G200" s="93"/>
      <c r="H200" s="95"/>
      <c r="I200" s="93"/>
      <c r="J200" s="93"/>
      <c r="K200" s="93"/>
      <c r="L200" s="179"/>
      <c r="M200" s="92"/>
      <c r="N200" s="152" t="str">
        <f t="shared" ca="1" si="3"/>
        <v>Enter the number of homes on the 1_SetUp sheet</v>
      </c>
    </row>
    <row r="201" spans="1:14" ht="15" customHeight="1">
      <c r="A201" s="158">
        <v>197</v>
      </c>
      <c r="B201" s="93"/>
      <c r="C201" s="94"/>
      <c r="D201" s="94"/>
      <c r="E201" s="93" t="s">
        <v>55</v>
      </c>
      <c r="F201" s="93" t="s">
        <v>56</v>
      </c>
      <c r="G201" s="93"/>
      <c r="H201" s="95"/>
      <c r="I201" s="93"/>
      <c r="J201" s="93"/>
      <c r="K201" s="93"/>
      <c r="L201" s="179"/>
      <c r="M201" s="92"/>
      <c r="N201" s="152" t="str">
        <f t="shared" ca="1" si="3"/>
        <v>Enter the number of homes on the 1_SetUp sheet</v>
      </c>
    </row>
    <row r="202" spans="1:14" ht="15" customHeight="1">
      <c r="A202" s="158">
        <v>198</v>
      </c>
      <c r="B202" s="93"/>
      <c r="C202" s="94"/>
      <c r="D202" s="94"/>
      <c r="E202" s="93" t="s">
        <v>55</v>
      </c>
      <c r="F202" s="93" t="s">
        <v>56</v>
      </c>
      <c r="G202" s="93"/>
      <c r="H202" s="95"/>
      <c r="I202" s="93"/>
      <c r="J202" s="93"/>
      <c r="K202" s="93"/>
      <c r="L202" s="179"/>
      <c r="M202" s="92"/>
      <c r="N202" s="152" t="str">
        <f t="shared" ca="1" si="3"/>
        <v>Enter the number of homes on the 1_SetUp sheet</v>
      </c>
    </row>
    <row r="203" spans="1:14" ht="15" customHeight="1">
      <c r="A203" s="158">
        <v>199</v>
      </c>
      <c r="B203" s="93"/>
      <c r="C203" s="94"/>
      <c r="D203" s="94"/>
      <c r="E203" s="93" t="s">
        <v>55</v>
      </c>
      <c r="F203" s="93" t="s">
        <v>56</v>
      </c>
      <c r="G203" s="93"/>
      <c r="H203" s="95"/>
      <c r="I203" s="93"/>
      <c r="J203" s="93"/>
      <c r="K203" s="93"/>
      <c r="L203" s="179"/>
      <c r="M203" s="92"/>
      <c r="N203" s="152" t="str">
        <f t="shared" ca="1" si="3"/>
        <v>Enter the number of homes on the 1_SetUp sheet</v>
      </c>
    </row>
    <row r="204" spans="1:14" ht="15" customHeight="1">
      <c r="A204" s="158">
        <v>200</v>
      </c>
      <c r="B204" s="93"/>
      <c r="C204" s="94"/>
      <c r="D204" s="94"/>
      <c r="E204" s="93" t="s">
        <v>55</v>
      </c>
      <c r="F204" s="93" t="s">
        <v>56</v>
      </c>
      <c r="G204" s="93"/>
      <c r="H204" s="95"/>
      <c r="I204" s="93"/>
      <c r="J204" s="93"/>
      <c r="K204" s="93"/>
      <c r="L204" s="179"/>
      <c r="M204" s="92"/>
      <c r="N204" s="152" t="str">
        <f t="shared" ca="1" si="3"/>
        <v>Enter the number of homes on the 1_SetUp sheet</v>
      </c>
    </row>
    <row r="205" spans="1:14" ht="15" customHeight="1">
      <c r="A205" s="158">
        <v>201</v>
      </c>
      <c r="B205" s="93"/>
      <c r="C205" s="94"/>
      <c r="D205" s="94"/>
      <c r="E205" s="93" t="s">
        <v>55</v>
      </c>
      <c r="F205" s="93" t="s">
        <v>56</v>
      </c>
      <c r="G205" s="93"/>
      <c r="H205" s="95"/>
      <c r="I205" s="93"/>
      <c r="J205" s="93"/>
      <c r="K205" s="93"/>
      <c r="L205" s="179"/>
      <c r="M205" s="92"/>
      <c r="N205" s="152" t="str">
        <f t="shared" ca="1" si="3"/>
        <v>Enter the number of homes on the 1_SetUp sheet</v>
      </c>
    </row>
    <row r="206" spans="1:14" ht="15" customHeight="1">
      <c r="A206" s="158">
        <v>202</v>
      </c>
      <c r="B206" s="93"/>
      <c r="C206" s="94"/>
      <c r="D206" s="94"/>
      <c r="E206" s="93" t="s">
        <v>55</v>
      </c>
      <c r="F206" s="93" t="s">
        <v>56</v>
      </c>
      <c r="G206" s="93"/>
      <c r="H206" s="95"/>
      <c r="I206" s="93"/>
      <c r="J206" s="93"/>
      <c r="K206" s="93"/>
      <c r="L206" s="179"/>
      <c r="M206" s="92"/>
      <c r="N206" s="152" t="str">
        <f t="shared" ca="1" si="3"/>
        <v>Enter the number of homes on the 1_SetUp sheet</v>
      </c>
    </row>
    <row r="207" spans="1:14" ht="15" customHeight="1">
      <c r="A207" s="158">
        <v>203</v>
      </c>
      <c r="B207" s="93"/>
      <c r="C207" s="94"/>
      <c r="D207" s="94"/>
      <c r="E207" s="93" t="s">
        <v>55</v>
      </c>
      <c r="F207" s="93" t="s">
        <v>56</v>
      </c>
      <c r="G207" s="93"/>
      <c r="H207" s="95"/>
      <c r="I207" s="93"/>
      <c r="J207" s="93"/>
      <c r="K207" s="93"/>
      <c r="L207" s="179"/>
      <c r="M207" s="92"/>
      <c r="N207" s="152" t="str">
        <f t="shared" ca="1" si="3"/>
        <v>Enter the number of homes on the 1_SetUp sheet</v>
      </c>
    </row>
    <row r="208" spans="1:14" ht="15" customHeight="1">
      <c r="A208" s="158">
        <v>204</v>
      </c>
      <c r="B208" s="93"/>
      <c r="C208" s="94"/>
      <c r="D208" s="94"/>
      <c r="E208" s="93" t="s">
        <v>55</v>
      </c>
      <c r="F208" s="93" t="s">
        <v>56</v>
      </c>
      <c r="G208" s="93"/>
      <c r="H208" s="95"/>
      <c r="I208" s="93"/>
      <c r="J208" s="93"/>
      <c r="K208" s="93"/>
      <c r="L208" s="179"/>
      <c r="M208" s="92"/>
      <c r="N208" s="152" t="str">
        <f t="shared" ca="1" si="3"/>
        <v>Enter the number of homes on the 1_SetUp sheet</v>
      </c>
    </row>
    <row r="209" spans="1:14" ht="15" customHeight="1">
      <c r="A209" s="158">
        <v>205</v>
      </c>
      <c r="B209" s="93"/>
      <c r="C209" s="94"/>
      <c r="D209" s="94"/>
      <c r="E209" s="93" t="s">
        <v>55</v>
      </c>
      <c r="F209" s="93" t="s">
        <v>56</v>
      </c>
      <c r="G209" s="93"/>
      <c r="H209" s="95"/>
      <c r="I209" s="93"/>
      <c r="J209" s="93"/>
      <c r="K209" s="93"/>
      <c r="L209" s="179"/>
      <c r="M209" s="92"/>
      <c r="N209" s="152" t="str">
        <f t="shared" ca="1" si="3"/>
        <v>Enter the number of homes on the 1_SetUp sheet</v>
      </c>
    </row>
    <row r="210" spans="1:14" ht="15" customHeight="1">
      <c r="A210" s="158">
        <v>206</v>
      </c>
      <c r="B210" s="93"/>
      <c r="C210" s="94"/>
      <c r="D210" s="94"/>
      <c r="E210" s="93" t="s">
        <v>55</v>
      </c>
      <c r="F210" s="93" t="s">
        <v>56</v>
      </c>
      <c r="G210" s="93"/>
      <c r="H210" s="95"/>
      <c r="I210" s="93"/>
      <c r="J210" s="93"/>
      <c r="K210" s="93"/>
      <c r="L210" s="179"/>
      <c r="M210" s="92"/>
      <c r="N210" s="152" t="str">
        <f t="shared" ca="1" si="3"/>
        <v>Enter the number of homes on the 1_SetUp sheet</v>
      </c>
    </row>
    <row r="211" spans="1:14" ht="15" customHeight="1">
      <c r="A211" s="158">
        <v>207</v>
      </c>
      <c r="B211" s="93"/>
      <c r="C211" s="94"/>
      <c r="D211" s="94"/>
      <c r="E211" s="93" t="s">
        <v>55</v>
      </c>
      <c r="F211" s="93" t="s">
        <v>56</v>
      </c>
      <c r="G211" s="93"/>
      <c r="H211" s="95"/>
      <c r="I211" s="93"/>
      <c r="J211" s="93"/>
      <c r="K211" s="93"/>
      <c r="L211" s="179"/>
      <c r="M211" s="92"/>
      <c r="N211" s="152" t="str">
        <f t="shared" ca="1" si="3"/>
        <v>Enter the number of homes on the 1_SetUp sheet</v>
      </c>
    </row>
    <row r="212" spans="1:14" ht="15" customHeight="1">
      <c r="A212" s="158">
        <v>208</v>
      </c>
      <c r="B212" s="93"/>
      <c r="C212" s="94"/>
      <c r="D212" s="94"/>
      <c r="E212" s="93" t="s">
        <v>55</v>
      </c>
      <c r="F212" s="93" t="s">
        <v>56</v>
      </c>
      <c r="G212" s="93"/>
      <c r="H212" s="95"/>
      <c r="I212" s="93"/>
      <c r="J212" s="93"/>
      <c r="K212" s="93"/>
      <c r="L212" s="179"/>
      <c r="M212" s="92"/>
      <c r="N212" s="152" t="str">
        <f t="shared" ca="1" si="3"/>
        <v>Enter the number of homes on the 1_SetUp sheet</v>
      </c>
    </row>
    <row r="213" spans="1:14" ht="15" customHeight="1">
      <c r="A213" s="158">
        <v>209</v>
      </c>
      <c r="B213" s="93"/>
      <c r="C213" s="94"/>
      <c r="D213" s="94"/>
      <c r="E213" s="93" t="s">
        <v>55</v>
      </c>
      <c r="F213" s="93" t="s">
        <v>56</v>
      </c>
      <c r="G213" s="93"/>
      <c r="H213" s="95"/>
      <c r="I213" s="93"/>
      <c r="J213" s="93"/>
      <c r="K213" s="93"/>
      <c r="L213" s="179"/>
      <c r="M213" s="92"/>
      <c r="N213" s="152" t="str">
        <f t="shared" ca="1" si="3"/>
        <v>Enter the number of homes on the 1_SetUp sheet</v>
      </c>
    </row>
    <row r="214" spans="1:14" ht="15" customHeight="1">
      <c r="A214" s="158">
        <v>210</v>
      </c>
      <c r="B214" s="93"/>
      <c r="C214" s="94"/>
      <c r="D214" s="94"/>
      <c r="E214" s="93" t="s">
        <v>55</v>
      </c>
      <c r="F214" s="93" t="s">
        <v>56</v>
      </c>
      <c r="G214" s="93"/>
      <c r="H214" s="95"/>
      <c r="I214" s="93"/>
      <c r="J214" s="93"/>
      <c r="K214" s="93"/>
      <c r="L214" s="179"/>
      <c r="M214" s="92"/>
      <c r="N214" s="152" t="str">
        <f t="shared" ca="1" si="3"/>
        <v>Enter the number of homes on the 1_SetUp sheet</v>
      </c>
    </row>
    <row r="215" spans="1:14" ht="15" customHeight="1">
      <c r="A215" s="158">
        <v>211</v>
      </c>
      <c r="B215" s="93"/>
      <c r="C215" s="94"/>
      <c r="D215" s="94"/>
      <c r="E215" s="93" t="s">
        <v>55</v>
      </c>
      <c r="F215" s="93" t="s">
        <v>56</v>
      </c>
      <c r="G215" s="93"/>
      <c r="H215" s="95"/>
      <c r="I215" s="93"/>
      <c r="J215" s="93"/>
      <c r="K215" s="93"/>
      <c r="L215" s="179"/>
      <c r="M215" s="92"/>
      <c r="N215" s="152" t="str">
        <f t="shared" ca="1" si="3"/>
        <v>Enter the number of homes on the 1_SetUp sheet</v>
      </c>
    </row>
    <row r="216" spans="1:14" ht="15" customHeight="1">
      <c r="A216" s="158">
        <v>212</v>
      </c>
      <c r="B216" s="93"/>
      <c r="C216" s="94"/>
      <c r="D216" s="94"/>
      <c r="E216" s="93" t="s">
        <v>55</v>
      </c>
      <c r="F216" s="93" t="s">
        <v>56</v>
      </c>
      <c r="G216" s="93"/>
      <c r="H216" s="95"/>
      <c r="I216" s="93"/>
      <c r="J216" s="93"/>
      <c r="K216" s="93"/>
      <c r="L216" s="179"/>
      <c r="M216" s="92"/>
      <c r="N216" s="152" t="str">
        <f t="shared" ca="1" si="3"/>
        <v>Enter the number of homes on the 1_SetUp sheet</v>
      </c>
    </row>
    <row r="217" spans="1:14" ht="15" customHeight="1">
      <c r="A217" s="158">
        <v>213</v>
      </c>
      <c r="B217" s="93"/>
      <c r="C217" s="94"/>
      <c r="D217" s="94"/>
      <c r="E217" s="93" t="s">
        <v>55</v>
      </c>
      <c r="F217" s="93" t="s">
        <v>56</v>
      </c>
      <c r="G217" s="93"/>
      <c r="H217" s="95"/>
      <c r="I217" s="93"/>
      <c r="J217" s="93"/>
      <c r="K217" s="93"/>
      <c r="L217" s="179"/>
      <c r="M217" s="92"/>
      <c r="N217" s="152" t="str">
        <f t="shared" ca="1" si="3"/>
        <v>Enter the number of homes on the 1_SetUp sheet</v>
      </c>
    </row>
    <row r="218" spans="1:14" ht="15" customHeight="1">
      <c r="A218" s="158">
        <v>214</v>
      </c>
      <c r="B218" s="93"/>
      <c r="C218" s="94"/>
      <c r="D218" s="94"/>
      <c r="E218" s="93" t="s">
        <v>55</v>
      </c>
      <c r="F218" s="93" t="s">
        <v>56</v>
      </c>
      <c r="G218" s="93"/>
      <c r="H218" s="95"/>
      <c r="I218" s="93"/>
      <c r="J218" s="93"/>
      <c r="K218" s="93"/>
      <c r="L218" s="179"/>
      <c r="M218" s="92"/>
      <c r="N218" s="152" t="str">
        <f t="shared" ca="1" si="3"/>
        <v>Enter the number of homes on the 1_SetUp sheet</v>
      </c>
    </row>
    <row r="219" spans="1:14" ht="15" customHeight="1">
      <c r="A219" s="158">
        <v>215</v>
      </c>
      <c r="B219" s="93"/>
      <c r="C219" s="94"/>
      <c r="D219" s="94"/>
      <c r="E219" s="93" t="s">
        <v>55</v>
      </c>
      <c r="F219" s="93" t="s">
        <v>56</v>
      </c>
      <c r="G219" s="93"/>
      <c r="H219" s="95"/>
      <c r="I219" s="93"/>
      <c r="J219" s="93"/>
      <c r="K219" s="93"/>
      <c r="L219" s="179"/>
      <c r="M219" s="92"/>
      <c r="N219" s="152" t="str">
        <f t="shared" ca="1" si="3"/>
        <v>Enter the number of homes on the 1_SetUp sheet</v>
      </c>
    </row>
    <row r="220" spans="1:14" ht="15" customHeight="1">
      <c r="A220" s="158">
        <v>216</v>
      </c>
      <c r="B220" s="93"/>
      <c r="C220" s="94"/>
      <c r="D220" s="94"/>
      <c r="E220" s="93" t="s">
        <v>55</v>
      </c>
      <c r="F220" s="93" t="s">
        <v>56</v>
      </c>
      <c r="G220" s="93"/>
      <c r="H220" s="95"/>
      <c r="I220" s="93"/>
      <c r="J220" s="93"/>
      <c r="K220" s="93"/>
      <c r="L220" s="179"/>
      <c r="M220" s="92"/>
      <c r="N220" s="152" t="str">
        <f t="shared" ca="1" si="3"/>
        <v>Enter the number of homes on the 1_SetUp sheet</v>
      </c>
    </row>
    <row r="221" spans="1:14" ht="15" customHeight="1">
      <c r="A221" s="158">
        <v>217</v>
      </c>
      <c r="B221" s="93"/>
      <c r="C221" s="94"/>
      <c r="D221" s="94"/>
      <c r="E221" s="93" t="s">
        <v>55</v>
      </c>
      <c r="F221" s="93" t="s">
        <v>56</v>
      </c>
      <c r="G221" s="93"/>
      <c r="H221" s="95"/>
      <c r="I221" s="93"/>
      <c r="J221" s="93"/>
      <c r="K221" s="93"/>
      <c r="L221" s="179"/>
      <c r="M221" s="92"/>
      <c r="N221" s="152" t="str">
        <f t="shared" ca="1" si="3"/>
        <v>Enter the number of homes on the 1_SetUp sheet</v>
      </c>
    </row>
    <row r="222" spans="1:14" ht="15" customHeight="1">
      <c r="A222" s="158">
        <v>218</v>
      </c>
      <c r="B222" s="93"/>
      <c r="C222" s="94"/>
      <c r="D222" s="94"/>
      <c r="E222" s="93" t="s">
        <v>55</v>
      </c>
      <c r="F222" s="93" t="s">
        <v>56</v>
      </c>
      <c r="G222" s="93"/>
      <c r="H222" s="95"/>
      <c r="I222" s="93"/>
      <c r="J222" s="93"/>
      <c r="K222" s="93"/>
      <c r="L222" s="179"/>
      <c r="M222" s="92"/>
      <c r="N222" s="152" t="str">
        <f t="shared" ca="1" si="3"/>
        <v>Enter the number of homes on the 1_SetUp sheet</v>
      </c>
    </row>
    <row r="223" spans="1:14" ht="15" customHeight="1">
      <c r="A223" s="158">
        <v>219</v>
      </c>
      <c r="B223" s="93"/>
      <c r="C223" s="94"/>
      <c r="D223" s="94"/>
      <c r="E223" s="93" t="s">
        <v>55</v>
      </c>
      <c r="F223" s="93" t="s">
        <v>56</v>
      </c>
      <c r="G223" s="93"/>
      <c r="H223" s="95"/>
      <c r="I223" s="93"/>
      <c r="J223" s="93"/>
      <c r="K223" s="93"/>
      <c r="L223" s="179"/>
      <c r="M223" s="92"/>
      <c r="N223" s="152" t="str">
        <f t="shared" ca="1" si="3"/>
        <v>Enter the number of homes on the 1_SetUp sheet</v>
      </c>
    </row>
    <row r="224" spans="1:14" ht="15" customHeight="1">
      <c r="A224" s="158">
        <v>220</v>
      </c>
      <c r="B224" s="93"/>
      <c r="C224" s="94"/>
      <c r="D224" s="94"/>
      <c r="E224" s="93" t="s">
        <v>55</v>
      </c>
      <c r="F224" s="93" t="s">
        <v>56</v>
      </c>
      <c r="G224" s="93"/>
      <c r="H224" s="95"/>
      <c r="I224" s="93"/>
      <c r="J224" s="93"/>
      <c r="K224" s="93"/>
      <c r="L224" s="179"/>
      <c r="M224" s="92"/>
      <c r="N224" s="152" t="str">
        <f t="shared" ca="1" si="3"/>
        <v>Enter the number of homes on the 1_SetUp sheet</v>
      </c>
    </row>
    <row r="225" spans="1:14" ht="15" customHeight="1">
      <c r="A225" s="158">
        <v>221</v>
      </c>
      <c r="B225" s="93"/>
      <c r="C225" s="94"/>
      <c r="D225" s="94"/>
      <c r="E225" s="93" t="s">
        <v>55</v>
      </c>
      <c r="F225" s="93" t="s">
        <v>56</v>
      </c>
      <c r="G225" s="93"/>
      <c r="H225" s="95"/>
      <c r="I225" s="93"/>
      <c r="J225" s="93"/>
      <c r="K225" s="93"/>
      <c r="L225" s="179"/>
      <c r="M225" s="92"/>
      <c r="N225" s="152" t="str">
        <f t="shared" ca="1" si="3"/>
        <v>Enter the number of homes on the 1_SetUp sheet</v>
      </c>
    </row>
    <row r="226" spans="1:14" ht="15" customHeight="1">
      <c r="A226" s="158">
        <v>222</v>
      </c>
      <c r="B226" s="93"/>
      <c r="C226" s="94"/>
      <c r="D226" s="94"/>
      <c r="E226" s="93" t="s">
        <v>55</v>
      </c>
      <c r="F226" s="93" t="s">
        <v>56</v>
      </c>
      <c r="G226" s="93"/>
      <c r="H226" s="95"/>
      <c r="I226" s="93"/>
      <c r="J226" s="93"/>
      <c r="K226" s="93"/>
      <c r="L226" s="179"/>
      <c r="M226" s="92"/>
      <c r="N226" s="152" t="str">
        <f t="shared" ca="1" si="3"/>
        <v>Enter the number of homes on the 1_SetUp sheet</v>
      </c>
    </row>
    <row r="227" spans="1:14" ht="15" customHeight="1">
      <c r="A227" s="158">
        <v>223</v>
      </c>
      <c r="B227" s="93"/>
      <c r="C227" s="94"/>
      <c r="D227" s="94"/>
      <c r="E227" s="93" t="s">
        <v>55</v>
      </c>
      <c r="F227" s="93" t="s">
        <v>56</v>
      </c>
      <c r="G227" s="93"/>
      <c r="H227" s="95"/>
      <c r="I227" s="93"/>
      <c r="J227" s="93"/>
      <c r="K227" s="93"/>
      <c r="L227" s="179"/>
      <c r="M227" s="92"/>
      <c r="N227" s="152" t="str">
        <f t="shared" ca="1" si="3"/>
        <v>Enter the number of homes on the 1_SetUp sheet</v>
      </c>
    </row>
    <row r="228" spans="1:14" ht="15" customHeight="1">
      <c r="A228" s="158">
        <v>224</v>
      </c>
      <c r="B228" s="93"/>
      <c r="C228" s="94"/>
      <c r="D228" s="94"/>
      <c r="E228" s="93" t="s">
        <v>55</v>
      </c>
      <c r="F228" s="93" t="s">
        <v>56</v>
      </c>
      <c r="G228" s="93"/>
      <c r="H228" s="95"/>
      <c r="I228" s="93"/>
      <c r="J228" s="93"/>
      <c r="K228" s="93"/>
      <c r="L228" s="179"/>
      <c r="M228" s="92"/>
      <c r="N228" s="152" t="str">
        <f t="shared" ca="1" si="3"/>
        <v>Enter the number of homes on the 1_SetUp sheet</v>
      </c>
    </row>
    <row r="229" spans="1:14" ht="15" customHeight="1">
      <c r="A229" s="158">
        <v>225</v>
      </c>
      <c r="B229" s="93"/>
      <c r="C229" s="94"/>
      <c r="D229" s="94"/>
      <c r="E229" s="93" t="s">
        <v>55</v>
      </c>
      <c r="F229" s="93" t="s">
        <v>56</v>
      </c>
      <c r="G229" s="93"/>
      <c r="H229" s="95"/>
      <c r="I229" s="93"/>
      <c r="J229" s="93"/>
      <c r="K229" s="93"/>
      <c r="L229" s="179"/>
      <c r="M229" s="92"/>
      <c r="N229" s="152" t="str">
        <f t="shared" ca="1" si="3"/>
        <v>Enter the number of homes on the 1_SetUp sheet</v>
      </c>
    </row>
    <row r="230" spans="1:14" ht="15" customHeight="1">
      <c r="A230" s="158">
        <v>226</v>
      </c>
      <c r="B230" s="93"/>
      <c r="C230" s="94"/>
      <c r="D230" s="94"/>
      <c r="E230" s="93" t="s">
        <v>55</v>
      </c>
      <c r="F230" s="93" t="s">
        <v>56</v>
      </c>
      <c r="G230" s="93"/>
      <c r="H230" s="95"/>
      <c r="I230" s="93"/>
      <c r="J230" s="93"/>
      <c r="K230" s="93"/>
      <c r="L230" s="179"/>
      <c r="M230" s="92"/>
      <c r="N230" s="152" t="str">
        <f t="shared" ca="1" si="3"/>
        <v>Enter the number of homes on the 1_SetUp sheet</v>
      </c>
    </row>
    <row r="231" spans="1:14" ht="15" customHeight="1">
      <c r="A231" s="158">
        <v>227</v>
      </c>
      <c r="B231" s="93"/>
      <c r="C231" s="94"/>
      <c r="D231" s="94"/>
      <c r="E231" s="93" t="s">
        <v>55</v>
      </c>
      <c r="F231" s="93" t="s">
        <v>56</v>
      </c>
      <c r="G231" s="93"/>
      <c r="H231" s="95"/>
      <c r="I231" s="93"/>
      <c r="J231" s="93"/>
      <c r="K231" s="93"/>
      <c r="L231" s="179"/>
      <c r="M231" s="92"/>
      <c r="N231" s="152" t="str">
        <f t="shared" ca="1" si="3"/>
        <v>Enter the number of homes on the 1_SetUp sheet</v>
      </c>
    </row>
    <row r="232" spans="1:14" ht="15" customHeight="1">
      <c r="A232" s="158">
        <v>228</v>
      </c>
      <c r="B232" s="93"/>
      <c r="C232" s="94"/>
      <c r="D232" s="94"/>
      <c r="E232" s="93" t="s">
        <v>55</v>
      </c>
      <c r="F232" s="93" t="s">
        <v>56</v>
      </c>
      <c r="G232" s="93"/>
      <c r="H232" s="95"/>
      <c r="I232" s="93"/>
      <c r="J232" s="93"/>
      <c r="K232" s="93"/>
      <c r="L232" s="179"/>
      <c r="M232" s="92"/>
      <c r="N232" s="152" t="str">
        <f t="shared" ca="1" si="3"/>
        <v>Enter the number of homes on the 1_SetUp sheet</v>
      </c>
    </row>
    <row r="233" spans="1:14" ht="15" customHeight="1">
      <c r="A233" s="158">
        <v>229</v>
      </c>
      <c r="B233" s="93"/>
      <c r="C233" s="94"/>
      <c r="D233" s="94"/>
      <c r="E233" s="93" t="s">
        <v>55</v>
      </c>
      <c r="F233" s="93" t="s">
        <v>56</v>
      </c>
      <c r="G233" s="93"/>
      <c r="H233" s="95"/>
      <c r="I233" s="93"/>
      <c r="J233" s="93"/>
      <c r="K233" s="93"/>
      <c r="L233" s="179"/>
      <c r="M233" s="92"/>
      <c r="N233" s="152" t="str">
        <f t="shared" ca="1" si="3"/>
        <v>Enter the number of homes on the 1_SetUp sheet</v>
      </c>
    </row>
    <row r="234" spans="1:14" ht="15" customHeight="1">
      <c r="A234" s="158">
        <v>230</v>
      </c>
      <c r="B234" s="93"/>
      <c r="C234" s="94"/>
      <c r="D234" s="94"/>
      <c r="E234" s="93" t="s">
        <v>55</v>
      </c>
      <c r="F234" s="93" t="s">
        <v>56</v>
      </c>
      <c r="G234" s="93"/>
      <c r="H234" s="95"/>
      <c r="I234" s="93"/>
      <c r="J234" s="93"/>
      <c r="K234" s="93"/>
      <c r="L234" s="179"/>
      <c r="M234" s="92"/>
      <c r="N234" s="152" t="str">
        <f t="shared" ca="1" si="3"/>
        <v>Enter the number of homes on the 1_SetUp sheet</v>
      </c>
    </row>
    <row r="235" spans="1:14" ht="15" customHeight="1">
      <c r="A235" s="158">
        <v>231</v>
      </c>
      <c r="B235" s="93"/>
      <c r="C235" s="94"/>
      <c r="D235" s="94"/>
      <c r="E235" s="93" t="s">
        <v>55</v>
      </c>
      <c r="F235" s="93" t="s">
        <v>56</v>
      </c>
      <c r="G235" s="93"/>
      <c r="H235" s="95"/>
      <c r="I235" s="93"/>
      <c r="J235" s="93"/>
      <c r="K235" s="93"/>
      <c r="L235" s="179"/>
      <c r="M235" s="92"/>
      <c r="N235" s="152" t="str">
        <f t="shared" ca="1" si="3"/>
        <v>Enter the number of homes on the 1_SetUp sheet</v>
      </c>
    </row>
    <row r="236" spans="1:14" ht="15" customHeight="1">
      <c r="A236" s="158">
        <v>232</v>
      </c>
      <c r="B236" s="93"/>
      <c r="C236" s="94"/>
      <c r="D236" s="94"/>
      <c r="E236" s="93" t="s">
        <v>55</v>
      </c>
      <c r="F236" s="93" t="s">
        <v>56</v>
      </c>
      <c r="G236" s="93"/>
      <c r="H236" s="95"/>
      <c r="I236" s="93"/>
      <c r="J236" s="93"/>
      <c r="K236" s="93"/>
      <c r="L236" s="179"/>
      <c r="M236" s="92"/>
      <c r="N236" s="152" t="str">
        <f t="shared" ca="1" si="3"/>
        <v>Enter the number of homes on the 1_SetUp sheet</v>
      </c>
    </row>
    <row r="237" spans="1:14" ht="15" customHeight="1">
      <c r="A237" s="158">
        <v>233</v>
      </c>
      <c r="B237" s="93"/>
      <c r="C237" s="94"/>
      <c r="D237" s="94"/>
      <c r="E237" s="93" t="s">
        <v>55</v>
      </c>
      <c r="F237" s="93" t="s">
        <v>56</v>
      </c>
      <c r="G237" s="93"/>
      <c r="H237" s="95"/>
      <c r="I237" s="93"/>
      <c r="J237" s="93"/>
      <c r="K237" s="93"/>
      <c r="L237" s="179"/>
      <c r="M237" s="92"/>
      <c r="N237" s="152" t="str">
        <f t="shared" ca="1" si="3"/>
        <v>Enter the number of homes on the 1_SetUp sheet</v>
      </c>
    </row>
    <row r="238" spans="1:14" ht="15" customHeight="1">
      <c r="A238" s="158">
        <v>234</v>
      </c>
      <c r="B238" s="93"/>
      <c r="C238" s="94"/>
      <c r="D238" s="94"/>
      <c r="E238" s="93" t="s">
        <v>55</v>
      </c>
      <c r="F238" s="93" t="s">
        <v>56</v>
      </c>
      <c r="G238" s="93"/>
      <c r="H238" s="95"/>
      <c r="I238" s="93"/>
      <c r="J238" s="93"/>
      <c r="K238" s="93"/>
      <c r="L238" s="179"/>
      <c r="M238" s="92"/>
      <c r="N238" s="152" t="str">
        <f t="shared" ca="1" si="3"/>
        <v>Enter the number of homes on the 1_SetUp sheet</v>
      </c>
    </row>
    <row r="239" spans="1:14" ht="15" customHeight="1">
      <c r="A239" s="158">
        <v>235</v>
      </c>
      <c r="B239" s="93"/>
      <c r="C239" s="94"/>
      <c r="D239" s="94"/>
      <c r="E239" s="93" t="s">
        <v>55</v>
      </c>
      <c r="F239" s="93" t="s">
        <v>56</v>
      </c>
      <c r="G239" s="93"/>
      <c r="H239" s="95"/>
      <c r="I239" s="93"/>
      <c r="J239" s="93"/>
      <c r="K239" s="93"/>
      <c r="L239" s="179"/>
      <c r="M239" s="92"/>
      <c r="N239" s="152" t="str">
        <f t="shared" ca="1" si="3"/>
        <v>Enter the number of homes on the 1_SetUp sheet</v>
      </c>
    </row>
    <row r="240" spans="1:14" ht="15" customHeight="1">
      <c r="A240" s="158">
        <v>236</v>
      </c>
      <c r="B240" s="93"/>
      <c r="C240" s="94"/>
      <c r="D240" s="94"/>
      <c r="E240" s="93" t="s">
        <v>55</v>
      </c>
      <c r="F240" s="93" t="s">
        <v>56</v>
      </c>
      <c r="G240" s="93"/>
      <c r="H240" s="95"/>
      <c r="I240" s="93"/>
      <c r="J240" s="93"/>
      <c r="K240" s="93"/>
      <c r="L240" s="179"/>
      <c r="M240" s="92"/>
      <c r="N240" s="152" t="str">
        <f t="shared" ca="1" si="3"/>
        <v>Enter the number of homes on the 1_SetUp sheet</v>
      </c>
    </row>
    <row r="241" spans="1:14" ht="15" customHeight="1">
      <c r="A241" s="158">
        <v>237</v>
      </c>
      <c r="B241" s="93"/>
      <c r="C241" s="94"/>
      <c r="D241" s="94"/>
      <c r="E241" s="93" t="s">
        <v>55</v>
      </c>
      <c r="F241" s="93" t="s">
        <v>56</v>
      </c>
      <c r="G241" s="93"/>
      <c r="H241" s="95"/>
      <c r="I241" s="93"/>
      <c r="J241" s="93"/>
      <c r="K241" s="93"/>
      <c r="L241" s="179"/>
      <c r="M241" s="92"/>
      <c r="N241" s="152" t="str">
        <f t="shared" ca="1" si="3"/>
        <v>Enter the number of homes on the 1_SetUp sheet</v>
      </c>
    </row>
    <row r="242" spans="1:14" ht="15" customHeight="1">
      <c r="A242" s="158">
        <v>238</v>
      </c>
      <c r="B242" s="93"/>
      <c r="C242" s="94"/>
      <c r="D242" s="94"/>
      <c r="E242" s="93" t="s">
        <v>55</v>
      </c>
      <c r="F242" s="93" t="s">
        <v>56</v>
      </c>
      <c r="G242" s="93"/>
      <c r="H242" s="95"/>
      <c r="I242" s="93"/>
      <c r="J242" s="93"/>
      <c r="K242" s="93"/>
      <c r="L242" s="179"/>
      <c r="M242" s="92"/>
      <c r="N242" s="152" t="str">
        <f t="shared" ca="1" si="3"/>
        <v>Enter the number of homes on the 1_SetUp sheet</v>
      </c>
    </row>
    <row r="243" spans="1:14" ht="15" customHeight="1">
      <c r="A243" s="158">
        <v>239</v>
      </c>
      <c r="B243" s="93"/>
      <c r="C243" s="94"/>
      <c r="D243" s="94"/>
      <c r="E243" s="93" t="s">
        <v>55</v>
      </c>
      <c r="F243" s="93" t="s">
        <v>56</v>
      </c>
      <c r="G243" s="93"/>
      <c r="H243" s="95"/>
      <c r="I243" s="93"/>
      <c r="J243" s="93"/>
      <c r="K243" s="93"/>
      <c r="L243" s="179"/>
      <c r="M243" s="92"/>
      <c r="N243" s="152" t="str">
        <f t="shared" ca="1" si="3"/>
        <v>Enter the number of homes on the 1_SetUp sheet</v>
      </c>
    </row>
    <row r="244" spans="1:14" ht="15" customHeight="1">
      <c r="A244" s="158">
        <v>240</v>
      </c>
      <c r="B244" s="93"/>
      <c r="C244" s="94"/>
      <c r="D244" s="94"/>
      <c r="E244" s="93" t="s">
        <v>55</v>
      </c>
      <c r="F244" s="93" t="s">
        <v>56</v>
      </c>
      <c r="G244" s="93"/>
      <c r="H244" s="95"/>
      <c r="I244" s="93"/>
      <c r="J244" s="93"/>
      <c r="K244" s="93"/>
      <c r="L244" s="179"/>
      <c r="M244" s="92"/>
      <c r="N244" s="152" t="str">
        <f t="shared" ca="1" si="3"/>
        <v>Enter the number of homes on the 1_SetUp sheet</v>
      </c>
    </row>
    <row r="245" spans="1:14" ht="15" customHeight="1">
      <c r="A245" s="158">
        <v>241</v>
      </c>
      <c r="B245" s="93"/>
      <c r="C245" s="94"/>
      <c r="D245" s="94"/>
      <c r="E245" s="93" t="s">
        <v>55</v>
      </c>
      <c r="F245" s="93" t="s">
        <v>56</v>
      </c>
      <c r="G245" s="93"/>
      <c r="H245" s="95"/>
      <c r="I245" s="93"/>
      <c r="J245" s="93"/>
      <c r="K245" s="93"/>
      <c r="L245" s="179"/>
      <c r="M245" s="92"/>
      <c r="N245" s="152" t="str">
        <f t="shared" ca="1" si="3"/>
        <v>Enter the number of homes on the 1_SetUp sheet</v>
      </c>
    </row>
    <row r="246" spans="1:14" ht="15" customHeight="1">
      <c r="A246" s="158">
        <v>242</v>
      </c>
      <c r="B246" s="93"/>
      <c r="C246" s="94"/>
      <c r="D246" s="94"/>
      <c r="E246" s="93" t="s">
        <v>55</v>
      </c>
      <c r="F246" s="93" t="s">
        <v>56</v>
      </c>
      <c r="G246" s="93"/>
      <c r="H246" s="95"/>
      <c r="I246" s="93"/>
      <c r="J246" s="93"/>
      <c r="K246" s="93"/>
      <c r="L246" s="179"/>
      <c r="M246" s="92"/>
      <c r="N246" s="152" t="str">
        <f t="shared" ca="1" si="3"/>
        <v>Enter the number of homes on the 1_SetUp sheet</v>
      </c>
    </row>
    <row r="247" spans="1:14" ht="15" customHeight="1">
      <c r="A247" s="158">
        <v>243</v>
      </c>
      <c r="B247" s="93"/>
      <c r="C247" s="94"/>
      <c r="D247" s="94"/>
      <c r="E247" s="93" t="s">
        <v>55</v>
      </c>
      <c r="F247" s="93" t="s">
        <v>56</v>
      </c>
      <c r="G247" s="93"/>
      <c r="H247" s="95"/>
      <c r="I247" s="93"/>
      <c r="J247" s="93"/>
      <c r="K247" s="93"/>
      <c r="L247" s="179"/>
      <c r="M247" s="92"/>
      <c r="N247" s="152" t="str">
        <f t="shared" ca="1" si="3"/>
        <v>Enter the number of homes on the 1_SetUp sheet</v>
      </c>
    </row>
    <row r="248" spans="1:14" ht="15" customHeight="1">
      <c r="A248" s="158">
        <v>244</v>
      </c>
      <c r="B248" s="93"/>
      <c r="C248" s="94"/>
      <c r="D248" s="94"/>
      <c r="E248" s="93" t="s">
        <v>55</v>
      </c>
      <c r="F248" s="93" t="s">
        <v>56</v>
      </c>
      <c r="G248" s="93"/>
      <c r="H248" s="95"/>
      <c r="I248" s="93"/>
      <c r="J248" s="93"/>
      <c r="K248" s="93"/>
      <c r="L248" s="179"/>
      <c r="M248" s="92"/>
      <c r="N248" s="152" t="str">
        <f t="shared" ca="1" si="3"/>
        <v>Enter the number of homes on the 1_SetUp sheet</v>
      </c>
    </row>
    <row r="249" spans="1:14" ht="15" customHeight="1">
      <c r="A249" s="158">
        <v>245</v>
      </c>
      <c r="B249" s="93"/>
      <c r="C249" s="94"/>
      <c r="D249" s="94"/>
      <c r="E249" s="93" t="s">
        <v>55</v>
      </c>
      <c r="F249" s="93" t="s">
        <v>56</v>
      </c>
      <c r="G249" s="93"/>
      <c r="H249" s="95"/>
      <c r="I249" s="93"/>
      <c r="J249" s="93"/>
      <c r="K249" s="93"/>
      <c r="L249" s="179"/>
      <c r="M249" s="92"/>
      <c r="N249" s="152" t="str">
        <f t="shared" ca="1" si="3"/>
        <v>Enter the number of homes on the 1_SetUp sheet</v>
      </c>
    </row>
    <row r="250" spans="1:14" ht="15" customHeight="1">
      <c r="A250" s="158">
        <v>246</v>
      </c>
      <c r="B250" s="93"/>
      <c r="C250" s="94"/>
      <c r="D250" s="94"/>
      <c r="E250" s="93" t="s">
        <v>55</v>
      </c>
      <c r="F250" s="93" t="s">
        <v>56</v>
      </c>
      <c r="G250" s="93"/>
      <c r="H250" s="95"/>
      <c r="I250" s="93"/>
      <c r="J250" s="93"/>
      <c r="K250" s="93"/>
      <c r="L250" s="179"/>
      <c r="M250" s="92"/>
      <c r="N250" s="152" t="str">
        <f t="shared" ca="1" si="3"/>
        <v>Enter the number of homes on the 1_SetUp sheet</v>
      </c>
    </row>
    <row r="251" spans="1:14" ht="15" customHeight="1">
      <c r="A251" s="158">
        <v>247</v>
      </c>
      <c r="B251" s="93"/>
      <c r="C251" s="94"/>
      <c r="D251" s="94"/>
      <c r="E251" s="93" t="s">
        <v>55</v>
      </c>
      <c r="F251" s="93" t="s">
        <v>56</v>
      </c>
      <c r="G251" s="93"/>
      <c r="H251" s="95"/>
      <c r="I251" s="93"/>
      <c r="J251" s="93"/>
      <c r="K251" s="93"/>
      <c r="L251" s="179"/>
      <c r="M251" s="92"/>
      <c r="N251" s="152" t="str">
        <f t="shared" ca="1" si="3"/>
        <v>Enter the number of homes on the 1_SetUp sheet</v>
      </c>
    </row>
    <row r="252" spans="1:14" ht="15" customHeight="1">
      <c r="A252" s="158">
        <v>248</v>
      </c>
      <c r="B252" s="93"/>
      <c r="C252" s="94"/>
      <c r="D252" s="94"/>
      <c r="E252" s="93" t="s">
        <v>55</v>
      </c>
      <c r="F252" s="93" t="s">
        <v>56</v>
      </c>
      <c r="G252" s="93"/>
      <c r="H252" s="95"/>
      <c r="I252" s="93"/>
      <c r="J252" s="93"/>
      <c r="K252" s="93"/>
      <c r="L252" s="179"/>
      <c r="M252" s="92"/>
      <c r="N252" s="152" t="str">
        <f t="shared" ca="1" si="3"/>
        <v>Enter the number of homes on the 1_SetUp sheet</v>
      </c>
    </row>
    <row r="253" spans="1:14" ht="15" customHeight="1">
      <c r="A253" s="158">
        <v>249</v>
      </c>
      <c r="B253" s="93"/>
      <c r="C253" s="94"/>
      <c r="D253" s="94"/>
      <c r="E253" s="93" t="s">
        <v>55</v>
      </c>
      <c r="F253" s="93" t="s">
        <v>56</v>
      </c>
      <c r="G253" s="93"/>
      <c r="H253" s="95"/>
      <c r="I253" s="93"/>
      <c r="J253" s="93"/>
      <c r="K253" s="93"/>
      <c r="L253" s="179"/>
      <c r="M253" s="92"/>
      <c r="N253" s="152" t="str">
        <f t="shared" ca="1" si="3"/>
        <v>Enter the number of homes on the 1_SetUp sheet</v>
      </c>
    </row>
    <row r="254" spans="1:14" ht="15" customHeight="1">
      <c r="A254" s="158">
        <v>250</v>
      </c>
      <c r="B254" s="93"/>
      <c r="C254" s="94"/>
      <c r="D254" s="94"/>
      <c r="E254" s="93" t="s">
        <v>55</v>
      </c>
      <c r="F254" s="93" t="s">
        <v>56</v>
      </c>
      <c r="G254" s="93"/>
      <c r="H254" s="95"/>
      <c r="I254" s="93"/>
      <c r="J254" s="93"/>
      <c r="K254" s="93"/>
      <c r="L254" s="179"/>
      <c r="M254" s="92"/>
      <c r="N254" s="152" t="str">
        <f t="shared" ca="1" si="3"/>
        <v>Enter the number of homes on the 1_SetUp sheet</v>
      </c>
    </row>
    <row r="255" spans="1:14" ht="15" customHeight="1">
      <c r="A255" s="158">
        <v>251</v>
      </c>
      <c r="B255" s="93"/>
      <c r="C255" s="94"/>
      <c r="D255" s="94"/>
      <c r="E255" s="93" t="s">
        <v>55</v>
      </c>
      <c r="F255" s="93" t="s">
        <v>56</v>
      </c>
      <c r="G255" s="93"/>
      <c r="H255" s="95"/>
      <c r="I255" s="93"/>
      <c r="J255" s="93"/>
      <c r="K255" s="93"/>
      <c r="L255" s="179"/>
      <c r="M255" s="92"/>
      <c r="N255" s="152" t="str">
        <f t="shared" ca="1" si="3"/>
        <v>Enter the number of homes on the 1_SetUp sheet</v>
      </c>
    </row>
    <row r="256" spans="1:14" ht="15" customHeight="1">
      <c r="A256" s="158">
        <v>252</v>
      </c>
      <c r="B256" s="93"/>
      <c r="C256" s="94"/>
      <c r="D256" s="94"/>
      <c r="E256" s="93" t="s">
        <v>55</v>
      </c>
      <c r="F256" s="93" t="s">
        <v>56</v>
      </c>
      <c r="G256" s="93"/>
      <c r="H256" s="95"/>
      <c r="I256" s="93"/>
      <c r="J256" s="93"/>
      <c r="K256" s="93"/>
      <c r="L256" s="179"/>
      <c r="M256" s="92"/>
      <c r="N256" s="152" t="str">
        <f t="shared" ca="1" si="3"/>
        <v>Enter the number of homes on the 1_SetUp sheet</v>
      </c>
    </row>
    <row r="257" spans="1:14" ht="15" customHeight="1">
      <c r="A257" s="158">
        <v>253</v>
      </c>
      <c r="B257" s="93"/>
      <c r="C257" s="94"/>
      <c r="D257" s="94"/>
      <c r="E257" s="93" t="s">
        <v>55</v>
      </c>
      <c r="F257" s="93" t="s">
        <v>56</v>
      </c>
      <c r="G257" s="93"/>
      <c r="H257" s="95"/>
      <c r="I257" s="93"/>
      <c r="J257" s="93"/>
      <c r="K257" s="93"/>
      <c r="L257" s="179"/>
      <c r="M257" s="92"/>
      <c r="N257" s="152" t="str">
        <f t="shared" ca="1" si="3"/>
        <v>Enter the number of homes on the 1_SetUp sheet</v>
      </c>
    </row>
    <row r="258" spans="1:14" ht="15" customHeight="1">
      <c r="A258" s="158">
        <v>254</v>
      </c>
      <c r="B258" s="93"/>
      <c r="C258" s="94"/>
      <c r="D258" s="94"/>
      <c r="E258" s="93" t="s">
        <v>55</v>
      </c>
      <c r="F258" s="93" t="s">
        <v>56</v>
      </c>
      <c r="G258" s="93"/>
      <c r="H258" s="95"/>
      <c r="I258" s="93"/>
      <c r="J258" s="93"/>
      <c r="K258" s="93"/>
      <c r="L258" s="179"/>
      <c r="M258" s="92"/>
      <c r="N258" s="152" t="str">
        <f t="shared" ca="1" si="3"/>
        <v>Enter the number of homes on the 1_SetUp sheet</v>
      </c>
    </row>
    <row r="259" spans="1:14" ht="15" customHeight="1">
      <c r="A259" s="158">
        <v>255</v>
      </c>
      <c r="B259" s="93"/>
      <c r="C259" s="94"/>
      <c r="D259" s="94"/>
      <c r="E259" s="93" t="s">
        <v>55</v>
      </c>
      <c r="F259" s="93" t="s">
        <v>56</v>
      </c>
      <c r="G259" s="93"/>
      <c r="H259" s="95"/>
      <c r="I259" s="93"/>
      <c r="J259" s="93"/>
      <c r="K259" s="93"/>
      <c r="L259" s="179"/>
      <c r="M259" s="92"/>
      <c r="N259" s="152" t="str">
        <f t="shared" ca="1" si="3"/>
        <v>Enter the number of homes on the 1_SetUp sheet</v>
      </c>
    </row>
    <row r="260" spans="1:14" ht="15" customHeight="1">
      <c r="A260" s="158">
        <v>256</v>
      </c>
      <c r="B260" s="93"/>
      <c r="C260" s="94"/>
      <c r="D260" s="94"/>
      <c r="E260" s="93" t="s">
        <v>55</v>
      </c>
      <c r="F260" s="93" t="s">
        <v>56</v>
      </c>
      <c r="G260" s="93"/>
      <c r="H260" s="95"/>
      <c r="I260" s="93"/>
      <c r="J260" s="93"/>
      <c r="K260" s="93"/>
      <c r="L260" s="179"/>
      <c r="M260" s="92"/>
      <c r="N260" s="152" t="str">
        <f t="shared" ca="1" si="3"/>
        <v>Enter the number of homes on the 1_SetUp sheet</v>
      </c>
    </row>
    <row r="261" spans="1:14" ht="15" customHeight="1">
      <c r="A261" s="158">
        <v>257</v>
      </c>
      <c r="B261" s="93"/>
      <c r="C261" s="94"/>
      <c r="D261" s="94"/>
      <c r="E261" s="93" t="s">
        <v>55</v>
      </c>
      <c r="F261" s="93" t="s">
        <v>56</v>
      </c>
      <c r="G261" s="93"/>
      <c r="H261" s="95"/>
      <c r="I261" s="93"/>
      <c r="J261" s="93"/>
      <c r="K261" s="93"/>
      <c r="L261" s="179"/>
      <c r="M261" s="92"/>
      <c r="N261" s="152" t="str">
        <f t="shared" ref="N261:N324" ca="1" si="4">INDEX(ErrorCheck,MATCH($A261,ErrorCheckPlotNumber,0),MATCH(N$4,ErrorCheckTitle,0))</f>
        <v>Enter the number of homes on the 1_SetUp sheet</v>
      </c>
    </row>
    <row r="262" spans="1:14" ht="15" customHeight="1">
      <c r="A262" s="158">
        <v>258</v>
      </c>
      <c r="B262" s="93"/>
      <c r="C262" s="94"/>
      <c r="D262" s="94"/>
      <c r="E262" s="93" t="s">
        <v>55</v>
      </c>
      <c r="F262" s="93" t="s">
        <v>56</v>
      </c>
      <c r="G262" s="93"/>
      <c r="H262" s="95"/>
      <c r="I262" s="93"/>
      <c r="J262" s="93"/>
      <c r="K262" s="93"/>
      <c r="L262" s="179"/>
      <c r="M262" s="92"/>
      <c r="N262" s="152" t="str">
        <f t="shared" ca="1" si="4"/>
        <v>Enter the number of homes on the 1_SetUp sheet</v>
      </c>
    </row>
    <row r="263" spans="1:14" ht="15" customHeight="1">
      <c r="A263" s="158">
        <v>259</v>
      </c>
      <c r="B263" s="93"/>
      <c r="C263" s="94"/>
      <c r="D263" s="94"/>
      <c r="E263" s="93" t="s">
        <v>55</v>
      </c>
      <c r="F263" s="93" t="s">
        <v>56</v>
      </c>
      <c r="G263" s="93"/>
      <c r="H263" s="95"/>
      <c r="I263" s="93"/>
      <c r="J263" s="93"/>
      <c r="K263" s="93"/>
      <c r="L263" s="179"/>
      <c r="M263" s="92"/>
      <c r="N263" s="152" t="str">
        <f t="shared" ca="1" si="4"/>
        <v>Enter the number of homes on the 1_SetUp sheet</v>
      </c>
    </row>
    <row r="264" spans="1:14" ht="15" customHeight="1">
      <c r="A264" s="158">
        <v>260</v>
      </c>
      <c r="B264" s="93"/>
      <c r="C264" s="94"/>
      <c r="D264" s="94"/>
      <c r="E264" s="93" t="s">
        <v>55</v>
      </c>
      <c r="F264" s="93" t="s">
        <v>56</v>
      </c>
      <c r="G264" s="93"/>
      <c r="H264" s="95"/>
      <c r="I264" s="93"/>
      <c r="J264" s="93"/>
      <c r="K264" s="93"/>
      <c r="L264" s="179"/>
      <c r="M264" s="92"/>
      <c r="N264" s="152" t="str">
        <f t="shared" ca="1" si="4"/>
        <v>Enter the number of homes on the 1_SetUp sheet</v>
      </c>
    </row>
    <row r="265" spans="1:14" ht="15" customHeight="1">
      <c r="A265" s="158">
        <v>261</v>
      </c>
      <c r="B265" s="93"/>
      <c r="C265" s="94"/>
      <c r="D265" s="94"/>
      <c r="E265" s="93" t="s">
        <v>55</v>
      </c>
      <c r="F265" s="93" t="s">
        <v>56</v>
      </c>
      <c r="G265" s="93"/>
      <c r="H265" s="95"/>
      <c r="I265" s="93"/>
      <c r="J265" s="93"/>
      <c r="K265" s="93"/>
      <c r="L265" s="179"/>
      <c r="M265" s="92"/>
      <c r="N265" s="152" t="str">
        <f t="shared" ca="1" si="4"/>
        <v>Enter the number of homes on the 1_SetUp sheet</v>
      </c>
    </row>
    <row r="266" spans="1:14" ht="15" customHeight="1">
      <c r="A266" s="158">
        <v>262</v>
      </c>
      <c r="B266" s="93"/>
      <c r="C266" s="94"/>
      <c r="D266" s="94"/>
      <c r="E266" s="93" t="s">
        <v>55</v>
      </c>
      <c r="F266" s="93" t="s">
        <v>56</v>
      </c>
      <c r="G266" s="93"/>
      <c r="H266" s="95"/>
      <c r="I266" s="93"/>
      <c r="J266" s="93"/>
      <c r="K266" s="93"/>
      <c r="L266" s="179"/>
      <c r="M266" s="92"/>
      <c r="N266" s="152" t="str">
        <f t="shared" ca="1" si="4"/>
        <v>Enter the number of homes on the 1_SetUp sheet</v>
      </c>
    </row>
    <row r="267" spans="1:14" ht="15" customHeight="1">
      <c r="A267" s="158">
        <v>263</v>
      </c>
      <c r="B267" s="93"/>
      <c r="C267" s="94"/>
      <c r="D267" s="94"/>
      <c r="E267" s="93" t="s">
        <v>55</v>
      </c>
      <c r="F267" s="93" t="s">
        <v>56</v>
      </c>
      <c r="G267" s="93"/>
      <c r="H267" s="95"/>
      <c r="I267" s="93"/>
      <c r="J267" s="93"/>
      <c r="K267" s="93"/>
      <c r="L267" s="179"/>
      <c r="M267" s="92"/>
      <c r="N267" s="152" t="str">
        <f t="shared" ca="1" si="4"/>
        <v>Enter the number of homes on the 1_SetUp sheet</v>
      </c>
    </row>
    <row r="268" spans="1:14" ht="15" customHeight="1">
      <c r="A268" s="158">
        <v>264</v>
      </c>
      <c r="B268" s="93"/>
      <c r="C268" s="94"/>
      <c r="D268" s="94"/>
      <c r="E268" s="93" t="s">
        <v>55</v>
      </c>
      <c r="F268" s="93" t="s">
        <v>56</v>
      </c>
      <c r="G268" s="93"/>
      <c r="H268" s="95"/>
      <c r="I268" s="93"/>
      <c r="J268" s="93"/>
      <c r="K268" s="93"/>
      <c r="L268" s="179"/>
      <c r="M268" s="92"/>
      <c r="N268" s="152" t="str">
        <f t="shared" ca="1" si="4"/>
        <v>Enter the number of homes on the 1_SetUp sheet</v>
      </c>
    </row>
    <row r="269" spans="1:14" ht="15" customHeight="1">
      <c r="A269" s="158">
        <v>265</v>
      </c>
      <c r="B269" s="93"/>
      <c r="C269" s="94"/>
      <c r="D269" s="94"/>
      <c r="E269" s="93" t="s">
        <v>55</v>
      </c>
      <c r="F269" s="93" t="s">
        <v>56</v>
      </c>
      <c r="G269" s="93"/>
      <c r="H269" s="95"/>
      <c r="I269" s="93"/>
      <c r="J269" s="93"/>
      <c r="K269" s="93"/>
      <c r="L269" s="179"/>
      <c r="M269" s="92"/>
      <c r="N269" s="152" t="str">
        <f t="shared" ca="1" si="4"/>
        <v>Enter the number of homes on the 1_SetUp sheet</v>
      </c>
    </row>
    <row r="270" spans="1:14" ht="15" customHeight="1">
      <c r="A270" s="158">
        <v>266</v>
      </c>
      <c r="B270" s="93"/>
      <c r="C270" s="94"/>
      <c r="D270" s="94"/>
      <c r="E270" s="93" t="s">
        <v>55</v>
      </c>
      <c r="F270" s="93" t="s">
        <v>56</v>
      </c>
      <c r="G270" s="93"/>
      <c r="H270" s="95"/>
      <c r="I270" s="93"/>
      <c r="J270" s="93"/>
      <c r="K270" s="93"/>
      <c r="L270" s="179"/>
      <c r="M270" s="92"/>
      <c r="N270" s="152" t="str">
        <f t="shared" ca="1" si="4"/>
        <v>Enter the number of homes on the 1_SetUp sheet</v>
      </c>
    </row>
    <row r="271" spans="1:14" ht="15" customHeight="1">
      <c r="A271" s="158">
        <v>267</v>
      </c>
      <c r="B271" s="93"/>
      <c r="C271" s="94"/>
      <c r="D271" s="94"/>
      <c r="E271" s="93" t="s">
        <v>55</v>
      </c>
      <c r="F271" s="93" t="s">
        <v>56</v>
      </c>
      <c r="G271" s="93"/>
      <c r="H271" s="95"/>
      <c r="I271" s="93"/>
      <c r="J271" s="93"/>
      <c r="K271" s="93"/>
      <c r="L271" s="179"/>
      <c r="M271" s="92"/>
      <c r="N271" s="152" t="str">
        <f t="shared" ca="1" si="4"/>
        <v>Enter the number of homes on the 1_SetUp sheet</v>
      </c>
    </row>
    <row r="272" spans="1:14" ht="15" customHeight="1">
      <c r="A272" s="158">
        <v>268</v>
      </c>
      <c r="B272" s="93"/>
      <c r="C272" s="94"/>
      <c r="D272" s="94"/>
      <c r="E272" s="93" t="s">
        <v>55</v>
      </c>
      <c r="F272" s="93" t="s">
        <v>56</v>
      </c>
      <c r="G272" s="93"/>
      <c r="H272" s="95"/>
      <c r="I272" s="93"/>
      <c r="J272" s="93"/>
      <c r="K272" s="93"/>
      <c r="L272" s="179"/>
      <c r="M272" s="92"/>
      <c r="N272" s="152" t="str">
        <f t="shared" ca="1" si="4"/>
        <v>Enter the number of homes on the 1_SetUp sheet</v>
      </c>
    </row>
    <row r="273" spans="1:14" ht="15" customHeight="1">
      <c r="A273" s="158">
        <v>269</v>
      </c>
      <c r="B273" s="93"/>
      <c r="C273" s="94"/>
      <c r="D273" s="94"/>
      <c r="E273" s="93" t="s">
        <v>55</v>
      </c>
      <c r="F273" s="93" t="s">
        <v>56</v>
      </c>
      <c r="G273" s="93"/>
      <c r="H273" s="95"/>
      <c r="I273" s="93"/>
      <c r="J273" s="93"/>
      <c r="K273" s="93"/>
      <c r="L273" s="179"/>
      <c r="M273" s="92"/>
      <c r="N273" s="152" t="str">
        <f t="shared" ca="1" si="4"/>
        <v>Enter the number of homes on the 1_SetUp sheet</v>
      </c>
    </row>
    <row r="274" spans="1:14" ht="15" customHeight="1">
      <c r="A274" s="158">
        <v>270</v>
      </c>
      <c r="B274" s="93"/>
      <c r="C274" s="94"/>
      <c r="D274" s="94"/>
      <c r="E274" s="93" t="s">
        <v>55</v>
      </c>
      <c r="F274" s="93" t="s">
        <v>56</v>
      </c>
      <c r="G274" s="93"/>
      <c r="H274" s="95"/>
      <c r="I274" s="93"/>
      <c r="J274" s="93"/>
      <c r="K274" s="93"/>
      <c r="L274" s="179"/>
      <c r="M274" s="92"/>
      <c r="N274" s="152" t="str">
        <f t="shared" ca="1" si="4"/>
        <v>Enter the number of homes on the 1_SetUp sheet</v>
      </c>
    </row>
    <row r="275" spans="1:14" ht="15" customHeight="1">
      <c r="A275" s="158">
        <v>271</v>
      </c>
      <c r="B275" s="93"/>
      <c r="C275" s="94"/>
      <c r="D275" s="94"/>
      <c r="E275" s="93" t="s">
        <v>55</v>
      </c>
      <c r="F275" s="93" t="s">
        <v>56</v>
      </c>
      <c r="G275" s="93"/>
      <c r="H275" s="95"/>
      <c r="I275" s="93"/>
      <c r="J275" s="93"/>
      <c r="K275" s="93"/>
      <c r="L275" s="179"/>
      <c r="M275" s="92"/>
      <c r="N275" s="152" t="str">
        <f t="shared" ca="1" si="4"/>
        <v>Enter the number of homes on the 1_SetUp sheet</v>
      </c>
    </row>
    <row r="276" spans="1:14" ht="15" customHeight="1">
      <c r="A276" s="158">
        <v>272</v>
      </c>
      <c r="B276" s="93"/>
      <c r="C276" s="94"/>
      <c r="D276" s="94"/>
      <c r="E276" s="93" t="s">
        <v>55</v>
      </c>
      <c r="F276" s="93" t="s">
        <v>56</v>
      </c>
      <c r="G276" s="93"/>
      <c r="H276" s="95"/>
      <c r="I276" s="93"/>
      <c r="J276" s="93"/>
      <c r="K276" s="93"/>
      <c r="L276" s="179"/>
      <c r="M276" s="92"/>
      <c r="N276" s="152" t="str">
        <f t="shared" ca="1" si="4"/>
        <v>Enter the number of homes on the 1_SetUp sheet</v>
      </c>
    </row>
    <row r="277" spans="1:14" ht="15" customHeight="1">
      <c r="A277" s="158">
        <v>273</v>
      </c>
      <c r="B277" s="93"/>
      <c r="C277" s="94"/>
      <c r="D277" s="94"/>
      <c r="E277" s="93" t="s">
        <v>55</v>
      </c>
      <c r="F277" s="93" t="s">
        <v>56</v>
      </c>
      <c r="G277" s="93"/>
      <c r="H277" s="95"/>
      <c r="I277" s="93"/>
      <c r="J277" s="93"/>
      <c r="K277" s="93"/>
      <c r="L277" s="179"/>
      <c r="M277" s="92"/>
      <c r="N277" s="152" t="str">
        <f t="shared" ca="1" si="4"/>
        <v>Enter the number of homes on the 1_SetUp sheet</v>
      </c>
    </row>
    <row r="278" spans="1:14" ht="15" customHeight="1">
      <c r="A278" s="158">
        <v>274</v>
      </c>
      <c r="B278" s="93"/>
      <c r="C278" s="94"/>
      <c r="D278" s="94"/>
      <c r="E278" s="93" t="s">
        <v>55</v>
      </c>
      <c r="F278" s="93" t="s">
        <v>56</v>
      </c>
      <c r="G278" s="93"/>
      <c r="H278" s="95"/>
      <c r="I278" s="93"/>
      <c r="J278" s="93"/>
      <c r="K278" s="93"/>
      <c r="L278" s="179"/>
      <c r="M278" s="92"/>
      <c r="N278" s="152" t="str">
        <f t="shared" ca="1" si="4"/>
        <v>Enter the number of homes on the 1_SetUp sheet</v>
      </c>
    </row>
    <row r="279" spans="1:14" ht="15" customHeight="1">
      <c r="A279" s="158">
        <v>275</v>
      </c>
      <c r="B279" s="93"/>
      <c r="C279" s="94"/>
      <c r="D279" s="94"/>
      <c r="E279" s="93" t="s">
        <v>55</v>
      </c>
      <c r="F279" s="93" t="s">
        <v>56</v>
      </c>
      <c r="G279" s="93"/>
      <c r="H279" s="95"/>
      <c r="I279" s="93"/>
      <c r="J279" s="93"/>
      <c r="K279" s="93"/>
      <c r="L279" s="179"/>
      <c r="M279" s="92"/>
      <c r="N279" s="152" t="str">
        <f t="shared" ca="1" si="4"/>
        <v>Enter the number of homes on the 1_SetUp sheet</v>
      </c>
    </row>
    <row r="280" spans="1:14" ht="15" customHeight="1">
      <c r="A280" s="158">
        <v>276</v>
      </c>
      <c r="B280" s="93"/>
      <c r="C280" s="94"/>
      <c r="D280" s="94"/>
      <c r="E280" s="93" t="s">
        <v>55</v>
      </c>
      <c r="F280" s="93" t="s">
        <v>56</v>
      </c>
      <c r="G280" s="93"/>
      <c r="H280" s="95"/>
      <c r="I280" s="93"/>
      <c r="J280" s="93"/>
      <c r="K280" s="93"/>
      <c r="L280" s="179"/>
      <c r="M280" s="92"/>
      <c r="N280" s="152" t="str">
        <f t="shared" ca="1" si="4"/>
        <v>Enter the number of homes on the 1_SetUp sheet</v>
      </c>
    </row>
    <row r="281" spans="1:14" ht="15" customHeight="1">
      <c r="A281" s="158">
        <v>277</v>
      </c>
      <c r="B281" s="93"/>
      <c r="C281" s="94"/>
      <c r="D281" s="94"/>
      <c r="E281" s="93" t="s">
        <v>55</v>
      </c>
      <c r="F281" s="93" t="s">
        <v>56</v>
      </c>
      <c r="G281" s="93"/>
      <c r="H281" s="95"/>
      <c r="I281" s="93"/>
      <c r="J281" s="93"/>
      <c r="K281" s="93"/>
      <c r="L281" s="179"/>
      <c r="M281" s="92"/>
      <c r="N281" s="152" t="str">
        <f t="shared" ca="1" si="4"/>
        <v>Enter the number of homes on the 1_SetUp sheet</v>
      </c>
    </row>
    <row r="282" spans="1:14" ht="15" customHeight="1">
      <c r="A282" s="158">
        <v>278</v>
      </c>
      <c r="B282" s="93"/>
      <c r="C282" s="94"/>
      <c r="D282" s="94"/>
      <c r="E282" s="93" t="s">
        <v>55</v>
      </c>
      <c r="F282" s="93" t="s">
        <v>56</v>
      </c>
      <c r="G282" s="93"/>
      <c r="H282" s="95"/>
      <c r="I282" s="93"/>
      <c r="J282" s="93"/>
      <c r="K282" s="93"/>
      <c r="L282" s="179"/>
      <c r="M282" s="92"/>
      <c r="N282" s="152" t="str">
        <f t="shared" ca="1" si="4"/>
        <v>Enter the number of homes on the 1_SetUp sheet</v>
      </c>
    </row>
    <row r="283" spans="1:14" ht="15" customHeight="1">
      <c r="A283" s="158">
        <v>279</v>
      </c>
      <c r="B283" s="93"/>
      <c r="C283" s="94"/>
      <c r="D283" s="94"/>
      <c r="E283" s="93" t="s">
        <v>55</v>
      </c>
      <c r="F283" s="93" t="s">
        <v>56</v>
      </c>
      <c r="G283" s="93"/>
      <c r="H283" s="95"/>
      <c r="I283" s="93"/>
      <c r="J283" s="93"/>
      <c r="K283" s="93"/>
      <c r="L283" s="179"/>
      <c r="M283" s="92"/>
      <c r="N283" s="152" t="str">
        <f t="shared" ca="1" si="4"/>
        <v>Enter the number of homes on the 1_SetUp sheet</v>
      </c>
    </row>
    <row r="284" spans="1:14" ht="15" customHeight="1">
      <c r="A284" s="158">
        <v>280</v>
      </c>
      <c r="B284" s="93"/>
      <c r="C284" s="94"/>
      <c r="D284" s="94"/>
      <c r="E284" s="93" t="s">
        <v>55</v>
      </c>
      <c r="F284" s="93" t="s">
        <v>56</v>
      </c>
      <c r="G284" s="93"/>
      <c r="H284" s="95"/>
      <c r="I284" s="93"/>
      <c r="J284" s="93"/>
      <c r="K284" s="93"/>
      <c r="L284" s="179"/>
      <c r="M284" s="92"/>
      <c r="N284" s="152" t="str">
        <f t="shared" ca="1" si="4"/>
        <v>Enter the number of homes on the 1_SetUp sheet</v>
      </c>
    </row>
    <row r="285" spans="1:14" ht="15" customHeight="1">
      <c r="A285" s="158">
        <v>281</v>
      </c>
      <c r="B285" s="93"/>
      <c r="C285" s="94"/>
      <c r="D285" s="94"/>
      <c r="E285" s="93" t="s">
        <v>55</v>
      </c>
      <c r="F285" s="93" t="s">
        <v>56</v>
      </c>
      <c r="G285" s="93"/>
      <c r="H285" s="95"/>
      <c r="I285" s="93"/>
      <c r="J285" s="93"/>
      <c r="K285" s="93"/>
      <c r="L285" s="179"/>
      <c r="M285" s="92"/>
      <c r="N285" s="152" t="str">
        <f t="shared" ca="1" si="4"/>
        <v>Enter the number of homes on the 1_SetUp sheet</v>
      </c>
    </row>
    <row r="286" spans="1:14" ht="15" customHeight="1">
      <c r="A286" s="158">
        <v>282</v>
      </c>
      <c r="B286" s="93"/>
      <c r="C286" s="94"/>
      <c r="D286" s="94"/>
      <c r="E286" s="93" t="s">
        <v>55</v>
      </c>
      <c r="F286" s="93" t="s">
        <v>56</v>
      </c>
      <c r="G286" s="93"/>
      <c r="H286" s="95"/>
      <c r="I286" s="93"/>
      <c r="J286" s="93"/>
      <c r="K286" s="93"/>
      <c r="L286" s="179"/>
      <c r="M286" s="92"/>
      <c r="N286" s="152" t="str">
        <f t="shared" ca="1" si="4"/>
        <v>Enter the number of homes on the 1_SetUp sheet</v>
      </c>
    </row>
    <row r="287" spans="1:14" ht="15" customHeight="1">
      <c r="A287" s="158">
        <v>283</v>
      </c>
      <c r="B287" s="93"/>
      <c r="C287" s="94"/>
      <c r="D287" s="94"/>
      <c r="E287" s="93" t="s">
        <v>55</v>
      </c>
      <c r="F287" s="93" t="s">
        <v>56</v>
      </c>
      <c r="G287" s="93"/>
      <c r="H287" s="95"/>
      <c r="I287" s="93"/>
      <c r="J287" s="93"/>
      <c r="K287" s="93"/>
      <c r="L287" s="179"/>
      <c r="M287" s="92"/>
      <c r="N287" s="152" t="str">
        <f t="shared" ca="1" si="4"/>
        <v>Enter the number of homes on the 1_SetUp sheet</v>
      </c>
    </row>
    <row r="288" spans="1:14" ht="15" customHeight="1">
      <c r="A288" s="158">
        <v>284</v>
      </c>
      <c r="B288" s="93"/>
      <c r="C288" s="94"/>
      <c r="D288" s="94"/>
      <c r="E288" s="93" t="s">
        <v>55</v>
      </c>
      <c r="F288" s="93" t="s">
        <v>56</v>
      </c>
      <c r="G288" s="93"/>
      <c r="H288" s="95"/>
      <c r="I288" s="93"/>
      <c r="J288" s="93"/>
      <c r="K288" s="93"/>
      <c r="L288" s="179"/>
      <c r="M288" s="92"/>
      <c r="N288" s="152" t="str">
        <f t="shared" ca="1" si="4"/>
        <v>Enter the number of homes on the 1_SetUp sheet</v>
      </c>
    </row>
    <row r="289" spans="1:14" ht="15" customHeight="1">
      <c r="A289" s="158">
        <v>285</v>
      </c>
      <c r="B289" s="93"/>
      <c r="C289" s="94"/>
      <c r="D289" s="94"/>
      <c r="E289" s="93" t="s">
        <v>55</v>
      </c>
      <c r="F289" s="93" t="s">
        <v>56</v>
      </c>
      <c r="G289" s="93"/>
      <c r="H289" s="95"/>
      <c r="I289" s="93"/>
      <c r="J289" s="93"/>
      <c r="K289" s="93"/>
      <c r="L289" s="179"/>
      <c r="M289" s="92"/>
      <c r="N289" s="152" t="str">
        <f t="shared" ca="1" si="4"/>
        <v>Enter the number of homes on the 1_SetUp sheet</v>
      </c>
    </row>
    <row r="290" spans="1:14" ht="15" customHeight="1">
      <c r="A290" s="158">
        <v>286</v>
      </c>
      <c r="B290" s="93"/>
      <c r="C290" s="94"/>
      <c r="D290" s="94"/>
      <c r="E290" s="93" t="s">
        <v>55</v>
      </c>
      <c r="F290" s="93" t="s">
        <v>56</v>
      </c>
      <c r="G290" s="93"/>
      <c r="H290" s="95"/>
      <c r="I290" s="93"/>
      <c r="J290" s="93"/>
      <c r="K290" s="93"/>
      <c r="L290" s="179"/>
      <c r="M290" s="92"/>
      <c r="N290" s="152" t="str">
        <f t="shared" ca="1" si="4"/>
        <v>Enter the number of homes on the 1_SetUp sheet</v>
      </c>
    </row>
    <row r="291" spans="1:14" ht="15" customHeight="1">
      <c r="A291" s="158">
        <v>287</v>
      </c>
      <c r="B291" s="93"/>
      <c r="C291" s="94"/>
      <c r="D291" s="94"/>
      <c r="E291" s="93" t="s">
        <v>55</v>
      </c>
      <c r="F291" s="93" t="s">
        <v>56</v>
      </c>
      <c r="G291" s="93"/>
      <c r="H291" s="95"/>
      <c r="I291" s="93"/>
      <c r="J291" s="93"/>
      <c r="K291" s="93"/>
      <c r="L291" s="179"/>
      <c r="M291" s="92"/>
      <c r="N291" s="152" t="str">
        <f t="shared" ca="1" si="4"/>
        <v>Enter the number of homes on the 1_SetUp sheet</v>
      </c>
    </row>
    <row r="292" spans="1:14" ht="15" customHeight="1">
      <c r="A292" s="158">
        <v>288</v>
      </c>
      <c r="B292" s="93"/>
      <c r="C292" s="94"/>
      <c r="D292" s="94"/>
      <c r="E292" s="93" t="s">
        <v>55</v>
      </c>
      <c r="F292" s="93" t="s">
        <v>56</v>
      </c>
      <c r="G292" s="93"/>
      <c r="H292" s="95"/>
      <c r="I292" s="93"/>
      <c r="J292" s="93"/>
      <c r="K292" s="93"/>
      <c r="L292" s="179"/>
      <c r="M292" s="92"/>
      <c r="N292" s="152" t="str">
        <f t="shared" ca="1" si="4"/>
        <v>Enter the number of homes on the 1_SetUp sheet</v>
      </c>
    </row>
    <row r="293" spans="1:14" ht="15" customHeight="1">
      <c r="A293" s="158">
        <v>289</v>
      </c>
      <c r="B293" s="93"/>
      <c r="C293" s="94"/>
      <c r="D293" s="94"/>
      <c r="E293" s="93" t="s">
        <v>55</v>
      </c>
      <c r="F293" s="93" t="s">
        <v>56</v>
      </c>
      <c r="G293" s="93"/>
      <c r="H293" s="95"/>
      <c r="I293" s="93"/>
      <c r="J293" s="93"/>
      <c r="K293" s="93"/>
      <c r="L293" s="179"/>
      <c r="M293" s="92"/>
      <c r="N293" s="152" t="str">
        <f t="shared" ca="1" si="4"/>
        <v>Enter the number of homes on the 1_SetUp sheet</v>
      </c>
    </row>
    <row r="294" spans="1:14" ht="15" customHeight="1">
      <c r="A294" s="158">
        <v>290</v>
      </c>
      <c r="B294" s="93"/>
      <c r="C294" s="94"/>
      <c r="D294" s="94"/>
      <c r="E294" s="93" t="s">
        <v>55</v>
      </c>
      <c r="F294" s="93" t="s">
        <v>56</v>
      </c>
      <c r="G294" s="93"/>
      <c r="H294" s="95"/>
      <c r="I294" s="93"/>
      <c r="J294" s="93"/>
      <c r="K294" s="93"/>
      <c r="L294" s="179"/>
      <c r="M294" s="92"/>
      <c r="N294" s="152" t="str">
        <f t="shared" ca="1" si="4"/>
        <v>Enter the number of homes on the 1_SetUp sheet</v>
      </c>
    </row>
    <row r="295" spans="1:14" ht="15" customHeight="1">
      <c r="A295" s="158">
        <v>291</v>
      </c>
      <c r="B295" s="93"/>
      <c r="C295" s="94"/>
      <c r="D295" s="94"/>
      <c r="E295" s="93" t="s">
        <v>55</v>
      </c>
      <c r="F295" s="93" t="s">
        <v>56</v>
      </c>
      <c r="G295" s="93"/>
      <c r="H295" s="95"/>
      <c r="I295" s="93"/>
      <c r="J295" s="93"/>
      <c r="K295" s="93"/>
      <c r="L295" s="179"/>
      <c r="M295" s="92"/>
      <c r="N295" s="152" t="str">
        <f t="shared" ca="1" si="4"/>
        <v>Enter the number of homes on the 1_SetUp sheet</v>
      </c>
    </row>
    <row r="296" spans="1:14" ht="15" customHeight="1">
      <c r="A296" s="158">
        <v>292</v>
      </c>
      <c r="B296" s="93"/>
      <c r="C296" s="94"/>
      <c r="D296" s="94"/>
      <c r="E296" s="93" t="s">
        <v>55</v>
      </c>
      <c r="F296" s="93" t="s">
        <v>56</v>
      </c>
      <c r="G296" s="93"/>
      <c r="H296" s="95"/>
      <c r="I296" s="93"/>
      <c r="J296" s="93"/>
      <c r="K296" s="93"/>
      <c r="L296" s="179"/>
      <c r="M296" s="92"/>
      <c r="N296" s="152" t="str">
        <f t="shared" ca="1" si="4"/>
        <v>Enter the number of homes on the 1_SetUp sheet</v>
      </c>
    </row>
    <row r="297" spans="1:14" ht="15" customHeight="1">
      <c r="A297" s="158">
        <v>293</v>
      </c>
      <c r="B297" s="93"/>
      <c r="C297" s="94"/>
      <c r="D297" s="94"/>
      <c r="E297" s="93" t="s">
        <v>55</v>
      </c>
      <c r="F297" s="93" t="s">
        <v>56</v>
      </c>
      <c r="G297" s="93"/>
      <c r="H297" s="95"/>
      <c r="I297" s="93"/>
      <c r="J297" s="93"/>
      <c r="K297" s="93"/>
      <c r="L297" s="179"/>
      <c r="M297" s="92"/>
      <c r="N297" s="152" t="str">
        <f t="shared" ca="1" si="4"/>
        <v>Enter the number of homes on the 1_SetUp sheet</v>
      </c>
    </row>
    <row r="298" spans="1:14" ht="15" customHeight="1">
      <c r="A298" s="158">
        <v>294</v>
      </c>
      <c r="B298" s="93"/>
      <c r="C298" s="94"/>
      <c r="D298" s="94"/>
      <c r="E298" s="93" t="s">
        <v>55</v>
      </c>
      <c r="F298" s="93" t="s">
        <v>56</v>
      </c>
      <c r="G298" s="93"/>
      <c r="H298" s="95"/>
      <c r="I298" s="93"/>
      <c r="J298" s="93"/>
      <c r="K298" s="93"/>
      <c r="L298" s="179"/>
      <c r="M298" s="92"/>
      <c r="N298" s="152" t="str">
        <f t="shared" ca="1" si="4"/>
        <v>Enter the number of homes on the 1_SetUp sheet</v>
      </c>
    </row>
    <row r="299" spans="1:14" ht="15" customHeight="1">
      <c r="A299" s="158">
        <v>295</v>
      </c>
      <c r="B299" s="93"/>
      <c r="C299" s="94"/>
      <c r="D299" s="94"/>
      <c r="E299" s="93" t="s">
        <v>55</v>
      </c>
      <c r="F299" s="93" t="s">
        <v>56</v>
      </c>
      <c r="G299" s="93"/>
      <c r="H299" s="95"/>
      <c r="I299" s="93"/>
      <c r="J299" s="93"/>
      <c r="K299" s="93"/>
      <c r="L299" s="179"/>
      <c r="M299" s="92"/>
      <c r="N299" s="152" t="str">
        <f t="shared" ca="1" si="4"/>
        <v>Enter the number of homes on the 1_SetUp sheet</v>
      </c>
    </row>
    <row r="300" spans="1:14" ht="15" customHeight="1">
      <c r="A300" s="158">
        <v>296</v>
      </c>
      <c r="B300" s="93"/>
      <c r="C300" s="94"/>
      <c r="D300" s="94"/>
      <c r="E300" s="93" t="s">
        <v>55</v>
      </c>
      <c r="F300" s="93" t="s">
        <v>56</v>
      </c>
      <c r="G300" s="93"/>
      <c r="H300" s="95"/>
      <c r="I300" s="93"/>
      <c r="J300" s="93"/>
      <c r="K300" s="93"/>
      <c r="L300" s="179"/>
      <c r="M300" s="92"/>
      <c r="N300" s="152" t="str">
        <f t="shared" ca="1" si="4"/>
        <v>Enter the number of homes on the 1_SetUp sheet</v>
      </c>
    </row>
    <row r="301" spans="1:14" ht="15" customHeight="1">
      <c r="A301" s="158">
        <v>297</v>
      </c>
      <c r="B301" s="93"/>
      <c r="C301" s="94"/>
      <c r="D301" s="94"/>
      <c r="E301" s="93" t="s">
        <v>55</v>
      </c>
      <c r="F301" s="93" t="s">
        <v>56</v>
      </c>
      <c r="G301" s="93"/>
      <c r="H301" s="95"/>
      <c r="I301" s="93"/>
      <c r="J301" s="93"/>
      <c r="K301" s="93"/>
      <c r="L301" s="179"/>
      <c r="M301" s="92"/>
      <c r="N301" s="152" t="str">
        <f t="shared" ca="1" si="4"/>
        <v>Enter the number of homes on the 1_SetUp sheet</v>
      </c>
    </row>
    <row r="302" spans="1:14" ht="15" customHeight="1">
      <c r="A302" s="158">
        <v>298</v>
      </c>
      <c r="B302" s="93"/>
      <c r="C302" s="94"/>
      <c r="D302" s="94"/>
      <c r="E302" s="93" t="s">
        <v>55</v>
      </c>
      <c r="F302" s="93" t="s">
        <v>56</v>
      </c>
      <c r="G302" s="93"/>
      <c r="H302" s="95"/>
      <c r="I302" s="93"/>
      <c r="J302" s="93"/>
      <c r="K302" s="93"/>
      <c r="L302" s="179"/>
      <c r="M302" s="92"/>
      <c r="N302" s="152" t="str">
        <f t="shared" ca="1" si="4"/>
        <v>Enter the number of homes on the 1_SetUp sheet</v>
      </c>
    </row>
    <row r="303" spans="1:14" ht="15" customHeight="1">
      <c r="A303" s="158">
        <v>299</v>
      </c>
      <c r="B303" s="93"/>
      <c r="C303" s="94"/>
      <c r="D303" s="94"/>
      <c r="E303" s="93" t="s">
        <v>55</v>
      </c>
      <c r="F303" s="93" t="s">
        <v>56</v>
      </c>
      <c r="G303" s="93"/>
      <c r="H303" s="95"/>
      <c r="I303" s="93"/>
      <c r="J303" s="93"/>
      <c r="K303" s="93"/>
      <c r="L303" s="179"/>
      <c r="M303" s="92"/>
      <c r="N303" s="152" t="str">
        <f t="shared" ca="1" si="4"/>
        <v>Enter the number of homes on the 1_SetUp sheet</v>
      </c>
    </row>
    <row r="304" spans="1:14" ht="15" customHeight="1">
      <c r="A304" s="158">
        <v>300</v>
      </c>
      <c r="B304" s="93"/>
      <c r="C304" s="94"/>
      <c r="D304" s="94"/>
      <c r="E304" s="93" t="s">
        <v>55</v>
      </c>
      <c r="F304" s="93" t="s">
        <v>56</v>
      </c>
      <c r="G304" s="93"/>
      <c r="H304" s="95"/>
      <c r="I304" s="93"/>
      <c r="J304" s="93"/>
      <c r="K304" s="93"/>
      <c r="L304" s="179"/>
      <c r="M304" s="92"/>
      <c r="N304" s="152" t="str">
        <f t="shared" ca="1" si="4"/>
        <v>Enter the number of homes on the 1_SetUp sheet</v>
      </c>
    </row>
    <row r="305" spans="1:14" ht="15" customHeight="1">
      <c r="A305" s="158">
        <v>301</v>
      </c>
      <c r="B305" s="93"/>
      <c r="C305" s="94"/>
      <c r="D305" s="94"/>
      <c r="E305" s="93" t="s">
        <v>55</v>
      </c>
      <c r="F305" s="93" t="s">
        <v>56</v>
      </c>
      <c r="G305" s="93"/>
      <c r="H305" s="95"/>
      <c r="I305" s="93"/>
      <c r="J305" s="93"/>
      <c r="K305" s="93"/>
      <c r="L305" s="179"/>
      <c r="M305" s="92"/>
      <c r="N305" s="152" t="str">
        <f t="shared" ca="1" si="4"/>
        <v>Enter the number of homes on the 1_SetUp sheet</v>
      </c>
    </row>
    <row r="306" spans="1:14" ht="15" customHeight="1">
      <c r="A306" s="158">
        <v>302</v>
      </c>
      <c r="B306" s="93"/>
      <c r="C306" s="94"/>
      <c r="D306" s="94"/>
      <c r="E306" s="93" t="s">
        <v>55</v>
      </c>
      <c r="F306" s="93" t="s">
        <v>56</v>
      </c>
      <c r="G306" s="93"/>
      <c r="H306" s="95"/>
      <c r="I306" s="93"/>
      <c r="J306" s="93"/>
      <c r="K306" s="93"/>
      <c r="L306" s="179"/>
      <c r="M306" s="92"/>
      <c r="N306" s="152" t="str">
        <f t="shared" ca="1" si="4"/>
        <v>Enter the number of homes on the 1_SetUp sheet</v>
      </c>
    </row>
    <row r="307" spans="1:14" ht="15" customHeight="1">
      <c r="A307" s="158">
        <v>303</v>
      </c>
      <c r="B307" s="93"/>
      <c r="C307" s="94"/>
      <c r="D307" s="94"/>
      <c r="E307" s="93" t="s">
        <v>55</v>
      </c>
      <c r="F307" s="93" t="s">
        <v>56</v>
      </c>
      <c r="G307" s="93"/>
      <c r="H307" s="95"/>
      <c r="I307" s="93"/>
      <c r="J307" s="93"/>
      <c r="K307" s="93"/>
      <c r="L307" s="179"/>
      <c r="M307" s="92"/>
      <c r="N307" s="152" t="str">
        <f t="shared" ca="1" si="4"/>
        <v>Enter the number of homes on the 1_SetUp sheet</v>
      </c>
    </row>
    <row r="308" spans="1:14" ht="15" customHeight="1">
      <c r="A308" s="158">
        <v>304</v>
      </c>
      <c r="B308" s="93"/>
      <c r="C308" s="94"/>
      <c r="D308" s="94"/>
      <c r="E308" s="93" t="s">
        <v>55</v>
      </c>
      <c r="F308" s="93" t="s">
        <v>56</v>
      </c>
      <c r="G308" s="93"/>
      <c r="H308" s="95"/>
      <c r="I308" s="93"/>
      <c r="J308" s="93"/>
      <c r="K308" s="93"/>
      <c r="L308" s="179"/>
      <c r="M308" s="92"/>
      <c r="N308" s="152" t="str">
        <f t="shared" ca="1" si="4"/>
        <v>Enter the number of homes on the 1_SetUp sheet</v>
      </c>
    </row>
    <row r="309" spans="1:14" ht="15" customHeight="1">
      <c r="A309" s="158">
        <v>305</v>
      </c>
      <c r="B309" s="93"/>
      <c r="C309" s="94"/>
      <c r="D309" s="94"/>
      <c r="E309" s="93" t="s">
        <v>55</v>
      </c>
      <c r="F309" s="93" t="s">
        <v>56</v>
      </c>
      <c r="G309" s="93"/>
      <c r="H309" s="95"/>
      <c r="I309" s="93"/>
      <c r="J309" s="93"/>
      <c r="K309" s="93"/>
      <c r="L309" s="179"/>
      <c r="M309" s="92"/>
      <c r="N309" s="152" t="str">
        <f t="shared" ca="1" si="4"/>
        <v>Enter the number of homes on the 1_SetUp sheet</v>
      </c>
    </row>
    <row r="310" spans="1:14" ht="15" customHeight="1">
      <c r="A310" s="158">
        <v>306</v>
      </c>
      <c r="B310" s="93"/>
      <c r="C310" s="94"/>
      <c r="D310" s="94"/>
      <c r="E310" s="93" t="s">
        <v>55</v>
      </c>
      <c r="F310" s="93" t="s">
        <v>56</v>
      </c>
      <c r="G310" s="93"/>
      <c r="H310" s="95"/>
      <c r="I310" s="93"/>
      <c r="J310" s="93"/>
      <c r="K310" s="93"/>
      <c r="L310" s="179"/>
      <c r="M310" s="92"/>
      <c r="N310" s="152" t="str">
        <f t="shared" ca="1" si="4"/>
        <v>Enter the number of homes on the 1_SetUp sheet</v>
      </c>
    </row>
    <row r="311" spans="1:14" ht="15" customHeight="1">
      <c r="A311" s="158">
        <v>307</v>
      </c>
      <c r="B311" s="93"/>
      <c r="C311" s="94"/>
      <c r="D311" s="94"/>
      <c r="E311" s="93" t="s">
        <v>55</v>
      </c>
      <c r="F311" s="93" t="s">
        <v>56</v>
      </c>
      <c r="G311" s="93"/>
      <c r="H311" s="95"/>
      <c r="I311" s="93"/>
      <c r="J311" s="93"/>
      <c r="K311" s="93"/>
      <c r="L311" s="179"/>
      <c r="M311" s="92"/>
      <c r="N311" s="152" t="str">
        <f t="shared" ca="1" si="4"/>
        <v>Enter the number of homes on the 1_SetUp sheet</v>
      </c>
    </row>
    <row r="312" spans="1:14" ht="15" customHeight="1">
      <c r="A312" s="158">
        <v>308</v>
      </c>
      <c r="B312" s="93"/>
      <c r="C312" s="94"/>
      <c r="D312" s="94"/>
      <c r="E312" s="93" t="s">
        <v>55</v>
      </c>
      <c r="F312" s="93" t="s">
        <v>56</v>
      </c>
      <c r="G312" s="93"/>
      <c r="H312" s="95"/>
      <c r="I312" s="93"/>
      <c r="J312" s="93"/>
      <c r="K312" s="93"/>
      <c r="L312" s="179"/>
      <c r="M312" s="92"/>
      <c r="N312" s="152" t="str">
        <f t="shared" ca="1" si="4"/>
        <v>Enter the number of homes on the 1_SetUp sheet</v>
      </c>
    </row>
    <row r="313" spans="1:14" ht="15" customHeight="1">
      <c r="A313" s="158">
        <v>309</v>
      </c>
      <c r="B313" s="93"/>
      <c r="C313" s="94"/>
      <c r="D313" s="94"/>
      <c r="E313" s="93" t="s">
        <v>55</v>
      </c>
      <c r="F313" s="93" t="s">
        <v>56</v>
      </c>
      <c r="G313" s="93"/>
      <c r="H313" s="95"/>
      <c r="I313" s="93"/>
      <c r="J313" s="93"/>
      <c r="K313" s="93"/>
      <c r="L313" s="179"/>
      <c r="M313" s="92"/>
      <c r="N313" s="152" t="str">
        <f t="shared" ca="1" si="4"/>
        <v>Enter the number of homes on the 1_SetUp sheet</v>
      </c>
    </row>
    <row r="314" spans="1:14" ht="15" customHeight="1">
      <c r="A314" s="158">
        <v>310</v>
      </c>
      <c r="B314" s="93"/>
      <c r="C314" s="94"/>
      <c r="D314" s="94"/>
      <c r="E314" s="93" t="s">
        <v>55</v>
      </c>
      <c r="F314" s="93" t="s">
        <v>56</v>
      </c>
      <c r="G314" s="93"/>
      <c r="H314" s="95"/>
      <c r="I314" s="93"/>
      <c r="J314" s="93"/>
      <c r="K314" s="93"/>
      <c r="L314" s="179"/>
      <c r="M314" s="92"/>
      <c r="N314" s="152" t="str">
        <f t="shared" ca="1" si="4"/>
        <v>Enter the number of homes on the 1_SetUp sheet</v>
      </c>
    </row>
    <row r="315" spans="1:14" ht="15" customHeight="1">
      <c r="A315" s="158">
        <v>311</v>
      </c>
      <c r="B315" s="93"/>
      <c r="C315" s="94"/>
      <c r="D315" s="94"/>
      <c r="E315" s="93" t="s">
        <v>55</v>
      </c>
      <c r="F315" s="93" t="s">
        <v>56</v>
      </c>
      <c r="G315" s="93"/>
      <c r="H315" s="95"/>
      <c r="I315" s="93"/>
      <c r="J315" s="93"/>
      <c r="K315" s="93"/>
      <c r="L315" s="179"/>
      <c r="M315" s="92"/>
      <c r="N315" s="152" t="str">
        <f t="shared" ca="1" si="4"/>
        <v>Enter the number of homes on the 1_SetUp sheet</v>
      </c>
    </row>
    <row r="316" spans="1:14" ht="15" customHeight="1">
      <c r="A316" s="158">
        <v>312</v>
      </c>
      <c r="B316" s="93"/>
      <c r="C316" s="94"/>
      <c r="D316" s="94"/>
      <c r="E316" s="93" t="s">
        <v>55</v>
      </c>
      <c r="F316" s="93" t="s">
        <v>56</v>
      </c>
      <c r="G316" s="93"/>
      <c r="H316" s="95"/>
      <c r="I316" s="93"/>
      <c r="J316" s="93"/>
      <c r="K316" s="93"/>
      <c r="L316" s="179"/>
      <c r="M316" s="92"/>
      <c r="N316" s="152" t="str">
        <f t="shared" ca="1" si="4"/>
        <v>Enter the number of homes on the 1_SetUp sheet</v>
      </c>
    </row>
    <row r="317" spans="1:14" ht="15" customHeight="1">
      <c r="A317" s="158">
        <v>313</v>
      </c>
      <c r="B317" s="93"/>
      <c r="C317" s="94"/>
      <c r="D317" s="94"/>
      <c r="E317" s="93" t="s">
        <v>55</v>
      </c>
      <c r="F317" s="93" t="s">
        <v>56</v>
      </c>
      <c r="G317" s="93"/>
      <c r="H317" s="95"/>
      <c r="I317" s="93"/>
      <c r="J317" s="93"/>
      <c r="K317" s="93"/>
      <c r="L317" s="179"/>
      <c r="M317" s="92"/>
      <c r="N317" s="152" t="str">
        <f t="shared" ca="1" si="4"/>
        <v>Enter the number of homes on the 1_SetUp sheet</v>
      </c>
    </row>
    <row r="318" spans="1:14" ht="15" customHeight="1">
      <c r="A318" s="158">
        <v>314</v>
      </c>
      <c r="B318" s="93"/>
      <c r="C318" s="94"/>
      <c r="D318" s="94"/>
      <c r="E318" s="93" t="s">
        <v>55</v>
      </c>
      <c r="F318" s="93" t="s">
        <v>56</v>
      </c>
      <c r="G318" s="93"/>
      <c r="H318" s="95"/>
      <c r="I318" s="93"/>
      <c r="J318" s="93"/>
      <c r="K318" s="93"/>
      <c r="L318" s="179"/>
      <c r="M318" s="92"/>
      <c r="N318" s="152" t="str">
        <f t="shared" ca="1" si="4"/>
        <v>Enter the number of homes on the 1_SetUp sheet</v>
      </c>
    </row>
    <row r="319" spans="1:14" ht="15" customHeight="1">
      <c r="A319" s="158">
        <v>315</v>
      </c>
      <c r="B319" s="93"/>
      <c r="C319" s="94"/>
      <c r="D319" s="94"/>
      <c r="E319" s="93" t="s">
        <v>55</v>
      </c>
      <c r="F319" s="93" t="s">
        <v>56</v>
      </c>
      <c r="G319" s="93"/>
      <c r="H319" s="95"/>
      <c r="I319" s="93"/>
      <c r="J319" s="93"/>
      <c r="K319" s="93"/>
      <c r="L319" s="179"/>
      <c r="M319" s="92"/>
      <c r="N319" s="152" t="str">
        <f t="shared" ca="1" si="4"/>
        <v>Enter the number of homes on the 1_SetUp sheet</v>
      </c>
    </row>
    <row r="320" spans="1:14" ht="15" customHeight="1">
      <c r="A320" s="158">
        <v>316</v>
      </c>
      <c r="B320" s="93"/>
      <c r="C320" s="94"/>
      <c r="D320" s="94"/>
      <c r="E320" s="93" t="s">
        <v>55</v>
      </c>
      <c r="F320" s="93" t="s">
        <v>56</v>
      </c>
      <c r="G320" s="93"/>
      <c r="H320" s="95"/>
      <c r="I320" s="93"/>
      <c r="J320" s="93"/>
      <c r="K320" s="93"/>
      <c r="L320" s="179"/>
      <c r="M320" s="92"/>
      <c r="N320" s="152" t="str">
        <f t="shared" ca="1" si="4"/>
        <v>Enter the number of homes on the 1_SetUp sheet</v>
      </c>
    </row>
    <row r="321" spans="1:14" ht="15" customHeight="1">
      <c r="A321" s="158">
        <v>317</v>
      </c>
      <c r="B321" s="93"/>
      <c r="C321" s="94"/>
      <c r="D321" s="94"/>
      <c r="E321" s="93" t="s">
        <v>55</v>
      </c>
      <c r="F321" s="93" t="s">
        <v>56</v>
      </c>
      <c r="G321" s="93"/>
      <c r="H321" s="95"/>
      <c r="I321" s="93"/>
      <c r="J321" s="93"/>
      <c r="K321" s="93"/>
      <c r="L321" s="179"/>
      <c r="M321" s="92"/>
      <c r="N321" s="152" t="str">
        <f t="shared" ca="1" si="4"/>
        <v>Enter the number of homes on the 1_SetUp sheet</v>
      </c>
    </row>
    <row r="322" spans="1:14" ht="15" customHeight="1">
      <c r="A322" s="158">
        <v>318</v>
      </c>
      <c r="B322" s="93"/>
      <c r="C322" s="94"/>
      <c r="D322" s="94"/>
      <c r="E322" s="93" t="s">
        <v>55</v>
      </c>
      <c r="F322" s="93" t="s">
        <v>56</v>
      </c>
      <c r="G322" s="93"/>
      <c r="H322" s="95"/>
      <c r="I322" s="93"/>
      <c r="J322" s="93"/>
      <c r="K322" s="93"/>
      <c r="L322" s="179"/>
      <c r="M322" s="92"/>
      <c r="N322" s="152" t="str">
        <f t="shared" ca="1" si="4"/>
        <v>Enter the number of homes on the 1_SetUp sheet</v>
      </c>
    </row>
    <row r="323" spans="1:14" ht="15" customHeight="1">
      <c r="A323" s="158">
        <v>319</v>
      </c>
      <c r="B323" s="93"/>
      <c r="C323" s="94"/>
      <c r="D323" s="94"/>
      <c r="E323" s="93" t="s">
        <v>55</v>
      </c>
      <c r="F323" s="93" t="s">
        <v>56</v>
      </c>
      <c r="G323" s="93"/>
      <c r="H323" s="95"/>
      <c r="I323" s="93"/>
      <c r="J323" s="93"/>
      <c r="K323" s="93"/>
      <c r="L323" s="179"/>
      <c r="M323" s="92"/>
      <c r="N323" s="152" t="str">
        <f t="shared" ca="1" si="4"/>
        <v>Enter the number of homes on the 1_SetUp sheet</v>
      </c>
    </row>
    <row r="324" spans="1:14" ht="15" customHeight="1">
      <c r="A324" s="158">
        <v>320</v>
      </c>
      <c r="B324" s="93"/>
      <c r="C324" s="94"/>
      <c r="D324" s="94"/>
      <c r="E324" s="93" t="s">
        <v>55</v>
      </c>
      <c r="F324" s="93" t="s">
        <v>56</v>
      </c>
      <c r="G324" s="93"/>
      <c r="H324" s="95"/>
      <c r="I324" s="93"/>
      <c r="J324" s="93"/>
      <c r="K324" s="93"/>
      <c r="L324" s="179"/>
      <c r="M324" s="92"/>
      <c r="N324" s="152" t="str">
        <f t="shared" ca="1" si="4"/>
        <v>Enter the number of homes on the 1_SetUp sheet</v>
      </c>
    </row>
    <row r="325" spans="1:14" ht="15" customHeight="1">
      <c r="A325" s="158">
        <v>321</v>
      </c>
      <c r="B325" s="93"/>
      <c r="C325" s="94"/>
      <c r="D325" s="94"/>
      <c r="E325" s="93" t="s">
        <v>55</v>
      </c>
      <c r="F325" s="93" t="s">
        <v>56</v>
      </c>
      <c r="G325" s="93"/>
      <c r="H325" s="95"/>
      <c r="I325" s="93"/>
      <c r="J325" s="93"/>
      <c r="K325" s="93"/>
      <c r="L325" s="179"/>
      <c r="M325" s="92"/>
      <c r="N325" s="152" t="str">
        <f t="shared" ref="N325:N388" ca="1" si="5">INDEX(ErrorCheck,MATCH($A325,ErrorCheckPlotNumber,0),MATCH(N$4,ErrorCheckTitle,0))</f>
        <v>Enter the number of homes on the 1_SetUp sheet</v>
      </c>
    </row>
    <row r="326" spans="1:14" ht="15" customHeight="1">
      <c r="A326" s="158">
        <v>322</v>
      </c>
      <c r="B326" s="93"/>
      <c r="C326" s="94"/>
      <c r="D326" s="94"/>
      <c r="E326" s="93" t="s">
        <v>55</v>
      </c>
      <c r="F326" s="93" t="s">
        <v>56</v>
      </c>
      <c r="G326" s="93"/>
      <c r="H326" s="95"/>
      <c r="I326" s="93"/>
      <c r="J326" s="93"/>
      <c r="K326" s="93"/>
      <c r="L326" s="179"/>
      <c r="M326" s="92"/>
      <c r="N326" s="152" t="str">
        <f t="shared" ca="1" si="5"/>
        <v>Enter the number of homes on the 1_SetUp sheet</v>
      </c>
    </row>
    <row r="327" spans="1:14" ht="15" customHeight="1">
      <c r="A327" s="158">
        <v>323</v>
      </c>
      <c r="B327" s="93"/>
      <c r="C327" s="94"/>
      <c r="D327" s="94"/>
      <c r="E327" s="93" t="s">
        <v>55</v>
      </c>
      <c r="F327" s="93" t="s">
        <v>56</v>
      </c>
      <c r="G327" s="93"/>
      <c r="H327" s="95"/>
      <c r="I327" s="93"/>
      <c r="J327" s="93"/>
      <c r="K327" s="93"/>
      <c r="L327" s="179"/>
      <c r="M327" s="92"/>
      <c r="N327" s="152" t="str">
        <f t="shared" ca="1" si="5"/>
        <v>Enter the number of homes on the 1_SetUp sheet</v>
      </c>
    </row>
    <row r="328" spans="1:14" ht="15" customHeight="1">
      <c r="A328" s="158">
        <v>324</v>
      </c>
      <c r="B328" s="93"/>
      <c r="C328" s="94"/>
      <c r="D328" s="94"/>
      <c r="E328" s="93" t="s">
        <v>55</v>
      </c>
      <c r="F328" s="93" t="s">
        <v>56</v>
      </c>
      <c r="G328" s="93"/>
      <c r="H328" s="95"/>
      <c r="I328" s="93"/>
      <c r="J328" s="93"/>
      <c r="K328" s="93"/>
      <c r="L328" s="179"/>
      <c r="M328" s="92"/>
      <c r="N328" s="152" t="str">
        <f t="shared" ca="1" si="5"/>
        <v>Enter the number of homes on the 1_SetUp sheet</v>
      </c>
    </row>
    <row r="329" spans="1:14" ht="15" customHeight="1">
      <c r="A329" s="158">
        <v>325</v>
      </c>
      <c r="B329" s="93"/>
      <c r="C329" s="94"/>
      <c r="D329" s="94"/>
      <c r="E329" s="93" t="s">
        <v>55</v>
      </c>
      <c r="F329" s="93" t="s">
        <v>56</v>
      </c>
      <c r="G329" s="93"/>
      <c r="H329" s="95"/>
      <c r="I329" s="93"/>
      <c r="J329" s="93"/>
      <c r="K329" s="93"/>
      <c r="L329" s="179"/>
      <c r="M329" s="92"/>
      <c r="N329" s="152" t="str">
        <f t="shared" ca="1" si="5"/>
        <v>Enter the number of homes on the 1_SetUp sheet</v>
      </c>
    </row>
    <row r="330" spans="1:14" ht="15" customHeight="1">
      <c r="A330" s="158">
        <v>326</v>
      </c>
      <c r="B330" s="93"/>
      <c r="C330" s="94"/>
      <c r="D330" s="94"/>
      <c r="E330" s="93" t="s">
        <v>55</v>
      </c>
      <c r="F330" s="93" t="s">
        <v>56</v>
      </c>
      <c r="G330" s="93"/>
      <c r="H330" s="95"/>
      <c r="I330" s="93"/>
      <c r="J330" s="93"/>
      <c r="K330" s="93"/>
      <c r="L330" s="179"/>
      <c r="M330" s="92"/>
      <c r="N330" s="152" t="str">
        <f t="shared" ca="1" si="5"/>
        <v>Enter the number of homes on the 1_SetUp sheet</v>
      </c>
    </row>
    <row r="331" spans="1:14" ht="15" customHeight="1">
      <c r="A331" s="158">
        <v>327</v>
      </c>
      <c r="B331" s="93"/>
      <c r="C331" s="94"/>
      <c r="D331" s="94"/>
      <c r="E331" s="93" t="s">
        <v>55</v>
      </c>
      <c r="F331" s="93" t="s">
        <v>56</v>
      </c>
      <c r="G331" s="93"/>
      <c r="H331" s="95"/>
      <c r="I331" s="93"/>
      <c r="J331" s="93"/>
      <c r="K331" s="93"/>
      <c r="L331" s="179"/>
      <c r="M331" s="92"/>
      <c r="N331" s="152" t="str">
        <f t="shared" ca="1" si="5"/>
        <v>Enter the number of homes on the 1_SetUp sheet</v>
      </c>
    </row>
    <row r="332" spans="1:14" ht="15" customHeight="1">
      <c r="A332" s="158">
        <v>328</v>
      </c>
      <c r="B332" s="93"/>
      <c r="C332" s="94"/>
      <c r="D332" s="94"/>
      <c r="E332" s="93" t="s">
        <v>55</v>
      </c>
      <c r="F332" s="93" t="s">
        <v>56</v>
      </c>
      <c r="G332" s="93"/>
      <c r="H332" s="95"/>
      <c r="I332" s="93"/>
      <c r="J332" s="93"/>
      <c r="K332" s="93"/>
      <c r="L332" s="179"/>
      <c r="M332" s="92"/>
      <c r="N332" s="152" t="str">
        <f t="shared" ca="1" si="5"/>
        <v>Enter the number of homes on the 1_SetUp sheet</v>
      </c>
    </row>
    <row r="333" spans="1:14" ht="15" customHeight="1">
      <c r="A333" s="158">
        <v>329</v>
      </c>
      <c r="B333" s="93"/>
      <c r="C333" s="94"/>
      <c r="D333" s="94"/>
      <c r="E333" s="93" t="s">
        <v>55</v>
      </c>
      <c r="F333" s="93" t="s">
        <v>56</v>
      </c>
      <c r="G333" s="93"/>
      <c r="H333" s="95"/>
      <c r="I333" s="93"/>
      <c r="J333" s="93"/>
      <c r="K333" s="93"/>
      <c r="L333" s="179"/>
      <c r="M333" s="92"/>
      <c r="N333" s="152" t="str">
        <f t="shared" ca="1" si="5"/>
        <v>Enter the number of homes on the 1_SetUp sheet</v>
      </c>
    </row>
    <row r="334" spans="1:14" ht="15" customHeight="1">
      <c r="A334" s="158">
        <v>330</v>
      </c>
      <c r="B334" s="93"/>
      <c r="C334" s="94"/>
      <c r="D334" s="94"/>
      <c r="E334" s="93" t="s">
        <v>55</v>
      </c>
      <c r="F334" s="93" t="s">
        <v>56</v>
      </c>
      <c r="G334" s="93"/>
      <c r="H334" s="95"/>
      <c r="I334" s="93"/>
      <c r="J334" s="93"/>
      <c r="K334" s="93"/>
      <c r="L334" s="179"/>
      <c r="M334" s="92"/>
      <c r="N334" s="152" t="str">
        <f t="shared" ca="1" si="5"/>
        <v>Enter the number of homes on the 1_SetUp sheet</v>
      </c>
    </row>
    <row r="335" spans="1:14" ht="15" customHeight="1">
      <c r="A335" s="158">
        <v>331</v>
      </c>
      <c r="B335" s="93"/>
      <c r="C335" s="94"/>
      <c r="D335" s="94"/>
      <c r="E335" s="93" t="s">
        <v>55</v>
      </c>
      <c r="F335" s="93" t="s">
        <v>56</v>
      </c>
      <c r="G335" s="93"/>
      <c r="H335" s="95"/>
      <c r="I335" s="93"/>
      <c r="J335" s="93"/>
      <c r="K335" s="93"/>
      <c r="L335" s="179"/>
      <c r="M335" s="92"/>
      <c r="N335" s="152" t="str">
        <f t="shared" ca="1" si="5"/>
        <v>Enter the number of homes on the 1_SetUp sheet</v>
      </c>
    </row>
    <row r="336" spans="1:14" ht="15" customHeight="1">
      <c r="A336" s="158">
        <v>332</v>
      </c>
      <c r="B336" s="93"/>
      <c r="C336" s="94"/>
      <c r="D336" s="94"/>
      <c r="E336" s="93" t="s">
        <v>55</v>
      </c>
      <c r="F336" s="93" t="s">
        <v>56</v>
      </c>
      <c r="G336" s="93"/>
      <c r="H336" s="95"/>
      <c r="I336" s="93"/>
      <c r="J336" s="93"/>
      <c r="K336" s="93"/>
      <c r="L336" s="179"/>
      <c r="M336" s="92"/>
      <c r="N336" s="152" t="str">
        <f t="shared" ca="1" si="5"/>
        <v>Enter the number of homes on the 1_SetUp sheet</v>
      </c>
    </row>
    <row r="337" spans="1:14" ht="15" customHeight="1">
      <c r="A337" s="158">
        <v>333</v>
      </c>
      <c r="B337" s="93"/>
      <c r="C337" s="94"/>
      <c r="D337" s="94"/>
      <c r="E337" s="93" t="s">
        <v>55</v>
      </c>
      <c r="F337" s="93" t="s">
        <v>56</v>
      </c>
      <c r="G337" s="93"/>
      <c r="H337" s="95"/>
      <c r="I337" s="93"/>
      <c r="J337" s="93"/>
      <c r="K337" s="93"/>
      <c r="L337" s="179"/>
      <c r="M337" s="92"/>
      <c r="N337" s="152" t="str">
        <f t="shared" ca="1" si="5"/>
        <v>Enter the number of homes on the 1_SetUp sheet</v>
      </c>
    </row>
    <row r="338" spans="1:14" ht="15" customHeight="1">
      <c r="A338" s="158">
        <v>334</v>
      </c>
      <c r="B338" s="93"/>
      <c r="C338" s="94"/>
      <c r="D338" s="94"/>
      <c r="E338" s="93" t="s">
        <v>55</v>
      </c>
      <c r="F338" s="93" t="s">
        <v>56</v>
      </c>
      <c r="G338" s="93"/>
      <c r="H338" s="95"/>
      <c r="I338" s="93"/>
      <c r="J338" s="93"/>
      <c r="K338" s="93"/>
      <c r="L338" s="179"/>
      <c r="M338" s="92"/>
      <c r="N338" s="152" t="str">
        <f t="shared" ca="1" si="5"/>
        <v>Enter the number of homes on the 1_SetUp sheet</v>
      </c>
    </row>
    <row r="339" spans="1:14" ht="15" customHeight="1">
      <c r="A339" s="158">
        <v>335</v>
      </c>
      <c r="B339" s="93"/>
      <c r="C339" s="94"/>
      <c r="D339" s="94"/>
      <c r="E339" s="93" t="s">
        <v>55</v>
      </c>
      <c r="F339" s="93" t="s">
        <v>56</v>
      </c>
      <c r="G339" s="93"/>
      <c r="H339" s="95"/>
      <c r="I339" s="93"/>
      <c r="J339" s="93"/>
      <c r="K339" s="93"/>
      <c r="L339" s="179"/>
      <c r="M339" s="92"/>
      <c r="N339" s="152" t="str">
        <f t="shared" ca="1" si="5"/>
        <v>Enter the number of homes on the 1_SetUp sheet</v>
      </c>
    </row>
    <row r="340" spans="1:14" ht="15" customHeight="1">
      <c r="A340" s="158">
        <v>336</v>
      </c>
      <c r="B340" s="93"/>
      <c r="C340" s="94"/>
      <c r="D340" s="94"/>
      <c r="E340" s="93" t="s">
        <v>55</v>
      </c>
      <c r="F340" s="93" t="s">
        <v>56</v>
      </c>
      <c r="G340" s="93"/>
      <c r="H340" s="95"/>
      <c r="I340" s="93"/>
      <c r="J340" s="93"/>
      <c r="K340" s="93"/>
      <c r="L340" s="179"/>
      <c r="M340" s="92"/>
      <c r="N340" s="152" t="str">
        <f t="shared" ca="1" si="5"/>
        <v>Enter the number of homes on the 1_SetUp sheet</v>
      </c>
    </row>
    <row r="341" spans="1:14" ht="15" customHeight="1">
      <c r="A341" s="158">
        <v>337</v>
      </c>
      <c r="B341" s="93"/>
      <c r="C341" s="94"/>
      <c r="D341" s="94"/>
      <c r="E341" s="93" t="s">
        <v>55</v>
      </c>
      <c r="F341" s="93" t="s">
        <v>56</v>
      </c>
      <c r="G341" s="93"/>
      <c r="H341" s="95"/>
      <c r="I341" s="93"/>
      <c r="J341" s="93"/>
      <c r="K341" s="93"/>
      <c r="L341" s="179"/>
      <c r="M341" s="92"/>
      <c r="N341" s="152" t="str">
        <f t="shared" ca="1" si="5"/>
        <v>Enter the number of homes on the 1_SetUp sheet</v>
      </c>
    </row>
    <row r="342" spans="1:14" ht="15" customHeight="1">
      <c r="A342" s="158">
        <v>338</v>
      </c>
      <c r="B342" s="93"/>
      <c r="C342" s="94"/>
      <c r="D342" s="94"/>
      <c r="E342" s="93" t="s">
        <v>55</v>
      </c>
      <c r="F342" s="93" t="s">
        <v>56</v>
      </c>
      <c r="G342" s="93"/>
      <c r="H342" s="95"/>
      <c r="I342" s="93"/>
      <c r="J342" s="93"/>
      <c r="K342" s="93"/>
      <c r="L342" s="179"/>
      <c r="M342" s="92"/>
      <c r="N342" s="152" t="str">
        <f t="shared" ca="1" si="5"/>
        <v>Enter the number of homes on the 1_SetUp sheet</v>
      </c>
    </row>
    <row r="343" spans="1:14" ht="15" customHeight="1">
      <c r="A343" s="158">
        <v>339</v>
      </c>
      <c r="B343" s="93"/>
      <c r="C343" s="94"/>
      <c r="D343" s="94"/>
      <c r="E343" s="93" t="s">
        <v>55</v>
      </c>
      <c r="F343" s="93" t="s">
        <v>56</v>
      </c>
      <c r="G343" s="93"/>
      <c r="H343" s="95"/>
      <c r="I343" s="93"/>
      <c r="J343" s="93"/>
      <c r="K343" s="93"/>
      <c r="L343" s="179"/>
      <c r="M343" s="92"/>
      <c r="N343" s="152" t="str">
        <f t="shared" ca="1" si="5"/>
        <v>Enter the number of homes on the 1_SetUp sheet</v>
      </c>
    </row>
    <row r="344" spans="1:14" ht="15" customHeight="1">
      <c r="A344" s="158">
        <v>340</v>
      </c>
      <c r="B344" s="93"/>
      <c r="C344" s="94"/>
      <c r="D344" s="94"/>
      <c r="E344" s="93" t="s">
        <v>55</v>
      </c>
      <c r="F344" s="93" t="s">
        <v>56</v>
      </c>
      <c r="G344" s="93"/>
      <c r="H344" s="95"/>
      <c r="I344" s="93"/>
      <c r="J344" s="93"/>
      <c r="K344" s="93"/>
      <c r="L344" s="179"/>
      <c r="M344" s="92"/>
      <c r="N344" s="152" t="str">
        <f t="shared" ca="1" si="5"/>
        <v>Enter the number of homes on the 1_SetUp sheet</v>
      </c>
    </row>
    <row r="345" spans="1:14" ht="15" customHeight="1">
      <c r="A345" s="158">
        <v>341</v>
      </c>
      <c r="B345" s="93"/>
      <c r="C345" s="94"/>
      <c r="D345" s="94"/>
      <c r="E345" s="93" t="s">
        <v>55</v>
      </c>
      <c r="F345" s="93" t="s">
        <v>56</v>
      </c>
      <c r="G345" s="93"/>
      <c r="H345" s="95"/>
      <c r="I345" s="93"/>
      <c r="J345" s="93"/>
      <c r="K345" s="93"/>
      <c r="L345" s="179"/>
      <c r="M345" s="92"/>
      <c r="N345" s="152" t="str">
        <f t="shared" ca="1" si="5"/>
        <v>Enter the number of homes on the 1_SetUp sheet</v>
      </c>
    </row>
    <row r="346" spans="1:14" ht="15" customHeight="1">
      <c r="A346" s="158">
        <v>342</v>
      </c>
      <c r="B346" s="93"/>
      <c r="C346" s="94"/>
      <c r="D346" s="94"/>
      <c r="E346" s="93" t="s">
        <v>55</v>
      </c>
      <c r="F346" s="93" t="s">
        <v>56</v>
      </c>
      <c r="G346" s="93"/>
      <c r="H346" s="95"/>
      <c r="I346" s="93"/>
      <c r="J346" s="93"/>
      <c r="K346" s="93"/>
      <c r="L346" s="179"/>
      <c r="M346" s="92"/>
      <c r="N346" s="152" t="str">
        <f t="shared" ca="1" si="5"/>
        <v>Enter the number of homes on the 1_SetUp sheet</v>
      </c>
    </row>
    <row r="347" spans="1:14" ht="15" customHeight="1">
      <c r="A347" s="158">
        <v>343</v>
      </c>
      <c r="B347" s="93"/>
      <c r="C347" s="94"/>
      <c r="D347" s="94"/>
      <c r="E347" s="93" t="s">
        <v>55</v>
      </c>
      <c r="F347" s="93" t="s">
        <v>56</v>
      </c>
      <c r="G347" s="93"/>
      <c r="H347" s="95"/>
      <c r="I347" s="93"/>
      <c r="J347" s="93"/>
      <c r="K347" s="93"/>
      <c r="L347" s="179"/>
      <c r="M347" s="92"/>
      <c r="N347" s="152" t="str">
        <f t="shared" ca="1" si="5"/>
        <v>Enter the number of homes on the 1_SetUp sheet</v>
      </c>
    </row>
    <row r="348" spans="1:14" ht="15" customHeight="1">
      <c r="A348" s="158">
        <v>344</v>
      </c>
      <c r="B348" s="93"/>
      <c r="C348" s="94"/>
      <c r="D348" s="94"/>
      <c r="E348" s="93" t="s">
        <v>55</v>
      </c>
      <c r="F348" s="93" t="s">
        <v>56</v>
      </c>
      <c r="G348" s="93"/>
      <c r="H348" s="95"/>
      <c r="I348" s="93"/>
      <c r="J348" s="93"/>
      <c r="K348" s="93"/>
      <c r="L348" s="179"/>
      <c r="M348" s="92"/>
      <c r="N348" s="152" t="str">
        <f t="shared" ca="1" si="5"/>
        <v>Enter the number of homes on the 1_SetUp sheet</v>
      </c>
    </row>
    <row r="349" spans="1:14" ht="15" customHeight="1">
      <c r="A349" s="158">
        <v>345</v>
      </c>
      <c r="B349" s="93"/>
      <c r="C349" s="94"/>
      <c r="D349" s="94"/>
      <c r="E349" s="93" t="s">
        <v>55</v>
      </c>
      <c r="F349" s="93" t="s">
        <v>56</v>
      </c>
      <c r="G349" s="93"/>
      <c r="H349" s="95"/>
      <c r="I349" s="93"/>
      <c r="J349" s="93"/>
      <c r="K349" s="93"/>
      <c r="L349" s="179"/>
      <c r="M349" s="92"/>
      <c r="N349" s="152" t="str">
        <f t="shared" ca="1" si="5"/>
        <v>Enter the number of homes on the 1_SetUp sheet</v>
      </c>
    </row>
    <row r="350" spans="1:14" ht="15" customHeight="1">
      <c r="A350" s="158">
        <v>346</v>
      </c>
      <c r="B350" s="93"/>
      <c r="C350" s="94"/>
      <c r="D350" s="94"/>
      <c r="E350" s="93" t="s">
        <v>55</v>
      </c>
      <c r="F350" s="93" t="s">
        <v>56</v>
      </c>
      <c r="G350" s="93"/>
      <c r="H350" s="95"/>
      <c r="I350" s="93"/>
      <c r="J350" s="93"/>
      <c r="K350" s="93"/>
      <c r="L350" s="179"/>
      <c r="M350" s="92"/>
      <c r="N350" s="152" t="str">
        <f t="shared" ca="1" si="5"/>
        <v>Enter the number of homes on the 1_SetUp sheet</v>
      </c>
    </row>
    <row r="351" spans="1:14" ht="15" customHeight="1">
      <c r="A351" s="158">
        <v>347</v>
      </c>
      <c r="B351" s="93"/>
      <c r="C351" s="94"/>
      <c r="D351" s="94"/>
      <c r="E351" s="93" t="s">
        <v>55</v>
      </c>
      <c r="F351" s="93" t="s">
        <v>56</v>
      </c>
      <c r="G351" s="93"/>
      <c r="H351" s="95"/>
      <c r="I351" s="93"/>
      <c r="J351" s="93"/>
      <c r="K351" s="93"/>
      <c r="L351" s="179"/>
      <c r="M351" s="92"/>
      <c r="N351" s="152" t="str">
        <f t="shared" ca="1" si="5"/>
        <v>Enter the number of homes on the 1_SetUp sheet</v>
      </c>
    </row>
    <row r="352" spans="1:14" ht="15" customHeight="1">
      <c r="A352" s="158">
        <v>348</v>
      </c>
      <c r="B352" s="93"/>
      <c r="C352" s="94"/>
      <c r="D352" s="94"/>
      <c r="E352" s="93" t="s">
        <v>55</v>
      </c>
      <c r="F352" s="93" t="s">
        <v>56</v>
      </c>
      <c r="G352" s="93"/>
      <c r="H352" s="95"/>
      <c r="I352" s="93"/>
      <c r="J352" s="93"/>
      <c r="K352" s="93"/>
      <c r="L352" s="179"/>
      <c r="M352" s="92"/>
      <c r="N352" s="152" t="str">
        <f t="shared" ca="1" si="5"/>
        <v>Enter the number of homes on the 1_SetUp sheet</v>
      </c>
    </row>
    <row r="353" spans="1:14" ht="15" customHeight="1">
      <c r="A353" s="158">
        <v>349</v>
      </c>
      <c r="B353" s="93"/>
      <c r="C353" s="94"/>
      <c r="D353" s="94"/>
      <c r="E353" s="93" t="s">
        <v>55</v>
      </c>
      <c r="F353" s="93" t="s">
        <v>56</v>
      </c>
      <c r="G353" s="93"/>
      <c r="H353" s="95"/>
      <c r="I353" s="93"/>
      <c r="J353" s="93"/>
      <c r="K353" s="93"/>
      <c r="L353" s="179"/>
      <c r="M353" s="92"/>
      <c r="N353" s="152" t="str">
        <f t="shared" ca="1" si="5"/>
        <v>Enter the number of homes on the 1_SetUp sheet</v>
      </c>
    </row>
    <row r="354" spans="1:14" ht="15" customHeight="1">
      <c r="A354" s="158">
        <v>350</v>
      </c>
      <c r="B354" s="93"/>
      <c r="C354" s="94"/>
      <c r="D354" s="94"/>
      <c r="E354" s="93" t="s">
        <v>55</v>
      </c>
      <c r="F354" s="93" t="s">
        <v>56</v>
      </c>
      <c r="G354" s="93"/>
      <c r="H354" s="95"/>
      <c r="I354" s="93"/>
      <c r="J354" s="93"/>
      <c r="K354" s="93"/>
      <c r="L354" s="179"/>
      <c r="M354" s="92"/>
      <c r="N354" s="152" t="str">
        <f t="shared" ca="1" si="5"/>
        <v>Enter the number of homes on the 1_SetUp sheet</v>
      </c>
    </row>
    <row r="355" spans="1:14" ht="15" customHeight="1">
      <c r="A355" s="158">
        <v>351</v>
      </c>
      <c r="B355" s="93"/>
      <c r="C355" s="94"/>
      <c r="D355" s="94"/>
      <c r="E355" s="93" t="s">
        <v>55</v>
      </c>
      <c r="F355" s="93" t="s">
        <v>56</v>
      </c>
      <c r="G355" s="93"/>
      <c r="H355" s="95"/>
      <c r="I355" s="93"/>
      <c r="J355" s="93"/>
      <c r="K355" s="93"/>
      <c r="L355" s="179"/>
      <c r="M355" s="92"/>
      <c r="N355" s="152" t="str">
        <f t="shared" ca="1" si="5"/>
        <v>Enter the number of homes on the 1_SetUp sheet</v>
      </c>
    </row>
    <row r="356" spans="1:14" ht="15" customHeight="1">
      <c r="A356" s="158">
        <v>352</v>
      </c>
      <c r="B356" s="93"/>
      <c r="C356" s="94"/>
      <c r="D356" s="94"/>
      <c r="E356" s="93" t="s">
        <v>55</v>
      </c>
      <c r="F356" s="93" t="s">
        <v>56</v>
      </c>
      <c r="G356" s="93"/>
      <c r="H356" s="95"/>
      <c r="I356" s="93"/>
      <c r="J356" s="93"/>
      <c r="K356" s="93"/>
      <c r="L356" s="179"/>
      <c r="M356" s="92"/>
      <c r="N356" s="152" t="str">
        <f t="shared" ca="1" si="5"/>
        <v>Enter the number of homes on the 1_SetUp sheet</v>
      </c>
    </row>
    <row r="357" spans="1:14" ht="15" customHeight="1">
      <c r="A357" s="158">
        <v>353</v>
      </c>
      <c r="B357" s="93"/>
      <c r="C357" s="94"/>
      <c r="D357" s="94"/>
      <c r="E357" s="93" t="s">
        <v>55</v>
      </c>
      <c r="F357" s="93" t="s">
        <v>56</v>
      </c>
      <c r="G357" s="93"/>
      <c r="H357" s="95"/>
      <c r="I357" s="93"/>
      <c r="J357" s="93"/>
      <c r="K357" s="93"/>
      <c r="L357" s="179"/>
      <c r="M357" s="92"/>
      <c r="N357" s="152" t="str">
        <f t="shared" ca="1" si="5"/>
        <v>Enter the number of homes on the 1_SetUp sheet</v>
      </c>
    </row>
    <row r="358" spans="1:14" ht="15" customHeight="1">
      <c r="A358" s="158">
        <v>354</v>
      </c>
      <c r="B358" s="93"/>
      <c r="C358" s="94"/>
      <c r="D358" s="94"/>
      <c r="E358" s="93" t="s">
        <v>55</v>
      </c>
      <c r="F358" s="93" t="s">
        <v>56</v>
      </c>
      <c r="G358" s="93"/>
      <c r="H358" s="95"/>
      <c r="I358" s="93"/>
      <c r="J358" s="93"/>
      <c r="K358" s="93"/>
      <c r="L358" s="179"/>
      <c r="M358" s="92"/>
      <c r="N358" s="152" t="str">
        <f t="shared" ca="1" si="5"/>
        <v>Enter the number of homes on the 1_SetUp sheet</v>
      </c>
    </row>
    <row r="359" spans="1:14" ht="15" customHeight="1">
      <c r="A359" s="158">
        <v>355</v>
      </c>
      <c r="B359" s="93"/>
      <c r="C359" s="94"/>
      <c r="D359" s="94"/>
      <c r="E359" s="93" t="s">
        <v>55</v>
      </c>
      <c r="F359" s="93" t="s">
        <v>56</v>
      </c>
      <c r="G359" s="93"/>
      <c r="H359" s="95"/>
      <c r="I359" s="93"/>
      <c r="J359" s="93"/>
      <c r="K359" s="93"/>
      <c r="L359" s="179"/>
      <c r="M359" s="92"/>
      <c r="N359" s="152" t="str">
        <f t="shared" ca="1" si="5"/>
        <v>Enter the number of homes on the 1_SetUp sheet</v>
      </c>
    </row>
    <row r="360" spans="1:14" ht="15" customHeight="1">
      <c r="A360" s="158">
        <v>356</v>
      </c>
      <c r="B360" s="93"/>
      <c r="C360" s="94"/>
      <c r="D360" s="94"/>
      <c r="E360" s="93" t="s">
        <v>55</v>
      </c>
      <c r="F360" s="93" t="s">
        <v>56</v>
      </c>
      <c r="G360" s="93"/>
      <c r="H360" s="95"/>
      <c r="I360" s="93"/>
      <c r="J360" s="93"/>
      <c r="K360" s="93"/>
      <c r="L360" s="179"/>
      <c r="M360" s="92"/>
      <c r="N360" s="152" t="str">
        <f t="shared" ca="1" si="5"/>
        <v>Enter the number of homes on the 1_SetUp sheet</v>
      </c>
    </row>
    <row r="361" spans="1:14" ht="15" customHeight="1">
      <c r="A361" s="158">
        <v>357</v>
      </c>
      <c r="B361" s="93"/>
      <c r="C361" s="94"/>
      <c r="D361" s="94"/>
      <c r="E361" s="93" t="s">
        <v>55</v>
      </c>
      <c r="F361" s="93" t="s">
        <v>56</v>
      </c>
      <c r="G361" s="93"/>
      <c r="H361" s="95"/>
      <c r="I361" s="93"/>
      <c r="J361" s="93"/>
      <c r="K361" s="93"/>
      <c r="L361" s="179"/>
      <c r="M361" s="92"/>
      <c r="N361" s="152" t="str">
        <f t="shared" ca="1" si="5"/>
        <v>Enter the number of homes on the 1_SetUp sheet</v>
      </c>
    </row>
    <row r="362" spans="1:14" ht="15" customHeight="1">
      <c r="A362" s="158">
        <v>358</v>
      </c>
      <c r="B362" s="93"/>
      <c r="C362" s="94"/>
      <c r="D362" s="94"/>
      <c r="E362" s="93" t="s">
        <v>55</v>
      </c>
      <c r="F362" s="93" t="s">
        <v>56</v>
      </c>
      <c r="G362" s="93"/>
      <c r="H362" s="95"/>
      <c r="I362" s="93"/>
      <c r="J362" s="93"/>
      <c r="K362" s="93"/>
      <c r="L362" s="179"/>
      <c r="M362" s="92"/>
      <c r="N362" s="152" t="str">
        <f t="shared" ca="1" si="5"/>
        <v>Enter the number of homes on the 1_SetUp sheet</v>
      </c>
    </row>
    <row r="363" spans="1:14" ht="15" customHeight="1">
      <c r="A363" s="158">
        <v>359</v>
      </c>
      <c r="B363" s="93"/>
      <c r="C363" s="94"/>
      <c r="D363" s="94"/>
      <c r="E363" s="93" t="s">
        <v>55</v>
      </c>
      <c r="F363" s="93" t="s">
        <v>56</v>
      </c>
      <c r="G363" s="93"/>
      <c r="H363" s="95"/>
      <c r="I363" s="93"/>
      <c r="J363" s="93"/>
      <c r="K363" s="93"/>
      <c r="L363" s="179"/>
      <c r="M363" s="92"/>
      <c r="N363" s="152" t="str">
        <f t="shared" ca="1" si="5"/>
        <v>Enter the number of homes on the 1_SetUp sheet</v>
      </c>
    </row>
    <row r="364" spans="1:14" ht="15" customHeight="1">
      <c r="A364" s="158">
        <v>360</v>
      </c>
      <c r="B364" s="93"/>
      <c r="C364" s="94"/>
      <c r="D364" s="94"/>
      <c r="E364" s="93" t="s">
        <v>55</v>
      </c>
      <c r="F364" s="93" t="s">
        <v>56</v>
      </c>
      <c r="G364" s="93"/>
      <c r="H364" s="95"/>
      <c r="I364" s="93"/>
      <c r="J364" s="93"/>
      <c r="K364" s="93"/>
      <c r="L364" s="179"/>
      <c r="M364" s="92"/>
      <c r="N364" s="152" t="str">
        <f t="shared" ca="1" si="5"/>
        <v>Enter the number of homes on the 1_SetUp sheet</v>
      </c>
    </row>
    <row r="365" spans="1:14" ht="15" customHeight="1">
      <c r="A365" s="158">
        <v>361</v>
      </c>
      <c r="B365" s="93"/>
      <c r="C365" s="94"/>
      <c r="D365" s="94"/>
      <c r="E365" s="93" t="s">
        <v>55</v>
      </c>
      <c r="F365" s="93" t="s">
        <v>56</v>
      </c>
      <c r="G365" s="93"/>
      <c r="H365" s="95"/>
      <c r="I365" s="93"/>
      <c r="J365" s="93"/>
      <c r="K365" s="93"/>
      <c r="L365" s="179"/>
      <c r="M365" s="92"/>
      <c r="N365" s="152" t="str">
        <f t="shared" ca="1" si="5"/>
        <v>Enter the number of homes on the 1_SetUp sheet</v>
      </c>
    </row>
    <row r="366" spans="1:14" ht="15" customHeight="1">
      <c r="A366" s="158">
        <v>362</v>
      </c>
      <c r="B366" s="93"/>
      <c r="C366" s="94"/>
      <c r="D366" s="94"/>
      <c r="E366" s="93" t="s">
        <v>55</v>
      </c>
      <c r="F366" s="93" t="s">
        <v>56</v>
      </c>
      <c r="G366" s="93"/>
      <c r="H366" s="95"/>
      <c r="I366" s="93"/>
      <c r="J366" s="93"/>
      <c r="K366" s="93"/>
      <c r="L366" s="179"/>
      <c r="M366" s="92"/>
      <c r="N366" s="152" t="str">
        <f t="shared" ca="1" si="5"/>
        <v>Enter the number of homes on the 1_SetUp sheet</v>
      </c>
    </row>
    <row r="367" spans="1:14" ht="15" customHeight="1">
      <c r="A367" s="158">
        <v>363</v>
      </c>
      <c r="B367" s="93"/>
      <c r="C367" s="94"/>
      <c r="D367" s="94"/>
      <c r="E367" s="93" t="s">
        <v>55</v>
      </c>
      <c r="F367" s="93" t="s">
        <v>56</v>
      </c>
      <c r="G367" s="93"/>
      <c r="H367" s="95"/>
      <c r="I367" s="93"/>
      <c r="J367" s="93"/>
      <c r="K367" s="93"/>
      <c r="L367" s="179"/>
      <c r="M367" s="92"/>
      <c r="N367" s="152" t="str">
        <f t="shared" ca="1" si="5"/>
        <v>Enter the number of homes on the 1_SetUp sheet</v>
      </c>
    </row>
    <row r="368" spans="1:14" ht="15" customHeight="1">
      <c r="A368" s="158">
        <v>364</v>
      </c>
      <c r="B368" s="93"/>
      <c r="C368" s="94"/>
      <c r="D368" s="94"/>
      <c r="E368" s="93" t="s">
        <v>55</v>
      </c>
      <c r="F368" s="93" t="s">
        <v>56</v>
      </c>
      <c r="G368" s="93"/>
      <c r="H368" s="95"/>
      <c r="I368" s="93"/>
      <c r="J368" s="93"/>
      <c r="K368" s="93"/>
      <c r="L368" s="179"/>
      <c r="M368" s="92"/>
      <c r="N368" s="152" t="str">
        <f t="shared" ca="1" si="5"/>
        <v>Enter the number of homes on the 1_SetUp sheet</v>
      </c>
    </row>
    <row r="369" spans="1:14" ht="15" customHeight="1">
      <c r="A369" s="158">
        <v>365</v>
      </c>
      <c r="B369" s="93"/>
      <c r="C369" s="94"/>
      <c r="D369" s="94"/>
      <c r="E369" s="93" t="s">
        <v>55</v>
      </c>
      <c r="F369" s="93" t="s">
        <v>56</v>
      </c>
      <c r="G369" s="93"/>
      <c r="H369" s="95"/>
      <c r="I369" s="93"/>
      <c r="J369" s="93"/>
      <c r="K369" s="93"/>
      <c r="L369" s="179"/>
      <c r="M369" s="92"/>
      <c r="N369" s="152" t="str">
        <f t="shared" ca="1" si="5"/>
        <v>Enter the number of homes on the 1_SetUp sheet</v>
      </c>
    </row>
    <row r="370" spans="1:14" ht="15" customHeight="1">
      <c r="A370" s="158">
        <v>366</v>
      </c>
      <c r="B370" s="93"/>
      <c r="C370" s="94"/>
      <c r="D370" s="94"/>
      <c r="E370" s="93" t="s">
        <v>55</v>
      </c>
      <c r="F370" s="93" t="s">
        <v>56</v>
      </c>
      <c r="G370" s="93"/>
      <c r="H370" s="95"/>
      <c r="I370" s="93"/>
      <c r="J370" s="93"/>
      <c r="K370" s="93"/>
      <c r="L370" s="179"/>
      <c r="M370" s="92"/>
      <c r="N370" s="152" t="str">
        <f t="shared" ca="1" si="5"/>
        <v>Enter the number of homes on the 1_SetUp sheet</v>
      </c>
    </row>
    <row r="371" spans="1:14" ht="15" customHeight="1">
      <c r="A371" s="158">
        <v>367</v>
      </c>
      <c r="B371" s="93"/>
      <c r="C371" s="94"/>
      <c r="D371" s="94"/>
      <c r="E371" s="93" t="s">
        <v>55</v>
      </c>
      <c r="F371" s="93" t="s">
        <v>56</v>
      </c>
      <c r="G371" s="93"/>
      <c r="H371" s="95"/>
      <c r="I371" s="93"/>
      <c r="J371" s="93"/>
      <c r="K371" s="93"/>
      <c r="L371" s="179"/>
      <c r="M371" s="92"/>
      <c r="N371" s="152" t="str">
        <f t="shared" ca="1" si="5"/>
        <v>Enter the number of homes on the 1_SetUp sheet</v>
      </c>
    </row>
    <row r="372" spans="1:14" ht="15" customHeight="1">
      <c r="A372" s="158">
        <v>368</v>
      </c>
      <c r="B372" s="93"/>
      <c r="C372" s="94"/>
      <c r="D372" s="94"/>
      <c r="E372" s="93" t="s">
        <v>55</v>
      </c>
      <c r="F372" s="93" t="s">
        <v>56</v>
      </c>
      <c r="G372" s="93"/>
      <c r="H372" s="95"/>
      <c r="I372" s="93"/>
      <c r="J372" s="93"/>
      <c r="K372" s="93"/>
      <c r="L372" s="179"/>
      <c r="M372" s="92"/>
      <c r="N372" s="152" t="str">
        <f t="shared" ca="1" si="5"/>
        <v>Enter the number of homes on the 1_SetUp sheet</v>
      </c>
    </row>
    <row r="373" spans="1:14" ht="15" customHeight="1">
      <c r="A373" s="158">
        <v>369</v>
      </c>
      <c r="B373" s="93"/>
      <c r="C373" s="94"/>
      <c r="D373" s="94"/>
      <c r="E373" s="93" t="s">
        <v>55</v>
      </c>
      <c r="F373" s="93" t="s">
        <v>56</v>
      </c>
      <c r="G373" s="93"/>
      <c r="H373" s="95"/>
      <c r="I373" s="93"/>
      <c r="J373" s="93"/>
      <c r="K373" s="93"/>
      <c r="L373" s="179"/>
      <c r="M373" s="92"/>
      <c r="N373" s="152" t="str">
        <f t="shared" ca="1" si="5"/>
        <v>Enter the number of homes on the 1_SetUp sheet</v>
      </c>
    </row>
    <row r="374" spans="1:14" ht="15" customHeight="1">
      <c r="A374" s="158">
        <v>370</v>
      </c>
      <c r="B374" s="93"/>
      <c r="C374" s="94"/>
      <c r="D374" s="94"/>
      <c r="E374" s="93" t="s">
        <v>55</v>
      </c>
      <c r="F374" s="93" t="s">
        <v>56</v>
      </c>
      <c r="G374" s="93"/>
      <c r="H374" s="95"/>
      <c r="I374" s="93"/>
      <c r="J374" s="93"/>
      <c r="K374" s="93"/>
      <c r="L374" s="179"/>
      <c r="M374" s="92"/>
      <c r="N374" s="152" t="str">
        <f t="shared" ca="1" si="5"/>
        <v>Enter the number of homes on the 1_SetUp sheet</v>
      </c>
    </row>
    <row r="375" spans="1:14" ht="15" customHeight="1">
      <c r="A375" s="158">
        <v>371</v>
      </c>
      <c r="B375" s="93"/>
      <c r="C375" s="94"/>
      <c r="D375" s="94"/>
      <c r="E375" s="93" t="s">
        <v>55</v>
      </c>
      <c r="F375" s="93" t="s">
        <v>56</v>
      </c>
      <c r="G375" s="93"/>
      <c r="H375" s="95"/>
      <c r="I375" s="93"/>
      <c r="J375" s="93"/>
      <c r="K375" s="93"/>
      <c r="L375" s="179"/>
      <c r="M375" s="92"/>
      <c r="N375" s="152" t="str">
        <f t="shared" ca="1" si="5"/>
        <v>Enter the number of homes on the 1_SetUp sheet</v>
      </c>
    </row>
    <row r="376" spans="1:14" ht="15" customHeight="1">
      <c r="A376" s="158">
        <v>372</v>
      </c>
      <c r="B376" s="93"/>
      <c r="C376" s="94"/>
      <c r="D376" s="94"/>
      <c r="E376" s="93" t="s">
        <v>55</v>
      </c>
      <c r="F376" s="93" t="s">
        <v>56</v>
      </c>
      <c r="G376" s="93"/>
      <c r="H376" s="95"/>
      <c r="I376" s="93"/>
      <c r="J376" s="93"/>
      <c r="K376" s="93"/>
      <c r="L376" s="179"/>
      <c r="M376" s="92"/>
      <c r="N376" s="152" t="str">
        <f t="shared" ca="1" si="5"/>
        <v>Enter the number of homes on the 1_SetUp sheet</v>
      </c>
    </row>
    <row r="377" spans="1:14" ht="15" customHeight="1">
      <c r="A377" s="158">
        <v>373</v>
      </c>
      <c r="B377" s="93"/>
      <c r="C377" s="94"/>
      <c r="D377" s="94"/>
      <c r="E377" s="93" t="s">
        <v>55</v>
      </c>
      <c r="F377" s="93" t="s">
        <v>56</v>
      </c>
      <c r="G377" s="93"/>
      <c r="H377" s="95"/>
      <c r="I377" s="93"/>
      <c r="J377" s="93"/>
      <c r="K377" s="93"/>
      <c r="L377" s="179"/>
      <c r="M377" s="92"/>
      <c r="N377" s="152" t="str">
        <f t="shared" ca="1" si="5"/>
        <v>Enter the number of homes on the 1_SetUp sheet</v>
      </c>
    </row>
    <row r="378" spans="1:14" ht="15" customHeight="1">
      <c r="A378" s="158">
        <v>374</v>
      </c>
      <c r="B378" s="93"/>
      <c r="C378" s="94"/>
      <c r="D378" s="94"/>
      <c r="E378" s="93" t="s">
        <v>55</v>
      </c>
      <c r="F378" s="93" t="s">
        <v>56</v>
      </c>
      <c r="G378" s="93"/>
      <c r="H378" s="95"/>
      <c r="I378" s="93"/>
      <c r="J378" s="93"/>
      <c r="K378" s="93"/>
      <c r="L378" s="179"/>
      <c r="M378" s="92"/>
      <c r="N378" s="152" t="str">
        <f t="shared" ca="1" si="5"/>
        <v>Enter the number of homes on the 1_SetUp sheet</v>
      </c>
    </row>
    <row r="379" spans="1:14" ht="15" customHeight="1">
      <c r="A379" s="158">
        <v>375</v>
      </c>
      <c r="B379" s="93"/>
      <c r="C379" s="94"/>
      <c r="D379" s="94"/>
      <c r="E379" s="93" t="s">
        <v>55</v>
      </c>
      <c r="F379" s="93" t="s">
        <v>56</v>
      </c>
      <c r="G379" s="93"/>
      <c r="H379" s="95"/>
      <c r="I379" s="93"/>
      <c r="J379" s="93"/>
      <c r="K379" s="93"/>
      <c r="L379" s="179"/>
      <c r="M379" s="92"/>
      <c r="N379" s="152" t="str">
        <f t="shared" ca="1" si="5"/>
        <v>Enter the number of homes on the 1_SetUp sheet</v>
      </c>
    </row>
    <row r="380" spans="1:14" ht="15" customHeight="1">
      <c r="A380" s="158">
        <v>376</v>
      </c>
      <c r="B380" s="93"/>
      <c r="C380" s="94"/>
      <c r="D380" s="94"/>
      <c r="E380" s="93" t="s">
        <v>55</v>
      </c>
      <c r="F380" s="93" t="s">
        <v>56</v>
      </c>
      <c r="G380" s="93"/>
      <c r="H380" s="95"/>
      <c r="I380" s="93"/>
      <c r="J380" s="93"/>
      <c r="K380" s="93"/>
      <c r="L380" s="179"/>
      <c r="M380" s="92"/>
      <c r="N380" s="152" t="str">
        <f t="shared" ca="1" si="5"/>
        <v>Enter the number of homes on the 1_SetUp sheet</v>
      </c>
    </row>
    <row r="381" spans="1:14" ht="15" customHeight="1">
      <c r="A381" s="158">
        <v>377</v>
      </c>
      <c r="B381" s="93"/>
      <c r="C381" s="94"/>
      <c r="D381" s="94"/>
      <c r="E381" s="93" t="s">
        <v>55</v>
      </c>
      <c r="F381" s="93" t="s">
        <v>56</v>
      </c>
      <c r="G381" s="93"/>
      <c r="H381" s="95"/>
      <c r="I381" s="93"/>
      <c r="J381" s="93"/>
      <c r="K381" s="93"/>
      <c r="L381" s="179"/>
      <c r="M381" s="92"/>
      <c r="N381" s="152" t="str">
        <f t="shared" ca="1" si="5"/>
        <v>Enter the number of homes on the 1_SetUp sheet</v>
      </c>
    </row>
    <row r="382" spans="1:14" ht="15" customHeight="1">
      <c r="A382" s="158">
        <v>378</v>
      </c>
      <c r="B382" s="93"/>
      <c r="C382" s="94"/>
      <c r="D382" s="94"/>
      <c r="E382" s="93" t="s">
        <v>55</v>
      </c>
      <c r="F382" s="93" t="s">
        <v>56</v>
      </c>
      <c r="G382" s="93"/>
      <c r="H382" s="95"/>
      <c r="I382" s="93"/>
      <c r="J382" s="93"/>
      <c r="K382" s="93"/>
      <c r="L382" s="179"/>
      <c r="M382" s="92"/>
      <c r="N382" s="152" t="str">
        <f t="shared" ca="1" si="5"/>
        <v>Enter the number of homes on the 1_SetUp sheet</v>
      </c>
    </row>
    <row r="383" spans="1:14" ht="15" customHeight="1">
      <c r="A383" s="158">
        <v>379</v>
      </c>
      <c r="B383" s="93"/>
      <c r="C383" s="94"/>
      <c r="D383" s="94"/>
      <c r="E383" s="93" t="s">
        <v>55</v>
      </c>
      <c r="F383" s="93" t="s">
        <v>56</v>
      </c>
      <c r="G383" s="93"/>
      <c r="H383" s="95"/>
      <c r="I383" s="93"/>
      <c r="J383" s="93"/>
      <c r="K383" s="93"/>
      <c r="L383" s="179"/>
      <c r="M383" s="92"/>
      <c r="N383" s="152" t="str">
        <f t="shared" ca="1" si="5"/>
        <v>Enter the number of homes on the 1_SetUp sheet</v>
      </c>
    </row>
    <row r="384" spans="1:14" ht="15" customHeight="1">
      <c r="A384" s="158">
        <v>380</v>
      </c>
      <c r="B384" s="93"/>
      <c r="C384" s="94"/>
      <c r="D384" s="94"/>
      <c r="E384" s="93" t="s">
        <v>55</v>
      </c>
      <c r="F384" s="93" t="s">
        <v>56</v>
      </c>
      <c r="G384" s="93"/>
      <c r="H384" s="95"/>
      <c r="I384" s="93"/>
      <c r="J384" s="93"/>
      <c r="K384" s="93"/>
      <c r="L384" s="179"/>
      <c r="M384" s="92"/>
      <c r="N384" s="152" t="str">
        <f t="shared" ca="1" si="5"/>
        <v>Enter the number of homes on the 1_SetUp sheet</v>
      </c>
    </row>
    <row r="385" spans="1:14" ht="15" customHeight="1">
      <c r="A385" s="158">
        <v>381</v>
      </c>
      <c r="B385" s="93"/>
      <c r="C385" s="94"/>
      <c r="D385" s="94"/>
      <c r="E385" s="93" t="s">
        <v>55</v>
      </c>
      <c r="F385" s="93" t="s">
        <v>56</v>
      </c>
      <c r="G385" s="93"/>
      <c r="H385" s="95"/>
      <c r="I385" s="93"/>
      <c r="J385" s="93"/>
      <c r="K385" s="93"/>
      <c r="L385" s="179"/>
      <c r="M385" s="92"/>
      <c r="N385" s="152" t="str">
        <f t="shared" ca="1" si="5"/>
        <v>Enter the number of homes on the 1_SetUp sheet</v>
      </c>
    </row>
    <row r="386" spans="1:14" ht="15" customHeight="1">
      <c r="A386" s="158">
        <v>382</v>
      </c>
      <c r="B386" s="93"/>
      <c r="C386" s="94"/>
      <c r="D386" s="94"/>
      <c r="E386" s="93" t="s">
        <v>55</v>
      </c>
      <c r="F386" s="93" t="s">
        <v>56</v>
      </c>
      <c r="G386" s="93"/>
      <c r="H386" s="95"/>
      <c r="I386" s="93"/>
      <c r="J386" s="93"/>
      <c r="K386" s="93"/>
      <c r="L386" s="179"/>
      <c r="M386" s="92"/>
      <c r="N386" s="152" t="str">
        <f t="shared" ca="1" si="5"/>
        <v>Enter the number of homes on the 1_SetUp sheet</v>
      </c>
    </row>
    <row r="387" spans="1:14" ht="15" customHeight="1">
      <c r="A387" s="158">
        <v>383</v>
      </c>
      <c r="B387" s="93"/>
      <c r="C387" s="94"/>
      <c r="D387" s="94"/>
      <c r="E387" s="93" t="s">
        <v>55</v>
      </c>
      <c r="F387" s="93" t="s">
        <v>56</v>
      </c>
      <c r="G387" s="93"/>
      <c r="H387" s="95"/>
      <c r="I387" s="93"/>
      <c r="J387" s="93"/>
      <c r="K387" s="93"/>
      <c r="L387" s="179"/>
      <c r="M387" s="92"/>
      <c r="N387" s="152" t="str">
        <f t="shared" ca="1" si="5"/>
        <v>Enter the number of homes on the 1_SetUp sheet</v>
      </c>
    </row>
    <row r="388" spans="1:14" ht="15" customHeight="1">
      <c r="A388" s="158">
        <v>384</v>
      </c>
      <c r="B388" s="93"/>
      <c r="C388" s="94"/>
      <c r="D388" s="94"/>
      <c r="E388" s="93" t="s">
        <v>55</v>
      </c>
      <c r="F388" s="93" t="s">
        <v>56</v>
      </c>
      <c r="G388" s="93"/>
      <c r="H388" s="95"/>
      <c r="I388" s="93"/>
      <c r="J388" s="93"/>
      <c r="K388" s="93"/>
      <c r="L388" s="179"/>
      <c r="M388" s="92"/>
      <c r="N388" s="152" t="str">
        <f t="shared" ca="1" si="5"/>
        <v>Enter the number of homes on the 1_SetUp sheet</v>
      </c>
    </row>
    <row r="389" spans="1:14" ht="15" customHeight="1">
      <c r="A389" s="158">
        <v>385</v>
      </c>
      <c r="B389" s="93"/>
      <c r="C389" s="94"/>
      <c r="D389" s="94"/>
      <c r="E389" s="93" t="s">
        <v>55</v>
      </c>
      <c r="F389" s="93" t="s">
        <v>56</v>
      </c>
      <c r="G389" s="93"/>
      <c r="H389" s="95"/>
      <c r="I389" s="93"/>
      <c r="J389" s="93"/>
      <c r="K389" s="93"/>
      <c r="L389" s="179"/>
      <c r="M389" s="92"/>
      <c r="N389" s="152" t="str">
        <f t="shared" ref="N389:N452" ca="1" si="6">INDEX(ErrorCheck,MATCH($A389,ErrorCheckPlotNumber,0),MATCH(N$4,ErrorCheckTitle,0))</f>
        <v>Enter the number of homes on the 1_SetUp sheet</v>
      </c>
    </row>
    <row r="390" spans="1:14" ht="15" customHeight="1">
      <c r="A390" s="158">
        <v>386</v>
      </c>
      <c r="B390" s="93"/>
      <c r="C390" s="94"/>
      <c r="D390" s="94"/>
      <c r="E390" s="93" t="s">
        <v>55</v>
      </c>
      <c r="F390" s="93" t="s">
        <v>56</v>
      </c>
      <c r="G390" s="93"/>
      <c r="H390" s="95"/>
      <c r="I390" s="93"/>
      <c r="J390" s="93"/>
      <c r="K390" s="93"/>
      <c r="L390" s="179"/>
      <c r="M390" s="92"/>
      <c r="N390" s="152" t="str">
        <f t="shared" ca="1" si="6"/>
        <v>Enter the number of homes on the 1_SetUp sheet</v>
      </c>
    </row>
    <row r="391" spans="1:14" ht="15" customHeight="1">
      <c r="A391" s="158">
        <v>387</v>
      </c>
      <c r="B391" s="93"/>
      <c r="C391" s="94"/>
      <c r="D391" s="94"/>
      <c r="E391" s="93" t="s">
        <v>55</v>
      </c>
      <c r="F391" s="93" t="s">
        <v>56</v>
      </c>
      <c r="G391" s="93"/>
      <c r="H391" s="95"/>
      <c r="I391" s="93"/>
      <c r="J391" s="93"/>
      <c r="K391" s="93"/>
      <c r="L391" s="179"/>
      <c r="M391" s="92"/>
      <c r="N391" s="152" t="str">
        <f t="shared" ca="1" si="6"/>
        <v>Enter the number of homes on the 1_SetUp sheet</v>
      </c>
    </row>
    <row r="392" spans="1:14" ht="15" customHeight="1">
      <c r="A392" s="158">
        <v>388</v>
      </c>
      <c r="B392" s="93"/>
      <c r="C392" s="94"/>
      <c r="D392" s="94"/>
      <c r="E392" s="93" t="s">
        <v>55</v>
      </c>
      <c r="F392" s="93" t="s">
        <v>56</v>
      </c>
      <c r="G392" s="93"/>
      <c r="H392" s="95"/>
      <c r="I392" s="93"/>
      <c r="J392" s="93"/>
      <c r="K392" s="93"/>
      <c r="L392" s="179"/>
      <c r="M392" s="92"/>
      <c r="N392" s="152" t="str">
        <f t="shared" ca="1" si="6"/>
        <v>Enter the number of homes on the 1_SetUp sheet</v>
      </c>
    </row>
    <row r="393" spans="1:14" ht="15" customHeight="1">
      <c r="A393" s="158">
        <v>389</v>
      </c>
      <c r="B393" s="93"/>
      <c r="C393" s="94"/>
      <c r="D393" s="94"/>
      <c r="E393" s="93" t="s">
        <v>55</v>
      </c>
      <c r="F393" s="93" t="s">
        <v>56</v>
      </c>
      <c r="G393" s="93"/>
      <c r="H393" s="95"/>
      <c r="I393" s="93"/>
      <c r="J393" s="93"/>
      <c r="K393" s="93"/>
      <c r="L393" s="179"/>
      <c r="M393" s="92"/>
      <c r="N393" s="152" t="str">
        <f t="shared" ca="1" si="6"/>
        <v>Enter the number of homes on the 1_SetUp sheet</v>
      </c>
    </row>
    <row r="394" spans="1:14" ht="15" customHeight="1">
      <c r="A394" s="158">
        <v>390</v>
      </c>
      <c r="B394" s="93"/>
      <c r="C394" s="94"/>
      <c r="D394" s="94"/>
      <c r="E394" s="93" t="s">
        <v>55</v>
      </c>
      <c r="F394" s="93" t="s">
        <v>56</v>
      </c>
      <c r="G394" s="93"/>
      <c r="H394" s="95"/>
      <c r="I394" s="93"/>
      <c r="J394" s="93"/>
      <c r="K394" s="93"/>
      <c r="L394" s="179"/>
      <c r="M394" s="92"/>
      <c r="N394" s="152" t="str">
        <f t="shared" ca="1" si="6"/>
        <v>Enter the number of homes on the 1_SetUp sheet</v>
      </c>
    </row>
    <row r="395" spans="1:14" ht="15" customHeight="1">
      <c r="A395" s="158">
        <v>391</v>
      </c>
      <c r="B395" s="93"/>
      <c r="C395" s="94"/>
      <c r="D395" s="94"/>
      <c r="E395" s="93" t="s">
        <v>55</v>
      </c>
      <c r="F395" s="93" t="s">
        <v>56</v>
      </c>
      <c r="G395" s="93"/>
      <c r="H395" s="95"/>
      <c r="I395" s="93"/>
      <c r="J395" s="93"/>
      <c r="K395" s="93"/>
      <c r="L395" s="179"/>
      <c r="M395" s="92"/>
      <c r="N395" s="152" t="str">
        <f t="shared" ca="1" si="6"/>
        <v>Enter the number of homes on the 1_SetUp sheet</v>
      </c>
    </row>
    <row r="396" spans="1:14" ht="15" customHeight="1">
      <c r="A396" s="158">
        <v>392</v>
      </c>
      <c r="B396" s="93"/>
      <c r="C396" s="94"/>
      <c r="D396" s="94"/>
      <c r="E396" s="93" t="s">
        <v>55</v>
      </c>
      <c r="F396" s="93" t="s">
        <v>56</v>
      </c>
      <c r="G396" s="93"/>
      <c r="H396" s="95"/>
      <c r="I396" s="93"/>
      <c r="J396" s="93"/>
      <c r="K396" s="93"/>
      <c r="L396" s="179"/>
      <c r="M396" s="92"/>
      <c r="N396" s="152" t="str">
        <f t="shared" ca="1" si="6"/>
        <v>Enter the number of homes on the 1_SetUp sheet</v>
      </c>
    </row>
    <row r="397" spans="1:14" ht="15" customHeight="1">
      <c r="A397" s="158">
        <v>393</v>
      </c>
      <c r="B397" s="93"/>
      <c r="C397" s="94"/>
      <c r="D397" s="94"/>
      <c r="E397" s="93" t="s">
        <v>55</v>
      </c>
      <c r="F397" s="93" t="s">
        <v>56</v>
      </c>
      <c r="G397" s="93"/>
      <c r="H397" s="95"/>
      <c r="I397" s="93"/>
      <c r="J397" s="93"/>
      <c r="K397" s="93"/>
      <c r="L397" s="179"/>
      <c r="M397" s="92"/>
      <c r="N397" s="152" t="str">
        <f t="shared" ca="1" si="6"/>
        <v>Enter the number of homes on the 1_SetUp sheet</v>
      </c>
    </row>
    <row r="398" spans="1:14" ht="15" customHeight="1">
      <c r="A398" s="158">
        <v>394</v>
      </c>
      <c r="B398" s="93"/>
      <c r="C398" s="94"/>
      <c r="D398" s="94"/>
      <c r="E398" s="93" t="s">
        <v>55</v>
      </c>
      <c r="F398" s="93" t="s">
        <v>56</v>
      </c>
      <c r="G398" s="93"/>
      <c r="H398" s="95"/>
      <c r="I398" s="93"/>
      <c r="J398" s="93"/>
      <c r="K398" s="93"/>
      <c r="L398" s="179"/>
      <c r="M398" s="92"/>
      <c r="N398" s="152" t="str">
        <f t="shared" ca="1" si="6"/>
        <v>Enter the number of homes on the 1_SetUp sheet</v>
      </c>
    </row>
    <row r="399" spans="1:14" ht="15" customHeight="1">
      <c r="A399" s="158">
        <v>395</v>
      </c>
      <c r="B399" s="93"/>
      <c r="C399" s="94"/>
      <c r="D399" s="94"/>
      <c r="E399" s="93" t="s">
        <v>55</v>
      </c>
      <c r="F399" s="93" t="s">
        <v>56</v>
      </c>
      <c r="G399" s="93"/>
      <c r="H399" s="95"/>
      <c r="I399" s="93"/>
      <c r="J399" s="93"/>
      <c r="K399" s="93"/>
      <c r="L399" s="179"/>
      <c r="M399" s="92"/>
      <c r="N399" s="152" t="str">
        <f t="shared" ca="1" si="6"/>
        <v>Enter the number of homes on the 1_SetUp sheet</v>
      </c>
    </row>
    <row r="400" spans="1:14" ht="15" customHeight="1">
      <c r="A400" s="158">
        <v>396</v>
      </c>
      <c r="B400" s="93"/>
      <c r="C400" s="94"/>
      <c r="D400" s="94"/>
      <c r="E400" s="93" t="s">
        <v>55</v>
      </c>
      <c r="F400" s="93" t="s">
        <v>56</v>
      </c>
      <c r="G400" s="93"/>
      <c r="H400" s="95"/>
      <c r="I400" s="93"/>
      <c r="J400" s="93"/>
      <c r="K400" s="93"/>
      <c r="L400" s="179"/>
      <c r="M400" s="92"/>
      <c r="N400" s="152" t="str">
        <f t="shared" ca="1" si="6"/>
        <v>Enter the number of homes on the 1_SetUp sheet</v>
      </c>
    </row>
    <row r="401" spans="1:14" ht="15" customHeight="1">
      <c r="A401" s="158">
        <v>397</v>
      </c>
      <c r="B401" s="93"/>
      <c r="C401" s="94"/>
      <c r="D401" s="94"/>
      <c r="E401" s="93" t="s">
        <v>55</v>
      </c>
      <c r="F401" s="93" t="s">
        <v>56</v>
      </c>
      <c r="G401" s="93"/>
      <c r="H401" s="95"/>
      <c r="I401" s="93"/>
      <c r="J401" s="93"/>
      <c r="K401" s="93"/>
      <c r="L401" s="179"/>
      <c r="M401" s="92"/>
      <c r="N401" s="152" t="str">
        <f t="shared" ca="1" si="6"/>
        <v>Enter the number of homes on the 1_SetUp sheet</v>
      </c>
    </row>
    <row r="402" spans="1:14" ht="15" customHeight="1">
      <c r="A402" s="158">
        <v>398</v>
      </c>
      <c r="B402" s="93"/>
      <c r="C402" s="94"/>
      <c r="D402" s="94"/>
      <c r="E402" s="93" t="s">
        <v>55</v>
      </c>
      <c r="F402" s="93" t="s">
        <v>56</v>
      </c>
      <c r="G402" s="93"/>
      <c r="H402" s="95"/>
      <c r="I402" s="93"/>
      <c r="J402" s="93"/>
      <c r="K402" s="93"/>
      <c r="L402" s="179"/>
      <c r="M402" s="92"/>
      <c r="N402" s="152" t="str">
        <f t="shared" ca="1" si="6"/>
        <v>Enter the number of homes on the 1_SetUp sheet</v>
      </c>
    </row>
    <row r="403" spans="1:14" ht="15" customHeight="1">
      <c r="A403" s="158">
        <v>399</v>
      </c>
      <c r="B403" s="93"/>
      <c r="C403" s="94"/>
      <c r="D403" s="94"/>
      <c r="E403" s="93" t="s">
        <v>55</v>
      </c>
      <c r="F403" s="93" t="s">
        <v>56</v>
      </c>
      <c r="G403" s="93"/>
      <c r="H403" s="95"/>
      <c r="I403" s="93"/>
      <c r="J403" s="93"/>
      <c r="K403" s="93"/>
      <c r="L403" s="179"/>
      <c r="M403" s="92"/>
      <c r="N403" s="152" t="str">
        <f t="shared" ca="1" si="6"/>
        <v>Enter the number of homes on the 1_SetUp sheet</v>
      </c>
    </row>
    <row r="404" spans="1:14" ht="15" customHeight="1">
      <c r="A404" s="158">
        <v>400</v>
      </c>
      <c r="B404" s="93"/>
      <c r="C404" s="94"/>
      <c r="D404" s="94"/>
      <c r="E404" s="93" t="s">
        <v>55</v>
      </c>
      <c r="F404" s="93" t="s">
        <v>56</v>
      </c>
      <c r="G404" s="93"/>
      <c r="H404" s="95"/>
      <c r="I404" s="93"/>
      <c r="J404" s="93"/>
      <c r="K404" s="93"/>
      <c r="L404" s="179"/>
      <c r="M404" s="92"/>
      <c r="N404" s="152" t="str">
        <f t="shared" ca="1" si="6"/>
        <v>Enter the number of homes on the 1_SetUp sheet</v>
      </c>
    </row>
    <row r="405" spans="1:14" ht="15" customHeight="1">
      <c r="A405" s="158">
        <v>401</v>
      </c>
      <c r="B405" s="93"/>
      <c r="C405" s="94"/>
      <c r="D405" s="94"/>
      <c r="E405" s="93" t="s">
        <v>55</v>
      </c>
      <c r="F405" s="93" t="s">
        <v>56</v>
      </c>
      <c r="G405" s="93"/>
      <c r="H405" s="95"/>
      <c r="I405" s="93"/>
      <c r="J405" s="93"/>
      <c r="K405" s="93"/>
      <c r="L405" s="179"/>
      <c r="M405" s="92"/>
      <c r="N405" s="152" t="str">
        <f t="shared" ca="1" si="6"/>
        <v>Enter the number of homes on the 1_SetUp sheet</v>
      </c>
    </row>
    <row r="406" spans="1:14" ht="15" customHeight="1">
      <c r="A406" s="158">
        <v>402</v>
      </c>
      <c r="B406" s="93"/>
      <c r="C406" s="94"/>
      <c r="D406" s="94"/>
      <c r="E406" s="93" t="s">
        <v>55</v>
      </c>
      <c r="F406" s="93" t="s">
        <v>56</v>
      </c>
      <c r="G406" s="93"/>
      <c r="H406" s="95"/>
      <c r="I406" s="93"/>
      <c r="J406" s="93"/>
      <c r="K406" s="93"/>
      <c r="L406" s="179"/>
      <c r="M406" s="92"/>
      <c r="N406" s="152" t="str">
        <f t="shared" ca="1" si="6"/>
        <v>Enter the number of homes on the 1_SetUp sheet</v>
      </c>
    </row>
    <row r="407" spans="1:14" ht="15" customHeight="1">
      <c r="A407" s="158">
        <v>403</v>
      </c>
      <c r="B407" s="93"/>
      <c r="C407" s="94"/>
      <c r="D407" s="94"/>
      <c r="E407" s="93" t="s">
        <v>55</v>
      </c>
      <c r="F407" s="93" t="s">
        <v>56</v>
      </c>
      <c r="G407" s="93"/>
      <c r="H407" s="95"/>
      <c r="I407" s="93"/>
      <c r="J407" s="93"/>
      <c r="K407" s="93"/>
      <c r="L407" s="179"/>
      <c r="M407" s="92"/>
      <c r="N407" s="152" t="str">
        <f t="shared" ca="1" si="6"/>
        <v>Enter the number of homes on the 1_SetUp sheet</v>
      </c>
    </row>
    <row r="408" spans="1:14" ht="15" customHeight="1">
      <c r="A408" s="158">
        <v>404</v>
      </c>
      <c r="B408" s="93"/>
      <c r="C408" s="94"/>
      <c r="D408" s="94"/>
      <c r="E408" s="93" t="s">
        <v>55</v>
      </c>
      <c r="F408" s="93" t="s">
        <v>56</v>
      </c>
      <c r="G408" s="93"/>
      <c r="H408" s="95"/>
      <c r="I408" s="93"/>
      <c r="J408" s="93"/>
      <c r="K408" s="93"/>
      <c r="L408" s="179"/>
      <c r="M408" s="92"/>
      <c r="N408" s="152" t="str">
        <f t="shared" ca="1" si="6"/>
        <v>Enter the number of homes on the 1_SetUp sheet</v>
      </c>
    </row>
    <row r="409" spans="1:14" ht="15" customHeight="1">
      <c r="A409" s="158">
        <v>405</v>
      </c>
      <c r="B409" s="93"/>
      <c r="C409" s="94"/>
      <c r="D409" s="94"/>
      <c r="E409" s="93" t="s">
        <v>55</v>
      </c>
      <c r="F409" s="93" t="s">
        <v>56</v>
      </c>
      <c r="G409" s="93"/>
      <c r="H409" s="95"/>
      <c r="I409" s="93"/>
      <c r="J409" s="93"/>
      <c r="K409" s="93"/>
      <c r="L409" s="179"/>
      <c r="M409" s="92"/>
      <c r="N409" s="152" t="str">
        <f t="shared" ca="1" si="6"/>
        <v>Enter the number of homes on the 1_SetUp sheet</v>
      </c>
    </row>
    <row r="410" spans="1:14" ht="15" customHeight="1">
      <c r="A410" s="158">
        <v>406</v>
      </c>
      <c r="B410" s="93"/>
      <c r="C410" s="94"/>
      <c r="D410" s="94"/>
      <c r="E410" s="93" t="s">
        <v>55</v>
      </c>
      <c r="F410" s="93" t="s">
        <v>56</v>
      </c>
      <c r="G410" s="93"/>
      <c r="H410" s="95"/>
      <c r="I410" s="93"/>
      <c r="J410" s="93"/>
      <c r="K410" s="93"/>
      <c r="L410" s="179"/>
      <c r="M410" s="92"/>
      <c r="N410" s="152" t="str">
        <f t="shared" ca="1" si="6"/>
        <v>Enter the number of homes on the 1_SetUp sheet</v>
      </c>
    </row>
    <row r="411" spans="1:14" ht="15" customHeight="1">
      <c r="A411" s="158">
        <v>407</v>
      </c>
      <c r="B411" s="93"/>
      <c r="C411" s="94"/>
      <c r="D411" s="94"/>
      <c r="E411" s="93" t="s">
        <v>55</v>
      </c>
      <c r="F411" s="93" t="s">
        <v>56</v>
      </c>
      <c r="G411" s="93"/>
      <c r="H411" s="95"/>
      <c r="I411" s="93"/>
      <c r="J411" s="93"/>
      <c r="K411" s="93"/>
      <c r="L411" s="179"/>
      <c r="M411" s="92"/>
      <c r="N411" s="152" t="str">
        <f t="shared" ca="1" si="6"/>
        <v>Enter the number of homes on the 1_SetUp sheet</v>
      </c>
    </row>
    <row r="412" spans="1:14" ht="15" customHeight="1">
      <c r="A412" s="158">
        <v>408</v>
      </c>
      <c r="B412" s="93"/>
      <c r="C412" s="94"/>
      <c r="D412" s="94"/>
      <c r="E412" s="93" t="s">
        <v>55</v>
      </c>
      <c r="F412" s="93" t="s">
        <v>56</v>
      </c>
      <c r="G412" s="93"/>
      <c r="H412" s="95"/>
      <c r="I412" s="93"/>
      <c r="J412" s="93"/>
      <c r="K412" s="93"/>
      <c r="L412" s="179"/>
      <c r="M412" s="92"/>
      <c r="N412" s="152" t="str">
        <f t="shared" ca="1" si="6"/>
        <v>Enter the number of homes on the 1_SetUp sheet</v>
      </c>
    </row>
    <row r="413" spans="1:14" ht="15" customHeight="1">
      <c r="A413" s="158">
        <v>409</v>
      </c>
      <c r="B413" s="93"/>
      <c r="C413" s="94"/>
      <c r="D413" s="94"/>
      <c r="E413" s="93" t="s">
        <v>55</v>
      </c>
      <c r="F413" s="93" t="s">
        <v>56</v>
      </c>
      <c r="G413" s="93"/>
      <c r="H413" s="95"/>
      <c r="I413" s="93"/>
      <c r="J413" s="93"/>
      <c r="K413" s="93"/>
      <c r="L413" s="179"/>
      <c r="M413" s="92"/>
      <c r="N413" s="152" t="str">
        <f t="shared" ca="1" si="6"/>
        <v>Enter the number of homes on the 1_SetUp sheet</v>
      </c>
    </row>
    <row r="414" spans="1:14" ht="15" customHeight="1">
      <c r="A414" s="158">
        <v>410</v>
      </c>
      <c r="B414" s="93"/>
      <c r="C414" s="94"/>
      <c r="D414" s="94"/>
      <c r="E414" s="93" t="s">
        <v>55</v>
      </c>
      <c r="F414" s="93" t="s">
        <v>56</v>
      </c>
      <c r="G414" s="93"/>
      <c r="H414" s="95"/>
      <c r="I414" s="93"/>
      <c r="J414" s="93"/>
      <c r="K414" s="93"/>
      <c r="L414" s="179"/>
      <c r="M414" s="92"/>
      <c r="N414" s="152" t="str">
        <f t="shared" ca="1" si="6"/>
        <v>Enter the number of homes on the 1_SetUp sheet</v>
      </c>
    </row>
    <row r="415" spans="1:14" ht="15" customHeight="1">
      <c r="A415" s="158">
        <v>411</v>
      </c>
      <c r="B415" s="93"/>
      <c r="C415" s="94"/>
      <c r="D415" s="94"/>
      <c r="E415" s="93" t="s">
        <v>55</v>
      </c>
      <c r="F415" s="93" t="s">
        <v>56</v>
      </c>
      <c r="G415" s="93"/>
      <c r="H415" s="95"/>
      <c r="I415" s="93"/>
      <c r="J415" s="93"/>
      <c r="K415" s="93"/>
      <c r="L415" s="179"/>
      <c r="M415" s="92"/>
      <c r="N415" s="152" t="str">
        <f t="shared" ca="1" si="6"/>
        <v>Enter the number of homes on the 1_SetUp sheet</v>
      </c>
    </row>
    <row r="416" spans="1:14" ht="15" customHeight="1">
      <c r="A416" s="158">
        <v>412</v>
      </c>
      <c r="B416" s="93"/>
      <c r="C416" s="94"/>
      <c r="D416" s="94"/>
      <c r="E416" s="93" t="s">
        <v>55</v>
      </c>
      <c r="F416" s="93" t="s">
        <v>56</v>
      </c>
      <c r="G416" s="93"/>
      <c r="H416" s="95"/>
      <c r="I416" s="93"/>
      <c r="J416" s="93"/>
      <c r="K416" s="93"/>
      <c r="L416" s="179"/>
      <c r="M416" s="92"/>
      <c r="N416" s="152" t="str">
        <f t="shared" ca="1" si="6"/>
        <v>Enter the number of homes on the 1_SetUp sheet</v>
      </c>
    </row>
    <row r="417" spans="1:14" ht="15" customHeight="1">
      <c r="A417" s="158">
        <v>413</v>
      </c>
      <c r="B417" s="93"/>
      <c r="C417" s="94"/>
      <c r="D417" s="94"/>
      <c r="E417" s="93" t="s">
        <v>55</v>
      </c>
      <c r="F417" s="93" t="s">
        <v>56</v>
      </c>
      <c r="G417" s="93"/>
      <c r="H417" s="95"/>
      <c r="I417" s="93"/>
      <c r="J417" s="93"/>
      <c r="K417" s="93"/>
      <c r="L417" s="179"/>
      <c r="M417" s="92"/>
      <c r="N417" s="152" t="str">
        <f t="shared" ca="1" si="6"/>
        <v>Enter the number of homes on the 1_SetUp sheet</v>
      </c>
    </row>
    <row r="418" spans="1:14" ht="15" customHeight="1">
      <c r="A418" s="158">
        <v>414</v>
      </c>
      <c r="B418" s="93"/>
      <c r="C418" s="94"/>
      <c r="D418" s="94"/>
      <c r="E418" s="93" t="s">
        <v>55</v>
      </c>
      <c r="F418" s="93" t="s">
        <v>56</v>
      </c>
      <c r="G418" s="93"/>
      <c r="H418" s="95"/>
      <c r="I418" s="93"/>
      <c r="J418" s="93"/>
      <c r="K418" s="93"/>
      <c r="L418" s="179"/>
      <c r="M418" s="92"/>
      <c r="N418" s="152" t="str">
        <f t="shared" ca="1" si="6"/>
        <v>Enter the number of homes on the 1_SetUp sheet</v>
      </c>
    </row>
    <row r="419" spans="1:14" ht="15" customHeight="1">
      <c r="A419" s="158">
        <v>415</v>
      </c>
      <c r="B419" s="93"/>
      <c r="C419" s="94"/>
      <c r="D419" s="94"/>
      <c r="E419" s="93" t="s">
        <v>55</v>
      </c>
      <c r="F419" s="93" t="s">
        <v>56</v>
      </c>
      <c r="G419" s="93"/>
      <c r="H419" s="95"/>
      <c r="I419" s="93"/>
      <c r="J419" s="93"/>
      <c r="K419" s="93"/>
      <c r="L419" s="179"/>
      <c r="M419" s="92"/>
      <c r="N419" s="152" t="str">
        <f t="shared" ca="1" si="6"/>
        <v>Enter the number of homes on the 1_SetUp sheet</v>
      </c>
    </row>
    <row r="420" spans="1:14" ht="15" customHeight="1">
      <c r="A420" s="158">
        <v>416</v>
      </c>
      <c r="B420" s="93"/>
      <c r="C420" s="94"/>
      <c r="D420" s="94"/>
      <c r="E420" s="93" t="s">
        <v>55</v>
      </c>
      <c r="F420" s="93" t="s">
        <v>56</v>
      </c>
      <c r="G420" s="93"/>
      <c r="H420" s="95"/>
      <c r="I420" s="93"/>
      <c r="J420" s="93"/>
      <c r="K420" s="93"/>
      <c r="L420" s="179"/>
      <c r="M420" s="92"/>
      <c r="N420" s="152" t="str">
        <f t="shared" ca="1" si="6"/>
        <v>Enter the number of homes on the 1_SetUp sheet</v>
      </c>
    </row>
    <row r="421" spans="1:14" ht="15" customHeight="1">
      <c r="A421" s="158">
        <v>417</v>
      </c>
      <c r="B421" s="93"/>
      <c r="C421" s="94"/>
      <c r="D421" s="94"/>
      <c r="E421" s="93" t="s">
        <v>55</v>
      </c>
      <c r="F421" s="93" t="s">
        <v>56</v>
      </c>
      <c r="G421" s="93"/>
      <c r="H421" s="95"/>
      <c r="I421" s="93"/>
      <c r="J421" s="93"/>
      <c r="K421" s="93"/>
      <c r="L421" s="179"/>
      <c r="M421" s="92"/>
      <c r="N421" s="152" t="str">
        <f t="shared" ca="1" si="6"/>
        <v>Enter the number of homes on the 1_SetUp sheet</v>
      </c>
    </row>
    <row r="422" spans="1:14" ht="15" customHeight="1">
      <c r="A422" s="158">
        <v>418</v>
      </c>
      <c r="B422" s="93"/>
      <c r="C422" s="94"/>
      <c r="D422" s="94"/>
      <c r="E422" s="93" t="s">
        <v>55</v>
      </c>
      <c r="F422" s="93" t="s">
        <v>56</v>
      </c>
      <c r="G422" s="93"/>
      <c r="H422" s="95"/>
      <c r="I422" s="93"/>
      <c r="J422" s="93"/>
      <c r="K422" s="93"/>
      <c r="L422" s="179"/>
      <c r="M422" s="92"/>
      <c r="N422" s="152" t="str">
        <f t="shared" ca="1" si="6"/>
        <v>Enter the number of homes on the 1_SetUp sheet</v>
      </c>
    </row>
    <row r="423" spans="1:14" ht="15" customHeight="1">
      <c r="A423" s="158">
        <v>419</v>
      </c>
      <c r="B423" s="93"/>
      <c r="C423" s="94"/>
      <c r="D423" s="94"/>
      <c r="E423" s="93" t="s">
        <v>55</v>
      </c>
      <c r="F423" s="93" t="s">
        <v>56</v>
      </c>
      <c r="G423" s="93"/>
      <c r="H423" s="95"/>
      <c r="I423" s="93"/>
      <c r="J423" s="93"/>
      <c r="K423" s="93"/>
      <c r="L423" s="179"/>
      <c r="M423" s="92"/>
      <c r="N423" s="152" t="str">
        <f t="shared" ca="1" si="6"/>
        <v>Enter the number of homes on the 1_SetUp sheet</v>
      </c>
    </row>
    <row r="424" spans="1:14" ht="15" customHeight="1">
      <c r="A424" s="158">
        <v>420</v>
      </c>
      <c r="B424" s="93"/>
      <c r="C424" s="94"/>
      <c r="D424" s="94"/>
      <c r="E424" s="93" t="s">
        <v>55</v>
      </c>
      <c r="F424" s="93" t="s">
        <v>56</v>
      </c>
      <c r="G424" s="93"/>
      <c r="H424" s="95"/>
      <c r="I424" s="93"/>
      <c r="J424" s="93"/>
      <c r="K424" s="93"/>
      <c r="L424" s="179"/>
      <c r="M424" s="92"/>
      <c r="N424" s="152" t="str">
        <f t="shared" ca="1" si="6"/>
        <v>Enter the number of homes on the 1_SetUp sheet</v>
      </c>
    </row>
    <row r="425" spans="1:14" ht="15" customHeight="1">
      <c r="A425" s="158">
        <v>421</v>
      </c>
      <c r="B425" s="93"/>
      <c r="C425" s="94"/>
      <c r="D425" s="94"/>
      <c r="E425" s="93" t="s">
        <v>55</v>
      </c>
      <c r="F425" s="93" t="s">
        <v>56</v>
      </c>
      <c r="G425" s="93"/>
      <c r="H425" s="95"/>
      <c r="I425" s="93"/>
      <c r="J425" s="93"/>
      <c r="K425" s="93"/>
      <c r="L425" s="179"/>
      <c r="M425" s="92"/>
      <c r="N425" s="152" t="str">
        <f t="shared" ca="1" si="6"/>
        <v>Enter the number of homes on the 1_SetUp sheet</v>
      </c>
    </row>
    <row r="426" spans="1:14" ht="15" customHeight="1">
      <c r="A426" s="158">
        <v>422</v>
      </c>
      <c r="B426" s="93"/>
      <c r="C426" s="94"/>
      <c r="D426" s="94"/>
      <c r="E426" s="93" t="s">
        <v>55</v>
      </c>
      <c r="F426" s="93" t="s">
        <v>56</v>
      </c>
      <c r="G426" s="93"/>
      <c r="H426" s="95"/>
      <c r="I426" s="93"/>
      <c r="J426" s="93"/>
      <c r="K426" s="93"/>
      <c r="L426" s="179"/>
      <c r="M426" s="92"/>
      <c r="N426" s="152" t="str">
        <f t="shared" ca="1" si="6"/>
        <v>Enter the number of homes on the 1_SetUp sheet</v>
      </c>
    </row>
    <row r="427" spans="1:14" ht="15" customHeight="1">
      <c r="A427" s="158">
        <v>423</v>
      </c>
      <c r="B427" s="93"/>
      <c r="C427" s="94"/>
      <c r="D427" s="94"/>
      <c r="E427" s="93" t="s">
        <v>55</v>
      </c>
      <c r="F427" s="93" t="s">
        <v>56</v>
      </c>
      <c r="G427" s="93"/>
      <c r="H427" s="95"/>
      <c r="I427" s="93"/>
      <c r="J427" s="93"/>
      <c r="K427" s="93"/>
      <c r="L427" s="179"/>
      <c r="M427" s="92"/>
      <c r="N427" s="152" t="str">
        <f t="shared" ca="1" si="6"/>
        <v>Enter the number of homes on the 1_SetUp sheet</v>
      </c>
    </row>
    <row r="428" spans="1:14" ht="15" customHeight="1">
      <c r="A428" s="158">
        <v>424</v>
      </c>
      <c r="B428" s="93"/>
      <c r="C428" s="94"/>
      <c r="D428" s="94"/>
      <c r="E428" s="93" t="s">
        <v>55</v>
      </c>
      <c r="F428" s="93" t="s">
        <v>56</v>
      </c>
      <c r="G428" s="93"/>
      <c r="H428" s="95"/>
      <c r="I428" s="93"/>
      <c r="J428" s="93"/>
      <c r="K428" s="93"/>
      <c r="L428" s="179"/>
      <c r="M428" s="92"/>
      <c r="N428" s="152" t="str">
        <f t="shared" ca="1" si="6"/>
        <v>Enter the number of homes on the 1_SetUp sheet</v>
      </c>
    </row>
    <row r="429" spans="1:14" ht="15" customHeight="1">
      <c r="A429" s="158">
        <v>425</v>
      </c>
      <c r="B429" s="93"/>
      <c r="C429" s="94"/>
      <c r="D429" s="94"/>
      <c r="E429" s="93" t="s">
        <v>55</v>
      </c>
      <c r="F429" s="93" t="s">
        <v>56</v>
      </c>
      <c r="G429" s="93"/>
      <c r="H429" s="95"/>
      <c r="I429" s="93"/>
      <c r="J429" s="93"/>
      <c r="K429" s="93"/>
      <c r="L429" s="179"/>
      <c r="M429" s="92"/>
      <c r="N429" s="152" t="str">
        <f t="shared" ca="1" si="6"/>
        <v>Enter the number of homes on the 1_SetUp sheet</v>
      </c>
    </row>
    <row r="430" spans="1:14" ht="15" customHeight="1">
      <c r="A430" s="158">
        <v>426</v>
      </c>
      <c r="B430" s="93"/>
      <c r="C430" s="94"/>
      <c r="D430" s="94"/>
      <c r="E430" s="93" t="s">
        <v>55</v>
      </c>
      <c r="F430" s="93" t="s">
        <v>56</v>
      </c>
      <c r="G430" s="93"/>
      <c r="H430" s="95"/>
      <c r="I430" s="93"/>
      <c r="J430" s="93"/>
      <c r="K430" s="93"/>
      <c r="L430" s="179"/>
      <c r="M430" s="92"/>
      <c r="N430" s="152" t="str">
        <f t="shared" ca="1" si="6"/>
        <v>Enter the number of homes on the 1_SetUp sheet</v>
      </c>
    </row>
    <row r="431" spans="1:14" ht="15" customHeight="1">
      <c r="A431" s="158">
        <v>427</v>
      </c>
      <c r="B431" s="93"/>
      <c r="C431" s="94"/>
      <c r="D431" s="94"/>
      <c r="E431" s="93" t="s">
        <v>55</v>
      </c>
      <c r="F431" s="93" t="s">
        <v>56</v>
      </c>
      <c r="G431" s="93"/>
      <c r="H431" s="95"/>
      <c r="I431" s="93"/>
      <c r="J431" s="93"/>
      <c r="K431" s="93"/>
      <c r="L431" s="179"/>
      <c r="M431" s="92"/>
      <c r="N431" s="152" t="str">
        <f t="shared" ca="1" si="6"/>
        <v>Enter the number of homes on the 1_SetUp sheet</v>
      </c>
    </row>
    <row r="432" spans="1:14" ht="15" customHeight="1">
      <c r="A432" s="158">
        <v>428</v>
      </c>
      <c r="B432" s="93"/>
      <c r="C432" s="94"/>
      <c r="D432" s="94"/>
      <c r="E432" s="93" t="s">
        <v>55</v>
      </c>
      <c r="F432" s="93" t="s">
        <v>56</v>
      </c>
      <c r="G432" s="93"/>
      <c r="H432" s="95"/>
      <c r="I432" s="93"/>
      <c r="J432" s="93"/>
      <c r="K432" s="93"/>
      <c r="L432" s="179"/>
      <c r="M432" s="92"/>
      <c r="N432" s="152" t="str">
        <f t="shared" ca="1" si="6"/>
        <v>Enter the number of homes on the 1_SetUp sheet</v>
      </c>
    </row>
    <row r="433" spans="1:14" ht="15" customHeight="1">
      <c r="A433" s="158">
        <v>429</v>
      </c>
      <c r="B433" s="93"/>
      <c r="C433" s="94"/>
      <c r="D433" s="94"/>
      <c r="E433" s="93" t="s">
        <v>55</v>
      </c>
      <c r="F433" s="93" t="s">
        <v>56</v>
      </c>
      <c r="G433" s="93"/>
      <c r="H433" s="95"/>
      <c r="I433" s="93"/>
      <c r="J433" s="93"/>
      <c r="K433" s="93"/>
      <c r="L433" s="179"/>
      <c r="M433" s="92"/>
      <c r="N433" s="152" t="str">
        <f t="shared" ca="1" si="6"/>
        <v>Enter the number of homes on the 1_SetUp sheet</v>
      </c>
    </row>
    <row r="434" spans="1:14" ht="15" customHeight="1">
      <c r="A434" s="158">
        <v>430</v>
      </c>
      <c r="B434" s="93"/>
      <c r="C434" s="94"/>
      <c r="D434" s="94"/>
      <c r="E434" s="93" t="s">
        <v>55</v>
      </c>
      <c r="F434" s="93" t="s">
        <v>56</v>
      </c>
      <c r="G434" s="93"/>
      <c r="H434" s="95"/>
      <c r="I434" s="93"/>
      <c r="J434" s="93"/>
      <c r="K434" s="93"/>
      <c r="L434" s="179"/>
      <c r="M434" s="92"/>
      <c r="N434" s="152" t="str">
        <f t="shared" ca="1" si="6"/>
        <v>Enter the number of homes on the 1_SetUp sheet</v>
      </c>
    </row>
    <row r="435" spans="1:14" ht="15" customHeight="1">
      <c r="A435" s="158">
        <v>431</v>
      </c>
      <c r="B435" s="93"/>
      <c r="C435" s="94"/>
      <c r="D435" s="94"/>
      <c r="E435" s="93" t="s">
        <v>55</v>
      </c>
      <c r="F435" s="93" t="s">
        <v>56</v>
      </c>
      <c r="G435" s="93"/>
      <c r="H435" s="95"/>
      <c r="I435" s="93"/>
      <c r="J435" s="93"/>
      <c r="K435" s="93"/>
      <c r="L435" s="179"/>
      <c r="M435" s="92"/>
      <c r="N435" s="152" t="str">
        <f t="shared" ca="1" si="6"/>
        <v>Enter the number of homes on the 1_SetUp sheet</v>
      </c>
    </row>
    <row r="436" spans="1:14" ht="15" customHeight="1">
      <c r="A436" s="158">
        <v>432</v>
      </c>
      <c r="B436" s="93"/>
      <c r="C436" s="94"/>
      <c r="D436" s="94"/>
      <c r="E436" s="93" t="s">
        <v>55</v>
      </c>
      <c r="F436" s="93" t="s">
        <v>56</v>
      </c>
      <c r="G436" s="93"/>
      <c r="H436" s="95"/>
      <c r="I436" s="93"/>
      <c r="J436" s="93"/>
      <c r="K436" s="93"/>
      <c r="L436" s="179"/>
      <c r="M436" s="92"/>
      <c r="N436" s="152" t="str">
        <f t="shared" ca="1" si="6"/>
        <v>Enter the number of homes on the 1_SetUp sheet</v>
      </c>
    </row>
    <row r="437" spans="1:14" ht="15" customHeight="1">
      <c r="A437" s="158">
        <v>433</v>
      </c>
      <c r="B437" s="93"/>
      <c r="C437" s="94"/>
      <c r="D437" s="94"/>
      <c r="E437" s="93" t="s">
        <v>55</v>
      </c>
      <c r="F437" s="93" t="s">
        <v>56</v>
      </c>
      <c r="G437" s="93"/>
      <c r="H437" s="95"/>
      <c r="I437" s="93"/>
      <c r="J437" s="93"/>
      <c r="K437" s="93"/>
      <c r="L437" s="179"/>
      <c r="M437" s="92"/>
      <c r="N437" s="152" t="str">
        <f t="shared" ca="1" si="6"/>
        <v>Enter the number of homes on the 1_SetUp sheet</v>
      </c>
    </row>
    <row r="438" spans="1:14" ht="15" customHeight="1">
      <c r="A438" s="158">
        <v>434</v>
      </c>
      <c r="B438" s="93"/>
      <c r="C438" s="94"/>
      <c r="D438" s="94"/>
      <c r="E438" s="93" t="s">
        <v>55</v>
      </c>
      <c r="F438" s="93" t="s">
        <v>56</v>
      </c>
      <c r="G438" s="93"/>
      <c r="H438" s="95"/>
      <c r="I438" s="93"/>
      <c r="J438" s="93"/>
      <c r="K438" s="93"/>
      <c r="L438" s="179"/>
      <c r="M438" s="92"/>
      <c r="N438" s="152" t="str">
        <f t="shared" ca="1" si="6"/>
        <v>Enter the number of homes on the 1_SetUp sheet</v>
      </c>
    </row>
    <row r="439" spans="1:14" ht="15" customHeight="1">
      <c r="A439" s="158">
        <v>435</v>
      </c>
      <c r="B439" s="93"/>
      <c r="C439" s="94"/>
      <c r="D439" s="94"/>
      <c r="E439" s="93" t="s">
        <v>55</v>
      </c>
      <c r="F439" s="93" t="s">
        <v>56</v>
      </c>
      <c r="G439" s="93"/>
      <c r="H439" s="95"/>
      <c r="I439" s="93"/>
      <c r="J439" s="93"/>
      <c r="K439" s="93"/>
      <c r="L439" s="179"/>
      <c r="M439" s="92"/>
      <c r="N439" s="152" t="str">
        <f t="shared" ca="1" si="6"/>
        <v>Enter the number of homes on the 1_SetUp sheet</v>
      </c>
    </row>
    <row r="440" spans="1:14" ht="15" customHeight="1">
      <c r="A440" s="158">
        <v>436</v>
      </c>
      <c r="B440" s="93"/>
      <c r="C440" s="94"/>
      <c r="D440" s="94"/>
      <c r="E440" s="93" t="s">
        <v>55</v>
      </c>
      <c r="F440" s="93" t="s">
        <v>56</v>
      </c>
      <c r="G440" s="93"/>
      <c r="H440" s="95"/>
      <c r="I440" s="93"/>
      <c r="J440" s="93"/>
      <c r="K440" s="93"/>
      <c r="L440" s="179"/>
      <c r="M440" s="92"/>
      <c r="N440" s="152" t="str">
        <f t="shared" ca="1" si="6"/>
        <v>Enter the number of homes on the 1_SetUp sheet</v>
      </c>
    </row>
    <row r="441" spans="1:14" ht="15" customHeight="1">
      <c r="A441" s="158">
        <v>437</v>
      </c>
      <c r="B441" s="93"/>
      <c r="C441" s="94"/>
      <c r="D441" s="94"/>
      <c r="E441" s="93" t="s">
        <v>55</v>
      </c>
      <c r="F441" s="93" t="s">
        <v>56</v>
      </c>
      <c r="G441" s="93"/>
      <c r="H441" s="95"/>
      <c r="I441" s="93"/>
      <c r="J441" s="93"/>
      <c r="K441" s="93"/>
      <c r="L441" s="179"/>
      <c r="M441" s="92"/>
      <c r="N441" s="152" t="str">
        <f t="shared" ca="1" si="6"/>
        <v>Enter the number of homes on the 1_SetUp sheet</v>
      </c>
    </row>
    <row r="442" spans="1:14" ht="15" customHeight="1">
      <c r="A442" s="158">
        <v>438</v>
      </c>
      <c r="B442" s="93"/>
      <c r="C442" s="94"/>
      <c r="D442" s="94"/>
      <c r="E442" s="93" t="s">
        <v>55</v>
      </c>
      <c r="F442" s="93" t="s">
        <v>56</v>
      </c>
      <c r="G442" s="93"/>
      <c r="H442" s="95"/>
      <c r="I442" s="93"/>
      <c r="J442" s="93"/>
      <c r="K442" s="93"/>
      <c r="L442" s="179"/>
      <c r="M442" s="92"/>
      <c r="N442" s="152" t="str">
        <f t="shared" ca="1" si="6"/>
        <v>Enter the number of homes on the 1_SetUp sheet</v>
      </c>
    </row>
    <row r="443" spans="1:14" ht="15" customHeight="1">
      <c r="A443" s="158">
        <v>439</v>
      </c>
      <c r="B443" s="93"/>
      <c r="C443" s="94"/>
      <c r="D443" s="94"/>
      <c r="E443" s="93" t="s">
        <v>55</v>
      </c>
      <c r="F443" s="93" t="s">
        <v>56</v>
      </c>
      <c r="G443" s="93"/>
      <c r="H443" s="95"/>
      <c r="I443" s="93"/>
      <c r="J443" s="93"/>
      <c r="K443" s="93"/>
      <c r="L443" s="179"/>
      <c r="M443" s="92"/>
      <c r="N443" s="152" t="str">
        <f t="shared" ca="1" si="6"/>
        <v>Enter the number of homes on the 1_SetUp sheet</v>
      </c>
    </row>
    <row r="444" spans="1:14" ht="15" customHeight="1">
      <c r="A444" s="158">
        <v>440</v>
      </c>
      <c r="B444" s="93"/>
      <c r="C444" s="94"/>
      <c r="D444" s="94"/>
      <c r="E444" s="93" t="s">
        <v>55</v>
      </c>
      <c r="F444" s="93" t="s">
        <v>56</v>
      </c>
      <c r="G444" s="93"/>
      <c r="H444" s="95"/>
      <c r="I444" s="93"/>
      <c r="J444" s="93"/>
      <c r="K444" s="93"/>
      <c r="L444" s="179"/>
      <c r="M444" s="92"/>
      <c r="N444" s="152" t="str">
        <f t="shared" ca="1" si="6"/>
        <v>Enter the number of homes on the 1_SetUp sheet</v>
      </c>
    </row>
    <row r="445" spans="1:14" ht="15" customHeight="1">
      <c r="A445" s="158">
        <v>441</v>
      </c>
      <c r="B445" s="93"/>
      <c r="C445" s="94"/>
      <c r="D445" s="94"/>
      <c r="E445" s="93" t="s">
        <v>55</v>
      </c>
      <c r="F445" s="93" t="s">
        <v>56</v>
      </c>
      <c r="G445" s="93"/>
      <c r="H445" s="95"/>
      <c r="I445" s="93"/>
      <c r="J445" s="93"/>
      <c r="K445" s="93"/>
      <c r="L445" s="179"/>
      <c r="M445" s="92"/>
      <c r="N445" s="152" t="str">
        <f t="shared" ca="1" si="6"/>
        <v>Enter the number of homes on the 1_SetUp sheet</v>
      </c>
    </row>
    <row r="446" spans="1:14" ht="15" customHeight="1">
      <c r="A446" s="158">
        <v>442</v>
      </c>
      <c r="B446" s="93"/>
      <c r="C446" s="94"/>
      <c r="D446" s="94"/>
      <c r="E446" s="93" t="s">
        <v>55</v>
      </c>
      <c r="F446" s="93" t="s">
        <v>56</v>
      </c>
      <c r="G446" s="93"/>
      <c r="H446" s="95"/>
      <c r="I446" s="93"/>
      <c r="J446" s="93"/>
      <c r="K446" s="93"/>
      <c r="L446" s="179"/>
      <c r="M446" s="92"/>
      <c r="N446" s="152" t="str">
        <f t="shared" ca="1" si="6"/>
        <v>Enter the number of homes on the 1_SetUp sheet</v>
      </c>
    </row>
    <row r="447" spans="1:14" ht="15" customHeight="1">
      <c r="A447" s="158">
        <v>443</v>
      </c>
      <c r="B447" s="93"/>
      <c r="C447" s="94"/>
      <c r="D447" s="94"/>
      <c r="E447" s="93" t="s">
        <v>55</v>
      </c>
      <c r="F447" s="93" t="s">
        <v>56</v>
      </c>
      <c r="G447" s="93"/>
      <c r="H447" s="95"/>
      <c r="I447" s="93"/>
      <c r="J447" s="93"/>
      <c r="K447" s="93"/>
      <c r="L447" s="179"/>
      <c r="M447" s="92"/>
      <c r="N447" s="152" t="str">
        <f t="shared" ca="1" si="6"/>
        <v>Enter the number of homes on the 1_SetUp sheet</v>
      </c>
    </row>
    <row r="448" spans="1:14" ht="15" customHeight="1">
      <c r="A448" s="158">
        <v>444</v>
      </c>
      <c r="B448" s="93"/>
      <c r="C448" s="94"/>
      <c r="D448" s="94"/>
      <c r="E448" s="93" t="s">
        <v>55</v>
      </c>
      <c r="F448" s="93" t="s">
        <v>56</v>
      </c>
      <c r="G448" s="93"/>
      <c r="H448" s="95"/>
      <c r="I448" s="93"/>
      <c r="J448" s="93"/>
      <c r="K448" s="93"/>
      <c r="L448" s="179"/>
      <c r="M448" s="92"/>
      <c r="N448" s="152" t="str">
        <f t="shared" ca="1" si="6"/>
        <v>Enter the number of homes on the 1_SetUp sheet</v>
      </c>
    </row>
    <row r="449" spans="1:14" ht="15" customHeight="1">
      <c r="A449" s="158">
        <v>445</v>
      </c>
      <c r="B449" s="93"/>
      <c r="C449" s="94"/>
      <c r="D449" s="94"/>
      <c r="E449" s="93" t="s">
        <v>55</v>
      </c>
      <c r="F449" s="93" t="s">
        <v>56</v>
      </c>
      <c r="G449" s="93"/>
      <c r="H449" s="95"/>
      <c r="I449" s="93"/>
      <c r="J449" s="93"/>
      <c r="K449" s="93"/>
      <c r="L449" s="179"/>
      <c r="M449" s="92"/>
      <c r="N449" s="152" t="str">
        <f t="shared" ca="1" si="6"/>
        <v>Enter the number of homes on the 1_SetUp sheet</v>
      </c>
    </row>
    <row r="450" spans="1:14" ht="15" customHeight="1">
      <c r="A450" s="158">
        <v>446</v>
      </c>
      <c r="B450" s="93"/>
      <c r="C450" s="94"/>
      <c r="D450" s="94"/>
      <c r="E450" s="93" t="s">
        <v>55</v>
      </c>
      <c r="F450" s="93" t="s">
        <v>56</v>
      </c>
      <c r="G450" s="93"/>
      <c r="H450" s="95"/>
      <c r="I450" s="93"/>
      <c r="J450" s="93"/>
      <c r="K450" s="93"/>
      <c r="L450" s="179"/>
      <c r="M450" s="92"/>
      <c r="N450" s="152" t="str">
        <f t="shared" ca="1" si="6"/>
        <v>Enter the number of homes on the 1_SetUp sheet</v>
      </c>
    </row>
    <row r="451" spans="1:14" ht="15" customHeight="1">
      <c r="A451" s="158">
        <v>447</v>
      </c>
      <c r="B451" s="93"/>
      <c r="C451" s="94"/>
      <c r="D451" s="94"/>
      <c r="E451" s="93" t="s">
        <v>55</v>
      </c>
      <c r="F451" s="93" t="s">
        <v>56</v>
      </c>
      <c r="G451" s="93"/>
      <c r="H451" s="95"/>
      <c r="I451" s="93"/>
      <c r="J451" s="93"/>
      <c r="K451" s="93"/>
      <c r="L451" s="179"/>
      <c r="M451" s="92"/>
      <c r="N451" s="152" t="str">
        <f t="shared" ca="1" si="6"/>
        <v>Enter the number of homes on the 1_SetUp sheet</v>
      </c>
    </row>
    <row r="452" spans="1:14" ht="15" customHeight="1">
      <c r="A452" s="158">
        <v>448</v>
      </c>
      <c r="B452" s="93"/>
      <c r="C452" s="94"/>
      <c r="D452" s="94"/>
      <c r="E452" s="93" t="s">
        <v>55</v>
      </c>
      <c r="F452" s="93" t="s">
        <v>56</v>
      </c>
      <c r="G452" s="93"/>
      <c r="H452" s="95"/>
      <c r="I452" s="93"/>
      <c r="J452" s="93"/>
      <c r="K452" s="93"/>
      <c r="L452" s="179"/>
      <c r="M452" s="92"/>
      <c r="N452" s="152" t="str">
        <f t="shared" ca="1" si="6"/>
        <v>Enter the number of homes on the 1_SetUp sheet</v>
      </c>
    </row>
    <row r="453" spans="1:14" ht="15" customHeight="1">
      <c r="A453" s="158">
        <v>449</v>
      </c>
      <c r="B453" s="93"/>
      <c r="C453" s="94"/>
      <c r="D453" s="94"/>
      <c r="E453" s="93" t="s">
        <v>55</v>
      </c>
      <c r="F453" s="93" t="s">
        <v>56</v>
      </c>
      <c r="G453" s="93"/>
      <c r="H453" s="95"/>
      <c r="I453" s="93"/>
      <c r="J453" s="93"/>
      <c r="K453" s="93"/>
      <c r="L453" s="179"/>
      <c r="M453" s="92"/>
      <c r="N453" s="152" t="str">
        <f t="shared" ref="N453:N516" ca="1" si="7">INDEX(ErrorCheck,MATCH($A453,ErrorCheckPlotNumber,0),MATCH(N$4,ErrorCheckTitle,0))</f>
        <v>Enter the number of homes on the 1_SetUp sheet</v>
      </c>
    </row>
    <row r="454" spans="1:14" ht="15" customHeight="1">
      <c r="A454" s="158">
        <v>450</v>
      </c>
      <c r="B454" s="93"/>
      <c r="C454" s="94"/>
      <c r="D454" s="94"/>
      <c r="E454" s="93" t="s">
        <v>55</v>
      </c>
      <c r="F454" s="93" t="s">
        <v>56</v>
      </c>
      <c r="G454" s="93"/>
      <c r="H454" s="95"/>
      <c r="I454" s="93"/>
      <c r="J454" s="93"/>
      <c r="K454" s="93"/>
      <c r="L454" s="179"/>
      <c r="M454" s="92"/>
      <c r="N454" s="152" t="str">
        <f t="shared" ca="1" si="7"/>
        <v>Enter the number of homes on the 1_SetUp sheet</v>
      </c>
    </row>
    <row r="455" spans="1:14" ht="15" customHeight="1">
      <c r="A455" s="158">
        <v>451</v>
      </c>
      <c r="B455" s="93"/>
      <c r="C455" s="94"/>
      <c r="D455" s="94"/>
      <c r="E455" s="93" t="s">
        <v>55</v>
      </c>
      <c r="F455" s="93" t="s">
        <v>56</v>
      </c>
      <c r="G455" s="93"/>
      <c r="H455" s="95"/>
      <c r="I455" s="93"/>
      <c r="J455" s="93"/>
      <c r="K455" s="93"/>
      <c r="L455" s="179"/>
      <c r="M455" s="92"/>
      <c r="N455" s="152" t="str">
        <f t="shared" ca="1" si="7"/>
        <v>Enter the number of homes on the 1_SetUp sheet</v>
      </c>
    </row>
    <row r="456" spans="1:14" ht="15" customHeight="1">
      <c r="A456" s="158">
        <v>452</v>
      </c>
      <c r="B456" s="93"/>
      <c r="C456" s="94"/>
      <c r="D456" s="94"/>
      <c r="E456" s="93" t="s">
        <v>55</v>
      </c>
      <c r="F456" s="93" t="s">
        <v>56</v>
      </c>
      <c r="G456" s="93"/>
      <c r="H456" s="95"/>
      <c r="I456" s="93"/>
      <c r="J456" s="93"/>
      <c r="K456" s="93"/>
      <c r="L456" s="179"/>
      <c r="M456" s="92"/>
      <c r="N456" s="152" t="str">
        <f t="shared" ca="1" si="7"/>
        <v>Enter the number of homes on the 1_SetUp sheet</v>
      </c>
    </row>
    <row r="457" spans="1:14" ht="15" customHeight="1">
      <c r="A457" s="158">
        <v>453</v>
      </c>
      <c r="B457" s="93"/>
      <c r="C457" s="94"/>
      <c r="D457" s="94"/>
      <c r="E457" s="93" t="s">
        <v>55</v>
      </c>
      <c r="F457" s="93" t="s">
        <v>56</v>
      </c>
      <c r="G457" s="93"/>
      <c r="H457" s="95"/>
      <c r="I457" s="93"/>
      <c r="J457" s="93"/>
      <c r="K457" s="93"/>
      <c r="L457" s="179"/>
      <c r="M457" s="92"/>
      <c r="N457" s="152" t="str">
        <f t="shared" ca="1" si="7"/>
        <v>Enter the number of homes on the 1_SetUp sheet</v>
      </c>
    </row>
    <row r="458" spans="1:14" ht="15" customHeight="1">
      <c r="A458" s="158">
        <v>454</v>
      </c>
      <c r="B458" s="93"/>
      <c r="C458" s="94"/>
      <c r="D458" s="94"/>
      <c r="E458" s="93" t="s">
        <v>55</v>
      </c>
      <c r="F458" s="93" t="s">
        <v>56</v>
      </c>
      <c r="G458" s="93"/>
      <c r="H458" s="95"/>
      <c r="I458" s="93"/>
      <c r="J458" s="93"/>
      <c r="K458" s="93"/>
      <c r="L458" s="179"/>
      <c r="M458" s="92"/>
      <c r="N458" s="152" t="str">
        <f t="shared" ca="1" si="7"/>
        <v>Enter the number of homes on the 1_SetUp sheet</v>
      </c>
    </row>
    <row r="459" spans="1:14" ht="15" customHeight="1">
      <c r="A459" s="158">
        <v>455</v>
      </c>
      <c r="B459" s="93"/>
      <c r="C459" s="94"/>
      <c r="D459" s="94"/>
      <c r="E459" s="93" t="s">
        <v>55</v>
      </c>
      <c r="F459" s="93" t="s">
        <v>56</v>
      </c>
      <c r="G459" s="93"/>
      <c r="H459" s="95"/>
      <c r="I459" s="93"/>
      <c r="J459" s="93"/>
      <c r="K459" s="93"/>
      <c r="L459" s="179"/>
      <c r="M459" s="92"/>
      <c r="N459" s="152" t="str">
        <f t="shared" ca="1" si="7"/>
        <v>Enter the number of homes on the 1_SetUp sheet</v>
      </c>
    </row>
    <row r="460" spans="1:14" ht="15" customHeight="1">
      <c r="A460" s="158">
        <v>456</v>
      </c>
      <c r="B460" s="93"/>
      <c r="C460" s="94"/>
      <c r="D460" s="94"/>
      <c r="E460" s="93" t="s">
        <v>55</v>
      </c>
      <c r="F460" s="93" t="s">
        <v>56</v>
      </c>
      <c r="G460" s="93"/>
      <c r="H460" s="95"/>
      <c r="I460" s="93"/>
      <c r="J460" s="93"/>
      <c r="K460" s="93"/>
      <c r="L460" s="179"/>
      <c r="M460" s="92"/>
      <c r="N460" s="152" t="str">
        <f t="shared" ca="1" si="7"/>
        <v>Enter the number of homes on the 1_SetUp sheet</v>
      </c>
    </row>
    <row r="461" spans="1:14" ht="15" customHeight="1">
      <c r="A461" s="158">
        <v>457</v>
      </c>
      <c r="B461" s="93"/>
      <c r="C461" s="94"/>
      <c r="D461" s="94"/>
      <c r="E461" s="93" t="s">
        <v>55</v>
      </c>
      <c r="F461" s="93" t="s">
        <v>56</v>
      </c>
      <c r="G461" s="93"/>
      <c r="H461" s="95"/>
      <c r="I461" s="93"/>
      <c r="J461" s="93"/>
      <c r="K461" s="93"/>
      <c r="L461" s="179"/>
      <c r="M461" s="92"/>
      <c r="N461" s="152" t="str">
        <f t="shared" ca="1" si="7"/>
        <v>Enter the number of homes on the 1_SetUp sheet</v>
      </c>
    </row>
    <row r="462" spans="1:14" ht="15" customHeight="1">
      <c r="A462" s="158">
        <v>458</v>
      </c>
      <c r="B462" s="93"/>
      <c r="C462" s="94"/>
      <c r="D462" s="94"/>
      <c r="E462" s="93" t="s">
        <v>55</v>
      </c>
      <c r="F462" s="93" t="s">
        <v>56</v>
      </c>
      <c r="G462" s="93"/>
      <c r="H462" s="95"/>
      <c r="I462" s="93"/>
      <c r="J462" s="93"/>
      <c r="K462" s="93"/>
      <c r="L462" s="179"/>
      <c r="M462" s="92"/>
      <c r="N462" s="152" t="str">
        <f t="shared" ca="1" si="7"/>
        <v>Enter the number of homes on the 1_SetUp sheet</v>
      </c>
    </row>
    <row r="463" spans="1:14" ht="15" customHeight="1">
      <c r="A463" s="158">
        <v>459</v>
      </c>
      <c r="B463" s="93"/>
      <c r="C463" s="94"/>
      <c r="D463" s="94"/>
      <c r="E463" s="93" t="s">
        <v>55</v>
      </c>
      <c r="F463" s="93" t="s">
        <v>56</v>
      </c>
      <c r="G463" s="93"/>
      <c r="H463" s="95"/>
      <c r="I463" s="93"/>
      <c r="J463" s="93"/>
      <c r="K463" s="93"/>
      <c r="L463" s="179"/>
      <c r="M463" s="92"/>
      <c r="N463" s="152" t="str">
        <f t="shared" ca="1" si="7"/>
        <v>Enter the number of homes on the 1_SetUp sheet</v>
      </c>
    </row>
    <row r="464" spans="1:14" ht="15" customHeight="1">
      <c r="A464" s="158">
        <v>460</v>
      </c>
      <c r="B464" s="93"/>
      <c r="C464" s="94"/>
      <c r="D464" s="94"/>
      <c r="E464" s="93" t="s">
        <v>55</v>
      </c>
      <c r="F464" s="93" t="s">
        <v>56</v>
      </c>
      <c r="G464" s="93"/>
      <c r="H464" s="95"/>
      <c r="I464" s="93"/>
      <c r="J464" s="93"/>
      <c r="K464" s="93"/>
      <c r="L464" s="179"/>
      <c r="M464" s="92"/>
      <c r="N464" s="152" t="str">
        <f t="shared" ca="1" si="7"/>
        <v>Enter the number of homes on the 1_SetUp sheet</v>
      </c>
    </row>
    <row r="465" spans="1:14" ht="15" customHeight="1">
      <c r="A465" s="158">
        <v>461</v>
      </c>
      <c r="B465" s="93"/>
      <c r="C465" s="94"/>
      <c r="D465" s="94"/>
      <c r="E465" s="93" t="s">
        <v>55</v>
      </c>
      <c r="F465" s="93" t="s">
        <v>56</v>
      </c>
      <c r="G465" s="93"/>
      <c r="H465" s="95"/>
      <c r="I465" s="93"/>
      <c r="J465" s="93"/>
      <c r="K465" s="93"/>
      <c r="L465" s="179"/>
      <c r="M465" s="92"/>
      <c r="N465" s="152" t="str">
        <f t="shared" ca="1" si="7"/>
        <v>Enter the number of homes on the 1_SetUp sheet</v>
      </c>
    </row>
    <row r="466" spans="1:14" ht="15" customHeight="1">
      <c r="A466" s="158">
        <v>462</v>
      </c>
      <c r="B466" s="93"/>
      <c r="C466" s="94"/>
      <c r="D466" s="94"/>
      <c r="E466" s="93" t="s">
        <v>55</v>
      </c>
      <c r="F466" s="93" t="s">
        <v>56</v>
      </c>
      <c r="G466" s="93"/>
      <c r="H466" s="95"/>
      <c r="I466" s="93"/>
      <c r="J466" s="93"/>
      <c r="K466" s="93"/>
      <c r="L466" s="179"/>
      <c r="M466" s="92"/>
      <c r="N466" s="152" t="str">
        <f t="shared" ca="1" si="7"/>
        <v>Enter the number of homes on the 1_SetUp sheet</v>
      </c>
    </row>
    <row r="467" spans="1:14" ht="15" customHeight="1">
      <c r="A467" s="158">
        <v>463</v>
      </c>
      <c r="B467" s="93"/>
      <c r="C467" s="94"/>
      <c r="D467" s="94"/>
      <c r="E467" s="93" t="s">
        <v>55</v>
      </c>
      <c r="F467" s="93" t="s">
        <v>56</v>
      </c>
      <c r="G467" s="93"/>
      <c r="H467" s="95"/>
      <c r="I467" s="93"/>
      <c r="J467" s="93"/>
      <c r="K467" s="93"/>
      <c r="L467" s="179"/>
      <c r="M467" s="92"/>
      <c r="N467" s="152" t="str">
        <f t="shared" ca="1" si="7"/>
        <v>Enter the number of homes on the 1_SetUp sheet</v>
      </c>
    </row>
    <row r="468" spans="1:14" ht="15" customHeight="1">
      <c r="A468" s="158">
        <v>464</v>
      </c>
      <c r="B468" s="93"/>
      <c r="C468" s="94"/>
      <c r="D468" s="94"/>
      <c r="E468" s="93" t="s">
        <v>55</v>
      </c>
      <c r="F468" s="93" t="s">
        <v>56</v>
      </c>
      <c r="G468" s="93"/>
      <c r="H468" s="95"/>
      <c r="I468" s="93"/>
      <c r="J468" s="93"/>
      <c r="K468" s="93"/>
      <c r="L468" s="179"/>
      <c r="M468" s="92"/>
      <c r="N468" s="152" t="str">
        <f t="shared" ca="1" si="7"/>
        <v>Enter the number of homes on the 1_SetUp sheet</v>
      </c>
    </row>
    <row r="469" spans="1:14" ht="15" customHeight="1">
      <c r="A469" s="158">
        <v>465</v>
      </c>
      <c r="B469" s="93"/>
      <c r="C469" s="94"/>
      <c r="D469" s="94"/>
      <c r="E469" s="93" t="s">
        <v>55</v>
      </c>
      <c r="F469" s="93" t="s">
        <v>56</v>
      </c>
      <c r="G469" s="93"/>
      <c r="H469" s="95"/>
      <c r="I469" s="93"/>
      <c r="J469" s="93"/>
      <c r="K469" s="93"/>
      <c r="L469" s="179"/>
      <c r="M469" s="92"/>
      <c r="N469" s="152" t="str">
        <f t="shared" ca="1" si="7"/>
        <v>Enter the number of homes on the 1_SetUp sheet</v>
      </c>
    </row>
    <row r="470" spans="1:14" ht="15" customHeight="1">
      <c r="A470" s="158">
        <v>466</v>
      </c>
      <c r="B470" s="93"/>
      <c r="C470" s="94"/>
      <c r="D470" s="94"/>
      <c r="E470" s="93" t="s">
        <v>55</v>
      </c>
      <c r="F470" s="93" t="s">
        <v>56</v>
      </c>
      <c r="G470" s="93"/>
      <c r="H470" s="95"/>
      <c r="I470" s="93"/>
      <c r="J470" s="93"/>
      <c r="K470" s="93"/>
      <c r="L470" s="179"/>
      <c r="M470" s="92"/>
      <c r="N470" s="152" t="str">
        <f t="shared" ca="1" si="7"/>
        <v>Enter the number of homes on the 1_SetUp sheet</v>
      </c>
    </row>
    <row r="471" spans="1:14" ht="15" customHeight="1">
      <c r="A471" s="158">
        <v>467</v>
      </c>
      <c r="B471" s="93"/>
      <c r="C471" s="94"/>
      <c r="D471" s="94"/>
      <c r="E471" s="93" t="s">
        <v>55</v>
      </c>
      <c r="F471" s="93" t="s">
        <v>56</v>
      </c>
      <c r="G471" s="93"/>
      <c r="H471" s="95"/>
      <c r="I471" s="93"/>
      <c r="J471" s="93"/>
      <c r="K471" s="93"/>
      <c r="L471" s="179"/>
      <c r="M471" s="92"/>
      <c r="N471" s="152" t="str">
        <f t="shared" ca="1" si="7"/>
        <v>Enter the number of homes on the 1_SetUp sheet</v>
      </c>
    </row>
    <row r="472" spans="1:14" ht="15" customHeight="1">
      <c r="A472" s="158">
        <v>468</v>
      </c>
      <c r="B472" s="93"/>
      <c r="C472" s="94"/>
      <c r="D472" s="94"/>
      <c r="E472" s="93" t="s">
        <v>55</v>
      </c>
      <c r="F472" s="93" t="s">
        <v>56</v>
      </c>
      <c r="G472" s="93"/>
      <c r="H472" s="95"/>
      <c r="I472" s="93"/>
      <c r="J472" s="93"/>
      <c r="K472" s="93"/>
      <c r="L472" s="179"/>
      <c r="M472" s="92"/>
      <c r="N472" s="152" t="str">
        <f t="shared" ca="1" si="7"/>
        <v>Enter the number of homes on the 1_SetUp sheet</v>
      </c>
    </row>
    <row r="473" spans="1:14" ht="15" customHeight="1">
      <c r="A473" s="158">
        <v>469</v>
      </c>
      <c r="B473" s="93"/>
      <c r="C473" s="94"/>
      <c r="D473" s="94"/>
      <c r="E473" s="93" t="s">
        <v>55</v>
      </c>
      <c r="F473" s="93" t="s">
        <v>56</v>
      </c>
      <c r="G473" s="93"/>
      <c r="H473" s="95"/>
      <c r="I473" s="93"/>
      <c r="J473" s="93"/>
      <c r="K473" s="93"/>
      <c r="L473" s="179"/>
      <c r="M473" s="92"/>
      <c r="N473" s="152" t="str">
        <f t="shared" ca="1" si="7"/>
        <v>Enter the number of homes on the 1_SetUp sheet</v>
      </c>
    </row>
    <row r="474" spans="1:14" ht="15" customHeight="1">
      <c r="A474" s="158">
        <v>470</v>
      </c>
      <c r="B474" s="93"/>
      <c r="C474" s="94"/>
      <c r="D474" s="94"/>
      <c r="E474" s="93" t="s">
        <v>55</v>
      </c>
      <c r="F474" s="93" t="s">
        <v>56</v>
      </c>
      <c r="G474" s="93"/>
      <c r="H474" s="95"/>
      <c r="I474" s="93"/>
      <c r="J474" s="93"/>
      <c r="K474" s="93"/>
      <c r="L474" s="179"/>
      <c r="M474" s="92"/>
      <c r="N474" s="152" t="str">
        <f t="shared" ca="1" si="7"/>
        <v>Enter the number of homes on the 1_SetUp sheet</v>
      </c>
    </row>
    <row r="475" spans="1:14" ht="15" customHeight="1">
      <c r="A475" s="158">
        <v>471</v>
      </c>
      <c r="B475" s="93"/>
      <c r="C475" s="94"/>
      <c r="D475" s="94"/>
      <c r="E475" s="93" t="s">
        <v>55</v>
      </c>
      <c r="F475" s="93" t="s">
        <v>56</v>
      </c>
      <c r="G475" s="93"/>
      <c r="H475" s="95"/>
      <c r="I475" s="93"/>
      <c r="J475" s="93"/>
      <c r="K475" s="93"/>
      <c r="L475" s="179"/>
      <c r="M475" s="92"/>
      <c r="N475" s="152" t="str">
        <f t="shared" ca="1" si="7"/>
        <v>Enter the number of homes on the 1_SetUp sheet</v>
      </c>
    </row>
    <row r="476" spans="1:14" ht="15" customHeight="1">
      <c r="A476" s="158">
        <v>472</v>
      </c>
      <c r="B476" s="93"/>
      <c r="C476" s="94"/>
      <c r="D476" s="94"/>
      <c r="E476" s="93" t="s">
        <v>55</v>
      </c>
      <c r="F476" s="93" t="s">
        <v>56</v>
      </c>
      <c r="G476" s="93"/>
      <c r="H476" s="95"/>
      <c r="I476" s="93"/>
      <c r="J476" s="93"/>
      <c r="K476" s="93"/>
      <c r="L476" s="179"/>
      <c r="M476" s="92"/>
      <c r="N476" s="152" t="str">
        <f t="shared" ca="1" si="7"/>
        <v>Enter the number of homes on the 1_SetUp sheet</v>
      </c>
    </row>
    <row r="477" spans="1:14" ht="15" customHeight="1">
      <c r="A477" s="158">
        <v>473</v>
      </c>
      <c r="B477" s="93"/>
      <c r="C477" s="94"/>
      <c r="D477" s="94"/>
      <c r="E477" s="93" t="s">
        <v>55</v>
      </c>
      <c r="F477" s="93" t="s">
        <v>56</v>
      </c>
      <c r="G477" s="93"/>
      <c r="H477" s="95"/>
      <c r="I477" s="93"/>
      <c r="J477" s="93"/>
      <c r="K477" s="93"/>
      <c r="L477" s="179"/>
      <c r="M477" s="92"/>
      <c r="N477" s="152" t="str">
        <f t="shared" ca="1" si="7"/>
        <v>Enter the number of homes on the 1_SetUp sheet</v>
      </c>
    </row>
    <row r="478" spans="1:14" ht="15" customHeight="1">
      <c r="A478" s="158">
        <v>474</v>
      </c>
      <c r="B478" s="93"/>
      <c r="C478" s="94"/>
      <c r="D478" s="94"/>
      <c r="E478" s="93" t="s">
        <v>55</v>
      </c>
      <c r="F478" s="93" t="s">
        <v>56</v>
      </c>
      <c r="G478" s="93"/>
      <c r="H478" s="95"/>
      <c r="I478" s="93"/>
      <c r="J478" s="93"/>
      <c r="K478" s="93"/>
      <c r="L478" s="179"/>
      <c r="M478" s="92"/>
      <c r="N478" s="152" t="str">
        <f t="shared" ca="1" si="7"/>
        <v>Enter the number of homes on the 1_SetUp sheet</v>
      </c>
    </row>
    <row r="479" spans="1:14" ht="15" customHeight="1">
      <c r="A479" s="158">
        <v>475</v>
      </c>
      <c r="B479" s="93"/>
      <c r="C479" s="94"/>
      <c r="D479" s="94"/>
      <c r="E479" s="93" t="s">
        <v>55</v>
      </c>
      <c r="F479" s="93" t="s">
        <v>56</v>
      </c>
      <c r="G479" s="93"/>
      <c r="H479" s="95"/>
      <c r="I479" s="93"/>
      <c r="J479" s="93"/>
      <c r="K479" s="93"/>
      <c r="L479" s="179"/>
      <c r="M479" s="92"/>
      <c r="N479" s="152" t="str">
        <f t="shared" ca="1" si="7"/>
        <v>Enter the number of homes on the 1_SetUp sheet</v>
      </c>
    </row>
    <row r="480" spans="1:14" ht="15" customHeight="1">
      <c r="A480" s="158">
        <v>476</v>
      </c>
      <c r="B480" s="93"/>
      <c r="C480" s="94"/>
      <c r="D480" s="94"/>
      <c r="E480" s="93" t="s">
        <v>55</v>
      </c>
      <c r="F480" s="93" t="s">
        <v>56</v>
      </c>
      <c r="G480" s="93"/>
      <c r="H480" s="95"/>
      <c r="I480" s="93"/>
      <c r="J480" s="93"/>
      <c r="K480" s="93"/>
      <c r="L480" s="179"/>
      <c r="M480" s="92"/>
      <c r="N480" s="152" t="str">
        <f t="shared" ca="1" si="7"/>
        <v>Enter the number of homes on the 1_SetUp sheet</v>
      </c>
    </row>
    <row r="481" spans="1:14" ht="15" customHeight="1">
      <c r="A481" s="158">
        <v>477</v>
      </c>
      <c r="B481" s="93"/>
      <c r="C481" s="94"/>
      <c r="D481" s="94"/>
      <c r="E481" s="93" t="s">
        <v>55</v>
      </c>
      <c r="F481" s="93" t="s">
        <v>56</v>
      </c>
      <c r="G481" s="93"/>
      <c r="H481" s="95"/>
      <c r="I481" s="93"/>
      <c r="J481" s="93"/>
      <c r="K481" s="93"/>
      <c r="L481" s="179"/>
      <c r="M481" s="92"/>
      <c r="N481" s="152" t="str">
        <f t="shared" ca="1" si="7"/>
        <v>Enter the number of homes on the 1_SetUp sheet</v>
      </c>
    </row>
    <row r="482" spans="1:14" ht="15" customHeight="1">
      <c r="A482" s="158">
        <v>478</v>
      </c>
      <c r="B482" s="93"/>
      <c r="C482" s="94"/>
      <c r="D482" s="94"/>
      <c r="E482" s="93" t="s">
        <v>55</v>
      </c>
      <c r="F482" s="93" t="s">
        <v>56</v>
      </c>
      <c r="G482" s="93"/>
      <c r="H482" s="95"/>
      <c r="I482" s="93"/>
      <c r="J482" s="93"/>
      <c r="K482" s="93"/>
      <c r="L482" s="179"/>
      <c r="M482" s="92"/>
      <c r="N482" s="152" t="str">
        <f t="shared" ca="1" si="7"/>
        <v>Enter the number of homes on the 1_SetUp sheet</v>
      </c>
    </row>
    <row r="483" spans="1:14" ht="15" customHeight="1">
      <c r="A483" s="158">
        <v>479</v>
      </c>
      <c r="B483" s="93"/>
      <c r="C483" s="94"/>
      <c r="D483" s="94"/>
      <c r="E483" s="93" t="s">
        <v>55</v>
      </c>
      <c r="F483" s="93" t="s">
        <v>56</v>
      </c>
      <c r="G483" s="93"/>
      <c r="H483" s="95"/>
      <c r="I483" s="93"/>
      <c r="J483" s="93"/>
      <c r="K483" s="93"/>
      <c r="L483" s="179"/>
      <c r="M483" s="92"/>
      <c r="N483" s="152" t="str">
        <f t="shared" ca="1" si="7"/>
        <v>Enter the number of homes on the 1_SetUp sheet</v>
      </c>
    </row>
    <row r="484" spans="1:14" ht="15" customHeight="1">
      <c r="A484" s="158">
        <v>480</v>
      </c>
      <c r="B484" s="93"/>
      <c r="C484" s="94"/>
      <c r="D484" s="94"/>
      <c r="E484" s="93" t="s">
        <v>55</v>
      </c>
      <c r="F484" s="93" t="s">
        <v>56</v>
      </c>
      <c r="G484" s="93"/>
      <c r="H484" s="95"/>
      <c r="I484" s="93"/>
      <c r="J484" s="93"/>
      <c r="K484" s="93"/>
      <c r="L484" s="179"/>
      <c r="M484" s="92"/>
      <c r="N484" s="152" t="str">
        <f t="shared" ca="1" si="7"/>
        <v>Enter the number of homes on the 1_SetUp sheet</v>
      </c>
    </row>
    <row r="485" spans="1:14" ht="15" customHeight="1">
      <c r="A485" s="158">
        <v>481</v>
      </c>
      <c r="B485" s="93"/>
      <c r="C485" s="94"/>
      <c r="D485" s="94"/>
      <c r="E485" s="93" t="s">
        <v>55</v>
      </c>
      <c r="F485" s="93" t="s">
        <v>56</v>
      </c>
      <c r="G485" s="93"/>
      <c r="H485" s="95"/>
      <c r="I485" s="93"/>
      <c r="J485" s="93"/>
      <c r="K485" s="93"/>
      <c r="L485" s="179"/>
      <c r="M485" s="92"/>
      <c r="N485" s="152" t="str">
        <f t="shared" ca="1" si="7"/>
        <v>Enter the number of homes on the 1_SetUp sheet</v>
      </c>
    </row>
    <row r="486" spans="1:14" ht="15" customHeight="1">
      <c r="A486" s="158">
        <v>482</v>
      </c>
      <c r="B486" s="93"/>
      <c r="C486" s="94"/>
      <c r="D486" s="94"/>
      <c r="E486" s="93" t="s">
        <v>55</v>
      </c>
      <c r="F486" s="93" t="s">
        <v>56</v>
      </c>
      <c r="G486" s="93"/>
      <c r="H486" s="95"/>
      <c r="I486" s="93"/>
      <c r="J486" s="93"/>
      <c r="K486" s="93"/>
      <c r="L486" s="179"/>
      <c r="M486" s="92"/>
      <c r="N486" s="152" t="str">
        <f t="shared" ca="1" si="7"/>
        <v>Enter the number of homes on the 1_SetUp sheet</v>
      </c>
    </row>
    <row r="487" spans="1:14" ht="15" customHeight="1">
      <c r="A487" s="158">
        <v>483</v>
      </c>
      <c r="B487" s="93"/>
      <c r="C487" s="94"/>
      <c r="D487" s="94"/>
      <c r="E487" s="93" t="s">
        <v>55</v>
      </c>
      <c r="F487" s="93" t="s">
        <v>56</v>
      </c>
      <c r="G487" s="93"/>
      <c r="H487" s="95"/>
      <c r="I487" s="93"/>
      <c r="J487" s="93"/>
      <c r="K487" s="93"/>
      <c r="L487" s="179"/>
      <c r="M487" s="92"/>
      <c r="N487" s="152" t="str">
        <f t="shared" ca="1" si="7"/>
        <v>Enter the number of homes on the 1_SetUp sheet</v>
      </c>
    </row>
    <row r="488" spans="1:14" ht="15" customHeight="1">
      <c r="A488" s="158">
        <v>484</v>
      </c>
      <c r="B488" s="93"/>
      <c r="C488" s="94"/>
      <c r="D488" s="94"/>
      <c r="E488" s="93" t="s">
        <v>55</v>
      </c>
      <c r="F488" s="93" t="s">
        <v>56</v>
      </c>
      <c r="G488" s="93"/>
      <c r="H488" s="95"/>
      <c r="I488" s="93"/>
      <c r="J488" s="93"/>
      <c r="K488" s="93"/>
      <c r="L488" s="179"/>
      <c r="M488" s="92"/>
      <c r="N488" s="152" t="str">
        <f t="shared" ca="1" si="7"/>
        <v>Enter the number of homes on the 1_SetUp sheet</v>
      </c>
    </row>
    <row r="489" spans="1:14" ht="15" customHeight="1">
      <c r="A489" s="158">
        <v>485</v>
      </c>
      <c r="B489" s="93"/>
      <c r="C489" s="94"/>
      <c r="D489" s="94"/>
      <c r="E489" s="93" t="s">
        <v>55</v>
      </c>
      <c r="F489" s="93" t="s">
        <v>56</v>
      </c>
      <c r="G489" s="93"/>
      <c r="H489" s="95"/>
      <c r="I489" s="93"/>
      <c r="J489" s="93"/>
      <c r="K489" s="93"/>
      <c r="L489" s="179"/>
      <c r="M489" s="92"/>
      <c r="N489" s="152" t="str">
        <f t="shared" ca="1" si="7"/>
        <v>Enter the number of homes on the 1_SetUp sheet</v>
      </c>
    </row>
    <row r="490" spans="1:14" ht="15" customHeight="1">
      <c r="A490" s="158">
        <v>486</v>
      </c>
      <c r="B490" s="93"/>
      <c r="C490" s="94"/>
      <c r="D490" s="94"/>
      <c r="E490" s="93" t="s">
        <v>55</v>
      </c>
      <c r="F490" s="93" t="s">
        <v>56</v>
      </c>
      <c r="G490" s="93"/>
      <c r="H490" s="95"/>
      <c r="I490" s="93"/>
      <c r="J490" s="93"/>
      <c r="K490" s="93"/>
      <c r="L490" s="179"/>
      <c r="M490" s="92"/>
      <c r="N490" s="152" t="str">
        <f t="shared" ca="1" si="7"/>
        <v>Enter the number of homes on the 1_SetUp sheet</v>
      </c>
    </row>
    <row r="491" spans="1:14" ht="15" customHeight="1">
      <c r="A491" s="158">
        <v>487</v>
      </c>
      <c r="B491" s="93"/>
      <c r="C491" s="94"/>
      <c r="D491" s="94"/>
      <c r="E491" s="93" t="s">
        <v>55</v>
      </c>
      <c r="F491" s="93" t="s">
        <v>56</v>
      </c>
      <c r="G491" s="93"/>
      <c r="H491" s="95"/>
      <c r="I491" s="93"/>
      <c r="J491" s="93"/>
      <c r="K491" s="93"/>
      <c r="L491" s="179"/>
      <c r="M491" s="92"/>
      <c r="N491" s="152" t="str">
        <f t="shared" ca="1" si="7"/>
        <v>Enter the number of homes on the 1_SetUp sheet</v>
      </c>
    </row>
    <row r="492" spans="1:14" ht="15" customHeight="1">
      <c r="A492" s="158">
        <v>488</v>
      </c>
      <c r="B492" s="93"/>
      <c r="C492" s="94"/>
      <c r="D492" s="94"/>
      <c r="E492" s="93" t="s">
        <v>55</v>
      </c>
      <c r="F492" s="93" t="s">
        <v>56</v>
      </c>
      <c r="G492" s="93"/>
      <c r="H492" s="95"/>
      <c r="I492" s="93"/>
      <c r="J492" s="93"/>
      <c r="K492" s="93"/>
      <c r="L492" s="179"/>
      <c r="M492" s="92"/>
      <c r="N492" s="152" t="str">
        <f t="shared" ca="1" si="7"/>
        <v>Enter the number of homes on the 1_SetUp sheet</v>
      </c>
    </row>
    <row r="493" spans="1:14" ht="15" customHeight="1">
      <c r="A493" s="158">
        <v>489</v>
      </c>
      <c r="B493" s="93"/>
      <c r="C493" s="94"/>
      <c r="D493" s="94"/>
      <c r="E493" s="93" t="s">
        <v>55</v>
      </c>
      <c r="F493" s="93" t="s">
        <v>56</v>
      </c>
      <c r="G493" s="93"/>
      <c r="H493" s="95"/>
      <c r="I493" s="93"/>
      <c r="J493" s="93"/>
      <c r="K493" s="93"/>
      <c r="L493" s="179"/>
      <c r="M493" s="92"/>
      <c r="N493" s="152" t="str">
        <f t="shared" ca="1" si="7"/>
        <v>Enter the number of homes on the 1_SetUp sheet</v>
      </c>
    </row>
    <row r="494" spans="1:14" ht="15" customHeight="1">
      <c r="A494" s="158">
        <v>490</v>
      </c>
      <c r="B494" s="93"/>
      <c r="C494" s="94"/>
      <c r="D494" s="94"/>
      <c r="E494" s="93" t="s">
        <v>55</v>
      </c>
      <c r="F494" s="93" t="s">
        <v>56</v>
      </c>
      <c r="G494" s="93"/>
      <c r="H494" s="95"/>
      <c r="I494" s="93"/>
      <c r="J494" s="93"/>
      <c r="K494" s="93"/>
      <c r="L494" s="179"/>
      <c r="M494" s="92"/>
      <c r="N494" s="152" t="str">
        <f t="shared" ca="1" si="7"/>
        <v>Enter the number of homes on the 1_SetUp sheet</v>
      </c>
    </row>
    <row r="495" spans="1:14" ht="15" customHeight="1">
      <c r="A495" s="158">
        <v>491</v>
      </c>
      <c r="B495" s="93"/>
      <c r="C495" s="94"/>
      <c r="D495" s="94"/>
      <c r="E495" s="93" t="s">
        <v>55</v>
      </c>
      <c r="F495" s="93" t="s">
        <v>56</v>
      </c>
      <c r="G495" s="93"/>
      <c r="H495" s="95"/>
      <c r="I495" s="93"/>
      <c r="J495" s="93"/>
      <c r="K495" s="93"/>
      <c r="L495" s="179"/>
      <c r="M495" s="92"/>
      <c r="N495" s="152" t="str">
        <f t="shared" ca="1" si="7"/>
        <v>Enter the number of homes on the 1_SetUp sheet</v>
      </c>
    </row>
    <row r="496" spans="1:14" ht="15" customHeight="1">
      <c r="A496" s="158">
        <v>492</v>
      </c>
      <c r="B496" s="93"/>
      <c r="C496" s="94"/>
      <c r="D496" s="94"/>
      <c r="E496" s="93" t="s">
        <v>55</v>
      </c>
      <c r="F496" s="93" t="s">
        <v>56</v>
      </c>
      <c r="G496" s="93"/>
      <c r="H496" s="95"/>
      <c r="I496" s="93"/>
      <c r="J496" s="93"/>
      <c r="K496" s="93"/>
      <c r="L496" s="179"/>
      <c r="M496" s="92"/>
      <c r="N496" s="152" t="str">
        <f t="shared" ca="1" si="7"/>
        <v>Enter the number of homes on the 1_SetUp sheet</v>
      </c>
    </row>
    <row r="497" spans="1:14" ht="15" customHeight="1">
      <c r="A497" s="158">
        <v>493</v>
      </c>
      <c r="B497" s="93"/>
      <c r="C497" s="94"/>
      <c r="D497" s="94"/>
      <c r="E497" s="93" t="s">
        <v>55</v>
      </c>
      <c r="F497" s="93" t="s">
        <v>56</v>
      </c>
      <c r="G497" s="93"/>
      <c r="H497" s="95"/>
      <c r="I497" s="93"/>
      <c r="J497" s="93"/>
      <c r="K497" s="93"/>
      <c r="L497" s="179"/>
      <c r="M497" s="92"/>
      <c r="N497" s="152" t="str">
        <f t="shared" ca="1" si="7"/>
        <v>Enter the number of homes on the 1_SetUp sheet</v>
      </c>
    </row>
    <row r="498" spans="1:14" ht="15" customHeight="1">
      <c r="A498" s="158">
        <v>494</v>
      </c>
      <c r="B498" s="93"/>
      <c r="C498" s="94"/>
      <c r="D498" s="94"/>
      <c r="E498" s="93" t="s">
        <v>55</v>
      </c>
      <c r="F498" s="93" t="s">
        <v>56</v>
      </c>
      <c r="G498" s="93"/>
      <c r="H498" s="95"/>
      <c r="I498" s="93"/>
      <c r="J498" s="93"/>
      <c r="K498" s="93"/>
      <c r="L498" s="179"/>
      <c r="M498" s="92"/>
      <c r="N498" s="152" t="str">
        <f t="shared" ca="1" si="7"/>
        <v>Enter the number of homes on the 1_SetUp sheet</v>
      </c>
    </row>
    <row r="499" spans="1:14" ht="15" customHeight="1">
      <c r="A499" s="158">
        <v>495</v>
      </c>
      <c r="B499" s="93"/>
      <c r="C499" s="94"/>
      <c r="D499" s="94"/>
      <c r="E499" s="93" t="s">
        <v>55</v>
      </c>
      <c r="F499" s="93" t="s">
        <v>56</v>
      </c>
      <c r="G499" s="93"/>
      <c r="H499" s="95"/>
      <c r="I499" s="93"/>
      <c r="J499" s="93"/>
      <c r="K499" s="93"/>
      <c r="L499" s="179"/>
      <c r="M499" s="92"/>
      <c r="N499" s="152" t="str">
        <f t="shared" ca="1" si="7"/>
        <v>Enter the number of homes on the 1_SetUp sheet</v>
      </c>
    </row>
    <row r="500" spans="1:14" ht="15" customHeight="1">
      <c r="A500" s="158">
        <v>496</v>
      </c>
      <c r="B500" s="93"/>
      <c r="C500" s="94"/>
      <c r="D500" s="94"/>
      <c r="E500" s="93" t="s">
        <v>55</v>
      </c>
      <c r="F500" s="93" t="s">
        <v>56</v>
      </c>
      <c r="G500" s="93"/>
      <c r="H500" s="95"/>
      <c r="I500" s="93"/>
      <c r="J500" s="93"/>
      <c r="K500" s="93"/>
      <c r="L500" s="179"/>
      <c r="M500" s="92"/>
      <c r="N500" s="152" t="str">
        <f t="shared" ca="1" si="7"/>
        <v>Enter the number of homes on the 1_SetUp sheet</v>
      </c>
    </row>
    <row r="501" spans="1:14" ht="15" customHeight="1">
      <c r="A501" s="158">
        <v>497</v>
      </c>
      <c r="B501" s="93"/>
      <c r="C501" s="94"/>
      <c r="D501" s="94"/>
      <c r="E501" s="93" t="s">
        <v>55</v>
      </c>
      <c r="F501" s="93" t="s">
        <v>56</v>
      </c>
      <c r="G501" s="93"/>
      <c r="H501" s="95"/>
      <c r="I501" s="93"/>
      <c r="J501" s="93"/>
      <c r="K501" s="93"/>
      <c r="L501" s="179"/>
      <c r="M501" s="92"/>
      <c r="N501" s="152" t="str">
        <f t="shared" ca="1" si="7"/>
        <v>Enter the number of homes on the 1_SetUp sheet</v>
      </c>
    </row>
    <row r="502" spans="1:14" ht="15" customHeight="1">
      <c r="A502" s="158">
        <v>498</v>
      </c>
      <c r="B502" s="93"/>
      <c r="C502" s="94"/>
      <c r="D502" s="94"/>
      <c r="E502" s="93" t="s">
        <v>55</v>
      </c>
      <c r="F502" s="93" t="s">
        <v>56</v>
      </c>
      <c r="G502" s="93"/>
      <c r="H502" s="95"/>
      <c r="I502" s="93"/>
      <c r="J502" s="93"/>
      <c r="K502" s="93"/>
      <c r="L502" s="179"/>
      <c r="M502" s="92"/>
      <c r="N502" s="152" t="str">
        <f t="shared" ca="1" si="7"/>
        <v>Enter the number of homes on the 1_SetUp sheet</v>
      </c>
    </row>
    <row r="503" spans="1:14" ht="15" customHeight="1">
      <c r="A503" s="158">
        <v>499</v>
      </c>
      <c r="B503" s="93"/>
      <c r="C503" s="94"/>
      <c r="D503" s="94"/>
      <c r="E503" s="93" t="s">
        <v>55</v>
      </c>
      <c r="F503" s="93" t="s">
        <v>56</v>
      </c>
      <c r="G503" s="93"/>
      <c r="H503" s="95"/>
      <c r="I503" s="93"/>
      <c r="J503" s="93"/>
      <c r="K503" s="93"/>
      <c r="L503" s="179"/>
      <c r="M503" s="92"/>
      <c r="N503" s="152" t="str">
        <f t="shared" ca="1" si="7"/>
        <v>Enter the number of homes on the 1_SetUp sheet</v>
      </c>
    </row>
    <row r="504" spans="1:14" ht="15" customHeight="1">
      <c r="A504" s="158">
        <v>500</v>
      </c>
      <c r="B504" s="93"/>
      <c r="C504" s="94"/>
      <c r="D504" s="94"/>
      <c r="E504" s="93" t="s">
        <v>55</v>
      </c>
      <c r="F504" s="93" t="s">
        <v>56</v>
      </c>
      <c r="G504" s="93"/>
      <c r="H504" s="95"/>
      <c r="I504" s="93"/>
      <c r="J504" s="93"/>
      <c r="K504" s="93"/>
      <c r="L504" s="179"/>
      <c r="M504" s="92"/>
      <c r="N504" s="152" t="str">
        <f t="shared" ca="1" si="7"/>
        <v>Enter the number of homes on the 1_SetUp sheet</v>
      </c>
    </row>
    <row r="505" spans="1:14" ht="15" customHeight="1">
      <c r="A505" s="158">
        <v>501</v>
      </c>
      <c r="B505" s="93"/>
      <c r="C505" s="94"/>
      <c r="D505" s="94"/>
      <c r="E505" s="93" t="s">
        <v>55</v>
      </c>
      <c r="F505" s="93" t="s">
        <v>56</v>
      </c>
      <c r="G505" s="93"/>
      <c r="H505" s="95"/>
      <c r="I505" s="93"/>
      <c r="J505" s="93"/>
      <c r="K505" s="93"/>
      <c r="L505" s="179"/>
      <c r="M505" s="92"/>
      <c r="N505" s="152" t="str">
        <f t="shared" ca="1" si="7"/>
        <v>Enter the number of homes on the 1_SetUp sheet</v>
      </c>
    </row>
    <row r="506" spans="1:14" ht="15" customHeight="1">
      <c r="A506" s="158">
        <v>502</v>
      </c>
      <c r="B506" s="93"/>
      <c r="C506" s="94"/>
      <c r="D506" s="94"/>
      <c r="E506" s="93" t="s">
        <v>55</v>
      </c>
      <c r="F506" s="93" t="s">
        <v>56</v>
      </c>
      <c r="G506" s="93"/>
      <c r="H506" s="95"/>
      <c r="I506" s="93"/>
      <c r="J506" s="93"/>
      <c r="K506" s="93"/>
      <c r="L506" s="179"/>
      <c r="M506" s="92"/>
      <c r="N506" s="152" t="str">
        <f t="shared" ca="1" si="7"/>
        <v>Enter the number of homes on the 1_SetUp sheet</v>
      </c>
    </row>
    <row r="507" spans="1:14" ht="15" customHeight="1">
      <c r="A507" s="158">
        <v>503</v>
      </c>
      <c r="B507" s="93"/>
      <c r="C507" s="94"/>
      <c r="D507" s="94"/>
      <c r="E507" s="93" t="s">
        <v>55</v>
      </c>
      <c r="F507" s="93" t="s">
        <v>56</v>
      </c>
      <c r="G507" s="93"/>
      <c r="H507" s="95"/>
      <c r="I507" s="93"/>
      <c r="J507" s="93"/>
      <c r="K507" s="93"/>
      <c r="L507" s="179"/>
      <c r="M507" s="92"/>
      <c r="N507" s="152" t="str">
        <f t="shared" ca="1" si="7"/>
        <v>Enter the number of homes on the 1_SetUp sheet</v>
      </c>
    </row>
    <row r="508" spans="1:14" ht="15" customHeight="1">
      <c r="A508" s="158">
        <v>504</v>
      </c>
      <c r="B508" s="93"/>
      <c r="C508" s="94"/>
      <c r="D508" s="94"/>
      <c r="E508" s="93" t="s">
        <v>55</v>
      </c>
      <c r="F508" s="93" t="s">
        <v>56</v>
      </c>
      <c r="G508" s="93"/>
      <c r="H508" s="95"/>
      <c r="I508" s="93"/>
      <c r="J508" s="93"/>
      <c r="K508" s="93"/>
      <c r="L508" s="179"/>
      <c r="M508" s="92"/>
      <c r="N508" s="152" t="str">
        <f t="shared" ca="1" si="7"/>
        <v>Enter the number of homes on the 1_SetUp sheet</v>
      </c>
    </row>
    <row r="509" spans="1:14" ht="15" customHeight="1">
      <c r="A509" s="158">
        <v>505</v>
      </c>
      <c r="B509" s="93"/>
      <c r="C509" s="94"/>
      <c r="D509" s="94"/>
      <c r="E509" s="93" t="s">
        <v>55</v>
      </c>
      <c r="F509" s="93" t="s">
        <v>56</v>
      </c>
      <c r="G509" s="93"/>
      <c r="H509" s="95"/>
      <c r="I509" s="93"/>
      <c r="J509" s="93"/>
      <c r="K509" s="93"/>
      <c r="L509" s="179"/>
      <c r="M509" s="92"/>
      <c r="N509" s="152" t="str">
        <f t="shared" ca="1" si="7"/>
        <v>Enter the number of homes on the 1_SetUp sheet</v>
      </c>
    </row>
    <row r="510" spans="1:14" ht="15" customHeight="1">
      <c r="A510" s="158">
        <v>506</v>
      </c>
      <c r="B510" s="93"/>
      <c r="C510" s="94"/>
      <c r="D510" s="94"/>
      <c r="E510" s="93" t="s">
        <v>55</v>
      </c>
      <c r="F510" s="93" t="s">
        <v>56</v>
      </c>
      <c r="G510" s="93"/>
      <c r="H510" s="95"/>
      <c r="I510" s="93"/>
      <c r="J510" s="93"/>
      <c r="K510" s="93"/>
      <c r="L510" s="179"/>
      <c r="M510" s="92"/>
      <c r="N510" s="152" t="str">
        <f t="shared" ca="1" si="7"/>
        <v>Enter the number of homes on the 1_SetUp sheet</v>
      </c>
    </row>
    <row r="511" spans="1:14" ht="15" customHeight="1">
      <c r="A511" s="158">
        <v>507</v>
      </c>
      <c r="B511" s="93"/>
      <c r="C511" s="94"/>
      <c r="D511" s="94"/>
      <c r="E511" s="93" t="s">
        <v>55</v>
      </c>
      <c r="F511" s="93" t="s">
        <v>56</v>
      </c>
      <c r="G511" s="93"/>
      <c r="H511" s="95"/>
      <c r="I511" s="93"/>
      <c r="J511" s="93"/>
      <c r="K511" s="93"/>
      <c r="L511" s="179"/>
      <c r="M511" s="92"/>
      <c r="N511" s="152" t="str">
        <f t="shared" ca="1" si="7"/>
        <v>Enter the number of homes on the 1_SetUp sheet</v>
      </c>
    </row>
    <row r="512" spans="1:14" ht="15" customHeight="1">
      <c r="A512" s="158">
        <v>508</v>
      </c>
      <c r="B512" s="93"/>
      <c r="C512" s="94"/>
      <c r="D512" s="94"/>
      <c r="E512" s="93" t="s">
        <v>55</v>
      </c>
      <c r="F512" s="93" t="s">
        <v>56</v>
      </c>
      <c r="G512" s="93"/>
      <c r="H512" s="95"/>
      <c r="I512" s="93"/>
      <c r="J512" s="93"/>
      <c r="K512" s="93"/>
      <c r="L512" s="179"/>
      <c r="M512" s="92"/>
      <c r="N512" s="152" t="str">
        <f t="shared" ca="1" si="7"/>
        <v>Enter the number of homes on the 1_SetUp sheet</v>
      </c>
    </row>
    <row r="513" spans="1:14" ht="15" customHeight="1">
      <c r="A513" s="158">
        <v>509</v>
      </c>
      <c r="B513" s="93"/>
      <c r="C513" s="94"/>
      <c r="D513" s="94"/>
      <c r="E513" s="93" t="s">
        <v>55</v>
      </c>
      <c r="F513" s="93" t="s">
        <v>56</v>
      </c>
      <c r="G513" s="93"/>
      <c r="H513" s="95"/>
      <c r="I513" s="93"/>
      <c r="J513" s="93"/>
      <c r="K513" s="93"/>
      <c r="L513" s="179"/>
      <c r="M513" s="92"/>
      <c r="N513" s="152" t="str">
        <f t="shared" ca="1" si="7"/>
        <v>Enter the number of homes on the 1_SetUp sheet</v>
      </c>
    </row>
    <row r="514" spans="1:14" ht="15" customHeight="1">
      <c r="A514" s="158">
        <v>510</v>
      </c>
      <c r="B514" s="93"/>
      <c r="C514" s="94"/>
      <c r="D514" s="94"/>
      <c r="E514" s="93" t="s">
        <v>55</v>
      </c>
      <c r="F514" s="93" t="s">
        <v>56</v>
      </c>
      <c r="G514" s="93"/>
      <c r="H514" s="95"/>
      <c r="I514" s="93"/>
      <c r="J514" s="93"/>
      <c r="K514" s="93"/>
      <c r="L514" s="179"/>
      <c r="M514" s="92"/>
      <c r="N514" s="152" t="str">
        <f t="shared" ca="1" si="7"/>
        <v>Enter the number of homes on the 1_SetUp sheet</v>
      </c>
    </row>
    <row r="515" spans="1:14" ht="15" customHeight="1">
      <c r="A515" s="158">
        <v>511</v>
      </c>
      <c r="B515" s="93"/>
      <c r="C515" s="94"/>
      <c r="D515" s="94"/>
      <c r="E515" s="93" t="s">
        <v>55</v>
      </c>
      <c r="F515" s="93" t="s">
        <v>56</v>
      </c>
      <c r="G515" s="93"/>
      <c r="H515" s="95"/>
      <c r="I515" s="93"/>
      <c r="J515" s="93"/>
      <c r="K515" s="93"/>
      <c r="L515" s="179"/>
      <c r="M515" s="92"/>
      <c r="N515" s="152" t="str">
        <f t="shared" ca="1" si="7"/>
        <v>Enter the number of homes on the 1_SetUp sheet</v>
      </c>
    </row>
    <row r="516" spans="1:14" ht="15" customHeight="1">
      <c r="A516" s="158">
        <v>512</v>
      </c>
      <c r="B516" s="93"/>
      <c r="C516" s="94"/>
      <c r="D516" s="94"/>
      <c r="E516" s="93" t="s">
        <v>55</v>
      </c>
      <c r="F516" s="93" t="s">
        <v>56</v>
      </c>
      <c r="G516" s="93"/>
      <c r="H516" s="95"/>
      <c r="I516" s="93"/>
      <c r="J516" s="93"/>
      <c r="K516" s="93"/>
      <c r="L516" s="179"/>
      <c r="M516" s="92"/>
      <c r="N516" s="152" t="str">
        <f t="shared" ca="1" si="7"/>
        <v>Enter the number of homes on the 1_SetUp sheet</v>
      </c>
    </row>
    <row r="517" spans="1:14" ht="15" customHeight="1">
      <c r="A517" s="158">
        <v>513</v>
      </c>
      <c r="B517" s="93"/>
      <c r="C517" s="94"/>
      <c r="D517" s="94"/>
      <c r="E517" s="93" t="s">
        <v>55</v>
      </c>
      <c r="F517" s="93" t="s">
        <v>56</v>
      </c>
      <c r="G517" s="93"/>
      <c r="H517" s="95"/>
      <c r="I517" s="93"/>
      <c r="J517" s="93"/>
      <c r="K517" s="93"/>
      <c r="L517" s="179"/>
      <c r="M517" s="92"/>
      <c r="N517" s="152" t="str">
        <f t="shared" ref="N517:N580" ca="1" si="8">INDEX(ErrorCheck,MATCH($A517,ErrorCheckPlotNumber,0),MATCH(N$4,ErrorCheckTitle,0))</f>
        <v>Enter the number of homes on the 1_SetUp sheet</v>
      </c>
    </row>
    <row r="518" spans="1:14" ht="15" customHeight="1">
      <c r="A518" s="158">
        <v>514</v>
      </c>
      <c r="B518" s="93"/>
      <c r="C518" s="94"/>
      <c r="D518" s="94"/>
      <c r="E518" s="93" t="s">
        <v>55</v>
      </c>
      <c r="F518" s="93" t="s">
        <v>56</v>
      </c>
      <c r="G518" s="93"/>
      <c r="H518" s="95"/>
      <c r="I518" s="93"/>
      <c r="J518" s="93"/>
      <c r="K518" s="93"/>
      <c r="L518" s="179"/>
      <c r="M518" s="92"/>
      <c r="N518" s="152" t="str">
        <f t="shared" ca="1" si="8"/>
        <v>Enter the number of homes on the 1_SetUp sheet</v>
      </c>
    </row>
    <row r="519" spans="1:14" ht="15" customHeight="1">
      <c r="A519" s="158">
        <v>515</v>
      </c>
      <c r="B519" s="93"/>
      <c r="C519" s="94"/>
      <c r="D519" s="94"/>
      <c r="E519" s="93" t="s">
        <v>55</v>
      </c>
      <c r="F519" s="93" t="s">
        <v>56</v>
      </c>
      <c r="G519" s="93"/>
      <c r="H519" s="95"/>
      <c r="I519" s="93"/>
      <c r="J519" s="93"/>
      <c r="K519" s="93"/>
      <c r="L519" s="179"/>
      <c r="M519" s="92"/>
      <c r="N519" s="152" t="str">
        <f t="shared" ca="1" si="8"/>
        <v>Enter the number of homes on the 1_SetUp sheet</v>
      </c>
    </row>
    <row r="520" spans="1:14" ht="15" customHeight="1">
      <c r="A520" s="158">
        <v>516</v>
      </c>
      <c r="B520" s="93"/>
      <c r="C520" s="94"/>
      <c r="D520" s="94"/>
      <c r="E520" s="93" t="s">
        <v>55</v>
      </c>
      <c r="F520" s="93" t="s">
        <v>56</v>
      </c>
      <c r="G520" s="93"/>
      <c r="H520" s="95"/>
      <c r="I520" s="93"/>
      <c r="J520" s="93"/>
      <c r="K520" s="93"/>
      <c r="L520" s="179"/>
      <c r="M520" s="92"/>
      <c r="N520" s="152" t="str">
        <f t="shared" ca="1" si="8"/>
        <v>Enter the number of homes on the 1_SetUp sheet</v>
      </c>
    </row>
    <row r="521" spans="1:14" ht="15" customHeight="1">
      <c r="A521" s="158">
        <v>517</v>
      </c>
      <c r="B521" s="93"/>
      <c r="C521" s="94"/>
      <c r="D521" s="94"/>
      <c r="E521" s="93" t="s">
        <v>55</v>
      </c>
      <c r="F521" s="93" t="s">
        <v>56</v>
      </c>
      <c r="G521" s="93"/>
      <c r="H521" s="95"/>
      <c r="I521" s="93"/>
      <c r="J521" s="93"/>
      <c r="K521" s="93"/>
      <c r="L521" s="179"/>
      <c r="M521" s="92"/>
      <c r="N521" s="152" t="str">
        <f t="shared" ca="1" si="8"/>
        <v>Enter the number of homes on the 1_SetUp sheet</v>
      </c>
    </row>
    <row r="522" spans="1:14" ht="15" customHeight="1">
      <c r="A522" s="158">
        <v>518</v>
      </c>
      <c r="B522" s="93"/>
      <c r="C522" s="94"/>
      <c r="D522" s="94"/>
      <c r="E522" s="93" t="s">
        <v>55</v>
      </c>
      <c r="F522" s="93" t="s">
        <v>56</v>
      </c>
      <c r="G522" s="93"/>
      <c r="H522" s="95"/>
      <c r="I522" s="93"/>
      <c r="J522" s="93"/>
      <c r="K522" s="93"/>
      <c r="L522" s="179"/>
      <c r="M522" s="92"/>
      <c r="N522" s="152" t="str">
        <f t="shared" ca="1" si="8"/>
        <v>Enter the number of homes on the 1_SetUp sheet</v>
      </c>
    </row>
    <row r="523" spans="1:14" ht="15" customHeight="1">
      <c r="A523" s="158">
        <v>519</v>
      </c>
      <c r="B523" s="93"/>
      <c r="C523" s="94"/>
      <c r="D523" s="94"/>
      <c r="E523" s="93" t="s">
        <v>55</v>
      </c>
      <c r="F523" s="93" t="s">
        <v>56</v>
      </c>
      <c r="G523" s="93"/>
      <c r="H523" s="95"/>
      <c r="I523" s="93"/>
      <c r="J523" s="93"/>
      <c r="K523" s="93"/>
      <c r="L523" s="179"/>
      <c r="M523" s="92"/>
      <c r="N523" s="152" t="str">
        <f t="shared" ca="1" si="8"/>
        <v>Enter the number of homes on the 1_SetUp sheet</v>
      </c>
    </row>
    <row r="524" spans="1:14" ht="15" customHeight="1">
      <c r="A524" s="158">
        <v>520</v>
      </c>
      <c r="B524" s="93"/>
      <c r="C524" s="94"/>
      <c r="D524" s="94"/>
      <c r="E524" s="93" t="s">
        <v>55</v>
      </c>
      <c r="F524" s="93" t="s">
        <v>56</v>
      </c>
      <c r="G524" s="93"/>
      <c r="H524" s="95"/>
      <c r="I524" s="93"/>
      <c r="J524" s="93"/>
      <c r="K524" s="93"/>
      <c r="L524" s="179"/>
      <c r="M524" s="92"/>
      <c r="N524" s="152" t="str">
        <f t="shared" ca="1" si="8"/>
        <v>Enter the number of homes on the 1_SetUp sheet</v>
      </c>
    </row>
    <row r="525" spans="1:14" ht="15" customHeight="1">
      <c r="A525" s="158">
        <v>521</v>
      </c>
      <c r="B525" s="93"/>
      <c r="C525" s="94"/>
      <c r="D525" s="94"/>
      <c r="E525" s="93" t="s">
        <v>55</v>
      </c>
      <c r="F525" s="93" t="s">
        <v>56</v>
      </c>
      <c r="G525" s="93"/>
      <c r="H525" s="95"/>
      <c r="I525" s="93"/>
      <c r="J525" s="93"/>
      <c r="K525" s="93"/>
      <c r="L525" s="179"/>
      <c r="M525" s="92"/>
      <c r="N525" s="152" t="str">
        <f t="shared" ca="1" si="8"/>
        <v>Enter the number of homes on the 1_SetUp sheet</v>
      </c>
    </row>
    <row r="526" spans="1:14" ht="15" customHeight="1">
      <c r="A526" s="158">
        <v>522</v>
      </c>
      <c r="B526" s="93"/>
      <c r="C526" s="94"/>
      <c r="D526" s="94"/>
      <c r="E526" s="93" t="s">
        <v>55</v>
      </c>
      <c r="F526" s="93" t="s">
        <v>56</v>
      </c>
      <c r="G526" s="93"/>
      <c r="H526" s="95"/>
      <c r="I526" s="93"/>
      <c r="J526" s="93"/>
      <c r="K526" s="93"/>
      <c r="L526" s="179"/>
      <c r="M526" s="92"/>
      <c r="N526" s="152" t="str">
        <f t="shared" ca="1" si="8"/>
        <v>Enter the number of homes on the 1_SetUp sheet</v>
      </c>
    </row>
    <row r="527" spans="1:14" ht="15" customHeight="1">
      <c r="A527" s="158">
        <v>523</v>
      </c>
      <c r="B527" s="93"/>
      <c r="C527" s="94"/>
      <c r="D527" s="94"/>
      <c r="E527" s="93" t="s">
        <v>55</v>
      </c>
      <c r="F527" s="93" t="s">
        <v>56</v>
      </c>
      <c r="G527" s="93"/>
      <c r="H527" s="95"/>
      <c r="I527" s="93"/>
      <c r="J527" s="93"/>
      <c r="K527" s="93"/>
      <c r="L527" s="179"/>
      <c r="M527" s="92"/>
      <c r="N527" s="152" t="str">
        <f t="shared" ca="1" si="8"/>
        <v>Enter the number of homes on the 1_SetUp sheet</v>
      </c>
    </row>
    <row r="528" spans="1:14" ht="15" customHeight="1">
      <c r="A528" s="158">
        <v>524</v>
      </c>
      <c r="B528" s="93"/>
      <c r="C528" s="94"/>
      <c r="D528" s="94"/>
      <c r="E528" s="93" t="s">
        <v>55</v>
      </c>
      <c r="F528" s="93" t="s">
        <v>56</v>
      </c>
      <c r="G528" s="93"/>
      <c r="H528" s="95"/>
      <c r="I528" s="93"/>
      <c r="J528" s="93"/>
      <c r="K528" s="93"/>
      <c r="L528" s="179"/>
      <c r="M528" s="92"/>
      <c r="N528" s="152" t="str">
        <f t="shared" ca="1" si="8"/>
        <v>Enter the number of homes on the 1_SetUp sheet</v>
      </c>
    </row>
    <row r="529" spans="1:14" ht="15" customHeight="1">
      <c r="A529" s="158">
        <v>525</v>
      </c>
      <c r="B529" s="93"/>
      <c r="C529" s="94"/>
      <c r="D529" s="94"/>
      <c r="E529" s="93" t="s">
        <v>55</v>
      </c>
      <c r="F529" s="93" t="s">
        <v>56</v>
      </c>
      <c r="G529" s="93"/>
      <c r="H529" s="95"/>
      <c r="I529" s="93"/>
      <c r="J529" s="93"/>
      <c r="K529" s="93"/>
      <c r="L529" s="179"/>
      <c r="M529" s="92"/>
      <c r="N529" s="152" t="str">
        <f t="shared" ca="1" si="8"/>
        <v>Enter the number of homes on the 1_SetUp sheet</v>
      </c>
    </row>
    <row r="530" spans="1:14" ht="15" customHeight="1">
      <c r="A530" s="158">
        <v>526</v>
      </c>
      <c r="B530" s="93"/>
      <c r="C530" s="94"/>
      <c r="D530" s="94"/>
      <c r="E530" s="93" t="s">
        <v>55</v>
      </c>
      <c r="F530" s="93" t="s">
        <v>56</v>
      </c>
      <c r="G530" s="93"/>
      <c r="H530" s="95"/>
      <c r="I530" s="93"/>
      <c r="J530" s="93"/>
      <c r="K530" s="93"/>
      <c r="L530" s="179"/>
      <c r="M530" s="92"/>
      <c r="N530" s="152" t="str">
        <f t="shared" ca="1" si="8"/>
        <v>Enter the number of homes on the 1_SetUp sheet</v>
      </c>
    </row>
    <row r="531" spans="1:14" ht="15" customHeight="1">
      <c r="A531" s="158">
        <v>527</v>
      </c>
      <c r="B531" s="93"/>
      <c r="C531" s="94"/>
      <c r="D531" s="94"/>
      <c r="E531" s="93" t="s">
        <v>55</v>
      </c>
      <c r="F531" s="93" t="s">
        <v>56</v>
      </c>
      <c r="G531" s="93"/>
      <c r="H531" s="95"/>
      <c r="I531" s="93"/>
      <c r="J531" s="93"/>
      <c r="K531" s="93"/>
      <c r="L531" s="179"/>
      <c r="M531" s="92"/>
      <c r="N531" s="152" t="str">
        <f t="shared" ca="1" si="8"/>
        <v>Enter the number of homes on the 1_SetUp sheet</v>
      </c>
    </row>
    <row r="532" spans="1:14" ht="15" customHeight="1">
      <c r="A532" s="158">
        <v>528</v>
      </c>
      <c r="B532" s="93"/>
      <c r="C532" s="94"/>
      <c r="D532" s="94"/>
      <c r="E532" s="93" t="s">
        <v>55</v>
      </c>
      <c r="F532" s="93" t="s">
        <v>56</v>
      </c>
      <c r="G532" s="93"/>
      <c r="H532" s="95"/>
      <c r="I532" s="93"/>
      <c r="J532" s="93"/>
      <c r="K532" s="93"/>
      <c r="L532" s="179"/>
      <c r="M532" s="92"/>
      <c r="N532" s="152" t="str">
        <f t="shared" ca="1" si="8"/>
        <v>Enter the number of homes on the 1_SetUp sheet</v>
      </c>
    </row>
    <row r="533" spans="1:14" ht="15" customHeight="1">
      <c r="A533" s="158">
        <v>529</v>
      </c>
      <c r="B533" s="93"/>
      <c r="C533" s="94"/>
      <c r="D533" s="94"/>
      <c r="E533" s="93" t="s">
        <v>55</v>
      </c>
      <c r="F533" s="93" t="s">
        <v>56</v>
      </c>
      <c r="G533" s="93"/>
      <c r="H533" s="95"/>
      <c r="I533" s="93"/>
      <c r="J533" s="93"/>
      <c r="K533" s="93"/>
      <c r="L533" s="179"/>
      <c r="M533" s="92"/>
      <c r="N533" s="152" t="str">
        <f t="shared" ca="1" si="8"/>
        <v>Enter the number of homes on the 1_SetUp sheet</v>
      </c>
    </row>
    <row r="534" spans="1:14" ht="15" customHeight="1">
      <c r="A534" s="158">
        <v>530</v>
      </c>
      <c r="B534" s="93"/>
      <c r="C534" s="94"/>
      <c r="D534" s="94"/>
      <c r="E534" s="93" t="s">
        <v>55</v>
      </c>
      <c r="F534" s="93" t="s">
        <v>56</v>
      </c>
      <c r="G534" s="93"/>
      <c r="H534" s="95"/>
      <c r="I534" s="93"/>
      <c r="J534" s="93"/>
      <c r="K534" s="93"/>
      <c r="L534" s="179"/>
      <c r="M534" s="92"/>
      <c r="N534" s="152" t="str">
        <f t="shared" ca="1" si="8"/>
        <v>Enter the number of homes on the 1_SetUp sheet</v>
      </c>
    </row>
    <row r="535" spans="1:14" ht="15" customHeight="1">
      <c r="A535" s="158">
        <v>531</v>
      </c>
      <c r="B535" s="93"/>
      <c r="C535" s="94"/>
      <c r="D535" s="94"/>
      <c r="E535" s="93" t="s">
        <v>55</v>
      </c>
      <c r="F535" s="93" t="s">
        <v>56</v>
      </c>
      <c r="G535" s="93"/>
      <c r="H535" s="95"/>
      <c r="I535" s="93"/>
      <c r="J535" s="93"/>
      <c r="K535" s="93"/>
      <c r="L535" s="179"/>
      <c r="M535" s="92"/>
      <c r="N535" s="152" t="str">
        <f t="shared" ca="1" si="8"/>
        <v>Enter the number of homes on the 1_SetUp sheet</v>
      </c>
    </row>
    <row r="536" spans="1:14" ht="15" customHeight="1">
      <c r="A536" s="158">
        <v>532</v>
      </c>
      <c r="B536" s="93"/>
      <c r="C536" s="94"/>
      <c r="D536" s="94"/>
      <c r="E536" s="93" t="s">
        <v>55</v>
      </c>
      <c r="F536" s="93" t="s">
        <v>56</v>
      </c>
      <c r="G536" s="93"/>
      <c r="H536" s="95"/>
      <c r="I536" s="93"/>
      <c r="J536" s="93"/>
      <c r="K536" s="93"/>
      <c r="L536" s="179"/>
      <c r="M536" s="92"/>
      <c r="N536" s="152" t="str">
        <f t="shared" ca="1" si="8"/>
        <v>Enter the number of homes on the 1_SetUp sheet</v>
      </c>
    </row>
    <row r="537" spans="1:14" ht="15" customHeight="1">
      <c r="A537" s="158">
        <v>533</v>
      </c>
      <c r="B537" s="93"/>
      <c r="C537" s="94"/>
      <c r="D537" s="94"/>
      <c r="E537" s="93" t="s">
        <v>55</v>
      </c>
      <c r="F537" s="93" t="s">
        <v>56</v>
      </c>
      <c r="G537" s="93"/>
      <c r="H537" s="95"/>
      <c r="I537" s="93"/>
      <c r="J537" s="93"/>
      <c r="K537" s="93"/>
      <c r="L537" s="179"/>
      <c r="M537" s="92"/>
      <c r="N537" s="152" t="str">
        <f t="shared" ca="1" si="8"/>
        <v>Enter the number of homes on the 1_SetUp sheet</v>
      </c>
    </row>
    <row r="538" spans="1:14" ht="15" customHeight="1">
      <c r="A538" s="158">
        <v>534</v>
      </c>
      <c r="B538" s="93"/>
      <c r="C538" s="94"/>
      <c r="D538" s="94"/>
      <c r="E538" s="93" t="s">
        <v>55</v>
      </c>
      <c r="F538" s="93" t="s">
        <v>56</v>
      </c>
      <c r="G538" s="93"/>
      <c r="H538" s="95"/>
      <c r="I538" s="93"/>
      <c r="J538" s="93"/>
      <c r="K538" s="93"/>
      <c r="L538" s="179"/>
      <c r="M538" s="92"/>
      <c r="N538" s="152" t="str">
        <f t="shared" ca="1" si="8"/>
        <v>Enter the number of homes on the 1_SetUp sheet</v>
      </c>
    </row>
    <row r="539" spans="1:14" ht="15" customHeight="1">
      <c r="A539" s="158">
        <v>535</v>
      </c>
      <c r="B539" s="93"/>
      <c r="C539" s="94"/>
      <c r="D539" s="94"/>
      <c r="E539" s="93" t="s">
        <v>55</v>
      </c>
      <c r="F539" s="93" t="s">
        <v>56</v>
      </c>
      <c r="G539" s="93"/>
      <c r="H539" s="95"/>
      <c r="I539" s="93"/>
      <c r="J539" s="93"/>
      <c r="K539" s="93"/>
      <c r="L539" s="179"/>
      <c r="M539" s="92"/>
      <c r="N539" s="152" t="str">
        <f t="shared" ca="1" si="8"/>
        <v>Enter the number of homes on the 1_SetUp sheet</v>
      </c>
    </row>
    <row r="540" spans="1:14" ht="15" customHeight="1">
      <c r="A540" s="158">
        <v>536</v>
      </c>
      <c r="B540" s="93"/>
      <c r="C540" s="94"/>
      <c r="D540" s="94"/>
      <c r="E540" s="93" t="s">
        <v>55</v>
      </c>
      <c r="F540" s="93" t="s">
        <v>56</v>
      </c>
      <c r="G540" s="93"/>
      <c r="H540" s="95"/>
      <c r="I540" s="93"/>
      <c r="J540" s="93"/>
      <c r="K540" s="93"/>
      <c r="L540" s="179"/>
      <c r="M540" s="92"/>
      <c r="N540" s="152" t="str">
        <f t="shared" ca="1" si="8"/>
        <v>Enter the number of homes on the 1_SetUp sheet</v>
      </c>
    </row>
    <row r="541" spans="1:14" ht="15" customHeight="1">
      <c r="A541" s="158">
        <v>537</v>
      </c>
      <c r="B541" s="93"/>
      <c r="C541" s="94"/>
      <c r="D541" s="94"/>
      <c r="E541" s="93" t="s">
        <v>55</v>
      </c>
      <c r="F541" s="93" t="s">
        <v>56</v>
      </c>
      <c r="G541" s="93"/>
      <c r="H541" s="95"/>
      <c r="I541" s="93"/>
      <c r="J541" s="93"/>
      <c r="K541" s="93"/>
      <c r="L541" s="179"/>
      <c r="M541" s="92"/>
      <c r="N541" s="152" t="str">
        <f t="shared" ca="1" si="8"/>
        <v>Enter the number of homes on the 1_SetUp sheet</v>
      </c>
    </row>
    <row r="542" spans="1:14" ht="15" customHeight="1">
      <c r="A542" s="158">
        <v>538</v>
      </c>
      <c r="B542" s="93"/>
      <c r="C542" s="94"/>
      <c r="D542" s="94"/>
      <c r="E542" s="93" t="s">
        <v>55</v>
      </c>
      <c r="F542" s="93" t="s">
        <v>56</v>
      </c>
      <c r="G542" s="93"/>
      <c r="H542" s="95"/>
      <c r="I542" s="93"/>
      <c r="J542" s="93"/>
      <c r="K542" s="93"/>
      <c r="L542" s="179"/>
      <c r="M542" s="92"/>
      <c r="N542" s="152" t="str">
        <f t="shared" ca="1" si="8"/>
        <v>Enter the number of homes on the 1_SetUp sheet</v>
      </c>
    </row>
    <row r="543" spans="1:14" ht="15" customHeight="1">
      <c r="A543" s="158">
        <v>539</v>
      </c>
      <c r="B543" s="93"/>
      <c r="C543" s="94"/>
      <c r="D543" s="94"/>
      <c r="E543" s="93" t="s">
        <v>55</v>
      </c>
      <c r="F543" s="93" t="s">
        <v>56</v>
      </c>
      <c r="G543" s="93"/>
      <c r="H543" s="95"/>
      <c r="I543" s="93"/>
      <c r="J543" s="93"/>
      <c r="K543" s="93"/>
      <c r="L543" s="179"/>
      <c r="M543" s="92"/>
      <c r="N543" s="152" t="str">
        <f t="shared" ca="1" si="8"/>
        <v>Enter the number of homes on the 1_SetUp sheet</v>
      </c>
    </row>
    <row r="544" spans="1:14" ht="15" customHeight="1">
      <c r="A544" s="158">
        <v>540</v>
      </c>
      <c r="B544" s="93"/>
      <c r="C544" s="94"/>
      <c r="D544" s="94"/>
      <c r="E544" s="93" t="s">
        <v>55</v>
      </c>
      <c r="F544" s="93" t="s">
        <v>56</v>
      </c>
      <c r="G544" s="93"/>
      <c r="H544" s="95"/>
      <c r="I544" s="93"/>
      <c r="J544" s="93"/>
      <c r="K544" s="93"/>
      <c r="L544" s="179"/>
      <c r="M544" s="92"/>
      <c r="N544" s="152" t="str">
        <f t="shared" ca="1" si="8"/>
        <v>Enter the number of homes on the 1_SetUp sheet</v>
      </c>
    </row>
    <row r="545" spans="1:14" ht="15" customHeight="1">
      <c r="A545" s="158">
        <v>541</v>
      </c>
      <c r="B545" s="93"/>
      <c r="C545" s="94"/>
      <c r="D545" s="94"/>
      <c r="E545" s="93" t="s">
        <v>55</v>
      </c>
      <c r="F545" s="93" t="s">
        <v>56</v>
      </c>
      <c r="G545" s="93"/>
      <c r="H545" s="95"/>
      <c r="I545" s="93"/>
      <c r="J545" s="93"/>
      <c r="K545" s="93"/>
      <c r="L545" s="179"/>
      <c r="M545" s="92"/>
      <c r="N545" s="152" t="str">
        <f t="shared" ca="1" si="8"/>
        <v>Enter the number of homes on the 1_SetUp sheet</v>
      </c>
    </row>
    <row r="546" spans="1:14" ht="15" customHeight="1">
      <c r="A546" s="158">
        <v>542</v>
      </c>
      <c r="B546" s="93"/>
      <c r="C546" s="94"/>
      <c r="D546" s="94"/>
      <c r="E546" s="93" t="s">
        <v>55</v>
      </c>
      <c r="F546" s="93" t="s">
        <v>56</v>
      </c>
      <c r="G546" s="93"/>
      <c r="H546" s="95"/>
      <c r="I546" s="93"/>
      <c r="J546" s="93"/>
      <c r="K546" s="93"/>
      <c r="L546" s="179"/>
      <c r="M546" s="92"/>
      <c r="N546" s="152" t="str">
        <f t="shared" ca="1" si="8"/>
        <v>Enter the number of homes on the 1_SetUp sheet</v>
      </c>
    </row>
    <row r="547" spans="1:14" ht="15" customHeight="1">
      <c r="A547" s="158">
        <v>543</v>
      </c>
      <c r="B547" s="93"/>
      <c r="C547" s="94"/>
      <c r="D547" s="94"/>
      <c r="E547" s="93" t="s">
        <v>55</v>
      </c>
      <c r="F547" s="93" t="s">
        <v>56</v>
      </c>
      <c r="G547" s="93"/>
      <c r="H547" s="95"/>
      <c r="I547" s="93"/>
      <c r="J547" s="93"/>
      <c r="K547" s="93"/>
      <c r="L547" s="179"/>
      <c r="M547" s="92"/>
      <c r="N547" s="152" t="str">
        <f t="shared" ca="1" si="8"/>
        <v>Enter the number of homes on the 1_SetUp sheet</v>
      </c>
    </row>
    <row r="548" spans="1:14" ht="15" customHeight="1">
      <c r="A548" s="158">
        <v>544</v>
      </c>
      <c r="B548" s="93"/>
      <c r="C548" s="94"/>
      <c r="D548" s="94"/>
      <c r="E548" s="93" t="s">
        <v>55</v>
      </c>
      <c r="F548" s="93" t="s">
        <v>56</v>
      </c>
      <c r="G548" s="93"/>
      <c r="H548" s="95"/>
      <c r="I548" s="93"/>
      <c r="J548" s="93"/>
      <c r="K548" s="93"/>
      <c r="L548" s="179"/>
      <c r="M548" s="92"/>
      <c r="N548" s="152" t="str">
        <f t="shared" ca="1" si="8"/>
        <v>Enter the number of homes on the 1_SetUp sheet</v>
      </c>
    </row>
    <row r="549" spans="1:14" ht="15" customHeight="1">
      <c r="A549" s="158">
        <v>545</v>
      </c>
      <c r="B549" s="93"/>
      <c r="C549" s="94"/>
      <c r="D549" s="94"/>
      <c r="E549" s="93" t="s">
        <v>55</v>
      </c>
      <c r="F549" s="93" t="s">
        <v>56</v>
      </c>
      <c r="G549" s="93"/>
      <c r="H549" s="95"/>
      <c r="I549" s="93"/>
      <c r="J549" s="93"/>
      <c r="K549" s="93"/>
      <c r="L549" s="179"/>
      <c r="M549" s="92"/>
      <c r="N549" s="152" t="str">
        <f t="shared" ca="1" si="8"/>
        <v>Enter the number of homes on the 1_SetUp sheet</v>
      </c>
    </row>
    <row r="550" spans="1:14" ht="15" customHeight="1">
      <c r="A550" s="158">
        <v>546</v>
      </c>
      <c r="B550" s="93"/>
      <c r="C550" s="94"/>
      <c r="D550" s="94"/>
      <c r="E550" s="93" t="s">
        <v>55</v>
      </c>
      <c r="F550" s="93" t="s">
        <v>56</v>
      </c>
      <c r="G550" s="93"/>
      <c r="H550" s="95"/>
      <c r="I550" s="93"/>
      <c r="J550" s="93"/>
      <c r="K550" s="93"/>
      <c r="L550" s="179"/>
      <c r="M550" s="92"/>
      <c r="N550" s="152" t="str">
        <f t="shared" ca="1" si="8"/>
        <v>Enter the number of homes on the 1_SetUp sheet</v>
      </c>
    </row>
    <row r="551" spans="1:14" ht="15" customHeight="1">
      <c r="A551" s="158">
        <v>547</v>
      </c>
      <c r="B551" s="93"/>
      <c r="C551" s="94"/>
      <c r="D551" s="94"/>
      <c r="E551" s="93" t="s">
        <v>55</v>
      </c>
      <c r="F551" s="93" t="s">
        <v>56</v>
      </c>
      <c r="G551" s="93"/>
      <c r="H551" s="95"/>
      <c r="I551" s="93"/>
      <c r="J551" s="93"/>
      <c r="K551" s="93"/>
      <c r="L551" s="179"/>
      <c r="M551" s="92"/>
      <c r="N551" s="152" t="str">
        <f t="shared" ca="1" si="8"/>
        <v>Enter the number of homes on the 1_SetUp sheet</v>
      </c>
    </row>
    <row r="552" spans="1:14" ht="15" customHeight="1">
      <c r="A552" s="158">
        <v>548</v>
      </c>
      <c r="B552" s="93"/>
      <c r="C552" s="94"/>
      <c r="D552" s="94"/>
      <c r="E552" s="93" t="s">
        <v>55</v>
      </c>
      <c r="F552" s="93" t="s">
        <v>56</v>
      </c>
      <c r="G552" s="93"/>
      <c r="H552" s="95"/>
      <c r="I552" s="93"/>
      <c r="J552" s="93"/>
      <c r="K552" s="93"/>
      <c r="L552" s="179"/>
      <c r="M552" s="92"/>
      <c r="N552" s="152" t="str">
        <f t="shared" ca="1" si="8"/>
        <v>Enter the number of homes on the 1_SetUp sheet</v>
      </c>
    </row>
    <row r="553" spans="1:14" ht="15" customHeight="1">
      <c r="A553" s="158">
        <v>549</v>
      </c>
      <c r="B553" s="93"/>
      <c r="C553" s="94"/>
      <c r="D553" s="94"/>
      <c r="E553" s="93" t="s">
        <v>55</v>
      </c>
      <c r="F553" s="93" t="s">
        <v>56</v>
      </c>
      <c r="G553" s="93"/>
      <c r="H553" s="95"/>
      <c r="I553" s="93"/>
      <c r="J553" s="93"/>
      <c r="K553" s="93"/>
      <c r="L553" s="179"/>
      <c r="M553" s="92"/>
      <c r="N553" s="152" t="str">
        <f t="shared" ca="1" si="8"/>
        <v>Enter the number of homes on the 1_SetUp sheet</v>
      </c>
    </row>
    <row r="554" spans="1:14" ht="15" customHeight="1">
      <c r="A554" s="158">
        <v>550</v>
      </c>
      <c r="B554" s="93"/>
      <c r="C554" s="94"/>
      <c r="D554" s="94"/>
      <c r="E554" s="93" t="s">
        <v>55</v>
      </c>
      <c r="F554" s="93" t="s">
        <v>56</v>
      </c>
      <c r="G554" s="93"/>
      <c r="H554" s="95"/>
      <c r="I554" s="93"/>
      <c r="J554" s="93"/>
      <c r="K554" s="93"/>
      <c r="L554" s="179"/>
      <c r="M554" s="92"/>
      <c r="N554" s="152" t="str">
        <f t="shared" ca="1" si="8"/>
        <v>Enter the number of homes on the 1_SetUp sheet</v>
      </c>
    </row>
    <row r="555" spans="1:14" ht="15" customHeight="1">
      <c r="A555" s="158">
        <v>551</v>
      </c>
      <c r="B555" s="93"/>
      <c r="C555" s="94"/>
      <c r="D555" s="94"/>
      <c r="E555" s="93" t="s">
        <v>55</v>
      </c>
      <c r="F555" s="93" t="s">
        <v>56</v>
      </c>
      <c r="G555" s="93"/>
      <c r="H555" s="95"/>
      <c r="I555" s="93"/>
      <c r="J555" s="93"/>
      <c r="K555" s="93"/>
      <c r="L555" s="179"/>
      <c r="M555" s="92"/>
      <c r="N555" s="152" t="str">
        <f t="shared" ca="1" si="8"/>
        <v>Enter the number of homes on the 1_SetUp sheet</v>
      </c>
    </row>
    <row r="556" spans="1:14" ht="15" customHeight="1">
      <c r="A556" s="158">
        <v>552</v>
      </c>
      <c r="B556" s="93"/>
      <c r="C556" s="94"/>
      <c r="D556" s="94"/>
      <c r="E556" s="93" t="s">
        <v>55</v>
      </c>
      <c r="F556" s="93" t="s">
        <v>56</v>
      </c>
      <c r="G556" s="93"/>
      <c r="H556" s="95"/>
      <c r="I556" s="93"/>
      <c r="J556" s="93"/>
      <c r="K556" s="93"/>
      <c r="L556" s="179"/>
      <c r="M556" s="92"/>
      <c r="N556" s="152" t="str">
        <f t="shared" ca="1" si="8"/>
        <v>Enter the number of homes on the 1_SetUp sheet</v>
      </c>
    </row>
    <row r="557" spans="1:14" ht="15" customHeight="1">
      <c r="A557" s="158">
        <v>553</v>
      </c>
      <c r="B557" s="93"/>
      <c r="C557" s="94"/>
      <c r="D557" s="94"/>
      <c r="E557" s="93" t="s">
        <v>55</v>
      </c>
      <c r="F557" s="93" t="s">
        <v>56</v>
      </c>
      <c r="G557" s="93"/>
      <c r="H557" s="95"/>
      <c r="I557" s="93"/>
      <c r="J557" s="93"/>
      <c r="K557" s="93"/>
      <c r="L557" s="179"/>
      <c r="M557" s="92"/>
      <c r="N557" s="152" t="str">
        <f t="shared" ca="1" si="8"/>
        <v>Enter the number of homes on the 1_SetUp sheet</v>
      </c>
    </row>
    <row r="558" spans="1:14" ht="15" customHeight="1">
      <c r="A558" s="158">
        <v>554</v>
      </c>
      <c r="B558" s="93"/>
      <c r="C558" s="94"/>
      <c r="D558" s="94"/>
      <c r="E558" s="93" t="s">
        <v>55</v>
      </c>
      <c r="F558" s="93" t="s">
        <v>56</v>
      </c>
      <c r="G558" s="93"/>
      <c r="H558" s="95"/>
      <c r="I558" s="93"/>
      <c r="J558" s="93"/>
      <c r="K558" s="93"/>
      <c r="L558" s="179"/>
      <c r="M558" s="92"/>
      <c r="N558" s="152" t="str">
        <f t="shared" ca="1" si="8"/>
        <v>Enter the number of homes on the 1_SetUp sheet</v>
      </c>
    </row>
    <row r="559" spans="1:14" ht="15" customHeight="1">
      <c r="A559" s="158">
        <v>555</v>
      </c>
      <c r="B559" s="93"/>
      <c r="C559" s="94"/>
      <c r="D559" s="94"/>
      <c r="E559" s="93" t="s">
        <v>55</v>
      </c>
      <c r="F559" s="93" t="s">
        <v>56</v>
      </c>
      <c r="G559" s="93"/>
      <c r="H559" s="95"/>
      <c r="I559" s="93"/>
      <c r="J559" s="93"/>
      <c r="K559" s="93"/>
      <c r="L559" s="179"/>
      <c r="M559" s="92"/>
      <c r="N559" s="152" t="str">
        <f t="shared" ca="1" si="8"/>
        <v>Enter the number of homes on the 1_SetUp sheet</v>
      </c>
    </row>
    <row r="560" spans="1:14" ht="15" customHeight="1">
      <c r="A560" s="158">
        <v>556</v>
      </c>
      <c r="B560" s="93"/>
      <c r="C560" s="94"/>
      <c r="D560" s="94"/>
      <c r="E560" s="93" t="s">
        <v>55</v>
      </c>
      <c r="F560" s="93" t="s">
        <v>56</v>
      </c>
      <c r="G560" s="93"/>
      <c r="H560" s="95"/>
      <c r="I560" s="93"/>
      <c r="J560" s="93"/>
      <c r="K560" s="93"/>
      <c r="L560" s="179"/>
      <c r="M560" s="92"/>
      <c r="N560" s="152" t="str">
        <f t="shared" ca="1" si="8"/>
        <v>Enter the number of homes on the 1_SetUp sheet</v>
      </c>
    </row>
    <row r="561" spans="1:14" ht="15" customHeight="1">
      <c r="A561" s="158">
        <v>557</v>
      </c>
      <c r="B561" s="93"/>
      <c r="C561" s="94"/>
      <c r="D561" s="94"/>
      <c r="E561" s="93" t="s">
        <v>55</v>
      </c>
      <c r="F561" s="93" t="s">
        <v>56</v>
      </c>
      <c r="G561" s="93"/>
      <c r="H561" s="95"/>
      <c r="I561" s="93"/>
      <c r="J561" s="93"/>
      <c r="K561" s="93"/>
      <c r="L561" s="179"/>
      <c r="M561" s="92"/>
      <c r="N561" s="152" t="str">
        <f t="shared" ca="1" si="8"/>
        <v>Enter the number of homes on the 1_SetUp sheet</v>
      </c>
    </row>
    <row r="562" spans="1:14" ht="15" customHeight="1">
      <c r="A562" s="158">
        <v>558</v>
      </c>
      <c r="B562" s="93"/>
      <c r="C562" s="94"/>
      <c r="D562" s="94"/>
      <c r="E562" s="93" t="s">
        <v>55</v>
      </c>
      <c r="F562" s="93" t="s">
        <v>56</v>
      </c>
      <c r="G562" s="93"/>
      <c r="H562" s="95"/>
      <c r="I562" s="93"/>
      <c r="J562" s="93"/>
      <c r="K562" s="93"/>
      <c r="L562" s="179"/>
      <c r="M562" s="92"/>
      <c r="N562" s="152" t="str">
        <f t="shared" ca="1" si="8"/>
        <v>Enter the number of homes on the 1_SetUp sheet</v>
      </c>
    </row>
    <row r="563" spans="1:14" ht="15" customHeight="1">
      <c r="A563" s="158">
        <v>559</v>
      </c>
      <c r="B563" s="93"/>
      <c r="C563" s="94"/>
      <c r="D563" s="94"/>
      <c r="E563" s="93" t="s">
        <v>55</v>
      </c>
      <c r="F563" s="93" t="s">
        <v>56</v>
      </c>
      <c r="G563" s="93"/>
      <c r="H563" s="95"/>
      <c r="I563" s="93"/>
      <c r="J563" s="93"/>
      <c r="K563" s="93"/>
      <c r="L563" s="179"/>
      <c r="M563" s="92"/>
      <c r="N563" s="152" t="str">
        <f t="shared" ca="1" si="8"/>
        <v>Enter the number of homes on the 1_SetUp sheet</v>
      </c>
    </row>
    <row r="564" spans="1:14" ht="15" customHeight="1">
      <c r="A564" s="158">
        <v>560</v>
      </c>
      <c r="B564" s="93"/>
      <c r="C564" s="94"/>
      <c r="D564" s="94"/>
      <c r="E564" s="93" t="s">
        <v>55</v>
      </c>
      <c r="F564" s="93" t="s">
        <v>56</v>
      </c>
      <c r="G564" s="93"/>
      <c r="H564" s="95"/>
      <c r="I564" s="93"/>
      <c r="J564" s="93"/>
      <c r="K564" s="93"/>
      <c r="L564" s="179"/>
      <c r="M564" s="92"/>
      <c r="N564" s="152" t="str">
        <f t="shared" ca="1" si="8"/>
        <v>Enter the number of homes on the 1_SetUp sheet</v>
      </c>
    </row>
    <row r="565" spans="1:14" ht="15" customHeight="1">
      <c r="A565" s="158">
        <v>561</v>
      </c>
      <c r="B565" s="93"/>
      <c r="C565" s="94"/>
      <c r="D565" s="94"/>
      <c r="E565" s="93" t="s">
        <v>55</v>
      </c>
      <c r="F565" s="93" t="s">
        <v>56</v>
      </c>
      <c r="G565" s="93"/>
      <c r="H565" s="95"/>
      <c r="I565" s="93"/>
      <c r="J565" s="93"/>
      <c r="K565" s="93"/>
      <c r="L565" s="179"/>
      <c r="M565" s="92"/>
      <c r="N565" s="152" t="str">
        <f t="shared" ca="1" si="8"/>
        <v>Enter the number of homes on the 1_SetUp sheet</v>
      </c>
    </row>
    <row r="566" spans="1:14" ht="15" customHeight="1">
      <c r="A566" s="158">
        <v>562</v>
      </c>
      <c r="B566" s="93"/>
      <c r="C566" s="94"/>
      <c r="D566" s="94"/>
      <c r="E566" s="93" t="s">
        <v>55</v>
      </c>
      <c r="F566" s="93" t="s">
        <v>56</v>
      </c>
      <c r="G566" s="93"/>
      <c r="H566" s="95"/>
      <c r="I566" s="93"/>
      <c r="J566" s="93"/>
      <c r="K566" s="93"/>
      <c r="L566" s="179"/>
      <c r="M566" s="92"/>
      <c r="N566" s="152" t="str">
        <f t="shared" ca="1" si="8"/>
        <v>Enter the number of homes on the 1_SetUp sheet</v>
      </c>
    </row>
    <row r="567" spans="1:14" ht="15" customHeight="1">
      <c r="A567" s="158">
        <v>563</v>
      </c>
      <c r="B567" s="93"/>
      <c r="C567" s="94"/>
      <c r="D567" s="94"/>
      <c r="E567" s="93" t="s">
        <v>55</v>
      </c>
      <c r="F567" s="93" t="s">
        <v>56</v>
      </c>
      <c r="G567" s="93"/>
      <c r="H567" s="95"/>
      <c r="I567" s="93"/>
      <c r="J567" s="93"/>
      <c r="K567" s="93"/>
      <c r="L567" s="179"/>
      <c r="M567" s="92"/>
      <c r="N567" s="152" t="str">
        <f t="shared" ca="1" si="8"/>
        <v>Enter the number of homes on the 1_SetUp sheet</v>
      </c>
    </row>
    <row r="568" spans="1:14" ht="15" customHeight="1">
      <c r="A568" s="158">
        <v>564</v>
      </c>
      <c r="B568" s="93"/>
      <c r="C568" s="94"/>
      <c r="D568" s="94"/>
      <c r="E568" s="93" t="s">
        <v>55</v>
      </c>
      <c r="F568" s="93" t="s">
        <v>56</v>
      </c>
      <c r="G568" s="93"/>
      <c r="H568" s="95"/>
      <c r="I568" s="93"/>
      <c r="J568" s="93"/>
      <c r="K568" s="93"/>
      <c r="L568" s="179"/>
      <c r="M568" s="92"/>
      <c r="N568" s="152" t="str">
        <f t="shared" ca="1" si="8"/>
        <v>Enter the number of homes on the 1_SetUp sheet</v>
      </c>
    </row>
    <row r="569" spans="1:14" ht="15" customHeight="1">
      <c r="A569" s="158">
        <v>565</v>
      </c>
      <c r="B569" s="93"/>
      <c r="C569" s="94"/>
      <c r="D569" s="94"/>
      <c r="E569" s="93" t="s">
        <v>55</v>
      </c>
      <c r="F569" s="93" t="s">
        <v>56</v>
      </c>
      <c r="G569" s="93"/>
      <c r="H569" s="95"/>
      <c r="I569" s="93"/>
      <c r="J569" s="93"/>
      <c r="K569" s="93"/>
      <c r="L569" s="179"/>
      <c r="M569" s="92"/>
      <c r="N569" s="152" t="str">
        <f t="shared" ca="1" si="8"/>
        <v>Enter the number of homes on the 1_SetUp sheet</v>
      </c>
    </row>
    <row r="570" spans="1:14" ht="15" customHeight="1">
      <c r="A570" s="158">
        <v>566</v>
      </c>
      <c r="B570" s="93"/>
      <c r="C570" s="94"/>
      <c r="D570" s="94"/>
      <c r="E570" s="93" t="s">
        <v>55</v>
      </c>
      <c r="F570" s="93" t="s">
        <v>56</v>
      </c>
      <c r="G570" s="93"/>
      <c r="H570" s="95"/>
      <c r="I570" s="93"/>
      <c r="J570" s="93"/>
      <c r="K570" s="93"/>
      <c r="L570" s="179"/>
      <c r="M570" s="92"/>
      <c r="N570" s="152" t="str">
        <f t="shared" ca="1" si="8"/>
        <v>Enter the number of homes on the 1_SetUp sheet</v>
      </c>
    </row>
    <row r="571" spans="1:14" ht="15" customHeight="1">
      <c r="A571" s="158">
        <v>567</v>
      </c>
      <c r="B571" s="93"/>
      <c r="C571" s="94"/>
      <c r="D571" s="94"/>
      <c r="E571" s="93" t="s">
        <v>55</v>
      </c>
      <c r="F571" s="93" t="s">
        <v>56</v>
      </c>
      <c r="G571" s="93"/>
      <c r="H571" s="95"/>
      <c r="I571" s="93"/>
      <c r="J571" s="93"/>
      <c r="K571" s="93"/>
      <c r="L571" s="179"/>
      <c r="M571" s="92"/>
      <c r="N571" s="152" t="str">
        <f t="shared" ca="1" si="8"/>
        <v>Enter the number of homes on the 1_SetUp sheet</v>
      </c>
    </row>
    <row r="572" spans="1:14" ht="15" customHeight="1">
      <c r="A572" s="158">
        <v>568</v>
      </c>
      <c r="B572" s="93"/>
      <c r="C572" s="94"/>
      <c r="D572" s="94"/>
      <c r="E572" s="93" t="s">
        <v>55</v>
      </c>
      <c r="F572" s="93" t="s">
        <v>56</v>
      </c>
      <c r="G572" s="93"/>
      <c r="H572" s="95"/>
      <c r="I572" s="93"/>
      <c r="J572" s="93"/>
      <c r="K572" s="93"/>
      <c r="L572" s="179"/>
      <c r="M572" s="92"/>
      <c r="N572" s="152" t="str">
        <f t="shared" ca="1" si="8"/>
        <v>Enter the number of homes on the 1_SetUp sheet</v>
      </c>
    </row>
    <row r="573" spans="1:14" ht="15" customHeight="1">
      <c r="A573" s="158">
        <v>569</v>
      </c>
      <c r="B573" s="93"/>
      <c r="C573" s="94"/>
      <c r="D573" s="94"/>
      <c r="E573" s="93" t="s">
        <v>55</v>
      </c>
      <c r="F573" s="93" t="s">
        <v>56</v>
      </c>
      <c r="G573" s="93"/>
      <c r="H573" s="95"/>
      <c r="I573" s="93"/>
      <c r="J573" s="93"/>
      <c r="K573" s="93"/>
      <c r="L573" s="179"/>
      <c r="M573" s="92"/>
      <c r="N573" s="152" t="str">
        <f t="shared" ca="1" si="8"/>
        <v>Enter the number of homes on the 1_SetUp sheet</v>
      </c>
    </row>
    <row r="574" spans="1:14" ht="15" customHeight="1">
      <c r="A574" s="158">
        <v>570</v>
      </c>
      <c r="B574" s="93"/>
      <c r="C574" s="94"/>
      <c r="D574" s="94"/>
      <c r="E574" s="93" t="s">
        <v>55</v>
      </c>
      <c r="F574" s="93" t="s">
        <v>56</v>
      </c>
      <c r="G574" s="93"/>
      <c r="H574" s="95"/>
      <c r="I574" s="93"/>
      <c r="J574" s="93"/>
      <c r="K574" s="93"/>
      <c r="L574" s="179"/>
      <c r="M574" s="92"/>
      <c r="N574" s="152" t="str">
        <f t="shared" ca="1" si="8"/>
        <v>Enter the number of homes on the 1_SetUp sheet</v>
      </c>
    </row>
    <row r="575" spans="1:14" ht="15" customHeight="1">
      <c r="A575" s="158">
        <v>571</v>
      </c>
      <c r="B575" s="93"/>
      <c r="C575" s="94"/>
      <c r="D575" s="94"/>
      <c r="E575" s="93" t="s">
        <v>55</v>
      </c>
      <c r="F575" s="93" t="s">
        <v>56</v>
      </c>
      <c r="G575" s="93"/>
      <c r="H575" s="95"/>
      <c r="I575" s="93"/>
      <c r="J575" s="93"/>
      <c r="K575" s="93"/>
      <c r="L575" s="179"/>
      <c r="M575" s="92"/>
      <c r="N575" s="152" t="str">
        <f t="shared" ca="1" si="8"/>
        <v>Enter the number of homes on the 1_SetUp sheet</v>
      </c>
    </row>
    <row r="576" spans="1:14" ht="15" customHeight="1">
      <c r="A576" s="158">
        <v>572</v>
      </c>
      <c r="B576" s="93"/>
      <c r="C576" s="94"/>
      <c r="D576" s="94"/>
      <c r="E576" s="93" t="s">
        <v>55</v>
      </c>
      <c r="F576" s="93" t="s">
        <v>56</v>
      </c>
      <c r="G576" s="93"/>
      <c r="H576" s="95"/>
      <c r="I576" s="93"/>
      <c r="J576" s="93"/>
      <c r="K576" s="93"/>
      <c r="L576" s="179"/>
      <c r="M576" s="92"/>
      <c r="N576" s="152" t="str">
        <f t="shared" ca="1" si="8"/>
        <v>Enter the number of homes on the 1_SetUp sheet</v>
      </c>
    </row>
    <row r="577" spans="1:14" ht="15" customHeight="1">
      <c r="A577" s="158">
        <v>573</v>
      </c>
      <c r="B577" s="93"/>
      <c r="C577" s="94"/>
      <c r="D577" s="94"/>
      <c r="E577" s="93" t="s">
        <v>55</v>
      </c>
      <c r="F577" s="93" t="s">
        <v>56</v>
      </c>
      <c r="G577" s="93"/>
      <c r="H577" s="95"/>
      <c r="I577" s="93"/>
      <c r="J577" s="93"/>
      <c r="K577" s="93"/>
      <c r="L577" s="179"/>
      <c r="M577" s="92"/>
      <c r="N577" s="152" t="str">
        <f t="shared" ca="1" si="8"/>
        <v>Enter the number of homes on the 1_SetUp sheet</v>
      </c>
    </row>
    <row r="578" spans="1:14" ht="15" customHeight="1">
      <c r="A578" s="158">
        <v>574</v>
      </c>
      <c r="B578" s="93"/>
      <c r="C578" s="94"/>
      <c r="D578" s="94"/>
      <c r="E578" s="93" t="s">
        <v>55</v>
      </c>
      <c r="F578" s="93" t="s">
        <v>56</v>
      </c>
      <c r="G578" s="93"/>
      <c r="H578" s="95"/>
      <c r="I578" s="93"/>
      <c r="J578" s="93"/>
      <c r="K578" s="93"/>
      <c r="L578" s="179"/>
      <c r="M578" s="92"/>
      <c r="N578" s="152" t="str">
        <f t="shared" ca="1" si="8"/>
        <v>Enter the number of homes on the 1_SetUp sheet</v>
      </c>
    </row>
    <row r="579" spans="1:14" ht="15" customHeight="1">
      <c r="A579" s="158">
        <v>575</v>
      </c>
      <c r="B579" s="93"/>
      <c r="C579" s="94"/>
      <c r="D579" s="94"/>
      <c r="E579" s="93" t="s">
        <v>55</v>
      </c>
      <c r="F579" s="93" t="s">
        <v>56</v>
      </c>
      <c r="G579" s="93"/>
      <c r="H579" s="95"/>
      <c r="I579" s="93"/>
      <c r="J579" s="93"/>
      <c r="K579" s="93"/>
      <c r="L579" s="179"/>
      <c r="M579" s="92"/>
      <c r="N579" s="152" t="str">
        <f t="shared" ca="1" si="8"/>
        <v>Enter the number of homes on the 1_SetUp sheet</v>
      </c>
    </row>
    <row r="580" spans="1:14" ht="15" customHeight="1">
      <c r="A580" s="158">
        <v>576</v>
      </c>
      <c r="B580" s="93"/>
      <c r="C580" s="94"/>
      <c r="D580" s="94"/>
      <c r="E580" s="93" t="s">
        <v>55</v>
      </c>
      <c r="F580" s="93" t="s">
        <v>56</v>
      </c>
      <c r="G580" s="93"/>
      <c r="H580" s="95"/>
      <c r="I580" s="93"/>
      <c r="J580" s="93"/>
      <c r="K580" s="93"/>
      <c r="L580" s="179"/>
      <c r="M580" s="92"/>
      <c r="N580" s="152" t="str">
        <f t="shared" ca="1" si="8"/>
        <v>Enter the number of homes on the 1_SetUp sheet</v>
      </c>
    </row>
    <row r="581" spans="1:14" ht="15" customHeight="1">
      <c r="A581" s="158">
        <v>577</v>
      </c>
      <c r="B581" s="93"/>
      <c r="C581" s="94"/>
      <c r="D581" s="94"/>
      <c r="E581" s="93" t="s">
        <v>55</v>
      </c>
      <c r="F581" s="93" t="s">
        <v>56</v>
      </c>
      <c r="G581" s="93"/>
      <c r="H581" s="95"/>
      <c r="I581" s="93"/>
      <c r="J581" s="93"/>
      <c r="K581" s="93"/>
      <c r="L581" s="179"/>
      <c r="M581" s="92"/>
      <c r="N581" s="152" t="str">
        <f t="shared" ref="N581:N604" ca="1" si="9">INDEX(ErrorCheck,MATCH($A581,ErrorCheckPlotNumber,0),MATCH(N$4,ErrorCheckTitle,0))</f>
        <v>Enter the number of homes on the 1_SetUp sheet</v>
      </c>
    </row>
    <row r="582" spans="1:14" ht="15" customHeight="1">
      <c r="A582" s="158">
        <v>578</v>
      </c>
      <c r="B582" s="93"/>
      <c r="C582" s="94"/>
      <c r="D582" s="94"/>
      <c r="E582" s="93" t="s">
        <v>55</v>
      </c>
      <c r="F582" s="93" t="s">
        <v>56</v>
      </c>
      <c r="G582" s="93"/>
      <c r="H582" s="95"/>
      <c r="I582" s="93"/>
      <c r="J582" s="93"/>
      <c r="K582" s="93"/>
      <c r="L582" s="179"/>
      <c r="M582" s="92"/>
      <c r="N582" s="152" t="str">
        <f t="shared" ca="1" si="9"/>
        <v>Enter the number of homes on the 1_SetUp sheet</v>
      </c>
    </row>
    <row r="583" spans="1:14" ht="15" customHeight="1">
      <c r="A583" s="158">
        <v>579</v>
      </c>
      <c r="B583" s="93"/>
      <c r="C583" s="94"/>
      <c r="D583" s="94"/>
      <c r="E583" s="93" t="s">
        <v>55</v>
      </c>
      <c r="F583" s="93" t="s">
        <v>56</v>
      </c>
      <c r="G583" s="93"/>
      <c r="H583" s="95"/>
      <c r="I583" s="93"/>
      <c r="J583" s="93"/>
      <c r="K583" s="93"/>
      <c r="L583" s="179"/>
      <c r="M583" s="92"/>
      <c r="N583" s="152" t="str">
        <f t="shared" ca="1" si="9"/>
        <v>Enter the number of homes on the 1_SetUp sheet</v>
      </c>
    </row>
    <row r="584" spans="1:14" ht="15" customHeight="1">
      <c r="A584" s="158">
        <v>580</v>
      </c>
      <c r="B584" s="93"/>
      <c r="C584" s="94"/>
      <c r="D584" s="94"/>
      <c r="E584" s="93" t="s">
        <v>55</v>
      </c>
      <c r="F584" s="93" t="s">
        <v>56</v>
      </c>
      <c r="G584" s="93"/>
      <c r="H584" s="95"/>
      <c r="I584" s="93"/>
      <c r="J584" s="93"/>
      <c r="K584" s="93"/>
      <c r="L584" s="179"/>
      <c r="M584" s="92"/>
      <c r="N584" s="152" t="str">
        <f t="shared" ca="1" si="9"/>
        <v>Enter the number of homes on the 1_SetUp sheet</v>
      </c>
    </row>
    <row r="585" spans="1:14" ht="15" customHeight="1">
      <c r="A585" s="158">
        <v>581</v>
      </c>
      <c r="B585" s="93"/>
      <c r="C585" s="94"/>
      <c r="D585" s="94"/>
      <c r="E585" s="93" t="s">
        <v>55</v>
      </c>
      <c r="F585" s="93" t="s">
        <v>56</v>
      </c>
      <c r="G585" s="93"/>
      <c r="H585" s="95"/>
      <c r="I585" s="93"/>
      <c r="J585" s="93"/>
      <c r="K585" s="93"/>
      <c r="L585" s="179"/>
      <c r="M585" s="92"/>
      <c r="N585" s="152" t="str">
        <f t="shared" ca="1" si="9"/>
        <v>Enter the number of homes on the 1_SetUp sheet</v>
      </c>
    </row>
    <row r="586" spans="1:14" ht="15" customHeight="1">
      <c r="A586" s="158">
        <v>582</v>
      </c>
      <c r="B586" s="93"/>
      <c r="C586" s="94"/>
      <c r="D586" s="94"/>
      <c r="E586" s="93" t="s">
        <v>55</v>
      </c>
      <c r="F586" s="93" t="s">
        <v>56</v>
      </c>
      <c r="G586" s="93"/>
      <c r="H586" s="95"/>
      <c r="I586" s="93"/>
      <c r="J586" s="93"/>
      <c r="K586" s="93"/>
      <c r="L586" s="179"/>
      <c r="M586" s="92"/>
      <c r="N586" s="152" t="str">
        <f t="shared" ca="1" si="9"/>
        <v>Enter the number of homes on the 1_SetUp sheet</v>
      </c>
    </row>
    <row r="587" spans="1:14" ht="15" customHeight="1">
      <c r="A587" s="158">
        <v>583</v>
      </c>
      <c r="B587" s="93"/>
      <c r="C587" s="94"/>
      <c r="D587" s="94"/>
      <c r="E587" s="93" t="s">
        <v>55</v>
      </c>
      <c r="F587" s="93" t="s">
        <v>56</v>
      </c>
      <c r="G587" s="93"/>
      <c r="H587" s="95"/>
      <c r="I587" s="93"/>
      <c r="J587" s="93"/>
      <c r="K587" s="93"/>
      <c r="L587" s="179"/>
      <c r="M587" s="92"/>
      <c r="N587" s="152" t="str">
        <f t="shared" ca="1" si="9"/>
        <v>Enter the number of homes on the 1_SetUp sheet</v>
      </c>
    </row>
    <row r="588" spans="1:14" ht="15" customHeight="1">
      <c r="A588" s="158">
        <v>584</v>
      </c>
      <c r="B588" s="93"/>
      <c r="C588" s="94"/>
      <c r="D588" s="94"/>
      <c r="E588" s="93" t="s">
        <v>55</v>
      </c>
      <c r="F588" s="93" t="s">
        <v>56</v>
      </c>
      <c r="G588" s="93"/>
      <c r="H588" s="95"/>
      <c r="I588" s="93"/>
      <c r="J588" s="93"/>
      <c r="K588" s="93"/>
      <c r="L588" s="179"/>
      <c r="M588" s="92"/>
      <c r="N588" s="152" t="str">
        <f t="shared" ca="1" si="9"/>
        <v>Enter the number of homes on the 1_SetUp sheet</v>
      </c>
    </row>
    <row r="589" spans="1:14" ht="15" customHeight="1">
      <c r="A589" s="158">
        <v>585</v>
      </c>
      <c r="B589" s="93"/>
      <c r="C589" s="94"/>
      <c r="D589" s="94"/>
      <c r="E589" s="93" t="s">
        <v>55</v>
      </c>
      <c r="F589" s="93" t="s">
        <v>56</v>
      </c>
      <c r="G589" s="93"/>
      <c r="H589" s="95"/>
      <c r="I589" s="93"/>
      <c r="J589" s="93"/>
      <c r="K589" s="93"/>
      <c r="L589" s="179"/>
      <c r="M589" s="92"/>
      <c r="N589" s="152" t="str">
        <f t="shared" ca="1" si="9"/>
        <v>Enter the number of homes on the 1_SetUp sheet</v>
      </c>
    </row>
    <row r="590" spans="1:14" ht="15" customHeight="1">
      <c r="A590" s="158">
        <v>586</v>
      </c>
      <c r="B590" s="93"/>
      <c r="C590" s="94"/>
      <c r="D590" s="94"/>
      <c r="E590" s="93" t="s">
        <v>55</v>
      </c>
      <c r="F590" s="93" t="s">
        <v>56</v>
      </c>
      <c r="G590" s="93"/>
      <c r="H590" s="95"/>
      <c r="I590" s="93"/>
      <c r="J590" s="93"/>
      <c r="K590" s="93"/>
      <c r="L590" s="179"/>
      <c r="M590" s="92"/>
      <c r="N590" s="152" t="str">
        <f t="shared" ca="1" si="9"/>
        <v>Enter the number of homes on the 1_SetUp sheet</v>
      </c>
    </row>
    <row r="591" spans="1:14" ht="15" customHeight="1">
      <c r="A591" s="158">
        <v>587</v>
      </c>
      <c r="B591" s="93"/>
      <c r="C591" s="94"/>
      <c r="D591" s="94"/>
      <c r="E591" s="93" t="s">
        <v>55</v>
      </c>
      <c r="F591" s="93" t="s">
        <v>56</v>
      </c>
      <c r="G591" s="93"/>
      <c r="H591" s="95"/>
      <c r="I591" s="93"/>
      <c r="J591" s="93"/>
      <c r="K591" s="93"/>
      <c r="L591" s="179"/>
      <c r="M591" s="92"/>
      <c r="N591" s="152" t="str">
        <f t="shared" ca="1" si="9"/>
        <v>Enter the number of homes on the 1_SetUp sheet</v>
      </c>
    </row>
    <row r="592" spans="1:14" ht="15" customHeight="1">
      <c r="A592" s="158">
        <v>588</v>
      </c>
      <c r="B592" s="93"/>
      <c r="C592" s="94"/>
      <c r="D592" s="94"/>
      <c r="E592" s="93" t="s">
        <v>55</v>
      </c>
      <c r="F592" s="93" t="s">
        <v>56</v>
      </c>
      <c r="G592" s="93"/>
      <c r="H592" s="95"/>
      <c r="I592" s="93"/>
      <c r="J592" s="93"/>
      <c r="K592" s="93"/>
      <c r="L592" s="179"/>
      <c r="M592" s="92"/>
      <c r="N592" s="152" t="str">
        <f t="shared" ca="1" si="9"/>
        <v>Enter the number of homes on the 1_SetUp sheet</v>
      </c>
    </row>
    <row r="593" spans="1:14" ht="15" customHeight="1">
      <c r="A593" s="158">
        <v>589</v>
      </c>
      <c r="B593" s="93"/>
      <c r="C593" s="94"/>
      <c r="D593" s="94"/>
      <c r="E593" s="93" t="s">
        <v>55</v>
      </c>
      <c r="F593" s="93" t="s">
        <v>56</v>
      </c>
      <c r="G593" s="93"/>
      <c r="H593" s="95"/>
      <c r="I593" s="93"/>
      <c r="J593" s="93"/>
      <c r="K593" s="93"/>
      <c r="L593" s="179"/>
      <c r="M593" s="92"/>
      <c r="N593" s="152" t="str">
        <f t="shared" ca="1" si="9"/>
        <v>Enter the number of homes on the 1_SetUp sheet</v>
      </c>
    </row>
    <row r="594" spans="1:14" ht="15" customHeight="1">
      <c r="A594" s="158">
        <v>590</v>
      </c>
      <c r="B594" s="93"/>
      <c r="C594" s="94"/>
      <c r="D594" s="94"/>
      <c r="E594" s="93" t="s">
        <v>55</v>
      </c>
      <c r="F594" s="93" t="s">
        <v>56</v>
      </c>
      <c r="G594" s="93"/>
      <c r="H594" s="95"/>
      <c r="I594" s="93"/>
      <c r="J594" s="93"/>
      <c r="K594" s="93"/>
      <c r="L594" s="179"/>
      <c r="M594" s="92"/>
      <c r="N594" s="152" t="str">
        <f t="shared" ca="1" si="9"/>
        <v>Enter the number of homes on the 1_SetUp sheet</v>
      </c>
    </row>
    <row r="595" spans="1:14" ht="15" customHeight="1">
      <c r="A595" s="158">
        <v>591</v>
      </c>
      <c r="B595" s="93"/>
      <c r="C595" s="94"/>
      <c r="D595" s="94"/>
      <c r="E595" s="93" t="s">
        <v>55</v>
      </c>
      <c r="F595" s="93" t="s">
        <v>56</v>
      </c>
      <c r="G595" s="93"/>
      <c r="H595" s="95"/>
      <c r="I595" s="93"/>
      <c r="J595" s="93"/>
      <c r="K595" s="93"/>
      <c r="L595" s="179"/>
      <c r="M595" s="92"/>
      <c r="N595" s="152" t="str">
        <f t="shared" ca="1" si="9"/>
        <v>Enter the number of homes on the 1_SetUp sheet</v>
      </c>
    </row>
    <row r="596" spans="1:14" ht="15" customHeight="1">
      <c r="A596" s="158">
        <v>592</v>
      </c>
      <c r="B596" s="93"/>
      <c r="C596" s="94"/>
      <c r="D596" s="94"/>
      <c r="E596" s="93" t="s">
        <v>55</v>
      </c>
      <c r="F596" s="93" t="s">
        <v>56</v>
      </c>
      <c r="G596" s="93"/>
      <c r="H596" s="95"/>
      <c r="I596" s="93"/>
      <c r="J596" s="93"/>
      <c r="K596" s="93"/>
      <c r="L596" s="179"/>
      <c r="M596" s="92"/>
      <c r="N596" s="152" t="str">
        <f t="shared" ca="1" si="9"/>
        <v>Enter the number of homes on the 1_SetUp sheet</v>
      </c>
    </row>
    <row r="597" spans="1:14" ht="15" customHeight="1">
      <c r="A597" s="158">
        <v>593</v>
      </c>
      <c r="B597" s="93"/>
      <c r="C597" s="94"/>
      <c r="D597" s="94"/>
      <c r="E597" s="93" t="s">
        <v>55</v>
      </c>
      <c r="F597" s="93" t="s">
        <v>56</v>
      </c>
      <c r="G597" s="93"/>
      <c r="H597" s="95"/>
      <c r="I597" s="93"/>
      <c r="J597" s="93"/>
      <c r="K597" s="93"/>
      <c r="L597" s="179"/>
      <c r="M597" s="92"/>
      <c r="N597" s="152" t="str">
        <f t="shared" ca="1" si="9"/>
        <v>Enter the number of homes on the 1_SetUp sheet</v>
      </c>
    </row>
    <row r="598" spans="1:14" ht="15" customHeight="1">
      <c r="A598" s="158">
        <v>594</v>
      </c>
      <c r="B598" s="93"/>
      <c r="C598" s="94"/>
      <c r="D598" s="94"/>
      <c r="E598" s="93" t="s">
        <v>55</v>
      </c>
      <c r="F598" s="93" t="s">
        <v>56</v>
      </c>
      <c r="G598" s="93"/>
      <c r="H598" s="95"/>
      <c r="I598" s="93"/>
      <c r="J598" s="93"/>
      <c r="K598" s="93"/>
      <c r="L598" s="179"/>
      <c r="M598" s="92"/>
      <c r="N598" s="152" t="str">
        <f t="shared" ca="1" si="9"/>
        <v>Enter the number of homes on the 1_SetUp sheet</v>
      </c>
    </row>
    <row r="599" spans="1:14" ht="15" customHeight="1">
      <c r="A599" s="158">
        <v>595</v>
      </c>
      <c r="B599" s="93"/>
      <c r="C599" s="94"/>
      <c r="D599" s="94"/>
      <c r="E599" s="93" t="s">
        <v>55</v>
      </c>
      <c r="F599" s="93" t="s">
        <v>56</v>
      </c>
      <c r="G599" s="93"/>
      <c r="H599" s="95"/>
      <c r="I599" s="93"/>
      <c r="J599" s="93"/>
      <c r="K599" s="93"/>
      <c r="L599" s="179"/>
      <c r="M599" s="92"/>
      <c r="N599" s="152" t="str">
        <f t="shared" ca="1" si="9"/>
        <v>Enter the number of homes on the 1_SetUp sheet</v>
      </c>
    </row>
    <row r="600" spans="1:14" ht="15" customHeight="1">
      <c r="A600" s="158">
        <v>596</v>
      </c>
      <c r="B600" s="93"/>
      <c r="C600" s="94"/>
      <c r="D600" s="94"/>
      <c r="E600" s="93" t="s">
        <v>55</v>
      </c>
      <c r="F600" s="93" t="s">
        <v>56</v>
      </c>
      <c r="G600" s="93"/>
      <c r="H600" s="95"/>
      <c r="I600" s="93"/>
      <c r="J600" s="93"/>
      <c r="K600" s="93"/>
      <c r="L600" s="179"/>
      <c r="M600" s="92"/>
      <c r="N600" s="152" t="str">
        <f t="shared" ca="1" si="9"/>
        <v>Enter the number of homes on the 1_SetUp sheet</v>
      </c>
    </row>
    <row r="601" spans="1:14" ht="15" customHeight="1">
      <c r="A601" s="158">
        <v>597</v>
      </c>
      <c r="B601" s="93"/>
      <c r="C601" s="94"/>
      <c r="D601" s="94"/>
      <c r="E601" s="93" t="s">
        <v>55</v>
      </c>
      <c r="F601" s="93" t="s">
        <v>56</v>
      </c>
      <c r="G601" s="93"/>
      <c r="H601" s="95"/>
      <c r="I601" s="93"/>
      <c r="J601" s="93"/>
      <c r="K601" s="93"/>
      <c r="L601" s="179"/>
      <c r="M601" s="92"/>
      <c r="N601" s="152" t="str">
        <f t="shared" ca="1" si="9"/>
        <v>Enter the number of homes on the 1_SetUp sheet</v>
      </c>
    </row>
    <row r="602" spans="1:14" ht="15" customHeight="1">
      <c r="A602" s="158">
        <v>598</v>
      </c>
      <c r="B602" s="93"/>
      <c r="C602" s="94"/>
      <c r="D602" s="94"/>
      <c r="E602" s="93" t="s">
        <v>55</v>
      </c>
      <c r="F602" s="93" t="s">
        <v>56</v>
      </c>
      <c r="G602" s="93"/>
      <c r="H602" s="95"/>
      <c r="I602" s="93"/>
      <c r="J602" s="93"/>
      <c r="K602" s="93"/>
      <c r="L602" s="179"/>
      <c r="M602" s="92"/>
      <c r="N602" s="152" t="str">
        <f t="shared" ca="1" si="9"/>
        <v>Enter the number of homes on the 1_SetUp sheet</v>
      </c>
    </row>
    <row r="603" spans="1:14" ht="15" customHeight="1">
      <c r="A603" s="158">
        <v>599</v>
      </c>
      <c r="B603" s="93"/>
      <c r="C603" s="94"/>
      <c r="D603" s="94"/>
      <c r="E603" s="93" t="s">
        <v>55</v>
      </c>
      <c r="F603" s="93" t="s">
        <v>56</v>
      </c>
      <c r="G603" s="93"/>
      <c r="H603" s="95"/>
      <c r="I603" s="93"/>
      <c r="J603" s="93"/>
      <c r="K603" s="93"/>
      <c r="L603" s="179"/>
      <c r="M603" s="92"/>
      <c r="N603" s="152" t="str">
        <f t="shared" ca="1" si="9"/>
        <v>Enter the number of homes on the 1_SetUp sheet</v>
      </c>
    </row>
    <row r="604" spans="1:14" ht="15" customHeight="1">
      <c r="A604" s="158">
        <v>600</v>
      </c>
      <c r="B604" s="93"/>
      <c r="C604" s="94"/>
      <c r="D604" s="94"/>
      <c r="E604" s="93" t="s">
        <v>55</v>
      </c>
      <c r="F604" s="93" t="s">
        <v>56</v>
      </c>
      <c r="G604" s="93"/>
      <c r="H604" s="95"/>
      <c r="I604" s="93"/>
      <c r="J604" s="93"/>
      <c r="K604" s="93"/>
      <c r="L604" s="179"/>
      <c r="M604" s="92"/>
      <c r="N604" s="152" t="str">
        <f t="shared" ca="1" si="9"/>
        <v>Enter the number of homes on the 1_SetUp sheet</v>
      </c>
    </row>
  </sheetData>
  <sheetProtection algorithmName="SHA-1" hashValue="BOCeP3PNeELLVwwFgcyJd9KPlW0=" saltValue="b/r9E70e3JxOcCGVByJ7bQ==" spinCount="100000" sheet="1" formatCells="0"/>
  <phoneticPr fontId="4" type="noConversion"/>
  <conditionalFormatting sqref="N5:N604">
    <cfRule type="cellIs" dxfId="340" priority="1" operator="equal">
      <formula>"No error"</formula>
    </cfRule>
  </conditionalFormatting>
  <dataValidations count="5">
    <dataValidation allowBlank="1" showInputMessage="1" showErrorMessage="1" sqref="N5:N604 C5:C604" xr:uid="{5B65138B-DB43-42A7-824A-5F3BAA1FF994}"/>
    <dataValidation type="list" allowBlank="1" showInputMessage="1" showErrorMessage="1" sqref="L5:L604 J5:J604" xr:uid="{DAB5BE97-64E3-4DE2-8E9F-1EED0B603940}">
      <formula1>Years</formula1>
    </dataValidation>
    <dataValidation type="list" allowBlank="1" showInputMessage="1" showErrorMessage="1" sqref="F5:F604" xr:uid="{C00093F3-13AC-4C27-9DC5-502670B68057}">
      <formula1>TenureDetail</formula1>
    </dataValidation>
    <dataValidation type="list" allowBlank="1" showInputMessage="1" showErrorMessage="1" sqref="G5:G604" xr:uid="{C175045F-737D-4B45-8AED-B57DF3D511AD}">
      <formula1>BuildType</formula1>
    </dataValidation>
    <dataValidation type="list" allowBlank="1" showInputMessage="1" showErrorMessage="1" sqref="I5:I604 K5:K604" xr:uid="{B764143F-9FC1-4C78-962D-1D8E631C9ED1}">
      <formula1>Months</formula1>
    </dataValidation>
  </dataValidations>
  <hyperlinks>
    <hyperlink ref="A3" location="CoverSheet!A1" display="Back to cover sheet" xr:uid="{C7C89544-E1C3-4890-9E3B-F6FCAAE0FBD9}"/>
    <hyperlink ref="B3" location="'3_ProjectCosts'!A1" display="Go to next step" xr:uid="{A8F13FFD-600E-48F6-A34C-7049BA2C121B}"/>
    <hyperlink ref="C1" r:id="rId1" xr:uid="{B30301A9-FAF0-5E45-8F6C-3950E0D78BCC}"/>
    <hyperlink ref="B1" r:id="rId2" xr:uid="{F0AEDC7F-5084-4143-9B00-41457AE9F744}"/>
  </hyperlinks>
  <pageMargins left="0.7" right="0.7" top="0.75" bottom="0.75" header="0.3" footer="0.3"/>
  <pageSetup paperSize="9" orientation="portrait"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886A00F7-414F-40F2-B44C-0D76169AFC99}">
          <x14:formula1>
            <xm:f>ReferenceData!$E$4:$E$8</xm:f>
          </x14:formula1>
          <xm:sqref>D5:D604</xm:sqref>
        </x14:dataValidation>
        <x14:dataValidation type="list" allowBlank="1" showInputMessage="1" showErrorMessage="1" xr:uid="{01A39AD4-020D-4F74-9ADE-5126E02A45E1}">
          <x14:formula1>
            <xm:f>ReferenceData!$A$4:$A$12</xm:f>
          </x14:formula1>
          <xm:sqref>E5:E604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92A1-BA09-43B0-AD5F-A0029A9C244C}">
  <sheetPr codeName="Sheet5"/>
  <dimension ref="A1:DW27"/>
  <sheetViews>
    <sheetView zoomScaleNormal="100" workbookViewId="0"/>
  </sheetViews>
  <sheetFormatPr defaultColWidth="8.81640625" defaultRowHeight="15.5"/>
  <cols>
    <col min="1" max="1" width="39" style="24" customWidth="1"/>
    <col min="2" max="2" width="23.453125" style="24" customWidth="1"/>
    <col min="3" max="3" width="24.1796875" style="24" customWidth="1"/>
    <col min="4" max="123" width="20.6328125" style="26" customWidth="1"/>
    <col min="124" max="127" width="20.6328125" style="24" customWidth="1"/>
    <col min="128" max="16384" width="8.81640625" style="24"/>
  </cols>
  <sheetData>
    <row r="1" spans="1:127" ht="53.15" customHeight="1">
      <c r="A1" s="66" t="s">
        <v>59</v>
      </c>
      <c r="B1" s="91" t="s">
        <v>22</v>
      </c>
      <c r="C1" s="91" t="s">
        <v>23</v>
      </c>
    </row>
    <row r="2" spans="1:127" s="49" customFormat="1" ht="170.15" customHeight="1">
      <c r="A2" s="62" t="s">
        <v>60</v>
      </c>
    </row>
    <row r="3" spans="1:127" ht="37" customHeight="1">
      <c r="A3" s="64" t="s">
        <v>25</v>
      </c>
      <c r="B3" s="65" t="s">
        <v>40</v>
      </c>
    </row>
    <row r="4" spans="1:127" s="25" customFormat="1" ht="48" customHeight="1">
      <c r="A4" s="71" t="s">
        <v>61</v>
      </c>
      <c r="B4" s="72" t="s">
        <v>62</v>
      </c>
      <c r="C4" s="71" t="s">
        <v>63</v>
      </c>
      <c r="D4" s="73" t="s">
        <v>64</v>
      </c>
      <c r="E4" s="73" t="s">
        <v>65</v>
      </c>
      <c r="F4" s="73" t="s">
        <v>66</v>
      </c>
      <c r="G4" s="73" t="s">
        <v>67</v>
      </c>
      <c r="H4" s="73" t="s">
        <v>68</v>
      </c>
      <c r="I4" s="73" t="s">
        <v>69</v>
      </c>
      <c r="J4" s="73" t="s">
        <v>70</v>
      </c>
      <c r="K4" s="73" t="s">
        <v>71</v>
      </c>
      <c r="L4" s="73" t="s">
        <v>72</v>
      </c>
      <c r="M4" s="73" t="s">
        <v>73</v>
      </c>
      <c r="N4" s="73" t="s">
        <v>74</v>
      </c>
      <c r="O4" s="73" t="s">
        <v>75</v>
      </c>
      <c r="P4" s="73" t="s">
        <v>76</v>
      </c>
      <c r="Q4" s="73" t="s">
        <v>77</v>
      </c>
      <c r="R4" s="73" t="s">
        <v>78</v>
      </c>
      <c r="S4" s="73" t="s">
        <v>79</v>
      </c>
      <c r="T4" s="73" t="s">
        <v>80</v>
      </c>
      <c r="U4" s="73" t="s">
        <v>81</v>
      </c>
      <c r="V4" s="73" t="s">
        <v>82</v>
      </c>
      <c r="W4" s="73" t="s">
        <v>83</v>
      </c>
      <c r="X4" s="73" t="s">
        <v>84</v>
      </c>
      <c r="Y4" s="73" t="s">
        <v>85</v>
      </c>
      <c r="Z4" s="73" t="s">
        <v>86</v>
      </c>
      <c r="AA4" s="73" t="s">
        <v>87</v>
      </c>
      <c r="AB4" s="73" t="s">
        <v>88</v>
      </c>
      <c r="AC4" s="73" t="s">
        <v>89</v>
      </c>
      <c r="AD4" s="73" t="s">
        <v>90</v>
      </c>
      <c r="AE4" s="73" t="s">
        <v>91</v>
      </c>
      <c r="AF4" s="73" t="s">
        <v>92</v>
      </c>
      <c r="AG4" s="73" t="s">
        <v>93</v>
      </c>
      <c r="AH4" s="73" t="s">
        <v>94</v>
      </c>
      <c r="AI4" s="73" t="s">
        <v>95</v>
      </c>
      <c r="AJ4" s="73" t="s">
        <v>96</v>
      </c>
      <c r="AK4" s="73" t="s">
        <v>97</v>
      </c>
      <c r="AL4" s="73" t="s">
        <v>98</v>
      </c>
      <c r="AM4" s="73" t="s">
        <v>99</v>
      </c>
      <c r="AN4" s="73" t="s">
        <v>100</v>
      </c>
      <c r="AO4" s="73" t="s">
        <v>101</v>
      </c>
      <c r="AP4" s="73" t="s">
        <v>102</v>
      </c>
      <c r="AQ4" s="73" t="s">
        <v>103</v>
      </c>
      <c r="AR4" s="73" t="s">
        <v>104</v>
      </c>
      <c r="AS4" s="73" t="s">
        <v>105</v>
      </c>
      <c r="AT4" s="73" t="s">
        <v>106</v>
      </c>
      <c r="AU4" s="73" t="s">
        <v>107</v>
      </c>
      <c r="AV4" s="73" t="s">
        <v>108</v>
      </c>
      <c r="AW4" s="73" t="s">
        <v>109</v>
      </c>
      <c r="AX4" s="73" t="s">
        <v>110</v>
      </c>
      <c r="AY4" s="73" t="s">
        <v>111</v>
      </c>
      <c r="AZ4" s="73" t="s">
        <v>112</v>
      </c>
      <c r="BA4" s="73" t="s">
        <v>113</v>
      </c>
      <c r="BB4" s="73" t="s">
        <v>114</v>
      </c>
      <c r="BC4" s="73" t="s">
        <v>115</v>
      </c>
      <c r="BD4" s="73" t="s">
        <v>116</v>
      </c>
      <c r="BE4" s="73" t="s">
        <v>117</v>
      </c>
      <c r="BF4" s="73" t="s">
        <v>118</v>
      </c>
      <c r="BG4" s="73" t="s">
        <v>119</v>
      </c>
      <c r="BH4" s="73" t="s">
        <v>120</v>
      </c>
      <c r="BI4" s="73" t="s">
        <v>121</v>
      </c>
      <c r="BJ4" s="73" t="s">
        <v>122</v>
      </c>
      <c r="BK4" s="73" t="s">
        <v>123</v>
      </c>
      <c r="BL4" s="73" t="s">
        <v>124</v>
      </c>
      <c r="BM4" s="73" t="s">
        <v>125</v>
      </c>
      <c r="BN4" s="73" t="s">
        <v>126</v>
      </c>
      <c r="BO4" s="73" t="s">
        <v>127</v>
      </c>
      <c r="BP4" s="73" t="s">
        <v>128</v>
      </c>
      <c r="BQ4" s="73" t="s">
        <v>129</v>
      </c>
      <c r="BR4" s="73" t="s">
        <v>130</v>
      </c>
      <c r="BS4" s="73" t="s">
        <v>131</v>
      </c>
      <c r="BT4" s="73" t="s">
        <v>132</v>
      </c>
      <c r="BU4" s="73" t="s">
        <v>133</v>
      </c>
      <c r="BV4" s="73" t="s">
        <v>134</v>
      </c>
      <c r="BW4" s="73" t="s">
        <v>135</v>
      </c>
      <c r="BX4" s="73" t="s">
        <v>136</v>
      </c>
      <c r="BY4" s="73" t="s">
        <v>137</v>
      </c>
      <c r="BZ4" s="73" t="s">
        <v>138</v>
      </c>
      <c r="CA4" s="73" t="s">
        <v>139</v>
      </c>
      <c r="CB4" s="73" t="s">
        <v>140</v>
      </c>
      <c r="CC4" s="73" t="s">
        <v>141</v>
      </c>
      <c r="CD4" s="73" t="s">
        <v>142</v>
      </c>
      <c r="CE4" s="73" t="s">
        <v>143</v>
      </c>
      <c r="CF4" s="73" t="s">
        <v>144</v>
      </c>
      <c r="CG4" s="73" t="s">
        <v>145</v>
      </c>
      <c r="CH4" s="73" t="s">
        <v>146</v>
      </c>
      <c r="CI4" s="73" t="s">
        <v>147</v>
      </c>
      <c r="CJ4" s="73" t="s">
        <v>148</v>
      </c>
      <c r="CK4" s="73" t="s">
        <v>149</v>
      </c>
      <c r="CL4" s="73" t="s">
        <v>150</v>
      </c>
      <c r="CM4" s="73" t="s">
        <v>151</v>
      </c>
      <c r="CN4" s="73" t="s">
        <v>152</v>
      </c>
      <c r="CO4" s="73" t="s">
        <v>153</v>
      </c>
      <c r="CP4" s="73" t="s">
        <v>154</v>
      </c>
      <c r="CQ4" s="73" t="s">
        <v>155</v>
      </c>
      <c r="CR4" s="73" t="s">
        <v>156</v>
      </c>
      <c r="CS4" s="73" t="s">
        <v>157</v>
      </c>
      <c r="CT4" s="73" t="s">
        <v>158</v>
      </c>
      <c r="CU4" s="73" t="s">
        <v>159</v>
      </c>
      <c r="CV4" s="73" t="s">
        <v>160</v>
      </c>
      <c r="CW4" s="73" t="s">
        <v>161</v>
      </c>
      <c r="CX4" s="73" t="s">
        <v>162</v>
      </c>
      <c r="CY4" s="73" t="s">
        <v>163</v>
      </c>
      <c r="CZ4" s="73" t="s">
        <v>164</v>
      </c>
      <c r="DA4" s="73" t="s">
        <v>165</v>
      </c>
      <c r="DB4" s="73" t="s">
        <v>166</v>
      </c>
      <c r="DC4" s="73" t="s">
        <v>167</v>
      </c>
      <c r="DD4" s="73" t="s">
        <v>168</v>
      </c>
      <c r="DE4" s="73" t="s">
        <v>169</v>
      </c>
      <c r="DF4" s="73" t="s">
        <v>170</v>
      </c>
      <c r="DG4" s="73" t="s">
        <v>171</v>
      </c>
      <c r="DH4" s="73" t="s">
        <v>172</v>
      </c>
      <c r="DI4" s="73" t="s">
        <v>173</v>
      </c>
      <c r="DJ4" s="73" t="s">
        <v>174</v>
      </c>
      <c r="DK4" s="73" t="s">
        <v>175</v>
      </c>
      <c r="DL4" s="73" t="s">
        <v>176</v>
      </c>
      <c r="DM4" s="73" t="s">
        <v>177</v>
      </c>
      <c r="DN4" s="73" t="s">
        <v>178</v>
      </c>
      <c r="DO4" s="73" t="s">
        <v>179</v>
      </c>
      <c r="DP4" s="73" t="s">
        <v>180</v>
      </c>
      <c r="DQ4" s="73" t="s">
        <v>181</v>
      </c>
      <c r="DR4" s="73" t="s">
        <v>182</v>
      </c>
      <c r="DS4" s="73" t="s">
        <v>183</v>
      </c>
      <c r="DT4" s="73" t="s">
        <v>184</v>
      </c>
      <c r="DU4" s="73" t="s">
        <v>185</v>
      </c>
      <c r="DV4" s="73" t="s">
        <v>186</v>
      </c>
      <c r="DW4" s="73" t="s">
        <v>187</v>
      </c>
    </row>
    <row r="5" spans="1:127" s="25" customFormat="1">
      <c r="A5" s="71" t="s">
        <v>188</v>
      </c>
      <c r="B5" s="161" t="s">
        <v>189</v>
      </c>
      <c r="C5" s="162" t="s">
        <v>189</v>
      </c>
      <c r="D5" s="74" t="str">
        <f ca="1">IF(OR(ISBLANK(StartDateMonth),ISBLANK(StartDateYear)),"",IF(DATEVALUE(StartDateMonth&amp;StartDateYear)&lt;(DATEVALUE(TEXT(TODAY(),"DD")&amp;"/"&amp;TEXT(TODAY(),"MM")&amp;"/"&amp;TEXT(TODAY(),"YYYY"))),DATEVALUE(TEXT(TODAY(),"mmmm")&amp;TEXT(TODAY(),"YYYY")),DATEVALUE(StartDateMonth&amp;StartDateYear)))</f>
        <v/>
      </c>
      <c r="E5" s="74" t="str">
        <f t="shared" ref="E5:AJ5" si="0">IF(CompletionMonth="","",IF(D5&gt;=EDATE(DATEVALUE(CompletionMonth&amp;CompletionYear),1),"",EDATE(D5,1)))</f>
        <v/>
      </c>
      <c r="F5" s="74" t="str">
        <f t="shared" si="0"/>
        <v/>
      </c>
      <c r="G5" s="74" t="str">
        <f t="shared" si="0"/>
        <v/>
      </c>
      <c r="H5" s="74" t="str">
        <f t="shared" si="0"/>
        <v/>
      </c>
      <c r="I5" s="74" t="str">
        <f t="shared" si="0"/>
        <v/>
      </c>
      <c r="J5" s="74" t="str">
        <f t="shared" si="0"/>
        <v/>
      </c>
      <c r="K5" s="74" t="str">
        <f t="shared" si="0"/>
        <v/>
      </c>
      <c r="L5" s="74" t="str">
        <f t="shared" si="0"/>
        <v/>
      </c>
      <c r="M5" s="74" t="str">
        <f t="shared" si="0"/>
        <v/>
      </c>
      <c r="N5" s="74" t="str">
        <f t="shared" si="0"/>
        <v/>
      </c>
      <c r="O5" s="74" t="str">
        <f t="shared" si="0"/>
        <v/>
      </c>
      <c r="P5" s="74" t="str">
        <f t="shared" si="0"/>
        <v/>
      </c>
      <c r="Q5" s="74" t="str">
        <f>IF(CompletionMonth="","",IF(P5&gt;=EDATE(DATEVALUE(CompletionMonth&amp;CompletionYear),1),"",EDATE(P5,1)))</f>
        <v/>
      </c>
      <c r="R5" s="74" t="str">
        <f t="shared" si="0"/>
        <v/>
      </c>
      <c r="S5" s="74" t="str">
        <f t="shared" si="0"/>
        <v/>
      </c>
      <c r="T5" s="74" t="str">
        <f t="shared" si="0"/>
        <v/>
      </c>
      <c r="U5" s="74" t="str">
        <f t="shared" si="0"/>
        <v/>
      </c>
      <c r="V5" s="74" t="str">
        <f t="shared" si="0"/>
        <v/>
      </c>
      <c r="W5" s="74" t="str">
        <f t="shared" si="0"/>
        <v/>
      </c>
      <c r="X5" s="74" t="str">
        <f t="shared" si="0"/>
        <v/>
      </c>
      <c r="Y5" s="74" t="str">
        <f t="shared" si="0"/>
        <v/>
      </c>
      <c r="Z5" s="74" t="str">
        <f t="shared" si="0"/>
        <v/>
      </c>
      <c r="AA5" s="74" t="str">
        <f t="shared" si="0"/>
        <v/>
      </c>
      <c r="AB5" s="74" t="str">
        <f t="shared" si="0"/>
        <v/>
      </c>
      <c r="AC5" s="74" t="str">
        <f t="shared" si="0"/>
        <v/>
      </c>
      <c r="AD5" s="74" t="str">
        <f t="shared" si="0"/>
        <v/>
      </c>
      <c r="AE5" s="74" t="str">
        <f t="shared" si="0"/>
        <v/>
      </c>
      <c r="AF5" s="74" t="str">
        <f t="shared" si="0"/>
        <v/>
      </c>
      <c r="AG5" s="74" t="str">
        <f t="shared" si="0"/>
        <v/>
      </c>
      <c r="AH5" s="74" t="str">
        <f t="shared" si="0"/>
        <v/>
      </c>
      <c r="AI5" s="74" t="str">
        <f t="shared" si="0"/>
        <v/>
      </c>
      <c r="AJ5" s="74" t="str">
        <f t="shared" si="0"/>
        <v/>
      </c>
      <c r="AK5" s="74" t="str">
        <f t="shared" ref="AK5:BP5" si="1">IF(CompletionMonth="","",IF(AJ5&gt;=EDATE(DATEVALUE(CompletionMonth&amp;CompletionYear),1),"",EDATE(AJ5,1)))</f>
        <v/>
      </c>
      <c r="AL5" s="74" t="str">
        <f t="shared" si="1"/>
        <v/>
      </c>
      <c r="AM5" s="74" t="str">
        <f t="shared" si="1"/>
        <v/>
      </c>
      <c r="AN5" s="74" t="str">
        <f t="shared" si="1"/>
        <v/>
      </c>
      <c r="AO5" s="74" t="str">
        <f t="shared" si="1"/>
        <v/>
      </c>
      <c r="AP5" s="74" t="str">
        <f t="shared" si="1"/>
        <v/>
      </c>
      <c r="AQ5" s="74" t="str">
        <f t="shared" si="1"/>
        <v/>
      </c>
      <c r="AR5" s="74" t="str">
        <f t="shared" si="1"/>
        <v/>
      </c>
      <c r="AS5" s="74" t="str">
        <f t="shared" si="1"/>
        <v/>
      </c>
      <c r="AT5" s="74" t="str">
        <f t="shared" si="1"/>
        <v/>
      </c>
      <c r="AU5" s="74" t="str">
        <f t="shared" si="1"/>
        <v/>
      </c>
      <c r="AV5" s="74" t="str">
        <f t="shared" si="1"/>
        <v/>
      </c>
      <c r="AW5" s="74" t="str">
        <f t="shared" si="1"/>
        <v/>
      </c>
      <c r="AX5" s="74" t="str">
        <f t="shared" si="1"/>
        <v/>
      </c>
      <c r="AY5" s="74" t="str">
        <f t="shared" si="1"/>
        <v/>
      </c>
      <c r="AZ5" s="74" t="str">
        <f t="shared" si="1"/>
        <v/>
      </c>
      <c r="BA5" s="74" t="str">
        <f t="shared" si="1"/>
        <v/>
      </c>
      <c r="BB5" s="74" t="str">
        <f t="shared" si="1"/>
        <v/>
      </c>
      <c r="BC5" s="74" t="str">
        <f t="shared" si="1"/>
        <v/>
      </c>
      <c r="BD5" s="74" t="str">
        <f t="shared" si="1"/>
        <v/>
      </c>
      <c r="BE5" s="74" t="str">
        <f t="shared" si="1"/>
        <v/>
      </c>
      <c r="BF5" s="74" t="str">
        <f t="shared" si="1"/>
        <v/>
      </c>
      <c r="BG5" s="74" t="str">
        <f t="shared" si="1"/>
        <v/>
      </c>
      <c r="BH5" s="74" t="str">
        <f t="shared" si="1"/>
        <v/>
      </c>
      <c r="BI5" s="74" t="str">
        <f t="shared" si="1"/>
        <v/>
      </c>
      <c r="BJ5" s="74" t="str">
        <f t="shared" si="1"/>
        <v/>
      </c>
      <c r="BK5" s="74" t="str">
        <f t="shared" si="1"/>
        <v/>
      </c>
      <c r="BL5" s="74" t="str">
        <f t="shared" si="1"/>
        <v/>
      </c>
      <c r="BM5" s="74" t="str">
        <f t="shared" si="1"/>
        <v/>
      </c>
      <c r="BN5" s="74" t="str">
        <f t="shared" si="1"/>
        <v/>
      </c>
      <c r="BO5" s="74" t="str">
        <f t="shared" si="1"/>
        <v/>
      </c>
      <c r="BP5" s="74" t="str">
        <f t="shared" si="1"/>
        <v/>
      </c>
      <c r="BQ5" s="74" t="str">
        <f t="shared" ref="BQ5:CV5" si="2">IF(CompletionMonth="","",IF(BP5&gt;=EDATE(DATEVALUE(CompletionMonth&amp;CompletionYear),1),"",EDATE(BP5,1)))</f>
        <v/>
      </c>
      <c r="BR5" s="74" t="str">
        <f t="shared" si="2"/>
        <v/>
      </c>
      <c r="BS5" s="74" t="str">
        <f t="shared" si="2"/>
        <v/>
      </c>
      <c r="BT5" s="74" t="str">
        <f t="shared" si="2"/>
        <v/>
      </c>
      <c r="BU5" s="74" t="str">
        <f t="shared" si="2"/>
        <v/>
      </c>
      <c r="BV5" s="74" t="str">
        <f t="shared" si="2"/>
        <v/>
      </c>
      <c r="BW5" s="74" t="str">
        <f t="shared" si="2"/>
        <v/>
      </c>
      <c r="BX5" s="74" t="str">
        <f t="shared" si="2"/>
        <v/>
      </c>
      <c r="BY5" s="74" t="str">
        <f t="shared" si="2"/>
        <v/>
      </c>
      <c r="BZ5" s="74" t="str">
        <f t="shared" si="2"/>
        <v/>
      </c>
      <c r="CA5" s="74" t="str">
        <f t="shared" si="2"/>
        <v/>
      </c>
      <c r="CB5" s="74" t="str">
        <f t="shared" si="2"/>
        <v/>
      </c>
      <c r="CC5" s="74" t="str">
        <f t="shared" si="2"/>
        <v/>
      </c>
      <c r="CD5" s="74" t="str">
        <f t="shared" si="2"/>
        <v/>
      </c>
      <c r="CE5" s="74" t="str">
        <f t="shared" si="2"/>
        <v/>
      </c>
      <c r="CF5" s="74" t="str">
        <f t="shared" si="2"/>
        <v/>
      </c>
      <c r="CG5" s="74" t="str">
        <f t="shared" si="2"/>
        <v/>
      </c>
      <c r="CH5" s="74" t="str">
        <f t="shared" si="2"/>
        <v/>
      </c>
      <c r="CI5" s="74" t="str">
        <f t="shared" si="2"/>
        <v/>
      </c>
      <c r="CJ5" s="74" t="str">
        <f t="shared" si="2"/>
        <v/>
      </c>
      <c r="CK5" s="74" t="str">
        <f t="shared" si="2"/>
        <v/>
      </c>
      <c r="CL5" s="74" t="str">
        <f t="shared" si="2"/>
        <v/>
      </c>
      <c r="CM5" s="74" t="str">
        <f t="shared" si="2"/>
        <v/>
      </c>
      <c r="CN5" s="74" t="str">
        <f t="shared" si="2"/>
        <v/>
      </c>
      <c r="CO5" s="74" t="str">
        <f t="shared" si="2"/>
        <v/>
      </c>
      <c r="CP5" s="74" t="str">
        <f t="shared" si="2"/>
        <v/>
      </c>
      <c r="CQ5" s="74" t="str">
        <f t="shared" si="2"/>
        <v/>
      </c>
      <c r="CR5" s="74" t="str">
        <f t="shared" si="2"/>
        <v/>
      </c>
      <c r="CS5" s="74" t="str">
        <f t="shared" si="2"/>
        <v/>
      </c>
      <c r="CT5" s="74" t="str">
        <f t="shared" si="2"/>
        <v/>
      </c>
      <c r="CU5" s="74" t="str">
        <f t="shared" si="2"/>
        <v/>
      </c>
      <c r="CV5" s="74" t="str">
        <f t="shared" si="2"/>
        <v/>
      </c>
      <c r="CW5" s="74" t="str">
        <f t="shared" ref="CW5:DW5" si="3">IF(CompletionMonth="","",IF(CV5&gt;=EDATE(DATEVALUE(CompletionMonth&amp;CompletionYear),1),"",EDATE(CV5,1)))</f>
        <v/>
      </c>
      <c r="CX5" s="74" t="str">
        <f t="shared" si="3"/>
        <v/>
      </c>
      <c r="CY5" s="74" t="str">
        <f t="shared" si="3"/>
        <v/>
      </c>
      <c r="CZ5" s="74" t="str">
        <f t="shared" si="3"/>
        <v/>
      </c>
      <c r="DA5" s="74" t="str">
        <f t="shared" si="3"/>
        <v/>
      </c>
      <c r="DB5" s="74" t="str">
        <f t="shared" si="3"/>
        <v/>
      </c>
      <c r="DC5" s="74" t="str">
        <f t="shared" si="3"/>
        <v/>
      </c>
      <c r="DD5" s="74" t="str">
        <f t="shared" si="3"/>
        <v/>
      </c>
      <c r="DE5" s="74" t="str">
        <f t="shared" si="3"/>
        <v/>
      </c>
      <c r="DF5" s="74" t="str">
        <f t="shared" si="3"/>
        <v/>
      </c>
      <c r="DG5" s="74" t="str">
        <f t="shared" si="3"/>
        <v/>
      </c>
      <c r="DH5" s="74" t="str">
        <f t="shared" si="3"/>
        <v/>
      </c>
      <c r="DI5" s="74" t="str">
        <f t="shared" si="3"/>
        <v/>
      </c>
      <c r="DJ5" s="74" t="str">
        <f t="shared" si="3"/>
        <v/>
      </c>
      <c r="DK5" s="74" t="str">
        <f t="shared" si="3"/>
        <v/>
      </c>
      <c r="DL5" s="74" t="str">
        <f t="shared" si="3"/>
        <v/>
      </c>
      <c r="DM5" s="74" t="str">
        <f t="shared" si="3"/>
        <v/>
      </c>
      <c r="DN5" s="74" t="str">
        <f t="shared" si="3"/>
        <v/>
      </c>
      <c r="DO5" s="74" t="str">
        <f t="shared" si="3"/>
        <v/>
      </c>
      <c r="DP5" s="74" t="str">
        <f t="shared" si="3"/>
        <v/>
      </c>
      <c r="DQ5" s="74" t="str">
        <f t="shared" si="3"/>
        <v/>
      </c>
      <c r="DR5" s="74" t="str">
        <f t="shared" si="3"/>
        <v/>
      </c>
      <c r="DS5" s="74" t="str">
        <f t="shared" si="3"/>
        <v/>
      </c>
      <c r="DT5" s="74" t="str">
        <f t="shared" si="3"/>
        <v/>
      </c>
      <c r="DU5" s="74" t="str">
        <f t="shared" si="3"/>
        <v/>
      </c>
      <c r="DV5" s="74" t="str">
        <f t="shared" si="3"/>
        <v/>
      </c>
      <c r="DW5" s="74" t="str">
        <f t="shared" si="3"/>
        <v/>
      </c>
    </row>
    <row r="6" spans="1:127">
      <c r="A6" s="27" t="s">
        <v>190</v>
      </c>
      <c r="B6" s="75">
        <f>SUM(C6:DW6)</f>
        <v>0</v>
      </c>
      <c r="C6" s="159"/>
      <c r="D6" s="159"/>
      <c r="E6" s="159"/>
      <c r="F6" s="159"/>
      <c r="G6" s="159"/>
      <c r="H6" s="159"/>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59"/>
      <c r="BK6" s="159"/>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60"/>
      <c r="DU6" s="160"/>
      <c r="DV6" s="160"/>
      <c r="DW6" s="160"/>
    </row>
    <row r="7" spans="1:127">
      <c r="A7" s="27" t="s">
        <v>191</v>
      </c>
      <c r="B7" s="75">
        <f t="shared" ref="B7:B20" si="4">SUM(C7:DW7)</f>
        <v>0</v>
      </c>
      <c r="C7" s="159"/>
      <c r="D7" s="159"/>
      <c r="E7" s="159"/>
      <c r="F7" s="159"/>
      <c r="G7" s="159"/>
      <c r="H7" s="159"/>
      <c r="I7" s="159"/>
      <c r="J7" s="159"/>
      <c r="K7" s="159"/>
      <c r="L7" s="159"/>
      <c r="M7" s="159"/>
      <c r="N7" s="159"/>
      <c r="O7" s="159"/>
      <c r="P7" s="159"/>
      <c r="Q7" s="159"/>
      <c r="R7" s="159"/>
      <c r="S7" s="159"/>
      <c r="T7" s="159"/>
      <c r="U7" s="159"/>
      <c r="V7" s="159"/>
      <c r="W7" s="159"/>
      <c r="X7" s="159"/>
      <c r="Y7" s="159"/>
      <c r="Z7" s="159"/>
      <c r="AA7" s="159"/>
      <c r="AB7" s="159"/>
      <c r="AC7" s="159"/>
      <c r="AD7" s="159"/>
      <c r="AE7" s="159"/>
      <c r="AF7" s="159"/>
      <c r="AG7" s="159"/>
      <c r="AH7" s="159"/>
      <c r="AI7" s="159"/>
      <c r="AJ7" s="159"/>
      <c r="AK7" s="159"/>
      <c r="AL7" s="159"/>
      <c r="AM7" s="159"/>
      <c r="AN7" s="159"/>
      <c r="AO7" s="159"/>
      <c r="AP7" s="159"/>
      <c r="AQ7" s="159"/>
      <c r="AR7" s="159"/>
      <c r="AS7" s="159"/>
      <c r="AT7" s="159"/>
      <c r="AU7" s="159"/>
      <c r="AV7" s="159"/>
      <c r="AW7" s="159"/>
      <c r="AX7" s="159"/>
      <c r="AY7" s="159"/>
      <c r="AZ7" s="159"/>
      <c r="BA7" s="159"/>
      <c r="BB7" s="159"/>
      <c r="BC7" s="159"/>
      <c r="BD7" s="159"/>
      <c r="BE7" s="159"/>
      <c r="BF7" s="159"/>
      <c r="BG7" s="159"/>
      <c r="BH7" s="159"/>
      <c r="BI7" s="159"/>
      <c r="BJ7" s="159"/>
      <c r="BK7" s="159"/>
      <c r="BL7" s="159"/>
      <c r="BM7" s="159"/>
      <c r="BN7" s="159"/>
      <c r="BO7" s="159"/>
      <c r="BP7" s="159"/>
      <c r="BQ7" s="159"/>
      <c r="BR7" s="159"/>
      <c r="BS7" s="159"/>
      <c r="BT7" s="159"/>
      <c r="BU7" s="159"/>
      <c r="BV7" s="159"/>
      <c r="BW7" s="159"/>
      <c r="BX7" s="159"/>
      <c r="BY7" s="159"/>
      <c r="BZ7" s="159"/>
      <c r="CA7" s="159"/>
      <c r="CB7" s="159"/>
      <c r="CC7" s="159"/>
      <c r="CD7" s="159"/>
      <c r="CE7" s="159"/>
      <c r="CF7" s="159"/>
      <c r="CG7" s="159"/>
      <c r="CH7" s="159"/>
      <c r="CI7" s="159"/>
      <c r="CJ7" s="159"/>
      <c r="CK7" s="159"/>
      <c r="CL7" s="159"/>
      <c r="CM7" s="159"/>
      <c r="CN7" s="159"/>
      <c r="CO7" s="159"/>
      <c r="CP7" s="159"/>
      <c r="CQ7" s="159"/>
      <c r="CR7" s="159"/>
      <c r="CS7" s="159"/>
      <c r="CT7" s="159"/>
      <c r="CU7" s="159"/>
      <c r="CV7" s="159"/>
      <c r="CW7" s="159"/>
      <c r="CX7" s="159"/>
      <c r="CY7" s="159"/>
      <c r="CZ7" s="159"/>
      <c r="DA7" s="159"/>
      <c r="DB7" s="159"/>
      <c r="DC7" s="159"/>
      <c r="DD7" s="159"/>
      <c r="DE7" s="159"/>
      <c r="DF7" s="159"/>
      <c r="DG7" s="159"/>
      <c r="DH7" s="159"/>
      <c r="DI7" s="159"/>
      <c r="DJ7" s="159"/>
      <c r="DK7" s="159"/>
      <c r="DL7" s="159"/>
      <c r="DM7" s="159"/>
      <c r="DN7" s="159"/>
      <c r="DO7" s="159"/>
      <c r="DP7" s="159"/>
      <c r="DQ7" s="159"/>
      <c r="DR7" s="159"/>
      <c r="DS7" s="159"/>
      <c r="DT7" s="160"/>
      <c r="DU7" s="160"/>
      <c r="DV7" s="160"/>
      <c r="DW7" s="160"/>
    </row>
    <row r="8" spans="1:127">
      <c r="A8" s="28" t="s">
        <v>192</v>
      </c>
      <c r="B8" s="75">
        <f t="shared" si="4"/>
        <v>0</v>
      </c>
      <c r="C8" s="159"/>
      <c r="D8" s="159"/>
      <c r="E8" s="159"/>
      <c r="F8" s="159"/>
      <c r="G8" s="159"/>
      <c r="H8" s="159"/>
      <c r="I8" s="159"/>
      <c r="J8" s="159"/>
      <c r="K8" s="159"/>
      <c r="L8" s="159"/>
      <c r="M8" s="159"/>
      <c r="N8" s="159"/>
      <c r="O8" s="159"/>
      <c r="P8" s="159"/>
      <c r="Q8" s="159"/>
      <c r="R8" s="159"/>
      <c r="S8" s="159"/>
      <c r="T8" s="159"/>
      <c r="U8" s="159"/>
      <c r="V8" s="159"/>
      <c r="W8" s="159"/>
      <c r="X8" s="159"/>
      <c r="Y8" s="159"/>
      <c r="Z8" s="159"/>
      <c r="AA8" s="159"/>
      <c r="AB8" s="159"/>
      <c r="AC8" s="159"/>
      <c r="AD8" s="159"/>
      <c r="AE8" s="159"/>
      <c r="AF8" s="159"/>
      <c r="AG8" s="159"/>
      <c r="AH8" s="159"/>
      <c r="AI8" s="159"/>
      <c r="AJ8" s="159"/>
      <c r="AK8" s="159"/>
      <c r="AL8" s="159"/>
      <c r="AM8" s="159"/>
      <c r="AN8" s="159"/>
      <c r="AO8" s="159"/>
      <c r="AP8" s="159"/>
      <c r="AQ8" s="159"/>
      <c r="AR8" s="159"/>
      <c r="AS8" s="159"/>
      <c r="AT8" s="159"/>
      <c r="AU8" s="159"/>
      <c r="AV8" s="159"/>
      <c r="AW8" s="159"/>
      <c r="AX8" s="159"/>
      <c r="AY8" s="159"/>
      <c r="AZ8" s="159"/>
      <c r="BA8" s="159"/>
      <c r="BB8" s="159"/>
      <c r="BC8" s="159"/>
      <c r="BD8" s="159"/>
      <c r="BE8" s="159"/>
      <c r="BF8" s="159"/>
      <c r="BG8" s="159"/>
      <c r="BH8" s="159"/>
      <c r="BI8" s="159"/>
      <c r="BJ8" s="159"/>
      <c r="BK8" s="159"/>
      <c r="BL8" s="159"/>
      <c r="BM8" s="159"/>
      <c r="BN8" s="159"/>
      <c r="BO8" s="159"/>
      <c r="BP8" s="159"/>
      <c r="BQ8" s="159"/>
      <c r="BR8" s="159"/>
      <c r="BS8" s="159"/>
      <c r="BT8" s="159"/>
      <c r="BU8" s="159"/>
      <c r="BV8" s="159"/>
      <c r="BW8" s="159"/>
      <c r="BX8" s="159"/>
      <c r="BY8" s="159"/>
      <c r="BZ8" s="159"/>
      <c r="CA8" s="159"/>
      <c r="CB8" s="159"/>
      <c r="CC8" s="159"/>
      <c r="CD8" s="159"/>
      <c r="CE8" s="159"/>
      <c r="CF8" s="159"/>
      <c r="CG8" s="159"/>
      <c r="CH8" s="159"/>
      <c r="CI8" s="159"/>
      <c r="CJ8" s="159"/>
      <c r="CK8" s="159"/>
      <c r="CL8" s="159"/>
      <c r="CM8" s="159"/>
      <c r="CN8" s="159"/>
      <c r="CO8" s="159"/>
      <c r="CP8" s="159"/>
      <c r="CQ8" s="159"/>
      <c r="CR8" s="159"/>
      <c r="CS8" s="159"/>
      <c r="CT8" s="159"/>
      <c r="CU8" s="159"/>
      <c r="CV8" s="159"/>
      <c r="CW8" s="159"/>
      <c r="CX8" s="159"/>
      <c r="CY8" s="159"/>
      <c r="CZ8" s="159"/>
      <c r="DA8" s="159"/>
      <c r="DB8" s="159"/>
      <c r="DC8" s="159"/>
      <c r="DD8" s="159"/>
      <c r="DE8" s="159"/>
      <c r="DF8" s="159"/>
      <c r="DG8" s="159"/>
      <c r="DH8" s="159"/>
      <c r="DI8" s="159"/>
      <c r="DJ8" s="159"/>
      <c r="DK8" s="159"/>
      <c r="DL8" s="159"/>
      <c r="DM8" s="159"/>
      <c r="DN8" s="159"/>
      <c r="DO8" s="159"/>
      <c r="DP8" s="159"/>
      <c r="DQ8" s="159"/>
      <c r="DR8" s="159"/>
      <c r="DS8" s="159"/>
      <c r="DT8" s="160"/>
      <c r="DU8" s="160"/>
      <c r="DV8" s="160"/>
      <c r="DW8" s="160"/>
    </row>
    <row r="9" spans="1:127">
      <c r="A9" s="28" t="s">
        <v>193</v>
      </c>
      <c r="B9" s="75">
        <f t="shared" si="4"/>
        <v>0</v>
      </c>
      <c r="C9" s="159"/>
      <c r="D9" s="159"/>
      <c r="E9" s="159"/>
      <c r="F9" s="159"/>
      <c r="G9" s="159"/>
      <c r="H9" s="159"/>
      <c r="I9" s="159"/>
      <c r="J9" s="159"/>
      <c r="K9" s="159"/>
      <c r="L9" s="159"/>
      <c r="M9" s="159"/>
      <c r="N9" s="159"/>
      <c r="O9" s="159"/>
      <c r="P9" s="159"/>
      <c r="Q9" s="159"/>
      <c r="R9" s="159"/>
      <c r="S9" s="159"/>
      <c r="T9" s="159"/>
      <c r="U9" s="159"/>
      <c r="V9" s="159"/>
      <c r="W9" s="159"/>
      <c r="X9" s="159"/>
      <c r="Y9" s="159"/>
      <c r="Z9" s="159"/>
      <c r="AA9" s="159"/>
      <c r="AB9" s="159"/>
      <c r="AC9" s="159"/>
      <c r="AD9" s="159"/>
      <c r="AE9" s="159"/>
      <c r="AF9" s="159"/>
      <c r="AG9" s="159"/>
      <c r="AH9" s="159"/>
      <c r="AI9" s="159"/>
      <c r="AJ9" s="159"/>
      <c r="AK9" s="159"/>
      <c r="AL9" s="159"/>
      <c r="AM9" s="159"/>
      <c r="AN9" s="159"/>
      <c r="AO9" s="159"/>
      <c r="AP9" s="159"/>
      <c r="AQ9" s="159"/>
      <c r="AR9" s="159"/>
      <c r="AS9" s="159"/>
      <c r="AT9" s="159"/>
      <c r="AU9" s="159"/>
      <c r="AV9" s="159"/>
      <c r="AW9" s="159"/>
      <c r="AX9" s="159"/>
      <c r="AY9" s="159"/>
      <c r="AZ9" s="159"/>
      <c r="BA9" s="159"/>
      <c r="BB9" s="159"/>
      <c r="BC9" s="159"/>
      <c r="BD9" s="159"/>
      <c r="BE9" s="159"/>
      <c r="BF9" s="159"/>
      <c r="BG9" s="159"/>
      <c r="BH9" s="159"/>
      <c r="BI9" s="159"/>
      <c r="BJ9" s="159"/>
      <c r="BK9" s="159"/>
      <c r="BL9" s="159"/>
      <c r="BM9" s="159"/>
      <c r="BN9" s="159"/>
      <c r="BO9" s="159"/>
      <c r="BP9" s="159"/>
      <c r="BQ9" s="159"/>
      <c r="BR9" s="159"/>
      <c r="BS9" s="159"/>
      <c r="BT9" s="159"/>
      <c r="BU9" s="159"/>
      <c r="BV9" s="159"/>
      <c r="BW9" s="159"/>
      <c r="BX9" s="159"/>
      <c r="BY9" s="159"/>
      <c r="BZ9" s="159"/>
      <c r="CA9" s="159"/>
      <c r="CB9" s="159"/>
      <c r="CC9" s="159"/>
      <c r="CD9" s="159"/>
      <c r="CE9" s="159"/>
      <c r="CF9" s="159"/>
      <c r="CG9" s="159"/>
      <c r="CH9" s="159"/>
      <c r="CI9" s="159"/>
      <c r="CJ9" s="159"/>
      <c r="CK9" s="159"/>
      <c r="CL9" s="159"/>
      <c r="CM9" s="159"/>
      <c r="CN9" s="159"/>
      <c r="CO9" s="159"/>
      <c r="CP9" s="159"/>
      <c r="CQ9" s="159"/>
      <c r="CR9" s="159"/>
      <c r="CS9" s="159"/>
      <c r="CT9" s="159"/>
      <c r="CU9" s="159"/>
      <c r="CV9" s="159"/>
      <c r="CW9" s="159"/>
      <c r="CX9" s="159"/>
      <c r="CY9" s="159"/>
      <c r="CZ9" s="159"/>
      <c r="DA9" s="159"/>
      <c r="DB9" s="159"/>
      <c r="DC9" s="159"/>
      <c r="DD9" s="159"/>
      <c r="DE9" s="159"/>
      <c r="DF9" s="159"/>
      <c r="DG9" s="159"/>
      <c r="DH9" s="159"/>
      <c r="DI9" s="159"/>
      <c r="DJ9" s="159"/>
      <c r="DK9" s="159"/>
      <c r="DL9" s="159"/>
      <c r="DM9" s="159"/>
      <c r="DN9" s="159"/>
      <c r="DO9" s="159"/>
      <c r="DP9" s="159"/>
      <c r="DQ9" s="159"/>
      <c r="DR9" s="159"/>
      <c r="DS9" s="159"/>
      <c r="DT9" s="160"/>
      <c r="DU9" s="160"/>
      <c r="DV9" s="160"/>
      <c r="DW9" s="160"/>
    </row>
    <row r="10" spans="1:127">
      <c r="A10" s="28" t="s">
        <v>194</v>
      </c>
      <c r="B10" s="75">
        <f t="shared" si="4"/>
        <v>0</v>
      </c>
      <c r="C10" s="159"/>
      <c r="D10" s="159"/>
      <c r="E10" s="159"/>
      <c r="F10" s="159"/>
      <c r="G10" s="159"/>
      <c r="H10" s="159"/>
      <c r="I10" s="159"/>
      <c r="J10" s="159"/>
      <c r="K10" s="159"/>
      <c r="L10" s="159"/>
      <c r="M10" s="159"/>
      <c r="N10" s="159"/>
      <c r="O10" s="159"/>
      <c r="P10" s="159"/>
      <c r="Q10" s="159"/>
      <c r="R10" s="159"/>
      <c r="S10" s="159"/>
      <c r="T10" s="159"/>
      <c r="U10" s="159"/>
      <c r="V10" s="159"/>
      <c r="W10" s="159"/>
      <c r="X10" s="159"/>
      <c r="Y10" s="159"/>
      <c r="Z10" s="159"/>
      <c r="AA10" s="159"/>
      <c r="AB10" s="159"/>
      <c r="AC10" s="159"/>
      <c r="AD10" s="159"/>
      <c r="AE10" s="159"/>
      <c r="AF10" s="159"/>
      <c r="AG10" s="159"/>
      <c r="AH10" s="159"/>
      <c r="AI10" s="159"/>
      <c r="AJ10" s="159"/>
      <c r="AK10" s="159"/>
      <c r="AL10" s="159"/>
      <c r="AM10" s="159"/>
      <c r="AN10" s="159"/>
      <c r="AO10" s="159"/>
      <c r="AP10" s="159"/>
      <c r="AQ10" s="159"/>
      <c r="AR10" s="159"/>
      <c r="AS10" s="159"/>
      <c r="AT10" s="159"/>
      <c r="AU10" s="159"/>
      <c r="AV10" s="159"/>
      <c r="AW10" s="159"/>
      <c r="AX10" s="159"/>
      <c r="AY10" s="159"/>
      <c r="AZ10" s="159"/>
      <c r="BA10" s="159"/>
      <c r="BB10" s="159"/>
      <c r="BC10" s="159"/>
      <c r="BD10" s="159"/>
      <c r="BE10" s="159"/>
      <c r="BF10" s="159"/>
      <c r="BG10" s="159"/>
      <c r="BH10" s="159"/>
      <c r="BI10" s="159"/>
      <c r="BJ10" s="159"/>
      <c r="BK10" s="159"/>
      <c r="BL10" s="159"/>
      <c r="BM10" s="159"/>
      <c r="BN10" s="159"/>
      <c r="BO10" s="159"/>
      <c r="BP10" s="159"/>
      <c r="BQ10" s="159"/>
      <c r="BR10" s="159"/>
      <c r="BS10" s="159"/>
      <c r="BT10" s="159"/>
      <c r="BU10" s="159"/>
      <c r="BV10" s="159"/>
      <c r="BW10" s="159"/>
      <c r="BX10" s="159"/>
      <c r="BY10" s="159"/>
      <c r="BZ10" s="159"/>
      <c r="CA10" s="159"/>
      <c r="CB10" s="159"/>
      <c r="CC10" s="159"/>
      <c r="CD10" s="159"/>
      <c r="CE10" s="159"/>
      <c r="CF10" s="159"/>
      <c r="CG10" s="159"/>
      <c r="CH10" s="159"/>
      <c r="CI10" s="159"/>
      <c r="CJ10" s="159"/>
      <c r="CK10" s="159"/>
      <c r="CL10" s="159"/>
      <c r="CM10" s="159"/>
      <c r="CN10" s="159"/>
      <c r="CO10" s="159"/>
      <c r="CP10" s="159"/>
      <c r="CQ10" s="159"/>
      <c r="CR10" s="159"/>
      <c r="CS10" s="159"/>
      <c r="CT10" s="159"/>
      <c r="CU10" s="159"/>
      <c r="CV10" s="159"/>
      <c r="CW10" s="159"/>
      <c r="CX10" s="159"/>
      <c r="CY10" s="159"/>
      <c r="CZ10" s="159"/>
      <c r="DA10" s="159"/>
      <c r="DB10" s="159"/>
      <c r="DC10" s="159"/>
      <c r="DD10" s="159"/>
      <c r="DE10" s="159"/>
      <c r="DF10" s="159"/>
      <c r="DG10" s="159"/>
      <c r="DH10" s="159"/>
      <c r="DI10" s="159"/>
      <c r="DJ10" s="159"/>
      <c r="DK10" s="159"/>
      <c r="DL10" s="159"/>
      <c r="DM10" s="159"/>
      <c r="DN10" s="159"/>
      <c r="DO10" s="159"/>
      <c r="DP10" s="159"/>
      <c r="DQ10" s="159"/>
      <c r="DR10" s="159"/>
      <c r="DS10" s="159"/>
      <c r="DT10" s="160"/>
      <c r="DU10" s="160"/>
      <c r="DV10" s="160"/>
      <c r="DW10" s="160"/>
    </row>
    <row r="11" spans="1:127">
      <c r="A11" s="28" t="s">
        <v>195</v>
      </c>
      <c r="B11" s="75">
        <f t="shared" si="4"/>
        <v>0</v>
      </c>
      <c r="C11" s="159"/>
      <c r="D11" s="159"/>
      <c r="E11" s="159"/>
      <c r="F11" s="159"/>
      <c r="G11" s="159"/>
      <c r="H11" s="159"/>
      <c r="I11" s="159"/>
      <c r="J11" s="159"/>
      <c r="K11" s="159"/>
      <c r="L11" s="159"/>
      <c r="M11" s="159"/>
      <c r="N11" s="159"/>
      <c r="O11" s="159"/>
      <c r="P11" s="159"/>
      <c r="Q11" s="159"/>
      <c r="R11" s="159"/>
      <c r="S11" s="159"/>
      <c r="T11" s="159"/>
      <c r="U11" s="159"/>
      <c r="V11" s="159"/>
      <c r="W11" s="159"/>
      <c r="X11" s="159"/>
      <c r="Y11" s="159"/>
      <c r="Z11" s="159"/>
      <c r="AA11" s="159"/>
      <c r="AB11" s="159"/>
      <c r="AC11" s="159"/>
      <c r="AD11" s="159"/>
      <c r="AE11" s="159"/>
      <c r="AF11" s="159"/>
      <c r="AG11" s="159"/>
      <c r="AH11" s="159"/>
      <c r="AI11" s="159"/>
      <c r="AJ11" s="159"/>
      <c r="AK11" s="159"/>
      <c r="AL11" s="159"/>
      <c r="AM11" s="159"/>
      <c r="AN11" s="159"/>
      <c r="AO11" s="159"/>
      <c r="AP11" s="159"/>
      <c r="AQ11" s="159"/>
      <c r="AR11" s="159"/>
      <c r="AS11" s="159"/>
      <c r="AT11" s="159"/>
      <c r="AU11" s="159"/>
      <c r="AV11" s="159"/>
      <c r="AW11" s="159"/>
      <c r="AX11" s="159"/>
      <c r="AY11" s="159"/>
      <c r="AZ11" s="159"/>
      <c r="BA11" s="159"/>
      <c r="BB11" s="159"/>
      <c r="BC11" s="159"/>
      <c r="BD11" s="159"/>
      <c r="BE11" s="159"/>
      <c r="BF11" s="159"/>
      <c r="BG11" s="159"/>
      <c r="BH11" s="159"/>
      <c r="BI11" s="159"/>
      <c r="BJ11" s="159"/>
      <c r="BK11" s="159"/>
      <c r="BL11" s="159"/>
      <c r="BM11" s="159"/>
      <c r="BN11" s="159"/>
      <c r="BO11" s="159"/>
      <c r="BP11" s="159"/>
      <c r="BQ11" s="159"/>
      <c r="BR11" s="159"/>
      <c r="BS11" s="159"/>
      <c r="BT11" s="159"/>
      <c r="BU11" s="159"/>
      <c r="BV11" s="159"/>
      <c r="BW11" s="159"/>
      <c r="BX11" s="159"/>
      <c r="BY11" s="159"/>
      <c r="BZ11" s="159"/>
      <c r="CA11" s="159"/>
      <c r="CB11" s="159"/>
      <c r="CC11" s="159"/>
      <c r="CD11" s="159"/>
      <c r="CE11" s="159"/>
      <c r="CF11" s="159"/>
      <c r="CG11" s="159"/>
      <c r="CH11" s="159"/>
      <c r="CI11" s="159"/>
      <c r="CJ11" s="159"/>
      <c r="CK11" s="159"/>
      <c r="CL11" s="159"/>
      <c r="CM11" s="159"/>
      <c r="CN11" s="159"/>
      <c r="CO11" s="159"/>
      <c r="CP11" s="159"/>
      <c r="CQ11" s="159"/>
      <c r="CR11" s="159"/>
      <c r="CS11" s="159"/>
      <c r="CT11" s="159"/>
      <c r="CU11" s="159"/>
      <c r="CV11" s="159"/>
      <c r="CW11" s="159"/>
      <c r="CX11" s="159"/>
      <c r="CY11" s="159"/>
      <c r="CZ11" s="159"/>
      <c r="DA11" s="159"/>
      <c r="DB11" s="159"/>
      <c r="DC11" s="159"/>
      <c r="DD11" s="159"/>
      <c r="DE11" s="159"/>
      <c r="DF11" s="159"/>
      <c r="DG11" s="159"/>
      <c r="DH11" s="159"/>
      <c r="DI11" s="159"/>
      <c r="DJ11" s="159"/>
      <c r="DK11" s="159"/>
      <c r="DL11" s="159"/>
      <c r="DM11" s="159"/>
      <c r="DN11" s="159"/>
      <c r="DO11" s="159"/>
      <c r="DP11" s="159"/>
      <c r="DQ11" s="159"/>
      <c r="DR11" s="159"/>
      <c r="DS11" s="159"/>
      <c r="DT11" s="160"/>
      <c r="DU11" s="160"/>
      <c r="DV11" s="160"/>
      <c r="DW11" s="160"/>
    </row>
    <row r="12" spans="1:127">
      <c r="A12" s="117" t="s">
        <v>196</v>
      </c>
      <c r="B12" s="75">
        <f t="shared" si="4"/>
        <v>0</v>
      </c>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c r="AA12" s="159"/>
      <c r="AB12" s="159"/>
      <c r="AC12" s="159"/>
      <c r="AD12" s="159"/>
      <c r="AE12" s="159"/>
      <c r="AF12" s="159"/>
      <c r="AG12" s="159"/>
      <c r="AH12" s="159"/>
      <c r="AI12" s="159"/>
      <c r="AJ12" s="159"/>
      <c r="AK12" s="159"/>
      <c r="AL12" s="159"/>
      <c r="AM12" s="159"/>
      <c r="AN12" s="159"/>
      <c r="AO12" s="159"/>
      <c r="AP12" s="159"/>
      <c r="AQ12" s="159"/>
      <c r="AR12" s="159"/>
      <c r="AS12" s="159"/>
      <c r="AT12" s="159"/>
      <c r="AU12" s="159"/>
      <c r="AV12" s="159"/>
      <c r="AW12" s="159"/>
      <c r="AX12" s="159"/>
      <c r="AY12" s="159"/>
      <c r="AZ12" s="159"/>
      <c r="BA12" s="159"/>
      <c r="BB12" s="159"/>
      <c r="BC12" s="159"/>
      <c r="BD12" s="159"/>
      <c r="BE12" s="159"/>
      <c r="BF12" s="159"/>
      <c r="BG12" s="159"/>
      <c r="BH12" s="159"/>
      <c r="BI12" s="159"/>
      <c r="BJ12" s="159"/>
      <c r="BK12" s="159"/>
      <c r="BL12" s="159"/>
      <c r="BM12" s="159"/>
      <c r="BN12" s="159"/>
      <c r="BO12" s="159"/>
      <c r="BP12" s="159"/>
      <c r="BQ12" s="159"/>
      <c r="BR12" s="159"/>
      <c r="BS12" s="159"/>
      <c r="BT12" s="159"/>
      <c r="BU12" s="159"/>
      <c r="BV12" s="159"/>
      <c r="BW12" s="159"/>
      <c r="BX12" s="159"/>
      <c r="BY12" s="159"/>
      <c r="BZ12" s="159"/>
      <c r="CA12" s="159"/>
      <c r="CB12" s="159"/>
      <c r="CC12" s="159"/>
      <c r="CD12" s="159"/>
      <c r="CE12" s="159"/>
      <c r="CF12" s="159"/>
      <c r="CG12" s="159"/>
      <c r="CH12" s="159"/>
      <c r="CI12" s="159"/>
      <c r="CJ12" s="159"/>
      <c r="CK12" s="159"/>
      <c r="CL12" s="159"/>
      <c r="CM12" s="159"/>
      <c r="CN12" s="159"/>
      <c r="CO12" s="159"/>
      <c r="CP12" s="159"/>
      <c r="CQ12" s="159"/>
      <c r="CR12" s="159"/>
      <c r="CS12" s="159"/>
      <c r="CT12" s="159"/>
      <c r="CU12" s="159"/>
      <c r="CV12" s="159"/>
      <c r="CW12" s="159"/>
      <c r="CX12" s="159"/>
      <c r="CY12" s="159"/>
      <c r="CZ12" s="159"/>
      <c r="DA12" s="159"/>
      <c r="DB12" s="159"/>
      <c r="DC12" s="159"/>
      <c r="DD12" s="159"/>
      <c r="DE12" s="159"/>
      <c r="DF12" s="159"/>
      <c r="DG12" s="159"/>
      <c r="DH12" s="159"/>
      <c r="DI12" s="159"/>
      <c r="DJ12" s="159"/>
      <c r="DK12" s="159"/>
      <c r="DL12" s="159"/>
      <c r="DM12" s="159"/>
      <c r="DN12" s="159"/>
      <c r="DO12" s="159"/>
      <c r="DP12" s="159"/>
      <c r="DQ12" s="159"/>
      <c r="DR12" s="159"/>
      <c r="DS12" s="159"/>
      <c r="DT12" s="160"/>
      <c r="DU12" s="160"/>
      <c r="DV12" s="160"/>
      <c r="DW12" s="160"/>
    </row>
    <row r="13" spans="1:127">
      <c r="A13" s="28" t="s">
        <v>197</v>
      </c>
      <c r="B13" s="75">
        <f t="shared" si="4"/>
        <v>0</v>
      </c>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c r="AA13" s="159"/>
      <c r="AB13" s="159"/>
      <c r="AC13" s="159"/>
      <c r="AD13" s="159"/>
      <c r="AE13" s="159"/>
      <c r="AF13" s="159"/>
      <c r="AG13" s="159"/>
      <c r="AH13" s="159"/>
      <c r="AI13" s="159"/>
      <c r="AJ13" s="159"/>
      <c r="AK13" s="159"/>
      <c r="AL13" s="159"/>
      <c r="AM13" s="159"/>
      <c r="AN13" s="159"/>
      <c r="AO13" s="159"/>
      <c r="AP13" s="159"/>
      <c r="AQ13" s="159"/>
      <c r="AR13" s="159"/>
      <c r="AS13" s="159"/>
      <c r="AT13" s="159"/>
      <c r="AU13" s="159"/>
      <c r="AV13" s="159"/>
      <c r="AW13" s="159"/>
      <c r="AX13" s="159"/>
      <c r="AY13" s="159"/>
      <c r="AZ13" s="159"/>
      <c r="BA13" s="159"/>
      <c r="BB13" s="159"/>
      <c r="BC13" s="159"/>
      <c r="BD13" s="159"/>
      <c r="BE13" s="159"/>
      <c r="BF13" s="159"/>
      <c r="BG13" s="159"/>
      <c r="BH13" s="159"/>
      <c r="BI13" s="159"/>
      <c r="BJ13" s="159"/>
      <c r="BK13" s="159"/>
      <c r="BL13" s="159"/>
      <c r="BM13" s="159"/>
      <c r="BN13" s="159"/>
      <c r="BO13" s="159"/>
      <c r="BP13" s="159"/>
      <c r="BQ13" s="159"/>
      <c r="BR13" s="159"/>
      <c r="BS13" s="159"/>
      <c r="BT13" s="159"/>
      <c r="BU13" s="159"/>
      <c r="BV13" s="159"/>
      <c r="BW13" s="159"/>
      <c r="BX13" s="159"/>
      <c r="BY13" s="159"/>
      <c r="BZ13" s="159"/>
      <c r="CA13" s="159"/>
      <c r="CB13" s="159"/>
      <c r="CC13" s="159"/>
      <c r="CD13" s="159"/>
      <c r="CE13" s="159"/>
      <c r="CF13" s="159"/>
      <c r="CG13" s="159"/>
      <c r="CH13" s="159"/>
      <c r="CI13" s="159"/>
      <c r="CJ13" s="159"/>
      <c r="CK13" s="159"/>
      <c r="CL13" s="159"/>
      <c r="CM13" s="159"/>
      <c r="CN13" s="159"/>
      <c r="CO13" s="159"/>
      <c r="CP13" s="159"/>
      <c r="CQ13" s="159"/>
      <c r="CR13" s="159"/>
      <c r="CS13" s="159"/>
      <c r="CT13" s="159"/>
      <c r="CU13" s="159"/>
      <c r="CV13" s="159"/>
      <c r="CW13" s="159"/>
      <c r="CX13" s="159"/>
      <c r="CY13" s="159"/>
      <c r="CZ13" s="159"/>
      <c r="DA13" s="159"/>
      <c r="DB13" s="159"/>
      <c r="DC13" s="159"/>
      <c r="DD13" s="159"/>
      <c r="DE13" s="159"/>
      <c r="DF13" s="159"/>
      <c r="DG13" s="159"/>
      <c r="DH13" s="159"/>
      <c r="DI13" s="159"/>
      <c r="DJ13" s="159"/>
      <c r="DK13" s="159"/>
      <c r="DL13" s="159"/>
      <c r="DM13" s="159"/>
      <c r="DN13" s="159"/>
      <c r="DO13" s="159"/>
      <c r="DP13" s="159"/>
      <c r="DQ13" s="159"/>
      <c r="DR13" s="159"/>
      <c r="DS13" s="159"/>
      <c r="DT13" s="160"/>
      <c r="DU13" s="160"/>
      <c r="DV13" s="160"/>
      <c r="DW13" s="160"/>
    </row>
    <row r="14" spans="1:127">
      <c r="A14" s="28" t="s">
        <v>198</v>
      </c>
      <c r="B14" s="75">
        <f t="shared" si="4"/>
        <v>0</v>
      </c>
      <c r="C14" s="159"/>
      <c r="D14" s="159"/>
      <c r="E14" s="159"/>
      <c r="F14" s="159"/>
      <c r="G14" s="159"/>
      <c r="H14" s="159"/>
      <c r="I14" s="159"/>
      <c r="J14" s="159"/>
      <c r="K14" s="159"/>
      <c r="L14" s="159"/>
      <c r="M14" s="159"/>
      <c r="N14" s="159"/>
      <c r="O14" s="159"/>
      <c r="P14" s="159"/>
      <c r="Q14" s="159"/>
      <c r="R14" s="159"/>
      <c r="S14" s="159"/>
      <c r="T14" s="159"/>
      <c r="U14" s="159"/>
      <c r="V14" s="159"/>
      <c r="W14" s="159"/>
      <c r="X14" s="159"/>
      <c r="Y14" s="159"/>
      <c r="Z14" s="159"/>
      <c r="AA14" s="159"/>
      <c r="AB14" s="159"/>
      <c r="AC14" s="159"/>
      <c r="AD14" s="159"/>
      <c r="AE14" s="159"/>
      <c r="AF14" s="159"/>
      <c r="AG14" s="159"/>
      <c r="AH14" s="159"/>
      <c r="AI14" s="159"/>
      <c r="AJ14" s="159"/>
      <c r="AK14" s="159"/>
      <c r="AL14" s="159"/>
      <c r="AM14" s="159"/>
      <c r="AN14" s="159"/>
      <c r="AO14" s="159"/>
      <c r="AP14" s="159"/>
      <c r="AQ14" s="159"/>
      <c r="AR14" s="159"/>
      <c r="AS14" s="159"/>
      <c r="AT14" s="159"/>
      <c r="AU14" s="159"/>
      <c r="AV14" s="159"/>
      <c r="AW14" s="159"/>
      <c r="AX14" s="159"/>
      <c r="AY14" s="159"/>
      <c r="AZ14" s="159"/>
      <c r="BA14" s="159"/>
      <c r="BB14" s="159"/>
      <c r="BC14" s="159"/>
      <c r="BD14" s="159"/>
      <c r="BE14" s="159"/>
      <c r="BF14" s="159"/>
      <c r="BG14" s="159"/>
      <c r="BH14" s="159"/>
      <c r="BI14" s="159"/>
      <c r="BJ14" s="159"/>
      <c r="BK14" s="159"/>
      <c r="BL14" s="159"/>
      <c r="BM14" s="159"/>
      <c r="BN14" s="159"/>
      <c r="BO14" s="159"/>
      <c r="BP14" s="159"/>
      <c r="BQ14" s="159"/>
      <c r="BR14" s="159"/>
      <c r="BS14" s="159"/>
      <c r="BT14" s="159"/>
      <c r="BU14" s="159"/>
      <c r="BV14" s="159"/>
      <c r="BW14" s="159"/>
      <c r="BX14" s="159"/>
      <c r="BY14" s="159"/>
      <c r="BZ14" s="159"/>
      <c r="CA14" s="159"/>
      <c r="CB14" s="159"/>
      <c r="CC14" s="159"/>
      <c r="CD14" s="159"/>
      <c r="CE14" s="159"/>
      <c r="CF14" s="159"/>
      <c r="CG14" s="159"/>
      <c r="CH14" s="159"/>
      <c r="CI14" s="159"/>
      <c r="CJ14" s="159"/>
      <c r="CK14" s="159"/>
      <c r="CL14" s="159"/>
      <c r="CM14" s="159"/>
      <c r="CN14" s="159"/>
      <c r="CO14" s="159"/>
      <c r="CP14" s="159"/>
      <c r="CQ14" s="159"/>
      <c r="CR14" s="159"/>
      <c r="CS14" s="159"/>
      <c r="CT14" s="159"/>
      <c r="CU14" s="159"/>
      <c r="CV14" s="159"/>
      <c r="CW14" s="159"/>
      <c r="CX14" s="159"/>
      <c r="CY14" s="159"/>
      <c r="CZ14" s="159"/>
      <c r="DA14" s="159"/>
      <c r="DB14" s="159"/>
      <c r="DC14" s="159"/>
      <c r="DD14" s="159"/>
      <c r="DE14" s="159"/>
      <c r="DF14" s="159"/>
      <c r="DG14" s="159"/>
      <c r="DH14" s="159"/>
      <c r="DI14" s="159"/>
      <c r="DJ14" s="159"/>
      <c r="DK14" s="159"/>
      <c r="DL14" s="159"/>
      <c r="DM14" s="159"/>
      <c r="DN14" s="159"/>
      <c r="DO14" s="159"/>
      <c r="DP14" s="159"/>
      <c r="DQ14" s="159"/>
      <c r="DR14" s="159"/>
      <c r="DS14" s="159"/>
      <c r="DT14" s="160"/>
      <c r="DU14" s="160"/>
      <c r="DV14" s="160"/>
      <c r="DW14" s="160"/>
    </row>
    <row r="15" spans="1:127">
      <c r="A15" s="28" t="s">
        <v>199</v>
      </c>
      <c r="B15" s="75">
        <f t="shared" si="4"/>
        <v>0</v>
      </c>
      <c r="C15" s="159"/>
      <c r="D15" s="159"/>
      <c r="E15" s="159"/>
      <c r="F15" s="159"/>
      <c r="G15" s="159"/>
      <c r="H15" s="159"/>
      <c r="I15" s="159"/>
      <c r="J15" s="159"/>
      <c r="K15" s="159"/>
      <c r="L15" s="159"/>
      <c r="M15" s="159"/>
      <c r="N15" s="159"/>
      <c r="O15" s="159"/>
      <c r="P15" s="159"/>
      <c r="Q15" s="159"/>
      <c r="R15" s="159"/>
      <c r="S15" s="159"/>
      <c r="T15" s="159"/>
      <c r="U15" s="159"/>
      <c r="V15" s="159"/>
      <c r="W15" s="159"/>
      <c r="X15" s="159"/>
      <c r="Y15" s="159"/>
      <c r="Z15" s="159"/>
      <c r="AA15" s="159"/>
      <c r="AB15" s="159"/>
      <c r="AC15" s="159"/>
      <c r="AD15" s="159"/>
      <c r="AE15" s="159"/>
      <c r="AF15" s="159"/>
      <c r="AG15" s="159"/>
      <c r="AH15" s="159"/>
      <c r="AI15" s="159"/>
      <c r="AJ15" s="159"/>
      <c r="AK15" s="159"/>
      <c r="AL15" s="159"/>
      <c r="AM15" s="159"/>
      <c r="AN15" s="159"/>
      <c r="AO15" s="159"/>
      <c r="AP15" s="159"/>
      <c r="AQ15" s="159"/>
      <c r="AR15" s="159"/>
      <c r="AS15" s="159"/>
      <c r="AT15" s="159"/>
      <c r="AU15" s="159"/>
      <c r="AV15" s="159"/>
      <c r="AW15" s="159"/>
      <c r="AX15" s="159"/>
      <c r="AY15" s="159"/>
      <c r="AZ15" s="159"/>
      <c r="BA15" s="159"/>
      <c r="BB15" s="159"/>
      <c r="BC15" s="159"/>
      <c r="BD15" s="159"/>
      <c r="BE15" s="159"/>
      <c r="BF15" s="159"/>
      <c r="BG15" s="159"/>
      <c r="BH15" s="159"/>
      <c r="BI15" s="159"/>
      <c r="BJ15" s="159"/>
      <c r="BK15" s="159"/>
      <c r="BL15" s="159"/>
      <c r="BM15" s="159"/>
      <c r="BN15" s="159"/>
      <c r="BO15" s="159"/>
      <c r="BP15" s="159"/>
      <c r="BQ15" s="159"/>
      <c r="BR15" s="159"/>
      <c r="BS15" s="159"/>
      <c r="BT15" s="159"/>
      <c r="BU15" s="159"/>
      <c r="BV15" s="159"/>
      <c r="BW15" s="159"/>
      <c r="BX15" s="159"/>
      <c r="BY15" s="159"/>
      <c r="BZ15" s="159"/>
      <c r="CA15" s="159"/>
      <c r="CB15" s="159"/>
      <c r="CC15" s="159"/>
      <c r="CD15" s="159"/>
      <c r="CE15" s="159"/>
      <c r="CF15" s="159"/>
      <c r="CG15" s="159"/>
      <c r="CH15" s="159"/>
      <c r="CI15" s="159"/>
      <c r="CJ15" s="159"/>
      <c r="CK15" s="159"/>
      <c r="CL15" s="159"/>
      <c r="CM15" s="159"/>
      <c r="CN15" s="159"/>
      <c r="CO15" s="159"/>
      <c r="CP15" s="159"/>
      <c r="CQ15" s="159"/>
      <c r="CR15" s="159"/>
      <c r="CS15" s="159"/>
      <c r="CT15" s="159"/>
      <c r="CU15" s="159"/>
      <c r="CV15" s="159"/>
      <c r="CW15" s="159"/>
      <c r="CX15" s="159"/>
      <c r="CY15" s="159"/>
      <c r="CZ15" s="159"/>
      <c r="DA15" s="159"/>
      <c r="DB15" s="159"/>
      <c r="DC15" s="159"/>
      <c r="DD15" s="159"/>
      <c r="DE15" s="159"/>
      <c r="DF15" s="159"/>
      <c r="DG15" s="159"/>
      <c r="DH15" s="159"/>
      <c r="DI15" s="159"/>
      <c r="DJ15" s="159"/>
      <c r="DK15" s="159"/>
      <c r="DL15" s="159"/>
      <c r="DM15" s="159"/>
      <c r="DN15" s="159"/>
      <c r="DO15" s="159"/>
      <c r="DP15" s="159"/>
      <c r="DQ15" s="159"/>
      <c r="DR15" s="159"/>
      <c r="DS15" s="159"/>
      <c r="DT15" s="160"/>
      <c r="DU15" s="160"/>
      <c r="DV15" s="160"/>
      <c r="DW15" s="160"/>
    </row>
    <row r="16" spans="1:127">
      <c r="A16" s="28" t="s">
        <v>200</v>
      </c>
      <c r="B16" s="75">
        <f t="shared" si="4"/>
        <v>0</v>
      </c>
      <c r="C16" s="159"/>
      <c r="D16" s="159"/>
      <c r="E16" s="159"/>
      <c r="F16" s="159"/>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59"/>
      <c r="AE16" s="159"/>
      <c r="AF16" s="159"/>
      <c r="AG16" s="159"/>
      <c r="AH16" s="159"/>
      <c r="AI16" s="159"/>
      <c r="AJ16" s="159"/>
      <c r="AK16" s="159"/>
      <c r="AL16" s="159"/>
      <c r="AM16" s="159"/>
      <c r="AN16" s="159"/>
      <c r="AO16" s="159"/>
      <c r="AP16" s="159"/>
      <c r="AQ16" s="159"/>
      <c r="AR16" s="159"/>
      <c r="AS16" s="159"/>
      <c r="AT16" s="159"/>
      <c r="AU16" s="159"/>
      <c r="AV16" s="159"/>
      <c r="AW16" s="159"/>
      <c r="AX16" s="159"/>
      <c r="AY16" s="159"/>
      <c r="AZ16" s="159"/>
      <c r="BA16" s="159"/>
      <c r="BB16" s="159"/>
      <c r="BC16" s="159"/>
      <c r="BD16" s="159"/>
      <c r="BE16" s="159"/>
      <c r="BF16" s="159"/>
      <c r="BG16" s="159"/>
      <c r="BH16" s="159"/>
      <c r="BI16" s="159"/>
      <c r="BJ16" s="159"/>
      <c r="BK16" s="159"/>
      <c r="BL16" s="159"/>
      <c r="BM16" s="159"/>
      <c r="BN16" s="159"/>
      <c r="BO16" s="159"/>
      <c r="BP16" s="159"/>
      <c r="BQ16" s="159"/>
      <c r="BR16" s="159"/>
      <c r="BS16" s="159"/>
      <c r="BT16" s="159"/>
      <c r="BU16" s="159"/>
      <c r="BV16" s="159"/>
      <c r="BW16" s="159"/>
      <c r="BX16" s="159"/>
      <c r="BY16" s="159"/>
      <c r="BZ16" s="159"/>
      <c r="CA16" s="159"/>
      <c r="CB16" s="159"/>
      <c r="CC16" s="159"/>
      <c r="CD16" s="159"/>
      <c r="CE16" s="159"/>
      <c r="CF16" s="159"/>
      <c r="CG16" s="159"/>
      <c r="CH16" s="159"/>
      <c r="CI16" s="159"/>
      <c r="CJ16" s="159"/>
      <c r="CK16" s="159"/>
      <c r="CL16" s="159"/>
      <c r="CM16" s="159"/>
      <c r="CN16" s="159"/>
      <c r="CO16" s="159"/>
      <c r="CP16" s="159"/>
      <c r="CQ16" s="159"/>
      <c r="CR16" s="159"/>
      <c r="CS16" s="159"/>
      <c r="CT16" s="159"/>
      <c r="CU16" s="159"/>
      <c r="CV16" s="159"/>
      <c r="CW16" s="159"/>
      <c r="CX16" s="159"/>
      <c r="CY16" s="159"/>
      <c r="CZ16" s="159"/>
      <c r="DA16" s="159"/>
      <c r="DB16" s="159"/>
      <c r="DC16" s="159"/>
      <c r="DD16" s="159"/>
      <c r="DE16" s="159"/>
      <c r="DF16" s="159"/>
      <c r="DG16" s="159"/>
      <c r="DH16" s="159"/>
      <c r="DI16" s="159"/>
      <c r="DJ16" s="159"/>
      <c r="DK16" s="159"/>
      <c r="DL16" s="159"/>
      <c r="DM16" s="159"/>
      <c r="DN16" s="159"/>
      <c r="DO16" s="159"/>
      <c r="DP16" s="159"/>
      <c r="DQ16" s="159"/>
      <c r="DR16" s="159"/>
      <c r="DS16" s="159"/>
      <c r="DT16" s="160"/>
      <c r="DU16" s="160"/>
      <c r="DV16" s="160"/>
      <c r="DW16" s="160"/>
    </row>
    <row r="17" spans="1:127">
      <c r="A17" s="109" t="s">
        <v>201</v>
      </c>
      <c r="B17" s="75">
        <f t="shared" si="4"/>
        <v>0</v>
      </c>
      <c r="C17" s="159"/>
      <c r="D17" s="159"/>
      <c r="E17" s="159"/>
      <c r="F17" s="159"/>
      <c r="G17" s="159"/>
      <c r="H17" s="159"/>
      <c r="I17" s="159"/>
      <c r="J17" s="159"/>
      <c r="K17" s="159"/>
      <c r="L17" s="159"/>
      <c r="M17" s="159"/>
      <c r="N17" s="159"/>
      <c r="O17" s="159"/>
      <c r="P17" s="159"/>
      <c r="Q17" s="159"/>
      <c r="R17" s="159"/>
      <c r="S17" s="159"/>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59"/>
      <c r="AT17" s="159"/>
      <c r="AU17" s="159"/>
      <c r="AV17" s="159"/>
      <c r="AW17" s="159"/>
      <c r="AX17" s="159"/>
      <c r="AY17" s="159"/>
      <c r="AZ17" s="159"/>
      <c r="BA17" s="159"/>
      <c r="BB17" s="159"/>
      <c r="BC17" s="159"/>
      <c r="BD17" s="159"/>
      <c r="BE17" s="159"/>
      <c r="BF17" s="159"/>
      <c r="BG17" s="159"/>
      <c r="BH17" s="159"/>
      <c r="BI17" s="159"/>
      <c r="BJ17" s="159"/>
      <c r="BK17" s="159"/>
      <c r="BL17" s="159"/>
      <c r="BM17" s="159"/>
      <c r="BN17" s="159"/>
      <c r="BO17" s="159"/>
      <c r="BP17" s="159"/>
      <c r="BQ17" s="159"/>
      <c r="BR17" s="159"/>
      <c r="BS17" s="159"/>
      <c r="BT17" s="159"/>
      <c r="BU17" s="159"/>
      <c r="BV17" s="159"/>
      <c r="BW17" s="159"/>
      <c r="BX17" s="159"/>
      <c r="BY17" s="159"/>
      <c r="BZ17" s="159"/>
      <c r="CA17" s="159"/>
      <c r="CB17" s="159"/>
      <c r="CC17" s="159"/>
      <c r="CD17" s="159"/>
      <c r="CE17" s="159"/>
      <c r="CF17" s="159"/>
      <c r="CG17" s="159"/>
      <c r="CH17" s="159"/>
      <c r="CI17" s="159"/>
      <c r="CJ17" s="159"/>
      <c r="CK17" s="159"/>
      <c r="CL17" s="159"/>
      <c r="CM17" s="159"/>
      <c r="CN17" s="159"/>
      <c r="CO17" s="159"/>
      <c r="CP17" s="159"/>
      <c r="CQ17" s="159"/>
      <c r="CR17" s="159"/>
      <c r="CS17" s="159"/>
      <c r="CT17" s="159"/>
      <c r="CU17" s="159"/>
      <c r="CV17" s="159"/>
      <c r="CW17" s="159"/>
      <c r="CX17" s="159"/>
      <c r="CY17" s="159"/>
      <c r="CZ17" s="159"/>
      <c r="DA17" s="159"/>
      <c r="DB17" s="159"/>
      <c r="DC17" s="159"/>
      <c r="DD17" s="159"/>
      <c r="DE17" s="159"/>
      <c r="DF17" s="159"/>
      <c r="DG17" s="159"/>
      <c r="DH17" s="159"/>
      <c r="DI17" s="159"/>
      <c r="DJ17" s="159"/>
      <c r="DK17" s="159"/>
      <c r="DL17" s="159"/>
      <c r="DM17" s="159"/>
      <c r="DN17" s="159"/>
      <c r="DO17" s="159"/>
      <c r="DP17" s="159"/>
      <c r="DQ17" s="159"/>
      <c r="DR17" s="159"/>
      <c r="DS17" s="159"/>
      <c r="DT17" s="160"/>
      <c r="DU17" s="160"/>
      <c r="DV17" s="160"/>
      <c r="DW17" s="160"/>
    </row>
    <row r="18" spans="1:127" ht="31">
      <c r="A18" s="109" t="s">
        <v>202</v>
      </c>
      <c r="B18" s="75">
        <f t="shared" si="4"/>
        <v>0</v>
      </c>
      <c r="C18" s="159"/>
      <c r="D18" s="159"/>
      <c r="E18" s="159"/>
      <c r="F18" s="159"/>
      <c r="G18" s="159"/>
      <c r="H18" s="159"/>
      <c r="I18" s="159"/>
      <c r="J18" s="159"/>
      <c r="K18" s="159"/>
      <c r="L18" s="159"/>
      <c r="M18" s="159"/>
      <c r="N18" s="159"/>
      <c r="O18" s="159"/>
      <c r="P18" s="159"/>
      <c r="Q18" s="159"/>
      <c r="R18" s="159"/>
      <c r="S18" s="159"/>
      <c r="T18" s="159"/>
      <c r="U18" s="159"/>
      <c r="V18" s="159"/>
      <c r="W18" s="159"/>
      <c r="X18" s="159"/>
      <c r="Y18" s="159"/>
      <c r="Z18" s="159"/>
      <c r="AA18" s="159"/>
      <c r="AB18" s="159"/>
      <c r="AC18" s="159"/>
      <c r="AD18" s="159"/>
      <c r="AE18" s="159"/>
      <c r="AF18" s="159"/>
      <c r="AG18" s="159"/>
      <c r="AH18" s="159"/>
      <c r="AI18" s="159"/>
      <c r="AJ18" s="159"/>
      <c r="AK18" s="159"/>
      <c r="AL18" s="159"/>
      <c r="AM18" s="159"/>
      <c r="AN18" s="159"/>
      <c r="AO18" s="159"/>
      <c r="AP18" s="159"/>
      <c r="AQ18" s="159"/>
      <c r="AR18" s="159"/>
      <c r="AS18" s="159"/>
      <c r="AT18" s="159"/>
      <c r="AU18" s="159"/>
      <c r="AV18" s="159"/>
      <c r="AW18" s="159"/>
      <c r="AX18" s="159"/>
      <c r="AY18" s="159"/>
      <c r="AZ18" s="159"/>
      <c r="BA18" s="159"/>
      <c r="BB18" s="159"/>
      <c r="BC18" s="159"/>
      <c r="BD18" s="159"/>
      <c r="BE18" s="159"/>
      <c r="BF18" s="159"/>
      <c r="BG18" s="159"/>
      <c r="BH18" s="159"/>
      <c r="BI18" s="159"/>
      <c r="BJ18" s="159"/>
      <c r="BK18" s="159"/>
      <c r="BL18" s="159"/>
      <c r="BM18" s="159"/>
      <c r="BN18" s="159"/>
      <c r="BO18" s="159"/>
      <c r="BP18" s="159"/>
      <c r="BQ18" s="159"/>
      <c r="BR18" s="159"/>
      <c r="BS18" s="159"/>
      <c r="BT18" s="159"/>
      <c r="BU18" s="159"/>
      <c r="BV18" s="159"/>
      <c r="BW18" s="159"/>
      <c r="BX18" s="159"/>
      <c r="BY18" s="159"/>
      <c r="BZ18" s="159"/>
      <c r="CA18" s="159"/>
      <c r="CB18" s="159"/>
      <c r="CC18" s="159"/>
      <c r="CD18" s="159"/>
      <c r="CE18" s="159"/>
      <c r="CF18" s="159"/>
      <c r="CG18" s="159"/>
      <c r="CH18" s="159"/>
      <c r="CI18" s="159"/>
      <c r="CJ18" s="159"/>
      <c r="CK18" s="159"/>
      <c r="CL18" s="159"/>
      <c r="CM18" s="159"/>
      <c r="CN18" s="159"/>
      <c r="CO18" s="159"/>
      <c r="CP18" s="159"/>
      <c r="CQ18" s="159"/>
      <c r="CR18" s="159"/>
      <c r="CS18" s="159"/>
      <c r="CT18" s="159"/>
      <c r="CU18" s="159"/>
      <c r="CV18" s="159"/>
      <c r="CW18" s="159"/>
      <c r="CX18" s="159"/>
      <c r="CY18" s="159"/>
      <c r="CZ18" s="159"/>
      <c r="DA18" s="159"/>
      <c r="DB18" s="159"/>
      <c r="DC18" s="159"/>
      <c r="DD18" s="159"/>
      <c r="DE18" s="159"/>
      <c r="DF18" s="159"/>
      <c r="DG18" s="159"/>
      <c r="DH18" s="159"/>
      <c r="DI18" s="159"/>
      <c r="DJ18" s="159"/>
      <c r="DK18" s="159"/>
      <c r="DL18" s="159"/>
      <c r="DM18" s="159"/>
      <c r="DN18" s="159"/>
      <c r="DO18" s="159"/>
      <c r="DP18" s="159"/>
      <c r="DQ18" s="159"/>
      <c r="DR18" s="159"/>
      <c r="DS18" s="159"/>
      <c r="DT18" s="160"/>
      <c r="DU18" s="160"/>
      <c r="DV18" s="160"/>
      <c r="DW18" s="160"/>
    </row>
    <row r="19" spans="1:127" ht="31">
      <c r="A19" s="109" t="s">
        <v>203</v>
      </c>
      <c r="B19" s="75">
        <f t="shared" si="4"/>
        <v>0</v>
      </c>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59"/>
      <c r="AT19" s="159"/>
      <c r="AU19" s="159"/>
      <c r="AV19" s="159"/>
      <c r="AW19" s="159"/>
      <c r="AX19" s="159"/>
      <c r="AY19" s="159"/>
      <c r="AZ19" s="159"/>
      <c r="BA19" s="159"/>
      <c r="BB19" s="159"/>
      <c r="BC19" s="159"/>
      <c r="BD19" s="159"/>
      <c r="BE19" s="159"/>
      <c r="BF19" s="159"/>
      <c r="BG19" s="159"/>
      <c r="BH19" s="159"/>
      <c r="BI19" s="159"/>
      <c r="BJ19" s="159"/>
      <c r="BK19" s="159"/>
      <c r="BL19" s="159"/>
      <c r="BM19" s="159"/>
      <c r="BN19" s="159"/>
      <c r="BO19" s="159"/>
      <c r="BP19" s="159"/>
      <c r="BQ19" s="159"/>
      <c r="BR19" s="159"/>
      <c r="BS19" s="159"/>
      <c r="BT19" s="159"/>
      <c r="BU19" s="159"/>
      <c r="BV19" s="159"/>
      <c r="BW19" s="159"/>
      <c r="BX19" s="159"/>
      <c r="BY19" s="159"/>
      <c r="BZ19" s="159"/>
      <c r="CA19" s="159"/>
      <c r="CB19" s="159"/>
      <c r="CC19" s="159"/>
      <c r="CD19" s="159"/>
      <c r="CE19" s="159"/>
      <c r="CF19" s="159"/>
      <c r="CG19" s="159"/>
      <c r="CH19" s="159"/>
      <c r="CI19" s="159"/>
      <c r="CJ19" s="159"/>
      <c r="CK19" s="159"/>
      <c r="CL19" s="159"/>
      <c r="CM19" s="159"/>
      <c r="CN19" s="159"/>
      <c r="CO19" s="159"/>
      <c r="CP19" s="159"/>
      <c r="CQ19" s="159"/>
      <c r="CR19" s="159"/>
      <c r="CS19" s="159"/>
      <c r="CT19" s="159"/>
      <c r="CU19" s="159"/>
      <c r="CV19" s="159"/>
      <c r="CW19" s="159"/>
      <c r="CX19" s="159"/>
      <c r="CY19" s="159"/>
      <c r="CZ19" s="159"/>
      <c r="DA19" s="159"/>
      <c r="DB19" s="159"/>
      <c r="DC19" s="159"/>
      <c r="DD19" s="159"/>
      <c r="DE19" s="159"/>
      <c r="DF19" s="159"/>
      <c r="DG19" s="159"/>
      <c r="DH19" s="159"/>
      <c r="DI19" s="159"/>
      <c r="DJ19" s="159"/>
      <c r="DK19" s="159"/>
      <c r="DL19" s="159"/>
      <c r="DM19" s="159"/>
      <c r="DN19" s="159"/>
      <c r="DO19" s="159"/>
      <c r="DP19" s="159"/>
      <c r="DQ19" s="159"/>
      <c r="DR19" s="159"/>
      <c r="DS19" s="159"/>
      <c r="DT19" s="160"/>
      <c r="DU19" s="160"/>
      <c r="DV19" s="160"/>
      <c r="DW19" s="160"/>
    </row>
    <row r="20" spans="1:127" ht="31">
      <c r="A20" s="109" t="s">
        <v>204</v>
      </c>
      <c r="B20" s="75">
        <f t="shared" si="4"/>
        <v>0</v>
      </c>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9"/>
      <c r="AC20" s="159"/>
      <c r="AD20" s="159"/>
      <c r="AE20" s="159"/>
      <c r="AF20" s="159"/>
      <c r="AG20" s="159"/>
      <c r="AH20" s="159"/>
      <c r="AI20" s="159"/>
      <c r="AJ20" s="159"/>
      <c r="AK20" s="159"/>
      <c r="AL20" s="159"/>
      <c r="AM20" s="159"/>
      <c r="AN20" s="159"/>
      <c r="AO20" s="159"/>
      <c r="AP20" s="159"/>
      <c r="AQ20" s="159"/>
      <c r="AR20" s="159"/>
      <c r="AS20" s="159"/>
      <c r="AT20" s="159"/>
      <c r="AU20" s="159"/>
      <c r="AV20" s="159"/>
      <c r="AW20" s="159"/>
      <c r="AX20" s="159"/>
      <c r="AY20" s="159"/>
      <c r="AZ20" s="159"/>
      <c r="BA20" s="159"/>
      <c r="BB20" s="159"/>
      <c r="BC20" s="159"/>
      <c r="BD20" s="159"/>
      <c r="BE20" s="159"/>
      <c r="BF20" s="159"/>
      <c r="BG20" s="159"/>
      <c r="BH20" s="159"/>
      <c r="BI20" s="159"/>
      <c r="BJ20" s="159"/>
      <c r="BK20" s="159"/>
      <c r="BL20" s="159"/>
      <c r="BM20" s="159"/>
      <c r="BN20" s="159"/>
      <c r="BO20" s="159"/>
      <c r="BP20" s="159"/>
      <c r="BQ20" s="159"/>
      <c r="BR20" s="159"/>
      <c r="BS20" s="159"/>
      <c r="BT20" s="159"/>
      <c r="BU20" s="159"/>
      <c r="BV20" s="159"/>
      <c r="BW20" s="159"/>
      <c r="BX20" s="159"/>
      <c r="BY20" s="159"/>
      <c r="BZ20" s="159"/>
      <c r="CA20" s="159"/>
      <c r="CB20" s="159"/>
      <c r="CC20" s="159"/>
      <c r="CD20" s="159"/>
      <c r="CE20" s="159"/>
      <c r="CF20" s="159"/>
      <c r="CG20" s="159"/>
      <c r="CH20" s="159"/>
      <c r="CI20" s="159"/>
      <c r="CJ20" s="159"/>
      <c r="CK20" s="159"/>
      <c r="CL20" s="159"/>
      <c r="CM20" s="159"/>
      <c r="CN20" s="159"/>
      <c r="CO20" s="159"/>
      <c r="CP20" s="159"/>
      <c r="CQ20" s="159"/>
      <c r="CR20" s="159"/>
      <c r="CS20" s="159"/>
      <c r="CT20" s="159"/>
      <c r="CU20" s="159"/>
      <c r="CV20" s="159"/>
      <c r="CW20" s="159"/>
      <c r="CX20" s="159"/>
      <c r="CY20" s="159"/>
      <c r="CZ20" s="159"/>
      <c r="DA20" s="159"/>
      <c r="DB20" s="159"/>
      <c r="DC20" s="159"/>
      <c r="DD20" s="159"/>
      <c r="DE20" s="159"/>
      <c r="DF20" s="159"/>
      <c r="DG20" s="159"/>
      <c r="DH20" s="159"/>
      <c r="DI20" s="159"/>
      <c r="DJ20" s="159"/>
      <c r="DK20" s="159"/>
      <c r="DL20" s="159"/>
      <c r="DM20" s="159"/>
      <c r="DN20" s="159"/>
      <c r="DO20" s="159"/>
      <c r="DP20" s="159"/>
      <c r="DQ20" s="159"/>
      <c r="DR20" s="159"/>
      <c r="DS20" s="159"/>
      <c r="DT20" s="160"/>
      <c r="DU20" s="160"/>
      <c r="DV20" s="160"/>
      <c r="DW20" s="160"/>
    </row>
    <row r="21" spans="1:127">
      <c r="A21" s="109" t="s">
        <v>205</v>
      </c>
      <c r="B21" s="75">
        <f>SUM(C21:DW21)</f>
        <v>0</v>
      </c>
      <c r="C21" s="159"/>
      <c r="D21" s="159"/>
      <c r="E21" s="159"/>
      <c r="F21" s="159"/>
      <c r="G21" s="159"/>
      <c r="H21" s="159"/>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59"/>
      <c r="AT21" s="159"/>
      <c r="AU21" s="159"/>
      <c r="AV21" s="159"/>
      <c r="AW21" s="159"/>
      <c r="AX21" s="159"/>
      <c r="AY21" s="159"/>
      <c r="AZ21" s="159"/>
      <c r="BA21" s="159"/>
      <c r="BB21" s="159"/>
      <c r="BC21" s="159"/>
      <c r="BD21" s="159"/>
      <c r="BE21" s="159"/>
      <c r="BF21" s="159"/>
      <c r="BG21" s="159"/>
      <c r="BH21" s="159"/>
      <c r="BI21" s="159"/>
      <c r="BJ21" s="159"/>
      <c r="BK21" s="159"/>
      <c r="BL21" s="159"/>
      <c r="BM21" s="159"/>
      <c r="BN21" s="159"/>
      <c r="BO21" s="159"/>
      <c r="BP21" s="159"/>
      <c r="BQ21" s="159"/>
      <c r="BR21" s="159"/>
      <c r="BS21" s="159"/>
      <c r="BT21" s="159"/>
      <c r="BU21" s="159"/>
      <c r="BV21" s="159"/>
      <c r="BW21" s="159"/>
      <c r="BX21" s="159"/>
      <c r="BY21" s="159"/>
      <c r="BZ21" s="159"/>
      <c r="CA21" s="159"/>
      <c r="CB21" s="159"/>
      <c r="CC21" s="159"/>
      <c r="CD21" s="159"/>
      <c r="CE21" s="159"/>
      <c r="CF21" s="159"/>
      <c r="CG21" s="159"/>
      <c r="CH21" s="159"/>
      <c r="CI21" s="159"/>
      <c r="CJ21" s="159"/>
      <c r="CK21" s="159"/>
      <c r="CL21" s="159"/>
      <c r="CM21" s="159"/>
      <c r="CN21" s="159"/>
      <c r="CO21" s="159"/>
      <c r="CP21" s="159"/>
      <c r="CQ21" s="159"/>
      <c r="CR21" s="159"/>
      <c r="CS21" s="159"/>
      <c r="CT21" s="159"/>
      <c r="CU21" s="159"/>
      <c r="CV21" s="159"/>
      <c r="CW21" s="159"/>
      <c r="CX21" s="159"/>
      <c r="CY21" s="159"/>
      <c r="CZ21" s="159"/>
      <c r="DA21" s="159"/>
      <c r="DB21" s="159"/>
      <c r="DC21" s="159"/>
      <c r="DD21" s="159"/>
      <c r="DE21" s="159"/>
      <c r="DF21" s="159"/>
      <c r="DG21" s="159"/>
      <c r="DH21" s="159"/>
      <c r="DI21" s="159"/>
      <c r="DJ21" s="159"/>
      <c r="DK21" s="159"/>
      <c r="DL21" s="159"/>
      <c r="DM21" s="159"/>
      <c r="DN21" s="159"/>
      <c r="DO21" s="159"/>
      <c r="DP21" s="159"/>
      <c r="DQ21" s="159"/>
      <c r="DR21" s="159"/>
      <c r="DS21" s="159"/>
      <c r="DT21" s="160"/>
      <c r="DU21" s="160"/>
      <c r="DV21" s="160"/>
      <c r="DW21" s="160"/>
    </row>
    <row r="22" spans="1:127" s="99" customFormat="1">
      <c r="A22" s="110" t="s">
        <v>206</v>
      </c>
      <c r="B22" s="111">
        <f>SUM(B6:B21)</f>
        <v>0</v>
      </c>
      <c r="C22" s="111">
        <f>SUM(C6:C21)</f>
        <v>0</v>
      </c>
      <c r="D22" s="112" t="str">
        <f t="shared" ref="D22:K22" si="5">IF(SUM(D6:D21)=0,"",SUM(D6:D21))</f>
        <v/>
      </c>
      <c r="E22" s="112" t="str">
        <f t="shared" si="5"/>
        <v/>
      </c>
      <c r="F22" s="112" t="str">
        <f t="shared" si="5"/>
        <v/>
      </c>
      <c r="G22" s="112" t="str">
        <f t="shared" si="5"/>
        <v/>
      </c>
      <c r="H22" s="112" t="str">
        <f t="shared" si="5"/>
        <v/>
      </c>
      <c r="I22" s="112" t="str">
        <f t="shared" si="5"/>
        <v/>
      </c>
      <c r="J22" s="112" t="str">
        <f t="shared" si="5"/>
        <v/>
      </c>
      <c r="K22" s="112" t="str">
        <f t="shared" si="5"/>
        <v/>
      </c>
      <c r="L22" s="112" t="str">
        <f>IF(SUM(L6:L21)=0,"",SUM(L6:L21))</f>
        <v/>
      </c>
      <c r="M22" s="112" t="str">
        <f t="shared" ref="M22:AQ22" si="6">IF(SUM(M6:M21)=0,"",SUM(M6:M21))</f>
        <v/>
      </c>
      <c r="N22" s="112" t="str">
        <f t="shared" si="6"/>
        <v/>
      </c>
      <c r="O22" s="112" t="str">
        <f t="shared" si="6"/>
        <v/>
      </c>
      <c r="P22" s="112" t="str">
        <f t="shared" si="6"/>
        <v/>
      </c>
      <c r="Q22" s="112" t="str">
        <f t="shared" si="6"/>
        <v/>
      </c>
      <c r="R22" s="112" t="str">
        <f t="shared" si="6"/>
        <v/>
      </c>
      <c r="S22" s="112" t="str">
        <f t="shared" si="6"/>
        <v/>
      </c>
      <c r="T22" s="112" t="str">
        <f t="shared" si="6"/>
        <v/>
      </c>
      <c r="U22" s="112" t="str">
        <f t="shared" si="6"/>
        <v/>
      </c>
      <c r="V22" s="112" t="str">
        <f t="shared" si="6"/>
        <v/>
      </c>
      <c r="W22" s="112" t="str">
        <f t="shared" si="6"/>
        <v/>
      </c>
      <c r="X22" s="112" t="str">
        <f t="shared" si="6"/>
        <v/>
      </c>
      <c r="Y22" s="112" t="str">
        <f t="shared" si="6"/>
        <v/>
      </c>
      <c r="Z22" s="112" t="str">
        <f t="shared" si="6"/>
        <v/>
      </c>
      <c r="AA22" s="112" t="str">
        <f t="shared" si="6"/>
        <v/>
      </c>
      <c r="AB22" s="112" t="str">
        <f t="shared" si="6"/>
        <v/>
      </c>
      <c r="AC22" s="112" t="str">
        <f t="shared" si="6"/>
        <v/>
      </c>
      <c r="AD22" s="112" t="str">
        <f t="shared" si="6"/>
        <v/>
      </c>
      <c r="AE22" s="112" t="str">
        <f t="shared" si="6"/>
        <v/>
      </c>
      <c r="AF22" s="112" t="str">
        <f t="shared" si="6"/>
        <v/>
      </c>
      <c r="AG22" s="112" t="str">
        <f t="shared" si="6"/>
        <v/>
      </c>
      <c r="AH22" s="112" t="str">
        <f t="shared" si="6"/>
        <v/>
      </c>
      <c r="AI22" s="112" t="str">
        <f t="shared" si="6"/>
        <v/>
      </c>
      <c r="AJ22" s="112" t="str">
        <f t="shared" si="6"/>
        <v/>
      </c>
      <c r="AK22" s="112" t="str">
        <f t="shared" si="6"/>
        <v/>
      </c>
      <c r="AL22" s="112" t="str">
        <f t="shared" si="6"/>
        <v/>
      </c>
      <c r="AM22" s="112" t="str">
        <f t="shared" si="6"/>
        <v/>
      </c>
      <c r="AN22" s="112" t="str">
        <f t="shared" si="6"/>
        <v/>
      </c>
      <c r="AO22" s="112" t="str">
        <f t="shared" si="6"/>
        <v/>
      </c>
      <c r="AP22" s="112" t="str">
        <f t="shared" si="6"/>
        <v/>
      </c>
      <c r="AQ22" s="112" t="str">
        <f t="shared" si="6"/>
        <v/>
      </c>
      <c r="AR22" s="112" t="str">
        <f t="shared" ref="AR22:BW22" si="7">IF(SUM(AR6:AR21)=0,"",SUM(AR6:AR21))</f>
        <v/>
      </c>
      <c r="AS22" s="112" t="str">
        <f t="shared" si="7"/>
        <v/>
      </c>
      <c r="AT22" s="112" t="str">
        <f t="shared" si="7"/>
        <v/>
      </c>
      <c r="AU22" s="112" t="str">
        <f t="shared" si="7"/>
        <v/>
      </c>
      <c r="AV22" s="112" t="str">
        <f t="shared" si="7"/>
        <v/>
      </c>
      <c r="AW22" s="112" t="str">
        <f t="shared" si="7"/>
        <v/>
      </c>
      <c r="AX22" s="112" t="str">
        <f t="shared" si="7"/>
        <v/>
      </c>
      <c r="AY22" s="112" t="str">
        <f t="shared" si="7"/>
        <v/>
      </c>
      <c r="AZ22" s="112" t="str">
        <f t="shared" si="7"/>
        <v/>
      </c>
      <c r="BA22" s="112" t="str">
        <f t="shared" si="7"/>
        <v/>
      </c>
      <c r="BB22" s="112" t="str">
        <f t="shared" si="7"/>
        <v/>
      </c>
      <c r="BC22" s="112" t="str">
        <f t="shared" si="7"/>
        <v/>
      </c>
      <c r="BD22" s="112" t="str">
        <f t="shared" si="7"/>
        <v/>
      </c>
      <c r="BE22" s="112" t="str">
        <f t="shared" si="7"/>
        <v/>
      </c>
      <c r="BF22" s="112" t="str">
        <f t="shared" si="7"/>
        <v/>
      </c>
      <c r="BG22" s="112" t="str">
        <f t="shared" si="7"/>
        <v/>
      </c>
      <c r="BH22" s="112" t="str">
        <f t="shared" si="7"/>
        <v/>
      </c>
      <c r="BI22" s="112" t="str">
        <f t="shared" si="7"/>
        <v/>
      </c>
      <c r="BJ22" s="112" t="str">
        <f t="shared" si="7"/>
        <v/>
      </c>
      <c r="BK22" s="112" t="str">
        <f t="shared" si="7"/>
        <v/>
      </c>
      <c r="BL22" s="112" t="str">
        <f t="shared" si="7"/>
        <v/>
      </c>
      <c r="BM22" s="112" t="str">
        <f t="shared" si="7"/>
        <v/>
      </c>
      <c r="BN22" s="112" t="str">
        <f t="shared" si="7"/>
        <v/>
      </c>
      <c r="BO22" s="112" t="str">
        <f t="shared" si="7"/>
        <v/>
      </c>
      <c r="BP22" s="112" t="str">
        <f t="shared" si="7"/>
        <v/>
      </c>
      <c r="BQ22" s="112" t="str">
        <f t="shared" si="7"/>
        <v/>
      </c>
      <c r="BR22" s="112" t="str">
        <f t="shared" si="7"/>
        <v/>
      </c>
      <c r="BS22" s="112" t="str">
        <f t="shared" si="7"/>
        <v/>
      </c>
      <c r="BT22" s="112" t="str">
        <f t="shared" si="7"/>
        <v/>
      </c>
      <c r="BU22" s="112" t="str">
        <f t="shared" si="7"/>
        <v/>
      </c>
      <c r="BV22" s="112" t="str">
        <f t="shared" si="7"/>
        <v/>
      </c>
      <c r="BW22" s="112" t="str">
        <f t="shared" si="7"/>
        <v/>
      </c>
      <c r="BX22" s="112" t="str">
        <f t="shared" ref="BX22:DC22" si="8">IF(SUM(BX6:BX21)=0,"",SUM(BX6:BX21))</f>
        <v/>
      </c>
      <c r="BY22" s="112" t="str">
        <f t="shared" si="8"/>
        <v/>
      </c>
      <c r="BZ22" s="112" t="str">
        <f t="shared" si="8"/>
        <v/>
      </c>
      <c r="CA22" s="112" t="str">
        <f t="shared" si="8"/>
        <v/>
      </c>
      <c r="CB22" s="112" t="str">
        <f t="shared" si="8"/>
        <v/>
      </c>
      <c r="CC22" s="112" t="str">
        <f t="shared" si="8"/>
        <v/>
      </c>
      <c r="CD22" s="112" t="str">
        <f t="shared" si="8"/>
        <v/>
      </c>
      <c r="CE22" s="112" t="str">
        <f t="shared" si="8"/>
        <v/>
      </c>
      <c r="CF22" s="112" t="str">
        <f t="shared" si="8"/>
        <v/>
      </c>
      <c r="CG22" s="112" t="str">
        <f t="shared" si="8"/>
        <v/>
      </c>
      <c r="CH22" s="112" t="str">
        <f t="shared" si="8"/>
        <v/>
      </c>
      <c r="CI22" s="112" t="str">
        <f t="shared" si="8"/>
        <v/>
      </c>
      <c r="CJ22" s="112" t="str">
        <f t="shared" si="8"/>
        <v/>
      </c>
      <c r="CK22" s="112" t="str">
        <f t="shared" si="8"/>
        <v/>
      </c>
      <c r="CL22" s="112" t="str">
        <f t="shared" si="8"/>
        <v/>
      </c>
      <c r="CM22" s="112" t="str">
        <f t="shared" si="8"/>
        <v/>
      </c>
      <c r="CN22" s="112" t="str">
        <f t="shared" si="8"/>
        <v/>
      </c>
      <c r="CO22" s="112" t="str">
        <f t="shared" si="8"/>
        <v/>
      </c>
      <c r="CP22" s="112" t="str">
        <f t="shared" si="8"/>
        <v/>
      </c>
      <c r="CQ22" s="112" t="str">
        <f t="shared" si="8"/>
        <v/>
      </c>
      <c r="CR22" s="112" t="str">
        <f t="shared" si="8"/>
        <v/>
      </c>
      <c r="CS22" s="112" t="str">
        <f t="shared" si="8"/>
        <v/>
      </c>
      <c r="CT22" s="112" t="str">
        <f t="shared" si="8"/>
        <v/>
      </c>
      <c r="CU22" s="112" t="str">
        <f t="shared" si="8"/>
        <v/>
      </c>
      <c r="CV22" s="112" t="str">
        <f t="shared" si="8"/>
        <v/>
      </c>
      <c r="CW22" s="112" t="str">
        <f t="shared" si="8"/>
        <v/>
      </c>
      <c r="CX22" s="112" t="str">
        <f t="shared" si="8"/>
        <v/>
      </c>
      <c r="CY22" s="112" t="str">
        <f t="shared" si="8"/>
        <v/>
      </c>
      <c r="CZ22" s="112" t="str">
        <f t="shared" si="8"/>
        <v/>
      </c>
      <c r="DA22" s="112" t="str">
        <f t="shared" si="8"/>
        <v/>
      </c>
      <c r="DB22" s="112" t="str">
        <f t="shared" si="8"/>
        <v/>
      </c>
      <c r="DC22" s="112" t="str">
        <f t="shared" si="8"/>
        <v/>
      </c>
      <c r="DD22" s="112" t="str">
        <f t="shared" ref="DD22:DW22" si="9">IF(SUM(DD6:DD21)=0,"",SUM(DD6:DD21))</f>
        <v/>
      </c>
      <c r="DE22" s="112" t="str">
        <f t="shared" si="9"/>
        <v/>
      </c>
      <c r="DF22" s="112" t="str">
        <f t="shared" si="9"/>
        <v/>
      </c>
      <c r="DG22" s="112" t="str">
        <f t="shared" si="9"/>
        <v/>
      </c>
      <c r="DH22" s="112" t="str">
        <f t="shared" si="9"/>
        <v/>
      </c>
      <c r="DI22" s="112" t="str">
        <f t="shared" si="9"/>
        <v/>
      </c>
      <c r="DJ22" s="112" t="str">
        <f t="shared" si="9"/>
        <v/>
      </c>
      <c r="DK22" s="112" t="str">
        <f t="shared" si="9"/>
        <v/>
      </c>
      <c r="DL22" s="112" t="str">
        <f t="shared" si="9"/>
        <v/>
      </c>
      <c r="DM22" s="112" t="str">
        <f t="shared" si="9"/>
        <v/>
      </c>
      <c r="DN22" s="112" t="str">
        <f t="shared" si="9"/>
        <v/>
      </c>
      <c r="DO22" s="112" t="str">
        <f t="shared" si="9"/>
        <v/>
      </c>
      <c r="DP22" s="112" t="str">
        <f t="shared" si="9"/>
        <v/>
      </c>
      <c r="DQ22" s="112" t="str">
        <f t="shared" si="9"/>
        <v/>
      </c>
      <c r="DR22" s="112" t="str">
        <f t="shared" si="9"/>
        <v/>
      </c>
      <c r="DS22" s="112" t="str">
        <f t="shared" si="9"/>
        <v/>
      </c>
      <c r="DT22" s="112" t="str">
        <f t="shared" si="9"/>
        <v/>
      </c>
      <c r="DU22" s="112" t="str">
        <f t="shared" si="9"/>
        <v/>
      </c>
      <c r="DV22" s="112" t="str">
        <f t="shared" si="9"/>
        <v/>
      </c>
      <c r="DW22" s="112" t="str">
        <f t="shared" si="9"/>
        <v/>
      </c>
    </row>
    <row r="27" spans="1:127">
      <c r="E27" s="29"/>
    </row>
  </sheetData>
  <sheetProtection algorithmName="SHA-1" hashValue="Z6NHok3InagGvsJtdXgFf8/z9CY=" saltValue="8XK2HzqtPKn4OLE7CiYJpQ==" spinCount="100000" sheet="1" formatCells="0"/>
  <phoneticPr fontId="4" type="noConversion"/>
  <hyperlinks>
    <hyperlink ref="A3" location="CoverSheet!A1" display="Back to cover sheet" xr:uid="{B464FBF9-8486-4639-9FCB-3C2D756F8887}"/>
    <hyperlink ref="B3" location="'4_Funding'!A1" display="Go to next step" xr:uid="{FF1C4EBC-57E0-4620-B27B-B821A97877F1}"/>
    <hyperlink ref="C1" r:id="rId1" xr:uid="{92D42FE4-4A8F-CC4E-A970-1D3CDAE1AFBB}"/>
    <hyperlink ref="B1" r:id="rId2" xr:uid="{6EBC18D0-FA56-584F-973F-83FE7A0A1B5C}"/>
  </hyperlinks>
  <pageMargins left="0.7" right="0.7" top="0.75" bottom="0.75" header="0.3" footer="0.3"/>
  <pageSetup paperSize="9" orientation="portrait" r:id="rId3"/>
  <ignoredErrors>
    <ignoredError sqref="L5 M5:P5 R5:DW5" calculatedColumn="1"/>
  </ignoredErrors>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888F1-EB5B-48F7-9C1E-F8C6313459AC}">
  <sheetPr codeName="Sheet6"/>
  <dimension ref="A1:DT32"/>
  <sheetViews>
    <sheetView topLeftCell="A3" zoomScaleNormal="100" workbookViewId="0">
      <selection activeCell="D7" sqref="D7"/>
    </sheetView>
  </sheetViews>
  <sheetFormatPr defaultColWidth="9.1796875" defaultRowHeight="15.5"/>
  <cols>
    <col min="1" max="1" width="29.7265625" style="50" customWidth="1"/>
    <col min="2" max="2" width="29.453125" style="50" customWidth="1"/>
    <col min="3" max="3" width="27.1796875" style="51" customWidth="1"/>
    <col min="4" max="4" width="32.26953125" style="98" customWidth="1"/>
    <col min="5" max="5" width="9.1796875" style="50"/>
    <col min="6" max="6" width="36.453125" style="50" customWidth="1"/>
    <col min="7" max="21" width="9.1796875" style="50"/>
    <col min="22" max="22" width="26.1796875" style="50" customWidth="1"/>
    <col min="23" max="16384" width="9.1796875" style="50"/>
  </cols>
  <sheetData>
    <row r="1" spans="1:124" ht="65.150000000000006" customHeight="1">
      <c r="A1" s="76" t="s">
        <v>207</v>
      </c>
      <c r="B1" s="91" t="s">
        <v>22</v>
      </c>
      <c r="C1" s="91" t="s">
        <v>23</v>
      </c>
      <c r="D1" s="50"/>
    </row>
    <row r="2" spans="1:124" s="27" customFormat="1" ht="150" customHeight="1">
      <c r="A2" s="77" t="s">
        <v>208</v>
      </c>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3"/>
      <c r="CE2" s="53"/>
      <c r="CF2" s="53"/>
      <c r="CG2" s="53"/>
      <c r="CH2" s="53"/>
      <c r="CI2" s="53"/>
      <c r="CJ2" s="53"/>
      <c r="CK2" s="53"/>
      <c r="CL2" s="53"/>
      <c r="CM2" s="53"/>
      <c r="CN2" s="53"/>
      <c r="CO2" s="53"/>
      <c r="CP2" s="53"/>
      <c r="CQ2" s="53"/>
      <c r="CR2" s="53"/>
      <c r="CS2" s="53"/>
      <c r="CT2" s="53"/>
      <c r="CU2" s="53"/>
      <c r="CV2" s="53"/>
      <c r="CW2" s="53"/>
      <c r="CX2" s="53"/>
      <c r="CY2" s="53"/>
      <c r="CZ2" s="53"/>
      <c r="DA2" s="53"/>
      <c r="DB2" s="53"/>
      <c r="DC2" s="53"/>
      <c r="DD2" s="53"/>
      <c r="DE2" s="53"/>
      <c r="DF2" s="53"/>
      <c r="DG2" s="53"/>
      <c r="DH2" s="53"/>
      <c r="DI2" s="53"/>
      <c r="DJ2" s="53"/>
      <c r="DK2" s="53"/>
      <c r="DL2" s="53"/>
      <c r="DM2" s="53"/>
      <c r="DN2" s="53"/>
      <c r="DO2" s="53"/>
      <c r="DP2" s="53"/>
      <c r="DQ2" s="53"/>
      <c r="DR2" s="53"/>
      <c r="DS2" s="53"/>
      <c r="DT2" s="53"/>
    </row>
    <row r="3" spans="1:124" s="24" customFormat="1" ht="38.15" customHeight="1">
      <c r="A3" s="68" t="s">
        <v>25</v>
      </c>
      <c r="B3" s="56" t="s">
        <v>209</v>
      </c>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row>
    <row r="4" spans="1:124" s="24" customFormat="1" ht="38.15" customHeight="1">
      <c r="A4" s="207" t="s">
        <v>210</v>
      </c>
      <c r="B4" s="207"/>
      <c r="C4" s="207"/>
      <c r="D4" s="207"/>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row>
    <row r="5" spans="1:124" ht="20.149999999999999" customHeight="1">
      <c r="A5" s="54" t="s">
        <v>211</v>
      </c>
      <c r="B5" s="54" t="s">
        <v>212</v>
      </c>
      <c r="C5" s="55" t="s">
        <v>213</v>
      </c>
      <c r="D5" s="97" t="s">
        <v>28</v>
      </c>
    </row>
    <row r="6" spans="1:124" ht="46.5">
      <c r="A6" s="78" t="s">
        <v>214</v>
      </c>
      <c r="B6" s="79" t="s">
        <v>215</v>
      </c>
      <c r="C6" s="80">
        <f>SumCostsIncurredDate</f>
        <v>0</v>
      </c>
      <c r="D6" s="97" t="str">
        <f>IF(AND(ISBLANK($C$6),$A$6="Required"),"Enter the equity invested", "No error")</f>
        <v>No error</v>
      </c>
    </row>
    <row r="7" spans="1:124" ht="31">
      <c r="A7" s="78" t="s">
        <v>214</v>
      </c>
      <c r="B7" s="79" t="s">
        <v>216</v>
      </c>
      <c r="C7" s="80"/>
      <c r="D7" s="97" t="str">
        <f>IF(AND(ISBLANK($C$7),$A$7="Required"),"Enter the equity available", "No error")</f>
        <v>Enter the equity available</v>
      </c>
    </row>
    <row r="8" spans="1:124">
      <c r="A8" s="78" t="s">
        <v>214</v>
      </c>
      <c r="B8" s="79" t="s">
        <v>217</v>
      </c>
      <c r="C8" s="80"/>
      <c r="D8" s="97" t="str">
        <f>IF(AND(ISBLANK($C$8),$A$8="Required"),"Enter the current land value", "No error")</f>
        <v>Enter the current land value</v>
      </c>
    </row>
    <row r="9" spans="1:124" ht="46.5">
      <c r="A9" s="78" t="s">
        <v>214</v>
      </c>
      <c r="B9" s="79" t="s">
        <v>218</v>
      </c>
      <c r="C9" s="81"/>
      <c r="D9" s="97" t="str">
        <f>IF(AND(ISBLANK($C$9),$A$9="Required"),"Enter yes or no or N/A", "No error")</f>
        <v>Enter yes or no or N/A</v>
      </c>
    </row>
    <row r="10" spans="1:124">
      <c r="A10" s="78" t="s">
        <v>214</v>
      </c>
      <c r="B10" s="79" t="s">
        <v>219</v>
      </c>
      <c r="C10" s="82"/>
      <c r="D10" s="97" t="str">
        <f>IF(AND(ISBLANK($C$10),$A$10="Required"),"Enter the number of other loans", "No error")</f>
        <v>Enter the number of other loans</v>
      </c>
    </row>
    <row r="11" spans="1:124" ht="51.75" customHeight="1">
      <c r="A11" s="78" t="s">
        <v>214</v>
      </c>
      <c r="B11" s="79" t="s">
        <v>220</v>
      </c>
      <c r="C11" s="80"/>
      <c r="D11" s="97" t="str">
        <f>IF(AND(ISBLANK($C$11),$A$11="Required"),"Enter yes or no or N/A", "No error")</f>
        <v>Enter yes or no or N/A</v>
      </c>
    </row>
    <row r="12" spans="1:124" ht="45" customHeight="1">
      <c r="A12" s="208" t="str">
        <f>"The following questions are about your other loans and are "&amp;IF($C$10&gt;0,"required.  This is about your first loan.","not required.")</f>
        <v>The following questions are about your other loans and are not required.</v>
      </c>
      <c r="B12" s="208"/>
      <c r="C12" s="208"/>
      <c r="D12" s="208"/>
    </row>
    <row r="13" spans="1:124">
      <c r="A13" s="54" t="s">
        <v>211</v>
      </c>
      <c r="B13" s="54" t="s">
        <v>212</v>
      </c>
      <c r="C13" s="55" t="s">
        <v>213</v>
      </c>
      <c r="D13" s="97" t="s">
        <v>28</v>
      </c>
    </row>
    <row r="14" spans="1:124" ht="31">
      <c r="A14" s="78" t="str">
        <f>IF($C$10&gt;0,"Required","Not required")</f>
        <v>Not required</v>
      </c>
      <c r="B14" s="79" t="s">
        <v>221</v>
      </c>
      <c r="C14" s="81"/>
      <c r="D14" s="97" t="str">
        <f>IF(AND(ISBLANK($C$14),$A$14="Required"),"Enter the name of the lender", "No error")</f>
        <v>No error</v>
      </c>
    </row>
    <row r="15" spans="1:124">
      <c r="A15" s="78" t="str">
        <f t="shared" ref="A15:A18" si="0">IF($C$10&gt;0,"Required","Not required")</f>
        <v>Not required</v>
      </c>
      <c r="B15" s="79" t="s">
        <v>222</v>
      </c>
      <c r="C15" s="80"/>
      <c r="D15" s="97" t="str">
        <f>IF(AND(ISBLANK($C$15),$A$15="Required"),"Enter the loan value", "No error")</f>
        <v>No error</v>
      </c>
    </row>
    <row r="16" spans="1:124" ht="31">
      <c r="A16" s="78" t="str">
        <f t="shared" si="0"/>
        <v>Not required</v>
      </c>
      <c r="B16" s="79" t="s">
        <v>223</v>
      </c>
      <c r="C16" s="81"/>
      <c r="D16" s="97" t="str">
        <f>IF(AND(ISBLANK($C$16),$A$16="Required"),"Enter how you plan on repaying the loan", "No error")</f>
        <v>No error</v>
      </c>
    </row>
    <row r="17" spans="1:6" ht="31">
      <c r="A17" s="78" t="str">
        <f>IF($C$10&gt;0,"Required","Not required")</f>
        <v>Not required</v>
      </c>
      <c r="B17" s="79" t="s">
        <v>224</v>
      </c>
      <c r="C17" s="81"/>
      <c r="D17" s="97" t="str">
        <f>IF(AND(ISBLANK($C$17),$A$17="Required"),"Enter the month of the final repayment", "No error")</f>
        <v>No error</v>
      </c>
    </row>
    <row r="18" spans="1:6" ht="31">
      <c r="A18" s="78" t="str">
        <f t="shared" si="0"/>
        <v>Not required</v>
      </c>
      <c r="B18" s="79" t="s">
        <v>225</v>
      </c>
      <c r="C18" s="81"/>
      <c r="D18" s="97" t="str">
        <f>IF(AND(ISBLANK($C$18),$A$18="Required"),"Enter the year of the final repayment", "No error")</f>
        <v>No error</v>
      </c>
    </row>
    <row r="19" spans="1:6" ht="44.15" customHeight="1">
      <c r="A19" s="208" t="str">
        <f>"The following questions are about your other loans and are "&amp;IF($C$10&gt;1,"required. This is about your second loan.","not required.")</f>
        <v>The following questions are about your other loans and are not required.</v>
      </c>
      <c r="B19" s="208"/>
      <c r="C19" s="208"/>
      <c r="D19" s="208"/>
    </row>
    <row r="20" spans="1:6">
      <c r="A20" s="54" t="s">
        <v>211</v>
      </c>
      <c r="B20" s="54" t="s">
        <v>212</v>
      </c>
      <c r="C20" s="55" t="s">
        <v>213</v>
      </c>
      <c r="D20" s="97" t="s">
        <v>28</v>
      </c>
    </row>
    <row r="21" spans="1:6" ht="31">
      <c r="A21" s="78" t="str">
        <f t="shared" ref="A21:A25" si="1">IF($C$10&gt;1,"Required","Not required")</f>
        <v>Not required</v>
      </c>
      <c r="B21" s="79" t="s">
        <v>221</v>
      </c>
      <c r="C21" s="81"/>
      <c r="D21" s="97" t="str">
        <f>IF(AND(ISBLANK($C$21),$A$21="Required"),"Enter the name of the lender", "No error")</f>
        <v>No error</v>
      </c>
    </row>
    <row r="22" spans="1:6">
      <c r="A22" s="78" t="str">
        <f t="shared" si="1"/>
        <v>Not required</v>
      </c>
      <c r="B22" s="79" t="s">
        <v>222</v>
      </c>
      <c r="C22" s="80"/>
      <c r="D22" s="97" t="str">
        <f>IF(AND(ISBLANK($C$22),$A$22="Required"),"Enter the loan value", "No error")</f>
        <v>No error</v>
      </c>
    </row>
    <row r="23" spans="1:6" ht="31">
      <c r="A23" s="78" t="str">
        <f t="shared" si="1"/>
        <v>Not required</v>
      </c>
      <c r="B23" s="79" t="s">
        <v>223</v>
      </c>
      <c r="C23" s="81"/>
      <c r="D23" s="97" t="str">
        <f>IF(AND(ISBLANK($C$23),$A$23="Required"),"Enter how you plan on repaying the loan", "No error")</f>
        <v>No error</v>
      </c>
      <c r="F23" s="113"/>
    </row>
    <row r="24" spans="1:6" ht="31">
      <c r="A24" s="78" t="str">
        <f t="shared" si="1"/>
        <v>Not required</v>
      </c>
      <c r="B24" s="79" t="s">
        <v>224</v>
      </c>
      <c r="C24" s="81"/>
      <c r="D24" s="97" t="str">
        <f>IF(AND(ISBLANK($C$24),$A$24="Required"),"Enter the month of the final repayment", "No error")</f>
        <v>No error</v>
      </c>
    </row>
    <row r="25" spans="1:6" ht="31">
      <c r="A25" s="78" t="str">
        <f t="shared" si="1"/>
        <v>Not required</v>
      </c>
      <c r="B25" s="79" t="s">
        <v>225</v>
      </c>
      <c r="C25" s="81"/>
      <c r="D25" s="97" t="str">
        <f>IF(AND(ISBLANK($C$25),$A$25="Required"),"Enter the year of the final repayment", "No error")</f>
        <v>No error</v>
      </c>
    </row>
    <row r="26" spans="1:6" ht="39.75" customHeight="1">
      <c r="A26" s="208" t="str">
        <f>"The following questions are about your other loans and are "&amp;IF($C$10&gt;2,"required. This is about your third loan.","not required.")</f>
        <v>The following questions are about your other loans and are not required.</v>
      </c>
      <c r="B26" s="208"/>
      <c r="C26" s="208"/>
      <c r="D26" s="208"/>
    </row>
    <row r="27" spans="1:6">
      <c r="A27" s="54" t="s">
        <v>211</v>
      </c>
      <c r="B27" s="54" t="s">
        <v>212</v>
      </c>
      <c r="C27" s="55" t="s">
        <v>213</v>
      </c>
      <c r="D27" s="97" t="s">
        <v>28</v>
      </c>
    </row>
    <row r="28" spans="1:6" ht="31">
      <c r="A28" s="78" t="str">
        <f t="shared" ref="A28:A32" si="2">IF($C$10&gt;2,"Required","Not required")</f>
        <v>Not required</v>
      </c>
      <c r="B28" s="79" t="s">
        <v>221</v>
      </c>
      <c r="C28" s="81"/>
      <c r="D28" s="97" t="str">
        <f>IF(AND(ISBLANK($C$28),$A$28="Required"),"Enter the name of the lender", "No error")</f>
        <v>No error</v>
      </c>
    </row>
    <row r="29" spans="1:6">
      <c r="A29" s="78" t="str">
        <f t="shared" si="2"/>
        <v>Not required</v>
      </c>
      <c r="B29" s="79" t="s">
        <v>222</v>
      </c>
      <c r="C29" s="80"/>
      <c r="D29" s="97" t="str">
        <f>IF(AND(ISBLANK($C$29),$A$29="Required"),"Enter the loan value", "No error")</f>
        <v>No error</v>
      </c>
    </row>
    <row r="30" spans="1:6" ht="31">
      <c r="A30" s="78" t="str">
        <f t="shared" si="2"/>
        <v>Not required</v>
      </c>
      <c r="B30" s="79" t="s">
        <v>223</v>
      </c>
      <c r="C30" s="81"/>
      <c r="D30" s="97" t="str">
        <f>IF(AND(ISBLANK($C$30),$A$30="Required"),"Enter how you plan on repaying the loan", "No error")</f>
        <v>No error</v>
      </c>
    </row>
    <row r="31" spans="1:6" ht="31">
      <c r="A31" s="78" t="str">
        <f t="shared" si="2"/>
        <v>Not required</v>
      </c>
      <c r="B31" s="79" t="s">
        <v>224</v>
      </c>
      <c r="C31" s="81"/>
      <c r="D31" s="97" t="str">
        <f>IF(AND(ISBLANK($C$31),$A$31="Required"),"Enter the month of the final repayment", "No error")</f>
        <v>No error</v>
      </c>
    </row>
    <row r="32" spans="1:6" ht="31">
      <c r="A32" s="78" t="str">
        <f t="shared" si="2"/>
        <v>Not required</v>
      </c>
      <c r="B32" s="79" t="s">
        <v>225</v>
      </c>
      <c r="C32" s="81"/>
      <c r="D32" s="97" t="str">
        <f>IF(AND(ISBLANK($C$32),$A$32="Required"),"Enter the year of the final repayment", "No error")</f>
        <v>No error</v>
      </c>
    </row>
  </sheetData>
  <sheetProtection algorithmName="SHA-1" hashValue="a4/7RBHcNbqj5JOgMzAKavo4qP8=" saltValue="yh6gSzhqS7E9EgS4T9feFg==" spinCount="100000" sheet="1" formatCells="0"/>
  <mergeCells count="4">
    <mergeCell ref="A4:D4"/>
    <mergeCell ref="A12:D12"/>
    <mergeCell ref="A19:D19"/>
    <mergeCell ref="A26:D26"/>
  </mergeCells>
  <conditionalFormatting sqref="D6:D11">
    <cfRule type="cellIs" dxfId="191" priority="4" operator="equal">
      <formula>"No error"</formula>
    </cfRule>
  </conditionalFormatting>
  <conditionalFormatting sqref="D14:D18">
    <cfRule type="cellIs" dxfId="190" priority="3" operator="equal">
      <formula>"No error"</formula>
    </cfRule>
  </conditionalFormatting>
  <conditionalFormatting sqref="D21:D25">
    <cfRule type="cellIs" dxfId="189" priority="2" operator="equal">
      <formula>"No error"</formula>
    </cfRule>
  </conditionalFormatting>
  <conditionalFormatting sqref="D28:D32">
    <cfRule type="cellIs" dxfId="188" priority="1" operator="equal">
      <formula>"No error"</formula>
    </cfRule>
  </conditionalFormatting>
  <dataValidations count="2">
    <dataValidation type="list" allowBlank="1" showInputMessage="1" showErrorMessage="1" sqref="C17 C24 C31" xr:uid="{0D33AB72-EE19-4CFF-922D-04D7A659C5F7}">
      <formula1>Months</formula1>
    </dataValidation>
    <dataValidation type="list" allowBlank="1" showInputMessage="1" showErrorMessage="1" sqref="C32 C18 C25" xr:uid="{739EB061-4996-49FA-BC9B-0FB368DD64EE}">
      <formula1>Years</formula1>
    </dataValidation>
  </dataValidations>
  <hyperlinks>
    <hyperlink ref="A3" location="CoverSheet!A1" display="Back to cover sheet" xr:uid="{70BA7330-C12F-4788-B7B6-4DAE8500097B}"/>
    <hyperlink ref="B3" location="FinancialSummary!A1" display="Go to financial summary" xr:uid="{F2EF23A9-29A4-49A0-9AE8-71BA4BFD5F17}"/>
    <hyperlink ref="C1" r:id="rId1" xr:uid="{6CF4CCF5-D0C1-CD40-B605-7F64FAE45999}"/>
    <hyperlink ref="B1" r:id="rId2" xr:uid="{BFAD64E6-2B3D-024D-86EB-D83425AEB9BB}"/>
  </hyperlinks>
  <pageMargins left="0.7" right="0.7" top="0.75" bottom="0.75" header="0.3" footer="0.3"/>
  <pageSetup paperSize="9" orientation="portrait" r:id="rId3"/>
  <tableParts count="4">
    <tablePart r:id="rId4"/>
    <tablePart r:id="rId5"/>
    <tablePart r:id="rId6"/>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EAFD81AA-B15F-4C20-A527-AA1C76DEE70E}">
          <x14:formula1>
            <xm:f>ReferenceData!$I$4:$I$6</xm:f>
          </x14:formula1>
          <xm:sqref>C9 C11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1E8A1-505F-401F-84CD-8C5595B34AC7}">
  <sheetPr codeName="Sheet3"/>
  <dimension ref="A1:C31"/>
  <sheetViews>
    <sheetView showGridLines="0" zoomScaleNormal="100" workbookViewId="0"/>
  </sheetViews>
  <sheetFormatPr defaultColWidth="8.81640625" defaultRowHeight="15.5"/>
  <cols>
    <col min="1" max="1" width="40" style="24" customWidth="1"/>
    <col min="2" max="2" width="21.81640625" style="24" customWidth="1"/>
    <col min="3" max="3" width="23.453125" style="24" customWidth="1"/>
    <col min="4" max="4" width="17.453125" style="24" bestFit="1" customWidth="1"/>
    <col min="5" max="16384" width="8.81640625" style="24"/>
  </cols>
  <sheetData>
    <row r="1" spans="1:3" ht="52" customHeight="1">
      <c r="A1" s="66" t="s">
        <v>226</v>
      </c>
      <c r="B1" s="91" t="s">
        <v>22</v>
      </c>
      <c r="C1" s="91" t="s">
        <v>23</v>
      </c>
    </row>
    <row r="2" spans="1:3" ht="110.15" customHeight="1">
      <c r="A2" s="107" t="s">
        <v>227</v>
      </c>
    </row>
    <row r="3" spans="1:3" ht="32.25" customHeight="1">
      <c r="A3" s="68" t="s">
        <v>25</v>
      </c>
      <c r="B3" s="90" t="s">
        <v>228</v>
      </c>
    </row>
    <row r="4" spans="1:3" ht="36" customHeight="1">
      <c r="A4" s="25" t="s">
        <v>229</v>
      </c>
      <c r="B4" s="25" t="s">
        <v>230</v>
      </c>
      <c r="C4" s="25" t="s">
        <v>231</v>
      </c>
    </row>
    <row r="5" spans="1:3">
      <c r="A5" s="24" t="s">
        <v>190</v>
      </c>
      <c r="B5" s="197">
        <f t="shared" ref="B5:B20" si="0">INDEX(TotalDevCostsCat,MATCH(A5,TotalDevCostsList,0),MATCH("Total per cost category",TotalDevCostsTitles,0))</f>
        <v>0</v>
      </c>
      <c r="C5" s="169" t="s">
        <v>232</v>
      </c>
    </row>
    <row r="6" spans="1:3">
      <c r="A6" s="24" t="s">
        <v>191</v>
      </c>
      <c r="B6" s="197">
        <f t="shared" si="0"/>
        <v>0</v>
      </c>
      <c r="C6" s="169" t="s">
        <v>232</v>
      </c>
    </row>
    <row r="7" spans="1:3">
      <c r="A7" s="24" t="s">
        <v>192</v>
      </c>
      <c r="B7" s="197">
        <f t="shared" si="0"/>
        <v>0</v>
      </c>
      <c r="C7" s="169" t="s">
        <v>232</v>
      </c>
    </row>
    <row r="8" spans="1:3">
      <c r="A8" s="24" t="s">
        <v>193</v>
      </c>
      <c r="B8" s="197">
        <f t="shared" si="0"/>
        <v>0</v>
      </c>
      <c r="C8" s="169" t="s">
        <v>232</v>
      </c>
    </row>
    <row r="9" spans="1:3">
      <c r="A9" s="24" t="s">
        <v>194</v>
      </c>
      <c r="B9" s="197">
        <f t="shared" si="0"/>
        <v>0</v>
      </c>
      <c r="C9" s="169" t="s">
        <v>232</v>
      </c>
    </row>
    <row r="10" spans="1:3">
      <c r="A10" s="24" t="s">
        <v>195</v>
      </c>
      <c r="B10" s="197">
        <f t="shared" si="0"/>
        <v>0</v>
      </c>
      <c r="C10" s="169" t="s">
        <v>232</v>
      </c>
    </row>
    <row r="11" spans="1:3">
      <c r="A11" s="24" t="s">
        <v>196</v>
      </c>
      <c r="B11" s="197">
        <f t="shared" si="0"/>
        <v>0</v>
      </c>
      <c r="C11" s="169" t="s">
        <v>232</v>
      </c>
    </row>
    <row r="12" spans="1:3">
      <c r="A12" s="24" t="s">
        <v>197</v>
      </c>
      <c r="B12" s="197">
        <f t="shared" si="0"/>
        <v>0</v>
      </c>
      <c r="C12" s="169" t="s">
        <v>232</v>
      </c>
    </row>
    <row r="13" spans="1:3">
      <c r="A13" s="24" t="s">
        <v>198</v>
      </c>
      <c r="B13" s="197">
        <f t="shared" si="0"/>
        <v>0</v>
      </c>
      <c r="C13" s="169" t="s">
        <v>232</v>
      </c>
    </row>
    <row r="14" spans="1:3">
      <c r="A14" s="24" t="s">
        <v>199</v>
      </c>
      <c r="B14" s="197">
        <f t="shared" si="0"/>
        <v>0</v>
      </c>
      <c r="C14" s="169" t="s">
        <v>232</v>
      </c>
    </row>
    <row r="15" spans="1:3">
      <c r="A15" s="24" t="s">
        <v>200</v>
      </c>
      <c r="B15" s="197">
        <f t="shared" si="0"/>
        <v>0</v>
      </c>
      <c r="C15" s="169" t="s">
        <v>232</v>
      </c>
    </row>
    <row r="16" spans="1:3">
      <c r="A16" s="24" t="str">
        <f>CustomCost1</f>
        <v>Enter your first additional cost name here</v>
      </c>
      <c r="B16" s="197">
        <f t="shared" si="0"/>
        <v>0</v>
      </c>
      <c r="C16" s="169" t="s">
        <v>232</v>
      </c>
    </row>
    <row r="17" spans="1:3">
      <c r="A17" s="24" t="str">
        <f>CustomCost2</f>
        <v>Enter your second additional cost name here</v>
      </c>
      <c r="B17" s="197">
        <f t="shared" si="0"/>
        <v>0</v>
      </c>
      <c r="C17" s="169" t="s">
        <v>232</v>
      </c>
    </row>
    <row r="18" spans="1:3">
      <c r="A18" s="24" t="str">
        <f>CustomCost3</f>
        <v>Enter your third additional cost name here</v>
      </c>
      <c r="B18" s="197">
        <f t="shared" si="0"/>
        <v>0</v>
      </c>
      <c r="C18" s="169" t="s">
        <v>232</v>
      </c>
    </row>
    <row r="19" spans="1:3">
      <c r="A19" s="24" t="str">
        <f>CustomCost4</f>
        <v>Enter your fourth additional cost name here</v>
      </c>
      <c r="B19" s="197">
        <f t="shared" si="0"/>
        <v>0</v>
      </c>
      <c r="C19" s="169" t="s">
        <v>232</v>
      </c>
    </row>
    <row r="20" spans="1:3">
      <c r="A20" s="24" t="str">
        <f>CustomCost5</f>
        <v>Enter your fifth additional cost name here</v>
      </c>
      <c r="B20" s="197">
        <f t="shared" si="0"/>
        <v>0</v>
      </c>
      <c r="C20" s="169" t="s">
        <v>232</v>
      </c>
    </row>
    <row r="21" spans="1:3">
      <c r="A21" s="99" t="s">
        <v>206</v>
      </c>
      <c r="B21" s="198">
        <f>SUM($B$5:$B$20)</f>
        <v>0</v>
      </c>
      <c r="C21" s="163"/>
    </row>
    <row r="22" spans="1:3" s="209" customFormat="1"/>
    <row r="23" spans="1:3" ht="29.15" customHeight="1">
      <c r="A23" s="108" t="s">
        <v>233</v>
      </c>
      <c r="B23" s="108" t="s">
        <v>234</v>
      </c>
    </row>
    <row r="24" spans="1:3">
      <c r="A24" s="24" t="s">
        <v>235</v>
      </c>
      <c r="B24" s="197">
        <f>SUM(INDEX(PlotData,,MATCH("Expected sales revenue",PlotTitles,0)))</f>
        <v>0</v>
      </c>
    </row>
    <row r="25" spans="1:3">
      <c r="A25" s="24" t="s">
        <v>236</v>
      </c>
      <c r="B25" s="197" t="str">
        <f>IF(OR($B$21=0,SUM(PlotsSquFeet)=0),"",$B$21/SUM(PlotsSquFeet))</f>
        <v/>
      </c>
    </row>
    <row r="26" spans="1:3">
      <c r="A26" s="24" t="s">
        <v>237</v>
      </c>
      <c r="B26" s="197" t="str">
        <f>IF(OR(SUM(PlotsSquFeet)=0,$B$24=0),"",SUM(PlotExpectedSales)/SUM(PlotsSquFeet))</f>
        <v/>
      </c>
    </row>
    <row r="27" spans="1:3" s="209" customFormat="1"/>
    <row r="28" spans="1:3" ht="30" customHeight="1">
      <c r="A28" s="108" t="s">
        <v>238</v>
      </c>
      <c r="B28" s="108" t="s">
        <v>234</v>
      </c>
    </row>
    <row r="29" spans="1:3">
      <c r="A29" s="24" t="s">
        <v>239</v>
      </c>
      <c r="B29" s="197" t="str">
        <f>IF(OR($B$21=0,$B$24=0),"",$B$24-$B$21)</f>
        <v/>
      </c>
    </row>
    <row r="30" spans="1:3">
      <c r="A30" s="24" t="s">
        <v>240</v>
      </c>
      <c r="B30" s="199" t="str">
        <f>IF(OR($B$21=0,$B$24=0),"",$B$29/$B$21)</f>
        <v/>
      </c>
    </row>
    <row r="31" spans="1:3">
      <c r="B31" s="200"/>
    </row>
  </sheetData>
  <sheetProtection algorithmName="SHA-1" hashValue="bkNprB/zk39/z4J2U9Ltid0kWq4=" saltValue="DPtPMqH8YCq02Smhp+V+mQ==" spinCount="100000" sheet="1" objects="1" scenarios="1"/>
  <mergeCells count="2">
    <mergeCell ref="A22:XFD22"/>
    <mergeCell ref="A27:XFD27"/>
  </mergeCells>
  <phoneticPr fontId="4" type="noConversion"/>
  <hyperlinks>
    <hyperlink ref="A3" location="CoverSheet!A1" display="Back to cover sheet" xr:uid="{75365303-490D-4947-BE8E-B563F0AB2935}"/>
    <hyperlink ref="C5" location="'3_ProjectCosts'!A6" display="Change" xr:uid="{B487F3BB-5481-4354-AF56-BE190C7D1C8C}"/>
    <hyperlink ref="C6:C20" location="'3_ProjectCosts'!A6" display="Change" xr:uid="{46A0FFFF-4778-4A93-99C4-F91053E4743F}"/>
    <hyperlink ref="C6" location="'3_ProjectCosts'!A7" display="Change" xr:uid="{934C8F2B-4A45-4157-859E-C649155E8B7C}"/>
    <hyperlink ref="C7" location="'3_ProjectCosts'!A8" display="Change" xr:uid="{5540CD6A-FFDD-47DB-8C68-E09835CAE0C3}"/>
    <hyperlink ref="C8" location="'3_ProjectCosts'!A9" display="Change" xr:uid="{995BF79C-6BCB-480A-86F9-61AE1A4DFB1B}"/>
    <hyperlink ref="C9" location="'3_ProjectCosts'!A10" display="Change" xr:uid="{47A15609-FA26-4914-BCA9-CD48BE357E67}"/>
    <hyperlink ref="C10" location="'3_ProjectCosts'!A11" display="Change" xr:uid="{B92B95CE-D8CF-4F74-A870-660763DAFE74}"/>
    <hyperlink ref="C11" location="'3_ProjectCosts'!A12" display="Change" xr:uid="{CCEAB467-2448-46A6-B659-02EB10A6118A}"/>
    <hyperlink ref="C12" location="'3_ProjectCosts'!A13" display="Change" xr:uid="{F5C0F6E3-69D1-4744-AA6B-11A7C48D90D5}"/>
    <hyperlink ref="C13" location="'3_ProjectCosts'!A14" display="Change" xr:uid="{D31B03A7-FE17-4365-A365-7BE5F23C932E}"/>
    <hyperlink ref="C14" location="'3_ProjectCosts'!A15" display="Change" xr:uid="{D59EFEA7-DA19-4C23-A735-5AD65A68D388}"/>
    <hyperlink ref="C15" location="'3_ProjectCosts'!A16" display="Change" xr:uid="{C69935ED-8CC4-443E-8F26-15EB1D536DD4}"/>
    <hyperlink ref="C16" location="'3_ProjectCosts'!A17" display="Change" xr:uid="{574BA511-2B6C-408A-9111-301F945C4A2A}"/>
    <hyperlink ref="C17" location="'3_ProjectCosts'!A18" display="Change" xr:uid="{0C9B0C81-BAED-4AC2-9D1B-20FA01DEC7A4}"/>
    <hyperlink ref="C20" location="'3_ProjectCosts'!A21" display="Change" xr:uid="{1086609B-A87C-4356-ACDA-C8CE371AF1B2}"/>
    <hyperlink ref="C1" r:id="rId1" xr:uid="{BD96D604-EBD9-9944-A966-F6F5E7313453}"/>
    <hyperlink ref="B1" r:id="rId2" xr:uid="{F1C2362D-7998-7D40-BC11-EE3CC48B84A3}"/>
    <hyperlink ref="C18" location="'3_ProjectCosts'!A19" display="Change" xr:uid="{45C309A2-8C16-4251-B69C-4F8F4A281739}"/>
    <hyperlink ref="C19" location="'3_ProjectCosts'!A20" display="Change" xr:uid="{EB81CA79-85B4-4050-B588-B444C67DFE05}"/>
    <hyperlink ref="B3" r:id="rId3" xr:uid="{6A1F9DA0-6743-4945-B76C-790C1A2C7859}"/>
  </hyperlinks>
  <pageMargins left="0.7" right="0.7" top="0.75" bottom="0.75" header="0.3" footer="0.3"/>
  <pageSetup paperSize="9" orientation="portrait" r:id="rId4"/>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B54AB-5DEB-4F68-8E67-96C6300CBBEF}">
  <sheetPr codeName="Sheet7">
    <tabColor rgb="FFFF0000"/>
  </sheetPr>
  <dimension ref="A1:AC604"/>
  <sheetViews>
    <sheetView zoomScale="78" zoomScaleNormal="25" workbookViewId="0">
      <selection activeCell="W4" sqref="W4"/>
    </sheetView>
  </sheetViews>
  <sheetFormatPr defaultColWidth="8.81640625" defaultRowHeight="15.5"/>
  <cols>
    <col min="1" max="1" width="16.453125" style="42" bestFit="1" customWidth="1"/>
    <col min="2" max="2" width="35.453125" style="41" customWidth="1"/>
    <col min="3" max="3" width="21.453125" style="41" customWidth="1"/>
    <col min="4" max="4" width="26.453125" style="41" customWidth="1"/>
    <col min="5" max="5" width="21.81640625" style="41" customWidth="1"/>
    <col min="6" max="6" width="26.81640625" style="41" customWidth="1"/>
    <col min="7" max="7" width="37.453125" style="41" customWidth="1"/>
    <col min="8" max="8" width="32.453125" style="41" customWidth="1"/>
    <col min="9" max="9" width="30" style="41" customWidth="1"/>
    <col min="10" max="10" width="31" style="41" customWidth="1"/>
    <col min="11" max="11" width="30.81640625" style="183" customWidth="1"/>
    <col min="12" max="13" width="30.81640625" style="41" customWidth="1"/>
    <col min="14" max="14" width="32.453125" style="41" customWidth="1"/>
    <col min="15" max="15" width="30.81640625" style="41" customWidth="1"/>
    <col min="16" max="16" width="31" style="183" customWidth="1"/>
    <col min="17" max="18" width="31" style="41" customWidth="1"/>
    <col min="19" max="19" width="26.1796875" style="41" customWidth="1"/>
    <col min="20" max="21" width="39.1796875" style="41" customWidth="1"/>
    <col min="22" max="22" width="88" style="42" bestFit="1" customWidth="1"/>
    <col min="23" max="23" width="255.54296875" style="42" bestFit="1" customWidth="1"/>
    <col min="24" max="25" width="8.81640625" style="42"/>
    <col min="26" max="26" width="43.453125" style="42" bestFit="1" customWidth="1"/>
    <col min="27" max="27" width="27.26953125" style="42" bestFit="1" customWidth="1"/>
    <col min="28" max="28" width="91.453125" style="42" bestFit="1" customWidth="1"/>
    <col min="29" max="16384" width="8.81640625" style="42"/>
  </cols>
  <sheetData>
    <row r="1" spans="1:29" ht="21">
      <c r="A1" s="83" t="s">
        <v>241</v>
      </c>
      <c r="B1" s="118"/>
      <c r="C1" s="118"/>
      <c r="D1" s="118"/>
      <c r="E1" s="118"/>
      <c r="F1" s="118"/>
      <c r="G1" s="118"/>
      <c r="H1" s="118"/>
      <c r="I1" s="118"/>
      <c r="J1" s="118"/>
      <c r="K1" s="180"/>
      <c r="L1" s="118"/>
      <c r="M1" s="118"/>
      <c r="N1" s="118"/>
      <c r="O1" s="118"/>
      <c r="P1" s="180"/>
      <c r="Q1" s="118"/>
      <c r="R1" s="118"/>
      <c r="S1" s="118"/>
      <c r="T1" s="118"/>
      <c r="U1" s="118"/>
      <c r="V1" s="114"/>
      <c r="W1" s="114"/>
      <c r="X1" s="114"/>
      <c r="Y1" s="114"/>
      <c r="Z1" s="114"/>
      <c r="AA1" s="114"/>
      <c r="AB1" s="114"/>
      <c r="AC1" s="114"/>
    </row>
    <row r="3" spans="1:29" s="44" customFormat="1" ht="39" customHeight="1">
      <c r="A3" s="119" t="s">
        <v>41</v>
      </c>
      <c r="B3" s="119" t="s">
        <v>43</v>
      </c>
      <c r="C3" s="119" t="s">
        <v>44</v>
      </c>
      <c r="D3" s="119" t="s">
        <v>45</v>
      </c>
      <c r="E3" s="119" t="s">
        <v>46</v>
      </c>
      <c r="F3" s="119" t="s">
        <v>47</v>
      </c>
      <c r="G3" s="119" t="s">
        <v>48</v>
      </c>
      <c r="H3" s="119" t="s">
        <v>48</v>
      </c>
      <c r="I3" s="119" t="s">
        <v>242</v>
      </c>
      <c r="J3" s="120" t="s">
        <v>243</v>
      </c>
      <c r="K3" s="121" t="s">
        <v>244</v>
      </c>
      <c r="L3" s="120" t="s">
        <v>244</v>
      </c>
      <c r="M3" s="120" t="s">
        <v>244</v>
      </c>
      <c r="N3" s="121" t="s">
        <v>245</v>
      </c>
      <c r="O3" s="121" t="s">
        <v>246</v>
      </c>
      <c r="P3" s="121" t="s">
        <v>247</v>
      </c>
      <c r="Q3" s="121" t="s">
        <v>247</v>
      </c>
      <c r="R3" s="121" t="s">
        <v>247</v>
      </c>
      <c r="S3" s="211" t="s">
        <v>53</v>
      </c>
      <c r="T3" s="211"/>
      <c r="U3" s="211"/>
      <c r="V3" s="43"/>
      <c r="W3" s="43"/>
      <c r="X3" s="114"/>
      <c r="Y3" s="114"/>
      <c r="Z3" s="210" t="s">
        <v>248</v>
      </c>
      <c r="AA3" s="210"/>
      <c r="AB3" s="210"/>
    </row>
    <row r="4" spans="1:29" ht="21" customHeight="1">
      <c r="A4" s="122" t="s">
        <v>41</v>
      </c>
      <c r="B4" s="103" t="s">
        <v>249</v>
      </c>
      <c r="C4" s="103" t="s">
        <v>250</v>
      </c>
      <c r="D4" s="103" t="s">
        <v>250</v>
      </c>
      <c r="E4" s="103" t="s">
        <v>250</v>
      </c>
      <c r="F4" s="103" t="s">
        <v>250</v>
      </c>
      <c r="G4" s="103" t="s">
        <v>251</v>
      </c>
      <c r="H4" s="45" t="s">
        <v>252</v>
      </c>
      <c r="I4" s="45" t="s">
        <v>251</v>
      </c>
      <c r="J4" s="45" t="s">
        <v>251</v>
      </c>
      <c r="K4" s="181" t="s">
        <v>253</v>
      </c>
      <c r="L4" s="45" t="s">
        <v>254</v>
      </c>
      <c r="M4" s="45" t="s">
        <v>255</v>
      </c>
      <c r="N4" s="45" t="s">
        <v>251</v>
      </c>
      <c r="O4" s="45" t="s">
        <v>251</v>
      </c>
      <c r="P4" s="181" t="s">
        <v>253</v>
      </c>
      <c r="Q4" s="45" t="s">
        <v>256</v>
      </c>
      <c r="R4" s="45" t="s">
        <v>255</v>
      </c>
      <c r="S4" s="45" t="s">
        <v>257</v>
      </c>
      <c r="T4" s="103" t="s">
        <v>258</v>
      </c>
      <c r="U4" s="103" t="s">
        <v>259</v>
      </c>
      <c r="V4" s="43" t="s">
        <v>28</v>
      </c>
      <c r="W4" s="43" t="s">
        <v>466</v>
      </c>
      <c r="X4" s="114"/>
      <c r="Y4" s="114"/>
      <c r="Z4" s="101" t="s">
        <v>260</v>
      </c>
      <c r="AA4" s="101" t="s">
        <v>261</v>
      </c>
      <c r="AB4" s="101" t="s">
        <v>262</v>
      </c>
      <c r="AC4" s="114"/>
    </row>
    <row r="5" spans="1:29" ht="48.75" customHeight="1">
      <c r="A5" s="123">
        <v>1</v>
      </c>
      <c r="B5" s="104" t="str" cm="1">
        <f t="array" ref="B5">_xlfn.IFS(AND(A5&gt;NumberOfPlots,ISBLANK(INDEX(PlotData,MATCH($A5,PlotNumber,0),MATCH(B$3,PlotTitles,0)))),"",ISNUMBER(INDEX(PlotData,MATCH($A5,PlotNumber,0),MATCH(B$3,PlotTitles,0)))=FALSE, $AB$5,TRUE,"")</f>
        <v/>
      </c>
      <c r="C5" s="104" t="str" cm="1">
        <f t="array" ref="C5">_xlfn.IFS(AND(A5&gt;NumberOfPlots,ISBLANK(INDEX(PlotData,MATCH($A5,PlotNumber,0),MATCH(B$3,PlotTitles,0)))),"",ISBLANK(INDEX(PlotData,MATCH($A5,PlotNumber,0),MATCH(C$3,PlotTitles,0))),$AB$6,TRUE,"")</f>
        <v/>
      </c>
      <c r="D5" s="104" t="str" cm="1">
        <f t="array" ref="D5">_xlfn.IFS(AND(A5&gt;NumberOfPlots,ISBLANK(INDEX(PlotData,MATCH($A5,PlotNumber,0),MATCH(B$3,PlotTitles,0)))),"",ISBLANK(INDEX(PlotData,MATCH($A5,PlotNumber,0),MATCH(D$3,PlotTitles,0))),$AB$7,TRUE,"")</f>
        <v/>
      </c>
      <c r="E5" s="104" t="str" cm="1">
        <f t="array" ref="E5">_xlfn.IFS(AND(A5&gt;NumberOfPlots,ISBLANK(INDEX(PlotData,MATCH($A5,PlotNumber,0),MATCH(B$3,PlotTitles,0)))),"",ISBLANK(INDEX(PlotData,MATCH($A5,PlotNumber,0),MATCH(E$3,PlotTitles,0))),$AB$8,TRUE,"")</f>
        <v/>
      </c>
      <c r="F5" s="104" t="str" cm="1">
        <f t="array" ref="F5">_xlfn.IFS(AND(A5&gt;NumberOfPlots,ISBLANK(INDEX(PlotData,MATCH($A5,PlotNumber,0),MATCH(B$3,PlotTitles,0)))),"",ISBLANK(INDEX(PlotData,MATCH($A5,PlotNumber,0),MATCH(F$3,PlotTitles,0))),$AB$9,TRUE,"")</f>
        <v/>
      </c>
      <c r="G5" s="104" t="str" cm="1">
        <f t="array" ref="G5">_xlfn.IFS(AND(A5&gt;NumberOfPlots,ISBLANK(INDEX(PlotData,MATCH($A5,PlotNumber,0),MATCH(B$3,PlotTitles,0)))),"",ISBLANK(INDEX(PlotData,MATCH($A5,PlotNumber,0),MATCH(G$3,PlotTitles,0))),$AB$10,TRUE,"")</f>
        <v/>
      </c>
      <c r="H5" s="104" t="str" cm="1">
        <f t="array" ref="H5">_xlfn.IFS(AND(A5&gt;NumberOfPlots,ISBLANK(INDEX(PlotData,MATCH($A5,PlotNumber,0),MATCH(B$3,PlotTitles,0)))),"",AND(ISBLANK(INDEX(PlotData,MATCH($A5,PlotNumber,0),MATCH(H$3,PlotTitles,0)))=FALSE,INDEX(PlotData,MATCH($A5,PlotNumber,0),MATCH(H$3,PlotTitles,0))&lt;500), $AB$11,TRUE,"")</f>
        <v/>
      </c>
      <c r="I5" s="104" t="str" cm="1">
        <f t="array" ref="I5">_xlfn.IFS(AND(A5&gt;NumberOfPlots,ISBLANK(INDEX(PlotData,MATCH($A5,PlotNumber,0),MATCH(B$3,PlotTitles,0)))),"",ISBLANK(INDEX(PlotData,MATCH($A5,PlotNumber,0),MATCH(I$3,PlotTitles,0))),$AB$12,TRUE,"")</f>
        <v/>
      </c>
      <c r="J5" s="104" t="str" cm="1">
        <f t="array" ref="J5">_xlfn.IFS(AND(A5&gt;NumberOfPlots,ISBLANK(INDEX(PlotData,MATCH($A5,PlotNumber,0),MATCH(B$3,PlotTitles,0)))),"",ISBLANK(INDEX(PlotData,MATCH($A5,PlotNumber,0),MATCH(J$3,PlotTitles,0))),$AB$13,TRUE,"")</f>
        <v/>
      </c>
      <c r="K5" s="182" t="str">
        <f t="shared" ref="K5:K68" ca="1" si="0">IF(AND(A5&gt;NumberOfPlots,ISBLANK(INDEX(PlotData,MATCH($A5,PlotNumber,0),MATCH(B$3,PlotTitles,0)))),"",IF(ISBLANK(INDEX(PlotData,MATCH($A5,PlotNumber,0),MATCH(I$3,PlotTitles,0)))=FALSE,IF(ISBLANK(INDEX(PlotData,MATCH($A5,PlotNumber,0),MATCH(J$3,PlotTitles,0)))=FALSE,IF((DATEVALUE(INDEX(PlotData,MATCH($A5,PlotNumber,0),MATCH(I$3,PlotTitles,0))&amp;INDEX(PlotData,MATCH($A5,PlotNumber,0),MATCH(J$3,PlotTitles,0))))&lt;(DATEVALUE(TEXT(TODAY(),"DD")&amp;"/"&amp;TEXT(TODAY(),"MM")&amp;"/"&amp;TEXT(TODAY(),"YYYY"))),$AB$14,"")),""))</f>
        <v/>
      </c>
      <c r="L5" s="104" t="str" cm="1">
        <f t="array" ref="L5">_xlfn.IFS(OR(ISBLANK(StartDateMonth),ISBLANK(StartDateYear)),"",AND(A5&gt;NumberOfPlots,ISBLANK(INDEX(PlotData,MATCH($A5,PlotNumber,0),MATCH(B$3,PlotTitles,0)))),"",ISBLANK(INDEX(PlotData,MATCH($A5,PlotNumber,0),MATCH(I$3,PlotTitles,0))),"",(DATEVALUE(INDEX(PlotData,MATCH($A5,PlotNumber,0),MATCH(I$3,PlotTitles,0))&amp;INDEX(PlotData,MATCH($A5,PlotNumber,0),MATCH(J$3,PlotTitles,0))))&lt;DATEVALUE(StartDateMonth&amp;StartDateYear),$AB$15,TRUE,"")</f>
        <v/>
      </c>
      <c r="M5" s="104" t="str" cm="1">
        <f t="array" ref="M5">_xlfn.IFS(OR(ISBLANK(StartDateMonth),ISBLANK(StartDateYear)),"",AND(A5&gt;NumberOfPlots,ISBLANK(INDEX(PlotData,MATCH($A5,PlotNumber,0),MATCH(B$3,PlotTitles,0)))),"",ISBLANK(INDEX(PlotData,MATCH($A5,PlotNumber,0),MATCH(I$3,PlotTitles,0))),"",CompletionMonth="","",(DATEVALUE(INDEX(PlotData,MATCH($A5,PlotNumber,0),MATCH(I$3,PlotTitles,0))&amp;INDEX(PlotData,MATCH($A5,PlotNumber,0),MATCH(J$3,PlotTitles,0))))&gt;(DATEVALUE(CompletionMonth&amp;CompletionYear)),$AB$16,TRUE,"")</f>
        <v/>
      </c>
      <c r="N5" s="104" t="str" cm="1">
        <f t="array" ref="N5">_xlfn.IFS(AND(A5&gt;NumberOfPlots,ISBLANK(INDEX(PlotData,MATCH($A5,PlotNumber,0),MATCH(B$3,PlotTitles,0)))),"",ISBLANK(INDEX(PlotData,MATCH($A5,PlotNumber,0),MATCH(N$3,PlotTitles,0))),$AB$17,TRUE,"")</f>
        <v/>
      </c>
      <c r="O5" s="104" t="str" cm="1">
        <f t="array" ref="O5">_xlfn.IFS(AND(A5&gt;NumberOfPlots,ISBLANK(INDEX(PlotData,MATCH($A5,PlotNumber,0),MATCH(B$3,PlotTitles,0)))),"",ISBLANK(INDEX(PlotData,MATCH($A5,PlotNumber,0),MATCH(O$3,PlotTitles,0))),$AB$18,TRUE,"")</f>
        <v/>
      </c>
      <c r="P5" s="182" t="str">
        <f t="shared" ref="P5:P68" ca="1" si="1">IF(AND(A5&gt;NumberOfPlots,ISBLANK(INDEX(PlotData,MATCH($A5,PlotNumber,0),MATCH(B$3,PlotTitles,0)))),"",IF(ISBLANK(INDEX(PlotData,MATCH($A5,PlotNumber,0),MATCH(N$3,PlotTitles,0)))=FALSE,IF(ISBLANK(INDEX(PlotData,MATCH($A5,PlotNumber,0),MATCH(O$3,PlotTitles,0)))=FALSE,IF((DATEVALUE(INDEX(PlotData,MATCH($A5,PlotNumber,0),MATCH(N$3,PlotTitles,0))&amp;INDEX(PlotData,MATCH($A5,PlotNumber,0),MATCH(O$3,PlotTitles,0))))&lt;(DATEVALUE(TEXT(TODAY(),"DD")&amp;"/"&amp;TEXT(TODAY(),"MM")&amp;"/"&amp;TEXT(TODAY(),"YYYY"))),$AB$19,"")),""))</f>
        <v/>
      </c>
      <c r="Q5" s="104" t="str" cm="1">
        <f t="array" ref="Q5">_xlfn.IFS(AND(A5&gt;NumberOfPlots,ISBLANK(INDEX(PlotData,MATCH($A5,PlotNumber,0),MATCH(B$3,PlotTitles,0)))),"",ISBLANK(INDEX(PlotData,MATCH($A5,PlotNumber,0),MATCH(N$3,PlotTitles,0))),"",(DATEVALUE(INDEX(PlotData,MATCH($A5,PlotNumber,0),MATCH(N$3,PlotTitles,0))&amp;INDEX(PlotData,MATCH($A5,PlotNumber,0),MATCH(O$3,PlotTitles,0))))&lt;(DATEVALUE(INDEX(PlotData,MATCH($A5,PlotNumber,0),MATCH(I$3,PlotTitles,0))&amp;INDEX(PlotData,MATCH($A5,PlotNumber,0),MATCH(J$3,PlotTitles,0)))),$AB$20,TRUE,"")</f>
        <v/>
      </c>
      <c r="R5" s="104" t="str" cm="1">
        <f t="array" ref="R5">_xlfn.IFS(OR(ISBLANK(StartDateMonth),ISBLANK(StartDateYear)),"",AND(A5&gt;NumberOfPlots,ISBLANK(INDEX(PlotData,MATCH($A5,PlotNumber,0),MATCH(B$3,PlotTitles,0)))),"",ISBLANK(INDEX(PlotData,MATCH($A5,PlotNumber,0),MATCH(N$3,PlotTitles,0))),"",CompletionMonth="","",(DATEVALUE(INDEX(PlotData,MATCH($A5,PlotNumber,0),MATCH(N$3,PlotTitles,0))&amp;INDEX(PlotData,MATCH($A5,PlotNumber,0),MATCH(O$3,PlotTitles,0))))&gt;(DATEVALUE(CompletionMonth&amp;CompletionYear)),$AB$21,TRUE,"")</f>
        <v/>
      </c>
      <c r="S5" s="104" t="str" cm="1">
        <f t="array" ref="S5">_xlfn.IFS(AND(A5&gt;NumberOfPlots,ISBLANK(INDEX(PlotData,MATCH($A5,PlotNumber,0),MATCH(B$3,PlotTitles,0)))),"",OR(AND(INDEX(PlotData,MATCH($A5,PlotNumber,0),MATCH("Tenure",PlotTitles,0))="Open market housing",INDEX(PlotData,MATCH($A5,PlotNumber,0),MATCH("Tenure detail",PlotTitles,0))="Private rented sector"),INDEX(PlotData,MATCH($A5,PlotNumber,0),MATCH("Tenure",PlotTitles,0))="Affordable rent"),"",ISNUMBER(INDEX(PlotData,MATCH($A5,PlotNumber,0),MATCH(S$3,PlotTitles,0)))=FALSE, $AB$22,TRUE,"")</f>
        <v/>
      </c>
      <c r="T5" s="104" t="str" cm="1">
        <f t="array" ref="T5">_xlfn.IFS(AND(A5&gt;NumberOfPlots,ISBLANK(INDEX(PlotData,MATCH($A5,PlotNumber,0),MATCH(B$3,PlotTitles,0)))),"",OR(AND(INDEX(PlotData,MATCH($A5,PlotNumber,0),MATCH("Tenure",PlotTitles,0))="Open market housing",INDEX(PlotData,MATCH($A5,PlotNumber,0),MATCH("Tenure detail",PlotTitles,0))="Private rented sector"),INDEX(PlotData,MATCH($A5,PlotNumber,0),MATCH("Tenure",PlotTitles,0))="Affordable rent"),"",INDEX(PlotData,MATCH($A5,PlotNumber,0),MATCH(S$3,PlotTitles,0))&lt;10000, $AB$23,TRUE,"")</f>
        <v/>
      </c>
      <c r="U5" s="104" t="str" cm="1">
        <f t="array" ref="U5">_xlfn.IFS(AND(A5&gt;NumberOfPlots,ISBLANK(INDEX(PlotData,MATCH($A5,PlotNumber,0),MATCH(B$3,PlotTitles,0)))),"",NOT(OR(AND(INDEX(PlotData,MATCH($A5,PlotNumber,0),MATCH("Tenure",PlotTitles,0))="Open market housing",INDEX(PlotData,MATCH($A5,PlotNumber,0),MATCH("Tenure detail",PlotTitles,0))="Private rented sector"),INDEX(PlotData,MATCH($A5,PlotNumber,0),MATCH("Tenure",PlotTitles,0))="Affordable rent")),"",NOT(INDEX(PlotData,MATCH($A5,PlotNumber,0),MATCH(S$3,PlotTitles,0))=0), $AB$24,TRUE,"")</f>
        <v/>
      </c>
      <c r="V5" s="114" t="str" cm="1">
        <f t="array" aca="1" ref="V5" ca="1">_xlfn.IFS(ISBLANK(NumberOfPlots),"Enter the number of homes on the 1_SetUp sheet",AND(A5&gt;NumberOfPlots,ISBLANK(INDEX(PlotData,MATCH($A5,PlotNumber,0),MATCH(B$3,PlotTitles,0)))),"No error",NOT(B5=""),B5,NOT(C5=""),C5,NOT(D5=""),D5,NOT(E5=""),E5,NOT(F5=""),F5,NOT(G5=""),G5,NOT(H5=""),H5,NOT(I5=""),I5,NOT(J5=""),J5,NOT(K5=""),K5,NOT(L5=""),L5,NOT(M5=""),M5,NOT(N5=""),N5,NOT(O5=""),O5,NOT(P5=""),P5,NOT(Q5=""),Q5,NOT(R5=""),R5,NOT(S5=""),S5,NOT(T5=""),T5,NOT(U5=""),U5,TRUE,"No error")</f>
        <v>Enter the number of homes on the 1_SetUp sheet</v>
      </c>
      <c r="W5" s="114" t="str">
        <f ca="1">IF($V5="No error","","The Borrower has not addressed the following error messages for Home ID "&amp;$A5&amp;": "&amp;_xlfn.TEXTJOIN(". ",TRUE,$B5:$T5))</f>
        <v xml:space="preserve">The Borrower has not addressed the following error messages for Home ID 1: </v>
      </c>
      <c r="X5" s="114"/>
      <c r="Y5" s="114"/>
      <c r="Z5" s="124" t="s">
        <v>43</v>
      </c>
      <c r="AA5" s="124" t="s">
        <v>251</v>
      </c>
      <c r="AB5" s="124" t="s">
        <v>263</v>
      </c>
      <c r="AC5" s="114"/>
    </row>
    <row r="6" spans="1:29">
      <c r="A6" s="123">
        <v>2</v>
      </c>
      <c r="B6" s="104" t="str" cm="1">
        <f t="array" ref="B6">_xlfn.IFS(AND(A6&gt;NumberOfPlots,ISBLANK(INDEX(PlotData,MATCH($A6,PlotNumber,0),MATCH(B$3,PlotTitles,0)))),"",ISNUMBER(INDEX(PlotData,MATCH($A6,PlotNumber,0),MATCH(B$3,PlotTitles,0)))=FALSE, $AB$5,TRUE,"")</f>
        <v/>
      </c>
      <c r="C6" s="104" t="str" cm="1">
        <f t="array" ref="C6">_xlfn.IFS(AND(A6&gt;NumberOfPlots,ISBLANK(INDEX(PlotData,MATCH($A6,PlotNumber,0),MATCH(B$3,PlotTitles,0)))),"",ISBLANK(INDEX(PlotData,MATCH($A6,PlotNumber,0),MATCH(C$3,PlotTitles,0))),$AB$6,TRUE,"")</f>
        <v/>
      </c>
      <c r="D6" s="104" t="str" cm="1">
        <f t="array" ref="D6">_xlfn.IFS(AND(A6&gt;NumberOfPlots,ISBLANK(INDEX(PlotData,MATCH($A6,PlotNumber,0),MATCH(B$3,PlotTitles,0)))),"",ISBLANK(INDEX(PlotData,MATCH($A6,PlotNumber,0),MATCH(D$3,PlotTitles,0))),$AB$7,TRUE,"")</f>
        <v/>
      </c>
      <c r="E6" s="104" t="str" cm="1">
        <f t="array" ref="E6">_xlfn.IFS(AND(A6&gt;NumberOfPlots,ISBLANK(INDEX(PlotData,MATCH($A6,PlotNumber,0),MATCH(B$3,PlotTitles,0)))),"",ISBLANK(INDEX(PlotData,MATCH($A6,PlotNumber,0),MATCH(E$3,PlotTitles,0))),$AB$8,TRUE,"")</f>
        <v/>
      </c>
      <c r="F6" s="104" t="str" cm="1">
        <f t="array" ref="F6">_xlfn.IFS(AND(A6&gt;NumberOfPlots,ISBLANK(INDEX(PlotData,MATCH($A6,PlotNumber,0),MATCH(B$3,PlotTitles,0)))),"",ISBLANK(INDEX(PlotData,MATCH($A6,PlotNumber,0),MATCH(F$3,PlotTitles,0))),$AB$9,TRUE,"")</f>
        <v/>
      </c>
      <c r="G6" s="104" t="str" cm="1">
        <f t="array" ref="G6">_xlfn.IFS(AND(A6&gt;NumberOfPlots,ISBLANK(INDEX(PlotData,MATCH($A6,PlotNumber,0),MATCH(B$3,PlotTitles,0)))),"",ISBLANK(INDEX(PlotData,MATCH($A6,PlotNumber,0),MATCH(G$3,PlotTitles,0))),$AB$10,TRUE,"")</f>
        <v/>
      </c>
      <c r="H6" s="104" t="str" cm="1">
        <f t="array" ref="H6">_xlfn.IFS(AND(A6&gt;NumberOfPlots,ISBLANK(INDEX(PlotData,MATCH($A6,PlotNumber,0),MATCH(B$3,PlotTitles,0)))),"",AND(ISBLANK(INDEX(PlotData,MATCH($A6,PlotNumber,0),MATCH(H$3,PlotTitles,0)))=FALSE,INDEX(PlotData,MATCH($A6,PlotNumber,0),MATCH(H$3,PlotTitles,0))&lt;500), $AB$11,TRUE,"")</f>
        <v/>
      </c>
      <c r="I6" s="104" t="str" cm="1">
        <f t="array" ref="I6">_xlfn.IFS(AND(A6&gt;NumberOfPlots,ISBLANK(INDEX(PlotData,MATCH($A6,PlotNumber,0),MATCH(B$3,PlotTitles,0)))),"",ISBLANK(INDEX(PlotData,MATCH($A6,PlotNumber,0),MATCH(I$3,PlotTitles,0))),$AB$12,TRUE,"")</f>
        <v/>
      </c>
      <c r="J6" s="104" t="str" cm="1">
        <f t="array" ref="J6">_xlfn.IFS(AND(A6&gt;NumberOfPlots,ISBLANK(INDEX(PlotData,MATCH($A6,PlotNumber,0),MATCH(B$3,PlotTitles,0)))),"",ISBLANK(INDEX(PlotData,MATCH($A6,PlotNumber,0),MATCH(J$3,PlotTitles,0))),$AB$13,TRUE,"")</f>
        <v/>
      </c>
      <c r="K6" s="182" t="str">
        <f t="shared" ca="1" si="0"/>
        <v/>
      </c>
      <c r="L6" s="104" t="str" cm="1">
        <f t="array" ref="L6">_xlfn.IFS(OR(ISBLANK(StartDateMonth),ISBLANK(StartDateYear)),"",AND(A6&gt;NumberOfPlots,ISBLANK(INDEX(PlotData,MATCH($A6,PlotNumber,0),MATCH(B$3,PlotTitles,0)))),"",ISBLANK(INDEX(PlotData,MATCH($A6,PlotNumber,0),MATCH(I$3,PlotTitles,0))),"",(DATEVALUE(INDEX(PlotData,MATCH($A6,PlotNumber,0),MATCH(I$3,PlotTitles,0))&amp;INDEX(PlotData,MATCH($A6,PlotNumber,0),MATCH(J$3,PlotTitles,0))))&lt;DATEVALUE(StartDateMonth&amp;StartDateYear),$AB$15,TRUE,"")</f>
        <v/>
      </c>
      <c r="M6" s="104" t="str" cm="1">
        <f t="array" ref="M6">_xlfn.IFS(OR(ISBLANK(StartDateMonth),ISBLANK(StartDateYear)),"",AND(A6&gt;NumberOfPlots,ISBLANK(INDEX(PlotData,MATCH($A6,PlotNumber,0),MATCH(B$3,PlotTitles,0)))),"",ISBLANK(INDEX(PlotData,MATCH($A6,PlotNumber,0),MATCH(I$3,PlotTitles,0))),"",CompletionMonth="","",(DATEVALUE(INDEX(PlotData,MATCH($A6,PlotNumber,0),MATCH(I$3,PlotTitles,0))&amp;INDEX(PlotData,MATCH($A6,PlotNumber,0),MATCH(J$3,PlotTitles,0))))&gt;(DATEVALUE(CompletionMonth&amp;CompletionYear)),$AB$16,TRUE,"")</f>
        <v/>
      </c>
      <c r="N6" s="104" t="str" cm="1">
        <f t="array" ref="N6">_xlfn.IFS(AND(A6&gt;NumberOfPlots,ISBLANK(INDEX(PlotData,MATCH($A6,PlotNumber,0),MATCH(B$3,PlotTitles,0)))),"",ISBLANK(INDEX(PlotData,MATCH($A6,PlotNumber,0),MATCH(N$3,PlotTitles,0))),$AB$17,TRUE,"")</f>
        <v/>
      </c>
      <c r="O6" s="104" t="str" cm="1">
        <f t="array" ref="O6">_xlfn.IFS(AND(A6&gt;NumberOfPlots,ISBLANK(INDEX(PlotData,MATCH($A6,PlotNumber,0),MATCH(B$3,PlotTitles,0)))),"",ISBLANK(INDEX(PlotData,MATCH($A6,PlotNumber,0),MATCH(O$3,PlotTitles,0))),$AB$18,TRUE,"")</f>
        <v/>
      </c>
      <c r="P6" s="182" t="str">
        <f t="shared" ca="1" si="1"/>
        <v/>
      </c>
      <c r="Q6" s="104" t="str" cm="1">
        <f t="array" ref="Q6">_xlfn.IFS(AND(A6&gt;NumberOfPlots,ISBLANK(INDEX(PlotData,MATCH($A6,PlotNumber,0),MATCH(B$3,PlotTitles,0)))),"",ISBLANK(INDEX(PlotData,MATCH($A6,PlotNumber,0),MATCH(N$3,PlotTitles,0))),"",(DATEVALUE(INDEX(PlotData,MATCH($A6,PlotNumber,0),MATCH(N$3,PlotTitles,0))&amp;INDEX(PlotData,MATCH($A6,PlotNumber,0),MATCH(O$3,PlotTitles,0))))&lt;(DATEVALUE(INDEX(PlotData,MATCH($A6,PlotNumber,0),MATCH(I$3,PlotTitles,0))&amp;INDEX(PlotData,MATCH($A6,PlotNumber,0),MATCH(J$3,PlotTitles,0)))),$AB$20,TRUE,"")</f>
        <v/>
      </c>
      <c r="R6" s="104" t="str" cm="1">
        <f t="array" ref="R6">_xlfn.IFS(OR(ISBLANK(StartDateMonth),ISBLANK(StartDateYear)),"",AND(A6&gt;NumberOfPlots,ISBLANK(INDEX(PlotData,MATCH($A6,PlotNumber,0),MATCH(B$3,PlotTitles,0)))),"",ISBLANK(INDEX(PlotData,MATCH($A6,PlotNumber,0),MATCH(N$3,PlotTitles,0))),"",CompletionMonth="","",(DATEVALUE(INDEX(PlotData,MATCH($A6,PlotNumber,0),MATCH(N$3,PlotTitles,0))&amp;INDEX(PlotData,MATCH($A6,PlotNumber,0),MATCH(O$3,PlotTitles,0))))&gt;(DATEVALUE(CompletionMonth&amp;CompletionYear)),$AB$21,TRUE,"")</f>
        <v/>
      </c>
      <c r="S6" s="104" t="str" cm="1">
        <f t="array" ref="S6">_xlfn.IFS(AND(A6&gt;NumberOfPlots,ISBLANK(INDEX(PlotData,MATCH($A6,PlotNumber,0),MATCH(B$3,PlotTitles,0)))),"",OR(AND(INDEX(PlotData,MATCH($A6,PlotNumber,0),MATCH("Tenure",PlotTitles,0))="Open market housing",INDEX(PlotData,MATCH($A6,PlotNumber,0),MATCH("Tenure detail",PlotTitles,0))="Private rented sector"),INDEX(PlotData,MATCH($A6,PlotNumber,0),MATCH("Tenure",PlotTitles,0))="Affordable rent"),"",ISNUMBER(INDEX(PlotData,MATCH($A6,PlotNumber,0),MATCH(S$3,PlotTitles,0)))=FALSE, $AB$22,TRUE,"")</f>
        <v/>
      </c>
      <c r="T6" s="104" t="str" cm="1">
        <f t="array" ref="T6">_xlfn.IFS(AND(A6&gt;NumberOfPlots,ISBLANK(INDEX(PlotData,MATCH($A6,PlotNumber,0),MATCH(B$3,PlotTitles,0)))),"",OR(AND(INDEX(PlotData,MATCH($A6,PlotNumber,0),MATCH("Tenure",PlotTitles,0))="Open market housing",INDEX(PlotData,MATCH($A6,PlotNumber,0),MATCH("Tenure detail",PlotTitles,0))="Private rented sector"),INDEX(PlotData,MATCH($A6,PlotNumber,0),MATCH("Tenure",PlotTitles,0))="Affordable rent"),"",INDEX(PlotData,MATCH($A6,PlotNumber,0),MATCH(S$3,PlotTitles,0))&lt;10000, $AB$23,TRUE,"")</f>
        <v/>
      </c>
      <c r="U6" s="104" t="str" cm="1">
        <f t="array" ref="U6">_xlfn.IFS(AND(A6&gt;NumberOfPlots,ISBLANK(INDEX(PlotData,MATCH($A6,PlotNumber,0),MATCH(B$3,PlotTitles,0)))),"",NOT(OR(AND(INDEX(PlotData,MATCH($A6,PlotNumber,0),MATCH("Tenure",PlotTitles,0))="Open market housing",INDEX(PlotData,MATCH($A6,PlotNumber,0),MATCH("Tenure detail",PlotTitles,0))="Private rented sector"),INDEX(PlotData,MATCH($A6,PlotNumber,0),MATCH("Tenure",PlotTitles,0))="Affordable rent")),"",NOT(INDEX(PlotData,MATCH($A6,PlotNumber,0),MATCH(S$3,PlotTitles,0))=0), $AB$24,TRUE,"")</f>
        <v/>
      </c>
      <c r="V6" s="114" t="str" cm="1">
        <f t="array" aca="1" ref="V6" ca="1">_xlfn.IFS(ISBLANK(NumberOfPlots),"Enter the number of homes on the 1_SetUp sheet",AND(A6&gt;NumberOfPlots,ISBLANK(INDEX(PlotData,MATCH($A6,PlotNumber,0),MATCH(B$3,PlotTitles,0)))),"No error",NOT(B6=""),B6,NOT(C6=""),C6,NOT(D6=""),D6,NOT(E6=""),E6,NOT(F6=""),F6,NOT(G6=""),G6,NOT(H6=""),H6,NOT(I6=""),I6,NOT(J6=""),J6,NOT(K6=""),K6,NOT(L6=""),L6,NOT(M6=""),M6,NOT(N6=""),N6,NOT(O6=""),O6,NOT(P6=""),P6,NOT(Q6=""),Q6,NOT(R6=""),R6,NOT(S6=""),S6,NOT(T6=""),T6,NOT(U6=""),U6,TRUE,"No error")</f>
        <v>Enter the number of homes on the 1_SetUp sheet</v>
      </c>
      <c r="W6" s="114" t="str">
        <f t="shared" ref="W6:W69" ca="1" si="2">IF($V6="No error","","The Borrower has not addressed the following error messages for Home ID "&amp;$A6&amp;": "&amp;_xlfn.TEXTJOIN(". ",TRUE,$B6:$T6))</f>
        <v xml:space="preserve">The Borrower has not addressed the following error messages for Home ID 2: </v>
      </c>
      <c r="X6" s="114"/>
      <c r="Y6" s="114"/>
      <c r="Z6" s="124" t="s">
        <v>44</v>
      </c>
      <c r="AA6" s="124" t="s">
        <v>251</v>
      </c>
      <c r="AB6" s="124" t="s">
        <v>264</v>
      </c>
      <c r="AC6" s="114"/>
    </row>
    <row r="7" spans="1:29">
      <c r="A7" s="123">
        <v>3</v>
      </c>
      <c r="B7" s="104" t="str" cm="1">
        <f t="array" ref="B7">_xlfn.IFS(AND(A7&gt;NumberOfPlots,ISBLANK(INDEX(PlotData,MATCH($A7,PlotNumber,0),MATCH(B$3,PlotTitles,0)))),"",ISNUMBER(INDEX(PlotData,MATCH($A7,PlotNumber,0),MATCH(B$3,PlotTitles,0)))=FALSE, $AB$5,TRUE,"")</f>
        <v/>
      </c>
      <c r="C7" s="104" t="str" cm="1">
        <f t="array" ref="C7">_xlfn.IFS(AND(A7&gt;NumberOfPlots,ISBLANK(INDEX(PlotData,MATCH($A7,PlotNumber,0),MATCH(B$3,PlotTitles,0)))),"",ISBLANK(INDEX(PlotData,MATCH($A7,PlotNumber,0),MATCH(C$3,PlotTitles,0))),$AB$6,TRUE,"")</f>
        <v/>
      </c>
      <c r="D7" s="104" t="str" cm="1">
        <f t="array" ref="D7">_xlfn.IFS(AND(A7&gt;NumberOfPlots,ISBLANK(INDEX(PlotData,MATCH($A7,PlotNumber,0),MATCH(B$3,PlotTitles,0)))),"",ISBLANK(INDEX(PlotData,MATCH($A7,PlotNumber,0),MATCH(D$3,PlotTitles,0))),$AB$7,TRUE,"")</f>
        <v/>
      </c>
      <c r="E7" s="104" t="str" cm="1">
        <f t="array" ref="E7">_xlfn.IFS(AND(A7&gt;NumberOfPlots,ISBLANK(INDEX(PlotData,MATCH($A7,PlotNumber,0),MATCH(B$3,PlotTitles,0)))),"",ISBLANK(INDEX(PlotData,MATCH($A7,PlotNumber,0),MATCH(E$3,PlotTitles,0))),$AB$8,TRUE,"")</f>
        <v/>
      </c>
      <c r="F7" s="104" t="str" cm="1">
        <f t="array" ref="F7">_xlfn.IFS(AND(A7&gt;NumberOfPlots,ISBLANK(INDEX(PlotData,MATCH($A7,PlotNumber,0),MATCH(B$3,PlotTitles,0)))),"",ISBLANK(INDEX(PlotData,MATCH($A7,PlotNumber,0),MATCH(F$3,PlotTitles,0))),$AB$9,TRUE,"")</f>
        <v/>
      </c>
      <c r="G7" s="104" t="str" cm="1">
        <f t="array" ref="G7">_xlfn.IFS(AND(A7&gt;NumberOfPlots,ISBLANK(INDEX(PlotData,MATCH($A7,PlotNumber,0),MATCH(B$3,PlotTitles,0)))),"",ISBLANK(INDEX(PlotData,MATCH($A7,PlotNumber,0),MATCH(G$3,PlotTitles,0))),$AB$10,TRUE,"")</f>
        <v/>
      </c>
      <c r="H7" s="104" t="str" cm="1">
        <f t="array" ref="H7">_xlfn.IFS(AND(A7&gt;NumberOfPlots,ISBLANK(INDEX(PlotData,MATCH($A7,PlotNumber,0),MATCH(B$3,PlotTitles,0)))),"",AND(ISBLANK(INDEX(PlotData,MATCH($A7,PlotNumber,0),MATCH(H$3,PlotTitles,0)))=FALSE,INDEX(PlotData,MATCH($A7,PlotNumber,0),MATCH(H$3,PlotTitles,0))&lt;500), $AB$11,TRUE,"")</f>
        <v/>
      </c>
      <c r="I7" s="104" t="str" cm="1">
        <f t="array" ref="I7">_xlfn.IFS(AND(A7&gt;NumberOfPlots,ISBLANK(INDEX(PlotData,MATCH($A7,PlotNumber,0),MATCH(B$3,PlotTitles,0)))),"",ISBLANK(INDEX(PlotData,MATCH($A7,PlotNumber,0),MATCH(I$3,PlotTitles,0))),$AB$12,TRUE,"")</f>
        <v/>
      </c>
      <c r="J7" s="104" t="str" cm="1">
        <f t="array" ref="J7">_xlfn.IFS(AND(A7&gt;NumberOfPlots,ISBLANK(INDEX(PlotData,MATCH($A7,PlotNumber,0),MATCH(B$3,PlotTitles,0)))),"",ISBLANK(INDEX(PlotData,MATCH($A7,PlotNumber,0),MATCH(J$3,PlotTitles,0))),$AB$13,TRUE,"")</f>
        <v/>
      </c>
      <c r="K7" s="182" t="str">
        <f t="shared" ca="1" si="0"/>
        <v/>
      </c>
      <c r="L7" s="104" t="str" cm="1">
        <f t="array" ref="L7">_xlfn.IFS(OR(ISBLANK(StartDateMonth),ISBLANK(StartDateYear)),"",AND(A7&gt;NumberOfPlots,ISBLANK(INDEX(PlotData,MATCH($A7,PlotNumber,0),MATCH(B$3,PlotTitles,0)))),"",ISBLANK(INDEX(PlotData,MATCH($A7,PlotNumber,0),MATCH(I$3,PlotTitles,0))),"",(DATEVALUE(INDEX(PlotData,MATCH($A7,PlotNumber,0),MATCH(I$3,PlotTitles,0))&amp;INDEX(PlotData,MATCH($A7,PlotNumber,0),MATCH(J$3,PlotTitles,0))))&lt;DATEVALUE(StartDateMonth&amp;StartDateYear),$AB$15,TRUE,"")</f>
        <v/>
      </c>
      <c r="M7" s="104" t="str" cm="1">
        <f t="array" ref="M7">_xlfn.IFS(OR(ISBLANK(StartDateMonth),ISBLANK(StartDateYear)),"",AND(A7&gt;NumberOfPlots,ISBLANK(INDEX(PlotData,MATCH($A7,PlotNumber,0),MATCH(B$3,PlotTitles,0)))),"",ISBLANK(INDEX(PlotData,MATCH($A7,PlotNumber,0),MATCH(I$3,PlotTitles,0))),"",CompletionMonth="","",(DATEVALUE(INDEX(PlotData,MATCH($A7,PlotNumber,0),MATCH(I$3,PlotTitles,0))&amp;INDEX(PlotData,MATCH($A7,PlotNumber,0),MATCH(J$3,PlotTitles,0))))&gt;(DATEVALUE(CompletionMonth&amp;CompletionYear)),$AB$16,TRUE,"")</f>
        <v/>
      </c>
      <c r="N7" s="104" t="str" cm="1">
        <f t="array" ref="N7">_xlfn.IFS(AND(A7&gt;NumberOfPlots,ISBLANK(INDEX(PlotData,MATCH($A7,PlotNumber,0),MATCH(B$3,PlotTitles,0)))),"",ISBLANK(INDEX(PlotData,MATCH($A7,PlotNumber,0),MATCH(N$3,PlotTitles,0))),$AB$17,TRUE,"")</f>
        <v/>
      </c>
      <c r="O7" s="104" t="str" cm="1">
        <f t="array" ref="O7">_xlfn.IFS(AND(A7&gt;NumberOfPlots,ISBLANK(INDEX(PlotData,MATCH($A7,PlotNumber,0),MATCH(B$3,PlotTitles,0)))),"",ISBLANK(INDEX(PlotData,MATCH($A7,PlotNumber,0),MATCH(O$3,PlotTitles,0))),$AB$18,TRUE,"")</f>
        <v/>
      </c>
      <c r="P7" s="182" t="str">
        <f t="shared" ca="1" si="1"/>
        <v/>
      </c>
      <c r="Q7" s="104" t="str" cm="1">
        <f t="array" ref="Q7">_xlfn.IFS(AND(A7&gt;NumberOfPlots,ISBLANK(INDEX(PlotData,MATCH($A7,PlotNumber,0),MATCH(B$3,PlotTitles,0)))),"",ISBLANK(INDEX(PlotData,MATCH($A7,PlotNumber,0),MATCH(N$3,PlotTitles,0))),"",(DATEVALUE(INDEX(PlotData,MATCH($A7,PlotNumber,0),MATCH(N$3,PlotTitles,0))&amp;INDEX(PlotData,MATCH($A7,PlotNumber,0),MATCH(O$3,PlotTitles,0))))&lt;(DATEVALUE(INDEX(PlotData,MATCH($A7,PlotNumber,0),MATCH(I$3,PlotTitles,0))&amp;INDEX(PlotData,MATCH($A7,PlotNumber,0),MATCH(J$3,PlotTitles,0)))),$AB$20,TRUE,"")</f>
        <v/>
      </c>
      <c r="R7" s="104" t="str" cm="1">
        <f t="array" ref="R7">_xlfn.IFS(OR(ISBLANK(StartDateMonth),ISBLANK(StartDateYear)),"",AND(A7&gt;NumberOfPlots,ISBLANK(INDEX(PlotData,MATCH($A7,PlotNumber,0),MATCH(B$3,PlotTitles,0)))),"",ISBLANK(INDEX(PlotData,MATCH($A7,PlotNumber,0),MATCH(N$3,PlotTitles,0))),"",CompletionMonth="","",(DATEVALUE(INDEX(PlotData,MATCH($A7,PlotNumber,0),MATCH(N$3,PlotTitles,0))&amp;INDEX(PlotData,MATCH($A7,PlotNumber,0),MATCH(O$3,PlotTitles,0))))&gt;(DATEVALUE(CompletionMonth&amp;CompletionYear)),$AB$21,TRUE,"")</f>
        <v/>
      </c>
      <c r="S7" s="104" t="str" cm="1">
        <f t="array" ref="S7">_xlfn.IFS(AND(A7&gt;NumberOfPlots,ISBLANK(INDEX(PlotData,MATCH($A7,PlotNumber,0),MATCH(B$3,PlotTitles,0)))),"",OR(AND(INDEX(PlotData,MATCH($A7,PlotNumber,0),MATCH("Tenure",PlotTitles,0))="Open market housing",INDEX(PlotData,MATCH($A7,PlotNumber,0),MATCH("Tenure detail",PlotTitles,0))="Private rented sector"),INDEX(PlotData,MATCH($A7,PlotNumber,0),MATCH("Tenure",PlotTitles,0))="Affordable rent"),"",ISNUMBER(INDEX(PlotData,MATCH($A7,PlotNumber,0),MATCH(S$3,PlotTitles,0)))=FALSE, $AB$22,TRUE,"")</f>
        <v/>
      </c>
      <c r="T7" s="104" t="str" cm="1">
        <f t="array" ref="T7">_xlfn.IFS(AND(A7&gt;NumberOfPlots,ISBLANK(INDEX(PlotData,MATCH($A7,PlotNumber,0),MATCH(B$3,PlotTitles,0)))),"",OR(AND(INDEX(PlotData,MATCH($A7,PlotNumber,0),MATCH("Tenure",PlotTitles,0))="Open market housing",INDEX(PlotData,MATCH($A7,PlotNumber,0),MATCH("Tenure detail",PlotTitles,0))="Private rented sector"),INDEX(PlotData,MATCH($A7,PlotNumber,0),MATCH("Tenure",PlotTitles,0))="Affordable rent"),"",INDEX(PlotData,MATCH($A7,PlotNumber,0),MATCH(S$3,PlotTitles,0))&lt;10000, $AB$23,TRUE,"")</f>
        <v/>
      </c>
      <c r="U7" s="104" t="str" cm="1">
        <f t="array" ref="U7">_xlfn.IFS(AND(A7&gt;NumberOfPlots,ISBLANK(INDEX(PlotData,MATCH($A7,PlotNumber,0),MATCH(B$3,PlotTitles,0)))),"",NOT(OR(AND(INDEX(PlotData,MATCH($A7,PlotNumber,0),MATCH("Tenure",PlotTitles,0))="Open market housing",INDEX(PlotData,MATCH($A7,PlotNumber,0),MATCH("Tenure detail",PlotTitles,0))="Private rented sector"),INDEX(PlotData,MATCH($A7,PlotNumber,0),MATCH("Tenure",PlotTitles,0))="Affordable rent")),"",NOT(INDEX(PlotData,MATCH($A7,PlotNumber,0),MATCH(S$3,PlotTitles,0))=0), $AB$24,TRUE,"")</f>
        <v/>
      </c>
      <c r="V7" s="114" t="str" cm="1">
        <f t="array" aca="1" ref="V7" ca="1">_xlfn.IFS(ISBLANK(NumberOfPlots),"Enter the number of homes on the 1_SetUp sheet",AND(A7&gt;NumberOfPlots,ISBLANK(INDEX(PlotData,MATCH($A7,PlotNumber,0),MATCH(B$3,PlotTitles,0)))),"No error",NOT(B7=""),B7,NOT(C7=""),C7,NOT(D7=""),D7,NOT(E7=""),E7,NOT(F7=""),F7,NOT(G7=""),G7,NOT(H7=""),H7,NOT(I7=""),I7,NOT(J7=""),J7,NOT(K7=""),K7,NOT(L7=""),L7,NOT(M7=""),M7,NOT(N7=""),N7,NOT(O7=""),O7,NOT(P7=""),P7,NOT(Q7=""),Q7,NOT(R7=""),R7,NOT(S7=""),S7,NOT(T7=""),T7,NOT(U7=""),U7,TRUE,"No error")</f>
        <v>Enter the number of homes on the 1_SetUp sheet</v>
      </c>
      <c r="W7" s="114" t="str">
        <f t="shared" ca="1" si="2"/>
        <v xml:space="preserve">The Borrower has not addressed the following error messages for Home ID 3: </v>
      </c>
      <c r="X7" s="114"/>
      <c r="Y7" s="114"/>
      <c r="Z7" s="124" t="s">
        <v>45</v>
      </c>
      <c r="AA7" s="124" t="s">
        <v>251</v>
      </c>
      <c r="AB7" s="124" t="s">
        <v>265</v>
      </c>
      <c r="AC7" s="114"/>
    </row>
    <row r="8" spans="1:29">
      <c r="A8" s="123">
        <v>4</v>
      </c>
      <c r="B8" s="104" t="str" cm="1">
        <f t="array" ref="B8">_xlfn.IFS(AND(A8&gt;NumberOfPlots,ISBLANK(INDEX(PlotData,MATCH($A8,PlotNumber,0),MATCH(B$3,PlotTitles,0)))),"",ISNUMBER(INDEX(PlotData,MATCH($A8,PlotNumber,0),MATCH(B$3,PlotTitles,0)))=FALSE, $AB$5,TRUE,"")</f>
        <v/>
      </c>
      <c r="C8" s="104" t="str" cm="1">
        <f t="array" ref="C8">_xlfn.IFS(AND(A8&gt;NumberOfPlots,ISBLANK(INDEX(PlotData,MATCH($A8,PlotNumber,0),MATCH(B$3,PlotTitles,0)))),"",ISBLANK(INDEX(PlotData,MATCH($A8,PlotNumber,0),MATCH(C$3,PlotTitles,0))),$AB$6,TRUE,"")</f>
        <v/>
      </c>
      <c r="D8" s="104" t="str" cm="1">
        <f t="array" ref="D8">_xlfn.IFS(AND(A8&gt;NumberOfPlots,ISBLANK(INDEX(PlotData,MATCH($A8,PlotNumber,0),MATCH(B$3,PlotTitles,0)))),"",ISBLANK(INDEX(PlotData,MATCH($A8,PlotNumber,0),MATCH(D$3,PlotTitles,0))),$AB$7,TRUE,"")</f>
        <v/>
      </c>
      <c r="E8" s="104" t="str" cm="1">
        <f t="array" ref="E8">_xlfn.IFS(AND(A8&gt;NumberOfPlots,ISBLANK(INDEX(PlotData,MATCH($A8,PlotNumber,0),MATCH(B$3,PlotTitles,0)))),"",ISBLANK(INDEX(PlotData,MATCH($A8,PlotNumber,0),MATCH(E$3,PlotTitles,0))),$AB$8,TRUE,"")</f>
        <v/>
      </c>
      <c r="F8" s="104" t="str" cm="1">
        <f t="array" ref="F8">_xlfn.IFS(AND(A8&gt;NumberOfPlots,ISBLANK(INDEX(PlotData,MATCH($A8,PlotNumber,0),MATCH(B$3,PlotTitles,0)))),"",ISBLANK(INDEX(PlotData,MATCH($A8,PlotNumber,0),MATCH(F$3,PlotTitles,0))),$AB$9,TRUE,"")</f>
        <v/>
      </c>
      <c r="G8" s="104" t="str" cm="1">
        <f t="array" ref="G8">_xlfn.IFS(AND(A8&gt;NumberOfPlots,ISBLANK(INDEX(PlotData,MATCH($A8,PlotNumber,0),MATCH(B$3,PlotTitles,0)))),"",ISBLANK(INDEX(PlotData,MATCH($A8,PlotNumber,0),MATCH(G$3,PlotTitles,0))),$AB$10,TRUE,"")</f>
        <v/>
      </c>
      <c r="H8" s="104" t="str" cm="1">
        <f t="array" ref="H8">_xlfn.IFS(AND(A8&gt;NumberOfPlots,ISBLANK(INDEX(PlotData,MATCH($A8,PlotNumber,0),MATCH(B$3,PlotTitles,0)))),"",AND(ISBLANK(INDEX(PlotData,MATCH($A8,PlotNumber,0),MATCH(H$3,PlotTitles,0)))=FALSE,INDEX(PlotData,MATCH($A8,PlotNumber,0),MATCH(H$3,PlotTitles,0))&lt;500), $AB$11,TRUE,"")</f>
        <v/>
      </c>
      <c r="I8" s="104" t="str" cm="1">
        <f t="array" ref="I8">_xlfn.IFS(AND(A8&gt;NumberOfPlots,ISBLANK(INDEX(PlotData,MATCH($A8,PlotNumber,0),MATCH(B$3,PlotTitles,0)))),"",ISBLANK(INDEX(PlotData,MATCH($A8,PlotNumber,0),MATCH(I$3,PlotTitles,0))),$AB$12,TRUE,"")</f>
        <v/>
      </c>
      <c r="J8" s="104" t="str" cm="1">
        <f t="array" ref="J8">_xlfn.IFS(AND(A8&gt;NumberOfPlots,ISBLANK(INDEX(PlotData,MATCH($A8,PlotNumber,0),MATCH(B$3,PlotTitles,0)))),"",ISBLANK(INDEX(PlotData,MATCH($A8,PlotNumber,0),MATCH(J$3,PlotTitles,0))),$AB$13,TRUE,"")</f>
        <v/>
      </c>
      <c r="K8" s="182" t="str">
        <f t="shared" ca="1" si="0"/>
        <v/>
      </c>
      <c r="L8" s="104" t="str" cm="1">
        <f t="array" ref="L8">_xlfn.IFS(OR(ISBLANK(StartDateMonth),ISBLANK(StartDateYear)),"",AND(A8&gt;NumberOfPlots,ISBLANK(INDEX(PlotData,MATCH($A8,PlotNumber,0),MATCH(B$3,PlotTitles,0)))),"",ISBLANK(INDEX(PlotData,MATCH($A8,PlotNumber,0),MATCH(I$3,PlotTitles,0))),"",(DATEVALUE(INDEX(PlotData,MATCH($A8,PlotNumber,0),MATCH(I$3,PlotTitles,0))&amp;INDEX(PlotData,MATCH($A8,PlotNumber,0),MATCH(J$3,PlotTitles,0))))&lt;DATEVALUE(StartDateMonth&amp;StartDateYear),$AB$15,TRUE,"")</f>
        <v/>
      </c>
      <c r="M8" s="104" t="str" cm="1">
        <f t="array" ref="M8">_xlfn.IFS(OR(ISBLANK(StartDateMonth),ISBLANK(StartDateYear)),"",AND(A8&gt;NumberOfPlots,ISBLANK(INDEX(PlotData,MATCH($A8,PlotNumber,0),MATCH(B$3,PlotTitles,0)))),"",ISBLANK(INDEX(PlotData,MATCH($A8,PlotNumber,0),MATCH(I$3,PlotTitles,0))),"",CompletionMonth="","",(DATEVALUE(INDEX(PlotData,MATCH($A8,PlotNumber,0),MATCH(I$3,PlotTitles,0))&amp;INDEX(PlotData,MATCH($A8,PlotNumber,0),MATCH(J$3,PlotTitles,0))))&gt;(DATEVALUE(CompletionMonth&amp;CompletionYear)),$AB$16,TRUE,"")</f>
        <v/>
      </c>
      <c r="N8" s="104" t="str" cm="1">
        <f t="array" ref="N8">_xlfn.IFS(AND(A8&gt;NumberOfPlots,ISBLANK(INDEX(PlotData,MATCH($A8,PlotNumber,0),MATCH(B$3,PlotTitles,0)))),"",ISBLANK(INDEX(PlotData,MATCH($A8,PlotNumber,0),MATCH(N$3,PlotTitles,0))),$AB$17,TRUE,"")</f>
        <v/>
      </c>
      <c r="O8" s="104" t="str" cm="1">
        <f t="array" ref="O8">_xlfn.IFS(AND(A8&gt;NumberOfPlots,ISBLANK(INDEX(PlotData,MATCH($A8,PlotNumber,0),MATCH(B$3,PlotTitles,0)))),"",ISBLANK(INDEX(PlotData,MATCH($A8,PlotNumber,0),MATCH(O$3,PlotTitles,0))),$AB$18,TRUE,"")</f>
        <v/>
      </c>
      <c r="P8" s="182" t="str">
        <f t="shared" ca="1" si="1"/>
        <v/>
      </c>
      <c r="Q8" s="104" t="str" cm="1">
        <f t="array" ref="Q8">_xlfn.IFS(AND(A8&gt;NumberOfPlots,ISBLANK(INDEX(PlotData,MATCH($A8,PlotNumber,0),MATCH(B$3,PlotTitles,0)))),"",ISBLANK(INDEX(PlotData,MATCH($A8,PlotNumber,0),MATCH(N$3,PlotTitles,0))),"",(DATEVALUE(INDEX(PlotData,MATCH($A8,PlotNumber,0),MATCH(N$3,PlotTitles,0))&amp;INDEX(PlotData,MATCH($A8,PlotNumber,0),MATCH(O$3,PlotTitles,0))))&lt;(DATEVALUE(INDEX(PlotData,MATCH($A8,PlotNumber,0),MATCH(I$3,PlotTitles,0))&amp;INDEX(PlotData,MATCH($A8,PlotNumber,0),MATCH(J$3,PlotTitles,0)))),$AB$20,TRUE,"")</f>
        <v/>
      </c>
      <c r="R8" s="104" t="str" cm="1">
        <f t="array" ref="R8">_xlfn.IFS(OR(ISBLANK(StartDateMonth),ISBLANK(StartDateYear)),"",AND(A8&gt;NumberOfPlots,ISBLANK(INDEX(PlotData,MATCH($A8,PlotNumber,0),MATCH(B$3,PlotTitles,0)))),"",ISBLANK(INDEX(PlotData,MATCH($A8,PlotNumber,0),MATCH(N$3,PlotTitles,0))),"",CompletionMonth="","",(DATEVALUE(INDEX(PlotData,MATCH($A8,PlotNumber,0),MATCH(N$3,PlotTitles,0))&amp;INDEX(PlotData,MATCH($A8,PlotNumber,0),MATCH(O$3,PlotTitles,0))))&gt;(DATEVALUE(CompletionMonth&amp;CompletionYear)),$AB$21,TRUE,"")</f>
        <v/>
      </c>
      <c r="S8" s="104" t="str" cm="1">
        <f t="array" ref="S8">_xlfn.IFS(AND(A8&gt;NumberOfPlots,ISBLANK(INDEX(PlotData,MATCH($A8,PlotNumber,0),MATCH(B$3,PlotTitles,0)))),"",OR(AND(INDEX(PlotData,MATCH($A8,PlotNumber,0),MATCH("Tenure",PlotTitles,0))="Open market housing",INDEX(PlotData,MATCH($A8,PlotNumber,0),MATCH("Tenure detail",PlotTitles,0))="Private rented sector"),INDEX(PlotData,MATCH($A8,PlotNumber,0),MATCH("Tenure",PlotTitles,0))="Affordable rent"),"",ISNUMBER(INDEX(PlotData,MATCH($A8,PlotNumber,0),MATCH(S$3,PlotTitles,0)))=FALSE, $AB$22,TRUE,"")</f>
        <v/>
      </c>
      <c r="T8" s="104" t="str" cm="1">
        <f t="array" ref="T8">_xlfn.IFS(AND(A8&gt;NumberOfPlots,ISBLANK(INDEX(PlotData,MATCH($A8,PlotNumber,0),MATCH(B$3,PlotTitles,0)))),"",OR(AND(INDEX(PlotData,MATCH($A8,PlotNumber,0),MATCH("Tenure",PlotTitles,0))="Open market housing",INDEX(PlotData,MATCH($A8,PlotNumber,0),MATCH("Tenure detail",PlotTitles,0))="Private rented sector"),INDEX(PlotData,MATCH($A8,PlotNumber,0),MATCH("Tenure",PlotTitles,0))="Affordable rent"),"",INDEX(PlotData,MATCH($A8,PlotNumber,0),MATCH(S$3,PlotTitles,0))&lt;10000, $AB$23,TRUE,"")</f>
        <v/>
      </c>
      <c r="U8" s="104" t="str" cm="1">
        <f t="array" ref="U8">_xlfn.IFS(AND(A8&gt;NumberOfPlots,ISBLANK(INDEX(PlotData,MATCH($A8,PlotNumber,0),MATCH(B$3,PlotTitles,0)))),"",NOT(OR(AND(INDEX(PlotData,MATCH($A8,PlotNumber,0),MATCH("Tenure",PlotTitles,0))="Open market housing",INDEX(PlotData,MATCH($A8,PlotNumber,0),MATCH("Tenure detail",PlotTitles,0))="Private rented sector"),INDEX(PlotData,MATCH($A8,PlotNumber,0),MATCH("Tenure",PlotTitles,0))="Affordable rent")),"",NOT(INDEX(PlotData,MATCH($A8,PlotNumber,0),MATCH(S$3,PlotTitles,0))=0), $AB$24,TRUE,"")</f>
        <v/>
      </c>
      <c r="V8" s="114" t="str" cm="1">
        <f t="array" aca="1" ref="V8" ca="1">_xlfn.IFS(ISBLANK(NumberOfPlots),"Enter the number of homes on the 1_SetUp sheet",AND(A8&gt;NumberOfPlots,ISBLANK(INDEX(PlotData,MATCH($A8,PlotNumber,0),MATCH(B$3,PlotTitles,0)))),"No error",NOT(B8=""),B8,NOT(C8=""),C8,NOT(D8=""),D8,NOT(E8=""),E8,NOT(F8=""),F8,NOT(G8=""),G8,NOT(H8=""),H8,NOT(I8=""),I8,NOT(J8=""),J8,NOT(K8=""),K8,NOT(L8=""),L8,NOT(M8=""),M8,NOT(N8=""),N8,NOT(O8=""),O8,NOT(P8=""),P8,NOT(Q8=""),Q8,NOT(R8=""),R8,NOT(S8=""),S8,NOT(T8=""),T8,NOT(U8=""),U8,TRUE,"No error")</f>
        <v>Enter the number of homes on the 1_SetUp sheet</v>
      </c>
      <c r="W8" s="114" t="str">
        <f t="shared" ca="1" si="2"/>
        <v xml:space="preserve">The Borrower has not addressed the following error messages for Home ID 4: </v>
      </c>
      <c r="X8" s="114"/>
      <c r="Y8" s="114"/>
      <c r="Z8" s="124" t="s">
        <v>46</v>
      </c>
      <c r="AA8" s="124" t="s">
        <v>251</v>
      </c>
      <c r="AB8" s="124" t="s">
        <v>266</v>
      </c>
      <c r="AC8" s="114"/>
    </row>
    <row r="9" spans="1:29">
      <c r="A9" s="123">
        <v>5</v>
      </c>
      <c r="B9" s="104" t="str" cm="1">
        <f t="array" ref="B9">_xlfn.IFS(AND(A9&gt;NumberOfPlots,ISBLANK(INDEX(PlotData,MATCH($A9,PlotNumber,0),MATCH(B$3,PlotTitles,0)))),"",ISNUMBER(INDEX(PlotData,MATCH($A9,PlotNumber,0),MATCH(B$3,PlotTitles,0)))=FALSE, $AB$5,TRUE,"")</f>
        <v/>
      </c>
      <c r="C9" s="104" t="str" cm="1">
        <f t="array" ref="C9">_xlfn.IFS(AND(A9&gt;NumberOfPlots,ISBLANK(INDEX(PlotData,MATCH($A9,PlotNumber,0),MATCH(B$3,PlotTitles,0)))),"",ISBLANK(INDEX(PlotData,MATCH($A9,PlotNumber,0),MATCH(C$3,PlotTitles,0))),$AB$6,TRUE,"")</f>
        <v/>
      </c>
      <c r="D9" s="104" t="str" cm="1">
        <f t="array" ref="D9">_xlfn.IFS(AND(A9&gt;NumberOfPlots,ISBLANK(INDEX(PlotData,MATCH($A9,PlotNumber,0),MATCH(B$3,PlotTitles,0)))),"",ISBLANK(INDEX(PlotData,MATCH($A9,PlotNumber,0),MATCH(D$3,PlotTitles,0))),$AB$7,TRUE,"")</f>
        <v/>
      </c>
      <c r="E9" s="104" t="str" cm="1">
        <f t="array" ref="E9">_xlfn.IFS(AND(A9&gt;NumberOfPlots,ISBLANK(INDEX(PlotData,MATCH($A9,PlotNumber,0),MATCH(B$3,PlotTitles,0)))),"",ISBLANK(INDEX(PlotData,MATCH($A9,PlotNumber,0),MATCH(E$3,PlotTitles,0))),$AB$8,TRUE,"")</f>
        <v/>
      </c>
      <c r="F9" s="104" t="str" cm="1">
        <f t="array" ref="F9">_xlfn.IFS(AND(A9&gt;NumberOfPlots,ISBLANK(INDEX(PlotData,MATCH($A9,PlotNumber,0),MATCH(B$3,PlotTitles,0)))),"",ISBLANK(INDEX(PlotData,MATCH($A9,PlotNumber,0),MATCH(F$3,PlotTitles,0))),$AB$9,TRUE,"")</f>
        <v/>
      </c>
      <c r="G9" s="104" t="str" cm="1">
        <f t="array" ref="G9">_xlfn.IFS(AND(A9&gt;NumberOfPlots,ISBLANK(INDEX(PlotData,MATCH($A9,PlotNumber,0),MATCH(B$3,PlotTitles,0)))),"",ISBLANK(INDEX(PlotData,MATCH($A9,PlotNumber,0),MATCH(G$3,PlotTitles,0))),$AB$10,TRUE,"")</f>
        <v/>
      </c>
      <c r="H9" s="104" t="str" cm="1">
        <f t="array" ref="H9">_xlfn.IFS(AND(A9&gt;NumberOfPlots,ISBLANK(INDEX(PlotData,MATCH($A9,PlotNumber,0),MATCH(B$3,PlotTitles,0)))),"",AND(ISBLANK(INDEX(PlotData,MATCH($A9,PlotNumber,0),MATCH(H$3,PlotTitles,0)))=FALSE,INDEX(PlotData,MATCH($A9,PlotNumber,0),MATCH(H$3,PlotTitles,0))&lt;500), $AB$11,TRUE,"")</f>
        <v/>
      </c>
      <c r="I9" s="104" t="str" cm="1">
        <f t="array" ref="I9">_xlfn.IFS(AND(A9&gt;NumberOfPlots,ISBLANK(INDEX(PlotData,MATCH($A9,PlotNumber,0),MATCH(B$3,PlotTitles,0)))),"",ISBLANK(INDEX(PlotData,MATCH($A9,PlotNumber,0),MATCH(I$3,PlotTitles,0))),$AB$12,TRUE,"")</f>
        <v/>
      </c>
      <c r="J9" s="104" t="str" cm="1">
        <f t="array" ref="J9">_xlfn.IFS(AND(A9&gt;NumberOfPlots,ISBLANK(INDEX(PlotData,MATCH($A9,PlotNumber,0),MATCH(B$3,PlotTitles,0)))),"",ISBLANK(INDEX(PlotData,MATCH($A9,PlotNumber,0),MATCH(J$3,PlotTitles,0))),$AB$13,TRUE,"")</f>
        <v/>
      </c>
      <c r="K9" s="182" t="str">
        <f t="shared" ca="1" si="0"/>
        <v/>
      </c>
      <c r="L9" s="104" t="str" cm="1">
        <f t="array" ref="L9">_xlfn.IFS(OR(ISBLANK(StartDateMonth),ISBLANK(StartDateYear)),"",AND(A9&gt;NumberOfPlots,ISBLANK(INDEX(PlotData,MATCH($A9,PlotNumber,0),MATCH(B$3,PlotTitles,0)))),"",ISBLANK(INDEX(PlotData,MATCH($A9,PlotNumber,0),MATCH(I$3,PlotTitles,0))),"",(DATEVALUE(INDEX(PlotData,MATCH($A9,PlotNumber,0),MATCH(I$3,PlotTitles,0))&amp;INDEX(PlotData,MATCH($A9,PlotNumber,0),MATCH(J$3,PlotTitles,0))))&lt;DATEVALUE(StartDateMonth&amp;StartDateYear),$AB$15,TRUE,"")</f>
        <v/>
      </c>
      <c r="M9" s="104" t="str" cm="1">
        <f t="array" ref="M9">_xlfn.IFS(OR(ISBLANK(StartDateMonth),ISBLANK(StartDateYear)),"",AND(A9&gt;NumberOfPlots,ISBLANK(INDEX(PlotData,MATCH($A9,PlotNumber,0),MATCH(B$3,PlotTitles,0)))),"",ISBLANK(INDEX(PlotData,MATCH($A9,PlotNumber,0),MATCH(I$3,PlotTitles,0))),"",CompletionMonth="","",(DATEVALUE(INDEX(PlotData,MATCH($A9,PlotNumber,0),MATCH(I$3,PlotTitles,0))&amp;INDEX(PlotData,MATCH($A9,PlotNumber,0),MATCH(J$3,PlotTitles,0))))&gt;(DATEVALUE(CompletionMonth&amp;CompletionYear)),$AB$16,TRUE,"")</f>
        <v/>
      </c>
      <c r="N9" s="104" t="str" cm="1">
        <f t="array" ref="N9">_xlfn.IFS(AND(A9&gt;NumberOfPlots,ISBLANK(INDEX(PlotData,MATCH($A9,PlotNumber,0),MATCH(B$3,PlotTitles,0)))),"",ISBLANK(INDEX(PlotData,MATCH($A9,PlotNumber,0),MATCH(N$3,PlotTitles,0))),$AB$17,TRUE,"")</f>
        <v/>
      </c>
      <c r="O9" s="104" t="str" cm="1">
        <f t="array" ref="O9">_xlfn.IFS(AND(A9&gt;NumberOfPlots,ISBLANK(INDEX(PlotData,MATCH($A9,PlotNumber,0),MATCH(B$3,PlotTitles,0)))),"",ISBLANK(INDEX(PlotData,MATCH($A9,PlotNumber,0),MATCH(O$3,PlotTitles,0))),$AB$18,TRUE,"")</f>
        <v/>
      </c>
      <c r="P9" s="182" t="str">
        <f t="shared" ca="1" si="1"/>
        <v/>
      </c>
      <c r="Q9" s="104" t="str" cm="1">
        <f t="array" ref="Q9">_xlfn.IFS(AND(A9&gt;NumberOfPlots,ISBLANK(INDEX(PlotData,MATCH($A9,PlotNumber,0),MATCH(B$3,PlotTitles,0)))),"",ISBLANK(INDEX(PlotData,MATCH($A9,PlotNumber,0),MATCH(N$3,PlotTitles,0))),"",(DATEVALUE(INDEX(PlotData,MATCH($A9,PlotNumber,0),MATCH(N$3,PlotTitles,0))&amp;INDEX(PlotData,MATCH($A9,PlotNumber,0),MATCH(O$3,PlotTitles,0))))&lt;(DATEVALUE(INDEX(PlotData,MATCH($A9,PlotNumber,0),MATCH(I$3,PlotTitles,0))&amp;INDEX(PlotData,MATCH($A9,PlotNumber,0),MATCH(J$3,PlotTitles,0)))),$AB$20,TRUE,"")</f>
        <v/>
      </c>
      <c r="R9" s="104" t="str" cm="1">
        <f t="array" ref="R9">_xlfn.IFS(OR(ISBLANK(StartDateMonth),ISBLANK(StartDateYear)),"",AND(A9&gt;NumberOfPlots,ISBLANK(INDEX(PlotData,MATCH($A9,PlotNumber,0),MATCH(B$3,PlotTitles,0)))),"",ISBLANK(INDEX(PlotData,MATCH($A9,PlotNumber,0),MATCH(N$3,PlotTitles,0))),"",CompletionMonth="","",(DATEVALUE(INDEX(PlotData,MATCH($A9,PlotNumber,0),MATCH(N$3,PlotTitles,0))&amp;INDEX(PlotData,MATCH($A9,PlotNumber,0),MATCH(O$3,PlotTitles,0))))&gt;(DATEVALUE(CompletionMonth&amp;CompletionYear)),$AB$21,TRUE,"")</f>
        <v/>
      </c>
      <c r="S9" s="104" t="str" cm="1">
        <f t="array" ref="S9">_xlfn.IFS(AND(A9&gt;NumberOfPlots,ISBLANK(INDEX(PlotData,MATCH($A9,PlotNumber,0),MATCH(B$3,PlotTitles,0)))),"",OR(AND(INDEX(PlotData,MATCH($A9,PlotNumber,0),MATCH("Tenure",PlotTitles,0))="Open market housing",INDEX(PlotData,MATCH($A9,PlotNumber,0),MATCH("Tenure detail",PlotTitles,0))="Private rented sector"),INDEX(PlotData,MATCH($A9,PlotNumber,0),MATCH("Tenure",PlotTitles,0))="Affordable rent"),"",ISNUMBER(INDEX(PlotData,MATCH($A9,PlotNumber,0),MATCH(S$3,PlotTitles,0)))=FALSE, $AB$22,TRUE,"")</f>
        <v/>
      </c>
      <c r="T9" s="104" t="str" cm="1">
        <f t="array" ref="T9">_xlfn.IFS(AND(A9&gt;NumberOfPlots,ISBLANK(INDEX(PlotData,MATCH($A9,PlotNumber,0),MATCH(B$3,PlotTitles,0)))),"",OR(AND(INDEX(PlotData,MATCH($A9,PlotNumber,0),MATCH("Tenure",PlotTitles,0))="Open market housing",INDEX(PlotData,MATCH($A9,PlotNumber,0),MATCH("Tenure detail",PlotTitles,0))="Private rented sector"),INDEX(PlotData,MATCH($A9,PlotNumber,0),MATCH("Tenure",PlotTitles,0))="Affordable rent"),"",INDEX(PlotData,MATCH($A9,PlotNumber,0),MATCH(S$3,PlotTitles,0))&lt;10000, $AB$23,TRUE,"")</f>
        <v/>
      </c>
      <c r="U9" s="104" t="str" cm="1">
        <f t="array" ref="U9">_xlfn.IFS(AND(A9&gt;NumberOfPlots,ISBLANK(INDEX(PlotData,MATCH($A9,PlotNumber,0),MATCH(B$3,PlotTitles,0)))),"",NOT(OR(AND(INDEX(PlotData,MATCH($A9,PlotNumber,0),MATCH("Tenure",PlotTitles,0))="Open market housing",INDEX(PlotData,MATCH($A9,PlotNumber,0),MATCH("Tenure detail",PlotTitles,0))="Private rented sector"),INDEX(PlotData,MATCH($A9,PlotNumber,0),MATCH("Tenure",PlotTitles,0))="Affordable rent")),"",NOT(INDEX(PlotData,MATCH($A9,PlotNumber,0),MATCH(S$3,PlotTitles,0))=0), $AB$24,TRUE,"")</f>
        <v/>
      </c>
      <c r="V9" s="114" t="str" cm="1">
        <f t="array" aca="1" ref="V9" ca="1">_xlfn.IFS(ISBLANK(NumberOfPlots),"Enter the number of homes on the 1_SetUp sheet",AND(A9&gt;NumberOfPlots,ISBLANK(INDEX(PlotData,MATCH($A9,PlotNumber,0),MATCH(B$3,PlotTitles,0)))),"No error",NOT(B9=""),B9,NOT(C9=""),C9,NOT(D9=""),D9,NOT(E9=""),E9,NOT(F9=""),F9,NOT(G9=""),G9,NOT(H9=""),H9,NOT(I9=""),I9,NOT(J9=""),J9,NOT(K9=""),K9,NOT(L9=""),L9,NOT(M9=""),M9,NOT(N9=""),N9,NOT(O9=""),O9,NOT(P9=""),P9,NOT(Q9=""),Q9,NOT(R9=""),R9,NOT(S9=""),S9,NOT(T9=""),T9,NOT(U9=""),U9,TRUE,"No error")</f>
        <v>Enter the number of homes on the 1_SetUp sheet</v>
      </c>
      <c r="W9" s="114" t="str">
        <f t="shared" ca="1" si="2"/>
        <v xml:space="preserve">The Borrower has not addressed the following error messages for Home ID 5: </v>
      </c>
      <c r="X9" s="114"/>
      <c r="Y9" s="114"/>
      <c r="Z9" s="124" t="s">
        <v>47</v>
      </c>
      <c r="AA9" s="124" t="s">
        <v>251</v>
      </c>
      <c r="AB9" s="124" t="s">
        <v>267</v>
      </c>
      <c r="AC9" s="114"/>
    </row>
    <row r="10" spans="1:29">
      <c r="A10" s="123">
        <v>6</v>
      </c>
      <c r="B10" s="104" t="str" cm="1">
        <f t="array" ref="B10">_xlfn.IFS(AND(A10&gt;NumberOfPlots,ISBLANK(INDEX(PlotData,MATCH($A10,PlotNumber,0),MATCH(B$3,PlotTitles,0)))),"",ISNUMBER(INDEX(PlotData,MATCH($A10,PlotNumber,0),MATCH(B$3,PlotTitles,0)))=FALSE, $AB$5,TRUE,"")</f>
        <v/>
      </c>
      <c r="C10" s="104" t="str" cm="1">
        <f t="array" ref="C10">_xlfn.IFS(AND(A10&gt;NumberOfPlots,ISBLANK(INDEX(PlotData,MATCH($A10,PlotNumber,0),MATCH(B$3,PlotTitles,0)))),"",ISBLANK(INDEX(PlotData,MATCH($A10,PlotNumber,0),MATCH(C$3,PlotTitles,0))),$AB$6,TRUE,"")</f>
        <v/>
      </c>
      <c r="D10" s="104" t="str" cm="1">
        <f t="array" ref="D10">_xlfn.IFS(AND(A10&gt;NumberOfPlots,ISBLANK(INDEX(PlotData,MATCH($A10,PlotNumber,0),MATCH(B$3,PlotTitles,0)))),"",ISBLANK(INDEX(PlotData,MATCH($A10,PlotNumber,0),MATCH(D$3,PlotTitles,0))),$AB$7,TRUE,"")</f>
        <v/>
      </c>
      <c r="E10" s="104" t="str" cm="1">
        <f t="array" ref="E10">_xlfn.IFS(AND(A10&gt;NumberOfPlots,ISBLANK(INDEX(PlotData,MATCH($A10,PlotNumber,0),MATCH(B$3,PlotTitles,0)))),"",ISBLANK(INDEX(PlotData,MATCH($A10,PlotNumber,0),MATCH(E$3,PlotTitles,0))),$AB$8,TRUE,"")</f>
        <v/>
      </c>
      <c r="F10" s="104" t="str" cm="1">
        <f t="array" ref="F10">_xlfn.IFS(AND(A10&gt;NumberOfPlots,ISBLANK(INDEX(PlotData,MATCH($A10,PlotNumber,0),MATCH(B$3,PlotTitles,0)))),"",ISBLANK(INDEX(PlotData,MATCH($A10,PlotNumber,0),MATCH(F$3,PlotTitles,0))),$AB$9,TRUE,"")</f>
        <v/>
      </c>
      <c r="G10" s="104" t="str" cm="1">
        <f t="array" ref="G10">_xlfn.IFS(AND(A10&gt;NumberOfPlots,ISBLANK(INDEX(PlotData,MATCH($A10,PlotNumber,0),MATCH(B$3,PlotTitles,0)))),"",ISBLANK(INDEX(PlotData,MATCH($A10,PlotNumber,0),MATCH(G$3,PlotTitles,0))),$AB$10,TRUE,"")</f>
        <v/>
      </c>
      <c r="H10" s="104" t="str" cm="1">
        <f t="array" ref="H10">_xlfn.IFS(AND(A10&gt;NumberOfPlots,ISBLANK(INDEX(PlotData,MATCH($A10,PlotNumber,0),MATCH(B$3,PlotTitles,0)))),"",AND(ISBLANK(INDEX(PlotData,MATCH($A10,PlotNumber,0),MATCH(H$3,PlotTitles,0)))=FALSE,INDEX(PlotData,MATCH($A10,PlotNumber,0),MATCH(H$3,PlotTitles,0))&lt;500), $AB$11,TRUE,"")</f>
        <v/>
      </c>
      <c r="I10" s="104" t="str" cm="1">
        <f t="array" ref="I10">_xlfn.IFS(AND(A10&gt;NumberOfPlots,ISBLANK(INDEX(PlotData,MATCH($A10,PlotNumber,0),MATCH(B$3,PlotTitles,0)))),"",ISBLANK(INDEX(PlotData,MATCH($A10,PlotNumber,0),MATCH(I$3,PlotTitles,0))),$AB$12,TRUE,"")</f>
        <v/>
      </c>
      <c r="J10" s="104" t="str" cm="1">
        <f t="array" ref="J10">_xlfn.IFS(AND(A10&gt;NumberOfPlots,ISBLANK(INDEX(PlotData,MATCH($A10,PlotNumber,0),MATCH(B$3,PlotTitles,0)))),"",ISBLANK(INDEX(PlotData,MATCH($A10,PlotNumber,0),MATCH(J$3,PlotTitles,0))),$AB$13,TRUE,"")</f>
        <v/>
      </c>
      <c r="K10" s="182" t="str">
        <f t="shared" ca="1" si="0"/>
        <v/>
      </c>
      <c r="L10" s="104" t="str" cm="1">
        <f t="array" ref="L10">_xlfn.IFS(OR(ISBLANK(StartDateMonth),ISBLANK(StartDateYear)),"",AND(A10&gt;NumberOfPlots,ISBLANK(INDEX(PlotData,MATCH($A10,PlotNumber,0),MATCH(B$3,PlotTitles,0)))),"",ISBLANK(INDEX(PlotData,MATCH($A10,PlotNumber,0),MATCH(I$3,PlotTitles,0))),"",(DATEVALUE(INDEX(PlotData,MATCH($A10,PlotNumber,0),MATCH(I$3,PlotTitles,0))&amp;INDEX(PlotData,MATCH($A10,PlotNumber,0),MATCH(J$3,PlotTitles,0))))&lt;DATEVALUE(StartDateMonth&amp;StartDateYear),$AB$15,TRUE,"")</f>
        <v/>
      </c>
      <c r="M10" s="104" t="str" cm="1">
        <f t="array" ref="M10">_xlfn.IFS(OR(ISBLANK(StartDateMonth),ISBLANK(StartDateYear)),"",AND(A10&gt;NumberOfPlots,ISBLANK(INDEX(PlotData,MATCH($A10,PlotNumber,0),MATCH(B$3,PlotTitles,0)))),"",ISBLANK(INDEX(PlotData,MATCH($A10,PlotNumber,0),MATCH(I$3,PlotTitles,0))),"",CompletionMonth="","",(DATEVALUE(INDEX(PlotData,MATCH($A10,PlotNumber,0),MATCH(I$3,PlotTitles,0))&amp;INDEX(PlotData,MATCH($A10,PlotNumber,0),MATCH(J$3,PlotTitles,0))))&gt;(DATEVALUE(CompletionMonth&amp;CompletionYear)),$AB$16,TRUE,"")</f>
        <v/>
      </c>
      <c r="N10" s="104" t="str" cm="1">
        <f t="array" ref="N10">_xlfn.IFS(AND(A10&gt;NumberOfPlots,ISBLANK(INDEX(PlotData,MATCH($A10,PlotNumber,0),MATCH(B$3,PlotTitles,0)))),"",ISBLANK(INDEX(PlotData,MATCH($A10,PlotNumber,0),MATCH(N$3,PlotTitles,0))),$AB$17,TRUE,"")</f>
        <v/>
      </c>
      <c r="O10" s="104" t="str" cm="1">
        <f t="array" ref="O10">_xlfn.IFS(AND(A10&gt;NumberOfPlots,ISBLANK(INDEX(PlotData,MATCH($A10,PlotNumber,0),MATCH(B$3,PlotTitles,0)))),"",ISBLANK(INDEX(PlotData,MATCH($A10,PlotNumber,0),MATCH(O$3,PlotTitles,0))),$AB$18,TRUE,"")</f>
        <v/>
      </c>
      <c r="P10" s="182" t="str">
        <f t="shared" ca="1" si="1"/>
        <v/>
      </c>
      <c r="Q10" s="104" t="str" cm="1">
        <f t="array" ref="Q10">_xlfn.IFS(AND(A10&gt;NumberOfPlots,ISBLANK(INDEX(PlotData,MATCH($A10,PlotNumber,0),MATCH(B$3,PlotTitles,0)))),"",ISBLANK(INDEX(PlotData,MATCH($A10,PlotNumber,0),MATCH(N$3,PlotTitles,0))),"",(DATEVALUE(INDEX(PlotData,MATCH($A10,PlotNumber,0),MATCH(N$3,PlotTitles,0))&amp;INDEX(PlotData,MATCH($A10,PlotNumber,0),MATCH(O$3,PlotTitles,0))))&lt;(DATEVALUE(INDEX(PlotData,MATCH($A10,PlotNumber,0),MATCH(I$3,PlotTitles,0))&amp;INDEX(PlotData,MATCH($A10,PlotNumber,0),MATCH(J$3,PlotTitles,0)))),$AB$20,TRUE,"")</f>
        <v/>
      </c>
      <c r="R10" s="104" t="str" cm="1">
        <f t="array" ref="R10">_xlfn.IFS(OR(ISBLANK(StartDateMonth),ISBLANK(StartDateYear)),"",AND(A10&gt;NumberOfPlots,ISBLANK(INDEX(PlotData,MATCH($A10,PlotNumber,0),MATCH(B$3,PlotTitles,0)))),"",ISBLANK(INDEX(PlotData,MATCH($A10,PlotNumber,0),MATCH(N$3,PlotTitles,0))),"",CompletionMonth="","",(DATEVALUE(INDEX(PlotData,MATCH($A10,PlotNumber,0),MATCH(N$3,PlotTitles,0))&amp;INDEX(PlotData,MATCH($A10,PlotNumber,0),MATCH(O$3,PlotTitles,0))))&gt;(DATEVALUE(CompletionMonth&amp;CompletionYear)),$AB$21,TRUE,"")</f>
        <v/>
      </c>
      <c r="S10" s="104" t="str" cm="1">
        <f t="array" ref="S10">_xlfn.IFS(AND(A10&gt;NumberOfPlots,ISBLANK(INDEX(PlotData,MATCH($A10,PlotNumber,0),MATCH(B$3,PlotTitles,0)))),"",OR(AND(INDEX(PlotData,MATCH($A10,PlotNumber,0),MATCH("Tenure",PlotTitles,0))="Open market housing",INDEX(PlotData,MATCH($A10,PlotNumber,0),MATCH("Tenure detail",PlotTitles,0))="Private rented sector"),INDEX(PlotData,MATCH($A10,PlotNumber,0),MATCH("Tenure",PlotTitles,0))="Affordable rent"),"",ISNUMBER(INDEX(PlotData,MATCH($A10,PlotNumber,0),MATCH(S$3,PlotTitles,0)))=FALSE, $AB$22,TRUE,"")</f>
        <v/>
      </c>
      <c r="T10" s="104" t="str" cm="1">
        <f t="array" ref="T10">_xlfn.IFS(AND(A10&gt;NumberOfPlots,ISBLANK(INDEX(PlotData,MATCH($A10,PlotNumber,0),MATCH(B$3,PlotTitles,0)))),"",OR(AND(INDEX(PlotData,MATCH($A10,PlotNumber,0),MATCH("Tenure",PlotTitles,0))="Open market housing",INDEX(PlotData,MATCH($A10,PlotNumber,0),MATCH("Tenure detail",PlotTitles,0))="Private rented sector"),INDEX(PlotData,MATCH($A10,PlotNumber,0),MATCH("Tenure",PlotTitles,0))="Affordable rent"),"",INDEX(PlotData,MATCH($A10,PlotNumber,0),MATCH(S$3,PlotTitles,0))&lt;10000, $AB$23,TRUE,"")</f>
        <v/>
      </c>
      <c r="U10" s="104" t="str" cm="1">
        <f t="array" ref="U10">_xlfn.IFS(AND(A10&gt;NumberOfPlots,ISBLANK(INDEX(PlotData,MATCH($A10,PlotNumber,0),MATCH(B$3,PlotTitles,0)))),"",NOT(OR(AND(INDEX(PlotData,MATCH($A10,PlotNumber,0),MATCH("Tenure",PlotTitles,0))="Open market housing",INDEX(PlotData,MATCH($A10,PlotNumber,0),MATCH("Tenure detail",PlotTitles,0))="Private rented sector"),INDEX(PlotData,MATCH($A10,PlotNumber,0),MATCH("Tenure",PlotTitles,0))="Affordable rent")),"",NOT(INDEX(PlotData,MATCH($A10,PlotNumber,0),MATCH(S$3,PlotTitles,0))=0), $AB$24,TRUE,"")</f>
        <v/>
      </c>
      <c r="V10" s="114" t="str" cm="1">
        <f t="array" aca="1" ref="V10" ca="1">_xlfn.IFS(ISBLANK(NumberOfPlots),"Enter the number of homes on the 1_SetUp sheet",AND(A10&gt;NumberOfPlots,ISBLANK(INDEX(PlotData,MATCH($A10,PlotNumber,0),MATCH(B$3,PlotTitles,0)))),"No error",NOT(B10=""),B10,NOT(C10=""),C10,NOT(D10=""),D10,NOT(E10=""),E10,NOT(F10=""),F10,NOT(G10=""),G10,NOT(H10=""),H10,NOT(I10=""),I10,NOT(J10=""),J10,NOT(K10=""),K10,NOT(L10=""),L10,NOT(M10=""),M10,NOT(N10=""),N10,NOT(O10=""),O10,NOT(P10=""),P10,NOT(Q10=""),Q10,NOT(R10=""),R10,NOT(S10=""),S10,NOT(T10=""),T10,NOT(U10=""),U10,TRUE,"No error")</f>
        <v>Enter the number of homes on the 1_SetUp sheet</v>
      </c>
      <c r="W10" s="114" t="str">
        <f t="shared" ca="1" si="2"/>
        <v xml:space="preserve">The Borrower has not addressed the following error messages for Home ID 6: </v>
      </c>
      <c r="X10" s="114"/>
      <c r="Y10" s="114"/>
      <c r="Z10" s="124" t="s">
        <v>268</v>
      </c>
      <c r="AA10" s="124" t="s">
        <v>251</v>
      </c>
      <c r="AB10" s="124" t="s">
        <v>269</v>
      </c>
      <c r="AC10" s="114"/>
    </row>
    <row r="11" spans="1:29">
      <c r="A11" s="123">
        <v>7</v>
      </c>
      <c r="B11" s="104" t="str" cm="1">
        <f t="array" ref="B11">_xlfn.IFS(AND(A11&gt;NumberOfPlots,ISBLANK(INDEX(PlotData,MATCH($A11,PlotNumber,0),MATCH(B$3,PlotTitles,0)))),"",ISNUMBER(INDEX(PlotData,MATCH($A11,PlotNumber,0),MATCH(B$3,PlotTitles,0)))=FALSE, $AB$5,TRUE,"")</f>
        <v/>
      </c>
      <c r="C11" s="104" t="str" cm="1">
        <f t="array" ref="C11">_xlfn.IFS(AND(A11&gt;NumberOfPlots,ISBLANK(INDEX(PlotData,MATCH($A11,PlotNumber,0),MATCH(B$3,PlotTitles,0)))),"",ISBLANK(INDEX(PlotData,MATCH($A11,PlotNumber,0),MATCH(C$3,PlotTitles,0))),$AB$6,TRUE,"")</f>
        <v/>
      </c>
      <c r="D11" s="104" t="str" cm="1">
        <f t="array" ref="D11">_xlfn.IFS(AND(A11&gt;NumberOfPlots,ISBLANK(INDEX(PlotData,MATCH($A11,PlotNumber,0),MATCH(B$3,PlotTitles,0)))),"",ISBLANK(INDEX(PlotData,MATCH($A11,PlotNumber,0),MATCH(D$3,PlotTitles,0))),$AB$7,TRUE,"")</f>
        <v/>
      </c>
      <c r="E11" s="104" t="str" cm="1">
        <f t="array" ref="E11">_xlfn.IFS(AND(A11&gt;NumberOfPlots,ISBLANK(INDEX(PlotData,MATCH($A11,PlotNumber,0),MATCH(B$3,PlotTitles,0)))),"",ISBLANK(INDEX(PlotData,MATCH($A11,PlotNumber,0),MATCH(E$3,PlotTitles,0))),$AB$8,TRUE,"")</f>
        <v/>
      </c>
      <c r="F11" s="104" t="str" cm="1">
        <f t="array" ref="F11">_xlfn.IFS(AND(A11&gt;NumberOfPlots,ISBLANK(INDEX(PlotData,MATCH($A11,PlotNumber,0),MATCH(B$3,PlotTitles,0)))),"",ISBLANK(INDEX(PlotData,MATCH($A11,PlotNumber,0),MATCH(F$3,PlotTitles,0))),$AB$9,TRUE,"")</f>
        <v/>
      </c>
      <c r="G11" s="104" t="str" cm="1">
        <f t="array" ref="G11">_xlfn.IFS(AND(A11&gt;NumberOfPlots,ISBLANK(INDEX(PlotData,MATCH($A11,PlotNumber,0),MATCH(B$3,PlotTitles,0)))),"",ISBLANK(INDEX(PlotData,MATCH($A11,PlotNumber,0),MATCH(G$3,PlotTitles,0))),$AB$10,TRUE,"")</f>
        <v/>
      </c>
      <c r="H11" s="104" t="str" cm="1">
        <f t="array" ref="H11">_xlfn.IFS(AND(A11&gt;NumberOfPlots,ISBLANK(INDEX(PlotData,MATCH($A11,PlotNumber,0),MATCH(B$3,PlotTitles,0)))),"",AND(ISBLANK(INDEX(PlotData,MATCH($A11,PlotNumber,0),MATCH(H$3,PlotTitles,0)))=FALSE,INDEX(PlotData,MATCH($A11,PlotNumber,0),MATCH(H$3,PlotTitles,0))&lt;500), $AB$11,TRUE,"")</f>
        <v/>
      </c>
      <c r="I11" s="104" t="str" cm="1">
        <f t="array" ref="I11">_xlfn.IFS(AND(A11&gt;NumberOfPlots,ISBLANK(INDEX(PlotData,MATCH($A11,PlotNumber,0),MATCH(B$3,PlotTitles,0)))),"",ISBLANK(INDEX(PlotData,MATCH($A11,PlotNumber,0),MATCH(I$3,PlotTitles,0))),$AB$12,TRUE,"")</f>
        <v/>
      </c>
      <c r="J11" s="104" t="str" cm="1">
        <f t="array" ref="J11">_xlfn.IFS(AND(A11&gt;NumberOfPlots,ISBLANK(INDEX(PlotData,MATCH($A11,PlotNumber,0),MATCH(B$3,PlotTitles,0)))),"",ISBLANK(INDEX(PlotData,MATCH($A11,PlotNumber,0),MATCH(J$3,PlotTitles,0))),$AB$13,TRUE,"")</f>
        <v/>
      </c>
      <c r="K11" s="182" t="str">
        <f t="shared" ca="1" si="0"/>
        <v/>
      </c>
      <c r="L11" s="104" t="str" cm="1">
        <f t="array" ref="L11">_xlfn.IFS(OR(ISBLANK(StartDateMonth),ISBLANK(StartDateYear)),"",AND(A11&gt;NumberOfPlots,ISBLANK(INDEX(PlotData,MATCH($A11,PlotNumber,0),MATCH(B$3,PlotTitles,0)))),"",ISBLANK(INDEX(PlotData,MATCH($A11,PlotNumber,0),MATCH(I$3,PlotTitles,0))),"",(DATEVALUE(INDEX(PlotData,MATCH($A11,PlotNumber,0),MATCH(I$3,PlotTitles,0))&amp;INDEX(PlotData,MATCH($A11,PlotNumber,0),MATCH(J$3,PlotTitles,0))))&lt;DATEVALUE(StartDateMonth&amp;StartDateYear),$AB$15,TRUE,"")</f>
        <v/>
      </c>
      <c r="M11" s="104" t="str" cm="1">
        <f t="array" ref="M11">_xlfn.IFS(OR(ISBLANK(StartDateMonth),ISBLANK(StartDateYear)),"",AND(A11&gt;NumberOfPlots,ISBLANK(INDEX(PlotData,MATCH($A11,PlotNumber,0),MATCH(B$3,PlotTitles,0)))),"",ISBLANK(INDEX(PlotData,MATCH($A11,PlotNumber,0),MATCH(I$3,PlotTitles,0))),"",CompletionMonth="","",(DATEVALUE(INDEX(PlotData,MATCH($A11,PlotNumber,0),MATCH(I$3,PlotTitles,0))&amp;INDEX(PlotData,MATCH($A11,PlotNumber,0),MATCH(J$3,PlotTitles,0))))&gt;(DATEVALUE(CompletionMonth&amp;CompletionYear)),$AB$16,TRUE,"")</f>
        <v/>
      </c>
      <c r="N11" s="104" t="str" cm="1">
        <f t="array" ref="N11">_xlfn.IFS(AND(A11&gt;NumberOfPlots,ISBLANK(INDEX(PlotData,MATCH($A11,PlotNumber,0),MATCH(B$3,PlotTitles,0)))),"",ISBLANK(INDEX(PlotData,MATCH($A11,PlotNumber,0),MATCH(N$3,PlotTitles,0))),$AB$17,TRUE,"")</f>
        <v/>
      </c>
      <c r="O11" s="104" t="str" cm="1">
        <f t="array" ref="O11">_xlfn.IFS(AND(A11&gt;NumberOfPlots,ISBLANK(INDEX(PlotData,MATCH($A11,PlotNumber,0),MATCH(B$3,PlotTitles,0)))),"",ISBLANK(INDEX(PlotData,MATCH($A11,PlotNumber,0),MATCH(O$3,PlotTitles,0))),$AB$18,TRUE,"")</f>
        <v/>
      </c>
      <c r="P11" s="182" t="str">
        <f t="shared" ca="1" si="1"/>
        <v/>
      </c>
      <c r="Q11" s="104" t="str" cm="1">
        <f t="array" ref="Q11">_xlfn.IFS(AND(A11&gt;NumberOfPlots,ISBLANK(INDEX(PlotData,MATCH($A11,PlotNumber,0),MATCH(B$3,PlotTitles,0)))),"",ISBLANK(INDEX(PlotData,MATCH($A11,PlotNumber,0),MATCH(N$3,PlotTitles,0))),"",(DATEVALUE(INDEX(PlotData,MATCH($A11,PlotNumber,0),MATCH(N$3,PlotTitles,0))&amp;INDEX(PlotData,MATCH($A11,PlotNumber,0),MATCH(O$3,PlotTitles,0))))&lt;(DATEVALUE(INDEX(PlotData,MATCH($A11,PlotNumber,0),MATCH(I$3,PlotTitles,0))&amp;INDEX(PlotData,MATCH($A11,PlotNumber,0),MATCH(J$3,PlotTitles,0)))),$AB$20,TRUE,"")</f>
        <v/>
      </c>
      <c r="R11" s="104" t="str" cm="1">
        <f t="array" ref="R11">_xlfn.IFS(OR(ISBLANK(StartDateMonth),ISBLANK(StartDateYear)),"",AND(A11&gt;NumberOfPlots,ISBLANK(INDEX(PlotData,MATCH($A11,PlotNumber,0),MATCH(B$3,PlotTitles,0)))),"",ISBLANK(INDEX(PlotData,MATCH($A11,PlotNumber,0),MATCH(N$3,PlotTitles,0))),"",CompletionMonth="","",(DATEVALUE(INDEX(PlotData,MATCH($A11,PlotNumber,0),MATCH(N$3,PlotTitles,0))&amp;INDEX(PlotData,MATCH($A11,PlotNumber,0),MATCH(O$3,PlotTitles,0))))&gt;(DATEVALUE(CompletionMonth&amp;CompletionYear)),$AB$21,TRUE,"")</f>
        <v/>
      </c>
      <c r="S11" s="104" t="str" cm="1">
        <f t="array" ref="S11">_xlfn.IFS(AND(A11&gt;NumberOfPlots,ISBLANK(INDEX(PlotData,MATCH($A11,PlotNumber,0),MATCH(B$3,PlotTitles,0)))),"",OR(AND(INDEX(PlotData,MATCH($A11,PlotNumber,0),MATCH("Tenure",PlotTitles,0))="Open market housing",INDEX(PlotData,MATCH($A11,PlotNumber,0),MATCH("Tenure detail",PlotTitles,0))="Private rented sector"),INDEX(PlotData,MATCH($A11,PlotNumber,0),MATCH("Tenure",PlotTitles,0))="Affordable rent"),"",ISNUMBER(INDEX(PlotData,MATCH($A11,PlotNumber,0),MATCH(S$3,PlotTitles,0)))=FALSE, $AB$22,TRUE,"")</f>
        <v/>
      </c>
      <c r="T11" s="104" t="str" cm="1">
        <f t="array" ref="T11">_xlfn.IFS(AND(A11&gt;NumberOfPlots,ISBLANK(INDEX(PlotData,MATCH($A11,PlotNumber,0),MATCH(B$3,PlotTitles,0)))),"",OR(AND(INDEX(PlotData,MATCH($A11,PlotNumber,0),MATCH("Tenure",PlotTitles,0))="Open market housing",INDEX(PlotData,MATCH($A11,PlotNumber,0),MATCH("Tenure detail",PlotTitles,0))="Private rented sector"),INDEX(PlotData,MATCH($A11,PlotNumber,0),MATCH("Tenure",PlotTitles,0))="Affordable rent"),"",INDEX(PlotData,MATCH($A11,PlotNumber,0),MATCH(S$3,PlotTitles,0))&lt;10000, $AB$23,TRUE,"")</f>
        <v/>
      </c>
      <c r="U11" s="104" t="str" cm="1">
        <f t="array" ref="U11">_xlfn.IFS(AND(A11&gt;NumberOfPlots,ISBLANK(INDEX(PlotData,MATCH($A11,PlotNumber,0),MATCH(B$3,PlotTitles,0)))),"",NOT(OR(AND(INDEX(PlotData,MATCH($A11,PlotNumber,0),MATCH("Tenure",PlotTitles,0))="Open market housing",INDEX(PlotData,MATCH($A11,PlotNumber,0),MATCH("Tenure detail",PlotTitles,0))="Private rented sector"),INDEX(PlotData,MATCH($A11,PlotNumber,0),MATCH("Tenure",PlotTitles,0))="Affordable rent")),"",NOT(INDEX(PlotData,MATCH($A11,PlotNumber,0),MATCH(S$3,PlotTitles,0))=0), $AB$24,TRUE,"")</f>
        <v/>
      </c>
      <c r="V11" s="114" t="str" cm="1">
        <f t="array" aca="1" ref="V11" ca="1">_xlfn.IFS(ISBLANK(NumberOfPlots),"Enter the number of homes on the 1_SetUp sheet",AND(A11&gt;NumberOfPlots,ISBLANK(INDEX(PlotData,MATCH($A11,PlotNumber,0),MATCH(B$3,PlotTitles,0)))),"No error",NOT(B11=""),B11,NOT(C11=""),C11,NOT(D11=""),D11,NOT(E11=""),E11,NOT(F11=""),F11,NOT(G11=""),G11,NOT(H11=""),H11,NOT(I11=""),I11,NOT(J11=""),J11,NOT(K11=""),K11,NOT(L11=""),L11,NOT(M11=""),M11,NOT(N11=""),N11,NOT(O11=""),O11,NOT(P11=""),P11,NOT(Q11=""),Q11,NOT(R11=""),R11,NOT(S11=""),S11,NOT(T11=""),T11,NOT(U11=""),U11,TRUE,"No error")</f>
        <v>Enter the number of homes on the 1_SetUp sheet</v>
      </c>
      <c r="W11" s="114" t="str">
        <f t="shared" ca="1" si="2"/>
        <v xml:space="preserve">The Borrower has not addressed the following error messages for Home ID 7: </v>
      </c>
      <c r="X11" s="114"/>
      <c r="Y11" s="114"/>
      <c r="Z11" s="124" t="s">
        <v>268</v>
      </c>
      <c r="AA11" s="124" t="s">
        <v>252</v>
      </c>
      <c r="AB11" s="124" t="s">
        <v>270</v>
      </c>
      <c r="AC11" s="114"/>
    </row>
    <row r="12" spans="1:29">
      <c r="A12" s="123">
        <v>8</v>
      </c>
      <c r="B12" s="104" t="str" cm="1">
        <f t="array" ref="B12">_xlfn.IFS(AND(A12&gt;NumberOfPlots,ISBLANK(INDEX(PlotData,MATCH($A12,PlotNumber,0),MATCH(B$3,PlotTitles,0)))),"",ISNUMBER(INDEX(PlotData,MATCH($A12,PlotNumber,0),MATCH(B$3,PlotTitles,0)))=FALSE, $AB$5,TRUE,"")</f>
        <v/>
      </c>
      <c r="C12" s="104" t="str" cm="1">
        <f t="array" ref="C12">_xlfn.IFS(AND(A12&gt;NumberOfPlots,ISBLANK(INDEX(PlotData,MATCH($A12,PlotNumber,0),MATCH(B$3,PlotTitles,0)))),"",ISBLANK(INDEX(PlotData,MATCH($A12,PlotNumber,0),MATCH(C$3,PlotTitles,0))),$AB$6,TRUE,"")</f>
        <v/>
      </c>
      <c r="D12" s="104" t="str" cm="1">
        <f t="array" ref="D12">_xlfn.IFS(AND(A12&gt;NumberOfPlots,ISBLANK(INDEX(PlotData,MATCH($A12,PlotNumber,0),MATCH(B$3,PlotTitles,0)))),"",ISBLANK(INDEX(PlotData,MATCH($A12,PlotNumber,0),MATCH(D$3,PlotTitles,0))),$AB$7,TRUE,"")</f>
        <v/>
      </c>
      <c r="E12" s="104" t="str" cm="1">
        <f t="array" ref="E12">_xlfn.IFS(AND(A12&gt;NumberOfPlots,ISBLANK(INDEX(PlotData,MATCH($A12,PlotNumber,0),MATCH(B$3,PlotTitles,0)))),"",ISBLANK(INDEX(PlotData,MATCH($A12,PlotNumber,0),MATCH(E$3,PlotTitles,0))),$AB$8,TRUE,"")</f>
        <v/>
      </c>
      <c r="F12" s="104" t="str" cm="1">
        <f t="array" ref="F12">_xlfn.IFS(AND(A12&gt;NumberOfPlots,ISBLANK(INDEX(PlotData,MATCH($A12,PlotNumber,0),MATCH(B$3,PlotTitles,0)))),"",ISBLANK(INDEX(PlotData,MATCH($A12,PlotNumber,0),MATCH(F$3,PlotTitles,0))),$AB$9,TRUE,"")</f>
        <v/>
      </c>
      <c r="G12" s="104" t="str" cm="1">
        <f t="array" ref="G12">_xlfn.IFS(AND(A12&gt;NumberOfPlots,ISBLANK(INDEX(PlotData,MATCH($A12,PlotNumber,0),MATCH(B$3,PlotTitles,0)))),"",ISBLANK(INDEX(PlotData,MATCH($A12,PlotNumber,0),MATCH(G$3,PlotTitles,0))),$AB$10,TRUE,"")</f>
        <v/>
      </c>
      <c r="H12" s="104" t="str" cm="1">
        <f t="array" ref="H12">_xlfn.IFS(AND(A12&gt;NumberOfPlots,ISBLANK(INDEX(PlotData,MATCH($A12,PlotNumber,0),MATCH(B$3,PlotTitles,0)))),"",AND(ISBLANK(INDEX(PlotData,MATCH($A12,PlotNumber,0),MATCH(H$3,PlotTitles,0)))=FALSE,INDEX(PlotData,MATCH($A12,PlotNumber,0),MATCH(H$3,PlotTitles,0))&lt;500), $AB$11,TRUE,"")</f>
        <v/>
      </c>
      <c r="I12" s="104" t="str" cm="1">
        <f t="array" ref="I12">_xlfn.IFS(AND(A12&gt;NumberOfPlots,ISBLANK(INDEX(PlotData,MATCH($A12,PlotNumber,0),MATCH(B$3,PlotTitles,0)))),"",ISBLANK(INDEX(PlotData,MATCH($A12,PlotNumber,0),MATCH(I$3,PlotTitles,0))),$AB$12,TRUE,"")</f>
        <v/>
      </c>
      <c r="J12" s="104" t="str" cm="1">
        <f t="array" ref="J12">_xlfn.IFS(AND(A12&gt;NumberOfPlots,ISBLANK(INDEX(PlotData,MATCH($A12,PlotNumber,0),MATCH(B$3,PlotTitles,0)))),"",ISBLANK(INDEX(PlotData,MATCH($A12,PlotNumber,0),MATCH(J$3,PlotTitles,0))),$AB$13,TRUE,"")</f>
        <v/>
      </c>
      <c r="K12" s="182" t="str">
        <f t="shared" ca="1" si="0"/>
        <v/>
      </c>
      <c r="L12" s="104" t="str" cm="1">
        <f t="array" ref="L12">_xlfn.IFS(OR(ISBLANK(StartDateMonth),ISBLANK(StartDateYear)),"",AND(A12&gt;NumberOfPlots,ISBLANK(INDEX(PlotData,MATCH($A12,PlotNumber,0),MATCH(B$3,PlotTitles,0)))),"",ISBLANK(INDEX(PlotData,MATCH($A12,PlotNumber,0),MATCH(I$3,PlotTitles,0))),"",(DATEVALUE(INDEX(PlotData,MATCH($A12,PlotNumber,0),MATCH(I$3,PlotTitles,0))&amp;INDEX(PlotData,MATCH($A12,PlotNumber,0),MATCH(J$3,PlotTitles,0))))&lt;DATEVALUE(StartDateMonth&amp;StartDateYear),$AB$15,TRUE,"")</f>
        <v/>
      </c>
      <c r="M12" s="104" t="str" cm="1">
        <f t="array" ref="M12">_xlfn.IFS(OR(ISBLANK(StartDateMonth),ISBLANK(StartDateYear)),"",AND(A12&gt;NumberOfPlots,ISBLANK(INDEX(PlotData,MATCH($A12,PlotNumber,0),MATCH(B$3,PlotTitles,0)))),"",ISBLANK(INDEX(PlotData,MATCH($A12,PlotNumber,0),MATCH(I$3,PlotTitles,0))),"",CompletionMonth="","",(DATEVALUE(INDEX(PlotData,MATCH($A12,PlotNumber,0),MATCH(I$3,PlotTitles,0))&amp;INDEX(PlotData,MATCH($A12,PlotNumber,0),MATCH(J$3,PlotTitles,0))))&gt;(DATEVALUE(CompletionMonth&amp;CompletionYear)),$AB$16,TRUE,"")</f>
        <v/>
      </c>
      <c r="N12" s="104" t="str" cm="1">
        <f t="array" ref="N12">_xlfn.IFS(AND(A12&gt;NumberOfPlots,ISBLANK(INDEX(PlotData,MATCH($A12,PlotNumber,0),MATCH(B$3,PlotTitles,0)))),"",ISBLANK(INDEX(PlotData,MATCH($A12,PlotNumber,0),MATCH(N$3,PlotTitles,0))),$AB$17,TRUE,"")</f>
        <v/>
      </c>
      <c r="O12" s="104" t="str" cm="1">
        <f t="array" ref="O12">_xlfn.IFS(AND(A12&gt;NumberOfPlots,ISBLANK(INDEX(PlotData,MATCH($A12,PlotNumber,0),MATCH(B$3,PlotTitles,0)))),"",ISBLANK(INDEX(PlotData,MATCH($A12,PlotNumber,0),MATCH(O$3,PlotTitles,0))),$AB$18,TRUE,"")</f>
        <v/>
      </c>
      <c r="P12" s="182" t="str">
        <f t="shared" ca="1" si="1"/>
        <v/>
      </c>
      <c r="Q12" s="104" t="str" cm="1">
        <f t="array" ref="Q12">_xlfn.IFS(AND(A12&gt;NumberOfPlots,ISBLANK(INDEX(PlotData,MATCH($A12,PlotNumber,0),MATCH(B$3,PlotTitles,0)))),"",ISBLANK(INDEX(PlotData,MATCH($A12,PlotNumber,0),MATCH(N$3,PlotTitles,0))),"",(DATEVALUE(INDEX(PlotData,MATCH($A12,PlotNumber,0),MATCH(N$3,PlotTitles,0))&amp;INDEX(PlotData,MATCH($A12,PlotNumber,0),MATCH(O$3,PlotTitles,0))))&lt;(DATEVALUE(INDEX(PlotData,MATCH($A12,PlotNumber,0),MATCH(I$3,PlotTitles,0))&amp;INDEX(PlotData,MATCH($A12,PlotNumber,0),MATCH(J$3,PlotTitles,0)))),$AB$20,TRUE,"")</f>
        <v/>
      </c>
      <c r="R12" s="104" t="str" cm="1">
        <f t="array" ref="R12">_xlfn.IFS(OR(ISBLANK(StartDateMonth),ISBLANK(StartDateYear)),"",AND(A12&gt;NumberOfPlots,ISBLANK(INDEX(PlotData,MATCH($A12,PlotNumber,0),MATCH(B$3,PlotTitles,0)))),"",ISBLANK(INDEX(PlotData,MATCH($A12,PlotNumber,0),MATCH(N$3,PlotTitles,0))),"",CompletionMonth="","",(DATEVALUE(INDEX(PlotData,MATCH($A12,PlotNumber,0),MATCH(N$3,PlotTitles,0))&amp;INDEX(PlotData,MATCH($A12,PlotNumber,0),MATCH(O$3,PlotTitles,0))))&gt;(DATEVALUE(CompletionMonth&amp;CompletionYear)),$AB$21,TRUE,"")</f>
        <v/>
      </c>
      <c r="S12" s="104" t="str" cm="1">
        <f t="array" ref="S12">_xlfn.IFS(AND(A12&gt;NumberOfPlots,ISBLANK(INDEX(PlotData,MATCH($A12,PlotNumber,0),MATCH(B$3,PlotTitles,0)))),"",OR(AND(INDEX(PlotData,MATCH($A12,PlotNumber,0),MATCH("Tenure",PlotTitles,0))="Open market housing",INDEX(PlotData,MATCH($A12,PlotNumber,0),MATCH("Tenure detail",PlotTitles,0))="Private rented sector"),INDEX(PlotData,MATCH($A12,PlotNumber,0),MATCH("Tenure",PlotTitles,0))="Affordable rent"),"",ISNUMBER(INDEX(PlotData,MATCH($A12,PlotNumber,0),MATCH(S$3,PlotTitles,0)))=FALSE, $AB$22,TRUE,"")</f>
        <v/>
      </c>
      <c r="T12" s="104" t="str" cm="1">
        <f t="array" ref="T12">_xlfn.IFS(AND(A12&gt;NumberOfPlots,ISBLANK(INDEX(PlotData,MATCH($A12,PlotNumber,0),MATCH(B$3,PlotTitles,0)))),"",OR(AND(INDEX(PlotData,MATCH($A12,PlotNumber,0),MATCH("Tenure",PlotTitles,0))="Open market housing",INDEX(PlotData,MATCH($A12,PlotNumber,0),MATCH("Tenure detail",PlotTitles,0))="Private rented sector"),INDEX(PlotData,MATCH($A12,PlotNumber,0),MATCH("Tenure",PlotTitles,0))="Affordable rent"),"",INDEX(PlotData,MATCH($A12,PlotNumber,0),MATCH(S$3,PlotTitles,0))&lt;10000, $AB$23,TRUE,"")</f>
        <v/>
      </c>
      <c r="U12" s="104" t="str" cm="1">
        <f t="array" ref="U12">_xlfn.IFS(AND(A12&gt;NumberOfPlots,ISBLANK(INDEX(PlotData,MATCH($A12,PlotNumber,0),MATCH(B$3,PlotTitles,0)))),"",NOT(OR(AND(INDEX(PlotData,MATCH($A12,PlotNumber,0),MATCH("Tenure",PlotTitles,0))="Open market housing",INDEX(PlotData,MATCH($A12,PlotNumber,0),MATCH("Tenure detail",PlotTitles,0))="Private rented sector"),INDEX(PlotData,MATCH($A12,PlotNumber,0),MATCH("Tenure",PlotTitles,0))="Affordable rent")),"",NOT(INDEX(PlotData,MATCH($A12,PlotNumber,0),MATCH(S$3,PlotTitles,0))=0), $AB$24,TRUE,"")</f>
        <v/>
      </c>
      <c r="V12" s="114" t="str" cm="1">
        <f t="array" aca="1" ref="V12" ca="1">_xlfn.IFS(ISBLANK(NumberOfPlots),"Enter the number of homes on the 1_SetUp sheet",AND(A12&gt;NumberOfPlots,ISBLANK(INDEX(PlotData,MATCH($A12,PlotNumber,0),MATCH(B$3,PlotTitles,0)))),"No error",NOT(B12=""),B12,NOT(C12=""),C12,NOT(D12=""),D12,NOT(E12=""),E12,NOT(F12=""),F12,NOT(G12=""),G12,NOT(H12=""),H12,NOT(I12=""),I12,NOT(J12=""),J12,NOT(K12=""),K12,NOT(L12=""),L12,NOT(M12=""),M12,NOT(N12=""),N12,NOT(O12=""),O12,NOT(P12=""),P12,NOT(Q12=""),Q12,NOT(R12=""),R12,NOT(S12=""),S12,NOT(T12=""),T12,NOT(U12=""),U12,TRUE,"No error")</f>
        <v>Enter the number of homes on the 1_SetUp sheet</v>
      </c>
      <c r="W12" s="114" t="str">
        <f t="shared" ca="1" si="2"/>
        <v xml:space="preserve">The Borrower has not addressed the following error messages for Home ID 8: </v>
      </c>
      <c r="X12" s="114"/>
      <c r="Y12" s="114"/>
      <c r="Z12" s="124" t="s">
        <v>49</v>
      </c>
      <c r="AA12" s="124" t="s">
        <v>251</v>
      </c>
      <c r="AB12" s="124" t="s">
        <v>271</v>
      </c>
      <c r="AC12" s="114"/>
    </row>
    <row r="13" spans="1:29">
      <c r="A13" s="123">
        <v>9</v>
      </c>
      <c r="B13" s="104" t="str" cm="1">
        <f t="array" ref="B13">_xlfn.IFS(AND(A13&gt;NumberOfPlots,ISBLANK(INDEX(PlotData,MATCH($A13,PlotNumber,0),MATCH(B$3,PlotTitles,0)))),"",ISNUMBER(INDEX(PlotData,MATCH($A13,PlotNumber,0),MATCH(B$3,PlotTitles,0)))=FALSE, $AB$5,TRUE,"")</f>
        <v/>
      </c>
      <c r="C13" s="104" t="str" cm="1">
        <f t="array" ref="C13">_xlfn.IFS(AND(A13&gt;NumberOfPlots,ISBLANK(INDEX(PlotData,MATCH($A13,PlotNumber,0),MATCH(B$3,PlotTitles,0)))),"",ISBLANK(INDEX(PlotData,MATCH($A13,PlotNumber,0),MATCH(C$3,PlotTitles,0))),$AB$6,TRUE,"")</f>
        <v/>
      </c>
      <c r="D13" s="104" t="str" cm="1">
        <f t="array" ref="D13">_xlfn.IFS(AND(A13&gt;NumberOfPlots,ISBLANK(INDEX(PlotData,MATCH($A13,PlotNumber,0),MATCH(B$3,PlotTitles,0)))),"",ISBLANK(INDEX(PlotData,MATCH($A13,PlotNumber,0),MATCH(D$3,PlotTitles,0))),$AB$7,TRUE,"")</f>
        <v/>
      </c>
      <c r="E13" s="104" t="str" cm="1">
        <f t="array" ref="E13">_xlfn.IFS(AND(A13&gt;NumberOfPlots,ISBLANK(INDEX(PlotData,MATCH($A13,PlotNumber,0),MATCH(B$3,PlotTitles,0)))),"",ISBLANK(INDEX(PlotData,MATCH($A13,PlotNumber,0),MATCH(E$3,PlotTitles,0))),$AB$8,TRUE,"")</f>
        <v/>
      </c>
      <c r="F13" s="104" t="str" cm="1">
        <f t="array" ref="F13">_xlfn.IFS(AND(A13&gt;NumberOfPlots,ISBLANK(INDEX(PlotData,MATCH($A13,PlotNumber,0),MATCH(B$3,PlotTitles,0)))),"",ISBLANK(INDEX(PlotData,MATCH($A13,PlotNumber,0),MATCH(F$3,PlotTitles,0))),$AB$9,TRUE,"")</f>
        <v/>
      </c>
      <c r="G13" s="104" t="str" cm="1">
        <f t="array" ref="G13">_xlfn.IFS(AND(A13&gt;NumberOfPlots,ISBLANK(INDEX(PlotData,MATCH($A13,PlotNumber,0),MATCH(B$3,PlotTitles,0)))),"",ISBLANK(INDEX(PlotData,MATCH($A13,PlotNumber,0),MATCH(G$3,PlotTitles,0))),$AB$10,TRUE,"")</f>
        <v/>
      </c>
      <c r="H13" s="104" t="str" cm="1">
        <f t="array" ref="H13">_xlfn.IFS(AND(A13&gt;NumberOfPlots,ISBLANK(INDEX(PlotData,MATCH($A13,PlotNumber,0),MATCH(B$3,PlotTitles,0)))),"",AND(ISBLANK(INDEX(PlotData,MATCH($A13,PlotNumber,0),MATCH(H$3,PlotTitles,0)))=FALSE,INDEX(PlotData,MATCH($A13,PlotNumber,0),MATCH(H$3,PlotTitles,0))&lt;500), $AB$11,TRUE,"")</f>
        <v/>
      </c>
      <c r="I13" s="104" t="str" cm="1">
        <f t="array" ref="I13">_xlfn.IFS(AND(A13&gt;NumberOfPlots,ISBLANK(INDEX(PlotData,MATCH($A13,PlotNumber,0),MATCH(B$3,PlotTitles,0)))),"",ISBLANK(INDEX(PlotData,MATCH($A13,PlotNumber,0),MATCH(I$3,PlotTitles,0))),$AB$12,TRUE,"")</f>
        <v/>
      </c>
      <c r="J13" s="104" t="str" cm="1">
        <f t="array" ref="J13">_xlfn.IFS(AND(A13&gt;NumberOfPlots,ISBLANK(INDEX(PlotData,MATCH($A13,PlotNumber,0),MATCH(B$3,PlotTitles,0)))),"",ISBLANK(INDEX(PlotData,MATCH($A13,PlotNumber,0),MATCH(J$3,PlotTitles,0))),$AB$13,TRUE,"")</f>
        <v/>
      </c>
      <c r="K13" s="182" t="str">
        <f t="shared" ca="1" si="0"/>
        <v/>
      </c>
      <c r="L13" s="104" t="str" cm="1">
        <f t="array" ref="L13">_xlfn.IFS(OR(ISBLANK(StartDateMonth),ISBLANK(StartDateYear)),"",AND(A13&gt;NumberOfPlots,ISBLANK(INDEX(PlotData,MATCH($A13,PlotNumber,0),MATCH(B$3,PlotTitles,0)))),"",ISBLANK(INDEX(PlotData,MATCH($A13,PlotNumber,0),MATCH(I$3,PlotTitles,0))),"",(DATEVALUE(INDEX(PlotData,MATCH($A13,PlotNumber,0),MATCH(I$3,PlotTitles,0))&amp;INDEX(PlotData,MATCH($A13,PlotNumber,0),MATCH(J$3,PlotTitles,0))))&lt;DATEVALUE(StartDateMonth&amp;StartDateYear),$AB$15,TRUE,"")</f>
        <v/>
      </c>
      <c r="M13" s="104" t="str" cm="1">
        <f t="array" ref="M13">_xlfn.IFS(OR(ISBLANK(StartDateMonth),ISBLANK(StartDateYear)),"",AND(A13&gt;NumberOfPlots,ISBLANK(INDEX(PlotData,MATCH($A13,PlotNumber,0),MATCH(B$3,PlotTitles,0)))),"",ISBLANK(INDEX(PlotData,MATCH($A13,PlotNumber,0),MATCH(I$3,PlotTitles,0))),"",CompletionMonth="","",(DATEVALUE(INDEX(PlotData,MATCH($A13,PlotNumber,0),MATCH(I$3,PlotTitles,0))&amp;INDEX(PlotData,MATCH($A13,PlotNumber,0),MATCH(J$3,PlotTitles,0))))&gt;(DATEVALUE(CompletionMonth&amp;CompletionYear)),$AB$16,TRUE,"")</f>
        <v/>
      </c>
      <c r="N13" s="104" t="str" cm="1">
        <f t="array" ref="N13">_xlfn.IFS(AND(A13&gt;NumberOfPlots,ISBLANK(INDEX(PlotData,MATCH($A13,PlotNumber,0),MATCH(B$3,PlotTitles,0)))),"",ISBLANK(INDEX(PlotData,MATCH($A13,PlotNumber,0),MATCH(N$3,PlotTitles,0))),$AB$17,TRUE,"")</f>
        <v/>
      </c>
      <c r="O13" s="104" t="str" cm="1">
        <f t="array" ref="O13">_xlfn.IFS(AND(A13&gt;NumberOfPlots,ISBLANK(INDEX(PlotData,MATCH($A13,PlotNumber,0),MATCH(B$3,PlotTitles,0)))),"",ISBLANK(INDEX(PlotData,MATCH($A13,PlotNumber,0),MATCH(O$3,PlotTitles,0))),$AB$18,TRUE,"")</f>
        <v/>
      </c>
      <c r="P13" s="182" t="str">
        <f t="shared" ca="1" si="1"/>
        <v/>
      </c>
      <c r="Q13" s="104" t="str" cm="1">
        <f t="array" ref="Q13">_xlfn.IFS(AND(A13&gt;NumberOfPlots,ISBLANK(INDEX(PlotData,MATCH($A13,PlotNumber,0),MATCH(B$3,PlotTitles,0)))),"",ISBLANK(INDEX(PlotData,MATCH($A13,PlotNumber,0),MATCH(N$3,PlotTitles,0))),"",(DATEVALUE(INDEX(PlotData,MATCH($A13,PlotNumber,0),MATCH(N$3,PlotTitles,0))&amp;INDEX(PlotData,MATCH($A13,PlotNumber,0),MATCH(O$3,PlotTitles,0))))&lt;(DATEVALUE(INDEX(PlotData,MATCH($A13,PlotNumber,0),MATCH(I$3,PlotTitles,0))&amp;INDEX(PlotData,MATCH($A13,PlotNumber,0),MATCH(J$3,PlotTitles,0)))),$AB$20,TRUE,"")</f>
        <v/>
      </c>
      <c r="R13" s="104" t="str" cm="1">
        <f t="array" ref="R13">_xlfn.IFS(OR(ISBLANK(StartDateMonth),ISBLANK(StartDateYear)),"",AND(A13&gt;NumberOfPlots,ISBLANK(INDEX(PlotData,MATCH($A13,PlotNumber,0),MATCH(B$3,PlotTitles,0)))),"",ISBLANK(INDEX(PlotData,MATCH($A13,PlotNumber,0),MATCH(N$3,PlotTitles,0))),"",CompletionMonth="","",(DATEVALUE(INDEX(PlotData,MATCH($A13,PlotNumber,0),MATCH(N$3,PlotTitles,0))&amp;INDEX(PlotData,MATCH($A13,PlotNumber,0),MATCH(O$3,PlotTitles,0))))&gt;(DATEVALUE(CompletionMonth&amp;CompletionYear)),$AB$21,TRUE,"")</f>
        <v/>
      </c>
      <c r="S13" s="104" t="str" cm="1">
        <f t="array" ref="S13">_xlfn.IFS(AND(A13&gt;NumberOfPlots,ISBLANK(INDEX(PlotData,MATCH($A13,PlotNumber,0),MATCH(B$3,PlotTitles,0)))),"",OR(AND(INDEX(PlotData,MATCH($A13,PlotNumber,0),MATCH("Tenure",PlotTitles,0))="Open market housing",INDEX(PlotData,MATCH($A13,PlotNumber,0),MATCH("Tenure detail",PlotTitles,0))="Private rented sector"),INDEX(PlotData,MATCH($A13,PlotNumber,0),MATCH("Tenure",PlotTitles,0))="Affordable rent"),"",ISNUMBER(INDEX(PlotData,MATCH($A13,PlotNumber,0),MATCH(S$3,PlotTitles,0)))=FALSE, $AB$22,TRUE,"")</f>
        <v/>
      </c>
      <c r="T13" s="104" t="str" cm="1">
        <f t="array" ref="T13">_xlfn.IFS(AND(A13&gt;NumberOfPlots,ISBLANK(INDEX(PlotData,MATCH($A13,PlotNumber,0),MATCH(B$3,PlotTitles,0)))),"",OR(AND(INDEX(PlotData,MATCH($A13,PlotNumber,0),MATCH("Tenure",PlotTitles,0))="Open market housing",INDEX(PlotData,MATCH($A13,PlotNumber,0),MATCH("Tenure detail",PlotTitles,0))="Private rented sector"),INDEX(PlotData,MATCH($A13,PlotNumber,0),MATCH("Tenure",PlotTitles,0))="Affordable rent"),"",INDEX(PlotData,MATCH($A13,PlotNumber,0),MATCH(S$3,PlotTitles,0))&lt;10000, $AB$23,TRUE,"")</f>
        <v/>
      </c>
      <c r="U13" s="104" t="str" cm="1">
        <f t="array" ref="U13">_xlfn.IFS(AND(A13&gt;NumberOfPlots,ISBLANK(INDEX(PlotData,MATCH($A13,PlotNumber,0),MATCH(B$3,PlotTitles,0)))),"",NOT(OR(AND(INDEX(PlotData,MATCH($A13,PlotNumber,0),MATCH("Tenure",PlotTitles,0))="Open market housing",INDEX(PlotData,MATCH($A13,PlotNumber,0),MATCH("Tenure detail",PlotTitles,0))="Private rented sector"),INDEX(PlotData,MATCH($A13,PlotNumber,0),MATCH("Tenure",PlotTitles,0))="Affordable rent")),"",NOT(INDEX(PlotData,MATCH($A13,PlotNumber,0),MATCH(S$3,PlotTitles,0))=0), $AB$24,TRUE,"")</f>
        <v/>
      </c>
      <c r="V13" s="114" t="str" cm="1">
        <f t="array" aca="1" ref="V13" ca="1">_xlfn.IFS(ISBLANK(NumberOfPlots),"Enter the number of homes on the 1_SetUp sheet",AND(A13&gt;NumberOfPlots,ISBLANK(INDEX(PlotData,MATCH($A13,PlotNumber,0),MATCH(B$3,PlotTitles,0)))),"No error",NOT(B13=""),B13,NOT(C13=""),C13,NOT(D13=""),D13,NOT(E13=""),E13,NOT(F13=""),F13,NOT(G13=""),G13,NOT(H13=""),H13,NOT(I13=""),I13,NOT(J13=""),J13,NOT(K13=""),K13,NOT(L13=""),L13,NOT(M13=""),M13,NOT(N13=""),N13,NOT(O13=""),O13,NOT(P13=""),P13,NOT(Q13=""),Q13,NOT(R13=""),R13,NOT(S13=""),S13,NOT(T13=""),T13,NOT(U13=""),U13,TRUE,"No error")</f>
        <v>Enter the number of homes on the 1_SetUp sheet</v>
      </c>
      <c r="W13" s="114" t="str">
        <f t="shared" ca="1" si="2"/>
        <v xml:space="preserve">The Borrower has not addressed the following error messages for Home ID 9: </v>
      </c>
      <c r="X13" s="114"/>
      <c r="Y13" s="114"/>
      <c r="Z13" s="124" t="s">
        <v>50</v>
      </c>
      <c r="AA13" s="124" t="s">
        <v>251</v>
      </c>
      <c r="AB13" s="124" t="s">
        <v>272</v>
      </c>
      <c r="AC13" s="114"/>
    </row>
    <row r="14" spans="1:29">
      <c r="A14" s="123">
        <v>10</v>
      </c>
      <c r="B14" s="104" t="str" cm="1">
        <f t="array" ref="B14">_xlfn.IFS(AND(A14&gt;NumberOfPlots,ISBLANK(INDEX(PlotData,MATCH($A14,PlotNumber,0),MATCH(B$3,PlotTitles,0)))),"",ISNUMBER(INDEX(PlotData,MATCH($A14,PlotNumber,0),MATCH(B$3,PlotTitles,0)))=FALSE, $AB$5,TRUE,"")</f>
        <v/>
      </c>
      <c r="C14" s="104" t="str" cm="1">
        <f t="array" ref="C14">_xlfn.IFS(AND(A14&gt;NumberOfPlots,ISBLANK(INDEX(PlotData,MATCH($A14,PlotNumber,0),MATCH(B$3,PlotTitles,0)))),"",ISBLANK(INDEX(PlotData,MATCH($A14,PlotNumber,0),MATCH(C$3,PlotTitles,0))),$AB$6,TRUE,"")</f>
        <v/>
      </c>
      <c r="D14" s="104" t="str" cm="1">
        <f t="array" ref="D14">_xlfn.IFS(AND(A14&gt;NumberOfPlots,ISBLANK(INDEX(PlotData,MATCH($A14,PlotNumber,0),MATCH(B$3,PlotTitles,0)))),"",ISBLANK(INDEX(PlotData,MATCH($A14,PlotNumber,0),MATCH(D$3,PlotTitles,0))),$AB$7,TRUE,"")</f>
        <v/>
      </c>
      <c r="E14" s="104" t="str" cm="1">
        <f t="array" ref="E14">_xlfn.IFS(AND(A14&gt;NumberOfPlots,ISBLANK(INDEX(PlotData,MATCH($A14,PlotNumber,0),MATCH(B$3,PlotTitles,0)))),"",ISBLANK(INDEX(PlotData,MATCH($A14,PlotNumber,0),MATCH(E$3,PlotTitles,0))),$AB$8,TRUE,"")</f>
        <v/>
      </c>
      <c r="F14" s="104" t="str" cm="1">
        <f t="array" ref="F14">_xlfn.IFS(AND(A14&gt;NumberOfPlots,ISBLANK(INDEX(PlotData,MATCH($A14,PlotNumber,0),MATCH(B$3,PlotTitles,0)))),"",ISBLANK(INDEX(PlotData,MATCH($A14,PlotNumber,0),MATCH(F$3,PlotTitles,0))),$AB$9,TRUE,"")</f>
        <v/>
      </c>
      <c r="G14" s="104" t="str" cm="1">
        <f t="array" ref="G14">_xlfn.IFS(AND(A14&gt;NumberOfPlots,ISBLANK(INDEX(PlotData,MATCH($A14,PlotNumber,0),MATCH(B$3,PlotTitles,0)))),"",ISBLANK(INDEX(PlotData,MATCH($A14,PlotNumber,0),MATCH(G$3,PlotTitles,0))),$AB$10,TRUE,"")</f>
        <v/>
      </c>
      <c r="H14" s="104" t="str" cm="1">
        <f t="array" ref="H14">_xlfn.IFS(AND(A14&gt;NumberOfPlots,ISBLANK(INDEX(PlotData,MATCH($A14,PlotNumber,0),MATCH(B$3,PlotTitles,0)))),"",AND(ISBLANK(INDEX(PlotData,MATCH($A14,PlotNumber,0),MATCH(H$3,PlotTitles,0)))=FALSE,INDEX(PlotData,MATCH($A14,PlotNumber,0),MATCH(H$3,PlotTitles,0))&lt;500), $AB$11,TRUE,"")</f>
        <v/>
      </c>
      <c r="I14" s="104" t="str" cm="1">
        <f t="array" ref="I14">_xlfn.IFS(AND(A14&gt;NumberOfPlots,ISBLANK(INDEX(PlotData,MATCH($A14,PlotNumber,0),MATCH(B$3,PlotTitles,0)))),"",ISBLANK(INDEX(PlotData,MATCH($A14,PlotNumber,0),MATCH(I$3,PlotTitles,0))),$AB$12,TRUE,"")</f>
        <v/>
      </c>
      <c r="J14" s="104" t="str" cm="1">
        <f t="array" ref="J14">_xlfn.IFS(AND(A14&gt;NumberOfPlots,ISBLANK(INDEX(PlotData,MATCH($A14,PlotNumber,0),MATCH(B$3,PlotTitles,0)))),"",ISBLANK(INDEX(PlotData,MATCH($A14,PlotNumber,0),MATCH(J$3,PlotTitles,0))),$AB$13,TRUE,"")</f>
        <v/>
      </c>
      <c r="K14" s="182" t="str">
        <f t="shared" ca="1" si="0"/>
        <v/>
      </c>
      <c r="L14" s="104" t="str" cm="1">
        <f t="array" ref="L14">_xlfn.IFS(OR(ISBLANK(StartDateMonth),ISBLANK(StartDateYear)),"",AND(A14&gt;NumberOfPlots,ISBLANK(INDEX(PlotData,MATCH($A14,PlotNumber,0),MATCH(B$3,PlotTitles,0)))),"",ISBLANK(INDEX(PlotData,MATCH($A14,PlotNumber,0),MATCH(I$3,PlotTitles,0))),"",(DATEVALUE(INDEX(PlotData,MATCH($A14,PlotNumber,0),MATCH(I$3,PlotTitles,0))&amp;INDEX(PlotData,MATCH($A14,PlotNumber,0),MATCH(J$3,PlotTitles,0))))&lt;DATEVALUE(StartDateMonth&amp;StartDateYear),$AB$15,TRUE,"")</f>
        <v/>
      </c>
      <c r="M14" s="104" t="str" cm="1">
        <f t="array" ref="M14">_xlfn.IFS(OR(ISBLANK(StartDateMonth),ISBLANK(StartDateYear)),"",AND(A14&gt;NumberOfPlots,ISBLANK(INDEX(PlotData,MATCH($A14,PlotNumber,0),MATCH(B$3,PlotTitles,0)))),"",ISBLANK(INDEX(PlotData,MATCH($A14,PlotNumber,0),MATCH(I$3,PlotTitles,0))),"",CompletionMonth="","",(DATEVALUE(INDEX(PlotData,MATCH($A14,PlotNumber,0),MATCH(I$3,PlotTitles,0))&amp;INDEX(PlotData,MATCH($A14,PlotNumber,0),MATCH(J$3,PlotTitles,0))))&gt;(DATEVALUE(CompletionMonth&amp;CompletionYear)),$AB$16,TRUE,"")</f>
        <v/>
      </c>
      <c r="N14" s="104" t="str" cm="1">
        <f t="array" ref="N14">_xlfn.IFS(AND(A14&gt;NumberOfPlots,ISBLANK(INDEX(PlotData,MATCH($A14,PlotNumber,0),MATCH(B$3,PlotTitles,0)))),"",ISBLANK(INDEX(PlotData,MATCH($A14,PlotNumber,0),MATCH(N$3,PlotTitles,0))),$AB$17,TRUE,"")</f>
        <v/>
      </c>
      <c r="O14" s="104" t="str" cm="1">
        <f t="array" ref="O14">_xlfn.IFS(AND(A14&gt;NumberOfPlots,ISBLANK(INDEX(PlotData,MATCH($A14,PlotNumber,0),MATCH(B$3,PlotTitles,0)))),"",ISBLANK(INDEX(PlotData,MATCH($A14,PlotNumber,0),MATCH(O$3,PlotTitles,0))),$AB$18,TRUE,"")</f>
        <v/>
      </c>
      <c r="P14" s="182" t="str">
        <f t="shared" ca="1" si="1"/>
        <v/>
      </c>
      <c r="Q14" s="104" t="str" cm="1">
        <f t="array" ref="Q14">_xlfn.IFS(AND(A14&gt;NumberOfPlots,ISBLANK(INDEX(PlotData,MATCH($A14,PlotNumber,0),MATCH(B$3,PlotTitles,0)))),"",ISBLANK(INDEX(PlotData,MATCH($A14,PlotNumber,0),MATCH(N$3,PlotTitles,0))),"",(DATEVALUE(INDEX(PlotData,MATCH($A14,PlotNumber,0),MATCH(N$3,PlotTitles,0))&amp;INDEX(PlotData,MATCH($A14,PlotNumber,0),MATCH(O$3,PlotTitles,0))))&lt;(DATEVALUE(INDEX(PlotData,MATCH($A14,PlotNumber,0),MATCH(I$3,PlotTitles,0))&amp;INDEX(PlotData,MATCH($A14,PlotNumber,0),MATCH(J$3,PlotTitles,0)))),$AB$20,TRUE,"")</f>
        <v/>
      </c>
      <c r="R14" s="104" t="str" cm="1">
        <f t="array" ref="R14">_xlfn.IFS(OR(ISBLANK(StartDateMonth),ISBLANK(StartDateYear)),"",AND(A14&gt;NumberOfPlots,ISBLANK(INDEX(PlotData,MATCH($A14,PlotNumber,0),MATCH(B$3,PlotTitles,0)))),"",ISBLANK(INDEX(PlotData,MATCH($A14,PlotNumber,0),MATCH(N$3,PlotTitles,0))),"",CompletionMonth="","",(DATEVALUE(INDEX(PlotData,MATCH($A14,PlotNumber,0),MATCH(N$3,PlotTitles,0))&amp;INDEX(PlotData,MATCH($A14,PlotNumber,0),MATCH(O$3,PlotTitles,0))))&gt;(DATEVALUE(CompletionMonth&amp;CompletionYear)),$AB$21,TRUE,"")</f>
        <v/>
      </c>
      <c r="S14" s="104" t="str" cm="1">
        <f t="array" ref="S14">_xlfn.IFS(AND(A14&gt;NumberOfPlots,ISBLANK(INDEX(PlotData,MATCH($A14,PlotNumber,0),MATCH(B$3,PlotTitles,0)))),"",OR(AND(INDEX(PlotData,MATCH($A14,PlotNumber,0),MATCH("Tenure",PlotTitles,0))="Open market housing",INDEX(PlotData,MATCH($A14,PlotNumber,0),MATCH("Tenure detail",PlotTitles,0))="Private rented sector"),INDEX(PlotData,MATCH($A14,PlotNumber,0),MATCH("Tenure",PlotTitles,0))="Affordable rent"),"",ISNUMBER(INDEX(PlotData,MATCH($A14,PlotNumber,0),MATCH(S$3,PlotTitles,0)))=FALSE, $AB$22,TRUE,"")</f>
        <v/>
      </c>
      <c r="T14" s="104" t="str" cm="1">
        <f t="array" ref="T14">_xlfn.IFS(AND(A14&gt;NumberOfPlots,ISBLANK(INDEX(PlotData,MATCH($A14,PlotNumber,0),MATCH(B$3,PlotTitles,0)))),"",OR(AND(INDEX(PlotData,MATCH($A14,PlotNumber,0),MATCH("Tenure",PlotTitles,0))="Open market housing",INDEX(PlotData,MATCH($A14,PlotNumber,0),MATCH("Tenure detail",PlotTitles,0))="Private rented sector"),INDEX(PlotData,MATCH($A14,PlotNumber,0),MATCH("Tenure",PlotTitles,0))="Affordable rent"),"",INDEX(PlotData,MATCH($A14,PlotNumber,0),MATCH(S$3,PlotTitles,0))&lt;10000, $AB$23,TRUE,"")</f>
        <v/>
      </c>
      <c r="U14" s="104" t="str" cm="1">
        <f t="array" ref="U14">_xlfn.IFS(AND(A14&gt;NumberOfPlots,ISBLANK(INDEX(PlotData,MATCH($A14,PlotNumber,0),MATCH(B$3,PlotTitles,0)))),"",NOT(OR(AND(INDEX(PlotData,MATCH($A14,PlotNumber,0),MATCH("Tenure",PlotTitles,0))="Open market housing",INDEX(PlotData,MATCH($A14,PlotNumber,0),MATCH("Tenure detail",PlotTitles,0))="Private rented sector"),INDEX(PlotData,MATCH($A14,PlotNumber,0),MATCH("Tenure",PlotTitles,0))="Affordable rent")),"",NOT(INDEX(PlotData,MATCH($A14,PlotNumber,0),MATCH(S$3,PlotTitles,0))=0), $AB$24,TRUE,"")</f>
        <v/>
      </c>
      <c r="V14" s="114" t="str" cm="1">
        <f t="array" aca="1" ref="V14" ca="1">_xlfn.IFS(ISBLANK(NumberOfPlots),"Enter the number of homes on the 1_SetUp sheet",AND(A14&gt;NumberOfPlots,ISBLANK(INDEX(PlotData,MATCH($A14,PlotNumber,0),MATCH(B$3,PlotTitles,0)))),"No error",NOT(B14=""),B14,NOT(C14=""),C14,NOT(D14=""),D14,NOT(E14=""),E14,NOT(F14=""),F14,NOT(G14=""),G14,NOT(H14=""),H14,NOT(I14=""),I14,NOT(J14=""),J14,NOT(K14=""),K14,NOT(L14=""),L14,NOT(M14=""),M14,NOT(N14=""),N14,NOT(O14=""),O14,NOT(P14=""),P14,NOT(Q14=""),Q14,NOT(R14=""),R14,NOT(S14=""),S14,NOT(T14=""),T14,NOT(U14=""),U14,TRUE,"No error")</f>
        <v>Enter the number of homes on the 1_SetUp sheet</v>
      </c>
      <c r="W14" s="114" t="str">
        <f t="shared" ca="1" si="2"/>
        <v xml:space="preserve">The Borrower has not addressed the following error messages for Home ID 10: </v>
      </c>
      <c r="X14" s="114"/>
      <c r="Y14" s="114"/>
      <c r="Z14" s="124" t="s">
        <v>273</v>
      </c>
      <c r="AA14" s="125" t="s">
        <v>253</v>
      </c>
      <c r="AB14" s="124" t="s">
        <v>274</v>
      </c>
      <c r="AC14" s="114" t="s">
        <v>275</v>
      </c>
    </row>
    <row r="15" spans="1:29">
      <c r="A15" s="123">
        <v>11</v>
      </c>
      <c r="B15" s="104" t="str" cm="1">
        <f t="array" ref="B15">_xlfn.IFS(AND(A15&gt;NumberOfPlots,ISBLANK(INDEX(PlotData,MATCH($A15,PlotNumber,0),MATCH(B$3,PlotTitles,0)))),"",ISNUMBER(INDEX(PlotData,MATCH($A15,PlotNumber,0),MATCH(B$3,PlotTitles,0)))=FALSE, $AB$5,TRUE,"")</f>
        <v/>
      </c>
      <c r="C15" s="104" t="str" cm="1">
        <f t="array" ref="C15">_xlfn.IFS(AND(A15&gt;NumberOfPlots,ISBLANK(INDEX(PlotData,MATCH($A15,PlotNumber,0),MATCH(B$3,PlotTitles,0)))),"",ISBLANK(INDEX(PlotData,MATCH($A15,PlotNumber,0),MATCH(C$3,PlotTitles,0))),$AB$6,TRUE,"")</f>
        <v/>
      </c>
      <c r="D15" s="104" t="str" cm="1">
        <f t="array" ref="D15">_xlfn.IFS(AND(A15&gt;NumberOfPlots,ISBLANK(INDEX(PlotData,MATCH($A15,PlotNumber,0),MATCH(B$3,PlotTitles,0)))),"",ISBLANK(INDEX(PlotData,MATCH($A15,PlotNumber,0),MATCH(D$3,PlotTitles,0))),$AB$7,TRUE,"")</f>
        <v/>
      </c>
      <c r="E15" s="104" t="str" cm="1">
        <f t="array" ref="E15">_xlfn.IFS(AND(A15&gt;NumberOfPlots,ISBLANK(INDEX(PlotData,MATCH($A15,PlotNumber,0),MATCH(B$3,PlotTitles,0)))),"",ISBLANK(INDEX(PlotData,MATCH($A15,PlotNumber,0),MATCH(E$3,PlotTitles,0))),$AB$8,TRUE,"")</f>
        <v/>
      </c>
      <c r="F15" s="104" t="str" cm="1">
        <f t="array" ref="F15">_xlfn.IFS(AND(A15&gt;NumberOfPlots,ISBLANK(INDEX(PlotData,MATCH($A15,PlotNumber,0),MATCH(B$3,PlotTitles,0)))),"",ISBLANK(INDEX(PlotData,MATCH($A15,PlotNumber,0),MATCH(F$3,PlotTitles,0))),$AB$9,TRUE,"")</f>
        <v/>
      </c>
      <c r="G15" s="104" t="str" cm="1">
        <f t="array" ref="G15">_xlfn.IFS(AND(A15&gt;NumberOfPlots,ISBLANK(INDEX(PlotData,MATCH($A15,PlotNumber,0),MATCH(B$3,PlotTitles,0)))),"",ISBLANK(INDEX(PlotData,MATCH($A15,PlotNumber,0),MATCH(G$3,PlotTitles,0))),$AB$10,TRUE,"")</f>
        <v/>
      </c>
      <c r="H15" s="104" t="str" cm="1">
        <f t="array" ref="H15">_xlfn.IFS(AND(A15&gt;NumberOfPlots,ISBLANK(INDEX(PlotData,MATCH($A15,PlotNumber,0),MATCH(B$3,PlotTitles,0)))),"",AND(ISBLANK(INDEX(PlotData,MATCH($A15,PlotNumber,0),MATCH(H$3,PlotTitles,0)))=FALSE,INDEX(PlotData,MATCH($A15,PlotNumber,0),MATCH(H$3,PlotTitles,0))&lt;500), $AB$11,TRUE,"")</f>
        <v/>
      </c>
      <c r="I15" s="104" t="str" cm="1">
        <f t="array" ref="I15">_xlfn.IFS(AND(A15&gt;NumberOfPlots,ISBLANK(INDEX(PlotData,MATCH($A15,PlotNumber,0),MATCH(B$3,PlotTitles,0)))),"",ISBLANK(INDEX(PlotData,MATCH($A15,PlotNumber,0),MATCH(I$3,PlotTitles,0))),$AB$12,TRUE,"")</f>
        <v/>
      </c>
      <c r="J15" s="104" t="str" cm="1">
        <f t="array" ref="J15">_xlfn.IFS(AND(A15&gt;NumberOfPlots,ISBLANK(INDEX(PlotData,MATCH($A15,PlotNumber,0),MATCH(B$3,PlotTitles,0)))),"",ISBLANK(INDEX(PlotData,MATCH($A15,PlotNumber,0),MATCH(J$3,PlotTitles,0))),$AB$13,TRUE,"")</f>
        <v/>
      </c>
      <c r="K15" s="182" t="str">
        <f t="shared" ca="1" si="0"/>
        <v/>
      </c>
      <c r="L15" s="104" t="str" cm="1">
        <f t="array" ref="L15">_xlfn.IFS(OR(ISBLANK(StartDateMonth),ISBLANK(StartDateYear)),"",AND(A15&gt;NumberOfPlots,ISBLANK(INDEX(PlotData,MATCH($A15,PlotNumber,0),MATCH(B$3,PlotTitles,0)))),"",ISBLANK(INDEX(PlotData,MATCH($A15,PlotNumber,0),MATCH(I$3,PlotTitles,0))),"",(DATEVALUE(INDEX(PlotData,MATCH($A15,PlotNumber,0),MATCH(I$3,PlotTitles,0))&amp;INDEX(PlotData,MATCH($A15,PlotNumber,0),MATCH(J$3,PlotTitles,0))))&lt;DATEVALUE(StartDateMonth&amp;StartDateYear),$AB$15,TRUE,"")</f>
        <v/>
      </c>
      <c r="M15" s="104" t="str" cm="1">
        <f t="array" ref="M15">_xlfn.IFS(OR(ISBLANK(StartDateMonth),ISBLANK(StartDateYear)),"",AND(A15&gt;NumberOfPlots,ISBLANK(INDEX(PlotData,MATCH($A15,PlotNumber,0),MATCH(B$3,PlotTitles,0)))),"",ISBLANK(INDEX(PlotData,MATCH($A15,PlotNumber,0),MATCH(I$3,PlotTitles,0))),"",CompletionMonth="","",(DATEVALUE(INDEX(PlotData,MATCH($A15,PlotNumber,0),MATCH(I$3,PlotTitles,0))&amp;INDEX(PlotData,MATCH($A15,PlotNumber,0),MATCH(J$3,PlotTitles,0))))&gt;(DATEVALUE(CompletionMonth&amp;CompletionYear)),$AB$16,TRUE,"")</f>
        <v/>
      </c>
      <c r="N15" s="104" t="str" cm="1">
        <f t="array" ref="N15">_xlfn.IFS(AND(A15&gt;NumberOfPlots,ISBLANK(INDEX(PlotData,MATCH($A15,PlotNumber,0),MATCH(B$3,PlotTitles,0)))),"",ISBLANK(INDEX(PlotData,MATCH($A15,PlotNumber,0),MATCH(N$3,PlotTitles,0))),$AB$17,TRUE,"")</f>
        <v/>
      </c>
      <c r="O15" s="104" t="str" cm="1">
        <f t="array" ref="O15">_xlfn.IFS(AND(A15&gt;NumberOfPlots,ISBLANK(INDEX(PlotData,MATCH($A15,PlotNumber,0),MATCH(B$3,PlotTitles,0)))),"",ISBLANK(INDEX(PlotData,MATCH($A15,PlotNumber,0),MATCH(O$3,PlotTitles,0))),$AB$18,TRUE,"")</f>
        <v/>
      </c>
      <c r="P15" s="182" t="str">
        <f t="shared" ca="1" si="1"/>
        <v/>
      </c>
      <c r="Q15" s="104" t="str" cm="1">
        <f t="array" ref="Q15">_xlfn.IFS(AND(A15&gt;NumberOfPlots,ISBLANK(INDEX(PlotData,MATCH($A15,PlotNumber,0),MATCH(B$3,PlotTitles,0)))),"",ISBLANK(INDEX(PlotData,MATCH($A15,PlotNumber,0),MATCH(N$3,PlotTitles,0))),"",(DATEVALUE(INDEX(PlotData,MATCH($A15,PlotNumber,0),MATCH(N$3,PlotTitles,0))&amp;INDEX(PlotData,MATCH($A15,PlotNumber,0),MATCH(O$3,PlotTitles,0))))&lt;(DATEVALUE(INDEX(PlotData,MATCH($A15,PlotNumber,0),MATCH(I$3,PlotTitles,0))&amp;INDEX(PlotData,MATCH($A15,PlotNumber,0),MATCH(J$3,PlotTitles,0)))),$AB$20,TRUE,"")</f>
        <v/>
      </c>
      <c r="R15" s="104" t="str" cm="1">
        <f t="array" ref="R15">_xlfn.IFS(OR(ISBLANK(StartDateMonth),ISBLANK(StartDateYear)),"",AND(A15&gt;NumberOfPlots,ISBLANK(INDEX(PlotData,MATCH($A15,PlotNumber,0),MATCH(B$3,PlotTitles,0)))),"",ISBLANK(INDEX(PlotData,MATCH($A15,PlotNumber,0),MATCH(N$3,PlotTitles,0))),"",CompletionMonth="","",(DATEVALUE(INDEX(PlotData,MATCH($A15,PlotNumber,0),MATCH(N$3,PlotTitles,0))&amp;INDEX(PlotData,MATCH($A15,PlotNumber,0),MATCH(O$3,PlotTitles,0))))&gt;(DATEVALUE(CompletionMonth&amp;CompletionYear)),$AB$21,TRUE,"")</f>
        <v/>
      </c>
      <c r="S15" s="104" t="str" cm="1">
        <f t="array" ref="S15">_xlfn.IFS(AND(A15&gt;NumberOfPlots,ISBLANK(INDEX(PlotData,MATCH($A15,PlotNumber,0),MATCH(B$3,PlotTitles,0)))),"",OR(AND(INDEX(PlotData,MATCH($A15,PlotNumber,0),MATCH("Tenure",PlotTitles,0))="Open market housing",INDEX(PlotData,MATCH($A15,PlotNumber,0),MATCH("Tenure detail",PlotTitles,0))="Private rented sector"),INDEX(PlotData,MATCH($A15,PlotNumber,0),MATCH("Tenure",PlotTitles,0))="Affordable rent"),"",ISNUMBER(INDEX(PlotData,MATCH($A15,PlotNumber,0),MATCH(S$3,PlotTitles,0)))=FALSE, $AB$22,TRUE,"")</f>
        <v/>
      </c>
      <c r="T15" s="104" t="str" cm="1">
        <f t="array" ref="T15">_xlfn.IFS(AND(A15&gt;NumberOfPlots,ISBLANK(INDEX(PlotData,MATCH($A15,PlotNumber,0),MATCH(B$3,PlotTitles,0)))),"",OR(AND(INDEX(PlotData,MATCH($A15,PlotNumber,0),MATCH("Tenure",PlotTitles,0))="Open market housing",INDEX(PlotData,MATCH($A15,PlotNumber,0),MATCH("Tenure detail",PlotTitles,0))="Private rented sector"),INDEX(PlotData,MATCH($A15,PlotNumber,0),MATCH("Tenure",PlotTitles,0))="Affordable rent"),"",INDEX(PlotData,MATCH($A15,PlotNumber,0),MATCH(S$3,PlotTitles,0))&lt;10000, $AB$23,TRUE,"")</f>
        <v/>
      </c>
      <c r="U15" s="104" t="str" cm="1">
        <f t="array" ref="U15">_xlfn.IFS(AND(A15&gt;NumberOfPlots,ISBLANK(INDEX(PlotData,MATCH($A15,PlotNumber,0),MATCH(B$3,PlotTitles,0)))),"",NOT(OR(AND(INDEX(PlotData,MATCH($A15,PlotNumber,0),MATCH("Tenure",PlotTitles,0))="Open market housing",INDEX(PlotData,MATCH($A15,PlotNumber,0),MATCH("Tenure detail",PlotTitles,0))="Private rented sector"),INDEX(PlotData,MATCH($A15,PlotNumber,0),MATCH("Tenure",PlotTitles,0))="Affordable rent")),"",NOT(INDEX(PlotData,MATCH($A15,PlotNumber,0),MATCH(S$3,PlotTitles,0))=0), $AB$24,TRUE,"")</f>
        <v/>
      </c>
      <c r="V15" s="114" t="str" cm="1">
        <f t="array" aca="1" ref="V15" ca="1">_xlfn.IFS(ISBLANK(NumberOfPlots),"Enter the number of homes on the 1_SetUp sheet",AND(A15&gt;NumberOfPlots,ISBLANK(INDEX(PlotData,MATCH($A15,PlotNumber,0),MATCH(B$3,PlotTitles,0)))),"No error",NOT(B15=""),B15,NOT(C15=""),C15,NOT(D15=""),D15,NOT(E15=""),E15,NOT(F15=""),F15,NOT(G15=""),G15,NOT(H15=""),H15,NOT(I15=""),I15,NOT(J15=""),J15,NOT(K15=""),K15,NOT(L15=""),L15,NOT(M15=""),M15,NOT(N15=""),N15,NOT(O15=""),O15,NOT(P15=""),P15,NOT(Q15=""),Q15,NOT(R15=""),R15,NOT(S15=""),S15,NOT(T15=""),T15,NOT(U15=""),U15,TRUE,"No error")</f>
        <v>Enter the number of homes on the 1_SetUp sheet</v>
      </c>
      <c r="W15" s="114" t="str">
        <f t="shared" ca="1" si="2"/>
        <v xml:space="preserve">The Borrower has not addressed the following error messages for Home ID 11: </v>
      </c>
      <c r="X15" s="114"/>
      <c r="Y15" s="114"/>
      <c r="Z15" s="124" t="s">
        <v>273</v>
      </c>
      <c r="AA15" s="125" t="s">
        <v>254</v>
      </c>
      <c r="AB15" s="124" t="s">
        <v>276</v>
      </c>
      <c r="AC15" s="114" t="s">
        <v>275</v>
      </c>
    </row>
    <row r="16" spans="1:29">
      <c r="A16" s="123">
        <v>12</v>
      </c>
      <c r="B16" s="104" t="str" cm="1">
        <f t="array" ref="B16">_xlfn.IFS(AND(A16&gt;NumberOfPlots,ISBLANK(INDEX(PlotData,MATCH($A16,PlotNumber,0),MATCH(B$3,PlotTitles,0)))),"",ISNUMBER(INDEX(PlotData,MATCH($A16,PlotNumber,0),MATCH(B$3,PlotTitles,0)))=FALSE, $AB$5,TRUE,"")</f>
        <v/>
      </c>
      <c r="C16" s="104" t="str" cm="1">
        <f t="array" ref="C16">_xlfn.IFS(AND(A16&gt;NumberOfPlots,ISBLANK(INDEX(PlotData,MATCH($A16,PlotNumber,0),MATCH(B$3,PlotTitles,0)))),"",ISBLANK(INDEX(PlotData,MATCH($A16,PlotNumber,0),MATCH(C$3,PlotTitles,0))),$AB$6,TRUE,"")</f>
        <v/>
      </c>
      <c r="D16" s="104" t="str" cm="1">
        <f t="array" ref="D16">_xlfn.IFS(AND(A16&gt;NumberOfPlots,ISBLANK(INDEX(PlotData,MATCH($A16,PlotNumber,0),MATCH(B$3,PlotTitles,0)))),"",ISBLANK(INDEX(PlotData,MATCH($A16,PlotNumber,0),MATCH(D$3,PlotTitles,0))),$AB$7,TRUE,"")</f>
        <v/>
      </c>
      <c r="E16" s="104" t="str" cm="1">
        <f t="array" ref="E16">_xlfn.IFS(AND(A16&gt;NumberOfPlots,ISBLANK(INDEX(PlotData,MATCH($A16,PlotNumber,0),MATCH(B$3,PlotTitles,0)))),"",ISBLANK(INDEX(PlotData,MATCH($A16,PlotNumber,0),MATCH(E$3,PlotTitles,0))),$AB$8,TRUE,"")</f>
        <v/>
      </c>
      <c r="F16" s="104" t="str" cm="1">
        <f t="array" ref="F16">_xlfn.IFS(AND(A16&gt;NumberOfPlots,ISBLANK(INDEX(PlotData,MATCH($A16,PlotNumber,0),MATCH(B$3,PlotTitles,0)))),"",ISBLANK(INDEX(PlotData,MATCH($A16,PlotNumber,0),MATCH(F$3,PlotTitles,0))),$AB$9,TRUE,"")</f>
        <v/>
      </c>
      <c r="G16" s="104" t="str" cm="1">
        <f t="array" ref="G16">_xlfn.IFS(AND(A16&gt;NumberOfPlots,ISBLANK(INDEX(PlotData,MATCH($A16,PlotNumber,0),MATCH(B$3,PlotTitles,0)))),"",ISBLANK(INDEX(PlotData,MATCH($A16,PlotNumber,0),MATCH(G$3,PlotTitles,0))),$AB$10,TRUE,"")</f>
        <v/>
      </c>
      <c r="H16" s="104" t="str" cm="1">
        <f t="array" ref="H16">_xlfn.IFS(AND(A16&gt;NumberOfPlots,ISBLANK(INDEX(PlotData,MATCH($A16,PlotNumber,0),MATCH(B$3,PlotTitles,0)))),"",AND(ISBLANK(INDEX(PlotData,MATCH($A16,PlotNumber,0),MATCH(H$3,PlotTitles,0)))=FALSE,INDEX(PlotData,MATCH($A16,PlotNumber,0),MATCH(H$3,PlotTitles,0))&lt;500), $AB$11,TRUE,"")</f>
        <v/>
      </c>
      <c r="I16" s="104" t="str" cm="1">
        <f t="array" ref="I16">_xlfn.IFS(AND(A16&gt;NumberOfPlots,ISBLANK(INDEX(PlotData,MATCH($A16,PlotNumber,0),MATCH(B$3,PlotTitles,0)))),"",ISBLANK(INDEX(PlotData,MATCH($A16,PlotNumber,0),MATCH(I$3,PlotTitles,0))),$AB$12,TRUE,"")</f>
        <v/>
      </c>
      <c r="J16" s="104" t="str" cm="1">
        <f t="array" ref="J16">_xlfn.IFS(AND(A16&gt;NumberOfPlots,ISBLANK(INDEX(PlotData,MATCH($A16,PlotNumber,0),MATCH(B$3,PlotTitles,0)))),"",ISBLANK(INDEX(PlotData,MATCH($A16,PlotNumber,0),MATCH(J$3,PlotTitles,0))),$AB$13,TRUE,"")</f>
        <v/>
      </c>
      <c r="K16" s="182" t="str">
        <f t="shared" ca="1" si="0"/>
        <v/>
      </c>
      <c r="L16" s="104" t="str" cm="1">
        <f t="array" ref="L16">_xlfn.IFS(OR(ISBLANK(StartDateMonth),ISBLANK(StartDateYear)),"",AND(A16&gt;NumberOfPlots,ISBLANK(INDEX(PlotData,MATCH($A16,PlotNumber,0),MATCH(B$3,PlotTitles,0)))),"",ISBLANK(INDEX(PlotData,MATCH($A16,PlotNumber,0),MATCH(I$3,PlotTitles,0))),"",(DATEVALUE(INDEX(PlotData,MATCH($A16,PlotNumber,0),MATCH(I$3,PlotTitles,0))&amp;INDEX(PlotData,MATCH($A16,PlotNumber,0),MATCH(J$3,PlotTitles,0))))&lt;DATEVALUE(StartDateMonth&amp;StartDateYear),$AB$15,TRUE,"")</f>
        <v/>
      </c>
      <c r="M16" s="104" t="str" cm="1">
        <f t="array" ref="M16">_xlfn.IFS(OR(ISBLANK(StartDateMonth),ISBLANK(StartDateYear)),"",AND(A16&gt;NumberOfPlots,ISBLANK(INDEX(PlotData,MATCH($A16,PlotNumber,0),MATCH(B$3,PlotTitles,0)))),"",ISBLANK(INDEX(PlotData,MATCH($A16,PlotNumber,0),MATCH(I$3,PlotTitles,0))),"",CompletionMonth="","",(DATEVALUE(INDEX(PlotData,MATCH($A16,PlotNumber,0),MATCH(I$3,PlotTitles,0))&amp;INDEX(PlotData,MATCH($A16,PlotNumber,0),MATCH(J$3,PlotTitles,0))))&gt;(DATEVALUE(CompletionMonth&amp;CompletionYear)),$AB$16,TRUE,"")</f>
        <v/>
      </c>
      <c r="N16" s="104" t="str" cm="1">
        <f t="array" ref="N16">_xlfn.IFS(AND(A16&gt;NumberOfPlots,ISBLANK(INDEX(PlotData,MATCH($A16,PlotNumber,0),MATCH(B$3,PlotTitles,0)))),"",ISBLANK(INDEX(PlotData,MATCH($A16,PlotNumber,0),MATCH(N$3,PlotTitles,0))),$AB$17,TRUE,"")</f>
        <v/>
      </c>
      <c r="O16" s="104" t="str" cm="1">
        <f t="array" ref="O16">_xlfn.IFS(AND(A16&gt;NumberOfPlots,ISBLANK(INDEX(PlotData,MATCH($A16,PlotNumber,0),MATCH(B$3,PlotTitles,0)))),"",ISBLANK(INDEX(PlotData,MATCH($A16,PlotNumber,0),MATCH(O$3,PlotTitles,0))),$AB$18,TRUE,"")</f>
        <v/>
      </c>
      <c r="P16" s="182" t="str">
        <f t="shared" ca="1" si="1"/>
        <v/>
      </c>
      <c r="Q16" s="104" t="str" cm="1">
        <f t="array" ref="Q16">_xlfn.IFS(AND(A16&gt;NumberOfPlots,ISBLANK(INDEX(PlotData,MATCH($A16,PlotNumber,0),MATCH(B$3,PlotTitles,0)))),"",ISBLANK(INDEX(PlotData,MATCH($A16,PlotNumber,0),MATCH(N$3,PlotTitles,0))),"",(DATEVALUE(INDEX(PlotData,MATCH($A16,PlotNumber,0),MATCH(N$3,PlotTitles,0))&amp;INDEX(PlotData,MATCH($A16,PlotNumber,0),MATCH(O$3,PlotTitles,0))))&lt;(DATEVALUE(INDEX(PlotData,MATCH($A16,PlotNumber,0),MATCH(I$3,PlotTitles,0))&amp;INDEX(PlotData,MATCH($A16,PlotNumber,0),MATCH(J$3,PlotTitles,0)))),$AB$20,TRUE,"")</f>
        <v/>
      </c>
      <c r="R16" s="104" t="str" cm="1">
        <f t="array" ref="R16">_xlfn.IFS(OR(ISBLANK(StartDateMonth),ISBLANK(StartDateYear)),"",AND(A16&gt;NumberOfPlots,ISBLANK(INDEX(PlotData,MATCH($A16,PlotNumber,0),MATCH(B$3,PlotTitles,0)))),"",ISBLANK(INDEX(PlotData,MATCH($A16,PlotNumber,0),MATCH(N$3,PlotTitles,0))),"",CompletionMonth="","",(DATEVALUE(INDEX(PlotData,MATCH($A16,PlotNumber,0),MATCH(N$3,PlotTitles,0))&amp;INDEX(PlotData,MATCH($A16,PlotNumber,0),MATCH(O$3,PlotTitles,0))))&gt;(DATEVALUE(CompletionMonth&amp;CompletionYear)),$AB$21,TRUE,"")</f>
        <v/>
      </c>
      <c r="S16" s="104" t="str" cm="1">
        <f t="array" ref="S16">_xlfn.IFS(AND(A16&gt;NumberOfPlots,ISBLANK(INDEX(PlotData,MATCH($A16,PlotNumber,0),MATCH(B$3,PlotTitles,0)))),"",OR(AND(INDEX(PlotData,MATCH($A16,PlotNumber,0),MATCH("Tenure",PlotTitles,0))="Open market housing",INDEX(PlotData,MATCH($A16,PlotNumber,0),MATCH("Tenure detail",PlotTitles,0))="Private rented sector"),INDEX(PlotData,MATCH($A16,PlotNumber,0),MATCH("Tenure",PlotTitles,0))="Affordable rent"),"",ISNUMBER(INDEX(PlotData,MATCH($A16,PlotNumber,0),MATCH(S$3,PlotTitles,0)))=FALSE, $AB$22,TRUE,"")</f>
        <v/>
      </c>
      <c r="T16" s="104" t="str" cm="1">
        <f t="array" ref="T16">_xlfn.IFS(AND(A16&gt;NumberOfPlots,ISBLANK(INDEX(PlotData,MATCH($A16,PlotNumber,0),MATCH(B$3,PlotTitles,0)))),"",OR(AND(INDEX(PlotData,MATCH($A16,PlotNumber,0),MATCH("Tenure",PlotTitles,0))="Open market housing",INDEX(PlotData,MATCH($A16,PlotNumber,0),MATCH("Tenure detail",PlotTitles,0))="Private rented sector"),INDEX(PlotData,MATCH($A16,PlotNumber,0),MATCH("Tenure",PlotTitles,0))="Affordable rent"),"",INDEX(PlotData,MATCH($A16,PlotNumber,0),MATCH(S$3,PlotTitles,0))&lt;10000, $AB$23,TRUE,"")</f>
        <v/>
      </c>
      <c r="U16" s="104" t="str" cm="1">
        <f t="array" ref="U16">_xlfn.IFS(AND(A16&gt;NumberOfPlots,ISBLANK(INDEX(PlotData,MATCH($A16,PlotNumber,0),MATCH(B$3,PlotTitles,0)))),"",NOT(OR(AND(INDEX(PlotData,MATCH($A16,PlotNumber,0),MATCH("Tenure",PlotTitles,0))="Open market housing",INDEX(PlotData,MATCH($A16,PlotNumber,0),MATCH("Tenure detail",PlotTitles,0))="Private rented sector"),INDEX(PlotData,MATCH($A16,PlotNumber,0),MATCH("Tenure",PlotTitles,0))="Affordable rent")),"",NOT(INDEX(PlotData,MATCH($A16,PlotNumber,0),MATCH(S$3,PlotTitles,0))=0), $AB$24,TRUE,"")</f>
        <v/>
      </c>
      <c r="V16" s="114" t="str" cm="1">
        <f t="array" aca="1" ref="V16" ca="1">_xlfn.IFS(ISBLANK(NumberOfPlots),"Enter the number of homes on the 1_SetUp sheet",AND(A16&gt;NumberOfPlots,ISBLANK(INDEX(PlotData,MATCH($A16,PlotNumber,0),MATCH(B$3,PlotTitles,0)))),"No error",NOT(B16=""),B16,NOT(C16=""),C16,NOT(D16=""),D16,NOT(E16=""),E16,NOT(F16=""),F16,NOT(G16=""),G16,NOT(H16=""),H16,NOT(I16=""),I16,NOT(J16=""),J16,NOT(K16=""),K16,NOT(L16=""),L16,NOT(M16=""),M16,NOT(N16=""),N16,NOT(O16=""),O16,NOT(P16=""),P16,NOT(Q16=""),Q16,NOT(R16=""),R16,NOT(S16=""),S16,NOT(T16=""),T16,NOT(U16=""),U16,TRUE,"No error")</f>
        <v>Enter the number of homes on the 1_SetUp sheet</v>
      </c>
      <c r="W16" s="114" t="str">
        <f t="shared" ca="1" si="2"/>
        <v xml:space="preserve">The Borrower has not addressed the following error messages for Home ID 12: </v>
      </c>
      <c r="X16" s="114"/>
      <c r="Y16" s="114"/>
      <c r="Z16" s="124" t="s">
        <v>273</v>
      </c>
      <c r="AA16" s="125" t="s">
        <v>255</v>
      </c>
      <c r="AB16" s="124" t="s">
        <v>277</v>
      </c>
      <c r="AC16" s="114"/>
    </row>
    <row r="17" spans="1:29">
      <c r="A17" s="123">
        <v>13</v>
      </c>
      <c r="B17" s="104" t="str" cm="1">
        <f t="array" ref="B17">_xlfn.IFS(AND(A17&gt;NumberOfPlots,ISBLANK(INDEX(PlotData,MATCH($A17,PlotNumber,0),MATCH(B$3,PlotTitles,0)))),"",ISNUMBER(INDEX(PlotData,MATCH($A17,PlotNumber,0),MATCH(B$3,PlotTitles,0)))=FALSE, $AB$5,TRUE,"")</f>
        <v/>
      </c>
      <c r="C17" s="104" t="str" cm="1">
        <f t="array" ref="C17">_xlfn.IFS(AND(A17&gt;NumberOfPlots,ISBLANK(INDEX(PlotData,MATCH($A17,PlotNumber,0),MATCH(B$3,PlotTitles,0)))),"",ISBLANK(INDEX(PlotData,MATCH($A17,PlotNumber,0),MATCH(C$3,PlotTitles,0))),$AB$6,TRUE,"")</f>
        <v/>
      </c>
      <c r="D17" s="104" t="str" cm="1">
        <f t="array" ref="D17">_xlfn.IFS(AND(A17&gt;NumberOfPlots,ISBLANK(INDEX(PlotData,MATCH($A17,PlotNumber,0),MATCH(B$3,PlotTitles,0)))),"",ISBLANK(INDEX(PlotData,MATCH($A17,PlotNumber,0),MATCH(D$3,PlotTitles,0))),$AB$7,TRUE,"")</f>
        <v/>
      </c>
      <c r="E17" s="104" t="str" cm="1">
        <f t="array" ref="E17">_xlfn.IFS(AND(A17&gt;NumberOfPlots,ISBLANK(INDEX(PlotData,MATCH($A17,PlotNumber,0),MATCH(B$3,PlotTitles,0)))),"",ISBLANK(INDEX(PlotData,MATCH($A17,PlotNumber,0),MATCH(E$3,PlotTitles,0))),$AB$8,TRUE,"")</f>
        <v/>
      </c>
      <c r="F17" s="104" t="str" cm="1">
        <f t="array" ref="F17">_xlfn.IFS(AND(A17&gt;NumberOfPlots,ISBLANK(INDEX(PlotData,MATCH($A17,PlotNumber,0),MATCH(B$3,PlotTitles,0)))),"",ISBLANK(INDEX(PlotData,MATCH($A17,PlotNumber,0),MATCH(F$3,PlotTitles,0))),$AB$9,TRUE,"")</f>
        <v/>
      </c>
      <c r="G17" s="104" t="str" cm="1">
        <f t="array" ref="G17">_xlfn.IFS(AND(A17&gt;NumberOfPlots,ISBLANK(INDEX(PlotData,MATCH($A17,PlotNumber,0),MATCH(B$3,PlotTitles,0)))),"",ISBLANK(INDEX(PlotData,MATCH($A17,PlotNumber,0),MATCH(G$3,PlotTitles,0))),$AB$10,TRUE,"")</f>
        <v/>
      </c>
      <c r="H17" s="104" t="str" cm="1">
        <f t="array" ref="H17">_xlfn.IFS(AND(A17&gt;NumberOfPlots,ISBLANK(INDEX(PlotData,MATCH($A17,PlotNumber,0),MATCH(B$3,PlotTitles,0)))),"",AND(ISBLANK(INDEX(PlotData,MATCH($A17,PlotNumber,0),MATCH(H$3,PlotTitles,0)))=FALSE,INDEX(PlotData,MATCH($A17,PlotNumber,0),MATCH(H$3,PlotTitles,0))&lt;500), $AB$11,TRUE,"")</f>
        <v/>
      </c>
      <c r="I17" s="104" t="str" cm="1">
        <f t="array" ref="I17">_xlfn.IFS(AND(A17&gt;NumberOfPlots,ISBLANK(INDEX(PlotData,MATCH($A17,PlotNumber,0),MATCH(B$3,PlotTitles,0)))),"",ISBLANK(INDEX(PlotData,MATCH($A17,PlotNumber,0),MATCH(I$3,PlotTitles,0))),$AB$12,TRUE,"")</f>
        <v/>
      </c>
      <c r="J17" s="104" t="str" cm="1">
        <f t="array" ref="J17">_xlfn.IFS(AND(A17&gt;NumberOfPlots,ISBLANK(INDEX(PlotData,MATCH($A17,PlotNumber,0),MATCH(B$3,PlotTitles,0)))),"",ISBLANK(INDEX(PlotData,MATCH($A17,PlotNumber,0),MATCH(J$3,PlotTitles,0))),$AB$13,TRUE,"")</f>
        <v/>
      </c>
      <c r="K17" s="182" t="str">
        <f t="shared" ca="1" si="0"/>
        <v/>
      </c>
      <c r="L17" s="104" t="str" cm="1">
        <f t="array" ref="L17">_xlfn.IFS(OR(ISBLANK(StartDateMonth),ISBLANK(StartDateYear)),"",AND(A17&gt;NumberOfPlots,ISBLANK(INDEX(PlotData,MATCH($A17,PlotNumber,0),MATCH(B$3,PlotTitles,0)))),"",ISBLANK(INDEX(PlotData,MATCH($A17,PlotNumber,0),MATCH(I$3,PlotTitles,0))),"",(DATEVALUE(INDEX(PlotData,MATCH($A17,PlotNumber,0),MATCH(I$3,PlotTitles,0))&amp;INDEX(PlotData,MATCH($A17,PlotNumber,0),MATCH(J$3,PlotTitles,0))))&lt;DATEVALUE(StartDateMonth&amp;StartDateYear),$AB$15,TRUE,"")</f>
        <v/>
      </c>
      <c r="M17" s="104" t="str" cm="1">
        <f t="array" ref="M17">_xlfn.IFS(OR(ISBLANK(StartDateMonth),ISBLANK(StartDateYear)),"",AND(A17&gt;NumberOfPlots,ISBLANK(INDEX(PlotData,MATCH($A17,PlotNumber,0),MATCH(B$3,PlotTitles,0)))),"",ISBLANK(INDEX(PlotData,MATCH($A17,PlotNumber,0),MATCH(I$3,PlotTitles,0))),"",CompletionMonth="","",(DATEVALUE(INDEX(PlotData,MATCH($A17,PlotNumber,0),MATCH(I$3,PlotTitles,0))&amp;INDEX(PlotData,MATCH($A17,PlotNumber,0),MATCH(J$3,PlotTitles,0))))&gt;(DATEVALUE(CompletionMonth&amp;CompletionYear)),$AB$16,TRUE,"")</f>
        <v/>
      </c>
      <c r="N17" s="104" t="str" cm="1">
        <f t="array" ref="N17">_xlfn.IFS(AND(A17&gt;NumberOfPlots,ISBLANK(INDEX(PlotData,MATCH($A17,PlotNumber,0),MATCH(B$3,PlotTitles,0)))),"",ISBLANK(INDEX(PlotData,MATCH($A17,PlotNumber,0),MATCH(N$3,PlotTitles,0))),$AB$17,TRUE,"")</f>
        <v/>
      </c>
      <c r="O17" s="104" t="str" cm="1">
        <f t="array" ref="O17">_xlfn.IFS(AND(A17&gt;NumberOfPlots,ISBLANK(INDEX(PlotData,MATCH($A17,PlotNumber,0),MATCH(B$3,PlotTitles,0)))),"",ISBLANK(INDEX(PlotData,MATCH($A17,PlotNumber,0),MATCH(O$3,PlotTitles,0))),$AB$18,TRUE,"")</f>
        <v/>
      </c>
      <c r="P17" s="182" t="str">
        <f t="shared" ca="1" si="1"/>
        <v/>
      </c>
      <c r="Q17" s="104" t="str" cm="1">
        <f t="array" ref="Q17">_xlfn.IFS(AND(A17&gt;NumberOfPlots,ISBLANK(INDEX(PlotData,MATCH($A17,PlotNumber,0),MATCH(B$3,PlotTitles,0)))),"",ISBLANK(INDEX(PlotData,MATCH($A17,PlotNumber,0),MATCH(N$3,PlotTitles,0))),"",(DATEVALUE(INDEX(PlotData,MATCH($A17,PlotNumber,0),MATCH(N$3,PlotTitles,0))&amp;INDEX(PlotData,MATCH($A17,PlotNumber,0),MATCH(O$3,PlotTitles,0))))&lt;(DATEVALUE(INDEX(PlotData,MATCH($A17,PlotNumber,0),MATCH(I$3,PlotTitles,0))&amp;INDEX(PlotData,MATCH($A17,PlotNumber,0),MATCH(J$3,PlotTitles,0)))),$AB$20,TRUE,"")</f>
        <v/>
      </c>
      <c r="R17" s="104" t="str" cm="1">
        <f t="array" ref="R17">_xlfn.IFS(OR(ISBLANK(StartDateMonth),ISBLANK(StartDateYear)),"",AND(A17&gt;NumberOfPlots,ISBLANK(INDEX(PlotData,MATCH($A17,PlotNumber,0),MATCH(B$3,PlotTitles,0)))),"",ISBLANK(INDEX(PlotData,MATCH($A17,PlotNumber,0),MATCH(N$3,PlotTitles,0))),"",CompletionMonth="","",(DATEVALUE(INDEX(PlotData,MATCH($A17,PlotNumber,0),MATCH(N$3,PlotTitles,0))&amp;INDEX(PlotData,MATCH($A17,PlotNumber,0),MATCH(O$3,PlotTitles,0))))&gt;(DATEVALUE(CompletionMonth&amp;CompletionYear)),$AB$21,TRUE,"")</f>
        <v/>
      </c>
      <c r="S17" s="104" t="str" cm="1">
        <f t="array" ref="S17">_xlfn.IFS(AND(A17&gt;NumberOfPlots,ISBLANK(INDEX(PlotData,MATCH($A17,PlotNumber,0),MATCH(B$3,PlotTitles,0)))),"",OR(AND(INDEX(PlotData,MATCH($A17,PlotNumber,0),MATCH("Tenure",PlotTitles,0))="Open market housing",INDEX(PlotData,MATCH($A17,PlotNumber,0),MATCH("Tenure detail",PlotTitles,0))="Private rented sector"),INDEX(PlotData,MATCH($A17,PlotNumber,0),MATCH("Tenure",PlotTitles,0))="Affordable rent"),"",ISNUMBER(INDEX(PlotData,MATCH($A17,PlotNumber,0),MATCH(S$3,PlotTitles,0)))=FALSE, $AB$22,TRUE,"")</f>
        <v/>
      </c>
      <c r="T17" s="104" t="str" cm="1">
        <f t="array" ref="T17">_xlfn.IFS(AND(A17&gt;NumberOfPlots,ISBLANK(INDEX(PlotData,MATCH($A17,PlotNumber,0),MATCH(B$3,PlotTitles,0)))),"",OR(AND(INDEX(PlotData,MATCH($A17,PlotNumber,0),MATCH("Tenure",PlotTitles,0))="Open market housing",INDEX(PlotData,MATCH($A17,PlotNumber,0),MATCH("Tenure detail",PlotTitles,0))="Private rented sector"),INDEX(PlotData,MATCH($A17,PlotNumber,0),MATCH("Tenure",PlotTitles,0))="Affordable rent"),"",INDEX(PlotData,MATCH($A17,PlotNumber,0),MATCH(S$3,PlotTitles,0))&lt;10000, $AB$23,TRUE,"")</f>
        <v/>
      </c>
      <c r="U17" s="104" t="str" cm="1">
        <f t="array" ref="U17">_xlfn.IFS(AND(A17&gt;NumberOfPlots,ISBLANK(INDEX(PlotData,MATCH($A17,PlotNumber,0),MATCH(B$3,PlotTitles,0)))),"",NOT(OR(AND(INDEX(PlotData,MATCH($A17,PlotNumber,0),MATCH("Tenure",PlotTitles,0))="Open market housing",INDEX(PlotData,MATCH($A17,PlotNumber,0),MATCH("Tenure detail",PlotTitles,0))="Private rented sector"),INDEX(PlotData,MATCH($A17,PlotNumber,0),MATCH("Tenure",PlotTitles,0))="Affordable rent")),"",NOT(INDEX(PlotData,MATCH($A17,PlotNumber,0),MATCH(S$3,PlotTitles,0))=0), $AB$24,TRUE,"")</f>
        <v/>
      </c>
      <c r="V17" s="114" t="str" cm="1">
        <f t="array" aca="1" ref="V17" ca="1">_xlfn.IFS(ISBLANK(NumberOfPlots),"Enter the number of homes on the 1_SetUp sheet",AND(A17&gt;NumberOfPlots,ISBLANK(INDEX(PlotData,MATCH($A17,PlotNumber,0),MATCH(B$3,PlotTitles,0)))),"No error",NOT(B17=""),B17,NOT(C17=""),C17,NOT(D17=""),D17,NOT(E17=""),E17,NOT(F17=""),F17,NOT(G17=""),G17,NOT(H17=""),H17,NOT(I17=""),I17,NOT(J17=""),J17,NOT(K17=""),K17,NOT(L17=""),L17,NOT(M17=""),M17,NOT(N17=""),N17,NOT(O17=""),O17,NOT(P17=""),P17,NOT(Q17=""),Q17,NOT(R17=""),R17,NOT(S17=""),S17,NOT(T17=""),T17,NOT(U17=""),U17,TRUE,"No error")</f>
        <v>Enter the number of homes on the 1_SetUp sheet</v>
      </c>
      <c r="W17" s="114" t="str">
        <f t="shared" ca="1" si="2"/>
        <v xml:space="preserve">The Borrower has not addressed the following error messages for Home ID 13: </v>
      </c>
      <c r="X17" s="114"/>
      <c r="Y17" s="114"/>
      <c r="Z17" s="124" t="s">
        <v>51</v>
      </c>
      <c r="AA17" s="124" t="s">
        <v>251</v>
      </c>
      <c r="AB17" s="124" t="s">
        <v>278</v>
      </c>
      <c r="AC17" s="114" t="s">
        <v>275</v>
      </c>
    </row>
    <row r="18" spans="1:29">
      <c r="A18" s="123">
        <v>14</v>
      </c>
      <c r="B18" s="104" t="str" cm="1">
        <f t="array" ref="B18">_xlfn.IFS(AND(A18&gt;NumberOfPlots,ISBLANK(INDEX(PlotData,MATCH($A18,PlotNumber,0),MATCH(B$3,PlotTitles,0)))),"",ISNUMBER(INDEX(PlotData,MATCH($A18,PlotNumber,0),MATCH(B$3,PlotTitles,0)))=FALSE, $AB$5,TRUE,"")</f>
        <v/>
      </c>
      <c r="C18" s="104" t="str" cm="1">
        <f t="array" ref="C18">_xlfn.IFS(AND(A18&gt;NumberOfPlots,ISBLANK(INDEX(PlotData,MATCH($A18,PlotNumber,0),MATCH(B$3,PlotTitles,0)))),"",ISBLANK(INDEX(PlotData,MATCH($A18,PlotNumber,0),MATCH(C$3,PlotTitles,0))),$AB$6,TRUE,"")</f>
        <v/>
      </c>
      <c r="D18" s="104" t="str" cm="1">
        <f t="array" ref="D18">_xlfn.IFS(AND(A18&gt;NumberOfPlots,ISBLANK(INDEX(PlotData,MATCH($A18,PlotNumber,0),MATCH(B$3,PlotTitles,0)))),"",ISBLANK(INDEX(PlotData,MATCH($A18,PlotNumber,0),MATCH(D$3,PlotTitles,0))),$AB$7,TRUE,"")</f>
        <v/>
      </c>
      <c r="E18" s="104" t="str" cm="1">
        <f t="array" ref="E18">_xlfn.IFS(AND(A18&gt;NumberOfPlots,ISBLANK(INDEX(PlotData,MATCH($A18,PlotNumber,0),MATCH(B$3,PlotTitles,0)))),"",ISBLANK(INDEX(PlotData,MATCH($A18,PlotNumber,0),MATCH(E$3,PlotTitles,0))),$AB$8,TRUE,"")</f>
        <v/>
      </c>
      <c r="F18" s="104" t="str" cm="1">
        <f t="array" ref="F18">_xlfn.IFS(AND(A18&gt;NumberOfPlots,ISBLANK(INDEX(PlotData,MATCH($A18,PlotNumber,0),MATCH(B$3,PlotTitles,0)))),"",ISBLANK(INDEX(PlotData,MATCH($A18,PlotNumber,0),MATCH(F$3,PlotTitles,0))),$AB$9,TRUE,"")</f>
        <v/>
      </c>
      <c r="G18" s="104" t="str" cm="1">
        <f t="array" ref="G18">_xlfn.IFS(AND(A18&gt;NumberOfPlots,ISBLANK(INDEX(PlotData,MATCH($A18,PlotNumber,0),MATCH(B$3,PlotTitles,0)))),"",ISBLANK(INDEX(PlotData,MATCH($A18,PlotNumber,0),MATCH(G$3,PlotTitles,0))),$AB$10,TRUE,"")</f>
        <v/>
      </c>
      <c r="H18" s="104" t="str" cm="1">
        <f t="array" ref="H18">_xlfn.IFS(AND(A18&gt;NumberOfPlots,ISBLANK(INDEX(PlotData,MATCH($A18,PlotNumber,0),MATCH(B$3,PlotTitles,0)))),"",AND(ISBLANK(INDEX(PlotData,MATCH($A18,PlotNumber,0),MATCH(H$3,PlotTitles,0)))=FALSE,INDEX(PlotData,MATCH($A18,PlotNumber,0),MATCH(H$3,PlotTitles,0))&lt;500), $AB$11,TRUE,"")</f>
        <v/>
      </c>
      <c r="I18" s="104" t="str" cm="1">
        <f t="array" ref="I18">_xlfn.IFS(AND(A18&gt;NumberOfPlots,ISBLANK(INDEX(PlotData,MATCH($A18,PlotNumber,0),MATCH(B$3,PlotTitles,0)))),"",ISBLANK(INDEX(PlotData,MATCH($A18,PlotNumber,0),MATCH(I$3,PlotTitles,0))),$AB$12,TRUE,"")</f>
        <v/>
      </c>
      <c r="J18" s="104" t="str" cm="1">
        <f t="array" ref="J18">_xlfn.IFS(AND(A18&gt;NumberOfPlots,ISBLANK(INDEX(PlotData,MATCH($A18,PlotNumber,0),MATCH(B$3,PlotTitles,0)))),"",ISBLANK(INDEX(PlotData,MATCH($A18,PlotNumber,0),MATCH(J$3,PlotTitles,0))),$AB$13,TRUE,"")</f>
        <v/>
      </c>
      <c r="K18" s="182" t="str">
        <f t="shared" ca="1" si="0"/>
        <v/>
      </c>
      <c r="L18" s="104" t="str" cm="1">
        <f t="array" ref="L18">_xlfn.IFS(OR(ISBLANK(StartDateMonth),ISBLANK(StartDateYear)),"",AND(A18&gt;NumberOfPlots,ISBLANK(INDEX(PlotData,MATCH($A18,PlotNumber,0),MATCH(B$3,PlotTitles,0)))),"",ISBLANK(INDEX(PlotData,MATCH($A18,PlotNumber,0),MATCH(I$3,PlotTitles,0))),"",(DATEVALUE(INDEX(PlotData,MATCH($A18,PlotNumber,0),MATCH(I$3,PlotTitles,0))&amp;INDEX(PlotData,MATCH($A18,PlotNumber,0),MATCH(J$3,PlotTitles,0))))&lt;DATEVALUE(StartDateMonth&amp;StartDateYear),$AB$15,TRUE,"")</f>
        <v/>
      </c>
      <c r="M18" s="104" t="str" cm="1">
        <f t="array" ref="M18">_xlfn.IFS(OR(ISBLANK(StartDateMonth),ISBLANK(StartDateYear)),"",AND(A18&gt;NumberOfPlots,ISBLANK(INDEX(PlotData,MATCH($A18,PlotNumber,0),MATCH(B$3,PlotTitles,0)))),"",ISBLANK(INDEX(PlotData,MATCH($A18,PlotNumber,0),MATCH(I$3,PlotTitles,0))),"",CompletionMonth="","",(DATEVALUE(INDEX(PlotData,MATCH($A18,PlotNumber,0),MATCH(I$3,PlotTitles,0))&amp;INDEX(PlotData,MATCH($A18,PlotNumber,0),MATCH(J$3,PlotTitles,0))))&gt;(DATEVALUE(CompletionMonth&amp;CompletionYear)),$AB$16,TRUE,"")</f>
        <v/>
      </c>
      <c r="N18" s="104" t="str" cm="1">
        <f t="array" ref="N18">_xlfn.IFS(AND(A18&gt;NumberOfPlots,ISBLANK(INDEX(PlotData,MATCH($A18,PlotNumber,0),MATCH(B$3,PlotTitles,0)))),"",ISBLANK(INDEX(PlotData,MATCH($A18,PlotNumber,0),MATCH(N$3,PlotTitles,0))),$AB$17,TRUE,"")</f>
        <v/>
      </c>
      <c r="O18" s="104" t="str" cm="1">
        <f t="array" ref="O18">_xlfn.IFS(AND(A18&gt;NumberOfPlots,ISBLANK(INDEX(PlotData,MATCH($A18,PlotNumber,0),MATCH(B$3,PlotTitles,0)))),"",ISBLANK(INDEX(PlotData,MATCH($A18,PlotNumber,0),MATCH(O$3,PlotTitles,0))),$AB$18,TRUE,"")</f>
        <v/>
      </c>
      <c r="P18" s="182" t="str">
        <f t="shared" ca="1" si="1"/>
        <v/>
      </c>
      <c r="Q18" s="104" t="str" cm="1">
        <f t="array" ref="Q18">_xlfn.IFS(AND(A18&gt;NumberOfPlots,ISBLANK(INDEX(PlotData,MATCH($A18,PlotNumber,0),MATCH(B$3,PlotTitles,0)))),"",ISBLANK(INDEX(PlotData,MATCH($A18,PlotNumber,0),MATCH(N$3,PlotTitles,0))),"",(DATEVALUE(INDEX(PlotData,MATCH($A18,PlotNumber,0),MATCH(N$3,PlotTitles,0))&amp;INDEX(PlotData,MATCH($A18,PlotNumber,0),MATCH(O$3,PlotTitles,0))))&lt;(DATEVALUE(INDEX(PlotData,MATCH($A18,PlotNumber,0),MATCH(I$3,PlotTitles,0))&amp;INDEX(PlotData,MATCH($A18,PlotNumber,0),MATCH(J$3,PlotTitles,0)))),$AB$20,TRUE,"")</f>
        <v/>
      </c>
      <c r="R18" s="104" t="str" cm="1">
        <f t="array" ref="R18">_xlfn.IFS(OR(ISBLANK(StartDateMonth),ISBLANK(StartDateYear)),"",AND(A18&gt;NumberOfPlots,ISBLANK(INDEX(PlotData,MATCH($A18,PlotNumber,0),MATCH(B$3,PlotTitles,0)))),"",ISBLANK(INDEX(PlotData,MATCH($A18,PlotNumber,0),MATCH(N$3,PlotTitles,0))),"",CompletionMonth="","",(DATEVALUE(INDEX(PlotData,MATCH($A18,PlotNumber,0),MATCH(N$3,PlotTitles,0))&amp;INDEX(PlotData,MATCH($A18,PlotNumber,0),MATCH(O$3,PlotTitles,0))))&gt;(DATEVALUE(CompletionMonth&amp;CompletionYear)),$AB$21,TRUE,"")</f>
        <v/>
      </c>
      <c r="S18" s="104" t="str" cm="1">
        <f t="array" ref="S18">_xlfn.IFS(AND(A18&gt;NumberOfPlots,ISBLANK(INDEX(PlotData,MATCH($A18,PlotNumber,0),MATCH(B$3,PlotTitles,0)))),"",OR(AND(INDEX(PlotData,MATCH($A18,PlotNumber,0),MATCH("Tenure",PlotTitles,0))="Open market housing",INDEX(PlotData,MATCH($A18,PlotNumber,0),MATCH("Tenure detail",PlotTitles,0))="Private rented sector"),INDEX(PlotData,MATCH($A18,PlotNumber,0),MATCH("Tenure",PlotTitles,0))="Affordable rent"),"",ISNUMBER(INDEX(PlotData,MATCH($A18,PlotNumber,0),MATCH(S$3,PlotTitles,0)))=FALSE, $AB$22,TRUE,"")</f>
        <v/>
      </c>
      <c r="T18" s="104" t="str" cm="1">
        <f t="array" ref="T18">_xlfn.IFS(AND(A18&gt;NumberOfPlots,ISBLANK(INDEX(PlotData,MATCH($A18,PlotNumber,0),MATCH(B$3,PlotTitles,0)))),"",OR(AND(INDEX(PlotData,MATCH($A18,PlotNumber,0),MATCH("Tenure",PlotTitles,0))="Open market housing",INDEX(PlotData,MATCH($A18,PlotNumber,0),MATCH("Tenure detail",PlotTitles,0))="Private rented sector"),INDEX(PlotData,MATCH($A18,PlotNumber,0),MATCH("Tenure",PlotTitles,0))="Affordable rent"),"",INDEX(PlotData,MATCH($A18,PlotNumber,0),MATCH(S$3,PlotTitles,0))&lt;10000, $AB$23,TRUE,"")</f>
        <v/>
      </c>
      <c r="U18" s="104" t="str" cm="1">
        <f t="array" ref="U18">_xlfn.IFS(AND(A18&gt;NumberOfPlots,ISBLANK(INDEX(PlotData,MATCH($A18,PlotNumber,0),MATCH(B$3,PlotTitles,0)))),"",NOT(OR(AND(INDEX(PlotData,MATCH($A18,PlotNumber,0),MATCH("Tenure",PlotTitles,0))="Open market housing",INDEX(PlotData,MATCH($A18,PlotNumber,0),MATCH("Tenure detail",PlotTitles,0))="Private rented sector"),INDEX(PlotData,MATCH($A18,PlotNumber,0),MATCH("Tenure",PlotTitles,0))="Affordable rent")),"",NOT(INDEX(PlotData,MATCH($A18,PlotNumber,0),MATCH(S$3,PlotTitles,0))=0), $AB$24,TRUE,"")</f>
        <v/>
      </c>
      <c r="V18" s="114" t="str" cm="1">
        <f t="array" aca="1" ref="V18" ca="1">_xlfn.IFS(ISBLANK(NumberOfPlots),"Enter the number of homes on the 1_SetUp sheet",AND(A18&gt;NumberOfPlots,ISBLANK(INDEX(PlotData,MATCH($A18,PlotNumber,0),MATCH(B$3,PlotTitles,0)))),"No error",NOT(B18=""),B18,NOT(C18=""),C18,NOT(D18=""),D18,NOT(E18=""),E18,NOT(F18=""),F18,NOT(G18=""),G18,NOT(H18=""),H18,NOT(I18=""),I18,NOT(J18=""),J18,NOT(K18=""),K18,NOT(L18=""),L18,NOT(M18=""),M18,NOT(N18=""),N18,NOT(O18=""),O18,NOT(P18=""),P18,NOT(Q18=""),Q18,NOT(R18=""),R18,NOT(S18=""),S18,NOT(T18=""),T18,NOT(U18=""),U18,TRUE,"No error")</f>
        <v>Enter the number of homes on the 1_SetUp sheet</v>
      </c>
      <c r="W18" s="114" t="str">
        <f t="shared" ca="1" si="2"/>
        <v xml:space="preserve">The Borrower has not addressed the following error messages for Home ID 14: </v>
      </c>
      <c r="X18" s="114"/>
      <c r="Y18" s="114"/>
      <c r="Z18" s="124" t="s">
        <v>52</v>
      </c>
      <c r="AA18" s="124" t="s">
        <v>251</v>
      </c>
      <c r="AB18" s="124" t="s">
        <v>279</v>
      </c>
      <c r="AC18" s="114"/>
    </row>
    <row r="19" spans="1:29">
      <c r="A19" s="123">
        <v>15</v>
      </c>
      <c r="B19" s="104" t="str" cm="1">
        <f t="array" ref="B19">_xlfn.IFS(AND(A19&gt;NumberOfPlots,ISBLANK(INDEX(PlotData,MATCH($A19,PlotNumber,0),MATCH(B$3,PlotTitles,0)))),"",ISNUMBER(INDEX(PlotData,MATCH($A19,PlotNumber,0),MATCH(B$3,PlotTitles,0)))=FALSE, $AB$5,TRUE,"")</f>
        <v/>
      </c>
      <c r="C19" s="104" t="str" cm="1">
        <f t="array" ref="C19">_xlfn.IFS(AND(A19&gt;NumberOfPlots,ISBLANK(INDEX(PlotData,MATCH($A19,PlotNumber,0),MATCH(B$3,PlotTitles,0)))),"",ISBLANK(INDEX(PlotData,MATCH($A19,PlotNumber,0),MATCH(C$3,PlotTitles,0))),$AB$6,TRUE,"")</f>
        <v/>
      </c>
      <c r="D19" s="104" t="str" cm="1">
        <f t="array" ref="D19">_xlfn.IFS(AND(A19&gt;NumberOfPlots,ISBLANK(INDEX(PlotData,MATCH($A19,PlotNumber,0),MATCH(B$3,PlotTitles,0)))),"",ISBLANK(INDEX(PlotData,MATCH($A19,PlotNumber,0),MATCH(D$3,PlotTitles,0))),$AB$7,TRUE,"")</f>
        <v/>
      </c>
      <c r="E19" s="104" t="str" cm="1">
        <f t="array" ref="E19">_xlfn.IFS(AND(A19&gt;NumberOfPlots,ISBLANK(INDEX(PlotData,MATCH($A19,PlotNumber,0),MATCH(B$3,PlotTitles,0)))),"",ISBLANK(INDEX(PlotData,MATCH($A19,PlotNumber,0),MATCH(E$3,PlotTitles,0))),$AB$8,TRUE,"")</f>
        <v/>
      </c>
      <c r="F19" s="104" t="str" cm="1">
        <f t="array" ref="F19">_xlfn.IFS(AND(A19&gt;NumberOfPlots,ISBLANK(INDEX(PlotData,MATCH($A19,PlotNumber,0),MATCH(B$3,PlotTitles,0)))),"",ISBLANK(INDEX(PlotData,MATCH($A19,PlotNumber,0),MATCH(F$3,PlotTitles,0))),$AB$9,TRUE,"")</f>
        <v/>
      </c>
      <c r="G19" s="104" t="str" cm="1">
        <f t="array" ref="G19">_xlfn.IFS(AND(A19&gt;NumberOfPlots,ISBLANK(INDEX(PlotData,MATCH($A19,PlotNumber,0),MATCH(B$3,PlotTitles,0)))),"",ISBLANK(INDEX(PlotData,MATCH($A19,PlotNumber,0),MATCH(G$3,PlotTitles,0))),$AB$10,TRUE,"")</f>
        <v/>
      </c>
      <c r="H19" s="104" t="str" cm="1">
        <f t="array" ref="H19">_xlfn.IFS(AND(A19&gt;NumberOfPlots,ISBLANK(INDEX(PlotData,MATCH($A19,PlotNumber,0),MATCH(B$3,PlotTitles,0)))),"",AND(ISBLANK(INDEX(PlotData,MATCH($A19,PlotNumber,0),MATCH(H$3,PlotTitles,0)))=FALSE,INDEX(PlotData,MATCH($A19,PlotNumber,0),MATCH(H$3,PlotTitles,0))&lt;500), $AB$11,TRUE,"")</f>
        <v/>
      </c>
      <c r="I19" s="104" t="str" cm="1">
        <f t="array" ref="I19">_xlfn.IFS(AND(A19&gt;NumberOfPlots,ISBLANK(INDEX(PlotData,MATCH($A19,PlotNumber,0),MATCH(B$3,PlotTitles,0)))),"",ISBLANK(INDEX(PlotData,MATCH($A19,PlotNumber,0),MATCH(I$3,PlotTitles,0))),$AB$12,TRUE,"")</f>
        <v/>
      </c>
      <c r="J19" s="104" t="str" cm="1">
        <f t="array" ref="J19">_xlfn.IFS(AND(A19&gt;NumberOfPlots,ISBLANK(INDEX(PlotData,MATCH($A19,PlotNumber,0),MATCH(B$3,PlotTitles,0)))),"",ISBLANK(INDEX(PlotData,MATCH($A19,PlotNumber,0),MATCH(J$3,PlotTitles,0))),$AB$13,TRUE,"")</f>
        <v/>
      </c>
      <c r="K19" s="182" t="str">
        <f t="shared" ca="1" si="0"/>
        <v/>
      </c>
      <c r="L19" s="104" t="str" cm="1">
        <f t="array" ref="L19">_xlfn.IFS(OR(ISBLANK(StartDateMonth),ISBLANK(StartDateYear)),"",AND(A19&gt;NumberOfPlots,ISBLANK(INDEX(PlotData,MATCH($A19,PlotNumber,0),MATCH(B$3,PlotTitles,0)))),"",ISBLANK(INDEX(PlotData,MATCH($A19,PlotNumber,0),MATCH(I$3,PlotTitles,0))),"",(DATEVALUE(INDEX(PlotData,MATCH($A19,PlotNumber,0),MATCH(I$3,PlotTitles,0))&amp;INDEX(PlotData,MATCH($A19,PlotNumber,0),MATCH(J$3,PlotTitles,0))))&lt;DATEVALUE(StartDateMonth&amp;StartDateYear),$AB$15,TRUE,"")</f>
        <v/>
      </c>
      <c r="M19" s="104" t="str" cm="1">
        <f t="array" ref="M19">_xlfn.IFS(OR(ISBLANK(StartDateMonth),ISBLANK(StartDateYear)),"",AND(A19&gt;NumberOfPlots,ISBLANK(INDEX(PlotData,MATCH($A19,PlotNumber,0),MATCH(B$3,PlotTitles,0)))),"",ISBLANK(INDEX(PlotData,MATCH($A19,PlotNumber,0),MATCH(I$3,PlotTitles,0))),"",CompletionMonth="","",(DATEVALUE(INDEX(PlotData,MATCH($A19,PlotNumber,0),MATCH(I$3,PlotTitles,0))&amp;INDEX(PlotData,MATCH($A19,PlotNumber,0),MATCH(J$3,PlotTitles,0))))&gt;(DATEVALUE(CompletionMonth&amp;CompletionYear)),$AB$16,TRUE,"")</f>
        <v/>
      </c>
      <c r="N19" s="104" t="str" cm="1">
        <f t="array" ref="N19">_xlfn.IFS(AND(A19&gt;NumberOfPlots,ISBLANK(INDEX(PlotData,MATCH($A19,PlotNumber,0),MATCH(B$3,PlotTitles,0)))),"",ISBLANK(INDEX(PlotData,MATCH($A19,PlotNumber,0),MATCH(N$3,PlotTitles,0))),$AB$17,TRUE,"")</f>
        <v/>
      </c>
      <c r="O19" s="104" t="str" cm="1">
        <f t="array" ref="O19">_xlfn.IFS(AND(A19&gt;NumberOfPlots,ISBLANK(INDEX(PlotData,MATCH($A19,PlotNumber,0),MATCH(B$3,PlotTitles,0)))),"",ISBLANK(INDEX(PlotData,MATCH($A19,PlotNumber,0),MATCH(O$3,PlotTitles,0))),$AB$18,TRUE,"")</f>
        <v/>
      </c>
      <c r="P19" s="182" t="str">
        <f t="shared" ca="1" si="1"/>
        <v/>
      </c>
      <c r="Q19" s="104" t="str" cm="1">
        <f t="array" ref="Q19">_xlfn.IFS(AND(A19&gt;NumberOfPlots,ISBLANK(INDEX(PlotData,MATCH($A19,PlotNumber,0),MATCH(B$3,PlotTitles,0)))),"",ISBLANK(INDEX(PlotData,MATCH($A19,PlotNumber,0),MATCH(N$3,PlotTitles,0))),"",(DATEVALUE(INDEX(PlotData,MATCH($A19,PlotNumber,0),MATCH(N$3,PlotTitles,0))&amp;INDEX(PlotData,MATCH($A19,PlotNumber,0),MATCH(O$3,PlotTitles,0))))&lt;(DATEVALUE(INDEX(PlotData,MATCH($A19,PlotNumber,0),MATCH(I$3,PlotTitles,0))&amp;INDEX(PlotData,MATCH($A19,PlotNumber,0),MATCH(J$3,PlotTitles,0)))),$AB$20,TRUE,"")</f>
        <v/>
      </c>
      <c r="R19" s="104" t="str" cm="1">
        <f t="array" ref="R19">_xlfn.IFS(OR(ISBLANK(StartDateMonth),ISBLANK(StartDateYear)),"",AND(A19&gt;NumberOfPlots,ISBLANK(INDEX(PlotData,MATCH($A19,PlotNumber,0),MATCH(B$3,PlotTitles,0)))),"",ISBLANK(INDEX(PlotData,MATCH($A19,PlotNumber,0),MATCH(N$3,PlotTitles,0))),"",CompletionMonth="","",(DATEVALUE(INDEX(PlotData,MATCH($A19,PlotNumber,0),MATCH(N$3,PlotTitles,0))&amp;INDEX(PlotData,MATCH($A19,PlotNumber,0),MATCH(O$3,PlotTitles,0))))&gt;(DATEVALUE(CompletionMonth&amp;CompletionYear)),$AB$21,TRUE,"")</f>
        <v/>
      </c>
      <c r="S19" s="104" t="str" cm="1">
        <f t="array" ref="S19">_xlfn.IFS(AND(A19&gt;NumberOfPlots,ISBLANK(INDEX(PlotData,MATCH($A19,PlotNumber,0),MATCH(B$3,PlotTitles,0)))),"",OR(AND(INDEX(PlotData,MATCH($A19,PlotNumber,0),MATCH("Tenure",PlotTitles,0))="Open market housing",INDEX(PlotData,MATCH($A19,PlotNumber,0),MATCH("Tenure detail",PlotTitles,0))="Private rented sector"),INDEX(PlotData,MATCH($A19,PlotNumber,0),MATCH("Tenure",PlotTitles,0))="Affordable rent"),"",ISNUMBER(INDEX(PlotData,MATCH($A19,PlotNumber,0),MATCH(S$3,PlotTitles,0)))=FALSE, $AB$22,TRUE,"")</f>
        <v/>
      </c>
      <c r="T19" s="104" t="str" cm="1">
        <f t="array" ref="T19">_xlfn.IFS(AND(A19&gt;NumberOfPlots,ISBLANK(INDEX(PlotData,MATCH($A19,PlotNumber,0),MATCH(B$3,PlotTitles,0)))),"",OR(AND(INDEX(PlotData,MATCH($A19,PlotNumber,0),MATCH("Tenure",PlotTitles,0))="Open market housing",INDEX(PlotData,MATCH($A19,PlotNumber,0),MATCH("Tenure detail",PlotTitles,0))="Private rented sector"),INDEX(PlotData,MATCH($A19,PlotNumber,0),MATCH("Tenure",PlotTitles,0))="Affordable rent"),"",INDEX(PlotData,MATCH($A19,PlotNumber,0),MATCH(S$3,PlotTitles,0))&lt;10000, $AB$23,TRUE,"")</f>
        <v/>
      </c>
      <c r="U19" s="104" t="str" cm="1">
        <f t="array" ref="U19">_xlfn.IFS(AND(A19&gt;NumberOfPlots,ISBLANK(INDEX(PlotData,MATCH($A19,PlotNumber,0),MATCH(B$3,PlotTitles,0)))),"",NOT(OR(AND(INDEX(PlotData,MATCH($A19,PlotNumber,0),MATCH("Tenure",PlotTitles,0))="Open market housing",INDEX(PlotData,MATCH($A19,PlotNumber,0),MATCH("Tenure detail",PlotTitles,0))="Private rented sector"),INDEX(PlotData,MATCH($A19,PlotNumber,0),MATCH("Tenure",PlotTitles,0))="Affordable rent")),"",NOT(INDEX(PlotData,MATCH($A19,PlotNumber,0),MATCH(S$3,PlotTitles,0))=0), $AB$24,TRUE,"")</f>
        <v/>
      </c>
      <c r="V19" s="114" t="str" cm="1">
        <f t="array" aca="1" ref="V19" ca="1">_xlfn.IFS(ISBLANK(NumberOfPlots),"Enter the number of homes on the 1_SetUp sheet",AND(A19&gt;NumberOfPlots,ISBLANK(INDEX(PlotData,MATCH($A19,PlotNumber,0),MATCH(B$3,PlotTitles,0)))),"No error",NOT(B19=""),B19,NOT(C19=""),C19,NOT(D19=""),D19,NOT(E19=""),E19,NOT(F19=""),F19,NOT(G19=""),G19,NOT(H19=""),H19,NOT(I19=""),I19,NOT(J19=""),J19,NOT(K19=""),K19,NOT(L19=""),L19,NOT(M19=""),M19,NOT(N19=""),N19,NOT(O19=""),O19,NOT(P19=""),P19,NOT(Q19=""),Q19,NOT(R19=""),R19,NOT(S19=""),S19,NOT(T19=""),T19,NOT(U19=""),U19,TRUE,"No error")</f>
        <v>Enter the number of homes on the 1_SetUp sheet</v>
      </c>
      <c r="W19" s="114" t="str">
        <f t="shared" ca="1" si="2"/>
        <v xml:space="preserve">The Borrower has not addressed the following error messages for Home ID 15: </v>
      </c>
      <c r="X19" s="114"/>
      <c r="Y19" s="114"/>
      <c r="Z19" s="124" t="s">
        <v>280</v>
      </c>
      <c r="AA19" s="125" t="s">
        <v>253</v>
      </c>
      <c r="AB19" s="124" t="s">
        <v>281</v>
      </c>
      <c r="AC19" s="114"/>
    </row>
    <row r="20" spans="1:29">
      <c r="A20" s="123">
        <v>16</v>
      </c>
      <c r="B20" s="104" t="str" cm="1">
        <f t="array" ref="B20">_xlfn.IFS(AND(A20&gt;NumberOfPlots,ISBLANK(INDEX(PlotData,MATCH($A20,PlotNumber,0),MATCH(B$3,PlotTitles,0)))),"",ISNUMBER(INDEX(PlotData,MATCH($A20,PlotNumber,0),MATCH(B$3,PlotTitles,0)))=FALSE, $AB$5,TRUE,"")</f>
        <v/>
      </c>
      <c r="C20" s="104" t="str" cm="1">
        <f t="array" ref="C20">_xlfn.IFS(AND(A20&gt;NumberOfPlots,ISBLANK(INDEX(PlotData,MATCH($A20,PlotNumber,0),MATCH(B$3,PlotTitles,0)))),"",ISBLANK(INDEX(PlotData,MATCH($A20,PlotNumber,0),MATCH(C$3,PlotTitles,0))),$AB$6,TRUE,"")</f>
        <v/>
      </c>
      <c r="D20" s="104" t="str" cm="1">
        <f t="array" ref="D20">_xlfn.IFS(AND(A20&gt;NumberOfPlots,ISBLANK(INDEX(PlotData,MATCH($A20,PlotNumber,0),MATCH(B$3,PlotTitles,0)))),"",ISBLANK(INDEX(PlotData,MATCH($A20,PlotNumber,0),MATCH(D$3,PlotTitles,0))),$AB$7,TRUE,"")</f>
        <v/>
      </c>
      <c r="E20" s="104" t="str" cm="1">
        <f t="array" ref="E20">_xlfn.IFS(AND(A20&gt;NumberOfPlots,ISBLANK(INDEX(PlotData,MATCH($A20,PlotNumber,0),MATCH(B$3,PlotTitles,0)))),"",ISBLANK(INDEX(PlotData,MATCH($A20,PlotNumber,0),MATCH(E$3,PlotTitles,0))),$AB$8,TRUE,"")</f>
        <v/>
      </c>
      <c r="F20" s="104" t="str" cm="1">
        <f t="array" ref="F20">_xlfn.IFS(AND(A20&gt;NumberOfPlots,ISBLANK(INDEX(PlotData,MATCH($A20,PlotNumber,0),MATCH(B$3,PlotTitles,0)))),"",ISBLANK(INDEX(PlotData,MATCH($A20,PlotNumber,0),MATCH(F$3,PlotTitles,0))),$AB$9,TRUE,"")</f>
        <v/>
      </c>
      <c r="G20" s="104" t="str" cm="1">
        <f t="array" ref="G20">_xlfn.IFS(AND(A20&gt;NumberOfPlots,ISBLANK(INDEX(PlotData,MATCH($A20,PlotNumber,0),MATCH(B$3,PlotTitles,0)))),"",ISBLANK(INDEX(PlotData,MATCH($A20,PlotNumber,0),MATCH(G$3,PlotTitles,0))),$AB$10,TRUE,"")</f>
        <v/>
      </c>
      <c r="H20" s="104" t="str" cm="1">
        <f t="array" ref="H20">_xlfn.IFS(AND(A20&gt;NumberOfPlots,ISBLANK(INDEX(PlotData,MATCH($A20,PlotNumber,0),MATCH(B$3,PlotTitles,0)))),"",AND(ISBLANK(INDEX(PlotData,MATCH($A20,PlotNumber,0),MATCH(H$3,PlotTitles,0)))=FALSE,INDEX(PlotData,MATCH($A20,PlotNumber,0),MATCH(H$3,PlotTitles,0))&lt;500), $AB$11,TRUE,"")</f>
        <v/>
      </c>
      <c r="I20" s="104" t="str" cm="1">
        <f t="array" ref="I20">_xlfn.IFS(AND(A20&gt;NumberOfPlots,ISBLANK(INDEX(PlotData,MATCH($A20,PlotNumber,0),MATCH(B$3,PlotTitles,0)))),"",ISBLANK(INDEX(PlotData,MATCH($A20,PlotNumber,0),MATCH(I$3,PlotTitles,0))),$AB$12,TRUE,"")</f>
        <v/>
      </c>
      <c r="J20" s="104" t="str" cm="1">
        <f t="array" ref="J20">_xlfn.IFS(AND(A20&gt;NumberOfPlots,ISBLANK(INDEX(PlotData,MATCH($A20,PlotNumber,0),MATCH(B$3,PlotTitles,0)))),"",ISBLANK(INDEX(PlotData,MATCH($A20,PlotNumber,0),MATCH(J$3,PlotTitles,0))),$AB$13,TRUE,"")</f>
        <v/>
      </c>
      <c r="K20" s="182" t="str">
        <f t="shared" ca="1" si="0"/>
        <v/>
      </c>
      <c r="L20" s="104" t="str" cm="1">
        <f t="array" ref="L20">_xlfn.IFS(OR(ISBLANK(StartDateMonth),ISBLANK(StartDateYear)),"",AND(A20&gt;NumberOfPlots,ISBLANK(INDEX(PlotData,MATCH($A20,PlotNumber,0),MATCH(B$3,PlotTitles,0)))),"",ISBLANK(INDEX(PlotData,MATCH($A20,PlotNumber,0),MATCH(I$3,PlotTitles,0))),"",(DATEVALUE(INDEX(PlotData,MATCH($A20,PlotNumber,0),MATCH(I$3,PlotTitles,0))&amp;INDEX(PlotData,MATCH($A20,PlotNumber,0),MATCH(J$3,PlotTitles,0))))&lt;DATEVALUE(StartDateMonth&amp;StartDateYear),$AB$15,TRUE,"")</f>
        <v/>
      </c>
      <c r="M20" s="104" t="str" cm="1">
        <f t="array" ref="M20">_xlfn.IFS(OR(ISBLANK(StartDateMonth),ISBLANK(StartDateYear)),"",AND(A20&gt;NumberOfPlots,ISBLANK(INDEX(PlotData,MATCH($A20,PlotNumber,0),MATCH(B$3,PlotTitles,0)))),"",ISBLANK(INDEX(PlotData,MATCH($A20,PlotNumber,0),MATCH(I$3,PlotTitles,0))),"",CompletionMonth="","",(DATEVALUE(INDEX(PlotData,MATCH($A20,PlotNumber,0),MATCH(I$3,PlotTitles,0))&amp;INDEX(PlotData,MATCH($A20,PlotNumber,0),MATCH(J$3,PlotTitles,0))))&gt;(DATEVALUE(CompletionMonth&amp;CompletionYear)),$AB$16,TRUE,"")</f>
        <v/>
      </c>
      <c r="N20" s="104" t="str" cm="1">
        <f t="array" ref="N20">_xlfn.IFS(AND(A20&gt;NumberOfPlots,ISBLANK(INDEX(PlotData,MATCH($A20,PlotNumber,0),MATCH(B$3,PlotTitles,0)))),"",ISBLANK(INDEX(PlotData,MATCH($A20,PlotNumber,0),MATCH(N$3,PlotTitles,0))),$AB$17,TRUE,"")</f>
        <v/>
      </c>
      <c r="O20" s="104" t="str" cm="1">
        <f t="array" ref="O20">_xlfn.IFS(AND(A20&gt;NumberOfPlots,ISBLANK(INDEX(PlotData,MATCH($A20,PlotNumber,0),MATCH(B$3,PlotTitles,0)))),"",ISBLANK(INDEX(PlotData,MATCH($A20,PlotNumber,0),MATCH(O$3,PlotTitles,0))),$AB$18,TRUE,"")</f>
        <v/>
      </c>
      <c r="P20" s="182" t="str">
        <f t="shared" ca="1" si="1"/>
        <v/>
      </c>
      <c r="Q20" s="104" t="str" cm="1">
        <f t="array" ref="Q20">_xlfn.IFS(AND(A20&gt;NumberOfPlots,ISBLANK(INDEX(PlotData,MATCH($A20,PlotNumber,0),MATCH(B$3,PlotTitles,0)))),"",ISBLANK(INDEX(PlotData,MATCH($A20,PlotNumber,0),MATCH(N$3,PlotTitles,0))),"",(DATEVALUE(INDEX(PlotData,MATCH($A20,PlotNumber,0),MATCH(N$3,PlotTitles,0))&amp;INDEX(PlotData,MATCH($A20,PlotNumber,0),MATCH(O$3,PlotTitles,0))))&lt;(DATEVALUE(INDEX(PlotData,MATCH($A20,PlotNumber,0),MATCH(I$3,PlotTitles,0))&amp;INDEX(PlotData,MATCH($A20,PlotNumber,0),MATCH(J$3,PlotTitles,0)))),$AB$20,TRUE,"")</f>
        <v/>
      </c>
      <c r="R20" s="104" t="str" cm="1">
        <f t="array" ref="R20">_xlfn.IFS(OR(ISBLANK(StartDateMonth),ISBLANK(StartDateYear)),"",AND(A20&gt;NumberOfPlots,ISBLANK(INDEX(PlotData,MATCH($A20,PlotNumber,0),MATCH(B$3,PlotTitles,0)))),"",ISBLANK(INDEX(PlotData,MATCH($A20,PlotNumber,0),MATCH(N$3,PlotTitles,0))),"",CompletionMonth="","",(DATEVALUE(INDEX(PlotData,MATCH($A20,PlotNumber,0),MATCH(N$3,PlotTitles,0))&amp;INDEX(PlotData,MATCH($A20,PlotNumber,0),MATCH(O$3,PlotTitles,0))))&gt;(DATEVALUE(CompletionMonth&amp;CompletionYear)),$AB$21,TRUE,"")</f>
        <v/>
      </c>
      <c r="S20" s="104" t="str" cm="1">
        <f t="array" ref="S20">_xlfn.IFS(AND(A20&gt;NumberOfPlots,ISBLANK(INDEX(PlotData,MATCH($A20,PlotNumber,0),MATCH(B$3,PlotTitles,0)))),"",OR(AND(INDEX(PlotData,MATCH($A20,PlotNumber,0),MATCH("Tenure",PlotTitles,0))="Open market housing",INDEX(PlotData,MATCH($A20,PlotNumber,0),MATCH("Tenure detail",PlotTitles,0))="Private rented sector"),INDEX(PlotData,MATCH($A20,PlotNumber,0),MATCH("Tenure",PlotTitles,0))="Affordable rent"),"",ISNUMBER(INDEX(PlotData,MATCH($A20,PlotNumber,0),MATCH(S$3,PlotTitles,0)))=FALSE, $AB$22,TRUE,"")</f>
        <v/>
      </c>
      <c r="T20" s="104" t="str" cm="1">
        <f t="array" ref="T20">_xlfn.IFS(AND(A20&gt;NumberOfPlots,ISBLANK(INDEX(PlotData,MATCH($A20,PlotNumber,0),MATCH(B$3,PlotTitles,0)))),"",OR(AND(INDEX(PlotData,MATCH($A20,PlotNumber,0),MATCH("Tenure",PlotTitles,0))="Open market housing",INDEX(PlotData,MATCH($A20,PlotNumber,0),MATCH("Tenure detail",PlotTitles,0))="Private rented sector"),INDEX(PlotData,MATCH($A20,PlotNumber,0),MATCH("Tenure",PlotTitles,0))="Affordable rent"),"",INDEX(PlotData,MATCH($A20,PlotNumber,0),MATCH(S$3,PlotTitles,0))&lt;10000, $AB$23,TRUE,"")</f>
        <v/>
      </c>
      <c r="U20" s="104" t="str" cm="1">
        <f t="array" ref="U20">_xlfn.IFS(AND(A20&gt;NumberOfPlots,ISBLANK(INDEX(PlotData,MATCH($A20,PlotNumber,0),MATCH(B$3,PlotTitles,0)))),"",NOT(OR(AND(INDEX(PlotData,MATCH($A20,PlotNumber,0),MATCH("Tenure",PlotTitles,0))="Open market housing",INDEX(PlotData,MATCH($A20,PlotNumber,0),MATCH("Tenure detail",PlotTitles,0))="Private rented sector"),INDEX(PlotData,MATCH($A20,PlotNumber,0),MATCH("Tenure",PlotTitles,0))="Affordable rent")),"",NOT(INDEX(PlotData,MATCH($A20,PlotNumber,0),MATCH(S$3,PlotTitles,0))=0), $AB$24,TRUE,"")</f>
        <v/>
      </c>
      <c r="V20" s="114" t="str" cm="1">
        <f t="array" aca="1" ref="V20" ca="1">_xlfn.IFS(ISBLANK(NumberOfPlots),"Enter the number of homes on the 1_SetUp sheet",AND(A20&gt;NumberOfPlots,ISBLANK(INDEX(PlotData,MATCH($A20,PlotNumber,0),MATCH(B$3,PlotTitles,0)))),"No error",NOT(B20=""),B20,NOT(C20=""),C20,NOT(D20=""),D20,NOT(E20=""),E20,NOT(F20=""),F20,NOT(G20=""),G20,NOT(H20=""),H20,NOT(I20=""),I20,NOT(J20=""),J20,NOT(K20=""),K20,NOT(L20=""),L20,NOT(M20=""),M20,NOT(N20=""),N20,NOT(O20=""),O20,NOT(P20=""),P20,NOT(Q20=""),Q20,NOT(R20=""),R20,NOT(S20=""),S20,NOT(T20=""),T20,NOT(U20=""),U20,TRUE,"No error")</f>
        <v>Enter the number of homes on the 1_SetUp sheet</v>
      </c>
      <c r="W20" s="114" t="str">
        <f t="shared" ca="1" si="2"/>
        <v xml:space="preserve">The Borrower has not addressed the following error messages for Home ID 16: </v>
      </c>
      <c r="X20" s="114"/>
      <c r="Y20" s="114"/>
      <c r="Z20" s="124" t="s">
        <v>280</v>
      </c>
      <c r="AA20" s="125" t="s">
        <v>256</v>
      </c>
      <c r="AB20" s="124" t="s">
        <v>282</v>
      </c>
      <c r="AC20" s="114"/>
    </row>
    <row r="21" spans="1:29">
      <c r="A21" s="123">
        <v>17</v>
      </c>
      <c r="B21" s="104" t="str" cm="1">
        <f t="array" ref="B21">_xlfn.IFS(AND(A21&gt;NumberOfPlots,ISBLANK(INDEX(PlotData,MATCH($A21,PlotNumber,0),MATCH(B$3,PlotTitles,0)))),"",ISNUMBER(INDEX(PlotData,MATCH($A21,PlotNumber,0),MATCH(B$3,PlotTitles,0)))=FALSE, $AB$5,TRUE,"")</f>
        <v/>
      </c>
      <c r="C21" s="104" t="str" cm="1">
        <f t="array" ref="C21">_xlfn.IFS(AND(A21&gt;NumberOfPlots,ISBLANK(INDEX(PlotData,MATCH($A21,PlotNumber,0),MATCH(B$3,PlotTitles,0)))),"",ISBLANK(INDEX(PlotData,MATCH($A21,PlotNumber,0),MATCH(C$3,PlotTitles,0))),$AB$6,TRUE,"")</f>
        <v/>
      </c>
      <c r="D21" s="104" t="str" cm="1">
        <f t="array" ref="D21">_xlfn.IFS(AND(A21&gt;NumberOfPlots,ISBLANK(INDEX(PlotData,MATCH($A21,PlotNumber,0),MATCH(B$3,PlotTitles,0)))),"",ISBLANK(INDEX(PlotData,MATCH($A21,PlotNumber,0),MATCH(D$3,PlotTitles,0))),$AB$7,TRUE,"")</f>
        <v/>
      </c>
      <c r="E21" s="104" t="str" cm="1">
        <f t="array" ref="E21">_xlfn.IFS(AND(A21&gt;NumberOfPlots,ISBLANK(INDEX(PlotData,MATCH($A21,PlotNumber,0),MATCH(B$3,PlotTitles,0)))),"",ISBLANK(INDEX(PlotData,MATCH($A21,PlotNumber,0),MATCH(E$3,PlotTitles,0))),$AB$8,TRUE,"")</f>
        <v/>
      </c>
      <c r="F21" s="104" t="str" cm="1">
        <f t="array" ref="F21">_xlfn.IFS(AND(A21&gt;NumberOfPlots,ISBLANK(INDEX(PlotData,MATCH($A21,PlotNumber,0),MATCH(B$3,PlotTitles,0)))),"",ISBLANK(INDEX(PlotData,MATCH($A21,PlotNumber,0),MATCH(F$3,PlotTitles,0))),$AB$9,TRUE,"")</f>
        <v/>
      </c>
      <c r="G21" s="104" t="str" cm="1">
        <f t="array" ref="G21">_xlfn.IFS(AND(A21&gt;NumberOfPlots,ISBLANK(INDEX(PlotData,MATCH($A21,PlotNumber,0),MATCH(B$3,PlotTitles,0)))),"",ISBLANK(INDEX(PlotData,MATCH($A21,PlotNumber,0),MATCH(G$3,PlotTitles,0))),$AB$10,TRUE,"")</f>
        <v/>
      </c>
      <c r="H21" s="104" t="str" cm="1">
        <f t="array" ref="H21">_xlfn.IFS(AND(A21&gt;NumberOfPlots,ISBLANK(INDEX(PlotData,MATCH($A21,PlotNumber,0),MATCH(B$3,PlotTitles,0)))),"",AND(ISBLANK(INDEX(PlotData,MATCH($A21,PlotNumber,0),MATCH(H$3,PlotTitles,0)))=FALSE,INDEX(PlotData,MATCH($A21,PlotNumber,0),MATCH(H$3,PlotTitles,0))&lt;500), $AB$11,TRUE,"")</f>
        <v/>
      </c>
      <c r="I21" s="104" t="str" cm="1">
        <f t="array" ref="I21">_xlfn.IFS(AND(A21&gt;NumberOfPlots,ISBLANK(INDEX(PlotData,MATCH($A21,PlotNumber,0),MATCH(B$3,PlotTitles,0)))),"",ISBLANK(INDEX(PlotData,MATCH($A21,PlotNumber,0),MATCH(I$3,PlotTitles,0))),$AB$12,TRUE,"")</f>
        <v/>
      </c>
      <c r="J21" s="104" t="str" cm="1">
        <f t="array" ref="J21">_xlfn.IFS(AND(A21&gt;NumberOfPlots,ISBLANK(INDEX(PlotData,MATCH($A21,PlotNumber,0),MATCH(B$3,PlotTitles,0)))),"",ISBLANK(INDEX(PlotData,MATCH($A21,PlotNumber,0),MATCH(J$3,PlotTitles,0))),$AB$13,TRUE,"")</f>
        <v/>
      </c>
      <c r="K21" s="182" t="str">
        <f t="shared" ca="1" si="0"/>
        <v/>
      </c>
      <c r="L21" s="104" t="str" cm="1">
        <f t="array" ref="L21">_xlfn.IFS(OR(ISBLANK(StartDateMonth),ISBLANK(StartDateYear)),"",AND(A21&gt;NumberOfPlots,ISBLANK(INDEX(PlotData,MATCH($A21,PlotNumber,0),MATCH(B$3,PlotTitles,0)))),"",ISBLANK(INDEX(PlotData,MATCH($A21,PlotNumber,0),MATCH(I$3,PlotTitles,0))),"",(DATEVALUE(INDEX(PlotData,MATCH($A21,PlotNumber,0),MATCH(I$3,PlotTitles,0))&amp;INDEX(PlotData,MATCH($A21,PlotNumber,0),MATCH(J$3,PlotTitles,0))))&lt;DATEVALUE(StartDateMonth&amp;StartDateYear),$AB$15,TRUE,"")</f>
        <v/>
      </c>
      <c r="M21" s="104" t="str" cm="1">
        <f t="array" ref="M21">_xlfn.IFS(OR(ISBLANK(StartDateMonth),ISBLANK(StartDateYear)),"",AND(A21&gt;NumberOfPlots,ISBLANK(INDEX(PlotData,MATCH($A21,PlotNumber,0),MATCH(B$3,PlotTitles,0)))),"",ISBLANK(INDEX(PlotData,MATCH($A21,PlotNumber,0),MATCH(I$3,PlotTitles,0))),"",CompletionMonth="","",(DATEVALUE(INDEX(PlotData,MATCH($A21,PlotNumber,0),MATCH(I$3,PlotTitles,0))&amp;INDEX(PlotData,MATCH($A21,PlotNumber,0),MATCH(J$3,PlotTitles,0))))&gt;(DATEVALUE(CompletionMonth&amp;CompletionYear)),$AB$16,TRUE,"")</f>
        <v/>
      </c>
      <c r="N21" s="104" t="str" cm="1">
        <f t="array" ref="N21">_xlfn.IFS(AND(A21&gt;NumberOfPlots,ISBLANK(INDEX(PlotData,MATCH($A21,PlotNumber,0),MATCH(B$3,PlotTitles,0)))),"",ISBLANK(INDEX(PlotData,MATCH($A21,PlotNumber,0),MATCH(N$3,PlotTitles,0))),$AB$17,TRUE,"")</f>
        <v/>
      </c>
      <c r="O21" s="104" t="str" cm="1">
        <f t="array" ref="O21">_xlfn.IFS(AND(A21&gt;NumberOfPlots,ISBLANK(INDEX(PlotData,MATCH($A21,PlotNumber,0),MATCH(B$3,PlotTitles,0)))),"",ISBLANK(INDEX(PlotData,MATCH($A21,PlotNumber,0),MATCH(O$3,PlotTitles,0))),$AB$18,TRUE,"")</f>
        <v/>
      </c>
      <c r="P21" s="182" t="str">
        <f t="shared" ca="1" si="1"/>
        <v/>
      </c>
      <c r="Q21" s="104" t="str" cm="1">
        <f t="array" ref="Q21">_xlfn.IFS(AND(A21&gt;NumberOfPlots,ISBLANK(INDEX(PlotData,MATCH($A21,PlotNumber,0),MATCH(B$3,PlotTitles,0)))),"",ISBLANK(INDEX(PlotData,MATCH($A21,PlotNumber,0),MATCH(N$3,PlotTitles,0))),"",(DATEVALUE(INDEX(PlotData,MATCH($A21,PlotNumber,0),MATCH(N$3,PlotTitles,0))&amp;INDEX(PlotData,MATCH($A21,PlotNumber,0),MATCH(O$3,PlotTitles,0))))&lt;(DATEVALUE(INDEX(PlotData,MATCH($A21,PlotNumber,0),MATCH(I$3,PlotTitles,0))&amp;INDEX(PlotData,MATCH($A21,PlotNumber,0),MATCH(J$3,PlotTitles,0)))),$AB$20,TRUE,"")</f>
        <v/>
      </c>
      <c r="R21" s="104" t="str" cm="1">
        <f t="array" ref="R21">_xlfn.IFS(OR(ISBLANK(StartDateMonth),ISBLANK(StartDateYear)),"",AND(A21&gt;NumberOfPlots,ISBLANK(INDEX(PlotData,MATCH($A21,PlotNumber,0),MATCH(B$3,PlotTitles,0)))),"",ISBLANK(INDEX(PlotData,MATCH($A21,PlotNumber,0),MATCH(N$3,PlotTitles,0))),"",CompletionMonth="","",(DATEVALUE(INDEX(PlotData,MATCH($A21,PlotNumber,0),MATCH(N$3,PlotTitles,0))&amp;INDEX(PlotData,MATCH($A21,PlotNumber,0),MATCH(O$3,PlotTitles,0))))&gt;(DATEVALUE(CompletionMonth&amp;CompletionYear)),$AB$21,TRUE,"")</f>
        <v/>
      </c>
      <c r="S21" s="104" t="str" cm="1">
        <f t="array" ref="S21">_xlfn.IFS(AND(A21&gt;NumberOfPlots,ISBLANK(INDEX(PlotData,MATCH($A21,PlotNumber,0),MATCH(B$3,PlotTitles,0)))),"",OR(AND(INDEX(PlotData,MATCH($A21,PlotNumber,0),MATCH("Tenure",PlotTitles,0))="Open market housing",INDEX(PlotData,MATCH($A21,PlotNumber,0),MATCH("Tenure detail",PlotTitles,0))="Private rented sector"),INDEX(PlotData,MATCH($A21,PlotNumber,0),MATCH("Tenure",PlotTitles,0))="Affordable rent"),"",ISNUMBER(INDEX(PlotData,MATCH($A21,PlotNumber,0),MATCH(S$3,PlotTitles,0)))=FALSE, $AB$22,TRUE,"")</f>
        <v/>
      </c>
      <c r="T21" s="104" t="str" cm="1">
        <f t="array" ref="T21">_xlfn.IFS(AND(A21&gt;NumberOfPlots,ISBLANK(INDEX(PlotData,MATCH($A21,PlotNumber,0),MATCH(B$3,PlotTitles,0)))),"",OR(AND(INDEX(PlotData,MATCH($A21,PlotNumber,0),MATCH("Tenure",PlotTitles,0))="Open market housing",INDEX(PlotData,MATCH($A21,PlotNumber,0),MATCH("Tenure detail",PlotTitles,0))="Private rented sector"),INDEX(PlotData,MATCH($A21,PlotNumber,0),MATCH("Tenure",PlotTitles,0))="Affordable rent"),"",INDEX(PlotData,MATCH($A21,PlotNumber,0),MATCH(S$3,PlotTitles,0))&lt;10000, $AB$23,TRUE,"")</f>
        <v/>
      </c>
      <c r="U21" s="104" t="str" cm="1">
        <f t="array" ref="U21">_xlfn.IFS(AND(A21&gt;NumberOfPlots,ISBLANK(INDEX(PlotData,MATCH($A21,PlotNumber,0),MATCH(B$3,PlotTitles,0)))),"",NOT(OR(AND(INDEX(PlotData,MATCH($A21,PlotNumber,0),MATCH("Tenure",PlotTitles,0))="Open market housing",INDEX(PlotData,MATCH($A21,PlotNumber,0),MATCH("Tenure detail",PlotTitles,0))="Private rented sector"),INDEX(PlotData,MATCH($A21,PlotNumber,0),MATCH("Tenure",PlotTitles,0))="Affordable rent")),"",NOT(INDEX(PlotData,MATCH($A21,PlotNumber,0),MATCH(S$3,PlotTitles,0))=0), $AB$24,TRUE,"")</f>
        <v/>
      </c>
      <c r="V21" s="114" t="str" cm="1">
        <f t="array" aca="1" ref="V21" ca="1">_xlfn.IFS(ISBLANK(NumberOfPlots),"Enter the number of homes on the 1_SetUp sheet",AND(A21&gt;NumberOfPlots,ISBLANK(INDEX(PlotData,MATCH($A21,PlotNumber,0),MATCH(B$3,PlotTitles,0)))),"No error",NOT(B21=""),B21,NOT(C21=""),C21,NOT(D21=""),D21,NOT(E21=""),E21,NOT(F21=""),F21,NOT(G21=""),G21,NOT(H21=""),H21,NOT(I21=""),I21,NOT(J21=""),J21,NOT(K21=""),K21,NOT(L21=""),L21,NOT(M21=""),M21,NOT(N21=""),N21,NOT(O21=""),O21,NOT(P21=""),P21,NOT(Q21=""),Q21,NOT(R21=""),R21,NOT(S21=""),S21,NOT(T21=""),T21,NOT(U21=""),U21,TRUE,"No error")</f>
        <v>Enter the number of homes on the 1_SetUp sheet</v>
      </c>
      <c r="W21" s="114" t="str">
        <f t="shared" ca="1" si="2"/>
        <v xml:space="preserve">The Borrower has not addressed the following error messages for Home ID 17: </v>
      </c>
      <c r="X21" s="114"/>
      <c r="Y21" s="114"/>
      <c r="Z21" s="124" t="s">
        <v>280</v>
      </c>
      <c r="AA21" s="124" t="s">
        <v>255</v>
      </c>
      <c r="AB21" s="124" t="s">
        <v>283</v>
      </c>
      <c r="AC21" s="114"/>
    </row>
    <row r="22" spans="1:29">
      <c r="A22" s="123">
        <v>18</v>
      </c>
      <c r="B22" s="104" t="str" cm="1">
        <f t="array" ref="B22">_xlfn.IFS(AND(A22&gt;NumberOfPlots,ISBLANK(INDEX(PlotData,MATCH($A22,PlotNumber,0),MATCH(B$3,PlotTitles,0)))),"",ISNUMBER(INDEX(PlotData,MATCH($A22,PlotNumber,0),MATCH(B$3,PlotTitles,0)))=FALSE, $AB$5,TRUE,"")</f>
        <v/>
      </c>
      <c r="C22" s="104" t="str" cm="1">
        <f t="array" ref="C22">_xlfn.IFS(AND(A22&gt;NumberOfPlots,ISBLANK(INDEX(PlotData,MATCH($A22,PlotNumber,0),MATCH(B$3,PlotTitles,0)))),"",ISBLANK(INDEX(PlotData,MATCH($A22,PlotNumber,0),MATCH(C$3,PlotTitles,0))),$AB$6,TRUE,"")</f>
        <v/>
      </c>
      <c r="D22" s="104" t="str" cm="1">
        <f t="array" ref="D22">_xlfn.IFS(AND(A22&gt;NumberOfPlots,ISBLANK(INDEX(PlotData,MATCH($A22,PlotNumber,0),MATCH(B$3,PlotTitles,0)))),"",ISBLANK(INDEX(PlotData,MATCH($A22,PlotNumber,0),MATCH(D$3,PlotTitles,0))),$AB$7,TRUE,"")</f>
        <v/>
      </c>
      <c r="E22" s="104" t="str" cm="1">
        <f t="array" ref="E22">_xlfn.IFS(AND(A22&gt;NumberOfPlots,ISBLANK(INDEX(PlotData,MATCH($A22,PlotNumber,0),MATCH(B$3,PlotTitles,0)))),"",ISBLANK(INDEX(PlotData,MATCH($A22,PlotNumber,0),MATCH(E$3,PlotTitles,0))),$AB$8,TRUE,"")</f>
        <v/>
      </c>
      <c r="F22" s="104" t="str" cm="1">
        <f t="array" ref="F22">_xlfn.IFS(AND(A22&gt;NumberOfPlots,ISBLANK(INDEX(PlotData,MATCH($A22,PlotNumber,0),MATCH(B$3,PlotTitles,0)))),"",ISBLANK(INDEX(PlotData,MATCH($A22,PlotNumber,0),MATCH(F$3,PlotTitles,0))),$AB$9,TRUE,"")</f>
        <v/>
      </c>
      <c r="G22" s="104" t="str" cm="1">
        <f t="array" ref="G22">_xlfn.IFS(AND(A22&gt;NumberOfPlots,ISBLANK(INDEX(PlotData,MATCH($A22,PlotNumber,0),MATCH(B$3,PlotTitles,0)))),"",ISBLANK(INDEX(PlotData,MATCH($A22,PlotNumber,0),MATCH(G$3,PlotTitles,0))),$AB$10,TRUE,"")</f>
        <v/>
      </c>
      <c r="H22" s="104" t="str" cm="1">
        <f t="array" ref="H22">_xlfn.IFS(AND(A22&gt;NumberOfPlots,ISBLANK(INDEX(PlotData,MATCH($A22,PlotNumber,0),MATCH(B$3,PlotTitles,0)))),"",AND(ISBLANK(INDEX(PlotData,MATCH($A22,PlotNumber,0),MATCH(H$3,PlotTitles,0)))=FALSE,INDEX(PlotData,MATCH($A22,PlotNumber,0),MATCH(H$3,PlotTitles,0))&lt;500), $AB$11,TRUE,"")</f>
        <v/>
      </c>
      <c r="I22" s="104" t="str" cm="1">
        <f t="array" ref="I22">_xlfn.IFS(AND(A22&gt;NumberOfPlots,ISBLANK(INDEX(PlotData,MATCH($A22,PlotNumber,0),MATCH(B$3,PlotTitles,0)))),"",ISBLANK(INDEX(PlotData,MATCH($A22,PlotNumber,0),MATCH(I$3,PlotTitles,0))),$AB$12,TRUE,"")</f>
        <v/>
      </c>
      <c r="J22" s="104" t="str" cm="1">
        <f t="array" ref="J22">_xlfn.IFS(AND(A22&gt;NumberOfPlots,ISBLANK(INDEX(PlotData,MATCH($A22,PlotNumber,0),MATCH(B$3,PlotTitles,0)))),"",ISBLANK(INDEX(PlotData,MATCH($A22,PlotNumber,0),MATCH(J$3,PlotTitles,0))),$AB$13,TRUE,"")</f>
        <v/>
      </c>
      <c r="K22" s="182" t="str">
        <f t="shared" ca="1" si="0"/>
        <v/>
      </c>
      <c r="L22" s="104" t="str" cm="1">
        <f t="array" ref="L22">_xlfn.IFS(OR(ISBLANK(StartDateMonth),ISBLANK(StartDateYear)),"",AND(A22&gt;NumberOfPlots,ISBLANK(INDEX(PlotData,MATCH($A22,PlotNumber,0),MATCH(B$3,PlotTitles,0)))),"",ISBLANK(INDEX(PlotData,MATCH($A22,PlotNumber,0),MATCH(I$3,PlotTitles,0))),"",(DATEVALUE(INDEX(PlotData,MATCH($A22,PlotNumber,0),MATCH(I$3,PlotTitles,0))&amp;INDEX(PlotData,MATCH($A22,PlotNumber,0),MATCH(J$3,PlotTitles,0))))&lt;DATEVALUE(StartDateMonth&amp;StartDateYear),$AB$15,TRUE,"")</f>
        <v/>
      </c>
      <c r="M22" s="104" t="str" cm="1">
        <f t="array" ref="M22">_xlfn.IFS(OR(ISBLANK(StartDateMonth),ISBLANK(StartDateYear)),"",AND(A22&gt;NumberOfPlots,ISBLANK(INDEX(PlotData,MATCH($A22,PlotNumber,0),MATCH(B$3,PlotTitles,0)))),"",ISBLANK(INDEX(PlotData,MATCH($A22,PlotNumber,0),MATCH(I$3,PlotTitles,0))),"",CompletionMonth="","",(DATEVALUE(INDEX(PlotData,MATCH($A22,PlotNumber,0),MATCH(I$3,PlotTitles,0))&amp;INDEX(PlotData,MATCH($A22,PlotNumber,0),MATCH(J$3,PlotTitles,0))))&gt;(DATEVALUE(CompletionMonth&amp;CompletionYear)),$AB$16,TRUE,"")</f>
        <v/>
      </c>
      <c r="N22" s="104" t="str" cm="1">
        <f t="array" ref="N22">_xlfn.IFS(AND(A22&gt;NumberOfPlots,ISBLANK(INDEX(PlotData,MATCH($A22,PlotNumber,0),MATCH(B$3,PlotTitles,0)))),"",ISBLANK(INDEX(PlotData,MATCH($A22,PlotNumber,0),MATCH(N$3,PlotTitles,0))),$AB$17,TRUE,"")</f>
        <v/>
      </c>
      <c r="O22" s="104" t="str" cm="1">
        <f t="array" ref="O22">_xlfn.IFS(AND(A22&gt;NumberOfPlots,ISBLANK(INDEX(PlotData,MATCH($A22,PlotNumber,0),MATCH(B$3,PlotTitles,0)))),"",ISBLANK(INDEX(PlotData,MATCH($A22,PlotNumber,0),MATCH(O$3,PlotTitles,0))),$AB$18,TRUE,"")</f>
        <v/>
      </c>
      <c r="P22" s="182" t="str">
        <f t="shared" ca="1" si="1"/>
        <v/>
      </c>
      <c r="Q22" s="104" t="str" cm="1">
        <f t="array" ref="Q22">_xlfn.IFS(AND(A22&gt;NumberOfPlots,ISBLANK(INDEX(PlotData,MATCH($A22,PlotNumber,0),MATCH(B$3,PlotTitles,0)))),"",ISBLANK(INDEX(PlotData,MATCH($A22,PlotNumber,0),MATCH(N$3,PlotTitles,0))),"",(DATEVALUE(INDEX(PlotData,MATCH($A22,PlotNumber,0),MATCH(N$3,PlotTitles,0))&amp;INDEX(PlotData,MATCH($A22,PlotNumber,0),MATCH(O$3,PlotTitles,0))))&lt;(DATEVALUE(INDEX(PlotData,MATCH($A22,PlotNumber,0),MATCH(I$3,PlotTitles,0))&amp;INDEX(PlotData,MATCH($A22,PlotNumber,0),MATCH(J$3,PlotTitles,0)))),$AB$20,TRUE,"")</f>
        <v/>
      </c>
      <c r="R22" s="104" t="str" cm="1">
        <f t="array" ref="R22">_xlfn.IFS(OR(ISBLANK(StartDateMonth),ISBLANK(StartDateYear)),"",AND(A22&gt;NumberOfPlots,ISBLANK(INDEX(PlotData,MATCH($A22,PlotNumber,0),MATCH(B$3,PlotTitles,0)))),"",ISBLANK(INDEX(PlotData,MATCH($A22,PlotNumber,0),MATCH(N$3,PlotTitles,0))),"",CompletionMonth="","",(DATEVALUE(INDEX(PlotData,MATCH($A22,PlotNumber,0),MATCH(N$3,PlotTitles,0))&amp;INDEX(PlotData,MATCH($A22,PlotNumber,0),MATCH(O$3,PlotTitles,0))))&gt;(DATEVALUE(CompletionMonth&amp;CompletionYear)),$AB$21,TRUE,"")</f>
        <v/>
      </c>
      <c r="S22" s="104" t="str" cm="1">
        <f t="array" ref="S22">_xlfn.IFS(AND(A22&gt;NumberOfPlots,ISBLANK(INDEX(PlotData,MATCH($A22,PlotNumber,0),MATCH(B$3,PlotTitles,0)))),"",OR(AND(INDEX(PlotData,MATCH($A22,PlotNumber,0),MATCH("Tenure",PlotTitles,0))="Open market housing",INDEX(PlotData,MATCH($A22,PlotNumber,0),MATCH("Tenure detail",PlotTitles,0))="Private rented sector"),INDEX(PlotData,MATCH($A22,PlotNumber,0),MATCH("Tenure",PlotTitles,0))="Affordable rent"),"",ISNUMBER(INDEX(PlotData,MATCH($A22,PlotNumber,0),MATCH(S$3,PlotTitles,0)))=FALSE, $AB$22,TRUE,"")</f>
        <v/>
      </c>
      <c r="T22" s="104" t="str" cm="1">
        <f t="array" ref="T22">_xlfn.IFS(AND(A22&gt;NumberOfPlots,ISBLANK(INDEX(PlotData,MATCH($A22,PlotNumber,0),MATCH(B$3,PlotTitles,0)))),"",OR(AND(INDEX(PlotData,MATCH($A22,PlotNumber,0),MATCH("Tenure",PlotTitles,0))="Open market housing",INDEX(PlotData,MATCH($A22,PlotNumber,0),MATCH("Tenure detail",PlotTitles,0))="Private rented sector"),INDEX(PlotData,MATCH($A22,PlotNumber,0),MATCH("Tenure",PlotTitles,0))="Affordable rent"),"",INDEX(PlotData,MATCH($A22,PlotNumber,0),MATCH(S$3,PlotTitles,0))&lt;10000, $AB$23,TRUE,"")</f>
        <v/>
      </c>
      <c r="U22" s="104" t="str" cm="1">
        <f t="array" ref="U22">_xlfn.IFS(AND(A22&gt;NumberOfPlots,ISBLANK(INDEX(PlotData,MATCH($A22,PlotNumber,0),MATCH(B$3,PlotTitles,0)))),"",NOT(OR(AND(INDEX(PlotData,MATCH($A22,PlotNumber,0),MATCH("Tenure",PlotTitles,0))="Open market housing",INDEX(PlotData,MATCH($A22,PlotNumber,0),MATCH("Tenure detail",PlotTitles,0))="Private rented sector"),INDEX(PlotData,MATCH($A22,PlotNumber,0),MATCH("Tenure",PlotTitles,0))="Affordable rent")),"",NOT(INDEX(PlotData,MATCH($A22,PlotNumber,0),MATCH(S$3,PlotTitles,0))=0), $AB$24,TRUE,"")</f>
        <v/>
      </c>
      <c r="V22" s="114" t="str" cm="1">
        <f t="array" aca="1" ref="V22" ca="1">_xlfn.IFS(ISBLANK(NumberOfPlots),"Enter the number of homes on the 1_SetUp sheet",AND(A22&gt;NumberOfPlots,ISBLANK(INDEX(PlotData,MATCH($A22,PlotNumber,0),MATCH(B$3,PlotTitles,0)))),"No error",NOT(B22=""),B22,NOT(C22=""),C22,NOT(D22=""),D22,NOT(E22=""),E22,NOT(F22=""),F22,NOT(G22=""),G22,NOT(H22=""),H22,NOT(I22=""),I22,NOT(J22=""),J22,NOT(K22=""),K22,NOT(L22=""),L22,NOT(M22=""),M22,NOT(N22=""),N22,NOT(O22=""),O22,NOT(P22=""),P22,NOT(Q22=""),Q22,NOT(R22=""),R22,NOT(S22=""),S22,NOT(T22=""),T22,NOT(U22=""),U22,TRUE,"No error")</f>
        <v>Enter the number of homes on the 1_SetUp sheet</v>
      </c>
      <c r="W22" s="114" t="str">
        <f t="shared" ca="1" si="2"/>
        <v xml:space="preserve">The Borrower has not addressed the following error messages for Home ID 18: </v>
      </c>
      <c r="X22" s="114"/>
      <c r="Y22" s="114"/>
      <c r="Z22" s="124" t="s">
        <v>53</v>
      </c>
      <c r="AA22" s="124" t="s">
        <v>284</v>
      </c>
      <c r="AB22" s="124" t="s">
        <v>285</v>
      </c>
      <c r="AC22" s="114"/>
    </row>
    <row r="23" spans="1:29">
      <c r="A23" s="123">
        <v>19</v>
      </c>
      <c r="B23" s="104" t="str" cm="1">
        <f t="array" ref="B23">_xlfn.IFS(AND(A23&gt;NumberOfPlots,ISBLANK(INDEX(PlotData,MATCH($A23,PlotNumber,0),MATCH(B$3,PlotTitles,0)))),"",ISNUMBER(INDEX(PlotData,MATCH($A23,PlotNumber,0),MATCH(B$3,PlotTitles,0)))=FALSE, $AB$5,TRUE,"")</f>
        <v/>
      </c>
      <c r="C23" s="104" t="str" cm="1">
        <f t="array" ref="C23">_xlfn.IFS(AND(A23&gt;NumberOfPlots,ISBLANK(INDEX(PlotData,MATCH($A23,PlotNumber,0),MATCH(B$3,PlotTitles,0)))),"",ISBLANK(INDEX(PlotData,MATCH($A23,PlotNumber,0),MATCH(C$3,PlotTitles,0))),$AB$6,TRUE,"")</f>
        <v/>
      </c>
      <c r="D23" s="104" t="str" cm="1">
        <f t="array" ref="D23">_xlfn.IFS(AND(A23&gt;NumberOfPlots,ISBLANK(INDEX(PlotData,MATCH($A23,PlotNumber,0),MATCH(B$3,PlotTitles,0)))),"",ISBLANK(INDEX(PlotData,MATCH($A23,PlotNumber,0),MATCH(D$3,PlotTitles,0))),$AB$7,TRUE,"")</f>
        <v/>
      </c>
      <c r="E23" s="104" t="str" cm="1">
        <f t="array" ref="E23">_xlfn.IFS(AND(A23&gt;NumberOfPlots,ISBLANK(INDEX(PlotData,MATCH($A23,PlotNumber,0),MATCH(B$3,PlotTitles,0)))),"",ISBLANK(INDEX(PlotData,MATCH($A23,PlotNumber,0),MATCH(E$3,PlotTitles,0))),$AB$8,TRUE,"")</f>
        <v/>
      </c>
      <c r="F23" s="104" t="str" cm="1">
        <f t="array" ref="F23">_xlfn.IFS(AND(A23&gt;NumberOfPlots,ISBLANK(INDEX(PlotData,MATCH($A23,PlotNumber,0),MATCH(B$3,PlotTitles,0)))),"",ISBLANK(INDEX(PlotData,MATCH($A23,PlotNumber,0),MATCH(F$3,PlotTitles,0))),$AB$9,TRUE,"")</f>
        <v/>
      </c>
      <c r="G23" s="104" t="str" cm="1">
        <f t="array" ref="G23">_xlfn.IFS(AND(A23&gt;NumberOfPlots,ISBLANK(INDEX(PlotData,MATCH($A23,PlotNumber,0),MATCH(B$3,PlotTitles,0)))),"",ISBLANK(INDEX(PlotData,MATCH($A23,PlotNumber,0),MATCH(G$3,PlotTitles,0))),$AB$10,TRUE,"")</f>
        <v/>
      </c>
      <c r="H23" s="104" t="str" cm="1">
        <f t="array" ref="H23">_xlfn.IFS(AND(A23&gt;NumberOfPlots,ISBLANK(INDEX(PlotData,MATCH($A23,PlotNumber,0),MATCH(B$3,PlotTitles,0)))),"",AND(ISBLANK(INDEX(PlotData,MATCH($A23,PlotNumber,0),MATCH(H$3,PlotTitles,0)))=FALSE,INDEX(PlotData,MATCH($A23,PlotNumber,0),MATCH(H$3,PlotTitles,0))&lt;500), $AB$11,TRUE,"")</f>
        <v/>
      </c>
      <c r="I23" s="104" t="str" cm="1">
        <f t="array" ref="I23">_xlfn.IFS(AND(A23&gt;NumberOfPlots,ISBLANK(INDEX(PlotData,MATCH($A23,PlotNumber,0),MATCH(B$3,PlotTitles,0)))),"",ISBLANK(INDEX(PlotData,MATCH($A23,PlotNumber,0),MATCH(I$3,PlotTitles,0))),$AB$12,TRUE,"")</f>
        <v/>
      </c>
      <c r="J23" s="104" t="str" cm="1">
        <f t="array" ref="J23">_xlfn.IFS(AND(A23&gt;NumberOfPlots,ISBLANK(INDEX(PlotData,MATCH($A23,PlotNumber,0),MATCH(B$3,PlotTitles,0)))),"",ISBLANK(INDEX(PlotData,MATCH($A23,PlotNumber,0),MATCH(J$3,PlotTitles,0))),$AB$13,TRUE,"")</f>
        <v/>
      </c>
      <c r="K23" s="182" t="str">
        <f t="shared" ca="1" si="0"/>
        <v/>
      </c>
      <c r="L23" s="104" t="str" cm="1">
        <f t="array" ref="L23">_xlfn.IFS(OR(ISBLANK(StartDateMonth),ISBLANK(StartDateYear)),"",AND(A23&gt;NumberOfPlots,ISBLANK(INDEX(PlotData,MATCH($A23,PlotNumber,0),MATCH(B$3,PlotTitles,0)))),"",ISBLANK(INDEX(PlotData,MATCH($A23,PlotNumber,0),MATCH(I$3,PlotTitles,0))),"",(DATEVALUE(INDEX(PlotData,MATCH($A23,PlotNumber,0),MATCH(I$3,PlotTitles,0))&amp;INDEX(PlotData,MATCH($A23,PlotNumber,0),MATCH(J$3,PlotTitles,0))))&lt;DATEVALUE(StartDateMonth&amp;StartDateYear),$AB$15,TRUE,"")</f>
        <v/>
      </c>
      <c r="M23" s="104" t="str" cm="1">
        <f t="array" ref="M23">_xlfn.IFS(OR(ISBLANK(StartDateMonth),ISBLANK(StartDateYear)),"",AND(A23&gt;NumberOfPlots,ISBLANK(INDEX(PlotData,MATCH($A23,PlotNumber,0),MATCH(B$3,PlotTitles,0)))),"",ISBLANK(INDEX(PlotData,MATCH($A23,PlotNumber,0),MATCH(I$3,PlotTitles,0))),"",CompletionMonth="","",(DATEVALUE(INDEX(PlotData,MATCH($A23,PlotNumber,0),MATCH(I$3,PlotTitles,0))&amp;INDEX(PlotData,MATCH($A23,PlotNumber,0),MATCH(J$3,PlotTitles,0))))&gt;(DATEVALUE(CompletionMonth&amp;CompletionYear)),$AB$16,TRUE,"")</f>
        <v/>
      </c>
      <c r="N23" s="104" t="str" cm="1">
        <f t="array" ref="N23">_xlfn.IFS(AND(A23&gt;NumberOfPlots,ISBLANK(INDEX(PlotData,MATCH($A23,PlotNumber,0),MATCH(B$3,PlotTitles,0)))),"",ISBLANK(INDEX(PlotData,MATCH($A23,PlotNumber,0),MATCH(N$3,PlotTitles,0))),$AB$17,TRUE,"")</f>
        <v/>
      </c>
      <c r="O23" s="104" t="str" cm="1">
        <f t="array" ref="O23">_xlfn.IFS(AND(A23&gt;NumberOfPlots,ISBLANK(INDEX(PlotData,MATCH($A23,PlotNumber,0),MATCH(B$3,PlotTitles,0)))),"",ISBLANK(INDEX(PlotData,MATCH($A23,PlotNumber,0),MATCH(O$3,PlotTitles,0))),$AB$18,TRUE,"")</f>
        <v/>
      </c>
      <c r="P23" s="182" t="str">
        <f t="shared" ca="1" si="1"/>
        <v/>
      </c>
      <c r="Q23" s="104" t="str" cm="1">
        <f t="array" ref="Q23">_xlfn.IFS(AND(A23&gt;NumberOfPlots,ISBLANK(INDEX(PlotData,MATCH($A23,PlotNumber,0),MATCH(B$3,PlotTitles,0)))),"",ISBLANK(INDEX(PlotData,MATCH($A23,PlotNumber,0),MATCH(N$3,PlotTitles,0))),"",(DATEVALUE(INDEX(PlotData,MATCH($A23,PlotNumber,0),MATCH(N$3,PlotTitles,0))&amp;INDEX(PlotData,MATCH($A23,PlotNumber,0),MATCH(O$3,PlotTitles,0))))&lt;(DATEVALUE(INDEX(PlotData,MATCH($A23,PlotNumber,0),MATCH(I$3,PlotTitles,0))&amp;INDEX(PlotData,MATCH($A23,PlotNumber,0),MATCH(J$3,PlotTitles,0)))),$AB$20,TRUE,"")</f>
        <v/>
      </c>
      <c r="R23" s="104" t="str" cm="1">
        <f t="array" ref="R23">_xlfn.IFS(OR(ISBLANK(StartDateMonth),ISBLANK(StartDateYear)),"",AND(A23&gt;NumberOfPlots,ISBLANK(INDEX(PlotData,MATCH($A23,PlotNumber,0),MATCH(B$3,PlotTitles,0)))),"",ISBLANK(INDEX(PlotData,MATCH($A23,PlotNumber,0),MATCH(N$3,PlotTitles,0))),"",CompletionMonth="","",(DATEVALUE(INDEX(PlotData,MATCH($A23,PlotNumber,0),MATCH(N$3,PlotTitles,0))&amp;INDEX(PlotData,MATCH($A23,PlotNumber,0),MATCH(O$3,PlotTitles,0))))&gt;(DATEVALUE(CompletionMonth&amp;CompletionYear)),$AB$21,TRUE,"")</f>
        <v/>
      </c>
      <c r="S23" s="104" t="str" cm="1">
        <f t="array" ref="S23">_xlfn.IFS(AND(A23&gt;NumberOfPlots,ISBLANK(INDEX(PlotData,MATCH($A23,PlotNumber,0),MATCH(B$3,PlotTitles,0)))),"",OR(AND(INDEX(PlotData,MATCH($A23,PlotNumber,0),MATCH("Tenure",PlotTitles,0))="Open market housing",INDEX(PlotData,MATCH($A23,PlotNumber,0),MATCH("Tenure detail",PlotTitles,0))="Private rented sector"),INDEX(PlotData,MATCH($A23,PlotNumber,0),MATCH("Tenure",PlotTitles,0))="Affordable rent"),"",ISNUMBER(INDEX(PlotData,MATCH($A23,PlotNumber,0),MATCH(S$3,PlotTitles,0)))=FALSE, $AB$22,TRUE,"")</f>
        <v/>
      </c>
      <c r="T23" s="104" t="str" cm="1">
        <f t="array" ref="T23">_xlfn.IFS(AND(A23&gt;NumberOfPlots,ISBLANK(INDEX(PlotData,MATCH($A23,PlotNumber,0),MATCH(B$3,PlotTitles,0)))),"",OR(AND(INDEX(PlotData,MATCH($A23,PlotNumber,0),MATCH("Tenure",PlotTitles,0))="Open market housing",INDEX(PlotData,MATCH($A23,PlotNumber,0),MATCH("Tenure detail",PlotTitles,0))="Private rented sector"),INDEX(PlotData,MATCH($A23,PlotNumber,0),MATCH("Tenure",PlotTitles,0))="Affordable rent"),"",INDEX(PlotData,MATCH($A23,PlotNumber,0),MATCH(S$3,PlotTitles,0))&lt;10000, $AB$23,TRUE,"")</f>
        <v/>
      </c>
      <c r="U23" s="104" t="str" cm="1">
        <f t="array" ref="U23">_xlfn.IFS(AND(A23&gt;NumberOfPlots,ISBLANK(INDEX(PlotData,MATCH($A23,PlotNumber,0),MATCH(B$3,PlotTitles,0)))),"",NOT(OR(AND(INDEX(PlotData,MATCH($A23,PlotNumber,0),MATCH("Tenure",PlotTitles,0))="Open market housing",INDEX(PlotData,MATCH($A23,PlotNumber,0),MATCH("Tenure detail",PlotTitles,0))="Private rented sector"),INDEX(PlotData,MATCH($A23,PlotNumber,0),MATCH("Tenure",PlotTitles,0))="Affordable rent")),"",NOT(INDEX(PlotData,MATCH($A23,PlotNumber,0),MATCH(S$3,PlotTitles,0))=0), $AB$24,TRUE,"")</f>
        <v/>
      </c>
      <c r="V23" s="114" t="str" cm="1">
        <f t="array" aca="1" ref="V23" ca="1">_xlfn.IFS(ISBLANK(NumberOfPlots),"Enter the number of homes on the 1_SetUp sheet",AND(A23&gt;NumberOfPlots,ISBLANK(INDEX(PlotData,MATCH($A23,PlotNumber,0),MATCH(B$3,PlotTitles,0)))),"No error",NOT(B23=""),B23,NOT(C23=""),C23,NOT(D23=""),D23,NOT(E23=""),E23,NOT(F23=""),F23,NOT(G23=""),G23,NOT(H23=""),H23,NOT(I23=""),I23,NOT(J23=""),J23,NOT(K23=""),K23,NOT(L23=""),L23,NOT(M23=""),M23,NOT(N23=""),N23,NOT(O23=""),O23,NOT(P23=""),P23,NOT(Q23=""),Q23,NOT(R23=""),R23,NOT(S23=""),S23,NOT(T23=""),T23,NOT(U23=""),U23,TRUE,"No error")</f>
        <v>Enter the number of homes on the 1_SetUp sheet</v>
      </c>
      <c r="W23" s="114" t="str">
        <f t="shared" ca="1" si="2"/>
        <v xml:space="preserve">The Borrower has not addressed the following error messages for Home ID 19: </v>
      </c>
      <c r="X23" s="114"/>
      <c r="Y23" s="114"/>
      <c r="Z23" s="124" t="s">
        <v>53</v>
      </c>
      <c r="AA23" s="124" t="s">
        <v>286</v>
      </c>
      <c r="AB23" s="124" t="s">
        <v>287</v>
      </c>
      <c r="AC23" s="114"/>
    </row>
    <row r="24" spans="1:29">
      <c r="A24" s="123">
        <v>20</v>
      </c>
      <c r="B24" s="104" t="str" cm="1">
        <f t="array" ref="B24">_xlfn.IFS(AND(A24&gt;NumberOfPlots,ISBLANK(INDEX(PlotData,MATCH($A24,PlotNumber,0),MATCH(B$3,PlotTitles,0)))),"",ISNUMBER(INDEX(PlotData,MATCH($A24,PlotNumber,0),MATCH(B$3,PlotTitles,0)))=FALSE, $AB$5,TRUE,"")</f>
        <v/>
      </c>
      <c r="C24" s="104" t="str" cm="1">
        <f t="array" ref="C24">_xlfn.IFS(AND(A24&gt;NumberOfPlots,ISBLANK(INDEX(PlotData,MATCH($A24,PlotNumber,0),MATCH(B$3,PlotTitles,0)))),"",ISBLANK(INDEX(PlotData,MATCH($A24,PlotNumber,0),MATCH(C$3,PlotTitles,0))),$AB$6,TRUE,"")</f>
        <v/>
      </c>
      <c r="D24" s="104" t="str" cm="1">
        <f t="array" ref="D24">_xlfn.IFS(AND(A24&gt;NumberOfPlots,ISBLANK(INDEX(PlotData,MATCH($A24,PlotNumber,0),MATCH(B$3,PlotTitles,0)))),"",ISBLANK(INDEX(PlotData,MATCH($A24,PlotNumber,0),MATCH(D$3,PlotTitles,0))),$AB$7,TRUE,"")</f>
        <v/>
      </c>
      <c r="E24" s="104" t="str" cm="1">
        <f t="array" ref="E24">_xlfn.IFS(AND(A24&gt;NumberOfPlots,ISBLANK(INDEX(PlotData,MATCH($A24,PlotNumber,0),MATCH(B$3,PlotTitles,0)))),"",ISBLANK(INDEX(PlotData,MATCH($A24,PlotNumber,0),MATCH(E$3,PlotTitles,0))),$AB$8,TRUE,"")</f>
        <v/>
      </c>
      <c r="F24" s="104" t="str" cm="1">
        <f t="array" ref="F24">_xlfn.IFS(AND(A24&gt;NumberOfPlots,ISBLANK(INDEX(PlotData,MATCH($A24,PlotNumber,0),MATCH(B$3,PlotTitles,0)))),"",ISBLANK(INDEX(PlotData,MATCH($A24,PlotNumber,0),MATCH(F$3,PlotTitles,0))),$AB$9,TRUE,"")</f>
        <v/>
      </c>
      <c r="G24" s="104" t="str" cm="1">
        <f t="array" ref="G24">_xlfn.IFS(AND(A24&gt;NumberOfPlots,ISBLANK(INDEX(PlotData,MATCH($A24,PlotNumber,0),MATCH(B$3,PlotTitles,0)))),"",ISBLANK(INDEX(PlotData,MATCH($A24,PlotNumber,0),MATCH(G$3,PlotTitles,0))),$AB$10,TRUE,"")</f>
        <v/>
      </c>
      <c r="H24" s="104" t="str" cm="1">
        <f t="array" ref="H24">_xlfn.IFS(AND(A24&gt;NumberOfPlots,ISBLANK(INDEX(PlotData,MATCH($A24,PlotNumber,0),MATCH(B$3,PlotTitles,0)))),"",AND(ISBLANK(INDEX(PlotData,MATCH($A24,PlotNumber,0),MATCH(H$3,PlotTitles,0)))=FALSE,INDEX(PlotData,MATCH($A24,PlotNumber,0),MATCH(H$3,PlotTitles,0))&lt;500), $AB$11,TRUE,"")</f>
        <v/>
      </c>
      <c r="I24" s="104" t="str" cm="1">
        <f t="array" ref="I24">_xlfn.IFS(AND(A24&gt;NumberOfPlots,ISBLANK(INDEX(PlotData,MATCH($A24,PlotNumber,0),MATCH(B$3,PlotTitles,0)))),"",ISBLANK(INDEX(PlotData,MATCH($A24,PlotNumber,0),MATCH(I$3,PlotTitles,0))),$AB$12,TRUE,"")</f>
        <v/>
      </c>
      <c r="J24" s="104" t="str" cm="1">
        <f t="array" ref="J24">_xlfn.IFS(AND(A24&gt;NumberOfPlots,ISBLANK(INDEX(PlotData,MATCH($A24,PlotNumber,0),MATCH(B$3,PlotTitles,0)))),"",ISBLANK(INDEX(PlotData,MATCH($A24,PlotNumber,0),MATCH(J$3,PlotTitles,0))),$AB$13,TRUE,"")</f>
        <v/>
      </c>
      <c r="K24" s="182" t="str">
        <f t="shared" ca="1" si="0"/>
        <v/>
      </c>
      <c r="L24" s="104" t="str" cm="1">
        <f t="array" ref="L24">_xlfn.IFS(OR(ISBLANK(StartDateMonth),ISBLANK(StartDateYear)),"",AND(A24&gt;NumberOfPlots,ISBLANK(INDEX(PlotData,MATCH($A24,PlotNumber,0),MATCH(B$3,PlotTitles,0)))),"",ISBLANK(INDEX(PlotData,MATCH($A24,PlotNumber,0),MATCH(I$3,PlotTitles,0))),"",(DATEVALUE(INDEX(PlotData,MATCH($A24,PlotNumber,0),MATCH(I$3,PlotTitles,0))&amp;INDEX(PlotData,MATCH($A24,PlotNumber,0),MATCH(J$3,PlotTitles,0))))&lt;DATEVALUE(StartDateMonth&amp;StartDateYear),$AB$15,TRUE,"")</f>
        <v/>
      </c>
      <c r="M24" s="104" t="str" cm="1">
        <f t="array" ref="M24">_xlfn.IFS(OR(ISBLANK(StartDateMonth),ISBLANK(StartDateYear)),"",AND(A24&gt;NumberOfPlots,ISBLANK(INDEX(PlotData,MATCH($A24,PlotNumber,0),MATCH(B$3,PlotTitles,0)))),"",ISBLANK(INDEX(PlotData,MATCH($A24,PlotNumber,0),MATCH(I$3,PlotTitles,0))),"",CompletionMonth="","",(DATEVALUE(INDEX(PlotData,MATCH($A24,PlotNumber,0),MATCH(I$3,PlotTitles,0))&amp;INDEX(PlotData,MATCH($A24,PlotNumber,0),MATCH(J$3,PlotTitles,0))))&gt;(DATEVALUE(CompletionMonth&amp;CompletionYear)),$AB$16,TRUE,"")</f>
        <v/>
      </c>
      <c r="N24" s="104" t="str" cm="1">
        <f t="array" ref="N24">_xlfn.IFS(AND(A24&gt;NumberOfPlots,ISBLANK(INDEX(PlotData,MATCH($A24,PlotNumber,0),MATCH(B$3,PlotTitles,0)))),"",ISBLANK(INDEX(PlotData,MATCH($A24,PlotNumber,0),MATCH(N$3,PlotTitles,0))),$AB$17,TRUE,"")</f>
        <v/>
      </c>
      <c r="O24" s="104" t="str" cm="1">
        <f t="array" ref="O24">_xlfn.IFS(AND(A24&gt;NumberOfPlots,ISBLANK(INDEX(PlotData,MATCH($A24,PlotNumber,0),MATCH(B$3,PlotTitles,0)))),"",ISBLANK(INDEX(PlotData,MATCH($A24,PlotNumber,0),MATCH(O$3,PlotTitles,0))),$AB$18,TRUE,"")</f>
        <v/>
      </c>
      <c r="P24" s="182" t="str">
        <f t="shared" ca="1" si="1"/>
        <v/>
      </c>
      <c r="Q24" s="104" t="str" cm="1">
        <f t="array" ref="Q24">_xlfn.IFS(AND(A24&gt;NumberOfPlots,ISBLANK(INDEX(PlotData,MATCH($A24,PlotNumber,0),MATCH(B$3,PlotTitles,0)))),"",ISBLANK(INDEX(PlotData,MATCH($A24,PlotNumber,0),MATCH(N$3,PlotTitles,0))),"",(DATEVALUE(INDEX(PlotData,MATCH($A24,PlotNumber,0),MATCH(N$3,PlotTitles,0))&amp;INDEX(PlotData,MATCH($A24,PlotNumber,0),MATCH(O$3,PlotTitles,0))))&lt;(DATEVALUE(INDEX(PlotData,MATCH($A24,PlotNumber,0),MATCH(I$3,PlotTitles,0))&amp;INDEX(PlotData,MATCH($A24,PlotNumber,0),MATCH(J$3,PlotTitles,0)))),$AB$20,TRUE,"")</f>
        <v/>
      </c>
      <c r="R24" s="104" t="str" cm="1">
        <f t="array" ref="R24">_xlfn.IFS(OR(ISBLANK(StartDateMonth),ISBLANK(StartDateYear)),"",AND(A24&gt;NumberOfPlots,ISBLANK(INDEX(PlotData,MATCH($A24,PlotNumber,0),MATCH(B$3,PlotTitles,0)))),"",ISBLANK(INDEX(PlotData,MATCH($A24,PlotNumber,0),MATCH(N$3,PlotTitles,0))),"",CompletionMonth="","",(DATEVALUE(INDEX(PlotData,MATCH($A24,PlotNumber,0),MATCH(N$3,PlotTitles,0))&amp;INDEX(PlotData,MATCH($A24,PlotNumber,0),MATCH(O$3,PlotTitles,0))))&gt;(DATEVALUE(CompletionMonth&amp;CompletionYear)),$AB$21,TRUE,"")</f>
        <v/>
      </c>
      <c r="S24" s="104" t="str" cm="1">
        <f t="array" ref="S24">_xlfn.IFS(AND(A24&gt;NumberOfPlots,ISBLANK(INDEX(PlotData,MATCH($A24,PlotNumber,0),MATCH(B$3,PlotTitles,0)))),"",OR(AND(INDEX(PlotData,MATCH($A24,PlotNumber,0),MATCH("Tenure",PlotTitles,0))="Open market housing",INDEX(PlotData,MATCH($A24,PlotNumber,0),MATCH("Tenure detail",PlotTitles,0))="Private rented sector"),INDEX(PlotData,MATCH($A24,PlotNumber,0),MATCH("Tenure",PlotTitles,0))="Affordable rent"),"",ISNUMBER(INDEX(PlotData,MATCH($A24,PlotNumber,0),MATCH(S$3,PlotTitles,0)))=FALSE, $AB$22,TRUE,"")</f>
        <v/>
      </c>
      <c r="T24" s="104" t="str" cm="1">
        <f t="array" ref="T24">_xlfn.IFS(AND(A24&gt;NumberOfPlots,ISBLANK(INDEX(PlotData,MATCH($A24,PlotNumber,0),MATCH(B$3,PlotTitles,0)))),"",OR(AND(INDEX(PlotData,MATCH($A24,PlotNumber,0),MATCH("Tenure",PlotTitles,0))="Open market housing",INDEX(PlotData,MATCH($A24,PlotNumber,0),MATCH("Tenure detail",PlotTitles,0))="Private rented sector"),INDEX(PlotData,MATCH($A24,PlotNumber,0),MATCH("Tenure",PlotTitles,0))="Affordable rent"),"",INDEX(PlotData,MATCH($A24,PlotNumber,0),MATCH(S$3,PlotTitles,0))&lt;10000, $AB$23,TRUE,"")</f>
        <v/>
      </c>
      <c r="U24" s="104" t="str" cm="1">
        <f t="array" ref="U24">_xlfn.IFS(AND(A24&gt;NumberOfPlots,ISBLANK(INDEX(PlotData,MATCH($A24,PlotNumber,0),MATCH(B$3,PlotTitles,0)))),"",NOT(OR(AND(INDEX(PlotData,MATCH($A24,PlotNumber,0),MATCH("Tenure",PlotTitles,0))="Open market housing",INDEX(PlotData,MATCH($A24,PlotNumber,0),MATCH("Tenure detail",PlotTitles,0))="Private rented sector"),INDEX(PlotData,MATCH($A24,PlotNumber,0),MATCH("Tenure",PlotTitles,0))="Affordable rent")),"",NOT(INDEX(PlotData,MATCH($A24,PlotNumber,0),MATCH(S$3,PlotTitles,0))=0), $AB$24,TRUE,"")</f>
        <v/>
      </c>
      <c r="V24" s="114" t="str" cm="1">
        <f t="array" aca="1" ref="V24" ca="1">_xlfn.IFS(ISBLANK(NumberOfPlots),"Enter the number of homes on the 1_SetUp sheet",AND(A24&gt;NumberOfPlots,ISBLANK(INDEX(PlotData,MATCH($A24,PlotNumber,0),MATCH(B$3,PlotTitles,0)))),"No error",NOT(B24=""),B24,NOT(C24=""),C24,NOT(D24=""),D24,NOT(E24=""),E24,NOT(F24=""),F24,NOT(G24=""),G24,NOT(H24=""),H24,NOT(I24=""),I24,NOT(J24=""),J24,NOT(K24=""),K24,NOT(L24=""),L24,NOT(M24=""),M24,NOT(N24=""),N24,NOT(O24=""),O24,NOT(P24=""),P24,NOT(Q24=""),Q24,NOT(R24=""),R24,NOT(S24=""),S24,NOT(T24=""),T24,NOT(U24=""),U24,TRUE,"No error")</f>
        <v>Enter the number of homes on the 1_SetUp sheet</v>
      </c>
      <c r="W24" s="114" t="str">
        <f t="shared" ca="1" si="2"/>
        <v xml:space="preserve">The Borrower has not addressed the following error messages for Home ID 20: </v>
      </c>
      <c r="X24" s="114"/>
      <c r="Y24" s="114"/>
      <c r="Z24" s="124" t="s">
        <v>53</v>
      </c>
      <c r="AA24" s="124" t="s">
        <v>259</v>
      </c>
      <c r="AB24" s="124" t="s">
        <v>288</v>
      </c>
      <c r="AC24" s="114"/>
    </row>
    <row r="25" spans="1:29">
      <c r="A25" s="123">
        <v>21</v>
      </c>
      <c r="B25" s="104" t="str" cm="1">
        <f t="array" ref="B25">_xlfn.IFS(AND(A25&gt;NumberOfPlots,ISBLANK(INDEX(PlotData,MATCH($A25,PlotNumber,0),MATCH(B$3,PlotTitles,0)))),"",ISNUMBER(INDEX(PlotData,MATCH($A25,PlotNumber,0),MATCH(B$3,PlotTitles,0)))=FALSE, $AB$5,TRUE,"")</f>
        <v/>
      </c>
      <c r="C25" s="104" t="str" cm="1">
        <f t="array" ref="C25">_xlfn.IFS(AND(A25&gt;NumberOfPlots,ISBLANK(INDEX(PlotData,MATCH($A25,PlotNumber,0),MATCH(B$3,PlotTitles,0)))),"",ISBLANK(INDEX(PlotData,MATCH($A25,PlotNumber,0),MATCH(C$3,PlotTitles,0))),$AB$6,TRUE,"")</f>
        <v/>
      </c>
      <c r="D25" s="104" t="str" cm="1">
        <f t="array" ref="D25">_xlfn.IFS(AND(A25&gt;NumberOfPlots,ISBLANK(INDEX(PlotData,MATCH($A25,PlotNumber,0),MATCH(B$3,PlotTitles,0)))),"",ISBLANK(INDEX(PlotData,MATCH($A25,PlotNumber,0),MATCH(D$3,PlotTitles,0))),$AB$7,TRUE,"")</f>
        <v/>
      </c>
      <c r="E25" s="104" t="str" cm="1">
        <f t="array" ref="E25">_xlfn.IFS(AND(A25&gt;NumberOfPlots,ISBLANK(INDEX(PlotData,MATCH($A25,PlotNumber,0),MATCH(B$3,PlotTitles,0)))),"",ISBLANK(INDEX(PlotData,MATCH($A25,PlotNumber,0),MATCH(E$3,PlotTitles,0))),$AB$8,TRUE,"")</f>
        <v/>
      </c>
      <c r="F25" s="104" t="str" cm="1">
        <f t="array" ref="F25">_xlfn.IFS(AND(A25&gt;NumberOfPlots,ISBLANK(INDEX(PlotData,MATCH($A25,PlotNumber,0),MATCH(B$3,PlotTitles,0)))),"",ISBLANK(INDEX(PlotData,MATCH($A25,PlotNumber,0),MATCH(F$3,PlotTitles,0))),$AB$9,TRUE,"")</f>
        <v/>
      </c>
      <c r="G25" s="104" t="str" cm="1">
        <f t="array" ref="G25">_xlfn.IFS(AND(A25&gt;NumberOfPlots,ISBLANK(INDEX(PlotData,MATCH($A25,PlotNumber,0),MATCH(B$3,PlotTitles,0)))),"",ISBLANK(INDEX(PlotData,MATCH($A25,PlotNumber,0),MATCH(G$3,PlotTitles,0))),$AB$10,TRUE,"")</f>
        <v/>
      </c>
      <c r="H25" s="104" t="str" cm="1">
        <f t="array" ref="H25">_xlfn.IFS(AND(A25&gt;NumberOfPlots,ISBLANK(INDEX(PlotData,MATCH($A25,PlotNumber,0),MATCH(B$3,PlotTitles,0)))),"",AND(ISBLANK(INDEX(PlotData,MATCH($A25,PlotNumber,0),MATCH(H$3,PlotTitles,0)))=FALSE,INDEX(PlotData,MATCH($A25,PlotNumber,0),MATCH(H$3,PlotTitles,0))&lt;500), $AB$11,TRUE,"")</f>
        <v/>
      </c>
      <c r="I25" s="104" t="str" cm="1">
        <f t="array" ref="I25">_xlfn.IFS(AND(A25&gt;NumberOfPlots,ISBLANK(INDEX(PlotData,MATCH($A25,PlotNumber,0),MATCH(B$3,PlotTitles,0)))),"",ISBLANK(INDEX(PlotData,MATCH($A25,PlotNumber,0),MATCH(I$3,PlotTitles,0))),$AB$12,TRUE,"")</f>
        <v/>
      </c>
      <c r="J25" s="104" t="str" cm="1">
        <f t="array" ref="J25">_xlfn.IFS(AND(A25&gt;NumberOfPlots,ISBLANK(INDEX(PlotData,MATCH($A25,PlotNumber,0),MATCH(B$3,PlotTitles,0)))),"",ISBLANK(INDEX(PlotData,MATCH($A25,PlotNumber,0),MATCH(J$3,PlotTitles,0))),$AB$13,TRUE,"")</f>
        <v/>
      </c>
      <c r="K25" s="182" t="str">
        <f t="shared" ca="1" si="0"/>
        <v/>
      </c>
      <c r="L25" s="104" t="str" cm="1">
        <f t="array" ref="L25">_xlfn.IFS(OR(ISBLANK(StartDateMonth),ISBLANK(StartDateYear)),"",AND(A25&gt;NumberOfPlots,ISBLANK(INDEX(PlotData,MATCH($A25,PlotNumber,0),MATCH(B$3,PlotTitles,0)))),"",ISBLANK(INDEX(PlotData,MATCH($A25,PlotNumber,0),MATCH(I$3,PlotTitles,0))),"",(DATEVALUE(INDEX(PlotData,MATCH($A25,PlotNumber,0),MATCH(I$3,PlotTitles,0))&amp;INDEX(PlotData,MATCH($A25,PlotNumber,0),MATCH(J$3,PlotTitles,0))))&lt;DATEVALUE(StartDateMonth&amp;StartDateYear),$AB$15,TRUE,"")</f>
        <v/>
      </c>
      <c r="M25" s="104" t="str" cm="1">
        <f t="array" ref="M25">_xlfn.IFS(OR(ISBLANK(StartDateMonth),ISBLANK(StartDateYear)),"",AND(A25&gt;NumberOfPlots,ISBLANK(INDEX(PlotData,MATCH($A25,PlotNumber,0),MATCH(B$3,PlotTitles,0)))),"",ISBLANK(INDEX(PlotData,MATCH($A25,PlotNumber,0),MATCH(I$3,PlotTitles,0))),"",CompletionMonth="","",(DATEVALUE(INDEX(PlotData,MATCH($A25,PlotNumber,0),MATCH(I$3,PlotTitles,0))&amp;INDEX(PlotData,MATCH($A25,PlotNumber,0),MATCH(J$3,PlotTitles,0))))&gt;(DATEVALUE(CompletionMonth&amp;CompletionYear)),$AB$16,TRUE,"")</f>
        <v/>
      </c>
      <c r="N25" s="104" t="str" cm="1">
        <f t="array" ref="N25">_xlfn.IFS(AND(A25&gt;NumberOfPlots,ISBLANK(INDEX(PlotData,MATCH($A25,PlotNumber,0),MATCH(B$3,PlotTitles,0)))),"",ISBLANK(INDEX(PlotData,MATCH($A25,PlotNumber,0),MATCH(N$3,PlotTitles,0))),$AB$17,TRUE,"")</f>
        <v/>
      </c>
      <c r="O25" s="104" t="str" cm="1">
        <f t="array" ref="O25">_xlfn.IFS(AND(A25&gt;NumberOfPlots,ISBLANK(INDEX(PlotData,MATCH($A25,PlotNumber,0),MATCH(B$3,PlotTitles,0)))),"",ISBLANK(INDEX(PlotData,MATCH($A25,PlotNumber,0),MATCH(O$3,PlotTitles,0))),$AB$18,TRUE,"")</f>
        <v/>
      </c>
      <c r="P25" s="182" t="str">
        <f t="shared" ca="1" si="1"/>
        <v/>
      </c>
      <c r="Q25" s="104" t="str" cm="1">
        <f t="array" ref="Q25">_xlfn.IFS(AND(A25&gt;NumberOfPlots,ISBLANK(INDEX(PlotData,MATCH($A25,PlotNumber,0),MATCH(B$3,PlotTitles,0)))),"",ISBLANK(INDEX(PlotData,MATCH($A25,PlotNumber,0),MATCH(N$3,PlotTitles,0))),"",(DATEVALUE(INDEX(PlotData,MATCH($A25,PlotNumber,0),MATCH(N$3,PlotTitles,0))&amp;INDEX(PlotData,MATCH($A25,PlotNumber,0),MATCH(O$3,PlotTitles,0))))&lt;(DATEVALUE(INDEX(PlotData,MATCH($A25,PlotNumber,0),MATCH(I$3,PlotTitles,0))&amp;INDEX(PlotData,MATCH($A25,PlotNumber,0),MATCH(J$3,PlotTitles,0)))),$AB$20,TRUE,"")</f>
        <v/>
      </c>
      <c r="R25" s="104" t="str" cm="1">
        <f t="array" ref="R25">_xlfn.IFS(OR(ISBLANK(StartDateMonth),ISBLANK(StartDateYear)),"",AND(A25&gt;NumberOfPlots,ISBLANK(INDEX(PlotData,MATCH($A25,PlotNumber,0),MATCH(B$3,PlotTitles,0)))),"",ISBLANK(INDEX(PlotData,MATCH($A25,PlotNumber,0),MATCH(N$3,PlotTitles,0))),"",CompletionMonth="","",(DATEVALUE(INDEX(PlotData,MATCH($A25,PlotNumber,0),MATCH(N$3,PlotTitles,0))&amp;INDEX(PlotData,MATCH($A25,PlotNumber,0),MATCH(O$3,PlotTitles,0))))&gt;(DATEVALUE(CompletionMonth&amp;CompletionYear)),$AB$21,TRUE,"")</f>
        <v/>
      </c>
      <c r="S25" s="104" t="str" cm="1">
        <f t="array" ref="S25">_xlfn.IFS(AND(A25&gt;NumberOfPlots,ISBLANK(INDEX(PlotData,MATCH($A25,PlotNumber,0),MATCH(B$3,PlotTitles,0)))),"",OR(AND(INDEX(PlotData,MATCH($A25,PlotNumber,0),MATCH("Tenure",PlotTitles,0))="Open market housing",INDEX(PlotData,MATCH($A25,PlotNumber,0),MATCH("Tenure detail",PlotTitles,0))="Private rented sector"),INDEX(PlotData,MATCH($A25,PlotNumber,0),MATCH("Tenure",PlotTitles,0))="Affordable rent"),"",ISNUMBER(INDEX(PlotData,MATCH($A25,PlotNumber,0),MATCH(S$3,PlotTitles,0)))=FALSE, $AB$22,TRUE,"")</f>
        <v/>
      </c>
      <c r="T25" s="104" t="str" cm="1">
        <f t="array" ref="T25">_xlfn.IFS(AND(A25&gt;NumberOfPlots,ISBLANK(INDEX(PlotData,MATCH($A25,PlotNumber,0),MATCH(B$3,PlotTitles,0)))),"",OR(AND(INDEX(PlotData,MATCH($A25,PlotNumber,0),MATCH("Tenure",PlotTitles,0))="Open market housing",INDEX(PlotData,MATCH($A25,PlotNumber,0),MATCH("Tenure detail",PlotTitles,0))="Private rented sector"),INDEX(PlotData,MATCH($A25,PlotNumber,0),MATCH("Tenure",PlotTitles,0))="Affordable rent"),"",INDEX(PlotData,MATCH($A25,PlotNumber,0),MATCH(S$3,PlotTitles,0))&lt;10000, $AB$23,TRUE,"")</f>
        <v/>
      </c>
      <c r="U25" s="104" t="str" cm="1">
        <f t="array" ref="U25">_xlfn.IFS(AND(A25&gt;NumberOfPlots,ISBLANK(INDEX(PlotData,MATCH($A25,PlotNumber,0),MATCH(B$3,PlotTitles,0)))),"",NOT(OR(AND(INDEX(PlotData,MATCH($A25,PlotNumber,0),MATCH("Tenure",PlotTitles,0))="Open market housing",INDEX(PlotData,MATCH($A25,PlotNumber,0),MATCH("Tenure detail",PlotTitles,0))="Private rented sector"),INDEX(PlotData,MATCH($A25,PlotNumber,0),MATCH("Tenure",PlotTitles,0))="Affordable rent")),"",NOT(INDEX(PlotData,MATCH($A25,PlotNumber,0),MATCH(S$3,PlotTitles,0))=0), $AB$24,TRUE,"")</f>
        <v/>
      </c>
      <c r="V25" s="114" t="str" cm="1">
        <f t="array" aca="1" ref="V25" ca="1">_xlfn.IFS(ISBLANK(NumberOfPlots),"Enter the number of homes on the 1_SetUp sheet",AND(A25&gt;NumberOfPlots,ISBLANK(INDEX(PlotData,MATCH($A25,PlotNumber,0),MATCH(B$3,PlotTitles,0)))),"No error",NOT(B25=""),B25,NOT(C25=""),C25,NOT(D25=""),D25,NOT(E25=""),E25,NOT(F25=""),F25,NOT(G25=""),G25,NOT(H25=""),H25,NOT(I25=""),I25,NOT(J25=""),J25,NOT(K25=""),K25,NOT(L25=""),L25,NOT(M25=""),M25,NOT(N25=""),N25,NOT(O25=""),O25,NOT(P25=""),P25,NOT(Q25=""),Q25,NOT(R25=""),R25,NOT(S25=""),S25,NOT(T25=""),T25,NOT(U25=""),U25,TRUE,"No error")</f>
        <v>Enter the number of homes on the 1_SetUp sheet</v>
      </c>
      <c r="W25" s="114" t="str">
        <f t="shared" ca="1" si="2"/>
        <v xml:space="preserve">The Borrower has not addressed the following error messages for Home ID 21: </v>
      </c>
      <c r="X25" s="114"/>
      <c r="Y25" s="114"/>
      <c r="Z25" s="114"/>
      <c r="AA25" s="114"/>
      <c r="AB25" s="114"/>
      <c r="AC25" s="114"/>
    </row>
    <row r="26" spans="1:29">
      <c r="A26" s="123">
        <v>22</v>
      </c>
      <c r="B26" s="104" t="str" cm="1">
        <f t="array" ref="B26">_xlfn.IFS(AND(A26&gt;NumberOfPlots,ISBLANK(INDEX(PlotData,MATCH($A26,PlotNumber,0),MATCH(B$3,PlotTitles,0)))),"",ISNUMBER(INDEX(PlotData,MATCH($A26,PlotNumber,0),MATCH(B$3,PlotTitles,0)))=FALSE, $AB$5,TRUE,"")</f>
        <v/>
      </c>
      <c r="C26" s="104" t="str" cm="1">
        <f t="array" ref="C26">_xlfn.IFS(AND(A26&gt;NumberOfPlots,ISBLANK(INDEX(PlotData,MATCH($A26,PlotNumber,0),MATCH(B$3,PlotTitles,0)))),"",ISBLANK(INDEX(PlotData,MATCH($A26,PlotNumber,0),MATCH(C$3,PlotTitles,0))),$AB$6,TRUE,"")</f>
        <v/>
      </c>
      <c r="D26" s="104" t="str" cm="1">
        <f t="array" ref="D26">_xlfn.IFS(AND(A26&gt;NumberOfPlots,ISBLANK(INDEX(PlotData,MATCH($A26,PlotNumber,0),MATCH(B$3,PlotTitles,0)))),"",ISBLANK(INDEX(PlotData,MATCH($A26,PlotNumber,0),MATCH(D$3,PlotTitles,0))),$AB$7,TRUE,"")</f>
        <v/>
      </c>
      <c r="E26" s="104" t="str" cm="1">
        <f t="array" ref="E26">_xlfn.IFS(AND(A26&gt;NumberOfPlots,ISBLANK(INDEX(PlotData,MATCH($A26,PlotNumber,0),MATCH(B$3,PlotTitles,0)))),"",ISBLANK(INDEX(PlotData,MATCH($A26,PlotNumber,0),MATCH(E$3,PlotTitles,0))),$AB$8,TRUE,"")</f>
        <v/>
      </c>
      <c r="F26" s="104" t="str" cm="1">
        <f t="array" ref="F26">_xlfn.IFS(AND(A26&gt;NumberOfPlots,ISBLANK(INDEX(PlotData,MATCH($A26,PlotNumber,0),MATCH(B$3,PlotTitles,0)))),"",ISBLANK(INDEX(PlotData,MATCH($A26,PlotNumber,0),MATCH(F$3,PlotTitles,0))),$AB$9,TRUE,"")</f>
        <v/>
      </c>
      <c r="G26" s="104" t="str" cm="1">
        <f t="array" ref="G26">_xlfn.IFS(AND(A26&gt;NumberOfPlots,ISBLANK(INDEX(PlotData,MATCH($A26,PlotNumber,0),MATCH(B$3,PlotTitles,0)))),"",ISBLANK(INDEX(PlotData,MATCH($A26,PlotNumber,0),MATCH(G$3,PlotTitles,0))),$AB$10,TRUE,"")</f>
        <v/>
      </c>
      <c r="H26" s="104" t="str" cm="1">
        <f t="array" ref="H26">_xlfn.IFS(AND(A26&gt;NumberOfPlots,ISBLANK(INDEX(PlotData,MATCH($A26,PlotNumber,0),MATCH(B$3,PlotTitles,0)))),"",AND(ISBLANK(INDEX(PlotData,MATCH($A26,PlotNumber,0),MATCH(H$3,PlotTitles,0)))=FALSE,INDEX(PlotData,MATCH($A26,PlotNumber,0),MATCH(H$3,PlotTitles,0))&lt;500), $AB$11,TRUE,"")</f>
        <v/>
      </c>
      <c r="I26" s="104" t="str" cm="1">
        <f t="array" ref="I26">_xlfn.IFS(AND(A26&gt;NumberOfPlots,ISBLANK(INDEX(PlotData,MATCH($A26,PlotNumber,0),MATCH(B$3,PlotTitles,0)))),"",ISBLANK(INDEX(PlotData,MATCH($A26,PlotNumber,0),MATCH(I$3,PlotTitles,0))),$AB$12,TRUE,"")</f>
        <v/>
      </c>
      <c r="J26" s="104" t="str" cm="1">
        <f t="array" ref="J26">_xlfn.IFS(AND(A26&gt;NumberOfPlots,ISBLANK(INDEX(PlotData,MATCH($A26,PlotNumber,0),MATCH(B$3,PlotTitles,0)))),"",ISBLANK(INDEX(PlotData,MATCH($A26,PlotNumber,0),MATCH(J$3,PlotTitles,0))),$AB$13,TRUE,"")</f>
        <v/>
      </c>
      <c r="K26" s="182" t="str">
        <f t="shared" ca="1" si="0"/>
        <v/>
      </c>
      <c r="L26" s="104" t="str" cm="1">
        <f t="array" ref="L26">_xlfn.IFS(OR(ISBLANK(StartDateMonth),ISBLANK(StartDateYear)),"",AND(A26&gt;NumberOfPlots,ISBLANK(INDEX(PlotData,MATCH($A26,PlotNumber,0),MATCH(B$3,PlotTitles,0)))),"",ISBLANK(INDEX(PlotData,MATCH($A26,PlotNumber,0),MATCH(I$3,PlotTitles,0))),"",(DATEVALUE(INDEX(PlotData,MATCH($A26,PlotNumber,0),MATCH(I$3,PlotTitles,0))&amp;INDEX(PlotData,MATCH($A26,PlotNumber,0),MATCH(J$3,PlotTitles,0))))&lt;DATEVALUE(StartDateMonth&amp;StartDateYear),$AB$15,TRUE,"")</f>
        <v/>
      </c>
      <c r="M26" s="104" t="str" cm="1">
        <f t="array" ref="M26">_xlfn.IFS(OR(ISBLANK(StartDateMonth),ISBLANK(StartDateYear)),"",AND(A26&gt;NumberOfPlots,ISBLANK(INDEX(PlotData,MATCH($A26,PlotNumber,0),MATCH(B$3,PlotTitles,0)))),"",ISBLANK(INDEX(PlotData,MATCH($A26,PlotNumber,0),MATCH(I$3,PlotTitles,0))),"",CompletionMonth="","",(DATEVALUE(INDEX(PlotData,MATCH($A26,PlotNumber,0),MATCH(I$3,PlotTitles,0))&amp;INDEX(PlotData,MATCH($A26,PlotNumber,0),MATCH(J$3,PlotTitles,0))))&gt;(DATEVALUE(CompletionMonth&amp;CompletionYear)),$AB$16,TRUE,"")</f>
        <v/>
      </c>
      <c r="N26" s="104" t="str" cm="1">
        <f t="array" ref="N26">_xlfn.IFS(AND(A26&gt;NumberOfPlots,ISBLANK(INDEX(PlotData,MATCH($A26,PlotNumber,0),MATCH(B$3,PlotTitles,0)))),"",ISBLANK(INDEX(PlotData,MATCH($A26,PlotNumber,0),MATCH(N$3,PlotTitles,0))),$AB$17,TRUE,"")</f>
        <v/>
      </c>
      <c r="O26" s="104" t="str" cm="1">
        <f t="array" ref="O26">_xlfn.IFS(AND(A26&gt;NumberOfPlots,ISBLANK(INDEX(PlotData,MATCH($A26,PlotNumber,0),MATCH(B$3,PlotTitles,0)))),"",ISBLANK(INDEX(PlotData,MATCH($A26,PlotNumber,0),MATCH(O$3,PlotTitles,0))),$AB$18,TRUE,"")</f>
        <v/>
      </c>
      <c r="P26" s="182" t="str">
        <f t="shared" ca="1" si="1"/>
        <v/>
      </c>
      <c r="Q26" s="104" t="str" cm="1">
        <f t="array" ref="Q26">_xlfn.IFS(AND(A26&gt;NumberOfPlots,ISBLANK(INDEX(PlotData,MATCH($A26,PlotNumber,0),MATCH(B$3,PlotTitles,0)))),"",ISBLANK(INDEX(PlotData,MATCH($A26,PlotNumber,0),MATCH(N$3,PlotTitles,0))),"",(DATEVALUE(INDEX(PlotData,MATCH($A26,PlotNumber,0),MATCH(N$3,PlotTitles,0))&amp;INDEX(PlotData,MATCH($A26,PlotNumber,0),MATCH(O$3,PlotTitles,0))))&lt;(DATEVALUE(INDEX(PlotData,MATCH($A26,PlotNumber,0),MATCH(I$3,PlotTitles,0))&amp;INDEX(PlotData,MATCH($A26,PlotNumber,0),MATCH(J$3,PlotTitles,0)))),$AB$20,TRUE,"")</f>
        <v/>
      </c>
      <c r="R26" s="104" t="str" cm="1">
        <f t="array" ref="R26">_xlfn.IFS(OR(ISBLANK(StartDateMonth),ISBLANK(StartDateYear)),"",AND(A26&gt;NumberOfPlots,ISBLANK(INDEX(PlotData,MATCH($A26,PlotNumber,0),MATCH(B$3,PlotTitles,0)))),"",ISBLANK(INDEX(PlotData,MATCH($A26,PlotNumber,0),MATCH(N$3,PlotTitles,0))),"",CompletionMonth="","",(DATEVALUE(INDEX(PlotData,MATCH($A26,PlotNumber,0),MATCH(N$3,PlotTitles,0))&amp;INDEX(PlotData,MATCH($A26,PlotNumber,0),MATCH(O$3,PlotTitles,0))))&gt;(DATEVALUE(CompletionMonth&amp;CompletionYear)),$AB$21,TRUE,"")</f>
        <v/>
      </c>
      <c r="S26" s="104" t="str" cm="1">
        <f t="array" ref="S26">_xlfn.IFS(AND(A26&gt;NumberOfPlots,ISBLANK(INDEX(PlotData,MATCH($A26,PlotNumber,0),MATCH(B$3,PlotTitles,0)))),"",OR(AND(INDEX(PlotData,MATCH($A26,PlotNumber,0),MATCH("Tenure",PlotTitles,0))="Open market housing",INDEX(PlotData,MATCH($A26,PlotNumber,0),MATCH("Tenure detail",PlotTitles,0))="Private rented sector"),INDEX(PlotData,MATCH($A26,PlotNumber,0),MATCH("Tenure",PlotTitles,0))="Affordable rent"),"",ISNUMBER(INDEX(PlotData,MATCH($A26,PlotNumber,0),MATCH(S$3,PlotTitles,0)))=FALSE, $AB$22,TRUE,"")</f>
        <v/>
      </c>
      <c r="T26" s="104" t="str" cm="1">
        <f t="array" ref="T26">_xlfn.IFS(AND(A26&gt;NumberOfPlots,ISBLANK(INDEX(PlotData,MATCH($A26,PlotNumber,0),MATCH(B$3,PlotTitles,0)))),"",OR(AND(INDEX(PlotData,MATCH($A26,PlotNumber,0),MATCH("Tenure",PlotTitles,0))="Open market housing",INDEX(PlotData,MATCH($A26,PlotNumber,0),MATCH("Tenure detail",PlotTitles,0))="Private rented sector"),INDEX(PlotData,MATCH($A26,PlotNumber,0),MATCH("Tenure",PlotTitles,0))="Affordable rent"),"",INDEX(PlotData,MATCH($A26,PlotNumber,0),MATCH(S$3,PlotTitles,0))&lt;10000, $AB$23,TRUE,"")</f>
        <v/>
      </c>
      <c r="U26" s="104" t="str" cm="1">
        <f t="array" ref="U26">_xlfn.IFS(AND(A26&gt;NumberOfPlots,ISBLANK(INDEX(PlotData,MATCH($A26,PlotNumber,0),MATCH(B$3,PlotTitles,0)))),"",NOT(OR(AND(INDEX(PlotData,MATCH($A26,PlotNumber,0),MATCH("Tenure",PlotTitles,0))="Open market housing",INDEX(PlotData,MATCH($A26,PlotNumber,0),MATCH("Tenure detail",PlotTitles,0))="Private rented sector"),INDEX(PlotData,MATCH($A26,PlotNumber,0),MATCH("Tenure",PlotTitles,0))="Affordable rent")),"",NOT(INDEX(PlotData,MATCH($A26,PlotNumber,0),MATCH(S$3,PlotTitles,0))=0), $AB$24,TRUE,"")</f>
        <v/>
      </c>
      <c r="V26" s="114" t="str" cm="1">
        <f t="array" aca="1" ref="V26" ca="1">_xlfn.IFS(ISBLANK(NumberOfPlots),"Enter the number of homes on the 1_SetUp sheet",AND(A26&gt;NumberOfPlots,ISBLANK(INDEX(PlotData,MATCH($A26,PlotNumber,0),MATCH(B$3,PlotTitles,0)))),"No error",NOT(B26=""),B26,NOT(C26=""),C26,NOT(D26=""),D26,NOT(E26=""),E26,NOT(F26=""),F26,NOT(G26=""),G26,NOT(H26=""),H26,NOT(I26=""),I26,NOT(J26=""),J26,NOT(K26=""),K26,NOT(L26=""),L26,NOT(M26=""),M26,NOT(N26=""),N26,NOT(O26=""),O26,NOT(P26=""),P26,NOT(Q26=""),Q26,NOT(R26=""),R26,NOT(S26=""),S26,NOT(T26=""),T26,NOT(U26=""),U26,TRUE,"No error")</f>
        <v>Enter the number of homes on the 1_SetUp sheet</v>
      </c>
      <c r="W26" s="114" t="str">
        <f t="shared" ca="1" si="2"/>
        <v xml:space="preserve">The Borrower has not addressed the following error messages for Home ID 22: </v>
      </c>
      <c r="X26" s="114"/>
      <c r="Y26" s="114"/>
      <c r="Z26" s="114"/>
      <c r="AA26" s="114"/>
      <c r="AB26" s="114"/>
      <c r="AC26" s="114"/>
    </row>
    <row r="27" spans="1:29">
      <c r="A27" s="123">
        <v>23</v>
      </c>
      <c r="B27" s="104" t="str" cm="1">
        <f t="array" ref="B27">_xlfn.IFS(AND(A27&gt;NumberOfPlots,ISBLANK(INDEX(PlotData,MATCH($A27,PlotNumber,0),MATCH(B$3,PlotTitles,0)))),"",ISNUMBER(INDEX(PlotData,MATCH($A27,PlotNumber,0),MATCH(B$3,PlotTitles,0)))=FALSE, $AB$5,TRUE,"")</f>
        <v/>
      </c>
      <c r="C27" s="104" t="str" cm="1">
        <f t="array" ref="C27">_xlfn.IFS(AND(A27&gt;NumberOfPlots,ISBLANK(INDEX(PlotData,MATCH($A27,PlotNumber,0),MATCH(B$3,PlotTitles,0)))),"",ISBLANK(INDEX(PlotData,MATCH($A27,PlotNumber,0),MATCH(C$3,PlotTitles,0))),$AB$6,TRUE,"")</f>
        <v/>
      </c>
      <c r="D27" s="104" t="str" cm="1">
        <f t="array" ref="D27">_xlfn.IFS(AND(A27&gt;NumberOfPlots,ISBLANK(INDEX(PlotData,MATCH($A27,PlotNumber,0),MATCH(B$3,PlotTitles,0)))),"",ISBLANK(INDEX(PlotData,MATCH($A27,PlotNumber,0),MATCH(D$3,PlotTitles,0))),$AB$7,TRUE,"")</f>
        <v/>
      </c>
      <c r="E27" s="104" t="str" cm="1">
        <f t="array" ref="E27">_xlfn.IFS(AND(A27&gt;NumberOfPlots,ISBLANK(INDEX(PlotData,MATCH($A27,PlotNumber,0),MATCH(B$3,PlotTitles,0)))),"",ISBLANK(INDEX(PlotData,MATCH($A27,PlotNumber,0),MATCH(E$3,PlotTitles,0))),$AB$8,TRUE,"")</f>
        <v/>
      </c>
      <c r="F27" s="104" t="str" cm="1">
        <f t="array" ref="F27">_xlfn.IFS(AND(A27&gt;NumberOfPlots,ISBLANK(INDEX(PlotData,MATCH($A27,PlotNumber,0),MATCH(B$3,PlotTitles,0)))),"",ISBLANK(INDEX(PlotData,MATCH($A27,PlotNumber,0),MATCH(F$3,PlotTitles,0))),$AB$9,TRUE,"")</f>
        <v/>
      </c>
      <c r="G27" s="104" t="str" cm="1">
        <f t="array" ref="G27">_xlfn.IFS(AND(A27&gt;NumberOfPlots,ISBLANK(INDEX(PlotData,MATCH($A27,PlotNumber,0),MATCH(B$3,PlotTitles,0)))),"",ISBLANK(INDEX(PlotData,MATCH($A27,PlotNumber,0),MATCH(G$3,PlotTitles,0))),$AB$10,TRUE,"")</f>
        <v/>
      </c>
      <c r="H27" s="104" t="str" cm="1">
        <f t="array" ref="H27">_xlfn.IFS(AND(A27&gt;NumberOfPlots,ISBLANK(INDEX(PlotData,MATCH($A27,PlotNumber,0),MATCH(B$3,PlotTitles,0)))),"",AND(ISBLANK(INDEX(PlotData,MATCH($A27,PlotNumber,0),MATCH(H$3,PlotTitles,0)))=FALSE,INDEX(PlotData,MATCH($A27,PlotNumber,0),MATCH(H$3,PlotTitles,0))&lt;500), $AB$11,TRUE,"")</f>
        <v/>
      </c>
      <c r="I27" s="104" t="str" cm="1">
        <f t="array" ref="I27">_xlfn.IFS(AND(A27&gt;NumberOfPlots,ISBLANK(INDEX(PlotData,MATCH($A27,PlotNumber,0),MATCH(B$3,PlotTitles,0)))),"",ISBLANK(INDEX(PlotData,MATCH($A27,PlotNumber,0),MATCH(I$3,PlotTitles,0))),$AB$12,TRUE,"")</f>
        <v/>
      </c>
      <c r="J27" s="104" t="str" cm="1">
        <f t="array" ref="J27">_xlfn.IFS(AND(A27&gt;NumberOfPlots,ISBLANK(INDEX(PlotData,MATCH($A27,PlotNumber,0),MATCH(B$3,PlotTitles,0)))),"",ISBLANK(INDEX(PlotData,MATCH($A27,PlotNumber,0),MATCH(J$3,PlotTitles,0))),$AB$13,TRUE,"")</f>
        <v/>
      </c>
      <c r="K27" s="182" t="str">
        <f t="shared" ca="1" si="0"/>
        <v/>
      </c>
      <c r="L27" s="104" t="str" cm="1">
        <f t="array" ref="L27">_xlfn.IFS(OR(ISBLANK(StartDateMonth),ISBLANK(StartDateYear)),"",AND(A27&gt;NumberOfPlots,ISBLANK(INDEX(PlotData,MATCH($A27,PlotNumber,0),MATCH(B$3,PlotTitles,0)))),"",ISBLANK(INDEX(PlotData,MATCH($A27,PlotNumber,0),MATCH(I$3,PlotTitles,0))),"",(DATEVALUE(INDEX(PlotData,MATCH($A27,PlotNumber,0),MATCH(I$3,PlotTitles,0))&amp;INDEX(PlotData,MATCH($A27,PlotNumber,0),MATCH(J$3,PlotTitles,0))))&lt;DATEVALUE(StartDateMonth&amp;StartDateYear),$AB$15,TRUE,"")</f>
        <v/>
      </c>
      <c r="M27" s="104" t="str" cm="1">
        <f t="array" ref="M27">_xlfn.IFS(OR(ISBLANK(StartDateMonth),ISBLANK(StartDateYear)),"",AND(A27&gt;NumberOfPlots,ISBLANK(INDEX(PlotData,MATCH($A27,PlotNumber,0),MATCH(B$3,PlotTitles,0)))),"",ISBLANK(INDEX(PlotData,MATCH($A27,PlotNumber,0),MATCH(I$3,PlotTitles,0))),"",CompletionMonth="","",(DATEVALUE(INDEX(PlotData,MATCH($A27,PlotNumber,0),MATCH(I$3,PlotTitles,0))&amp;INDEX(PlotData,MATCH($A27,PlotNumber,0),MATCH(J$3,PlotTitles,0))))&gt;(DATEVALUE(CompletionMonth&amp;CompletionYear)),$AB$16,TRUE,"")</f>
        <v/>
      </c>
      <c r="N27" s="104" t="str" cm="1">
        <f t="array" ref="N27">_xlfn.IFS(AND(A27&gt;NumberOfPlots,ISBLANK(INDEX(PlotData,MATCH($A27,PlotNumber,0),MATCH(B$3,PlotTitles,0)))),"",ISBLANK(INDEX(PlotData,MATCH($A27,PlotNumber,0),MATCH(N$3,PlotTitles,0))),$AB$17,TRUE,"")</f>
        <v/>
      </c>
      <c r="O27" s="104" t="str" cm="1">
        <f t="array" ref="O27">_xlfn.IFS(AND(A27&gt;NumberOfPlots,ISBLANK(INDEX(PlotData,MATCH($A27,PlotNumber,0),MATCH(B$3,PlotTitles,0)))),"",ISBLANK(INDEX(PlotData,MATCH($A27,PlotNumber,0),MATCH(O$3,PlotTitles,0))),$AB$18,TRUE,"")</f>
        <v/>
      </c>
      <c r="P27" s="182" t="str">
        <f t="shared" ca="1" si="1"/>
        <v/>
      </c>
      <c r="Q27" s="104" t="str" cm="1">
        <f t="array" ref="Q27">_xlfn.IFS(AND(A27&gt;NumberOfPlots,ISBLANK(INDEX(PlotData,MATCH($A27,PlotNumber,0),MATCH(B$3,PlotTitles,0)))),"",ISBLANK(INDEX(PlotData,MATCH($A27,PlotNumber,0),MATCH(N$3,PlotTitles,0))),"",(DATEVALUE(INDEX(PlotData,MATCH($A27,PlotNumber,0),MATCH(N$3,PlotTitles,0))&amp;INDEX(PlotData,MATCH($A27,PlotNumber,0),MATCH(O$3,PlotTitles,0))))&lt;(DATEVALUE(INDEX(PlotData,MATCH($A27,PlotNumber,0),MATCH(I$3,PlotTitles,0))&amp;INDEX(PlotData,MATCH($A27,PlotNumber,0),MATCH(J$3,PlotTitles,0)))),$AB$20,TRUE,"")</f>
        <v/>
      </c>
      <c r="R27" s="104" t="str" cm="1">
        <f t="array" ref="R27">_xlfn.IFS(OR(ISBLANK(StartDateMonth),ISBLANK(StartDateYear)),"",AND(A27&gt;NumberOfPlots,ISBLANK(INDEX(PlotData,MATCH($A27,PlotNumber,0),MATCH(B$3,PlotTitles,0)))),"",ISBLANK(INDEX(PlotData,MATCH($A27,PlotNumber,0),MATCH(N$3,PlotTitles,0))),"",CompletionMonth="","",(DATEVALUE(INDEX(PlotData,MATCH($A27,PlotNumber,0),MATCH(N$3,PlotTitles,0))&amp;INDEX(PlotData,MATCH($A27,PlotNumber,0),MATCH(O$3,PlotTitles,0))))&gt;(DATEVALUE(CompletionMonth&amp;CompletionYear)),$AB$21,TRUE,"")</f>
        <v/>
      </c>
      <c r="S27" s="104" t="str" cm="1">
        <f t="array" ref="S27">_xlfn.IFS(AND(A27&gt;NumberOfPlots,ISBLANK(INDEX(PlotData,MATCH($A27,PlotNumber,0),MATCH(B$3,PlotTitles,0)))),"",OR(AND(INDEX(PlotData,MATCH($A27,PlotNumber,0),MATCH("Tenure",PlotTitles,0))="Open market housing",INDEX(PlotData,MATCH($A27,PlotNumber,0),MATCH("Tenure detail",PlotTitles,0))="Private rented sector"),INDEX(PlotData,MATCH($A27,PlotNumber,0),MATCH("Tenure",PlotTitles,0))="Affordable rent"),"",ISNUMBER(INDEX(PlotData,MATCH($A27,PlotNumber,0),MATCH(S$3,PlotTitles,0)))=FALSE, $AB$22,TRUE,"")</f>
        <v/>
      </c>
      <c r="T27" s="104" t="str" cm="1">
        <f t="array" ref="T27">_xlfn.IFS(AND(A27&gt;NumberOfPlots,ISBLANK(INDEX(PlotData,MATCH($A27,PlotNumber,0),MATCH(B$3,PlotTitles,0)))),"",OR(AND(INDEX(PlotData,MATCH($A27,PlotNumber,0),MATCH("Tenure",PlotTitles,0))="Open market housing",INDEX(PlotData,MATCH($A27,PlotNumber,0),MATCH("Tenure detail",PlotTitles,0))="Private rented sector"),INDEX(PlotData,MATCH($A27,PlotNumber,0),MATCH("Tenure",PlotTitles,0))="Affordable rent"),"",INDEX(PlotData,MATCH($A27,PlotNumber,0),MATCH(S$3,PlotTitles,0))&lt;10000, $AB$23,TRUE,"")</f>
        <v/>
      </c>
      <c r="U27" s="104" t="str" cm="1">
        <f t="array" ref="U27">_xlfn.IFS(AND(A27&gt;NumberOfPlots,ISBLANK(INDEX(PlotData,MATCH($A27,PlotNumber,0),MATCH(B$3,PlotTitles,0)))),"",NOT(OR(AND(INDEX(PlotData,MATCH($A27,PlotNumber,0),MATCH("Tenure",PlotTitles,0))="Open market housing",INDEX(PlotData,MATCH($A27,PlotNumber,0),MATCH("Tenure detail",PlotTitles,0))="Private rented sector"),INDEX(PlotData,MATCH($A27,PlotNumber,0),MATCH("Tenure",PlotTitles,0))="Affordable rent")),"",NOT(INDEX(PlotData,MATCH($A27,PlotNumber,0),MATCH(S$3,PlotTitles,0))=0), $AB$24,TRUE,"")</f>
        <v/>
      </c>
      <c r="V27" s="114" t="str" cm="1">
        <f t="array" aca="1" ref="V27" ca="1">_xlfn.IFS(ISBLANK(NumberOfPlots),"Enter the number of homes on the 1_SetUp sheet",AND(A27&gt;NumberOfPlots,ISBLANK(INDEX(PlotData,MATCH($A27,PlotNumber,0),MATCH(B$3,PlotTitles,0)))),"No error",NOT(B27=""),B27,NOT(C27=""),C27,NOT(D27=""),D27,NOT(E27=""),E27,NOT(F27=""),F27,NOT(G27=""),G27,NOT(H27=""),H27,NOT(I27=""),I27,NOT(J27=""),J27,NOT(K27=""),K27,NOT(L27=""),L27,NOT(M27=""),M27,NOT(N27=""),N27,NOT(O27=""),O27,NOT(P27=""),P27,NOT(Q27=""),Q27,NOT(R27=""),R27,NOT(S27=""),S27,NOT(T27=""),T27,NOT(U27=""),U27,TRUE,"No error")</f>
        <v>Enter the number of homes on the 1_SetUp sheet</v>
      </c>
      <c r="W27" s="114" t="str">
        <f t="shared" ca="1" si="2"/>
        <v xml:space="preserve">The Borrower has not addressed the following error messages for Home ID 23: </v>
      </c>
      <c r="X27" s="114"/>
      <c r="Y27" s="114"/>
      <c r="Z27" s="114"/>
      <c r="AA27" s="114"/>
      <c r="AB27" s="114"/>
      <c r="AC27" s="114"/>
    </row>
    <row r="28" spans="1:29">
      <c r="A28" s="123">
        <v>24</v>
      </c>
      <c r="B28" s="104" t="str" cm="1">
        <f t="array" ref="B28">_xlfn.IFS(AND(A28&gt;NumberOfPlots,ISBLANK(INDEX(PlotData,MATCH($A28,PlotNumber,0),MATCH(B$3,PlotTitles,0)))),"",ISNUMBER(INDEX(PlotData,MATCH($A28,PlotNumber,0),MATCH(B$3,PlotTitles,0)))=FALSE, $AB$5,TRUE,"")</f>
        <v/>
      </c>
      <c r="C28" s="104" t="str" cm="1">
        <f t="array" ref="C28">_xlfn.IFS(AND(A28&gt;NumberOfPlots,ISBLANK(INDEX(PlotData,MATCH($A28,PlotNumber,0),MATCH(B$3,PlotTitles,0)))),"",ISBLANK(INDEX(PlotData,MATCH($A28,PlotNumber,0),MATCH(C$3,PlotTitles,0))),$AB$6,TRUE,"")</f>
        <v/>
      </c>
      <c r="D28" s="104" t="str" cm="1">
        <f t="array" ref="D28">_xlfn.IFS(AND(A28&gt;NumberOfPlots,ISBLANK(INDEX(PlotData,MATCH($A28,PlotNumber,0),MATCH(B$3,PlotTitles,0)))),"",ISBLANK(INDEX(PlotData,MATCH($A28,PlotNumber,0),MATCH(D$3,PlotTitles,0))),$AB$7,TRUE,"")</f>
        <v/>
      </c>
      <c r="E28" s="104" t="str" cm="1">
        <f t="array" ref="E28">_xlfn.IFS(AND(A28&gt;NumberOfPlots,ISBLANK(INDEX(PlotData,MATCH($A28,PlotNumber,0),MATCH(B$3,PlotTitles,0)))),"",ISBLANK(INDEX(PlotData,MATCH($A28,PlotNumber,0),MATCH(E$3,PlotTitles,0))),$AB$8,TRUE,"")</f>
        <v/>
      </c>
      <c r="F28" s="104" t="str" cm="1">
        <f t="array" ref="F28">_xlfn.IFS(AND(A28&gt;NumberOfPlots,ISBLANK(INDEX(PlotData,MATCH($A28,PlotNumber,0),MATCH(B$3,PlotTitles,0)))),"",ISBLANK(INDEX(PlotData,MATCH($A28,PlotNumber,0),MATCH(F$3,PlotTitles,0))),$AB$9,TRUE,"")</f>
        <v/>
      </c>
      <c r="G28" s="104" t="str" cm="1">
        <f t="array" ref="G28">_xlfn.IFS(AND(A28&gt;NumberOfPlots,ISBLANK(INDEX(PlotData,MATCH($A28,PlotNumber,0),MATCH(B$3,PlotTitles,0)))),"",ISBLANK(INDEX(PlotData,MATCH($A28,PlotNumber,0),MATCH(G$3,PlotTitles,0))),$AB$10,TRUE,"")</f>
        <v/>
      </c>
      <c r="H28" s="104" t="str" cm="1">
        <f t="array" ref="H28">_xlfn.IFS(AND(A28&gt;NumberOfPlots,ISBLANK(INDEX(PlotData,MATCH($A28,PlotNumber,0),MATCH(B$3,PlotTitles,0)))),"",AND(ISBLANK(INDEX(PlotData,MATCH($A28,PlotNumber,0),MATCH(H$3,PlotTitles,0)))=FALSE,INDEX(PlotData,MATCH($A28,PlotNumber,0),MATCH(H$3,PlotTitles,0))&lt;500), $AB$11,TRUE,"")</f>
        <v/>
      </c>
      <c r="I28" s="104" t="str" cm="1">
        <f t="array" ref="I28">_xlfn.IFS(AND(A28&gt;NumberOfPlots,ISBLANK(INDEX(PlotData,MATCH($A28,PlotNumber,0),MATCH(B$3,PlotTitles,0)))),"",ISBLANK(INDEX(PlotData,MATCH($A28,PlotNumber,0),MATCH(I$3,PlotTitles,0))),$AB$12,TRUE,"")</f>
        <v/>
      </c>
      <c r="J28" s="104" t="str" cm="1">
        <f t="array" ref="J28">_xlfn.IFS(AND(A28&gt;NumberOfPlots,ISBLANK(INDEX(PlotData,MATCH($A28,PlotNumber,0),MATCH(B$3,PlotTitles,0)))),"",ISBLANK(INDEX(PlotData,MATCH($A28,PlotNumber,0),MATCH(J$3,PlotTitles,0))),$AB$13,TRUE,"")</f>
        <v/>
      </c>
      <c r="K28" s="182" t="str">
        <f t="shared" ca="1" si="0"/>
        <v/>
      </c>
      <c r="L28" s="104" t="str" cm="1">
        <f t="array" ref="L28">_xlfn.IFS(OR(ISBLANK(StartDateMonth),ISBLANK(StartDateYear)),"",AND(A28&gt;NumberOfPlots,ISBLANK(INDEX(PlotData,MATCH($A28,PlotNumber,0),MATCH(B$3,PlotTitles,0)))),"",ISBLANK(INDEX(PlotData,MATCH($A28,PlotNumber,0),MATCH(I$3,PlotTitles,0))),"",(DATEVALUE(INDEX(PlotData,MATCH($A28,PlotNumber,0),MATCH(I$3,PlotTitles,0))&amp;INDEX(PlotData,MATCH($A28,PlotNumber,0),MATCH(J$3,PlotTitles,0))))&lt;DATEVALUE(StartDateMonth&amp;StartDateYear),$AB$15,TRUE,"")</f>
        <v/>
      </c>
      <c r="M28" s="104" t="str" cm="1">
        <f t="array" ref="M28">_xlfn.IFS(OR(ISBLANK(StartDateMonth),ISBLANK(StartDateYear)),"",AND(A28&gt;NumberOfPlots,ISBLANK(INDEX(PlotData,MATCH($A28,PlotNumber,0),MATCH(B$3,PlotTitles,0)))),"",ISBLANK(INDEX(PlotData,MATCH($A28,PlotNumber,0),MATCH(I$3,PlotTitles,0))),"",CompletionMonth="","",(DATEVALUE(INDEX(PlotData,MATCH($A28,PlotNumber,0),MATCH(I$3,PlotTitles,0))&amp;INDEX(PlotData,MATCH($A28,PlotNumber,0),MATCH(J$3,PlotTitles,0))))&gt;(DATEVALUE(CompletionMonth&amp;CompletionYear)),$AB$16,TRUE,"")</f>
        <v/>
      </c>
      <c r="N28" s="104" t="str" cm="1">
        <f t="array" ref="N28">_xlfn.IFS(AND(A28&gt;NumberOfPlots,ISBLANK(INDEX(PlotData,MATCH($A28,PlotNumber,0),MATCH(B$3,PlotTitles,0)))),"",ISBLANK(INDEX(PlotData,MATCH($A28,PlotNumber,0),MATCH(N$3,PlotTitles,0))),$AB$17,TRUE,"")</f>
        <v/>
      </c>
      <c r="O28" s="104" t="str" cm="1">
        <f t="array" ref="O28">_xlfn.IFS(AND(A28&gt;NumberOfPlots,ISBLANK(INDEX(PlotData,MATCH($A28,PlotNumber,0),MATCH(B$3,PlotTitles,0)))),"",ISBLANK(INDEX(PlotData,MATCH($A28,PlotNumber,0),MATCH(O$3,PlotTitles,0))),$AB$18,TRUE,"")</f>
        <v/>
      </c>
      <c r="P28" s="182" t="str">
        <f t="shared" ca="1" si="1"/>
        <v/>
      </c>
      <c r="Q28" s="104" t="str" cm="1">
        <f t="array" ref="Q28">_xlfn.IFS(AND(A28&gt;NumberOfPlots,ISBLANK(INDEX(PlotData,MATCH($A28,PlotNumber,0),MATCH(B$3,PlotTitles,0)))),"",ISBLANK(INDEX(PlotData,MATCH($A28,PlotNumber,0),MATCH(N$3,PlotTitles,0))),"",(DATEVALUE(INDEX(PlotData,MATCH($A28,PlotNumber,0),MATCH(N$3,PlotTitles,0))&amp;INDEX(PlotData,MATCH($A28,PlotNumber,0),MATCH(O$3,PlotTitles,0))))&lt;(DATEVALUE(INDEX(PlotData,MATCH($A28,PlotNumber,0),MATCH(I$3,PlotTitles,0))&amp;INDEX(PlotData,MATCH($A28,PlotNumber,0),MATCH(J$3,PlotTitles,0)))),$AB$20,TRUE,"")</f>
        <v/>
      </c>
      <c r="R28" s="104" t="str" cm="1">
        <f t="array" ref="R28">_xlfn.IFS(OR(ISBLANK(StartDateMonth),ISBLANK(StartDateYear)),"",AND(A28&gt;NumberOfPlots,ISBLANK(INDEX(PlotData,MATCH($A28,PlotNumber,0),MATCH(B$3,PlotTitles,0)))),"",ISBLANK(INDEX(PlotData,MATCH($A28,PlotNumber,0),MATCH(N$3,PlotTitles,0))),"",CompletionMonth="","",(DATEVALUE(INDEX(PlotData,MATCH($A28,PlotNumber,0),MATCH(N$3,PlotTitles,0))&amp;INDEX(PlotData,MATCH($A28,PlotNumber,0),MATCH(O$3,PlotTitles,0))))&gt;(DATEVALUE(CompletionMonth&amp;CompletionYear)),$AB$21,TRUE,"")</f>
        <v/>
      </c>
      <c r="S28" s="104" t="str" cm="1">
        <f t="array" ref="S28">_xlfn.IFS(AND(A28&gt;NumberOfPlots,ISBLANK(INDEX(PlotData,MATCH($A28,PlotNumber,0),MATCH(B$3,PlotTitles,0)))),"",OR(AND(INDEX(PlotData,MATCH($A28,PlotNumber,0),MATCH("Tenure",PlotTitles,0))="Open market housing",INDEX(PlotData,MATCH($A28,PlotNumber,0),MATCH("Tenure detail",PlotTitles,0))="Private rented sector"),INDEX(PlotData,MATCH($A28,PlotNumber,0),MATCH("Tenure",PlotTitles,0))="Affordable rent"),"",ISNUMBER(INDEX(PlotData,MATCH($A28,PlotNumber,0),MATCH(S$3,PlotTitles,0)))=FALSE, $AB$22,TRUE,"")</f>
        <v/>
      </c>
      <c r="T28" s="104" t="str" cm="1">
        <f t="array" ref="T28">_xlfn.IFS(AND(A28&gt;NumberOfPlots,ISBLANK(INDEX(PlotData,MATCH($A28,PlotNumber,0),MATCH(B$3,PlotTitles,0)))),"",OR(AND(INDEX(PlotData,MATCH($A28,PlotNumber,0),MATCH("Tenure",PlotTitles,0))="Open market housing",INDEX(PlotData,MATCH($A28,PlotNumber,0),MATCH("Tenure detail",PlotTitles,0))="Private rented sector"),INDEX(PlotData,MATCH($A28,PlotNumber,0),MATCH("Tenure",PlotTitles,0))="Affordable rent"),"",INDEX(PlotData,MATCH($A28,PlotNumber,0),MATCH(S$3,PlotTitles,0))&lt;10000, $AB$23,TRUE,"")</f>
        <v/>
      </c>
      <c r="U28" s="104" t="str" cm="1">
        <f t="array" ref="U28">_xlfn.IFS(AND(A28&gt;NumberOfPlots,ISBLANK(INDEX(PlotData,MATCH($A28,PlotNumber,0),MATCH(B$3,PlotTitles,0)))),"",NOT(OR(AND(INDEX(PlotData,MATCH($A28,PlotNumber,0),MATCH("Tenure",PlotTitles,0))="Open market housing",INDEX(PlotData,MATCH($A28,PlotNumber,0),MATCH("Tenure detail",PlotTitles,0))="Private rented sector"),INDEX(PlotData,MATCH($A28,PlotNumber,0),MATCH("Tenure",PlotTitles,0))="Affordable rent")),"",NOT(INDEX(PlotData,MATCH($A28,PlotNumber,0),MATCH(S$3,PlotTitles,0))=0), $AB$24,TRUE,"")</f>
        <v/>
      </c>
      <c r="V28" s="114" t="str" cm="1">
        <f t="array" aca="1" ref="V28" ca="1">_xlfn.IFS(ISBLANK(NumberOfPlots),"Enter the number of homes on the 1_SetUp sheet",AND(A28&gt;NumberOfPlots,ISBLANK(INDEX(PlotData,MATCH($A28,PlotNumber,0),MATCH(B$3,PlotTitles,0)))),"No error",NOT(B28=""),B28,NOT(C28=""),C28,NOT(D28=""),D28,NOT(E28=""),E28,NOT(F28=""),F28,NOT(G28=""),G28,NOT(H28=""),H28,NOT(I28=""),I28,NOT(J28=""),J28,NOT(K28=""),K28,NOT(L28=""),L28,NOT(M28=""),M28,NOT(N28=""),N28,NOT(O28=""),O28,NOT(P28=""),P28,NOT(Q28=""),Q28,NOT(R28=""),R28,NOT(S28=""),S28,NOT(T28=""),T28,NOT(U28=""),U28,TRUE,"No error")</f>
        <v>Enter the number of homes on the 1_SetUp sheet</v>
      </c>
      <c r="W28" s="114" t="str">
        <f t="shared" ca="1" si="2"/>
        <v xml:space="preserve">The Borrower has not addressed the following error messages for Home ID 24: </v>
      </c>
      <c r="X28" s="114"/>
      <c r="Y28" s="114"/>
      <c r="Z28" s="114"/>
      <c r="AA28" s="114"/>
      <c r="AB28" s="114"/>
      <c r="AC28" s="114"/>
    </row>
    <row r="29" spans="1:29">
      <c r="A29" s="123">
        <v>25</v>
      </c>
      <c r="B29" s="104" t="str" cm="1">
        <f t="array" ref="B29">_xlfn.IFS(AND(A29&gt;NumberOfPlots,ISBLANK(INDEX(PlotData,MATCH($A29,PlotNumber,0),MATCH(B$3,PlotTitles,0)))),"",ISNUMBER(INDEX(PlotData,MATCH($A29,PlotNumber,0),MATCH(B$3,PlotTitles,0)))=FALSE, $AB$5,TRUE,"")</f>
        <v/>
      </c>
      <c r="C29" s="104" t="str" cm="1">
        <f t="array" ref="C29">_xlfn.IFS(AND(A29&gt;NumberOfPlots,ISBLANK(INDEX(PlotData,MATCH($A29,PlotNumber,0),MATCH(B$3,PlotTitles,0)))),"",ISBLANK(INDEX(PlotData,MATCH($A29,PlotNumber,0),MATCH(C$3,PlotTitles,0))),$AB$6,TRUE,"")</f>
        <v/>
      </c>
      <c r="D29" s="104" t="str" cm="1">
        <f t="array" ref="D29">_xlfn.IFS(AND(A29&gt;NumberOfPlots,ISBLANK(INDEX(PlotData,MATCH($A29,PlotNumber,0),MATCH(B$3,PlotTitles,0)))),"",ISBLANK(INDEX(PlotData,MATCH($A29,PlotNumber,0),MATCH(D$3,PlotTitles,0))),$AB$7,TRUE,"")</f>
        <v/>
      </c>
      <c r="E29" s="104" t="str" cm="1">
        <f t="array" ref="E29">_xlfn.IFS(AND(A29&gt;NumberOfPlots,ISBLANK(INDEX(PlotData,MATCH($A29,PlotNumber,0),MATCH(B$3,PlotTitles,0)))),"",ISBLANK(INDEX(PlotData,MATCH($A29,PlotNumber,0),MATCH(E$3,PlotTitles,0))),$AB$8,TRUE,"")</f>
        <v/>
      </c>
      <c r="F29" s="104" t="str" cm="1">
        <f t="array" ref="F29">_xlfn.IFS(AND(A29&gt;NumberOfPlots,ISBLANK(INDEX(PlotData,MATCH($A29,PlotNumber,0),MATCH(B$3,PlotTitles,0)))),"",ISBLANK(INDEX(PlotData,MATCH($A29,PlotNumber,0),MATCH(F$3,PlotTitles,0))),$AB$9,TRUE,"")</f>
        <v/>
      </c>
      <c r="G29" s="104" t="str" cm="1">
        <f t="array" ref="G29">_xlfn.IFS(AND(A29&gt;NumberOfPlots,ISBLANK(INDEX(PlotData,MATCH($A29,PlotNumber,0),MATCH(B$3,PlotTitles,0)))),"",ISBLANK(INDEX(PlotData,MATCH($A29,PlotNumber,0),MATCH(G$3,PlotTitles,0))),$AB$10,TRUE,"")</f>
        <v/>
      </c>
      <c r="H29" s="104" t="str" cm="1">
        <f t="array" ref="H29">_xlfn.IFS(AND(A29&gt;NumberOfPlots,ISBLANK(INDEX(PlotData,MATCH($A29,PlotNumber,0),MATCH(B$3,PlotTitles,0)))),"",AND(ISBLANK(INDEX(PlotData,MATCH($A29,PlotNumber,0),MATCH(H$3,PlotTitles,0)))=FALSE,INDEX(PlotData,MATCH($A29,PlotNumber,0),MATCH(H$3,PlotTitles,0))&lt;500), $AB$11,TRUE,"")</f>
        <v/>
      </c>
      <c r="I29" s="104" t="str" cm="1">
        <f t="array" ref="I29">_xlfn.IFS(AND(A29&gt;NumberOfPlots,ISBLANK(INDEX(PlotData,MATCH($A29,PlotNumber,0),MATCH(B$3,PlotTitles,0)))),"",ISBLANK(INDEX(PlotData,MATCH($A29,PlotNumber,0),MATCH(I$3,PlotTitles,0))),$AB$12,TRUE,"")</f>
        <v/>
      </c>
      <c r="J29" s="104" t="str" cm="1">
        <f t="array" ref="J29">_xlfn.IFS(AND(A29&gt;NumberOfPlots,ISBLANK(INDEX(PlotData,MATCH($A29,PlotNumber,0),MATCH(B$3,PlotTitles,0)))),"",ISBLANK(INDEX(PlotData,MATCH($A29,PlotNumber,0),MATCH(J$3,PlotTitles,0))),$AB$13,TRUE,"")</f>
        <v/>
      </c>
      <c r="K29" s="182" t="str">
        <f t="shared" ca="1" si="0"/>
        <v/>
      </c>
      <c r="L29" s="104" t="str" cm="1">
        <f t="array" ref="L29">_xlfn.IFS(OR(ISBLANK(StartDateMonth),ISBLANK(StartDateYear)),"",AND(A29&gt;NumberOfPlots,ISBLANK(INDEX(PlotData,MATCH($A29,PlotNumber,0),MATCH(B$3,PlotTitles,0)))),"",ISBLANK(INDEX(PlotData,MATCH($A29,PlotNumber,0),MATCH(I$3,PlotTitles,0))),"",(DATEVALUE(INDEX(PlotData,MATCH($A29,PlotNumber,0),MATCH(I$3,PlotTitles,0))&amp;INDEX(PlotData,MATCH($A29,PlotNumber,0),MATCH(J$3,PlotTitles,0))))&lt;DATEVALUE(StartDateMonth&amp;StartDateYear),$AB$15,TRUE,"")</f>
        <v/>
      </c>
      <c r="M29" s="104" t="str" cm="1">
        <f t="array" ref="M29">_xlfn.IFS(OR(ISBLANK(StartDateMonth),ISBLANK(StartDateYear)),"",AND(A29&gt;NumberOfPlots,ISBLANK(INDEX(PlotData,MATCH($A29,PlotNumber,0),MATCH(B$3,PlotTitles,0)))),"",ISBLANK(INDEX(PlotData,MATCH($A29,PlotNumber,0),MATCH(I$3,PlotTitles,0))),"",CompletionMonth="","",(DATEVALUE(INDEX(PlotData,MATCH($A29,PlotNumber,0),MATCH(I$3,PlotTitles,0))&amp;INDEX(PlotData,MATCH($A29,PlotNumber,0),MATCH(J$3,PlotTitles,0))))&gt;(DATEVALUE(CompletionMonth&amp;CompletionYear)),$AB$16,TRUE,"")</f>
        <v/>
      </c>
      <c r="N29" s="104" t="str" cm="1">
        <f t="array" ref="N29">_xlfn.IFS(AND(A29&gt;NumberOfPlots,ISBLANK(INDEX(PlotData,MATCH($A29,PlotNumber,0),MATCH(B$3,PlotTitles,0)))),"",ISBLANK(INDEX(PlotData,MATCH($A29,PlotNumber,0),MATCH(N$3,PlotTitles,0))),$AB$17,TRUE,"")</f>
        <v/>
      </c>
      <c r="O29" s="104" t="str" cm="1">
        <f t="array" ref="O29">_xlfn.IFS(AND(A29&gt;NumberOfPlots,ISBLANK(INDEX(PlotData,MATCH($A29,PlotNumber,0),MATCH(B$3,PlotTitles,0)))),"",ISBLANK(INDEX(PlotData,MATCH($A29,PlotNumber,0),MATCH(O$3,PlotTitles,0))),$AB$18,TRUE,"")</f>
        <v/>
      </c>
      <c r="P29" s="182" t="str">
        <f t="shared" ca="1" si="1"/>
        <v/>
      </c>
      <c r="Q29" s="104" t="str" cm="1">
        <f t="array" ref="Q29">_xlfn.IFS(AND(A29&gt;NumberOfPlots,ISBLANK(INDEX(PlotData,MATCH($A29,PlotNumber,0),MATCH(B$3,PlotTitles,0)))),"",ISBLANK(INDEX(PlotData,MATCH($A29,PlotNumber,0),MATCH(N$3,PlotTitles,0))),"",(DATEVALUE(INDEX(PlotData,MATCH($A29,PlotNumber,0),MATCH(N$3,PlotTitles,0))&amp;INDEX(PlotData,MATCH($A29,PlotNumber,0),MATCH(O$3,PlotTitles,0))))&lt;(DATEVALUE(INDEX(PlotData,MATCH($A29,PlotNumber,0),MATCH(I$3,PlotTitles,0))&amp;INDEX(PlotData,MATCH($A29,PlotNumber,0),MATCH(J$3,PlotTitles,0)))),$AB$20,TRUE,"")</f>
        <v/>
      </c>
      <c r="R29" s="104" t="str" cm="1">
        <f t="array" ref="R29">_xlfn.IFS(OR(ISBLANK(StartDateMonth),ISBLANK(StartDateYear)),"",AND(A29&gt;NumberOfPlots,ISBLANK(INDEX(PlotData,MATCH($A29,PlotNumber,0),MATCH(B$3,PlotTitles,0)))),"",ISBLANK(INDEX(PlotData,MATCH($A29,PlotNumber,0),MATCH(N$3,PlotTitles,0))),"",CompletionMonth="","",(DATEVALUE(INDEX(PlotData,MATCH($A29,PlotNumber,0),MATCH(N$3,PlotTitles,0))&amp;INDEX(PlotData,MATCH($A29,PlotNumber,0),MATCH(O$3,PlotTitles,0))))&gt;(DATEVALUE(CompletionMonth&amp;CompletionYear)),$AB$21,TRUE,"")</f>
        <v/>
      </c>
      <c r="S29" s="104" t="str" cm="1">
        <f t="array" ref="S29">_xlfn.IFS(AND(A29&gt;NumberOfPlots,ISBLANK(INDEX(PlotData,MATCH($A29,PlotNumber,0),MATCH(B$3,PlotTitles,0)))),"",OR(AND(INDEX(PlotData,MATCH($A29,PlotNumber,0),MATCH("Tenure",PlotTitles,0))="Open market housing",INDEX(PlotData,MATCH($A29,PlotNumber,0),MATCH("Tenure detail",PlotTitles,0))="Private rented sector"),INDEX(PlotData,MATCH($A29,PlotNumber,0),MATCH("Tenure",PlotTitles,0))="Affordable rent"),"",ISNUMBER(INDEX(PlotData,MATCH($A29,PlotNumber,0),MATCH(S$3,PlotTitles,0)))=FALSE, $AB$22,TRUE,"")</f>
        <v/>
      </c>
      <c r="T29" s="104" t="str" cm="1">
        <f t="array" ref="T29">_xlfn.IFS(AND(A29&gt;NumberOfPlots,ISBLANK(INDEX(PlotData,MATCH($A29,PlotNumber,0),MATCH(B$3,PlotTitles,0)))),"",OR(AND(INDEX(PlotData,MATCH($A29,PlotNumber,0),MATCH("Tenure",PlotTitles,0))="Open market housing",INDEX(PlotData,MATCH($A29,PlotNumber,0),MATCH("Tenure detail",PlotTitles,0))="Private rented sector"),INDEX(PlotData,MATCH($A29,PlotNumber,0),MATCH("Tenure",PlotTitles,0))="Affordable rent"),"",INDEX(PlotData,MATCH($A29,PlotNumber,0),MATCH(S$3,PlotTitles,0))&lt;10000, $AB$23,TRUE,"")</f>
        <v/>
      </c>
      <c r="U29" s="104" t="str" cm="1">
        <f t="array" ref="U29">_xlfn.IFS(AND(A29&gt;NumberOfPlots,ISBLANK(INDEX(PlotData,MATCH($A29,PlotNumber,0),MATCH(B$3,PlotTitles,0)))),"",NOT(OR(AND(INDEX(PlotData,MATCH($A29,PlotNumber,0),MATCH("Tenure",PlotTitles,0))="Open market housing",INDEX(PlotData,MATCH($A29,PlotNumber,0),MATCH("Tenure detail",PlotTitles,0))="Private rented sector"),INDEX(PlotData,MATCH($A29,PlotNumber,0),MATCH("Tenure",PlotTitles,0))="Affordable rent")),"",NOT(INDEX(PlotData,MATCH($A29,PlotNumber,0),MATCH(S$3,PlotTitles,0))=0), $AB$24,TRUE,"")</f>
        <v/>
      </c>
      <c r="V29" s="114" t="str" cm="1">
        <f t="array" aca="1" ref="V29" ca="1">_xlfn.IFS(ISBLANK(NumberOfPlots),"Enter the number of homes on the 1_SetUp sheet",AND(A29&gt;NumberOfPlots,ISBLANK(INDEX(PlotData,MATCH($A29,PlotNumber,0),MATCH(B$3,PlotTitles,0)))),"No error",NOT(B29=""),B29,NOT(C29=""),C29,NOT(D29=""),D29,NOT(E29=""),E29,NOT(F29=""),F29,NOT(G29=""),G29,NOT(H29=""),H29,NOT(I29=""),I29,NOT(J29=""),J29,NOT(K29=""),K29,NOT(L29=""),L29,NOT(M29=""),M29,NOT(N29=""),N29,NOT(O29=""),O29,NOT(P29=""),P29,NOT(Q29=""),Q29,NOT(R29=""),R29,NOT(S29=""),S29,NOT(T29=""),T29,NOT(U29=""),U29,TRUE,"No error")</f>
        <v>Enter the number of homes on the 1_SetUp sheet</v>
      </c>
      <c r="W29" s="114" t="str">
        <f t="shared" ca="1" si="2"/>
        <v xml:space="preserve">The Borrower has not addressed the following error messages for Home ID 25: </v>
      </c>
      <c r="X29" s="114"/>
      <c r="Y29" s="114"/>
      <c r="Z29" s="114"/>
      <c r="AA29" s="114"/>
      <c r="AB29" s="114"/>
      <c r="AC29" s="114"/>
    </row>
    <row r="30" spans="1:29">
      <c r="A30" s="123">
        <v>26</v>
      </c>
      <c r="B30" s="104" t="str" cm="1">
        <f t="array" ref="B30">_xlfn.IFS(AND(A30&gt;NumberOfPlots,ISBLANK(INDEX(PlotData,MATCH($A30,PlotNumber,0),MATCH(B$3,PlotTitles,0)))),"",ISNUMBER(INDEX(PlotData,MATCH($A30,PlotNumber,0),MATCH(B$3,PlotTitles,0)))=FALSE, $AB$5,TRUE,"")</f>
        <v/>
      </c>
      <c r="C30" s="104" t="str" cm="1">
        <f t="array" ref="C30">_xlfn.IFS(AND(A30&gt;NumberOfPlots,ISBLANK(INDEX(PlotData,MATCH($A30,PlotNumber,0),MATCH(B$3,PlotTitles,0)))),"",ISBLANK(INDEX(PlotData,MATCH($A30,PlotNumber,0),MATCH(C$3,PlotTitles,0))),$AB$6,TRUE,"")</f>
        <v/>
      </c>
      <c r="D30" s="104" t="str" cm="1">
        <f t="array" ref="D30">_xlfn.IFS(AND(A30&gt;NumberOfPlots,ISBLANK(INDEX(PlotData,MATCH($A30,PlotNumber,0),MATCH(B$3,PlotTitles,0)))),"",ISBLANK(INDEX(PlotData,MATCH($A30,PlotNumber,0),MATCH(D$3,PlotTitles,0))),$AB$7,TRUE,"")</f>
        <v/>
      </c>
      <c r="E30" s="104" t="str" cm="1">
        <f t="array" ref="E30">_xlfn.IFS(AND(A30&gt;NumberOfPlots,ISBLANK(INDEX(PlotData,MATCH($A30,PlotNumber,0),MATCH(B$3,PlotTitles,0)))),"",ISBLANK(INDEX(PlotData,MATCH($A30,PlotNumber,0),MATCH(E$3,PlotTitles,0))),$AB$8,TRUE,"")</f>
        <v/>
      </c>
      <c r="F30" s="104" t="str" cm="1">
        <f t="array" ref="F30">_xlfn.IFS(AND(A30&gt;NumberOfPlots,ISBLANK(INDEX(PlotData,MATCH($A30,PlotNumber,0),MATCH(B$3,PlotTitles,0)))),"",ISBLANK(INDEX(PlotData,MATCH($A30,PlotNumber,0),MATCH(F$3,PlotTitles,0))),$AB$9,TRUE,"")</f>
        <v/>
      </c>
      <c r="G30" s="104" t="str" cm="1">
        <f t="array" ref="G30">_xlfn.IFS(AND(A30&gt;NumberOfPlots,ISBLANK(INDEX(PlotData,MATCH($A30,PlotNumber,0),MATCH(B$3,PlotTitles,0)))),"",ISBLANK(INDEX(PlotData,MATCH($A30,PlotNumber,0),MATCH(G$3,PlotTitles,0))),$AB$10,TRUE,"")</f>
        <v/>
      </c>
      <c r="H30" s="104" t="str" cm="1">
        <f t="array" ref="H30">_xlfn.IFS(AND(A30&gt;NumberOfPlots,ISBLANK(INDEX(PlotData,MATCH($A30,PlotNumber,0),MATCH(B$3,PlotTitles,0)))),"",AND(ISBLANK(INDEX(PlotData,MATCH($A30,PlotNumber,0),MATCH(H$3,PlotTitles,0)))=FALSE,INDEX(PlotData,MATCH($A30,PlotNumber,0),MATCH(H$3,PlotTitles,0))&lt;500), $AB$11,TRUE,"")</f>
        <v/>
      </c>
      <c r="I30" s="104" t="str" cm="1">
        <f t="array" ref="I30">_xlfn.IFS(AND(A30&gt;NumberOfPlots,ISBLANK(INDEX(PlotData,MATCH($A30,PlotNumber,0),MATCH(B$3,PlotTitles,0)))),"",ISBLANK(INDEX(PlotData,MATCH($A30,PlotNumber,0),MATCH(I$3,PlotTitles,0))),$AB$12,TRUE,"")</f>
        <v/>
      </c>
      <c r="J30" s="104" t="str" cm="1">
        <f t="array" ref="J30">_xlfn.IFS(AND(A30&gt;NumberOfPlots,ISBLANK(INDEX(PlotData,MATCH($A30,PlotNumber,0),MATCH(B$3,PlotTitles,0)))),"",ISBLANK(INDEX(PlotData,MATCH($A30,PlotNumber,0),MATCH(J$3,PlotTitles,0))),$AB$13,TRUE,"")</f>
        <v/>
      </c>
      <c r="K30" s="182" t="str">
        <f t="shared" ca="1" si="0"/>
        <v/>
      </c>
      <c r="L30" s="104" t="str" cm="1">
        <f t="array" ref="L30">_xlfn.IFS(OR(ISBLANK(StartDateMonth),ISBLANK(StartDateYear)),"",AND(A30&gt;NumberOfPlots,ISBLANK(INDEX(PlotData,MATCH($A30,PlotNumber,0),MATCH(B$3,PlotTitles,0)))),"",ISBLANK(INDEX(PlotData,MATCH($A30,PlotNumber,0),MATCH(I$3,PlotTitles,0))),"",(DATEVALUE(INDEX(PlotData,MATCH($A30,PlotNumber,0),MATCH(I$3,PlotTitles,0))&amp;INDEX(PlotData,MATCH($A30,PlotNumber,0),MATCH(J$3,PlotTitles,0))))&lt;DATEVALUE(StartDateMonth&amp;StartDateYear),$AB$15,TRUE,"")</f>
        <v/>
      </c>
      <c r="M30" s="104" t="str" cm="1">
        <f t="array" ref="M30">_xlfn.IFS(OR(ISBLANK(StartDateMonth),ISBLANK(StartDateYear)),"",AND(A30&gt;NumberOfPlots,ISBLANK(INDEX(PlotData,MATCH($A30,PlotNumber,0),MATCH(B$3,PlotTitles,0)))),"",ISBLANK(INDEX(PlotData,MATCH($A30,PlotNumber,0),MATCH(I$3,PlotTitles,0))),"",CompletionMonth="","",(DATEVALUE(INDEX(PlotData,MATCH($A30,PlotNumber,0),MATCH(I$3,PlotTitles,0))&amp;INDEX(PlotData,MATCH($A30,PlotNumber,0),MATCH(J$3,PlotTitles,0))))&gt;(DATEVALUE(CompletionMonth&amp;CompletionYear)),$AB$16,TRUE,"")</f>
        <v/>
      </c>
      <c r="N30" s="104" t="str" cm="1">
        <f t="array" ref="N30">_xlfn.IFS(AND(A30&gt;NumberOfPlots,ISBLANK(INDEX(PlotData,MATCH($A30,PlotNumber,0),MATCH(B$3,PlotTitles,0)))),"",ISBLANK(INDEX(PlotData,MATCH($A30,PlotNumber,0),MATCH(N$3,PlotTitles,0))),$AB$17,TRUE,"")</f>
        <v/>
      </c>
      <c r="O30" s="104" t="str" cm="1">
        <f t="array" ref="O30">_xlfn.IFS(AND(A30&gt;NumberOfPlots,ISBLANK(INDEX(PlotData,MATCH($A30,PlotNumber,0),MATCH(B$3,PlotTitles,0)))),"",ISBLANK(INDEX(PlotData,MATCH($A30,PlotNumber,0),MATCH(O$3,PlotTitles,0))),$AB$18,TRUE,"")</f>
        <v/>
      </c>
      <c r="P30" s="182" t="str">
        <f t="shared" ca="1" si="1"/>
        <v/>
      </c>
      <c r="Q30" s="104" t="str" cm="1">
        <f t="array" ref="Q30">_xlfn.IFS(AND(A30&gt;NumberOfPlots,ISBLANK(INDEX(PlotData,MATCH($A30,PlotNumber,0),MATCH(B$3,PlotTitles,0)))),"",ISBLANK(INDEX(PlotData,MATCH($A30,PlotNumber,0),MATCH(N$3,PlotTitles,0))),"",(DATEVALUE(INDEX(PlotData,MATCH($A30,PlotNumber,0),MATCH(N$3,PlotTitles,0))&amp;INDEX(PlotData,MATCH($A30,PlotNumber,0),MATCH(O$3,PlotTitles,0))))&lt;(DATEVALUE(INDEX(PlotData,MATCH($A30,PlotNumber,0),MATCH(I$3,PlotTitles,0))&amp;INDEX(PlotData,MATCH($A30,PlotNumber,0),MATCH(J$3,PlotTitles,0)))),$AB$20,TRUE,"")</f>
        <v/>
      </c>
      <c r="R30" s="104" t="str" cm="1">
        <f t="array" ref="R30">_xlfn.IFS(OR(ISBLANK(StartDateMonth),ISBLANK(StartDateYear)),"",AND(A30&gt;NumberOfPlots,ISBLANK(INDEX(PlotData,MATCH($A30,PlotNumber,0),MATCH(B$3,PlotTitles,0)))),"",ISBLANK(INDEX(PlotData,MATCH($A30,PlotNumber,0),MATCH(N$3,PlotTitles,0))),"",CompletionMonth="","",(DATEVALUE(INDEX(PlotData,MATCH($A30,PlotNumber,0),MATCH(N$3,PlotTitles,0))&amp;INDEX(PlotData,MATCH($A30,PlotNumber,0),MATCH(O$3,PlotTitles,0))))&gt;(DATEVALUE(CompletionMonth&amp;CompletionYear)),$AB$21,TRUE,"")</f>
        <v/>
      </c>
      <c r="S30" s="104" t="str" cm="1">
        <f t="array" ref="S30">_xlfn.IFS(AND(A30&gt;NumberOfPlots,ISBLANK(INDEX(PlotData,MATCH($A30,PlotNumber,0),MATCH(B$3,PlotTitles,0)))),"",OR(AND(INDEX(PlotData,MATCH($A30,PlotNumber,0),MATCH("Tenure",PlotTitles,0))="Open market housing",INDEX(PlotData,MATCH($A30,PlotNumber,0),MATCH("Tenure detail",PlotTitles,0))="Private rented sector"),INDEX(PlotData,MATCH($A30,PlotNumber,0),MATCH("Tenure",PlotTitles,0))="Affordable rent"),"",ISNUMBER(INDEX(PlotData,MATCH($A30,PlotNumber,0),MATCH(S$3,PlotTitles,0)))=FALSE, $AB$22,TRUE,"")</f>
        <v/>
      </c>
      <c r="T30" s="104" t="str" cm="1">
        <f t="array" ref="T30">_xlfn.IFS(AND(A30&gt;NumberOfPlots,ISBLANK(INDEX(PlotData,MATCH($A30,PlotNumber,0),MATCH(B$3,PlotTitles,0)))),"",OR(AND(INDEX(PlotData,MATCH($A30,PlotNumber,0),MATCH("Tenure",PlotTitles,0))="Open market housing",INDEX(PlotData,MATCH($A30,PlotNumber,0),MATCH("Tenure detail",PlotTitles,0))="Private rented sector"),INDEX(PlotData,MATCH($A30,PlotNumber,0),MATCH("Tenure",PlotTitles,0))="Affordable rent"),"",INDEX(PlotData,MATCH($A30,PlotNumber,0),MATCH(S$3,PlotTitles,0))&lt;10000, $AB$23,TRUE,"")</f>
        <v/>
      </c>
      <c r="U30" s="104" t="str" cm="1">
        <f t="array" ref="U30">_xlfn.IFS(AND(A30&gt;NumberOfPlots,ISBLANK(INDEX(PlotData,MATCH($A30,PlotNumber,0),MATCH(B$3,PlotTitles,0)))),"",NOT(OR(AND(INDEX(PlotData,MATCH($A30,PlotNumber,0),MATCH("Tenure",PlotTitles,0))="Open market housing",INDEX(PlotData,MATCH($A30,PlotNumber,0),MATCH("Tenure detail",PlotTitles,0))="Private rented sector"),INDEX(PlotData,MATCH($A30,PlotNumber,0),MATCH("Tenure",PlotTitles,0))="Affordable rent")),"",NOT(INDEX(PlotData,MATCH($A30,PlotNumber,0),MATCH(S$3,PlotTitles,0))=0), $AB$24,TRUE,"")</f>
        <v/>
      </c>
      <c r="V30" s="114" t="str" cm="1">
        <f t="array" aca="1" ref="V30" ca="1">_xlfn.IFS(ISBLANK(NumberOfPlots),"Enter the number of homes on the 1_SetUp sheet",AND(A30&gt;NumberOfPlots,ISBLANK(INDEX(PlotData,MATCH($A30,PlotNumber,0),MATCH(B$3,PlotTitles,0)))),"No error",NOT(B30=""),B30,NOT(C30=""),C30,NOT(D30=""),D30,NOT(E30=""),E30,NOT(F30=""),F30,NOT(G30=""),G30,NOT(H30=""),H30,NOT(I30=""),I30,NOT(J30=""),J30,NOT(K30=""),K30,NOT(L30=""),L30,NOT(M30=""),M30,NOT(N30=""),N30,NOT(O30=""),O30,NOT(P30=""),P30,NOT(Q30=""),Q30,NOT(R30=""),R30,NOT(S30=""),S30,NOT(T30=""),T30,NOT(U30=""),U30,TRUE,"No error")</f>
        <v>Enter the number of homes on the 1_SetUp sheet</v>
      </c>
      <c r="W30" s="114" t="str">
        <f t="shared" ca="1" si="2"/>
        <v xml:space="preserve">The Borrower has not addressed the following error messages for Home ID 26: </v>
      </c>
      <c r="X30" s="114"/>
      <c r="Y30" s="114"/>
      <c r="Z30" s="114"/>
      <c r="AA30" s="114"/>
      <c r="AB30" s="114"/>
      <c r="AC30" s="114"/>
    </row>
    <row r="31" spans="1:29">
      <c r="A31" s="123">
        <v>27</v>
      </c>
      <c r="B31" s="104" t="str" cm="1">
        <f t="array" ref="B31">_xlfn.IFS(AND(A31&gt;NumberOfPlots,ISBLANK(INDEX(PlotData,MATCH($A31,PlotNumber,0),MATCH(B$3,PlotTitles,0)))),"",ISNUMBER(INDEX(PlotData,MATCH($A31,PlotNumber,0),MATCH(B$3,PlotTitles,0)))=FALSE, $AB$5,TRUE,"")</f>
        <v/>
      </c>
      <c r="C31" s="104" t="str" cm="1">
        <f t="array" ref="C31">_xlfn.IFS(AND(A31&gt;NumberOfPlots,ISBLANK(INDEX(PlotData,MATCH($A31,PlotNumber,0),MATCH(B$3,PlotTitles,0)))),"",ISBLANK(INDEX(PlotData,MATCH($A31,PlotNumber,0),MATCH(C$3,PlotTitles,0))),$AB$6,TRUE,"")</f>
        <v/>
      </c>
      <c r="D31" s="104" t="str" cm="1">
        <f t="array" ref="D31">_xlfn.IFS(AND(A31&gt;NumberOfPlots,ISBLANK(INDEX(PlotData,MATCH($A31,PlotNumber,0),MATCH(B$3,PlotTitles,0)))),"",ISBLANK(INDEX(PlotData,MATCH($A31,PlotNumber,0),MATCH(D$3,PlotTitles,0))),$AB$7,TRUE,"")</f>
        <v/>
      </c>
      <c r="E31" s="104" t="str" cm="1">
        <f t="array" ref="E31">_xlfn.IFS(AND(A31&gt;NumberOfPlots,ISBLANK(INDEX(PlotData,MATCH($A31,PlotNumber,0),MATCH(B$3,PlotTitles,0)))),"",ISBLANK(INDEX(PlotData,MATCH($A31,PlotNumber,0),MATCH(E$3,PlotTitles,0))),$AB$8,TRUE,"")</f>
        <v/>
      </c>
      <c r="F31" s="104" t="str" cm="1">
        <f t="array" ref="F31">_xlfn.IFS(AND(A31&gt;NumberOfPlots,ISBLANK(INDEX(PlotData,MATCH($A31,PlotNumber,0),MATCH(B$3,PlotTitles,0)))),"",ISBLANK(INDEX(PlotData,MATCH($A31,PlotNumber,0),MATCH(F$3,PlotTitles,0))),$AB$9,TRUE,"")</f>
        <v/>
      </c>
      <c r="G31" s="104" t="str" cm="1">
        <f t="array" ref="G31">_xlfn.IFS(AND(A31&gt;NumberOfPlots,ISBLANK(INDEX(PlotData,MATCH($A31,PlotNumber,0),MATCH(B$3,PlotTitles,0)))),"",ISBLANK(INDEX(PlotData,MATCH($A31,PlotNumber,0),MATCH(G$3,PlotTitles,0))),$AB$10,TRUE,"")</f>
        <v/>
      </c>
      <c r="H31" s="104" t="str" cm="1">
        <f t="array" ref="H31">_xlfn.IFS(AND(A31&gt;NumberOfPlots,ISBLANK(INDEX(PlotData,MATCH($A31,PlotNumber,0),MATCH(B$3,PlotTitles,0)))),"",AND(ISBLANK(INDEX(PlotData,MATCH($A31,PlotNumber,0),MATCH(H$3,PlotTitles,0)))=FALSE,INDEX(PlotData,MATCH($A31,PlotNumber,0),MATCH(H$3,PlotTitles,0))&lt;500), $AB$11,TRUE,"")</f>
        <v/>
      </c>
      <c r="I31" s="104" t="str" cm="1">
        <f t="array" ref="I31">_xlfn.IFS(AND(A31&gt;NumberOfPlots,ISBLANK(INDEX(PlotData,MATCH($A31,PlotNumber,0),MATCH(B$3,PlotTitles,0)))),"",ISBLANK(INDEX(PlotData,MATCH($A31,PlotNumber,0),MATCH(I$3,PlotTitles,0))),$AB$12,TRUE,"")</f>
        <v/>
      </c>
      <c r="J31" s="104" t="str" cm="1">
        <f t="array" ref="J31">_xlfn.IFS(AND(A31&gt;NumberOfPlots,ISBLANK(INDEX(PlotData,MATCH($A31,PlotNumber,0),MATCH(B$3,PlotTitles,0)))),"",ISBLANK(INDEX(PlotData,MATCH($A31,PlotNumber,0),MATCH(J$3,PlotTitles,0))),$AB$13,TRUE,"")</f>
        <v/>
      </c>
      <c r="K31" s="182" t="str">
        <f t="shared" ca="1" si="0"/>
        <v/>
      </c>
      <c r="L31" s="104" t="str" cm="1">
        <f t="array" ref="L31">_xlfn.IFS(OR(ISBLANK(StartDateMonth),ISBLANK(StartDateYear)),"",AND(A31&gt;NumberOfPlots,ISBLANK(INDEX(PlotData,MATCH($A31,PlotNumber,0),MATCH(B$3,PlotTitles,0)))),"",ISBLANK(INDEX(PlotData,MATCH($A31,PlotNumber,0),MATCH(I$3,PlotTitles,0))),"",(DATEVALUE(INDEX(PlotData,MATCH($A31,PlotNumber,0),MATCH(I$3,PlotTitles,0))&amp;INDEX(PlotData,MATCH($A31,PlotNumber,0),MATCH(J$3,PlotTitles,0))))&lt;DATEVALUE(StartDateMonth&amp;StartDateYear),$AB$15,TRUE,"")</f>
        <v/>
      </c>
      <c r="M31" s="104" t="str" cm="1">
        <f t="array" ref="M31">_xlfn.IFS(OR(ISBLANK(StartDateMonth),ISBLANK(StartDateYear)),"",AND(A31&gt;NumberOfPlots,ISBLANK(INDEX(PlotData,MATCH($A31,PlotNumber,0),MATCH(B$3,PlotTitles,0)))),"",ISBLANK(INDEX(PlotData,MATCH($A31,PlotNumber,0),MATCH(I$3,PlotTitles,0))),"",CompletionMonth="","",(DATEVALUE(INDEX(PlotData,MATCH($A31,PlotNumber,0),MATCH(I$3,PlotTitles,0))&amp;INDEX(PlotData,MATCH($A31,PlotNumber,0),MATCH(J$3,PlotTitles,0))))&gt;(DATEVALUE(CompletionMonth&amp;CompletionYear)),$AB$16,TRUE,"")</f>
        <v/>
      </c>
      <c r="N31" s="104" t="str" cm="1">
        <f t="array" ref="N31">_xlfn.IFS(AND(A31&gt;NumberOfPlots,ISBLANK(INDEX(PlotData,MATCH($A31,PlotNumber,0),MATCH(B$3,PlotTitles,0)))),"",ISBLANK(INDEX(PlotData,MATCH($A31,PlotNumber,0),MATCH(N$3,PlotTitles,0))),$AB$17,TRUE,"")</f>
        <v/>
      </c>
      <c r="O31" s="104" t="str" cm="1">
        <f t="array" ref="O31">_xlfn.IFS(AND(A31&gt;NumberOfPlots,ISBLANK(INDEX(PlotData,MATCH($A31,PlotNumber,0),MATCH(B$3,PlotTitles,0)))),"",ISBLANK(INDEX(PlotData,MATCH($A31,PlotNumber,0),MATCH(O$3,PlotTitles,0))),$AB$18,TRUE,"")</f>
        <v/>
      </c>
      <c r="P31" s="182" t="str">
        <f t="shared" ca="1" si="1"/>
        <v/>
      </c>
      <c r="Q31" s="104" t="str" cm="1">
        <f t="array" ref="Q31">_xlfn.IFS(AND(A31&gt;NumberOfPlots,ISBLANK(INDEX(PlotData,MATCH($A31,PlotNumber,0),MATCH(B$3,PlotTitles,0)))),"",ISBLANK(INDEX(PlotData,MATCH($A31,PlotNumber,0),MATCH(N$3,PlotTitles,0))),"",(DATEVALUE(INDEX(PlotData,MATCH($A31,PlotNumber,0),MATCH(N$3,PlotTitles,0))&amp;INDEX(PlotData,MATCH($A31,PlotNumber,0),MATCH(O$3,PlotTitles,0))))&lt;(DATEVALUE(INDEX(PlotData,MATCH($A31,PlotNumber,0),MATCH(I$3,PlotTitles,0))&amp;INDEX(PlotData,MATCH($A31,PlotNumber,0),MATCH(J$3,PlotTitles,0)))),$AB$20,TRUE,"")</f>
        <v/>
      </c>
      <c r="R31" s="104" t="str" cm="1">
        <f t="array" ref="R31">_xlfn.IFS(OR(ISBLANK(StartDateMonth),ISBLANK(StartDateYear)),"",AND(A31&gt;NumberOfPlots,ISBLANK(INDEX(PlotData,MATCH($A31,PlotNumber,0),MATCH(B$3,PlotTitles,0)))),"",ISBLANK(INDEX(PlotData,MATCH($A31,PlotNumber,0),MATCH(N$3,PlotTitles,0))),"",CompletionMonth="","",(DATEVALUE(INDEX(PlotData,MATCH($A31,PlotNumber,0),MATCH(N$3,PlotTitles,0))&amp;INDEX(PlotData,MATCH($A31,PlotNumber,0),MATCH(O$3,PlotTitles,0))))&gt;(DATEVALUE(CompletionMonth&amp;CompletionYear)),$AB$21,TRUE,"")</f>
        <v/>
      </c>
      <c r="S31" s="104" t="str" cm="1">
        <f t="array" ref="S31">_xlfn.IFS(AND(A31&gt;NumberOfPlots,ISBLANK(INDEX(PlotData,MATCH($A31,PlotNumber,0),MATCH(B$3,PlotTitles,0)))),"",OR(AND(INDEX(PlotData,MATCH($A31,PlotNumber,0),MATCH("Tenure",PlotTitles,0))="Open market housing",INDEX(PlotData,MATCH($A31,PlotNumber,0),MATCH("Tenure detail",PlotTitles,0))="Private rented sector"),INDEX(PlotData,MATCH($A31,PlotNumber,0),MATCH("Tenure",PlotTitles,0))="Affordable rent"),"",ISNUMBER(INDEX(PlotData,MATCH($A31,PlotNumber,0),MATCH(S$3,PlotTitles,0)))=FALSE, $AB$22,TRUE,"")</f>
        <v/>
      </c>
      <c r="T31" s="104" t="str" cm="1">
        <f t="array" ref="T31">_xlfn.IFS(AND(A31&gt;NumberOfPlots,ISBLANK(INDEX(PlotData,MATCH($A31,PlotNumber,0),MATCH(B$3,PlotTitles,0)))),"",OR(AND(INDEX(PlotData,MATCH($A31,PlotNumber,0),MATCH("Tenure",PlotTitles,0))="Open market housing",INDEX(PlotData,MATCH($A31,PlotNumber,0),MATCH("Tenure detail",PlotTitles,0))="Private rented sector"),INDEX(PlotData,MATCH($A31,PlotNumber,0),MATCH("Tenure",PlotTitles,0))="Affordable rent"),"",INDEX(PlotData,MATCH($A31,PlotNumber,0),MATCH(S$3,PlotTitles,0))&lt;10000, $AB$23,TRUE,"")</f>
        <v/>
      </c>
      <c r="U31" s="104" t="str" cm="1">
        <f t="array" ref="U31">_xlfn.IFS(AND(A31&gt;NumberOfPlots,ISBLANK(INDEX(PlotData,MATCH($A31,PlotNumber,0),MATCH(B$3,PlotTitles,0)))),"",NOT(OR(AND(INDEX(PlotData,MATCH($A31,PlotNumber,0),MATCH("Tenure",PlotTitles,0))="Open market housing",INDEX(PlotData,MATCH($A31,PlotNumber,0),MATCH("Tenure detail",PlotTitles,0))="Private rented sector"),INDEX(PlotData,MATCH($A31,PlotNumber,0),MATCH("Tenure",PlotTitles,0))="Affordable rent")),"",NOT(INDEX(PlotData,MATCH($A31,PlotNumber,0),MATCH(S$3,PlotTitles,0))=0), $AB$24,TRUE,"")</f>
        <v/>
      </c>
      <c r="V31" s="114" t="str" cm="1">
        <f t="array" aca="1" ref="V31" ca="1">_xlfn.IFS(ISBLANK(NumberOfPlots),"Enter the number of homes on the 1_SetUp sheet",AND(A31&gt;NumberOfPlots,ISBLANK(INDEX(PlotData,MATCH($A31,PlotNumber,0),MATCH(B$3,PlotTitles,0)))),"No error",NOT(B31=""),B31,NOT(C31=""),C31,NOT(D31=""),D31,NOT(E31=""),E31,NOT(F31=""),F31,NOT(G31=""),G31,NOT(H31=""),H31,NOT(I31=""),I31,NOT(J31=""),J31,NOT(K31=""),K31,NOT(L31=""),L31,NOT(M31=""),M31,NOT(N31=""),N31,NOT(O31=""),O31,NOT(P31=""),P31,NOT(Q31=""),Q31,NOT(R31=""),R31,NOT(S31=""),S31,NOT(T31=""),T31,NOT(U31=""),U31,TRUE,"No error")</f>
        <v>Enter the number of homes on the 1_SetUp sheet</v>
      </c>
      <c r="W31" s="114" t="str">
        <f t="shared" ca="1" si="2"/>
        <v xml:space="preserve">The Borrower has not addressed the following error messages for Home ID 27: </v>
      </c>
      <c r="X31" s="114"/>
      <c r="Y31" s="114"/>
      <c r="Z31" s="114"/>
      <c r="AA31" s="114"/>
      <c r="AB31" s="114"/>
      <c r="AC31" s="114"/>
    </row>
    <row r="32" spans="1:29">
      <c r="A32" s="123">
        <v>28</v>
      </c>
      <c r="B32" s="104" t="str" cm="1">
        <f t="array" ref="B32">_xlfn.IFS(AND(A32&gt;NumberOfPlots,ISBLANK(INDEX(PlotData,MATCH($A32,PlotNumber,0),MATCH(B$3,PlotTitles,0)))),"",ISNUMBER(INDEX(PlotData,MATCH($A32,PlotNumber,0),MATCH(B$3,PlotTitles,0)))=FALSE, $AB$5,TRUE,"")</f>
        <v/>
      </c>
      <c r="C32" s="104" t="str" cm="1">
        <f t="array" ref="C32">_xlfn.IFS(AND(A32&gt;NumberOfPlots,ISBLANK(INDEX(PlotData,MATCH($A32,PlotNumber,0),MATCH(B$3,PlotTitles,0)))),"",ISBLANK(INDEX(PlotData,MATCH($A32,PlotNumber,0),MATCH(C$3,PlotTitles,0))),$AB$6,TRUE,"")</f>
        <v/>
      </c>
      <c r="D32" s="104" t="str" cm="1">
        <f t="array" ref="D32">_xlfn.IFS(AND(A32&gt;NumberOfPlots,ISBLANK(INDEX(PlotData,MATCH($A32,PlotNumber,0),MATCH(B$3,PlotTitles,0)))),"",ISBLANK(INDEX(PlotData,MATCH($A32,PlotNumber,0),MATCH(D$3,PlotTitles,0))),$AB$7,TRUE,"")</f>
        <v/>
      </c>
      <c r="E32" s="104" t="str" cm="1">
        <f t="array" ref="E32">_xlfn.IFS(AND(A32&gt;NumberOfPlots,ISBLANK(INDEX(PlotData,MATCH($A32,PlotNumber,0),MATCH(B$3,PlotTitles,0)))),"",ISBLANK(INDEX(PlotData,MATCH($A32,PlotNumber,0),MATCH(E$3,PlotTitles,0))),$AB$8,TRUE,"")</f>
        <v/>
      </c>
      <c r="F32" s="104" t="str" cm="1">
        <f t="array" ref="F32">_xlfn.IFS(AND(A32&gt;NumberOfPlots,ISBLANK(INDEX(PlotData,MATCH($A32,PlotNumber,0),MATCH(B$3,PlotTitles,0)))),"",ISBLANK(INDEX(PlotData,MATCH($A32,PlotNumber,0),MATCH(F$3,PlotTitles,0))),$AB$9,TRUE,"")</f>
        <v/>
      </c>
      <c r="G32" s="104" t="str" cm="1">
        <f t="array" ref="G32">_xlfn.IFS(AND(A32&gt;NumberOfPlots,ISBLANK(INDEX(PlotData,MATCH($A32,PlotNumber,0),MATCH(B$3,PlotTitles,0)))),"",ISBLANK(INDEX(PlotData,MATCH($A32,PlotNumber,0),MATCH(G$3,PlotTitles,0))),$AB$10,TRUE,"")</f>
        <v/>
      </c>
      <c r="H32" s="104" t="str" cm="1">
        <f t="array" ref="H32">_xlfn.IFS(AND(A32&gt;NumberOfPlots,ISBLANK(INDEX(PlotData,MATCH($A32,PlotNumber,0),MATCH(B$3,PlotTitles,0)))),"",AND(ISBLANK(INDEX(PlotData,MATCH($A32,PlotNumber,0),MATCH(H$3,PlotTitles,0)))=FALSE,INDEX(PlotData,MATCH($A32,PlotNumber,0),MATCH(H$3,PlotTitles,0))&lt;500), $AB$11,TRUE,"")</f>
        <v/>
      </c>
      <c r="I32" s="104" t="str" cm="1">
        <f t="array" ref="I32">_xlfn.IFS(AND(A32&gt;NumberOfPlots,ISBLANK(INDEX(PlotData,MATCH($A32,PlotNumber,0),MATCH(B$3,PlotTitles,0)))),"",ISBLANK(INDEX(PlotData,MATCH($A32,PlotNumber,0),MATCH(I$3,PlotTitles,0))),$AB$12,TRUE,"")</f>
        <v/>
      </c>
      <c r="J32" s="104" t="str" cm="1">
        <f t="array" ref="J32">_xlfn.IFS(AND(A32&gt;NumberOfPlots,ISBLANK(INDEX(PlotData,MATCH($A32,PlotNumber,0),MATCH(B$3,PlotTitles,0)))),"",ISBLANK(INDEX(PlotData,MATCH($A32,PlotNumber,0),MATCH(J$3,PlotTitles,0))),$AB$13,TRUE,"")</f>
        <v/>
      </c>
      <c r="K32" s="182" t="str">
        <f t="shared" ca="1" si="0"/>
        <v/>
      </c>
      <c r="L32" s="104" t="str" cm="1">
        <f t="array" ref="L32">_xlfn.IFS(OR(ISBLANK(StartDateMonth),ISBLANK(StartDateYear)),"",AND(A32&gt;NumberOfPlots,ISBLANK(INDEX(PlotData,MATCH($A32,PlotNumber,0),MATCH(B$3,PlotTitles,0)))),"",ISBLANK(INDEX(PlotData,MATCH($A32,PlotNumber,0),MATCH(I$3,PlotTitles,0))),"",(DATEVALUE(INDEX(PlotData,MATCH($A32,PlotNumber,0),MATCH(I$3,PlotTitles,0))&amp;INDEX(PlotData,MATCH($A32,PlotNumber,0),MATCH(J$3,PlotTitles,0))))&lt;DATEVALUE(StartDateMonth&amp;StartDateYear),$AB$15,TRUE,"")</f>
        <v/>
      </c>
      <c r="M32" s="104" t="str" cm="1">
        <f t="array" ref="M32">_xlfn.IFS(OR(ISBLANK(StartDateMonth),ISBLANK(StartDateYear)),"",AND(A32&gt;NumberOfPlots,ISBLANK(INDEX(PlotData,MATCH($A32,PlotNumber,0),MATCH(B$3,PlotTitles,0)))),"",ISBLANK(INDEX(PlotData,MATCH($A32,PlotNumber,0),MATCH(I$3,PlotTitles,0))),"",CompletionMonth="","",(DATEVALUE(INDEX(PlotData,MATCH($A32,PlotNumber,0),MATCH(I$3,PlotTitles,0))&amp;INDEX(PlotData,MATCH($A32,PlotNumber,0),MATCH(J$3,PlotTitles,0))))&gt;(DATEVALUE(CompletionMonth&amp;CompletionYear)),$AB$16,TRUE,"")</f>
        <v/>
      </c>
      <c r="N32" s="104" t="str" cm="1">
        <f t="array" ref="N32">_xlfn.IFS(AND(A32&gt;NumberOfPlots,ISBLANK(INDEX(PlotData,MATCH($A32,PlotNumber,0),MATCH(B$3,PlotTitles,0)))),"",ISBLANK(INDEX(PlotData,MATCH($A32,PlotNumber,0),MATCH(N$3,PlotTitles,0))),$AB$17,TRUE,"")</f>
        <v/>
      </c>
      <c r="O32" s="104" t="str" cm="1">
        <f t="array" ref="O32">_xlfn.IFS(AND(A32&gt;NumberOfPlots,ISBLANK(INDEX(PlotData,MATCH($A32,PlotNumber,0),MATCH(B$3,PlotTitles,0)))),"",ISBLANK(INDEX(PlotData,MATCH($A32,PlotNumber,0),MATCH(O$3,PlotTitles,0))),$AB$18,TRUE,"")</f>
        <v/>
      </c>
      <c r="P32" s="182" t="str">
        <f t="shared" ca="1" si="1"/>
        <v/>
      </c>
      <c r="Q32" s="104" t="str" cm="1">
        <f t="array" ref="Q32">_xlfn.IFS(AND(A32&gt;NumberOfPlots,ISBLANK(INDEX(PlotData,MATCH($A32,PlotNumber,0),MATCH(B$3,PlotTitles,0)))),"",ISBLANK(INDEX(PlotData,MATCH($A32,PlotNumber,0),MATCH(N$3,PlotTitles,0))),"",(DATEVALUE(INDEX(PlotData,MATCH($A32,PlotNumber,0),MATCH(N$3,PlotTitles,0))&amp;INDEX(PlotData,MATCH($A32,PlotNumber,0),MATCH(O$3,PlotTitles,0))))&lt;(DATEVALUE(INDEX(PlotData,MATCH($A32,PlotNumber,0),MATCH(I$3,PlotTitles,0))&amp;INDEX(PlotData,MATCH($A32,PlotNumber,0),MATCH(J$3,PlotTitles,0)))),$AB$20,TRUE,"")</f>
        <v/>
      </c>
      <c r="R32" s="104" t="str" cm="1">
        <f t="array" ref="R32">_xlfn.IFS(OR(ISBLANK(StartDateMonth),ISBLANK(StartDateYear)),"",AND(A32&gt;NumberOfPlots,ISBLANK(INDEX(PlotData,MATCH($A32,PlotNumber,0),MATCH(B$3,PlotTitles,0)))),"",ISBLANK(INDEX(PlotData,MATCH($A32,PlotNumber,0),MATCH(N$3,PlotTitles,0))),"",CompletionMonth="","",(DATEVALUE(INDEX(PlotData,MATCH($A32,PlotNumber,0),MATCH(N$3,PlotTitles,0))&amp;INDEX(PlotData,MATCH($A32,PlotNumber,0),MATCH(O$3,PlotTitles,0))))&gt;(DATEVALUE(CompletionMonth&amp;CompletionYear)),$AB$21,TRUE,"")</f>
        <v/>
      </c>
      <c r="S32" s="104" t="str" cm="1">
        <f t="array" ref="S32">_xlfn.IFS(AND(A32&gt;NumberOfPlots,ISBLANK(INDEX(PlotData,MATCH($A32,PlotNumber,0),MATCH(B$3,PlotTitles,0)))),"",OR(AND(INDEX(PlotData,MATCH($A32,PlotNumber,0),MATCH("Tenure",PlotTitles,0))="Open market housing",INDEX(PlotData,MATCH($A32,PlotNumber,0),MATCH("Tenure detail",PlotTitles,0))="Private rented sector"),INDEX(PlotData,MATCH($A32,PlotNumber,0),MATCH("Tenure",PlotTitles,0))="Affordable rent"),"",ISNUMBER(INDEX(PlotData,MATCH($A32,PlotNumber,0),MATCH(S$3,PlotTitles,0)))=FALSE, $AB$22,TRUE,"")</f>
        <v/>
      </c>
      <c r="T32" s="104" t="str" cm="1">
        <f t="array" ref="T32">_xlfn.IFS(AND(A32&gt;NumberOfPlots,ISBLANK(INDEX(PlotData,MATCH($A32,PlotNumber,0),MATCH(B$3,PlotTitles,0)))),"",OR(AND(INDEX(PlotData,MATCH($A32,PlotNumber,0),MATCH("Tenure",PlotTitles,0))="Open market housing",INDEX(PlotData,MATCH($A32,PlotNumber,0),MATCH("Tenure detail",PlotTitles,0))="Private rented sector"),INDEX(PlotData,MATCH($A32,PlotNumber,0),MATCH("Tenure",PlotTitles,0))="Affordable rent"),"",INDEX(PlotData,MATCH($A32,PlotNumber,0),MATCH(S$3,PlotTitles,0))&lt;10000, $AB$23,TRUE,"")</f>
        <v/>
      </c>
      <c r="U32" s="104" t="str" cm="1">
        <f t="array" ref="U32">_xlfn.IFS(AND(A32&gt;NumberOfPlots,ISBLANK(INDEX(PlotData,MATCH($A32,PlotNumber,0),MATCH(B$3,PlotTitles,0)))),"",NOT(OR(AND(INDEX(PlotData,MATCH($A32,PlotNumber,0),MATCH("Tenure",PlotTitles,0))="Open market housing",INDEX(PlotData,MATCH($A32,PlotNumber,0),MATCH("Tenure detail",PlotTitles,0))="Private rented sector"),INDEX(PlotData,MATCH($A32,PlotNumber,0),MATCH("Tenure",PlotTitles,0))="Affordable rent")),"",NOT(INDEX(PlotData,MATCH($A32,PlotNumber,0),MATCH(S$3,PlotTitles,0))=0), $AB$24,TRUE,"")</f>
        <v/>
      </c>
      <c r="V32" s="114" t="str" cm="1">
        <f t="array" aca="1" ref="V32" ca="1">_xlfn.IFS(ISBLANK(NumberOfPlots),"Enter the number of homes on the 1_SetUp sheet",AND(A32&gt;NumberOfPlots,ISBLANK(INDEX(PlotData,MATCH($A32,PlotNumber,0),MATCH(B$3,PlotTitles,0)))),"No error",NOT(B32=""),B32,NOT(C32=""),C32,NOT(D32=""),D32,NOT(E32=""),E32,NOT(F32=""),F32,NOT(G32=""),G32,NOT(H32=""),H32,NOT(I32=""),I32,NOT(J32=""),J32,NOT(K32=""),K32,NOT(L32=""),L32,NOT(M32=""),M32,NOT(N32=""),N32,NOT(O32=""),O32,NOT(P32=""),P32,NOT(Q32=""),Q32,NOT(R32=""),R32,NOT(S32=""),S32,NOT(T32=""),T32,NOT(U32=""),U32,TRUE,"No error")</f>
        <v>Enter the number of homes on the 1_SetUp sheet</v>
      </c>
      <c r="W32" s="114" t="str">
        <f t="shared" ca="1" si="2"/>
        <v xml:space="preserve">The Borrower has not addressed the following error messages for Home ID 28: </v>
      </c>
      <c r="X32" s="114"/>
      <c r="Y32" s="114"/>
      <c r="Z32" s="114"/>
      <c r="AA32" s="114"/>
      <c r="AB32" s="114"/>
      <c r="AC32" s="114"/>
    </row>
    <row r="33" spans="1:28">
      <c r="A33" s="123">
        <v>29</v>
      </c>
      <c r="B33" s="104" t="str" cm="1">
        <f t="array" ref="B33">_xlfn.IFS(AND(A33&gt;NumberOfPlots,ISBLANK(INDEX(PlotData,MATCH($A33,PlotNumber,0),MATCH(B$3,PlotTitles,0)))),"",ISNUMBER(INDEX(PlotData,MATCH($A33,PlotNumber,0),MATCH(B$3,PlotTitles,0)))=FALSE, $AB$5,TRUE,"")</f>
        <v/>
      </c>
      <c r="C33" s="104" t="str" cm="1">
        <f t="array" ref="C33">_xlfn.IFS(AND(A33&gt;NumberOfPlots,ISBLANK(INDEX(PlotData,MATCH($A33,PlotNumber,0),MATCH(B$3,PlotTitles,0)))),"",ISBLANK(INDEX(PlotData,MATCH($A33,PlotNumber,0),MATCH(C$3,PlotTitles,0))),$AB$6,TRUE,"")</f>
        <v/>
      </c>
      <c r="D33" s="104" t="str" cm="1">
        <f t="array" ref="D33">_xlfn.IFS(AND(A33&gt;NumberOfPlots,ISBLANK(INDEX(PlotData,MATCH($A33,PlotNumber,0),MATCH(B$3,PlotTitles,0)))),"",ISBLANK(INDEX(PlotData,MATCH($A33,PlotNumber,0),MATCH(D$3,PlotTitles,0))),$AB$7,TRUE,"")</f>
        <v/>
      </c>
      <c r="E33" s="104" t="str" cm="1">
        <f t="array" ref="E33">_xlfn.IFS(AND(A33&gt;NumberOfPlots,ISBLANK(INDEX(PlotData,MATCH($A33,PlotNumber,0),MATCH(B$3,PlotTitles,0)))),"",ISBLANK(INDEX(PlotData,MATCH($A33,PlotNumber,0),MATCH(E$3,PlotTitles,0))),$AB$8,TRUE,"")</f>
        <v/>
      </c>
      <c r="F33" s="104" t="str" cm="1">
        <f t="array" ref="F33">_xlfn.IFS(AND(A33&gt;NumberOfPlots,ISBLANK(INDEX(PlotData,MATCH($A33,PlotNumber,0),MATCH(B$3,PlotTitles,0)))),"",ISBLANK(INDEX(PlotData,MATCH($A33,PlotNumber,0),MATCH(F$3,PlotTitles,0))),$AB$9,TRUE,"")</f>
        <v/>
      </c>
      <c r="G33" s="104" t="str" cm="1">
        <f t="array" ref="G33">_xlfn.IFS(AND(A33&gt;NumberOfPlots,ISBLANK(INDEX(PlotData,MATCH($A33,PlotNumber,0),MATCH(B$3,PlotTitles,0)))),"",ISBLANK(INDEX(PlotData,MATCH($A33,PlotNumber,0),MATCH(G$3,PlotTitles,0))),$AB$10,TRUE,"")</f>
        <v/>
      </c>
      <c r="H33" s="104" t="str" cm="1">
        <f t="array" ref="H33">_xlfn.IFS(AND(A33&gt;NumberOfPlots,ISBLANK(INDEX(PlotData,MATCH($A33,PlotNumber,0),MATCH(B$3,PlotTitles,0)))),"",AND(ISBLANK(INDEX(PlotData,MATCH($A33,PlotNumber,0),MATCH(H$3,PlotTitles,0)))=FALSE,INDEX(PlotData,MATCH($A33,PlotNumber,0),MATCH(H$3,PlotTitles,0))&lt;500), $AB$11,TRUE,"")</f>
        <v/>
      </c>
      <c r="I33" s="104" t="str" cm="1">
        <f t="array" ref="I33">_xlfn.IFS(AND(A33&gt;NumberOfPlots,ISBLANK(INDEX(PlotData,MATCH($A33,PlotNumber,0),MATCH(B$3,PlotTitles,0)))),"",ISBLANK(INDEX(PlotData,MATCH($A33,PlotNumber,0),MATCH(I$3,PlotTitles,0))),$AB$12,TRUE,"")</f>
        <v/>
      </c>
      <c r="J33" s="104" t="str" cm="1">
        <f t="array" ref="J33">_xlfn.IFS(AND(A33&gt;NumberOfPlots,ISBLANK(INDEX(PlotData,MATCH($A33,PlotNumber,0),MATCH(B$3,PlotTitles,0)))),"",ISBLANK(INDEX(PlotData,MATCH($A33,PlotNumber,0),MATCH(J$3,PlotTitles,0))),$AB$13,TRUE,"")</f>
        <v/>
      </c>
      <c r="K33" s="182" t="str">
        <f t="shared" ca="1" si="0"/>
        <v/>
      </c>
      <c r="L33" s="104" t="str" cm="1">
        <f t="array" ref="L33">_xlfn.IFS(OR(ISBLANK(StartDateMonth),ISBLANK(StartDateYear)),"",AND(A33&gt;NumberOfPlots,ISBLANK(INDEX(PlotData,MATCH($A33,PlotNumber,0),MATCH(B$3,PlotTitles,0)))),"",ISBLANK(INDEX(PlotData,MATCH($A33,PlotNumber,0),MATCH(I$3,PlotTitles,0))),"",(DATEVALUE(INDEX(PlotData,MATCH($A33,PlotNumber,0),MATCH(I$3,PlotTitles,0))&amp;INDEX(PlotData,MATCH($A33,PlotNumber,0),MATCH(J$3,PlotTitles,0))))&lt;DATEVALUE(StartDateMonth&amp;StartDateYear),$AB$15,TRUE,"")</f>
        <v/>
      </c>
      <c r="M33" s="104" t="str" cm="1">
        <f t="array" ref="M33">_xlfn.IFS(OR(ISBLANK(StartDateMonth),ISBLANK(StartDateYear)),"",AND(A33&gt;NumberOfPlots,ISBLANK(INDEX(PlotData,MATCH($A33,PlotNumber,0),MATCH(B$3,PlotTitles,0)))),"",ISBLANK(INDEX(PlotData,MATCH($A33,PlotNumber,0),MATCH(I$3,PlotTitles,0))),"",CompletionMonth="","",(DATEVALUE(INDEX(PlotData,MATCH($A33,PlotNumber,0),MATCH(I$3,PlotTitles,0))&amp;INDEX(PlotData,MATCH($A33,PlotNumber,0),MATCH(J$3,PlotTitles,0))))&gt;(DATEVALUE(CompletionMonth&amp;CompletionYear)),$AB$16,TRUE,"")</f>
        <v/>
      </c>
      <c r="N33" s="104" t="str" cm="1">
        <f t="array" ref="N33">_xlfn.IFS(AND(A33&gt;NumberOfPlots,ISBLANK(INDEX(PlotData,MATCH($A33,PlotNumber,0),MATCH(B$3,PlotTitles,0)))),"",ISBLANK(INDEX(PlotData,MATCH($A33,PlotNumber,0),MATCH(N$3,PlotTitles,0))),$AB$17,TRUE,"")</f>
        <v/>
      </c>
      <c r="O33" s="104" t="str" cm="1">
        <f t="array" ref="O33">_xlfn.IFS(AND(A33&gt;NumberOfPlots,ISBLANK(INDEX(PlotData,MATCH($A33,PlotNumber,0),MATCH(B$3,PlotTitles,0)))),"",ISBLANK(INDEX(PlotData,MATCH($A33,PlotNumber,0),MATCH(O$3,PlotTitles,0))),$AB$18,TRUE,"")</f>
        <v/>
      </c>
      <c r="P33" s="182" t="str">
        <f t="shared" ca="1" si="1"/>
        <v/>
      </c>
      <c r="Q33" s="104" t="str" cm="1">
        <f t="array" ref="Q33">_xlfn.IFS(AND(A33&gt;NumberOfPlots,ISBLANK(INDEX(PlotData,MATCH($A33,PlotNumber,0),MATCH(B$3,PlotTitles,0)))),"",ISBLANK(INDEX(PlotData,MATCH($A33,PlotNumber,0),MATCH(N$3,PlotTitles,0))),"",(DATEVALUE(INDEX(PlotData,MATCH($A33,PlotNumber,0),MATCH(N$3,PlotTitles,0))&amp;INDEX(PlotData,MATCH($A33,PlotNumber,0),MATCH(O$3,PlotTitles,0))))&lt;(DATEVALUE(INDEX(PlotData,MATCH($A33,PlotNumber,0),MATCH(I$3,PlotTitles,0))&amp;INDEX(PlotData,MATCH($A33,PlotNumber,0),MATCH(J$3,PlotTitles,0)))),$AB$20,TRUE,"")</f>
        <v/>
      </c>
      <c r="R33" s="104" t="str" cm="1">
        <f t="array" ref="R33">_xlfn.IFS(OR(ISBLANK(StartDateMonth),ISBLANK(StartDateYear)),"",AND(A33&gt;NumberOfPlots,ISBLANK(INDEX(PlotData,MATCH($A33,PlotNumber,0),MATCH(B$3,PlotTitles,0)))),"",ISBLANK(INDEX(PlotData,MATCH($A33,PlotNumber,0),MATCH(N$3,PlotTitles,0))),"",CompletionMonth="","",(DATEVALUE(INDEX(PlotData,MATCH($A33,PlotNumber,0),MATCH(N$3,PlotTitles,0))&amp;INDEX(PlotData,MATCH($A33,PlotNumber,0),MATCH(O$3,PlotTitles,0))))&gt;(DATEVALUE(CompletionMonth&amp;CompletionYear)),$AB$21,TRUE,"")</f>
        <v/>
      </c>
      <c r="S33" s="104" t="str" cm="1">
        <f t="array" ref="S33">_xlfn.IFS(AND(A33&gt;NumberOfPlots,ISBLANK(INDEX(PlotData,MATCH($A33,PlotNumber,0),MATCH(B$3,PlotTitles,0)))),"",OR(AND(INDEX(PlotData,MATCH($A33,PlotNumber,0),MATCH("Tenure",PlotTitles,0))="Open market housing",INDEX(PlotData,MATCH($A33,PlotNumber,0),MATCH("Tenure detail",PlotTitles,0))="Private rented sector"),INDEX(PlotData,MATCH($A33,PlotNumber,0),MATCH("Tenure",PlotTitles,0))="Affordable rent"),"",ISNUMBER(INDEX(PlotData,MATCH($A33,PlotNumber,0),MATCH(S$3,PlotTitles,0)))=FALSE, $AB$22,TRUE,"")</f>
        <v/>
      </c>
      <c r="T33" s="104" t="str" cm="1">
        <f t="array" ref="T33">_xlfn.IFS(AND(A33&gt;NumberOfPlots,ISBLANK(INDEX(PlotData,MATCH($A33,PlotNumber,0),MATCH(B$3,PlotTitles,0)))),"",OR(AND(INDEX(PlotData,MATCH($A33,PlotNumber,0),MATCH("Tenure",PlotTitles,0))="Open market housing",INDEX(PlotData,MATCH($A33,PlotNumber,0),MATCH("Tenure detail",PlotTitles,0))="Private rented sector"),INDEX(PlotData,MATCH($A33,PlotNumber,0),MATCH("Tenure",PlotTitles,0))="Affordable rent"),"",INDEX(PlotData,MATCH($A33,PlotNumber,0),MATCH(S$3,PlotTitles,0))&lt;10000, $AB$23,TRUE,"")</f>
        <v/>
      </c>
      <c r="U33" s="104" t="str" cm="1">
        <f t="array" ref="U33">_xlfn.IFS(AND(A33&gt;NumberOfPlots,ISBLANK(INDEX(PlotData,MATCH($A33,PlotNumber,0),MATCH(B$3,PlotTitles,0)))),"",NOT(OR(AND(INDEX(PlotData,MATCH($A33,PlotNumber,0),MATCH("Tenure",PlotTitles,0))="Open market housing",INDEX(PlotData,MATCH($A33,PlotNumber,0),MATCH("Tenure detail",PlotTitles,0))="Private rented sector"),INDEX(PlotData,MATCH($A33,PlotNumber,0),MATCH("Tenure",PlotTitles,0))="Affordable rent")),"",NOT(INDEX(PlotData,MATCH($A33,PlotNumber,0),MATCH(S$3,PlotTitles,0))=0), $AB$24,TRUE,"")</f>
        <v/>
      </c>
      <c r="V33" s="114" t="str" cm="1">
        <f t="array" aca="1" ref="V33" ca="1">_xlfn.IFS(ISBLANK(NumberOfPlots),"Enter the number of homes on the 1_SetUp sheet",AND(A33&gt;NumberOfPlots,ISBLANK(INDEX(PlotData,MATCH($A33,PlotNumber,0),MATCH(B$3,PlotTitles,0)))),"No error",NOT(B33=""),B33,NOT(C33=""),C33,NOT(D33=""),D33,NOT(E33=""),E33,NOT(F33=""),F33,NOT(G33=""),G33,NOT(H33=""),H33,NOT(I33=""),I33,NOT(J33=""),J33,NOT(K33=""),K33,NOT(L33=""),L33,NOT(M33=""),M33,NOT(N33=""),N33,NOT(O33=""),O33,NOT(P33=""),P33,NOT(Q33=""),Q33,NOT(R33=""),R33,NOT(S33=""),S33,NOT(T33=""),T33,NOT(U33=""),U33,TRUE,"No error")</f>
        <v>Enter the number of homes on the 1_SetUp sheet</v>
      </c>
      <c r="W33" s="114" t="str">
        <f t="shared" ca="1" si="2"/>
        <v xml:space="preserve">The Borrower has not addressed the following error messages for Home ID 29: </v>
      </c>
      <c r="X33" s="114"/>
      <c r="Y33" s="114"/>
      <c r="Z33" s="114"/>
      <c r="AA33" s="114"/>
      <c r="AB33" s="114"/>
    </row>
    <row r="34" spans="1:28">
      <c r="A34" s="123">
        <v>30</v>
      </c>
      <c r="B34" s="104" t="str" cm="1">
        <f t="array" ref="B34">_xlfn.IFS(AND(A34&gt;NumberOfPlots,ISBLANK(INDEX(PlotData,MATCH($A34,PlotNumber,0),MATCH(B$3,PlotTitles,0)))),"",ISNUMBER(INDEX(PlotData,MATCH($A34,PlotNumber,0),MATCH(B$3,PlotTitles,0)))=FALSE, $AB$5,TRUE,"")</f>
        <v/>
      </c>
      <c r="C34" s="104" t="str" cm="1">
        <f t="array" ref="C34">_xlfn.IFS(AND(A34&gt;NumberOfPlots,ISBLANK(INDEX(PlotData,MATCH($A34,PlotNumber,0),MATCH(B$3,PlotTitles,0)))),"",ISBLANK(INDEX(PlotData,MATCH($A34,PlotNumber,0),MATCH(C$3,PlotTitles,0))),$AB$6,TRUE,"")</f>
        <v/>
      </c>
      <c r="D34" s="104" t="str" cm="1">
        <f t="array" ref="D34">_xlfn.IFS(AND(A34&gt;NumberOfPlots,ISBLANK(INDEX(PlotData,MATCH($A34,PlotNumber,0),MATCH(B$3,PlotTitles,0)))),"",ISBLANK(INDEX(PlotData,MATCH($A34,PlotNumber,0),MATCH(D$3,PlotTitles,0))),$AB$7,TRUE,"")</f>
        <v/>
      </c>
      <c r="E34" s="104" t="str" cm="1">
        <f t="array" ref="E34">_xlfn.IFS(AND(A34&gt;NumberOfPlots,ISBLANK(INDEX(PlotData,MATCH($A34,PlotNumber,0),MATCH(B$3,PlotTitles,0)))),"",ISBLANK(INDEX(PlotData,MATCH($A34,PlotNumber,0),MATCH(E$3,PlotTitles,0))),$AB$8,TRUE,"")</f>
        <v/>
      </c>
      <c r="F34" s="104" t="str" cm="1">
        <f t="array" ref="F34">_xlfn.IFS(AND(A34&gt;NumberOfPlots,ISBLANK(INDEX(PlotData,MATCH($A34,PlotNumber,0),MATCH(B$3,PlotTitles,0)))),"",ISBLANK(INDEX(PlotData,MATCH($A34,PlotNumber,0),MATCH(F$3,PlotTitles,0))),$AB$9,TRUE,"")</f>
        <v/>
      </c>
      <c r="G34" s="104" t="str" cm="1">
        <f t="array" ref="G34">_xlfn.IFS(AND(A34&gt;NumberOfPlots,ISBLANK(INDEX(PlotData,MATCH($A34,PlotNumber,0),MATCH(B$3,PlotTitles,0)))),"",ISBLANK(INDEX(PlotData,MATCH($A34,PlotNumber,0),MATCH(G$3,PlotTitles,0))),$AB$10,TRUE,"")</f>
        <v/>
      </c>
      <c r="H34" s="104" t="str" cm="1">
        <f t="array" ref="H34">_xlfn.IFS(AND(A34&gt;NumberOfPlots,ISBLANK(INDEX(PlotData,MATCH($A34,PlotNumber,0),MATCH(B$3,PlotTitles,0)))),"",AND(ISBLANK(INDEX(PlotData,MATCH($A34,PlotNumber,0),MATCH(H$3,PlotTitles,0)))=FALSE,INDEX(PlotData,MATCH($A34,PlotNumber,0),MATCH(H$3,PlotTitles,0))&lt;500), $AB$11,TRUE,"")</f>
        <v/>
      </c>
      <c r="I34" s="104" t="str" cm="1">
        <f t="array" ref="I34">_xlfn.IFS(AND(A34&gt;NumberOfPlots,ISBLANK(INDEX(PlotData,MATCH($A34,PlotNumber,0),MATCH(B$3,PlotTitles,0)))),"",ISBLANK(INDEX(PlotData,MATCH($A34,PlotNumber,0),MATCH(I$3,PlotTitles,0))),$AB$12,TRUE,"")</f>
        <v/>
      </c>
      <c r="J34" s="104" t="str" cm="1">
        <f t="array" ref="J34">_xlfn.IFS(AND(A34&gt;NumberOfPlots,ISBLANK(INDEX(PlotData,MATCH($A34,PlotNumber,0),MATCH(B$3,PlotTitles,0)))),"",ISBLANK(INDEX(PlotData,MATCH($A34,PlotNumber,0),MATCH(J$3,PlotTitles,0))),$AB$13,TRUE,"")</f>
        <v/>
      </c>
      <c r="K34" s="182" t="str">
        <f t="shared" ca="1" si="0"/>
        <v/>
      </c>
      <c r="L34" s="104" t="str" cm="1">
        <f t="array" ref="L34">_xlfn.IFS(OR(ISBLANK(StartDateMonth),ISBLANK(StartDateYear)),"",AND(A34&gt;NumberOfPlots,ISBLANK(INDEX(PlotData,MATCH($A34,PlotNumber,0),MATCH(B$3,PlotTitles,0)))),"",ISBLANK(INDEX(PlotData,MATCH($A34,PlotNumber,0),MATCH(I$3,PlotTitles,0))),"",(DATEVALUE(INDEX(PlotData,MATCH($A34,PlotNumber,0),MATCH(I$3,PlotTitles,0))&amp;INDEX(PlotData,MATCH($A34,PlotNumber,0),MATCH(J$3,PlotTitles,0))))&lt;DATEVALUE(StartDateMonth&amp;StartDateYear),$AB$15,TRUE,"")</f>
        <v/>
      </c>
      <c r="M34" s="104" t="str" cm="1">
        <f t="array" ref="M34">_xlfn.IFS(OR(ISBLANK(StartDateMonth),ISBLANK(StartDateYear)),"",AND(A34&gt;NumberOfPlots,ISBLANK(INDEX(PlotData,MATCH($A34,PlotNumber,0),MATCH(B$3,PlotTitles,0)))),"",ISBLANK(INDEX(PlotData,MATCH($A34,PlotNumber,0),MATCH(I$3,PlotTitles,0))),"",CompletionMonth="","",(DATEVALUE(INDEX(PlotData,MATCH($A34,PlotNumber,0),MATCH(I$3,PlotTitles,0))&amp;INDEX(PlotData,MATCH($A34,PlotNumber,0),MATCH(J$3,PlotTitles,0))))&gt;(DATEVALUE(CompletionMonth&amp;CompletionYear)),$AB$16,TRUE,"")</f>
        <v/>
      </c>
      <c r="N34" s="104" t="str" cm="1">
        <f t="array" ref="N34">_xlfn.IFS(AND(A34&gt;NumberOfPlots,ISBLANK(INDEX(PlotData,MATCH($A34,PlotNumber,0),MATCH(B$3,PlotTitles,0)))),"",ISBLANK(INDEX(PlotData,MATCH($A34,PlotNumber,0),MATCH(N$3,PlotTitles,0))),$AB$17,TRUE,"")</f>
        <v/>
      </c>
      <c r="O34" s="104" t="str" cm="1">
        <f t="array" ref="O34">_xlfn.IFS(AND(A34&gt;NumberOfPlots,ISBLANK(INDEX(PlotData,MATCH($A34,PlotNumber,0),MATCH(B$3,PlotTitles,0)))),"",ISBLANK(INDEX(PlotData,MATCH($A34,PlotNumber,0),MATCH(O$3,PlotTitles,0))),$AB$18,TRUE,"")</f>
        <v/>
      </c>
      <c r="P34" s="182" t="str">
        <f t="shared" ca="1" si="1"/>
        <v/>
      </c>
      <c r="Q34" s="104" t="str" cm="1">
        <f t="array" ref="Q34">_xlfn.IFS(AND(A34&gt;NumberOfPlots,ISBLANK(INDEX(PlotData,MATCH($A34,PlotNumber,0),MATCH(B$3,PlotTitles,0)))),"",ISBLANK(INDEX(PlotData,MATCH($A34,PlotNumber,0),MATCH(N$3,PlotTitles,0))),"",(DATEVALUE(INDEX(PlotData,MATCH($A34,PlotNumber,0),MATCH(N$3,PlotTitles,0))&amp;INDEX(PlotData,MATCH($A34,PlotNumber,0),MATCH(O$3,PlotTitles,0))))&lt;(DATEVALUE(INDEX(PlotData,MATCH($A34,PlotNumber,0),MATCH(I$3,PlotTitles,0))&amp;INDEX(PlotData,MATCH($A34,PlotNumber,0),MATCH(J$3,PlotTitles,0)))),$AB$20,TRUE,"")</f>
        <v/>
      </c>
      <c r="R34" s="104" t="str" cm="1">
        <f t="array" ref="R34">_xlfn.IFS(OR(ISBLANK(StartDateMonth),ISBLANK(StartDateYear)),"",AND(A34&gt;NumberOfPlots,ISBLANK(INDEX(PlotData,MATCH($A34,PlotNumber,0),MATCH(B$3,PlotTitles,0)))),"",ISBLANK(INDEX(PlotData,MATCH($A34,PlotNumber,0),MATCH(N$3,PlotTitles,0))),"",CompletionMonth="","",(DATEVALUE(INDEX(PlotData,MATCH($A34,PlotNumber,0),MATCH(N$3,PlotTitles,0))&amp;INDEX(PlotData,MATCH($A34,PlotNumber,0),MATCH(O$3,PlotTitles,0))))&gt;(DATEVALUE(CompletionMonth&amp;CompletionYear)),$AB$21,TRUE,"")</f>
        <v/>
      </c>
      <c r="S34" s="104" t="str" cm="1">
        <f t="array" ref="S34">_xlfn.IFS(AND(A34&gt;NumberOfPlots,ISBLANK(INDEX(PlotData,MATCH($A34,PlotNumber,0),MATCH(B$3,PlotTitles,0)))),"",OR(AND(INDEX(PlotData,MATCH($A34,PlotNumber,0),MATCH("Tenure",PlotTitles,0))="Open market housing",INDEX(PlotData,MATCH($A34,PlotNumber,0),MATCH("Tenure detail",PlotTitles,0))="Private rented sector"),INDEX(PlotData,MATCH($A34,PlotNumber,0),MATCH("Tenure",PlotTitles,0))="Affordable rent"),"",ISNUMBER(INDEX(PlotData,MATCH($A34,PlotNumber,0),MATCH(S$3,PlotTitles,0)))=FALSE, $AB$22,TRUE,"")</f>
        <v/>
      </c>
      <c r="T34" s="104" t="str" cm="1">
        <f t="array" ref="T34">_xlfn.IFS(AND(A34&gt;NumberOfPlots,ISBLANK(INDEX(PlotData,MATCH($A34,PlotNumber,0),MATCH(B$3,PlotTitles,0)))),"",OR(AND(INDEX(PlotData,MATCH($A34,PlotNumber,0),MATCH("Tenure",PlotTitles,0))="Open market housing",INDEX(PlotData,MATCH($A34,PlotNumber,0),MATCH("Tenure detail",PlotTitles,0))="Private rented sector"),INDEX(PlotData,MATCH($A34,PlotNumber,0),MATCH("Tenure",PlotTitles,0))="Affordable rent"),"",INDEX(PlotData,MATCH($A34,PlotNumber,0),MATCH(S$3,PlotTitles,0))&lt;10000, $AB$23,TRUE,"")</f>
        <v/>
      </c>
      <c r="U34" s="104" t="str" cm="1">
        <f t="array" ref="U34">_xlfn.IFS(AND(A34&gt;NumberOfPlots,ISBLANK(INDEX(PlotData,MATCH($A34,PlotNumber,0),MATCH(B$3,PlotTitles,0)))),"",NOT(OR(AND(INDEX(PlotData,MATCH($A34,PlotNumber,0),MATCH("Tenure",PlotTitles,0))="Open market housing",INDEX(PlotData,MATCH($A34,PlotNumber,0),MATCH("Tenure detail",PlotTitles,0))="Private rented sector"),INDEX(PlotData,MATCH($A34,PlotNumber,0),MATCH("Tenure",PlotTitles,0))="Affordable rent")),"",NOT(INDEX(PlotData,MATCH($A34,PlotNumber,0),MATCH(S$3,PlotTitles,0))=0), $AB$24,TRUE,"")</f>
        <v/>
      </c>
      <c r="V34" s="114" t="str" cm="1">
        <f t="array" aca="1" ref="V34" ca="1">_xlfn.IFS(ISBLANK(NumberOfPlots),"Enter the number of homes on the 1_SetUp sheet",AND(A34&gt;NumberOfPlots,ISBLANK(INDEX(PlotData,MATCH($A34,PlotNumber,0),MATCH(B$3,PlotTitles,0)))),"No error",NOT(B34=""),B34,NOT(C34=""),C34,NOT(D34=""),D34,NOT(E34=""),E34,NOT(F34=""),F34,NOT(G34=""),G34,NOT(H34=""),H34,NOT(I34=""),I34,NOT(J34=""),J34,NOT(K34=""),K34,NOT(L34=""),L34,NOT(M34=""),M34,NOT(N34=""),N34,NOT(O34=""),O34,NOT(P34=""),P34,NOT(Q34=""),Q34,NOT(R34=""),R34,NOT(S34=""),S34,NOT(T34=""),T34,NOT(U34=""),U34,TRUE,"No error")</f>
        <v>Enter the number of homes on the 1_SetUp sheet</v>
      </c>
      <c r="W34" s="114" t="str">
        <f t="shared" ca="1" si="2"/>
        <v xml:space="preserve">The Borrower has not addressed the following error messages for Home ID 30: </v>
      </c>
      <c r="X34" s="114"/>
      <c r="Y34" s="114"/>
      <c r="Z34" s="114"/>
      <c r="AA34" s="114"/>
      <c r="AB34" s="114"/>
    </row>
    <row r="35" spans="1:28">
      <c r="A35" s="123">
        <v>31</v>
      </c>
      <c r="B35" s="104" t="str" cm="1">
        <f t="array" ref="B35">_xlfn.IFS(AND(A35&gt;NumberOfPlots,ISBLANK(INDEX(PlotData,MATCH($A35,PlotNumber,0),MATCH(B$3,PlotTitles,0)))),"",ISNUMBER(INDEX(PlotData,MATCH($A35,PlotNumber,0),MATCH(B$3,PlotTitles,0)))=FALSE, $AB$5,TRUE,"")</f>
        <v/>
      </c>
      <c r="C35" s="104" t="str" cm="1">
        <f t="array" ref="C35">_xlfn.IFS(AND(A35&gt;NumberOfPlots,ISBLANK(INDEX(PlotData,MATCH($A35,PlotNumber,0),MATCH(B$3,PlotTitles,0)))),"",ISBLANK(INDEX(PlotData,MATCH($A35,PlotNumber,0),MATCH(C$3,PlotTitles,0))),$AB$6,TRUE,"")</f>
        <v/>
      </c>
      <c r="D35" s="104" t="str" cm="1">
        <f t="array" ref="D35">_xlfn.IFS(AND(A35&gt;NumberOfPlots,ISBLANK(INDEX(PlotData,MATCH($A35,PlotNumber,0),MATCH(B$3,PlotTitles,0)))),"",ISBLANK(INDEX(PlotData,MATCH($A35,PlotNumber,0),MATCH(D$3,PlotTitles,0))),$AB$7,TRUE,"")</f>
        <v/>
      </c>
      <c r="E35" s="104" t="str" cm="1">
        <f t="array" ref="E35">_xlfn.IFS(AND(A35&gt;NumberOfPlots,ISBLANK(INDEX(PlotData,MATCH($A35,PlotNumber,0),MATCH(B$3,PlotTitles,0)))),"",ISBLANK(INDEX(PlotData,MATCH($A35,PlotNumber,0),MATCH(E$3,PlotTitles,0))),$AB$8,TRUE,"")</f>
        <v/>
      </c>
      <c r="F35" s="104" t="str" cm="1">
        <f t="array" ref="F35">_xlfn.IFS(AND(A35&gt;NumberOfPlots,ISBLANK(INDEX(PlotData,MATCH($A35,PlotNumber,0),MATCH(B$3,PlotTitles,0)))),"",ISBLANK(INDEX(PlotData,MATCH($A35,PlotNumber,0),MATCH(F$3,PlotTitles,0))),$AB$9,TRUE,"")</f>
        <v/>
      </c>
      <c r="G35" s="104" t="str" cm="1">
        <f t="array" ref="G35">_xlfn.IFS(AND(A35&gt;NumberOfPlots,ISBLANK(INDEX(PlotData,MATCH($A35,PlotNumber,0),MATCH(B$3,PlotTitles,0)))),"",ISBLANK(INDEX(PlotData,MATCH($A35,PlotNumber,0),MATCH(G$3,PlotTitles,0))),$AB$10,TRUE,"")</f>
        <v/>
      </c>
      <c r="H35" s="104" t="str" cm="1">
        <f t="array" ref="H35">_xlfn.IFS(AND(A35&gt;NumberOfPlots,ISBLANK(INDEX(PlotData,MATCH($A35,PlotNumber,0),MATCH(B$3,PlotTitles,0)))),"",AND(ISBLANK(INDEX(PlotData,MATCH($A35,PlotNumber,0),MATCH(H$3,PlotTitles,0)))=FALSE,INDEX(PlotData,MATCH($A35,PlotNumber,0),MATCH(H$3,PlotTitles,0))&lt;500), $AB$11,TRUE,"")</f>
        <v/>
      </c>
      <c r="I35" s="104" t="str" cm="1">
        <f t="array" ref="I35">_xlfn.IFS(AND(A35&gt;NumberOfPlots,ISBLANK(INDEX(PlotData,MATCH($A35,PlotNumber,0),MATCH(B$3,PlotTitles,0)))),"",ISBLANK(INDEX(PlotData,MATCH($A35,PlotNumber,0),MATCH(I$3,PlotTitles,0))),$AB$12,TRUE,"")</f>
        <v/>
      </c>
      <c r="J35" s="104" t="str" cm="1">
        <f t="array" ref="J35">_xlfn.IFS(AND(A35&gt;NumberOfPlots,ISBLANK(INDEX(PlotData,MATCH($A35,PlotNumber,0),MATCH(B$3,PlotTitles,0)))),"",ISBLANK(INDEX(PlotData,MATCH($A35,PlotNumber,0),MATCH(J$3,PlotTitles,0))),$AB$13,TRUE,"")</f>
        <v/>
      </c>
      <c r="K35" s="182" t="str">
        <f t="shared" ca="1" si="0"/>
        <v/>
      </c>
      <c r="L35" s="104" t="str" cm="1">
        <f t="array" ref="L35">_xlfn.IFS(OR(ISBLANK(StartDateMonth),ISBLANK(StartDateYear)),"",AND(A35&gt;NumberOfPlots,ISBLANK(INDEX(PlotData,MATCH($A35,PlotNumber,0),MATCH(B$3,PlotTitles,0)))),"",ISBLANK(INDEX(PlotData,MATCH($A35,PlotNumber,0),MATCH(I$3,PlotTitles,0))),"",(DATEVALUE(INDEX(PlotData,MATCH($A35,PlotNumber,0),MATCH(I$3,PlotTitles,0))&amp;INDEX(PlotData,MATCH($A35,PlotNumber,0),MATCH(J$3,PlotTitles,0))))&lt;DATEVALUE(StartDateMonth&amp;StartDateYear),$AB$15,TRUE,"")</f>
        <v/>
      </c>
      <c r="M35" s="104" t="str" cm="1">
        <f t="array" ref="M35">_xlfn.IFS(OR(ISBLANK(StartDateMonth),ISBLANK(StartDateYear)),"",AND(A35&gt;NumberOfPlots,ISBLANK(INDEX(PlotData,MATCH($A35,PlotNumber,0),MATCH(B$3,PlotTitles,0)))),"",ISBLANK(INDEX(PlotData,MATCH($A35,PlotNumber,0),MATCH(I$3,PlotTitles,0))),"",CompletionMonth="","",(DATEVALUE(INDEX(PlotData,MATCH($A35,PlotNumber,0),MATCH(I$3,PlotTitles,0))&amp;INDEX(PlotData,MATCH($A35,PlotNumber,0),MATCH(J$3,PlotTitles,0))))&gt;(DATEVALUE(CompletionMonth&amp;CompletionYear)),$AB$16,TRUE,"")</f>
        <v/>
      </c>
      <c r="N35" s="104" t="str" cm="1">
        <f t="array" ref="N35">_xlfn.IFS(AND(A35&gt;NumberOfPlots,ISBLANK(INDEX(PlotData,MATCH($A35,PlotNumber,0),MATCH(B$3,PlotTitles,0)))),"",ISBLANK(INDEX(PlotData,MATCH($A35,PlotNumber,0),MATCH(N$3,PlotTitles,0))),$AB$17,TRUE,"")</f>
        <v/>
      </c>
      <c r="O35" s="104" t="str" cm="1">
        <f t="array" ref="O35">_xlfn.IFS(AND(A35&gt;NumberOfPlots,ISBLANK(INDEX(PlotData,MATCH($A35,PlotNumber,0),MATCH(B$3,PlotTitles,0)))),"",ISBLANK(INDEX(PlotData,MATCH($A35,PlotNumber,0),MATCH(O$3,PlotTitles,0))),$AB$18,TRUE,"")</f>
        <v/>
      </c>
      <c r="P35" s="182" t="str">
        <f t="shared" ca="1" si="1"/>
        <v/>
      </c>
      <c r="Q35" s="104" t="str" cm="1">
        <f t="array" ref="Q35">_xlfn.IFS(AND(A35&gt;NumberOfPlots,ISBLANK(INDEX(PlotData,MATCH($A35,PlotNumber,0),MATCH(B$3,PlotTitles,0)))),"",ISBLANK(INDEX(PlotData,MATCH($A35,PlotNumber,0),MATCH(N$3,PlotTitles,0))),"",(DATEVALUE(INDEX(PlotData,MATCH($A35,PlotNumber,0),MATCH(N$3,PlotTitles,0))&amp;INDEX(PlotData,MATCH($A35,PlotNumber,0),MATCH(O$3,PlotTitles,0))))&lt;(DATEVALUE(INDEX(PlotData,MATCH($A35,PlotNumber,0),MATCH(I$3,PlotTitles,0))&amp;INDEX(PlotData,MATCH($A35,PlotNumber,0),MATCH(J$3,PlotTitles,0)))),$AB$20,TRUE,"")</f>
        <v/>
      </c>
      <c r="R35" s="104" t="str" cm="1">
        <f t="array" ref="R35">_xlfn.IFS(OR(ISBLANK(StartDateMonth),ISBLANK(StartDateYear)),"",AND(A35&gt;NumberOfPlots,ISBLANK(INDEX(PlotData,MATCH($A35,PlotNumber,0),MATCH(B$3,PlotTitles,0)))),"",ISBLANK(INDEX(PlotData,MATCH($A35,PlotNumber,0),MATCH(N$3,PlotTitles,0))),"",CompletionMonth="","",(DATEVALUE(INDEX(PlotData,MATCH($A35,PlotNumber,0),MATCH(N$3,PlotTitles,0))&amp;INDEX(PlotData,MATCH($A35,PlotNumber,0),MATCH(O$3,PlotTitles,0))))&gt;(DATEVALUE(CompletionMonth&amp;CompletionYear)),$AB$21,TRUE,"")</f>
        <v/>
      </c>
      <c r="S35" s="104" t="str" cm="1">
        <f t="array" ref="S35">_xlfn.IFS(AND(A35&gt;NumberOfPlots,ISBLANK(INDEX(PlotData,MATCH($A35,PlotNumber,0),MATCH(B$3,PlotTitles,0)))),"",OR(AND(INDEX(PlotData,MATCH($A35,PlotNumber,0),MATCH("Tenure",PlotTitles,0))="Open market housing",INDEX(PlotData,MATCH($A35,PlotNumber,0),MATCH("Tenure detail",PlotTitles,0))="Private rented sector"),INDEX(PlotData,MATCH($A35,PlotNumber,0),MATCH("Tenure",PlotTitles,0))="Affordable rent"),"",ISNUMBER(INDEX(PlotData,MATCH($A35,PlotNumber,0),MATCH(S$3,PlotTitles,0)))=FALSE, $AB$22,TRUE,"")</f>
        <v/>
      </c>
      <c r="T35" s="104" t="str" cm="1">
        <f t="array" ref="T35">_xlfn.IFS(AND(A35&gt;NumberOfPlots,ISBLANK(INDEX(PlotData,MATCH($A35,PlotNumber,0),MATCH(B$3,PlotTitles,0)))),"",OR(AND(INDEX(PlotData,MATCH($A35,PlotNumber,0),MATCH("Tenure",PlotTitles,0))="Open market housing",INDEX(PlotData,MATCH($A35,PlotNumber,0),MATCH("Tenure detail",PlotTitles,0))="Private rented sector"),INDEX(PlotData,MATCH($A35,PlotNumber,0),MATCH("Tenure",PlotTitles,0))="Affordable rent"),"",INDEX(PlotData,MATCH($A35,PlotNumber,0),MATCH(S$3,PlotTitles,0))&lt;10000, $AB$23,TRUE,"")</f>
        <v/>
      </c>
      <c r="U35" s="104" t="str" cm="1">
        <f t="array" ref="U35">_xlfn.IFS(AND(A35&gt;NumberOfPlots,ISBLANK(INDEX(PlotData,MATCH($A35,PlotNumber,0),MATCH(B$3,PlotTitles,0)))),"",NOT(OR(AND(INDEX(PlotData,MATCH($A35,PlotNumber,0),MATCH("Tenure",PlotTitles,0))="Open market housing",INDEX(PlotData,MATCH($A35,PlotNumber,0),MATCH("Tenure detail",PlotTitles,0))="Private rented sector"),INDEX(PlotData,MATCH($A35,PlotNumber,0),MATCH("Tenure",PlotTitles,0))="Affordable rent")),"",NOT(INDEX(PlotData,MATCH($A35,PlotNumber,0),MATCH(S$3,PlotTitles,0))=0), $AB$24,TRUE,"")</f>
        <v/>
      </c>
      <c r="V35" s="114" t="str" cm="1">
        <f t="array" aca="1" ref="V35" ca="1">_xlfn.IFS(ISBLANK(NumberOfPlots),"Enter the number of homes on the 1_SetUp sheet",AND(A35&gt;NumberOfPlots,ISBLANK(INDEX(PlotData,MATCH($A35,PlotNumber,0),MATCH(B$3,PlotTitles,0)))),"No error",NOT(B35=""),B35,NOT(C35=""),C35,NOT(D35=""),D35,NOT(E35=""),E35,NOT(F35=""),F35,NOT(G35=""),G35,NOT(H35=""),H35,NOT(I35=""),I35,NOT(J35=""),J35,NOT(K35=""),K35,NOT(L35=""),L35,NOT(M35=""),M35,NOT(N35=""),N35,NOT(O35=""),O35,NOT(P35=""),P35,NOT(Q35=""),Q35,NOT(R35=""),R35,NOT(S35=""),S35,NOT(T35=""),T35,NOT(U35=""),U35,TRUE,"No error")</f>
        <v>Enter the number of homes on the 1_SetUp sheet</v>
      </c>
      <c r="W35" s="114" t="str">
        <f t="shared" ca="1" si="2"/>
        <v xml:space="preserve">The Borrower has not addressed the following error messages for Home ID 31: </v>
      </c>
      <c r="X35" s="114"/>
      <c r="Y35" s="114"/>
      <c r="Z35" s="114"/>
      <c r="AA35" s="114"/>
      <c r="AB35" s="114"/>
    </row>
    <row r="36" spans="1:28">
      <c r="A36" s="123">
        <v>32</v>
      </c>
      <c r="B36" s="104" t="str" cm="1">
        <f t="array" ref="B36">_xlfn.IFS(AND(A36&gt;NumberOfPlots,ISBLANK(INDEX(PlotData,MATCH($A36,PlotNumber,0),MATCH(B$3,PlotTitles,0)))),"",ISNUMBER(INDEX(PlotData,MATCH($A36,PlotNumber,0),MATCH(B$3,PlotTitles,0)))=FALSE, $AB$5,TRUE,"")</f>
        <v/>
      </c>
      <c r="C36" s="104" t="str" cm="1">
        <f t="array" ref="C36">_xlfn.IFS(AND(A36&gt;NumberOfPlots,ISBLANK(INDEX(PlotData,MATCH($A36,PlotNumber,0),MATCH(B$3,PlotTitles,0)))),"",ISBLANK(INDEX(PlotData,MATCH($A36,PlotNumber,0),MATCH(C$3,PlotTitles,0))),$AB$6,TRUE,"")</f>
        <v/>
      </c>
      <c r="D36" s="104" t="str" cm="1">
        <f t="array" ref="D36">_xlfn.IFS(AND(A36&gt;NumberOfPlots,ISBLANK(INDEX(PlotData,MATCH($A36,PlotNumber,0),MATCH(B$3,PlotTitles,0)))),"",ISBLANK(INDEX(PlotData,MATCH($A36,PlotNumber,0),MATCH(D$3,PlotTitles,0))),$AB$7,TRUE,"")</f>
        <v/>
      </c>
      <c r="E36" s="104" t="str" cm="1">
        <f t="array" ref="E36">_xlfn.IFS(AND(A36&gt;NumberOfPlots,ISBLANK(INDEX(PlotData,MATCH($A36,PlotNumber,0),MATCH(B$3,PlotTitles,0)))),"",ISBLANK(INDEX(PlotData,MATCH($A36,PlotNumber,0),MATCH(E$3,PlotTitles,0))),$AB$8,TRUE,"")</f>
        <v/>
      </c>
      <c r="F36" s="104" t="str" cm="1">
        <f t="array" ref="F36">_xlfn.IFS(AND(A36&gt;NumberOfPlots,ISBLANK(INDEX(PlotData,MATCH($A36,PlotNumber,0),MATCH(B$3,PlotTitles,0)))),"",ISBLANK(INDEX(PlotData,MATCH($A36,PlotNumber,0),MATCH(F$3,PlotTitles,0))),$AB$9,TRUE,"")</f>
        <v/>
      </c>
      <c r="G36" s="104" t="str" cm="1">
        <f t="array" ref="G36">_xlfn.IFS(AND(A36&gt;NumberOfPlots,ISBLANK(INDEX(PlotData,MATCH($A36,PlotNumber,0),MATCH(B$3,PlotTitles,0)))),"",ISBLANK(INDEX(PlotData,MATCH($A36,PlotNumber,0),MATCH(G$3,PlotTitles,0))),$AB$10,TRUE,"")</f>
        <v/>
      </c>
      <c r="H36" s="104" t="str" cm="1">
        <f t="array" ref="H36">_xlfn.IFS(AND(A36&gt;NumberOfPlots,ISBLANK(INDEX(PlotData,MATCH($A36,PlotNumber,0),MATCH(B$3,PlotTitles,0)))),"",AND(ISBLANK(INDEX(PlotData,MATCH($A36,PlotNumber,0),MATCH(H$3,PlotTitles,0)))=FALSE,INDEX(PlotData,MATCH($A36,PlotNumber,0),MATCH(H$3,PlotTitles,0))&lt;500), $AB$11,TRUE,"")</f>
        <v/>
      </c>
      <c r="I36" s="104" t="str" cm="1">
        <f t="array" ref="I36">_xlfn.IFS(AND(A36&gt;NumberOfPlots,ISBLANK(INDEX(PlotData,MATCH($A36,PlotNumber,0),MATCH(B$3,PlotTitles,0)))),"",ISBLANK(INDEX(PlotData,MATCH($A36,PlotNumber,0),MATCH(I$3,PlotTitles,0))),$AB$12,TRUE,"")</f>
        <v/>
      </c>
      <c r="J36" s="104" t="str" cm="1">
        <f t="array" ref="J36">_xlfn.IFS(AND(A36&gt;NumberOfPlots,ISBLANK(INDEX(PlotData,MATCH($A36,PlotNumber,0),MATCH(B$3,PlotTitles,0)))),"",ISBLANK(INDEX(PlotData,MATCH($A36,PlotNumber,0),MATCH(J$3,PlotTitles,0))),$AB$13,TRUE,"")</f>
        <v/>
      </c>
      <c r="K36" s="182" t="str">
        <f t="shared" ca="1" si="0"/>
        <v/>
      </c>
      <c r="L36" s="104" t="str" cm="1">
        <f t="array" ref="L36">_xlfn.IFS(OR(ISBLANK(StartDateMonth),ISBLANK(StartDateYear)),"",AND(A36&gt;NumberOfPlots,ISBLANK(INDEX(PlotData,MATCH($A36,PlotNumber,0),MATCH(B$3,PlotTitles,0)))),"",ISBLANK(INDEX(PlotData,MATCH($A36,PlotNumber,0),MATCH(I$3,PlotTitles,0))),"",(DATEVALUE(INDEX(PlotData,MATCH($A36,PlotNumber,0),MATCH(I$3,PlotTitles,0))&amp;INDEX(PlotData,MATCH($A36,PlotNumber,0),MATCH(J$3,PlotTitles,0))))&lt;DATEVALUE(StartDateMonth&amp;StartDateYear),$AB$15,TRUE,"")</f>
        <v/>
      </c>
      <c r="M36" s="104" t="str" cm="1">
        <f t="array" ref="M36">_xlfn.IFS(OR(ISBLANK(StartDateMonth),ISBLANK(StartDateYear)),"",AND(A36&gt;NumberOfPlots,ISBLANK(INDEX(PlotData,MATCH($A36,PlotNumber,0),MATCH(B$3,PlotTitles,0)))),"",ISBLANK(INDEX(PlotData,MATCH($A36,PlotNumber,0),MATCH(I$3,PlotTitles,0))),"",CompletionMonth="","",(DATEVALUE(INDEX(PlotData,MATCH($A36,PlotNumber,0),MATCH(I$3,PlotTitles,0))&amp;INDEX(PlotData,MATCH($A36,PlotNumber,0),MATCH(J$3,PlotTitles,0))))&gt;(DATEVALUE(CompletionMonth&amp;CompletionYear)),$AB$16,TRUE,"")</f>
        <v/>
      </c>
      <c r="N36" s="104" t="str" cm="1">
        <f t="array" ref="N36">_xlfn.IFS(AND(A36&gt;NumberOfPlots,ISBLANK(INDEX(PlotData,MATCH($A36,PlotNumber,0),MATCH(B$3,PlotTitles,0)))),"",ISBLANK(INDEX(PlotData,MATCH($A36,PlotNumber,0),MATCH(N$3,PlotTitles,0))),$AB$17,TRUE,"")</f>
        <v/>
      </c>
      <c r="O36" s="104" t="str" cm="1">
        <f t="array" ref="O36">_xlfn.IFS(AND(A36&gt;NumberOfPlots,ISBLANK(INDEX(PlotData,MATCH($A36,PlotNumber,0),MATCH(B$3,PlotTitles,0)))),"",ISBLANK(INDEX(PlotData,MATCH($A36,PlotNumber,0),MATCH(O$3,PlotTitles,0))),$AB$18,TRUE,"")</f>
        <v/>
      </c>
      <c r="P36" s="182" t="str">
        <f t="shared" ca="1" si="1"/>
        <v/>
      </c>
      <c r="Q36" s="104" t="str" cm="1">
        <f t="array" ref="Q36">_xlfn.IFS(AND(A36&gt;NumberOfPlots,ISBLANK(INDEX(PlotData,MATCH($A36,PlotNumber,0),MATCH(B$3,PlotTitles,0)))),"",ISBLANK(INDEX(PlotData,MATCH($A36,PlotNumber,0),MATCH(N$3,PlotTitles,0))),"",(DATEVALUE(INDEX(PlotData,MATCH($A36,PlotNumber,0),MATCH(N$3,PlotTitles,0))&amp;INDEX(PlotData,MATCH($A36,PlotNumber,0),MATCH(O$3,PlotTitles,0))))&lt;(DATEVALUE(INDEX(PlotData,MATCH($A36,PlotNumber,0),MATCH(I$3,PlotTitles,0))&amp;INDEX(PlotData,MATCH($A36,PlotNumber,0),MATCH(J$3,PlotTitles,0)))),$AB$20,TRUE,"")</f>
        <v/>
      </c>
      <c r="R36" s="104" t="str" cm="1">
        <f t="array" ref="R36">_xlfn.IFS(OR(ISBLANK(StartDateMonth),ISBLANK(StartDateYear)),"",AND(A36&gt;NumberOfPlots,ISBLANK(INDEX(PlotData,MATCH($A36,PlotNumber,0),MATCH(B$3,PlotTitles,0)))),"",ISBLANK(INDEX(PlotData,MATCH($A36,PlotNumber,0),MATCH(N$3,PlotTitles,0))),"",CompletionMonth="","",(DATEVALUE(INDEX(PlotData,MATCH($A36,PlotNumber,0),MATCH(N$3,PlotTitles,0))&amp;INDEX(PlotData,MATCH($A36,PlotNumber,0),MATCH(O$3,PlotTitles,0))))&gt;(DATEVALUE(CompletionMonth&amp;CompletionYear)),$AB$21,TRUE,"")</f>
        <v/>
      </c>
      <c r="S36" s="104" t="str" cm="1">
        <f t="array" ref="S36">_xlfn.IFS(AND(A36&gt;NumberOfPlots,ISBLANK(INDEX(PlotData,MATCH($A36,PlotNumber,0),MATCH(B$3,PlotTitles,0)))),"",OR(AND(INDEX(PlotData,MATCH($A36,PlotNumber,0),MATCH("Tenure",PlotTitles,0))="Open market housing",INDEX(PlotData,MATCH($A36,PlotNumber,0),MATCH("Tenure detail",PlotTitles,0))="Private rented sector"),INDEX(PlotData,MATCH($A36,PlotNumber,0),MATCH("Tenure",PlotTitles,0))="Affordable rent"),"",ISNUMBER(INDEX(PlotData,MATCH($A36,PlotNumber,0),MATCH(S$3,PlotTitles,0)))=FALSE, $AB$22,TRUE,"")</f>
        <v/>
      </c>
      <c r="T36" s="104" t="str" cm="1">
        <f t="array" ref="T36">_xlfn.IFS(AND(A36&gt;NumberOfPlots,ISBLANK(INDEX(PlotData,MATCH($A36,PlotNumber,0),MATCH(B$3,PlotTitles,0)))),"",OR(AND(INDEX(PlotData,MATCH($A36,PlotNumber,0),MATCH("Tenure",PlotTitles,0))="Open market housing",INDEX(PlotData,MATCH($A36,PlotNumber,0),MATCH("Tenure detail",PlotTitles,0))="Private rented sector"),INDEX(PlotData,MATCH($A36,PlotNumber,0),MATCH("Tenure",PlotTitles,0))="Affordable rent"),"",INDEX(PlotData,MATCH($A36,PlotNumber,0),MATCH(S$3,PlotTitles,0))&lt;10000, $AB$23,TRUE,"")</f>
        <v/>
      </c>
      <c r="U36" s="104" t="str" cm="1">
        <f t="array" ref="U36">_xlfn.IFS(AND(A36&gt;NumberOfPlots,ISBLANK(INDEX(PlotData,MATCH($A36,PlotNumber,0),MATCH(B$3,PlotTitles,0)))),"",NOT(OR(AND(INDEX(PlotData,MATCH($A36,PlotNumber,0),MATCH("Tenure",PlotTitles,0))="Open market housing",INDEX(PlotData,MATCH($A36,PlotNumber,0),MATCH("Tenure detail",PlotTitles,0))="Private rented sector"),INDEX(PlotData,MATCH($A36,PlotNumber,0),MATCH("Tenure",PlotTitles,0))="Affordable rent")),"",NOT(INDEX(PlotData,MATCH($A36,PlotNumber,0),MATCH(S$3,PlotTitles,0))=0), $AB$24,TRUE,"")</f>
        <v/>
      </c>
      <c r="V36" s="114" t="str" cm="1">
        <f t="array" aca="1" ref="V36" ca="1">_xlfn.IFS(ISBLANK(NumberOfPlots),"Enter the number of homes on the 1_SetUp sheet",AND(A36&gt;NumberOfPlots,ISBLANK(INDEX(PlotData,MATCH($A36,PlotNumber,0),MATCH(B$3,PlotTitles,0)))),"No error",NOT(B36=""),B36,NOT(C36=""),C36,NOT(D36=""),D36,NOT(E36=""),E36,NOT(F36=""),F36,NOT(G36=""),G36,NOT(H36=""),H36,NOT(I36=""),I36,NOT(J36=""),J36,NOT(K36=""),K36,NOT(L36=""),L36,NOT(M36=""),M36,NOT(N36=""),N36,NOT(O36=""),O36,NOT(P36=""),P36,NOT(Q36=""),Q36,NOT(R36=""),R36,NOT(S36=""),S36,NOT(T36=""),T36,NOT(U36=""),U36,TRUE,"No error")</f>
        <v>Enter the number of homes on the 1_SetUp sheet</v>
      </c>
      <c r="W36" s="114" t="str">
        <f t="shared" ca="1" si="2"/>
        <v xml:space="preserve">The Borrower has not addressed the following error messages for Home ID 32: </v>
      </c>
      <c r="X36" s="114"/>
      <c r="Y36" s="114"/>
      <c r="Z36" s="114"/>
      <c r="AA36" s="114"/>
      <c r="AB36" s="114"/>
    </row>
    <row r="37" spans="1:28">
      <c r="A37" s="123">
        <v>33</v>
      </c>
      <c r="B37" s="104" t="str" cm="1">
        <f t="array" ref="B37">_xlfn.IFS(AND(A37&gt;NumberOfPlots,ISBLANK(INDEX(PlotData,MATCH($A37,PlotNumber,0),MATCH(B$3,PlotTitles,0)))),"",ISNUMBER(INDEX(PlotData,MATCH($A37,PlotNumber,0),MATCH(B$3,PlotTitles,0)))=FALSE, $AB$5,TRUE,"")</f>
        <v/>
      </c>
      <c r="C37" s="104" t="str" cm="1">
        <f t="array" ref="C37">_xlfn.IFS(AND(A37&gt;NumberOfPlots,ISBLANK(INDEX(PlotData,MATCH($A37,PlotNumber,0),MATCH(B$3,PlotTitles,0)))),"",ISBLANK(INDEX(PlotData,MATCH($A37,PlotNumber,0),MATCH(C$3,PlotTitles,0))),$AB$6,TRUE,"")</f>
        <v/>
      </c>
      <c r="D37" s="104" t="str" cm="1">
        <f t="array" ref="D37">_xlfn.IFS(AND(A37&gt;NumberOfPlots,ISBLANK(INDEX(PlotData,MATCH($A37,PlotNumber,0),MATCH(B$3,PlotTitles,0)))),"",ISBLANK(INDEX(PlotData,MATCH($A37,PlotNumber,0),MATCH(D$3,PlotTitles,0))),$AB$7,TRUE,"")</f>
        <v/>
      </c>
      <c r="E37" s="104" t="str" cm="1">
        <f t="array" ref="E37">_xlfn.IFS(AND(A37&gt;NumberOfPlots,ISBLANK(INDEX(PlotData,MATCH($A37,PlotNumber,0),MATCH(B$3,PlotTitles,0)))),"",ISBLANK(INDEX(PlotData,MATCH($A37,PlotNumber,0),MATCH(E$3,PlotTitles,0))),$AB$8,TRUE,"")</f>
        <v/>
      </c>
      <c r="F37" s="104" t="str" cm="1">
        <f t="array" ref="F37">_xlfn.IFS(AND(A37&gt;NumberOfPlots,ISBLANK(INDEX(PlotData,MATCH($A37,PlotNumber,0),MATCH(B$3,PlotTitles,0)))),"",ISBLANK(INDEX(PlotData,MATCH($A37,PlotNumber,0),MATCH(F$3,PlotTitles,0))),$AB$9,TRUE,"")</f>
        <v/>
      </c>
      <c r="G37" s="104" t="str" cm="1">
        <f t="array" ref="G37">_xlfn.IFS(AND(A37&gt;NumberOfPlots,ISBLANK(INDEX(PlotData,MATCH($A37,PlotNumber,0),MATCH(B$3,PlotTitles,0)))),"",ISBLANK(INDEX(PlotData,MATCH($A37,PlotNumber,0),MATCH(G$3,PlotTitles,0))),$AB$10,TRUE,"")</f>
        <v/>
      </c>
      <c r="H37" s="104" t="str" cm="1">
        <f t="array" ref="H37">_xlfn.IFS(AND(A37&gt;NumberOfPlots,ISBLANK(INDEX(PlotData,MATCH($A37,PlotNumber,0),MATCH(B$3,PlotTitles,0)))),"",AND(ISBLANK(INDEX(PlotData,MATCH($A37,PlotNumber,0),MATCH(H$3,PlotTitles,0)))=FALSE,INDEX(PlotData,MATCH($A37,PlotNumber,0),MATCH(H$3,PlotTitles,0))&lt;500), $AB$11,TRUE,"")</f>
        <v/>
      </c>
      <c r="I37" s="104" t="str" cm="1">
        <f t="array" ref="I37">_xlfn.IFS(AND(A37&gt;NumberOfPlots,ISBLANK(INDEX(PlotData,MATCH($A37,PlotNumber,0),MATCH(B$3,PlotTitles,0)))),"",ISBLANK(INDEX(PlotData,MATCH($A37,PlotNumber,0),MATCH(I$3,PlotTitles,0))),$AB$12,TRUE,"")</f>
        <v/>
      </c>
      <c r="J37" s="104" t="str" cm="1">
        <f t="array" ref="J37">_xlfn.IFS(AND(A37&gt;NumberOfPlots,ISBLANK(INDEX(PlotData,MATCH($A37,PlotNumber,0),MATCH(B$3,PlotTitles,0)))),"",ISBLANK(INDEX(PlotData,MATCH($A37,PlotNumber,0),MATCH(J$3,PlotTitles,0))),$AB$13,TRUE,"")</f>
        <v/>
      </c>
      <c r="K37" s="182" t="str">
        <f t="shared" ca="1" si="0"/>
        <v/>
      </c>
      <c r="L37" s="104" t="str" cm="1">
        <f t="array" ref="L37">_xlfn.IFS(OR(ISBLANK(StartDateMonth),ISBLANK(StartDateYear)),"",AND(A37&gt;NumberOfPlots,ISBLANK(INDEX(PlotData,MATCH($A37,PlotNumber,0),MATCH(B$3,PlotTitles,0)))),"",ISBLANK(INDEX(PlotData,MATCH($A37,PlotNumber,0),MATCH(I$3,PlotTitles,0))),"",(DATEVALUE(INDEX(PlotData,MATCH($A37,PlotNumber,0),MATCH(I$3,PlotTitles,0))&amp;INDEX(PlotData,MATCH($A37,PlotNumber,0),MATCH(J$3,PlotTitles,0))))&lt;DATEVALUE(StartDateMonth&amp;StartDateYear),$AB$15,TRUE,"")</f>
        <v/>
      </c>
      <c r="M37" s="104" t="str" cm="1">
        <f t="array" ref="M37">_xlfn.IFS(OR(ISBLANK(StartDateMonth),ISBLANK(StartDateYear)),"",AND(A37&gt;NumberOfPlots,ISBLANK(INDEX(PlotData,MATCH($A37,PlotNumber,0),MATCH(B$3,PlotTitles,0)))),"",ISBLANK(INDEX(PlotData,MATCH($A37,PlotNumber,0),MATCH(I$3,PlotTitles,0))),"",CompletionMonth="","",(DATEVALUE(INDEX(PlotData,MATCH($A37,PlotNumber,0),MATCH(I$3,PlotTitles,0))&amp;INDEX(PlotData,MATCH($A37,PlotNumber,0),MATCH(J$3,PlotTitles,0))))&gt;(DATEVALUE(CompletionMonth&amp;CompletionYear)),$AB$16,TRUE,"")</f>
        <v/>
      </c>
      <c r="N37" s="104" t="str" cm="1">
        <f t="array" ref="N37">_xlfn.IFS(AND(A37&gt;NumberOfPlots,ISBLANK(INDEX(PlotData,MATCH($A37,PlotNumber,0),MATCH(B$3,PlotTitles,0)))),"",ISBLANK(INDEX(PlotData,MATCH($A37,PlotNumber,0),MATCH(N$3,PlotTitles,0))),$AB$17,TRUE,"")</f>
        <v/>
      </c>
      <c r="O37" s="104" t="str" cm="1">
        <f t="array" ref="O37">_xlfn.IFS(AND(A37&gt;NumberOfPlots,ISBLANK(INDEX(PlotData,MATCH($A37,PlotNumber,0),MATCH(B$3,PlotTitles,0)))),"",ISBLANK(INDEX(PlotData,MATCH($A37,PlotNumber,0),MATCH(O$3,PlotTitles,0))),$AB$18,TRUE,"")</f>
        <v/>
      </c>
      <c r="P37" s="182" t="str">
        <f t="shared" ca="1" si="1"/>
        <v/>
      </c>
      <c r="Q37" s="104" t="str" cm="1">
        <f t="array" ref="Q37">_xlfn.IFS(AND(A37&gt;NumberOfPlots,ISBLANK(INDEX(PlotData,MATCH($A37,PlotNumber,0),MATCH(B$3,PlotTitles,0)))),"",ISBLANK(INDEX(PlotData,MATCH($A37,PlotNumber,0),MATCH(N$3,PlotTitles,0))),"",(DATEVALUE(INDEX(PlotData,MATCH($A37,PlotNumber,0),MATCH(N$3,PlotTitles,0))&amp;INDEX(PlotData,MATCH($A37,PlotNumber,0),MATCH(O$3,PlotTitles,0))))&lt;(DATEVALUE(INDEX(PlotData,MATCH($A37,PlotNumber,0),MATCH(I$3,PlotTitles,0))&amp;INDEX(PlotData,MATCH($A37,PlotNumber,0),MATCH(J$3,PlotTitles,0)))),$AB$20,TRUE,"")</f>
        <v/>
      </c>
      <c r="R37" s="104" t="str" cm="1">
        <f t="array" ref="R37">_xlfn.IFS(OR(ISBLANK(StartDateMonth),ISBLANK(StartDateYear)),"",AND(A37&gt;NumberOfPlots,ISBLANK(INDEX(PlotData,MATCH($A37,PlotNumber,0),MATCH(B$3,PlotTitles,0)))),"",ISBLANK(INDEX(PlotData,MATCH($A37,PlotNumber,0),MATCH(N$3,PlotTitles,0))),"",CompletionMonth="","",(DATEVALUE(INDEX(PlotData,MATCH($A37,PlotNumber,0),MATCH(N$3,PlotTitles,0))&amp;INDEX(PlotData,MATCH($A37,PlotNumber,0),MATCH(O$3,PlotTitles,0))))&gt;(DATEVALUE(CompletionMonth&amp;CompletionYear)),$AB$21,TRUE,"")</f>
        <v/>
      </c>
      <c r="S37" s="104" t="str" cm="1">
        <f t="array" ref="S37">_xlfn.IFS(AND(A37&gt;NumberOfPlots,ISBLANK(INDEX(PlotData,MATCH($A37,PlotNumber,0),MATCH(B$3,PlotTitles,0)))),"",OR(AND(INDEX(PlotData,MATCH($A37,PlotNumber,0),MATCH("Tenure",PlotTitles,0))="Open market housing",INDEX(PlotData,MATCH($A37,PlotNumber,0),MATCH("Tenure detail",PlotTitles,0))="Private rented sector"),INDEX(PlotData,MATCH($A37,PlotNumber,0),MATCH("Tenure",PlotTitles,0))="Affordable rent"),"",ISNUMBER(INDEX(PlotData,MATCH($A37,PlotNumber,0),MATCH(S$3,PlotTitles,0)))=FALSE, $AB$22,TRUE,"")</f>
        <v/>
      </c>
      <c r="T37" s="104" t="str" cm="1">
        <f t="array" ref="T37">_xlfn.IFS(AND(A37&gt;NumberOfPlots,ISBLANK(INDEX(PlotData,MATCH($A37,PlotNumber,0),MATCH(B$3,PlotTitles,0)))),"",OR(AND(INDEX(PlotData,MATCH($A37,PlotNumber,0),MATCH("Tenure",PlotTitles,0))="Open market housing",INDEX(PlotData,MATCH($A37,PlotNumber,0),MATCH("Tenure detail",PlotTitles,0))="Private rented sector"),INDEX(PlotData,MATCH($A37,PlotNumber,0),MATCH("Tenure",PlotTitles,0))="Affordable rent"),"",INDEX(PlotData,MATCH($A37,PlotNumber,0),MATCH(S$3,PlotTitles,0))&lt;10000, $AB$23,TRUE,"")</f>
        <v/>
      </c>
      <c r="U37" s="104" t="str" cm="1">
        <f t="array" ref="U37">_xlfn.IFS(AND(A37&gt;NumberOfPlots,ISBLANK(INDEX(PlotData,MATCH($A37,PlotNumber,0),MATCH(B$3,PlotTitles,0)))),"",NOT(OR(AND(INDEX(PlotData,MATCH($A37,PlotNumber,0),MATCH("Tenure",PlotTitles,0))="Open market housing",INDEX(PlotData,MATCH($A37,PlotNumber,0),MATCH("Tenure detail",PlotTitles,0))="Private rented sector"),INDEX(PlotData,MATCH($A37,PlotNumber,0),MATCH("Tenure",PlotTitles,0))="Affordable rent")),"",NOT(INDEX(PlotData,MATCH($A37,PlotNumber,0),MATCH(S$3,PlotTitles,0))=0), $AB$24,TRUE,"")</f>
        <v/>
      </c>
      <c r="V37" s="114" t="str" cm="1">
        <f t="array" aca="1" ref="V37" ca="1">_xlfn.IFS(ISBLANK(NumberOfPlots),"Enter the number of homes on the 1_SetUp sheet",AND(A37&gt;NumberOfPlots,ISBLANK(INDEX(PlotData,MATCH($A37,PlotNumber,0),MATCH(B$3,PlotTitles,0)))),"No error",NOT(B37=""),B37,NOT(C37=""),C37,NOT(D37=""),D37,NOT(E37=""),E37,NOT(F37=""),F37,NOT(G37=""),G37,NOT(H37=""),H37,NOT(I37=""),I37,NOT(J37=""),J37,NOT(K37=""),K37,NOT(L37=""),L37,NOT(M37=""),M37,NOT(N37=""),N37,NOT(O37=""),O37,NOT(P37=""),P37,NOT(Q37=""),Q37,NOT(R37=""),R37,NOT(S37=""),S37,NOT(T37=""),T37,NOT(U37=""),U37,TRUE,"No error")</f>
        <v>Enter the number of homes on the 1_SetUp sheet</v>
      </c>
      <c r="W37" s="114" t="str">
        <f t="shared" ca="1" si="2"/>
        <v xml:space="preserve">The Borrower has not addressed the following error messages for Home ID 33: </v>
      </c>
      <c r="X37" s="114"/>
      <c r="Y37" s="114"/>
      <c r="Z37" s="114"/>
      <c r="AA37" s="114"/>
      <c r="AB37" s="114"/>
    </row>
    <row r="38" spans="1:28">
      <c r="A38" s="123">
        <v>34</v>
      </c>
      <c r="B38" s="104" t="str" cm="1">
        <f t="array" ref="B38">_xlfn.IFS(AND(A38&gt;NumberOfPlots,ISBLANK(INDEX(PlotData,MATCH($A38,PlotNumber,0),MATCH(B$3,PlotTitles,0)))),"",ISNUMBER(INDEX(PlotData,MATCH($A38,PlotNumber,0),MATCH(B$3,PlotTitles,0)))=FALSE, $AB$5,TRUE,"")</f>
        <v/>
      </c>
      <c r="C38" s="104" t="str" cm="1">
        <f t="array" ref="C38">_xlfn.IFS(AND(A38&gt;NumberOfPlots,ISBLANK(INDEX(PlotData,MATCH($A38,PlotNumber,0),MATCH(B$3,PlotTitles,0)))),"",ISBLANK(INDEX(PlotData,MATCH($A38,PlotNumber,0),MATCH(C$3,PlotTitles,0))),$AB$6,TRUE,"")</f>
        <v/>
      </c>
      <c r="D38" s="104" t="str" cm="1">
        <f t="array" ref="D38">_xlfn.IFS(AND(A38&gt;NumberOfPlots,ISBLANK(INDEX(PlotData,MATCH($A38,PlotNumber,0),MATCH(B$3,PlotTitles,0)))),"",ISBLANK(INDEX(PlotData,MATCH($A38,PlotNumber,0),MATCH(D$3,PlotTitles,0))),$AB$7,TRUE,"")</f>
        <v/>
      </c>
      <c r="E38" s="104" t="str" cm="1">
        <f t="array" ref="E38">_xlfn.IFS(AND(A38&gt;NumberOfPlots,ISBLANK(INDEX(PlotData,MATCH($A38,PlotNumber,0),MATCH(B$3,PlotTitles,0)))),"",ISBLANK(INDEX(PlotData,MATCH($A38,PlotNumber,0),MATCH(E$3,PlotTitles,0))),$AB$8,TRUE,"")</f>
        <v/>
      </c>
      <c r="F38" s="104" t="str" cm="1">
        <f t="array" ref="F38">_xlfn.IFS(AND(A38&gt;NumberOfPlots,ISBLANK(INDEX(PlotData,MATCH($A38,PlotNumber,0),MATCH(B$3,PlotTitles,0)))),"",ISBLANK(INDEX(PlotData,MATCH($A38,PlotNumber,0),MATCH(F$3,PlotTitles,0))),$AB$9,TRUE,"")</f>
        <v/>
      </c>
      <c r="G38" s="104" t="str" cm="1">
        <f t="array" ref="G38">_xlfn.IFS(AND(A38&gt;NumberOfPlots,ISBLANK(INDEX(PlotData,MATCH($A38,PlotNumber,0),MATCH(B$3,PlotTitles,0)))),"",ISBLANK(INDEX(PlotData,MATCH($A38,PlotNumber,0),MATCH(G$3,PlotTitles,0))),$AB$10,TRUE,"")</f>
        <v/>
      </c>
      <c r="H38" s="104" t="str" cm="1">
        <f t="array" ref="H38">_xlfn.IFS(AND(A38&gt;NumberOfPlots,ISBLANK(INDEX(PlotData,MATCH($A38,PlotNumber,0),MATCH(B$3,PlotTitles,0)))),"",AND(ISBLANK(INDEX(PlotData,MATCH($A38,PlotNumber,0),MATCH(H$3,PlotTitles,0)))=FALSE,INDEX(PlotData,MATCH($A38,PlotNumber,0),MATCH(H$3,PlotTitles,0))&lt;500), $AB$11,TRUE,"")</f>
        <v/>
      </c>
      <c r="I38" s="104" t="str" cm="1">
        <f t="array" ref="I38">_xlfn.IFS(AND(A38&gt;NumberOfPlots,ISBLANK(INDEX(PlotData,MATCH($A38,PlotNumber,0),MATCH(B$3,PlotTitles,0)))),"",ISBLANK(INDEX(PlotData,MATCH($A38,PlotNumber,0),MATCH(I$3,PlotTitles,0))),$AB$12,TRUE,"")</f>
        <v/>
      </c>
      <c r="J38" s="104" t="str" cm="1">
        <f t="array" ref="J38">_xlfn.IFS(AND(A38&gt;NumberOfPlots,ISBLANK(INDEX(PlotData,MATCH($A38,PlotNumber,0),MATCH(B$3,PlotTitles,0)))),"",ISBLANK(INDEX(PlotData,MATCH($A38,PlotNumber,0),MATCH(J$3,PlotTitles,0))),$AB$13,TRUE,"")</f>
        <v/>
      </c>
      <c r="K38" s="182" t="str">
        <f t="shared" ca="1" si="0"/>
        <v/>
      </c>
      <c r="L38" s="104" t="str" cm="1">
        <f t="array" ref="L38">_xlfn.IFS(OR(ISBLANK(StartDateMonth),ISBLANK(StartDateYear)),"",AND(A38&gt;NumberOfPlots,ISBLANK(INDEX(PlotData,MATCH($A38,PlotNumber,0),MATCH(B$3,PlotTitles,0)))),"",ISBLANK(INDEX(PlotData,MATCH($A38,PlotNumber,0),MATCH(I$3,PlotTitles,0))),"",(DATEVALUE(INDEX(PlotData,MATCH($A38,PlotNumber,0),MATCH(I$3,PlotTitles,0))&amp;INDEX(PlotData,MATCH($A38,PlotNumber,0),MATCH(J$3,PlotTitles,0))))&lt;DATEVALUE(StartDateMonth&amp;StartDateYear),$AB$15,TRUE,"")</f>
        <v/>
      </c>
      <c r="M38" s="104" t="str" cm="1">
        <f t="array" ref="M38">_xlfn.IFS(OR(ISBLANK(StartDateMonth),ISBLANK(StartDateYear)),"",AND(A38&gt;NumberOfPlots,ISBLANK(INDEX(PlotData,MATCH($A38,PlotNumber,0),MATCH(B$3,PlotTitles,0)))),"",ISBLANK(INDEX(PlotData,MATCH($A38,PlotNumber,0),MATCH(I$3,PlotTitles,0))),"",CompletionMonth="","",(DATEVALUE(INDEX(PlotData,MATCH($A38,PlotNumber,0),MATCH(I$3,PlotTitles,0))&amp;INDEX(PlotData,MATCH($A38,PlotNumber,0),MATCH(J$3,PlotTitles,0))))&gt;(DATEVALUE(CompletionMonth&amp;CompletionYear)),$AB$16,TRUE,"")</f>
        <v/>
      </c>
      <c r="N38" s="104" t="str" cm="1">
        <f t="array" ref="N38">_xlfn.IFS(AND(A38&gt;NumberOfPlots,ISBLANK(INDEX(PlotData,MATCH($A38,PlotNumber,0),MATCH(B$3,PlotTitles,0)))),"",ISBLANK(INDEX(PlotData,MATCH($A38,PlotNumber,0),MATCH(N$3,PlotTitles,0))),$AB$17,TRUE,"")</f>
        <v/>
      </c>
      <c r="O38" s="104" t="str" cm="1">
        <f t="array" ref="O38">_xlfn.IFS(AND(A38&gt;NumberOfPlots,ISBLANK(INDEX(PlotData,MATCH($A38,PlotNumber,0),MATCH(B$3,PlotTitles,0)))),"",ISBLANK(INDEX(PlotData,MATCH($A38,PlotNumber,0),MATCH(O$3,PlotTitles,0))),$AB$18,TRUE,"")</f>
        <v/>
      </c>
      <c r="P38" s="182" t="str">
        <f t="shared" ca="1" si="1"/>
        <v/>
      </c>
      <c r="Q38" s="104" t="str" cm="1">
        <f t="array" ref="Q38">_xlfn.IFS(AND(A38&gt;NumberOfPlots,ISBLANK(INDEX(PlotData,MATCH($A38,PlotNumber,0),MATCH(B$3,PlotTitles,0)))),"",ISBLANK(INDEX(PlotData,MATCH($A38,PlotNumber,0),MATCH(N$3,PlotTitles,0))),"",(DATEVALUE(INDEX(PlotData,MATCH($A38,PlotNumber,0),MATCH(N$3,PlotTitles,0))&amp;INDEX(PlotData,MATCH($A38,PlotNumber,0),MATCH(O$3,PlotTitles,0))))&lt;(DATEVALUE(INDEX(PlotData,MATCH($A38,PlotNumber,0),MATCH(I$3,PlotTitles,0))&amp;INDEX(PlotData,MATCH($A38,PlotNumber,0),MATCH(J$3,PlotTitles,0)))),$AB$20,TRUE,"")</f>
        <v/>
      </c>
      <c r="R38" s="104" t="str" cm="1">
        <f t="array" ref="R38">_xlfn.IFS(OR(ISBLANK(StartDateMonth),ISBLANK(StartDateYear)),"",AND(A38&gt;NumberOfPlots,ISBLANK(INDEX(PlotData,MATCH($A38,PlotNumber,0),MATCH(B$3,PlotTitles,0)))),"",ISBLANK(INDEX(PlotData,MATCH($A38,PlotNumber,0),MATCH(N$3,PlotTitles,0))),"",CompletionMonth="","",(DATEVALUE(INDEX(PlotData,MATCH($A38,PlotNumber,0),MATCH(N$3,PlotTitles,0))&amp;INDEX(PlotData,MATCH($A38,PlotNumber,0),MATCH(O$3,PlotTitles,0))))&gt;(DATEVALUE(CompletionMonth&amp;CompletionYear)),$AB$21,TRUE,"")</f>
        <v/>
      </c>
      <c r="S38" s="104" t="str" cm="1">
        <f t="array" ref="S38">_xlfn.IFS(AND(A38&gt;NumberOfPlots,ISBLANK(INDEX(PlotData,MATCH($A38,PlotNumber,0),MATCH(B$3,PlotTitles,0)))),"",OR(AND(INDEX(PlotData,MATCH($A38,PlotNumber,0),MATCH("Tenure",PlotTitles,0))="Open market housing",INDEX(PlotData,MATCH($A38,PlotNumber,0),MATCH("Tenure detail",PlotTitles,0))="Private rented sector"),INDEX(PlotData,MATCH($A38,PlotNumber,0),MATCH("Tenure",PlotTitles,0))="Affordable rent"),"",ISNUMBER(INDEX(PlotData,MATCH($A38,PlotNumber,0),MATCH(S$3,PlotTitles,0)))=FALSE, $AB$22,TRUE,"")</f>
        <v/>
      </c>
      <c r="T38" s="104" t="str" cm="1">
        <f t="array" ref="T38">_xlfn.IFS(AND(A38&gt;NumberOfPlots,ISBLANK(INDEX(PlotData,MATCH($A38,PlotNumber,0),MATCH(B$3,PlotTitles,0)))),"",OR(AND(INDEX(PlotData,MATCH($A38,PlotNumber,0),MATCH("Tenure",PlotTitles,0))="Open market housing",INDEX(PlotData,MATCH($A38,PlotNumber,0),MATCH("Tenure detail",PlotTitles,0))="Private rented sector"),INDEX(PlotData,MATCH($A38,PlotNumber,0),MATCH("Tenure",PlotTitles,0))="Affordable rent"),"",INDEX(PlotData,MATCH($A38,PlotNumber,0),MATCH(S$3,PlotTitles,0))&lt;10000, $AB$23,TRUE,"")</f>
        <v/>
      </c>
      <c r="U38" s="104" t="str" cm="1">
        <f t="array" ref="U38">_xlfn.IFS(AND(A38&gt;NumberOfPlots,ISBLANK(INDEX(PlotData,MATCH($A38,PlotNumber,0),MATCH(B$3,PlotTitles,0)))),"",NOT(OR(AND(INDEX(PlotData,MATCH($A38,PlotNumber,0),MATCH("Tenure",PlotTitles,0))="Open market housing",INDEX(PlotData,MATCH($A38,PlotNumber,0),MATCH("Tenure detail",PlotTitles,0))="Private rented sector"),INDEX(PlotData,MATCH($A38,PlotNumber,0),MATCH("Tenure",PlotTitles,0))="Affordable rent")),"",NOT(INDEX(PlotData,MATCH($A38,PlotNumber,0),MATCH(S$3,PlotTitles,0))=0), $AB$24,TRUE,"")</f>
        <v/>
      </c>
      <c r="V38" s="114" t="str" cm="1">
        <f t="array" aca="1" ref="V38" ca="1">_xlfn.IFS(ISBLANK(NumberOfPlots),"Enter the number of homes on the 1_SetUp sheet",AND(A38&gt;NumberOfPlots,ISBLANK(INDEX(PlotData,MATCH($A38,PlotNumber,0),MATCH(B$3,PlotTitles,0)))),"No error",NOT(B38=""),B38,NOT(C38=""),C38,NOT(D38=""),D38,NOT(E38=""),E38,NOT(F38=""),F38,NOT(G38=""),G38,NOT(H38=""),H38,NOT(I38=""),I38,NOT(J38=""),J38,NOT(K38=""),K38,NOT(L38=""),L38,NOT(M38=""),M38,NOT(N38=""),N38,NOT(O38=""),O38,NOT(P38=""),P38,NOT(Q38=""),Q38,NOT(R38=""),R38,NOT(S38=""),S38,NOT(T38=""),T38,NOT(U38=""),U38,TRUE,"No error")</f>
        <v>Enter the number of homes on the 1_SetUp sheet</v>
      </c>
      <c r="W38" s="114" t="str">
        <f t="shared" ca="1" si="2"/>
        <v xml:space="preserve">The Borrower has not addressed the following error messages for Home ID 34: </v>
      </c>
      <c r="X38" s="114"/>
      <c r="Y38" s="114"/>
      <c r="Z38" s="114"/>
      <c r="AA38" s="114"/>
      <c r="AB38" s="114"/>
    </row>
    <row r="39" spans="1:28">
      <c r="A39" s="123">
        <v>35</v>
      </c>
      <c r="B39" s="104" t="str" cm="1">
        <f t="array" ref="B39">_xlfn.IFS(AND(A39&gt;NumberOfPlots,ISBLANK(INDEX(PlotData,MATCH($A39,PlotNumber,0),MATCH(B$3,PlotTitles,0)))),"",ISNUMBER(INDEX(PlotData,MATCH($A39,PlotNumber,0),MATCH(B$3,PlotTitles,0)))=FALSE, $AB$5,TRUE,"")</f>
        <v/>
      </c>
      <c r="C39" s="104" t="str" cm="1">
        <f t="array" ref="C39">_xlfn.IFS(AND(A39&gt;NumberOfPlots,ISBLANK(INDEX(PlotData,MATCH($A39,PlotNumber,0),MATCH(B$3,PlotTitles,0)))),"",ISBLANK(INDEX(PlotData,MATCH($A39,PlotNumber,0),MATCH(C$3,PlotTitles,0))),$AB$6,TRUE,"")</f>
        <v/>
      </c>
      <c r="D39" s="104" t="str" cm="1">
        <f t="array" ref="D39">_xlfn.IFS(AND(A39&gt;NumberOfPlots,ISBLANK(INDEX(PlotData,MATCH($A39,PlotNumber,0),MATCH(B$3,PlotTitles,0)))),"",ISBLANK(INDEX(PlotData,MATCH($A39,PlotNumber,0),MATCH(D$3,PlotTitles,0))),$AB$7,TRUE,"")</f>
        <v/>
      </c>
      <c r="E39" s="104" t="str" cm="1">
        <f t="array" ref="E39">_xlfn.IFS(AND(A39&gt;NumberOfPlots,ISBLANK(INDEX(PlotData,MATCH($A39,PlotNumber,0),MATCH(B$3,PlotTitles,0)))),"",ISBLANK(INDEX(PlotData,MATCH($A39,PlotNumber,0),MATCH(E$3,PlotTitles,0))),$AB$8,TRUE,"")</f>
        <v/>
      </c>
      <c r="F39" s="104" t="str" cm="1">
        <f t="array" ref="F39">_xlfn.IFS(AND(A39&gt;NumberOfPlots,ISBLANK(INDEX(PlotData,MATCH($A39,PlotNumber,0),MATCH(B$3,PlotTitles,0)))),"",ISBLANK(INDEX(PlotData,MATCH($A39,PlotNumber,0),MATCH(F$3,PlotTitles,0))),$AB$9,TRUE,"")</f>
        <v/>
      </c>
      <c r="G39" s="104" t="str" cm="1">
        <f t="array" ref="G39">_xlfn.IFS(AND(A39&gt;NumberOfPlots,ISBLANK(INDEX(PlotData,MATCH($A39,PlotNumber,0),MATCH(B$3,PlotTitles,0)))),"",ISBLANK(INDEX(PlotData,MATCH($A39,PlotNumber,0),MATCH(G$3,PlotTitles,0))),$AB$10,TRUE,"")</f>
        <v/>
      </c>
      <c r="H39" s="104" t="str" cm="1">
        <f t="array" ref="H39">_xlfn.IFS(AND(A39&gt;NumberOfPlots,ISBLANK(INDEX(PlotData,MATCH($A39,PlotNumber,0),MATCH(B$3,PlotTitles,0)))),"",AND(ISBLANK(INDEX(PlotData,MATCH($A39,PlotNumber,0),MATCH(H$3,PlotTitles,0)))=FALSE,INDEX(PlotData,MATCH($A39,PlotNumber,0),MATCH(H$3,PlotTitles,0))&lt;500), $AB$11,TRUE,"")</f>
        <v/>
      </c>
      <c r="I39" s="104" t="str" cm="1">
        <f t="array" ref="I39">_xlfn.IFS(AND(A39&gt;NumberOfPlots,ISBLANK(INDEX(PlotData,MATCH($A39,PlotNumber,0),MATCH(B$3,PlotTitles,0)))),"",ISBLANK(INDEX(PlotData,MATCH($A39,PlotNumber,0),MATCH(I$3,PlotTitles,0))),$AB$12,TRUE,"")</f>
        <v/>
      </c>
      <c r="J39" s="104" t="str" cm="1">
        <f t="array" ref="J39">_xlfn.IFS(AND(A39&gt;NumberOfPlots,ISBLANK(INDEX(PlotData,MATCH($A39,PlotNumber,0),MATCH(B$3,PlotTitles,0)))),"",ISBLANK(INDEX(PlotData,MATCH($A39,PlotNumber,0),MATCH(J$3,PlotTitles,0))),$AB$13,TRUE,"")</f>
        <v/>
      </c>
      <c r="K39" s="182" t="str">
        <f t="shared" ca="1" si="0"/>
        <v/>
      </c>
      <c r="L39" s="104" t="str" cm="1">
        <f t="array" ref="L39">_xlfn.IFS(OR(ISBLANK(StartDateMonth),ISBLANK(StartDateYear)),"",AND(A39&gt;NumberOfPlots,ISBLANK(INDEX(PlotData,MATCH($A39,PlotNumber,0),MATCH(B$3,PlotTitles,0)))),"",ISBLANK(INDEX(PlotData,MATCH($A39,PlotNumber,0),MATCH(I$3,PlotTitles,0))),"",(DATEVALUE(INDEX(PlotData,MATCH($A39,PlotNumber,0),MATCH(I$3,PlotTitles,0))&amp;INDEX(PlotData,MATCH($A39,PlotNumber,0),MATCH(J$3,PlotTitles,0))))&lt;DATEVALUE(StartDateMonth&amp;StartDateYear),$AB$15,TRUE,"")</f>
        <v/>
      </c>
      <c r="M39" s="104" t="str" cm="1">
        <f t="array" ref="M39">_xlfn.IFS(OR(ISBLANK(StartDateMonth),ISBLANK(StartDateYear)),"",AND(A39&gt;NumberOfPlots,ISBLANK(INDEX(PlotData,MATCH($A39,PlotNumber,0),MATCH(B$3,PlotTitles,0)))),"",ISBLANK(INDEX(PlotData,MATCH($A39,PlotNumber,0),MATCH(I$3,PlotTitles,0))),"",CompletionMonth="","",(DATEVALUE(INDEX(PlotData,MATCH($A39,PlotNumber,0),MATCH(I$3,PlotTitles,0))&amp;INDEX(PlotData,MATCH($A39,PlotNumber,0),MATCH(J$3,PlotTitles,0))))&gt;(DATEVALUE(CompletionMonth&amp;CompletionYear)),$AB$16,TRUE,"")</f>
        <v/>
      </c>
      <c r="N39" s="104" t="str" cm="1">
        <f t="array" ref="N39">_xlfn.IFS(AND(A39&gt;NumberOfPlots,ISBLANK(INDEX(PlotData,MATCH($A39,PlotNumber,0),MATCH(B$3,PlotTitles,0)))),"",ISBLANK(INDEX(PlotData,MATCH($A39,PlotNumber,0),MATCH(N$3,PlotTitles,0))),$AB$17,TRUE,"")</f>
        <v/>
      </c>
      <c r="O39" s="104" t="str" cm="1">
        <f t="array" ref="O39">_xlfn.IFS(AND(A39&gt;NumberOfPlots,ISBLANK(INDEX(PlotData,MATCH($A39,PlotNumber,0),MATCH(B$3,PlotTitles,0)))),"",ISBLANK(INDEX(PlotData,MATCH($A39,PlotNumber,0),MATCH(O$3,PlotTitles,0))),$AB$18,TRUE,"")</f>
        <v/>
      </c>
      <c r="P39" s="182" t="str">
        <f t="shared" ca="1" si="1"/>
        <v/>
      </c>
      <c r="Q39" s="104" t="str" cm="1">
        <f t="array" ref="Q39">_xlfn.IFS(AND(A39&gt;NumberOfPlots,ISBLANK(INDEX(PlotData,MATCH($A39,PlotNumber,0),MATCH(B$3,PlotTitles,0)))),"",ISBLANK(INDEX(PlotData,MATCH($A39,PlotNumber,0),MATCH(N$3,PlotTitles,0))),"",(DATEVALUE(INDEX(PlotData,MATCH($A39,PlotNumber,0),MATCH(N$3,PlotTitles,0))&amp;INDEX(PlotData,MATCH($A39,PlotNumber,0),MATCH(O$3,PlotTitles,0))))&lt;(DATEVALUE(INDEX(PlotData,MATCH($A39,PlotNumber,0),MATCH(I$3,PlotTitles,0))&amp;INDEX(PlotData,MATCH($A39,PlotNumber,0),MATCH(J$3,PlotTitles,0)))),$AB$20,TRUE,"")</f>
        <v/>
      </c>
      <c r="R39" s="104" t="str" cm="1">
        <f t="array" ref="R39">_xlfn.IFS(OR(ISBLANK(StartDateMonth),ISBLANK(StartDateYear)),"",AND(A39&gt;NumberOfPlots,ISBLANK(INDEX(PlotData,MATCH($A39,PlotNumber,0),MATCH(B$3,PlotTitles,0)))),"",ISBLANK(INDEX(PlotData,MATCH($A39,PlotNumber,0),MATCH(N$3,PlotTitles,0))),"",CompletionMonth="","",(DATEVALUE(INDEX(PlotData,MATCH($A39,PlotNumber,0),MATCH(N$3,PlotTitles,0))&amp;INDEX(PlotData,MATCH($A39,PlotNumber,0),MATCH(O$3,PlotTitles,0))))&gt;(DATEVALUE(CompletionMonth&amp;CompletionYear)),$AB$21,TRUE,"")</f>
        <v/>
      </c>
      <c r="S39" s="104" t="str" cm="1">
        <f t="array" ref="S39">_xlfn.IFS(AND(A39&gt;NumberOfPlots,ISBLANK(INDEX(PlotData,MATCH($A39,PlotNumber,0),MATCH(B$3,PlotTitles,0)))),"",OR(AND(INDEX(PlotData,MATCH($A39,PlotNumber,0),MATCH("Tenure",PlotTitles,0))="Open market housing",INDEX(PlotData,MATCH($A39,PlotNumber,0),MATCH("Tenure detail",PlotTitles,0))="Private rented sector"),INDEX(PlotData,MATCH($A39,PlotNumber,0),MATCH("Tenure",PlotTitles,0))="Affordable rent"),"",ISNUMBER(INDEX(PlotData,MATCH($A39,PlotNumber,0),MATCH(S$3,PlotTitles,0)))=FALSE, $AB$22,TRUE,"")</f>
        <v/>
      </c>
      <c r="T39" s="104" t="str" cm="1">
        <f t="array" ref="T39">_xlfn.IFS(AND(A39&gt;NumberOfPlots,ISBLANK(INDEX(PlotData,MATCH($A39,PlotNumber,0),MATCH(B$3,PlotTitles,0)))),"",OR(AND(INDEX(PlotData,MATCH($A39,PlotNumber,0),MATCH("Tenure",PlotTitles,0))="Open market housing",INDEX(PlotData,MATCH($A39,PlotNumber,0),MATCH("Tenure detail",PlotTitles,0))="Private rented sector"),INDEX(PlotData,MATCH($A39,PlotNumber,0),MATCH("Tenure",PlotTitles,0))="Affordable rent"),"",INDEX(PlotData,MATCH($A39,PlotNumber,0),MATCH(S$3,PlotTitles,0))&lt;10000, $AB$23,TRUE,"")</f>
        <v/>
      </c>
      <c r="U39" s="104" t="str" cm="1">
        <f t="array" ref="U39">_xlfn.IFS(AND(A39&gt;NumberOfPlots,ISBLANK(INDEX(PlotData,MATCH($A39,PlotNumber,0),MATCH(B$3,PlotTitles,0)))),"",NOT(OR(AND(INDEX(PlotData,MATCH($A39,PlotNumber,0),MATCH("Tenure",PlotTitles,0))="Open market housing",INDEX(PlotData,MATCH($A39,PlotNumber,0),MATCH("Tenure detail",PlotTitles,0))="Private rented sector"),INDEX(PlotData,MATCH($A39,PlotNumber,0),MATCH("Tenure",PlotTitles,0))="Affordable rent")),"",NOT(INDEX(PlotData,MATCH($A39,PlotNumber,0),MATCH(S$3,PlotTitles,0))=0), $AB$24,TRUE,"")</f>
        <v/>
      </c>
      <c r="V39" s="114" t="str" cm="1">
        <f t="array" aca="1" ref="V39" ca="1">_xlfn.IFS(ISBLANK(NumberOfPlots),"Enter the number of homes on the 1_SetUp sheet",AND(A39&gt;NumberOfPlots,ISBLANK(INDEX(PlotData,MATCH($A39,PlotNumber,0),MATCH(B$3,PlotTitles,0)))),"No error",NOT(B39=""),B39,NOT(C39=""),C39,NOT(D39=""),D39,NOT(E39=""),E39,NOT(F39=""),F39,NOT(G39=""),G39,NOT(H39=""),H39,NOT(I39=""),I39,NOT(J39=""),J39,NOT(K39=""),K39,NOT(L39=""),L39,NOT(M39=""),M39,NOT(N39=""),N39,NOT(O39=""),O39,NOT(P39=""),P39,NOT(Q39=""),Q39,NOT(R39=""),R39,NOT(S39=""),S39,NOT(T39=""),T39,NOT(U39=""),U39,TRUE,"No error")</f>
        <v>Enter the number of homes on the 1_SetUp sheet</v>
      </c>
      <c r="W39" s="114" t="str">
        <f t="shared" ca="1" si="2"/>
        <v xml:space="preserve">The Borrower has not addressed the following error messages for Home ID 35: </v>
      </c>
      <c r="X39" s="114"/>
      <c r="Y39" s="114"/>
      <c r="Z39" s="114"/>
      <c r="AA39" s="114"/>
      <c r="AB39" s="114"/>
    </row>
    <row r="40" spans="1:28">
      <c r="A40" s="123">
        <v>36</v>
      </c>
      <c r="B40" s="104" t="str" cm="1">
        <f t="array" ref="B40">_xlfn.IFS(AND(A40&gt;NumberOfPlots,ISBLANK(INDEX(PlotData,MATCH($A40,PlotNumber,0),MATCH(B$3,PlotTitles,0)))),"",ISNUMBER(INDEX(PlotData,MATCH($A40,PlotNumber,0),MATCH(B$3,PlotTitles,0)))=FALSE, $AB$5,TRUE,"")</f>
        <v/>
      </c>
      <c r="C40" s="104" t="str" cm="1">
        <f t="array" ref="C40">_xlfn.IFS(AND(A40&gt;NumberOfPlots,ISBLANK(INDEX(PlotData,MATCH($A40,PlotNumber,0),MATCH(B$3,PlotTitles,0)))),"",ISBLANK(INDEX(PlotData,MATCH($A40,PlotNumber,0),MATCH(C$3,PlotTitles,0))),$AB$6,TRUE,"")</f>
        <v/>
      </c>
      <c r="D40" s="104" t="str" cm="1">
        <f t="array" ref="D40">_xlfn.IFS(AND(A40&gt;NumberOfPlots,ISBLANK(INDEX(PlotData,MATCH($A40,PlotNumber,0),MATCH(B$3,PlotTitles,0)))),"",ISBLANK(INDEX(PlotData,MATCH($A40,PlotNumber,0),MATCH(D$3,PlotTitles,0))),$AB$7,TRUE,"")</f>
        <v/>
      </c>
      <c r="E40" s="104" t="str" cm="1">
        <f t="array" ref="E40">_xlfn.IFS(AND(A40&gt;NumberOfPlots,ISBLANK(INDEX(PlotData,MATCH($A40,PlotNumber,0),MATCH(B$3,PlotTitles,0)))),"",ISBLANK(INDEX(PlotData,MATCH($A40,PlotNumber,0),MATCH(E$3,PlotTitles,0))),$AB$8,TRUE,"")</f>
        <v/>
      </c>
      <c r="F40" s="104" t="str" cm="1">
        <f t="array" ref="F40">_xlfn.IFS(AND(A40&gt;NumberOfPlots,ISBLANK(INDEX(PlotData,MATCH($A40,PlotNumber,0),MATCH(B$3,PlotTitles,0)))),"",ISBLANK(INDEX(PlotData,MATCH($A40,PlotNumber,0),MATCH(F$3,PlotTitles,0))),$AB$9,TRUE,"")</f>
        <v/>
      </c>
      <c r="G40" s="104" t="str" cm="1">
        <f t="array" ref="G40">_xlfn.IFS(AND(A40&gt;NumberOfPlots,ISBLANK(INDEX(PlotData,MATCH($A40,PlotNumber,0),MATCH(B$3,PlotTitles,0)))),"",ISBLANK(INDEX(PlotData,MATCH($A40,PlotNumber,0),MATCH(G$3,PlotTitles,0))),$AB$10,TRUE,"")</f>
        <v/>
      </c>
      <c r="H40" s="104" t="str" cm="1">
        <f t="array" ref="H40">_xlfn.IFS(AND(A40&gt;NumberOfPlots,ISBLANK(INDEX(PlotData,MATCH($A40,PlotNumber,0),MATCH(B$3,PlotTitles,0)))),"",AND(ISBLANK(INDEX(PlotData,MATCH($A40,PlotNumber,0),MATCH(H$3,PlotTitles,0)))=FALSE,INDEX(PlotData,MATCH($A40,PlotNumber,0),MATCH(H$3,PlotTitles,0))&lt;500), $AB$11,TRUE,"")</f>
        <v/>
      </c>
      <c r="I40" s="104" t="str" cm="1">
        <f t="array" ref="I40">_xlfn.IFS(AND(A40&gt;NumberOfPlots,ISBLANK(INDEX(PlotData,MATCH($A40,PlotNumber,0),MATCH(B$3,PlotTitles,0)))),"",ISBLANK(INDEX(PlotData,MATCH($A40,PlotNumber,0),MATCH(I$3,PlotTitles,0))),$AB$12,TRUE,"")</f>
        <v/>
      </c>
      <c r="J40" s="104" t="str" cm="1">
        <f t="array" ref="J40">_xlfn.IFS(AND(A40&gt;NumberOfPlots,ISBLANK(INDEX(PlotData,MATCH($A40,PlotNumber,0),MATCH(B$3,PlotTitles,0)))),"",ISBLANK(INDEX(PlotData,MATCH($A40,PlotNumber,0),MATCH(J$3,PlotTitles,0))),$AB$13,TRUE,"")</f>
        <v/>
      </c>
      <c r="K40" s="182" t="str">
        <f t="shared" ca="1" si="0"/>
        <v/>
      </c>
      <c r="L40" s="104" t="str" cm="1">
        <f t="array" ref="L40">_xlfn.IFS(OR(ISBLANK(StartDateMonth),ISBLANK(StartDateYear)),"",AND(A40&gt;NumberOfPlots,ISBLANK(INDEX(PlotData,MATCH($A40,PlotNumber,0),MATCH(B$3,PlotTitles,0)))),"",ISBLANK(INDEX(PlotData,MATCH($A40,PlotNumber,0),MATCH(I$3,PlotTitles,0))),"",(DATEVALUE(INDEX(PlotData,MATCH($A40,PlotNumber,0),MATCH(I$3,PlotTitles,0))&amp;INDEX(PlotData,MATCH($A40,PlotNumber,0),MATCH(J$3,PlotTitles,0))))&lt;DATEVALUE(StartDateMonth&amp;StartDateYear),$AB$15,TRUE,"")</f>
        <v/>
      </c>
      <c r="M40" s="104" t="str" cm="1">
        <f t="array" ref="M40">_xlfn.IFS(OR(ISBLANK(StartDateMonth),ISBLANK(StartDateYear)),"",AND(A40&gt;NumberOfPlots,ISBLANK(INDEX(PlotData,MATCH($A40,PlotNumber,0),MATCH(B$3,PlotTitles,0)))),"",ISBLANK(INDEX(PlotData,MATCH($A40,PlotNumber,0),MATCH(I$3,PlotTitles,0))),"",CompletionMonth="","",(DATEVALUE(INDEX(PlotData,MATCH($A40,PlotNumber,0),MATCH(I$3,PlotTitles,0))&amp;INDEX(PlotData,MATCH($A40,PlotNumber,0),MATCH(J$3,PlotTitles,0))))&gt;(DATEVALUE(CompletionMonth&amp;CompletionYear)),$AB$16,TRUE,"")</f>
        <v/>
      </c>
      <c r="N40" s="104" t="str" cm="1">
        <f t="array" ref="N40">_xlfn.IFS(AND(A40&gt;NumberOfPlots,ISBLANK(INDEX(PlotData,MATCH($A40,PlotNumber,0),MATCH(B$3,PlotTitles,0)))),"",ISBLANK(INDEX(PlotData,MATCH($A40,PlotNumber,0),MATCH(N$3,PlotTitles,0))),$AB$17,TRUE,"")</f>
        <v/>
      </c>
      <c r="O40" s="104" t="str" cm="1">
        <f t="array" ref="O40">_xlfn.IFS(AND(A40&gt;NumberOfPlots,ISBLANK(INDEX(PlotData,MATCH($A40,PlotNumber,0),MATCH(B$3,PlotTitles,0)))),"",ISBLANK(INDEX(PlotData,MATCH($A40,PlotNumber,0),MATCH(O$3,PlotTitles,0))),$AB$18,TRUE,"")</f>
        <v/>
      </c>
      <c r="P40" s="182" t="str">
        <f t="shared" ca="1" si="1"/>
        <v/>
      </c>
      <c r="Q40" s="104" t="str" cm="1">
        <f t="array" ref="Q40">_xlfn.IFS(AND(A40&gt;NumberOfPlots,ISBLANK(INDEX(PlotData,MATCH($A40,PlotNumber,0),MATCH(B$3,PlotTitles,0)))),"",ISBLANK(INDEX(PlotData,MATCH($A40,PlotNumber,0),MATCH(N$3,PlotTitles,0))),"",(DATEVALUE(INDEX(PlotData,MATCH($A40,PlotNumber,0),MATCH(N$3,PlotTitles,0))&amp;INDEX(PlotData,MATCH($A40,PlotNumber,0),MATCH(O$3,PlotTitles,0))))&lt;(DATEVALUE(INDEX(PlotData,MATCH($A40,PlotNumber,0),MATCH(I$3,PlotTitles,0))&amp;INDEX(PlotData,MATCH($A40,PlotNumber,0),MATCH(J$3,PlotTitles,0)))),$AB$20,TRUE,"")</f>
        <v/>
      </c>
      <c r="R40" s="104" t="str" cm="1">
        <f t="array" ref="R40">_xlfn.IFS(OR(ISBLANK(StartDateMonth),ISBLANK(StartDateYear)),"",AND(A40&gt;NumberOfPlots,ISBLANK(INDEX(PlotData,MATCH($A40,PlotNumber,0),MATCH(B$3,PlotTitles,0)))),"",ISBLANK(INDEX(PlotData,MATCH($A40,PlotNumber,0),MATCH(N$3,PlotTitles,0))),"",CompletionMonth="","",(DATEVALUE(INDEX(PlotData,MATCH($A40,PlotNumber,0),MATCH(N$3,PlotTitles,0))&amp;INDEX(PlotData,MATCH($A40,PlotNumber,0),MATCH(O$3,PlotTitles,0))))&gt;(DATEVALUE(CompletionMonth&amp;CompletionYear)),$AB$21,TRUE,"")</f>
        <v/>
      </c>
      <c r="S40" s="104" t="str" cm="1">
        <f t="array" ref="S40">_xlfn.IFS(AND(A40&gt;NumberOfPlots,ISBLANK(INDEX(PlotData,MATCH($A40,PlotNumber,0),MATCH(B$3,PlotTitles,0)))),"",OR(AND(INDEX(PlotData,MATCH($A40,PlotNumber,0),MATCH("Tenure",PlotTitles,0))="Open market housing",INDEX(PlotData,MATCH($A40,PlotNumber,0),MATCH("Tenure detail",PlotTitles,0))="Private rented sector"),INDEX(PlotData,MATCH($A40,PlotNumber,0),MATCH("Tenure",PlotTitles,0))="Affordable rent"),"",ISNUMBER(INDEX(PlotData,MATCH($A40,PlotNumber,0),MATCH(S$3,PlotTitles,0)))=FALSE, $AB$22,TRUE,"")</f>
        <v/>
      </c>
      <c r="T40" s="104" t="str" cm="1">
        <f t="array" ref="T40">_xlfn.IFS(AND(A40&gt;NumberOfPlots,ISBLANK(INDEX(PlotData,MATCH($A40,PlotNumber,0),MATCH(B$3,PlotTitles,0)))),"",OR(AND(INDEX(PlotData,MATCH($A40,PlotNumber,0),MATCH("Tenure",PlotTitles,0))="Open market housing",INDEX(PlotData,MATCH($A40,PlotNumber,0),MATCH("Tenure detail",PlotTitles,0))="Private rented sector"),INDEX(PlotData,MATCH($A40,PlotNumber,0),MATCH("Tenure",PlotTitles,0))="Affordable rent"),"",INDEX(PlotData,MATCH($A40,PlotNumber,0),MATCH(S$3,PlotTitles,0))&lt;10000, $AB$23,TRUE,"")</f>
        <v/>
      </c>
      <c r="U40" s="104" t="str" cm="1">
        <f t="array" ref="U40">_xlfn.IFS(AND(A40&gt;NumberOfPlots,ISBLANK(INDEX(PlotData,MATCH($A40,PlotNumber,0),MATCH(B$3,PlotTitles,0)))),"",NOT(OR(AND(INDEX(PlotData,MATCH($A40,PlotNumber,0),MATCH("Tenure",PlotTitles,0))="Open market housing",INDEX(PlotData,MATCH($A40,PlotNumber,0),MATCH("Tenure detail",PlotTitles,0))="Private rented sector"),INDEX(PlotData,MATCH($A40,PlotNumber,0),MATCH("Tenure",PlotTitles,0))="Affordable rent")),"",NOT(INDEX(PlotData,MATCH($A40,PlotNumber,0),MATCH(S$3,PlotTitles,0))=0), $AB$24,TRUE,"")</f>
        <v/>
      </c>
      <c r="V40" s="114" t="str" cm="1">
        <f t="array" aca="1" ref="V40" ca="1">_xlfn.IFS(ISBLANK(NumberOfPlots),"Enter the number of homes on the 1_SetUp sheet",AND(A40&gt;NumberOfPlots,ISBLANK(INDEX(PlotData,MATCH($A40,PlotNumber,0),MATCH(B$3,PlotTitles,0)))),"No error",NOT(B40=""),B40,NOT(C40=""),C40,NOT(D40=""),D40,NOT(E40=""),E40,NOT(F40=""),F40,NOT(G40=""),G40,NOT(H40=""),H40,NOT(I40=""),I40,NOT(J40=""),J40,NOT(K40=""),K40,NOT(L40=""),L40,NOT(M40=""),M40,NOT(N40=""),N40,NOT(O40=""),O40,NOT(P40=""),P40,NOT(Q40=""),Q40,NOT(R40=""),R40,NOT(S40=""),S40,NOT(T40=""),T40,NOT(U40=""),U40,TRUE,"No error")</f>
        <v>Enter the number of homes on the 1_SetUp sheet</v>
      </c>
      <c r="W40" s="114" t="str">
        <f t="shared" ca="1" si="2"/>
        <v xml:space="preserve">The Borrower has not addressed the following error messages for Home ID 36: </v>
      </c>
      <c r="X40" s="114"/>
      <c r="Y40" s="114"/>
      <c r="Z40" s="114"/>
      <c r="AA40" s="114"/>
      <c r="AB40" s="114"/>
    </row>
    <row r="41" spans="1:28">
      <c r="A41" s="123">
        <v>37</v>
      </c>
      <c r="B41" s="104" t="str" cm="1">
        <f t="array" ref="B41">_xlfn.IFS(AND(A41&gt;NumberOfPlots,ISBLANK(INDEX(PlotData,MATCH($A41,PlotNumber,0),MATCH(B$3,PlotTitles,0)))),"",ISNUMBER(INDEX(PlotData,MATCH($A41,PlotNumber,0),MATCH(B$3,PlotTitles,0)))=FALSE, $AB$5,TRUE,"")</f>
        <v/>
      </c>
      <c r="C41" s="104" t="str" cm="1">
        <f t="array" ref="C41">_xlfn.IFS(AND(A41&gt;NumberOfPlots,ISBLANK(INDEX(PlotData,MATCH($A41,PlotNumber,0),MATCH(B$3,PlotTitles,0)))),"",ISBLANK(INDEX(PlotData,MATCH($A41,PlotNumber,0),MATCH(C$3,PlotTitles,0))),$AB$6,TRUE,"")</f>
        <v/>
      </c>
      <c r="D41" s="104" t="str" cm="1">
        <f t="array" ref="D41">_xlfn.IFS(AND(A41&gt;NumberOfPlots,ISBLANK(INDEX(PlotData,MATCH($A41,PlotNumber,0),MATCH(B$3,PlotTitles,0)))),"",ISBLANK(INDEX(PlotData,MATCH($A41,PlotNumber,0),MATCH(D$3,PlotTitles,0))),$AB$7,TRUE,"")</f>
        <v/>
      </c>
      <c r="E41" s="104" t="str" cm="1">
        <f t="array" ref="E41">_xlfn.IFS(AND(A41&gt;NumberOfPlots,ISBLANK(INDEX(PlotData,MATCH($A41,PlotNumber,0),MATCH(B$3,PlotTitles,0)))),"",ISBLANK(INDEX(PlotData,MATCH($A41,PlotNumber,0),MATCH(E$3,PlotTitles,0))),$AB$8,TRUE,"")</f>
        <v/>
      </c>
      <c r="F41" s="104" t="str" cm="1">
        <f t="array" ref="F41">_xlfn.IFS(AND(A41&gt;NumberOfPlots,ISBLANK(INDEX(PlotData,MATCH($A41,PlotNumber,0),MATCH(B$3,PlotTitles,0)))),"",ISBLANK(INDEX(PlotData,MATCH($A41,PlotNumber,0),MATCH(F$3,PlotTitles,0))),$AB$9,TRUE,"")</f>
        <v/>
      </c>
      <c r="G41" s="104" t="str" cm="1">
        <f t="array" ref="G41">_xlfn.IFS(AND(A41&gt;NumberOfPlots,ISBLANK(INDEX(PlotData,MATCH($A41,PlotNumber,0),MATCH(B$3,PlotTitles,0)))),"",ISBLANK(INDEX(PlotData,MATCH($A41,PlotNumber,0),MATCH(G$3,PlotTitles,0))),$AB$10,TRUE,"")</f>
        <v/>
      </c>
      <c r="H41" s="104" t="str" cm="1">
        <f t="array" ref="H41">_xlfn.IFS(AND(A41&gt;NumberOfPlots,ISBLANK(INDEX(PlotData,MATCH($A41,PlotNumber,0),MATCH(B$3,PlotTitles,0)))),"",AND(ISBLANK(INDEX(PlotData,MATCH($A41,PlotNumber,0),MATCH(H$3,PlotTitles,0)))=FALSE,INDEX(PlotData,MATCH($A41,PlotNumber,0),MATCH(H$3,PlotTitles,0))&lt;500), $AB$11,TRUE,"")</f>
        <v/>
      </c>
      <c r="I41" s="104" t="str" cm="1">
        <f t="array" ref="I41">_xlfn.IFS(AND(A41&gt;NumberOfPlots,ISBLANK(INDEX(PlotData,MATCH($A41,PlotNumber,0),MATCH(B$3,PlotTitles,0)))),"",ISBLANK(INDEX(PlotData,MATCH($A41,PlotNumber,0),MATCH(I$3,PlotTitles,0))),$AB$12,TRUE,"")</f>
        <v/>
      </c>
      <c r="J41" s="104" t="str" cm="1">
        <f t="array" ref="J41">_xlfn.IFS(AND(A41&gt;NumberOfPlots,ISBLANK(INDEX(PlotData,MATCH($A41,PlotNumber,0),MATCH(B$3,PlotTitles,0)))),"",ISBLANK(INDEX(PlotData,MATCH($A41,PlotNumber,0),MATCH(J$3,PlotTitles,0))),$AB$13,TRUE,"")</f>
        <v/>
      </c>
      <c r="K41" s="182" t="str">
        <f t="shared" ca="1" si="0"/>
        <v/>
      </c>
      <c r="L41" s="104" t="str" cm="1">
        <f t="array" ref="L41">_xlfn.IFS(OR(ISBLANK(StartDateMonth),ISBLANK(StartDateYear)),"",AND(A41&gt;NumberOfPlots,ISBLANK(INDEX(PlotData,MATCH($A41,PlotNumber,0),MATCH(B$3,PlotTitles,0)))),"",ISBLANK(INDEX(PlotData,MATCH($A41,PlotNumber,0),MATCH(I$3,PlotTitles,0))),"",(DATEVALUE(INDEX(PlotData,MATCH($A41,PlotNumber,0),MATCH(I$3,PlotTitles,0))&amp;INDEX(PlotData,MATCH($A41,PlotNumber,0),MATCH(J$3,PlotTitles,0))))&lt;DATEVALUE(StartDateMonth&amp;StartDateYear),$AB$15,TRUE,"")</f>
        <v/>
      </c>
      <c r="M41" s="104" t="str" cm="1">
        <f t="array" ref="M41">_xlfn.IFS(OR(ISBLANK(StartDateMonth),ISBLANK(StartDateYear)),"",AND(A41&gt;NumberOfPlots,ISBLANK(INDEX(PlotData,MATCH($A41,PlotNumber,0),MATCH(B$3,PlotTitles,0)))),"",ISBLANK(INDEX(PlotData,MATCH($A41,PlotNumber,0),MATCH(I$3,PlotTitles,0))),"",CompletionMonth="","",(DATEVALUE(INDEX(PlotData,MATCH($A41,PlotNumber,0),MATCH(I$3,PlotTitles,0))&amp;INDEX(PlotData,MATCH($A41,PlotNumber,0),MATCH(J$3,PlotTitles,0))))&gt;(DATEVALUE(CompletionMonth&amp;CompletionYear)),$AB$16,TRUE,"")</f>
        <v/>
      </c>
      <c r="N41" s="104" t="str" cm="1">
        <f t="array" ref="N41">_xlfn.IFS(AND(A41&gt;NumberOfPlots,ISBLANK(INDEX(PlotData,MATCH($A41,PlotNumber,0),MATCH(B$3,PlotTitles,0)))),"",ISBLANK(INDEX(PlotData,MATCH($A41,PlotNumber,0),MATCH(N$3,PlotTitles,0))),$AB$17,TRUE,"")</f>
        <v/>
      </c>
      <c r="O41" s="104" t="str" cm="1">
        <f t="array" ref="O41">_xlfn.IFS(AND(A41&gt;NumberOfPlots,ISBLANK(INDEX(PlotData,MATCH($A41,PlotNumber,0),MATCH(B$3,PlotTitles,0)))),"",ISBLANK(INDEX(PlotData,MATCH($A41,PlotNumber,0),MATCH(O$3,PlotTitles,0))),$AB$18,TRUE,"")</f>
        <v/>
      </c>
      <c r="P41" s="182" t="str">
        <f t="shared" ca="1" si="1"/>
        <v/>
      </c>
      <c r="Q41" s="104" t="str" cm="1">
        <f t="array" ref="Q41">_xlfn.IFS(AND(A41&gt;NumberOfPlots,ISBLANK(INDEX(PlotData,MATCH($A41,PlotNumber,0),MATCH(B$3,PlotTitles,0)))),"",ISBLANK(INDEX(PlotData,MATCH($A41,PlotNumber,0),MATCH(N$3,PlotTitles,0))),"",(DATEVALUE(INDEX(PlotData,MATCH($A41,PlotNumber,0),MATCH(N$3,PlotTitles,0))&amp;INDEX(PlotData,MATCH($A41,PlotNumber,0),MATCH(O$3,PlotTitles,0))))&lt;(DATEVALUE(INDEX(PlotData,MATCH($A41,PlotNumber,0),MATCH(I$3,PlotTitles,0))&amp;INDEX(PlotData,MATCH($A41,PlotNumber,0),MATCH(J$3,PlotTitles,0)))),$AB$20,TRUE,"")</f>
        <v/>
      </c>
      <c r="R41" s="104" t="str" cm="1">
        <f t="array" ref="R41">_xlfn.IFS(OR(ISBLANK(StartDateMonth),ISBLANK(StartDateYear)),"",AND(A41&gt;NumberOfPlots,ISBLANK(INDEX(PlotData,MATCH($A41,PlotNumber,0),MATCH(B$3,PlotTitles,0)))),"",ISBLANK(INDEX(PlotData,MATCH($A41,PlotNumber,0),MATCH(N$3,PlotTitles,0))),"",CompletionMonth="","",(DATEVALUE(INDEX(PlotData,MATCH($A41,PlotNumber,0),MATCH(N$3,PlotTitles,0))&amp;INDEX(PlotData,MATCH($A41,PlotNumber,0),MATCH(O$3,PlotTitles,0))))&gt;(DATEVALUE(CompletionMonth&amp;CompletionYear)),$AB$21,TRUE,"")</f>
        <v/>
      </c>
      <c r="S41" s="104" t="str" cm="1">
        <f t="array" ref="S41">_xlfn.IFS(AND(A41&gt;NumberOfPlots,ISBLANK(INDEX(PlotData,MATCH($A41,PlotNumber,0),MATCH(B$3,PlotTitles,0)))),"",OR(AND(INDEX(PlotData,MATCH($A41,PlotNumber,0),MATCH("Tenure",PlotTitles,0))="Open market housing",INDEX(PlotData,MATCH($A41,PlotNumber,0),MATCH("Tenure detail",PlotTitles,0))="Private rented sector"),INDEX(PlotData,MATCH($A41,PlotNumber,0),MATCH("Tenure",PlotTitles,0))="Affordable rent"),"",ISNUMBER(INDEX(PlotData,MATCH($A41,PlotNumber,0),MATCH(S$3,PlotTitles,0)))=FALSE, $AB$22,TRUE,"")</f>
        <v/>
      </c>
      <c r="T41" s="104" t="str" cm="1">
        <f t="array" ref="T41">_xlfn.IFS(AND(A41&gt;NumberOfPlots,ISBLANK(INDEX(PlotData,MATCH($A41,PlotNumber,0),MATCH(B$3,PlotTitles,0)))),"",OR(AND(INDEX(PlotData,MATCH($A41,PlotNumber,0),MATCH("Tenure",PlotTitles,0))="Open market housing",INDEX(PlotData,MATCH($A41,PlotNumber,0),MATCH("Tenure detail",PlotTitles,0))="Private rented sector"),INDEX(PlotData,MATCH($A41,PlotNumber,0),MATCH("Tenure",PlotTitles,0))="Affordable rent"),"",INDEX(PlotData,MATCH($A41,PlotNumber,0),MATCH(S$3,PlotTitles,0))&lt;10000, $AB$23,TRUE,"")</f>
        <v/>
      </c>
      <c r="U41" s="104" t="str" cm="1">
        <f t="array" ref="U41">_xlfn.IFS(AND(A41&gt;NumberOfPlots,ISBLANK(INDEX(PlotData,MATCH($A41,PlotNumber,0),MATCH(B$3,PlotTitles,0)))),"",NOT(OR(AND(INDEX(PlotData,MATCH($A41,PlotNumber,0),MATCH("Tenure",PlotTitles,0))="Open market housing",INDEX(PlotData,MATCH($A41,PlotNumber,0),MATCH("Tenure detail",PlotTitles,0))="Private rented sector"),INDEX(PlotData,MATCH($A41,PlotNumber,0),MATCH("Tenure",PlotTitles,0))="Affordable rent")),"",NOT(INDEX(PlotData,MATCH($A41,PlotNumber,0),MATCH(S$3,PlotTitles,0))=0), $AB$24,TRUE,"")</f>
        <v/>
      </c>
      <c r="V41" s="114" t="str" cm="1">
        <f t="array" aca="1" ref="V41" ca="1">_xlfn.IFS(ISBLANK(NumberOfPlots),"Enter the number of homes on the 1_SetUp sheet",AND(A41&gt;NumberOfPlots,ISBLANK(INDEX(PlotData,MATCH($A41,PlotNumber,0),MATCH(B$3,PlotTitles,0)))),"No error",NOT(B41=""),B41,NOT(C41=""),C41,NOT(D41=""),D41,NOT(E41=""),E41,NOT(F41=""),F41,NOT(G41=""),G41,NOT(H41=""),H41,NOT(I41=""),I41,NOT(J41=""),J41,NOT(K41=""),K41,NOT(L41=""),L41,NOT(M41=""),M41,NOT(N41=""),N41,NOT(O41=""),O41,NOT(P41=""),P41,NOT(Q41=""),Q41,NOT(R41=""),R41,NOT(S41=""),S41,NOT(T41=""),T41,NOT(U41=""),U41,TRUE,"No error")</f>
        <v>Enter the number of homes on the 1_SetUp sheet</v>
      </c>
      <c r="W41" s="114" t="str">
        <f t="shared" ca="1" si="2"/>
        <v xml:space="preserve">The Borrower has not addressed the following error messages for Home ID 37: </v>
      </c>
      <c r="X41" s="114"/>
      <c r="Y41" s="114"/>
      <c r="Z41" s="114"/>
      <c r="AA41" s="114"/>
      <c r="AB41" s="114"/>
    </row>
    <row r="42" spans="1:28">
      <c r="A42" s="123">
        <v>38</v>
      </c>
      <c r="B42" s="104" t="str" cm="1">
        <f t="array" ref="B42">_xlfn.IFS(AND(A42&gt;NumberOfPlots,ISBLANK(INDEX(PlotData,MATCH($A42,PlotNumber,0),MATCH(B$3,PlotTitles,0)))),"",ISNUMBER(INDEX(PlotData,MATCH($A42,PlotNumber,0),MATCH(B$3,PlotTitles,0)))=FALSE, $AB$5,TRUE,"")</f>
        <v/>
      </c>
      <c r="C42" s="104" t="str" cm="1">
        <f t="array" ref="C42">_xlfn.IFS(AND(A42&gt;NumberOfPlots,ISBLANK(INDEX(PlotData,MATCH($A42,PlotNumber,0),MATCH(B$3,PlotTitles,0)))),"",ISBLANK(INDEX(PlotData,MATCH($A42,PlotNumber,0),MATCH(C$3,PlotTitles,0))),$AB$6,TRUE,"")</f>
        <v/>
      </c>
      <c r="D42" s="104" t="str" cm="1">
        <f t="array" ref="D42">_xlfn.IFS(AND(A42&gt;NumberOfPlots,ISBLANK(INDEX(PlotData,MATCH($A42,PlotNumber,0),MATCH(B$3,PlotTitles,0)))),"",ISBLANK(INDEX(PlotData,MATCH($A42,PlotNumber,0),MATCH(D$3,PlotTitles,0))),$AB$7,TRUE,"")</f>
        <v/>
      </c>
      <c r="E42" s="104" t="str" cm="1">
        <f t="array" ref="E42">_xlfn.IFS(AND(A42&gt;NumberOfPlots,ISBLANK(INDEX(PlotData,MATCH($A42,PlotNumber,0),MATCH(B$3,PlotTitles,0)))),"",ISBLANK(INDEX(PlotData,MATCH($A42,PlotNumber,0),MATCH(E$3,PlotTitles,0))),$AB$8,TRUE,"")</f>
        <v/>
      </c>
      <c r="F42" s="104" t="str" cm="1">
        <f t="array" ref="F42">_xlfn.IFS(AND(A42&gt;NumberOfPlots,ISBLANK(INDEX(PlotData,MATCH($A42,PlotNumber,0),MATCH(B$3,PlotTitles,0)))),"",ISBLANK(INDEX(PlotData,MATCH($A42,PlotNumber,0),MATCH(F$3,PlotTitles,0))),$AB$9,TRUE,"")</f>
        <v/>
      </c>
      <c r="G42" s="104" t="str" cm="1">
        <f t="array" ref="G42">_xlfn.IFS(AND(A42&gt;NumberOfPlots,ISBLANK(INDEX(PlotData,MATCH($A42,PlotNumber,0),MATCH(B$3,PlotTitles,0)))),"",ISBLANK(INDEX(PlotData,MATCH($A42,PlotNumber,0),MATCH(G$3,PlotTitles,0))),$AB$10,TRUE,"")</f>
        <v/>
      </c>
      <c r="H42" s="104" t="str" cm="1">
        <f t="array" ref="H42">_xlfn.IFS(AND(A42&gt;NumberOfPlots,ISBLANK(INDEX(PlotData,MATCH($A42,PlotNumber,0),MATCH(B$3,PlotTitles,0)))),"",AND(ISBLANK(INDEX(PlotData,MATCH($A42,PlotNumber,0),MATCH(H$3,PlotTitles,0)))=FALSE,INDEX(PlotData,MATCH($A42,PlotNumber,0),MATCH(H$3,PlotTitles,0))&lt;500), $AB$11,TRUE,"")</f>
        <v/>
      </c>
      <c r="I42" s="104" t="str" cm="1">
        <f t="array" ref="I42">_xlfn.IFS(AND(A42&gt;NumberOfPlots,ISBLANK(INDEX(PlotData,MATCH($A42,PlotNumber,0),MATCH(B$3,PlotTitles,0)))),"",ISBLANK(INDEX(PlotData,MATCH($A42,PlotNumber,0),MATCH(I$3,PlotTitles,0))),$AB$12,TRUE,"")</f>
        <v/>
      </c>
      <c r="J42" s="104" t="str" cm="1">
        <f t="array" ref="J42">_xlfn.IFS(AND(A42&gt;NumberOfPlots,ISBLANK(INDEX(PlotData,MATCH($A42,PlotNumber,0),MATCH(B$3,PlotTitles,0)))),"",ISBLANK(INDEX(PlotData,MATCH($A42,PlotNumber,0),MATCH(J$3,PlotTitles,0))),$AB$13,TRUE,"")</f>
        <v/>
      </c>
      <c r="K42" s="182" t="str">
        <f t="shared" ca="1" si="0"/>
        <v/>
      </c>
      <c r="L42" s="104" t="str" cm="1">
        <f t="array" ref="L42">_xlfn.IFS(OR(ISBLANK(StartDateMonth),ISBLANK(StartDateYear)),"",AND(A42&gt;NumberOfPlots,ISBLANK(INDEX(PlotData,MATCH($A42,PlotNumber,0),MATCH(B$3,PlotTitles,0)))),"",ISBLANK(INDEX(PlotData,MATCH($A42,PlotNumber,0),MATCH(I$3,PlotTitles,0))),"",(DATEVALUE(INDEX(PlotData,MATCH($A42,PlotNumber,0),MATCH(I$3,PlotTitles,0))&amp;INDEX(PlotData,MATCH($A42,PlotNumber,0),MATCH(J$3,PlotTitles,0))))&lt;DATEVALUE(StartDateMonth&amp;StartDateYear),$AB$15,TRUE,"")</f>
        <v/>
      </c>
      <c r="M42" s="104" t="str" cm="1">
        <f t="array" ref="M42">_xlfn.IFS(OR(ISBLANK(StartDateMonth),ISBLANK(StartDateYear)),"",AND(A42&gt;NumberOfPlots,ISBLANK(INDEX(PlotData,MATCH($A42,PlotNumber,0),MATCH(B$3,PlotTitles,0)))),"",ISBLANK(INDEX(PlotData,MATCH($A42,PlotNumber,0),MATCH(I$3,PlotTitles,0))),"",CompletionMonth="","",(DATEVALUE(INDEX(PlotData,MATCH($A42,PlotNumber,0),MATCH(I$3,PlotTitles,0))&amp;INDEX(PlotData,MATCH($A42,PlotNumber,0),MATCH(J$3,PlotTitles,0))))&gt;(DATEVALUE(CompletionMonth&amp;CompletionYear)),$AB$16,TRUE,"")</f>
        <v/>
      </c>
      <c r="N42" s="104" t="str" cm="1">
        <f t="array" ref="N42">_xlfn.IFS(AND(A42&gt;NumberOfPlots,ISBLANK(INDEX(PlotData,MATCH($A42,PlotNumber,0),MATCH(B$3,PlotTitles,0)))),"",ISBLANK(INDEX(PlotData,MATCH($A42,PlotNumber,0),MATCH(N$3,PlotTitles,0))),$AB$17,TRUE,"")</f>
        <v/>
      </c>
      <c r="O42" s="104" t="str" cm="1">
        <f t="array" ref="O42">_xlfn.IFS(AND(A42&gt;NumberOfPlots,ISBLANK(INDEX(PlotData,MATCH($A42,PlotNumber,0),MATCH(B$3,PlotTitles,0)))),"",ISBLANK(INDEX(PlotData,MATCH($A42,PlotNumber,0),MATCH(O$3,PlotTitles,0))),$AB$18,TRUE,"")</f>
        <v/>
      </c>
      <c r="P42" s="182" t="str">
        <f t="shared" ca="1" si="1"/>
        <v/>
      </c>
      <c r="Q42" s="104" t="str" cm="1">
        <f t="array" ref="Q42">_xlfn.IFS(AND(A42&gt;NumberOfPlots,ISBLANK(INDEX(PlotData,MATCH($A42,PlotNumber,0),MATCH(B$3,PlotTitles,0)))),"",ISBLANK(INDEX(PlotData,MATCH($A42,PlotNumber,0),MATCH(N$3,PlotTitles,0))),"",(DATEVALUE(INDEX(PlotData,MATCH($A42,PlotNumber,0),MATCH(N$3,PlotTitles,0))&amp;INDEX(PlotData,MATCH($A42,PlotNumber,0),MATCH(O$3,PlotTitles,0))))&lt;(DATEVALUE(INDEX(PlotData,MATCH($A42,PlotNumber,0),MATCH(I$3,PlotTitles,0))&amp;INDEX(PlotData,MATCH($A42,PlotNumber,0),MATCH(J$3,PlotTitles,0)))),$AB$20,TRUE,"")</f>
        <v/>
      </c>
      <c r="R42" s="104" t="str" cm="1">
        <f t="array" ref="R42">_xlfn.IFS(OR(ISBLANK(StartDateMonth),ISBLANK(StartDateYear)),"",AND(A42&gt;NumberOfPlots,ISBLANK(INDEX(PlotData,MATCH($A42,PlotNumber,0),MATCH(B$3,PlotTitles,0)))),"",ISBLANK(INDEX(PlotData,MATCH($A42,PlotNumber,0),MATCH(N$3,PlotTitles,0))),"",CompletionMonth="","",(DATEVALUE(INDEX(PlotData,MATCH($A42,PlotNumber,0),MATCH(N$3,PlotTitles,0))&amp;INDEX(PlotData,MATCH($A42,PlotNumber,0),MATCH(O$3,PlotTitles,0))))&gt;(DATEVALUE(CompletionMonth&amp;CompletionYear)),$AB$21,TRUE,"")</f>
        <v/>
      </c>
      <c r="S42" s="104" t="str" cm="1">
        <f t="array" ref="S42">_xlfn.IFS(AND(A42&gt;NumberOfPlots,ISBLANK(INDEX(PlotData,MATCH($A42,PlotNumber,0),MATCH(B$3,PlotTitles,0)))),"",OR(AND(INDEX(PlotData,MATCH($A42,PlotNumber,0),MATCH("Tenure",PlotTitles,0))="Open market housing",INDEX(PlotData,MATCH($A42,PlotNumber,0),MATCH("Tenure detail",PlotTitles,0))="Private rented sector"),INDEX(PlotData,MATCH($A42,PlotNumber,0),MATCH("Tenure",PlotTitles,0))="Affordable rent"),"",ISNUMBER(INDEX(PlotData,MATCH($A42,PlotNumber,0),MATCH(S$3,PlotTitles,0)))=FALSE, $AB$22,TRUE,"")</f>
        <v/>
      </c>
      <c r="T42" s="104" t="str" cm="1">
        <f t="array" ref="T42">_xlfn.IFS(AND(A42&gt;NumberOfPlots,ISBLANK(INDEX(PlotData,MATCH($A42,PlotNumber,0),MATCH(B$3,PlotTitles,0)))),"",OR(AND(INDEX(PlotData,MATCH($A42,PlotNumber,0),MATCH("Tenure",PlotTitles,0))="Open market housing",INDEX(PlotData,MATCH($A42,PlotNumber,0),MATCH("Tenure detail",PlotTitles,0))="Private rented sector"),INDEX(PlotData,MATCH($A42,PlotNumber,0),MATCH("Tenure",PlotTitles,0))="Affordable rent"),"",INDEX(PlotData,MATCH($A42,PlotNumber,0),MATCH(S$3,PlotTitles,0))&lt;10000, $AB$23,TRUE,"")</f>
        <v/>
      </c>
      <c r="U42" s="104" t="str" cm="1">
        <f t="array" ref="U42">_xlfn.IFS(AND(A42&gt;NumberOfPlots,ISBLANK(INDEX(PlotData,MATCH($A42,PlotNumber,0),MATCH(B$3,PlotTitles,0)))),"",NOT(OR(AND(INDEX(PlotData,MATCH($A42,PlotNumber,0),MATCH("Tenure",PlotTitles,0))="Open market housing",INDEX(PlotData,MATCH($A42,PlotNumber,0),MATCH("Tenure detail",PlotTitles,0))="Private rented sector"),INDEX(PlotData,MATCH($A42,PlotNumber,0),MATCH("Tenure",PlotTitles,0))="Affordable rent")),"",NOT(INDEX(PlotData,MATCH($A42,PlotNumber,0),MATCH(S$3,PlotTitles,0))=0), $AB$24,TRUE,"")</f>
        <v/>
      </c>
      <c r="V42" s="114" t="str" cm="1">
        <f t="array" aca="1" ref="V42" ca="1">_xlfn.IFS(ISBLANK(NumberOfPlots),"Enter the number of homes on the 1_SetUp sheet",AND(A42&gt;NumberOfPlots,ISBLANK(INDEX(PlotData,MATCH($A42,PlotNumber,0),MATCH(B$3,PlotTitles,0)))),"No error",NOT(B42=""),B42,NOT(C42=""),C42,NOT(D42=""),D42,NOT(E42=""),E42,NOT(F42=""),F42,NOT(G42=""),G42,NOT(H42=""),H42,NOT(I42=""),I42,NOT(J42=""),J42,NOT(K42=""),K42,NOT(L42=""),L42,NOT(M42=""),M42,NOT(N42=""),N42,NOT(O42=""),O42,NOT(P42=""),P42,NOT(Q42=""),Q42,NOT(R42=""),R42,NOT(S42=""),S42,NOT(T42=""),T42,NOT(U42=""),U42,TRUE,"No error")</f>
        <v>Enter the number of homes on the 1_SetUp sheet</v>
      </c>
      <c r="W42" s="114" t="str">
        <f t="shared" ca="1" si="2"/>
        <v xml:space="preserve">The Borrower has not addressed the following error messages for Home ID 38: </v>
      </c>
      <c r="X42" s="114"/>
      <c r="Y42" s="114"/>
      <c r="Z42" s="114"/>
      <c r="AA42" s="114"/>
      <c r="AB42" s="114"/>
    </row>
    <row r="43" spans="1:28">
      <c r="A43" s="123">
        <v>39</v>
      </c>
      <c r="B43" s="104" t="str" cm="1">
        <f t="array" ref="B43">_xlfn.IFS(AND(A43&gt;NumberOfPlots,ISBLANK(INDEX(PlotData,MATCH($A43,PlotNumber,0),MATCH(B$3,PlotTitles,0)))),"",ISNUMBER(INDEX(PlotData,MATCH($A43,PlotNumber,0),MATCH(B$3,PlotTitles,0)))=FALSE, $AB$5,TRUE,"")</f>
        <v/>
      </c>
      <c r="C43" s="104" t="str" cm="1">
        <f t="array" ref="C43">_xlfn.IFS(AND(A43&gt;NumberOfPlots,ISBLANK(INDEX(PlotData,MATCH($A43,PlotNumber,0),MATCH(B$3,PlotTitles,0)))),"",ISBLANK(INDEX(PlotData,MATCH($A43,PlotNumber,0),MATCH(C$3,PlotTitles,0))),$AB$6,TRUE,"")</f>
        <v/>
      </c>
      <c r="D43" s="104" t="str" cm="1">
        <f t="array" ref="D43">_xlfn.IFS(AND(A43&gt;NumberOfPlots,ISBLANK(INDEX(PlotData,MATCH($A43,PlotNumber,0),MATCH(B$3,PlotTitles,0)))),"",ISBLANK(INDEX(PlotData,MATCH($A43,PlotNumber,0),MATCH(D$3,PlotTitles,0))),$AB$7,TRUE,"")</f>
        <v/>
      </c>
      <c r="E43" s="104" t="str" cm="1">
        <f t="array" ref="E43">_xlfn.IFS(AND(A43&gt;NumberOfPlots,ISBLANK(INDEX(PlotData,MATCH($A43,PlotNumber,0),MATCH(B$3,PlotTitles,0)))),"",ISBLANK(INDEX(PlotData,MATCH($A43,PlotNumber,0),MATCH(E$3,PlotTitles,0))),$AB$8,TRUE,"")</f>
        <v/>
      </c>
      <c r="F43" s="104" t="str" cm="1">
        <f t="array" ref="F43">_xlfn.IFS(AND(A43&gt;NumberOfPlots,ISBLANK(INDEX(PlotData,MATCH($A43,PlotNumber,0),MATCH(B$3,PlotTitles,0)))),"",ISBLANK(INDEX(PlotData,MATCH($A43,PlotNumber,0),MATCH(F$3,PlotTitles,0))),$AB$9,TRUE,"")</f>
        <v/>
      </c>
      <c r="G43" s="104" t="str" cm="1">
        <f t="array" ref="G43">_xlfn.IFS(AND(A43&gt;NumberOfPlots,ISBLANK(INDEX(PlotData,MATCH($A43,PlotNumber,0),MATCH(B$3,PlotTitles,0)))),"",ISBLANK(INDEX(PlotData,MATCH($A43,PlotNumber,0),MATCH(G$3,PlotTitles,0))),$AB$10,TRUE,"")</f>
        <v/>
      </c>
      <c r="H43" s="104" t="str" cm="1">
        <f t="array" ref="H43">_xlfn.IFS(AND(A43&gt;NumberOfPlots,ISBLANK(INDEX(PlotData,MATCH($A43,PlotNumber,0),MATCH(B$3,PlotTitles,0)))),"",AND(ISBLANK(INDEX(PlotData,MATCH($A43,PlotNumber,0),MATCH(H$3,PlotTitles,0)))=FALSE,INDEX(PlotData,MATCH($A43,PlotNumber,0),MATCH(H$3,PlotTitles,0))&lt;500), $AB$11,TRUE,"")</f>
        <v/>
      </c>
      <c r="I43" s="104" t="str" cm="1">
        <f t="array" ref="I43">_xlfn.IFS(AND(A43&gt;NumberOfPlots,ISBLANK(INDEX(PlotData,MATCH($A43,PlotNumber,0),MATCH(B$3,PlotTitles,0)))),"",ISBLANK(INDEX(PlotData,MATCH($A43,PlotNumber,0),MATCH(I$3,PlotTitles,0))),$AB$12,TRUE,"")</f>
        <v/>
      </c>
      <c r="J43" s="104" t="str" cm="1">
        <f t="array" ref="J43">_xlfn.IFS(AND(A43&gt;NumberOfPlots,ISBLANK(INDEX(PlotData,MATCH($A43,PlotNumber,0),MATCH(B$3,PlotTitles,0)))),"",ISBLANK(INDEX(PlotData,MATCH($A43,PlotNumber,0),MATCH(J$3,PlotTitles,0))),$AB$13,TRUE,"")</f>
        <v/>
      </c>
      <c r="K43" s="182" t="str">
        <f t="shared" ca="1" si="0"/>
        <v/>
      </c>
      <c r="L43" s="104" t="str" cm="1">
        <f t="array" ref="L43">_xlfn.IFS(OR(ISBLANK(StartDateMonth),ISBLANK(StartDateYear)),"",AND(A43&gt;NumberOfPlots,ISBLANK(INDEX(PlotData,MATCH($A43,PlotNumber,0),MATCH(B$3,PlotTitles,0)))),"",ISBLANK(INDEX(PlotData,MATCH($A43,PlotNumber,0),MATCH(I$3,PlotTitles,0))),"",(DATEVALUE(INDEX(PlotData,MATCH($A43,PlotNumber,0),MATCH(I$3,PlotTitles,0))&amp;INDEX(PlotData,MATCH($A43,PlotNumber,0),MATCH(J$3,PlotTitles,0))))&lt;DATEVALUE(StartDateMonth&amp;StartDateYear),$AB$15,TRUE,"")</f>
        <v/>
      </c>
      <c r="M43" s="104" t="str" cm="1">
        <f t="array" ref="M43">_xlfn.IFS(OR(ISBLANK(StartDateMonth),ISBLANK(StartDateYear)),"",AND(A43&gt;NumberOfPlots,ISBLANK(INDEX(PlotData,MATCH($A43,PlotNumber,0),MATCH(B$3,PlotTitles,0)))),"",ISBLANK(INDEX(PlotData,MATCH($A43,PlotNumber,0),MATCH(I$3,PlotTitles,0))),"",CompletionMonth="","",(DATEVALUE(INDEX(PlotData,MATCH($A43,PlotNumber,0),MATCH(I$3,PlotTitles,0))&amp;INDEX(PlotData,MATCH($A43,PlotNumber,0),MATCH(J$3,PlotTitles,0))))&gt;(DATEVALUE(CompletionMonth&amp;CompletionYear)),$AB$16,TRUE,"")</f>
        <v/>
      </c>
      <c r="N43" s="104" t="str" cm="1">
        <f t="array" ref="N43">_xlfn.IFS(AND(A43&gt;NumberOfPlots,ISBLANK(INDEX(PlotData,MATCH($A43,PlotNumber,0),MATCH(B$3,PlotTitles,0)))),"",ISBLANK(INDEX(PlotData,MATCH($A43,PlotNumber,0),MATCH(N$3,PlotTitles,0))),$AB$17,TRUE,"")</f>
        <v/>
      </c>
      <c r="O43" s="104" t="str" cm="1">
        <f t="array" ref="O43">_xlfn.IFS(AND(A43&gt;NumberOfPlots,ISBLANK(INDEX(PlotData,MATCH($A43,PlotNumber,0),MATCH(B$3,PlotTitles,0)))),"",ISBLANK(INDEX(PlotData,MATCH($A43,PlotNumber,0),MATCH(O$3,PlotTitles,0))),$AB$18,TRUE,"")</f>
        <v/>
      </c>
      <c r="P43" s="182" t="str">
        <f t="shared" ca="1" si="1"/>
        <v/>
      </c>
      <c r="Q43" s="104" t="str" cm="1">
        <f t="array" ref="Q43">_xlfn.IFS(AND(A43&gt;NumberOfPlots,ISBLANK(INDEX(PlotData,MATCH($A43,PlotNumber,0),MATCH(B$3,PlotTitles,0)))),"",ISBLANK(INDEX(PlotData,MATCH($A43,PlotNumber,0),MATCH(N$3,PlotTitles,0))),"",(DATEVALUE(INDEX(PlotData,MATCH($A43,PlotNumber,0),MATCH(N$3,PlotTitles,0))&amp;INDEX(PlotData,MATCH($A43,PlotNumber,0),MATCH(O$3,PlotTitles,0))))&lt;(DATEVALUE(INDEX(PlotData,MATCH($A43,PlotNumber,0),MATCH(I$3,PlotTitles,0))&amp;INDEX(PlotData,MATCH($A43,PlotNumber,0),MATCH(J$3,PlotTitles,0)))),$AB$20,TRUE,"")</f>
        <v/>
      </c>
      <c r="R43" s="104" t="str" cm="1">
        <f t="array" ref="R43">_xlfn.IFS(OR(ISBLANK(StartDateMonth),ISBLANK(StartDateYear)),"",AND(A43&gt;NumberOfPlots,ISBLANK(INDEX(PlotData,MATCH($A43,PlotNumber,0),MATCH(B$3,PlotTitles,0)))),"",ISBLANK(INDEX(PlotData,MATCH($A43,PlotNumber,0),MATCH(N$3,PlotTitles,0))),"",CompletionMonth="","",(DATEVALUE(INDEX(PlotData,MATCH($A43,PlotNumber,0),MATCH(N$3,PlotTitles,0))&amp;INDEX(PlotData,MATCH($A43,PlotNumber,0),MATCH(O$3,PlotTitles,0))))&gt;(DATEVALUE(CompletionMonth&amp;CompletionYear)),$AB$21,TRUE,"")</f>
        <v/>
      </c>
      <c r="S43" s="104" t="str" cm="1">
        <f t="array" ref="S43">_xlfn.IFS(AND(A43&gt;NumberOfPlots,ISBLANK(INDEX(PlotData,MATCH($A43,PlotNumber,0),MATCH(B$3,PlotTitles,0)))),"",OR(AND(INDEX(PlotData,MATCH($A43,PlotNumber,0),MATCH("Tenure",PlotTitles,0))="Open market housing",INDEX(PlotData,MATCH($A43,PlotNumber,0),MATCH("Tenure detail",PlotTitles,0))="Private rented sector"),INDEX(PlotData,MATCH($A43,PlotNumber,0),MATCH("Tenure",PlotTitles,0))="Affordable rent"),"",ISNUMBER(INDEX(PlotData,MATCH($A43,PlotNumber,0),MATCH(S$3,PlotTitles,0)))=FALSE, $AB$22,TRUE,"")</f>
        <v/>
      </c>
      <c r="T43" s="104" t="str" cm="1">
        <f t="array" ref="T43">_xlfn.IFS(AND(A43&gt;NumberOfPlots,ISBLANK(INDEX(PlotData,MATCH($A43,PlotNumber,0),MATCH(B$3,PlotTitles,0)))),"",OR(AND(INDEX(PlotData,MATCH($A43,PlotNumber,0),MATCH("Tenure",PlotTitles,0))="Open market housing",INDEX(PlotData,MATCH($A43,PlotNumber,0),MATCH("Tenure detail",PlotTitles,0))="Private rented sector"),INDEX(PlotData,MATCH($A43,PlotNumber,0),MATCH("Tenure",PlotTitles,0))="Affordable rent"),"",INDEX(PlotData,MATCH($A43,PlotNumber,0),MATCH(S$3,PlotTitles,0))&lt;10000, $AB$23,TRUE,"")</f>
        <v/>
      </c>
      <c r="U43" s="104" t="str" cm="1">
        <f t="array" ref="U43">_xlfn.IFS(AND(A43&gt;NumberOfPlots,ISBLANK(INDEX(PlotData,MATCH($A43,PlotNumber,0),MATCH(B$3,PlotTitles,0)))),"",NOT(OR(AND(INDEX(PlotData,MATCH($A43,PlotNumber,0),MATCH("Tenure",PlotTitles,0))="Open market housing",INDEX(PlotData,MATCH($A43,PlotNumber,0),MATCH("Tenure detail",PlotTitles,0))="Private rented sector"),INDEX(PlotData,MATCH($A43,PlotNumber,0),MATCH("Tenure",PlotTitles,0))="Affordable rent")),"",NOT(INDEX(PlotData,MATCH($A43,PlotNumber,0),MATCH(S$3,PlotTitles,0))=0), $AB$24,TRUE,"")</f>
        <v/>
      </c>
      <c r="V43" s="114" t="str" cm="1">
        <f t="array" aca="1" ref="V43" ca="1">_xlfn.IFS(ISBLANK(NumberOfPlots),"Enter the number of homes on the 1_SetUp sheet",AND(A43&gt;NumberOfPlots,ISBLANK(INDEX(PlotData,MATCH($A43,PlotNumber,0),MATCH(B$3,PlotTitles,0)))),"No error",NOT(B43=""),B43,NOT(C43=""),C43,NOT(D43=""),D43,NOT(E43=""),E43,NOT(F43=""),F43,NOT(G43=""),G43,NOT(H43=""),H43,NOT(I43=""),I43,NOT(J43=""),J43,NOT(K43=""),K43,NOT(L43=""),L43,NOT(M43=""),M43,NOT(N43=""),N43,NOT(O43=""),O43,NOT(P43=""),P43,NOT(Q43=""),Q43,NOT(R43=""),R43,NOT(S43=""),S43,NOT(T43=""),T43,NOT(U43=""),U43,TRUE,"No error")</f>
        <v>Enter the number of homes on the 1_SetUp sheet</v>
      </c>
      <c r="W43" s="114" t="str">
        <f t="shared" ca="1" si="2"/>
        <v xml:space="preserve">The Borrower has not addressed the following error messages for Home ID 39: </v>
      </c>
      <c r="X43" s="114"/>
      <c r="Y43" s="114"/>
      <c r="Z43" s="114"/>
      <c r="AA43" s="114"/>
      <c r="AB43" s="114"/>
    </row>
    <row r="44" spans="1:28">
      <c r="A44" s="123">
        <v>40</v>
      </c>
      <c r="B44" s="104" t="str" cm="1">
        <f t="array" ref="B44">_xlfn.IFS(AND(A44&gt;NumberOfPlots,ISBLANK(INDEX(PlotData,MATCH($A44,PlotNumber,0),MATCH(B$3,PlotTitles,0)))),"",ISNUMBER(INDEX(PlotData,MATCH($A44,PlotNumber,0),MATCH(B$3,PlotTitles,0)))=FALSE, $AB$5,TRUE,"")</f>
        <v/>
      </c>
      <c r="C44" s="104" t="str" cm="1">
        <f t="array" ref="C44">_xlfn.IFS(AND(A44&gt;NumberOfPlots,ISBLANK(INDEX(PlotData,MATCH($A44,PlotNumber,0),MATCH(B$3,PlotTitles,0)))),"",ISBLANK(INDEX(PlotData,MATCH($A44,PlotNumber,0),MATCH(C$3,PlotTitles,0))),$AB$6,TRUE,"")</f>
        <v/>
      </c>
      <c r="D44" s="104" t="str" cm="1">
        <f t="array" ref="D44">_xlfn.IFS(AND(A44&gt;NumberOfPlots,ISBLANK(INDEX(PlotData,MATCH($A44,PlotNumber,0),MATCH(B$3,PlotTitles,0)))),"",ISBLANK(INDEX(PlotData,MATCH($A44,PlotNumber,0),MATCH(D$3,PlotTitles,0))),$AB$7,TRUE,"")</f>
        <v/>
      </c>
      <c r="E44" s="104" t="str" cm="1">
        <f t="array" ref="E44">_xlfn.IFS(AND(A44&gt;NumberOfPlots,ISBLANK(INDEX(PlotData,MATCH($A44,PlotNumber,0),MATCH(B$3,PlotTitles,0)))),"",ISBLANK(INDEX(PlotData,MATCH($A44,PlotNumber,0),MATCH(E$3,PlotTitles,0))),$AB$8,TRUE,"")</f>
        <v/>
      </c>
      <c r="F44" s="104" t="str" cm="1">
        <f t="array" ref="F44">_xlfn.IFS(AND(A44&gt;NumberOfPlots,ISBLANK(INDEX(PlotData,MATCH($A44,PlotNumber,0),MATCH(B$3,PlotTitles,0)))),"",ISBLANK(INDEX(PlotData,MATCH($A44,PlotNumber,0),MATCH(F$3,PlotTitles,0))),$AB$9,TRUE,"")</f>
        <v/>
      </c>
      <c r="G44" s="104" t="str" cm="1">
        <f t="array" ref="G44">_xlfn.IFS(AND(A44&gt;NumberOfPlots,ISBLANK(INDEX(PlotData,MATCH($A44,PlotNumber,0),MATCH(B$3,PlotTitles,0)))),"",ISBLANK(INDEX(PlotData,MATCH($A44,PlotNumber,0),MATCH(G$3,PlotTitles,0))),$AB$10,TRUE,"")</f>
        <v/>
      </c>
      <c r="H44" s="104" t="str" cm="1">
        <f t="array" ref="H44">_xlfn.IFS(AND(A44&gt;NumberOfPlots,ISBLANK(INDEX(PlotData,MATCH($A44,PlotNumber,0),MATCH(B$3,PlotTitles,0)))),"",AND(ISBLANK(INDEX(PlotData,MATCH($A44,PlotNumber,0),MATCH(H$3,PlotTitles,0)))=FALSE,INDEX(PlotData,MATCH($A44,PlotNumber,0),MATCH(H$3,PlotTitles,0))&lt;500), $AB$11,TRUE,"")</f>
        <v/>
      </c>
      <c r="I44" s="104" t="str" cm="1">
        <f t="array" ref="I44">_xlfn.IFS(AND(A44&gt;NumberOfPlots,ISBLANK(INDEX(PlotData,MATCH($A44,PlotNumber,0),MATCH(B$3,PlotTitles,0)))),"",ISBLANK(INDEX(PlotData,MATCH($A44,PlotNumber,0),MATCH(I$3,PlotTitles,0))),$AB$12,TRUE,"")</f>
        <v/>
      </c>
      <c r="J44" s="104" t="str" cm="1">
        <f t="array" ref="J44">_xlfn.IFS(AND(A44&gt;NumberOfPlots,ISBLANK(INDEX(PlotData,MATCH($A44,PlotNumber,0),MATCH(B$3,PlotTitles,0)))),"",ISBLANK(INDEX(PlotData,MATCH($A44,PlotNumber,0),MATCH(J$3,PlotTitles,0))),$AB$13,TRUE,"")</f>
        <v/>
      </c>
      <c r="K44" s="182" t="str">
        <f t="shared" ca="1" si="0"/>
        <v/>
      </c>
      <c r="L44" s="104" t="str" cm="1">
        <f t="array" ref="L44">_xlfn.IFS(OR(ISBLANK(StartDateMonth),ISBLANK(StartDateYear)),"",AND(A44&gt;NumberOfPlots,ISBLANK(INDEX(PlotData,MATCH($A44,PlotNumber,0),MATCH(B$3,PlotTitles,0)))),"",ISBLANK(INDEX(PlotData,MATCH($A44,PlotNumber,0),MATCH(I$3,PlotTitles,0))),"",(DATEVALUE(INDEX(PlotData,MATCH($A44,PlotNumber,0),MATCH(I$3,PlotTitles,0))&amp;INDEX(PlotData,MATCH($A44,PlotNumber,0),MATCH(J$3,PlotTitles,0))))&lt;DATEVALUE(StartDateMonth&amp;StartDateYear),$AB$15,TRUE,"")</f>
        <v/>
      </c>
      <c r="M44" s="104" t="str" cm="1">
        <f t="array" ref="M44">_xlfn.IFS(OR(ISBLANK(StartDateMonth),ISBLANK(StartDateYear)),"",AND(A44&gt;NumberOfPlots,ISBLANK(INDEX(PlotData,MATCH($A44,PlotNumber,0),MATCH(B$3,PlotTitles,0)))),"",ISBLANK(INDEX(PlotData,MATCH($A44,PlotNumber,0),MATCH(I$3,PlotTitles,0))),"",CompletionMonth="","",(DATEVALUE(INDEX(PlotData,MATCH($A44,PlotNumber,0),MATCH(I$3,PlotTitles,0))&amp;INDEX(PlotData,MATCH($A44,PlotNumber,0),MATCH(J$3,PlotTitles,0))))&gt;(DATEVALUE(CompletionMonth&amp;CompletionYear)),$AB$16,TRUE,"")</f>
        <v/>
      </c>
      <c r="N44" s="104" t="str" cm="1">
        <f t="array" ref="N44">_xlfn.IFS(AND(A44&gt;NumberOfPlots,ISBLANK(INDEX(PlotData,MATCH($A44,PlotNumber,0),MATCH(B$3,PlotTitles,0)))),"",ISBLANK(INDEX(PlotData,MATCH($A44,PlotNumber,0),MATCH(N$3,PlotTitles,0))),$AB$17,TRUE,"")</f>
        <v/>
      </c>
      <c r="O44" s="104" t="str" cm="1">
        <f t="array" ref="O44">_xlfn.IFS(AND(A44&gt;NumberOfPlots,ISBLANK(INDEX(PlotData,MATCH($A44,PlotNumber,0),MATCH(B$3,PlotTitles,0)))),"",ISBLANK(INDEX(PlotData,MATCH($A44,PlotNumber,0),MATCH(O$3,PlotTitles,0))),$AB$18,TRUE,"")</f>
        <v/>
      </c>
      <c r="P44" s="182" t="str">
        <f t="shared" ca="1" si="1"/>
        <v/>
      </c>
      <c r="Q44" s="104" t="str" cm="1">
        <f t="array" ref="Q44">_xlfn.IFS(AND(A44&gt;NumberOfPlots,ISBLANK(INDEX(PlotData,MATCH($A44,PlotNumber,0),MATCH(B$3,PlotTitles,0)))),"",ISBLANK(INDEX(PlotData,MATCH($A44,PlotNumber,0),MATCH(N$3,PlotTitles,0))),"",(DATEVALUE(INDEX(PlotData,MATCH($A44,PlotNumber,0),MATCH(N$3,PlotTitles,0))&amp;INDEX(PlotData,MATCH($A44,PlotNumber,0),MATCH(O$3,PlotTitles,0))))&lt;(DATEVALUE(INDEX(PlotData,MATCH($A44,PlotNumber,0),MATCH(I$3,PlotTitles,0))&amp;INDEX(PlotData,MATCH($A44,PlotNumber,0),MATCH(J$3,PlotTitles,0)))),$AB$20,TRUE,"")</f>
        <v/>
      </c>
      <c r="R44" s="104" t="str" cm="1">
        <f t="array" ref="R44">_xlfn.IFS(OR(ISBLANK(StartDateMonth),ISBLANK(StartDateYear)),"",AND(A44&gt;NumberOfPlots,ISBLANK(INDEX(PlotData,MATCH($A44,PlotNumber,0),MATCH(B$3,PlotTitles,0)))),"",ISBLANK(INDEX(PlotData,MATCH($A44,PlotNumber,0),MATCH(N$3,PlotTitles,0))),"",CompletionMonth="","",(DATEVALUE(INDEX(PlotData,MATCH($A44,PlotNumber,0),MATCH(N$3,PlotTitles,0))&amp;INDEX(PlotData,MATCH($A44,PlotNumber,0),MATCH(O$3,PlotTitles,0))))&gt;(DATEVALUE(CompletionMonth&amp;CompletionYear)),$AB$21,TRUE,"")</f>
        <v/>
      </c>
      <c r="S44" s="104" t="str" cm="1">
        <f t="array" ref="S44">_xlfn.IFS(AND(A44&gt;NumberOfPlots,ISBLANK(INDEX(PlotData,MATCH($A44,PlotNumber,0),MATCH(B$3,PlotTitles,0)))),"",OR(AND(INDEX(PlotData,MATCH($A44,PlotNumber,0),MATCH("Tenure",PlotTitles,0))="Open market housing",INDEX(PlotData,MATCH($A44,PlotNumber,0),MATCH("Tenure detail",PlotTitles,0))="Private rented sector"),INDEX(PlotData,MATCH($A44,PlotNumber,0),MATCH("Tenure",PlotTitles,0))="Affordable rent"),"",ISNUMBER(INDEX(PlotData,MATCH($A44,PlotNumber,0),MATCH(S$3,PlotTitles,0)))=FALSE, $AB$22,TRUE,"")</f>
        <v/>
      </c>
      <c r="T44" s="104" t="str" cm="1">
        <f t="array" ref="T44">_xlfn.IFS(AND(A44&gt;NumberOfPlots,ISBLANK(INDEX(PlotData,MATCH($A44,PlotNumber,0),MATCH(B$3,PlotTitles,0)))),"",OR(AND(INDEX(PlotData,MATCH($A44,PlotNumber,0),MATCH("Tenure",PlotTitles,0))="Open market housing",INDEX(PlotData,MATCH($A44,PlotNumber,0),MATCH("Tenure detail",PlotTitles,0))="Private rented sector"),INDEX(PlotData,MATCH($A44,PlotNumber,0),MATCH("Tenure",PlotTitles,0))="Affordable rent"),"",INDEX(PlotData,MATCH($A44,PlotNumber,0),MATCH(S$3,PlotTitles,0))&lt;10000, $AB$23,TRUE,"")</f>
        <v/>
      </c>
      <c r="U44" s="104" t="str" cm="1">
        <f t="array" ref="U44">_xlfn.IFS(AND(A44&gt;NumberOfPlots,ISBLANK(INDEX(PlotData,MATCH($A44,PlotNumber,0),MATCH(B$3,PlotTitles,0)))),"",NOT(OR(AND(INDEX(PlotData,MATCH($A44,PlotNumber,0),MATCH("Tenure",PlotTitles,0))="Open market housing",INDEX(PlotData,MATCH($A44,PlotNumber,0),MATCH("Tenure detail",PlotTitles,0))="Private rented sector"),INDEX(PlotData,MATCH($A44,PlotNumber,0),MATCH("Tenure",PlotTitles,0))="Affordable rent")),"",NOT(INDEX(PlotData,MATCH($A44,PlotNumber,0),MATCH(S$3,PlotTitles,0))=0), $AB$24,TRUE,"")</f>
        <v/>
      </c>
      <c r="V44" s="114" t="str" cm="1">
        <f t="array" aca="1" ref="V44" ca="1">_xlfn.IFS(ISBLANK(NumberOfPlots),"Enter the number of homes on the 1_SetUp sheet",AND(A44&gt;NumberOfPlots,ISBLANK(INDEX(PlotData,MATCH($A44,PlotNumber,0),MATCH(B$3,PlotTitles,0)))),"No error",NOT(B44=""),B44,NOT(C44=""),C44,NOT(D44=""),D44,NOT(E44=""),E44,NOT(F44=""),F44,NOT(G44=""),G44,NOT(H44=""),H44,NOT(I44=""),I44,NOT(J44=""),J44,NOT(K44=""),K44,NOT(L44=""),L44,NOT(M44=""),M44,NOT(N44=""),N44,NOT(O44=""),O44,NOT(P44=""),P44,NOT(Q44=""),Q44,NOT(R44=""),R44,NOT(S44=""),S44,NOT(T44=""),T44,NOT(U44=""),U44,TRUE,"No error")</f>
        <v>Enter the number of homes on the 1_SetUp sheet</v>
      </c>
      <c r="W44" s="114" t="str">
        <f t="shared" ca="1" si="2"/>
        <v xml:space="preserve">The Borrower has not addressed the following error messages for Home ID 40: </v>
      </c>
      <c r="X44" s="114"/>
      <c r="Y44" s="114"/>
      <c r="Z44" s="114"/>
      <c r="AA44" s="114"/>
      <c r="AB44" s="114"/>
    </row>
    <row r="45" spans="1:28">
      <c r="A45" s="123">
        <v>41</v>
      </c>
      <c r="B45" s="104" t="str" cm="1">
        <f t="array" ref="B45">_xlfn.IFS(AND(A45&gt;NumberOfPlots,ISBLANK(INDEX(PlotData,MATCH($A45,PlotNumber,0),MATCH(B$3,PlotTitles,0)))),"",ISNUMBER(INDEX(PlotData,MATCH($A45,PlotNumber,0),MATCH(B$3,PlotTitles,0)))=FALSE, $AB$5,TRUE,"")</f>
        <v/>
      </c>
      <c r="C45" s="104" t="str" cm="1">
        <f t="array" ref="C45">_xlfn.IFS(AND(A45&gt;NumberOfPlots,ISBLANK(INDEX(PlotData,MATCH($A45,PlotNumber,0),MATCH(B$3,PlotTitles,0)))),"",ISBLANK(INDEX(PlotData,MATCH($A45,PlotNumber,0),MATCH(C$3,PlotTitles,0))),$AB$6,TRUE,"")</f>
        <v/>
      </c>
      <c r="D45" s="104" t="str" cm="1">
        <f t="array" ref="D45">_xlfn.IFS(AND(A45&gt;NumberOfPlots,ISBLANK(INDEX(PlotData,MATCH($A45,PlotNumber,0),MATCH(B$3,PlotTitles,0)))),"",ISBLANK(INDEX(PlotData,MATCH($A45,PlotNumber,0),MATCH(D$3,PlotTitles,0))),$AB$7,TRUE,"")</f>
        <v/>
      </c>
      <c r="E45" s="104" t="str" cm="1">
        <f t="array" ref="E45">_xlfn.IFS(AND(A45&gt;NumberOfPlots,ISBLANK(INDEX(PlotData,MATCH($A45,PlotNumber,0),MATCH(B$3,PlotTitles,0)))),"",ISBLANK(INDEX(PlotData,MATCH($A45,PlotNumber,0),MATCH(E$3,PlotTitles,0))),$AB$8,TRUE,"")</f>
        <v/>
      </c>
      <c r="F45" s="104" t="str" cm="1">
        <f t="array" ref="F45">_xlfn.IFS(AND(A45&gt;NumberOfPlots,ISBLANK(INDEX(PlotData,MATCH($A45,PlotNumber,0),MATCH(B$3,PlotTitles,0)))),"",ISBLANK(INDEX(PlotData,MATCH($A45,PlotNumber,0),MATCH(F$3,PlotTitles,0))),$AB$9,TRUE,"")</f>
        <v/>
      </c>
      <c r="G45" s="104" t="str" cm="1">
        <f t="array" ref="G45">_xlfn.IFS(AND(A45&gt;NumberOfPlots,ISBLANK(INDEX(PlotData,MATCH($A45,PlotNumber,0),MATCH(B$3,PlotTitles,0)))),"",ISBLANK(INDEX(PlotData,MATCH($A45,PlotNumber,0),MATCH(G$3,PlotTitles,0))),$AB$10,TRUE,"")</f>
        <v/>
      </c>
      <c r="H45" s="104" t="str" cm="1">
        <f t="array" ref="H45">_xlfn.IFS(AND(A45&gt;NumberOfPlots,ISBLANK(INDEX(PlotData,MATCH($A45,PlotNumber,0),MATCH(B$3,PlotTitles,0)))),"",AND(ISBLANK(INDEX(PlotData,MATCH($A45,PlotNumber,0),MATCH(H$3,PlotTitles,0)))=FALSE,INDEX(PlotData,MATCH($A45,PlotNumber,0),MATCH(H$3,PlotTitles,0))&lt;500), $AB$11,TRUE,"")</f>
        <v/>
      </c>
      <c r="I45" s="104" t="str" cm="1">
        <f t="array" ref="I45">_xlfn.IFS(AND(A45&gt;NumberOfPlots,ISBLANK(INDEX(PlotData,MATCH($A45,PlotNumber,0),MATCH(B$3,PlotTitles,0)))),"",ISBLANK(INDEX(PlotData,MATCH($A45,PlotNumber,0),MATCH(I$3,PlotTitles,0))),$AB$12,TRUE,"")</f>
        <v/>
      </c>
      <c r="J45" s="104" t="str" cm="1">
        <f t="array" ref="J45">_xlfn.IFS(AND(A45&gt;NumberOfPlots,ISBLANK(INDEX(PlotData,MATCH($A45,PlotNumber,0),MATCH(B$3,PlotTitles,0)))),"",ISBLANK(INDEX(PlotData,MATCH($A45,PlotNumber,0),MATCH(J$3,PlotTitles,0))),$AB$13,TRUE,"")</f>
        <v/>
      </c>
      <c r="K45" s="182" t="str">
        <f t="shared" ca="1" si="0"/>
        <v/>
      </c>
      <c r="L45" s="104" t="str" cm="1">
        <f t="array" ref="L45">_xlfn.IFS(OR(ISBLANK(StartDateMonth),ISBLANK(StartDateYear)),"",AND(A45&gt;NumberOfPlots,ISBLANK(INDEX(PlotData,MATCH($A45,PlotNumber,0),MATCH(B$3,PlotTitles,0)))),"",ISBLANK(INDEX(PlotData,MATCH($A45,PlotNumber,0),MATCH(I$3,PlotTitles,0))),"",(DATEVALUE(INDEX(PlotData,MATCH($A45,PlotNumber,0),MATCH(I$3,PlotTitles,0))&amp;INDEX(PlotData,MATCH($A45,PlotNumber,0),MATCH(J$3,PlotTitles,0))))&lt;DATEVALUE(StartDateMonth&amp;StartDateYear),$AB$15,TRUE,"")</f>
        <v/>
      </c>
      <c r="M45" s="104" t="str" cm="1">
        <f t="array" ref="M45">_xlfn.IFS(OR(ISBLANK(StartDateMonth),ISBLANK(StartDateYear)),"",AND(A45&gt;NumberOfPlots,ISBLANK(INDEX(PlotData,MATCH($A45,PlotNumber,0),MATCH(B$3,PlotTitles,0)))),"",ISBLANK(INDEX(PlotData,MATCH($A45,PlotNumber,0),MATCH(I$3,PlotTitles,0))),"",CompletionMonth="","",(DATEVALUE(INDEX(PlotData,MATCH($A45,PlotNumber,0),MATCH(I$3,PlotTitles,0))&amp;INDEX(PlotData,MATCH($A45,PlotNumber,0),MATCH(J$3,PlotTitles,0))))&gt;(DATEVALUE(CompletionMonth&amp;CompletionYear)),$AB$16,TRUE,"")</f>
        <v/>
      </c>
      <c r="N45" s="104" t="str" cm="1">
        <f t="array" ref="N45">_xlfn.IFS(AND(A45&gt;NumberOfPlots,ISBLANK(INDEX(PlotData,MATCH($A45,PlotNumber,0),MATCH(B$3,PlotTitles,0)))),"",ISBLANK(INDEX(PlotData,MATCH($A45,PlotNumber,0),MATCH(N$3,PlotTitles,0))),$AB$17,TRUE,"")</f>
        <v/>
      </c>
      <c r="O45" s="104" t="str" cm="1">
        <f t="array" ref="O45">_xlfn.IFS(AND(A45&gt;NumberOfPlots,ISBLANK(INDEX(PlotData,MATCH($A45,PlotNumber,0),MATCH(B$3,PlotTitles,0)))),"",ISBLANK(INDEX(PlotData,MATCH($A45,PlotNumber,0),MATCH(O$3,PlotTitles,0))),$AB$18,TRUE,"")</f>
        <v/>
      </c>
      <c r="P45" s="182" t="str">
        <f t="shared" ca="1" si="1"/>
        <v/>
      </c>
      <c r="Q45" s="104" t="str" cm="1">
        <f t="array" ref="Q45">_xlfn.IFS(AND(A45&gt;NumberOfPlots,ISBLANK(INDEX(PlotData,MATCH($A45,PlotNumber,0),MATCH(B$3,PlotTitles,0)))),"",ISBLANK(INDEX(PlotData,MATCH($A45,PlotNumber,0),MATCH(N$3,PlotTitles,0))),"",(DATEVALUE(INDEX(PlotData,MATCH($A45,PlotNumber,0),MATCH(N$3,PlotTitles,0))&amp;INDEX(PlotData,MATCH($A45,PlotNumber,0),MATCH(O$3,PlotTitles,0))))&lt;(DATEVALUE(INDEX(PlotData,MATCH($A45,PlotNumber,0),MATCH(I$3,PlotTitles,0))&amp;INDEX(PlotData,MATCH($A45,PlotNumber,0),MATCH(J$3,PlotTitles,0)))),$AB$20,TRUE,"")</f>
        <v/>
      </c>
      <c r="R45" s="104" t="str" cm="1">
        <f t="array" ref="R45">_xlfn.IFS(OR(ISBLANK(StartDateMonth),ISBLANK(StartDateYear)),"",AND(A45&gt;NumberOfPlots,ISBLANK(INDEX(PlotData,MATCH($A45,PlotNumber,0),MATCH(B$3,PlotTitles,0)))),"",ISBLANK(INDEX(PlotData,MATCH($A45,PlotNumber,0),MATCH(N$3,PlotTitles,0))),"",CompletionMonth="","",(DATEVALUE(INDEX(PlotData,MATCH($A45,PlotNumber,0),MATCH(N$3,PlotTitles,0))&amp;INDEX(PlotData,MATCH($A45,PlotNumber,0),MATCH(O$3,PlotTitles,0))))&gt;(DATEVALUE(CompletionMonth&amp;CompletionYear)),$AB$21,TRUE,"")</f>
        <v/>
      </c>
      <c r="S45" s="104" t="str" cm="1">
        <f t="array" ref="S45">_xlfn.IFS(AND(A45&gt;NumberOfPlots,ISBLANK(INDEX(PlotData,MATCH($A45,PlotNumber,0),MATCH(B$3,PlotTitles,0)))),"",OR(AND(INDEX(PlotData,MATCH($A45,PlotNumber,0),MATCH("Tenure",PlotTitles,0))="Open market housing",INDEX(PlotData,MATCH($A45,PlotNumber,0),MATCH("Tenure detail",PlotTitles,0))="Private rented sector"),INDEX(PlotData,MATCH($A45,PlotNumber,0),MATCH("Tenure",PlotTitles,0))="Affordable rent"),"",ISNUMBER(INDEX(PlotData,MATCH($A45,PlotNumber,0),MATCH(S$3,PlotTitles,0)))=FALSE, $AB$22,TRUE,"")</f>
        <v/>
      </c>
      <c r="T45" s="104" t="str" cm="1">
        <f t="array" ref="T45">_xlfn.IFS(AND(A45&gt;NumberOfPlots,ISBLANK(INDEX(PlotData,MATCH($A45,PlotNumber,0),MATCH(B$3,PlotTitles,0)))),"",OR(AND(INDEX(PlotData,MATCH($A45,PlotNumber,0),MATCH("Tenure",PlotTitles,0))="Open market housing",INDEX(PlotData,MATCH($A45,PlotNumber,0),MATCH("Tenure detail",PlotTitles,0))="Private rented sector"),INDEX(PlotData,MATCH($A45,PlotNumber,0),MATCH("Tenure",PlotTitles,0))="Affordable rent"),"",INDEX(PlotData,MATCH($A45,PlotNumber,0),MATCH(S$3,PlotTitles,0))&lt;10000, $AB$23,TRUE,"")</f>
        <v/>
      </c>
      <c r="U45" s="104" t="str" cm="1">
        <f t="array" ref="U45">_xlfn.IFS(AND(A45&gt;NumberOfPlots,ISBLANK(INDEX(PlotData,MATCH($A45,PlotNumber,0),MATCH(B$3,PlotTitles,0)))),"",NOT(OR(AND(INDEX(PlotData,MATCH($A45,PlotNumber,0),MATCH("Tenure",PlotTitles,0))="Open market housing",INDEX(PlotData,MATCH($A45,PlotNumber,0),MATCH("Tenure detail",PlotTitles,0))="Private rented sector"),INDEX(PlotData,MATCH($A45,PlotNumber,0),MATCH("Tenure",PlotTitles,0))="Affordable rent")),"",NOT(INDEX(PlotData,MATCH($A45,PlotNumber,0),MATCH(S$3,PlotTitles,0))=0), $AB$24,TRUE,"")</f>
        <v/>
      </c>
      <c r="V45" s="114" t="str" cm="1">
        <f t="array" aca="1" ref="V45" ca="1">_xlfn.IFS(ISBLANK(NumberOfPlots),"Enter the number of homes on the 1_SetUp sheet",AND(A45&gt;NumberOfPlots,ISBLANK(INDEX(PlotData,MATCH($A45,PlotNumber,0),MATCH(B$3,PlotTitles,0)))),"No error",NOT(B45=""),B45,NOT(C45=""),C45,NOT(D45=""),D45,NOT(E45=""),E45,NOT(F45=""),F45,NOT(G45=""),G45,NOT(H45=""),H45,NOT(I45=""),I45,NOT(J45=""),J45,NOT(K45=""),K45,NOT(L45=""),L45,NOT(M45=""),M45,NOT(N45=""),N45,NOT(O45=""),O45,NOT(P45=""),P45,NOT(Q45=""),Q45,NOT(R45=""),R45,NOT(S45=""),S45,NOT(T45=""),T45,NOT(U45=""),U45,TRUE,"No error")</f>
        <v>Enter the number of homes on the 1_SetUp sheet</v>
      </c>
      <c r="W45" s="114" t="str">
        <f t="shared" ca="1" si="2"/>
        <v xml:space="preserve">The Borrower has not addressed the following error messages for Home ID 41: </v>
      </c>
      <c r="X45" s="114"/>
      <c r="Y45" s="114"/>
      <c r="Z45" s="114"/>
      <c r="AA45" s="114"/>
      <c r="AB45" s="114"/>
    </row>
    <row r="46" spans="1:28">
      <c r="A46" s="123">
        <v>42</v>
      </c>
      <c r="B46" s="104" t="str" cm="1">
        <f t="array" ref="B46">_xlfn.IFS(AND(A46&gt;NumberOfPlots,ISBLANK(INDEX(PlotData,MATCH($A46,PlotNumber,0),MATCH(B$3,PlotTitles,0)))),"",ISNUMBER(INDEX(PlotData,MATCH($A46,PlotNumber,0),MATCH(B$3,PlotTitles,0)))=FALSE, $AB$5,TRUE,"")</f>
        <v/>
      </c>
      <c r="C46" s="104" t="str" cm="1">
        <f t="array" ref="C46">_xlfn.IFS(AND(A46&gt;NumberOfPlots,ISBLANK(INDEX(PlotData,MATCH($A46,PlotNumber,0),MATCH(B$3,PlotTitles,0)))),"",ISBLANK(INDEX(PlotData,MATCH($A46,PlotNumber,0),MATCH(C$3,PlotTitles,0))),$AB$6,TRUE,"")</f>
        <v/>
      </c>
      <c r="D46" s="104" t="str" cm="1">
        <f t="array" ref="D46">_xlfn.IFS(AND(A46&gt;NumberOfPlots,ISBLANK(INDEX(PlotData,MATCH($A46,PlotNumber,0),MATCH(B$3,PlotTitles,0)))),"",ISBLANK(INDEX(PlotData,MATCH($A46,PlotNumber,0),MATCH(D$3,PlotTitles,0))),$AB$7,TRUE,"")</f>
        <v/>
      </c>
      <c r="E46" s="104" t="str" cm="1">
        <f t="array" ref="E46">_xlfn.IFS(AND(A46&gt;NumberOfPlots,ISBLANK(INDEX(PlotData,MATCH($A46,PlotNumber,0),MATCH(B$3,PlotTitles,0)))),"",ISBLANK(INDEX(PlotData,MATCH($A46,PlotNumber,0),MATCH(E$3,PlotTitles,0))),$AB$8,TRUE,"")</f>
        <v/>
      </c>
      <c r="F46" s="104" t="str" cm="1">
        <f t="array" ref="F46">_xlfn.IFS(AND(A46&gt;NumberOfPlots,ISBLANK(INDEX(PlotData,MATCH($A46,PlotNumber,0),MATCH(B$3,PlotTitles,0)))),"",ISBLANK(INDEX(PlotData,MATCH($A46,PlotNumber,0),MATCH(F$3,PlotTitles,0))),$AB$9,TRUE,"")</f>
        <v/>
      </c>
      <c r="G46" s="104" t="str" cm="1">
        <f t="array" ref="G46">_xlfn.IFS(AND(A46&gt;NumberOfPlots,ISBLANK(INDEX(PlotData,MATCH($A46,PlotNumber,0),MATCH(B$3,PlotTitles,0)))),"",ISBLANK(INDEX(PlotData,MATCH($A46,PlotNumber,0),MATCH(G$3,PlotTitles,0))),$AB$10,TRUE,"")</f>
        <v/>
      </c>
      <c r="H46" s="104" t="str" cm="1">
        <f t="array" ref="H46">_xlfn.IFS(AND(A46&gt;NumberOfPlots,ISBLANK(INDEX(PlotData,MATCH($A46,PlotNumber,0),MATCH(B$3,PlotTitles,0)))),"",AND(ISBLANK(INDEX(PlotData,MATCH($A46,PlotNumber,0),MATCH(H$3,PlotTitles,0)))=FALSE,INDEX(PlotData,MATCH($A46,PlotNumber,0),MATCH(H$3,PlotTitles,0))&lt;500), $AB$11,TRUE,"")</f>
        <v/>
      </c>
      <c r="I46" s="104" t="str" cm="1">
        <f t="array" ref="I46">_xlfn.IFS(AND(A46&gt;NumberOfPlots,ISBLANK(INDEX(PlotData,MATCH($A46,PlotNumber,0),MATCH(B$3,PlotTitles,0)))),"",ISBLANK(INDEX(PlotData,MATCH($A46,PlotNumber,0),MATCH(I$3,PlotTitles,0))),$AB$12,TRUE,"")</f>
        <v/>
      </c>
      <c r="J46" s="104" t="str" cm="1">
        <f t="array" ref="J46">_xlfn.IFS(AND(A46&gt;NumberOfPlots,ISBLANK(INDEX(PlotData,MATCH($A46,PlotNumber,0),MATCH(B$3,PlotTitles,0)))),"",ISBLANK(INDEX(PlotData,MATCH($A46,PlotNumber,0),MATCH(J$3,PlotTitles,0))),$AB$13,TRUE,"")</f>
        <v/>
      </c>
      <c r="K46" s="182" t="str">
        <f t="shared" ca="1" si="0"/>
        <v/>
      </c>
      <c r="L46" s="104" t="str" cm="1">
        <f t="array" ref="L46">_xlfn.IFS(OR(ISBLANK(StartDateMonth),ISBLANK(StartDateYear)),"",AND(A46&gt;NumberOfPlots,ISBLANK(INDEX(PlotData,MATCH($A46,PlotNumber,0),MATCH(B$3,PlotTitles,0)))),"",ISBLANK(INDEX(PlotData,MATCH($A46,PlotNumber,0),MATCH(I$3,PlotTitles,0))),"",(DATEVALUE(INDEX(PlotData,MATCH($A46,PlotNumber,0),MATCH(I$3,PlotTitles,0))&amp;INDEX(PlotData,MATCH($A46,PlotNumber,0),MATCH(J$3,PlotTitles,0))))&lt;DATEVALUE(StartDateMonth&amp;StartDateYear),$AB$15,TRUE,"")</f>
        <v/>
      </c>
      <c r="M46" s="104" t="str" cm="1">
        <f t="array" ref="M46">_xlfn.IFS(OR(ISBLANK(StartDateMonth),ISBLANK(StartDateYear)),"",AND(A46&gt;NumberOfPlots,ISBLANK(INDEX(PlotData,MATCH($A46,PlotNumber,0),MATCH(B$3,PlotTitles,0)))),"",ISBLANK(INDEX(PlotData,MATCH($A46,PlotNumber,0),MATCH(I$3,PlotTitles,0))),"",CompletionMonth="","",(DATEVALUE(INDEX(PlotData,MATCH($A46,PlotNumber,0),MATCH(I$3,PlotTitles,0))&amp;INDEX(PlotData,MATCH($A46,PlotNumber,0),MATCH(J$3,PlotTitles,0))))&gt;(DATEVALUE(CompletionMonth&amp;CompletionYear)),$AB$16,TRUE,"")</f>
        <v/>
      </c>
      <c r="N46" s="104" t="str" cm="1">
        <f t="array" ref="N46">_xlfn.IFS(AND(A46&gt;NumberOfPlots,ISBLANK(INDEX(PlotData,MATCH($A46,PlotNumber,0),MATCH(B$3,PlotTitles,0)))),"",ISBLANK(INDEX(PlotData,MATCH($A46,PlotNumber,0),MATCH(N$3,PlotTitles,0))),$AB$17,TRUE,"")</f>
        <v/>
      </c>
      <c r="O46" s="104" t="str" cm="1">
        <f t="array" ref="O46">_xlfn.IFS(AND(A46&gt;NumberOfPlots,ISBLANK(INDEX(PlotData,MATCH($A46,PlotNumber,0),MATCH(B$3,PlotTitles,0)))),"",ISBLANK(INDEX(PlotData,MATCH($A46,PlotNumber,0),MATCH(O$3,PlotTitles,0))),$AB$18,TRUE,"")</f>
        <v/>
      </c>
      <c r="P46" s="182" t="str">
        <f t="shared" ca="1" si="1"/>
        <v/>
      </c>
      <c r="Q46" s="104" t="str" cm="1">
        <f t="array" ref="Q46">_xlfn.IFS(AND(A46&gt;NumberOfPlots,ISBLANK(INDEX(PlotData,MATCH($A46,PlotNumber,0),MATCH(B$3,PlotTitles,0)))),"",ISBLANK(INDEX(PlotData,MATCH($A46,PlotNumber,0),MATCH(N$3,PlotTitles,0))),"",(DATEVALUE(INDEX(PlotData,MATCH($A46,PlotNumber,0),MATCH(N$3,PlotTitles,0))&amp;INDEX(PlotData,MATCH($A46,PlotNumber,0),MATCH(O$3,PlotTitles,0))))&lt;(DATEVALUE(INDEX(PlotData,MATCH($A46,PlotNumber,0),MATCH(I$3,PlotTitles,0))&amp;INDEX(PlotData,MATCH($A46,PlotNumber,0),MATCH(J$3,PlotTitles,0)))),$AB$20,TRUE,"")</f>
        <v/>
      </c>
      <c r="R46" s="104" t="str" cm="1">
        <f t="array" ref="R46">_xlfn.IFS(OR(ISBLANK(StartDateMonth),ISBLANK(StartDateYear)),"",AND(A46&gt;NumberOfPlots,ISBLANK(INDEX(PlotData,MATCH($A46,PlotNumber,0),MATCH(B$3,PlotTitles,0)))),"",ISBLANK(INDEX(PlotData,MATCH($A46,PlotNumber,0),MATCH(N$3,PlotTitles,0))),"",CompletionMonth="","",(DATEVALUE(INDEX(PlotData,MATCH($A46,PlotNumber,0),MATCH(N$3,PlotTitles,0))&amp;INDEX(PlotData,MATCH($A46,PlotNumber,0),MATCH(O$3,PlotTitles,0))))&gt;(DATEVALUE(CompletionMonth&amp;CompletionYear)),$AB$21,TRUE,"")</f>
        <v/>
      </c>
      <c r="S46" s="104" t="str" cm="1">
        <f t="array" ref="S46">_xlfn.IFS(AND(A46&gt;NumberOfPlots,ISBLANK(INDEX(PlotData,MATCH($A46,PlotNumber,0),MATCH(B$3,PlotTitles,0)))),"",OR(AND(INDEX(PlotData,MATCH($A46,PlotNumber,0),MATCH("Tenure",PlotTitles,0))="Open market housing",INDEX(PlotData,MATCH($A46,PlotNumber,0),MATCH("Tenure detail",PlotTitles,0))="Private rented sector"),INDEX(PlotData,MATCH($A46,PlotNumber,0),MATCH("Tenure",PlotTitles,0))="Affordable rent"),"",ISNUMBER(INDEX(PlotData,MATCH($A46,PlotNumber,0),MATCH(S$3,PlotTitles,0)))=FALSE, $AB$22,TRUE,"")</f>
        <v/>
      </c>
      <c r="T46" s="104" t="str" cm="1">
        <f t="array" ref="T46">_xlfn.IFS(AND(A46&gt;NumberOfPlots,ISBLANK(INDEX(PlotData,MATCH($A46,PlotNumber,0),MATCH(B$3,PlotTitles,0)))),"",OR(AND(INDEX(PlotData,MATCH($A46,PlotNumber,0),MATCH("Tenure",PlotTitles,0))="Open market housing",INDEX(PlotData,MATCH($A46,PlotNumber,0),MATCH("Tenure detail",PlotTitles,0))="Private rented sector"),INDEX(PlotData,MATCH($A46,PlotNumber,0),MATCH("Tenure",PlotTitles,0))="Affordable rent"),"",INDEX(PlotData,MATCH($A46,PlotNumber,0),MATCH(S$3,PlotTitles,0))&lt;10000, $AB$23,TRUE,"")</f>
        <v/>
      </c>
      <c r="U46" s="104" t="str" cm="1">
        <f t="array" ref="U46">_xlfn.IFS(AND(A46&gt;NumberOfPlots,ISBLANK(INDEX(PlotData,MATCH($A46,PlotNumber,0),MATCH(B$3,PlotTitles,0)))),"",NOT(OR(AND(INDEX(PlotData,MATCH($A46,PlotNumber,0),MATCH("Tenure",PlotTitles,0))="Open market housing",INDEX(PlotData,MATCH($A46,PlotNumber,0),MATCH("Tenure detail",PlotTitles,0))="Private rented sector"),INDEX(PlotData,MATCH($A46,PlotNumber,0),MATCH("Tenure",PlotTitles,0))="Affordable rent")),"",NOT(INDEX(PlotData,MATCH($A46,PlotNumber,0),MATCH(S$3,PlotTitles,0))=0), $AB$24,TRUE,"")</f>
        <v/>
      </c>
      <c r="V46" s="114" t="str" cm="1">
        <f t="array" aca="1" ref="V46" ca="1">_xlfn.IFS(ISBLANK(NumberOfPlots),"Enter the number of homes on the 1_SetUp sheet",AND(A46&gt;NumberOfPlots,ISBLANK(INDEX(PlotData,MATCH($A46,PlotNumber,0),MATCH(B$3,PlotTitles,0)))),"No error",NOT(B46=""),B46,NOT(C46=""),C46,NOT(D46=""),D46,NOT(E46=""),E46,NOT(F46=""),F46,NOT(G46=""),G46,NOT(H46=""),H46,NOT(I46=""),I46,NOT(J46=""),J46,NOT(K46=""),K46,NOT(L46=""),L46,NOT(M46=""),M46,NOT(N46=""),N46,NOT(O46=""),O46,NOT(P46=""),P46,NOT(Q46=""),Q46,NOT(R46=""),R46,NOT(S46=""),S46,NOT(T46=""),T46,NOT(U46=""),U46,TRUE,"No error")</f>
        <v>Enter the number of homes on the 1_SetUp sheet</v>
      </c>
      <c r="W46" s="114" t="str">
        <f t="shared" ca="1" si="2"/>
        <v xml:space="preserve">The Borrower has not addressed the following error messages for Home ID 42: </v>
      </c>
      <c r="X46" s="114"/>
      <c r="Y46" s="114"/>
      <c r="Z46" s="114"/>
      <c r="AA46" s="114"/>
      <c r="AB46" s="114"/>
    </row>
    <row r="47" spans="1:28">
      <c r="A47" s="123">
        <v>43</v>
      </c>
      <c r="B47" s="104" t="str" cm="1">
        <f t="array" ref="B47">_xlfn.IFS(AND(A47&gt;NumberOfPlots,ISBLANK(INDEX(PlotData,MATCH($A47,PlotNumber,0),MATCH(B$3,PlotTitles,0)))),"",ISNUMBER(INDEX(PlotData,MATCH($A47,PlotNumber,0),MATCH(B$3,PlotTitles,0)))=FALSE, $AB$5,TRUE,"")</f>
        <v/>
      </c>
      <c r="C47" s="104" t="str" cm="1">
        <f t="array" ref="C47">_xlfn.IFS(AND(A47&gt;NumberOfPlots,ISBLANK(INDEX(PlotData,MATCH($A47,PlotNumber,0),MATCH(B$3,PlotTitles,0)))),"",ISBLANK(INDEX(PlotData,MATCH($A47,PlotNumber,0),MATCH(C$3,PlotTitles,0))),$AB$6,TRUE,"")</f>
        <v/>
      </c>
      <c r="D47" s="104" t="str" cm="1">
        <f t="array" ref="D47">_xlfn.IFS(AND(A47&gt;NumberOfPlots,ISBLANK(INDEX(PlotData,MATCH($A47,PlotNumber,0),MATCH(B$3,PlotTitles,0)))),"",ISBLANK(INDEX(PlotData,MATCH($A47,PlotNumber,0),MATCH(D$3,PlotTitles,0))),$AB$7,TRUE,"")</f>
        <v/>
      </c>
      <c r="E47" s="104" t="str" cm="1">
        <f t="array" ref="E47">_xlfn.IFS(AND(A47&gt;NumberOfPlots,ISBLANK(INDEX(PlotData,MATCH($A47,PlotNumber,0),MATCH(B$3,PlotTitles,0)))),"",ISBLANK(INDEX(PlotData,MATCH($A47,PlotNumber,0),MATCH(E$3,PlotTitles,0))),$AB$8,TRUE,"")</f>
        <v/>
      </c>
      <c r="F47" s="104" t="str" cm="1">
        <f t="array" ref="F47">_xlfn.IFS(AND(A47&gt;NumberOfPlots,ISBLANK(INDEX(PlotData,MATCH($A47,PlotNumber,0),MATCH(B$3,PlotTitles,0)))),"",ISBLANK(INDEX(PlotData,MATCH($A47,PlotNumber,0),MATCH(F$3,PlotTitles,0))),$AB$9,TRUE,"")</f>
        <v/>
      </c>
      <c r="G47" s="104" t="str" cm="1">
        <f t="array" ref="G47">_xlfn.IFS(AND(A47&gt;NumberOfPlots,ISBLANK(INDEX(PlotData,MATCH($A47,PlotNumber,0),MATCH(B$3,PlotTitles,0)))),"",ISBLANK(INDEX(PlotData,MATCH($A47,PlotNumber,0),MATCH(G$3,PlotTitles,0))),$AB$10,TRUE,"")</f>
        <v/>
      </c>
      <c r="H47" s="104" t="str" cm="1">
        <f t="array" ref="H47">_xlfn.IFS(AND(A47&gt;NumberOfPlots,ISBLANK(INDEX(PlotData,MATCH($A47,PlotNumber,0),MATCH(B$3,PlotTitles,0)))),"",AND(ISBLANK(INDEX(PlotData,MATCH($A47,PlotNumber,0),MATCH(H$3,PlotTitles,0)))=FALSE,INDEX(PlotData,MATCH($A47,PlotNumber,0),MATCH(H$3,PlotTitles,0))&lt;500), $AB$11,TRUE,"")</f>
        <v/>
      </c>
      <c r="I47" s="104" t="str" cm="1">
        <f t="array" ref="I47">_xlfn.IFS(AND(A47&gt;NumberOfPlots,ISBLANK(INDEX(PlotData,MATCH($A47,PlotNumber,0),MATCH(B$3,PlotTitles,0)))),"",ISBLANK(INDEX(PlotData,MATCH($A47,PlotNumber,0),MATCH(I$3,PlotTitles,0))),$AB$12,TRUE,"")</f>
        <v/>
      </c>
      <c r="J47" s="104" t="str" cm="1">
        <f t="array" ref="J47">_xlfn.IFS(AND(A47&gt;NumberOfPlots,ISBLANK(INDEX(PlotData,MATCH($A47,PlotNumber,0),MATCH(B$3,PlotTitles,0)))),"",ISBLANK(INDEX(PlotData,MATCH($A47,PlotNumber,0),MATCH(J$3,PlotTitles,0))),$AB$13,TRUE,"")</f>
        <v/>
      </c>
      <c r="K47" s="182" t="str">
        <f t="shared" ca="1" si="0"/>
        <v/>
      </c>
      <c r="L47" s="104" t="str" cm="1">
        <f t="array" ref="L47">_xlfn.IFS(OR(ISBLANK(StartDateMonth),ISBLANK(StartDateYear)),"",AND(A47&gt;NumberOfPlots,ISBLANK(INDEX(PlotData,MATCH($A47,PlotNumber,0),MATCH(B$3,PlotTitles,0)))),"",ISBLANK(INDEX(PlotData,MATCH($A47,PlotNumber,0),MATCH(I$3,PlotTitles,0))),"",(DATEVALUE(INDEX(PlotData,MATCH($A47,PlotNumber,0),MATCH(I$3,PlotTitles,0))&amp;INDEX(PlotData,MATCH($A47,PlotNumber,0),MATCH(J$3,PlotTitles,0))))&lt;DATEVALUE(StartDateMonth&amp;StartDateYear),$AB$15,TRUE,"")</f>
        <v/>
      </c>
      <c r="M47" s="104" t="str" cm="1">
        <f t="array" ref="M47">_xlfn.IFS(OR(ISBLANK(StartDateMonth),ISBLANK(StartDateYear)),"",AND(A47&gt;NumberOfPlots,ISBLANK(INDEX(PlotData,MATCH($A47,PlotNumber,0),MATCH(B$3,PlotTitles,0)))),"",ISBLANK(INDEX(PlotData,MATCH($A47,PlotNumber,0),MATCH(I$3,PlotTitles,0))),"",CompletionMonth="","",(DATEVALUE(INDEX(PlotData,MATCH($A47,PlotNumber,0),MATCH(I$3,PlotTitles,0))&amp;INDEX(PlotData,MATCH($A47,PlotNumber,0),MATCH(J$3,PlotTitles,0))))&gt;(DATEVALUE(CompletionMonth&amp;CompletionYear)),$AB$16,TRUE,"")</f>
        <v/>
      </c>
      <c r="N47" s="104" t="str" cm="1">
        <f t="array" ref="N47">_xlfn.IFS(AND(A47&gt;NumberOfPlots,ISBLANK(INDEX(PlotData,MATCH($A47,PlotNumber,0),MATCH(B$3,PlotTitles,0)))),"",ISBLANK(INDEX(PlotData,MATCH($A47,PlotNumber,0),MATCH(N$3,PlotTitles,0))),$AB$17,TRUE,"")</f>
        <v/>
      </c>
      <c r="O47" s="104" t="str" cm="1">
        <f t="array" ref="O47">_xlfn.IFS(AND(A47&gt;NumberOfPlots,ISBLANK(INDEX(PlotData,MATCH($A47,PlotNumber,0),MATCH(B$3,PlotTitles,0)))),"",ISBLANK(INDEX(PlotData,MATCH($A47,PlotNumber,0),MATCH(O$3,PlotTitles,0))),$AB$18,TRUE,"")</f>
        <v/>
      </c>
      <c r="P47" s="182" t="str">
        <f t="shared" ca="1" si="1"/>
        <v/>
      </c>
      <c r="Q47" s="104" t="str" cm="1">
        <f t="array" ref="Q47">_xlfn.IFS(AND(A47&gt;NumberOfPlots,ISBLANK(INDEX(PlotData,MATCH($A47,PlotNumber,0),MATCH(B$3,PlotTitles,0)))),"",ISBLANK(INDEX(PlotData,MATCH($A47,PlotNumber,0),MATCH(N$3,PlotTitles,0))),"",(DATEVALUE(INDEX(PlotData,MATCH($A47,PlotNumber,0),MATCH(N$3,PlotTitles,0))&amp;INDEX(PlotData,MATCH($A47,PlotNumber,0),MATCH(O$3,PlotTitles,0))))&lt;(DATEVALUE(INDEX(PlotData,MATCH($A47,PlotNumber,0),MATCH(I$3,PlotTitles,0))&amp;INDEX(PlotData,MATCH($A47,PlotNumber,0),MATCH(J$3,PlotTitles,0)))),$AB$20,TRUE,"")</f>
        <v/>
      </c>
      <c r="R47" s="104" t="str" cm="1">
        <f t="array" ref="R47">_xlfn.IFS(OR(ISBLANK(StartDateMonth),ISBLANK(StartDateYear)),"",AND(A47&gt;NumberOfPlots,ISBLANK(INDEX(PlotData,MATCH($A47,PlotNumber,0),MATCH(B$3,PlotTitles,0)))),"",ISBLANK(INDEX(PlotData,MATCH($A47,PlotNumber,0),MATCH(N$3,PlotTitles,0))),"",CompletionMonth="","",(DATEVALUE(INDEX(PlotData,MATCH($A47,PlotNumber,0),MATCH(N$3,PlotTitles,0))&amp;INDEX(PlotData,MATCH($A47,PlotNumber,0),MATCH(O$3,PlotTitles,0))))&gt;(DATEVALUE(CompletionMonth&amp;CompletionYear)),$AB$21,TRUE,"")</f>
        <v/>
      </c>
      <c r="S47" s="104" t="str" cm="1">
        <f t="array" ref="S47">_xlfn.IFS(AND(A47&gt;NumberOfPlots,ISBLANK(INDEX(PlotData,MATCH($A47,PlotNumber,0),MATCH(B$3,PlotTitles,0)))),"",OR(AND(INDEX(PlotData,MATCH($A47,PlotNumber,0),MATCH("Tenure",PlotTitles,0))="Open market housing",INDEX(PlotData,MATCH($A47,PlotNumber,0),MATCH("Tenure detail",PlotTitles,0))="Private rented sector"),INDEX(PlotData,MATCH($A47,PlotNumber,0),MATCH("Tenure",PlotTitles,0))="Affordable rent"),"",ISNUMBER(INDEX(PlotData,MATCH($A47,PlotNumber,0),MATCH(S$3,PlotTitles,0)))=FALSE, $AB$22,TRUE,"")</f>
        <v/>
      </c>
      <c r="T47" s="104" t="str" cm="1">
        <f t="array" ref="T47">_xlfn.IFS(AND(A47&gt;NumberOfPlots,ISBLANK(INDEX(PlotData,MATCH($A47,PlotNumber,0),MATCH(B$3,PlotTitles,0)))),"",OR(AND(INDEX(PlotData,MATCH($A47,PlotNumber,0),MATCH("Tenure",PlotTitles,0))="Open market housing",INDEX(PlotData,MATCH($A47,PlotNumber,0),MATCH("Tenure detail",PlotTitles,0))="Private rented sector"),INDEX(PlotData,MATCH($A47,PlotNumber,0),MATCH("Tenure",PlotTitles,0))="Affordable rent"),"",INDEX(PlotData,MATCH($A47,PlotNumber,0),MATCH(S$3,PlotTitles,0))&lt;10000, $AB$23,TRUE,"")</f>
        <v/>
      </c>
      <c r="U47" s="104" t="str" cm="1">
        <f t="array" ref="U47">_xlfn.IFS(AND(A47&gt;NumberOfPlots,ISBLANK(INDEX(PlotData,MATCH($A47,PlotNumber,0),MATCH(B$3,PlotTitles,0)))),"",NOT(OR(AND(INDEX(PlotData,MATCH($A47,PlotNumber,0),MATCH("Tenure",PlotTitles,0))="Open market housing",INDEX(PlotData,MATCH($A47,PlotNumber,0),MATCH("Tenure detail",PlotTitles,0))="Private rented sector"),INDEX(PlotData,MATCH($A47,PlotNumber,0),MATCH("Tenure",PlotTitles,0))="Affordable rent")),"",NOT(INDEX(PlotData,MATCH($A47,PlotNumber,0),MATCH(S$3,PlotTitles,0))=0), $AB$24,TRUE,"")</f>
        <v/>
      </c>
      <c r="V47" s="114" t="str" cm="1">
        <f t="array" aca="1" ref="V47" ca="1">_xlfn.IFS(ISBLANK(NumberOfPlots),"Enter the number of homes on the 1_SetUp sheet",AND(A47&gt;NumberOfPlots,ISBLANK(INDEX(PlotData,MATCH($A47,PlotNumber,0),MATCH(B$3,PlotTitles,0)))),"No error",NOT(B47=""),B47,NOT(C47=""),C47,NOT(D47=""),D47,NOT(E47=""),E47,NOT(F47=""),F47,NOT(G47=""),G47,NOT(H47=""),H47,NOT(I47=""),I47,NOT(J47=""),J47,NOT(K47=""),K47,NOT(L47=""),L47,NOT(M47=""),M47,NOT(N47=""),N47,NOT(O47=""),O47,NOT(P47=""),P47,NOT(Q47=""),Q47,NOT(R47=""),R47,NOT(S47=""),S47,NOT(T47=""),T47,NOT(U47=""),U47,TRUE,"No error")</f>
        <v>Enter the number of homes on the 1_SetUp sheet</v>
      </c>
      <c r="W47" s="114" t="str">
        <f t="shared" ca="1" si="2"/>
        <v xml:space="preserve">The Borrower has not addressed the following error messages for Home ID 43: </v>
      </c>
      <c r="X47" s="114"/>
      <c r="Y47" s="114"/>
      <c r="Z47" s="114"/>
      <c r="AA47" s="114"/>
      <c r="AB47" s="114"/>
    </row>
    <row r="48" spans="1:28">
      <c r="A48" s="123">
        <v>44</v>
      </c>
      <c r="B48" s="104" t="str" cm="1">
        <f t="array" ref="B48">_xlfn.IFS(AND(A48&gt;NumberOfPlots,ISBLANK(INDEX(PlotData,MATCH($A48,PlotNumber,0),MATCH(B$3,PlotTitles,0)))),"",ISNUMBER(INDEX(PlotData,MATCH($A48,PlotNumber,0),MATCH(B$3,PlotTitles,0)))=FALSE, $AB$5,TRUE,"")</f>
        <v/>
      </c>
      <c r="C48" s="104" t="str" cm="1">
        <f t="array" ref="C48">_xlfn.IFS(AND(A48&gt;NumberOfPlots,ISBLANK(INDEX(PlotData,MATCH($A48,PlotNumber,0),MATCH(B$3,PlotTitles,0)))),"",ISBLANK(INDEX(PlotData,MATCH($A48,PlotNumber,0),MATCH(C$3,PlotTitles,0))),$AB$6,TRUE,"")</f>
        <v/>
      </c>
      <c r="D48" s="104" t="str" cm="1">
        <f t="array" ref="D48">_xlfn.IFS(AND(A48&gt;NumberOfPlots,ISBLANK(INDEX(PlotData,MATCH($A48,PlotNumber,0),MATCH(B$3,PlotTitles,0)))),"",ISBLANK(INDEX(PlotData,MATCH($A48,PlotNumber,0),MATCH(D$3,PlotTitles,0))),$AB$7,TRUE,"")</f>
        <v/>
      </c>
      <c r="E48" s="104" t="str" cm="1">
        <f t="array" ref="E48">_xlfn.IFS(AND(A48&gt;NumberOfPlots,ISBLANK(INDEX(PlotData,MATCH($A48,PlotNumber,0),MATCH(B$3,PlotTitles,0)))),"",ISBLANK(INDEX(PlotData,MATCH($A48,PlotNumber,0),MATCH(E$3,PlotTitles,0))),$AB$8,TRUE,"")</f>
        <v/>
      </c>
      <c r="F48" s="104" t="str" cm="1">
        <f t="array" ref="F48">_xlfn.IFS(AND(A48&gt;NumberOfPlots,ISBLANK(INDEX(PlotData,MATCH($A48,PlotNumber,0),MATCH(B$3,PlotTitles,0)))),"",ISBLANK(INDEX(PlotData,MATCH($A48,PlotNumber,0),MATCH(F$3,PlotTitles,0))),$AB$9,TRUE,"")</f>
        <v/>
      </c>
      <c r="G48" s="104" t="str" cm="1">
        <f t="array" ref="G48">_xlfn.IFS(AND(A48&gt;NumberOfPlots,ISBLANK(INDEX(PlotData,MATCH($A48,PlotNumber,0),MATCH(B$3,PlotTitles,0)))),"",ISBLANK(INDEX(PlotData,MATCH($A48,PlotNumber,0),MATCH(G$3,PlotTitles,0))),$AB$10,TRUE,"")</f>
        <v/>
      </c>
      <c r="H48" s="104" t="str" cm="1">
        <f t="array" ref="H48">_xlfn.IFS(AND(A48&gt;NumberOfPlots,ISBLANK(INDEX(PlotData,MATCH($A48,PlotNumber,0),MATCH(B$3,PlotTitles,0)))),"",AND(ISBLANK(INDEX(PlotData,MATCH($A48,PlotNumber,0),MATCH(H$3,PlotTitles,0)))=FALSE,INDEX(PlotData,MATCH($A48,PlotNumber,0),MATCH(H$3,PlotTitles,0))&lt;500), $AB$11,TRUE,"")</f>
        <v/>
      </c>
      <c r="I48" s="104" t="str" cm="1">
        <f t="array" ref="I48">_xlfn.IFS(AND(A48&gt;NumberOfPlots,ISBLANK(INDEX(PlotData,MATCH($A48,PlotNumber,0),MATCH(B$3,PlotTitles,0)))),"",ISBLANK(INDEX(PlotData,MATCH($A48,PlotNumber,0),MATCH(I$3,PlotTitles,0))),$AB$12,TRUE,"")</f>
        <v/>
      </c>
      <c r="J48" s="104" t="str" cm="1">
        <f t="array" ref="J48">_xlfn.IFS(AND(A48&gt;NumberOfPlots,ISBLANK(INDEX(PlotData,MATCH($A48,PlotNumber,0),MATCH(B$3,PlotTitles,0)))),"",ISBLANK(INDEX(PlotData,MATCH($A48,PlotNumber,0),MATCH(J$3,PlotTitles,0))),$AB$13,TRUE,"")</f>
        <v/>
      </c>
      <c r="K48" s="182" t="str">
        <f t="shared" ca="1" si="0"/>
        <v/>
      </c>
      <c r="L48" s="104" t="str" cm="1">
        <f t="array" ref="L48">_xlfn.IFS(OR(ISBLANK(StartDateMonth),ISBLANK(StartDateYear)),"",AND(A48&gt;NumberOfPlots,ISBLANK(INDEX(PlotData,MATCH($A48,PlotNumber,0),MATCH(B$3,PlotTitles,0)))),"",ISBLANK(INDEX(PlotData,MATCH($A48,PlotNumber,0),MATCH(I$3,PlotTitles,0))),"",(DATEVALUE(INDEX(PlotData,MATCH($A48,PlotNumber,0),MATCH(I$3,PlotTitles,0))&amp;INDEX(PlotData,MATCH($A48,PlotNumber,0),MATCH(J$3,PlotTitles,0))))&lt;DATEVALUE(StartDateMonth&amp;StartDateYear),$AB$15,TRUE,"")</f>
        <v/>
      </c>
      <c r="M48" s="104" t="str" cm="1">
        <f t="array" ref="M48">_xlfn.IFS(OR(ISBLANK(StartDateMonth),ISBLANK(StartDateYear)),"",AND(A48&gt;NumberOfPlots,ISBLANK(INDEX(PlotData,MATCH($A48,PlotNumber,0),MATCH(B$3,PlotTitles,0)))),"",ISBLANK(INDEX(PlotData,MATCH($A48,PlotNumber,0),MATCH(I$3,PlotTitles,0))),"",CompletionMonth="","",(DATEVALUE(INDEX(PlotData,MATCH($A48,PlotNumber,0),MATCH(I$3,PlotTitles,0))&amp;INDEX(PlotData,MATCH($A48,PlotNumber,0),MATCH(J$3,PlotTitles,0))))&gt;(DATEVALUE(CompletionMonth&amp;CompletionYear)),$AB$16,TRUE,"")</f>
        <v/>
      </c>
      <c r="N48" s="104" t="str" cm="1">
        <f t="array" ref="N48">_xlfn.IFS(AND(A48&gt;NumberOfPlots,ISBLANK(INDEX(PlotData,MATCH($A48,PlotNumber,0),MATCH(B$3,PlotTitles,0)))),"",ISBLANK(INDEX(PlotData,MATCH($A48,PlotNumber,0),MATCH(N$3,PlotTitles,0))),$AB$17,TRUE,"")</f>
        <v/>
      </c>
      <c r="O48" s="104" t="str" cm="1">
        <f t="array" ref="O48">_xlfn.IFS(AND(A48&gt;NumberOfPlots,ISBLANK(INDEX(PlotData,MATCH($A48,PlotNumber,0),MATCH(B$3,PlotTitles,0)))),"",ISBLANK(INDEX(PlotData,MATCH($A48,PlotNumber,0),MATCH(O$3,PlotTitles,0))),$AB$18,TRUE,"")</f>
        <v/>
      </c>
      <c r="P48" s="182" t="str">
        <f t="shared" ca="1" si="1"/>
        <v/>
      </c>
      <c r="Q48" s="104" t="str" cm="1">
        <f t="array" ref="Q48">_xlfn.IFS(AND(A48&gt;NumberOfPlots,ISBLANK(INDEX(PlotData,MATCH($A48,PlotNumber,0),MATCH(B$3,PlotTitles,0)))),"",ISBLANK(INDEX(PlotData,MATCH($A48,PlotNumber,0),MATCH(N$3,PlotTitles,0))),"",(DATEVALUE(INDEX(PlotData,MATCH($A48,PlotNumber,0),MATCH(N$3,PlotTitles,0))&amp;INDEX(PlotData,MATCH($A48,PlotNumber,0),MATCH(O$3,PlotTitles,0))))&lt;(DATEVALUE(INDEX(PlotData,MATCH($A48,PlotNumber,0),MATCH(I$3,PlotTitles,0))&amp;INDEX(PlotData,MATCH($A48,PlotNumber,0),MATCH(J$3,PlotTitles,0)))),$AB$20,TRUE,"")</f>
        <v/>
      </c>
      <c r="R48" s="104" t="str" cm="1">
        <f t="array" ref="R48">_xlfn.IFS(OR(ISBLANK(StartDateMonth),ISBLANK(StartDateYear)),"",AND(A48&gt;NumberOfPlots,ISBLANK(INDEX(PlotData,MATCH($A48,PlotNumber,0),MATCH(B$3,PlotTitles,0)))),"",ISBLANK(INDEX(PlotData,MATCH($A48,PlotNumber,0),MATCH(N$3,PlotTitles,0))),"",CompletionMonth="","",(DATEVALUE(INDEX(PlotData,MATCH($A48,PlotNumber,0),MATCH(N$3,PlotTitles,0))&amp;INDEX(PlotData,MATCH($A48,PlotNumber,0),MATCH(O$3,PlotTitles,0))))&gt;(DATEVALUE(CompletionMonth&amp;CompletionYear)),$AB$21,TRUE,"")</f>
        <v/>
      </c>
      <c r="S48" s="104" t="str" cm="1">
        <f t="array" ref="S48">_xlfn.IFS(AND(A48&gt;NumberOfPlots,ISBLANK(INDEX(PlotData,MATCH($A48,PlotNumber,0),MATCH(B$3,PlotTitles,0)))),"",OR(AND(INDEX(PlotData,MATCH($A48,PlotNumber,0),MATCH("Tenure",PlotTitles,0))="Open market housing",INDEX(PlotData,MATCH($A48,PlotNumber,0),MATCH("Tenure detail",PlotTitles,0))="Private rented sector"),INDEX(PlotData,MATCH($A48,PlotNumber,0),MATCH("Tenure",PlotTitles,0))="Affordable rent"),"",ISNUMBER(INDEX(PlotData,MATCH($A48,PlotNumber,0),MATCH(S$3,PlotTitles,0)))=FALSE, $AB$22,TRUE,"")</f>
        <v/>
      </c>
      <c r="T48" s="104" t="str" cm="1">
        <f t="array" ref="T48">_xlfn.IFS(AND(A48&gt;NumberOfPlots,ISBLANK(INDEX(PlotData,MATCH($A48,PlotNumber,0),MATCH(B$3,PlotTitles,0)))),"",OR(AND(INDEX(PlotData,MATCH($A48,PlotNumber,0),MATCH("Tenure",PlotTitles,0))="Open market housing",INDEX(PlotData,MATCH($A48,PlotNumber,0),MATCH("Tenure detail",PlotTitles,0))="Private rented sector"),INDEX(PlotData,MATCH($A48,PlotNumber,0),MATCH("Tenure",PlotTitles,0))="Affordable rent"),"",INDEX(PlotData,MATCH($A48,PlotNumber,0),MATCH(S$3,PlotTitles,0))&lt;10000, $AB$23,TRUE,"")</f>
        <v/>
      </c>
      <c r="U48" s="104" t="str" cm="1">
        <f t="array" ref="U48">_xlfn.IFS(AND(A48&gt;NumberOfPlots,ISBLANK(INDEX(PlotData,MATCH($A48,PlotNumber,0),MATCH(B$3,PlotTitles,0)))),"",NOT(OR(AND(INDEX(PlotData,MATCH($A48,PlotNumber,0),MATCH("Tenure",PlotTitles,0))="Open market housing",INDEX(PlotData,MATCH($A48,PlotNumber,0),MATCH("Tenure detail",PlotTitles,0))="Private rented sector"),INDEX(PlotData,MATCH($A48,PlotNumber,0),MATCH("Tenure",PlotTitles,0))="Affordable rent")),"",NOT(INDEX(PlotData,MATCH($A48,PlotNumber,0),MATCH(S$3,PlotTitles,0))=0), $AB$24,TRUE,"")</f>
        <v/>
      </c>
      <c r="V48" s="114" t="str" cm="1">
        <f t="array" aca="1" ref="V48" ca="1">_xlfn.IFS(ISBLANK(NumberOfPlots),"Enter the number of homes on the 1_SetUp sheet",AND(A48&gt;NumberOfPlots,ISBLANK(INDEX(PlotData,MATCH($A48,PlotNumber,0),MATCH(B$3,PlotTitles,0)))),"No error",NOT(B48=""),B48,NOT(C48=""),C48,NOT(D48=""),D48,NOT(E48=""),E48,NOT(F48=""),F48,NOT(G48=""),G48,NOT(H48=""),H48,NOT(I48=""),I48,NOT(J48=""),J48,NOT(K48=""),K48,NOT(L48=""),L48,NOT(M48=""),M48,NOT(N48=""),N48,NOT(O48=""),O48,NOT(P48=""),P48,NOT(Q48=""),Q48,NOT(R48=""),R48,NOT(S48=""),S48,NOT(T48=""),T48,NOT(U48=""),U48,TRUE,"No error")</f>
        <v>Enter the number of homes on the 1_SetUp sheet</v>
      </c>
      <c r="W48" s="114" t="str">
        <f t="shared" ca="1" si="2"/>
        <v xml:space="preserve">The Borrower has not addressed the following error messages for Home ID 44: </v>
      </c>
      <c r="X48" s="114"/>
      <c r="Y48" s="114"/>
      <c r="Z48" s="114"/>
      <c r="AA48" s="114"/>
      <c r="AB48" s="114"/>
    </row>
    <row r="49" spans="1:23">
      <c r="A49" s="123">
        <v>45</v>
      </c>
      <c r="B49" s="104" t="str" cm="1">
        <f t="array" ref="B49">_xlfn.IFS(AND(A49&gt;NumberOfPlots,ISBLANK(INDEX(PlotData,MATCH($A49,PlotNumber,0),MATCH(B$3,PlotTitles,0)))),"",ISNUMBER(INDEX(PlotData,MATCH($A49,PlotNumber,0),MATCH(B$3,PlotTitles,0)))=FALSE, $AB$5,TRUE,"")</f>
        <v/>
      </c>
      <c r="C49" s="104" t="str" cm="1">
        <f t="array" ref="C49">_xlfn.IFS(AND(A49&gt;NumberOfPlots,ISBLANK(INDEX(PlotData,MATCH($A49,PlotNumber,0),MATCH(B$3,PlotTitles,0)))),"",ISBLANK(INDEX(PlotData,MATCH($A49,PlotNumber,0),MATCH(C$3,PlotTitles,0))),$AB$6,TRUE,"")</f>
        <v/>
      </c>
      <c r="D49" s="104" t="str" cm="1">
        <f t="array" ref="D49">_xlfn.IFS(AND(A49&gt;NumberOfPlots,ISBLANK(INDEX(PlotData,MATCH($A49,PlotNumber,0),MATCH(B$3,PlotTitles,0)))),"",ISBLANK(INDEX(PlotData,MATCH($A49,PlotNumber,0),MATCH(D$3,PlotTitles,0))),$AB$7,TRUE,"")</f>
        <v/>
      </c>
      <c r="E49" s="104" t="str" cm="1">
        <f t="array" ref="E49">_xlfn.IFS(AND(A49&gt;NumberOfPlots,ISBLANK(INDEX(PlotData,MATCH($A49,PlotNumber,0),MATCH(B$3,PlotTitles,0)))),"",ISBLANK(INDEX(PlotData,MATCH($A49,PlotNumber,0),MATCH(E$3,PlotTitles,0))),$AB$8,TRUE,"")</f>
        <v/>
      </c>
      <c r="F49" s="104" t="str" cm="1">
        <f t="array" ref="F49">_xlfn.IFS(AND(A49&gt;NumberOfPlots,ISBLANK(INDEX(PlotData,MATCH($A49,PlotNumber,0),MATCH(B$3,PlotTitles,0)))),"",ISBLANK(INDEX(PlotData,MATCH($A49,PlotNumber,0),MATCH(F$3,PlotTitles,0))),$AB$9,TRUE,"")</f>
        <v/>
      </c>
      <c r="G49" s="104" t="str" cm="1">
        <f t="array" ref="G49">_xlfn.IFS(AND(A49&gt;NumberOfPlots,ISBLANK(INDEX(PlotData,MATCH($A49,PlotNumber,0),MATCH(B$3,PlotTitles,0)))),"",ISBLANK(INDEX(PlotData,MATCH($A49,PlotNumber,0),MATCH(G$3,PlotTitles,0))),$AB$10,TRUE,"")</f>
        <v/>
      </c>
      <c r="H49" s="104" t="str" cm="1">
        <f t="array" ref="H49">_xlfn.IFS(AND(A49&gt;NumberOfPlots,ISBLANK(INDEX(PlotData,MATCH($A49,PlotNumber,0),MATCH(B$3,PlotTitles,0)))),"",AND(ISBLANK(INDEX(PlotData,MATCH($A49,PlotNumber,0),MATCH(H$3,PlotTitles,0)))=FALSE,INDEX(PlotData,MATCH($A49,PlotNumber,0),MATCH(H$3,PlotTitles,0))&lt;500), $AB$11,TRUE,"")</f>
        <v/>
      </c>
      <c r="I49" s="104" t="str" cm="1">
        <f t="array" ref="I49">_xlfn.IFS(AND(A49&gt;NumberOfPlots,ISBLANK(INDEX(PlotData,MATCH($A49,PlotNumber,0),MATCH(B$3,PlotTitles,0)))),"",ISBLANK(INDEX(PlotData,MATCH($A49,PlotNumber,0),MATCH(I$3,PlotTitles,0))),$AB$12,TRUE,"")</f>
        <v/>
      </c>
      <c r="J49" s="104" t="str" cm="1">
        <f t="array" ref="J49">_xlfn.IFS(AND(A49&gt;NumberOfPlots,ISBLANK(INDEX(PlotData,MATCH($A49,PlotNumber,0),MATCH(B$3,PlotTitles,0)))),"",ISBLANK(INDEX(PlotData,MATCH($A49,PlotNumber,0),MATCH(J$3,PlotTitles,0))),$AB$13,TRUE,"")</f>
        <v/>
      </c>
      <c r="K49" s="182" t="str">
        <f t="shared" ca="1" si="0"/>
        <v/>
      </c>
      <c r="L49" s="104" t="str" cm="1">
        <f t="array" ref="L49">_xlfn.IFS(OR(ISBLANK(StartDateMonth),ISBLANK(StartDateYear)),"",AND(A49&gt;NumberOfPlots,ISBLANK(INDEX(PlotData,MATCH($A49,PlotNumber,0),MATCH(B$3,PlotTitles,0)))),"",ISBLANK(INDEX(PlotData,MATCH($A49,PlotNumber,0),MATCH(I$3,PlotTitles,0))),"",(DATEVALUE(INDEX(PlotData,MATCH($A49,PlotNumber,0),MATCH(I$3,PlotTitles,0))&amp;INDEX(PlotData,MATCH($A49,PlotNumber,0),MATCH(J$3,PlotTitles,0))))&lt;DATEVALUE(StartDateMonth&amp;StartDateYear),$AB$15,TRUE,"")</f>
        <v/>
      </c>
      <c r="M49" s="104" t="str" cm="1">
        <f t="array" ref="M49">_xlfn.IFS(OR(ISBLANK(StartDateMonth),ISBLANK(StartDateYear)),"",AND(A49&gt;NumberOfPlots,ISBLANK(INDEX(PlotData,MATCH($A49,PlotNumber,0),MATCH(B$3,PlotTitles,0)))),"",ISBLANK(INDEX(PlotData,MATCH($A49,PlotNumber,0),MATCH(I$3,PlotTitles,0))),"",CompletionMonth="","",(DATEVALUE(INDEX(PlotData,MATCH($A49,PlotNumber,0),MATCH(I$3,PlotTitles,0))&amp;INDEX(PlotData,MATCH($A49,PlotNumber,0),MATCH(J$3,PlotTitles,0))))&gt;(DATEVALUE(CompletionMonth&amp;CompletionYear)),$AB$16,TRUE,"")</f>
        <v/>
      </c>
      <c r="N49" s="104" t="str" cm="1">
        <f t="array" ref="N49">_xlfn.IFS(AND(A49&gt;NumberOfPlots,ISBLANK(INDEX(PlotData,MATCH($A49,PlotNumber,0),MATCH(B$3,PlotTitles,0)))),"",ISBLANK(INDEX(PlotData,MATCH($A49,PlotNumber,0),MATCH(N$3,PlotTitles,0))),$AB$17,TRUE,"")</f>
        <v/>
      </c>
      <c r="O49" s="104" t="str" cm="1">
        <f t="array" ref="O49">_xlfn.IFS(AND(A49&gt;NumberOfPlots,ISBLANK(INDEX(PlotData,MATCH($A49,PlotNumber,0),MATCH(B$3,PlotTitles,0)))),"",ISBLANK(INDEX(PlotData,MATCH($A49,PlotNumber,0),MATCH(O$3,PlotTitles,0))),$AB$18,TRUE,"")</f>
        <v/>
      </c>
      <c r="P49" s="182" t="str">
        <f t="shared" ca="1" si="1"/>
        <v/>
      </c>
      <c r="Q49" s="104" t="str" cm="1">
        <f t="array" ref="Q49">_xlfn.IFS(AND(A49&gt;NumberOfPlots,ISBLANK(INDEX(PlotData,MATCH($A49,PlotNumber,0),MATCH(B$3,PlotTitles,0)))),"",ISBLANK(INDEX(PlotData,MATCH($A49,PlotNumber,0),MATCH(N$3,PlotTitles,0))),"",(DATEVALUE(INDEX(PlotData,MATCH($A49,PlotNumber,0),MATCH(N$3,PlotTitles,0))&amp;INDEX(PlotData,MATCH($A49,PlotNumber,0),MATCH(O$3,PlotTitles,0))))&lt;(DATEVALUE(INDEX(PlotData,MATCH($A49,PlotNumber,0),MATCH(I$3,PlotTitles,0))&amp;INDEX(PlotData,MATCH($A49,PlotNumber,0),MATCH(J$3,PlotTitles,0)))),$AB$20,TRUE,"")</f>
        <v/>
      </c>
      <c r="R49" s="104" t="str" cm="1">
        <f t="array" ref="R49">_xlfn.IFS(OR(ISBLANK(StartDateMonth),ISBLANK(StartDateYear)),"",AND(A49&gt;NumberOfPlots,ISBLANK(INDEX(PlotData,MATCH($A49,PlotNumber,0),MATCH(B$3,PlotTitles,0)))),"",ISBLANK(INDEX(PlotData,MATCH($A49,PlotNumber,0),MATCH(N$3,PlotTitles,0))),"",CompletionMonth="","",(DATEVALUE(INDEX(PlotData,MATCH($A49,PlotNumber,0),MATCH(N$3,PlotTitles,0))&amp;INDEX(PlotData,MATCH($A49,PlotNumber,0),MATCH(O$3,PlotTitles,0))))&gt;(DATEVALUE(CompletionMonth&amp;CompletionYear)),$AB$21,TRUE,"")</f>
        <v/>
      </c>
      <c r="S49" s="104" t="str" cm="1">
        <f t="array" ref="S49">_xlfn.IFS(AND(A49&gt;NumberOfPlots,ISBLANK(INDEX(PlotData,MATCH($A49,PlotNumber,0),MATCH(B$3,PlotTitles,0)))),"",OR(AND(INDEX(PlotData,MATCH($A49,PlotNumber,0),MATCH("Tenure",PlotTitles,0))="Open market housing",INDEX(PlotData,MATCH($A49,PlotNumber,0),MATCH("Tenure detail",PlotTitles,0))="Private rented sector"),INDEX(PlotData,MATCH($A49,PlotNumber,0),MATCH("Tenure",PlotTitles,0))="Affordable rent"),"",ISNUMBER(INDEX(PlotData,MATCH($A49,PlotNumber,0),MATCH(S$3,PlotTitles,0)))=FALSE, $AB$22,TRUE,"")</f>
        <v/>
      </c>
      <c r="T49" s="104" t="str" cm="1">
        <f t="array" ref="T49">_xlfn.IFS(AND(A49&gt;NumberOfPlots,ISBLANK(INDEX(PlotData,MATCH($A49,PlotNumber,0),MATCH(B$3,PlotTitles,0)))),"",OR(AND(INDEX(PlotData,MATCH($A49,PlotNumber,0),MATCH("Tenure",PlotTitles,0))="Open market housing",INDEX(PlotData,MATCH($A49,PlotNumber,0),MATCH("Tenure detail",PlotTitles,0))="Private rented sector"),INDEX(PlotData,MATCH($A49,PlotNumber,0),MATCH("Tenure",PlotTitles,0))="Affordable rent"),"",INDEX(PlotData,MATCH($A49,PlotNumber,0),MATCH(S$3,PlotTitles,0))&lt;10000, $AB$23,TRUE,"")</f>
        <v/>
      </c>
      <c r="U49" s="104" t="str" cm="1">
        <f t="array" ref="U49">_xlfn.IFS(AND(A49&gt;NumberOfPlots,ISBLANK(INDEX(PlotData,MATCH($A49,PlotNumber,0),MATCH(B$3,PlotTitles,0)))),"",NOT(OR(AND(INDEX(PlotData,MATCH($A49,PlotNumber,0),MATCH("Tenure",PlotTitles,0))="Open market housing",INDEX(PlotData,MATCH($A49,PlotNumber,0),MATCH("Tenure detail",PlotTitles,0))="Private rented sector"),INDEX(PlotData,MATCH($A49,PlotNumber,0),MATCH("Tenure",PlotTitles,0))="Affordable rent")),"",NOT(INDEX(PlotData,MATCH($A49,PlotNumber,0),MATCH(S$3,PlotTitles,0))=0), $AB$24,TRUE,"")</f>
        <v/>
      </c>
      <c r="V49" s="114" t="str" cm="1">
        <f t="array" aca="1" ref="V49" ca="1">_xlfn.IFS(ISBLANK(NumberOfPlots),"Enter the number of homes on the 1_SetUp sheet",AND(A49&gt;NumberOfPlots,ISBLANK(INDEX(PlotData,MATCH($A49,PlotNumber,0),MATCH(B$3,PlotTitles,0)))),"No error",NOT(B49=""),B49,NOT(C49=""),C49,NOT(D49=""),D49,NOT(E49=""),E49,NOT(F49=""),F49,NOT(G49=""),G49,NOT(H49=""),H49,NOT(I49=""),I49,NOT(J49=""),J49,NOT(K49=""),K49,NOT(L49=""),L49,NOT(M49=""),M49,NOT(N49=""),N49,NOT(O49=""),O49,NOT(P49=""),P49,NOT(Q49=""),Q49,NOT(R49=""),R49,NOT(S49=""),S49,NOT(T49=""),T49,NOT(U49=""),U49,TRUE,"No error")</f>
        <v>Enter the number of homes on the 1_SetUp sheet</v>
      </c>
      <c r="W49" s="114" t="str">
        <f t="shared" ca="1" si="2"/>
        <v xml:space="preserve">The Borrower has not addressed the following error messages for Home ID 45: </v>
      </c>
    </row>
    <row r="50" spans="1:23">
      <c r="A50" s="123">
        <v>46</v>
      </c>
      <c r="B50" s="104" t="str" cm="1">
        <f t="array" ref="B50">_xlfn.IFS(AND(A50&gt;NumberOfPlots,ISBLANK(INDEX(PlotData,MATCH($A50,PlotNumber,0),MATCH(B$3,PlotTitles,0)))),"",ISNUMBER(INDEX(PlotData,MATCH($A50,PlotNumber,0),MATCH(B$3,PlotTitles,0)))=FALSE, $AB$5,TRUE,"")</f>
        <v/>
      </c>
      <c r="C50" s="104" t="str" cm="1">
        <f t="array" ref="C50">_xlfn.IFS(AND(A50&gt;NumberOfPlots,ISBLANK(INDEX(PlotData,MATCH($A50,PlotNumber,0),MATCH(B$3,PlotTitles,0)))),"",ISBLANK(INDEX(PlotData,MATCH($A50,PlotNumber,0),MATCH(C$3,PlotTitles,0))),$AB$6,TRUE,"")</f>
        <v/>
      </c>
      <c r="D50" s="104" t="str" cm="1">
        <f t="array" ref="D50">_xlfn.IFS(AND(A50&gt;NumberOfPlots,ISBLANK(INDEX(PlotData,MATCH($A50,PlotNumber,0),MATCH(B$3,PlotTitles,0)))),"",ISBLANK(INDEX(PlotData,MATCH($A50,PlotNumber,0),MATCH(D$3,PlotTitles,0))),$AB$7,TRUE,"")</f>
        <v/>
      </c>
      <c r="E50" s="104" t="str" cm="1">
        <f t="array" ref="E50">_xlfn.IFS(AND(A50&gt;NumberOfPlots,ISBLANK(INDEX(PlotData,MATCH($A50,PlotNumber,0),MATCH(B$3,PlotTitles,0)))),"",ISBLANK(INDEX(PlotData,MATCH($A50,PlotNumber,0),MATCH(E$3,PlotTitles,0))),$AB$8,TRUE,"")</f>
        <v/>
      </c>
      <c r="F50" s="104" t="str" cm="1">
        <f t="array" ref="F50">_xlfn.IFS(AND(A50&gt;NumberOfPlots,ISBLANK(INDEX(PlotData,MATCH($A50,PlotNumber,0),MATCH(B$3,PlotTitles,0)))),"",ISBLANK(INDEX(PlotData,MATCH($A50,PlotNumber,0),MATCH(F$3,PlotTitles,0))),$AB$9,TRUE,"")</f>
        <v/>
      </c>
      <c r="G50" s="104" t="str" cm="1">
        <f t="array" ref="G50">_xlfn.IFS(AND(A50&gt;NumberOfPlots,ISBLANK(INDEX(PlotData,MATCH($A50,PlotNumber,0),MATCH(B$3,PlotTitles,0)))),"",ISBLANK(INDEX(PlotData,MATCH($A50,PlotNumber,0),MATCH(G$3,PlotTitles,0))),$AB$10,TRUE,"")</f>
        <v/>
      </c>
      <c r="H50" s="104" t="str" cm="1">
        <f t="array" ref="H50">_xlfn.IFS(AND(A50&gt;NumberOfPlots,ISBLANK(INDEX(PlotData,MATCH($A50,PlotNumber,0),MATCH(B$3,PlotTitles,0)))),"",AND(ISBLANK(INDEX(PlotData,MATCH($A50,PlotNumber,0),MATCH(H$3,PlotTitles,0)))=FALSE,INDEX(PlotData,MATCH($A50,PlotNumber,0),MATCH(H$3,PlotTitles,0))&lt;500), $AB$11,TRUE,"")</f>
        <v/>
      </c>
      <c r="I50" s="104" t="str" cm="1">
        <f t="array" ref="I50">_xlfn.IFS(AND(A50&gt;NumberOfPlots,ISBLANK(INDEX(PlotData,MATCH($A50,PlotNumber,0),MATCH(B$3,PlotTitles,0)))),"",ISBLANK(INDEX(PlotData,MATCH($A50,PlotNumber,0),MATCH(I$3,PlotTitles,0))),$AB$12,TRUE,"")</f>
        <v/>
      </c>
      <c r="J50" s="104" t="str" cm="1">
        <f t="array" ref="J50">_xlfn.IFS(AND(A50&gt;NumberOfPlots,ISBLANK(INDEX(PlotData,MATCH($A50,PlotNumber,0),MATCH(B$3,PlotTitles,0)))),"",ISBLANK(INDEX(PlotData,MATCH($A50,PlotNumber,0),MATCH(J$3,PlotTitles,0))),$AB$13,TRUE,"")</f>
        <v/>
      </c>
      <c r="K50" s="182" t="str">
        <f t="shared" ca="1" si="0"/>
        <v/>
      </c>
      <c r="L50" s="104" t="str" cm="1">
        <f t="array" ref="L50">_xlfn.IFS(OR(ISBLANK(StartDateMonth),ISBLANK(StartDateYear)),"",AND(A50&gt;NumberOfPlots,ISBLANK(INDEX(PlotData,MATCH($A50,PlotNumber,0),MATCH(B$3,PlotTitles,0)))),"",ISBLANK(INDEX(PlotData,MATCH($A50,PlotNumber,0),MATCH(I$3,PlotTitles,0))),"",(DATEVALUE(INDEX(PlotData,MATCH($A50,PlotNumber,0),MATCH(I$3,PlotTitles,0))&amp;INDEX(PlotData,MATCH($A50,PlotNumber,0),MATCH(J$3,PlotTitles,0))))&lt;DATEVALUE(StartDateMonth&amp;StartDateYear),$AB$15,TRUE,"")</f>
        <v/>
      </c>
      <c r="M50" s="104" t="str" cm="1">
        <f t="array" ref="M50">_xlfn.IFS(OR(ISBLANK(StartDateMonth),ISBLANK(StartDateYear)),"",AND(A50&gt;NumberOfPlots,ISBLANK(INDEX(PlotData,MATCH($A50,PlotNumber,0),MATCH(B$3,PlotTitles,0)))),"",ISBLANK(INDEX(PlotData,MATCH($A50,PlotNumber,0),MATCH(I$3,PlotTitles,0))),"",CompletionMonth="","",(DATEVALUE(INDEX(PlotData,MATCH($A50,PlotNumber,0),MATCH(I$3,PlotTitles,0))&amp;INDEX(PlotData,MATCH($A50,PlotNumber,0),MATCH(J$3,PlotTitles,0))))&gt;(DATEVALUE(CompletionMonth&amp;CompletionYear)),$AB$16,TRUE,"")</f>
        <v/>
      </c>
      <c r="N50" s="104" t="str" cm="1">
        <f t="array" ref="N50">_xlfn.IFS(AND(A50&gt;NumberOfPlots,ISBLANK(INDEX(PlotData,MATCH($A50,PlotNumber,0),MATCH(B$3,PlotTitles,0)))),"",ISBLANK(INDEX(PlotData,MATCH($A50,PlotNumber,0),MATCH(N$3,PlotTitles,0))),$AB$17,TRUE,"")</f>
        <v/>
      </c>
      <c r="O50" s="104" t="str" cm="1">
        <f t="array" ref="O50">_xlfn.IFS(AND(A50&gt;NumberOfPlots,ISBLANK(INDEX(PlotData,MATCH($A50,PlotNumber,0),MATCH(B$3,PlotTitles,0)))),"",ISBLANK(INDEX(PlotData,MATCH($A50,PlotNumber,0),MATCH(O$3,PlotTitles,0))),$AB$18,TRUE,"")</f>
        <v/>
      </c>
      <c r="P50" s="182" t="str">
        <f t="shared" ca="1" si="1"/>
        <v/>
      </c>
      <c r="Q50" s="104" t="str" cm="1">
        <f t="array" ref="Q50">_xlfn.IFS(AND(A50&gt;NumberOfPlots,ISBLANK(INDEX(PlotData,MATCH($A50,PlotNumber,0),MATCH(B$3,PlotTitles,0)))),"",ISBLANK(INDEX(PlotData,MATCH($A50,PlotNumber,0),MATCH(N$3,PlotTitles,0))),"",(DATEVALUE(INDEX(PlotData,MATCH($A50,PlotNumber,0),MATCH(N$3,PlotTitles,0))&amp;INDEX(PlotData,MATCH($A50,PlotNumber,0),MATCH(O$3,PlotTitles,0))))&lt;(DATEVALUE(INDEX(PlotData,MATCH($A50,PlotNumber,0),MATCH(I$3,PlotTitles,0))&amp;INDEX(PlotData,MATCH($A50,PlotNumber,0),MATCH(J$3,PlotTitles,0)))),$AB$20,TRUE,"")</f>
        <v/>
      </c>
      <c r="R50" s="104" t="str" cm="1">
        <f t="array" ref="R50">_xlfn.IFS(OR(ISBLANK(StartDateMonth),ISBLANK(StartDateYear)),"",AND(A50&gt;NumberOfPlots,ISBLANK(INDEX(PlotData,MATCH($A50,PlotNumber,0),MATCH(B$3,PlotTitles,0)))),"",ISBLANK(INDEX(PlotData,MATCH($A50,PlotNumber,0),MATCH(N$3,PlotTitles,0))),"",CompletionMonth="","",(DATEVALUE(INDEX(PlotData,MATCH($A50,PlotNumber,0),MATCH(N$3,PlotTitles,0))&amp;INDEX(PlotData,MATCH($A50,PlotNumber,0),MATCH(O$3,PlotTitles,0))))&gt;(DATEVALUE(CompletionMonth&amp;CompletionYear)),$AB$21,TRUE,"")</f>
        <v/>
      </c>
      <c r="S50" s="104" t="str" cm="1">
        <f t="array" ref="S50">_xlfn.IFS(AND(A50&gt;NumberOfPlots,ISBLANK(INDEX(PlotData,MATCH($A50,PlotNumber,0),MATCH(B$3,PlotTitles,0)))),"",OR(AND(INDEX(PlotData,MATCH($A50,PlotNumber,0),MATCH("Tenure",PlotTitles,0))="Open market housing",INDEX(PlotData,MATCH($A50,PlotNumber,0),MATCH("Tenure detail",PlotTitles,0))="Private rented sector"),INDEX(PlotData,MATCH($A50,PlotNumber,0),MATCH("Tenure",PlotTitles,0))="Affordable rent"),"",ISNUMBER(INDEX(PlotData,MATCH($A50,PlotNumber,0),MATCH(S$3,PlotTitles,0)))=FALSE, $AB$22,TRUE,"")</f>
        <v/>
      </c>
      <c r="T50" s="104" t="str" cm="1">
        <f t="array" ref="T50">_xlfn.IFS(AND(A50&gt;NumberOfPlots,ISBLANK(INDEX(PlotData,MATCH($A50,PlotNumber,0),MATCH(B$3,PlotTitles,0)))),"",OR(AND(INDEX(PlotData,MATCH($A50,PlotNumber,0),MATCH("Tenure",PlotTitles,0))="Open market housing",INDEX(PlotData,MATCH($A50,PlotNumber,0),MATCH("Tenure detail",PlotTitles,0))="Private rented sector"),INDEX(PlotData,MATCH($A50,PlotNumber,0),MATCH("Tenure",PlotTitles,0))="Affordable rent"),"",INDEX(PlotData,MATCH($A50,PlotNumber,0),MATCH(S$3,PlotTitles,0))&lt;10000, $AB$23,TRUE,"")</f>
        <v/>
      </c>
      <c r="U50" s="104" t="str" cm="1">
        <f t="array" ref="U50">_xlfn.IFS(AND(A50&gt;NumberOfPlots,ISBLANK(INDEX(PlotData,MATCH($A50,PlotNumber,0),MATCH(B$3,PlotTitles,0)))),"",NOT(OR(AND(INDEX(PlotData,MATCH($A50,PlotNumber,0),MATCH("Tenure",PlotTitles,0))="Open market housing",INDEX(PlotData,MATCH($A50,PlotNumber,0),MATCH("Tenure detail",PlotTitles,0))="Private rented sector"),INDEX(PlotData,MATCH($A50,PlotNumber,0),MATCH("Tenure",PlotTitles,0))="Affordable rent")),"",NOT(INDEX(PlotData,MATCH($A50,PlotNumber,0),MATCH(S$3,PlotTitles,0))=0), $AB$24,TRUE,"")</f>
        <v/>
      </c>
      <c r="V50" s="114" t="str" cm="1">
        <f t="array" aca="1" ref="V50" ca="1">_xlfn.IFS(ISBLANK(NumberOfPlots),"Enter the number of homes on the 1_SetUp sheet",AND(A50&gt;NumberOfPlots,ISBLANK(INDEX(PlotData,MATCH($A50,PlotNumber,0),MATCH(B$3,PlotTitles,0)))),"No error",NOT(B50=""),B50,NOT(C50=""),C50,NOT(D50=""),D50,NOT(E50=""),E50,NOT(F50=""),F50,NOT(G50=""),G50,NOT(H50=""),H50,NOT(I50=""),I50,NOT(J50=""),J50,NOT(K50=""),K50,NOT(L50=""),L50,NOT(M50=""),M50,NOT(N50=""),N50,NOT(O50=""),O50,NOT(P50=""),P50,NOT(Q50=""),Q50,NOT(R50=""),R50,NOT(S50=""),S50,NOT(T50=""),T50,NOT(U50=""),U50,TRUE,"No error")</f>
        <v>Enter the number of homes on the 1_SetUp sheet</v>
      </c>
      <c r="W50" s="114" t="str">
        <f t="shared" ca="1" si="2"/>
        <v xml:space="preserve">The Borrower has not addressed the following error messages for Home ID 46: </v>
      </c>
    </row>
    <row r="51" spans="1:23">
      <c r="A51" s="123">
        <v>47</v>
      </c>
      <c r="B51" s="104" t="str" cm="1">
        <f t="array" ref="B51">_xlfn.IFS(AND(A51&gt;NumberOfPlots,ISBLANK(INDEX(PlotData,MATCH($A51,PlotNumber,0),MATCH(B$3,PlotTitles,0)))),"",ISNUMBER(INDEX(PlotData,MATCH($A51,PlotNumber,0),MATCH(B$3,PlotTitles,0)))=FALSE, $AB$5,TRUE,"")</f>
        <v/>
      </c>
      <c r="C51" s="104" t="str" cm="1">
        <f t="array" ref="C51">_xlfn.IFS(AND(A51&gt;NumberOfPlots,ISBLANK(INDEX(PlotData,MATCH($A51,PlotNumber,0),MATCH(B$3,PlotTitles,0)))),"",ISBLANK(INDEX(PlotData,MATCH($A51,PlotNumber,0),MATCH(C$3,PlotTitles,0))),$AB$6,TRUE,"")</f>
        <v/>
      </c>
      <c r="D51" s="104" t="str" cm="1">
        <f t="array" ref="D51">_xlfn.IFS(AND(A51&gt;NumberOfPlots,ISBLANK(INDEX(PlotData,MATCH($A51,PlotNumber,0),MATCH(B$3,PlotTitles,0)))),"",ISBLANK(INDEX(PlotData,MATCH($A51,PlotNumber,0),MATCH(D$3,PlotTitles,0))),$AB$7,TRUE,"")</f>
        <v/>
      </c>
      <c r="E51" s="104" t="str" cm="1">
        <f t="array" ref="E51">_xlfn.IFS(AND(A51&gt;NumberOfPlots,ISBLANK(INDEX(PlotData,MATCH($A51,PlotNumber,0),MATCH(B$3,PlotTitles,0)))),"",ISBLANK(INDEX(PlotData,MATCH($A51,PlotNumber,0),MATCH(E$3,PlotTitles,0))),$AB$8,TRUE,"")</f>
        <v/>
      </c>
      <c r="F51" s="104" t="str" cm="1">
        <f t="array" ref="F51">_xlfn.IFS(AND(A51&gt;NumberOfPlots,ISBLANK(INDEX(PlotData,MATCH($A51,PlotNumber,0),MATCH(B$3,PlotTitles,0)))),"",ISBLANK(INDEX(PlotData,MATCH($A51,PlotNumber,0),MATCH(F$3,PlotTitles,0))),$AB$9,TRUE,"")</f>
        <v/>
      </c>
      <c r="G51" s="104" t="str" cm="1">
        <f t="array" ref="G51">_xlfn.IFS(AND(A51&gt;NumberOfPlots,ISBLANK(INDEX(PlotData,MATCH($A51,PlotNumber,0),MATCH(B$3,PlotTitles,0)))),"",ISBLANK(INDEX(PlotData,MATCH($A51,PlotNumber,0),MATCH(G$3,PlotTitles,0))),$AB$10,TRUE,"")</f>
        <v/>
      </c>
      <c r="H51" s="104" t="str" cm="1">
        <f t="array" ref="H51">_xlfn.IFS(AND(A51&gt;NumberOfPlots,ISBLANK(INDEX(PlotData,MATCH($A51,PlotNumber,0),MATCH(B$3,PlotTitles,0)))),"",AND(ISBLANK(INDEX(PlotData,MATCH($A51,PlotNumber,0),MATCH(H$3,PlotTitles,0)))=FALSE,INDEX(PlotData,MATCH($A51,PlotNumber,0),MATCH(H$3,PlotTitles,0))&lt;500), $AB$11,TRUE,"")</f>
        <v/>
      </c>
      <c r="I51" s="104" t="str" cm="1">
        <f t="array" ref="I51">_xlfn.IFS(AND(A51&gt;NumberOfPlots,ISBLANK(INDEX(PlotData,MATCH($A51,PlotNumber,0),MATCH(B$3,PlotTitles,0)))),"",ISBLANK(INDEX(PlotData,MATCH($A51,PlotNumber,0),MATCH(I$3,PlotTitles,0))),$AB$12,TRUE,"")</f>
        <v/>
      </c>
      <c r="J51" s="104" t="str" cm="1">
        <f t="array" ref="J51">_xlfn.IFS(AND(A51&gt;NumberOfPlots,ISBLANK(INDEX(PlotData,MATCH($A51,PlotNumber,0),MATCH(B$3,PlotTitles,0)))),"",ISBLANK(INDEX(PlotData,MATCH($A51,PlotNumber,0),MATCH(J$3,PlotTitles,0))),$AB$13,TRUE,"")</f>
        <v/>
      </c>
      <c r="K51" s="182" t="str">
        <f t="shared" ca="1" si="0"/>
        <v/>
      </c>
      <c r="L51" s="104" t="str" cm="1">
        <f t="array" ref="L51">_xlfn.IFS(OR(ISBLANK(StartDateMonth),ISBLANK(StartDateYear)),"",AND(A51&gt;NumberOfPlots,ISBLANK(INDEX(PlotData,MATCH($A51,PlotNumber,0),MATCH(B$3,PlotTitles,0)))),"",ISBLANK(INDEX(PlotData,MATCH($A51,PlotNumber,0),MATCH(I$3,PlotTitles,0))),"",(DATEVALUE(INDEX(PlotData,MATCH($A51,PlotNumber,0),MATCH(I$3,PlotTitles,0))&amp;INDEX(PlotData,MATCH($A51,PlotNumber,0),MATCH(J$3,PlotTitles,0))))&lt;DATEVALUE(StartDateMonth&amp;StartDateYear),$AB$15,TRUE,"")</f>
        <v/>
      </c>
      <c r="M51" s="104" t="str" cm="1">
        <f t="array" ref="M51">_xlfn.IFS(OR(ISBLANK(StartDateMonth),ISBLANK(StartDateYear)),"",AND(A51&gt;NumberOfPlots,ISBLANK(INDEX(PlotData,MATCH($A51,PlotNumber,0),MATCH(B$3,PlotTitles,0)))),"",ISBLANK(INDEX(PlotData,MATCH($A51,PlotNumber,0),MATCH(I$3,PlotTitles,0))),"",CompletionMonth="","",(DATEVALUE(INDEX(PlotData,MATCH($A51,PlotNumber,0),MATCH(I$3,PlotTitles,0))&amp;INDEX(PlotData,MATCH($A51,PlotNumber,0),MATCH(J$3,PlotTitles,0))))&gt;(DATEVALUE(CompletionMonth&amp;CompletionYear)),$AB$16,TRUE,"")</f>
        <v/>
      </c>
      <c r="N51" s="104" t="str" cm="1">
        <f t="array" ref="N51">_xlfn.IFS(AND(A51&gt;NumberOfPlots,ISBLANK(INDEX(PlotData,MATCH($A51,PlotNumber,0),MATCH(B$3,PlotTitles,0)))),"",ISBLANK(INDEX(PlotData,MATCH($A51,PlotNumber,0),MATCH(N$3,PlotTitles,0))),$AB$17,TRUE,"")</f>
        <v/>
      </c>
      <c r="O51" s="104" t="str" cm="1">
        <f t="array" ref="O51">_xlfn.IFS(AND(A51&gt;NumberOfPlots,ISBLANK(INDEX(PlotData,MATCH($A51,PlotNumber,0),MATCH(B$3,PlotTitles,0)))),"",ISBLANK(INDEX(PlotData,MATCH($A51,PlotNumber,0),MATCH(O$3,PlotTitles,0))),$AB$18,TRUE,"")</f>
        <v/>
      </c>
      <c r="P51" s="182" t="str">
        <f t="shared" ca="1" si="1"/>
        <v/>
      </c>
      <c r="Q51" s="104" t="str" cm="1">
        <f t="array" ref="Q51">_xlfn.IFS(AND(A51&gt;NumberOfPlots,ISBLANK(INDEX(PlotData,MATCH($A51,PlotNumber,0),MATCH(B$3,PlotTitles,0)))),"",ISBLANK(INDEX(PlotData,MATCH($A51,PlotNumber,0),MATCH(N$3,PlotTitles,0))),"",(DATEVALUE(INDEX(PlotData,MATCH($A51,PlotNumber,0),MATCH(N$3,PlotTitles,0))&amp;INDEX(PlotData,MATCH($A51,PlotNumber,0),MATCH(O$3,PlotTitles,0))))&lt;(DATEVALUE(INDEX(PlotData,MATCH($A51,PlotNumber,0),MATCH(I$3,PlotTitles,0))&amp;INDEX(PlotData,MATCH($A51,PlotNumber,0),MATCH(J$3,PlotTitles,0)))),$AB$20,TRUE,"")</f>
        <v/>
      </c>
      <c r="R51" s="104" t="str" cm="1">
        <f t="array" ref="R51">_xlfn.IFS(OR(ISBLANK(StartDateMonth),ISBLANK(StartDateYear)),"",AND(A51&gt;NumberOfPlots,ISBLANK(INDEX(PlotData,MATCH($A51,PlotNumber,0),MATCH(B$3,PlotTitles,0)))),"",ISBLANK(INDEX(PlotData,MATCH($A51,PlotNumber,0),MATCH(N$3,PlotTitles,0))),"",CompletionMonth="","",(DATEVALUE(INDEX(PlotData,MATCH($A51,PlotNumber,0),MATCH(N$3,PlotTitles,0))&amp;INDEX(PlotData,MATCH($A51,PlotNumber,0),MATCH(O$3,PlotTitles,0))))&gt;(DATEVALUE(CompletionMonth&amp;CompletionYear)),$AB$21,TRUE,"")</f>
        <v/>
      </c>
      <c r="S51" s="104" t="str" cm="1">
        <f t="array" ref="S51">_xlfn.IFS(AND(A51&gt;NumberOfPlots,ISBLANK(INDEX(PlotData,MATCH($A51,PlotNumber,0),MATCH(B$3,PlotTitles,0)))),"",OR(AND(INDEX(PlotData,MATCH($A51,PlotNumber,0),MATCH("Tenure",PlotTitles,0))="Open market housing",INDEX(PlotData,MATCH($A51,PlotNumber,0),MATCH("Tenure detail",PlotTitles,0))="Private rented sector"),INDEX(PlotData,MATCH($A51,PlotNumber,0),MATCH("Tenure",PlotTitles,0))="Affordable rent"),"",ISNUMBER(INDEX(PlotData,MATCH($A51,PlotNumber,0),MATCH(S$3,PlotTitles,0)))=FALSE, $AB$22,TRUE,"")</f>
        <v/>
      </c>
      <c r="T51" s="104" t="str" cm="1">
        <f t="array" ref="T51">_xlfn.IFS(AND(A51&gt;NumberOfPlots,ISBLANK(INDEX(PlotData,MATCH($A51,PlotNumber,0),MATCH(B$3,PlotTitles,0)))),"",OR(AND(INDEX(PlotData,MATCH($A51,PlotNumber,0),MATCH("Tenure",PlotTitles,0))="Open market housing",INDEX(PlotData,MATCH($A51,PlotNumber,0),MATCH("Tenure detail",PlotTitles,0))="Private rented sector"),INDEX(PlotData,MATCH($A51,PlotNumber,0),MATCH("Tenure",PlotTitles,0))="Affordable rent"),"",INDEX(PlotData,MATCH($A51,PlotNumber,0),MATCH(S$3,PlotTitles,0))&lt;10000, $AB$23,TRUE,"")</f>
        <v/>
      </c>
      <c r="U51" s="104" t="str" cm="1">
        <f t="array" ref="U51">_xlfn.IFS(AND(A51&gt;NumberOfPlots,ISBLANK(INDEX(PlotData,MATCH($A51,PlotNumber,0),MATCH(B$3,PlotTitles,0)))),"",NOT(OR(AND(INDEX(PlotData,MATCH($A51,PlotNumber,0),MATCH("Tenure",PlotTitles,0))="Open market housing",INDEX(PlotData,MATCH($A51,PlotNumber,0),MATCH("Tenure detail",PlotTitles,0))="Private rented sector"),INDEX(PlotData,MATCH($A51,PlotNumber,0),MATCH("Tenure",PlotTitles,0))="Affordable rent")),"",NOT(INDEX(PlotData,MATCH($A51,PlotNumber,0),MATCH(S$3,PlotTitles,0))=0), $AB$24,TRUE,"")</f>
        <v/>
      </c>
      <c r="V51" s="114" t="str" cm="1">
        <f t="array" aca="1" ref="V51" ca="1">_xlfn.IFS(ISBLANK(NumberOfPlots),"Enter the number of homes on the 1_SetUp sheet",AND(A51&gt;NumberOfPlots,ISBLANK(INDEX(PlotData,MATCH($A51,PlotNumber,0),MATCH(B$3,PlotTitles,0)))),"No error",NOT(B51=""),B51,NOT(C51=""),C51,NOT(D51=""),D51,NOT(E51=""),E51,NOT(F51=""),F51,NOT(G51=""),G51,NOT(H51=""),H51,NOT(I51=""),I51,NOT(J51=""),J51,NOT(K51=""),K51,NOT(L51=""),L51,NOT(M51=""),M51,NOT(N51=""),N51,NOT(O51=""),O51,NOT(P51=""),P51,NOT(Q51=""),Q51,NOT(R51=""),R51,NOT(S51=""),S51,NOT(T51=""),T51,NOT(U51=""),U51,TRUE,"No error")</f>
        <v>Enter the number of homes on the 1_SetUp sheet</v>
      </c>
      <c r="W51" s="114" t="str">
        <f t="shared" ca="1" si="2"/>
        <v xml:space="preserve">The Borrower has not addressed the following error messages for Home ID 47: </v>
      </c>
    </row>
    <row r="52" spans="1:23">
      <c r="A52" s="123">
        <v>48</v>
      </c>
      <c r="B52" s="104" t="str" cm="1">
        <f t="array" ref="B52">_xlfn.IFS(AND(A52&gt;NumberOfPlots,ISBLANK(INDEX(PlotData,MATCH($A52,PlotNumber,0),MATCH(B$3,PlotTitles,0)))),"",ISNUMBER(INDEX(PlotData,MATCH($A52,PlotNumber,0),MATCH(B$3,PlotTitles,0)))=FALSE, $AB$5,TRUE,"")</f>
        <v/>
      </c>
      <c r="C52" s="104" t="str" cm="1">
        <f t="array" ref="C52">_xlfn.IFS(AND(A52&gt;NumberOfPlots,ISBLANK(INDEX(PlotData,MATCH($A52,PlotNumber,0),MATCH(B$3,PlotTitles,0)))),"",ISBLANK(INDEX(PlotData,MATCH($A52,PlotNumber,0),MATCH(C$3,PlotTitles,0))),$AB$6,TRUE,"")</f>
        <v/>
      </c>
      <c r="D52" s="104" t="str" cm="1">
        <f t="array" ref="D52">_xlfn.IFS(AND(A52&gt;NumberOfPlots,ISBLANK(INDEX(PlotData,MATCH($A52,PlotNumber,0),MATCH(B$3,PlotTitles,0)))),"",ISBLANK(INDEX(PlotData,MATCH($A52,PlotNumber,0),MATCH(D$3,PlotTitles,0))),$AB$7,TRUE,"")</f>
        <v/>
      </c>
      <c r="E52" s="104" t="str" cm="1">
        <f t="array" ref="E52">_xlfn.IFS(AND(A52&gt;NumberOfPlots,ISBLANK(INDEX(PlotData,MATCH($A52,PlotNumber,0),MATCH(B$3,PlotTitles,0)))),"",ISBLANK(INDEX(PlotData,MATCH($A52,PlotNumber,0),MATCH(E$3,PlotTitles,0))),$AB$8,TRUE,"")</f>
        <v/>
      </c>
      <c r="F52" s="104" t="str" cm="1">
        <f t="array" ref="F52">_xlfn.IFS(AND(A52&gt;NumberOfPlots,ISBLANK(INDEX(PlotData,MATCH($A52,PlotNumber,0),MATCH(B$3,PlotTitles,0)))),"",ISBLANK(INDEX(PlotData,MATCH($A52,PlotNumber,0),MATCH(F$3,PlotTitles,0))),$AB$9,TRUE,"")</f>
        <v/>
      </c>
      <c r="G52" s="104" t="str" cm="1">
        <f t="array" ref="G52">_xlfn.IFS(AND(A52&gt;NumberOfPlots,ISBLANK(INDEX(PlotData,MATCH($A52,PlotNumber,0),MATCH(B$3,PlotTitles,0)))),"",ISBLANK(INDEX(PlotData,MATCH($A52,PlotNumber,0),MATCH(G$3,PlotTitles,0))),$AB$10,TRUE,"")</f>
        <v/>
      </c>
      <c r="H52" s="104" t="str" cm="1">
        <f t="array" ref="H52">_xlfn.IFS(AND(A52&gt;NumberOfPlots,ISBLANK(INDEX(PlotData,MATCH($A52,PlotNumber,0),MATCH(B$3,PlotTitles,0)))),"",AND(ISBLANK(INDEX(PlotData,MATCH($A52,PlotNumber,0),MATCH(H$3,PlotTitles,0)))=FALSE,INDEX(PlotData,MATCH($A52,PlotNumber,0),MATCH(H$3,PlotTitles,0))&lt;500), $AB$11,TRUE,"")</f>
        <v/>
      </c>
      <c r="I52" s="104" t="str" cm="1">
        <f t="array" ref="I52">_xlfn.IFS(AND(A52&gt;NumberOfPlots,ISBLANK(INDEX(PlotData,MATCH($A52,PlotNumber,0),MATCH(B$3,PlotTitles,0)))),"",ISBLANK(INDEX(PlotData,MATCH($A52,PlotNumber,0),MATCH(I$3,PlotTitles,0))),$AB$12,TRUE,"")</f>
        <v/>
      </c>
      <c r="J52" s="104" t="str" cm="1">
        <f t="array" ref="J52">_xlfn.IFS(AND(A52&gt;NumberOfPlots,ISBLANK(INDEX(PlotData,MATCH($A52,PlotNumber,0),MATCH(B$3,PlotTitles,0)))),"",ISBLANK(INDEX(PlotData,MATCH($A52,PlotNumber,0),MATCH(J$3,PlotTitles,0))),$AB$13,TRUE,"")</f>
        <v/>
      </c>
      <c r="K52" s="182" t="str">
        <f t="shared" ca="1" si="0"/>
        <v/>
      </c>
      <c r="L52" s="104" t="str" cm="1">
        <f t="array" ref="L52">_xlfn.IFS(OR(ISBLANK(StartDateMonth),ISBLANK(StartDateYear)),"",AND(A52&gt;NumberOfPlots,ISBLANK(INDEX(PlotData,MATCH($A52,PlotNumber,0),MATCH(B$3,PlotTitles,0)))),"",ISBLANK(INDEX(PlotData,MATCH($A52,PlotNumber,0),MATCH(I$3,PlotTitles,0))),"",(DATEVALUE(INDEX(PlotData,MATCH($A52,PlotNumber,0),MATCH(I$3,PlotTitles,0))&amp;INDEX(PlotData,MATCH($A52,PlotNumber,0),MATCH(J$3,PlotTitles,0))))&lt;DATEVALUE(StartDateMonth&amp;StartDateYear),$AB$15,TRUE,"")</f>
        <v/>
      </c>
      <c r="M52" s="104" t="str" cm="1">
        <f t="array" ref="M52">_xlfn.IFS(OR(ISBLANK(StartDateMonth),ISBLANK(StartDateYear)),"",AND(A52&gt;NumberOfPlots,ISBLANK(INDEX(PlotData,MATCH($A52,PlotNumber,0),MATCH(B$3,PlotTitles,0)))),"",ISBLANK(INDEX(PlotData,MATCH($A52,PlotNumber,0),MATCH(I$3,PlotTitles,0))),"",CompletionMonth="","",(DATEVALUE(INDEX(PlotData,MATCH($A52,PlotNumber,0),MATCH(I$3,PlotTitles,0))&amp;INDEX(PlotData,MATCH($A52,PlotNumber,0),MATCH(J$3,PlotTitles,0))))&gt;(DATEVALUE(CompletionMonth&amp;CompletionYear)),$AB$16,TRUE,"")</f>
        <v/>
      </c>
      <c r="N52" s="104" t="str" cm="1">
        <f t="array" ref="N52">_xlfn.IFS(AND(A52&gt;NumberOfPlots,ISBLANK(INDEX(PlotData,MATCH($A52,PlotNumber,0),MATCH(B$3,PlotTitles,0)))),"",ISBLANK(INDEX(PlotData,MATCH($A52,PlotNumber,0),MATCH(N$3,PlotTitles,0))),$AB$17,TRUE,"")</f>
        <v/>
      </c>
      <c r="O52" s="104" t="str" cm="1">
        <f t="array" ref="O52">_xlfn.IFS(AND(A52&gt;NumberOfPlots,ISBLANK(INDEX(PlotData,MATCH($A52,PlotNumber,0),MATCH(B$3,PlotTitles,0)))),"",ISBLANK(INDEX(PlotData,MATCH($A52,PlotNumber,0),MATCH(O$3,PlotTitles,0))),$AB$18,TRUE,"")</f>
        <v/>
      </c>
      <c r="P52" s="182" t="str">
        <f t="shared" ca="1" si="1"/>
        <v/>
      </c>
      <c r="Q52" s="104" t="str" cm="1">
        <f t="array" ref="Q52">_xlfn.IFS(AND(A52&gt;NumberOfPlots,ISBLANK(INDEX(PlotData,MATCH($A52,PlotNumber,0),MATCH(B$3,PlotTitles,0)))),"",ISBLANK(INDEX(PlotData,MATCH($A52,PlotNumber,0),MATCH(N$3,PlotTitles,0))),"",(DATEVALUE(INDEX(PlotData,MATCH($A52,PlotNumber,0),MATCH(N$3,PlotTitles,0))&amp;INDEX(PlotData,MATCH($A52,PlotNumber,0),MATCH(O$3,PlotTitles,0))))&lt;(DATEVALUE(INDEX(PlotData,MATCH($A52,PlotNumber,0),MATCH(I$3,PlotTitles,0))&amp;INDEX(PlotData,MATCH($A52,PlotNumber,0),MATCH(J$3,PlotTitles,0)))),$AB$20,TRUE,"")</f>
        <v/>
      </c>
      <c r="R52" s="104" t="str" cm="1">
        <f t="array" ref="R52">_xlfn.IFS(OR(ISBLANK(StartDateMonth),ISBLANK(StartDateYear)),"",AND(A52&gt;NumberOfPlots,ISBLANK(INDEX(PlotData,MATCH($A52,PlotNumber,0),MATCH(B$3,PlotTitles,0)))),"",ISBLANK(INDEX(PlotData,MATCH($A52,PlotNumber,0),MATCH(N$3,PlotTitles,0))),"",CompletionMonth="","",(DATEVALUE(INDEX(PlotData,MATCH($A52,PlotNumber,0),MATCH(N$3,PlotTitles,0))&amp;INDEX(PlotData,MATCH($A52,PlotNumber,0),MATCH(O$3,PlotTitles,0))))&gt;(DATEVALUE(CompletionMonth&amp;CompletionYear)),$AB$21,TRUE,"")</f>
        <v/>
      </c>
      <c r="S52" s="104" t="str" cm="1">
        <f t="array" ref="S52">_xlfn.IFS(AND(A52&gt;NumberOfPlots,ISBLANK(INDEX(PlotData,MATCH($A52,PlotNumber,0),MATCH(B$3,PlotTitles,0)))),"",OR(AND(INDEX(PlotData,MATCH($A52,PlotNumber,0),MATCH("Tenure",PlotTitles,0))="Open market housing",INDEX(PlotData,MATCH($A52,PlotNumber,0),MATCH("Tenure detail",PlotTitles,0))="Private rented sector"),INDEX(PlotData,MATCH($A52,PlotNumber,0),MATCH("Tenure",PlotTitles,0))="Affordable rent"),"",ISNUMBER(INDEX(PlotData,MATCH($A52,PlotNumber,0),MATCH(S$3,PlotTitles,0)))=FALSE, $AB$22,TRUE,"")</f>
        <v/>
      </c>
      <c r="T52" s="104" t="str" cm="1">
        <f t="array" ref="T52">_xlfn.IFS(AND(A52&gt;NumberOfPlots,ISBLANK(INDEX(PlotData,MATCH($A52,PlotNumber,0),MATCH(B$3,PlotTitles,0)))),"",OR(AND(INDEX(PlotData,MATCH($A52,PlotNumber,0),MATCH("Tenure",PlotTitles,0))="Open market housing",INDEX(PlotData,MATCH($A52,PlotNumber,0),MATCH("Tenure detail",PlotTitles,0))="Private rented sector"),INDEX(PlotData,MATCH($A52,PlotNumber,0),MATCH("Tenure",PlotTitles,0))="Affordable rent"),"",INDEX(PlotData,MATCH($A52,PlotNumber,0),MATCH(S$3,PlotTitles,0))&lt;10000, $AB$23,TRUE,"")</f>
        <v/>
      </c>
      <c r="U52" s="104" t="str" cm="1">
        <f t="array" ref="U52">_xlfn.IFS(AND(A52&gt;NumberOfPlots,ISBLANK(INDEX(PlotData,MATCH($A52,PlotNumber,0),MATCH(B$3,PlotTitles,0)))),"",NOT(OR(AND(INDEX(PlotData,MATCH($A52,PlotNumber,0),MATCH("Tenure",PlotTitles,0))="Open market housing",INDEX(PlotData,MATCH($A52,PlotNumber,0),MATCH("Tenure detail",PlotTitles,0))="Private rented sector"),INDEX(PlotData,MATCH($A52,PlotNumber,0),MATCH("Tenure",PlotTitles,0))="Affordable rent")),"",NOT(INDEX(PlotData,MATCH($A52,PlotNumber,0),MATCH(S$3,PlotTitles,0))=0), $AB$24,TRUE,"")</f>
        <v/>
      </c>
      <c r="V52" s="114" t="str" cm="1">
        <f t="array" aca="1" ref="V52" ca="1">_xlfn.IFS(ISBLANK(NumberOfPlots),"Enter the number of homes on the 1_SetUp sheet",AND(A52&gt;NumberOfPlots,ISBLANK(INDEX(PlotData,MATCH($A52,PlotNumber,0),MATCH(B$3,PlotTitles,0)))),"No error",NOT(B52=""),B52,NOT(C52=""),C52,NOT(D52=""),D52,NOT(E52=""),E52,NOT(F52=""),F52,NOT(G52=""),G52,NOT(H52=""),H52,NOT(I52=""),I52,NOT(J52=""),J52,NOT(K52=""),K52,NOT(L52=""),L52,NOT(M52=""),M52,NOT(N52=""),N52,NOT(O52=""),O52,NOT(P52=""),P52,NOT(Q52=""),Q52,NOT(R52=""),R52,NOT(S52=""),S52,NOT(T52=""),T52,NOT(U52=""),U52,TRUE,"No error")</f>
        <v>Enter the number of homes on the 1_SetUp sheet</v>
      </c>
      <c r="W52" s="114" t="str">
        <f t="shared" ca="1" si="2"/>
        <v xml:space="preserve">The Borrower has not addressed the following error messages for Home ID 48: </v>
      </c>
    </row>
    <row r="53" spans="1:23">
      <c r="A53" s="123">
        <v>49</v>
      </c>
      <c r="B53" s="104" t="str" cm="1">
        <f t="array" ref="B53">_xlfn.IFS(AND(A53&gt;NumberOfPlots,ISBLANK(INDEX(PlotData,MATCH($A53,PlotNumber,0),MATCH(B$3,PlotTitles,0)))),"",ISNUMBER(INDEX(PlotData,MATCH($A53,PlotNumber,0),MATCH(B$3,PlotTitles,0)))=FALSE, $AB$5,TRUE,"")</f>
        <v/>
      </c>
      <c r="C53" s="104" t="str" cm="1">
        <f t="array" ref="C53">_xlfn.IFS(AND(A53&gt;NumberOfPlots,ISBLANK(INDEX(PlotData,MATCH($A53,PlotNumber,0),MATCH(B$3,PlotTitles,0)))),"",ISBLANK(INDEX(PlotData,MATCH($A53,PlotNumber,0),MATCH(C$3,PlotTitles,0))),$AB$6,TRUE,"")</f>
        <v/>
      </c>
      <c r="D53" s="104" t="str" cm="1">
        <f t="array" ref="D53">_xlfn.IFS(AND(A53&gt;NumberOfPlots,ISBLANK(INDEX(PlotData,MATCH($A53,PlotNumber,0),MATCH(B$3,PlotTitles,0)))),"",ISBLANK(INDEX(PlotData,MATCH($A53,PlotNumber,0),MATCH(D$3,PlotTitles,0))),$AB$7,TRUE,"")</f>
        <v/>
      </c>
      <c r="E53" s="104" t="str" cm="1">
        <f t="array" ref="E53">_xlfn.IFS(AND(A53&gt;NumberOfPlots,ISBLANK(INDEX(PlotData,MATCH($A53,PlotNumber,0),MATCH(B$3,PlotTitles,0)))),"",ISBLANK(INDEX(PlotData,MATCH($A53,PlotNumber,0),MATCH(E$3,PlotTitles,0))),$AB$8,TRUE,"")</f>
        <v/>
      </c>
      <c r="F53" s="104" t="str" cm="1">
        <f t="array" ref="F53">_xlfn.IFS(AND(A53&gt;NumberOfPlots,ISBLANK(INDEX(PlotData,MATCH($A53,PlotNumber,0),MATCH(B$3,PlotTitles,0)))),"",ISBLANK(INDEX(PlotData,MATCH($A53,PlotNumber,0),MATCH(F$3,PlotTitles,0))),$AB$9,TRUE,"")</f>
        <v/>
      </c>
      <c r="G53" s="104" t="str" cm="1">
        <f t="array" ref="G53">_xlfn.IFS(AND(A53&gt;NumberOfPlots,ISBLANK(INDEX(PlotData,MATCH($A53,PlotNumber,0),MATCH(B$3,PlotTitles,0)))),"",ISBLANK(INDEX(PlotData,MATCH($A53,PlotNumber,0),MATCH(G$3,PlotTitles,0))),$AB$10,TRUE,"")</f>
        <v/>
      </c>
      <c r="H53" s="104" t="str" cm="1">
        <f t="array" ref="H53">_xlfn.IFS(AND(A53&gt;NumberOfPlots,ISBLANK(INDEX(PlotData,MATCH($A53,PlotNumber,0),MATCH(B$3,PlotTitles,0)))),"",AND(ISBLANK(INDEX(PlotData,MATCH($A53,PlotNumber,0),MATCH(H$3,PlotTitles,0)))=FALSE,INDEX(PlotData,MATCH($A53,PlotNumber,0),MATCH(H$3,PlotTitles,0))&lt;500), $AB$11,TRUE,"")</f>
        <v/>
      </c>
      <c r="I53" s="104" t="str" cm="1">
        <f t="array" ref="I53">_xlfn.IFS(AND(A53&gt;NumberOfPlots,ISBLANK(INDEX(PlotData,MATCH($A53,PlotNumber,0),MATCH(B$3,PlotTitles,0)))),"",ISBLANK(INDEX(PlotData,MATCH($A53,PlotNumber,0),MATCH(I$3,PlotTitles,0))),$AB$12,TRUE,"")</f>
        <v/>
      </c>
      <c r="J53" s="104" t="str" cm="1">
        <f t="array" ref="J53">_xlfn.IFS(AND(A53&gt;NumberOfPlots,ISBLANK(INDEX(PlotData,MATCH($A53,PlotNumber,0),MATCH(B$3,PlotTitles,0)))),"",ISBLANK(INDEX(PlotData,MATCH($A53,PlotNumber,0),MATCH(J$3,PlotTitles,0))),$AB$13,TRUE,"")</f>
        <v/>
      </c>
      <c r="K53" s="182" t="str">
        <f t="shared" ca="1" si="0"/>
        <v/>
      </c>
      <c r="L53" s="104" t="str" cm="1">
        <f t="array" ref="L53">_xlfn.IFS(OR(ISBLANK(StartDateMonth),ISBLANK(StartDateYear)),"",AND(A53&gt;NumberOfPlots,ISBLANK(INDEX(PlotData,MATCH($A53,PlotNumber,0),MATCH(B$3,PlotTitles,0)))),"",ISBLANK(INDEX(PlotData,MATCH($A53,PlotNumber,0),MATCH(I$3,PlotTitles,0))),"",(DATEVALUE(INDEX(PlotData,MATCH($A53,PlotNumber,0),MATCH(I$3,PlotTitles,0))&amp;INDEX(PlotData,MATCH($A53,PlotNumber,0),MATCH(J$3,PlotTitles,0))))&lt;DATEVALUE(StartDateMonth&amp;StartDateYear),$AB$15,TRUE,"")</f>
        <v/>
      </c>
      <c r="M53" s="104" t="str" cm="1">
        <f t="array" ref="M53">_xlfn.IFS(OR(ISBLANK(StartDateMonth),ISBLANK(StartDateYear)),"",AND(A53&gt;NumberOfPlots,ISBLANK(INDEX(PlotData,MATCH($A53,PlotNumber,0),MATCH(B$3,PlotTitles,0)))),"",ISBLANK(INDEX(PlotData,MATCH($A53,PlotNumber,0),MATCH(I$3,PlotTitles,0))),"",CompletionMonth="","",(DATEVALUE(INDEX(PlotData,MATCH($A53,PlotNumber,0),MATCH(I$3,PlotTitles,0))&amp;INDEX(PlotData,MATCH($A53,PlotNumber,0),MATCH(J$3,PlotTitles,0))))&gt;(DATEVALUE(CompletionMonth&amp;CompletionYear)),$AB$16,TRUE,"")</f>
        <v/>
      </c>
      <c r="N53" s="104" t="str" cm="1">
        <f t="array" ref="N53">_xlfn.IFS(AND(A53&gt;NumberOfPlots,ISBLANK(INDEX(PlotData,MATCH($A53,PlotNumber,0),MATCH(B$3,PlotTitles,0)))),"",ISBLANK(INDEX(PlotData,MATCH($A53,PlotNumber,0),MATCH(N$3,PlotTitles,0))),$AB$17,TRUE,"")</f>
        <v/>
      </c>
      <c r="O53" s="104" t="str" cm="1">
        <f t="array" ref="O53">_xlfn.IFS(AND(A53&gt;NumberOfPlots,ISBLANK(INDEX(PlotData,MATCH($A53,PlotNumber,0),MATCH(B$3,PlotTitles,0)))),"",ISBLANK(INDEX(PlotData,MATCH($A53,PlotNumber,0),MATCH(O$3,PlotTitles,0))),$AB$18,TRUE,"")</f>
        <v/>
      </c>
      <c r="P53" s="182" t="str">
        <f t="shared" ca="1" si="1"/>
        <v/>
      </c>
      <c r="Q53" s="104" t="str" cm="1">
        <f t="array" ref="Q53">_xlfn.IFS(AND(A53&gt;NumberOfPlots,ISBLANK(INDEX(PlotData,MATCH($A53,PlotNumber,0),MATCH(B$3,PlotTitles,0)))),"",ISBLANK(INDEX(PlotData,MATCH($A53,PlotNumber,0),MATCH(N$3,PlotTitles,0))),"",(DATEVALUE(INDEX(PlotData,MATCH($A53,PlotNumber,0),MATCH(N$3,PlotTitles,0))&amp;INDEX(PlotData,MATCH($A53,PlotNumber,0),MATCH(O$3,PlotTitles,0))))&lt;(DATEVALUE(INDEX(PlotData,MATCH($A53,PlotNumber,0),MATCH(I$3,PlotTitles,0))&amp;INDEX(PlotData,MATCH($A53,PlotNumber,0),MATCH(J$3,PlotTitles,0)))),$AB$20,TRUE,"")</f>
        <v/>
      </c>
      <c r="R53" s="104" t="str" cm="1">
        <f t="array" ref="R53">_xlfn.IFS(OR(ISBLANK(StartDateMonth),ISBLANK(StartDateYear)),"",AND(A53&gt;NumberOfPlots,ISBLANK(INDEX(PlotData,MATCH($A53,PlotNumber,0),MATCH(B$3,PlotTitles,0)))),"",ISBLANK(INDEX(PlotData,MATCH($A53,PlotNumber,0),MATCH(N$3,PlotTitles,0))),"",CompletionMonth="","",(DATEVALUE(INDEX(PlotData,MATCH($A53,PlotNumber,0),MATCH(N$3,PlotTitles,0))&amp;INDEX(PlotData,MATCH($A53,PlotNumber,0),MATCH(O$3,PlotTitles,0))))&gt;(DATEVALUE(CompletionMonth&amp;CompletionYear)),$AB$21,TRUE,"")</f>
        <v/>
      </c>
      <c r="S53" s="104" t="str" cm="1">
        <f t="array" ref="S53">_xlfn.IFS(AND(A53&gt;NumberOfPlots,ISBLANK(INDEX(PlotData,MATCH($A53,PlotNumber,0),MATCH(B$3,PlotTitles,0)))),"",OR(AND(INDEX(PlotData,MATCH($A53,PlotNumber,0),MATCH("Tenure",PlotTitles,0))="Open market housing",INDEX(PlotData,MATCH($A53,PlotNumber,0),MATCH("Tenure detail",PlotTitles,0))="Private rented sector"),INDEX(PlotData,MATCH($A53,PlotNumber,0),MATCH("Tenure",PlotTitles,0))="Affordable rent"),"",ISNUMBER(INDEX(PlotData,MATCH($A53,PlotNumber,0),MATCH(S$3,PlotTitles,0)))=FALSE, $AB$22,TRUE,"")</f>
        <v/>
      </c>
      <c r="T53" s="104" t="str" cm="1">
        <f t="array" ref="T53">_xlfn.IFS(AND(A53&gt;NumberOfPlots,ISBLANK(INDEX(PlotData,MATCH($A53,PlotNumber,0),MATCH(B$3,PlotTitles,0)))),"",OR(AND(INDEX(PlotData,MATCH($A53,PlotNumber,0),MATCH("Tenure",PlotTitles,0))="Open market housing",INDEX(PlotData,MATCH($A53,PlotNumber,0),MATCH("Tenure detail",PlotTitles,0))="Private rented sector"),INDEX(PlotData,MATCH($A53,PlotNumber,0),MATCH("Tenure",PlotTitles,0))="Affordable rent"),"",INDEX(PlotData,MATCH($A53,PlotNumber,0),MATCH(S$3,PlotTitles,0))&lt;10000, $AB$23,TRUE,"")</f>
        <v/>
      </c>
      <c r="U53" s="104" t="str" cm="1">
        <f t="array" ref="U53">_xlfn.IFS(AND(A53&gt;NumberOfPlots,ISBLANK(INDEX(PlotData,MATCH($A53,PlotNumber,0),MATCH(B$3,PlotTitles,0)))),"",NOT(OR(AND(INDEX(PlotData,MATCH($A53,PlotNumber,0),MATCH("Tenure",PlotTitles,0))="Open market housing",INDEX(PlotData,MATCH($A53,PlotNumber,0),MATCH("Tenure detail",PlotTitles,0))="Private rented sector"),INDEX(PlotData,MATCH($A53,PlotNumber,0),MATCH("Tenure",PlotTitles,0))="Affordable rent")),"",NOT(INDEX(PlotData,MATCH($A53,PlotNumber,0),MATCH(S$3,PlotTitles,0))=0), $AB$24,TRUE,"")</f>
        <v/>
      </c>
      <c r="V53" s="114" t="str" cm="1">
        <f t="array" aca="1" ref="V53" ca="1">_xlfn.IFS(ISBLANK(NumberOfPlots),"Enter the number of homes on the 1_SetUp sheet",AND(A53&gt;NumberOfPlots,ISBLANK(INDEX(PlotData,MATCH($A53,PlotNumber,0),MATCH(B$3,PlotTitles,0)))),"No error",NOT(B53=""),B53,NOT(C53=""),C53,NOT(D53=""),D53,NOT(E53=""),E53,NOT(F53=""),F53,NOT(G53=""),G53,NOT(H53=""),H53,NOT(I53=""),I53,NOT(J53=""),J53,NOT(K53=""),K53,NOT(L53=""),L53,NOT(M53=""),M53,NOT(N53=""),N53,NOT(O53=""),O53,NOT(P53=""),P53,NOT(Q53=""),Q53,NOT(R53=""),R53,NOT(S53=""),S53,NOT(T53=""),T53,NOT(U53=""),U53,TRUE,"No error")</f>
        <v>Enter the number of homes on the 1_SetUp sheet</v>
      </c>
      <c r="W53" s="114" t="str">
        <f t="shared" ca="1" si="2"/>
        <v xml:space="preserve">The Borrower has not addressed the following error messages for Home ID 49: </v>
      </c>
    </row>
    <row r="54" spans="1:23">
      <c r="A54" s="123">
        <v>50</v>
      </c>
      <c r="B54" s="104" t="str" cm="1">
        <f t="array" ref="B54">_xlfn.IFS(AND(A54&gt;NumberOfPlots,ISBLANK(INDEX(PlotData,MATCH($A54,PlotNumber,0),MATCH(B$3,PlotTitles,0)))),"",ISNUMBER(INDEX(PlotData,MATCH($A54,PlotNumber,0),MATCH(B$3,PlotTitles,0)))=FALSE, $AB$5,TRUE,"")</f>
        <v/>
      </c>
      <c r="C54" s="104" t="str" cm="1">
        <f t="array" ref="C54">_xlfn.IFS(AND(A54&gt;NumberOfPlots,ISBLANK(INDEX(PlotData,MATCH($A54,PlotNumber,0),MATCH(B$3,PlotTitles,0)))),"",ISBLANK(INDEX(PlotData,MATCH($A54,PlotNumber,0),MATCH(C$3,PlotTitles,0))),$AB$6,TRUE,"")</f>
        <v/>
      </c>
      <c r="D54" s="104" t="str" cm="1">
        <f t="array" ref="D54">_xlfn.IFS(AND(A54&gt;NumberOfPlots,ISBLANK(INDEX(PlotData,MATCH($A54,PlotNumber,0),MATCH(B$3,PlotTitles,0)))),"",ISBLANK(INDEX(PlotData,MATCH($A54,PlotNumber,0),MATCH(D$3,PlotTitles,0))),$AB$7,TRUE,"")</f>
        <v/>
      </c>
      <c r="E54" s="104" t="str" cm="1">
        <f t="array" ref="E54">_xlfn.IFS(AND(A54&gt;NumberOfPlots,ISBLANK(INDEX(PlotData,MATCH($A54,PlotNumber,0),MATCH(B$3,PlotTitles,0)))),"",ISBLANK(INDEX(PlotData,MATCH($A54,PlotNumber,0),MATCH(E$3,PlotTitles,0))),$AB$8,TRUE,"")</f>
        <v/>
      </c>
      <c r="F54" s="104" t="str" cm="1">
        <f t="array" ref="F54">_xlfn.IFS(AND(A54&gt;NumberOfPlots,ISBLANK(INDEX(PlotData,MATCH($A54,PlotNumber,0),MATCH(B$3,PlotTitles,0)))),"",ISBLANK(INDEX(PlotData,MATCH($A54,PlotNumber,0),MATCH(F$3,PlotTitles,0))),$AB$9,TRUE,"")</f>
        <v/>
      </c>
      <c r="G54" s="104" t="str" cm="1">
        <f t="array" ref="G54">_xlfn.IFS(AND(A54&gt;NumberOfPlots,ISBLANK(INDEX(PlotData,MATCH($A54,PlotNumber,0),MATCH(B$3,PlotTitles,0)))),"",ISBLANK(INDEX(PlotData,MATCH($A54,PlotNumber,0),MATCH(G$3,PlotTitles,0))),$AB$10,TRUE,"")</f>
        <v/>
      </c>
      <c r="H54" s="104" t="str" cm="1">
        <f t="array" ref="H54">_xlfn.IFS(AND(A54&gt;NumberOfPlots,ISBLANK(INDEX(PlotData,MATCH($A54,PlotNumber,0),MATCH(B$3,PlotTitles,0)))),"",AND(ISBLANK(INDEX(PlotData,MATCH($A54,PlotNumber,0),MATCH(H$3,PlotTitles,0)))=FALSE,INDEX(PlotData,MATCH($A54,PlotNumber,0),MATCH(H$3,PlotTitles,0))&lt;500), $AB$11,TRUE,"")</f>
        <v/>
      </c>
      <c r="I54" s="104" t="str" cm="1">
        <f t="array" ref="I54">_xlfn.IFS(AND(A54&gt;NumberOfPlots,ISBLANK(INDEX(PlotData,MATCH($A54,PlotNumber,0),MATCH(B$3,PlotTitles,0)))),"",ISBLANK(INDEX(PlotData,MATCH($A54,PlotNumber,0),MATCH(I$3,PlotTitles,0))),$AB$12,TRUE,"")</f>
        <v/>
      </c>
      <c r="J54" s="104" t="str" cm="1">
        <f t="array" ref="J54">_xlfn.IFS(AND(A54&gt;NumberOfPlots,ISBLANK(INDEX(PlotData,MATCH($A54,PlotNumber,0),MATCH(B$3,PlotTitles,0)))),"",ISBLANK(INDEX(PlotData,MATCH($A54,PlotNumber,0),MATCH(J$3,PlotTitles,0))),$AB$13,TRUE,"")</f>
        <v/>
      </c>
      <c r="K54" s="182" t="str">
        <f t="shared" ca="1" si="0"/>
        <v/>
      </c>
      <c r="L54" s="104" t="str" cm="1">
        <f t="array" ref="L54">_xlfn.IFS(OR(ISBLANK(StartDateMonth),ISBLANK(StartDateYear)),"",AND(A54&gt;NumberOfPlots,ISBLANK(INDEX(PlotData,MATCH($A54,PlotNumber,0),MATCH(B$3,PlotTitles,0)))),"",ISBLANK(INDEX(PlotData,MATCH($A54,PlotNumber,0),MATCH(I$3,PlotTitles,0))),"",(DATEVALUE(INDEX(PlotData,MATCH($A54,PlotNumber,0),MATCH(I$3,PlotTitles,0))&amp;INDEX(PlotData,MATCH($A54,PlotNumber,0),MATCH(J$3,PlotTitles,0))))&lt;DATEVALUE(StartDateMonth&amp;StartDateYear),$AB$15,TRUE,"")</f>
        <v/>
      </c>
      <c r="M54" s="104" t="str" cm="1">
        <f t="array" ref="M54">_xlfn.IFS(OR(ISBLANK(StartDateMonth),ISBLANK(StartDateYear)),"",AND(A54&gt;NumberOfPlots,ISBLANK(INDEX(PlotData,MATCH($A54,PlotNumber,0),MATCH(B$3,PlotTitles,0)))),"",ISBLANK(INDEX(PlotData,MATCH($A54,PlotNumber,0),MATCH(I$3,PlotTitles,0))),"",CompletionMonth="","",(DATEVALUE(INDEX(PlotData,MATCH($A54,PlotNumber,0),MATCH(I$3,PlotTitles,0))&amp;INDEX(PlotData,MATCH($A54,PlotNumber,0),MATCH(J$3,PlotTitles,0))))&gt;(DATEVALUE(CompletionMonth&amp;CompletionYear)),$AB$16,TRUE,"")</f>
        <v/>
      </c>
      <c r="N54" s="104" t="str" cm="1">
        <f t="array" ref="N54">_xlfn.IFS(AND(A54&gt;NumberOfPlots,ISBLANK(INDEX(PlotData,MATCH($A54,PlotNumber,0),MATCH(B$3,PlotTitles,0)))),"",ISBLANK(INDEX(PlotData,MATCH($A54,PlotNumber,0),MATCH(N$3,PlotTitles,0))),$AB$17,TRUE,"")</f>
        <v/>
      </c>
      <c r="O54" s="104" t="str" cm="1">
        <f t="array" ref="O54">_xlfn.IFS(AND(A54&gt;NumberOfPlots,ISBLANK(INDEX(PlotData,MATCH($A54,PlotNumber,0),MATCH(B$3,PlotTitles,0)))),"",ISBLANK(INDEX(PlotData,MATCH($A54,PlotNumber,0),MATCH(O$3,PlotTitles,0))),$AB$18,TRUE,"")</f>
        <v/>
      </c>
      <c r="P54" s="182" t="str">
        <f t="shared" ca="1" si="1"/>
        <v/>
      </c>
      <c r="Q54" s="104" t="str" cm="1">
        <f t="array" ref="Q54">_xlfn.IFS(AND(A54&gt;NumberOfPlots,ISBLANK(INDEX(PlotData,MATCH($A54,PlotNumber,0),MATCH(B$3,PlotTitles,0)))),"",ISBLANK(INDEX(PlotData,MATCH($A54,PlotNumber,0),MATCH(N$3,PlotTitles,0))),"",(DATEVALUE(INDEX(PlotData,MATCH($A54,PlotNumber,0),MATCH(N$3,PlotTitles,0))&amp;INDEX(PlotData,MATCH($A54,PlotNumber,0),MATCH(O$3,PlotTitles,0))))&lt;(DATEVALUE(INDEX(PlotData,MATCH($A54,PlotNumber,0),MATCH(I$3,PlotTitles,0))&amp;INDEX(PlotData,MATCH($A54,PlotNumber,0),MATCH(J$3,PlotTitles,0)))),$AB$20,TRUE,"")</f>
        <v/>
      </c>
      <c r="R54" s="104" t="str" cm="1">
        <f t="array" ref="R54">_xlfn.IFS(OR(ISBLANK(StartDateMonth),ISBLANK(StartDateYear)),"",AND(A54&gt;NumberOfPlots,ISBLANK(INDEX(PlotData,MATCH($A54,PlotNumber,0),MATCH(B$3,PlotTitles,0)))),"",ISBLANK(INDEX(PlotData,MATCH($A54,PlotNumber,0),MATCH(N$3,PlotTitles,0))),"",CompletionMonth="","",(DATEVALUE(INDEX(PlotData,MATCH($A54,PlotNumber,0),MATCH(N$3,PlotTitles,0))&amp;INDEX(PlotData,MATCH($A54,PlotNumber,0),MATCH(O$3,PlotTitles,0))))&gt;(DATEVALUE(CompletionMonth&amp;CompletionYear)),$AB$21,TRUE,"")</f>
        <v/>
      </c>
      <c r="S54" s="104" t="str" cm="1">
        <f t="array" ref="S54">_xlfn.IFS(AND(A54&gt;NumberOfPlots,ISBLANK(INDEX(PlotData,MATCH($A54,PlotNumber,0),MATCH(B$3,PlotTitles,0)))),"",OR(AND(INDEX(PlotData,MATCH($A54,PlotNumber,0),MATCH("Tenure",PlotTitles,0))="Open market housing",INDEX(PlotData,MATCH($A54,PlotNumber,0),MATCH("Tenure detail",PlotTitles,0))="Private rented sector"),INDEX(PlotData,MATCH($A54,PlotNumber,0),MATCH("Tenure",PlotTitles,0))="Affordable rent"),"",ISNUMBER(INDEX(PlotData,MATCH($A54,PlotNumber,0),MATCH(S$3,PlotTitles,0)))=FALSE, $AB$22,TRUE,"")</f>
        <v/>
      </c>
      <c r="T54" s="104" t="str" cm="1">
        <f t="array" ref="T54">_xlfn.IFS(AND(A54&gt;NumberOfPlots,ISBLANK(INDEX(PlotData,MATCH($A54,PlotNumber,0),MATCH(B$3,PlotTitles,0)))),"",OR(AND(INDEX(PlotData,MATCH($A54,PlotNumber,0),MATCH("Tenure",PlotTitles,0))="Open market housing",INDEX(PlotData,MATCH($A54,PlotNumber,0),MATCH("Tenure detail",PlotTitles,0))="Private rented sector"),INDEX(PlotData,MATCH($A54,PlotNumber,0),MATCH("Tenure",PlotTitles,0))="Affordable rent"),"",INDEX(PlotData,MATCH($A54,PlotNumber,0),MATCH(S$3,PlotTitles,0))&lt;10000, $AB$23,TRUE,"")</f>
        <v/>
      </c>
      <c r="U54" s="104" t="str" cm="1">
        <f t="array" ref="U54">_xlfn.IFS(AND(A54&gt;NumberOfPlots,ISBLANK(INDEX(PlotData,MATCH($A54,PlotNumber,0),MATCH(B$3,PlotTitles,0)))),"",NOT(OR(AND(INDEX(PlotData,MATCH($A54,PlotNumber,0),MATCH("Tenure",PlotTitles,0))="Open market housing",INDEX(PlotData,MATCH($A54,PlotNumber,0),MATCH("Tenure detail",PlotTitles,0))="Private rented sector"),INDEX(PlotData,MATCH($A54,PlotNumber,0),MATCH("Tenure",PlotTitles,0))="Affordable rent")),"",NOT(INDEX(PlotData,MATCH($A54,PlotNumber,0),MATCH(S$3,PlotTitles,0))=0), $AB$24,TRUE,"")</f>
        <v/>
      </c>
      <c r="V54" s="114" t="str" cm="1">
        <f t="array" aca="1" ref="V54" ca="1">_xlfn.IFS(ISBLANK(NumberOfPlots),"Enter the number of homes on the 1_SetUp sheet",AND(A54&gt;NumberOfPlots,ISBLANK(INDEX(PlotData,MATCH($A54,PlotNumber,0),MATCH(B$3,PlotTitles,0)))),"No error",NOT(B54=""),B54,NOT(C54=""),C54,NOT(D54=""),D54,NOT(E54=""),E54,NOT(F54=""),F54,NOT(G54=""),G54,NOT(H54=""),H54,NOT(I54=""),I54,NOT(J54=""),J54,NOT(K54=""),K54,NOT(L54=""),L54,NOT(M54=""),M54,NOT(N54=""),N54,NOT(O54=""),O54,NOT(P54=""),P54,NOT(Q54=""),Q54,NOT(R54=""),R54,NOT(S54=""),S54,NOT(T54=""),T54,NOT(U54=""),U54,TRUE,"No error")</f>
        <v>Enter the number of homes on the 1_SetUp sheet</v>
      </c>
      <c r="W54" s="114" t="str">
        <f t="shared" ca="1" si="2"/>
        <v xml:space="preserve">The Borrower has not addressed the following error messages for Home ID 50: </v>
      </c>
    </row>
    <row r="55" spans="1:23">
      <c r="A55" s="123">
        <v>51</v>
      </c>
      <c r="B55" s="104" t="str" cm="1">
        <f t="array" ref="B55">_xlfn.IFS(AND(A55&gt;NumberOfPlots,ISBLANK(INDEX(PlotData,MATCH($A55,PlotNumber,0),MATCH(B$3,PlotTitles,0)))),"",ISNUMBER(INDEX(PlotData,MATCH($A55,PlotNumber,0),MATCH(B$3,PlotTitles,0)))=FALSE, $AB$5,TRUE,"")</f>
        <v/>
      </c>
      <c r="C55" s="104" t="str" cm="1">
        <f t="array" ref="C55">_xlfn.IFS(AND(A55&gt;NumberOfPlots,ISBLANK(INDEX(PlotData,MATCH($A55,PlotNumber,0),MATCH(B$3,PlotTitles,0)))),"",ISBLANK(INDEX(PlotData,MATCH($A55,PlotNumber,0),MATCH(C$3,PlotTitles,0))),$AB$6,TRUE,"")</f>
        <v/>
      </c>
      <c r="D55" s="104" t="str" cm="1">
        <f t="array" ref="D55">_xlfn.IFS(AND(A55&gt;NumberOfPlots,ISBLANK(INDEX(PlotData,MATCH($A55,PlotNumber,0),MATCH(B$3,PlotTitles,0)))),"",ISBLANK(INDEX(PlotData,MATCH($A55,PlotNumber,0),MATCH(D$3,PlotTitles,0))),$AB$7,TRUE,"")</f>
        <v/>
      </c>
      <c r="E55" s="104" t="str" cm="1">
        <f t="array" ref="E55">_xlfn.IFS(AND(A55&gt;NumberOfPlots,ISBLANK(INDEX(PlotData,MATCH($A55,PlotNumber,0),MATCH(B$3,PlotTitles,0)))),"",ISBLANK(INDEX(PlotData,MATCH($A55,PlotNumber,0),MATCH(E$3,PlotTitles,0))),$AB$8,TRUE,"")</f>
        <v/>
      </c>
      <c r="F55" s="104" t="str" cm="1">
        <f t="array" ref="F55">_xlfn.IFS(AND(A55&gt;NumberOfPlots,ISBLANK(INDEX(PlotData,MATCH($A55,PlotNumber,0),MATCH(B$3,PlotTitles,0)))),"",ISBLANK(INDEX(PlotData,MATCH($A55,PlotNumber,0),MATCH(F$3,PlotTitles,0))),$AB$9,TRUE,"")</f>
        <v/>
      </c>
      <c r="G55" s="104" t="str" cm="1">
        <f t="array" ref="G55">_xlfn.IFS(AND(A55&gt;NumberOfPlots,ISBLANK(INDEX(PlotData,MATCH($A55,PlotNumber,0),MATCH(B$3,PlotTitles,0)))),"",ISBLANK(INDEX(PlotData,MATCH($A55,PlotNumber,0),MATCH(G$3,PlotTitles,0))),$AB$10,TRUE,"")</f>
        <v/>
      </c>
      <c r="H55" s="104" t="str" cm="1">
        <f t="array" ref="H55">_xlfn.IFS(AND(A55&gt;NumberOfPlots,ISBLANK(INDEX(PlotData,MATCH($A55,PlotNumber,0),MATCH(B$3,PlotTitles,0)))),"",AND(ISBLANK(INDEX(PlotData,MATCH($A55,PlotNumber,0),MATCH(H$3,PlotTitles,0)))=FALSE,INDEX(PlotData,MATCH($A55,PlotNumber,0),MATCH(H$3,PlotTitles,0))&lt;500), $AB$11,TRUE,"")</f>
        <v/>
      </c>
      <c r="I55" s="104" t="str" cm="1">
        <f t="array" ref="I55">_xlfn.IFS(AND(A55&gt;NumberOfPlots,ISBLANK(INDEX(PlotData,MATCH($A55,PlotNumber,0),MATCH(B$3,PlotTitles,0)))),"",ISBLANK(INDEX(PlotData,MATCH($A55,PlotNumber,0),MATCH(I$3,PlotTitles,0))),$AB$12,TRUE,"")</f>
        <v/>
      </c>
      <c r="J55" s="104" t="str" cm="1">
        <f t="array" ref="J55">_xlfn.IFS(AND(A55&gt;NumberOfPlots,ISBLANK(INDEX(PlotData,MATCH($A55,PlotNumber,0),MATCH(B$3,PlotTitles,0)))),"",ISBLANK(INDEX(PlotData,MATCH($A55,PlotNumber,0),MATCH(J$3,PlotTitles,0))),$AB$13,TRUE,"")</f>
        <v/>
      </c>
      <c r="K55" s="182" t="str">
        <f t="shared" ca="1" si="0"/>
        <v/>
      </c>
      <c r="L55" s="104" t="str" cm="1">
        <f t="array" ref="L55">_xlfn.IFS(OR(ISBLANK(StartDateMonth),ISBLANK(StartDateYear)),"",AND(A55&gt;NumberOfPlots,ISBLANK(INDEX(PlotData,MATCH($A55,PlotNumber,0),MATCH(B$3,PlotTitles,0)))),"",ISBLANK(INDEX(PlotData,MATCH($A55,PlotNumber,0),MATCH(I$3,PlotTitles,0))),"",(DATEVALUE(INDEX(PlotData,MATCH($A55,PlotNumber,0),MATCH(I$3,PlotTitles,0))&amp;INDEX(PlotData,MATCH($A55,PlotNumber,0),MATCH(J$3,PlotTitles,0))))&lt;DATEVALUE(StartDateMonth&amp;StartDateYear),$AB$15,TRUE,"")</f>
        <v/>
      </c>
      <c r="M55" s="104" t="str" cm="1">
        <f t="array" ref="M55">_xlfn.IFS(OR(ISBLANK(StartDateMonth),ISBLANK(StartDateYear)),"",AND(A55&gt;NumberOfPlots,ISBLANK(INDEX(PlotData,MATCH($A55,PlotNumber,0),MATCH(B$3,PlotTitles,0)))),"",ISBLANK(INDEX(PlotData,MATCH($A55,PlotNumber,0),MATCH(I$3,PlotTitles,0))),"",CompletionMonth="","",(DATEVALUE(INDEX(PlotData,MATCH($A55,PlotNumber,0),MATCH(I$3,PlotTitles,0))&amp;INDEX(PlotData,MATCH($A55,PlotNumber,0),MATCH(J$3,PlotTitles,0))))&gt;(DATEVALUE(CompletionMonth&amp;CompletionYear)),$AB$16,TRUE,"")</f>
        <v/>
      </c>
      <c r="N55" s="104" t="str" cm="1">
        <f t="array" ref="N55">_xlfn.IFS(AND(A55&gt;NumberOfPlots,ISBLANK(INDEX(PlotData,MATCH($A55,PlotNumber,0),MATCH(B$3,PlotTitles,0)))),"",ISBLANK(INDEX(PlotData,MATCH($A55,PlotNumber,0),MATCH(N$3,PlotTitles,0))),$AB$17,TRUE,"")</f>
        <v/>
      </c>
      <c r="O55" s="104" t="str" cm="1">
        <f t="array" ref="O55">_xlfn.IFS(AND(A55&gt;NumberOfPlots,ISBLANK(INDEX(PlotData,MATCH($A55,PlotNumber,0),MATCH(B$3,PlotTitles,0)))),"",ISBLANK(INDEX(PlotData,MATCH($A55,PlotNumber,0),MATCH(O$3,PlotTitles,0))),$AB$18,TRUE,"")</f>
        <v/>
      </c>
      <c r="P55" s="182" t="str">
        <f t="shared" ca="1" si="1"/>
        <v/>
      </c>
      <c r="Q55" s="104" t="str" cm="1">
        <f t="array" ref="Q55">_xlfn.IFS(AND(A55&gt;NumberOfPlots,ISBLANK(INDEX(PlotData,MATCH($A55,PlotNumber,0),MATCH(B$3,PlotTitles,0)))),"",ISBLANK(INDEX(PlotData,MATCH($A55,PlotNumber,0),MATCH(N$3,PlotTitles,0))),"",(DATEVALUE(INDEX(PlotData,MATCH($A55,PlotNumber,0),MATCH(N$3,PlotTitles,0))&amp;INDEX(PlotData,MATCH($A55,PlotNumber,0),MATCH(O$3,PlotTitles,0))))&lt;(DATEVALUE(INDEX(PlotData,MATCH($A55,PlotNumber,0),MATCH(I$3,PlotTitles,0))&amp;INDEX(PlotData,MATCH($A55,PlotNumber,0),MATCH(J$3,PlotTitles,0)))),$AB$20,TRUE,"")</f>
        <v/>
      </c>
      <c r="R55" s="104" t="str" cm="1">
        <f t="array" ref="R55">_xlfn.IFS(OR(ISBLANK(StartDateMonth),ISBLANK(StartDateYear)),"",AND(A55&gt;NumberOfPlots,ISBLANK(INDEX(PlotData,MATCH($A55,PlotNumber,0),MATCH(B$3,PlotTitles,0)))),"",ISBLANK(INDEX(PlotData,MATCH($A55,PlotNumber,0),MATCH(N$3,PlotTitles,0))),"",CompletionMonth="","",(DATEVALUE(INDEX(PlotData,MATCH($A55,PlotNumber,0),MATCH(N$3,PlotTitles,0))&amp;INDEX(PlotData,MATCH($A55,PlotNumber,0),MATCH(O$3,PlotTitles,0))))&gt;(DATEVALUE(CompletionMonth&amp;CompletionYear)),$AB$21,TRUE,"")</f>
        <v/>
      </c>
      <c r="S55" s="104" t="str" cm="1">
        <f t="array" ref="S55">_xlfn.IFS(AND(A55&gt;NumberOfPlots,ISBLANK(INDEX(PlotData,MATCH($A55,PlotNumber,0),MATCH(B$3,PlotTitles,0)))),"",OR(AND(INDEX(PlotData,MATCH($A55,PlotNumber,0),MATCH("Tenure",PlotTitles,0))="Open market housing",INDEX(PlotData,MATCH($A55,PlotNumber,0),MATCH("Tenure detail",PlotTitles,0))="Private rented sector"),INDEX(PlotData,MATCH($A55,PlotNumber,0),MATCH("Tenure",PlotTitles,0))="Affordable rent"),"",ISNUMBER(INDEX(PlotData,MATCH($A55,PlotNumber,0),MATCH(S$3,PlotTitles,0)))=FALSE, $AB$22,TRUE,"")</f>
        <v/>
      </c>
      <c r="T55" s="104" t="str" cm="1">
        <f t="array" ref="T55">_xlfn.IFS(AND(A55&gt;NumberOfPlots,ISBLANK(INDEX(PlotData,MATCH($A55,PlotNumber,0),MATCH(B$3,PlotTitles,0)))),"",OR(AND(INDEX(PlotData,MATCH($A55,PlotNumber,0),MATCH("Tenure",PlotTitles,0))="Open market housing",INDEX(PlotData,MATCH($A55,PlotNumber,0),MATCH("Tenure detail",PlotTitles,0))="Private rented sector"),INDEX(PlotData,MATCH($A55,PlotNumber,0),MATCH("Tenure",PlotTitles,0))="Affordable rent"),"",INDEX(PlotData,MATCH($A55,PlotNumber,0),MATCH(S$3,PlotTitles,0))&lt;10000, $AB$23,TRUE,"")</f>
        <v/>
      </c>
      <c r="U55" s="104" t="str" cm="1">
        <f t="array" ref="U55">_xlfn.IFS(AND(A55&gt;NumberOfPlots,ISBLANK(INDEX(PlotData,MATCH($A55,PlotNumber,0),MATCH(B$3,PlotTitles,0)))),"",NOT(OR(AND(INDEX(PlotData,MATCH($A55,PlotNumber,0),MATCH("Tenure",PlotTitles,0))="Open market housing",INDEX(PlotData,MATCH($A55,PlotNumber,0),MATCH("Tenure detail",PlotTitles,0))="Private rented sector"),INDEX(PlotData,MATCH($A55,PlotNumber,0),MATCH("Tenure",PlotTitles,0))="Affordable rent")),"",NOT(INDEX(PlotData,MATCH($A55,PlotNumber,0),MATCH(S$3,PlotTitles,0))=0), $AB$24,TRUE,"")</f>
        <v/>
      </c>
      <c r="V55" s="114" t="str" cm="1">
        <f t="array" aca="1" ref="V55" ca="1">_xlfn.IFS(ISBLANK(NumberOfPlots),"Enter the number of homes on the 1_SetUp sheet",AND(A55&gt;NumberOfPlots,ISBLANK(INDEX(PlotData,MATCH($A55,PlotNumber,0),MATCH(B$3,PlotTitles,0)))),"No error",NOT(B55=""),B55,NOT(C55=""),C55,NOT(D55=""),D55,NOT(E55=""),E55,NOT(F55=""),F55,NOT(G55=""),G55,NOT(H55=""),H55,NOT(I55=""),I55,NOT(J55=""),J55,NOT(K55=""),K55,NOT(L55=""),L55,NOT(M55=""),M55,NOT(N55=""),N55,NOT(O55=""),O55,NOT(P55=""),P55,NOT(Q55=""),Q55,NOT(R55=""),R55,NOT(S55=""),S55,NOT(T55=""),T55,NOT(U55=""),U55,TRUE,"No error")</f>
        <v>Enter the number of homes on the 1_SetUp sheet</v>
      </c>
      <c r="W55" s="114" t="str">
        <f t="shared" ca="1" si="2"/>
        <v xml:space="preserve">The Borrower has not addressed the following error messages for Home ID 51: </v>
      </c>
    </row>
    <row r="56" spans="1:23">
      <c r="A56" s="123">
        <v>52</v>
      </c>
      <c r="B56" s="104" t="str" cm="1">
        <f t="array" ref="B56">_xlfn.IFS(AND(A56&gt;NumberOfPlots,ISBLANK(INDEX(PlotData,MATCH($A56,PlotNumber,0),MATCH(B$3,PlotTitles,0)))),"",ISNUMBER(INDEX(PlotData,MATCH($A56,PlotNumber,0),MATCH(B$3,PlotTitles,0)))=FALSE, $AB$5,TRUE,"")</f>
        <v/>
      </c>
      <c r="C56" s="104" t="str" cm="1">
        <f t="array" ref="C56">_xlfn.IFS(AND(A56&gt;NumberOfPlots,ISBLANK(INDEX(PlotData,MATCH($A56,PlotNumber,0),MATCH(B$3,PlotTitles,0)))),"",ISBLANK(INDEX(PlotData,MATCH($A56,PlotNumber,0),MATCH(C$3,PlotTitles,0))),$AB$6,TRUE,"")</f>
        <v/>
      </c>
      <c r="D56" s="104" t="str" cm="1">
        <f t="array" ref="D56">_xlfn.IFS(AND(A56&gt;NumberOfPlots,ISBLANK(INDEX(PlotData,MATCH($A56,PlotNumber,0),MATCH(B$3,PlotTitles,0)))),"",ISBLANK(INDEX(PlotData,MATCH($A56,PlotNumber,0),MATCH(D$3,PlotTitles,0))),$AB$7,TRUE,"")</f>
        <v/>
      </c>
      <c r="E56" s="104" t="str" cm="1">
        <f t="array" ref="E56">_xlfn.IFS(AND(A56&gt;NumberOfPlots,ISBLANK(INDEX(PlotData,MATCH($A56,PlotNumber,0),MATCH(B$3,PlotTitles,0)))),"",ISBLANK(INDEX(PlotData,MATCH($A56,PlotNumber,0),MATCH(E$3,PlotTitles,0))),$AB$8,TRUE,"")</f>
        <v/>
      </c>
      <c r="F56" s="104" t="str" cm="1">
        <f t="array" ref="F56">_xlfn.IFS(AND(A56&gt;NumberOfPlots,ISBLANK(INDEX(PlotData,MATCH($A56,PlotNumber,0),MATCH(B$3,PlotTitles,0)))),"",ISBLANK(INDEX(PlotData,MATCH($A56,PlotNumber,0),MATCH(F$3,PlotTitles,0))),$AB$9,TRUE,"")</f>
        <v/>
      </c>
      <c r="G56" s="104" t="str" cm="1">
        <f t="array" ref="G56">_xlfn.IFS(AND(A56&gt;NumberOfPlots,ISBLANK(INDEX(PlotData,MATCH($A56,PlotNumber,0),MATCH(B$3,PlotTitles,0)))),"",ISBLANK(INDEX(PlotData,MATCH($A56,PlotNumber,0),MATCH(G$3,PlotTitles,0))),$AB$10,TRUE,"")</f>
        <v/>
      </c>
      <c r="H56" s="104" t="str" cm="1">
        <f t="array" ref="H56">_xlfn.IFS(AND(A56&gt;NumberOfPlots,ISBLANK(INDEX(PlotData,MATCH($A56,PlotNumber,0),MATCH(B$3,PlotTitles,0)))),"",AND(ISBLANK(INDEX(PlotData,MATCH($A56,PlotNumber,0),MATCH(H$3,PlotTitles,0)))=FALSE,INDEX(PlotData,MATCH($A56,PlotNumber,0),MATCH(H$3,PlotTitles,0))&lt;500), $AB$11,TRUE,"")</f>
        <v/>
      </c>
      <c r="I56" s="104" t="str" cm="1">
        <f t="array" ref="I56">_xlfn.IFS(AND(A56&gt;NumberOfPlots,ISBLANK(INDEX(PlotData,MATCH($A56,PlotNumber,0),MATCH(B$3,PlotTitles,0)))),"",ISBLANK(INDEX(PlotData,MATCH($A56,PlotNumber,0),MATCH(I$3,PlotTitles,0))),$AB$12,TRUE,"")</f>
        <v/>
      </c>
      <c r="J56" s="104" t="str" cm="1">
        <f t="array" ref="J56">_xlfn.IFS(AND(A56&gt;NumberOfPlots,ISBLANK(INDEX(PlotData,MATCH($A56,PlotNumber,0),MATCH(B$3,PlotTitles,0)))),"",ISBLANK(INDEX(PlotData,MATCH($A56,PlotNumber,0),MATCH(J$3,PlotTitles,0))),$AB$13,TRUE,"")</f>
        <v/>
      </c>
      <c r="K56" s="182" t="str">
        <f t="shared" ca="1" si="0"/>
        <v/>
      </c>
      <c r="L56" s="104" t="str" cm="1">
        <f t="array" ref="L56">_xlfn.IFS(OR(ISBLANK(StartDateMonth),ISBLANK(StartDateYear)),"",AND(A56&gt;NumberOfPlots,ISBLANK(INDEX(PlotData,MATCH($A56,PlotNumber,0),MATCH(B$3,PlotTitles,0)))),"",ISBLANK(INDEX(PlotData,MATCH($A56,PlotNumber,0),MATCH(I$3,PlotTitles,0))),"",(DATEVALUE(INDEX(PlotData,MATCH($A56,PlotNumber,0),MATCH(I$3,PlotTitles,0))&amp;INDEX(PlotData,MATCH($A56,PlotNumber,0),MATCH(J$3,PlotTitles,0))))&lt;DATEVALUE(StartDateMonth&amp;StartDateYear),$AB$15,TRUE,"")</f>
        <v/>
      </c>
      <c r="M56" s="104" t="str" cm="1">
        <f t="array" ref="M56">_xlfn.IFS(OR(ISBLANK(StartDateMonth),ISBLANK(StartDateYear)),"",AND(A56&gt;NumberOfPlots,ISBLANK(INDEX(PlotData,MATCH($A56,PlotNumber,0),MATCH(B$3,PlotTitles,0)))),"",ISBLANK(INDEX(PlotData,MATCH($A56,PlotNumber,0),MATCH(I$3,PlotTitles,0))),"",CompletionMonth="","",(DATEVALUE(INDEX(PlotData,MATCH($A56,PlotNumber,0),MATCH(I$3,PlotTitles,0))&amp;INDEX(PlotData,MATCH($A56,PlotNumber,0),MATCH(J$3,PlotTitles,0))))&gt;(DATEVALUE(CompletionMonth&amp;CompletionYear)),$AB$16,TRUE,"")</f>
        <v/>
      </c>
      <c r="N56" s="104" t="str" cm="1">
        <f t="array" ref="N56">_xlfn.IFS(AND(A56&gt;NumberOfPlots,ISBLANK(INDEX(PlotData,MATCH($A56,PlotNumber,0),MATCH(B$3,PlotTitles,0)))),"",ISBLANK(INDEX(PlotData,MATCH($A56,PlotNumber,0),MATCH(N$3,PlotTitles,0))),$AB$17,TRUE,"")</f>
        <v/>
      </c>
      <c r="O56" s="104" t="str" cm="1">
        <f t="array" ref="O56">_xlfn.IFS(AND(A56&gt;NumberOfPlots,ISBLANK(INDEX(PlotData,MATCH($A56,PlotNumber,0),MATCH(B$3,PlotTitles,0)))),"",ISBLANK(INDEX(PlotData,MATCH($A56,PlotNumber,0),MATCH(O$3,PlotTitles,0))),$AB$18,TRUE,"")</f>
        <v/>
      </c>
      <c r="P56" s="182" t="str">
        <f t="shared" ca="1" si="1"/>
        <v/>
      </c>
      <c r="Q56" s="104" t="str" cm="1">
        <f t="array" ref="Q56">_xlfn.IFS(AND(A56&gt;NumberOfPlots,ISBLANK(INDEX(PlotData,MATCH($A56,PlotNumber,0),MATCH(B$3,PlotTitles,0)))),"",ISBLANK(INDEX(PlotData,MATCH($A56,PlotNumber,0),MATCH(N$3,PlotTitles,0))),"",(DATEVALUE(INDEX(PlotData,MATCH($A56,PlotNumber,0),MATCH(N$3,PlotTitles,0))&amp;INDEX(PlotData,MATCH($A56,PlotNumber,0),MATCH(O$3,PlotTitles,0))))&lt;(DATEVALUE(INDEX(PlotData,MATCH($A56,PlotNumber,0),MATCH(I$3,PlotTitles,0))&amp;INDEX(PlotData,MATCH($A56,PlotNumber,0),MATCH(J$3,PlotTitles,0)))),$AB$20,TRUE,"")</f>
        <v/>
      </c>
      <c r="R56" s="104" t="str" cm="1">
        <f t="array" ref="R56">_xlfn.IFS(OR(ISBLANK(StartDateMonth),ISBLANK(StartDateYear)),"",AND(A56&gt;NumberOfPlots,ISBLANK(INDEX(PlotData,MATCH($A56,PlotNumber,0),MATCH(B$3,PlotTitles,0)))),"",ISBLANK(INDEX(PlotData,MATCH($A56,PlotNumber,0),MATCH(N$3,PlotTitles,0))),"",CompletionMonth="","",(DATEVALUE(INDEX(PlotData,MATCH($A56,PlotNumber,0),MATCH(N$3,PlotTitles,0))&amp;INDEX(PlotData,MATCH($A56,PlotNumber,0),MATCH(O$3,PlotTitles,0))))&gt;(DATEVALUE(CompletionMonth&amp;CompletionYear)),$AB$21,TRUE,"")</f>
        <v/>
      </c>
      <c r="S56" s="104" t="str" cm="1">
        <f t="array" ref="S56">_xlfn.IFS(AND(A56&gt;NumberOfPlots,ISBLANK(INDEX(PlotData,MATCH($A56,PlotNumber,0),MATCH(B$3,PlotTitles,0)))),"",OR(AND(INDEX(PlotData,MATCH($A56,PlotNumber,0),MATCH("Tenure",PlotTitles,0))="Open market housing",INDEX(PlotData,MATCH($A56,PlotNumber,0),MATCH("Tenure detail",PlotTitles,0))="Private rented sector"),INDEX(PlotData,MATCH($A56,PlotNumber,0),MATCH("Tenure",PlotTitles,0))="Affordable rent"),"",ISNUMBER(INDEX(PlotData,MATCH($A56,PlotNumber,0),MATCH(S$3,PlotTitles,0)))=FALSE, $AB$22,TRUE,"")</f>
        <v/>
      </c>
      <c r="T56" s="104" t="str" cm="1">
        <f t="array" ref="T56">_xlfn.IFS(AND(A56&gt;NumberOfPlots,ISBLANK(INDEX(PlotData,MATCH($A56,PlotNumber,0),MATCH(B$3,PlotTitles,0)))),"",OR(AND(INDEX(PlotData,MATCH($A56,PlotNumber,0),MATCH("Tenure",PlotTitles,0))="Open market housing",INDEX(PlotData,MATCH($A56,PlotNumber,0),MATCH("Tenure detail",PlotTitles,0))="Private rented sector"),INDEX(PlotData,MATCH($A56,PlotNumber,0),MATCH("Tenure",PlotTitles,0))="Affordable rent"),"",INDEX(PlotData,MATCH($A56,PlotNumber,0),MATCH(S$3,PlotTitles,0))&lt;10000, $AB$23,TRUE,"")</f>
        <v/>
      </c>
      <c r="U56" s="104" t="str" cm="1">
        <f t="array" ref="U56">_xlfn.IFS(AND(A56&gt;NumberOfPlots,ISBLANK(INDEX(PlotData,MATCH($A56,PlotNumber,0),MATCH(B$3,PlotTitles,0)))),"",NOT(OR(AND(INDEX(PlotData,MATCH($A56,PlotNumber,0),MATCH("Tenure",PlotTitles,0))="Open market housing",INDEX(PlotData,MATCH($A56,PlotNumber,0),MATCH("Tenure detail",PlotTitles,0))="Private rented sector"),INDEX(PlotData,MATCH($A56,PlotNumber,0),MATCH("Tenure",PlotTitles,0))="Affordable rent")),"",NOT(INDEX(PlotData,MATCH($A56,PlotNumber,0),MATCH(S$3,PlotTitles,0))=0), $AB$24,TRUE,"")</f>
        <v/>
      </c>
      <c r="V56" s="114" t="str" cm="1">
        <f t="array" aca="1" ref="V56" ca="1">_xlfn.IFS(ISBLANK(NumberOfPlots),"Enter the number of homes on the 1_SetUp sheet",AND(A56&gt;NumberOfPlots,ISBLANK(INDEX(PlotData,MATCH($A56,PlotNumber,0),MATCH(B$3,PlotTitles,0)))),"No error",NOT(B56=""),B56,NOT(C56=""),C56,NOT(D56=""),D56,NOT(E56=""),E56,NOT(F56=""),F56,NOT(G56=""),G56,NOT(H56=""),H56,NOT(I56=""),I56,NOT(J56=""),J56,NOT(K56=""),K56,NOT(L56=""),L56,NOT(M56=""),M56,NOT(N56=""),N56,NOT(O56=""),O56,NOT(P56=""),P56,NOT(Q56=""),Q56,NOT(R56=""),R56,NOT(S56=""),S56,NOT(T56=""),T56,NOT(U56=""),U56,TRUE,"No error")</f>
        <v>Enter the number of homes on the 1_SetUp sheet</v>
      </c>
      <c r="W56" s="114" t="str">
        <f t="shared" ca="1" si="2"/>
        <v xml:space="preserve">The Borrower has not addressed the following error messages for Home ID 52: </v>
      </c>
    </row>
    <row r="57" spans="1:23">
      <c r="A57" s="123">
        <v>53</v>
      </c>
      <c r="B57" s="104" t="str" cm="1">
        <f t="array" ref="B57">_xlfn.IFS(AND(A57&gt;NumberOfPlots,ISBLANK(INDEX(PlotData,MATCH($A57,PlotNumber,0),MATCH(B$3,PlotTitles,0)))),"",ISNUMBER(INDEX(PlotData,MATCH($A57,PlotNumber,0),MATCH(B$3,PlotTitles,0)))=FALSE, $AB$5,TRUE,"")</f>
        <v/>
      </c>
      <c r="C57" s="104" t="str" cm="1">
        <f t="array" ref="C57">_xlfn.IFS(AND(A57&gt;NumberOfPlots,ISBLANK(INDEX(PlotData,MATCH($A57,PlotNumber,0),MATCH(B$3,PlotTitles,0)))),"",ISBLANK(INDEX(PlotData,MATCH($A57,PlotNumber,0),MATCH(C$3,PlotTitles,0))),$AB$6,TRUE,"")</f>
        <v/>
      </c>
      <c r="D57" s="104" t="str" cm="1">
        <f t="array" ref="D57">_xlfn.IFS(AND(A57&gt;NumberOfPlots,ISBLANK(INDEX(PlotData,MATCH($A57,PlotNumber,0),MATCH(B$3,PlotTitles,0)))),"",ISBLANK(INDEX(PlotData,MATCH($A57,PlotNumber,0),MATCH(D$3,PlotTitles,0))),$AB$7,TRUE,"")</f>
        <v/>
      </c>
      <c r="E57" s="104" t="str" cm="1">
        <f t="array" ref="E57">_xlfn.IFS(AND(A57&gt;NumberOfPlots,ISBLANK(INDEX(PlotData,MATCH($A57,PlotNumber,0),MATCH(B$3,PlotTitles,0)))),"",ISBLANK(INDEX(PlotData,MATCH($A57,PlotNumber,0),MATCH(E$3,PlotTitles,0))),$AB$8,TRUE,"")</f>
        <v/>
      </c>
      <c r="F57" s="104" t="str" cm="1">
        <f t="array" ref="F57">_xlfn.IFS(AND(A57&gt;NumberOfPlots,ISBLANK(INDEX(PlotData,MATCH($A57,PlotNumber,0),MATCH(B$3,PlotTitles,0)))),"",ISBLANK(INDEX(PlotData,MATCH($A57,PlotNumber,0),MATCH(F$3,PlotTitles,0))),$AB$9,TRUE,"")</f>
        <v/>
      </c>
      <c r="G57" s="104" t="str" cm="1">
        <f t="array" ref="G57">_xlfn.IFS(AND(A57&gt;NumberOfPlots,ISBLANK(INDEX(PlotData,MATCH($A57,PlotNumber,0),MATCH(B$3,PlotTitles,0)))),"",ISBLANK(INDEX(PlotData,MATCH($A57,PlotNumber,0),MATCH(G$3,PlotTitles,0))),$AB$10,TRUE,"")</f>
        <v/>
      </c>
      <c r="H57" s="104" t="str" cm="1">
        <f t="array" ref="H57">_xlfn.IFS(AND(A57&gt;NumberOfPlots,ISBLANK(INDEX(PlotData,MATCH($A57,PlotNumber,0),MATCH(B$3,PlotTitles,0)))),"",AND(ISBLANK(INDEX(PlotData,MATCH($A57,PlotNumber,0),MATCH(H$3,PlotTitles,0)))=FALSE,INDEX(PlotData,MATCH($A57,PlotNumber,0),MATCH(H$3,PlotTitles,0))&lt;500), $AB$11,TRUE,"")</f>
        <v/>
      </c>
      <c r="I57" s="104" t="str" cm="1">
        <f t="array" ref="I57">_xlfn.IFS(AND(A57&gt;NumberOfPlots,ISBLANK(INDEX(PlotData,MATCH($A57,PlotNumber,0),MATCH(B$3,PlotTitles,0)))),"",ISBLANK(INDEX(PlotData,MATCH($A57,PlotNumber,0),MATCH(I$3,PlotTitles,0))),$AB$12,TRUE,"")</f>
        <v/>
      </c>
      <c r="J57" s="104" t="str" cm="1">
        <f t="array" ref="J57">_xlfn.IFS(AND(A57&gt;NumberOfPlots,ISBLANK(INDEX(PlotData,MATCH($A57,PlotNumber,0),MATCH(B$3,PlotTitles,0)))),"",ISBLANK(INDEX(PlotData,MATCH($A57,PlotNumber,0),MATCH(J$3,PlotTitles,0))),$AB$13,TRUE,"")</f>
        <v/>
      </c>
      <c r="K57" s="182" t="str">
        <f t="shared" ca="1" si="0"/>
        <v/>
      </c>
      <c r="L57" s="104" t="str" cm="1">
        <f t="array" ref="L57">_xlfn.IFS(OR(ISBLANK(StartDateMonth),ISBLANK(StartDateYear)),"",AND(A57&gt;NumberOfPlots,ISBLANK(INDEX(PlotData,MATCH($A57,PlotNumber,0),MATCH(B$3,PlotTitles,0)))),"",ISBLANK(INDEX(PlotData,MATCH($A57,PlotNumber,0),MATCH(I$3,PlotTitles,0))),"",(DATEVALUE(INDEX(PlotData,MATCH($A57,PlotNumber,0),MATCH(I$3,PlotTitles,0))&amp;INDEX(PlotData,MATCH($A57,PlotNumber,0),MATCH(J$3,PlotTitles,0))))&lt;DATEVALUE(StartDateMonth&amp;StartDateYear),$AB$15,TRUE,"")</f>
        <v/>
      </c>
      <c r="M57" s="104" t="str" cm="1">
        <f t="array" ref="M57">_xlfn.IFS(OR(ISBLANK(StartDateMonth),ISBLANK(StartDateYear)),"",AND(A57&gt;NumberOfPlots,ISBLANK(INDEX(PlotData,MATCH($A57,PlotNumber,0),MATCH(B$3,PlotTitles,0)))),"",ISBLANK(INDEX(PlotData,MATCH($A57,PlotNumber,0),MATCH(I$3,PlotTitles,0))),"",CompletionMonth="","",(DATEVALUE(INDEX(PlotData,MATCH($A57,PlotNumber,0),MATCH(I$3,PlotTitles,0))&amp;INDEX(PlotData,MATCH($A57,PlotNumber,0),MATCH(J$3,PlotTitles,0))))&gt;(DATEVALUE(CompletionMonth&amp;CompletionYear)),$AB$16,TRUE,"")</f>
        <v/>
      </c>
      <c r="N57" s="104" t="str" cm="1">
        <f t="array" ref="N57">_xlfn.IFS(AND(A57&gt;NumberOfPlots,ISBLANK(INDEX(PlotData,MATCH($A57,PlotNumber,0),MATCH(B$3,PlotTitles,0)))),"",ISBLANK(INDEX(PlotData,MATCH($A57,PlotNumber,0),MATCH(N$3,PlotTitles,0))),$AB$17,TRUE,"")</f>
        <v/>
      </c>
      <c r="O57" s="104" t="str" cm="1">
        <f t="array" ref="O57">_xlfn.IFS(AND(A57&gt;NumberOfPlots,ISBLANK(INDEX(PlotData,MATCH($A57,PlotNumber,0),MATCH(B$3,PlotTitles,0)))),"",ISBLANK(INDEX(PlotData,MATCH($A57,PlotNumber,0),MATCH(O$3,PlotTitles,0))),$AB$18,TRUE,"")</f>
        <v/>
      </c>
      <c r="P57" s="182" t="str">
        <f t="shared" ca="1" si="1"/>
        <v/>
      </c>
      <c r="Q57" s="104" t="str" cm="1">
        <f t="array" ref="Q57">_xlfn.IFS(AND(A57&gt;NumberOfPlots,ISBLANK(INDEX(PlotData,MATCH($A57,PlotNumber,0),MATCH(B$3,PlotTitles,0)))),"",ISBLANK(INDEX(PlotData,MATCH($A57,PlotNumber,0),MATCH(N$3,PlotTitles,0))),"",(DATEVALUE(INDEX(PlotData,MATCH($A57,PlotNumber,0),MATCH(N$3,PlotTitles,0))&amp;INDEX(PlotData,MATCH($A57,PlotNumber,0),MATCH(O$3,PlotTitles,0))))&lt;(DATEVALUE(INDEX(PlotData,MATCH($A57,PlotNumber,0),MATCH(I$3,PlotTitles,0))&amp;INDEX(PlotData,MATCH($A57,PlotNumber,0),MATCH(J$3,PlotTitles,0)))),$AB$20,TRUE,"")</f>
        <v/>
      </c>
      <c r="R57" s="104" t="str" cm="1">
        <f t="array" ref="R57">_xlfn.IFS(OR(ISBLANK(StartDateMonth),ISBLANK(StartDateYear)),"",AND(A57&gt;NumberOfPlots,ISBLANK(INDEX(PlotData,MATCH($A57,PlotNumber,0),MATCH(B$3,PlotTitles,0)))),"",ISBLANK(INDEX(PlotData,MATCH($A57,PlotNumber,0),MATCH(N$3,PlotTitles,0))),"",CompletionMonth="","",(DATEVALUE(INDEX(PlotData,MATCH($A57,PlotNumber,0),MATCH(N$3,PlotTitles,0))&amp;INDEX(PlotData,MATCH($A57,PlotNumber,0),MATCH(O$3,PlotTitles,0))))&gt;(DATEVALUE(CompletionMonth&amp;CompletionYear)),$AB$21,TRUE,"")</f>
        <v/>
      </c>
      <c r="S57" s="104" t="str" cm="1">
        <f t="array" ref="S57">_xlfn.IFS(AND(A57&gt;NumberOfPlots,ISBLANK(INDEX(PlotData,MATCH($A57,PlotNumber,0),MATCH(B$3,PlotTitles,0)))),"",OR(AND(INDEX(PlotData,MATCH($A57,PlotNumber,0),MATCH("Tenure",PlotTitles,0))="Open market housing",INDEX(PlotData,MATCH($A57,PlotNumber,0),MATCH("Tenure detail",PlotTitles,0))="Private rented sector"),INDEX(PlotData,MATCH($A57,PlotNumber,0),MATCH("Tenure",PlotTitles,0))="Affordable rent"),"",ISNUMBER(INDEX(PlotData,MATCH($A57,PlotNumber,0),MATCH(S$3,PlotTitles,0)))=FALSE, $AB$22,TRUE,"")</f>
        <v/>
      </c>
      <c r="T57" s="104" t="str" cm="1">
        <f t="array" ref="T57">_xlfn.IFS(AND(A57&gt;NumberOfPlots,ISBLANK(INDEX(PlotData,MATCH($A57,PlotNumber,0),MATCH(B$3,PlotTitles,0)))),"",OR(AND(INDEX(PlotData,MATCH($A57,PlotNumber,0),MATCH("Tenure",PlotTitles,0))="Open market housing",INDEX(PlotData,MATCH($A57,PlotNumber,0),MATCH("Tenure detail",PlotTitles,0))="Private rented sector"),INDEX(PlotData,MATCH($A57,PlotNumber,0),MATCH("Tenure",PlotTitles,0))="Affordable rent"),"",INDEX(PlotData,MATCH($A57,PlotNumber,0),MATCH(S$3,PlotTitles,0))&lt;10000, $AB$23,TRUE,"")</f>
        <v/>
      </c>
      <c r="U57" s="104" t="str" cm="1">
        <f t="array" ref="U57">_xlfn.IFS(AND(A57&gt;NumberOfPlots,ISBLANK(INDEX(PlotData,MATCH($A57,PlotNumber,0),MATCH(B$3,PlotTitles,0)))),"",NOT(OR(AND(INDEX(PlotData,MATCH($A57,PlotNumber,0),MATCH("Tenure",PlotTitles,0))="Open market housing",INDEX(PlotData,MATCH($A57,PlotNumber,0),MATCH("Tenure detail",PlotTitles,0))="Private rented sector"),INDEX(PlotData,MATCH($A57,PlotNumber,0),MATCH("Tenure",PlotTitles,0))="Affordable rent")),"",NOT(INDEX(PlotData,MATCH($A57,PlotNumber,0),MATCH(S$3,PlotTitles,0))=0), $AB$24,TRUE,"")</f>
        <v/>
      </c>
      <c r="V57" s="114" t="str" cm="1">
        <f t="array" aca="1" ref="V57" ca="1">_xlfn.IFS(ISBLANK(NumberOfPlots),"Enter the number of homes on the 1_SetUp sheet",AND(A57&gt;NumberOfPlots,ISBLANK(INDEX(PlotData,MATCH($A57,PlotNumber,0),MATCH(B$3,PlotTitles,0)))),"No error",NOT(B57=""),B57,NOT(C57=""),C57,NOT(D57=""),D57,NOT(E57=""),E57,NOT(F57=""),F57,NOT(G57=""),G57,NOT(H57=""),H57,NOT(I57=""),I57,NOT(J57=""),J57,NOT(K57=""),K57,NOT(L57=""),L57,NOT(M57=""),M57,NOT(N57=""),N57,NOT(O57=""),O57,NOT(P57=""),P57,NOT(Q57=""),Q57,NOT(R57=""),R57,NOT(S57=""),S57,NOT(T57=""),T57,NOT(U57=""),U57,TRUE,"No error")</f>
        <v>Enter the number of homes on the 1_SetUp sheet</v>
      </c>
      <c r="W57" s="114" t="str">
        <f t="shared" ca="1" si="2"/>
        <v xml:space="preserve">The Borrower has not addressed the following error messages for Home ID 53: </v>
      </c>
    </row>
    <row r="58" spans="1:23">
      <c r="A58" s="123">
        <v>54</v>
      </c>
      <c r="B58" s="104" t="str" cm="1">
        <f t="array" ref="B58">_xlfn.IFS(AND(A58&gt;NumberOfPlots,ISBLANK(INDEX(PlotData,MATCH($A58,PlotNumber,0),MATCH(B$3,PlotTitles,0)))),"",ISNUMBER(INDEX(PlotData,MATCH($A58,PlotNumber,0),MATCH(B$3,PlotTitles,0)))=FALSE, $AB$5,TRUE,"")</f>
        <v/>
      </c>
      <c r="C58" s="104" t="str" cm="1">
        <f t="array" ref="C58">_xlfn.IFS(AND(A58&gt;NumberOfPlots,ISBLANK(INDEX(PlotData,MATCH($A58,PlotNumber,0),MATCH(B$3,PlotTitles,0)))),"",ISBLANK(INDEX(PlotData,MATCH($A58,PlotNumber,0),MATCH(C$3,PlotTitles,0))),$AB$6,TRUE,"")</f>
        <v/>
      </c>
      <c r="D58" s="104" t="str" cm="1">
        <f t="array" ref="D58">_xlfn.IFS(AND(A58&gt;NumberOfPlots,ISBLANK(INDEX(PlotData,MATCH($A58,PlotNumber,0),MATCH(B$3,PlotTitles,0)))),"",ISBLANK(INDEX(PlotData,MATCH($A58,PlotNumber,0),MATCH(D$3,PlotTitles,0))),$AB$7,TRUE,"")</f>
        <v/>
      </c>
      <c r="E58" s="104" t="str" cm="1">
        <f t="array" ref="E58">_xlfn.IFS(AND(A58&gt;NumberOfPlots,ISBLANK(INDEX(PlotData,MATCH($A58,PlotNumber,0),MATCH(B$3,PlotTitles,0)))),"",ISBLANK(INDEX(PlotData,MATCH($A58,PlotNumber,0),MATCH(E$3,PlotTitles,0))),$AB$8,TRUE,"")</f>
        <v/>
      </c>
      <c r="F58" s="104" t="str" cm="1">
        <f t="array" ref="F58">_xlfn.IFS(AND(A58&gt;NumberOfPlots,ISBLANK(INDEX(PlotData,MATCH($A58,PlotNumber,0),MATCH(B$3,PlotTitles,0)))),"",ISBLANK(INDEX(PlotData,MATCH($A58,PlotNumber,0),MATCH(F$3,PlotTitles,0))),$AB$9,TRUE,"")</f>
        <v/>
      </c>
      <c r="G58" s="104" t="str" cm="1">
        <f t="array" ref="G58">_xlfn.IFS(AND(A58&gt;NumberOfPlots,ISBLANK(INDEX(PlotData,MATCH($A58,PlotNumber,0),MATCH(B$3,PlotTitles,0)))),"",ISBLANK(INDEX(PlotData,MATCH($A58,PlotNumber,0),MATCH(G$3,PlotTitles,0))),$AB$10,TRUE,"")</f>
        <v/>
      </c>
      <c r="H58" s="104" t="str" cm="1">
        <f t="array" ref="H58">_xlfn.IFS(AND(A58&gt;NumberOfPlots,ISBLANK(INDEX(PlotData,MATCH($A58,PlotNumber,0),MATCH(B$3,PlotTitles,0)))),"",AND(ISBLANK(INDEX(PlotData,MATCH($A58,PlotNumber,0),MATCH(H$3,PlotTitles,0)))=FALSE,INDEX(PlotData,MATCH($A58,PlotNumber,0),MATCH(H$3,PlotTitles,0))&lt;500), $AB$11,TRUE,"")</f>
        <v/>
      </c>
      <c r="I58" s="104" t="str" cm="1">
        <f t="array" ref="I58">_xlfn.IFS(AND(A58&gt;NumberOfPlots,ISBLANK(INDEX(PlotData,MATCH($A58,PlotNumber,0),MATCH(B$3,PlotTitles,0)))),"",ISBLANK(INDEX(PlotData,MATCH($A58,PlotNumber,0),MATCH(I$3,PlotTitles,0))),$AB$12,TRUE,"")</f>
        <v/>
      </c>
      <c r="J58" s="104" t="str" cm="1">
        <f t="array" ref="J58">_xlfn.IFS(AND(A58&gt;NumberOfPlots,ISBLANK(INDEX(PlotData,MATCH($A58,PlotNumber,0),MATCH(B$3,PlotTitles,0)))),"",ISBLANK(INDEX(PlotData,MATCH($A58,PlotNumber,0),MATCH(J$3,PlotTitles,0))),$AB$13,TRUE,"")</f>
        <v/>
      </c>
      <c r="K58" s="182" t="str">
        <f t="shared" ca="1" si="0"/>
        <v/>
      </c>
      <c r="L58" s="104" t="str" cm="1">
        <f t="array" ref="L58">_xlfn.IFS(OR(ISBLANK(StartDateMonth),ISBLANK(StartDateYear)),"",AND(A58&gt;NumberOfPlots,ISBLANK(INDEX(PlotData,MATCH($A58,PlotNumber,0),MATCH(B$3,PlotTitles,0)))),"",ISBLANK(INDEX(PlotData,MATCH($A58,PlotNumber,0),MATCH(I$3,PlotTitles,0))),"",(DATEVALUE(INDEX(PlotData,MATCH($A58,PlotNumber,0),MATCH(I$3,PlotTitles,0))&amp;INDEX(PlotData,MATCH($A58,PlotNumber,0),MATCH(J$3,PlotTitles,0))))&lt;DATEVALUE(StartDateMonth&amp;StartDateYear),$AB$15,TRUE,"")</f>
        <v/>
      </c>
      <c r="M58" s="104" t="str" cm="1">
        <f t="array" ref="M58">_xlfn.IFS(OR(ISBLANK(StartDateMonth),ISBLANK(StartDateYear)),"",AND(A58&gt;NumberOfPlots,ISBLANK(INDEX(PlotData,MATCH($A58,PlotNumber,0),MATCH(B$3,PlotTitles,0)))),"",ISBLANK(INDEX(PlotData,MATCH($A58,PlotNumber,0),MATCH(I$3,PlotTitles,0))),"",CompletionMonth="","",(DATEVALUE(INDEX(PlotData,MATCH($A58,PlotNumber,0),MATCH(I$3,PlotTitles,0))&amp;INDEX(PlotData,MATCH($A58,PlotNumber,0),MATCH(J$3,PlotTitles,0))))&gt;(DATEVALUE(CompletionMonth&amp;CompletionYear)),$AB$16,TRUE,"")</f>
        <v/>
      </c>
      <c r="N58" s="104" t="str" cm="1">
        <f t="array" ref="N58">_xlfn.IFS(AND(A58&gt;NumberOfPlots,ISBLANK(INDEX(PlotData,MATCH($A58,PlotNumber,0),MATCH(B$3,PlotTitles,0)))),"",ISBLANK(INDEX(PlotData,MATCH($A58,PlotNumber,0),MATCH(N$3,PlotTitles,0))),$AB$17,TRUE,"")</f>
        <v/>
      </c>
      <c r="O58" s="104" t="str" cm="1">
        <f t="array" ref="O58">_xlfn.IFS(AND(A58&gt;NumberOfPlots,ISBLANK(INDEX(PlotData,MATCH($A58,PlotNumber,0),MATCH(B$3,PlotTitles,0)))),"",ISBLANK(INDEX(PlotData,MATCH($A58,PlotNumber,0),MATCH(O$3,PlotTitles,0))),$AB$18,TRUE,"")</f>
        <v/>
      </c>
      <c r="P58" s="182" t="str">
        <f t="shared" ca="1" si="1"/>
        <v/>
      </c>
      <c r="Q58" s="104" t="str" cm="1">
        <f t="array" ref="Q58">_xlfn.IFS(AND(A58&gt;NumberOfPlots,ISBLANK(INDEX(PlotData,MATCH($A58,PlotNumber,0),MATCH(B$3,PlotTitles,0)))),"",ISBLANK(INDEX(PlotData,MATCH($A58,PlotNumber,0),MATCH(N$3,PlotTitles,0))),"",(DATEVALUE(INDEX(PlotData,MATCH($A58,PlotNumber,0),MATCH(N$3,PlotTitles,0))&amp;INDEX(PlotData,MATCH($A58,PlotNumber,0),MATCH(O$3,PlotTitles,0))))&lt;(DATEVALUE(INDEX(PlotData,MATCH($A58,PlotNumber,0),MATCH(I$3,PlotTitles,0))&amp;INDEX(PlotData,MATCH($A58,PlotNumber,0),MATCH(J$3,PlotTitles,0)))),$AB$20,TRUE,"")</f>
        <v/>
      </c>
      <c r="R58" s="104" t="str" cm="1">
        <f t="array" ref="R58">_xlfn.IFS(OR(ISBLANK(StartDateMonth),ISBLANK(StartDateYear)),"",AND(A58&gt;NumberOfPlots,ISBLANK(INDEX(PlotData,MATCH($A58,PlotNumber,0),MATCH(B$3,PlotTitles,0)))),"",ISBLANK(INDEX(PlotData,MATCH($A58,PlotNumber,0),MATCH(N$3,PlotTitles,0))),"",CompletionMonth="","",(DATEVALUE(INDEX(PlotData,MATCH($A58,PlotNumber,0),MATCH(N$3,PlotTitles,0))&amp;INDEX(PlotData,MATCH($A58,PlotNumber,0),MATCH(O$3,PlotTitles,0))))&gt;(DATEVALUE(CompletionMonth&amp;CompletionYear)),$AB$21,TRUE,"")</f>
        <v/>
      </c>
      <c r="S58" s="104" t="str" cm="1">
        <f t="array" ref="S58">_xlfn.IFS(AND(A58&gt;NumberOfPlots,ISBLANK(INDEX(PlotData,MATCH($A58,PlotNumber,0),MATCH(B$3,PlotTitles,0)))),"",OR(AND(INDEX(PlotData,MATCH($A58,PlotNumber,0),MATCH("Tenure",PlotTitles,0))="Open market housing",INDEX(PlotData,MATCH($A58,PlotNumber,0),MATCH("Tenure detail",PlotTitles,0))="Private rented sector"),INDEX(PlotData,MATCH($A58,PlotNumber,0),MATCH("Tenure",PlotTitles,0))="Affordable rent"),"",ISNUMBER(INDEX(PlotData,MATCH($A58,PlotNumber,0),MATCH(S$3,PlotTitles,0)))=FALSE, $AB$22,TRUE,"")</f>
        <v/>
      </c>
      <c r="T58" s="104" t="str" cm="1">
        <f t="array" ref="T58">_xlfn.IFS(AND(A58&gt;NumberOfPlots,ISBLANK(INDEX(PlotData,MATCH($A58,PlotNumber,0),MATCH(B$3,PlotTitles,0)))),"",OR(AND(INDEX(PlotData,MATCH($A58,PlotNumber,0),MATCH("Tenure",PlotTitles,0))="Open market housing",INDEX(PlotData,MATCH($A58,PlotNumber,0),MATCH("Tenure detail",PlotTitles,0))="Private rented sector"),INDEX(PlotData,MATCH($A58,PlotNumber,0),MATCH("Tenure",PlotTitles,0))="Affordable rent"),"",INDEX(PlotData,MATCH($A58,PlotNumber,0),MATCH(S$3,PlotTitles,0))&lt;10000, $AB$23,TRUE,"")</f>
        <v/>
      </c>
      <c r="U58" s="104" t="str" cm="1">
        <f t="array" ref="U58">_xlfn.IFS(AND(A58&gt;NumberOfPlots,ISBLANK(INDEX(PlotData,MATCH($A58,PlotNumber,0),MATCH(B$3,PlotTitles,0)))),"",NOT(OR(AND(INDEX(PlotData,MATCH($A58,PlotNumber,0),MATCH("Tenure",PlotTitles,0))="Open market housing",INDEX(PlotData,MATCH($A58,PlotNumber,0),MATCH("Tenure detail",PlotTitles,0))="Private rented sector"),INDEX(PlotData,MATCH($A58,PlotNumber,0),MATCH("Tenure",PlotTitles,0))="Affordable rent")),"",NOT(INDEX(PlotData,MATCH($A58,PlotNumber,0),MATCH(S$3,PlotTitles,0))=0), $AB$24,TRUE,"")</f>
        <v/>
      </c>
      <c r="V58" s="114" t="str" cm="1">
        <f t="array" aca="1" ref="V58" ca="1">_xlfn.IFS(ISBLANK(NumberOfPlots),"Enter the number of homes on the 1_SetUp sheet",AND(A58&gt;NumberOfPlots,ISBLANK(INDEX(PlotData,MATCH($A58,PlotNumber,0),MATCH(B$3,PlotTitles,0)))),"No error",NOT(B58=""),B58,NOT(C58=""),C58,NOT(D58=""),D58,NOT(E58=""),E58,NOT(F58=""),F58,NOT(G58=""),G58,NOT(H58=""),H58,NOT(I58=""),I58,NOT(J58=""),J58,NOT(K58=""),K58,NOT(L58=""),L58,NOT(M58=""),M58,NOT(N58=""),N58,NOT(O58=""),O58,NOT(P58=""),P58,NOT(Q58=""),Q58,NOT(R58=""),R58,NOT(S58=""),S58,NOT(T58=""),T58,NOT(U58=""),U58,TRUE,"No error")</f>
        <v>Enter the number of homes on the 1_SetUp sheet</v>
      </c>
      <c r="W58" s="114" t="str">
        <f t="shared" ca="1" si="2"/>
        <v xml:space="preserve">The Borrower has not addressed the following error messages for Home ID 54: </v>
      </c>
    </row>
    <row r="59" spans="1:23">
      <c r="A59" s="123">
        <v>55</v>
      </c>
      <c r="B59" s="104" t="str" cm="1">
        <f t="array" ref="B59">_xlfn.IFS(AND(A59&gt;NumberOfPlots,ISBLANK(INDEX(PlotData,MATCH($A59,PlotNumber,0),MATCH(B$3,PlotTitles,0)))),"",ISNUMBER(INDEX(PlotData,MATCH($A59,PlotNumber,0),MATCH(B$3,PlotTitles,0)))=FALSE, $AB$5,TRUE,"")</f>
        <v/>
      </c>
      <c r="C59" s="104" t="str" cm="1">
        <f t="array" ref="C59">_xlfn.IFS(AND(A59&gt;NumberOfPlots,ISBLANK(INDEX(PlotData,MATCH($A59,PlotNumber,0),MATCH(B$3,PlotTitles,0)))),"",ISBLANK(INDEX(PlotData,MATCH($A59,PlotNumber,0),MATCH(C$3,PlotTitles,0))),$AB$6,TRUE,"")</f>
        <v/>
      </c>
      <c r="D59" s="104" t="str" cm="1">
        <f t="array" ref="D59">_xlfn.IFS(AND(A59&gt;NumberOfPlots,ISBLANK(INDEX(PlotData,MATCH($A59,PlotNumber,0),MATCH(B$3,PlotTitles,0)))),"",ISBLANK(INDEX(PlotData,MATCH($A59,PlotNumber,0),MATCH(D$3,PlotTitles,0))),$AB$7,TRUE,"")</f>
        <v/>
      </c>
      <c r="E59" s="104" t="str" cm="1">
        <f t="array" ref="E59">_xlfn.IFS(AND(A59&gt;NumberOfPlots,ISBLANK(INDEX(PlotData,MATCH($A59,PlotNumber,0),MATCH(B$3,PlotTitles,0)))),"",ISBLANK(INDEX(PlotData,MATCH($A59,PlotNumber,0),MATCH(E$3,PlotTitles,0))),$AB$8,TRUE,"")</f>
        <v/>
      </c>
      <c r="F59" s="104" t="str" cm="1">
        <f t="array" ref="F59">_xlfn.IFS(AND(A59&gt;NumberOfPlots,ISBLANK(INDEX(PlotData,MATCH($A59,PlotNumber,0),MATCH(B$3,PlotTitles,0)))),"",ISBLANK(INDEX(PlotData,MATCH($A59,PlotNumber,0),MATCH(F$3,PlotTitles,0))),$AB$9,TRUE,"")</f>
        <v/>
      </c>
      <c r="G59" s="104" t="str" cm="1">
        <f t="array" ref="G59">_xlfn.IFS(AND(A59&gt;NumberOfPlots,ISBLANK(INDEX(PlotData,MATCH($A59,PlotNumber,0),MATCH(B$3,PlotTitles,0)))),"",ISBLANK(INDEX(PlotData,MATCH($A59,PlotNumber,0),MATCH(G$3,PlotTitles,0))),$AB$10,TRUE,"")</f>
        <v/>
      </c>
      <c r="H59" s="104" t="str" cm="1">
        <f t="array" ref="H59">_xlfn.IFS(AND(A59&gt;NumberOfPlots,ISBLANK(INDEX(PlotData,MATCH($A59,PlotNumber,0),MATCH(B$3,PlotTitles,0)))),"",AND(ISBLANK(INDEX(PlotData,MATCH($A59,PlotNumber,0),MATCH(H$3,PlotTitles,0)))=FALSE,INDEX(PlotData,MATCH($A59,PlotNumber,0),MATCH(H$3,PlotTitles,0))&lt;500), $AB$11,TRUE,"")</f>
        <v/>
      </c>
      <c r="I59" s="104" t="str" cm="1">
        <f t="array" ref="I59">_xlfn.IFS(AND(A59&gt;NumberOfPlots,ISBLANK(INDEX(PlotData,MATCH($A59,PlotNumber,0),MATCH(B$3,PlotTitles,0)))),"",ISBLANK(INDEX(PlotData,MATCH($A59,PlotNumber,0),MATCH(I$3,PlotTitles,0))),$AB$12,TRUE,"")</f>
        <v/>
      </c>
      <c r="J59" s="104" t="str" cm="1">
        <f t="array" ref="J59">_xlfn.IFS(AND(A59&gt;NumberOfPlots,ISBLANK(INDEX(PlotData,MATCH($A59,PlotNumber,0),MATCH(B$3,PlotTitles,0)))),"",ISBLANK(INDEX(PlotData,MATCH($A59,PlotNumber,0),MATCH(J$3,PlotTitles,0))),$AB$13,TRUE,"")</f>
        <v/>
      </c>
      <c r="K59" s="182" t="str">
        <f t="shared" ca="1" si="0"/>
        <v/>
      </c>
      <c r="L59" s="104" t="str" cm="1">
        <f t="array" ref="L59">_xlfn.IFS(OR(ISBLANK(StartDateMonth),ISBLANK(StartDateYear)),"",AND(A59&gt;NumberOfPlots,ISBLANK(INDEX(PlotData,MATCH($A59,PlotNumber,0),MATCH(B$3,PlotTitles,0)))),"",ISBLANK(INDEX(PlotData,MATCH($A59,PlotNumber,0),MATCH(I$3,PlotTitles,0))),"",(DATEVALUE(INDEX(PlotData,MATCH($A59,PlotNumber,0),MATCH(I$3,PlotTitles,0))&amp;INDEX(PlotData,MATCH($A59,PlotNumber,0),MATCH(J$3,PlotTitles,0))))&lt;DATEVALUE(StartDateMonth&amp;StartDateYear),$AB$15,TRUE,"")</f>
        <v/>
      </c>
      <c r="M59" s="104" t="str" cm="1">
        <f t="array" ref="M59">_xlfn.IFS(OR(ISBLANK(StartDateMonth),ISBLANK(StartDateYear)),"",AND(A59&gt;NumberOfPlots,ISBLANK(INDEX(PlotData,MATCH($A59,PlotNumber,0),MATCH(B$3,PlotTitles,0)))),"",ISBLANK(INDEX(PlotData,MATCH($A59,PlotNumber,0),MATCH(I$3,PlotTitles,0))),"",CompletionMonth="","",(DATEVALUE(INDEX(PlotData,MATCH($A59,PlotNumber,0),MATCH(I$3,PlotTitles,0))&amp;INDEX(PlotData,MATCH($A59,PlotNumber,0),MATCH(J$3,PlotTitles,0))))&gt;(DATEVALUE(CompletionMonth&amp;CompletionYear)),$AB$16,TRUE,"")</f>
        <v/>
      </c>
      <c r="N59" s="104" t="str" cm="1">
        <f t="array" ref="N59">_xlfn.IFS(AND(A59&gt;NumberOfPlots,ISBLANK(INDEX(PlotData,MATCH($A59,PlotNumber,0),MATCH(B$3,PlotTitles,0)))),"",ISBLANK(INDEX(PlotData,MATCH($A59,PlotNumber,0),MATCH(N$3,PlotTitles,0))),$AB$17,TRUE,"")</f>
        <v/>
      </c>
      <c r="O59" s="104" t="str" cm="1">
        <f t="array" ref="O59">_xlfn.IFS(AND(A59&gt;NumberOfPlots,ISBLANK(INDEX(PlotData,MATCH($A59,PlotNumber,0),MATCH(B$3,PlotTitles,0)))),"",ISBLANK(INDEX(PlotData,MATCH($A59,PlotNumber,0),MATCH(O$3,PlotTitles,0))),$AB$18,TRUE,"")</f>
        <v/>
      </c>
      <c r="P59" s="182" t="str">
        <f t="shared" ca="1" si="1"/>
        <v/>
      </c>
      <c r="Q59" s="104" t="str" cm="1">
        <f t="array" ref="Q59">_xlfn.IFS(AND(A59&gt;NumberOfPlots,ISBLANK(INDEX(PlotData,MATCH($A59,PlotNumber,0),MATCH(B$3,PlotTitles,0)))),"",ISBLANK(INDEX(PlotData,MATCH($A59,PlotNumber,0),MATCH(N$3,PlotTitles,0))),"",(DATEVALUE(INDEX(PlotData,MATCH($A59,PlotNumber,0),MATCH(N$3,PlotTitles,0))&amp;INDEX(PlotData,MATCH($A59,PlotNumber,0),MATCH(O$3,PlotTitles,0))))&lt;(DATEVALUE(INDEX(PlotData,MATCH($A59,PlotNumber,0),MATCH(I$3,PlotTitles,0))&amp;INDEX(PlotData,MATCH($A59,PlotNumber,0),MATCH(J$3,PlotTitles,0)))),$AB$20,TRUE,"")</f>
        <v/>
      </c>
      <c r="R59" s="104" t="str" cm="1">
        <f t="array" ref="R59">_xlfn.IFS(OR(ISBLANK(StartDateMonth),ISBLANK(StartDateYear)),"",AND(A59&gt;NumberOfPlots,ISBLANK(INDEX(PlotData,MATCH($A59,PlotNumber,0),MATCH(B$3,PlotTitles,0)))),"",ISBLANK(INDEX(PlotData,MATCH($A59,PlotNumber,0),MATCH(N$3,PlotTitles,0))),"",CompletionMonth="","",(DATEVALUE(INDEX(PlotData,MATCH($A59,PlotNumber,0),MATCH(N$3,PlotTitles,0))&amp;INDEX(PlotData,MATCH($A59,PlotNumber,0),MATCH(O$3,PlotTitles,0))))&gt;(DATEVALUE(CompletionMonth&amp;CompletionYear)),$AB$21,TRUE,"")</f>
        <v/>
      </c>
      <c r="S59" s="104" t="str" cm="1">
        <f t="array" ref="S59">_xlfn.IFS(AND(A59&gt;NumberOfPlots,ISBLANK(INDEX(PlotData,MATCH($A59,PlotNumber,0),MATCH(B$3,PlotTitles,0)))),"",OR(AND(INDEX(PlotData,MATCH($A59,PlotNumber,0),MATCH("Tenure",PlotTitles,0))="Open market housing",INDEX(PlotData,MATCH($A59,PlotNumber,0),MATCH("Tenure detail",PlotTitles,0))="Private rented sector"),INDEX(PlotData,MATCH($A59,PlotNumber,0),MATCH("Tenure",PlotTitles,0))="Affordable rent"),"",ISNUMBER(INDEX(PlotData,MATCH($A59,PlotNumber,0),MATCH(S$3,PlotTitles,0)))=FALSE, $AB$22,TRUE,"")</f>
        <v/>
      </c>
      <c r="T59" s="104" t="str" cm="1">
        <f t="array" ref="T59">_xlfn.IFS(AND(A59&gt;NumberOfPlots,ISBLANK(INDEX(PlotData,MATCH($A59,PlotNumber,0),MATCH(B$3,PlotTitles,0)))),"",OR(AND(INDEX(PlotData,MATCH($A59,PlotNumber,0),MATCH("Tenure",PlotTitles,0))="Open market housing",INDEX(PlotData,MATCH($A59,PlotNumber,0),MATCH("Tenure detail",PlotTitles,0))="Private rented sector"),INDEX(PlotData,MATCH($A59,PlotNumber,0),MATCH("Tenure",PlotTitles,0))="Affordable rent"),"",INDEX(PlotData,MATCH($A59,PlotNumber,0),MATCH(S$3,PlotTitles,0))&lt;10000, $AB$23,TRUE,"")</f>
        <v/>
      </c>
      <c r="U59" s="104" t="str" cm="1">
        <f t="array" ref="U59">_xlfn.IFS(AND(A59&gt;NumberOfPlots,ISBLANK(INDEX(PlotData,MATCH($A59,PlotNumber,0),MATCH(B$3,PlotTitles,0)))),"",NOT(OR(AND(INDEX(PlotData,MATCH($A59,PlotNumber,0),MATCH("Tenure",PlotTitles,0))="Open market housing",INDEX(PlotData,MATCH($A59,PlotNumber,0),MATCH("Tenure detail",PlotTitles,0))="Private rented sector"),INDEX(PlotData,MATCH($A59,PlotNumber,0),MATCH("Tenure",PlotTitles,0))="Affordable rent")),"",NOT(INDEX(PlotData,MATCH($A59,PlotNumber,0),MATCH(S$3,PlotTitles,0))=0), $AB$24,TRUE,"")</f>
        <v/>
      </c>
      <c r="V59" s="114" t="str" cm="1">
        <f t="array" aca="1" ref="V59" ca="1">_xlfn.IFS(ISBLANK(NumberOfPlots),"Enter the number of homes on the 1_SetUp sheet",AND(A59&gt;NumberOfPlots,ISBLANK(INDEX(PlotData,MATCH($A59,PlotNumber,0),MATCH(B$3,PlotTitles,0)))),"No error",NOT(B59=""),B59,NOT(C59=""),C59,NOT(D59=""),D59,NOT(E59=""),E59,NOT(F59=""),F59,NOT(G59=""),G59,NOT(H59=""),H59,NOT(I59=""),I59,NOT(J59=""),J59,NOT(K59=""),K59,NOT(L59=""),L59,NOT(M59=""),M59,NOT(N59=""),N59,NOT(O59=""),O59,NOT(P59=""),P59,NOT(Q59=""),Q59,NOT(R59=""),R59,NOT(S59=""),S59,NOT(T59=""),T59,NOT(U59=""),U59,TRUE,"No error")</f>
        <v>Enter the number of homes on the 1_SetUp sheet</v>
      </c>
      <c r="W59" s="114" t="str">
        <f t="shared" ca="1" si="2"/>
        <v xml:space="preserve">The Borrower has not addressed the following error messages for Home ID 55: </v>
      </c>
    </row>
    <row r="60" spans="1:23">
      <c r="A60" s="123">
        <v>56</v>
      </c>
      <c r="B60" s="104" t="str" cm="1">
        <f t="array" ref="B60">_xlfn.IFS(AND(A60&gt;NumberOfPlots,ISBLANK(INDEX(PlotData,MATCH($A60,PlotNumber,0),MATCH(B$3,PlotTitles,0)))),"",ISNUMBER(INDEX(PlotData,MATCH($A60,PlotNumber,0),MATCH(B$3,PlotTitles,0)))=FALSE, $AB$5,TRUE,"")</f>
        <v/>
      </c>
      <c r="C60" s="104" t="str" cm="1">
        <f t="array" ref="C60">_xlfn.IFS(AND(A60&gt;NumberOfPlots,ISBLANK(INDEX(PlotData,MATCH($A60,PlotNumber,0),MATCH(B$3,PlotTitles,0)))),"",ISBLANK(INDEX(PlotData,MATCH($A60,PlotNumber,0),MATCH(C$3,PlotTitles,0))),$AB$6,TRUE,"")</f>
        <v/>
      </c>
      <c r="D60" s="104" t="str" cm="1">
        <f t="array" ref="D60">_xlfn.IFS(AND(A60&gt;NumberOfPlots,ISBLANK(INDEX(PlotData,MATCH($A60,PlotNumber,0),MATCH(B$3,PlotTitles,0)))),"",ISBLANK(INDEX(PlotData,MATCH($A60,PlotNumber,0),MATCH(D$3,PlotTitles,0))),$AB$7,TRUE,"")</f>
        <v/>
      </c>
      <c r="E60" s="104" t="str" cm="1">
        <f t="array" ref="E60">_xlfn.IFS(AND(A60&gt;NumberOfPlots,ISBLANK(INDEX(PlotData,MATCH($A60,PlotNumber,0),MATCH(B$3,PlotTitles,0)))),"",ISBLANK(INDEX(PlotData,MATCH($A60,PlotNumber,0),MATCH(E$3,PlotTitles,0))),$AB$8,TRUE,"")</f>
        <v/>
      </c>
      <c r="F60" s="104" t="str" cm="1">
        <f t="array" ref="F60">_xlfn.IFS(AND(A60&gt;NumberOfPlots,ISBLANK(INDEX(PlotData,MATCH($A60,PlotNumber,0),MATCH(B$3,PlotTitles,0)))),"",ISBLANK(INDEX(PlotData,MATCH($A60,PlotNumber,0),MATCH(F$3,PlotTitles,0))),$AB$9,TRUE,"")</f>
        <v/>
      </c>
      <c r="G60" s="104" t="str" cm="1">
        <f t="array" ref="G60">_xlfn.IFS(AND(A60&gt;NumberOfPlots,ISBLANK(INDEX(PlotData,MATCH($A60,PlotNumber,0),MATCH(B$3,PlotTitles,0)))),"",ISBLANK(INDEX(PlotData,MATCH($A60,PlotNumber,0),MATCH(G$3,PlotTitles,0))),$AB$10,TRUE,"")</f>
        <v/>
      </c>
      <c r="H60" s="104" t="str" cm="1">
        <f t="array" ref="H60">_xlfn.IFS(AND(A60&gt;NumberOfPlots,ISBLANK(INDEX(PlotData,MATCH($A60,PlotNumber,0),MATCH(B$3,PlotTitles,0)))),"",AND(ISBLANK(INDEX(PlotData,MATCH($A60,PlotNumber,0),MATCH(H$3,PlotTitles,0)))=FALSE,INDEX(PlotData,MATCH($A60,PlotNumber,0),MATCH(H$3,PlotTitles,0))&lt;500), $AB$11,TRUE,"")</f>
        <v/>
      </c>
      <c r="I60" s="104" t="str" cm="1">
        <f t="array" ref="I60">_xlfn.IFS(AND(A60&gt;NumberOfPlots,ISBLANK(INDEX(PlotData,MATCH($A60,PlotNumber,0),MATCH(B$3,PlotTitles,0)))),"",ISBLANK(INDEX(PlotData,MATCH($A60,PlotNumber,0),MATCH(I$3,PlotTitles,0))),$AB$12,TRUE,"")</f>
        <v/>
      </c>
      <c r="J60" s="104" t="str" cm="1">
        <f t="array" ref="J60">_xlfn.IFS(AND(A60&gt;NumberOfPlots,ISBLANK(INDEX(PlotData,MATCH($A60,PlotNumber,0),MATCH(B$3,PlotTitles,0)))),"",ISBLANK(INDEX(PlotData,MATCH($A60,PlotNumber,0),MATCH(J$3,PlotTitles,0))),$AB$13,TRUE,"")</f>
        <v/>
      </c>
      <c r="K60" s="182" t="str">
        <f t="shared" ca="1" si="0"/>
        <v/>
      </c>
      <c r="L60" s="104" t="str" cm="1">
        <f t="array" ref="L60">_xlfn.IFS(OR(ISBLANK(StartDateMonth),ISBLANK(StartDateYear)),"",AND(A60&gt;NumberOfPlots,ISBLANK(INDEX(PlotData,MATCH($A60,PlotNumber,0),MATCH(B$3,PlotTitles,0)))),"",ISBLANK(INDEX(PlotData,MATCH($A60,PlotNumber,0),MATCH(I$3,PlotTitles,0))),"",(DATEVALUE(INDEX(PlotData,MATCH($A60,PlotNumber,0),MATCH(I$3,PlotTitles,0))&amp;INDEX(PlotData,MATCH($A60,PlotNumber,0),MATCH(J$3,PlotTitles,0))))&lt;DATEVALUE(StartDateMonth&amp;StartDateYear),$AB$15,TRUE,"")</f>
        <v/>
      </c>
      <c r="M60" s="104" t="str" cm="1">
        <f t="array" ref="M60">_xlfn.IFS(OR(ISBLANK(StartDateMonth),ISBLANK(StartDateYear)),"",AND(A60&gt;NumberOfPlots,ISBLANK(INDEX(PlotData,MATCH($A60,PlotNumber,0),MATCH(B$3,PlotTitles,0)))),"",ISBLANK(INDEX(PlotData,MATCH($A60,PlotNumber,0),MATCH(I$3,PlotTitles,0))),"",CompletionMonth="","",(DATEVALUE(INDEX(PlotData,MATCH($A60,PlotNumber,0),MATCH(I$3,PlotTitles,0))&amp;INDEX(PlotData,MATCH($A60,PlotNumber,0),MATCH(J$3,PlotTitles,0))))&gt;(DATEVALUE(CompletionMonth&amp;CompletionYear)),$AB$16,TRUE,"")</f>
        <v/>
      </c>
      <c r="N60" s="104" t="str" cm="1">
        <f t="array" ref="N60">_xlfn.IFS(AND(A60&gt;NumberOfPlots,ISBLANK(INDEX(PlotData,MATCH($A60,PlotNumber,0),MATCH(B$3,PlotTitles,0)))),"",ISBLANK(INDEX(PlotData,MATCH($A60,PlotNumber,0),MATCH(N$3,PlotTitles,0))),$AB$17,TRUE,"")</f>
        <v/>
      </c>
      <c r="O60" s="104" t="str" cm="1">
        <f t="array" ref="O60">_xlfn.IFS(AND(A60&gt;NumberOfPlots,ISBLANK(INDEX(PlotData,MATCH($A60,PlotNumber,0),MATCH(B$3,PlotTitles,0)))),"",ISBLANK(INDEX(PlotData,MATCH($A60,PlotNumber,0),MATCH(O$3,PlotTitles,0))),$AB$18,TRUE,"")</f>
        <v/>
      </c>
      <c r="P60" s="182" t="str">
        <f t="shared" ca="1" si="1"/>
        <v/>
      </c>
      <c r="Q60" s="104" t="str" cm="1">
        <f t="array" ref="Q60">_xlfn.IFS(AND(A60&gt;NumberOfPlots,ISBLANK(INDEX(PlotData,MATCH($A60,PlotNumber,0),MATCH(B$3,PlotTitles,0)))),"",ISBLANK(INDEX(PlotData,MATCH($A60,PlotNumber,0),MATCH(N$3,PlotTitles,0))),"",(DATEVALUE(INDEX(PlotData,MATCH($A60,PlotNumber,0),MATCH(N$3,PlotTitles,0))&amp;INDEX(PlotData,MATCH($A60,PlotNumber,0),MATCH(O$3,PlotTitles,0))))&lt;(DATEVALUE(INDEX(PlotData,MATCH($A60,PlotNumber,0),MATCH(I$3,PlotTitles,0))&amp;INDEX(PlotData,MATCH($A60,PlotNumber,0),MATCH(J$3,PlotTitles,0)))),$AB$20,TRUE,"")</f>
        <v/>
      </c>
      <c r="R60" s="104" t="str" cm="1">
        <f t="array" ref="R60">_xlfn.IFS(OR(ISBLANK(StartDateMonth),ISBLANK(StartDateYear)),"",AND(A60&gt;NumberOfPlots,ISBLANK(INDEX(PlotData,MATCH($A60,PlotNumber,0),MATCH(B$3,PlotTitles,0)))),"",ISBLANK(INDEX(PlotData,MATCH($A60,PlotNumber,0),MATCH(N$3,PlotTitles,0))),"",CompletionMonth="","",(DATEVALUE(INDEX(PlotData,MATCH($A60,PlotNumber,0),MATCH(N$3,PlotTitles,0))&amp;INDEX(PlotData,MATCH($A60,PlotNumber,0),MATCH(O$3,PlotTitles,0))))&gt;(DATEVALUE(CompletionMonth&amp;CompletionYear)),$AB$21,TRUE,"")</f>
        <v/>
      </c>
      <c r="S60" s="104" t="str" cm="1">
        <f t="array" ref="S60">_xlfn.IFS(AND(A60&gt;NumberOfPlots,ISBLANK(INDEX(PlotData,MATCH($A60,PlotNumber,0),MATCH(B$3,PlotTitles,0)))),"",OR(AND(INDEX(PlotData,MATCH($A60,PlotNumber,0),MATCH("Tenure",PlotTitles,0))="Open market housing",INDEX(PlotData,MATCH($A60,PlotNumber,0),MATCH("Tenure detail",PlotTitles,0))="Private rented sector"),INDEX(PlotData,MATCH($A60,PlotNumber,0),MATCH("Tenure",PlotTitles,0))="Affordable rent"),"",ISNUMBER(INDEX(PlotData,MATCH($A60,PlotNumber,0),MATCH(S$3,PlotTitles,0)))=FALSE, $AB$22,TRUE,"")</f>
        <v/>
      </c>
      <c r="T60" s="104" t="str" cm="1">
        <f t="array" ref="T60">_xlfn.IFS(AND(A60&gt;NumberOfPlots,ISBLANK(INDEX(PlotData,MATCH($A60,PlotNumber,0),MATCH(B$3,PlotTitles,0)))),"",OR(AND(INDEX(PlotData,MATCH($A60,PlotNumber,0),MATCH("Tenure",PlotTitles,0))="Open market housing",INDEX(PlotData,MATCH($A60,PlotNumber,0),MATCH("Tenure detail",PlotTitles,0))="Private rented sector"),INDEX(PlotData,MATCH($A60,PlotNumber,0),MATCH("Tenure",PlotTitles,0))="Affordable rent"),"",INDEX(PlotData,MATCH($A60,PlotNumber,0),MATCH(S$3,PlotTitles,0))&lt;10000, $AB$23,TRUE,"")</f>
        <v/>
      </c>
      <c r="U60" s="104" t="str" cm="1">
        <f t="array" ref="U60">_xlfn.IFS(AND(A60&gt;NumberOfPlots,ISBLANK(INDEX(PlotData,MATCH($A60,PlotNumber,0),MATCH(B$3,PlotTitles,0)))),"",NOT(OR(AND(INDEX(PlotData,MATCH($A60,PlotNumber,0),MATCH("Tenure",PlotTitles,0))="Open market housing",INDEX(PlotData,MATCH($A60,PlotNumber,0),MATCH("Tenure detail",PlotTitles,0))="Private rented sector"),INDEX(PlotData,MATCH($A60,PlotNumber,0),MATCH("Tenure",PlotTitles,0))="Affordable rent")),"",NOT(INDEX(PlotData,MATCH($A60,PlotNumber,0),MATCH(S$3,PlotTitles,0))=0), $AB$24,TRUE,"")</f>
        <v/>
      </c>
      <c r="V60" s="114" t="str" cm="1">
        <f t="array" aca="1" ref="V60" ca="1">_xlfn.IFS(ISBLANK(NumberOfPlots),"Enter the number of homes on the 1_SetUp sheet",AND(A60&gt;NumberOfPlots,ISBLANK(INDEX(PlotData,MATCH($A60,PlotNumber,0),MATCH(B$3,PlotTitles,0)))),"No error",NOT(B60=""),B60,NOT(C60=""),C60,NOT(D60=""),D60,NOT(E60=""),E60,NOT(F60=""),F60,NOT(G60=""),G60,NOT(H60=""),H60,NOT(I60=""),I60,NOT(J60=""),J60,NOT(K60=""),K60,NOT(L60=""),L60,NOT(M60=""),M60,NOT(N60=""),N60,NOT(O60=""),O60,NOT(P60=""),P60,NOT(Q60=""),Q60,NOT(R60=""),R60,NOT(S60=""),S60,NOT(T60=""),T60,NOT(U60=""),U60,TRUE,"No error")</f>
        <v>Enter the number of homes on the 1_SetUp sheet</v>
      </c>
      <c r="W60" s="114" t="str">
        <f t="shared" ca="1" si="2"/>
        <v xml:space="preserve">The Borrower has not addressed the following error messages for Home ID 56: </v>
      </c>
    </row>
    <row r="61" spans="1:23">
      <c r="A61" s="123">
        <v>57</v>
      </c>
      <c r="B61" s="104" t="str" cm="1">
        <f t="array" ref="B61">_xlfn.IFS(AND(A61&gt;NumberOfPlots,ISBLANK(INDEX(PlotData,MATCH($A61,PlotNumber,0),MATCH(B$3,PlotTitles,0)))),"",ISNUMBER(INDEX(PlotData,MATCH($A61,PlotNumber,0),MATCH(B$3,PlotTitles,0)))=FALSE, $AB$5,TRUE,"")</f>
        <v/>
      </c>
      <c r="C61" s="104" t="str" cm="1">
        <f t="array" ref="C61">_xlfn.IFS(AND(A61&gt;NumberOfPlots,ISBLANK(INDEX(PlotData,MATCH($A61,PlotNumber,0),MATCH(B$3,PlotTitles,0)))),"",ISBLANK(INDEX(PlotData,MATCH($A61,PlotNumber,0),MATCH(C$3,PlotTitles,0))),$AB$6,TRUE,"")</f>
        <v/>
      </c>
      <c r="D61" s="104" t="str" cm="1">
        <f t="array" ref="D61">_xlfn.IFS(AND(A61&gt;NumberOfPlots,ISBLANK(INDEX(PlotData,MATCH($A61,PlotNumber,0),MATCH(B$3,PlotTitles,0)))),"",ISBLANK(INDEX(PlotData,MATCH($A61,PlotNumber,0),MATCH(D$3,PlotTitles,0))),$AB$7,TRUE,"")</f>
        <v/>
      </c>
      <c r="E61" s="104" t="str" cm="1">
        <f t="array" ref="E61">_xlfn.IFS(AND(A61&gt;NumberOfPlots,ISBLANK(INDEX(PlotData,MATCH($A61,PlotNumber,0),MATCH(B$3,PlotTitles,0)))),"",ISBLANK(INDEX(PlotData,MATCH($A61,PlotNumber,0),MATCH(E$3,PlotTitles,0))),$AB$8,TRUE,"")</f>
        <v/>
      </c>
      <c r="F61" s="104" t="str" cm="1">
        <f t="array" ref="F61">_xlfn.IFS(AND(A61&gt;NumberOfPlots,ISBLANK(INDEX(PlotData,MATCH($A61,PlotNumber,0),MATCH(B$3,PlotTitles,0)))),"",ISBLANK(INDEX(PlotData,MATCH($A61,PlotNumber,0),MATCH(F$3,PlotTitles,0))),$AB$9,TRUE,"")</f>
        <v/>
      </c>
      <c r="G61" s="104" t="str" cm="1">
        <f t="array" ref="G61">_xlfn.IFS(AND(A61&gt;NumberOfPlots,ISBLANK(INDEX(PlotData,MATCH($A61,PlotNumber,0),MATCH(B$3,PlotTitles,0)))),"",ISBLANK(INDEX(PlotData,MATCH($A61,PlotNumber,0),MATCH(G$3,PlotTitles,0))),$AB$10,TRUE,"")</f>
        <v/>
      </c>
      <c r="H61" s="104" t="str" cm="1">
        <f t="array" ref="H61">_xlfn.IFS(AND(A61&gt;NumberOfPlots,ISBLANK(INDEX(PlotData,MATCH($A61,PlotNumber,0),MATCH(B$3,PlotTitles,0)))),"",AND(ISBLANK(INDEX(PlotData,MATCH($A61,PlotNumber,0),MATCH(H$3,PlotTitles,0)))=FALSE,INDEX(PlotData,MATCH($A61,PlotNumber,0),MATCH(H$3,PlotTitles,0))&lt;500), $AB$11,TRUE,"")</f>
        <v/>
      </c>
      <c r="I61" s="104" t="str" cm="1">
        <f t="array" ref="I61">_xlfn.IFS(AND(A61&gt;NumberOfPlots,ISBLANK(INDEX(PlotData,MATCH($A61,PlotNumber,0),MATCH(B$3,PlotTitles,0)))),"",ISBLANK(INDEX(PlotData,MATCH($A61,PlotNumber,0),MATCH(I$3,PlotTitles,0))),$AB$12,TRUE,"")</f>
        <v/>
      </c>
      <c r="J61" s="104" t="str" cm="1">
        <f t="array" ref="J61">_xlfn.IFS(AND(A61&gt;NumberOfPlots,ISBLANK(INDEX(PlotData,MATCH($A61,PlotNumber,0),MATCH(B$3,PlotTitles,0)))),"",ISBLANK(INDEX(PlotData,MATCH($A61,PlotNumber,0),MATCH(J$3,PlotTitles,0))),$AB$13,TRUE,"")</f>
        <v/>
      </c>
      <c r="K61" s="182" t="str">
        <f t="shared" ca="1" si="0"/>
        <v/>
      </c>
      <c r="L61" s="104" t="str" cm="1">
        <f t="array" ref="L61">_xlfn.IFS(OR(ISBLANK(StartDateMonth),ISBLANK(StartDateYear)),"",AND(A61&gt;NumberOfPlots,ISBLANK(INDEX(PlotData,MATCH($A61,PlotNumber,0),MATCH(B$3,PlotTitles,0)))),"",ISBLANK(INDEX(PlotData,MATCH($A61,PlotNumber,0),MATCH(I$3,PlotTitles,0))),"",(DATEVALUE(INDEX(PlotData,MATCH($A61,PlotNumber,0),MATCH(I$3,PlotTitles,0))&amp;INDEX(PlotData,MATCH($A61,PlotNumber,0),MATCH(J$3,PlotTitles,0))))&lt;DATEVALUE(StartDateMonth&amp;StartDateYear),$AB$15,TRUE,"")</f>
        <v/>
      </c>
      <c r="M61" s="104" t="str" cm="1">
        <f t="array" ref="M61">_xlfn.IFS(OR(ISBLANK(StartDateMonth),ISBLANK(StartDateYear)),"",AND(A61&gt;NumberOfPlots,ISBLANK(INDEX(PlotData,MATCH($A61,PlotNumber,0),MATCH(B$3,PlotTitles,0)))),"",ISBLANK(INDEX(PlotData,MATCH($A61,PlotNumber,0),MATCH(I$3,PlotTitles,0))),"",CompletionMonth="","",(DATEVALUE(INDEX(PlotData,MATCH($A61,PlotNumber,0),MATCH(I$3,PlotTitles,0))&amp;INDEX(PlotData,MATCH($A61,PlotNumber,0),MATCH(J$3,PlotTitles,0))))&gt;(DATEVALUE(CompletionMonth&amp;CompletionYear)),$AB$16,TRUE,"")</f>
        <v/>
      </c>
      <c r="N61" s="104" t="str" cm="1">
        <f t="array" ref="N61">_xlfn.IFS(AND(A61&gt;NumberOfPlots,ISBLANK(INDEX(PlotData,MATCH($A61,PlotNumber,0),MATCH(B$3,PlotTitles,0)))),"",ISBLANK(INDEX(PlotData,MATCH($A61,PlotNumber,0),MATCH(N$3,PlotTitles,0))),$AB$17,TRUE,"")</f>
        <v/>
      </c>
      <c r="O61" s="104" t="str" cm="1">
        <f t="array" ref="O61">_xlfn.IFS(AND(A61&gt;NumberOfPlots,ISBLANK(INDEX(PlotData,MATCH($A61,PlotNumber,0),MATCH(B$3,PlotTitles,0)))),"",ISBLANK(INDEX(PlotData,MATCH($A61,PlotNumber,0),MATCH(O$3,PlotTitles,0))),$AB$18,TRUE,"")</f>
        <v/>
      </c>
      <c r="P61" s="182" t="str">
        <f t="shared" ca="1" si="1"/>
        <v/>
      </c>
      <c r="Q61" s="104" t="str" cm="1">
        <f t="array" ref="Q61">_xlfn.IFS(AND(A61&gt;NumberOfPlots,ISBLANK(INDEX(PlotData,MATCH($A61,PlotNumber,0),MATCH(B$3,PlotTitles,0)))),"",ISBLANK(INDEX(PlotData,MATCH($A61,PlotNumber,0),MATCH(N$3,PlotTitles,0))),"",(DATEVALUE(INDEX(PlotData,MATCH($A61,PlotNumber,0),MATCH(N$3,PlotTitles,0))&amp;INDEX(PlotData,MATCH($A61,PlotNumber,0),MATCH(O$3,PlotTitles,0))))&lt;(DATEVALUE(INDEX(PlotData,MATCH($A61,PlotNumber,0),MATCH(I$3,PlotTitles,0))&amp;INDEX(PlotData,MATCH($A61,PlotNumber,0),MATCH(J$3,PlotTitles,0)))),$AB$20,TRUE,"")</f>
        <v/>
      </c>
      <c r="R61" s="104" t="str" cm="1">
        <f t="array" ref="R61">_xlfn.IFS(OR(ISBLANK(StartDateMonth),ISBLANK(StartDateYear)),"",AND(A61&gt;NumberOfPlots,ISBLANK(INDEX(PlotData,MATCH($A61,PlotNumber,0),MATCH(B$3,PlotTitles,0)))),"",ISBLANK(INDEX(PlotData,MATCH($A61,PlotNumber,0),MATCH(N$3,PlotTitles,0))),"",CompletionMonth="","",(DATEVALUE(INDEX(PlotData,MATCH($A61,PlotNumber,0),MATCH(N$3,PlotTitles,0))&amp;INDEX(PlotData,MATCH($A61,PlotNumber,0),MATCH(O$3,PlotTitles,0))))&gt;(DATEVALUE(CompletionMonth&amp;CompletionYear)),$AB$21,TRUE,"")</f>
        <v/>
      </c>
      <c r="S61" s="104" t="str" cm="1">
        <f t="array" ref="S61">_xlfn.IFS(AND(A61&gt;NumberOfPlots,ISBLANK(INDEX(PlotData,MATCH($A61,PlotNumber,0),MATCH(B$3,PlotTitles,0)))),"",OR(AND(INDEX(PlotData,MATCH($A61,PlotNumber,0),MATCH("Tenure",PlotTitles,0))="Open market housing",INDEX(PlotData,MATCH($A61,PlotNumber,0),MATCH("Tenure detail",PlotTitles,0))="Private rented sector"),INDEX(PlotData,MATCH($A61,PlotNumber,0),MATCH("Tenure",PlotTitles,0))="Affordable rent"),"",ISNUMBER(INDEX(PlotData,MATCH($A61,PlotNumber,0),MATCH(S$3,PlotTitles,0)))=FALSE, $AB$22,TRUE,"")</f>
        <v/>
      </c>
      <c r="T61" s="104" t="str" cm="1">
        <f t="array" ref="T61">_xlfn.IFS(AND(A61&gt;NumberOfPlots,ISBLANK(INDEX(PlotData,MATCH($A61,PlotNumber,0),MATCH(B$3,PlotTitles,0)))),"",OR(AND(INDEX(PlotData,MATCH($A61,PlotNumber,0),MATCH("Tenure",PlotTitles,0))="Open market housing",INDEX(PlotData,MATCH($A61,PlotNumber,0),MATCH("Tenure detail",PlotTitles,0))="Private rented sector"),INDEX(PlotData,MATCH($A61,PlotNumber,0),MATCH("Tenure",PlotTitles,0))="Affordable rent"),"",INDEX(PlotData,MATCH($A61,PlotNumber,0),MATCH(S$3,PlotTitles,0))&lt;10000, $AB$23,TRUE,"")</f>
        <v/>
      </c>
      <c r="U61" s="104" t="str" cm="1">
        <f t="array" ref="U61">_xlfn.IFS(AND(A61&gt;NumberOfPlots,ISBLANK(INDEX(PlotData,MATCH($A61,PlotNumber,0),MATCH(B$3,PlotTitles,0)))),"",NOT(OR(AND(INDEX(PlotData,MATCH($A61,PlotNumber,0),MATCH("Tenure",PlotTitles,0))="Open market housing",INDEX(PlotData,MATCH($A61,PlotNumber,0),MATCH("Tenure detail",PlotTitles,0))="Private rented sector"),INDEX(PlotData,MATCH($A61,PlotNumber,0),MATCH("Tenure",PlotTitles,0))="Affordable rent")),"",NOT(INDEX(PlotData,MATCH($A61,PlotNumber,0),MATCH(S$3,PlotTitles,0))=0), $AB$24,TRUE,"")</f>
        <v/>
      </c>
      <c r="V61" s="114" t="str" cm="1">
        <f t="array" aca="1" ref="V61" ca="1">_xlfn.IFS(ISBLANK(NumberOfPlots),"Enter the number of homes on the 1_SetUp sheet",AND(A61&gt;NumberOfPlots,ISBLANK(INDEX(PlotData,MATCH($A61,PlotNumber,0),MATCH(B$3,PlotTitles,0)))),"No error",NOT(B61=""),B61,NOT(C61=""),C61,NOT(D61=""),D61,NOT(E61=""),E61,NOT(F61=""),F61,NOT(G61=""),G61,NOT(H61=""),H61,NOT(I61=""),I61,NOT(J61=""),J61,NOT(K61=""),K61,NOT(L61=""),L61,NOT(M61=""),M61,NOT(N61=""),N61,NOT(O61=""),O61,NOT(P61=""),P61,NOT(Q61=""),Q61,NOT(R61=""),R61,NOT(S61=""),S61,NOT(T61=""),T61,NOT(U61=""),U61,TRUE,"No error")</f>
        <v>Enter the number of homes on the 1_SetUp sheet</v>
      </c>
      <c r="W61" s="114" t="str">
        <f t="shared" ca="1" si="2"/>
        <v xml:space="preserve">The Borrower has not addressed the following error messages for Home ID 57: </v>
      </c>
    </row>
    <row r="62" spans="1:23">
      <c r="A62" s="123">
        <v>58</v>
      </c>
      <c r="B62" s="104" t="str" cm="1">
        <f t="array" ref="B62">_xlfn.IFS(AND(A62&gt;NumberOfPlots,ISBLANK(INDEX(PlotData,MATCH($A62,PlotNumber,0),MATCH(B$3,PlotTitles,0)))),"",ISNUMBER(INDEX(PlotData,MATCH($A62,PlotNumber,0),MATCH(B$3,PlotTitles,0)))=FALSE, $AB$5,TRUE,"")</f>
        <v/>
      </c>
      <c r="C62" s="104" t="str" cm="1">
        <f t="array" ref="C62">_xlfn.IFS(AND(A62&gt;NumberOfPlots,ISBLANK(INDEX(PlotData,MATCH($A62,PlotNumber,0),MATCH(B$3,PlotTitles,0)))),"",ISBLANK(INDEX(PlotData,MATCH($A62,PlotNumber,0),MATCH(C$3,PlotTitles,0))),$AB$6,TRUE,"")</f>
        <v/>
      </c>
      <c r="D62" s="104" t="str" cm="1">
        <f t="array" ref="D62">_xlfn.IFS(AND(A62&gt;NumberOfPlots,ISBLANK(INDEX(PlotData,MATCH($A62,PlotNumber,0),MATCH(B$3,PlotTitles,0)))),"",ISBLANK(INDEX(PlotData,MATCH($A62,PlotNumber,0),MATCH(D$3,PlotTitles,0))),$AB$7,TRUE,"")</f>
        <v/>
      </c>
      <c r="E62" s="104" t="str" cm="1">
        <f t="array" ref="E62">_xlfn.IFS(AND(A62&gt;NumberOfPlots,ISBLANK(INDEX(PlotData,MATCH($A62,PlotNumber,0),MATCH(B$3,PlotTitles,0)))),"",ISBLANK(INDEX(PlotData,MATCH($A62,PlotNumber,0),MATCH(E$3,PlotTitles,0))),$AB$8,TRUE,"")</f>
        <v/>
      </c>
      <c r="F62" s="104" t="str" cm="1">
        <f t="array" ref="F62">_xlfn.IFS(AND(A62&gt;NumberOfPlots,ISBLANK(INDEX(PlotData,MATCH($A62,PlotNumber,0),MATCH(B$3,PlotTitles,0)))),"",ISBLANK(INDEX(PlotData,MATCH($A62,PlotNumber,0),MATCH(F$3,PlotTitles,0))),$AB$9,TRUE,"")</f>
        <v/>
      </c>
      <c r="G62" s="104" t="str" cm="1">
        <f t="array" ref="G62">_xlfn.IFS(AND(A62&gt;NumberOfPlots,ISBLANK(INDEX(PlotData,MATCH($A62,PlotNumber,0),MATCH(B$3,PlotTitles,0)))),"",ISBLANK(INDEX(PlotData,MATCH($A62,PlotNumber,0),MATCH(G$3,PlotTitles,0))),$AB$10,TRUE,"")</f>
        <v/>
      </c>
      <c r="H62" s="104" t="str" cm="1">
        <f t="array" ref="H62">_xlfn.IFS(AND(A62&gt;NumberOfPlots,ISBLANK(INDEX(PlotData,MATCH($A62,PlotNumber,0),MATCH(B$3,PlotTitles,0)))),"",AND(ISBLANK(INDEX(PlotData,MATCH($A62,PlotNumber,0),MATCH(H$3,PlotTitles,0)))=FALSE,INDEX(PlotData,MATCH($A62,PlotNumber,0),MATCH(H$3,PlotTitles,0))&lt;500), $AB$11,TRUE,"")</f>
        <v/>
      </c>
      <c r="I62" s="104" t="str" cm="1">
        <f t="array" ref="I62">_xlfn.IFS(AND(A62&gt;NumberOfPlots,ISBLANK(INDEX(PlotData,MATCH($A62,PlotNumber,0),MATCH(B$3,PlotTitles,0)))),"",ISBLANK(INDEX(PlotData,MATCH($A62,PlotNumber,0),MATCH(I$3,PlotTitles,0))),$AB$12,TRUE,"")</f>
        <v/>
      </c>
      <c r="J62" s="104" t="str" cm="1">
        <f t="array" ref="J62">_xlfn.IFS(AND(A62&gt;NumberOfPlots,ISBLANK(INDEX(PlotData,MATCH($A62,PlotNumber,0),MATCH(B$3,PlotTitles,0)))),"",ISBLANK(INDEX(PlotData,MATCH($A62,PlotNumber,0),MATCH(J$3,PlotTitles,0))),$AB$13,TRUE,"")</f>
        <v/>
      </c>
      <c r="K62" s="182" t="str">
        <f t="shared" ca="1" si="0"/>
        <v/>
      </c>
      <c r="L62" s="104" t="str" cm="1">
        <f t="array" ref="L62">_xlfn.IFS(OR(ISBLANK(StartDateMonth),ISBLANK(StartDateYear)),"",AND(A62&gt;NumberOfPlots,ISBLANK(INDEX(PlotData,MATCH($A62,PlotNumber,0),MATCH(B$3,PlotTitles,0)))),"",ISBLANK(INDEX(PlotData,MATCH($A62,PlotNumber,0),MATCH(I$3,PlotTitles,0))),"",(DATEVALUE(INDEX(PlotData,MATCH($A62,PlotNumber,0),MATCH(I$3,PlotTitles,0))&amp;INDEX(PlotData,MATCH($A62,PlotNumber,0),MATCH(J$3,PlotTitles,0))))&lt;DATEVALUE(StartDateMonth&amp;StartDateYear),$AB$15,TRUE,"")</f>
        <v/>
      </c>
      <c r="M62" s="104" t="str" cm="1">
        <f t="array" ref="M62">_xlfn.IFS(OR(ISBLANK(StartDateMonth),ISBLANK(StartDateYear)),"",AND(A62&gt;NumberOfPlots,ISBLANK(INDEX(PlotData,MATCH($A62,PlotNumber,0),MATCH(B$3,PlotTitles,0)))),"",ISBLANK(INDEX(PlotData,MATCH($A62,PlotNumber,0),MATCH(I$3,PlotTitles,0))),"",CompletionMonth="","",(DATEVALUE(INDEX(PlotData,MATCH($A62,PlotNumber,0),MATCH(I$3,PlotTitles,0))&amp;INDEX(PlotData,MATCH($A62,PlotNumber,0),MATCH(J$3,PlotTitles,0))))&gt;(DATEVALUE(CompletionMonth&amp;CompletionYear)),$AB$16,TRUE,"")</f>
        <v/>
      </c>
      <c r="N62" s="104" t="str" cm="1">
        <f t="array" ref="N62">_xlfn.IFS(AND(A62&gt;NumberOfPlots,ISBLANK(INDEX(PlotData,MATCH($A62,PlotNumber,0),MATCH(B$3,PlotTitles,0)))),"",ISBLANK(INDEX(PlotData,MATCH($A62,PlotNumber,0),MATCH(N$3,PlotTitles,0))),$AB$17,TRUE,"")</f>
        <v/>
      </c>
      <c r="O62" s="104" t="str" cm="1">
        <f t="array" ref="O62">_xlfn.IFS(AND(A62&gt;NumberOfPlots,ISBLANK(INDEX(PlotData,MATCH($A62,PlotNumber,0),MATCH(B$3,PlotTitles,0)))),"",ISBLANK(INDEX(PlotData,MATCH($A62,PlotNumber,0),MATCH(O$3,PlotTitles,0))),$AB$18,TRUE,"")</f>
        <v/>
      </c>
      <c r="P62" s="182" t="str">
        <f t="shared" ca="1" si="1"/>
        <v/>
      </c>
      <c r="Q62" s="104" t="str" cm="1">
        <f t="array" ref="Q62">_xlfn.IFS(AND(A62&gt;NumberOfPlots,ISBLANK(INDEX(PlotData,MATCH($A62,PlotNumber,0),MATCH(B$3,PlotTitles,0)))),"",ISBLANK(INDEX(PlotData,MATCH($A62,PlotNumber,0),MATCH(N$3,PlotTitles,0))),"",(DATEVALUE(INDEX(PlotData,MATCH($A62,PlotNumber,0),MATCH(N$3,PlotTitles,0))&amp;INDEX(PlotData,MATCH($A62,PlotNumber,0),MATCH(O$3,PlotTitles,0))))&lt;(DATEVALUE(INDEX(PlotData,MATCH($A62,PlotNumber,0),MATCH(I$3,PlotTitles,0))&amp;INDEX(PlotData,MATCH($A62,PlotNumber,0),MATCH(J$3,PlotTitles,0)))),$AB$20,TRUE,"")</f>
        <v/>
      </c>
      <c r="R62" s="104" t="str" cm="1">
        <f t="array" ref="R62">_xlfn.IFS(OR(ISBLANK(StartDateMonth),ISBLANK(StartDateYear)),"",AND(A62&gt;NumberOfPlots,ISBLANK(INDEX(PlotData,MATCH($A62,PlotNumber,0),MATCH(B$3,PlotTitles,0)))),"",ISBLANK(INDEX(PlotData,MATCH($A62,PlotNumber,0),MATCH(N$3,PlotTitles,0))),"",CompletionMonth="","",(DATEVALUE(INDEX(PlotData,MATCH($A62,PlotNumber,0),MATCH(N$3,PlotTitles,0))&amp;INDEX(PlotData,MATCH($A62,PlotNumber,0),MATCH(O$3,PlotTitles,0))))&gt;(DATEVALUE(CompletionMonth&amp;CompletionYear)),$AB$21,TRUE,"")</f>
        <v/>
      </c>
      <c r="S62" s="104" t="str" cm="1">
        <f t="array" ref="S62">_xlfn.IFS(AND(A62&gt;NumberOfPlots,ISBLANK(INDEX(PlotData,MATCH($A62,PlotNumber,0),MATCH(B$3,PlotTitles,0)))),"",OR(AND(INDEX(PlotData,MATCH($A62,PlotNumber,0),MATCH("Tenure",PlotTitles,0))="Open market housing",INDEX(PlotData,MATCH($A62,PlotNumber,0),MATCH("Tenure detail",PlotTitles,0))="Private rented sector"),INDEX(PlotData,MATCH($A62,PlotNumber,0),MATCH("Tenure",PlotTitles,0))="Affordable rent"),"",ISNUMBER(INDEX(PlotData,MATCH($A62,PlotNumber,0),MATCH(S$3,PlotTitles,0)))=FALSE, $AB$22,TRUE,"")</f>
        <v/>
      </c>
      <c r="T62" s="104" t="str" cm="1">
        <f t="array" ref="T62">_xlfn.IFS(AND(A62&gt;NumberOfPlots,ISBLANK(INDEX(PlotData,MATCH($A62,PlotNumber,0),MATCH(B$3,PlotTitles,0)))),"",OR(AND(INDEX(PlotData,MATCH($A62,PlotNumber,0),MATCH("Tenure",PlotTitles,0))="Open market housing",INDEX(PlotData,MATCH($A62,PlotNumber,0),MATCH("Tenure detail",PlotTitles,0))="Private rented sector"),INDEX(PlotData,MATCH($A62,PlotNumber,0),MATCH("Tenure",PlotTitles,0))="Affordable rent"),"",INDEX(PlotData,MATCH($A62,PlotNumber,0),MATCH(S$3,PlotTitles,0))&lt;10000, $AB$23,TRUE,"")</f>
        <v/>
      </c>
      <c r="U62" s="104" t="str" cm="1">
        <f t="array" ref="U62">_xlfn.IFS(AND(A62&gt;NumberOfPlots,ISBLANK(INDEX(PlotData,MATCH($A62,PlotNumber,0),MATCH(B$3,PlotTitles,0)))),"",NOT(OR(AND(INDEX(PlotData,MATCH($A62,PlotNumber,0),MATCH("Tenure",PlotTitles,0))="Open market housing",INDEX(PlotData,MATCH($A62,PlotNumber,0),MATCH("Tenure detail",PlotTitles,0))="Private rented sector"),INDEX(PlotData,MATCH($A62,PlotNumber,0),MATCH("Tenure",PlotTitles,0))="Affordable rent")),"",NOT(INDEX(PlotData,MATCH($A62,PlotNumber,0),MATCH(S$3,PlotTitles,0))=0), $AB$24,TRUE,"")</f>
        <v/>
      </c>
      <c r="V62" s="114" t="str" cm="1">
        <f t="array" aca="1" ref="V62" ca="1">_xlfn.IFS(ISBLANK(NumberOfPlots),"Enter the number of homes on the 1_SetUp sheet",AND(A62&gt;NumberOfPlots,ISBLANK(INDEX(PlotData,MATCH($A62,PlotNumber,0),MATCH(B$3,PlotTitles,0)))),"No error",NOT(B62=""),B62,NOT(C62=""),C62,NOT(D62=""),D62,NOT(E62=""),E62,NOT(F62=""),F62,NOT(G62=""),G62,NOT(H62=""),H62,NOT(I62=""),I62,NOT(J62=""),J62,NOT(K62=""),K62,NOT(L62=""),L62,NOT(M62=""),M62,NOT(N62=""),N62,NOT(O62=""),O62,NOT(P62=""),P62,NOT(Q62=""),Q62,NOT(R62=""),R62,NOT(S62=""),S62,NOT(T62=""),T62,NOT(U62=""),U62,TRUE,"No error")</f>
        <v>Enter the number of homes on the 1_SetUp sheet</v>
      </c>
      <c r="W62" s="114" t="str">
        <f t="shared" ca="1" si="2"/>
        <v xml:space="preserve">The Borrower has not addressed the following error messages for Home ID 58: </v>
      </c>
    </row>
    <row r="63" spans="1:23">
      <c r="A63" s="123">
        <v>59</v>
      </c>
      <c r="B63" s="104" t="str" cm="1">
        <f t="array" ref="B63">_xlfn.IFS(AND(A63&gt;NumberOfPlots,ISBLANK(INDEX(PlotData,MATCH($A63,PlotNumber,0),MATCH(B$3,PlotTitles,0)))),"",ISNUMBER(INDEX(PlotData,MATCH($A63,PlotNumber,0),MATCH(B$3,PlotTitles,0)))=FALSE, $AB$5,TRUE,"")</f>
        <v/>
      </c>
      <c r="C63" s="104" t="str" cm="1">
        <f t="array" ref="C63">_xlfn.IFS(AND(A63&gt;NumberOfPlots,ISBLANK(INDEX(PlotData,MATCH($A63,PlotNumber,0),MATCH(B$3,PlotTitles,0)))),"",ISBLANK(INDEX(PlotData,MATCH($A63,PlotNumber,0),MATCH(C$3,PlotTitles,0))),$AB$6,TRUE,"")</f>
        <v/>
      </c>
      <c r="D63" s="104" t="str" cm="1">
        <f t="array" ref="D63">_xlfn.IFS(AND(A63&gt;NumberOfPlots,ISBLANK(INDEX(PlotData,MATCH($A63,PlotNumber,0),MATCH(B$3,PlotTitles,0)))),"",ISBLANK(INDEX(PlotData,MATCH($A63,PlotNumber,0),MATCH(D$3,PlotTitles,0))),$AB$7,TRUE,"")</f>
        <v/>
      </c>
      <c r="E63" s="104" t="str" cm="1">
        <f t="array" ref="E63">_xlfn.IFS(AND(A63&gt;NumberOfPlots,ISBLANK(INDEX(PlotData,MATCH($A63,PlotNumber,0),MATCH(B$3,PlotTitles,0)))),"",ISBLANK(INDEX(PlotData,MATCH($A63,PlotNumber,0),MATCH(E$3,PlotTitles,0))),$AB$8,TRUE,"")</f>
        <v/>
      </c>
      <c r="F63" s="104" t="str" cm="1">
        <f t="array" ref="F63">_xlfn.IFS(AND(A63&gt;NumberOfPlots,ISBLANK(INDEX(PlotData,MATCH($A63,PlotNumber,0),MATCH(B$3,PlotTitles,0)))),"",ISBLANK(INDEX(PlotData,MATCH($A63,PlotNumber,0),MATCH(F$3,PlotTitles,0))),$AB$9,TRUE,"")</f>
        <v/>
      </c>
      <c r="G63" s="104" t="str" cm="1">
        <f t="array" ref="G63">_xlfn.IFS(AND(A63&gt;NumberOfPlots,ISBLANK(INDEX(PlotData,MATCH($A63,PlotNumber,0),MATCH(B$3,PlotTitles,0)))),"",ISBLANK(INDEX(PlotData,MATCH($A63,PlotNumber,0),MATCH(G$3,PlotTitles,0))),$AB$10,TRUE,"")</f>
        <v/>
      </c>
      <c r="H63" s="104" t="str" cm="1">
        <f t="array" ref="H63">_xlfn.IFS(AND(A63&gt;NumberOfPlots,ISBLANK(INDEX(PlotData,MATCH($A63,PlotNumber,0),MATCH(B$3,PlotTitles,0)))),"",AND(ISBLANK(INDEX(PlotData,MATCH($A63,PlotNumber,0),MATCH(H$3,PlotTitles,0)))=FALSE,INDEX(PlotData,MATCH($A63,PlotNumber,0),MATCH(H$3,PlotTitles,0))&lt;500), $AB$11,TRUE,"")</f>
        <v/>
      </c>
      <c r="I63" s="104" t="str" cm="1">
        <f t="array" ref="I63">_xlfn.IFS(AND(A63&gt;NumberOfPlots,ISBLANK(INDEX(PlotData,MATCH($A63,PlotNumber,0),MATCH(B$3,PlotTitles,0)))),"",ISBLANK(INDEX(PlotData,MATCH($A63,PlotNumber,0),MATCH(I$3,PlotTitles,0))),$AB$12,TRUE,"")</f>
        <v/>
      </c>
      <c r="J63" s="104" t="str" cm="1">
        <f t="array" ref="J63">_xlfn.IFS(AND(A63&gt;NumberOfPlots,ISBLANK(INDEX(PlotData,MATCH($A63,PlotNumber,0),MATCH(B$3,PlotTitles,0)))),"",ISBLANK(INDEX(PlotData,MATCH($A63,PlotNumber,0),MATCH(J$3,PlotTitles,0))),$AB$13,TRUE,"")</f>
        <v/>
      </c>
      <c r="K63" s="182" t="str">
        <f t="shared" ca="1" si="0"/>
        <v/>
      </c>
      <c r="L63" s="104" t="str" cm="1">
        <f t="array" ref="L63">_xlfn.IFS(OR(ISBLANK(StartDateMonth),ISBLANK(StartDateYear)),"",AND(A63&gt;NumberOfPlots,ISBLANK(INDEX(PlotData,MATCH($A63,PlotNumber,0),MATCH(B$3,PlotTitles,0)))),"",ISBLANK(INDEX(PlotData,MATCH($A63,PlotNumber,0),MATCH(I$3,PlotTitles,0))),"",(DATEVALUE(INDEX(PlotData,MATCH($A63,PlotNumber,0),MATCH(I$3,PlotTitles,0))&amp;INDEX(PlotData,MATCH($A63,PlotNumber,0),MATCH(J$3,PlotTitles,0))))&lt;DATEVALUE(StartDateMonth&amp;StartDateYear),$AB$15,TRUE,"")</f>
        <v/>
      </c>
      <c r="M63" s="104" t="str" cm="1">
        <f t="array" ref="M63">_xlfn.IFS(OR(ISBLANK(StartDateMonth),ISBLANK(StartDateYear)),"",AND(A63&gt;NumberOfPlots,ISBLANK(INDEX(PlotData,MATCH($A63,PlotNumber,0),MATCH(B$3,PlotTitles,0)))),"",ISBLANK(INDEX(PlotData,MATCH($A63,PlotNumber,0),MATCH(I$3,PlotTitles,0))),"",CompletionMonth="","",(DATEVALUE(INDEX(PlotData,MATCH($A63,PlotNumber,0),MATCH(I$3,PlotTitles,0))&amp;INDEX(PlotData,MATCH($A63,PlotNumber,0),MATCH(J$3,PlotTitles,0))))&gt;(DATEVALUE(CompletionMonth&amp;CompletionYear)),$AB$16,TRUE,"")</f>
        <v/>
      </c>
      <c r="N63" s="104" t="str" cm="1">
        <f t="array" ref="N63">_xlfn.IFS(AND(A63&gt;NumberOfPlots,ISBLANK(INDEX(PlotData,MATCH($A63,PlotNumber,0),MATCH(B$3,PlotTitles,0)))),"",ISBLANK(INDEX(PlotData,MATCH($A63,PlotNumber,0),MATCH(N$3,PlotTitles,0))),$AB$17,TRUE,"")</f>
        <v/>
      </c>
      <c r="O63" s="104" t="str" cm="1">
        <f t="array" ref="O63">_xlfn.IFS(AND(A63&gt;NumberOfPlots,ISBLANK(INDEX(PlotData,MATCH($A63,PlotNumber,0),MATCH(B$3,PlotTitles,0)))),"",ISBLANK(INDEX(PlotData,MATCH($A63,PlotNumber,0),MATCH(O$3,PlotTitles,0))),$AB$18,TRUE,"")</f>
        <v/>
      </c>
      <c r="P63" s="182" t="str">
        <f t="shared" ca="1" si="1"/>
        <v/>
      </c>
      <c r="Q63" s="104" t="str" cm="1">
        <f t="array" ref="Q63">_xlfn.IFS(AND(A63&gt;NumberOfPlots,ISBLANK(INDEX(PlotData,MATCH($A63,PlotNumber,0),MATCH(B$3,PlotTitles,0)))),"",ISBLANK(INDEX(PlotData,MATCH($A63,PlotNumber,0),MATCH(N$3,PlotTitles,0))),"",(DATEVALUE(INDEX(PlotData,MATCH($A63,PlotNumber,0),MATCH(N$3,PlotTitles,0))&amp;INDEX(PlotData,MATCH($A63,PlotNumber,0),MATCH(O$3,PlotTitles,0))))&lt;(DATEVALUE(INDEX(PlotData,MATCH($A63,PlotNumber,0),MATCH(I$3,PlotTitles,0))&amp;INDEX(PlotData,MATCH($A63,PlotNumber,0),MATCH(J$3,PlotTitles,0)))),$AB$20,TRUE,"")</f>
        <v/>
      </c>
      <c r="R63" s="104" t="str" cm="1">
        <f t="array" ref="R63">_xlfn.IFS(OR(ISBLANK(StartDateMonth),ISBLANK(StartDateYear)),"",AND(A63&gt;NumberOfPlots,ISBLANK(INDEX(PlotData,MATCH($A63,PlotNumber,0),MATCH(B$3,PlotTitles,0)))),"",ISBLANK(INDEX(PlotData,MATCH($A63,PlotNumber,0),MATCH(N$3,PlotTitles,0))),"",CompletionMonth="","",(DATEVALUE(INDEX(PlotData,MATCH($A63,PlotNumber,0),MATCH(N$3,PlotTitles,0))&amp;INDEX(PlotData,MATCH($A63,PlotNumber,0),MATCH(O$3,PlotTitles,0))))&gt;(DATEVALUE(CompletionMonth&amp;CompletionYear)),$AB$21,TRUE,"")</f>
        <v/>
      </c>
      <c r="S63" s="104" t="str" cm="1">
        <f t="array" ref="S63">_xlfn.IFS(AND(A63&gt;NumberOfPlots,ISBLANK(INDEX(PlotData,MATCH($A63,PlotNumber,0),MATCH(B$3,PlotTitles,0)))),"",OR(AND(INDEX(PlotData,MATCH($A63,PlotNumber,0),MATCH("Tenure",PlotTitles,0))="Open market housing",INDEX(PlotData,MATCH($A63,PlotNumber,0),MATCH("Tenure detail",PlotTitles,0))="Private rented sector"),INDEX(PlotData,MATCH($A63,PlotNumber,0),MATCH("Tenure",PlotTitles,0))="Affordable rent"),"",ISNUMBER(INDEX(PlotData,MATCH($A63,PlotNumber,0),MATCH(S$3,PlotTitles,0)))=FALSE, $AB$22,TRUE,"")</f>
        <v/>
      </c>
      <c r="T63" s="104" t="str" cm="1">
        <f t="array" ref="T63">_xlfn.IFS(AND(A63&gt;NumberOfPlots,ISBLANK(INDEX(PlotData,MATCH($A63,PlotNumber,0),MATCH(B$3,PlotTitles,0)))),"",OR(AND(INDEX(PlotData,MATCH($A63,PlotNumber,0),MATCH("Tenure",PlotTitles,0))="Open market housing",INDEX(PlotData,MATCH($A63,PlotNumber,0),MATCH("Tenure detail",PlotTitles,0))="Private rented sector"),INDEX(PlotData,MATCH($A63,PlotNumber,0),MATCH("Tenure",PlotTitles,0))="Affordable rent"),"",INDEX(PlotData,MATCH($A63,PlotNumber,0),MATCH(S$3,PlotTitles,0))&lt;10000, $AB$23,TRUE,"")</f>
        <v/>
      </c>
      <c r="U63" s="104" t="str" cm="1">
        <f t="array" ref="U63">_xlfn.IFS(AND(A63&gt;NumberOfPlots,ISBLANK(INDEX(PlotData,MATCH($A63,PlotNumber,0),MATCH(B$3,PlotTitles,0)))),"",NOT(OR(AND(INDEX(PlotData,MATCH($A63,PlotNumber,0),MATCH("Tenure",PlotTitles,0))="Open market housing",INDEX(PlotData,MATCH($A63,PlotNumber,0),MATCH("Tenure detail",PlotTitles,0))="Private rented sector"),INDEX(PlotData,MATCH($A63,PlotNumber,0),MATCH("Tenure",PlotTitles,0))="Affordable rent")),"",NOT(INDEX(PlotData,MATCH($A63,PlotNumber,0),MATCH(S$3,PlotTitles,0))=0), $AB$24,TRUE,"")</f>
        <v/>
      </c>
      <c r="V63" s="114" t="str" cm="1">
        <f t="array" aca="1" ref="V63" ca="1">_xlfn.IFS(ISBLANK(NumberOfPlots),"Enter the number of homes on the 1_SetUp sheet",AND(A63&gt;NumberOfPlots,ISBLANK(INDEX(PlotData,MATCH($A63,PlotNumber,0),MATCH(B$3,PlotTitles,0)))),"No error",NOT(B63=""),B63,NOT(C63=""),C63,NOT(D63=""),D63,NOT(E63=""),E63,NOT(F63=""),F63,NOT(G63=""),G63,NOT(H63=""),H63,NOT(I63=""),I63,NOT(J63=""),J63,NOT(K63=""),K63,NOT(L63=""),L63,NOT(M63=""),M63,NOT(N63=""),N63,NOT(O63=""),O63,NOT(P63=""),P63,NOT(Q63=""),Q63,NOT(R63=""),R63,NOT(S63=""),S63,NOT(T63=""),T63,NOT(U63=""),U63,TRUE,"No error")</f>
        <v>Enter the number of homes on the 1_SetUp sheet</v>
      </c>
      <c r="W63" s="114" t="str">
        <f t="shared" ca="1" si="2"/>
        <v xml:space="preserve">The Borrower has not addressed the following error messages for Home ID 59: </v>
      </c>
    </row>
    <row r="64" spans="1:23">
      <c r="A64" s="123">
        <v>60</v>
      </c>
      <c r="B64" s="104" t="str" cm="1">
        <f t="array" ref="B64">_xlfn.IFS(AND(A64&gt;NumberOfPlots,ISBLANK(INDEX(PlotData,MATCH($A64,PlotNumber,0),MATCH(B$3,PlotTitles,0)))),"",ISNUMBER(INDEX(PlotData,MATCH($A64,PlotNumber,0),MATCH(B$3,PlotTitles,0)))=FALSE, $AB$5,TRUE,"")</f>
        <v/>
      </c>
      <c r="C64" s="104" t="str" cm="1">
        <f t="array" ref="C64">_xlfn.IFS(AND(A64&gt;NumberOfPlots,ISBLANK(INDEX(PlotData,MATCH($A64,PlotNumber,0),MATCH(B$3,PlotTitles,0)))),"",ISBLANK(INDEX(PlotData,MATCH($A64,PlotNumber,0),MATCH(C$3,PlotTitles,0))),$AB$6,TRUE,"")</f>
        <v/>
      </c>
      <c r="D64" s="104" t="str" cm="1">
        <f t="array" ref="D64">_xlfn.IFS(AND(A64&gt;NumberOfPlots,ISBLANK(INDEX(PlotData,MATCH($A64,PlotNumber,0),MATCH(B$3,PlotTitles,0)))),"",ISBLANK(INDEX(PlotData,MATCH($A64,PlotNumber,0),MATCH(D$3,PlotTitles,0))),$AB$7,TRUE,"")</f>
        <v/>
      </c>
      <c r="E64" s="104" t="str" cm="1">
        <f t="array" ref="E64">_xlfn.IFS(AND(A64&gt;NumberOfPlots,ISBLANK(INDEX(PlotData,MATCH($A64,PlotNumber,0),MATCH(B$3,PlotTitles,0)))),"",ISBLANK(INDEX(PlotData,MATCH($A64,PlotNumber,0),MATCH(E$3,PlotTitles,0))),$AB$8,TRUE,"")</f>
        <v/>
      </c>
      <c r="F64" s="104" t="str" cm="1">
        <f t="array" ref="F64">_xlfn.IFS(AND(A64&gt;NumberOfPlots,ISBLANK(INDEX(PlotData,MATCH($A64,PlotNumber,0),MATCH(B$3,PlotTitles,0)))),"",ISBLANK(INDEX(PlotData,MATCH($A64,PlotNumber,0),MATCH(F$3,PlotTitles,0))),$AB$9,TRUE,"")</f>
        <v/>
      </c>
      <c r="G64" s="104" t="str" cm="1">
        <f t="array" ref="G64">_xlfn.IFS(AND(A64&gt;NumberOfPlots,ISBLANK(INDEX(PlotData,MATCH($A64,PlotNumber,0),MATCH(B$3,PlotTitles,0)))),"",ISBLANK(INDEX(PlotData,MATCH($A64,PlotNumber,0),MATCH(G$3,PlotTitles,0))),$AB$10,TRUE,"")</f>
        <v/>
      </c>
      <c r="H64" s="104" t="str" cm="1">
        <f t="array" ref="H64">_xlfn.IFS(AND(A64&gt;NumberOfPlots,ISBLANK(INDEX(PlotData,MATCH($A64,PlotNumber,0),MATCH(B$3,PlotTitles,0)))),"",AND(ISBLANK(INDEX(PlotData,MATCH($A64,PlotNumber,0),MATCH(H$3,PlotTitles,0)))=FALSE,INDEX(PlotData,MATCH($A64,PlotNumber,0),MATCH(H$3,PlotTitles,0))&lt;500), $AB$11,TRUE,"")</f>
        <v/>
      </c>
      <c r="I64" s="104" t="str" cm="1">
        <f t="array" ref="I64">_xlfn.IFS(AND(A64&gt;NumberOfPlots,ISBLANK(INDEX(PlotData,MATCH($A64,PlotNumber,0),MATCH(B$3,PlotTitles,0)))),"",ISBLANK(INDEX(PlotData,MATCH($A64,PlotNumber,0),MATCH(I$3,PlotTitles,0))),$AB$12,TRUE,"")</f>
        <v/>
      </c>
      <c r="J64" s="104" t="str" cm="1">
        <f t="array" ref="J64">_xlfn.IFS(AND(A64&gt;NumberOfPlots,ISBLANK(INDEX(PlotData,MATCH($A64,PlotNumber,0),MATCH(B$3,PlotTitles,0)))),"",ISBLANK(INDEX(PlotData,MATCH($A64,PlotNumber,0),MATCH(J$3,PlotTitles,0))),$AB$13,TRUE,"")</f>
        <v/>
      </c>
      <c r="K64" s="182" t="str">
        <f t="shared" ca="1" si="0"/>
        <v/>
      </c>
      <c r="L64" s="104" t="str" cm="1">
        <f t="array" ref="L64">_xlfn.IFS(OR(ISBLANK(StartDateMonth),ISBLANK(StartDateYear)),"",AND(A64&gt;NumberOfPlots,ISBLANK(INDEX(PlotData,MATCH($A64,PlotNumber,0),MATCH(B$3,PlotTitles,0)))),"",ISBLANK(INDEX(PlotData,MATCH($A64,PlotNumber,0),MATCH(I$3,PlotTitles,0))),"",(DATEVALUE(INDEX(PlotData,MATCH($A64,PlotNumber,0),MATCH(I$3,PlotTitles,0))&amp;INDEX(PlotData,MATCH($A64,PlotNumber,0),MATCH(J$3,PlotTitles,0))))&lt;DATEVALUE(StartDateMonth&amp;StartDateYear),$AB$15,TRUE,"")</f>
        <v/>
      </c>
      <c r="M64" s="104" t="str" cm="1">
        <f t="array" ref="M64">_xlfn.IFS(OR(ISBLANK(StartDateMonth),ISBLANK(StartDateYear)),"",AND(A64&gt;NumberOfPlots,ISBLANK(INDEX(PlotData,MATCH($A64,PlotNumber,0),MATCH(B$3,PlotTitles,0)))),"",ISBLANK(INDEX(PlotData,MATCH($A64,PlotNumber,0),MATCH(I$3,PlotTitles,0))),"",CompletionMonth="","",(DATEVALUE(INDEX(PlotData,MATCH($A64,PlotNumber,0),MATCH(I$3,PlotTitles,0))&amp;INDEX(PlotData,MATCH($A64,PlotNumber,0),MATCH(J$3,PlotTitles,0))))&gt;(DATEVALUE(CompletionMonth&amp;CompletionYear)),$AB$16,TRUE,"")</f>
        <v/>
      </c>
      <c r="N64" s="104" t="str" cm="1">
        <f t="array" ref="N64">_xlfn.IFS(AND(A64&gt;NumberOfPlots,ISBLANK(INDEX(PlotData,MATCH($A64,PlotNumber,0),MATCH(B$3,PlotTitles,0)))),"",ISBLANK(INDEX(PlotData,MATCH($A64,PlotNumber,0),MATCH(N$3,PlotTitles,0))),$AB$17,TRUE,"")</f>
        <v/>
      </c>
      <c r="O64" s="104" t="str" cm="1">
        <f t="array" ref="O64">_xlfn.IFS(AND(A64&gt;NumberOfPlots,ISBLANK(INDEX(PlotData,MATCH($A64,PlotNumber,0),MATCH(B$3,PlotTitles,0)))),"",ISBLANK(INDEX(PlotData,MATCH($A64,PlotNumber,0),MATCH(O$3,PlotTitles,0))),$AB$18,TRUE,"")</f>
        <v/>
      </c>
      <c r="P64" s="182" t="str">
        <f t="shared" ca="1" si="1"/>
        <v/>
      </c>
      <c r="Q64" s="104" t="str" cm="1">
        <f t="array" ref="Q64">_xlfn.IFS(AND(A64&gt;NumberOfPlots,ISBLANK(INDEX(PlotData,MATCH($A64,PlotNumber,0),MATCH(B$3,PlotTitles,0)))),"",ISBLANK(INDEX(PlotData,MATCH($A64,PlotNumber,0),MATCH(N$3,PlotTitles,0))),"",(DATEVALUE(INDEX(PlotData,MATCH($A64,PlotNumber,0),MATCH(N$3,PlotTitles,0))&amp;INDEX(PlotData,MATCH($A64,PlotNumber,0),MATCH(O$3,PlotTitles,0))))&lt;(DATEVALUE(INDEX(PlotData,MATCH($A64,PlotNumber,0),MATCH(I$3,PlotTitles,0))&amp;INDEX(PlotData,MATCH($A64,PlotNumber,0),MATCH(J$3,PlotTitles,0)))),$AB$20,TRUE,"")</f>
        <v/>
      </c>
      <c r="R64" s="104" t="str" cm="1">
        <f t="array" ref="R64">_xlfn.IFS(OR(ISBLANK(StartDateMonth),ISBLANK(StartDateYear)),"",AND(A64&gt;NumberOfPlots,ISBLANK(INDEX(PlotData,MATCH($A64,PlotNumber,0),MATCH(B$3,PlotTitles,0)))),"",ISBLANK(INDEX(PlotData,MATCH($A64,PlotNumber,0),MATCH(N$3,PlotTitles,0))),"",CompletionMonth="","",(DATEVALUE(INDEX(PlotData,MATCH($A64,PlotNumber,0),MATCH(N$3,PlotTitles,0))&amp;INDEX(PlotData,MATCH($A64,PlotNumber,0),MATCH(O$3,PlotTitles,0))))&gt;(DATEVALUE(CompletionMonth&amp;CompletionYear)),$AB$21,TRUE,"")</f>
        <v/>
      </c>
      <c r="S64" s="104" t="str" cm="1">
        <f t="array" ref="S64">_xlfn.IFS(AND(A64&gt;NumberOfPlots,ISBLANK(INDEX(PlotData,MATCH($A64,PlotNumber,0),MATCH(B$3,PlotTitles,0)))),"",OR(AND(INDEX(PlotData,MATCH($A64,PlotNumber,0),MATCH("Tenure",PlotTitles,0))="Open market housing",INDEX(PlotData,MATCH($A64,PlotNumber,0),MATCH("Tenure detail",PlotTitles,0))="Private rented sector"),INDEX(PlotData,MATCH($A64,PlotNumber,0),MATCH("Tenure",PlotTitles,0))="Affordable rent"),"",ISNUMBER(INDEX(PlotData,MATCH($A64,PlotNumber,0),MATCH(S$3,PlotTitles,0)))=FALSE, $AB$22,TRUE,"")</f>
        <v/>
      </c>
      <c r="T64" s="104" t="str" cm="1">
        <f t="array" ref="T64">_xlfn.IFS(AND(A64&gt;NumberOfPlots,ISBLANK(INDEX(PlotData,MATCH($A64,PlotNumber,0),MATCH(B$3,PlotTitles,0)))),"",OR(AND(INDEX(PlotData,MATCH($A64,PlotNumber,0),MATCH("Tenure",PlotTitles,0))="Open market housing",INDEX(PlotData,MATCH($A64,PlotNumber,0),MATCH("Tenure detail",PlotTitles,0))="Private rented sector"),INDEX(PlotData,MATCH($A64,PlotNumber,0),MATCH("Tenure",PlotTitles,0))="Affordable rent"),"",INDEX(PlotData,MATCH($A64,PlotNumber,0),MATCH(S$3,PlotTitles,0))&lt;10000, $AB$23,TRUE,"")</f>
        <v/>
      </c>
      <c r="U64" s="104" t="str" cm="1">
        <f t="array" ref="U64">_xlfn.IFS(AND(A64&gt;NumberOfPlots,ISBLANK(INDEX(PlotData,MATCH($A64,PlotNumber,0),MATCH(B$3,PlotTitles,0)))),"",NOT(OR(AND(INDEX(PlotData,MATCH($A64,PlotNumber,0),MATCH("Tenure",PlotTitles,0))="Open market housing",INDEX(PlotData,MATCH($A64,PlotNumber,0),MATCH("Tenure detail",PlotTitles,0))="Private rented sector"),INDEX(PlotData,MATCH($A64,PlotNumber,0),MATCH("Tenure",PlotTitles,0))="Affordable rent")),"",NOT(INDEX(PlotData,MATCH($A64,PlotNumber,0),MATCH(S$3,PlotTitles,0))=0), $AB$24,TRUE,"")</f>
        <v/>
      </c>
      <c r="V64" s="114" t="str" cm="1">
        <f t="array" aca="1" ref="V64" ca="1">_xlfn.IFS(ISBLANK(NumberOfPlots),"Enter the number of homes on the 1_SetUp sheet",AND(A64&gt;NumberOfPlots,ISBLANK(INDEX(PlotData,MATCH($A64,PlotNumber,0),MATCH(B$3,PlotTitles,0)))),"No error",NOT(B64=""),B64,NOT(C64=""),C64,NOT(D64=""),D64,NOT(E64=""),E64,NOT(F64=""),F64,NOT(G64=""),G64,NOT(H64=""),H64,NOT(I64=""),I64,NOT(J64=""),J64,NOT(K64=""),K64,NOT(L64=""),L64,NOT(M64=""),M64,NOT(N64=""),N64,NOT(O64=""),O64,NOT(P64=""),P64,NOT(Q64=""),Q64,NOT(R64=""),R64,NOT(S64=""),S64,NOT(T64=""),T64,NOT(U64=""),U64,TRUE,"No error")</f>
        <v>Enter the number of homes on the 1_SetUp sheet</v>
      </c>
      <c r="W64" s="114" t="str">
        <f t="shared" ca="1" si="2"/>
        <v xml:space="preserve">The Borrower has not addressed the following error messages for Home ID 60: </v>
      </c>
    </row>
    <row r="65" spans="1:23">
      <c r="A65" s="123">
        <v>61</v>
      </c>
      <c r="B65" s="104" t="str" cm="1">
        <f t="array" ref="B65">_xlfn.IFS(AND(A65&gt;NumberOfPlots,ISBLANK(INDEX(PlotData,MATCH($A65,PlotNumber,0),MATCH(B$3,PlotTitles,0)))),"",ISNUMBER(INDEX(PlotData,MATCH($A65,PlotNumber,0),MATCH(B$3,PlotTitles,0)))=FALSE, $AB$5,TRUE,"")</f>
        <v/>
      </c>
      <c r="C65" s="104" t="str" cm="1">
        <f t="array" ref="C65">_xlfn.IFS(AND(A65&gt;NumberOfPlots,ISBLANK(INDEX(PlotData,MATCH($A65,PlotNumber,0),MATCH(B$3,PlotTitles,0)))),"",ISBLANK(INDEX(PlotData,MATCH($A65,PlotNumber,0),MATCH(C$3,PlotTitles,0))),$AB$6,TRUE,"")</f>
        <v/>
      </c>
      <c r="D65" s="104" t="str" cm="1">
        <f t="array" ref="D65">_xlfn.IFS(AND(A65&gt;NumberOfPlots,ISBLANK(INDEX(PlotData,MATCH($A65,PlotNumber,0),MATCH(B$3,PlotTitles,0)))),"",ISBLANK(INDEX(PlotData,MATCH($A65,PlotNumber,0),MATCH(D$3,PlotTitles,0))),$AB$7,TRUE,"")</f>
        <v/>
      </c>
      <c r="E65" s="104" t="str" cm="1">
        <f t="array" ref="E65">_xlfn.IFS(AND(A65&gt;NumberOfPlots,ISBLANK(INDEX(PlotData,MATCH($A65,PlotNumber,0),MATCH(B$3,PlotTitles,0)))),"",ISBLANK(INDEX(PlotData,MATCH($A65,PlotNumber,0),MATCH(E$3,PlotTitles,0))),$AB$8,TRUE,"")</f>
        <v/>
      </c>
      <c r="F65" s="104" t="str" cm="1">
        <f t="array" ref="F65">_xlfn.IFS(AND(A65&gt;NumberOfPlots,ISBLANK(INDEX(PlotData,MATCH($A65,PlotNumber,0),MATCH(B$3,PlotTitles,0)))),"",ISBLANK(INDEX(PlotData,MATCH($A65,PlotNumber,0),MATCH(F$3,PlotTitles,0))),$AB$9,TRUE,"")</f>
        <v/>
      </c>
      <c r="G65" s="104" t="str" cm="1">
        <f t="array" ref="G65">_xlfn.IFS(AND(A65&gt;NumberOfPlots,ISBLANK(INDEX(PlotData,MATCH($A65,PlotNumber,0),MATCH(B$3,PlotTitles,0)))),"",ISBLANK(INDEX(PlotData,MATCH($A65,PlotNumber,0),MATCH(G$3,PlotTitles,0))),$AB$10,TRUE,"")</f>
        <v/>
      </c>
      <c r="H65" s="104" t="str" cm="1">
        <f t="array" ref="H65">_xlfn.IFS(AND(A65&gt;NumberOfPlots,ISBLANK(INDEX(PlotData,MATCH($A65,PlotNumber,0),MATCH(B$3,PlotTitles,0)))),"",AND(ISBLANK(INDEX(PlotData,MATCH($A65,PlotNumber,0),MATCH(H$3,PlotTitles,0)))=FALSE,INDEX(PlotData,MATCH($A65,PlotNumber,0),MATCH(H$3,PlotTitles,0))&lt;500), $AB$11,TRUE,"")</f>
        <v/>
      </c>
      <c r="I65" s="104" t="str" cm="1">
        <f t="array" ref="I65">_xlfn.IFS(AND(A65&gt;NumberOfPlots,ISBLANK(INDEX(PlotData,MATCH($A65,PlotNumber,0),MATCH(B$3,PlotTitles,0)))),"",ISBLANK(INDEX(PlotData,MATCH($A65,PlotNumber,0),MATCH(I$3,PlotTitles,0))),$AB$12,TRUE,"")</f>
        <v/>
      </c>
      <c r="J65" s="104" t="str" cm="1">
        <f t="array" ref="J65">_xlfn.IFS(AND(A65&gt;NumberOfPlots,ISBLANK(INDEX(PlotData,MATCH($A65,PlotNumber,0),MATCH(B$3,PlotTitles,0)))),"",ISBLANK(INDEX(PlotData,MATCH($A65,PlotNumber,0),MATCH(J$3,PlotTitles,0))),$AB$13,TRUE,"")</f>
        <v/>
      </c>
      <c r="K65" s="182" t="str">
        <f t="shared" ca="1" si="0"/>
        <v/>
      </c>
      <c r="L65" s="104" t="str" cm="1">
        <f t="array" ref="L65">_xlfn.IFS(OR(ISBLANK(StartDateMonth),ISBLANK(StartDateYear)),"",AND(A65&gt;NumberOfPlots,ISBLANK(INDEX(PlotData,MATCH($A65,PlotNumber,0),MATCH(B$3,PlotTitles,0)))),"",ISBLANK(INDEX(PlotData,MATCH($A65,PlotNumber,0),MATCH(I$3,PlotTitles,0))),"",(DATEVALUE(INDEX(PlotData,MATCH($A65,PlotNumber,0),MATCH(I$3,PlotTitles,0))&amp;INDEX(PlotData,MATCH($A65,PlotNumber,0),MATCH(J$3,PlotTitles,0))))&lt;DATEVALUE(StartDateMonth&amp;StartDateYear),$AB$15,TRUE,"")</f>
        <v/>
      </c>
      <c r="M65" s="104" t="str" cm="1">
        <f t="array" ref="M65">_xlfn.IFS(OR(ISBLANK(StartDateMonth),ISBLANK(StartDateYear)),"",AND(A65&gt;NumberOfPlots,ISBLANK(INDEX(PlotData,MATCH($A65,PlotNumber,0),MATCH(B$3,PlotTitles,0)))),"",ISBLANK(INDEX(PlotData,MATCH($A65,PlotNumber,0),MATCH(I$3,PlotTitles,0))),"",CompletionMonth="","",(DATEVALUE(INDEX(PlotData,MATCH($A65,PlotNumber,0),MATCH(I$3,PlotTitles,0))&amp;INDEX(PlotData,MATCH($A65,PlotNumber,0),MATCH(J$3,PlotTitles,0))))&gt;(DATEVALUE(CompletionMonth&amp;CompletionYear)),$AB$16,TRUE,"")</f>
        <v/>
      </c>
      <c r="N65" s="104" t="str" cm="1">
        <f t="array" ref="N65">_xlfn.IFS(AND(A65&gt;NumberOfPlots,ISBLANK(INDEX(PlotData,MATCH($A65,PlotNumber,0),MATCH(B$3,PlotTitles,0)))),"",ISBLANK(INDEX(PlotData,MATCH($A65,PlotNumber,0),MATCH(N$3,PlotTitles,0))),$AB$17,TRUE,"")</f>
        <v/>
      </c>
      <c r="O65" s="104" t="str" cm="1">
        <f t="array" ref="O65">_xlfn.IFS(AND(A65&gt;NumberOfPlots,ISBLANK(INDEX(PlotData,MATCH($A65,PlotNumber,0),MATCH(B$3,PlotTitles,0)))),"",ISBLANK(INDEX(PlotData,MATCH($A65,PlotNumber,0),MATCH(O$3,PlotTitles,0))),$AB$18,TRUE,"")</f>
        <v/>
      </c>
      <c r="P65" s="182" t="str">
        <f t="shared" ca="1" si="1"/>
        <v/>
      </c>
      <c r="Q65" s="104" t="str" cm="1">
        <f t="array" ref="Q65">_xlfn.IFS(AND(A65&gt;NumberOfPlots,ISBLANK(INDEX(PlotData,MATCH($A65,PlotNumber,0),MATCH(B$3,PlotTitles,0)))),"",ISBLANK(INDEX(PlotData,MATCH($A65,PlotNumber,0),MATCH(N$3,PlotTitles,0))),"",(DATEVALUE(INDEX(PlotData,MATCH($A65,PlotNumber,0),MATCH(N$3,PlotTitles,0))&amp;INDEX(PlotData,MATCH($A65,PlotNumber,0),MATCH(O$3,PlotTitles,0))))&lt;(DATEVALUE(INDEX(PlotData,MATCH($A65,PlotNumber,0),MATCH(I$3,PlotTitles,0))&amp;INDEX(PlotData,MATCH($A65,PlotNumber,0),MATCH(J$3,PlotTitles,0)))),$AB$20,TRUE,"")</f>
        <v/>
      </c>
      <c r="R65" s="104" t="str" cm="1">
        <f t="array" ref="R65">_xlfn.IFS(OR(ISBLANK(StartDateMonth),ISBLANK(StartDateYear)),"",AND(A65&gt;NumberOfPlots,ISBLANK(INDEX(PlotData,MATCH($A65,PlotNumber,0),MATCH(B$3,PlotTitles,0)))),"",ISBLANK(INDEX(PlotData,MATCH($A65,PlotNumber,0),MATCH(N$3,PlotTitles,0))),"",CompletionMonth="","",(DATEVALUE(INDEX(PlotData,MATCH($A65,PlotNumber,0),MATCH(N$3,PlotTitles,0))&amp;INDEX(PlotData,MATCH($A65,PlotNumber,0),MATCH(O$3,PlotTitles,0))))&gt;(DATEVALUE(CompletionMonth&amp;CompletionYear)),$AB$21,TRUE,"")</f>
        <v/>
      </c>
      <c r="S65" s="104" t="str" cm="1">
        <f t="array" ref="S65">_xlfn.IFS(AND(A65&gt;NumberOfPlots,ISBLANK(INDEX(PlotData,MATCH($A65,PlotNumber,0),MATCH(B$3,PlotTitles,0)))),"",OR(AND(INDEX(PlotData,MATCH($A65,PlotNumber,0),MATCH("Tenure",PlotTitles,0))="Open market housing",INDEX(PlotData,MATCH($A65,PlotNumber,0),MATCH("Tenure detail",PlotTitles,0))="Private rented sector"),INDEX(PlotData,MATCH($A65,PlotNumber,0),MATCH("Tenure",PlotTitles,0))="Affordable rent"),"",ISNUMBER(INDEX(PlotData,MATCH($A65,PlotNumber,0),MATCH(S$3,PlotTitles,0)))=FALSE, $AB$22,TRUE,"")</f>
        <v/>
      </c>
      <c r="T65" s="104" t="str" cm="1">
        <f t="array" ref="T65">_xlfn.IFS(AND(A65&gt;NumberOfPlots,ISBLANK(INDEX(PlotData,MATCH($A65,PlotNumber,0),MATCH(B$3,PlotTitles,0)))),"",OR(AND(INDEX(PlotData,MATCH($A65,PlotNumber,0),MATCH("Tenure",PlotTitles,0))="Open market housing",INDEX(PlotData,MATCH($A65,PlotNumber,0),MATCH("Tenure detail",PlotTitles,0))="Private rented sector"),INDEX(PlotData,MATCH($A65,PlotNumber,0),MATCH("Tenure",PlotTitles,0))="Affordable rent"),"",INDEX(PlotData,MATCH($A65,PlotNumber,0),MATCH(S$3,PlotTitles,0))&lt;10000, $AB$23,TRUE,"")</f>
        <v/>
      </c>
      <c r="U65" s="104" t="str" cm="1">
        <f t="array" ref="U65">_xlfn.IFS(AND(A65&gt;NumberOfPlots,ISBLANK(INDEX(PlotData,MATCH($A65,PlotNumber,0),MATCH(B$3,PlotTitles,0)))),"",NOT(OR(AND(INDEX(PlotData,MATCH($A65,PlotNumber,0),MATCH("Tenure",PlotTitles,0))="Open market housing",INDEX(PlotData,MATCH($A65,PlotNumber,0),MATCH("Tenure detail",PlotTitles,0))="Private rented sector"),INDEX(PlotData,MATCH($A65,PlotNumber,0),MATCH("Tenure",PlotTitles,0))="Affordable rent")),"",NOT(INDEX(PlotData,MATCH($A65,PlotNumber,0),MATCH(S$3,PlotTitles,0))=0), $AB$24,TRUE,"")</f>
        <v/>
      </c>
      <c r="V65" s="114" t="str" cm="1">
        <f t="array" aca="1" ref="V65" ca="1">_xlfn.IFS(ISBLANK(NumberOfPlots),"Enter the number of homes on the 1_SetUp sheet",AND(A65&gt;NumberOfPlots,ISBLANK(INDEX(PlotData,MATCH($A65,PlotNumber,0),MATCH(B$3,PlotTitles,0)))),"No error",NOT(B65=""),B65,NOT(C65=""),C65,NOT(D65=""),D65,NOT(E65=""),E65,NOT(F65=""),F65,NOT(G65=""),G65,NOT(H65=""),H65,NOT(I65=""),I65,NOT(J65=""),J65,NOT(K65=""),K65,NOT(L65=""),L65,NOT(M65=""),M65,NOT(N65=""),N65,NOT(O65=""),O65,NOT(P65=""),P65,NOT(Q65=""),Q65,NOT(R65=""),R65,NOT(S65=""),S65,NOT(T65=""),T65,NOT(U65=""),U65,TRUE,"No error")</f>
        <v>Enter the number of homes on the 1_SetUp sheet</v>
      </c>
      <c r="W65" s="114" t="str">
        <f t="shared" ca="1" si="2"/>
        <v xml:space="preserve">The Borrower has not addressed the following error messages for Home ID 61: </v>
      </c>
    </row>
    <row r="66" spans="1:23">
      <c r="A66" s="123">
        <v>62</v>
      </c>
      <c r="B66" s="104" t="str" cm="1">
        <f t="array" ref="B66">_xlfn.IFS(AND(A66&gt;NumberOfPlots,ISBLANK(INDEX(PlotData,MATCH($A66,PlotNumber,0),MATCH(B$3,PlotTitles,0)))),"",ISNUMBER(INDEX(PlotData,MATCH($A66,PlotNumber,0),MATCH(B$3,PlotTitles,0)))=FALSE, $AB$5,TRUE,"")</f>
        <v/>
      </c>
      <c r="C66" s="104" t="str" cm="1">
        <f t="array" ref="C66">_xlfn.IFS(AND(A66&gt;NumberOfPlots,ISBLANK(INDEX(PlotData,MATCH($A66,PlotNumber,0),MATCH(B$3,PlotTitles,0)))),"",ISBLANK(INDEX(PlotData,MATCH($A66,PlotNumber,0),MATCH(C$3,PlotTitles,0))),$AB$6,TRUE,"")</f>
        <v/>
      </c>
      <c r="D66" s="104" t="str" cm="1">
        <f t="array" ref="D66">_xlfn.IFS(AND(A66&gt;NumberOfPlots,ISBLANK(INDEX(PlotData,MATCH($A66,PlotNumber,0),MATCH(B$3,PlotTitles,0)))),"",ISBLANK(INDEX(PlotData,MATCH($A66,PlotNumber,0),MATCH(D$3,PlotTitles,0))),$AB$7,TRUE,"")</f>
        <v/>
      </c>
      <c r="E66" s="104" t="str" cm="1">
        <f t="array" ref="E66">_xlfn.IFS(AND(A66&gt;NumberOfPlots,ISBLANK(INDEX(PlotData,MATCH($A66,PlotNumber,0),MATCH(B$3,PlotTitles,0)))),"",ISBLANK(INDEX(PlotData,MATCH($A66,PlotNumber,0),MATCH(E$3,PlotTitles,0))),$AB$8,TRUE,"")</f>
        <v/>
      </c>
      <c r="F66" s="104" t="str" cm="1">
        <f t="array" ref="F66">_xlfn.IFS(AND(A66&gt;NumberOfPlots,ISBLANK(INDEX(PlotData,MATCH($A66,PlotNumber,0),MATCH(B$3,PlotTitles,0)))),"",ISBLANK(INDEX(PlotData,MATCH($A66,PlotNumber,0),MATCH(F$3,PlotTitles,0))),$AB$9,TRUE,"")</f>
        <v/>
      </c>
      <c r="G66" s="104" t="str" cm="1">
        <f t="array" ref="G66">_xlfn.IFS(AND(A66&gt;NumberOfPlots,ISBLANK(INDEX(PlotData,MATCH($A66,PlotNumber,0),MATCH(B$3,PlotTitles,0)))),"",ISBLANK(INDEX(PlotData,MATCH($A66,PlotNumber,0),MATCH(G$3,PlotTitles,0))),$AB$10,TRUE,"")</f>
        <v/>
      </c>
      <c r="H66" s="104" t="str" cm="1">
        <f t="array" ref="H66">_xlfn.IFS(AND(A66&gt;NumberOfPlots,ISBLANK(INDEX(PlotData,MATCH($A66,PlotNumber,0),MATCH(B$3,PlotTitles,0)))),"",AND(ISBLANK(INDEX(PlotData,MATCH($A66,PlotNumber,0),MATCH(H$3,PlotTitles,0)))=FALSE,INDEX(PlotData,MATCH($A66,PlotNumber,0),MATCH(H$3,PlotTitles,0))&lt;500), $AB$11,TRUE,"")</f>
        <v/>
      </c>
      <c r="I66" s="104" t="str" cm="1">
        <f t="array" ref="I66">_xlfn.IFS(AND(A66&gt;NumberOfPlots,ISBLANK(INDEX(PlotData,MATCH($A66,PlotNumber,0),MATCH(B$3,PlotTitles,0)))),"",ISBLANK(INDEX(PlotData,MATCH($A66,PlotNumber,0),MATCH(I$3,PlotTitles,0))),$AB$12,TRUE,"")</f>
        <v/>
      </c>
      <c r="J66" s="104" t="str" cm="1">
        <f t="array" ref="J66">_xlfn.IFS(AND(A66&gt;NumberOfPlots,ISBLANK(INDEX(PlotData,MATCH($A66,PlotNumber,0),MATCH(B$3,PlotTitles,0)))),"",ISBLANK(INDEX(PlotData,MATCH($A66,PlotNumber,0),MATCH(J$3,PlotTitles,0))),$AB$13,TRUE,"")</f>
        <v/>
      </c>
      <c r="K66" s="182" t="str">
        <f t="shared" ca="1" si="0"/>
        <v/>
      </c>
      <c r="L66" s="104" t="str" cm="1">
        <f t="array" ref="L66">_xlfn.IFS(OR(ISBLANK(StartDateMonth),ISBLANK(StartDateYear)),"",AND(A66&gt;NumberOfPlots,ISBLANK(INDEX(PlotData,MATCH($A66,PlotNumber,0),MATCH(B$3,PlotTitles,0)))),"",ISBLANK(INDEX(PlotData,MATCH($A66,PlotNumber,0),MATCH(I$3,PlotTitles,0))),"",(DATEVALUE(INDEX(PlotData,MATCH($A66,PlotNumber,0),MATCH(I$3,PlotTitles,0))&amp;INDEX(PlotData,MATCH($A66,PlotNumber,0),MATCH(J$3,PlotTitles,0))))&lt;DATEVALUE(StartDateMonth&amp;StartDateYear),$AB$15,TRUE,"")</f>
        <v/>
      </c>
      <c r="M66" s="104" t="str" cm="1">
        <f t="array" ref="M66">_xlfn.IFS(OR(ISBLANK(StartDateMonth),ISBLANK(StartDateYear)),"",AND(A66&gt;NumberOfPlots,ISBLANK(INDEX(PlotData,MATCH($A66,PlotNumber,0),MATCH(B$3,PlotTitles,0)))),"",ISBLANK(INDEX(PlotData,MATCH($A66,PlotNumber,0),MATCH(I$3,PlotTitles,0))),"",CompletionMonth="","",(DATEVALUE(INDEX(PlotData,MATCH($A66,PlotNumber,0),MATCH(I$3,PlotTitles,0))&amp;INDEX(PlotData,MATCH($A66,PlotNumber,0),MATCH(J$3,PlotTitles,0))))&gt;(DATEVALUE(CompletionMonth&amp;CompletionYear)),$AB$16,TRUE,"")</f>
        <v/>
      </c>
      <c r="N66" s="104" t="str" cm="1">
        <f t="array" ref="N66">_xlfn.IFS(AND(A66&gt;NumberOfPlots,ISBLANK(INDEX(PlotData,MATCH($A66,PlotNumber,0),MATCH(B$3,PlotTitles,0)))),"",ISBLANK(INDEX(PlotData,MATCH($A66,PlotNumber,0),MATCH(N$3,PlotTitles,0))),$AB$17,TRUE,"")</f>
        <v/>
      </c>
      <c r="O66" s="104" t="str" cm="1">
        <f t="array" ref="O66">_xlfn.IFS(AND(A66&gt;NumberOfPlots,ISBLANK(INDEX(PlotData,MATCH($A66,PlotNumber,0),MATCH(B$3,PlotTitles,0)))),"",ISBLANK(INDEX(PlotData,MATCH($A66,PlotNumber,0),MATCH(O$3,PlotTitles,0))),$AB$18,TRUE,"")</f>
        <v/>
      </c>
      <c r="P66" s="182" t="str">
        <f t="shared" ca="1" si="1"/>
        <v/>
      </c>
      <c r="Q66" s="104" t="str" cm="1">
        <f t="array" ref="Q66">_xlfn.IFS(AND(A66&gt;NumberOfPlots,ISBLANK(INDEX(PlotData,MATCH($A66,PlotNumber,0),MATCH(B$3,PlotTitles,0)))),"",ISBLANK(INDEX(PlotData,MATCH($A66,PlotNumber,0),MATCH(N$3,PlotTitles,0))),"",(DATEVALUE(INDEX(PlotData,MATCH($A66,PlotNumber,0),MATCH(N$3,PlotTitles,0))&amp;INDEX(PlotData,MATCH($A66,PlotNumber,0),MATCH(O$3,PlotTitles,0))))&lt;(DATEVALUE(INDEX(PlotData,MATCH($A66,PlotNumber,0),MATCH(I$3,PlotTitles,0))&amp;INDEX(PlotData,MATCH($A66,PlotNumber,0),MATCH(J$3,PlotTitles,0)))),$AB$20,TRUE,"")</f>
        <v/>
      </c>
      <c r="R66" s="104" t="str" cm="1">
        <f t="array" ref="R66">_xlfn.IFS(OR(ISBLANK(StartDateMonth),ISBLANK(StartDateYear)),"",AND(A66&gt;NumberOfPlots,ISBLANK(INDEX(PlotData,MATCH($A66,PlotNumber,0),MATCH(B$3,PlotTitles,0)))),"",ISBLANK(INDEX(PlotData,MATCH($A66,PlotNumber,0),MATCH(N$3,PlotTitles,0))),"",CompletionMonth="","",(DATEVALUE(INDEX(PlotData,MATCH($A66,PlotNumber,0),MATCH(N$3,PlotTitles,0))&amp;INDEX(PlotData,MATCH($A66,PlotNumber,0),MATCH(O$3,PlotTitles,0))))&gt;(DATEVALUE(CompletionMonth&amp;CompletionYear)),$AB$21,TRUE,"")</f>
        <v/>
      </c>
      <c r="S66" s="104" t="str" cm="1">
        <f t="array" ref="S66">_xlfn.IFS(AND(A66&gt;NumberOfPlots,ISBLANK(INDEX(PlotData,MATCH($A66,PlotNumber,0),MATCH(B$3,PlotTitles,0)))),"",OR(AND(INDEX(PlotData,MATCH($A66,PlotNumber,0),MATCH("Tenure",PlotTitles,0))="Open market housing",INDEX(PlotData,MATCH($A66,PlotNumber,0),MATCH("Tenure detail",PlotTitles,0))="Private rented sector"),INDEX(PlotData,MATCH($A66,PlotNumber,0),MATCH("Tenure",PlotTitles,0))="Affordable rent"),"",ISNUMBER(INDEX(PlotData,MATCH($A66,PlotNumber,0),MATCH(S$3,PlotTitles,0)))=FALSE, $AB$22,TRUE,"")</f>
        <v/>
      </c>
      <c r="T66" s="104" t="str" cm="1">
        <f t="array" ref="T66">_xlfn.IFS(AND(A66&gt;NumberOfPlots,ISBLANK(INDEX(PlotData,MATCH($A66,PlotNumber,0),MATCH(B$3,PlotTitles,0)))),"",OR(AND(INDEX(PlotData,MATCH($A66,PlotNumber,0),MATCH("Tenure",PlotTitles,0))="Open market housing",INDEX(PlotData,MATCH($A66,PlotNumber,0),MATCH("Tenure detail",PlotTitles,0))="Private rented sector"),INDEX(PlotData,MATCH($A66,PlotNumber,0),MATCH("Tenure",PlotTitles,0))="Affordable rent"),"",INDEX(PlotData,MATCH($A66,PlotNumber,0),MATCH(S$3,PlotTitles,0))&lt;10000, $AB$23,TRUE,"")</f>
        <v/>
      </c>
      <c r="U66" s="104" t="str" cm="1">
        <f t="array" ref="U66">_xlfn.IFS(AND(A66&gt;NumberOfPlots,ISBLANK(INDEX(PlotData,MATCH($A66,PlotNumber,0),MATCH(B$3,PlotTitles,0)))),"",NOT(OR(AND(INDEX(PlotData,MATCH($A66,PlotNumber,0),MATCH("Tenure",PlotTitles,0))="Open market housing",INDEX(PlotData,MATCH($A66,PlotNumber,0),MATCH("Tenure detail",PlotTitles,0))="Private rented sector"),INDEX(PlotData,MATCH($A66,PlotNumber,0),MATCH("Tenure",PlotTitles,0))="Affordable rent")),"",NOT(INDEX(PlotData,MATCH($A66,PlotNumber,0),MATCH(S$3,PlotTitles,0))=0), $AB$24,TRUE,"")</f>
        <v/>
      </c>
      <c r="V66" s="114" t="str" cm="1">
        <f t="array" aca="1" ref="V66" ca="1">_xlfn.IFS(ISBLANK(NumberOfPlots),"Enter the number of homes on the 1_SetUp sheet",AND(A66&gt;NumberOfPlots,ISBLANK(INDEX(PlotData,MATCH($A66,PlotNumber,0),MATCH(B$3,PlotTitles,0)))),"No error",NOT(B66=""),B66,NOT(C66=""),C66,NOT(D66=""),D66,NOT(E66=""),E66,NOT(F66=""),F66,NOT(G66=""),G66,NOT(H66=""),H66,NOT(I66=""),I66,NOT(J66=""),J66,NOT(K66=""),K66,NOT(L66=""),L66,NOT(M66=""),M66,NOT(N66=""),N66,NOT(O66=""),O66,NOT(P66=""),P66,NOT(Q66=""),Q66,NOT(R66=""),R66,NOT(S66=""),S66,NOT(T66=""),T66,NOT(U66=""),U66,TRUE,"No error")</f>
        <v>Enter the number of homes on the 1_SetUp sheet</v>
      </c>
      <c r="W66" s="114" t="str">
        <f t="shared" ca="1" si="2"/>
        <v xml:space="preserve">The Borrower has not addressed the following error messages for Home ID 62: </v>
      </c>
    </row>
    <row r="67" spans="1:23">
      <c r="A67" s="123">
        <v>63</v>
      </c>
      <c r="B67" s="104" t="str" cm="1">
        <f t="array" ref="B67">_xlfn.IFS(AND(A67&gt;NumberOfPlots,ISBLANK(INDEX(PlotData,MATCH($A67,PlotNumber,0),MATCH(B$3,PlotTitles,0)))),"",ISNUMBER(INDEX(PlotData,MATCH($A67,PlotNumber,0),MATCH(B$3,PlotTitles,0)))=FALSE, $AB$5,TRUE,"")</f>
        <v/>
      </c>
      <c r="C67" s="104" t="str" cm="1">
        <f t="array" ref="C67">_xlfn.IFS(AND(A67&gt;NumberOfPlots,ISBLANK(INDEX(PlotData,MATCH($A67,PlotNumber,0),MATCH(B$3,PlotTitles,0)))),"",ISBLANK(INDEX(PlotData,MATCH($A67,PlotNumber,0),MATCH(C$3,PlotTitles,0))),$AB$6,TRUE,"")</f>
        <v/>
      </c>
      <c r="D67" s="104" t="str" cm="1">
        <f t="array" ref="D67">_xlfn.IFS(AND(A67&gt;NumberOfPlots,ISBLANK(INDEX(PlotData,MATCH($A67,PlotNumber,0),MATCH(B$3,PlotTitles,0)))),"",ISBLANK(INDEX(PlotData,MATCH($A67,PlotNumber,0),MATCH(D$3,PlotTitles,0))),$AB$7,TRUE,"")</f>
        <v/>
      </c>
      <c r="E67" s="104" t="str" cm="1">
        <f t="array" ref="E67">_xlfn.IFS(AND(A67&gt;NumberOfPlots,ISBLANK(INDEX(PlotData,MATCH($A67,PlotNumber,0),MATCH(B$3,PlotTitles,0)))),"",ISBLANK(INDEX(PlotData,MATCH($A67,PlotNumber,0),MATCH(E$3,PlotTitles,0))),$AB$8,TRUE,"")</f>
        <v/>
      </c>
      <c r="F67" s="104" t="str" cm="1">
        <f t="array" ref="F67">_xlfn.IFS(AND(A67&gt;NumberOfPlots,ISBLANK(INDEX(PlotData,MATCH($A67,PlotNumber,0),MATCH(B$3,PlotTitles,0)))),"",ISBLANK(INDEX(PlotData,MATCH($A67,PlotNumber,0),MATCH(F$3,PlotTitles,0))),$AB$9,TRUE,"")</f>
        <v/>
      </c>
      <c r="G67" s="104" t="str" cm="1">
        <f t="array" ref="G67">_xlfn.IFS(AND(A67&gt;NumberOfPlots,ISBLANK(INDEX(PlotData,MATCH($A67,PlotNumber,0),MATCH(B$3,PlotTitles,0)))),"",ISBLANK(INDEX(PlotData,MATCH($A67,PlotNumber,0),MATCH(G$3,PlotTitles,0))),$AB$10,TRUE,"")</f>
        <v/>
      </c>
      <c r="H67" s="104" t="str" cm="1">
        <f t="array" ref="H67">_xlfn.IFS(AND(A67&gt;NumberOfPlots,ISBLANK(INDEX(PlotData,MATCH($A67,PlotNumber,0),MATCH(B$3,PlotTitles,0)))),"",AND(ISBLANK(INDEX(PlotData,MATCH($A67,PlotNumber,0),MATCH(H$3,PlotTitles,0)))=FALSE,INDEX(PlotData,MATCH($A67,PlotNumber,0),MATCH(H$3,PlotTitles,0))&lt;500), $AB$11,TRUE,"")</f>
        <v/>
      </c>
      <c r="I67" s="104" t="str" cm="1">
        <f t="array" ref="I67">_xlfn.IFS(AND(A67&gt;NumberOfPlots,ISBLANK(INDEX(PlotData,MATCH($A67,PlotNumber,0),MATCH(B$3,PlotTitles,0)))),"",ISBLANK(INDEX(PlotData,MATCH($A67,PlotNumber,0),MATCH(I$3,PlotTitles,0))),$AB$12,TRUE,"")</f>
        <v/>
      </c>
      <c r="J67" s="104" t="str" cm="1">
        <f t="array" ref="J67">_xlfn.IFS(AND(A67&gt;NumberOfPlots,ISBLANK(INDEX(PlotData,MATCH($A67,PlotNumber,0),MATCH(B$3,PlotTitles,0)))),"",ISBLANK(INDEX(PlotData,MATCH($A67,PlotNumber,0),MATCH(J$3,PlotTitles,0))),$AB$13,TRUE,"")</f>
        <v/>
      </c>
      <c r="K67" s="182" t="str">
        <f t="shared" ca="1" si="0"/>
        <v/>
      </c>
      <c r="L67" s="104" t="str" cm="1">
        <f t="array" ref="L67">_xlfn.IFS(OR(ISBLANK(StartDateMonth),ISBLANK(StartDateYear)),"",AND(A67&gt;NumberOfPlots,ISBLANK(INDEX(PlotData,MATCH($A67,PlotNumber,0),MATCH(B$3,PlotTitles,0)))),"",ISBLANK(INDEX(PlotData,MATCH($A67,PlotNumber,0),MATCH(I$3,PlotTitles,0))),"",(DATEVALUE(INDEX(PlotData,MATCH($A67,PlotNumber,0),MATCH(I$3,PlotTitles,0))&amp;INDEX(PlotData,MATCH($A67,PlotNumber,0),MATCH(J$3,PlotTitles,0))))&lt;DATEVALUE(StartDateMonth&amp;StartDateYear),$AB$15,TRUE,"")</f>
        <v/>
      </c>
      <c r="M67" s="104" t="str" cm="1">
        <f t="array" ref="M67">_xlfn.IFS(OR(ISBLANK(StartDateMonth),ISBLANK(StartDateYear)),"",AND(A67&gt;NumberOfPlots,ISBLANK(INDEX(PlotData,MATCH($A67,PlotNumber,0),MATCH(B$3,PlotTitles,0)))),"",ISBLANK(INDEX(PlotData,MATCH($A67,PlotNumber,0),MATCH(I$3,PlotTitles,0))),"",CompletionMonth="","",(DATEVALUE(INDEX(PlotData,MATCH($A67,PlotNumber,0),MATCH(I$3,PlotTitles,0))&amp;INDEX(PlotData,MATCH($A67,PlotNumber,0),MATCH(J$3,PlotTitles,0))))&gt;(DATEVALUE(CompletionMonth&amp;CompletionYear)),$AB$16,TRUE,"")</f>
        <v/>
      </c>
      <c r="N67" s="104" t="str" cm="1">
        <f t="array" ref="N67">_xlfn.IFS(AND(A67&gt;NumberOfPlots,ISBLANK(INDEX(PlotData,MATCH($A67,PlotNumber,0),MATCH(B$3,PlotTitles,0)))),"",ISBLANK(INDEX(PlotData,MATCH($A67,PlotNumber,0),MATCH(N$3,PlotTitles,0))),$AB$17,TRUE,"")</f>
        <v/>
      </c>
      <c r="O67" s="104" t="str" cm="1">
        <f t="array" ref="O67">_xlfn.IFS(AND(A67&gt;NumberOfPlots,ISBLANK(INDEX(PlotData,MATCH($A67,PlotNumber,0),MATCH(B$3,PlotTitles,0)))),"",ISBLANK(INDEX(PlotData,MATCH($A67,PlotNumber,0),MATCH(O$3,PlotTitles,0))),$AB$18,TRUE,"")</f>
        <v/>
      </c>
      <c r="P67" s="182" t="str">
        <f t="shared" ca="1" si="1"/>
        <v/>
      </c>
      <c r="Q67" s="104" t="str" cm="1">
        <f t="array" ref="Q67">_xlfn.IFS(AND(A67&gt;NumberOfPlots,ISBLANK(INDEX(PlotData,MATCH($A67,PlotNumber,0),MATCH(B$3,PlotTitles,0)))),"",ISBLANK(INDEX(PlotData,MATCH($A67,PlotNumber,0),MATCH(N$3,PlotTitles,0))),"",(DATEVALUE(INDEX(PlotData,MATCH($A67,PlotNumber,0),MATCH(N$3,PlotTitles,0))&amp;INDEX(PlotData,MATCH($A67,PlotNumber,0),MATCH(O$3,PlotTitles,0))))&lt;(DATEVALUE(INDEX(PlotData,MATCH($A67,PlotNumber,0),MATCH(I$3,PlotTitles,0))&amp;INDEX(PlotData,MATCH($A67,PlotNumber,0),MATCH(J$3,PlotTitles,0)))),$AB$20,TRUE,"")</f>
        <v/>
      </c>
      <c r="R67" s="104" t="str" cm="1">
        <f t="array" ref="R67">_xlfn.IFS(OR(ISBLANK(StartDateMonth),ISBLANK(StartDateYear)),"",AND(A67&gt;NumberOfPlots,ISBLANK(INDEX(PlotData,MATCH($A67,PlotNumber,0),MATCH(B$3,PlotTitles,0)))),"",ISBLANK(INDEX(PlotData,MATCH($A67,PlotNumber,0),MATCH(N$3,PlotTitles,0))),"",CompletionMonth="","",(DATEVALUE(INDEX(PlotData,MATCH($A67,PlotNumber,0),MATCH(N$3,PlotTitles,0))&amp;INDEX(PlotData,MATCH($A67,PlotNumber,0),MATCH(O$3,PlotTitles,0))))&gt;(DATEVALUE(CompletionMonth&amp;CompletionYear)),$AB$21,TRUE,"")</f>
        <v/>
      </c>
      <c r="S67" s="104" t="str" cm="1">
        <f t="array" ref="S67">_xlfn.IFS(AND(A67&gt;NumberOfPlots,ISBLANK(INDEX(PlotData,MATCH($A67,PlotNumber,0),MATCH(B$3,PlotTitles,0)))),"",OR(AND(INDEX(PlotData,MATCH($A67,PlotNumber,0),MATCH("Tenure",PlotTitles,0))="Open market housing",INDEX(PlotData,MATCH($A67,PlotNumber,0),MATCH("Tenure detail",PlotTitles,0))="Private rented sector"),INDEX(PlotData,MATCH($A67,PlotNumber,0),MATCH("Tenure",PlotTitles,0))="Affordable rent"),"",ISNUMBER(INDEX(PlotData,MATCH($A67,PlotNumber,0),MATCH(S$3,PlotTitles,0)))=FALSE, $AB$22,TRUE,"")</f>
        <v/>
      </c>
      <c r="T67" s="104" t="str" cm="1">
        <f t="array" ref="T67">_xlfn.IFS(AND(A67&gt;NumberOfPlots,ISBLANK(INDEX(PlotData,MATCH($A67,PlotNumber,0),MATCH(B$3,PlotTitles,0)))),"",OR(AND(INDEX(PlotData,MATCH($A67,PlotNumber,0),MATCH("Tenure",PlotTitles,0))="Open market housing",INDEX(PlotData,MATCH($A67,PlotNumber,0),MATCH("Tenure detail",PlotTitles,0))="Private rented sector"),INDEX(PlotData,MATCH($A67,PlotNumber,0),MATCH("Tenure",PlotTitles,0))="Affordable rent"),"",INDEX(PlotData,MATCH($A67,PlotNumber,0),MATCH(S$3,PlotTitles,0))&lt;10000, $AB$23,TRUE,"")</f>
        <v/>
      </c>
      <c r="U67" s="104" t="str" cm="1">
        <f t="array" ref="U67">_xlfn.IFS(AND(A67&gt;NumberOfPlots,ISBLANK(INDEX(PlotData,MATCH($A67,PlotNumber,0),MATCH(B$3,PlotTitles,0)))),"",NOT(OR(AND(INDEX(PlotData,MATCH($A67,PlotNumber,0),MATCH("Tenure",PlotTitles,0))="Open market housing",INDEX(PlotData,MATCH($A67,PlotNumber,0),MATCH("Tenure detail",PlotTitles,0))="Private rented sector"),INDEX(PlotData,MATCH($A67,PlotNumber,0),MATCH("Tenure",PlotTitles,0))="Affordable rent")),"",NOT(INDEX(PlotData,MATCH($A67,PlotNumber,0),MATCH(S$3,PlotTitles,0))=0), $AB$24,TRUE,"")</f>
        <v/>
      </c>
      <c r="V67" s="114" t="str" cm="1">
        <f t="array" aca="1" ref="V67" ca="1">_xlfn.IFS(ISBLANK(NumberOfPlots),"Enter the number of homes on the 1_SetUp sheet",AND(A67&gt;NumberOfPlots,ISBLANK(INDEX(PlotData,MATCH($A67,PlotNumber,0),MATCH(B$3,PlotTitles,0)))),"No error",NOT(B67=""),B67,NOT(C67=""),C67,NOT(D67=""),D67,NOT(E67=""),E67,NOT(F67=""),F67,NOT(G67=""),G67,NOT(H67=""),H67,NOT(I67=""),I67,NOT(J67=""),J67,NOT(K67=""),K67,NOT(L67=""),L67,NOT(M67=""),M67,NOT(N67=""),N67,NOT(O67=""),O67,NOT(P67=""),P67,NOT(Q67=""),Q67,NOT(R67=""),R67,NOT(S67=""),S67,NOT(T67=""),T67,NOT(U67=""),U67,TRUE,"No error")</f>
        <v>Enter the number of homes on the 1_SetUp sheet</v>
      </c>
      <c r="W67" s="114" t="str">
        <f t="shared" ca="1" si="2"/>
        <v xml:space="preserve">The Borrower has not addressed the following error messages for Home ID 63: </v>
      </c>
    </row>
    <row r="68" spans="1:23">
      <c r="A68" s="123">
        <v>64</v>
      </c>
      <c r="B68" s="104" t="str" cm="1">
        <f t="array" ref="B68">_xlfn.IFS(AND(A68&gt;NumberOfPlots,ISBLANK(INDEX(PlotData,MATCH($A68,PlotNumber,0),MATCH(B$3,PlotTitles,0)))),"",ISNUMBER(INDEX(PlotData,MATCH($A68,PlotNumber,0),MATCH(B$3,PlotTitles,0)))=FALSE, $AB$5,TRUE,"")</f>
        <v/>
      </c>
      <c r="C68" s="104" t="str" cm="1">
        <f t="array" ref="C68">_xlfn.IFS(AND(A68&gt;NumberOfPlots,ISBLANK(INDEX(PlotData,MATCH($A68,PlotNumber,0),MATCH(B$3,PlotTitles,0)))),"",ISBLANK(INDEX(PlotData,MATCH($A68,PlotNumber,0),MATCH(C$3,PlotTitles,0))),$AB$6,TRUE,"")</f>
        <v/>
      </c>
      <c r="D68" s="104" t="str" cm="1">
        <f t="array" ref="D68">_xlfn.IFS(AND(A68&gt;NumberOfPlots,ISBLANK(INDEX(PlotData,MATCH($A68,PlotNumber,0),MATCH(B$3,PlotTitles,0)))),"",ISBLANK(INDEX(PlotData,MATCH($A68,PlotNumber,0),MATCH(D$3,PlotTitles,0))),$AB$7,TRUE,"")</f>
        <v/>
      </c>
      <c r="E68" s="104" t="str" cm="1">
        <f t="array" ref="E68">_xlfn.IFS(AND(A68&gt;NumberOfPlots,ISBLANK(INDEX(PlotData,MATCH($A68,PlotNumber,0),MATCH(B$3,PlotTitles,0)))),"",ISBLANK(INDEX(PlotData,MATCH($A68,PlotNumber,0),MATCH(E$3,PlotTitles,0))),$AB$8,TRUE,"")</f>
        <v/>
      </c>
      <c r="F68" s="104" t="str" cm="1">
        <f t="array" ref="F68">_xlfn.IFS(AND(A68&gt;NumberOfPlots,ISBLANK(INDEX(PlotData,MATCH($A68,PlotNumber,0),MATCH(B$3,PlotTitles,0)))),"",ISBLANK(INDEX(PlotData,MATCH($A68,PlotNumber,0),MATCH(F$3,PlotTitles,0))),$AB$9,TRUE,"")</f>
        <v/>
      </c>
      <c r="G68" s="104" t="str" cm="1">
        <f t="array" ref="G68">_xlfn.IFS(AND(A68&gt;NumberOfPlots,ISBLANK(INDEX(PlotData,MATCH($A68,PlotNumber,0),MATCH(B$3,PlotTitles,0)))),"",ISBLANK(INDEX(PlotData,MATCH($A68,PlotNumber,0),MATCH(G$3,PlotTitles,0))),$AB$10,TRUE,"")</f>
        <v/>
      </c>
      <c r="H68" s="104" t="str" cm="1">
        <f t="array" ref="H68">_xlfn.IFS(AND(A68&gt;NumberOfPlots,ISBLANK(INDEX(PlotData,MATCH($A68,PlotNumber,0),MATCH(B$3,PlotTitles,0)))),"",AND(ISBLANK(INDEX(PlotData,MATCH($A68,PlotNumber,0),MATCH(H$3,PlotTitles,0)))=FALSE,INDEX(PlotData,MATCH($A68,PlotNumber,0),MATCH(H$3,PlotTitles,0))&lt;500), $AB$11,TRUE,"")</f>
        <v/>
      </c>
      <c r="I68" s="104" t="str" cm="1">
        <f t="array" ref="I68">_xlfn.IFS(AND(A68&gt;NumberOfPlots,ISBLANK(INDEX(PlotData,MATCH($A68,PlotNumber,0),MATCH(B$3,PlotTitles,0)))),"",ISBLANK(INDEX(PlotData,MATCH($A68,PlotNumber,0),MATCH(I$3,PlotTitles,0))),$AB$12,TRUE,"")</f>
        <v/>
      </c>
      <c r="J68" s="104" t="str" cm="1">
        <f t="array" ref="J68">_xlfn.IFS(AND(A68&gt;NumberOfPlots,ISBLANK(INDEX(PlotData,MATCH($A68,PlotNumber,0),MATCH(B$3,PlotTitles,0)))),"",ISBLANK(INDEX(PlotData,MATCH($A68,PlotNumber,0),MATCH(J$3,PlotTitles,0))),$AB$13,TRUE,"")</f>
        <v/>
      </c>
      <c r="K68" s="182" t="str">
        <f t="shared" ca="1" si="0"/>
        <v/>
      </c>
      <c r="L68" s="104" t="str" cm="1">
        <f t="array" ref="L68">_xlfn.IFS(OR(ISBLANK(StartDateMonth),ISBLANK(StartDateYear)),"",AND(A68&gt;NumberOfPlots,ISBLANK(INDEX(PlotData,MATCH($A68,PlotNumber,0),MATCH(B$3,PlotTitles,0)))),"",ISBLANK(INDEX(PlotData,MATCH($A68,PlotNumber,0),MATCH(I$3,PlotTitles,0))),"",(DATEVALUE(INDEX(PlotData,MATCH($A68,PlotNumber,0),MATCH(I$3,PlotTitles,0))&amp;INDEX(PlotData,MATCH($A68,PlotNumber,0),MATCH(J$3,PlotTitles,0))))&lt;DATEVALUE(StartDateMonth&amp;StartDateYear),$AB$15,TRUE,"")</f>
        <v/>
      </c>
      <c r="M68" s="104" t="str" cm="1">
        <f t="array" ref="M68">_xlfn.IFS(OR(ISBLANK(StartDateMonth),ISBLANK(StartDateYear)),"",AND(A68&gt;NumberOfPlots,ISBLANK(INDEX(PlotData,MATCH($A68,PlotNumber,0),MATCH(B$3,PlotTitles,0)))),"",ISBLANK(INDEX(PlotData,MATCH($A68,PlotNumber,0),MATCH(I$3,PlotTitles,0))),"",CompletionMonth="","",(DATEVALUE(INDEX(PlotData,MATCH($A68,PlotNumber,0),MATCH(I$3,PlotTitles,0))&amp;INDEX(PlotData,MATCH($A68,PlotNumber,0),MATCH(J$3,PlotTitles,0))))&gt;(DATEVALUE(CompletionMonth&amp;CompletionYear)),$AB$16,TRUE,"")</f>
        <v/>
      </c>
      <c r="N68" s="104" t="str" cm="1">
        <f t="array" ref="N68">_xlfn.IFS(AND(A68&gt;NumberOfPlots,ISBLANK(INDEX(PlotData,MATCH($A68,PlotNumber,0),MATCH(B$3,PlotTitles,0)))),"",ISBLANK(INDEX(PlotData,MATCH($A68,PlotNumber,0),MATCH(N$3,PlotTitles,0))),$AB$17,TRUE,"")</f>
        <v/>
      </c>
      <c r="O68" s="104" t="str" cm="1">
        <f t="array" ref="O68">_xlfn.IFS(AND(A68&gt;NumberOfPlots,ISBLANK(INDEX(PlotData,MATCH($A68,PlotNumber,0),MATCH(B$3,PlotTitles,0)))),"",ISBLANK(INDEX(PlotData,MATCH($A68,PlotNumber,0),MATCH(O$3,PlotTitles,0))),$AB$18,TRUE,"")</f>
        <v/>
      </c>
      <c r="P68" s="182" t="str">
        <f t="shared" ca="1" si="1"/>
        <v/>
      </c>
      <c r="Q68" s="104" t="str" cm="1">
        <f t="array" ref="Q68">_xlfn.IFS(AND(A68&gt;NumberOfPlots,ISBLANK(INDEX(PlotData,MATCH($A68,PlotNumber,0),MATCH(B$3,PlotTitles,0)))),"",ISBLANK(INDEX(PlotData,MATCH($A68,PlotNumber,0),MATCH(N$3,PlotTitles,0))),"",(DATEVALUE(INDEX(PlotData,MATCH($A68,PlotNumber,0),MATCH(N$3,PlotTitles,0))&amp;INDEX(PlotData,MATCH($A68,PlotNumber,0),MATCH(O$3,PlotTitles,0))))&lt;(DATEVALUE(INDEX(PlotData,MATCH($A68,PlotNumber,0),MATCH(I$3,PlotTitles,0))&amp;INDEX(PlotData,MATCH($A68,PlotNumber,0),MATCH(J$3,PlotTitles,0)))),$AB$20,TRUE,"")</f>
        <v/>
      </c>
      <c r="R68" s="104" t="str" cm="1">
        <f t="array" ref="R68">_xlfn.IFS(OR(ISBLANK(StartDateMonth),ISBLANK(StartDateYear)),"",AND(A68&gt;NumberOfPlots,ISBLANK(INDEX(PlotData,MATCH($A68,PlotNumber,0),MATCH(B$3,PlotTitles,0)))),"",ISBLANK(INDEX(PlotData,MATCH($A68,PlotNumber,0),MATCH(N$3,PlotTitles,0))),"",CompletionMonth="","",(DATEVALUE(INDEX(PlotData,MATCH($A68,PlotNumber,0),MATCH(N$3,PlotTitles,0))&amp;INDEX(PlotData,MATCH($A68,PlotNumber,0),MATCH(O$3,PlotTitles,0))))&gt;(DATEVALUE(CompletionMonth&amp;CompletionYear)),$AB$21,TRUE,"")</f>
        <v/>
      </c>
      <c r="S68" s="104" t="str" cm="1">
        <f t="array" ref="S68">_xlfn.IFS(AND(A68&gt;NumberOfPlots,ISBLANK(INDEX(PlotData,MATCH($A68,PlotNumber,0),MATCH(B$3,PlotTitles,0)))),"",OR(AND(INDEX(PlotData,MATCH($A68,PlotNumber,0),MATCH("Tenure",PlotTitles,0))="Open market housing",INDEX(PlotData,MATCH($A68,PlotNumber,0),MATCH("Tenure detail",PlotTitles,0))="Private rented sector"),INDEX(PlotData,MATCH($A68,PlotNumber,0),MATCH("Tenure",PlotTitles,0))="Affordable rent"),"",ISNUMBER(INDEX(PlotData,MATCH($A68,PlotNumber,0),MATCH(S$3,PlotTitles,0)))=FALSE, $AB$22,TRUE,"")</f>
        <v/>
      </c>
      <c r="T68" s="104" t="str" cm="1">
        <f t="array" ref="T68">_xlfn.IFS(AND(A68&gt;NumberOfPlots,ISBLANK(INDEX(PlotData,MATCH($A68,PlotNumber,0),MATCH(B$3,PlotTitles,0)))),"",OR(AND(INDEX(PlotData,MATCH($A68,PlotNumber,0),MATCH("Tenure",PlotTitles,0))="Open market housing",INDEX(PlotData,MATCH($A68,PlotNumber,0),MATCH("Tenure detail",PlotTitles,0))="Private rented sector"),INDEX(PlotData,MATCH($A68,PlotNumber,0),MATCH("Tenure",PlotTitles,0))="Affordable rent"),"",INDEX(PlotData,MATCH($A68,PlotNumber,0),MATCH(S$3,PlotTitles,0))&lt;10000, $AB$23,TRUE,"")</f>
        <v/>
      </c>
      <c r="U68" s="104" t="str" cm="1">
        <f t="array" ref="U68">_xlfn.IFS(AND(A68&gt;NumberOfPlots,ISBLANK(INDEX(PlotData,MATCH($A68,PlotNumber,0),MATCH(B$3,PlotTitles,0)))),"",NOT(OR(AND(INDEX(PlotData,MATCH($A68,PlotNumber,0),MATCH("Tenure",PlotTitles,0))="Open market housing",INDEX(PlotData,MATCH($A68,PlotNumber,0),MATCH("Tenure detail",PlotTitles,0))="Private rented sector"),INDEX(PlotData,MATCH($A68,PlotNumber,0),MATCH("Tenure",PlotTitles,0))="Affordable rent")),"",NOT(INDEX(PlotData,MATCH($A68,PlotNumber,0),MATCH(S$3,PlotTitles,0))=0), $AB$24,TRUE,"")</f>
        <v/>
      </c>
      <c r="V68" s="114" t="str" cm="1">
        <f t="array" aca="1" ref="V68" ca="1">_xlfn.IFS(ISBLANK(NumberOfPlots),"Enter the number of homes on the 1_SetUp sheet",AND(A68&gt;NumberOfPlots,ISBLANK(INDEX(PlotData,MATCH($A68,PlotNumber,0),MATCH(B$3,PlotTitles,0)))),"No error",NOT(B68=""),B68,NOT(C68=""),C68,NOT(D68=""),D68,NOT(E68=""),E68,NOT(F68=""),F68,NOT(G68=""),G68,NOT(H68=""),H68,NOT(I68=""),I68,NOT(J68=""),J68,NOT(K68=""),K68,NOT(L68=""),L68,NOT(M68=""),M68,NOT(N68=""),N68,NOT(O68=""),O68,NOT(P68=""),P68,NOT(Q68=""),Q68,NOT(R68=""),R68,NOT(S68=""),S68,NOT(T68=""),T68,NOT(U68=""),U68,TRUE,"No error")</f>
        <v>Enter the number of homes on the 1_SetUp sheet</v>
      </c>
      <c r="W68" s="114" t="str">
        <f t="shared" ca="1" si="2"/>
        <v xml:space="preserve">The Borrower has not addressed the following error messages for Home ID 64: </v>
      </c>
    </row>
    <row r="69" spans="1:23">
      <c r="A69" s="123">
        <v>65</v>
      </c>
      <c r="B69" s="104" t="str" cm="1">
        <f t="array" ref="B69">_xlfn.IFS(AND(A69&gt;NumberOfPlots,ISBLANK(INDEX(PlotData,MATCH($A69,PlotNumber,0),MATCH(B$3,PlotTitles,0)))),"",ISNUMBER(INDEX(PlotData,MATCH($A69,PlotNumber,0),MATCH(B$3,PlotTitles,0)))=FALSE, $AB$5,TRUE,"")</f>
        <v/>
      </c>
      <c r="C69" s="104" t="str" cm="1">
        <f t="array" ref="C69">_xlfn.IFS(AND(A69&gt;NumberOfPlots,ISBLANK(INDEX(PlotData,MATCH($A69,PlotNumber,0),MATCH(B$3,PlotTitles,0)))),"",ISBLANK(INDEX(PlotData,MATCH($A69,PlotNumber,0),MATCH(C$3,PlotTitles,0))),$AB$6,TRUE,"")</f>
        <v/>
      </c>
      <c r="D69" s="104" t="str" cm="1">
        <f t="array" ref="D69">_xlfn.IFS(AND(A69&gt;NumberOfPlots,ISBLANK(INDEX(PlotData,MATCH($A69,PlotNumber,0),MATCH(B$3,PlotTitles,0)))),"",ISBLANK(INDEX(PlotData,MATCH($A69,PlotNumber,0),MATCH(D$3,PlotTitles,0))),$AB$7,TRUE,"")</f>
        <v/>
      </c>
      <c r="E69" s="104" t="str" cm="1">
        <f t="array" ref="E69">_xlfn.IFS(AND(A69&gt;NumberOfPlots,ISBLANK(INDEX(PlotData,MATCH($A69,PlotNumber,0),MATCH(B$3,PlotTitles,0)))),"",ISBLANK(INDEX(PlotData,MATCH($A69,PlotNumber,0),MATCH(E$3,PlotTitles,0))),$AB$8,TRUE,"")</f>
        <v/>
      </c>
      <c r="F69" s="104" t="str" cm="1">
        <f t="array" ref="F69">_xlfn.IFS(AND(A69&gt;NumberOfPlots,ISBLANK(INDEX(PlotData,MATCH($A69,PlotNumber,0),MATCH(B$3,PlotTitles,0)))),"",ISBLANK(INDEX(PlotData,MATCH($A69,PlotNumber,0),MATCH(F$3,PlotTitles,0))),$AB$9,TRUE,"")</f>
        <v/>
      </c>
      <c r="G69" s="104" t="str" cm="1">
        <f t="array" ref="G69">_xlfn.IFS(AND(A69&gt;NumberOfPlots,ISBLANK(INDEX(PlotData,MATCH($A69,PlotNumber,0),MATCH(B$3,PlotTitles,0)))),"",ISBLANK(INDEX(PlotData,MATCH($A69,PlotNumber,0),MATCH(G$3,PlotTitles,0))),$AB$10,TRUE,"")</f>
        <v/>
      </c>
      <c r="H69" s="104" t="str" cm="1">
        <f t="array" ref="H69">_xlfn.IFS(AND(A69&gt;NumberOfPlots,ISBLANK(INDEX(PlotData,MATCH($A69,PlotNumber,0),MATCH(B$3,PlotTitles,0)))),"",AND(ISBLANK(INDEX(PlotData,MATCH($A69,PlotNumber,0),MATCH(H$3,PlotTitles,0)))=FALSE,INDEX(PlotData,MATCH($A69,PlotNumber,0),MATCH(H$3,PlotTitles,0))&lt;500), $AB$11,TRUE,"")</f>
        <v/>
      </c>
      <c r="I69" s="104" t="str" cm="1">
        <f t="array" ref="I69">_xlfn.IFS(AND(A69&gt;NumberOfPlots,ISBLANK(INDEX(PlotData,MATCH($A69,PlotNumber,0),MATCH(B$3,PlotTitles,0)))),"",ISBLANK(INDEX(PlotData,MATCH($A69,PlotNumber,0),MATCH(I$3,PlotTitles,0))),$AB$12,TRUE,"")</f>
        <v/>
      </c>
      <c r="J69" s="104" t="str" cm="1">
        <f t="array" ref="J69">_xlfn.IFS(AND(A69&gt;NumberOfPlots,ISBLANK(INDEX(PlotData,MATCH($A69,PlotNumber,0),MATCH(B$3,PlotTitles,0)))),"",ISBLANK(INDEX(PlotData,MATCH($A69,PlotNumber,0),MATCH(J$3,PlotTitles,0))),$AB$13,TRUE,"")</f>
        <v/>
      </c>
      <c r="K69" s="182" t="str">
        <f t="shared" ref="K69:K132" ca="1" si="3">IF(AND(A69&gt;NumberOfPlots,ISBLANK(INDEX(PlotData,MATCH($A69,PlotNumber,0),MATCH(B$3,PlotTitles,0)))),"",IF(ISBLANK(INDEX(PlotData,MATCH($A69,PlotNumber,0),MATCH(I$3,PlotTitles,0)))=FALSE,IF(ISBLANK(INDEX(PlotData,MATCH($A69,PlotNumber,0),MATCH(J$3,PlotTitles,0)))=FALSE,IF((DATEVALUE(INDEX(PlotData,MATCH($A69,PlotNumber,0),MATCH(I$3,PlotTitles,0))&amp;INDEX(PlotData,MATCH($A69,PlotNumber,0),MATCH(J$3,PlotTitles,0))))&lt;(DATEVALUE(TEXT(TODAY(),"DD")&amp;"/"&amp;TEXT(TODAY(),"MM")&amp;"/"&amp;TEXT(TODAY(),"YYYY"))),$AB$14,"")),""))</f>
        <v/>
      </c>
      <c r="L69" s="104" t="str" cm="1">
        <f t="array" ref="L69">_xlfn.IFS(OR(ISBLANK(StartDateMonth),ISBLANK(StartDateYear)),"",AND(A69&gt;NumberOfPlots,ISBLANK(INDEX(PlotData,MATCH($A69,PlotNumber,0),MATCH(B$3,PlotTitles,0)))),"",ISBLANK(INDEX(PlotData,MATCH($A69,PlotNumber,0),MATCH(I$3,PlotTitles,0))),"",(DATEVALUE(INDEX(PlotData,MATCH($A69,PlotNumber,0),MATCH(I$3,PlotTitles,0))&amp;INDEX(PlotData,MATCH($A69,PlotNumber,0),MATCH(J$3,PlotTitles,0))))&lt;DATEVALUE(StartDateMonth&amp;StartDateYear),$AB$15,TRUE,"")</f>
        <v/>
      </c>
      <c r="M69" s="104" t="str" cm="1">
        <f t="array" ref="M69">_xlfn.IFS(OR(ISBLANK(StartDateMonth),ISBLANK(StartDateYear)),"",AND(A69&gt;NumberOfPlots,ISBLANK(INDEX(PlotData,MATCH($A69,PlotNumber,0),MATCH(B$3,PlotTitles,0)))),"",ISBLANK(INDEX(PlotData,MATCH($A69,PlotNumber,0),MATCH(I$3,PlotTitles,0))),"",CompletionMonth="","",(DATEVALUE(INDEX(PlotData,MATCH($A69,PlotNumber,0),MATCH(I$3,PlotTitles,0))&amp;INDEX(PlotData,MATCH($A69,PlotNumber,0),MATCH(J$3,PlotTitles,0))))&gt;(DATEVALUE(CompletionMonth&amp;CompletionYear)),$AB$16,TRUE,"")</f>
        <v/>
      </c>
      <c r="N69" s="104" t="str" cm="1">
        <f t="array" ref="N69">_xlfn.IFS(AND(A69&gt;NumberOfPlots,ISBLANK(INDEX(PlotData,MATCH($A69,PlotNumber,0),MATCH(B$3,PlotTitles,0)))),"",ISBLANK(INDEX(PlotData,MATCH($A69,PlotNumber,0),MATCH(N$3,PlotTitles,0))),$AB$17,TRUE,"")</f>
        <v/>
      </c>
      <c r="O69" s="104" t="str" cm="1">
        <f t="array" ref="O69">_xlfn.IFS(AND(A69&gt;NumberOfPlots,ISBLANK(INDEX(PlotData,MATCH($A69,PlotNumber,0),MATCH(B$3,PlotTitles,0)))),"",ISBLANK(INDEX(PlotData,MATCH($A69,PlotNumber,0),MATCH(O$3,PlotTitles,0))),$AB$18,TRUE,"")</f>
        <v/>
      </c>
      <c r="P69" s="182" t="str">
        <f t="shared" ref="P69:P132" ca="1" si="4">IF(AND(A69&gt;NumberOfPlots,ISBLANK(INDEX(PlotData,MATCH($A69,PlotNumber,0),MATCH(B$3,PlotTitles,0)))),"",IF(ISBLANK(INDEX(PlotData,MATCH($A69,PlotNumber,0),MATCH(N$3,PlotTitles,0)))=FALSE,IF(ISBLANK(INDEX(PlotData,MATCH($A69,PlotNumber,0),MATCH(O$3,PlotTitles,0)))=FALSE,IF((DATEVALUE(INDEX(PlotData,MATCH($A69,PlotNumber,0),MATCH(N$3,PlotTitles,0))&amp;INDEX(PlotData,MATCH($A69,PlotNumber,0),MATCH(O$3,PlotTitles,0))))&lt;(DATEVALUE(TEXT(TODAY(),"DD")&amp;"/"&amp;TEXT(TODAY(),"MM")&amp;"/"&amp;TEXT(TODAY(),"YYYY"))),$AB$19,"")),""))</f>
        <v/>
      </c>
      <c r="Q69" s="104" t="str" cm="1">
        <f t="array" ref="Q69">_xlfn.IFS(AND(A69&gt;NumberOfPlots,ISBLANK(INDEX(PlotData,MATCH($A69,PlotNumber,0),MATCH(B$3,PlotTitles,0)))),"",ISBLANK(INDEX(PlotData,MATCH($A69,PlotNumber,0),MATCH(N$3,PlotTitles,0))),"",(DATEVALUE(INDEX(PlotData,MATCH($A69,PlotNumber,0),MATCH(N$3,PlotTitles,0))&amp;INDEX(PlotData,MATCH($A69,PlotNumber,0),MATCH(O$3,PlotTitles,0))))&lt;(DATEVALUE(INDEX(PlotData,MATCH($A69,PlotNumber,0),MATCH(I$3,PlotTitles,0))&amp;INDEX(PlotData,MATCH($A69,PlotNumber,0),MATCH(J$3,PlotTitles,0)))),$AB$20,TRUE,"")</f>
        <v/>
      </c>
      <c r="R69" s="104" t="str" cm="1">
        <f t="array" ref="R69">_xlfn.IFS(OR(ISBLANK(StartDateMonth),ISBLANK(StartDateYear)),"",AND(A69&gt;NumberOfPlots,ISBLANK(INDEX(PlotData,MATCH($A69,PlotNumber,0),MATCH(B$3,PlotTitles,0)))),"",ISBLANK(INDEX(PlotData,MATCH($A69,PlotNumber,0),MATCH(N$3,PlotTitles,0))),"",CompletionMonth="","",(DATEVALUE(INDEX(PlotData,MATCH($A69,PlotNumber,0),MATCH(N$3,PlotTitles,0))&amp;INDEX(PlotData,MATCH($A69,PlotNumber,0),MATCH(O$3,PlotTitles,0))))&gt;(DATEVALUE(CompletionMonth&amp;CompletionYear)),$AB$21,TRUE,"")</f>
        <v/>
      </c>
      <c r="S69" s="104" t="str" cm="1">
        <f t="array" ref="S69">_xlfn.IFS(AND(A69&gt;NumberOfPlots,ISBLANK(INDEX(PlotData,MATCH($A69,PlotNumber,0),MATCH(B$3,PlotTitles,0)))),"",OR(AND(INDEX(PlotData,MATCH($A69,PlotNumber,0),MATCH("Tenure",PlotTitles,0))="Open market housing",INDEX(PlotData,MATCH($A69,PlotNumber,0),MATCH("Tenure detail",PlotTitles,0))="Private rented sector"),INDEX(PlotData,MATCH($A69,PlotNumber,0),MATCH("Tenure",PlotTitles,0))="Affordable rent"),"",ISNUMBER(INDEX(PlotData,MATCH($A69,PlotNumber,0),MATCH(S$3,PlotTitles,0)))=FALSE, $AB$22,TRUE,"")</f>
        <v/>
      </c>
      <c r="T69" s="104" t="str" cm="1">
        <f t="array" ref="T69">_xlfn.IFS(AND(A69&gt;NumberOfPlots,ISBLANK(INDEX(PlotData,MATCH($A69,PlotNumber,0),MATCH(B$3,PlotTitles,0)))),"",OR(AND(INDEX(PlotData,MATCH($A69,PlotNumber,0),MATCH("Tenure",PlotTitles,0))="Open market housing",INDEX(PlotData,MATCH($A69,PlotNumber,0),MATCH("Tenure detail",PlotTitles,0))="Private rented sector"),INDEX(PlotData,MATCH($A69,PlotNumber,0),MATCH("Tenure",PlotTitles,0))="Affordable rent"),"",INDEX(PlotData,MATCH($A69,PlotNumber,0),MATCH(S$3,PlotTitles,0))&lt;10000, $AB$23,TRUE,"")</f>
        <v/>
      </c>
      <c r="U69" s="104" t="str" cm="1">
        <f t="array" ref="U69">_xlfn.IFS(AND(A69&gt;NumberOfPlots,ISBLANK(INDEX(PlotData,MATCH($A69,PlotNumber,0),MATCH(B$3,PlotTitles,0)))),"",NOT(OR(AND(INDEX(PlotData,MATCH($A69,PlotNumber,0),MATCH("Tenure",PlotTitles,0))="Open market housing",INDEX(PlotData,MATCH($A69,PlotNumber,0),MATCH("Tenure detail",PlotTitles,0))="Private rented sector"),INDEX(PlotData,MATCH($A69,PlotNumber,0),MATCH("Tenure",PlotTitles,0))="Affordable rent")),"",NOT(INDEX(PlotData,MATCH($A69,PlotNumber,0),MATCH(S$3,PlotTitles,0))=0), $AB$24,TRUE,"")</f>
        <v/>
      </c>
      <c r="V69" s="114" t="str" cm="1">
        <f t="array" aca="1" ref="V69" ca="1">_xlfn.IFS(ISBLANK(NumberOfPlots),"Enter the number of homes on the 1_SetUp sheet",AND(A69&gt;NumberOfPlots,ISBLANK(INDEX(PlotData,MATCH($A69,PlotNumber,0),MATCH(B$3,PlotTitles,0)))),"No error",NOT(B69=""),B69,NOT(C69=""),C69,NOT(D69=""),D69,NOT(E69=""),E69,NOT(F69=""),F69,NOT(G69=""),G69,NOT(H69=""),H69,NOT(I69=""),I69,NOT(J69=""),J69,NOT(K69=""),K69,NOT(L69=""),L69,NOT(M69=""),M69,NOT(N69=""),N69,NOT(O69=""),O69,NOT(P69=""),P69,NOT(Q69=""),Q69,NOT(R69=""),R69,NOT(S69=""),S69,NOT(T69=""),T69,NOT(U69=""),U69,TRUE,"No error")</f>
        <v>Enter the number of homes on the 1_SetUp sheet</v>
      </c>
      <c r="W69" s="114" t="str">
        <f t="shared" ca="1" si="2"/>
        <v xml:space="preserve">The Borrower has not addressed the following error messages for Home ID 65: </v>
      </c>
    </row>
    <row r="70" spans="1:23">
      <c r="A70" s="123">
        <v>66</v>
      </c>
      <c r="B70" s="104" t="str" cm="1">
        <f t="array" ref="B70">_xlfn.IFS(AND(A70&gt;NumberOfPlots,ISBLANK(INDEX(PlotData,MATCH($A70,PlotNumber,0),MATCH(B$3,PlotTitles,0)))),"",ISNUMBER(INDEX(PlotData,MATCH($A70,PlotNumber,0),MATCH(B$3,PlotTitles,0)))=FALSE, $AB$5,TRUE,"")</f>
        <v/>
      </c>
      <c r="C70" s="104" t="str" cm="1">
        <f t="array" ref="C70">_xlfn.IFS(AND(A70&gt;NumberOfPlots,ISBLANK(INDEX(PlotData,MATCH($A70,PlotNumber,0),MATCH(B$3,PlotTitles,0)))),"",ISBLANK(INDEX(PlotData,MATCH($A70,PlotNumber,0),MATCH(C$3,PlotTitles,0))),$AB$6,TRUE,"")</f>
        <v/>
      </c>
      <c r="D70" s="104" t="str" cm="1">
        <f t="array" ref="D70">_xlfn.IFS(AND(A70&gt;NumberOfPlots,ISBLANK(INDEX(PlotData,MATCH($A70,PlotNumber,0),MATCH(B$3,PlotTitles,0)))),"",ISBLANK(INDEX(PlotData,MATCH($A70,PlotNumber,0),MATCH(D$3,PlotTitles,0))),$AB$7,TRUE,"")</f>
        <v/>
      </c>
      <c r="E70" s="104" t="str" cm="1">
        <f t="array" ref="E70">_xlfn.IFS(AND(A70&gt;NumberOfPlots,ISBLANK(INDEX(PlotData,MATCH($A70,PlotNumber,0),MATCH(B$3,PlotTitles,0)))),"",ISBLANK(INDEX(PlotData,MATCH($A70,PlotNumber,0),MATCH(E$3,PlotTitles,0))),$AB$8,TRUE,"")</f>
        <v/>
      </c>
      <c r="F70" s="104" t="str" cm="1">
        <f t="array" ref="F70">_xlfn.IFS(AND(A70&gt;NumberOfPlots,ISBLANK(INDEX(PlotData,MATCH($A70,PlotNumber,0),MATCH(B$3,PlotTitles,0)))),"",ISBLANK(INDEX(PlotData,MATCH($A70,PlotNumber,0),MATCH(F$3,PlotTitles,0))),$AB$9,TRUE,"")</f>
        <v/>
      </c>
      <c r="G70" s="104" t="str" cm="1">
        <f t="array" ref="G70">_xlfn.IFS(AND(A70&gt;NumberOfPlots,ISBLANK(INDEX(PlotData,MATCH($A70,PlotNumber,0),MATCH(B$3,PlotTitles,0)))),"",ISBLANK(INDEX(PlotData,MATCH($A70,PlotNumber,0),MATCH(G$3,PlotTitles,0))),$AB$10,TRUE,"")</f>
        <v/>
      </c>
      <c r="H70" s="104" t="str" cm="1">
        <f t="array" ref="H70">_xlfn.IFS(AND(A70&gt;NumberOfPlots,ISBLANK(INDEX(PlotData,MATCH($A70,PlotNumber,0),MATCH(B$3,PlotTitles,0)))),"",AND(ISBLANK(INDEX(PlotData,MATCH($A70,PlotNumber,0),MATCH(H$3,PlotTitles,0)))=FALSE,INDEX(PlotData,MATCH($A70,PlotNumber,0),MATCH(H$3,PlotTitles,0))&lt;500), $AB$11,TRUE,"")</f>
        <v/>
      </c>
      <c r="I70" s="104" t="str" cm="1">
        <f t="array" ref="I70">_xlfn.IFS(AND(A70&gt;NumberOfPlots,ISBLANK(INDEX(PlotData,MATCH($A70,PlotNumber,0),MATCH(B$3,PlotTitles,0)))),"",ISBLANK(INDEX(PlotData,MATCH($A70,PlotNumber,0),MATCH(I$3,PlotTitles,0))),$AB$12,TRUE,"")</f>
        <v/>
      </c>
      <c r="J70" s="104" t="str" cm="1">
        <f t="array" ref="J70">_xlfn.IFS(AND(A70&gt;NumberOfPlots,ISBLANK(INDEX(PlotData,MATCH($A70,PlotNumber,0),MATCH(B$3,PlotTitles,0)))),"",ISBLANK(INDEX(PlotData,MATCH($A70,PlotNumber,0),MATCH(J$3,PlotTitles,0))),$AB$13,TRUE,"")</f>
        <v/>
      </c>
      <c r="K70" s="182" t="str">
        <f t="shared" ca="1" si="3"/>
        <v/>
      </c>
      <c r="L70" s="104" t="str" cm="1">
        <f t="array" ref="L70">_xlfn.IFS(OR(ISBLANK(StartDateMonth),ISBLANK(StartDateYear)),"",AND(A70&gt;NumberOfPlots,ISBLANK(INDEX(PlotData,MATCH($A70,PlotNumber,0),MATCH(B$3,PlotTitles,0)))),"",ISBLANK(INDEX(PlotData,MATCH($A70,PlotNumber,0),MATCH(I$3,PlotTitles,0))),"",(DATEVALUE(INDEX(PlotData,MATCH($A70,PlotNumber,0),MATCH(I$3,PlotTitles,0))&amp;INDEX(PlotData,MATCH($A70,PlotNumber,0),MATCH(J$3,PlotTitles,0))))&lt;DATEVALUE(StartDateMonth&amp;StartDateYear),$AB$15,TRUE,"")</f>
        <v/>
      </c>
      <c r="M70" s="104" t="str" cm="1">
        <f t="array" ref="M70">_xlfn.IFS(OR(ISBLANK(StartDateMonth),ISBLANK(StartDateYear)),"",AND(A70&gt;NumberOfPlots,ISBLANK(INDEX(PlotData,MATCH($A70,PlotNumber,0),MATCH(B$3,PlotTitles,0)))),"",ISBLANK(INDEX(PlotData,MATCH($A70,PlotNumber,0),MATCH(I$3,PlotTitles,0))),"",CompletionMonth="","",(DATEVALUE(INDEX(PlotData,MATCH($A70,PlotNumber,0),MATCH(I$3,PlotTitles,0))&amp;INDEX(PlotData,MATCH($A70,PlotNumber,0),MATCH(J$3,PlotTitles,0))))&gt;(DATEVALUE(CompletionMonth&amp;CompletionYear)),$AB$16,TRUE,"")</f>
        <v/>
      </c>
      <c r="N70" s="104" t="str" cm="1">
        <f t="array" ref="N70">_xlfn.IFS(AND(A70&gt;NumberOfPlots,ISBLANK(INDEX(PlotData,MATCH($A70,PlotNumber,0),MATCH(B$3,PlotTitles,0)))),"",ISBLANK(INDEX(PlotData,MATCH($A70,PlotNumber,0),MATCH(N$3,PlotTitles,0))),$AB$17,TRUE,"")</f>
        <v/>
      </c>
      <c r="O70" s="104" t="str" cm="1">
        <f t="array" ref="O70">_xlfn.IFS(AND(A70&gt;NumberOfPlots,ISBLANK(INDEX(PlotData,MATCH($A70,PlotNumber,0),MATCH(B$3,PlotTitles,0)))),"",ISBLANK(INDEX(PlotData,MATCH($A70,PlotNumber,0),MATCH(O$3,PlotTitles,0))),$AB$18,TRUE,"")</f>
        <v/>
      </c>
      <c r="P70" s="182" t="str">
        <f t="shared" ca="1" si="4"/>
        <v/>
      </c>
      <c r="Q70" s="104" t="str" cm="1">
        <f t="array" ref="Q70">_xlfn.IFS(AND(A70&gt;NumberOfPlots,ISBLANK(INDEX(PlotData,MATCH($A70,PlotNumber,0),MATCH(B$3,PlotTitles,0)))),"",ISBLANK(INDEX(PlotData,MATCH($A70,PlotNumber,0),MATCH(N$3,PlotTitles,0))),"",(DATEVALUE(INDEX(PlotData,MATCH($A70,PlotNumber,0),MATCH(N$3,PlotTitles,0))&amp;INDEX(PlotData,MATCH($A70,PlotNumber,0),MATCH(O$3,PlotTitles,0))))&lt;(DATEVALUE(INDEX(PlotData,MATCH($A70,PlotNumber,0),MATCH(I$3,PlotTitles,0))&amp;INDEX(PlotData,MATCH($A70,PlotNumber,0),MATCH(J$3,PlotTitles,0)))),$AB$20,TRUE,"")</f>
        <v/>
      </c>
      <c r="R70" s="104" t="str" cm="1">
        <f t="array" ref="R70">_xlfn.IFS(OR(ISBLANK(StartDateMonth),ISBLANK(StartDateYear)),"",AND(A70&gt;NumberOfPlots,ISBLANK(INDEX(PlotData,MATCH($A70,PlotNumber,0),MATCH(B$3,PlotTitles,0)))),"",ISBLANK(INDEX(PlotData,MATCH($A70,PlotNumber,0),MATCH(N$3,PlotTitles,0))),"",CompletionMonth="","",(DATEVALUE(INDEX(PlotData,MATCH($A70,PlotNumber,0),MATCH(N$3,PlotTitles,0))&amp;INDEX(PlotData,MATCH($A70,PlotNumber,0),MATCH(O$3,PlotTitles,0))))&gt;(DATEVALUE(CompletionMonth&amp;CompletionYear)),$AB$21,TRUE,"")</f>
        <v/>
      </c>
      <c r="S70" s="104" t="str" cm="1">
        <f t="array" ref="S70">_xlfn.IFS(AND(A70&gt;NumberOfPlots,ISBLANK(INDEX(PlotData,MATCH($A70,PlotNumber,0),MATCH(B$3,PlotTitles,0)))),"",OR(AND(INDEX(PlotData,MATCH($A70,PlotNumber,0),MATCH("Tenure",PlotTitles,0))="Open market housing",INDEX(PlotData,MATCH($A70,PlotNumber,0),MATCH("Tenure detail",PlotTitles,0))="Private rented sector"),INDEX(PlotData,MATCH($A70,PlotNumber,0),MATCH("Tenure",PlotTitles,0))="Affordable rent"),"",ISNUMBER(INDEX(PlotData,MATCH($A70,PlotNumber,0),MATCH(S$3,PlotTitles,0)))=FALSE, $AB$22,TRUE,"")</f>
        <v/>
      </c>
      <c r="T70" s="104" t="str" cm="1">
        <f t="array" ref="T70">_xlfn.IFS(AND(A70&gt;NumberOfPlots,ISBLANK(INDEX(PlotData,MATCH($A70,PlotNumber,0),MATCH(B$3,PlotTitles,0)))),"",OR(AND(INDEX(PlotData,MATCH($A70,PlotNumber,0),MATCH("Tenure",PlotTitles,0))="Open market housing",INDEX(PlotData,MATCH($A70,PlotNumber,0),MATCH("Tenure detail",PlotTitles,0))="Private rented sector"),INDEX(PlotData,MATCH($A70,PlotNumber,0),MATCH("Tenure",PlotTitles,0))="Affordable rent"),"",INDEX(PlotData,MATCH($A70,PlotNumber,0),MATCH(S$3,PlotTitles,0))&lt;10000, $AB$23,TRUE,"")</f>
        <v/>
      </c>
      <c r="U70" s="104" t="str" cm="1">
        <f t="array" ref="U70">_xlfn.IFS(AND(A70&gt;NumberOfPlots,ISBLANK(INDEX(PlotData,MATCH($A70,PlotNumber,0),MATCH(B$3,PlotTitles,0)))),"",NOT(OR(AND(INDEX(PlotData,MATCH($A70,PlotNumber,0),MATCH("Tenure",PlotTitles,0))="Open market housing",INDEX(PlotData,MATCH($A70,PlotNumber,0),MATCH("Tenure detail",PlotTitles,0))="Private rented sector"),INDEX(PlotData,MATCH($A70,PlotNumber,0),MATCH("Tenure",PlotTitles,0))="Affordable rent")),"",NOT(INDEX(PlotData,MATCH($A70,PlotNumber,0),MATCH(S$3,PlotTitles,0))=0), $AB$24,TRUE,"")</f>
        <v/>
      </c>
      <c r="V70" s="114" t="str" cm="1">
        <f t="array" aca="1" ref="V70" ca="1">_xlfn.IFS(ISBLANK(NumberOfPlots),"Enter the number of homes on the 1_SetUp sheet",AND(A70&gt;NumberOfPlots,ISBLANK(INDEX(PlotData,MATCH($A70,PlotNumber,0),MATCH(B$3,PlotTitles,0)))),"No error",NOT(B70=""),B70,NOT(C70=""),C70,NOT(D70=""),D70,NOT(E70=""),E70,NOT(F70=""),F70,NOT(G70=""),G70,NOT(H70=""),H70,NOT(I70=""),I70,NOT(J70=""),J70,NOT(K70=""),K70,NOT(L70=""),L70,NOT(M70=""),M70,NOT(N70=""),N70,NOT(O70=""),O70,NOT(P70=""),P70,NOT(Q70=""),Q70,NOT(R70=""),R70,NOT(S70=""),S70,NOT(T70=""),T70,NOT(U70=""),U70,TRUE,"No error")</f>
        <v>Enter the number of homes on the 1_SetUp sheet</v>
      </c>
      <c r="W70" s="114" t="str">
        <f t="shared" ref="W70:W133" ca="1" si="5">IF($V70="No error","","The Borrower has not addressed the following error messages for Home ID "&amp;$A70&amp;": "&amp;_xlfn.TEXTJOIN(". ",TRUE,$B70:$T70))</f>
        <v xml:space="preserve">The Borrower has not addressed the following error messages for Home ID 66: </v>
      </c>
    </row>
    <row r="71" spans="1:23">
      <c r="A71" s="123">
        <v>67</v>
      </c>
      <c r="B71" s="104" t="str" cm="1">
        <f t="array" ref="B71">_xlfn.IFS(AND(A71&gt;NumberOfPlots,ISBLANK(INDEX(PlotData,MATCH($A71,PlotNumber,0),MATCH(B$3,PlotTitles,0)))),"",ISNUMBER(INDEX(PlotData,MATCH($A71,PlotNumber,0),MATCH(B$3,PlotTitles,0)))=FALSE, $AB$5,TRUE,"")</f>
        <v/>
      </c>
      <c r="C71" s="104" t="str" cm="1">
        <f t="array" ref="C71">_xlfn.IFS(AND(A71&gt;NumberOfPlots,ISBLANK(INDEX(PlotData,MATCH($A71,PlotNumber,0),MATCH(B$3,PlotTitles,0)))),"",ISBLANK(INDEX(PlotData,MATCH($A71,PlotNumber,0),MATCH(C$3,PlotTitles,0))),$AB$6,TRUE,"")</f>
        <v/>
      </c>
      <c r="D71" s="104" t="str" cm="1">
        <f t="array" ref="D71">_xlfn.IFS(AND(A71&gt;NumberOfPlots,ISBLANK(INDEX(PlotData,MATCH($A71,PlotNumber,0),MATCH(B$3,PlotTitles,0)))),"",ISBLANK(INDEX(PlotData,MATCH($A71,PlotNumber,0),MATCH(D$3,PlotTitles,0))),$AB$7,TRUE,"")</f>
        <v/>
      </c>
      <c r="E71" s="104" t="str" cm="1">
        <f t="array" ref="E71">_xlfn.IFS(AND(A71&gt;NumberOfPlots,ISBLANK(INDEX(PlotData,MATCH($A71,PlotNumber,0),MATCH(B$3,PlotTitles,0)))),"",ISBLANK(INDEX(PlotData,MATCH($A71,PlotNumber,0),MATCH(E$3,PlotTitles,0))),$AB$8,TRUE,"")</f>
        <v/>
      </c>
      <c r="F71" s="104" t="str" cm="1">
        <f t="array" ref="F71">_xlfn.IFS(AND(A71&gt;NumberOfPlots,ISBLANK(INDEX(PlotData,MATCH($A71,PlotNumber,0),MATCH(B$3,PlotTitles,0)))),"",ISBLANK(INDEX(PlotData,MATCH($A71,PlotNumber,0),MATCH(F$3,PlotTitles,0))),$AB$9,TRUE,"")</f>
        <v/>
      </c>
      <c r="G71" s="104" t="str" cm="1">
        <f t="array" ref="G71">_xlfn.IFS(AND(A71&gt;NumberOfPlots,ISBLANK(INDEX(PlotData,MATCH($A71,PlotNumber,0),MATCH(B$3,PlotTitles,0)))),"",ISBLANK(INDEX(PlotData,MATCH($A71,PlotNumber,0),MATCH(G$3,PlotTitles,0))),$AB$10,TRUE,"")</f>
        <v/>
      </c>
      <c r="H71" s="104" t="str" cm="1">
        <f t="array" ref="H71">_xlfn.IFS(AND(A71&gt;NumberOfPlots,ISBLANK(INDEX(PlotData,MATCH($A71,PlotNumber,0),MATCH(B$3,PlotTitles,0)))),"",AND(ISBLANK(INDEX(PlotData,MATCH($A71,PlotNumber,0),MATCH(H$3,PlotTitles,0)))=FALSE,INDEX(PlotData,MATCH($A71,PlotNumber,0),MATCH(H$3,PlotTitles,0))&lt;500), $AB$11,TRUE,"")</f>
        <v/>
      </c>
      <c r="I71" s="104" t="str" cm="1">
        <f t="array" ref="I71">_xlfn.IFS(AND(A71&gt;NumberOfPlots,ISBLANK(INDEX(PlotData,MATCH($A71,PlotNumber,0),MATCH(B$3,PlotTitles,0)))),"",ISBLANK(INDEX(PlotData,MATCH($A71,PlotNumber,0),MATCH(I$3,PlotTitles,0))),$AB$12,TRUE,"")</f>
        <v/>
      </c>
      <c r="J71" s="104" t="str" cm="1">
        <f t="array" ref="J71">_xlfn.IFS(AND(A71&gt;NumberOfPlots,ISBLANK(INDEX(PlotData,MATCH($A71,PlotNumber,0),MATCH(B$3,PlotTitles,0)))),"",ISBLANK(INDEX(PlotData,MATCH($A71,PlotNumber,0),MATCH(J$3,PlotTitles,0))),$AB$13,TRUE,"")</f>
        <v/>
      </c>
      <c r="K71" s="182" t="str">
        <f t="shared" ca="1" si="3"/>
        <v/>
      </c>
      <c r="L71" s="104" t="str" cm="1">
        <f t="array" ref="L71">_xlfn.IFS(OR(ISBLANK(StartDateMonth),ISBLANK(StartDateYear)),"",AND(A71&gt;NumberOfPlots,ISBLANK(INDEX(PlotData,MATCH($A71,PlotNumber,0),MATCH(B$3,PlotTitles,0)))),"",ISBLANK(INDEX(PlotData,MATCH($A71,PlotNumber,0),MATCH(I$3,PlotTitles,0))),"",(DATEVALUE(INDEX(PlotData,MATCH($A71,PlotNumber,0),MATCH(I$3,PlotTitles,0))&amp;INDEX(PlotData,MATCH($A71,PlotNumber,0),MATCH(J$3,PlotTitles,0))))&lt;DATEVALUE(StartDateMonth&amp;StartDateYear),$AB$15,TRUE,"")</f>
        <v/>
      </c>
      <c r="M71" s="104" t="str" cm="1">
        <f t="array" ref="M71">_xlfn.IFS(OR(ISBLANK(StartDateMonth),ISBLANK(StartDateYear)),"",AND(A71&gt;NumberOfPlots,ISBLANK(INDEX(PlotData,MATCH($A71,PlotNumber,0),MATCH(B$3,PlotTitles,0)))),"",ISBLANK(INDEX(PlotData,MATCH($A71,PlotNumber,0),MATCH(I$3,PlotTitles,0))),"",CompletionMonth="","",(DATEVALUE(INDEX(PlotData,MATCH($A71,PlotNumber,0),MATCH(I$3,PlotTitles,0))&amp;INDEX(PlotData,MATCH($A71,PlotNumber,0),MATCH(J$3,PlotTitles,0))))&gt;(DATEVALUE(CompletionMonth&amp;CompletionYear)),$AB$16,TRUE,"")</f>
        <v/>
      </c>
      <c r="N71" s="104" t="str" cm="1">
        <f t="array" ref="N71">_xlfn.IFS(AND(A71&gt;NumberOfPlots,ISBLANK(INDEX(PlotData,MATCH($A71,PlotNumber,0),MATCH(B$3,PlotTitles,0)))),"",ISBLANK(INDEX(PlotData,MATCH($A71,PlotNumber,0),MATCH(N$3,PlotTitles,0))),$AB$17,TRUE,"")</f>
        <v/>
      </c>
      <c r="O71" s="104" t="str" cm="1">
        <f t="array" ref="O71">_xlfn.IFS(AND(A71&gt;NumberOfPlots,ISBLANK(INDEX(PlotData,MATCH($A71,PlotNumber,0),MATCH(B$3,PlotTitles,0)))),"",ISBLANK(INDEX(PlotData,MATCH($A71,PlotNumber,0),MATCH(O$3,PlotTitles,0))),$AB$18,TRUE,"")</f>
        <v/>
      </c>
      <c r="P71" s="182" t="str">
        <f t="shared" ca="1" si="4"/>
        <v/>
      </c>
      <c r="Q71" s="104" t="str" cm="1">
        <f t="array" ref="Q71">_xlfn.IFS(AND(A71&gt;NumberOfPlots,ISBLANK(INDEX(PlotData,MATCH($A71,PlotNumber,0),MATCH(B$3,PlotTitles,0)))),"",ISBLANK(INDEX(PlotData,MATCH($A71,PlotNumber,0),MATCH(N$3,PlotTitles,0))),"",(DATEVALUE(INDEX(PlotData,MATCH($A71,PlotNumber,0),MATCH(N$3,PlotTitles,0))&amp;INDEX(PlotData,MATCH($A71,PlotNumber,0),MATCH(O$3,PlotTitles,0))))&lt;(DATEVALUE(INDEX(PlotData,MATCH($A71,PlotNumber,0),MATCH(I$3,PlotTitles,0))&amp;INDEX(PlotData,MATCH($A71,PlotNumber,0),MATCH(J$3,PlotTitles,0)))),$AB$20,TRUE,"")</f>
        <v/>
      </c>
      <c r="R71" s="104" t="str" cm="1">
        <f t="array" ref="R71">_xlfn.IFS(OR(ISBLANK(StartDateMonth),ISBLANK(StartDateYear)),"",AND(A71&gt;NumberOfPlots,ISBLANK(INDEX(PlotData,MATCH($A71,PlotNumber,0),MATCH(B$3,PlotTitles,0)))),"",ISBLANK(INDEX(PlotData,MATCH($A71,PlotNumber,0),MATCH(N$3,PlotTitles,0))),"",CompletionMonth="","",(DATEVALUE(INDEX(PlotData,MATCH($A71,PlotNumber,0),MATCH(N$3,PlotTitles,0))&amp;INDEX(PlotData,MATCH($A71,PlotNumber,0),MATCH(O$3,PlotTitles,0))))&gt;(DATEVALUE(CompletionMonth&amp;CompletionYear)),$AB$21,TRUE,"")</f>
        <v/>
      </c>
      <c r="S71" s="104" t="str" cm="1">
        <f t="array" ref="S71">_xlfn.IFS(AND(A71&gt;NumberOfPlots,ISBLANK(INDEX(PlotData,MATCH($A71,PlotNumber,0),MATCH(B$3,PlotTitles,0)))),"",OR(AND(INDEX(PlotData,MATCH($A71,PlotNumber,0),MATCH("Tenure",PlotTitles,0))="Open market housing",INDEX(PlotData,MATCH($A71,PlotNumber,0),MATCH("Tenure detail",PlotTitles,0))="Private rented sector"),INDEX(PlotData,MATCH($A71,PlotNumber,0),MATCH("Tenure",PlotTitles,0))="Affordable rent"),"",ISNUMBER(INDEX(PlotData,MATCH($A71,PlotNumber,0),MATCH(S$3,PlotTitles,0)))=FALSE, $AB$22,TRUE,"")</f>
        <v/>
      </c>
      <c r="T71" s="104" t="str" cm="1">
        <f t="array" ref="T71">_xlfn.IFS(AND(A71&gt;NumberOfPlots,ISBLANK(INDEX(PlotData,MATCH($A71,PlotNumber,0),MATCH(B$3,PlotTitles,0)))),"",OR(AND(INDEX(PlotData,MATCH($A71,PlotNumber,0),MATCH("Tenure",PlotTitles,0))="Open market housing",INDEX(PlotData,MATCH($A71,PlotNumber,0),MATCH("Tenure detail",PlotTitles,0))="Private rented sector"),INDEX(PlotData,MATCH($A71,PlotNumber,0),MATCH("Tenure",PlotTitles,0))="Affordable rent"),"",INDEX(PlotData,MATCH($A71,PlotNumber,0),MATCH(S$3,PlotTitles,0))&lt;10000, $AB$23,TRUE,"")</f>
        <v/>
      </c>
      <c r="U71" s="104" t="str" cm="1">
        <f t="array" ref="U71">_xlfn.IFS(AND(A71&gt;NumberOfPlots,ISBLANK(INDEX(PlotData,MATCH($A71,PlotNumber,0),MATCH(B$3,PlotTitles,0)))),"",NOT(OR(AND(INDEX(PlotData,MATCH($A71,PlotNumber,0),MATCH("Tenure",PlotTitles,0))="Open market housing",INDEX(PlotData,MATCH($A71,PlotNumber,0),MATCH("Tenure detail",PlotTitles,0))="Private rented sector"),INDEX(PlotData,MATCH($A71,PlotNumber,0),MATCH("Tenure",PlotTitles,0))="Affordable rent")),"",NOT(INDEX(PlotData,MATCH($A71,PlotNumber,0),MATCH(S$3,PlotTitles,0))=0), $AB$24,TRUE,"")</f>
        <v/>
      </c>
      <c r="V71" s="114" t="str" cm="1">
        <f t="array" aca="1" ref="V71" ca="1">_xlfn.IFS(ISBLANK(NumberOfPlots),"Enter the number of homes on the 1_SetUp sheet",AND(A71&gt;NumberOfPlots,ISBLANK(INDEX(PlotData,MATCH($A71,PlotNumber,0),MATCH(B$3,PlotTitles,0)))),"No error",NOT(B71=""),B71,NOT(C71=""),C71,NOT(D71=""),D71,NOT(E71=""),E71,NOT(F71=""),F71,NOT(G71=""),G71,NOT(H71=""),H71,NOT(I71=""),I71,NOT(J71=""),J71,NOT(K71=""),K71,NOT(L71=""),L71,NOT(M71=""),M71,NOT(N71=""),N71,NOT(O71=""),O71,NOT(P71=""),P71,NOT(Q71=""),Q71,NOT(R71=""),R71,NOT(S71=""),S71,NOT(T71=""),T71,NOT(U71=""),U71,TRUE,"No error")</f>
        <v>Enter the number of homes on the 1_SetUp sheet</v>
      </c>
      <c r="W71" s="114" t="str">
        <f t="shared" ca="1" si="5"/>
        <v xml:space="preserve">The Borrower has not addressed the following error messages for Home ID 67: </v>
      </c>
    </row>
    <row r="72" spans="1:23">
      <c r="A72" s="123">
        <v>68</v>
      </c>
      <c r="B72" s="104" t="str" cm="1">
        <f t="array" ref="B72">_xlfn.IFS(AND(A72&gt;NumberOfPlots,ISBLANK(INDEX(PlotData,MATCH($A72,PlotNumber,0),MATCH(B$3,PlotTitles,0)))),"",ISNUMBER(INDEX(PlotData,MATCH($A72,PlotNumber,0),MATCH(B$3,PlotTitles,0)))=FALSE, $AB$5,TRUE,"")</f>
        <v/>
      </c>
      <c r="C72" s="104" t="str" cm="1">
        <f t="array" ref="C72">_xlfn.IFS(AND(A72&gt;NumberOfPlots,ISBLANK(INDEX(PlotData,MATCH($A72,PlotNumber,0),MATCH(B$3,PlotTitles,0)))),"",ISBLANK(INDEX(PlotData,MATCH($A72,PlotNumber,0),MATCH(C$3,PlotTitles,0))),$AB$6,TRUE,"")</f>
        <v/>
      </c>
      <c r="D72" s="104" t="str" cm="1">
        <f t="array" ref="D72">_xlfn.IFS(AND(A72&gt;NumberOfPlots,ISBLANK(INDEX(PlotData,MATCH($A72,PlotNumber,0),MATCH(B$3,PlotTitles,0)))),"",ISBLANK(INDEX(PlotData,MATCH($A72,PlotNumber,0),MATCH(D$3,PlotTitles,0))),$AB$7,TRUE,"")</f>
        <v/>
      </c>
      <c r="E72" s="104" t="str" cm="1">
        <f t="array" ref="E72">_xlfn.IFS(AND(A72&gt;NumberOfPlots,ISBLANK(INDEX(PlotData,MATCH($A72,PlotNumber,0),MATCH(B$3,PlotTitles,0)))),"",ISBLANK(INDEX(PlotData,MATCH($A72,PlotNumber,0),MATCH(E$3,PlotTitles,0))),$AB$8,TRUE,"")</f>
        <v/>
      </c>
      <c r="F72" s="104" t="str" cm="1">
        <f t="array" ref="F72">_xlfn.IFS(AND(A72&gt;NumberOfPlots,ISBLANK(INDEX(PlotData,MATCH($A72,PlotNumber,0),MATCH(B$3,PlotTitles,0)))),"",ISBLANK(INDEX(PlotData,MATCH($A72,PlotNumber,0),MATCH(F$3,PlotTitles,0))),$AB$9,TRUE,"")</f>
        <v/>
      </c>
      <c r="G72" s="104" t="str" cm="1">
        <f t="array" ref="G72">_xlfn.IFS(AND(A72&gt;NumberOfPlots,ISBLANK(INDEX(PlotData,MATCH($A72,PlotNumber,0),MATCH(B$3,PlotTitles,0)))),"",ISBLANK(INDEX(PlotData,MATCH($A72,PlotNumber,0),MATCH(G$3,PlotTitles,0))),$AB$10,TRUE,"")</f>
        <v/>
      </c>
      <c r="H72" s="104" t="str" cm="1">
        <f t="array" ref="H72">_xlfn.IFS(AND(A72&gt;NumberOfPlots,ISBLANK(INDEX(PlotData,MATCH($A72,PlotNumber,0),MATCH(B$3,PlotTitles,0)))),"",AND(ISBLANK(INDEX(PlotData,MATCH($A72,PlotNumber,0),MATCH(H$3,PlotTitles,0)))=FALSE,INDEX(PlotData,MATCH($A72,PlotNumber,0),MATCH(H$3,PlotTitles,0))&lt;500), $AB$11,TRUE,"")</f>
        <v/>
      </c>
      <c r="I72" s="104" t="str" cm="1">
        <f t="array" ref="I72">_xlfn.IFS(AND(A72&gt;NumberOfPlots,ISBLANK(INDEX(PlotData,MATCH($A72,PlotNumber,0),MATCH(B$3,PlotTitles,0)))),"",ISBLANK(INDEX(PlotData,MATCH($A72,PlotNumber,0),MATCH(I$3,PlotTitles,0))),$AB$12,TRUE,"")</f>
        <v/>
      </c>
      <c r="J72" s="104" t="str" cm="1">
        <f t="array" ref="J72">_xlfn.IFS(AND(A72&gt;NumberOfPlots,ISBLANK(INDEX(PlotData,MATCH($A72,PlotNumber,0),MATCH(B$3,PlotTitles,0)))),"",ISBLANK(INDEX(PlotData,MATCH($A72,PlotNumber,0),MATCH(J$3,PlotTitles,0))),$AB$13,TRUE,"")</f>
        <v/>
      </c>
      <c r="K72" s="182" t="str">
        <f t="shared" ca="1" si="3"/>
        <v/>
      </c>
      <c r="L72" s="104" t="str" cm="1">
        <f t="array" ref="L72">_xlfn.IFS(OR(ISBLANK(StartDateMonth),ISBLANK(StartDateYear)),"",AND(A72&gt;NumberOfPlots,ISBLANK(INDEX(PlotData,MATCH($A72,PlotNumber,0),MATCH(B$3,PlotTitles,0)))),"",ISBLANK(INDEX(PlotData,MATCH($A72,PlotNumber,0),MATCH(I$3,PlotTitles,0))),"",(DATEVALUE(INDEX(PlotData,MATCH($A72,PlotNumber,0),MATCH(I$3,PlotTitles,0))&amp;INDEX(PlotData,MATCH($A72,PlotNumber,0),MATCH(J$3,PlotTitles,0))))&lt;DATEVALUE(StartDateMonth&amp;StartDateYear),$AB$15,TRUE,"")</f>
        <v/>
      </c>
      <c r="M72" s="104" t="str" cm="1">
        <f t="array" ref="M72">_xlfn.IFS(OR(ISBLANK(StartDateMonth),ISBLANK(StartDateYear)),"",AND(A72&gt;NumberOfPlots,ISBLANK(INDEX(PlotData,MATCH($A72,PlotNumber,0),MATCH(B$3,PlotTitles,0)))),"",ISBLANK(INDEX(PlotData,MATCH($A72,PlotNumber,0),MATCH(I$3,PlotTitles,0))),"",CompletionMonth="","",(DATEVALUE(INDEX(PlotData,MATCH($A72,PlotNumber,0),MATCH(I$3,PlotTitles,0))&amp;INDEX(PlotData,MATCH($A72,PlotNumber,0),MATCH(J$3,PlotTitles,0))))&gt;(DATEVALUE(CompletionMonth&amp;CompletionYear)),$AB$16,TRUE,"")</f>
        <v/>
      </c>
      <c r="N72" s="104" t="str" cm="1">
        <f t="array" ref="N72">_xlfn.IFS(AND(A72&gt;NumberOfPlots,ISBLANK(INDEX(PlotData,MATCH($A72,PlotNumber,0),MATCH(B$3,PlotTitles,0)))),"",ISBLANK(INDEX(PlotData,MATCH($A72,PlotNumber,0),MATCH(N$3,PlotTitles,0))),$AB$17,TRUE,"")</f>
        <v/>
      </c>
      <c r="O72" s="104" t="str" cm="1">
        <f t="array" ref="O72">_xlfn.IFS(AND(A72&gt;NumberOfPlots,ISBLANK(INDEX(PlotData,MATCH($A72,PlotNumber,0),MATCH(B$3,PlotTitles,0)))),"",ISBLANK(INDEX(PlotData,MATCH($A72,PlotNumber,0),MATCH(O$3,PlotTitles,0))),$AB$18,TRUE,"")</f>
        <v/>
      </c>
      <c r="P72" s="182" t="str">
        <f t="shared" ca="1" si="4"/>
        <v/>
      </c>
      <c r="Q72" s="104" t="str" cm="1">
        <f t="array" ref="Q72">_xlfn.IFS(AND(A72&gt;NumberOfPlots,ISBLANK(INDEX(PlotData,MATCH($A72,PlotNumber,0),MATCH(B$3,PlotTitles,0)))),"",ISBLANK(INDEX(PlotData,MATCH($A72,PlotNumber,0),MATCH(N$3,PlotTitles,0))),"",(DATEVALUE(INDEX(PlotData,MATCH($A72,PlotNumber,0),MATCH(N$3,PlotTitles,0))&amp;INDEX(PlotData,MATCH($A72,PlotNumber,0),MATCH(O$3,PlotTitles,0))))&lt;(DATEVALUE(INDEX(PlotData,MATCH($A72,PlotNumber,0),MATCH(I$3,PlotTitles,0))&amp;INDEX(PlotData,MATCH($A72,PlotNumber,0),MATCH(J$3,PlotTitles,0)))),$AB$20,TRUE,"")</f>
        <v/>
      </c>
      <c r="R72" s="104" t="str" cm="1">
        <f t="array" ref="R72">_xlfn.IFS(OR(ISBLANK(StartDateMonth),ISBLANK(StartDateYear)),"",AND(A72&gt;NumberOfPlots,ISBLANK(INDEX(PlotData,MATCH($A72,PlotNumber,0),MATCH(B$3,PlotTitles,0)))),"",ISBLANK(INDEX(PlotData,MATCH($A72,PlotNumber,0),MATCH(N$3,PlotTitles,0))),"",CompletionMonth="","",(DATEVALUE(INDEX(PlotData,MATCH($A72,PlotNumber,0),MATCH(N$3,PlotTitles,0))&amp;INDEX(PlotData,MATCH($A72,PlotNumber,0),MATCH(O$3,PlotTitles,0))))&gt;(DATEVALUE(CompletionMonth&amp;CompletionYear)),$AB$21,TRUE,"")</f>
        <v/>
      </c>
      <c r="S72" s="104" t="str" cm="1">
        <f t="array" ref="S72">_xlfn.IFS(AND(A72&gt;NumberOfPlots,ISBLANK(INDEX(PlotData,MATCH($A72,PlotNumber,0),MATCH(B$3,PlotTitles,0)))),"",OR(AND(INDEX(PlotData,MATCH($A72,PlotNumber,0),MATCH("Tenure",PlotTitles,0))="Open market housing",INDEX(PlotData,MATCH($A72,PlotNumber,0),MATCH("Tenure detail",PlotTitles,0))="Private rented sector"),INDEX(PlotData,MATCH($A72,PlotNumber,0),MATCH("Tenure",PlotTitles,0))="Affordable rent"),"",ISNUMBER(INDEX(PlotData,MATCH($A72,PlotNumber,0),MATCH(S$3,PlotTitles,0)))=FALSE, $AB$22,TRUE,"")</f>
        <v/>
      </c>
      <c r="T72" s="104" t="str" cm="1">
        <f t="array" ref="T72">_xlfn.IFS(AND(A72&gt;NumberOfPlots,ISBLANK(INDEX(PlotData,MATCH($A72,PlotNumber,0),MATCH(B$3,PlotTitles,0)))),"",OR(AND(INDEX(PlotData,MATCH($A72,PlotNumber,0),MATCH("Tenure",PlotTitles,0))="Open market housing",INDEX(PlotData,MATCH($A72,PlotNumber,0),MATCH("Tenure detail",PlotTitles,0))="Private rented sector"),INDEX(PlotData,MATCH($A72,PlotNumber,0),MATCH("Tenure",PlotTitles,0))="Affordable rent"),"",INDEX(PlotData,MATCH($A72,PlotNumber,0),MATCH(S$3,PlotTitles,0))&lt;10000, $AB$23,TRUE,"")</f>
        <v/>
      </c>
      <c r="U72" s="104" t="str" cm="1">
        <f t="array" ref="U72">_xlfn.IFS(AND(A72&gt;NumberOfPlots,ISBLANK(INDEX(PlotData,MATCH($A72,PlotNumber,0),MATCH(B$3,PlotTitles,0)))),"",NOT(OR(AND(INDEX(PlotData,MATCH($A72,PlotNumber,0),MATCH("Tenure",PlotTitles,0))="Open market housing",INDEX(PlotData,MATCH($A72,PlotNumber,0),MATCH("Tenure detail",PlotTitles,0))="Private rented sector"),INDEX(PlotData,MATCH($A72,PlotNumber,0),MATCH("Tenure",PlotTitles,0))="Affordable rent")),"",NOT(INDEX(PlotData,MATCH($A72,PlotNumber,0),MATCH(S$3,PlotTitles,0))=0), $AB$24,TRUE,"")</f>
        <v/>
      </c>
      <c r="V72" s="114" t="str" cm="1">
        <f t="array" aca="1" ref="V72" ca="1">_xlfn.IFS(ISBLANK(NumberOfPlots),"Enter the number of homes on the 1_SetUp sheet",AND(A72&gt;NumberOfPlots,ISBLANK(INDEX(PlotData,MATCH($A72,PlotNumber,0),MATCH(B$3,PlotTitles,0)))),"No error",NOT(B72=""),B72,NOT(C72=""),C72,NOT(D72=""),D72,NOT(E72=""),E72,NOT(F72=""),F72,NOT(G72=""),G72,NOT(H72=""),H72,NOT(I72=""),I72,NOT(J72=""),J72,NOT(K72=""),K72,NOT(L72=""),L72,NOT(M72=""),M72,NOT(N72=""),N72,NOT(O72=""),O72,NOT(P72=""),P72,NOT(Q72=""),Q72,NOT(R72=""),R72,NOT(S72=""),S72,NOT(T72=""),T72,NOT(U72=""),U72,TRUE,"No error")</f>
        <v>Enter the number of homes on the 1_SetUp sheet</v>
      </c>
      <c r="W72" s="114" t="str">
        <f t="shared" ca="1" si="5"/>
        <v xml:space="preserve">The Borrower has not addressed the following error messages for Home ID 68: </v>
      </c>
    </row>
    <row r="73" spans="1:23">
      <c r="A73" s="123">
        <v>69</v>
      </c>
      <c r="B73" s="104" t="str" cm="1">
        <f t="array" ref="B73">_xlfn.IFS(AND(A73&gt;NumberOfPlots,ISBLANK(INDEX(PlotData,MATCH($A73,PlotNumber,0),MATCH(B$3,PlotTitles,0)))),"",ISNUMBER(INDEX(PlotData,MATCH($A73,PlotNumber,0),MATCH(B$3,PlotTitles,0)))=FALSE, $AB$5,TRUE,"")</f>
        <v/>
      </c>
      <c r="C73" s="104" t="str" cm="1">
        <f t="array" ref="C73">_xlfn.IFS(AND(A73&gt;NumberOfPlots,ISBLANK(INDEX(PlotData,MATCH($A73,PlotNumber,0),MATCH(B$3,PlotTitles,0)))),"",ISBLANK(INDEX(PlotData,MATCH($A73,PlotNumber,0),MATCH(C$3,PlotTitles,0))),$AB$6,TRUE,"")</f>
        <v/>
      </c>
      <c r="D73" s="104" t="str" cm="1">
        <f t="array" ref="D73">_xlfn.IFS(AND(A73&gt;NumberOfPlots,ISBLANK(INDEX(PlotData,MATCH($A73,PlotNumber,0),MATCH(B$3,PlotTitles,0)))),"",ISBLANK(INDEX(PlotData,MATCH($A73,PlotNumber,0),MATCH(D$3,PlotTitles,0))),$AB$7,TRUE,"")</f>
        <v/>
      </c>
      <c r="E73" s="104" t="str" cm="1">
        <f t="array" ref="E73">_xlfn.IFS(AND(A73&gt;NumberOfPlots,ISBLANK(INDEX(PlotData,MATCH($A73,PlotNumber,0),MATCH(B$3,PlotTitles,0)))),"",ISBLANK(INDEX(PlotData,MATCH($A73,PlotNumber,0),MATCH(E$3,PlotTitles,0))),$AB$8,TRUE,"")</f>
        <v/>
      </c>
      <c r="F73" s="104" t="str" cm="1">
        <f t="array" ref="F73">_xlfn.IFS(AND(A73&gt;NumberOfPlots,ISBLANK(INDEX(PlotData,MATCH($A73,PlotNumber,0),MATCH(B$3,PlotTitles,0)))),"",ISBLANK(INDEX(PlotData,MATCH($A73,PlotNumber,0),MATCH(F$3,PlotTitles,0))),$AB$9,TRUE,"")</f>
        <v/>
      </c>
      <c r="G73" s="104" t="str" cm="1">
        <f t="array" ref="G73">_xlfn.IFS(AND(A73&gt;NumberOfPlots,ISBLANK(INDEX(PlotData,MATCH($A73,PlotNumber,0),MATCH(B$3,PlotTitles,0)))),"",ISBLANK(INDEX(PlotData,MATCH($A73,PlotNumber,0),MATCH(G$3,PlotTitles,0))),$AB$10,TRUE,"")</f>
        <v/>
      </c>
      <c r="H73" s="104" t="str" cm="1">
        <f t="array" ref="H73">_xlfn.IFS(AND(A73&gt;NumberOfPlots,ISBLANK(INDEX(PlotData,MATCH($A73,PlotNumber,0),MATCH(B$3,PlotTitles,0)))),"",AND(ISBLANK(INDEX(PlotData,MATCH($A73,PlotNumber,0),MATCH(H$3,PlotTitles,0)))=FALSE,INDEX(PlotData,MATCH($A73,PlotNumber,0),MATCH(H$3,PlotTitles,0))&lt;500), $AB$11,TRUE,"")</f>
        <v/>
      </c>
      <c r="I73" s="104" t="str" cm="1">
        <f t="array" ref="I73">_xlfn.IFS(AND(A73&gt;NumberOfPlots,ISBLANK(INDEX(PlotData,MATCH($A73,PlotNumber,0),MATCH(B$3,PlotTitles,0)))),"",ISBLANK(INDEX(PlotData,MATCH($A73,PlotNumber,0),MATCH(I$3,PlotTitles,0))),$AB$12,TRUE,"")</f>
        <v/>
      </c>
      <c r="J73" s="104" t="str" cm="1">
        <f t="array" ref="J73">_xlfn.IFS(AND(A73&gt;NumberOfPlots,ISBLANK(INDEX(PlotData,MATCH($A73,PlotNumber,0),MATCH(B$3,PlotTitles,0)))),"",ISBLANK(INDEX(PlotData,MATCH($A73,PlotNumber,0),MATCH(J$3,PlotTitles,0))),$AB$13,TRUE,"")</f>
        <v/>
      </c>
      <c r="K73" s="182" t="str">
        <f t="shared" ca="1" si="3"/>
        <v/>
      </c>
      <c r="L73" s="104" t="str" cm="1">
        <f t="array" ref="L73">_xlfn.IFS(OR(ISBLANK(StartDateMonth),ISBLANK(StartDateYear)),"",AND(A73&gt;NumberOfPlots,ISBLANK(INDEX(PlotData,MATCH($A73,PlotNumber,0),MATCH(B$3,PlotTitles,0)))),"",ISBLANK(INDEX(PlotData,MATCH($A73,PlotNumber,0),MATCH(I$3,PlotTitles,0))),"",(DATEVALUE(INDEX(PlotData,MATCH($A73,PlotNumber,0),MATCH(I$3,PlotTitles,0))&amp;INDEX(PlotData,MATCH($A73,PlotNumber,0),MATCH(J$3,PlotTitles,0))))&lt;DATEVALUE(StartDateMonth&amp;StartDateYear),$AB$15,TRUE,"")</f>
        <v/>
      </c>
      <c r="M73" s="104" t="str" cm="1">
        <f t="array" ref="M73">_xlfn.IFS(OR(ISBLANK(StartDateMonth),ISBLANK(StartDateYear)),"",AND(A73&gt;NumberOfPlots,ISBLANK(INDEX(PlotData,MATCH($A73,PlotNumber,0),MATCH(B$3,PlotTitles,0)))),"",ISBLANK(INDEX(PlotData,MATCH($A73,PlotNumber,0),MATCH(I$3,PlotTitles,0))),"",CompletionMonth="","",(DATEVALUE(INDEX(PlotData,MATCH($A73,PlotNumber,0),MATCH(I$3,PlotTitles,0))&amp;INDEX(PlotData,MATCH($A73,PlotNumber,0),MATCH(J$3,PlotTitles,0))))&gt;(DATEVALUE(CompletionMonth&amp;CompletionYear)),$AB$16,TRUE,"")</f>
        <v/>
      </c>
      <c r="N73" s="104" t="str" cm="1">
        <f t="array" ref="N73">_xlfn.IFS(AND(A73&gt;NumberOfPlots,ISBLANK(INDEX(PlotData,MATCH($A73,PlotNumber,0),MATCH(B$3,PlotTitles,0)))),"",ISBLANK(INDEX(PlotData,MATCH($A73,PlotNumber,0),MATCH(N$3,PlotTitles,0))),$AB$17,TRUE,"")</f>
        <v/>
      </c>
      <c r="O73" s="104" t="str" cm="1">
        <f t="array" ref="O73">_xlfn.IFS(AND(A73&gt;NumberOfPlots,ISBLANK(INDEX(PlotData,MATCH($A73,PlotNumber,0),MATCH(B$3,PlotTitles,0)))),"",ISBLANK(INDEX(PlotData,MATCH($A73,PlotNumber,0),MATCH(O$3,PlotTitles,0))),$AB$18,TRUE,"")</f>
        <v/>
      </c>
      <c r="P73" s="182" t="str">
        <f t="shared" ca="1" si="4"/>
        <v/>
      </c>
      <c r="Q73" s="104" t="str" cm="1">
        <f t="array" ref="Q73">_xlfn.IFS(AND(A73&gt;NumberOfPlots,ISBLANK(INDEX(PlotData,MATCH($A73,PlotNumber,0),MATCH(B$3,PlotTitles,0)))),"",ISBLANK(INDEX(PlotData,MATCH($A73,PlotNumber,0),MATCH(N$3,PlotTitles,0))),"",(DATEVALUE(INDEX(PlotData,MATCH($A73,PlotNumber,0),MATCH(N$3,PlotTitles,0))&amp;INDEX(PlotData,MATCH($A73,PlotNumber,0),MATCH(O$3,PlotTitles,0))))&lt;(DATEVALUE(INDEX(PlotData,MATCH($A73,PlotNumber,0),MATCH(I$3,PlotTitles,0))&amp;INDEX(PlotData,MATCH($A73,PlotNumber,0),MATCH(J$3,PlotTitles,0)))),$AB$20,TRUE,"")</f>
        <v/>
      </c>
      <c r="R73" s="104" t="str" cm="1">
        <f t="array" ref="R73">_xlfn.IFS(OR(ISBLANK(StartDateMonth),ISBLANK(StartDateYear)),"",AND(A73&gt;NumberOfPlots,ISBLANK(INDEX(PlotData,MATCH($A73,PlotNumber,0),MATCH(B$3,PlotTitles,0)))),"",ISBLANK(INDEX(PlotData,MATCH($A73,PlotNumber,0),MATCH(N$3,PlotTitles,0))),"",CompletionMonth="","",(DATEVALUE(INDEX(PlotData,MATCH($A73,PlotNumber,0),MATCH(N$3,PlotTitles,0))&amp;INDEX(PlotData,MATCH($A73,PlotNumber,0),MATCH(O$3,PlotTitles,0))))&gt;(DATEVALUE(CompletionMonth&amp;CompletionYear)),$AB$21,TRUE,"")</f>
        <v/>
      </c>
      <c r="S73" s="104" t="str" cm="1">
        <f t="array" ref="S73">_xlfn.IFS(AND(A73&gt;NumberOfPlots,ISBLANK(INDEX(PlotData,MATCH($A73,PlotNumber,0),MATCH(B$3,PlotTitles,0)))),"",OR(AND(INDEX(PlotData,MATCH($A73,PlotNumber,0),MATCH("Tenure",PlotTitles,0))="Open market housing",INDEX(PlotData,MATCH($A73,PlotNumber,0),MATCH("Tenure detail",PlotTitles,0))="Private rented sector"),INDEX(PlotData,MATCH($A73,PlotNumber,0),MATCH("Tenure",PlotTitles,0))="Affordable rent"),"",ISNUMBER(INDEX(PlotData,MATCH($A73,PlotNumber,0),MATCH(S$3,PlotTitles,0)))=FALSE, $AB$22,TRUE,"")</f>
        <v/>
      </c>
      <c r="T73" s="104" t="str" cm="1">
        <f t="array" ref="T73">_xlfn.IFS(AND(A73&gt;NumberOfPlots,ISBLANK(INDEX(PlotData,MATCH($A73,PlotNumber,0),MATCH(B$3,PlotTitles,0)))),"",OR(AND(INDEX(PlotData,MATCH($A73,PlotNumber,0),MATCH("Tenure",PlotTitles,0))="Open market housing",INDEX(PlotData,MATCH($A73,PlotNumber,0),MATCH("Tenure detail",PlotTitles,0))="Private rented sector"),INDEX(PlotData,MATCH($A73,PlotNumber,0),MATCH("Tenure",PlotTitles,0))="Affordable rent"),"",INDEX(PlotData,MATCH($A73,PlotNumber,0),MATCH(S$3,PlotTitles,0))&lt;10000, $AB$23,TRUE,"")</f>
        <v/>
      </c>
      <c r="U73" s="104" t="str" cm="1">
        <f t="array" ref="U73">_xlfn.IFS(AND(A73&gt;NumberOfPlots,ISBLANK(INDEX(PlotData,MATCH($A73,PlotNumber,0),MATCH(B$3,PlotTitles,0)))),"",NOT(OR(AND(INDEX(PlotData,MATCH($A73,PlotNumber,0),MATCH("Tenure",PlotTitles,0))="Open market housing",INDEX(PlotData,MATCH($A73,PlotNumber,0),MATCH("Tenure detail",PlotTitles,0))="Private rented sector"),INDEX(PlotData,MATCH($A73,PlotNumber,0),MATCH("Tenure",PlotTitles,0))="Affordable rent")),"",NOT(INDEX(PlotData,MATCH($A73,PlotNumber,0),MATCH(S$3,PlotTitles,0))=0), $AB$24,TRUE,"")</f>
        <v/>
      </c>
      <c r="V73" s="114" t="str" cm="1">
        <f t="array" aca="1" ref="V73" ca="1">_xlfn.IFS(ISBLANK(NumberOfPlots),"Enter the number of homes on the 1_SetUp sheet",AND(A73&gt;NumberOfPlots,ISBLANK(INDEX(PlotData,MATCH($A73,PlotNumber,0),MATCH(B$3,PlotTitles,0)))),"No error",NOT(B73=""),B73,NOT(C73=""),C73,NOT(D73=""),D73,NOT(E73=""),E73,NOT(F73=""),F73,NOT(G73=""),G73,NOT(H73=""),H73,NOT(I73=""),I73,NOT(J73=""),J73,NOT(K73=""),K73,NOT(L73=""),L73,NOT(M73=""),M73,NOT(N73=""),N73,NOT(O73=""),O73,NOT(P73=""),P73,NOT(Q73=""),Q73,NOT(R73=""),R73,NOT(S73=""),S73,NOT(T73=""),T73,NOT(U73=""),U73,TRUE,"No error")</f>
        <v>Enter the number of homes on the 1_SetUp sheet</v>
      </c>
      <c r="W73" s="114" t="str">
        <f t="shared" ca="1" si="5"/>
        <v xml:space="preserve">The Borrower has not addressed the following error messages for Home ID 69: </v>
      </c>
    </row>
    <row r="74" spans="1:23">
      <c r="A74" s="123">
        <v>70</v>
      </c>
      <c r="B74" s="104" t="str" cm="1">
        <f t="array" ref="B74">_xlfn.IFS(AND(A74&gt;NumberOfPlots,ISBLANK(INDEX(PlotData,MATCH($A74,PlotNumber,0),MATCH(B$3,PlotTitles,0)))),"",ISNUMBER(INDEX(PlotData,MATCH($A74,PlotNumber,0),MATCH(B$3,PlotTitles,0)))=FALSE, $AB$5,TRUE,"")</f>
        <v/>
      </c>
      <c r="C74" s="104" t="str" cm="1">
        <f t="array" ref="C74">_xlfn.IFS(AND(A74&gt;NumberOfPlots,ISBLANK(INDEX(PlotData,MATCH($A74,PlotNumber,0),MATCH(B$3,PlotTitles,0)))),"",ISBLANK(INDEX(PlotData,MATCH($A74,PlotNumber,0),MATCH(C$3,PlotTitles,0))),$AB$6,TRUE,"")</f>
        <v/>
      </c>
      <c r="D74" s="104" t="str" cm="1">
        <f t="array" ref="D74">_xlfn.IFS(AND(A74&gt;NumberOfPlots,ISBLANK(INDEX(PlotData,MATCH($A74,PlotNumber,0),MATCH(B$3,PlotTitles,0)))),"",ISBLANK(INDEX(PlotData,MATCH($A74,PlotNumber,0),MATCH(D$3,PlotTitles,0))),$AB$7,TRUE,"")</f>
        <v/>
      </c>
      <c r="E74" s="104" t="str" cm="1">
        <f t="array" ref="E74">_xlfn.IFS(AND(A74&gt;NumberOfPlots,ISBLANK(INDEX(PlotData,MATCH($A74,PlotNumber,0),MATCH(B$3,PlotTitles,0)))),"",ISBLANK(INDEX(PlotData,MATCH($A74,PlotNumber,0),MATCH(E$3,PlotTitles,0))),$AB$8,TRUE,"")</f>
        <v/>
      </c>
      <c r="F74" s="104" t="str" cm="1">
        <f t="array" ref="F74">_xlfn.IFS(AND(A74&gt;NumberOfPlots,ISBLANK(INDEX(PlotData,MATCH($A74,PlotNumber,0),MATCH(B$3,PlotTitles,0)))),"",ISBLANK(INDEX(PlotData,MATCH($A74,PlotNumber,0),MATCH(F$3,PlotTitles,0))),$AB$9,TRUE,"")</f>
        <v/>
      </c>
      <c r="G74" s="104" t="str" cm="1">
        <f t="array" ref="G74">_xlfn.IFS(AND(A74&gt;NumberOfPlots,ISBLANK(INDEX(PlotData,MATCH($A74,PlotNumber,0),MATCH(B$3,PlotTitles,0)))),"",ISBLANK(INDEX(PlotData,MATCH($A74,PlotNumber,0),MATCH(G$3,PlotTitles,0))),$AB$10,TRUE,"")</f>
        <v/>
      </c>
      <c r="H74" s="104" t="str" cm="1">
        <f t="array" ref="H74">_xlfn.IFS(AND(A74&gt;NumberOfPlots,ISBLANK(INDEX(PlotData,MATCH($A74,PlotNumber,0),MATCH(B$3,PlotTitles,0)))),"",AND(ISBLANK(INDEX(PlotData,MATCH($A74,PlotNumber,0),MATCH(H$3,PlotTitles,0)))=FALSE,INDEX(PlotData,MATCH($A74,PlotNumber,0),MATCH(H$3,PlotTitles,0))&lt;500), $AB$11,TRUE,"")</f>
        <v/>
      </c>
      <c r="I74" s="104" t="str" cm="1">
        <f t="array" ref="I74">_xlfn.IFS(AND(A74&gt;NumberOfPlots,ISBLANK(INDEX(PlotData,MATCH($A74,PlotNumber,0),MATCH(B$3,PlotTitles,0)))),"",ISBLANK(INDEX(PlotData,MATCH($A74,PlotNumber,0),MATCH(I$3,PlotTitles,0))),$AB$12,TRUE,"")</f>
        <v/>
      </c>
      <c r="J74" s="104" t="str" cm="1">
        <f t="array" ref="J74">_xlfn.IFS(AND(A74&gt;NumberOfPlots,ISBLANK(INDEX(PlotData,MATCH($A74,PlotNumber,0),MATCH(B$3,PlotTitles,0)))),"",ISBLANK(INDEX(PlotData,MATCH($A74,PlotNumber,0),MATCH(J$3,PlotTitles,0))),$AB$13,TRUE,"")</f>
        <v/>
      </c>
      <c r="K74" s="182" t="str">
        <f t="shared" ca="1" si="3"/>
        <v/>
      </c>
      <c r="L74" s="104" t="str" cm="1">
        <f t="array" ref="L74">_xlfn.IFS(OR(ISBLANK(StartDateMonth),ISBLANK(StartDateYear)),"",AND(A74&gt;NumberOfPlots,ISBLANK(INDEX(PlotData,MATCH($A74,PlotNumber,0),MATCH(B$3,PlotTitles,0)))),"",ISBLANK(INDEX(PlotData,MATCH($A74,PlotNumber,0),MATCH(I$3,PlotTitles,0))),"",(DATEVALUE(INDEX(PlotData,MATCH($A74,PlotNumber,0),MATCH(I$3,PlotTitles,0))&amp;INDEX(PlotData,MATCH($A74,PlotNumber,0),MATCH(J$3,PlotTitles,0))))&lt;DATEVALUE(StartDateMonth&amp;StartDateYear),$AB$15,TRUE,"")</f>
        <v/>
      </c>
      <c r="M74" s="104" t="str" cm="1">
        <f t="array" ref="M74">_xlfn.IFS(OR(ISBLANK(StartDateMonth),ISBLANK(StartDateYear)),"",AND(A74&gt;NumberOfPlots,ISBLANK(INDEX(PlotData,MATCH($A74,PlotNumber,0),MATCH(B$3,PlotTitles,0)))),"",ISBLANK(INDEX(PlotData,MATCH($A74,PlotNumber,0),MATCH(I$3,PlotTitles,0))),"",CompletionMonth="","",(DATEVALUE(INDEX(PlotData,MATCH($A74,PlotNumber,0),MATCH(I$3,PlotTitles,0))&amp;INDEX(PlotData,MATCH($A74,PlotNumber,0),MATCH(J$3,PlotTitles,0))))&gt;(DATEVALUE(CompletionMonth&amp;CompletionYear)),$AB$16,TRUE,"")</f>
        <v/>
      </c>
      <c r="N74" s="104" t="str" cm="1">
        <f t="array" ref="N74">_xlfn.IFS(AND(A74&gt;NumberOfPlots,ISBLANK(INDEX(PlotData,MATCH($A74,PlotNumber,0),MATCH(B$3,PlotTitles,0)))),"",ISBLANK(INDEX(PlotData,MATCH($A74,PlotNumber,0),MATCH(N$3,PlotTitles,0))),$AB$17,TRUE,"")</f>
        <v/>
      </c>
      <c r="O74" s="104" t="str" cm="1">
        <f t="array" ref="O74">_xlfn.IFS(AND(A74&gt;NumberOfPlots,ISBLANK(INDEX(PlotData,MATCH($A74,PlotNumber,0),MATCH(B$3,PlotTitles,0)))),"",ISBLANK(INDEX(PlotData,MATCH($A74,PlotNumber,0),MATCH(O$3,PlotTitles,0))),$AB$18,TRUE,"")</f>
        <v/>
      </c>
      <c r="P74" s="182" t="str">
        <f t="shared" ca="1" si="4"/>
        <v/>
      </c>
      <c r="Q74" s="104" t="str" cm="1">
        <f t="array" ref="Q74">_xlfn.IFS(AND(A74&gt;NumberOfPlots,ISBLANK(INDEX(PlotData,MATCH($A74,PlotNumber,0),MATCH(B$3,PlotTitles,0)))),"",ISBLANK(INDEX(PlotData,MATCH($A74,PlotNumber,0),MATCH(N$3,PlotTitles,0))),"",(DATEVALUE(INDEX(PlotData,MATCH($A74,PlotNumber,0),MATCH(N$3,PlotTitles,0))&amp;INDEX(PlotData,MATCH($A74,PlotNumber,0),MATCH(O$3,PlotTitles,0))))&lt;(DATEVALUE(INDEX(PlotData,MATCH($A74,PlotNumber,0),MATCH(I$3,PlotTitles,0))&amp;INDEX(PlotData,MATCH($A74,PlotNumber,0),MATCH(J$3,PlotTitles,0)))),$AB$20,TRUE,"")</f>
        <v/>
      </c>
      <c r="R74" s="104" t="str" cm="1">
        <f t="array" ref="R74">_xlfn.IFS(OR(ISBLANK(StartDateMonth),ISBLANK(StartDateYear)),"",AND(A74&gt;NumberOfPlots,ISBLANK(INDEX(PlotData,MATCH($A74,PlotNumber,0),MATCH(B$3,PlotTitles,0)))),"",ISBLANK(INDEX(PlotData,MATCH($A74,PlotNumber,0),MATCH(N$3,PlotTitles,0))),"",CompletionMonth="","",(DATEVALUE(INDEX(PlotData,MATCH($A74,PlotNumber,0),MATCH(N$3,PlotTitles,0))&amp;INDEX(PlotData,MATCH($A74,PlotNumber,0),MATCH(O$3,PlotTitles,0))))&gt;(DATEVALUE(CompletionMonth&amp;CompletionYear)),$AB$21,TRUE,"")</f>
        <v/>
      </c>
      <c r="S74" s="104" t="str" cm="1">
        <f t="array" ref="S74">_xlfn.IFS(AND(A74&gt;NumberOfPlots,ISBLANK(INDEX(PlotData,MATCH($A74,PlotNumber,0),MATCH(B$3,PlotTitles,0)))),"",OR(AND(INDEX(PlotData,MATCH($A74,PlotNumber,0),MATCH("Tenure",PlotTitles,0))="Open market housing",INDEX(PlotData,MATCH($A74,PlotNumber,0),MATCH("Tenure detail",PlotTitles,0))="Private rented sector"),INDEX(PlotData,MATCH($A74,PlotNumber,0),MATCH("Tenure",PlotTitles,0))="Affordable rent"),"",ISNUMBER(INDEX(PlotData,MATCH($A74,PlotNumber,0),MATCH(S$3,PlotTitles,0)))=FALSE, $AB$22,TRUE,"")</f>
        <v/>
      </c>
      <c r="T74" s="104" t="str" cm="1">
        <f t="array" ref="T74">_xlfn.IFS(AND(A74&gt;NumberOfPlots,ISBLANK(INDEX(PlotData,MATCH($A74,PlotNumber,0),MATCH(B$3,PlotTitles,0)))),"",OR(AND(INDEX(PlotData,MATCH($A74,PlotNumber,0),MATCH("Tenure",PlotTitles,0))="Open market housing",INDEX(PlotData,MATCH($A74,PlotNumber,0),MATCH("Tenure detail",PlotTitles,0))="Private rented sector"),INDEX(PlotData,MATCH($A74,PlotNumber,0),MATCH("Tenure",PlotTitles,0))="Affordable rent"),"",INDEX(PlotData,MATCH($A74,PlotNumber,0),MATCH(S$3,PlotTitles,0))&lt;10000, $AB$23,TRUE,"")</f>
        <v/>
      </c>
      <c r="U74" s="104" t="str" cm="1">
        <f t="array" ref="U74">_xlfn.IFS(AND(A74&gt;NumberOfPlots,ISBLANK(INDEX(PlotData,MATCH($A74,PlotNumber,0),MATCH(B$3,PlotTitles,0)))),"",NOT(OR(AND(INDEX(PlotData,MATCH($A74,PlotNumber,0),MATCH("Tenure",PlotTitles,0))="Open market housing",INDEX(PlotData,MATCH($A74,PlotNumber,0),MATCH("Tenure detail",PlotTitles,0))="Private rented sector"),INDEX(PlotData,MATCH($A74,PlotNumber,0),MATCH("Tenure",PlotTitles,0))="Affordable rent")),"",NOT(INDEX(PlotData,MATCH($A74,PlotNumber,0),MATCH(S$3,PlotTitles,0))=0), $AB$24,TRUE,"")</f>
        <v/>
      </c>
      <c r="V74" s="114" t="str" cm="1">
        <f t="array" aca="1" ref="V74" ca="1">_xlfn.IFS(ISBLANK(NumberOfPlots),"Enter the number of homes on the 1_SetUp sheet",AND(A74&gt;NumberOfPlots,ISBLANK(INDEX(PlotData,MATCH($A74,PlotNumber,0),MATCH(B$3,PlotTitles,0)))),"No error",NOT(B74=""),B74,NOT(C74=""),C74,NOT(D74=""),D74,NOT(E74=""),E74,NOT(F74=""),F74,NOT(G74=""),G74,NOT(H74=""),H74,NOT(I74=""),I74,NOT(J74=""),J74,NOT(K74=""),K74,NOT(L74=""),L74,NOT(M74=""),M74,NOT(N74=""),N74,NOT(O74=""),O74,NOT(P74=""),P74,NOT(Q74=""),Q74,NOT(R74=""),R74,NOT(S74=""),S74,NOT(T74=""),T74,NOT(U74=""),U74,TRUE,"No error")</f>
        <v>Enter the number of homes on the 1_SetUp sheet</v>
      </c>
      <c r="W74" s="114" t="str">
        <f t="shared" ca="1" si="5"/>
        <v xml:space="preserve">The Borrower has not addressed the following error messages for Home ID 70: </v>
      </c>
    </row>
    <row r="75" spans="1:23">
      <c r="A75" s="123">
        <v>71</v>
      </c>
      <c r="B75" s="104" t="str" cm="1">
        <f t="array" ref="B75">_xlfn.IFS(AND(A75&gt;NumberOfPlots,ISBLANK(INDEX(PlotData,MATCH($A75,PlotNumber,0),MATCH(B$3,PlotTitles,0)))),"",ISNUMBER(INDEX(PlotData,MATCH($A75,PlotNumber,0),MATCH(B$3,PlotTitles,0)))=FALSE, $AB$5,TRUE,"")</f>
        <v/>
      </c>
      <c r="C75" s="104" t="str" cm="1">
        <f t="array" ref="C75">_xlfn.IFS(AND(A75&gt;NumberOfPlots,ISBLANK(INDEX(PlotData,MATCH($A75,PlotNumber,0),MATCH(B$3,PlotTitles,0)))),"",ISBLANK(INDEX(PlotData,MATCH($A75,PlotNumber,0),MATCH(C$3,PlotTitles,0))),$AB$6,TRUE,"")</f>
        <v/>
      </c>
      <c r="D75" s="104" t="str" cm="1">
        <f t="array" ref="D75">_xlfn.IFS(AND(A75&gt;NumberOfPlots,ISBLANK(INDEX(PlotData,MATCH($A75,PlotNumber,0),MATCH(B$3,PlotTitles,0)))),"",ISBLANK(INDEX(PlotData,MATCH($A75,PlotNumber,0),MATCH(D$3,PlotTitles,0))),$AB$7,TRUE,"")</f>
        <v/>
      </c>
      <c r="E75" s="104" t="str" cm="1">
        <f t="array" ref="E75">_xlfn.IFS(AND(A75&gt;NumberOfPlots,ISBLANK(INDEX(PlotData,MATCH($A75,PlotNumber,0),MATCH(B$3,PlotTitles,0)))),"",ISBLANK(INDEX(PlotData,MATCH($A75,PlotNumber,0),MATCH(E$3,PlotTitles,0))),$AB$8,TRUE,"")</f>
        <v/>
      </c>
      <c r="F75" s="104" t="str" cm="1">
        <f t="array" ref="F75">_xlfn.IFS(AND(A75&gt;NumberOfPlots,ISBLANK(INDEX(PlotData,MATCH($A75,PlotNumber,0),MATCH(B$3,PlotTitles,0)))),"",ISBLANK(INDEX(PlotData,MATCH($A75,PlotNumber,0),MATCH(F$3,PlotTitles,0))),$AB$9,TRUE,"")</f>
        <v/>
      </c>
      <c r="G75" s="104" t="str" cm="1">
        <f t="array" ref="G75">_xlfn.IFS(AND(A75&gt;NumberOfPlots,ISBLANK(INDEX(PlotData,MATCH($A75,PlotNumber,0),MATCH(B$3,PlotTitles,0)))),"",ISBLANK(INDEX(PlotData,MATCH($A75,PlotNumber,0),MATCH(G$3,PlotTitles,0))),$AB$10,TRUE,"")</f>
        <v/>
      </c>
      <c r="H75" s="104" t="str" cm="1">
        <f t="array" ref="H75">_xlfn.IFS(AND(A75&gt;NumberOfPlots,ISBLANK(INDEX(PlotData,MATCH($A75,PlotNumber,0),MATCH(B$3,PlotTitles,0)))),"",AND(ISBLANK(INDEX(PlotData,MATCH($A75,PlotNumber,0),MATCH(H$3,PlotTitles,0)))=FALSE,INDEX(PlotData,MATCH($A75,PlotNumber,0),MATCH(H$3,PlotTitles,0))&lt;500), $AB$11,TRUE,"")</f>
        <v/>
      </c>
      <c r="I75" s="104" t="str" cm="1">
        <f t="array" ref="I75">_xlfn.IFS(AND(A75&gt;NumberOfPlots,ISBLANK(INDEX(PlotData,MATCH($A75,PlotNumber,0),MATCH(B$3,PlotTitles,0)))),"",ISBLANK(INDEX(PlotData,MATCH($A75,PlotNumber,0),MATCH(I$3,PlotTitles,0))),$AB$12,TRUE,"")</f>
        <v/>
      </c>
      <c r="J75" s="104" t="str" cm="1">
        <f t="array" ref="J75">_xlfn.IFS(AND(A75&gt;NumberOfPlots,ISBLANK(INDEX(PlotData,MATCH($A75,PlotNumber,0),MATCH(B$3,PlotTitles,0)))),"",ISBLANK(INDEX(PlotData,MATCH($A75,PlotNumber,0),MATCH(J$3,PlotTitles,0))),$AB$13,TRUE,"")</f>
        <v/>
      </c>
      <c r="K75" s="182" t="str">
        <f t="shared" ca="1" si="3"/>
        <v/>
      </c>
      <c r="L75" s="104" t="str" cm="1">
        <f t="array" ref="L75">_xlfn.IFS(OR(ISBLANK(StartDateMonth),ISBLANK(StartDateYear)),"",AND(A75&gt;NumberOfPlots,ISBLANK(INDEX(PlotData,MATCH($A75,PlotNumber,0),MATCH(B$3,PlotTitles,0)))),"",ISBLANK(INDEX(PlotData,MATCH($A75,PlotNumber,0),MATCH(I$3,PlotTitles,0))),"",(DATEVALUE(INDEX(PlotData,MATCH($A75,PlotNumber,0),MATCH(I$3,PlotTitles,0))&amp;INDEX(PlotData,MATCH($A75,PlotNumber,0),MATCH(J$3,PlotTitles,0))))&lt;DATEVALUE(StartDateMonth&amp;StartDateYear),$AB$15,TRUE,"")</f>
        <v/>
      </c>
      <c r="M75" s="104" t="str" cm="1">
        <f t="array" ref="M75">_xlfn.IFS(OR(ISBLANK(StartDateMonth),ISBLANK(StartDateYear)),"",AND(A75&gt;NumberOfPlots,ISBLANK(INDEX(PlotData,MATCH($A75,PlotNumber,0),MATCH(B$3,PlotTitles,0)))),"",ISBLANK(INDEX(PlotData,MATCH($A75,PlotNumber,0),MATCH(I$3,PlotTitles,0))),"",CompletionMonth="","",(DATEVALUE(INDEX(PlotData,MATCH($A75,PlotNumber,0),MATCH(I$3,PlotTitles,0))&amp;INDEX(PlotData,MATCH($A75,PlotNumber,0),MATCH(J$3,PlotTitles,0))))&gt;(DATEVALUE(CompletionMonth&amp;CompletionYear)),$AB$16,TRUE,"")</f>
        <v/>
      </c>
      <c r="N75" s="104" t="str" cm="1">
        <f t="array" ref="N75">_xlfn.IFS(AND(A75&gt;NumberOfPlots,ISBLANK(INDEX(PlotData,MATCH($A75,PlotNumber,0),MATCH(B$3,PlotTitles,0)))),"",ISBLANK(INDEX(PlotData,MATCH($A75,PlotNumber,0),MATCH(N$3,PlotTitles,0))),$AB$17,TRUE,"")</f>
        <v/>
      </c>
      <c r="O75" s="104" t="str" cm="1">
        <f t="array" ref="O75">_xlfn.IFS(AND(A75&gt;NumberOfPlots,ISBLANK(INDEX(PlotData,MATCH($A75,PlotNumber,0),MATCH(B$3,PlotTitles,0)))),"",ISBLANK(INDEX(PlotData,MATCH($A75,PlotNumber,0),MATCH(O$3,PlotTitles,0))),$AB$18,TRUE,"")</f>
        <v/>
      </c>
      <c r="P75" s="182" t="str">
        <f t="shared" ca="1" si="4"/>
        <v/>
      </c>
      <c r="Q75" s="104" t="str" cm="1">
        <f t="array" ref="Q75">_xlfn.IFS(AND(A75&gt;NumberOfPlots,ISBLANK(INDEX(PlotData,MATCH($A75,PlotNumber,0),MATCH(B$3,PlotTitles,0)))),"",ISBLANK(INDEX(PlotData,MATCH($A75,PlotNumber,0),MATCH(N$3,PlotTitles,0))),"",(DATEVALUE(INDEX(PlotData,MATCH($A75,PlotNumber,0),MATCH(N$3,PlotTitles,0))&amp;INDEX(PlotData,MATCH($A75,PlotNumber,0),MATCH(O$3,PlotTitles,0))))&lt;(DATEVALUE(INDEX(PlotData,MATCH($A75,PlotNumber,0),MATCH(I$3,PlotTitles,0))&amp;INDEX(PlotData,MATCH($A75,PlotNumber,0),MATCH(J$3,PlotTitles,0)))),$AB$20,TRUE,"")</f>
        <v/>
      </c>
      <c r="R75" s="104" t="str" cm="1">
        <f t="array" ref="R75">_xlfn.IFS(OR(ISBLANK(StartDateMonth),ISBLANK(StartDateYear)),"",AND(A75&gt;NumberOfPlots,ISBLANK(INDEX(PlotData,MATCH($A75,PlotNumber,0),MATCH(B$3,PlotTitles,0)))),"",ISBLANK(INDEX(PlotData,MATCH($A75,PlotNumber,0),MATCH(N$3,PlotTitles,0))),"",CompletionMonth="","",(DATEVALUE(INDEX(PlotData,MATCH($A75,PlotNumber,0),MATCH(N$3,PlotTitles,0))&amp;INDEX(PlotData,MATCH($A75,PlotNumber,0),MATCH(O$3,PlotTitles,0))))&gt;(DATEVALUE(CompletionMonth&amp;CompletionYear)),$AB$21,TRUE,"")</f>
        <v/>
      </c>
      <c r="S75" s="104" t="str" cm="1">
        <f t="array" ref="S75">_xlfn.IFS(AND(A75&gt;NumberOfPlots,ISBLANK(INDEX(PlotData,MATCH($A75,PlotNumber,0),MATCH(B$3,PlotTitles,0)))),"",OR(AND(INDEX(PlotData,MATCH($A75,PlotNumber,0),MATCH("Tenure",PlotTitles,0))="Open market housing",INDEX(PlotData,MATCH($A75,PlotNumber,0),MATCH("Tenure detail",PlotTitles,0))="Private rented sector"),INDEX(PlotData,MATCH($A75,PlotNumber,0),MATCH("Tenure",PlotTitles,0))="Affordable rent"),"",ISNUMBER(INDEX(PlotData,MATCH($A75,PlotNumber,0),MATCH(S$3,PlotTitles,0)))=FALSE, $AB$22,TRUE,"")</f>
        <v/>
      </c>
      <c r="T75" s="104" t="str" cm="1">
        <f t="array" ref="T75">_xlfn.IFS(AND(A75&gt;NumberOfPlots,ISBLANK(INDEX(PlotData,MATCH($A75,PlotNumber,0),MATCH(B$3,PlotTitles,0)))),"",OR(AND(INDEX(PlotData,MATCH($A75,PlotNumber,0),MATCH("Tenure",PlotTitles,0))="Open market housing",INDEX(PlotData,MATCH($A75,PlotNumber,0),MATCH("Tenure detail",PlotTitles,0))="Private rented sector"),INDEX(PlotData,MATCH($A75,PlotNumber,0),MATCH("Tenure",PlotTitles,0))="Affordable rent"),"",INDEX(PlotData,MATCH($A75,PlotNumber,0),MATCH(S$3,PlotTitles,0))&lt;10000, $AB$23,TRUE,"")</f>
        <v/>
      </c>
      <c r="U75" s="104" t="str" cm="1">
        <f t="array" ref="U75">_xlfn.IFS(AND(A75&gt;NumberOfPlots,ISBLANK(INDEX(PlotData,MATCH($A75,PlotNumber,0),MATCH(B$3,PlotTitles,0)))),"",NOT(OR(AND(INDEX(PlotData,MATCH($A75,PlotNumber,0),MATCH("Tenure",PlotTitles,0))="Open market housing",INDEX(PlotData,MATCH($A75,PlotNumber,0),MATCH("Tenure detail",PlotTitles,0))="Private rented sector"),INDEX(PlotData,MATCH($A75,PlotNumber,0),MATCH("Tenure",PlotTitles,0))="Affordable rent")),"",NOT(INDEX(PlotData,MATCH($A75,PlotNumber,0),MATCH(S$3,PlotTitles,0))=0), $AB$24,TRUE,"")</f>
        <v/>
      </c>
      <c r="V75" s="114" t="str" cm="1">
        <f t="array" aca="1" ref="V75" ca="1">_xlfn.IFS(ISBLANK(NumberOfPlots),"Enter the number of homes on the 1_SetUp sheet",AND(A75&gt;NumberOfPlots,ISBLANK(INDEX(PlotData,MATCH($A75,PlotNumber,0),MATCH(B$3,PlotTitles,0)))),"No error",NOT(B75=""),B75,NOT(C75=""),C75,NOT(D75=""),D75,NOT(E75=""),E75,NOT(F75=""),F75,NOT(G75=""),G75,NOT(H75=""),H75,NOT(I75=""),I75,NOT(J75=""),J75,NOT(K75=""),K75,NOT(L75=""),L75,NOT(M75=""),M75,NOT(N75=""),N75,NOT(O75=""),O75,NOT(P75=""),P75,NOT(Q75=""),Q75,NOT(R75=""),R75,NOT(S75=""),S75,NOT(T75=""),T75,NOT(U75=""),U75,TRUE,"No error")</f>
        <v>Enter the number of homes on the 1_SetUp sheet</v>
      </c>
      <c r="W75" s="114" t="str">
        <f t="shared" ca="1" si="5"/>
        <v xml:space="preserve">The Borrower has not addressed the following error messages for Home ID 71: </v>
      </c>
    </row>
    <row r="76" spans="1:23">
      <c r="A76" s="123">
        <v>72</v>
      </c>
      <c r="B76" s="104" t="str" cm="1">
        <f t="array" ref="B76">_xlfn.IFS(AND(A76&gt;NumberOfPlots,ISBLANK(INDEX(PlotData,MATCH($A76,PlotNumber,0),MATCH(B$3,PlotTitles,0)))),"",ISNUMBER(INDEX(PlotData,MATCH($A76,PlotNumber,0),MATCH(B$3,PlotTitles,0)))=FALSE, $AB$5,TRUE,"")</f>
        <v/>
      </c>
      <c r="C76" s="104" t="str" cm="1">
        <f t="array" ref="C76">_xlfn.IFS(AND(A76&gt;NumberOfPlots,ISBLANK(INDEX(PlotData,MATCH($A76,PlotNumber,0),MATCH(B$3,PlotTitles,0)))),"",ISBLANK(INDEX(PlotData,MATCH($A76,PlotNumber,0),MATCH(C$3,PlotTitles,0))),$AB$6,TRUE,"")</f>
        <v/>
      </c>
      <c r="D76" s="104" t="str" cm="1">
        <f t="array" ref="D76">_xlfn.IFS(AND(A76&gt;NumberOfPlots,ISBLANK(INDEX(PlotData,MATCH($A76,PlotNumber,0),MATCH(B$3,PlotTitles,0)))),"",ISBLANK(INDEX(PlotData,MATCH($A76,PlotNumber,0),MATCH(D$3,PlotTitles,0))),$AB$7,TRUE,"")</f>
        <v/>
      </c>
      <c r="E76" s="104" t="str" cm="1">
        <f t="array" ref="E76">_xlfn.IFS(AND(A76&gt;NumberOfPlots,ISBLANK(INDEX(PlotData,MATCH($A76,PlotNumber,0),MATCH(B$3,PlotTitles,0)))),"",ISBLANK(INDEX(PlotData,MATCH($A76,PlotNumber,0),MATCH(E$3,PlotTitles,0))),$AB$8,TRUE,"")</f>
        <v/>
      </c>
      <c r="F76" s="104" t="str" cm="1">
        <f t="array" ref="F76">_xlfn.IFS(AND(A76&gt;NumberOfPlots,ISBLANK(INDEX(PlotData,MATCH($A76,PlotNumber,0),MATCH(B$3,PlotTitles,0)))),"",ISBLANK(INDEX(PlotData,MATCH($A76,PlotNumber,0),MATCH(F$3,PlotTitles,0))),$AB$9,TRUE,"")</f>
        <v/>
      </c>
      <c r="G76" s="104" t="str" cm="1">
        <f t="array" ref="G76">_xlfn.IFS(AND(A76&gt;NumberOfPlots,ISBLANK(INDEX(PlotData,MATCH($A76,PlotNumber,0),MATCH(B$3,PlotTitles,0)))),"",ISBLANK(INDEX(PlotData,MATCH($A76,PlotNumber,0),MATCH(G$3,PlotTitles,0))),$AB$10,TRUE,"")</f>
        <v/>
      </c>
      <c r="H76" s="104" t="str" cm="1">
        <f t="array" ref="H76">_xlfn.IFS(AND(A76&gt;NumberOfPlots,ISBLANK(INDEX(PlotData,MATCH($A76,PlotNumber,0),MATCH(B$3,PlotTitles,0)))),"",AND(ISBLANK(INDEX(PlotData,MATCH($A76,PlotNumber,0),MATCH(H$3,PlotTitles,0)))=FALSE,INDEX(PlotData,MATCH($A76,PlotNumber,0),MATCH(H$3,PlotTitles,0))&lt;500), $AB$11,TRUE,"")</f>
        <v/>
      </c>
      <c r="I76" s="104" t="str" cm="1">
        <f t="array" ref="I76">_xlfn.IFS(AND(A76&gt;NumberOfPlots,ISBLANK(INDEX(PlotData,MATCH($A76,PlotNumber,0),MATCH(B$3,PlotTitles,0)))),"",ISBLANK(INDEX(PlotData,MATCH($A76,PlotNumber,0),MATCH(I$3,PlotTitles,0))),$AB$12,TRUE,"")</f>
        <v/>
      </c>
      <c r="J76" s="104" t="str" cm="1">
        <f t="array" ref="J76">_xlfn.IFS(AND(A76&gt;NumberOfPlots,ISBLANK(INDEX(PlotData,MATCH($A76,PlotNumber,0),MATCH(B$3,PlotTitles,0)))),"",ISBLANK(INDEX(PlotData,MATCH($A76,PlotNumber,0),MATCH(J$3,PlotTitles,0))),$AB$13,TRUE,"")</f>
        <v/>
      </c>
      <c r="K76" s="182" t="str">
        <f t="shared" ca="1" si="3"/>
        <v/>
      </c>
      <c r="L76" s="104" t="str" cm="1">
        <f t="array" ref="L76">_xlfn.IFS(OR(ISBLANK(StartDateMonth),ISBLANK(StartDateYear)),"",AND(A76&gt;NumberOfPlots,ISBLANK(INDEX(PlotData,MATCH($A76,PlotNumber,0),MATCH(B$3,PlotTitles,0)))),"",ISBLANK(INDEX(PlotData,MATCH($A76,PlotNumber,0),MATCH(I$3,PlotTitles,0))),"",(DATEVALUE(INDEX(PlotData,MATCH($A76,PlotNumber,0),MATCH(I$3,PlotTitles,0))&amp;INDEX(PlotData,MATCH($A76,PlotNumber,0),MATCH(J$3,PlotTitles,0))))&lt;DATEVALUE(StartDateMonth&amp;StartDateYear),$AB$15,TRUE,"")</f>
        <v/>
      </c>
      <c r="M76" s="104" t="str" cm="1">
        <f t="array" ref="M76">_xlfn.IFS(OR(ISBLANK(StartDateMonth),ISBLANK(StartDateYear)),"",AND(A76&gt;NumberOfPlots,ISBLANK(INDEX(PlotData,MATCH($A76,PlotNumber,0),MATCH(B$3,PlotTitles,0)))),"",ISBLANK(INDEX(PlotData,MATCH($A76,PlotNumber,0),MATCH(I$3,PlotTitles,0))),"",CompletionMonth="","",(DATEVALUE(INDEX(PlotData,MATCH($A76,PlotNumber,0),MATCH(I$3,PlotTitles,0))&amp;INDEX(PlotData,MATCH($A76,PlotNumber,0),MATCH(J$3,PlotTitles,0))))&gt;(DATEVALUE(CompletionMonth&amp;CompletionYear)),$AB$16,TRUE,"")</f>
        <v/>
      </c>
      <c r="N76" s="104" t="str" cm="1">
        <f t="array" ref="N76">_xlfn.IFS(AND(A76&gt;NumberOfPlots,ISBLANK(INDEX(PlotData,MATCH($A76,PlotNumber,0),MATCH(B$3,PlotTitles,0)))),"",ISBLANK(INDEX(PlotData,MATCH($A76,PlotNumber,0),MATCH(N$3,PlotTitles,0))),$AB$17,TRUE,"")</f>
        <v/>
      </c>
      <c r="O76" s="104" t="str" cm="1">
        <f t="array" ref="O76">_xlfn.IFS(AND(A76&gt;NumberOfPlots,ISBLANK(INDEX(PlotData,MATCH($A76,PlotNumber,0),MATCH(B$3,PlotTitles,0)))),"",ISBLANK(INDEX(PlotData,MATCH($A76,PlotNumber,0),MATCH(O$3,PlotTitles,0))),$AB$18,TRUE,"")</f>
        <v/>
      </c>
      <c r="P76" s="182" t="str">
        <f t="shared" ca="1" si="4"/>
        <v/>
      </c>
      <c r="Q76" s="104" t="str" cm="1">
        <f t="array" ref="Q76">_xlfn.IFS(AND(A76&gt;NumberOfPlots,ISBLANK(INDEX(PlotData,MATCH($A76,PlotNumber,0),MATCH(B$3,PlotTitles,0)))),"",ISBLANK(INDEX(PlotData,MATCH($A76,PlotNumber,0),MATCH(N$3,PlotTitles,0))),"",(DATEVALUE(INDEX(PlotData,MATCH($A76,PlotNumber,0),MATCH(N$3,PlotTitles,0))&amp;INDEX(PlotData,MATCH($A76,PlotNumber,0),MATCH(O$3,PlotTitles,0))))&lt;(DATEVALUE(INDEX(PlotData,MATCH($A76,PlotNumber,0),MATCH(I$3,PlotTitles,0))&amp;INDEX(PlotData,MATCH($A76,PlotNumber,0),MATCH(J$3,PlotTitles,0)))),$AB$20,TRUE,"")</f>
        <v/>
      </c>
      <c r="R76" s="104" t="str" cm="1">
        <f t="array" ref="R76">_xlfn.IFS(OR(ISBLANK(StartDateMonth),ISBLANK(StartDateYear)),"",AND(A76&gt;NumberOfPlots,ISBLANK(INDEX(PlotData,MATCH($A76,PlotNumber,0),MATCH(B$3,PlotTitles,0)))),"",ISBLANK(INDEX(PlotData,MATCH($A76,PlotNumber,0),MATCH(N$3,PlotTitles,0))),"",CompletionMonth="","",(DATEVALUE(INDEX(PlotData,MATCH($A76,PlotNumber,0),MATCH(N$3,PlotTitles,0))&amp;INDEX(PlotData,MATCH($A76,PlotNumber,0),MATCH(O$3,PlotTitles,0))))&gt;(DATEVALUE(CompletionMonth&amp;CompletionYear)),$AB$21,TRUE,"")</f>
        <v/>
      </c>
      <c r="S76" s="104" t="str" cm="1">
        <f t="array" ref="S76">_xlfn.IFS(AND(A76&gt;NumberOfPlots,ISBLANK(INDEX(PlotData,MATCH($A76,PlotNumber,0),MATCH(B$3,PlotTitles,0)))),"",OR(AND(INDEX(PlotData,MATCH($A76,PlotNumber,0),MATCH("Tenure",PlotTitles,0))="Open market housing",INDEX(PlotData,MATCH($A76,PlotNumber,0),MATCH("Tenure detail",PlotTitles,0))="Private rented sector"),INDEX(PlotData,MATCH($A76,PlotNumber,0),MATCH("Tenure",PlotTitles,0))="Affordable rent"),"",ISNUMBER(INDEX(PlotData,MATCH($A76,PlotNumber,0),MATCH(S$3,PlotTitles,0)))=FALSE, $AB$22,TRUE,"")</f>
        <v/>
      </c>
      <c r="T76" s="104" t="str" cm="1">
        <f t="array" ref="T76">_xlfn.IFS(AND(A76&gt;NumberOfPlots,ISBLANK(INDEX(PlotData,MATCH($A76,PlotNumber,0),MATCH(B$3,PlotTitles,0)))),"",OR(AND(INDEX(PlotData,MATCH($A76,PlotNumber,0),MATCH("Tenure",PlotTitles,0))="Open market housing",INDEX(PlotData,MATCH($A76,PlotNumber,0),MATCH("Tenure detail",PlotTitles,0))="Private rented sector"),INDEX(PlotData,MATCH($A76,PlotNumber,0),MATCH("Tenure",PlotTitles,0))="Affordable rent"),"",INDEX(PlotData,MATCH($A76,PlotNumber,0),MATCH(S$3,PlotTitles,0))&lt;10000, $AB$23,TRUE,"")</f>
        <v/>
      </c>
      <c r="U76" s="104" t="str" cm="1">
        <f t="array" ref="U76">_xlfn.IFS(AND(A76&gt;NumberOfPlots,ISBLANK(INDEX(PlotData,MATCH($A76,PlotNumber,0),MATCH(B$3,PlotTitles,0)))),"",NOT(OR(AND(INDEX(PlotData,MATCH($A76,PlotNumber,0),MATCH("Tenure",PlotTitles,0))="Open market housing",INDEX(PlotData,MATCH($A76,PlotNumber,0),MATCH("Tenure detail",PlotTitles,0))="Private rented sector"),INDEX(PlotData,MATCH($A76,PlotNumber,0),MATCH("Tenure",PlotTitles,0))="Affordable rent")),"",NOT(INDEX(PlotData,MATCH($A76,PlotNumber,0),MATCH(S$3,PlotTitles,0))=0), $AB$24,TRUE,"")</f>
        <v/>
      </c>
      <c r="V76" s="114" t="str" cm="1">
        <f t="array" aca="1" ref="V76" ca="1">_xlfn.IFS(ISBLANK(NumberOfPlots),"Enter the number of homes on the 1_SetUp sheet",AND(A76&gt;NumberOfPlots,ISBLANK(INDEX(PlotData,MATCH($A76,PlotNumber,0),MATCH(B$3,PlotTitles,0)))),"No error",NOT(B76=""),B76,NOT(C76=""),C76,NOT(D76=""),D76,NOT(E76=""),E76,NOT(F76=""),F76,NOT(G76=""),G76,NOT(H76=""),H76,NOT(I76=""),I76,NOT(J76=""),J76,NOT(K76=""),K76,NOT(L76=""),L76,NOT(M76=""),M76,NOT(N76=""),N76,NOT(O76=""),O76,NOT(P76=""),P76,NOT(Q76=""),Q76,NOT(R76=""),R76,NOT(S76=""),S76,NOT(T76=""),T76,NOT(U76=""),U76,TRUE,"No error")</f>
        <v>Enter the number of homes on the 1_SetUp sheet</v>
      </c>
      <c r="W76" s="114" t="str">
        <f t="shared" ca="1" si="5"/>
        <v xml:space="preserve">The Borrower has not addressed the following error messages for Home ID 72: </v>
      </c>
    </row>
    <row r="77" spans="1:23">
      <c r="A77" s="123">
        <v>73</v>
      </c>
      <c r="B77" s="104" t="str" cm="1">
        <f t="array" ref="B77">_xlfn.IFS(AND(A77&gt;NumberOfPlots,ISBLANK(INDEX(PlotData,MATCH($A77,PlotNumber,0),MATCH(B$3,PlotTitles,0)))),"",ISNUMBER(INDEX(PlotData,MATCH($A77,PlotNumber,0),MATCH(B$3,PlotTitles,0)))=FALSE, $AB$5,TRUE,"")</f>
        <v/>
      </c>
      <c r="C77" s="104" t="str" cm="1">
        <f t="array" ref="C77">_xlfn.IFS(AND(A77&gt;NumberOfPlots,ISBLANK(INDEX(PlotData,MATCH($A77,PlotNumber,0),MATCH(B$3,PlotTitles,0)))),"",ISBLANK(INDEX(PlotData,MATCH($A77,PlotNumber,0),MATCH(C$3,PlotTitles,0))),$AB$6,TRUE,"")</f>
        <v/>
      </c>
      <c r="D77" s="104" t="str" cm="1">
        <f t="array" ref="D77">_xlfn.IFS(AND(A77&gt;NumberOfPlots,ISBLANK(INDEX(PlotData,MATCH($A77,PlotNumber,0),MATCH(B$3,PlotTitles,0)))),"",ISBLANK(INDEX(PlotData,MATCH($A77,PlotNumber,0),MATCH(D$3,PlotTitles,0))),$AB$7,TRUE,"")</f>
        <v/>
      </c>
      <c r="E77" s="104" t="str" cm="1">
        <f t="array" ref="E77">_xlfn.IFS(AND(A77&gt;NumberOfPlots,ISBLANK(INDEX(PlotData,MATCH($A77,PlotNumber,0),MATCH(B$3,PlotTitles,0)))),"",ISBLANK(INDEX(PlotData,MATCH($A77,PlotNumber,0),MATCH(E$3,PlotTitles,0))),$AB$8,TRUE,"")</f>
        <v/>
      </c>
      <c r="F77" s="104" t="str" cm="1">
        <f t="array" ref="F77">_xlfn.IFS(AND(A77&gt;NumberOfPlots,ISBLANK(INDEX(PlotData,MATCH($A77,PlotNumber,0),MATCH(B$3,PlotTitles,0)))),"",ISBLANK(INDEX(PlotData,MATCH($A77,PlotNumber,0),MATCH(F$3,PlotTitles,0))),$AB$9,TRUE,"")</f>
        <v/>
      </c>
      <c r="G77" s="104" t="str" cm="1">
        <f t="array" ref="G77">_xlfn.IFS(AND(A77&gt;NumberOfPlots,ISBLANK(INDEX(PlotData,MATCH($A77,PlotNumber,0),MATCH(B$3,PlotTitles,0)))),"",ISBLANK(INDEX(PlotData,MATCH($A77,PlotNumber,0),MATCH(G$3,PlotTitles,0))),$AB$10,TRUE,"")</f>
        <v/>
      </c>
      <c r="H77" s="104" t="str" cm="1">
        <f t="array" ref="H77">_xlfn.IFS(AND(A77&gt;NumberOfPlots,ISBLANK(INDEX(PlotData,MATCH($A77,PlotNumber,0),MATCH(B$3,PlotTitles,0)))),"",AND(ISBLANK(INDEX(PlotData,MATCH($A77,PlotNumber,0),MATCH(H$3,PlotTitles,0)))=FALSE,INDEX(PlotData,MATCH($A77,PlotNumber,0),MATCH(H$3,PlotTitles,0))&lt;500), $AB$11,TRUE,"")</f>
        <v/>
      </c>
      <c r="I77" s="104" t="str" cm="1">
        <f t="array" ref="I77">_xlfn.IFS(AND(A77&gt;NumberOfPlots,ISBLANK(INDEX(PlotData,MATCH($A77,PlotNumber,0),MATCH(B$3,PlotTitles,0)))),"",ISBLANK(INDEX(PlotData,MATCH($A77,PlotNumber,0),MATCH(I$3,PlotTitles,0))),$AB$12,TRUE,"")</f>
        <v/>
      </c>
      <c r="J77" s="104" t="str" cm="1">
        <f t="array" ref="J77">_xlfn.IFS(AND(A77&gt;NumberOfPlots,ISBLANK(INDEX(PlotData,MATCH($A77,PlotNumber,0),MATCH(B$3,PlotTitles,0)))),"",ISBLANK(INDEX(PlotData,MATCH($A77,PlotNumber,0),MATCH(J$3,PlotTitles,0))),$AB$13,TRUE,"")</f>
        <v/>
      </c>
      <c r="K77" s="182" t="str">
        <f t="shared" ca="1" si="3"/>
        <v/>
      </c>
      <c r="L77" s="104" t="str" cm="1">
        <f t="array" ref="L77">_xlfn.IFS(OR(ISBLANK(StartDateMonth),ISBLANK(StartDateYear)),"",AND(A77&gt;NumberOfPlots,ISBLANK(INDEX(PlotData,MATCH($A77,PlotNumber,0),MATCH(B$3,PlotTitles,0)))),"",ISBLANK(INDEX(PlotData,MATCH($A77,PlotNumber,0),MATCH(I$3,PlotTitles,0))),"",(DATEVALUE(INDEX(PlotData,MATCH($A77,PlotNumber,0),MATCH(I$3,PlotTitles,0))&amp;INDEX(PlotData,MATCH($A77,PlotNumber,0),MATCH(J$3,PlotTitles,0))))&lt;DATEVALUE(StartDateMonth&amp;StartDateYear),$AB$15,TRUE,"")</f>
        <v/>
      </c>
      <c r="M77" s="104" t="str" cm="1">
        <f t="array" ref="M77">_xlfn.IFS(OR(ISBLANK(StartDateMonth),ISBLANK(StartDateYear)),"",AND(A77&gt;NumberOfPlots,ISBLANK(INDEX(PlotData,MATCH($A77,PlotNumber,0),MATCH(B$3,PlotTitles,0)))),"",ISBLANK(INDEX(PlotData,MATCH($A77,PlotNumber,0),MATCH(I$3,PlotTitles,0))),"",CompletionMonth="","",(DATEVALUE(INDEX(PlotData,MATCH($A77,PlotNumber,0),MATCH(I$3,PlotTitles,0))&amp;INDEX(PlotData,MATCH($A77,PlotNumber,0),MATCH(J$3,PlotTitles,0))))&gt;(DATEVALUE(CompletionMonth&amp;CompletionYear)),$AB$16,TRUE,"")</f>
        <v/>
      </c>
      <c r="N77" s="104" t="str" cm="1">
        <f t="array" ref="N77">_xlfn.IFS(AND(A77&gt;NumberOfPlots,ISBLANK(INDEX(PlotData,MATCH($A77,PlotNumber,0),MATCH(B$3,PlotTitles,0)))),"",ISBLANK(INDEX(PlotData,MATCH($A77,PlotNumber,0),MATCH(N$3,PlotTitles,0))),$AB$17,TRUE,"")</f>
        <v/>
      </c>
      <c r="O77" s="104" t="str" cm="1">
        <f t="array" ref="O77">_xlfn.IFS(AND(A77&gt;NumberOfPlots,ISBLANK(INDEX(PlotData,MATCH($A77,PlotNumber,0),MATCH(B$3,PlotTitles,0)))),"",ISBLANK(INDEX(PlotData,MATCH($A77,PlotNumber,0),MATCH(O$3,PlotTitles,0))),$AB$18,TRUE,"")</f>
        <v/>
      </c>
      <c r="P77" s="182" t="str">
        <f t="shared" ca="1" si="4"/>
        <v/>
      </c>
      <c r="Q77" s="104" t="str" cm="1">
        <f t="array" ref="Q77">_xlfn.IFS(AND(A77&gt;NumberOfPlots,ISBLANK(INDEX(PlotData,MATCH($A77,PlotNumber,0),MATCH(B$3,PlotTitles,0)))),"",ISBLANK(INDEX(PlotData,MATCH($A77,PlotNumber,0),MATCH(N$3,PlotTitles,0))),"",(DATEVALUE(INDEX(PlotData,MATCH($A77,PlotNumber,0),MATCH(N$3,PlotTitles,0))&amp;INDEX(PlotData,MATCH($A77,PlotNumber,0),MATCH(O$3,PlotTitles,0))))&lt;(DATEVALUE(INDEX(PlotData,MATCH($A77,PlotNumber,0),MATCH(I$3,PlotTitles,0))&amp;INDEX(PlotData,MATCH($A77,PlotNumber,0),MATCH(J$3,PlotTitles,0)))),$AB$20,TRUE,"")</f>
        <v/>
      </c>
      <c r="R77" s="104" t="str" cm="1">
        <f t="array" ref="R77">_xlfn.IFS(OR(ISBLANK(StartDateMonth),ISBLANK(StartDateYear)),"",AND(A77&gt;NumberOfPlots,ISBLANK(INDEX(PlotData,MATCH($A77,PlotNumber,0),MATCH(B$3,PlotTitles,0)))),"",ISBLANK(INDEX(PlotData,MATCH($A77,PlotNumber,0),MATCH(N$3,PlotTitles,0))),"",CompletionMonth="","",(DATEVALUE(INDEX(PlotData,MATCH($A77,PlotNumber,0),MATCH(N$3,PlotTitles,0))&amp;INDEX(PlotData,MATCH($A77,PlotNumber,0),MATCH(O$3,PlotTitles,0))))&gt;(DATEVALUE(CompletionMonth&amp;CompletionYear)),$AB$21,TRUE,"")</f>
        <v/>
      </c>
      <c r="S77" s="104" t="str" cm="1">
        <f t="array" ref="S77">_xlfn.IFS(AND(A77&gt;NumberOfPlots,ISBLANK(INDEX(PlotData,MATCH($A77,PlotNumber,0),MATCH(B$3,PlotTitles,0)))),"",OR(AND(INDEX(PlotData,MATCH($A77,PlotNumber,0),MATCH("Tenure",PlotTitles,0))="Open market housing",INDEX(PlotData,MATCH($A77,PlotNumber,0),MATCH("Tenure detail",PlotTitles,0))="Private rented sector"),INDEX(PlotData,MATCH($A77,PlotNumber,0),MATCH("Tenure",PlotTitles,0))="Affordable rent"),"",ISNUMBER(INDEX(PlotData,MATCH($A77,PlotNumber,0),MATCH(S$3,PlotTitles,0)))=FALSE, $AB$22,TRUE,"")</f>
        <v/>
      </c>
      <c r="T77" s="104" t="str" cm="1">
        <f t="array" ref="T77">_xlfn.IFS(AND(A77&gt;NumberOfPlots,ISBLANK(INDEX(PlotData,MATCH($A77,PlotNumber,0),MATCH(B$3,PlotTitles,0)))),"",OR(AND(INDEX(PlotData,MATCH($A77,PlotNumber,0),MATCH("Tenure",PlotTitles,0))="Open market housing",INDEX(PlotData,MATCH($A77,PlotNumber,0),MATCH("Tenure detail",PlotTitles,0))="Private rented sector"),INDEX(PlotData,MATCH($A77,PlotNumber,0),MATCH("Tenure",PlotTitles,0))="Affordable rent"),"",INDEX(PlotData,MATCH($A77,PlotNumber,0),MATCH(S$3,PlotTitles,0))&lt;10000, $AB$23,TRUE,"")</f>
        <v/>
      </c>
      <c r="U77" s="104" t="str" cm="1">
        <f t="array" ref="U77">_xlfn.IFS(AND(A77&gt;NumberOfPlots,ISBLANK(INDEX(PlotData,MATCH($A77,PlotNumber,0),MATCH(B$3,PlotTitles,0)))),"",NOT(OR(AND(INDEX(PlotData,MATCH($A77,PlotNumber,0),MATCH("Tenure",PlotTitles,0))="Open market housing",INDEX(PlotData,MATCH($A77,PlotNumber,0),MATCH("Tenure detail",PlotTitles,0))="Private rented sector"),INDEX(PlotData,MATCH($A77,PlotNumber,0),MATCH("Tenure",PlotTitles,0))="Affordable rent")),"",NOT(INDEX(PlotData,MATCH($A77,PlotNumber,0),MATCH(S$3,PlotTitles,0))=0), $AB$24,TRUE,"")</f>
        <v/>
      </c>
      <c r="V77" s="114" t="str" cm="1">
        <f t="array" aca="1" ref="V77" ca="1">_xlfn.IFS(ISBLANK(NumberOfPlots),"Enter the number of homes on the 1_SetUp sheet",AND(A77&gt;NumberOfPlots,ISBLANK(INDEX(PlotData,MATCH($A77,PlotNumber,0),MATCH(B$3,PlotTitles,0)))),"No error",NOT(B77=""),B77,NOT(C77=""),C77,NOT(D77=""),D77,NOT(E77=""),E77,NOT(F77=""),F77,NOT(G77=""),G77,NOT(H77=""),H77,NOT(I77=""),I77,NOT(J77=""),J77,NOT(K77=""),K77,NOT(L77=""),L77,NOT(M77=""),M77,NOT(N77=""),N77,NOT(O77=""),O77,NOT(P77=""),P77,NOT(Q77=""),Q77,NOT(R77=""),R77,NOT(S77=""),S77,NOT(T77=""),T77,NOT(U77=""),U77,TRUE,"No error")</f>
        <v>Enter the number of homes on the 1_SetUp sheet</v>
      </c>
      <c r="W77" s="114" t="str">
        <f t="shared" ca="1" si="5"/>
        <v xml:space="preserve">The Borrower has not addressed the following error messages for Home ID 73: </v>
      </c>
    </row>
    <row r="78" spans="1:23">
      <c r="A78" s="123">
        <v>74</v>
      </c>
      <c r="B78" s="104" t="str" cm="1">
        <f t="array" ref="B78">_xlfn.IFS(AND(A78&gt;NumberOfPlots,ISBLANK(INDEX(PlotData,MATCH($A78,PlotNumber,0),MATCH(B$3,PlotTitles,0)))),"",ISNUMBER(INDEX(PlotData,MATCH($A78,PlotNumber,0),MATCH(B$3,PlotTitles,0)))=FALSE, $AB$5,TRUE,"")</f>
        <v/>
      </c>
      <c r="C78" s="104" t="str" cm="1">
        <f t="array" ref="C78">_xlfn.IFS(AND(A78&gt;NumberOfPlots,ISBLANK(INDEX(PlotData,MATCH($A78,PlotNumber,0),MATCH(B$3,PlotTitles,0)))),"",ISBLANK(INDEX(PlotData,MATCH($A78,PlotNumber,0),MATCH(C$3,PlotTitles,0))),$AB$6,TRUE,"")</f>
        <v/>
      </c>
      <c r="D78" s="104" t="str" cm="1">
        <f t="array" ref="D78">_xlfn.IFS(AND(A78&gt;NumberOfPlots,ISBLANK(INDEX(PlotData,MATCH($A78,PlotNumber,0),MATCH(B$3,PlotTitles,0)))),"",ISBLANK(INDEX(PlotData,MATCH($A78,PlotNumber,0),MATCH(D$3,PlotTitles,0))),$AB$7,TRUE,"")</f>
        <v/>
      </c>
      <c r="E78" s="104" t="str" cm="1">
        <f t="array" ref="E78">_xlfn.IFS(AND(A78&gt;NumberOfPlots,ISBLANK(INDEX(PlotData,MATCH($A78,PlotNumber,0),MATCH(B$3,PlotTitles,0)))),"",ISBLANK(INDEX(PlotData,MATCH($A78,PlotNumber,0),MATCH(E$3,PlotTitles,0))),$AB$8,TRUE,"")</f>
        <v/>
      </c>
      <c r="F78" s="104" t="str" cm="1">
        <f t="array" ref="F78">_xlfn.IFS(AND(A78&gt;NumberOfPlots,ISBLANK(INDEX(PlotData,MATCH($A78,PlotNumber,0),MATCH(B$3,PlotTitles,0)))),"",ISBLANK(INDEX(PlotData,MATCH($A78,PlotNumber,0),MATCH(F$3,PlotTitles,0))),$AB$9,TRUE,"")</f>
        <v/>
      </c>
      <c r="G78" s="104" t="str" cm="1">
        <f t="array" ref="G78">_xlfn.IFS(AND(A78&gt;NumberOfPlots,ISBLANK(INDEX(PlotData,MATCH($A78,PlotNumber,0),MATCH(B$3,PlotTitles,0)))),"",ISBLANK(INDEX(PlotData,MATCH($A78,PlotNumber,0),MATCH(G$3,PlotTitles,0))),$AB$10,TRUE,"")</f>
        <v/>
      </c>
      <c r="H78" s="104" t="str" cm="1">
        <f t="array" ref="H78">_xlfn.IFS(AND(A78&gt;NumberOfPlots,ISBLANK(INDEX(PlotData,MATCH($A78,PlotNumber,0),MATCH(B$3,PlotTitles,0)))),"",AND(ISBLANK(INDEX(PlotData,MATCH($A78,PlotNumber,0),MATCH(H$3,PlotTitles,0)))=FALSE,INDEX(PlotData,MATCH($A78,PlotNumber,0),MATCH(H$3,PlotTitles,0))&lt;500), $AB$11,TRUE,"")</f>
        <v/>
      </c>
      <c r="I78" s="104" t="str" cm="1">
        <f t="array" ref="I78">_xlfn.IFS(AND(A78&gt;NumberOfPlots,ISBLANK(INDEX(PlotData,MATCH($A78,PlotNumber,0),MATCH(B$3,PlotTitles,0)))),"",ISBLANK(INDEX(PlotData,MATCH($A78,PlotNumber,0),MATCH(I$3,PlotTitles,0))),$AB$12,TRUE,"")</f>
        <v/>
      </c>
      <c r="J78" s="104" t="str" cm="1">
        <f t="array" ref="J78">_xlfn.IFS(AND(A78&gt;NumberOfPlots,ISBLANK(INDEX(PlotData,MATCH($A78,PlotNumber,0),MATCH(B$3,PlotTitles,0)))),"",ISBLANK(INDEX(PlotData,MATCH($A78,PlotNumber,0),MATCH(J$3,PlotTitles,0))),$AB$13,TRUE,"")</f>
        <v/>
      </c>
      <c r="K78" s="182" t="str">
        <f t="shared" ca="1" si="3"/>
        <v/>
      </c>
      <c r="L78" s="104" t="str" cm="1">
        <f t="array" ref="L78">_xlfn.IFS(OR(ISBLANK(StartDateMonth),ISBLANK(StartDateYear)),"",AND(A78&gt;NumberOfPlots,ISBLANK(INDEX(PlotData,MATCH($A78,PlotNumber,0),MATCH(B$3,PlotTitles,0)))),"",ISBLANK(INDEX(PlotData,MATCH($A78,PlotNumber,0),MATCH(I$3,PlotTitles,0))),"",(DATEVALUE(INDEX(PlotData,MATCH($A78,PlotNumber,0),MATCH(I$3,PlotTitles,0))&amp;INDEX(PlotData,MATCH($A78,PlotNumber,0),MATCH(J$3,PlotTitles,0))))&lt;DATEVALUE(StartDateMonth&amp;StartDateYear),$AB$15,TRUE,"")</f>
        <v/>
      </c>
      <c r="M78" s="104" t="str" cm="1">
        <f t="array" ref="M78">_xlfn.IFS(OR(ISBLANK(StartDateMonth),ISBLANK(StartDateYear)),"",AND(A78&gt;NumberOfPlots,ISBLANK(INDEX(PlotData,MATCH($A78,PlotNumber,0),MATCH(B$3,PlotTitles,0)))),"",ISBLANK(INDEX(PlotData,MATCH($A78,PlotNumber,0),MATCH(I$3,PlotTitles,0))),"",CompletionMonth="","",(DATEVALUE(INDEX(PlotData,MATCH($A78,PlotNumber,0),MATCH(I$3,PlotTitles,0))&amp;INDEX(PlotData,MATCH($A78,PlotNumber,0),MATCH(J$3,PlotTitles,0))))&gt;(DATEVALUE(CompletionMonth&amp;CompletionYear)),$AB$16,TRUE,"")</f>
        <v/>
      </c>
      <c r="N78" s="104" t="str" cm="1">
        <f t="array" ref="N78">_xlfn.IFS(AND(A78&gt;NumberOfPlots,ISBLANK(INDEX(PlotData,MATCH($A78,PlotNumber,0),MATCH(B$3,PlotTitles,0)))),"",ISBLANK(INDEX(PlotData,MATCH($A78,PlotNumber,0),MATCH(N$3,PlotTitles,0))),$AB$17,TRUE,"")</f>
        <v/>
      </c>
      <c r="O78" s="104" t="str" cm="1">
        <f t="array" ref="O78">_xlfn.IFS(AND(A78&gt;NumberOfPlots,ISBLANK(INDEX(PlotData,MATCH($A78,PlotNumber,0),MATCH(B$3,PlotTitles,0)))),"",ISBLANK(INDEX(PlotData,MATCH($A78,PlotNumber,0),MATCH(O$3,PlotTitles,0))),$AB$18,TRUE,"")</f>
        <v/>
      </c>
      <c r="P78" s="182" t="str">
        <f t="shared" ca="1" si="4"/>
        <v/>
      </c>
      <c r="Q78" s="104" t="str" cm="1">
        <f t="array" ref="Q78">_xlfn.IFS(AND(A78&gt;NumberOfPlots,ISBLANK(INDEX(PlotData,MATCH($A78,PlotNumber,0),MATCH(B$3,PlotTitles,0)))),"",ISBLANK(INDEX(PlotData,MATCH($A78,PlotNumber,0),MATCH(N$3,PlotTitles,0))),"",(DATEVALUE(INDEX(PlotData,MATCH($A78,PlotNumber,0),MATCH(N$3,PlotTitles,0))&amp;INDEX(PlotData,MATCH($A78,PlotNumber,0),MATCH(O$3,PlotTitles,0))))&lt;(DATEVALUE(INDEX(PlotData,MATCH($A78,PlotNumber,0),MATCH(I$3,PlotTitles,0))&amp;INDEX(PlotData,MATCH($A78,PlotNumber,0),MATCH(J$3,PlotTitles,0)))),$AB$20,TRUE,"")</f>
        <v/>
      </c>
      <c r="R78" s="104" t="str" cm="1">
        <f t="array" ref="R78">_xlfn.IFS(OR(ISBLANK(StartDateMonth),ISBLANK(StartDateYear)),"",AND(A78&gt;NumberOfPlots,ISBLANK(INDEX(PlotData,MATCH($A78,PlotNumber,0),MATCH(B$3,PlotTitles,0)))),"",ISBLANK(INDEX(PlotData,MATCH($A78,PlotNumber,0),MATCH(N$3,PlotTitles,0))),"",CompletionMonth="","",(DATEVALUE(INDEX(PlotData,MATCH($A78,PlotNumber,0),MATCH(N$3,PlotTitles,0))&amp;INDEX(PlotData,MATCH($A78,PlotNumber,0),MATCH(O$3,PlotTitles,0))))&gt;(DATEVALUE(CompletionMonth&amp;CompletionYear)),$AB$21,TRUE,"")</f>
        <v/>
      </c>
      <c r="S78" s="104" t="str" cm="1">
        <f t="array" ref="S78">_xlfn.IFS(AND(A78&gt;NumberOfPlots,ISBLANK(INDEX(PlotData,MATCH($A78,PlotNumber,0),MATCH(B$3,PlotTitles,0)))),"",OR(AND(INDEX(PlotData,MATCH($A78,PlotNumber,0),MATCH("Tenure",PlotTitles,0))="Open market housing",INDEX(PlotData,MATCH($A78,PlotNumber,0),MATCH("Tenure detail",PlotTitles,0))="Private rented sector"),INDEX(PlotData,MATCH($A78,PlotNumber,0),MATCH("Tenure",PlotTitles,0))="Affordable rent"),"",ISNUMBER(INDEX(PlotData,MATCH($A78,PlotNumber,0),MATCH(S$3,PlotTitles,0)))=FALSE, $AB$22,TRUE,"")</f>
        <v/>
      </c>
      <c r="T78" s="104" t="str" cm="1">
        <f t="array" ref="T78">_xlfn.IFS(AND(A78&gt;NumberOfPlots,ISBLANK(INDEX(PlotData,MATCH($A78,PlotNumber,0),MATCH(B$3,PlotTitles,0)))),"",OR(AND(INDEX(PlotData,MATCH($A78,PlotNumber,0),MATCH("Tenure",PlotTitles,0))="Open market housing",INDEX(PlotData,MATCH($A78,PlotNumber,0),MATCH("Tenure detail",PlotTitles,0))="Private rented sector"),INDEX(PlotData,MATCH($A78,PlotNumber,0),MATCH("Tenure",PlotTitles,0))="Affordable rent"),"",INDEX(PlotData,MATCH($A78,PlotNumber,0),MATCH(S$3,PlotTitles,0))&lt;10000, $AB$23,TRUE,"")</f>
        <v/>
      </c>
      <c r="U78" s="104" t="str" cm="1">
        <f t="array" ref="U78">_xlfn.IFS(AND(A78&gt;NumberOfPlots,ISBLANK(INDEX(PlotData,MATCH($A78,PlotNumber,0),MATCH(B$3,PlotTitles,0)))),"",NOT(OR(AND(INDEX(PlotData,MATCH($A78,PlotNumber,0),MATCH("Tenure",PlotTitles,0))="Open market housing",INDEX(PlotData,MATCH($A78,PlotNumber,0),MATCH("Tenure detail",PlotTitles,0))="Private rented sector"),INDEX(PlotData,MATCH($A78,PlotNumber,0),MATCH("Tenure",PlotTitles,0))="Affordable rent")),"",NOT(INDEX(PlotData,MATCH($A78,PlotNumber,0),MATCH(S$3,PlotTitles,0))=0), $AB$24,TRUE,"")</f>
        <v/>
      </c>
      <c r="V78" s="114" t="str" cm="1">
        <f t="array" aca="1" ref="V78" ca="1">_xlfn.IFS(ISBLANK(NumberOfPlots),"Enter the number of homes on the 1_SetUp sheet",AND(A78&gt;NumberOfPlots,ISBLANK(INDEX(PlotData,MATCH($A78,PlotNumber,0),MATCH(B$3,PlotTitles,0)))),"No error",NOT(B78=""),B78,NOT(C78=""),C78,NOT(D78=""),D78,NOT(E78=""),E78,NOT(F78=""),F78,NOT(G78=""),G78,NOT(H78=""),H78,NOT(I78=""),I78,NOT(J78=""),J78,NOT(K78=""),K78,NOT(L78=""),L78,NOT(M78=""),M78,NOT(N78=""),N78,NOT(O78=""),O78,NOT(P78=""),P78,NOT(Q78=""),Q78,NOT(R78=""),R78,NOT(S78=""),S78,NOT(T78=""),T78,NOT(U78=""),U78,TRUE,"No error")</f>
        <v>Enter the number of homes on the 1_SetUp sheet</v>
      </c>
      <c r="W78" s="114" t="str">
        <f t="shared" ca="1" si="5"/>
        <v xml:space="preserve">The Borrower has not addressed the following error messages for Home ID 74: </v>
      </c>
    </row>
    <row r="79" spans="1:23">
      <c r="A79" s="123">
        <v>75</v>
      </c>
      <c r="B79" s="104" t="str" cm="1">
        <f t="array" ref="B79">_xlfn.IFS(AND(A79&gt;NumberOfPlots,ISBLANK(INDEX(PlotData,MATCH($A79,PlotNumber,0),MATCH(B$3,PlotTitles,0)))),"",ISNUMBER(INDEX(PlotData,MATCH($A79,PlotNumber,0),MATCH(B$3,PlotTitles,0)))=FALSE, $AB$5,TRUE,"")</f>
        <v/>
      </c>
      <c r="C79" s="104" t="str" cm="1">
        <f t="array" ref="C79">_xlfn.IFS(AND(A79&gt;NumberOfPlots,ISBLANK(INDEX(PlotData,MATCH($A79,PlotNumber,0),MATCH(B$3,PlotTitles,0)))),"",ISBLANK(INDEX(PlotData,MATCH($A79,PlotNumber,0),MATCH(C$3,PlotTitles,0))),$AB$6,TRUE,"")</f>
        <v/>
      </c>
      <c r="D79" s="104" t="str" cm="1">
        <f t="array" ref="D79">_xlfn.IFS(AND(A79&gt;NumberOfPlots,ISBLANK(INDEX(PlotData,MATCH($A79,PlotNumber,0),MATCH(B$3,PlotTitles,0)))),"",ISBLANK(INDEX(PlotData,MATCH($A79,PlotNumber,0),MATCH(D$3,PlotTitles,0))),$AB$7,TRUE,"")</f>
        <v/>
      </c>
      <c r="E79" s="104" t="str" cm="1">
        <f t="array" ref="E79">_xlfn.IFS(AND(A79&gt;NumberOfPlots,ISBLANK(INDEX(PlotData,MATCH($A79,PlotNumber,0),MATCH(B$3,PlotTitles,0)))),"",ISBLANK(INDEX(PlotData,MATCH($A79,PlotNumber,0),MATCH(E$3,PlotTitles,0))),$AB$8,TRUE,"")</f>
        <v/>
      </c>
      <c r="F79" s="104" t="str" cm="1">
        <f t="array" ref="F79">_xlfn.IFS(AND(A79&gt;NumberOfPlots,ISBLANK(INDEX(PlotData,MATCH($A79,PlotNumber,0),MATCH(B$3,PlotTitles,0)))),"",ISBLANK(INDEX(PlotData,MATCH($A79,PlotNumber,0),MATCH(F$3,PlotTitles,0))),$AB$9,TRUE,"")</f>
        <v/>
      </c>
      <c r="G79" s="104" t="str" cm="1">
        <f t="array" ref="G79">_xlfn.IFS(AND(A79&gt;NumberOfPlots,ISBLANK(INDEX(PlotData,MATCH($A79,PlotNumber,0),MATCH(B$3,PlotTitles,0)))),"",ISBLANK(INDEX(PlotData,MATCH($A79,PlotNumber,0),MATCH(G$3,PlotTitles,0))),$AB$10,TRUE,"")</f>
        <v/>
      </c>
      <c r="H79" s="104" t="str" cm="1">
        <f t="array" ref="H79">_xlfn.IFS(AND(A79&gt;NumberOfPlots,ISBLANK(INDEX(PlotData,MATCH($A79,PlotNumber,0),MATCH(B$3,PlotTitles,0)))),"",AND(ISBLANK(INDEX(PlotData,MATCH($A79,PlotNumber,0),MATCH(H$3,PlotTitles,0)))=FALSE,INDEX(PlotData,MATCH($A79,PlotNumber,0),MATCH(H$3,PlotTitles,0))&lt;500), $AB$11,TRUE,"")</f>
        <v/>
      </c>
      <c r="I79" s="104" t="str" cm="1">
        <f t="array" ref="I79">_xlfn.IFS(AND(A79&gt;NumberOfPlots,ISBLANK(INDEX(PlotData,MATCH($A79,PlotNumber,0),MATCH(B$3,PlotTitles,0)))),"",ISBLANK(INDEX(PlotData,MATCH($A79,PlotNumber,0),MATCH(I$3,PlotTitles,0))),$AB$12,TRUE,"")</f>
        <v/>
      </c>
      <c r="J79" s="104" t="str" cm="1">
        <f t="array" ref="J79">_xlfn.IFS(AND(A79&gt;NumberOfPlots,ISBLANK(INDEX(PlotData,MATCH($A79,PlotNumber,0),MATCH(B$3,PlotTitles,0)))),"",ISBLANK(INDEX(PlotData,MATCH($A79,PlotNumber,0),MATCH(J$3,PlotTitles,0))),$AB$13,TRUE,"")</f>
        <v/>
      </c>
      <c r="K79" s="182" t="str">
        <f t="shared" ca="1" si="3"/>
        <v/>
      </c>
      <c r="L79" s="104" t="str" cm="1">
        <f t="array" ref="L79">_xlfn.IFS(OR(ISBLANK(StartDateMonth),ISBLANK(StartDateYear)),"",AND(A79&gt;NumberOfPlots,ISBLANK(INDEX(PlotData,MATCH($A79,PlotNumber,0),MATCH(B$3,PlotTitles,0)))),"",ISBLANK(INDEX(PlotData,MATCH($A79,PlotNumber,0),MATCH(I$3,PlotTitles,0))),"",(DATEVALUE(INDEX(PlotData,MATCH($A79,PlotNumber,0),MATCH(I$3,PlotTitles,0))&amp;INDEX(PlotData,MATCH($A79,PlotNumber,0),MATCH(J$3,PlotTitles,0))))&lt;DATEVALUE(StartDateMonth&amp;StartDateYear),$AB$15,TRUE,"")</f>
        <v/>
      </c>
      <c r="M79" s="104" t="str" cm="1">
        <f t="array" ref="M79">_xlfn.IFS(OR(ISBLANK(StartDateMonth),ISBLANK(StartDateYear)),"",AND(A79&gt;NumberOfPlots,ISBLANK(INDEX(PlotData,MATCH($A79,PlotNumber,0),MATCH(B$3,PlotTitles,0)))),"",ISBLANK(INDEX(PlotData,MATCH($A79,PlotNumber,0),MATCH(I$3,PlotTitles,0))),"",CompletionMonth="","",(DATEVALUE(INDEX(PlotData,MATCH($A79,PlotNumber,0),MATCH(I$3,PlotTitles,0))&amp;INDEX(PlotData,MATCH($A79,PlotNumber,0),MATCH(J$3,PlotTitles,0))))&gt;(DATEVALUE(CompletionMonth&amp;CompletionYear)),$AB$16,TRUE,"")</f>
        <v/>
      </c>
      <c r="N79" s="104" t="str" cm="1">
        <f t="array" ref="N79">_xlfn.IFS(AND(A79&gt;NumberOfPlots,ISBLANK(INDEX(PlotData,MATCH($A79,PlotNumber,0),MATCH(B$3,PlotTitles,0)))),"",ISBLANK(INDEX(PlotData,MATCH($A79,PlotNumber,0),MATCH(N$3,PlotTitles,0))),$AB$17,TRUE,"")</f>
        <v/>
      </c>
      <c r="O79" s="104" t="str" cm="1">
        <f t="array" ref="O79">_xlfn.IFS(AND(A79&gt;NumberOfPlots,ISBLANK(INDEX(PlotData,MATCH($A79,PlotNumber,0),MATCH(B$3,PlotTitles,0)))),"",ISBLANK(INDEX(PlotData,MATCH($A79,PlotNumber,0),MATCH(O$3,PlotTitles,0))),$AB$18,TRUE,"")</f>
        <v/>
      </c>
      <c r="P79" s="182" t="str">
        <f t="shared" ca="1" si="4"/>
        <v/>
      </c>
      <c r="Q79" s="104" t="str" cm="1">
        <f t="array" ref="Q79">_xlfn.IFS(AND(A79&gt;NumberOfPlots,ISBLANK(INDEX(PlotData,MATCH($A79,PlotNumber,0),MATCH(B$3,PlotTitles,0)))),"",ISBLANK(INDEX(PlotData,MATCH($A79,PlotNumber,0),MATCH(N$3,PlotTitles,0))),"",(DATEVALUE(INDEX(PlotData,MATCH($A79,PlotNumber,0),MATCH(N$3,PlotTitles,0))&amp;INDEX(PlotData,MATCH($A79,PlotNumber,0),MATCH(O$3,PlotTitles,0))))&lt;(DATEVALUE(INDEX(PlotData,MATCH($A79,PlotNumber,0),MATCH(I$3,PlotTitles,0))&amp;INDEX(PlotData,MATCH($A79,PlotNumber,0),MATCH(J$3,PlotTitles,0)))),$AB$20,TRUE,"")</f>
        <v/>
      </c>
      <c r="R79" s="104" t="str" cm="1">
        <f t="array" ref="R79">_xlfn.IFS(OR(ISBLANK(StartDateMonth),ISBLANK(StartDateYear)),"",AND(A79&gt;NumberOfPlots,ISBLANK(INDEX(PlotData,MATCH($A79,PlotNumber,0),MATCH(B$3,PlotTitles,0)))),"",ISBLANK(INDEX(PlotData,MATCH($A79,PlotNumber,0),MATCH(N$3,PlotTitles,0))),"",CompletionMonth="","",(DATEVALUE(INDEX(PlotData,MATCH($A79,PlotNumber,0),MATCH(N$3,PlotTitles,0))&amp;INDEX(PlotData,MATCH($A79,PlotNumber,0),MATCH(O$3,PlotTitles,0))))&gt;(DATEVALUE(CompletionMonth&amp;CompletionYear)),$AB$21,TRUE,"")</f>
        <v/>
      </c>
      <c r="S79" s="104" t="str" cm="1">
        <f t="array" ref="S79">_xlfn.IFS(AND(A79&gt;NumberOfPlots,ISBLANK(INDEX(PlotData,MATCH($A79,PlotNumber,0),MATCH(B$3,PlotTitles,0)))),"",OR(AND(INDEX(PlotData,MATCH($A79,PlotNumber,0),MATCH("Tenure",PlotTitles,0))="Open market housing",INDEX(PlotData,MATCH($A79,PlotNumber,0),MATCH("Tenure detail",PlotTitles,0))="Private rented sector"),INDEX(PlotData,MATCH($A79,PlotNumber,0),MATCH("Tenure",PlotTitles,0))="Affordable rent"),"",ISNUMBER(INDEX(PlotData,MATCH($A79,PlotNumber,0),MATCH(S$3,PlotTitles,0)))=FALSE, $AB$22,TRUE,"")</f>
        <v/>
      </c>
      <c r="T79" s="104" t="str" cm="1">
        <f t="array" ref="T79">_xlfn.IFS(AND(A79&gt;NumberOfPlots,ISBLANK(INDEX(PlotData,MATCH($A79,PlotNumber,0),MATCH(B$3,PlotTitles,0)))),"",OR(AND(INDEX(PlotData,MATCH($A79,PlotNumber,0),MATCH("Tenure",PlotTitles,0))="Open market housing",INDEX(PlotData,MATCH($A79,PlotNumber,0),MATCH("Tenure detail",PlotTitles,0))="Private rented sector"),INDEX(PlotData,MATCH($A79,PlotNumber,0),MATCH("Tenure",PlotTitles,0))="Affordable rent"),"",INDEX(PlotData,MATCH($A79,PlotNumber,0),MATCH(S$3,PlotTitles,0))&lt;10000, $AB$23,TRUE,"")</f>
        <v/>
      </c>
      <c r="U79" s="104" t="str" cm="1">
        <f t="array" ref="U79">_xlfn.IFS(AND(A79&gt;NumberOfPlots,ISBLANK(INDEX(PlotData,MATCH($A79,PlotNumber,0),MATCH(B$3,PlotTitles,0)))),"",NOT(OR(AND(INDEX(PlotData,MATCH($A79,PlotNumber,0),MATCH("Tenure",PlotTitles,0))="Open market housing",INDEX(PlotData,MATCH($A79,PlotNumber,0),MATCH("Tenure detail",PlotTitles,0))="Private rented sector"),INDEX(PlotData,MATCH($A79,PlotNumber,0),MATCH("Tenure",PlotTitles,0))="Affordable rent")),"",NOT(INDEX(PlotData,MATCH($A79,PlotNumber,0),MATCH(S$3,PlotTitles,0))=0), $AB$24,TRUE,"")</f>
        <v/>
      </c>
      <c r="V79" s="114" t="str" cm="1">
        <f t="array" aca="1" ref="V79" ca="1">_xlfn.IFS(ISBLANK(NumberOfPlots),"Enter the number of homes on the 1_SetUp sheet",AND(A79&gt;NumberOfPlots,ISBLANK(INDEX(PlotData,MATCH($A79,PlotNumber,0),MATCH(B$3,PlotTitles,0)))),"No error",NOT(B79=""),B79,NOT(C79=""),C79,NOT(D79=""),D79,NOT(E79=""),E79,NOT(F79=""),F79,NOT(G79=""),G79,NOT(H79=""),H79,NOT(I79=""),I79,NOT(J79=""),J79,NOT(K79=""),K79,NOT(L79=""),L79,NOT(M79=""),M79,NOT(N79=""),N79,NOT(O79=""),O79,NOT(P79=""),P79,NOT(Q79=""),Q79,NOT(R79=""),R79,NOT(S79=""),S79,NOT(T79=""),T79,NOT(U79=""),U79,TRUE,"No error")</f>
        <v>Enter the number of homes on the 1_SetUp sheet</v>
      </c>
      <c r="W79" s="114" t="str">
        <f t="shared" ca="1" si="5"/>
        <v xml:space="preserve">The Borrower has not addressed the following error messages for Home ID 75: </v>
      </c>
    </row>
    <row r="80" spans="1:23">
      <c r="A80" s="123">
        <v>76</v>
      </c>
      <c r="B80" s="104" t="str" cm="1">
        <f t="array" ref="B80">_xlfn.IFS(AND(A80&gt;NumberOfPlots,ISBLANK(INDEX(PlotData,MATCH($A80,PlotNumber,0),MATCH(B$3,PlotTitles,0)))),"",ISNUMBER(INDEX(PlotData,MATCH($A80,PlotNumber,0),MATCH(B$3,PlotTitles,0)))=FALSE, $AB$5,TRUE,"")</f>
        <v/>
      </c>
      <c r="C80" s="104" t="str" cm="1">
        <f t="array" ref="C80">_xlfn.IFS(AND(A80&gt;NumberOfPlots,ISBLANK(INDEX(PlotData,MATCH($A80,PlotNumber,0),MATCH(B$3,PlotTitles,0)))),"",ISBLANK(INDEX(PlotData,MATCH($A80,PlotNumber,0),MATCH(C$3,PlotTitles,0))),$AB$6,TRUE,"")</f>
        <v/>
      </c>
      <c r="D80" s="104" t="str" cm="1">
        <f t="array" ref="D80">_xlfn.IFS(AND(A80&gt;NumberOfPlots,ISBLANK(INDEX(PlotData,MATCH($A80,PlotNumber,0),MATCH(B$3,PlotTitles,0)))),"",ISBLANK(INDEX(PlotData,MATCH($A80,PlotNumber,0),MATCH(D$3,PlotTitles,0))),$AB$7,TRUE,"")</f>
        <v/>
      </c>
      <c r="E80" s="104" t="str" cm="1">
        <f t="array" ref="E80">_xlfn.IFS(AND(A80&gt;NumberOfPlots,ISBLANK(INDEX(PlotData,MATCH($A80,PlotNumber,0),MATCH(B$3,PlotTitles,0)))),"",ISBLANK(INDEX(PlotData,MATCH($A80,PlotNumber,0),MATCH(E$3,PlotTitles,0))),$AB$8,TRUE,"")</f>
        <v/>
      </c>
      <c r="F80" s="104" t="str" cm="1">
        <f t="array" ref="F80">_xlfn.IFS(AND(A80&gt;NumberOfPlots,ISBLANK(INDEX(PlotData,MATCH($A80,PlotNumber,0),MATCH(B$3,PlotTitles,0)))),"",ISBLANK(INDEX(PlotData,MATCH($A80,PlotNumber,0),MATCH(F$3,PlotTitles,0))),$AB$9,TRUE,"")</f>
        <v/>
      </c>
      <c r="G80" s="104" t="str" cm="1">
        <f t="array" ref="G80">_xlfn.IFS(AND(A80&gt;NumberOfPlots,ISBLANK(INDEX(PlotData,MATCH($A80,PlotNumber,0),MATCH(B$3,PlotTitles,0)))),"",ISBLANK(INDEX(PlotData,MATCH($A80,PlotNumber,0),MATCH(G$3,PlotTitles,0))),$AB$10,TRUE,"")</f>
        <v/>
      </c>
      <c r="H80" s="104" t="str" cm="1">
        <f t="array" ref="H80">_xlfn.IFS(AND(A80&gt;NumberOfPlots,ISBLANK(INDEX(PlotData,MATCH($A80,PlotNumber,0),MATCH(B$3,PlotTitles,0)))),"",AND(ISBLANK(INDEX(PlotData,MATCH($A80,PlotNumber,0),MATCH(H$3,PlotTitles,0)))=FALSE,INDEX(PlotData,MATCH($A80,PlotNumber,0),MATCH(H$3,PlotTitles,0))&lt;500), $AB$11,TRUE,"")</f>
        <v/>
      </c>
      <c r="I80" s="104" t="str" cm="1">
        <f t="array" ref="I80">_xlfn.IFS(AND(A80&gt;NumberOfPlots,ISBLANK(INDEX(PlotData,MATCH($A80,PlotNumber,0),MATCH(B$3,PlotTitles,0)))),"",ISBLANK(INDEX(PlotData,MATCH($A80,PlotNumber,0),MATCH(I$3,PlotTitles,0))),$AB$12,TRUE,"")</f>
        <v/>
      </c>
      <c r="J80" s="104" t="str" cm="1">
        <f t="array" ref="J80">_xlfn.IFS(AND(A80&gt;NumberOfPlots,ISBLANK(INDEX(PlotData,MATCH($A80,PlotNumber,0),MATCH(B$3,PlotTitles,0)))),"",ISBLANK(INDEX(PlotData,MATCH($A80,PlotNumber,0),MATCH(J$3,PlotTitles,0))),$AB$13,TRUE,"")</f>
        <v/>
      </c>
      <c r="K80" s="182" t="str">
        <f t="shared" ca="1" si="3"/>
        <v/>
      </c>
      <c r="L80" s="104" t="str" cm="1">
        <f t="array" ref="L80">_xlfn.IFS(OR(ISBLANK(StartDateMonth),ISBLANK(StartDateYear)),"",AND(A80&gt;NumberOfPlots,ISBLANK(INDEX(PlotData,MATCH($A80,PlotNumber,0),MATCH(B$3,PlotTitles,0)))),"",ISBLANK(INDEX(PlotData,MATCH($A80,PlotNumber,0),MATCH(I$3,PlotTitles,0))),"",(DATEVALUE(INDEX(PlotData,MATCH($A80,PlotNumber,0),MATCH(I$3,PlotTitles,0))&amp;INDEX(PlotData,MATCH($A80,PlotNumber,0),MATCH(J$3,PlotTitles,0))))&lt;DATEVALUE(StartDateMonth&amp;StartDateYear),$AB$15,TRUE,"")</f>
        <v/>
      </c>
      <c r="M80" s="104" t="str" cm="1">
        <f t="array" ref="M80">_xlfn.IFS(OR(ISBLANK(StartDateMonth),ISBLANK(StartDateYear)),"",AND(A80&gt;NumberOfPlots,ISBLANK(INDEX(PlotData,MATCH($A80,PlotNumber,0),MATCH(B$3,PlotTitles,0)))),"",ISBLANK(INDEX(PlotData,MATCH($A80,PlotNumber,0),MATCH(I$3,PlotTitles,0))),"",CompletionMonth="","",(DATEVALUE(INDEX(PlotData,MATCH($A80,PlotNumber,0),MATCH(I$3,PlotTitles,0))&amp;INDEX(PlotData,MATCH($A80,PlotNumber,0),MATCH(J$3,PlotTitles,0))))&gt;(DATEVALUE(CompletionMonth&amp;CompletionYear)),$AB$16,TRUE,"")</f>
        <v/>
      </c>
      <c r="N80" s="104" t="str" cm="1">
        <f t="array" ref="N80">_xlfn.IFS(AND(A80&gt;NumberOfPlots,ISBLANK(INDEX(PlotData,MATCH($A80,PlotNumber,0),MATCH(B$3,PlotTitles,0)))),"",ISBLANK(INDEX(PlotData,MATCH($A80,PlotNumber,0),MATCH(N$3,PlotTitles,0))),$AB$17,TRUE,"")</f>
        <v/>
      </c>
      <c r="O80" s="104" t="str" cm="1">
        <f t="array" ref="O80">_xlfn.IFS(AND(A80&gt;NumberOfPlots,ISBLANK(INDEX(PlotData,MATCH($A80,PlotNumber,0),MATCH(B$3,PlotTitles,0)))),"",ISBLANK(INDEX(PlotData,MATCH($A80,PlotNumber,0),MATCH(O$3,PlotTitles,0))),$AB$18,TRUE,"")</f>
        <v/>
      </c>
      <c r="P80" s="182" t="str">
        <f t="shared" ca="1" si="4"/>
        <v/>
      </c>
      <c r="Q80" s="104" t="str" cm="1">
        <f t="array" ref="Q80">_xlfn.IFS(AND(A80&gt;NumberOfPlots,ISBLANK(INDEX(PlotData,MATCH($A80,PlotNumber,0),MATCH(B$3,PlotTitles,0)))),"",ISBLANK(INDEX(PlotData,MATCH($A80,PlotNumber,0),MATCH(N$3,PlotTitles,0))),"",(DATEVALUE(INDEX(PlotData,MATCH($A80,PlotNumber,0),MATCH(N$3,PlotTitles,0))&amp;INDEX(PlotData,MATCH($A80,PlotNumber,0),MATCH(O$3,PlotTitles,0))))&lt;(DATEVALUE(INDEX(PlotData,MATCH($A80,PlotNumber,0),MATCH(I$3,PlotTitles,0))&amp;INDEX(PlotData,MATCH($A80,PlotNumber,0),MATCH(J$3,PlotTitles,0)))),$AB$20,TRUE,"")</f>
        <v/>
      </c>
      <c r="R80" s="104" t="str" cm="1">
        <f t="array" ref="R80">_xlfn.IFS(OR(ISBLANK(StartDateMonth),ISBLANK(StartDateYear)),"",AND(A80&gt;NumberOfPlots,ISBLANK(INDEX(PlotData,MATCH($A80,PlotNumber,0),MATCH(B$3,PlotTitles,0)))),"",ISBLANK(INDEX(PlotData,MATCH($A80,PlotNumber,0),MATCH(N$3,PlotTitles,0))),"",CompletionMonth="","",(DATEVALUE(INDEX(PlotData,MATCH($A80,PlotNumber,0),MATCH(N$3,PlotTitles,0))&amp;INDEX(PlotData,MATCH($A80,PlotNumber,0),MATCH(O$3,PlotTitles,0))))&gt;(DATEVALUE(CompletionMonth&amp;CompletionYear)),$AB$21,TRUE,"")</f>
        <v/>
      </c>
      <c r="S80" s="104" t="str" cm="1">
        <f t="array" ref="S80">_xlfn.IFS(AND(A80&gt;NumberOfPlots,ISBLANK(INDEX(PlotData,MATCH($A80,PlotNumber,0),MATCH(B$3,PlotTitles,0)))),"",OR(AND(INDEX(PlotData,MATCH($A80,PlotNumber,0),MATCH("Tenure",PlotTitles,0))="Open market housing",INDEX(PlotData,MATCH($A80,PlotNumber,0),MATCH("Tenure detail",PlotTitles,0))="Private rented sector"),INDEX(PlotData,MATCH($A80,PlotNumber,0),MATCH("Tenure",PlotTitles,0))="Affordable rent"),"",ISNUMBER(INDEX(PlotData,MATCH($A80,PlotNumber,0),MATCH(S$3,PlotTitles,0)))=FALSE, $AB$22,TRUE,"")</f>
        <v/>
      </c>
      <c r="T80" s="104" t="str" cm="1">
        <f t="array" ref="T80">_xlfn.IFS(AND(A80&gt;NumberOfPlots,ISBLANK(INDEX(PlotData,MATCH($A80,PlotNumber,0),MATCH(B$3,PlotTitles,0)))),"",OR(AND(INDEX(PlotData,MATCH($A80,PlotNumber,0),MATCH("Tenure",PlotTitles,0))="Open market housing",INDEX(PlotData,MATCH($A80,PlotNumber,0),MATCH("Tenure detail",PlotTitles,0))="Private rented sector"),INDEX(PlotData,MATCH($A80,PlotNumber,0),MATCH("Tenure",PlotTitles,0))="Affordable rent"),"",INDEX(PlotData,MATCH($A80,PlotNumber,0),MATCH(S$3,PlotTitles,0))&lt;10000, $AB$23,TRUE,"")</f>
        <v/>
      </c>
      <c r="U80" s="104" t="str" cm="1">
        <f t="array" ref="U80">_xlfn.IFS(AND(A80&gt;NumberOfPlots,ISBLANK(INDEX(PlotData,MATCH($A80,PlotNumber,0),MATCH(B$3,PlotTitles,0)))),"",NOT(OR(AND(INDEX(PlotData,MATCH($A80,PlotNumber,0),MATCH("Tenure",PlotTitles,0))="Open market housing",INDEX(PlotData,MATCH($A80,PlotNumber,0),MATCH("Tenure detail",PlotTitles,0))="Private rented sector"),INDEX(PlotData,MATCH($A80,PlotNumber,0),MATCH("Tenure",PlotTitles,0))="Affordable rent")),"",NOT(INDEX(PlotData,MATCH($A80,PlotNumber,0),MATCH(S$3,PlotTitles,0))=0), $AB$24,TRUE,"")</f>
        <v/>
      </c>
      <c r="V80" s="114" t="str" cm="1">
        <f t="array" aca="1" ref="V80" ca="1">_xlfn.IFS(ISBLANK(NumberOfPlots),"Enter the number of homes on the 1_SetUp sheet",AND(A80&gt;NumberOfPlots,ISBLANK(INDEX(PlotData,MATCH($A80,PlotNumber,0),MATCH(B$3,PlotTitles,0)))),"No error",NOT(B80=""),B80,NOT(C80=""),C80,NOT(D80=""),D80,NOT(E80=""),E80,NOT(F80=""),F80,NOT(G80=""),G80,NOT(H80=""),H80,NOT(I80=""),I80,NOT(J80=""),J80,NOT(K80=""),K80,NOT(L80=""),L80,NOT(M80=""),M80,NOT(N80=""),N80,NOT(O80=""),O80,NOT(P80=""),P80,NOT(Q80=""),Q80,NOT(R80=""),R80,NOT(S80=""),S80,NOT(T80=""),T80,NOT(U80=""),U80,TRUE,"No error")</f>
        <v>Enter the number of homes on the 1_SetUp sheet</v>
      </c>
      <c r="W80" s="114" t="str">
        <f t="shared" ca="1" si="5"/>
        <v xml:space="preserve">The Borrower has not addressed the following error messages for Home ID 76: </v>
      </c>
    </row>
    <row r="81" spans="1:23">
      <c r="A81" s="123">
        <v>77</v>
      </c>
      <c r="B81" s="104" t="str" cm="1">
        <f t="array" ref="B81">_xlfn.IFS(AND(A81&gt;NumberOfPlots,ISBLANK(INDEX(PlotData,MATCH($A81,PlotNumber,0),MATCH(B$3,PlotTitles,0)))),"",ISNUMBER(INDEX(PlotData,MATCH($A81,PlotNumber,0),MATCH(B$3,PlotTitles,0)))=FALSE, $AB$5,TRUE,"")</f>
        <v/>
      </c>
      <c r="C81" s="104" t="str" cm="1">
        <f t="array" ref="C81">_xlfn.IFS(AND(A81&gt;NumberOfPlots,ISBLANK(INDEX(PlotData,MATCH($A81,PlotNumber,0),MATCH(B$3,PlotTitles,0)))),"",ISBLANK(INDEX(PlotData,MATCH($A81,PlotNumber,0),MATCH(C$3,PlotTitles,0))),$AB$6,TRUE,"")</f>
        <v/>
      </c>
      <c r="D81" s="104" t="str" cm="1">
        <f t="array" ref="D81">_xlfn.IFS(AND(A81&gt;NumberOfPlots,ISBLANK(INDEX(PlotData,MATCH($A81,PlotNumber,0),MATCH(B$3,PlotTitles,0)))),"",ISBLANK(INDEX(PlotData,MATCH($A81,PlotNumber,0),MATCH(D$3,PlotTitles,0))),$AB$7,TRUE,"")</f>
        <v/>
      </c>
      <c r="E81" s="104" t="str" cm="1">
        <f t="array" ref="E81">_xlfn.IFS(AND(A81&gt;NumberOfPlots,ISBLANK(INDEX(PlotData,MATCH($A81,PlotNumber,0),MATCH(B$3,PlotTitles,0)))),"",ISBLANK(INDEX(PlotData,MATCH($A81,PlotNumber,0),MATCH(E$3,PlotTitles,0))),$AB$8,TRUE,"")</f>
        <v/>
      </c>
      <c r="F81" s="104" t="str" cm="1">
        <f t="array" ref="F81">_xlfn.IFS(AND(A81&gt;NumberOfPlots,ISBLANK(INDEX(PlotData,MATCH($A81,PlotNumber,0),MATCH(B$3,PlotTitles,0)))),"",ISBLANK(INDEX(PlotData,MATCH($A81,PlotNumber,0),MATCH(F$3,PlotTitles,0))),$AB$9,TRUE,"")</f>
        <v/>
      </c>
      <c r="G81" s="104" t="str" cm="1">
        <f t="array" ref="G81">_xlfn.IFS(AND(A81&gt;NumberOfPlots,ISBLANK(INDEX(PlotData,MATCH($A81,PlotNumber,0),MATCH(B$3,PlotTitles,0)))),"",ISBLANK(INDEX(PlotData,MATCH($A81,PlotNumber,0),MATCH(G$3,PlotTitles,0))),$AB$10,TRUE,"")</f>
        <v/>
      </c>
      <c r="H81" s="104" t="str" cm="1">
        <f t="array" ref="H81">_xlfn.IFS(AND(A81&gt;NumberOfPlots,ISBLANK(INDEX(PlotData,MATCH($A81,PlotNumber,0),MATCH(B$3,PlotTitles,0)))),"",AND(ISBLANK(INDEX(PlotData,MATCH($A81,PlotNumber,0),MATCH(H$3,PlotTitles,0)))=FALSE,INDEX(PlotData,MATCH($A81,PlotNumber,0),MATCH(H$3,PlotTitles,0))&lt;500), $AB$11,TRUE,"")</f>
        <v/>
      </c>
      <c r="I81" s="104" t="str" cm="1">
        <f t="array" ref="I81">_xlfn.IFS(AND(A81&gt;NumberOfPlots,ISBLANK(INDEX(PlotData,MATCH($A81,PlotNumber,0),MATCH(B$3,PlotTitles,0)))),"",ISBLANK(INDEX(PlotData,MATCH($A81,PlotNumber,0),MATCH(I$3,PlotTitles,0))),$AB$12,TRUE,"")</f>
        <v/>
      </c>
      <c r="J81" s="104" t="str" cm="1">
        <f t="array" ref="J81">_xlfn.IFS(AND(A81&gt;NumberOfPlots,ISBLANK(INDEX(PlotData,MATCH($A81,PlotNumber,0),MATCH(B$3,PlotTitles,0)))),"",ISBLANK(INDEX(PlotData,MATCH($A81,PlotNumber,0),MATCH(J$3,PlotTitles,0))),$AB$13,TRUE,"")</f>
        <v/>
      </c>
      <c r="K81" s="182" t="str">
        <f t="shared" ca="1" si="3"/>
        <v/>
      </c>
      <c r="L81" s="104" t="str" cm="1">
        <f t="array" ref="L81">_xlfn.IFS(OR(ISBLANK(StartDateMonth),ISBLANK(StartDateYear)),"",AND(A81&gt;NumberOfPlots,ISBLANK(INDEX(PlotData,MATCH($A81,PlotNumber,0),MATCH(B$3,PlotTitles,0)))),"",ISBLANK(INDEX(PlotData,MATCH($A81,PlotNumber,0),MATCH(I$3,PlotTitles,0))),"",(DATEVALUE(INDEX(PlotData,MATCH($A81,PlotNumber,0),MATCH(I$3,PlotTitles,0))&amp;INDEX(PlotData,MATCH($A81,PlotNumber,0),MATCH(J$3,PlotTitles,0))))&lt;DATEVALUE(StartDateMonth&amp;StartDateYear),$AB$15,TRUE,"")</f>
        <v/>
      </c>
      <c r="M81" s="104" t="str" cm="1">
        <f t="array" ref="M81">_xlfn.IFS(OR(ISBLANK(StartDateMonth),ISBLANK(StartDateYear)),"",AND(A81&gt;NumberOfPlots,ISBLANK(INDEX(PlotData,MATCH($A81,PlotNumber,0),MATCH(B$3,PlotTitles,0)))),"",ISBLANK(INDEX(PlotData,MATCH($A81,PlotNumber,0),MATCH(I$3,PlotTitles,0))),"",CompletionMonth="","",(DATEVALUE(INDEX(PlotData,MATCH($A81,PlotNumber,0),MATCH(I$3,PlotTitles,0))&amp;INDEX(PlotData,MATCH($A81,PlotNumber,0),MATCH(J$3,PlotTitles,0))))&gt;(DATEVALUE(CompletionMonth&amp;CompletionYear)),$AB$16,TRUE,"")</f>
        <v/>
      </c>
      <c r="N81" s="104" t="str" cm="1">
        <f t="array" ref="N81">_xlfn.IFS(AND(A81&gt;NumberOfPlots,ISBLANK(INDEX(PlotData,MATCH($A81,PlotNumber,0),MATCH(B$3,PlotTitles,0)))),"",ISBLANK(INDEX(PlotData,MATCH($A81,PlotNumber,0),MATCH(N$3,PlotTitles,0))),$AB$17,TRUE,"")</f>
        <v/>
      </c>
      <c r="O81" s="104" t="str" cm="1">
        <f t="array" ref="O81">_xlfn.IFS(AND(A81&gt;NumberOfPlots,ISBLANK(INDEX(PlotData,MATCH($A81,PlotNumber,0),MATCH(B$3,PlotTitles,0)))),"",ISBLANK(INDEX(PlotData,MATCH($A81,PlotNumber,0),MATCH(O$3,PlotTitles,0))),$AB$18,TRUE,"")</f>
        <v/>
      </c>
      <c r="P81" s="182" t="str">
        <f t="shared" ca="1" si="4"/>
        <v/>
      </c>
      <c r="Q81" s="104" t="str" cm="1">
        <f t="array" ref="Q81">_xlfn.IFS(AND(A81&gt;NumberOfPlots,ISBLANK(INDEX(PlotData,MATCH($A81,PlotNumber,0),MATCH(B$3,PlotTitles,0)))),"",ISBLANK(INDEX(PlotData,MATCH($A81,PlotNumber,0),MATCH(N$3,PlotTitles,0))),"",(DATEVALUE(INDEX(PlotData,MATCH($A81,PlotNumber,0),MATCH(N$3,PlotTitles,0))&amp;INDEX(PlotData,MATCH($A81,PlotNumber,0),MATCH(O$3,PlotTitles,0))))&lt;(DATEVALUE(INDEX(PlotData,MATCH($A81,PlotNumber,0),MATCH(I$3,PlotTitles,0))&amp;INDEX(PlotData,MATCH($A81,PlotNumber,0),MATCH(J$3,PlotTitles,0)))),$AB$20,TRUE,"")</f>
        <v/>
      </c>
      <c r="R81" s="104" t="str" cm="1">
        <f t="array" ref="R81">_xlfn.IFS(OR(ISBLANK(StartDateMonth),ISBLANK(StartDateYear)),"",AND(A81&gt;NumberOfPlots,ISBLANK(INDEX(PlotData,MATCH($A81,PlotNumber,0),MATCH(B$3,PlotTitles,0)))),"",ISBLANK(INDEX(PlotData,MATCH($A81,PlotNumber,0),MATCH(N$3,PlotTitles,0))),"",CompletionMonth="","",(DATEVALUE(INDEX(PlotData,MATCH($A81,PlotNumber,0),MATCH(N$3,PlotTitles,0))&amp;INDEX(PlotData,MATCH($A81,PlotNumber,0),MATCH(O$3,PlotTitles,0))))&gt;(DATEVALUE(CompletionMonth&amp;CompletionYear)),$AB$21,TRUE,"")</f>
        <v/>
      </c>
      <c r="S81" s="104" t="str" cm="1">
        <f t="array" ref="S81">_xlfn.IFS(AND(A81&gt;NumberOfPlots,ISBLANK(INDEX(PlotData,MATCH($A81,PlotNumber,0),MATCH(B$3,PlotTitles,0)))),"",OR(AND(INDEX(PlotData,MATCH($A81,PlotNumber,0),MATCH("Tenure",PlotTitles,0))="Open market housing",INDEX(PlotData,MATCH($A81,PlotNumber,0),MATCH("Tenure detail",PlotTitles,0))="Private rented sector"),INDEX(PlotData,MATCH($A81,PlotNumber,0),MATCH("Tenure",PlotTitles,0))="Affordable rent"),"",ISNUMBER(INDEX(PlotData,MATCH($A81,PlotNumber,0),MATCH(S$3,PlotTitles,0)))=FALSE, $AB$22,TRUE,"")</f>
        <v/>
      </c>
      <c r="T81" s="104" t="str" cm="1">
        <f t="array" ref="T81">_xlfn.IFS(AND(A81&gt;NumberOfPlots,ISBLANK(INDEX(PlotData,MATCH($A81,PlotNumber,0),MATCH(B$3,PlotTitles,0)))),"",OR(AND(INDEX(PlotData,MATCH($A81,PlotNumber,0),MATCH("Tenure",PlotTitles,0))="Open market housing",INDEX(PlotData,MATCH($A81,PlotNumber,0),MATCH("Tenure detail",PlotTitles,0))="Private rented sector"),INDEX(PlotData,MATCH($A81,PlotNumber,0),MATCH("Tenure",PlotTitles,0))="Affordable rent"),"",INDEX(PlotData,MATCH($A81,PlotNumber,0),MATCH(S$3,PlotTitles,0))&lt;10000, $AB$23,TRUE,"")</f>
        <v/>
      </c>
      <c r="U81" s="104" t="str" cm="1">
        <f t="array" ref="U81">_xlfn.IFS(AND(A81&gt;NumberOfPlots,ISBLANK(INDEX(PlotData,MATCH($A81,PlotNumber,0),MATCH(B$3,PlotTitles,0)))),"",NOT(OR(AND(INDEX(PlotData,MATCH($A81,PlotNumber,0),MATCH("Tenure",PlotTitles,0))="Open market housing",INDEX(PlotData,MATCH($A81,PlotNumber,0),MATCH("Tenure detail",PlotTitles,0))="Private rented sector"),INDEX(PlotData,MATCH($A81,PlotNumber,0),MATCH("Tenure",PlotTitles,0))="Affordable rent")),"",NOT(INDEX(PlotData,MATCH($A81,PlotNumber,0),MATCH(S$3,PlotTitles,0))=0), $AB$24,TRUE,"")</f>
        <v/>
      </c>
      <c r="V81" s="114" t="str" cm="1">
        <f t="array" aca="1" ref="V81" ca="1">_xlfn.IFS(ISBLANK(NumberOfPlots),"Enter the number of homes on the 1_SetUp sheet",AND(A81&gt;NumberOfPlots,ISBLANK(INDEX(PlotData,MATCH($A81,PlotNumber,0),MATCH(B$3,PlotTitles,0)))),"No error",NOT(B81=""),B81,NOT(C81=""),C81,NOT(D81=""),D81,NOT(E81=""),E81,NOT(F81=""),F81,NOT(G81=""),G81,NOT(H81=""),H81,NOT(I81=""),I81,NOT(J81=""),J81,NOT(K81=""),K81,NOT(L81=""),L81,NOT(M81=""),M81,NOT(N81=""),N81,NOT(O81=""),O81,NOT(P81=""),P81,NOT(Q81=""),Q81,NOT(R81=""),R81,NOT(S81=""),S81,NOT(T81=""),T81,NOT(U81=""),U81,TRUE,"No error")</f>
        <v>Enter the number of homes on the 1_SetUp sheet</v>
      </c>
      <c r="W81" s="114" t="str">
        <f t="shared" ca="1" si="5"/>
        <v xml:space="preserve">The Borrower has not addressed the following error messages for Home ID 77: </v>
      </c>
    </row>
    <row r="82" spans="1:23">
      <c r="A82" s="123">
        <v>78</v>
      </c>
      <c r="B82" s="104" t="str" cm="1">
        <f t="array" ref="B82">_xlfn.IFS(AND(A82&gt;NumberOfPlots,ISBLANK(INDEX(PlotData,MATCH($A82,PlotNumber,0),MATCH(B$3,PlotTitles,0)))),"",ISNUMBER(INDEX(PlotData,MATCH($A82,PlotNumber,0),MATCH(B$3,PlotTitles,0)))=FALSE, $AB$5,TRUE,"")</f>
        <v/>
      </c>
      <c r="C82" s="104" t="str" cm="1">
        <f t="array" ref="C82">_xlfn.IFS(AND(A82&gt;NumberOfPlots,ISBLANK(INDEX(PlotData,MATCH($A82,PlotNumber,0),MATCH(B$3,PlotTitles,0)))),"",ISBLANK(INDEX(PlotData,MATCH($A82,PlotNumber,0),MATCH(C$3,PlotTitles,0))),$AB$6,TRUE,"")</f>
        <v/>
      </c>
      <c r="D82" s="104" t="str" cm="1">
        <f t="array" ref="D82">_xlfn.IFS(AND(A82&gt;NumberOfPlots,ISBLANK(INDEX(PlotData,MATCH($A82,PlotNumber,0),MATCH(B$3,PlotTitles,0)))),"",ISBLANK(INDEX(PlotData,MATCH($A82,PlotNumber,0),MATCH(D$3,PlotTitles,0))),$AB$7,TRUE,"")</f>
        <v/>
      </c>
      <c r="E82" s="104" t="str" cm="1">
        <f t="array" ref="E82">_xlfn.IFS(AND(A82&gt;NumberOfPlots,ISBLANK(INDEX(PlotData,MATCH($A82,PlotNumber,0),MATCH(B$3,PlotTitles,0)))),"",ISBLANK(INDEX(PlotData,MATCH($A82,PlotNumber,0),MATCH(E$3,PlotTitles,0))),$AB$8,TRUE,"")</f>
        <v/>
      </c>
      <c r="F82" s="104" t="str" cm="1">
        <f t="array" ref="F82">_xlfn.IFS(AND(A82&gt;NumberOfPlots,ISBLANK(INDEX(PlotData,MATCH($A82,PlotNumber,0),MATCH(B$3,PlotTitles,0)))),"",ISBLANK(INDEX(PlotData,MATCH($A82,PlotNumber,0),MATCH(F$3,PlotTitles,0))),$AB$9,TRUE,"")</f>
        <v/>
      </c>
      <c r="G82" s="104" t="str" cm="1">
        <f t="array" ref="G82">_xlfn.IFS(AND(A82&gt;NumberOfPlots,ISBLANK(INDEX(PlotData,MATCH($A82,PlotNumber,0),MATCH(B$3,PlotTitles,0)))),"",ISBLANK(INDEX(PlotData,MATCH($A82,PlotNumber,0),MATCH(G$3,PlotTitles,0))),$AB$10,TRUE,"")</f>
        <v/>
      </c>
      <c r="H82" s="104" t="str" cm="1">
        <f t="array" ref="H82">_xlfn.IFS(AND(A82&gt;NumberOfPlots,ISBLANK(INDEX(PlotData,MATCH($A82,PlotNumber,0),MATCH(B$3,PlotTitles,0)))),"",AND(ISBLANK(INDEX(PlotData,MATCH($A82,PlotNumber,0),MATCH(H$3,PlotTitles,0)))=FALSE,INDEX(PlotData,MATCH($A82,PlotNumber,0),MATCH(H$3,PlotTitles,0))&lt;500), $AB$11,TRUE,"")</f>
        <v/>
      </c>
      <c r="I82" s="104" t="str" cm="1">
        <f t="array" ref="I82">_xlfn.IFS(AND(A82&gt;NumberOfPlots,ISBLANK(INDEX(PlotData,MATCH($A82,PlotNumber,0),MATCH(B$3,PlotTitles,0)))),"",ISBLANK(INDEX(PlotData,MATCH($A82,PlotNumber,0),MATCH(I$3,PlotTitles,0))),$AB$12,TRUE,"")</f>
        <v/>
      </c>
      <c r="J82" s="104" t="str" cm="1">
        <f t="array" ref="J82">_xlfn.IFS(AND(A82&gt;NumberOfPlots,ISBLANK(INDEX(PlotData,MATCH($A82,PlotNumber,0),MATCH(B$3,PlotTitles,0)))),"",ISBLANK(INDEX(PlotData,MATCH($A82,PlotNumber,0),MATCH(J$3,PlotTitles,0))),$AB$13,TRUE,"")</f>
        <v/>
      </c>
      <c r="K82" s="182" t="str">
        <f t="shared" ca="1" si="3"/>
        <v/>
      </c>
      <c r="L82" s="104" t="str" cm="1">
        <f t="array" ref="L82">_xlfn.IFS(OR(ISBLANK(StartDateMonth),ISBLANK(StartDateYear)),"",AND(A82&gt;NumberOfPlots,ISBLANK(INDEX(PlotData,MATCH($A82,PlotNumber,0),MATCH(B$3,PlotTitles,0)))),"",ISBLANK(INDEX(PlotData,MATCH($A82,PlotNumber,0),MATCH(I$3,PlotTitles,0))),"",(DATEVALUE(INDEX(PlotData,MATCH($A82,PlotNumber,0),MATCH(I$3,PlotTitles,0))&amp;INDEX(PlotData,MATCH($A82,PlotNumber,0),MATCH(J$3,PlotTitles,0))))&lt;DATEVALUE(StartDateMonth&amp;StartDateYear),$AB$15,TRUE,"")</f>
        <v/>
      </c>
      <c r="M82" s="104" t="str" cm="1">
        <f t="array" ref="M82">_xlfn.IFS(OR(ISBLANK(StartDateMonth),ISBLANK(StartDateYear)),"",AND(A82&gt;NumberOfPlots,ISBLANK(INDEX(PlotData,MATCH($A82,PlotNumber,0),MATCH(B$3,PlotTitles,0)))),"",ISBLANK(INDEX(PlotData,MATCH($A82,PlotNumber,0),MATCH(I$3,PlotTitles,0))),"",CompletionMonth="","",(DATEVALUE(INDEX(PlotData,MATCH($A82,PlotNumber,0),MATCH(I$3,PlotTitles,0))&amp;INDEX(PlotData,MATCH($A82,PlotNumber,0),MATCH(J$3,PlotTitles,0))))&gt;(DATEVALUE(CompletionMonth&amp;CompletionYear)),$AB$16,TRUE,"")</f>
        <v/>
      </c>
      <c r="N82" s="104" t="str" cm="1">
        <f t="array" ref="N82">_xlfn.IFS(AND(A82&gt;NumberOfPlots,ISBLANK(INDEX(PlotData,MATCH($A82,PlotNumber,0),MATCH(B$3,PlotTitles,0)))),"",ISBLANK(INDEX(PlotData,MATCH($A82,PlotNumber,0),MATCH(N$3,PlotTitles,0))),$AB$17,TRUE,"")</f>
        <v/>
      </c>
      <c r="O82" s="104" t="str" cm="1">
        <f t="array" ref="O82">_xlfn.IFS(AND(A82&gt;NumberOfPlots,ISBLANK(INDEX(PlotData,MATCH($A82,PlotNumber,0),MATCH(B$3,PlotTitles,0)))),"",ISBLANK(INDEX(PlotData,MATCH($A82,PlotNumber,0),MATCH(O$3,PlotTitles,0))),$AB$18,TRUE,"")</f>
        <v/>
      </c>
      <c r="P82" s="182" t="str">
        <f t="shared" ca="1" si="4"/>
        <v/>
      </c>
      <c r="Q82" s="104" t="str" cm="1">
        <f t="array" ref="Q82">_xlfn.IFS(AND(A82&gt;NumberOfPlots,ISBLANK(INDEX(PlotData,MATCH($A82,PlotNumber,0),MATCH(B$3,PlotTitles,0)))),"",ISBLANK(INDEX(PlotData,MATCH($A82,PlotNumber,0),MATCH(N$3,PlotTitles,0))),"",(DATEVALUE(INDEX(PlotData,MATCH($A82,PlotNumber,0),MATCH(N$3,PlotTitles,0))&amp;INDEX(PlotData,MATCH($A82,PlotNumber,0),MATCH(O$3,PlotTitles,0))))&lt;(DATEVALUE(INDEX(PlotData,MATCH($A82,PlotNumber,0),MATCH(I$3,PlotTitles,0))&amp;INDEX(PlotData,MATCH($A82,PlotNumber,0),MATCH(J$3,PlotTitles,0)))),$AB$20,TRUE,"")</f>
        <v/>
      </c>
      <c r="R82" s="104" t="str" cm="1">
        <f t="array" ref="R82">_xlfn.IFS(OR(ISBLANK(StartDateMonth),ISBLANK(StartDateYear)),"",AND(A82&gt;NumberOfPlots,ISBLANK(INDEX(PlotData,MATCH($A82,PlotNumber,0),MATCH(B$3,PlotTitles,0)))),"",ISBLANK(INDEX(PlotData,MATCH($A82,PlotNumber,0),MATCH(N$3,PlotTitles,0))),"",CompletionMonth="","",(DATEVALUE(INDEX(PlotData,MATCH($A82,PlotNumber,0),MATCH(N$3,PlotTitles,0))&amp;INDEX(PlotData,MATCH($A82,PlotNumber,0),MATCH(O$3,PlotTitles,0))))&gt;(DATEVALUE(CompletionMonth&amp;CompletionYear)),$AB$21,TRUE,"")</f>
        <v/>
      </c>
      <c r="S82" s="104" t="str" cm="1">
        <f t="array" ref="S82">_xlfn.IFS(AND(A82&gt;NumberOfPlots,ISBLANK(INDEX(PlotData,MATCH($A82,PlotNumber,0),MATCH(B$3,PlotTitles,0)))),"",OR(AND(INDEX(PlotData,MATCH($A82,PlotNumber,0),MATCH("Tenure",PlotTitles,0))="Open market housing",INDEX(PlotData,MATCH($A82,PlotNumber,0),MATCH("Tenure detail",PlotTitles,0))="Private rented sector"),INDEX(PlotData,MATCH($A82,PlotNumber,0),MATCH("Tenure",PlotTitles,0))="Affordable rent"),"",ISNUMBER(INDEX(PlotData,MATCH($A82,PlotNumber,0),MATCH(S$3,PlotTitles,0)))=FALSE, $AB$22,TRUE,"")</f>
        <v/>
      </c>
      <c r="T82" s="104" t="str" cm="1">
        <f t="array" ref="T82">_xlfn.IFS(AND(A82&gt;NumberOfPlots,ISBLANK(INDEX(PlotData,MATCH($A82,PlotNumber,0),MATCH(B$3,PlotTitles,0)))),"",OR(AND(INDEX(PlotData,MATCH($A82,PlotNumber,0),MATCH("Tenure",PlotTitles,0))="Open market housing",INDEX(PlotData,MATCH($A82,PlotNumber,0),MATCH("Tenure detail",PlotTitles,0))="Private rented sector"),INDEX(PlotData,MATCH($A82,PlotNumber,0),MATCH("Tenure",PlotTitles,0))="Affordable rent"),"",INDEX(PlotData,MATCH($A82,PlotNumber,0),MATCH(S$3,PlotTitles,0))&lt;10000, $AB$23,TRUE,"")</f>
        <v/>
      </c>
      <c r="U82" s="104" t="str" cm="1">
        <f t="array" ref="U82">_xlfn.IFS(AND(A82&gt;NumberOfPlots,ISBLANK(INDEX(PlotData,MATCH($A82,PlotNumber,0),MATCH(B$3,PlotTitles,0)))),"",NOT(OR(AND(INDEX(PlotData,MATCH($A82,PlotNumber,0),MATCH("Tenure",PlotTitles,0))="Open market housing",INDEX(PlotData,MATCH($A82,PlotNumber,0),MATCH("Tenure detail",PlotTitles,0))="Private rented sector"),INDEX(PlotData,MATCH($A82,PlotNumber,0),MATCH("Tenure",PlotTitles,0))="Affordable rent")),"",NOT(INDEX(PlotData,MATCH($A82,PlotNumber,0),MATCH(S$3,PlotTitles,0))=0), $AB$24,TRUE,"")</f>
        <v/>
      </c>
      <c r="V82" s="114" t="str" cm="1">
        <f t="array" aca="1" ref="V82" ca="1">_xlfn.IFS(ISBLANK(NumberOfPlots),"Enter the number of homes on the 1_SetUp sheet",AND(A82&gt;NumberOfPlots,ISBLANK(INDEX(PlotData,MATCH($A82,PlotNumber,0),MATCH(B$3,PlotTitles,0)))),"No error",NOT(B82=""),B82,NOT(C82=""),C82,NOT(D82=""),D82,NOT(E82=""),E82,NOT(F82=""),F82,NOT(G82=""),G82,NOT(H82=""),H82,NOT(I82=""),I82,NOT(J82=""),J82,NOT(K82=""),K82,NOT(L82=""),L82,NOT(M82=""),M82,NOT(N82=""),N82,NOT(O82=""),O82,NOT(P82=""),P82,NOT(Q82=""),Q82,NOT(R82=""),R82,NOT(S82=""),S82,NOT(T82=""),T82,NOT(U82=""),U82,TRUE,"No error")</f>
        <v>Enter the number of homes on the 1_SetUp sheet</v>
      </c>
      <c r="W82" s="114" t="str">
        <f t="shared" ca="1" si="5"/>
        <v xml:space="preserve">The Borrower has not addressed the following error messages for Home ID 78: </v>
      </c>
    </row>
    <row r="83" spans="1:23">
      <c r="A83" s="123">
        <v>79</v>
      </c>
      <c r="B83" s="104" t="str" cm="1">
        <f t="array" ref="B83">_xlfn.IFS(AND(A83&gt;NumberOfPlots,ISBLANK(INDEX(PlotData,MATCH($A83,PlotNumber,0),MATCH(B$3,PlotTitles,0)))),"",ISNUMBER(INDEX(PlotData,MATCH($A83,PlotNumber,0),MATCH(B$3,PlotTitles,0)))=FALSE, $AB$5,TRUE,"")</f>
        <v/>
      </c>
      <c r="C83" s="104" t="str" cm="1">
        <f t="array" ref="C83">_xlfn.IFS(AND(A83&gt;NumberOfPlots,ISBLANK(INDEX(PlotData,MATCH($A83,PlotNumber,0),MATCH(B$3,PlotTitles,0)))),"",ISBLANK(INDEX(PlotData,MATCH($A83,PlotNumber,0),MATCH(C$3,PlotTitles,0))),$AB$6,TRUE,"")</f>
        <v/>
      </c>
      <c r="D83" s="104" t="str" cm="1">
        <f t="array" ref="D83">_xlfn.IFS(AND(A83&gt;NumberOfPlots,ISBLANK(INDEX(PlotData,MATCH($A83,PlotNumber,0),MATCH(B$3,PlotTitles,0)))),"",ISBLANK(INDEX(PlotData,MATCH($A83,PlotNumber,0),MATCH(D$3,PlotTitles,0))),$AB$7,TRUE,"")</f>
        <v/>
      </c>
      <c r="E83" s="104" t="str" cm="1">
        <f t="array" ref="E83">_xlfn.IFS(AND(A83&gt;NumberOfPlots,ISBLANK(INDEX(PlotData,MATCH($A83,PlotNumber,0),MATCH(B$3,PlotTitles,0)))),"",ISBLANK(INDEX(PlotData,MATCH($A83,PlotNumber,0),MATCH(E$3,PlotTitles,0))),$AB$8,TRUE,"")</f>
        <v/>
      </c>
      <c r="F83" s="104" t="str" cm="1">
        <f t="array" ref="F83">_xlfn.IFS(AND(A83&gt;NumberOfPlots,ISBLANK(INDEX(PlotData,MATCH($A83,PlotNumber,0),MATCH(B$3,PlotTitles,0)))),"",ISBLANK(INDEX(PlotData,MATCH($A83,PlotNumber,0),MATCH(F$3,PlotTitles,0))),$AB$9,TRUE,"")</f>
        <v/>
      </c>
      <c r="G83" s="104" t="str" cm="1">
        <f t="array" ref="G83">_xlfn.IFS(AND(A83&gt;NumberOfPlots,ISBLANK(INDEX(PlotData,MATCH($A83,PlotNumber,0),MATCH(B$3,PlotTitles,0)))),"",ISBLANK(INDEX(PlotData,MATCH($A83,PlotNumber,0),MATCH(G$3,PlotTitles,0))),$AB$10,TRUE,"")</f>
        <v/>
      </c>
      <c r="H83" s="104" t="str" cm="1">
        <f t="array" ref="H83">_xlfn.IFS(AND(A83&gt;NumberOfPlots,ISBLANK(INDEX(PlotData,MATCH($A83,PlotNumber,0),MATCH(B$3,PlotTitles,0)))),"",AND(ISBLANK(INDEX(PlotData,MATCH($A83,PlotNumber,0),MATCH(H$3,PlotTitles,0)))=FALSE,INDEX(PlotData,MATCH($A83,PlotNumber,0),MATCH(H$3,PlotTitles,0))&lt;500), $AB$11,TRUE,"")</f>
        <v/>
      </c>
      <c r="I83" s="104" t="str" cm="1">
        <f t="array" ref="I83">_xlfn.IFS(AND(A83&gt;NumberOfPlots,ISBLANK(INDEX(PlotData,MATCH($A83,PlotNumber,0),MATCH(B$3,PlotTitles,0)))),"",ISBLANK(INDEX(PlotData,MATCH($A83,PlotNumber,0),MATCH(I$3,PlotTitles,0))),$AB$12,TRUE,"")</f>
        <v/>
      </c>
      <c r="J83" s="104" t="str" cm="1">
        <f t="array" ref="J83">_xlfn.IFS(AND(A83&gt;NumberOfPlots,ISBLANK(INDEX(PlotData,MATCH($A83,PlotNumber,0),MATCH(B$3,PlotTitles,0)))),"",ISBLANK(INDEX(PlotData,MATCH($A83,PlotNumber,0),MATCH(J$3,PlotTitles,0))),$AB$13,TRUE,"")</f>
        <v/>
      </c>
      <c r="K83" s="182" t="str">
        <f t="shared" ca="1" si="3"/>
        <v/>
      </c>
      <c r="L83" s="104" t="str" cm="1">
        <f t="array" ref="L83">_xlfn.IFS(OR(ISBLANK(StartDateMonth),ISBLANK(StartDateYear)),"",AND(A83&gt;NumberOfPlots,ISBLANK(INDEX(PlotData,MATCH($A83,PlotNumber,0),MATCH(B$3,PlotTitles,0)))),"",ISBLANK(INDEX(PlotData,MATCH($A83,PlotNumber,0),MATCH(I$3,PlotTitles,0))),"",(DATEVALUE(INDEX(PlotData,MATCH($A83,PlotNumber,0),MATCH(I$3,PlotTitles,0))&amp;INDEX(PlotData,MATCH($A83,PlotNumber,0),MATCH(J$3,PlotTitles,0))))&lt;DATEVALUE(StartDateMonth&amp;StartDateYear),$AB$15,TRUE,"")</f>
        <v/>
      </c>
      <c r="M83" s="104" t="str" cm="1">
        <f t="array" ref="M83">_xlfn.IFS(OR(ISBLANK(StartDateMonth),ISBLANK(StartDateYear)),"",AND(A83&gt;NumberOfPlots,ISBLANK(INDEX(PlotData,MATCH($A83,PlotNumber,0),MATCH(B$3,PlotTitles,0)))),"",ISBLANK(INDEX(PlotData,MATCH($A83,PlotNumber,0),MATCH(I$3,PlotTitles,0))),"",CompletionMonth="","",(DATEVALUE(INDEX(PlotData,MATCH($A83,PlotNumber,0),MATCH(I$3,PlotTitles,0))&amp;INDEX(PlotData,MATCH($A83,PlotNumber,0),MATCH(J$3,PlotTitles,0))))&gt;(DATEVALUE(CompletionMonth&amp;CompletionYear)),$AB$16,TRUE,"")</f>
        <v/>
      </c>
      <c r="N83" s="104" t="str" cm="1">
        <f t="array" ref="N83">_xlfn.IFS(AND(A83&gt;NumberOfPlots,ISBLANK(INDEX(PlotData,MATCH($A83,PlotNumber,0),MATCH(B$3,PlotTitles,0)))),"",ISBLANK(INDEX(PlotData,MATCH($A83,PlotNumber,0),MATCH(N$3,PlotTitles,0))),$AB$17,TRUE,"")</f>
        <v/>
      </c>
      <c r="O83" s="104" t="str" cm="1">
        <f t="array" ref="O83">_xlfn.IFS(AND(A83&gt;NumberOfPlots,ISBLANK(INDEX(PlotData,MATCH($A83,PlotNumber,0),MATCH(B$3,PlotTitles,0)))),"",ISBLANK(INDEX(PlotData,MATCH($A83,PlotNumber,0),MATCH(O$3,PlotTitles,0))),$AB$18,TRUE,"")</f>
        <v/>
      </c>
      <c r="P83" s="182" t="str">
        <f t="shared" ca="1" si="4"/>
        <v/>
      </c>
      <c r="Q83" s="104" t="str" cm="1">
        <f t="array" ref="Q83">_xlfn.IFS(AND(A83&gt;NumberOfPlots,ISBLANK(INDEX(PlotData,MATCH($A83,PlotNumber,0),MATCH(B$3,PlotTitles,0)))),"",ISBLANK(INDEX(PlotData,MATCH($A83,PlotNumber,0),MATCH(N$3,PlotTitles,0))),"",(DATEVALUE(INDEX(PlotData,MATCH($A83,PlotNumber,0),MATCH(N$3,PlotTitles,0))&amp;INDEX(PlotData,MATCH($A83,PlotNumber,0),MATCH(O$3,PlotTitles,0))))&lt;(DATEVALUE(INDEX(PlotData,MATCH($A83,PlotNumber,0),MATCH(I$3,PlotTitles,0))&amp;INDEX(PlotData,MATCH($A83,PlotNumber,0),MATCH(J$3,PlotTitles,0)))),$AB$20,TRUE,"")</f>
        <v/>
      </c>
      <c r="R83" s="104" t="str" cm="1">
        <f t="array" ref="R83">_xlfn.IFS(OR(ISBLANK(StartDateMonth),ISBLANK(StartDateYear)),"",AND(A83&gt;NumberOfPlots,ISBLANK(INDEX(PlotData,MATCH($A83,PlotNumber,0),MATCH(B$3,PlotTitles,0)))),"",ISBLANK(INDEX(PlotData,MATCH($A83,PlotNumber,0),MATCH(N$3,PlotTitles,0))),"",CompletionMonth="","",(DATEVALUE(INDEX(PlotData,MATCH($A83,PlotNumber,0),MATCH(N$3,PlotTitles,0))&amp;INDEX(PlotData,MATCH($A83,PlotNumber,0),MATCH(O$3,PlotTitles,0))))&gt;(DATEVALUE(CompletionMonth&amp;CompletionYear)),$AB$21,TRUE,"")</f>
        <v/>
      </c>
      <c r="S83" s="104" t="str" cm="1">
        <f t="array" ref="S83">_xlfn.IFS(AND(A83&gt;NumberOfPlots,ISBLANK(INDEX(PlotData,MATCH($A83,PlotNumber,0),MATCH(B$3,PlotTitles,0)))),"",OR(AND(INDEX(PlotData,MATCH($A83,PlotNumber,0),MATCH("Tenure",PlotTitles,0))="Open market housing",INDEX(PlotData,MATCH($A83,PlotNumber,0),MATCH("Tenure detail",PlotTitles,0))="Private rented sector"),INDEX(PlotData,MATCH($A83,PlotNumber,0),MATCH("Tenure",PlotTitles,0))="Affordable rent"),"",ISNUMBER(INDEX(PlotData,MATCH($A83,PlotNumber,0),MATCH(S$3,PlotTitles,0)))=FALSE, $AB$22,TRUE,"")</f>
        <v/>
      </c>
      <c r="T83" s="104" t="str" cm="1">
        <f t="array" ref="T83">_xlfn.IFS(AND(A83&gt;NumberOfPlots,ISBLANK(INDEX(PlotData,MATCH($A83,PlotNumber,0),MATCH(B$3,PlotTitles,0)))),"",OR(AND(INDEX(PlotData,MATCH($A83,PlotNumber,0),MATCH("Tenure",PlotTitles,0))="Open market housing",INDEX(PlotData,MATCH($A83,PlotNumber,0),MATCH("Tenure detail",PlotTitles,0))="Private rented sector"),INDEX(PlotData,MATCH($A83,PlotNumber,0),MATCH("Tenure",PlotTitles,0))="Affordable rent"),"",INDEX(PlotData,MATCH($A83,PlotNumber,0),MATCH(S$3,PlotTitles,0))&lt;10000, $AB$23,TRUE,"")</f>
        <v/>
      </c>
      <c r="U83" s="104" t="str" cm="1">
        <f t="array" ref="U83">_xlfn.IFS(AND(A83&gt;NumberOfPlots,ISBLANK(INDEX(PlotData,MATCH($A83,PlotNumber,0),MATCH(B$3,PlotTitles,0)))),"",NOT(OR(AND(INDEX(PlotData,MATCH($A83,PlotNumber,0),MATCH("Tenure",PlotTitles,0))="Open market housing",INDEX(PlotData,MATCH($A83,PlotNumber,0),MATCH("Tenure detail",PlotTitles,0))="Private rented sector"),INDEX(PlotData,MATCH($A83,PlotNumber,0),MATCH("Tenure",PlotTitles,0))="Affordable rent")),"",NOT(INDEX(PlotData,MATCH($A83,PlotNumber,0),MATCH(S$3,PlotTitles,0))=0), $AB$24,TRUE,"")</f>
        <v/>
      </c>
      <c r="V83" s="114" t="str" cm="1">
        <f t="array" aca="1" ref="V83" ca="1">_xlfn.IFS(ISBLANK(NumberOfPlots),"Enter the number of homes on the 1_SetUp sheet",AND(A83&gt;NumberOfPlots,ISBLANK(INDEX(PlotData,MATCH($A83,PlotNumber,0),MATCH(B$3,PlotTitles,0)))),"No error",NOT(B83=""),B83,NOT(C83=""),C83,NOT(D83=""),D83,NOT(E83=""),E83,NOT(F83=""),F83,NOT(G83=""),G83,NOT(H83=""),H83,NOT(I83=""),I83,NOT(J83=""),J83,NOT(K83=""),K83,NOT(L83=""),L83,NOT(M83=""),M83,NOT(N83=""),N83,NOT(O83=""),O83,NOT(P83=""),P83,NOT(Q83=""),Q83,NOT(R83=""),R83,NOT(S83=""),S83,NOT(T83=""),T83,NOT(U83=""),U83,TRUE,"No error")</f>
        <v>Enter the number of homes on the 1_SetUp sheet</v>
      </c>
      <c r="W83" s="114" t="str">
        <f t="shared" ca="1" si="5"/>
        <v xml:space="preserve">The Borrower has not addressed the following error messages for Home ID 79: </v>
      </c>
    </row>
    <row r="84" spans="1:23">
      <c r="A84" s="123">
        <v>80</v>
      </c>
      <c r="B84" s="104" t="str" cm="1">
        <f t="array" ref="B84">_xlfn.IFS(AND(A84&gt;NumberOfPlots,ISBLANK(INDEX(PlotData,MATCH($A84,PlotNumber,0),MATCH(B$3,PlotTitles,0)))),"",ISNUMBER(INDEX(PlotData,MATCH($A84,PlotNumber,0),MATCH(B$3,PlotTitles,0)))=FALSE, $AB$5,TRUE,"")</f>
        <v/>
      </c>
      <c r="C84" s="104" t="str" cm="1">
        <f t="array" ref="C84">_xlfn.IFS(AND(A84&gt;NumberOfPlots,ISBLANK(INDEX(PlotData,MATCH($A84,PlotNumber,0),MATCH(B$3,PlotTitles,0)))),"",ISBLANK(INDEX(PlotData,MATCH($A84,PlotNumber,0),MATCH(C$3,PlotTitles,0))),$AB$6,TRUE,"")</f>
        <v/>
      </c>
      <c r="D84" s="104" t="str" cm="1">
        <f t="array" ref="D84">_xlfn.IFS(AND(A84&gt;NumberOfPlots,ISBLANK(INDEX(PlotData,MATCH($A84,PlotNumber,0),MATCH(B$3,PlotTitles,0)))),"",ISBLANK(INDEX(PlotData,MATCH($A84,PlotNumber,0),MATCH(D$3,PlotTitles,0))),$AB$7,TRUE,"")</f>
        <v/>
      </c>
      <c r="E84" s="104" t="str" cm="1">
        <f t="array" ref="E84">_xlfn.IFS(AND(A84&gt;NumberOfPlots,ISBLANK(INDEX(PlotData,MATCH($A84,PlotNumber,0),MATCH(B$3,PlotTitles,0)))),"",ISBLANK(INDEX(PlotData,MATCH($A84,PlotNumber,0),MATCH(E$3,PlotTitles,0))),$AB$8,TRUE,"")</f>
        <v/>
      </c>
      <c r="F84" s="104" t="str" cm="1">
        <f t="array" ref="F84">_xlfn.IFS(AND(A84&gt;NumberOfPlots,ISBLANK(INDEX(PlotData,MATCH($A84,PlotNumber,0),MATCH(B$3,PlotTitles,0)))),"",ISBLANK(INDEX(PlotData,MATCH($A84,PlotNumber,0),MATCH(F$3,PlotTitles,0))),$AB$9,TRUE,"")</f>
        <v/>
      </c>
      <c r="G84" s="104" t="str" cm="1">
        <f t="array" ref="G84">_xlfn.IFS(AND(A84&gt;NumberOfPlots,ISBLANK(INDEX(PlotData,MATCH($A84,PlotNumber,0),MATCH(B$3,PlotTitles,0)))),"",ISBLANK(INDEX(PlotData,MATCH($A84,PlotNumber,0),MATCH(G$3,PlotTitles,0))),$AB$10,TRUE,"")</f>
        <v/>
      </c>
      <c r="H84" s="104" t="str" cm="1">
        <f t="array" ref="H84">_xlfn.IFS(AND(A84&gt;NumberOfPlots,ISBLANK(INDEX(PlotData,MATCH($A84,PlotNumber,0),MATCH(B$3,PlotTitles,0)))),"",AND(ISBLANK(INDEX(PlotData,MATCH($A84,PlotNumber,0),MATCH(H$3,PlotTitles,0)))=FALSE,INDEX(PlotData,MATCH($A84,PlotNumber,0),MATCH(H$3,PlotTitles,0))&lt;500), $AB$11,TRUE,"")</f>
        <v/>
      </c>
      <c r="I84" s="104" t="str" cm="1">
        <f t="array" ref="I84">_xlfn.IFS(AND(A84&gt;NumberOfPlots,ISBLANK(INDEX(PlotData,MATCH($A84,PlotNumber,0),MATCH(B$3,PlotTitles,0)))),"",ISBLANK(INDEX(PlotData,MATCH($A84,PlotNumber,0),MATCH(I$3,PlotTitles,0))),$AB$12,TRUE,"")</f>
        <v/>
      </c>
      <c r="J84" s="104" t="str" cm="1">
        <f t="array" ref="J84">_xlfn.IFS(AND(A84&gt;NumberOfPlots,ISBLANK(INDEX(PlotData,MATCH($A84,PlotNumber,0),MATCH(B$3,PlotTitles,0)))),"",ISBLANK(INDEX(PlotData,MATCH($A84,PlotNumber,0),MATCH(J$3,PlotTitles,0))),$AB$13,TRUE,"")</f>
        <v/>
      </c>
      <c r="K84" s="182" t="str">
        <f t="shared" ca="1" si="3"/>
        <v/>
      </c>
      <c r="L84" s="104" t="str" cm="1">
        <f t="array" ref="L84">_xlfn.IFS(OR(ISBLANK(StartDateMonth),ISBLANK(StartDateYear)),"",AND(A84&gt;NumberOfPlots,ISBLANK(INDEX(PlotData,MATCH($A84,PlotNumber,0),MATCH(B$3,PlotTitles,0)))),"",ISBLANK(INDEX(PlotData,MATCH($A84,PlotNumber,0),MATCH(I$3,PlotTitles,0))),"",(DATEVALUE(INDEX(PlotData,MATCH($A84,PlotNumber,0),MATCH(I$3,PlotTitles,0))&amp;INDEX(PlotData,MATCH($A84,PlotNumber,0),MATCH(J$3,PlotTitles,0))))&lt;DATEVALUE(StartDateMonth&amp;StartDateYear),$AB$15,TRUE,"")</f>
        <v/>
      </c>
      <c r="M84" s="104" t="str" cm="1">
        <f t="array" ref="M84">_xlfn.IFS(OR(ISBLANK(StartDateMonth),ISBLANK(StartDateYear)),"",AND(A84&gt;NumberOfPlots,ISBLANK(INDEX(PlotData,MATCH($A84,PlotNumber,0),MATCH(B$3,PlotTitles,0)))),"",ISBLANK(INDEX(PlotData,MATCH($A84,PlotNumber,0),MATCH(I$3,PlotTitles,0))),"",CompletionMonth="","",(DATEVALUE(INDEX(PlotData,MATCH($A84,PlotNumber,0),MATCH(I$3,PlotTitles,0))&amp;INDEX(PlotData,MATCH($A84,PlotNumber,0),MATCH(J$3,PlotTitles,0))))&gt;(DATEVALUE(CompletionMonth&amp;CompletionYear)),$AB$16,TRUE,"")</f>
        <v/>
      </c>
      <c r="N84" s="104" t="str" cm="1">
        <f t="array" ref="N84">_xlfn.IFS(AND(A84&gt;NumberOfPlots,ISBLANK(INDEX(PlotData,MATCH($A84,PlotNumber,0),MATCH(B$3,PlotTitles,0)))),"",ISBLANK(INDEX(PlotData,MATCH($A84,PlotNumber,0),MATCH(N$3,PlotTitles,0))),$AB$17,TRUE,"")</f>
        <v/>
      </c>
      <c r="O84" s="104" t="str" cm="1">
        <f t="array" ref="O84">_xlfn.IFS(AND(A84&gt;NumberOfPlots,ISBLANK(INDEX(PlotData,MATCH($A84,PlotNumber,0),MATCH(B$3,PlotTitles,0)))),"",ISBLANK(INDEX(PlotData,MATCH($A84,PlotNumber,0),MATCH(O$3,PlotTitles,0))),$AB$18,TRUE,"")</f>
        <v/>
      </c>
      <c r="P84" s="182" t="str">
        <f t="shared" ca="1" si="4"/>
        <v/>
      </c>
      <c r="Q84" s="104" t="str" cm="1">
        <f t="array" ref="Q84">_xlfn.IFS(AND(A84&gt;NumberOfPlots,ISBLANK(INDEX(PlotData,MATCH($A84,PlotNumber,0),MATCH(B$3,PlotTitles,0)))),"",ISBLANK(INDEX(PlotData,MATCH($A84,PlotNumber,0),MATCH(N$3,PlotTitles,0))),"",(DATEVALUE(INDEX(PlotData,MATCH($A84,PlotNumber,0),MATCH(N$3,PlotTitles,0))&amp;INDEX(PlotData,MATCH($A84,PlotNumber,0),MATCH(O$3,PlotTitles,0))))&lt;(DATEVALUE(INDEX(PlotData,MATCH($A84,PlotNumber,0),MATCH(I$3,PlotTitles,0))&amp;INDEX(PlotData,MATCH($A84,PlotNumber,0),MATCH(J$3,PlotTitles,0)))),$AB$20,TRUE,"")</f>
        <v/>
      </c>
      <c r="R84" s="104" t="str" cm="1">
        <f t="array" ref="R84">_xlfn.IFS(OR(ISBLANK(StartDateMonth),ISBLANK(StartDateYear)),"",AND(A84&gt;NumberOfPlots,ISBLANK(INDEX(PlotData,MATCH($A84,PlotNumber,0),MATCH(B$3,PlotTitles,0)))),"",ISBLANK(INDEX(PlotData,MATCH($A84,PlotNumber,0),MATCH(N$3,PlotTitles,0))),"",CompletionMonth="","",(DATEVALUE(INDEX(PlotData,MATCH($A84,PlotNumber,0),MATCH(N$3,PlotTitles,0))&amp;INDEX(PlotData,MATCH($A84,PlotNumber,0),MATCH(O$3,PlotTitles,0))))&gt;(DATEVALUE(CompletionMonth&amp;CompletionYear)),$AB$21,TRUE,"")</f>
        <v/>
      </c>
      <c r="S84" s="104" t="str" cm="1">
        <f t="array" ref="S84">_xlfn.IFS(AND(A84&gt;NumberOfPlots,ISBLANK(INDEX(PlotData,MATCH($A84,PlotNumber,0),MATCH(B$3,PlotTitles,0)))),"",OR(AND(INDEX(PlotData,MATCH($A84,PlotNumber,0),MATCH("Tenure",PlotTitles,0))="Open market housing",INDEX(PlotData,MATCH($A84,PlotNumber,0),MATCH("Tenure detail",PlotTitles,0))="Private rented sector"),INDEX(PlotData,MATCH($A84,PlotNumber,0),MATCH("Tenure",PlotTitles,0))="Affordable rent"),"",ISNUMBER(INDEX(PlotData,MATCH($A84,PlotNumber,0),MATCH(S$3,PlotTitles,0)))=FALSE, $AB$22,TRUE,"")</f>
        <v/>
      </c>
      <c r="T84" s="104" t="str" cm="1">
        <f t="array" ref="T84">_xlfn.IFS(AND(A84&gt;NumberOfPlots,ISBLANK(INDEX(PlotData,MATCH($A84,PlotNumber,0),MATCH(B$3,PlotTitles,0)))),"",OR(AND(INDEX(PlotData,MATCH($A84,PlotNumber,0),MATCH("Tenure",PlotTitles,0))="Open market housing",INDEX(PlotData,MATCH($A84,PlotNumber,0),MATCH("Tenure detail",PlotTitles,0))="Private rented sector"),INDEX(PlotData,MATCH($A84,PlotNumber,0),MATCH("Tenure",PlotTitles,0))="Affordable rent"),"",INDEX(PlotData,MATCH($A84,PlotNumber,0),MATCH(S$3,PlotTitles,0))&lt;10000, $AB$23,TRUE,"")</f>
        <v/>
      </c>
      <c r="U84" s="104" t="str" cm="1">
        <f t="array" ref="U84">_xlfn.IFS(AND(A84&gt;NumberOfPlots,ISBLANK(INDEX(PlotData,MATCH($A84,PlotNumber,0),MATCH(B$3,PlotTitles,0)))),"",NOT(OR(AND(INDEX(PlotData,MATCH($A84,PlotNumber,0),MATCH("Tenure",PlotTitles,0))="Open market housing",INDEX(PlotData,MATCH($A84,PlotNumber,0),MATCH("Tenure detail",PlotTitles,0))="Private rented sector"),INDEX(PlotData,MATCH($A84,PlotNumber,0),MATCH("Tenure",PlotTitles,0))="Affordable rent")),"",NOT(INDEX(PlotData,MATCH($A84,PlotNumber,0),MATCH(S$3,PlotTitles,0))=0), $AB$24,TRUE,"")</f>
        <v/>
      </c>
      <c r="V84" s="114" t="str" cm="1">
        <f t="array" aca="1" ref="V84" ca="1">_xlfn.IFS(ISBLANK(NumberOfPlots),"Enter the number of homes on the 1_SetUp sheet",AND(A84&gt;NumberOfPlots,ISBLANK(INDEX(PlotData,MATCH($A84,PlotNumber,0),MATCH(B$3,PlotTitles,0)))),"No error",NOT(B84=""),B84,NOT(C84=""),C84,NOT(D84=""),D84,NOT(E84=""),E84,NOT(F84=""),F84,NOT(G84=""),G84,NOT(H84=""),H84,NOT(I84=""),I84,NOT(J84=""),J84,NOT(K84=""),K84,NOT(L84=""),L84,NOT(M84=""),M84,NOT(N84=""),N84,NOT(O84=""),O84,NOT(P84=""),P84,NOT(Q84=""),Q84,NOT(R84=""),R84,NOT(S84=""),S84,NOT(T84=""),T84,NOT(U84=""),U84,TRUE,"No error")</f>
        <v>Enter the number of homes on the 1_SetUp sheet</v>
      </c>
      <c r="W84" s="114" t="str">
        <f t="shared" ca="1" si="5"/>
        <v xml:space="preserve">The Borrower has not addressed the following error messages for Home ID 80: </v>
      </c>
    </row>
    <row r="85" spans="1:23">
      <c r="A85" s="123">
        <v>81</v>
      </c>
      <c r="B85" s="104" t="str" cm="1">
        <f t="array" ref="B85">_xlfn.IFS(AND(A85&gt;NumberOfPlots,ISBLANK(INDEX(PlotData,MATCH($A85,PlotNumber,0),MATCH(B$3,PlotTitles,0)))),"",ISNUMBER(INDEX(PlotData,MATCH($A85,PlotNumber,0),MATCH(B$3,PlotTitles,0)))=FALSE, $AB$5,TRUE,"")</f>
        <v/>
      </c>
      <c r="C85" s="104" t="str" cm="1">
        <f t="array" ref="C85">_xlfn.IFS(AND(A85&gt;NumberOfPlots,ISBLANK(INDEX(PlotData,MATCH($A85,PlotNumber,0),MATCH(B$3,PlotTitles,0)))),"",ISBLANK(INDEX(PlotData,MATCH($A85,PlotNumber,0),MATCH(C$3,PlotTitles,0))),$AB$6,TRUE,"")</f>
        <v/>
      </c>
      <c r="D85" s="104" t="str" cm="1">
        <f t="array" ref="D85">_xlfn.IFS(AND(A85&gt;NumberOfPlots,ISBLANK(INDEX(PlotData,MATCH($A85,PlotNumber,0),MATCH(B$3,PlotTitles,0)))),"",ISBLANK(INDEX(PlotData,MATCH($A85,PlotNumber,0),MATCH(D$3,PlotTitles,0))),$AB$7,TRUE,"")</f>
        <v/>
      </c>
      <c r="E85" s="104" t="str" cm="1">
        <f t="array" ref="E85">_xlfn.IFS(AND(A85&gt;NumberOfPlots,ISBLANK(INDEX(PlotData,MATCH($A85,PlotNumber,0),MATCH(B$3,PlotTitles,0)))),"",ISBLANK(INDEX(PlotData,MATCH($A85,PlotNumber,0),MATCH(E$3,PlotTitles,0))),$AB$8,TRUE,"")</f>
        <v/>
      </c>
      <c r="F85" s="104" t="str" cm="1">
        <f t="array" ref="F85">_xlfn.IFS(AND(A85&gt;NumberOfPlots,ISBLANK(INDEX(PlotData,MATCH($A85,PlotNumber,0),MATCH(B$3,PlotTitles,0)))),"",ISBLANK(INDEX(PlotData,MATCH($A85,PlotNumber,0),MATCH(F$3,PlotTitles,0))),$AB$9,TRUE,"")</f>
        <v/>
      </c>
      <c r="G85" s="104" t="str" cm="1">
        <f t="array" ref="G85">_xlfn.IFS(AND(A85&gt;NumberOfPlots,ISBLANK(INDEX(PlotData,MATCH($A85,PlotNumber,0),MATCH(B$3,PlotTitles,0)))),"",ISBLANK(INDEX(PlotData,MATCH($A85,PlotNumber,0),MATCH(G$3,PlotTitles,0))),$AB$10,TRUE,"")</f>
        <v/>
      </c>
      <c r="H85" s="104" t="str" cm="1">
        <f t="array" ref="H85">_xlfn.IFS(AND(A85&gt;NumberOfPlots,ISBLANK(INDEX(PlotData,MATCH($A85,PlotNumber,0),MATCH(B$3,PlotTitles,0)))),"",AND(ISBLANK(INDEX(PlotData,MATCH($A85,PlotNumber,0),MATCH(H$3,PlotTitles,0)))=FALSE,INDEX(PlotData,MATCH($A85,PlotNumber,0),MATCH(H$3,PlotTitles,0))&lt;500), $AB$11,TRUE,"")</f>
        <v/>
      </c>
      <c r="I85" s="104" t="str" cm="1">
        <f t="array" ref="I85">_xlfn.IFS(AND(A85&gt;NumberOfPlots,ISBLANK(INDEX(PlotData,MATCH($A85,PlotNumber,0),MATCH(B$3,PlotTitles,0)))),"",ISBLANK(INDEX(PlotData,MATCH($A85,PlotNumber,0),MATCH(I$3,PlotTitles,0))),$AB$12,TRUE,"")</f>
        <v/>
      </c>
      <c r="J85" s="104" t="str" cm="1">
        <f t="array" ref="J85">_xlfn.IFS(AND(A85&gt;NumberOfPlots,ISBLANK(INDEX(PlotData,MATCH($A85,PlotNumber,0),MATCH(B$3,PlotTitles,0)))),"",ISBLANK(INDEX(PlotData,MATCH($A85,PlotNumber,0),MATCH(J$3,PlotTitles,0))),$AB$13,TRUE,"")</f>
        <v/>
      </c>
      <c r="K85" s="182" t="str">
        <f t="shared" ca="1" si="3"/>
        <v/>
      </c>
      <c r="L85" s="104" t="str" cm="1">
        <f t="array" ref="L85">_xlfn.IFS(OR(ISBLANK(StartDateMonth),ISBLANK(StartDateYear)),"",AND(A85&gt;NumberOfPlots,ISBLANK(INDEX(PlotData,MATCH($A85,PlotNumber,0),MATCH(B$3,PlotTitles,0)))),"",ISBLANK(INDEX(PlotData,MATCH($A85,PlotNumber,0),MATCH(I$3,PlotTitles,0))),"",(DATEVALUE(INDEX(PlotData,MATCH($A85,PlotNumber,0),MATCH(I$3,PlotTitles,0))&amp;INDEX(PlotData,MATCH($A85,PlotNumber,0),MATCH(J$3,PlotTitles,0))))&lt;DATEVALUE(StartDateMonth&amp;StartDateYear),$AB$15,TRUE,"")</f>
        <v/>
      </c>
      <c r="M85" s="104" t="str" cm="1">
        <f t="array" ref="M85">_xlfn.IFS(OR(ISBLANK(StartDateMonth),ISBLANK(StartDateYear)),"",AND(A85&gt;NumberOfPlots,ISBLANK(INDEX(PlotData,MATCH($A85,PlotNumber,0),MATCH(B$3,PlotTitles,0)))),"",ISBLANK(INDEX(PlotData,MATCH($A85,PlotNumber,0),MATCH(I$3,PlotTitles,0))),"",CompletionMonth="","",(DATEVALUE(INDEX(PlotData,MATCH($A85,PlotNumber,0),MATCH(I$3,PlotTitles,0))&amp;INDEX(PlotData,MATCH($A85,PlotNumber,0),MATCH(J$3,PlotTitles,0))))&gt;(DATEVALUE(CompletionMonth&amp;CompletionYear)),$AB$16,TRUE,"")</f>
        <v/>
      </c>
      <c r="N85" s="104" t="str" cm="1">
        <f t="array" ref="N85">_xlfn.IFS(AND(A85&gt;NumberOfPlots,ISBLANK(INDEX(PlotData,MATCH($A85,PlotNumber,0),MATCH(B$3,PlotTitles,0)))),"",ISBLANK(INDEX(PlotData,MATCH($A85,PlotNumber,0),MATCH(N$3,PlotTitles,0))),$AB$17,TRUE,"")</f>
        <v/>
      </c>
      <c r="O85" s="104" t="str" cm="1">
        <f t="array" ref="O85">_xlfn.IFS(AND(A85&gt;NumberOfPlots,ISBLANK(INDEX(PlotData,MATCH($A85,PlotNumber,0),MATCH(B$3,PlotTitles,0)))),"",ISBLANK(INDEX(PlotData,MATCH($A85,PlotNumber,0),MATCH(O$3,PlotTitles,0))),$AB$18,TRUE,"")</f>
        <v/>
      </c>
      <c r="P85" s="182" t="str">
        <f t="shared" ca="1" si="4"/>
        <v/>
      </c>
      <c r="Q85" s="104" t="str" cm="1">
        <f t="array" ref="Q85">_xlfn.IFS(AND(A85&gt;NumberOfPlots,ISBLANK(INDEX(PlotData,MATCH($A85,PlotNumber,0),MATCH(B$3,PlotTitles,0)))),"",ISBLANK(INDEX(PlotData,MATCH($A85,PlotNumber,0),MATCH(N$3,PlotTitles,0))),"",(DATEVALUE(INDEX(PlotData,MATCH($A85,PlotNumber,0),MATCH(N$3,PlotTitles,0))&amp;INDEX(PlotData,MATCH($A85,PlotNumber,0),MATCH(O$3,PlotTitles,0))))&lt;(DATEVALUE(INDEX(PlotData,MATCH($A85,PlotNumber,0),MATCH(I$3,PlotTitles,0))&amp;INDEX(PlotData,MATCH($A85,PlotNumber,0),MATCH(J$3,PlotTitles,0)))),$AB$20,TRUE,"")</f>
        <v/>
      </c>
      <c r="R85" s="104" t="str" cm="1">
        <f t="array" ref="R85">_xlfn.IFS(OR(ISBLANK(StartDateMonth),ISBLANK(StartDateYear)),"",AND(A85&gt;NumberOfPlots,ISBLANK(INDEX(PlotData,MATCH($A85,PlotNumber,0),MATCH(B$3,PlotTitles,0)))),"",ISBLANK(INDEX(PlotData,MATCH($A85,PlotNumber,0),MATCH(N$3,PlotTitles,0))),"",CompletionMonth="","",(DATEVALUE(INDEX(PlotData,MATCH($A85,PlotNumber,0),MATCH(N$3,PlotTitles,0))&amp;INDEX(PlotData,MATCH($A85,PlotNumber,0),MATCH(O$3,PlotTitles,0))))&gt;(DATEVALUE(CompletionMonth&amp;CompletionYear)),$AB$21,TRUE,"")</f>
        <v/>
      </c>
      <c r="S85" s="104" t="str" cm="1">
        <f t="array" ref="S85">_xlfn.IFS(AND(A85&gt;NumberOfPlots,ISBLANK(INDEX(PlotData,MATCH($A85,PlotNumber,0),MATCH(B$3,PlotTitles,0)))),"",OR(AND(INDEX(PlotData,MATCH($A85,PlotNumber,0),MATCH("Tenure",PlotTitles,0))="Open market housing",INDEX(PlotData,MATCH($A85,PlotNumber,0),MATCH("Tenure detail",PlotTitles,0))="Private rented sector"),INDEX(PlotData,MATCH($A85,PlotNumber,0),MATCH("Tenure",PlotTitles,0))="Affordable rent"),"",ISNUMBER(INDEX(PlotData,MATCH($A85,PlotNumber,0),MATCH(S$3,PlotTitles,0)))=FALSE, $AB$22,TRUE,"")</f>
        <v/>
      </c>
      <c r="T85" s="104" t="str" cm="1">
        <f t="array" ref="T85">_xlfn.IFS(AND(A85&gt;NumberOfPlots,ISBLANK(INDEX(PlotData,MATCH($A85,PlotNumber,0),MATCH(B$3,PlotTitles,0)))),"",OR(AND(INDEX(PlotData,MATCH($A85,PlotNumber,0),MATCH("Tenure",PlotTitles,0))="Open market housing",INDEX(PlotData,MATCH($A85,PlotNumber,0),MATCH("Tenure detail",PlotTitles,0))="Private rented sector"),INDEX(PlotData,MATCH($A85,PlotNumber,0),MATCH("Tenure",PlotTitles,0))="Affordable rent"),"",INDEX(PlotData,MATCH($A85,PlotNumber,0),MATCH(S$3,PlotTitles,0))&lt;10000, $AB$23,TRUE,"")</f>
        <v/>
      </c>
      <c r="U85" s="104" t="str" cm="1">
        <f t="array" ref="U85">_xlfn.IFS(AND(A85&gt;NumberOfPlots,ISBLANK(INDEX(PlotData,MATCH($A85,PlotNumber,0),MATCH(B$3,PlotTitles,0)))),"",NOT(OR(AND(INDEX(PlotData,MATCH($A85,PlotNumber,0),MATCH("Tenure",PlotTitles,0))="Open market housing",INDEX(PlotData,MATCH($A85,PlotNumber,0),MATCH("Tenure detail",PlotTitles,0))="Private rented sector"),INDEX(PlotData,MATCH($A85,PlotNumber,0),MATCH("Tenure",PlotTitles,0))="Affordable rent")),"",NOT(INDEX(PlotData,MATCH($A85,PlotNumber,0),MATCH(S$3,PlotTitles,0))=0), $AB$24,TRUE,"")</f>
        <v/>
      </c>
      <c r="V85" s="114" t="str" cm="1">
        <f t="array" aca="1" ref="V85" ca="1">_xlfn.IFS(ISBLANK(NumberOfPlots),"Enter the number of homes on the 1_SetUp sheet",AND(A85&gt;NumberOfPlots,ISBLANK(INDEX(PlotData,MATCH($A85,PlotNumber,0),MATCH(B$3,PlotTitles,0)))),"No error",NOT(B85=""),B85,NOT(C85=""),C85,NOT(D85=""),D85,NOT(E85=""),E85,NOT(F85=""),F85,NOT(G85=""),G85,NOT(H85=""),H85,NOT(I85=""),I85,NOT(J85=""),J85,NOT(K85=""),K85,NOT(L85=""),L85,NOT(M85=""),M85,NOT(N85=""),N85,NOT(O85=""),O85,NOT(P85=""),P85,NOT(Q85=""),Q85,NOT(R85=""),R85,NOT(S85=""),S85,NOT(T85=""),T85,NOT(U85=""),U85,TRUE,"No error")</f>
        <v>Enter the number of homes on the 1_SetUp sheet</v>
      </c>
      <c r="W85" s="114" t="str">
        <f t="shared" ca="1" si="5"/>
        <v xml:space="preserve">The Borrower has not addressed the following error messages for Home ID 81: </v>
      </c>
    </row>
    <row r="86" spans="1:23">
      <c r="A86" s="123">
        <v>82</v>
      </c>
      <c r="B86" s="104" t="str" cm="1">
        <f t="array" ref="B86">_xlfn.IFS(AND(A86&gt;NumberOfPlots,ISBLANK(INDEX(PlotData,MATCH($A86,PlotNumber,0),MATCH(B$3,PlotTitles,0)))),"",ISNUMBER(INDEX(PlotData,MATCH($A86,PlotNumber,0),MATCH(B$3,PlotTitles,0)))=FALSE, $AB$5,TRUE,"")</f>
        <v/>
      </c>
      <c r="C86" s="104" t="str" cm="1">
        <f t="array" ref="C86">_xlfn.IFS(AND(A86&gt;NumberOfPlots,ISBLANK(INDEX(PlotData,MATCH($A86,PlotNumber,0),MATCH(B$3,PlotTitles,0)))),"",ISBLANK(INDEX(PlotData,MATCH($A86,PlotNumber,0),MATCH(C$3,PlotTitles,0))),$AB$6,TRUE,"")</f>
        <v/>
      </c>
      <c r="D86" s="104" t="str" cm="1">
        <f t="array" ref="D86">_xlfn.IFS(AND(A86&gt;NumberOfPlots,ISBLANK(INDEX(PlotData,MATCH($A86,PlotNumber,0),MATCH(B$3,PlotTitles,0)))),"",ISBLANK(INDEX(PlotData,MATCH($A86,PlotNumber,0),MATCH(D$3,PlotTitles,0))),$AB$7,TRUE,"")</f>
        <v/>
      </c>
      <c r="E86" s="104" t="str" cm="1">
        <f t="array" ref="E86">_xlfn.IFS(AND(A86&gt;NumberOfPlots,ISBLANK(INDEX(PlotData,MATCH($A86,PlotNumber,0),MATCH(B$3,PlotTitles,0)))),"",ISBLANK(INDEX(PlotData,MATCH($A86,PlotNumber,0),MATCH(E$3,PlotTitles,0))),$AB$8,TRUE,"")</f>
        <v/>
      </c>
      <c r="F86" s="104" t="str" cm="1">
        <f t="array" ref="F86">_xlfn.IFS(AND(A86&gt;NumberOfPlots,ISBLANK(INDEX(PlotData,MATCH($A86,PlotNumber,0),MATCH(B$3,PlotTitles,0)))),"",ISBLANK(INDEX(PlotData,MATCH($A86,PlotNumber,0),MATCH(F$3,PlotTitles,0))),$AB$9,TRUE,"")</f>
        <v/>
      </c>
      <c r="G86" s="104" t="str" cm="1">
        <f t="array" ref="G86">_xlfn.IFS(AND(A86&gt;NumberOfPlots,ISBLANK(INDEX(PlotData,MATCH($A86,PlotNumber,0),MATCH(B$3,PlotTitles,0)))),"",ISBLANK(INDEX(PlotData,MATCH($A86,PlotNumber,0),MATCH(G$3,PlotTitles,0))),$AB$10,TRUE,"")</f>
        <v/>
      </c>
      <c r="H86" s="104" t="str" cm="1">
        <f t="array" ref="H86">_xlfn.IFS(AND(A86&gt;NumberOfPlots,ISBLANK(INDEX(PlotData,MATCH($A86,PlotNumber,0),MATCH(B$3,PlotTitles,0)))),"",AND(ISBLANK(INDEX(PlotData,MATCH($A86,PlotNumber,0),MATCH(H$3,PlotTitles,0)))=FALSE,INDEX(PlotData,MATCH($A86,PlotNumber,0),MATCH(H$3,PlotTitles,0))&lt;500), $AB$11,TRUE,"")</f>
        <v/>
      </c>
      <c r="I86" s="104" t="str" cm="1">
        <f t="array" ref="I86">_xlfn.IFS(AND(A86&gt;NumberOfPlots,ISBLANK(INDEX(PlotData,MATCH($A86,PlotNumber,0),MATCH(B$3,PlotTitles,0)))),"",ISBLANK(INDEX(PlotData,MATCH($A86,PlotNumber,0),MATCH(I$3,PlotTitles,0))),$AB$12,TRUE,"")</f>
        <v/>
      </c>
      <c r="J86" s="104" t="str" cm="1">
        <f t="array" ref="J86">_xlfn.IFS(AND(A86&gt;NumberOfPlots,ISBLANK(INDEX(PlotData,MATCH($A86,PlotNumber,0),MATCH(B$3,PlotTitles,0)))),"",ISBLANK(INDEX(PlotData,MATCH($A86,PlotNumber,0),MATCH(J$3,PlotTitles,0))),$AB$13,TRUE,"")</f>
        <v/>
      </c>
      <c r="K86" s="182" t="str">
        <f t="shared" ca="1" si="3"/>
        <v/>
      </c>
      <c r="L86" s="104" t="str" cm="1">
        <f t="array" ref="L86">_xlfn.IFS(OR(ISBLANK(StartDateMonth),ISBLANK(StartDateYear)),"",AND(A86&gt;NumberOfPlots,ISBLANK(INDEX(PlotData,MATCH($A86,PlotNumber,0),MATCH(B$3,PlotTitles,0)))),"",ISBLANK(INDEX(PlotData,MATCH($A86,PlotNumber,0),MATCH(I$3,PlotTitles,0))),"",(DATEVALUE(INDEX(PlotData,MATCH($A86,PlotNumber,0),MATCH(I$3,PlotTitles,0))&amp;INDEX(PlotData,MATCH($A86,PlotNumber,0),MATCH(J$3,PlotTitles,0))))&lt;DATEVALUE(StartDateMonth&amp;StartDateYear),$AB$15,TRUE,"")</f>
        <v/>
      </c>
      <c r="M86" s="104" t="str" cm="1">
        <f t="array" ref="M86">_xlfn.IFS(OR(ISBLANK(StartDateMonth),ISBLANK(StartDateYear)),"",AND(A86&gt;NumberOfPlots,ISBLANK(INDEX(PlotData,MATCH($A86,PlotNumber,0),MATCH(B$3,PlotTitles,0)))),"",ISBLANK(INDEX(PlotData,MATCH($A86,PlotNumber,0),MATCH(I$3,PlotTitles,0))),"",CompletionMonth="","",(DATEVALUE(INDEX(PlotData,MATCH($A86,PlotNumber,0),MATCH(I$3,PlotTitles,0))&amp;INDEX(PlotData,MATCH($A86,PlotNumber,0),MATCH(J$3,PlotTitles,0))))&gt;(DATEVALUE(CompletionMonth&amp;CompletionYear)),$AB$16,TRUE,"")</f>
        <v/>
      </c>
      <c r="N86" s="104" t="str" cm="1">
        <f t="array" ref="N86">_xlfn.IFS(AND(A86&gt;NumberOfPlots,ISBLANK(INDEX(PlotData,MATCH($A86,PlotNumber,0),MATCH(B$3,PlotTitles,0)))),"",ISBLANK(INDEX(PlotData,MATCH($A86,PlotNumber,0),MATCH(N$3,PlotTitles,0))),$AB$17,TRUE,"")</f>
        <v/>
      </c>
      <c r="O86" s="104" t="str" cm="1">
        <f t="array" ref="O86">_xlfn.IFS(AND(A86&gt;NumberOfPlots,ISBLANK(INDEX(PlotData,MATCH($A86,PlotNumber,0),MATCH(B$3,PlotTitles,0)))),"",ISBLANK(INDEX(PlotData,MATCH($A86,PlotNumber,0),MATCH(O$3,PlotTitles,0))),$AB$18,TRUE,"")</f>
        <v/>
      </c>
      <c r="P86" s="182" t="str">
        <f t="shared" ca="1" si="4"/>
        <v/>
      </c>
      <c r="Q86" s="104" t="str" cm="1">
        <f t="array" ref="Q86">_xlfn.IFS(AND(A86&gt;NumberOfPlots,ISBLANK(INDEX(PlotData,MATCH($A86,PlotNumber,0),MATCH(B$3,PlotTitles,0)))),"",ISBLANK(INDEX(PlotData,MATCH($A86,PlotNumber,0),MATCH(N$3,PlotTitles,0))),"",(DATEVALUE(INDEX(PlotData,MATCH($A86,PlotNumber,0),MATCH(N$3,PlotTitles,0))&amp;INDEX(PlotData,MATCH($A86,PlotNumber,0),MATCH(O$3,PlotTitles,0))))&lt;(DATEVALUE(INDEX(PlotData,MATCH($A86,PlotNumber,0),MATCH(I$3,PlotTitles,0))&amp;INDEX(PlotData,MATCH($A86,PlotNumber,0),MATCH(J$3,PlotTitles,0)))),$AB$20,TRUE,"")</f>
        <v/>
      </c>
      <c r="R86" s="104" t="str" cm="1">
        <f t="array" ref="R86">_xlfn.IFS(OR(ISBLANK(StartDateMonth),ISBLANK(StartDateYear)),"",AND(A86&gt;NumberOfPlots,ISBLANK(INDEX(PlotData,MATCH($A86,PlotNumber,0),MATCH(B$3,PlotTitles,0)))),"",ISBLANK(INDEX(PlotData,MATCH($A86,PlotNumber,0),MATCH(N$3,PlotTitles,0))),"",CompletionMonth="","",(DATEVALUE(INDEX(PlotData,MATCH($A86,PlotNumber,0),MATCH(N$3,PlotTitles,0))&amp;INDEX(PlotData,MATCH($A86,PlotNumber,0),MATCH(O$3,PlotTitles,0))))&gt;(DATEVALUE(CompletionMonth&amp;CompletionYear)),$AB$21,TRUE,"")</f>
        <v/>
      </c>
      <c r="S86" s="104" t="str" cm="1">
        <f t="array" ref="S86">_xlfn.IFS(AND(A86&gt;NumberOfPlots,ISBLANK(INDEX(PlotData,MATCH($A86,PlotNumber,0),MATCH(B$3,PlotTitles,0)))),"",OR(AND(INDEX(PlotData,MATCH($A86,PlotNumber,0),MATCH("Tenure",PlotTitles,0))="Open market housing",INDEX(PlotData,MATCH($A86,PlotNumber,0),MATCH("Tenure detail",PlotTitles,0))="Private rented sector"),INDEX(PlotData,MATCH($A86,PlotNumber,0),MATCH("Tenure",PlotTitles,0))="Affordable rent"),"",ISNUMBER(INDEX(PlotData,MATCH($A86,PlotNumber,0),MATCH(S$3,PlotTitles,0)))=FALSE, $AB$22,TRUE,"")</f>
        <v/>
      </c>
      <c r="T86" s="104" t="str" cm="1">
        <f t="array" ref="T86">_xlfn.IFS(AND(A86&gt;NumberOfPlots,ISBLANK(INDEX(PlotData,MATCH($A86,PlotNumber,0),MATCH(B$3,PlotTitles,0)))),"",OR(AND(INDEX(PlotData,MATCH($A86,PlotNumber,0),MATCH("Tenure",PlotTitles,0))="Open market housing",INDEX(PlotData,MATCH($A86,PlotNumber,0),MATCH("Tenure detail",PlotTitles,0))="Private rented sector"),INDEX(PlotData,MATCH($A86,PlotNumber,0),MATCH("Tenure",PlotTitles,0))="Affordable rent"),"",INDEX(PlotData,MATCH($A86,PlotNumber,0),MATCH(S$3,PlotTitles,0))&lt;10000, $AB$23,TRUE,"")</f>
        <v/>
      </c>
      <c r="U86" s="104" t="str" cm="1">
        <f t="array" ref="U86">_xlfn.IFS(AND(A86&gt;NumberOfPlots,ISBLANK(INDEX(PlotData,MATCH($A86,PlotNumber,0),MATCH(B$3,PlotTitles,0)))),"",NOT(OR(AND(INDEX(PlotData,MATCH($A86,PlotNumber,0),MATCH("Tenure",PlotTitles,0))="Open market housing",INDEX(PlotData,MATCH($A86,PlotNumber,0),MATCH("Tenure detail",PlotTitles,0))="Private rented sector"),INDEX(PlotData,MATCH($A86,PlotNumber,0),MATCH("Tenure",PlotTitles,0))="Affordable rent")),"",NOT(INDEX(PlotData,MATCH($A86,PlotNumber,0),MATCH(S$3,PlotTitles,0))=0), $AB$24,TRUE,"")</f>
        <v/>
      </c>
      <c r="V86" s="114" t="str" cm="1">
        <f t="array" aca="1" ref="V86" ca="1">_xlfn.IFS(ISBLANK(NumberOfPlots),"Enter the number of homes on the 1_SetUp sheet",AND(A86&gt;NumberOfPlots,ISBLANK(INDEX(PlotData,MATCH($A86,PlotNumber,0),MATCH(B$3,PlotTitles,0)))),"No error",NOT(B86=""),B86,NOT(C86=""),C86,NOT(D86=""),D86,NOT(E86=""),E86,NOT(F86=""),F86,NOT(G86=""),G86,NOT(H86=""),H86,NOT(I86=""),I86,NOT(J86=""),J86,NOT(K86=""),K86,NOT(L86=""),L86,NOT(M86=""),M86,NOT(N86=""),N86,NOT(O86=""),O86,NOT(P86=""),P86,NOT(Q86=""),Q86,NOT(R86=""),R86,NOT(S86=""),S86,NOT(T86=""),T86,NOT(U86=""),U86,TRUE,"No error")</f>
        <v>Enter the number of homes on the 1_SetUp sheet</v>
      </c>
      <c r="W86" s="114" t="str">
        <f t="shared" ca="1" si="5"/>
        <v xml:space="preserve">The Borrower has not addressed the following error messages for Home ID 82: </v>
      </c>
    </row>
    <row r="87" spans="1:23">
      <c r="A87" s="123">
        <v>83</v>
      </c>
      <c r="B87" s="104" t="str" cm="1">
        <f t="array" ref="B87">_xlfn.IFS(AND(A87&gt;NumberOfPlots,ISBLANK(INDEX(PlotData,MATCH($A87,PlotNumber,0),MATCH(B$3,PlotTitles,0)))),"",ISNUMBER(INDEX(PlotData,MATCH($A87,PlotNumber,0),MATCH(B$3,PlotTitles,0)))=FALSE, $AB$5,TRUE,"")</f>
        <v/>
      </c>
      <c r="C87" s="104" t="str" cm="1">
        <f t="array" ref="C87">_xlfn.IFS(AND(A87&gt;NumberOfPlots,ISBLANK(INDEX(PlotData,MATCH($A87,PlotNumber,0),MATCH(B$3,PlotTitles,0)))),"",ISBLANK(INDEX(PlotData,MATCH($A87,PlotNumber,0),MATCH(C$3,PlotTitles,0))),$AB$6,TRUE,"")</f>
        <v/>
      </c>
      <c r="D87" s="104" t="str" cm="1">
        <f t="array" ref="D87">_xlfn.IFS(AND(A87&gt;NumberOfPlots,ISBLANK(INDEX(PlotData,MATCH($A87,PlotNumber,0),MATCH(B$3,PlotTitles,0)))),"",ISBLANK(INDEX(PlotData,MATCH($A87,PlotNumber,0),MATCH(D$3,PlotTitles,0))),$AB$7,TRUE,"")</f>
        <v/>
      </c>
      <c r="E87" s="104" t="str" cm="1">
        <f t="array" ref="E87">_xlfn.IFS(AND(A87&gt;NumberOfPlots,ISBLANK(INDEX(PlotData,MATCH($A87,PlotNumber,0),MATCH(B$3,PlotTitles,0)))),"",ISBLANK(INDEX(PlotData,MATCH($A87,PlotNumber,0),MATCH(E$3,PlotTitles,0))),$AB$8,TRUE,"")</f>
        <v/>
      </c>
      <c r="F87" s="104" t="str" cm="1">
        <f t="array" ref="F87">_xlfn.IFS(AND(A87&gt;NumberOfPlots,ISBLANK(INDEX(PlotData,MATCH($A87,PlotNumber,0),MATCH(B$3,PlotTitles,0)))),"",ISBLANK(INDEX(PlotData,MATCH($A87,PlotNumber,0),MATCH(F$3,PlotTitles,0))),$AB$9,TRUE,"")</f>
        <v/>
      </c>
      <c r="G87" s="104" t="str" cm="1">
        <f t="array" ref="G87">_xlfn.IFS(AND(A87&gt;NumberOfPlots,ISBLANK(INDEX(PlotData,MATCH($A87,PlotNumber,0),MATCH(B$3,PlotTitles,0)))),"",ISBLANK(INDEX(PlotData,MATCH($A87,PlotNumber,0),MATCH(G$3,PlotTitles,0))),$AB$10,TRUE,"")</f>
        <v/>
      </c>
      <c r="H87" s="104" t="str" cm="1">
        <f t="array" ref="H87">_xlfn.IFS(AND(A87&gt;NumberOfPlots,ISBLANK(INDEX(PlotData,MATCH($A87,PlotNumber,0),MATCH(B$3,PlotTitles,0)))),"",AND(ISBLANK(INDEX(PlotData,MATCH($A87,PlotNumber,0),MATCH(H$3,PlotTitles,0)))=FALSE,INDEX(PlotData,MATCH($A87,PlotNumber,0),MATCH(H$3,PlotTitles,0))&lt;500), $AB$11,TRUE,"")</f>
        <v/>
      </c>
      <c r="I87" s="104" t="str" cm="1">
        <f t="array" ref="I87">_xlfn.IFS(AND(A87&gt;NumberOfPlots,ISBLANK(INDEX(PlotData,MATCH($A87,PlotNumber,0),MATCH(B$3,PlotTitles,0)))),"",ISBLANK(INDEX(PlotData,MATCH($A87,PlotNumber,0),MATCH(I$3,PlotTitles,0))),$AB$12,TRUE,"")</f>
        <v/>
      </c>
      <c r="J87" s="104" t="str" cm="1">
        <f t="array" ref="J87">_xlfn.IFS(AND(A87&gt;NumberOfPlots,ISBLANK(INDEX(PlotData,MATCH($A87,PlotNumber,0),MATCH(B$3,PlotTitles,0)))),"",ISBLANK(INDEX(PlotData,MATCH($A87,PlotNumber,0),MATCH(J$3,PlotTitles,0))),$AB$13,TRUE,"")</f>
        <v/>
      </c>
      <c r="K87" s="182" t="str">
        <f t="shared" ca="1" si="3"/>
        <v/>
      </c>
      <c r="L87" s="104" t="str" cm="1">
        <f t="array" ref="L87">_xlfn.IFS(OR(ISBLANK(StartDateMonth),ISBLANK(StartDateYear)),"",AND(A87&gt;NumberOfPlots,ISBLANK(INDEX(PlotData,MATCH($A87,PlotNumber,0),MATCH(B$3,PlotTitles,0)))),"",ISBLANK(INDEX(PlotData,MATCH($A87,PlotNumber,0),MATCH(I$3,PlotTitles,0))),"",(DATEVALUE(INDEX(PlotData,MATCH($A87,PlotNumber,0),MATCH(I$3,PlotTitles,0))&amp;INDEX(PlotData,MATCH($A87,PlotNumber,0),MATCH(J$3,PlotTitles,0))))&lt;DATEVALUE(StartDateMonth&amp;StartDateYear),$AB$15,TRUE,"")</f>
        <v/>
      </c>
      <c r="M87" s="104" t="str" cm="1">
        <f t="array" ref="M87">_xlfn.IFS(OR(ISBLANK(StartDateMonth),ISBLANK(StartDateYear)),"",AND(A87&gt;NumberOfPlots,ISBLANK(INDEX(PlotData,MATCH($A87,PlotNumber,0),MATCH(B$3,PlotTitles,0)))),"",ISBLANK(INDEX(PlotData,MATCH($A87,PlotNumber,0),MATCH(I$3,PlotTitles,0))),"",CompletionMonth="","",(DATEVALUE(INDEX(PlotData,MATCH($A87,PlotNumber,0),MATCH(I$3,PlotTitles,0))&amp;INDEX(PlotData,MATCH($A87,PlotNumber,0),MATCH(J$3,PlotTitles,0))))&gt;(DATEVALUE(CompletionMonth&amp;CompletionYear)),$AB$16,TRUE,"")</f>
        <v/>
      </c>
      <c r="N87" s="104" t="str" cm="1">
        <f t="array" ref="N87">_xlfn.IFS(AND(A87&gt;NumberOfPlots,ISBLANK(INDEX(PlotData,MATCH($A87,PlotNumber,0),MATCH(B$3,PlotTitles,0)))),"",ISBLANK(INDEX(PlotData,MATCH($A87,PlotNumber,0),MATCH(N$3,PlotTitles,0))),$AB$17,TRUE,"")</f>
        <v/>
      </c>
      <c r="O87" s="104" t="str" cm="1">
        <f t="array" ref="O87">_xlfn.IFS(AND(A87&gt;NumberOfPlots,ISBLANK(INDEX(PlotData,MATCH($A87,PlotNumber,0),MATCH(B$3,PlotTitles,0)))),"",ISBLANK(INDEX(PlotData,MATCH($A87,PlotNumber,0),MATCH(O$3,PlotTitles,0))),$AB$18,TRUE,"")</f>
        <v/>
      </c>
      <c r="P87" s="182" t="str">
        <f t="shared" ca="1" si="4"/>
        <v/>
      </c>
      <c r="Q87" s="104" t="str" cm="1">
        <f t="array" ref="Q87">_xlfn.IFS(AND(A87&gt;NumberOfPlots,ISBLANK(INDEX(PlotData,MATCH($A87,PlotNumber,0),MATCH(B$3,PlotTitles,0)))),"",ISBLANK(INDEX(PlotData,MATCH($A87,PlotNumber,0),MATCH(N$3,PlotTitles,0))),"",(DATEVALUE(INDEX(PlotData,MATCH($A87,PlotNumber,0),MATCH(N$3,PlotTitles,0))&amp;INDEX(PlotData,MATCH($A87,PlotNumber,0),MATCH(O$3,PlotTitles,0))))&lt;(DATEVALUE(INDEX(PlotData,MATCH($A87,PlotNumber,0),MATCH(I$3,PlotTitles,0))&amp;INDEX(PlotData,MATCH($A87,PlotNumber,0),MATCH(J$3,PlotTitles,0)))),$AB$20,TRUE,"")</f>
        <v/>
      </c>
      <c r="R87" s="104" t="str" cm="1">
        <f t="array" ref="R87">_xlfn.IFS(OR(ISBLANK(StartDateMonth),ISBLANK(StartDateYear)),"",AND(A87&gt;NumberOfPlots,ISBLANK(INDEX(PlotData,MATCH($A87,PlotNumber,0),MATCH(B$3,PlotTitles,0)))),"",ISBLANK(INDEX(PlotData,MATCH($A87,PlotNumber,0),MATCH(N$3,PlotTitles,0))),"",CompletionMonth="","",(DATEVALUE(INDEX(PlotData,MATCH($A87,PlotNumber,0),MATCH(N$3,PlotTitles,0))&amp;INDEX(PlotData,MATCH($A87,PlotNumber,0),MATCH(O$3,PlotTitles,0))))&gt;(DATEVALUE(CompletionMonth&amp;CompletionYear)),$AB$21,TRUE,"")</f>
        <v/>
      </c>
      <c r="S87" s="104" t="str" cm="1">
        <f t="array" ref="S87">_xlfn.IFS(AND(A87&gt;NumberOfPlots,ISBLANK(INDEX(PlotData,MATCH($A87,PlotNumber,0),MATCH(B$3,PlotTitles,0)))),"",OR(AND(INDEX(PlotData,MATCH($A87,PlotNumber,0),MATCH("Tenure",PlotTitles,0))="Open market housing",INDEX(PlotData,MATCH($A87,PlotNumber,0),MATCH("Tenure detail",PlotTitles,0))="Private rented sector"),INDEX(PlotData,MATCH($A87,PlotNumber,0),MATCH("Tenure",PlotTitles,0))="Affordable rent"),"",ISNUMBER(INDEX(PlotData,MATCH($A87,PlotNumber,0),MATCH(S$3,PlotTitles,0)))=FALSE, $AB$22,TRUE,"")</f>
        <v/>
      </c>
      <c r="T87" s="104" t="str" cm="1">
        <f t="array" ref="T87">_xlfn.IFS(AND(A87&gt;NumberOfPlots,ISBLANK(INDEX(PlotData,MATCH($A87,PlotNumber,0),MATCH(B$3,PlotTitles,0)))),"",OR(AND(INDEX(PlotData,MATCH($A87,PlotNumber,0),MATCH("Tenure",PlotTitles,0))="Open market housing",INDEX(PlotData,MATCH($A87,PlotNumber,0),MATCH("Tenure detail",PlotTitles,0))="Private rented sector"),INDEX(PlotData,MATCH($A87,PlotNumber,0),MATCH("Tenure",PlotTitles,0))="Affordable rent"),"",INDEX(PlotData,MATCH($A87,PlotNumber,0),MATCH(S$3,PlotTitles,0))&lt;10000, $AB$23,TRUE,"")</f>
        <v/>
      </c>
      <c r="U87" s="104" t="str" cm="1">
        <f t="array" ref="U87">_xlfn.IFS(AND(A87&gt;NumberOfPlots,ISBLANK(INDEX(PlotData,MATCH($A87,PlotNumber,0),MATCH(B$3,PlotTitles,0)))),"",NOT(OR(AND(INDEX(PlotData,MATCH($A87,PlotNumber,0),MATCH("Tenure",PlotTitles,0))="Open market housing",INDEX(PlotData,MATCH($A87,PlotNumber,0),MATCH("Tenure detail",PlotTitles,0))="Private rented sector"),INDEX(PlotData,MATCH($A87,PlotNumber,0),MATCH("Tenure",PlotTitles,0))="Affordable rent")),"",NOT(INDEX(PlotData,MATCH($A87,PlotNumber,0),MATCH(S$3,PlotTitles,0))=0), $AB$24,TRUE,"")</f>
        <v/>
      </c>
      <c r="V87" s="114" t="str" cm="1">
        <f t="array" aca="1" ref="V87" ca="1">_xlfn.IFS(ISBLANK(NumberOfPlots),"Enter the number of homes on the 1_SetUp sheet",AND(A87&gt;NumberOfPlots,ISBLANK(INDEX(PlotData,MATCH($A87,PlotNumber,0),MATCH(B$3,PlotTitles,0)))),"No error",NOT(B87=""),B87,NOT(C87=""),C87,NOT(D87=""),D87,NOT(E87=""),E87,NOT(F87=""),F87,NOT(G87=""),G87,NOT(H87=""),H87,NOT(I87=""),I87,NOT(J87=""),J87,NOT(K87=""),K87,NOT(L87=""),L87,NOT(M87=""),M87,NOT(N87=""),N87,NOT(O87=""),O87,NOT(P87=""),P87,NOT(Q87=""),Q87,NOT(R87=""),R87,NOT(S87=""),S87,NOT(T87=""),T87,NOT(U87=""),U87,TRUE,"No error")</f>
        <v>Enter the number of homes on the 1_SetUp sheet</v>
      </c>
      <c r="W87" s="114" t="str">
        <f t="shared" ca="1" si="5"/>
        <v xml:space="preserve">The Borrower has not addressed the following error messages for Home ID 83: </v>
      </c>
    </row>
    <row r="88" spans="1:23">
      <c r="A88" s="123">
        <v>84</v>
      </c>
      <c r="B88" s="104" t="str" cm="1">
        <f t="array" ref="B88">_xlfn.IFS(AND(A88&gt;NumberOfPlots,ISBLANK(INDEX(PlotData,MATCH($A88,PlotNumber,0),MATCH(B$3,PlotTitles,0)))),"",ISNUMBER(INDEX(PlotData,MATCH($A88,PlotNumber,0),MATCH(B$3,PlotTitles,0)))=FALSE, $AB$5,TRUE,"")</f>
        <v/>
      </c>
      <c r="C88" s="104" t="str" cm="1">
        <f t="array" ref="C88">_xlfn.IFS(AND(A88&gt;NumberOfPlots,ISBLANK(INDEX(PlotData,MATCH($A88,PlotNumber,0),MATCH(B$3,PlotTitles,0)))),"",ISBLANK(INDEX(PlotData,MATCH($A88,PlotNumber,0),MATCH(C$3,PlotTitles,0))),$AB$6,TRUE,"")</f>
        <v/>
      </c>
      <c r="D88" s="104" t="str" cm="1">
        <f t="array" ref="D88">_xlfn.IFS(AND(A88&gt;NumberOfPlots,ISBLANK(INDEX(PlotData,MATCH($A88,PlotNumber,0),MATCH(B$3,PlotTitles,0)))),"",ISBLANK(INDEX(PlotData,MATCH($A88,PlotNumber,0),MATCH(D$3,PlotTitles,0))),$AB$7,TRUE,"")</f>
        <v/>
      </c>
      <c r="E88" s="104" t="str" cm="1">
        <f t="array" ref="E88">_xlfn.IFS(AND(A88&gt;NumberOfPlots,ISBLANK(INDEX(PlotData,MATCH($A88,PlotNumber,0),MATCH(B$3,PlotTitles,0)))),"",ISBLANK(INDEX(PlotData,MATCH($A88,PlotNumber,0),MATCH(E$3,PlotTitles,0))),$AB$8,TRUE,"")</f>
        <v/>
      </c>
      <c r="F88" s="104" t="str" cm="1">
        <f t="array" ref="F88">_xlfn.IFS(AND(A88&gt;NumberOfPlots,ISBLANK(INDEX(PlotData,MATCH($A88,PlotNumber,0),MATCH(B$3,PlotTitles,0)))),"",ISBLANK(INDEX(PlotData,MATCH($A88,PlotNumber,0),MATCH(F$3,PlotTitles,0))),$AB$9,TRUE,"")</f>
        <v/>
      </c>
      <c r="G88" s="104" t="str" cm="1">
        <f t="array" ref="G88">_xlfn.IFS(AND(A88&gt;NumberOfPlots,ISBLANK(INDEX(PlotData,MATCH($A88,PlotNumber,0),MATCH(B$3,PlotTitles,0)))),"",ISBLANK(INDEX(PlotData,MATCH($A88,PlotNumber,0),MATCH(G$3,PlotTitles,0))),$AB$10,TRUE,"")</f>
        <v/>
      </c>
      <c r="H88" s="104" t="str" cm="1">
        <f t="array" ref="H88">_xlfn.IFS(AND(A88&gt;NumberOfPlots,ISBLANK(INDEX(PlotData,MATCH($A88,PlotNumber,0),MATCH(B$3,PlotTitles,0)))),"",AND(ISBLANK(INDEX(PlotData,MATCH($A88,PlotNumber,0),MATCH(H$3,PlotTitles,0)))=FALSE,INDEX(PlotData,MATCH($A88,PlotNumber,0),MATCH(H$3,PlotTitles,0))&lt;500), $AB$11,TRUE,"")</f>
        <v/>
      </c>
      <c r="I88" s="104" t="str" cm="1">
        <f t="array" ref="I88">_xlfn.IFS(AND(A88&gt;NumberOfPlots,ISBLANK(INDEX(PlotData,MATCH($A88,PlotNumber,0),MATCH(B$3,PlotTitles,0)))),"",ISBLANK(INDEX(PlotData,MATCH($A88,PlotNumber,0),MATCH(I$3,PlotTitles,0))),$AB$12,TRUE,"")</f>
        <v/>
      </c>
      <c r="J88" s="104" t="str" cm="1">
        <f t="array" ref="J88">_xlfn.IFS(AND(A88&gt;NumberOfPlots,ISBLANK(INDEX(PlotData,MATCH($A88,PlotNumber,0),MATCH(B$3,PlotTitles,0)))),"",ISBLANK(INDEX(PlotData,MATCH($A88,PlotNumber,0),MATCH(J$3,PlotTitles,0))),$AB$13,TRUE,"")</f>
        <v/>
      </c>
      <c r="K88" s="182" t="str">
        <f t="shared" ca="1" si="3"/>
        <v/>
      </c>
      <c r="L88" s="104" t="str" cm="1">
        <f t="array" ref="L88">_xlfn.IFS(OR(ISBLANK(StartDateMonth),ISBLANK(StartDateYear)),"",AND(A88&gt;NumberOfPlots,ISBLANK(INDEX(PlotData,MATCH($A88,PlotNumber,0),MATCH(B$3,PlotTitles,0)))),"",ISBLANK(INDEX(PlotData,MATCH($A88,PlotNumber,0),MATCH(I$3,PlotTitles,0))),"",(DATEVALUE(INDEX(PlotData,MATCH($A88,PlotNumber,0),MATCH(I$3,PlotTitles,0))&amp;INDEX(PlotData,MATCH($A88,PlotNumber,0),MATCH(J$3,PlotTitles,0))))&lt;DATEVALUE(StartDateMonth&amp;StartDateYear),$AB$15,TRUE,"")</f>
        <v/>
      </c>
      <c r="M88" s="104" t="str" cm="1">
        <f t="array" ref="M88">_xlfn.IFS(OR(ISBLANK(StartDateMonth),ISBLANK(StartDateYear)),"",AND(A88&gt;NumberOfPlots,ISBLANK(INDEX(PlotData,MATCH($A88,PlotNumber,0),MATCH(B$3,PlotTitles,0)))),"",ISBLANK(INDEX(PlotData,MATCH($A88,PlotNumber,0),MATCH(I$3,PlotTitles,0))),"",CompletionMonth="","",(DATEVALUE(INDEX(PlotData,MATCH($A88,PlotNumber,0),MATCH(I$3,PlotTitles,0))&amp;INDEX(PlotData,MATCH($A88,PlotNumber,0),MATCH(J$3,PlotTitles,0))))&gt;(DATEVALUE(CompletionMonth&amp;CompletionYear)),$AB$16,TRUE,"")</f>
        <v/>
      </c>
      <c r="N88" s="104" t="str" cm="1">
        <f t="array" ref="N88">_xlfn.IFS(AND(A88&gt;NumberOfPlots,ISBLANK(INDEX(PlotData,MATCH($A88,PlotNumber,0),MATCH(B$3,PlotTitles,0)))),"",ISBLANK(INDEX(PlotData,MATCH($A88,PlotNumber,0),MATCH(N$3,PlotTitles,0))),$AB$17,TRUE,"")</f>
        <v/>
      </c>
      <c r="O88" s="104" t="str" cm="1">
        <f t="array" ref="O88">_xlfn.IFS(AND(A88&gt;NumberOfPlots,ISBLANK(INDEX(PlotData,MATCH($A88,PlotNumber,0),MATCH(B$3,PlotTitles,0)))),"",ISBLANK(INDEX(PlotData,MATCH($A88,PlotNumber,0),MATCH(O$3,PlotTitles,0))),$AB$18,TRUE,"")</f>
        <v/>
      </c>
      <c r="P88" s="182" t="str">
        <f t="shared" ca="1" si="4"/>
        <v/>
      </c>
      <c r="Q88" s="104" t="str" cm="1">
        <f t="array" ref="Q88">_xlfn.IFS(AND(A88&gt;NumberOfPlots,ISBLANK(INDEX(PlotData,MATCH($A88,PlotNumber,0),MATCH(B$3,PlotTitles,0)))),"",ISBLANK(INDEX(PlotData,MATCH($A88,PlotNumber,0),MATCH(N$3,PlotTitles,0))),"",(DATEVALUE(INDEX(PlotData,MATCH($A88,PlotNumber,0),MATCH(N$3,PlotTitles,0))&amp;INDEX(PlotData,MATCH($A88,PlotNumber,0),MATCH(O$3,PlotTitles,0))))&lt;(DATEVALUE(INDEX(PlotData,MATCH($A88,PlotNumber,0),MATCH(I$3,PlotTitles,0))&amp;INDEX(PlotData,MATCH($A88,PlotNumber,0),MATCH(J$3,PlotTitles,0)))),$AB$20,TRUE,"")</f>
        <v/>
      </c>
      <c r="R88" s="104" t="str" cm="1">
        <f t="array" ref="R88">_xlfn.IFS(OR(ISBLANK(StartDateMonth),ISBLANK(StartDateYear)),"",AND(A88&gt;NumberOfPlots,ISBLANK(INDEX(PlotData,MATCH($A88,PlotNumber,0),MATCH(B$3,PlotTitles,0)))),"",ISBLANK(INDEX(PlotData,MATCH($A88,PlotNumber,0),MATCH(N$3,PlotTitles,0))),"",CompletionMonth="","",(DATEVALUE(INDEX(PlotData,MATCH($A88,PlotNumber,0),MATCH(N$3,PlotTitles,0))&amp;INDEX(PlotData,MATCH($A88,PlotNumber,0),MATCH(O$3,PlotTitles,0))))&gt;(DATEVALUE(CompletionMonth&amp;CompletionYear)),$AB$21,TRUE,"")</f>
        <v/>
      </c>
      <c r="S88" s="104" t="str" cm="1">
        <f t="array" ref="S88">_xlfn.IFS(AND(A88&gt;NumberOfPlots,ISBLANK(INDEX(PlotData,MATCH($A88,PlotNumber,0),MATCH(B$3,PlotTitles,0)))),"",OR(AND(INDEX(PlotData,MATCH($A88,PlotNumber,0),MATCH("Tenure",PlotTitles,0))="Open market housing",INDEX(PlotData,MATCH($A88,PlotNumber,0),MATCH("Tenure detail",PlotTitles,0))="Private rented sector"),INDEX(PlotData,MATCH($A88,PlotNumber,0),MATCH("Tenure",PlotTitles,0))="Affordable rent"),"",ISNUMBER(INDEX(PlotData,MATCH($A88,PlotNumber,0),MATCH(S$3,PlotTitles,0)))=FALSE, $AB$22,TRUE,"")</f>
        <v/>
      </c>
      <c r="T88" s="104" t="str" cm="1">
        <f t="array" ref="T88">_xlfn.IFS(AND(A88&gt;NumberOfPlots,ISBLANK(INDEX(PlotData,MATCH($A88,PlotNumber,0),MATCH(B$3,PlotTitles,0)))),"",OR(AND(INDEX(PlotData,MATCH($A88,PlotNumber,0),MATCH("Tenure",PlotTitles,0))="Open market housing",INDEX(PlotData,MATCH($A88,PlotNumber,0),MATCH("Tenure detail",PlotTitles,0))="Private rented sector"),INDEX(PlotData,MATCH($A88,PlotNumber,0),MATCH("Tenure",PlotTitles,0))="Affordable rent"),"",INDEX(PlotData,MATCH($A88,PlotNumber,0),MATCH(S$3,PlotTitles,0))&lt;10000, $AB$23,TRUE,"")</f>
        <v/>
      </c>
      <c r="U88" s="104" t="str" cm="1">
        <f t="array" ref="U88">_xlfn.IFS(AND(A88&gt;NumberOfPlots,ISBLANK(INDEX(PlotData,MATCH($A88,PlotNumber,0),MATCH(B$3,PlotTitles,0)))),"",NOT(OR(AND(INDEX(PlotData,MATCH($A88,PlotNumber,0),MATCH("Tenure",PlotTitles,0))="Open market housing",INDEX(PlotData,MATCH($A88,PlotNumber,0),MATCH("Tenure detail",PlotTitles,0))="Private rented sector"),INDEX(PlotData,MATCH($A88,PlotNumber,0),MATCH("Tenure",PlotTitles,0))="Affordable rent")),"",NOT(INDEX(PlotData,MATCH($A88,PlotNumber,0),MATCH(S$3,PlotTitles,0))=0), $AB$24,TRUE,"")</f>
        <v/>
      </c>
      <c r="V88" s="114" t="str" cm="1">
        <f t="array" aca="1" ref="V88" ca="1">_xlfn.IFS(ISBLANK(NumberOfPlots),"Enter the number of homes on the 1_SetUp sheet",AND(A88&gt;NumberOfPlots,ISBLANK(INDEX(PlotData,MATCH($A88,PlotNumber,0),MATCH(B$3,PlotTitles,0)))),"No error",NOT(B88=""),B88,NOT(C88=""),C88,NOT(D88=""),D88,NOT(E88=""),E88,NOT(F88=""),F88,NOT(G88=""),G88,NOT(H88=""),H88,NOT(I88=""),I88,NOT(J88=""),J88,NOT(K88=""),K88,NOT(L88=""),L88,NOT(M88=""),M88,NOT(N88=""),N88,NOT(O88=""),O88,NOT(P88=""),P88,NOT(Q88=""),Q88,NOT(R88=""),R88,NOT(S88=""),S88,NOT(T88=""),T88,NOT(U88=""),U88,TRUE,"No error")</f>
        <v>Enter the number of homes on the 1_SetUp sheet</v>
      </c>
      <c r="W88" s="114" t="str">
        <f t="shared" ca="1" si="5"/>
        <v xml:space="preserve">The Borrower has not addressed the following error messages for Home ID 84: </v>
      </c>
    </row>
    <row r="89" spans="1:23">
      <c r="A89" s="123">
        <v>85</v>
      </c>
      <c r="B89" s="104" t="str" cm="1">
        <f t="array" ref="B89">_xlfn.IFS(AND(A89&gt;NumberOfPlots,ISBLANK(INDEX(PlotData,MATCH($A89,PlotNumber,0),MATCH(B$3,PlotTitles,0)))),"",ISNUMBER(INDEX(PlotData,MATCH($A89,PlotNumber,0),MATCH(B$3,PlotTitles,0)))=FALSE, $AB$5,TRUE,"")</f>
        <v/>
      </c>
      <c r="C89" s="104" t="str" cm="1">
        <f t="array" ref="C89">_xlfn.IFS(AND(A89&gt;NumberOfPlots,ISBLANK(INDEX(PlotData,MATCH($A89,PlotNumber,0),MATCH(B$3,PlotTitles,0)))),"",ISBLANK(INDEX(PlotData,MATCH($A89,PlotNumber,0),MATCH(C$3,PlotTitles,0))),$AB$6,TRUE,"")</f>
        <v/>
      </c>
      <c r="D89" s="104" t="str" cm="1">
        <f t="array" ref="D89">_xlfn.IFS(AND(A89&gt;NumberOfPlots,ISBLANK(INDEX(PlotData,MATCH($A89,PlotNumber,0),MATCH(B$3,PlotTitles,0)))),"",ISBLANK(INDEX(PlotData,MATCH($A89,PlotNumber,0),MATCH(D$3,PlotTitles,0))),$AB$7,TRUE,"")</f>
        <v/>
      </c>
      <c r="E89" s="104" t="str" cm="1">
        <f t="array" ref="E89">_xlfn.IFS(AND(A89&gt;NumberOfPlots,ISBLANK(INDEX(PlotData,MATCH($A89,PlotNumber,0),MATCH(B$3,PlotTitles,0)))),"",ISBLANK(INDEX(PlotData,MATCH($A89,PlotNumber,0),MATCH(E$3,PlotTitles,0))),$AB$8,TRUE,"")</f>
        <v/>
      </c>
      <c r="F89" s="104" t="str" cm="1">
        <f t="array" ref="F89">_xlfn.IFS(AND(A89&gt;NumberOfPlots,ISBLANK(INDEX(PlotData,MATCH($A89,PlotNumber,0),MATCH(B$3,PlotTitles,0)))),"",ISBLANK(INDEX(PlotData,MATCH($A89,PlotNumber,0),MATCH(F$3,PlotTitles,0))),$AB$9,TRUE,"")</f>
        <v/>
      </c>
      <c r="G89" s="104" t="str" cm="1">
        <f t="array" ref="G89">_xlfn.IFS(AND(A89&gt;NumberOfPlots,ISBLANK(INDEX(PlotData,MATCH($A89,PlotNumber,0),MATCH(B$3,PlotTitles,0)))),"",ISBLANK(INDEX(PlotData,MATCH($A89,PlotNumber,0),MATCH(G$3,PlotTitles,0))),$AB$10,TRUE,"")</f>
        <v/>
      </c>
      <c r="H89" s="104" t="str" cm="1">
        <f t="array" ref="H89">_xlfn.IFS(AND(A89&gt;NumberOfPlots,ISBLANK(INDEX(PlotData,MATCH($A89,PlotNumber,0),MATCH(B$3,PlotTitles,0)))),"",AND(ISBLANK(INDEX(PlotData,MATCH($A89,PlotNumber,0),MATCH(H$3,PlotTitles,0)))=FALSE,INDEX(PlotData,MATCH($A89,PlotNumber,0),MATCH(H$3,PlotTitles,0))&lt;500), $AB$11,TRUE,"")</f>
        <v/>
      </c>
      <c r="I89" s="104" t="str" cm="1">
        <f t="array" ref="I89">_xlfn.IFS(AND(A89&gt;NumberOfPlots,ISBLANK(INDEX(PlotData,MATCH($A89,PlotNumber,0),MATCH(B$3,PlotTitles,0)))),"",ISBLANK(INDEX(PlotData,MATCH($A89,PlotNumber,0),MATCH(I$3,PlotTitles,0))),$AB$12,TRUE,"")</f>
        <v/>
      </c>
      <c r="J89" s="104" t="str" cm="1">
        <f t="array" ref="J89">_xlfn.IFS(AND(A89&gt;NumberOfPlots,ISBLANK(INDEX(PlotData,MATCH($A89,PlotNumber,0),MATCH(B$3,PlotTitles,0)))),"",ISBLANK(INDEX(PlotData,MATCH($A89,PlotNumber,0),MATCH(J$3,PlotTitles,0))),$AB$13,TRUE,"")</f>
        <v/>
      </c>
      <c r="K89" s="182" t="str">
        <f t="shared" ca="1" si="3"/>
        <v/>
      </c>
      <c r="L89" s="104" t="str" cm="1">
        <f t="array" ref="L89">_xlfn.IFS(OR(ISBLANK(StartDateMonth),ISBLANK(StartDateYear)),"",AND(A89&gt;NumberOfPlots,ISBLANK(INDEX(PlotData,MATCH($A89,PlotNumber,0),MATCH(B$3,PlotTitles,0)))),"",ISBLANK(INDEX(PlotData,MATCH($A89,PlotNumber,0),MATCH(I$3,PlotTitles,0))),"",(DATEVALUE(INDEX(PlotData,MATCH($A89,PlotNumber,0),MATCH(I$3,PlotTitles,0))&amp;INDEX(PlotData,MATCH($A89,PlotNumber,0),MATCH(J$3,PlotTitles,0))))&lt;DATEVALUE(StartDateMonth&amp;StartDateYear),$AB$15,TRUE,"")</f>
        <v/>
      </c>
      <c r="M89" s="104" t="str" cm="1">
        <f t="array" ref="M89">_xlfn.IFS(OR(ISBLANK(StartDateMonth),ISBLANK(StartDateYear)),"",AND(A89&gt;NumberOfPlots,ISBLANK(INDEX(PlotData,MATCH($A89,PlotNumber,0),MATCH(B$3,PlotTitles,0)))),"",ISBLANK(INDEX(PlotData,MATCH($A89,PlotNumber,0),MATCH(I$3,PlotTitles,0))),"",CompletionMonth="","",(DATEVALUE(INDEX(PlotData,MATCH($A89,PlotNumber,0),MATCH(I$3,PlotTitles,0))&amp;INDEX(PlotData,MATCH($A89,PlotNumber,0),MATCH(J$3,PlotTitles,0))))&gt;(DATEVALUE(CompletionMonth&amp;CompletionYear)),$AB$16,TRUE,"")</f>
        <v/>
      </c>
      <c r="N89" s="104" t="str" cm="1">
        <f t="array" ref="N89">_xlfn.IFS(AND(A89&gt;NumberOfPlots,ISBLANK(INDEX(PlotData,MATCH($A89,PlotNumber,0),MATCH(B$3,PlotTitles,0)))),"",ISBLANK(INDEX(PlotData,MATCH($A89,PlotNumber,0),MATCH(N$3,PlotTitles,0))),$AB$17,TRUE,"")</f>
        <v/>
      </c>
      <c r="O89" s="104" t="str" cm="1">
        <f t="array" ref="O89">_xlfn.IFS(AND(A89&gt;NumberOfPlots,ISBLANK(INDEX(PlotData,MATCH($A89,PlotNumber,0),MATCH(B$3,PlotTitles,0)))),"",ISBLANK(INDEX(PlotData,MATCH($A89,PlotNumber,0),MATCH(O$3,PlotTitles,0))),$AB$18,TRUE,"")</f>
        <v/>
      </c>
      <c r="P89" s="182" t="str">
        <f t="shared" ca="1" si="4"/>
        <v/>
      </c>
      <c r="Q89" s="104" t="str" cm="1">
        <f t="array" ref="Q89">_xlfn.IFS(AND(A89&gt;NumberOfPlots,ISBLANK(INDEX(PlotData,MATCH($A89,PlotNumber,0),MATCH(B$3,PlotTitles,0)))),"",ISBLANK(INDEX(PlotData,MATCH($A89,PlotNumber,0),MATCH(N$3,PlotTitles,0))),"",(DATEVALUE(INDEX(PlotData,MATCH($A89,PlotNumber,0),MATCH(N$3,PlotTitles,0))&amp;INDEX(PlotData,MATCH($A89,PlotNumber,0),MATCH(O$3,PlotTitles,0))))&lt;(DATEVALUE(INDEX(PlotData,MATCH($A89,PlotNumber,0),MATCH(I$3,PlotTitles,0))&amp;INDEX(PlotData,MATCH($A89,PlotNumber,0),MATCH(J$3,PlotTitles,0)))),$AB$20,TRUE,"")</f>
        <v/>
      </c>
      <c r="R89" s="104" t="str" cm="1">
        <f t="array" ref="R89">_xlfn.IFS(OR(ISBLANK(StartDateMonth),ISBLANK(StartDateYear)),"",AND(A89&gt;NumberOfPlots,ISBLANK(INDEX(PlotData,MATCH($A89,PlotNumber,0),MATCH(B$3,PlotTitles,0)))),"",ISBLANK(INDEX(PlotData,MATCH($A89,PlotNumber,0),MATCH(N$3,PlotTitles,0))),"",CompletionMonth="","",(DATEVALUE(INDEX(PlotData,MATCH($A89,PlotNumber,0),MATCH(N$3,PlotTitles,0))&amp;INDEX(PlotData,MATCH($A89,PlotNumber,0),MATCH(O$3,PlotTitles,0))))&gt;(DATEVALUE(CompletionMonth&amp;CompletionYear)),$AB$21,TRUE,"")</f>
        <v/>
      </c>
      <c r="S89" s="104" t="str" cm="1">
        <f t="array" ref="S89">_xlfn.IFS(AND(A89&gt;NumberOfPlots,ISBLANK(INDEX(PlotData,MATCH($A89,PlotNumber,0),MATCH(B$3,PlotTitles,0)))),"",OR(AND(INDEX(PlotData,MATCH($A89,PlotNumber,0),MATCH("Tenure",PlotTitles,0))="Open market housing",INDEX(PlotData,MATCH($A89,PlotNumber,0),MATCH("Tenure detail",PlotTitles,0))="Private rented sector"),INDEX(PlotData,MATCH($A89,PlotNumber,0),MATCH("Tenure",PlotTitles,0))="Affordable rent"),"",ISNUMBER(INDEX(PlotData,MATCH($A89,PlotNumber,0),MATCH(S$3,PlotTitles,0)))=FALSE, $AB$22,TRUE,"")</f>
        <v/>
      </c>
      <c r="T89" s="104" t="str" cm="1">
        <f t="array" ref="T89">_xlfn.IFS(AND(A89&gt;NumberOfPlots,ISBLANK(INDEX(PlotData,MATCH($A89,PlotNumber,0),MATCH(B$3,PlotTitles,0)))),"",OR(AND(INDEX(PlotData,MATCH($A89,PlotNumber,0),MATCH("Tenure",PlotTitles,0))="Open market housing",INDEX(PlotData,MATCH($A89,PlotNumber,0),MATCH("Tenure detail",PlotTitles,0))="Private rented sector"),INDEX(PlotData,MATCH($A89,PlotNumber,0),MATCH("Tenure",PlotTitles,0))="Affordable rent"),"",INDEX(PlotData,MATCH($A89,PlotNumber,0),MATCH(S$3,PlotTitles,0))&lt;10000, $AB$23,TRUE,"")</f>
        <v/>
      </c>
      <c r="U89" s="104" t="str" cm="1">
        <f t="array" ref="U89">_xlfn.IFS(AND(A89&gt;NumberOfPlots,ISBLANK(INDEX(PlotData,MATCH($A89,PlotNumber,0),MATCH(B$3,PlotTitles,0)))),"",NOT(OR(AND(INDEX(PlotData,MATCH($A89,PlotNumber,0),MATCH("Tenure",PlotTitles,0))="Open market housing",INDEX(PlotData,MATCH($A89,PlotNumber,0),MATCH("Tenure detail",PlotTitles,0))="Private rented sector"),INDEX(PlotData,MATCH($A89,PlotNumber,0),MATCH("Tenure",PlotTitles,0))="Affordable rent")),"",NOT(INDEX(PlotData,MATCH($A89,PlotNumber,0),MATCH(S$3,PlotTitles,0))=0), $AB$24,TRUE,"")</f>
        <v/>
      </c>
      <c r="V89" s="114" t="str" cm="1">
        <f t="array" aca="1" ref="V89" ca="1">_xlfn.IFS(ISBLANK(NumberOfPlots),"Enter the number of homes on the 1_SetUp sheet",AND(A89&gt;NumberOfPlots,ISBLANK(INDEX(PlotData,MATCH($A89,PlotNumber,0),MATCH(B$3,PlotTitles,0)))),"No error",NOT(B89=""),B89,NOT(C89=""),C89,NOT(D89=""),D89,NOT(E89=""),E89,NOT(F89=""),F89,NOT(G89=""),G89,NOT(H89=""),H89,NOT(I89=""),I89,NOT(J89=""),J89,NOT(K89=""),K89,NOT(L89=""),L89,NOT(M89=""),M89,NOT(N89=""),N89,NOT(O89=""),O89,NOT(P89=""),P89,NOT(Q89=""),Q89,NOT(R89=""),R89,NOT(S89=""),S89,NOT(T89=""),T89,NOT(U89=""),U89,TRUE,"No error")</f>
        <v>Enter the number of homes on the 1_SetUp sheet</v>
      </c>
      <c r="W89" s="114" t="str">
        <f t="shared" ca="1" si="5"/>
        <v xml:space="preserve">The Borrower has not addressed the following error messages for Home ID 85: </v>
      </c>
    </row>
    <row r="90" spans="1:23">
      <c r="A90" s="123">
        <v>86</v>
      </c>
      <c r="B90" s="104" t="str" cm="1">
        <f t="array" ref="B90">_xlfn.IFS(AND(A90&gt;NumberOfPlots,ISBLANK(INDEX(PlotData,MATCH($A90,PlotNumber,0),MATCH(B$3,PlotTitles,0)))),"",ISNUMBER(INDEX(PlotData,MATCH($A90,PlotNumber,0),MATCH(B$3,PlotTitles,0)))=FALSE, $AB$5,TRUE,"")</f>
        <v/>
      </c>
      <c r="C90" s="104" t="str" cm="1">
        <f t="array" ref="C90">_xlfn.IFS(AND(A90&gt;NumberOfPlots,ISBLANK(INDEX(PlotData,MATCH($A90,PlotNumber,0),MATCH(B$3,PlotTitles,0)))),"",ISBLANK(INDEX(PlotData,MATCH($A90,PlotNumber,0),MATCH(C$3,PlotTitles,0))),$AB$6,TRUE,"")</f>
        <v/>
      </c>
      <c r="D90" s="104" t="str" cm="1">
        <f t="array" ref="D90">_xlfn.IFS(AND(A90&gt;NumberOfPlots,ISBLANK(INDEX(PlotData,MATCH($A90,PlotNumber,0),MATCH(B$3,PlotTitles,0)))),"",ISBLANK(INDEX(PlotData,MATCH($A90,PlotNumber,0),MATCH(D$3,PlotTitles,0))),$AB$7,TRUE,"")</f>
        <v/>
      </c>
      <c r="E90" s="104" t="str" cm="1">
        <f t="array" ref="E90">_xlfn.IFS(AND(A90&gt;NumberOfPlots,ISBLANK(INDEX(PlotData,MATCH($A90,PlotNumber,0),MATCH(B$3,PlotTitles,0)))),"",ISBLANK(INDEX(PlotData,MATCH($A90,PlotNumber,0),MATCH(E$3,PlotTitles,0))),$AB$8,TRUE,"")</f>
        <v/>
      </c>
      <c r="F90" s="104" t="str" cm="1">
        <f t="array" ref="F90">_xlfn.IFS(AND(A90&gt;NumberOfPlots,ISBLANK(INDEX(PlotData,MATCH($A90,PlotNumber,0),MATCH(B$3,PlotTitles,0)))),"",ISBLANK(INDEX(PlotData,MATCH($A90,PlotNumber,0),MATCH(F$3,PlotTitles,0))),$AB$9,TRUE,"")</f>
        <v/>
      </c>
      <c r="G90" s="104" t="str" cm="1">
        <f t="array" ref="G90">_xlfn.IFS(AND(A90&gt;NumberOfPlots,ISBLANK(INDEX(PlotData,MATCH($A90,PlotNumber,0),MATCH(B$3,PlotTitles,0)))),"",ISBLANK(INDEX(PlotData,MATCH($A90,PlotNumber,0),MATCH(G$3,PlotTitles,0))),$AB$10,TRUE,"")</f>
        <v/>
      </c>
      <c r="H90" s="104" t="str" cm="1">
        <f t="array" ref="H90">_xlfn.IFS(AND(A90&gt;NumberOfPlots,ISBLANK(INDEX(PlotData,MATCH($A90,PlotNumber,0),MATCH(B$3,PlotTitles,0)))),"",AND(ISBLANK(INDEX(PlotData,MATCH($A90,PlotNumber,0),MATCH(H$3,PlotTitles,0)))=FALSE,INDEX(PlotData,MATCH($A90,PlotNumber,0),MATCH(H$3,PlotTitles,0))&lt;500), $AB$11,TRUE,"")</f>
        <v/>
      </c>
      <c r="I90" s="104" t="str" cm="1">
        <f t="array" ref="I90">_xlfn.IFS(AND(A90&gt;NumberOfPlots,ISBLANK(INDEX(PlotData,MATCH($A90,PlotNumber,0),MATCH(B$3,PlotTitles,0)))),"",ISBLANK(INDEX(PlotData,MATCH($A90,PlotNumber,0),MATCH(I$3,PlotTitles,0))),$AB$12,TRUE,"")</f>
        <v/>
      </c>
      <c r="J90" s="104" t="str" cm="1">
        <f t="array" ref="J90">_xlfn.IFS(AND(A90&gt;NumberOfPlots,ISBLANK(INDEX(PlotData,MATCH($A90,PlotNumber,0),MATCH(B$3,PlotTitles,0)))),"",ISBLANK(INDEX(PlotData,MATCH($A90,PlotNumber,0),MATCH(J$3,PlotTitles,0))),$AB$13,TRUE,"")</f>
        <v/>
      </c>
      <c r="K90" s="182" t="str">
        <f t="shared" ca="1" si="3"/>
        <v/>
      </c>
      <c r="L90" s="104" t="str" cm="1">
        <f t="array" ref="L90">_xlfn.IFS(OR(ISBLANK(StartDateMonth),ISBLANK(StartDateYear)),"",AND(A90&gt;NumberOfPlots,ISBLANK(INDEX(PlotData,MATCH($A90,PlotNumber,0),MATCH(B$3,PlotTitles,0)))),"",ISBLANK(INDEX(PlotData,MATCH($A90,PlotNumber,0),MATCH(I$3,PlotTitles,0))),"",(DATEVALUE(INDEX(PlotData,MATCH($A90,PlotNumber,0),MATCH(I$3,PlotTitles,0))&amp;INDEX(PlotData,MATCH($A90,PlotNumber,0),MATCH(J$3,PlotTitles,0))))&lt;DATEVALUE(StartDateMonth&amp;StartDateYear),$AB$15,TRUE,"")</f>
        <v/>
      </c>
      <c r="M90" s="104" t="str" cm="1">
        <f t="array" ref="M90">_xlfn.IFS(OR(ISBLANK(StartDateMonth),ISBLANK(StartDateYear)),"",AND(A90&gt;NumberOfPlots,ISBLANK(INDEX(PlotData,MATCH($A90,PlotNumber,0),MATCH(B$3,PlotTitles,0)))),"",ISBLANK(INDEX(PlotData,MATCH($A90,PlotNumber,0),MATCH(I$3,PlotTitles,0))),"",CompletionMonth="","",(DATEVALUE(INDEX(PlotData,MATCH($A90,PlotNumber,0),MATCH(I$3,PlotTitles,0))&amp;INDEX(PlotData,MATCH($A90,PlotNumber,0),MATCH(J$3,PlotTitles,0))))&gt;(DATEVALUE(CompletionMonth&amp;CompletionYear)),$AB$16,TRUE,"")</f>
        <v/>
      </c>
      <c r="N90" s="104" t="str" cm="1">
        <f t="array" ref="N90">_xlfn.IFS(AND(A90&gt;NumberOfPlots,ISBLANK(INDEX(PlotData,MATCH($A90,PlotNumber,0),MATCH(B$3,PlotTitles,0)))),"",ISBLANK(INDEX(PlotData,MATCH($A90,PlotNumber,0),MATCH(N$3,PlotTitles,0))),$AB$17,TRUE,"")</f>
        <v/>
      </c>
      <c r="O90" s="104" t="str" cm="1">
        <f t="array" ref="O90">_xlfn.IFS(AND(A90&gt;NumberOfPlots,ISBLANK(INDEX(PlotData,MATCH($A90,PlotNumber,0),MATCH(B$3,PlotTitles,0)))),"",ISBLANK(INDEX(PlotData,MATCH($A90,PlotNumber,0),MATCH(O$3,PlotTitles,0))),$AB$18,TRUE,"")</f>
        <v/>
      </c>
      <c r="P90" s="182" t="str">
        <f t="shared" ca="1" si="4"/>
        <v/>
      </c>
      <c r="Q90" s="104" t="str" cm="1">
        <f t="array" ref="Q90">_xlfn.IFS(AND(A90&gt;NumberOfPlots,ISBLANK(INDEX(PlotData,MATCH($A90,PlotNumber,0),MATCH(B$3,PlotTitles,0)))),"",ISBLANK(INDEX(PlotData,MATCH($A90,PlotNumber,0),MATCH(N$3,PlotTitles,0))),"",(DATEVALUE(INDEX(PlotData,MATCH($A90,PlotNumber,0),MATCH(N$3,PlotTitles,0))&amp;INDEX(PlotData,MATCH($A90,PlotNumber,0),MATCH(O$3,PlotTitles,0))))&lt;(DATEVALUE(INDEX(PlotData,MATCH($A90,PlotNumber,0),MATCH(I$3,PlotTitles,0))&amp;INDEX(PlotData,MATCH($A90,PlotNumber,0),MATCH(J$3,PlotTitles,0)))),$AB$20,TRUE,"")</f>
        <v/>
      </c>
      <c r="R90" s="104" t="str" cm="1">
        <f t="array" ref="R90">_xlfn.IFS(OR(ISBLANK(StartDateMonth),ISBLANK(StartDateYear)),"",AND(A90&gt;NumberOfPlots,ISBLANK(INDEX(PlotData,MATCH($A90,PlotNumber,0),MATCH(B$3,PlotTitles,0)))),"",ISBLANK(INDEX(PlotData,MATCH($A90,PlotNumber,0),MATCH(N$3,PlotTitles,0))),"",CompletionMonth="","",(DATEVALUE(INDEX(PlotData,MATCH($A90,PlotNumber,0),MATCH(N$3,PlotTitles,0))&amp;INDEX(PlotData,MATCH($A90,PlotNumber,0),MATCH(O$3,PlotTitles,0))))&gt;(DATEVALUE(CompletionMonth&amp;CompletionYear)),$AB$21,TRUE,"")</f>
        <v/>
      </c>
      <c r="S90" s="104" t="str" cm="1">
        <f t="array" ref="S90">_xlfn.IFS(AND(A90&gt;NumberOfPlots,ISBLANK(INDEX(PlotData,MATCH($A90,PlotNumber,0),MATCH(B$3,PlotTitles,0)))),"",OR(AND(INDEX(PlotData,MATCH($A90,PlotNumber,0),MATCH("Tenure",PlotTitles,0))="Open market housing",INDEX(PlotData,MATCH($A90,PlotNumber,0),MATCH("Tenure detail",PlotTitles,0))="Private rented sector"),INDEX(PlotData,MATCH($A90,PlotNumber,0),MATCH("Tenure",PlotTitles,0))="Affordable rent"),"",ISNUMBER(INDEX(PlotData,MATCH($A90,PlotNumber,0),MATCH(S$3,PlotTitles,0)))=FALSE, $AB$22,TRUE,"")</f>
        <v/>
      </c>
      <c r="T90" s="104" t="str" cm="1">
        <f t="array" ref="T90">_xlfn.IFS(AND(A90&gt;NumberOfPlots,ISBLANK(INDEX(PlotData,MATCH($A90,PlotNumber,0),MATCH(B$3,PlotTitles,0)))),"",OR(AND(INDEX(PlotData,MATCH($A90,PlotNumber,0),MATCH("Tenure",PlotTitles,0))="Open market housing",INDEX(PlotData,MATCH($A90,PlotNumber,0),MATCH("Tenure detail",PlotTitles,0))="Private rented sector"),INDEX(PlotData,MATCH($A90,PlotNumber,0),MATCH("Tenure",PlotTitles,0))="Affordable rent"),"",INDEX(PlotData,MATCH($A90,PlotNumber,0),MATCH(S$3,PlotTitles,0))&lt;10000, $AB$23,TRUE,"")</f>
        <v/>
      </c>
      <c r="U90" s="104" t="str" cm="1">
        <f t="array" ref="U90">_xlfn.IFS(AND(A90&gt;NumberOfPlots,ISBLANK(INDEX(PlotData,MATCH($A90,PlotNumber,0),MATCH(B$3,PlotTitles,0)))),"",NOT(OR(AND(INDEX(PlotData,MATCH($A90,PlotNumber,0),MATCH("Tenure",PlotTitles,0))="Open market housing",INDEX(PlotData,MATCH($A90,PlotNumber,0),MATCH("Tenure detail",PlotTitles,0))="Private rented sector"),INDEX(PlotData,MATCH($A90,PlotNumber,0),MATCH("Tenure",PlotTitles,0))="Affordable rent")),"",NOT(INDEX(PlotData,MATCH($A90,PlotNumber,0),MATCH(S$3,PlotTitles,0))=0), $AB$24,TRUE,"")</f>
        <v/>
      </c>
      <c r="V90" s="114" t="str" cm="1">
        <f t="array" aca="1" ref="V90" ca="1">_xlfn.IFS(ISBLANK(NumberOfPlots),"Enter the number of homes on the 1_SetUp sheet",AND(A90&gt;NumberOfPlots,ISBLANK(INDEX(PlotData,MATCH($A90,PlotNumber,0),MATCH(B$3,PlotTitles,0)))),"No error",NOT(B90=""),B90,NOT(C90=""),C90,NOT(D90=""),D90,NOT(E90=""),E90,NOT(F90=""),F90,NOT(G90=""),G90,NOT(H90=""),H90,NOT(I90=""),I90,NOT(J90=""),J90,NOT(K90=""),K90,NOT(L90=""),L90,NOT(M90=""),M90,NOT(N90=""),N90,NOT(O90=""),O90,NOT(P90=""),P90,NOT(Q90=""),Q90,NOT(R90=""),R90,NOT(S90=""),S90,NOT(T90=""),T90,NOT(U90=""),U90,TRUE,"No error")</f>
        <v>Enter the number of homes on the 1_SetUp sheet</v>
      </c>
      <c r="W90" s="114" t="str">
        <f t="shared" ca="1" si="5"/>
        <v xml:space="preserve">The Borrower has not addressed the following error messages for Home ID 86: </v>
      </c>
    </row>
    <row r="91" spans="1:23">
      <c r="A91" s="123">
        <v>87</v>
      </c>
      <c r="B91" s="104" t="str" cm="1">
        <f t="array" ref="B91">_xlfn.IFS(AND(A91&gt;NumberOfPlots,ISBLANK(INDEX(PlotData,MATCH($A91,PlotNumber,0),MATCH(B$3,PlotTitles,0)))),"",ISNUMBER(INDEX(PlotData,MATCH($A91,PlotNumber,0),MATCH(B$3,PlotTitles,0)))=FALSE, $AB$5,TRUE,"")</f>
        <v/>
      </c>
      <c r="C91" s="104" t="str" cm="1">
        <f t="array" ref="C91">_xlfn.IFS(AND(A91&gt;NumberOfPlots,ISBLANK(INDEX(PlotData,MATCH($A91,PlotNumber,0),MATCH(B$3,PlotTitles,0)))),"",ISBLANK(INDEX(PlotData,MATCH($A91,PlotNumber,0),MATCH(C$3,PlotTitles,0))),$AB$6,TRUE,"")</f>
        <v/>
      </c>
      <c r="D91" s="104" t="str" cm="1">
        <f t="array" ref="D91">_xlfn.IFS(AND(A91&gt;NumberOfPlots,ISBLANK(INDEX(PlotData,MATCH($A91,PlotNumber,0),MATCH(B$3,PlotTitles,0)))),"",ISBLANK(INDEX(PlotData,MATCH($A91,PlotNumber,0),MATCH(D$3,PlotTitles,0))),$AB$7,TRUE,"")</f>
        <v/>
      </c>
      <c r="E91" s="104" t="str" cm="1">
        <f t="array" ref="E91">_xlfn.IFS(AND(A91&gt;NumberOfPlots,ISBLANK(INDEX(PlotData,MATCH($A91,PlotNumber,0),MATCH(B$3,PlotTitles,0)))),"",ISBLANK(INDEX(PlotData,MATCH($A91,PlotNumber,0),MATCH(E$3,PlotTitles,0))),$AB$8,TRUE,"")</f>
        <v/>
      </c>
      <c r="F91" s="104" t="str" cm="1">
        <f t="array" ref="F91">_xlfn.IFS(AND(A91&gt;NumberOfPlots,ISBLANK(INDEX(PlotData,MATCH($A91,PlotNumber,0),MATCH(B$3,PlotTitles,0)))),"",ISBLANK(INDEX(PlotData,MATCH($A91,PlotNumber,0),MATCH(F$3,PlotTitles,0))),$AB$9,TRUE,"")</f>
        <v/>
      </c>
      <c r="G91" s="104" t="str" cm="1">
        <f t="array" ref="G91">_xlfn.IFS(AND(A91&gt;NumberOfPlots,ISBLANK(INDEX(PlotData,MATCH($A91,PlotNumber,0),MATCH(B$3,PlotTitles,0)))),"",ISBLANK(INDEX(PlotData,MATCH($A91,PlotNumber,0),MATCH(G$3,PlotTitles,0))),$AB$10,TRUE,"")</f>
        <v/>
      </c>
      <c r="H91" s="104" t="str" cm="1">
        <f t="array" ref="H91">_xlfn.IFS(AND(A91&gt;NumberOfPlots,ISBLANK(INDEX(PlotData,MATCH($A91,PlotNumber,0),MATCH(B$3,PlotTitles,0)))),"",AND(ISBLANK(INDEX(PlotData,MATCH($A91,PlotNumber,0),MATCH(H$3,PlotTitles,0)))=FALSE,INDEX(PlotData,MATCH($A91,PlotNumber,0),MATCH(H$3,PlotTitles,0))&lt;500), $AB$11,TRUE,"")</f>
        <v/>
      </c>
      <c r="I91" s="104" t="str" cm="1">
        <f t="array" ref="I91">_xlfn.IFS(AND(A91&gt;NumberOfPlots,ISBLANK(INDEX(PlotData,MATCH($A91,PlotNumber,0),MATCH(B$3,PlotTitles,0)))),"",ISBLANK(INDEX(PlotData,MATCH($A91,PlotNumber,0),MATCH(I$3,PlotTitles,0))),$AB$12,TRUE,"")</f>
        <v/>
      </c>
      <c r="J91" s="104" t="str" cm="1">
        <f t="array" ref="J91">_xlfn.IFS(AND(A91&gt;NumberOfPlots,ISBLANK(INDEX(PlotData,MATCH($A91,PlotNumber,0),MATCH(B$3,PlotTitles,0)))),"",ISBLANK(INDEX(PlotData,MATCH($A91,PlotNumber,0),MATCH(J$3,PlotTitles,0))),$AB$13,TRUE,"")</f>
        <v/>
      </c>
      <c r="K91" s="182" t="str">
        <f t="shared" ca="1" si="3"/>
        <v/>
      </c>
      <c r="L91" s="104" t="str" cm="1">
        <f t="array" ref="L91">_xlfn.IFS(OR(ISBLANK(StartDateMonth),ISBLANK(StartDateYear)),"",AND(A91&gt;NumberOfPlots,ISBLANK(INDEX(PlotData,MATCH($A91,PlotNumber,0),MATCH(B$3,PlotTitles,0)))),"",ISBLANK(INDEX(PlotData,MATCH($A91,PlotNumber,0),MATCH(I$3,PlotTitles,0))),"",(DATEVALUE(INDEX(PlotData,MATCH($A91,PlotNumber,0),MATCH(I$3,PlotTitles,0))&amp;INDEX(PlotData,MATCH($A91,PlotNumber,0),MATCH(J$3,PlotTitles,0))))&lt;DATEVALUE(StartDateMonth&amp;StartDateYear),$AB$15,TRUE,"")</f>
        <v/>
      </c>
      <c r="M91" s="104" t="str" cm="1">
        <f t="array" ref="M91">_xlfn.IFS(OR(ISBLANK(StartDateMonth),ISBLANK(StartDateYear)),"",AND(A91&gt;NumberOfPlots,ISBLANK(INDEX(PlotData,MATCH($A91,PlotNumber,0),MATCH(B$3,PlotTitles,0)))),"",ISBLANK(INDEX(PlotData,MATCH($A91,PlotNumber,0),MATCH(I$3,PlotTitles,0))),"",CompletionMonth="","",(DATEVALUE(INDEX(PlotData,MATCH($A91,PlotNumber,0),MATCH(I$3,PlotTitles,0))&amp;INDEX(PlotData,MATCH($A91,PlotNumber,0),MATCH(J$3,PlotTitles,0))))&gt;(DATEVALUE(CompletionMonth&amp;CompletionYear)),$AB$16,TRUE,"")</f>
        <v/>
      </c>
      <c r="N91" s="104" t="str" cm="1">
        <f t="array" ref="N91">_xlfn.IFS(AND(A91&gt;NumberOfPlots,ISBLANK(INDEX(PlotData,MATCH($A91,PlotNumber,0),MATCH(B$3,PlotTitles,0)))),"",ISBLANK(INDEX(PlotData,MATCH($A91,PlotNumber,0),MATCH(N$3,PlotTitles,0))),$AB$17,TRUE,"")</f>
        <v/>
      </c>
      <c r="O91" s="104" t="str" cm="1">
        <f t="array" ref="O91">_xlfn.IFS(AND(A91&gt;NumberOfPlots,ISBLANK(INDEX(PlotData,MATCH($A91,PlotNumber,0),MATCH(B$3,PlotTitles,0)))),"",ISBLANK(INDEX(PlotData,MATCH($A91,PlotNumber,0),MATCH(O$3,PlotTitles,0))),$AB$18,TRUE,"")</f>
        <v/>
      </c>
      <c r="P91" s="182" t="str">
        <f t="shared" ca="1" si="4"/>
        <v/>
      </c>
      <c r="Q91" s="104" t="str" cm="1">
        <f t="array" ref="Q91">_xlfn.IFS(AND(A91&gt;NumberOfPlots,ISBLANK(INDEX(PlotData,MATCH($A91,PlotNumber,0),MATCH(B$3,PlotTitles,0)))),"",ISBLANK(INDEX(PlotData,MATCH($A91,PlotNumber,0),MATCH(N$3,PlotTitles,0))),"",(DATEVALUE(INDEX(PlotData,MATCH($A91,PlotNumber,0),MATCH(N$3,PlotTitles,0))&amp;INDEX(PlotData,MATCH($A91,PlotNumber,0),MATCH(O$3,PlotTitles,0))))&lt;(DATEVALUE(INDEX(PlotData,MATCH($A91,PlotNumber,0),MATCH(I$3,PlotTitles,0))&amp;INDEX(PlotData,MATCH($A91,PlotNumber,0),MATCH(J$3,PlotTitles,0)))),$AB$20,TRUE,"")</f>
        <v/>
      </c>
      <c r="R91" s="104" t="str" cm="1">
        <f t="array" ref="R91">_xlfn.IFS(OR(ISBLANK(StartDateMonth),ISBLANK(StartDateYear)),"",AND(A91&gt;NumberOfPlots,ISBLANK(INDEX(PlotData,MATCH($A91,PlotNumber,0),MATCH(B$3,PlotTitles,0)))),"",ISBLANK(INDEX(PlotData,MATCH($A91,PlotNumber,0),MATCH(N$3,PlotTitles,0))),"",CompletionMonth="","",(DATEVALUE(INDEX(PlotData,MATCH($A91,PlotNumber,0),MATCH(N$3,PlotTitles,0))&amp;INDEX(PlotData,MATCH($A91,PlotNumber,0),MATCH(O$3,PlotTitles,0))))&gt;(DATEVALUE(CompletionMonth&amp;CompletionYear)),$AB$21,TRUE,"")</f>
        <v/>
      </c>
      <c r="S91" s="104" t="str" cm="1">
        <f t="array" ref="S91">_xlfn.IFS(AND(A91&gt;NumberOfPlots,ISBLANK(INDEX(PlotData,MATCH($A91,PlotNumber,0),MATCH(B$3,PlotTitles,0)))),"",OR(AND(INDEX(PlotData,MATCH($A91,PlotNumber,0),MATCH("Tenure",PlotTitles,0))="Open market housing",INDEX(PlotData,MATCH($A91,PlotNumber,0),MATCH("Tenure detail",PlotTitles,0))="Private rented sector"),INDEX(PlotData,MATCH($A91,PlotNumber,0),MATCH("Tenure",PlotTitles,0))="Affordable rent"),"",ISNUMBER(INDEX(PlotData,MATCH($A91,PlotNumber,0),MATCH(S$3,PlotTitles,0)))=FALSE, $AB$22,TRUE,"")</f>
        <v/>
      </c>
      <c r="T91" s="104" t="str" cm="1">
        <f t="array" ref="T91">_xlfn.IFS(AND(A91&gt;NumberOfPlots,ISBLANK(INDEX(PlotData,MATCH($A91,PlotNumber,0),MATCH(B$3,PlotTitles,0)))),"",OR(AND(INDEX(PlotData,MATCH($A91,PlotNumber,0),MATCH("Tenure",PlotTitles,0))="Open market housing",INDEX(PlotData,MATCH($A91,PlotNumber,0),MATCH("Tenure detail",PlotTitles,0))="Private rented sector"),INDEX(PlotData,MATCH($A91,PlotNumber,0),MATCH("Tenure",PlotTitles,0))="Affordable rent"),"",INDEX(PlotData,MATCH($A91,PlotNumber,0),MATCH(S$3,PlotTitles,0))&lt;10000, $AB$23,TRUE,"")</f>
        <v/>
      </c>
      <c r="U91" s="104" t="str" cm="1">
        <f t="array" ref="U91">_xlfn.IFS(AND(A91&gt;NumberOfPlots,ISBLANK(INDEX(PlotData,MATCH($A91,PlotNumber,0),MATCH(B$3,PlotTitles,0)))),"",NOT(OR(AND(INDEX(PlotData,MATCH($A91,PlotNumber,0),MATCH("Tenure",PlotTitles,0))="Open market housing",INDEX(PlotData,MATCH($A91,PlotNumber,0),MATCH("Tenure detail",PlotTitles,0))="Private rented sector"),INDEX(PlotData,MATCH($A91,PlotNumber,0),MATCH("Tenure",PlotTitles,0))="Affordable rent")),"",NOT(INDEX(PlotData,MATCH($A91,PlotNumber,0),MATCH(S$3,PlotTitles,0))=0), $AB$24,TRUE,"")</f>
        <v/>
      </c>
      <c r="V91" s="114" t="str" cm="1">
        <f t="array" aca="1" ref="V91" ca="1">_xlfn.IFS(ISBLANK(NumberOfPlots),"Enter the number of homes on the 1_SetUp sheet",AND(A91&gt;NumberOfPlots,ISBLANK(INDEX(PlotData,MATCH($A91,PlotNumber,0),MATCH(B$3,PlotTitles,0)))),"No error",NOT(B91=""),B91,NOT(C91=""),C91,NOT(D91=""),D91,NOT(E91=""),E91,NOT(F91=""),F91,NOT(G91=""),G91,NOT(H91=""),H91,NOT(I91=""),I91,NOT(J91=""),J91,NOT(K91=""),K91,NOT(L91=""),L91,NOT(M91=""),M91,NOT(N91=""),N91,NOT(O91=""),O91,NOT(P91=""),P91,NOT(Q91=""),Q91,NOT(R91=""),R91,NOT(S91=""),S91,NOT(T91=""),T91,NOT(U91=""),U91,TRUE,"No error")</f>
        <v>Enter the number of homes on the 1_SetUp sheet</v>
      </c>
      <c r="W91" s="114" t="str">
        <f t="shared" ca="1" si="5"/>
        <v xml:space="preserve">The Borrower has not addressed the following error messages for Home ID 87: </v>
      </c>
    </row>
    <row r="92" spans="1:23">
      <c r="A92" s="123">
        <v>88</v>
      </c>
      <c r="B92" s="104" t="str" cm="1">
        <f t="array" ref="B92">_xlfn.IFS(AND(A92&gt;NumberOfPlots,ISBLANK(INDEX(PlotData,MATCH($A92,PlotNumber,0),MATCH(B$3,PlotTitles,0)))),"",ISNUMBER(INDEX(PlotData,MATCH($A92,PlotNumber,0),MATCH(B$3,PlotTitles,0)))=FALSE, $AB$5,TRUE,"")</f>
        <v/>
      </c>
      <c r="C92" s="104" t="str" cm="1">
        <f t="array" ref="C92">_xlfn.IFS(AND(A92&gt;NumberOfPlots,ISBLANK(INDEX(PlotData,MATCH($A92,PlotNumber,0),MATCH(B$3,PlotTitles,0)))),"",ISBLANK(INDEX(PlotData,MATCH($A92,PlotNumber,0),MATCH(C$3,PlotTitles,0))),$AB$6,TRUE,"")</f>
        <v/>
      </c>
      <c r="D92" s="104" t="str" cm="1">
        <f t="array" ref="D92">_xlfn.IFS(AND(A92&gt;NumberOfPlots,ISBLANK(INDEX(PlotData,MATCH($A92,PlotNumber,0),MATCH(B$3,PlotTitles,0)))),"",ISBLANK(INDEX(PlotData,MATCH($A92,PlotNumber,0),MATCH(D$3,PlotTitles,0))),$AB$7,TRUE,"")</f>
        <v/>
      </c>
      <c r="E92" s="104" t="str" cm="1">
        <f t="array" ref="E92">_xlfn.IFS(AND(A92&gt;NumberOfPlots,ISBLANK(INDEX(PlotData,MATCH($A92,PlotNumber,0),MATCH(B$3,PlotTitles,0)))),"",ISBLANK(INDEX(PlotData,MATCH($A92,PlotNumber,0),MATCH(E$3,PlotTitles,0))),$AB$8,TRUE,"")</f>
        <v/>
      </c>
      <c r="F92" s="104" t="str" cm="1">
        <f t="array" ref="F92">_xlfn.IFS(AND(A92&gt;NumberOfPlots,ISBLANK(INDEX(PlotData,MATCH($A92,PlotNumber,0),MATCH(B$3,PlotTitles,0)))),"",ISBLANK(INDEX(PlotData,MATCH($A92,PlotNumber,0),MATCH(F$3,PlotTitles,0))),$AB$9,TRUE,"")</f>
        <v/>
      </c>
      <c r="G92" s="104" t="str" cm="1">
        <f t="array" ref="G92">_xlfn.IFS(AND(A92&gt;NumberOfPlots,ISBLANK(INDEX(PlotData,MATCH($A92,PlotNumber,0),MATCH(B$3,PlotTitles,0)))),"",ISBLANK(INDEX(PlotData,MATCH($A92,PlotNumber,0),MATCH(G$3,PlotTitles,0))),$AB$10,TRUE,"")</f>
        <v/>
      </c>
      <c r="H92" s="104" t="str" cm="1">
        <f t="array" ref="H92">_xlfn.IFS(AND(A92&gt;NumberOfPlots,ISBLANK(INDEX(PlotData,MATCH($A92,PlotNumber,0),MATCH(B$3,PlotTitles,0)))),"",AND(ISBLANK(INDEX(PlotData,MATCH($A92,PlotNumber,0),MATCH(H$3,PlotTitles,0)))=FALSE,INDEX(PlotData,MATCH($A92,PlotNumber,0),MATCH(H$3,PlotTitles,0))&lt;500), $AB$11,TRUE,"")</f>
        <v/>
      </c>
      <c r="I92" s="104" t="str" cm="1">
        <f t="array" ref="I92">_xlfn.IFS(AND(A92&gt;NumberOfPlots,ISBLANK(INDEX(PlotData,MATCH($A92,PlotNumber,0),MATCH(B$3,PlotTitles,0)))),"",ISBLANK(INDEX(PlotData,MATCH($A92,PlotNumber,0),MATCH(I$3,PlotTitles,0))),$AB$12,TRUE,"")</f>
        <v/>
      </c>
      <c r="J92" s="104" t="str" cm="1">
        <f t="array" ref="J92">_xlfn.IFS(AND(A92&gt;NumberOfPlots,ISBLANK(INDEX(PlotData,MATCH($A92,PlotNumber,0),MATCH(B$3,PlotTitles,0)))),"",ISBLANK(INDEX(PlotData,MATCH($A92,PlotNumber,0),MATCH(J$3,PlotTitles,0))),$AB$13,TRUE,"")</f>
        <v/>
      </c>
      <c r="K92" s="182" t="str">
        <f t="shared" ca="1" si="3"/>
        <v/>
      </c>
      <c r="L92" s="104" t="str" cm="1">
        <f t="array" ref="L92">_xlfn.IFS(OR(ISBLANK(StartDateMonth),ISBLANK(StartDateYear)),"",AND(A92&gt;NumberOfPlots,ISBLANK(INDEX(PlotData,MATCH($A92,PlotNumber,0),MATCH(B$3,PlotTitles,0)))),"",ISBLANK(INDEX(PlotData,MATCH($A92,PlotNumber,0),MATCH(I$3,PlotTitles,0))),"",(DATEVALUE(INDEX(PlotData,MATCH($A92,PlotNumber,0),MATCH(I$3,PlotTitles,0))&amp;INDEX(PlotData,MATCH($A92,PlotNumber,0),MATCH(J$3,PlotTitles,0))))&lt;DATEVALUE(StartDateMonth&amp;StartDateYear),$AB$15,TRUE,"")</f>
        <v/>
      </c>
      <c r="M92" s="104" t="str" cm="1">
        <f t="array" ref="M92">_xlfn.IFS(OR(ISBLANK(StartDateMonth),ISBLANK(StartDateYear)),"",AND(A92&gt;NumberOfPlots,ISBLANK(INDEX(PlotData,MATCH($A92,PlotNumber,0),MATCH(B$3,PlotTitles,0)))),"",ISBLANK(INDEX(PlotData,MATCH($A92,PlotNumber,0),MATCH(I$3,PlotTitles,0))),"",CompletionMonth="","",(DATEVALUE(INDEX(PlotData,MATCH($A92,PlotNumber,0),MATCH(I$3,PlotTitles,0))&amp;INDEX(PlotData,MATCH($A92,PlotNumber,0),MATCH(J$3,PlotTitles,0))))&gt;(DATEVALUE(CompletionMonth&amp;CompletionYear)),$AB$16,TRUE,"")</f>
        <v/>
      </c>
      <c r="N92" s="104" t="str" cm="1">
        <f t="array" ref="N92">_xlfn.IFS(AND(A92&gt;NumberOfPlots,ISBLANK(INDEX(PlotData,MATCH($A92,PlotNumber,0),MATCH(B$3,PlotTitles,0)))),"",ISBLANK(INDEX(PlotData,MATCH($A92,PlotNumber,0),MATCH(N$3,PlotTitles,0))),$AB$17,TRUE,"")</f>
        <v/>
      </c>
      <c r="O92" s="104" t="str" cm="1">
        <f t="array" ref="O92">_xlfn.IFS(AND(A92&gt;NumberOfPlots,ISBLANK(INDEX(PlotData,MATCH($A92,PlotNumber,0),MATCH(B$3,PlotTitles,0)))),"",ISBLANK(INDEX(PlotData,MATCH($A92,PlotNumber,0),MATCH(O$3,PlotTitles,0))),$AB$18,TRUE,"")</f>
        <v/>
      </c>
      <c r="P92" s="182" t="str">
        <f t="shared" ca="1" si="4"/>
        <v/>
      </c>
      <c r="Q92" s="104" t="str" cm="1">
        <f t="array" ref="Q92">_xlfn.IFS(AND(A92&gt;NumberOfPlots,ISBLANK(INDEX(PlotData,MATCH($A92,PlotNumber,0),MATCH(B$3,PlotTitles,0)))),"",ISBLANK(INDEX(PlotData,MATCH($A92,PlotNumber,0),MATCH(N$3,PlotTitles,0))),"",(DATEVALUE(INDEX(PlotData,MATCH($A92,PlotNumber,0),MATCH(N$3,PlotTitles,0))&amp;INDEX(PlotData,MATCH($A92,PlotNumber,0),MATCH(O$3,PlotTitles,0))))&lt;(DATEVALUE(INDEX(PlotData,MATCH($A92,PlotNumber,0),MATCH(I$3,PlotTitles,0))&amp;INDEX(PlotData,MATCH($A92,PlotNumber,0),MATCH(J$3,PlotTitles,0)))),$AB$20,TRUE,"")</f>
        <v/>
      </c>
      <c r="R92" s="104" t="str" cm="1">
        <f t="array" ref="R92">_xlfn.IFS(OR(ISBLANK(StartDateMonth),ISBLANK(StartDateYear)),"",AND(A92&gt;NumberOfPlots,ISBLANK(INDEX(PlotData,MATCH($A92,PlotNumber,0),MATCH(B$3,PlotTitles,0)))),"",ISBLANK(INDEX(PlotData,MATCH($A92,PlotNumber,0),MATCH(N$3,PlotTitles,0))),"",CompletionMonth="","",(DATEVALUE(INDEX(PlotData,MATCH($A92,PlotNumber,0),MATCH(N$3,PlotTitles,0))&amp;INDEX(PlotData,MATCH($A92,PlotNumber,0),MATCH(O$3,PlotTitles,0))))&gt;(DATEVALUE(CompletionMonth&amp;CompletionYear)),$AB$21,TRUE,"")</f>
        <v/>
      </c>
      <c r="S92" s="104" t="str" cm="1">
        <f t="array" ref="S92">_xlfn.IFS(AND(A92&gt;NumberOfPlots,ISBLANK(INDEX(PlotData,MATCH($A92,PlotNumber,0),MATCH(B$3,PlotTitles,0)))),"",OR(AND(INDEX(PlotData,MATCH($A92,PlotNumber,0),MATCH("Tenure",PlotTitles,0))="Open market housing",INDEX(PlotData,MATCH($A92,PlotNumber,0),MATCH("Tenure detail",PlotTitles,0))="Private rented sector"),INDEX(PlotData,MATCH($A92,PlotNumber,0),MATCH("Tenure",PlotTitles,0))="Affordable rent"),"",ISNUMBER(INDEX(PlotData,MATCH($A92,PlotNumber,0),MATCH(S$3,PlotTitles,0)))=FALSE, $AB$22,TRUE,"")</f>
        <v/>
      </c>
      <c r="T92" s="104" t="str" cm="1">
        <f t="array" ref="T92">_xlfn.IFS(AND(A92&gt;NumberOfPlots,ISBLANK(INDEX(PlotData,MATCH($A92,PlotNumber,0),MATCH(B$3,PlotTitles,0)))),"",OR(AND(INDEX(PlotData,MATCH($A92,PlotNumber,0),MATCH("Tenure",PlotTitles,0))="Open market housing",INDEX(PlotData,MATCH($A92,PlotNumber,0),MATCH("Tenure detail",PlotTitles,0))="Private rented sector"),INDEX(PlotData,MATCH($A92,PlotNumber,0),MATCH("Tenure",PlotTitles,0))="Affordable rent"),"",INDEX(PlotData,MATCH($A92,PlotNumber,0),MATCH(S$3,PlotTitles,0))&lt;10000, $AB$23,TRUE,"")</f>
        <v/>
      </c>
      <c r="U92" s="104" t="str" cm="1">
        <f t="array" ref="U92">_xlfn.IFS(AND(A92&gt;NumberOfPlots,ISBLANK(INDEX(PlotData,MATCH($A92,PlotNumber,0),MATCH(B$3,PlotTitles,0)))),"",NOT(OR(AND(INDEX(PlotData,MATCH($A92,PlotNumber,0),MATCH("Tenure",PlotTitles,0))="Open market housing",INDEX(PlotData,MATCH($A92,PlotNumber,0),MATCH("Tenure detail",PlotTitles,0))="Private rented sector"),INDEX(PlotData,MATCH($A92,PlotNumber,0),MATCH("Tenure",PlotTitles,0))="Affordable rent")),"",NOT(INDEX(PlotData,MATCH($A92,PlotNumber,0),MATCH(S$3,PlotTitles,0))=0), $AB$24,TRUE,"")</f>
        <v/>
      </c>
      <c r="V92" s="114" t="str" cm="1">
        <f t="array" aca="1" ref="V92" ca="1">_xlfn.IFS(ISBLANK(NumberOfPlots),"Enter the number of homes on the 1_SetUp sheet",AND(A92&gt;NumberOfPlots,ISBLANK(INDEX(PlotData,MATCH($A92,PlotNumber,0),MATCH(B$3,PlotTitles,0)))),"No error",NOT(B92=""),B92,NOT(C92=""),C92,NOT(D92=""),D92,NOT(E92=""),E92,NOT(F92=""),F92,NOT(G92=""),G92,NOT(H92=""),H92,NOT(I92=""),I92,NOT(J92=""),J92,NOT(K92=""),K92,NOT(L92=""),L92,NOT(M92=""),M92,NOT(N92=""),N92,NOT(O92=""),O92,NOT(P92=""),P92,NOT(Q92=""),Q92,NOT(R92=""),R92,NOT(S92=""),S92,NOT(T92=""),T92,NOT(U92=""),U92,TRUE,"No error")</f>
        <v>Enter the number of homes on the 1_SetUp sheet</v>
      </c>
      <c r="W92" s="114" t="str">
        <f t="shared" ca="1" si="5"/>
        <v xml:space="preserve">The Borrower has not addressed the following error messages for Home ID 88: </v>
      </c>
    </row>
    <row r="93" spans="1:23">
      <c r="A93" s="123">
        <v>89</v>
      </c>
      <c r="B93" s="104" t="str" cm="1">
        <f t="array" ref="B93">_xlfn.IFS(AND(A93&gt;NumberOfPlots,ISBLANK(INDEX(PlotData,MATCH($A93,PlotNumber,0),MATCH(B$3,PlotTitles,0)))),"",ISNUMBER(INDEX(PlotData,MATCH($A93,PlotNumber,0),MATCH(B$3,PlotTitles,0)))=FALSE, $AB$5,TRUE,"")</f>
        <v/>
      </c>
      <c r="C93" s="104" t="str" cm="1">
        <f t="array" ref="C93">_xlfn.IFS(AND(A93&gt;NumberOfPlots,ISBLANK(INDEX(PlotData,MATCH($A93,PlotNumber,0),MATCH(B$3,PlotTitles,0)))),"",ISBLANK(INDEX(PlotData,MATCH($A93,PlotNumber,0),MATCH(C$3,PlotTitles,0))),$AB$6,TRUE,"")</f>
        <v/>
      </c>
      <c r="D93" s="104" t="str" cm="1">
        <f t="array" ref="D93">_xlfn.IFS(AND(A93&gt;NumberOfPlots,ISBLANK(INDEX(PlotData,MATCH($A93,PlotNumber,0),MATCH(B$3,PlotTitles,0)))),"",ISBLANK(INDEX(PlotData,MATCH($A93,PlotNumber,0),MATCH(D$3,PlotTitles,0))),$AB$7,TRUE,"")</f>
        <v/>
      </c>
      <c r="E93" s="104" t="str" cm="1">
        <f t="array" ref="E93">_xlfn.IFS(AND(A93&gt;NumberOfPlots,ISBLANK(INDEX(PlotData,MATCH($A93,PlotNumber,0),MATCH(B$3,PlotTitles,0)))),"",ISBLANK(INDEX(PlotData,MATCH($A93,PlotNumber,0),MATCH(E$3,PlotTitles,0))),$AB$8,TRUE,"")</f>
        <v/>
      </c>
      <c r="F93" s="104" t="str" cm="1">
        <f t="array" ref="F93">_xlfn.IFS(AND(A93&gt;NumberOfPlots,ISBLANK(INDEX(PlotData,MATCH($A93,PlotNumber,0),MATCH(B$3,PlotTitles,0)))),"",ISBLANK(INDEX(PlotData,MATCH($A93,PlotNumber,0),MATCH(F$3,PlotTitles,0))),$AB$9,TRUE,"")</f>
        <v/>
      </c>
      <c r="G93" s="104" t="str" cm="1">
        <f t="array" ref="G93">_xlfn.IFS(AND(A93&gt;NumberOfPlots,ISBLANK(INDEX(PlotData,MATCH($A93,PlotNumber,0),MATCH(B$3,PlotTitles,0)))),"",ISBLANK(INDEX(PlotData,MATCH($A93,PlotNumber,0),MATCH(G$3,PlotTitles,0))),$AB$10,TRUE,"")</f>
        <v/>
      </c>
      <c r="H93" s="104" t="str" cm="1">
        <f t="array" ref="H93">_xlfn.IFS(AND(A93&gt;NumberOfPlots,ISBLANK(INDEX(PlotData,MATCH($A93,PlotNumber,0),MATCH(B$3,PlotTitles,0)))),"",AND(ISBLANK(INDEX(PlotData,MATCH($A93,PlotNumber,0),MATCH(H$3,PlotTitles,0)))=FALSE,INDEX(PlotData,MATCH($A93,PlotNumber,0),MATCH(H$3,PlotTitles,0))&lt;500), $AB$11,TRUE,"")</f>
        <v/>
      </c>
      <c r="I93" s="104" t="str" cm="1">
        <f t="array" ref="I93">_xlfn.IFS(AND(A93&gt;NumberOfPlots,ISBLANK(INDEX(PlotData,MATCH($A93,PlotNumber,0),MATCH(B$3,PlotTitles,0)))),"",ISBLANK(INDEX(PlotData,MATCH($A93,PlotNumber,0),MATCH(I$3,PlotTitles,0))),$AB$12,TRUE,"")</f>
        <v/>
      </c>
      <c r="J93" s="104" t="str" cm="1">
        <f t="array" ref="J93">_xlfn.IFS(AND(A93&gt;NumberOfPlots,ISBLANK(INDEX(PlotData,MATCH($A93,PlotNumber,0),MATCH(B$3,PlotTitles,0)))),"",ISBLANK(INDEX(PlotData,MATCH($A93,PlotNumber,0),MATCH(J$3,PlotTitles,0))),$AB$13,TRUE,"")</f>
        <v/>
      </c>
      <c r="K93" s="182" t="str">
        <f t="shared" ca="1" si="3"/>
        <v/>
      </c>
      <c r="L93" s="104" t="str" cm="1">
        <f t="array" ref="L93">_xlfn.IFS(OR(ISBLANK(StartDateMonth),ISBLANK(StartDateYear)),"",AND(A93&gt;NumberOfPlots,ISBLANK(INDEX(PlotData,MATCH($A93,PlotNumber,0),MATCH(B$3,PlotTitles,0)))),"",ISBLANK(INDEX(PlotData,MATCH($A93,PlotNumber,0),MATCH(I$3,PlotTitles,0))),"",(DATEVALUE(INDEX(PlotData,MATCH($A93,PlotNumber,0),MATCH(I$3,PlotTitles,0))&amp;INDEX(PlotData,MATCH($A93,PlotNumber,0),MATCH(J$3,PlotTitles,0))))&lt;DATEVALUE(StartDateMonth&amp;StartDateYear),$AB$15,TRUE,"")</f>
        <v/>
      </c>
      <c r="M93" s="104" t="str" cm="1">
        <f t="array" ref="M93">_xlfn.IFS(OR(ISBLANK(StartDateMonth),ISBLANK(StartDateYear)),"",AND(A93&gt;NumberOfPlots,ISBLANK(INDEX(PlotData,MATCH($A93,PlotNumber,0),MATCH(B$3,PlotTitles,0)))),"",ISBLANK(INDEX(PlotData,MATCH($A93,PlotNumber,0),MATCH(I$3,PlotTitles,0))),"",CompletionMonth="","",(DATEVALUE(INDEX(PlotData,MATCH($A93,PlotNumber,0),MATCH(I$3,PlotTitles,0))&amp;INDEX(PlotData,MATCH($A93,PlotNumber,0),MATCH(J$3,PlotTitles,0))))&gt;(DATEVALUE(CompletionMonth&amp;CompletionYear)),$AB$16,TRUE,"")</f>
        <v/>
      </c>
      <c r="N93" s="104" t="str" cm="1">
        <f t="array" ref="N93">_xlfn.IFS(AND(A93&gt;NumberOfPlots,ISBLANK(INDEX(PlotData,MATCH($A93,PlotNumber,0),MATCH(B$3,PlotTitles,0)))),"",ISBLANK(INDEX(PlotData,MATCH($A93,PlotNumber,0),MATCH(N$3,PlotTitles,0))),$AB$17,TRUE,"")</f>
        <v/>
      </c>
      <c r="O93" s="104" t="str" cm="1">
        <f t="array" ref="O93">_xlfn.IFS(AND(A93&gt;NumberOfPlots,ISBLANK(INDEX(PlotData,MATCH($A93,PlotNumber,0),MATCH(B$3,PlotTitles,0)))),"",ISBLANK(INDEX(PlotData,MATCH($A93,PlotNumber,0),MATCH(O$3,PlotTitles,0))),$AB$18,TRUE,"")</f>
        <v/>
      </c>
      <c r="P93" s="182" t="str">
        <f t="shared" ca="1" si="4"/>
        <v/>
      </c>
      <c r="Q93" s="104" t="str" cm="1">
        <f t="array" ref="Q93">_xlfn.IFS(AND(A93&gt;NumberOfPlots,ISBLANK(INDEX(PlotData,MATCH($A93,PlotNumber,0),MATCH(B$3,PlotTitles,0)))),"",ISBLANK(INDEX(PlotData,MATCH($A93,PlotNumber,0),MATCH(N$3,PlotTitles,0))),"",(DATEVALUE(INDEX(PlotData,MATCH($A93,PlotNumber,0),MATCH(N$3,PlotTitles,0))&amp;INDEX(PlotData,MATCH($A93,PlotNumber,0),MATCH(O$3,PlotTitles,0))))&lt;(DATEVALUE(INDEX(PlotData,MATCH($A93,PlotNumber,0),MATCH(I$3,PlotTitles,0))&amp;INDEX(PlotData,MATCH($A93,PlotNumber,0),MATCH(J$3,PlotTitles,0)))),$AB$20,TRUE,"")</f>
        <v/>
      </c>
      <c r="R93" s="104" t="str" cm="1">
        <f t="array" ref="R93">_xlfn.IFS(OR(ISBLANK(StartDateMonth),ISBLANK(StartDateYear)),"",AND(A93&gt;NumberOfPlots,ISBLANK(INDEX(PlotData,MATCH($A93,PlotNumber,0),MATCH(B$3,PlotTitles,0)))),"",ISBLANK(INDEX(PlotData,MATCH($A93,PlotNumber,0),MATCH(N$3,PlotTitles,0))),"",CompletionMonth="","",(DATEVALUE(INDEX(PlotData,MATCH($A93,PlotNumber,0),MATCH(N$3,PlotTitles,0))&amp;INDEX(PlotData,MATCH($A93,PlotNumber,0),MATCH(O$3,PlotTitles,0))))&gt;(DATEVALUE(CompletionMonth&amp;CompletionYear)),$AB$21,TRUE,"")</f>
        <v/>
      </c>
      <c r="S93" s="104" t="str" cm="1">
        <f t="array" ref="S93">_xlfn.IFS(AND(A93&gt;NumberOfPlots,ISBLANK(INDEX(PlotData,MATCH($A93,PlotNumber,0),MATCH(B$3,PlotTitles,0)))),"",OR(AND(INDEX(PlotData,MATCH($A93,PlotNumber,0),MATCH("Tenure",PlotTitles,0))="Open market housing",INDEX(PlotData,MATCH($A93,PlotNumber,0),MATCH("Tenure detail",PlotTitles,0))="Private rented sector"),INDEX(PlotData,MATCH($A93,PlotNumber,0),MATCH("Tenure",PlotTitles,0))="Affordable rent"),"",ISNUMBER(INDEX(PlotData,MATCH($A93,PlotNumber,0),MATCH(S$3,PlotTitles,0)))=FALSE, $AB$22,TRUE,"")</f>
        <v/>
      </c>
      <c r="T93" s="104" t="str" cm="1">
        <f t="array" ref="T93">_xlfn.IFS(AND(A93&gt;NumberOfPlots,ISBLANK(INDEX(PlotData,MATCH($A93,PlotNumber,0),MATCH(B$3,PlotTitles,0)))),"",OR(AND(INDEX(PlotData,MATCH($A93,PlotNumber,0),MATCH("Tenure",PlotTitles,0))="Open market housing",INDEX(PlotData,MATCH($A93,PlotNumber,0),MATCH("Tenure detail",PlotTitles,0))="Private rented sector"),INDEX(PlotData,MATCH($A93,PlotNumber,0),MATCH("Tenure",PlotTitles,0))="Affordable rent"),"",INDEX(PlotData,MATCH($A93,PlotNumber,0),MATCH(S$3,PlotTitles,0))&lt;10000, $AB$23,TRUE,"")</f>
        <v/>
      </c>
      <c r="U93" s="104" t="str" cm="1">
        <f t="array" ref="U93">_xlfn.IFS(AND(A93&gt;NumberOfPlots,ISBLANK(INDEX(PlotData,MATCH($A93,PlotNumber,0),MATCH(B$3,PlotTitles,0)))),"",NOT(OR(AND(INDEX(PlotData,MATCH($A93,PlotNumber,0),MATCH("Tenure",PlotTitles,0))="Open market housing",INDEX(PlotData,MATCH($A93,PlotNumber,0),MATCH("Tenure detail",PlotTitles,0))="Private rented sector"),INDEX(PlotData,MATCH($A93,PlotNumber,0),MATCH("Tenure",PlotTitles,0))="Affordable rent")),"",NOT(INDEX(PlotData,MATCH($A93,PlotNumber,0),MATCH(S$3,PlotTitles,0))=0), $AB$24,TRUE,"")</f>
        <v/>
      </c>
      <c r="V93" s="114" t="str" cm="1">
        <f t="array" aca="1" ref="V93" ca="1">_xlfn.IFS(ISBLANK(NumberOfPlots),"Enter the number of homes on the 1_SetUp sheet",AND(A93&gt;NumberOfPlots,ISBLANK(INDEX(PlotData,MATCH($A93,PlotNumber,0),MATCH(B$3,PlotTitles,0)))),"No error",NOT(B93=""),B93,NOT(C93=""),C93,NOT(D93=""),D93,NOT(E93=""),E93,NOT(F93=""),F93,NOT(G93=""),G93,NOT(H93=""),H93,NOT(I93=""),I93,NOT(J93=""),J93,NOT(K93=""),K93,NOT(L93=""),L93,NOT(M93=""),M93,NOT(N93=""),N93,NOT(O93=""),O93,NOT(P93=""),P93,NOT(Q93=""),Q93,NOT(R93=""),R93,NOT(S93=""),S93,NOT(T93=""),T93,NOT(U93=""),U93,TRUE,"No error")</f>
        <v>Enter the number of homes on the 1_SetUp sheet</v>
      </c>
      <c r="W93" s="114" t="str">
        <f t="shared" ca="1" si="5"/>
        <v xml:space="preserve">The Borrower has not addressed the following error messages for Home ID 89: </v>
      </c>
    </row>
    <row r="94" spans="1:23">
      <c r="A94" s="123">
        <v>90</v>
      </c>
      <c r="B94" s="104" t="str" cm="1">
        <f t="array" ref="B94">_xlfn.IFS(AND(A94&gt;NumberOfPlots,ISBLANK(INDEX(PlotData,MATCH($A94,PlotNumber,0),MATCH(B$3,PlotTitles,0)))),"",ISNUMBER(INDEX(PlotData,MATCH($A94,PlotNumber,0),MATCH(B$3,PlotTitles,0)))=FALSE, $AB$5,TRUE,"")</f>
        <v/>
      </c>
      <c r="C94" s="104" t="str" cm="1">
        <f t="array" ref="C94">_xlfn.IFS(AND(A94&gt;NumberOfPlots,ISBLANK(INDEX(PlotData,MATCH($A94,PlotNumber,0),MATCH(B$3,PlotTitles,0)))),"",ISBLANK(INDEX(PlotData,MATCH($A94,PlotNumber,0),MATCH(C$3,PlotTitles,0))),$AB$6,TRUE,"")</f>
        <v/>
      </c>
      <c r="D94" s="104" t="str" cm="1">
        <f t="array" ref="D94">_xlfn.IFS(AND(A94&gt;NumberOfPlots,ISBLANK(INDEX(PlotData,MATCH($A94,PlotNumber,0),MATCH(B$3,PlotTitles,0)))),"",ISBLANK(INDEX(PlotData,MATCH($A94,PlotNumber,0),MATCH(D$3,PlotTitles,0))),$AB$7,TRUE,"")</f>
        <v/>
      </c>
      <c r="E94" s="104" t="str" cm="1">
        <f t="array" ref="E94">_xlfn.IFS(AND(A94&gt;NumberOfPlots,ISBLANK(INDEX(PlotData,MATCH($A94,PlotNumber,0),MATCH(B$3,PlotTitles,0)))),"",ISBLANK(INDEX(PlotData,MATCH($A94,PlotNumber,0),MATCH(E$3,PlotTitles,0))),$AB$8,TRUE,"")</f>
        <v/>
      </c>
      <c r="F94" s="104" t="str" cm="1">
        <f t="array" ref="F94">_xlfn.IFS(AND(A94&gt;NumberOfPlots,ISBLANK(INDEX(PlotData,MATCH($A94,PlotNumber,0),MATCH(B$3,PlotTitles,0)))),"",ISBLANK(INDEX(PlotData,MATCH($A94,PlotNumber,0),MATCH(F$3,PlotTitles,0))),$AB$9,TRUE,"")</f>
        <v/>
      </c>
      <c r="G94" s="104" t="str" cm="1">
        <f t="array" ref="G94">_xlfn.IFS(AND(A94&gt;NumberOfPlots,ISBLANK(INDEX(PlotData,MATCH($A94,PlotNumber,0),MATCH(B$3,PlotTitles,0)))),"",ISBLANK(INDEX(PlotData,MATCH($A94,PlotNumber,0),MATCH(G$3,PlotTitles,0))),$AB$10,TRUE,"")</f>
        <v/>
      </c>
      <c r="H94" s="104" t="str" cm="1">
        <f t="array" ref="H94">_xlfn.IFS(AND(A94&gt;NumberOfPlots,ISBLANK(INDEX(PlotData,MATCH($A94,PlotNumber,0),MATCH(B$3,PlotTitles,0)))),"",AND(ISBLANK(INDEX(PlotData,MATCH($A94,PlotNumber,0),MATCH(H$3,PlotTitles,0)))=FALSE,INDEX(PlotData,MATCH($A94,PlotNumber,0),MATCH(H$3,PlotTitles,0))&lt;500), $AB$11,TRUE,"")</f>
        <v/>
      </c>
      <c r="I94" s="104" t="str" cm="1">
        <f t="array" ref="I94">_xlfn.IFS(AND(A94&gt;NumberOfPlots,ISBLANK(INDEX(PlotData,MATCH($A94,PlotNumber,0),MATCH(B$3,PlotTitles,0)))),"",ISBLANK(INDEX(PlotData,MATCH($A94,PlotNumber,0),MATCH(I$3,PlotTitles,0))),$AB$12,TRUE,"")</f>
        <v/>
      </c>
      <c r="J94" s="104" t="str" cm="1">
        <f t="array" ref="J94">_xlfn.IFS(AND(A94&gt;NumberOfPlots,ISBLANK(INDEX(PlotData,MATCH($A94,PlotNumber,0),MATCH(B$3,PlotTitles,0)))),"",ISBLANK(INDEX(PlotData,MATCH($A94,PlotNumber,0),MATCH(J$3,PlotTitles,0))),$AB$13,TRUE,"")</f>
        <v/>
      </c>
      <c r="K94" s="182" t="str">
        <f t="shared" ca="1" si="3"/>
        <v/>
      </c>
      <c r="L94" s="104" t="str" cm="1">
        <f t="array" ref="L94">_xlfn.IFS(OR(ISBLANK(StartDateMonth),ISBLANK(StartDateYear)),"",AND(A94&gt;NumberOfPlots,ISBLANK(INDEX(PlotData,MATCH($A94,PlotNumber,0),MATCH(B$3,PlotTitles,0)))),"",ISBLANK(INDEX(PlotData,MATCH($A94,PlotNumber,0),MATCH(I$3,PlotTitles,0))),"",(DATEVALUE(INDEX(PlotData,MATCH($A94,PlotNumber,0),MATCH(I$3,PlotTitles,0))&amp;INDEX(PlotData,MATCH($A94,PlotNumber,0),MATCH(J$3,PlotTitles,0))))&lt;DATEVALUE(StartDateMonth&amp;StartDateYear),$AB$15,TRUE,"")</f>
        <v/>
      </c>
      <c r="M94" s="104" t="str" cm="1">
        <f t="array" ref="M94">_xlfn.IFS(OR(ISBLANK(StartDateMonth),ISBLANK(StartDateYear)),"",AND(A94&gt;NumberOfPlots,ISBLANK(INDEX(PlotData,MATCH($A94,PlotNumber,0),MATCH(B$3,PlotTitles,0)))),"",ISBLANK(INDEX(PlotData,MATCH($A94,PlotNumber,0),MATCH(I$3,PlotTitles,0))),"",CompletionMonth="","",(DATEVALUE(INDEX(PlotData,MATCH($A94,PlotNumber,0),MATCH(I$3,PlotTitles,0))&amp;INDEX(PlotData,MATCH($A94,PlotNumber,0),MATCH(J$3,PlotTitles,0))))&gt;(DATEVALUE(CompletionMonth&amp;CompletionYear)),$AB$16,TRUE,"")</f>
        <v/>
      </c>
      <c r="N94" s="104" t="str" cm="1">
        <f t="array" ref="N94">_xlfn.IFS(AND(A94&gt;NumberOfPlots,ISBLANK(INDEX(PlotData,MATCH($A94,PlotNumber,0),MATCH(B$3,PlotTitles,0)))),"",ISBLANK(INDEX(PlotData,MATCH($A94,PlotNumber,0),MATCH(N$3,PlotTitles,0))),$AB$17,TRUE,"")</f>
        <v/>
      </c>
      <c r="O94" s="104" t="str" cm="1">
        <f t="array" ref="O94">_xlfn.IFS(AND(A94&gt;NumberOfPlots,ISBLANK(INDEX(PlotData,MATCH($A94,PlotNumber,0),MATCH(B$3,PlotTitles,0)))),"",ISBLANK(INDEX(PlotData,MATCH($A94,PlotNumber,0),MATCH(O$3,PlotTitles,0))),$AB$18,TRUE,"")</f>
        <v/>
      </c>
      <c r="P94" s="182" t="str">
        <f t="shared" ca="1" si="4"/>
        <v/>
      </c>
      <c r="Q94" s="104" t="str" cm="1">
        <f t="array" ref="Q94">_xlfn.IFS(AND(A94&gt;NumberOfPlots,ISBLANK(INDEX(PlotData,MATCH($A94,PlotNumber,0),MATCH(B$3,PlotTitles,0)))),"",ISBLANK(INDEX(PlotData,MATCH($A94,PlotNumber,0),MATCH(N$3,PlotTitles,0))),"",(DATEVALUE(INDEX(PlotData,MATCH($A94,PlotNumber,0),MATCH(N$3,PlotTitles,0))&amp;INDEX(PlotData,MATCH($A94,PlotNumber,0),MATCH(O$3,PlotTitles,0))))&lt;(DATEVALUE(INDEX(PlotData,MATCH($A94,PlotNumber,0),MATCH(I$3,PlotTitles,0))&amp;INDEX(PlotData,MATCH($A94,PlotNumber,0),MATCH(J$3,PlotTitles,0)))),$AB$20,TRUE,"")</f>
        <v/>
      </c>
      <c r="R94" s="104" t="str" cm="1">
        <f t="array" ref="R94">_xlfn.IFS(OR(ISBLANK(StartDateMonth),ISBLANK(StartDateYear)),"",AND(A94&gt;NumberOfPlots,ISBLANK(INDEX(PlotData,MATCH($A94,PlotNumber,0),MATCH(B$3,PlotTitles,0)))),"",ISBLANK(INDEX(PlotData,MATCH($A94,PlotNumber,0),MATCH(N$3,PlotTitles,0))),"",CompletionMonth="","",(DATEVALUE(INDEX(PlotData,MATCH($A94,PlotNumber,0),MATCH(N$3,PlotTitles,0))&amp;INDEX(PlotData,MATCH($A94,PlotNumber,0),MATCH(O$3,PlotTitles,0))))&gt;(DATEVALUE(CompletionMonth&amp;CompletionYear)),$AB$21,TRUE,"")</f>
        <v/>
      </c>
      <c r="S94" s="104" t="str" cm="1">
        <f t="array" ref="S94">_xlfn.IFS(AND(A94&gt;NumberOfPlots,ISBLANK(INDEX(PlotData,MATCH($A94,PlotNumber,0),MATCH(B$3,PlotTitles,0)))),"",OR(AND(INDEX(PlotData,MATCH($A94,PlotNumber,0),MATCH("Tenure",PlotTitles,0))="Open market housing",INDEX(PlotData,MATCH($A94,PlotNumber,0),MATCH("Tenure detail",PlotTitles,0))="Private rented sector"),INDEX(PlotData,MATCH($A94,PlotNumber,0),MATCH("Tenure",PlotTitles,0))="Affordable rent"),"",ISNUMBER(INDEX(PlotData,MATCH($A94,PlotNumber,0),MATCH(S$3,PlotTitles,0)))=FALSE, $AB$22,TRUE,"")</f>
        <v/>
      </c>
      <c r="T94" s="104" t="str" cm="1">
        <f t="array" ref="T94">_xlfn.IFS(AND(A94&gt;NumberOfPlots,ISBLANK(INDEX(PlotData,MATCH($A94,PlotNumber,0),MATCH(B$3,PlotTitles,0)))),"",OR(AND(INDEX(PlotData,MATCH($A94,PlotNumber,0),MATCH("Tenure",PlotTitles,0))="Open market housing",INDEX(PlotData,MATCH($A94,PlotNumber,0),MATCH("Tenure detail",PlotTitles,0))="Private rented sector"),INDEX(PlotData,MATCH($A94,PlotNumber,0),MATCH("Tenure",PlotTitles,0))="Affordable rent"),"",INDEX(PlotData,MATCH($A94,PlotNumber,0),MATCH(S$3,PlotTitles,0))&lt;10000, $AB$23,TRUE,"")</f>
        <v/>
      </c>
      <c r="U94" s="104" t="str" cm="1">
        <f t="array" ref="U94">_xlfn.IFS(AND(A94&gt;NumberOfPlots,ISBLANK(INDEX(PlotData,MATCH($A94,PlotNumber,0),MATCH(B$3,PlotTitles,0)))),"",NOT(OR(AND(INDEX(PlotData,MATCH($A94,PlotNumber,0),MATCH("Tenure",PlotTitles,0))="Open market housing",INDEX(PlotData,MATCH($A94,PlotNumber,0),MATCH("Tenure detail",PlotTitles,0))="Private rented sector"),INDEX(PlotData,MATCH($A94,PlotNumber,0),MATCH("Tenure",PlotTitles,0))="Affordable rent")),"",NOT(INDEX(PlotData,MATCH($A94,PlotNumber,0),MATCH(S$3,PlotTitles,0))=0), $AB$24,TRUE,"")</f>
        <v/>
      </c>
      <c r="V94" s="114" t="str" cm="1">
        <f t="array" aca="1" ref="V94" ca="1">_xlfn.IFS(ISBLANK(NumberOfPlots),"Enter the number of homes on the 1_SetUp sheet",AND(A94&gt;NumberOfPlots,ISBLANK(INDEX(PlotData,MATCH($A94,PlotNumber,0),MATCH(B$3,PlotTitles,0)))),"No error",NOT(B94=""),B94,NOT(C94=""),C94,NOT(D94=""),D94,NOT(E94=""),E94,NOT(F94=""),F94,NOT(G94=""),G94,NOT(H94=""),H94,NOT(I94=""),I94,NOT(J94=""),J94,NOT(K94=""),K94,NOT(L94=""),L94,NOT(M94=""),M94,NOT(N94=""),N94,NOT(O94=""),O94,NOT(P94=""),P94,NOT(Q94=""),Q94,NOT(R94=""),R94,NOT(S94=""),S94,NOT(T94=""),T94,NOT(U94=""),U94,TRUE,"No error")</f>
        <v>Enter the number of homes on the 1_SetUp sheet</v>
      </c>
      <c r="W94" s="114" t="str">
        <f t="shared" ca="1" si="5"/>
        <v xml:space="preserve">The Borrower has not addressed the following error messages for Home ID 90: </v>
      </c>
    </row>
    <row r="95" spans="1:23">
      <c r="A95" s="123">
        <v>91</v>
      </c>
      <c r="B95" s="104" t="str" cm="1">
        <f t="array" ref="B95">_xlfn.IFS(AND(A95&gt;NumberOfPlots,ISBLANK(INDEX(PlotData,MATCH($A95,PlotNumber,0),MATCH(B$3,PlotTitles,0)))),"",ISNUMBER(INDEX(PlotData,MATCH($A95,PlotNumber,0),MATCH(B$3,PlotTitles,0)))=FALSE, $AB$5,TRUE,"")</f>
        <v/>
      </c>
      <c r="C95" s="104" t="str" cm="1">
        <f t="array" ref="C95">_xlfn.IFS(AND(A95&gt;NumberOfPlots,ISBLANK(INDEX(PlotData,MATCH($A95,PlotNumber,0),MATCH(B$3,PlotTitles,0)))),"",ISBLANK(INDEX(PlotData,MATCH($A95,PlotNumber,0),MATCH(C$3,PlotTitles,0))),$AB$6,TRUE,"")</f>
        <v/>
      </c>
      <c r="D95" s="104" t="str" cm="1">
        <f t="array" ref="D95">_xlfn.IFS(AND(A95&gt;NumberOfPlots,ISBLANK(INDEX(PlotData,MATCH($A95,PlotNumber,0),MATCH(B$3,PlotTitles,0)))),"",ISBLANK(INDEX(PlotData,MATCH($A95,PlotNumber,0),MATCH(D$3,PlotTitles,0))),$AB$7,TRUE,"")</f>
        <v/>
      </c>
      <c r="E95" s="104" t="str" cm="1">
        <f t="array" ref="E95">_xlfn.IFS(AND(A95&gt;NumberOfPlots,ISBLANK(INDEX(PlotData,MATCH($A95,PlotNumber,0),MATCH(B$3,PlotTitles,0)))),"",ISBLANK(INDEX(PlotData,MATCH($A95,PlotNumber,0),MATCH(E$3,PlotTitles,0))),$AB$8,TRUE,"")</f>
        <v/>
      </c>
      <c r="F95" s="104" t="str" cm="1">
        <f t="array" ref="F95">_xlfn.IFS(AND(A95&gt;NumberOfPlots,ISBLANK(INDEX(PlotData,MATCH($A95,PlotNumber,0),MATCH(B$3,PlotTitles,0)))),"",ISBLANK(INDEX(PlotData,MATCH($A95,PlotNumber,0),MATCH(F$3,PlotTitles,0))),$AB$9,TRUE,"")</f>
        <v/>
      </c>
      <c r="G95" s="104" t="str" cm="1">
        <f t="array" ref="G95">_xlfn.IFS(AND(A95&gt;NumberOfPlots,ISBLANK(INDEX(PlotData,MATCH($A95,PlotNumber,0),MATCH(B$3,PlotTitles,0)))),"",ISBLANK(INDEX(PlotData,MATCH($A95,PlotNumber,0),MATCH(G$3,PlotTitles,0))),$AB$10,TRUE,"")</f>
        <v/>
      </c>
      <c r="H95" s="104" t="str" cm="1">
        <f t="array" ref="H95">_xlfn.IFS(AND(A95&gt;NumberOfPlots,ISBLANK(INDEX(PlotData,MATCH($A95,PlotNumber,0),MATCH(B$3,PlotTitles,0)))),"",AND(ISBLANK(INDEX(PlotData,MATCH($A95,PlotNumber,0),MATCH(H$3,PlotTitles,0)))=FALSE,INDEX(PlotData,MATCH($A95,PlotNumber,0),MATCH(H$3,PlotTitles,0))&lt;500), $AB$11,TRUE,"")</f>
        <v/>
      </c>
      <c r="I95" s="104" t="str" cm="1">
        <f t="array" ref="I95">_xlfn.IFS(AND(A95&gt;NumberOfPlots,ISBLANK(INDEX(PlotData,MATCH($A95,PlotNumber,0),MATCH(B$3,PlotTitles,0)))),"",ISBLANK(INDEX(PlotData,MATCH($A95,PlotNumber,0),MATCH(I$3,PlotTitles,0))),$AB$12,TRUE,"")</f>
        <v/>
      </c>
      <c r="J95" s="104" t="str" cm="1">
        <f t="array" ref="J95">_xlfn.IFS(AND(A95&gt;NumberOfPlots,ISBLANK(INDEX(PlotData,MATCH($A95,PlotNumber,0),MATCH(B$3,PlotTitles,0)))),"",ISBLANK(INDEX(PlotData,MATCH($A95,PlotNumber,0),MATCH(J$3,PlotTitles,0))),$AB$13,TRUE,"")</f>
        <v/>
      </c>
      <c r="K95" s="182" t="str">
        <f t="shared" ca="1" si="3"/>
        <v/>
      </c>
      <c r="L95" s="104" t="str" cm="1">
        <f t="array" ref="L95">_xlfn.IFS(OR(ISBLANK(StartDateMonth),ISBLANK(StartDateYear)),"",AND(A95&gt;NumberOfPlots,ISBLANK(INDEX(PlotData,MATCH($A95,PlotNumber,0),MATCH(B$3,PlotTitles,0)))),"",ISBLANK(INDEX(PlotData,MATCH($A95,PlotNumber,0),MATCH(I$3,PlotTitles,0))),"",(DATEVALUE(INDEX(PlotData,MATCH($A95,PlotNumber,0),MATCH(I$3,PlotTitles,0))&amp;INDEX(PlotData,MATCH($A95,PlotNumber,0),MATCH(J$3,PlotTitles,0))))&lt;DATEVALUE(StartDateMonth&amp;StartDateYear),$AB$15,TRUE,"")</f>
        <v/>
      </c>
      <c r="M95" s="104" t="str" cm="1">
        <f t="array" ref="M95">_xlfn.IFS(OR(ISBLANK(StartDateMonth),ISBLANK(StartDateYear)),"",AND(A95&gt;NumberOfPlots,ISBLANK(INDEX(PlotData,MATCH($A95,PlotNumber,0),MATCH(B$3,PlotTitles,0)))),"",ISBLANK(INDEX(PlotData,MATCH($A95,PlotNumber,0),MATCH(I$3,PlotTitles,0))),"",CompletionMonth="","",(DATEVALUE(INDEX(PlotData,MATCH($A95,PlotNumber,0),MATCH(I$3,PlotTitles,0))&amp;INDEX(PlotData,MATCH($A95,PlotNumber,0),MATCH(J$3,PlotTitles,0))))&gt;(DATEVALUE(CompletionMonth&amp;CompletionYear)),$AB$16,TRUE,"")</f>
        <v/>
      </c>
      <c r="N95" s="104" t="str" cm="1">
        <f t="array" ref="N95">_xlfn.IFS(AND(A95&gt;NumberOfPlots,ISBLANK(INDEX(PlotData,MATCH($A95,PlotNumber,0),MATCH(B$3,PlotTitles,0)))),"",ISBLANK(INDEX(PlotData,MATCH($A95,PlotNumber,0),MATCH(N$3,PlotTitles,0))),$AB$17,TRUE,"")</f>
        <v/>
      </c>
      <c r="O95" s="104" t="str" cm="1">
        <f t="array" ref="O95">_xlfn.IFS(AND(A95&gt;NumberOfPlots,ISBLANK(INDEX(PlotData,MATCH($A95,PlotNumber,0),MATCH(B$3,PlotTitles,0)))),"",ISBLANK(INDEX(PlotData,MATCH($A95,PlotNumber,0),MATCH(O$3,PlotTitles,0))),$AB$18,TRUE,"")</f>
        <v/>
      </c>
      <c r="P95" s="182" t="str">
        <f t="shared" ca="1" si="4"/>
        <v/>
      </c>
      <c r="Q95" s="104" t="str" cm="1">
        <f t="array" ref="Q95">_xlfn.IFS(AND(A95&gt;NumberOfPlots,ISBLANK(INDEX(PlotData,MATCH($A95,PlotNumber,0),MATCH(B$3,PlotTitles,0)))),"",ISBLANK(INDEX(PlotData,MATCH($A95,PlotNumber,0),MATCH(N$3,PlotTitles,0))),"",(DATEVALUE(INDEX(PlotData,MATCH($A95,PlotNumber,0),MATCH(N$3,PlotTitles,0))&amp;INDEX(PlotData,MATCH($A95,PlotNumber,0),MATCH(O$3,PlotTitles,0))))&lt;(DATEVALUE(INDEX(PlotData,MATCH($A95,PlotNumber,0),MATCH(I$3,PlotTitles,0))&amp;INDEX(PlotData,MATCH($A95,PlotNumber,0),MATCH(J$3,PlotTitles,0)))),$AB$20,TRUE,"")</f>
        <v/>
      </c>
      <c r="R95" s="104" t="str" cm="1">
        <f t="array" ref="R95">_xlfn.IFS(OR(ISBLANK(StartDateMonth),ISBLANK(StartDateYear)),"",AND(A95&gt;NumberOfPlots,ISBLANK(INDEX(PlotData,MATCH($A95,PlotNumber,0),MATCH(B$3,PlotTitles,0)))),"",ISBLANK(INDEX(PlotData,MATCH($A95,PlotNumber,0),MATCH(N$3,PlotTitles,0))),"",CompletionMonth="","",(DATEVALUE(INDEX(PlotData,MATCH($A95,PlotNumber,0),MATCH(N$3,PlotTitles,0))&amp;INDEX(PlotData,MATCH($A95,PlotNumber,0),MATCH(O$3,PlotTitles,0))))&gt;(DATEVALUE(CompletionMonth&amp;CompletionYear)),$AB$21,TRUE,"")</f>
        <v/>
      </c>
      <c r="S95" s="104" t="str" cm="1">
        <f t="array" ref="S95">_xlfn.IFS(AND(A95&gt;NumberOfPlots,ISBLANK(INDEX(PlotData,MATCH($A95,PlotNumber,0),MATCH(B$3,PlotTitles,0)))),"",OR(AND(INDEX(PlotData,MATCH($A95,PlotNumber,0),MATCH("Tenure",PlotTitles,0))="Open market housing",INDEX(PlotData,MATCH($A95,PlotNumber,0),MATCH("Tenure detail",PlotTitles,0))="Private rented sector"),INDEX(PlotData,MATCH($A95,PlotNumber,0),MATCH("Tenure",PlotTitles,0))="Affordable rent"),"",ISNUMBER(INDEX(PlotData,MATCH($A95,PlotNumber,0),MATCH(S$3,PlotTitles,0)))=FALSE, $AB$22,TRUE,"")</f>
        <v/>
      </c>
      <c r="T95" s="104" t="str" cm="1">
        <f t="array" ref="T95">_xlfn.IFS(AND(A95&gt;NumberOfPlots,ISBLANK(INDEX(PlotData,MATCH($A95,PlotNumber,0),MATCH(B$3,PlotTitles,0)))),"",OR(AND(INDEX(PlotData,MATCH($A95,PlotNumber,0),MATCH("Tenure",PlotTitles,0))="Open market housing",INDEX(PlotData,MATCH($A95,PlotNumber,0),MATCH("Tenure detail",PlotTitles,0))="Private rented sector"),INDEX(PlotData,MATCH($A95,PlotNumber,0),MATCH("Tenure",PlotTitles,0))="Affordable rent"),"",INDEX(PlotData,MATCH($A95,PlotNumber,0),MATCH(S$3,PlotTitles,0))&lt;10000, $AB$23,TRUE,"")</f>
        <v/>
      </c>
      <c r="U95" s="104" t="str" cm="1">
        <f t="array" ref="U95">_xlfn.IFS(AND(A95&gt;NumberOfPlots,ISBLANK(INDEX(PlotData,MATCH($A95,PlotNumber,0),MATCH(B$3,PlotTitles,0)))),"",NOT(OR(AND(INDEX(PlotData,MATCH($A95,PlotNumber,0),MATCH("Tenure",PlotTitles,0))="Open market housing",INDEX(PlotData,MATCH($A95,PlotNumber,0),MATCH("Tenure detail",PlotTitles,0))="Private rented sector"),INDEX(PlotData,MATCH($A95,PlotNumber,0),MATCH("Tenure",PlotTitles,0))="Affordable rent")),"",NOT(INDEX(PlotData,MATCH($A95,PlotNumber,0),MATCH(S$3,PlotTitles,0))=0), $AB$24,TRUE,"")</f>
        <v/>
      </c>
      <c r="V95" s="114" t="str" cm="1">
        <f t="array" aca="1" ref="V95" ca="1">_xlfn.IFS(ISBLANK(NumberOfPlots),"Enter the number of homes on the 1_SetUp sheet",AND(A95&gt;NumberOfPlots,ISBLANK(INDEX(PlotData,MATCH($A95,PlotNumber,0),MATCH(B$3,PlotTitles,0)))),"No error",NOT(B95=""),B95,NOT(C95=""),C95,NOT(D95=""),D95,NOT(E95=""),E95,NOT(F95=""),F95,NOT(G95=""),G95,NOT(H95=""),H95,NOT(I95=""),I95,NOT(J95=""),J95,NOT(K95=""),K95,NOT(L95=""),L95,NOT(M95=""),M95,NOT(N95=""),N95,NOT(O95=""),O95,NOT(P95=""),P95,NOT(Q95=""),Q95,NOT(R95=""),R95,NOT(S95=""),S95,NOT(T95=""),T95,NOT(U95=""),U95,TRUE,"No error")</f>
        <v>Enter the number of homes on the 1_SetUp sheet</v>
      </c>
      <c r="W95" s="114" t="str">
        <f t="shared" ca="1" si="5"/>
        <v xml:space="preserve">The Borrower has not addressed the following error messages for Home ID 91: </v>
      </c>
    </row>
    <row r="96" spans="1:23">
      <c r="A96" s="123">
        <v>92</v>
      </c>
      <c r="B96" s="104" t="str" cm="1">
        <f t="array" ref="B96">_xlfn.IFS(AND(A96&gt;NumberOfPlots,ISBLANK(INDEX(PlotData,MATCH($A96,PlotNumber,0),MATCH(B$3,PlotTitles,0)))),"",ISNUMBER(INDEX(PlotData,MATCH($A96,PlotNumber,0),MATCH(B$3,PlotTitles,0)))=FALSE, $AB$5,TRUE,"")</f>
        <v/>
      </c>
      <c r="C96" s="104" t="str" cm="1">
        <f t="array" ref="C96">_xlfn.IFS(AND(A96&gt;NumberOfPlots,ISBLANK(INDEX(PlotData,MATCH($A96,PlotNumber,0),MATCH(B$3,PlotTitles,0)))),"",ISBLANK(INDEX(PlotData,MATCH($A96,PlotNumber,0),MATCH(C$3,PlotTitles,0))),$AB$6,TRUE,"")</f>
        <v/>
      </c>
      <c r="D96" s="104" t="str" cm="1">
        <f t="array" ref="D96">_xlfn.IFS(AND(A96&gt;NumberOfPlots,ISBLANK(INDEX(PlotData,MATCH($A96,PlotNumber,0),MATCH(B$3,PlotTitles,0)))),"",ISBLANK(INDEX(PlotData,MATCH($A96,PlotNumber,0),MATCH(D$3,PlotTitles,0))),$AB$7,TRUE,"")</f>
        <v/>
      </c>
      <c r="E96" s="104" t="str" cm="1">
        <f t="array" ref="E96">_xlfn.IFS(AND(A96&gt;NumberOfPlots,ISBLANK(INDEX(PlotData,MATCH($A96,PlotNumber,0),MATCH(B$3,PlotTitles,0)))),"",ISBLANK(INDEX(PlotData,MATCH($A96,PlotNumber,0),MATCH(E$3,PlotTitles,0))),$AB$8,TRUE,"")</f>
        <v/>
      </c>
      <c r="F96" s="104" t="str" cm="1">
        <f t="array" ref="F96">_xlfn.IFS(AND(A96&gt;NumberOfPlots,ISBLANK(INDEX(PlotData,MATCH($A96,PlotNumber,0),MATCH(B$3,PlotTitles,0)))),"",ISBLANK(INDEX(PlotData,MATCH($A96,PlotNumber,0),MATCH(F$3,PlotTitles,0))),$AB$9,TRUE,"")</f>
        <v/>
      </c>
      <c r="G96" s="104" t="str" cm="1">
        <f t="array" ref="G96">_xlfn.IFS(AND(A96&gt;NumberOfPlots,ISBLANK(INDEX(PlotData,MATCH($A96,PlotNumber,0),MATCH(B$3,PlotTitles,0)))),"",ISBLANK(INDEX(PlotData,MATCH($A96,PlotNumber,0),MATCH(G$3,PlotTitles,0))),$AB$10,TRUE,"")</f>
        <v/>
      </c>
      <c r="H96" s="104" t="str" cm="1">
        <f t="array" ref="H96">_xlfn.IFS(AND(A96&gt;NumberOfPlots,ISBLANK(INDEX(PlotData,MATCH($A96,PlotNumber,0),MATCH(B$3,PlotTitles,0)))),"",AND(ISBLANK(INDEX(PlotData,MATCH($A96,PlotNumber,0),MATCH(H$3,PlotTitles,0)))=FALSE,INDEX(PlotData,MATCH($A96,PlotNumber,0),MATCH(H$3,PlotTitles,0))&lt;500), $AB$11,TRUE,"")</f>
        <v/>
      </c>
      <c r="I96" s="104" t="str" cm="1">
        <f t="array" ref="I96">_xlfn.IFS(AND(A96&gt;NumberOfPlots,ISBLANK(INDEX(PlotData,MATCH($A96,PlotNumber,0),MATCH(B$3,PlotTitles,0)))),"",ISBLANK(INDEX(PlotData,MATCH($A96,PlotNumber,0),MATCH(I$3,PlotTitles,0))),$AB$12,TRUE,"")</f>
        <v/>
      </c>
      <c r="J96" s="104" t="str" cm="1">
        <f t="array" ref="J96">_xlfn.IFS(AND(A96&gt;NumberOfPlots,ISBLANK(INDEX(PlotData,MATCH($A96,PlotNumber,0),MATCH(B$3,PlotTitles,0)))),"",ISBLANK(INDEX(PlotData,MATCH($A96,PlotNumber,0),MATCH(J$3,PlotTitles,0))),$AB$13,TRUE,"")</f>
        <v/>
      </c>
      <c r="K96" s="182" t="str">
        <f t="shared" ca="1" si="3"/>
        <v/>
      </c>
      <c r="L96" s="104" t="str" cm="1">
        <f t="array" ref="L96">_xlfn.IFS(OR(ISBLANK(StartDateMonth),ISBLANK(StartDateYear)),"",AND(A96&gt;NumberOfPlots,ISBLANK(INDEX(PlotData,MATCH($A96,PlotNumber,0),MATCH(B$3,PlotTitles,0)))),"",ISBLANK(INDEX(PlotData,MATCH($A96,PlotNumber,0),MATCH(I$3,PlotTitles,0))),"",(DATEVALUE(INDEX(PlotData,MATCH($A96,PlotNumber,0),MATCH(I$3,PlotTitles,0))&amp;INDEX(PlotData,MATCH($A96,PlotNumber,0),MATCH(J$3,PlotTitles,0))))&lt;DATEVALUE(StartDateMonth&amp;StartDateYear),$AB$15,TRUE,"")</f>
        <v/>
      </c>
      <c r="M96" s="104" t="str" cm="1">
        <f t="array" ref="M96">_xlfn.IFS(OR(ISBLANK(StartDateMonth),ISBLANK(StartDateYear)),"",AND(A96&gt;NumberOfPlots,ISBLANK(INDEX(PlotData,MATCH($A96,PlotNumber,0),MATCH(B$3,PlotTitles,0)))),"",ISBLANK(INDEX(PlotData,MATCH($A96,PlotNumber,0),MATCH(I$3,PlotTitles,0))),"",CompletionMonth="","",(DATEVALUE(INDEX(PlotData,MATCH($A96,PlotNumber,0),MATCH(I$3,PlotTitles,0))&amp;INDEX(PlotData,MATCH($A96,PlotNumber,0),MATCH(J$3,PlotTitles,0))))&gt;(DATEVALUE(CompletionMonth&amp;CompletionYear)),$AB$16,TRUE,"")</f>
        <v/>
      </c>
      <c r="N96" s="104" t="str" cm="1">
        <f t="array" ref="N96">_xlfn.IFS(AND(A96&gt;NumberOfPlots,ISBLANK(INDEX(PlotData,MATCH($A96,PlotNumber,0),MATCH(B$3,PlotTitles,0)))),"",ISBLANK(INDEX(PlotData,MATCH($A96,PlotNumber,0),MATCH(N$3,PlotTitles,0))),$AB$17,TRUE,"")</f>
        <v/>
      </c>
      <c r="O96" s="104" t="str" cm="1">
        <f t="array" ref="O96">_xlfn.IFS(AND(A96&gt;NumberOfPlots,ISBLANK(INDEX(PlotData,MATCH($A96,PlotNumber,0),MATCH(B$3,PlotTitles,0)))),"",ISBLANK(INDEX(PlotData,MATCH($A96,PlotNumber,0),MATCH(O$3,PlotTitles,0))),$AB$18,TRUE,"")</f>
        <v/>
      </c>
      <c r="P96" s="182" t="str">
        <f t="shared" ca="1" si="4"/>
        <v/>
      </c>
      <c r="Q96" s="104" t="str" cm="1">
        <f t="array" ref="Q96">_xlfn.IFS(AND(A96&gt;NumberOfPlots,ISBLANK(INDEX(PlotData,MATCH($A96,PlotNumber,0),MATCH(B$3,PlotTitles,0)))),"",ISBLANK(INDEX(PlotData,MATCH($A96,PlotNumber,0),MATCH(N$3,PlotTitles,0))),"",(DATEVALUE(INDEX(PlotData,MATCH($A96,PlotNumber,0),MATCH(N$3,PlotTitles,0))&amp;INDEX(PlotData,MATCH($A96,PlotNumber,0),MATCH(O$3,PlotTitles,0))))&lt;(DATEVALUE(INDEX(PlotData,MATCH($A96,PlotNumber,0),MATCH(I$3,PlotTitles,0))&amp;INDEX(PlotData,MATCH($A96,PlotNumber,0),MATCH(J$3,PlotTitles,0)))),$AB$20,TRUE,"")</f>
        <v/>
      </c>
      <c r="R96" s="104" t="str" cm="1">
        <f t="array" ref="R96">_xlfn.IFS(OR(ISBLANK(StartDateMonth),ISBLANK(StartDateYear)),"",AND(A96&gt;NumberOfPlots,ISBLANK(INDEX(PlotData,MATCH($A96,PlotNumber,0),MATCH(B$3,PlotTitles,0)))),"",ISBLANK(INDEX(PlotData,MATCH($A96,PlotNumber,0),MATCH(N$3,PlotTitles,0))),"",CompletionMonth="","",(DATEVALUE(INDEX(PlotData,MATCH($A96,PlotNumber,0),MATCH(N$3,PlotTitles,0))&amp;INDEX(PlotData,MATCH($A96,PlotNumber,0),MATCH(O$3,PlotTitles,0))))&gt;(DATEVALUE(CompletionMonth&amp;CompletionYear)),$AB$21,TRUE,"")</f>
        <v/>
      </c>
      <c r="S96" s="104" t="str" cm="1">
        <f t="array" ref="S96">_xlfn.IFS(AND(A96&gt;NumberOfPlots,ISBLANK(INDEX(PlotData,MATCH($A96,PlotNumber,0),MATCH(B$3,PlotTitles,0)))),"",OR(AND(INDEX(PlotData,MATCH($A96,PlotNumber,0),MATCH("Tenure",PlotTitles,0))="Open market housing",INDEX(PlotData,MATCH($A96,PlotNumber,0),MATCH("Tenure detail",PlotTitles,0))="Private rented sector"),INDEX(PlotData,MATCH($A96,PlotNumber,0),MATCH("Tenure",PlotTitles,0))="Affordable rent"),"",ISNUMBER(INDEX(PlotData,MATCH($A96,PlotNumber,0),MATCH(S$3,PlotTitles,0)))=FALSE, $AB$22,TRUE,"")</f>
        <v/>
      </c>
      <c r="T96" s="104" t="str" cm="1">
        <f t="array" ref="T96">_xlfn.IFS(AND(A96&gt;NumberOfPlots,ISBLANK(INDEX(PlotData,MATCH($A96,PlotNumber,0),MATCH(B$3,PlotTitles,0)))),"",OR(AND(INDEX(PlotData,MATCH($A96,PlotNumber,0),MATCH("Tenure",PlotTitles,0))="Open market housing",INDEX(PlotData,MATCH($A96,PlotNumber,0),MATCH("Tenure detail",PlotTitles,0))="Private rented sector"),INDEX(PlotData,MATCH($A96,PlotNumber,0),MATCH("Tenure",PlotTitles,0))="Affordable rent"),"",INDEX(PlotData,MATCH($A96,PlotNumber,0),MATCH(S$3,PlotTitles,0))&lt;10000, $AB$23,TRUE,"")</f>
        <v/>
      </c>
      <c r="U96" s="104" t="str" cm="1">
        <f t="array" ref="U96">_xlfn.IFS(AND(A96&gt;NumberOfPlots,ISBLANK(INDEX(PlotData,MATCH($A96,PlotNumber,0),MATCH(B$3,PlotTitles,0)))),"",NOT(OR(AND(INDEX(PlotData,MATCH($A96,PlotNumber,0),MATCH("Tenure",PlotTitles,0))="Open market housing",INDEX(PlotData,MATCH($A96,PlotNumber,0),MATCH("Tenure detail",PlotTitles,0))="Private rented sector"),INDEX(PlotData,MATCH($A96,PlotNumber,0),MATCH("Tenure",PlotTitles,0))="Affordable rent")),"",NOT(INDEX(PlotData,MATCH($A96,PlotNumber,0),MATCH(S$3,PlotTitles,0))=0), $AB$24,TRUE,"")</f>
        <v/>
      </c>
      <c r="V96" s="114" t="str" cm="1">
        <f t="array" aca="1" ref="V96" ca="1">_xlfn.IFS(ISBLANK(NumberOfPlots),"Enter the number of homes on the 1_SetUp sheet",AND(A96&gt;NumberOfPlots,ISBLANK(INDEX(PlotData,MATCH($A96,PlotNumber,0),MATCH(B$3,PlotTitles,0)))),"No error",NOT(B96=""),B96,NOT(C96=""),C96,NOT(D96=""),D96,NOT(E96=""),E96,NOT(F96=""),F96,NOT(G96=""),G96,NOT(H96=""),H96,NOT(I96=""),I96,NOT(J96=""),J96,NOT(K96=""),K96,NOT(L96=""),L96,NOT(M96=""),M96,NOT(N96=""),N96,NOT(O96=""),O96,NOT(P96=""),P96,NOT(Q96=""),Q96,NOT(R96=""),R96,NOT(S96=""),S96,NOT(T96=""),T96,NOT(U96=""),U96,TRUE,"No error")</f>
        <v>Enter the number of homes on the 1_SetUp sheet</v>
      </c>
      <c r="W96" s="114" t="str">
        <f t="shared" ca="1" si="5"/>
        <v xml:space="preserve">The Borrower has not addressed the following error messages for Home ID 92: </v>
      </c>
    </row>
    <row r="97" spans="1:23">
      <c r="A97" s="123">
        <v>93</v>
      </c>
      <c r="B97" s="104" t="str" cm="1">
        <f t="array" ref="B97">_xlfn.IFS(AND(A97&gt;NumberOfPlots,ISBLANK(INDEX(PlotData,MATCH($A97,PlotNumber,0),MATCH(B$3,PlotTitles,0)))),"",ISNUMBER(INDEX(PlotData,MATCH($A97,PlotNumber,0),MATCH(B$3,PlotTitles,0)))=FALSE, $AB$5,TRUE,"")</f>
        <v/>
      </c>
      <c r="C97" s="104" t="str" cm="1">
        <f t="array" ref="C97">_xlfn.IFS(AND(A97&gt;NumberOfPlots,ISBLANK(INDEX(PlotData,MATCH($A97,PlotNumber,0),MATCH(B$3,PlotTitles,0)))),"",ISBLANK(INDEX(PlotData,MATCH($A97,PlotNumber,0),MATCH(C$3,PlotTitles,0))),$AB$6,TRUE,"")</f>
        <v/>
      </c>
      <c r="D97" s="104" t="str" cm="1">
        <f t="array" ref="D97">_xlfn.IFS(AND(A97&gt;NumberOfPlots,ISBLANK(INDEX(PlotData,MATCH($A97,PlotNumber,0),MATCH(B$3,PlotTitles,0)))),"",ISBLANK(INDEX(PlotData,MATCH($A97,PlotNumber,0),MATCH(D$3,PlotTitles,0))),$AB$7,TRUE,"")</f>
        <v/>
      </c>
      <c r="E97" s="104" t="str" cm="1">
        <f t="array" ref="E97">_xlfn.IFS(AND(A97&gt;NumberOfPlots,ISBLANK(INDEX(PlotData,MATCH($A97,PlotNumber,0),MATCH(B$3,PlotTitles,0)))),"",ISBLANK(INDEX(PlotData,MATCH($A97,PlotNumber,0),MATCH(E$3,PlotTitles,0))),$AB$8,TRUE,"")</f>
        <v/>
      </c>
      <c r="F97" s="104" t="str" cm="1">
        <f t="array" ref="F97">_xlfn.IFS(AND(A97&gt;NumberOfPlots,ISBLANK(INDEX(PlotData,MATCH($A97,PlotNumber,0),MATCH(B$3,PlotTitles,0)))),"",ISBLANK(INDEX(PlotData,MATCH($A97,PlotNumber,0),MATCH(F$3,PlotTitles,0))),$AB$9,TRUE,"")</f>
        <v/>
      </c>
      <c r="G97" s="104" t="str" cm="1">
        <f t="array" ref="G97">_xlfn.IFS(AND(A97&gt;NumberOfPlots,ISBLANK(INDEX(PlotData,MATCH($A97,PlotNumber,0),MATCH(B$3,PlotTitles,0)))),"",ISBLANK(INDEX(PlotData,MATCH($A97,PlotNumber,0),MATCH(G$3,PlotTitles,0))),$AB$10,TRUE,"")</f>
        <v/>
      </c>
      <c r="H97" s="104" t="str" cm="1">
        <f t="array" ref="H97">_xlfn.IFS(AND(A97&gt;NumberOfPlots,ISBLANK(INDEX(PlotData,MATCH($A97,PlotNumber,0),MATCH(B$3,PlotTitles,0)))),"",AND(ISBLANK(INDEX(PlotData,MATCH($A97,PlotNumber,0),MATCH(H$3,PlotTitles,0)))=FALSE,INDEX(PlotData,MATCH($A97,PlotNumber,0),MATCH(H$3,PlotTitles,0))&lt;500), $AB$11,TRUE,"")</f>
        <v/>
      </c>
      <c r="I97" s="104" t="str" cm="1">
        <f t="array" ref="I97">_xlfn.IFS(AND(A97&gt;NumberOfPlots,ISBLANK(INDEX(PlotData,MATCH($A97,PlotNumber,0),MATCH(B$3,PlotTitles,0)))),"",ISBLANK(INDEX(PlotData,MATCH($A97,PlotNumber,0),MATCH(I$3,PlotTitles,0))),$AB$12,TRUE,"")</f>
        <v/>
      </c>
      <c r="J97" s="104" t="str" cm="1">
        <f t="array" ref="J97">_xlfn.IFS(AND(A97&gt;NumberOfPlots,ISBLANK(INDEX(PlotData,MATCH($A97,PlotNumber,0),MATCH(B$3,PlotTitles,0)))),"",ISBLANK(INDEX(PlotData,MATCH($A97,PlotNumber,0),MATCH(J$3,PlotTitles,0))),$AB$13,TRUE,"")</f>
        <v/>
      </c>
      <c r="K97" s="182" t="str">
        <f t="shared" ca="1" si="3"/>
        <v/>
      </c>
      <c r="L97" s="104" t="str" cm="1">
        <f t="array" ref="L97">_xlfn.IFS(OR(ISBLANK(StartDateMonth),ISBLANK(StartDateYear)),"",AND(A97&gt;NumberOfPlots,ISBLANK(INDEX(PlotData,MATCH($A97,PlotNumber,0),MATCH(B$3,PlotTitles,0)))),"",ISBLANK(INDEX(PlotData,MATCH($A97,PlotNumber,0),MATCH(I$3,PlotTitles,0))),"",(DATEVALUE(INDEX(PlotData,MATCH($A97,PlotNumber,0),MATCH(I$3,PlotTitles,0))&amp;INDEX(PlotData,MATCH($A97,PlotNumber,0),MATCH(J$3,PlotTitles,0))))&lt;DATEVALUE(StartDateMonth&amp;StartDateYear),$AB$15,TRUE,"")</f>
        <v/>
      </c>
      <c r="M97" s="104" t="str" cm="1">
        <f t="array" ref="M97">_xlfn.IFS(OR(ISBLANK(StartDateMonth),ISBLANK(StartDateYear)),"",AND(A97&gt;NumberOfPlots,ISBLANK(INDEX(PlotData,MATCH($A97,PlotNumber,0),MATCH(B$3,PlotTitles,0)))),"",ISBLANK(INDEX(PlotData,MATCH($A97,PlotNumber,0),MATCH(I$3,PlotTitles,0))),"",CompletionMonth="","",(DATEVALUE(INDEX(PlotData,MATCH($A97,PlotNumber,0),MATCH(I$3,PlotTitles,0))&amp;INDEX(PlotData,MATCH($A97,PlotNumber,0),MATCH(J$3,PlotTitles,0))))&gt;(DATEVALUE(CompletionMonth&amp;CompletionYear)),$AB$16,TRUE,"")</f>
        <v/>
      </c>
      <c r="N97" s="104" t="str" cm="1">
        <f t="array" ref="N97">_xlfn.IFS(AND(A97&gt;NumberOfPlots,ISBLANK(INDEX(PlotData,MATCH($A97,PlotNumber,0),MATCH(B$3,PlotTitles,0)))),"",ISBLANK(INDEX(PlotData,MATCH($A97,PlotNumber,0),MATCH(N$3,PlotTitles,0))),$AB$17,TRUE,"")</f>
        <v/>
      </c>
      <c r="O97" s="104" t="str" cm="1">
        <f t="array" ref="O97">_xlfn.IFS(AND(A97&gt;NumberOfPlots,ISBLANK(INDEX(PlotData,MATCH($A97,PlotNumber,0),MATCH(B$3,PlotTitles,0)))),"",ISBLANK(INDEX(PlotData,MATCH($A97,PlotNumber,0),MATCH(O$3,PlotTitles,0))),$AB$18,TRUE,"")</f>
        <v/>
      </c>
      <c r="P97" s="182" t="str">
        <f t="shared" ca="1" si="4"/>
        <v/>
      </c>
      <c r="Q97" s="104" t="str" cm="1">
        <f t="array" ref="Q97">_xlfn.IFS(AND(A97&gt;NumberOfPlots,ISBLANK(INDEX(PlotData,MATCH($A97,PlotNumber,0),MATCH(B$3,PlotTitles,0)))),"",ISBLANK(INDEX(PlotData,MATCH($A97,PlotNumber,0),MATCH(N$3,PlotTitles,0))),"",(DATEVALUE(INDEX(PlotData,MATCH($A97,PlotNumber,0),MATCH(N$3,PlotTitles,0))&amp;INDEX(PlotData,MATCH($A97,PlotNumber,0),MATCH(O$3,PlotTitles,0))))&lt;(DATEVALUE(INDEX(PlotData,MATCH($A97,PlotNumber,0),MATCH(I$3,PlotTitles,0))&amp;INDEX(PlotData,MATCH($A97,PlotNumber,0),MATCH(J$3,PlotTitles,0)))),$AB$20,TRUE,"")</f>
        <v/>
      </c>
      <c r="R97" s="104" t="str" cm="1">
        <f t="array" ref="R97">_xlfn.IFS(OR(ISBLANK(StartDateMonth),ISBLANK(StartDateYear)),"",AND(A97&gt;NumberOfPlots,ISBLANK(INDEX(PlotData,MATCH($A97,PlotNumber,0),MATCH(B$3,PlotTitles,0)))),"",ISBLANK(INDEX(PlotData,MATCH($A97,PlotNumber,0),MATCH(N$3,PlotTitles,0))),"",CompletionMonth="","",(DATEVALUE(INDEX(PlotData,MATCH($A97,PlotNumber,0),MATCH(N$3,PlotTitles,0))&amp;INDEX(PlotData,MATCH($A97,PlotNumber,0),MATCH(O$3,PlotTitles,0))))&gt;(DATEVALUE(CompletionMonth&amp;CompletionYear)),$AB$21,TRUE,"")</f>
        <v/>
      </c>
      <c r="S97" s="104" t="str" cm="1">
        <f t="array" ref="S97">_xlfn.IFS(AND(A97&gt;NumberOfPlots,ISBLANK(INDEX(PlotData,MATCH($A97,PlotNumber,0),MATCH(B$3,PlotTitles,0)))),"",OR(AND(INDEX(PlotData,MATCH($A97,PlotNumber,0),MATCH("Tenure",PlotTitles,0))="Open market housing",INDEX(PlotData,MATCH($A97,PlotNumber,0),MATCH("Tenure detail",PlotTitles,0))="Private rented sector"),INDEX(PlotData,MATCH($A97,PlotNumber,0),MATCH("Tenure",PlotTitles,0))="Affordable rent"),"",ISNUMBER(INDEX(PlotData,MATCH($A97,PlotNumber,0),MATCH(S$3,PlotTitles,0)))=FALSE, $AB$22,TRUE,"")</f>
        <v/>
      </c>
      <c r="T97" s="104" t="str" cm="1">
        <f t="array" ref="T97">_xlfn.IFS(AND(A97&gt;NumberOfPlots,ISBLANK(INDEX(PlotData,MATCH($A97,PlotNumber,0),MATCH(B$3,PlotTitles,0)))),"",OR(AND(INDEX(PlotData,MATCH($A97,PlotNumber,0),MATCH("Tenure",PlotTitles,0))="Open market housing",INDEX(PlotData,MATCH($A97,PlotNumber,0),MATCH("Tenure detail",PlotTitles,0))="Private rented sector"),INDEX(PlotData,MATCH($A97,PlotNumber,0),MATCH("Tenure",PlotTitles,0))="Affordable rent"),"",INDEX(PlotData,MATCH($A97,PlotNumber,0),MATCH(S$3,PlotTitles,0))&lt;10000, $AB$23,TRUE,"")</f>
        <v/>
      </c>
      <c r="U97" s="104" t="str" cm="1">
        <f t="array" ref="U97">_xlfn.IFS(AND(A97&gt;NumberOfPlots,ISBLANK(INDEX(PlotData,MATCH($A97,PlotNumber,0),MATCH(B$3,PlotTitles,0)))),"",NOT(OR(AND(INDEX(PlotData,MATCH($A97,PlotNumber,0),MATCH("Tenure",PlotTitles,0))="Open market housing",INDEX(PlotData,MATCH($A97,PlotNumber,0),MATCH("Tenure detail",PlotTitles,0))="Private rented sector"),INDEX(PlotData,MATCH($A97,PlotNumber,0),MATCH("Tenure",PlotTitles,0))="Affordable rent")),"",NOT(INDEX(PlotData,MATCH($A97,PlotNumber,0),MATCH(S$3,PlotTitles,0))=0), $AB$24,TRUE,"")</f>
        <v/>
      </c>
      <c r="V97" s="114" t="str" cm="1">
        <f t="array" aca="1" ref="V97" ca="1">_xlfn.IFS(ISBLANK(NumberOfPlots),"Enter the number of homes on the 1_SetUp sheet",AND(A97&gt;NumberOfPlots,ISBLANK(INDEX(PlotData,MATCH($A97,PlotNumber,0),MATCH(B$3,PlotTitles,0)))),"No error",NOT(B97=""),B97,NOT(C97=""),C97,NOT(D97=""),D97,NOT(E97=""),E97,NOT(F97=""),F97,NOT(G97=""),G97,NOT(H97=""),H97,NOT(I97=""),I97,NOT(J97=""),J97,NOT(K97=""),K97,NOT(L97=""),L97,NOT(M97=""),M97,NOT(N97=""),N97,NOT(O97=""),O97,NOT(P97=""),P97,NOT(Q97=""),Q97,NOT(R97=""),R97,NOT(S97=""),S97,NOT(T97=""),T97,NOT(U97=""),U97,TRUE,"No error")</f>
        <v>Enter the number of homes on the 1_SetUp sheet</v>
      </c>
      <c r="W97" s="114" t="str">
        <f t="shared" ca="1" si="5"/>
        <v xml:space="preserve">The Borrower has not addressed the following error messages for Home ID 93: </v>
      </c>
    </row>
    <row r="98" spans="1:23">
      <c r="A98" s="123">
        <v>94</v>
      </c>
      <c r="B98" s="104" t="str" cm="1">
        <f t="array" ref="B98">_xlfn.IFS(AND(A98&gt;NumberOfPlots,ISBLANK(INDEX(PlotData,MATCH($A98,PlotNumber,0),MATCH(B$3,PlotTitles,0)))),"",ISNUMBER(INDEX(PlotData,MATCH($A98,PlotNumber,0),MATCH(B$3,PlotTitles,0)))=FALSE, $AB$5,TRUE,"")</f>
        <v/>
      </c>
      <c r="C98" s="104" t="str" cm="1">
        <f t="array" ref="C98">_xlfn.IFS(AND(A98&gt;NumberOfPlots,ISBLANK(INDEX(PlotData,MATCH($A98,PlotNumber,0),MATCH(B$3,PlotTitles,0)))),"",ISBLANK(INDEX(PlotData,MATCH($A98,PlotNumber,0),MATCH(C$3,PlotTitles,0))),$AB$6,TRUE,"")</f>
        <v/>
      </c>
      <c r="D98" s="104" t="str" cm="1">
        <f t="array" ref="D98">_xlfn.IFS(AND(A98&gt;NumberOfPlots,ISBLANK(INDEX(PlotData,MATCH($A98,PlotNumber,0),MATCH(B$3,PlotTitles,0)))),"",ISBLANK(INDEX(PlotData,MATCH($A98,PlotNumber,0),MATCH(D$3,PlotTitles,0))),$AB$7,TRUE,"")</f>
        <v/>
      </c>
      <c r="E98" s="104" t="str" cm="1">
        <f t="array" ref="E98">_xlfn.IFS(AND(A98&gt;NumberOfPlots,ISBLANK(INDEX(PlotData,MATCH($A98,PlotNumber,0),MATCH(B$3,PlotTitles,0)))),"",ISBLANK(INDEX(PlotData,MATCH($A98,PlotNumber,0),MATCH(E$3,PlotTitles,0))),$AB$8,TRUE,"")</f>
        <v/>
      </c>
      <c r="F98" s="104" t="str" cm="1">
        <f t="array" ref="F98">_xlfn.IFS(AND(A98&gt;NumberOfPlots,ISBLANK(INDEX(PlotData,MATCH($A98,PlotNumber,0),MATCH(B$3,PlotTitles,0)))),"",ISBLANK(INDEX(PlotData,MATCH($A98,PlotNumber,0),MATCH(F$3,PlotTitles,0))),$AB$9,TRUE,"")</f>
        <v/>
      </c>
      <c r="G98" s="104" t="str" cm="1">
        <f t="array" ref="G98">_xlfn.IFS(AND(A98&gt;NumberOfPlots,ISBLANK(INDEX(PlotData,MATCH($A98,PlotNumber,0),MATCH(B$3,PlotTitles,0)))),"",ISBLANK(INDEX(PlotData,MATCH($A98,PlotNumber,0),MATCH(G$3,PlotTitles,0))),$AB$10,TRUE,"")</f>
        <v/>
      </c>
      <c r="H98" s="104" t="str" cm="1">
        <f t="array" ref="H98">_xlfn.IFS(AND(A98&gt;NumberOfPlots,ISBLANK(INDEX(PlotData,MATCH($A98,PlotNumber,0),MATCH(B$3,PlotTitles,0)))),"",AND(ISBLANK(INDEX(PlotData,MATCH($A98,PlotNumber,0),MATCH(H$3,PlotTitles,0)))=FALSE,INDEX(PlotData,MATCH($A98,PlotNumber,0),MATCH(H$3,PlotTitles,0))&lt;500), $AB$11,TRUE,"")</f>
        <v/>
      </c>
      <c r="I98" s="104" t="str" cm="1">
        <f t="array" ref="I98">_xlfn.IFS(AND(A98&gt;NumberOfPlots,ISBLANK(INDEX(PlotData,MATCH($A98,PlotNumber,0),MATCH(B$3,PlotTitles,0)))),"",ISBLANK(INDEX(PlotData,MATCH($A98,PlotNumber,0),MATCH(I$3,PlotTitles,0))),$AB$12,TRUE,"")</f>
        <v/>
      </c>
      <c r="J98" s="104" t="str" cm="1">
        <f t="array" ref="J98">_xlfn.IFS(AND(A98&gt;NumberOfPlots,ISBLANK(INDEX(PlotData,MATCH($A98,PlotNumber,0),MATCH(B$3,PlotTitles,0)))),"",ISBLANK(INDEX(PlotData,MATCH($A98,PlotNumber,0),MATCH(J$3,PlotTitles,0))),$AB$13,TRUE,"")</f>
        <v/>
      </c>
      <c r="K98" s="182" t="str">
        <f t="shared" ca="1" si="3"/>
        <v/>
      </c>
      <c r="L98" s="104" t="str" cm="1">
        <f t="array" ref="L98">_xlfn.IFS(OR(ISBLANK(StartDateMonth),ISBLANK(StartDateYear)),"",AND(A98&gt;NumberOfPlots,ISBLANK(INDEX(PlotData,MATCH($A98,PlotNumber,0),MATCH(B$3,PlotTitles,0)))),"",ISBLANK(INDEX(PlotData,MATCH($A98,PlotNumber,0),MATCH(I$3,PlotTitles,0))),"",(DATEVALUE(INDEX(PlotData,MATCH($A98,PlotNumber,0),MATCH(I$3,PlotTitles,0))&amp;INDEX(PlotData,MATCH($A98,PlotNumber,0),MATCH(J$3,PlotTitles,0))))&lt;DATEVALUE(StartDateMonth&amp;StartDateYear),$AB$15,TRUE,"")</f>
        <v/>
      </c>
      <c r="M98" s="104" t="str" cm="1">
        <f t="array" ref="M98">_xlfn.IFS(OR(ISBLANK(StartDateMonth),ISBLANK(StartDateYear)),"",AND(A98&gt;NumberOfPlots,ISBLANK(INDEX(PlotData,MATCH($A98,PlotNumber,0),MATCH(B$3,PlotTitles,0)))),"",ISBLANK(INDEX(PlotData,MATCH($A98,PlotNumber,0),MATCH(I$3,PlotTitles,0))),"",CompletionMonth="","",(DATEVALUE(INDEX(PlotData,MATCH($A98,PlotNumber,0),MATCH(I$3,PlotTitles,0))&amp;INDEX(PlotData,MATCH($A98,PlotNumber,0),MATCH(J$3,PlotTitles,0))))&gt;(DATEVALUE(CompletionMonth&amp;CompletionYear)),$AB$16,TRUE,"")</f>
        <v/>
      </c>
      <c r="N98" s="104" t="str" cm="1">
        <f t="array" ref="N98">_xlfn.IFS(AND(A98&gt;NumberOfPlots,ISBLANK(INDEX(PlotData,MATCH($A98,PlotNumber,0),MATCH(B$3,PlotTitles,0)))),"",ISBLANK(INDEX(PlotData,MATCH($A98,PlotNumber,0),MATCH(N$3,PlotTitles,0))),$AB$17,TRUE,"")</f>
        <v/>
      </c>
      <c r="O98" s="104" t="str" cm="1">
        <f t="array" ref="O98">_xlfn.IFS(AND(A98&gt;NumberOfPlots,ISBLANK(INDEX(PlotData,MATCH($A98,PlotNumber,0),MATCH(B$3,PlotTitles,0)))),"",ISBLANK(INDEX(PlotData,MATCH($A98,PlotNumber,0),MATCH(O$3,PlotTitles,0))),$AB$18,TRUE,"")</f>
        <v/>
      </c>
      <c r="P98" s="182" t="str">
        <f t="shared" ca="1" si="4"/>
        <v/>
      </c>
      <c r="Q98" s="104" t="str" cm="1">
        <f t="array" ref="Q98">_xlfn.IFS(AND(A98&gt;NumberOfPlots,ISBLANK(INDEX(PlotData,MATCH($A98,PlotNumber,0),MATCH(B$3,PlotTitles,0)))),"",ISBLANK(INDEX(PlotData,MATCH($A98,PlotNumber,0),MATCH(N$3,PlotTitles,0))),"",(DATEVALUE(INDEX(PlotData,MATCH($A98,PlotNumber,0),MATCH(N$3,PlotTitles,0))&amp;INDEX(PlotData,MATCH($A98,PlotNumber,0),MATCH(O$3,PlotTitles,0))))&lt;(DATEVALUE(INDEX(PlotData,MATCH($A98,PlotNumber,0),MATCH(I$3,PlotTitles,0))&amp;INDEX(PlotData,MATCH($A98,PlotNumber,0),MATCH(J$3,PlotTitles,0)))),$AB$20,TRUE,"")</f>
        <v/>
      </c>
      <c r="R98" s="104" t="str" cm="1">
        <f t="array" ref="R98">_xlfn.IFS(OR(ISBLANK(StartDateMonth),ISBLANK(StartDateYear)),"",AND(A98&gt;NumberOfPlots,ISBLANK(INDEX(PlotData,MATCH($A98,PlotNumber,0),MATCH(B$3,PlotTitles,0)))),"",ISBLANK(INDEX(PlotData,MATCH($A98,PlotNumber,0),MATCH(N$3,PlotTitles,0))),"",CompletionMonth="","",(DATEVALUE(INDEX(PlotData,MATCH($A98,PlotNumber,0),MATCH(N$3,PlotTitles,0))&amp;INDEX(PlotData,MATCH($A98,PlotNumber,0),MATCH(O$3,PlotTitles,0))))&gt;(DATEVALUE(CompletionMonth&amp;CompletionYear)),$AB$21,TRUE,"")</f>
        <v/>
      </c>
      <c r="S98" s="104" t="str" cm="1">
        <f t="array" ref="S98">_xlfn.IFS(AND(A98&gt;NumberOfPlots,ISBLANK(INDEX(PlotData,MATCH($A98,PlotNumber,0),MATCH(B$3,PlotTitles,0)))),"",OR(AND(INDEX(PlotData,MATCH($A98,PlotNumber,0),MATCH("Tenure",PlotTitles,0))="Open market housing",INDEX(PlotData,MATCH($A98,PlotNumber,0),MATCH("Tenure detail",PlotTitles,0))="Private rented sector"),INDEX(PlotData,MATCH($A98,PlotNumber,0),MATCH("Tenure",PlotTitles,0))="Affordable rent"),"",ISNUMBER(INDEX(PlotData,MATCH($A98,PlotNumber,0),MATCH(S$3,PlotTitles,0)))=FALSE, $AB$22,TRUE,"")</f>
        <v/>
      </c>
      <c r="T98" s="104" t="str" cm="1">
        <f t="array" ref="T98">_xlfn.IFS(AND(A98&gt;NumberOfPlots,ISBLANK(INDEX(PlotData,MATCH($A98,PlotNumber,0),MATCH(B$3,PlotTitles,0)))),"",OR(AND(INDEX(PlotData,MATCH($A98,PlotNumber,0),MATCH("Tenure",PlotTitles,0))="Open market housing",INDEX(PlotData,MATCH($A98,PlotNumber,0),MATCH("Tenure detail",PlotTitles,0))="Private rented sector"),INDEX(PlotData,MATCH($A98,PlotNumber,0),MATCH("Tenure",PlotTitles,0))="Affordable rent"),"",INDEX(PlotData,MATCH($A98,PlotNumber,0),MATCH(S$3,PlotTitles,0))&lt;10000, $AB$23,TRUE,"")</f>
        <v/>
      </c>
      <c r="U98" s="104" t="str" cm="1">
        <f t="array" ref="U98">_xlfn.IFS(AND(A98&gt;NumberOfPlots,ISBLANK(INDEX(PlotData,MATCH($A98,PlotNumber,0),MATCH(B$3,PlotTitles,0)))),"",NOT(OR(AND(INDEX(PlotData,MATCH($A98,PlotNumber,0),MATCH("Tenure",PlotTitles,0))="Open market housing",INDEX(PlotData,MATCH($A98,PlotNumber,0),MATCH("Tenure detail",PlotTitles,0))="Private rented sector"),INDEX(PlotData,MATCH($A98,PlotNumber,0),MATCH("Tenure",PlotTitles,0))="Affordable rent")),"",NOT(INDEX(PlotData,MATCH($A98,PlotNumber,0),MATCH(S$3,PlotTitles,0))=0), $AB$24,TRUE,"")</f>
        <v/>
      </c>
      <c r="V98" s="114" t="str" cm="1">
        <f t="array" aca="1" ref="V98" ca="1">_xlfn.IFS(ISBLANK(NumberOfPlots),"Enter the number of homes on the 1_SetUp sheet",AND(A98&gt;NumberOfPlots,ISBLANK(INDEX(PlotData,MATCH($A98,PlotNumber,0),MATCH(B$3,PlotTitles,0)))),"No error",NOT(B98=""),B98,NOT(C98=""),C98,NOT(D98=""),D98,NOT(E98=""),E98,NOT(F98=""),F98,NOT(G98=""),G98,NOT(H98=""),H98,NOT(I98=""),I98,NOT(J98=""),J98,NOT(K98=""),K98,NOT(L98=""),L98,NOT(M98=""),M98,NOT(N98=""),N98,NOT(O98=""),O98,NOT(P98=""),P98,NOT(Q98=""),Q98,NOT(R98=""),R98,NOT(S98=""),S98,NOT(T98=""),T98,NOT(U98=""),U98,TRUE,"No error")</f>
        <v>Enter the number of homes on the 1_SetUp sheet</v>
      </c>
      <c r="W98" s="114" t="str">
        <f t="shared" ca="1" si="5"/>
        <v xml:space="preserve">The Borrower has not addressed the following error messages for Home ID 94: </v>
      </c>
    </row>
    <row r="99" spans="1:23">
      <c r="A99" s="123">
        <v>95</v>
      </c>
      <c r="B99" s="104" t="str" cm="1">
        <f t="array" ref="B99">_xlfn.IFS(AND(A99&gt;NumberOfPlots,ISBLANK(INDEX(PlotData,MATCH($A99,PlotNumber,0),MATCH(B$3,PlotTitles,0)))),"",ISNUMBER(INDEX(PlotData,MATCH($A99,PlotNumber,0),MATCH(B$3,PlotTitles,0)))=FALSE, $AB$5,TRUE,"")</f>
        <v/>
      </c>
      <c r="C99" s="104" t="str" cm="1">
        <f t="array" ref="C99">_xlfn.IFS(AND(A99&gt;NumberOfPlots,ISBLANK(INDEX(PlotData,MATCH($A99,PlotNumber,0),MATCH(B$3,PlotTitles,0)))),"",ISBLANK(INDEX(PlotData,MATCH($A99,PlotNumber,0),MATCH(C$3,PlotTitles,0))),$AB$6,TRUE,"")</f>
        <v/>
      </c>
      <c r="D99" s="104" t="str" cm="1">
        <f t="array" ref="D99">_xlfn.IFS(AND(A99&gt;NumberOfPlots,ISBLANK(INDEX(PlotData,MATCH($A99,PlotNumber,0),MATCH(B$3,PlotTitles,0)))),"",ISBLANK(INDEX(PlotData,MATCH($A99,PlotNumber,0),MATCH(D$3,PlotTitles,0))),$AB$7,TRUE,"")</f>
        <v/>
      </c>
      <c r="E99" s="104" t="str" cm="1">
        <f t="array" ref="E99">_xlfn.IFS(AND(A99&gt;NumberOfPlots,ISBLANK(INDEX(PlotData,MATCH($A99,PlotNumber,0),MATCH(B$3,PlotTitles,0)))),"",ISBLANK(INDEX(PlotData,MATCH($A99,PlotNumber,0),MATCH(E$3,PlotTitles,0))),$AB$8,TRUE,"")</f>
        <v/>
      </c>
      <c r="F99" s="104" t="str" cm="1">
        <f t="array" ref="F99">_xlfn.IFS(AND(A99&gt;NumberOfPlots,ISBLANK(INDEX(PlotData,MATCH($A99,PlotNumber,0),MATCH(B$3,PlotTitles,0)))),"",ISBLANK(INDEX(PlotData,MATCH($A99,PlotNumber,0),MATCH(F$3,PlotTitles,0))),$AB$9,TRUE,"")</f>
        <v/>
      </c>
      <c r="G99" s="104" t="str" cm="1">
        <f t="array" ref="G99">_xlfn.IFS(AND(A99&gt;NumberOfPlots,ISBLANK(INDEX(PlotData,MATCH($A99,PlotNumber,0),MATCH(B$3,PlotTitles,0)))),"",ISBLANK(INDEX(PlotData,MATCH($A99,PlotNumber,0),MATCH(G$3,PlotTitles,0))),$AB$10,TRUE,"")</f>
        <v/>
      </c>
      <c r="H99" s="104" t="str" cm="1">
        <f t="array" ref="H99">_xlfn.IFS(AND(A99&gt;NumberOfPlots,ISBLANK(INDEX(PlotData,MATCH($A99,PlotNumber,0),MATCH(B$3,PlotTitles,0)))),"",AND(ISBLANK(INDEX(PlotData,MATCH($A99,PlotNumber,0),MATCH(H$3,PlotTitles,0)))=FALSE,INDEX(PlotData,MATCH($A99,PlotNumber,0),MATCH(H$3,PlotTitles,0))&lt;500), $AB$11,TRUE,"")</f>
        <v/>
      </c>
      <c r="I99" s="104" t="str" cm="1">
        <f t="array" ref="I99">_xlfn.IFS(AND(A99&gt;NumberOfPlots,ISBLANK(INDEX(PlotData,MATCH($A99,PlotNumber,0),MATCH(B$3,PlotTitles,0)))),"",ISBLANK(INDEX(PlotData,MATCH($A99,PlotNumber,0),MATCH(I$3,PlotTitles,0))),$AB$12,TRUE,"")</f>
        <v/>
      </c>
      <c r="J99" s="104" t="str" cm="1">
        <f t="array" ref="J99">_xlfn.IFS(AND(A99&gt;NumberOfPlots,ISBLANK(INDEX(PlotData,MATCH($A99,PlotNumber,0),MATCH(B$3,PlotTitles,0)))),"",ISBLANK(INDEX(PlotData,MATCH($A99,PlotNumber,0),MATCH(J$3,PlotTitles,0))),$AB$13,TRUE,"")</f>
        <v/>
      </c>
      <c r="K99" s="182" t="str">
        <f t="shared" ca="1" si="3"/>
        <v/>
      </c>
      <c r="L99" s="104" t="str" cm="1">
        <f t="array" ref="L99">_xlfn.IFS(OR(ISBLANK(StartDateMonth),ISBLANK(StartDateYear)),"",AND(A99&gt;NumberOfPlots,ISBLANK(INDEX(PlotData,MATCH($A99,PlotNumber,0),MATCH(B$3,PlotTitles,0)))),"",ISBLANK(INDEX(PlotData,MATCH($A99,PlotNumber,0),MATCH(I$3,PlotTitles,0))),"",(DATEVALUE(INDEX(PlotData,MATCH($A99,PlotNumber,0),MATCH(I$3,PlotTitles,0))&amp;INDEX(PlotData,MATCH($A99,PlotNumber,0),MATCH(J$3,PlotTitles,0))))&lt;DATEVALUE(StartDateMonth&amp;StartDateYear),$AB$15,TRUE,"")</f>
        <v/>
      </c>
      <c r="M99" s="104" t="str" cm="1">
        <f t="array" ref="M99">_xlfn.IFS(OR(ISBLANK(StartDateMonth),ISBLANK(StartDateYear)),"",AND(A99&gt;NumberOfPlots,ISBLANK(INDEX(PlotData,MATCH($A99,PlotNumber,0),MATCH(B$3,PlotTitles,0)))),"",ISBLANK(INDEX(PlotData,MATCH($A99,PlotNumber,0),MATCH(I$3,PlotTitles,0))),"",CompletionMonth="","",(DATEVALUE(INDEX(PlotData,MATCH($A99,PlotNumber,0),MATCH(I$3,PlotTitles,0))&amp;INDEX(PlotData,MATCH($A99,PlotNumber,0),MATCH(J$3,PlotTitles,0))))&gt;(DATEVALUE(CompletionMonth&amp;CompletionYear)),$AB$16,TRUE,"")</f>
        <v/>
      </c>
      <c r="N99" s="104" t="str" cm="1">
        <f t="array" ref="N99">_xlfn.IFS(AND(A99&gt;NumberOfPlots,ISBLANK(INDEX(PlotData,MATCH($A99,PlotNumber,0),MATCH(B$3,PlotTitles,0)))),"",ISBLANK(INDEX(PlotData,MATCH($A99,PlotNumber,0),MATCH(N$3,PlotTitles,0))),$AB$17,TRUE,"")</f>
        <v/>
      </c>
      <c r="O99" s="104" t="str" cm="1">
        <f t="array" ref="O99">_xlfn.IFS(AND(A99&gt;NumberOfPlots,ISBLANK(INDEX(PlotData,MATCH($A99,PlotNumber,0),MATCH(B$3,PlotTitles,0)))),"",ISBLANK(INDEX(PlotData,MATCH($A99,PlotNumber,0),MATCH(O$3,PlotTitles,0))),$AB$18,TRUE,"")</f>
        <v/>
      </c>
      <c r="P99" s="182" t="str">
        <f t="shared" ca="1" si="4"/>
        <v/>
      </c>
      <c r="Q99" s="104" t="str" cm="1">
        <f t="array" ref="Q99">_xlfn.IFS(AND(A99&gt;NumberOfPlots,ISBLANK(INDEX(PlotData,MATCH($A99,PlotNumber,0),MATCH(B$3,PlotTitles,0)))),"",ISBLANK(INDEX(PlotData,MATCH($A99,PlotNumber,0),MATCH(N$3,PlotTitles,0))),"",(DATEVALUE(INDEX(PlotData,MATCH($A99,PlotNumber,0),MATCH(N$3,PlotTitles,0))&amp;INDEX(PlotData,MATCH($A99,PlotNumber,0),MATCH(O$3,PlotTitles,0))))&lt;(DATEVALUE(INDEX(PlotData,MATCH($A99,PlotNumber,0),MATCH(I$3,PlotTitles,0))&amp;INDEX(PlotData,MATCH($A99,PlotNumber,0),MATCH(J$3,PlotTitles,0)))),$AB$20,TRUE,"")</f>
        <v/>
      </c>
      <c r="R99" s="104" t="str" cm="1">
        <f t="array" ref="R99">_xlfn.IFS(OR(ISBLANK(StartDateMonth),ISBLANK(StartDateYear)),"",AND(A99&gt;NumberOfPlots,ISBLANK(INDEX(PlotData,MATCH($A99,PlotNumber,0),MATCH(B$3,PlotTitles,0)))),"",ISBLANK(INDEX(PlotData,MATCH($A99,PlotNumber,0),MATCH(N$3,PlotTitles,0))),"",CompletionMonth="","",(DATEVALUE(INDEX(PlotData,MATCH($A99,PlotNumber,0),MATCH(N$3,PlotTitles,0))&amp;INDEX(PlotData,MATCH($A99,PlotNumber,0),MATCH(O$3,PlotTitles,0))))&gt;(DATEVALUE(CompletionMonth&amp;CompletionYear)),$AB$21,TRUE,"")</f>
        <v/>
      </c>
      <c r="S99" s="104" t="str" cm="1">
        <f t="array" ref="S99">_xlfn.IFS(AND(A99&gt;NumberOfPlots,ISBLANK(INDEX(PlotData,MATCH($A99,PlotNumber,0),MATCH(B$3,PlotTitles,0)))),"",OR(AND(INDEX(PlotData,MATCH($A99,PlotNumber,0),MATCH("Tenure",PlotTitles,0))="Open market housing",INDEX(PlotData,MATCH($A99,PlotNumber,0),MATCH("Tenure detail",PlotTitles,0))="Private rented sector"),INDEX(PlotData,MATCH($A99,PlotNumber,0),MATCH("Tenure",PlotTitles,0))="Affordable rent"),"",ISNUMBER(INDEX(PlotData,MATCH($A99,PlotNumber,0),MATCH(S$3,PlotTitles,0)))=FALSE, $AB$22,TRUE,"")</f>
        <v/>
      </c>
      <c r="T99" s="104" t="str" cm="1">
        <f t="array" ref="T99">_xlfn.IFS(AND(A99&gt;NumberOfPlots,ISBLANK(INDEX(PlotData,MATCH($A99,PlotNumber,0),MATCH(B$3,PlotTitles,0)))),"",OR(AND(INDEX(PlotData,MATCH($A99,PlotNumber,0),MATCH("Tenure",PlotTitles,0))="Open market housing",INDEX(PlotData,MATCH($A99,PlotNumber,0),MATCH("Tenure detail",PlotTitles,0))="Private rented sector"),INDEX(PlotData,MATCH($A99,PlotNumber,0),MATCH("Tenure",PlotTitles,0))="Affordable rent"),"",INDEX(PlotData,MATCH($A99,PlotNumber,0),MATCH(S$3,PlotTitles,0))&lt;10000, $AB$23,TRUE,"")</f>
        <v/>
      </c>
      <c r="U99" s="104" t="str" cm="1">
        <f t="array" ref="U99">_xlfn.IFS(AND(A99&gt;NumberOfPlots,ISBLANK(INDEX(PlotData,MATCH($A99,PlotNumber,0),MATCH(B$3,PlotTitles,0)))),"",NOT(OR(AND(INDEX(PlotData,MATCH($A99,PlotNumber,0),MATCH("Tenure",PlotTitles,0))="Open market housing",INDEX(PlotData,MATCH($A99,PlotNumber,0),MATCH("Tenure detail",PlotTitles,0))="Private rented sector"),INDEX(PlotData,MATCH($A99,PlotNumber,0),MATCH("Tenure",PlotTitles,0))="Affordable rent")),"",NOT(INDEX(PlotData,MATCH($A99,PlotNumber,0),MATCH(S$3,PlotTitles,0))=0), $AB$24,TRUE,"")</f>
        <v/>
      </c>
      <c r="V99" s="114" t="str" cm="1">
        <f t="array" aca="1" ref="V99" ca="1">_xlfn.IFS(ISBLANK(NumberOfPlots),"Enter the number of homes on the 1_SetUp sheet",AND(A99&gt;NumberOfPlots,ISBLANK(INDEX(PlotData,MATCH($A99,PlotNumber,0),MATCH(B$3,PlotTitles,0)))),"No error",NOT(B99=""),B99,NOT(C99=""),C99,NOT(D99=""),D99,NOT(E99=""),E99,NOT(F99=""),F99,NOT(G99=""),G99,NOT(H99=""),H99,NOT(I99=""),I99,NOT(J99=""),J99,NOT(K99=""),K99,NOT(L99=""),L99,NOT(M99=""),M99,NOT(N99=""),N99,NOT(O99=""),O99,NOT(P99=""),P99,NOT(Q99=""),Q99,NOT(R99=""),R99,NOT(S99=""),S99,NOT(T99=""),T99,NOT(U99=""),U99,TRUE,"No error")</f>
        <v>Enter the number of homes on the 1_SetUp sheet</v>
      </c>
      <c r="W99" s="114" t="str">
        <f t="shared" ca="1" si="5"/>
        <v xml:space="preserve">The Borrower has not addressed the following error messages for Home ID 95: </v>
      </c>
    </row>
    <row r="100" spans="1:23">
      <c r="A100" s="123">
        <v>96</v>
      </c>
      <c r="B100" s="104" t="str" cm="1">
        <f t="array" ref="B100">_xlfn.IFS(AND(A100&gt;NumberOfPlots,ISBLANK(INDEX(PlotData,MATCH($A100,PlotNumber,0),MATCH(B$3,PlotTitles,0)))),"",ISNUMBER(INDEX(PlotData,MATCH($A100,PlotNumber,0),MATCH(B$3,PlotTitles,0)))=FALSE, $AB$5,TRUE,"")</f>
        <v/>
      </c>
      <c r="C100" s="104" t="str" cm="1">
        <f t="array" ref="C100">_xlfn.IFS(AND(A100&gt;NumberOfPlots,ISBLANK(INDEX(PlotData,MATCH($A100,PlotNumber,0),MATCH(B$3,PlotTitles,0)))),"",ISBLANK(INDEX(PlotData,MATCH($A100,PlotNumber,0),MATCH(C$3,PlotTitles,0))),$AB$6,TRUE,"")</f>
        <v/>
      </c>
      <c r="D100" s="104" t="str" cm="1">
        <f t="array" ref="D100">_xlfn.IFS(AND(A100&gt;NumberOfPlots,ISBLANK(INDEX(PlotData,MATCH($A100,PlotNumber,0),MATCH(B$3,PlotTitles,0)))),"",ISBLANK(INDEX(PlotData,MATCH($A100,PlotNumber,0),MATCH(D$3,PlotTitles,0))),$AB$7,TRUE,"")</f>
        <v/>
      </c>
      <c r="E100" s="104" t="str" cm="1">
        <f t="array" ref="E100">_xlfn.IFS(AND(A100&gt;NumberOfPlots,ISBLANK(INDEX(PlotData,MATCH($A100,PlotNumber,0),MATCH(B$3,PlotTitles,0)))),"",ISBLANK(INDEX(PlotData,MATCH($A100,PlotNumber,0),MATCH(E$3,PlotTitles,0))),$AB$8,TRUE,"")</f>
        <v/>
      </c>
      <c r="F100" s="104" t="str" cm="1">
        <f t="array" ref="F100">_xlfn.IFS(AND(A100&gt;NumberOfPlots,ISBLANK(INDEX(PlotData,MATCH($A100,PlotNumber,0),MATCH(B$3,PlotTitles,0)))),"",ISBLANK(INDEX(PlotData,MATCH($A100,PlotNumber,0),MATCH(F$3,PlotTitles,0))),$AB$9,TRUE,"")</f>
        <v/>
      </c>
      <c r="G100" s="104" t="str" cm="1">
        <f t="array" ref="G100">_xlfn.IFS(AND(A100&gt;NumberOfPlots,ISBLANK(INDEX(PlotData,MATCH($A100,PlotNumber,0),MATCH(B$3,PlotTitles,0)))),"",ISBLANK(INDEX(PlotData,MATCH($A100,PlotNumber,0),MATCH(G$3,PlotTitles,0))),$AB$10,TRUE,"")</f>
        <v/>
      </c>
      <c r="H100" s="104" t="str" cm="1">
        <f t="array" ref="H100">_xlfn.IFS(AND(A100&gt;NumberOfPlots,ISBLANK(INDEX(PlotData,MATCH($A100,PlotNumber,0),MATCH(B$3,PlotTitles,0)))),"",AND(ISBLANK(INDEX(PlotData,MATCH($A100,PlotNumber,0),MATCH(H$3,PlotTitles,0)))=FALSE,INDEX(PlotData,MATCH($A100,PlotNumber,0),MATCH(H$3,PlotTitles,0))&lt;500), $AB$11,TRUE,"")</f>
        <v/>
      </c>
      <c r="I100" s="104" t="str" cm="1">
        <f t="array" ref="I100">_xlfn.IFS(AND(A100&gt;NumberOfPlots,ISBLANK(INDEX(PlotData,MATCH($A100,PlotNumber,0),MATCH(B$3,PlotTitles,0)))),"",ISBLANK(INDEX(PlotData,MATCH($A100,PlotNumber,0),MATCH(I$3,PlotTitles,0))),$AB$12,TRUE,"")</f>
        <v/>
      </c>
      <c r="J100" s="104" t="str" cm="1">
        <f t="array" ref="J100">_xlfn.IFS(AND(A100&gt;NumberOfPlots,ISBLANK(INDEX(PlotData,MATCH($A100,PlotNumber,0),MATCH(B$3,PlotTitles,0)))),"",ISBLANK(INDEX(PlotData,MATCH($A100,PlotNumber,0),MATCH(J$3,PlotTitles,0))),$AB$13,TRUE,"")</f>
        <v/>
      </c>
      <c r="K100" s="182" t="str">
        <f t="shared" ca="1" si="3"/>
        <v/>
      </c>
      <c r="L100" s="104" t="str" cm="1">
        <f t="array" ref="L100">_xlfn.IFS(OR(ISBLANK(StartDateMonth),ISBLANK(StartDateYear)),"",AND(A100&gt;NumberOfPlots,ISBLANK(INDEX(PlotData,MATCH($A100,PlotNumber,0),MATCH(B$3,PlotTitles,0)))),"",ISBLANK(INDEX(PlotData,MATCH($A100,PlotNumber,0),MATCH(I$3,PlotTitles,0))),"",(DATEVALUE(INDEX(PlotData,MATCH($A100,PlotNumber,0),MATCH(I$3,PlotTitles,0))&amp;INDEX(PlotData,MATCH($A100,PlotNumber,0),MATCH(J$3,PlotTitles,0))))&lt;DATEVALUE(StartDateMonth&amp;StartDateYear),$AB$15,TRUE,"")</f>
        <v/>
      </c>
      <c r="M100" s="104" t="str" cm="1">
        <f t="array" ref="M100">_xlfn.IFS(OR(ISBLANK(StartDateMonth),ISBLANK(StartDateYear)),"",AND(A100&gt;NumberOfPlots,ISBLANK(INDEX(PlotData,MATCH($A100,PlotNumber,0),MATCH(B$3,PlotTitles,0)))),"",ISBLANK(INDEX(PlotData,MATCH($A100,PlotNumber,0),MATCH(I$3,PlotTitles,0))),"",CompletionMonth="","",(DATEVALUE(INDEX(PlotData,MATCH($A100,PlotNumber,0),MATCH(I$3,PlotTitles,0))&amp;INDEX(PlotData,MATCH($A100,PlotNumber,0),MATCH(J$3,PlotTitles,0))))&gt;(DATEVALUE(CompletionMonth&amp;CompletionYear)),$AB$16,TRUE,"")</f>
        <v/>
      </c>
      <c r="N100" s="104" t="str" cm="1">
        <f t="array" ref="N100">_xlfn.IFS(AND(A100&gt;NumberOfPlots,ISBLANK(INDEX(PlotData,MATCH($A100,PlotNumber,0),MATCH(B$3,PlotTitles,0)))),"",ISBLANK(INDEX(PlotData,MATCH($A100,PlotNumber,0),MATCH(N$3,PlotTitles,0))),$AB$17,TRUE,"")</f>
        <v/>
      </c>
      <c r="O100" s="104" t="str" cm="1">
        <f t="array" ref="O100">_xlfn.IFS(AND(A100&gt;NumberOfPlots,ISBLANK(INDEX(PlotData,MATCH($A100,PlotNumber,0),MATCH(B$3,PlotTitles,0)))),"",ISBLANK(INDEX(PlotData,MATCH($A100,PlotNumber,0),MATCH(O$3,PlotTitles,0))),$AB$18,TRUE,"")</f>
        <v/>
      </c>
      <c r="P100" s="182" t="str">
        <f t="shared" ca="1" si="4"/>
        <v/>
      </c>
      <c r="Q100" s="104" t="str" cm="1">
        <f t="array" ref="Q100">_xlfn.IFS(AND(A100&gt;NumberOfPlots,ISBLANK(INDEX(PlotData,MATCH($A100,PlotNumber,0),MATCH(B$3,PlotTitles,0)))),"",ISBLANK(INDEX(PlotData,MATCH($A100,PlotNumber,0),MATCH(N$3,PlotTitles,0))),"",(DATEVALUE(INDEX(PlotData,MATCH($A100,PlotNumber,0),MATCH(N$3,PlotTitles,0))&amp;INDEX(PlotData,MATCH($A100,PlotNumber,0),MATCH(O$3,PlotTitles,0))))&lt;(DATEVALUE(INDEX(PlotData,MATCH($A100,PlotNumber,0),MATCH(I$3,PlotTitles,0))&amp;INDEX(PlotData,MATCH($A100,PlotNumber,0),MATCH(J$3,PlotTitles,0)))),$AB$20,TRUE,"")</f>
        <v/>
      </c>
      <c r="R100" s="104" t="str" cm="1">
        <f t="array" ref="R100">_xlfn.IFS(OR(ISBLANK(StartDateMonth),ISBLANK(StartDateYear)),"",AND(A100&gt;NumberOfPlots,ISBLANK(INDEX(PlotData,MATCH($A100,PlotNumber,0),MATCH(B$3,PlotTitles,0)))),"",ISBLANK(INDEX(PlotData,MATCH($A100,PlotNumber,0),MATCH(N$3,PlotTitles,0))),"",CompletionMonth="","",(DATEVALUE(INDEX(PlotData,MATCH($A100,PlotNumber,0),MATCH(N$3,PlotTitles,0))&amp;INDEX(PlotData,MATCH($A100,PlotNumber,0),MATCH(O$3,PlotTitles,0))))&gt;(DATEVALUE(CompletionMonth&amp;CompletionYear)),$AB$21,TRUE,"")</f>
        <v/>
      </c>
      <c r="S100" s="104" t="str" cm="1">
        <f t="array" ref="S100">_xlfn.IFS(AND(A100&gt;NumberOfPlots,ISBLANK(INDEX(PlotData,MATCH($A100,PlotNumber,0),MATCH(B$3,PlotTitles,0)))),"",OR(AND(INDEX(PlotData,MATCH($A100,PlotNumber,0),MATCH("Tenure",PlotTitles,0))="Open market housing",INDEX(PlotData,MATCH($A100,PlotNumber,0),MATCH("Tenure detail",PlotTitles,0))="Private rented sector"),INDEX(PlotData,MATCH($A100,PlotNumber,0),MATCH("Tenure",PlotTitles,0))="Affordable rent"),"",ISNUMBER(INDEX(PlotData,MATCH($A100,PlotNumber,0),MATCH(S$3,PlotTitles,0)))=FALSE, $AB$22,TRUE,"")</f>
        <v/>
      </c>
      <c r="T100" s="104" t="str" cm="1">
        <f t="array" ref="T100">_xlfn.IFS(AND(A100&gt;NumberOfPlots,ISBLANK(INDEX(PlotData,MATCH($A100,PlotNumber,0),MATCH(B$3,PlotTitles,0)))),"",OR(AND(INDEX(PlotData,MATCH($A100,PlotNumber,0),MATCH("Tenure",PlotTitles,0))="Open market housing",INDEX(PlotData,MATCH($A100,PlotNumber,0),MATCH("Tenure detail",PlotTitles,0))="Private rented sector"),INDEX(PlotData,MATCH($A100,PlotNumber,0),MATCH("Tenure",PlotTitles,0))="Affordable rent"),"",INDEX(PlotData,MATCH($A100,PlotNumber,0),MATCH(S$3,PlotTitles,0))&lt;10000, $AB$23,TRUE,"")</f>
        <v/>
      </c>
      <c r="U100" s="104" t="str" cm="1">
        <f t="array" ref="U100">_xlfn.IFS(AND(A100&gt;NumberOfPlots,ISBLANK(INDEX(PlotData,MATCH($A100,PlotNumber,0),MATCH(B$3,PlotTitles,0)))),"",NOT(OR(AND(INDEX(PlotData,MATCH($A100,PlotNumber,0),MATCH("Tenure",PlotTitles,0))="Open market housing",INDEX(PlotData,MATCH($A100,PlotNumber,0),MATCH("Tenure detail",PlotTitles,0))="Private rented sector"),INDEX(PlotData,MATCH($A100,PlotNumber,0),MATCH("Tenure",PlotTitles,0))="Affordable rent")),"",NOT(INDEX(PlotData,MATCH($A100,PlotNumber,0),MATCH(S$3,PlotTitles,0))=0), $AB$24,TRUE,"")</f>
        <v/>
      </c>
      <c r="V100" s="114" t="str" cm="1">
        <f t="array" aca="1" ref="V100" ca="1">_xlfn.IFS(ISBLANK(NumberOfPlots),"Enter the number of homes on the 1_SetUp sheet",AND(A100&gt;NumberOfPlots,ISBLANK(INDEX(PlotData,MATCH($A100,PlotNumber,0),MATCH(B$3,PlotTitles,0)))),"No error",NOT(B100=""),B100,NOT(C100=""),C100,NOT(D100=""),D100,NOT(E100=""),E100,NOT(F100=""),F100,NOT(G100=""),G100,NOT(H100=""),H100,NOT(I100=""),I100,NOT(J100=""),J100,NOT(K100=""),K100,NOT(L100=""),L100,NOT(M100=""),M100,NOT(N100=""),N100,NOT(O100=""),O100,NOT(P100=""),P100,NOT(Q100=""),Q100,NOT(R100=""),R100,NOT(S100=""),S100,NOT(T100=""),T100,NOT(U100=""),U100,TRUE,"No error")</f>
        <v>Enter the number of homes on the 1_SetUp sheet</v>
      </c>
      <c r="W100" s="114" t="str">
        <f t="shared" ca="1" si="5"/>
        <v xml:space="preserve">The Borrower has not addressed the following error messages for Home ID 96: </v>
      </c>
    </row>
    <row r="101" spans="1:23">
      <c r="A101" s="123">
        <v>97</v>
      </c>
      <c r="B101" s="104" t="str" cm="1">
        <f t="array" ref="B101">_xlfn.IFS(AND(A101&gt;NumberOfPlots,ISBLANK(INDEX(PlotData,MATCH($A101,PlotNumber,0),MATCH(B$3,PlotTitles,0)))),"",ISNUMBER(INDEX(PlotData,MATCH($A101,PlotNumber,0),MATCH(B$3,PlotTitles,0)))=FALSE, $AB$5,TRUE,"")</f>
        <v/>
      </c>
      <c r="C101" s="104" t="str" cm="1">
        <f t="array" ref="C101">_xlfn.IFS(AND(A101&gt;NumberOfPlots,ISBLANK(INDEX(PlotData,MATCH($A101,PlotNumber,0),MATCH(B$3,PlotTitles,0)))),"",ISBLANK(INDEX(PlotData,MATCH($A101,PlotNumber,0),MATCH(C$3,PlotTitles,0))),$AB$6,TRUE,"")</f>
        <v/>
      </c>
      <c r="D101" s="104" t="str" cm="1">
        <f t="array" ref="D101">_xlfn.IFS(AND(A101&gt;NumberOfPlots,ISBLANK(INDEX(PlotData,MATCH($A101,PlotNumber,0),MATCH(B$3,PlotTitles,0)))),"",ISBLANK(INDEX(PlotData,MATCH($A101,PlotNumber,0),MATCH(D$3,PlotTitles,0))),$AB$7,TRUE,"")</f>
        <v/>
      </c>
      <c r="E101" s="104" t="str" cm="1">
        <f t="array" ref="E101">_xlfn.IFS(AND(A101&gt;NumberOfPlots,ISBLANK(INDEX(PlotData,MATCH($A101,PlotNumber,0),MATCH(B$3,PlotTitles,0)))),"",ISBLANK(INDEX(PlotData,MATCH($A101,PlotNumber,0),MATCH(E$3,PlotTitles,0))),$AB$8,TRUE,"")</f>
        <v/>
      </c>
      <c r="F101" s="104" t="str" cm="1">
        <f t="array" ref="F101">_xlfn.IFS(AND(A101&gt;NumberOfPlots,ISBLANK(INDEX(PlotData,MATCH($A101,PlotNumber,0),MATCH(B$3,PlotTitles,0)))),"",ISBLANK(INDEX(PlotData,MATCH($A101,PlotNumber,0),MATCH(F$3,PlotTitles,0))),$AB$9,TRUE,"")</f>
        <v/>
      </c>
      <c r="G101" s="104" t="str" cm="1">
        <f t="array" ref="G101">_xlfn.IFS(AND(A101&gt;NumberOfPlots,ISBLANK(INDEX(PlotData,MATCH($A101,PlotNumber,0),MATCH(B$3,PlotTitles,0)))),"",ISBLANK(INDEX(PlotData,MATCH($A101,PlotNumber,0),MATCH(G$3,PlotTitles,0))),$AB$10,TRUE,"")</f>
        <v/>
      </c>
      <c r="H101" s="104" t="str" cm="1">
        <f t="array" ref="H101">_xlfn.IFS(AND(A101&gt;NumberOfPlots,ISBLANK(INDEX(PlotData,MATCH($A101,PlotNumber,0),MATCH(B$3,PlotTitles,0)))),"",AND(ISBLANK(INDEX(PlotData,MATCH($A101,PlotNumber,0),MATCH(H$3,PlotTitles,0)))=FALSE,INDEX(PlotData,MATCH($A101,PlotNumber,0),MATCH(H$3,PlotTitles,0))&lt;500), $AB$11,TRUE,"")</f>
        <v/>
      </c>
      <c r="I101" s="104" t="str" cm="1">
        <f t="array" ref="I101">_xlfn.IFS(AND(A101&gt;NumberOfPlots,ISBLANK(INDEX(PlotData,MATCH($A101,PlotNumber,0),MATCH(B$3,PlotTitles,0)))),"",ISBLANK(INDEX(PlotData,MATCH($A101,PlotNumber,0),MATCH(I$3,PlotTitles,0))),$AB$12,TRUE,"")</f>
        <v/>
      </c>
      <c r="J101" s="104" t="str" cm="1">
        <f t="array" ref="J101">_xlfn.IFS(AND(A101&gt;NumberOfPlots,ISBLANK(INDEX(PlotData,MATCH($A101,PlotNumber,0),MATCH(B$3,PlotTitles,0)))),"",ISBLANK(INDEX(PlotData,MATCH($A101,PlotNumber,0),MATCH(J$3,PlotTitles,0))),$AB$13,TRUE,"")</f>
        <v/>
      </c>
      <c r="K101" s="182" t="str">
        <f t="shared" ca="1" si="3"/>
        <v/>
      </c>
      <c r="L101" s="104" t="str" cm="1">
        <f t="array" ref="L101">_xlfn.IFS(OR(ISBLANK(StartDateMonth),ISBLANK(StartDateYear)),"",AND(A101&gt;NumberOfPlots,ISBLANK(INDEX(PlotData,MATCH($A101,PlotNumber,0),MATCH(B$3,PlotTitles,0)))),"",ISBLANK(INDEX(PlotData,MATCH($A101,PlotNumber,0),MATCH(I$3,PlotTitles,0))),"",(DATEVALUE(INDEX(PlotData,MATCH($A101,PlotNumber,0),MATCH(I$3,PlotTitles,0))&amp;INDEX(PlotData,MATCH($A101,PlotNumber,0),MATCH(J$3,PlotTitles,0))))&lt;DATEVALUE(StartDateMonth&amp;StartDateYear),$AB$15,TRUE,"")</f>
        <v/>
      </c>
      <c r="M101" s="104" t="str" cm="1">
        <f t="array" ref="M101">_xlfn.IFS(OR(ISBLANK(StartDateMonth),ISBLANK(StartDateYear)),"",AND(A101&gt;NumberOfPlots,ISBLANK(INDEX(PlotData,MATCH($A101,PlotNumber,0),MATCH(B$3,PlotTitles,0)))),"",ISBLANK(INDEX(PlotData,MATCH($A101,PlotNumber,0),MATCH(I$3,PlotTitles,0))),"",CompletionMonth="","",(DATEVALUE(INDEX(PlotData,MATCH($A101,PlotNumber,0),MATCH(I$3,PlotTitles,0))&amp;INDEX(PlotData,MATCH($A101,PlotNumber,0),MATCH(J$3,PlotTitles,0))))&gt;(DATEVALUE(CompletionMonth&amp;CompletionYear)),$AB$16,TRUE,"")</f>
        <v/>
      </c>
      <c r="N101" s="104" t="str" cm="1">
        <f t="array" ref="N101">_xlfn.IFS(AND(A101&gt;NumberOfPlots,ISBLANK(INDEX(PlotData,MATCH($A101,PlotNumber,0),MATCH(B$3,PlotTitles,0)))),"",ISBLANK(INDEX(PlotData,MATCH($A101,PlotNumber,0),MATCH(N$3,PlotTitles,0))),$AB$17,TRUE,"")</f>
        <v/>
      </c>
      <c r="O101" s="104" t="str" cm="1">
        <f t="array" ref="O101">_xlfn.IFS(AND(A101&gt;NumberOfPlots,ISBLANK(INDEX(PlotData,MATCH($A101,PlotNumber,0),MATCH(B$3,PlotTitles,0)))),"",ISBLANK(INDEX(PlotData,MATCH($A101,PlotNumber,0),MATCH(O$3,PlotTitles,0))),$AB$18,TRUE,"")</f>
        <v/>
      </c>
      <c r="P101" s="182" t="str">
        <f t="shared" ca="1" si="4"/>
        <v/>
      </c>
      <c r="Q101" s="104" t="str" cm="1">
        <f t="array" ref="Q101">_xlfn.IFS(AND(A101&gt;NumberOfPlots,ISBLANK(INDEX(PlotData,MATCH($A101,PlotNumber,0),MATCH(B$3,PlotTitles,0)))),"",ISBLANK(INDEX(PlotData,MATCH($A101,PlotNumber,0),MATCH(N$3,PlotTitles,0))),"",(DATEVALUE(INDEX(PlotData,MATCH($A101,PlotNumber,0),MATCH(N$3,PlotTitles,0))&amp;INDEX(PlotData,MATCH($A101,PlotNumber,0),MATCH(O$3,PlotTitles,0))))&lt;(DATEVALUE(INDEX(PlotData,MATCH($A101,PlotNumber,0),MATCH(I$3,PlotTitles,0))&amp;INDEX(PlotData,MATCH($A101,PlotNumber,0),MATCH(J$3,PlotTitles,0)))),$AB$20,TRUE,"")</f>
        <v/>
      </c>
      <c r="R101" s="104" t="str" cm="1">
        <f t="array" ref="R101">_xlfn.IFS(OR(ISBLANK(StartDateMonth),ISBLANK(StartDateYear)),"",AND(A101&gt;NumberOfPlots,ISBLANK(INDEX(PlotData,MATCH($A101,PlotNumber,0),MATCH(B$3,PlotTitles,0)))),"",ISBLANK(INDEX(PlotData,MATCH($A101,PlotNumber,0),MATCH(N$3,PlotTitles,0))),"",CompletionMonth="","",(DATEVALUE(INDEX(PlotData,MATCH($A101,PlotNumber,0),MATCH(N$3,PlotTitles,0))&amp;INDEX(PlotData,MATCH($A101,PlotNumber,0),MATCH(O$3,PlotTitles,0))))&gt;(DATEVALUE(CompletionMonth&amp;CompletionYear)),$AB$21,TRUE,"")</f>
        <v/>
      </c>
      <c r="S101" s="104" t="str" cm="1">
        <f t="array" ref="S101">_xlfn.IFS(AND(A101&gt;NumberOfPlots,ISBLANK(INDEX(PlotData,MATCH($A101,PlotNumber,0),MATCH(B$3,PlotTitles,0)))),"",OR(AND(INDEX(PlotData,MATCH($A101,PlotNumber,0),MATCH("Tenure",PlotTitles,0))="Open market housing",INDEX(PlotData,MATCH($A101,PlotNumber,0),MATCH("Tenure detail",PlotTitles,0))="Private rented sector"),INDEX(PlotData,MATCH($A101,PlotNumber,0),MATCH("Tenure",PlotTitles,0))="Affordable rent"),"",ISNUMBER(INDEX(PlotData,MATCH($A101,PlotNumber,0),MATCH(S$3,PlotTitles,0)))=FALSE, $AB$22,TRUE,"")</f>
        <v/>
      </c>
      <c r="T101" s="104" t="str" cm="1">
        <f t="array" ref="T101">_xlfn.IFS(AND(A101&gt;NumberOfPlots,ISBLANK(INDEX(PlotData,MATCH($A101,PlotNumber,0),MATCH(B$3,PlotTitles,0)))),"",OR(AND(INDEX(PlotData,MATCH($A101,PlotNumber,0),MATCH("Tenure",PlotTitles,0))="Open market housing",INDEX(PlotData,MATCH($A101,PlotNumber,0),MATCH("Tenure detail",PlotTitles,0))="Private rented sector"),INDEX(PlotData,MATCH($A101,PlotNumber,0),MATCH("Tenure",PlotTitles,0))="Affordable rent"),"",INDEX(PlotData,MATCH($A101,PlotNumber,0),MATCH(S$3,PlotTitles,0))&lt;10000, $AB$23,TRUE,"")</f>
        <v/>
      </c>
      <c r="U101" s="104" t="str" cm="1">
        <f t="array" ref="U101">_xlfn.IFS(AND(A101&gt;NumberOfPlots,ISBLANK(INDEX(PlotData,MATCH($A101,PlotNumber,0),MATCH(B$3,PlotTitles,0)))),"",NOT(OR(AND(INDEX(PlotData,MATCH($A101,PlotNumber,0),MATCH("Tenure",PlotTitles,0))="Open market housing",INDEX(PlotData,MATCH($A101,PlotNumber,0),MATCH("Tenure detail",PlotTitles,0))="Private rented sector"),INDEX(PlotData,MATCH($A101,PlotNumber,0),MATCH("Tenure",PlotTitles,0))="Affordable rent")),"",NOT(INDEX(PlotData,MATCH($A101,PlotNumber,0),MATCH(S$3,PlotTitles,0))=0), $AB$24,TRUE,"")</f>
        <v/>
      </c>
      <c r="V101" s="114" t="str" cm="1">
        <f t="array" aca="1" ref="V101" ca="1">_xlfn.IFS(ISBLANK(NumberOfPlots),"Enter the number of homes on the 1_SetUp sheet",AND(A101&gt;NumberOfPlots,ISBLANK(INDEX(PlotData,MATCH($A101,PlotNumber,0),MATCH(B$3,PlotTitles,0)))),"No error",NOT(B101=""),B101,NOT(C101=""),C101,NOT(D101=""),D101,NOT(E101=""),E101,NOT(F101=""),F101,NOT(G101=""),G101,NOT(H101=""),H101,NOT(I101=""),I101,NOT(J101=""),J101,NOT(K101=""),K101,NOT(L101=""),L101,NOT(M101=""),M101,NOT(N101=""),N101,NOT(O101=""),O101,NOT(P101=""),P101,NOT(Q101=""),Q101,NOT(R101=""),R101,NOT(S101=""),S101,NOT(T101=""),T101,NOT(U101=""),U101,TRUE,"No error")</f>
        <v>Enter the number of homes on the 1_SetUp sheet</v>
      </c>
      <c r="W101" s="114" t="str">
        <f t="shared" ca="1" si="5"/>
        <v xml:space="preserve">The Borrower has not addressed the following error messages for Home ID 97: </v>
      </c>
    </row>
    <row r="102" spans="1:23">
      <c r="A102" s="123">
        <v>98</v>
      </c>
      <c r="B102" s="104" t="str" cm="1">
        <f t="array" ref="B102">_xlfn.IFS(AND(A102&gt;NumberOfPlots,ISBLANK(INDEX(PlotData,MATCH($A102,PlotNumber,0),MATCH(B$3,PlotTitles,0)))),"",ISNUMBER(INDEX(PlotData,MATCH($A102,PlotNumber,0),MATCH(B$3,PlotTitles,0)))=FALSE, $AB$5,TRUE,"")</f>
        <v/>
      </c>
      <c r="C102" s="104" t="str" cm="1">
        <f t="array" ref="C102">_xlfn.IFS(AND(A102&gt;NumberOfPlots,ISBLANK(INDEX(PlotData,MATCH($A102,PlotNumber,0),MATCH(B$3,PlotTitles,0)))),"",ISBLANK(INDEX(PlotData,MATCH($A102,PlotNumber,0),MATCH(C$3,PlotTitles,0))),$AB$6,TRUE,"")</f>
        <v/>
      </c>
      <c r="D102" s="104" t="str" cm="1">
        <f t="array" ref="D102">_xlfn.IFS(AND(A102&gt;NumberOfPlots,ISBLANK(INDEX(PlotData,MATCH($A102,PlotNumber,0),MATCH(B$3,PlotTitles,0)))),"",ISBLANK(INDEX(PlotData,MATCH($A102,PlotNumber,0),MATCH(D$3,PlotTitles,0))),$AB$7,TRUE,"")</f>
        <v/>
      </c>
      <c r="E102" s="104" t="str" cm="1">
        <f t="array" ref="E102">_xlfn.IFS(AND(A102&gt;NumberOfPlots,ISBLANK(INDEX(PlotData,MATCH($A102,PlotNumber,0),MATCH(B$3,PlotTitles,0)))),"",ISBLANK(INDEX(PlotData,MATCH($A102,PlotNumber,0),MATCH(E$3,PlotTitles,0))),$AB$8,TRUE,"")</f>
        <v/>
      </c>
      <c r="F102" s="104" t="str" cm="1">
        <f t="array" ref="F102">_xlfn.IFS(AND(A102&gt;NumberOfPlots,ISBLANK(INDEX(PlotData,MATCH($A102,PlotNumber,0),MATCH(B$3,PlotTitles,0)))),"",ISBLANK(INDEX(PlotData,MATCH($A102,PlotNumber,0),MATCH(F$3,PlotTitles,0))),$AB$9,TRUE,"")</f>
        <v/>
      </c>
      <c r="G102" s="104" t="str" cm="1">
        <f t="array" ref="G102">_xlfn.IFS(AND(A102&gt;NumberOfPlots,ISBLANK(INDEX(PlotData,MATCH($A102,PlotNumber,0),MATCH(B$3,PlotTitles,0)))),"",ISBLANK(INDEX(PlotData,MATCH($A102,PlotNumber,0),MATCH(G$3,PlotTitles,0))),$AB$10,TRUE,"")</f>
        <v/>
      </c>
      <c r="H102" s="104" t="str" cm="1">
        <f t="array" ref="H102">_xlfn.IFS(AND(A102&gt;NumberOfPlots,ISBLANK(INDEX(PlotData,MATCH($A102,PlotNumber,0),MATCH(B$3,PlotTitles,0)))),"",AND(ISBLANK(INDEX(PlotData,MATCH($A102,PlotNumber,0),MATCH(H$3,PlotTitles,0)))=FALSE,INDEX(PlotData,MATCH($A102,PlotNumber,0),MATCH(H$3,PlotTitles,0))&lt;500), $AB$11,TRUE,"")</f>
        <v/>
      </c>
      <c r="I102" s="104" t="str" cm="1">
        <f t="array" ref="I102">_xlfn.IFS(AND(A102&gt;NumberOfPlots,ISBLANK(INDEX(PlotData,MATCH($A102,PlotNumber,0),MATCH(B$3,PlotTitles,0)))),"",ISBLANK(INDEX(PlotData,MATCH($A102,PlotNumber,0),MATCH(I$3,PlotTitles,0))),$AB$12,TRUE,"")</f>
        <v/>
      </c>
      <c r="J102" s="104" t="str" cm="1">
        <f t="array" ref="J102">_xlfn.IFS(AND(A102&gt;NumberOfPlots,ISBLANK(INDEX(PlotData,MATCH($A102,PlotNumber,0),MATCH(B$3,PlotTitles,0)))),"",ISBLANK(INDEX(PlotData,MATCH($A102,PlotNumber,0),MATCH(J$3,PlotTitles,0))),$AB$13,TRUE,"")</f>
        <v/>
      </c>
      <c r="K102" s="182" t="str">
        <f t="shared" ca="1" si="3"/>
        <v/>
      </c>
      <c r="L102" s="104" t="str" cm="1">
        <f t="array" ref="L102">_xlfn.IFS(OR(ISBLANK(StartDateMonth),ISBLANK(StartDateYear)),"",AND(A102&gt;NumberOfPlots,ISBLANK(INDEX(PlotData,MATCH($A102,PlotNumber,0),MATCH(B$3,PlotTitles,0)))),"",ISBLANK(INDEX(PlotData,MATCH($A102,PlotNumber,0),MATCH(I$3,PlotTitles,0))),"",(DATEVALUE(INDEX(PlotData,MATCH($A102,PlotNumber,0),MATCH(I$3,PlotTitles,0))&amp;INDEX(PlotData,MATCH($A102,PlotNumber,0),MATCH(J$3,PlotTitles,0))))&lt;DATEVALUE(StartDateMonth&amp;StartDateYear),$AB$15,TRUE,"")</f>
        <v/>
      </c>
      <c r="M102" s="104" t="str" cm="1">
        <f t="array" ref="M102">_xlfn.IFS(OR(ISBLANK(StartDateMonth),ISBLANK(StartDateYear)),"",AND(A102&gt;NumberOfPlots,ISBLANK(INDEX(PlotData,MATCH($A102,PlotNumber,0),MATCH(B$3,PlotTitles,0)))),"",ISBLANK(INDEX(PlotData,MATCH($A102,PlotNumber,0),MATCH(I$3,PlotTitles,0))),"",CompletionMonth="","",(DATEVALUE(INDEX(PlotData,MATCH($A102,PlotNumber,0),MATCH(I$3,PlotTitles,0))&amp;INDEX(PlotData,MATCH($A102,PlotNumber,0),MATCH(J$3,PlotTitles,0))))&gt;(DATEVALUE(CompletionMonth&amp;CompletionYear)),$AB$16,TRUE,"")</f>
        <v/>
      </c>
      <c r="N102" s="104" t="str" cm="1">
        <f t="array" ref="N102">_xlfn.IFS(AND(A102&gt;NumberOfPlots,ISBLANK(INDEX(PlotData,MATCH($A102,PlotNumber,0),MATCH(B$3,PlotTitles,0)))),"",ISBLANK(INDEX(PlotData,MATCH($A102,PlotNumber,0),MATCH(N$3,PlotTitles,0))),$AB$17,TRUE,"")</f>
        <v/>
      </c>
      <c r="O102" s="104" t="str" cm="1">
        <f t="array" ref="O102">_xlfn.IFS(AND(A102&gt;NumberOfPlots,ISBLANK(INDEX(PlotData,MATCH($A102,PlotNumber,0),MATCH(B$3,PlotTitles,0)))),"",ISBLANK(INDEX(PlotData,MATCH($A102,PlotNumber,0),MATCH(O$3,PlotTitles,0))),$AB$18,TRUE,"")</f>
        <v/>
      </c>
      <c r="P102" s="182" t="str">
        <f t="shared" ca="1" si="4"/>
        <v/>
      </c>
      <c r="Q102" s="104" t="str" cm="1">
        <f t="array" ref="Q102">_xlfn.IFS(AND(A102&gt;NumberOfPlots,ISBLANK(INDEX(PlotData,MATCH($A102,PlotNumber,0),MATCH(B$3,PlotTitles,0)))),"",ISBLANK(INDEX(PlotData,MATCH($A102,PlotNumber,0),MATCH(N$3,PlotTitles,0))),"",(DATEVALUE(INDEX(PlotData,MATCH($A102,PlotNumber,0),MATCH(N$3,PlotTitles,0))&amp;INDEX(PlotData,MATCH($A102,PlotNumber,0),MATCH(O$3,PlotTitles,0))))&lt;(DATEVALUE(INDEX(PlotData,MATCH($A102,PlotNumber,0),MATCH(I$3,PlotTitles,0))&amp;INDEX(PlotData,MATCH($A102,PlotNumber,0),MATCH(J$3,PlotTitles,0)))),$AB$20,TRUE,"")</f>
        <v/>
      </c>
      <c r="R102" s="104" t="str" cm="1">
        <f t="array" ref="R102">_xlfn.IFS(OR(ISBLANK(StartDateMonth),ISBLANK(StartDateYear)),"",AND(A102&gt;NumberOfPlots,ISBLANK(INDEX(PlotData,MATCH($A102,PlotNumber,0),MATCH(B$3,PlotTitles,0)))),"",ISBLANK(INDEX(PlotData,MATCH($A102,PlotNumber,0),MATCH(N$3,PlotTitles,0))),"",CompletionMonth="","",(DATEVALUE(INDEX(PlotData,MATCH($A102,PlotNumber,0),MATCH(N$3,PlotTitles,0))&amp;INDEX(PlotData,MATCH($A102,PlotNumber,0),MATCH(O$3,PlotTitles,0))))&gt;(DATEVALUE(CompletionMonth&amp;CompletionYear)),$AB$21,TRUE,"")</f>
        <v/>
      </c>
      <c r="S102" s="104" t="str" cm="1">
        <f t="array" ref="S102">_xlfn.IFS(AND(A102&gt;NumberOfPlots,ISBLANK(INDEX(PlotData,MATCH($A102,PlotNumber,0),MATCH(B$3,PlotTitles,0)))),"",OR(AND(INDEX(PlotData,MATCH($A102,PlotNumber,0),MATCH("Tenure",PlotTitles,0))="Open market housing",INDEX(PlotData,MATCH($A102,PlotNumber,0),MATCH("Tenure detail",PlotTitles,0))="Private rented sector"),INDEX(PlotData,MATCH($A102,PlotNumber,0),MATCH("Tenure",PlotTitles,0))="Affordable rent"),"",ISNUMBER(INDEX(PlotData,MATCH($A102,PlotNumber,0),MATCH(S$3,PlotTitles,0)))=FALSE, $AB$22,TRUE,"")</f>
        <v/>
      </c>
      <c r="T102" s="104" t="str" cm="1">
        <f t="array" ref="T102">_xlfn.IFS(AND(A102&gt;NumberOfPlots,ISBLANK(INDEX(PlotData,MATCH($A102,PlotNumber,0),MATCH(B$3,PlotTitles,0)))),"",OR(AND(INDEX(PlotData,MATCH($A102,PlotNumber,0),MATCH("Tenure",PlotTitles,0))="Open market housing",INDEX(PlotData,MATCH($A102,PlotNumber,0),MATCH("Tenure detail",PlotTitles,0))="Private rented sector"),INDEX(PlotData,MATCH($A102,PlotNumber,0),MATCH("Tenure",PlotTitles,0))="Affordable rent"),"",INDEX(PlotData,MATCH($A102,PlotNumber,0),MATCH(S$3,PlotTitles,0))&lt;10000, $AB$23,TRUE,"")</f>
        <v/>
      </c>
      <c r="U102" s="104" t="str" cm="1">
        <f t="array" ref="U102">_xlfn.IFS(AND(A102&gt;NumberOfPlots,ISBLANK(INDEX(PlotData,MATCH($A102,PlotNumber,0),MATCH(B$3,PlotTitles,0)))),"",NOT(OR(AND(INDEX(PlotData,MATCH($A102,PlotNumber,0),MATCH("Tenure",PlotTitles,0))="Open market housing",INDEX(PlotData,MATCH($A102,PlotNumber,0),MATCH("Tenure detail",PlotTitles,0))="Private rented sector"),INDEX(PlotData,MATCH($A102,PlotNumber,0),MATCH("Tenure",PlotTitles,0))="Affordable rent")),"",NOT(INDEX(PlotData,MATCH($A102,PlotNumber,0),MATCH(S$3,PlotTitles,0))=0), $AB$24,TRUE,"")</f>
        <v/>
      </c>
      <c r="V102" s="114" t="str" cm="1">
        <f t="array" aca="1" ref="V102" ca="1">_xlfn.IFS(ISBLANK(NumberOfPlots),"Enter the number of homes on the 1_SetUp sheet",AND(A102&gt;NumberOfPlots,ISBLANK(INDEX(PlotData,MATCH($A102,PlotNumber,0),MATCH(B$3,PlotTitles,0)))),"No error",NOT(B102=""),B102,NOT(C102=""),C102,NOT(D102=""),D102,NOT(E102=""),E102,NOT(F102=""),F102,NOT(G102=""),G102,NOT(H102=""),H102,NOT(I102=""),I102,NOT(J102=""),J102,NOT(K102=""),K102,NOT(L102=""),L102,NOT(M102=""),M102,NOT(N102=""),N102,NOT(O102=""),O102,NOT(P102=""),P102,NOT(Q102=""),Q102,NOT(R102=""),R102,NOT(S102=""),S102,NOT(T102=""),T102,NOT(U102=""),U102,TRUE,"No error")</f>
        <v>Enter the number of homes on the 1_SetUp sheet</v>
      </c>
      <c r="W102" s="114" t="str">
        <f t="shared" ca="1" si="5"/>
        <v xml:space="preserve">The Borrower has not addressed the following error messages for Home ID 98: </v>
      </c>
    </row>
    <row r="103" spans="1:23">
      <c r="A103" s="123">
        <v>99</v>
      </c>
      <c r="B103" s="104" t="str" cm="1">
        <f t="array" ref="B103">_xlfn.IFS(AND(A103&gt;NumberOfPlots,ISBLANK(INDEX(PlotData,MATCH($A103,PlotNumber,0),MATCH(B$3,PlotTitles,0)))),"",ISNUMBER(INDEX(PlotData,MATCH($A103,PlotNumber,0),MATCH(B$3,PlotTitles,0)))=FALSE, $AB$5,TRUE,"")</f>
        <v/>
      </c>
      <c r="C103" s="104" t="str" cm="1">
        <f t="array" ref="C103">_xlfn.IFS(AND(A103&gt;NumberOfPlots,ISBLANK(INDEX(PlotData,MATCH($A103,PlotNumber,0),MATCH(B$3,PlotTitles,0)))),"",ISBLANK(INDEX(PlotData,MATCH($A103,PlotNumber,0),MATCH(C$3,PlotTitles,0))),$AB$6,TRUE,"")</f>
        <v/>
      </c>
      <c r="D103" s="104" t="str" cm="1">
        <f t="array" ref="D103">_xlfn.IFS(AND(A103&gt;NumberOfPlots,ISBLANK(INDEX(PlotData,MATCH($A103,PlotNumber,0),MATCH(B$3,PlotTitles,0)))),"",ISBLANK(INDEX(PlotData,MATCH($A103,PlotNumber,0),MATCH(D$3,PlotTitles,0))),$AB$7,TRUE,"")</f>
        <v/>
      </c>
      <c r="E103" s="104" t="str" cm="1">
        <f t="array" ref="E103">_xlfn.IFS(AND(A103&gt;NumberOfPlots,ISBLANK(INDEX(PlotData,MATCH($A103,PlotNumber,0),MATCH(B$3,PlotTitles,0)))),"",ISBLANK(INDEX(PlotData,MATCH($A103,PlotNumber,0),MATCH(E$3,PlotTitles,0))),$AB$8,TRUE,"")</f>
        <v/>
      </c>
      <c r="F103" s="104" t="str" cm="1">
        <f t="array" ref="F103">_xlfn.IFS(AND(A103&gt;NumberOfPlots,ISBLANK(INDEX(PlotData,MATCH($A103,PlotNumber,0),MATCH(B$3,PlotTitles,0)))),"",ISBLANK(INDEX(PlotData,MATCH($A103,PlotNumber,0),MATCH(F$3,PlotTitles,0))),$AB$9,TRUE,"")</f>
        <v/>
      </c>
      <c r="G103" s="104" t="str" cm="1">
        <f t="array" ref="G103">_xlfn.IFS(AND(A103&gt;NumberOfPlots,ISBLANK(INDEX(PlotData,MATCH($A103,PlotNumber,0),MATCH(B$3,PlotTitles,0)))),"",ISBLANK(INDEX(PlotData,MATCH($A103,PlotNumber,0),MATCH(G$3,PlotTitles,0))),$AB$10,TRUE,"")</f>
        <v/>
      </c>
      <c r="H103" s="104" t="str" cm="1">
        <f t="array" ref="H103">_xlfn.IFS(AND(A103&gt;NumberOfPlots,ISBLANK(INDEX(PlotData,MATCH($A103,PlotNumber,0),MATCH(B$3,PlotTitles,0)))),"",AND(ISBLANK(INDEX(PlotData,MATCH($A103,PlotNumber,0),MATCH(H$3,PlotTitles,0)))=FALSE,INDEX(PlotData,MATCH($A103,PlotNumber,0),MATCH(H$3,PlotTitles,0))&lt;500), $AB$11,TRUE,"")</f>
        <v/>
      </c>
      <c r="I103" s="104" t="str" cm="1">
        <f t="array" ref="I103">_xlfn.IFS(AND(A103&gt;NumberOfPlots,ISBLANK(INDEX(PlotData,MATCH($A103,PlotNumber,0),MATCH(B$3,PlotTitles,0)))),"",ISBLANK(INDEX(PlotData,MATCH($A103,PlotNumber,0),MATCH(I$3,PlotTitles,0))),$AB$12,TRUE,"")</f>
        <v/>
      </c>
      <c r="J103" s="104" t="str" cm="1">
        <f t="array" ref="J103">_xlfn.IFS(AND(A103&gt;NumberOfPlots,ISBLANK(INDEX(PlotData,MATCH($A103,PlotNumber,0),MATCH(B$3,PlotTitles,0)))),"",ISBLANK(INDEX(PlotData,MATCH($A103,PlotNumber,0),MATCH(J$3,PlotTitles,0))),$AB$13,TRUE,"")</f>
        <v/>
      </c>
      <c r="K103" s="182" t="str">
        <f t="shared" ca="1" si="3"/>
        <v/>
      </c>
      <c r="L103" s="104" t="str" cm="1">
        <f t="array" ref="L103">_xlfn.IFS(OR(ISBLANK(StartDateMonth),ISBLANK(StartDateYear)),"",AND(A103&gt;NumberOfPlots,ISBLANK(INDEX(PlotData,MATCH($A103,PlotNumber,0),MATCH(B$3,PlotTitles,0)))),"",ISBLANK(INDEX(PlotData,MATCH($A103,PlotNumber,0),MATCH(I$3,PlotTitles,0))),"",(DATEVALUE(INDEX(PlotData,MATCH($A103,PlotNumber,0),MATCH(I$3,PlotTitles,0))&amp;INDEX(PlotData,MATCH($A103,PlotNumber,0),MATCH(J$3,PlotTitles,0))))&lt;DATEVALUE(StartDateMonth&amp;StartDateYear),$AB$15,TRUE,"")</f>
        <v/>
      </c>
      <c r="M103" s="104" t="str" cm="1">
        <f t="array" ref="M103">_xlfn.IFS(OR(ISBLANK(StartDateMonth),ISBLANK(StartDateYear)),"",AND(A103&gt;NumberOfPlots,ISBLANK(INDEX(PlotData,MATCH($A103,PlotNumber,0),MATCH(B$3,PlotTitles,0)))),"",ISBLANK(INDEX(PlotData,MATCH($A103,PlotNumber,0),MATCH(I$3,PlotTitles,0))),"",CompletionMonth="","",(DATEVALUE(INDEX(PlotData,MATCH($A103,PlotNumber,0),MATCH(I$3,PlotTitles,0))&amp;INDEX(PlotData,MATCH($A103,PlotNumber,0),MATCH(J$3,PlotTitles,0))))&gt;(DATEVALUE(CompletionMonth&amp;CompletionYear)),$AB$16,TRUE,"")</f>
        <v/>
      </c>
      <c r="N103" s="104" t="str" cm="1">
        <f t="array" ref="N103">_xlfn.IFS(AND(A103&gt;NumberOfPlots,ISBLANK(INDEX(PlotData,MATCH($A103,PlotNumber,0),MATCH(B$3,PlotTitles,0)))),"",ISBLANK(INDEX(PlotData,MATCH($A103,PlotNumber,0),MATCH(N$3,PlotTitles,0))),$AB$17,TRUE,"")</f>
        <v/>
      </c>
      <c r="O103" s="104" t="str" cm="1">
        <f t="array" ref="O103">_xlfn.IFS(AND(A103&gt;NumberOfPlots,ISBLANK(INDEX(PlotData,MATCH($A103,PlotNumber,0),MATCH(B$3,PlotTitles,0)))),"",ISBLANK(INDEX(PlotData,MATCH($A103,PlotNumber,0),MATCH(O$3,PlotTitles,0))),$AB$18,TRUE,"")</f>
        <v/>
      </c>
      <c r="P103" s="182" t="str">
        <f t="shared" ca="1" si="4"/>
        <v/>
      </c>
      <c r="Q103" s="104" t="str" cm="1">
        <f t="array" ref="Q103">_xlfn.IFS(AND(A103&gt;NumberOfPlots,ISBLANK(INDEX(PlotData,MATCH($A103,PlotNumber,0),MATCH(B$3,PlotTitles,0)))),"",ISBLANK(INDEX(PlotData,MATCH($A103,PlotNumber,0),MATCH(N$3,PlotTitles,0))),"",(DATEVALUE(INDEX(PlotData,MATCH($A103,PlotNumber,0),MATCH(N$3,PlotTitles,0))&amp;INDEX(PlotData,MATCH($A103,PlotNumber,0),MATCH(O$3,PlotTitles,0))))&lt;(DATEVALUE(INDEX(PlotData,MATCH($A103,PlotNumber,0),MATCH(I$3,PlotTitles,0))&amp;INDEX(PlotData,MATCH($A103,PlotNumber,0),MATCH(J$3,PlotTitles,0)))),$AB$20,TRUE,"")</f>
        <v/>
      </c>
      <c r="R103" s="104" t="str" cm="1">
        <f t="array" ref="R103">_xlfn.IFS(OR(ISBLANK(StartDateMonth),ISBLANK(StartDateYear)),"",AND(A103&gt;NumberOfPlots,ISBLANK(INDEX(PlotData,MATCH($A103,PlotNumber,0),MATCH(B$3,PlotTitles,0)))),"",ISBLANK(INDEX(PlotData,MATCH($A103,PlotNumber,0),MATCH(N$3,PlotTitles,0))),"",CompletionMonth="","",(DATEVALUE(INDEX(PlotData,MATCH($A103,PlotNumber,0),MATCH(N$3,PlotTitles,0))&amp;INDEX(PlotData,MATCH($A103,PlotNumber,0),MATCH(O$3,PlotTitles,0))))&gt;(DATEVALUE(CompletionMonth&amp;CompletionYear)),$AB$21,TRUE,"")</f>
        <v/>
      </c>
      <c r="S103" s="104" t="str" cm="1">
        <f t="array" ref="S103">_xlfn.IFS(AND(A103&gt;NumberOfPlots,ISBLANK(INDEX(PlotData,MATCH($A103,PlotNumber,0),MATCH(B$3,PlotTitles,0)))),"",OR(AND(INDEX(PlotData,MATCH($A103,PlotNumber,0),MATCH("Tenure",PlotTitles,0))="Open market housing",INDEX(PlotData,MATCH($A103,PlotNumber,0),MATCH("Tenure detail",PlotTitles,0))="Private rented sector"),INDEX(PlotData,MATCH($A103,PlotNumber,0),MATCH("Tenure",PlotTitles,0))="Affordable rent"),"",ISNUMBER(INDEX(PlotData,MATCH($A103,PlotNumber,0),MATCH(S$3,PlotTitles,0)))=FALSE, $AB$22,TRUE,"")</f>
        <v/>
      </c>
      <c r="T103" s="104" t="str" cm="1">
        <f t="array" ref="T103">_xlfn.IFS(AND(A103&gt;NumberOfPlots,ISBLANK(INDEX(PlotData,MATCH($A103,PlotNumber,0),MATCH(B$3,PlotTitles,0)))),"",OR(AND(INDEX(PlotData,MATCH($A103,PlotNumber,0),MATCH("Tenure",PlotTitles,0))="Open market housing",INDEX(PlotData,MATCH($A103,PlotNumber,0),MATCH("Tenure detail",PlotTitles,0))="Private rented sector"),INDEX(PlotData,MATCH($A103,PlotNumber,0),MATCH("Tenure",PlotTitles,0))="Affordable rent"),"",INDEX(PlotData,MATCH($A103,PlotNumber,0),MATCH(S$3,PlotTitles,0))&lt;10000, $AB$23,TRUE,"")</f>
        <v/>
      </c>
      <c r="U103" s="104" t="str" cm="1">
        <f t="array" ref="U103">_xlfn.IFS(AND(A103&gt;NumberOfPlots,ISBLANK(INDEX(PlotData,MATCH($A103,PlotNumber,0),MATCH(B$3,PlotTitles,0)))),"",NOT(OR(AND(INDEX(PlotData,MATCH($A103,PlotNumber,0),MATCH("Tenure",PlotTitles,0))="Open market housing",INDEX(PlotData,MATCH($A103,PlotNumber,0),MATCH("Tenure detail",PlotTitles,0))="Private rented sector"),INDEX(PlotData,MATCH($A103,PlotNumber,0),MATCH("Tenure",PlotTitles,0))="Affordable rent")),"",NOT(INDEX(PlotData,MATCH($A103,PlotNumber,0),MATCH(S$3,PlotTitles,0))=0), $AB$24,TRUE,"")</f>
        <v/>
      </c>
      <c r="V103" s="114" t="str" cm="1">
        <f t="array" aca="1" ref="V103" ca="1">_xlfn.IFS(ISBLANK(NumberOfPlots),"Enter the number of homes on the 1_SetUp sheet",AND(A103&gt;NumberOfPlots,ISBLANK(INDEX(PlotData,MATCH($A103,PlotNumber,0),MATCH(B$3,PlotTitles,0)))),"No error",NOT(B103=""),B103,NOT(C103=""),C103,NOT(D103=""),D103,NOT(E103=""),E103,NOT(F103=""),F103,NOT(G103=""),G103,NOT(H103=""),H103,NOT(I103=""),I103,NOT(J103=""),J103,NOT(K103=""),K103,NOT(L103=""),L103,NOT(M103=""),M103,NOT(N103=""),N103,NOT(O103=""),O103,NOT(P103=""),P103,NOT(Q103=""),Q103,NOT(R103=""),R103,NOT(S103=""),S103,NOT(T103=""),T103,NOT(U103=""),U103,TRUE,"No error")</f>
        <v>Enter the number of homes on the 1_SetUp sheet</v>
      </c>
      <c r="W103" s="114" t="str">
        <f t="shared" ca="1" si="5"/>
        <v xml:space="preserve">The Borrower has not addressed the following error messages for Home ID 99: </v>
      </c>
    </row>
    <row r="104" spans="1:23">
      <c r="A104" s="123">
        <v>100</v>
      </c>
      <c r="B104" s="104" t="str" cm="1">
        <f t="array" ref="B104">_xlfn.IFS(AND(A104&gt;NumberOfPlots,ISBLANK(INDEX(PlotData,MATCH($A104,PlotNumber,0),MATCH(B$3,PlotTitles,0)))),"",ISNUMBER(INDEX(PlotData,MATCH($A104,PlotNumber,0),MATCH(B$3,PlotTitles,0)))=FALSE, $AB$5,TRUE,"")</f>
        <v/>
      </c>
      <c r="C104" s="104" t="str" cm="1">
        <f t="array" ref="C104">_xlfn.IFS(AND(A104&gt;NumberOfPlots,ISBLANK(INDEX(PlotData,MATCH($A104,PlotNumber,0),MATCH(B$3,PlotTitles,0)))),"",ISBLANK(INDEX(PlotData,MATCH($A104,PlotNumber,0),MATCH(C$3,PlotTitles,0))),$AB$6,TRUE,"")</f>
        <v/>
      </c>
      <c r="D104" s="104" t="str" cm="1">
        <f t="array" ref="D104">_xlfn.IFS(AND(A104&gt;NumberOfPlots,ISBLANK(INDEX(PlotData,MATCH($A104,PlotNumber,0),MATCH(B$3,PlotTitles,0)))),"",ISBLANK(INDEX(PlotData,MATCH($A104,PlotNumber,0),MATCH(D$3,PlotTitles,0))),$AB$7,TRUE,"")</f>
        <v/>
      </c>
      <c r="E104" s="104" t="str" cm="1">
        <f t="array" ref="E104">_xlfn.IFS(AND(A104&gt;NumberOfPlots,ISBLANK(INDEX(PlotData,MATCH($A104,PlotNumber,0),MATCH(B$3,PlotTitles,0)))),"",ISBLANK(INDEX(PlotData,MATCH($A104,PlotNumber,0),MATCH(E$3,PlotTitles,0))),$AB$8,TRUE,"")</f>
        <v/>
      </c>
      <c r="F104" s="104" t="str" cm="1">
        <f t="array" ref="F104">_xlfn.IFS(AND(A104&gt;NumberOfPlots,ISBLANK(INDEX(PlotData,MATCH($A104,PlotNumber,0),MATCH(B$3,PlotTitles,0)))),"",ISBLANK(INDEX(PlotData,MATCH($A104,PlotNumber,0),MATCH(F$3,PlotTitles,0))),$AB$9,TRUE,"")</f>
        <v/>
      </c>
      <c r="G104" s="104" t="str" cm="1">
        <f t="array" ref="G104">_xlfn.IFS(AND(A104&gt;NumberOfPlots,ISBLANK(INDEX(PlotData,MATCH($A104,PlotNumber,0),MATCH(B$3,PlotTitles,0)))),"",ISBLANK(INDEX(PlotData,MATCH($A104,PlotNumber,0),MATCH(G$3,PlotTitles,0))),$AB$10,TRUE,"")</f>
        <v/>
      </c>
      <c r="H104" s="104" t="str" cm="1">
        <f t="array" ref="H104">_xlfn.IFS(AND(A104&gt;NumberOfPlots,ISBLANK(INDEX(PlotData,MATCH($A104,PlotNumber,0),MATCH(B$3,PlotTitles,0)))),"",AND(ISBLANK(INDEX(PlotData,MATCH($A104,PlotNumber,0),MATCH(H$3,PlotTitles,0)))=FALSE,INDEX(PlotData,MATCH($A104,PlotNumber,0),MATCH(H$3,PlotTitles,0))&lt;500), $AB$11,TRUE,"")</f>
        <v/>
      </c>
      <c r="I104" s="104" t="str" cm="1">
        <f t="array" ref="I104">_xlfn.IFS(AND(A104&gt;NumberOfPlots,ISBLANK(INDEX(PlotData,MATCH($A104,PlotNumber,0),MATCH(B$3,PlotTitles,0)))),"",ISBLANK(INDEX(PlotData,MATCH($A104,PlotNumber,0),MATCH(I$3,PlotTitles,0))),$AB$12,TRUE,"")</f>
        <v/>
      </c>
      <c r="J104" s="104" t="str" cm="1">
        <f t="array" ref="J104">_xlfn.IFS(AND(A104&gt;NumberOfPlots,ISBLANK(INDEX(PlotData,MATCH($A104,PlotNumber,0),MATCH(B$3,PlotTitles,0)))),"",ISBLANK(INDEX(PlotData,MATCH($A104,PlotNumber,0),MATCH(J$3,PlotTitles,0))),$AB$13,TRUE,"")</f>
        <v/>
      </c>
      <c r="K104" s="182" t="str">
        <f t="shared" ca="1" si="3"/>
        <v/>
      </c>
      <c r="L104" s="104" t="str" cm="1">
        <f t="array" ref="L104">_xlfn.IFS(OR(ISBLANK(StartDateMonth),ISBLANK(StartDateYear)),"",AND(A104&gt;NumberOfPlots,ISBLANK(INDEX(PlotData,MATCH($A104,PlotNumber,0),MATCH(B$3,PlotTitles,0)))),"",ISBLANK(INDEX(PlotData,MATCH($A104,PlotNumber,0),MATCH(I$3,PlotTitles,0))),"",(DATEVALUE(INDEX(PlotData,MATCH($A104,PlotNumber,0),MATCH(I$3,PlotTitles,0))&amp;INDEX(PlotData,MATCH($A104,PlotNumber,0),MATCH(J$3,PlotTitles,0))))&lt;DATEVALUE(StartDateMonth&amp;StartDateYear),$AB$15,TRUE,"")</f>
        <v/>
      </c>
      <c r="M104" s="104" t="str" cm="1">
        <f t="array" ref="M104">_xlfn.IFS(OR(ISBLANK(StartDateMonth),ISBLANK(StartDateYear)),"",AND(A104&gt;NumberOfPlots,ISBLANK(INDEX(PlotData,MATCH($A104,PlotNumber,0),MATCH(B$3,PlotTitles,0)))),"",ISBLANK(INDEX(PlotData,MATCH($A104,PlotNumber,0),MATCH(I$3,PlotTitles,0))),"",CompletionMonth="","",(DATEVALUE(INDEX(PlotData,MATCH($A104,PlotNumber,0),MATCH(I$3,PlotTitles,0))&amp;INDEX(PlotData,MATCH($A104,PlotNumber,0),MATCH(J$3,PlotTitles,0))))&gt;(DATEVALUE(CompletionMonth&amp;CompletionYear)),$AB$16,TRUE,"")</f>
        <v/>
      </c>
      <c r="N104" s="104" t="str" cm="1">
        <f t="array" ref="N104">_xlfn.IFS(AND(A104&gt;NumberOfPlots,ISBLANK(INDEX(PlotData,MATCH($A104,PlotNumber,0),MATCH(B$3,PlotTitles,0)))),"",ISBLANK(INDEX(PlotData,MATCH($A104,PlotNumber,0),MATCH(N$3,PlotTitles,0))),$AB$17,TRUE,"")</f>
        <v/>
      </c>
      <c r="O104" s="104" t="str" cm="1">
        <f t="array" ref="O104">_xlfn.IFS(AND(A104&gt;NumberOfPlots,ISBLANK(INDEX(PlotData,MATCH($A104,PlotNumber,0),MATCH(B$3,PlotTitles,0)))),"",ISBLANK(INDEX(PlotData,MATCH($A104,PlotNumber,0),MATCH(O$3,PlotTitles,0))),$AB$18,TRUE,"")</f>
        <v/>
      </c>
      <c r="P104" s="182" t="str">
        <f t="shared" ca="1" si="4"/>
        <v/>
      </c>
      <c r="Q104" s="104" t="str" cm="1">
        <f t="array" ref="Q104">_xlfn.IFS(AND(A104&gt;NumberOfPlots,ISBLANK(INDEX(PlotData,MATCH($A104,PlotNumber,0),MATCH(B$3,PlotTitles,0)))),"",ISBLANK(INDEX(PlotData,MATCH($A104,PlotNumber,0),MATCH(N$3,PlotTitles,0))),"",(DATEVALUE(INDEX(PlotData,MATCH($A104,PlotNumber,0),MATCH(N$3,PlotTitles,0))&amp;INDEX(PlotData,MATCH($A104,PlotNumber,0),MATCH(O$3,PlotTitles,0))))&lt;(DATEVALUE(INDEX(PlotData,MATCH($A104,PlotNumber,0),MATCH(I$3,PlotTitles,0))&amp;INDEX(PlotData,MATCH($A104,PlotNumber,0),MATCH(J$3,PlotTitles,0)))),$AB$20,TRUE,"")</f>
        <v/>
      </c>
      <c r="R104" s="104" t="str" cm="1">
        <f t="array" ref="R104">_xlfn.IFS(OR(ISBLANK(StartDateMonth),ISBLANK(StartDateYear)),"",AND(A104&gt;NumberOfPlots,ISBLANK(INDEX(PlotData,MATCH($A104,PlotNumber,0),MATCH(B$3,PlotTitles,0)))),"",ISBLANK(INDEX(PlotData,MATCH($A104,PlotNumber,0),MATCH(N$3,PlotTitles,0))),"",CompletionMonth="","",(DATEVALUE(INDEX(PlotData,MATCH($A104,PlotNumber,0),MATCH(N$3,PlotTitles,0))&amp;INDEX(PlotData,MATCH($A104,PlotNumber,0),MATCH(O$3,PlotTitles,0))))&gt;(DATEVALUE(CompletionMonth&amp;CompletionYear)),$AB$21,TRUE,"")</f>
        <v/>
      </c>
      <c r="S104" s="104" t="str" cm="1">
        <f t="array" ref="S104">_xlfn.IFS(AND(A104&gt;NumberOfPlots,ISBLANK(INDEX(PlotData,MATCH($A104,PlotNumber,0),MATCH(B$3,PlotTitles,0)))),"",OR(AND(INDEX(PlotData,MATCH($A104,PlotNumber,0),MATCH("Tenure",PlotTitles,0))="Open market housing",INDEX(PlotData,MATCH($A104,PlotNumber,0),MATCH("Tenure detail",PlotTitles,0))="Private rented sector"),INDEX(PlotData,MATCH($A104,PlotNumber,0),MATCH("Tenure",PlotTitles,0))="Affordable rent"),"",ISNUMBER(INDEX(PlotData,MATCH($A104,PlotNumber,0),MATCH(S$3,PlotTitles,0)))=FALSE, $AB$22,TRUE,"")</f>
        <v/>
      </c>
      <c r="T104" s="104" t="str" cm="1">
        <f t="array" ref="T104">_xlfn.IFS(AND(A104&gt;NumberOfPlots,ISBLANK(INDEX(PlotData,MATCH($A104,PlotNumber,0),MATCH(B$3,PlotTitles,0)))),"",OR(AND(INDEX(PlotData,MATCH($A104,PlotNumber,0),MATCH("Tenure",PlotTitles,0))="Open market housing",INDEX(PlotData,MATCH($A104,PlotNumber,0),MATCH("Tenure detail",PlotTitles,0))="Private rented sector"),INDEX(PlotData,MATCH($A104,PlotNumber,0),MATCH("Tenure",PlotTitles,0))="Affordable rent"),"",INDEX(PlotData,MATCH($A104,PlotNumber,0),MATCH(S$3,PlotTitles,0))&lt;10000, $AB$23,TRUE,"")</f>
        <v/>
      </c>
      <c r="U104" s="104" t="str" cm="1">
        <f t="array" ref="U104">_xlfn.IFS(AND(A104&gt;NumberOfPlots,ISBLANK(INDEX(PlotData,MATCH($A104,PlotNumber,0),MATCH(B$3,PlotTitles,0)))),"",NOT(OR(AND(INDEX(PlotData,MATCH($A104,PlotNumber,0),MATCH("Tenure",PlotTitles,0))="Open market housing",INDEX(PlotData,MATCH($A104,PlotNumber,0),MATCH("Tenure detail",PlotTitles,0))="Private rented sector"),INDEX(PlotData,MATCH($A104,PlotNumber,0),MATCH("Tenure",PlotTitles,0))="Affordable rent")),"",NOT(INDEX(PlotData,MATCH($A104,PlotNumber,0),MATCH(S$3,PlotTitles,0))=0), $AB$24,TRUE,"")</f>
        <v/>
      </c>
      <c r="V104" s="114" t="str" cm="1">
        <f t="array" aca="1" ref="V104" ca="1">_xlfn.IFS(ISBLANK(NumberOfPlots),"Enter the number of homes on the 1_SetUp sheet",AND(A104&gt;NumberOfPlots,ISBLANK(INDEX(PlotData,MATCH($A104,PlotNumber,0),MATCH(B$3,PlotTitles,0)))),"No error",NOT(B104=""),B104,NOT(C104=""),C104,NOT(D104=""),D104,NOT(E104=""),E104,NOT(F104=""),F104,NOT(G104=""),G104,NOT(H104=""),H104,NOT(I104=""),I104,NOT(J104=""),J104,NOT(K104=""),K104,NOT(L104=""),L104,NOT(M104=""),M104,NOT(N104=""),N104,NOT(O104=""),O104,NOT(P104=""),P104,NOT(Q104=""),Q104,NOT(R104=""),R104,NOT(S104=""),S104,NOT(T104=""),T104,NOT(U104=""),U104,TRUE,"No error")</f>
        <v>Enter the number of homes on the 1_SetUp sheet</v>
      </c>
      <c r="W104" s="114" t="str">
        <f t="shared" ca="1" si="5"/>
        <v xml:space="preserve">The Borrower has not addressed the following error messages for Home ID 100: </v>
      </c>
    </row>
    <row r="105" spans="1:23">
      <c r="A105" s="123">
        <v>101</v>
      </c>
      <c r="B105" s="104" t="str" cm="1">
        <f t="array" ref="B105">_xlfn.IFS(AND(A105&gt;NumberOfPlots,ISBLANK(INDEX(PlotData,MATCH($A105,PlotNumber,0),MATCH(B$3,PlotTitles,0)))),"",ISNUMBER(INDEX(PlotData,MATCH($A105,PlotNumber,0),MATCH(B$3,PlotTitles,0)))=FALSE, $AB$5,TRUE,"")</f>
        <v/>
      </c>
      <c r="C105" s="104" t="str" cm="1">
        <f t="array" ref="C105">_xlfn.IFS(AND(A105&gt;NumberOfPlots,ISBLANK(INDEX(PlotData,MATCH($A105,PlotNumber,0),MATCH(B$3,PlotTitles,0)))),"",ISBLANK(INDEX(PlotData,MATCH($A105,PlotNumber,0),MATCH(C$3,PlotTitles,0))),$AB$6,TRUE,"")</f>
        <v/>
      </c>
      <c r="D105" s="104" t="str" cm="1">
        <f t="array" ref="D105">_xlfn.IFS(AND(A105&gt;NumberOfPlots,ISBLANK(INDEX(PlotData,MATCH($A105,PlotNumber,0),MATCH(B$3,PlotTitles,0)))),"",ISBLANK(INDEX(PlotData,MATCH($A105,PlotNumber,0),MATCH(D$3,PlotTitles,0))),$AB$7,TRUE,"")</f>
        <v/>
      </c>
      <c r="E105" s="104" t="str" cm="1">
        <f t="array" ref="E105">_xlfn.IFS(AND(A105&gt;NumberOfPlots,ISBLANK(INDEX(PlotData,MATCH($A105,PlotNumber,0),MATCH(B$3,PlotTitles,0)))),"",ISBLANK(INDEX(PlotData,MATCH($A105,PlotNumber,0),MATCH(E$3,PlotTitles,0))),$AB$8,TRUE,"")</f>
        <v/>
      </c>
      <c r="F105" s="104" t="str" cm="1">
        <f t="array" ref="F105">_xlfn.IFS(AND(A105&gt;NumberOfPlots,ISBLANK(INDEX(PlotData,MATCH($A105,PlotNumber,0),MATCH(B$3,PlotTitles,0)))),"",ISBLANK(INDEX(PlotData,MATCH($A105,PlotNumber,0),MATCH(F$3,PlotTitles,0))),$AB$9,TRUE,"")</f>
        <v/>
      </c>
      <c r="G105" s="104" t="str" cm="1">
        <f t="array" ref="G105">_xlfn.IFS(AND(A105&gt;NumberOfPlots,ISBLANK(INDEX(PlotData,MATCH($A105,PlotNumber,0),MATCH(B$3,PlotTitles,0)))),"",ISBLANK(INDEX(PlotData,MATCH($A105,PlotNumber,0),MATCH(G$3,PlotTitles,0))),$AB$10,TRUE,"")</f>
        <v/>
      </c>
      <c r="H105" s="104" t="str" cm="1">
        <f t="array" ref="H105">_xlfn.IFS(AND(A105&gt;NumberOfPlots,ISBLANK(INDEX(PlotData,MATCH($A105,PlotNumber,0),MATCH(B$3,PlotTitles,0)))),"",AND(ISBLANK(INDEX(PlotData,MATCH($A105,PlotNumber,0),MATCH(H$3,PlotTitles,0)))=FALSE,INDEX(PlotData,MATCH($A105,PlotNumber,0),MATCH(H$3,PlotTitles,0))&lt;500), $AB$11,TRUE,"")</f>
        <v/>
      </c>
      <c r="I105" s="104" t="str" cm="1">
        <f t="array" ref="I105">_xlfn.IFS(AND(A105&gt;NumberOfPlots,ISBLANK(INDEX(PlotData,MATCH($A105,PlotNumber,0),MATCH(B$3,PlotTitles,0)))),"",ISBLANK(INDEX(PlotData,MATCH($A105,PlotNumber,0),MATCH(I$3,PlotTitles,0))),$AB$12,TRUE,"")</f>
        <v/>
      </c>
      <c r="J105" s="104" t="str" cm="1">
        <f t="array" ref="J105">_xlfn.IFS(AND(A105&gt;NumberOfPlots,ISBLANK(INDEX(PlotData,MATCH($A105,PlotNumber,0),MATCH(B$3,PlotTitles,0)))),"",ISBLANK(INDEX(PlotData,MATCH($A105,PlotNumber,0),MATCH(J$3,PlotTitles,0))),$AB$13,TRUE,"")</f>
        <v/>
      </c>
      <c r="K105" s="182" t="str">
        <f t="shared" ca="1" si="3"/>
        <v/>
      </c>
      <c r="L105" s="104" t="str" cm="1">
        <f t="array" ref="L105">_xlfn.IFS(OR(ISBLANK(StartDateMonth),ISBLANK(StartDateYear)),"",AND(A105&gt;NumberOfPlots,ISBLANK(INDEX(PlotData,MATCH($A105,PlotNumber,0),MATCH(B$3,PlotTitles,0)))),"",ISBLANK(INDEX(PlotData,MATCH($A105,PlotNumber,0),MATCH(I$3,PlotTitles,0))),"",(DATEVALUE(INDEX(PlotData,MATCH($A105,PlotNumber,0),MATCH(I$3,PlotTitles,0))&amp;INDEX(PlotData,MATCH($A105,PlotNumber,0),MATCH(J$3,PlotTitles,0))))&lt;DATEVALUE(StartDateMonth&amp;StartDateYear),$AB$15,TRUE,"")</f>
        <v/>
      </c>
      <c r="M105" s="104" t="str" cm="1">
        <f t="array" ref="M105">_xlfn.IFS(OR(ISBLANK(StartDateMonth),ISBLANK(StartDateYear)),"",AND(A105&gt;NumberOfPlots,ISBLANK(INDEX(PlotData,MATCH($A105,PlotNumber,0),MATCH(B$3,PlotTitles,0)))),"",ISBLANK(INDEX(PlotData,MATCH($A105,PlotNumber,0),MATCH(I$3,PlotTitles,0))),"",CompletionMonth="","",(DATEVALUE(INDEX(PlotData,MATCH($A105,PlotNumber,0),MATCH(I$3,PlotTitles,0))&amp;INDEX(PlotData,MATCH($A105,PlotNumber,0),MATCH(J$3,PlotTitles,0))))&gt;(DATEVALUE(CompletionMonth&amp;CompletionYear)),$AB$16,TRUE,"")</f>
        <v/>
      </c>
      <c r="N105" s="104" t="str" cm="1">
        <f t="array" ref="N105">_xlfn.IFS(AND(A105&gt;NumberOfPlots,ISBLANK(INDEX(PlotData,MATCH($A105,PlotNumber,0),MATCH(B$3,PlotTitles,0)))),"",ISBLANK(INDEX(PlotData,MATCH($A105,PlotNumber,0),MATCH(N$3,PlotTitles,0))),$AB$17,TRUE,"")</f>
        <v/>
      </c>
      <c r="O105" s="104" t="str" cm="1">
        <f t="array" ref="O105">_xlfn.IFS(AND(A105&gt;NumberOfPlots,ISBLANK(INDEX(PlotData,MATCH($A105,PlotNumber,0),MATCH(B$3,PlotTitles,0)))),"",ISBLANK(INDEX(PlotData,MATCH($A105,PlotNumber,0),MATCH(O$3,PlotTitles,0))),$AB$18,TRUE,"")</f>
        <v/>
      </c>
      <c r="P105" s="182" t="str">
        <f t="shared" ca="1" si="4"/>
        <v/>
      </c>
      <c r="Q105" s="104" t="str" cm="1">
        <f t="array" ref="Q105">_xlfn.IFS(AND(A105&gt;NumberOfPlots,ISBLANK(INDEX(PlotData,MATCH($A105,PlotNumber,0),MATCH(B$3,PlotTitles,0)))),"",ISBLANK(INDEX(PlotData,MATCH($A105,PlotNumber,0),MATCH(N$3,PlotTitles,0))),"",(DATEVALUE(INDEX(PlotData,MATCH($A105,PlotNumber,0),MATCH(N$3,PlotTitles,0))&amp;INDEX(PlotData,MATCH($A105,PlotNumber,0),MATCH(O$3,PlotTitles,0))))&lt;(DATEVALUE(INDEX(PlotData,MATCH($A105,PlotNumber,0),MATCH(I$3,PlotTitles,0))&amp;INDEX(PlotData,MATCH($A105,PlotNumber,0),MATCH(J$3,PlotTitles,0)))),$AB$20,TRUE,"")</f>
        <v/>
      </c>
      <c r="R105" s="104" t="str" cm="1">
        <f t="array" ref="R105">_xlfn.IFS(OR(ISBLANK(StartDateMonth),ISBLANK(StartDateYear)),"",AND(A105&gt;NumberOfPlots,ISBLANK(INDEX(PlotData,MATCH($A105,PlotNumber,0),MATCH(B$3,PlotTitles,0)))),"",ISBLANK(INDEX(PlotData,MATCH($A105,PlotNumber,0),MATCH(N$3,PlotTitles,0))),"",CompletionMonth="","",(DATEVALUE(INDEX(PlotData,MATCH($A105,PlotNumber,0),MATCH(N$3,PlotTitles,0))&amp;INDEX(PlotData,MATCH($A105,PlotNumber,0),MATCH(O$3,PlotTitles,0))))&gt;(DATEVALUE(CompletionMonth&amp;CompletionYear)),$AB$21,TRUE,"")</f>
        <v/>
      </c>
      <c r="S105" s="104" t="str" cm="1">
        <f t="array" ref="S105">_xlfn.IFS(AND(A105&gt;NumberOfPlots,ISBLANK(INDEX(PlotData,MATCH($A105,PlotNumber,0),MATCH(B$3,PlotTitles,0)))),"",OR(AND(INDEX(PlotData,MATCH($A105,PlotNumber,0),MATCH("Tenure",PlotTitles,0))="Open market housing",INDEX(PlotData,MATCH($A105,PlotNumber,0),MATCH("Tenure detail",PlotTitles,0))="Private rented sector"),INDEX(PlotData,MATCH($A105,PlotNumber,0),MATCH("Tenure",PlotTitles,0))="Affordable rent"),"",ISNUMBER(INDEX(PlotData,MATCH($A105,PlotNumber,0),MATCH(S$3,PlotTitles,0)))=FALSE, $AB$22,TRUE,"")</f>
        <v/>
      </c>
      <c r="T105" s="104" t="str" cm="1">
        <f t="array" ref="T105">_xlfn.IFS(AND(A105&gt;NumberOfPlots,ISBLANK(INDEX(PlotData,MATCH($A105,PlotNumber,0),MATCH(B$3,PlotTitles,0)))),"",OR(AND(INDEX(PlotData,MATCH($A105,PlotNumber,0),MATCH("Tenure",PlotTitles,0))="Open market housing",INDEX(PlotData,MATCH($A105,PlotNumber,0),MATCH("Tenure detail",PlotTitles,0))="Private rented sector"),INDEX(PlotData,MATCH($A105,PlotNumber,0),MATCH("Tenure",PlotTitles,0))="Affordable rent"),"",INDEX(PlotData,MATCH($A105,PlotNumber,0),MATCH(S$3,PlotTitles,0))&lt;10000, $AB$23,TRUE,"")</f>
        <v/>
      </c>
      <c r="U105" s="104" t="str" cm="1">
        <f t="array" ref="U105">_xlfn.IFS(AND(A105&gt;NumberOfPlots,ISBLANK(INDEX(PlotData,MATCH($A105,PlotNumber,0),MATCH(B$3,PlotTitles,0)))),"",NOT(OR(AND(INDEX(PlotData,MATCH($A105,PlotNumber,0),MATCH("Tenure",PlotTitles,0))="Open market housing",INDEX(PlotData,MATCH($A105,PlotNumber,0),MATCH("Tenure detail",PlotTitles,0))="Private rented sector"),INDEX(PlotData,MATCH($A105,PlotNumber,0),MATCH("Tenure",PlotTitles,0))="Affordable rent")),"",NOT(INDEX(PlotData,MATCH($A105,PlotNumber,0),MATCH(S$3,PlotTitles,0))=0), $AB$24,TRUE,"")</f>
        <v/>
      </c>
      <c r="V105" s="114" t="str" cm="1">
        <f t="array" aca="1" ref="V105" ca="1">_xlfn.IFS(ISBLANK(NumberOfPlots),"Enter the number of homes on the 1_SetUp sheet",AND(A105&gt;NumberOfPlots,ISBLANK(INDEX(PlotData,MATCH($A105,PlotNumber,0),MATCH(B$3,PlotTitles,0)))),"No error",NOT(B105=""),B105,NOT(C105=""),C105,NOT(D105=""),D105,NOT(E105=""),E105,NOT(F105=""),F105,NOT(G105=""),G105,NOT(H105=""),H105,NOT(I105=""),I105,NOT(J105=""),J105,NOT(K105=""),K105,NOT(L105=""),L105,NOT(M105=""),M105,NOT(N105=""),N105,NOT(O105=""),O105,NOT(P105=""),P105,NOT(Q105=""),Q105,NOT(R105=""),R105,NOT(S105=""),S105,NOT(T105=""),T105,NOT(U105=""),U105,TRUE,"No error")</f>
        <v>Enter the number of homes on the 1_SetUp sheet</v>
      </c>
      <c r="W105" s="114" t="str">
        <f t="shared" ca="1" si="5"/>
        <v xml:space="preserve">The Borrower has not addressed the following error messages for Home ID 101: </v>
      </c>
    </row>
    <row r="106" spans="1:23">
      <c r="A106" s="123">
        <v>102</v>
      </c>
      <c r="B106" s="104" t="str" cm="1">
        <f t="array" ref="B106">_xlfn.IFS(AND(A106&gt;NumberOfPlots,ISBLANK(INDEX(PlotData,MATCH($A106,PlotNumber,0),MATCH(B$3,PlotTitles,0)))),"",ISNUMBER(INDEX(PlotData,MATCH($A106,PlotNumber,0),MATCH(B$3,PlotTitles,0)))=FALSE, $AB$5,TRUE,"")</f>
        <v/>
      </c>
      <c r="C106" s="104" t="str" cm="1">
        <f t="array" ref="C106">_xlfn.IFS(AND(A106&gt;NumberOfPlots,ISBLANK(INDEX(PlotData,MATCH($A106,PlotNumber,0),MATCH(B$3,PlotTitles,0)))),"",ISBLANK(INDEX(PlotData,MATCH($A106,PlotNumber,0),MATCH(C$3,PlotTitles,0))),$AB$6,TRUE,"")</f>
        <v/>
      </c>
      <c r="D106" s="104" t="str" cm="1">
        <f t="array" ref="D106">_xlfn.IFS(AND(A106&gt;NumberOfPlots,ISBLANK(INDEX(PlotData,MATCH($A106,PlotNumber,0),MATCH(B$3,PlotTitles,0)))),"",ISBLANK(INDEX(PlotData,MATCH($A106,PlotNumber,0),MATCH(D$3,PlotTitles,0))),$AB$7,TRUE,"")</f>
        <v/>
      </c>
      <c r="E106" s="104" t="str" cm="1">
        <f t="array" ref="E106">_xlfn.IFS(AND(A106&gt;NumberOfPlots,ISBLANK(INDEX(PlotData,MATCH($A106,PlotNumber,0),MATCH(B$3,PlotTitles,0)))),"",ISBLANK(INDEX(PlotData,MATCH($A106,PlotNumber,0),MATCH(E$3,PlotTitles,0))),$AB$8,TRUE,"")</f>
        <v/>
      </c>
      <c r="F106" s="104" t="str" cm="1">
        <f t="array" ref="F106">_xlfn.IFS(AND(A106&gt;NumberOfPlots,ISBLANK(INDEX(PlotData,MATCH($A106,PlotNumber,0),MATCH(B$3,PlotTitles,0)))),"",ISBLANK(INDEX(PlotData,MATCH($A106,PlotNumber,0),MATCH(F$3,PlotTitles,0))),$AB$9,TRUE,"")</f>
        <v/>
      </c>
      <c r="G106" s="104" t="str" cm="1">
        <f t="array" ref="G106">_xlfn.IFS(AND(A106&gt;NumberOfPlots,ISBLANK(INDEX(PlotData,MATCH($A106,PlotNumber,0),MATCH(B$3,PlotTitles,0)))),"",ISBLANK(INDEX(PlotData,MATCH($A106,PlotNumber,0),MATCH(G$3,PlotTitles,0))),$AB$10,TRUE,"")</f>
        <v/>
      </c>
      <c r="H106" s="104" t="str" cm="1">
        <f t="array" ref="H106">_xlfn.IFS(AND(A106&gt;NumberOfPlots,ISBLANK(INDEX(PlotData,MATCH($A106,PlotNumber,0),MATCH(B$3,PlotTitles,0)))),"",AND(ISBLANK(INDEX(PlotData,MATCH($A106,PlotNumber,0),MATCH(H$3,PlotTitles,0)))=FALSE,INDEX(PlotData,MATCH($A106,PlotNumber,0),MATCH(H$3,PlotTitles,0))&lt;500), $AB$11,TRUE,"")</f>
        <v/>
      </c>
      <c r="I106" s="104" t="str" cm="1">
        <f t="array" ref="I106">_xlfn.IFS(AND(A106&gt;NumberOfPlots,ISBLANK(INDEX(PlotData,MATCH($A106,PlotNumber,0),MATCH(B$3,PlotTitles,0)))),"",ISBLANK(INDEX(PlotData,MATCH($A106,PlotNumber,0),MATCH(I$3,PlotTitles,0))),$AB$12,TRUE,"")</f>
        <v/>
      </c>
      <c r="J106" s="104" t="str" cm="1">
        <f t="array" ref="J106">_xlfn.IFS(AND(A106&gt;NumberOfPlots,ISBLANK(INDEX(PlotData,MATCH($A106,PlotNumber,0),MATCH(B$3,PlotTitles,0)))),"",ISBLANK(INDEX(PlotData,MATCH($A106,PlotNumber,0),MATCH(J$3,PlotTitles,0))),$AB$13,TRUE,"")</f>
        <v/>
      </c>
      <c r="K106" s="182" t="str">
        <f t="shared" ca="1" si="3"/>
        <v/>
      </c>
      <c r="L106" s="104" t="str" cm="1">
        <f t="array" ref="L106">_xlfn.IFS(OR(ISBLANK(StartDateMonth),ISBLANK(StartDateYear)),"",AND(A106&gt;NumberOfPlots,ISBLANK(INDEX(PlotData,MATCH($A106,PlotNumber,0),MATCH(B$3,PlotTitles,0)))),"",ISBLANK(INDEX(PlotData,MATCH($A106,PlotNumber,0),MATCH(I$3,PlotTitles,0))),"",(DATEVALUE(INDEX(PlotData,MATCH($A106,PlotNumber,0),MATCH(I$3,PlotTitles,0))&amp;INDEX(PlotData,MATCH($A106,PlotNumber,0),MATCH(J$3,PlotTitles,0))))&lt;DATEVALUE(StartDateMonth&amp;StartDateYear),$AB$15,TRUE,"")</f>
        <v/>
      </c>
      <c r="M106" s="104" t="str" cm="1">
        <f t="array" ref="M106">_xlfn.IFS(OR(ISBLANK(StartDateMonth),ISBLANK(StartDateYear)),"",AND(A106&gt;NumberOfPlots,ISBLANK(INDEX(PlotData,MATCH($A106,PlotNumber,0),MATCH(B$3,PlotTitles,0)))),"",ISBLANK(INDEX(PlotData,MATCH($A106,PlotNumber,0),MATCH(I$3,PlotTitles,0))),"",CompletionMonth="","",(DATEVALUE(INDEX(PlotData,MATCH($A106,PlotNumber,0),MATCH(I$3,PlotTitles,0))&amp;INDEX(PlotData,MATCH($A106,PlotNumber,0),MATCH(J$3,PlotTitles,0))))&gt;(DATEVALUE(CompletionMonth&amp;CompletionYear)),$AB$16,TRUE,"")</f>
        <v/>
      </c>
      <c r="N106" s="104" t="str" cm="1">
        <f t="array" ref="N106">_xlfn.IFS(AND(A106&gt;NumberOfPlots,ISBLANK(INDEX(PlotData,MATCH($A106,PlotNumber,0),MATCH(B$3,PlotTitles,0)))),"",ISBLANK(INDEX(PlotData,MATCH($A106,PlotNumber,0),MATCH(N$3,PlotTitles,0))),$AB$17,TRUE,"")</f>
        <v/>
      </c>
      <c r="O106" s="104" t="str" cm="1">
        <f t="array" ref="O106">_xlfn.IFS(AND(A106&gt;NumberOfPlots,ISBLANK(INDEX(PlotData,MATCH($A106,PlotNumber,0),MATCH(B$3,PlotTitles,0)))),"",ISBLANK(INDEX(PlotData,MATCH($A106,PlotNumber,0),MATCH(O$3,PlotTitles,0))),$AB$18,TRUE,"")</f>
        <v/>
      </c>
      <c r="P106" s="182" t="str">
        <f t="shared" ca="1" si="4"/>
        <v/>
      </c>
      <c r="Q106" s="104" t="str" cm="1">
        <f t="array" ref="Q106">_xlfn.IFS(AND(A106&gt;NumberOfPlots,ISBLANK(INDEX(PlotData,MATCH($A106,PlotNumber,0),MATCH(B$3,PlotTitles,0)))),"",ISBLANK(INDEX(PlotData,MATCH($A106,PlotNumber,0),MATCH(N$3,PlotTitles,0))),"",(DATEVALUE(INDEX(PlotData,MATCH($A106,PlotNumber,0),MATCH(N$3,PlotTitles,0))&amp;INDEX(PlotData,MATCH($A106,PlotNumber,0),MATCH(O$3,PlotTitles,0))))&lt;(DATEVALUE(INDEX(PlotData,MATCH($A106,PlotNumber,0),MATCH(I$3,PlotTitles,0))&amp;INDEX(PlotData,MATCH($A106,PlotNumber,0),MATCH(J$3,PlotTitles,0)))),$AB$20,TRUE,"")</f>
        <v/>
      </c>
      <c r="R106" s="104" t="str" cm="1">
        <f t="array" ref="R106">_xlfn.IFS(OR(ISBLANK(StartDateMonth),ISBLANK(StartDateYear)),"",AND(A106&gt;NumberOfPlots,ISBLANK(INDEX(PlotData,MATCH($A106,PlotNumber,0),MATCH(B$3,PlotTitles,0)))),"",ISBLANK(INDEX(PlotData,MATCH($A106,PlotNumber,0),MATCH(N$3,PlotTitles,0))),"",CompletionMonth="","",(DATEVALUE(INDEX(PlotData,MATCH($A106,PlotNumber,0),MATCH(N$3,PlotTitles,0))&amp;INDEX(PlotData,MATCH($A106,PlotNumber,0),MATCH(O$3,PlotTitles,0))))&gt;(DATEVALUE(CompletionMonth&amp;CompletionYear)),$AB$21,TRUE,"")</f>
        <v/>
      </c>
      <c r="S106" s="104" t="str" cm="1">
        <f t="array" ref="S106">_xlfn.IFS(AND(A106&gt;NumberOfPlots,ISBLANK(INDEX(PlotData,MATCH($A106,PlotNumber,0),MATCH(B$3,PlotTitles,0)))),"",OR(AND(INDEX(PlotData,MATCH($A106,PlotNumber,0),MATCH("Tenure",PlotTitles,0))="Open market housing",INDEX(PlotData,MATCH($A106,PlotNumber,0),MATCH("Tenure detail",PlotTitles,0))="Private rented sector"),INDEX(PlotData,MATCH($A106,PlotNumber,0),MATCH("Tenure",PlotTitles,0))="Affordable rent"),"",ISNUMBER(INDEX(PlotData,MATCH($A106,PlotNumber,0),MATCH(S$3,PlotTitles,0)))=FALSE, $AB$22,TRUE,"")</f>
        <v/>
      </c>
      <c r="T106" s="104" t="str" cm="1">
        <f t="array" ref="T106">_xlfn.IFS(AND(A106&gt;NumberOfPlots,ISBLANK(INDEX(PlotData,MATCH($A106,PlotNumber,0),MATCH(B$3,PlotTitles,0)))),"",OR(AND(INDEX(PlotData,MATCH($A106,PlotNumber,0),MATCH("Tenure",PlotTitles,0))="Open market housing",INDEX(PlotData,MATCH($A106,PlotNumber,0),MATCH("Tenure detail",PlotTitles,0))="Private rented sector"),INDEX(PlotData,MATCH($A106,PlotNumber,0),MATCH("Tenure",PlotTitles,0))="Affordable rent"),"",INDEX(PlotData,MATCH($A106,PlotNumber,0),MATCH(S$3,PlotTitles,0))&lt;10000, $AB$23,TRUE,"")</f>
        <v/>
      </c>
      <c r="U106" s="104" t="str" cm="1">
        <f t="array" ref="U106">_xlfn.IFS(AND(A106&gt;NumberOfPlots,ISBLANK(INDEX(PlotData,MATCH($A106,PlotNumber,0),MATCH(B$3,PlotTitles,0)))),"",NOT(OR(AND(INDEX(PlotData,MATCH($A106,PlotNumber,0),MATCH("Tenure",PlotTitles,0))="Open market housing",INDEX(PlotData,MATCH($A106,PlotNumber,0),MATCH("Tenure detail",PlotTitles,0))="Private rented sector"),INDEX(PlotData,MATCH($A106,PlotNumber,0),MATCH("Tenure",PlotTitles,0))="Affordable rent")),"",NOT(INDEX(PlotData,MATCH($A106,PlotNumber,0),MATCH(S$3,PlotTitles,0))=0), $AB$24,TRUE,"")</f>
        <v/>
      </c>
      <c r="V106" s="114" t="str" cm="1">
        <f t="array" aca="1" ref="V106" ca="1">_xlfn.IFS(ISBLANK(NumberOfPlots),"Enter the number of homes on the 1_SetUp sheet",AND(A106&gt;NumberOfPlots,ISBLANK(INDEX(PlotData,MATCH($A106,PlotNumber,0),MATCH(B$3,PlotTitles,0)))),"No error",NOT(B106=""),B106,NOT(C106=""),C106,NOT(D106=""),D106,NOT(E106=""),E106,NOT(F106=""),F106,NOT(G106=""),G106,NOT(H106=""),H106,NOT(I106=""),I106,NOT(J106=""),J106,NOT(K106=""),K106,NOT(L106=""),L106,NOT(M106=""),M106,NOT(N106=""),N106,NOT(O106=""),O106,NOT(P106=""),P106,NOT(Q106=""),Q106,NOT(R106=""),R106,NOT(S106=""),S106,NOT(T106=""),T106,NOT(U106=""),U106,TRUE,"No error")</f>
        <v>Enter the number of homes on the 1_SetUp sheet</v>
      </c>
      <c r="W106" s="114" t="str">
        <f t="shared" ca="1" si="5"/>
        <v xml:space="preserve">The Borrower has not addressed the following error messages for Home ID 102: </v>
      </c>
    </row>
    <row r="107" spans="1:23">
      <c r="A107" s="123">
        <v>103</v>
      </c>
      <c r="B107" s="104" t="str" cm="1">
        <f t="array" ref="B107">_xlfn.IFS(AND(A107&gt;NumberOfPlots,ISBLANK(INDEX(PlotData,MATCH($A107,PlotNumber,0),MATCH(B$3,PlotTitles,0)))),"",ISNUMBER(INDEX(PlotData,MATCH($A107,PlotNumber,0),MATCH(B$3,PlotTitles,0)))=FALSE, $AB$5,TRUE,"")</f>
        <v/>
      </c>
      <c r="C107" s="104" t="str" cm="1">
        <f t="array" ref="C107">_xlfn.IFS(AND(A107&gt;NumberOfPlots,ISBLANK(INDEX(PlotData,MATCH($A107,PlotNumber,0),MATCH(B$3,PlotTitles,0)))),"",ISBLANK(INDEX(PlotData,MATCH($A107,PlotNumber,0),MATCH(C$3,PlotTitles,0))),$AB$6,TRUE,"")</f>
        <v/>
      </c>
      <c r="D107" s="104" t="str" cm="1">
        <f t="array" ref="D107">_xlfn.IFS(AND(A107&gt;NumberOfPlots,ISBLANK(INDEX(PlotData,MATCH($A107,PlotNumber,0),MATCH(B$3,PlotTitles,0)))),"",ISBLANK(INDEX(PlotData,MATCH($A107,PlotNumber,0),MATCH(D$3,PlotTitles,0))),$AB$7,TRUE,"")</f>
        <v/>
      </c>
      <c r="E107" s="104" t="str" cm="1">
        <f t="array" ref="E107">_xlfn.IFS(AND(A107&gt;NumberOfPlots,ISBLANK(INDEX(PlotData,MATCH($A107,PlotNumber,0),MATCH(B$3,PlotTitles,0)))),"",ISBLANK(INDEX(PlotData,MATCH($A107,PlotNumber,0),MATCH(E$3,PlotTitles,0))),$AB$8,TRUE,"")</f>
        <v/>
      </c>
      <c r="F107" s="104" t="str" cm="1">
        <f t="array" ref="F107">_xlfn.IFS(AND(A107&gt;NumberOfPlots,ISBLANK(INDEX(PlotData,MATCH($A107,PlotNumber,0),MATCH(B$3,PlotTitles,0)))),"",ISBLANK(INDEX(PlotData,MATCH($A107,PlotNumber,0),MATCH(F$3,PlotTitles,0))),$AB$9,TRUE,"")</f>
        <v/>
      </c>
      <c r="G107" s="104" t="str" cm="1">
        <f t="array" ref="G107">_xlfn.IFS(AND(A107&gt;NumberOfPlots,ISBLANK(INDEX(PlotData,MATCH($A107,PlotNumber,0),MATCH(B$3,PlotTitles,0)))),"",ISBLANK(INDEX(PlotData,MATCH($A107,PlotNumber,0),MATCH(G$3,PlotTitles,0))),$AB$10,TRUE,"")</f>
        <v/>
      </c>
      <c r="H107" s="104" t="str" cm="1">
        <f t="array" ref="H107">_xlfn.IFS(AND(A107&gt;NumberOfPlots,ISBLANK(INDEX(PlotData,MATCH($A107,PlotNumber,0),MATCH(B$3,PlotTitles,0)))),"",AND(ISBLANK(INDEX(PlotData,MATCH($A107,PlotNumber,0),MATCH(H$3,PlotTitles,0)))=FALSE,INDEX(PlotData,MATCH($A107,PlotNumber,0),MATCH(H$3,PlotTitles,0))&lt;500), $AB$11,TRUE,"")</f>
        <v/>
      </c>
      <c r="I107" s="104" t="str" cm="1">
        <f t="array" ref="I107">_xlfn.IFS(AND(A107&gt;NumberOfPlots,ISBLANK(INDEX(PlotData,MATCH($A107,PlotNumber,0),MATCH(B$3,PlotTitles,0)))),"",ISBLANK(INDEX(PlotData,MATCH($A107,PlotNumber,0),MATCH(I$3,PlotTitles,0))),$AB$12,TRUE,"")</f>
        <v/>
      </c>
      <c r="J107" s="104" t="str" cm="1">
        <f t="array" ref="J107">_xlfn.IFS(AND(A107&gt;NumberOfPlots,ISBLANK(INDEX(PlotData,MATCH($A107,PlotNumber,0),MATCH(B$3,PlotTitles,0)))),"",ISBLANK(INDEX(PlotData,MATCH($A107,PlotNumber,0),MATCH(J$3,PlotTitles,0))),$AB$13,TRUE,"")</f>
        <v/>
      </c>
      <c r="K107" s="182" t="str">
        <f t="shared" ca="1" si="3"/>
        <v/>
      </c>
      <c r="L107" s="104" t="str" cm="1">
        <f t="array" ref="L107">_xlfn.IFS(OR(ISBLANK(StartDateMonth),ISBLANK(StartDateYear)),"",AND(A107&gt;NumberOfPlots,ISBLANK(INDEX(PlotData,MATCH($A107,PlotNumber,0),MATCH(B$3,PlotTitles,0)))),"",ISBLANK(INDEX(PlotData,MATCH($A107,PlotNumber,0),MATCH(I$3,PlotTitles,0))),"",(DATEVALUE(INDEX(PlotData,MATCH($A107,PlotNumber,0),MATCH(I$3,PlotTitles,0))&amp;INDEX(PlotData,MATCH($A107,PlotNumber,0),MATCH(J$3,PlotTitles,0))))&lt;DATEVALUE(StartDateMonth&amp;StartDateYear),$AB$15,TRUE,"")</f>
        <v/>
      </c>
      <c r="M107" s="104" t="str" cm="1">
        <f t="array" ref="M107">_xlfn.IFS(OR(ISBLANK(StartDateMonth),ISBLANK(StartDateYear)),"",AND(A107&gt;NumberOfPlots,ISBLANK(INDEX(PlotData,MATCH($A107,PlotNumber,0),MATCH(B$3,PlotTitles,0)))),"",ISBLANK(INDEX(PlotData,MATCH($A107,PlotNumber,0),MATCH(I$3,PlotTitles,0))),"",CompletionMonth="","",(DATEVALUE(INDEX(PlotData,MATCH($A107,PlotNumber,0),MATCH(I$3,PlotTitles,0))&amp;INDEX(PlotData,MATCH($A107,PlotNumber,0),MATCH(J$3,PlotTitles,0))))&gt;(DATEVALUE(CompletionMonth&amp;CompletionYear)),$AB$16,TRUE,"")</f>
        <v/>
      </c>
      <c r="N107" s="104" t="str" cm="1">
        <f t="array" ref="N107">_xlfn.IFS(AND(A107&gt;NumberOfPlots,ISBLANK(INDEX(PlotData,MATCH($A107,PlotNumber,0),MATCH(B$3,PlotTitles,0)))),"",ISBLANK(INDEX(PlotData,MATCH($A107,PlotNumber,0),MATCH(N$3,PlotTitles,0))),$AB$17,TRUE,"")</f>
        <v/>
      </c>
      <c r="O107" s="104" t="str" cm="1">
        <f t="array" ref="O107">_xlfn.IFS(AND(A107&gt;NumberOfPlots,ISBLANK(INDEX(PlotData,MATCH($A107,PlotNumber,0),MATCH(B$3,PlotTitles,0)))),"",ISBLANK(INDEX(PlotData,MATCH($A107,PlotNumber,0),MATCH(O$3,PlotTitles,0))),$AB$18,TRUE,"")</f>
        <v/>
      </c>
      <c r="P107" s="182" t="str">
        <f t="shared" ca="1" si="4"/>
        <v/>
      </c>
      <c r="Q107" s="104" t="str" cm="1">
        <f t="array" ref="Q107">_xlfn.IFS(AND(A107&gt;NumberOfPlots,ISBLANK(INDEX(PlotData,MATCH($A107,PlotNumber,0),MATCH(B$3,PlotTitles,0)))),"",ISBLANK(INDEX(PlotData,MATCH($A107,PlotNumber,0),MATCH(N$3,PlotTitles,0))),"",(DATEVALUE(INDEX(PlotData,MATCH($A107,PlotNumber,0),MATCH(N$3,PlotTitles,0))&amp;INDEX(PlotData,MATCH($A107,PlotNumber,0),MATCH(O$3,PlotTitles,0))))&lt;(DATEVALUE(INDEX(PlotData,MATCH($A107,PlotNumber,0),MATCH(I$3,PlotTitles,0))&amp;INDEX(PlotData,MATCH($A107,PlotNumber,0),MATCH(J$3,PlotTitles,0)))),$AB$20,TRUE,"")</f>
        <v/>
      </c>
      <c r="R107" s="104" t="str" cm="1">
        <f t="array" ref="R107">_xlfn.IFS(OR(ISBLANK(StartDateMonth),ISBLANK(StartDateYear)),"",AND(A107&gt;NumberOfPlots,ISBLANK(INDEX(PlotData,MATCH($A107,PlotNumber,0),MATCH(B$3,PlotTitles,0)))),"",ISBLANK(INDEX(PlotData,MATCH($A107,PlotNumber,0),MATCH(N$3,PlotTitles,0))),"",CompletionMonth="","",(DATEVALUE(INDEX(PlotData,MATCH($A107,PlotNumber,0),MATCH(N$3,PlotTitles,0))&amp;INDEX(PlotData,MATCH($A107,PlotNumber,0),MATCH(O$3,PlotTitles,0))))&gt;(DATEVALUE(CompletionMonth&amp;CompletionYear)),$AB$21,TRUE,"")</f>
        <v/>
      </c>
      <c r="S107" s="104" t="str" cm="1">
        <f t="array" ref="S107">_xlfn.IFS(AND(A107&gt;NumberOfPlots,ISBLANK(INDEX(PlotData,MATCH($A107,PlotNumber,0),MATCH(B$3,PlotTitles,0)))),"",OR(AND(INDEX(PlotData,MATCH($A107,PlotNumber,0),MATCH("Tenure",PlotTitles,0))="Open market housing",INDEX(PlotData,MATCH($A107,PlotNumber,0),MATCH("Tenure detail",PlotTitles,0))="Private rented sector"),INDEX(PlotData,MATCH($A107,PlotNumber,0),MATCH("Tenure",PlotTitles,0))="Affordable rent"),"",ISNUMBER(INDEX(PlotData,MATCH($A107,PlotNumber,0),MATCH(S$3,PlotTitles,0)))=FALSE, $AB$22,TRUE,"")</f>
        <v/>
      </c>
      <c r="T107" s="104" t="str" cm="1">
        <f t="array" ref="T107">_xlfn.IFS(AND(A107&gt;NumberOfPlots,ISBLANK(INDEX(PlotData,MATCH($A107,PlotNumber,0),MATCH(B$3,PlotTitles,0)))),"",OR(AND(INDEX(PlotData,MATCH($A107,PlotNumber,0),MATCH("Tenure",PlotTitles,0))="Open market housing",INDEX(PlotData,MATCH($A107,PlotNumber,0),MATCH("Tenure detail",PlotTitles,0))="Private rented sector"),INDEX(PlotData,MATCH($A107,PlotNumber,0),MATCH("Tenure",PlotTitles,0))="Affordable rent"),"",INDEX(PlotData,MATCH($A107,PlotNumber,0),MATCH(S$3,PlotTitles,0))&lt;10000, $AB$23,TRUE,"")</f>
        <v/>
      </c>
      <c r="U107" s="104" t="str" cm="1">
        <f t="array" ref="U107">_xlfn.IFS(AND(A107&gt;NumberOfPlots,ISBLANK(INDEX(PlotData,MATCH($A107,PlotNumber,0),MATCH(B$3,PlotTitles,0)))),"",NOT(OR(AND(INDEX(PlotData,MATCH($A107,PlotNumber,0),MATCH("Tenure",PlotTitles,0))="Open market housing",INDEX(PlotData,MATCH($A107,PlotNumber,0),MATCH("Tenure detail",PlotTitles,0))="Private rented sector"),INDEX(PlotData,MATCH($A107,PlotNumber,0),MATCH("Tenure",PlotTitles,0))="Affordable rent")),"",NOT(INDEX(PlotData,MATCH($A107,PlotNumber,0),MATCH(S$3,PlotTitles,0))=0), $AB$24,TRUE,"")</f>
        <v/>
      </c>
      <c r="V107" s="114" t="str" cm="1">
        <f t="array" aca="1" ref="V107" ca="1">_xlfn.IFS(ISBLANK(NumberOfPlots),"Enter the number of homes on the 1_SetUp sheet",AND(A107&gt;NumberOfPlots,ISBLANK(INDEX(PlotData,MATCH($A107,PlotNumber,0),MATCH(B$3,PlotTitles,0)))),"No error",NOT(B107=""),B107,NOT(C107=""),C107,NOT(D107=""),D107,NOT(E107=""),E107,NOT(F107=""),F107,NOT(G107=""),G107,NOT(H107=""),H107,NOT(I107=""),I107,NOT(J107=""),J107,NOT(K107=""),K107,NOT(L107=""),L107,NOT(M107=""),M107,NOT(N107=""),N107,NOT(O107=""),O107,NOT(P107=""),P107,NOT(Q107=""),Q107,NOT(R107=""),R107,NOT(S107=""),S107,NOT(T107=""),T107,NOT(U107=""),U107,TRUE,"No error")</f>
        <v>Enter the number of homes on the 1_SetUp sheet</v>
      </c>
      <c r="W107" s="114" t="str">
        <f t="shared" ca="1" si="5"/>
        <v xml:space="preserve">The Borrower has not addressed the following error messages for Home ID 103: </v>
      </c>
    </row>
    <row r="108" spans="1:23">
      <c r="A108" s="123">
        <v>104</v>
      </c>
      <c r="B108" s="104" t="str" cm="1">
        <f t="array" ref="B108">_xlfn.IFS(AND(A108&gt;NumberOfPlots,ISBLANK(INDEX(PlotData,MATCH($A108,PlotNumber,0),MATCH(B$3,PlotTitles,0)))),"",ISNUMBER(INDEX(PlotData,MATCH($A108,PlotNumber,0),MATCH(B$3,PlotTitles,0)))=FALSE, $AB$5,TRUE,"")</f>
        <v/>
      </c>
      <c r="C108" s="104" t="str" cm="1">
        <f t="array" ref="C108">_xlfn.IFS(AND(A108&gt;NumberOfPlots,ISBLANK(INDEX(PlotData,MATCH($A108,PlotNumber,0),MATCH(B$3,PlotTitles,0)))),"",ISBLANK(INDEX(PlotData,MATCH($A108,PlotNumber,0),MATCH(C$3,PlotTitles,0))),$AB$6,TRUE,"")</f>
        <v/>
      </c>
      <c r="D108" s="104" t="str" cm="1">
        <f t="array" ref="D108">_xlfn.IFS(AND(A108&gt;NumberOfPlots,ISBLANK(INDEX(PlotData,MATCH($A108,PlotNumber,0),MATCH(B$3,PlotTitles,0)))),"",ISBLANK(INDEX(PlotData,MATCH($A108,PlotNumber,0),MATCH(D$3,PlotTitles,0))),$AB$7,TRUE,"")</f>
        <v/>
      </c>
      <c r="E108" s="104" t="str" cm="1">
        <f t="array" ref="E108">_xlfn.IFS(AND(A108&gt;NumberOfPlots,ISBLANK(INDEX(PlotData,MATCH($A108,PlotNumber,0),MATCH(B$3,PlotTitles,0)))),"",ISBLANK(INDEX(PlotData,MATCH($A108,PlotNumber,0),MATCH(E$3,PlotTitles,0))),$AB$8,TRUE,"")</f>
        <v/>
      </c>
      <c r="F108" s="104" t="str" cm="1">
        <f t="array" ref="F108">_xlfn.IFS(AND(A108&gt;NumberOfPlots,ISBLANK(INDEX(PlotData,MATCH($A108,PlotNumber,0),MATCH(B$3,PlotTitles,0)))),"",ISBLANK(INDEX(PlotData,MATCH($A108,PlotNumber,0),MATCH(F$3,PlotTitles,0))),$AB$9,TRUE,"")</f>
        <v/>
      </c>
      <c r="G108" s="104" t="str" cm="1">
        <f t="array" ref="G108">_xlfn.IFS(AND(A108&gt;NumberOfPlots,ISBLANK(INDEX(PlotData,MATCH($A108,PlotNumber,0),MATCH(B$3,PlotTitles,0)))),"",ISBLANK(INDEX(PlotData,MATCH($A108,PlotNumber,0),MATCH(G$3,PlotTitles,0))),$AB$10,TRUE,"")</f>
        <v/>
      </c>
      <c r="H108" s="104" t="str" cm="1">
        <f t="array" ref="H108">_xlfn.IFS(AND(A108&gt;NumberOfPlots,ISBLANK(INDEX(PlotData,MATCH($A108,PlotNumber,0),MATCH(B$3,PlotTitles,0)))),"",AND(ISBLANK(INDEX(PlotData,MATCH($A108,PlotNumber,0),MATCH(H$3,PlotTitles,0)))=FALSE,INDEX(PlotData,MATCH($A108,PlotNumber,0),MATCH(H$3,PlotTitles,0))&lt;500), $AB$11,TRUE,"")</f>
        <v/>
      </c>
      <c r="I108" s="104" t="str" cm="1">
        <f t="array" ref="I108">_xlfn.IFS(AND(A108&gt;NumberOfPlots,ISBLANK(INDEX(PlotData,MATCH($A108,PlotNumber,0),MATCH(B$3,PlotTitles,0)))),"",ISBLANK(INDEX(PlotData,MATCH($A108,PlotNumber,0),MATCH(I$3,PlotTitles,0))),$AB$12,TRUE,"")</f>
        <v/>
      </c>
      <c r="J108" s="104" t="str" cm="1">
        <f t="array" ref="J108">_xlfn.IFS(AND(A108&gt;NumberOfPlots,ISBLANK(INDEX(PlotData,MATCH($A108,PlotNumber,0),MATCH(B$3,PlotTitles,0)))),"",ISBLANK(INDEX(PlotData,MATCH($A108,PlotNumber,0),MATCH(J$3,PlotTitles,0))),$AB$13,TRUE,"")</f>
        <v/>
      </c>
      <c r="K108" s="182" t="str">
        <f t="shared" ca="1" si="3"/>
        <v/>
      </c>
      <c r="L108" s="104" t="str" cm="1">
        <f t="array" ref="L108">_xlfn.IFS(OR(ISBLANK(StartDateMonth),ISBLANK(StartDateYear)),"",AND(A108&gt;NumberOfPlots,ISBLANK(INDEX(PlotData,MATCH($A108,PlotNumber,0),MATCH(B$3,PlotTitles,0)))),"",ISBLANK(INDEX(PlotData,MATCH($A108,PlotNumber,0),MATCH(I$3,PlotTitles,0))),"",(DATEVALUE(INDEX(PlotData,MATCH($A108,PlotNumber,0),MATCH(I$3,PlotTitles,0))&amp;INDEX(PlotData,MATCH($A108,PlotNumber,0),MATCH(J$3,PlotTitles,0))))&lt;DATEVALUE(StartDateMonth&amp;StartDateYear),$AB$15,TRUE,"")</f>
        <v/>
      </c>
      <c r="M108" s="104" t="str" cm="1">
        <f t="array" ref="M108">_xlfn.IFS(OR(ISBLANK(StartDateMonth),ISBLANK(StartDateYear)),"",AND(A108&gt;NumberOfPlots,ISBLANK(INDEX(PlotData,MATCH($A108,PlotNumber,0),MATCH(B$3,PlotTitles,0)))),"",ISBLANK(INDEX(PlotData,MATCH($A108,PlotNumber,0),MATCH(I$3,PlotTitles,0))),"",CompletionMonth="","",(DATEVALUE(INDEX(PlotData,MATCH($A108,PlotNumber,0),MATCH(I$3,PlotTitles,0))&amp;INDEX(PlotData,MATCH($A108,PlotNumber,0),MATCH(J$3,PlotTitles,0))))&gt;(DATEVALUE(CompletionMonth&amp;CompletionYear)),$AB$16,TRUE,"")</f>
        <v/>
      </c>
      <c r="N108" s="104" t="str" cm="1">
        <f t="array" ref="N108">_xlfn.IFS(AND(A108&gt;NumberOfPlots,ISBLANK(INDEX(PlotData,MATCH($A108,PlotNumber,0),MATCH(B$3,PlotTitles,0)))),"",ISBLANK(INDEX(PlotData,MATCH($A108,PlotNumber,0),MATCH(N$3,PlotTitles,0))),$AB$17,TRUE,"")</f>
        <v/>
      </c>
      <c r="O108" s="104" t="str" cm="1">
        <f t="array" ref="O108">_xlfn.IFS(AND(A108&gt;NumberOfPlots,ISBLANK(INDEX(PlotData,MATCH($A108,PlotNumber,0),MATCH(B$3,PlotTitles,0)))),"",ISBLANK(INDEX(PlotData,MATCH($A108,PlotNumber,0),MATCH(O$3,PlotTitles,0))),$AB$18,TRUE,"")</f>
        <v/>
      </c>
      <c r="P108" s="182" t="str">
        <f t="shared" ca="1" si="4"/>
        <v/>
      </c>
      <c r="Q108" s="104" t="str" cm="1">
        <f t="array" ref="Q108">_xlfn.IFS(AND(A108&gt;NumberOfPlots,ISBLANK(INDEX(PlotData,MATCH($A108,PlotNumber,0),MATCH(B$3,PlotTitles,0)))),"",ISBLANK(INDEX(PlotData,MATCH($A108,PlotNumber,0),MATCH(N$3,PlotTitles,0))),"",(DATEVALUE(INDEX(PlotData,MATCH($A108,PlotNumber,0),MATCH(N$3,PlotTitles,0))&amp;INDEX(PlotData,MATCH($A108,PlotNumber,0),MATCH(O$3,PlotTitles,0))))&lt;(DATEVALUE(INDEX(PlotData,MATCH($A108,PlotNumber,0),MATCH(I$3,PlotTitles,0))&amp;INDEX(PlotData,MATCH($A108,PlotNumber,0),MATCH(J$3,PlotTitles,0)))),$AB$20,TRUE,"")</f>
        <v/>
      </c>
      <c r="R108" s="104" t="str" cm="1">
        <f t="array" ref="R108">_xlfn.IFS(OR(ISBLANK(StartDateMonth),ISBLANK(StartDateYear)),"",AND(A108&gt;NumberOfPlots,ISBLANK(INDEX(PlotData,MATCH($A108,PlotNumber,0),MATCH(B$3,PlotTitles,0)))),"",ISBLANK(INDEX(PlotData,MATCH($A108,PlotNumber,0),MATCH(N$3,PlotTitles,0))),"",CompletionMonth="","",(DATEVALUE(INDEX(PlotData,MATCH($A108,PlotNumber,0),MATCH(N$3,PlotTitles,0))&amp;INDEX(PlotData,MATCH($A108,PlotNumber,0),MATCH(O$3,PlotTitles,0))))&gt;(DATEVALUE(CompletionMonth&amp;CompletionYear)),$AB$21,TRUE,"")</f>
        <v/>
      </c>
      <c r="S108" s="104" t="str" cm="1">
        <f t="array" ref="S108">_xlfn.IFS(AND(A108&gt;NumberOfPlots,ISBLANK(INDEX(PlotData,MATCH($A108,PlotNumber,0),MATCH(B$3,PlotTitles,0)))),"",OR(AND(INDEX(PlotData,MATCH($A108,PlotNumber,0),MATCH("Tenure",PlotTitles,0))="Open market housing",INDEX(PlotData,MATCH($A108,PlotNumber,0),MATCH("Tenure detail",PlotTitles,0))="Private rented sector"),INDEX(PlotData,MATCH($A108,PlotNumber,0),MATCH("Tenure",PlotTitles,0))="Affordable rent"),"",ISNUMBER(INDEX(PlotData,MATCH($A108,PlotNumber,0),MATCH(S$3,PlotTitles,0)))=FALSE, $AB$22,TRUE,"")</f>
        <v/>
      </c>
      <c r="T108" s="104" t="str" cm="1">
        <f t="array" ref="T108">_xlfn.IFS(AND(A108&gt;NumberOfPlots,ISBLANK(INDEX(PlotData,MATCH($A108,PlotNumber,0),MATCH(B$3,PlotTitles,0)))),"",OR(AND(INDEX(PlotData,MATCH($A108,PlotNumber,0),MATCH("Tenure",PlotTitles,0))="Open market housing",INDEX(PlotData,MATCH($A108,PlotNumber,0),MATCH("Tenure detail",PlotTitles,0))="Private rented sector"),INDEX(PlotData,MATCH($A108,PlotNumber,0),MATCH("Tenure",PlotTitles,0))="Affordable rent"),"",INDEX(PlotData,MATCH($A108,PlotNumber,0),MATCH(S$3,PlotTitles,0))&lt;10000, $AB$23,TRUE,"")</f>
        <v/>
      </c>
      <c r="U108" s="104" t="str" cm="1">
        <f t="array" ref="U108">_xlfn.IFS(AND(A108&gt;NumberOfPlots,ISBLANK(INDEX(PlotData,MATCH($A108,PlotNumber,0),MATCH(B$3,PlotTitles,0)))),"",NOT(OR(AND(INDEX(PlotData,MATCH($A108,PlotNumber,0),MATCH("Tenure",PlotTitles,0))="Open market housing",INDEX(PlotData,MATCH($A108,PlotNumber,0),MATCH("Tenure detail",PlotTitles,0))="Private rented sector"),INDEX(PlotData,MATCH($A108,PlotNumber,0),MATCH("Tenure",PlotTitles,0))="Affordable rent")),"",NOT(INDEX(PlotData,MATCH($A108,PlotNumber,0),MATCH(S$3,PlotTitles,0))=0), $AB$24,TRUE,"")</f>
        <v/>
      </c>
      <c r="V108" s="114" t="str" cm="1">
        <f t="array" aca="1" ref="V108" ca="1">_xlfn.IFS(ISBLANK(NumberOfPlots),"Enter the number of homes on the 1_SetUp sheet",AND(A108&gt;NumberOfPlots,ISBLANK(INDEX(PlotData,MATCH($A108,PlotNumber,0),MATCH(B$3,PlotTitles,0)))),"No error",NOT(B108=""),B108,NOT(C108=""),C108,NOT(D108=""),D108,NOT(E108=""),E108,NOT(F108=""),F108,NOT(G108=""),G108,NOT(H108=""),H108,NOT(I108=""),I108,NOT(J108=""),J108,NOT(K108=""),K108,NOT(L108=""),L108,NOT(M108=""),M108,NOT(N108=""),N108,NOT(O108=""),O108,NOT(P108=""),P108,NOT(Q108=""),Q108,NOT(R108=""),R108,NOT(S108=""),S108,NOT(T108=""),T108,NOT(U108=""),U108,TRUE,"No error")</f>
        <v>Enter the number of homes on the 1_SetUp sheet</v>
      </c>
      <c r="W108" s="114" t="str">
        <f t="shared" ca="1" si="5"/>
        <v xml:space="preserve">The Borrower has not addressed the following error messages for Home ID 104: </v>
      </c>
    </row>
    <row r="109" spans="1:23">
      <c r="A109" s="123">
        <v>105</v>
      </c>
      <c r="B109" s="104" t="str" cm="1">
        <f t="array" ref="B109">_xlfn.IFS(AND(A109&gt;NumberOfPlots,ISBLANK(INDEX(PlotData,MATCH($A109,PlotNumber,0),MATCH(B$3,PlotTitles,0)))),"",ISNUMBER(INDEX(PlotData,MATCH($A109,PlotNumber,0),MATCH(B$3,PlotTitles,0)))=FALSE, $AB$5,TRUE,"")</f>
        <v/>
      </c>
      <c r="C109" s="104" t="str" cm="1">
        <f t="array" ref="C109">_xlfn.IFS(AND(A109&gt;NumberOfPlots,ISBLANK(INDEX(PlotData,MATCH($A109,PlotNumber,0),MATCH(B$3,PlotTitles,0)))),"",ISBLANK(INDEX(PlotData,MATCH($A109,PlotNumber,0),MATCH(C$3,PlotTitles,0))),$AB$6,TRUE,"")</f>
        <v/>
      </c>
      <c r="D109" s="104" t="str" cm="1">
        <f t="array" ref="D109">_xlfn.IFS(AND(A109&gt;NumberOfPlots,ISBLANK(INDEX(PlotData,MATCH($A109,PlotNumber,0),MATCH(B$3,PlotTitles,0)))),"",ISBLANK(INDEX(PlotData,MATCH($A109,PlotNumber,0),MATCH(D$3,PlotTitles,0))),$AB$7,TRUE,"")</f>
        <v/>
      </c>
      <c r="E109" s="104" t="str" cm="1">
        <f t="array" ref="E109">_xlfn.IFS(AND(A109&gt;NumberOfPlots,ISBLANK(INDEX(PlotData,MATCH($A109,PlotNumber,0),MATCH(B$3,PlotTitles,0)))),"",ISBLANK(INDEX(PlotData,MATCH($A109,PlotNumber,0),MATCH(E$3,PlotTitles,0))),$AB$8,TRUE,"")</f>
        <v/>
      </c>
      <c r="F109" s="104" t="str" cm="1">
        <f t="array" ref="F109">_xlfn.IFS(AND(A109&gt;NumberOfPlots,ISBLANK(INDEX(PlotData,MATCH($A109,PlotNumber,0),MATCH(B$3,PlotTitles,0)))),"",ISBLANK(INDEX(PlotData,MATCH($A109,PlotNumber,0),MATCH(F$3,PlotTitles,0))),$AB$9,TRUE,"")</f>
        <v/>
      </c>
      <c r="G109" s="104" t="str" cm="1">
        <f t="array" ref="G109">_xlfn.IFS(AND(A109&gt;NumberOfPlots,ISBLANK(INDEX(PlotData,MATCH($A109,PlotNumber,0),MATCH(B$3,PlotTitles,0)))),"",ISBLANK(INDEX(PlotData,MATCH($A109,PlotNumber,0),MATCH(G$3,PlotTitles,0))),$AB$10,TRUE,"")</f>
        <v/>
      </c>
      <c r="H109" s="104" t="str" cm="1">
        <f t="array" ref="H109">_xlfn.IFS(AND(A109&gt;NumberOfPlots,ISBLANK(INDEX(PlotData,MATCH($A109,PlotNumber,0),MATCH(B$3,PlotTitles,0)))),"",AND(ISBLANK(INDEX(PlotData,MATCH($A109,PlotNumber,0),MATCH(H$3,PlotTitles,0)))=FALSE,INDEX(PlotData,MATCH($A109,PlotNumber,0),MATCH(H$3,PlotTitles,0))&lt;500), $AB$11,TRUE,"")</f>
        <v/>
      </c>
      <c r="I109" s="104" t="str" cm="1">
        <f t="array" ref="I109">_xlfn.IFS(AND(A109&gt;NumberOfPlots,ISBLANK(INDEX(PlotData,MATCH($A109,PlotNumber,0),MATCH(B$3,PlotTitles,0)))),"",ISBLANK(INDEX(PlotData,MATCH($A109,PlotNumber,0),MATCH(I$3,PlotTitles,0))),$AB$12,TRUE,"")</f>
        <v/>
      </c>
      <c r="J109" s="104" t="str" cm="1">
        <f t="array" ref="J109">_xlfn.IFS(AND(A109&gt;NumberOfPlots,ISBLANK(INDEX(PlotData,MATCH($A109,PlotNumber,0),MATCH(B$3,PlotTitles,0)))),"",ISBLANK(INDEX(PlotData,MATCH($A109,PlotNumber,0),MATCH(J$3,PlotTitles,0))),$AB$13,TRUE,"")</f>
        <v/>
      </c>
      <c r="K109" s="182" t="str">
        <f t="shared" ca="1" si="3"/>
        <v/>
      </c>
      <c r="L109" s="104" t="str" cm="1">
        <f t="array" ref="L109">_xlfn.IFS(OR(ISBLANK(StartDateMonth),ISBLANK(StartDateYear)),"",AND(A109&gt;NumberOfPlots,ISBLANK(INDEX(PlotData,MATCH($A109,PlotNumber,0),MATCH(B$3,PlotTitles,0)))),"",ISBLANK(INDEX(PlotData,MATCH($A109,PlotNumber,0),MATCH(I$3,PlotTitles,0))),"",(DATEVALUE(INDEX(PlotData,MATCH($A109,PlotNumber,0),MATCH(I$3,PlotTitles,0))&amp;INDEX(PlotData,MATCH($A109,PlotNumber,0),MATCH(J$3,PlotTitles,0))))&lt;DATEVALUE(StartDateMonth&amp;StartDateYear),$AB$15,TRUE,"")</f>
        <v/>
      </c>
      <c r="M109" s="104" t="str" cm="1">
        <f t="array" ref="M109">_xlfn.IFS(OR(ISBLANK(StartDateMonth),ISBLANK(StartDateYear)),"",AND(A109&gt;NumberOfPlots,ISBLANK(INDEX(PlotData,MATCH($A109,PlotNumber,0),MATCH(B$3,PlotTitles,0)))),"",ISBLANK(INDEX(PlotData,MATCH($A109,PlotNumber,0),MATCH(I$3,PlotTitles,0))),"",CompletionMonth="","",(DATEVALUE(INDEX(PlotData,MATCH($A109,PlotNumber,0),MATCH(I$3,PlotTitles,0))&amp;INDEX(PlotData,MATCH($A109,PlotNumber,0),MATCH(J$3,PlotTitles,0))))&gt;(DATEVALUE(CompletionMonth&amp;CompletionYear)),$AB$16,TRUE,"")</f>
        <v/>
      </c>
      <c r="N109" s="104" t="str" cm="1">
        <f t="array" ref="N109">_xlfn.IFS(AND(A109&gt;NumberOfPlots,ISBLANK(INDEX(PlotData,MATCH($A109,PlotNumber,0),MATCH(B$3,PlotTitles,0)))),"",ISBLANK(INDEX(PlotData,MATCH($A109,PlotNumber,0),MATCH(N$3,PlotTitles,0))),$AB$17,TRUE,"")</f>
        <v/>
      </c>
      <c r="O109" s="104" t="str" cm="1">
        <f t="array" ref="O109">_xlfn.IFS(AND(A109&gt;NumberOfPlots,ISBLANK(INDEX(PlotData,MATCH($A109,PlotNumber,0),MATCH(B$3,PlotTitles,0)))),"",ISBLANK(INDEX(PlotData,MATCH($A109,PlotNumber,0),MATCH(O$3,PlotTitles,0))),$AB$18,TRUE,"")</f>
        <v/>
      </c>
      <c r="P109" s="182" t="str">
        <f t="shared" ca="1" si="4"/>
        <v/>
      </c>
      <c r="Q109" s="104" t="str" cm="1">
        <f t="array" ref="Q109">_xlfn.IFS(AND(A109&gt;NumberOfPlots,ISBLANK(INDEX(PlotData,MATCH($A109,PlotNumber,0),MATCH(B$3,PlotTitles,0)))),"",ISBLANK(INDEX(PlotData,MATCH($A109,PlotNumber,0),MATCH(N$3,PlotTitles,0))),"",(DATEVALUE(INDEX(PlotData,MATCH($A109,PlotNumber,0),MATCH(N$3,PlotTitles,0))&amp;INDEX(PlotData,MATCH($A109,PlotNumber,0),MATCH(O$3,PlotTitles,0))))&lt;(DATEVALUE(INDEX(PlotData,MATCH($A109,PlotNumber,0),MATCH(I$3,PlotTitles,0))&amp;INDEX(PlotData,MATCH($A109,PlotNumber,0),MATCH(J$3,PlotTitles,0)))),$AB$20,TRUE,"")</f>
        <v/>
      </c>
      <c r="R109" s="104" t="str" cm="1">
        <f t="array" ref="R109">_xlfn.IFS(OR(ISBLANK(StartDateMonth),ISBLANK(StartDateYear)),"",AND(A109&gt;NumberOfPlots,ISBLANK(INDEX(PlotData,MATCH($A109,PlotNumber,0),MATCH(B$3,PlotTitles,0)))),"",ISBLANK(INDEX(PlotData,MATCH($A109,PlotNumber,0),MATCH(N$3,PlotTitles,0))),"",CompletionMonth="","",(DATEVALUE(INDEX(PlotData,MATCH($A109,PlotNumber,0),MATCH(N$3,PlotTitles,0))&amp;INDEX(PlotData,MATCH($A109,PlotNumber,0),MATCH(O$3,PlotTitles,0))))&gt;(DATEVALUE(CompletionMonth&amp;CompletionYear)),$AB$21,TRUE,"")</f>
        <v/>
      </c>
      <c r="S109" s="104" t="str" cm="1">
        <f t="array" ref="S109">_xlfn.IFS(AND(A109&gt;NumberOfPlots,ISBLANK(INDEX(PlotData,MATCH($A109,PlotNumber,0),MATCH(B$3,PlotTitles,0)))),"",OR(AND(INDEX(PlotData,MATCH($A109,PlotNumber,0),MATCH("Tenure",PlotTitles,0))="Open market housing",INDEX(PlotData,MATCH($A109,PlotNumber,0),MATCH("Tenure detail",PlotTitles,0))="Private rented sector"),INDEX(PlotData,MATCH($A109,PlotNumber,0),MATCH("Tenure",PlotTitles,0))="Affordable rent"),"",ISNUMBER(INDEX(PlotData,MATCH($A109,PlotNumber,0),MATCH(S$3,PlotTitles,0)))=FALSE, $AB$22,TRUE,"")</f>
        <v/>
      </c>
      <c r="T109" s="104" t="str" cm="1">
        <f t="array" ref="T109">_xlfn.IFS(AND(A109&gt;NumberOfPlots,ISBLANK(INDEX(PlotData,MATCH($A109,PlotNumber,0),MATCH(B$3,PlotTitles,0)))),"",OR(AND(INDEX(PlotData,MATCH($A109,PlotNumber,0),MATCH("Tenure",PlotTitles,0))="Open market housing",INDEX(PlotData,MATCH($A109,PlotNumber,0),MATCH("Tenure detail",PlotTitles,0))="Private rented sector"),INDEX(PlotData,MATCH($A109,PlotNumber,0),MATCH("Tenure",PlotTitles,0))="Affordable rent"),"",INDEX(PlotData,MATCH($A109,PlotNumber,0),MATCH(S$3,PlotTitles,0))&lt;10000, $AB$23,TRUE,"")</f>
        <v/>
      </c>
      <c r="U109" s="104" t="str" cm="1">
        <f t="array" ref="U109">_xlfn.IFS(AND(A109&gt;NumberOfPlots,ISBLANK(INDEX(PlotData,MATCH($A109,PlotNumber,0),MATCH(B$3,PlotTitles,0)))),"",NOT(OR(AND(INDEX(PlotData,MATCH($A109,PlotNumber,0),MATCH("Tenure",PlotTitles,0))="Open market housing",INDEX(PlotData,MATCH($A109,PlotNumber,0),MATCH("Tenure detail",PlotTitles,0))="Private rented sector"),INDEX(PlotData,MATCH($A109,PlotNumber,0),MATCH("Tenure",PlotTitles,0))="Affordable rent")),"",NOT(INDEX(PlotData,MATCH($A109,PlotNumber,0),MATCH(S$3,PlotTitles,0))=0), $AB$24,TRUE,"")</f>
        <v/>
      </c>
      <c r="V109" s="114" t="str" cm="1">
        <f t="array" aca="1" ref="V109" ca="1">_xlfn.IFS(ISBLANK(NumberOfPlots),"Enter the number of homes on the 1_SetUp sheet",AND(A109&gt;NumberOfPlots,ISBLANK(INDEX(PlotData,MATCH($A109,PlotNumber,0),MATCH(B$3,PlotTitles,0)))),"No error",NOT(B109=""),B109,NOT(C109=""),C109,NOT(D109=""),D109,NOT(E109=""),E109,NOT(F109=""),F109,NOT(G109=""),G109,NOT(H109=""),H109,NOT(I109=""),I109,NOT(J109=""),J109,NOT(K109=""),K109,NOT(L109=""),L109,NOT(M109=""),M109,NOT(N109=""),N109,NOT(O109=""),O109,NOT(P109=""),P109,NOT(Q109=""),Q109,NOT(R109=""),R109,NOT(S109=""),S109,NOT(T109=""),T109,NOT(U109=""),U109,TRUE,"No error")</f>
        <v>Enter the number of homes on the 1_SetUp sheet</v>
      </c>
      <c r="W109" s="114" t="str">
        <f t="shared" ca="1" si="5"/>
        <v xml:space="preserve">The Borrower has not addressed the following error messages for Home ID 105: </v>
      </c>
    </row>
    <row r="110" spans="1:23">
      <c r="A110" s="123">
        <v>106</v>
      </c>
      <c r="B110" s="104" t="str" cm="1">
        <f t="array" ref="B110">_xlfn.IFS(AND(A110&gt;NumberOfPlots,ISBLANK(INDEX(PlotData,MATCH($A110,PlotNumber,0),MATCH(B$3,PlotTitles,0)))),"",ISNUMBER(INDEX(PlotData,MATCH($A110,PlotNumber,0),MATCH(B$3,PlotTitles,0)))=FALSE, $AB$5,TRUE,"")</f>
        <v/>
      </c>
      <c r="C110" s="104" t="str" cm="1">
        <f t="array" ref="C110">_xlfn.IFS(AND(A110&gt;NumberOfPlots,ISBLANK(INDEX(PlotData,MATCH($A110,PlotNumber,0),MATCH(B$3,PlotTitles,0)))),"",ISBLANK(INDEX(PlotData,MATCH($A110,PlotNumber,0),MATCH(C$3,PlotTitles,0))),$AB$6,TRUE,"")</f>
        <v/>
      </c>
      <c r="D110" s="104" t="str" cm="1">
        <f t="array" ref="D110">_xlfn.IFS(AND(A110&gt;NumberOfPlots,ISBLANK(INDEX(PlotData,MATCH($A110,PlotNumber,0),MATCH(B$3,PlotTitles,0)))),"",ISBLANK(INDEX(PlotData,MATCH($A110,PlotNumber,0),MATCH(D$3,PlotTitles,0))),$AB$7,TRUE,"")</f>
        <v/>
      </c>
      <c r="E110" s="104" t="str" cm="1">
        <f t="array" ref="E110">_xlfn.IFS(AND(A110&gt;NumberOfPlots,ISBLANK(INDEX(PlotData,MATCH($A110,PlotNumber,0),MATCH(B$3,PlotTitles,0)))),"",ISBLANK(INDEX(PlotData,MATCH($A110,PlotNumber,0),MATCH(E$3,PlotTitles,0))),$AB$8,TRUE,"")</f>
        <v/>
      </c>
      <c r="F110" s="104" t="str" cm="1">
        <f t="array" ref="F110">_xlfn.IFS(AND(A110&gt;NumberOfPlots,ISBLANK(INDEX(PlotData,MATCH($A110,PlotNumber,0),MATCH(B$3,PlotTitles,0)))),"",ISBLANK(INDEX(PlotData,MATCH($A110,PlotNumber,0),MATCH(F$3,PlotTitles,0))),$AB$9,TRUE,"")</f>
        <v/>
      </c>
      <c r="G110" s="104" t="str" cm="1">
        <f t="array" ref="G110">_xlfn.IFS(AND(A110&gt;NumberOfPlots,ISBLANK(INDEX(PlotData,MATCH($A110,PlotNumber,0),MATCH(B$3,PlotTitles,0)))),"",ISBLANK(INDEX(PlotData,MATCH($A110,PlotNumber,0),MATCH(G$3,PlotTitles,0))),$AB$10,TRUE,"")</f>
        <v/>
      </c>
      <c r="H110" s="104" t="str" cm="1">
        <f t="array" ref="H110">_xlfn.IFS(AND(A110&gt;NumberOfPlots,ISBLANK(INDEX(PlotData,MATCH($A110,PlotNumber,0),MATCH(B$3,PlotTitles,0)))),"",AND(ISBLANK(INDEX(PlotData,MATCH($A110,PlotNumber,0),MATCH(H$3,PlotTitles,0)))=FALSE,INDEX(PlotData,MATCH($A110,PlotNumber,0),MATCH(H$3,PlotTitles,0))&lt;500), $AB$11,TRUE,"")</f>
        <v/>
      </c>
      <c r="I110" s="104" t="str" cm="1">
        <f t="array" ref="I110">_xlfn.IFS(AND(A110&gt;NumberOfPlots,ISBLANK(INDEX(PlotData,MATCH($A110,PlotNumber,0),MATCH(B$3,PlotTitles,0)))),"",ISBLANK(INDEX(PlotData,MATCH($A110,PlotNumber,0),MATCH(I$3,PlotTitles,0))),$AB$12,TRUE,"")</f>
        <v/>
      </c>
      <c r="J110" s="104" t="str" cm="1">
        <f t="array" ref="J110">_xlfn.IFS(AND(A110&gt;NumberOfPlots,ISBLANK(INDEX(PlotData,MATCH($A110,PlotNumber,0),MATCH(B$3,PlotTitles,0)))),"",ISBLANK(INDEX(PlotData,MATCH($A110,PlotNumber,0),MATCH(J$3,PlotTitles,0))),$AB$13,TRUE,"")</f>
        <v/>
      </c>
      <c r="K110" s="182" t="str">
        <f t="shared" ca="1" si="3"/>
        <v/>
      </c>
      <c r="L110" s="104" t="str" cm="1">
        <f t="array" ref="L110">_xlfn.IFS(OR(ISBLANK(StartDateMonth),ISBLANK(StartDateYear)),"",AND(A110&gt;NumberOfPlots,ISBLANK(INDEX(PlotData,MATCH($A110,PlotNumber,0),MATCH(B$3,PlotTitles,0)))),"",ISBLANK(INDEX(PlotData,MATCH($A110,PlotNumber,0),MATCH(I$3,PlotTitles,0))),"",(DATEVALUE(INDEX(PlotData,MATCH($A110,PlotNumber,0),MATCH(I$3,PlotTitles,0))&amp;INDEX(PlotData,MATCH($A110,PlotNumber,0),MATCH(J$3,PlotTitles,0))))&lt;DATEVALUE(StartDateMonth&amp;StartDateYear),$AB$15,TRUE,"")</f>
        <v/>
      </c>
      <c r="M110" s="104" t="str" cm="1">
        <f t="array" ref="M110">_xlfn.IFS(OR(ISBLANK(StartDateMonth),ISBLANK(StartDateYear)),"",AND(A110&gt;NumberOfPlots,ISBLANK(INDEX(PlotData,MATCH($A110,PlotNumber,0),MATCH(B$3,PlotTitles,0)))),"",ISBLANK(INDEX(PlotData,MATCH($A110,PlotNumber,0),MATCH(I$3,PlotTitles,0))),"",CompletionMonth="","",(DATEVALUE(INDEX(PlotData,MATCH($A110,PlotNumber,0),MATCH(I$3,PlotTitles,0))&amp;INDEX(PlotData,MATCH($A110,PlotNumber,0),MATCH(J$3,PlotTitles,0))))&gt;(DATEVALUE(CompletionMonth&amp;CompletionYear)),$AB$16,TRUE,"")</f>
        <v/>
      </c>
      <c r="N110" s="104" t="str" cm="1">
        <f t="array" ref="N110">_xlfn.IFS(AND(A110&gt;NumberOfPlots,ISBLANK(INDEX(PlotData,MATCH($A110,PlotNumber,0),MATCH(B$3,PlotTitles,0)))),"",ISBLANK(INDEX(PlotData,MATCH($A110,PlotNumber,0),MATCH(N$3,PlotTitles,0))),$AB$17,TRUE,"")</f>
        <v/>
      </c>
      <c r="O110" s="104" t="str" cm="1">
        <f t="array" ref="O110">_xlfn.IFS(AND(A110&gt;NumberOfPlots,ISBLANK(INDEX(PlotData,MATCH($A110,PlotNumber,0),MATCH(B$3,PlotTitles,0)))),"",ISBLANK(INDEX(PlotData,MATCH($A110,PlotNumber,0),MATCH(O$3,PlotTitles,0))),$AB$18,TRUE,"")</f>
        <v/>
      </c>
      <c r="P110" s="182" t="str">
        <f t="shared" ca="1" si="4"/>
        <v/>
      </c>
      <c r="Q110" s="104" t="str" cm="1">
        <f t="array" ref="Q110">_xlfn.IFS(AND(A110&gt;NumberOfPlots,ISBLANK(INDEX(PlotData,MATCH($A110,PlotNumber,0),MATCH(B$3,PlotTitles,0)))),"",ISBLANK(INDEX(PlotData,MATCH($A110,PlotNumber,0),MATCH(N$3,PlotTitles,0))),"",(DATEVALUE(INDEX(PlotData,MATCH($A110,PlotNumber,0),MATCH(N$3,PlotTitles,0))&amp;INDEX(PlotData,MATCH($A110,PlotNumber,0),MATCH(O$3,PlotTitles,0))))&lt;(DATEVALUE(INDEX(PlotData,MATCH($A110,PlotNumber,0),MATCH(I$3,PlotTitles,0))&amp;INDEX(PlotData,MATCH($A110,PlotNumber,0),MATCH(J$3,PlotTitles,0)))),$AB$20,TRUE,"")</f>
        <v/>
      </c>
      <c r="R110" s="104" t="str" cm="1">
        <f t="array" ref="R110">_xlfn.IFS(OR(ISBLANK(StartDateMonth),ISBLANK(StartDateYear)),"",AND(A110&gt;NumberOfPlots,ISBLANK(INDEX(PlotData,MATCH($A110,PlotNumber,0),MATCH(B$3,PlotTitles,0)))),"",ISBLANK(INDEX(PlotData,MATCH($A110,PlotNumber,0),MATCH(N$3,PlotTitles,0))),"",CompletionMonth="","",(DATEVALUE(INDEX(PlotData,MATCH($A110,PlotNumber,0),MATCH(N$3,PlotTitles,0))&amp;INDEX(PlotData,MATCH($A110,PlotNumber,0),MATCH(O$3,PlotTitles,0))))&gt;(DATEVALUE(CompletionMonth&amp;CompletionYear)),$AB$21,TRUE,"")</f>
        <v/>
      </c>
      <c r="S110" s="104" t="str" cm="1">
        <f t="array" ref="S110">_xlfn.IFS(AND(A110&gt;NumberOfPlots,ISBLANK(INDEX(PlotData,MATCH($A110,PlotNumber,0),MATCH(B$3,PlotTitles,0)))),"",OR(AND(INDEX(PlotData,MATCH($A110,PlotNumber,0),MATCH("Tenure",PlotTitles,0))="Open market housing",INDEX(PlotData,MATCH($A110,PlotNumber,0),MATCH("Tenure detail",PlotTitles,0))="Private rented sector"),INDEX(PlotData,MATCH($A110,PlotNumber,0),MATCH("Tenure",PlotTitles,0))="Affordable rent"),"",ISNUMBER(INDEX(PlotData,MATCH($A110,PlotNumber,0),MATCH(S$3,PlotTitles,0)))=FALSE, $AB$22,TRUE,"")</f>
        <v/>
      </c>
      <c r="T110" s="104" t="str" cm="1">
        <f t="array" ref="T110">_xlfn.IFS(AND(A110&gt;NumberOfPlots,ISBLANK(INDEX(PlotData,MATCH($A110,PlotNumber,0),MATCH(B$3,PlotTitles,0)))),"",OR(AND(INDEX(PlotData,MATCH($A110,PlotNumber,0),MATCH("Tenure",PlotTitles,0))="Open market housing",INDEX(PlotData,MATCH($A110,PlotNumber,0),MATCH("Tenure detail",PlotTitles,0))="Private rented sector"),INDEX(PlotData,MATCH($A110,PlotNumber,0),MATCH("Tenure",PlotTitles,0))="Affordable rent"),"",INDEX(PlotData,MATCH($A110,PlotNumber,0),MATCH(S$3,PlotTitles,0))&lt;10000, $AB$23,TRUE,"")</f>
        <v/>
      </c>
      <c r="U110" s="104" t="str" cm="1">
        <f t="array" ref="U110">_xlfn.IFS(AND(A110&gt;NumberOfPlots,ISBLANK(INDEX(PlotData,MATCH($A110,PlotNumber,0),MATCH(B$3,PlotTitles,0)))),"",NOT(OR(AND(INDEX(PlotData,MATCH($A110,PlotNumber,0),MATCH("Tenure",PlotTitles,0))="Open market housing",INDEX(PlotData,MATCH($A110,PlotNumber,0),MATCH("Tenure detail",PlotTitles,0))="Private rented sector"),INDEX(PlotData,MATCH($A110,PlotNumber,0),MATCH("Tenure",PlotTitles,0))="Affordable rent")),"",NOT(INDEX(PlotData,MATCH($A110,PlotNumber,0),MATCH(S$3,PlotTitles,0))=0), $AB$24,TRUE,"")</f>
        <v/>
      </c>
      <c r="V110" s="114" t="str" cm="1">
        <f t="array" aca="1" ref="V110" ca="1">_xlfn.IFS(ISBLANK(NumberOfPlots),"Enter the number of homes on the 1_SetUp sheet",AND(A110&gt;NumberOfPlots,ISBLANK(INDEX(PlotData,MATCH($A110,PlotNumber,0),MATCH(B$3,PlotTitles,0)))),"No error",NOT(B110=""),B110,NOT(C110=""),C110,NOT(D110=""),D110,NOT(E110=""),E110,NOT(F110=""),F110,NOT(G110=""),G110,NOT(H110=""),H110,NOT(I110=""),I110,NOT(J110=""),J110,NOT(K110=""),K110,NOT(L110=""),L110,NOT(M110=""),M110,NOT(N110=""),N110,NOT(O110=""),O110,NOT(P110=""),P110,NOT(Q110=""),Q110,NOT(R110=""),R110,NOT(S110=""),S110,NOT(T110=""),T110,NOT(U110=""),U110,TRUE,"No error")</f>
        <v>Enter the number of homes on the 1_SetUp sheet</v>
      </c>
      <c r="W110" s="114" t="str">
        <f t="shared" ca="1" si="5"/>
        <v xml:space="preserve">The Borrower has not addressed the following error messages for Home ID 106: </v>
      </c>
    </row>
    <row r="111" spans="1:23">
      <c r="A111" s="123">
        <v>107</v>
      </c>
      <c r="B111" s="104" t="str" cm="1">
        <f t="array" ref="B111">_xlfn.IFS(AND(A111&gt;NumberOfPlots,ISBLANK(INDEX(PlotData,MATCH($A111,PlotNumber,0),MATCH(B$3,PlotTitles,0)))),"",ISNUMBER(INDEX(PlotData,MATCH($A111,PlotNumber,0),MATCH(B$3,PlotTitles,0)))=FALSE, $AB$5,TRUE,"")</f>
        <v/>
      </c>
      <c r="C111" s="104" t="str" cm="1">
        <f t="array" ref="C111">_xlfn.IFS(AND(A111&gt;NumberOfPlots,ISBLANK(INDEX(PlotData,MATCH($A111,PlotNumber,0),MATCH(B$3,PlotTitles,0)))),"",ISBLANK(INDEX(PlotData,MATCH($A111,PlotNumber,0),MATCH(C$3,PlotTitles,0))),$AB$6,TRUE,"")</f>
        <v/>
      </c>
      <c r="D111" s="104" t="str" cm="1">
        <f t="array" ref="D111">_xlfn.IFS(AND(A111&gt;NumberOfPlots,ISBLANK(INDEX(PlotData,MATCH($A111,PlotNumber,0),MATCH(B$3,PlotTitles,0)))),"",ISBLANK(INDEX(PlotData,MATCH($A111,PlotNumber,0),MATCH(D$3,PlotTitles,0))),$AB$7,TRUE,"")</f>
        <v/>
      </c>
      <c r="E111" s="104" t="str" cm="1">
        <f t="array" ref="E111">_xlfn.IFS(AND(A111&gt;NumberOfPlots,ISBLANK(INDEX(PlotData,MATCH($A111,PlotNumber,0),MATCH(B$3,PlotTitles,0)))),"",ISBLANK(INDEX(PlotData,MATCH($A111,PlotNumber,0),MATCH(E$3,PlotTitles,0))),$AB$8,TRUE,"")</f>
        <v/>
      </c>
      <c r="F111" s="104" t="str" cm="1">
        <f t="array" ref="F111">_xlfn.IFS(AND(A111&gt;NumberOfPlots,ISBLANK(INDEX(PlotData,MATCH($A111,PlotNumber,0),MATCH(B$3,PlotTitles,0)))),"",ISBLANK(INDEX(PlotData,MATCH($A111,PlotNumber,0),MATCH(F$3,PlotTitles,0))),$AB$9,TRUE,"")</f>
        <v/>
      </c>
      <c r="G111" s="104" t="str" cm="1">
        <f t="array" ref="G111">_xlfn.IFS(AND(A111&gt;NumberOfPlots,ISBLANK(INDEX(PlotData,MATCH($A111,PlotNumber,0),MATCH(B$3,PlotTitles,0)))),"",ISBLANK(INDEX(PlotData,MATCH($A111,PlotNumber,0),MATCH(G$3,PlotTitles,0))),$AB$10,TRUE,"")</f>
        <v/>
      </c>
      <c r="H111" s="104" t="str" cm="1">
        <f t="array" ref="H111">_xlfn.IFS(AND(A111&gt;NumberOfPlots,ISBLANK(INDEX(PlotData,MATCH($A111,PlotNumber,0),MATCH(B$3,PlotTitles,0)))),"",AND(ISBLANK(INDEX(PlotData,MATCH($A111,PlotNumber,0),MATCH(H$3,PlotTitles,0)))=FALSE,INDEX(PlotData,MATCH($A111,PlotNumber,0),MATCH(H$3,PlotTitles,0))&lt;500), $AB$11,TRUE,"")</f>
        <v/>
      </c>
      <c r="I111" s="104" t="str" cm="1">
        <f t="array" ref="I111">_xlfn.IFS(AND(A111&gt;NumberOfPlots,ISBLANK(INDEX(PlotData,MATCH($A111,PlotNumber,0),MATCH(B$3,PlotTitles,0)))),"",ISBLANK(INDEX(PlotData,MATCH($A111,PlotNumber,0),MATCH(I$3,PlotTitles,0))),$AB$12,TRUE,"")</f>
        <v/>
      </c>
      <c r="J111" s="104" t="str" cm="1">
        <f t="array" ref="J111">_xlfn.IFS(AND(A111&gt;NumberOfPlots,ISBLANK(INDEX(PlotData,MATCH($A111,PlotNumber,0),MATCH(B$3,PlotTitles,0)))),"",ISBLANK(INDEX(PlotData,MATCH($A111,PlotNumber,0),MATCH(J$3,PlotTitles,0))),$AB$13,TRUE,"")</f>
        <v/>
      </c>
      <c r="K111" s="182" t="str">
        <f t="shared" ca="1" si="3"/>
        <v/>
      </c>
      <c r="L111" s="104" t="str" cm="1">
        <f t="array" ref="L111">_xlfn.IFS(OR(ISBLANK(StartDateMonth),ISBLANK(StartDateYear)),"",AND(A111&gt;NumberOfPlots,ISBLANK(INDEX(PlotData,MATCH($A111,PlotNumber,0),MATCH(B$3,PlotTitles,0)))),"",ISBLANK(INDEX(PlotData,MATCH($A111,PlotNumber,0),MATCH(I$3,PlotTitles,0))),"",(DATEVALUE(INDEX(PlotData,MATCH($A111,PlotNumber,0),MATCH(I$3,PlotTitles,0))&amp;INDEX(PlotData,MATCH($A111,PlotNumber,0),MATCH(J$3,PlotTitles,0))))&lt;DATEVALUE(StartDateMonth&amp;StartDateYear),$AB$15,TRUE,"")</f>
        <v/>
      </c>
      <c r="M111" s="104" t="str" cm="1">
        <f t="array" ref="M111">_xlfn.IFS(OR(ISBLANK(StartDateMonth),ISBLANK(StartDateYear)),"",AND(A111&gt;NumberOfPlots,ISBLANK(INDEX(PlotData,MATCH($A111,PlotNumber,0),MATCH(B$3,PlotTitles,0)))),"",ISBLANK(INDEX(PlotData,MATCH($A111,PlotNumber,0),MATCH(I$3,PlotTitles,0))),"",CompletionMonth="","",(DATEVALUE(INDEX(PlotData,MATCH($A111,PlotNumber,0),MATCH(I$3,PlotTitles,0))&amp;INDEX(PlotData,MATCH($A111,PlotNumber,0),MATCH(J$3,PlotTitles,0))))&gt;(DATEVALUE(CompletionMonth&amp;CompletionYear)),$AB$16,TRUE,"")</f>
        <v/>
      </c>
      <c r="N111" s="104" t="str" cm="1">
        <f t="array" ref="N111">_xlfn.IFS(AND(A111&gt;NumberOfPlots,ISBLANK(INDEX(PlotData,MATCH($A111,PlotNumber,0),MATCH(B$3,PlotTitles,0)))),"",ISBLANK(INDEX(PlotData,MATCH($A111,PlotNumber,0),MATCH(N$3,PlotTitles,0))),$AB$17,TRUE,"")</f>
        <v/>
      </c>
      <c r="O111" s="104" t="str" cm="1">
        <f t="array" ref="O111">_xlfn.IFS(AND(A111&gt;NumberOfPlots,ISBLANK(INDEX(PlotData,MATCH($A111,PlotNumber,0),MATCH(B$3,PlotTitles,0)))),"",ISBLANK(INDEX(PlotData,MATCH($A111,PlotNumber,0),MATCH(O$3,PlotTitles,0))),$AB$18,TRUE,"")</f>
        <v/>
      </c>
      <c r="P111" s="182" t="str">
        <f t="shared" ca="1" si="4"/>
        <v/>
      </c>
      <c r="Q111" s="104" t="str" cm="1">
        <f t="array" ref="Q111">_xlfn.IFS(AND(A111&gt;NumberOfPlots,ISBLANK(INDEX(PlotData,MATCH($A111,PlotNumber,0),MATCH(B$3,PlotTitles,0)))),"",ISBLANK(INDEX(PlotData,MATCH($A111,PlotNumber,0),MATCH(N$3,PlotTitles,0))),"",(DATEVALUE(INDEX(PlotData,MATCH($A111,PlotNumber,0),MATCH(N$3,PlotTitles,0))&amp;INDEX(PlotData,MATCH($A111,PlotNumber,0),MATCH(O$3,PlotTitles,0))))&lt;(DATEVALUE(INDEX(PlotData,MATCH($A111,PlotNumber,0),MATCH(I$3,PlotTitles,0))&amp;INDEX(PlotData,MATCH($A111,PlotNumber,0),MATCH(J$3,PlotTitles,0)))),$AB$20,TRUE,"")</f>
        <v/>
      </c>
      <c r="R111" s="104" t="str" cm="1">
        <f t="array" ref="R111">_xlfn.IFS(OR(ISBLANK(StartDateMonth),ISBLANK(StartDateYear)),"",AND(A111&gt;NumberOfPlots,ISBLANK(INDEX(PlotData,MATCH($A111,PlotNumber,0),MATCH(B$3,PlotTitles,0)))),"",ISBLANK(INDEX(PlotData,MATCH($A111,PlotNumber,0),MATCH(N$3,PlotTitles,0))),"",CompletionMonth="","",(DATEVALUE(INDEX(PlotData,MATCH($A111,PlotNumber,0),MATCH(N$3,PlotTitles,0))&amp;INDEX(PlotData,MATCH($A111,PlotNumber,0),MATCH(O$3,PlotTitles,0))))&gt;(DATEVALUE(CompletionMonth&amp;CompletionYear)),$AB$21,TRUE,"")</f>
        <v/>
      </c>
      <c r="S111" s="104" t="str" cm="1">
        <f t="array" ref="S111">_xlfn.IFS(AND(A111&gt;NumberOfPlots,ISBLANK(INDEX(PlotData,MATCH($A111,PlotNumber,0),MATCH(B$3,PlotTitles,0)))),"",OR(AND(INDEX(PlotData,MATCH($A111,PlotNumber,0),MATCH("Tenure",PlotTitles,0))="Open market housing",INDEX(PlotData,MATCH($A111,PlotNumber,0),MATCH("Tenure detail",PlotTitles,0))="Private rented sector"),INDEX(PlotData,MATCH($A111,PlotNumber,0),MATCH("Tenure",PlotTitles,0))="Affordable rent"),"",ISNUMBER(INDEX(PlotData,MATCH($A111,PlotNumber,0),MATCH(S$3,PlotTitles,0)))=FALSE, $AB$22,TRUE,"")</f>
        <v/>
      </c>
      <c r="T111" s="104" t="str" cm="1">
        <f t="array" ref="T111">_xlfn.IFS(AND(A111&gt;NumberOfPlots,ISBLANK(INDEX(PlotData,MATCH($A111,PlotNumber,0),MATCH(B$3,PlotTitles,0)))),"",OR(AND(INDEX(PlotData,MATCH($A111,PlotNumber,0),MATCH("Tenure",PlotTitles,0))="Open market housing",INDEX(PlotData,MATCH($A111,PlotNumber,0),MATCH("Tenure detail",PlotTitles,0))="Private rented sector"),INDEX(PlotData,MATCH($A111,PlotNumber,0),MATCH("Tenure",PlotTitles,0))="Affordable rent"),"",INDEX(PlotData,MATCH($A111,PlotNumber,0),MATCH(S$3,PlotTitles,0))&lt;10000, $AB$23,TRUE,"")</f>
        <v/>
      </c>
      <c r="U111" s="104" t="str" cm="1">
        <f t="array" ref="U111">_xlfn.IFS(AND(A111&gt;NumberOfPlots,ISBLANK(INDEX(PlotData,MATCH($A111,PlotNumber,0),MATCH(B$3,PlotTitles,0)))),"",NOT(OR(AND(INDEX(PlotData,MATCH($A111,PlotNumber,0),MATCH("Tenure",PlotTitles,0))="Open market housing",INDEX(PlotData,MATCH($A111,PlotNumber,0),MATCH("Tenure detail",PlotTitles,0))="Private rented sector"),INDEX(PlotData,MATCH($A111,PlotNumber,0),MATCH("Tenure",PlotTitles,0))="Affordable rent")),"",NOT(INDEX(PlotData,MATCH($A111,PlotNumber,0),MATCH(S$3,PlotTitles,0))=0), $AB$24,TRUE,"")</f>
        <v/>
      </c>
      <c r="V111" s="114" t="str" cm="1">
        <f t="array" aca="1" ref="V111" ca="1">_xlfn.IFS(ISBLANK(NumberOfPlots),"Enter the number of homes on the 1_SetUp sheet",AND(A111&gt;NumberOfPlots,ISBLANK(INDEX(PlotData,MATCH($A111,PlotNumber,0),MATCH(B$3,PlotTitles,0)))),"No error",NOT(B111=""),B111,NOT(C111=""),C111,NOT(D111=""),D111,NOT(E111=""),E111,NOT(F111=""),F111,NOT(G111=""),G111,NOT(H111=""),H111,NOT(I111=""),I111,NOT(J111=""),J111,NOT(K111=""),K111,NOT(L111=""),L111,NOT(M111=""),M111,NOT(N111=""),N111,NOT(O111=""),O111,NOT(P111=""),P111,NOT(Q111=""),Q111,NOT(R111=""),R111,NOT(S111=""),S111,NOT(T111=""),T111,NOT(U111=""),U111,TRUE,"No error")</f>
        <v>Enter the number of homes on the 1_SetUp sheet</v>
      </c>
      <c r="W111" s="114" t="str">
        <f t="shared" ca="1" si="5"/>
        <v xml:space="preserve">The Borrower has not addressed the following error messages for Home ID 107: </v>
      </c>
    </row>
    <row r="112" spans="1:23">
      <c r="A112" s="123">
        <v>108</v>
      </c>
      <c r="B112" s="104" t="str" cm="1">
        <f t="array" ref="B112">_xlfn.IFS(AND(A112&gt;NumberOfPlots,ISBLANK(INDEX(PlotData,MATCH($A112,PlotNumber,0),MATCH(B$3,PlotTitles,0)))),"",ISNUMBER(INDEX(PlotData,MATCH($A112,PlotNumber,0),MATCH(B$3,PlotTitles,0)))=FALSE, $AB$5,TRUE,"")</f>
        <v/>
      </c>
      <c r="C112" s="104" t="str" cm="1">
        <f t="array" ref="C112">_xlfn.IFS(AND(A112&gt;NumberOfPlots,ISBLANK(INDEX(PlotData,MATCH($A112,PlotNumber,0),MATCH(B$3,PlotTitles,0)))),"",ISBLANK(INDEX(PlotData,MATCH($A112,PlotNumber,0),MATCH(C$3,PlotTitles,0))),$AB$6,TRUE,"")</f>
        <v/>
      </c>
      <c r="D112" s="104" t="str" cm="1">
        <f t="array" ref="D112">_xlfn.IFS(AND(A112&gt;NumberOfPlots,ISBLANK(INDEX(PlotData,MATCH($A112,PlotNumber,0),MATCH(B$3,PlotTitles,0)))),"",ISBLANK(INDEX(PlotData,MATCH($A112,PlotNumber,0),MATCH(D$3,PlotTitles,0))),$AB$7,TRUE,"")</f>
        <v/>
      </c>
      <c r="E112" s="104" t="str" cm="1">
        <f t="array" ref="E112">_xlfn.IFS(AND(A112&gt;NumberOfPlots,ISBLANK(INDEX(PlotData,MATCH($A112,PlotNumber,0),MATCH(B$3,PlotTitles,0)))),"",ISBLANK(INDEX(PlotData,MATCH($A112,PlotNumber,0),MATCH(E$3,PlotTitles,0))),$AB$8,TRUE,"")</f>
        <v/>
      </c>
      <c r="F112" s="104" t="str" cm="1">
        <f t="array" ref="F112">_xlfn.IFS(AND(A112&gt;NumberOfPlots,ISBLANK(INDEX(PlotData,MATCH($A112,PlotNumber,0),MATCH(B$3,PlotTitles,0)))),"",ISBLANK(INDEX(PlotData,MATCH($A112,PlotNumber,0),MATCH(F$3,PlotTitles,0))),$AB$9,TRUE,"")</f>
        <v/>
      </c>
      <c r="G112" s="104" t="str" cm="1">
        <f t="array" ref="G112">_xlfn.IFS(AND(A112&gt;NumberOfPlots,ISBLANK(INDEX(PlotData,MATCH($A112,PlotNumber,0),MATCH(B$3,PlotTitles,0)))),"",ISBLANK(INDEX(PlotData,MATCH($A112,PlotNumber,0),MATCH(G$3,PlotTitles,0))),$AB$10,TRUE,"")</f>
        <v/>
      </c>
      <c r="H112" s="104" t="str" cm="1">
        <f t="array" ref="H112">_xlfn.IFS(AND(A112&gt;NumberOfPlots,ISBLANK(INDEX(PlotData,MATCH($A112,PlotNumber,0),MATCH(B$3,PlotTitles,0)))),"",AND(ISBLANK(INDEX(PlotData,MATCH($A112,PlotNumber,0),MATCH(H$3,PlotTitles,0)))=FALSE,INDEX(PlotData,MATCH($A112,PlotNumber,0),MATCH(H$3,PlotTitles,0))&lt;500), $AB$11,TRUE,"")</f>
        <v/>
      </c>
      <c r="I112" s="104" t="str" cm="1">
        <f t="array" ref="I112">_xlfn.IFS(AND(A112&gt;NumberOfPlots,ISBLANK(INDEX(PlotData,MATCH($A112,PlotNumber,0),MATCH(B$3,PlotTitles,0)))),"",ISBLANK(INDEX(PlotData,MATCH($A112,PlotNumber,0),MATCH(I$3,PlotTitles,0))),$AB$12,TRUE,"")</f>
        <v/>
      </c>
      <c r="J112" s="104" t="str" cm="1">
        <f t="array" ref="J112">_xlfn.IFS(AND(A112&gt;NumberOfPlots,ISBLANK(INDEX(PlotData,MATCH($A112,PlotNumber,0),MATCH(B$3,PlotTitles,0)))),"",ISBLANK(INDEX(PlotData,MATCH($A112,PlotNumber,0),MATCH(J$3,PlotTitles,0))),$AB$13,TRUE,"")</f>
        <v/>
      </c>
      <c r="K112" s="182" t="str">
        <f t="shared" ca="1" si="3"/>
        <v/>
      </c>
      <c r="L112" s="104" t="str" cm="1">
        <f t="array" ref="L112">_xlfn.IFS(OR(ISBLANK(StartDateMonth),ISBLANK(StartDateYear)),"",AND(A112&gt;NumberOfPlots,ISBLANK(INDEX(PlotData,MATCH($A112,PlotNumber,0),MATCH(B$3,PlotTitles,0)))),"",ISBLANK(INDEX(PlotData,MATCH($A112,PlotNumber,0),MATCH(I$3,PlotTitles,0))),"",(DATEVALUE(INDEX(PlotData,MATCH($A112,PlotNumber,0),MATCH(I$3,PlotTitles,0))&amp;INDEX(PlotData,MATCH($A112,PlotNumber,0),MATCH(J$3,PlotTitles,0))))&lt;DATEVALUE(StartDateMonth&amp;StartDateYear),$AB$15,TRUE,"")</f>
        <v/>
      </c>
      <c r="M112" s="104" t="str" cm="1">
        <f t="array" ref="M112">_xlfn.IFS(OR(ISBLANK(StartDateMonth),ISBLANK(StartDateYear)),"",AND(A112&gt;NumberOfPlots,ISBLANK(INDEX(PlotData,MATCH($A112,PlotNumber,0),MATCH(B$3,PlotTitles,0)))),"",ISBLANK(INDEX(PlotData,MATCH($A112,PlotNumber,0),MATCH(I$3,PlotTitles,0))),"",CompletionMonth="","",(DATEVALUE(INDEX(PlotData,MATCH($A112,PlotNumber,0),MATCH(I$3,PlotTitles,0))&amp;INDEX(PlotData,MATCH($A112,PlotNumber,0),MATCH(J$3,PlotTitles,0))))&gt;(DATEVALUE(CompletionMonth&amp;CompletionYear)),$AB$16,TRUE,"")</f>
        <v/>
      </c>
      <c r="N112" s="104" t="str" cm="1">
        <f t="array" ref="N112">_xlfn.IFS(AND(A112&gt;NumberOfPlots,ISBLANK(INDEX(PlotData,MATCH($A112,PlotNumber,0),MATCH(B$3,PlotTitles,0)))),"",ISBLANK(INDEX(PlotData,MATCH($A112,PlotNumber,0),MATCH(N$3,PlotTitles,0))),$AB$17,TRUE,"")</f>
        <v/>
      </c>
      <c r="O112" s="104" t="str" cm="1">
        <f t="array" ref="O112">_xlfn.IFS(AND(A112&gt;NumberOfPlots,ISBLANK(INDEX(PlotData,MATCH($A112,PlotNumber,0),MATCH(B$3,PlotTitles,0)))),"",ISBLANK(INDEX(PlotData,MATCH($A112,PlotNumber,0),MATCH(O$3,PlotTitles,0))),$AB$18,TRUE,"")</f>
        <v/>
      </c>
      <c r="P112" s="182" t="str">
        <f t="shared" ca="1" si="4"/>
        <v/>
      </c>
      <c r="Q112" s="104" t="str" cm="1">
        <f t="array" ref="Q112">_xlfn.IFS(AND(A112&gt;NumberOfPlots,ISBLANK(INDEX(PlotData,MATCH($A112,PlotNumber,0),MATCH(B$3,PlotTitles,0)))),"",ISBLANK(INDEX(PlotData,MATCH($A112,PlotNumber,0),MATCH(N$3,PlotTitles,0))),"",(DATEVALUE(INDEX(PlotData,MATCH($A112,PlotNumber,0),MATCH(N$3,PlotTitles,0))&amp;INDEX(PlotData,MATCH($A112,PlotNumber,0),MATCH(O$3,PlotTitles,0))))&lt;(DATEVALUE(INDEX(PlotData,MATCH($A112,PlotNumber,0),MATCH(I$3,PlotTitles,0))&amp;INDEX(PlotData,MATCH($A112,PlotNumber,0),MATCH(J$3,PlotTitles,0)))),$AB$20,TRUE,"")</f>
        <v/>
      </c>
      <c r="R112" s="104" t="str" cm="1">
        <f t="array" ref="R112">_xlfn.IFS(OR(ISBLANK(StartDateMonth),ISBLANK(StartDateYear)),"",AND(A112&gt;NumberOfPlots,ISBLANK(INDEX(PlotData,MATCH($A112,PlotNumber,0),MATCH(B$3,PlotTitles,0)))),"",ISBLANK(INDEX(PlotData,MATCH($A112,PlotNumber,0),MATCH(N$3,PlotTitles,0))),"",CompletionMonth="","",(DATEVALUE(INDEX(PlotData,MATCH($A112,PlotNumber,0),MATCH(N$3,PlotTitles,0))&amp;INDEX(PlotData,MATCH($A112,PlotNumber,0),MATCH(O$3,PlotTitles,0))))&gt;(DATEVALUE(CompletionMonth&amp;CompletionYear)),$AB$21,TRUE,"")</f>
        <v/>
      </c>
      <c r="S112" s="104" t="str" cm="1">
        <f t="array" ref="S112">_xlfn.IFS(AND(A112&gt;NumberOfPlots,ISBLANK(INDEX(PlotData,MATCH($A112,PlotNumber,0),MATCH(B$3,PlotTitles,0)))),"",OR(AND(INDEX(PlotData,MATCH($A112,PlotNumber,0),MATCH("Tenure",PlotTitles,0))="Open market housing",INDEX(PlotData,MATCH($A112,PlotNumber,0),MATCH("Tenure detail",PlotTitles,0))="Private rented sector"),INDEX(PlotData,MATCH($A112,PlotNumber,0),MATCH("Tenure",PlotTitles,0))="Affordable rent"),"",ISNUMBER(INDEX(PlotData,MATCH($A112,PlotNumber,0),MATCH(S$3,PlotTitles,0)))=FALSE, $AB$22,TRUE,"")</f>
        <v/>
      </c>
      <c r="T112" s="104" t="str" cm="1">
        <f t="array" ref="T112">_xlfn.IFS(AND(A112&gt;NumberOfPlots,ISBLANK(INDEX(PlotData,MATCH($A112,PlotNumber,0),MATCH(B$3,PlotTitles,0)))),"",OR(AND(INDEX(PlotData,MATCH($A112,PlotNumber,0),MATCH("Tenure",PlotTitles,0))="Open market housing",INDEX(PlotData,MATCH($A112,PlotNumber,0),MATCH("Tenure detail",PlotTitles,0))="Private rented sector"),INDEX(PlotData,MATCH($A112,PlotNumber,0),MATCH("Tenure",PlotTitles,0))="Affordable rent"),"",INDEX(PlotData,MATCH($A112,PlotNumber,0),MATCH(S$3,PlotTitles,0))&lt;10000, $AB$23,TRUE,"")</f>
        <v/>
      </c>
      <c r="U112" s="104" t="str" cm="1">
        <f t="array" ref="U112">_xlfn.IFS(AND(A112&gt;NumberOfPlots,ISBLANK(INDEX(PlotData,MATCH($A112,PlotNumber,0),MATCH(B$3,PlotTitles,0)))),"",NOT(OR(AND(INDEX(PlotData,MATCH($A112,PlotNumber,0),MATCH("Tenure",PlotTitles,0))="Open market housing",INDEX(PlotData,MATCH($A112,PlotNumber,0),MATCH("Tenure detail",PlotTitles,0))="Private rented sector"),INDEX(PlotData,MATCH($A112,PlotNumber,0),MATCH("Tenure",PlotTitles,0))="Affordable rent")),"",NOT(INDEX(PlotData,MATCH($A112,PlotNumber,0),MATCH(S$3,PlotTitles,0))=0), $AB$24,TRUE,"")</f>
        <v/>
      </c>
      <c r="V112" s="114" t="str" cm="1">
        <f t="array" aca="1" ref="V112" ca="1">_xlfn.IFS(ISBLANK(NumberOfPlots),"Enter the number of homes on the 1_SetUp sheet",AND(A112&gt;NumberOfPlots,ISBLANK(INDEX(PlotData,MATCH($A112,PlotNumber,0),MATCH(B$3,PlotTitles,0)))),"No error",NOT(B112=""),B112,NOT(C112=""),C112,NOT(D112=""),D112,NOT(E112=""),E112,NOT(F112=""),F112,NOT(G112=""),G112,NOT(H112=""),H112,NOT(I112=""),I112,NOT(J112=""),J112,NOT(K112=""),K112,NOT(L112=""),L112,NOT(M112=""),M112,NOT(N112=""),N112,NOT(O112=""),O112,NOT(P112=""),P112,NOT(Q112=""),Q112,NOT(R112=""),R112,NOT(S112=""),S112,NOT(T112=""),T112,NOT(U112=""),U112,TRUE,"No error")</f>
        <v>Enter the number of homes on the 1_SetUp sheet</v>
      </c>
      <c r="W112" s="114" t="str">
        <f t="shared" ca="1" si="5"/>
        <v xml:space="preserve">The Borrower has not addressed the following error messages for Home ID 108: </v>
      </c>
    </row>
    <row r="113" spans="1:23">
      <c r="A113" s="123">
        <v>109</v>
      </c>
      <c r="B113" s="104" t="str" cm="1">
        <f t="array" ref="B113">_xlfn.IFS(AND(A113&gt;NumberOfPlots,ISBLANK(INDEX(PlotData,MATCH($A113,PlotNumber,0),MATCH(B$3,PlotTitles,0)))),"",ISNUMBER(INDEX(PlotData,MATCH($A113,PlotNumber,0),MATCH(B$3,PlotTitles,0)))=FALSE, $AB$5,TRUE,"")</f>
        <v/>
      </c>
      <c r="C113" s="104" t="str" cm="1">
        <f t="array" ref="C113">_xlfn.IFS(AND(A113&gt;NumberOfPlots,ISBLANK(INDEX(PlotData,MATCH($A113,PlotNumber,0),MATCH(B$3,PlotTitles,0)))),"",ISBLANK(INDEX(PlotData,MATCH($A113,PlotNumber,0),MATCH(C$3,PlotTitles,0))),$AB$6,TRUE,"")</f>
        <v/>
      </c>
      <c r="D113" s="104" t="str" cm="1">
        <f t="array" ref="D113">_xlfn.IFS(AND(A113&gt;NumberOfPlots,ISBLANK(INDEX(PlotData,MATCH($A113,PlotNumber,0),MATCH(B$3,PlotTitles,0)))),"",ISBLANK(INDEX(PlotData,MATCH($A113,PlotNumber,0),MATCH(D$3,PlotTitles,0))),$AB$7,TRUE,"")</f>
        <v/>
      </c>
      <c r="E113" s="104" t="str" cm="1">
        <f t="array" ref="E113">_xlfn.IFS(AND(A113&gt;NumberOfPlots,ISBLANK(INDEX(PlotData,MATCH($A113,PlotNumber,0),MATCH(B$3,PlotTitles,0)))),"",ISBLANK(INDEX(PlotData,MATCH($A113,PlotNumber,0),MATCH(E$3,PlotTitles,0))),$AB$8,TRUE,"")</f>
        <v/>
      </c>
      <c r="F113" s="104" t="str" cm="1">
        <f t="array" ref="F113">_xlfn.IFS(AND(A113&gt;NumberOfPlots,ISBLANK(INDEX(PlotData,MATCH($A113,PlotNumber,0),MATCH(B$3,PlotTitles,0)))),"",ISBLANK(INDEX(PlotData,MATCH($A113,PlotNumber,0),MATCH(F$3,PlotTitles,0))),$AB$9,TRUE,"")</f>
        <v/>
      </c>
      <c r="G113" s="104" t="str" cm="1">
        <f t="array" ref="G113">_xlfn.IFS(AND(A113&gt;NumberOfPlots,ISBLANK(INDEX(PlotData,MATCH($A113,PlotNumber,0),MATCH(B$3,PlotTitles,0)))),"",ISBLANK(INDEX(PlotData,MATCH($A113,PlotNumber,0),MATCH(G$3,PlotTitles,0))),$AB$10,TRUE,"")</f>
        <v/>
      </c>
      <c r="H113" s="104" t="str" cm="1">
        <f t="array" ref="H113">_xlfn.IFS(AND(A113&gt;NumberOfPlots,ISBLANK(INDEX(PlotData,MATCH($A113,PlotNumber,0),MATCH(B$3,PlotTitles,0)))),"",AND(ISBLANK(INDEX(PlotData,MATCH($A113,PlotNumber,0),MATCH(H$3,PlotTitles,0)))=FALSE,INDEX(PlotData,MATCH($A113,PlotNumber,0),MATCH(H$3,PlotTitles,0))&lt;500), $AB$11,TRUE,"")</f>
        <v/>
      </c>
      <c r="I113" s="104" t="str" cm="1">
        <f t="array" ref="I113">_xlfn.IFS(AND(A113&gt;NumberOfPlots,ISBLANK(INDEX(PlotData,MATCH($A113,PlotNumber,0),MATCH(B$3,PlotTitles,0)))),"",ISBLANK(INDEX(PlotData,MATCH($A113,PlotNumber,0),MATCH(I$3,PlotTitles,0))),$AB$12,TRUE,"")</f>
        <v/>
      </c>
      <c r="J113" s="104" t="str" cm="1">
        <f t="array" ref="J113">_xlfn.IFS(AND(A113&gt;NumberOfPlots,ISBLANK(INDEX(PlotData,MATCH($A113,PlotNumber,0),MATCH(B$3,PlotTitles,0)))),"",ISBLANK(INDEX(PlotData,MATCH($A113,PlotNumber,0),MATCH(J$3,PlotTitles,0))),$AB$13,TRUE,"")</f>
        <v/>
      </c>
      <c r="K113" s="182" t="str">
        <f t="shared" ca="1" si="3"/>
        <v/>
      </c>
      <c r="L113" s="104" t="str" cm="1">
        <f t="array" ref="L113">_xlfn.IFS(OR(ISBLANK(StartDateMonth),ISBLANK(StartDateYear)),"",AND(A113&gt;NumberOfPlots,ISBLANK(INDEX(PlotData,MATCH($A113,PlotNumber,0),MATCH(B$3,PlotTitles,0)))),"",ISBLANK(INDEX(PlotData,MATCH($A113,PlotNumber,0),MATCH(I$3,PlotTitles,0))),"",(DATEVALUE(INDEX(PlotData,MATCH($A113,PlotNumber,0),MATCH(I$3,PlotTitles,0))&amp;INDEX(PlotData,MATCH($A113,PlotNumber,0),MATCH(J$3,PlotTitles,0))))&lt;DATEVALUE(StartDateMonth&amp;StartDateYear),$AB$15,TRUE,"")</f>
        <v/>
      </c>
      <c r="M113" s="104" t="str" cm="1">
        <f t="array" ref="M113">_xlfn.IFS(OR(ISBLANK(StartDateMonth),ISBLANK(StartDateYear)),"",AND(A113&gt;NumberOfPlots,ISBLANK(INDEX(PlotData,MATCH($A113,PlotNumber,0),MATCH(B$3,PlotTitles,0)))),"",ISBLANK(INDEX(PlotData,MATCH($A113,PlotNumber,0),MATCH(I$3,PlotTitles,0))),"",CompletionMonth="","",(DATEVALUE(INDEX(PlotData,MATCH($A113,PlotNumber,0),MATCH(I$3,PlotTitles,0))&amp;INDEX(PlotData,MATCH($A113,PlotNumber,0),MATCH(J$3,PlotTitles,0))))&gt;(DATEVALUE(CompletionMonth&amp;CompletionYear)),$AB$16,TRUE,"")</f>
        <v/>
      </c>
      <c r="N113" s="104" t="str" cm="1">
        <f t="array" ref="N113">_xlfn.IFS(AND(A113&gt;NumberOfPlots,ISBLANK(INDEX(PlotData,MATCH($A113,PlotNumber,0),MATCH(B$3,PlotTitles,0)))),"",ISBLANK(INDEX(PlotData,MATCH($A113,PlotNumber,0),MATCH(N$3,PlotTitles,0))),$AB$17,TRUE,"")</f>
        <v/>
      </c>
      <c r="O113" s="104" t="str" cm="1">
        <f t="array" ref="O113">_xlfn.IFS(AND(A113&gt;NumberOfPlots,ISBLANK(INDEX(PlotData,MATCH($A113,PlotNumber,0),MATCH(B$3,PlotTitles,0)))),"",ISBLANK(INDEX(PlotData,MATCH($A113,PlotNumber,0),MATCH(O$3,PlotTitles,0))),$AB$18,TRUE,"")</f>
        <v/>
      </c>
      <c r="P113" s="182" t="str">
        <f t="shared" ca="1" si="4"/>
        <v/>
      </c>
      <c r="Q113" s="104" t="str" cm="1">
        <f t="array" ref="Q113">_xlfn.IFS(AND(A113&gt;NumberOfPlots,ISBLANK(INDEX(PlotData,MATCH($A113,PlotNumber,0),MATCH(B$3,PlotTitles,0)))),"",ISBLANK(INDEX(PlotData,MATCH($A113,PlotNumber,0),MATCH(N$3,PlotTitles,0))),"",(DATEVALUE(INDEX(PlotData,MATCH($A113,PlotNumber,0),MATCH(N$3,PlotTitles,0))&amp;INDEX(PlotData,MATCH($A113,PlotNumber,0),MATCH(O$3,PlotTitles,0))))&lt;(DATEVALUE(INDEX(PlotData,MATCH($A113,PlotNumber,0),MATCH(I$3,PlotTitles,0))&amp;INDEX(PlotData,MATCH($A113,PlotNumber,0),MATCH(J$3,PlotTitles,0)))),$AB$20,TRUE,"")</f>
        <v/>
      </c>
      <c r="R113" s="104" t="str" cm="1">
        <f t="array" ref="R113">_xlfn.IFS(OR(ISBLANK(StartDateMonth),ISBLANK(StartDateYear)),"",AND(A113&gt;NumberOfPlots,ISBLANK(INDEX(PlotData,MATCH($A113,PlotNumber,0),MATCH(B$3,PlotTitles,0)))),"",ISBLANK(INDEX(PlotData,MATCH($A113,PlotNumber,0),MATCH(N$3,PlotTitles,0))),"",CompletionMonth="","",(DATEVALUE(INDEX(PlotData,MATCH($A113,PlotNumber,0),MATCH(N$3,PlotTitles,0))&amp;INDEX(PlotData,MATCH($A113,PlotNumber,0),MATCH(O$3,PlotTitles,0))))&gt;(DATEVALUE(CompletionMonth&amp;CompletionYear)),$AB$21,TRUE,"")</f>
        <v/>
      </c>
      <c r="S113" s="104" t="str" cm="1">
        <f t="array" ref="S113">_xlfn.IFS(AND(A113&gt;NumberOfPlots,ISBLANK(INDEX(PlotData,MATCH($A113,PlotNumber,0),MATCH(B$3,PlotTitles,0)))),"",OR(AND(INDEX(PlotData,MATCH($A113,PlotNumber,0),MATCH("Tenure",PlotTitles,0))="Open market housing",INDEX(PlotData,MATCH($A113,PlotNumber,0),MATCH("Tenure detail",PlotTitles,0))="Private rented sector"),INDEX(PlotData,MATCH($A113,PlotNumber,0),MATCH("Tenure",PlotTitles,0))="Affordable rent"),"",ISNUMBER(INDEX(PlotData,MATCH($A113,PlotNumber,0),MATCH(S$3,PlotTitles,0)))=FALSE, $AB$22,TRUE,"")</f>
        <v/>
      </c>
      <c r="T113" s="104" t="str" cm="1">
        <f t="array" ref="T113">_xlfn.IFS(AND(A113&gt;NumberOfPlots,ISBLANK(INDEX(PlotData,MATCH($A113,PlotNumber,0),MATCH(B$3,PlotTitles,0)))),"",OR(AND(INDEX(PlotData,MATCH($A113,PlotNumber,0),MATCH("Tenure",PlotTitles,0))="Open market housing",INDEX(PlotData,MATCH($A113,PlotNumber,0),MATCH("Tenure detail",PlotTitles,0))="Private rented sector"),INDEX(PlotData,MATCH($A113,PlotNumber,0),MATCH("Tenure",PlotTitles,0))="Affordable rent"),"",INDEX(PlotData,MATCH($A113,PlotNumber,0),MATCH(S$3,PlotTitles,0))&lt;10000, $AB$23,TRUE,"")</f>
        <v/>
      </c>
      <c r="U113" s="104" t="str" cm="1">
        <f t="array" ref="U113">_xlfn.IFS(AND(A113&gt;NumberOfPlots,ISBLANK(INDEX(PlotData,MATCH($A113,PlotNumber,0),MATCH(B$3,PlotTitles,0)))),"",NOT(OR(AND(INDEX(PlotData,MATCH($A113,PlotNumber,0),MATCH("Tenure",PlotTitles,0))="Open market housing",INDEX(PlotData,MATCH($A113,PlotNumber,0),MATCH("Tenure detail",PlotTitles,0))="Private rented sector"),INDEX(PlotData,MATCH($A113,PlotNumber,0),MATCH("Tenure",PlotTitles,0))="Affordable rent")),"",NOT(INDEX(PlotData,MATCH($A113,PlotNumber,0),MATCH(S$3,PlotTitles,0))=0), $AB$24,TRUE,"")</f>
        <v/>
      </c>
      <c r="V113" s="114" t="str" cm="1">
        <f t="array" aca="1" ref="V113" ca="1">_xlfn.IFS(ISBLANK(NumberOfPlots),"Enter the number of homes on the 1_SetUp sheet",AND(A113&gt;NumberOfPlots,ISBLANK(INDEX(PlotData,MATCH($A113,PlotNumber,0),MATCH(B$3,PlotTitles,0)))),"No error",NOT(B113=""),B113,NOT(C113=""),C113,NOT(D113=""),D113,NOT(E113=""),E113,NOT(F113=""),F113,NOT(G113=""),G113,NOT(H113=""),H113,NOT(I113=""),I113,NOT(J113=""),J113,NOT(K113=""),K113,NOT(L113=""),L113,NOT(M113=""),M113,NOT(N113=""),N113,NOT(O113=""),O113,NOT(P113=""),P113,NOT(Q113=""),Q113,NOT(R113=""),R113,NOT(S113=""),S113,NOT(T113=""),T113,NOT(U113=""),U113,TRUE,"No error")</f>
        <v>Enter the number of homes on the 1_SetUp sheet</v>
      </c>
      <c r="W113" s="114" t="str">
        <f t="shared" ca="1" si="5"/>
        <v xml:space="preserve">The Borrower has not addressed the following error messages for Home ID 109: </v>
      </c>
    </row>
    <row r="114" spans="1:23">
      <c r="A114" s="123">
        <v>110</v>
      </c>
      <c r="B114" s="104" t="str" cm="1">
        <f t="array" ref="B114">_xlfn.IFS(AND(A114&gt;NumberOfPlots,ISBLANK(INDEX(PlotData,MATCH($A114,PlotNumber,0),MATCH(B$3,PlotTitles,0)))),"",ISNUMBER(INDEX(PlotData,MATCH($A114,PlotNumber,0),MATCH(B$3,PlotTitles,0)))=FALSE, $AB$5,TRUE,"")</f>
        <v/>
      </c>
      <c r="C114" s="104" t="str" cm="1">
        <f t="array" ref="C114">_xlfn.IFS(AND(A114&gt;NumberOfPlots,ISBLANK(INDEX(PlotData,MATCH($A114,PlotNumber,0),MATCH(B$3,PlotTitles,0)))),"",ISBLANK(INDEX(PlotData,MATCH($A114,PlotNumber,0),MATCH(C$3,PlotTitles,0))),$AB$6,TRUE,"")</f>
        <v/>
      </c>
      <c r="D114" s="104" t="str" cm="1">
        <f t="array" ref="D114">_xlfn.IFS(AND(A114&gt;NumberOfPlots,ISBLANK(INDEX(PlotData,MATCH($A114,PlotNumber,0),MATCH(B$3,PlotTitles,0)))),"",ISBLANK(INDEX(PlotData,MATCH($A114,PlotNumber,0),MATCH(D$3,PlotTitles,0))),$AB$7,TRUE,"")</f>
        <v/>
      </c>
      <c r="E114" s="104" t="str" cm="1">
        <f t="array" ref="E114">_xlfn.IFS(AND(A114&gt;NumberOfPlots,ISBLANK(INDEX(PlotData,MATCH($A114,PlotNumber,0),MATCH(B$3,PlotTitles,0)))),"",ISBLANK(INDEX(PlotData,MATCH($A114,PlotNumber,0),MATCH(E$3,PlotTitles,0))),$AB$8,TRUE,"")</f>
        <v/>
      </c>
      <c r="F114" s="104" t="str" cm="1">
        <f t="array" ref="F114">_xlfn.IFS(AND(A114&gt;NumberOfPlots,ISBLANK(INDEX(PlotData,MATCH($A114,PlotNumber,0),MATCH(B$3,PlotTitles,0)))),"",ISBLANK(INDEX(PlotData,MATCH($A114,PlotNumber,0),MATCH(F$3,PlotTitles,0))),$AB$9,TRUE,"")</f>
        <v/>
      </c>
      <c r="G114" s="104" t="str" cm="1">
        <f t="array" ref="G114">_xlfn.IFS(AND(A114&gt;NumberOfPlots,ISBLANK(INDEX(PlotData,MATCH($A114,PlotNumber,0),MATCH(B$3,PlotTitles,0)))),"",ISBLANK(INDEX(PlotData,MATCH($A114,PlotNumber,0),MATCH(G$3,PlotTitles,0))),$AB$10,TRUE,"")</f>
        <v/>
      </c>
      <c r="H114" s="104" t="str" cm="1">
        <f t="array" ref="H114">_xlfn.IFS(AND(A114&gt;NumberOfPlots,ISBLANK(INDEX(PlotData,MATCH($A114,PlotNumber,0),MATCH(B$3,PlotTitles,0)))),"",AND(ISBLANK(INDEX(PlotData,MATCH($A114,PlotNumber,0),MATCH(H$3,PlotTitles,0)))=FALSE,INDEX(PlotData,MATCH($A114,PlotNumber,0),MATCH(H$3,PlotTitles,0))&lt;500), $AB$11,TRUE,"")</f>
        <v/>
      </c>
      <c r="I114" s="104" t="str" cm="1">
        <f t="array" ref="I114">_xlfn.IFS(AND(A114&gt;NumberOfPlots,ISBLANK(INDEX(PlotData,MATCH($A114,PlotNumber,0),MATCH(B$3,PlotTitles,0)))),"",ISBLANK(INDEX(PlotData,MATCH($A114,PlotNumber,0),MATCH(I$3,PlotTitles,0))),$AB$12,TRUE,"")</f>
        <v/>
      </c>
      <c r="J114" s="104" t="str" cm="1">
        <f t="array" ref="J114">_xlfn.IFS(AND(A114&gt;NumberOfPlots,ISBLANK(INDEX(PlotData,MATCH($A114,PlotNumber,0),MATCH(B$3,PlotTitles,0)))),"",ISBLANK(INDEX(PlotData,MATCH($A114,PlotNumber,0),MATCH(J$3,PlotTitles,0))),$AB$13,TRUE,"")</f>
        <v/>
      </c>
      <c r="K114" s="182" t="str">
        <f t="shared" ca="1" si="3"/>
        <v/>
      </c>
      <c r="L114" s="104" t="str" cm="1">
        <f t="array" ref="L114">_xlfn.IFS(OR(ISBLANK(StartDateMonth),ISBLANK(StartDateYear)),"",AND(A114&gt;NumberOfPlots,ISBLANK(INDEX(PlotData,MATCH($A114,PlotNumber,0),MATCH(B$3,PlotTitles,0)))),"",ISBLANK(INDEX(PlotData,MATCH($A114,PlotNumber,0),MATCH(I$3,PlotTitles,0))),"",(DATEVALUE(INDEX(PlotData,MATCH($A114,PlotNumber,0),MATCH(I$3,PlotTitles,0))&amp;INDEX(PlotData,MATCH($A114,PlotNumber,0),MATCH(J$3,PlotTitles,0))))&lt;DATEVALUE(StartDateMonth&amp;StartDateYear),$AB$15,TRUE,"")</f>
        <v/>
      </c>
      <c r="M114" s="104" t="str" cm="1">
        <f t="array" ref="M114">_xlfn.IFS(OR(ISBLANK(StartDateMonth),ISBLANK(StartDateYear)),"",AND(A114&gt;NumberOfPlots,ISBLANK(INDEX(PlotData,MATCH($A114,PlotNumber,0),MATCH(B$3,PlotTitles,0)))),"",ISBLANK(INDEX(PlotData,MATCH($A114,PlotNumber,0),MATCH(I$3,PlotTitles,0))),"",CompletionMonth="","",(DATEVALUE(INDEX(PlotData,MATCH($A114,PlotNumber,0),MATCH(I$3,PlotTitles,0))&amp;INDEX(PlotData,MATCH($A114,PlotNumber,0),MATCH(J$3,PlotTitles,0))))&gt;(DATEVALUE(CompletionMonth&amp;CompletionYear)),$AB$16,TRUE,"")</f>
        <v/>
      </c>
      <c r="N114" s="104" t="str" cm="1">
        <f t="array" ref="N114">_xlfn.IFS(AND(A114&gt;NumberOfPlots,ISBLANK(INDEX(PlotData,MATCH($A114,PlotNumber,0),MATCH(B$3,PlotTitles,0)))),"",ISBLANK(INDEX(PlotData,MATCH($A114,PlotNumber,0),MATCH(N$3,PlotTitles,0))),$AB$17,TRUE,"")</f>
        <v/>
      </c>
      <c r="O114" s="104" t="str" cm="1">
        <f t="array" ref="O114">_xlfn.IFS(AND(A114&gt;NumberOfPlots,ISBLANK(INDEX(PlotData,MATCH($A114,PlotNumber,0),MATCH(B$3,PlotTitles,0)))),"",ISBLANK(INDEX(PlotData,MATCH($A114,PlotNumber,0),MATCH(O$3,PlotTitles,0))),$AB$18,TRUE,"")</f>
        <v/>
      </c>
      <c r="P114" s="182" t="str">
        <f t="shared" ca="1" si="4"/>
        <v/>
      </c>
      <c r="Q114" s="104" t="str" cm="1">
        <f t="array" ref="Q114">_xlfn.IFS(AND(A114&gt;NumberOfPlots,ISBLANK(INDEX(PlotData,MATCH($A114,PlotNumber,0),MATCH(B$3,PlotTitles,0)))),"",ISBLANK(INDEX(PlotData,MATCH($A114,PlotNumber,0),MATCH(N$3,PlotTitles,0))),"",(DATEVALUE(INDEX(PlotData,MATCH($A114,PlotNumber,0),MATCH(N$3,PlotTitles,0))&amp;INDEX(PlotData,MATCH($A114,PlotNumber,0),MATCH(O$3,PlotTitles,0))))&lt;(DATEVALUE(INDEX(PlotData,MATCH($A114,PlotNumber,0),MATCH(I$3,PlotTitles,0))&amp;INDEX(PlotData,MATCH($A114,PlotNumber,0),MATCH(J$3,PlotTitles,0)))),$AB$20,TRUE,"")</f>
        <v/>
      </c>
      <c r="R114" s="104" t="str" cm="1">
        <f t="array" ref="R114">_xlfn.IFS(OR(ISBLANK(StartDateMonth),ISBLANK(StartDateYear)),"",AND(A114&gt;NumberOfPlots,ISBLANK(INDEX(PlotData,MATCH($A114,PlotNumber,0),MATCH(B$3,PlotTitles,0)))),"",ISBLANK(INDEX(PlotData,MATCH($A114,PlotNumber,0),MATCH(N$3,PlotTitles,0))),"",CompletionMonth="","",(DATEVALUE(INDEX(PlotData,MATCH($A114,PlotNumber,0),MATCH(N$3,PlotTitles,0))&amp;INDEX(PlotData,MATCH($A114,PlotNumber,0),MATCH(O$3,PlotTitles,0))))&gt;(DATEVALUE(CompletionMonth&amp;CompletionYear)),$AB$21,TRUE,"")</f>
        <v/>
      </c>
      <c r="S114" s="104" t="str" cm="1">
        <f t="array" ref="S114">_xlfn.IFS(AND(A114&gt;NumberOfPlots,ISBLANK(INDEX(PlotData,MATCH($A114,PlotNumber,0),MATCH(B$3,PlotTitles,0)))),"",OR(AND(INDEX(PlotData,MATCH($A114,PlotNumber,0),MATCH("Tenure",PlotTitles,0))="Open market housing",INDEX(PlotData,MATCH($A114,PlotNumber,0),MATCH("Tenure detail",PlotTitles,0))="Private rented sector"),INDEX(PlotData,MATCH($A114,PlotNumber,0),MATCH("Tenure",PlotTitles,0))="Affordable rent"),"",ISNUMBER(INDEX(PlotData,MATCH($A114,PlotNumber,0),MATCH(S$3,PlotTitles,0)))=FALSE, $AB$22,TRUE,"")</f>
        <v/>
      </c>
      <c r="T114" s="104" t="str" cm="1">
        <f t="array" ref="T114">_xlfn.IFS(AND(A114&gt;NumberOfPlots,ISBLANK(INDEX(PlotData,MATCH($A114,PlotNumber,0),MATCH(B$3,PlotTitles,0)))),"",OR(AND(INDEX(PlotData,MATCH($A114,PlotNumber,0),MATCH("Tenure",PlotTitles,0))="Open market housing",INDEX(PlotData,MATCH($A114,PlotNumber,0),MATCH("Tenure detail",PlotTitles,0))="Private rented sector"),INDEX(PlotData,MATCH($A114,PlotNumber,0),MATCH("Tenure",PlotTitles,0))="Affordable rent"),"",INDEX(PlotData,MATCH($A114,PlotNumber,0),MATCH(S$3,PlotTitles,0))&lt;10000, $AB$23,TRUE,"")</f>
        <v/>
      </c>
      <c r="U114" s="104" t="str" cm="1">
        <f t="array" ref="U114">_xlfn.IFS(AND(A114&gt;NumberOfPlots,ISBLANK(INDEX(PlotData,MATCH($A114,PlotNumber,0),MATCH(B$3,PlotTitles,0)))),"",NOT(OR(AND(INDEX(PlotData,MATCH($A114,PlotNumber,0),MATCH("Tenure",PlotTitles,0))="Open market housing",INDEX(PlotData,MATCH($A114,PlotNumber,0),MATCH("Tenure detail",PlotTitles,0))="Private rented sector"),INDEX(PlotData,MATCH($A114,PlotNumber,0),MATCH("Tenure",PlotTitles,0))="Affordable rent")),"",NOT(INDEX(PlotData,MATCH($A114,PlotNumber,0),MATCH(S$3,PlotTitles,0))=0), $AB$24,TRUE,"")</f>
        <v/>
      </c>
      <c r="V114" s="114" t="str" cm="1">
        <f t="array" aca="1" ref="V114" ca="1">_xlfn.IFS(ISBLANK(NumberOfPlots),"Enter the number of homes on the 1_SetUp sheet",AND(A114&gt;NumberOfPlots,ISBLANK(INDEX(PlotData,MATCH($A114,PlotNumber,0),MATCH(B$3,PlotTitles,0)))),"No error",NOT(B114=""),B114,NOT(C114=""),C114,NOT(D114=""),D114,NOT(E114=""),E114,NOT(F114=""),F114,NOT(G114=""),G114,NOT(H114=""),H114,NOT(I114=""),I114,NOT(J114=""),J114,NOT(K114=""),K114,NOT(L114=""),L114,NOT(M114=""),M114,NOT(N114=""),N114,NOT(O114=""),O114,NOT(P114=""),P114,NOT(Q114=""),Q114,NOT(R114=""),R114,NOT(S114=""),S114,NOT(T114=""),T114,NOT(U114=""),U114,TRUE,"No error")</f>
        <v>Enter the number of homes on the 1_SetUp sheet</v>
      </c>
      <c r="W114" s="114" t="str">
        <f t="shared" ca="1" si="5"/>
        <v xml:space="preserve">The Borrower has not addressed the following error messages for Home ID 110: </v>
      </c>
    </row>
    <row r="115" spans="1:23">
      <c r="A115" s="123">
        <v>111</v>
      </c>
      <c r="B115" s="104" t="str" cm="1">
        <f t="array" ref="B115">_xlfn.IFS(AND(A115&gt;NumberOfPlots,ISBLANK(INDEX(PlotData,MATCH($A115,PlotNumber,0),MATCH(B$3,PlotTitles,0)))),"",ISNUMBER(INDEX(PlotData,MATCH($A115,PlotNumber,0),MATCH(B$3,PlotTitles,0)))=FALSE, $AB$5,TRUE,"")</f>
        <v/>
      </c>
      <c r="C115" s="104" t="str" cm="1">
        <f t="array" ref="C115">_xlfn.IFS(AND(A115&gt;NumberOfPlots,ISBLANK(INDEX(PlotData,MATCH($A115,PlotNumber,0),MATCH(B$3,PlotTitles,0)))),"",ISBLANK(INDEX(PlotData,MATCH($A115,PlotNumber,0),MATCH(C$3,PlotTitles,0))),$AB$6,TRUE,"")</f>
        <v/>
      </c>
      <c r="D115" s="104" t="str" cm="1">
        <f t="array" ref="D115">_xlfn.IFS(AND(A115&gt;NumberOfPlots,ISBLANK(INDEX(PlotData,MATCH($A115,PlotNumber,0),MATCH(B$3,PlotTitles,0)))),"",ISBLANK(INDEX(PlotData,MATCH($A115,PlotNumber,0),MATCH(D$3,PlotTitles,0))),$AB$7,TRUE,"")</f>
        <v/>
      </c>
      <c r="E115" s="104" t="str" cm="1">
        <f t="array" ref="E115">_xlfn.IFS(AND(A115&gt;NumberOfPlots,ISBLANK(INDEX(PlotData,MATCH($A115,PlotNumber,0),MATCH(B$3,PlotTitles,0)))),"",ISBLANK(INDEX(PlotData,MATCH($A115,PlotNumber,0),MATCH(E$3,PlotTitles,0))),$AB$8,TRUE,"")</f>
        <v/>
      </c>
      <c r="F115" s="104" t="str" cm="1">
        <f t="array" ref="F115">_xlfn.IFS(AND(A115&gt;NumberOfPlots,ISBLANK(INDEX(PlotData,MATCH($A115,PlotNumber,0),MATCH(B$3,PlotTitles,0)))),"",ISBLANK(INDEX(PlotData,MATCH($A115,PlotNumber,0),MATCH(F$3,PlotTitles,0))),$AB$9,TRUE,"")</f>
        <v/>
      </c>
      <c r="G115" s="104" t="str" cm="1">
        <f t="array" ref="G115">_xlfn.IFS(AND(A115&gt;NumberOfPlots,ISBLANK(INDEX(PlotData,MATCH($A115,PlotNumber,0),MATCH(B$3,PlotTitles,0)))),"",ISBLANK(INDEX(PlotData,MATCH($A115,PlotNumber,0),MATCH(G$3,PlotTitles,0))),$AB$10,TRUE,"")</f>
        <v/>
      </c>
      <c r="H115" s="104" t="str" cm="1">
        <f t="array" ref="H115">_xlfn.IFS(AND(A115&gt;NumberOfPlots,ISBLANK(INDEX(PlotData,MATCH($A115,PlotNumber,0),MATCH(B$3,PlotTitles,0)))),"",AND(ISBLANK(INDEX(PlotData,MATCH($A115,PlotNumber,0),MATCH(H$3,PlotTitles,0)))=FALSE,INDEX(PlotData,MATCH($A115,PlotNumber,0),MATCH(H$3,PlotTitles,0))&lt;500), $AB$11,TRUE,"")</f>
        <v/>
      </c>
      <c r="I115" s="104" t="str" cm="1">
        <f t="array" ref="I115">_xlfn.IFS(AND(A115&gt;NumberOfPlots,ISBLANK(INDEX(PlotData,MATCH($A115,PlotNumber,0),MATCH(B$3,PlotTitles,0)))),"",ISBLANK(INDEX(PlotData,MATCH($A115,PlotNumber,0),MATCH(I$3,PlotTitles,0))),$AB$12,TRUE,"")</f>
        <v/>
      </c>
      <c r="J115" s="104" t="str" cm="1">
        <f t="array" ref="J115">_xlfn.IFS(AND(A115&gt;NumberOfPlots,ISBLANK(INDEX(PlotData,MATCH($A115,PlotNumber,0),MATCH(B$3,PlotTitles,0)))),"",ISBLANK(INDEX(PlotData,MATCH($A115,PlotNumber,0),MATCH(J$3,PlotTitles,0))),$AB$13,TRUE,"")</f>
        <v/>
      </c>
      <c r="K115" s="182" t="str">
        <f t="shared" ca="1" si="3"/>
        <v/>
      </c>
      <c r="L115" s="104" t="str" cm="1">
        <f t="array" ref="L115">_xlfn.IFS(OR(ISBLANK(StartDateMonth),ISBLANK(StartDateYear)),"",AND(A115&gt;NumberOfPlots,ISBLANK(INDEX(PlotData,MATCH($A115,PlotNumber,0),MATCH(B$3,PlotTitles,0)))),"",ISBLANK(INDEX(PlotData,MATCH($A115,PlotNumber,0),MATCH(I$3,PlotTitles,0))),"",(DATEVALUE(INDEX(PlotData,MATCH($A115,PlotNumber,0),MATCH(I$3,PlotTitles,0))&amp;INDEX(PlotData,MATCH($A115,PlotNumber,0),MATCH(J$3,PlotTitles,0))))&lt;DATEVALUE(StartDateMonth&amp;StartDateYear),$AB$15,TRUE,"")</f>
        <v/>
      </c>
      <c r="M115" s="104" t="str" cm="1">
        <f t="array" ref="M115">_xlfn.IFS(OR(ISBLANK(StartDateMonth),ISBLANK(StartDateYear)),"",AND(A115&gt;NumberOfPlots,ISBLANK(INDEX(PlotData,MATCH($A115,PlotNumber,0),MATCH(B$3,PlotTitles,0)))),"",ISBLANK(INDEX(PlotData,MATCH($A115,PlotNumber,0),MATCH(I$3,PlotTitles,0))),"",CompletionMonth="","",(DATEVALUE(INDEX(PlotData,MATCH($A115,PlotNumber,0),MATCH(I$3,PlotTitles,0))&amp;INDEX(PlotData,MATCH($A115,PlotNumber,0),MATCH(J$3,PlotTitles,0))))&gt;(DATEVALUE(CompletionMonth&amp;CompletionYear)),$AB$16,TRUE,"")</f>
        <v/>
      </c>
      <c r="N115" s="104" t="str" cm="1">
        <f t="array" ref="N115">_xlfn.IFS(AND(A115&gt;NumberOfPlots,ISBLANK(INDEX(PlotData,MATCH($A115,PlotNumber,0),MATCH(B$3,PlotTitles,0)))),"",ISBLANK(INDEX(PlotData,MATCH($A115,PlotNumber,0),MATCH(N$3,PlotTitles,0))),$AB$17,TRUE,"")</f>
        <v/>
      </c>
      <c r="O115" s="104" t="str" cm="1">
        <f t="array" ref="O115">_xlfn.IFS(AND(A115&gt;NumberOfPlots,ISBLANK(INDEX(PlotData,MATCH($A115,PlotNumber,0),MATCH(B$3,PlotTitles,0)))),"",ISBLANK(INDEX(PlotData,MATCH($A115,PlotNumber,0),MATCH(O$3,PlotTitles,0))),$AB$18,TRUE,"")</f>
        <v/>
      </c>
      <c r="P115" s="182" t="str">
        <f t="shared" ca="1" si="4"/>
        <v/>
      </c>
      <c r="Q115" s="104" t="str" cm="1">
        <f t="array" ref="Q115">_xlfn.IFS(AND(A115&gt;NumberOfPlots,ISBLANK(INDEX(PlotData,MATCH($A115,PlotNumber,0),MATCH(B$3,PlotTitles,0)))),"",ISBLANK(INDEX(PlotData,MATCH($A115,PlotNumber,0),MATCH(N$3,PlotTitles,0))),"",(DATEVALUE(INDEX(PlotData,MATCH($A115,PlotNumber,0),MATCH(N$3,PlotTitles,0))&amp;INDEX(PlotData,MATCH($A115,PlotNumber,0),MATCH(O$3,PlotTitles,0))))&lt;(DATEVALUE(INDEX(PlotData,MATCH($A115,PlotNumber,0),MATCH(I$3,PlotTitles,0))&amp;INDEX(PlotData,MATCH($A115,PlotNumber,0),MATCH(J$3,PlotTitles,0)))),$AB$20,TRUE,"")</f>
        <v/>
      </c>
      <c r="R115" s="104" t="str" cm="1">
        <f t="array" ref="R115">_xlfn.IFS(OR(ISBLANK(StartDateMonth),ISBLANK(StartDateYear)),"",AND(A115&gt;NumberOfPlots,ISBLANK(INDEX(PlotData,MATCH($A115,PlotNumber,0),MATCH(B$3,PlotTitles,0)))),"",ISBLANK(INDEX(PlotData,MATCH($A115,PlotNumber,0),MATCH(N$3,PlotTitles,0))),"",CompletionMonth="","",(DATEVALUE(INDEX(PlotData,MATCH($A115,PlotNumber,0),MATCH(N$3,PlotTitles,0))&amp;INDEX(PlotData,MATCH($A115,PlotNumber,0),MATCH(O$3,PlotTitles,0))))&gt;(DATEVALUE(CompletionMonth&amp;CompletionYear)),$AB$21,TRUE,"")</f>
        <v/>
      </c>
      <c r="S115" s="104" t="str" cm="1">
        <f t="array" ref="S115">_xlfn.IFS(AND(A115&gt;NumberOfPlots,ISBLANK(INDEX(PlotData,MATCH($A115,PlotNumber,0),MATCH(B$3,PlotTitles,0)))),"",OR(AND(INDEX(PlotData,MATCH($A115,PlotNumber,0),MATCH("Tenure",PlotTitles,0))="Open market housing",INDEX(PlotData,MATCH($A115,PlotNumber,0),MATCH("Tenure detail",PlotTitles,0))="Private rented sector"),INDEX(PlotData,MATCH($A115,PlotNumber,0),MATCH("Tenure",PlotTitles,0))="Affordable rent"),"",ISNUMBER(INDEX(PlotData,MATCH($A115,PlotNumber,0),MATCH(S$3,PlotTitles,0)))=FALSE, $AB$22,TRUE,"")</f>
        <v/>
      </c>
      <c r="T115" s="104" t="str" cm="1">
        <f t="array" ref="T115">_xlfn.IFS(AND(A115&gt;NumberOfPlots,ISBLANK(INDEX(PlotData,MATCH($A115,PlotNumber,0),MATCH(B$3,PlotTitles,0)))),"",OR(AND(INDEX(PlotData,MATCH($A115,PlotNumber,0),MATCH("Tenure",PlotTitles,0))="Open market housing",INDEX(PlotData,MATCH($A115,PlotNumber,0),MATCH("Tenure detail",PlotTitles,0))="Private rented sector"),INDEX(PlotData,MATCH($A115,PlotNumber,0),MATCH("Tenure",PlotTitles,0))="Affordable rent"),"",INDEX(PlotData,MATCH($A115,PlotNumber,0),MATCH(S$3,PlotTitles,0))&lt;10000, $AB$23,TRUE,"")</f>
        <v/>
      </c>
      <c r="U115" s="104" t="str" cm="1">
        <f t="array" ref="U115">_xlfn.IFS(AND(A115&gt;NumberOfPlots,ISBLANK(INDEX(PlotData,MATCH($A115,PlotNumber,0),MATCH(B$3,PlotTitles,0)))),"",NOT(OR(AND(INDEX(PlotData,MATCH($A115,PlotNumber,0),MATCH("Tenure",PlotTitles,0))="Open market housing",INDEX(PlotData,MATCH($A115,PlotNumber,0),MATCH("Tenure detail",PlotTitles,0))="Private rented sector"),INDEX(PlotData,MATCH($A115,PlotNumber,0),MATCH("Tenure",PlotTitles,0))="Affordable rent")),"",NOT(INDEX(PlotData,MATCH($A115,PlotNumber,0),MATCH(S$3,PlotTitles,0))=0), $AB$24,TRUE,"")</f>
        <v/>
      </c>
      <c r="V115" s="114" t="str" cm="1">
        <f t="array" aca="1" ref="V115" ca="1">_xlfn.IFS(ISBLANK(NumberOfPlots),"Enter the number of homes on the 1_SetUp sheet",AND(A115&gt;NumberOfPlots,ISBLANK(INDEX(PlotData,MATCH($A115,PlotNumber,0),MATCH(B$3,PlotTitles,0)))),"No error",NOT(B115=""),B115,NOT(C115=""),C115,NOT(D115=""),D115,NOT(E115=""),E115,NOT(F115=""),F115,NOT(G115=""),G115,NOT(H115=""),H115,NOT(I115=""),I115,NOT(J115=""),J115,NOT(K115=""),K115,NOT(L115=""),L115,NOT(M115=""),M115,NOT(N115=""),N115,NOT(O115=""),O115,NOT(P115=""),P115,NOT(Q115=""),Q115,NOT(R115=""),R115,NOT(S115=""),S115,NOT(T115=""),T115,NOT(U115=""),U115,TRUE,"No error")</f>
        <v>Enter the number of homes on the 1_SetUp sheet</v>
      </c>
      <c r="W115" s="114" t="str">
        <f t="shared" ca="1" si="5"/>
        <v xml:space="preserve">The Borrower has not addressed the following error messages for Home ID 111: </v>
      </c>
    </row>
    <row r="116" spans="1:23">
      <c r="A116" s="123">
        <v>112</v>
      </c>
      <c r="B116" s="104" t="str" cm="1">
        <f t="array" ref="B116">_xlfn.IFS(AND(A116&gt;NumberOfPlots,ISBLANK(INDEX(PlotData,MATCH($A116,PlotNumber,0),MATCH(B$3,PlotTitles,0)))),"",ISNUMBER(INDEX(PlotData,MATCH($A116,PlotNumber,0),MATCH(B$3,PlotTitles,0)))=FALSE, $AB$5,TRUE,"")</f>
        <v/>
      </c>
      <c r="C116" s="104" t="str" cm="1">
        <f t="array" ref="C116">_xlfn.IFS(AND(A116&gt;NumberOfPlots,ISBLANK(INDEX(PlotData,MATCH($A116,PlotNumber,0),MATCH(B$3,PlotTitles,0)))),"",ISBLANK(INDEX(PlotData,MATCH($A116,PlotNumber,0),MATCH(C$3,PlotTitles,0))),$AB$6,TRUE,"")</f>
        <v/>
      </c>
      <c r="D116" s="104" t="str" cm="1">
        <f t="array" ref="D116">_xlfn.IFS(AND(A116&gt;NumberOfPlots,ISBLANK(INDEX(PlotData,MATCH($A116,PlotNumber,0),MATCH(B$3,PlotTitles,0)))),"",ISBLANK(INDEX(PlotData,MATCH($A116,PlotNumber,0),MATCH(D$3,PlotTitles,0))),$AB$7,TRUE,"")</f>
        <v/>
      </c>
      <c r="E116" s="104" t="str" cm="1">
        <f t="array" ref="E116">_xlfn.IFS(AND(A116&gt;NumberOfPlots,ISBLANK(INDEX(PlotData,MATCH($A116,PlotNumber,0),MATCH(B$3,PlotTitles,0)))),"",ISBLANK(INDEX(PlotData,MATCH($A116,PlotNumber,0),MATCH(E$3,PlotTitles,0))),$AB$8,TRUE,"")</f>
        <v/>
      </c>
      <c r="F116" s="104" t="str" cm="1">
        <f t="array" ref="F116">_xlfn.IFS(AND(A116&gt;NumberOfPlots,ISBLANK(INDEX(PlotData,MATCH($A116,PlotNumber,0),MATCH(B$3,PlotTitles,0)))),"",ISBLANK(INDEX(PlotData,MATCH($A116,PlotNumber,0),MATCH(F$3,PlotTitles,0))),$AB$9,TRUE,"")</f>
        <v/>
      </c>
      <c r="G116" s="104" t="str" cm="1">
        <f t="array" ref="G116">_xlfn.IFS(AND(A116&gt;NumberOfPlots,ISBLANK(INDEX(PlotData,MATCH($A116,PlotNumber,0),MATCH(B$3,PlotTitles,0)))),"",ISBLANK(INDEX(PlotData,MATCH($A116,PlotNumber,0),MATCH(G$3,PlotTitles,0))),$AB$10,TRUE,"")</f>
        <v/>
      </c>
      <c r="H116" s="104" t="str" cm="1">
        <f t="array" ref="H116">_xlfn.IFS(AND(A116&gt;NumberOfPlots,ISBLANK(INDEX(PlotData,MATCH($A116,PlotNumber,0),MATCH(B$3,PlotTitles,0)))),"",AND(ISBLANK(INDEX(PlotData,MATCH($A116,PlotNumber,0),MATCH(H$3,PlotTitles,0)))=FALSE,INDEX(PlotData,MATCH($A116,PlotNumber,0),MATCH(H$3,PlotTitles,0))&lt;500), $AB$11,TRUE,"")</f>
        <v/>
      </c>
      <c r="I116" s="104" t="str" cm="1">
        <f t="array" ref="I116">_xlfn.IFS(AND(A116&gt;NumberOfPlots,ISBLANK(INDEX(PlotData,MATCH($A116,PlotNumber,0),MATCH(B$3,PlotTitles,0)))),"",ISBLANK(INDEX(PlotData,MATCH($A116,PlotNumber,0),MATCH(I$3,PlotTitles,0))),$AB$12,TRUE,"")</f>
        <v/>
      </c>
      <c r="J116" s="104" t="str" cm="1">
        <f t="array" ref="J116">_xlfn.IFS(AND(A116&gt;NumberOfPlots,ISBLANK(INDEX(PlotData,MATCH($A116,PlotNumber,0),MATCH(B$3,PlotTitles,0)))),"",ISBLANK(INDEX(PlotData,MATCH($A116,PlotNumber,0),MATCH(J$3,PlotTitles,0))),$AB$13,TRUE,"")</f>
        <v/>
      </c>
      <c r="K116" s="182" t="str">
        <f t="shared" ca="1" si="3"/>
        <v/>
      </c>
      <c r="L116" s="104" t="str" cm="1">
        <f t="array" ref="L116">_xlfn.IFS(OR(ISBLANK(StartDateMonth),ISBLANK(StartDateYear)),"",AND(A116&gt;NumberOfPlots,ISBLANK(INDEX(PlotData,MATCH($A116,PlotNumber,0),MATCH(B$3,PlotTitles,0)))),"",ISBLANK(INDEX(PlotData,MATCH($A116,PlotNumber,0),MATCH(I$3,PlotTitles,0))),"",(DATEVALUE(INDEX(PlotData,MATCH($A116,PlotNumber,0),MATCH(I$3,PlotTitles,0))&amp;INDEX(PlotData,MATCH($A116,PlotNumber,0),MATCH(J$3,PlotTitles,0))))&lt;DATEVALUE(StartDateMonth&amp;StartDateYear),$AB$15,TRUE,"")</f>
        <v/>
      </c>
      <c r="M116" s="104" t="str" cm="1">
        <f t="array" ref="M116">_xlfn.IFS(OR(ISBLANK(StartDateMonth),ISBLANK(StartDateYear)),"",AND(A116&gt;NumberOfPlots,ISBLANK(INDEX(PlotData,MATCH($A116,PlotNumber,0),MATCH(B$3,PlotTitles,0)))),"",ISBLANK(INDEX(PlotData,MATCH($A116,PlotNumber,0),MATCH(I$3,PlotTitles,0))),"",CompletionMonth="","",(DATEVALUE(INDEX(PlotData,MATCH($A116,PlotNumber,0),MATCH(I$3,PlotTitles,0))&amp;INDEX(PlotData,MATCH($A116,PlotNumber,0),MATCH(J$3,PlotTitles,0))))&gt;(DATEVALUE(CompletionMonth&amp;CompletionYear)),$AB$16,TRUE,"")</f>
        <v/>
      </c>
      <c r="N116" s="104" t="str" cm="1">
        <f t="array" ref="N116">_xlfn.IFS(AND(A116&gt;NumberOfPlots,ISBLANK(INDEX(PlotData,MATCH($A116,PlotNumber,0),MATCH(B$3,PlotTitles,0)))),"",ISBLANK(INDEX(PlotData,MATCH($A116,PlotNumber,0),MATCH(N$3,PlotTitles,0))),$AB$17,TRUE,"")</f>
        <v/>
      </c>
      <c r="O116" s="104" t="str" cm="1">
        <f t="array" ref="O116">_xlfn.IFS(AND(A116&gt;NumberOfPlots,ISBLANK(INDEX(PlotData,MATCH($A116,PlotNumber,0),MATCH(B$3,PlotTitles,0)))),"",ISBLANK(INDEX(PlotData,MATCH($A116,PlotNumber,0),MATCH(O$3,PlotTitles,0))),$AB$18,TRUE,"")</f>
        <v/>
      </c>
      <c r="P116" s="182" t="str">
        <f t="shared" ca="1" si="4"/>
        <v/>
      </c>
      <c r="Q116" s="104" t="str" cm="1">
        <f t="array" ref="Q116">_xlfn.IFS(AND(A116&gt;NumberOfPlots,ISBLANK(INDEX(PlotData,MATCH($A116,PlotNumber,0),MATCH(B$3,PlotTitles,0)))),"",ISBLANK(INDEX(PlotData,MATCH($A116,PlotNumber,0),MATCH(N$3,PlotTitles,0))),"",(DATEVALUE(INDEX(PlotData,MATCH($A116,PlotNumber,0),MATCH(N$3,PlotTitles,0))&amp;INDEX(PlotData,MATCH($A116,PlotNumber,0),MATCH(O$3,PlotTitles,0))))&lt;(DATEVALUE(INDEX(PlotData,MATCH($A116,PlotNumber,0),MATCH(I$3,PlotTitles,0))&amp;INDEX(PlotData,MATCH($A116,PlotNumber,0),MATCH(J$3,PlotTitles,0)))),$AB$20,TRUE,"")</f>
        <v/>
      </c>
      <c r="R116" s="104" t="str" cm="1">
        <f t="array" ref="R116">_xlfn.IFS(OR(ISBLANK(StartDateMonth),ISBLANK(StartDateYear)),"",AND(A116&gt;NumberOfPlots,ISBLANK(INDEX(PlotData,MATCH($A116,PlotNumber,0),MATCH(B$3,PlotTitles,0)))),"",ISBLANK(INDEX(PlotData,MATCH($A116,PlotNumber,0),MATCH(N$3,PlotTitles,0))),"",CompletionMonth="","",(DATEVALUE(INDEX(PlotData,MATCH($A116,PlotNumber,0),MATCH(N$3,PlotTitles,0))&amp;INDEX(PlotData,MATCH($A116,PlotNumber,0),MATCH(O$3,PlotTitles,0))))&gt;(DATEVALUE(CompletionMonth&amp;CompletionYear)),$AB$21,TRUE,"")</f>
        <v/>
      </c>
      <c r="S116" s="104" t="str" cm="1">
        <f t="array" ref="S116">_xlfn.IFS(AND(A116&gt;NumberOfPlots,ISBLANK(INDEX(PlotData,MATCH($A116,PlotNumber,0),MATCH(B$3,PlotTitles,0)))),"",OR(AND(INDEX(PlotData,MATCH($A116,PlotNumber,0),MATCH("Tenure",PlotTitles,0))="Open market housing",INDEX(PlotData,MATCH($A116,PlotNumber,0),MATCH("Tenure detail",PlotTitles,0))="Private rented sector"),INDEX(PlotData,MATCH($A116,PlotNumber,0),MATCH("Tenure",PlotTitles,0))="Affordable rent"),"",ISNUMBER(INDEX(PlotData,MATCH($A116,PlotNumber,0),MATCH(S$3,PlotTitles,0)))=FALSE, $AB$22,TRUE,"")</f>
        <v/>
      </c>
      <c r="T116" s="104" t="str" cm="1">
        <f t="array" ref="T116">_xlfn.IFS(AND(A116&gt;NumberOfPlots,ISBLANK(INDEX(PlotData,MATCH($A116,PlotNumber,0),MATCH(B$3,PlotTitles,0)))),"",OR(AND(INDEX(PlotData,MATCH($A116,PlotNumber,0),MATCH("Tenure",PlotTitles,0))="Open market housing",INDEX(PlotData,MATCH($A116,PlotNumber,0),MATCH("Tenure detail",PlotTitles,0))="Private rented sector"),INDEX(PlotData,MATCH($A116,PlotNumber,0),MATCH("Tenure",PlotTitles,0))="Affordable rent"),"",INDEX(PlotData,MATCH($A116,PlotNumber,0),MATCH(S$3,PlotTitles,0))&lt;10000, $AB$23,TRUE,"")</f>
        <v/>
      </c>
      <c r="U116" s="104" t="str" cm="1">
        <f t="array" ref="U116">_xlfn.IFS(AND(A116&gt;NumberOfPlots,ISBLANK(INDEX(PlotData,MATCH($A116,PlotNumber,0),MATCH(B$3,PlotTitles,0)))),"",NOT(OR(AND(INDEX(PlotData,MATCH($A116,PlotNumber,0),MATCH("Tenure",PlotTitles,0))="Open market housing",INDEX(PlotData,MATCH($A116,PlotNumber,0),MATCH("Tenure detail",PlotTitles,0))="Private rented sector"),INDEX(PlotData,MATCH($A116,PlotNumber,0),MATCH("Tenure",PlotTitles,0))="Affordable rent")),"",NOT(INDEX(PlotData,MATCH($A116,PlotNumber,0),MATCH(S$3,PlotTitles,0))=0), $AB$24,TRUE,"")</f>
        <v/>
      </c>
      <c r="V116" s="114" t="str" cm="1">
        <f t="array" aca="1" ref="V116" ca="1">_xlfn.IFS(ISBLANK(NumberOfPlots),"Enter the number of homes on the 1_SetUp sheet",AND(A116&gt;NumberOfPlots,ISBLANK(INDEX(PlotData,MATCH($A116,PlotNumber,0),MATCH(B$3,PlotTitles,0)))),"No error",NOT(B116=""),B116,NOT(C116=""),C116,NOT(D116=""),D116,NOT(E116=""),E116,NOT(F116=""),F116,NOT(G116=""),G116,NOT(H116=""),H116,NOT(I116=""),I116,NOT(J116=""),J116,NOT(K116=""),K116,NOT(L116=""),L116,NOT(M116=""),M116,NOT(N116=""),N116,NOT(O116=""),O116,NOT(P116=""),P116,NOT(Q116=""),Q116,NOT(R116=""),R116,NOT(S116=""),S116,NOT(T116=""),T116,NOT(U116=""),U116,TRUE,"No error")</f>
        <v>Enter the number of homes on the 1_SetUp sheet</v>
      </c>
      <c r="W116" s="114" t="str">
        <f t="shared" ca="1" si="5"/>
        <v xml:space="preserve">The Borrower has not addressed the following error messages for Home ID 112: </v>
      </c>
    </row>
    <row r="117" spans="1:23">
      <c r="A117" s="123">
        <v>113</v>
      </c>
      <c r="B117" s="104" t="str" cm="1">
        <f t="array" ref="B117">_xlfn.IFS(AND(A117&gt;NumberOfPlots,ISBLANK(INDEX(PlotData,MATCH($A117,PlotNumber,0),MATCH(B$3,PlotTitles,0)))),"",ISNUMBER(INDEX(PlotData,MATCH($A117,PlotNumber,0),MATCH(B$3,PlotTitles,0)))=FALSE, $AB$5,TRUE,"")</f>
        <v/>
      </c>
      <c r="C117" s="104" t="str" cm="1">
        <f t="array" ref="C117">_xlfn.IFS(AND(A117&gt;NumberOfPlots,ISBLANK(INDEX(PlotData,MATCH($A117,PlotNumber,0),MATCH(B$3,PlotTitles,0)))),"",ISBLANK(INDEX(PlotData,MATCH($A117,PlotNumber,0),MATCH(C$3,PlotTitles,0))),$AB$6,TRUE,"")</f>
        <v/>
      </c>
      <c r="D117" s="104" t="str" cm="1">
        <f t="array" ref="D117">_xlfn.IFS(AND(A117&gt;NumberOfPlots,ISBLANK(INDEX(PlotData,MATCH($A117,PlotNumber,0),MATCH(B$3,PlotTitles,0)))),"",ISBLANK(INDEX(PlotData,MATCH($A117,PlotNumber,0),MATCH(D$3,PlotTitles,0))),$AB$7,TRUE,"")</f>
        <v/>
      </c>
      <c r="E117" s="104" t="str" cm="1">
        <f t="array" ref="E117">_xlfn.IFS(AND(A117&gt;NumberOfPlots,ISBLANK(INDEX(PlotData,MATCH($A117,PlotNumber,0),MATCH(B$3,PlotTitles,0)))),"",ISBLANK(INDEX(PlotData,MATCH($A117,PlotNumber,0),MATCH(E$3,PlotTitles,0))),$AB$8,TRUE,"")</f>
        <v/>
      </c>
      <c r="F117" s="104" t="str" cm="1">
        <f t="array" ref="F117">_xlfn.IFS(AND(A117&gt;NumberOfPlots,ISBLANK(INDEX(PlotData,MATCH($A117,PlotNumber,0),MATCH(B$3,PlotTitles,0)))),"",ISBLANK(INDEX(PlotData,MATCH($A117,PlotNumber,0),MATCH(F$3,PlotTitles,0))),$AB$9,TRUE,"")</f>
        <v/>
      </c>
      <c r="G117" s="104" t="str" cm="1">
        <f t="array" ref="G117">_xlfn.IFS(AND(A117&gt;NumberOfPlots,ISBLANK(INDEX(PlotData,MATCH($A117,PlotNumber,0),MATCH(B$3,PlotTitles,0)))),"",ISBLANK(INDEX(PlotData,MATCH($A117,PlotNumber,0),MATCH(G$3,PlotTitles,0))),$AB$10,TRUE,"")</f>
        <v/>
      </c>
      <c r="H117" s="104" t="str" cm="1">
        <f t="array" ref="H117">_xlfn.IFS(AND(A117&gt;NumberOfPlots,ISBLANK(INDEX(PlotData,MATCH($A117,PlotNumber,0),MATCH(B$3,PlotTitles,0)))),"",AND(ISBLANK(INDEX(PlotData,MATCH($A117,PlotNumber,0),MATCH(H$3,PlotTitles,0)))=FALSE,INDEX(PlotData,MATCH($A117,PlotNumber,0),MATCH(H$3,PlotTitles,0))&lt;500), $AB$11,TRUE,"")</f>
        <v/>
      </c>
      <c r="I117" s="104" t="str" cm="1">
        <f t="array" ref="I117">_xlfn.IFS(AND(A117&gt;NumberOfPlots,ISBLANK(INDEX(PlotData,MATCH($A117,PlotNumber,0),MATCH(B$3,PlotTitles,0)))),"",ISBLANK(INDEX(PlotData,MATCH($A117,PlotNumber,0),MATCH(I$3,PlotTitles,0))),$AB$12,TRUE,"")</f>
        <v/>
      </c>
      <c r="J117" s="104" t="str" cm="1">
        <f t="array" ref="J117">_xlfn.IFS(AND(A117&gt;NumberOfPlots,ISBLANK(INDEX(PlotData,MATCH($A117,PlotNumber,0),MATCH(B$3,PlotTitles,0)))),"",ISBLANK(INDEX(PlotData,MATCH($A117,PlotNumber,0),MATCH(J$3,PlotTitles,0))),$AB$13,TRUE,"")</f>
        <v/>
      </c>
      <c r="K117" s="182" t="str">
        <f t="shared" ca="1" si="3"/>
        <v/>
      </c>
      <c r="L117" s="104" t="str" cm="1">
        <f t="array" ref="L117">_xlfn.IFS(OR(ISBLANK(StartDateMonth),ISBLANK(StartDateYear)),"",AND(A117&gt;NumberOfPlots,ISBLANK(INDEX(PlotData,MATCH($A117,PlotNumber,0),MATCH(B$3,PlotTitles,0)))),"",ISBLANK(INDEX(PlotData,MATCH($A117,PlotNumber,0),MATCH(I$3,PlotTitles,0))),"",(DATEVALUE(INDEX(PlotData,MATCH($A117,PlotNumber,0),MATCH(I$3,PlotTitles,0))&amp;INDEX(PlotData,MATCH($A117,PlotNumber,0),MATCH(J$3,PlotTitles,0))))&lt;DATEVALUE(StartDateMonth&amp;StartDateYear),$AB$15,TRUE,"")</f>
        <v/>
      </c>
      <c r="M117" s="104" t="str" cm="1">
        <f t="array" ref="M117">_xlfn.IFS(OR(ISBLANK(StartDateMonth),ISBLANK(StartDateYear)),"",AND(A117&gt;NumberOfPlots,ISBLANK(INDEX(PlotData,MATCH($A117,PlotNumber,0),MATCH(B$3,PlotTitles,0)))),"",ISBLANK(INDEX(PlotData,MATCH($A117,PlotNumber,0),MATCH(I$3,PlotTitles,0))),"",CompletionMonth="","",(DATEVALUE(INDEX(PlotData,MATCH($A117,PlotNumber,0),MATCH(I$3,PlotTitles,0))&amp;INDEX(PlotData,MATCH($A117,PlotNumber,0),MATCH(J$3,PlotTitles,0))))&gt;(DATEVALUE(CompletionMonth&amp;CompletionYear)),$AB$16,TRUE,"")</f>
        <v/>
      </c>
      <c r="N117" s="104" t="str" cm="1">
        <f t="array" ref="N117">_xlfn.IFS(AND(A117&gt;NumberOfPlots,ISBLANK(INDEX(PlotData,MATCH($A117,PlotNumber,0),MATCH(B$3,PlotTitles,0)))),"",ISBLANK(INDEX(PlotData,MATCH($A117,PlotNumber,0),MATCH(N$3,PlotTitles,0))),$AB$17,TRUE,"")</f>
        <v/>
      </c>
      <c r="O117" s="104" t="str" cm="1">
        <f t="array" ref="O117">_xlfn.IFS(AND(A117&gt;NumberOfPlots,ISBLANK(INDEX(PlotData,MATCH($A117,PlotNumber,0),MATCH(B$3,PlotTitles,0)))),"",ISBLANK(INDEX(PlotData,MATCH($A117,PlotNumber,0),MATCH(O$3,PlotTitles,0))),$AB$18,TRUE,"")</f>
        <v/>
      </c>
      <c r="P117" s="182" t="str">
        <f t="shared" ca="1" si="4"/>
        <v/>
      </c>
      <c r="Q117" s="104" t="str" cm="1">
        <f t="array" ref="Q117">_xlfn.IFS(AND(A117&gt;NumberOfPlots,ISBLANK(INDEX(PlotData,MATCH($A117,PlotNumber,0),MATCH(B$3,PlotTitles,0)))),"",ISBLANK(INDEX(PlotData,MATCH($A117,PlotNumber,0),MATCH(N$3,PlotTitles,0))),"",(DATEVALUE(INDEX(PlotData,MATCH($A117,PlotNumber,0),MATCH(N$3,PlotTitles,0))&amp;INDEX(PlotData,MATCH($A117,PlotNumber,0),MATCH(O$3,PlotTitles,0))))&lt;(DATEVALUE(INDEX(PlotData,MATCH($A117,PlotNumber,0),MATCH(I$3,PlotTitles,0))&amp;INDEX(PlotData,MATCH($A117,PlotNumber,0),MATCH(J$3,PlotTitles,0)))),$AB$20,TRUE,"")</f>
        <v/>
      </c>
      <c r="R117" s="104" t="str" cm="1">
        <f t="array" ref="R117">_xlfn.IFS(OR(ISBLANK(StartDateMonth),ISBLANK(StartDateYear)),"",AND(A117&gt;NumberOfPlots,ISBLANK(INDEX(PlotData,MATCH($A117,PlotNumber,0),MATCH(B$3,PlotTitles,0)))),"",ISBLANK(INDEX(PlotData,MATCH($A117,PlotNumber,0),MATCH(N$3,PlotTitles,0))),"",CompletionMonth="","",(DATEVALUE(INDEX(PlotData,MATCH($A117,PlotNumber,0),MATCH(N$3,PlotTitles,0))&amp;INDEX(PlotData,MATCH($A117,PlotNumber,0),MATCH(O$3,PlotTitles,0))))&gt;(DATEVALUE(CompletionMonth&amp;CompletionYear)),$AB$21,TRUE,"")</f>
        <v/>
      </c>
      <c r="S117" s="104" t="str" cm="1">
        <f t="array" ref="S117">_xlfn.IFS(AND(A117&gt;NumberOfPlots,ISBLANK(INDEX(PlotData,MATCH($A117,PlotNumber,0),MATCH(B$3,PlotTitles,0)))),"",OR(AND(INDEX(PlotData,MATCH($A117,PlotNumber,0),MATCH("Tenure",PlotTitles,0))="Open market housing",INDEX(PlotData,MATCH($A117,PlotNumber,0),MATCH("Tenure detail",PlotTitles,0))="Private rented sector"),INDEX(PlotData,MATCH($A117,PlotNumber,0),MATCH("Tenure",PlotTitles,0))="Affordable rent"),"",ISNUMBER(INDEX(PlotData,MATCH($A117,PlotNumber,0),MATCH(S$3,PlotTitles,0)))=FALSE, $AB$22,TRUE,"")</f>
        <v/>
      </c>
      <c r="T117" s="104" t="str" cm="1">
        <f t="array" ref="T117">_xlfn.IFS(AND(A117&gt;NumberOfPlots,ISBLANK(INDEX(PlotData,MATCH($A117,PlotNumber,0),MATCH(B$3,PlotTitles,0)))),"",OR(AND(INDEX(PlotData,MATCH($A117,PlotNumber,0),MATCH("Tenure",PlotTitles,0))="Open market housing",INDEX(PlotData,MATCH($A117,PlotNumber,0),MATCH("Tenure detail",PlotTitles,0))="Private rented sector"),INDEX(PlotData,MATCH($A117,PlotNumber,0),MATCH("Tenure",PlotTitles,0))="Affordable rent"),"",INDEX(PlotData,MATCH($A117,PlotNumber,0),MATCH(S$3,PlotTitles,0))&lt;10000, $AB$23,TRUE,"")</f>
        <v/>
      </c>
      <c r="U117" s="104" t="str" cm="1">
        <f t="array" ref="U117">_xlfn.IFS(AND(A117&gt;NumberOfPlots,ISBLANK(INDEX(PlotData,MATCH($A117,PlotNumber,0),MATCH(B$3,PlotTitles,0)))),"",NOT(OR(AND(INDEX(PlotData,MATCH($A117,PlotNumber,0),MATCH("Tenure",PlotTitles,0))="Open market housing",INDEX(PlotData,MATCH($A117,PlotNumber,0),MATCH("Tenure detail",PlotTitles,0))="Private rented sector"),INDEX(PlotData,MATCH($A117,PlotNumber,0),MATCH("Tenure",PlotTitles,0))="Affordable rent")),"",NOT(INDEX(PlotData,MATCH($A117,PlotNumber,0),MATCH(S$3,PlotTitles,0))=0), $AB$24,TRUE,"")</f>
        <v/>
      </c>
      <c r="V117" s="114" t="str" cm="1">
        <f t="array" aca="1" ref="V117" ca="1">_xlfn.IFS(ISBLANK(NumberOfPlots),"Enter the number of homes on the 1_SetUp sheet",AND(A117&gt;NumberOfPlots,ISBLANK(INDEX(PlotData,MATCH($A117,PlotNumber,0),MATCH(B$3,PlotTitles,0)))),"No error",NOT(B117=""),B117,NOT(C117=""),C117,NOT(D117=""),D117,NOT(E117=""),E117,NOT(F117=""),F117,NOT(G117=""),G117,NOT(H117=""),H117,NOT(I117=""),I117,NOT(J117=""),J117,NOT(K117=""),K117,NOT(L117=""),L117,NOT(M117=""),M117,NOT(N117=""),N117,NOT(O117=""),O117,NOT(P117=""),P117,NOT(Q117=""),Q117,NOT(R117=""),R117,NOT(S117=""),S117,NOT(T117=""),T117,NOT(U117=""),U117,TRUE,"No error")</f>
        <v>Enter the number of homes on the 1_SetUp sheet</v>
      </c>
      <c r="W117" s="114" t="str">
        <f t="shared" ca="1" si="5"/>
        <v xml:space="preserve">The Borrower has not addressed the following error messages for Home ID 113: </v>
      </c>
    </row>
    <row r="118" spans="1:23">
      <c r="A118" s="123">
        <v>114</v>
      </c>
      <c r="B118" s="104" t="str" cm="1">
        <f t="array" ref="B118">_xlfn.IFS(AND(A118&gt;NumberOfPlots,ISBLANK(INDEX(PlotData,MATCH($A118,PlotNumber,0),MATCH(B$3,PlotTitles,0)))),"",ISNUMBER(INDEX(PlotData,MATCH($A118,PlotNumber,0),MATCH(B$3,PlotTitles,0)))=FALSE, $AB$5,TRUE,"")</f>
        <v/>
      </c>
      <c r="C118" s="104" t="str" cm="1">
        <f t="array" ref="C118">_xlfn.IFS(AND(A118&gt;NumberOfPlots,ISBLANK(INDEX(PlotData,MATCH($A118,PlotNumber,0),MATCH(B$3,PlotTitles,0)))),"",ISBLANK(INDEX(PlotData,MATCH($A118,PlotNumber,0),MATCH(C$3,PlotTitles,0))),$AB$6,TRUE,"")</f>
        <v/>
      </c>
      <c r="D118" s="104" t="str" cm="1">
        <f t="array" ref="D118">_xlfn.IFS(AND(A118&gt;NumberOfPlots,ISBLANK(INDEX(PlotData,MATCH($A118,PlotNumber,0),MATCH(B$3,PlotTitles,0)))),"",ISBLANK(INDEX(PlotData,MATCH($A118,PlotNumber,0),MATCH(D$3,PlotTitles,0))),$AB$7,TRUE,"")</f>
        <v/>
      </c>
      <c r="E118" s="104" t="str" cm="1">
        <f t="array" ref="E118">_xlfn.IFS(AND(A118&gt;NumberOfPlots,ISBLANK(INDEX(PlotData,MATCH($A118,PlotNumber,0),MATCH(B$3,PlotTitles,0)))),"",ISBLANK(INDEX(PlotData,MATCH($A118,PlotNumber,0),MATCH(E$3,PlotTitles,0))),$AB$8,TRUE,"")</f>
        <v/>
      </c>
      <c r="F118" s="104" t="str" cm="1">
        <f t="array" ref="F118">_xlfn.IFS(AND(A118&gt;NumberOfPlots,ISBLANK(INDEX(PlotData,MATCH($A118,PlotNumber,0),MATCH(B$3,PlotTitles,0)))),"",ISBLANK(INDEX(PlotData,MATCH($A118,PlotNumber,0),MATCH(F$3,PlotTitles,0))),$AB$9,TRUE,"")</f>
        <v/>
      </c>
      <c r="G118" s="104" t="str" cm="1">
        <f t="array" ref="G118">_xlfn.IFS(AND(A118&gt;NumberOfPlots,ISBLANK(INDEX(PlotData,MATCH($A118,PlotNumber,0),MATCH(B$3,PlotTitles,0)))),"",ISBLANK(INDEX(PlotData,MATCH($A118,PlotNumber,0),MATCH(G$3,PlotTitles,0))),$AB$10,TRUE,"")</f>
        <v/>
      </c>
      <c r="H118" s="104" t="str" cm="1">
        <f t="array" ref="H118">_xlfn.IFS(AND(A118&gt;NumberOfPlots,ISBLANK(INDEX(PlotData,MATCH($A118,PlotNumber,0),MATCH(B$3,PlotTitles,0)))),"",AND(ISBLANK(INDEX(PlotData,MATCH($A118,PlotNumber,0),MATCH(H$3,PlotTitles,0)))=FALSE,INDEX(PlotData,MATCH($A118,PlotNumber,0),MATCH(H$3,PlotTitles,0))&lt;500), $AB$11,TRUE,"")</f>
        <v/>
      </c>
      <c r="I118" s="104" t="str" cm="1">
        <f t="array" ref="I118">_xlfn.IFS(AND(A118&gt;NumberOfPlots,ISBLANK(INDEX(PlotData,MATCH($A118,PlotNumber,0),MATCH(B$3,PlotTitles,0)))),"",ISBLANK(INDEX(PlotData,MATCH($A118,PlotNumber,0),MATCH(I$3,PlotTitles,0))),$AB$12,TRUE,"")</f>
        <v/>
      </c>
      <c r="J118" s="104" t="str" cm="1">
        <f t="array" ref="J118">_xlfn.IFS(AND(A118&gt;NumberOfPlots,ISBLANK(INDEX(PlotData,MATCH($A118,PlotNumber,0),MATCH(B$3,PlotTitles,0)))),"",ISBLANK(INDEX(PlotData,MATCH($A118,PlotNumber,0),MATCH(J$3,PlotTitles,0))),$AB$13,TRUE,"")</f>
        <v/>
      </c>
      <c r="K118" s="182" t="str">
        <f t="shared" ca="1" si="3"/>
        <v/>
      </c>
      <c r="L118" s="104" t="str" cm="1">
        <f t="array" ref="L118">_xlfn.IFS(OR(ISBLANK(StartDateMonth),ISBLANK(StartDateYear)),"",AND(A118&gt;NumberOfPlots,ISBLANK(INDEX(PlotData,MATCH($A118,PlotNumber,0),MATCH(B$3,PlotTitles,0)))),"",ISBLANK(INDEX(PlotData,MATCH($A118,PlotNumber,0),MATCH(I$3,PlotTitles,0))),"",(DATEVALUE(INDEX(PlotData,MATCH($A118,PlotNumber,0),MATCH(I$3,PlotTitles,0))&amp;INDEX(PlotData,MATCH($A118,PlotNumber,0),MATCH(J$3,PlotTitles,0))))&lt;DATEVALUE(StartDateMonth&amp;StartDateYear),$AB$15,TRUE,"")</f>
        <v/>
      </c>
      <c r="M118" s="104" t="str" cm="1">
        <f t="array" ref="M118">_xlfn.IFS(OR(ISBLANK(StartDateMonth),ISBLANK(StartDateYear)),"",AND(A118&gt;NumberOfPlots,ISBLANK(INDEX(PlotData,MATCH($A118,PlotNumber,0),MATCH(B$3,PlotTitles,0)))),"",ISBLANK(INDEX(PlotData,MATCH($A118,PlotNumber,0),MATCH(I$3,PlotTitles,0))),"",CompletionMonth="","",(DATEVALUE(INDEX(PlotData,MATCH($A118,PlotNumber,0),MATCH(I$3,PlotTitles,0))&amp;INDEX(PlotData,MATCH($A118,PlotNumber,0),MATCH(J$3,PlotTitles,0))))&gt;(DATEVALUE(CompletionMonth&amp;CompletionYear)),$AB$16,TRUE,"")</f>
        <v/>
      </c>
      <c r="N118" s="104" t="str" cm="1">
        <f t="array" ref="N118">_xlfn.IFS(AND(A118&gt;NumberOfPlots,ISBLANK(INDEX(PlotData,MATCH($A118,PlotNumber,0),MATCH(B$3,PlotTitles,0)))),"",ISBLANK(INDEX(PlotData,MATCH($A118,PlotNumber,0),MATCH(N$3,PlotTitles,0))),$AB$17,TRUE,"")</f>
        <v/>
      </c>
      <c r="O118" s="104" t="str" cm="1">
        <f t="array" ref="O118">_xlfn.IFS(AND(A118&gt;NumberOfPlots,ISBLANK(INDEX(PlotData,MATCH($A118,PlotNumber,0),MATCH(B$3,PlotTitles,0)))),"",ISBLANK(INDEX(PlotData,MATCH($A118,PlotNumber,0),MATCH(O$3,PlotTitles,0))),$AB$18,TRUE,"")</f>
        <v/>
      </c>
      <c r="P118" s="182" t="str">
        <f t="shared" ca="1" si="4"/>
        <v/>
      </c>
      <c r="Q118" s="104" t="str" cm="1">
        <f t="array" ref="Q118">_xlfn.IFS(AND(A118&gt;NumberOfPlots,ISBLANK(INDEX(PlotData,MATCH($A118,PlotNumber,0),MATCH(B$3,PlotTitles,0)))),"",ISBLANK(INDEX(PlotData,MATCH($A118,PlotNumber,0),MATCH(N$3,PlotTitles,0))),"",(DATEVALUE(INDEX(PlotData,MATCH($A118,PlotNumber,0),MATCH(N$3,PlotTitles,0))&amp;INDEX(PlotData,MATCH($A118,PlotNumber,0),MATCH(O$3,PlotTitles,0))))&lt;(DATEVALUE(INDEX(PlotData,MATCH($A118,PlotNumber,0),MATCH(I$3,PlotTitles,0))&amp;INDEX(PlotData,MATCH($A118,PlotNumber,0),MATCH(J$3,PlotTitles,0)))),$AB$20,TRUE,"")</f>
        <v/>
      </c>
      <c r="R118" s="104" t="str" cm="1">
        <f t="array" ref="R118">_xlfn.IFS(OR(ISBLANK(StartDateMonth),ISBLANK(StartDateYear)),"",AND(A118&gt;NumberOfPlots,ISBLANK(INDEX(PlotData,MATCH($A118,PlotNumber,0),MATCH(B$3,PlotTitles,0)))),"",ISBLANK(INDEX(PlotData,MATCH($A118,PlotNumber,0),MATCH(N$3,PlotTitles,0))),"",CompletionMonth="","",(DATEVALUE(INDEX(PlotData,MATCH($A118,PlotNumber,0),MATCH(N$3,PlotTitles,0))&amp;INDEX(PlotData,MATCH($A118,PlotNumber,0),MATCH(O$3,PlotTitles,0))))&gt;(DATEVALUE(CompletionMonth&amp;CompletionYear)),$AB$21,TRUE,"")</f>
        <v/>
      </c>
      <c r="S118" s="104" t="str" cm="1">
        <f t="array" ref="S118">_xlfn.IFS(AND(A118&gt;NumberOfPlots,ISBLANK(INDEX(PlotData,MATCH($A118,PlotNumber,0),MATCH(B$3,PlotTitles,0)))),"",OR(AND(INDEX(PlotData,MATCH($A118,PlotNumber,0),MATCH("Tenure",PlotTitles,0))="Open market housing",INDEX(PlotData,MATCH($A118,PlotNumber,0),MATCH("Tenure detail",PlotTitles,0))="Private rented sector"),INDEX(PlotData,MATCH($A118,PlotNumber,0),MATCH("Tenure",PlotTitles,0))="Affordable rent"),"",ISNUMBER(INDEX(PlotData,MATCH($A118,PlotNumber,0),MATCH(S$3,PlotTitles,0)))=FALSE, $AB$22,TRUE,"")</f>
        <v/>
      </c>
      <c r="T118" s="104" t="str" cm="1">
        <f t="array" ref="T118">_xlfn.IFS(AND(A118&gt;NumberOfPlots,ISBLANK(INDEX(PlotData,MATCH($A118,PlotNumber,0),MATCH(B$3,PlotTitles,0)))),"",OR(AND(INDEX(PlotData,MATCH($A118,PlotNumber,0),MATCH("Tenure",PlotTitles,0))="Open market housing",INDEX(PlotData,MATCH($A118,PlotNumber,0),MATCH("Tenure detail",PlotTitles,0))="Private rented sector"),INDEX(PlotData,MATCH($A118,PlotNumber,0),MATCH("Tenure",PlotTitles,0))="Affordable rent"),"",INDEX(PlotData,MATCH($A118,PlotNumber,0),MATCH(S$3,PlotTitles,0))&lt;10000, $AB$23,TRUE,"")</f>
        <v/>
      </c>
      <c r="U118" s="104" t="str" cm="1">
        <f t="array" ref="U118">_xlfn.IFS(AND(A118&gt;NumberOfPlots,ISBLANK(INDEX(PlotData,MATCH($A118,PlotNumber,0),MATCH(B$3,PlotTitles,0)))),"",NOT(OR(AND(INDEX(PlotData,MATCH($A118,PlotNumber,0),MATCH("Tenure",PlotTitles,0))="Open market housing",INDEX(PlotData,MATCH($A118,PlotNumber,0),MATCH("Tenure detail",PlotTitles,0))="Private rented sector"),INDEX(PlotData,MATCH($A118,PlotNumber,0),MATCH("Tenure",PlotTitles,0))="Affordable rent")),"",NOT(INDEX(PlotData,MATCH($A118,PlotNumber,0),MATCH(S$3,PlotTitles,0))=0), $AB$24,TRUE,"")</f>
        <v/>
      </c>
      <c r="V118" s="114" t="str" cm="1">
        <f t="array" aca="1" ref="V118" ca="1">_xlfn.IFS(ISBLANK(NumberOfPlots),"Enter the number of homes on the 1_SetUp sheet",AND(A118&gt;NumberOfPlots,ISBLANK(INDEX(PlotData,MATCH($A118,PlotNumber,0),MATCH(B$3,PlotTitles,0)))),"No error",NOT(B118=""),B118,NOT(C118=""),C118,NOT(D118=""),D118,NOT(E118=""),E118,NOT(F118=""),F118,NOT(G118=""),G118,NOT(H118=""),H118,NOT(I118=""),I118,NOT(J118=""),J118,NOT(K118=""),K118,NOT(L118=""),L118,NOT(M118=""),M118,NOT(N118=""),N118,NOT(O118=""),O118,NOT(P118=""),P118,NOT(Q118=""),Q118,NOT(R118=""),R118,NOT(S118=""),S118,NOT(T118=""),T118,NOT(U118=""),U118,TRUE,"No error")</f>
        <v>Enter the number of homes on the 1_SetUp sheet</v>
      </c>
      <c r="W118" s="114" t="str">
        <f t="shared" ca="1" si="5"/>
        <v xml:space="preserve">The Borrower has not addressed the following error messages for Home ID 114: </v>
      </c>
    </row>
    <row r="119" spans="1:23">
      <c r="A119" s="123">
        <v>115</v>
      </c>
      <c r="B119" s="104" t="str" cm="1">
        <f t="array" ref="B119">_xlfn.IFS(AND(A119&gt;NumberOfPlots,ISBLANK(INDEX(PlotData,MATCH($A119,PlotNumber,0),MATCH(B$3,PlotTitles,0)))),"",ISNUMBER(INDEX(PlotData,MATCH($A119,PlotNumber,0),MATCH(B$3,PlotTitles,0)))=FALSE, $AB$5,TRUE,"")</f>
        <v/>
      </c>
      <c r="C119" s="104" t="str" cm="1">
        <f t="array" ref="C119">_xlfn.IFS(AND(A119&gt;NumberOfPlots,ISBLANK(INDEX(PlotData,MATCH($A119,PlotNumber,0),MATCH(B$3,PlotTitles,0)))),"",ISBLANK(INDEX(PlotData,MATCH($A119,PlotNumber,0),MATCH(C$3,PlotTitles,0))),$AB$6,TRUE,"")</f>
        <v/>
      </c>
      <c r="D119" s="104" t="str" cm="1">
        <f t="array" ref="D119">_xlfn.IFS(AND(A119&gt;NumberOfPlots,ISBLANK(INDEX(PlotData,MATCH($A119,PlotNumber,0),MATCH(B$3,PlotTitles,0)))),"",ISBLANK(INDEX(PlotData,MATCH($A119,PlotNumber,0),MATCH(D$3,PlotTitles,0))),$AB$7,TRUE,"")</f>
        <v/>
      </c>
      <c r="E119" s="104" t="str" cm="1">
        <f t="array" ref="E119">_xlfn.IFS(AND(A119&gt;NumberOfPlots,ISBLANK(INDEX(PlotData,MATCH($A119,PlotNumber,0),MATCH(B$3,PlotTitles,0)))),"",ISBLANK(INDEX(PlotData,MATCH($A119,PlotNumber,0),MATCH(E$3,PlotTitles,0))),$AB$8,TRUE,"")</f>
        <v/>
      </c>
      <c r="F119" s="104" t="str" cm="1">
        <f t="array" ref="F119">_xlfn.IFS(AND(A119&gt;NumberOfPlots,ISBLANK(INDEX(PlotData,MATCH($A119,PlotNumber,0),MATCH(B$3,PlotTitles,0)))),"",ISBLANK(INDEX(PlotData,MATCH($A119,PlotNumber,0),MATCH(F$3,PlotTitles,0))),$AB$9,TRUE,"")</f>
        <v/>
      </c>
      <c r="G119" s="104" t="str" cm="1">
        <f t="array" ref="G119">_xlfn.IFS(AND(A119&gt;NumberOfPlots,ISBLANK(INDEX(PlotData,MATCH($A119,PlotNumber,0),MATCH(B$3,PlotTitles,0)))),"",ISBLANK(INDEX(PlotData,MATCH($A119,PlotNumber,0),MATCH(G$3,PlotTitles,0))),$AB$10,TRUE,"")</f>
        <v/>
      </c>
      <c r="H119" s="104" t="str" cm="1">
        <f t="array" ref="H119">_xlfn.IFS(AND(A119&gt;NumberOfPlots,ISBLANK(INDEX(PlotData,MATCH($A119,PlotNumber,0),MATCH(B$3,PlotTitles,0)))),"",AND(ISBLANK(INDEX(PlotData,MATCH($A119,PlotNumber,0),MATCH(H$3,PlotTitles,0)))=FALSE,INDEX(PlotData,MATCH($A119,PlotNumber,0),MATCH(H$3,PlotTitles,0))&lt;500), $AB$11,TRUE,"")</f>
        <v/>
      </c>
      <c r="I119" s="104" t="str" cm="1">
        <f t="array" ref="I119">_xlfn.IFS(AND(A119&gt;NumberOfPlots,ISBLANK(INDEX(PlotData,MATCH($A119,PlotNumber,0),MATCH(B$3,PlotTitles,0)))),"",ISBLANK(INDEX(PlotData,MATCH($A119,PlotNumber,0),MATCH(I$3,PlotTitles,0))),$AB$12,TRUE,"")</f>
        <v/>
      </c>
      <c r="J119" s="104" t="str" cm="1">
        <f t="array" ref="J119">_xlfn.IFS(AND(A119&gt;NumberOfPlots,ISBLANK(INDEX(PlotData,MATCH($A119,PlotNumber,0),MATCH(B$3,PlotTitles,0)))),"",ISBLANK(INDEX(PlotData,MATCH($A119,PlotNumber,0),MATCH(J$3,PlotTitles,0))),$AB$13,TRUE,"")</f>
        <v/>
      </c>
      <c r="K119" s="182" t="str">
        <f t="shared" ca="1" si="3"/>
        <v/>
      </c>
      <c r="L119" s="104" t="str" cm="1">
        <f t="array" ref="L119">_xlfn.IFS(OR(ISBLANK(StartDateMonth),ISBLANK(StartDateYear)),"",AND(A119&gt;NumberOfPlots,ISBLANK(INDEX(PlotData,MATCH($A119,PlotNumber,0),MATCH(B$3,PlotTitles,0)))),"",ISBLANK(INDEX(PlotData,MATCH($A119,PlotNumber,0),MATCH(I$3,PlotTitles,0))),"",(DATEVALUE(INDEX(PlotData,MATCH($A119,PlotNumber,0),MATCH(I$3,PlotTitles,0))&amp;INDEX(PlotData,MATCH($A119,PlotNumber,0),MATCH(J$3,PlotTitles,0))))&lt;DATEVALUE(StartDateMonth&amp;StartDateYear),$AB$15,TRUE,"")</f>
        <v/>
      </c>
      <c r="M119" s="104" t="str" cm="1">
        <f t="array" ref="M119">_xlfn.IFS(OR(ISBLANK(StartDateMonth),ISBLANK(StartDateYear)),"",AND(A119&gt;NumberOfPlots,ISBLANK(INDEX(PlotData,MATCH($A119,PlotNumber,0),MATCH(B$3,PlotTitles,0)))),"",ISBLANK(INDEX(PlotData,MATCH($A119,PlotNumber,0),MATCH(I$3,PlotTitles,0))),"",CompletionMonth="","",(DATEVALUE(INDEX(PlotData,MATCH($A119,PlotNumber,0),MATCH(I$3,PlotTitles,0))&amp;INDEX(PlotData,MATCH($A119,PlotNumber,0),MATCH(J$3,PlotTitles,0))))&gt;(DATEVALUE(CompletionMonth&amp;CompletionYear)),$AB$16,TRUE,"")</f>
        <v/>
      </c>
      <c r="N119" s="104" t="str" cm="1">
        <f t="array" ref="N119">_xlfn.IFS(AND(A119&gt;NumberOfPlots,ISBLANK(INDEX(PlotData,MATCH($A119,PlotNumber,0),MATCH(B$3,PlotTitles,0)))),"",ISBLANK(INDEX(PlotData,MATCH($A119,PlotNumber,0),MATCH(N$3,PlotTitles,0))),$AB$17,TRUE,"")</f>
        <v/>
      </c>
      <c r="O119" s="104" t="str" cm="1">
        <f t="array" ref="O119">_xlfn.IFS(AND(A119&gt;NumberOfPlots,ISBLANK(INDEX(PlotData,MATCH($A119,PlotNumber,0),MATCH(B$3,PlotTitles,0)))),"",ISBLANK(INDEX(PlotData,MATCH($A119,PlotNumber,0),MATCH(O$3,PlotTitles,0))),$AB$18,TRUE,"")</f>
        <v/>
      </c>
      <c r="P119" s="182" t="str">
        <f t="shared" ca="1" si="4"/>
        <v/>
      </c>
      <c r="Q119" s="104" t="str" cm="1">
        <f t="array" ref="Q119">_xlfn.IFS(AND(A119&gt;NumberOfPlots,ISBLANK(INDEX(PlotData,MATCH($A119,PlotNumber,0),MATCH(B$3,PlotTitles,0)))),"",ISBLANK(INDEX(PlotData,MATCH($A119,PlotNumber,0),MATCH(N$3,PlotTitles,0))),"",(DATEVALUE(INDEX(PlotData,MATCH($A119,PlotNumber,0),MATCH(N$3,PlotTitles,0))&amp;INDEX(PlotData,MATCH($A119,PlotNumber,0),MATCH(O$3,PlotTitles,0))))&lt;(DATEVALUE(INDEX(PlotData,MATCH($A119,PlotNumber,0),MATCH(I$3,PlotTitles,0))&amp;INDEX(PlotData,MATCH($A119,PlotNumber,0),MATCH(J$3,PlotTitles,0)))),$AB$20,TRUE,"")</f>
        <v/>
      </c>
      <c r="R119" s="104" t="str" cm="1">
        <f t="array" ref="R119">_xlfn.IFS(OR(ISBLANK(StartDateMonth),ISBLANK(StartDateYear)),"",AND(A119&gt;NumberOfPlots,ISBLANK(INDEX(PlotData,MATCH($A119,PlotNumber,0),MATCH(B$3,PlotTitles,0)))),"",ISBLANK(INDEX(PlotData,MATCH($A119,PlotNumber,0),MATCH(N$3,PlotTitles,0))),"",CompletionMonth="","",(DATEVALUE(INDEX(PlotData,MATCH($A119,PlotNumber,0),MATCH(N$3,PlotTitles,0))&amp;INDEX(PlotData,MATCH($A119,PlotNumber,0),MATCH(O$3,PlotTitles,0))))&gt;(DATEVALUE(CompletionMonth&amp;CompletionYear)),$AB$21,TRUE,"")</f>
        <v/>
      </c>
      <c r="S119" s="104" t="str" cm="1">
        <f t="array" ref="S119">_xlfn.IFS(AND(A119&gt;NumberOfPlots,ISBLANK(INDEX(PlotData,MATCH($A119,PlotNumber,0),MATCH(B$3,PlotTitles,0)))),"",OR(AND(INDEX(PlotData,MATCH($A119,PlotNumber,0),MATCH("Tenure",PlotTitles,0))="Open market housing",INDEX(PlotData,MATCH($A119,PlotNumber,0),MATCH("Tenure detail",PlotTitles,0))="Private rented sector"),INDEX(PlotData,MATCH($A119,PlotNumber,0),MATCH("Tenure",PlotTitles,0))="Affordable rent"),"",ISNUMBER(INDEX(PlotData,MATCH($A119,PlotNumber,0),MATCH(S$3,PlotTitles,0)))=FALSE, $AB$22,TRUE,"")</f>
        <v/>
      </c>
      <c r="T119" s="104" t="str" cm="1">
        <f t="array" ref="T119">_xlfn.IFS(AND(A119&gt;NumberOfPlots,ISBLANK(INDEX(PlotData,MATCH($A119,PlotNumber,0),MATCH(B$3,PlotTitles,0)))),"",OR(AND(INDEX(PlotData,MATCH($A119,PlotNumber,0),MATCH("Tenure",PlotTitles,0))="Open market housing",INDEX(PlotData,MATCH($A119,PlotNumber,0),MATCH("Tenure detail",PlotTitles,0))="Private rented sector"),INDEX(PlotData,MATCH($A119,PlotNumber,0),MATCH("Tenure",PlotTitles,0))="Affordable rent"),"",INDEX(PlotData,MATCH($A119,PlotNumber,0),MATCH(S$3,PlotTitles,0))&lt;10000, $AB$23,TRUE,"")</f>
        <v/>
      </c>
      <c r="U119" s="104" t="str" cm="1">
        <f t="array" ref="U119">_xlfn.IFS(AND(A119&gt;NumberOfPlots,ISBLANK(INDEX(PlotData,MATCH($A119,PlotNumber,0),MATCH(B$3,PlotTitles,0)))),"",NOT(OR(AND(INDEX(PlotData,MATCH($A119,PlotNumber,0),MATCH("Tenure",PlotTitles,0))="Open market housing",INDEX(PlotData,MATCH($A119,PlotNumber,0),MATCH("Tenure detail",PlotTitles,0))="Private rented sector"),INDEX(PlotData,MATCH($A119,PlotNumber,0),MATCH("Tenure",PlotTitles,0))="Affordable rent")),"",NOT(INDEX(PlotData,MATCH($A119,PlotNumber,0),MATCH(S$3,PlotTitles,0))=0), $AB$24,TRUE,"")</f>
        <v/>
      </c>
      <c r="V119" s="114" t="str" cm="1">
        <f t="array" aca="1" ref="V119" ca="1">_xlfn.IFS(ISBLANK(NumberOfPlots),"Enter the number of homes on the 1_SetUp sheet",AND(A119&gt;NumberOfPlots,ISBLANK(INDEX(PlotData,MATCH($A119,PlotNumber,0),MATCH(B$3,PlotTitles,0)))),"No error",NOT(B119=""),B119,NOT(C119=""),C119,NOT(D119=""),D119,NOT(E119=""),E119,NOT(F119=""),F119,NOT(G119=""),G119,NOT(H119=""),H119,NOT(I119=""),I119,NOT(J119=""),J119,NOT(K119=""),K119,NOT(L119=""),L119,NOT(M119=""),M119,NOT(N119=""),N119,NOT(O119=""),O119,NOT(P119=""),P119,NOT(Q119=""),Q119,NOT(R119=""),R119,NOT(S119=""),S119,NOT(T119=""),T119,NOT(U119=""),U119,TRUE,"No error")</f>
        <v>Enter the number of homes on the 1_SetUp sheet</v>
      </c>
      <c r="W119" s="114" t="str">
        <f t="shared" ca="1" si="5"/>
        <v xml:space="preserve">The Borrower has not addressed the following error messages for Home ID 115: </v>
      </c>
    </row>
    <row r="120" spans="1:23">
      <c r="A120" s="123">
        <v>116</v>
      </c>
      <c r="B120" s="104" t="str" cm="1">
        <f t="array" ref="B120">_xlfn.IFS(AND(A120&gt;NumberOfPlots,ISBLANK(INDEX(PlotData,MATCH($A120,PlotNumber,0),MATCH(B$3,PlotTitles,0)))),"",ISNUMBER(INDEX(PlotData,MATCH($A120,PlotNumber,0),MATCH(B$3,PlotTitles,0)))=FALSE, $AB$5,TRUE,"")</f>
        <v/>
      </c>
      <c r="C120" s="104" t="str" cm="1">
        <f t="array" ref="C120">_xlfn.IFS(AND(A120&gt;NumberOfPlots,ISBLANK(INDEX(PlotData,MATCH($A120,PlotNumber,0),MATCH(B$3,PlotTitles,0)))),"",ISBLANK(INDEX(PlotData,MATCH($A120,PlotNumber,0),MATCH(C$3,PlotTitles,0))),$AB$6,TRUE,"")</f>
        <v/>
      </c>
      <c r="D120" s="104" t="str" cm="1">
        <f t="array" ref="D120">_xlfn.IFS(AND(A120&gt;NumberOfPlots,ISBLANK(INDEX(PlotData,MATCH($A120,PlotNumber,0),MATCH(B$3,PlotTitles,0)))),"",ISBLANK(INDEX(PlotData,MATCH($A120,PlotNumber,0),MATCH(D$3,PlotTitles,0))),$AB$7,TRUE,"")</f>
        <v/>
      </c>
      <c r="E120" s="104" t="str" cm="1">
        <f t="array" ref="E120">_xlfn.IFS(AND(A120&gt;NumberOfPlots,ISBLANK(INDEX(PlotData,MATCH($A120,PlotNumber,0),MATCH(B$3,PlotTitles,0)))),"",ISBLANK(INDEX(PlotData,MATCH($A120,PlotNumber,0),MATCH(E$3,PlotTitles,0))),$AB$8,TRUE,"")</f>
        <v/>
      </c>
      <c r="F120" s="104" t="str" cm="1">
        <f t="array" ref="F120">_xlfn.IFS(AND(A120&gt;NumberOfPlots,ISBLANK(INDEX(PlotData,MATCH($A120,PlotNumber,0),MATCH(B$3,PlotTitles,0)))),"",ISBLANK(INDEX(PlotData,MATCH($A120,PlotNumber,0),MATCH(F$3,PlotTitles,0))),$AB$9,TRUE,"")</f>
        <v/>
      </c>
      <c r="G120" s="104" t="str" cm="1">
        <f t="array" ref="G120">_xlfn.IFS(AND(A120&gt;NumberOfPlots,ISBLANK(INDEX(PlotData,MATCH($A120,PlotNumber,0),MATCH(B$3,PlotTitles,0)))),"",ISBLANK(INDEX(PlotData,MATCH($A120,PlotNumber,0),MATCH(G$3,PlotTitles,0))),$AB$10,TRUE,"")</f>
        <v/>
      </c>
      <c r="H120" s="104" t="str" cm="1">
        <f t="array" ref="H120">_xlfn.IFS(AND(A120&gt;NumberOfPlots,ISBLANK(INDEX(PlotData,MATCH($A120,PlotNumber,0),MATCH(B$3,PlotTitles,0)))),"",AND(ISBLANK(INDEX(PlotData,MATCH($A120,PlotNumber,0),MATCH(H$3,PlotTitles,0)))=FALSE,INDEX(PlotData,MATCH($A120,PlotNumber,0),MATCH(H$3,PlotTitles,0))&lt;500), $AB$11,TRUE,"")</f>
        <v/>
      </c>
      <c r="I120" s="104" t="str" cm="1">
        <f t="array" ref="I120">_xlfn.IFS(AND(A120&gt;NumberOfPlots,ISBLANK(INDEX(PlotData,MATCH($A120,PlotNumber,0),MATCH(B$3,PlotTitles,0)))),"",ISBLANK(INDEX(PlotData,MATCH($A120,PlotNumber,0),MATCH(I$3,PlotTitles,0))),$AB$12,TRUE,"")</f>
        <v/>
      </c>
      <c r="J120" s="104" t="str" cm="1">
        <f t="array" ref="J120">_xlfn.IFS(AND(A120&gt;NumberOfPlots,ISBLANK(INDEX(PlotData,MATCH($A120,PlotNumber,0),MATCH(B$3,PlotTitles,0)))),"",ISBLANK(INDEX(PlotData,MATCH($A120,PlotNumber,0),MATCH(J$3,PlotTitles,0))),$AB$13,TRUE,"")</f>
        <v/>
      </c>
      <c r="K120" s="182" t="str">
        <f t="shared" ca="1" si="3"/>
        <v/>
      </c>
      <c r="L120" s="104" t="str" cm="1">
        <f t="array" ref="L120">_xlfn.IFS(OR(ISBLANK(StartDateMonth),ISBLANK(StartDateYear)),"",AND(A120&gt;NumberOfPlots,ISBLANK(INDEX(PlotData,MATCH($A120,PlotNumber,0),MATCH(B$3,PlotTitles,0)))),"",ISBLANK(INDEX(PlotData,MATCH($A120,PlotNumber,0),MATCH(I$3,PlotTitles,0))),"",(DATEVALUE(INDEX(PlotData,MATCH($A120,PlotNumber,0),MATCH(I$3,PlotTitles,0))&amp;INDEX(PlotData,MATCH($A120,PlotNumber,0),MATCH(J$3,PlotTitles,0))))&lt;DATEVALUE(StartDateMonth&amp;StartDateYear),$AB$15,TRUE,"")</f>
        <v/>
      </c>
      <c r="M120" s="104" t="str" cm="1">
        <f t="array" ref="M120">_xlfn.IFS(OR(ISBLANK(StartDateMonth),ISBLANK(StartDateYear)),"",AND(A120&gt;NumberOfPlots,ISBLANK(INDEX(PlotData,MATCH($A120,PlotNumber,0),MATCH(B$3,PlotTitles,0)))),"",ISBLANK(INDEX(PlotData,MATCH($A120,PlotNumber,0),MATCH(I$3,PlotTitles,0))),"",CompletionMonth="","",(DATEVALUE(INDEX(PlotData,MATCH($A120,PlotNumber,0),MATCH(I$3,PlotTitles,0))&amp;INDEX(PlotData,MATCH($A120,PlotNumber,0),MATCH(J$3,PlotTitles,0))))&gt;(DATEVALUE(CompletionMonth&amp;CompletionYear)),$AB$16,TRUE,"")</f>
        <v/>
      </c>
      <c r="N120" s="104" t="str" cm="1">
        <f t="array" ref="N120">_xlfn.IFS(AND(A120&gt;NumberOfPlots,ISBLANK(INDEX(PlotData,MATCH($A120,PlotNumber,0),MATCH(B$3,PlotTitles,0)))),"",ISBLANK(INDEX(PlotData,MATCH($A120,PlotNumber,0),MATCH(N$3,PlotTitles,0))),$AB$17,TRUE,"")</f>
        <v/>
      </c>
      <c r="O120" s="104" t="str" cm="1">
        <f t="array" ref="O120">_xlfn.IFS(AND(A120&gt;NumberOfPlots,ISBLANK(INDEX(PlotData,MATCH($A120,PlotNumber,0),MATCH(B$3,PlotTitles,0)))),"",ISBLANK(INDEX(PlotData,MATCH($A120,PlotNumber,0),MATCH(O$3,PlotTitles,0))),$AB$18,TRUE,"")</f>
        <v/>
      </c>
      <c r="P120" s="182" t="str">
        <f t="shared" ca="1" si="4"/>
        <v/>
      </c>
      <c r="Q120" s="104" t="str" cm="1">
        <f t="array" ref="Q120">_xlfn.IFS(AND(A120&gt;NumberOfPlots,ISBLANK(INDEX(PlotData,MATCH($A120,PlotNumber,0),MATCH(B$3,PlotTitles,0)))),"",ISBLANK(INDEX(PlotData,MATCH($A120,PlotNumber,0),MATCH(N$3,PlotTitles,0))),"",(DATEVALUE(INDEX(PlotData,MATCH($A120,PlotNumber,0),MATCH(N$3,PlotTitles,0))&amp;INDEX(PlotData,MATCH($A120,PlotNumber,0),MATCH(O$3,PlotTitles,0))))&lt;(DATEVALUE(INDEX(PlotData,MATCH($A120,PlotNumber,0),MATCH(I$3,PlotTitles,0))&amp;INDEX(PlotData,MATCH($A120,PlotNumber,0),MATCH(J$3,PlotTitles,0)))),$AB$20,TRUE,"")</f>
        <v/>
      </c>
      <c r="R120" s="104" t="str" cm="1">
        <f t="array" ref="R120">_xlfn.IFS(OR(ISBLANK(StartDateMonth),ISBLANK(StartDateYear)),"",AND(A120&gt;NumberOfPlots,ISBLANK(INDEX(PlotData,MATCH($A120,PlotNumber,0),MATCH(B$3,PlotTitles,0)))),"",ISBLANK(INDEX(PlotData,MATCH($A120,PlotNumber,0),MATCH(N$3,PlotTitles,0))),"",CompletionMonth="","",(DATEVALUE(INDEX(PlotData,MATCH($A120,PlotNumber,0),MATCH(N$3,PlotTitles,0))&amp;INDEX(PlotData,MATCH($A120,PlotNumber,0),MATCH(O$3,PlotTitles,0))))&gt;(DATEVALUE(CompletionMonth&amp;CompletionYear)),$AB$21,TRUE,"")</f>
        <v/>
      </c>
      <c r="S120" s="104" t="str" cm="1">
        <f t="array" ref="S120">_xlfn.IFS(AND(A120&gt;NumberOfPlots,ISBLANK(INDEX(PlotData,MATCH($A120,PlotNumber,0),MATCH(B$3,PlotTitles,0)))),"",OR(AND(INDEX(PlotData,MATCH($A120,PlotNumber,0),MATCH("Tenure",PlotTitles,0))="Open market housing",INDEX(PlotData,MATCH($A120,PlotNumber,0),MATCH("Tenure detail",PlotTitles,0))="Private rented sector"),INDEX(PlotData,MATCH($A120,PlotNumber,0),MATCH("Tenure",PlotTitles,0))="Affordable rent"),"",ISNUMBER(INDEX(PlotData,MATCH($A120,PlotNumber,0),MATCH(S$3,PlotTitles,0)))=FALSE, $AB$22,TRUE,"")</f>
        <v/>
      </c>
      <c r="T120" s="104" t="str" cm="1">
        <f t="array" ref="T120">_xlfn.IFS(AND(A120&gt;NumberOfPlots,ISBLANK(INDEX(PlotData,MATCH($A120,PlotNumber,0),MATCH(B$3,PlotTitles,0)))),"",OR(AND(INDEX(PlotData,MATCH($A120,PlotNumber,0),MATCH("Tenure",PlotTitles,0))="Open market housing",INDEX(PlotData,MATCH($A120,PlotNumber,0),MATCH("Tenure detail",PlotTitles,0))="Private rented sector"),INDEX(PlotData,MATCH($A120,PlotNumber,0),MATCH("Tenure",PlotTitles,0))="Affordable rent"),"",INDEX(PlotData,MATCH($A120,PlotNumber,0),MATCH(S$3,PlotTitles,0))&lt;10000, $AB$23,TRUE,"")</f>
        <v/>
      </c>
      <c r="U120" s="104" t="str" cm="1">
        <f t="array" ref="U120">_xlfn.IFS(AND(A120&gt;NumberOfPlots,ISBLANK(INDEX(PlotData,MATCH($A120,PlotNumber,0),MATCH(B$3,PlotTitles,0)))),"",NOT(OR(AND(INDEX(PlotData,MATCH($A120,PlotNumber,0),MATCH("Tenure",PlotTitles,0))="Open market housing",INDEX(PlotData,MATCH($A120,PlotNumber,0),MATCH("Tenure detail",PlotTitles,0))="Private rented sector"),INDEX(PlotData,MATCH($A120,PlotNumber,0),MATCH("Tenure",PlotTitles,0))="Affordable rent")),"",NOT(INDEX(PlotData,MATCH($A120,PlotNumber,0),MATCH(S$3,PlotTitles,0))=0), $AB$24,TRUE,"")</f>
        <v/>
      </c>
      <c r="V120" s="114" t="str" cm="1">
        <f t="array" aca="1" ref="V120" ca="1">_xlfn.IFS(ISBLANK(NumberOfPlots),"Enter the number of homes on the 1_SetUp sheet",AND(A120&gt;NumberOfPlots,ISBLANK(INDEX(PlotData,MATCH($A120,PlotNumber,0),MATCH(B$3,PlotTitles,0)))),"No error",NOT(B120=""),B120,NOT(C120=""),C120,NOT(D120=""),D120,NOT(E120=""),E120,NOT(F120=""),F120,NOT(G120=""),G120,NOT(H120=""),H120,NOT(I120=""),I120,NOT(J120=""),J120,NOT(K120=""),K120,NOT(L120=""),L120,NOT(M120=""),M120,NOT(N120=""),N120,NOT(O120=""),O120,NOT(P120=""),P120,NOT(Q120=""),Q120,NOT(R120=""),R120,NOT(S120=""),S120,NOT(T120=""),T120,NOT(U120=""),U120,TRUE,"No error")</f>
        <v>Enter the number of homes on the 1_SetUp sheet</v>
      </c>
      <c r="W120" s="114" t="str">
        <f t="shared" ca="1" si="5"/>
        <v xml:space="preserve">The Borrower has not addressed the following error messages for Home ID 116: </v>
      </c>
    </row>
    <row r="121" spans="1:23">
      <c r="A121" s="123">
        <v>117</v>
      </c>
      <c r="B121" s="104" t="str" cm="1">
        <f t="array" ref="B121">_xlfn.IFS(AND(A121&gt;NumberOfPlots,ISBLANK(INDEX(PlotData,MATCH($A121,PlotNumber,0),MATCH(B$3,PlotTitles,0)))),"",ISNUMBER(INDEX(PlotData,MATCH($A121,PlotNumber,0),MATCH(B$3,PlotTitles,0)))=FALSE, $AB$5,TRUE,"")</f>
        <v/>
      </c>
      <c r="C121" s="104" t="str" cm="1">
        <f t="array" ref="C121">_xlfn.IFS(AND(A121&gt;NumberOfPlots,ISBLANK(INDEX(PlotData,MATCH($A121,PlotNumber,0),MATCH(B$3,PlotTitles,0)))),"",ISBLANK(INDEX(PlotData,MATCH($A121,PlotNumber,0),MATCH(C$3,PlotTitles,0))),$AB$6,TRUE,"")</f>
        <v/>
      </c>
      <c r="D121" s="104" t="str" cm="1">
        <f t="array" ref="D121">_xlfn.IFS(AND(A121&gt;NumberOfPlots,ISBLANK(INDEX(PlotData,MATCH($A121,PlotNumber,0),MATCH(B$3,PlotTitles,0)))),"",ISBLANK(INDEX(PlotData,MATCH($A121,PlotNumber,0),MATCH(D$3,PlotTitles,0))),$AB$7,TRUE,"")</f>
        <v/>
      </c>
      <c r="E121" s="104" t="str" cm="1">
        <f t="array" ref="E121">_xlfn.IFS(AND(A121&gt;NumberOfPlots,ISBLANK(INDEX(PlotData,MATCH($A121,PlotNumber,0),MATCH(B$3,PlotTitles,0)))),"",ISBLANK(INDEX(PlotData,MATCH($A121,PlotNumber,0),MATCH(E$3,PlotTitles,0))),$AB$8,TRUE,"")</f>
        <v/>
      </c>
      <c r="F121" s="104" t="str" cm="1">
        <f t="array" ref="F121">_xlfn.IFS(AND(A121&gt;NumberOfPlots,ISBLANK(INDEX(PlotData,MATCH($A121,PlotNumber,0),MATCH(B$3,PlotTitles,0)))),"",ISBLANK(INDEX(PlotData,MATCH($A121,PlotNumber,0),MATCH(F$3,PlotTitles,0))),$AB$9,TRUE,"")</f>
        <v/>
      </c>
      <c r="G121" s="104" t="str" cm="1">
        <f t="array" ref="G121">_xlfn.IFS(AND(A121&gt;NumberOfPlots,ISBLANK(INDEX(PlotData,MATCH($A121,PlotNumber,0),MATCH(B$3,PlotTitles,0)))),"",ISBLANK(INDEX(PlotData,MATCH($A121,PlotNumber,0),MATCH(G$3,PlotTitles,0))),$AB$10,TRUE,"")</f>
        <v/>
      </c>
      <c r="H121" s="104" t="str" cm="1">
        <f t="array" ref="H121">_xlfn.IFS(AND(A121&gt;NumberOfPlots,ISBLANK(INDEX(PlotData,MATCH($A121,PlotNumber,0),MATCH(B$3,PlotTitles,0)))),"",AND(ISBLANK(INDEX(PlotData,MATCH($A121,PlotNumber,0),MATCH(H$3,PlotTitles,0)))=FALSE,INDEX(PlotData,MATCH($A121,PlotNumber,0),MATCH(H$3,PlotTitles,0))&lt;500), $AB$11,TRUE,"")</f>
        <v/>
      </c>
      <c r="I121" s="104" t="str" cm="1">
        <f t="array" ref="I121">_xlfn.IFS(AND(A121&gt;NumberOfPlots,ISBLANK(INDEX(PlotData,MATCH($A121,PlotNumber,0),MATCH(B$3,PlotTitles,0)))),"",ISBLANK(INDEX(PlotData,MATCH($A121,PlotNumber,0),MATCH(I$3,PlotTitles,0))),$AB$12,TRUE,"")</f>
        <v/>
      </c>
      <c r="J121" s="104" t="str" cm="1">
        <f t="array" ref="J121">_xlfn.IFS(AND(A121&gt;NumberOfPlots,ISBLANK(INDEX(PlotData,MATCH($A121,PlotNumber,0),MATCH(B$3,PlotTitles,0)))),"",ISBLANK(INDEX(PlotData,MATCH($A121,PlotNumber,0),MATCH(J$3,PlotTitles,0))),$AB$13,TRUE,"")</f>
        <v/>
      </c>
      <c r="K121" s="182" t="str">
        <f t="shared" ca="1" si="3"/>
        <v/>
      </c>
      <c r="L121" s="104" t="str" cm="1">
        <f t="array" ref="L121">_xlfn.IFS(OR(ISBLANK(StartDateMonth),ISBLANK(StartDateYear)),"",AND(A121&gt;NumberOfPlots,ISBLANK(INDEX(PlotData,MATCH($A121,PlotNumber,0),MATCH(B$3,PlotTitles,0)))),"",ISBLANK(INDEX(PlotData,MATCH($A121,PlotNumber,0),MATCH(I$3,PlotTitles,0))),"",(DATEVALUE(INDEX(PlotData,MATCH($A121,PlotNumber,0),MATCH(I$3,PlotTitles,0))&amp;INDEX(PlotData,MATCH($A121,PlotNumber,0),MATCH(J$3,PlotTitles,0))))&lt;DATEVALUE(StartDateMonth&amp;StartDateYear),$AB$15,TRUE,"")</f>
        <v/>
      </c>
      <c r="M121" s="104" t="str" cm="1">
        <f t="array" ref="M121">_xlfn.IFS(OR(ISBLANK(StartDateMonth),ISBLANK(StartDateYear)),"",AND(A121&gt;NumberOfPlots,ISBLANK(INDEX(PlotData,MATCH($A121,PlotNumber,0),MATCH(B$3,PlotTitles,0)))),"",ISBLANK(INDEX(PlotData,MATCH($A121,PlotNumber,0),MATCH(I$3,PlotTitles,0))),"",CompletionMonth="","",(DATEVALUE(INDEX(PlotData,MATCH($A121,PlotNumber,0),MATCH(I$3,PlotTitles,0))&amp;INDEX(PlotData,MATCH($A121,PlotNumber,0),MATCH(J$3,PlotTitles,0))))&gt;(DATEVALUE(CompletionMonth&amp;CompletionYear)),$AB$16,TRUE,"")</f>
        <v/>
      </c>
      <c r="N121" s="104" t="str" cm="1">
        <f t="array" ref="N121">_xlfn.IFS(AND(A121&gt;NumberOfPlots,ISBLANK(INDEX(PlotData,MATCH($A121,PlotNumber,0),MATCH(B$3,PlotTitles,0)))),"",ISBLANK(INDEX(PlotData,MATCH($A121,PlotNumber,0),MATCH(N$3,PlotTitles,0))),$AB$17,TRUE,"")</f>
        <v/>
      </c>
      <c r="O121" s="104" t="str" cm="1">
        <f t="array" ref="O121">_xlfn.IFS(AND(A121&gt;NumberOfPlots,ISBLANK(INDEX(PlotData,MATCH($A121,PlotNumber,0),MATCH(B$3,PlotTitles,0)))),"",ISBLANK(INDEX(PlotData,MATCH($A121,PlotNumber,0),MATCH(O$3,PlotTitles,0))),$AB$18,TRUE,"")</f>
        <v/>
      </c>
      <c r="P121" s="182" t="str">
        <f t="shared" ca="1" si="4"/>
        <v/>
      </c>
      <c r="Q121" s="104" t="str" cm="1">
        <f t="array" ref="Q121">_xlfn.IFS(AND(A121&gt;NumberOfPlots,ISBLANK(INDEX(PlotData,MATCH($A121,PlotNumber,0),MATCH(B$3,PlotTitles,0)))),"",ISBLANK(INDEX(PlotData,MATCH($A121,PlotNumber,0),MATCH(N$3,PlotTitles,0))),"",(DATEVALUE(INDEX(PlotData,MATCH($A121,PlotNumber,0),MATCH(N$3,PlotTitles,0))&amp;INDEX(PlotData,MATCH($A121,PlotNumber,0),MATCH(O$3,PlotTitles,0))))&lt;(DATEVALUE(INDEX(PlotData,MATCH($A121,PlotNumber,0),MATCH(I$3,PlotTitles,0))&amp;INDEX(PlotData,MATCH($A121,PlotNumber,0),MATCH(J$3,PlotTitles,0)))),$AB$20,TRUE,"")</f>
        <v/>
      </c>
      <c r="R121" s="104" t="str" cm="1">
        <f t="array" ref="R121">_xlfn.IFS(OR(ISBLANK(StartDateMonth),ISBLANK(StartDateYear)),"",AND(A121&gt;NumberOfPlots,ISBLANK(INDEX(PlotData,MATCH($A121,PlotNumber,0),MATCH(B$3,PlotTitles,0)))),"",ISBLANK(INDEX(PlotData,MATCH($A121,PlotNumber,0),MATCH(N$3,PlotTitles,0))),"",CompletionMonth="","",(DATEVALUE(INDEX(PlotData,MATCH($A121,PlotNumber,0),MATCH(N$3,PlotTitles,0))&amp;INDEX(PlotData,MATCH($A121,PlotNumber,0),MATCH(O$3,PlotTitles,0))))&gt;(DATEVALUE(CompletionMonth&amp;CompletionYear)),$AB$21,TRUE,"")</f>
        <v/>
      </c>
      <c r="S121" s="104" t="str" cm="1">
        <f t="array" ref="S121">_xlfn.IFS(AND(A121&gt;NumberOfPlots,ISBLANK(INDEX(PlotData,MATCH($A121,PlotNumber,0),MATCH(B$3,PlotTitles,0)))),"",OR(AND(INDEX(PlotData,MATCH($A121,PlotNumber,0),MATCH("Tenure",PlotTitles,0))="Open market housing",INDEX(PlotData,MATCH($A121,PlotNumber,0),MATCH("Tenure detail",PlotTitles,0))="Private rented sector"),INDEX(PlotData,MATCH($A121,PlotNumber,0),MATCH("Tenure",PlotTitles,0))="Affordable rent"),"",ISNUMBER(INDEX(PlotData,MATCH($A121,PlotNumber,0),MATCH(S$3,PlotTitles,0)))=FALSE, $AB$22,TRUE,"")</f>
        <v/>
      </c>
      <c r="T121" s="104" t="str" cm="1">
        <f t="array" ref="T121">_xlfn.IFS(AND(A121&gt;NumberOfPlots,ISBLANK(INDEX(PlotData,MATCH($A121,PlotNumber,0),MATCH(B$3,PlotTitles,0)))),"",OR(AND(INDEX(PlotData,MATCH($A121,PlotNumber,0),MATCH("Tenure",PlotTitles,0))="Open market housing",INDEX(PlotData,MATCH($A121,PlotNumber,0),MATCH("Tenure detail",PlotTitles,0))="Private rented sector"),INDEX(PlotData,MATCH($A121,PlotNumber,0),MATCH("Tenure",PlotTitles,0))="Affordable rent"),"",INDEX(PlotData,MATCH($A121,PlotNumber,0),MATCH(S$3,PlotTitles,0))&lt;10000, $AB$23,TRUE,"")</f>
        <v/>
      </c>
      <c r="U121" s="104" t="str" cm="1">
        <f t="array" ref="U121">_xlfn.IFS(AND(A121&gt;NumberOfPlots,ISBLANK(INDEX(PlotData,MATCH($A121,PlotNumber,0),MATCH(B$3,PlotTitles,0)))),"",NOT(OR(AND(INDEX(PlotData,MATCH($A121,PlotNumber,0),MATCH("Tenure",PlotTitles,0))="Open market housing",INDEX(PlotData,MATCH($A121,PlotNumber,0),MATCH("Tenure detail",PlotTitles,0))="Private rented sector"),INDEX(PlotData,MATCH($A121,PlotNumber,0),MATCH("Tenure",PlotTitles,0))="Affordable rent")),"",NOT(INDEX(PlotData,MATCH($A121,PlotNumber,0),MATCH(S$3,PlotTitles,0))=0), $AB$24,TRUE,"")</f>
        <v/>
      </c>
      <c r="V121" s="114" t="str" cm="1">
        <f t="array" aca="1" ref="V121" ca="1">_xlfn.IFS(ISBLANK(NumberOfPlots),"Enter the number of homes on the 1_SetUp sheet",AND(A121&gt;NumberOfPlots,ISBLANK(INDEX(PlotData,MATCH($A121,PlotNumber,0),MATCH(B$3,PlotTitles,0)))),"No error",NOT(B121=""),B121,NOT(C121=""),C121,NOT(D121=""),D121,NOT(E121=""),E121,NOT(F121=""),F121,NOT(G121=""),G121,NOT(H121=""),H121,NOT(I121=""),I121,NOT(J121=""),J121,NOT(K121=""),K121,NOT(L121=""),L121,NOT(M121=""),M121,NOT(N121=""),N121,NOT(O121=""),O121,NOT(P121=""),P121,NOT(Q121=""),Q121,NOT(R121=""),R121,NOT(S121=""),S121,NOT(T121=""),T121,NOT(U121=""),U121,TRUE,"No error")</f>
        <v>Enter the number of homes on the 1_SetUp sheet</v>
      </c>
      <c r="W121" s="114" t="str">
        <f t="shared" ca="1" si="5"/>
        <v xml:space="preserve">The Borrower has not addressed the following error messages for Home ID 117: </v>
      </c>
    </row>
    <row r="122" spans="1:23">
      <c r="A122" s="123">
        <v>118</v>
      </c>
      <c r="B122" s="104" t="str" cm="1">
        <f t="array" ref="B122">_xlfn.IFS(AND(A122&gt;NumberOfPlots,ISBLANK(INDEX(PlotData,MATCH($A122,PlotNumber,0),MATCH(B$3,PlotTitles,0)))),"",ISNUMBER(INDEX(PlotData,MATCH($A122,PlotNumber,0),MATCH(B$3,PlotTitles,0)))=FALSE, $AB$5,TRUE,"")</f>
        <v/>
      </c>
      <c r="C122" s="104" t="str" cm="1">
        <f t="array" ref="C122">_xlfn.IFS(AND(A122&gt;NumberOfPlots,ISBLANK(INDEX(PlotData,MATCH($A122,PlotNumber,0),MATCH(B$3,PlotTitles,0)))),"",ISBLANK(INDEX(PlotData,MATCH($A122,PlotNumber,0),MATCH(C$3,PlotTitles,0))),$AB$6,TRUE,"")</f>
        <v/>
      </c>
      <c r="D122" s="104" t="str" cm="1">
        <f t="array" ref="D122">_xlfn.IFS(AND(A122&gt;NumberOfPlots,ISBLANK(INDEX(PlotData,MATCH($A122,PlotNumber,0),MATCH(B$3,PlotTitles,0)))),"",ISBLANK(INDEX(PlotData,MATCH($A122,PlotNumber,0),MATCH(D$3,PlotTitles,0))),$AB$7,TRUE,"")</f>
        <v/>
      </c>
      <c r="E122" s="104" t="str" cm="1">
        <f t="array" ref="E122">_xlfn.IFS(AND(A122&gt;NumberOfPlots,ISBLANK(INDEX(PlotData,MATCH($A122,PlotNumber,0),MATCH(B$3,PlotTitles,0)))),"",ISBLANK(INDEX(PlotData,MATCH($A122,PlotNumber,0),MATCH(E$3,PlotTitles,0))),$AB$8,TRUE,"")</f>
        <v/>
      </c>
      <c r="F122" s="104" t="str" cm="1">
        <f t="array" ref="F122">_xlfn.IFS(AND(A122&gt;NumberOfPlots,ISBLANK(INDEX(PlotData,MATCH($A122,PlotNumber,0),MATCH(B$3,PlotTitles,0)))),"",ISBLANK(INDEX(PlotData,MATCH($A122,PlotNumber,0),MATCH(F$3,PlotTitles,0))),$AB$9,TRUE,"")</f>
        <v/>
      </c>
      <c r="G122" s="104" t="str" cm="1">
        <f t="array" ref="G122">_xlfn.IFS(AND(A122&gt;NumberOfPlots,ISBLANK(INDEX(PlotData,MATCH($A122,PlotNumber,0),MATCH(B$3,PlotTitles,0)))),"",ISBLANK(INDEX(PlotData,MATCH($A122,PlotNumber,0),MATCH(G$3,PlotTitles,0))),$AB$10,TRUE,"")</f>
        <v/>
      </c>
      <c r="H122" s="104" t="str" cm="1">
        <f t="array" ref="H122">_xlfn.IFS(AND(A122&gt;NumberOfPlots,ISBLANK(INDEX(PlotData,MATCH($A122,PlotNumber,0),MATCH(B$3,PlotTitles,0)))),"",AND(ISBLANK(INDEX(PlotData,MATCH($A122,PlotNumber,0),MATCH(H$3,PlotTitles,0)))=FALSE,INDEX(PlotData,MATCH($A122,PlotNumber,0),MATCH(H$3,PlotTitles,0))&lt;500), $AB$11,TRUE,"")</f>
        <v/>
      </c>
      <c r="I122" s="104" t="str" cm="1">
        <f t="array" ref="I122">_xlfn.IFS(AND(A122&gt;NumberOfPlots,ISBLANK(INDEX(PlotData,MATCH($A122,PlotNumber,0),MATCH(B$3,PlotTitles,0)))),"",ISBLANK(INDEX(PlotData,MATCH($A122,PlotNumber,0),MATCH(I$3,PlotTitles,0))),$AB$12,TRUE,"")</f>
        <v/>
      </c>
      <c r="J122" s="104" t="str" cm="1">
        <f t="array" ref="J122">_xlfn.IFS(AND(A122&gt;NumberOfPlots,ISBLANK(INDEX(PlotData,MATCH($A122,PlotNumber,0),MATCH(B$3,PlotTitles,0)))),"",ISBLANK(INDEX(PlotData,MATCH($A122,PlotNumber,0),MATCH(J$3,PlotTitles,0))),$AB$13,TRUE,"")</f>
        <v/>
      </c>
      <c r="K122" s="182" t="str">
        <f t="shared" ca="1" si="3"/>
        <v/>
      </c>
      <c r="L122" s="104" t="str" cm="1">
        <f t="array" ref="L122">_xlfn.IFS(OR(ISBLANK(StartDateMonth),ISBLANK(StartDateYear)),"",AND(A122&gt;NumberOfPlots,ISBLANK(INDEX(PlotData,MATCH($A122,PlotNumber,0),MATCH(B$3,PlotTitles,0)))),"",ISBLANK(INDEX(PlotData,MATCH($A122,PlotNumber,0),MATCH(I$3,PlotTitles,0))),"",(DATEVALUE(INDEX(PlotData,MATCH($A122,PlotNumber,0),MATCH(I$3,PlotTitles,0))&amp;INDEX(PlotData,MATCH($A122,PlotNumber,0),MATCH(J$3,PlotTitles,0))))&lt;DATEVALUE(StartDateMonth&amp;StartDateYear),$AB$15,TRUE,"")</f>
        <v/>
      </c>
      <c r="M122" s="104" t="str" cm="1">
        <f t="array" ref="M122">_xlfn.IFS(OR(ISBLANK(StartDateMonth),ISBLANK(StartDateYear)),"",AND(A122&gt;NumberOfPlots,ISBLANK(INDEX(PlotData,MATCH($A122,PlotNumber,0),MATCH(B$3,PlotTitles,0)))),"",ISBLANK(INDEX(PlotData,MATCH($A122,PlotNumber,0),MATCH(I$3,PlotTitles,0))),"",CompletionMonth="","",(DATEVALUE(INDEX(PlotData,MATCH($A122,PlotNumber,0),MATCH(I$3,PlotTitles,0))&amp;INDEX(PlotData,MATCH($A122,PlotNumber,0),MATCH(J$3,PlotTitles,0))))&gt;(DATEVALUE(CompletionMonth&amp;CompletionYear)),$AB$16,TRUE,"")</f>
        <v/>
      </c>
      <c r="N122" s="104" t="str" cm="1">
        <f t="array" ref="N122">_xlfn.IFS(AND(A122&gt;NumberOfPlots,ISBLANK(INDEX(PlotData,MATCH($A122,PlotNumber,0),MATCH(B$3,PlotTitles,0)))),"",ISBLANK(INDEX(PlotData,MATCH($A122,PlotNumber,0),MATCH(N$3,PlotTitles,0))),$AB$17,TRUE,"")</f>
        <v/>
      </c>
      <c r="O122" s="104" t="str" cm="1">
        <f t="array" ref="O122">_xlfn.IFS(AND(A122&gt;NumberOfPlots,ISBLANK(INDEX(PlotData,MATCH($A122,PlotNumber,0),MATCH(B$3,PlotTitles,0)))),"",ISBLANK(INDEX(PlotData,MATCH($A122,PlotNumber,0),MATCH(O$3,PlotTitles,0))),$AB$18,TRUE,"")</f>
        <v/>
      </c>
      <c r="P122" s="182" t="str">
        <f t="shared" ca="1" si="4"/>
        <v/>
      </c>
      <c r="Q122" s="104" t="str" cm="1">
        <f t="array" ref="Q122">_xlfn.IFS(AND(A122&gt;NumberOfPlots,ISBLANK(INDEX(PlotData,MATCH($A122,PlotNumber,0),MATCH(B$3,PlotTitles,0)))),"",ISBLANK(INDEX(PlotData,MATCH($A122,PlotNumber,0),MATCH(N$3,PlotTitles,0))),"",(DATEVALUE(INDEX(PlotData,MATCH($A122,PlotNumber,0),MATCH(N$3,PlotTitles,0))&amp;INDEX(PlotData,MATCH($A122,PlotNumber,0),MATCH(O$3,PlotTitles,0))))&lt;(DATEVALUE(INDEX(PlotData,MATCH($A122,PlotNumber,0),MATCH(I$3,PlotTitles,0))&amp;INDEX(PlotData,MATCH($A122,PlotNumber,0),MATCH(J$3,PlotTitles,0)))),$AB$20,TRUE,"")</f>
        <v/>
      </c>
      <c r="R122" s="104" t="str" cm="1">
        <f t="array" ref="R122">_xlfn.IFS(OR(ISBLANK(StartDateMonth),ISBLANK(StartDateYear)),"",AND(A122&gt;NumberOfPlots,ISBLANK(INDEX(PlotData,MATCH($A122,PlotNumber,0),MATCH(B$3,PlotTitles,0)))),"",ISBLANK(INDEX(PlotData,MATCH($A122,PlotNumber,0),MATCH(N$3,PlotTitles,0))),"",CompletionMonth="","",(DATEVALUE(INDEX(PlotData,MATCH($A122,PlotNumber,0),MATCH(N$3,PlotTitles,0))&amp;INDEX(PlotData,MATCH($A122,PlotNumber,0),MATCH(O$3,PlotTitles,0))))&gt;(DATEVALUE(CompletionMonth&amp;CompletionYear)),$AB$21,TRUE,"")</f>
        <v/>
      </c>
      <c r="S122" s="104" t="str" cm="1">
        <f t="array" ref="S122">_xlfn.IFS(AND(A122&gt;NumberOfPlots,ISBLANK(INDEX(PlotData,MATCH($A122,PlotNumber,0),MATCH(B$3,PlotTitles,0)))),"",OR(AND(INDEX(PlotData,MATCH($A122,PlotNumber,0),MATCH("Tenure",PlotTitles,0))="Open market housing",INDEX(PlotData,MATCH($A122,PlotNumber,0),MATCH("Tenure detail",PlotTitles,0))="Private rented sector"),INDEX(PlotData,MATCH($A122,PlotNumber,0),MATCH("Tenure",PlotTitles,0))="Affordable rent"),"",ISNUMBER(INDEX(PlotData,MATCH($A122,PlotNumber,0),MATCH(S$3,PlotTitles,0)))=FALSE, $AB$22,TRUE,"")</f>
        <v/>
      </c>
      <c r="T122" s="104" t="str" cm="1">
        <f t="array" ref="T122">_xlfn.IFS(AND(A122&gt;NumberOfPlots,ISBLANK(INDEX(PlotData,MATCH($A122,PlotNumber,0),MATCH(B$3,PlotTitles,0)))),"",OR(AND(INDEX(PlotData,MATCH($A122,PlotNumber,0),MATCH("Tenure",PlotTitles,0))="Open market housing",INDEX(PlotData,MATCH($A122,PlotNumber,0),MATCH("Tenure detail",PlotTitles,0))="Private rented sector"),INDEX(PlotData,MATCH($A122,PlotNumber,0),MATCH("Tenure",PlotTitles,0))="Affordable rent"),"",INDEX(PlotData,MATCH($A122,PlotNumber,0),MATCH(S$3,PlotTitles,0))&lt;10000, $AB$23,TRUE,"")</f>
        <v/>
      </c>
      <c r="U122" s="104" t="str" cm="1">
        <f t="array" ref="U122">_xlfn.IFS(AND(A122&gt;NumberOfPlots,ISBLANK(INDEX(PlotData,MATCH($A122,PlotNumber,0),MATCH(B$3,PlotTitles,0)))),"",NOT(OR(AND(INDEX(PlotData,MATCH($A122,PlotNumber,0),MATCH("Tenure",PlotTitles,0))="Open market housing",INDEX(PlotData,MATCH($A122,PlotNumber,0),MATCH("Tenure detail",PlotTitles,0))="Private rented sector"),INDEX(PlotData,MATCH($A122,PlotNumber,0),MATCH("Tenure",PlotTitles,0))="Affordable rent")),"",NOT(INDEX(PlotData,MATCH($A122,PlotNumber,0),MATCH(S$3,PlotTitles,0))=0), $AB$24,TRUE,"")</f>
        <v/>
      </c>
      <c r="V122" s="114" t="str" cm="1">
        <f t="array" aca="1" ref="V122" ca="1">_xlfn.IFS(ISBLANK(NumberOfPlots),"Enter the number of homes on the 1_SetUp sheet",AND(A122&gt;NumberOfPlots,ISBLANK(INDEX(PlotData,MATCH($A122,PlotNumber,0),MATCH(B$3,PlotTitles,0)))),"No error",NOT(B122=""),B122,NOT(C122=""),C122,NOT(D122=""),D122,NOT(E122=""),E122,NOT(F122=""),F122,NOT(G122=""),G122,NOT(H122=""),H122,NOT(I122=""),I122,NOT(J122=""),J122,NOT(K122=""),K122,NOT(L122=""),L122,NOT(M122=""),M122,NOT(N122=""),N122,NOT(O122=""),O122,NOT(P122=""),P122,NOT(Q122=""),Q122,NOT(R122=""),R122,NOT(S122=""),S122,NOT(T122=""),T122,NOT(U122=""),U122,TRUE,"No error")</f>
        <v>Enter the number of homes on the 1_SetUp sheet</v>
      </c>
      <c r="W122" s="114" t="str">
        <f t="shared" ca="1" si="5"/>
        <v xml:space="preserve">The Borrower has not addressed the following error messages for Home ID 118: </v>
      </c>
    </row>
    <row r="123" spans="1:23">
      <c r="A123" s="123">
        <v>119</v>
      </c>
      <c r="B123" s="104" t="str" cm="1">
        <f t="array" ref="B123">_xlfn.IFS(AND(A123&gt;NumberOfPlots,ISBLANK(INDEX(PlotData,MATCH($A123,PlotNumber,0),MATCH(B$3,PlotTitles,0)))),"",ISNUMBER(INDEX(PlotData,MATCH($A123,PlotNumber,0),MATCH(B$3,PlotTitles,0)))=FALSE, $AB$5,TRUE,"")</f>
        <v/>
      </c>
      <c r="C123" s="104" t="str" cm="1">
        <f t="array" ref="C123">_xlfn.IFS(AND(A123&gt;NumberOfPlots,ISBLANK(INDEX(PlotData,MATCH($A123,PlotNumber,0),MATCH(B$3,PlotTitles,0)))),"",ISBLANK(INDEX(PlotData,MATCH($A123,PlotNumber,0),MATCH(C$3,PlotTitles,0))),$AB$6,TRUE,"")</f>
        <v/>
      </c>
      <c r="D123" s="104" t="str" cm="1">
        <f t="array" ref="D123">_xlfn.IFS(AND(A123&gt;NumberOfPlots,ISBLANK(INDEX(PlotData,MATCH($A123,PlotNumber,0),MATCH(B$3,PlotTitles,0)))),"",ISBLANK(INDEX(PlotData,MATCH($A123,PlotNumber,0),MATCH(D$3,PlotTitles,0))),$AB$7,TRUE,"")</f>
        <v/>
      </c>
      <c r="E123" s="104" t="str" cm="1">
        <f t="array" ref="E123">_xlfn.IFS(AND(A123&gt;NumberOfPlots,ISBLANK(INDEX(PlotData,MATCH($A123,PlotNumber,0),MATCH(B$3,PlotTitles,0)))),"",ISBLANK(INDEX(PlotData,MATCH($A123,PlotNumber,0),MATCH(E$3,PlotTitles,0))),$AB$8,TRUE,"")</f>
        <v/>
      </c>
      <c r="F123" s="104" t="str" cm="1">
        <f t="array" ref="F123">_xlfn.IFS(AND(A123&gt;NumberOfPlots,ISBLANK(INDEX(PlotData,MATCH($A123,PlotNumber,0),MATCH(B$3,PlotTitles,0)))),"",ISBLANK(INDEX(PlotData,MATCH($A123,PlotNumber,0),MATCH(F$3,PlotTitles,0))),$AB$9,TRUE,"")</f>
        <v/>
      </c>
      <c r="G123" s="104" t="str" cm="1">
        <f t="array" ref="G123">_xlfn.IFS(AND(A123&gt;NumberOfPlots,ISBLANK(INDEX(PlotData,MATCH($A123,PlotNumber,0),MATCH(B$3,PlotTitles,0)))),"",ISBLANK(INDEX(PlotData,MATCH($A123,PlotNumber,0),MATCH(G$3,PlotTitles,0))),$AB$10,TRUE,"")</f>
        <v/>
      </c>
      <c r="H123" s="104" t="str" cm="1">
        <f t="array" ref="H123">_xlfn.IFS(AND(A123&gt;NumberOfPlots,ISBLANK(INDEX(PlotData,MATCH($A123,PlotNumber,0),MATCH(B$3,PlotTitles,0)))),"",AND(ISBLANK(INDEX(PlotData,MATCH($A123,PlotNumber,0),MATCH(H$3,PlotTitles,0)))=FALSE,INDEX(PlotData,MATCH($A123,PlotNumber,0),MATCH(H$3,PlotTitles,0))&lt;500), $AB$11,TRUE,"")</f>
        <v/>
      </c>
      <c r="I123" s="104" t="str" cm="1">
        <f t="array" ref="I123">_xlfn.IFS(AND(A123&gt;NumberOfPlots,ISBLANK(INDEX(PlotData,MATCH($A123,PlotNumber,0),MATCH(B$3,PlotTitles,0)))),"",ISBLANK(INDEX(PlotData,MATCH($A123,PlotNumber,0),MATCH(I$3,PlotTitles,0))),$AB$12,TRUE,"")</f>
        <v/>
      </c>
      <c r="J123" s="104" t="str" cm="1">
        <f t="array" ref="J123">_xlfn.IFS(AND(A123&gt;NumberOfPlots,ISBLANK(INDEX(PlotData,MATCH($A123,PlotNumber,0),MATCH(B$3,PlotTitles,0)))),"",ISBLANK(INDEX(PlotData,MATCH($A123,PlotNumber,0),MATCH(J$3,PlotTitles,0))),$AB$13,TRUE,"")</f>
        <v/>
      </c>
      <c r="K123" s="182" t="str">
        <f t="shared" ca="1" si="3"/>
        <v/>
      </c>
      <c r="L123" s="104" t="str" cm="1">
        <f t="array" ref="L123">_xlfn.IFS(OR(ISBLANK(StartDateMonth),ISBLANK(StartDateYear)),"",AND(A123&gt;NumberOfPlots,ISBLANK(INDEX(PlotData,MATCH($A123,PlotNumber,0),MATCH(B$3,PlotTitles,0)))),"",ISBLANK(INDEX(PlotData,MATCH($A123,PlotNumber,0),MATCH(I$3,PlotTitles,0))),"",(DATEVALUE(INDEX(PlotData,MATCH($A123,PlotNumber,0),MATCH(I$3,PlotTitles,0))&amp;INDEX(PlotData,MATCH($A123,PlotNumber,0),MATCH(J$3,PlotTitles,0))))&lt;DATEVALUE(StartDateMonth&amp;StartDateYear),$AB$15,TRUE,"")</f>
        <v/>
      </c>
      <c r="M123" s="104" t="str" cm="1">
        <f t="array" ref="M123">_xlfn.IFS(OR(ISBLANK(StartDateMonth),ISBLANK(StartDateYear)),"",AND(A123&gt;NumberOfPlots,ISBLANK(INDEX(PlotData,MATCH($A123,PlotNumber,0),MATCH(B$3,PlotTitles,0)))),"",ISBLANK(INDEX(PlotData,MATCH($A123,PlotNumber,0),MATCH(I$3,PlotTitles,0))),"",CompletionMonth="","",(DATEVALUE(INDEX(PlotData,MATCH($A123,PlotNumber,0),MATCH(I$3,PlotTitles,0))&amp;INDEX(PlotData,MATCH($A123,PlotNumber,0),MATCH(J$3,PlotTitles,0))))&gt;(DATEVALUE(CompletionMonth&amp;CompletionYear)),$AB$16,TRUE,"")</f>
        <v/>
      </c>
      <c r="N123" s="104" t="str" cm="1">
        <f t="array" ref="N123">_xlfn.IFS(AND(A123&gt;NumberOfPlots,ISBLANK(INDEX(PlotData,MATCH($A123,PlotNumber,0),MATCH(B$3,PlotTitles,0)))),"",ISBLANK(INDEX(PlotData,MATCH($A123,PlotNumber,0),MATCH(N$3,PlotTitles,0))),$AB$17,TRUE,"")</f>
        <v/>
      </c>
      <c r="O123" s="104" t="str" cm="1">
        <f t="array" ref="O123">_xlfn.IFS(AND(A123&gt;NumberOfPlots,ISBLANK(INDEX(PlotData,MATCH($A123,PlotNumber,0),MATCH(B$3,PlotTitles,0)))),"",ISBLANK(INDEX(PlotData,MATCH($A123,PlotNumber,0),MATCH(O$3,PlotTitles,0))),$AB$18,TRUE,"")</f>
        <v/>
      </c>
      <c r="P123" s="182" t="str">
        <f t="shared" ca="1" si="4"/>
        <v/>
      </c>
      <c r="Q123" s="104" t="str" cm="1">
        <f t="array" ref="Q123">_xlfn.IFS(AND(A123&gt;NumberOfPlots,ISBLANK(INDEX(PlotData,MATCH($A123,PlotNumber,0),MATCH(B$3,PlotTitles,0)))),"",ISBLANK(INDEX(PlotData,MATCH($A123,PlotNumber,0),MATCH(N$3,PlotTitles,0))),"",(DATEVALUE(INDEX(PlotData,MATCH($A123,PlotNumber,0),MATCH(N$3,PlotTitles,0))&amp;INDEX(PlotData,MATCH($A123,PlotNumber,0),MATCH(O$3,PlotTitles,0))))&lt;(DATEVALUE(INDEX(PlotData,MATCH($A123,PlotNumber,0),MATCH(I$3,PlotTitles,0))&amp;INDEX(PlotData,MATCH($A123,PlotNumber,0),MATCH(J$3,PlotTitles,0)))),$AB$20,TRUE,"")</f>
        <v/>
      </c>
      <c r="R123" s="104" t="str" cm="1">
        <f t="array" ref="R123">_xlfn.IFS(OR(ISBLANK(StartDateMonth),ISBLANK(StartDateYear)),"",AND(A123&gt;NumberOfPlots,ISBLANK(INDEX(PlotData,MATCH($A123,PlotNumber,0),MATCH(B$3,PlotTitles,0)))),"",ISBLANK(INDEX(PlotData,MATCH($A123,PlotNumber,0),MATCH(N$3,PlotTitles,0))),"",CompletionMonth="","",(DATEVALUE(INDEX(PlotData,MATCH($A123,PlotNumber,0),MATCH(N$3,PlotTitles,0))&amp;INDEX(PlotData,MATCH($A123,PlotNumber,0),MATCH(O$3,PlotTitles,0))))&gt;(DATEVALUE(CompletionMonth&amp;CompletionYear)),$AB$21,TRUE,"")</f>
        <v/>
      </c>
      <c r="S123" s="104" t="str" cm="1">
        <f t="array" ref="S123">_xlfn.IFS(AND(A123&gt;NumberOfPlots,ISBLANK(INDEX(PlotData,MATCH($A123,PlotNumber,0),MATCH(B$3,PlotTitles,0)))),"",OR(AND(INDEX(PlotData,MATCH($A123,PlotNumber,0),MATCH("Tenure",PlotTitles,0))="Open market housing",INDEX(PlotData,MATCH($A123,PlotNumber,0),MATCH("Tenure detail",PlotTitles,0))="Private rented sector"),INDEX(PlotData,MATCH($A123,PlotNumber,0),MATCH("Tenure",PlotTitles,0))="Affordable rent"),"",ISNUMBER(INDEX(PlotData,MATCH($A123,PlotNumber,0),MATCH(S$3,PlotTitles,0)))=FALSE, $AB$22,TRUE,"")</f>
        <v/>
      </c>
      <c r="T123" s="104" t="str" cm="1">
        <f t="array" ref="T123">_xlfn.IFS(AND(A123&gt;NumberOfPlots,ISBLANK(INDEX(PlotData,MATCH($A123,PlotNumber,0),MATCH(B$3,PlotTitles,0)))),"",OR(AND(INDEX(PlotData,MATCH($A123,PlotNumber,0),MATCH("Tenure",PlotTitles,0))="Open market housing",INDEX(PlotData,MATCH($A123,PlotNumber,0),MATCH("Tenure detail",PlotTitles,0))="Private rented sector"),INDEX(PlotData,MATCH($A123,PlotNumber,0),MATCH("Tenure",PlotTitles,0))="Affordable rent"),"",INDEX(PlotData,MATCH($A123,PlotNumber,0),MATCH(S$3,PlotTitles,0))&lt;10000, $AB$23,TRUE,"")</f>
        <v/>
      </c>
      <c r="U123" s="104" t="str" cm="1">
        <f t="array" ref="U123">_xlfn.IFS(AND(A123&gt;NumberOfPlots,ISBLANK(INDEX(PlotData,MATCH($A123,PlotNumber,0),MATCH(B$3,PlotTitles,0)))),"",NOT(OR(AND(INDEX(PlotData,MATCH($A123,PlotNumber,0),MATCH("Tenure",PlotTitles,0))="Open market housing",INDEX(PlotData,MATCH($A123,PlotNumber,0),MATCH("Tenure detail",PlotTitles,0))="Private rented sector"),INDEX(PlotData,MATCH($A123,PlotNumber,0),MATCH("Tenure",PlotTitles,0))="Affordable rent")),"",NOT(INDEX(PlotData,MATCH($A123,PlotNumber,0),MATCH(S$3,PlotTitles,0))=0), $AB$24,TRUE,"")</f>
        <v/>
      </c>
      <c r="V123" s="114" t="str" cm="1">
        <f t="array" aca="1" ref="V123" ca="1">_xlfn.IFS(ISBLANK(NumberOfPlots),"Enter the number of homes on the 1_SetUp sheet",AND(A123&gt;NumberOfPlots,ISBLANK(INDEX(PlotData,MATCH($A123,PlotNumber,0),MATCH(B$3,PlotTitles,0)))),"No error",NOT(B123=""),B123,NOT(C123=""),C123,NOT(D123=""),D123,NOT(E123=""),E123,NOT(F123=""),F123,NOT(G123=""),G123,NOT(H123=""),H123,NOT(I123=""),I123,NOT(J123=""),J123,NOT(K123=""),K123,NOT(L123=""),L123,NOT(M123=""),M123,NOT(N123=""),N123,NOT(O123=""),O123,NOT(P123=""),P123,NOT(Q123=""),Q123,NOT(R123=""),R123,NOT(S123=""),S123,NOT(T123=""),T123,NOT(U123=""),U123,TRUE,"No error")</f>
        <v>Enter the number of homes on the 1_SetUp sheet</v>
      </c>
      <c r="W123" s="114" t="str">
        <f t="shared" ca="1" si="5"/>
        <v xml:space="preserve">The Borrower has not addressed the following error messages for Home ID 119: </v>
      </c>
    </row>
    <row r="124" spans="1:23">
      <c r="A124" s="123">
        <v>120</v>
      </c>
      <c r="B124" s="104" t="str" cm="1">
        <f t="array" ref="B124">_xlfn.IFS(AND(A124&gt;NumberOfPlots,ISBLANK(INDEX(PlotData,MATCH($A124,PlotNumber,0),MATCH(B$3,PlotTitles,0)))),"",ISNUMBER(INDEX(PlotData,MATCH($A124,PlotNumber,0),MATCH(B$3,PlotTitles,0)))=FALSE, $AB$5,TRUE,"")</f>
        <v/>
      </c>
      <c r="C124" s="104" t="str" cm="1">
        <f t="array" ref="C124">_xlfn.IFS(AND(A124&gt;NumberOfPlots,ISBLANK(INDEX(PlotData,MATCH($A124,PlotNumber,0),MATCH(B$3,PlotTitles,0)))),"",ISBLANK(INDEX(PlotData,MATCH($A124,PlotNumber,0),MATCH(C$3,PlotTitles,0))),$AB$6,TRUE,"")</f>
        <v/>
      </c>
      <c r="D124" s="104" t="str" cm="1">
        <f t="array" ref="D124">_xlfn.IFS(AND(A124&gt;NumberOfPlots,ISBLANK(INDEX(PlotData,MATCH($A124,PlotNumber,0),MATCH(B$3,PlotTitles,0)))),"",ISBLANK(INDEX(PlotData,MATCH($A124,PlotNumber,0),MATCH(D$3,PlotTitles,0))),$AB$7,TRUE,"")</f>
        <v/>
      </c>
      <c r="E124" s="104" t="str" cm="1">
        <f t="array" ref="E124">_xlfn.IFS(AND(A124&gt;NumberOfPlots,ISBLANK(INDEX(PlotData,MATCH($A124,PlotNumber,0),MATCH(B$3,PlotTitles,0)))),"",ISBLANK(INDEX(PlotData,MATCH($A124,PlotNumber,0),MATCH(E$3,PlotTitles,0))),$AB$8,TRUE,"")</f>
        <v/>
      </c>
      <c r="F124" s="104" t="str" cm="1">
        <f t="array" ref="F124">_xlfn.IFS(AND(A124&gt;NumberOfPlots,ISBLANK(INDEX(PlotData,MATCH($A124,PlotNumber,0),MATCH(B$3,PlotTitles,0)))),"",ISBLANK(INDEX(PlotData,MATCH($A124,PlotNumber,0),MATCH(F$3,PlotTitles,0))),$AB$9,TRUE,"")</f>
        <v/>
      </c>
      <c r="G124" s="104" t="str" cm="1">
        <f t="array" ref="G124">_xlfn.IFS(AND(A124&gt;NumberOfPlots,ISBLANK(INDEX(PlotData,MATCH($A124,PlotNumber,0),MATCH(B$3,PlotTitles,0)))),"",ISBLANK(INDEX(PlotData,MATCH($A124,PlotNumber,0),MATCH(G$3,PlotTitles,0))),$AB$10,TRUE,"")</f>
        <v/>
      </c>
      <c r="H124" s="104" t="str" cm="1">
        <f t="array" ref="H124">_xlfn.IFS(AND(A124&gt;NumberOfPlots,ISBLANK(INDEX(PlotData,MATCH($A124,PlotNumber,0),MATCH(B$3,PlotTitles,0)))),"",AND(ISBLANK(INDEX(PlotData,MATCH($A124,PlotNumber,0),MATCH(H$3,PlotTitles,0)))=FALSE,INDEX(PlotData,MATCH($A124,PlotNumber,0),MATCH(H$3,PlotTitles,0))&lt;500), $AB$11,TRUE,"")</f>
        <v/>
      </c>
      <c r="I124" s="104" t="str" cm="1">
        <f t="array" ref="I124">_xlfn.IFS(AND(A124&gt;NumberOfPlots,ISBLANK(INDEX(PlotData,MATCH($A124,PlotNumber,0),MATCH(B$3,PlotTitles,0)))),"",ISBLANK(INDEX(PlotData,MATCH($A124,PlotNumber,0),MATCH(I$3,PlotTitles,0))),$AB$12,TRUE,"")</f>
        <v/>
      </c>
      <c r="J124" s="104" t="str" cm="1">
        <f t="array" ref="J124">_xlfn.IFS(AND(A124&gt;NumberOfPlots,ISBLANK(INDEX(PlotData,MATCH($A124,PlotNumber,0),MATCH(B$3,PlotTitles,0)))),"",ISBLANK(INDEX(PlotData,MATCH($A124,PlotNumber,0),MATCH(J$3,PlotTitles,0))),$AB$13,TRUE,"")</f>
        <v/>
      </c>
      <c r="K124" s="182" t="str">
        <f t="shared" ca="1" si="3"/>
        <v/>
      </c>
      <c r="L124" s="104" t="str" cm="1">
        <f t="array" ref="L124">_xlfn.IFS(OR(ISBLANK(StartDateMonth),ISBLANK(StartDateYear)),"",AND(A124&gt;NumberOfPlots,ISBLANK(INDEX(PlotData,MATCH($A124,PlotNumber,0),MATCH(B$3,PlotTitles,0)))),"",ISBLANK(INDEX(PlotData,MATCH($A124,PlotNumber,0),MATCH(I$3,PlotTitles,0))),"",(DATEVALUE(INDEX(PlotData,MATCH($A124,PlotNumber,0),MATCH(I$3,PlotTitles,0))&amp;INDEX(PlotData,MATCH($A124,PlotNumber,0),MATCH(J$3,PlotTitles,0))))&lt;DATEVALUE(StartDateMonth&amp;StartDateYear),$AB$15,TRUE,"")</f>
        <v/>
      </c>
      <c r="M124" s="104" t="str" cm="1">
        <f t="array" ref="M124">_xlfn.IFS(OR(ISBLANK(StartDateMonth),ISBLANK(StartDateYear)),"",AND(A124&gt;NumberOfPlots,ISBLANK(INDEX(PlotData,MATCH($A124,PlotNumber,0),MATCH(B$3,PlotTitles,0)))),"",ISBLANK(INDEX(PlotData,MATCH($A124,PlotNumber,0),MATCH(I$3,PlotTitles,0))),"",CompletionMonth="","",(DATEVALUE(INDEX(PlotData,MATCH($A124,PlotNumber,0),MATCH(I$3,PlotTitles,0))&amp;INDEX(PlotData,MATCH($A124,PlotNumber,0),MATCH(J$3,PlotTitles,0))))&gt;(DATEVALUE(CompletionMonth&amp;CompletionYear)),$AB$16,TRUE,"")</f>
        <v/>
      </c>
      <c r="N124" s="104" t="str" cm="1">
        <f t="array" ref="N124">_xlfn.IFS(AND(A124&gt;NumberOfPlots,ISBLANK(INDEX(PlotData,MATCH($A124,PlotNumber,0),MATCH(B$3,PlotTitles,0)))),"",ISBLANK(INDEX(PlotData,MATCH($A124,PlotNumber,0),MATCH(N$3,PlotTitles,0))),$AB$17,TRUE,"")</f>
        <v/>
      </c>
      <c r="O124" s="104" t="str" cm="1">
        <f t="array" ref="O124">_xlfn.IFS(AND(A124&gt;NumberOfPlots,ISBLANK(INDEX(PlotData,MATCH($A124,PlotNumber,0),MATCH(B$3,PlotTitles,0)))),"",ISBLANK(INDEX(PlotData,MATCH($A124,PlotNumber,0),MATCH(O$3,PlotTitles,0))),$AB$18,TRUE,"")</f>
        <v/>
      </c>
      <c r="P124" s="182" t="str">
        <f t="shared" ca="1" si="4"/>
        <v/>
      </c>
      <c r="Q124" s="104" t="str" cm="1">
        <f t="array" ref="Q124">_xlfn.IFS(AND(A124&gt;NumberOfPlots,ISBLANK(INDEX(PlotData,MATCH($A124,PlotNumber,0),MATCH(B$3,PlotTitles,0)))),"",ISBLANK(INDEX(PlotData,MATCH($A124,PlotNumber,0),MATCH(N$3,PlotTitles,0))),"",(DATEVALUE(INDEX(PlotData,MATCH($A124,PlotNumber,0),MATCH(N$3,PlotTitles,0))&amp;INDEX(PlotData,MATCH($A124,PlotNumber,0),MATCH(O$3,PlotTitles,0))))&lt;(DATEVALUE(INDEX(PlotData,MATCH($A124,PlotNumber,0),MATCH(I$3,PlotTitles,0))&amp;INDEX(PlotData,MATCH($A124,PlotNumber,0),MATCH(J$3,PlotTitles,0)))),$AB$20,TRUE,"")</f>
        <v/>
      </c>
      <c r="R124" s="104" t="str" cm="1">
        <f t="array" ref="R124">_xlfn.IFS(OR(ISBLANK(StartDateMonth),ISBLANK(StartDateYear)),"",AND(A124&gt;NumberOfPlots,ISBLANK(INDEX(PlotData,MATCH($A124,PlotNumber,0),MATCH(B$3,PlotTitles,0)))),"",ISBLANK(INDEX(PlotData,MATCH($A124,PlotNumber,0),MATCH(N$3,PlotTitles,0))),"",CompletionMonth="","",(DATEVALUE(INDEX(PlotData,MATCH($A124,PlotNumber,0),MATCH(N$3,PlotTitles,0))&amp;INDEX(PlotData,MATCH($A124,PlotNumber,0),MATCH(O$3,PlotTitles,0))))&gt;(DATEVALUE(CompletionMonth&amp;CompletionYear)),$AB$21,TRUE,"")</f>
        <v/>
      </c>
      <c r="S124" s="104" t="str" cm="1">
        <f t="array" ref="S124">_xlfn.IFS(AND(A124&gt;NumberOfPlots,ISBLANK(INDEX(PlotData,MATCH($A124,PlotNumber,0),MATCH(B$3,PlotTitles,0)))),"",OR(AND(INDEX(PlotData,MATCH($A124,PlotNumber,0),MATCH("Tenure",PlotTitles,0))="Open market housing",INDEX(PlotData,MATCH($A124,PlotNumber,0),MATCH("Tenure detail",PlotTitles,0))="Private rented sector"),INDEX(PlotData,MATCH($A124,PlotNumber,0),MATCH("Tenure",PlotTitles,0))="Affordable rent"),"",ISNUMBER(INDEX(PlotData,MATCH($A124,PlotNumber,0),MATCH(S$3,PlotTitles,0)))=FALSE, $AB$22,TRUE,"")</f>
        <v/>
      </c>
      <c r="T124" s="104" t="str" cm="1">
        <f t="array" ref="T124">_xlfn.IFS(AND(A124&gt;NumberOfPlots,ISBLANK(INDEX(PlotData,MATCH($A124,PlotNumber,0),MATCH(B$3,PlotTitles,0)))),"",OR(AND(INDEX(PlotData,MATCH($A124,PlotNumber,0),MATCH("Tenure",PlotTitles,0))="Open market housing",INDEX(PlotData,MATCH($A124,PlotNumber,0),MATCH("Tenure detail",PlotTitles,0))="Private rented sector"),INDEX(PlotData,MATCH($A124,PlotNumber,0),MATCH("Tenure",PlotTitles,0))="Affordable rent"),"",INDEX(PlotData,MATCH($A124,PlotNumber,0),MATCH(S$3,PlotTitles,0))&lt;10000, $AB$23,TRUE,"")</f>
        <v/>
      </c>
      <c r="U124" s="104" t="str" cm="1">
        <f t="array" ref="U124">_xlfn.IFS(AND(A124&gt;NumberOfPlots,ISBLANK(INDEX(PlotData,MATCH($A124,PlotNumber,0),MATCH(B$3,PlotTitles,0)))),"",NOT(OR(AND(INDEX(PlotData,MATCH($A124,PlotNumber,0),MATCH("Tenure",PlotTitles,0))="Open market housing",INDEX(PlotData,MATCH($A124,PlotNumber,0),MATCH("Tenure detail",PlotTitles,0))="Private rented sector"),INDEX(PlotData,MATCH($A124,PlotNumber,0),MATCH("Tenure",PlotTitles,0))="Affordable rent")),"",NOT(INDEX(PlotData,MATCH($A124,PlotNumber,0),MATCH(S$3,PlotTitles,0))=0), $AB$24,TRUE,"")</f>
        <v/>
      </c>
      <c r="V124" s="114" t="str" cm="1">
        <f t="array" aca="1" ref="V124" ca="1">_xlfn.IFS(ISBLANK(NumberOfPlots),"Enter the number of homes on the 1_SetUp sheet",AND(A124&gt;NumberOfPlots,ISBLANK(INDEX(PlotData,MATCH($A124,PlotNumber,0),MATCH(B$3,PlotTitles,0)))),"No error",NOT(B124=""),B124,NOT(C124=""),C124,NOT(D124=""),D124,NOT(E124=""),E124,NOT(F124=""),F124,NOT(G124=""),G124,NOT(H124=""),H124,NOT(I124=""),I124,NOT(J124=""),J124,NOT(K124=""),K124,NOT(L124=""),L124,NOT(M124=""),M124,NOT(N124=""),N124,NOT(O124=""),O124,NOT(P124=""),P124,NOT(Q124=""),Q124,NOT(R124=""),R124,NOT(S124=""),S124,NOT(T124=""),T124,NOT(U124=""),U124,TRUE,"No error")</f>
        <v>Enter the number of homes on the 1_SetUp sheet</v>
      </c>
      <c r="W124" s="114" t="str">
        <f t="shared" ca="1" si="5"/>
        <v xml:space="preserve">The Borrower has not addressed the following error messages for Home ID 120: </v>
      </c>
    </row>
    <row r="125" spans="1:23">
      <c r="A125" s="123">
        <v>121</v>
      </c>
      <c r="B125" s="104" t="str" cm="1">
        <f t="array" ref="B125">_xlfn.IFS(AND(A125&gt;NumberOfPlots,ISBLANK(INDEX(PlotData,MATCH($A125,PlotNumber,0),MATCH(B$3,PlotTitles,0)))),"",ISNUMBER(INDEX(PlotData,MATCH($A125,PlotNumber,0),MATCH(B$3,PlotTitles,0)))=FALSE, $AB$5,TRUE,"")</f>
        <v/>
      </c>
      <c r="C125" s="104" t="str" cm="1">
        <f t="array" ref="C125">_xlfn.IFS(AND(A125&gt;NumberOfPlots,ISBLANK(INDEX(PlotData,MATCH($A125,PlotNumber,0),MATCH(B$3,PlotTitles,0)))),"",ISBLANK(INDEX(PlotData,MATCH($A125,PlotNumber,0),MATCH(C$3,PlotTitles,0))),$AB$6,TRUE,"")</f>
        <v/>
      </c>
      <c r="D125" s="104" t="str" cm="1">
        <f t="array" ref="D125">_xlfn.IFS(AND(A125&gt;NumberOfPlots,ISBLANK(INDEX(PlotData,MATCH($A125,PlotNumber,0),MATCH(B$3,PlotTitles,0)))),"",ISBLANK(INDEX(PlotData,MATCH($A125,PlotNumber,0),MATCH(D$3,PlotTitles,0))),$AB$7,TRUE,"")</f>
        <v/>
      </c>
      <c r="E125" s="104" t="str" cm="1">
        <f t="array" ref="E125">_xlfn.IFS(AND(A125&gt;NumberOfPlots,ISBLANK(INDEX(PlotData,MATCH($A125,PlotNumber,0),MATCH(B$3,PlotTitles,0)))),"",ISBLANK(INDEX(PlotData,MATCH($A125,PlotNumber,0),MATCH(E$3,PlotTitles,0))),$AB$8,TRUE,"")</f>
        <v/>
      </c>
      <c r="F125" s="104" t="str" cm="1">
        <f t="array" ref="F125">_xlfn.IFS(AND(A125&gt;NumberOfPlots,ISBLANK(INDEX(PlotData,MATCH($A125,PlotNumber,0),MATCH(B$3,PlotTitles,0)))),"",ISBLANK(INDEX(PlotData,MATCH($A125,PlotNumber,0),MATCH(F$3,PlotTitles,0))),$AB$9,TRUE,"")</f>
        <v/>
      </c>
      <c r="G125" s="104" t="str" cm="1">
        <f t="array" ref="G125">_xlfn.IFS(AND(A125&gt;NumberOfPlots,ISBLANK(INDEX(PlotData,MATCH($A125,PlotNumber,0),MATCH(B$3,PlotTitles,0)))),"",ISBLANK(INDEX(PlotData,MATCH($A125,PlotNumber,0),MATCH(G$3,PlotTitles,0))),$AB$10,TRUE,"")</f>
        <v/>
      </c>
      <c r="H125" s="104" t="str" cm="1">
        <f t="array" ref="H125">_xlfn.IFS(AND(A125&gt;NumberOfPlots,ISBLANK(INDEX(PlotData,MATCH($A125,PlotNumber,0),MATCH(B$3,PlotTitles,0)))),"",AND(ISBLANK(INDEX(PlotData,MATCH($A125,PlotNumber,0),MATCH(H$3,PlotTitles,0)))=FALSE,INDEX(PlotData,MATCH($A125,PlotNumber,0),MATCH(H$3,PlotTitles,0))&lt;500), $AB$11,TRUE,"")</f>
        <v/>
      </c>
      <c r="I125" s="104" t="str" cm="1">
        <f t="array" ref="I125">_xlfn.IFS(AND(A125&gt;NumberOfPlots,ISBLANK(INDEX(PlotData,MATCH($A125,PlotNumber,0),MATCH(B$3,PlotTitles,0)))),"",ISBLANK(INDEX(PlotData,MATCH($A125,PlotNumber,0),MATCH(I$3,PlotTitles,0))),$AB$12,TRUE,"")</f>
        <v/>
      </c>
      <c r="J125" s="104" t="str" cm="1">
        <f t="array" ref="J125">_xlfn.IFS(AND(A125&gt;NumberOfPlots,ISBLANK(INDEX(PlotData,MATCH($A125,PlotNumber,0),MATCH(B$3,PlotTitles,0)))),"",ISBLANK(INDEX(PlotData,MATCH($A125,PlotNumber,0),MATCH(J$3,PlotTitles,0))),$AB$13,TRUE,"")</f>
        <v/>
      </c>
      <c r="K125" s="182" t="str">
        <f t="shared" ca="1" si="3"/>
        <v/>
      </c>
      <c r="L125" s="104" t="str" cm="1">
        <f t="array" ref="L125">_xlfn.IFS(OR(ISBLANK(StartDateMonth),ISBLANK(StartDateYear)),"",AND(A125&gt;NumberOfPlots,ISBLANK(INDEX(PlotData,MATCH($A125,PlotNumber,0),MATCH(B$3,PlotTitles,0)))),"",ISBLANK(INDEX(PlotData,MATCH($A125,PlotNumber,0),MATCH(I$3,PlotTitles,0))),"",(DATEVALUE(INDEX(PlotData,MATCH($A125,PlotNumber,0),MATCH(I$3,PlotTitles,0))&amp;INDEX(PlotData,MATCH($A125,PlotNumber,0),MATCH(J$3,PlotTitles,0))))&lt;DATEVALUE(StartDateMonth&amp;StartDateYear),$AB$15,TRUE,"")</f>
        <v/>
      </c>
      <c r="M125" s="104" t="str" cm="1">
        <f t="array" ref="M125">_xlfn.IFS(OR(ISBLANK(StartDateMonth),ISBLANK(StartDateYear)),"",AND(A125&gt;NumberOfPlots,ISBLANK(INDEX(PlotData,MATCH($A125,PlotNumber,0),MATCH(B$3,PlotTitles,0)))),"",ISBLANK(INDEX(PlotData,MATCH($A125,PlotNumber,0),MATCH(I$3,PlotTitles,0))),"",CompletionMonth="","",(DATEVALUE(INDEX(PlotData,MATCH($A125,PlotNumber,0),MATCH(I$3,PlotTitles,0))&amp;INDEX(PlotData,MATCH($A125,PlotNumber,0),MATCH(J$3,PlotTitles,0))))&gt;(DATEVALUE(CompletionMonth&amp;CompletionYear)),$AB$16,TRUE,"")</f>
        <v/>
      </c>
      <c r="N125" s="104" t="str" cm="1">
        <f t="array" ref="N125">_xlfn.IFS(AND(A125&gt;NumberOfPlots,ISBLANK(INDEX(PlotData,MATCH($A125,PlotNumber,0),MATCH(B$3,PlotTitles,0)))),"",ISBLANK(INDEX(PlotData,MATCH($A125,PlotNumber,0),MATCH(N$3,PlotTitles,0))),$AB$17,TRUE,"")</f>
        <v/>
      </c>
      <c r="O125" s="104" t="str" cm="1">
        <f t="array" ref="O125">_xlfn.IFS(AND(A125&gt;NumberOfPlots,ISBLANK(INDEX(PlotData,MATCH($A125,PlotNumber,0),MATCH(B$3,PlotTitles,0)))),"",ISBLANK(INDEX(PlotData,MATCH($A125,PlotNumber,0),MATCH(O$3,PlotTitles,0))),$AB$18,TRUE,"")</f>
        <v/>
      </c>
      <c r="P125" s="182" t="str">
        <f t="shared" ca="1" si="4"/>
        <v/>
      </c>
      <c r="Q125" s="104" t="str" cm="1">
        <f t="array" ref="Q125">_xlfn.IFS(AND(A125&gt;NumberOfPlots,ISBLANK(INDEX(PlotData,MATCH($A125,PlotNumber,0),MATCH(B$3,PlotTitles,0)))),"",ISBLANK(INDEX(PlotData,MATCH($A125,PlotNumber,0),MATCH(N$3,PlotTitles,0))),"",(DATEVALUE(INDEX(PlotData,MATCH($A125,PlotNumber,0),MATCH(N$3,PlotTitles,0))&amp;INDEX(PlotData,MATCH($A125,PlotNumber,0),MATCH(O$3,PlotTitles,0))))&lt;(DATEVALUE(INDEX(PlotData,MATCH($A125,PlotNumber,0),MATCH(I$3,PlotTitles,0))&amp;INDEX(PlotData,MATCH($A125,PlotNumber,0),MATCH(J$3,PlotTitles,0)))),$AB$20,TRUE,"")</f>
        <v/>
      </c>
      <c r="R125" s="104" t="str" cm="1">
        <f t="array" ref="R125">_xlfn.IFS(OR(ISBLANK(StartDateMonth),ISBLANK(StartDateYear)),"",AND(A125&gt;NumberOfPlots,ISBLANK(INDEX(PlotData,MATCH($A125,PlotNumber,0),MATCH(B$3,PlotTitles,0)))),"",ISBLANK(INDEX(PlotData,MATCH($A125,PlotNumber,0),MATCH(N$3,PlotTitles,0))),"",CompletionMonth="","",(DATEVALUE(INDEX(PlotData,MATCH($A125,PlotNumber,0),MATCH(N$3,PlotTitles,0))&amp;INDEX(PlotData,MATCH($A125,PlotNumber,0),MATCH(O$3,PlotTitles,0))))&gt;(DATEVALUE(CompletionMonth&amp;CompletionYear)),$AB$21,TRUE,"")</f>
        <v/>
      </c>
      <c r="S125" s="104" t="str" cm="1">
        <f t="array" ref="S125">_xlfn.IFS(AND(A125&gt;NumberOfPlots,ISBLANK(INDEX(PlotData,MATCH($A125,PlotNumber,0),MATCH(B$3,PlotTitles,0)))),"",OR(AND(INDEX(PlotData,MATCH($A125,PlotNumber,0),MATCH("Tenure",PlotTitles,0))="Open market housing",INDEX(PlotData,MATCH($A125,PlotNumber,0),MATCH("Tenure detail",PlotTitles,0))="Private rented sector"),INDEX(PlotData,MATCH($A125,PlotNumber,0),MATCH("Tenure",PlotTitles,0))="Affordable rent"),"",ISNUMBER(INDEX(PlotData,MATCH($A125,PlotNumber,0),MATCH(S$3,PlotTitles,0)))=FALSE, $AB$22,TRUE,"")</f>
        <v/>
      </c>
      <c r="T125" s="104" t="str" cm="1">
        <f t="array" ref="T125">_xlfn.IFS(AND(A125&gt;NumberOfPlots,ISBLANK(INDEX(PlotData,MATCH($A125,PlotNumber,0),MATCH(B$3,PlotTitles,0)))),"",OR(AND(INDEX(PlotData,MATCH($A125,PlotNumber,0),MATCH("Tenure",PlotTitles,0))="Open market housing",INDEX(PlotData,MATCH($A125,PlotNumber,0),MATCH("Tenure detail",PlotTitles,0))="Private rented sector"),INDEX(PlotData,MATCH($A125,PlotNumber,0),MATCH("Tenure",PlotTitles,0))="Affordable rent"),"",INDEX(PlotData,MATCH($A125,PlotNumber,0),MATCH(S$3,PlotTitles,0))&lt;10000, $AB$23,TRUE,"")</f>
        <v/>
      </c>
      <c r="U125" s="104" t="str" cm="1">
        <f t="array" ref="U125">_xlfn.IFS(AND(A125&gt;NumberOfPlots,ISBLANK(INDEX(PlotData,MATCH($A125,PlotNumber,0),MATCH(B$3,PlotTitles,0)))),"",NOT(OR(AND(INDEX(PlotData,MATCH($A125,PlotNumber,0),MATCH("Tenure",PlotTitles,0))="Open market housing",INDEX(PlotData,MATCH($A125,PlotNumber,0),MATCH("Tenure detail",PlotTitles,0))="Private rented sector"),INDEX(PlotData,MATCH($A125,PlotNumber,0),MATCH("Tenure",PlotTitles,0))="Affordable rent")),"",NOT(INDEX(PlotData,MATCH($A125,PlotNumber,0),MATCH(S$3,PlotTitles,0))=0), $AB$24,TRUE,"")</f>
        <v/>
      </c>
      <c r="V125" s="114" t="str" cm="1">
        <f t="array" aca="1" ref="V125" ca="1">_xlfn.IFS(ISBLANK(NumberOfPlots),"Enter the number of homes on the 1_SetUp sheet",AND(A125&gt;NumberOfPlots,ISBLANK(INDEX(PlotData,MATCH($A125,PlotNumber,0),MATCH(B$3,PlotTitles,0)))),"No error",NOT(B125=""),B125,NOT(C125=""),C125,NOT(D125=""),D125,NOT(E125=""),E125,NOT(F125=""),F125,NOT(G125=""),G125,NOT(H125=""),H125,NOT(I125=""),I125,NOT(J125=""),J125,NOT(K125=""),K125,NOT(L125=""),L125,NOT(M125=""),M125,NOT(N125=""),N125,NOT(O125=""),O125,NOT(P125=""),P125,NOT(Q125=""),Q125,NOT(R125=""),R125,NOT(S125=""),S125,NOT(T125=""),T125,NOT(U125=""),U125,TRUE,"No error")</f>
        <v>Enter the number of homes on the 1_SetUp sheet</v>
      </c>
      <c r="W125" s="114" t="str">
        <f t="shared" ca="1" si="5"/>
        <v xml:space="preserve">The Borrower has not addressed the following error messages for Home ID 121: </v>
      </c>
    </row>
    <row r="126" spans="1:23">
      <c r="A126" s="123">
        <v>122</v>
      </c>
      <c r="B126" s="104" t="str" cm="1">
        <f t="array" ref="B126">_xlfn.IFS(AND(A126&gt;NumberOfPlots,ISBLANK(INDEX(PlotData,MATCH($A126,PlotNumber,0),MATCH(B$3,PlotTitles,0)))),"",ISNUMBER(INDEX(PlotData,MATCH($A126,PlotNumber,0),MATCH(B$3,PlotTitles,0)))=FALSE, $AB$5,TRUE,"")</f>
        <v/>
      </c>
      <c r="C126" s="104" t="str" cm="1">
        <f t="array" ref="C126">_xlfn.IFS(AND(A126&gt;NumberOfPlots,ISBLANK(INDEX(PlotData,MATCH($A126,PlotNumber,0),MATCH(B$3,PlotTitles,0)))),"",ISBLANK(INDEX(PlotData,MATCH($A126,PlotNumber,0),MATCH(C$3,PlotTitles,0))),$AB$6,TRUE,"")</f>
        <v/>
      </c>
      <c r="D126" s="104" t="str" cm="1">
        <f t="array" ref="D126">_xlfn.IFS(AND(A126&gt;NumberOfPlots,ISBLANK(INDEX(PlotData,MATCH($A126,PlotNumber,0),MATCH(B$3,PlotTitles,0)))),"",ISBLANK(INDEX(PlotData,MATCH($A126,PlotNumber,0),MATCH(D$3,PlotTitles,0))),$AB$7,TRUE,"")</f>
        <v/>
      </c>
      <c r="E126" s="104" t="str" cm="1">
        <f t="array" ref="E126">_xlfn.IFS(AND(A126&gt;NumberOfPlots,ISBLANK(INDEX(PlotData,MATCH($A126,PlotNumber,0),MATCH(B$3,PlotTitles,0)))),"",ISBLANK(INDEX(PlotData,MATCH($A126,PlotNumber,0),MATCH(E$3,PlotTitles,0))),$AB$8,TRUE,"")</f>
        <v/>
      </c>
      <c r="F126" s="104" t="str" cm="1">
        <f t="array" ref="F126">_xlfn.IFS(AND(A126&gt;NumberOfPlots,ISBLANK(INDEX(PlotData,MATCH($A126,PlotNumber,0),MATCH(B$3,PlotTitles,0)))),"",ISBLANK(INDEX(PlotData,MATCH($A126,PlotNumber,0),MATCH(F$3,PlotTitles,0))),$AB$9,TRUE,"")</f>
        <v/>
      </c>
      <c r="G126" s="104" t="str" cm="1">
        <f t="array" ref="G126">_xlfn.IFS(AND(A126&gt;NumberOfPlots,ISBLANK(INDEX(PlotData,MATCH($A126,PlotNumber,0),MATCH(B$3,PlotTitles,0)))),"",ISBLANK(INDEX(PlotData,MATCH($A126,PlotNumber,0),MATCH(G$3,PlotTitles,0))),$AB$10,TRUE,"")</f>
        <v/>
      </c>
      <c r="H126" s="104" t="str" cm="1">
        <f t="array" ref="H126">_xlfn.IFS(AND(A126&gt;NumberOfPlots,ISBLANK(INDEX(PlotData,MATCH($A126,PlotNumber,0),MATCH(B$3,PlotTitles,0)))),"",AND(ISBLANK(INDEX(PlotData,MATCH($A126,PlotNumber,0),MATCH(H$3,PlotTitles,0)))=FALSE,INDEX(PlotData,MATCH($A126,PlotNumber,0),MATCH(H$3,PlotTitles,0))&lt;500), $AB$11,TRUE,"")</f>
        <v/>
      </c>
      <c r="I126" s="104" t="str" cm="1">
        <f t="array" ref="I126">_xlfn.IFS(AND(A126&gt;NumberOfPlots,ISBLANK(INDEX(PlotData,MATCH($A126,PlotNumber,0),MATCH(B$3,PlotTitles,0)))),"",ISBLANK(INDEX(PlotData,MATCH($A126,PlotNumber,0),MATCH(I$3,PlotTitles,0))),$AB$12,TRUE,"")</f>
        <v/>
      </c>
      <c r="J126" s="104" t="str" cm="1">
        <f t="array" ref="J126">_xlfn.IFS(AND(A126&gt;NumberOfPlots,ISBLANK(INDEX(PlotData,MATCH($A126,PlotNumber,0),MATCH(B$3,PlotTitles,0)))),"",ISBLANK(INDEX(PlotData,MATCH($A126,PlotNumber,0),MATCH(J$3,PlotTitles,0))),$AB$13,TRUE,"")</f>
        <v/>
      </c>
      <c r="K126" s="182" t="str">
        <f t="shared" ca="1" si="3"/>
        <v/>
      </c>
      <c r="L126" s="104" t="str" cm="1">
        <f t="array" ref="L126">_xlfn.IFS(OR(ISBLANK(StartDateMonth),ISBLANK(StartDateYear)),"",AND(A126&gt;NumberOfPlots,ISBLANK(INDEX(PlotData,MATCH($A126,PlotNumber,0),MATCH(B$3,PlotTitles,0)))),"",ISBLANK(INDEX(PlotData,MATCH($A126,PlotNumber,0),MATCH(I$3,PlotTitles,0))),"",(DATEVALUE(INDEX(PlotData,MATCH($A126,PlotNumber,0),MATCH(I$3,PlotTitles,0))&amp;INDEX(PlotData,MATCH($A126,PlotNumber,0),MATCH(J$3,PlotTitles,0))))&lt;DATEVALUE(StartDateMonth&amp;StartDateYear),$AB$15,TRUE,"")</f>
        <v/>
      </c>
      <c r="M126" s="104" t="str" cm="1">
        <f t="array" ref="M126">_xlfn.IFS(OR(ISBLANK(StartDateMonth),ISBLANK(StartDateYear)),"",AND(A126&gt;NumberOfPlots,ISBLANK(INDEX(PlotData,MATCH($A126,PlotNumber,0),MATCH(B$3,PlotTitles,0)))),"",ISBLANK(INDEX(PlotData,MATCH($A126,PlotNumber,0),MATCH(I$3,PlotTitles,0))),"",CompletionMonth="","",(DATEVALUE(INDEX(PlotData,MATCH($A126,PlotNumber,0),MATCH(I$3,PlotTitles,0))&amp;INDEX(PlotData,MATCH($A126,PlotNumber,0),MATCH(J$3,PlotTitles,0))))&gt;(DATEVALUE(CompletionMonth&amp;CompletionYear)),$AB$16,TRUE,"")</f>
        <v/>
      </c>
      <c r="N126" s="104" t="str" cm="1">
        <f t="array" ref="N126">_xlfn.IFS(AND(A126&gt;NumberOfPlots,ISBLANK(INDEX(PlotData,MATCH($A126,PlotNumber,0),MATCH(B$3,PlotTitles,0)))),"",ISBLANK(INDEX(PlotData,MATCH($A126,PlotNumber,0),MATCH(N$3,PlotTitles,0))),$AB$17,TRUE,"")</f>
        <v/>
      </c>
      <c r="O126" s="104" t="str" cm="1">
        <f t="array" ref="O126">_xlfn.IFS(AND(A126&gt;NumberOfPlots,ISBLANK(INDEX(PlotData,MATCH($A126,PlotNumber,0),MATCH(B$3,PlotTitles,0)))),"",ISBLANK(INDEX(PlotData,MATCH($A126,PlotNumber,0),MATCH(O$3,PlotTitles,0))),$AB$18,TRUE,"")</f>
        <v/>
      </c>
      <c r="P126" s="182" t="str">
        <f t="shared" ca="1" si="4"/>
        <v/>
      </c>
      <c r="Q126" s="104" t="str" cm="1">
        <f t="array" ref="Q126">_xlfn.IFS(AND(A126&gt;NumberOfPlots,ISBLANK(INDEX(PlotData,MATCH($A126,PlotNumber,0),MATCH(B$3,PlotTitles,0)))),"",ISBLANK(INDEX(PlotData,MATCH($A126,PlotNumber,0),MATCH(N$3,PlotTitles,0))),"",(DATEVALUE(INDEX(PlotData,MATCH($A126,PlotNumber,0),MATCH(N$3,PlotTitles,0))&amp;INDEX(PlotData,MATCH($A126,PlotNumber,0),MATCH(O$3,PlotTitles,0))))&lt;(DATEVALUE(INDEX(PlotData,MATCH($A126,PlotNumber,0),MATCH(I$3,PlotTitles,0))&amp;INDEX(PlotData,MATCH($A126,PlotNumber,0),MATCH(J$3,PlotTitles,0)))),$AB$20,TRUE,"")</f>
        <v/>
      </c>
      <c r="R126" s="104" t="str" cm="1">
        <f t="array" ref="R126">_xlfn.IFS(OR(ISBLANK(StartDateMonth),ISBLANK(StartDateYear)),"",AND(A126&gt;NumberOfPlots,ISBLANK(INDEX(PlotData,MATCH($A126,PlotNumber,0),MATCH(B$3,PlotTitles,0)))),"",ISBLANK(INDEX(PlotData,MATCH($A126,PlotNumber,0),MATCH(N$3,PlotTitles,0))),"",CompletionMonth="","",(DATEVALUE(INDEX(PlotData,MATCH($A126,PlotNumber,0),MATCH(N$3,PlotTitles,0))&amp;INDEX(PlotData,MATCH($A126,PlotNumber,0),MATCH(O$3,PlotTitles,0))))&gt;(DATEVALUE(CompletionMonth&amp;CompletionYear)),$AB$21,TRUE,"")</f>
        <v/>
      </c>
      <c r="S126" s="104" t="str" cm="1">
        <f t="array" ref="S126">_xlfn.IFS(AND(A126&gt;NumberOfPlots,ISBLANK(INDEX(PlotData,MATCH($A126,PlotNumber,0),MATCH(B$3,PlotTitles,0)))),"",OR(AND(INDEX(PlotData,MATCH($A126,PlotNumber,0),MATCH("Tenure",PlotTitles,0))="Open market housing",INDEX(PlotData,MATCH($A126,PlotNumber,0),MATCH("Tenure detail",PlotTitles,0))="Private rented sector"),INDEX(PlotData,MATCH($A126,PlotNumber,0),MATCH("Tenure",PlotTitles,0))="Affordable rent"),"",ISNUMBER(INDEX(PlotData,MATCH($A126,PlotNumber,0),MATCH(S$3,PlotTitles,0)))=FALSE, $AB$22,TRUE,"")</f>
        <v/>
      </c>
      <c r="T126" s="104" t="str" cm="1">
        <f t="array" ref="T126">_xlfn.IFS(AND(A126&gt;NumberOfPlots,ISBLANK(INDEX(PlotData,MATCH($A126,PlotNumber,0),MATCH(B$3,PlotTitles,0)))),"",OR(AND(INDEX(PlotData,MATCH($A126,PlotNumber,0),MATCH("Tenure",PlotTitles,0))="Open market housing",INDEX(PlotData,MATCH($A126,PlotNumber,0),MATCH("Tenure detail",PlotTitles,0))="Private rented sector"),INDEX(PlotData,MATCH($A126,PlotNumber,0),MATCH("Tenure",PlotTitles,0))="Affordable rent"),"",INDEX(PlotData,MATCH($A126,PlotNumber,0),MATCH(S$3,PlotTitles,0))&lt;10000, $AB$23,TRUE,"")</f>
        <v/>
      </c>
      <c r="U126" s="104" t="str" cm="1">
        <f t="array" ref="U126">_xlfn.IFS(AND(A126&gt;NumberOfPlots,ISBLANK(INDEX(PlotData,MATCH($A126,PlotNumber,0),MATCH(B$3,PlotTitles,0)))),"",NOT(OR(AND(INDEX(PlotData,MATCH($A126,PlotNumber,0),MATCH("Tenure",PlotTitles,0))="Open market housing",INDEX(PlotData,MATCH($A126,PlotNumber,0),MATCH("Tenure detail",PlotTitles,0))="Private rented sector"),INDEX(PlotData,MATCH($A126,PlotNumber,0),MATCH("Tenure",PlotTitles,0))="Affordable rent")),"",NOT(INDEX(PlotData,MATCH($A126,PlotNumber,0),MATCH(S$3,PlotTitles,0))=0), $AB$24,TRUE,"")</f>
        <v/>
      </c>
      <c r="V126" s="114" t="str" cm="1">
        <f t="array" aca="1" ref="V126" ca="1">_xlfn.IFS(ISBLANK(NumberOfPlots),"Enter the number of homes on the 1_SetUp sheet",AND(A126&gt;NumberOfPlots,ISBLANK(INDEX(PlotData,MATCH($A126,PlotNumber,0),MATCH(B$3,PlotTitles,0)))),"No error",NOT(B126=""),B126,NOT(C126=""),C126,NOT(D126=""),D126,NOT(E126=""),E126,NOT(F126=""),F126,NOT(G126=""),G126,NOT(H126=""),H126,NOT(I126=""),I126,NOT(J126=""),J126,NOT(K126=""),K126,NOT(L126=""),L126,NOT(M126=""),M126,NOT(N126=""),N126,NOT(O126=""),O126,NOT(P126=""),P126,NOT(Q126=""),Q126,NOT(R126=""),R126,NOT(S126=""),S126,NOT(T126=""),T126,NOT(U126=""),U126,TRUE,"No error")</f>
        <v>Enter the number of homes on the 1_SetUp sheet</v>
      </c>
      <c r="W126" s="114" t="str">
        <f t="shared" ca="1" si="5"/>
        <v xml:space="preserve">The Borrower has not addressed the following error messages for Home ID 122: </v>
      </c>
    </row>
    <row r="127" spans="1:23">
      <c r="A127" s="123">
        <v>123</v>
      </c>
      <c r="B127" s="104" t="str" cm="1">
        <f t="array" ref="B127">_xlfn.IFS(AND(A127&gt;NumberOfPlots,ISBLANK(INDEX(PlotData,MATCH($A127,PlotNumber,0),MATCH(B$3,PlotTitles,0)))),"",ISNUMBER(INDEX(PlotData,MATCH($A127,PlotNumber,0),MATCH(B$3,PlotTitles,0)))=FALSE, $AB$5,TRUE,"")</f>
        <v/>
      </c>
      <c r="C127" s="104" t="str" cm="1">
        <f t="array" ref="C127">_xlfn.IFS(AND(A127&gt;NumberOfPlots,ISBLANK(INDEX(PlotData,MATCH($A127,PlotNumber,0),MATCH(B$3,PlotTitles,0)))),"",ISBLANK(INDEX(PlotData,MATCH($A127,PlotNumber,0),MATCH(C$3,PlotTitles,0))),$AB$6,TRUE,"")</f>
        <v/>
      </c>
      <c r="D127" s="104" t="str" cm="1">
        <f t="array" ref="D127">_xlfn.IFS(AND(A127&gt;NumberOfPlots,ISBLANK(INDEX(PlotData,MATCH($A127,PlotNumber,0),MATCH(B$3,PlotTitles,0)))),"",ISBLANK(INDEX(PlotData,MATCH($A127,PlotNumber,0),MATCH(D$3,PlotTitles,0))),$AB$7,TRUE,"")</f>
        <v/>
      </c>
      <c r="E127" s="104" t="str" cm="1">
        <f t="array" ref="E127">_xlfn.IFS(AND(A127&gt;NumberOfPlots,ISBLANK(INDEX(PlotData,MATCH($A127,PlotNumber,0),MATCH(B$3,PlotTitles,0)))),"",ISBLANK(INDEX(PlotData,MATCH($A127,PlotNumber,0),MATCH(E$3,PlotTitles,0))),$AB$8,TRUE,"")</f>
        <v/>
      </c>
      <c r="F127" s="104" t="str" cm="1">
        <f t="array" ref="F127">_xlfn.IFS(AND(A127&gt;NumberOfPlots,ISBLANK(INDEX(PlotData,MATCH($A127,PlotNumber,0),MATCH(B$3,PlotTitles,0)))),"",ISBLANK(INDEX(PlotData,MATCH($A127,PlotNumber,0),MATCH(F$3,PlotTitles,0))),$AB$9,TRUE,"")</f>
        <v/>
      </c>
      <c r="G127" s="104" t="str" cm="1">
        <f t="array" ref="G127">_xlfn.IFS(AND(A127&gt;NumberOfPlots,ISBLANK(INDEX(PlotData,MATCH($A127,PlotNumber,0),MATCH(B$3,PlotTitles,0)))),"",ISBLANK(INDEX(PlotData,MATCH($A127,PlotNumber,0),MATCH(G$3,PlotTitles,0))),$AB$10,TRUE,"")</f>
        <v/>
      </c>
      <c r="H127" s="104" t="str" cm="1">
        <f t="array" ref="H127">_xlfn.IFS(AND(A127&gt;NumberOfPlots,ISBLANK(INDEX(PlotData,MATCH($A127,PlotNumber,0),MATCH(B$3,PlotTitles,0)))),"",AND(ISBLANK(INDEX(PlotData,MATCH($A127,PlotNumber,0),MATCH(H$3,PlotTitles,0)))=FALSE,INDEX(PlotData,MATCH($A127,PlotNumber,0),MATCH(H$3,PlotTitles,0))&lt;500), $AB$11,TRUE,"")</f>
        <v/>
      </c>
      <c r="I127" s="104" t="str" cm="1">
        <f t="array" ref="I127">_xlfn.IFS(AND(A127&gt;NumberOfPlots,ISBLANK(INDEX(PlotData,MATCH($A127,PlotNumber,0),MATCH(B$3,PlotTitles,0)))),"",ISBLANK(INDEX(PlotData,MATCH($A127,PlotNumber,0),MATCH(I$3,PlotTitles,0))),$AB$12,TRUE,"")</f>
        <v/>
      </c>
      <c r="J127" s="104" t="str" cm="1">
        <f t="array" ref="J127">_xlfn.IFS(AND(A127&gt;NumberOfPlots,ISBLANK(INDEX(PlotData,MATCH($A127,PlotNumber,0),MATCH(B$3,PlotTitles,0)))),"",ISBLANK(INDEX(PlotData,MATCH($A127,PlotNumber,0),MATCH(J$3,PlotTitles,0))),$AB$13,TRUE,"")</f>
        <v/>
      </c>
      <c r="K127" s="182" t="str">
        <f t="shared" ca="1" si="3"/>
        <v/>
      </c>
      <c r="L127" s="104" t="str" cm="1">
        <f t="array" ref="L127">_xlfn.IFS(OR(ISBLANK(StartDateMonth),ISBLANK(StartDateYear)),"",AND(A127&gt;NumberOfPlots,ISBLANK(INDEX(PlotData,MATCH($A127,PlotNumber,0),MATCH(B$3,PlotTitles,0)))),"",ISBLANK(INDEX(PlotData,MATCH($A127,PlotNumber,0),MATCH(I$3,PlotTitles,0))),"",(DATEVALUE(INDEX(PlotData,MATCH($A127,PlotNumber,0),MATCH(I$3,PlotTitles,0))&amp;INDEX(PlotData,MATCH($A127,PlotNumber,0),MATCH(J$3,PlotTitles,0))))&lt;DATEVALUE(StartDateMonth&amp;StartDateYear),$AB$15,TRUE,"")</f>
        <v/>
      </c>
      <c r="M127" s="104" t="str" cm="1">
        <f t="array" ref="M127">_xlfn.IFS(OR(ISBLANK(StartDateMonth),ISBLANK(StartDateYear)),"",AND(A127&gt;NumberOfPlots,ISBLANK(INDEX(PlotData,MATCH($A127,PlotNumber,0),MATCH(B$3,PlotTitles,0)))),"",ISBLANK(INDEX(PlotData,MATCH($A127,PlotNumber,0),MATCH(I$3,PlotTitles,0))),"",CompletionMonth="","",(DATEVALUE(INDEX(PlotData,MATCH($A127,PlotNumber,0),MATCH(I$3,PlotTitles,0))&amp;INDEX(PlotData,MATCH($A127,PlotNumber,0),MATCH(J$3,PlotTitles,0))))&gt;(DATEVALUE(CompletionMonth&amp;CompletionYear)),$AB$16,TRUE,"")</f>
        <v/>
      </c>
      <c r="N127" s="104" t="str" cm="1">
        <f t="array" ref="N127">_xlfn.IFS(AND(A127&gt;NumberOfPlots,ISBLANK(INDEX(PlotData,MATCH($A127,PlotNumber,0),MATCH(B$3,PlotTitles,0)))),"",ISBLANK(INDEX(PlotData,MATCH($A127,PlotNumber,0),MATCH(N$3,PlotTitles,0))),$AB$17,TRUE,"")</f>
        <v/>
      </c>
      <c r="O127" s="104" t="str" cm="1">
        <f t="array" ref="O127">_xlfn.IFS(AND(A127&gt;NumberOfPlots,ISBLANK(INDEX(PlotData,MATCH($A127,PlotNumber,0),MATCH(B$3,PlotTitles,0)))),"",ISBLANK(INDEX(PlotData,MATCH($A127,PlotNumber,0),MATCH(O$3,PlotTitles,0))),$AB$18,TRUE,"")</f>
        <v/>
      </c>
      <c r="P127" s="182" t="str">
        <f t="shared" ca="1" si="4"/>
        <v/>
      </c>
      <c r="Q127" s="104" t="str" cm="1">
        <f t="array" ref="Q127">_xlfn.IFS(AND(A127&gt;NumberOfPlots,ISBLANK(INDEX(PlotData,MATCH($A127,PlotNumber,0),MATCH(B$3,PlotTitles,0)))),"",ISBLANK(INDEX(PlotData,MATCH($A127,PlotNumber,0),MATCH(N$3,PlotTitles,0))),"",(DATEVALUE(INDEX(PlotData,MATCH($A127,PlotNumber,0),MATCH(N$3,PlotTitles,0))&amp;INDEX(PlotData,MATCH($A127,PlotNumber,0),MATCH(O$3,PlotTitles,0))))&lt;(DATEVALUE(INDEX(PlotData,MATCH($A127,PlotNumber,0),MATCH(I$3,PlotTitles,0))&amp;INDEX(PlotData,MATCH($A127,PlotNumber,0),MATCH(J$3,PlotTitles,0)))),$AB$20,TRUE,"")</f>
        <v/>
      </c>
      <c r="R127" s="104" t="str" cm="1">
        <f t="array" ref="R127">_xlfn.IFS(OR(ISBLANK(StartDateMonth),ISBLANK(StartDateYear)),"",AND(A127&gt;NumberOfPlots,ISBLANK(INDEX(PlotData,MATCH($A127,PlotNumber,0),MATCH(B$3,PlotTitles,0)))),"",ISBLANK(INDEX(PlotData,MATCH($A127,PlotNumber,0),MATCH(N$3,PlotTitles,0))),"",CompletionMonth="","",(DATEVALUE(INDEX(PlotData,MATCH($A127,PlotNumber,0),MATCH(N$3,PlotTitles,0))&amp;INDEX(PlotData,MATCH($A127,PlotNumber,0),MATCH(O$3,PlotTitles,0))))&gt;(DATEVALUE(CompletionMonth&amp;CompletionYear)),$AB$21,TRUE,"")</f>
        <v/>
      </c>
      <c r="S127" s="104" t="str" cm="1">
        <f t="array" ref="S127">_xlfn.IFS(AND(A127&gt;NumberOfPlots,ISBLANK(INDEX(PlotData,MATCH($A127,PlotNumber,0),MATCH(B$3,PlotTitles,0)))),"",OR(AND(INDEX(PlotData,MATCH($A127,PlotNumber,0),MATCH("Tenure",PlotTitles,0))="Open market housing",INDEX(PlotData,MATCH($A127,PlotNumber,0),MATCH("Tenure detail",PlotTitles,0))="Private rented sector"),INDEX(PlotData,MATCH($A127,PlotNumber,0),MATCH("Tenure",PlotTitles,0))="Affordable rent"),"",ISNUMBER(INDEX(PlotData,MATCH($A127,PlotNumber,0),MATCH(S$3,PlotTitles,0)))=FALSE, $AB$22,TRUE,"")</f>
        <v/>
      </c>
      <c r="T127" s="104" t="str" cm="1">
        <f t="array" ref="T127">_xlfn.IFS(AND(A127&gt;NumberOfPlots,ISBLANK(INDEX(PlotData,MATCH($A127,PlotNumber,0),MATCH(B$3,PlotTitles,0)))),"",OR(AND(INDEX(PlotData,MATCH($A127,PlotNumber,0),MATCH("Tenure",PlotTitles,0))="Open market housing",INDEX(PlotData,MATCH($A127,PlotNumber,0),MATCH("Tenure detail",PlotTitles,0))="Private rented sector"),INDEX(PlotData,MATCH($A127,PlotNumber,0),MATCH("Tenure",PlotTitles,0))="Affordable rent"),"",INDEX(PlotData,MATCH($A127,PlotNumber,0),MATCH(S$3,PlotTitles,0))&lt;10000, $AB$23,TRUE,"")</f>
        <v/>
      </c>
      <c r="U127" s="104" t="str" cm="1">
        <f t="array" ref="U127">_xlfn.IFS(AND(A127&gt;NumberOfPlots,ISBLANK(INDEX(PlotData,MATCH($A127,PlotNumber,0),MATCH(B$3,PlotTitles,0)))),"",NOT(OR(AND(INDEX(PlotData,MATCH($A127,PlotNumber,0),MATCH("Tenure",PlotTitles,0))="Open market housing",INDEX(PlotData,MATCH($A127,PlotNumber,0),MATCH("Tenure detail",PlotTitles,0))="Private rented sector"),INDEX(PlotData,MATCH($A127,PlotNumber,0),MATCH("Tenure",PlotTitles,0))="Affordable rent")),"",NOT(INDEX(PlotData,MATCH($A127,PlotNumber,0),MATCH(S$3,PlotTitles,0))=0), $AB$24,TRUE,"")</f>
        <v/>
      </c>
      <c r="V127" s="114" t="str" cm="1">
        <f t="array" aca="1" ref="V127" ca="1">_xlfn.IFS(ISBLANK(NumberOfPlots),"Enter the number of homes on the 1_SetUp sheet",AND(A127&gt;NumberOfPlots,ISBLANK(INDEX(PlotData,MATCH($A127,PlotNumber,0),MATCH(B$3,PlotTitles,0)))),"No error",NOT(B127=""),B127,NOT(C127=""),C127,NOT(D127=""),D127,NOT(E127=""),E127,NOT(F127=""),F127,NOT(G127=""),G127,NOT(H127=""),H127,NOT(I127=""),I127,NOT(J127=""),J127,NOT(K127=""),K127,NOT(L127=""),L127,NOT(M127=""),M127,NOT(N127=""),N127,NOT(O127=""),O127,NOT(P127=""),P127,NOT(Q127=""),Q127,NOT(R127=""),R127,NOT(S127=""),S127,NOT(T127=""),T127,NOT(U127=""),U127,TRUE,"No error")</f>
        <v>Enter the number of homes on the 1_SetUp sheet</v>
      </c>
      <c r="W127" s="114" t="str">
        <f t="shared" ca="1" si="5"/>
        <v xml:space="preserve">The Borrower has not addressed the following error messages for Home ID 123: </v>
      </c>
    </row>
    <row r="128" spans="1:23">
      <c r="A128" s="123">
        <v>124</v>
      </c>
      <c r="B128" s="104" t="str" cm="1">
        <f t="array" ref="B128">_xlfn.IFS(AND(A128&gt;NumberOfPlots,ISBLANK(INDEX(PlotData,MATCH($A128,PlotNumber,0),MATCH(B$3,PlotTitles,0)))),"",ISNUMBER(INDEX(PlotData,MATCH($A128,PlotNumber,0),MATCH(B$3,PlotTitles,0)))=FALSE, $AB$5,TRUE,"")</f>
        <v/>
      </c>
      <c r="C128" s="104" t="str" cm="1">
        <f t="array" ref="C128">_xlfn.IFS(AND(A128&gt;NumberOfPlots,ISBLANK(INDEX(PlotData,MATCH($A128,PlotNumber,0),MATCH(B$3,PlotTitles,0)))),"",ISBLANK(INDEX(PlotData,MATCH($A128,PlotNumber,0),MATCH(C$3,PlotTitles,0))),$AB$6,TRUE,"")</f>
        <v/>
      </c>
      <c r="D128" s="104" t="str" cm="1">
        <f t="array" ref="D128">_xlfn.IFS(AND(A128&gt;NumberOfPlots,ISBLANK(INDEX(PlotData,MATCH($A128,PlotNumber,0),MATCH(B$3,PlotTitles,0)))),"",ISBLANK(INDEX(PlotData,MATCH($A128,PlotNumber,0),MATCH(D$3,PlotTitles,0))),$AB$7,TRUE,"")</f>
        <v/>
      </c>
      <c r="E128" s="104" t="str" cm="1">
        <f t="array" ref="E128">_xlfn.IFS(AND(A128&gt;NumberOfPlots,ISBLANK(INDEX(PlotData,MATCH($A128,PlotNumber,0),MATCH(B$3,PlotTitles,0)))),"",ISBLANK(INDEX(PlotData,MATCH($A128,PlotNumber,0),MATCH(E$3,PlotTitles,0))),$AB$8,TRUE,"")</f>
        <v/>
      </c>
      <c r="F128" s="104" t="str" cm="1">
        <f t="array" ref="F128">_xlfn.IFS(AND(A128&gt;NumberOfPlots,ISBLANK(INDEX(PlotData,MATCH($A128,PlotNumber,0),MATCH(B$3,PlotTitles,0)))),"",ISBLANK(INDEX(PlotData,MATCH($A128,PlotNumber,0),MATCH(F$3,PlotTitles,0))),$AB$9,TRUE,"")</f>
        <v/>
      </c>
      <c r="G128" s="104" t="str" cm="1">
        <f t="array" ref="G128">_xlfn.IFS(AND(A128&gt;NumberOfPlots,ISBLANK(INDEX(PlotData,MATCH($A128,PlotNumber,0),MATCH(B$3,PlotTitles,0)))),"",ISBLANK(INDEX(PlotData,MATCH($A128,PlotNumber,0),MATCH(G$3,PlotTitles,0))),$AB$10,TRUE,"")</f>
        <v/>
      </c>
      <c r="H128" s="104" t="str" cm="1">
        <f t="array" ref="H128">_xlfn.IFS(AND(A128&gt;NumberOfPlots,ISBLANK(INDEX(PlotData,MATCH($A128,PlotNumber,0),MATCH(B$3,PlotTitles,0)))),"",AND(ISBLANK(INDEX(PlotData,MATCH($A128,PlotNumber,0),MATCH(H$3,PlotTitles,0)))=FALSE,INDEX(PlotData,MATCH($A128,PlotNumber,0),MATCH(H$3,PlotTitles,0))&lt;500), $AB$11,TRUE,"")</f>
        <v/>
      </c>
      <c r="I128" s="104" t="str" cm="1">
        <f t="array" ref="I128">_xlfn.IFS(AND(A128&gt;NumberOfPlots,ISBLANK(INDEX(PlotData,MATCH($A128,PlotNumber,0),MATCH(B$3,PlotTitles,0)))),"",ISBLANK(INDEX(PlotData,MATCH($A128,PlotNumber,0),MATCH(I$3,PlotTitles,0))),$AB$12,TRUE,"")</f>
        <v/>
      </c>
      <c r="J128" s="104" t="str" cm="1">
        <f t="array" ref="J128">_xlfn.IFS(AND(A128&gt;NumberOfPlots,ISBLANK(INDEX(PlotData,MATCH($A128,PlotNumber,0),MATCH(B$3,PlotTitles,0)))),"",ISBLANK(INDEX(PlotData,MATCH($A128,PlotNumber,0),MATCH(J$3,PlotTitles,0))),$AB$13,TRUE,"")</f>
        <v/>
      </c>
      <c r="K128" s="182" t="str">
        <f t="shared" ca="1" si="3"/>
        <v/>
      </c>
      <c r="L128" s="104" t="str" cm="1">
        <f t="array" ref="L128">_xlfn.IFS(OR(ISBLANK(StartDateMonth),ISBLANK(StartDateYear)),"",AND(A128&gt;NumberOfPlots,ISBLANK(INDEX(PlotData,MATCH($A128,PlotNumber,0),MATCH(B$3,PlotTitles,0)))),"",ISBLANK(INDEX(PlotData,MATCH($A128,PlotNumber,0),MATCH(I$3,PlotTitles,0))),"",(DATEVALUE(INDEX(PlotData,MATCH($A128,PlotNumber,0),MATCH(I$3,PlotTitles,0))&amp;INDEX(PlotData,MATCH($A128,PlotNumber,0),MATCH(J$3,PlotTitles,0))))&lt;DATEVALUE(StartDateMonth&amp;StartDateYear),$AB$15,TRUE,"")</f>
        <v/>
      </c>
      <c r="M128" s="104" t="str" cm="1">
        <f t="array" ref="M128">_xlfn.IFS(OR(ISBLANK(StartDateMonth),ISBLANK(StartDateYear)),"",AND(A128&gt;NumberOfPlots,ISBLANK(INDEX(PlotData,MATCH($A128,PlotNumber,0),MATCH(B$3,PlotTitles,0)))),"",ISBLANK(INDEX(PlotData,MATCH($A128,PlotNumber,0),MATCH(I$3,PlotTitles,0))),"",CompletionMonth="","",(DATEVALUE(INDEX(PlotData,MATCH($A128,PlotNumber,0),MATCH(I$3,PlotTitles,0))&amp;INDEX(PlotData,MATCH($A128,PlotNumber,0),MATCH(J$3,PlotTitles,0))))&gt;(DATEVALUE(CompletionMonth&amp;CompletionYear)),$AB$16,TRUE,"")</f>
        <v/>
      </c>
      <c r="N128" s="104" t="str" cm="1">
        <f t="array" ref="N128">_xlfn.IFS(AND(A128&gt;NumberOfPlots,ISBLANK(INDEX(PlotData,MATCH($A128,PlotNumber,0),MATCH(B$3,PlotTitles,0)))),"",ISBLANK(INDEX(PlotData,MATCH($A128,PlotNumber,0),MATCH(N$3,PlotTitles,0))),$AB$17,TRUE,"")</f>
        <v/>
      </c>
      <c r="O128" s="104" t="str" cm="1">
        <f t="array" ref="O128">_xlfn.IFS(AND(A128&gt;NumberOfPlots,ISBLANK(INDEX(PlotData,MATCH($A128,PlotNumber,0),MATCH(B$3,PlotTitles,0)))),"",ISBLANK(INDEX(PlotData,MATCH($A128,PlotNumber,0),MATCH(O$3,PlotTitles,0))),$AB$18,TRUE,"")</f>
        <v/>
      </c>
      <c r="P128" s="182" t="str">
        <f t="shared" ca="1" si="4"/>
        <v/>
      </c>
      <c r="Q128" s="104" t="str" cm="1">
        <f t="array" ref="Q128">_xlfn.IFS(AND(A128&gt;NumberOfPlots,ISBLANK(INDEX(PlotData,MATCH($A128,PlotNumber,0),MATCH(B$3,PlotTitles,0)))),"",ISBLANK(INDEX(PlotData,MATCH($A128,PlotNumber,0),MATCH(N$3,PlotTitles,0))),"",(DATEVALUE(INDEX(PlotData,MATCH($A128,PlotNumber,0),MATCH(N$3,PlotTitles,0))&amp;INDEX(PlotData,MATCH($A128,PlotNumber,0),MATCH(O$3,PlotTitles,0))))&lt;(DATEVALUE(INDEX(PlotData,MATCH($A128,PlotNumber,0),MATCH(I$3,PlotTitles,0))&amp;INDEX(PlotData,MATCH($A128,PlotNumber,0),MATCH(J$3,PlotTitles,0)))),$AB$20,TRUE,"")</f>
        <v/>
      </c>
      <c r="R128" s="104" t="str" cm="1">
        <f t="array" ref="R128">_xlfn.IFS(OR(ISBLANK(StartDateMonth),ISBLANK(StartDateYear)),"",AND(A128&gt;NumberOfPlots,ISBLANK(INDEX(PlotData,MATCH($A128,PlotNumber,0),MATCH(B$3,PlotTitles,0)))),"",ISBLANK(INDEX(PlotData,MATCH($A128,PlotNumber,0),MATCH(N$3,PlotTitles,0))),"",CompletionMonth="","",(DATEVALUE(INDEX(PlotData,MATCH($A128,PlotNumber,0),MATCH(N$3,PlotTitles,0))&amp;INDEX(PlotData,MATCH($A128,PlotNumber,0),MATCH(O$3,PlotTitles,0))))&gt;(DATEVALUE(CompletionMonth&amp;CompletionYear)),$AB$21,TRUE,"")</f>
        <v/>
      </c>
      <c r="S128" s="104" t="str" cm="1">
        <f t="array" ref="S128">_xlfn.IFS(AND(A128&gt;NumberOfPlots,ISBLANK(INDEX(PlotData,MATCH($A128,PlotNumber,0),MATCH(B$3,PlotTitles,0)))),"",OR(AND(INDEX(PlotData,MATCH($A128,PlotNumber,0),MATCH("Tenure",PlotTitles,0))="Open market housing",INDEX(PlotData,MATCH($A128,PlotNumber,0),MATCH("Tenure detail",PlotTitles,0))="Private rented sector"),INDEX(PlotData,MATCH($A128,PlotNumber,0),MATCH("Tenure",PlotTitles,0))="Affordable rent"),"",ISNUMBER(INDEX(PlotData,MATCH($A128,PlotNumber,0),MATCH(S$3,PlotTitles,0)))=FALSE, $AB$22,TRUE,"")</f>
        <v/>
      </c>
      <c r="T128" s="104" t="str" cm="1">
        <f t="array" ref="T128">_xlfn.IFS(AND(A128&gt;NumberOfPlots,ISBLANK(INDEX(PlotData,MATCH($A128,PlotNumber,0),MATCH(B$3,PlotTitles,0)))),"",OR(AND(INDEX(PlotData,MATCH($A128,PlotNumber,0),MATCH("Tenure",PlotTitles,0))="Open market housing",INDEX(PlotData,MATCH($A128,PlotNumber,0),MATCH("Tenure detail",PlotTitles,0))="Private rented sector"),INDEX(PlotData,MATCH($A128,PlotNumber,0),MATCH("Tenure",PlotTitles,0))="Affordable rent"),"",INDEX(PlotData,MATCH($A128,PlotNumber,0),MATCH(S$3,PlotTitles,0))&lt;10000, $AB$23,TRUE,"")</f>
        <v/>
      </c>
      <c r="U128" s="104" t="str" cm="1">
        <f t="array" ref="U128">_xlfn.IFS(AND(A128&gt;NumberOfPlots,ISBLANK(INDEX(PlotData,MATCH($A128,PlotNumber,0),MATCH(B$3,PlotTitles,0)))),"",NOT(OR(AND(INDEX(PlotData,MATCH($A128,PlotNumber,0),MATCH("Tenure",PlotTitles,0))="Open market housing",INDEX(PlotData,MATCH($A128,PlotNumber,0),MATCH("Tenure detail",PlotTitles,0))="Private rented sector"),INDEX(PlotData,MATCH($A128,PlotNumber,0),MATCH("Tenure",PlotTitles,0))="Affordable rent")),"",NOT(INDEX(PlotData,MATCH($A128,PlotNumber,0),MATCH(S$3,PlotTitles,0))=0), $AB$24,TRUE,"")</f>
        <v/>
      </c>
      <c r="V128" s="114" t="str" cm="1">
        <f t="array" aca="1" ref="V128" ca="1">_xlfn.IFS(ISBLANK(NumberOfPlots),"Enter the number of homes on the 1_SetUp sheet",AND(A128&gt;NumberOfPlots,ISBLANK(INDEX(PlotData,MATCH($A128,PlotNumber,0),MATCH(B$3,PlotTitles,0)))),"No error",NOT(B128=""),B128,NOT(C128=""),C128,NOT(D128=""),D128,NOT(E128=""),E128,NOT(F128=""),F128,NOT(G128=""),G128,NOT(H128=""),H128,NOT(I128=""),I128,NOT(J128=""),J128,NOT(K128=""),K128,NOT(L128=""),L128,NOT(M128=""),M128,NOT(N128=""),N128,NOT(O128=""),O128,NOT(P128=""),P128,NOT(Q128=""),Q128,NOT(R128=""),R128,NOT(S128=""),S128,NOT(T128=""),T128,NOT(U128=""),U128,TRUE,"No error")</f>
        <v>Enter the number of homes on the 1_SetUp sheet</v>
      </c>
      <c r="W128" s="114" t="str">
        <f t="shared" ca="1" si="5"/>
        <v xml:space="preserve">The Borrower has not addressed the following error messages for Home ID 124: </v>
      </c>
    </row>
    <row r="129" spans="1:23">
      <c r="A129" s="123">
        <v>125</v>
      </c>
      <c r="B129" s="104" t="str" cm="1">
        <f t="array" ref="B129">_xlfn.IFS(AND(A129&gt;NumberOfPlots,ISBLANK(INDEX(PlotData,MATCH($A129,PlotNumber,0),MATCH(B$3,PlotTitles,0)))),"",ISNUMBER(INDEX(PlotData,MATCH($A129,PlotNumber,0),MATCH(B$3,PlotTitles,0)))=FALSE, $AB$5,TRUE,"")</f>
        <v/>
      </c>
      <c r="C129" s="104" t="str" cm="1">
        <f t="array" ref="C129">_xlfn.IFS(AND(A129&gt;NumberOfPlots,ISBLANK(INDEX(PlotData,MATCH($A129,PlotNumber,0),MATCH(B$3,PlotTitles,0)))),"",ISBLANK(INDEX(PlotData,MATCH($A129,PlotNumber,0),MATCH(C$3,PlotTitles,0))),$AB$6,TRUE,"")</f>
        <v/>
      </c>
      <c r="D129" s="104" t="str" cm="1">
        <f t="array" ref="D129">_xlfn.IFS(AND(A129&gt;NumberOfPlots,ISBLANK(INDEX(PlotData,MATCH($A129,PlotNumber,0),MATCH(B$3,PlotTitles,0)))),"",ISBLANK(INDEX(PlotData,MATCH($A129,PlotNumber,0),MATCH(D$3,PlotTitles,0))),$AB$7,TRUE,"")</f>
        <v/>
      </c>
      <c r="E129" s="104" t="str" cm="1">
        <f t="array" ref="E129">_xlfn.IFS(AND(A129&gt;NumberOfPlots,ISBLANK(INDEX(PlotData,MATCH($A129,PlotNumber,0),MATCH(B$3,PlotTitles,0)))),"",ISBLANK(INDEX(PlotData,MATCH($A129,PlotNumber,0),MATCH(E$3,PlotTitles,0))),$AB$8,TRUE,"")</f>
        <v/>
      </c>
      <c r="F129" s="104" t="str" cm="1">
        <f t="array" ref="F129">_xlfn.IFS(AND(A129&gt;NumberOfPlots,ISBLANK(INDEX(PlotData,MATCH($A129,PlotNumber,0),MATCH(B$3,PlotTitles,0)))),"",ISBLANK(INDEX(PlotData,MATCH($A129,PlotNumber,0),MATCH(F$3,PlotTitles,0))),$AB$9,TRUE,"")</f>
        <v/>
      </c>
      <c r="G129" s="104" t="str" cm="1">
        <f t="array" ref="G129">_xlfn.IFS(AND(A129&gt;NumberOfPlots,ISBLANK(INDEX(PlotData,MATCH($A129,PlotNumber,0),MATCH(B$3,PlotTitles,0)))),"",ISBLANK(INDEX(PlotData,MATCH($A129,PlotNumber,0),MATCH(G$3,PlotTitles,0))),$AB$10,TRUE,"")</f>
        <v/>
      </c>
      <c r="H129" s="104" t="str" cm="1">
        <f t="array" ref="H129">_xlfn.IFS(AND(A129&gt;NumberOfPlots,ISBLANK(INDEX(PlotData,MATCH($A129,PlotNumber,0),MATCH(B$3,PlotTitles,0)))),"",AND(ISBLANK(INDEX(PlotData,MATCH($A129,PlotNumber,0),MATCH(H$3,PlotTitles,0)))=FALSE,INDEX(PlotData,MATCH($A129,PlotNumber,0),MATCH(H$3,PlotTitles,0))&lt;500), $AB$11,TRUE,"")</f>
        <v/>
      </c>
      <c r="I129" s="104" t="str" cm="1">
        <f t="array" ref="I129">_xlfn.IFS(AND(A129&gt;NumberOfPlots,ISBLANK(INDEX(PlotData,MATCH($A129,PlotNumber,0),MATCH(B$3,PlotTitles,0)))),"",ISBLANK(INDEX(PlotData,MATCH($A129,PlotNumber,0),MATCH(I$3,PlotTitles,0))),$AB$12,TRUE,"")</f>
        <v/>
      </c>
      <c r="J129" s="104" t="str" cm="1">
        <f t="array" ref="J129">_xlfn.IFS(AND(A129&gt;NumberOfPlots,ISBLANK(INDEX(PlotData,MATCH($A129,PlotNumber,0),MATCH(B$3,PlotTitles,0)))),"",ISBLANK(INDEX(PlotData,MATCH($A129,PlotNumber,0),MATCH(J$3,PlotTitles,0))),$AB$13,TRUE,"")</f>
        <v/>
      </c>
      <c r="K129" s="182" t="str">
        <f t="shared" ca="1" si="3"/>
        <v/>
      </c>
      <c r="L129" s="104" t="str" cm="1">
        <f t="array" ref="L129">_xlfn.IFS(OR(ISBLANK(StartDateMonth),ISBLANK(StartDateYear)),"",AND(A129&gt;NumberOfPlots,ISBLANK(INDEX(PlotData,MATCH($A129,PlotNumber,0),MATCH(B$3,PlotTitles,0)))),"",ISBLANK(INDEX(PlotData,MATCH($A129,PlotNumber,0),MATCH(I$3,PlotTitles,0))),"",(DATEVALUE(INDEX(PlotData,MATCH($A129,PlotNumber,0),MATCH(I$3,PlotTitles,0))&amp;INDEX(PlotData,MATCH($A129,PlotNumber,0),MATCH(J$3,PlotTitles,0))))&lt;DATEVALUE(StartDateMonth&amp;StartDateYear),$AB$15,TRUE,"")</f>
        <v/>
      </c>
      <c r="M129" s="104" t="str" cm="1">
        <f t="array" ref="M129">_xlfn.IFS(OR(ISBLANK(StartDateMonth),ISBLANK(StartDateYear)),"",AND(A129&gt;NumberOfPlots,ISBLANK(INDEX(PlotData,MATCH($A129,PlotNumber,0),MATCH(B$3,PlotTitles,0)))),"",ISBLANK(INDEX(PlotData,MATCH($A129,PlotNumber,0),MATCH(I$3,PlotTitles,0))),"",CompletionMonth="","",(DATEVALUE(INDEX(PlotData,MATCH($A129,PlotNumber,0),MATCH(I$3,PlotTitles,0))&amp;INDEX(PlotData,MATCH($A129,PlotNumber,0),MATCH(J$3,PlotTitles,0))))&gt;(DATEVALUE(CompletionMonth&amp;CompletionYear)),$AB$16,TRUE,"")</f>
        <v/>
      </c>
      <c r="N129" s="104" t="str" cm="1">
        <f t="array" ref="N129">_xlfn.IFS(AND(A129&gt;NumberOfPlots,ISBLANK(INDEX(PlotData,MATCH($A129,PlotNumber,0),MATCH(B$3,PlotTitles,0)))),"",ISBLANK(INDEX(PlotData,MATCH($A129,PlotNumber,0),MATCH(N$3,PlotTitles,0))),$AB$17,TRUE,"")</f>
        <v/>
      </c>
      <c r="O129" s="104" t="str" cm="1">
        <f t="array" ref="O129">_xlfn.IFS(AND(A129&gt;NumberOfPlots,ISBLANK(INDEX(PlotData,MATCH($A129,PlotNumber,0),MATCH(B$3,PlotTitles,0)))),"",ISBLANK(INDEX(PlotData,MATCH($A129,PlotNumber,0),MATCH(O$3,PlotTitles,0))),$AB$18,TRUE,"")</f>
        <v/>
      </c>
      <c r="P129" s="182" t="str">
        <f t="shared" ca="1" si="4"/>
        <v/>
      </c>
      <c r="Q129" s="104" t="str" cm="1">
        <f t="array" ref="Q129">_xlfn.IFS(AND(A129&gt;NumberOfPlots,ISBLANK(INDEX(PlotData,MATCH($A129,PlotNumber,0),MATCH(B$3,PlotTitles,0)))),"",ISBLANK(INDEX(PlotData,MATCH($A129,PlotNumber,0),MATCH(N$3,PlotTitles,0))),"",(DATEVALUE(INDEX(PlotData,MATCH($A129,PlotNumber,0),MATCH(N$3,PlotTitles,0))&amp;INDEX(PlotData,MATCH($A129,PlotNumber,0),MATCH(O$3,PlotTitles,0))))&lt;(DATEVALUE(INDEX(PlotData,MATCH($A129,PlotNumber,0),MATCH(I$3,PlotTitles,0))&amp;INDEX(PlotData,MATCH($A129,PlotNumber,0),MATCH(J$3,PlotTitles,0)))),$AB$20,TRUE,"")</f>
        <v/>
      </c>
      <c r="R129" s="104" t="str" cm="1">
        <f t="array" ref="R129">_xlfn.IFS(OR(ISBLANK(StartDateMonth),ISBLANK(StartDateYear)),"",AND(A129&gt;NumberOfPlots,ISBLANK(INDEX(PlotData,MATCH($A129,PlotNumber,0),MATCH(B$3,PlotTitles,0)))),"",ISBLANK(INDEX(PlotData,MATCH($A129,PlotNumber,0),MATCH(N$3,PlotTitles,0))),"",CompletionMonth="","",(DATEVALUE(INDEX(PlotData,MATCH($A129,PlotNumber,0),MATCH(N$3,PlotTitles,0))&amp;INDEX(PlotData,MATCH($A129,PlotNumber,0),MATCH(O$3,PlotTitles,0))))&gt;(DATEVALUE(CompletionMonth&amp;CompletionYear)),$AB$21,TRUE,"")</f>
        <v/>
      </c>
      <c r="S129" s="104" t="str" cm="1">
        <f t="array" ref="S129">_xlfn.IFS(AND(A129&gt;NumberOfPlots,ISBLANK(INDEX(PlotData,MATCH($A129,PlotNumber,0),MATCH(B$3,PlotTitles,0)))),"",OR(AND(INDEX(PlotData,MATCH($A129,PlotNumber,0),MATCH("Tenure",PlotTitles,0))="Open market housing",INDEX(PlotData,MATCH($A129,PlotNumber,0),MATCH("Tenure detail",PlotTitles,0))="Private rented sector"),INDEX(PlotData,MATCH($A129,PlotNumber,0),MATCH("Tenure",PlotTitles,0))="Affordable rent"),"",ISNUMBER(INDEX(PlotData,MATCH($A129,PlotNumber,0),MATCH(S$3,PlotTitles,0)))=FALSE, $AB$22,TRUE,"")</f>
        <v/>
      </c>
      <c r="T129" s="104" t="str" cm="1">
        <f t="array" ref="T129">_xlfn.IFS(AND(A129&gt;NumberOfPlots,ISBLANK(INDEX(PlotData,MATCH($A129,PlotNumber,0),MATCH(B$3,PlotTitles,0)))),"",OR(AND(INDEX(PlotData,MATCH($A129,PlotNumber,0),MATCH("Tenure",PlotTitles,0))="Open market housing",INDEX(PlotData,MATCH($A129,PlotNumber,0),MATCH("Tenure detail",PlotTitles,0))="Private rented sector"),INDEX(PlotData,MATCH($A129,PlotNumber,0),MATCH("Tenure",PlotTitles,0))="Affordable rent"),"",INDEX(PlotData,MATCH($A129,PlotNumber,0),MATCH(S$3,PlotTitles,0))&lt;10000, $AB$23,TRUE,"")</f>
        <v/>
      </c>
      <c r="U129" s="104" t="str" cm="1">
        <f t="array" ref="U129">_xlfn.IFS(AND(A129&gt;NumberOfPlots,ISBLANK(INDEX(PlotData,MATCH($A129,PlotNumber,0),MATCH(B$3,PlotTitles,0)))),"",NOT(OR(AND(INDEX(PlotData,MATCH($A129,PlotNumber,0),MATCH("Tenure",PlotTitles,0))="Open market housing",INDEX(PlotData,MATCH($A129,PlotNumber,0),MATCH("Tenure detail",PlotTitles,0))="Private rented sector"),INDEX(PlotData,MATCH($A129,PlotNumber,0),MATCH("Tenure",PlotTitles,0))="Affordable rent")),"",NOT(INDEX(PlotData,MATCH($A129,PlotNumber,0),MATCH(S$3,PlotTitles,0))=0), $AB$24,TRUE,"")</f>
        <v/>
      </c>
      <c r="V129" s="114" t="str" cm="1">
        <f t="array" aca="1" ref="V129" ca="1">_xlfn.IFS(ISBLANK(NumberOfPlots),"Enter the number of homes on the 1_SetUp sheet",AND(A129&gt;NumberOfPlots,ISBLANK(INDEX(PlotData,MATCH($A129,PlotNumber,0),MATCH(B$3,PlotTitles,0)))),"No error",NOT(B129=""),B129,NOT(C129=""),C129,NOT(D129=""),D129,NOT(E129=""),E129,NOT(F129=""),F129,NOT(G129=""),G129,NOT(H129=""),H129,NOT(I129=""),I129,NOT(J129=""),J129,NOT(K129=""),K129,NOT(L129=""),L129,NOT(M129=""),M129,NOT(N129=""),N129,NOT(O129=""),O129,NOT(P129=""),P129,NOT(Q129=""),Q129,NOT(R129=""),R129,NOT(S129=""),S129,NOT(T129=""),T129,NOT(U129=""),U129,TRUE,"No error")</f>
        <v>Enter the number of homes on the 1_SetUp sheet</v>
      </c>
      <c r="W129" s="114" t="str">
        <f t="shared" ca="1" si="5"/>
        <v xml:space="preserve">The Borrower has not addressed the following error messages for Home ID 125: </v>
      </c>
    </row>
    <row r="130" spans="1:23">
      <c r="A130" s="123">
        <v>126</v>
      </c>
      <c r="B130" s="104" t="str" cm="1">
        <f t="array" ref="B130">_xlfn.IFS(AND(A130&gt;NumberOfPlots,ISBLANK(INDEX(PlotData,MATCH($A130,PlotNumber,0),MATCH(B$3,PlotTitles,0)))),"",ISNUMBER(INDEX(PlotData,MATCH($A130,PlotNumber,0),MATCH(B$3,PlotTitles,0)))=FALSE, $AB$5,TRUE,"")</f>
        <v/>
      </c>
      <c r="C130" s="104" t="str" cm="1">
        <f t="array" ref="C130">_xlfn.IFS(AND(A130&gt;NumberOfPlots,ISBLANK(INDEX(PlotData,MATCH($A130,PlotNumber,0),MATCH(B$3,PlotTitles,0)))),"",ISBLANK(INDEX(PlotData,MATCH($A130,PlotNumber,0),MATCH(C$3,PlotTitles,0))),$AB$6,TRUE,"")</f>
        <v/>
      </c>
      <c r="D130" s="104" t="str" cm="1">
        <f t="array" ref="D130">_xlfn.IFS(AND(A130&gt;NumberOfPlots,ISBLANK(INDEX(PlotData,MATCH($A130,PlotNumber,0),MATCH(B$3,PlotTitles,0)))),"",ISBLANK(INDEX(PlotData,MATCH($A130,PlotNumber,0),MATCH(D$3,PlotTitles,0))),$AB$7,TRUE,"")</f>
        <v/>
      </c>
      <c r="E130" s="104" t="str" cm="1">
        <f t="array" ref="E130">_xlfn.IFS(AND(A130&gt;NumberOfPlots,ISBLANK(INDEX(PlotData,MATCH($A130,PlotNumber,0),MATCH(B$3,PlotTitles,0)))),"",ISBLANK(INDEX(PlotData,MATCH($A130,PlotNumber,0),MATCH(E$3,PlotTitles,0))),$AB$8,TRUE,"")</f>
        <v/>
      </c>
      <c r="F130" s="104" t="str" cm="1">
        <f t="array" ref="F130">_xlfn.IFS(AND(A130&gt;NumberOfPlots,ISBLANK(INDEX(PlotData,MATCH($A130,PlotNumber,0),MATCH(B$3,PlotTitles,0)))),"",ISBLANK(INDEX(PlotData,MATCH($A130,PlotNumber,0),MATCH(F$3,PlotTitles,0))),$AB$9,TRUE,"")</f>
        <v/>
      </c>
      <c r="G130" s="104" t="str" cm="1">
        <f t="array" ref="G130">_xlfn.IFS(AND(A130&gt;NumberOfPlots,ISBLANK(INDEX(PlotData,MATCH($A130,PlotNumber,0),MATCH(B$3,PlotTitles,0)))),"",ISBLANK(INDEX(PlotData,MATCH($A130,PlotNumber,0),MATCH(G$3,PlotTitles,0))),$AB$10,TRUE,"")</f>
        <v/>
      </c>
      <c r="H130" s="104" t="str" cm="1">
        <f t="array" ref="H130">_xlfn.IFS(AND(A130&gt;NumberOfPlots,ISBLANK(INDEX(PlotData,MATCH($A130,PlotNumber,0),MATCH(B$3,PlotTitles,0)))),"",AND(ISBLANK(INDEX(PlotData,MATCH($A130,PlotNumber,0),MATCH(H$3,PlotTitles,0)))=FALSE,INDEX(PlotData,MATCH($A130,PlotNumber,0),MATCH(H$3,PlotTitles,0))&lt;500), $AB$11,TRUE,"")</f>
        <v/>
      </c>
      <c r="I130" s="104" t="str" cm="1">
        <f t="array" ref="I130">_xlfn.IFS(AND(A130&gt;NumberOfPlots,ISBLANK(INDEX(PlotData,MATCH($A130,PlotNumber,0),MATCH(B$3,PlotTitles,0)))),"",ISBLANK(INDEX(PlotData,MATCH($A130,PlotNumber,0),MATCH(I$3,PlotTitles,0))),$AB$12,TRUE,"")</f>
        <v/>
      </c>
      <c r="J130" s="104" t="str" cm="1">
        <f t="array" ref="J130">_xlfn.IFS(AND(A130&gt;NumberOfPlots,ISBLANK(INDEX(PlotData,MATCH($A130,PlotNumber,0),MATCH(B$3,PlotTitles,0)))),"",ISBLANK(INDEX(PlotData,MATCH($A130,PlotNumber,0),MATCH(J$3,PlotTitles,0))),$AB$13,TRUE,"")</f>
        <v/>
      </c>
      <c r="K130" s="182" t="str">
        <f t="shared" ca="1" si="3"/>
        <v/>
      </c>
      <c r="L130" s="104" t="str" cm="1">
        <f t="array" ref="L130">_xlfn.IFS(OR(ISBLANK(StartDateMonth),ISBLANK(StartDateYear)),"",AND(A130&gt;NumberOfPlots,ISBLANK(INDEX(PlotData,MATCH($A130,PlotNumber,0),MATCH(B$3,PlotTitles,0)))),"",ISBLANK(INDEX(PlotData,MATCH($A130,PlotNumber,0),MATCH(I$3,PlotTitles,0))),"",(DATEVALUE(INDEX(PlotData,MATCH($A130,PlotNumber,0),MATCH(I$3,PlotTitles,0))&amp;INDEX(PlotData,MATCH($A130,PlotNumber,0),MATCH(J$3,PlotTitles,0))))&lt;DATEVALUE(StartDateMonth&amp;StartDateYear),$AB$15,TRUE,"")</f>
        <v/>
      </c>
      <c r="M130" s="104" t="str" cm="1">
        <f t="array" ref="M130">_xlfn.IFS(OR(ISBLANK(StartDateMonth),ISBLANK(StartDateYear)),"",AND(A130&gt;NumberOfPlots,ISBLANK(INDEX(PlotData,MATCH($A130,PlotNumber,0),MATCH(B$3,PlotTitles,0)))),"",ISBLANK(INDEX(PlotData,MATCH($A130,PlotNumber,0),MATCH(I$3,PlotTitles,0))),"",CompletionMonth="","",(DATEVALUE(INDEX(PlotData,MATCH($A130,PlotNumber,0),MATCH(I$3,PlotTitles,0))&amp;INDEX(PlotData,MATCH($A130,PlotNumber,0),MATCH(J$3,PlotTitles,0))))&gt;(DATEVALUE(CompletionMonth&amp;CompletionYear)),$AB$16,TRUE,"")</f>
        <v/>
      </c>
      <c r="N130" s="104" t="str" cm="1">
        <f t="array" ref="N130">_xlfn.IFS(AND(A130&gt;NumberOfPlots,ISBLANK(INDEX(PlotData,MATCH($A130,PlotNumber,0),MATCH(B$3,PlotTitles,0)))),"",ISBLANK(INDEX(PlotData,MATCH($A130,PlotNumber,0),MATCH(N$3,PlotTitles,0))),$AB$17,TRUE,"")</f>
        <v/>
      </c>
      <c r="O130" s="104" t="str" cm="1">
        <f t="array" ref="O130">_xlfn.IFS(AND(A130&gt;NumberOfPlots,ISBLANK(INDEX(PlotData,MATCH($A130,PlotNumber,0),MATCH(B$3,PlotTitles,0)))),"",ISBLANK(INDEX(PlotData,MATCH($A130,PlotNumber,0),MATCH(O$3,PlotTitles,0))),$AB$18,TRUE,"")</f>
        <v/>
      </c>
      <c r="P130" s="182" t="str">
        <f t="shared" ca="1" si="4"/>
        <v/>
      </c>
      <c r="Q130" s="104" t="str" cm="1">
        <f t="array" ref="Q130">_xlfn.IFS(AND(A130&gt;NumberOfPlots,ISBLANK(INDEX(PlotData,MATCH($A130,PlotNumber,0),MATCH(B$3,PlotTitles,0)))),"",ISBLANK(INDEX(PlotData,MATCH($A130,PlotNumber,0),MATCH(N$3,PlotTitles,0))),"",(DATEVALUE(INDEX(PlotData,MATCH($A130,PlotNumber,0),MATCH(N$3,PlotTitles,0))&amp;INDEX(PlotData,MATCH($A130,PlotNumber,0),MATCH(O$3,PlotTitles,0))))&lt;(DATEVALUE(INDEX(PlotData,MATCH($A130,PlotNumber,0),MATCH(I$3,PlotTitles,0))&amp;INDEX(PlotData,MATCH($A130,PlotNumber,0),MATCH(J$3,PlotTitles,0)))),$AB$20,TRUE,"")</f>
        <v/>
      </c>
      <c r="R130" s="104" t="str" cm="1">
        <f t="array" ref="R130">_xlfn.IFS(OR(ISBLANK(StartDateMonth),ISBLANK(StartDateYear)),"",AND(A130&gt;NumberOfPlots,ISBLANK(INDEX(PlotData,MATCH($A130,PlotNumber,0),MATCH(B$3,PlotTitles,0)))),"",ISBLANK(INDEX(PlotData,MATCH($A130,PlotNumber,0),MATCH(N$3,PlotTitles,0))),"",CompletionMonth="","",(DATEVALUE(INDEX(PlotData,MATCH($A130,PlotNumber,0),MATCH(N$3,PlotTitles,0))&amp;INDEX(PlotData,MATCH($A130,PlotNumber,0),MATCH(O$3,PlotTitles,0))))&gt;(DATEVALUE(CompletionMonth&amp;CompletionYear)),$AB$21,TRUE,"")</f>
        <v/>
      </c>
      <c r="S130" s="104" t="str" cm="1">
        <f t="array" ref="S130">_xlfn.IFS(AND(A130&gt;NumberOfPlots,ISBLANK(INDEX(PlotData,MATCH($A130,PlotNumber,0),MATCH(B$3,PlotTitles,0)))),"",OR(AND(INDEX(PlotData,MATCH($A130,PlotNumber,0),MATCH("Tenure",PlotTitles,0))="Open market housing",INDEX(PlotData,MATCH($A130,PlotNumber,0),MATCH("Tenure detail",PlotTitles,0))="Private rented sector"),INDEX(PlotData,MATCH($A130,PlotNumber,0),MATCH("Tenure",PlotTitles,0))="Affordable rent"),"",ISNUMBER(INDEX(PlotData,MATCH($A130,PlotNumber,0),MATCH(S$3,PlotTitles,0)))=FALSE, $AB$22,TRUE,"")</f>
        <v/>
      </c>
      <c r="T130" s="104" t="str" cm="1">
        <f t="array" ref="T130">_xlfn.IFS(AND(A130&gt;NumberOfPlots,ISBLANK(INDEX(PlotData,MATCH($A130,PlotNumber,0),MATCH(B$3,PlotTitles,0)))),"",OR(AND(INDEX(PlotData,MATCH($A130,PlotNumber,0),MATCH("Tenure",PlotTitles,0))="Open market housing",INDEX(PlotData,MATCH($A130,PlotNumber,0),MATCH("Tenure detail",PlotTitles,0))="Private rented sector"),INDEX(PlotData,MATCH($A130,PlotNumber,0),MATCH("Tenure",PlotTitles,0))="Affordable rent"),"",INDEX(PlotData,MATCH($A130,PlotNumber,0),MATCH(S$3,PlotTitles,0))&lt;10000, $AB$23,TRUE,"")</f>
        <v/>
      </c>
      <c r="U130" s="104" t="str" cm="1">
        <f t="array" ref="U130">_xlfn.IFS(AND(A130&gt;NumberOfPlots,ISBLANK(INDEX(PlotData,MATCH($A130,PlotNumber,0),MATCH(B$3,PlotTitles,0)))),"",NOT(OR(AND(INDEX(PlotData,MATCH($A130,PlotNumber,0),MATCH("Tenure",PlotTitles,0))="Open market housing",INDEX(PlotData,MATCH($A130,PlotNumber,0),MATCH("Tenure detail",PlotTitles,0))="Private rented sector"),INDEX(PlotData,MATCH($A130,PlotNumber,0),MATCH("Tenure",PlotTitles,0))="Affordable rent")),"",NOT(INDEX(PlotData,MATCH($A130,PlotNumber,0),MATCH(S$3,PlotTitles,0))=0), $AB$24,TRUE,"")</f>
        <v/>
      </c>
      <c r="V130" s="114" t="str" cm="1">
        <f t="array" aca="1" ref="V130" ca="1">_xlfn.IFS(ISBLANK(NumberOfPlots),"Enter the number of homes on the 1_SetUp sheet",AND(A130&gt;NumberOfPlots,ISBLANK(INDEX(PlotData,MATCH($A130,PlotNumber,0),MATCH(B$3,PlotTitles,0)))),"No error",NOT(B130=""),B130,NOT(C130=""),C130,NOT(D130=""),D130,NOT(E130=""),E130,NOT(F130=""),F130,NOT(G130=""),G130,NOT(H130=""),H130,NOT(I130=""),I130,NOT(J130=""),J130,NOT(K130=""),K130,NOT(L130=""),L130,NOT(M130=""),M130,NOT(N130=""),N130,NOT(O130=""),O130,NOT(P130=""),P130,NOT(Q130=""),Q130,NOT(R130=""),R130,NOT(S130=""),S130,NOT(T130=""),T130,NOT(U130=""),U130,TRUE,"No error")</f>
        <v>Enter the number of homes on the 1_SetUp sheet</v>
      </c>
      <c r="W130" s="114" t="str">
        <f t="shared" ca="1" si="5"/>
        <v xml:space="preserve">The Borrower has not addressed the following error messages for Home ID 126: </v>
      </c>
    </row>
    <row r="131" spans="1:23">
      <c r="A131" s="123">
        <v>127</v>
      </c>
      <c r="B131" s="104" t="str" cm="1">
        <f t="array" ref="B131">_xlfn.IFS(AND(A131&gt;NumberOfPlots,ISBLANK(INDEX(PlotData,MATCH($A131,PlotNumber,0),MATCH(B$3,PlotTitles,0)))),"",ISNUMBER(INDEX(PlotData,MATCH($A131,PlotNumber,0),MATCH(B$3,PlotTitles,0)))=FALSE, $AB$5,TRUE,"")</f>
        <v/>
      </c>
      <c r="C131" s="104" t="str" cm="1">
        <f t="array" ref="C131">_xlfn.IFS(AND(A131&gt;NumberOfPlots,ISBLANK(INDEX(PlotData,MATCH($A131,PlotNumber,0),MATCH(B$3,PlotTitles,0)))),"",ISBLANK(INDEX(PlotData,MATCH($A131,PlotNumber,0),MATCH(C$3,PlotTitles,0))),$AB$6,TRUE,"")</f>
        <v/>
      </c>
      <c r="D131" s="104" t="str" cm="1">
        <f t="array" ref="D131">_xlfn.IFS(AND(A131&gt;NumberOfPlots,ISBLANK(INDEX(PlotData,MATCH($A131,PlotNumber,0),MATCH(B$3,PlotTitles,0)))),"",ISBLANK(INDEX(PlotData,MATCH($A131,PlotNumber,0),MATCH(D$3,PlotTitles,0))),$AB$7,TRUE,"")</f>
        <v/>
      </c>
      <c r="E131" s="104" t="str" cm="1">
        <f t="array" ref="E131">_xlfn.IFS(AND(A131&gt;NumberOfPlots,ISBLANK(INDEX(PlotData,MATCH($A131,PlotNumber,0),MATCH(B$3,PlotTitles,0)))),"",ISBLANK(INDEX(PlotData,MATCH($A131,PlotNumber,0),MATCH(E$3,PlotTitles,0))),$AB$8,TRUE,"")</f>
        <v/>
      </c>
      <c r="F131" s="104" t="str" cm="1">
        <f t="array" ref="F131">_xlfn.IFS(AND(A131&gt;NumberOfPlots,ISBLANK(INDEX(PlotData,MATCH($A131,PlotNumber,0),MATCH(B$3,PlotTitles,0)))),"",ISBLANK(INDEX(PlotData,MATCH($A131,PlotNumber,0),MATCH(F$3,PlotTitles,0))),$AB$9,TRUE,"")</f>
        <v/>
      </c>
      <c r="G131" s="104" t="str" cm="1">
        <f t="array" ref="G131">_xlfn.IFS(AND(A131&gt;NumberOfPlots,ISBLANK(INDEX(PlotData,MATCH($A131,PlotNumber,0),MATCH(B$3,PlotTitles,0)))),"",ISBLANK(INDEX(PlotData,MATCH($A131,PlotNumber,0),MATCH(G$3,PlotTitles,0))),$AB$10,TRUE,"")</f>
        <v/>
      </c>
      <c r="H131" s="104" t="str" cm="1">
        <f t="array" ref="H131">_xlfn.IFS(AND(A131&gt;NumberOfPlots,ISBLANK(INDEX(PlotData,MATCH($A131,PlotNumber,0),MATCH(B$3,PlotTitles,0)))),"",AND(ISBLANK(INDEX(PlotData,MATCH($A131,PlotNumber,0),MATCH(H$3,PlotTitles,0)))=FALSE,INDEX(PlotData,MATCH($A131,PlotNumber,0),MATCH(H$3,PlotTitles,0))&lt;500), $AB$11,TRUE,"")</f>
        <v/>
      </c>
      <c r="I131" s="104" t="str" cm="1">
        <f t="array" ref="I131">_xlfn.IFS(AND(A131&gt;NumberOfPlots,ISBLANK(INDEX(PlotData,MATCH($A131,PlotNumber,0),MATCH(B$3,PlotTitles,0)))),"",ISBLANK(INDEX(PlotData,MATCH($A131,PlotNumber,0),MATCH(I$3,PlotTitles,0))),$AB$12,TRUE,"")</f>
        <v/>
      </c>
      <c r="J131" s="104" t="str" cm="1">
        <f t="array" ref="J131">_xlfn.IFS(AND(A131&gt;NumberOfPlots,ISBLANK(INDEX(PlotData,MATCH($A131,PlotNumber,0),MATCH(B$3,PlotTitles,0)))),"",ISBLANK(INDEX(PlotData,MATCH($A131,PlotNumber,0),MATCH(J$3,PlotTitles,0))),$AB$13,TRUE,"")</f>
        <v/>
      </c>
      <c r="K131" s="182" t="str">
        <f t="shared" ca="1" si="3"/>
        <v/>
      </c>
      <c r="L131" s="104" t="str" cm="1">
        <f t="array" ref="L131">_xlfn.IFS(OR(ISBLANK(StartDateMonth),ISBLANK(StartDateYear)),"",AND(A131&gt;NumberOfPlots,ISBLANK(INDEX(PlotData,MATCH($A131,PlotNumber,0),MATCH(B$3,PlotTitles,0)))),"",ISBLANK(INDEX(PlotData,MATCH($A131,PlotNumber,0),MATCH(I$3,PlotTitles,0))),"",(DATEVALUE(INDEX(PlotData,MATCH($A131,PlotNumber,0),MATCH(I$3,PlotTitles,0))&amp;INDEX(PlotData,MATCH($A131,PlotNumber,0),MATCH(J$3,PlotTitles,0))))&lt;DATEVALUE(StartDateMonth&amp;StartDateYear),$AB$15,TRUE,"")</f>
        <v/>
      </c>
      <c r="M131" s="104" t="str" cm="1">
        <f t="array" ref="M131">_xlfn.IFS(OR(ISBLANK(StartDateMonth),ISBLANK(StartDateYear)),"",AND(A131&gt;NumberOfPlots,ISBLANK(INDEX(PlotData,MATCH($A131,PlotNumber,0),MATCH(B$3,PlotTitles,0)))),"",ISBLANK(INDEX(PlotData,MATCH($A131,PlotNumber,0),MATCH(I$3,PlotTitles,0))),"",CompletionMonth="","",(DATEVALUE(INDEX(PlotData,MATCH($A131,PlotNumber,0),MATCH(I$3,PlotTitles,0))&amp;INDEX(PlotData,MATCH($A131,PlotNumber,0),MATCH(J$3,PlotTitles,0))))&gt;(DATEVALUE(CompletionMonth&amp;CompletionYear)),$AB$16,TRUE,"")</f>
        <v/>
      </c>
      <c r="N131" s="104" t="str" cm="1">
        <f t="array" ref="N131">_xlfn.IFS(AND(A131&gt;NumberOfPlots,ISBLANK(INDEX(PlotData,MATCH($A131,PlotNumber,0),MATCH(B$3,PlotTitles,0)))),"",ISBLANK(INDEX(PlotData,MATCH($A131,PlotNumber,0),MATCH(N$3,PlotTitles,0))),$AB$17,TRUE,"")</f>
        <v/>
      </c>
      <c r="O131" s="104" t="str" cm="1">
        <f t="array" ref="O131">_xlfn.IFS(AND(A131&gt;NumberOfPlots,ISBLANK(INDEX(PlotData,MATCH($A131,PlotNumber,0),MATCH(B$3,PlotTitles,0)))),"",ISBLANK(INDEX(PlotData,MATCH($A131,PlotNumber,0),MATCH(O$3,PlotTitles,0))),$AB$18,TRUE,"")</f>
        <v/>
      </c>
      <c r="P131" s="182" t="str">
        <f t="shared" ca="1" si="4"/>
        <v/>
      </c>
      <c r="Q131" s="104" t="str" cm="1">
        <f t="array" ref="Q131">_xlfn.IFS(AND(A131&gt;NumberOfPlots,ISBLANK(INDEX(PlotData,MATCH($A131,PlotNumber,0),MATCH(B$3,PlotTitles,0)))),"",ISBLANK(INDEX(PlotData,MATCH($A131,PlotNumber,0),MATCH(N$3,PlotTitles,0))),"",(DATEVALUE(INDEX(PlotData,MATCH($A131,PlotNumber,0),MATCH(N$3,PlotTitles,0))&amp;INDEX(PlotData,MATCH($A131,PlotNumber,0),MATCH(O$3,PlotTitles,0))))&lt;(DATEVALUE(INDEX(PlotData,MATCH($A131,PlotNumber,0),MATCH(I$3,PlotTitles,0))&amp;INDEX(PlotData,MATCH($A131,PlotNumber,0),MATCH(J$3,PlotTitles,0)))),$AB$20,TRUE,"")</f>
        <v/>
      </c>
      <c r="R131" s="104" t="str" cm="1">
        <f t="array" ref="R131">_xlfn.IFS(OR(ISBLANK(StartDateMonth),ISBLANK(StartDateYear)),"",AND(A131&gt;NumberOfPlots,ISBLANK(INDEX(PlotData,MATCH($A131,PlotNumber,0),MATCH(B$3,PlotTitles,0)))),"",ISBLANK(INDEX(PlotData,MATCH($A131,PlotNumber,0),MATCH(N$3,PlotTitles,0))),"",CompletionMonth="","",(DATEVALUE(INDEX(PlotData,MATCH($A131,PlotNumber,0),MATCH(N$3,PlotTitles,0))&amp;INDEX(PlotData,MATCH($A131,PlotNumber,0),MATCH(O$3,PlotTitles,0))))&gt;(DATEVALUE(CompletionMonth&amp;CompletionYear)),$AB$21,TRUE,"")</f>
        <v/>
      </c>
      <c r="S131" s="104" t="str" cm="1">
        <f t="array" ref="S131">_xlfn.IFS(AND(A131&gt;NumberOfPlots,ISBLANK(INDEX(PlotData,MATCH($A131,PlotNumber,0),MATCH(B$3,PlotTitles,0)))),"",OR(AND(INDEX(PlotData,MATCH($A131,PlotNumber,0),MATCH("Tenure",PlotTitles,0))="Open market housing",INDEX(PlotData,MATCH($A131,PlotNumber,0),MATCH("Tenure detail",PlotTitles,0))="Private rented sector"),INDEX(PlotData,MATCH($A131,PlotNumber,0),MATCH("Tenure",PlotTitles,0))="Affordable rent"),"",ISNUMBER(INDEX(PlotData,MATCH($A131,PlotNumber,0),MATCH(S$3,PlotTitles,0)))=FALSE, $AB$22,TRUE,"")</f>
        <v/>
      </c>
      <c r="T131" s="104" t="str" cm="1">
        <f t="array" ref="T131">_xlfn.IFS(AND(A131&gt;NumberOfPlots,ISBLANK(INDEX(PlotData,MATCH($A131,PlotNumber,0),MATCH(B$3,PlotTitles,0)))),"",OR(AND(INDEX(PlotData,MATCH($A131,PlotNumber,0),MATCH("Tenure",PlotTitles,0))="Open market housing",INDEX(PlotData,MATCH($A131,PlotNumber,0),MATCH("Tenure detail",PlotTitles,0))="Private rented sector"),INDEX(PlotData,MATCH($A131,PlotNumber,0),MATCH("Tenure",PlotTitles,0))="Affordable rent"),"",INDEX(PlotData,MATCH($A131,PlotNumber,0),MATCH(S$3,PlotTitles,0))&lt;10000, $AB$23,TRUE,"")</f>
        <v/>
      </c>
      <c r="U131" s="104" t="str" cm="1">
        <f t="array" ref="U131">_xlfn.IFS(AND(A131&gt;NumberOfPlots,ISBLANK(INDEX(PlotData,MATCH($A131,PlotNumber,0),MATCH(B$3,PlotTitles,0)))),"",NOT(OR(AND(INDEX(PlotData,MATCH($A131,PlotNumber,0),MATCH("Tenure",PlotTitles,0))="Open market housing",INDEX(PlotData,MATCH($A131,PlotNumber,0),MATCH("Tenure detail",PlotTitles,0))="Private rented sector"),INDEX(PlotData,MATCH($A131,PlotNumber,0),MATCH("Tenure",PlotTitles,0))="Affordable rent")),"",NOT(INDEX(PlotData,MATCH($A131,PlotNumber,0),MATCH(S$3,PlotTitles,0))=0), $AB$24,TRUE,"")</f>
        <v/>
      </c>
      <c r="V131" s="114" t="str" cm="1">
        <f t="array" aca="1" ref="V131" ca="1">_xlfn.IFS(ISBLANK(NumberOfPlots),"Enter the number of homes on the 1_SetUp sheet",AND(A131&gt;NumberOfPlots,ISBLANK(INDEX(PlotData,MATCH($A131,PlotNumber,0),MATCH(B$3,PlotTitles,0)))),"No error",NOT(B131=""),B131,NOT(C131=""),C131,NOT(D131=""),D131,NOT(E131=""),E131,NOT(F131=""),F131,NOT(G131=""),G131,NOT(H131=""),H131,NOT(I131=""),I131,NOT(J131=""),J131,NOT(K131=""),K131,NOT(L131=""),L131,NOT(M131=""),M131,NOT(N131=""),N131,NOT(O131=""),O131,NOT(P131=""),P131,NOT(Q131=""),Q131,NOT(R131=""),R131,NOT(S131=""),S131,NOT(T131=""),T131,NOT(U131=""),U131,TRUE,"No error")</f>
        <v>Enter the number of homes on the 1_SetUp sheet</v>
      </c>
      <c r="W131" s="114" t="str">
        <f t="shared" ca="1" si="5"/>
        <v xml:space="preserve">The Borrower has not addressed the following error messages for Home ID 127: </v>
      </c>
    </row>
    <row r="132" spans="1:23">
      <c r="A132" s="123">
        <v>128</v>
      </c>
      <c r="B132" s="104" t="str" cm="1">
        <f t="array" ref="B132">_xlfn.IFS(AND(A132&gt;NumberOfPlots,ISBLANK(INDEX(PlotData,MATCH($A132,PlotNumber,0),MATCH(B$3,PlotTitles,0)))),"",ISNUMBER(INDEX(PlotData,MATCH($A132,PlotNumber,0),MATCH(B$3,PlotTitles,0)))=FALSE, $AB$5,TRUE,"")</f>
        <v/>
      </c>
      <c r="C132" s="104" t="str" cm="1">
        <f t="array" ref="C132">_xlfn.IFS(AND(A132&gt;NumberOfPlots,ISBLANK(INDEX(PlotData,MATCH($A132,PlotNumber,0),MATCH(B$3,PlotTitles,0)))),"",ISBLANK(INDEX(PlotData,MATCH($A132,PlotNumber,0),MATCH(C$3,PlotTitles,0))),$AB$6,TRUE,"")</f>
        <v/>
      </c>
      <c r="D132" s="104" t="str" cm="1">
        <f t="array" ref="D132">_xlfn.IFS(AND(A132&gt;NumberOfPlots,ISBLANK(INDEX(PlotData,MATCH($A132,PlotNumber,0),MATCH(B$3,PlotTitles,0)))),"",ISBLANK(INDEX(PlotData,MATCH($A132,PlotNumber,0),MATCH(D$3,PlotTitles,0))),$AB$7,TRUE,"")</f>
        <v/>
      </c>
      <c r="E132" s="104" t="str" cm="1">
        <f t="array" ref="E132">_xlfn.IFS(AND(A132&gt;NumberOfPlots,ISBLANK(INDEX(PlotData,MATCH($A132,PlotNumber,0),MATCH(B$3,PlotTitles,0)))),"",ISBLANK(INDEX(PlotData,MATCH($A132,PlotNumber,0),MATCH(E$3,PlotTitles,0))),$AB$8,TRUE,"")</f>
        <v/>
      </c>
      <c r="F132" s="104" t="str" cm="1">
        <f t="array" ref="F132">_xlfn.IFS(AND(A132&gt;NumberOfPlots,ISBLANK(INDEX(PlotData,MATCH($A132,PlotNumber,0),MATCH(B$3,PlotTitles,0)))),"",ISBLANK(INDEX(PlotData,MATCH($A132,PlotNumber,0),MATCH(F$3,PlotTitles,0))),$AB$9,TRUE,"")</f>
        <v/>
      </c>
      <c r="G132" s="104" t="str" cm="1">
        <f t="array" ref="G132">_xlfn.IFS(AND(A132&gt;NumberOfPlots,ISBLANK(INDEX(PlotData,MATCH($A132,PlotNumber,0),MATCH(B$3,PlotTitles,0)))),"",ISBLANK(INDEX(PlotData,MATCH($A132,PlotNumber,0),MATCH(G$3,PlotTitles,0))),$AB$10,TRUE,"")</f>
        <v/>
      </c>
      <c r="H132" s="104" t="str" cm="1">
        <f t="array" ref="H132">_xlfn.IFS(AND(A132&gt;NumberOfPlots,ISBLANK(INDEX(PlotData,MATCH($A132,PlotNumber,0),MATCH(B$3,PlotTitles,0)))),"",AND(ISBLANK(INDEX(PlotData,MATCH($A132,PlotNumber,0),MATCH(H$3,PlotTitles,0)))=FALSE,INDEX(PlotData,MATCH($A132,PlotNumber,0),MATCH(H$3,PlotTitles,0))&lt;500), $AB$11,TRUE,"")</f>
        <v/>
      </c>
      <c r="I132" s="104" t="str" cm="1">
        <f t="array" ref="I132">_xlfn.IFS(AND(A132&gt;NumberOfPlots,ISBLANK(INDEX(PlotData,MATCH($A132,PlotNumber,0),MATCH(B$3,PlotTitles,0)))),"",ISBLANK(INDEX(PlotData,MATCH($A132,PlotNumber,0),MATCH(I$3,PlotTitles,0))),$AB$12,TRUE,"")</f>
        <v/>
      </c>
      <c r="J132" s="104" t="str" cm="1">
        <f t="array" ref="J132">_xlfn.IFS(AND(A132&gt;NumberOfPlots,ISBLANK(INDEX(PlotData,MATCH($A132,PlotNumber,0),MATCH(B$3,PlotTitles,0)))),"",ISBLANK(INDEX(PlotData,MATCH($A132,PlotNumber,0),MATCH(J$3,PlotTitles,0))),$AB$13,TRUE,"")</f>
        <v/>
      </c>
      <c r="K132" s="182" t="str">
        <f t="shared" ca="1" si="3"/>
        <v/>
      </c>
      <c r="L132" s="104" t="str" cm="1">
        <f t="array" ref="L132">_xlfn.IFS(OR(ISBLANK(StartDateMonth),ISBLANK(StartDateYear)),"",AND(A132&gt;NumberOfPlots,ISBLANK(INDEX(PlotData,MATCH($A132,PlotNumber,0),MATCH(B$3,PlotTitles,0)))),"",ISBLANK(INDEX(PlotData,MATCH($A132,PlotNumber,0),MATCH(I$3,PlotTitles,0))),"",(DATEVALUE(INDEX(PlotData,MATCH($A132,PlotNumber,0),MATCH(I$3,PlotTitles,0))&amp;INDEX(PlotData,MATCH($A132,PlotNumber,0),MATCH(J$3,PlotTitles,0))))&lt;DATEVALUE(StartDateMonth&amp;StartDateYear),$AB$15,TRUE,"")</f>
        <v/>
      </c>
      <c r="M132" s="104" t="str" cm="1">
        <f t="array" ref="M132">_xlfn.IFS(OR(ISBLANK(StartDateMonth),ISBLANK(StartDateYear)),"",AND(A132&gt;NumberOfPlots,ISBLANK(INDEX(PlotData,MATCH($A132,PlotNumber,0),MATCH(B$3,PlotTitles,0)))),"",ISBLANK(INDEX(PlotData,MATCH($A132,PlotNumber,0),MATCH(I$3,PlotTitles,0))),"",CompletionMonth="","",(DATEVALUE(INDEX(PlotData,MATCH($A132,PlotNumber,0),MATCH(I$3,PlotTitles,0))&amp;INDEX(PlotData,MATCH($A132,PlotNumber,0),MATCH(J$3,PlotTitles,0))))&gt;(DATEVALUE(CompletionMonth&amp;CompletionYear)),$AB$16,TRUE,"")</f>
        <v/>
      </c>
      <c r="N132" s="104" t="str" cm="1">
        <f t="array" ref="N132">_xlfn.IFS(AND(A132&gt;NumberOfPlots,ISBLANK(INDEX(PlotData,MATCH($A132,PlotNumber,0),MATCH(B$3,PlotTitles,0)))),"",ISBLANK(INDEX(PlotData,MATCH($A132,PlotNumber,0),MATCH(N$3,PlotTitles,0))),$AB$17,TRUE,"")</f>
        <v/>
      </c>
      <c r="O132" s="104" t="str" cm="1">
        <f t="array" ref="O132">_xlfn.IFS(AND(A132&gt;NumberOfPlots,ISBLANK(INDEX(PlotData,MATCH($A132,PlotNumber,0),MATCH(B$3,PlotTitles,0)))),"",ISBLANK(INDEX(PlotData,MATCH($A132,PlotNumber,0),MATCH(O$3,PlotTitles,0))),$AB$18,TRUE,"")</f>
        <v/>
      </c>
      <c r="P132" s="182" t="str">
        <f t="shared" ca="1" si="4"/>
        <v/>
      </c>
      <c r="Q132" s="104" t="str" cm="1">
        <f t="array" ref="Q132">_xlfn.IFS(AND(A132&gt;NumberOfPlots,ISBLANK(INDEX(PlotData,MATCH($A132,PlotNumber,0),MATCH(B$3,PlotTitles,0)))),"",ISBLANK(INDEX(PlotData,MATCH($A132,PlotNumber,0),MATCH(N$3,PlotTitles,0))),"",(DATEVALUE(INDEX(PlotData,MATCH($A132,PlotNumber,0),MATCH(N$3,PlotTitles,0))&amp;INDEX(PlotData,MATCH($A132,PlotNumber,0),MATCH(O$3,PlotTitles,0))))&lt;(DATEVALUE(INDEX(PlotData,MATCH($A132,PlotNumber,0),MATCH(I$3,PlotTitles,0))&amp;INDEX(PlotData,MATCH($A132,PlotNumber,0),MATCH(J$3,PlotTitles,0)))),$AB$20,TRUE,"")</f>
        <v/>
      </c>
      <c r="R132" s="104" t="str" cm="1">
        <f t="array" ref="R132">_xlfn.IFS(OR(ISBLANK(StartDateMonth),ISBLANK(StartDateYear)),"",AND(A132&gt;NumberOfPlots,ISBLANK(INDEX(PlotData,MATCH($A132,PlotNumber,0),MATCH(B$3,PlotTitles,0)))),"",ISBLANK(INDEX(PlotData,MATCH($A132,PlotNumber,0),MATCH(N$3,PlotTitles,0))),"",CompletionMonth="","",(DATEVALUE(INDEX(PlotData,MATCH($A132,PlotNumber,0),MATCH(N$3,PlotTitles,0))&amp;INDEX(PlotData,MATCH($A132,PlotNumber,0),MATCH(O$3,PlotTitles,0))))&gt;(DATEVALUE(CompletionMonth&amp;CompletionYear)),$AB$21,TRUE,"")</f>
        <v/>
      </c>
      <c r="S132" s="104" t="str" cm="1">
        <f t="array" ref="S132">_xlfn.IFS(AND(A132&gt;NumberOfPlots,ISBLANK(INDEX(PlotData,MATCH($A132,PlotNumber,0),MATCH(B$3,PlotTitles,0)))),"",OR(AND(INDEX(PlotData,MATCH($A132,PlotNumber,0),MATCH("Tenure",PlotTitles,0))="Open market housing",INDEX(PlotData,MATCH($A132,PlotNumber,0),MATCH("Tenure detail",PlotTitles,0))="Private rented sector"),INDEX(PlotData,MATCH($A132,PlotNumber,0),MATCH("Tenure",PlotTitles,0))="Affordable rent"),"",ISNUMBER(INDEX(PlotData,MATCH($A132,PlotNumber,0),MATCH(S$3,PlotTitles,0)))=FALSE, $AB$22,TRUE,"")</f>
        <v/>
      </c>
      <c r="T132" s="104" t="str" cm="1">
        <f t="array" ref="T132">_xlfn.IFS(AND(A132&gt;NumberOfPlots,ISBLANK(INDEX(PlotData,MATCH($A132,PlotNumber,0),MATCH(B$3,PlotTitles,0)))),"",OR(AND(INDEX(PlotData,MATCH($A132,PlotNumber,0),MATCH("Tenure",PlotTitles,0))="Open market housing",INDEX(PlotData,MATCH($A132,PlotNumber,0),MATCH("Tenure detail",PlotTitles,0))="Private rented sector"),INDEX(PlotData,MATCH($A132,PlotNumber,0),MATCH("Tenure",PlotTitles,0))="Affordable rent"),"",INDEX(PlotData,MATCH($A132,PlotNumber,0),MATCH(S$3,PlotTitles,0))&lt;10000, $AB$23,TRUE,"")</f>
        <v/>
      </c>
      <c r="U132" s="104" t="str" cm="1">
        <f t="array" ref="U132">_xlfn.IFS(AND(A132&gt;NumberOfPlots,ISBLANK(INDEX(PlotData,MATCH($A132,PlotNumber,0),MATCH(B$3,PlotTitles,0)))),"",NOT(OR(AND(INDEX(PlotData,MATCH($A132,PlotNumber,0),MATCH("Tenure",PlotTitles,0))="Open market housing",INDEX(PlotData,MATCH($A132,PlotNumber,0),MATCH("Tenure detail",PlotTitles,0))="Private rented sector"),INDEX(PlotData,MATCH($A132,PlotNumber,0),MATCH("Tenure",PlotTitles,0))="Affordable rent")),"",NOT(INDEX(PlotData,MATCH($A132,PlotNumber,0),MATCH(S$3,PlotTitles,0))=0), $AB$24,TRUE,"")</f>
        <v/>
      </c>
      <c r="V132" s="114" t="str" cm="1">
        <f t="array" aca="1" ref="V132" ca="1">_xlfn.IFS(ISBLANK(NumberOfPlots),"Enter the number of homes on the 1_SetUp sheet",AND(A132&gt;NumberOfPlots,ISBLANK(INDEX(PlotData,MATCH($A132,PlotNumber,0),MATCH(B$3,PlotTitles,0)))),"No error",NOT(B132=""),B132,NOT(C132=""),C132,NOT(D132=""),D132,NOT(E132=""),E132,NOT(F132=""),F132,NOT(G132=""),G132,NOT(H132=""),H132,NOT(I132=""),I132,NOT(J132=""),J132,NOT(K132=""),K132,NOT(L132=""),L132,NOT(M132=""),M132,NOT(N132=""),N132,NOT(O132=""),O132,NOT(P132=""),P132,NOT(Q132=""),Q132,NOT(R132=""),R132,NOT(S132=""),S132,NOT(T132=""),T132,NOT(U132=""),U132,TRUE,"No error")</f>
        <v>Enter the number of homes on the 1_SetUp sheet</v>
      </c>
      <c r="W132" s="114" t="str">
        <f t="shared" ca="1" si="5"/>
        <v xml:space="preserve">The Borrower has not addressed the following error messages for Home ID 128: </v>
      </c>
    </row>
    <row r="133" spans="1:23">
      <c r="A133" s="123">
        <v>129</v>
      </c>
      <c r="B133" s="104" t="str" cm="1">
        <f t="array" ref="B133">_xlfn.IFS(AND(A133&gt;NumberOfPlots,ISBLANK(INDEX(PlotData,MATCH($A133,PlotNumber,0),MATCH(B$3,PlotTitles,0)))),"",ISNUMBER(INDEX(PlotData,MATCH($A133,PlotNumber,0),MATCH(B$3,PlotTitles,0)))=FALSE, $AB$5,TRUE,"")</f>
        <v/>
      </c>
      <c r="C133" s="104" t="str" cm="1">
        <f t="array" ref="C133">_xlfn.IFS(AND(A133&gt;NumberOfPlots,ISBLANK(INDEX(PlotData,MATCH($A133,PlotNumber,0),MATCH(B$3,PlotTitles,0)))),"",ISBLANK(INDEX(PlotData,MATCH($A133,PlotNumber,0),MATCH(C$3,PlotTitles,0))),$AB$6,TRUE,"")</f>
        <v/>
      </c>
      <c r="D133" s="104" t="str" cm="1">
        <f t="array" ref="D133">_xlfn.IFS(AND(A133&gt;NumberOfPlots,ISBLANK(INDEX(PlotData,MATCH($A133,PlotNumber,0),MATCH(B$3,PlotTitles,0)))),"",ISBLANK(INDEX(PlotData,MATCH($A133,PlotNumber,0),MATCH(D$3,PlotTitles,0))),$AB$7,TRUE,"")</f>
        <v/>
      </c>
      <c r="E133" s="104" t="str" cm="1">
        <f t="array" ref="E133">_xlfn.IFS(AND(A133&gt;NumberOfPlots,ISBLANK(INDEX(PlotData,MATCH($A133,PlotNumber,0),MATCH(B$3,PlotTitles,0)))),"",ISBLANK(INDEX(PlotData,MATCH($A133,PlotNumber,0),MATCH(E$3,PlotTitles,0))),$AB$8,TRUE,"")</f>
        <v/>
      </c>
      <c r="F133" s="104" t="str" cm="1">
        <f t="array" ref="F133">_xlfn.IFS(AND(A133&gt;NumberOfPlots,ISBLANK(INDEX(PlotData,MATCH($A133,PlotNumber,0),MATCH(B$3,PlotTitles,0)))),"",ISBLANK(INDEX(PlotData,MATCH($A133,PlotNumber,0),MATCH(F$3,PlotTitles,0))),$AB$9,TRUE,"")</f>
        <v/>
      </c>
      <c r="G133" s="104" t="str" cm="1">
        <f t="array" ref="G133">_xlfn.IFS(AND(A133&gt;NumberOfPlots,ISBLANK(INDEX(PlotData,MATCH($A133,PlotNumber,0),MATCH(B$3,PlotTitles,0)))),"",ISBLANK(INDEX(PlotData,MATCH($A133,PlotNumber,0),MATCH(G$3,PlotTitles,0))),$AB$10,TRUE,"")</f>
        <v/>
      </c>
      <c r="H133" s="104" t="str" cm="1">
        <f t="array" ref="H133">_xlfn.IFS(AND(A133&gt;NumberOfPlots,ISBLANK(INDEX(PlotData,MATCH($A133,PlotNumber,0),MATCH(B$3,PlotTitles,0)))),"",AND(ISBLANK(INDEX(PlotData,MATCH($A133,PlotNumber,0),MATCH(H$3,PlotTitles,0)))=FALSE,INDEX(PlotData,MATCH($A133,PlotNumber,0),MATCH(H$3,PlotTitles,0))&lt;500), $AB$11,TRUE,"")</f>
        <v/>
      </c>
      <c r="I133" s="104" t="str" cm="1">
        <f t="array" ref="I133">_xlfn.IFS(AND(A133&gt;NumberOfPlots,ISBLANK(INDEX(PlotData,MATCH($A133,PlotNumber,0),MATCH(B$3,PlotTitles,0)))),"",ISBLANK(INDEX(PlotData,MATCH($A133,PlotNumber,0),MATCH(I$3,PlotTitles,0))),$AB$12,TRUE,"")</f>
        <v/>
      </c>
      <c r="J133" s="104" t="str" cm="1">
        <f t="array" ref="J133">_xlfn.IFS(AND(A133&gt;NumberOfPlots,ISBLANK(INDEX(PlotData,MATCH($A133,PlotNumber,0),MATCH(B$3,PlotTitles,0)))),"",ISBLANK(INDEX(PlotData,MATCH($A133,PlotNumber,0),MATCH(J$3,PlotTitles,0))),$AB$13,TRUE,"")</f>
        <v/>
      </c>
      <c r="K133" s="182" t="str">
        <f t="shared" ref="K133:K196" ca="1" si="6">IF(AND(A133&gt;NumberOfPlots,ISBLANK(INDEX(PlotData,MATCH($A133,PlotNumber,0),MATCH(B$3,PlotTitles,0)))),"",IF(ISBLANK(INDEX(PlotData,MATCH($A133,PlotNumber,0),MATCH(I$3,PlotTitles,0)))=FALSE,IF(ISBLANK(INDEX(PlotData,MATCH($A133,PlotNumber,0),MATCH(J$3,PlotTitles,0)))=FALSE,IF((DATEVALUE(INDEX(PlotData,MATCH($A133,PlotNumber,0),MATCH(I$3,PlotTitles,0))&amp;INDEX(PlotData,MATCH($A133,PlotNumber,0),MATCH(J$3,PlotTitles,0))))&lt;(DATEVALUE(TEXT(TODAY(),"DD")&amp;"/"&amp;TEXT(TODAY(),"MM")&amp;"/"&amp;TEXT(TODAY(),"YYYY"))),$AB$14,"")),""))</f>
        <v/>
      </c>
      <c r="L133" s="104" t="str" cm="1">
        <f t="array" ref="L133">_xlfn.IFS(OR(ISBLANK(StartDateMonth),ISBLANK(StartDateYear)),"",AND(A133&gt;NumberOfPlots,ISBLANK(INDEX(PlotData,MATCH($A133,PlotNumber,0),MATCH(B$3,PlotTitles,0)))),"",ISBLANK(INDEX(PlotData,MATCH($A133,PlotNumber,0),MATCH(I$3,PlotTitles,0))),"",(DATEVALUE(INDEX(PlotData,MATCH($A133,PlotNumber,0),MATCH(I$3,PlotTitles,0))&amp;INDEX(PlotData,MATCH($A133,PlotNumber,0),MATCH(J$3,PlotTitles,0))))&lt;DATEVALUE(StartDateMonth&amp;StartDateYear),$AB$15,TRUE,"")</f>
        <v/>
      </c>
      <c r="M133" s="104" t="str" cm="1">
        <f t="array" ref="M133">_xlfn.IFS(OR(ISBLANK(StartDateMonth),ISBLANK(StartDateYear)),"",AND(A133&gt;NumberOfPlots,ISBLANK(INDEX(PlotData,MATCH($A133,PlotNumber,0),MATCH(B$3,PlotTitles,0)))),"",ISBLANK(INDEX(PlotData,MATCH($A133,PlotNumber,0),MATCH(I$3,PlotTitles,0))),"",CompletionMonth="","",(DATEVALUE(INDEX(PlotData,MATCH($A133,PlotNumber,0),MATCH(I$3,PlotTitles,0))&amp;INDEX(PlotData,MATCH($A133,PlotNumber,0),MATCH(J$3,PlotTitles,0))))&gt;(DATEVALUE(CompletionMonth&amp;CompletionYear)),$AB$16,TRUE,"")</f>
        <v/>
      </c>
      <c r="N133" s="104" t="str" cm="1">
        <f t="array" ref="N133">_xlfn.IFS(AND(A133&gt;NumberOfPlots,ISBLANK(INDEX(PlotData,MATCH($A133,PlotNumber,0),MATCH(B$3,PlotTitles,0)))),"",ISBLANK(INDEX(PlotData,MATCH($A133,PlotNumber,0),MATCH(N$3,PlotTitles,0))),$AB$17,TRUE,"")</f>
        <v/>
      </c>
      <c r="O133" s="104" t="str" cm="1">
        <f t="array" ref="O133">_xlfn.IFS(AND(A133&gt;NumberOfPlots,ISBLANK(INDEX(PlotData,MATCH($A133,PlotNumber,0),MATCH(B$3,PlotTitles,0)))),"",ISBLANK(INDEX(PlotData,MATCH($A133,PlotNumber,0),MATCH(O$3,PlotTitles,0))),$AB$18,TRUE,"")</f>
        <v/>
      </c>
      <c r="P133" s="182" t="str">
        <f t="shared" ref="P133:P196" ca="1" si="7">IF(AND(A133&gt;NumberOfPlots,ISBLANK(INDEX(PlotData,MATCH($A133,PlotNumber,0),MATCH(B$3,PlotTitles,0)))),"",IF(ISBLANK(INDEX(PlotData,MATCH($A133,PlotNumber,0),MATCH(N$3,PlotTitles,0)))=FALSE,IF(ISBLANK(INDEX(PlotData,MATCH($A133,PlotNumber,0),MATCH(O$3,PlotTitles,0)))=FALSE,IF((DATEVALUE(INDEX(PlotData,MATCH($A133,PlotNumber,0),MATCH(N$3,PlotTitles,0))&amp;INDEX(PlotData,MATCH($A133,PlotNumber,0),MATCH(O$3,PlotTitles,0))))&lt;(DATEVALUE(TEXT(TODAY(),"DD")&amp;"/"&amp;TEXT(TODAY(),"MM")&amp;"/"&amp;TEXT(TODAY(),"YYYY"))),$AB$19,"")),""))</f>
        <v/>
      </c>
      <c r="Q133" s="104" t="str" cm="1">
        <f t="array" ref="Q133">_xlfn.IFS(AND(A133&gt;NumberOfPlots,ISBLANK(INDEX(PlotData,MATCH($A133,PlotNumber,0),MATCH(B$3,PlotTitles,0)))),"",ISBLANK(INDEX(PlotData,MATCH($A133,PlotNumber,0),MATCH(N$3,PlotTitles,0))),"",(DATEVALUE(INDEX(PlotData,MATCH($A133,PlotNumber,0),MATCH(N$3,PlotTitles,0))&amp;INDEX(PlotData,MATCH($A133,PlotNumber,0),MATCH(O$3,PlotTitles,0))))&lt;(DATEVALUE(INDEX(PlotData,MATCH($A133,PlotNumber,0),MATCH(I$3,PlotTitles,0))&amp;INDEX(PlotData,MATCH($A133,PlotNumber,0),MATCH(J$3,PlotTitles,0)))),$AB$20,TRUE,"")</f>
        <v/>
      </c>
      <c r="R133" s="104" t="str" cm="1">
        <f t="array" ref="R133">_xlfn.IFS(OR(ISBLANK(StartDateMonth),ISBLANK(StartDateYear)),"",AND(A133&gt;NumberOfPlots,ISBLANK(INDEX(PlotData,MATCH($A133,PlotNumber,0),MATCH(B$3,PlotTitles,0)))),"",ISBLANK(INDEX(PlotData,MATCH($A133,PlotNumber,0),MATCH(N$3,PlotTitles,0))),"",CompletionMonth="","",(DATEVALUE(INDEX(PlotData,MATCH($A133,PlotNumber,0),MATCH(N$3,PlotTitles,0))&amp;INDEX(PlotData,MATCH($A133,PlotNumber,0),MATCH(O$3,PlotTitles,0))))&gt;(DATEVALUE(CompletionMonth&amp;CompletionYear)),$AB$21,TRUE,"")</f>
        <v/>
      </c>
      <c r="S133" s="104" t="str" cm="1">
        <f t="array" ref="S133">_xlfn.IFS(AND(A133&gt;NumberOfPlots,ISBLANK(INDEX(PlotData,MATCH($A133,PlotNumber,0),MATCH(B$3,PlotTitles,0)))),"",OR(AND(INDEX(PlotData,MATCH($A133,PlotNumber,0),MATCH("Tenure",PlotTitles,0))="Open market housing",INDEX(PlotData,MATCH($A133,PlotNumber,0),MATCH("Tenure detail",PlotTitles,0))="Private rented sector"),INDEX(PlotData,MATCH($A133,PlotNumber,0),MATCH("Tenure",PlotTitles,0))="Affordable rent"),"",ISNUMBER(INDEX(PlotData,MATCH($A133,PlotNumber,0),MATCH(S$3,PlotTitles,0)))=FALSE, $AB$22,TRUE,"")</f>
        <v/>
      </c>
      <c r="T133" s="104" t="str" cm="1">
        <f t="array" ref="T133">_xlfn.IFS(AND(A133&gt;NumberOfPlots,ISBLANK(INDEX(PlotData,MATCH($A133,PlotNumber,0),MATCH(B$3,PlotTitles,0)))),"",OR(AND(INDEX(PlotData,MATCH($A133,PlotNumber,0),MATCH("Tenure",PlotTitles,0))="Open market housing",INDEX(PlotData,MATCH($A133,PlotNumber,0),MATCH("Tenure detail",PlotTitles,0))="Private rented sector"),INDEX(PlotData,MATCH($A133,PlotNumber,0),MATCH("Tenure",PlotTitles,0))="Affordable rent"),"",INDEX(PlotData,MATCH($A133,PlotNumber,0),MATCH(S$3,PlotTitles,0))&lt;10000, $AB$23,TRUE,"")</f>
        <v/>
      </c>
      <c r="U133" s="104" t="str" cm="1">
        <f t="array" ref="U133">_xlfn.IFS(AND(A133&gt;NumberOfPlots,ISBLANK(INDEX(PlotData,MATCH($A133,PlotNumber,0),MATCH(B$3,PlotTitles,0)))),"",NOT(OR(AND(INDEX(PlotData,MATCH($A133,PlotNumber,0),MATCH("Tenure",PlotTitles,0))="Open market housing",INDEX(PlotData,MATCH($A133,PlotNumber,0),MATCH("Tenure detail",PlotTitles,0))="Private rented sector"),INDEX(PlotData,MATCH($A133,PlotNumber,0),MATCH("Tenure",PlotTitles,0))="Affordable rent")),"",NOT(INDEX(PlotData,MATCH($A133,PlotNumber,0),MATCH(S$3,PlotTitles,0))=0), $AB$24,TRUE,"")</f>
        <v/>
      </c>
      <c r="V133" s="114" t="str" cm="1">
        <f t="array" aca="1" ref="V133" ca="1">_xlfn.IFS(ISBLANK(NumberOfPlots),"Enter the number of homes on the 1_SetUp sheet",AND(A133&gt;NumberOfPlots,ISBLANK(INDEX(PlotData,MATCH($A133,PlotNumber,0),MATCH(B$3,PlotTitles,0)))),"No error",NOT(B133=""),B133,NOT(C133=""),C133,NOT(D133=""),D133,NOT(E133=""),E133,NOT(F133=""),F133,NOT(G133=""),G133,NOT(H133=""),H133,NOT(I133=""),I133,NOT(J133=""),J133,NOT(K133=""),K133,NOT(L133=""),L133,NOT(M133=""),M133,NOT(N133=""),N133,NOT(O133=""),O133,NOT(P133=""),P133,NOT(Q133=""),Q133,NOT(R133=""),R133,NOT(S133=""),S133,NOT(T133=""),T133,NOT(U133=""),U133,TRUE,"No error")</f>
        <v>Enter the number of homes on the 1_SetUp sheet</v>
      </c>
      <c r="W133" s="114" t="str">
        <f t="shared" ca="1" si="5"/>
        <v xml:space="preserve">The Borrower has not addressed the following error messages for Home ID 129: </v>
      </c>
    </row>
    <row r="134" spans="1:23">
      <c r="A134" s="123">
        <v>130</v>
      </c>
      <c r="B134" s="104" t="str" cm="1">
        <f t="array" ref="B134">_xlfn.IFS(AND(A134&gt;NumberOfPlots,ISBLANK(INDEX(PlotData,MATCH($A134,PlotNumber,0),MATCH(B$3,PlotTitles,0)))),"",ISNUMBER(INDEX(PlotData,MATCH($A134,PlotNumber,0),MATCH(B$3,PlotTitles,0)))=FALSE, $AB$5,TRUE,"")</f>
        <v/>
      </c>
      <c r="C134" s="104" t="str" cm="1">
        <f t="array" ref="C134">_xlfn.IFS(AND(A134&gt;NumberOfPlots,ISBLANK(INDEX(PlotData,MATCH($A134,PlotNumber,0),MATCH(B$3,PlotTitles,0)))),"",ISBLANK(INDEX(PlotData,MATCH($A134,PlotNumber,0),MATCH(C$3,PlotTitles,0))),$AB$6,TRUE,"")</f>
        <v/>
      </c>
      <c r="D134" s="104" t="str" cm="1">
        <f t="array" ref="D134">_xlfn.IFS(AND(A134&gt;NumberOfPlots,ISBLANK(INDEX(PlotData,MATCH($A134,PlotNumber,0),MATCH(B$3,PlotTitles,0)))),"",ISBLANK(INDEX(PlotData,MATCH($A134,PlotNumber,0),MATCH(D$3,PlotTitles,0))),$AB$7,TRUE,"")</f>
        <v/>
      </c>
      <c r="E134" s="104" t="str" cm="1">
        <f t="array" ref="E134">_xlfn.IFS(AND(A134&gt;NumberOfPlots,ISBLANK(INDEX(PlotData,MATCH($A134,PlotNumber,0),MATCH(B$3,PlotTitles,0)))),"",ISBLANK(INDEX(PlotData,MATCH($A134,PlotNumber,0),MATCH(E$3,PlotTitles,0))),$AB$8,TRUE,"")</f>
        <v/>
      </c>
      <c r="F134" s="104" t="str" cm="1">
        <f t="array" ref="F134">_xlfn.IFS(AND(A134&gt;NumberOfPlots,ISBLANK(INDEX(PlotData,MATCH($A134,PlotNumber,0),MATCH(B$3,PlotTitles,0)))),"",ISBLANK(INDEX(PlotData,MATCH($A134,PlotNumber,0),MATCH(F$3,PlotTitles,0))),$AB$9,TRUE,"")</f>
        <v/>
      </c>
      <c r="G134" s="104" t="str" cm="1">
        <f t="array" ref="G134">_xlfn.IFS(AND(A134&gt;NumberOfPlots,ISBLANK(INDEX(PlotData,MATCH($A134,PlotNumber,0),MATCH(B$3,PlotTitles,0)))),"",ISBLANK(INDEX(PlotData,MATCH($A134,PlotNumber,0),MATCH(G$3,PlotTitles,0))),$AB$10,TRUE,"")</f>
        <v/>
      </c>
      <c r="H134" s="104" t="str" cm="1">
        <f t="array" ref="H134">_xlfn.IFS(AND(A134&gt;NumberOfPlots,ISBLANK(INDEX(PlotData,MATCH($A134,PlotNumber,0),MATCH(B$3,PlotTitles,0)))),"",AND(ISBLANK(INDEX(PlotData,MATCH($A134,PlotNumber,0),MATCH(H$3,PlotTitles,0)))=FALSE,INDEX(PlotData,MATCH($A134,PlotNumber,0),MATCH(H$3,PlotTitles,0))&lt;500), $AB$11,TRUE,"")</f>
        <v/>
      </c>
      <c r="I134" s="104" t="str" cm="1">
        <f t="array" ref="I134">_xlfn.IFS(AND(A134&gt;NumberOfPlots,ISBLANK(INDEX(PlotData,MATCH($A134,PlotNumber,0),MATCH(B$3,PlotTitles,0)))),"",ISBLANK(INDEX(PlotData,MATCH($A134,PlotNumber,0),MATCH(I$3,PlotTitles,0))),$AB$12,TRUE,"")</f>
        <v/>
      </c>
      <c r="J134" s="104" t="str" cm="1">
        <f t="array" ref="J134">_xlfn.IFS(AND(A134&gt;NumberOfPlots,ISBLANK(INDEX(PlotData,MATCH($A134,PlotNumber,0),MATCH(B$3,PlotTitles,0)))),"",ISBLANK(INDEX(PlotData,MATCH($A134,PlotNumber,0),MATCH(J$3,PlotTitles,0))),$AB$13,TRUE,"")</f>
        <v/>
      </c>
      <c r="K134" s="182" t="str">
        <f t="shared" ca="1" si="6"/>
        <v/>
      </c>
      <c r="L134" s="104" t="str" cm="1">
        <f t="array" ref="L134">_xlfn.IFS(OR(ISBLANK(StartDateMonth),ISBLANK(StartDateYear)),"",AND(A134&gt;NumberOfPlots,ISBLANK(INDEX(PlotData,MATCH($A134,PlotNumber,0),MATCH(B$3,PlotTitles,0)))),"",ISBLANK(INDEX(PlotData,MATCH($A134,PlotNumber,0),MATCH(I$3,PlotTitles,0))),"",(DATEVALUE(INDEX(PlotData,MATCH($A134,PlotNumber,0),MATCH(I$3,PlotTitles,0))&amp;INDEX(PlotData,MATCH($A134,PlotNumber,0),MATCH(J$3,PlotTitles,0))))&lt;DATEVALUE(StartDateMonth&amp;StartDateYear),$AB$15,TRUE,"")</f>
        <v/>
      </c>
      <c r="M134" s="104" t="str" cm="1">
        <f t="array" ref="M134">_xlfn.IFS(OR(ISBLANK(StartDateMonth),ISBLANK(StartDateYear)),"",AND(A134&gt;NumberOfPlots,ISBLANK(INDEX(PlotData,MATCH($A134,PlotNumber,0),MATCH(B$3,PlotTitles,0)))),"",ISBLANK(INDEX(PlotData,MATCH($A134,PlotNumber,0),MATCH(I$3,PlotTitles,0))),"",CompletionMonth="","",(DATEVALUE(INDEX(PlotData,MATCH($A134,PlotNumber,0),MATCH(I$3,PlotTitles,0))&amp;INDEX(PlotData,MATCH($A134,PlotNumber,0),MATCH(J$3,PlotTitles,0))))&gt;(DATEVALUE(CompletionMonth&amp;CompletionYear)),$AB$16,TRUE,"")</f>
        <v/>
      </c>
      <c r="N134" s="104" t="str" cm="1">
        <f t="array" ref="N134">_xlfn.IFS(AND(A134&gt;NumberOfPlots,ISBLANK(INDEX(PlotData,MATCH($A134,PlotNumber,0),MATCH(B$3,PlotTitles,0)))),"",ISBLANK(INDEX(PlotData,MATCH($A134,PlotNumber,0),MATCH(N$3,PlotTitles,0))),$AB$17,TRUE,"")</f>
        <v/>
      </c>
      <c r="O134" s="104" t="str" cm="1">
        <f t="array" ref="O134">_xlfn.IFS(AND(A134&gt;NumberOfPlots,ISBLANK(INDEX(PlotData,MATCH($A134,PlotNumber,0),MATCH(B$3,PlotTitles,0)))),"",ISBLANK(INDEX(PlotData,MATCH($A134,PlotNumber,0),MATCH(O$3,PlotTitles,0))),$AB$18,TRUE,"")</f>
        <v/>
      </c>
      <c r="P134" s="182" t="str">
        <f t="shared" ca="1" si="7"/>
        <v/>
      </c>
      <c r="Q134" s="104" t="str" cm="1">
        <f t="array" ref="Q134">_xlfn.IFS(AND(A134&gt;NumberOfPlots,ISBLANK(INDEX(PlotData,MATCH($A134,PlotNumber,0),MATCH(B$3,PlotTitles,0)))),"",ISBLANK(INDEX(PlotData,MATCH($A134,PlotNumber,0),MATCH(N$3,PlotTitles,0))),"",(DATEVALUE(INDEX(PlotData,MATCH($A134,PlotNumber,0),MATCH(N$3,PlotTitles,0))&amp;INDEX(PlotData,MATCH($A134,PlotNumber,0),MATCH(O$3,PlotTitles,0))))&lt;(DATEVALUE(INDEX(PlotData,MATCH($A134,PlotNumber,0),MATCH(I$3,PlotTitles,0))&amp;INDEX(PlotData,MATCH($A134,PlotNumber,0),MATCH(J$3,PlotTitles,0)))),$AB$20,TRUE,"")</f>
        <v/>
      </c>
      <c r="R134" s="104" t="str" cm="1">
        <f t="array" ref="R134">_xlfn.IFS(OR(ISBLANK(StartDateMonth),ISBLANK(StartDateYear)),"",AND(A134&gt;NumberOfPlots,ISBLANK(INDEX(PlotData,MATCH($A134,PlotNumber,0),MATCH(B$3,PlotTitles,0)))),"",ISBLANK(INDEX(PlotData,MATCH($A134,PlotNumber,0),MATCH(N$3,PlotTitles,0))),"",CompletionMonth="","",(DATEVALUE(INDEX(PlotData,MATCH($A134,PlotNumber,0),MATCH(N$3,PlotTitles,0))&amp;INDEX(PlotData,MATCH($A134,PlotNumber,0),MATCH(O$3,PlotTitles,0))))&gt;(DATEVALUE(CompletionMonth&amp;CompletionYear)),$AB$21,TRUE,"")</f>
        <v/>
      </c>
      <c r="S134" s="104" t="str" cm="1">
        <f t="array" ref="S134">_xlfn.IFS(AND(A134&gt;NumberOfPlots,ISBLANK(INDEX(PlotData,MATCH($A134,PlotNumber,0),MATCH(B$3,PlotTitles,0)))),"",OR(AND(INDEX(PlotData,MATCH($A134,PlotNumber,0),MATCH("Tenure",PlotTitles,0))="Open market housing",INDEX(PlotData,MATCH($A134,PlotNumber,0),MATCH("Tenure detail",PlotTitles,0))="Private rented sector"),INDEX(PlotData,MATCH($A134,PlotNumber,0),MATCH("Tenure",PlotTitles,0))="Affordable rent"),"",ISNUMBER(INDEX(PlotData,MATCH($A134,PlotNumber,0),MATCH(S$3,PlotTitles,0)))=FALSE, $AB$22,TRUE,"")</f>
        <v/>
      </c>
      <c r="T134" s="104" t="str" cm="1">
        <f t="array" ref="T134">_xlfn.IFS(AND(A134&gt;NumberOfPlots,ISBLANK(INDEX(PlotData,MATCH($A134,PlotNumber,0),MATCH(B$3,PlotTitles,0)))),"",OR(AND(INDEX(PlotData,MATCH($A134,PlotNumber,0),MATCH("Tenure",PlotTitles,0))="Open market housing",INDEX(PlotData,MATCH($A134,PlotNumber,0),MATCH("Tenure detail",PlotTitles,0))="Private rented sector"),INDEX(PlotData,MATCH($A134,PlotNumber,0),MATCH("Tenure",PlotTitles,0))="Affordable rent"),"",INDEX(PlotData,MATCH($A134,PlotNumber,0),MATCH(S$3,PlotTitles,0))&lt;10000, $AB$23,TRUE,"")</f>
        <v/>
      </c>
      <c r="U134" s="104" t="str" cm="1">
        <f t="array" ref="U134">_xlfn.IFS(AND(A134&gt;NumberOfPlots,ISBLANK(INDEX(PlotData,MATCH($A134,PlotNumber,0),MATCH(B$3,PlotTitles,0)))),"",NOT(OR(AND(INDEX(PlotData,MATCH($A134,PlotNumber,0),MATCH("Tenure",PlotTitles,0))="Open market housing",INDEX(PlotData,MATCH($A134,PlotNumber,0),MATCH("Tenure detail",PlotTitles,0))="Private rented sector"),INDEX(PlotData,MATCH($A134,PlotNumber,0),MATCH("Tenure",PlotTitles,0))="Affordable rent")),"",NOT(INDEX(PlotData,MATCH($A134,PlotNumber,0),MATCH(S$3,PlotTitles,0))=0), $AB$24,TRUE,"")</f>
        <v/>
      </c>
      <c r="V134" s="114" t="str" cm="1">
        <f t="array" aca="1" ref="V134" ca="1">_xlfn.IFS(ISBLANK(NumberOfPlots),"Enter the number of homes on the 1_SetUp sheet",AND(A134&gt;NumberOfPlots,ISBLANK(INDEX(PlotData,MATCH($A134,PlotNumber,0),MATCH(B$3,PlotTitles,0)))),"No error",NOT(B134=""),B134,NOT(C134=""),C134,NOT(D134=""),D134,NOT(E134=""),E134,NOT(F134=""),F134,NOT(G134=""),G134,NOT(H134=""),H134,NOT(I134=""),I134,NOT(J134=""),J134,NOT(K134=""),K134,NOT(L134=""),L134,NOT(M134=""),M134,NOT(N134=""),N134,NOT(O134=""),O134,NOT(P134=""),P134,NOT(Q134=""),Q134,NOT(R134=""),R134,NOT(S134=""),S134,NOT(T134=""),T134,NOT(U134=""),U134,TRUE,"No error")</f>
        <v>Enter the number of homes on the 1_SetUp sheet</v>
      </c>
      <c r="W134" s="114" t="str">
        <f t="shared" ref="W134:W197" ca="1" si="8">IF($V134="No error","","The Borrower has not addressed the following error messages for Home ID "&amp;$A134&amp;": "&amp;_xlfn.TEXTJOIN(". ",TRUE,$B134:$T134))</f>
        <v xml:space="preserve">The Borrower has not addressed the following error messages for Home ID 130: </v>
      </c>
    </row>
    <row r="135" spans="1:23">
      <c r="A135" s="123">
        <v>131</v>
      </c>
      <c r="B135" s="104" t="str" cm="1">
        <f t="array" ref="B135">_xlfn.IFS(AND(A135&gt;NumberOfPlots,ISBLANK(INDEX(PlotData,MATCH($A135,PlotNumber,0),MATCH(B$3,PlotTitles,0)))),"",ISNUMBER(INDEX(PlotData,MATCH($A135,PlotNumber,0),MATCH(B$3,PlotTitles,0)))=FALSE, $AB$5,TRUE,"")</f>
        <v/>
      </c>
      <c r="C135" s="104" t="str" cm="1">
        <f t="array" ref="C135">_xlfn.IFS(AND(A135&gt;NumberOfPlots,ISBLANK(INDEX(PlotData,MATCH($A135,PlotNumber,0),MATCH(B$3,PlotTitles,0)))),"",ISBLANK(INDEX(PlotData,MATCH($A135,PlotNumber,0),MATCH(C$3,PlotTitles,0))),$AB$6,TRUE,"")</f>
        <v/>
      </c>
      <c r="D135" s="104" t="str" cm="1">
        <f t="array" ref="D135">_xlfn.IFS(AND(A135&gt;NumberOfPlots,ISBLANK(INDEX(PlotData,MATCH($A135,PlotNumber,0),MATCH(B$3,PlotTitles,0)))),"",ISBLANK(INDEX(PlotData,MATCH($A135,PlotNumber,0),MATCH(D$3,PlotTitles,0))),$AB$7,TRUE,"")</f>
        <v/>
      </c>
      <c r="E135" s="104" t="str" cm="1">
        <f t="array" ref="E135">_xlfn.IFS(AND(A135&gt;NumberOfPlots,ISBLANK(INDEX(PlotData,MATCH($A135,PlotNumber,0),MATCH(B$3,PlotTitles,0)))),"",ISBLANK(INDEX(PlotData,MATCH($A135,PlotNumber,0),MATCH(E$3,PlotTitles,0))),$AB$8,TRUE,"")</f>
        <v/>
      </c>
      <c r="F135" s="104" t="str" cm="1">
        <f t="array" ref="F135">_xlfn.IFS(AND(A135&gt;NumberOfPlots,ISBLANK(INDEX(PlotData,MATCH($A135,PlotNumber,0),MATCH(B$3,PlotTitles,0)))),"",ISBLANK(INDEX(PlotData,MATCH($A135,PlotNumber,0),MATCH(F$3,PlotTitles,0))),$AB$9,TRUE,"")</f>
        <v/>
      </c>
      <c r="G135" s="104" t="str" cm="1">
        <f t="array" ref="G135">_xlfn.IFS(AND(A135&gt;NumberOfPlots,ISBLANK(INDEX(PlotData,MATCH($A135,PlotNumber,0),MATCH(B$3,PlotTitles,0)))),"",ISBLANK(INDEX(PlotData,MATCH($A135,PlotNumber,0),MATCH(G$3,PlotTitles,0))),$AB$10,TRUE,"")</f>
        <v/>
      </c>
      <c r="H135" s="104" t="str" cm="1">
        <f t="array" ref="H135">_xlfn.IFS(AND(A135&gt;NumberOfPlots,ISBLANK(INDEX(PlotData,MATCH($A135,PlotNumber,0),MATCH(B$3,PlotTitles,0)))),"",AND(ISBLANK(INDEX(PlotData,MATCH($A135,PlotNumber,0),MATCH(H$3,PlotTitles,0)))=FALSE,INDEX(PlotData,MATCH($A135,PlotNumber,0),MATCH(H$3,PlotTitles,0))&lt;500), $AB$11,TRUE,"")</f>
        <v/>
      </c>
      <c r="I135" s="104" t="str" cm="1">
        <f t="array" ref="I135">_xlfn.IFS(AND(A135&gt;NumberOfPlots,ISBLANK(INDEX(PlotData,MATCH($A135,PlotNumber,0),MATCH(B$3,PlotTitles,0)))),"",ISBLANK(INDEX(PlotData,MATCH($A135,PlotNumber,0),MATCH(I$3,PlotTitles,0))),$AB$12,TRUE,"")</f>
        <v/>
      </c>
      <c r="J135" s="104" t="str" cm="1">
        <f t="array" ref="J135">_xlfn.IFS(AND(A135&gt;NumberOfPlots,ISBLANK(INDEX(PlotData,MATCH($A135,PlotNumber,0),MATCH(B$3,PlotTitles,0)))),"",ISBLANK(INDEX(PlotData,MATCH($A135,PlotNumber,0),MATCH(J$3,PlotTitles,0))),$AB$13,TRUE,"")</f>
        <v/>
      </c>
      <c r="K135" s="182" t="str">
        <f t="shared" ca="1" si="6"/>
        <v/>
      </c>
      <c r="L135" s="104" t="str" cm="1">
        <f t="array" ref="L135">_xlfn.IFS(OR(ISBLANK(StartDateMonth),ISBLANK(StartDateYear)),"",AND(A135&gt;NumberOfPlots,ISBLANK(INDEX(PlotData,MATCH($A135,PlotNumber,0),MATCH(B$3,PlotTitles,0)))),"",ISBLANK(INDEX(PlotData,MATCH($A135,PlotNumber,0),MATCH(I$3,PlotTitles,0))),"",(DATEVALUE(INDEX(PlotData,MATCH($A135,PlotNumber,0),MATCH(I$3,PlotTitles,0))&amp;INDEX(PlotData,MATCH($A135,PlotNumber,0),MATCH(J$3,PlotTitles,0))))&lt;DATEVALUE(StartDateMonth&amp;StartDateYear),$AB$15,TRUE,"")</f>
        <v/>
      </c>
      <c r="M135" s="104" t="str" cm="1">
        <f t="array" ref="M135">_xlfn.IFS(OR(ISBLANK(StartDateMonth),ISBLANK(StartDateYear)),"",AND(A135&gt;NumberOfPlots,ISBLANK(INDEX(PlotData,MATCH($A135,PlotNumber,0),MATCH(B$3,PlotTitles,0)))),"",ISBLANK(INDEX(PlotData,MATCH($A135,PlotNumber,0),MATCH(I$3,PlotTitles,0))),"",CompletionMonth="","",(DATEVALUE(INDEX(PlotData,MATCH($A135,PlotNumber,0),MATCH(I$3,PlotTitles,0))&amp;INDEX(PlotData,MATCH($A135,PlotNumber,0),MATCH(J$3,PlotTitles,0))))&gt;(DATEVALUE(CompletionMonth&amp;CompletionYear)),$AB$16,TRUE,"")</f>
        <v/>
      </c>
      <c r="N135" s="104" t="str" cm="1">
        <f t="array" ref="N135">_xlfn.IFS(AND(A135&gt;NumberOfPlots,ISBLANK(INDEX(PlotData,MATCH($A135,PlotNumber,0),MATCH(B$3,PlotTitles,0)))),"",ISBLANK(INDEX(PlotData,MATCH($A135,PlotNumber,0),MATCH(N$3,PlotTitles,0))),$AB$17,TRUE,"")</f>
        <v/>
      </c>
      <c r="O135" s="104" t="str" cm="1">
        <f t="array" ref="O135">_xlfn.IFS(AND(A135&gt;NumberOfPlots,ISBLANK(INDEX(PlotData,MATCH($A135,PlotNumber,0),MATCH(B$3,PlotTitles,0)))),"",ISBLANK(INDEX(PlotData,MATCH($A135,PlotNumber,0),MATCH(O$3,PlotTitles,0))),$AB$18,TRUE,"")</f>
        <v/>
      </c>
      <c r="P135" s="182" t="str">
        <f t="shared" ca="1" si="7"/>
        <v/>
      </c>
      <c r="Q135" s="104" t="str" cm="1">
        <f t="array" ref="Q135">_xlfn.IFS(AND(A135&gt;NumberOfPlots,ISBLANK(INDEX(PlotData,MATCH($A135,PlotNumber,0),MATCH(B$3,PlotTitles,0)))),"",ISBLANK(INDEX(PlotData,MATCH($A135,PlotNumber,0),MATCH(N$3,PlotTitles,0))),"",(DATEVALUE(INDEX(PlotData,MATCH($A135,PlotNumber,0),MATCH(N$3,PlotTitles,0))&amp;INDEX(PlotData,MATCH($A135,PlotNumber,0),MATCH(O$3,PlotTitles,0))))&lt;(DATEVALUE(INDEX(PlotData,MATCH($A135,PlotNumber,0),MATCH(I$3,PlotTitles,0))&amp;INDEX(PlotData,MATCH($A135,PlotNumber,0),MATCH(J$3,PlotTitles,0)))),$AB$20,TRUE,"")</f>
        <v/>
      </c>
      <c r="R135" s="104" t="str" cm="1">
        <f t="array" ref="R135">_xlfn.IFS(OR(ISBLANK(StartDateMonth),ISBLANK(StartDateYear)),"",AND(A135&gt;NumberOfPlots,ISBLANK(INDEX(PlotData,MATCH($A135,PlotNumber,0),MATCH(B$3,PlotTitles,0)))),"",ISBLANK(INDEX(PlotData,MATCH($A135,PlotNumber,0),MATCH(N$3,PlotTitles,0))),"",CompletionMonth="","",(DATEVALUE(INDEX(PlotData,MATCH($A135,PlotNumber,0),MATCH(N$3,PlotTitles,0))&amp;INDEX(PlotData,MATCH($A135,PlotNumber,0),MATCH(O$3,PlotTitles,0))))&gt;(DATEVALUE(CompletionMonth&amp;CompletionYear)),$AB$21,TRUE,"")</f>
        <v/>
      </c>
      <c r="S135" s="104" t="str" cm="1">
        <f t="array" ref="S135">_xlfn.IFS(AND(A135&gt;NumberOfPlots,ISBLANK(INDEX(PlotData,MATCH($A135,PlotNumber,0),MATCH(B$3,PlotTitles,0)))),"",OR(AND(INDEX(PlotData,MATCH($A135,PlotNumber,0),MATCH("Tenure",PlotTitles,0))="Open market housing",INDEX(PlotData,MATCH($A135,PlotNumber,0),MATCH("Tenure detail",PlotTitles,0))="Private rented sector"),INDEX(PlotData,MATCH($A135,PlotNumber,0),MATCH("Tenure",PlotTitles,0))="Affordable rent"),"",ISNUMBER(INDEX(PlotData,MATCH($A135,PlotNumber,0),MATCH(S$3,PlotTitles,0)))=FALSE, $AB$22,TRUE,"")</f>
        <v/>
      </c>
      <c r="T135" s="104" t="str" cm="1">
        <f t="array" ref="T135">_xlfn.IFS(AND(A135&gt;NumberOfPlots,ISBLANK(INDEX(PlotData,MATCH($A135,PlotNumber,0),MATCH(B$3,PlotTitles,0)))),"",OR(AND(INDEX(PlotData,MATCH($A135,PlotNumber,0),MATCH("Tenure",PlotTitles,0))="Open market housing",INDEX(PlotData,MATCH($A135,PlotNumber,0),MATCH("Tenure detail",PlotTitles,0))="Private rented sector"),INDEX(PlotData,MATCH($A135,PlotNumber,0),MATCH("Tenure",PlotTitles,0))="Affordable rent"),"",INDEX(PlotData,MATCH($A135,PlotNumber,0),MATCH(S$3,PlotTitles,0))&lt;10000, $AB$23,TRUE,"")</f>
        <v/>
      </c>
      <c r="U135" s="104" t="str" cm="1">
        <f t="array" ref="U135">_xlfn.IFS(AND(A135&gt;NumberOfPlots,ISBLANK(INDEX(PlotData,MATCH($A135,PlotNumber,0),MATCH(B$3,PlotTitles,0)))),"",NOT(OR(AND(INDEX(PlotData,MATCH($A135,PlotNumber,0),MATCH("Tenure",PlotTitles,0))="Open market housing",INDEX(PlotData,MATCH($A135,PlotNumber,0),MATCH("Tenure detail",PlotTitles,0))="Private rented sector"),INDEX(PlotData,MATCH($A135,PlotNumber,0),MATCH("Tenure",PlotTitles,0))="Affordable rent")),"",NOT(INDEX(PlotData,MATCH($A135,PlotNumber,0),MATCH(S$3,PlotTitles,0))=0), $AB$24,TRUE,"")</f>
        <v/>
      </c>
      <c r="V135" s="114" t="str" cm="1">
        <f t="array" aca="1" ref="V135" ca="1">_xlfn.IFS(ISBLANK(NumberOfPlots),"Enter the number of homes on the 1_SetUp sheet",AND(A135&gt;NumberOfPlots,ISBLANK(INDEX(PlotData,MATCH($A135,PlotNumber,0),MATCH(B$3,PlotTitles,0)))),"No error",NOT(B135=""),B135,NOT(C135=""),C135,NOT(D135=""),D135,NOT(E135=""),E135,NOT(F135=""),F135,NOT(G135=""),G135,NOT(H135=""),H135,NOT(I135=""),I135,NOT(J135=""),J135,NOT(K135=""),K135,NOT(L135=""),L135,NOT(M135=""),M135,NOT(N135=""),N135,NOT(O135=""),O135,NOT(P135=""),P135,NOT(Q135=""),Q135,NOT(R135=""),R135,NOT(S135=""),S135,NOT(T135=""),T135,NOT(U135=""),U135,TRUE,"No error")</f>
        <v>Enter the number of homes on the 1_SetUp sheet</v>
      </c>
      <c r="W135" s="114" t="str">
        <f t="shared" ca="1" si="8"/>
        <v xml:space="preserve">The Borrower has not addressed the following error messages for Home ID 131: </v>
      </c>
    </row>
    <row r="136" spans="1:23">
      <c r="A136" s="123">
        <v>132</v>
      </c>
      <c r="B136" s="104" t="str" cm="1">
        <f t="array" ref="B136">_xlfn.IFS(AND(A136&gt;NumberOfPlots,ISBLANK(INDEX(PlotData,MATCH($A136,PlotNumber,0),MATCH(B$3,PlotTitles,0)))),"",ISNUMBER(INDEX(PlotData,MATCH($A136,PlotNumber,0),MATCH(B$3,PlotTitles,0)))=FALSE, $AB$5,TRUE,"")</f>
        <v/>
      </c>
      <c r="C136" s="104" t="str" cm="1">
        <f t="array" ref="C136">_xlfn.IFS(AND(A136&gt;NumberOfPlots,ISBLANK(INDEX(PlotData,MATCH($A136,PlotNumber,0),MATCH(B$3,PlotTitles,0)))),"",ISBLANK(INDEX(PlotData,MATCH($A136,PlotNumber,0),MATCH(C$3,PlotTitles,0))),$AB$6,TRUE,"")</f>
        <v/>
      </c>
      <c r="D136" s="104" t="str" cm="1">
        <f t="array" ref="D136">_xlfn.IFS(AND(A136&gt;NumberOfPlots,ISBLANK(INDEX(PlotData,MATCH($A136,PlotNumber,0),MATCH(B$3,PlotTitles,0)))),"",ISBLANK(INDEX(PlotData,MATCH($A136,PlotNumber,0),MATCH(D$3,PlotTitles,0))),$AB$7,TRUE,"")</f>
        <v/>
      </c>
      <c r="E136" s="104" t="str" cm="1">
        <f t="array" ref="E136">_xlfn.IFS(AND(A136&gt;NumberOfPlots,ISBLANK(INDEX(PlotData,MATCH($A136,PlotNumber,0),MATCH(B$3,PlotTitles,0)))),"",ISBLANK(INDEX(PlotData,MATCH($A136,PlotNumber,0),MATCH(E$3,PlotTitles,0))),$AB$8,TRUE,"")</f>
        <v/>
      </c>
      <c r="F136" s="104" t="str" cm="1">
        <f t="array" ref="F136">_xlfn.IFS(AND(A136&gt;NumberOfPlots,ISBLANK(INDEX(PlotData,MATCH($A136,PlotNumber,0),MATCH(B$3,PlotTitles,0)))),"",ISBLANK(INDEX(PlotData,MATCH($A136,PlotNumber,0),MATCH(F$3,PlotTitles,0))),$AB$9,TRUE,"")</f>
        <v/>
      </c>
      <c r="G136" s="104" t="str" cm="1">
        <f t="array" ref="G136">_xlfn.IFS(AND(A136&gt;NumberOfPlots,ISBLANK(INDEX(PlotData,MATCH($A136,PlotNumber,0),MATCH(B$3,PlotTitles,0)))),"",ISBLANK(INDEX(PlotData,MATCH($A136,PlotNumber,0),MATCH(G$3,PlotTitles,0))),$AB$10,TRUE,"")</f>
        <v/>
      </c>
      <c r="H136" s="104" t="str" cm="1">
        <f t="array" ref="H136">_xlfn.IFS(AND(A136&gt;NumberOfPlots,ISBLANK(INDEX(PlotData,MATCH($A136,PlotNumber,0),MATCH(B$3,PlotTitles,0)))),"",AND(ISBLANK(INDEX(PlotData,MATCH($A136,PlotNumber,0),MATCH(H$3,PlotTitles,0)))=FALSE,INDEX(PlotData,MATCH($A136,PlotNumber,0),MATCH(H$3,PlotTitles,0))&lt;500), $AB$11,TRUE,"")</f>
        <v/>
      </c>
      <c r="I136" s="104" t="str" cm="1">
        <f t="array" ref="I136">_xlfn.IFS(AND(A136&gt;NumberOfPlots,ISBLANK(INDEX(PlotData,MATCH($A136,PlotNumber,0),MATCH(B$3,PlotTitles,0)))),"",ISBLANK(INDEX(PlotData,MATCH($A136,PlotNumber,0),MATCH(I$3,PlotTitles,0))),$AB$12,TRUE,"")</f>
        <v/>
      </c>
      <c r="J136" s="104" t="str" cm="1">
        <f t="array" ref="J136">_xlfn.IFS(AND(A136&gt;NumberOfPlots,ISBLANK(INDEX(PlotData,MATCH($A136,PlotNumber,0),MATCH(B$3,PlotTitles,0)))),"",ISBLANK(INDEX(PlotData,MATCH($A136,PlotNumber,0),MATCH(J$3,PlotTitles,0))),$AB$13,TRUE,"")</f>
        <v/>
      </c>
      <c r="K136" s="182" t="str">
        <f t="shared" ca="1" si="6"/>
        <v/>
      </c>
      <c r="L136" s="104" t="str" cm="1">
        <f t="array" ref="L136">_xlfn.IFS(OR(ISBLANK(StartDateMonth),ISBLANK(StartDateYear)),"",AND(A136&gt;NumberOfPlots,ISBLANK(INDEX(PlotData,MATCH($A136,PlotNumber,0),MATCH(B$3,PlotTitles,0)))),"",ISBLANK(INDEX(PlotData,MATCH($A136,PlotNumber,0),MATCH(I$3,PlotTitles,0))),"",(DATEVALUE(INDEX(PlotData,MATCH($A136,PlotNumber,0),MATCH(I$3,PlotTitles,0))&amp;INDEX(PlotData,MATCH($A136,PlotNumber,0),MATCH(J$3,PlotTitles,0))))&lt;DATEVALUE(StartDateMonth&amp;StartDateYear),$AB$15,TRUE,"")</f>
        <v/>
      </c>
      <c r="M136" s="104" t="str" cm="1">
        <f t="array" ref="M136">_xlfn.IFS(OR(ISBLANK(StartDateMonth),ISBLANK(StartDateYear)),"",AND(A136&gt;NumberOfPlots,ISBLANK(INDEX(PlotData,MATCH($A136,PlotNumber,0),MATCH(B$3,PlotTitles,0)))),"",ISBLANK(INDEX(PlotData,MATCH($A136,PlotNumber,0),MATCH(I$3,PlotTitles,0))),"",CompletionMonth="","",(DATEVALUE(INDEX(PlotData,MATCH($A136,PlotNumber,0),MATCH(I$3,PlotTitles,0))&amp;INDEX(PlotData,MATCH($A136,PlotNumber,0),MATCH(J$3,PlotTitles,0))))&gt;(DATEVALUE(CompletionMonth&amp;CompletionYear)),$AB$16,TRUE,"")</f>
        <v/>
      </c>
      <c r="N136" s="104" t="str" cm="1">
        <f t="array" ref="N136">_xlfn.IFS(AND(A136&gt;NumberOfPlots,ISBLANK(INDEX(PlotData,MATCH($A136,PlotNumber,0),MATCH(B$3,PlotTitles,0)))),"",ISBLANK(INDEX(PlotData,MATCH($A136,PlotNumber,0),MATCH(N$3,PlotTitles,0))),$AB$17,TRUE,"")</f>
        <v/>
      </c>
      <c r="O136" s="104" t="str" cm="1">
        <f t="array" ref="O136">_xlfn.IFS(AND(A136&gt;NumberOfPlots,ISBLANK(INDEX(PlotData,MATCH($A136,PlotNumber,0),MATCH(B$3,PlotTitles,0)))),"",ISBLANK(INDEX(PlotData,MATCH($A136,PlotNumber,0),MATCH(O$3,PlotTitles,0))),$AB$18,TRUE,"")</f>
        <v/>
      </c>
      <c r="P136" s="182" t="str">
        <f t="shared" ca="1" si="7"/>
        <v/>
      </c>
      <c r="Q136" s="104" t="str" cm="1">
        <f t="array" ref="Q136">_xlfn.IFS(AND(A136&gt;NumberOfPlots,ISBLANK(INDEX(PlotData,MATCH($A136,PlotNumber,0),MATCH(B$3,PlotTitles,0)))),"",ISBLANK(INDEX(PlotData,MATCH($A136,PlotNumber,0),MATCH(N$3,PlotTitles,0))),"",(DATEVALUE(INDEX(PlotData,MATCH($A136,PlotNumber,0),MATCH(N$3,PlotTitles,0))&amp;INDEX(PlotData,MATCH($A136,PlotNumber,0),MATCH(O$3,PlotTitles,0))))&lt;(DATEVALUE(INDEX(PlotData,MATCH($A136,PlotNumber,0),MATCH(I$3,PlotTitles,0))&amp;INDEX(PlotData,MATCH($A136,PlotNumber,0),MATCH(J$3,PlotTitles,0)))),$AB$20,TRUE,"")</f>
        <v/>
      </c>
      <c r="R136" s="104" t="str" cm="1">
        <f t="array" ref="R136">_xlfn.IFS(OR(ISBLANK(StartDateMonth),ISBLANK(StartDateYear)),"",AND(A136&gt;NumberOfPlots,ISBLANK(INDEX(PlotData,MATCH($A136,PlotNumber,0),MATCH(B$3,PlotTitles,0)))),"",ISBLANK(INDEX(PlotData,MATCH($A136,PlotNumber,0),MATCH(N$3,PlotTitles,0))),"",CompletionMonth="","",(DATEVALUE(INDEX(PlotData,MATCH($A136,PlotNumber,0),MATCH(N$3,PlotTitles,0))&amp;INDEX(PlotData,MATCH($A136,PlotNumber,0),MATCH(O$3,PlotTitles,0))))&gt;(DATEVALUE(CompletionMonth&amp;CompletionYear)),$AB$21,TRUE,"")</f>
        <v/>
      </c>
      <c r="S136" s="104" t="str" cm="1">
        <f t="array" ref="S136">_xlfn.IFS(AND(A136&gt;NumberOfPlots,ISBLANK(INDEX(PlotData,MATCH($A136,PlotNumber,0),MATCH(B$3,PlotTitles,0)))),"",OR(AND(INDEX(PlotData,MATCH($A136,PlotNumber,0),MATCH("Tenure",PlotTitles,0))="Open market housing",INDEX(PlotData,MATCH($A136,PlotNumber,0),MATCH("Tenure detail",PlotTitles,0))="Private rented sector"),INDEX(PlotData,MATCH($A136,PlotNumber,0),MATCH("Tenure",PlotTitles,0))="Affordable rent"),"",ISNUMBER(INDEX(PlotData,MATCH($A136,PlotNumber,0),MATCH(S$3,PlotTitles,0)))=FALSE, $AB$22,TRUE,"")</f>
        <v/>
      </c>
      <c r="T136" s="104" t="str" cm="1">
        <f t="array" ref="T136">_xlfn.IFS(AND(A136&gt;NumberOfPlots,ISBLANK(INDEX(PlotData,MATCH($A136,PlotNumber,0),MATCH(B$3,PlotTitles,0)))),"",OR(AND(INDEX(PlotData,MATCH($A136,PlotNumber,0),MATCH("Tenure",PlotTitles,0))="Open market housing",INDEX(PlotData,MATCH($A136,PlotNumber,0),MATCH("Tenure detail",PlotTitles,0))="Private rented sector"),INDEX(PlotData,MATCH($A136,PlotNumber,0),MATCH("Tenure",PlotTitles,0))="Affordable rent"),"",INDEX(PlotData,MATCH($A136,PlotNumber,0),MATCH(S$3,PlotTitles,0))&lt;10000, $AB$23,TRUE,"")</f>
        <v/>
      </c>
      <c r="U136" s="104" t="str" cm="1">
        <f t="array" ref="U136">_xlfn.IFS(AND(A136&gt;NumberOfPlots,ISBLANK(INDEX(PlotData,MATCH($A136,PlotNumber,0),MATCH(B$3,PlotTitles,0)))),"",NOT(OR(AND(INDEX(PlotData,MATCH($A136,PlotNumber,0),MATCH("Tenure",PlotTitles,0))="Open market housing",INDEX(PlotData,MATCH($A136,PlotNumber,0),MATCH("Tenure detail",PlotTitles,0))="Private rented sector"),INDEX(PlotData,MATCH($A136,PlotNumber,0),MATCH("Tenure",PlotTitles,0))="Affordable rent")),"",NOT(INDEX(PlotData,MATCH($A136,PlotNumber,0),MATCH(S$3,PlotTitles,0))=0), $AB$24,TRUE,"")</f>
        <v/>
      </c>
      <c r="V136" s="114" t="str" cm="1">
        <f t="array" aca="1" ref="V136" ca="1">_xlfn.IFS(ISBLANK(NumberOfPlots),"Enter the number of homes on the 1_SetUp sheet",AND(A136&gt;NumberOfPlots,ISBLANK(INDEX(PlotData,MATCH($A136,PlotNumber,0),MATCH(B$3,PlotTitles,0)))),"No error",NOT(B136=""),B136,NOT(C136=""),C136,NOT(D136=""),D136,NOT(E136=""),E136,NOT(F136=""),F136,NOT(G136=""),G136,NOT(H136=""),H136,NOT(I136=""),I136,NOT(J136=""),J136,NOT(K136=""),K136,NOT(L136=""),L136,NOT(M136=""),M136,NOT(N136=""),N136,NOT(O136=""),O136,NOT(P136=""),P136,NOT(Q136=""),Q136,NOT(R136=""),R136,NOT(S136=""),S136,NOT(T136=""),T136,NOT(U136=""),U136,TRUE,"No error")</f>
        <v>Enter the number of homes on the 1_SetUp sheet</v>
      </c>
      <c r="W136" s="114" t="str">
        <f t="shared" ca="1" si="8"/>
        <v xml:space="preserve">The Borrower has not addressed the following error messages for Home ID 132: </v>
      </c>
    </row>
    <row r="137" spans="1:23">
      <c r="A137" s="123">
        <v>133</v>
      </c>
      <c r="B137" s="104" t="str" cm="1">
        <f t="array" ref="B137">_xlfn.IFS(AND(A137&gt;NumberOfPlots,ISBLANK(INDEX(PlotData,MATCH($A137,PlotNumber,0),MATCH(B$3,PlotTitles,0)))),"",ISNUMBER(INDEX(PlotData,MATCH($A137,PlotNumber,0),MATCH(B$3,PlotTitles,0)))=FALSE, $AB$5,TRUE,"")</f>
        <v/>
      </c>
      <c r="C137" s="104" t="str" cm="1">
        <f t="array" ref="C137">_xlfn.IFS(AND(A137&gt;NumberOfPlots,ISBLANK(INDEX(PlotData,MATCH($A137,PlotNumber,0),MATCH(B$3,PlotTitles,0)))),"",ISBLANK(INDEX(PlotData,MATCH($A137,PlotNumber,0),MATCH(C$3,PlotTitles,0))),$AB$6,TRUE,"")</f>
        <v/>
      </c>
      <c r="D137" s="104" t="str" cm="1">
        <f t="array" ref="D137">_xlfn.IFS(AND(A137&gt;NumberOfPlots,ISBLANK(INDEX(PlotData,MATCH($A137,PlotNumber,0),MATCH(B$3,PlotTitles,0)))),"",ISBLANK(INDEX(PlotData,MATCH($A137,PlotNumber,0),MATCH(D$3,PlotTitles,0))),$AB$7,TRUE,"")</f>
        <v/>
      </c>
      <c r="E137" s="104" t="str" cm="1">
        <f t="array" ref="E137">_xlfn.IFS(AND(A137&gt;NumberOfPlots,ISBLANK(INDEX(PlotData,MATCH($A137,PlotNumber,0),MATCH(B$3,PlotTitles,0)))),"",ISBLANK(INDEX(PlotData,MATCH($A137,PlotNumber,0),MATCH(E$3,PlotTitles,0))),$AB$8,TRUE,"")</f>
        <v/>
      </c>
      <c r="F137" s="104" t="str" cm="1">
        <f t="array" ref="F137">_xlfn.IFS(AND(A137&gt;NumberOfPlots,ISBLANK(INDEX(PlotData,MATCH($A137,PlotNumber,0),MATCH(B$3,PlotTitles,0)))),"",ISBLANK(INDEX(PlotData,MATCH($A137,PlotNumber,0),MATCH(F$3,PlotTitles,0))),$AB$9,TRUE,"")</f>
        <v/>
      </c>
      <c r="G137" s="104" t="str" cm="1">
        <f t="array" ref="G137">_xlfn.IFS(AND(A137&gt;NumberOfPlots,ISBLANK(INDEX(PlotData,MATCH($A137,PlotNumber,0),MATCH(B$3,PlotTitles,0)))),"",ISBLANK(INDEX(PlotData,MATCH($A137,PlotNumber,0),MATCH(G$3,PlotTitles,0))),$AB$10,TRUE,"")</f>
        <v/>
      </c>
      <c r="H137" s="104" t="str" cm="1">
        <f t="array" ref="H137">_xlfn.IFS(AND(A137&gt;NumberOfPlots,ISBLANK(INDEX(PlotData,MATCH($A137,PlotNumber,0),MATCH(B$3,PlotTitles,0)))),"",AND(ISBLANK(INDEX(PlotData,MATCH($A137,PlotNumber,0),MATCH(H$3,PlotTitles,0)))=FALSE,INDEX(PlotData,MATCH($A137,PlotNumber,0),MATCH(H$3,PlotTitles,0))&lt;500), $AB$11,TRUE,"")</f>
        <v/>
      </c>
      <c r="I137" s="104" t="str" cm="1">
        <f t="array" ref="I137">_xlfn.IFS(AND(A137&gt;NumberOfPlots,ISBLANK(INDEX(PlotData,MATCH($A137,PlotNumber,0),MATCH(B$3,PlotTitles,0)))),"",ISBLANK(INDEX(PlotData,MATCH($A137,PlotNumber,0),MATCH(I$3,PlotTitles,0))),$AB$12,TRUE,"")</f>
        <v/>
      </c>
      <c r="J137" s="104" t="str" cm="1">
        <f t="array" ref="J137">_xlfn.IFS(AND(A137&gt;NumberOfPlots,ISBLANK(INDEX(PlotData,MATCH($A137,PlotNumber,0),MATCH(B$3,PlotTitles,0)))),"",ISBLANK(INDEX(PlotData,MATCH($A137,PlotNumber,0),MATCH(J$3,PlotTitles,0))),$AB$13,TRUE,"")</f>
        <v/>
      </c>
      <c r="K137" s="182" t="str">
        <f t="shared" ca="1" si="6"/>
        <v/>
      </c>
      <c r="L137" s="104" t="str" cm="1">
        <f t="array" ref="L137">_xlfn.IFS(OR(ISBLANK(StartDateMonth),ISBLANK(StartDateYear)),"",AND(A137&gt;NumberOfPlots,ISBLANK(INDEX(PlotData,MATCH($A137,PlotNumber,0),MATCH(B$3,PlotTitles,0)))),"",ISBLANK(INDEX(PlotData,MATCH($A137,PlotNumber,0),MATCH(I$3,PlotTitles,0))),"",(DATEVALUE(INDEX(PlotData,MATCH($A137,PlotNumber,0),MATCH(I$3,PlotTitles,0))&amp;INDEX(PlotData,MATCH($A137,PlotNumber,0),MATCH(J$3,PlotTitles,0))))&lt;DATEVALUE(StartDateMonth&amp;StartDateYear),$AB$15,TRUE,"")</f>
        <v/>
      </c>
      <c r="M137" s="104" t="str" cm="1">
        <f t="array" ref="M137">_xlfn.IFS(OR(ISBLANK(StartDateMonth),ISBLANK(StartDateYear)),"",AND(A137&gt;NumberOfPlots,ISBLANK(INDEX(PlotData,MATCH($A137,PlotNumber,0),MATCH(B$3,PlotTitles,0)))),"",ISBLANK(INDEX(PlotData,MATCH($A137,PlotNumber,0),MATCH(I$3,PlotTitles,0))),"",CompletionMonth="","",(DATEVALUE(INDEX(PlotData,MATCH($A137,PlotNumber,0),MATCH(I$3,PlotTitles,0))&amp;INDEX(PlotData,MATCH($A137,PlotNumber,0),MATCH(J$3,PlotTitles,0))))&gt;(DATEVALUE(CompletionMonth&amp;CompletionYear)),$AB$16,TRUE,"")</f>
        <v/>
      </c>
      <c r="N137" s="104" t="str" cm="1">
        <f t="array" ref="N137">_xlfn.IFS(AND(A137&gt;NumberOfPlots,ISBLANK(INDEX(PlotData,MATCH($A137,PlotNumber,0),MATCH(B$3,PlotTitles,0)))),"",ISBLANK(INDEX(PlotData,MATCH($A137,PlotNumber,0),MATCH(N$3,PlotTitles,0))),$AB$17,TRUE,"")</f>
        <v/>
      </c>
      <c r="O137" s="104" t="str" cm="1">
        <f t="array" ref="O137">_xlfn.IFS(AND(A137&gt;NumberOfPlots,ISBLANK(INDEX(PlotData,MATCH($A137,PlotNumber,0),MATCH(B$3,PlotTitles,0)))),"",ISBLANK(INDEX(PlotData,MATCH($A137,PlotNumber,0),MATCH(O$3,PlotTitles,0))),$AB$18,TRUE,"")</f>
        <v/>
      </c>
      <c r="P137" s="182" t="str">
        <f t="shared" ca="1" si="7"/>
        <v/>
      </c>
      <c r="Q137" s="104" t="str" cm="1">
        <f t="array" ref="Q137">_xlfn.IFS(AND(A137&gt;NumberOfPlots,ISBLANK(INDEX(PlotData,MATCH($A137,PlotNumber,0),MATCH(B$3,PlotTitles,0)))),"",ISBLANK(INDEX(PlotData,MATCH($A137,PlotNumber,0),MATCH(N$3,PlotTitles,0))),"",(DATEVALUE(INDEX(PlotData,MATCH($A137,PlotNumber,0),MATCH(N$3,PlotTitles,0))&amp;INDEX(PlotData,MATCH($A137,PlotNumber,0),MATCH(O$3,PlotTitles,0))))&lt;(DATEVALUE(INDEX(PlotData,MATCH($A137,PlotNumber,0),MATCH(I$3,PlotTitles,0))&amp;INDEX(PlotData,MATCH($A137,PlotNumber,0),MATCH(J$3,PlotTitles,0)))),$AB$20,TRUE,"")</f>
        <v/>
      </c>
      <c r="R137" s="104" t="str" cm="1">
        <f t="array" ref="R137">_xlfn.IFS(OR(ISBLANK(StartDateMonth),ISBLANK(StartDateYear)),"",AND(A137&gt;NumberOfPlots,ISBLANK(INDEX(PlotData,MATCH($A137,PlotNumber,0),MATCH(B$3,PlotTitles,0)))),"",ISBLANK(INDEX(PlotData,MATCH($A137,PlotNumber,0),MATCH(N$3,PlotTitles,0))),"",CompletionMonth="","",(DATEVALUE(INDEX(PlotData,MATCH($A137,PlotNumber,0),MATCH(N$3,PlotTitles,0))&amp;INDEX(PlotData,MATCH($A137,PlotNumber,0),MATCH(O$3,PlotTitles,0))))&gt;(DATEVALUE(CompletionMonth&amp;CompletionYear)),$AB$21,TRUE,"")</f>
        <v/>
      </c>
      <c r="S137" s="104" t="str" cm="1">
        <f t="array" ref="S137">_xlfn.IFS(AND(A137&gt;NumberOfPlots,ISBLANK(INDEX(PlotData,MATCH($A137,PlotNumber,0),MATCH(B$3,PlotTitles,0)))),"",OR(AND(INDEX(PlotData,MATCH($A137,PlotNumber,0),MATCH("Tenure",PlotTitles,0))="Open market housing",INDEX(PlotData,MATCH($A137,PlotNumber,0),MATCH("Tenure detail",PlotTitles,0))="Private rented sector"),INDEX(PlotData,MATCH($A137,PlotNumber,0),MATCH("Tenure",PlotTitles,0))="Affordable rent"),"",ISNUMBER(INDEX(PlotData,MATCH($A137,PlotNumber,0),MATCH(S$3,PlotTitles,0)))=FALSE, $AB$22,TRUE,"")</f>
        <v/>
      </c>
      <c r="T137" s="104" t="str" cm="1">
        <f t="array" ref="T137">_xlfn.IFS(AND(A137&gt;NumberOfPlots,ISBLANK(INDEX(PlotData,MATCH($A137,PlotNumber,0),MATCH(B$3,PlotTitles,0)))),"",OR(AND(INDEX(PlotData,MATCH($A137,PlotNumber,0),MATCH("Tenure",PlotTitles,0))="Open market housing",INDEX(PlotData,MATCH($A137,PlotNumber,0),MATCH("Tenure detail",PlotTitles,0))="Private rented sector"),INDEX(PlotData,MATCH($A137,PlotNumber,0),MATCH("Tenure",PlotTitles,0))="Affordable rent"),"",INDEX(PlotData,MATCH($A137,PlotNumber,0),MATCH(S$3,PlotTitles,0))&lt;10000, $AB$23,TRUE,"")</f>
        <v/>
      </c>
      <c r="U137" s="104" t="str" cm="1">
        <f t="array" ref="U137">_xlfn.IFS(AND(A137&gt;NumberOfPlots,ISBLANK(INDEX(PlotData,MATCH($A137,PlotNumber,0),MATCH(B$3,PlotTitles,0)))),"",NOT(OR(AND(INDEX(PlotData,MATCH($A137,PlotNumber,0),MATCH("Tenure",PlotTitles,0))="Open market housing",INDEX(PlotData,MATCH($A137,PlotNumber,0),MATCH("Tenure detail",PlotTitles,0))="Private rented sector"),INDEX(PlotData,MATCH($A137,PlotNumber,0),MATCH("Tenure",PlotTitles,0))="Affordable rent")),"",NOT(INDEX(PlotData,MATCH($A137,PlotNumber,0),MATCH(S$3,PlotTitles,0))=0), $AB$24,TRUE,"")</f>
        <v/>
      </c>
      <c r="V137" s="114" t="str" cm="1">
        <f t="array" aca="1" ref="V137" ca="1">_xlfn.IFS(ISBLANK(NumberOfPlots),"Enter the number of homes on the 1_SetUp sheet",AND(A137&gt;NumberOfPlots,ISBLANK(INDEX(PlotData,MATCH($A137,PlotNumber,0),MATCH(B$3,PlotTitles,0)))),"No error",NOT(B137=""),B137,NOT(C137=""),C137,NOT(D137=""),D137,NOT(E137=""),E137,NOT(F137=""),F137,NOT(G137=""),G137,NOT(H137=""),H137,NOT(I137=""),I137,NOT(J137=""),J137,NOT(K137=""),K137,NOT(L137=""),L137,NOT(M137=""),M137,NOT(N137=""),N137,NOT(O137=""),O137,NOT(P137=""),P137,NOT(Q137=""),Q137,NOT(R137=""),R137,NOT(S137=""),S137,NOT(T137=""),T137,NOT(U137=""),U137,TRUE,"No error")</f>
        <v>Enter the number of homes on the 1_SetUp sheet</v>
      </c>
      <c r="W137" s="114" t="str">
        <f t="shared" ca="1" si="8"/>
        <v xml:space="preserve">The Borrower has not addressed the following error messages for Home ID 133: </v>
      </c>
    </row>
    <row r="138" spans="1:23">
      <c r="A138" s="123">
        <v>134</v>
      </c>
      <c r="B138" s="104" t="str" cm="1">
        <f t="array" ref="B138">_xlfn.IFS(AND(A138&gt;NumberOfPlots,ISBLANK(INDEX(PlotData,MATCH($A138,PlotNumber,0),MATCH(B$3,PlotTitles,0)))),"",ISNUMBER(INDEX(PlotData,MATCH($A138,PlotNumber,0),MATCH(B$3,PlotTitles,0)))=FALSE, $AB$5,TRUE,"")</f>
        <v/>
      </c>
      <c r="C138" s="104" t="str" cm="1">
        <f t="array" ref="C138">_xlfn.IFS(AND(A138&gt;NumberOfPlots,ISBLANK(INDEX(PlotData,MATCH($A138,PlotNumber,0),MATCH(B$3,PlotTitles,0)))),"",ISBLANK(INDEX(PlotData,MATCH($A138,PlotNumber,0),MATCH(C$3,PlotTitles,0))),$AB$6,TRUE,"")</f>
        <v/>
      </c>
      <c r="D138" s="104" t="str" cm="1">
        <f t="array" ref="D138">_xlfn.IFS(AND(A138&gt;NumberOfPlots,ISBLANK(INDEX(PlotData,MATCH($A138,PlotNumber,0),MATCH(B$3,PlotTitles,0)))),"",ISBLANK(INDEX(PlotData,MATCH($A138,PlotNumber,0),MATCH(D$3,PlotTitles,0))),$AB$7,TRUE,"")</f>
        <v/>
      </c>
      <c r="E138" s="104" t="str" cm="1">
        <f t="array" ref="E138">_xlfn.IFS(AND(A138&gt;NumberOfPlots,ISBLANK(INDEX(PlotData,MATCH($A138,PlotNumber,0),MATCH(B$3,PlotTitles,0)))),"",ISBLANK(INDEX(PlotData,MATCH($A138,PlotNumber,0),MATCH(E$3,PlotTitles,0))),$AB$8,TRUE,"")</f>
        <v/>
      </c>
      <c r="F138" s="104" t="str" cm="1">
        <f t="array" ref="F138">_xlfn.IFS(AND(A138&gt;NumberOfPlots,ISBLANK(INDEX(PlotData,MATCH($A138,PlotNumber,0),MATCH(B$3,PlotTitles,0)))),"",ISBLANK(INDEX(PlotData,MATCH($A138,PlotNumber,0),MATCH(F$3,PlotTitles,0))),$AB$9,TRUE,"")</f>
        <v/>
      </c>
      <c r="G138" s="104" t="str" cm="1">
        <f t="array" ref="G138">_xlfn.IFS(AND(A138&gt;NumberOfPlots,ISBLANK(INDEX(PlotData,MATCH($A138,PlotNumber,0),MATCH(B$3,PlotTitles,0)))),"",ISBLANK(INDEX(PlotData,MATCH($A138,PlotNumber,0),MATCH(G$3,PlotTitles,0))),$AB$10,TRUE,"")</f>
        <v/>
      </c>
      <c r="H138" s="104" t="str" cm="1">
        <f t="array" ref="H138">_xlfn.IFS(AND(A138&gt;NumberOfPlots,ISBLANK(INDEX(PlotData,MATCH($A138,PlotNumber,0),MATCH(B$3,PlotTitles,0)))),"",AND(ISBLANK(INDEX(PlotData,MATCH($A138,PlotNumber,0),MATCH(H$3,PlotTitles,0)))=FALSE,INDEX(PlotData,MATCH($A138,PlotNumber,0),MATCH(H$3,PlotTitles,0))&lt;500), $AB$11,TRUE,"")</f>
        <v/>
      </c>
      <c r="I138" s="104" t="str" cm="1">
        <f t="array" ref="I138">_xlfn.IFS(AND(A138&gt;NumberOfPlots,ISBLANK(INDEX(PlotData,MATCH($A138,PlotNumber,0),MATCH(B$3,PlotTitles,0)))),"",ISBLANK(INDEX(PlotData,MATCH($A138,PlotNumber,0),MATCH(I$3,PlotTitles,0))),$AB$12,TRUE,"")</f>
        <v/>
      </c>
      <c r="J138" s="104" t="str" cm="1">
        <f t="array" ref="J138">_xlfn.IFS(AND(A138&gt;NumberOfPlots,ISBLANK(INDEX(PlotData,MATCH($A138,PlotNumber,0),MATCH(B$3,PlotTitles,0)))),"",ISBLANK(INDEX(PlotData,MATCH($A138,PlotNumber,0),MATCH(J$3,PlotTitles,0))),$AB$13,TRUE,"")</f>
        <v/>
      </c>
      <c r="K138" s="182" t="str">
        <f t="shared" ca="1" si="6"/>
        <v/>
      </c>
      <c r="L138" s="104" t="str" cm="1">
        <f t="array" ref="L138">_xlfn.IFS(OR(ISBLANK(StartDateMonth),ISBLANK(StartDateYear)),"",AND(A138&gt;NumberOfPlots,ISBLANK(INDEX(PlotData,MATCH($A138,PlotNumber,0),MATCH(B$3,PlotTitles,0)))),"",ISBLANK(INDEX(PlotData,MATCH($A138,PlotNumber,0),MATCH(I$3,PlotTitles,0))),"",(DATEVALUE(INDEX(PlotData,MATCH($A138,PlotNumber,0),MATCH(I$3,PlotTitles,0))&amp;INDEX(PlotData,MATCH($A138,PlotNumber,0),MATCH(J$3,PlotTitles,0))))&lt;DATEVALUE(StartDateMonth&amp;StartDateYear),$AB$15,TRUE,"")</f>
        <v/>
      </c>
      <c r="M138" s="104" t="str" cm="1">
        <f t="array" ref="M138">_xlfn.IFS(OR(ISBLANK(StartDateMonth),ISBLANK(StartDateYear)),"",AND(A138&gt;NumberOfPlots,ISBLANK(INDEX(PlotData,MATCH($A138,PlotNumber,0),MATCH(B$3,PlotTitles,0)))),"",ISBLANK(INDEX(PlotData,MATCH($A138,PlotNumber,0),MATCH(I$3,PlotTitles,0))),"",CompletionMonth="","",(DATEVALUE(INDEX(PlotData,MATCH($A138,PlotNumber,0),MATCH(I$3,PlotTitles,0))&amp;INDEX(PlotData,MATCH($A138,PlotNumber,0),MATCH(J$3,PlotTitles,0))))&gt;(DATEVALUE(CompletionMonth&amp;CompletionYear)),$AB$16,TRUE,"")</f>
        <v/>
      </c>
      <c r="N138" s="104" t="str" cm="1">
        <f t="array" ref="N138">_xlfn.IFS(AND(A138&gt;NumberOfPlots,ISBLANK(INDEX(PlotData,MATCH($A138,PlotNumber,0),MATCH(B$3,PlotTitles,0)))),"",ISBLANK(INDEX(PlotData,MATCH($A138,PlotNumber,0),MATCH(N$3,PlotTitles,0))),$AB$17,TRUE,"")</f>
        <v/>
      </c>
      <c r="O138" s="104" t="str" cm="1">
        <f t="array" ref="O138">_xlfn.IFS(AND(A138&gt;NumberOfPlots,ISBLANK(INDEX(PlotData,MATCH($A138,PlotNumber,0),MATCH(B$3,PlotTitles,0)))),"",ISBLANK(INDEX(PlotData,MATCH($A138,PlotNumber,0),MATCH(O$3,PlotTitles,0))),$AB$18,TRUE,"")</f>
        <v/>
      </c>
      <c r="P138" s="182" t="str">
        <f t="shared" ca="1" si="7"/>
        <v/>
      </c>
      <c r="Q138" s="104" t="str" cm="1">
        <f t="array" ref="Q138">_xlfn.IFS(AND(A138&gt;NumberOfPlots,ISBLANK(INDEX(PlotData,MATCH($A138,PlotNumber,0),MATCH(B$3,PlotTitles,0)))),"",ISBLANK(INDEX(PlotData,MATCH($A138,PlotNumber,0),MATCH(N$3,PlotTitles,0))),"",(DATEVALUE(INDEX(PlotData,MATCH($A138,PlotNumber,0),MATCH(N$3,PlotTitles,0))&amp;INDEX(PlotData,MATCH($A138,PlotNumber,0),MATCH(O$3,PlotTitles,0))))&lt;(DATEVALUE(INDEX(PlotData,MATCH($A138,PlotNumber,0),MATCH(I$3,PlotTitles,0))&amp;INDEX(PlotData,MATCH($A138,PlotNumber,0),MATCH(J$3,PlotTitles,0)))),$AB$20,TRUE,"")</f>
        <v/>
      </c>
      <c r="R138" s="104" t="str" cm="1">
        <f t="array" ref="R138">_xlfn.IFS(OR(ISBLANK(StartDateMonth),ISBLANK(StartDateYear)),"",AND(A138&gt;NumberOfPlots,ISBLANK(INDEX(PlotData,MATCH($A138,PlotNumber,0),MATCH(B$3,PlotTitles,0)))),"",ISBLANK(INDEX(PlotData,MATCH($A138,PlotNumber,0),MATCH(N$3,PlotTitles,0))),"",CompletionMonth="","",(DATEVALUE(INDEX(PlotData,MATCH($A138,PlotNumber,0),MATCH(N$3,PlotTitles,0))&amp;INDEX(PlotData,MATCH($A138,PlotNumber,0),MATCH(O$3,PlotTitles,0))))&gt;(DATEVALUE(CompletionMonth&amp;CompletionYear)),$AB$21,TRUE,"")</f>
        <v/>
      </c>
      <c r="S138" s="104" t="str" cm="1">
        <f t="array" ref="S138">_xlfn.IFS(AND(A138&gt;NumberOfPlots,ISBLANK(INDEX(PlotData,MATCH($A138,PlotNumber,0),MATCH(B$3,PlotTitles,0)))),"",OR(AND(INDEX(PlotData,MATCH($A138,PlotNumber,0),MATCH("Tenure",PlotTitles,0))="Open market housing",INDEX(PlotData,MATCH($A138,PlotNumber,0),MATCH("Tenure detail",PlotTitles,0))="Private rented sector"),INDEX(PlotData,MATCH($A138,PlotNumber,0),MATCH("Tenure",PlotTitles,0))="Affordable rent"),"",ISNUMBER(INDEX(PlotData,MATCH($A138,PlotNumber,0),MATCH(S$3,PlotTitles,0)))=FALSE, $AB$22,TRUE,"")</f>
        <v/>
      </c>
      <c r="T138" s="104" t="str" cm="1">
        <f t="array" ref="T138">_xlfn.IFS(AND(A138&gt;NumberOfPlots,ISBLANK(INDEX(PlotData,MATCH($A138,PlotNumber,0),MATCH(B$3,PlotTitles,0)))),"",OR(AND(INDEX(PlotData,MATCH($A138,PlotNumber,0),MATCH("Tenure",PlotTitles,0))="Open market housing",INDEX(PlotData,MATCH($A138,PlotNumber,0),MATCH("Tenure detail",PlotTitles,0))="Private rented sector"),INDEX(PlotData,MATCH($A138,PlotNumber,0),MATCH("Tenure",PlotTitles,0))="Affordable rent"),"",INDEX(PlotData,MATCH($A138,PlotNumber,0),MATCH(S$3,PlotTitles,0))&lt;10000, $AB$23,TRUE,"")</f>
        <v/>
      </c>
      <c r="U138" s="104" t="str" cm="1">
        <f t="array" ref="U138">_xlfn.IFS(AND(A138&gt;NumberOfPlots,ISBLANK(INDEX(PlotData,MATCH($A138,PlotNumber,0),MATCH(B$3,PlotTitles,0)))),"",NOT(OR(AND(INDEX(PlotData,MATCH($A138,PlotNumber,0),MATCH("Tenure",PlotTitles,0))="Open market housing",INDEX(PlotData,MATCH($A138,PlotNumber,0),MATCH("Tenure detail",PlotTitles,0))="Private rented sector"),INDEX(PlotData,MATCH($A138,PlotNumber,0),MATCH("Tenure",PlotTitles,0))="Affordable rent")),"",NOT(INDEX(PlotData,MATCH($A138,PlotNumber,0),MATCH(S$3,PlotTitles,0))=0), $AB$24,TRUE,"")</f>
        <v/>
      </c>
      <c r="V138" s="114" t="str" cm="1">
        <f t="array" aca="1" ref="V138" ca="1">_xlfn.IFS(ISBLANK(NumberOfPlots),"Enter the number of homes on the 1_SetUp sheet",AND(A138&gt;NumberOfPlots,ISBLANK(INDEX(PlotData,MATCH($A138,PlotNumber,0),MATCH(B$3,PlotTitles,0)))),"No error",NOT(B138=""),B138,NOT(C138=""),C138,NOT(D138=""),D138,NOT(E138=""),E138,NOT(F138=""),F138,NOT(G138=""),G138,NOT(H138=""),H138,NOT(I138=""),I138,NOT(J138=""),J138,NOT(K138=""),K138,NOT(L138=""),L138,NOT(M138=""),M138,NOT(N138=""),N138,NOT(O138=""),O138,NOT(P138=""),P138,NOT(Q138=""),Q138,NOT(R138=""),R138,NOT(S138=""),S138,NOT(T138=""),T138,NOT(U138=""),U138,TRUE,"No error")</f>
        <v>Enter the number of homes on the 1_SetUp sheet</v>
      </c>
      <c r="W138" s="114" t="str">
        <f t="shared" ca="1" si="8"/>
        <v xml:space="preserve">The Borrower has not addressed the following error messages for Home ID 134: </v>
      </c>
    </row>
    <row r="139" spans="1:23">
      <c r="A139" s="123">
        <v>135</v>
      </c>
      <c r="B139" s="104" t="str" cm="1">
        <f t="array" ref="B139">_xlfn.IFS(AND(A139&gt;NumberOfPlots,ISBLANK(INDEX(PlotData,MATCH($A139,PlotNumber,0),MATCH(B$3,PlotTitles,0)))),"",ISNUMBER(INDEX(PlotData,MATCH($A139,PlotNumber,0),MATCH(B$3,PlotTitles,0)))=FALSE, $AB$5,TRUE,"")</f>
        <v/>
      </c>
      <c r="C139" s="104" t="str" cm="1">
        <f t="array" ref="C139">_xlfn.IFS(AND(A139&gt;NumberOfPlots,ISBLANK(INDEX(PlotData,MATCH($A139,PlotNumber,0),MATCH(B$3,PlotTitles,0)))),"",ISBLANK(INDEX(PlotData,MATCH($A139,PlotNumber,0),MATCH(C$3,PlotTitles,0))),$AB$6,TRUE,"")</f>
        <v/>
      </c>
      <c r="D139" s="104" t="str" cm="1">
        <f t="array" ref="D139">_xlfn.IFS(AND(A139&gt;NumberOfPlots,ISBLANK(INDEX(PlotData,MATCH($A139,PlotNumber,0),MATCH(B$3,PlotTitles,0)))),"",ISBLANK(INDEX(PlotData,MATCH($A139,PlotNumber,0),MATCH(D$3,PlotTitles,0))),$AB$7,TRUE,"")</f>
        <v/>
      </c>
      <c r="E139" s="104" t="str" cm="1">
        <f t="array" ref="E139">_xlfn.IFS(AND(A139&gt;NumberOfPlots,ISBLANK(INDEX(PlotData,MATCH($A139,PlotNumber,0),MATCH(B$3,PlotTitles,0)))),"",ISBLANK(INDEX(PlotData,MATCH($A139,PlotNumber,0),MATCH(E$3,PlotTitles,0))),$AB$8,TRUE,"")</f>
        <v/>
      </c>
      <c r="F139" s="104" t="str" cm="1">
        <f t="array" ref="F139">_xlfn.IFS(AND(A139&gt;NumberOfPlots,ISBLANK(INDEX(PlotData,MATCH($A139,PlotNumber,0),MATCH(B$3,PlotTitles,0)))),"",ISBLANK(INDEX(PlotData,MATCH($A139,PlotNumber,0),MATCH(F$3,PlotTitles,0))),$AB$9,TRUE,"")</f>
        <v/>
      </c>
      <c r="G139" s="104" t="str" cm="1">
        <f t="array" ref="G139">_xlfn.IFS(AND(A139&gt;NumberOfPlots,ISBLANK(INDEX(PlotData,MATCH($A139,PlotNumber,0),MATCH(B$3,PlotTitles,0)))),"",ISBLANK(INDEX(PlotData,MATCH($A139,PlotNumber,0),MATCH(G$3,PlotTitles,0))),$AB$10,TRUE,"")</f>
        <v/>
      </c>
      <c r="H139" s="104" t="str" cm="1">
        <f t="array" ref="H139">_xlfn.IFS(AND(A139&gt;NumberOfPlots,ISBLANK(INDEX(PlotData,MATCH($A139,PlotNumber,0),MATCH(B$3,PlotTitles,0)))),"",AND(ISBLANK(INDEX(PlotData,MATCH($A139,PlotNumber,0),MATCH(H$3,PlotTitles,0)))=FALSE,INDEX(PlotData,MATCH($A139,PlotNumber,0),MATCH(H$3,PlotTitles,0))&lt;500), $AB$11,TRUE,"")</f>
        <v/>
      </c>
      <c r="I139" s="104" t="str" cm="1">
        <f t="array" ref="I139">_xlfn.IFS(AND(A139&gt;NumberOfPlots,ISBLANK(INDEX(PlotData,MATCH($A139,PlotNumber,0),MATCH(B$3,PlotTitles,0)))),"",ISBLANK(INDEX(PlotData,MATCH($A139,PlotNumber,0),MATCH(I$3,PlotTitles,0))),$AB$12,TRUE,"")</f>
        <v/>
      </c>
      <c r="J139" s="104" t="str" cm="1">
        <f t="array" ref="J139">_xlfn.IFS(AND(A139&gt;NumberOfPlots,ISBLANK(INDEX(PlotData,MATCH($A139,PlotNumber,0),MATCH(B$3,PlotTitles,0)))),"",ISBLANK(INDEX(PlotData,MATCH($A139,PlotNumber,0),MATCH(J$3,PlotTitles,0))),$AB$13,TRUE,"")</f>
        <v/>
      </c>
      <c r="K139" s="182" t="str">
        <f t="shared" ca="1" si="6"/>
        <v/>
      </c>
      <c r="L139" s="104" t="str" cm="1">
        <f t="array" ref="L139">_xlfn.IFS(OR(ISBLANK(StartDateMonth),ISBLANK(StartDateYear)),"",AND(A139&gt;NumberOfPlots,ISBLANK(INDEX(PlotData,MATCH($A139,PlotNumber,0),MATCH(B$3,PlotTitles,0)))),"",ISBLANK(INDEX(PlotData,MATCH($A139,PlotNumber,0),MATCH(I$3,PlotTitles,0))),"",(DATEVALUE(INDEX(PlotData,MATCH($A139,PlotNumber,0),MATCH(I$3,PlotTitles,0))&amp;INDEX(PlotData,MATCH($A139,PlotNumber,0),MATCH(J$3,PlotTitles,0))))&lt;DATEVALUE(StartDateMonth&amp;StartDateYear),$AB$15,TRUE,"")</f>
        <v/>
      </c>
      <c r="M139" s="104" t="str" cm="1">
        <f t="array" ref="M139">_xlfn.IFS(OR(ISBLANK(StartDateMonth),ISBLANK(StartDateYear)),"",AND(A139&gt;NumberOfPlots,ISBLANK(INDEX(PlotData,MATCH($A139,PlotNumber,0),MATCH(B$3,PlotTitles,0)))),"",ISBLANK(INDEX(PlotData,MATCH($A139,PlotNumber,0),MATCH(I$3,PlotTitles,0))),"",CompletionMonth="","",(DATEVALUE(INDEX(PlotData,MATCH($A139,PlotNumber,0),MATCH(I$3,PlotTitles,0))&amp;INDEX(PlotData,MATCH($A139,PlotNumber,0),MATCH(J$3,PlotTitles,0))))&gt;(DATEVALUE(CompletionMonth&amp;CompletionYear)),$AB$16,TRUE,"")</f>
        <v/>
      </c>
      <c r="N139" s="104" t="str" cm="1">
        <f t="array" ref="N139">_xlfn.IFS(AND(A139&gt;NumberOfPlots,ISBLANK(INDEX(PlotData,MATCH($A139,PlotNumber,0),MATCH(B$3,PlotTitles,0)))),"",ISBLANK(INDEX(PlotData,MATCH($A139,PlotNumber,0),MATCH(N$3,PlotTitles,0))),$AB$17,TRUE,"")</f>
        <v/>
      </c>
      <c r="O139" s="104" t="str" cm="1">
        <f t="array" ref="O139">_xlfn.IFS(AND(A139&gt;NumberOfPlots,ISBLANK(INDEX(PlotData,MATCH($A139,PlotNumber,0),MATCH(B$3,PlotTitles,0)))),"",ISBLANK(INDEX(PlotData,MATCH($A139,PlotNumber,0),MATCH(O$3,PlotTitles,0))),$AB$18,TRUE,"")</f>
        <v/>
      </c>
      <c r="P139" s="182" t="str">
        <f t="shared" ca="1" si="7"/>
        <v/>
      </c>
      <c r="Q139" s="104" t="str" cm="1">
        <f t="array" ref="Q139">_xlfn.IFS(AND(A139&gt;NumberOfPlots,ISBLANK(INDEX(PlotData,MATCH($A139,PlotNumber,0),MATCH(B$3,PlotTitles,0)))),"",ISBLANK(INDEX(PlotData,MATCH($A139,PlotNumber,0),MATCH(N$3,PlotTitles,0))),"",(DATEVALUE(INDEX(PlotData,MATCH($A139,PlotNumber,0),MATCH(N$3,PlotTitles,0))&amp;INDEX(PlotData,MATCH($A139,PlotNumber,0),MATCH(O$3,PlotTitles,0))))&lt;(DATEVALUE(INDEX(PlotData,MATCH($A139,PlotNumber,0),MATCH(I$3,PlotTitles,0))&amp;INDEX(PlotData,MATCH($A139,PlotNumber,0),MATCH(J$3,PlotTitles,0)))),$AB$20,TRUE,"")</f>
        <v/>
      </c>
      <c r="R139" s="104" t="str" cm="1">
        <f t="array" ref="R139">_xlfn.IFS(OR(ISBLANK(StartDateMonth),ISBLANK(StartDateYear)),"",AND(A139&gt;NumberOfPlots,ISBLANK(INDEX(PlotData,MATCH($A139,PlotNumber,0),MATCH(B$3,PlotTitles,0)))),"",ISBLANK(INDEX(PlotData,MATCH($A139,PlotNumber,0),MATCH(N$3,PlotTitles,0))),"",CompletionMonth="","",(DATEVALUE(INDEX(PlotData,MATCH($A139,PlotNumber,0),MATCH(N$3,PlotTitles,0))&amp;INDEX(PlotData,MATCH($A139,PlotNumber,0),MATCH(O$3,PlotTitles,0))))&gt;(DATEVALUE(CompletionMonth&amp;CompletionYear)),$AB$21,TRUE,"")</f>
        <v/>
      </c>
      <c r="S139" s="104" t="str" cm="1">
        <f t="array" ref="S139">_xlfn.IFS(AND(A139&gt;NumberOfPlots,ISBLANK(INDEX(PlotData,MATCH($A139,PlotNumber,0),MATCH(B$3,PlotTitles,0)))),"",OR(AND(INDEX(PlotData,MATCH($A139,PlotNumber,0),MATCH("Tenure",PlotTitles,0))="Open market housing",INDEX(PlotData,MATCH($A139,PlotNumber,0),MATCH("Tenure detail",PlotTitles,0))="Private rented sector"),INDEX(PlotData,MATCH($A139,PlotNumber,0),MATCH("Tenure",PlotTitles,0))="Affordable rent"),"",ISNUMBER(INDEX(PlotData,MATCH($A139,PlotNumber,0),MATCH(S$3,PlotTitles,0)))=FALSE, $AB$22,TRUE,"")</f>
        <v/>
      </c>
      <c r="T139" s="104" t="str" cm="1">
        <f t="array" ref="T139">_xlfn.IFS(AND(A139&gt;NumberOfPlots,ISBLANK(INDEX(PlotData,MATCH($A139,PlotNumber,0),MATCH(B$3,PlotTitles,0)))),"",OR(AND(INDEX(PlotData,MATCH($A139,PlotNumber,0),MATCH("Tenure",PlotTitles,0))="Open market housing",INDEX(PlotData,MATCH($A139,PlotNumber,0),MATCH("Tenure detail",PlotTitles,0))="Private rented sector"),INDEX(PlotData,MATCH($A139,PlotNumber,0),MATCH("Tenure",PlotTitles,0))="Affordable rent"),"",INDEX(PlotData,MATCH($A139,PlotNumber,0),MATCH(S$3,PlotTitles,0))&lt;10000, $AB$23,TRUE,"")</f>
        <v/>
      </c>
      <c r="U139" s="104" t="str" cm="1">
        <f t="array" ref="U139">_xlfn.IFS(AND(A139&gt;NumberOfPlots,ISBLANK(INDEX(PlotData,MATCH($A139,PlotNumber,0),MATCH(B$3,PlotTitles,0)))),"",NOT(OR(AND(INDEX(PlotData,MATCH($A139,PlotNumber,0),MATCH("Tenure",PlotTitles,0))="Open market housing",INDEX(PlotData,MATCH($A139,PlotNumber,0),MATCH("Tenure detail",PlotTitles,0))="Private rented sector"),INDEX(PlotData,MATCH($A139,PlotNumber,0),MATCH("Tenure",PlotTitles,0))="Affordable rent")),"",NOT(INDEX(PlotData,MATCH($A139,PlotNumber,0),MATCH(S$3,PlotTitles,0))=0), $AB$24,TRUE,"")</f>
        <v/>
      </c>
      <c r="V139" s="114" t="str" cm="1">
        <f t="array" aca="1" ref="V139" ca="1">_xlfn.IFS(ISBLANK(NumberOfPlots),"Enter the number of homes on the 1_SetUp sheet",AND(A139&gt;NumberOfPlots,ISBLANK(INDEX(PlotData,MATCH($A139,PlotNumber,0),MATCH(B$3,PlotTitles,0)))),"No error",NOT(B139=""),B139,NOT(C139=""),C139,NOT(D139=""),D139,NOT(E139=""),E139,NOT(F139=""),F139,NOT(G139=""),G139,NOT(H139=""),H139,NOT(I139=""),I139,NOT(J139=""),J139,NOT(K139=""),K139,NOT(L139=""),L139,NOT(M139=""),M139,NOT(N139=""),N139,NOT(O139=""),O139,NOT(P139=""),P139,NOT(Q139=""),Q139,NOT(R139=""),R139,NOT(S139=""),S139,NOT(T139=""),T139,NOT(U139=""),U139,TRUE,"No error")</f>
        <v>Enter the number of homes on the 1_SetUp sheet</v>
      </c>
      <c r="W139" s="114" t="str">
        <f t="shared" ca="1" si="8"/>
        <v xml:space="preserve">The Borrower has not addressed the following error messages for Home ID 135: </v>
      </c>
    </row>
    <row r="140" spans="1:23">
      <c r="A140" s="123">
        <v>136</v>
      </c>
      <c r="B140" s="104" t="str" cm="1">
        <f t="array" ref="B140">_xlfn.IFS(AND(A140&gt;NumberOfPlots,ISBLANK(INDEX(PlotData,MATCH($A140,PlotNumber,0),MATCH(B$3,PlotTitles,0)))),"",ISNUMBER(INDEX(PlotData,MATCH($A140,PlotNumber,0),MATCH(B$3,PlotTitles,0)))=FALSE, $AB$5,TRUE,"")</f>
        <v/>
      </c>
      <c r="C140" s="104" t="str" cm="1">
        <f t="array" ref="C140">_xlfn.IFS(AND(A140&gt;NumberOfPlots,ISBLANK(INDEX(PlotData,MATCH($A140,PlotNumber,0),MATCH(B$3,PlotTitles,0)))),"",ISBLANK(INDEX(PlotData,MATCH($A140,PlotNumber,0),MATCH(C$3,PlotTitles,0))),$AB$6,TRUE,"")</f>
        <v/>
      </c>
      <c r="D140" s="104" t="str" cm="1">
        <f t="array" ref="D140">_xlfn.IFS(AND(A140&gt;NumberOfPlots,ISBLANK(INDEX(PlotData,MATCH($A140,PlotNumber,0),MATCH(B$3,PlotTitles,0)))),"",ISBLANK(INDEX(PlotData,MATCH($A140,PlotNumber,0),MATCH(D$3,PlotTitles,0))),$AB$7,TRUE,"")</f>
        <v/>
      </c>
      <c r="E140" s="104" t="str" cm="1">
        <f t="array" ref="E140">_xlfn.IFS(AND(A140&gt;NumberOfPlots,ISBLANK(INDEX(PlotData,MATCH($A140,PlotNumber,0),MATCH(B$3,PlotTitles,0)))),"",ISBLANK(INDEX(PlotData,MATCH($A140,PlotNumber,0),MATCH(E$3,PlotTitles,0))),$AB$8,TRUE,"")</f>
        <v/>
      </c>
      <c r="F140" s="104" t="str" cm="1">
        <f t="array" ref="F140">_xlfn.IFS(AND(A140&gt;NumberOfPlots,ISBLANK(INDEX(PlotData,MATCH($A140,PlotNumber,0),MATCH(B$3,PlotTitles,0)))),"",ISBLANK(INDEX(PlotData,MATCH($A140,PlotNumber,0),MATCH(F$3,PlotTitles,0))),$AB$9,TRUE,"")</f>
        <v/>
      </c>
      <c r="G140" s="104" t="str" cm="1">
        <f t="array" ref="G140">_xlfn.IFS(AND(A140&gt;NumberOfPlots,ISBLANK(INDEX(PlotData,MATCH($A140,PlotNumber,0),MATCH(B$3,PlotTitles,0)))),"",ISBLANK(INDEX(PlotData,MATCH($A140,PlotNumber,0),MATCH(G$3,PlotTitles,0))),$AB$10,TRUE,"")</f>
        <v/>
      </c>
      <c r="H140" s="104" t="str" cm="1">
        <f t="array" ref="H140">_xlfn.IFS(AND(A140&gt;NumberOfPlots,ISBLANK(INDEX(PlotData,MATCH($A140,PlotNumber,0),MATCH(B$3,PlotTitles,0)))),"",AND(ISBLANK(INDEX(PlotData,MATCH($A140,PlotNumber,0),MATCH(H$3,PlotTitles,0)))=FALSE,INDEX(PlotData,MATCH($A140,PlotNumber,0),MATCH(H$3,PlotTitles,0))&lt;500), $AB$11,TRUE,"")</f>
        <v/>
      </c>
      <c r="I140" s="104" t="str" cm="1">
        <f t="array" ref="I140">_xlfn.IFS(AND(A140&gt;NumberOfPlots,ISBLANK(INDEX(PlotData,MATCH($A140,PlotNumber,0),MATCH(B$3,PlotTitles,0)))),"",ISBLANK(INDEX(PlotData,MATCH($A140,PlotNumber,0),MATCH(I$3,PlotTitles,0))),$AB$12,TRUE,"")</f>
        <v/>
      </c>
      <c r="J140" s="104" t="str" cm="1">
        <f t="array" ref="J140">_xlfn.IFS(AND(A140&gt;NumberOfPlots,ISBLANK(INDEX(PlotData,MATCH($A140,PlotNumber,0),MATCH(B$3,PlotTitles,0)))),"",ISBLANK(INDEX(PlotData,MATCH($A140,PlotNumber,0),MATCH(J$3,PlotTitles,0))),$AB$13,TRUE,"")</f>
        <v/>
      </c>
      <c r="K140" s="182" t="str">
        <f t="shared" ca="1" si="6"/>
        <v/>
      </c>
      <c r="L140" s="104" t="str" cm="1">
        <f t="array" ref="L140">_xlfn.IFS(OR(ISBLANK(StartDateMonth),ISBLANK(StartDateYear)),"",AND(A140&gt;NumberOfPlots,ISBLANK(INDEX(PlotData,MATCH($A140,PlotNumber,0),MATCH(B$3,PlotTitles,0)))),"",ISBLANK(INDEX(PlotData,MATCH($A140,PlotNumber,0),MATCH(I$3,PlotTitles,0))),"",(DATEVALUE(INDEX(PlotData,MATCH($A140,PlotNumber,0),MATCH(I$3,PlotTitles,0))&amp;INDEX(PlotData,MATCH($A140,PlotNumber,0),MATCH(J$3,PlotTitles,0))))&lt;DATEVALUE(StartDateMonth&amp;StartDateYear),$AB$15,TRUE,"")</f>
        <v/>
      </c>
      <c r="M140" s="104" t="str" cm="1">
        <f t="array" ref="M140">_xlfn.IFS(OR(ISBLANK(StartDateMonth),ISBLANK(StartDateYear)),"",AND(A140&gt;NumberOfPlots,ISBLANK(INDEX(PlotData,MATCH($A140,PlotNumber,0),MATCH(B$3,PlotTitles,0)))),"",ISBLANK(INDEX(PlotData,MATCH($A140,PlotNumber,0),MATCH(I$3,PlotTitles,0))),"",CompletionMonth="","",(DATEVALUE(INDEX(PlotData,MATCH($A140,PlotNumber,0),MATCH(I$3,PlotTitles,0))&amp;INDEX(PlotData,MATCH($A140,PlotNumber,0),MATCH(J$3,PlotTitles,0))))&gt;(DATEVALUE(CompletionMonth&amp;CompletionYear)),$AB$16,TRUE,"")</f>
        <v/>
      </c>
      <c r="N140" s="104" t="str" cm="1">
        <f t="array" ref="N140">_xlfn.IFS(AND(A140&gt;NumberOfPlots,ISBLANK(INDEX(PlotData,MATCH($A140,PlotNumber,0),MATCH(B$3,PlotTitles,0)))),"",ISBLANK(INDEX(PlotData,MATCH($A140,PlotNumber,0),MATCH(N$3,PlotTitles,0))),$AB$17,TRUE,"")</f>
        <v/>
      </c>
      <c r="O140" s="104" t="str" cm="1">
        <f t="array" ref="O140">_xlfn.IFS(AND(A140&gt;NumberOfPlots,ISBLANK(INDEX(PlotData,MATCH($A140,PlotNumber,0),MATCH(B$3,PlotTitles,0)))),"",ISBLANK(INDEX(PlotData,MATCH($A140,PlotNumber,0),MATCH(O$3,PlotTitles,0))),$AB$18,TRUE,"")</f>
        <v/>
      </c>
      <c r="P140" s="182" t="str">
        <f t="shared" ca="1" si="7"/>
        <v/>
      </c>
      <c r="Q140" s="104" t="str" cm="1">
        <f t="array" ref="Q140">_xlfn.IFS(AND(A140&gt;NumberOfPlots,ISBLANK(INDEX(PlotData,MATCH($A140,PlotNumber,0),MATCH(B$3,PlotTitles,0)))),"",ISBLANK(INDEX(PlotData,MATCH($A140,PlotNumber,0),MATCH(N$3,PlotTitles,0))),"",(DATEVALUE(INDEX(PlotData,MATCH($A140,PlotNumber,0),MATCH(N$3,PlotTitles,0))&amp;INDEX(PlotData,MATCH($A140,PlotNumber,0),MATCH(O$3,PlotTitles,0))))&lt;(DATEVALUE(INDEX(PlotData,MATCH($A140,PlotNumber,0),MATCH(I$3,PlotTitles,0))&amp;INDEX(PlotData,MATCH($A140,PlotNumber,0),MATCH(J$3,PlotTitles,0)))),$AB$20,TRUE,"")</f>
        <v/>
      </c>
      <c r="R140" s="104" t="str" cm="1">
        <f t="array" ref="R140">_xlfn.IFS(OR(ISBLANK(StartDateMonth),ISBLANK(StartDateYear)),"",AND(A140&gt;NumberOfPlots,ISBLANK(INDEX(PlotData,MATCH($A140,PlotNumber,0),MATCH(B$3,PlotTitles,0)))),"",ISBLANK(INDEX(PlotData,MATCH($A140,PlotNumber,0),MATCH(N$3,PlotTitles,0))),"",CompletionMonth="","",(DATEVALUE(INDEX(PlotData,MATCH($A140,PlotNumber,0),MATCH(N$3,PlotTitles,0))&amp;INDEX(PlotData,MATCH($A140,PlotNumber,0),MATCH(O$3,PlotTitles,0))))&gt;(DATEVALUE(CompletionMonth&amp;CompletionYear)),$AB$21,TRUE,"")</f>
        <v/>
      </c>
      <c r="S140" s="104" t="str" cm="1">
        <f t="array" ref="S140">_xlfn.IFS(AND(A140&gt;NumberOfPlots,ISBLANK(INDEX(PlotData,MATCH($A140,PlotNumber,0),MATCH(B$3,PlotTitles,0)))),"",OR(AND(INDEX(PlotData,MATCH($A140,PlotNumber,0),MATCH("Tenure",PlotTitles,0))="Open market housing",INDEX(PlotData,MATCH($A140,PlotNumber,0),MATCH("Tenure detail",PlotTitles,0))="Private rented sector"),INDEX(PlotData,MATCH($A140,PlotNumber,0),MATCH("Tenure",PlotTitles,0))="Affordable rent"),"",ISNUMBER(INDEX(PlotData,MATCH($A140,PlotNumber,0),MATCH(S$3,PlotTitles,0)))=FALSE, $AB$22,TRUE,"")</f>
        <v/>
      </c>
      <c r="T140" s="104" t="str" cm="1">
        <f t="array" ref="T140">_xlfn.IFS(AND(A140&gt;NumberOfPlots,ISBLANK(INDEX(PlotData,MATCH($A140,PlotNumber,0),MATCH(B$3,PlotTitles,0)))),"",OR(AND(INDEX(PlotData,MATCH($A140,PlotNumber,0),MATCH("Tenure",PlotTitles,0))="Open market housing",INDEX(PlotData,MATCH($A140,PlotNumber,0),MATCH("Tenure detail",PlotTitles,0))="Private rented sector"),INDEX(PlotData,MATCH($A140,PlotNumber,0),MATCH("Tenure",PlotTitles,0))="Affordable rent"),"",INDEX(PlotData,MATCH($A140,PlotNumber,0),MATCH(S$3,PlotTitles,0))&lt;10000, $AB$23,TRUE,"")</f>
        <v/>
      </c>
      <c r="U140" s="104" t="str" cm="1">
        <f t="array" ref="U140">_xlfn.IFS(AND(A140&gt;NumberOfPlots,ISBLANK(INDEX(PlotData,MATCH($A140,PlotNumber,0),MATCH(B$3,PlotTitles,0)))),"",NOT(OR(AND(INDEX(PlotData,MATCH($A140,PlotNumber,0),MATCH("Tenure",PlotTitles,0))="Open market housing",INDEX(PlotData,MATCH($A140,PlotNumber,0),MATCH("Tenure detail",PlotTitles,0))="Private rented sector"),INDEX(PlotData,MATCH($A140,PlotNumber,0),MATCH("Tenure",PlotTitles,0))="Affordable rent")),"",NOT(INDEX(PlotData,MATCH($A140,PlotNumber,0),MATCH(S$3,PlotTitles,0))=0), $AB$24,TRUE,"")</f>
        <v/>
      </c>
      <c r="V140" s="114" t="str" cm="1">
        <f t="array" aca="1" ref="V140" ca="1">_xlfn.IFS(ISBLANK(NumberOfPlots),"Enter the number of homes on the 1_SetUp sheet",AND(A140&gt;NumberOfPlots,ISBLANK(INDEX(PlotData,MATCH($A140,PlotNumber,0),MATCH(B$3,PlotTitles,0)))),"No error",NOT(B140=""),B140,NOT(C140=""),C140,NOT(D140=""),D140,NOT(E140=""),E140,NOT(F140=""),F140,NOT(G140=""),G140,NOT(H140=""),H140,NOT(I140=""),I140,NOT(J140=""),J140,NOT(K140=""),K140,NOT(L140=""),L140,NOT(M140=""),M140,NOT(N140=""),N140,NOT(O140=""),O140,NOT(P140=""),P140,NOT(Q140=""),Q140,NOT(R140=""),R140,NOT(S140=""),S140,NOT(T140=""),T140,NOT(U140=""),U140,TRUE,"No error")</f>
        <v>Enter the number of homes on the 1_SetUp sheet</v>
      </c>
      <c r="W140" s="114" t="str">
        <f t="shared" ca="1" si="8"/>
        <v xml:space="preserve">The Borrower has not addressed the following error messages for Home ID 136: </v>
      </c>
    </row>
    <row r="141" spans="1:23">
      <c r="A141" s="123">
        <v>137</v>
      </c>
      <c r="B141" s="104" t="str" cm="1">
        <f t="array" ref="B141">_xlfn.IFS(AND(A141&gt;NumberOfPlots,ISBLANK(INDEX(PlotData,MATCH($A141,PlotNumber,0),MATCH(B$3,PlotTitles,0)))),"",ISNUMBER(INDEX(PlotData,MATCH($A141,PlotNumber,0),MATCH(B$3,PlotTitles,0)))=FALSE, $AB$5,TRUE,"")</f>
        <v/>
      </c>
      <c r="C141" s="104" t="str" cm="1">
        <f t="array" ref="C141">_xlfn.IFS(AND(A141&gt;NumberOfPlots,ISBLANK(INDEX(PlotData,MATCH($A141,PlotNumber,0),MATCH(B$3,PlotTitles,0)))),"",ISBLANK(INDEX(PlotData,MATCH($A141,PlotNumber,0),MATCH(C$3,PlotTitles,0))),$AB$6,TRUE,"")</f>
        <v/>
      </c>
      <c r="D141" s="104" t="str" cm="1">
        <f t="array" ref="D141">_xlfn.IFS(AND(A141&gt;NumberOfPlots,ISBLANK(INDEX(PlotData,MATCH($A141,PlotNumber,0),MATCH(B$3,PlotTitles,0)))),"",ISBLANK(INDEX(PlotData,MATCH($A141,PlotNumber,0),MATCH(D$3,PlotTitles,0))),$AB$7,TRUE,"")</f>
        <v/>
      </c>
      <c r="E141" s="104" t="str" cm="1">
        <f t="array" ref="E141">_xlfn.IFS(AND(A141&gt;NumberOfPlots,ISBLANK(INDEX(PlotData,MATCH($A141,PlotNumber,0),MATCH(B$3,PlotTitles,0)))),"",ISBLANK(INDEX(PlotData,MATCH($A141,PlotNumber,0),MATCH(E$3,PlotTitles,0))),$AB$8,TRUE,"")</f>
        <v/>
      </c>
      <c r="F141" s="104" t="str" cm="1">
        <f t="array" ref="F141">_xlfn.IFS(AND(A141&gt;NumberOfPlots,ISBLANK(INDEX(PlotData,MATCH($A141,PlotNumber,0),MATCH(B$3,PlotTitles,0)))),"",ISBLANK(INDEX(PlotData,MATCH($A141,PlotNumber,0),MATCH(F$3,PlotTitles,0))),$AB$9,TRUE,"")</f>
        <v/>
      </c>
      <c r="G141" s="104" t="str" cm="1">
        <f t="array" ref="G141">_xlfn.IFS(AND(A141&gt;NumberOfPlots,ISBLANK(INDEX(PlotData,MATCH($A141,PlotNumber,0),MATCH(B$3,PlotTitles,0)))),"",ISBLANK(INDEX(PlotData,MATCH($A141,PlotNumber,0),MATCH(G$3,PlotTitles,0))),$AB$10,TRUE,"")</f>
        <v/>
      </c>
      <c r="H141" s="104" t="str" cm="1">
        <f t="array" ref="H141">_xlfn.IFS(AND(A141&gt;NumberOfPlots,ISBLANK(INDEX(PlotData,MATCH($A141,PlotNumber,0),MATCH(B$3,PlotTitles,0)))),"",AND(ISBLANK(INDEX(PlotData,MATCH($A141,PlotNumber,0),MATCH(H$3,PlotTitles,0)))=FALSE,INDEX(PlotData,MATCH($A141,PlotNumber,0),MATCH(H$3,PlotTitles,0))&lt;500), $AB$11,TRUE,"")</f>
        <v/>
      </c>
      <c r="I141" s="104" t="str" cm="1">
        <f t="array" ref="I141">_xlfn.IFS(AND(A141&gt;NumberOfPlots,ISBLANK(INDEX(PlotData,MATCH($A141,PlotNumber,0),MATCH(B$3,PlotTitles,0)))),"",ISBLANK(INDEX(PlotData,MATCH($A141,PlotNumber,0),MATCH(I$3,PlotTitles,0))),$AB$12,TRUE,"")</f>
        <v/>
      </c>
      <c r="J141" s="104" t="str" cm="1">
        <f t="array" ref="J141">_xlfn.IFS(AND(A141&gt;NumberOfPlots,ISBLANK(INDEX(PlotData,MATCH($A141,PlotNumber,0),MATCH(B$3,PlotTitles,0)))),"",ISBLANK(INDEX(PlotData,MATCH($A141,PlotNumber,0),MATCH(J$3,PlotTitles,0))),$AB$13,TRUE,"")</f>
        <v/>
      </c>
      <c r="K141" s="182" t="str">
        <f t="shared" ca="1" si="6"/>
        <v/>
      </c>
      <c r="L141" s="104" t="str" cm="1">
        <f t="array" ref="L141">_xlfn.IFS(OR(ISBLANK(StartDateMonth),ISBLANK(StartDateYear)),"",AND(A141&gt;NumberOfPlots,ISBLANK(INDEX(PlotData,MATCH($A141,PlotNumber,0),MATCH(B$3,PlotTitles,0)))),"",ISBLANK(INDEX(PlotData,MATCH($A141,PlotNumber,0),MATCH(I$3,PlotTitles,0))),"",(DATEVALUE(INDEX(PlotData,MATCH($A141,PlotNumber,0),MATCH(I$3,PlotTitles,0))&amp;INDEX(PlotData,MATCH($A141,PlotNumber,0),MATCH(J$3,PlotTitles,0))))&lt;DATEVALUE(StartDateMonth&amp;StartDateYear),$AB$15,TRUE,"")</f>
        <v/>
      </c>
      <c r="M141" s="104" t="str" cm="1">
        <f t="array" ref="M141">_xlfn.IFS(OR(ISBLANK(StartDateMonth),ISBLANK(StartDateYear)),"",AND(A141&gt;NumberOfPlots,ISBLANK(INDEX(PlotData,MATCH($A141,PlotNumber,0),MATCH(B$3,PlotTitles,0)))),"",ISBLANK(INDEX(PlotData,MATCH($A141,PlotNumber,0),MATCH(I$3,PlotTitles,0))),"",CompletionMonth="","",(DATEVALUE(INDEX(PlotData,MATCH($A141,PlotNumber,0),MATCH(I$3,PlotTitles,0))&amp;INDEX(PlotData,MATCH($A141,PlotNumber,0),MATCH(J$3,PlotTitles,0))))&gt;(DATEVALUE(CompletionMonth&amp;CompletionYear)),$AB$16,TRUE,"")</f>
        <v/>
      </c>
      <c r="N141" s="104" t="str" cm="1">
        <f t="array" ref="N141">_xlfn.IFS(AND(A141&gt;NumberOfPlots,ISBLANK(INDEX(PlotData,MATCH($A141,PlotNumber,0),MATCH(B$3,PlotTitles,0)))),"",ISBLANK(INDEX(PlotData,MATCH($A141,PlotNumber,0),MATCH(N$3,PlotTitles,0))),$AB$17,TRUE,"")</f>
        <v/>
      </c>
      <c r="O141" s="104" t="str" cm="1">
        <f t="array" ref="O141">_xlfn.IFS(AND(A141&gt;NumberOfPlots,ISBLANK(INDEX(PlotData,MATCH($A141,PlotNumber,0),MATCH(B$3,PlotTitles,0)))),"",ISBLANK(INDEX(PlotData,MATCH($A141,PlotNumber,0),MATCH(O$3,PlotTitles,0))),$AB$18,TRUE,"")</f>
        <v/>
      </c>
      <c r="P141" s="182" t="str">
        <f t="shared" ca="1" si="7"/>
        <v/>
      </c>
      <c r="Q141" s="104" t="str" cm="1">
        <f t="array" ref="Q141">_xlfn.IFS(AND(A141&gt;NumberOfPlots,ISBLANK(INDEX(PlotData,MATCH($A141,PlotNumber,0),MATCH(B$3,PlotTitles,0)))),"",ISBLANK(INDEX(PlotData,MATCH($A141,PlotNumber,0),MATCH(N$3,PlotTitles,0))),"",(DATEVALUE(INDEX(PlotData,MATCH($A141,PlotNumber,0),MATCH(N$3,PlotTitles,0))&amp;INDEX(PlotData,MATCH($A141,PlotNumber,0),MATCH(O$3,PlotTitles,0))))&lt;(DATEVALUE(INDEX(PlotData,MATCH($A141,PlotNumber,0),MATCH(I$3,PlotTitles,0))&amp;INDEX(PlotData,MATCH($A141,PlotNumber,0),MATCH(J$3,PlotTitles,0)))),$AB$20,TRUE,"")</f>
        <v/>
      </c>
      <c r="R141" s="104" t="str" cm="1">
        <f t="array" ref="R141">_xlfn.IFS(OR(ISBLANK(StartDateMonth),ISBLANK(StartDateYear)),"",AND(A141&gt;NumberOfPlots,ISBLANK(INDEX(PlotData,MATCH($A141,PlotNumber,0),MATCH(B$3,PlotTitles,0)))),"",ISBLANK(INDEX(PlotData,MATCH($A141,PlotNumber,0),MATCH(N$3,PlotTitles,0))),"",CompletionMonth="","",(DATEVALUE(INDEX(PlotData,MATCH($A141,PlotNumber,0),MATCH(N$3,PlotTitles,0))&amp;INDEX(PlotData,MATCH($A141,PlotNumber,0),MATCH(O$3,PlotTitles,0))))&gt;(DATEVALUE(CompletionMonth&amp;CompletionYear)),$AB$21,TRUE,"")</f>
        <v/>
      </c>
      <c r="S141" s="104" t="str" cm="1">
        <f t="array" ref="S141">_xlfn.IFS(AND(A141&gt;NumberOfPlots,ISBLANK(INDEX(PlotData,MATCH($A141,PlotNumber,0),MATCH(B$3,PlotTitles,0)))),"",OR(AND(INDEX(PlotData,MATCH($A141,PlotNumber,0),MATCH("Tenure",PlotTitles,0))="Open market housing",INDEX(PlotData,MATCH($A141,PlotNumber,0),MATCH("Tenure detail",PlotTitles,0))="Private rented sector"),INDEX(PlotData,MATCH($A141,PlotNumber,0),MATCH("Tenure",PlotTitles,0))="Affordable rent"),"",ISNUMBER(INDEX(PlotData,MATCH($A141,PlotNumber,0),MATCH(S$3,PlotTitles,0)))=FALSE, $AB$22,TRUE,"")</f>
        <v/>
      </c>
      <c r="T141" s="104" t="str" cm="1">
        <f t="array" ref="T141">_xlfn.IFS(AND(A141&gt;NumberOfPlots,ISBLANK(INDEX(PlotData,MATCH($A141,PlotNumber,0),MATCH(B$3,PlotTitles,0)))),"",OR(AND(INDEX(PlotData,MATCH($A141,PlotNumber,0),MATCH("Tenure",PlotTitles,0))="Open market housing",INDEX(PlotData,MATCH($A141,PlotNumber,0),MATCH("Tenure detail",PlotTitles,0))="Private rented sector"),INDEX(PlotData,MATCH($A141,PlotNumber,0),MATCH("Tenure",PlotTitles,0))="Affordable rent"),"",INDEX(PlotData,MATCH($A141,PlotNumber,0),MATCH(S$3,PlotTitles,0))&lt;10000, $AB$23,TRUE,"")</f>
        <v/>
      </c>
      <c r="U141" s="104" t="str" cm="1">
        <f t="array" ref="U141">_xlfn.IFS(AND(A141&gt;NumberOfPlots,ISBLANK(INDEX(PlotData,MATCH($A141,PlotNumber,0),MATCH(B$3,PlotTitles,0)))),"",NOT(OR(AND(INDEX(PlotData,MATCH($A141,PlotNumber,0),MATCH("Tenure",PlotTitles,0))="Open market housing",INDEX(PlotData,MATCH($A141,PlotNumber,0),MATCH("Tenure detail",PlotTitles,0))="Private rented sector"),INDEX(PlotData,MATCH($A141,PlotNumber,0),MATCH("Tenure",PlotTitles,0))="Affordable rent")),"",NOT(INDEX(PlotData,MATCH($A141,PlotNumber,0),MATCH(S$3,PlotTitles,0))=0), $AB$24,TRUE,"")</f>
        <v/>
      </c>
      <c r="V141" s="114" t="str" cm="1">
        <f t="array" aca="1" ref="V141" ca="1">_xlfn.IFS(ISBLANK(NumberOfPlots),"Enter the number of homes on the 1_SetUp sheet",AND(A141&gt;NumberOfPlots,ISBLANK(INDEX(PlotData,MATCH($A141,PlotNumber,0),MATCH(B$3,PlotTitles,0)))),"No error",NOT(B141=""),B141,NOT(C141=""),C141,NOT(D141=""),D141,NOT(E141=""),E141,NOT(F141=""),F141,NOT(G141=""),G141,NOT(H141=""),H141,NOT(I141=""),I141,NOT(J141=""),J141,NOT(K141=""),K141,NOT(L141=""),L141,NOT(M141=""),M141,NOT(N141=""),N141,NOT(O141=""),O141,NOT(P141=""),P141,NOT(Q141=""),Q141,NOT(R141=""),R141,NOT(S141=""),S141,NOT(T141=""),T141,NOT(U141=""),U141,TRUE,"No error")</f>
        <v>Enter the number of homes on the 1_SetUp sheet</v>
      </c>
      <c r="W141" s="114" t="str">
        <f t="shared" ca="1" si="8"/>
        <v xml:space="preserve">The Borrower has not addressed the following error messages for Home ID 137: </v>
      </c>
    </row>
    <row r="142" spans="1:23">
      <c r="A142" s="123">
        <v>138</v>
      </c>
      <c r="B142" s="104" t="str" cm="1">
        <f t="array" ref="B142">_xlfn.IFS(AND(A142&gt;NumberOfPlots,ISBLANK(INDEX(PlotData,MATCH($A142,PlotNumber,0),MATCH(B$3,PlotTitles,0)))),"",ISNUMBER(INDEX(PlotData,MATCH($A142,PlotNumber,0),MATCH(B$3,PlotTitles,0)))=FALSE, $AB$5,TRUE,"")</f>
        <v/>
      </c>
      <c r="C142" s="104" t="str" cm="1">
        <f t="array" ref="C142">_xlfn.IFS(AND(A142&gt;NumberOfPlots,ISBLANK(INDEX(PlotData,MATCH($A142,PlotNumber,0),MATCH(B$3,PlotTitles,0)))),"",ISBLANK(INDEX(PlotData,MATCH($A142,PlotNumber,0),MATCH(C$3,PlotTitles,0))),$AB$6,TRUE,"")</f>
        <v/>
      </c>
      <c r="D142" s="104" t="str" cm="1">
        <f t="array" ref="D142">_xlfn.IFS(AND(A142&gt;NumberOfPlots,ISBLANK(INDEX(PlotData,MATCH($A142,PlotNumber,0),MATCH(B$3,PlotTitles,0)))),"",ISBLANK(INDEX(PlotData,MATCH($A142,PlotNumber,0),MATCH(D$3,PlotTitles,0))),$AB$7,TRUE,"")</f>
        <v/>
      </c>
      <c r="E142" s="104" t="str" cm="1">
        <f t="array" ref="E142">_xlfn.IFS(AND(A142&gt;NumberOfPlots,ISBLANK(INDEX(PlotData,MATCH($A142,PlotNumber,0),MATCH(B$3,PlotTitles,0)))),"",ISBLANK(INDEX(PlotData,MATCH($A142,PlotNumber,0),MATCH(E$3,PlotTitles,0))),$AB$8,TRUE,"")</f>
        <v/>
      </c>
      <c r="F142" s="104" t="str" cm="1">
        <f t="array" ref="F142">_xlfn.IFS(AND(A142&gt;NumberOfPlots,ISBLANK(INDEX(PlotData,MATCH($A142,PlotNumber,0),MATCH(B$3,PlotTitles,0)))),"",ISBLANK(INDEX(PlotData,MATCH($A142,PlotNumber,0),MATCH(F$3,PlotTitles,0))),$AB$9,TRUE,"")</f>
        <v/>
      </c>
      <c r="G142" s="104" t="str" cm="1">
        <f t="array" ref="G142">_xlfn.IFS(AND(A142&gt;NumberOfPlots,ISBLANK(INDEX(PlotData,MATCH($A142,PlotNumber,0),MATCH(B$3,PlotTitles,0)))),"",ISBLANK(INDEX(PlotData,MATCH($A142,PlotNumber,0),MATCH(G$3,PlotTitles,0))),$AB$10,TRUE,"")</f>
        <v/>
      </c>
      <c r="H142" s="104" t="str" cm="1">
        <f t="array" ref="H142">_xlfn.IFS(AND(A142&gt;NumberOfPlots,ISBLANK(INDEX(PlotData,MATCH($A142,PlotNumber,0),MATCH(B$3,PlotTitles,0)))),"",AND(ISBLANK(INDEX(PlotData,MATCH($A142,PlotNumber,0),MATCH(H$3,PlotTitles,0)))=FALSE,INDEX(PlotData,MATCH($A142,PlotNumber,0),MATCH(H$3,PlotTitles,0))&lt;500), $AB$11,TRUE,"")</f>
        <v/>
      </c>
      <c r="I142" s="104" t="str" cm="1">
        <f t="array" ref="I142">_xlfn.IFS(AND(A142&gt;NumberOfPlots,ISBLANK(INDEX(PlotData,MATCH($A142,PlotNumber,0),MATCH(B$3,PlotTitles,0)))),"",ISBLANK(INDEX(PlotData,MATCH($A142,PlotNumber,0),MATCH(I$3,PlotTitles,0))),$AB$12,TRUE,"")</f>
        <v/>
      </c>
      <c r="J142" s="104" t="str" cm="1">
        <f t="array" ref="J142">_xlfn.IFS(AND(A142&gt;NumberOfPlots,ISBLANK(INDEX(PlotData,MATCH($A142,PlotNumber,0),MATCH(B$3,PlotTitles,0)))),"",ISBLANK(INDEX(PlotData,MATCH($A142,PlotNumber,0),MATCH(J$3,PlotTitles,0))),$AB$13,TRUE,"")</f>
        <v/>
      </c>
      <c r="K142" s="182" t="str">
        <f t="shared" ca="1" si="6"/>
        <v/>
      </c>
      <c r="L142" s="104" t="str" cm="1">
        <f t="array" ref="L142">_xlfn.IFS(OR(ISBLANK(StartDateMonth),ISBLANK(StartDateYear)),"",AND(A142&gt;NumberOfPlots,ISBLANK(INDEX(PlotData,MATCH($A142,PlotNumber,0),MATCH(B$3,PlotTitles,0)))),"",ISBLANK(INDEX(PlotData,MATCH($A142,PlotNumber,0),MATCH(I$3,PlotTitles,0))),"",(DATEVALUE(INDEX(PlotData,MATCH($A142,PlotNumber,0),MATCH(I$3,PlotTitles,0))&amp;INDEX(PlotData,MATCH($A142,PlotNumber,0),MATCH(J$3,PlotTitles,0))))&lt;DATEVALUE(StartDateMonth&amp;StartDateYear),$AB$15,TRUE,"")</f>
        <v/>
      </c>
      <c r="M142" s="104" t="str" cm="1">
        <f t="array" ref="M142">_xlfn.IFS(OR(ISBLANK(StartDateMonth),ISBLANK(StartDateYear)),"",AND(A142&gt;NumberOfPlots,ISBLANK(INDEX(PlotData,MATCH($A142,PlotNumber,0),MATCH(B$3,PlotTitles,0)))),"",ISBLANK(INDEX(PlotData,MATCH($A142,PlotNumber,0),MATCH(I$3,PlotTitles,0))),"",CompletionMonth="","",(DATEVALUE(INDEX(PlotData,MATCH($A142,PlotNumber,0),MATCH(I$3,PlotTitles,0))&amp;INDEX(PlotData,MATCH($A142,PlotNumber,0),MATCH(J$3,PlotTitles,0))))&gt;(DATEVALUE(CompletionMonth&amp;CompletionYear)),$AB$16,TRUE,"")</f>
        <v/>
      </c>
      <c r="N142" s="104" t="str" cm="1">
        <f t="array" ref="N142">_xlfn.IFS(AND(A142&gt;NumberOfPlots,ISBLANK(INDEX(PlotData,MATCH($A142,PlotNumber,0),MATCH(B$3,PlotTitles,0)))),"",ISBLANK(INDEX(PlotData,MATCH($A142,PlotNumber,0),MATCH(N$3,PlotTitles,0))),$AB$17,TRUE,"")</f>
        <v/>
      </c>
      <c r="O142" s="104" t="str" cm="1">
        <f t="array" ref="O142">_xlfn.IFS(AND(A142&gt;NumberOfPlots,ISBLANK(INDEX(PlotData,MATCH($A142,PlotNumber,0),MATCH(B$3,PlotTitles,0)))),"",ISBLANK(INDEX(PlotData,MATCH($A142,PlotNumber,0),MATCH(O$3,PlotTitles,0))),$AB$18,TRUE,"")</f>
        <v/>
      </c>
      <c r="P142" s="182" t="str">
        <f t="shared" ca="1" si="7"/>
        <v/>
      </c>
      <c r="Q142" s="104" t="str" cm="1">
        <f t="array" ref="Q142">_xlfn.IFS(AND(A142&gt;NumberOfPlots,ISBLANK(INDEX(PlotData,MATCH($A142,PlotNumber,0),MATCH(B$3,PlotTitles,0)))),"",ISBLANK(INDEX(PlotData,MATCH($A142,PlotNumber,0),MATCH(N$3,PlotTitles,0))),"",(DATEVALUE(INDEX(PlotData,MATCH($A142,PlotNumber,0),MATCH(N$3,PlotTitles,0))&amp;INDEX(PlotData,MATCH($A142,PlotNumber,0),MATCH(O$3,PlotTitles,0))))&lt;(DATEVALUE(INDEX(PlotData,MATCH($A142,PlotNumber,0),MATCH(I$3,PlotTitles,0))&amp;INDEX(PlotData,MATCH($A142,PlotNumber,0),MATCH(J$3,PlotTitles,0)))),$AB$20,TRUE,"")</f>
        <v/>
      </c>
      <c r="R142" s="104" t="str" cm="1">
        <f t="array" ref="R142">_xlfn.IFS(OR(ISBLANK(StartDateMonth),ISBLANK(StartDateYear)),"",AND(A142&gt;NumberOfPlots,ISBLANK(INDEX(PlotData,MATCH($A142,PlotNumber,0),MATCH(B$3,PlotTitles,0)))),"",ISBLANK(INDEX(PlotData,MATCH($A142,PlotNumber,0),MATCH(N$3,PlotTitles,0))),"",CompletionMonth="","",(DATEVALUE(INDEX(PlotData,MATCH($A142,PlotNumber,0),MATCH(N$3,PlotTitles,0))&amp;INDEX(PlotData,MATCH($A142,PlotNumber,0),MATCH(O$3,PlotTitles,0))))&gt;(DATEVALUE(CompletionMonth&amp;CompletionYear)),$AB$21,TRUE,"")</f>
        <v/>
      </c>
      <c r="S142" s="104" t="str" cm="1">
        <f t="array" ref="S142">_xlfn.IFS(AND(A142&gt;NumberOfPlots,ISBLANK(INDEX(PlotData,MATCH($A142,PlotNumber,0),MATCH(B$3,PlotTitles,0)))),"",OR(AND(INDEX(PlotData,MATCH($A142,PlotNumber,0),MATCH("Tenure",PlotTitles,0))="Open market housing",INDEX(PlotData,MATCH($A142,PlotNumber,0),MATCH("Tenure detail",PlotTitles,0))="Private rented sector"),INDEX(PlotData,MATCH($A142,PlotNumber,0),MATCH("Tenure",PlotTitles,0))="Affordable rent"),"",ISNUMBER(INDEX(PlotData,MATCH($A142,PlotNumber,0),MATCH(S$3,PlotTitles,0)))=FALSE, $AB$22,TRUE,"")</f>
        <v/>
      </c>
      <c r="T142" s="104" t="str" cm="1">
        <f t="array" ref="T142">_xlfn.IFS(AND(A142&gt;NumberOfPlots,ISBLANK(INDEX(PlotData,MATCH($A142,PlotNumber,0),MATCH(B$3,PlotTitles,0)))),"",OR(AND(INDEX(PlotData,MATCH($A142,PlotNumber,0),MATCH("Tenure",PlotTitles,0))="Open market housing",INDEX(PlotData,MATCH($A142,PlotNumber,0),MATCH("Tenure detail",PlotTitles,0))="Private rented sector"),INDEX(PlotData,MATCH($A142,PlotNumber,0),MATCH("Tenure",PlotTitles,0))="Affordable rent"),"",INDEX(PlotData,MATCH($A142,PlotNumber,0),MATCH(S$3,PlotTitles,0))&lt;10000, $AB$23,TRUE,"")</f>
        <v/>
      </c>
      <c r="U142" s="104" t="str" cm="1">
        <f t="array" ref="U142">_xlfn.IFS(AND(A142&gt;NumberOfPlots,ISBLANK(INDEX(PlotData,MATCH($A142,PlotNumber,0),MATCH(B$3,PlotTitles,0)))),"",NOT(OR(AND(INDEX(PlotData,MATCH($A142,PlotNumber,0),MATCH("Tenure",PlotTitles,0))="Open market housing",INDEX(PlotData,MATCH($A142,PlotNumber,0),MATCH("Tenure detail",PlotTitles,0))="Private rented sector"),INDEX(PlotData,MATCH($A142,PlotNumber,0),MATCH("Tenure",PlotTitles,0))="Affordable rent")),"",NOT(INDEX(PlotData,MATCH($A142,PlotNumber,0),MATCH(S$3,PlotTitles,0))=0), $AB$24,TRUE,"")</f>
        <v/>
      </c>
      <c r="V142" s="114" t="str" cm="1">
        <f t="array" aca="1" ref="V142" ca="1">_xlfn.IFS(ISBLANK(NumberOfPlots),"Enter the number of homes on the 1_SetUp sheet",AND(A142&gt;NumberOfPlots,ISBLANK(INDEX(PlotData,MATCH($A142,PlotNumber,0),MATCH(B$3,PlotTitles,0)))),"No error",NOT(B142=""),B142,NOT(C142=""),C142,NOT(D142=""),D142,NOT(E142=""),E142,NOT(F142=""),F142,NOT(G142=""),G142,NOT(H142=""),H142,NOT(I142=""),I142,NOT(J142=""),J142,NOT(K142=""),K142,NOT(L142=""),L142,NOT(M142=""),M142,NOT(N142=""),N142,NOT(O142=""),O142,NOT(P142=""),P142,NOT(Q142=""),Q142,NOT(R142=""),R142,NOT(S142=""),S142,NOT(T142=""),T142,NOT(U142=""),U142,TRUE,"No error")</f>
        <v>Enter the number of homes on the 1_SetUp sheet</v>
      </c>
      <c r="W142" s="114" t="str">
        <f t="shared" ca="1" si="8"/>
        <v xml:space="preserve">The Borrower has not addressed the following error messages for Home ID 138: </v>
      </c>
    </row>
    <row r="143" spans="1:23">
      <c r="A143" s="123">
        <v>139</v>
      </c>
      <c r="B143" s="104" t="str" cm="1">
        <f t="array" ref="B143">_xlfn.IFS(AND(A143&gt;NumberOfPlots,ISBLANK(INDEX(PlotData,MATCH($A143,PlotNumber,0),MATCH(B$3,PlotTitles,0)))),"",ISNUMBER(INDEX(PlotData,MATCH($A143,PlotNumber,0),MATCH(B$3,PlotTitles,0)))=FALSE, $AB$5,TRUE,"")</f>
        <v/>
      </c>
      <c r="C143" s="104" t="str" cm="1">
        <f t="array" ref="C143">_xlfn.IFS(AND(A143&gt;NumberOfPlots,ISBLANK(INDEX(PlotData,MATCH($A143,PlotNumber,0),MATCH(B$3,PlotTitles,0)))),"",ISBLANK(INDEX(PlotData,MATCH($A143,PlotNumber,0),MATCH(C$3,PlotTitles,0))),$AB$6,TRUE,"")</f>
        <v/>
      </c>
      <c r="D143" s="104" t="str" cm="1">
        <f t="array" ref="D143">_xlfn.IFS(AND(A143&gt;NumberOfPlots,ISBLANK(INDEX(PlotData,MATCH($A143,PlotNumber,0),MATCH(B$3,PlotTitles,0)))),"",ISBLANK(INDEX(PlotData,MATCH($A143,PlotNumber,0),MATCH(D$3,PlotTitles,0))),$AB$7,TRUE,"")</f>
        <v/>
      </c>
      <c r="E143" s="104" t="str" cm="1">
        <f t="array" ref="E143">_xlfn.IFS(AND(A143&gt;NumberOfPlots,ISBLANK(INDEX(PlotData,MATCH($A143,PlotNumber,0),MATCH(B$3,PlotTitles,0)))),"",ISBLANK(INDEX(PlotData,MATCH($A143,PlotNumber,0),MATCH(E$3,PlotTitles,0))),$AB$8,TRUE,"")</f>
        <v/>
      </c>
      <c r="F143" s="104" t="str" cm="1">
        <f t="array" ref="F143">_xlfn.IFS(AND(A143&gt;NumberOfPlots,ISBLANK(INDEX(PlotData,MATCH($A143,PlotNumber,0),MATCH(B$3,PlotTitles,0)))),"",ISBLANK(INDEX(PlotData,MATCH($A143,PlotNumber,0),MATCH(F$3,PlotTitles,0))),$AB$9,TRUE,"")</f>
        <v/>
      </c>
      <c r="G143" s="104" t="str" cm="1">
        <f t="array" ref="G143">_xlfn.IFS(AND(A143&gt;NumberOfPlots,ISBLANK(INDEX(PlotData,MATCH($A143,PlotNumber,0),MATCH(B$3,PlotTitles,0)))),"",ISBLANK(INDEX(PlotData,MATCH($A143,PlotNumber,0),MATCH(G$3,PlotTitles,0))),$AB$10,TRUE,"")</f>
        <v/>
      </c>
      <c r="H143" s="104" t="str" cm="1">
        <f t="array" ref="H143">_xlfn.IFS(AND(A143&gt;NumberOfPlots,ISBLANK(INDEX(PlotData,MATCH($A143,PlotNumber,0),MATCH(B$3,PlotTitles,0)))),"",AND(ISBLANK(INDEX(PlotData,MATCH($A143,PlotNumber,0),MATCH(H$3,PlotTitles,0)))=FALSE,INDEX(PlotData,MATCH($A143,PlotNumber,0),MATCH(H$3,PlotTitles,0))&lt;500), $AB$11,TRUE,"")</f>
        <v/>
      </c>
      <c r="I143" s="104" t="str" cm="1">
        <f t="array" ref="I143">_xlfn.IFS(AND(A143&gt;NumberOfPlots,ISBLANK(INDEX(PlotData,MATCH($A143,PlotNumber,0),MATCH(B$3,PlotTitles,0)))),"",ISBLANK(INDEX(PlotData,MATCH($A143,PlotNumber,0),MATCH(I$3,PlotTitles,0))),$AB$12,TRUE,"")</f>
        <v/>
      </c>
      <c r="J143" s="104" t="str" cm="1">
        <f t="array" ref="J143">_xlfn.IFS(AND(A143&gt;NumberOfPlots,ISBLANK(INDEX(PlotData,MATCH($A143,PlotNumber,0),MATCH(B$3,PlotTitles,0)))),"",ISBLANK(INDEX(PlotData,MATCH($A143,PlotNumber,0),MATCH(J$3,PlotTitles,0))),$AB$13,TRUE,"")</f>
        <v/>
      </c>
      <c r="K143" s="182" t="str">
        <f t="shared" ca="1" si="6"/>
        <v/>
      </c>
      <c r="L143" s="104" t="str" cm="1">
        <f t="array" ref="L143">_xlfn.IFS(OR(ISBLANK(StartDateMonth),ISBLANK(StartDateYear)),"",AND(A143&gt;NumberOfPlots,ISBLANK(INDEX(PlotData,MATCH($A143,PlotNumber,0),MATCH(B$3,PlotTitles,0)))),"",ISBLANK(INDEX(PlotData,MATCH($A143,PlotNumber,0),MATCH(I$3,PlotTitles,0))),"",(DATEVALUE(INDEX(PlotData,MATCH($A143,PlotNumber,0),MATCH(I$3,PlotTitles,0))&amp;INDEX(PlotData,MATCH($A143,PlotNumber,0),MATCH(J$3,PlotTitles,0))))&lt;DATEVALUE(StartDateMonth&amp;StartDateYear),$AB$15,TRUE,"")</f>
        <v/>
      </c>
      <c r="M143" s="104" t="str" cm="1">
        <f t="array" ref="M143">_xlfn.IFS(OR(ISBLANK(StartDateMonth),ISBLANK(StartDateYear)),"",AND(A143&gt;NumberOfPlots,ISBLANK(INDEX(PlotData,MATCH($A143,PlotNumber,0),MATCH(B$3,PlotTitles,0)))),"",ISBLANK(INDEX(PlotData,MATCH($A143,PlotNumber,0),MATCH(I$3,PlotTitles,0))),"",CompletionMonth="","",(DATEVALUE(INDEX(PlotData,MATCH($A143,PlotNumber,0),MATCH(I$3,PlotTitles,0))&amp;INDEX(PlotData,MATCH($A143,PlotNumber,0),MATCH(J$3,PlotTitles,0))))&gt;(DATEVALUE(CompletionMonth&amp;CompletionYear)),$AB$16,TRUE,"")</f>
        <v/>
      </c>
      <c r="N143" s="104" t="str" cm="1">
        <f t="array" ref="N143">_xlfn.IFS(AND(A143&gt;NumberOfPlots,ISBLANK(INDEX(PlotData,MATCH($A143,PlotNumber,0),MATCH(B$3,PlotTitles,0)))),"",ISBLANK(INDEX(PlotData,MATCH($A143,PlotNumber,0),MATCH(N$3,PlotTitles,0))),$AB$17,TRUE,"")</f>
        <v/>
      </c>
      <c r="O143" s="104" t="str" cm="1">
        <f t="array" ref="O143">_xlfn.IFS(AND(A143&gt;NumberOfPlots,ISBLANK(INDEX(PlotData,MATCH($A143,PlotNumber,0),MATCH(B$3,PlotTitles,0)))),"",ISBLANK(INDEX(PlotData,MATCH($A143,PlotNumber,0),MATCH(O$3,PlotTitles,0))),$AB$18,TRUE,"")</f>
        <v/>
      </c>
      <c r="P143" s="182" t="str">
        <f t="shared" ca="1" si="7"/>
        <v/>
      </c>
      <c r="Q143" s="104" t="str" cm="1">
        <f t="array" ref="Q143">_xlfn.IFS(AND(A143&gt;NumberOfPlots,ISBLANK(INDEX(PlotData,MATCH($A143,PlotNumber,0),MATCH(B$3,PlotTitles,0)))),"",ISBLANK(INDEX(PlotData,MATCH($A143,PlotNumber,0),MATCH(N$3,PlotTitles,0))),"",(DATEVALUE(INDEX(PlotData,MATCH($A143,PlotNumber,0),MATCH(N$3,PlotTitles,0))&amp;INDEX(PlotData,MATCH($A143,PlotNumber,0),MATCH(O$3,PlotTitles,0))))&lt;(DATEVALUE(INDEX(PlotData,MATCH($A143,PlotNumber,0),MATCH(I$3,PlotTitles,0))&amp;INDEX(PlotData,MATCH($A143,PlotNumber,0),MATCH(J$3,PlotTitles,0)))),$AB$20,TRUE,"")</f>
        <v/>
      </c>
      <c r="R143" s="104" t="str" cm="1">
        <f t="array" ref="R143">_xlfn.IFS(OR(ISBLANK(StartDateMonth),ISBLANK(StartDateYear)),"",AND(A143&gt;NumberOfPlots,ISBLANK(INDEX(PlotData,MATCH($A143,PlotNumber,0),MATCH(B$3,PlotTitles,0)))),"",ISBLANK(INDEX(PlotData,MATCH($A143,PlotNumber,0),MATCH(N$3,PlotTitles,0))),"",CompletionMonth="","",(DATEVALUE(INDEX(PlotData,MATCH($A143,PlotNumber,0),MATCH(N$3,PlotTitles,0))&amp;INDEX(PlotData,MATCH($A143,PlotNumber,0),MATCH(O$3,PlotTitles,0))))&gt;(DATEVALUE(CompletionMonth&amp;CompletionYear)),$AB$21,TRUE,"")</f>
        <v/>
      </c>
      <c r="S143" s="104" t="str" cm="1">
        <f t="array" ref="S143">_xlfn.IFS(AND(A143&gt;NumberOfPlots,ISBLANK(INDEX(PlotData,MATCH($A143,PlotNumber,0),MATCH(B$3,PlotTitles,0)))),"",OR(AND(INDEX(PlotData,MATCH($A143,PlotNumber,0),MATCH("Tenure",PlotTitles,0))="Open market housing",INDEX(PlotData,MATCH($A143,PlotNumber,0),MATCH("Tenure detail",PlotTitles,0))="Private rented sector"),INDEX(PlotData,MATCH($A143,PlotNumber,0),MATCH("Tenure",PlotTitles,0))="Affordable rent"),"",ISNUMBER(INDEX(PlotData,MATCH($A143,PlotNumber,0),MATCH(S$3,PlotTitles,0)))=FALSE, $AB$22,TRUE,"")</f>
        <v/>
      </c>
      <c r="T143" s="104" t="str" cm="1">
        <f t="array" ref="T143">_xlfn.IFS(AND(A143&gt;NumberOfPlots,ISBLANK(INDEX(PlotData,MATCH($A143,PlotNumber,0),MATCH(B$3,PlotTitles,0)))),"",OR(AND(INDEX(PlotData,MATCH($A143,PlotNumber,0),MATCH("Tenure",PlotTitles,0))="Open market housing",INDEX(PlotData,MATCH($A143,PlotNumber,0),MATCH("Tenure detail",PlotTitles,0))="Private rented sector"),INDEX(PlotData,MATCH($A143,PlotNumber,0),MATCH("Tenure",PlotTitles,0))="Affordable rent"),"",INDEX(PlotData,MATCH($A143,PlotNumber,0),MATCH(S$3,PlotTitles,0))&lt;10000, $AB$23,TRUE,"")</f>
        <v/>
      </c>
      <c r="U143" s="104" t="str" cm="1">
        <f t="array" ref="U143">_xlfn.IFS(AND(A143&gt;NumberOfPlots,ISBLANK(INDEX(PlotData,MATCH($A143,PlotNumber,0),MATCH(B$3,PlotTitles,0)))),"",NOT(OR(AND(INDEX(PlotData,MATCH($A143,PlotNumber,0),MATCH("Tenure",PlotTitles,0))="Open market housing",INDEX(PlotData,MATCH($A143,PlotNumber,0),MATCH("Tenure detail",PlotTitles,0))="Private rented sector"),INDEX(PlotData,MATCH($A143,PlotNumber,0),MATCH("Tenure",PlotTitles,0))="Affordable rent")),"",NOT(INDEX(PlotData,MATCH($A143,PlotNumber,0),MATCH(S$3,PlotTitles,0))=0), $AB$24,TRUE,"")</f>
        <v/>
      </c>
      <c r="V143" s="114" t="str" cm="1">
        <f t="array" aca="1" ref="V143" ca="1">_xlfn.IFS(ISBLANK(NumberOfPlots),"Enter the number of homes on the 1_SetUp sheet",AND(A143&gt;NumberOfPlots,ISBLANK(INDEX(PlotData,MATCH($A143,PlotNumber,0),MATCH(B$3,PlotTitles,0)))),"No error",NOT(B143=""),B143,NOT(C143=""),C143,NOT(D143=""),D143,NOT(E143=""),E143,NOT(F143=""),F143,NOT(G143=""),G143,NOT(H143=""),H143,NOT(I143=""),I143,NOT(J143=""),J143,NOT(K143=""),K143,NOT(L143=""),L143,NOT(M143=""),M143,NOT(N143=""),N143,NOT(O143=""),O143,NOT(P143=""),P143,NOT(Q143=""),Q143,NOT(R143=""),R143,NOT(S143=""),S143,NOT(T143=""),T143,NOT(U143=""),U143,TRUE,"No error")</f>
        <v>Enter the number of homes on the 1_SetUp sheet</v>
      </c>
      <c r="W143" s="114" t="str">
        <f t="shared" ca="1" si="8"/>
        <v xml:space="preserve">The Borrower has not addressed the following error messages for Home ID 139: </v>
      </c>
    </row>
    <row r="144" spans="1:23">
      <c r="A144" s="123">
        <v>140</v>
      </c>
      <c r="B144" s="104" t="str" cm="1">
        <f t="array" ref="B144">_xlfn.IFS(AND(A144&gt;NumberOfPlots,ISBLANK(INDEX(PlotData,MATCH($A144,PlotNumber,0),MATCH(B$3,PlotTitles,0)))),"",ISNUMBER(INDEX(PlotData,MATCH($A144,PlotNumber,0),MATCH(B$3,PlotTitles,0)))=FALSE, $AB$5,TRUE,"")</f>
        <v/>
      </c>
      <c r="C144" s="104" t="str" cm="1">
        <f t="array" ref="C144">_xlfn.IFS(AND(A144&gt;NumberOfPlots,ISBLANK(INDEX(PlotData,MATCH($A144,PlotNumber,0),MATCH(B$3,PlotTitles,0)))),"",ISBLANK(INDEX(PlotData,MATCH($A144,PlotNumber,0),MATCH(C$3,PlotTitles,0))),$AB$6,TRUE,"")</f>
        <v/>
      </c>
      <c r="D144" s="104" t="str" cm="1">
        <f t="array" ref="D144">_xlfn.IFS(AND(A144&gt;NumberOfPlots,ISBLANK(INDEX(PlotData,MATCH($A144,PlotNumber,0),MATCH(B$3,PlotTitles,0)))),"",ISBLANK(INDEX(PlotData,MATCH($A144,PlotNumber,0),MATCH(D$3,PlotTitles,0))),$AB$7,TRUE,"")</f>
        <v/>
      </c>
      <c r="E144" s="104" t="str" cm="1">
        <f t="array" ref="E144">_xlfn.IFS(AND(A144&gt;NumberOfPlots,ISBLANK(INDEX(PlotData,MATCH($A144,PlotNumber,0),MATCH(B$3,PlotTitles,0)))),"",ISBLANK(INDEX(PlotData,MATCH($A144,PlotNumber,0),MATCH(E$3,PlotTitles,0))),$AB$8,TRUE,"")</f>
        <v/>
      </c>
      <c r="F144" s="104" t="str" cm="1">
        <f t="array" ref="F144">_xlfn.IFS(AND(A144&gt;NumberOfPlots,ISBLANK(INDEX(PlotData,MATCH($A144,PlotNumber,0),MATCH(B$3,PlotTitles,0)))),"",ISBLANK(INDEX(PlotData,MATCH($A144,PlotNumber,0),MATCH(F$3,PlotTitles,0))),$AB$9,TRUE,"")</f>
        <v/>
      </c>
      <c r="G144" s="104" t="str" cm="1">
        <f t="array" ref="G144">_xlfn.IFS(AND(A144&gt;NumberOfPlots,ISBLANK(INDEX(PlotData,MATCH($A144,PlotNumber,0),MATCH(B$3,PlotTitles,0)))),"",ISBLANK(INDEX(PlotData,MATCH($A144,PlotNumber,0),MATCH(G$3,PlotTitles,0))),$AB$10,TRUE,"")</f>
        <v/>
      </c>
      <c r="H144" s="104" t="str" cm="1">
        <f t="array" ref="H144">_xlfn.IFS(AND(A144&gt;NumberOfPlots,ISBLANK(INDEX(PlotData,MATCH($A144,PlotNumber,0),MATCH(B$3,PlotTitles,0)))),"",AND(ISBLANK(INDEX(PlotData,MATCH($A144,PlotNumber,0),MATCH(H$3,PlotTitles,0)))=FALSE,INDEX(PlotData,MATCH($A144,PlotNumber,0),MATCH(H$3,PlotTitles,0))&lt;500), $AB$11,TRUE,"")</f>
        <v/>
      </c>
      <c r="I144" s="104" t="str" cm="1">
        <f t="array" ref="I144">_xlfn.IFS(AND(A144&gt;NumberOfPlots,ISBLANK(INDEX(PlotData,MATCH($A144,PlotNumber,0),MATCH(B$3,PlotTitles,0)))),"",ISBLANK(INDEX(PlotData,MATCH($A144,PlotNumber,0),MATCH(I$3,PlotTitles,0))),$AB$12,TRUE,"")</f>
        <v/>
      </c>
      <c r="J144" s="104" t="str" cm="1">
        <f t="array" ref="J144">_xlfn.IFS(AND(A144&gt;NumberOfPlots,ISBLANK(INDEX(PlotData,MATCH($A144,PlotNumber,0),MATCH(B$3,PlotTitles,0)))),"",ISBLANK(INDEX(PlotData,MATCH($A144,PlotNumber,0),MATCH(J$3,PlotTitles,0))),$AB$13,TRUE,"")</f>
        <v/>
      </c>
      <c r="K144" s="182" t="str">
        <f t="shared" ca="1" si="6"/>
        <v/>
      </c>
      <c r="L144" s="104" t="str" cm="1">
        <f t="array" ref="L144">_xlfn.IFS(OR(ISBLANK(StartDateMonth),ISBLANK(StartDateYear)),"",AND(A144&gt;NumberOfPlots,ISBLANK(INDEX(PlotData,MATCH($A144,PlotNumber,0),MATCH(B$3,PlotTitles,0)))),"",ISBLANK(INDEX(PlotData,MATCH($A144,PlotNumber,0),MATCH(I$3,PlotTitles,0))),"",(DATEVALUE(INDEX(PlotData,MATCH($A144,PlotNumber,0),MATCH(I$3,PlotTitles,0))&amp;INDEX(PlotData,MATCH($A144,PlotNumber,0),MATCH(J$3,PlotTitles,0))))&lt;DATEVALUE(StartDateMonth&amp;StartDateYear),$AB$15,TRUE,"")</f>
        <v/>
      </c>
      <c r="M144" s="104" t="str" cm="1">
        <f t="array" ref="M144">_xlfn.IFS(OR(ISBLANK(StartDateMonth),ISBLANK(StartDateYear)),"",AND(A144&gt;NumberOfPlots,ISBLANK(INDEX(PlotData,MATCH($A144,PlotNumber,0),MATCH(B$3,PlotTitles,0)))),"",ISBLANK(INDEX(PlotData,MATCH($A144,PlotNumber,0),MATCH(I$3,PlotTitles,0))),"",CompletionMonth="","",(DATEVALUE(INDEX(PlotData,MATCH($A144,PlotNumber,0),MATCH(I$3,PlotTitles,0))&amp;INDEX(PlotData,MATCH($A144,PlotNumber,0),MATCH(J$3,PlotTitles,0))))&gt;(DATEVALUE(CompletionMonth&amp;CompletionYear)),$AB$16,TRUE,"")</f>
        <v/>
      </c>
      <c r="N144" s="104" t="str" cm="1">
        <f t="array" ref="N144">_xlfn.IFS(AND(A144&gt;NumberOfPlots,ISBLANK(INDEX(PlotData,MATCH($A144,PlotNumber,0),MATCH(B$3,PlotTitles,0)))),"",ISBLANK(INDEX(PlotData,MATCH($A144,PlotNumber,0),MATCH(N$3,PlotTitles,0))),$AB$17,TRUE,"")</f>
        <v/>
      </c>
      <c r="O144" s="104" t="str" cm="1">
        <f t="array" ref="O144">_xlfn.IFS(AND(A144&gt;NumberOfPlots,ISBLANK(INDEX(PlotData,MATCH($A144,PlotNumber,0),MATCH(B$3,PlotTitles,0)))),"",ISBLANK(INDEX(PlotData,MATCH($A144,PlotNumber,0),MATCH(O$3,PlotTitles,0))),$AB$18,TRUE,"")</f>
        <v/>
      </c>
      <c r="P144" s="182" t="str">
        <f t="shared" ca="1" si="7"/>
        <v/>
      </c>
      <c r="Q144" s="104" t="str" cm="1">
        <f t="array" ref="Q144">_xlfn.IFS(AND(A144&gt;NumberOfPlots,ISBLANK(INDEX(PlotData,MATCH($A144,PlotNumber,0),MATCH(B$3,PlotTitles,0)))),"",ISBLANK(INDEX(PlotData,MATCH($A144,PlotNumber,0),MATCH(N$3,PlotTitles,0))),"",(DATEVALUE(INDEX(PlotData,MATCH($A144,PlotNumber,0),MATCH(N$3,PlotTitles,0))&amp;INDEX(PlotData,MATCH($A144,PlotNumber,0),MATCH(O$3,PlotTitles,0))))&lt;(DATEVALUE(INDEX(PlotData,MATCH($A144,PlotNumber,0),MATCH(I$3,PlotTitles,0))&amp;INDEX(PlotData,MATCH($A144,PlotNumber,0),MATCH(J$3,PlotTitles,0)))),$AB$20,TRUE,"")</f>
        <v/>
      </c>
      <c r="R144" s="104" t="str" cm="1">
        <f t="array" ref="R144">_xlfn.IFS(OR(ISBLANK(StartDateMonth),ISBLANK(StartDateYear)),"",AND(A144&gt;NumberOfPlots,ISBLANK(INDEX(PlotData,MATCH($A144,PlotNumber,0),MATCH(B$3,PlotTitles,0)))),"",ISBLANK(INDEX(PlotData,MATCH($A144,PlotNumber,0),MATCH(N$3,PlotTitles,0))),"",CompletionMonth="","",(DATEVALUE(INDEX(PlotData,MATCH($A144,PlotNumber,0),MATCH(N$3,PlotTitles,0))&amp;INDEX(PlotData,MATCH($A144,PlotNumber,0),MATCH(O$3,PlotTitles,0))))&gt;(DATEVALUE(CompletionMonth&amp;CompletionYear)),$AB$21,TRUE,"")</f>
        <v/>
      </c>
      <c r="S144" s="104" t="str" cm="1">
        <f t="array" ref="S144">_xlfn.IFS(AND(A144&gt;NumberOfPlots,ISBLANK(INDEX(PlotData,MATCH($A144,PlotNumber,0),MATCH(B$3,PlotTitles,0)))),"",OR(AND(INDEX(PlotData,MATCH($A144,PlotNumber,0),MATCH("Tenure",PlotTitles,0))="Open market housing",INDEX(PlotData,MATCH($A144,PlotNumber,0),MATCH("Tenure detail",PlotTitles,0))="Private rented sector"),INDEX(PlotData,MATCH($A144,PlotNumber,0),MATCH("Tenure",PlotTitles,0))="Affordable rent"),"",ISNUMBER(INDEX(PlotData,MATCH($A144,PlotNumber,0),MATCH(S$3,PlotTitles,0)))=FALSE, $AB$22,TRUE,"")</f>
        <v/>
      </c>
      <c r="T144" s="104" t="str" cm="1">
        <f t="array" ref="T144">_xlfn.IFS(AND(A144&gt;NumberOfPlots,ISBLANK(INDEX(PlotData,MATCH($A144,PlotNumber,0),MATCH(B$3,PlotTitles,0)))),"",OR(AND(INDEX(PlotData,MATCH($A144,PlotNumber,0),MATCH("Tenure",PlotTitles,0))="Open market housing",INDEX(PlotData,MATCH($A144,PlotNumber,0),MATCH("Tenure detail",PlotTitles,0))="Private rented sector"),INDEX(PlotData,MATCH($A144,PlotNumber,0),MATCH("Tenure",PlotTitles,0))="Affordable rent"),"",INDEX(PlotData,MATCH($A144,PlotNumber,0),MATCH(S$3,PlotTitles,0))&lt;10000, $AB$23,TRUE,"")</f>
        <v/>
      </c>
      <c r="U144" s="104" t="str" cm="1">
        <f t="array" ref="U144">_xlfn.IFS(AND(A144&gt;NumberOfPlots,ISBLANK(INDEX(PlotData,MATCH($A144,PlotNumber,0),MATCH(B$3,PlotTitles,0)))),"",NOT(OR(AND(INDEX(PlotData,MATCH($A144,PlotNumber,0),MATCH("Tenure",PlotTitles,0))="Open market housing",INDEX(PlotData,MATCH($A144,PlotNumber,0),MATCH("Tenure detail",PlotTitles,0))="Private rented sector"),INDEX(PlotData,MATCH($A144,PlotNumber,0),MATCH("Tenure",PlotTitles,0))="Affordable rent")),"",NOT(INDEX(PlotData,MATCH($A144,PlotNumber,0),MATCH(S$3,PlotTitles,0))=0), $AB$24,TRUE,"")</f>
        <v/>
      </c>
      <c r="V144" s="114" t="str" cm="1">
        <f t="array" aca="1" ref="V144" ca="1">_xlfn.IFS(ISBLANK(NumberOfPlots),"Enter the number of homes on the 1_SetUp sheet",AND(A144&gt;NumberOfPlots,ISBLANK(INDEX(PlotData,MATCH($A144,PlotNumber,0),MATCH(B$3,PlotTitles,0)))),"No error",NOT(B144=""),B144,NOT(C144=""),C144,NOT(D144=""),D144,NOT(E144=""),E144,NOT(F144=""),F144,NOT(G144=""),G144,NOT(H144=""),H144,NOT(I144=""),I144,NOT(J144=""),J144,NOT(K144=""),K144,NOT(L144=""),L144,NOT(M144=""),M144,NOT(N144=""),N144,NOT(O144=""),O144,NOT(P144=""),P144,NOT(Q144=""),Q144,NOT(R144=""),R144,NOT(S144=""),S144,NOT(T144=""),T144,NOT(U144=""),U144,TRUE,"No error")</f>
        <v>Enter the number of homes on the 1_SetUp sheet</v>
      </c>
      <c r="W144" s="114" t="str">
        <f t="shared" ca="1" si="8"/>
        <v xml:space="preserve">The Borrower has not addressed the following error messages for Home ID 140: </v>
      </c>
    </row>
    <row r="145" spans="1:23">
      <c r="A145" s="123">
        <v>141</v>
      </c>
      <c r="B145" s="104" t="str" cm="1">
        <f t="array" ref="B145">_xlfn.IFS(AND(A145&gt;NumberOfPlots,ISBLANK(INDEX(PlotData,MATCH($A145,PlotNumber,0),MATCH(B$3,PlotTitles,0)))),"",ISNUMBER(INDEX(PlotData,MATCH($A145,PlotNumber,0),MATCH(B$3,PlotTitles,0)))=FALSE, $AB$5,TRUE,"")</f>
        <v/>
      </c>
      <c r="C145" s="104" t="str" cm="1">
        <f t="array" ref="C145">_xlfn.IFS(AND(A145&gt;NumberOfPlots,ISBLANK(INDEX(PlotData,MATCH($A145,PlotNumber,0),MATCH(B$3,PlotTitles,0)))),"",ISBLANK(INDEX(PlotData,MATCH($A145,PlotNumber,0),MATCH(C$3,PlotTitles,0))),$AB$6,TRUE,"")</f>
        <v/>
      </c>
      <c r="D145" s="104" t="str" cm="1">
        <f t="array" ref="D145">_xlfn.IFS(AND(A145&gt;NumberOfPlots,ISBLANK(INDEX(PlotData,MATCH($A145,PlotNumber,0),MATCH(B$3,PlotTitles,0)))),"",ISBLANK(INDEX(PlotData,MATCH($A145,PlotNumber,0),MATCH(D$3,PlotTitles,0))),$AB$7,TRUE,"")</f>
        <v/>
      </c>
      <c r="E145" s="104" t="str" cm="1">
        <f t="array" ref="E145">_xlfn.IFS(AND(A145&gt;NumberOfPlots,ISBLANK(INDEX(PlotData,MATCH($A145,PlotNumber,0),MATCH(B$3,PlotTitles,0)))),"",ISBLANK(INDEX(PlotData,MATCH($A145,PlotNumber,0),MATCH(E$3,PlotTitles,0))),$AB$8,TRUE,"")</f>
        <v/>
      </c>
      <c r="F145" s="104" t="str" cm="1">
        <f t="array" ref="F145">_xlfn.IFS(AND(A145&gt;NumberOfPlots,ISBLANK(INDEX(PlotData,MATCH($A145,PlotNumber,0),MATCH(B$3,PlotTitles,0)))),"",ISBLANK(INDEX(PlotData,MATCH($A145,PlotNumber,0),MATCH(F$3,PlotTitles,0))),$AB$9,TRUE,"")</f>
        <v/>
      </c>
      <c r="G145" s="104" t="str" cm="1">
        <f t="array" ref="G145">_xlfn.IFS(AND(A145&gt;NumberOfPlots,ISBLANK(INDEX(PlotData,MATCH($A145,PlotNumber,0),MATCH(B$3,PlotTitles,0)))),"",ISBLANK(INDEX(PlotData,MATCH($A145,PlotNumber,0),MATCH(G$3,PlotTitles,0))),$AB$10,TRUE,"")</f>
        <v/>
      </c>
      <c r="H145" s="104" t="str" cm="1">
        <f t="array" ref="H145">_xlfn.IFS(AND(A145&gt;NumberOfPlots,ISBLANK(INDEX(PlotData,MATCH($A145,PlotNumber,0),MATCH(B$3,PlotTitles,0)))),"",AND(ISBLANK(INDEX(PlotData,MATCH($A145,PlotNumber,0),MATCH(H$3,PlotTitles,0)))=FALSE,INDEX(PlotData,MATCH($A145,PlotNumber,0),MATCH(H$3,PlotTitles,0))&lt;500), $AB$11,TRUE,"")</f>
        <v/>
      </c>
      <c r="I145" s="104" t="str" cm="1">
        <f t="array" ref="I145">_xlfn.IFS(AND(A145&gt;NumberOfPlots,ISBLANK(INDEX(PlotData,MATCH($A145,PlotNumber,0),MATCH(B$3,PlotTitles,0)))),"",ISBLANK(INDEX(PlotData,MATCH($A145,PlotNumber,0),MATCH(I$3,PlotTitles,0))),$AB$12,TRUE,"")</f>
        <v/>
      </c>
      <c r="J145" s="104" t="str" cm="1">
        <f t="array" ref="J145">_xlfn.IFS(AND(A145&gt;NumberOfPlots,ISBLANK(INDEX(PlotData,MATCH($A145,PlotNumber,0),MATCH(B$3,PlotTitles,0)))),"",ISBLANK(INDEX(PlotData,MATCH($A145,PlotNumber,0),MATCH(J$3,PlotTitles,0))),$AB$13,TRUE,"")</f>
        <v/>
      </c>
      <c r="K145" s="182" t="str">
        <f t="shared" ca="1" si="6"/>
        <v/>
      </c>
      <c r="L145" s="104" t="str" cm="1">
        <f t="array" ref="L145">_xlfn.IFS(OR(ISBLANK(StartDateMonth),ISBLANK(StartDateYear)),"",AND(A145&gt;NumberOfPlots,ISBLANK(INDEX(PlotData,MATCH($A145,PlotNumber,0),MATCH(B$3,PlotTitles,0)))),"",ISBLANK(INDEX(PlotData,MATCH($A145,PlotNumber,0),MATCH(I$3,PlotTitles,0))),"",(DATEVALUE(INDEX(PlotData,MATCH($A145,PlotNumber,0),MATCH(I$3,PlotTitles,0))&amp;INDEX(PlotData,MATCH($A145,PlotNumber,0),MATCH(J$3,PlotTitles,0))))&lt;DATEVALUE(StartDateMonth&amp;StartDateYear),$AB$15,TRUE,"")</f>
        <v/>
      </c>
      <c r="M145" s="104" t="str" cm="1">
        <f t="array" ref="M145">_xlfn.IFS(OR(ISBLANK(StartDateMonth),ISBLANK(StartDateYear)),"",AND(A145&gt;NumberOfPlots,ISBLANK(INDEX(PlotData,MATCH($A145,PlotNumber,0),MATCH(B$3,PlotTitles,0)))),"",ISBLANK(INDEX(PlotData,MATCH($A145,PlotNumber,0),MATCH(I$3,PlotTitles,0))),"",CompletionMonth="","",(DATEVALUE(INDEX(PlotData,MATCH($A145,PlotNumber,0),MATCH(I$3,PlotTitles,0))&amp;INDEX(PlotData,MATCH($A145,PlotNumber,0),MATCH(J$3,PlotTitles,0))))&gt;(DATEVALUE(CompletionMonth&amp;CompletionYear)),$AB$16,TRUE,"")</f>
        <v/>
      </c>
      <c r="N145" s="104" t="str" cm="1">
        <f t="array" ref="N145">_xlfn.IFS(AND(A145&gt;NumberOfPlots,ISBLANK(INDEX(PlotData,MATCH($A145,PlotNumber,0),MATCH(B$3,PlotTitles,0)))),"",ISBLANK(INDEX(PlotData,MATCH($A145,PlotNumber,0),MATCH(N$3,PlotTitles,0))),$AB$17,TRUE,"")</f>
        <v/>
      </c>
      <c r="O145" s="104" t="str" cm="1">
        <f t="array" ref="O145">_xlfn.IFS(AND(A145&gt;NumberOfPlots,ISBLANK(INDEX(PlotData,MATCH($A145,PlotNumber,0),MATCH(B$3,PlotTitles,0)))),"",ISBLANK(INDEX(PlotData,MATCH($A145,PlotNumber,0),MATCH(O$3,PlotTitles,0))),$AB$18,TRUE,"")</f>
        <v/>
      </c>
      <c r="P145" s="182" t="str">
        <f t="shared" ca="1" si="7"/>
        <v/>
      </c>
      <c r="Q145" s="104" t="str" cm="1">
        <f t="array" ref="Q145">_xlfn.IFS(AND(A145&gt;NumberOfPlots,ISBLANK(INDEX(PlotData,MATCH($A145,PlotNumber,0),MATCH(B$3,PlotTitles,0)))),"",ISBLANK(INDEX(PlotData,MATCH($A145,PlotNumber,0),MATCH(N$3,PlotTitles,0))),"",(DATEVALUE(INDEX(PlotData,MATCH($A145,PlotNumber,0),MATCH(N$3,PlotTitles,0))&amp;INDEX(PlotData,MATCH($A145,PlotNumber,0),MATCH(O$3,PlotTitles,0))))&lt;(DATEVALUE(INDEX(PlotData,MATCH($A145,PlotNumber,0),MATCH(I$3,PlotTitles,0))&amp;INDEX(PlotData,MATCH($A145,PlotNumber,0),MATCH(J$3,PlotTitles,0)))),$AB$20,TRUE,"")</f>
        <v/>
      </c>
      <c r="R145" s="104" t="str" cm="1">
        <f t="array" ref="R145">_xlfn.IFS(OR(ISBLANK(StartDateMonth),ISBLANK(StartDateYear)),"",AND(A145&gt;NumberOfPlots,ISBLANK(INDEX(PlotData,MATCH($A145,PlotNumber,0),MATCH(B$3,PlotTitles,0)))),"",ISBLANK(INDEX(PlotData,MATCH($A145,PlotNumber,0),MATCH(N$3,PlotTitles,0))),"",CompletionMonth="","",(DATEVALUE(INDEX(PlotData,MATCH($A145,PlotNumber,0),MATCH(N$3,PlotTitles,0))&amp;INDEX(PlotData,MATCH($A145,PlotNumber,0),MATCH(O$3,PlotTitles,0))))&gt;(DATEVALUE(CompletionMonth&amp;CompletionYear)),$AB$21,TRUE,"")</f>
        <v/>
      </c>
      <c r="S145" s="104" t="str" cm="1">
        <f t="array" ref="S145">_xlfn.IFS(AND(A145&gt;NumberOfPlots,ISBLANK(INDEX(PlotData,MATCH($A145,PlotNumber,0),MATCH(B$3,PlotTitles,0)))),"",OR(AND(INDEX(PlotData,MATCH($A145,PlotNumber,0),MATCH("Tenure",PlotTitles,0))="Open market housing",INDEX(PlotData,MATCH($A145,PlotNumber,0),MATCH("Tenure detail",PlotTitles,0))="Private rented sector"),INDEX(PlotData,MATCH($A145,PlotNumber,0),MATCH("Tenure",PlotTitles,0))="Affordable rent"),"",ISNUMBER(INDEX(PlotData,MATCH($A145,PlotNumber,0),MATCH(S$3,PlotTitles,0)))=FALSE, $AB$22,TRUE,"")</f>
        <v/>
      </c>
      <c r="T145" s="104" t="str" cm="1">
        <f t="array" ref="T145">_xlfn.IFS(AND(A145&gt;NumberOfPlots,ISBLANK(INDEX(PlotData,MATCH($A145,PlotNumber,0),MATCH(B$3,PlotTitles,0)))),"",OR(AND(INDEX(PlotData,MATCH($A145,PlotNumber,0),MATCH("Tenure",PlotTitles,0))="Open market housing",INDEX(PlotData,MATCH($A145,PlotNumber,0),MATCH("Tenure detail",PlotTitles,0))="Private rented sector"),INDEX(PlotData,MATCH($A145,PlotNumber,0),MATCH("Tenure",PlotTitles,0))="Affordable rent"),"",INDEX(PlotData,MATCH($A145,PlotNumber,0),MATCH(S$3,PlotTitles,0))&lt;10000, $AB$23,TRUE,"")</f>
        <v/>
      </c>
      <c r="U145" s="104" t="str" cm="1">
        <f t="array" ref="U145">_xlfn.IFS(AND(A145&gt;NumberOfPlots,ISBLANK(INDEX(PlotData,MATCH($A145,PlotNumber,0),MATCH(B$3,PlotTitles,0)))),"",NOT(OR(AND(INDEX(PlotData,MATCH($A145,PlotNumber,0),MATCH("Tenure",PlotTitles,0))="Open market housing",INDEX(PlotData,MATCH($A145,PlotNumber,0),MATCH("Tenure detail",PlotTitles,0))="Private rented sector"),INDEX(PlotData,MATCH($A145,PlotNumber,0),MATCH("Tenure",PlotTitles,0))="Affordable rent")),"",NOT(INDEX(PlotData,MATCH($A145,PlotNumber,0),MATCH(S$3,PlotTitles,0))=0), $AB$24,TRUE,"")</f>
        <v/>
      </c>
      <c r="V145" s="114" t="str" cm="1">
        <f t="array" aca="1" ref="V145" ca="1">_xlfn.IFS(ISBLANK(NumberOfPlots),"Enter the number of homes on the 1_SetUp sheet",AND(A145&gt;NumberOfPlots,ISBLANK(INDEX(PlotData,MATCH($A145,PlotNumber,0),MATCH(B$3,PlotTitles,0)))),"No error",NOT(B145=""),B145,NOT(C145=""),C145,NOT(D145=""),D145,NOT(E145=""),E145,NOT(F145=""),F145,NOT(G145=""),G145,NOT(H145=""),H145,NOT(I145=""),I145,NOT(J145=""),J145,NOT(K145=""),K145,NOT(L145=""),L145,NOT(M145=""),M145,NOT(N145=""),N145,NOT(O145=""),O145,NOT(P145=""),P145,NOT(Q145=""),Q145,NOT(R145=""),R145,NOT(S145=""),S145,NOT(T145=""),T145,NOT(U145=""),U145,TRUE,"No error")</f>
        <v>Enter the number of homes on the 1_SetUp sheet</v>
      </c>
      <c r="W145" s="114" t="str">
        <f t="shared" ca="1" si="8"/>
        <v xml:space="preserve">The Borrower has not addressed the following error messages for Home ID 141: </v>
      </c>
    </row>
    <row r="146" spans="1:23">
      <c r="A146" s="123">
        <v>142</v>
      </c>
      <c r="B146" s="104" t="str" cm="1">
        <f t="array" ref="B146">_xlfn.IFS(AND(A146&gt;NumberOfPlots,ISBLANK(INDEX(PlotData,MATCH($A146,PlotNumber,0),MATCH(B$3,PlotTitles,0)))),"",ISNUMBER(INDEX(PlotData,MATCH($A146,PlotNumber,0),MATCH(B$3,PlotTitles,0)))=FALSE, $AB$5,TRUE,"")</f>
        <v/>
      </c>
      <c r="C146" s="104" t="str" cm="1">
        <f t="array" ref="C146">_xlfn.IFS(AND(A146&gt;NumberOfPlots,ISBLANK(INDEX(PlotData,MATCH($A146,PlotNumber,0),MATCH(B$3,PlotTitles,0)))),"",ISBLANK(INDEX(PlotData,MATCH($A146,PlotNumber,0),MATCH(C$3,PlotTitles,0))),$AB$6,TRUE,"")</f>
        <v/>
      </c>
      <c r="D146" s="104" t="str" cm="1">
        <f t="array" ref="D146">_xlfn.IFS(AND(A146&gt;NumberOfPlots,ISBLANK(INDEX(PlotData,MATCH($A146,PlotNumber,0),MATCH(B$3,PlotTitles,0)))),"",ISBLANK(INDEX(PlotData,MATCH($A146,PlotNumber,0),MATCH(D$3,PlotTitles,0))),$AB$7,TRUE,"")</f>
        <v/>
      </c>
      <c r="E146" s="104" t="str" cm="1">
        <f t="array" ref="E146">_xlfn.IFS(AND(A146&gt;NumberOfPlots,ISBLANK(INDEX(PlotData,MATCH($A146,PlotNumber,0),MATCH(B$3,PlotTitles,0)))),"",ISBLANK(INDEX(PlotData,MATCH($A146,PlotNumber,0),MATCH(E$3,PlotTitles,0))),$AB$8,TRUE,"")</f>
        <v/>
      </c>
      <c r="F146" s="104" t="str" cm="1">
        <f t="array" ref="F146">_xlfn.IFS(AND(A146&gt;NumberOfPlots,ISBLANK(INDEX(PlotData,MATCH($A146,PlotNumber,0),MATCH(B$3,PlotTitles,0)))),"",ISBLANK(INDEX(PlotData,MATCH($A146,PlotNumber,0),MATCH(F$3,PlotTitles,0))),$AB$9,TRUE,"")</f>
        <v/>
      </c>
      <c r="G146" s="104" t="str" cm="1">
        <f t="array" ref="G146">_xlfn.IFS(AND(A146&gt;NumberOfPlots,ISBLANK(INDEX(PlotData,MATCH($A146,PlotNumber,0),MATCH(B$3,PlotTitles,0)))),"",ISBLANK(INDEX(PlotData,MATCH($A146,PlotNumber,0),MATCH(G$3,PlotTitles,0))),$AB$10,TRUE,"")</f>
        <v/>
      </c>
      <c r="H146" s="104" t="str" cm="1">
        <f t="array" ref="H146">_xlfn.IFS(AND(A146&gt;NumberOfPlots,ISBLANK(INDEX(PlotData,MATCH($A146,PlotNumber,0),MATCH(B$3,PlotTitles,0)))),"",AND(ISBLANK(INDEX(PlotData,MATCH($A146,PlotNumber,0),MATCH(H$3,PlotTitles,0)))=FALSE,INDEX(PlotData,MATCH($A146,PlotNumber,0),MATCH(H$3,PlotTitles,0))&lt;500), $AB$11,TRUE,"")</f>
        <v/>
      </c>
      <c r="I146" s="104" t="str" cm="1">
        <f t="array" ref="I146">_xlfn.IFS(AND(A146&gt;NumberOfPlots,ISBLANK(INDEX(PlotData,MATCH($A146,PlotNumber,0),MATCH(B$3,PlotTitles,0)))),"",ISBLANK(INDEX(PlotData,MATCH($A146,PlotNumber,0),MATCH(I$3,PlotTitles,0))),$AB$12,TRUE,"")</f>
        <v/>
      </c>
      <c r="J146" s="104" t="str" cm="1">
        <f t="array" ref="J146">_xlfn.IFS(AND(A146&gt;NumberOfPlots,ISBLANK(INDEX(PlotData,MATCH($A146,PlotNumber,0),MATCH(B$3,PlotTitles,0)))),"",ISBLANK(INDEX(PlotData,MATCH($A146,PlotNumber,0),MATCH(J$3,PlotTitles,0))),$AB$13,TRUE,"")</f>
        <v/>
      </c>
      <c r="K146" s="182" t="str">
        <f t="shared" ca="1" si="6"/>
        <v/>
      </c>
      <c r="L146" s="104" t="str" cm="1">
        <f t="array" ref="L146">_xlfn.IFS(OR(ISBLANK(StartDateMonth),ISBLANK(StartDateYear)),"",AND(A146&gt;NumberOfPlots,ISBLANK(INDEX(PlotData,MATCH($A146,PlotNumber,0),MATCH(B$3,PlotTitles,0)))),"",ISBLANK(INDEX(PlotData,MATCH($A146,PlotNumber,0),MATCH(I$3,PlotTitles,0))),"",(DATEVALUE(INDEX(PlotData,MATCH($A146,PlotNumber,0),MATCH(I$3,PlotTitles,0))&amp;INDEX(PlotData,MATCH($A146,PlotNumber,0),MATCH(J$3,PlotTitles,0))))&lt;DATEVALUE(StartDateMonth&amp;StartDateYear),$AB$15,TRUE,"")</f>
        <v/>
      </c>
      <c r="M146" s="104" t="str" cm="1">
        <f t="array" ref="M146">_xlfn.IFS(OR(ISBLANK(StartDateMonth),ISBLANK(StartDateYear)),"",AND(A146&gt;NumberOfPlots,ISBLANK(INDEX(PlotData,MATCH($A146,PlotNumber,0),MATCH(B$3,PlotTitles,0)))),"",ISBLANK(INDEX(PlotData,MATCH($A146,PlotNumber,0),MATCH(I$3,PlotTitles,0))),"",CompletionMonth="","",(DATEVALUE(INDEX(PlotData,MATCH($A146,PlotNumber,0),MATCH(I$3,PlotTitles,0))&amp;INDEX(PlotData,MATCH($A146,PlotNumber,0),MATCH(J$3,PlotTitles,0))))&gt;(DATEVALUE(CompletionMonth&amp;CompletionYear)),$AB$16,TRUE,"")</f>
        <v/>
      </c>
      <c r="N146" s="104" t="str" cm="1">
        <f t="array" ref="N146">_xlfn.IFS(AND(A146&gt;NumberOfPlots,ISBLANK(INDEX(PlotData,MATCH($A146,PlotNumber,0),MATCH(B$3,PlotTitles,0)))),"",ISBLANK(INDEX(PlotData,MATCH($A146,PlotNumber,0),MATCH(N$3,PlotTitles,0))),$AB$17,TRUE,"")</f>
        <v/>
      </c>
      <c r="O146" s="104" t="str" cm="1">
        <f t="array" ref="O146">_xlfn.IFS(AND(A146&gt;NumberOfPlots,ISBLANK(INDEX(PlotData,MATCH($A146,PlotNumber,0),MATCH(B$3,PlotTitles,0)))),"",ISBLANK(INDEX(PlotData,MATCH($A146,PlotNumber,0),MATCH(O$3,PlotTitles,0))),$AB$18,TRUE,"")</f>
        <v/>
      </c>
      <c r="P146" s="182" t="str">
        <f t="shared" ca="1" si="7"/>
        <v/>
      </c>
      <c r="Q146" s="104" t="str" cm="1">
        <f t="array" ref="Q146">_xlfn.IFS(AND(A146&gt;NumberOfPlots,ISBLANK(INDEX(PlotData,MATCH($A146,PlotNumber,0),MATCH(B$3,PlotTitles,0)))),"",ISBLANK(INDEX(PlotData,MATCH($A146,PlotNumber,0),MATCH(N$3,PlotTitles,0))),"",(DATEVALUE(INDEX(PlotData,MATCH($A146,PlotNumber,0),MATCH(N$3,PlotTitles,0))&amp;INDEX(PlotData,MATCH($A146,PlotNumber,0),MATCH(O$3,PlotTitles,0))))&lt;(DATEVALUE(INDEX(PlotData,MATCH($A146,PlotNumber,0),MATCH(I$3,PlotTitles,0))&amp;INDEX(PlotData,MATCH($A146,PlotNumber,0),MATCH(J$3,PlotTitles,0)))),$AB$20,TRUE,"")</f>
        <v/>
      </c>
      <c r="R146" s="104" t="str" cm="1">
        <f t="array" ref="R146">_xlfn.IFS(OR(ISBLANK(StartDateMonth),ISBLANK(StartDateYear)),"",AND(A146&gt;NumberOfPlots,ISBLANK(INDEX(PlotData,MATCH($A146,PlotNumber,0),MATCH(B$3,PlotTitles,0)))),"",ISBLANK(INDEX(PlotData,MATCH($A146,PlotNumber,0),MATCH(N$3,PlotTitles,0))),"",CompletionMonth="","",(DATEVALUE(INDEX(PlotData,MATCH($A146,PlotNumber,0),MATCH(N$3,PlotTitles,0))&amp;INDEX(PlotData,MATCH($A146,PlotNumber,0),MATCH(O$3,PlotTitles,0))))&gt;(DATEVALUE(CompletionMonth&amp;CompletionYear)),$AB$21,TRUE,"")</f>
        <v/>
      </c>
      <c r="S146" s="104" t="str" cm="1">
        <f t="array" ref="S146">_xlfn.IFS(AND(A146&gt;NumberOfPlots,ISBLANK(INDEX(PlotData,MATCH($A146,PlotNumber,0),MATCH(B$3,PlotTitles,0)))),"",OR(AND(INDEX(PlotData,MATCH($A146,PlotNumber,0),MATCH("Tenure",PlotTitles,0))="Open market housing",INDEX(PlotData,MATCH($A146,PlotNumber,0),MATCH("Tenure detail",PlotTitles,0))="Private rented sector"),INDEX(PlotData,MATCH($A146,PlotNumber,0),MATCH("Tenure",PlotTitles,0))="Affordable rent"),"",ISNUMBER(INDEX(PlotData,MATCH($A146,PlotNumber,0),MATCH(S$3,PlotTitles,0)))=FALSE, $AB$22,TRUE,"")</f>
        <v/>
      </c>
      <c r="T146" s="104" t="str" cm="1">
        <f t="array" ref="T146">_xlfn.IFS(AND(A146&gt;NumberOfPlots,ISBLANK(INDEX(PlotData,MATCH($A146,PlotNumber,0),MATCH(B$3,PlotTitles,0)))),"",OR(AND(INDEX(PlotData,MATCH($A146,PlotNumber,0),MATCH("Tenure",PlotTitles,0))="Open market housing",INDEX(PlotData,MATCH($A146,PlotNumber,0),MATCH("Tenure detail",PlotTitles,0))="Private rented sector"),INDEX(PlotData,MATCH($A146,PlotNumber,0),MATCH("Tenure",PlotTitles,0))="Affordable rent"),"",INDEX(PlotData,MATCH($A146,PlotNumber,0),MATCH(S$3,PlotTitles,0))&lt;10000, $AB$23,TRUE,"")</f>
        <v/>
      </c>
      <c r="U146" s="104" t="str" cm="1">
        <f t="array" ref="U146">_xlfn.IFS(AND(A146&gt;NumberOfPlots,ISBLANK(INDEX(PlotData,MATCH($A146,PlotNumber,0),MATCH(B$3,PlotTitles,0)))),"",NOT(OR(AND(INDEX(PlotData,MATCH($A146,PlotNumber,0),MATCH("Tenure",PlotTitles,0))="Open market housing",INDEX(PlotData,MATCH($A146,PlotNumber,0),MATCH("Tenure detail",PlotTitles,0))="Private rented sector"),INDEX(PlotData,MATCH($A146,PlotNumber,0),MATCH("Tenure",PlotTitles,0))="Affordable rent")),"",NOT(INDEX(PlotData,MATCH($A146,PlotNumber,0),MATCH(S$3,PlotTitles,0))=0), $AB$24,TRUE,"")</f>
        <v/>
      </c>
      <c r="V146" s="114" t="str" cm="1">
        <f t="array" aca="1" ref="V146" ca="1">_xlfn.IFS(ISBLANK(NumberOfPlots),"Enter the number of homes on the 1_SetUp sheet",AND(A146&gt;NumberOfPlots,ISBLANK(INDEX(PlotData,MATCH($A146,PlotNumber,0),MATCH(B$3,PlotTitles,0)))),"No error",NOT(B146=""),B146,NOT(C146=""),C146,NOT(D146=""),D146,NOT(E146=""),E146,NOT(F146=""),F146,NOT(G146=""),G146,NOT(H146=""),H146,NOT(I146=""),I146,NOT(J146=""),J146,NOT(K146=""),K146,NOT(L146=""),L146,NOT(M146=""),M146,NOT(N146=""),N146,NOT(O146=""),O146,NOT(P146=""),P146,NOT(Q146=""),Q146,NOT(R146=""),R146,NOT(S146=""),S146,NOT(T146=""),T146,NOT(U146=""),U146,TRUE,"No error")</f>
        <v>Enter the number of homes on the 1_SetUp sheet</v>
      </c>
      <c r="W146" s="114" t="str">
        <f t="shared" ca="1" si="8"/>
        <v xml:space="preserve">The Borrower has not addressed the following error messages for Home ID 142: </v>
      </c>
    </row>
    <row r="147" spans="1:23">
      <c r="A147" s="123">
        <v>143</v>
      </c>
      <c r="B147" s="104" t="str" cm="1">
        <f t="array" ref="B147">_xlfn.IFS(AND(A147&gt;NumberOfPlots,ISBLANK(INDEX(PlotData,MATCH($A147,PlotNumber,0),MATCH(B$3,PlotTitles,0)))),"",ISNUMBER(INDEX(PlotData,MATCH($A147,PlotNumber,0),MATCH(B$3,PlotTitles,0)))=FALSE, $AB$5,TRUE,"")</f>
        <v/>
      </c>
      <c r="C147" s="104" t="str" cm="1">
        <f t="array" ref="C147">_xlfn.IFS(AND(A147&gt;NumberOfPlots,ISBLANK(INDEX(PlotData,MATCH($A147,PlotNumber,0),MATCH(B$3,PlotTitles,0)))),"",ISBLANK(INDEX(PlotData,MATCH($A147,PlotNumber,0),MATCH(C$3,PlotTitles,0))),$AB$6,TRUE,"")</f>
        <v/>
      </c>
      <c r="D147" s="104" t="str" cm="1">
        <f t="array" ref="D147">_xlfn.IFS(AND(A147&gt;NumberOfPlots,ISBLANK(INDEX(PlotData,MATCH($A147,PlotNumber,0),MATCH(B$3,PlotTitles,0)))),"",ISBLANK(INDEX(PlotData,MATCH($A147,PlotNumber,0),MATCH(D$3,PlotTitles,0))),$AB$7,TRUE,"")</f>
        <v/>
      </c>
      <c r="E147" s="104" t="str" cm="1">
        <f t="array" ref="E147">_xlfn.IFS(AND(A147&gt;NumberOfPlots,ISBLANK(INDEX(PlotData,MATCH($A147,PlotNumber,0),MATCH(B$3,PlotTitles,0)))),"",ISBLANK(INDEX(PlotData,MATCH($A147,PlotNumber,0),MATCH(E$3,PlotTitles,0))),$AB$8,TRUE,"")</f>
        <v/>
      </c>
      <c r="F147" s="104" t="str" cm="1">
        <f t="array" ref="F147">_xlfn.IFS(AND(A147&gt;NumberOfPlots,ISBLANK(INDEX(PlotData,MATCH($A147,PlotNumber,0),MATCH(B$3,PlotTitles,0)))),"",ISBLANK(INDEX(PlotData,MATCH($A147,PlotNumber,0),MATCH(F$3,PlotTitles,0))),$AB$9,TRUE,"")</f>
        <v/>
      </c>
      <c r="G147" s="104" t="str" cm="1">
        <f t="array" ref="G147">_xlfn.IFS(AND(A147&gt;NumberOfPlots,ISBLANK(INDEX(PlotData,MATCH($A147,PlotNumber,0),MATCH(B$3,PlotTitles,0)))),"",ISBLANK(INDEX(PlotData,MATCH($A147,PlotNumber,0),MATCH(G$3,PlotTitles,0))),$AB$10,TRUE,"")</f>
        <v/>
      </c>
      <c r="H147" s="104" t="str" cm="1">
        <f t="array" ref="H147">_xlfn.IFS(AND(A147&gt;NumberOfPlots,ISBLANK(INDEX(PlotData,MATCH($A147,PlotNumber,0),MATCH(B$3,PlotTitles,0)))),"",AND(ISBLANK(INDEX(PlotData,MATCH($A147,PlotNumber,0),MATCH(H$3,PlotTitles,0)))=FALSE,INDEX(PlotData,MATCH($A147,PlotNumber,0),MATCH(H$3,PlotTitles,0))&lt;500), $AB$11,TRUE,"")</f>
        <v/>
      </c>
      <c r="I147" s="104" t="str" cm="1">
        <f t="array" ref="I147">_xlfn.IFS(AND(A147&gt;NumberOfPlots,ISBLANK(INDEX(PlotData,MATCH($A147,PlotNumber,0),MATCH(B$3,PlotTitles,0)))),"",ISBLANK(INDEX(PlotData,MATCH($A147,PlotNumber,0),MATCH(I$3,PlotTitles,0))),$AB$12,TRUE,"")</f>
        <v/>
      </c>
      <c r="J147" s="104" t="str" cm="1">
        <f t="array" ref="J147">_xlfn.IFS(AND(A147&gt;NumberOfPlots,ISBLANK(INDEX(PlotData,MATCH($A147,PlotNumber,0),MATCH(B$3,PlotTitles,0)))),"",ISBLANK(INDEX(PlotData,MATCH($A147,PlotNumber,0),MATCH(J$3,PlotTitles,0))),$AB$13,TRUE,"")</f>
        <v/>
      </c>
      <c r="K147" s="182" t="str">
        <f t="shared" ca="1" si="6"/>
        <v/>
      </c>
      <c r="L147" s="104" t="str" cm="1">
        <f t="array" ref="L147">_xlfn.IFS(OR(ISBLANK(StartDateMonth),ISBLANK(StartDateYear)),"",AND(A147&gt;NumberOfPlots,ISBLANK(INDEX(PlotData,MATCH($A147,PlotNumber,0),MATCH(B$3,PlotTitles,0)))),"",ISBLANK(INDEX(PlotData,MATCH($A147,PlotNumber,0),MATCH(I$3,PlotTitles,0))),"",(DATEVALUE(INDEX(PlotData,MATCH($A147,PlotNumber,0),MATCH(I$3,PlotTitles,0))&amp;INDEX(PlotData,MATCH($A147,PlotNumber,0),MATCH(J$3,PlotTitles,0))))&lt;DATEVALUE(StartDateMonth&amp;StartDateYear),$AB$15,TRUE,"")</f>
        <v/>
      </c>
      <c r="M147" s="104" t="str" cm="1">
        <f t="array" ref="M147">_xlfn.IFS(OR(ISBLANK(StartDateMonth),ISBLANK(StartDateYear)),"",AND(A147&gt;NumberOfPlots,ISBLANK(INDEX(PlotData,MATCH($A147,PlotNumber,0),MATCH(B$3,PlotTitles,0)))),"",ISBLANK(INDEX(PlotData,MATCH($A147,PlotNumber,0),MATCH(I$3,PlotTitles,0))),"",CompletionMonth="","",(DATEVALUE(INDEX(PlotData,MATCH($A147,PlotNumber,0),MATCH(I$3,PlotTitles,0))&amp;INDEX(PlotData,MATCH($A147,PlotNumber,0),MATCH(J$3,PlotTitles,0))))&gt;(DATEVALUE(CompletionMonth&amp;CompletionYear)),$AB$16,TRUE,"")</f>
        <v/>
      </c>
      <c r="N147" s="104" t="str" cm="1">
        <f t="array" ref="N147">_xlfn.IFS(AND(A147&gt;NumberOfPlots,ISBLANK(INDEX(PlotData,MATCH($A147,PlotNumber,0),MATCH(B$3,PlotTitles,0)))),"",ISBLANK(INDEX(PlotData,MATCH($A147,PlotNumber,0),MATCH(N$3,PlotTitles,0))),$AB$17,TRUE,"")</f>
        <v/>
      </c>
      <c r="O147" s="104" t="str" cm="1">
        <f t="array" ref="O147">_xlfn.IFS(AND(A147&gt;NumberOfPlots,ISBLANK(INDEX(PlotData,MATCH($A147,PlotNumber,0),MATCH(B$3,PlotTitles,0)))),"",ISBLANK(INDEX(PlotData,MATCH($A147,PlotNumber,0),MATCH(O$3,PlotTitles,0))),$AB$18,TRUE,"")</f>
        <v/>
      </c>
      <c r="P147" s="182" t="str">
        <f t="shared" ca="1" si="7"/>
        <v/>
      </c>
      <c r="Q147" s="104" t="str" cm="1">
        <f t="array" ref="Q147">_xlfn.IFS(AND(A147&gt;NumberOfPlots,ISBLANK(INDEX(PlotData,MATCH($A147,PlotNumber,0),MATCH(B$3,PlotTitles,0)))),"",ISBLANK(INDEX(PlotData,MATCH($A147,PlotNumber,0),MATCH(N$3,PlotTitles,0))),"",(DATEVALUE(INDEX(PlotData,MATCH($A147,PlotNumber,0),MATCH(N$3,PlotTitles,0))&amp;INDEX(PlotData,MATCH($A147,PlotNumber,0),MATCH(O$3,PlotTitles,0))))&lt;(DATEVALUE(INDEX(PlotData,MATCH($A147,PlotNumber,0),MATCH(I$3,PlotTitles,0))&amp;INDEX(PlotData,MATCH($A147,PlotNumber,0),MATCH(J$3,PlotTitles,0)))),$AB$20,TRUE,"")</f>
        <v/>
      </c>
      <c r="R147" s="104" t="str" cm="1">
        <f t="array" ref="R147">_xlfn.IFS(OR(ISBLANK(StartDateMonth),ISBLANK(StartDateYear)),"",AND(A147&gt;NumberOfPlots,ISBLANK(INDEX(PlotData,MATCH($A147,PlotNumber,0),MATCH(B$3,PlotTitles,0)))),"",ISBLANK(INDEX(PlotData,MATCH($A147,PlotNumber,0),MATCH(N$3,PlotTitles,0))),"",CompletionMonth="","",(DATEVALUE(INDEX(PlotData,MATCH($A147,PlotNumber,0),MATCH(N$3,PlotTitles,0))&amp;INDEX(PlotData,MATCH($A147,PlotNumber,0),MATCH(O$3,PlotTitles,0))))&gt;(DATEVALUE(CompletionMonth&amp;CompletionYear)),$AB$21,TRUE,"")</f>
        <v/>
      </c>
      <c r="S147" s="104" t="str" cm="1">
        <f t="array" ref="S147">_xlfn.IFS(AND(A147&gt;NumberOfPlots,ISBLANK(INDEX(PlotData,MATCH($A147,PlotNumber,0),MATCH(B$3,PlotTitles,0)))),"",OR(AND(INDEX(PlotData,MATCH($A147,PlotNumber,0),MATCH("Tenure",PlotTitles,0))="Open market housing",INDEX(PlotData,MATCH($A147,PlotNumber,0),MATCH("Tenure detail",PlotTitles,0))="Private rented sector"),INDEX(PlotData,MATCH($A147,PlotNumber,0),MATCH("Tenure",PlotTitles,0))="Affordable rent"),"",ISNUMBER(INDEX(PlotData,MATCH($A147,PlotNumber,0),MATCH(S$3,PlotTitles,0)))=FALSE, $AB$22,TRUE,"")</f>
        <v/>
      </c>
      <c r="T147" s="104" t="str" cm="1">
        <f t="array" ref="T147">_xlfn.IFS(AND(A147&gt;NumberOfPlots,ISBLANK(INDEX(PlotData,MATCH($A147,PlotNumber,0),MATCH(B$3,PlotTitles,0)))),"",OR(AND(INDEX(PlotData,MATCH($A147,PlotNumber,0),MATCH("Tenure",PlotTitles,0))="Open market housing",INDEX(PlotData,MATCH($A147,PlotNumber,0),MATCH("Tenure detail",PlotTitles,0))="Private rented sector"),INDEX(PlotData,MATCH($A147,PlotNumber,0),MATCH("Tenure",PlotTitles,0))="Affordable rent"),"",INDEX(PlotData,MATCH($A147,PlotNumber,0),MATCH(S$3,PlotTitles,0))&lt;10000, $AB$23,TRUE,"")</f>
        <v/>
      </c>
      <c r="U147" s="104" t="str" cm="1">
        <f t="array" ref="U147">_xlfn.IFS(AND(A147&gt;NumberOfPlots,ISBLANK(INDEX(PlotData,MATCH($A147,PlotNumber,0),MATCH(B$3,PlotTitles,0)))),"",NOT(OR(AND(INDEX(PlotData,MATCH($A147,PlotNumber,0),MATCH("Tenure",PlotTitles,0))="Open market housing",INDEX(PlotData,MATCH($A147,PlotNumber,0),MATCH("Tenure detail",PlotTitles,0))="Private rented sector"),INDEX(PlotData,MATCH($A147,PlotNumber,0),MATCH("Tenure",PlotTitles,0))="Affordable rent")),"",NOT(INDEX(PlotData,MATCH($A147,PlotNumber,0),MATCH(S$3,PlotTitles,0))=0), $AB$24,TRUE,"")</f>
        <v/>
      </c>
      <c r="V147" s="114" t="str" cm="1">
        <f t="array" aca="1" ref="V147" ca="1">_xlfn.IFS(ISBLANK(NumberOfPlots),"Enter the number of homes on the 1_SetUp sheet",AND(A147&gt;NumberOfPlots,ISBLANK(INDEX(PlotData,MATCH($A147,PlotNumber,0),MATCH(B$3,PlotTitles,0)))),"No error",NOT(B147=""),B147,NOT(C147=""),C147,NOT(D147=""),D147,NOT(E147=""),E147,NOT(F147=""),F147,NOT(G147=""),G147,NOT(H147=""),H147,NOT(I147=""),I147,NOT(J147=""),J147,NOT(K147=""),K147,NOT(L147=""),L147,NOT(M147=""),M147,NOT(N147=""),N147,NOT(O147=""),O147,NOT(P147=""),P147,NOT(Q147=""),Q147,NOT(R147=""),R147,NOT(S147=""),S147,NOT(T147=""),T147,NOT(U147=""),U147,TRUE,"No error")</f>
        <v>Enter the number of homes on the 1_SetUp sheet</v>
      </c>
      <c r="W147" s="114" t="str">
        <f t="shared" ca="1" si="8"/>
        <v xml:space="preserve">The Borrower has not addressed the following error messages for Home ID 143: </v>
      </c>
    </row>
    <row r="148" spans="1:23">
      <c r="A148" s="123">
        <v>144</v>
      </c>
      <c r="B148" s="104" t="str" cm="1">
        <f t="array" ref="B148">_xlfn.IFS(AND(A148&gt;NumberOfPlots,ISBLANK(INDEX(PlotData,MATCH($A148,PlotNumber,0),MATCH(B$3,PlotTitles,0)))),"",ISNUMBER(INDEX(PlotData,MATCH($A148,PlotNumber,0),MATCH(B$3,PlotTitles,0)))=FALSE, $AB$5,TRUE,"")</f>
        <v/>
      </c>
      <c r="C148" s="104" t="str" cm="1">
        <f t="array" ref="C148">_xlfn.IFS(AND(A148&gt;NumberOfPlots,ISBLANK(INDEX(PlotData,MATCH($A148,PlotNumber,0),MATCH(B$3,PlotTitles,0)))),"",ISBLANK(INDEX(PlotData,MATCH($A148,PlotNumber,0),MATCH(C$3,PlotTitles,0))),$AB$6,TRUE,"")</f>
        <v/>
      </c>
      <c r="D148" s="104" t="str" cm="1">
        <f t="array" ref="D148">_xlfn.IFS(AND(A148&gt;NumberOfPlots,ISBLANK(INDEX(PlotData,MATCH($A148,PlotNumber,0),MATCH(B$3,PlotTitles,0)))),"",ISBLANK(INDEX(PlotData,MATCH($A148,PlotNumber,0),MATCH(D$3,PlotTitles,0))),$AB$7,TRUE,"")</f>
        <v/>
      </c>
      <c r="E148" s="104" t="str" cm="1">
        <f t="array" ref="E148">_xlfn.IFS(AND(A148&gt;NumberOfPlots,ISBLANK(INDEX(PlotData,MATCH($A148,PlotNumber,0),MATCH(B$3,PlotTitles,0)))),"",ISBLANK(INDEX(PlotData,MATCH($A148,PlotNumber,0),MATCH(E$3,PlotTitles,0))),$AB$8,TRUE,"")</f>
        <v/>
      </c>
      <c r="F148" s="104" t="str" cm="1">
        <f t="array" ref="F148">_xlfn.IFS(AND(A148&gt;NumberOfPlots,ISBLANK(INDEX(PlotData,MATCH($A148,PlotNumber,0),MATCH(B$3,PlotTitles,0)))),"",ISBLANK(INDEX(PlotData,MATCH($A148,PlotNumber,0),MATCH(F$3,PlotTitles,0))),$AB$9,TRUE,"")</f>
        <v/>
      </c>
      <c r="G148" s="104" t="str" cm="1">
        <f t="array" ref="G148">_xlfn.IFS(AND(A148&gt;NumberOfPlots,ISBLANK(INDEX(PlotData,MATCH($A148,PlotNumber,0),MATCH(B$3,PlotTitles,0)))),"",ISBLANK(INDEX(PlotData,MATCH($A148,PlotNumber,0),MATCH(G$3,PlotTitles,0))),$AB$10,TRUE,"")</f>
        <v/>
      </c>
      <c r="H148" s="104" t="str" cm="1">
        <f t="array" ref="H148">_xlfn.IFS(AND(A148&gt;NumberOfPlots,ISBLANK(INDEX(PlotData,MATCH($A148,PlotNumber,0),MATCH(B$3,PlotTitles,0)))),"",AND(ISBLANK(INDEX(PlotData,MATCH($A148,PlotNumber,0),MATCH(H$3,PlotTitles,0)))=FALSE,INDEX(PlotData,MATCH($A148,PlotNumber,0),MATCH(H$3,PlotTitles,0))&lt;500), $AB$11,TRUE,"")</f>
        <v/>
      </c>
      <c r="I148" s="104" t="str" cm="1">
        <f t="array" ref="I148">_xlfn.IFS(AND(A148&gt;NumberOfPlots,ISBLANK(INDEX(PlotData,MATCH($A148,PlotNumber,0),MATCH(B$3,PlotTitles,0)))),"",ISBLANK(INDEX(PlotData,MATCH($A148,PlotNumber,0),MATCH(I$3,PlotTitles,0))),$AB$12,TRUE,"")</f>
        <v/>
      </c>
      <c r="J148" s="104" t="str" cm="1">
        <f t="array" ref="J148">_xlfn.IFS(AND(A148&gt;NumberOfPlots,ISBLANK(INDEX(PlotData,MATCH($A148,PlotNumber,0),MATCH(B$3,PlotTitles,0)))),"",ISBLANK(INDEX(PlotData,MATCH($A148,PlotNumber,0),MATCH(J$3,PlotTitles,0))),$AB$13,TRUE,"")</f>
        <v/>
      </c>
      <c r="K148" s="182" t="str">
        <f t="shared" ca="1" si="6"/>
        <v/>
      </c>
      <c r="L148" s="104" t="str" cm="1">
        <f t="array" ref="L148">_xlfn.IFS(OR(ISBLANK(StartDateMonth),ISBLANK(StartDateYear)),"",AND(A148&gt;NumberOfPlots,ISBLANK(INDEX(PlotData,MATCH($A148,PlotNumber,0),MATCH(B$3,PlotTitles,0)))),"",ISBLANK(INDEX(PlotData,MATCH($A148,PlotNumber,0),MATCH(I$3,PlotTitles,0))),"",(DATEVALUE(INDEX(PlotData,MATCH($A148,PlotNumber,0),MATCH(I$3,PlotTitles,0))&amp;INDEX(PlotData,MATCH($A148,PlotNumber,0),MATCH(J$3,PlotTitles,0))))&lt;DATEVALUE(StartDateMonth&amp;StartDateYear),$AB$15,TRUE,"")</f>
        <v/>
      </c>
      <c r="M148" s="104" t="str" cm="1">
        <f t="array" ref="M148">_xlfn.IFS(OR(ISBLANK(StartDateMonth),ISBLANK(StartDateYear)),"",AND(A148&gt;NumberOfPlots,ISBLANK(INDEX(PlotData,MATCH($A148,PlotNumber,0),MATCH(B$3,PlotTitles,0)))),"",ISBLANK(INDEX(PlotData,MATCH($A148,PlotNumber,0),MATCH(I$3,PlotTitles,0))),"",CompletionMonth="","",(DATEVALUE(INDEX(PlotData,MATCH($A148,PlotNumber,0),MATCH(I$3,PlotTitles,0))&amp;INDEX(PlotData,MATCH($A148,PlotNumber,0),MATCH(J$3,PlotTitles,0))))&gt;(DATEVALUE(CompletionMonth&amp;CompletionYear)),$AB$16,TRUE,"")</f>
        <v/>
      </c>
      <c r="N148" s="104" t="str" cm="1">
        <f t="array" ref="N148">_xlfn.IFS(AND(A148&gt;NumberOfPlots,ISBLANK(INDEX(PlotData,MATCH($A148,PlotNumber,0),MATCH(B$3,PlotTitles,0)))),"",ISBLANK(INDEX(PlotData,MATCH($A148,PlotNumber,0),MATCH(N$3,PlotTitles,0))),$AB$17,TRUE,"")</f>
        <v/>
      </c>
      <c r="O148" s="104" t="str" cm="1">
        <f t="array" ref="O148">_xlfn.IFS(AND(A148&gt;NumberOfPlots,ISBLANK(INDEX(PlotData,MATCH($A148,PlotNumber,0),MATCH(B$3,PlotTitles,0)))),"",ISBLANK(INDEX(PlotData,MATCH($A148,PlotNumber,0),MATCH(O$3,PlotTitles,0))),$AB$18,TRUE,"")</f>
        <v/>
      </c>
      <c r="P148" s="182" t="str">
        <f t="shared" ca="1" si="7"/>
        <v/>
      </c>
      <c r="Q148" s="104" t="str" cm="1">
        <f t="array" ref="Q148">_xlfn.IFS(AND(A148&gt;NumberOfPlots,ISBLANK(INDEX(PlotData,MATCH($A148,PlotNumber,0),MATCH(B$3,PlotTitles,0)))),"",ISBLANK(INDEX(PlotData,MATCH($A148,PlotNumber,0),MATCH(N$3,PlotTitles,0))),"",(DATEVALUE(INDEX(PlotData,MATCH($A148,PlotNumber,0),MATCH(N$3,PlotTitles,0))&amp;INDEX(PlotData,MATCH($A148,PlotNumber,0),MATCH(O$3,PlotTitles,0))))&lt;(DATEVALUE(INDEX(PlotData,MATCH($A148,PlotNumber,0),MATCH(I$3,PlotTitles,0))&amp;INDEX(PlotData,MATCH($A148,PlotNumber,0),MATCH(J$3,PlotTitles,0)))),$AB$20,TRUE,"")</f>
        <v/>
      </c>
      <c r="R148" s="104" t="str" cm="1">
        <f t="array" ref="R148">_xlfn.IFS(OR(ISBLANK(StartDateMonth),ISBLANK(StartDateYear)),"",AND(A148&gt;NumberOfPlots,ISBLANK(INDEX(PlotData,MATCH($A148,PlotNumber,0),MATCH(B$3,PlotTitles,0)))),"",ISBLANK(INDEX(PlotData,MATCH($A148,PlotNumber,0),MATCH(N$3,PlotTitles,0))),"",CompletionMonth="","",(DATEVALUE(INDEX(PlotData,MATCH($A148,PlotNumber,0),MATCH(N$3,PlotTitles,0))&amp;INDEX(PlotData,MATCH($A148,PlotNumber,0),MATCH(O$3,PlotTitles,0))))&gt;(DATEVALUE(CompletionMonth&amp;CompletionYear)),$AB$21,TRUE,"")</f>
        <v/>
      </c>
      <c r="S148" s="104" t="str" cm="1">
        <f t="array" ref="S148">_xlfn.IFS(AND(A148&gt;NumberOfPlots,ISBLANK(INDEX(PlotData,MATCH($A148,PlotNumber,0),MATCH(B$3,PlotTitles,0)))),"",OR(AND(INDEX(PlotData,MATCH($A148,PlotNumber,0),MATCH("Tenure",PlotTitles,0))="Open market housing",INDEX(PlotData,MATCH($A148,PlotNumber,0),MATCH("Tenure detail",PlotTitles,0))="Private rented sector"),INDEX(PlotData,MATCH($A148,PlotNumber,0),MATCH("Tenure",PlotTitles,0))="Affordable rent"),"",ISNUMBER(INDEX(PlotData,MATCH($A148,PlotNumber,0),MATCH(S$3,PlotTitles,0)))=FALSE, $AB$22,TRUE,"")</f>
        <v/>
      </c>
      <c r="T148" s="104" t="str" cm="1">
        <f t="array" ref="T148">_xlfn.IFS(AND(A148&gt;NumberOfPlots,ISBLANK(INDEX(PlotData,MATCH($A148,PlotNumber,0),MATCH(B$3,PlotTitles,0)))),"",OR(AND(INDEX(PlotData,MATCH($A148,PlotNumber,0),MATCH("Tenure",PlotTitles,0))="Open market housing",INDEX(PlotData,MATCH($A148,PlotNumber,0),MATCH("Tenure detail",PlotTitles,0))="Private rented sector"),INDEX(PlotData,MATCH($A148,PlotNumber,0),MATCH("Tenure",PlotTitles,0))="Affordable rent"),"",INDEX(PlotData,MATCH($A148,PlotNumber,0),MATCH(S$3,PlotTitles,0))&lt;10000, $AB$23,TRUE,"")</f>
        <v/>
      </c>
      <c r="U148" s="104" t="str" cm="1">
        <f t="array" ref="U148">_xlfn.IFS(AND(A148&gt;NumberOfPlots,ISBLANK(INDEX(PlotData,MATCH($A148,PlotNumber,0),MATCH(B$3,PlotTitles,0)))),"",NOT(OR(AND(INDEX(PlotData,MATCH($A148,PlotNumber,0),MATCH("Tenure",PlotTitles,0))="Open market housing",INDEX(PlotData,MATCH($A148,PlotNumber,0),MATCH("Tenure detail",PlotTitles,0))="Private rented sector"),INDEX(PlotData,MATCH($A148,PlotNumber,0),MATCH("Tenure",PlotTitles,0))="Affordable rent")),"",NOT(INDEX(PlotData,MATCH($A148,PlotNumber,0),MATCH(S$3,PlotTitles,0))=0), $AB$24,TRUE,"")</f>
        <v/>
      </c>
      <c r="V148" s="114" t="str" cm="1">
        <f t="array" aca="1" ref="V148" ca="1">_xlfn.IFS(ISBLANK(NumberOfPlots),"Enter the number of homes on the 1_SetUp sheet",AND(A148&gt;NumberOfPlots,ISBLANK(INDEX(PlotData,MATCH($A148,PlotNumber,0),MATCH(B$3,PlotTitles,0)))),"No error",NOT(B148=""),B148,NOT(C148=""),C148,NOT(D148=""),D148,NOT(E148=""),E148,NOT(F148=""),F148,NOT(G148=""),G148,NOT(H148=""),H148,NOT(I148=""),I148,NOT(J148=""),J148,NOT(K148=""),K148,NOT(L148=""),L148,NOT(M148=""),M148,NOT(N148=""),N148,NOT(O148=""),O148,NOT(P148=""),P148,NOT(Q148=""),Q148,NOT(R148=""),R148,NOT(S148=""),S148,NOT(T148=""),T148,NOT(U148=""),U148,TRUE,"No error")</f>
        <v>Enter the number of homes on the 1_SetUp sheet</v>
      </c>
      <c r="W148" s="114" t="str">
        <f t="shared" ca="1" si="8"/>
        <v xml:space="preserve">The Borrower has not addressed the following error messages for Home ID 144: </v>
      </c>
    </row>
    <row r="149" spans="1:23">
      <c r="A149" s="123">
        <v>145</v>
      </c>
      <c r="B149" s="104" t="str" cm="1">
        <f t="array" ref="B149">_xlfn.IFS(AND(A149&gt;NumberOfPlots,ISBLANK(INDEX(PlotData,MATCH($A149,PlotNumber,0),MATCH(B$3,PlotTitles,0)))),"",ISNUMBER(INDEX(PlotData,MATCH($A149,PlotNumber,0),MATCH(B$3,PlotTitles,0)))=FALSE, $AB$5,TRUE,"")</f>
        <v/>
      </c>
      <c r="C149" s="104" t="str" cm="1">
        <f t="array" ref="C149">_xlfn.IFS(AND(A149&gt;NumberOfPlots,ISBLANK(INDEX(PlotData,MATCH($A149,PlotNumber,0),MATCH(B$3,PlotTitles,0)))),"",ISBLANK(INDEX(PlotData,MATCH($A149,PlotNumber,0),MATCH(C$3,PlotTitles,0))),$AB$6,TRUE,"")</f>
        <v/>
      </c>
      <c r="D149" s="104" t="str" cm="1">
        <f t="array" ref="D149">_xlfn.IFS(AND(A149&gt;NumberOfPlots,ISBLANK(INDEX(PlotData,MATCH($A149,PlotNumber,0),MATCH(B$3,PlotTitles,0)))),"",ISBLANK(INDEX(PlotData,MATCH($A149,PlotNumber,0),MATCH(D$3,PlotTitles,0))),$AB$7,TRUE,"")</f>
        <v/>
      </c>
      <c r="E149" s="104" t="str" cm="1">
        <f t="array" ref="E149">_xlfn.IFS(AND(A149&gt;NumberOfPlots,ISBLANK(INDEX(PlotData,MATCH($A149,PlotNumber,0),MATCH(B$3,PlotTitles,0)))),"",ISBLANK(INDEX(PlotData,MATCH($A149,PlotNumber,0),MATCH(E$3,PlotTitles,0))),$AB$8,TRUE,"")</f>
        <v/>
      </c>
      <c r="F149" s="104" t="str" cm="1">
        <f t="array" ref="F149">_xlfn.IFS(AND(A149&gt;NumberOfPlots,ISBLANK(INDEX(PlotData,MATCH($A149,PlotNumber,0),MATCH(B$3,PlotTitles,0)))),"",ISBLANK(INDEX(PlotData,MATCH($A149,PlotNumber,0),MATCH(F$3,PlotTitles,0))),$AB$9,TRUE,"")</f>
        <v/>
      </c>
      <c r="G149" s="104" t="str" cm="1">
        <f t="array" ref="G149">_xlfn.IFS(AND(A149&gt;NumberOfPlots,ISBLANK(INDEX(PlotData,MATCH($A149,PlotNumber,0),MATCH(B$3,PlotTitles,0)))),"",ISBLANK(INDEX(PlotData,MATCH($A149,PlotNumber,0),MATCH(G$3,PlotTitles,0))),$AB$10,TRUE,"")</f>
        <v/>
      </c>
      <c r="H149" s="104" t="str" cm="1">
        <f t="array" ref="H149">_xlfn.IFS(AND(A149&gt;NumberOfPlots,ISBLANK(INDEX(PlotData,MATCH($A149,PlotNumber,0),MATCH(B$3,PlotTitles,0)))),"",AND(ISBLANK(INDEX(PlotData,MATCH($A149,PlotNumber,0),MATCH(H$3,PlotTitles,0)))=FALSE,INDEX(PlotData,MATCH($A149,PlotNumber,0),MATCH(H$3,PlotTitles,0))&lt;500), $AB$11,TRUE,"")</f>
        <v/>
      </c>
      <c r="I149" s="104" t="str" cm="1">
        <f t="array" ref="I149">_xlfn.IFS(AND(A149&gt;NumberOfPlots,ISBLANK(INDEX(PlotData,MATCH($A149,PlotNumber,0),MATCH(B$3,PlotTitles,0)))),"",ISBLANK(INDEX(PlotData,MATCH($A149,PlotNumber,0),MATCH(I$3,PlotTitles,0))),$AB$12,TRUE,"")</f>
        <v/>
      </c>
      <c r="J149" s="104" t="str" cm="1">
        <f t="array" ref="J149">_xlfn.IFS(AND(A149&gt;NumberOfPlots,ISBLANK(INDEX(PlotData,MATCH($A149,PlotNumber,0),MATCH(B$3,PlotTitles,0)))),"",ISBLANK(INDEX(PlotData,MATCH($A149,PlotNumber,0),MATCH(J$3,PlotTitles,0))),$AB$13,TRUE,"")</f>
        <v/>
      </c>
      <c r="K149" s="182" t="str">
        <f t="shared" ca="1" si="6"/>
        <v/>
      </c>
      <c r="L149" s="104" t="str" cm="1">
        <f t="array" ref="L149">_xlfn.IFS(OR(ISBLANK(StartDateMonth),ISBLANK(StartDateYear)),"",AND(A149&gt;NumberOfPlots,ISBLANK(INDEX(PlotData,MATCH($A149,PlotNumber,0),MATCH(B$3,PlotTitles,0)))),"",ISBLANK(INDEX(PlotData,MATCH($A149,PlotNumber,0),MATCH(I$3,PlotTitles,0))),"",(DATEVALUE(INDEX(PlotData,MATCH($A149,PlotNumber,0),MATCH(I$3,PlotTitles,0))&amp;INDEX(PlotData,MATCH($A149,PlotNumber,0),MATCH(J$3,PlotTitles,0))))&lt;DATEVALUE(StartDateMonth&amp;StartDateYear),$AB$15,TRUE,"")</f>
        <v/>
      </c>
      <c r="M149" s="104" t="str" cm="1">
        <f t="array" ref="M149">_xlfn.IFS(OR(ISBLANK(StartDateMonth),ISBLANK(StartDateYear)),"",AND(A149&gt;NumberOfPlots,ISBLANK(INDEX(PlotData,MATCH($A149,PlotNumber,0),MATCH(B$3,PlotTitles,0)))),"",ISBLANK(INDEX(PlotData,MATCH($A149,PlotNumber,0),MATCH(I$3,PlotTitles,0))),"",CompletionMonth="","",(DATEVALUE(INDEX(PlotData,MATCH($A149,PlotNumber,0),MATCH(I$3,PlotTitles,0))&amp;INDEX(PlotData,MATCH($A149,PlotNumber,0),MATCH(J$3,PlotTitles,0))))&gt;(DATEVALUE(CompletionMonth&amp;CompletionYear)),$AB$16,TRUE,"")</f>
        <v/>
      </c>
      <c r="N149" s="104" t="str" cm="1">
        <f t="array" ref="N149">_xlfn.IFS(AND(A149&gt;NumberOfPlots,ISBLANK(INDEX(PlotData,MATCH($A149,PlotNumber,0),MATCH(B$3,PlotTitles,0)))),"",ISBLANK(INDEX(PlotData,MATCH($A149,PlotNumber,0),MATCH(N$3,PlotTitles,0))),$AB$17,TRUE,"")</f>
        <v/>
      </c>
      <c r="O149" s="104" t="str" cm="1">
        <f t="array" ref="O149">_xlfn.IFS(AND(A149&gt;NumberOfPlots,ISBLANK(INDEX(PlotData,MATCH($A149,PlotNumber,0),MATCH(B$3,PlotTitles,0)))),"",ISBLANK(INDEX(PlotData,MATCH($A149,PlotNumber,0),MATCH(O$3,PlotTitles,0))),$AB$18,TRUE,"")</f>
        <v/>
      </c>
      <c r="P149" s="182" t="str">
        <f t="shared" ca="1" si="7"/>
        <v/>
      </c>
      <c r="Q149" s="104" t="str" cm="1">
        <f t="array" ref="Q149">_xlfn.IFS(AND(A149&gt;NumberOfPlots,ISBLANK(INDEX(PlotData,MATCH($A149,PlotNumber,0),MATCH(B$3,PlotTitles,0)))),"",ISBLANK(INDEX(PlotData,MATCH($A149,PlotNumber,0),MATCH(N$3,PlotTitles,0))),"",(DATEVALUE(INDEX(PlotData,MATCH($A149,PlotNumber,0),MATCH(N$3,PlotTitles,0))&amp;INDEX(PlotData,MATCH($A149,PlotNumber,0),MATCH(O$3,PlotTitles,0))))&lt;(DATEVALUE(INDEX(PlotData,MATCH($A149,PlotNumber,0),MATCH(I$3,PlotTitles,0))&amp;INDEX(PlotData,MATCH($A149,PlotNumber,0),MATCH(J$3,PlotTitles,0)))),$AB$20,TRUE,"")</f>
        <v/>
      </c>
      <c r="R149" s="104" t="str" cm="1">
        <f t="array" ref="R149">_xlfn.IFS(OR(ISBLANK(StartDateMonth),ISBLANK(StartDateYear)),"",AND(A149&gt;NumberOfPlots,ISBLANK(INDEX(PlotData,MATCH($A149,PlotNumber,0),MATCH(B$3,PlotTitles,0)))),"",ISBLANK(INDEX(PlotData,MATCH($A149,PlotNumber,0),MATCH(N$3,PlotTitles,0))),"",CompletionMonth="","",(DATEVALUE(INDEX(PlotData,MATCH($A149,PlotNumber,0),MATCH(N$3,PlotTitles,0))&amp;INDEX(PlotData,MATCH($A149,PlotNumber,0),MATCH(O$3,PlotTitles,0))))&gt;(DATEVALUE(CompletionMonth&amp;CompletionYear)),$AB$21,TRUE,"")</f>
        <v/>
      </c>
      <c r="S149" s="104" t="str" cm="1">
        <f t="array" ref="S149">_xlfn.IFS(AND(A149&gt;NumberOfPlots,ISBLANK(INDEX(PlotData,MATCH($A149,PlotNumber,0),MATCH(B$3,PlotTitles,0)))),"",OR(AND(INDEX(PlotData,MATCH($A149,PlotNumber,0),MATCH("Tenure",PlotTitles,0))="Open market housing",INDEX(PlotData,MATCH($A149,PlotNumber,0),MATCH("Tenure detail",PlotTitles,0))="Private rented sector"),INDEX(PlotData,MATCH($A149,PlotNumber,0),MATCH("Tenure",PlotTitles,0))="Affordable rent"),"",ISNUMBER(INDEX(PlotData,MATCH($A149,PlotNumber,0),MATCH(S$3,PlotTitles,0)))=FALSE, $AB$22,TRUE,"")</f>
        <v/>
      </c>
      <c r="T149" s="104" t="str" cm="1">
        <f t="array" ref="T149">_xlfn.IFS(AND(A149&gt;NumberOfPlots,ISBLANK(INDEX(PlotData,MATCH($A149,PlotNumber,0),MATCH(B$3,PlotTitles,0)))),"",OR(AND(INDEX(PlotData,MATCH($A149,PlotNumber,0),MATCH("Tenure",PlotTitles,0))="Open market housing",INDEX(PlotData,MATCH($A149,PlotNumber,0),MATCH("Tenure detail",PlotTitles,0))="Private rented sector"),INDEX(PlotData,MATCH($A149,PlotNumber,0),MATCH("Tenure",PlotTitles,0))="Affordable rent"),"",INDEX(PlotData,MATCH($A149,PlotNumber,0),MATCH(S$3,PlotTitles,0))&lt;10000, $AB$23,TRUE,"")</f>
        <v/>
      </c>
      <c r="U149" s="104" t="str" cm="1">
        <f t="array" ref="U149">_xlfn.IFS(AND(A149&gt;NumberOfPlots,ISBLANK(INDEX(PlotData,MATCH($A149,PlotNumber,0),MATCH(B$3,PlotTitles,0)))),"",NOT(OR(AND(INDEX(PlotData,MATCH($A149,PlotNumber,0),MATCH("Tenure",PlotTitles,0))="Open market housing",INDEX(PlotData,MATCH($A149,PlotNumber,0),MATCH("Tenure detail",PlotTitles,0))="Private rented sector"),INDEX(PlotData,MATCH($A149,PlotNumber,0),MATCH("Tenure",PlotTitles,0))="Affordable rent")),"",NOT(INDEX(PlotData,MATCH($A149,PlotNumber,0),MATCH(S$3,PlotTitles,0))=0), $AB$24,TRUE,"")</f>
        <v/>
      </c>
      <c r="V149" s="114" t="str" cm="1">
        <f t="array" aca="1" ref="V149" ca="1">_xlfn.IFS(ISBLANK(NumberOfPlots),"Enter the number of homes on the 1_SetUp sheet",AND(A149&gt;NumberOfPlots,ISBLANK(INDEX(PlotData,MATCH($A149,PlotNumber,0),MATCH(B$3,PlotTitles,0)))),"No error",NOT(B149=""),B149,NOT(C149=""),C149,NOT(D149=""),D149,NOT(E149=""),E149,NOT(F149=""),F149,NOT(G149=""),G149,NOT(H149=""),H149,NOT(I149=""),I149,NOT(J149=""),J149,NOT(K149=""),K149,NOT(L149=""),L149,NOT(M149=""),M149,NOT(N149=""),N149,NOT(O149=""),O149,NOT(P149=""),P149,NOT(Q149=""),Q149,NOT(R149=""),R149,NOT(S149=""),S149,NOT(T149=""),T149,NOT(U149=""),U149,TRUE,"No error")</f>
        <v>Enter the number of homes on the 1_SetUp sheet</v>
      </c>
      <c r="W149" s="114" t="str">
        <f t="shared" ca="1" si="8"/>
        <v xml:space="preserve">The Borrower has not addressed the following error messages for Home ID 145: </v>
      </c>
    </row>
    <row r="150" spans="1:23">
      <c r="A150" s="123">
        <v>146</v>
      </c>
      <c r="B150" s="104" t="str" cm="1">
        <f t="array" ref="B150">_xlfn.IFS(AND(A150&gt;NumberOfPlots,ISBLANK(INDEX(PlotData,MATCH($A150,PlotNumber,0),MATCH(B$3,PlotTitles,0)))),"",ISNUMBER(INDEX(PlotData,MATCH($A150,PlotNumber,0),MATCH(B$3,PlotTitles,0)))=FALSE, $AB$5,TRUE,"")</f>
        <v/>
      </c>
      <c r="C150" s="104" t="str" cm="1">
        <f t="array" ref="C150">_xlfn.IFS(AND(A150&gt;NumberOfPlots,ISBLANK(INDEX(PlotData,MATCH($A150,PlotNumber,0),MATCH(B$3,PlotTitles,0)))),"",ISBLANK(INDEX(PlotData,MATCH($A150,PlotNumber,0),MATCH(C$3,PlotTitles,0))),$AB$6,TRUE,"")</f>
        <v/>
      </c>
      <c r="D150" s="104" t="str" cm="1">
        <f t="array" ref="D150">_xlfn.IFS(AND(A150&gt;NumberOfPlots,ISBLANK(INDEX(PlotData,MATCH($A150,PlotNumber,0),MATCH(B$3,PlotTitles,0)))),"",ISBLANK(INDEX(PlotData,MATCH($A150,PlotNumber,0),MATCH(D$3,PlotTitles,0))),$AB$7,TRUE,"")</f>
        <v/>
      </c>
      <c r="E150" s="104" t="str" cm="1">
        <f t="array" ref="E150">_xlfn.IFS(AND(A150&gt;NumberOfPlots,ISBLANK(INDEX(PlotData,MATCH($A150,PlotNumber,0),MATCH(B$3,PlotTitles,0)))),"",ISBLANK(INDEX(PlotData,MATCH($A150,PlotNumber,0),MATCH(E$3,PlotTitles,0))),$AB$8,TRUE,"")</f>
        <v/>
      </c>
      <c r="F150" s="104" t="str" cm="1">
        <f t="array" ref="F150">_xlfn.IFS(AND(A150&gt;NumberOfPlots,ISBLANK(INDEX(PlotData,MATCH($A150,PlotNumber,0),MATCH(B$3,PlotTitles,0)))),"",ISBLANK(INDEX(PlotData,MATCH($A150,PlotNumber,0),MATCH(F$3,PlotTitles,0))),$AB$9,TRUE,"")</f>
        <v/>
      </c>
      <c r="G150" s="104" t="str" cm="1">
        <f t="array" ref="G150">_xlfn.IFS(AND(A150&gt;NumberOfPlots,ISBLANK(INDEX(PlotData,MATCH($A150,PlotNumber,0),MATCH(B$3,PlotTitles,0)))),"",ISBLANK(INDEX(PlotData,MATCH($A150,PlotNumber,0),MATCH(G$3,PlotTitles,0))),$AB$10,TRUE,"")</f>
        <v/>
      </c>
      <c r="H150" s="104" t="str" cm="1">
        <f t="array" ref="H150">_xlfn.IFS(AND(A150&gt;NumberOfPlots,ISBLANK(INDEX(PlotData,MATCH($A150,PlotNumber,0),MATCH(B$3,PlotTitles,0)))),"",AND(ISBLANK(INDEX(PlotData,MATCH($A150,PlotNumber,0),MATCH(H$3,PlotTitles,0)))=FALSE,INDEX(PlotData,MATCH($A150,PlotNumber,0),MATCH(H$3,PlotTitles,0))&lt;500), $AB$11,TRUE,"")</f>
        <v/>
      </c>
      <c r="I150" s="104" t="str" cm="1">
        <f t="array" ref="I150">_xlfn.IFS(AND(A150&gt;NumberOfPlots,ISBLANK(INDEX(PlotData,MATCH($A150,PlotNumber,0),MATCH(B$3,PlotTitles,0)))),"",ISBLANK(INDEX(PlotData,MATCH($A150,PlotNumber,0),MATCH(I$3,PlotTitles,0))),$AB$12,TRUE,"")</f>
        <v/>
      </c>
      <c r="J150" s="104" t="str" cm="1">
        <f t="array" ref="J150">_xlfn.IFS(AND(A150&gt;NumberOfPlots,ISBLANK(INDEX(PlotData,MATCH($A150,PlotNumber,0),MATCH(B$3,PlotTitles,0)))),"",ISBLANK(INDEX(PlotData,MATCH($A150,PlotNumber,0),MATCH(J$3,PlotTitles,0))),$AB$13,TRUE,"")</f>
        <v/>
      </c>
      <c r="K150" s="182" t="str">
        <f t="shared" ca="1" si="6"/>
        <v/>
      </c>
      <c r="L150" s="104" t="str" cm="1">
        <f t="array" ref="L150">_xlfn.IFS(OR(ISBLANK(StartDateMonth),ISBLANK(StartDateYear)),"",AND(A150&gt;NumberOfPlots,ISBLANK(INDEX(PlotData,MATCH($A150,PlotNumber,0),MATCH(B$3,PlotTitles,0)))),"",ISBLANK(INDEX(PlotData,MATCH($A150,PlotNumber,0),MATCH(I$3,PlotTitles,0))),"",(DATEVALUE(INDEX(PlotData,MATCH($A150,PlotNumber,0),MATCH(I$3,PlotTitles,0))&amp;INDEX(PlotData,MATCH($A150,PlotNumber,0),MATCH(J$3,PlotTitles,0))))&lt;DATEVALUE(StartDateMonth&amp;StartDateYear),$AB$15,TRUE,"")</f>
        <v/>
      </c>
      <c r="M150" s="104" t="str" cm="1">
        <f t="array" ref="M150">_xlfn.IFS(OR(ISBLANK(StartDateMonth),ISBLANK(StartDateYear)),"",AND(A150&gt;NumberOfPlots,ISBLANK(INDEX(PlotData,MATCH($A150,PlotNumber,0),MATCH(B$3,PlotTitles,0)))),"",ISBLANK(INDEX(PlotData,MATCH($A150,PlotNumber,0),MATCH(I$3,PlotTitles,0))),"",CompletionMonth="","",(DATEVALUE(INDEX(PlotData,MATCH($A150,PlotNumber,0),MATCH(I$3,PlotTitles,0))&amp;INDEX(PlotData,MATCH($A150,PlotNumber,0),MATCH(J$3,PlotTitles,0))))&gt;(DATEVALUE(CompletionMonth&amp;CompletionYear)),$AB$16,TRUE,"")</f>
        <v/>
      </c>
      <c r="N150" s="104" t="str" cm="1">
        <f t="array" ref="N150">_xlfn.IFS(AND(A150&gt;NumberOfPlots,ISBLANK(INDEX(PlotData,MATCH($A150,PlotNumber,0),MATCH(B$3,PlotTitles,0)))),"",ISBLANK(INDEX(PlotData,MATCH($A150,PlotNumber,0),MATCH(N$3,PlotTitles,0))),$AB$17,TRUE,"")</f>
        <v/>
      </c>
      <c r="O150" s="104" t="str" cm="1">
        <f t="array" ref="O150">_xlfn.IFS(AND(A150&gt;NumberOfPlots,ISBLANK(INDEX(PlotData,MATCH($A150,PlotNumber,0),MATCH(B$3,PlotTitles,0)))),"",ISBLANK(INDEX(PlotData,MATCH($A150,PlotNumber,0),MATCH(O$3,PlotTitles,0))),$AB$18,TRUE,"")</f>
        <v/>
      </c>
      <c r="P150" s="182" t="str">
        <f t="shared" ca="1" si="7"/>
        <v/>
      </c>
      <c r="Q150" s="104" t="str" cm="1">
        <f t="array" ref="Q150">_xlfn.IFS(AND(A150&gt;NumberOfPlots,ISBLANK(INDEX(PlotData,MATCH($A150,PlotNumber,0),MATCH(B$3,PlotTitles,0)))),"",ISBLANK(INDEX(PlotData,MATCH($A150,PlotNumber,0),MATCH(N$3,PlotTitles,0))),"",(DATEVALUE(INDEX(PlotData,MATCH($A150,PlotNumber,0),MATCH(N$3,PlotTitles,0))&amp;INDEX(PlotData,MATCH($A150,PlotNumber,0),MATCH(O$3,PlotTitles,0))))&lt;(DATEVALUE(INDEX(PlotData,MATCH($A150,PlotNumber,0),MATCH(I$3,PlotTitles,0))&amp;INDEX(PlotData,MATCH($A150,PlotNumber,0),MATCH(J$3,PlotTitles,0)))),$AB$20,TRUE,"")</f>
        <v/>
      </c>
      <c r="R150" s="104" t="str" cm="1">
        <f t="array" ref="R150">_xlfn.IFS(OR(ISBLANK(StartDateMonth),ISBLANK(StartDateYear)),"",AND(A150&gt;NumberOfPlots,ISBLANK(INDEX(PlotData,MATCH($A150,PlotNumber,0),MATCH(B$3,PlotTitles,0)))),"",ISBLANK(INDEX(PlotData,MATCH($A150,PlotNumber,0),MATCH(N$3,PlotTitles,0))),"",CompletionMonth="","",(DATEVALUE(INDEX(PlotData,MATCH($A150,PlotNumber,0),MATCH(N$3,PlotTitles,0))&amp;INDEX(PlotData,MATCH($A150,PlotNumber,0),MATCH(O$3,PlotTitles,0))))&gt;(DATEVALUE(CompletionMonth&amp;CompletionYear)),$AB$21,TRUE,"")</f>
        <v/>
      </c>
      <c r="S150" s="104" t="str" cm="1">
        <f t="array" ref="S150">_xlfn.IFS(AND(A150&gt;NumberOfPlots,ISBLANK(INDEX(PlotData,MATCH($A150,PlotNumber,0),MATCH(B$3,PlotTitles,0)))),"",OR(AND(INDEX(PlotData,MATCH($A150,PlotNumber,0),MATCH("Tenure",PlotTitles,0))="Open market housing",INDEX(PlotData,MATCH($A150,PlotNumber,0),MATCH("Tenure detail",PlotTitles,0))="Private rented sector"),INDEX(PlotData,MATCH($A150,PlotNumber,0),MATCH("Tenure",PlotTitles,0))="Affordable rent"),"",ISNUMBER(INDEX(PlotData,MATCH($A150,PlotNumber,0),MATCH(S$3,PlotTitles,0)))=FALSE, $AB$22,TRUE,"")</f>
        <v/>
      </c>
      <c r="T150" s="104" t="str" cm="1">
        <f t="array" ref="T150">_xlfn.IFS(AND(A150&gt;NumberOfPlots,ISBLANK(INDEX(PlotData,MATCH($A150,PlotNumber,0),MATCH(B$3,PlotTitles,0)))),"",OR(AND(INDEX(PlotData,MATCH($A150,PlotNumber,0),MATCH("Tenure",PlotTitles,0))="Open market housing",INDEX(PlotData,MATCH($A150,PlotNumber,0),MATCH("Tenure detail",PlotTitles,0))="Private rented sector"),INDEX(PlotData,MATCH($A150,PlotNumber,0),MATCH("Tenure",PlotTitles,0))="Affordable rent"),"",INDEX(PlotData,MATCH($A150,PlotNumber,0),MATCH(S$3,PlotTitles,0))&lt;10000, $AB$23,TRUE,"")</f>
        <v/>
      </c>
      <c r="U150" s="104" t="str" cm="1">
        <f t="array" ref="U150">_xlfn.IFS(AND(A150&gt;NumberOfPlots,ISBLANK(INDEX(PlotData,MATCH($A150,PlotNumber,0),MATCH(B$3,PlotTitles,0)))),"",NOT(OR(AND(INDEX(PlotData,MATCH($A150,PlotNumber,0),MATCH("Tenure",PlotTitles,0))="Open market housing",INDEX(PlotData,MATCH($A150,PlotNumber,0),MATCH("Tenure detail",PlotTitles,0))="Private rented sector"),INDEX(PlotData,MATCH($A150,PlotNumber,0),MATCH("Tenure",PlotTitles,0))="Affordable rent")),"",NOT(INDEX(PlotData,MATCH($A150,PlotNumber,0),MATCH(S$3,PlotTitles,0))=0), $AB$24,TRUE,"")</f>
        <v/>
      </c>
      <c r="V150" s="114" t="str" cm="1">
        <f t="array" aca="1" ref="V150" ca="1">_xlfn.IFS(ISBLANK(NumberOfPlots),"Enter the number of homes on the 1_SetUp sheet",AND(A150&gt;NumberOfPlots,ISBLANK(INDEX(PlotData,MATCH($A150,PlotNumber,0),MATCH(B$3,PlotTitles,0)))),"No error",NOT(B150=""),B150,NOT(C150=""),C150,NOT(D150=""),D150,NOT(E150=""),E150,NOT(F150=""),F150,NOT(G150=""),G150,NOT(H150=""),H150,NOT(I150=""),I150,NOT(J150=""),J150,NOT(K150=""),K150,NOT(L150=""),L150,NOT(M150=""),M150,NOT(N150=""),N150,NOT(O150=""),O150,NOT(P150=""),P150,NOT(Q150=""),Q150,NOT(R150=""),R150,NOT(S150=""),S150,NOT(T150=""),T150,NOT(U150=""),U150,TRUE,"No error")</f>
        <v>Enter the number of homes on the 1_SetUp sheet</v>
      </c>
      <c r="W150" s="114" t="str">
        <f t="shared" ca="1" si="8"/>
        <v xml:space="preserve">The Borrower has not addressed the following error messages for Home ID 146: </v>
      </c>
    </row>
    <row r="151" spans="1:23">
      <c r="A151" s="123">
        <v>147</v>
      </c>
      <c r="B151" s="104" t="str" cm="1">
        <f t="array" ref="B151">_xlfn.IFS(AND(A151&gt;NumberOfPlots,ISBLANK(INDEX(PlotData,MATCH($A151,PlotNumber,0),MATCH(B$3,PlotTitles,0)))),"",ISNUMBER(INDEX(PlotData,MATCH($A151,PlotNumber,0),MATCH(B$3,PlotTitles,0)))=FALSE, $AB$5,TRUE,"")</f>
        <v/>
      </c>
      <c r="C151" s="104" t="str" cm="1">
        <f t="array" ref="C151">_xlfn.IFS(AND(A151&gt;NumberOfPlots,ISBLANK(INDEX(PlotData,MATCH($A151,PlotNumber,0),MATCH(B$3,PlotTitles,0)))),"",ISBLANK(INDEX(PlotData,MATCH($A151,PlotNumber,0),MATCH(C$3,PlotTitles,0))),$AB$6,TRUE,"")</f>
        <v/>
      </c>
      <c r="D151" s="104" t="str" cm="1">
        <f t="array" ref="D151">_xlfn.IFS(AND(A151&gt;NumberOfPlots,ISBLANK(INDEX(PlotData,MATCH($A151,PlotNumber,0),MATCH(B$3,PlotTitles,0)))),"",ISBLANK(INDEX(PlotData,MATCH($A151,PlotNumber,0),MATCH(D$3,PlotTitles,0))),$AB$7,TRUE,"")</f>
        <v/>
      </c>
      <c r="E151" s="104" t="str" cm="1">
        <f t="array" ref="E151">_xlfn.IFS(AND(A151&gt;NumberOfPlots,ISBLANK(INDEX(PlotData,MATCH($A151,PlotNumber,0),MATCH(B$3,PlotTitles,0)))),"",ISBLANK(INDEX(PlotData,MATCH($A151,PlotNumber,0),MATCH(E$3,PlotTitles,0))),$AB$8,TRUE,"")</f>
        <v/>
      </c>
      <c r="F151" s="104" t="str" cm="1">
        <f t="array" ref="F151">_xlfn.IFS(AND(A151&gt;NumberOfPlots,ISBLANK(INDEX(PlotData,MATCH($A151,PlotNumber,0),MATCH(B$3,PlotTitles,0)))),"",ISBLANK(INDEX(PlotData,MATCH($A151,PlotNumber,0),MATCH(F$3,PlotTitles,0))),$AB$9,TRUE,"")</f>
        <v/>
      </c>
      <c r="G151" s="104" t="str" cm="1">
        <f t="array" ref="G151">_xlfn.IFS(AND(A151&gt;NumberOfPlots,ISBLANK(INDEX(PlotData,MATCH($A151,PlotNumber,0),MATCH(B$3,PlotTitles,0)))),"",ISBLANK(INDEX(PlotData,MATCH($A151,PlotNumber,0),MATCH(G$3,PlotTitles,0))),$AB$10,TRUE,"")</f>
        <v/>
      </c>
      <c r="H151" s="104" t="str" cm="1">
        <f t="array" ref="H151">_xlfn.IFS(AND(A151&gt;NumberOfPlots,ISBLANK(INDEX(PlotData,MATCH($A151,PlotNumber,0),MATCH(B$3,PlotTitles,0)))),"",AND(ISBLANK(INDEX(PlotData,MATCH($A151,PlotNumber,0),MATCH(H$3,PlotTitles,0)))=FALSE,INDEX(PlotData,MATCH($A151,PlotNumber,0),MATCH(H$3,PlotTitles,0))&lt;500), $AB$11,TRUE,"")</f>
        <v/>
      </c>
      <c r="I151" s="104" t="str" cm="1">
        <f t="array" ref="I151">_xlfn.IFS(AND(A151&gt;NumberOfPlots,ISBLANK(INDEX(PlotData,MATCH($A151,PlotNumber,0),MATCH(B$3,PlotTitles,0)))),"",ISBLANK(INDEX(PlotData,MATCH($A151,PlotNumber,0),MATCH(I$3,PlotTitles,0))),$AB$12,TRUE,"")</f>
        <v/>
      </c>
      <c r="J151" s="104" t="str" cm="1">
        <f t="array" ref="J151">_xlfn.IFS(AND(A151&gt;NumberOfPlots,ISBLANK(INDEX(PlotData,MATCH($A151,PlotNumber,0),MATCH(B$3,PlotTitles,0)))),"",ISBLANK(INDEX(PlotData,MATCH($A151,PlotNumber,0),MATCH(J$3,PlotTitles,0))),$AB$13,TRUE,"")</f>
        <v/>
      </c>
      <c r="K151" s="182" t="str">
        <f t="shared" ca="1" si="6"/>
        <v/>
      </c>
      <c r="L151" s="104" t="str" cm="1">
        <f t="array" ref="L151">_xlfn.IFS(OR(ISBLANK(StartDateMonth),ISBLANK(StartDateYear)),"",AND(A151&gt;NumberOfPlots,ISBLANK(INDEX(PlotData,MATCH($A151,PlotNumber,0),MATCH(B$3,PlotTitles,0)))),"",ISBLANK(INDEX(PlotData,MATCH($A151,PlotNumber,0),MATCH(I$3,PlotTitles,0))),"",(DATEVALUE(INDEX(PlotData,MATCH($A151,PlotNumber,0),MATCH(I$3,PlotTitles,0))&amp;INDEX(PlotData,MATCH($A151,PlotNumber,0),MATCH(J$3,PlotTitles,0))))&lt;DATEVALUE(StartDateMonth&amp;StartDateYear),$AB$15,TRUE,"")</f>
        <v/>
      </c>
      <c r="M151" s="104" t="str" cm="1">
        <f t="array" ref="M151">_xlfn.IFS(OR(ISBLANK(StartDateMonth),ISBLANK(StartDateYear)),"",AND(A151&gt;NumberOfPlots,ISBLANK(INDEX(PlotData,MATCH($A151,PlotNumber,0),MATCH(B$3,PlotTitles,0)))),"",ISBLANK(INDEX(PlotData,MATCH($A151,PlotNumber,0),MATCH(I$3,PlotTitles,0))),"",CompletionMonth="","",(DATEVALUE(INDEX(PlotData,MATCH($A151,PlotNumber,0),MATCH(I$3,PlotTitles,0))&amp;INDEX(PlotData,MATCH($A151,PlotNumber,0),MATCH(J$3,PlotTitles,0))))&gt;(DATEVALUE(CompletionMonth&amp;CompletionYear)),$AB$16,TRUE,"")</f>
        <v/>
      </c>
      <c r="N151" s="104" t="str" cm="1">
        <f t="array" ref="N151">_xlfn.IFS(AND(A151&gt;NumberOfPlots,ISBLANK(INDEX(PlotData,MATCH($A151,PlotNumber,0),MATCH(B$3,PlotTitles,0)))),"",ISBLANK(INDEX(PlotData,MATCH($A151,PlotNumber,0),MATCH(N$3,PlotTitles,0))),$AB$17,TRUE,"")</f>
        <v/>
      </c>
      <c r="O151" s="104" t="str" cm="1">
        <f t="array" ref="O151">_xlfn.IFS(AND(A151&gt;NumberOfPlots,ISBLANK(INDEX(PlotData,MATCH($A151,PlotNumber,0),MATCH(B$3,PlotTitles,0)))),"",ISBLANK(INDEX(PlotData,MATCH($A151,PlotNumber,0),MATCH(O$3,PlotTitles,0))),$AB$18,TRUE,"")</f>
        <v/>
      </c>
      <c r="P151" s="182" t="str">
        <f t="shared" ca="1" si="7"/>
        <v/>
      </c>
      <c r="Q151" s="104" t="str" cm="1">
        <f t="array" ref="Q151">_xlfn.IFS(AND(A151&gt;NumberOfPlots,ISBLANK(INDEX(PlotData,MATCH($A151,PlotNumber,0),MATCH(B$3,PlotTitles,0)))),"",ISBLANK(INDEX(PlotData,MATCH($A151,PlotNumber,0),MATCH(N$3,PlotTitles,0))),"",(DATEVALUE(INDEX(PlotData,MATCH($A151,PlotNumber,0),MATCH(N$3,PlotTitles,0))&amp;INDEX(PlotData,MATCH($A151,PlotNumber,0),MATCH(O$3,PlotTitles,0))))&lt;(DATEVALUE(INDEX(PlotData,MATCH($A151,PlotNumber,0),MATCH(I$3,PlotTitles,0))&amp;INDEX(PlotData,MATCH($A151,PlotNumber,0),MATCH(J$3,PlotTitles,0)))),$AB$20,TRUE,"")</f>
        <v/>
      </c>
      <c r="R151" s="104" t="str" cm="1">
        <f t="array" ref="R151">_xlfn.IFS(OR(ISBLANK(StartDateMonth),ISBLANK(StartDateYear)),"",AND(A151&gt;NumberOfPlots,ISBLANK(INDEX(PlotData,MATCH($A151,PlotNumber,0),MATCH(B$3,PlotTitles,0)))),"",ISBLANK(INDEX(PlotData,MATCH($A151,PlotNumber,0),MATCH(N$3,PlotTitles,0))),"",CompletionMonth="","",(DATEVALUE(INDEX(PlotData,MATCH($A151,PlotNumber,0),MATCH(N$3,PlotTitles,0))&amp;INDEX(PlotData,MATCH($A151,PlotNumber,0),MATCH(O$3,PlotTitles,0))))&gt;(DATEVALUE(CompletionMonth&amp;CompletionYear)),$AB$21,TRUE,"")</f>
        <v/>
      </c>
      <c r="S151" s="104" t="str" cm="1">
        <f t="array" ref="S151">_xlfn.IFS(AND(A151&gt;NumberOfPlots,ISBLANK(INDEX(PlotData,MATCH($A151,PlotNumber,0),MATCH(B$3,PlotTitles,0)))),"",OR(AND(INDEX(PlotData,MATCH($A151,PlotNumber,0),MATCH("Tenure",PlotTitles,0))="Open market housing",INDEX(PlotData,MATCH($A151,PlotNumber,0),MATCH("Tenure detail",PlotTitles,0))="Private rented sector"),INDEX(PlotData,MATCH($A151,PlotNumber,0),MATCH("Tenure",PlotTitles,0))="Affordable rent"),"",ISNUMBER(INDEX(PlotData,MATCH($A151,PlotNumber,0),MATCH(S$3,PlotTitles,0)))=FALSE, $AB$22,TRUE,"")</f>
        <v/>
      </c>
      <c r="T151" s="104" t="str" cm="1">
        <f t="array" ref="T151">_xlfn.IFS(AND(A151&gt;NumberOfPlots,ISBLANK(INDEX(PlotData,MATCH($A151,PlotNumber,0),MATCH(B$3,PlotTitles,0)))),"",OR(AND(INDEX(PlotData,MATCH($A151,PlotNumber,0),MATCH("Tenure",PlotTitles,0))="Open market housing",INDEX(PlotData,MATCH($A151,PlotNumber,0),MATCH("Tenure detail",PlotTitles,0))="Private rented sector"),INDEX(PlotData,MATCH($A151,PlotNumber,0),MATCH("Tenure",PlotTitles,0))="Affordable rent"),"",INDEX(PlotData,MATCH($A151,PlotNumber,0),MATCH(S$3,PlotTitles,0))&lt;10000, $AB$23,TRUE,"")</f>
        <v/>
      </c>
      <c r="U151" s="104" t="str" cm="1">
        <f t="array" ref="U151">_xlfn.IFS(AND(A151&gt;NumberOfPlots,ISBLANK(INDEX(PlotData,MATCH($A151,PlotNumber,0),MATCH(B$3,PlotTitles,0)))),"",NOT(OR(AND(INDEX(PlotData,MATCH($A151,PlotNumber,0),MATCH("Tenure",PlotTitles,0))="Open market housing",INDEX(PlotData,MATCH($A151,PlotNumber,0),MATCH("Tenure detail",PlotTitles,0))="Private rented sector"),INDEX(PlotData,MATCH($A151,PlotNumber,0),MATCH("Tenure",PlotTitles,0))="Affordable rent")),"",NOT(INDEX(PlotData,MATCH($A151,PlotNumber,0),MATCH(S$3,PlotTitles,0))=0), $AB$24,TRUE,"")</f>
        <v/>
      </c>
      <c r="V151" s="114" t="str" cm="1">
        <f t="array" aca="1" ref="V151" ca="1">_xlfn.IFS(ISBLANK(NumberOfPlots),"Enter the number of homes on the 1_SetUp sheet",AND(A151&gt;NumberOfPlots,ISBLANK(INDEX(PlotData,MATCH($A151,PlotNumber,0),MATCH(B$3,PlotTitles,0)))),"No error",NOT(B151=""),B151,NOT(C151=""),C151,NOT(D151=""),D151,NOT(E151=""),E151,NOT(F151=""),F151,NOT(G151=""),G151,NOT(H151=""),H151,NOT(I151=""),I151,NOT(J151=""),J151,NOT(K151=""),K151,NOT(L151=""),L151,NOT(M151=""),M151,NOT(N151=""),N151,NOT(O151=""),O151,NOT(P151=""),P151,NOT(Q151=""),Q151,NOT(R151=""),R151,NOT(S151=""),S151,NOT(T151=""),T151,NOT(U151=""),U151,TRUE,"No error")</f>
        <v>Enter the number of homes on the 1_SetUp sheet</v>
      </c>
      <c r="W151" s="114" t="str">
        <f t="shared" ca="1" si="8"/>
        <v xml:space="preserve">The Borrower has not addressed the following error messages for Home ID 147: </v>
      </c>
    </row>
    <row r="152" spans="1:23">
      <c r="A152" s="123">
        <v>148</v>
      </c>
      <c r="B152" s="104" t="str" cm="1">
        <f t="array" ref="B152">_xlfn.IFS(AND(A152&gt;NumberOfPlots,ISBLANK(INDEX(PlotData,MATCH($A152,PlotNumber,0),MATCH(B$3,PlotTitles,0)))),"",ISNUMBER(INDEX(PlotData,MATCH($A152,PlotNumber,0),MATCH(B$3,PlotTitles,0)))=FALSE, $AB$5,TRUE,"")</f>
        <v/>
      </c>
      <c r="C152" s="104" t="str" cm="1">
        <f t="array" ref="C152">_xlfn.IFS(AND(A152&gt;NumberOfPlots,ISBLANK(INDEX(PlotData,MATCH($A152,PlotNumber,0),MATCH(B$3,PlotTitles,0)))),"",ISBLANK(INDEX(PlotData,MATCH($A152,PlotNumber,0),MATCH(C$3,PlotTitles,0))),$AB$6,TRUE,"")</f>
        <v/>
      </c>
      <c r="D152" s="104" t="str" cm="1">
        <f t="array" ref="D152">_xlfn.IFS(AND(A152&gt;NumberOfPlots,ISBLANK(INDEX(PlotData,MATCH($A152,PlotNumber,0),MATCH(B$3,PlotTitles,0)))),"",ISBLANK(INDEX(PlotData,MATCH($A152,PlotNumber,0),MATCH(D$3,PlotTitles,0))),$AB$7,TRUE,"")</f>
        <v/>
      </c>
      <c r="E152" s="104" t="str" cm="1">
        <f t="array" ref="E152">_xlfn.IFS(AND(A152&gt;NumberOfPlots,ISBLANK(INDEX(PlotData,MATCH($A152,PlotNumber,0),MATCH(B$3,PlotTitles,0)))),"",ISBLANK(INDEX(PlotData,MATCH($A152,PlotNumber,0),MATCH(E$3,PlotTitles,0))),$AB$8,TRUE,"")</f>
        <v/>
      </c>
      <c r="F152" s="104" t="str" cm="1">
        <f t="array" ref="F152">_xlfn.IFS(AND(A152&gt;NumberOfPlots,ISBLANK(INDEX(PlotData,MATCH($A152,PlotNumber,0),MATCH(B$3,PlotTitles,0)))),"",ISBLANK(INDEX(PlotData,MATCH($A152,PlotNumber,0),MATCH(F$3,PlotTitles,0))),$AB$9,TRUE,"")</f>
        <v/>
      </c>
      <c r="G152" s="104" t="str" cm="1">
        <f t="array" ref="G152">_xlfn.IFS(AND(A152&gt;NumberOfPlots,ISBLANK(INDEX(PlotData,MATCH($A152,PlotNumber,0),MATCH(B$3,PlotTitles,0)))),"",ISBLANK(INDEX(PlotData,MATCH($A152,PlotNumber,0),MATCH(G$3,PlotTitles,0))),$AB$10,TRUE,"")</f>
        <v/>
      </c>
      <c r="H152" s="104" t="str" cm="1">
        <f t="array" ref="H152">_xlfn.IFS(AND(A152&gt;NumberOfPlots,ISBLANK(INDEX(PlotData,MATCH($A152,PlotNumber,0),MATCH(B$3,PlotTitles,0)))),"",AND(ISBLANK(INDEX(PlotData,MATCH($A152,PlotNumber,0),MATCH(H$3,PlotTitles,0)))=FALSE,INDEX(PlotData,MATCH($A152,PlotNumber,0),MATCH(H$3,PlotTitles,0))&lt;500), $AB$11,TRUE,"")</f>
        <v/>
      </c>
      <c r="I152" s="104" t="str" cm="1">
        <f t="array" ref="I152">_xlfn.IFS(AND(A152&gt;NumberOfPlots,ISBLANK(INDEX(PlotData,MATCH($A152,PlotNumber,0),MATCH(B$3,PlotTitles,0)))),"",ISBLANK(INDEX(PlotData,MATCH($A152,PlotNumber,0),MATCH(I$3,PlotTitles,0))),$AB$12,TRUE,"")</f>
        <v/>
      </c>
      <c r="J152" s="104" t="str" cm="1">
        <f t="array" ref="J152">_xlfn.IFS(AND(A152&gt;NumberOfPlots,ISBLANK(INDEX(PlotData,MATCH($A152,PlotNumber,0),MATCH(B$3,PlotTitles,0)))),"",ISBLANK(INDEX(PlotData,MATCH($A152,PlotNumber,0),MATCH(J$3,PlotTitles,0))),$AB$13,TRUE,"")</f>
        <v/>
      </c>
      <c r="K152" s="182" t="str">
        <f t="shared" ca="1" si="6"/>
        <v/>
      </c>
      <c r="L152" s="104" t="str" cm="1">
        <f t="array" ref="L152">_xlfn.IFS(OR(ISBLANK(StartDateMonth),ISBLANK(StartDateYear)),"",AND(A152&gt;NumberOfPlots,ISBLANK(INDEX(PlotData,MATCH($A152,PlotNumber,0),MATCH(B$3,PlotTitles,0)))),"",ISBLANK(INDEX(PlotData,MATCH($A152,PlotNumber,0),MATCH(I$3,PlotTitles,0))),"",(DATEVALUE(INDEX(PlotData,MATCH($A152,PlotNumber,0),MATCH(I$3,PlotTitles,0))&amp;INDEX(PlotData,MATCH($A152,PlotNumber,0),MATCH(J$3,PlotTitles,0))))&lt;DATEVALUE(StartDateMonth&amp;StartDateYear),$AB$15,TRUE,"")</f>
        <v/>
      </c>
      <c r="M152" s="104" t="str" cm="1">
        <f t="array" ref="M152">_xlfn.IFS(OR(ISBLANK(StartDateMonth),ISBLANK(StartDateYear)),"",AND(A152&gt;NumberOfPlots,ISBLANK(INDEX(PlotData,MATCH($A152,PlotNumber,0),MATCH(B$3,PlotTitles,0)))),"",ISBLANK(INDEX(PlotData,MATCH($A152,PlotNumber,0),MATCH(I$3,PlotTitles,0))),"",CompletionMonth="","",(DATEVALUE(INDEX(PlotData,MATCH($A152,PlotNumber,0),MATCH(I$3,PlotTitles,0))&amp;INDEX(PlotData,MATCH($A152,PlotNumber,0),MATCH(J$3,PlotTitles,0))))&gt;(DATEVALUE(CompletionMonth&amp;CompletionYear)),$AB$16,TRUE,"")</f>
        <v/>
      </c>
      <c r="N152" s="104" t="str" cm="1">
        <f t="array" ref="N152">_xlfn.IFS(AND(A152&gt;NumberOfPlots,ISBLANK(INDEX(PlotData,MATCH($A152,PlotNumber,0),MATCH(B$3,PlotTitles,0)))),"",ISBLANK(INDEX(PlotData,MATCH($A152,PlotNumber,0),MATCH(N$3,PlotTitles,0))),$AB$17,TRUE,"")</f>
        <v/>
      </c>
      <c r="O152" s="104" t="str" cm="1">
        <f t="array" ref="O152">_xlfn.IFS(AND(A152&gt;NumberOfPlots,ISBLANK(INDEX(PlotData,MATCH($A152,PlotNumber,0),MATCH(B$3,PlotTitles,0)))),"",ISBLANK(INDEX(PlotData,MATCH($A152,PlotNumber,0),MATCH(O$3,PlotTitles,0))),$AB$18,TRUE,"")</f>
        <v/>
      </c>
      <c r="P152" s="182" t="str">
        <f t="shared" ca="1" si="7"/>
        <v/>
      </c>
      <c r="Q152" s="104" t="str" cm="1">
        <f t="array" ref="Q152">_xlfn.IFS(AND(A152&gt;NumberOfPlots,ISBLANK(INDEX(PlotData,MATCH($A152,PlotNumber,0),MATCH(B$3,PlotTitles,0)))),"",ISBLANK(INDEX(PlotData,MATCH($A152,PlotNumber,0),MATCH(N$3,PlotTitles,0))),"",(DATEVALUE(INDEX(PlotData,MATCH($A152,PlotNumber,0),MATCH(N$3,PlotTitles,0))&amp;INDEX(PlotData,MATCH($A152,PlotNumber,0),MATCH(O$3,PlotTitles,0))))&lt;(DATEVALUE(INDEX(PlotData,MATCH($A152,PlotNumber,0),MATCH(I$3,PlotTitles,0))&amp;INDEX(PlotData,MATCH($A152,PlotNumber,0),MATCH(J$3,PlotTitles,0)))),$AB$20,TRUE,"")</f>
        <v/>
      </c>
      <c r="R152" s="104" t="str" cm="1">
        <f t="array" ref="R152">_xlfn.IFS(OR(ISBLANK(StartDateMonth),ISBLANK(StartDateYear)),"",AND(A152&gt;NumberOfPlots,ISBLANK(INDEX(PlotData,MATCH($A152,PlotNumber,0),MATCH(B$3,PlotTitles,0)))),"",ISBLANK(INDEX(PlotData,MATCH($A152,PlotNumber,0),MATCH(N$3,PlotTitles,0))),"",CompletionMonth="","",(DATEVALUE(INDEX(PlotData,MATCH($A152,PlotNumber,0),MATCH(N$3,PlotTitles,0))&amp;INDEX(PlotData,MATCH($A152,PlotNumber,0),MATCH(O$3,PlotTitles,0))))&gt;(DATEVALUE(CompletionMonth&amp;CompletionYear)),$AB$21,TRUE,"")</f>
        <v/>
      </c>
      <c r="S152" s="104" t="str" cm="1">
        <f t="array" ref="S152">_xlfn.IFS(AND(A152&gt;NumberOfPlots,ISBLANK(INDEX(PlotData,MATCH($A152,PlotNumber,0),MATCH(B$3,PlotTitles,0)))),"",OR(AND(INDEX(PlotData,MATCH($A152,PlotNumber,0),MATCH("Tenure",PlotTitles,0))="Open market housing",INDEX(PlotData,MATCH($A152,PlotNumber,0),MATCH("Tenure detail",PlotTitles,0))="Private rented sector"),INDEX(PlotData,MATCH($A152,PlotNumber,0),MATCH("Tenure",PlotTitles,0))="Affordable rent"),"",ISNUMBER(INDEX(PlotData,MATCH($A152,PlotNumber,0),MATCH(S$3,PlotTitles,0)))=FALSE, $AB$22,TRUE,"")</f>
        <v/>
      </c>
      <c r="T152" s="104" t="str" cm="1">
        <f t="array" ref="T152">_xlfn.IFS(AND(A152&gt;NumberOfPlots,ISBLANK(INDEX(PlotData,MATCH($A152,PlotNumber,0),MATCH(B$3,PlotTitles,0)))),"",OR(AND(INDEX(PlotData,MATCH($A152,PlotNumber,0),MATCH("Tenure",PlotTitles,0))="Open market housing",INDEX(PlotData,MATCH($A152,PlotNumber,0),MATCH("Tenure detail",PlotTitles,0))="Private rented sector"),INDEX(PlotData,MATCH($A152,PlotNumber,0),MATCH("Tenure",PlotTitles,0))="Affordable rent"),"",INDEX(PlotData,MATCH($A152,PlotNumber,0),MATCH(S$3,PlotTitles,0))&lt;10000, $AB$23,TRUE,"")</f>
        <v/>
      </c>
      <c r="U152" s="104" t="str" cm="1">
        <f t="array" ref="U152">_xlfn.IFS(AND(A152&gt;NumberOfPlots,ISBLANK(INDEX(PlotData,MATCH($A152,PlotNumber,0),MATCH(B$3,PlotTitles,0)))),"",NOT(OR(AND(INDEX(PlotData,MATCH($A152,PlotNumber,0),MATCH("Tenure",PlotTitles,0))="Open market housing",INDEX(PlotData,MATCH($A152,PlotNumber,0),MATCH("Tenure detail",PlotTitles,0))="Private rented sector"),INDEX(PlotData,MATCH($A152,PlotNumber,0),MATCH("Tenure",PlotTitles,0))="Affordable rent")),"",NOT(INDEX(PlotData,MATCH($A152,PlotNumber,0),MATCH(S$3,PlotTitles,0))=0), $AB$24,TRUE,"")</f>
        <v/>
      </c>
      <c r="V152" s="114" t="str" cm="1">
        <f t="array" aca="1" ref="V152" ca="1">_xlfn.IFS(ISBLANK(NumberOfPlots),"Enter the number of homes on the 1_SetUp sheet",AND(A152&gt;NumberOfPlots,ISBLANK(INDEX(PlotData,MATCH($A152,PlotNumber,0),MATCH(B$3,PlotTitles,0)))),"No error",NOT(B152=""),B152,NOT(C152=""),C152,NOT(D152=""),D152,NOT(E152=""),E152,NOT(F152=""),F152,NOT(G152=""),G152,NOT(H152=""),H152,NOT(I152=""),I152,NOT(J152=""),J152,NOT(K152=""),K152,NOT(L152=""),L152,NOT(M152=""),M152,NOT(N152=""),N152,NOT(O152=""),O152,NOT(P152=""),P152,NOT(Q152=""),Q152,NOT(R152=""),R152,NOT(S152=""),S152,NOT(T152=""),T152,NOT(U152=""),U152,TRUE,"No error")</f>
        <v>Enter the number of homes on the 1_SetUp sheet</v>
      </c>
      <c r="W152" s="114" t="str">
        <f t="shared" ca="1" si="8"/>
        <v xml:space="preserve">The Borrower has not addressed the following error messages for Home ID 148: </v>
      </c>
    </row>
    <row r="153" spans="1:23">
      <c r="A153" s="123">
        <v>149</v>
      </c>
      <c r="B153" s="104" t="str" cm="1">
        <f t="array" ref="B153">_xlfn.IFS(AND(A153&gt;NumberOfPlots,ISBLANK(INDEX(PlotData,MATCH($A153,PlotNumber,0),MATCH(B$3,PlotTitles,0)))),"",ISNUMBER(INDEX(PlotData,MATCH($A153,PlotNumber,0),MATCH(B$3,PlotTitles,0)))=FALSE, $AB$5,TRUE,"")</f>
        <v/>
      </c>
      <c r="C153" s="104" t="str" cm="1">
        <f t="array" ref="C153">_xlfn.IFS(AND(A153&gt;NumberOfPlots,ISBLANK(INDEX(PlotData,MATCH($A153,PlotNumber,0),MATCH(B$3,PlotTitles,0)))),"",ISBLANK(INDEX(PlotData,MATCH($A153,PlotNumber,0),MATCH(C$3,PlotTitles,0))),$AB$6,TRUE,"")</f>
        <v/>
      </c>
      <c r="D153" s="104" t="str" cm="1">
        <f t="array" ref="D153">_xlfn.IFS(AND(A153&gt;NumberOfPlots,ISBLANK(INDEX(PlotData,MATCH($A153,PlotNumber,0),MATCH(B$3,PlotTitles,0)))),"",ISBLANK(INDEX(PlotData,MATCH($A153,PlotNumber,0),MATCH(D$3,PlotTitles,0))),$AB$7,TRUE,"")</f>
        <v/>
      </c>
      <c r="E153" s="104" t="str" cm="1">
        <f t="array" ref="E153">_xlfn.IFS(AND(A153&gt;NumberOfPlots,ISBLANK(INDEX(PlotData,MATCH($A153,PlotNumber,0),MATCH(B$3,PlotTitles,0)))),"",ISBLANK(INDEX(PlotData,MATCH($A153,PlotNumber,0),MATCH(E$3,PlotTitles,0))),$AB$8,TRUE,"")</f>
        <v/>
      </c>
      <c r="F153" s="104" t="str" cm="1">
        <f t="array" ref="F153">_xlfn.IFS(AND(A153&gt;NumberOfPlots,ISBLANK(INDEX(PlotData,MATCH($A153,PlotNumber,0),MATCH(B$3,PlotTitles,0)))),"",ISBLANK(INDEX(PlotData,MATCH($A153,PlotNumber,0),MATCH(F$3,PlotTitles,0))),$AB$9,TRUE,"")</f>
        <v/>
      </c>
      <c r="G153" s="104" t="str" cm="1">
        <f t="array" ref="G153">_xlfn.IFS(AND(A153&gt;NumberOfPlots,ISBLANK(INDEX(PlotData,MATCH($A153,PlotNumber,0),MATCH(B$3,PlotTitles,0)))),"",ISBLANK(INDEX(PlotData,MATCH($A153,PlotNumber,0),MATCH(G$3,PlotTitles,0))),$AB$10,TRUE,"")</f>
        <v/>
      </c>
      <c r="H153" s="104" t="str" cm="1">
        <f t="array" ref="H153">_xlfn.IFS(AND(A153&gt;NumberOfPlots,ISBLANK(INDEX(PlotData,MATCH($A153,PlotNumber,0),MATCH(B$3,PlotTitles,0)))),"",AND(ISBLANK(INDEX(PlotData,MATCH($A153,PlotNumber,0),MATCH(H$3,PlotTitles,0)))=FALSE,INDEX(PlotData,MATCH($A153,PlotNumber,0),MATCH(H$3,PlotTitles,0))&lt;500), $AB$11,TRUE,"")</f>
        <v/>
      </c>
      <c r="I153" s="104" t="str" cm="1">
        <f t="array" ref="I153">_xlfn.IFS(AND(A153&gt;NumberOfPlots,ISBLANK(INDEX(PlotData,MATCH($A153,PlotNumber,0),MATCH(B$3,PlotTitles,0)))),"",ISBLANK(INDEX(PlotData,MATCH($A153,PlotNumber,0),MATCH(I$3,PlotTitles,0))),$AB$12,TRUE,"")</f>
        <v/>
      </c>
      <c r="J153" s="104" t="str" cm="1">
        <f t="array" ref="J153">_xlfn.IFS(AND(A153&gt;NumberOfPlots,ISBLANK(INDEX(PlotData,MATCH($A153,PlotNumber,0),MATCH(B$3,PlotTitles,0)))),"",ISBLANK(INDEX(PlotData,MATCH($A153,PlotNumber,0),MATCH(J$3,PlotTitles,0))),$AB$13,TRUE,"")</f>
        <v/>
      </c>
      <c r="K153" s="182" t="str">
        <f t="shared" ca="1" si="6"/>
        <v/>
      </c>
      <c r="L153" s="104" t="str" cm="1">
        <f t="array" ref="L153">_xlfn.IFS(OR(ISBLANK(StartDateMonth),ISBLANK(StartDateYear)),"",AND(A153&gt;NumberOfPlots,ISBLANK(INDEX(PlotData,MATCH($A153,PlotNumber,0),MATCH(B$3,PlotTitles,0)))),"",ISBLANK(INDEX(PlotData,MATCH($A153,PlotNumber,0),MATCH(I$3,PlotTitles,0))),"",(DATEVALUE(INDEX(PlotData,MATCH($A153,PlotNumber,0),MATCH(I$3,PlotTitles,0))&amp;INDEX(PlotData,MATCH($A153,PlotNumber,0),MATCH(J$3,PlotTitles,0))))&lt;DATEVALUE(StartDateMonth&amp;StartDateYear),$AB$15,TRUE,"")</f>
        <v/>
      </c>
      <c r="M153" s="104" t="str" cm="1">
        <f t="array" ref="M153">_xlfn.IFS(OR(ISBLANK(StartDateMonth),ISBLANK(StartDateYear)),"",AND(A153&gt;NumberOfPlots,ISBLANK(INDEX(PlotData,MATCH($A153,PlotNumber,0),MATCH(B$3,PlotTitles,0)))),"",ISBLANK(INDEX(PlotData,MATCH($A153,PlotNumber,0),MATCH(I$3,PlotTitles,0))),"",CompletionMonth="","",(DATEVALUE(INDEX(PlotData,MATCH($A153,PlotNumber,0),MATCH(I$3,PlotTitles,0))&amp;INDEX(PlotData,MATCH($A153,PlotNumber,0),MATCH(J$3,PlotTitles,0))))&gt;(DATEVALUE(CompletionMonth&amp;CompletionYear)),$AB$16,TRUE,"")</f>
        <v/>
      </c>
      <c r="N153" s="104" t="str" cm="1">
        <f t="array" ref="N153">_xlfn.IFS(AND(A153&gt;NumberOfPlots,ISBLANK(INDEX(PlotData,MATCH($A153,PlotNumber,0),MATCH(B$3,PlotTitles,0)))),"",ISBLANK(INDEX(PlotData,MATCH($A153,PlotNumber,0),MATCH(N$3,PlotTitles,0))),$AB$17,TRUE,"")</f>
        <v/>
      </c>
      <c r="O153" s="104" t="str" cm="1">
        <f t="array" ref="O153">_xlfn.IFS(AND(A153&gt;NumberOfPlots,ISBLANK(INDEX(PlotData,MATCH($A153,PlotNumber,0),MATCH(B$3,PlotTitles,0)))),"",ISBLANK(INDEX(PlotData,MATCH($A153,PlotNumber,0),MATCH(O$3,PlotTitles,0))),$AB$18,TRUE,"")</f>
        <v/>
      </c>
      <c r="P153" s="182" t="str">
        <f t="shared" ca="1" si="7"/>
        <v/>
      </c>
      <c r="Q153" s="104" t="str" cm="1">
        <f t="array" ref="Q153">_xlfn.IFS(AND(A153&gt;NumberOfPlots,ISBLANK(INDEX(PlotData,MATCH($A153,PlotNumber,0),MATCH(B$3,PlotTitles,0)))),"",ISBLANK(INDEX(PlotData,MATCH($A153,PlotNumber,0),MATCH(N$3,PlotTitles,0))),"",(DATEVALUE(INDEX(PlotData,MATCH($A153,PlotNumber,0),MATCH(N$3,PlotTitles,0))&amp;INDEX(PlotData,MATCH($A153,PlotNumber,0),MATCH(O$3,PlotTitles,0))))&lt;(DATEVALUE(INDEX(PlotData,MATCH($A153,PlotNumber,0),MATCH(I$3,PlotTitles,0))&amp;INDEX(PlotData,MATCH($A153,PlotNumber,0),MATCH(J$3,PlotTitles,0)))),$AB$20,TRUE,"")</f>
        <v/>
      </c>
      <c r="R153" s="104" t="str" cm="1">
        <f t="array" ref="R153">_xlfn.IFS(OR(ISBLANK(StartDateMonth),ISBLANK(StartDateYear)),"",AND(A153&gt;NumberOfPlots,ISBLANK(INDEX(PlotData,MATCH($A153,PlotNumber,0),MATCH(B$3,PlotTitles,0)))),"",ISBLANK(INDEX(PlotData,MATCH($A153,PlotNumber,0),MATCH(N$3,PlotTitles,0))),"",CompletionMonth="","",(DATEVALUE(INDEX(PlotData,MATCH($A153,PlotNumber,0),MATCH(N$3,PlotTitles,0))&amp;INDEX(PlotData,MATCH($A153,PlotNumber,0),MATCH(O$3,PlotTitles,0))))&gt;(DATEVALUE(CompletionMonth&amp;CompletionYear)),$AB$21,TRUE,"")</f>
        <v/>
      </c>
      <c r="S153" s="104" t="str" cm="1">
        <f t="array" ref="S153">_xlfn.IFS(AND(A153&gt;NumberOfPlots,ISBLANK(INDEX(PlotData,MATCH($A153,PlotNumber,0),MATCH(B$3,PlotTitles,0)))),"",OR(AND(INDEX(PlotData,MATCH($A153,PlotNumber,0),MATCH("Tenure",PlotTitles,0))="Open market housing",INDEX(PlotData,MATCH($A153,PlotNumber,0),MATCH("Tenure detail",PlotTitles,0))="Private rented sector"),INDEX(PlotData,MATCH($A153,PlotNumber,0),MATCH("Tenure",PlotTitles,0))="Affordable rent"),"",ISNUMBER(INDEX(PlotData,MATCH($A153,PlotNumber,0),MATCH(S$3,PlotTitles,0)))=FALSE, $AB$22,TRUE,"")</f>
        <v/>
      </c>
      <c r="T153" s="104" t="str" cm="1">
        <f t="array" ref="T153">_xlfn.IFS(AND(A153&gt;NumberOfPlots,ISBLANK(INDEX(PlotData,MATCH($A153,PlotNumber,0),MATCH(B$3,PlotTitles,0)))),"",OR(AND(INDEX(PlotData,MATCH($A153,PlotNumber,0),MATCH("Tenure",PlotTitles,0))="Open market housing",INDEX(PlotData,MATCH($A153,PlotNumber,0),MATCH("Tenure detail",PlotTitles,0))="Private rented sector"),INDEX(PlotData,MATCH($A153,PlotNumber,0),MATCH("Tenure",PlotTitles,0))="Affordable rent"),"",INDEX(PlotData,MATCH($A153,PlotNumber,0),MATCH(S$3,PlotTitles,0))&lt;10000, $AB$23,TRUE,"")</f>
        <v/>
      </c>
      <c r="U153" s="104" t="str" cm="1">
        <f t="array" ref="U153">_xlfn.IFS(AND(A153&gt;NumberOfPlots,ISBLANK(INDEX(PlotData,MATCH($A153,PlotNumber,0),MATCH(B$3,PlotTitles,0)))),"",NOT(OR(AND(INDEX(PlotData,MATCH($A153,PlotNumber,0),MATCH("Tenure",PlotTitles,0))="Open market housing",INDEX(PlotData,MATCH($A153,PlotNumber,0),MATCH("Tenure detail",PlotTitles,0))="Private rented sector"),INDEX(PlotData,MATCH($A153,PlotNumber,0),MATCH("Tenure",PlotTitles,0))="Affordable rent")),"",NOT(INDEX(PlotData,MATCH($A153,PlotNumber,0),MATCH(S$3,PlotTitles,0))=0), $AB$24,TRUE,"")</f>
        <v/>
      </c>
      <c r="V153" s="114" t="str" cm="1">
        <f t="array" aca="1" ref="V153" ca="1">_xlfn.IFS(ISBLANK(NumberOfPlots),"Enter the number of homes on the 1_SetUp sheet",AND(A153&gt;NumberOfPlots,ISBLANK(INDEX(PlotData,MATCH($A153,PlotNumber,0),MATCH(B$3,PlotTitles,0)))),"No error",NOT(B153=""),B153,NOT(C153=""),C153,NOT(D153=""),D153,NOT(E153=""),E153,NOT(F153=""),F153,NOT(G153=""),G153,NOT(H153=""),H153,NOT(I153=""),I153,NOT(J153=""),J153,NOT(K153=""),K153,NOT(L153=""),L153,NOT(M153=""),M153,NOT(N153=""),N153,NOT(O153=""),O153,NOT(P153=""),P153,NOT(Q153=""),Q153,NOT(R153=""),R153,NOT(S153=""),S153,NOT(T153=""),T153,NOT(U153=""),U153,TRUE,"No error")</f>
        <v>Enter the number of homes on the 1_SetUp sheet</v>
      </c>
      <c r="W153" s="114" t="str">
        <f t="shared" ca="1" si="8"/>
        <v xml:space="preserve">The Borrower has not addressed the following error messages for Home ID 149: </v>
      </c>
    </row>
    <row r="154" spans="1:23">
      <c r="A154" s="123">
        <v>150</v>
      </c>
      <c r="B154" s="104" t="str" cm="1">
        <f t="array" ref="B154">_xlfn.IFS(AND(A154&gt;NumberOfPlots,ISBLANK(INDEX(PlotData,MATCH($A154,PlotNumber,0),MATCH(B$3,PlotTitles,0)))),"",ISNUMBER(INDEX(PlotData,MATCH($A154,PlotNumber,0),MATCH(B$3,PlotTitles,0)))=FALSE, $AB$5,TRUE,"")</f>
        <v/>
      </c>
      <c r="C154" s="104" t="str" cm="1">
        <f t="array" ref="C154">_xlfn.IFS(AND(A154&gt;NumberOfPlots,ISBLANK(INDEX(PlotData,MATCH($A154,PlotNumber,0),MATCH(B$3,PlotTitles,0)))),"",ISBLANK(INDEX(PlotData,MATCH($A154,PlotNumber,0),MATCH(C$3,PlotTitles,0))),$AB$6,TRUE,"")</f>
        <v/>
      </c>
      <c r="D154" s="104" t="str" cm="1">
        <f t="array" ref="D154">_xlfn.IFS(AND(A154&gt;NumberOfPlots,ISBLANK(INDEX(PlotData,MATCH($A154,PlotNumber,0),MATCH(B$3,PlotTitles,0)))),"",ISBLANK(INDEX(PlotData,MATCH($A154,PlotNumber,0),MATCH(D$3,PlotTitles,0))),$AB$7,TRUE,"")</f>
        <v/>
      </c>
      <c r="E154" s="104" t="str" cm="1">
        <f t="array" ref="E154">_xlfn.IFS(AND(A154&gt;NumberOfPlots,ISBLANK(INDEX(PlotData,MATCH($A154,PlotNumber,0),MATCH(B$3,PlotTitles,0)))),"",ISBLANK(INDEX(PlotData,MATCH($A154,PlotNumber,0),MATCH(E$3,PlotTitles,0))),$AB$8,TRUE,"")</f>
        <v/>
      </c>
      <c r="F154" s="104" t="str" cm="1">
        <f t="array" ref="F154">_xlfn.IFS(AND(A154&gt;NumberOfPlots,ISBLANK(INDEX(PlotData,MATCH($A154,PlotNumber,0),MATCH(B$3,PlotTitles,0)))),"",ISBLANK(INDEX(PlotData,MATCH($A154,PlotNumber,0),MATCH(F$3,PlotTitles,0))),$AB$9,TRUE,"")</f>
        <v/>
      </c>
      <c r="G154" s="104" t="str" cm="1">
        <f t="array" ref="G154">_xlfn.IFS(AND(A154&gt;NumberOfPlots,ISBLANK(INDEX(PlotData,MATCH($A154,PlotNumber,0),MATCH(B$3,PlotTitles,0)))),"",ISBLANK(INDEX(PlotData,MATCH($A154,PlotNumber,0),MATCH(G$3,PlotTitles,0))),$AB$10,TRUE,"")</f>
        <v/>
      </c>
      <c r="H154" s="104" t="str" cm="1">
        <f t="array" ref="H154">_xlfn.IFS(AND(A154&gt;NumberOfPlots,ISBLANK(INDEX(PlotData,MATCH($A154,PlotNumber,0),MATCH(B$3,PlotTitles,0)))),"",AND(ISBLANK(INDEX(PlotData,MATCH($A154,PlotNumber,0),MATCH(H$3,PlotTitles,0)))=FALSE,INDEX(PlotData,MATCH($A154,PlotNumber,0),MATCH(H$3,PlotTitles,0))&lt;500), $AB$11,TRUE,"")</f>
        <v/>
      </c>
      <c r="I154" s="104" t="str" cm="1">
        <f t="array" ref="I154">_xlfn.IFS(AND(A154&gt;NumberOfPlots,ISBLANK(INDEX(PlotData,MATCH($A154,PlotNumber,0),MATCH(B$3,PlotTitles,0)))),"",ISBLANK(INDEX(PlotData,MATCH($A154,PlotNumber,0),MATCH(I$3,PlotTitles,0))),$AB$12,TRUE,"")</f>
        <v/>
      </c>
      <c r="J154" s="104" t="str" cm="1">
        <f t="array" ref="J154">_xlfn.IFS(AND(A154&gt;NumberOfPlots,ISBLANK(INDEX(PlotData,MATCH($A154,PlotNumber,0),MATCH(B$3,PlotTitles,0)))),"",ISBLANK(INDEX(PlotData,MATCH($A154,PlotNumber,0),MATCH(J$3,PlotTitles,0))),$AB$13,TRUE,"")</f>
        <v/>
      </c>
      <c r="K154" s="182" t="str">
        <f t="shared" ca="1" si="6"/>
        <v/>
      </c>
      <c r="L154" s="104" t="str" cm="1">
        <f t="array" ref="L154">_xlfn.IFS(OR(ISBLANK(StartDateMonth),ISBLANK(StartDateYear)),"",AND(A154&gt;NumberOfPlots,ISBLANK(INDEX(PlotData,MATCH($A154,PlotNumber,0),MATCH(B$3,PlotTitles,0)))),"",ISBLANK(INDEX(PlotData,MATCH($A154,PlotNumber,0),MATCH(I$3,PlotTitles,0))),"",(DATEVALUE(INDEX(PlotData,MATCH($A154,PlotNumber,0),MATCH(I$3,PlotTitles,0))&amp;INDEX(PlotData,MATCH($A154,PlotNumber,0),MATCH(J$3,PlotTitles,0))))&lt;DATEVALUE(StartDateMonth&amp;StartDateYear),$AB$15,TRUE,"")</f>
        <v/>
      </c>
      <c r="M154" s="104" t="str" cm="1">
        <f t="array" ref="M154">_xlfn.IFS(OR(ISBLANK(StartDateMonth),ISBLANK(StartDateYear)),"",AND(A154&gt;NumberOfPlots,ISBLANK(INDEX(PlotData,MATCH($A154,PlotNumber,0),MATCH(B$3,PlotTitles,0)))),"",ISBLANK(INDEX(PlotData,MATCH($A154,PlotNumber,0),MATCH(I$3,PlotTitles,0))),"",CompletionMonth="","",(DATEVALUE(INDEX(PlotData,MATCH($A154,PlotNumber,0),MATCH(I$3,PlotTitles,0))&amp;INDEX(PlotData,MATCH($A154,PlotNumber,0),MATCH(J$3,PlotTitles,0))))&gt;(DATEVALUE(CompletionMonth&amp;CompletionYear)),$AB$16,TRUE,"")</f>
        <v/>
      </c>
      <c r="N154" s="104" t="str" cm="1">
        <f t="array" ref="N154">_xlfn.IFS(AND(A154&gt;NumberOfPlots,ISBLANK(INDEX(PlotData,MATCH($A154,PlotNumber,0),MATCH(B$3,PlotTitles,0)))),"",ISBLANK(INDEX(PlotData,MATCH($A154,PlotNumber,0),MATCH(N$3,PlotTitles,0))),$AB$17,TRUE,"")</f>
        <v/>
      </c>
      <c r="O154" s="104" t="str" cm="1">
        <f t="array" ref="O154">_xlfn.IFS(AND(A154&gt;NumberOfPlots,ISBLANK(INDEX(PlotData,MATCH($A154,PlotNumber,0),MATCH(B$3,PlotTitles,0)))),"",ISBLANK(INDEX(PlotData,MATCH($A154,PlotNumber,0),MATCH(O$3,PlotTitles,0))),$AB$18,TRUE,"")</f>
        <v/>
      </c>
      <c r="P154" s="182" t="str">
        <f t="shared" ca="1" si="7"/>
        <v/>
      </c>
      <c r="Q154" s="104" t="str" cm="1">
        <f t="array" ref="Q154">_xlfn.IFS(AND(A154&gt;NumberOfPlots,ISBLANK(INDEX(PlotData,MATCH($A154,PlotNumber,0),MATCH(B$3,PlotTitles,0)))),"",ISBLANK(INDEX(PlotData,MATCH($A154,PlotNumber,0),MATCH(N$3,PlotTitles,0))),"",(DATEVALUE(INDEX(PlotData,MATCH($A154,PlotNumber,0),MATCH(N$3,PlotTitles,0))&amp;INDEX(PlotData,MATCH($A154,PlotNumber,0),MATCH(O$3,PlotTitles,0))))&lt;(DATEVALUE(INDEX(PlotData,MATCH($A154,PlotNumber,0),MATCH(I$3,PlotTitles,0))&amp;INDEX(PlotData,MATCH($A154,PlotNumber,0),MATCH(J$3,PlotTitles,0)))),$AB$20,TRUE,"")</f>
        <v/>
      </c>
      <c r="R154" s="104" t="str" cm="1">
        <f t="array" ref="R154">_xlfn.IFS(OR(ISBLANK(StartDateMonth),ISBLANK(StartDateYear)),"",AND(A154&gt;NumberOfPlots,ISBLANK(INDEX(PlotData,MATCH($A154,PlotNumber,0),MATCH(B$3,PlotTitles,0)))),"",ISBLANK(INDEX(PlotData,MATCH($A154,PlotNumber,0),MATCH(N$3,PlotTitles,0))),"",CompletionMonth="","",(DATEVALUE(INDEX(PlotData,MATCH($A154,PlotNumber,0),MATCH(N$3,PlotTitles,0))&amp;INDEX(PlotData,MATCH($A154,PlotNumber,0),MATCH(O$3,PlotTitles,0))))&gt;(DATEVALUE(CompletionMonth&amp;CompletionYear)),$AB$21,TRUE,"")</f>
        <v/>
      </c>
      <c r="S154" s="104" t="str" cm="1">
        <f t="array" ref="S154">_xlfn.IFS(AND(A154&gt;NumberOfPlots,ISBLANK(INDEX(PlotData,MATCH($A154,PlotNumber,0),MATCH(B$3,PlotTitles,0)))),"",OR(AND(INDEX(PlotData,MATCH($A154,PlotNumber,0),MATCH("Tenure",PlotTitles,0))="Open market housing",INDEX(PlotData,MATCH($A154,PlotNumber,0),MATCH("Tenure detail",PlotTitles,0))="Private rented sector"),INDEX(PlotData,MATCH($A154,PlotNumber,0),MATCH("Tenure",PlotTitles,0))="Affordable rent"),"",ISNUMBER(INDEX(PlotData,MATCH($A154,PlotNumber,0),MATCH(S$3,PlotTitles,0)))=FALSE, $AB$22,TRUE,"")</f>
        <v/>
      </c>
      <c r="T154" s="104" t="str" cm="1">
        <f t="array" ref="T154">_xlfn.IFS(AND(A154&gt;NumberOfPlots,ISBLANK(INDEX(PlotData,MATCH($A154,PlotNumber,0),MATCH(B$3,PlotTitles,0)))),"",OR(AND(INDEX(PlotData,MATCH($A154,PlotNumber,0),MATCH("Tenure",PlotTitles,0))="Open market housing",INDEX(PlotData,MATCH($A154,PlotNumber,0),MATCH("Tenure detail",PlotTitles,0))="Private rented sector"),INDEX(PlotData,MATCH($A154,PlotNumber,0),MATCH("Tenure",PlotTitles,0))="Affordable rent"),"",INDEX(PlotData,MATCH($A154,PlotNumber,0),MATCH(S$3,PlotTitles,0))&lt;10000, $AB$23,TRUE,"")</f>
        <v/>
      </c>
      <c r="U154" s="104" t="str" cm="1">
        <f t="array" ref="U154">_xlfn.IFS(AND(A154&gt;NumberOfPlots,ISBLANK(INDEX(PlotData,MATCH($A154,PlotNumber,0),MATCH(B$3,PlotTitles,0)))),"",NOT(OR(AND(INDEX(PlotData,MATCH($A154,PlotNumber,0),MATCH("Tenure",PlotTitles,0))="Open market housing",INDEX(PlotData,MATCH($A154,PlotNumber,0),MATCH("Tenure detail",PlotTitles,0))="Private rented sector"),INDEX(PlotData,MATCH($A154,PlotNumber,0),MATCH("Tenure",PlotTitles,0))="Affordable rent")),"",NOT(INDEX(PlotData,MATCH($A154,PlotNumber,0),MATCH(S$3,PlotTitles,0))=0), $AB$24,TRUE,"")</f>
        <v/>
      </c>
      <c r="V154" s="114" t="str" cm="1">
        <f t="array" aca="1" ref="V154" ca="1">_xlfn.IFS(ISBLANK(NumberOfPlots),"Enter the number of homes on the 1_SetUp sheet",AND(A154&gt;NumberOfPlots,ISBLANK(INDEX(PlotData,MATCH($A154,PlotNumber,0),MATCH(B$3,PlotTitles,0)))),"No error",NOT(B154=""),B154,NOT(C154=""),C154,NOT(D154=""),D154,NOT(E154=""),E154,NOT(F154=""),F154,NOT(G154=""),G154,NOT(H154=""),H154,NOT(I154=""),I154,NOT(J154=""),J154,NOT(K154=""),K154,NOT(L154=""),L154,NOT(M154=""),M154,NOT(N154=""),N154,NOT(O154=""),O154,NOT(P154=""),P154,NOT(Q154=""),Q154,NOT(R154=""),R154,NOT(S154=""),S154,NOT(T154=""),T154,NOT(U154=""),U154,TRUE,"No error")</f>
        <v>Enter the number of homes on the 1_SetUp sheet</v>
      </c>
      <c r="W154" s="114" t="str">
        <f t="shared" ca="1" si="8"/>
        <v xml:space="preserve">The Borrower has not addressed the following error messages for Home ID 150: </v>
      </c>
    </row>
    <row r="155" spans="1:23">
      <c r="A155" s="123">
        <v>151</v>
      </c>
      <c r="B155" s="104" t="str" cm="1">
        <f t="array" ref="B155">_xlfn.IFS(AND(A155&gt;NumberOfPlots,ISBLANK(INDEX(PlotData,MATCH($A155,PlotNumber,0),MATCH(B$3,PlotTitles,0)))),"",ISNUMBER(INDEX(PlotData,MATCH($A155,PlotNumber,0),MATCH(B$3,PlotTitles,0)))=FALSE, $AB$5,TRUE,"")</f>
        <v/>
      </c>
      <c r="C155" s="104" t="str" cm="1">
        <f t="array" ref="C155">_xlfn.IFS(AND(A155&gt;NumberOfPlots,ISBLANK(INDEX(PlotData,MATCH($A155,PlotNumber,0),MATCH(B$3,PlotTitles,0)))),"",ISBLANK(INDEX(PlotData,MATCH($A155,PlotNumber,0),MATCH(C$3,PlotTitles,0))),$AB$6,TRUE,"")</f>
        <v/>
      </c>
      <c r="D155" s="104" t="str" cm="1">
        <f t="array" ref="D155">_xlfn.IFS(AND(A155&gt;NumberOfPlots,ISBLANK(INDEX(PlotData,MATCH($A155,PlotNumber,0),MATCH(B$3,PlotTitles,0)))),"",ISBLANK(INDEX(PlotData,MATCH($A155,PlotNumber,0),MATCH(D$3,PlotTitles,0))),$AB$7,TRUE,"")</f>
        <v/>
      </c>
      <c r="E155" s="104" t="str" cm="1">
        <f t="array" ref="E155">_xlfn.IFS(AND(A155&gt;NumberOfPlots,ISBLANK(INDEX(PlotData,MATCH($A155,PlotNumber,0),MATCH(B$3,PlotTitles,0)))),"",ISBLANK(INDEX(PlotData,MATCH($A155,PlotNumber,0),MATCH(E$3,PlotTitles,0))),$AB$8,TRUE,"")</f>
        <v/>
      </c>
      <c r="F155" s="104" t="str" cm="1">
        <f t="array" ref="F155">_xlfn.IFS(AND(A155&gt;NumberOfPlots,ISBLANK(INDEX(PlotData,MATCH($A155,PlotNumber,0),MATCH(B$3,PlotTitles,0)))),"",ISBLANK(INDEX(PlotData,MATCH($A155,PlotNumber,0),MATCH(F$3,PlotTitles,0))),$AB$9,TRUE,"")</f>
        <v/>
      </c>
      <c r="G155" s="104" t="str" cm="1">
        <f t="array" ref="G155">_xlfn.IFS(AND(A155&gt;NumberOfPlots,ISBLANK(INDEX(PlotData,MATCH($A155,PlotNumber,0),MATCH(B$3,PlotTitles,0)))),"",ISBLANK(INDEX(PlotData,MATCH($A155,PlotNumber,0),MATCH(G$3,PlotTitles,0))),$AB$10,TRUE,"")</f>
        <v/>
      </c>
      <c r="H155" s="104" t="str" cm="1">
        <f t="array" ref="H155">_xlfn.IFS(AND(A155&gt;NumberOfPlots,ISBLANK(INDEX(PlotData,MATCH($A155,PlotNumber,0),MATCH(B$3,PlotTitles,0)))),"",AND(ISBLANK(INDEX(PlotData,MATCH($A155,PlotNumber,0),MATCH(H$3,PlotTitles,0)))=FALSE,INDEX(PlotData,MATCH($A155,PlotNumber,0),MATCH(H$3,PlotTitles,0))&lt;500), $AB$11,TRUE,"")</f>
        <v/>
      </c>
      <c r="I155" s="104" t="str" cm="1">
        <f t="array" ref="I155">_xlfn.IFS(AND(A155&gt;NumberOfPlots,ISBLANK(INDEX(PlotData,MATCH($A155,PlotNumber,0),MATCH(B$3,PlotTitles,0)))),"",ISBLANK(INDEX(PlotData,MATCH($A155,PlotNumber,0),MATCH(I$3,PlotTitles,0))),$AB$12,TRUE,"")</f>
        <v/>
      </c>
      <c r="J155" s="104" t="str" cm="1">
        <f t="array" ref="J155">_xlfn.IFS(AND(A155&gt;NumberOfPlots,ISBLANK(INDEX(PlotData,MATCH($A155,PlotNumber,0),MATCH(B$3,PlotTitles,0)))),"",ISBLANK(INDEX(PlotData,MATCH($A155,PlotNumber,0),MATCH(J$3,PlotTitles,0))),$AB$13,TRUE,"")</f>
        <v/>
      </c>
      <c r="K155" s="182" t="str">
        <f t="shared" ca="1" si="6"/>
        <v/>
      </c>
      <c r="L155" s="104" t="str" cm="1">
        <f t="array" ref="L155">_xlfn.IFS(OR(ISBLANK(StartDateMonth),ISBLANK(StartDateYear)),"",AND(A155&gt;NumberOfPlots,ISBLANK(INDEX(PlotData,MATCH($A155,PlotNumber,0),MATCH(B$3,PlotTitles,0)))),"",ISBLANK(INDEX(PlotData,MATCH($A155,PlotNumber,0),MATCH(I$3,PlotTitles,0))),"",(DATEVALUE(INDEX(PlotData,MATCH($A155,PlotNumber,0),MATCH(I$3,PlotTitles,0))&amp;INDEX(PlotData,MATCH($A155,PlotNumber,0),MATCH(J$3,PlotTitles,0))))&lt;DATEVALUE(StartDateMonth&amp;StartDateYear),$AB$15,TRUE,"")</f>
        <v/>
      </c>
      <c r="M155" s="104" t="str" cm="1">
        <f t="array" ref="M155">_xlfn.IFS(OR(ISBLANK(StartDateMonth),ISBLANK(StartDateYear)),"",AND(A155&gt;NumberOfPlots,ISBLANK(INDEX(PlotData,MATCH($A155,PlotNumber,0),MATCH(B$3,PlotTitles,0)))),"",ISBLANK(INDEX(PlotData,MATCH($A155,PlotNumber,0),MATCH(I$3,PlotTitles,0))),"",CompletionMonth="","",(DATEVALUE(INDEX(PlotData,MATCH($A155,PlotNumber,0),MATCH(I$3,PlotTitles,0))&amp;INDEX(PlotData,MATCH($A155,PlotNumber,0),MATCH(J$3,PlotTitles,0))))&gt;(DATEVALUE(CompletionMonth&amp;CompletionYear)),$AB$16,TRUE,"")</f>
        <v/>
      </c>
      <c r="N155" s="104" t="str" cm="1">
        <f t="array" ref="N155">_xlfn.IFS(AND(A155&gt;NumberOfPlots,ISBLANK(INDEX(PlotData,MATCH($A155,PlotNumber,0),MATCH(B$3,PlotTitles,0)))),"",ISBLANK(INDEX(PlotData,MATCH($A155,PlotNumber,0),MATCH(N$3,PlotTitles,0))),$AB$17,TRUE,"")</f>
        <v/>
      </c>
      <c r="O155" s="104" t="str" cm="1">
        <f t="array" ref="O155">_xlfn.IFS(AND(A155&gt;NumberOfPlots,ISBLANK(INDEX(PlotData,MATCH($A155,PlotNumber,0),MATCH(B$3,PlotTitles,0)))),"",ISBLANK(INDEX(PlotData,MATCH($A155,PlotNumber,0),MATCH(O$3,PlotTitles,0))),$AB$18,TRUE,"")</f>
        <v/>
      </c>
      <c r="P155" s="182" t="str">
        <f t="shared" ca="1" si="7"/>
        <v/>
      </c>
      <c r="Q155" s="104" t="str" cm="1">
        <f t="array" ref="Q155">_xlfn.IFS(AND(A155&gt;NumberOfPlots,ISBLANK(INDEX(PlotData,MATCH($A155,PlotNumber,0),MATCH(B$3,PlotTitles,0)))),"",ISBLANK(INDEX(PlotData,MATCH($A155,PlotNumber,0),MATCH(N$3,PlotTitles,0))),"",(DATEVALUE(INDEX(PlotData,MATCH($A155,PlotNumber,0),MATCH(N$3,PlotTitles,0))&amp;INDEX(PlotData,MATCH($A155,PlotNumber,0),MATCH(O$3,PlotTitles,0))))&lt;(DATEVALUE(INDEX(PlotData,MATCH($A155,PlotNumber,0),MATCH(I$3,PlotTitles,0))&amp;INDEX(PlotData,MATCH($A155,PlotNumber,0),MATCH(J$3,PlotTitles,0)))),$AB$20,TRUE,"")</f>
        <v/>
      </c>
      <c r="R155" s="104" t="str" cm="1">
        <f t="array" ref="R155">_xlfn.IFS(OR(ISBLANK(StartDateMonth),ISBLANK(StartDateYear)),"",AND(A155&gt;NumberOfPlots,ISBLANK(INDEX(PlotData,MATCH($A155,PlotNumber,0),MATCH(B$3,PlotTitles,0)))),"",ISBLANK(INDEX(PlotData,MATCH($A155,PlotNumber,0),MATCH(N$3,PlotTitles,0))),"",CompletionMonth="","",(DATEVALUE(INDEX(PlotData,MATCH($A155,PlotNumber,0),MATCH(N$3,PlotTitles,0))&amp;INDEX(PlotData,MATCH($A155,PlotNumber,0),MATCH(O$3,PlotTitles,0))))&gt;(DATEVALUE(CompletionMonth&amp;CompletionYear)),$AB$21,TRUE,"")</f>
        <v/>
      </c>
      <c r="S155" s="104" t="str" cm="1">
        <f t="array" ref="S155">_xlfn.IFS(AND(A155&gt;NumberOfPlots,ISBLANK(INDEX(PlotData,MATCH($A155,PlotNumber,0),MATCH(B$3,PlotTitles,0)))),"",OR(AND(INDEX(PlotData,MATCH($A155,PlotNumber,0),MATCH("Tenure",PlotTitles,0))="Open market housing",INDEX(PlotData,MATCH($A155,PlotNumber,0),MATCH("Tenure detail",PlotTitles,0))="Private rented sector"),INDEX(PlotData,MATCH($A155,PlotNumber,0),MATCH("Tenure",PlotTitles,0))="Affordable rent"),"",ISNUMBER(INDEX(PlotData,MATCH($A155,PlotNumber,0),MATCH(S$3,PlotTitles,0)))=FALSE, $AB$22,TRUE,"")</f>
        <v/>
      </c>
      <c r="T155" s="104" t="str" cm="1">
        <f t="array" ref="T155">_xlfn.IFS(AND(A155&gt;NumberOfPlots,ISBLANK(INDEX(PlotData,MATCH($A155,PlotNumber,0),MATCH(B$3,PlotTitles,0)))),"",OR(AND(INDEX(PlotData,MATCH($A155,PlotNumber,0),MATCH("Tenure",PlotTitles,0))="Open market housing",INDEX(PlotData,MATCH($A155,PlotNumber,0),MATCH("Tenure detail",PlotTitles,0))="Private rented sector"),INDEX(PlotData,MATCH($A155,PlotNumber,0),MATCH("Tenure",PlotTitles,0))="Affordable rent"),"",INDEX(PlotData,MATCH($A155,PlotNumber,0),MATCH(S$3,PlotTitles,0))&lt;10000, $AB$23,TRUE,"")</f>
        <v/>
      </c>
      <c r="U155" s="104" t="str" cm="1">
        <f t="array" ref="U155">_xlfn.IFS(AND(A155&gt;NumberOfPlots,ISBLANK(INDEX(PlotData,MATCH($A155,PlotNumber,0),MATCH(B$3,PlotTitles,0)))),"",NOT(OR(AND(INDEX(PlotData,MATCH($A155,PlotNumber,0),MATCH("Tenure",PlotTitles,0))="Open market housing",INDEX(PlotData,MATCH($A155,PlotNumber,0),MATCH("Tenure detail",PlotTitles,0))="Private rented sector"),INDEX(PlotData,MATCH($A155,PlotNumber,0),MATCH("Tenure",PlotTitles,0))="Affordable rent")),"",NOT(INDEX(PlotData,MATCH($A155,PlotNumber,0),MATCH(S$3,PlotTitles,0))=0), $AB$24,TRUE,"")</f>
        <v/>
      </c>
      <c r="V155" s="114" t="str" cm="1">
        <f t="array" aca="1" ref="V155" ca="1">_xlfn.IFS(ISBLANK(NumberOfPlots),"Enter the number of homes on the 1_SetUp sheet",AND(A155&gt;NumberOfPlots,ISBLANK(INDEX(PlotData,MATCH($A155,PlotNumber,0),MATCH(B$3,PlotTitles,0)))),"No error",NOT(B155=""),B155,NOT(C155=""),C155,NOT(D155=""),D155,NOT(E155=""),E155,NOT(F155=""),F155,NOT(G155=""),G155,NOT(H155=""),H155,NOT(I155=""),I155,NOT(J155=""),J155,NOT(K155=""),K155,NOT(L155=""),L155,NOT(M155=""),M155,NOT(N155=""),N155,NOT(O155=""),O155,NOT(P155=""),P155,NOT(Q155=""),Q155,NOT(R155=""),R155,NOT(S155=""),S155,NOT(T155=""),T155,NOT(U155=""),U155,TRUE,"No error")</f>
        <v>Enter the number of homes on the 1_SetUp sheet</v>
      </c>
      <c r="W155" s="114" t="str">
        <f t="shared" ca="1" si="8"/>
        <v xml:space="preserve">The Borrower has not addressed the following error messages for Home ID 151: </v>
      </c>
    </row>
    <row r="156" spans="1:23">
      <c r="A156" s="123">
        <v>152</v>
      </c>
      <c r="B156" s="104" t="str" cm="1">
        <f t="array" ref="B156">_xlfn.IFS(AND(A156&gt;NumberOfPlots,ISBLANK(INDEX(PlotData,MATCH($A156,PlotNumber,0),MATCH(B$3,PlotTitles,0)))),"",ISNUMBER(INDEX(PlotData,MATCH($A156,PlotNumber,0),MATCH(B$3,PlotTitles,0)))=FALSE, $AB$5,TRUE,"")</f>
        <v/>
      </c>
      <c r="C156" s="104" t="str" cm="1">
        <f t="array" ref="C156">_xlfn.IFS(AND(A156&gt;NumberOfPlots,ISBLANK(INDEX(PlotData,MATCH($A156,PlotNumber,0),MATCH(B$3,PlotTitles,0)))),"",ISBLANK(INDEX(PlotData,MATCH($A156,PlotNumber,0),MATCH(C$3,PlotTitles,0))),$AB$6,TRUE,"")</f>
        <v/>
      </c>
      <c r="D156" s="104" t="str" cm="1">
        <f t="array" ref="D156">_xlfn.IFS(AND(A156&gt;NumberOfPlots,ISBLANK(INDEX(PlotData,MATCH($A156,PlotNumber,0),MATCH(B$3,PlotTitles,0)))),"",ISBLANK(INDEX(PlotData,MATCH($A156,PlotNumber,0),MATCH(D$3,PlotTitles,0))),$AB$7,TRUE,"")</f>
        <v/>
      </c>
      <c r="E156" s="104" t="str" cm="1">
        <f t="array" ref="E156">_xlfn.IFS(AND(A156&gt;NumberOfPlots,ISBLANK(INDEX(PlotData,MATCH($A156,PlotNumber,0),MATCH(B$3,PlotTitles,0)))),"",ISBLANK(INDEX(PlotData,MATCH($A156,PlotNumber,0),MATCH(E$3,PlotTitles,0))),$AB$8,TRUE,"")</f>
        <v/>
      </c>
      <c r="F156" s="104" t="str" cm="1">
        <f t="array" ref="F156">_xlfn.IFS(AND(A156&gt;NumberOfPlots,ISBLANK(INDEX(PlotData,MATCH($A156,PlotNumber,0),MATCH(B$3,PlotTitles,0)))),"",ISBLANK(INDEX(PlotData,MATCH($A156,PlotNumber,0),MATCH(F$3,PlotTitles,0))),$AB$9,TRUE,"")</f>
        <v/>
      </c>
      <c r="G156" s="104" t="str" cm="1">
        <f t="array" ref="G156">_xlfn.IFS(AND(A156&gt;NumberOfPlots,ISBLANK(INDEX(PlotData,MATCH($A156,PlotNumber,0),MATCH(B$3,PlotTitles,0)))),"",ISBLANK(INDEX(PlotData,MATCH($A156,PlotNumber,0),MATCH(G$3,PlotTitles,0))),$AB$10,TRUE,"")</f>
        <v/>
      </c>
      <c r="H156" s="104" t="str" cm="1">
        <f t="array" ref="H156">_xlfn.IFS(AND(A156&gt;NumberOfPlots,ISBLANK(INDEX(PlotData,MATCH($A156,PlotNumber,0),MATCH(B$3,PlotTitles,0)))),"",AND(ISBLANK(INDEX(PlotData,MATCH($A156,PlotNumber,0),MATCH(H$3,PlotTitles,0)))=FALSE,INDEX(PlotData,MATCH($A156,PlotNumber,0),MATCH(H$3,PlotTitles,0))&lt;500), $AB$11,TRUE,"")</f>
        <v/>
      </c>
      <c r="I156" s="104" t="str" cm="1">
        <f t="array" ref="I156">_xlfn.IFS(AND(A156&gt;NumberOfPlots,ISBLANK(INDEX(PlotData,MATCH($A156,PlotNumber,0),MATCH(B$3,PlotTitles,0)))),"",ISBLANK(INDEX(PlotData,MATCH($A156,PlotNumber,0),MATCH(I$3,PlotTitles,0))),$AB$12,TRUE,"")</f>
        <v/>
      </c>
      <c r="J156" s="104" t="str" cm="1">
        <f t="array" ref="J156">_xlfn.IFS(AND(A156&gt;NumberOfPlots,ISBLANK(INDEX(PlotData,MATCH($A156,PlotNumber,0),MATCH(B$3,PlotTitles,0)))),"",ISBLANK(INDEX(PlotData,MATCH($A156,PlotNumber,0),MATCH(J$3,PlotTitles,0))),$AB$13,TRUE,"")</f>
        <v/>
      </c>
      <c r="K156" s="182" t="str">
        <f t="shared" ca="1" si="6"/>
        <v/>
      </c>
      <c r="L156" s="104" t="str" cm="1">
        <f t="array" ref="L156">_xlfn.IFS(OR(ISBLANK(StartDateMonth),ISBLANK(StartDateYear)),"",AND(A156&gt;NumberOfPlots,ISBLANK(INDEX(PlotData,MATCH($A156,PlotNumber,0),MATCH(B$3,PlotTitles,0)))),"",ISBLANK(INDEX(PlotData,MATCH($A156,PlotNumber,0),MATCH(I$3,PlotTitles,0))),"",(DATEVALUE(INDEX(PlotData,MATCH($A156,PlotNumber,0),MATCH(I$3,PlotTitles,0))&amp;INDEX(PlotData,MATCH($A156,PlotNumber,0),MATCH(J$3,PlotTitles,0))))&lt;DATEVALUE(StartDateMonth&amp;StartDateYear),$AB$15,TRUE,"")</f>
        <v/>
      </c>
      <c r="M156" s="104" t="str" cm="1">
        <f t="array" ref="M156">_xlfn.IFS(OR(ISBLANK(StartDateMonth),ISBLANK(StartDateYear)),"",AND(A156&gt;NumberOfPlots,ISBLANK(INDEX(PlotData,MATCH($A156,PlotNumber,0),MATCH(B$3,PlotTitles,0)))),"",ISBLANK(INDEX(PlotData,MATCH($A156,PlotNumber,0),MATCH(I$3,PlotTitles,0))),"",CompletionMonth="","",(DATEVALUE(INDEX(PlotData,MATCH($A156,PlotNumber,0),MATCH(I$3,PlotTitles,0))&amp;INDEX(PlotData,MATCH($A156,PlotNumber,0),MATCH(J$3,PlotTitles,0))))&gt;(DATEVALUE(CompletionMonth&amp;CompletionYear)),$AB$16,TRUE,"")</f>
        <v/>
      </c>
      <c r="N156" s="104" t="str" cm="1">
        <f t="array" ref="N156">_xlfn.IFS(AND(A156&gt;NumberOfPlots,ISBLANK(INDEX(PlotData,MATCH($A156,PlotNumber,0),MATCH(B$3,PlotTitles,0)))),"",ISBLANK(INDEX(PlotData,MATCH($A156,PlotNumber,0),MATCH(N$3,PlotTitles,0))),$AB$17,TRUE,"")</f>
        <v/>
      </c>
      <c r="O156" s="104" t="str" cm="1">
        <f t="array" ref="O156">_xlfn.IFS(AND(A156&gt;NumberOfPlots,ISBLANK(INDEX(PlotData,MATCH($A156,PlotNumber,0),MATCH(B$3,PlotTitles,0)))),"",ISBLANK(INDEX(PlotData,MATCH($A156,PlotNumber,0),MATCH(O$3,PlotTitles,0))),$AB$18,TRUE,"")</f>
        <v/>
      </c>
      <c r="P156" s="182" t="str">
        <f t="shared" ca="1" si="7"/>
        <v/>
      </c>
      <c r="Q156" s="104" t="str" cm="1">
        <f t="array" ref="Q156">_xlfn.IFS(AND(A156&gt;NumberOfPlots,ISBLANK(INDEX(PlotData,MATCH($A156,PlotNumber,0),MATCH(B$3,PlotTitles,0)))),"",ISBLANK(INDEX(PlotData,MATCH($A156,PlotNumber,0),MATCH(N$3,PlotTitles,0))),"",(DATEVALUE(INDEX(PlotData,MATCH($A156,PlotNumber,0),MATCH(N$3,PlotTitles,0))&amp;INDEX(PlotData,MATCH($A156,PlotNumber,0),MATCH(O$3,PlotTitles,0))))&lt;(DATEVALUE(INDEX(PlotData,MATCH($A156,PlotNumber,0),MATCH(I$3,PlotTitles,0))&amp;INDEX(PlotData,MATCH($A156,PlotNumber,0),MATCH(J$3,PlotTitles,0)))),$AB$20,TRUE,"")</f>
        <v/>
      </c>
      <c r="R156" s="104" t="str" cm="1">
        <f t="array" ref="R156">_xlfn.IFS(OR(ISBLANK(StartDateMonth),ISBLANK(StartDateYear)),"",AND(A156&gt;NumberOfPlots,ISBLANK(INDEX(PlotData,MATCH($A156,PlotNumber,0),MATCH(B$3,PlotTitles,0)))),"",ISBLANK(INDEX(PlotData,MATCH($A156,PlotNumber,0),MATCH(N$3,PlotTitles,0))),"",CompletionMonth="","",(DATEVALUE(INDEX(PlotData,MATCH($A156,PlotNumber,0),MATCH(N$3,PlotTitles,0))&amp;INDEX(PlotData,MATCH($A156,PlotNumber,0),MATCH(O$3,PlotTitles,0))))&gt;(DATEVALUE(CompletionMonth&amp;CompletionYear)),$AB$21,TRUE,"")</f>
        <v/>
      </c>
      <c r="S156" s="104" t="str" cm="1">
        <f t="array" ref="S156">_xlfn.IFS(AND(A156&gt;NumberOfPlots,ISBLANK(INDEX(PlotData,MATCH($A156,PlotNumber,0),MATCH(B$3,PlotTitles,0)))),"",OR(AND(INDEX(PlotData,MATCH($A156,PlotNumber,0),MATCH("Tenure",PlotTitles,0))="Open market housing",INDEX(PlotData,MATCH($A156,PlotNumber,0),MATCH("Tenure detail",PlotTitles,0))="Private rented sector"),INDEX(PlotData,MATCH($A156,PlotNumber,0),MATCH("Tenure",PlotTitles,0))="Affordable rent"),"",ISNUMBER(INDEX(PlotData,MATCH($A156,PlotNumber,0),MATCH(S$3,PlotTitles,0)))=FALSE, $AB$22,TRUE,"")</f>
        <v/>
      </c>
      <c r="T156" s="104" t="str" cm="1">
        <f t="array" ref="T156">_xlfn.IFS(AND(A156&gt;NumberOfPlots,ISBLANK(INDEX(PlotData,MATCH($A156,PlotNumber,0),MATCH(B$3,PlotTitles,0)))),"",OR(AND(INDEX(PlotData,MATCH($A156,PlotNumber,0),MATCH("Tenure",PlotTitles,0))="Open market housing",INDEX(PlotData,MATCH($A156,PlotNumber,0),MATCH("Tenure detail",PlotTitles,0))="Private rented sector"),INDEX(PlotData,MATCH($A156,PlotNumber,0),MATCH("Tenure",PlotTitles,0))="Affordable rent"),"",INDEX(PlotData,MATCH($A156,PlotNumber,0),MATCH(S$3,PlotTitles,0))&lt;10000, $AB$23,TRUE,"")</f>
        <v/>
      </c>
      <c r="U156" s="104" t="str" cm="1">
        <f t="array" ref="U156">_xlfn.IFS(AND(A156&gt;NumberOfPlots,ISBLANK(INDEX(PlotData,MATCH($A156,PlotNumber,0),MATCH(B$3,PlotTitles,0)))),"",NOT(OR(AND(INDEX(PlotData,MATCH($A156,PlotNumber,0),MATCH("Tenure",PlotTitles,0))="Open market housing",INDEX(PlotData,MATCH($A156,PlotNumber,0),MATCH("Tenure detail",PlotTitles,0))="Private rented sector"),INDEX(PlotData,MATCH($A156,PlotNumber,0),MATCH("Tenure",PlotTitles,0))="Affordable rent")),"",NOT(INDEX(PlotData,MATCH($A156,PlotNumber,0),MATCH(S$3,PlotTitles,0))=0), $AB$24,TRUE,"")</f>
        <v/>
      </c>
      <c r="V156" s="114" t="str" cm="1">
        <f t="array" aca="1" ref="V156" ca="1">_xlfn.IFS(ISBLANK(NumberOfPlots),"Enter the number of homes on the 1_SetUp sheet",AND(A156&gt;NumberOfPlots,ISBLANK(INDEX(PlotData,MATCH($A156,PlotNumber,0),MATCH(B$3,PlotTitles,0)))),"No error",NOT(B156=""),B156,NOT(C156=""),C156,NOT(D156=""),D156,NOT(E156=""),E156,NOT(F156=""),F156,NOT(G156=""),G156,NOT(H156=""),H156,NOT(I156=""),I156,NOT(J156=""),J156,NOT(K156=""),K156,NOT(L156=""),L156,NOT(M156=""),M156,NOT(N156=""),N156,NOT(O156=""),O156,NOT(P156=""),P156,NOT(Q156=""),Q156,NOT(R156=""),R156,NOT(S156=""),S156,NOT(T156=""),T156,NOT(U156=""),U156,TRUE,"No error")</f>
        <v>Enter the number of homes on the 1_SetUp sheet</v>
      </c>
      <c r="W156" s="114" t="str">
        <f t="shared" ca="1" si="8"/>
        <v xml:space="preserve">The Borrower has not addressed the following error messages for Home ID 152: </v>
      </c>
    </row>
    <row r="157" spans="1:23">
      <c r="A157" s="123">
        <v>153</v>
      </c>
      <c r="B157" s="104" t="str" cm="1">
        <f t="array" ref="B157">_xlfn.IFS(AND(A157&gt;NumberOfPlots,ISBLANK(INDEX(PlotData,MATCH($A157,PlotNumber,0),MATCH(B$3,PlotTitles,0)))),"",ISNUMBER(INDEX(PlotData,MATCH($A157,PlotNumber,0),MATCH(B$3,PlotTitles,0)))=FALSE, $AB$5,TRUE,"")</f>
        <v/>
      </c>
      <c r="C157" s="104" t="str" cm="1">
        <f t="array" ref="C157">_xlfn.IFS(AND(A157&gt;NumberOfPlots,ISBLANK(INDEX(PlotData,MATCH($A157,PlotNumber,0),MATCH(B$3,PlotTitles,0)))),"",ISBLANK(INDEX(PlotData,MATCH($A157,PlotNumber,0),MATCH(C$3,PlotTitles,0))),$AB$6,TRUE,"")</f>
        <v/>
      </c>
      <c r="D157" s="104" t="str" cm="1">
        <f t="array" ref="D157">_xlfn.IFS(AND(A157&gt;NumberOfPlots,ISBLANK(INDEX(PlotData,MATCH($A157,PlotNumber,0),MATCH(B$3,PlotTitles,0)))),"",ISBLANK(INDEX(PlotData,MATCH($A157,PlotNumber,0),MATCH(D$3,PlotTitles,0))),$AB$7,TRUE,"")</f>
        <v/>
      </c>
      <c r="E157" s="104" t="str" cm="1">
        <f t="array" ref="E157">_xlfn.IFS(AND(A157&gt;NumberOfPlots,ISBLANK(INDEX(PlotData,MATCH($A157,PlotNumber,0),MATCH(B$3,PlotTitles,0)))),"",ISBLANK(INDEX(PlotData,MATCH($A157,PlotNumber,0),MATCH(E$3,PlotTitles,0))),$AB$8,TRUE,"")</f>
        <v/>
      </c>
      <c r="F157" s="104" t="str" cm="1">
        <f t="array" ref="F157">_xlfn.IFS(AND(A157&gt;NumberOfPlots,ISBLANK(INDEX(PlotData,MATCH($A157,PlotNumber,0),MATCH(B$3,PlotTitles,0)))),"",ISBLANK(INDEX(PlotData,MATCH($A157,PlotNumber,0),MATCH(F$3,PlotTitles,0))),$AB$9,TRUE,"")</f>
        <v/>
      </c>
      <c r="G157" s="104" t="str" cm="1">
        <f t="array" ref="G157">_xlfn.IFS(AND(A157&gt;NumberOfPlots,ISBLANK(INDEX(PlotData,MATCH($A157,PlotNumber,0),MATCH(B$3,PlotTitles,0)))),"",ISBLANK(INDEX(PlotData,MATCH($A157,PlotNumber,0),MATCH(G$3,PlotTitles,0))),$AB$10,TRUE,"")</f>
        <v/>
      </c>
      <c r="H157" s="104" t="str" cm="1">
        <f t="array" ref="H157">_xlfn.IFS(AND(A157&gt;NumberOfPlots,ISBLANK(INDEX(PlotData,MATCH($A157,PlotNumber,0),MATCH(B$3,PlotTitles,0)))),"",AND(ISBLANK(INDEX(PlotData,MATCH($A157,PlotNumber,0),MATCH(H$3,PlotTitles,0)))=FALSE,INDEX(PlotData,MATCH($A157,PlotNumber,0),MATCH(H$3,PlotTitles,0))&lt;500), $AB$11,TRUE,"")</f>
        <v/>
      </c>
      <c r="I157" s="104" t="str" cm="1">
        <f t="array" ref="I157">_xlfn.IFS(AND(A157&gt;NumberOfPlots,ISBLANK(INDEX(PlotData,MATCH($A157,PlotNumber,0),MATCH(B$3,PlotTitles,0)))),"",ISBLANK(INDEX(PlotData,MATCH($A157,PlotNumber,0),MATCH(I$3,PlotTitles,0))),$AB$12,TRUE,"")</f>
        <v/>
      </c>
      <c r="J157" s="104" t="str" cm="1">
        <f t="array" ref="J157">_xlfn.IFS(AND(A157&gt;NumberOfPlots,ISBLANK(INDEX(PlotData,MATCH($A157,PlotNumber,0),MATCH(B$3,PlotTitles,0)))),"",ISBLANK(INDEX(PlotData,MATCH($A157,PlotNumber,0),MATCH(J$3,PlotTitles,0))),$AB$13,TRUE,"")</f>
        <v/>
      </c>
      <c r="K157" s="182" t="str">
        <f t="shared" ca="1" si="6"/>
        <v/>
      </c>
      <c r="L157" s="104" t="str" cm="1">
        <f t="array" ref="L157">_xlfn.IFS(OR(ISBLANK(StartDateMonth),ISBLANK(StartDateYear)),"",AND(A157&gt;NumberOfPlots,ISBLANK(INDEX(PlotData,MATCH($A157,PlotNumber,0),MATCH(B$3,PlotTitles,0)))),"",ISBLANK(INDEX(PlotData,MATCH($A157,PlotNumber,0),MATCH(I$3,PlotTitles,0))),"",(DATEVALUE(INDEX(PlotData,MATCH($A157,PlotNumber,0),MATCH(I$3,PlotTitles,0))&amp;INDEX(PlotData,MATCH($A157,PlotNumber,0),MATCH(J$3,PlotTitles,0))))&lt;DATEVALUE(StartDateMonth&amp;StartDateYear),$AB$15,TRUE,"")</f>
        <v/>
      </c>
      <c r="M157" s="104" t="str" cm="1">
        <f t="array" ref="M157">_xlfn.IFS(OR(ISBLANK(StartDateMonth),ISBLANK(StartDateYear)),"",AND(A157&gt;NumberOfPlots,ISBLANK(INDEX(PlotData,MATCH($A157,PlotNumber,0),MATCH(B$3,PlotTitles,0)))),"",ISBLANK(INDEX(PlotData,MATCH($A157,PlotNumber,0),MATCH(I$3,PlotTitles,0))),"",CompletionMonth="","",(DATEVALUE(INDEX(PlotData,MATCH($A157,PlotNumber,0),MATCH(I$3,PlotTitles,0))&amp;INDEX(PlotData,MATCH($A157,PlotNumber,0),MATCH(J$3,PlotTitles,0))))&gt;(DATEVALUE(CompletionMonth&amp;CompletionYear)),$AB$16,TRUE,"")</f>
        <v/>
      </c>
      <c r="N157" s="104" t="str" cm="1">
        <f t="array" ref="N157">_xlfn.IFS(AND(A157&gt;NumberOfPlots,ISBLANK(INDEX(PlotData,MATCH($A157,PlotNumber,0),MATCH(B$3,PlotTitles,0)))),"",ISBLANK(INDEX(PlotData,MATCH($A157,PlotNumber,0),MATCH(N$3,PlotTitles,0))),$AB$17,TRUE,"")</f>
        <v/>
      </c>
      <c r="O157" s="104" t="str" cm="1">
        <f t="array" ref="O157">_xlfn.IFS(AND(A157&gt;NumberOfPlots,ISBLANK(INDEX(PlotData,MATCH($A157,PlotNumber,0),MATCH(B$3,PlotTitles,0)))),"",ISBLANK(INDEX(PlotData,MATCH($A157,PlotNumber,0),MATCH(O$3,PlotTitles,0))),$AB$18,TRUE,"")</f>
        <v/>
      </c>
      <c r="P157" s="182" t="str">
        <f t="shared" ca="1" si="7"/>
        <v/>
      </c>
      <c r="Q157" s="104" t="str" cm="1">
        <f t="array" ref="Q157">_xlfn.IFS(AND(A157&gt;NumberOfPlots,ISBLANK(INDEX(PlotData,MATCH($A157,PlotNumber,0),MATCH(B$3,PlotTitles,0)))),"",ISBLANK(INDEX(PlotData,MATCH($A157,PlotNumber,0),MATCH(N$3,PlotTitles,0))),"",(DATEVALUE(INDEX(PlotData,MATCH($A157,PlotNumber,0),MATCH(N$3,PlotTitles,0))&amp;INDEX(PlotData,MATCH($A157,PlotNumber,0),MATCH(O$3,PlotTitles,0))))&lt;(DATEVALUE(INDEX(PlotData,MATCH($A157,PlotNumber,0),MATCH(I$3,PlotTitles,0))&amp;INDEX(PlotData,MATCH($A157,PlotNumber,0),MATCH(J$3,PlotTitles,0)))),$AB$20,TRUE,"")</f>
        <v/>
      </c>
      <c r="R157" s="104" t="str" cm="1">
        <f t="array" ref="R157">_xlfn.IFS(OR(ISBLANK(StartDateMonth),ISBLANK(StartDateYear)),"",AND(A157&gt;NumberOfPlots,ISBLANK(INDEX(PlotData,MATCH($A157,PlotNumber,0),MATCH(B$3,PlotTitles,0)))),"",ISBLANK(INDEX(PlotData,MATCH($A157,PlotNumber,0),MATCH(N$3,PlotTitles,0))),"",CompletionMonth="","",(DATEVALUE(INDEX(PlotData,MATCH($A157,PlotNumber,0),MATCH(N$3,PlotTitles,0))&amp;INDEX(PlotData,MATCH($A157,PlotNumber,0),MATCH(O$3,PlotTitles,0))))&gt;(DATEVALUE(CompletionMonth&amp;CompletionYear)),$AB$21,TRUE,"")</f>
        <v/>
      </c>
      <c r="S157" s="104" t="str" cm="1">
        <f t="array" ref="S157">_xlfn.IFS(AND(A157&gt;NumberOfPlots,ISBLANK(INDEX(PlotData,MATCH($A157,PlotNumber,0),MATCH(B$3,PlotTitles,0)))),"",OR(AND(INDEX(PlotData,MATCH($A157,PlotNumber,0),MATCH("Tenure",PlotTitles,0))="Open market housing",INDEX(PlotData,MATCH($A157,PlotNumber,0),MATCH("Tenure detail",PlotTitles,0))="Private rented sector"),INDEX(PlotData,MATCH($A157,PlotNumber,0),MATCH("Tenure",PlotTitles,0))="Affordable rent"),"",ISNUMBER(INDEX(PlotData,MATCH($A157,PlotNumber,0),MATCH(S$3,PlotTitles,0)))=FALSE, $AB$22,TRUE,"")</f>
        <v/>
      </c>
      <c r="T157" s="104" t="str" cm="1">
        <f t="array" ref="T157">_xlfn.IFS(AND(A157&gt;NumberOfPlots,ISBLANK(INDEX(PlotData,MATCH($A157,PlotNumber,0),MATCH(B$3,PlotTitles,0)))),"",OR(AND(INDEX(PlotData,MATCH($A157,PlotNumber,0),MATCH("Tenure",PlotTitles,0))="Open market housing",INDEX(PlotData,MATCH($A157,PlotNumber,0),MATCH("Tenure detail",PlotTitles,0))="Private rented sector"),INDEX(PlotData,MATCH($A157,PlotNumber,0),MATCH("Tenure",PlotTitles,0))="Affordable rent"),"",INDEX(PlotData,MATCH($A157,PlotNumber,0),MATCH(S$3,PlotTitles,0))&lt;10000, $AB$23,TRUE,"")</f>
        <v/>
      </c>
      <c r="U157" s="104" t="str" cm="1">
        <f t="array" ref="U157">_xlfn.IFS(AND(A157&gt;NumberOfPlots,ISBLANK(INDEX(PlotData,MATCH($A157,PlotNumber,0),MATCH(B$3,PlotTitles,0)))),"",NOT(OR(AND(INDEX(PlotData,MATCH($A157,PlotNumber,0),MATCH("Tenure",PlotTitles,0))="Open market housing",INDEX(PlotData,MATCH($A157,PlotNumber,0),MATCH("Tenure detail",PlotTitles,0))="Private rented sector"),INDEX(PlotData,MATCH($A157,PlotNumber,0),MATCH("Tenure",PlotTitles,0))="Affordable rent")),"",NOT(INDEX(PlotData,MATCH($A157,PlotNumber,0),MATCH(S$3,PlotTitles,0))=0), $AB$24,TRUE,"")</f>
        <v/>
      </c>
      <c r="V157" s="114" t="str" cm="1">
        <f t="array" aca="1" ref="V157" ca="1">_xlfn.IFS(ISBLANK(NumberOfPlots),"Enter the number of homes on the 1_SetUp sheet",AND(A157&gt;NumberOfPlots,ISBLANK(INDEX(PlotData,MATCH($A157,PlotNumber,0),MATCH(B$3,PlotTitles,0)))),"No error",NOT(B157=""),B157,NOT(C157=""),C157,NOT(D157=""),D157,NOT(E157=""),E157,NOT(F157=""),F157,NOT(G157=""),G157,NOT(H157=""),H157,NOT(I157=""),I157,NOT(J157=""),J157,NOT(K157=""),K157,NOT(L157=""),L157,NOT(M157=""),M157,NOT(N157=""),N157,NOT(O157=""),O157,NOT(P157=""),P157,NOT(Q157=""),Q157,NOT(R157=""),R157,NOT(S157=""),S157,NOT(T157=""),T157,NOT(U157=""),U157,TRUE,"No error")</f>
        <v>Enter the number of homes on the 1_SetUp sheet</v>
      </c>
      <c r="W157" s="114" t="str">
        <f t="shared" ca="1" si="8"/>
        <v xml:space="preserve">The Borrower has not addressed the following error messages for Home ID 153: </v>
      </c>
    </row>
    <row r="158" spans="1:23">
      <c r="A158" s="123">
        <v>154</v>
      </c>
      <c r="B158" s="104" t="str" cm="1">
        <f t="array" ref="B158">_xlfn.IFS(AND(A158&gt;NumberOfPlots,ISBLANK(INDEX(PlotData,MATCH($A158,PlotNumber,0),MATCH(B$3,PlotTitles,0)))),"",ISNUMBER(INDEX(PlotData,MATCH($A158,PlotNumber,0),MATCH(B$3,PlotTitles,0)))=FALSE, $AB$5,TRUE,"")</f>
        <v/>
      </c>
      <c r="C158" s="104" t="str" cm="1">
        <f t="array" ref="C158">_xlfn.IFS(AND(A158&gt;NumberOfPlots,ISBLANK(INDEX(PlotData,MATCH($A158,PlotNumber,0),MATCH(B$3,PlotTitles,0)))),"",ISBLANK(INDEX(PlotData,MATCH($A158,PlotNumber,0),MATCH(C$3,PlotTitles,0))),$AB$6,TRUE,"")</f>
        <v/>
      </c>
      <c r="D158" s="104" t="str" cm="1">
        <f t="array" ref="D158">_xlfn.IFS(AND(A158&gt;NumberOfPlots,ISBLANK(INDEX(PlotData,MATCH($A158,PlotNumber,0),MATCH(B$3,PlotTitles,0)))),"",ISBLANK(INDEX(PlotData,MATCH($A158,PlotNumber,0),MATCH(D$3,PlotTitles,0))),$AB$7,TRUE,"")</f>
        <v/>
      </c>
      <c r="E158" s="104" t="str" cm="1">
        <f t="array" ref="E158">_xlfn.IFS(AND(A158&gt;NumberOfPlots,ISBLANK(INDEX(PlotData,MATCH($A158,PlotNumber,0),MATCH(B$3,PlotTitles,0)))),"",ISBLANK(INDEX(PlotData,MATCH($A158,PlotNumber,0),MATCH(E$3,PlotTitles,0))),$AB$8,TRUE,"")</f>
        <v/>
      </c>
      <c r="F158" s="104" t="str" cm="1">
        <f t="array" ref="F158">_xlfn.IFS(AND(A158&gt;NumberOfPlots,ISBLANK(INDEX(PlotData,MATCH($A158,PlotNumber,0),MATCH(B$3,PlotTitles,0)))),"",ISBLANK(INDEX(PlotData,MATCH($A158,PlotNumber,0),MATCH(F$3,PlotTitles,0))),$AB$9,TRUE,"")</f>
        <v/>
      </c>
      <c r="G158" s="104" t="str" cm="1">
        <f t="array" ref="G158">_xlfn.IFS(AND(A158&gt;NumberOfPlots,ISBLANK(INDEX(PlotData,MATCH($A158,PlotNumber,0),MATCH(B$3,PlotTitles,0)))),"",ISBLANK(INDEX(PlotData,MATCH($A158,PlotNumber,0),MATCH(G$3,PlotTitles,0))),$AB$10,TRUE,"")</f>
        <v/>
      </c>
      <c r="H158" s="104" t="str" cm="1">
        <f t="array" ref="H158">_xlfn.IFS(AND(A158&gt;NumberOfPlots,ISBLANK(INDEX(PlotData,MATCH($A158,PlotNumber,0),MATCH(B$3,PlotTitles,0)))),"",AND(ISBLANK(INDEX(PlotData,MATCH($A158,PlotNumber,0),MATCH(H$3,PlotTitles,0)))=FALSE,INDEX(PlotData,MATCH($A158,PlotNumber,0),MATCH(H$3,PlotTitles,0))&lt;500), $AB$11,TRUE,"")</f>
        <v/>
      </c>
      <c r="I158" s="104" t="str" cm="1">
        <f t="array" ref="I158">_xlfn.IFS(AND(A158&gt;NumberOfPlots,ISBLANK(INDEX(PlotData,MATCH($A158,PlotNumber,0),MATCH(B$3,PlotTitles,0)))),"",ISBLANK(INDEX(PlotData,MATCH($A158,PlotNumber,0),MATCH(I$3,PlotTitles,0))),$AB$12,TRUE,"")</f>
        <v/>
      </c>
      <c r="J158" s="104" t="str" cm="1">
        <f t="array" ref="J158">_xlfn.IFS(AND(A158&gt;NumberOfPlots,ISBLANK(INDEX(PlotData,MATCH($A158,PlotNumber,0),MATCH(B$3,PlotTitles,0)))),"",ISBLANK(INDEX(PlotData,MATCH($A158,PlotNumber,0),MATCH(J$3,PlotTitles,0))),$AB$13,TRUE,"")</f>
        <v/>
      </c>
      <c r="K158" s="182" t="str">
        <f t="shared" ca="1" si="6"/>
        <v/>
      </c>
      <c r="L158" s="104" t="str" cm="1">
        <f t="array" ref="L158">_xlfn.IFS(OR(ISBLANK(StartDateMonth),ISBLANK(StartDateYear)),"",AND(A158&gt;NumberOfPlots,ISBLANK(INDEX(PlotData,MATCH($A158,PlotNumber,0),MATCH(B$3,PlotTitles,0)))),"",ISBLANK(INDEX(PlotData,MATCH($A158,PlotNumber,0),MATCH(I$3,PlotTitles,0))),"",(DATEVALUE(INDEX(PlotData,MATCH($A158,PlotNumber,0),MATCH(I$3,PlotTitles,0))&amp;INDEX(PlotData,MATCH($A158,PlotNumber,0),MATCH(J$3,PlotTitles,0))))&lt;DATEVALUE(StartDateMonth&amp;StartDateYear),$AB$15,TRUE,"")</f>
        <v/>
      </c>
      <c r="M158" s="104" t="str" cm="1">
        <f t="array" ref="M158">_xlfn.IFS(OR(ISBLANK(StartDateMonth),ISBLANK(StartDateYear)),"",AND(A158&gt;NumberOfPlots,ISBLANK(INDEX(PlotData,MATCH($A158,PlotNumber,0),MATCH(B$3,PlotTitles,0)))),"",ISBLANK(INDEX(PlotData,MATCH($A158,PlotNumber,0),MATCH(I$3,PlotTitles,0))),"",CompletionMonth="","",(DATEVALUE(INDEX(PlotData,MATCH($A158,PlotNumber,0),MATCH(I$3,PlotTitles,0))&amp;INDEX(PlotData,MATCH($A158,PlotNumber,0),MATCH(J$3,PlotTitles,0))))&gt;(DATEVALUE(CompletionMonth&amp;CompletionYear)),$AB$16,TRUE,"")</f>
        <v/>
      </c>
      <c r="N158" s="104" t="str" cm="1">
        <f t="array" ref="N158">_xlfn.IFS(AND(A158&gt;NumberOfPlots,ISBLANK(INDEX(PlotData,MATCH($A158,PlotNumber,0),MATCH(B$3,PlotTitles,0)))),"",ISBLANK(INDEX(PlotData,MATCH($A158,PlotNumber,0),MATCH(N$3,PlotTitles,0))),$AB$17,TRUE,"")</f>
        <v/>
      </c>
      <c r="O158" s="104" t="str" cm="1">
        <f t="array" ref="O158">_xlfn.IFS(AND(A158&gt;NumberOfPlots,ISBLANK(INDEX(PlotData,MATCH($A158,PlotNumber,0),MATCH(B$3,PlotTitles,0)))),"",ISBLANK(INDEX(PlotData,MATCH($A158,PlotNumber,0),MATCH(O$3,PlotTitles,0))),$AB$18,TRUE,"")</f>
        <v/>
      </c>
      <c r="P158" s="182" t="str">
        <f t="shared" ca="1" si="7"/>
        <v/>
      </c>
      <c r="Q158" s="104" t="str" cm="1">
        <f t="array" ref="Q158">_xlfn.IFS(AND(A158&gt;NumberOfPlots,ISBLANK(INDEX(PlotData,MATCH($A158,PlotNumber,0),MATCH(B$3,PlotTitles,0)))),"",ISBLANK(INDEX(PlotData,MATCH($A158,PlotNumber,0),MATCH(N$3,PlotTitles,0))),"",(DATEVALUE(INDEX(PlotData,MATCH($A158,PlotNumber,0),MATCH(N$3,PlotTitles,0))&amp;INDEX(PlotData,MATCH($A158,PlotNumber,0),MATCH(O$3,PlotTitles,0))))&lt;(DATEVALUE(INDEX(PlotData,MATCH($A158,PlotNumber,0),MATCH(I$3,PlotTitles,0))&amp;INDEX(PlotData,MATCH($A158,PlotNumber,0),MATCH(J$3,PlotTitles,0)))),$AB$20,TRUE,"")</f>
        <v/>
      </c>
      <c r="R158" s="104" t="str" cm="1">
        <f t="array" ref="R158">_xlfn.IFS(OR(ISBLANK(StartDateMonth),ISBLANK(StartDateYear)),"",AND(A158&gt;NumberOfPlots,ISBLANK(INDEX(PlotData,MATCH($A158,PlotNumber,0),MATCH(B$3,PlotTitles,0)))),"",ISBLANK(INDEX(PlotData,MATCH($A158,PlotNumber,0),MATCH(N$3,PlotTitles,0))),"",CompletionMonth="","",(DATEVALUE(INDEX(PlotData,MATCH($A158,PlotNumber,0),MATCH(N$3,PlotTitles,0))&amp;INDEX(PlotData,MATCH($A158,PlotNumber,0),MATCH(O$3,PlotTitles,0))))&gt;(DATEVALUE(CompletionMonth&amp;CompletionYear)),$AB$21,TRUE,"")</f>
        <v/>
      </c>
      <c r="S158" s="104" t="str" cm="1">
        <f t="array" ref="S158">_xlfn.IFS(AND(A158&gt;NumberOfPlots,ISBLANK(INDEX(PlotData,MATCH($A158,PlotNumber,0),MATCH(B$3,PlotTitles,0)))),"",OR(AND(INDEX(PlotData,MATCH($A158,PlotNumber,0),MATCH("Tenure",PlotTitles,0))="Open market housing",INDEX(PlotData,MATCH($A158,PlotNumber,0),MATCH("Tenure detail",PlotTitles,0))="Private rented sector"),INDEX(PlotData,MATCH($A158,PlotNumber,0),MATCH("Tenure",PlotTitles,0))="Affordable rent"),"",ISNUMBER(INDEX(PlotData,MATCH($A158,PlotNumber,0),MATCH(S$3,PlotTitles,0)))=FALSE, $AB$22,TRUE,"")</f>
        <v/>
      </c>
      <c r="T158" s="104" t="str" cm="1">
        <f t="array" ref="T158">_xlfn.IFS(AND(A158&gt;NumberOfPlots,ISBLANK(INDEX(PlotData,MATCH($A158,PlotNumber,0),MATCH(B$3,PlotTitles,0)))),"",OR(AND(INDEX(PlotData,MATCH($A158,PlotNumber,0),MATCH("Tenure",PlotTitles,0))="Open market housing",INDEX(PlotData,MATCH($A158,PlotNumber,0),MATCH("Tenure detail",PlotTitles,0))="Private rented sector"),INDEX(PlotData,MATCH($A158,PlotNumber,0),MATCH("Tenure",PlotTitles,0))="Affordable rent"),"",INDEX(PlotData,MATCH($A158,PlotNumber,0),MATCH(S$3,PlotTitles,0))&lt;10000, $AB$23,TRUE,"")</f>
        <v/>
      </c>
      <c r="U158" s="104" t="str" cm="1">
        <f t="array" ref="U158">_xlfn.IFS(AND(A158&gt;NumberOfPlots,ISBLANK(INDEX(PlotData,MATCH($A158,PlotNumber,0),MATCH(B$3,PlotTitles,0)))),"",NOT(OR(AND(INDEX(PlotData,MATCH($A158,PlotNumber,0),MATCH("Tenure",PlotTitles,0))="Open market housing",INDEX(PlotData,MATCH($A158,PlotNumber,0),MATCH("Tenure detail",PlotTitles,0))="Private rented sector"),INDEX(PlotData,MATCH($A158,PlotNumber,0),MATCH("Tenure",PlotTitles,0))="Affordable rent")),"",NOT(INDEX(PlotData,MATCH($A158,PlotNumber,0),MATCH(S$3,PlotTitles,0))=0), $AB$24,TRUE,"")</f>
        <v/>
      </c>
      <c r="V158" s="114" t="str" cm="1">
        <f t="array" aca="1" ref="V158" ca="1">_xlfn.IFS(ISBLANK(NumberOfPlots),"Enter the number of homes on the 1_SetUp sheet",AND(A158&gt;NumberOfPlots,ISBLANK(INDEX(PlotData,MATCH($A158,PlotNumber,0),MATCH(B$3,PlotTitles,0)))),"No error",NOT(B158=""),B158,NOT(C158=""),C158,NOT(D158=""),D158,NOT(E158=""),E158,NOT(F158=""),F158,NOT(G158=""),G158,NOT(H158=""),H158,NOT(I158=""),I158,NOT(J158=""),J158,NOT(K158=""),K158,NOT(L158=""),L158,NOT(M158=""),M158,NOT(N158=""),N158,NOT(O158=""),O158,NOT(P158=""),P158,NOT(Q158=""),Q158,NOT(R158=""),R158,NOT(S158=""),S158,NOT(T158=""),T158,NOT(U158=""),U158,TRUE,"No error")</f>
        <v>Enter the number of homes on the 1_SetUp sheet</v>
      </c>
      <c r="W158" s="114" t="str">
        <f t="shared" ca="1" si="8"/>
        <v xml:space="preserve">The Borrower has not addressed the following error messages for Home ID 154: </v>
      </c>
    </row>
    <row r="159" spans="1:23">
      <c r="A159" s="123">
        <v>155</v>
      </c>
      <c r="B159" s="104" t="str" cm="1">
        <f t="array" ref="B159">_xlfn.IFS(AND(A159&gt;NumberOfPlots,ISBLANK(INDEX(PlotData,MATCH($A159,PlotNumber,0),MATCH(B$3,PlotTitles,0)))),"",ISNUMBER(INDEX(PlotData,MATCH($A159,PlotNumber,0),MATCH(B$3,PlotTitles,0)))=FALSE, $AB$5,TRUE,"")</f>
        <v/>
      </c>
      <c r="C159" s="104" t="str" cm="1">
        <f t="array" ref="C159">_xlfn.IFS(AND(A159&gt;NumberOfPlots,ISBLANK(INDEX(PlotData,MATCH($A159,PlotNumber,0),MATCH(B$3,PlotTitles,0)))),"",ISBLANK(INDEX(PlotData,MATCH($A159,PlotNumber,0),MATCH(C$3,PlotTitles,0))),$AB$6,TRUE,"")</f>
        <v/>
      </c>
      <c r="D159" s="104" t="str" cm="1">
        <f t="array" ref="D159">_xlfn.IFS(AND(A159&gt;NumberOfPlots,ISBLANK(INDEX(PlotData,MATCH($A159,PlotNumber,0),MATCH(B$3,PlotTitles,0)))),"",ISBLANK(INDEX(PlotData,MATCH($A159,PlotNumber,0),MATCH(D$3,PlotTitles,0))),$AB$7,TRUE,"")</f>
        <v/>
      </c>
      <c r="E159" s="104" t="str" cm="1">
        <f t="array" ref="E159">_xlfn.IFS(AND(A159&gt;NumberOfPlots,ISBLANK(INDEX(PlotData,MATCH($A159,PlotNumber,0),MATCH(B$3,PlotTitles,0)))),"",ISBLANK(INDEX(PlotData,MATCH($A159,PlotNumber,0),MATCH(E$3,PlotTitles,0))),$AB$8,TRUE,"")</f>
        <v/>
      </c>
      <c r="F159" s="104" t="str" cm="1">
        <f t="array" ref="F159">_xlfn.IFS(AND(A159&gt;NumberOfPlots,ISBLANK(INDEX(PlotData,MATCH($A159,PlotNumber,0),MATCH(B$3,PlotTitles,0)))),"",ISBLANK(INDEX(PlotData,MATCH($A159,PlotNumber,0),MATCH(F$3,PlotTitles,0))),$AB$9,TRUE,"")</f>
        <v/>
      </c>
      <c r="G159" s="104" t="str" cm="1">
        <f t="array" ref="G159">_xlfn.IFS(AND(A159&gt;NumberOfPlots,ISBLANK(INDEX(PlotData,MATCH($A159,PlotNumber,0),MATCH(B$3,PlotTitles,0)))),"",ISBLANK(INDEX(PlotData,MATCH($A159,PlotNumber,0),MATCH(G$3,PlotTitles,0))),$AB$10,TRUE,"")</f>
        <v/>
      </c>
      <c r="H159" s="104" t="str" cm="1">
        <f t="array" ref="H159">_xlfn.IFS(AND(A159&gt;NumberOfPlots,ISBLANK(INDEX(PlotData,MATCH($A159,PlotNumber,0),MATCH(B$3,PlotTitles,0)))),"",AND(ISBLANK(INDEX(PlotData,MATCH($A159,PlotNumber,0),MATCH(H$3,PlotTitles,0)))=FALSE,INDEX(PlotData,MATCH($A159,PlotNumber,0),MATCH(H$3,PlotTitles,0))&lt;500), $AB$11,TRUE,"")</f>
        <v/>
      </c>
      <c r="I159" s="104" t="str" cm="1">
        <f t="array" ref="I159">_xlfn.IFS(AND(A159&gt;NumberOfPlots,ISBLANK(INDEX(PlotData,MATCH($A159,PlotNumber,0),MATCH(B$3,PlotTitles,0)))),"",ISBLANK(INDEX(PlotData,MATCH($A159,PlotNumber,0),MATCH(I$3,PlotTitles,0))),$AB$12,TRUE,"")</f>
        <v/>
      </c>
      <c r="J159" s="104" t="str" cm="1">
        <f t="array" ref="J159">_xlfn.IFS(AND(A159&gt;NumberOfPlots,ISBLANK(INDEX(PlotData,MATCH($A159,PlotNumber,0),MATCH(B$3,PlotTitles,0)))),"",ISBLANK(INDEX(PlotData,MATCH($A159,PlotNumber,0),MATCH(J$3,PlotTitles,0))),$AB$13,TRUE,"")</f>
        <v/>
      </c>
      <c r="K159" s="182" t="str">
        <f t="shared" ca="1" si="6"/>
        <v/>
      </c>
      <c r="L159" s="104" t="str" cm="1">
        <f t="array" ref="L159">_xlfn.IFS(OR(ISBLANK(StartDateMonth),ISBLANK(StartDateYear)),"",AND(A159&gt;NumberOfPlots,ISBLANK(INDEX(PlotData,MATCH($A159,PlotNumber,0),MATCH(B$3,PlotTitles,0)))),"",ISBLANK(INDEX(PlotData,MATCH($A159,PlotNumber,0),MATCH(I$3,PlotTitles,0))),"",(DATEVALUE(INDEX(PlotData,MATCH($A159,PlotNumber,0),MATCH(I$3,PlotTitles,0))&amp;INDEX(PlotData,MATCH($A159,PlotNumber,0),MATCH(J$3,PlotTitles,0))))&lt;DATEVALUE(StartDateMonth&amp;StartDateYear),$AB$15,TRUE,"")</f>
        <v/>
      </c>
      <c r="M159" s="104" t="str" cm="1">
        <f t="array" ref="M159">_xlfn.IFS(OR(ISBLANK(StartDateMonth),ISBLANK(StartDateYear)),"",AND(A159&gt;NumberOfPlots,ISBLANK(INDEX(PlotData,MATCH($A159,PlotNumber,0),MATCH(B$3,PlotTitles,0)))),"",ISBLANK(INDEX(PlotData,MATCH($A159,PlotNumber,0),MATCH(I$3,PlotTitles,0))),"",CompletionMonth="","",(DATEVALUE(INDEX(PlotData,MATCH($A159,PlotNumber,0),MATCH(I$3,PlotTitles,0))&amp;INDEX(PlotData,MATCH($A159,PlotNumber,0),MATCH(J$3,PlotTitles,0))))&gt;(DATEVALUE(CompletionMonth&amp;CompletionYear)),$AB$16,TRUE,"")</f>
        <v/>
      </c>
      <c r="N159" s="104" t="str" cm="1">
        <f t="array" ref="N159">_xlfn.IFS(AND(A159&gt;NumberOfPlots,ISBLANK(INDEX(PlotData,MATCH($A159,PlotNumber,0),MATCH(B$3,PlotTitles,0)))),"",ISBLANK(INDEX(PlotData,MATCH($A159,PlotNumber,0),MATCH(N$3,PlotTitles,0))),$AB$17,TRUE,"")</f>
        <v/>
      </c>
      <c r="O159" s="104" t="str" cm="1">
        <f t="array" ref="O159">_xlfn.IFS(AND(A159&gt;NumberOfPlots,ISBLANK(INDEX(PlotData,MATCH($A159,PlotNumber,0),MATCH(B$3,PlotTitles,0)))),"",ISBLANK(INDEX(PlotData,MATCH($A159,PlotNumber,0),MATCH(O$3,PlotTitles,0))),$AB$18,TRUE,"")</f>
        <v/>
      </c>
      <c r="P159" s="182" t="str">
        <f t="shared" ca="1" si="7"/>
        <v/>
      </c>
      <c r="Q159" s="104" t="str" cm="1">
        <f t="array" ref="Q159">_xlfn.IFS(AND(A159&gt;NumberOfPlots,ISBLANK(INDEX(PlotData,MATCH($A159,PlotNumber,0),MATCH(B$3,PlotTitles,0)))),"",ISBLANK(INDEX(PlotData,MATCH($A159,PlotNumber,0),MATCH(N$3,PlotTitles,0))),"",(DATEVALUE(INDEX(PlotData,MATCH($A159,PlotNumber,0),MATCH(N$3,PlotTitles,0))&amp;INDEX(PlotData,MATCH($A159,PlotNumber,0),MATCH(O$3,PlotTitles,0))))&lt;(DATEVALUE(INDEX(PlotData,MATCH($A159,PlotNumber,0),MATCH(I$3,PlotTitles,0))&amp;INDEX(PlotData,MATCH($A159,PlotNumber,0),MATCH(J$3,PlotTitles,0)))),$AB$20,TRUE,"")</f>
        <v/>
      </c>
      <c r="R159" s="104" t="str" cm="1">
        <f t="array" ref="R159">_xlfn.IFS(OR(ISBLANK(StartDateMonth),ISBLANK(StartDateYear)),"",AND(A159&gt;NumberOfPlots,ISBLANK(INDEX(PlotData,MATCH($A159,PlotNumber,0),MATCH(B$3,PlotTitles,0)))),"",ISBLANK(INDEX(PlotData,MATCH($A159,PlotNumber,0),MATCH(N$3,PlotTitles,0))),"",CompletionMonth="","",(DATEVALUE(INDEX(PlotData,MATCH($A159,PlotNumber,0),MATCH(N$3,PlotTitles,0))&amp;INDEX(PlotData,MATCH($A159,PlotNumber,0),MATCH(O$3,PlotTitles,0))))&gt;(DATEVALUE(CompletionMonth&amp;CompletionYear)),$AB$21,TRUE,"")</f>
        <v/>
      </c>
      <c r="S159" s="104" t="str" cm="1">
        <f t="array" ref="S159">_xlfn.IFS(AND(A159&gt;NumberOfPlots,ISBLANK(INDEX(PlotData,MATCH($A159,PlotNumber,0),MATCH(B$3,PlotTitles,0)))),"",OR(AND(INDEX(PlotData,MATCH($A159,PlotNumber,0),MATCH("Tenure",PlotTitles,0))="Open market housing",INDEX(PlotData,MATCH($A159,PlotNumber,0),MATCH("Tenure detail",PlotTitles,0))="Private rented sector"),INDEX(PlotData,MATCH($A159,PlotNumber,0),MATCH("Tenure",PlotTitles,0))="Affordable rent"),"",ISNUMBER(INDEX(PlotData,MATCH($A159,PlotNumber,0),MATCH(S$3,PlotTitles,0)))=FALSE, $AB$22,TRUE,"")</f>
        <v/>
      </c>
      <c r="T159" s="104" t="str" cm="1">
        <f t="array" ref="T159">_xlfn.IFS(AND(A159&gt;NumberOfPlots,ISBLANK(INDEX(PlotData,MATCH($A159,PlotNumber,0),MATCH(B$3,PlotTitles,0)))),"",OR(AND(INDEX(PlotData,MATCH($A159,PlotNumber,0),MATCH("Tenure",PlotTitles,0))="Open market housing",INDEX(PlotData,MATCH($A159,PlotNumber,0),MATCH("Tenure detail",PlotTitles,0))="Private rented sector"),INDEX(PlotData,MATCH($A159,PlotNumber,0),MATCH("Tenure",PlotTitles,0))="Affordable rent"),"",INDEX(PlotData,MATCH($A159,PlotNumber,0),MATCH(S$3,PlotTitles,0))&lt;10000, $AB$23,TRUE,"")</f>
        <v/>
      </c>
      <c r="U159" s="104" t="str" cm="1">
        <f t="array" ref="U159">_xlfn.IFS(AND(A159&gt;NumberOfPlots,ISBLANK(INDEX(PlotData,MATCH($A159,PlotNumber,0),MATCH(B$3,PlotTitles,0)))),"",NOT(OR(AND(INDEX(PlotData,MATCH($A159,PlotNumber,0),MATCH("Tenure",PlotTitles,0))="Open market housing",INDEX(PlotData,MATCH($A159,PlotNumber,0),MATCH("Tenure detail",PlotTitles,0))="Private rented sector"),INDEX(PlotData,MATCH($A159,PlotNumber,0),MATCH("Tenure",PlotTitles,0))="Affordable rent")),"",NOT(INDEX(PlotData,MATCH($A159,PlotNumber,0),MATCH(S$3,PlotTitles,0))=0), $AB$24,TRUE,"")</f>
        <v/>
      </c>
      <c r="V159" s="114" t="str" cm="1">
        <f t="array" aca="1" ref="V159" ca="1">_xlfn.IFS(ISBLANK(NumberOfPlots),"Enter the number of homes on the 1_SetUp sheet",AND(A159&gt;NumberOfPlots,ISBLANK(INDEX(PlotData,MATCH($A159,PlotNumber,0),MATCH(B$3,PlotTitles,0)))),"No error",NOT(B159=""),B159,NOT(C159=""),C159,NOT(D159=""),D159,NOT(E159=""),E159,NOT(F159=""),F159,NOT(G159=""),G159,NOT(H159=""),H159,NOT(I159=""),I159,NOT(J159=""),J159,NOT(K159=""),K159,NOT(L159=""),L159,NOT(M159=""),M159,NOT(N159=""),N159,NOT(O159=""),O159,NOT(P159=""),P159,NOT(Q159=""),Q159,NOT(R159=""),R159,NOT(S159=""),S159,NOT(T159=""),T159,NOT(U159=""),U159,TRUE,"No error")</f>
        <v>Enter the number of homes on the 1_SetUp sheet</v>
      </c>
      <c r="W159" s="114" t="str">
        <f t="shared" ca="1" si="8"/>
        <v xml:space="preserve">The Borrower has not addressed the following error messages for Home ID 155: </v>
      </c>
    </row>
    <row r="160" spans="1:23">
      <c r="A160" s="123">
        <v>156</v>
      </c>
      <c r="B160" s="104" t="str" cm="1">
        <f t="array" ref="B160">_xlfn.IFS(AND(A160&gt;NumberOfPlots,ISBLANK(INDEX(PlotData,MATCH($A160,PlotNumber,0),MATCH(B$3,PlotTitles,0)))),"",ISNUMBER(INDEX(PlotData,MATCH($A160,PlotNumber,0),MATCH(B$3,PlotTitles,0)))=FALSE, $AB$5,TRUE,"")</f>
        <v/>
      </c>
      <c r="C160" s="104" t="str" cm="1">
        <f t="array" ref="C160">_xlfn.IFS(AND(A160&gt;NumberOfPlots,ISBLANK(INDEX(PlotData,MATCH($A160,PlotNumber,0),MATCH(B$3,PlotTitles,0)))),"",ISBLANK(INDEX(PlotData,MATCH($A160,PlotNumber,0),MATCH(C$3,PlotTitles,0))),$AB$6,TRUE,"")</f>
        <v/>
      </c>
      <c r="D160" s="104" t="str" cm="1">
        <f t="array" ref="D160">_xlfn.IFS(AND(A160&gt;NumberOfPlots,ISBLANK(INDEX(PlotData,MATCH($A160,PlotNumber,0),MATCH(B$3,PlotTitles,0)))),"",ISBLANK(INDEX(PlotData,MATCH($A160,PlotNumber,0),MATCH(D$3,PlotTitles,0))),$AB$7,TRUE,"")</f>
        <v/>
      </c>
      <c r="E160" s="104" t="str" cm="1">
        <f t="array" ref="E160">_xlfn.IFS(AND(A160&gt;NumberOfPlots,ISBLANK(INDEX(PlotData,MATCH($A160,PlotNumber,0),MATCH(B$3,PlotTitles,0)))),"",ISBLANK(INDEX(PlotData,MATCH($A160,PlotNumber,0),MATCH(E$3,PlotTitles,0))),$AB$8,TRUE,"")</f>
        <v/>
      </c>
      <c r="F160" s="104" t="str" cm="1">
        <f t="array" ref="F160">_xlfn.IFS(AND(A160&gt;NumberOfPlots,ISBLANK(INDEX(PlotData,MATCH($A160,PlotNumber,0),MATCH(B$3,PlotTitles,0)))),"",ISBLANK(INDEX(PlotData,MATCH($A160,PlotNumber,0),MATCH(F$3,PlotTitles,0))),$AB$9,TRUE,"")</f>
        <v/>
      </c>
      <c r="G160" s="104" t="str" cm="1">
        <f t="array" ref="G160">_xlfn.IFS(AND(A160&gt;NumberOfPlots,ISBLANK(INDEX(PlotData,MATCH($A160,PlotNumber,0),MATCH(B$3,PlotTitles,0)))),"",ISBLANK(INDEX(PlotData,MATCH($A160,PlotNumber,0),MATCH(G$3,PlotTitles,0))),$AB$10,TRUE,"")</f>
        <v/>
      </c>
      <c r="H160" s="104" t="str" cm="1">
        <f t="array" ref="H160">_xlfn.IFS(AND(A160&gt;NumberOfPlots,ISBLANK(INDEX(PlotData,MATCH($A160,PlotNumber,0),MATCH(B$3,PlotTitles,0)))),"",AND(ISBLANK(INDEX(PlotData,MATCH($A160,PlotNumber,0),MATCH(H$3,PlotTitles,0)))=FALSE,INDEX(PlotData,MATCH($A160,PlotNumber,0),MATCH(H$3,PlotTitles,0))&lt;500), $AB$11,TRUE,"")</f>
        <v/>
      </c>
      <c r="I160" s="104" t="str" cm="1">
        <f t="array" ref="I160">_xlfn.IFS(AND(A160&gt;NumberOfPlots,ISBLANK(INDEX(PlotData,MATCH($A160,PlotNumber,0),MATCH(B$3,PlotTitles,0)))),"",ISBLANK(INDEX(PlotData,MATCH($A160,PlotNumber,0),MATCH(I$3,PlotTitles,0))),$AB$12,TRUE,"")</f>
        <v/>
      </c>
      <c r="J160" s="104" t="str" cm="1">
        <f t="array" ref="J160">_xlfn.IFS(AND(A160&gt;NumberOfPlots,ISBLANK(INDEX(PlotData,MATCH($A160,PlotNumber,0),MATCH(B$3,PlotTitles,0)))),"",ISBLANK(INDEX(PlotData,MATCH($A160,PlotNumber,0),MATCH(J$3,PlotTitles,0))),$AB$13,TRUE,"")</f>
        <v/>
      </c>
      <c r="K160" s="182" t="str">
        <f t="shared" ca="1" si="6"/>
        <v/>
      </c>
      <c r="L160" s="104" t="str" cm="1">
        <f t="array" ref="L160">_xlfn.IFS(OR(ISBLANK(StartDateMonth),ISBLANK(StartDateYear)),"",AND(A160&gt;NumberOfPlots,ISBLANK(INDEX(PlotData,MATCH($A160,PlotNumber,0),MATCH(B$3,PlotTitles,0)))),"",ISBLANK(INDEX(PlotData,MATCH($A160,PlotNumber,0),MATCH(I$3,PlotTitles,0))),"",(DATEVALUE(INDEX(PlotData,MATCH($A160,PlotNumber,0),MATCH(I$3,PlotTitles,0))&amp;INDEX(PlotData,MATCH($A160,PlotNumber,0),MATCH(J$3,PlotTitles,0))))&lt;DATEVALUE(StartDateMonth&amp;StartDateYear),$AB$15,TRUE,"")</f>
        <v/>
      </c>
      <c r="M160" s="104" t="str" cm="1">
        <f t="array" ref="M160">_xlfn.IFS(OR(ISBLANK(StartDateMonth),ISBLANK(StartDateYear)),"",AND(A160&gt;NumberOfPlots,ISBLANK(INDEX(PlotData,MATCH($A160,PlotNumber,0),MATCH(B$3,PlotTitles,0)))),"",ISBLANK(INDEX(PlotData,MATCH($A160,PlotNumber,0),MATCH(I$3,PlotTitles,0))),"",CompletionMonth="","",(DATEVALUE(INDEX(PlotData,MATCH($A160,PlotNumber,0),MATCH(I$3,PlotTitles,0))&amp;INDEX(PlotData,MATCH($A160,PlotNumber,0),MATCH(J$3,PlotTitles,0))))&gt;(DATEVALUE(CompletionMonth&amp;CompletionYear)),$AB$16,TRUE,"")</f>
        <v/>
      </c>
      <c r="N160" s="104" t="str" cm="1">
        <f t="array" ref="N160">_xlfn.IFS(AND(A160&gt;NumberOfPlots,ISBLANK(INDEX(PlotData,MATCH($A160,PlotNumber,0),MATCH(B$3,PlotTitles,0)))),"",ISBLANK(INDEX(PlotData,MATCH($A160,PlotNumber,0),MATCH(N$3,PlotTitles,0))),$AB$17,TRUE,"")</f>
        <v/>
      </c>
      <c r="O160" s="104" t="str" cm="1">
        <f t="array" ref="O160">_xlfn.IFS(AND(A160&gt;NumberOfPlots,ISBLANK(INDEX(PlotData,MATCH($A160,PlotNumber,0),MATCH(B$3,PlotTitles,0)))),"",ISBLANK(INDEX(PlotData,MATCH($A160,PlotNumber,0),MATCH(O$3,PlotTitles,0))),$AB$18,TRUE,"")</f>
        <v/>
      </c>
      <c r="P160" s="182" t="str">
        <f t="shared" ca="1" si="7"/>
        <v/>
      </c>
      <c r="Q160" s="104" t="str" cm="1">
        <f t="array" ref="Q160">_xlfn.IFS(AND(A160&gt;NumberOfPlots,ISBLANK(INDEX(PlotData,MATCH($A160,PlotNumber,0),MATCH(B$3,PlotTitles,0)))),"",ISBLANK(INDEX(PlotData,MATCH($A160,PlotNumber,0),MATCH(N$3,PlotTitles,0))),"",(DATEVALUE(INDEX(PlotData,MATCH($A160,PlotNumber,0),MATCH(N$3,PlotTitles,0))&amp;INDEX(PlotData,MATCH($A160,PlotNumber,0),MATCH(O$3,PlotTitles,0))))&lt;(DATEVALUE(INDEX(PlotData,MATCH($A160,PlotNumber,0),MATCH(I$3,PlotTitles,0))&amp;INDEX(PlotData,MATCH($A160,PlotNumber,0),MATCH(J$3,PlotTitles,0)))),$AB$20,TRUE,"")</f>
        <v/>
      </c>
      <c r="R160" s="104" t="str" cm="1">
        <f t="array" ref="R160">_xlfn.IFS(OR(ISBLANK(StartDateMonth),ISBLANK(StartDateYear)),"",AND(A160&gt;NumberOfPlots,ISBLANK(INDEX(PlotData,MATCH($A160,PlotNumber,0),MATCH(B$3,PlotTitles,0)))),"",ISBLANK(INDEX(PlotData,MATCH($A160,PlotNumber,0),MATCH(N$3,PlotTitles,0))),"",CompletionMonth="","",(DATEVALUE(INDEX(PlotData,MATCH($A160,PlotNumber,0),MATCH(N$3,PlotTitles,0))&amp;INDEX(PlotData,MATCH($A160,PlotNumber,0),MATCH(O$3,PlotTitles,0))))&gt;(DATEVALUE(CompletionMonth&amp;CompletionYear)),$AB$21,TRUE,"")</f>
        <v/>
      </c>
      <c r="S160" s="104" t="str" cm="1">
        <f t="array" ref="S160">_xlfn.IFS(AND(A160&gt;NumberOfPlots,ISBLANK(INDEX(PlotData,MATCH($A160,PlotNumber,0),MATCH(B$3,PlotTitles,0)))),"",OR(AND(INDEX(PlotData,MATCH($A160,PlotNumber,0),MATCH("Tenure",PlotTitles,0))="Open market housing",INDEX(PlotData,MATCH($A160,PlotNumber,0),MATCH("Tenure detail",PlotTitles,0))="Private rented sector"),INDEX(PlotData,MATCH($A160,PlotNumber,0),MATCH("Tenure",PlotTitles,0))="Affordable rent"),"",ISNUMBER(INDEX(PlotData,MATCH($A160,PlotNumber,0),MATCH(S$3,PlotTitles,0)))=FALSE, $AB$22,TRUE,"")</f>
        <v/>
      </c>
      <c r="T160" s="104" t="str" cm="1">
        <f t="array" ref="T160">_xlfn.IFS(AND(A160&gt;NumberOfPlots,ISBLANK(INDEX(PlotData,MATCH($A160,PlotNumber,0),MATCH(B$3,PlotTitles,0)))),"",OR(AND(INDEX(PlotData,MATCH($A160,PlotNumber,0),MATCH("Tenure",PlotTitles,0))="Open market housing",INDEX(PlotData,MATCH($A160,PlotNumber,0),MATCH("Tenure detail",PlotTitles,0))="Private rented sector"),INDEX(PlotData,MATCH($A160,PlotNumber,0),MATCH("Tenure",PlotTitles,0))="Affordable rent"),"",INDEX(PlotData,MATCH($A160,PlotNumber,0),MATCH(S$3,PlotTitles,0))&lt;10000, $AB$23,TRUE,"")</f>
        <v/>
      </c>
      <c r="U160" s="104" t="str" cm="1">
        <f t="array" ref="U160">_xlfn.IFS(AND(A160&gt;NumberOfPlots,ISBLANK(INDEX(PlotData,MATCH($A160,PlotNumber,0),MATCH(B$3,PlotTitles,0)))),"",NOT(OR(AND(INDEX(PlotData,MATCH($A160,PlotNumber,0),MATCH("Tenure",PlotTitles,0))="Open market housing",INDEX(PlotData,MATCH($A160,PlotNumber,0),MATCH("Tenure detail",PlotTitles,0))="Private rented sector"),INDEX(PlotData,MATCH($A160,PlotNumber,0),MATCH("Tenure",PlotTitles,0))="Affordable rent")),"",NOT(INDEX(PlotData,MATCH($A160,PlotNumber,0),MATCH(S$3,PlotTitles,0))=0), $AB$24,TRUE,"")</f>
        <v/>
      </c>
      <c r="V160" s="114" t="str" cm="1">
        <f t="array" aca="1" ref="V160" ca="1">_xlfn.IFS(ISBLANK(NumberOfPlots),"Enter the number of homes on the 1_SetUp sheet",AND(A160&gt;NumberOfPlots,ISBLANK(INDEX(PlotData,MATCH($A160,PlotNumber,0),MATCH(B$3,PlotTitles,0)))),"No error",NOT(B160=""),B160,NOT(C160=""),C160,NOT(D160=""),D160,NOT(E160=""),E160,NOT(F160=""),F160,NOT(G160=""),G160,NOT(H160=""),H160,NOT(I160=""),I160,NOT(J160=""),J160,NOT(K160=""),K160,NOT(L160=""),L160,NOT(M160=""),M160,NOT(N160=""),N160,NOT(O160=""),O160,NOT(P160=""),P160,NOT(Q160=""),Q160,NOT(R160=""),R160,NOT(S160=""),S160,NOT(T160=""),T160,NOT(U160=""),U160,TRUE,"No error")</f>
        <v>Enter the number of homes on the 1_SetUp sheet</v>
      </c>
      <c r="W160" s="114" t="str">
        <f t="shared" ca="1" si="8"/>
        <v xml:space="preserve">The Borrower has not addressed the following error messages for Home ID 156: </v>
      </c>
    </row>
    <row r="161" spans="1:23">
      <c r="A161" s="123">
        <v>157</v>
      </c>
      <c r="B161" s="104" t="str" cm="1">
        <f t="array" ref="B161">_xlfn.IFS(AND(A161&gt;NumberOfPlots,ISBLANK(INDEX(PlotData,MATCH($A161,PlotNumber,0),MATCH(B$3,PlotTitles,0)))),"",ISNUMBER(INDEX(PlotData,MATCH($A161,PlotNumber,0),MATCH(B$3,PlotTitles,0)))=FALSE, $AB$5,TRUE,"")</f>
        <v/>
      </c>
      <c r="C161" s="104" t="str" cm="1">
        <f t="array" ref="C161">_xlfn.IFS(AND(A161&gt;NumberOfPlots,ISBLANK(INDEX(PlotData,MATCH($A161,PlotNumber,0),MATCH(B$3,PlotTitles,0)))),"",ISBLANK(INDEX(PlotData,MATCH($A161,PlotNumber,0),MATCH(C$3,PlotTitles,0))),$AB$6,TRUE,"")</f>
        <v/>
      </c>
      <c r="D161" s="104" t="str" cm="1">
        <f t="array" ref="D161">_xlfn.IFS(AND(A161&gt;NumberOfPlots,ISBLANK(INDEX(PlotData,MATCH($A161,PlotNumber,0),MATCH(B$3,PlotTitles,0)))),"",ISBLANK(INDEX(PlotData,MATCH($A161,PlotNumber,0),MATCH(D$3,PlotTitles,0))),$AB$7,TRUE,"")</f>
        <v/>
      </c>
      <c r="E161" s="104" t="str" cm="1">
        <f t="array" ref="E161">_xlfn.IFS(AND(A161&gt;NumberOfPlots,ISBLANK(INDEX(PlotData,MATCH($A161,PlotNumber,0),MATCH(B$3,PlotTitles,0)))),"",ISBLANK(INDEX(PlotData,MATCH($A161,PlotNumber,0),MATCH(E$3,PlotTitles,0))),$AB$8,TRUE,"")</f>
        <v/>
      </c>
      <c r="F161" s="104" t="str" cm="1">
        <f t="array" ref="F161">_xlfn.IFS(AND(A161&gt;NumberOfPlots,ISBLANK(INDEX(PlotData,MATCH($A161,PlotNumber,0),MATCH(B$3,PlotTitles,0)))),"",ISBLANK(INDEX(PlotData,MATCH($A161,PlotNumber,0),MATCH(F$3,PlotTitles,0))),$AB$9,TRUE,"")</f>
        <v/>
      </c>
      <c r="G161" s="104" t="str" cm="1">
        <f t="array" ref="G161">_xlfn.IFS(AND(A161&gt;NumberOfPlots,ISBLANK(INDEX(PlotData,MATCH($A161,PlotNumber,0),MATCH(B$3,PlotTitles,0)))),"",ISBLANK(INDEX(PlotData,MATCH($A161,PlotNumber,0),MATCH(G$3,PlotTitles,0))),$AB$10,TRUE,"")</f>
        <v/>
      </c>
      <c r="H161" s="104" t="str" cm="1">
        <f t="array" ref="H161">_xlfn.IFS(AND(A161&gt;NumberOfPlots,ISBLANK(INDEX(PlotData,MATCH($A161,PlotNumber,0),MATCH(B$3,PlotTitles,0)))),"",AND(ISBLANK(INDEX(PlotData,MATCH($A161,PlotNumber,0),MATCH(H$3,PlotTitles,0)))=FALSE,INDEX(PlotData,MATCH($A161,PlotNumber,0),MATCH(H$3,PlotTitles,0))&lt;500), $AB$11,TRUE,"")</f>
        <v/>
      </c>
      <c r="I161" s="104" t="str" cm="1">
        <f t="array" ref="I161">_xlfn.IFS(AND(A161&gt;NumberOfPlots,ISBLANK(INDEX(PlotData,MATCH($A161,PlotNumber,0),MATCH(B$3,PlotTitles,0)))),"",ISBLANK(INDEX(PlotData,MATCH($A161,PlotNumber,0),MATCH(I$3,PlotTitles,0))),$AB$12,TRUE,"")</f>
        <v/>
      </c>
      <c r="J161" s="104" t="str" cm="1">
        <f t="array" ref="J161">_xlfn.IFS(AND(A161&gt;NumberOfPlots,ISBLANK(INDEX(PlotData,MATCH($A161,PlotNumber,0),MATCH(B$3,PlotTitles,0)))),"",ISBLANK(INDEX(PlotData,MATCH($A161,PlotNumber,0),MATCH(J$3,PlotTitles,0))),$AB$13,TRUE,"")</f>
        <v/>
      </c>
      <c r="K161" s="182" t="str">
        <f t="shared" ca="1" si="6"/>
        <v/>
      </c>
      <c r="L161" s="104" t="str" cm="1">
        <f t="array" ref="L161">_xlfn.IFS(OR(ISBLANK(StartDateMonth),ISBLANK(StartDateYear)),"",AND(A161&gt;NumberOfPlots,ISBLANK(INDEX(PlotData,MATCH($A161,PlotNumber,0),MATCH(B$3,PlotTitles,0)))),"",ISBLANK(INDEX(PlotData,MATCH($A161,PlotNumber,0),MATCH(I$3,PlotTitles,0))),"",(DATEVALUE(INDEX(PlotData,MATCH($A161,PlotNumber,0),MATCH(I$3,PlotTitles,0))&amp;INDEX(PlotData,MATCH($A161,PlotNumber,0),MATCH(J$3,PlotTitles,0))))&lt;DATEVALUE(StartDateMonth&amp;StartDateYear),$AB$15,TRUE,"")</f>
        <v/>
      </c>
      <c r="M161" s="104" t="str" cm="1">
        <f t="array" ref="M161">_xlfn.IFS(OR(ISBLANK(StartDateMonth),ISBLANK(StartDateYear)),"",AND(A161&gt;NumberOfPlots,ISBLANK(INDEX(PlotData,MATCH($A161,PlotNumber,0),MATCH(B$3,PlotTitles,0)))),"",ISBLANK(INDEX(PlotData,MATCH($A161,PlotNumber,0),MATCH(I$3,PlotTitles,0))),"",CompletionMonth="","",(DATEVALUE(INDEX(PlotData,MATCH($A161,PlotNumber,0),MATCH(I$3,PlotTitles,0))&amp;INDEX(PlotData,MATCH($A161,PlotNumber,0),MATCH(J$3,PlotTitles,0))))&gt;(DATEVALUE(CompletionMonth&amp;CompletionYear)),$AB$16,TRUE,"")</f>
        <v/>
      </c>
      <c r="N161" s="104" t="str" cm="1">
        <f t="array" ref="N161">_xlfn.IFS(AND(A161&gt;NumberOfPlots,ISBLANK(INDEX(PlotData,MATCH($A161,PlotNumber,0),MATCH(B$3,PlotTitles,0)))),"",ISBLANK(INDEX(PlotData,MATCH($A161,PlotNumber,0),MATCH(N$3,PlotTitles,0))),$AB$17,TRUE,"")</f>
        <v/>
      </c>
      <c r="O161" s="104" t="str" cm="1">
        <f t="array" ref="O161">_xlfn.IFS(AND(A161&gt;NumberOfPlots,ISBLANK(INDEX(PlotData,MATCH($A161,PlotNumber,0),MATCH(B$3,PlotTitles,0)))),"",ISBLANK(INDEX(PlotData,MATCH($A161,PlotNumber,0),MATCH(O$3,PlotTitles,0))),$AB$18,TRUE,"")</f>
        <v/>
      </c>
      <c r="P161" s="182" t="str">
        <f t="shared" ca="1" si="7"/>
        <v/>
      </c>
      <c r="Q161" s="104" t="str" cm="1">
        <f t="array" ref="Q161">_xlfn.IFS(AND(A161&gt;NumberOfPlots,ISBLANK(INDEX(PlotData,MATCH($A161,PlotNumber,0),MATCH(B$3,PlotTitles,0)))),"",ISBLANK(INDEX(PlotData,MATCH($A161,PlotNumber,0),MATCH(N$3,PlotTitles,0))),"",(DATEVALUE(INDEX(PlotData,MATCH($A161,PlotNumber,0),MATCH(N$3,PlotTitles,0))&amp;INDEX(PlotData,MATCH($A161,PlotNumber,0),MATCH(O$3,PlotTitles,0))))&lt;(DATEVALUE(INDEX(PlotData,MATCH($A161,PlotNumber,0),MATCH(I$3,PlotTitles,0))&amp;INDEX(PlotData,MATCH($A161,PlotNumber,0),MATCH(J$3,PlotTitles,0)))),$AB$20,TRUE,"")</f>
        <v/>
      </c>
      <c r="R161" s="104" t="str" cm="1">
        <f t="array" ref="R161">_xlfn.IFS(OR(ISBLANK(StartDateMonth),ISBLANK(StartDateYear)),"",AND(A161&gt;NumberOfPlots,ISBLANK(INDEX(PlotData,MATCH($A161,PlotNumber,0),MATCH(B$3,PlotTitles,0)))),"",ISBLANK(INDEX(PlotData,MATCH($A161,PlotNumber,0),MATCH(N$3,PlotTitles,0))),"",CompletionMonth="","",(DATEVALUE(INDEX(PlotData,MATCH($A161,PlotNumber,0),MATCH(N$3,PlotTitles,0))&amp;INDEX(PlotData,MATCH($A161,PlotNumber,0),MATCH(O$3,PlotTitles,0))))&gt;(DATEVALUE(CompletionMonth&amp;CompletionYear)),$AB$21,TRUE,"")</f>
        <v/>
      </c>
      <c r="S161" s="104" t="str" cm="1">
        <f t="array" ref="S161">_xlfn.IFS(AND(A161&gt;NumberOfPlots,ISBLANK(INDEX(PlotData,MATCH($A161,PlotNumber,0),MATCH(B$3,PlotTitles,0)))),"",OR(AND(INDEX(PlotData,MATCH($A161,PlotNumber,0),MATCH("Tenure",PlotTitles,0))="Open market housing",INDEX(PlotData,MATCH($A161,PlotNumber,0),MATCH("Tenure detail",PlotTitles,0))="Private rented sector"),INDEX(PlotData,MATCH($A161,PlotNumber,0),MATCH("Tenure",PlotTitles,0))="Affordable rent"),"",ISNUMBER(INDEX(PlotData,MATCH($A161,PlotNumber,0),MATCH(S$3,PlotTitles,0)))=FALSE, $AB$22,TRUE,"")</f>
        <v/>
      </c>
      <c r="T161" s="104" t="str" cm="1">
        <f t="array" ref="T161">_xlfn.IFS(AND(A161&gt;NumberOfPlots,ISBLANK(INDEX(PlotData,MATCH($A161,PlotNumber,0),MATCH(B$3,PlotTitles,0)))),"",OR(AND(INDEX(PlotData,MATCH($A161,PlotNumber,0),MATCH("Tenure",PlotTitles,0))="Open market housing",INDEX(PlotData,MATCH($A161,PlotNumber,0),MATCH("Tenure detail",PlotTitles,0))="Private rented sector"),INDEX(PlotData,MATCH($A161,PlotNumber,0),MATCH("Tenure",PlotTitles,0))="Affordable rent"),"",INDEX(PlotData,MATCH($A161,PlotNumber,0),MATCH(S$3,PlotTitles,0))&lt;10000, $AB$23,TRUE,"")</f>
        <v/>
      </c>
      <c r="U161" s="104" t="str" cm="1">
        <f t="array" ref="U161">_xlfn.IFS(AND(A161&gt;NumberOfPlots,ISBLANK(INDEX(PlotData,MATCH($A161,PlotNumber,0),MATCH(B$3,PlotTitles,0)))),"",NOT(OR(AND(INDEX(PlotData,MATCH($A161,PlotNumber,0),MATCH("Tenure",PlotTitles,0))="Open market housing",INDEX(PlotData,MATCH($A161,PlotNumber,0),MATCH("Tenure detail",PlotTitles,0))="Private rented sector"),INDEX(PlotData,MATCH($A161,PlotNumber,0),MATCH("Tenure",PlotTitles,0))="Affordable rent")),"",NOT(INDEX(PlotData,MATCH($A161,PlotNumber,0),MATCH(S$3,PlotTitles,0))=0), $AB$24,TRUE,"")</f>
        <v/>
      </c>
      <c r="V161" s="114" t="str" cm="1">
        <f t="array" aca="1" ref="V161" ca="1">_xlfn.IFS(ISBLANK(NumberOfPlots),"Enter the number of homes on the 1_SetUp sheet",AND(A161&gt;NumberOfPlots,ISBLANK(INDEX(PlotData,MATCH($A161,PlotNumber,0),MATCH(B$3,PlotTitles,0)))),"No error",NOT(B161=""),B161,NOT(C161=""),C161,NOT(D161=""),D161,NOT(E161=""),E161,NOT(F161=""),F161,NOT(G161=""),G161,NOT(H161=""),H161,NOT(I161=""),I161,NOT(J161=""),J161,NOT(K161=""),K161,NOT(L161=""),L161,NOT(M161=""),M161,NOT(N161=""),N161,NOT(O161=""),O161,NOT(P161=""),P161,NOT(Q161=""),Q161,NOT(R161=""),R161,NOT(S161=""),S161,NOT(T161=""),T161,NOT(U161=""),U161,TRUE,"No error")</f>
        <v>Enter the number of homes on the 1_SetUp sheet</v>
      </c>
      <c r="W161" s="114" t="str">
        <f t="shared" ca="1" si="8"/>
        <v xml:space="preserve">The Borrower has not addressed the following error messages for Home ID 157: </v>
      </c>
    </row>
    <row r="162" spans="1:23">
      <c r="A162" s="123">
        <v>158</v>
      </c>
      <c r="B162" s="104" t="str" cm="1">
        <f t="array" ref="B162">_xlfn.IFS(AND(A162&gt;NumberOfPlots,ISBLANK(INDEX(PlotData,MATCH($A162,PlotNumber,0),MATCH(B$3,PlotTitles,0)))),"",ISNUMBER(INDEX(PlotData,MATCH($A162,PlotNumber,0),MATCH(B$3,PlotTitles,0)))=FALSE, $AB$5,TRUE,"")</f>
        <v/>
      </c>
      <c r="C162" s="104" t="str" cm="1">
        <f t="array" ref="C162">_xlfn.IFS(AND(A162&gt;NumberOfPlots,ISBLANK(INDEX(PlotData,MATCH($A162,PlotNumber,0),MATCH(B$3,PlotTitles,0)))),"",ISBLANK(INDEX(PlotData,MATCH($A162,PlotNumber,0),MATCH(C$3,PlotTitles,0))),$AB$6,TRUE,"")</f>
        <v/>
      </c>
      <c r="D162" s="104" t="str" cm="1">
        <f t="array" ref="D162">_xlfn.IFS(AND(A162&gt;NumberOfPlots,ISBLANK(INDEX(PlotData,MATCH($A162,PlotNumber,0),MATCH(B$3,PlotTitles,0)))),"",ISBLANK(INDEX(PlotData,MATCH($A162,PlotNumber,0),MATCH(D$3,PlotTitles,0))),$AB$7,TRUE,"")</f>
        <v/>
      </c>
      <c r="E162" s="104" t="str" cm="1">
        <f t="array" ref="E162">_xlfn.IFS(AND(A162&gt;NumberOfPlots,ISBLANK(INDEX(PlotData,MATCH($A162,PlotNumber,0),MATCH(B$3,PlotTitles,0)))),"",ISBLANK(INDEX(PlotData,MATCH($A162,PlotNumber,0),MATCH(E$3,PlotTitles,0))),$AB$8,TRUE,"")</f>
        <v/>
      </c>
      <c r="F162" s="104" t="str" cm="1">
        <f t="array" ref="F162">_xlfn.IFS(AND(A162&gt;NumberOfPlots,ISBLANK(INDEX(PlotData,MATCH($A162,PlotNumber,0),MATCH(B$3,PlotTitles,0)))),"",ISBLANK(INDEX(PlotData,MATCH($A162,PlotNumber,0),MATCH(F$3,PlotTitles,0))),$AB$9,TRUE,"")</f>
        <v/>
      </c>
      <c r="G162" s="104" t="str" cm="1">
        <f t="array" ref="G162">_xlfn.IFS(AND(A162&gt;NumberOfPlots,ISBLANK(INDEX(PlotData,MATCH($A162,PlotNumber,0),MATCH(B$3,PlotTitles,0)))),"",ISBLANK(INDEX(PlotData,MATCH($A162,PlotNumber,0),MATCH(G$3,PlotTitles,0))),$AB$10,TRUE,"")</f>
        <v/>
      </c>
      <c r="H162" s="104" t="str" cm="1">
        <f t="array" ref="H162">_xlfn.IFS(AND(A162&gt;NumberOfPlots,ISBLANK(INDEX(PlotData,MATCH($A162,PlotNumber,0),MATCH(B$3,PlotTitles,0)))),"",AND(ISBLANK(INDEX(PlotData,MATCH($A162,PlotNumber,0),MATCH(H$3,PlotTitles,0)))=FALSE,INDEX(PlotData,MATCH($A162,PlotNumber,0),MATCH(H$3,PlotTitles,0))&lt;500), $AB$11,TRUE,"")</f>
        <v/>
      </c>
      <c r="I162" s="104" t="str" cm="1">
        <f t="array" ref="I162">_xlfn.IFS(AND(A162&gt;NumberOfPlots,ISBLANK(INDEX(PlotData,MATCH($A162,PlotNumber,0),MATCH(B$3,PlotTitles,0)))),"",ISBLANK(INDEX(PlotData,MATCH($A162,PlotNumber,0),MATCH(I$3,PlotTitles,0))),$AB$12,TRUE,"")</f>
        <v/>
      </c>
      <c r="J162" s="104" t="str" cm="1">
        <f t="array" ref="J162">_xlfn.IFS(AND(A162&gt;NumberOfPlots,ISBLANK(INDEX(PlotData,MATCH($A162,PlotNumber,0),MATCH(B$3,PlotTitles,0)))),"",ISBLANK(INDEX(PlotData,MATCH($A162,PlotNumber,0),MATCH(J$3,PlotTitles,0))),$AB$13,TRUE,"")</f>
        <v/>
      </c>
      <c r="K162" s="182" t="str">
        <f t="shared" ca="1" si="6"/>
        <v/>
      </c>
      <c r="L162" s="104" t="str" cm="1">
        <f t="array" ref="L162">_xlfn.IFS(OR(ISBLANK(StartDateMonth),ISBLANK(StartDateYear)),"",AND(A162&gt;NumberOfPlots,ISBLANK(INDEX(PlotData,MATCH($A162,PlotNumber,0),MATCH(B$3,PlotTitles,0)))),"",ISBLANK(INDEX(PlotData,MATCH($A162,PlotNumber,0),MATCH(I$3,PlotTitles,0))),"",(DATEVALUE(INDEX(PlotData,MATCH($A162,PlotNumber,0),MATCH(I$3,PlotTitles,0))&amp;INDEX(PlotData,MATCH($A162,PlotNumber,0),MATCH(J$3,PlotTitles,0))))&lt;DATEVALUE(StartDateMonth&amp;StartDateYear),$AB$15,TRUE,"")</f>
        <v/>
      </c>
      <c r="M162" s="104" t="str" cm="1">
        <f t="array" ref="M162">_xlfn.IFS(OR(ISBLANK(StartDateMonth),ISBLANK(StartDateYear)),"",AND(A162&gt;NumberOfPlots,ISBLANK(INDEX(PlotData,MATCH($A162,PlotNumber,0),MATCH(B$3,PlotTitles,0)))),"",ISBLANK(INDEX(PlotData,MATCH($A162,PlotNumber,0),MATCH(I$3,PlotTitles,0))),"",CompletionMonth="","",(DATEVALUE(INDEX(PlotData,MATCH($A162,PlotNumber,0),MATCH(I$3,PlotTitles,0))&amp;INDEX(PlotData,MATCH($A162,PlotNumber,0),MATCH(J$3,PlotTitles,0))))&gt;(DATEVALUE(CompletionMonth&amp;CompletionYear)),$AB$16,TRUE,"")</f>
        <v/>
      </c>
      <c r="N162" s="104" t="str" cm="1">
        <f t="array" ref="N162">_xlfn.IFS(AND(A162&gt;NumberOfPlots,ISBLANK(INDEX(PlotData,MATCH($A162,PlotNumber,0),MATCH(B$3,PlotTitles,0)))),"",ISBLANK(INDEX(PlotData,MATCH($A162,PlotNumber,0),MATCH(N$3,PlotTitles,0))),$AB$17,TRUE,"")</f>
        <v/>
      </c>
      <c r="O162" s="104" t="str" cm="1">
        <f t="array" ref="O162">_xlfn.IFS(AND(A162&gt;NumberOfPlots,ISBLANK(INDEX(PlotData,MATCH($A162,PlotNumber,0),MATCH(B$3,PlotTitles,0)))),"",ISBLANK(INDEX(PlotData,MATCH($A162,PlotNumber,0),MATCH(O$3,PlotTitles,0))),$AB$18,TRUE,"")</f>
        <v/>
      </c>
      <c r="P162" s="182" t="str">
        <f t="shared" ca="1" si="7"/>
        <v/>
      </c>
      <c r="Q162" s="104" t="str" cm="1">
        <f t="array" ref="Q162">_xlfn.IFS(AND(A162&gt;NumberOfPlots,ISBLANK(INDEX(PlotData,MATCH($A162,PlotNumber,0),MATCH(B$3,PlotTitles,0)))),"",ISBLANK(INDEX(PlotData,MATCH($A162,PlotNumber,0),MATCH(N$3,PlotTitles,0))),"",(DATEVALUE(INDEX(PlotData,MATCH($A162,PlotNumber,0),MATCH(N$3,PlotTitles,0))&amp;INDEX(PlotData,MATCH($A162,PlotNumber,0),MATCH(O$3,PlotTitles,0))))&lt;(DATEVALUE(INDEX(PlotData,MATCH($A162,PlotNumber,0),MATCH(I$3,PlotTitles,0))&amp;INDEX(PlotData,MATCH($A162,PlotNumber,0),MATCH(J$3,PlotTitles,0)))),$AB$20,TRUE,"")</f>
        <v/>
      </c>
      <c r="R162" s="104" t="str" cm="1">
        <f t="array" ref="R162">_xlfn.IFS(OR(ISBLANK(StartDateMonth),ISBLANK(StartDateYear)),"",AND(A162&gt;NumberOfPlots,ISBLANK(INDEX(PlotData,MATCH($A162,PlotNumber,0),MATCH(B$3,PlotTitles,0)))),"",ISBLANK(INDEX(PlotData,MATCH($A162,PlotNumber,0),MATCH(N$3,PlotTitles,0))),"",CompletionMonth="","",(DATEVALUE(INDEX(PlotData,MATCH($A162,PlotNumber,0),MATCH(N$3,PlotTitles,0))&amp;INDEX(PlotData,MATCH($A162,PlotNumber,0),MATCH(O$3,PlotTitles,0))))&gt;(DATEVALUE(CompletionMonth&amp;CompletionYear)),$AB$21,TRUE,"")</f>
        <v/>
      </c>
      <c r="S162" s="104" t="str" cm="1">
        <f t="array" ref="S162">_xlfn.IFS(AND(A162&gt;NumberOfPlots,ISBLANK(INDEX(PlotData,MATCH($A162,PlotNumber,0),MATCH(B$3,PlotTitles,0)))),"",OR(AND(INDEX(PlotData,MATCH($A162,PlotNumber,0),MATCH("Tenure",PlotTitles,0))="Open market housing",INDEX(PlotData,MATCH($A162,PlotNumber,0),MATCH("Tenure detail",PlotTitles,0))="Private rented sector"),INDEX(PlotData,MATCH($A162,PlotNumber,0),MATCH("Tenure",PlotTitles,0))="Affordable rent"),"",ISNUMBER(INDEX(PlotData,MATCH($A162,PlotNumber,0),MATCH(S$3,PlotTitles,0)))=FALSE, $AB$22,TRUE,"")</f>
        <v/>
      </c>
      <c r="T162" s="104" t="str" cm="1">
        <f t="array" ref="T162">_xlfn.IFS(AND(A162&gt;NumberOfPlots,ISBLANK(INDEX(PlotData,MATCH($A162,PlotNumber,0),MATCH(B$3,PlotTitles,0)))),"",OR(AND(INDEX(PlotData,MATCH($A162,PlotNumber,0),MATCH("Tenure",PlotTitles,0))="Open market housing",INDEX(PlotData,MATCH($A162,PlotNumber,0),MATCH("Tenure detail",PlotTitles,0))="Private rented sector"),INDEX(PlotData,MATCH($A162,PlotNumber,0),MATCH("Tenure",PlotTitles,0))="Affordable rent"),"",INDEX(PlotData,MATCH($A162,PlotNumber,0),MATCH(S$3,PlotTitles,0))&lt;10000, $AB$23,TRUE,"")</f>
        <v/>
      </c>
      <c r="U162" s="104" t="str" cm="1">
        <f t="array" ref="U162">_xlfn.IFS(AND(A162&gt;NumberOfPlots,ISBLANK(INDEX(PlotData,MATCH($A162,PlotNumber,0),MATCH(B$3,PlotTitles,0)))),"",NOT(OR(AND(INDEX(PlotData,MATCH($A162,PlotNumber,0),MATCH("Tenure",PlotTitles,0))="Open market housing",INDEX(PlotData,MATCH($A162,PlotNumber,0),MATCH("Tenure detail",PlotTitles,0))="Private rented sector"),INDEX(PlotData,MATCH($A162,PlotNumber,0),MATCH("Tenure",PlotTitles,0))="Affordable rent")),"",NOT(INDEX(PlotData,MATCH($A162,PlotNumber,0),MATCH(S$3,PlotTitles,0))=0), $AB$24,TRUE,"")</f>
        <v/>
      </c>
      <c r="V162" s="114" t="str" cm="1">
        <f t="array" aca="1" ref="V162" ca="1">_xlfn.IFS(ISBLANK(NumberOfPlots),"Enter the number of homes on the 1_SetUp sheet",AND(A162&gt;NumberOfPlots,ISBLANK(INDEX(PlotData,MATCH($A162,PlotNumber,0),MATCH(B$3,PlotTitles,0)))),"No error",NOT(B162=""),B162,NOT(C162=""),C162,NOT(D162=""),D162,NOT(E162=""),E162,NOT(F162=""),F162,NOT(G162=""),G162,NOT(H162=""),H162,NOT(I162=""),I162,NOT(J162=""),J162,NOT(K162=""),K162,NOT(L162=""),L162,NOT(M162=""),M162,NOT(N162=""),N162,NOT(O162=""),O162,NOT(P162=""),P162,NOT(Q162=""),Q162,NOT(R162=""),R162,NOT(S162=""),S162,NOT(T162=""),T162,NOT(U162=""),U162,TRUE,"No error")</f>
        <v>Enter the number of homes on the 1_SetUp sheet</v>
      </c>
      <c r="W162" s="114" t="str">
        <f t="shared" ca="1" si="8"/>
        <v xml:space="preserve">The Borrower has not addressed the following error messages for Home ID 158: </v>
      </c>
    </row>
    <row r="163" spans="1:23">
      <c r="A163" s="123">
        <v>159</v>
      </c>
      <c r="B163" s="104" t="str" cm="1">
        <f t="array" ref="B163">_xlfn.IFS(AND(A163&gt;NumberOfPlots,ISBLANK(INDEX(PlotData,MATCH($A163,PlotNumber,0),MATCH(B$3,PlotTitles,0)))),"",ISNUMBER(INDEX(PlotData,MATCH($A163,PlotNumber,0),MATCH(B$3,PlotTitles,0)))=FALSE, $AB$5,TRUE,"")</f>
        <v/>
      </c>
      <c r="C163" s="104" t="str" cm="1">
        <f t="array" ref="C163">_xlfn.IFS(AND(A163&gt;NumberOfPlots,ISBLANK(INDEX(PlotData,MATCH($A163,PlotNumber,0),MATCH(B$3,PlotTitles,0)))),"",ISBLANK(INDEX(PlotData,MATCH($A163,PlotNumber,0),MATCH(C$3,PlotTitles,0))),$AB$6,TRUE,"")</f>
        <v/>
      </c>
      <c r="D163" s="104" t="str" cm="1">
        <f t="array" ref="D163">_xlfn.IFS(AND(A163&gt;NumberOfPlots,ISBLANK(INDEX(PlotData,MATCH($A163,PlotNumber,0),MATCH(B$3,PlotTitles,0)))),"",ISBLANK(INDEX(PlotData,MATCH($A163,PlotNumber,0),MATCH(D$3,PlotTitles,0))),$AB$7,TRUE,"")</f>
        <v/>
      </c>
      <c r="E163" s="104" t="str" cm="1">
        <f t="array" ref="E163">_xlfn.IFS(AND(A163&gt;NumberOfPlots,ISBLANK(INDEX(PlotData,MATCH($A163,PlotNumber,0),MATCH(B$3,PlotTitles,0)))),"",ISBLANK(INDEX(PlotData,MATCH($A163,PlotNumber,0),MATCH(E$3,PlotTitles,0))),$AB$8,TRUE,"")</f>
        <v/>
      </c>
      <c r="F163" s="104" t="str" cm="1">
        <f t="array" ref="F163">_xlfn.IFS(AND(A163&gt;NumberOfPlots,ISBLANK(INDEX(PlotData,MATCH($A163,PlotNumber,0),MATCH(B$3,PlotTitles,0)))),"",ISBLANK(INDEX(PlotData,MATCH($A163,PlotNumber,0),MATCH(F$3,PlotTitles,0))),$AB$9,TRUE,"")</f>
        <v/>
      </c>
      <c r="G163" s="104" t="str" cm="1">
        <f t="array" ref="G163">_xlfn.IFS(AND(A163&gt;NumberOfPlots,ISBLANK(INDEX(PlotData,MATCH($A163,PlotNumber,0),MATCH(B$3,PlotTitles,0)))),"",ISBLANK(INDEX(PlotData,MATCH($A163,PlotNumber,0),MATCH(G$3,PlotTitles,0))),$AB$10,TRUE,"")</f>
        <v/>
      </c>
      <c r="H163" s="104" t="str" cm="1">
        <f t="array" ref="H163">_xlfn.IFS(AND(A163&gt;NumberOfPlots,ISBLANK(INDEX(PlotData,MATCH($A163,PlotNumber,0),MATCH(B$3,PlotTitles,0)))),"",AND(ISBLANK(INDEX(PlotData,MATCH($A163,PlotNumber,0),MATCH(H$3,PlotTitles,0)))=FALSE,INDEX(PlotData,MATCH($A163,PlotNumber,0),MATCH(H$3,PlotTitles,0))&lt;500), $AB$11,TRUE,"")</f>
        <v/>
      </c>
      <c r="I163" s="104" t="str" cm="1">
        <f t="array" ref="I163">_xlfn.IFS(AND(A163&gt;NumberOfPlots,ISBLANK(INDEX(PlotData,MATCH($A163,PlotNumber,0),MATCH(B$3,PlotTitles,0)))),"",ISBLANK(INDEX(PlotData,MATCH($A163,PlotNumber,0),MATCH(I$3,PlotTitles,0))),$AB$12,TRUE,"")</f>
        <v/>
      </c>
      <c r="J163" s="104" t="str" cm="1">
        <f t="array" ref="J163">_xlfn.IFS(AND(A163&gt;NumberOfPlots,ISBLANK(INDEX(PlotData,MATCH($A163,PlotNumber,0),MATCH(B$3,PlotTitles,0)))),"",ISBLANK(INDEX(PlotData,MATCH($A163,PlotNumber,0),MATCH(J$3,PlotTitles,0))),$AB$13,TRUE,"")</f>
        <v/>
      </c>
      <c r="K163" s="182" t="str">
        <f t="shared" ca="1" si="6"/>
        <v/>
      </c>
      <c r="L163" s="104" t="str" cm="1">
        <f t="array" ref="L163">_xlfn.IFS(OR(ISBLANK(StartDateMonth),ISBLANK(StartDateYear)),"",AND(A163&gt;NumberOfPlots,ISBLANK(INDEX(PlotData,MATCH($A163,PlotNumber,0),MATCH(B$3,PlotTitles,0)))),"",ISBLANK(INDEX(PlotData,MATCH($A163,PlotNumber,0),MATCH(I$3,PlotTitles,0))),"",(DATEVALUE(INDEX(PlotData,MATCH($A163,PlotNumber,0),MATCH(I$3,PlotTitles,0))&amp;INDEX(PlotData,MATCH($A163,PlotNumber,0),MATCH(J$3,PlotTitles,0))))&lt;DATEVALUE(StartDateMonth&amp;StartDateYear),$AB$15,TRUE,"")</f>
        <v/>
      </c>
      <c r="M163" s="104" t="str" cm="1">
        <f t="array" ref="M163">_xlfn.IFS(OR(ISBLANK(StartDateMonth),ISBLANK(StartDateYear)),"",AND(A163&gt;NumberOfPlots,ISBLANK(INDEX(PlotData,MATCH($A163,PlotNumber,0),MATCH(B$3,PlotTitles,0)))),"",ISBLANK(INDEX(PlotData,MATCH($A163,PlotNumber,0),MATCH(I$3,PlotTitles,0))),"",CompletionMonth="","",(DATEVALUE(INDEX(PlotData,MATCH($A163,PlotNumber,0),MATCH(I$3,PlotTitles,0))&amp;INDEX(PlotData,MATCH($A163,PlotNumber,0),MATCH(J$3,PlotTitles,0))))&gt;(DATEVALUE(CompletionMonth&amp;CompletionYear)),$AB$16,TRUE,"")</f>
        <v/>
      </c>
      <c r="N163" s="104" t="str" cm="1">
        <f t="array" ref="N163">_xlfn.IFS(AND(A163&gt;NumberOfPlots,ISBLANK(INDEX(PlotData,MATCH($A163,PlotNumber,0),MATCH(B$3,PlotTitles,0)))),"",ISBLANK(INDEX(PlotData,MATCH($A163,PlotNumber,0),MATCH(N$3,PlotTitles,0))),$AB$17,TRUE,"")</f>
        <v/>
      </c>
      <c r="O163" s="104" t="str" cm="1">
        <f t="array" ref="O163">_xlfn.IFS(AND(A163&gt;NumberOfPlots,ISBLANK(INDEX(PlotData,MATCH($A163,PlotNumber,0),MATCH(B$3,PlotTitles,0)))),"",ISBLANK(INDEX(PlotData,MATCH($A163,PlotNumber,0),MATCH(O$3,PlotTitles,0))),$AB$18,TRUE,"")</f>
        <v/>
      </c>
      <c r="P163" s="182" t="str">
        <f t="shared" ca="1" si="7"/>
        <v/>
      </c>
      <c r="Q163" s="104" t="str" cm="1">
        <f t="array" ref="Q163">_xlfn.IFS(AND(A163&gt;NumberOfPlots,ISBLANK(INDEX(PlotData,MATCH($A163,PlotNumber,0),MATCH(B$3,PlotTitles,0)))),"",ISBLANK(INDEX(PlotData,MATCH($A163,PlotNumber,0),MATCH(N$3,PlotTitles,0))),"",(DATEVALUE(INDEX(PlotData,MATCH($A163,PlotNumber,0),MATCH(N$3,PlotTitles,0))&amp;INDEX(PlotData,MATCH($A163,PlotNumber,0),MATCH(O$3,PlotTitles,0))))&lt;(DATEVALUE(INDEX(PlotData,MATCH($A163,PlotNumber,0),MATCH(I$3,PlotTitles,0))&amp;INDEX(PlotData,MATCH($A163,PlotNumber,0),MATCH(J$3,PlotTitles,0)))),$AB$20,TRUE,"")</f>
        <v/>
      </c>
      <c r="R163" s="104" t="str" cm="1">
        <f t="array" ref="R163">_xlfn.IFS(OR(ISBLANK(StartDateMonth),ISBLANK(StartDateYear)),"",AND(A163&gt;NumberOfPlots,ISBLANK(INDEX(PlotData,MATCH($A163,PlotNumber,0),MATCH(B$3,PlotTitles,0)))),"",ISBLANK(INDEX(PlotData,MATCH($A163,PlotNumber,0),MATCH(N$3,PlotTitles,0))),"",CompletionMonth="","",(DATEVALUE(INDEX(PlotData,MATCH($A163,PlotNumber,0),MATCH(N$3,PlotTitles,0))&amp;INDEX(PlotData,MATCH($A163,PlotNumber,0),MATCH(O$3,PlotTitles,0))))&gt;(DATEVALUE(CompletionMonth&amp;CompletionYear)),$AB$21,TRUE,"")</f>
        <v/>
      </c>
      <c r="S163" s="104" t="str" cm="1">
        <f t="array" ref="S163">_xlfn.IFS(AND(A163&gt;NumberOfPlots,ISBLANK(INDEX(PlotData,MATCH($A163,PlotNumber,0),MATCH(B$3,PlotTitles,0)))),"",OR(AND(INDEX(PlotData,MATCH($A163,PlotNumber,0),MATCH("Tenure",PlotTitles,0))="Open market housing",INDEX(PlotData,MATCH($A163,PlotNumber,0),MATCH("Tenure detail",PlotTitles,0))="Private rented sector"),INDEX(PlotData,MATCH($A163,PlotNumber,0),MATCH("Tenure",PlotTitles,0))="Affordable rent"),"",ISNUMBER(INDEX(PlotData,MATCH($A163,PlotNumber,0),MATCH(S$3,PlotTitles,0)))=FALSE, $AB$22,TRUE,"")</f>
        <v/>
      </c>
      <c r="T163" s="104" t="str" cm="1">
        <f t="array" ref="T163">_xlfn.IFS(AND(A163&gt;NumberOfPlots,ISBLANK(INDEX(PlotData,MATCH($A163,PlotNumber,0),MATCH(B$3,PlotTitles,0)))),"",OR(AND(INDEX(PlotData,MATCH($A163,PlotNumber,0),MATCH("Tenure",PlotTitles,0))="Open market housing",INDEX(PlotData,MATCH($A163,PlotNumber,0),MATCH("Tenure detail",PlotTitles,0))="Private rented sector"),INDEX(PlotData,MATCH($A163,PlotNumber,0),MATCH("Tenure",PlotTitles,0))="Affordable rent"),"",INDEX(PlotData,MATCH($A163,PlotNumber,0),MATCH(S$3,PlotTitles,0))&lt;10000, $AB$23,TRUE,"")</f>
        <v/>
      </c>
      <c r="U163" s="104" t="str" cm="1">
        <f t="array" ref="U163">_xlfn.IFS(AND(A163&gt;NumberOfPlots,ISBLANK(INDEX(PlotData,MATCH($A163,PlotNumber,0),MATCH(B$3,PlotTitles,0)))),"",NOT(OR(AND(INDEX(PlotData,MATCH($A163,PlotNumber,0),MATCH("Tenure",PlotTitles,0))="Open market housing",INDEX(PlotData,MATCH($A163,PlotNumber,0),MATCH("Tenure detail",PlotTitles,0))="Private rented sector"),INDEX(PlotData,MATCH($A163,PlotNumber,0),MATCH("Tenure",PlotTitles,0))="Affordable rent")),"",NOT(INDEX(PlotData,MATCH($A163,PlotNumber,0),MATCH(S$3,PlotTitles,0))=0), $AB$24,TRUE,"")</f>
        <v/>
      </c>
      <c r="V163" s="114" t="str" cm="1">
        <f t="array" aca="1" ref="V163" ca="1">_xlfn.IFS(ISBLANK(NumberOfPlots),"Enter the number of homes on the 1_SetUp sheet",AND(A163&gt;NumberOfPlots,ISBLANK(INDEX(PlotData,MATCH($A163,PlotNumber,0),MATCH(B$3,PlotTitles,0)))),"No error",NOT(B163=""),B163,NOT(C163=""),C163,NOT(D163=""),D163,NOT(E163=""),E163,NOT(F163=""),F163,NOT(G163=""),G163,NOT(H163=""),H163,NOT(I163=""),I163,NOT(J163=""),J163,NOT(K163=""),K163,NOT(L163=""),L163,NOT(M163=""),M163,NOT(N163=""),N163,NOT(O163=""),O163,NOT(P163=""),P163,NOT(Q163=""),Q163,NOT(R163=""),R163,NOT(S163=""),S163,NOT(T163=""),T163,NOT(U163=""),U163,TRUE,"No error")</f>
        <v>Enter the number of homes on the 1_SetUp sheet</v>
      </c>
      <c r="W163" s="114" t="str">
        <f t="shared" ca="1" si="8"/>
        <v xml:space="preserve">The Borrower has not addressed the following error messages for Home ID 159: </v>
      </c>
    </row>
    <row r="164" spans="1:23">
      <c r="A164" s="123">
        <v>160</v>
      </c>
      <c r="B164" s="104" t="str" cm="1">
        <f t="array" ref="B164">_xlfn.IFS(AND(A164&gt;NumberOfPlots,ISBLANK(INDEX(PlotData,MATCH($A164,PlotNumber,0),MATCH(B$3,PlotTitles,0)))),"",ISNUMBER(INDEX(PlotData,MATCH($A164,PlotNumber,0),MATCH(B$3,PlotTitles,0)))=FALSE, $AB$5,TRUE,"")</f>
        <v/>
      </c>
      <c r="C164" s="104" t="str" cm="1">
        <f t="array" ref="C164">_xlfn.IFS(AND(A164&gt;NumberOfPlots,ISBLANK(INDEX(PlotData,MATCH($A164,PlotNumber,0),MATCH(B$3,PlotTitles,0)))),"",ISBLANK(INDEX(PlotData,MATCH($A164,PlotNumber,0),MATCH(C$3,PlotTitles,0))),$AB$6,TRUE,"")</f>
        <v/>
      </c>
      <c r="D164" s="104" t="str" cm="1">
        <f t="array" ref="D164">_xlfn.IFS(AND(A164&gt;NumberOfPlots,ISBLANK(INDEX(PlotData,MATCH($A164,PlotNumber,0),MATCH(B$3,PlotTitles,0)))),"",ISBLANK(INDEX(PlotData,MATCH($A164,PlotNumber,0),MATCH(D$3,PlotTitles,0))),$AB$7,TRUE,"")</f>
        <v/>
      </c>
      <c r="E164" s="104" t="str" cm="1">
        <f t="array" ref="E164">_xlfn.IFS(AND(A164&gt;NumberOfPlots,ISBLANK(INDEX(PlotData,MATCH($A164,PlotNumber,0),MATCH(B$3,PlotTitles,0)))),"",ISBLANK(INDEX(PlotData,MATCH($A164,PlotNumber,0),MATCH(E$3,PlotTitles,0))),$AB$8,TRUE,"")</f>
        <v/>
      </c>
      <c r="F164" s="104" t="str" cm="1">
        <f t="array" ref="F164">_xlfn.IFS(AND(A164&gt;NumberOfPlots,ISBLANK(INDEX(PlotData,MATCH($A164,PlotNumber,0),MATCH(B$3,PlotTitles,0)))),"",ISBLANK(INDEX(PlotData,MATCH($A164,PlotNumber,0),MATCH(F$3,PlotTitles,0))),$AB$9,TRUE,"")</f>
        <v/>
      </c>
      <c r="G164" s="104" t="str" cm="1">
        <f t="array" ref="G164">_xlfn.IFS(AND(A164&gt;NumberOfPlots,ISBLANK(INDEX(PlotData,MATCH($A164,PlotNumber,0),MATCH(B$3,PlotTitles,0)))),"",ISBLANK(INDEX(PlotData,MATCH($A164,PlotNumber,0),MATCH(G$3,PlotTitles,0))),$AB$10,TRUE,"")</f>
        <v/>
      </c>
      <c r="H164" s="104" t="str" cm="1">
        <f t="array" ref="H164">_xlfn.IFS(AND(A164&gt;NumberOfPlots,ISBLANK(INDEX(PlotData,MATCH($A164,PlotNumber,0),MATCH(B$3,PlotTitles,0)))),"",AND(ISBLANK(INDEX(PlotData,MATCH($A164,PlotNumber,0),MATCH(H$3,PlotTitles,0)))=FALSE,INDEX(PlotData,MATCH($A164,PlotNumber,0),MATCH(H$3,PlotTitles,0))&lt;500), $AB$11,TRUE,"")</f>
        <v/>
      </c>
      <c r="I164" s="104" t="str" cm="1">
        <f t="array" ref="I164">_xlfn.IFS(AND(A164&gt;NumberOfPlots,ISBLANK(INDEX(PlotData,MATCH($A164,PlotNumber,0),MATCH(B$3,PlotTitles,0)))),"",ISBLANK(INDEX(PlotData,MATCH($A164,PlotNumber,0),MATCH(I$3,PlotTitles,0))),$AB$12,TRUE,"")</f>
        <v/>
      </c>
      <c r="J164" s="104" t="str" cm="1">
        <f t="array" ref="J164">_xlfn.IFS(AND(A164&gt;NumberOfPlots,ISBLANK(INDEX(PlotData,MATCH($A164,PlotNumber,0),MATCH(B$3,PlotTitles,0)))),"",ISBLANK(INDEX(PlotData,MATCH($A164,PlotNumber,0),MATCH(J$3,PlotTitles,0))),$AB$13,TRUE,"")</f>
        <v/>
      </c>
      <c r="K164" s="182" t="str">
        <f t="shared" ca="1" si="6"/>
        <v/>
      </c>
      <c r="L164" s="104" t="str" cm="1">
        <f t="array" ref="L164">_xlfn.IFS(OR(ISBLANK(StartDateMonth),ISBLANK(StartDateYear)),"",AND(A164&gt;NumberOfPlots,ISBLANK(INDEX(PlotData,MATCH($A164,PlotNumber,0),MATCH(B$3,PlotTitles,0)))),"",ISBLANK(INDEX(PlotData,MATCH($A164,PlotNumber,0),MATCH(I$3,PlotTitles,0))),"",(DATEVALUE(INDEX(PlotData,MATCH($A164,PlotNumber,0),MATCH(I$3,PlotTitles,0))&amp;INDEX(PlotData,MATCH($A164,PlotNumber,0),MATCH(J$3,PlotTitles,0))))&lt;DATEVALUE(StartDateMonth&amp;StartDateYear),$AB$15,TRUE,"")</f>
        <v/>
      </c>
      <c r="M164" s="104" t="str" cm="1">
        <f t="array" ref="M164">_xlfn.IFS(OR(ISBLANK(StartDateMonth),ISBLANK(StartDateYear)),"",AND(A164&gt;NumberOfPlots,ISBLANK(INDEX(PlotData,MATCH($A164,PlotNumber,0),MATCH(B$3,PlotTitles,0)))),"",ISBLANK(INDEX(PlotData,MATCH($A164,PlotNumber,0),MATCH(I$3,PlotTitles,0))),"",CompletionMonth="","",(DATEVALUE(INDEX(PlotData,MATCH($A164,PlotNumber,0),MATCH(I$3,PlotTitles,0))&amp;INDEX(PlotData,MATCH($A164,PlotNumber,0),MATCH(J$3,PlotTitles,0))))&gt;(DATEVALUE(CompletionMonth&amp;CompletionYear)),$AB$16,TRUE,"")</f>
        <v/>
      </c>
      <c r="N164" s="104" t="str" cm="1">
        <f t="array" ref="N164">_xlfn.IFS(AND(A164&gt;NumberOfPlots,ISBLANK(INDEX(PlotData,MATCH($A164,PlotNumber,0),MATCH(B$3,PlotTitles,0)))),"",ISBLANK(INDEX(PlotData,MATCH($A164,PlotNumber,0),MATCH(N$3,PlotTitles,0))),$AB$17,TRUE,"")</f>
        <v/>
      </c>
      <c r="O164" s="104" t="str" cm="1">
        <f t="array" ref="O164">_xlfn.IFS(AND(A164&gt;NumberOfPlots,ISBLANK(INDEX(PlotData,MATCH($A164,PlotNumber,0),MATCH(B$3,PlotTitles,0)))),"",ISBLANK(INDEX(PlotData,MATCH($A164,PlotNumber,0),MATCH(O$3,PlotTitles,0))),$AB$18,TRUE,"")</f>
        <v/>
      </c>
      <c r="P164" s="182" t="str">
        <f t="shared" ca="1" si="7"/>
        <v/>
      </c>
      <c r="Q164" s="104" t="str" cm="1">
        <f t="array" ref="Q164">_xlfn.IFS(AND(A164&gt;NumberOfPlots,ISBLANK(INDEX(PlotData,MATCH($A164,PlotNumber,0),MATCH(B$3,PlotTitles,0)))),"",ISBLANK(INDEX(PlotData,MATCH($A164,PlotNumber,0),MATCH(N$3,PlotTitles,0))),"",(DATEVALUE(INDEX(PlotData,MATCH($A164,PlotNumber,0),MATCH(N$3,PlotTitles,0))&amp;INDEX(PlotData,MATCH($A164,PlotNumber,0),MATCH(O$3,PlotTitles,0))))&lt;(DATEVALUE(INDEX(PlotData,MATCH($A164,PlotNumber,0),MATCH(I$3,PlotTitles,0))&amp;INDEX(PlotData,MATCH($A164,PlotNumber,0),MATCH(J$3,PlotTitles,0)))),$AB$20,TRUE,"")</f>
        <v/>
      </c>
      <c r="R164" s="104" t="str" cm="1">
        <f t="array" ref="R164">_xlfn.IFS(OR(ISBLANK(StartDateMonth),ISBLANK(StartDateYear)),"",AND(A164&gt;NumberOfPlots,ISBLANK(INDEX(PlotData,MATCH($A164,PlotNumber,0),MATCH(B$3,PlotTitles,0)))),"",ISBLANK(INDEX(PlotData,MATCH($A164,PlotNumber,0),MATCH(N$3,PlotTitles,0))),"",CompletionMonth="","",(DATEVALUE(INDEX(PlotData,MATCH($A164,PlotNumber,0),MATCH(N$3,PlotTitles,0))&amp;INDEX(PlotData,MATCH($A164,PlotNumber,0),MATCH(O$3,PlotTitles,0))))&gt;(DATEVALUE(CompletionMonth&amp;CompletionYear)),$AB$21,TRUE,"")</f>
        <v/>
      </c>
      <c r="S164" s="104" t="str" cm="1">
        <f t="array" ref="S164">_xlfn.IFS(AND(A164&gt;NumberOfPlots,ISBLANK(INDEX(PlotData,MATCH($A164,PlotNumber,0),MATCH(B$3,PlotTitles,0)))),"",OR(AND(INDEX(PlotData,MATCH($A164,PlotNumber,0),MATCH("Tenure",PlotTitles,0))="Open market housing",INDEX(PlotData,MATCH($A164,PlotNumber,0),MATCH("Tenure detail",PlotTitles,0))="Private rented sector"),INDEX(PlotData,MATCH($A164,PlotNumber,0),MATCH("Tenure",PlotTitles,0))="Affordable rent"),"",ISNUMBER(INDEX(PlotData,MATCH($A164,PlotNumber,0),MATCH(S$3,PlotTitles,0)))=FALSE, $AB$22,TRUE,"")</f>
        <v/>
      </c>
      <c r="T164" s="104" t="str" cm="1">
        <f t="array" ref="T164">_xlfn.IFS(AND(A164&gt;NumberOfPlots,ISBLANK(INDEX(PlotData,MATCH($A164,PlotNumber,0),MATCH(B$3,PlotTitles,0)))),"",OR(AND(INDEX(PlotData,MATCH($A164,PlotNumber,0),MATCH("Tenure",PlotTitles,0))="Open market housing",INDEX(PlotData,MATCH($A164,PlotNumber,0),MATCH("Tenure detail",PlotTitles,0))="Private rented sector"),INDEX(PlotData,MATCH($A164,PlotNumber,0),MATCH("Tenure",PlotTitles,0))="Affordable rent"),"",INDEX(PlotData,MATCH($A164,PlotNumber,0),MATCH(S$3,PlotTitles,0))&lt;10000, $AB$23,TRUE,"")</f>
        <v/>
      </c>
      <c r="U164" s="104" t="str" cm="1">
        <f t="array" ref="U164">_xlfn.IFS(AND(A164&gt;NumberOfPlots,ISBLANK(INDEX(PlotData,MATCH($A164,PlotNumber,0),MATCH(B$3,PlotTitles,0)))),"",NOT(OR(AND(INDEX(PlotData,MATCH($A164,PlotNumber,0),MATCH("Tenure",PlotTitles,0))="Open market housing",INDEX(PlotData,MATCH($A164,PlotNumber,0),MATCH("Tenure detail",PlotTitles,0))="Private rented sector"),INDEX(PlotData,MATCH($A164,PlotNumber,0),MATCH("Tenure",PlotTitles,0))="Affordable rent")),"",NOT(INDEX(PlotData,MATCH($A164,PlotNumber,0),MATCH(S$3,PlotTitles,0))=0), $AB$24,TRUE,"")</f>
        <v/>
      </c>
      <c r="V164" s="114" t="str" cm="1">
        <f t="array" aca="1" ref="V164" ca="1">_xlfn.IFS(ISBLANK(NumberOfPlots),"Enter the number of homes on the 1_SetUp sheet",AND(A164&gt;NumberOfPlots,ISBLANK(INDEX(PlotData,MATCH($A164,PlotNumber,0),MATCH(B$3,PlotTitles,0)))),"No error",NOT(B164=""),B164,NOT(C164=""),C164,NOT(D164=""),D164,NOT(E164=""),E164,NOT(F164=""),F164,NOT(G164=""),G164,NOT(H164=""),H164,NOT(I164=""),I164,NOT(J164=""),J164,NOT(K164=""),K164,NOT(L164=""),L164,NOT(M164=""),M164,NOT(N164=""),N164,NOT(O164=""),O164,NOT(P164=""),P164,NOT(Q164=""),Q164,NOT(R164=""),R164,NOT(S164=""),S164,NOT(T164=""),T164,NOT(U164=""),U164,TRUE,"No error")</f>
        <v>Enter the number of homes on the 1_SetUp sheet</v>
      </c>
      <c r="W164" s="114" t="str">
        <f t="shared" ca="1" si="8"/>
        <v xml:space="preserve">The Borrower has not addressed the following error messages for Home ID 160: </v>
      </c>
    </row>
    <row r="165" spans="1:23">
      <c r="A165" s="123">
        <v>161</v>
      </c>
      <c r="B165" s="104" t="str" cm="1">
        <f t="array" ref="B165">_xlfn.IFS(AND(A165&gt;NumberOfPlots,ISBLANK(INDEX(PlotData,MATCH($A165,PlotNumber,0),MATCH(B$3,PlotTitles,0)))),"",ISNUMBER(INDEX(PlotData,MATCH($A165,PlotNumber,0),MATCH(B$3,PlotTitles,0)))=FALSE, $AB$5,TRUE,"")</f>
        <v/>
      </c>
      <c r="C165" s="104" t="str" cm="1">
        <f t="array" ref="C165">_xlfn.IFS(AND(A165&gt;NumberOfPlots,ISBLANK(INDEX(PlotData,MATCH($A165,PlotNumber,0),MATCH(B$3,PlotTitles,0)))),"",ISBLANK(INDEX(PlotData,MATCH($A165,PlotNumber,0),MATCH(C$3,PlotTitles,0))),$AB$6,TRUE,"")</f>
        <v/>
      </c>
      <c r="D165" s="104" t="str" cm="1">
        <f t="array" ref="D165">_xlfn.IFS(AND(A165&gt;NumberOfPlots,ISBLANK(INDEX(PlotData,MATCH($A165,PlotNumber,0),MATCH(B$3,PlotTitles,0)))),"",ISBLANK(INDEX(PlotData,MATCH($A165,PlotNumber,0),MATCH(D$3,PlotTitles,0))),$AB$7,TRUE,"")</f>
        <v/>
      </c>
      <c r="E165" s="104" t="str" cm="1">
        <f t="array" ref="E165">_xlfn.IFS(AND(A165&gt;NumberOfPlots,ISBLANK(INDEX(PlotData,MATCH($A165,PlotNumber,0),MATCH(B$3,PlotTitles,0)))),"",ISBLANK(INDEX(PlotData,MATCH($A165,PlotNumber,0),MATCH(E$3,PlotTitles,0))),$AB$8,TRUE,"")</f>
        <v/>
      </c>
      <c r="F165" s="104" t="str" cm="1">
        <f t="array" ref="F165">_xlfn.IFS(AND(A165&gt;NumberOfPlots,ISBLANK(INDEX(PlotData,MATCH($A165,PlotNumber,0),MATCH(B$3,PlotTitles,0)))),"",ISBLANK(INDEX(PlotData,MATCH($A165,PlotNumber,0),MATCH(F$3,PlotTitles,0))),$AB$9,TRUE,"")</f>
        <v/>
      </c>
      <c r="G165" s="104" t="str" cm="1">
        <f t="array" ref="G165">_xlfn.IFS(AND(A165&gt;NumberOfPlots,ISBLANK(INDEX(PlotData,MATCH($A165,PlotNumber,0),MATCH(B$3,PlotTitles,0)))),"",ISBLANK(INDEX(PlotData,MATCH($A165,PlotNumber,0),MATCH(G$3,PlotTitles,0))),$AB$10,TRUE,"")</f>
        <v/>
      </c>
      <c r="H165" s="104" t="str" cm="1">
        <f t="array" ref="H165">_xlfn.IFS(AND(A165&gt;NumberOfPlots,ISBLANK(INDEX(PlotData,MATCH($A165,PlotNumber,0),MATCH(B$3,PlotTitles,0)))),"",AND(ISBLANK(INDEX(PlotData,MATCH($A165,PlotNumber,0),MATCH(H$3,PlotTitles,0)))=FALSE,INDEX(PlotData,MATCH($A165,PlotNumber,0),MATCH(H$3,PlotTitles,0))&lt;500), $AB$11,TRUE,"")</f>
        <v/>
      </c>
      <c r="I165" s="104" t="str" cm="1">
        <f t="array" ref="I165">_xlfn.IFS(AND(A165&gt;NumberOfPlots,ISBLANK(INDEX(PlotData,MATCH($A165,PlotNumber,0),MATCH(B$3,PlotTitles,0)))),"",ISBLANK(INDEX(PlotData,MATCH($A165,PlotNumber,0),MATCH(I$3,PlotTitles,0))),$AB$12,TRUE,"")</f>
        <v/>
      </c>
      <c r="J165" s="104" t="str" cm="1">
        <f t="array" ref="J165">_xlfn.IFS(AND(A165&gt;NumberOfPlots,ISBLANK(INDEX(PlotData,MATCH($A165,PlotNumber,0),MATCH(B$3,PlotTitles,0)))),"",ISBLANK(INDEX(PlotData,MATCH($A165,PlotNumber,0),MATCH(J$3,PlotTitles,0))),$AB$13,TRUE,"")</f>
        <v/>
      </c>
      <c r="K165" s="182" t="str">
        <f t="shared" ca="1" si="6"/>
        <v/>
      </c>
      <c r="L165" s="104" t="str" cm="1">
        <f t="array" ref="L165">_xlfn.IFS(OR(ISBLANK(StartDateMonth),ISBLANK(StartDateYear)),"",AND(A165&gt;NumberOfPlots,ISBLANK(INDEX(PlotData,MATCH($A165,PlotNumber,0),MATCH(B$3,PlotTitles,0)))),"",ISBLANK(INDEX(PlotData,MATCH($A165,PlotNumber,0),MATCH(I$3,PlotTitles,0))),"",(DATEVALUE(INDEX(PlotData,MATCH($A165,PlotNumber,0),MATCH(I$3,PlotTitles,0))&amp;INDEX(PlotData,MATCH($A165,PlotNumber,0),MATCH(J$3,PlotTitles,0))))&lt;DATEVALUE(StartDateMonth&amp;StartDateYear),$AB$15,TRUE,"")</f>
        <v/>
      </c>
      <c r="M165" s="104" t="str" cm="1">
        <f t="array" ref="M165">_xlfn.IFS(OR(ISBLANK(StartDateMonth),ISBLANK(StartDateYear)),"",AND(A165&gt;NumberOfPlots,ISBLANK(INDEX(PlotData,MATCH($A165,PlotNumber,0),MATCH(B$3,PlotTitles,0)))),"",ISBLANK(INDEX(PlotData,MATCH($A165,PlotNumber,0),MATCH(I$3,PlotTitles,0))),"",CompletionMonth="","",(DATEVALUE(INDEX(PlotData,MATCH($A165,PlotNumber,0),MATCH(I$3,PlotTitles,0))&amp;INDEX(PlotData,MATCH($A165,PlotNumber,0),MATCH(J$3,PlotTitles,0))))&gt;(DATEVALUE(CompletionMonth&amp;CompletionYear)),$AB$16,TRUE,"")</f>
        <v/>
      </c>
      <c r="N165" s="104" t="str" cm="1">
        <f t="array" ref="N165">_xlfn.IFS(AND(A165&gt;NumberOfPlots,ISBLANK(INDEX(PlotData,MATCH($A165,PlotNumber,0),MATCH(B$3,PlotTitles,0)))),"",ISBLANK(INDEX(PlotData,MATCH($A165,PlotNumber,0),MATCH(N$3,PlotTitles,0))),$AB$17,TRUE,"")</f>
        <v/>
      </c>
      <c r="O165" s="104" t="str" cm="1">
        <f t="array" ref="O165">_xlfn.IFS(AND(A165&gt;NumberOfPlots,ISBLANK(INDEX(PlotData,MATCH($A165,PlotNumber,0),MATCH(B$3,PlotTitles,0)))),"",ISBLANK(INDEX(PlotData,MATCH($A165,PlotNumber,0),MATCH(O$3,PlotTitles,0))),$AB$18,TRUE,"")</f>
        <v/>
      </c>
      <c r="P165" s="182" t="str">
        <f t="shared" ca="1" si="7"/>
        <v/>
      </c>
      <c r="Q165" s="104" t="str" cm="1">
        <f t="array" ref="Q165">_xlfn.IFS(AND(A165&gt;NumberOfPlots,ISBLANK(INDEX(PlotData,MATCH($A165,PlotNumber,0),MATCH(B$3,PlotTitles,0)))),"",ISBLANK(INDEX(PlotData,MATCH($A165,PlotNumber,0),MATCH(N$3,PlotTitles,0))),"",(DATEVALUE(INDEX(PlotData,MATCH($A165,PlotNumber,0),MATCH(N$3,PlotTitles,0))&amp;INDEX(PlotData,MATCH($A165,PlotNumber,0),MATCH(O$3,PlotTitles,0))))&lt;(DATEVALUE(INDEX(PlotData,MATCH($A165,PlotNumber,0),MATCH(I$3,PlotTitles,0))&amp;INDEX(PlotData,MATCH($A165,PlotNumber,0),MATCH(J$3,PlotTitles,0)))),$AB$20,TRUE,"")</f>
        <v/>
      </c>
      <c r="R165" s="104" t="str" cm="1">
        <f t="array" ref="R165">_xlfn.IFS(OR(ISBLANK(StartDateMonth),ISBLANK(StartDateYear)),"",AND(A165&gt;NumberOfPlots,ISBLANK(INDEX(PlotData,MATCH($A165,PlotNumber,0),MATCH(B$3,PlotTitles,0)))),"",ISBLANK(INDEX(PlotData,MATCH($A165,PlotNumber,0),MATCH(N$3,PlotTitles,0))),"",CompletionMonth="","",(DATEVALUE(INDEX(PlotData,MATCH($A165,PlotNumber,0),MATCH(N$3,PlotTitles,0))&amp;INDEX(PlotData,MATCH($A165,PlotNumber,0),MATCH(O$3,PlotTitles,0))))&gt;(DATEVALUE(CompletionMonth&amp;CompletionYear)),$AB$21,TRUE,"")</f>
        <v/>
      </c>
      <c r="S165" s="104" t="str" cm="1">
        <f t="array" ref="S165">_xlfn.IFS(AND(A165&gt;NumberOfPlots,ISBLANK(INDEX(PlotData,MATCH($A165,PlotNumber,0),MATCH(B$3,PlotTitles,0)))),"",OR(AND(INDEX(PlotData,MATCH($A165,PlotNumber,0),MATCH("Tenure",PlotTitles,0))="Open market housing",INDEX(PlotData,MATCH($A165,PlotNumber,0),MATCH("Tenure detail",PlotTitles,0))="Private rented sector"),INDEX(PlotData,MATCH($A165,PlotNumber,0),MATCH("Tenure",PlotTitles,0))="Affordable rent"),"",ISNUMBER(INDEX(PlotData,MATCH($A165,PlotNumber,0),MATCH(S$3,PlotTitles,0)))=FALSE, $AB$22,TRUE,"")</f>
        <v/>
      </c>
      <c r="T165" s="104" t="str" cm="1">
        <f t="array" ref="T165">_xlfn.IFS(AND(A165&gt;NumberOfPlots,ISBLANK(INDEX(PlotData,MATCH($A165,PlotNumber,0),MATCH(B$3,PlotTitles,0)))),"",OR(AND(INDEX(PlotData,MATCH($A165,PlotNumber,0),MATCH("Tenure",PlotTitles,0))="Open market housing",INDEX(PlotData,MATCH($A165,PlotNumber,0),MATCH("Tenure detail",PlotTitles,0))="Private rented sector"),INDEX(PlotData,MATCH($A165,PlotNumber,0),MATCH("Tenure",PlotTitles,0))="Affordable rent"),"",INDEX(PlotData,MATCH($A165,PlotNumber,0),MATCH(S$3,PlotTitles,0))&lt;10000, $AB$23,TRUE,"")</f>
        <v/>
      </c>
      <c r="U165" s="104" t="str" cm="1">
        <f t="array" ref="U165">_xlfn.IFS(AND(A165&gt;NumberOfPlots,ISBLANK(INDEX(PlotData,MATCH($A165,PlotNumber,0),MATCH(B$3,PlotTitles,0)))),"",NOT(OR(AND(INDEX(PlotData,MATCH($A165,PlotNumber,0),MATCH("Tenure",PlotTitles,0))="Open market housing",INDEX(PlotData,MATCH($A165,PlotNumber,0),MATCH("Tenure detail",PlotTitles,0))="Private rented sector"),INDEX(PlotData,MATCH($A165,PlotNumber,0),MATCH("Tenure",PlotTitles,0))="Affordable rent")),"",NOT(INDEX(PlotData,MATCH($A165,PlotNumber,0),MATCH(S$3,PlotTitles,0))=0), $AB$24,TRUE,"")</f>
        <v/>
      </c>
      <c r="V165" s="114" t="str" cm="1">
        <f t="array" aca="1" ref="V165" ca="1">_xlfn.IFS(ISBLANK(NumberOfPlots),"Enter the number of homes on the 1_SetUp sheet",AND(A165&gt;NumberOfPlots,ISBLANK(INDEX(PlotData,MATCH($A165,PlotNumber,0),MATCH(B$3,PlotTitles,0)))),"No error",NOT(B165=""),B165,NOT(C165=""),C165,NOT(D165=""),D165,NOT(E165=""),E165,NOT(F165=""),F165,NOT(G165=""),G165,NOT(H165=""),H165,NOT(I165=""),I165,NOT(J165=""),J165,NOT(K165=""),K165,NOT(L165=""),L165,NOT(M165=""),M165,NOT(N165=""),N165,NOT(O165=""),O165,NOT(P165=""),P165,NOT(Q165=""),Q165,NOT(R165=""),R165,NOT(S165=""),S165,NOT(T165=""),T165,NOT(U165=""),U165,TRUE,"No error")</f>
        <v>Enter the number of homes on the 1_SetUp sheet</v>
      </c>
      <c r="W165" s="114" t="str">
        <f t="shared" ca="1" si="8"/>
        <v xml:space="preserve">The Borrower has not addressed the following error messages for Home ID 161: </v>
      </c>
    </row>
    <row r="166" spans="1:23">
      <c r="A166" s="123">
        <v>162</v>
      </c>
      <c r="B166" s="104" t="str" cm="1">
        <f t="array" ref="B166">_xlfn.IFS(AND(A166&gt;NumberOfPlots,ISBLANK(INDEX(PlotData,MATCH($A166,PlotNumber,0),MATCH(B$3,PlotTitles,0)))),"",ISNUMBER(INDEX(PlotData,MATCH($A166,PlotNumber,0),MATCH(B$3,PlotTitles,0)))=FALSE, $AB$5,TRUE,"")</f>
        <v/>
      </c>
      <c r="C166" s="104" t="str" cm="1">
        <f t="array" ref="C166">_xlfn.IFS(AND(A166&gt;NumberOfPlots,ISBLANK(INDEX(PlotData,MATCH($A166,PlotNumber,0),MATCH(B$3,PlotTitles,0)))),"",ISBLANK(INDEX(PlotData,MATCH($A166,PlotNumber,0),MATCH(C$3,PlotTitles,0))),$AB$6,TRUE,"")</f>
        <v/>
      </c>
      <c r="D166" s="104" t="str" cm="1">
        <f t="array" ref="D166">_xlfn.IFS(AND(A166&gt;NumberOfPlots,ISBLANK(INDEX(PlotData,MATCH($A166,PlotNumber,0),MATCH(B$3,PlotTitles,0)))),"",ISBLANK(INDEX(PlotData,MATCH($A166,PlotNumber,0),MATCH(D$3,PlotTitles,0))),$AB$7,TRUE,"")</f>
        <v/>
      </c>
      <c r="E166" s="104" t="str" cm="1">
        <f t="array" ref="E166">_xlfn.IFS(AND(A166&gt;NumberOfPlots,ISBLANK(INDEX(PlotData,MATCH($A166,PlotNumber,0),MATCH(B$3,PlotTitles,0)))),"",ISBLANK(INDEX(PlotData,MATCH($A166,PlotNumber,0),MATCH(E$3,PlotTitles,0))),$AB$8,TRUE,"")</f>
        <v/>
      </c>
      <c r="F166" s="104" t="str" cm="1">
        <f t="array" ref="F166">_xlfn.IFS(AND(A166&gt;NumberOfPlots,ISBLANK(INDEX(PlotData,MATCH($A166,PlotNumber,0),MATCH(B$3,PlotTitles,0)))),"",ISBLANK(INDEX(PlotData,MATCH($A166,PlotNumber,0),MATCH(F$3,PlotTitles,0))),$AB$9,TRUE,"")</f>
        <v/>
      </c>
      <c r="G166" s="104" t="str" cm="1">
        <f t="array" ref="G166">_xlfn.IFS(AND(A166&gt;NumberOfPlots,ISBLANK(INDEX(PlotData,MATCH($A166,PlotNumber,0),MATCH(B$3,PlotTitles,0)))),"",ISBLANK(INDEX(PlotData,MATCH($A166,PlotNumber,0),MATCH(G$3,PlotTitles,0))),$AB$10,TRUE,"")</f>
        <v/>
      </c>
      <c r="H166" s="104" t="str" cm="1">
        <f t="array" ref="H166">_xlfn.IFS(AND(A166&gt;NumberOfPlots,ISBLANK(INDEX(PlotData,MATCH($A166,PlotNumber,0),MATCH(B$3,PlotTitles,0)))),"",AND(ISBLANK(INDEX(PlotData,MATCH($A166,PlotNumber,0),MATCH(H$3,PlotTitles,0)))=FALSE,INDEX(PlotData,MATCH($A166,PlotNumber,0),MATCH(H$3,PlotTitles,0))&lt;500), $AB$11,TRUE,"")</f>
        <v/>
      </c>
      <c r="I166" s="104" t="str" cm="1">
        <f t="array" ref="I166">_xlfn.IFS(AND(A166&gt;NumberOfPlots,ISBLANK(INDEX(PlotData,MATCH($A166,PlotNumber,0),MATCH(B$3,PlotTitles,0)))),"",ISBLANK(INDEX(PlotData,MATCH($A166,PlotNumber,0),MATCH(I$3,PlotTitles,0))),$AB$12,TRUE,"")</f>
        <v/>
      </c>
      <c r="J166" s="104" t="str" cm="1">
        <f t="array" ref="J166">_xlfn.IFS(AND(A166&gt;NumberOfPlots,ISBLANK(INDEX(PlotData,MATCH($A166,PlotNumber,0),MATCH(B$3,PlotTitles,0)))),"",ISBLANK(INDEX(PlotData,MATCH($A166,PlotNumber,0),MATCH(J$3,PlotTitles,0))),$AB$13,TRUE,"")</f>
        <v/>
      </c>
      <c r="K166" s="182" t="str">
        <f t="shared" ca="1" si="6"/>
        <v/>
      </c>
      <c r="L166" s="104" t="str" cm="1">
        <f t="array" ref="L166">_xlfn.IFS(OR(ISBLANK(StartDateMonth),ISBLANK(StartDateYear)),"",AND(A166&gt;NumberOfPlots,ISBLANK(INDEX(PlotData,MATCH($A166,PlotNumber,0),MATCH(B$3,PlotTitles,0)))),"",ISBLANK(INDEX(PlotData,MATCH($A166,PlotNumber,0),MATCH(I$3,PlotTitles,0))),"",(DATEVALUE(INDEX(PlotData,MATCH($A166,PlotNumber,0),MATCH(I$3,PlotTitles,0))&amp;INDEX(PlotData,MATCH($A166,PlotNumber,0),MATCH(J$3,PlotTitles,0))))&lt;DATEVALUE(StartDateMonth&amp;StartDateYear),$AB$15,TRUE,"")</f>
        <v/>
      </c>
      <c r="M166" s="104" t="str" cm="1">
        <f t="array" ref="M166">_xlfn.IFS(OR(ISBLANK(StartDateMonth),ISBLANK(StartDateYear)),"",AND(A166&gt;NumberOfPlots,ISBLANK(INDEX(PlotData,MATCH($A166,PlotNumber,0),MATCH(B$3,PlotTitles,0)))),"",ISBLANK(INDEX(PlotData,MATCH($A166,PlotNumber,0),MATCH(I$3,PlotTitles,0))),"",CompletionMonth="","",(DATEVALUE(INDEX(PlotData,MATCH($A166,PlotNumber,0),MATCH(I$3,PlotTitles,0))&amp;INDEX(PlotData,MATCH($A166,PlotNumber,0),MATCH(J$3,PlotTitles,0))))&gt;(DATEVALUE(CompletionMonth&amp;CompletionYear)),$AB$16,TRUE,"")</f>
        <v/>
      </c>
      <c r="N166" s="104" t="str" cm="1">
        <f t="array" ref="N166">_xlfn.IFS(AND(A166&gt;NumberOfPlots,ISBLANK(INDEX(PlotData,MATCH($A166,PlotNumber,0),MATCH(B$3,PlotTitles,0)))),"",ISBLANK(INDEX(PlotData,MATCH($A166,PlotNumber,0),MATCH(N$3,PlotTitles,0))),$AB$17,TRUE,"")</f>
        <v/>
      </c>
      <c r="O166" s="104" t="str" cm="1">
        <f t="array" ref="O166">_xlfn.IFS(AND(A166&gt;NumberOfPlots,ISBLANK(INDEX(PlotData,MATCH($A166,PlotNumber,0),MATCH(B$3,PlotTitles,0)))),"",ISBLANK(INDEX(PlotData,MATCH($A166,PlotNumber,0),MATCH(O$3,PlotTitles,0))),$AB$18,TRUE,"")</f>
        <v/>
      </c>
      <c r="P166" s="182" t="str">
        <f t="shared" ca="1" si="7"/>
        <v/>
      </c>
      <c r="Q166" s="104" t="str" cm="1">
        <f t="array" ref="Q166">_xlfn.IFS(AND(A166&gt;NumberOfPlots,ISBLANK(INDEX(PlotData,MATCH($A166,PlotNumber,0),MATCH(B$3,PlotTitles,0)))),"",ISBLANK(INDEX(PlotData,MATCH($A166,PlotNumber,0),MATCH(N$3,PlotTitles,0))),"",(DATEVALUE(INDEX(PlotData,MATCH($A166,PlotNumber,0),MATCH(N$3,PlotTitles,0))&amp;INDEX(PlotData,MATCH($A166,PlotNumber,0),MATCH(O$3,PlotTitles,0))))&lt;(DATEVALUE(INDEX(PlotData,MATCH($A166,PlotNumber,0),MATCH(I$3,PlotTitles,0))&amp;INDEX(PlotData,MATCH($A166,PlotNumber,0),MATCH(J$3,PlotTitles,0)))),$AB$20,TRUE,"")</f>
        <v/>
      </c>
      <c r="R166" s="104" t="str" cm="1">
        <f t="array" ref="R166">_xlfn.IFS(OR(ISBLANK(StartDateMonth),ISBLANK(StartDateYear)),"",AND(A166&gt;NumberOfPlots,ISBLANK(INDEX(PlotData,MATCH($A166,PlotNumber,0),MATCH(B$3,PlotTitles,0)))),"",ISBLANK(INDEX(PlotData,MATCH($A166,PlotNumber,0),MATCH(N$3,PlotTitles,0))),"",CompletionMonth="","",(DATEVALUE(INDEX(PlotData,MATCH($A166,PlotNumber,0),MATCH(N$3,PlotTitles,0))&amp;INDEX(PlotData,MATCH($A166,PlotNumber,0),MATCH(O$3,PlotTitles,0))))&gt;(DATEVALUE(CompletionMonth&amp;CompletionYear)),$AB$21,TRUE,"")</f>
        <v/>
      </c>
      <c r="S166" s="104" t="str" cm="1">
        <f t="array" ref="S166">_xlfn.IFS(AND(A166&gt;NumberOfPlots,ISBLANK(INDEX(PlotData,MATCH($A166,PlotNumber,0),MATCH(B$3,PlotTitles,0)))),"",OR(AND(INDEX(PlotData,MATCH($A166,PlotNumber,0),MATCH("Tenure",PlotTitles,0))="Open market housing",INDEX(PlotData,MATCH($A166,PlotNumber,0),MATCH("Tenure detail",PlotTitles,0))="Private rented sector"),INDEX(PlotData,MATCH($A166,PlotNumber,0),MATCH("Tenure",PlotTitles,0))="Affordable rent"),"",ISNUMBER(INDEX(PlotData,MATCH($A166,PlotNumber,0),MATCH(S$3,PlotTitles,0)))=FALSE, $AB$22,TRUE,"")</f>
        <v/>
      </c>
      <c r="T166" s="104" t="str" cm="1">
        <f t="array" ref="T166">_xlfn.IFS(AND(A166&gt;NumberOfPlots,ISBLANK(INDEX(PlotData,MATCH($A166,PlotNumber,0),MATCH(B$3,PlotTitles,0)))),"",OR(AND(INDEX(PlotData,MATCH($A166,PlotNumber,0),MATCH("Tenure",PlotTitles,0))="Open market housing",INDEX(PlotData,MATCH($A166,PlotNumber,0),MATCH("Tenure detail",PlotTitles,0))="Private rented sector"),INDEX(PlotData,MATCH($A166,PlotNumber,0),MATCH("Tenure",PlotTitles,0))="Affordable rent"),"",INDEX(PlotData,MATCH($A166,PlotNumber,0),MATCH(S$3,PlotTitles,0))&lt;10000, $AB$23,TRUE,"")</f>
        <v/>
      </c>
      <c r="U166" s="104" t="str" cm="1">
        <f t="array" ref="U166">_xlfn.IFS(AND(A166&gt;NumberOfPlots,ISBLANK(INDEX(PlotData,MATCH($A166,PlotNumber,0),MATCH(B$3,PlotTitles,0)))),"",NOT(OR(AND(INDEX(PlotData,MATCH($A166,PlotNumber,0),MATCH("Tenure",PlotTitles,0))="Open market housing",INDEX(PlotData,MATCH($A166,PlotNumber,0),MATCH("Tenure detail",PlotTitles,0))="Private rented sector"),INDEX(PlotData,MATCH($A166,PlotNumber,0),MATCH("Tenure",PlotTitles,0))="Affordable rent")),"",NOT(INDEX(PlotData,MATCH($A166,PlotNumber,0),MATCH(S$3,PlotTitles,0))=0), $AB$24,TRUE,"")</f>
        <v/>
      </c>
      <c r="V166" s="114" t="str" cm="1">
        <f t="array" aca="1" ref="V166" ca="1">_xlfn.IFS(ISBLANK(NumberOfPlots),"Enter the number of homes on the 1_SetUp sheet",AND(A166&gt;NumberOfPlots,ISBLANK(INDEX(PlotData,MATCH($A166,PlotNumber,0),MATCH(B$3,PlotTitles,0)))),"No error",NOT(B166=""),B166,NOT(C166=""),C166,NOT(D166=""),D166,NOT(E166=""),E166,NOT(F166=""),F166,NOT(G166=""),G166,NOT(H166=""),H166,NOT(I166=""),I166,NOT(J166=""),J166,NOT(K166=""),K166,NOT(L166=""),L166,NOT(M166=""),M166,NOT(N166=""),N166,NOT(O166=""),O166,NOT(P166=""),P166,NOT(Q166=""),Q166,NOT(R166=""),R166,NOT(S166=""),S166,NOT(T166=""),T166,NOT(U166=""),U166,TRUE,"No error")</f>
        <v>Enter the number of homes on the 1_SetUp sheet</v>
      </c>
      <c r="W166" s="114" t="str">
        <f t="shared" ca="1" si="8"/>
        <v xml:space="preserve">The Borrower has not addressed the following error messages for Home ID 162: </v>
      </c>
    </row>
    <row r="167" spans="1:23">
      <c r="A167" s="123">
        <v>163</v>
      </c>
      <c r="B167" s="104" t="str" cm="1">
        <f t="array" ref="B167">_xlfn.IFS(AND(A167&gt;NumberOfPlots,ISBLANK(INDEX(PlotData,MATCH($A167,PlotNumber,0),MATCH(B$3,PlotTitles,0)))),"",ISNUMBER(INDEX(PlotData,MATCH($A167,PlotNumber,0),MATCH(B$3,PlotTitles,0)))=FALSE, $AB$5,TRUE,"")</f>
        <v/>
      </c>
      <c r="C167" s="104" t="str" cm="1">
        <f t="array" ref="C167">_xlfn.IFS(AND(A167&gt;NumberOfPlots,ISBLANK(INDEX(PlotData,MATCH($A167,PlotNumber,0),MATCH(B$3,PlotTitles,0)))),"",ISBLANK(INDEX(PlotData,MATCH($A167,PlotNumber,0),MATCH(C$3,PlotTitles,0))),$AB$6,TRUE,"")</f>
        <v/>
      </c>
      <c r="D167" s="104" t="str" cm="1">
        <f t="array" ref="D167">_xlfn.IFS(AND(A167&gt;NumberOfPlots,ISBLANK(INDEX(PlotData,MATCH($A167,PlotNumber,0),MATCH(B$3,PlotTitles,0)))),"",ISBLANK(INDEX(PlotData,MATCH($A167,PlotNumber,0),MATCH(D$3,PlotTitles,0))),$AB$7,TRUE,"")</f>
        <v/>
      </c>
      <c r="E167" s="104" t="str" cm="1">
        <f t="array" ref="E167">_xlfn.IFS(AND(A167&gt;NumberOfPlots,ISBLANK(INDEX(PlotData,MATCH($A167,PlotNumber,0),MATCH(B$3,PlotTitles,0)))),"",ISBLANK(INDEX(PlotData,MATCH($A167,PlotNumber,0),MATCH(E$3,PlotTitles,0))),$AB$8,TRUE,"")</f>
        <v/>
      </c>
      <c r="F167" s="104" t="str" cm="1">
        <f t="array" ref="F167">_xlfn.IFS(AND(A167&gt;NumberOfPlots,ISBLANK(INDEX(PlotData,MATCH($A167,PlotNumber,0),MATCH(B$3,PlotTitles,0)))),"",ISBLANK(INDEX(PlotData,MATCH($A167,PlotNumber,0),MATCH(F$3,PlotTitles,0))),$AB$9,TRUE,"")</f>
        <v/>
      </c>
      <c r="G167" s="104" t="str" cm="1">
        <f t="array" ref="G167">_xlfn.IFS(AND(A167&gt;NumberOfPlots,ISBLANK(INDEX(PlotData,MATCH($A167,PlotNumber,0),MATCH(B$3,PlotTitles,0)))),"",ISBLANK(INDEX(PlotData,MATCH($A167,PlotNumber,0),MATCH(G$3,PlotTitles,0))),$AB$10,TRUE,"")</f>
        <v/>
      </c>
      <c r="H167" s="104" t="str" cm="1">
        <f t="array" ref="H167">_xlfn.IFS(AND(A167&gt;NumberOfPlots,ISBLANK(INDEX(PlotData,MATCH($A167,PlotNumber,0),MATCH(B$3,PlotTitles,0)))),"",AND(ISBLANK(INDEX(PlotData,MATCH($A167,PlotNumber,0),MATCH(H$3,PlotTitles,0)))=FALSE,INDEX(PlotData,MATCH($A167,PlotNumber,0),MATCH(H$3,PlotTitles,0))&lt;500), $AB$11,TRUE,"")</f>
        <v/>
      </c>
      <c r="I167" s="104" t="str" cm="1">
        <f t="array" ref="I167">_xlfn.IFS(AND(A167&gt;NumberOfPlots,ISBLANK(INDEX(PlotData,MATCH($A167,PlotNumber,0),MATCH(B$3,PlotTitles,0)))),"",ISBLANK(INDEX(PlotData,MATCH($A167,PlotNumber,0),MATCH(I$3,PlotTitles,0))),$AB$12,TRUE,"")</f>
        <v/>
      </c>
      <c r="J167" s="104" t="str" cm="1">
        <f t="array" ref="J167">_xlfn.IFS(AND(A167&gt;NumberOfPlots,ISBLANK(INDEX(PlotData,MATCH($A167,PlotNumber,0),MATCH(B$3,PlotTitles,0)))),"",ISBLANK(INDEX(PlotData,MATCH($A167,PlotNumber,0),MATCH(J$3,PlotTitles,0))),$AB$13,TRUE,"")</f>
        <v/>
      </c>
      <c r="K167" s="182" t="str">
        <f t="shared" ca="1" si="6"/>
        <v/>
      </c>
      <c r="L167" s="104" t="str" cm="1">
        <f t="array" ref="L167">_xlfn.IFS(OR(ISBLANK(StartDateMonth),ISBLANK(StartDateYear)),"",AND(A167&gt;NumberOfPlots,ISBLANK(INDEX(PlotData,MATCH($A167,PlotNumber,0),MATCH(B$3,PlotTitles,0)))),"",ISBLANK(INDEX(PlotData,MATCH($A167,PlotNumber,0),MATCH(I$3,PlotTitles,0))),"",(DATEVALUE(INDEX(PlotData,MATCH($A167,PlotNumber,0),MATCH(I$3,PlotTitles,0))&amp;INDEX(PlotData,MATCH($A167,PlotNumber,0),MATCH(J$3,PlotTitles,0))))&lt;DATEVALUE(StartDateMonth&amp;StartDateYear),$AB$15,TRUE,"")</f>
        <v/>
      </c>
      <c r="M167" s="104" t="str" cm="1">
        <f t="array" ref="M167">_xlfn.IFS(OR(ISBLANK(StartDateMonth),ISBLANK(StartDateYear)),"",AND(A167&gt;NumberOfPlots,ISBLANK(INDEX(PlotData,MATCH($A167,PlotNumber,0),MATCH(B$3,PlotTitles,0)))),"",ISBLANK(INDEX(PlotData,MATCH($A167,PlotNumber,0),MATCH(I$3,PlotTitles,0))),"",CompletionMonth="","",(DATEVALUE(INDEX(PlotData,MATCH($A167,PlotNumber,0),MATCH(I$3,PlotTitles,0))&amp;INDEX(PlotData,MATCH($A167,PlotNumber,0),MATCH(J$3,PlotTitles,0))))&gt;(DATEVALUE(CompletionMonth&amp;CompletionYear)),$AB$16,TRUE,"")</f>
        <v/>
      </c>
      <c r="N167" s="104" t="str" cm="1">
        <f t="array" ref="N167">_xlfn.IFS(AND(A167&gt;NumberOfPlots,ISBLANK(INDEX(PlotData,MATCH($A167,PlotNumber,0),MATCH(B$3,PlotTitles,0)))),"",ISBLANK(INDEX(PlotData,MATCH($A167,PlotNumber,0),MATCH(N$3,PlotTitles,0))),$AB$17,TRUE,"")</f>
        <v/>
      </c>
      <c r="O167" s="104" t="str" cm="1">
        <f t="array" ref="O167">_xlfn.IFS(AND(A167&gt;NumberOfPlots,ISBLANK(INDEX(PlotData,MATCH($A167,PlotNumber,0),MATCH(B$3,PlotTitles,0)))),"",ISBLANK(INDEX(PlotData,MATCH($A167,PlotNumber,0),MATCH(O$3,PlotTitles,0))),$AB$18,TRUE,"")</f>
        <v/>
      </c>
      <c r="P167" s="182" t="str">
        <f t="shared" ca="1" si="7"/>
        <v/>
      </c>
      <c r="Q167" s="104" t="str" cm="1">
        <f t="array" ref="Q167">_xlfn.IFS(AND(A167&gt;NumberOfPlots,ISBLANK(INDEX(PlotData,MATCH($A167,PlotNumber,0),MATCH(B$3,PlotTitles,0)))),"",ISBLANK(INDEX(PlotData,MATCH($A167,PlotNumber,0),MATCH(N$3,PlotTitles,0))),"",(DATEVALUE(INDEX(PlotData,MATCH($A167,PlotNumber,0),MATCH(N$3,PlotTitles,0))&amp;INDEX(PlotData,MATCH($A167,PlotNumber,0),MATCH(O$3,PlotTitles,0))))&lt;(DATEVALUE(INDEX(PlotData,MATCH($A167,PlotNumber,0),MATCH(I$3,PlotTitles,0))&amp;INDEX(PlotData,MATCH($A167,PlotNumber,0),MATCH(J$3,PlotTitles,0)))),$AB$20,TRUE,"")</f>
        <v/>
      </c>
      <c r="R167" s="104" t="str" cm="1">
        <f t="array" ref="R167">_xlfn.IFS(OR(ISBLANK(StartDateMonth),ISBLANK(StartDateYear)),"",AND(A167&gt;NumberOfPlots,ISBLANK(INDEX(PlotData,MATCH($A167,PlotNumber,0),MATCH(B$3,PlotTitles,0)))),"",ISBLANK(INDEX(PlotData,MATCH($A167,PlotNumber,0),MATCH(N$3,PlotTitles,0))),"",CompletionMonth="","",(DATEVALUE(INDEX(PlotData,MATCH($A167,PlotNumber,0),MATCH(N$3,PlotTitles,0))&amp;INDEX(PlotData,MATCH($A167,PlotNumber,0),MATCH(O$3,PlotTitles,0))))&gt;(DATEVALUE(CompletionMonth&amp;CompletionYear)),$AB$21,TRUE,"")</f>
        <v/>
      </c>
      <c r="S167" s="104" t="str" cm="1">
        <f t="array" ref="S167">_xlfn.IFS(AND(A167&gt;NumberOfPlots,ISBLANK(INDEX(PlotData,MATCH($A167,PlotNumber,0),MATCH(B$3,PlotTitles,0)))),"",OR(AND(INDEX(PlotData,MATCH($A167,PlotNumber,0),MATCH("Tenure",PlotTitles,0))="Open market housing",INDEX(PlotData,MATCH($A167,PlotNumber,0),MATCH("Tenure detail",PlotTitles,0))="Private rented sector"),INDEX(PlotData,MATCH($A167,PlotNumber,0),MATCH("Tenure",PlotTitles,0))="Affordable rent"),"",ISNUMBER(INDEX(PlotData,MATCH($A167,PlotNumber,0),MATCH(S$3,PlotTitles,0)))=FALSE, $AB$22,TRUE,"")</f>
        <v/>
      </c>
      <c r="T167" s="104" t="str" cm="1">
        <f t="array" ref="T167">_xlfn.IFS(AND(A167&gt;NumberOfPlots,ISBLANK(INDEX(PlotData,MATCH($A167,PlotNumber,0),MATCH(B$3,PlotTitles,0)))),"",OR(AND(INDEX(PlotData,MATCH($A167,PlotNumber,0),MATCH("Tenure",PlotTitles,0))="Open market housing",INDEX(PlotData,MATCH($A167,PlotNumber,0),MATCH("Tenure detail",PlotTitles,0))="Private rented sector"),INDEX(PlotData,MATCH($A167,PlotNumber,0),MATCH("Tenure",PlotTitles,0))="Affordable rent"),"",INDEX(PlotData,MATCH($A167,PlotNumber,0),MATCH(S$3,PlotTitles,0))&lt;10000, $AB$23,TRUE,"")</f>
        <v/>
      </c>
      <c r="U167" s="104" t="str" cm="1">
        <f t="array" ref="U167">_xlfn.IFS(AND(A167&gt;NumberOfPlots,ISBLANK(INDEX(PlotData,MATCH($A167,PlotNumber,0),MATCH(B$3,PlotTitles,0)))),"",NOT(OR(AND(INDEX(PlotData,MATCH($A167,PlotNumber,0),MATCH("Tenure",PlotTitles,0))="Open market housing",INDEX(PlotData,MATCH($A167,PlotNumber,0),MATCH("Tenure detail",PlotTitles,0))="Private rented sector"),INDEX(PlotData,MATCH($A167,PlotNumber,0),MATCH("Tenure",PlotTitles,0))="Affordable rent")),"",NOT(INDEX(PlotData,MATCH($A167,PlotNumber,0),MATCH(S$3,PlotTitles,0))=0), $AB$24,TRUE,"")</f>
        <v/>
      </c>
      <c r="V167" s="114" t="str" cm="1">
        <f t="array" aca="1" ref="V167" ca="1">_xlfn.IFS(ISBLANK(NumberOfPlots),"Enter the number of homes on the 1_SetUp sheet",AND(A167&gt;NumberOfPlots,ISBLANK(INDEX(PlotData,MATCH($A167,PlotNumber,0),MATCH(B$3,PlotTitles,0)))),"No error",NOT(B167=""),B167,NOT(C167=""),C167,NOT(D167=""),D167,NOT(E167=""),E167,NOT(F167=""),F167,NOT(G167=""),G167,NOT(H167=""),H167,NOT(I167=""),I167,NOT(J167=""),J167,NOT(K167=""),K167,NOT(L167=""),L167,NOT(M167=""),M167,NOT(N167=""),N167,NOT(O167=""),O167,NOT(P167=""),P167,NOT(Q167=""),Q167,NOT(R167=""),R167,NOT(S167=""),S167,NOT(T167=""),T167,NOT(U167=""),U167,TRUE,"No error")</f>
        <v>Enter the number of homes on the 1_SetUp sheet</v>
      </c>
      <c r="W167" s="114" t="str">
        <f t="shared" ca="1" si="8"/>
        <v xml:space="preserve">The Borrower has not addressed the following error messages for Home ID 163: </v>
      </c>
    </row>
    <row r="168" spans="1:23">
      <c r="A168" s="123">
        <v>164</v>
      </c>
      <c r="B168" s="104" t="str" cm="1">
        <f t="array" ref="B168">_xlfn.IFS(AND(A168&gt;NumberOfPlots,ISBLANK(INDEX(PlotData,MATCH($A168,PlotNumber,0),MATCH(B$3,PlotTitles,0)))),"",ISNUMBER(INDEX(PlotData,MATCH($A168,PlotNumber,0),MATCH(B$3,PlotTitles,0)))=FALSE, $AB$5,TRUE,"")</f>
        <v/>
      </c>
      <c r="C168" s="104" t="str" cm="1">
        <f t="array" ref="C168">_xlfn.IFS(AND(A168&gt;NumberOfPlots,ISBLANK(INDEX(PlotData,MATCH($A168,PlotNumber,0),MATCH(B$3,PlotTitles,0)))),"",ISBLANK(INDEX(PlotData,MATCH($A168,PlotNumber,0),MATCH(C$3,PlotTitles,0))),$AB$6,TRUE,"")</f>
        <v/>
      </c>
      <c r="D168" s="104" t="str" cm="1">
        <f t="array" ref="D168">_xlfn.IFS(AND(A168&gt;NumberOfPlots,ISBLANK(INDEX(PlotData,MATCH($A168,PlotNumber,0),MATCH(B$3,PlotTitles,0)))),"",ISBLANK(INDEX(PlotData,MATCH($A168,PlotNumber,0),MATCH(D$3,PlotTitles,0))),$AB$7,TRUE,"")</f>
        <v/>
      </c>
      <c r="E168" s="104" t="str" cm="1">
        <f t="array" ref="E168">_xlfn.IFS(AND(A168&gt;NumberOfPlots,ISBLANK(INDEX(PlotData,MATCH($A168,PlotNumber,0),MATCH(B$3,PlotTitles,0)))),"",ISBLANK(INDEX(PlotData,MATCH($A168,PlotNumber,0),MATCH(E$3,PlotTitles,0))),$AB$8,TRUE,"")</f>
        <v/>
      </c>
      <c r="F168" s="104" t="str" cm="1">
        <f t="array" ref="F168">_xlfn.IFS(AND(A168&gt;NumberOfPlots,ISBLANK(INDEX(PlotData,MATCH($A168,PlotNumber,0),MATCH(B$3,PlotTitles,0)))),"",ISBLANK(INDEX(PlotData,MATCH($A168,PlotNumber,0),MATCH(F$3,PlotTitles,0))),$AB$9,TRUE,"")</f>
        <v/>
      </c>
      <c r="G168" s="104" t="str" cm="1">
        <f t="array" ref="G168">_xlfn.IFS(AND(A168&gt;NumberOfPlots,ISBLANK(INDEX(PlotData,MATCH($A168,PlotNumber,0),MATCH(B$3,PlotTitles,0)))),"",ISBLANK(INDEX(PlotData,MATCH($A168,PlotNumber,0),MATCH(G$3,PlotTitles,0))),$AB$10,TRUE,"")</f>
        <v/>
      </c>
      <c r="H168" s="104" t="str" cm="1">
        <f t="array" ref="H168">_xlfn.IFS(AND(A168&gt;NumberOfPlots,ISBLANK(INDEX(PlotData,MATCH($A168,PlotNumber,0),MATCH(B$3,PlotTitles,0)))),"",AND(ISBLANK(INDEX(PlotData,MATCH($A168,PlotNumber,0),MATCH(H$3,PlotTitles,0)))=FALSE,INDEX(PlotData,MATCH($A168,PlotNumber,0),MATCH(H$3,PlotTitles,0))&lt;500), $AB$11,TRUE,"")</f>
        <v/>
      </c>
      <c r="I168" s="104" t="str" cm="1">
        <f t="array" ref="I168">_xlfn.IFS(AND(A168&gt;NumberOfPlots,ISBLANK(INDEX(PlotData,MATCH($A168,PlotNumber,0),MATCH(B$3,PlotTitles,0)))),"",ISBLANK(INDEX(PlotData,MATCH($A168,PlotNumber,0),MATCH(I$3,PlotTitles,0))),$AB$12,TRUE,"")</f>
        <v/>
      </c>
      <c r="J168" s="104" t="str" cm="1">
        <f t="array" ref="J168">_xlfn.IFS(AND(A168&gt;NumberOfPlots,ISBLANK(INDEX(PlotData,MATCH($A168,PlotNumber,0),MATCH(B$3,PlotTitles,0)))),"",ISBLANK(INDEX(PlotData,MATCH($A168,PlotNumber,0),MATCH(J$3,PlotTitles,0))),$AB$13,TRUE,"")</f>
        <v/>
      </c>
      <c r="K168" s="182" t="str">
        <f t="shared" ca="1" si="6"/>
        <v/>
      </c>
      <c r="L168" s="104" t="str" cm="1">
        <f t="array" ref="L168">_xlfn.IFS(OR(ISBLANK(StartDateMonth),ISBLANK(StartDateYear)),"",AND(A168&gt;NumberOfPlots,ISBLANK(INDEX(PlotData,MATCH($A168,PlotNumber,0),MATCH(B$3,PlotTitles,0)))),"",ISBLANK(INDEX(PlotData,MATCH($A168,PlotNumber,0),MATCH(I$3,PlotTitles,0))),"",(DATEVALUE(INDEX(PlotData,MATCH($A168,PlotNumber,0),MATCH(I$3,PlotTitles,0))&amp;INDEX(PlotData,MATCH($A168,PlotNumber,0),MATCH(J$3,PlotTitles,0))))&lt;DATEVALUE(StartDateMonth&amp;StartDateYear),$AB$15,TRUE,"")</f>
        <v/>
      </c>
      <c r="M168" s="104" t="str" cm="1">
        <f t="array" ref="M168">_xlfn.IFS(OR(ISBLANK(StartDateMonth),ISBLANK(StartDateYear)),"",AND(A168&gt;NumberOfPlots,ISBLANK(INDEX(PlotData,MATCH($A168,PlotNumber,0),MATCH(B$3,PlotTitles,0)))),"",ISBLANK(INDEX(PlotData,MATCH($A168,PlotNumber,0),MATCH(I$3,PlotTitles,0))),"",CompletionMonth="","",(DATEVALUE(INDEX(PlotData,MATCH($A168,PlotNumber,0),MATCH(I$3,PlotTitles,0))&amp;INDEX(PlotData,MATCH($A168,PlotNumber,0),MATCH(J$3,PlotTitles,0))))&gt;(DATEVALUE(CompletionMonth&amp;CompletionYear)),$AB$16,TRUE,"")</f>
        <v/>
      </c>
      <c r="N168" s="104" t="str" cm="1">
        <f t="array" ref="N168">_xlfn.IFS(AND(A168&gt;NumberOfPlots,ISBLANK(INDEX(PlotData,MATCH($A168,PlotNumber,0),MATCH(B$3,PlotTitles,0)))),"",ISBLANK(INDEX(PlotData,MATCH($A168,PlotNumber,0),MATCH(N$3,PlotTitles,0))),$AB$17,TRUE,"")</f>
        <v/>
      </c>
      <c r="O168" s="104" t="str" cm="1">
        <f t="array" ref="O168">_xlfn.IFS(AND(A168&gt;NumberOfPlots,ISBLANK(INDEX(PlotData,MATCH($A168,PlotNumber,0),MATCH(B$3,PlotTitles,0)))),"",ISBLANK(INDEX(PlotData,MATCH($A168,PlotNumber,0),MATCH(O$3,PlotTitles,0))),$AB$18,TRUE,"")</f>
        <v/>
      </c>
      <c r="P168" s="182" t="str">
        <f t="shared" ca="1" si="7"/>
        <v/>
      </c>
      <c r="Q168" s="104" t="str" cm="1">
        <f t="array" ref="Q168">_xlfn.IFS(AND(A168&gt;NumberOfPlots,ISBLANK(INDEX(PlotData,MATCH($A168,PlotNumber,0),MATCH(B$3,PlotTitles,0)))),"",ISBLANK(INDEX(PlotData,MATCH($A168,PlotNumber,0),MATCH(N$3,PlotTitles,0))),"",(DATEVALUE(INDEX(PlotData,MATCH($A168,PlotNumber,0),MATCH(N$3,PlotTitles,0))&amp;INDEX(PlotData,MATCH($A168,PlotNumber,0),MATCH(O$3,PlotTitles,0))))&lt;(DATEVALUE(INDEX(PlotData,MATCH($A168,PlotNumber,0),MATCH(I$3,PlotTitles,0))&amp;INDEX(PlotData,MATCH($A168,PlotNumber,0),MATCH(J$3,PlotTitles,0)))),$AB$20,TRUE,"")</f>
        <v/>
      </c>
      <c r="R168" s="104" t="str" cm="1">
        <f t="array" ref="R168">_xlfn.IFS(OR(ISBLANK(StartDateMonth),ISBLANK(StartDateYear)),"",AND(A168&gt;NumberOfPlots,ISBLANK(INDEX(PlotData,MATCH($A168,PlotNumber,0),MATCH(B$3,PlotTitles,0)))),"",ISBLANK(INDEX(PlotData,MATCH($A168,PlotNumber,0),MATCH(N$3,PlotTitles,0))),"",CompletionMonth="","",(DATEVALUE(INDEX(PlotData,MATCH($A168,PlotNumber,0),MATCH(N$3,PlotTitles,0))&amp;INDEX(PlotData,MATCH($A168,PlotNumber,0),MATCH(O$3,PlotTitles,0))))&gt;(DATEVALUE(CompletionMonth&amp;CompletionYear)),$AB$21,TRUE,"")</f>
        <v/>
      </c>
      <c r="S168" s="104" t="str" cm="1">
        <f t="array" ref="S168">_xlfn.IFS(AND(A168&gt;NumberOfPlots,ISBLANK(INDEX(PlotData,MATCH($A168,PlotNumber,0),MATCH(B$3,PlotTitles,0)))),"",OR(AND(INDEX(PlotData,MATCH($A168,PlotNumber,0),MATCH("Tenure",PlotTitles,0))="Open market housing",INDEX(PlotData,MATCH($A168,PlotNumber,0),MATCH("Tenure detail",PlotTitles,0))="Private rented sector"),INDEX(PlotData,MATCH($A168,PlotNumber,0),MATCH("Tenure",PlotTitles,0))="Affordable rent"),"",ISNUMBER(INDEX(PlotData,MATCH($A168,PlotNumber,0),MATCH(S$3,PlotTitles,0)))=FALSE, $AB$22,TRUE,"")</f>
        <v/>
      </c>
      <c r="T168" s="104" t="str" cm="1">
        <f t="array" ref="T168">_xlfn.IFS(AND(A168&gt;NumberOfPlots,ISBLANK(INDEX(PlotData,MATCH($A168,PlotNumber,0),MATCH(B$3,PlotTitles,0)))),"",OR(AND(INDEX(PlotData,MATCH($A168,PlotNumber,0),MATCH("Tenure",PlotTitles,0))="Open market housing",INDEX(PlotData,MATCH($A168,PlotNumber,0),MATCH("Tenure detail",PlotTitles,0))="Private rented sector"),INDEX(PlotData,MATCH($A168,PlotNumber,0),MATCH("Tenure",PlotTitles,0))="Affordable rent"),"",INDEX(PlotData,MATCH($A168,PlotNumber,0),MATCH(S$3,PlotTitles,0))&lt;10000, $AB$23,TRUE,"")</f>
        <v/>
      </c>
      <c r="U168" s="104" t="str" cm="1">
        <f t="array" ref="U168">_xlfn.IFS(AND(A168&gt;NumberOfPlots,ISBLANK(INDEX(PlotData,MATCH($A168,PlotNumber,0),MATCH(B$3,PlotTitles,0)))),"",NOT(OR(AND(INDEX(PlotData,MATCH($A168,PlotNumber,0),MATCH("Tenure",PlotTitles,0))="Open market housing",INDEX(PlotData,MATCH($A168,PlotNumber,0),MATCH("Tenure detail",PlotTitles,0))="Private rented sector"),INDEX(PlotData,MATCH($A168,PlotNumber,0),MATCH("Tenure",PlotTitles,0))="Affordable rent")),"",NOT(INDEX(PlotData,MATCH($A168,PlotNumber,0),MATCH(S$3,PlotTitles,0))=0), $AB$24,TRUE,"")</f>
        <v/>
      </c>
      <c r="V168" s="114" t="str" cm="1">
        <f t="array" aca="1" ref="V168" ca="1">_xlfn.IFS(ISBLANK(NumberOfPlots),"Enter the number of homes on the 1_SetUp sheet",AND(A168&gt;NumberOfPlots,ISBLANK(INDEX(PlotData,MATCH($A168,PlotNumber,0),MATCH(B$3,PlotTitles,0)))),"No error",NOT(B168=""),B168,NOT(C168=""),C168,NOT(D168=""),D168,NOT(E168=""),E168,NOT(F168=""),F168,NOT(G168=""),G168,NOT(H168=""),H168,NOT(I168=""),I168,NOT(J168=""),J168,NOT(K168=""),K168,NOT(L168=""),L168,NOT(M168=""),M168,NOT(N168=""),N168,NOT(O168=""),O168,NOT(P168=""),P168,NOT(Q168=""),Q168,NOT(R168=""),R168,NOT(S168=""),S168,NOT(T168=""),T168,NOT(U168=""),U168,TRUE,"No error")</f>
        <v>Enter the number of homes on the 1_SetUp sheet</v>
      </c>
      <c r="W168" s="114" t="str">
        <f t="shared" ca="1" si="8"/>
        <v xml:space="preserve">The Borrower has not addressed the following error messages for Home ID 164: </v>
      </c>
    </row>
    <row r="169" spans="1:23">
      <c r="A169" s="123">
        <v>165</v>
      </c>
      <c r="B169" s="104" t="str" cm="1">
        <f t="array" ref="B169">_xlfn.IFS(AND(A169&gt;NumberOfPlots,ISBLANK(INDEX(PlotData,MATCH($A169,PlotNumber,0),MATCH(B$3,PlotTitles,0)))),"",ISNUMBER(INDEX(PlotData,MATCH($A169,PlotNumber,0),MATCH(B$3,PlotTitles,0)))=FALSE, $AB$5,TRUE,"")</f>
        <v/>
      </c>
      <c r="C169" s="104" t="str" cm="1">
        <f t="array" ref="C169">_xlfn.IFS(AND(A169&gt;NumberOfPlots,ISBLANK(INDEX(PlotData,MATCH($A169,PlotNumber,0),MATCH(B$3,PlotTitles,0)))),"",ISBLANK(INDEX(PlotData,MATCH($A169,PlotNumber,0),MATCH(C$3,PlotTitles,0))),$AB$6,TRUE,"")</f>
        <v/>
      </c>
      <c r="D169" s="104" t="str" cm="1">
        <f t="array" ref="D169">_xlfn.IFS(AND(A169&gt;NumberOfPlots,ISBLANK(INDEX(PlotData,MATCH($A169,PlotNumber,0),MATCH(B$3,PlotTitles,0)))),"",ISBLANK(INDEX(PlotData,MATCH($A169,PlotNumber,0),MATCH(D$3,PlotTitles,0))),$AB$7,TRUE,"")</f>
        <v/>
      </c>
      <c r="E169" s="104" t="str" cm="1">
        <f t="array" ref="E169">_xlfn.IFS(AND(A169&gt;NumberOfPlots,ISBLANK(INDEX(PlotData,MATCH($A169,PlotNumber,0),MATCH(B$3,PlotTitles,0)))),"",ISBLANK(INDEX(PlotData,MATCH($A169,PlotNumber,0),MATCH(E$3,PlotTitles,0))),$AB$8,TRUE,"")</f>
        <v/>
      </c>
      <c r="F169" s="104" t="str" cm="1">
        <f t="array" ref="F169">_xlfn.IFS(AND(A169&gt;NumberOfPlots,ISBLANK(INDEX(PlotData,MATCH($A169,PlotNumber,0),MATCH(B$3,PlotTitles,0)))),"",ISBLANK(INDEX(PlotData,MATCH($A169,PlotNumber,0),MATCH(F$3,PlotTitles,0))),$AB$9,TRUE,"")</f>
        <v/>
      </c>
      <c r="G169" s="104" t="str" cm="1">
        <f t="array" ref="G169">_xlfn.IFS(AND(A169&gt;NumberOfPlots,ISBLANK(INDEX(PlotData,MATCH($A169,PlotNumber,0),MATCH(B$3,PlotTitles,0)))),"",ISBLANK(INDEX(PlotData,MATCH($A169,PlotNumber,0),MATCH(G$3,PlotTitles,0))),$AB$10,TRUE,"")</f>
        <v/>
      </c>
      <c r="H169" s="104" t="str" cm="1">
        <f t="array" ref="H169">_xlfn.IFS(AND(A169&gt;NumberOfPlots,ISBLANK(INDEX(PlotData,MATCH($A169,PlotNumber,0),MATCH(B$3,PlotTitles,0)))),"",AND(ISBLANK(INDEX(PlotData,MATCH($A169,PlotNumber,0),MATCH(H$3,PlotTitles,0)))=FALSE,INDEX(PlotData,MATCH($A169,PlotNumber,0),MATCH(H$3,PlotTitles,0))&lt;500), $AB$11,TRUE,"")</f>
        <v/>
      </c>
      <c r="I169" s="104" t="str" cm="1">
        <f t="array" ref="I169">_xlfn.IFS(AND(A169&gt;NumberOfPlots,ISBLANK(INDEX(PlotData,MATCH($A169,PlotNumber,0),MATCH(B$3,PlotTitles,0)))),"",ISBLANK(INDEX(PlotData,MATCH($A169,PlotNumber,0),MATCH(I$3,PlotTitles,0))),$AB$12,TRUE,"")</f>
        <v/>
      </c>
      <c r="J169" s="104" t="str" cm="1">
        <f t="array" ref="J169">_xlfn.IFS(AND(A169&gt;NumberOfPlots,ISBLANK(INDEX(PlotData,MATCH($A169,PlotNumber,0),MATCH(B$3,PlotTitles,0)))),"",ISBLANK(INDEX(PlotData,MATCH($A169,PlotNumber,0),MATCH(J$3,PlotTitles,0))),$AB$13,TRUE,"")</f>
        <v/>
      </c>
      <c r="K169" s="182" t="str">
        <f t="shared" ca="1" si="6"/>
        <v/>
      </c>
      <c r="L169" s="104" t="str" cm="1">
        <f t="array" ref="L169">_xlfn.IFS(OR(ISBLANK(StartDateMonth),ISBLANK(StartDateYear)),"",AND(A169&gt;NumberOfPlots,ISBLANK(INDEX(PlotData,MATCH($A169,PlotNumber,0),MATCH(B$3,PlotTitles,0)))),"",ISBLANK(INDEX(PlotData,MATCH($A169,PlotNumber,0),MATCH(I$3,PlotTitles,0))),"",(DATEVALUE(INDEX(PlotData,MATCH($A169,PlotNumber,0),MATCH(I$3,PlotTitles,0))&amp;INDEX(PlotData,MATCH($A169,PlotNumber,0),MATCH(J$3,PlotTitles,0))))&lt;DATEVALUE(StartDateMonth&amp;StartDateYear),$AB$15,TRUE,"")</f>
        <v/>
      </c>
      <c r="M169" s="104" t="str" cm="1">
        <f t="array" ref="M169">_xlfn.IFS(OR(ISBLANK(StartDateMonth),ISBLANK(StartDateYear)),"",AND(A169&gt;NumberOfPlots,ISBLANK(INDEX(PlotData,MATCH($A169,PlotNumber,0),MATCH(B$3,PlotTitles,0)))),"",ISBLANK(INDEX(PlotData,MATCH($A169,PlotNumber,0),MATCH(I$3,PlotTitles,0))),"",CompletionMonth="","",(DATEVALUE(INDEX(PlotData,MATCH($A169,PlotNumber,0),MATCH(I$3,PlotTitles,0))&amp;INDEX(PlotData,MATCH($A169,PlotNumber,0),MATCH(J$3,PlotTitles,0))))&gt;(DATEVALUE(CompletionMonth&amp;CompletionYear)),$AB$16,TRUE,"")</f>
        <v/>
      </c>
      <c r="N169" s="104" t="str" cm="1">
        <f t="array" ref="N169">_xlfn.IFS(AND(A169&gt;NumberOfPlots,ISBLANK(INDEX(PlotData,MATCH($A169,PlotNumber,0),MATCH(B$3,PlotTitles,0)))),"",ISBLANK(INDEX(PlotData,MATCH($A169,PlotNumber,0),MATCH(N$3,PlotTitles,0))),$AB$17,TRUE,"")</f>
        <v/>
      </c>
      <c r="O169" s="104" t="str" cm="1">
        <f t="array" ref="O169">_xlfn.IFS(AND(A169&gt;NumberOfPlots,ISBLANK(INDEX(PlotData,MATCH($A169,PlotNumber,0),MATCH(B$3,PlotTitles,0)))),"",ISBLANK(INDEX(PlotData,MATCH($A169,PlotNumber,0),MATCH(O$3,PlotTitles,0))),$AB$18,TRUE,"")</f>
        <v/>
      </c>
      <c r="P169" s="182" t="str">
        <f t="shared" ca="1" si="7"/>
        <v/>
      </c>
      <c r="Q169" s="104" t="str" cm="1">
        <f t="array" ref="Q169">_xlfn.IFS(AND(A169&gt;NumberOfPlots,ISBLANK(INDEX(PlotData,MATCH($A169,PlotNumber,0),MATCH(B$3,PlotTitles,0)))),"",ISBLANK(INDEX(PlotData,MATCH($A169,PlotNumber,0),MATCH(N$3,PlotTitles,0))),"",(DATEVALUE(INDEX(PlotData,MATCH($A169,PlotNumber,0),MATCH(N$3,PlotTitles,0))&amp;INDEX(PlotData,MATCH($A169,PlotNumber,0),MATCH(O$3,PlotTitles,0))))&lt;(DATEVALUE(INDEX(PlotData,MATCH($A169,PlotNumber,0),MATCH(I$3,PlotTitles,0))&amp;INDEX(PlotData,MATCH($A169,PlotNumber,0),MATCH(J$3,PlotTitles,0)))),$AB$20,TRUE,"")</f>
        <v/>
      </c>
      <c r="R169" s="104" t="str" cm="1">
        <f t="array" ref="R169">_xlfn.IFS(OR(ISBLANK(StartDateMonth),ISBLANK(StartDateYear)),"",AND(A169&gt;NumberOfPlots,ISBLANK(INDEX(PlotData,MATCH($A169,PlotNumber,0),MATCH(B$3,PlotTitles,0)))),"",ISBLANK(INDEX(PlotData,MATCH($A169,PlotNumber,0),MATCH(N$3,PlotTitles,0))),"",CompletionMonth="","",(DATEVALUE(INDEX(PlotData,MATCH($A169,PlotNumber,0),MATCH(N$3,PlotTitles,0))&amp;INDEX(PlotData,MATCH($A169,PlotNumber,0),MATCH(O$3,PlotTitles,0))))&gt;(DATEVALUE(CompletionMonth&amp;CompletionYear)),$AB$21,TRUE,"")</f>
        <v/>
      </c>
      <c r="S169" s="104" t="str" cm="1">
        <f t="array" ref="S169">_xlfn.IFS(AND(A169&gt;NumberOfPlots,ISBLANK(INDEX(PlotData,MATCH($A169,PlotNumber,0),MATCH(B$3,PlotTitles,0)))),"",OR(AND(INDEX(PlotData,MATCH($A169,PlotNumber,0),MATCH("Tenure",PlotTitles,0))="Open market housing",INDEX(PlotData,MATCH($A169,PlotNumber,0),MATCH("Tenure detail",PlotTitles,0))="Private rented sector"),INDEX(PlotData,MATCH($A169,PlotNumber,0),MATCH("Tenure",PlotTitles,0))="Affordable rent"),"",ISNUMBER(INDEX(PlotData,MATCH($A169,PlotNumber,0),MATCH(S$3,PlotTitles,0)))=FALSE, $AB$22,TRUE,"")</f>
        <v/>
      </c>
      <c r="T169" s="104" t="str" cm="1">
        <f t="array" ref="T169">_xlfn.IFS(AND(A169&gt;NumberOfPlots,ISBLANK(INDEX(PlotData,MATCH($A169,PlotNumber,0),MATCH(B$3,PlotTitles,0)))),"",OR(AND(INDEX(PlotData,MATCH($A169,PlotNumber,0),MATCH("Tenure",PlotTitles,0))="Open market housing",INDEX(PlotData,MATCH($A169,PlotNumber,0),MATCH("Tenure detail",PlotTitles,0))="Private rented sector"),INDEX(PlotData,MATCH($A169,PlotNumber,0),MATCH("Tenure",PlotTitles,0))="Affordable rent"),"",INDEX(PlotData,MATCH($A169,PlotNumber,0),MATCH(S$3,PlotTitles,0))&lt;10000, $AB$23,TRUE,"")</f>
        <v/>
      </c>
      <c r="U169" s="104" t="str" cm="1">
        <f t="array" ref="U169">_xlfn.IFS(AND(A169&gt;NumberOfPlots,ISBLANK(INDEX(PlotData,MATCH($A169,PlotNumber,0),MATCH(B$3,PlotTitles,0)))),"",NOT(OR(AND(INDEX(PlotData,MATCH($A169,PlotNumber,0),MATCH("Tenure",PlotTitles,0))="Open market housing",INDEX(PlotData,MATCH($A169,PlotNumber,0),MATCH("Tenure detail",PlotTitles,0))="Private rented sector"),INDEX(PlotData,MATCH($A169,PlotNumber,0),MATCH("Tenure",PlotTitles,0))="Affordable rent")),"",NOT(INDEX(PlotData,MATCH($A169,PlotNumber,0),MATCH(S$3,PlotTitles,0))=0), $AB$24,TRUE,"")</f>
        <v/>
      </c>
      <c r="V169" s="114" t="str" cm="1">
        <f t="array" aca="1" ref="V169" ca="1">_xlfn.IFS(ISBLANK(NumberOfPlots),"Enter the number of homes on the 1_SetUp sheet",AND(A169&gt;NumberOfPlots,ISBLANK(INDEX(PlotData,MATCH($A169,PlotNumber,0),MATCH(B$3,PlotTitles,0)))),"No error",NOT(B169=""),B169,NOT(C169=""),C169,NOT(D169=""),D169,NOT(E169=""),E169,NOT(F169=""),F169,NOT(G169=""),G169,NOT(H169=""),H169,NOT(I169=""),I169,NOT(J169=""),J169,NOT(K169=""),K169,NOT(L169=""),L169,NOT(M169=""),M169,NOT(N169=""),N169,NOT(O169=""),O169,NOT(P169=""),P169,NOT(Q169=""),Q169,NOT(R169=""),R169,NOT(S169=""),S169,NOT(T169=""),T169,NOT(U169=""),U169,TRUE,"No error")</f>
        <v>Enter the number of homes on the 1_SetUp sheet</v>
      </c>
      <c r="W169" s="114" t="str">
        <f t="shared" ca="1" si="8"/>
        <v xml:space="preserve">The Borrower has not addressed the following error messages for Home ID 165: </v>
      </c>
    </row>
    <row r="170" spans="1:23">
      <c r="A170" s="123">
        <v>166</v>
      </c>
      <c r="B170" s="104" t="str" cm="1">
        <f t="array" ref="B170">_xlfn.IFS(AND(A170&gt;NumberOfPlots,ISBLANK(INDEX(PlotData,MATCH($A170,PlotNumber,0),MATCH(B$3,PlotTitles,0)))),"",ISNUMBER(INDEX(PlotData,MATCH($A170,PlotNumber,0),MATCH(B$3,PlotTitles,0)))=FALSE, $AB$5,TRUE,"")</f>
        <v/>
      </c>
      <c r="C170" s="104" t="str" cm="1">
        <f t="array" ref="C170">_xlfn.IFS(AND(A170&gt;NumberOfPlots,ISBLANK(INDEX(PlotData,MATCH($A170,PlotNumber,0),MATCH(B$3,PlotTitles,0)))),"",ISBLANK(INDEX(PlotData,MATCH($A170,PlotNumber,0),MATCH(C$3,PlotTitles,0))),$AB$6,TRUE,"")</f>
        <v/>
      </c>
      <c r="D170" s="104" t="str" cm="1">
        <f t="array" ref="D170">_xlfn.IFS(AND(A170&gt;NumberOfPlots,ISBLANK(INDEX(PlotData,MATCH($A170,PlotNumber,0),MATCH(B$3,PlotTitles,0)))),"",ISBLANK(INDEX(PlotData,MATCH($A170,PlotNumber,0),MATCH(D$3,PlotTitles,0))),$AB$7,TRUE,"")</f>
        <v/>
      </c>
      <c r="E170" s="104" t="str" cm="1">
        <f t="array" ref="E170">_xlfn.IFS(AND(A170&gt;NumberOfPlots,ISBLANK(INDEX(PlotData,MATCH($A170,PlotNumber,0),MATCH(B$3,PlotTitles,0)))),"",ISBLANK(INDEX(PlotData,MATCH($A170,PlotNumber,0),MATCH(E$3,PlotTitles,0))),$AB$8,TRUE,"")</f>
        <v/>
      </c>
      <c r="F170" s="104" t="str" cm="1">
        <f t="array" ref="F170">_xlfn.IFS(AND(A170&gt;NumberOfPlots,ISBLANK(INDEX(PlotData,MATCH($A170,PlotNumber,0),MATCH(B$3,PlotTitles,0)))),"",ISBLANK(INDEX(PlotData,MATCH($A170,PlotNumber,0),MATCH(F$3,PlotTitles,0))),$AB$9,TRUE,"")</f>
        <v/>
      </c>
      <c r="G170" s="104" t="str" cm="1">
        <f t="array" ref="G170">_xlfn.IFS(AND(A170&gt;NumberOfPlots,ISBLANK(INDEX(PlotData,MATCH($A170,PlotNumber,0),MATCH(B$3,PlotTitles,0)))),"",ISBLANK(INDEX(PlotData,MATCH($A170,PlotNumber,0),MATCH(G$3,PlotTitles,0))),$AB$10,TRUE,"")</f>
        <v/>
      </c>
      <c r="H170" s="104" t="str" cm="1">
        <f t="array" ref="H170">_xlfn.IFS(AND(A170&gt;NumberOfPlots,ISBLANK(INDEX(PlotData,MATCH($A170,PlotNumber,0),MATCH(B$3,PlotTitles,0)))),"",AND(ISBLANK(INDEX(PlotData,MATCH($A170,PlotNumber,0),MATCH(H$3,PlotTitles,0)))=FALSE,INDEX(PlotData,MATCH($A170,PlotNumber,0),MATCH(H$3,PlotTitles,0))&lt;500), $AB$11,TRUE,"")</f>
        <v/>
      </c>
      <c r="I170" s="104" t="str" cm="1">
        <f t="array" ref="I170">_xlfn.IFS(AND(A170&gt;NumberOfPlots,ISBLANK(INDEX(PlotData,MATCH($A170,PlotNumber,0),MATCH(B$3,PlotTitles,0)))),"",ISBLANK(INDEX(PlotData,MATCH($A170,PlotNumber,0),MATCH(I$3,PlotTitles,0))),$AB$12,TRUE,"")</f>
        <v/>
      </c>
      <c r="J170" s="104" t="str" cm="1">
        <f t="array" ref="J170">_xlfn.IFS(AND(A170&gt;NumberOfPlots,ISBLANK(INDEX(PlotData,MATCH($A170,PlotNumber,0),MATCH(B$3,PlotTitles,0)))),"",ISBLANK(INDEX(PlotData,MATCH($A170,PlotNumber,0),MATCH(J$3,PlotTitles,0))),$AB$13,TRUE,"")</f>
        <v/>
      </c>
      <c r="K170" s="182" t="str">
        <f t="shared" ca="1" si="6"/>
        <v/>
      </c>
      <c r="L170" s="104" t="str" cm="1">
        <f t="array" ref="L170">_xlfn.IFS(OR(ISBLANK(StartDateMonth),ISBLANK(StartDateYear)),"",AND(A170&gt;NumberOfPlots,ISBLANK(INDEX(PlotData,MATCH($A170,PlotNumber,0),MATCH(B$3,PlotTitles,0)))),"",ISBLANK(INDEX(PlotData,MATCH($A170,PlotNumber,0),MATCH(I$3,PlotTitles,0))),"",(DATEVALUE(INDEX(PlotData,MATCH($A170,PlotNumber,0),MATCH(I$3,PlotTitles,0))&amp;INDEX(PlotData,MATCH($A170,PlotNumber,0),MATCH(J$3,PlotTitles,0))))&lt;DATEVALUE(StartDateMonth&amp;StartDateYear),$AB$15,TRUE,"")</f>
        <v/>
      </c>
      <c r="M170" s="104" t="str" cm="1">
        <f t="array" ref="M170">_xlfn.IFS(OR(ISBLANK(StartDateMonth),ISBLANK(StartDateYear)),"",AND(A170&gt;NumberOfPlots,ISBLANK(INDEX(PlotData,MATCH($A170,PlotNumber,0),MATCH(B$3,PlotTitles,0)))),"",ISBLANK(INDEX(PlotData,MATCH($A170,PlotNumber,0),MATCH(I$3,PlotTitles,0))),"",CompletionMonth="","",(DATEVALUE(INDEX(PlotData,MATCH($A170,PlotNumber,0),MATCH(I$3,PlotTitles,0))&amp;INDEX(PlotData,MATCH($A170,PlotNumber,0),MATCH(J$3,PlotTitles,0))))&gt;(DATEVALUE(CompletionMonth&amp;CompletionYear)),$AB$16,TRUE,"")</f>
        <v/>
      </c>
      <c r="N170" s="104" t="str" cm="1">
        <f t="array" ref="N170">_xlfn.IFS(AND(A170&gt;NumberOfPlots,ISBLANK(INDEX(PlotData,MATCH($A170,PlotNumber,0),MATCH(B$3,PlotTitles,0)))),"",ISBLANK(INDEX(PlotData,MATCH($A170,PlotNumber,0),MATCH(N$3,PlotTitles,0))),$AB$17,TRUE,"")</f>
        <v/>
      </c>
      <c r="O170" s="104" t="str" cm="1">
        <f t="array" ref="O170">_xlfn.IFS(AND(A170&gt;NumberOfPlots,ISBLANK(INDEX(PlotData,MATCH($A170,PlotNumber,0),MATCH(B$3,PlotTitles,0)))),"",ISBLANK(INDEX(PlotData,MATCH($A170,PlotNumber,0),MATCH(O$3,PlotTitles,0))),$AB$18,TRUE,"")</f>
        <v/>
      </c>
      <c r="P170" s="182" t="str">
        <f t="shared" ca="1" si="7"/>
        <v/>
      </c>
      <c r="Q170" s="104" t="str" cm="1">
        <f t="array" ref="Q170">_xlfn.IFS(AND(A170&gt;NumberOfPlots,ISBLANK(INDEX(PlotData,MATCH($A170,PlotNumber,0),MATCH(B$3,PlotTitles,0)))),"",ISBLANK(INDEX(PlotData,MATCH($A170,PlotNumber,0),MATCH(N$3,PlotTitles,0))),"",(DATEVALUE(INDEX(PlotData,MATCH($A170,PlotNumber,0),MATCH(N$3,PlotTitles,0))&amp;INDEX(PlotData,MATCH($A170,PlotNumber,0),MATCH(O$3,PlotTitles,0))))&lt;(DATEVALUE(INDEX(PlotData,MATCH($A170,PlotNumber,0),MATCH(I$3,PlotTitles,0))&amp;INDEX(PlotData,MATCH($A170,PlotNumber,0),MATCH(J$3,PlotTitles,0)))),$AB$20,TRUE,"")</f>
        <v/>
      </c>
      <c r="R170" s="104" t="str" cm="1">
        <f t="array" ref="R170">_xlfn.IFS(OR(ISBLANK(StartDateMonth),ISBLANK(StartDateYear)),"",AND(A170&gt;NumberOfPlots,ISBLANK(INDEX(PlotData,MATCH($A170,PlotNumber,0),MATCH(B$3,PlotTitles,0)))),"",ISBLANK(INDEX(PlotData,MATCH($A170,PlotNumber,0),MATCH(N$3,PlotTitles,0))),"",CompletionMonth="","",(DATEVALUE(INDEX(PlotData,MATCH($A170,PlotNumber,0),MATCH(N$3,PlotTitles,0))&amp;INDEX(PlotData,MATCH($A170,PlotNumber,0),MATCH(O$3,PlotTitles,0))))&gt;(DATEVALUE(CompletionMonth&amp;CompletionYear)),$AB$21,TRUE,"")</f>
        <v/>
      </c>
      <c r="S170" s="104" t="str" cm="1">
        <f t="array" ref="S170">_xlfn.IFS(AND(A170&gt;NumberOfPlots,ISBLANK(INDEX(PlotData,MATCH($A170,PlotNumber,0),MATCH(B$3,PlotTitles,0)))),"",OR(AND(INDEX(PlotData,MATCH($A170,PlotNumber,0),MATCH("Tenure",PlotTitles,0))="Open market housing",INDEX(PlotData,MATCH($A170,PlotNumber,0),MATCH("Tenure detail",PlotTitles,0))="Private rented sector"),INDEX(PlotData,MATCH($A170,PlotNumber,0),MATCH("Tenure",PlotTitles,0))="Affordable rent"),"",ISNUMBER(INDEX(PlotData,MATCH($A170,PlotNumber,0),MATCH(S$3,PlotTitles,0)))=FALSE, $AB$22,TRUE,"")</f>
        <v/>
      </c>
      <c r="T170" s="104" t="str" cm="1">
        <f t="array" ref="T170">_xlfn.IFS(AND(A170&gt;NumberOfPlots,ISBLANK(INDEX(PlotData,MATCH($A170,PlotNumber,0),MATCH(B$3,PlotTitles,0)))),"",OR(AND(INDEX(PlotData,MATCH($A170,PlotNumber,0),MATCH("Tenure",PlotTitles,0))="Open market housing",INDEX(PlotData,MATCH($A170,PlotNumber,0),MATCH("Tenure detail",PlotTitles,0))="Private rented sector"),INDEX(PlotData,MATCH($A170,PlotNumber,0),MATCH("Tenure",PlotTitles,0))="Affordable rent"),"",INDEX(PlotData,MATCH($A170,PlotNumber,0),MATCH(S$3,PlotTitles,0))&lt;10000, $AB$23,TRUE,"")</f>
        <v/>
      </c>
      <c r="U170" s="104" t="str" cm="1">
        <f t="array" ref="U170">_xlfn.IFS(AND(A170&gt;NumberOfPlots,ISBLANK(INDEX(PlotData,MATCH($A170,PlotNumber,0),MATCH(B$3,PlotTitles,0)))),"",NOT(OR(AND(INDEX(PlotData,MATCH($A170,PlotNumber,0),MATCH("Tenure",PlotTitles,0))="Open market housing",INDEX(PlotData,MATCH($A170,PlotNumber,0),MATCH("Tenure detail",PlotTitles,0))="Private rented sector"),INDEX(PlotData,MATCH($A170,PlotNumber,0),MATCH("Tenure",PlotTitles,0))="Affordable rent")),"",NOT(INDEX(PlotData,MATCH($A170,PlotNumber,0),MATCH(S$3,PlotTitles,0))=0), $AB$24,TRUE,"")</f>
        <v/>
      </c>
      <c r="V170" s="114" t="str" cm="1">
        <f t="array" aca="1" ref="V170" ca="1">_xlfn.IFS(ISBLANK(NumberOfPlots),"Enter the number of homes on the 1_SetUp sheet",AND(A170&gt;NumberOfPlots,ISBLANK(INDEX(PlotData,MATCH($A170,PlotNumber,0),MATCH(B$3,PlotTitles,0)))),"No error",NOT(B170=""),B170,NOT(C170=""),C170,NOT(D170=""),D170,NOT(E170=""),E170,NOT(F170=""),F170,NOT(G170=""),G170,NOT(H170=""),H170,NOT(I170=""),I170,NOT(J170=""),J170,NOT(K170=""),K170,NOT(L170=""),L170,NOT(M170=""),M170,NOT(N170=""),N170,NOT(O170=""),O170,NOT(P170=""),P170,NOT(Q170=""),Q170,NOT(R170=""),R170,NOT(S170=""),S170,NOT(T170=""),T170,NOT(U170=""),U170,TRUE,"No error")</f>
        <v>Enter the number of homes on the 1_SetUp sheet</v>
      </c>
      <c r="W170" s="114" t="str">
        <f t="shared" ca="1" si="8"/>
        <v xml:space="preserve">The Borrower has not addressed the following error messages for Home ID 166: </v>
      </c>
    </row>
    <row r="171" spans="1:23">
      <c r="A171" s="123">
        <v>167</v>
      </c>
      <c r="B171" s="104" t="str" cm="1">
        <f t="array" ref="B171">_xlfn.IFS(AND(A171&gt;NumberOfPlots,ISBLANK(INDEX(PlotData,MATCH($A171,PlotNumber,0),MATCH(B$3,PlotTitles,0)))),"",ISNUMBER(INDEX(PlotData,MATCH($A171,PlotNumber,0),MATCH(B$3,PlotTitles,0)))=FALSE, $AB$5,TRUE,"")</f>
        <v/>
      </c>
      <c r="C171" s="104" t="str" cm="1">
        <f t="array" ref="C171">_xlfn.IFS(AND(A171&gt;NumberOfPlots,ISBLANK(INDEX(PlotData,MATCH($A171,PlotNumber,0),MATCH(B$3,PlotTitles,0)))),"",ISBLANK(INDEX(PlotData,MATCH($A171,PlotNumber,0),MATCH(C$3,PlotTitles,0))),$AB$6,TRUE,"")</f>
        <v/>
      </c>
      <c r="D171" s="104" t="str" cm="1">
        <f t="array" ref="D171">_xlfn.IFS(AND(A171&gt;NumberOfPlots,ISBLANK(INDEX(PlotData,MATCH($A171,PlotNumber,0),MATCH(B$3,PlotTitles,0)))),"",ISBLANK(INDEX(PlotData,MATCH($A171,PlotNumber,0),MATCH(D$3,PlotTitles,0))),$AB$7,TRUE,"")</f>
        <v/>
      </c>
      <c r="E171" s="104" t="str" cm="1">
        <f t="array" ref="E171">_xlfn.IFS(AND(A171&gt;NumberOfPlots,ISBLANK(INDEX(PlotData,MATCH($A171,PlotNumber,0),MATCH(B$3,PlotTitles,0)))),"",ISBLANK(INDEX(PlotData,MATCH($A171,PlotNumber,0),MATCH(E$3,PlotTitles,0))),$AB$8,TRUE,"")</f>
        <v/>
      </c>
      <c r="F171" s="104" t="str" cm="1">
        <f t="array" ref="F171">_xlfn.IFS(AND(A171&gt;NumberOfPlots,ISBLANK(INDEX(PlotData,MATCH($A171,PlotNumber,0),MATCH(B$3,PlotTitles,0)))),"",ISBLANK(INDEX(PlotData,MATCH($A171,PlotNumber,0),MATCH(F$3,PlotTitles,0))),$AB$9,TRUE,"")</f>
        <v/>
      </c>
      <c r="G171" s="104" t="str" cm="1">
        <f t="array" ref="G171">_xlfn.IFS(AND(A171&gt;NumberOfPlots,ISBLANK(INDEX(PlotData,MATCH($A171,PlotNumber,0),MATCH(B$3,PlotTitles,0)))),"",ISBLANK(INDEX(PlotData,MATCH($A171,PlotNumber,0),MATCH(G$3,PlotTitles,0))),$AB$10,TRUE,"")</f>
        <v/>
      </c>
      <c r="H171" s="104" t="str" cm="1">
        <f t="array" ref="H171">_xlfn.IFS(AND(A171&gt;NumberOfPlots,ISBLANK(INDEX(PlotData,MATCH($A171,PlotNumber,0),MATCH(B$3,PlotTitles,0)))),"",AND(ISBLANK(INDEX(PlotData,MATCH($A171,PlotNumber,0),MATCH(H$3,PlotTitles,0)))=FALSE,INDEX(PlotData,MATCH($A171,PlotNumber,0),MATCH(H$3,PlotTitles,0))&lt;500), $AB$11,TRUE,"")</f>
        <v/>
      </c>
      <c r="I171" s="104" t="str" cm="1">
        <f t="array" ref="I171">_xlfn.IFS(AND(A171&gt;NumberOfPlots,ISBLANK(INDEX(PlotData,MATCH($A171,PlotNumber,0),MATCH(B$3,PlotTitles,0)))),"",ISBLANK(INDEX(PlotData,MATCH($A171,PlotNumber,0),MATCH(I$3,PlotTitles,0))),$AB$12,TRUE,"")</f>
        <v/>
      </c>
      <c r="J171" s="104" t="str" cm="1">
        <f t="array" ref="J171">_xlfn.IFS(AND(A171&gt;NumberOfPlots,ISBLANK(INDEX(PlotData,MATCH($A171,PlotNumber,0),MATCH(B$3,PlotTitles,0)))),"",ISBLANK(INDEX(PlotData,MATCH($A171,PlotNumber,0),MATCH(J$3,PlotTitles,0))),$AB$13,TRUE,"")</f>
        <v/>
      </c>
      <c r="K171" s="182" t="str">
        <f t="shared" ca="1" si="6"/>
        <v/>
      </c>
      <c r="L171" s="104" t="str" cm="1">
        <f t="array" ref="L171">_xlfn.IFS(OR(ISBLANK(StartDateMonth),ISBLANK(StartDateYear)),"",AND(A171&gt;NumberOfPlots,ISBLANK(INDEX(PlotData,MATCH($A171,PlotNumber,0),MATCH(B$3,PlotTitles,0)))),"",ISBLANK(INDEX(PlotData,MATCH($A171,PlotNumber,0),MATCH(I$3,PlotTitles,0))),"",(DATEVALUE(INDEX(PlotData,MATCH($A171,PlotNumber,0),MATCH(I$3,PlotTitles,0))&amp;INDEX(PlotData,MATCH($A171,PlotNumber,0),MATCH(J$3,PlotTitles,0))))&lt;DATEVALUE(StartDateMonth&amp;StartDateYear),$AB$15,TRUE,"")</f>
        <v/>
      </c>
      <c r="M171" s="104" t="str" cm="1">
        <f t="array" ref="M171">_xlfn.IFS(OR(ISBLANK(StartDateMonth),ISBLANK(StartDateYear)),"",AND(A171&gt;NumberOfPlots,ISBLANK(INDEX(PlotData,MATCH($A171,PlotNumber,0),MATCH(B$3,PlotTitles,0)))),"",ISBLANK(INDEX(PlotData,MATCH($A171,PlotNumber,0),MATCH(I$3,PlotTitles,0))),"",CompletionMonth="","",(DATEVALUE(INDEX(PlotData,MATCH($A171,PlotNumber,0),MATCH(I$3,PlotTitles,0))&amp;INDEX(PlotData,MATCH($A171,PlotNumber,0),MATCH(J$3,PlotTitles,0))))&gt;(DATEVALUE(CompletionMonth&amp;CompletionYear)),$AB$16,TRUE,"")</f>
        <v/>
      </c>
      <c r="N171" s="104" t="str" cm="1">
        <f t="array" ref="N171">_xlfn.IFS(AND(A171&gt;NumberOfPlots,ISBLANK(INDEX(PlotData,MATCH($A171,PlotNumber,0),MATCH(B$3,PlotTitles,0)))),"",ISBLANK(INDEX(PlotData,MATCH($A171,PlotNumber,0),MATCH(N$3,PlotTitles,0))),$AB$17,TRUE,"")</f>
        <v/>
      </c>
      <c r="O171" s="104" t="str" cm="1">
        <f t="array" ref="O171">_xlfn.IFS(AND(A171&gt;NumberOfPlots,ISBLANK(INDEX(PlotData,MATCH($A171,PlotNumber,0),MATCH(B$3,PlotTitles,0)))),"",ISBLANK(INDEX(PlotData,MATCH($A171,PlotNumber,0),MATCH(O$3,PlotTitles,0))),$AB$18,TRUE,"")</f>
        <v/>
      </c>
      <c r="P171" s="182" t="str">
        <f t="shared" ca="1" si="7"/>
        <v/>
      </c>
      <c r="Q171" s="104" t="str" cm="1">
        <f t="array" ref="Q171">_xlfn.IFS(AND(A171&gt;NumberOfPlots,ISBLANK(INDEX(PlotData,MATCH($A171,PlotNumber,0),MATCH(B$3,PlotTitles,0)))),"",ISBLANK(INDEX(PlotData,MATCH($A171,PlotNumber,0),MATCH(N$3,PlotTitles,0))),"",(DATEVALUE(INDEX(PlotData,MATCH($A171,PlotNumber,0),MATCH(N$3,PlotTitles,0))&amp;INDEX(PlotData,MATCH($A171,PlotNumber,0),MATCH(O$3,PlotTitles,0))))&lt;(DATEVALUE(INDEX(PlotData,MATCH($A171,PlotNumber,0),MATCH(I$3,PlotTitles,0))&amp;INDEX(PlotData,MATCH($A171,PlotNumber,0),MATCH(J$3,PlotTitles,0)))),$AB$20,TRUE,"")</f>
        <v/>
      </c>
      <c r="R171" s="104" t="str" cm="1">
        <f t="array" ref="R171">_xlfn.IFS(OR(ISBLANK(StartDateMonth),ISBLANK(StartDateYear)),"",AND(A171&gt;NumberOfPlots,ISBLANK(INDEX(PlotData,MATCH($A171,PlotNumber,0),MATCH(B$3,PlotTitles,0)))),"",ISBLANK(INDEX(PlotData,MATCH($A171,PlotNumber,0),MATCH(N$3,PlotTitles,0))),"",CompletionMonth="","",(DATEVALUE(INDEX(PlotData,MATCH($A171,PlotNumber,0),MATCH(N$3,PlotTitles,0))&amp;INDEX(PlotData,MATCH($A171,PlotNumber,0),MATCH(O$3,PlotTitles,0))))&gt;(DATEVALUE(CompletionMonth&amp;CompletionYear)),$AB$21,TRUE,"")</f>
        <v/>
      </c>
      <c r="S171" s="104" t="str" cm="1">
        <f t="array" ref="S171">_xlfn.IFS(AND(A171&gt;NumberOfPlots,ISBLANK(INDEX(PlotData,MATCH($A171,PlotNumber,0),MATCH(B$3,PlotTitles,0)))),"",OR(AND(INDEX(PlotData,MATCH($A171,PlotNumber,0),MATCH("Tenure",PlotTitles,0))="Open market housing",INDEX(PlotData,MATCH($A171,PlotNumber,0),MATCH("Tenure detail",PlotTitles,0))="Private rented sector"),INDEX(PlotData,MATCH($A171,PlotNumber,0),MATCH("Tenure",PlotTitles,0))="Affordable rent"),"",ISNUMBER(INDEX(PlotData,MATCH($A171,PlotNumber,0),MATCH(S$3,PlotTitles,0)))=FALSE, $AB$22,TRUE,"")</f>
        <v/>
      </c>
      <c r="T171" s="104" t="str" cm="1">
        <f t="array" ref="T171">_xlfn.IFS(AND(A171&gt;NumberOfPlots,ISBLANK(INDEX(PlotData,MATCH($A171,PlotNumber,0),MATCH(B$3,PlotTitles,0)))),"",OR(AND(INDEX(PlotData,MATCH($A171,PlotNumber,0),MATCH("Tenure",PlotTitles,0))="Open market housing",INDEX(PlotData,MATCH($A171,PlotNumber,0),MATCH("Tenure detail",PlotTitles,0))="Private rented sector"),INDEX(PlotData,MATCH($A171,PlotNumber,0),MATCH("Tenure",PlotTitles,0))="Affordable rent"),"",INDEX(PlotData,MATCH($A171,PlotNumber,0),MATCH(S$3,PlotTitles,0))&lt;10000, $AB$23,TRUE,"")</f>
        <v/>
      </c>
      <c r="U171" s="104" t="str" cm="1">
        <f t="array" ref="U171">_xlfn.IFS(AND(A171&gt;NumberOfPlots,ISBLANK(INDEX(PlotData,MATCH($A171,PlotNumber,0),MATCH(B$3,PlotTitles,0)))),"",NOT(OR(AND(INDEX(PlotData,MATCH($A171,PlotNumber,0),MATCH("Tenure",PlotTitles,0))="Open market housing",INDEX(PlotData,MATCH($A171,PlotNumber,0),MATCH("Tenure detail",PlotTitles,0))="Private rented sector"),INDEX(PlotData,MATCH($A171,PlotNumber,0),MATCH("Tenure",PlotTitles,0))="Affordable rent")),"",NOT(INDEX(PlotData,MATCH($A171,PlotNumber,0),MATCH(S$3,PlotTitles,0))=0), $AB$24,TRUE,"")</f>
        <v/>
      </c>
      <c r="V171" s="114" t="str" cm="1">
        <f t="array" aca="1" ref="V171" ca="1">_xlfn.IFS(ISBLANK(NumberOfPlots),"Enter the number of homes on the 1_SetUp sheet",AND(A171&gt;NumberOfPlots,ISBLANK(INDEX(PlotData,MATCH($A171,PlotNumber,0),MATCH(B$3,PlotTitles,0)))),"No error",NOT(B171=""),B171,NOT(C171=""),C171,NOT(D171=""),D171,NOT(E171=""),E171,NOT(F171=""),F171,NOT(G171=""),G171,NOT(H171=""),H171,NOT(I171=""),I171,NOT(J171=""),J171,NOT(K171=""),K171,NOT(L171=""),L171,NOT(M171=""),M171,NOT(N171=""),N171,NOT(O171=""),O171,NOT(P171=""),P171,NOT(Q171=""),Q171,NOT(R171=""),R171,NOT(S171=""),S171,NOT(T171=""),T171,NOT(U171=""),U171,TRUE,"No error")</f>
        <v>Enter the number of homes on the 1_SetUp sheet</v>
      </c>
      <c r="W171" s="114" t="str">
        <f t="shared" ca="1" si="8"/>
        <v xml:space="preserve">The Borrower has not addressed the following error messages for Home ID 167: </v>
      </c>
    </row>
    <row r="172" spans="1:23">
      <c r="A172" s="123">
        <v>168</v>
      </c>
      <c r="B172" s="104" t="str" cm="1">
        <f t="array" ref="B172">_xlfn.IFS(AND(A172&gt;NumberOfPlots,ISBLANK(INDEX(PlotData,MATCH($A172,PlotNumber,0),MATCH(B$3,PlotTitles,0)))),"",ISNUMBER(INDEX(PlotData,MATCH($A172,PlotNumber,0),MATCH(B$3,PlotTitles,0)))=FALSE, $AB$5,TRUE,"")</f>
        <v/>
      </c>
      <c r="C172" s="104" t="str" cm="1">
        <f t="array" ref="C172">_xlfn.IFS(AND(A172&gt;NumberOfPlots,ISBLANK(INDEX(PlotData,MATCH($A172,PlotNumber,0),MATCH(B$3,PlotTitles,0)))),"",ISBLANK(INDEX(PlotData,MATCH($A172,PlotNumber,0),MATCH(C$3,PlotTitles,0))),$AB$6,TRUE,"")</f>
        <v/>
      </c>
      <c r="D172" s="104" t="str" cm="1">
        <f t="array" ref="D172">_xlfn.IFS(AND(A172&gt;NumberOfPlots,ISBLANK(INDEX(PlotData,MATCH($A172,PlotNumber,0),MATCH(B$3,PlotTitles,0)))),"",ISBLANK(INDEX(PlotData,MATCH($A172,PlotNumber,0),MATCH(D$3,PlotTitles,0))),$AB$7,TRUE,"")</f>
        <v/>
      </c>
      <c r="E172" s="104" t="str" cm="1">
        <f t="array" ref="E172">_xlfn.IFS(AND(A172&gt;NumberOfPlots,ISBLANK(INDEX(PlotData,MATCH($A172,PlotNumber,0),MATCH(B$3,PlotTitles,0)))),"",ISBLANK(INDEX(PlotData,MATCH($A172,PlotNumber,0),MATCH(E$3,PlotTitles,0))),$AB$8,TRUE,"")</f>
        <v/>
      </c>
      <c r="F172" s="104" t="str" cm="1">
        <f t="array" ref="F172">_xlfn.IFS(AND(A172&gt;NumberOfPlots,ISBLANK(INDEX(PlotData,MATCH($A172,PlotNumber,0),MATCH(B$3,PlotTitles,0)))),"",ISBLANK(INDEX(PlotData,MATCH($A172,PlotNumber,0),MATCH(F$3,PlotTitles,0))),$AB$9,TRUE,"")</f>
        <v/>
      </c>
      <c r="G172" s="104" t="str" cm="1">
        <f t="array" ref="G172">_xlfn.IFS(AND(A172&gt;NumberOfPlots,ISBLANK(INDEX(PlotData,MATCH($A172,PlotNumber,0),MATCH(B$3,PlotTitles,0)))),"",ISBLANK(INDEX(PlotData,MATCH($A172,PlotNumber,0),MATCH(G$3,PlotTitles,0))),$AB$10,TRUE,"")</f>
        <v/>
      </c>
      <c r="H172" s="104" t="str" cm="1">
        <f t="array" ref="H172">_xlfn.IFS(AND(A172&gt;NumberOfPlots,ISBLANK(INDEX(PlotData,MATCH($A172,PlotNumber,0),MATCH(B$3,PlotTitles,0)))),"",AND(ISBLANK(INDEX(PlotData,MATCH($A172,PlotNumber,0),MATCH(H$3,PlotTitles,0)))=FALSE,INDEX(PlotData,MATCH($A172,PlotNumber,0),MATCH(H$3,PlotTitles,0))&lt;500), $AB$11,TRUE,"")</f>
        <v/>
      </c>
      <c r="I172" s="104" t="str" cm="1">
        <f t="array" ref="I172">_xlfn.IFS(AND(A172&gt;NumberOfPlots,ISBLANK(INDEX(PlotData,MATCH($A172,PlotNumber,0),MATCH(B$3,PlotTitles,0)))),"",ISBLANK(INDEX(PlotData,MATCH($A172,PlotNumber,0),MATCH(I$3,PlotTitles,0))),$AB$12,TRUE,"")</f>
        <v/>
      </c>
      <c r="J172" s="104" t="str" cm="1">
        <f t="array" ref="J172">_xlfn.IFS(AND(A172&gt;NumberOfPlots,ISBLANK(INDEX(PlotData,MATCH($A172,PlotNumber,0),MATCH(B$3,PlotTitles,0)))),"",ISBLANK(INDEX(PlotData,MATCH($A172,PlotNumber,0),MATCH(J$3,PlotTitles,0))),$AB$13,TRUE,"")</f>
        <v/>
      </c>
      <c r="K172" s="182" t="str">
        <f t="shared" ca="1" si="6"/>
        <v/>
      </c>
      <c r="L172" s="104" t="str" cm="1">
        <f t="array" ref="L172">_xlfn.IFS(OR(ISBLANK(StartDateMonth),ISBLANK(StartDateYear)),"",AND(A172&gt;NumberOfPlots,ISBLANK(INDEX(PlotData,MATCH($A172,PlotNumber,0),MATCH(B$3,PlotTitles,0)))),"",ISBLANK(INDEX(PlotData,MATCH($A172,PlotNumber,0),MATCH(I$3,PlotTitles,0))),"",(DATEVALUE(INDEX(PlotData,MATCH($A172,PlotNumber,0),MATCH(I$3,PlotTitles,0))&amp;INDEX(PlotData,MATCH($A172,PlotNumber,0),MATCH(J$3,PlotTitles,0))))&lt;DATEVALUE(StartDateMonth&amp;StartDateYear),$AB$15,TRUE,"")</f>
        <v/>
      </c>
      <c r="M172" s="104" t="str" cm="1">
        <f t="array" ref="M172">_xlfn.IFS(OR(ISBLANK(StartDateMonth),ISBLANK(StartDateYear)),"",AND(A172&gt;NumberOfPlots,ISBLANK(INDEX(PlotData,MATCH($A172,PlotNumber,0),MATCH(B$3,PlotTitles,0)))),"",ISBLANK(INDEX(PlotData,MATCH($A172,PlotNumber,0),MATCH(I$3,PlotTitles,0))),"",CompletionMonth="","",(DATEVALUE(INDEX(PlotData,MATCH($A172,PlotNumber,0),MATCH(I$3,PlotTitles,0))&amp;INDEX(PlotData,MATCH($A172,PlotNumber,0),MATCH(J$3,PlotTitles,0))))&gt;(DATEVALUE(CompletionMonth&amp;CompletionYear)),$AB$16,TRUE,"")</f>
        <v/>
      </c>
      <c r="N172" s="104" t="str" cm="1">
        <f t="array" ref="N172">_xlfn.IFS(AND(A172&gt;NumberOfPlots,ISBLANK(INDEX(PlotData,MATCH($A172,PlotNumber,0),MATCH(B$3,PlotTitles,0)))),"",ISBLANK(INDEX(PlotData,MATCH($A172,PlotNumber,0),MATCH(N$3,PlotTitles,0))),$AB$17,TRUE,"")</f>
        <v/>
      </c>
      <c r="O172" s="104" t="str" cm="1">
        <f t="array" ref="O172">_xlfn.IFS(AND(A172&gt;NumberOfPlots,ISBLANK(INDEX(PlotData,MATCH($A172,PlotNumber,0),MATCH(B$3,PlotTitles,0)))),"",ISBLANK(INDEX(PlotData,MATCH($A172,PlotNumber,0),MATCH(O$3,PlotTitles,0))),$AB$18,TRUE,"")</f>
        <v/>
      </c>
      <c r="P172" s="182" t="str">
        <f t="shared" ca="1" si="7"/>
        <v/>
      </c>
      <c r="Q172" s="104" t="str" cm="1">
        <f t="array" ref="Q172">_xlfn.IFS(AND(A172&gt;NumberOfPlots,ISBLANK(INDEX(PlotData,MATCH($A172,PlotNumber,0),MATCH(B$3,PlotTitles,0)))),"",ISBLANK(INDEX(PlotData,MATCH($A172,PlotNumber,0),MATCH(N$3,PlotTitles,0))),"",(DATEVALUE(INDEX(PlotData,MATCH($A172,PlotNumber,0),MATCH(N$3,PlotTitles,0))&amp;INDEX(PlotData,MATCH($A172,PlotNumber,0),MATCH(O$3,PlotTitles,0))))&lt;(DATEVALUE(INDEX(PlotData,MATCH($A172,PlotNumber,0),MATCH(I$3,PlotTitles,0))&amp;INDEX(PlotData,MATCH($A172,PlotNumber,0),MATCH(J$3,PlotTitles,0)))),$AB$20,TRUE,"")</f>
        <v/>
      </c>
      <c r="R172" s="104" t="str" cm="1">
        <f t="array" ref="R172">_xlfn.IFS(OR(ISBLANK(StartDateMonth),ISBLANK(StartDateYear)),"",AND(A172&gt;NumberOfPlots,ISBLANK(INDEX(PlotData,MATCH($A172,PlotNumber,0),MATCH(B$3,PlotTitles,0)))),"",ISBLANK(INDEX(PlotData,MATCH($A172,PlotNumber,0),MATCH(N$3,PlotTitles,0))),"",CompletionMonth="","",(DATEVALUE(INDEX(PlotData,MATCH($A172,PlotNumber,0),MATCH(N$3,PlotTitles,0))&amp;INDEX(PlotData,MATCH($A172,PlotNumber,0),MATCH(O$3,PlotTitles,0))))&gt;(DATEVALUE(CompletionMonth&amp;CompletionYear)),$AB$21,TRUE,"")</f>
        <v/>
      </c>
      <c r="S172" s="104" t="str" cm="1">
        <f t="array" ref="S172">_xlfn.IFS(AND(A172&gt;NumberOfPlots,ISBLANK(INDEX(PlotData,MATCH($A172,PlotNumber,0),MATCH(B$3,PlotTitles,0)))),"",OR(AND(INDEX(PlotData,MATCH($A172,PlotNumber,0),MATCH("Tenure",PlotTitles,0))="Open market housing",INDEX(PlotData,MATCH($A172,PlotNumber,0),MATCH("Tenure detail",PlotTitles,0))="Private rented sector"),INDEX(PlotData,MATCH($A172,PlotNumber,0),MATCH("Tenure",PlotTitles,0))="Affordable rent"),"",ISNUMBER(INDEX(PlotData,MATCH($A172,PlotNumber,0),MATCH(S$3,PlotTitles,0)))=FALSE, $AB$22,TRUE,"")</f>
        <v/>
      </c>
      <c r="T172" s="104" t="str" cm="1">
        <f t="array" ref="T172">_xlfn.IFS(AND(A172&gt;NumberOfPlots,ISBLANK(INDEX(PlotData,MATCH($A172,PlotNumber,0),MATCH(B$3,PlotTitles,0)))),"",OR(AND(INDEX(PlotData,MATCH($A172,PlotNumber,0),MATCH("Tenure",PlotTitles,0))="Open market housing",INDEX(PlotData,MATCH($A172,PlotNumber,0),MATCH("Tenure detail",PlotTitles,0))="Private rented sector"),INDEX(PlotData,MATCH($A172,PlotNumber,0),MATCH("Tenure",PlotTitles,0))="Affordable rent"),"",INDEX(PlotData,MATCH($A172,PlotNumber,0),MATCH(S$3,PlotTitles,0))&lt;10000, $AB$23,TRUE,"")</f>
        <v/>
      </c>
      <c r="U172" s="104" t="str" cm="1">
        <f t="array" ref="U172">_xlfn.IFS(AND(A172&gt;NumberOfPlots,ISBLANK(INDEX(PlotData,MATCH($A172,PlotNumber,0),MATCH(B$3,PlotTitles,0)))),"",NOT(OR(AND(INDEX(PlotData,MATCH($A172,PlotNumber,0),MATCH("Tenure",PlotTitles,0))="Open market housing",INDEX(PlotData,MATCH($A172,PlotNumber,0),MATCH("Tenure detail",PlotTitles,0))="Private rented sector"),INDEX(PlotData,MATCH($A172,PlotNumber,0),MATCH("Tenure",PlotTitles,0))="Affordable rent")),"",NOT(INDEX(PlotData,MATCH($A172,PlotNumber,0),MATCH(S$3,PlotTitles,0))=0), $AB$24,TRUE,"")</f>
        <v/>
      </c>
      <c r="V172" s="114" t="str" cm="1">
        <f t="array" aca="1" ref="V172" ca="1">_xlfn.IFS(ISBLANK(NumberOfPlots),"Enter the number of homes on the 1_SetUp sheet",AND(A172&gt;NumberOfPlots,ISBLANK(INDEX(PlotData,MATCH($A172,PlotNumber,0),MATCH(B$3,PlotTitles,0)))),"No error",NOT(B172=""),B172,NOT(C172=""),C172,NOT(D172=""),D172,NOT(E172=""),E172,NOT(F172=""),F172,NOT(G172=""),G172,NOT(H172=""),H172,NOT(I172=""),I172,NOT(J172=""),J172,NOT(K172=""),K172,NOT(L172=""),L172,NOT(M172=""),M172,NOT(N172=""),N172,NOT(O172=""),O172,NOT(P172=""),P172,NOT(Q172=""),Q172,NOT(R172=""),R172,NOT(S172=""),S172,NOT(T172=""),T172,NOT(U172=""),U172,TRUE,"No error")</f>
        <v>Enter the number of homes on the 1_SetUp sheet</v>
      </c>
      <c r="W172" s="114" t="str">
        <f t="shared" ca="1" si="8"/>
        <v xml:space="preserve">The Borrower has not addressed the following error messages for Home ID 168: </v>
      </c>
    </row>
    <row r="173" spans="1:23">
      <c r="A173" s="123">
        <v>169</v>
      </c>
      <c r="B173" s="104" t="str" cm="1">
        <f t="array" ref="B173">_xlfn.IFS(AND(A173&gt;NumberOfPlots,ISBLANK(INDEX(PlotData,MATCH($A173,PlotNumber,0),MATCH(B$3,PlotTitles,0)))),"",ISNUMBER(INDEX(PlotData,MATCH($A173,PlotNumber,0),MATCH(B$3,PlotTitles,0)))=FALSE, $AB$5,TRUE,"")</f>
        <v/>
      </c>
      <c r="C173" s="104" t="str" cm="1">
        <f t="array" ref="C173">_xlfn.IFS(AND(A173&gt;NumberOfPlots,ISBLANK(INDEX(PlotData,MATCH($A173,PlotNumber,0),MATCH(B$3,PlotTitles,0)))),"",ISBLANK(INDEX(PlotData,MATCH($A173,PlotNumber,0),MATCH(C$3,PlotTitles,0))),$AB$6,TRUE,"")</f>
        <v/>
      </c>
      <c r="D173" s="104" t="str" cm="1">
        <f t="array" ref="D173">_xlfn.IFS(AND(A173&gt;NumberOfPlots,ISBLANK(INDEX(PlotData,MATCH($A173,PlotNumber,0),MATCH(B$3,PlotTitles,0)))),"",ISBLANK(INDEX(PlotData,MATCH($A173,PlotNumber,0),MATCH(D$3,PlotTitles,0))),$AB$7,TRUE,"")</f>
        <v/>
      </c>
      <c r="E173" s="104" t="str" cm="1">
        <f t="array" ref="E173">_xlfn.IFS(AND(A173&gt;NumberOfPlots,ISBLANK(INDEX(PlotData,MATCH($A173,PlotNumber,0),MATCH(B$3,PlotTitles,0)))),"",ISBLANK(INDEX(PlotData,MATCH($A173,PlotNumber,0),MATCH(E$3,PlotTitles,0))),$AB$8,TRUE,"")</f>
        <v/>
      </c>
      <c r="F173" s="104" t="str" cm="1">
        <f t="array" ref="F173">_xlfn.IFS(AND(A173&gt;NumberOfPlots,ISBLANK(INDEX(PlotData,MATCH($A173,PlotNumber,0),MATCH(B$3,PlotTitles,0)))),"",ISBLANK(INDEX(PlotData,MATCH($A173,PlotNumber,0),MATCH(F$3,PlotTitles,0))),$AB$9,TRUE,"")</f>
        <v/>
      </c>
      <c r="G173" s="104" t="str" cm="1">
        <f t="array" ref="G173">_xlfn.IFS(AND(A173&gt;NumberOfPlots,ISBLANK(INDEX(PlotData,MATCH($A173,PlotNumber,0),MATCH(B$3,PlotTitles,0)))),"",ISBLANK(INDEX(PlotData,MATCH($A173,PlotNumber,0),MATCH(G$3,PlotTitles,0))),$AB$10,TRUE,"")</f>
        <v/>
      </c>
      <c r="H173" s="104" t="str" cm="1">
        <f t="array" ref="H173">_xlfn.IFS(AND(A173&gt;NumberOfPlots,ISBLANK(INDEX(PlotData,MATCH($A173,PlotNumber,0),MATCH(B$3,PlotTitles,0)))),"",AND(ISBLANK(INDEX(PlotData,MATCH($A173,PlotNumber,0),MATCH(H$3,PlotTitles,0)))=FALSE,INDEX(PlotData,MATCH($A173,PlotNumber,0),MATCH(H$3,PlotTitles,0))&lt;500), $AB$11,TRUE,"")</f>
        <v/>
      </c>
      <c r="I173" s="104" t="str" cm="1">
        <f t="array" ref="I173">_xlfn.IFS(AND(A173&gt;NumberOfPlots,ISBLANK(INDEX(PlotData,MATCH($A173,PlotNumber,0),MATCH(B$3,PlotTitles,0)))),"",ISBLANK(INDEX(PlotData,MATCH($A173,PlotNumber,0),MATCH(I$3,PlotTitles,0))),$AB$12,TRUE,"")</f>
        <v/>
      </c>
      <c r="J173" s="104" t="str" cm="1">
        <f t="array" ref="J173">_xlfn.IFS(AND(A173&gt;NumberOfPlots,ISBLANK(INDEX(PlotData,MATCH($A173,PlotNumber,0),MATCH(B$3,PlotTitles,0)))),"",ISBLANK(INDEX(PlotData,MATCH($A173,PlotNumber,0),MATCH(J$3,PlotTitles,0))),$AB$13,TRUE,"")</f>
        <v/>
      </c>
      <c r="K173" s="182" t="str">
        <f t="shared" ca="1" si="6"/>
        <v/>
      </c>
      <c r="L173" s="104" t="str" cm="1">
        <f t="array" ref="L173">_xlfn.IFS(OR(ISBLANK(StartDateMonth),ISBLANK(StartDateYear)),"",AND(A173&gt;NumberOfPlots,ISBLANK(INDEX(PlotData,MATCH($A173,PlotNumber,0),MATCH(B$3,PlotTitles,0)))),"",ISBLANK(INDEX(PlotData,MATCH($A173,PlotNumber,0),MATCH(I$3,PlotTitles,0))),"",(DATEVALUE(INDEX(PlotData,MATCH($A173,PlotNumber,0),MATCH(I$3,PlotTitles,0))&amp;INDEX(PlotData,MATCH($A173,PlotNumber,0),MATCH(J$3,PlotTitles,0))))&lt;DATEVALUE(StartDateMonth&amp;StartDateYear),$AB$15,TRUE,"")</f>
        <v/>
      </c>
      <c r="M173" s="104" t="str" cm="1">
        <f t="array" ref="M173">_xlfn.IFS(OR(ISBLANK(StartDateMonth),ISBLANK(StartDateYear)),"",AND(A173&gt;NumberOfPlots,ISBLANK(INDEX(PlotData,MATCH($A173,PlotNumber,0),MATCH(B$3,PlotTitles,0)))),"",ISBLANK(INDEX(PlotData,MATCH($A173,PlotNumber,0),MATCH(I$3,PlotTitles,0))),"",CompletionMonth="","",(DATEVALUE(INDEX(PlotData,MATCH($A173,PlotNumber,0),MATCH(I$3,PlotTitles,0))&amp;INDEX(PlotData,MATCH($A173,PlotNumber,0),MATCH(J$3,PlotTitles,0))))&gt;(DATEVALUE(CompletionMonth&amp;CompletionYear)),$AB$16,TRUE,"")</f>
        <v/>
      </c>
      <c r="N173" s="104" t="str" cm="1">
        <f t="array" ref="N173">_xlfn.IFS(AND(A173&gt;NumberOfPlots,ISBLANK(INDEX(PlotData,MATCH($A173,PlotNumber,0),MATCH(B$3,PlotTitles,0)))),"",ISBLANK(INDEX(PlotData,MATCH($A173,PlotNumber,0),MATCH(N$3,PlotTitles,0))),$AB$17,TRUE,"")</f>
        <v/>
      </c>
      <c r="O173" s="104" t="str" cm="1">
        <f t="array" ref="O173">_xlfn.IFS(AND(A173&gt;NumberOfPlots,ISBLANK(INDEX(PlotData,MATCH($A173,PlotNumber,0),MATCH(B$3,PlotTitles,0)))),"",ISBLANK(INDEX(PlotData,MATCH($A173,PlotNumber,0),MATCH(O$3,PlotTitles,0))),$AB$18,TRUE,"")</f>
        <v/>
      </c>
      <c r="P173" s="182" t="str">
        <f t="shared" ca="1" si="7"/>
        <v/>
      </c>
      <c r="Q173" s="104" t="str" cm="1">
        <f t="array" ref="Q173">_xlfn.IFS(AND(A173&gt;NumberOfPlots,ISBLANK(INDEX(PlotData,MATCH($A173,PlotNumber,0),MATCH(B$3,PlotTitles,0)))),"",ISBLANK(INDEX(PlotData,MATCH($A173,PlotNumber,0),MATCH(N$3,PlotTitles,0))),"",(DATEVALUE(INDEX(PlotData,MATCH($A173,PlotNumber,0),MATCH(N$3,PlotTitles,0))&amp;INDEX(PlotData,MATCH($A173,PlotNumber,0),MATCH(O$3,PlotTitles,0))))&lt;(DATEVALUE(INDEX(PlotData,MATCH($A173,PlotNumber,0),MATCH(I$3,PlotTitles,0))&amp;INDEX(PlotData,MATCH($A173,PlotNumber,0),MATCH(J$3,PlotTitles,0)))),$AB$20,TRUE,"")</f>
        <v/>
      </c>
      <c r="R173" s="104" t="str" cm="1">
        <f t="array" ref="R173">_xlfn.IFS(OR(ISBLANK(StartDateMonth),ISBLANK(StartDateYear)),"",AND(A173&gt;NumberOfPlots,ISBLANK(INDEX(PlotData,MATCH($A173,PlotNumber,0),MATCH(B$3,PlotTitles,0)))),"",ISBLANK(INDEX(PlotData,MATCH($A173,PlotNumber,0),MATCH(N$3,PlotTitles,0))),"",CompletionMonth="","",(DATEVALUE(INDEX(PlotData,MATCH($A173,PlotNumber,0),MATCH(N$3,PlotTitles,0))&amp;INDEX(PlotData,MATCH($A173,PlotNumber,0),MATCH(O$3,PlotTitles,0))))&gt;(DATEVALUE(CompletionMonth&amp;CompletionYear)),$AB$21,TRUE,"")</f>
        <v/>
      </c>
      <c r="S173" s="104" t="str" cm="1">
        <f t="array" ref="S173">_xlfn.IFS(AND(A173&gt;NumberOfPlots,ISBLANK(INDEX(PlotData,MATCH($A173,PlotNumber,0),MATCH(B$3,PlotTitles,0)))),"",OR(AND(INDEX(PlotData,MATCH($A173,PlotNumber,0),MATCH("Tenure",PlotTitles,0))="Open market housing",INDEX(PlotData,MATCH($A173,PlotNumber,0),MATCH("Tenure detail",PlotTitles,0))="Private rented sector"),INDEX(PlotData,MATCH($A173,PlotNumber,0),MATCH("Tenure",PlotTitles,0))="Affordable rent"),"",ISNUMBER(INDEX(PlotData,MATCH($A173,PlotNumber,0),MATCH(S$3,PlotTitles,0)))=FALSE, $AB$22,TRUE,"")</f>
        <v/>
      </c>
      <c r="T173" s="104" t="str" cm="1">
        <f t="array" ref="T173">_xlfn.IFS(AND(A173&gt;NumberOfPlots,ISBLANK(INDEX(PlotData,MATCH($A173,PlotNumber,0),MATCH(B$3,PlotTitles,0)))),"",OR(AND(INDEX(PlotData,MATCH($A173,PlotNumber,0),MATCH("Tenure",PlotTitles,0))="Open market housing",INDEX(PlotData,MATCH($A173,PlotNumber,0),MATCH("Tenure detail",PlotTitles,0))="Private rented sector"),INDEX(PlotData,MATCH($A173,PlotNumber,0),MATCH("Tenure",PlotTitles,0))="Affordable rent"),"",INDEX(PlotData,MATCH($A173,PlotNumber,0),MATCH(S$3,PlotTitles,0))&lt;10000, $AB$23,TRUE,"")</f>
        <v/>
      </c>
      <c r="U173" s="104" t="str" cm="1">
        <f t="array" ref="U173">_xlfn.IFS(AND(A173&gt;NumberOfPlots,ISBLANK(INDEX(PlotData,MATCH($A173,PlotNumber,0),MATCH(B$3,PlotTitles,0)))),"",NOT(OR(AND(INDEX(PlotData,MATCH($A173,PlotNumber,0),MATCH("Tenure",PlotTitles,0))="Open market housing",INDEX(PlotData,MATCH($A173,PlotNumber,0),MATCH("Tenure detail",PlotTitles,0))="Private rented sector"),INDEX(PlotData,MATCH($A173,PlotNumber,0),MATCH("Tenure",PlotTitles,0))="Affordable rent")),"",NOT(INDEX(PlotData,MATCH($A173,PlotNumber,0),MATCH(S$3,PlotTitles,0))=0), $AB$24,TRUE,"")</f>
        <v/>
      </c>
      <c r="V173" s="114" t="str" cm="1">
        <f t="array" aca="1" ref="V173" ca="1">_xlfn.IFS(ISBLANK(NumberOfPlots),"Enter the number of homes on the 1_SetUp sheet",AND(A173&gt;NumberOfPlots,ISBLANK(INDEX(PlotData,MATCH($A173,PlotNumber,0),MATCH(B$3,PlotTitles,0)))),"No error",NOT(B173=""),B173,NOT(C173=""),C173,NOT(D173=""),D173,NOT(E173=""),E173,NOT(F173=""),F173,NOT(G173=""),G173,NOT(H173=""),H173,NOT(I173=""),I173,NOT(J173=""),J173,NOT(K173=""),K173,NOT(L173=""),L173,NOT(M173=""),M173,NOT(N173=""),N173,NOT(O173=""),O173,NOT(P173=""),P173,NOT(Q173=""),Q173,NOT(R173=""),R173,NOT(S173=""),S173,NOT(T173=""),T173,NOT(U173=""),U173,TRUE,"No error")</f>
        <v>Enter the number of homes on the 1_SetUp sheet</v>
      </c>
      <c r="W173" s="114" t="str">
        <f t="shared" ca="1" si="8"/>
        <v xml:space="preserve">The Borrower has not addressed the following error messages for Home ID 169: </v>
      </c>
    </row>
    <row r="174" spans="1:23">
      <c r="A174" s="123">
        <v>170</v>
      </c>
      <c r="B174" s="104" t="str" cm="1">
        <f t="array" ref="B174">_xlfn.IFS(AND(A174&gt;NumberOfPlots,ISBLANK(INDEX(PlotData,MATCH($A174,PlotNumber,0),MATCH(B$3,PlotTitles,0)))),"",ISNUMBER(INDEX(PlotData,MATCH($A174,PlotNumber,0),MATCH(B$3,PlotTitles,0)))=FALSE, $AB$5,TRUE,"")</f>
        <v/>
      </c>
      <c r="C174" s="104" t="str" cm="1">
        <f t="array" ref="C174">_xlfn.IFS(AND(A174&gt;NumberOfPlots,ISBLANK(INDEX(PlotData,MATCH($A174,PlotNumber,0),MATCH(B$3,PlotTitles,0)))),"",ISBLANK(INDEX(PlotData,MATCH($A174,PlotNumber,0),MATCH(C$3,PlotTitles,0))),$AB$6,TRUE,"")</f>
        <v/>
      </c>
      <c r="D174" s="104" t="str" cm="1">
        <f t="array" ref="D174">_xlfn.IFS(AND(A174&gt;NumberOfPlots,ISBLANK(INDEX(PlotData,MATCH($A174,PlotNumber,0),MATCH(B$3,PlotTitles,0)))),"",ISBLANK(INDEX(PlotData,MATCH($A174,PlotNumber,0),MATCH(D$3,PlotTitles,0))),$AB$7,TRUE,"")</f>
        <v/>
      </c>
      <c r="E174" s="104" t="str" cm="1">
        <f t="array" ref="E174">_xlfn.IFS(AND(A174&gt;NumberOfPlots,ISBLANK(INDEX(PlotData,MATCH($A174,PlotNumber,0),MATCH(B$3,PlotTitles,0)))),"",ISBLANK(INDEX(PlotData,MATCH($A174,PlotNumber,0),MATCH(E$3,PlotTitles,0))),$AB$8,TRUE,"")</f>
        <v/>
      </c>
      <c r="F174" s="104" t="str" cm="1">
        <f t="array" ref="F174">_xlfn.IFS(AND(A174&gt;NumberOfPlots,ISBLANK(INDEX(PlotData,MATCH($A174,PlotNumber,0),MATCH(B$3,PlotTitles,0)))),"",ISBLANK(INDEX(PlotData,MATCH($A174,PlotNumber,0),MATCH(F$3,PlotTitles,0))),$AB$9,TRUE,"")</f>
        <v/>
      </c>
      <c r="G174" s="104" t="str" cm="1">
        <f t="array" ref="G174">_xlfn.IFS(AND(A174&gt;NumberOfPlots,ISBLANK(INDEX(PlotData,MATCH($A174,PlotNumber,0),MATCH(B$3,PlotTitles,0)))),"",ISBLANK(INDEX(PlotData,MATCH($A174,PlotNumber,0),MATCH(G$3,PlotTitles,0))),$AB$10,TRUE,"")</f>
        <v/>
      </c>
      <c r="H174" s="104" t="str" cm="1">
        <f t="array" ref="H174">_xlfn.IFS(AND(A174&gt;NumberOfPlots,ISBLANK(INDEX(PlotData,MATCH($A174,PlotNumber,0),MATCH(B$3,PlotTitles,0)))),"",AND(ISBLANK(INDEX(PlotData,MATCH($A174,PlotNumber,0),MATCH(H$3,PlotTitles,0)))=FALSE,INDEX(PlotData,MATCH($A174,PlotNumber,0),MATCH(H$3,PlotTitles,0))&lt;500), $AB$11,TRUE,"")</f>
        <v/>
      </c>
      <c r="I174" s="104" t="str" cm="1">
        <f t="array" ref="I174">_xlfn.IFS(AND(A174&gt;NumberOfPlots,ISBLANK(INDEX(PlotData,MATCH($A174,PlotNumber,0),MATCH(B$3,PlotTitles,0)))),"",ISBLANK(INDEX(PlotData,MATCH($A174,PlotNumber,0),MATCH(I$3,PlotTitles,0))),$AB$12,TRUE,"")</f>
        <v/>
      </c>
      <c r="J174" s="104" t="str" cm="1">
        <f t="array" ref="J174">_xlfn.IFS(AND(A174&gt;NumberOfPlots,ISBLANK(INDEX(PlotData,MATCH($A174,PlotNumber,0),MATCH(B$3,PlotTitles,0)))),"",ISBLANK(INDEX(PlotData,MATCH($A174,PlotNumber,0),MATCH(J$3,PlotTitles,0))),$AB$13,TRUE,"")</f>
        <v/>
      </c>
      <c r="K174" s="182" t="str">
        <f t="shared" ca="1" si="6"/>
        <v/>
      </c>
      <c r="L174" s="104" t="str" cm="1">
        <f t="array" ref="L174">_xlfn.IFS(OR(ISBLANK(StartDateMonth),ISBLANK(StartDateYear)),"",AND(A174&gt;NumberOfPlots,ISBLANK(INDEX(PlotData,MATCH($A174,PlotNumber,0),MATCH(B$3,PlotTitles,0)))),"",ISBLANK(INDEX(PlotData,MATCH($A174,PlotNumber,0),MATCH(I$3,PlotTitles,0))),"",(DATEVALUE(INDEX(PlotData,MATCH($A174,PlotNumber,0),MATCH(I$3,PlotTitles,0))&amp;INDEX(PlotData,MATCH($A174,PlotNumber,0),MATCH(J$3,PlotTitles,0))))&lt;DATEVALUE(StartDateMonth&amp;StartDateYear),$AB$15,TRUE,"")</f>
        <v/>
      </c>
      <c r="M174" s="104" t="str" cm="1">
        <f t="array" ref="M174">_xlfn.IFS(OR(ISBLANK(StartDateMonth),ISBLANK(StartDateYear)),"",AND(A174&gt;NumberOfPlots,ISBLANK(INDEX(PlotData,MATCH($A174,PlotNumber,0),MATCH(B$3,PlotTitles,0)))),"",ISBLANK(INDEX(PlotData,MATCH($A174,PlotNumber,0),MATCH(I$3,PlotTitles,0))),"",CompletionMonth="","",(DATEVALUE(INDEX(PlotData,MATCH($A174,PlotNumber,0),MATCH(I$3,PlotTitles,0))&amp;INDEX(PlotData,MATCH($A174,PlotNumber,0),MATCH(J$3,PlotTitles,0))))&gt;(DATEVALUE(CompletionMonth&amp;CompletionYear)),$AB$16,TRUE,"")</f>
        <v/>
      </c>
      <c r="N174" s="104" t="str" cm="1">
        <f t="array" ref="N174">_xlfn.IFS(AND(A174&gt;NumberOfPlots,ISBLANK(INDEX(PlotData,MATCH($A174,PlotNumber,0),MATCH(B$3,PlotTitles,0)))),"",ISBLANK(INDEX(PlotData,MATCH($A174,PlotNumber,0),MATCH(N$3,PlotTitles,0))),$AB$17,TRUE,"")</f>
        <v/>
      </c>
      <c r="O174" s="104" t="str" cm="1">
        <f t="array" ref="O174">_xlfn.IFS(AND(A174&gt;NumberOfPlots,ISBLANK(INDEX(PlotData,MATCH($A174,PlotNumber,0),MATCH(B$3,PlotTitles,0)))),"",ISBLANK(INDEX(PlotData,MATCH($A174,PlotNumber,0),MATCH(O$3,PlotTitles,0))),$AB$18,TRUE,"")</f>
        <v/>
      </c>
      <c r="P174" s="182" t="str">
        <f t="shared" ca="1" si="7"/>
        <v/>
      </c>
      <c r="Q174" s="104" t="str" cm="1">
        <f t="array" ref="Q174">_xlfn.IFS(AND(A174&gt;NumberOfPlots,ISBLANK(INDEX(PlotData,MATCH($A174,PlotNumber,0),MATCH(B$3,PlotTitles,0)))),"",ISBLANK(INDEX(PlotData,MATCH($A174,PlotNumber,0),MATCH(N$3,PlotTitles,0))),"",(DATEVALUE(INDEX(PlotData,MATCH($A174,PlotNumber,0),MATCH(N$3,PlotTitles,0))&amp;INDEX(PlotData,MATCH($A174,PlotNumber,0),MATCH(O$3,PlotTitles,0))))&lt;(DATEVALUE(INDEX(PlotData,MATCH($A174,PlotNumber,0),MATCH(I$3,PlotTitles,0))&amp;INDEX(PlotData,MATCH($A174,PlotNumber,0),MATCH(J$3,PlotTitles,0)))),$AB$20,TRUE,"")</f>
        <v/>
      </c>
      <c r="R174" s="104" t="str" cm="1">
        <f t="array" ref="R174">_xlfn.IFS(OR(ISBLANK(StartDateMonth),ISBLANK(StartDateYear)),"",AND(A174&gt;NumberOfPlots,ISBLANK(INDEX(PlotData,MATCH($A174,PlotNumber,0),MATCH(B$3,PlotTitles,0)))),"",ISBLANK(INDEX(PlotData,MATCH($A174,PlotNumber,0),MATCH(N$3,PlotTitles,0))),"",CompletionMonth="","",(DATEVALUE(INDEX(PlotData,MATCH($A174,PlotNumber,0),MATCH(N$3,PlotTitles,0))&amp;INDEX(PlotData,MATCH($A174,PlotNumber,0),MATCH(O$3,PlotTitles,0))))&gt;(DATEVALUE(CompletionMonth&amp;CompletionYear)),$AB$21,TRUE,"")</f>
        <v/>
      </c>
      <c r="S174" s="104" t="str" cm="1">
        <f t="array" ref="S174">_xlfn.IFS(AND(A174&gt;NumberOfPlots,ISBLANK(INDEX(PlotData,MATCH($A174,PlotNumber,0),MATCH(B$3,PlotTitles,0)))),"",OR(AND(INDEX(PlotData,MATCH($A174,PlotNumber,0),MATCH("Tenure",PlotTitles,0))="Open market housing",INDEX(PlotData,MATCH($A174,PlotNumber,0),MATCH("Tenure detail",PlotTitles,0))="Private rented sector"),INDEX(PlotData,MATCH($A174,PlotNumber,0),MATCH("Tenure",PlotTitles,0))="Affordable rent"),"",ISNUMBER(INDEX(PlotData,MATCH($A174,PlotNumber,0),MATCH(S$3,PlotTitles,0)))=FALSE, $AB$22,TRUE,"")</f>
        <v/>
      </c>
      <c r="T174" s="104" t="str" cm="1">
        <f t="array" ref="T174">_xlfn.IFS(AND(A174&gt;NumberOfPlots,ISBLANK(INDEX(PlotData,MATCH($A174,PlotNumber,0),MATCH(B$3,PlotTitles,0)))),"",OR(AND(INDEX(PlotData,MATCH($A174,PlotNumber,0),MATCH("Tenure",PlotTitles,0))="Open market housing",INDEX(PlotData,MATCH($A174,PlotNumber,0),MATCH("Tenure detail",PlotTitles,0))="Private rented sector"),INDEX(PlotData,MATCH($A174,PlotNumber,0),MATCH("Tenure",PlotTitles,0))="Affordable rent"),"",INDEX(PlotData,MATCH($A174,PlotNumber,0),MATCH(S$3,PlotTitles,0))&lt;10000, $AB$23,TRUE,"")</f>
        <v/>
      </c>
      <c r="U174" s="104" t="str" cm="1">
        <f t="array" ref="U174">_xlfn.IFS(AND(A174&gt;NumberOfPlots,ISBLANK(INDEX(PlotData,MATCH($A174,PlotNumber,0),MATCH(B$3,PlotTitles,0)))),"",NOT(OR(AND(INDEX(PlotData,MATCH($A174,PlotNumber,0),MATCH("Tenure",PlotTitles,0))="Open market housing",INDEX(PlotData,MATCH($A174,PlotNumber,0),MATCH("Tenure detail",PlotTitles,0))="Private rented sector"),INDEX(PlotData,MATCH($A174,PlotNumber,0),MATCH("Tenure",PlotTitles,0))="Affordable rent")),"",NOT(INDEX(PlotData,MATCH($A174,PlotNumber,0),MATCH(S$3,PlotTitles,0))=0), $AB$24,TRUE,"")</f>
        <v/>
      </c>
      <c r="V174" s="114" t="str" cm="1">
        <f t="array" aca="1" ref="V174" ca="1">_xlfn.IFS(ISBLANK(NumberOfPlots),"Enter the number of homes on the 1_SetUp sheet",AND(A174&gt;NumberOfPlots,ISBLANK(INDEX(PlotData,MATCH($A174,PlotNumber,0),MATCH(B$3,PlotTitles,0)))),"No error",NOT(B174=""),B174,NOT(C174=""),C174,NOT(D174=""),D174,NOT(E174=""),E174,NOT(F174=""),F174,NOT(G174=""),G174,NOT(H174=""),H174,NOT(I174=""),I174,NOT(J174=""),J174,NOT(K174=""),K174,NOT(L174=""),L174,NOT(M174=""),M174,NOT(N174=""),N174,NOT(O174=""),O174,NOT(P174=""),P174,NOT(Q174=""),Q174,NOT(R174=""),R174,NOT(S174=""),S174,NOT(T174=""),T174,NOT(U174=""),U174,TRUE,"No error")</f>
        <v>Enter the number of homes on the 1_SetUp sheet</v>
      </c>
      <c r="W174" s="114" t="str">
        <f t="shared" ca="1" si="8"/>
        <v xml:space="preserve">The Borrower has not addressed the following error messages for Home ID 170: </v>
      </c>
    </row>
    <row r="175" spans="1:23">
      <c r="A175" s="123">
        <v>171</v>
      </c>
      <c r="B175" s="104" t="str" cm="1">
        <f t="array" ref="B175">_xlfn.IFS(AND(A175&gt;NumberOfPlots,ISBLANK(INDEX(PlotData,MATCH($A175,PlotNumber,0),MATCH(B$3,PlotTitles,0)))),"",ISNUMBER(INDEX(PlotData,MATCH($A175,PlotNumber,0),MATCH(B$3,PlotTitles,0)))=FALSE, $AB$5,TRUE,"")</f>
        <v/>
      </c>
      <c r="C175" s="104" t="str" cm="1">
        <f t="array" ref="C175">_xlfn.IFS(AND(A175&gt;NumberOfPlots,ISBLANK(INDEX(PlotData,MATCH($A175,PlotNumber,0),MATCH(B$3,PlotTitles,0)))),"",ISBLANK(INDEX(PlotData,MATCH($A175,PlotNumber,0),MATCH(C$3,PlotTitles,0))),$AB$6,TRUE,"")</f>
        <v/>
      </c>
      <c r="D175" s="104" t="str" cm="1">
        <f t="array" ref="D175">_xlfn.IFS(AND(A175&gt;NumberOfPlots,ISBLANK(INDEX(PlotData,MATCH($A175,PlotNumber,0),MATCH(B$3,PlotTitles,0)))),"",ISBLANK(INDEX(PlotData,MATCH($A175,PlotNumber,0),MATCH(D$3,PlotTitles,0))),$AB$7,TRUE,"")</f>
        <v/>
      </c>
      <c r="E175" s="104" t="str" cm="1">
        <f t="array" ref="E175">_xlfn.IFS(AND(A175&gt;NumberOfPlots,ISBLANK(INDEX(PlotData,MATCH($A175,PlotNumber,0),MATCH(B$3,PlotTitles,0)))),"",ISBLANK(INDEX(PlotData,MATCH($A175,PlotNumber,0),MATCH(E$3,PlotTitles,0))),$AB$8,TRUE,"")</f>
        <v/>
      </c>
      <c r="F175" s="104" t="str" cm="1">
        <f t="array" ref="F175">_xlfn.IFS(AND(A175&gt;NumberOfPlots,ISBLANK(INDEX(PlotData,MATCH($A175,PlotNumber,0),MATCH(B$3,PlotTitles,0)))),"",ISBLANK(INDEX(PlotData,MATCH($A175,PlotNumber,0),MATCH(F$3,PlotTitles,0))),$AB$9,TRUE,"")</f>
        <v/>
      </c>
      <c r="G175" s="104" t="str" cm="1">
        <f t="array" ref="G175">_xlfn.IFS(AND(A175&gt;NumberOfPlots,ISBLANK(INDEX(PlotData,MATCH($A175,PlotNumber,0),MATCH(B$3,PlotTitles,0)))),"",ISBLANK(INDEX(PlotData,MATCH($A175,PlotNumber,0),MATCH(G$3,PlotTitles,0))),$AB$10,TRUE,"")</f>
        <v/>
      </c>
      <c r="H175" s="104" t="str" cm="1">
        <f t="array" ref="H175">_xlfn.IFS(AND(A175&gt;NumberOfPlots,ISBLANK(INDEX(PlotData,MATCH($A175,PlotNumber,0),MATCH(B$3,PlotTitles,0)))),"",AND(ISBLANK(INDEX(PlotData,MATCH($A175,PlotNumber,0),MATCH(H$3,PlotTitles,0)))=FALSE,INDEX(PlotData,MATCH($A175,PlotNumber,0),MATCH(H$3,PlotTitles,0))&lt;500), $AB$11,TRUE,"")</f>
        <v/>
      </c>
      <c r="I175" s="104" t="str" cm="1">
        <f t="array" ref="I175">_xlfn.IFS(AND(A175&gt;NumberOfPlots,ISBLANK(INDEX(PlotData,MATCH($A175,PlotNumber,0),MATCH(B$3,PlotTitles,0)))),"",ISBLANK(INDEX(PlotData,MATCH($A175,PlotNumber,0),MATCH(I$3,PlotTitles,0))),$AB$12,TRUE,"")</f>
        <v/>
      </c>
      <c r="J175" s="104" t="str" cm="1">
        <f t="array" ref="J175">_xlfn.IFS(AND(A175&gt;NumberOfPlots,ISBLANK(INDEX(PlotData,MATCH($A175,PlotNumber,0),MATCH(B$3,PlotTitles,0)))),"",ISBLANK(INDEX(PlotData,MATCH($A175,PlotNumber,0),MATCH(J$3,PlotTitles,0))),$AB$13,TRUE,"")</f>
        <v/>
      </c>
      <c r="K175" s="182" t="str">
        <f t="shared" ca="1" si="6"/>
        <v/>
      </c>
      <c r="L175" s="104" t="str" cm="1">
        <f t="array" ref="L175">_xlfn.IFS(OR(ISBLANK(StartDateMonth),ISBLANK(StartDateYear)),"",AND(A175&gt;NumberOfPlots,ISBLANK(INDEX(PlotData,MATCH($A175,PlotNumber,0),MATCH(B$3,PlotTitles,0)))),"",ISBLANK(INDEX(PlotData,MATCH($A175,PlotNumber,0),MATCH(I$3,PlotTitles,0))),"",(DATEVALUE(INDEX(PlotData,MATCH($A175,PlotNumber,0),MATCH(I$3,PlotTitles,0))&amp;INDEX(PlotData,MATCH($A175,PlotNumber,0),MATCH(J$3,PlotTitles,0))))&lt;DATEVALUE(StartDateMonth&amp;StartDateYear),$AB$15,TRUE,"")</f>
        <v/>
      </c>
      <c r="M175" s="104" t="str" cm="1">
        <f t="array" ref="M175">_xlfn.IFS(OR(ISBLANK(StartDateMonth),ISBLANK(StartDateYear)),"",AND(A175&gt;NumberOfPlots,ISBLANK(INDEX(PlotData,MATCH($A175,PlotNumber,0),MATCH(B$3,PlotTitles,0)))),"",ISBLANK(INDEX(PlotData,MATCH($A175,PlotNumber,0),MATCH(I$3,PlotTitles,0))),"",CompletionMonth="","",(DATEVALUE(INDEX(PlotData,MATCH($A175,PlotNumber,0),MATCH(I$3,PlotTitles,0))&amp;INDEX(PlotData,MATCH($A175,PlotNumber,0),MATCH(J$3,PlotTitles,0))))&gt;(DATEVALUE(CompletionMonth&amp;CompletionYear)),$AB$16,TRUE,"")</f>
        <v/>
      </c>
      <c r="N175" s="104" t="str" cm="1">
        <f t="array" ref="N175">_xlfn.IFS(AND(A175&gt;NumberOfPlots,ISBLANK(INDEX(PlotData,MATCH($A175,PlotNumber,0),MATCH(B$3,PlotTitles,0)))),"",ISBLANK(INDEX(PlotData,MATCH($A175,PlotNumber,0),MATCH(N$3,PlotTitles,0))),$AB$17,TRUE,"")</f>
        <v/>
      </c>
      <c r="O175" s="104" t="str" cm="1">
        <f t="array" ref="O175">_xlfn.IFS(AND(A175&gt;NumberOfPlots,ISBLANK(INDEX(PlotData,MATCH($A175,PlotNumber,0),MATCH(B$3,PlotTitles,0)))),"",ISBLANK(INDEX(PlotData,MATCH($A175,PlotNumber,0),MATCH(O$3,PlotTitles,0))),$AB$18,TRUE,"")</f>
        <v/>
      </c>
      <c r="P175" s="182" t="str">
        <f t="shared" ca="1" si="7"/>
        <v/>
      </c>
      <c r="Q175" s="104" t="str" cm="1">
        <f t="array" ref="Q175">_xlfn.IFS(AND(A175&gt;NumberOfPlots,ISBLANK(INDEX(PlotData,MATCH($A175,PlotNumber,0),MATCH(B$3,PlotTitles,0)))),"",ISBLANK(INDEX(PlotData,MATCH($A175,PlotNumber,0),MATCH(N$3,PlotTitles,0))),"",(DATEVALUE(INDEX(PlotData,MATCH($A175,PlotNumber,0),MATCH(N$3,PlotTitles,0))&amp;INDEX(PlotData,MATCH($A175,PlotNumber,0),MATCH(O$3,PlotTitles,0))))&lt;(DATEVALUE(INDEX(PlotData,MATCH($A175,PlotNumber,0),MATCH(I$3,PlotTitles,0))&amp;INDEX(PlotData,MATCH($A175,PlotNumber,0),MATCH(J$3,PlotTitles,0)))),$AB$20,TRUE,"")</f>
        <v/>
      </c>
      <c r="R175" s="104" t="str" cm="1">
        <f t="array" ref="R175">_xlfn.IFS(OR(ISBLANK(StartDateMonth),ISBLANK(StartDateYear)),"",AND(A175&gt;NumberOfPlots,ISBLANK(INDEX(PlotData,MATCH($A175,PlotNumber,0),MATCH(B$3,PlotTitles,0)))),"",ISBLANK(INDEX(PlotData,MATCH($A175,PlotNumber,0),MATCH(N$3,PlotTitles,0))),"",CompletionMonth="","",(DATEVALUE(INDEX(PlotData,MATCH($A175,PlotNumber,0),MATCH(N$3,PlotTitles,0))&amp;INDEX(PlotData,MATCH($A175,PlotNumber,0),MATCH(O$3,PlotTitles,0))))&gt;(DATEVALUE(CompletionMonth&amp;CompletionYear)),$AB$21,TRUE,"")</f>
        <v/>
      </c>
      <c r="S175" s="104" t="str" cm="1">
        <f t="array" ref="S175">_xlfn.IFS(AND(A175&gt;NumberOfPlots,ISBLANK(INDEX(PlotData,MATCH($A175,PlotNumber,0),MATCH(B$3,PlotTitles,0)))),"",OR(AND(INDEX(PlotData,MATCH($A175,PlotNumber,0),MATCH("Tenure",PlotTitles,0))="Open market housing",INDEX(PlotData,MATCH($A175,PlotNumber,0),MATCH("Tenure detail",PlotTitles,0))="Private rented sector"),INDEX(PlotData,MATCH($A175,PlotNumber,0),MATCH("Tenure",PlotTitles,0))="Affordable rent"),"",ISNUMBER(INDEX(PlotData,MATCH($A175,PlotNumber,0),MATCH(S$3,PlotTitles,0)))=FALSE, $AB$22,TRUE,"")</f>
        <v/>
      </c>
      <c r="T175" s="104" t="str" cm="1">
        <f t="array" ref="T175">_xlfn.IFS(AND(A175&gt;NumberOfPlots,ISBLANK(INDEX(PlotData,MATCH($A175,PlotNumber,0),MATCH(B$3,PlotTitles,0)))),"",OR(AND(INDEX(PlotData,MATCH($A175,PlotNumber,0),MATCH("Tenure",PlotTitles,0))="Open market housing",INDEX(PlotData,MATCH($A175,PlotNumber,0),MATCH("Tenure detail",PlotTitles,0))="Private rented sector"),INDEX(PlotData,MATCH($A175,PlotNumber,0),MATCH("Tenure",PlotTitles,0))="Affordable rent"),"",INDEX(PlotData,MATCH($A175,PlotNumber,0),MATCH(S$3,PlotTitles,0))&lt;10000, $AB$23,TRUE,"")</f>
        <v/>
      </c>
      <c r="U175" s="104" t="str" cm="1">
        <f t="array" ref="U175">_xlfn.IFS(AND(A175&gt;NumberOfPlots,ISBLANK(INDEX(PlotData,MATCH($A175,PlotNumber,0),MATCH(B$3,PlotTitles,0)))),"",NOT(OR(AND(INDEX(PlotData,MATCH($A175,PlotNumber,0),MATCH("Tenure",PlotTitles,0))="Open market housing",INDEX(PlotData,MATCH($A175,PlotNumber,0),MATCH("Tenure detail",PlotTitles,0))="Private rented sector"),INDEX(PlotData,MATCH($A175,PlotNumber,0),MATCH("Tenure",PlotTitles,0))="Affordable rent")),"",NOT(INDEX(PlotData,MATCH($A175,PlotNumber,0),MATCH(S$3,PlotTitles,0))=0), $AB$24,TRUE,"")</f>
        <v/>
      </c>
      <c r="V175" s="114" t="str" cm="1">
        <f t="array" aca="1" ref="V175" ca="1">_xlfn.IFS(ISBLANK(NumberOfPlots),"Enter the number of homes on the 1_SetUp sheet",AND(A175&gt;NumberOfPlots,ISBLANK(INDEX(PlotData,MATCH($A175,PlotNumber,0),MATCH(B$3,PlotTitles,0)))),"No error",NOT(B175=""),B175,NOT(C175=""),C175,NOT(D175=""),D175,NOT(E175=""),E175,NOT(F175=""),F175,NOT(G175=""),G175,NOT(H175=""),H175,NOT(I175=""),I175,NOT(J175=""),J175,NOT(K175=""),K175,NOT(L175=""),L175,NOT(M175=""),M175,NOT(N175=""),N175,NOT(O175=""),O175,NOT(P175=""),P175,NOT(Q175=""),Q175,NOT(R175=""),R175,NOT(S175=""),S175,NOT(T175=""),T175,NOT(U175=""),U175,TRUE,"No error")</f>
        <v>Enter the number of homes on the 1_SetUp sheet</v>
      </c>
      <c r="W175" s="114" t="str">
        <f t="shared" ca="1" si="8"/>
        <v xml:space="preserve">The Borrower has not addressed the following error messages for Home ID 171: </v>
      </c>
    </row>
    <row r="176" spans="1:23">
      <c r="A176" s="123">
        <v>172</v>
      </c>
      <c r="B176" s="104" t="str" cm="1">
        <f t="array" ref="B176">_xlfn.IFS(AND(A176&gt;NumberOfPlots,ISBLANK(INDEX(PlotData,MATCH($A176,PlotNumber,0),MATCH(B$3,PlotTitles,0)))),"",ISNUMBER(INDEX(PlotData,MATCH($A176,PlotNumber,0),MATCH(B$3,PlotTitles,0)))=FALSE, $AB$5,TRUE,"")</f>
        <v/>
      </c>
      <c r="C176" s="104" t="str" cm="1">
        <f t="array" ref="C176">_xlfn.IFS(AND(A176&gt;NumberOfPlots,ISBLANK(INDEX(PlotData,MATCH($A176,PlotNumber,0),MATCH(B$3,PlotTitles,0)))),"",ISBLANK(INDEX(PlotData,MATCH($A176,PlotNumber,0),MATCH(C$3,PlotTitles,0))),$AB$6,TRUE,"")</f>
        <v/>
      </c>
      <c r="D176" s="104" t="str" cm="1">
        <f t="array" ref="D176">_xlfn.IFS(AND(A176&gt;NumberOfPlots,ISBLANK(INDEX(PlotData,MATCH($A176,PlotNumber,0),MATCH(B$3,PlotTitles,0)))),"",ISBLANK(INDEX(PlotData,MATCH($A176,PlotNumber,0),MATCH(D$3,PlotTitles,0))),$AB$7,TRUE,"")</f>
        <v/>
      </c>
      <c r="E176" s="104" t="str" cm="1">
        <f t="array" ref="E176">_xlfn.IFS(AND(A176&gt;NumberOfPlots,ISBLANK(INDEX(PlotData,MATCH($A176,PlotNumber,0),MATCH(B$3,PlotTitles,0)))),"",ISBLANK(INDEX(PlotData,MATCH($A176,PlotNumber,0),MATCH(E$3,PlotTitles,0))),$AB$8,TRUE,"")</f>
        <v/>
      </c>
      <c r="F176" s="104" t="str" cm="1">
        <f t="array" ref="F176">_xlfn.IFS(AND(A176&gt;NumberOfPlots,ISBLANK(INDEX(PlotData,MATCH($A176,PlotNumber,0),MATCH(B$3,PlotTitles,0)))),"",ISBLANK(INDEX(PlotData,MATCH($A176,PlotNumber,0),MATCH(F$3,PlotTitles,0))),$AB$9,TRUE,"")</f>
        <v/>
      </c>
      <c r="G176" s="104" t="str" cm="1">
        <f t="array" ref="G176">_xlfn.IFS(AND(A176&gt;NumberOfPlots,ISBLANK(INDEX(PlotData,MATCH($A176,PlotNumber,0),MATCH(B$3,PlotTitles,0)))),"",ISBLANK(INDEX(PlotData,MATCH($A176,PlotNumber,0),MATCH(G$3,PlotTitles,0))),$AB$10,TRUE,"")</f>
        <v/>
      </c>
      <c r="H176" s="104" t="str" cm="1">
        <f t="array" ref="H176">_xlfn.IFS(AND(A176&gt;NumberOfPlots,ISBLANK(INDEX(PlotData,MATCH($A176,PlotNumber,0),MATCH(B$3,PlotTitles,0)))),"",AND(ISBLANK(INDEX(PlotData,MATCH($A176,PlotNumber,0),MATCH(H$3,PlotTitles,0)))=FALSE,INDEX(PlotData,MATCH($A176,PlotNumber,0),MATCH(H$3,PlotTitles,0))&lt;500), $AB$11,TRUE,"")</f>
        <v/>
      </c>
      <c r="I176" s="104" t="str" cm="1">
        <f t="array" ref="I176">_xlfn.IFS(AND(A176&gt;NumberOfPlots,ISBLANK(INDEX(PlotData,MATCH($A176,PlotNumber,0),MATCH(B$3,PlotTitles,0)))),"",ISBLANK(INDEX(PlotData,MATCH($A176,PlotNumber,0),MATCH(I$3,PlotTitles,0))),$AB$12,TRUE,"")</f>
        <v/>
      </c>
      <c r="J176" s="104" t="str" cm="1">
        <f t="array" ref="J176">_xlfn.IFS(AND(A176&gt;NumberOfPlots,ISBLANK(INDEX(PlotData,MATCH($A176,PlotNumber,0),MATCH(B$3,PlotTitles,0)))),"",ISBLANK(INDEX(PlotData,MATCH($A176,PlotNumber,0),MATCH(J$3,PlotTitles,0))),$AB$13,TRUE,"")</f>
        <v/>
      </c>
      <c r="K176" s="182" t="str">
        <f t="shared" ca="1" si="6"/>
        <v/>
      </c>
      <c r="L176" s="104" t="str" cm="1">
        <f t="array" ref="L176">_xlfn.IFS(OR(ISBLANK(StartDateMonth),ISBLANK(StartDateYear)),"",AND(A176&gt;NumberOfPlots,ISBLANK(INDEX(PlotData,MATCH($A176,PlotNumber,0),MATCH(B$3,PlotTitles,0)))),"",ISBLANK(INDEX(PlotData,MATCH($A176,PlotNumber,0),MATCH(I$3,PlotTitles,0))),"",(DATEVALUE(INDEX(PlotData,MATCH($A176,PlotNumber,0),MATCH(I$3,PlotTitles,0))&amp;INDEX(PlotData,MATCH($A176,PlotNumber,0),MATCH(J$3,PlotTitles,0))))&lt;DATEVALUE(StartDateMonth&amp;StartDateYear),$AB$15,TRUE,"")</f>
        <v/>
      </c>
      <c r="M176" s="104" t="str" cm="1">
        <f t="array" ref="M176">_xlfn.IFS(OR(ISBLANK(StartDateMonth),ISBLANK(StartDateYear)),"",AND(A176&gt;NumberOfPlots,ISBLANK(INDEX(PlotData,MATCH($A176,PlotNumber,0),MATCH(B$3,PlotTitles,0)))),"",ISBLANK(INDEX(PlotData,MATCH($A176,PlotNumber,0),MATCH(I$3,PlotTitles,0))),"",CompletionMonth="","",(DATEVALUE(INDEX(PlotData,MATCH($A176,PlotNumber,0),MATCH(I$3,PlotTitles,0))&amp;INDEX(PlotData,MATCH($A176,PlotNumber,0),MATCH(J$3,PlotTitles,0))))&gt;(DATEVALUE(CompletionMonth&amp;CompletionYear)),$AB$16,TRUE,"")</f>
        <v/>
      </c>
      <c r="N176" s="104" t="str" cm="1">
        <f t="array" ref="N176">_xlfn.IFS(AND(A176&gt;NumberOfPlots,ISBLANK(INDEX(PlotData,MATCH($A176,PlotNumber,0),MATCH(B$3,PlotTitles,0)))),"",ISBLANK(INDEX(PlotData,MATCH($A176,PlotNumber,0),MATCH(N$3,PlotTitles,0))),$AB$17,TRUE,"")</f>
        <v/>
      </c>
      <c r="O176" s="104" t="str" cm="1">
        <f t="array" ref="O176">_xlfn.IFS(AND(A176&gt;NumberOfPlots,ISBLANK(INDEX(PlotData,MATCH($A176,PlotNumber,0),MATCH(B$3,PlotTitles,0)))),"",ISBLANK(INDEX(PlotData,MATCH($A176,PlotNumber,0),MATCH(O$3,PlotTitles,0))),$AB$18,TRUE,"")</f>
        <v/>
      </c>
      <c r="P176" s="182" t="str">
        <f t="shared" ca="1" si="7"/>
        <v/>
      </c>
      <c r="Q176" s="104" t="str" cm="1">
        <f t="array" ref="Q176">_xlfn.IFS(AND(A176&gt;NumberOfPlots,ISBLANK(INDEX(PlotData,MATCH($A176,PlotNumber,0),MATCH(B$3,PlotTitles,0)))),"",ISBLANK(INDEX(PlotData,MATCH($A176,PlotNumber,0),MATCH(N$3,PlotTitles,0))),"",(DATEVALUE(INDEX(PlotData,MATCH($A176,PlotNumber,0),MATCH(N$3,PlotTitles,0))&amp;INDEX(PlotData,MATCH($A176,PlotNumber,0),MATCH(O$3,PlotTitles,0))))&lt;(DATEVALUE(INDEX(PlotData,MATCH($A176,PlotNumber,0),MATCH(I$3,PlotTitles,0))&amp;INDEX(PlotData,MATCH($A176,PlotNumber,0),MATCH(J$3,PlotTitles,0)))),$AB$20,TRUE,"")</f>
        <v/>
      </c>
      <c r="R176" s="104" t="str" cm="1">
        <f t="array" ref="R176">_xlfn.IFS(OR(ISBLANK(StartDateMonth),ISBLANK(StartDateYear)),"",AND(A176&gt;NumberOfPlots,ISBLANK(INDEX(PlotData,MATCH($A176,PlotNumber,0),MATCH(B$3,PlotTitles,0)))),"",ISBLANK(INDEX(PlotData,MATCH($A176,PlotNumber,0),MATCH(N$3,PlotTitles,0))),"",CompletionMonth="","",(DATEVALUE(INDEX(PlotData,MATCH($A176,PlotNumber,0),MATCH(N$3,PlotTitles,0))&amp;INDEX(PlotData,MATCH($A176,PlotNumber,0),MATCH(O$3,PlotTitles,0))))&gt;(DATEVALUE(CompletionMonth&amp;CompletionYear)),$AB$21,TRUE,"")</f>
        <v/>
      </c>
      <c r="S176" s="104" t="str" cm="1">
        <f t="array" ref="S176">_xlfn.IFS(AND(A176&gt;NumberOfPlots,ISBLANK(INDEX(PlotData,MATCH($A176,PlotNumber,0),MATCH(B$3,PlotTitles,0)))),"",OR(AND(INDEX(PlotData,MATCH($A176,PlotNumber,0),MATCH("Tenure",PlotTitles,0))="Open market housing",INDEX(PlotData,MATCH($A176,PlotNumber,0),MATCH("Tenure detail",PlotTitles,0))="Private rented sector"),INDEX(PlotData,MATCH($A176,PlotNumber,0),MATCH("Tenure",PlotTitles,0))="Affordable rent"),"",ISNUMBER(INDEX(PlotData,MATCH($A176,PlotNumber,0),MATCH(S$3,PlotTitles,0)))=FALSE, $AB$22,TRUE,"")</f>
        <v/>
      </c>
      <c r="T176" s="104" t="str" cm="1">
        <f t="array" ref="T176">_xlfn.IFS(AND(A176&gt;NumberOfPlots,ISBLANK(INDEX(PlotData,MATCH($A176,PlotNumber,0),MATCH(B$3,PlotTitles,0)))),"",OR(AND(INDEX(PlotData,MATCH($A176,PlotNumber,0),MATCH("Tenure",PlotTitles,0))="Open market housing",INDEX(PlotData,MATCH($A176,PlotNumber,0),MATCH("Tenure detail",PlotTitles,0))="Private rented sector"),INDEX(PlotData,MATCH($A176,PlotNumber,0),MATCH("Tenure",PlotTitles,0))="Affordable rent"),"",INDEX(PlotData,MATCH($A176,PlotNumber,0),MATCH(S$3,PlotTitles,0))&lt;10000, $AB$23,TRUE,"")</f>
        <v/>
      </c>
      <c r="U176" s="104" t="str" cm="1">
        <f t="array" ref="U176">_xlfn.IFS(AND(A176&gt;NumberOfPlots,ISBLANK(INDEX(PlotData,MATCH($A176,PlotNumber,0),MATCH(B$3,PlotTitles,0)))),"",NOT(OR(AND(INDEX(PlotData,MATCH($A176,PlotNumber,0),MATCH("Tenure",PlotTitles,0))="Open market housing",INDEX(PlotData,MATCH($A176,PlotNumber,0),MATCH("Tenure detail",PlotTitles,0))="Private rented sector"),INDEX(PlotData,MATCH($A176,PlotNumber,0),MATCH("Tenure",PlotTitles,0))="Affordable rent")),"",NOT(INDEX(PlotData,MATCH($A176,PlotNumber,0),MATCH(S$3,PlotTitles,0))=0), $AB$24,TRUE,"")</f>
        <v/>
      </c>
      <c r="V176" s="114" t="str" cm="1">
        <f t="array" aca="1" ref="V176" ca="1">_xlfn.IFS(ISBLANK(NumberOfPlots),"Enter the number of homes on the 1_SetUp sheet",AND(A176&gt;NumberOfPlots,ISBLANK(INDEX(PlotData,MATCH($A176,PlotNumber,0),MATCH(B$3,PlotTitles,0)))),"No error",NOT(B176=""),B176,NOT(C176=""),C176,NOT(D176=""),D176,NOT(E176=""),E176,NOT(F176=""),F176,NOT(G176=""),G176,NOT(H176=""),H176,NOT(I176=""),I176,NOT(J176=""),J176,NOT(K176=""),K176,NOT(L176=""),L176,NOT(M176=""),M176,NOT(N176=""),N176,NOT(O176=""),O176,NOT(P176=""),P176,NOT(Q176=""),Q176,NOT(R176=""),R176,NOT(S176=""),S176,NOT(T176=""),T176,NOT(U176=""),U176,TRUE,"No error")</f>
        <v>Enter the number of homes on the 1_SetUp sheet</v>
      </c>
      <c r="W176" s="114" t="str">
        <f t="shared" ca="1" si="8"/>
        <v xml:space="preserve">The Borrower has not addressed the following error messages for Home ID 172: </v>
      </c>
    </row>
    <row r="177" spans="1:23">
      <c r="A177" s="123">
        <v>173</v>
      </c>
      <c r="B177" s="104" t="str" cm="1">
        <f t="array" ref="B177">_xlfn.IFS(AND(A177&gt;NumberOfPlots,ISBLANK(INDEX(PlotData,MATCH($A177,PlotNumber,0),MATCH(B$3,PlotTitles,0)))),"",ISNUMBER(INDEX(PlotData,MATCH($A177,PlotNumber,0),MATCH(B$3,PlotTitles,0)))=FALSE, $AB$5,TRUE,"")</f>
        <v/>
      </c>
      <c r="C177" s="104" t="str" cm="1">
        <f t="array" ref="C177">_xlfn.IFS(AND(A177&gt;NumberOfPlots,ISBLANK(INDEX(PlotData,MATCH($A177,PlotNumber,0),MATCH(B$3,PlotTitles,0)))),"",ISBLANK(INDEX(PlotData,MATCH($A177,PlotNumber,0),MATCH(C$3,PlotTitles,0))),$AB$6,TRUE,"")</f>
        <v/>
      </c>
      <c r="D177" s="104" t="str" cm="1">
        <f t="array" ref="D177">_xlfn.IFS(AND(A177&gt;NumberOfPlots,ISBLANK(INDEX(PlotData,MATCH($A177,PlotNumber,0),MATCH(B$3,PlotTitles,0)))),"",ISBLANK(INDEX(PlotData,MATCH($A177,PlotNumber,0),MATCH(D$3,PlotTitles,0))),$AB$7,TRUE,"")</f>
        <v/>
      </c>
      <c r="E177" s="104" t="str" cm="1">
        <f t="array" ref="E177">_xlfn.IFS(AND(A177&gt;NumberOfPlots,ISBLANK(INDEX(PlotData,MATCH($A177,PlotNumber,0),MATCH(B$3,PlotTitles,0)))),"",ISBLANK(INDEX(PlotData,MATCH($A177,PlotNumber,0),MATCH(E$3,PlotTitles,0))),$AB$8,TRUE,"")</f>
        <v/>
      </c>
      <c r="F177" s="104" t="str" cm="1">
        <f t="array" ref="F177">_xlfn.IFS(AND(A177&gt;NumberOfPlots,ISBLANK(INDEX(PlotData,MATCH($A177,PlotNumber,0),MATCH(B$3,PlotTitles,0)))),"",ISBLANK(INDEX(PlotData,MATCH($A177,PlotNumber,0),MATCH(F$3,PlotTitles,0))),$AB$9,TRUE,"")</f>
        <v/>
      </c>
      <c r="G177" s="104" t="str" cm="1">
        <f t="array" ref="G177">_xlfn.IFS(AND(A177&gt;NumberOfPlots,ISBLANK(INDEX(PlotData,MATCH($A177,PlotNumber,0),MATCH(B$3,PlotTitles,0)))),"",ISBLANK(INDEX(PlotData,MATCH($A177,PlotNumber,0),MATCH(G$3,PlotTitles,0))),$AB$10,TRUE,"")</f>
        <v/>
      </c>
      <c r="H177" s="104" t="str" cm="1">
        <f t="array" ref="H177">_xlfn.IFS(AND(A177&gt;NumberOfPlots,ISBLANK(INDEX(PlotData,MATCH($A177,PlotNumber,0),MATCH(B$3,PlotTitles,0)))),"",AND(ISBLANK(INDEX(PlotData,MATCH($A177,PlotNumber,0),MATCH(H$3,PlotTitles,0)))=FALSE,INDEX(PlotData,MATCH($A177,PlotNumber,0),MATCH(H$3,PlotTitles,0))&lt;500), $AB$11,TRUE,"")</f>
        <v/>
      </c>
      <c r="I177" s="104" t="str" cm="1">
        <f t="array" ref="I177">_xlfn.IFS(AND(A177&gt;NumberOfPlots,ISBLANK(INDEX(PlotData,MATCH($A177,PlotNumber,0),MATCH(B$3,PlotTitles,0)))),"",ISBLANK(INDEX(PlotData,MATCH($A177,PlotNumber,0),MATCH(I$3,PlotTitles,0))),$AB$12,TRUE,"")</f>
        <v/>
      </c>
      <c r="J177" s="104" t="str" cm="1">
        <f t="array" ref="J177">_xlfn.IFS(AND(A177&gt;NumberOfPlots,ISBLANK(INDEX(PlotData,MATCH($A177,PlotNumber,0),MATCH(B$3,PlotTitles,0)))),"",ISBLANK(INDEX(PlotData,MATCH($A177,PlotNumber,0),MATCH(J$3,PlotTitles,0))),$AB$13,TRUE,"")</f>
        <v/>
      </c>
      <c r="K177" s="182" t="str">
        <f t="shared" ca="1" si="6"/>
        <v/>
      </c>
      <c r="L177" s="104" t="str" cm="1">
        <f t="array" ref="L177">_xlfn.IFS(OR(ISBLANK(StartDateMonth),ISBLANK(StartDateYear)),"",AND(A177&gt;NumberOfPlots,ISBLANK(INDEX(PlotData,MATCH($A177,PlotNumber,0),MATCH(B$3,PlotTitles,0)))),"",ISBLANK(INDEX(PlotData,MATCH($A177,PlotNumber,0),MATCH(I$3,PlotTitles,0))),"",(DATEVALUE(INDEX(PlotData,MATCH($A177,PlotNumber,0),MATCH(I$3,PlotTitles,0))&amp;INDEX(PlotData,MATCH($A177,PlotNumber,0),MATCH(J$3,PlotTitles,0))))&lt;DATEVALUE(StartDateMonth&amp;StartDateYear),$AB$15,TRUE,"")</f>
        <v/>
      </c>
      <c r="M177" s="104" t="str" cm="1">
        <f t="array" ref="M177">_xlfn.IFS(OR(ISBLANK(StartDateMonth),ISBLANK(StartDateYear)),"",AND(A177&gt;NumberOfPlots,ISBLANK(INDEX(PlotData,MATCH($A177,PlotNumber,0),MATCH(B$3,PlotTitles,0)))),"",ISBLANK(INDEX(PlotData,MATCH($A177,PlotNumber,0),MATCH(I$3,PlotTitles,0))),"",CompletionMonth="","",(DATEVALUE(INDEX(PlotData,MATCH($A177,PlotNumber,0),MATCH(I$3,PlotTitles,0))&amp;INDEX(PlotData,MATCH($A177,PlotNumber,0),MATCH(J$3,PlotTitles,0))))&gt;(DATEVALUE(CompletionMonth&amp;CompletionYear)),$AB$16,TRUE,"")</f>
        <v/>
      </c>
      <c r="N177" s="104" t="str" cm="1">
        <f t="array" ref="N177">_xlfn.IFS(AND(A177&gt;NumberOfPlots,ISBLANK(INDEX(PlotData,MATCH($A177,PlotNumber,0),MATCH(B$3,PlotTitles,0)))),"",ISBLANK(INDEX(PlotData,MATCH($A177,PlotNumber,0),MATCH(N$3,PlotTitles,0))),$AB$17,TRUE,"")</f>
        <v/>
      </c>
      <c r="O177" s="104" t="str" cm="1">
        <f t="array" ref="O177">_xlfn.IFS(AND(A177&gt;NumberOfPlots,ISBLANK(INDEX(PlotData,MATCH($A177,PlotNumber,0),MATCH(B$3,PlotTitles,0)))),"",ISBLANK(INDEX(PlotData,MATCH($A177,PlotNumber,0),MATCH(O$3,PlotTitles,0))),$AB$18,TRUE,"")</f>
        <v/>
      </c>
      <c r="P177" s="182" t="str">
        <f t="shared" ca="1" si="7"/>
        <v/>
      </c>
      <c r="Q177" s="104" t="str" cm="1">
        <f t="array" ref="Q177">_xlfn.IFS(AND(A177&gt;NumberOfPlots,ISBLANK(INDEX(PlotData,MATCH($A177,PlotNumber,0),MATCH(B$3,PlotTitles,0)))),"",ISBLANK(INDEX(PlotData,MATCH($A177,PlotNumber,0),MATCH(N$3,PlotTitles,0))),"",(DATEVALUE(INDEX(PlotData,MATCH($A177,PlotNumber,0),MATCH(N$3,PlotTitles,0))&amp;INDEX(PlotData,MATCH($A177,PlotNumber,0),MATCH(O$3,PlotTitles,0))))&lt;(DATEVALUE(INDEX(PlotData,MATCH($A177,PlotNumber,0),MATCH(I$3,PlotTitles,0))&amp;INDEX(PlotData,MATCH($A177,PlotNumber,0),MATCH(J$3,PlotTitles,0)))),$AB$20,TRUE,"")</f>
        <v/>
      </c>
      <c r="R177" s="104" t="str" cm="1">
        <f t="array" ref="R177">_xlfn.IFS(OR(ISBLANK(StartDateMonth),ISBLANK(StartDateYear)),"",AND(A177&gt;NumberOfPlots,ISBLANK(INDEX(PlotData,MATCH($A177,PlotNumber,0),MATCH(B$3,PlotTitles,0)))),"",ISBLANK(INDEX(PlotData,MATCH($A177,PlotNumber,0),MATCH(N$3,PlotTitles,0))),"",CompletionMonth="","",(DATEVALUE(INDEX(PlotData,MATCH($A177,PlotNumber,0),MATCH(N$3,PlotTitles,0))&amp;INDEX(PlotData,MATCH($A177,PlotNumber,0),MATCH(O$3,PlotTitles,0))))&gt;(DATEVALUE(CompletionMonth&amp;CompletionYear)),$AB$21,TRUE,"")</f>
        <v/>
      </c>
      <c r="S177" s="104" t="str" cm="1">
        <f t="array" ref="S177">_xlfn.IFS(AND(A177&gt;NumberOfPlots,ISBLANK(INDEX(PlotData,MATCH($A177,PlotNumber,0),MATCH(B$3,PlotTitles,0)))),"",OR(AND(INDEX(PlotData,MATCH($A177,PlotNumber,0),MATCH("Tenure",PlotTitles,0))="Open market housing",INDEX(PlotData,MATCH($A177,PlotNumber,0),MATCH("Tenure detail",PlotTitles,0))="Private rented sector"),INDEX(PlotData,MATCH($A177,PlotNumber,0),MATCH("Tenure",PlotTitles,0))="Affordable rent"),"",ISNUMBER(INDEX(PlotData,MATCH($A177,PlotNumber,0),MATCH(S$3,PlotTitles,0)))=FALSE, $AB$22,TRUE,"")</f>
        <v/>
      </c>
      <c r="T177" s="104" t="str" cm="1">
        <f t="array" ref="T177">_xlfn.IFS(AND(A177&gt;NumberOfPlots,ISBLANK(INDEX(PlotData,MATCH($A177,PlotNumber,0),MATCH(B$3,PlotTitles,0)))),"",OR(AND(INDEX(PlotData,MATCH($A177,PlotNumber,0),MATCH("Tenure",PlotTitles,0))="Open market housing",INDEX(PlotData,MATCH($A177,PlotNumber,0),MATCH("Tenure detail",PlotTitles,0))="Private rented sector"),INDEX(PlotData,MATCH($A177,PlotNumber,0),MATCH("Tenure",PlotTitles,0))="Affordable rent"),"",INDEX(PlotData,MATCH($A177,PlotNumber,0),MATCH(S$3,PlotTitles,0))&lt;10000, $AB$23,TRUE,"")</f>
        <v/>
      </c>
      <c r="U177" s="104" t="str" cm="1">
        <f t="array" ref="U177">_xlfn.IFS(AND(A177&gt;NumberOfPlots,ISBLANK(INDEX(PlotData,MATCH($A177,PlotNumber,0),MATCH(B$3,PlotTitles,0)))),"",NOT(OR(AND(INDEX(PlotData,MATCH($A177,PlotNumber,0),MATCH("Tenure",PlotTitles,0))="Open market housing",INDEX(PlotData,MATCH($A177,PlotNumber,0),MATCH("Tenure detail",PlotTitles,0))="Private rented sector"),INDEX(PlotData,MATCH($A177,PlotNumber,0),MATCH("Tenure",PlotTitles,0))="Affordable rent")),"",NOT(INDEX(PlotData,MATCH($A177,PlotNumber,0),MATCH(S$3,PlotTitles,0))=0), $AB$24,TRUE,"")</f>
        <v/>
      </c>
      <c r="V177" s="114" t="str" cm="1">
        <f t="array" aca="1" ref="V177" ca="1">_xlfn.IFS(ISBLANK(NumberOfPlots),"Enter the number of homes on the 1_SetUp sheet",AND(A177&gt;NumberOfPlots,ISBLANK(INDEX(PlotData,MATCH($A177,PlotNumber,0),MATCH(B$3,PlotTitles,0)))),"No error",NOT(B177=""),B177,NOT(C177=""),C177,NOT(D177=""),D177,NOT(E177=""),E177,NOT(F177=""),F177,NOT(G177=""),G177,NOT(H177=""),H177,NOT(I177=""),I177,NOT(J177=""),J177,NOT(K177=""),K177,NOT(L177=""),L177,NOT(M177=""),M177,NOT(N177=""),N177,NOT(O177=""),O177,NOT(P177=""),P177,NOT(Q177=""),Q177,NOT(R177=""),R177,NOT(S177=""),S177,NOT(T177=""),T177,NOT(U177=""),U177,TRUE,"No error")</f>
        <v>Enter the number of homes on the 1_SetUp sheet</v>
      </c>
      <c r="W177" s="114" t="str">
        <f t="shared" ca="1" si="8"/>
        <v xml:space="preserve">The Borrower has not addressed the following error messages for Home ID 173: </v>
      </c>
    </row>
    <row r="178" spans="1:23">
      <c r="A178" s="123">
        <v>174</v>
      </c>
      <c r="B178" s="104" t="str" cm="1">
        <f t="array" ref="B178">_xlfn.IFS(AND(A178&gt;NumberOfPlots,ISBLANK(INDEX(PlotData,MATCH($A178,PlotNumber,0),MATCH(B$3,PlotTitles,0)))),"",ISNUMBER(INDEX(PlotData,MATCH($A178,PlotNumber,0),MATCH(B$3,PlotTitles,0)))=FALSE, $AB$5,TRUE,"")</f>
        <v/>
      </c>
      <c r="C178" s="104" t="str" cm="1">
        <f t="array" ref="C178">_xlfn.IFS(AND(A178&gt;NumberOfPlots,ISBLANK(INDEX(PlotData,MATCH($A178,PlotNumber,0),MATCH(B$3,PlotTitles,0)))),"",ISBLANK(INDEX(PlotData,MATCH($A178,PlotNumber,0),MATCH(C$3,PlotTitles,0))),$AB$6,TRUE,"")</f>
        <v/>
      </c>
      <c r="D178" s="104" t="str" cm="1">
        <f t="array" ref="D178">_xlfn.IFS(AND(A178&gt;NumberOfPlots,ISBLANK(INDEX(PlotData,MATCH($A178,PlotNumber,0),MATCH(B$3,PlotTitles,0)))),"",ISBLANK(INDEX(PlotData,MATCH($A178,PlotNumber,0),MATCH(D$3,PlotTitles,0))),$AB$7,TRUE,"")</f>
        <v/>
      </c>
      <c r="E178" s="104" t="str" cm="1">
        <f t="array" ref="E178">_xlfn.IFS(AND(A178&gt;NumberOfPlots,ISBLANK(INDEX(PlotData,MATCH($A178,PlotNumber,0),MATCH(B$3,PlotTitles,0)))),"",ISBLANK(INDEX(PlotData,MATCH($A178,PlotNumber,0),MATCH(E$3,PlotTitles,0))),$AB$8,TRUE,"")</f>
        <v/>
      </c>
      <c r="F178" s="104" t="str" cm="1">
        <f t="array" ref="F178">_xlfn.IFS(AND(A178&gt;NumberOfPlots,ISBLANK(INDEX(PlotData,MATCH($A178,PlotNumber,0),MATCH(B$3,PlotTitles,0)))),"",ISBLANK(INDEX(PlotData,MATCH($A178,PlotNumber,0),MATCH(F$3,PlotTitles,0))),$AB$9,TRUE,"")</f>
        <v/>
      </c>
      <c r="G178" s="104" t="str" cm="1">
        <f t="array" ref="G178">_xlfn.IFS(AND(A178&gt;NumberOfPlots,ISBLANK(INDEX(PlotData,MATCH($A178,PlotNumber,0),MATCH(B$3,PlotTitles,0)))),"",ISBLANK(INDEX(PlotData,MATCH($A178,PlotNumber,0),MATCH(G$3,PlotTitles,0))),$AB$10,TRUE,"")</f>
        <v/>
      </c>
      <c r="H178" s="104" t="str" cm="1">
        <f t="array" ref="H178">_xlfn.IFS(AND(A178&gt;NumberOfPlots,ISBLANK(INDEX(PlotData,MATCH($A178,PlotNumber,0),MATCH(B$3,PlotTitles,0)))),"",AND(ISBLANK(INDEX(PlotData,MATCH($A178,PlotNumber,0),MATCH(H$3,PlotTitles,0)))=FALSE,INDEX(PlotData,MATCH($A178,PlotNumber,0),MATCH(H$3,PlotTitles,0))&lt;500), $AB$11,TRUE,"")</f>
        <v/>
      </c>
      <c r="I178" s="104" t="str" cm="1">
        <f t="array" ref="I178">_xlfn.IFS(AND(A178&gt;NumberOfPlots,ISBLANK(INDEX(PlotData,MATCH($A178,PlotNumber,0),MATCH(B$3,PlotTitles,0)))),"",ISBLANK(INDEX(PlotData,MATCH($A178,PlotNumber,0),MATCH(I$3,PlotTitles,0))),$AB$12,TRUE,"")</f>
        <v/>
      </c>
      <c r="J178" s="104" t="str" cm="1">
        <f t="array" ref="J178">_xlfn.IFS(AND(A178&gt;NumberOfPlots,ISBLANK(INDEX(PlotData,MATCH($A178,PlotNumber,0),MATCH(B$3,PlotTitles,0)))),"",ISBLANK(INDEX(PlotData,MATCH($A178,PlotNumber,0),MATCH(J$3,PlotTitles,0))),$AB$13,TRUE,"")</f>
        <v/>
      </c>
      <c r="K178" s="182" t="str">
        <f t="shared" ca="1" si="6"/>
        <v/>
      </c>
      <c r="L178" s="104" t="str" cm="1">
        <f t="array" ref="L178">_xlfn.IFS(OR(ISBLANK(StartDateMonth),ISBLANK(StartDateYear)),"",AND(A178&gt;NumberOfPlots,ISBLANK(INDEX(PlotData,MATCH($A178,PlotNumber,0),MATCH(B$3,PlotTitles,0)))),"",ISBLANK(INDEX(PlotData,MATCH($A178,PlotNumber,0),MATCH(I$3,PlotTitles,0))),"",(DATEVALUE(INDEX(PlotData,MATCH($A178,PlotNumber,0),MATCH(I$3,PlotTitles,0))&amp;INDEX(PlotData,MATCH($A178,PlotNumber,0),MATCH(J$3,PlotTitles,0))))&lt;DATEVALUE(StartDateMonth&amp;StartDateYear),$AB$15,TRUE,"")</f>
        <v/>
      </c>
      <c r="M178" s="104" t="str" cm="1">
        <f t="array" ref="M178">_xlfn.IFS(OR(ISBLANK(StartDateMonth),ISBLANK(StartDateYear)),"",AND(A178&gt;NumberOfPlots,ISBLANK(INDEX(PlotData,MATCH($A178,PlotNumber,0),MATCH(B$3,PlotTitles,0)))),"",ISBLANK(INDEX(PlotData,MATCH($A178,PlotNumber,0),MATCH(I$3,PlotTitles,0))),"",CompletionMonth="","",(DATEVALUE(INDEX(PlotData,MATCH($A178,PlotNumber,0),MATCH(I$3,PlotTitles,0))&amp;INDEX(PlotData,MATCH($A178,PlotNumber,0),MATCH(J$3,PlotTitles,0))))&gt;(DATEVALUE(CompletionMonth&amp;CompletionYear)),$AB$16,TRUE,"")</f>
        <v/>
      </c>
      <c r="N178" s="104" t="str" cm="1">
        <f t="array" ref="N178">_xlfn.IFS(AND(A178&gt;NumberOfPlots,ISBLANK(INDEX(PlotData,MATCH($A178,PlotNumber,0),MATCH(B$3,PlotTitles,0)))),"",ISBLANK(INDEX(PlotData,MATCH($A178,PlotNumber,0),MATCH(N$3,PlotTitles,0))),$AB$17,TRUE,"")</f>
        <v/>
      </c>
      <c r="O178" s="104" t="str" cm="1">
        <f t="array" ref="O178">_xlfn.IFS(AND(A178&gt;NumberOfPlots,ISBLANK(INDEX(PlotData,MATCH($A178,PlotNumber,0),MATCH(B$3,PlotTitles,0)))),"",ISBLANK(INDEX(PlotData,MATCH($A178,PlotNumber,0),MATCH(O$3,PlotTitles,0))),$AB$18,TRUE,"")</f>
        <v/>
      </c>
      <c r="P178" s="182" t="str">
        <f t="shared" ca="1" si="7"/>
        <v/>
      </c>
      <c r="Q178" s="104" t="str" cm="1">
        <f t="array" ref="Q178">_xlfn.IFS(AND(A178&gt;NumberOfPlots,ISBLANK(INDEX(PlotData,MATCH($A178,PlotNumber,0),MATCH(B$3,PlotTitles,0)))),"",ISBLANK(INDEX(PlotData,MATCH($A178,PlotNumber,0),MATCH(N$3,PlotTitles,0))),"",(DATEVALUE(INDEX(PlotData,MATCH($A178,PlotNumber,0),MATCH(N$3,PlotTitles,0))&amp;INDEX(PlotData,MATCH($A178,PlotNumber,0),MATCH(O$3,PlotTitles,0))))&lt;(DATEVALUE(INDEX(PlotData,MATCH($A178,PlotNumber,0),MATCH(I$3,PlotTitles,0))&amp;INDEX(PlotData,MATCH($A178,PlotNumber,0),MATCH(J$3,PlotTitles,0)))),$AB$20,TRUE,"")</f>
        <v/>
      </c>
      <c r="R178" s="104" t="str" cm="1">
        <f t="array" ref="R178">_xlfn.IFS(OR(ISBLANK(StartDateMonth),ISBLANK(StartDateYear)),"",AND(A178&gt;NumberOfPlots,ISBLANK(INDEX(PlotData,MATCH($A178,PlotNumber,0),MATCH(B$3,PlotTitles,0)))),"",ISBLANK(INDEX(PlotData,MATCH($A178,PlotNumber,0),MATCH(N$3,PlotTitles,0))),"",CompletionMonth="","",(DATEVALUE(INDEX(PlotData,MATCH($A178,PlotNumber,0),MATCH(N$3,PlotTitles,0))&amp;INDEX(PlotData,MATCH($A178,PlotNumber,0),MATCH(O$3,PlotTitles,0))))&gt;(DATEVALUE(CompletionMonth&amp;CompletionYear)),$AB$21,TRUE,"")</f>
        <v/>
      </c>
      <c r="S178" s="104" t="str" cm="1">
        <f t="array" ref="S178">_xlfn.IFS(AND(A178&gt;NumberOfPlots,ISBLANK(INDEX(PlotData,MATCH($A178,PlotNumber,0),MATCH(B$3,PlotTitles,0)))),"",OR(AND(INDEX(PlotData,MATCH($A178,PlotNumber,0),MATCH("Tenure",PlotTitles,0))="Open market housing",INDEX(PlotData,MATCH($A178,PlotNumber,0),MATCH("Tenure detail",PlotTitles,0))="Private rented sector"),INDEX(PlotData,MATCH($A178,PlotNumber,0),MATCH("Tenure",PlotTitles,0))="Affordable rent"),"",ISNUMBER(INDEX(PlotData,MATCH($A178,PlotNumber,0),MATCH(S$3,PlotTitles,0)))=FALSE, $AB$22,TRUE,"")</f>
        <v/>
      </c>
      <c r="T178" s="104" t="str" cm="1">
        <f t="array" ref="T178">_xlfn.IFS(AND(A178&gt;NumberOfPlots,ISBLANK(INDEX(PlotData,MATCH($A178,PlotNumber,0),MATCH(B$3,PlotTitles,0)))),"",OR(AND(INDEX(PlotData,MATCH($A178,PlotNumber,0),MATCH("Tenure",PlotTitles,0))="Open market housing",INDEX(PlotData,MATCH($A178,PlotNumber,0),MATCH("Tenure detail",PlotTitles,0))="Private rented sector"),INDEX(PlotData,MATCH($A178,PlotNumber,0),MATCH("Tenure",PlotTitles,0))="Affordable rent"),"",INDEX(PlotData,MATCH($A178,PlotNumber,0),MATCH(S$3,PlotTitles,0))&lt;10000, $AB$23,TRUE,"")</f>
        <v/>
      </c>
      <c r="U178" s="104" t="str" cm="1">
        <f t="array" ref="U178">_xlfn.IFS(AND(A178&gt;NumberOfPlots,ISBLANK(INDEX(PlotData,MATCH($A178,PlotNumber,0),MATCH(B$3,PlotTitles,0)))),"",NOT(OR(AND(INDEX(PlotData,MATCH($A178,PlotNumber,0),MATCH("Tenure",PlotTitles,0))="Open market housing",INDEX(PlotData,MATCH($A178,PlotNumber,0),MATCH("Tenure detail",PlotTitles,0))="Private rented sector"),INDEX(PlotData,MATCH($A178,PlotNumber,0),MATCH("Tenure",PlotTitles,0))="Affordable rent")),"",NOT(INDEX(PlotData,MATCH($A178,PlotNumber,0),MATCH(S$3,PlotTitles,0))=0), $AB$24,TRUE,"")</f>
        <v/>
      </c>
      <c r="V178" s="114" t="str" cm="1">
        <f t="array" aca="1" ref="V178" ca="1">_xlfn.IFS(ISBLANK(NumberOfPlots),"Enter the number of homes on the 1_SetUp sheet",AND(A178&gt;NumberOfPlots,ISBLANK(INDEX(PlotData,MATCH($A178,PlotNumber,0),MATCH(B$3,PlotTitles,0)))),"No error",NOT(B178=""),B178,NOT(C178=""),C178,NOT(D178=""),D178,NOT(E178=""),E178,NOT(F178=""),F178,NOT(G178=""),G178,NOT(H178=""),H178,NOT(I178=""),I178,NOT(J178=""),J178,NOT(K178=""),K178,NOT(L178=""),L178,NOT(M178=""),M178,NOT(N178=""),N178,NOT(O178=""),O178,NOT(P178=""),P178,NOT(Q178=""),Q178,NOT(R178=""),R178,NOT(S178=""),S178,NOT(T178=""),T178,NOT(U178=""),U178,TRUE,"No error")</f>
        <v>Enter the number of homes on the 1_SetUp sheet</v>
      </c>
      <c r="W178" s="114" t="str">
        <f t="shared" ca="1" si="8"/>
        <v xml:space="preserve">The Borrower has not addressed the following error messages for Home ID 174: </v>
      </c>
    </row>
    <row r="179" spans="1:23">
      <c r="A179" s="123">
        <v>175</v>
      </c>
      <c r="B179" s="104" t="str" cm="1">
        <f t="array" ref="B179">_xlfn.IFS(AND(A179&gt;NumberOfPlots,ISBLANK(INDEX(PlotData,MATCH($A179,PlotNumber,0),MATCH(B$3,PlotTitles,0)))),"",ISNUMBER(INDEX(PlotData,MATCH($A179,PlotNumber,0),MATCH(B$3,PlotTitles,0)))=FALSE, $AB$5,TRUE,"")</f>
        <v/>
      </c>
      <c r="C179" s="104" t="str" cm="1">
        <f t="array" ref="C179">_xlfn.IFS(AND(A179&gt;NumberOfPlots,ISBLANK(INDEX(PlotData,MATCH($A179,PlotNumber,0),MATCH(B$3,PlotTitles,0)))),"",ISBLANK(INDEX(PlotData,MATCH($A179,PlotNumber,0),MATCH(C$3,PlotTitles,0))),$AB$6,TRUE,"")</f>
        <v/>
      </c>
      <c r="D179" s="104" t="str" cm="1">
        <f t="array" ref="D179">_xlfn.IFS(AND(A179&gt;NumberOfPlots,ISBLANK(INDEX(PlotData,MATCH($A179,PlotNumber,0),MATCH(B$3,PlotTitles,0)))),"",ISBLANK(INDEX(PlotData,MATCH($A179,PlotNumber,0),MATCH(D$3,PlotTitles,0))),$AB$7,TRUE,"")</f>
        <v/>
      </c>
      <c r="E179" s="104" t="str" cm="1">
        <f t="array" ref="E179">_xlfn.IFS(AND(A179&gt;NumberOfPlots,ISBLANK(INDEX(PlotData,MATCH($A179,PlotNumber,0),MATCH(B$3,PlotTitles,0)))),"",ISBLANK(INDEX(PlotData,MATCH($A179,PlotNumber,0),MATCH(E$3,PlotTitles,0))),$AB$8,TRUE,"")</f>
        <v/>
      </c>
      <c r="F179" s="104" t="str" cm="1">
        <f t="array" ref="F179">_xlfn.IFS(AND(A179&gt;NumberOfPlots,ISBLANK(INDEX(PlotData,MATCH($A179,PlotNumber,0),MATCH(B$3,PlotTitles,0)))),"",ISBLANK(INDEX(PlotData,MATCH($A179,PlotNumber,0),MATCH(F$3,PlotTitles,0))),$AB$9,TRUE,"")</f>
        <v/>
      </c>
      <c r="G179" s="104" t="str" cm="1">
        <f t="array" ref="G179">_xlfn.IFS(AND(A179&gt;NumberOfPlots,ISBLANK(INDEX(PlotData,MATCH($A179,PlotNumber,0),MATCH(B$3,PlotTitles,0)))),"",ISBLANK(INDEX(PlotData,MATCH($A179,PlotNumber,0),MATCH(G$3,PlotTitles,0))),$AB$10,TRUE,"")</f>
        <v/>
      </c>
      <c r="H179" s="104" t="str" cm="1">
        <f t="array" ref="H179">_xlfn.IFS(AND(A179&gt;NumberOfPlots,ISBLANK(INDEX(PlotData,MATCH($A179,PlotNumber,0),MATCH(B$3,PlotTitles,0)))),"",AND(ISBLANK(INDEX(PlotData,MATCH($A179,PlotNumber,0),MATCH(H$3,PlotTitles,0)))=FALSE,INDEX(PlotData,MATCH($A179,PlotNumber,0),MATCH(H$3,PlotTitles,0))&lt;500), $AB$11,TRUE,"")</f>
        <v/>
      </c>
      <c r="I179" s="104" t="str" cm="1">
        <f t="array" ref="I179">_xlfn.IFS(AND(A179&gt;NumberOfPlots,ISBLANK(INDEX(PlotData,MATCH($A179,PlotNumber,0),MATCH(B$3,PlotTitles,0)))),"",ISBLANK(INDEX(PlotData,MATCH($A179,PlotNumber,0),MATCH(I$3,PlotTitles,0))),$AB$12,TRUE,"")</f>
        <v/>
      </c>
      <c r="J179" s="104" t="str" cm="1">
        <f t="array" ref="J179">_xlfn.IFS(AND(A179&gt;NumberOfPlots,ISBLANK(INDEX(PlotData,MATCH($A179,PlotNumber,0),MATCH(B$3,PlotTitles,0)))),"",ISBLANK(INDEX(PlotData,MATCH($A179,PlotNumber,0),MATCH(J$3,PlotTitles,0))),$AB$13,TRUE,"")</f>
        <v/>
      </c>
      <c r="K179" s="182" t="str">
        <f t="shared" ca="1" si="6"/>
        <v/>
      </c>
      <c r="L179" s="104" t="str" cm="1">
        <f t="array" ref="L179">_xlfn.IFS(OR(ISBLANK(StartDateMonth),ISBLANK(StartDateYear)),"",AND(A179&gt;NumberOfPlots,ISBLANK(INDEX(PlotData,MATCH($A179,PlotNumber,0),MATCH(B$3,PlotTitles,0)))),"",ISBLANK(INDEX(PlotData,MATCH($A179,PlotNumber,0),MATCH(I$3,PlotTitles,0))),"",(DATEVALUE(INDEX(PlotData,MATCH($A179,PlotNumber,0),MATCH(I$3,PlotTitles,0))&amp;INDEX(PlotData,MATCH($A179,PlotNumber,0),MATCH(J$3,PlotTitles,0))))&lt;DATEVALUE(StartDateMonth&amp;StartDateYear),$AB$15,TRUE,"")</f>
        <v/>
      </c>
      <c r="M179" s="104" t="str" cm="1">
        <f t="array" ref="M179">_xlfn.IFS(OR(ISBLANK(StartDateMonth),ISBLANK(StartDateYear)),"",AND(A179&gt;NumberOfPlots,ISBLANK(INDEX(PlotData,MATCH($A179,PlotNumber,0),MATCH(B$3,PlotTitles,0)))),"",ISBLANK(INDEX(PlotData,MATCH($A179,PlotNumber,0),MATCH(I$3,PlotTitles,0))),"",CompletionMonth="","",(DATEVALUE(INDEX(PlotData,MATCH($A179,PlotNumber,0),MATCH(I$3,PlotTitles,0))&amp;INDEX(PlotData,MATCH($A179,PlotNumber,0),MATCH(J$3,PlotTitles,0))))&gt;(DATEVALUE(CompletionMonth&amp;CompletionYear)),$AB$16,TRUE,"")</f>
        <v/>
      </c>
      <c r="N179" s="104" t="str" cm="1">
        <f t="array" ref="N179">_xlfn.IFS(AND(A179&gt;NumberOfPlots,ISBLANK(INDEX(PlotData,MATCH($A179,PlotNumber,0),MATCH(B$3,PlotTitles,0)))),"",ISBLANK(INDEX(PlotData,MATCH($A179,PlotNumber,0),MATCH(N$3,PlotTitles,0))),$AB$17,TRUE,"")</f>
        <v/>
      </c>
      <c r="O179" s="104" t="str" cm="1">
        <f t="array" ref="O179">_xlfn.IFS(AND(A179&gt;NumberOfPlots,ISBLANK(INDEX(PlotData,MATCH($A179,PlotNumber,0),MATCH(B$3,PlotTitles,0)))),"",ISBLANK(INDEX(PlotData,MATCH($A179,PlotNumber,0),MATCH(O$3,PlotTitles,0))),$AB$18,TRUE,"")</f>
        <v/>
      </c>
      <c r="P179" s="182" t="str">
        <f t="shared" ca="1" si="7"/>
        <v/>
      </c>
      <c r="Q179" s="104" t="str" cm="1">
        <f t="array" ref="Q179">_xlfn.IFS(AND(A179&gt;NumberOfPlots,ISBLANK(INDEX(PlotData,MATCH($A179,PlotNumber,0),MATCH(B$3,PlotTitles,0)))),"",ISBLANK(INDEX(PlotData,MATCH($A179,PlotNumber,0),MATCH(N$3,PlotTitles,0))),"",(DATEVALUE(INDEX(PlotData,MATCH($A179,PlotNumber,0),MATCH(N$3,PlotTitles,0))&amp;INDEX(PlotData,MATCH($A179,PlotNumber,0),MATCH(O$3,PlotTitles,0))))&lt;(DATEVALUE(INDEX(PlotData,MATCH($A179,PlotNumber,0),MATCH(I$3,PlotTitles,0))&amp;INDEX(PlotData,MATCH($A179,PlotNumber,0),MATCH(J$3,PlotTitles,0)))),$AB$20,TRUE,"")</f>
        <v/>
      </c>
      <c r="R179" s="104" t="str" cm="1">
        <f t="array" ref="R179">_xlfn.IFS(OR(ISBLANK(StartDateMonth),ISBLANK(StartDateYear)),"",AND(A179&gt;NumberOfPlots,ISBLANK(INDEX(PlotData,MATCH($A179,PlotNumber,0),MATCH(B$3,PlotTitles,0)))),"",ISBLANK(INDEX(PlotData,MATCH($A179,PlotNumber,0),MATCH(N$3,PlotTitles,0))),"",CompletionMonth="","",(DATEVALUE(INDEX(PlotData,MATCH($A179,PlotNumber,0),MATCH(N$3,PlotTitles,0))&amp;INDEX(PlotData,MATCH($A179,PlotNumber,0),MATCH(O$3,PlotTitles,0))))&gt;(DATEVALUE(CompletionMonth&amp;CompletionYear)),$AB$21,TRUE,"")</f>
        <v/>
      </c>
      <c r="S179" s="104" t="str" cm="1">
        <f t="array" ref="S179">_xlfn.IFS(AND(A179&gt;NumberOfPlots,ISBLANK(INDEX(PlotData,MATCH($A179,PlotNumber,0),MATCH(B$3,PlotTitles,0)))),"",OR(AND(INDEX(PlotData,MATCH($A179,PlotNumber,0),MATCH("Tenure",PlotTitles,0))="Open market housing",INDEX(PlotData,MATCH($A179,PlotNumber,0),MATCH("Tenure detail",PlotTitles,0))="Private rented sector"),INDEX(PlotData,MATCH($A179,PlotNumber,0),MATCH("Tenure",PlotTitles,0))="Affordable rent"),"",ISNUMBER(INDEX(PlotData,MATCH($A179,PlotNumber,0),MATCH(S$3,PlotTitles,0)))=FALSE, $AB$22,TRUE,"")</f>
        <v/>
      </c>
      <c r="T179" s="104" t="str" cm="1">
        <f t="array" ref="T179">_xlfn.IFS(AND(A179&gt;NumberOfPlots,ISBLANK(INDEX(PlotData,MATCH($A179,PlotNumber,0),MATCH(B$3,PlotTitles,0)))),"",OR(AND(INDEX(PlotData,MATCH($A179,PlotNumber,0),MATCH("Tenure",PlotTitles,0))="Open market housing",INDEX(PlotData,MATCH($A179,PlotNumber,0),MATCH("Tenure detail",PlotTitles,0))="Private rented sector"),INDEX(PlotData,MATCH($A179,PlotNumber,0),MATCH("Tenure",PlotTitles,0))="Affordable rent"),"",INDEX(PlotData,MATCH($A179,PlotNumber,0),MATCH(S$3,PlotTitles,0))&lt;10000, $AB$23,TRUE,"")</f>
        <v/>
      </c>
      <c r="U179" s="104" t="str" cm="1">
        <f t="array" ref="U179">_xlfn.IFS(AND(A179&gt;NumberOfPlots,ISBLANK(INDEX(PlotData,MATCH($A179,PlotNumber,0),MATCH(B$3,PlotTitles,0)))),"",NOT(OR(AND(INDEX(PlotData,MATCH($A179,PlotNumber,0),MATCH("Tenure",PlotTitles,0))="Open market housing",INDEX(PlotData,MATCH($A179,PlotNumber,0),MATCH("Tenure detail",PlotTitles,0))="Private rented sector"),INDEX(PlotData,MATCH($A179,PlotNumber,0),MATCH("Tenure",PlotTitles,0))="Affordable rent")),"",NOT(INDEX(PlotData,MATCH($A179,PlotNumber,0),MATCH(S$3,PlotTitles,0))=0), $AB$24,TRUE,"")</f>
        <v/>
      </c>
      <c r="V179" s="114" t="str" cm="1">
        <f t="array" aca="1" ref="V179" ca="1">_xlfn.IFS(ISBLANK(NumberOfPlots),"Enter the number of homes on the 1_SetUp sheet",AND(A179&gt;NumberOfPlots,ISBLANK(INDEX(PlotData,MATCH($A179,PlotNumber,0),MATCH(B$3,PlotTitles,0)))),"No error",NOT(B179=""),B179,NOT(C179=""),C179,NOT(D179=""),D179,NOT(E179=""),E179,NOT(F179=""),F179,NOT(G179=""),G179,NOT(H179=""),H179,NOT(I179=""),I179,NOT(J179=""),J179,NOT(K179=""),K179,NOT(L179=""),L179,NOT(M179=""),M179,NOT(N179=""),N179,NOT(O179=""),O179,NOT(P179=""),P179,NOT(Q179=""),Q179,NOT(R179=""),R179,NOT(S179=""),S179,NOT(T179=""),T179,NOT(U179=""),U179,TRUE,"No error")</f>
        <v>Enter the number of homes on the 1_SetUp sheet</v>
      </c>
      <c r="W179" s="114" t="str">
        <f t="shared" ca="1" si="8"/>
        <v xml:space="preserve">The Borrower has not addressed the following error messages for Home ID 175: </v>
      </c>
    </row>
    <row r="180" spans="1:23">
      <c r="A180" s="123">
        <v>176</v>
      </c>
      <c r="B180" s="104" t="str" cm="1">
        <f t="array" ref="B180">_xlfn.IFS(AND(A180&gt;NumberOfPlots,ISBLANK(INDEX(PlotData,MATCH($A180,PlotNumber,0),MATCH(B$3,PlotTitles,0)))),"",ISNUMBER(INDEX(PlotData,MATCH($A180,PlotNumber,0),MATCH(B$3,PlotTitles,0)))=FALSE, $AB$5,TRUE,"")</f>
        <v/>
      </c>
      <c r="C180" s="104" t="str" cm="1">
        <f t="array" ref="C180">_xlfn.IFS(AND(A180&gt;NumberOfPlots,ISBLANK(INDEX(PlotData,MATCH($A180,PlotNumber,0),MATCH(B$3,PlotTitles,0)))),"",ISBLANK(INDEX(PlotData,MATCH($A180,PlotNumber,0),MATCH(C$3,PlotTitles,0))),$AB$6,TRUE,"")</f>
        <v/>
      </c>
      <c r="D180" s="104" t="str" cm="1">
        <f t="array" ref="D180">_xlfn.IFS(AND(A180&gt;NumberOfPlots,ISBLANK(INDEX(PlotData,MATCH($A180,PlotNumber,0),MATCH(B$3,PlotTitles,0)))),"",ISBLANK(INDEX(PlotData,MATCH($A180,PlotNumber,0),MATCH(D$3,PlotTitles,0))),$AB$7,TRUE,"")</f>
        <v/>
      </c>
      <c r="E180" s="104" t="str" cm="1">
        <f t="array" ref="E180">_xlfn.IFS(AND(A180&gt;NumberOfPlots,ISBLANK(INDEX(PlotData,MATCH($A180,PlotNumber,0),MATCH(B$3,PlotTitles,0)))),"",ISBLANK(INDEX(PlotData,MATCH($A180,PlotNumber,0),MATCH(E$3,PlotTitles,0))),$AB$8,TRUE,"")</f>
        <v/>
      </c>
      <c r="F180" s="104" t="str" cm="1">
        <f t="array" ref="F180">_xlfn.IFS(AND(A180&gt;NumberOfPlots,ISBLANK(INDEX(PlotData,MATCH($A180,PlotNumber,0),MATCH(B$3,PlotTitles,0)))),"",ISBLANK(INDEX(PlotData,MATCH($A180,PlotNumber,0),MATCH(F$3,PlotTitles,0))),$AB$9,TRUE,"")</f>
        <v/>
      </c>
      <c r="G180" s="104" t="str" cm="1">
        <f t="array" ref="G180">_xlfn.IFS(AND(A180&gt;NumberOfPlots,ISBLANK(INDEX(PlotData,MATCH($A180,PlotNumber,0),MATCH(B$3,PlotTitles,0)))),"",ISBLANK(INDEX(PlotData,MATCH($A180,PlotNumber,0),MATCH(G$3,PlotTitles,0))),$AB$10,TRUE,"")</f>
        <v/>
      </c>
      <c r="H180" s="104" t="str" cm="1">
        <f t="array" ref="H180">_xlfn.IFS(AND(A180&gt;NumberOfPlots,ISBLANK(INDEX(PlotData,MATCH($A180,PlotNumber,0),MATCH(B$3,PlotTitles,0)))),"",AND(ISBLANK(INDEX(PlotData,MATCH($A180,PlotNumber,0),MATCH(H$3,PlotTitles,0)))=FALSE,INDEX(PlotData,MATCH($A180,PlotNumber,0),MATCH(H$3,PlotTitles,0))&lt;500), $AB$11,TRUE,"")</f>
        <v/>
      </c>
      <c r="I180" s="104" t="str" cm="1">
        <f t="array" ref="I180">_xlfn.IFS(AND(A180&gt;NumberOfPlots,ISBLANK(INDEX(PlotData,MATCH($A180,PlotNumber,0),MATCH(B$3,PlotTitles,0)))),"",ISBLANK(INDEX(PlotData,MATCH($A180,PlotNumber,0),MATCH(I$3,PlotTitles,0))),$AB$12,TRUE,"")</f>
        <v/>
      </c>
      <c r="J180" s="104" t="str" cm="1">
        <f t="array" ref="J180">_xlfn.IFS(AND(A180&gt;NumberOfPlots,ISBLANK(INDEX(PlotData,MATCH($A180,PlotNumber,0),MATCH(B$3,PlotTitles,0)))),"",ISBLANK(INDEX(PlotData,MATCH($A180,PlotNumber,0),MATCH(J$3,PlotTitles,0))),$AB$13,TRUE,"")</f>
        <v/>
      </c>
      <c r="K180" s="182" t="str">
        <f t="shared" ca="1" si="6"/>
        <v/>
      </c>
      <c r="L180" s="104" t="str" cm="1">
        <f t="array" ref="L180">_xlfn.IFS(OR(ISBLANK(StartDateMonth),ISBLANK(StartDateYear)),"",AND(A180&gt;NumberOfPlots,ISBLANK(INDEX(PlotData,MATCH($A180,PlotNumber,0),MATCH(B$3,PlotTitles,0)))),"",ISBLANK(INDEX(PlotData,MATCH($A180,PlotNumber,0),MATCH(I$3,PlotTitles,0))),"",(DATEVALUE(INDEX(PlotData,MATCH($A180,PlotNumber,0),MATCH(I$3,PlotTitles,0))&amp;INDEX(PlotData,MATCH($A180,PlotNumber,0),MATCH(J$3,PlotTitles,0))))&lt;DATEVALUE(StartDateMonth&amp;StartDateYear),$AB$15,TRUE,"")</f>
        <v/>
      </c>
      <c r="M180" s="104" t="str" cm="1">
        <f t="array" ref="M180">_xlfn.IFS(OR(ISBLANK(StartDateMonth),ISBLANK(StartDateYear)),"",AND(A180&gt;NumberOfPlots,ISBLANK(INDEX(PlotData,MATCH($A180,PlotNumber,0),MATCH(B$3,PlotTitles,0)))),"",ISBLANK(INDEX(PlotData,MATCH($A180,PlotNumber,0),MATCH(I$3,PlotTitles,0))),"",CompletionMonth="","",(DATEVALUE(INDEX(PlotData,MATCH($A180,PlotNumber,0),MATCH(I$3,PlotTitles,0))&amp;INDEX(PlotData,MATCH($A180,PlotNumber,0),MATCH(J$3,PlotTitles,0))))&gt;(DATEVALUE(CompletionMonth&amp;CompletionYear)),$AB$16,TRUE,"")</f>
        <v/>
      </c>
      <c r="N180" s="104" t="str" cm="1">
        <f t="array" ref="N180">_xlfn.IFS(AND(A180&gt;NumberOfPlots,ISBLANK(INDEX(PlotData,MATCH($A180,PlotNumber,0),MATCH(B$3,PlotTitles,0)))),"",ISBLANK(INDEX(PlotData,MATCH($A180,PlotNumber,0),MATCH(N$3,PlotTitles,0))),$AB$17,TRUE,"")</f>
        <v/>
      </c>
      <c r="O180" s="104" t="str" cm="1">
        <f t="array" ref="O180">_xlfn.IFS(AND(A180&gt;NumberOfPlots,ISBLANK(INDEX(PlotData,MATCH($A180,PlotNumber,0),MATCH(B$3,PlotTitles,0)))),"",ISBLANK(INDEX(PlotData,MATCH($A180,PlotNumber,0),MATCH(O$3,PlotTitles,0))),$AB$18,TRUE,"")</f>
        <v/>
      </c>
      <c r="P180" s="182" t="str">
        <f t="shared" ca="1" si="7"/>
        <v/>
      </c>
      <c r="Q180" s="104" t="str" cm="1">
        <f t="array" ref="Q180">_xlfn.IFS(AND(A180&gt;NumberOfPlots,ISBLANK(INDEX(PlotData,MATCH($A180,PlotNumber,0),MATCH(B$3,PlotTitles,0)))),"",ISBLANK(INDEX(PlotData,MATCH($A180,PlotNumber,0),MATCH(N$3,PlotTitles,0))),"",(DATEVALUE(INDEX(PlotData,MATCH($A180,PlotNumber,0),MATCH(N$3,PlotTitles,0))&amp;INDEX(PlotData,MATCH($A180,PlotNumber,0),MATCH(O$3,PlotTitles,0))))&lt;(DATEVALUE(INDEX(PlotData,MATCH($A180,PlotNumber,0),MATCH(I$3,PlotTitles,0))&amp;INDEX(PlotData,MATCH($A180,PlotNumber,0),MATCH(J$3,PlotTitles,0)))),$AB$20,TRUE,"")</f>
        <v/>
      </c>
      <c r="R180" s="104" t="str" cm="1">
        <f t="array" ref="R180">_xlfn.IFS(OR(ISBLANK(StartDateMonth),ISBLANK(StartDateYear)),"",AND(A180&gt;NumberOfPlots,ISBLANK(INDEX(PlotData,MATCH($A180,PlotNumber,0),MATCH(B$3,PlotTitles,0)))),"",ISBLANK(INDEX(PlotData,MATCH($A180,PlotNumber,0),MATCH(N$3,PlotTitles,0))),"",CompletionMonth="","",(DATEVALUE(INDEX(PlotData,MATCH($A180,PlotNumber,0),MATCH(N$3,PlotTitles,0))&amp;INDEX(PlotData,MATCH($A180,PlotNumber,0),MATCH(O$3,PlotTitles,0))))&gt;(DATEVALUE(CompletionMonth&amp;CompletionYear)),$AB$21,TRUE,"")</f>
        <v/>
      </c>
      <c r="S180" s="104" t="str" cm="1">
        <f t="array" ref="S180">_xlfn.IFS(AND(A180&gt;NumberOfPlots,ISBLANK(INDEX(PlotData,MATCH($A180,PlotNumber,0),MATCH(B$3,PlotTitles,0)))),"",OR(AND(INDEX(PlotData,MATCH($A180,PlotNumber,0),MATCH("Tenure",PlotTitles,0))="Open market housing",INDEX(PlotData,MATCH($A180,PlotNumber,0),MATCH("Tenure detail",PlotTitles,0))="Private rented sector"),INDEX(PlotData,MATCH($A180,PlotNumber,0),MATCH("Tenure",PlotTitles,0))="Affordable rent"),"",ISNUMBER(INDEX(PlotData,MATCH($A180,PlotNumber,0),MATCH(S$3,PlotTitles,0)))=FALSE, $AB$22,TRUE,"")</f>
        <v/>
      </c>
      <c r="T180" s="104" t="str" cm="1">
        <f t="array" ref="T180">_xlfn.IFS(AND(A180&gt;NumberOfPlots,ISBLANK(INDEX(PlotData,MATCH($A180,PlotNumber,0),MATCH(B$3,PlotTitles,0)))),"",OR(AND(INDEX(PlotData,MATCH($A180,PlotNumber,0),MATCH("Tenure",PlotTitles,0))="Open market housing",INDEX(PlotData,MATCH($A180,PlotNumber,0),MATCH("Tenure detail",PlotTitles,0))="Private rented sector"),INDEX(PlotData,MATCH($A180,PlotNumber,0),MATCH("Tenure",PlotTitles,0))="Affordable rent"),"",INDEX(PlotData,MATCH($A180,PlotNumber,0),MATCH(S$3,PlotTitles,0))&lt;10000, $AB$23,TRUE,"")</f>
        <v/>
      </c>
      <c r="U180" s="104" t="str" cm="1">
        <f t="array" ref="U180">_xlfn.IFS(AND(A180&gt;NumberOfPlots,ISBLANK(INDEX(PlotData,MATCH($A180,PlotNumber,0),MATCH(B$3,PlotTitles,0)))),"",NOT(OR(AND(INDEX(PlotData,MATCH($A180,PlotNumber,0),MATCH("Tenure",PlotTitles,0))="Open market housing",INDEX(PlotData,MATCH($A180,PlotNumber,0),MATCH("Tenure detail",PlotTitles,0))="Private rented sector"),INDEX(PlotData,MATCH($A180,PlotNumber,0),MATCH("Tenure",PlotTitles,0))="Affordable rent")),"",NOT(INDEX(PlotData,MATCH($A180,PlotNumber,0),MATCH(S$3,PlotTitles,0))=0), $AB$24,TRUE,"")</f>
        <v/>
      </c>
      <c r="V180" s="114" t="str" cm="1">
        <f t="array" aca="1" ref="V180" ca="1">_xlfn.IFS(ISBLANK(NumberOfPlots),"Enter the number of homes on the 1_SetUp sheet",AND(A180&gt;NumberOfPlots,ISBLANK(INDEX(PlotData,MATCH($A180,PlotNumber,0),MATCH(B$3,PlotTitles,0)))),"No error",NOT(B180=""),B180,NOT(C180=""),C180,NOT(D180=""),D180,NOT(E180=""),E180,NOT(F180=""),F180,NOT(G180=""),G180,NOT(H180=""),H180,NOT(I180=""),I180,NOT(J180=""),J180,NOT(K180=""),K180,NOT(L180=""),L180,NOT(M180=""),M180,NOT(N180=""),N180,NOT(O180=""),O180,NOT(P180=""),P180,NOT(Q180=""),Q180,NOT(R180=""),R180,NOT(S180=""),S180,NOT(T180=""),T180,NOT(U180=""),U180,TRUE,"No error")</f>
        <v>Enter the number of homes on the 1_SetUp sheet</v>
      </c>
      <c r="W180" s="114" t="str">
        <f t="shared" ca="1" si="8"/>
        <v xml:space="preserve">The Borrower has not addressed the following error messages for Home ID 176: </v>
      </c>
    </row>
    <row r="181" spans="1:23">
      <c r="A181" s="123">
        <v>177</v>
      </c>
      <c r="B181" s="104" t="str" cm="1">
        <f t="array" ref="B181">_xlfn.IFS(AND(A181&gt;NumberOfPlots,ISBLANK(INDEX(PlotData,MATCH($A181,PlotNumber,0),MATCH(B$3,PlotTitles,0)))),"",ISNUMBER(INDEX(PlotData,MATCH($A181,PlotNumber,0),MATCH(B$3,PlotTitles,0)))=FALSE, $AB$5,TRUE,"")</f>
        <v/>
      </c>
      <c r="C181" s="104" t="str" cm="1">
        <f t="array" ref="C181">_xlfn.IFS(AND(A181&gt;NumberOfPlots,ISBLANK(INDEX(PlotData,MATCH($A181,PlotNumber,0),MATCH(B$3,PlotTitles,0)))),"",ISBLANK(INDEX(PlotData,MATCH($A181,PlotNumber,0),MATCH(C$3,PlotTitles,0))),$AB$6,TRUE,"")</f>
        <v/>
      </c>
      <c r="D181" s="104" t="str" cm="1">
        <f t="array" ref="D181">_xlfn.IFS(AND(A181&gt;NumberOfPlots,ISBLANK(INDEX(PlotData,MATCH($A181,PlotNumber,0),MATCH(B$3,PlotTitles,0)))),"",ISBLANK(INDEX(PlotData,MATCH($A181,PlotNumber,0),MATCH(D$3,PlotTitles,0))),$AB$7,TRUE,"")</f>
        <v/>
      </c>
      <c r="E181" s="104" t="str" cm="1">
        <f t="array" ref="E181">_xlfn.IFS(AND(A181&gt;NumberOfPlots,ISBLANK(INDEX(PlotData,MATCH($A181,PlotNumber,0),MATCH(B$3,PlotTitles,0)))),"",ISBLANK(INDEX(PlotData,MATCH($A181,PlotNumber,0),MATCH(E$3,PlotTitles,0))),$AB$8,TRUE,"")</f>
        <v/>
      </c>
      <c r="F181" s="104" t="str" cm="1">
        <f t="array" ref="F181">_xlfn.IFS(AND(A181&gt;NumberOfPlots,ISBLANK(INDEX(PlotData,MATCH($A181,PlotNumber,0),MATCH(B$3,PlotTitles,0)))),"",ISBLANK(INDEX(PlotData,MATCH($A181,PlotNumber,0),MATCH(F$3,PlotTitles,0))),$AB$9,TRUE,"")</f>
        <v/>
      </c>
      <c r="G181" s="104" t="str" cm="1">
        <f t="array" ref="G181">_xlfn.IFS(AND(A181&gt;NumberOfPlots,ISBLANK(INDEX(PlotData,MATCH($A181,PlotNumber,0),MATCH(B$3,PlotTitles,0)))),"",ISBLANK(INDEX(PlotData,MATCH($A181,PlotNumber,0),MATCH(G$3,PlotTitles,0))),$AB$10,TRUE,"")</f>
        <v/>
      </c>
      <c r="H181" s="104" t="str" cm="1">
        <f t="array" ref="H181">_xlfn.IFS(AND(A181&gt;NumberOfPlots,ISBLANK(INDEX(PlotData,MATCH($A181,PlotNumber,0),MATCH(B$3,PlotTitles,0)))),"",AND(ISBLANK(INDEX(PlotData,MATCH($A181,PlotNumber,0),MATCH(H$3,PlotTitles,0)))=FALSE,INDEX(PlotData,MATCH($A181,PlotNumber,0),MATCH(H$3,PlotTitles,0))&lt;500), $AB$11,TRUE,"")</f>
        <v/>
      </c>
      <c r="I181" s="104" t="str" cm="1">
        <f t="array" ref="I181">_xlfn.IFS(AND(A181&gt;NumberOfPlots,ISBLANK(INDEX(PlotData,MATCH($A181,PlotNumber,0),MATCH(B$3,PlotTitles,0)))),"",ISBLANK(INDEX(PlotData,MATCH($A181,PlotNumber,0),MATCH(I$3,PlotTitles,0))),$AB$12,TRUE,"")</f>
        <v/>
      </c>
      <c r="J181" s="104" t="str" cm="1">
        <f t="array" ref="J181">_xlfn.IFS(AND(A181&gt;NumberOfPlots,ISBLANK(INDEX(PlotData,MATCH($A181,PlotNumber,0),MATCH(B$3,PlotTitles,0)))),"",ISBLANK(INDEX(PlotData,MATCH($A181,PlotNumber,0),MATCH(J$3,PlotTitles,0))),$AB$13,TRUE,"")</f>
        <v/>
      </c>
      <c r="K181" s="182" t="str">
        <f t="shared" ca="1" si="6"/>
        <v/>
      </c>
      <c r="L181" s="104" t="str" cm="1">
        <f t="array" ref="L181">_xlfn.IFS(OR(ISBLANK(StartDateMonth),ISBLANK(StartDateYear)),"",AND(A181&gt;NumberOfPlots,ISBLANK(INDEX(PlotData,MATCH($A181,PlotNumber,0),MATCH(B$3,PlotTitles,0)))),"",ISBLANK(INDEX(PlotData,MATCH($A181,PlotNumber,0),MATCH(I$3,PlotTitles,0))),"",(DATEVALUE(INDEX(PlotData,MATCH($A181,PlotNumber,0),MATCH(I$3,PlotTitles,0))&amp;INDEX(PlotData,MATCH($A181,PlotNumber,0),MATCH(J$3,PlotTitles,0))))&lt;DATEVALUE(StartDateMonth&amp;StartDateYear),$AB$15,TRUE,"")</f>
        <v/>
      </c>
      <c r="M181" s="104" t="str" cm="1">
        <f t="array" ref="M181">_xlfn.IFS(OR(ISBLANK(StartDateMonth),ISBLANK(StartDateYear)),"",AND(A181&gt;NumberOfPlots,ISBLANK(INDEX(PlotData,MATCH($A181,PlotNumber,0),MATCH(B$3,PlotTitles,0)))),"",ISBLANK(INDEX(PlotData,MATCH($A181,PlotNumber,0),MATCH(I$3,PlotTitles,0))),"",CompletionMonth="","",(DATEVALUE(INDEX(PlotData,MATCH($A181,PlotNumber,0),MATCH(I$3,PlotTitles,0))&amp;INDEX(PlotData,MATCH($A181,PlotNumber,0),MATCH(J$3,PlotTitles,0))))&gt;(DATEVALUE(CompletionMonth&amp;CompletionYear)),$AB$16,TRUE,"")</f>
        <v/>
      </c>
      <c r="N181" s="104" t="str" cm="1">
        <f t="array" ref="N181">_xlfn.IFS(AND(A181&gt;NumberOfPlots,ISBLANK(INDEX(PlotData,MATCH($A181,PlotNumber,0),MATCH(B$3,PlotTitles,0)))),"",ISBLANK(INDEX(PlotData,MATCH($A181,PlotNumber,0),MATCH(N$3,PlotTitles,0))),$AB$17,TRUE,"")</f>
        <v/>
      </c>
      <c r="O181" s="104" t="str" cm="1">
        <f t="array" ref="O181">_xlfn.IFS(AND(A181&gt;NumberOfPlots,ISBLANK(INDEX(PlotData,MATCH($A181,PlotNumber,0),MATCH(B$3,PlotTitles,0)))),"",ISBLANK(INDEX(PlotData,MATCH($A181,PlotNumber,0),MATCH(O$3,PlotTitles,0))),$AB$18,TRUE,"")</f>
        <v/>
      </c>
      <c r="P181" s="182" t="str">
        <f t="shared" ca="1" si="7"/>
        <v/>
      </c>
      <c r="Q181" s="104" t="str" cm="1">
        <f t="array" ref="Q181">_xlfn.IFS(AND(A181&gt;NumberOfPlots,ISBLANK(INDEX(PlotData,MATCH($A181,PlotNumber,0),MATCH(B$3,PlotTitles,0)))),"",ISBLANK(INDEX(PlotData,MATCH($A181,PlotNumber,0),MATCH(N$3,PlotTitles,0))),"",(DATEVALUE(INDEX(PlotData,MATCH($A181,PlotNumber,0),MATCH(N$3,PlotTitles,0))&amp;INDEX(PlotData,MATCH($A181,PlotNumber,0),MATCH(O$3,PlotTitles,0))))&lt;(DATEVALUE(INDEX(PlotData,MATCH($A181,PlotNumber,0),MATCH(I$3,PlotTitles,0))&amp;INDEX(PlotData,MATCH($A181,PlotNumber,0),MATCH(J$3,PlotTitles,0)))),$AB$20,TRUE,"")</f>
        <v/>
      </c>
      <c r="R181" s="104" t="str" cm="1">
        <f t="array" ref="R181">_xlfn.IFS(OR(ISBLANK(StartDateMonth),ISBLANK(StartDateYear)),"",AND(A181&gt;NumberOfPlots,ISBLANK(INDEX(PlotData,MATCH($A181,PlotNumber,0),MATCH(B$3,PlotTitles,0)))),"",ISBLANK(INDEX(PlotData,MATCH($A181,PlotNumber,0),MATCH(N$3,PlotTitles,0))),"",CompletionMonth="","",(DATEVALUE(INDEX(PlotData,MATCH($A181,PlotNumber,0),MATCH(N$3,PlotTitles,0))&amp;INDEX(PlotData,MATCH($A181,PlotNumber,0),MATCH(O$3,PlotTitles,0))))&gt;(DATEVALUE(CompletionMonth&amp;CompletionYear)),$AB$21,TRUE,"")</f>
        <v/>
      </c>
      <c r="S181" s="104" t="str" cm="1">
        <f t="array" ref="S181">_xlfn.IFS(AND(A181&gt;NumberOfPlots,ISBLANK(INDEX(PlotData,MATCH($A181,PlotNumber,0),MATCH(B$3,PlotTitles,0)))),"",OR(AND(INDEX(PlotData,MATCH($A181,PlotNumber,0),MATCH("Tenure",PlotTitles,0))="Open market housing",INDEX(PlotData,MATCH($A181,PlotNumber,0),MATCH("Tenure detail",PlotTitles,0))="Private rented sector"),INDEX(PlotData,MATCH($A181,PlotNumber,0),MATCH("Tenure",PlotTitles,0))="Affordable rent"),"",ISNUMBER(INDEX(PlotData,MATCH($A181,PlotNumber,0),MATCH(S$3,PlotTitles,0)))=FALSE, $AB$22,TRUE,"")</f>
        <v/>
      </c>
      <c r="T181" s="104" t="str" cm="1">
        <f t="array" ref="T181">_xlfn.IFS(AND(A181&gt;NumberOfPlots,ISBLANK(INDEX(PlotData,MATCH($A181,PlotNumber,0),MATCH(B$3,PlotTitles,0)))),"",OR(AND(INDEX(PlotData,MATCH($A181,PlotNumber,0),MATCH("Tenure",PlotTitles,0))="Open market housing",INDEX(PlotData,MATCH($A181,PlotNumber,0),MATCH("Tenure detail",PlotTitles,0))="Private rented sector"),INDEX(PlotData,MATCH($A181,PlotNumber,0),MATCH("Tenure",PlotTitles,0))="Affordable rent"),"",INDEX(PlotData,MATCH($A181,PlotNumber,0),MATCH(S$3,PlotTitles,0))&lt;10000, $AB$23,TRUE,"")</f>
        <v/>
      </c>
      <c r="U181" s="104" t="str" cm="1">
        <f t="array" ref="U181">_xlfn.IFS(AND(A181&gt;NumberOfPlots,ISBLANK(INDEX(PlotData,MATCH($A181,PlotNumber,0),MATCH(B$3,PlotTitles,0)))),"",NOT(OR(AND(INDEX(PlotData,MATCH($A181,PlotNumber,0),MATCH("Tenure",PlotTitles,0))="Open market housing",INDEX(PlotData,MATCH($A181,PlotNumber,0),MATCH("Tenure detail",PlotTitles,0))="Private rented sector"),INDEX(PlotData,MATCH($A181,PlotNumber,0),MATCH("Tenure",PlotTitles,0))="Affordable rent")),"",NOT(INDEX(PlotData,MATCH($A181,PlotNumber,0),MATCH(S$3,PlotTitles,0))=0), $AB$24,TRUE,"")</f>
        <v/>
      </c>
      <c r="V181" s="114" t="str" cm="1">
        <f t="array" aca="1" ref="V181" ca="1">_xlfn.IFS(ISBLANK(NumberOfPlots),"Enter the number of homes on the 1_SetUp sheet",AND(A181&gt;NumberOfPlots,ISBLANK(INDEX(PlotData,MATCH($A181,PlotNumber,0),MATCH(B$3,PlotTitles,0)))),"No error",NOT(B181=""),B181,NOT(C181=""),C181,NOT(D181=""),D181,NOT(E181=""),E181,NOT(F181=""),F181,NOT(G181=""),G181,NOT(H181=""),H181,NOT(I181=""),I181,NOT(J181=""),J181,NOT(K181=""),K181,NOT(L181=""),L181,NOT(M181=""),M181,NOT(N181=""),N181,NOT(O181=""),O181,NOT(P181=""),P181,NOT(Q181=""),Q181,NOT(R181=""),R181,NOT(S181=""),S181,NOT(T181=""),T181,NOT(U181=""),U181,TRUE,"No error")</f>
        <v>Enter the number of homes on the 1_SetUp sheet</v>
      </c>
      <c r="W181" s="114" t="str">
        <f t="shared" ca="1" si="8"/>
        <v xml:space="preserve">The Borrower has not addressed the following error messages for Home ID 177: </v>
      </c>
    </row>
    <row r="182" spans="1:23">
      <c r="A182" s="123">
        <v>178</v>
      </c>
      <c r="B182" s="104" t="str" cm="1">
        <f t="array" ref="B182">_xlfn.IFS(AND(A182&gt;NumberOfPlots,ISBLANK(INDEX(PlotData,MATCH($A182,PlotNumber,0),MATCH(B$3,PlotTitles,0)))),"",ISNUMBER(INDEX(PlotData,MATCH($A182,PlotNumber,0),MATCH(B$3,PlotTitles,0)))=FALSE, $AB$5,TRUE,"")</f>
        <v/>
      </c>
      <c r="C182" s="104" t="str" cm="1">
        <f t="array" ref="C182">_xlfn.IFS(AND(A182&gt;NumberOfPlots,ISBLANK(INDEX(PlotData,MATCH($A182,PlotNumber,0),MATCH(B$3,PlotTitles,0)))),"",ISBLANK(INDEX(PlotData,MATCH($A182,PlotNumber,0),MATCH(C$3,PlotTitles,0))),$AB$6,TRUE,"")</f>
        <v/>
      </c>
      <c r="D182" s="104" t="str" cm="1">
        <f t="array" ref="D182">_xlfn.IFS(AND(A182&gt;NumberOfPlots,ISBLANK(INDEX(PlotData,MATCH($A182,PlotNumber,0),MATCH(B$3,PlotTitles,0)))),"",ISBLANK(INDEX(PlotData,MATCH($A182,PlotNumber,0),MATCH(D$3,PlotTitles,0))),$AB$7,TRUE,"")</f>
        <v/>
      </c>
      <c r="E182" s="104" t="str" cm="1">
        <f t="array" ref="E182">_xlfn.IFS(AND(A182&gt;NumberOfPlots,ISBLANK(INDEX(PlotData,MATCH($A182,PlotNumber,0),MATCH(B$3,PlotTitles,0)))),"",ISBLANK(INDEX(PlotData,MATCH($A182,PlotNumber,0),MATCH(E$3,PlotTitles,0))),$AB$8,TRUE,"")</f>
        <v/>
      </c>
      <c r="F182" s="104" t="str" cm="1">
        <f t="array" ref="F182">_xlfn.IFS(AND(A182&gt;NumberOfPlots,ISBLANK(INDEX(PlotData,MATCH($A182,PlotNumber,0),MATCH(B$3,PlotTitles,0)))),"",ISBLANK(INDEX(PlotData,MATCH($A182,PlotNumber,0),MATCH(F$3,PlotTitles,0))),$AB$9,TRUE,"")</f>
        <v/>
      </c>
      <c r="G182" s="104" t="str" cm="1">
        <f t="array" ref="G182">_xlfn.IFS(AND(A182&gt;NumberOfPlots,ISBLANK(INDEX(PlotData,MATCH($A182,PlotNumber,0),MATCH(B$3,PlotTitles,0)))),"",ISBLANK(INDEX(PlotData,MATCH($A182,PlotNumber,0),MATCH(G$3,PlotTitles,0))),$AB$10,TRUE,"")</f>
        <v/>
      </c>
      <c r="H182" s="104" t="str" cm="1">
        <f t="array" ref="H182">_xlfn.IFS(AND(A182&gt;NumberOfPlots,ISBLANK(INDEX(PlotData,MATCH($A182,PlotNumber,0),MATCH(B$3,PlotTitles,0)))),"",AND(ISBLANK(INDEX(PlotData,MATCH($A182,PlotNumber,0),MATCH(H$3,PlotTitles,0)))=FALSE,INDEX(PlotData,MATCH($A182,PlotNumber,0),MATCH(H$3,PlotTitles,0))&lt;500), $AB$11,TRUE,"")</f>
        <v/>
      </c>
      <c r="I182" s="104" t="str" cm="1">
        <f t="array" ref="I182">_xlfn.IFS(AND(A182&gt;NumberOfPlots,ISBLANK(INDEX(PlotData,MATCH($A182,PlotNumber,0),MATCH(B$3,PlotTitles,0)))),"",ISBLANK(INDEX(PlotData,MATCH($A182,PlotNumber,0),MATCH(I$3,PlotTitles,0))),$AB$12,TRUE,"")</f>
        <v/>
      </c>
      <c r="J182" s="104" t="str" cm="1">
        <f t="array" ref="J182">_xlfn.IFS(AND(A182&gt;NumberOfPlots,ISBLANK(INDEX(PlotData,MATCH($A182,PlotNumber,0),MATCH(B$3,PlotTitles,0)))),"",ISBLANK(INDEX(PlotData,MATCH($A182,PlotNumber,0),MATCH(J$3,PlotTitles,0))),$AB$13,TRUE,"")</f>
        <v/>
      </c>
      <c r="K182" s="182" t="str">
        <f t="shared" ca="1" si="6"/>
        <v/>
      </c>
      <c r="L182" s="104" t="str" cm="1">
        <f t="array" ref="L182">_xlfn.IFS(OR(ISBLANK(StartDateMonth),ISBLANK(StartDateYear)),"",AND(A182&gt;NumberOfPlots,ISBLANK(INDEX(PlotData,MATCH($A182,PlotNumber,0),MATCH(B$3,PlotTitles,0)))),"",ISBLANK(INDEX(PlotData,MATCH($A182,PlotNumber,0),MATCH(I$3,PlotTitles,0))),"",(DATEVALUE(INDEX(PlotData,MATCH($A182,PlotNumber,0),MATCH(I$3,PlotTitles,0))&amp;INDEX(PlotData,MATCH($A182,PlotNumber,0),MATCH(J$3,PlotTitles,0))))&lt;DATEVALUE(StartDateMonth&amp;StartDateYear),$AB$15,TRUE,"")</f>
        <v/>
      </c>
      <c r="M182" s="104" t="str" cm="1">
        <f t="array" ref="M182">_xlfn.IFS(OR(ISBLANK(StartDateMonth),ISBLANK(StartDateYear)),"",AND(A182&gt;NumberOfPlots,ISBLANK(INDEX(PlotData,MATCH($A182,PlotNumber,0),MATCH(B$3,PlotTitles,0)))),"",ISBLANK(INDEX(PlotData,MATCH($A182,PlotNumber,0),MATCH(I$3,PlotTitles,0))),"",CompletionMonth="","",(DATEVALUE(INDEX(PlotData,MATCH($A182,PlotNumber,0),MATCH(I$3,PlotTitles,0))&amp;INDEX(PlotData,MATCH($A182,PlotNumber,0),MATCH(J$3,PlotTitles,0))))&gt;(DATEVALUE(CompletionMonth&amp;CompletionYear)),$AB$16,TRUE,"")</f>
        <v/>
      </c>
      <c r="N182" s="104" t="str" cm="1">
        <f t="array" ref="N182">_xlfn.IFS(AND(A182&gt;NumberOfPlots,ISBLANK(INDEX(PlotData,MATCH($A182,PlotNumber,0),MATCH(B$3,PlotTitles,0)))),"",ISBLANK(INDEX(PlotData,MATCH($A182,PlotNumber,0),MATCH(N$3,PlotTitles,0))),$AB$17,TRUE,"")</f>
        <v/>
      </c>
      <c r="O182" s="104" t="str" cm="1">
        <f t="array" ref="O182">_xlfn.IFS(AND(A182&gt;NumberOfPlots,ISBLANK(INDEX(PlotData,MATCH($A182,PlotNumber,0),MATCH(B$3,PlotTitles,0)))),"",ISBLANK(INDEX(PlotData,MATCH($A182,PlotNumber,0),MATCH(O$3,PlotTitles,0))),$AB$18,TRUE,"")</f>
        <v/>
      </c>
      <c r="P182" s="182" t="str">
        <f t="shared" ca="1" si="7"/>
        <v/>
      </c>
      <c r="Q182" s="104" t="str" cm="1">
        <f t="array" ref="Q182">_xlfn.IFS(AND(A182&gt;NumberOfPlots,ISBLANK(INDEX(PlotData,MATCH($A182,PlotNumber,0),MATCH(B$3,PlotTitles,0)))),"",ISBLANK(INDEX(PlotData,MATCH($A182,PlotNumber,0),MATCH(N$3,PlotTitles,0))),"",(DATEVALUE(INDEX(PlotData,MATCH($A182,PlotNumber,0),MATCH(N$3,PlotTitles,0))&amp;INDEX(PlotData,MATCH($A182,PlotNumber,0),MATCH(O$3,PlotTitles,0))))&lt;(DATEVALUE(INDEX(PlotData,MATCH($A182,PlotNumber,0),MATCH(I$3,PlotTitles,0))&amp;INDEX(PlotData,MATCH($A182,PlotNumber,0),MATCH(J$3,PlotTitles,0)))),$AB$20,TRUE,"")</f>
        <v/>
      </c>
      <c r="R182" s="104" t="str" cm="1">
        <f t="array" ref="R182">_xlfn.IFS(OR(ISBLANK(StartDateMonth),ISBLANK(StartDateYear)),"",AND(A182&gt;NumberOfPlots,ISBLANK(INDEX(PlotData,MATCH($A182,PlotNumber,0),MATCH(B$3,PlotTitles,0)))),"",ISBLANK(INDEX(PlotData,MATCH($A182,PlotNumber,0),MATCH(N$3,PlotTitles,0))),"",CompletionMonth="","",(DATEVALUE(INDEX(PlotData,MATCH($A182,PlotNumber,0),MATCH(N$3,PlotTitles,0))&amp;INDEX(PlotData,MATCH($A182,PlotNumber,0),MATCH(O$3,PlotTitles,0))))&gt;(DATEVALUE(CompletionMonth&amp;CompletionYear)),$AB$21,TRUE,"")</f>
        <v/>
      </c>
      <c r="S182" s="104" t="str" cm="1">
        <f t="array" ref="S182">_xlfn.IFS(AND(A182&gt;NumberOfPlots,ISBLANK(INDEX(PlotData,MATCH($A182,PlotNumber,0),MATCH(B$3,PlotTitles,0)))),"",OR(AND(INDEX(PlotData,MATCH($A182,PlotNumber,0),MATCH("Tenure",PlotTitles,0))="Open market housing",INDEX(PlotData,MATCH($A182,PlotNumber,0),MATCH("Tenure detail",PlotTitles,0))="Private rented sector"),INDEX(PlotData,MATCH($A182,PlotNumber,0),MATCH("Tenure",PlotTitles,0))="Affordable rent"),"",ISNUMBER(INDEX(PlotData,MATCH($A182,PlotNumber,0),MATCH(S$3,PlotTitles,0)))=FALSE, $AB$22,TRUE,"")</f>
        <v/>
      </c>
      <c r="T182" s="104" t="str" cm="1">
        <f t="array" ref="T182">_xlfn.IFS(AND(A182&gt;NumberOfPlots,ISBLANK(INDEX(PlotData,MATCH($A182,PlotNumber,0),MATCH(B$3,PlotTitles,0)))),"",OR(AND(INDEX(PlotData,MATCH($A182,PlotNumber,0),MATCH("Tenure",PlotTitles,0))="Open market housing",INDEX(PlotData,MATCH($A182,PlotNumber,0),MATCH("Tenure detail",PlotTitles,0))="Private rented sector"),INDEX(PlotData,MATCH($A182,PlotNumber,0),MATCH("Tenure",PlotTitles,0))="Affordable rent"),"",INDEX(PlotData,MATCH($A182,PlotNumber,0),MATCH(S$3,PlotTitles,0))&lt;10000, $AB$23,TRUE,"")</f>
        <v/>
      </c>
      <c r="U182" s="104" t="str" cm="1">
        <f t="array" ref="U182">_xlfn.IFS(AND(A182&gt;NumberOfPlots,ISBLANK(INDEX(PlotData,MATCH($A182,PlotNumber,0),MATCH(B$3,PlotTitles,0)))),"",NOT(OR(AND(INDEX(PlotData,MATCH($A182,PlotNumber,0),MATCH("Tenure",PlotTitles,0))="Open market housing",INDEX(PlotData,MATCH($A182,PlotNumber,0),MATCH("Tenure detail",PlotTitles,0))="Private rented sector"),INDEX(PlotData,MATCH($A182,PlotNumber,0),MATCH("Tenure",PlotTitles,0))="Affordable rent")),"",NOT(INDEX(PlotData,MATCH($A182,PlotNumber,0),MATCH(S$3,PlotTitles,0))=0), $AB$24,TRUE,"")</f>
        <v/>
      </c>
      <c r="V182" s="114" t="str" cm="1">
        <f t="array" aca="1" ref="V182" ca="1">_xlfn.IFS(ISBLANK(NumberOfPlots),"Enter the number of homes on the 1_SetUp sheet",AND(A182&gt;NumberOfPlots,ISBLANK(INDEX(PlotData,MATCH($A182,PlotNumber,0),MATCH(B$3,PlotTitles,0)))),"No error",NOT(B182=""),B182,NOT(C182=""),C182,NOT(D182=""),D182,NOT(E182=""),E182,NOT(F182=""),F182,NOT(G182=""),G182,NOT(H182=""),H182,NOT(I182=""),I182,NOT(J182=""),J182,NOT(K182=""),K182,NOT(L182=""),L182,NOT(M182=""),M182,NOT(N182=""),N182,NOT(O182=""),O182,NOT(P182=""),P182,NOT(Q182=""),Q182,NOT(R182=""),R182,NOT(S182=""),S182,NOT(T182=""),T182,NOT(U182=""),U182,TRUE,"No error")</f>
        <v>Enter the number of homes on the 1_SetUp sheet</v>
      </c>
      <c r="W182" s="114" t="str">
        <f t="shared" ca="1" si="8"/>
        <v xml:space="preserve">The Borrower has not addressed the following error messages for Home ID 178: </v>
      </c>
    </row>
    <row r="183" spans="1:23">
      <c r="A183" s="123">
        <v>179</v>
      </c>
      <c r="B183" s="104" t="str" cm="1">
        <f t="array" ref="B183">_xlfn.IFS(AND(A183&gt;NumberOfPlots,ISBLANK(INDEX(PlotData,MATCH($A183,PlotNumber,0),MATCH(B$3,PlotTitles,0)))),"",ISNUMBER(INDEX(PlotData,MATCH($A183,PlotNumber,0),MATCH(B$3,PlotTitles,0)))=FALSE, $AB$5,TRUE,"")</f>
        <v/>
      </c>
      <c r="C183" s="104" t="str" cm="1">
        <f t="array" ref="C183">_xlfn.IFS(AND(A183&gt;NumberOfPlots,ISBLANK(INDEX(PlotData,MATCH($A183,PlotNumber,0),MATCH(B$3,PlotTitles,0)))),"",ISBLANK(INDEX(PlotData,MATCH($A183,PlotNumber,0),MATCH(C$3,PlotTitles,0))),$AB$6,TRUE,"")</f>
        <v/>
      </c>
      <c r="D183" s="104" t="str" cm="1">
        <f t="array" ref="D183">_xlfn.IFS(AND(A183&gt;NumberOfPlots,ISBLANK(INDEX(PlotData,MATCH($A183,PlotNumber,0),MATCH(B$3,PlotTitles,0)))),"",ISBLANK(INDEX(PlotData,MATCH($A183,PlotNumber,0),MATCH(D$3,PlotTitles,0))),$AB$7,TRUE,"")</f>
        <v/>
      </c>
      <c r="E183" s="104" t="str" cm="1">
        <f t="array" ref="E183">_xlfn.IFS(AND(A183&gt;NumberOfPlots,ISBLANK(INDEX(PlotData,MATCH($A183,PlotNumber,0),MATCH(B$3,PlotTitles,0)))),"",ISBLANK(INDEX(PlotData,MATCH($A183,PlotNumber,0),MATCH(E$3,PlotTitles,0))),$AB$8,TRUE,"")</f>
        <v/>
      </c>
      <c r="F183" s="104" t="str" cm="1">
        <f t="array" ref="F183">_xlfn.IFS(AND(A183&gt;NumberOfPlots,ISBLANK(INDEX(PlotData,MATCH($A183,PlotNumber,0),MATCH(B$3,PlotTitles,0)))),"",ISBLANK(INDEX(PlotData,MATCH($A183,PlotNumber,0),MATCH(F$3,PlotTitles,0))),$AB$9,TRUE,"")</f>
        <v/>
      </c>
      <c r="G183" s="104" t="str" cm="1">
        <f t="array" ref="G183">_xlfn.IFS(AND(A183&gt;NumberOfPlots,ISBLANK(INDEX(PlotData,MATCH($A183,PlotNumber,0),MATCH(B$3,PlotTitles,0)))),"",ISBLANK(INDEX(PlotData,MATCH($A183,PlotNumber,0),MATCH(G$3,PlotTitles,0))),$AB$10,TRUE,"")</f>
        <v/>
      </c>
      <c r="H183" s="104" t="str" cm="1">
        <f t="array" ref="H183">_xlfn.IFS(AND(A183&gt;NumberOfPlots,ISBLANK(INDEX(PlotData,MATCH($A183,PlotNumber,0),MATCH(B$3,PlotTitles,0)))),"",AND(ISBLANK(INDEX(PlotData,MATCH($A183,PlotNumber,0),MATCH(H$3,PlotTitles,0)))=FALSE,INDEX(PlotData,MATCH($A183,PlotNumber,0),MATCH(H$3,PlotTitles,0))&lt;500), $AB$11,TRUE,"")</f>
        <v/>
      </c>
      <c r="I183" s="104" t="str" cm="1">
        <f t="array" ref="I183">_xlfn.IFS(AND(A183&gt;NumberOfPlots,ISBLANK(INDEX(PlotData,MATCH($A183,PlotNumber,0),MATCH(B$3,PlotTitles,0)))),"",ISBLANK(INDEX(PlotData,MATCH($A183,PlotNumber,0),MATCH(I$3,PlotTitles,0))),$AB$12,TRUE,"")</f>
        <v/>
      </c>
      <c r="J183" s="104" t="str" cm="1">
        <f t="array" ref="J183">_xlfn.IFS(AND(A183&gt;NumberOfPlots,ISBLANK(INDEX(PlotData,MATCH($A183,PlotNumber,0),MATCH(B$3,PlotTitles,0)))),"",ISBLANK(INDEX(PlotData,MATCH($A183,PlotNumber,0),MATCH(J$3,PlotTitles,0))),$AB$13,TRUE,"")</f>
        <v/>
      </c>
      <c r="K183" s="182" t="str">
        <f t="shared" ca="1" si="6"/>
        <v/>
      </c>
      <c r="L183" s="104" t="str" cm="1">
        <f t="array" ref="L183">_xlfn.IFS(OR(ISBLANK(StartDateMonth),ISBLANK(StartDateYear)),"",AND(A183&gt;NumberOfPlots,ISBLANK(INDEX(PlotData,MATCH($A183,PlotNumber,0),MATCH(B$3,PlotTitles,0)))),"",ISBLANK(INDEX(PlotData,MATCH($A183,PlotNumber,0),MATCH(I$3,PlotTitles,0))),"",(DATEVALUE(INDEX(PlotData,MATCH($A183,PlotNumber,0),MATCH(I$3,PlotTitles,0))&amp;INDEX(PlotData,MATCH($A183,PlotNumber,0),MATCH(J$3,PlotTitles,0))))&lt;DATEVALUE(StartDateMonth&amp;StartDateYear),$AB$15,TRUE,"")</f>
        <v/>
      </c>
      <c r="M183" s="104" t="str" cm="1">
        <f t="array" ref="M183">_xlfn.IFS(OR(ISBLANK(StartDateMonth),ISBLANK(StartDateYear)),"",AND(A183&gt;NumberOfPlots,ISBLANK(INDEX(PlotData,MATCH($A183,PlotNumber,0),MATCH(B$3,PlotTitles,0)))),"",ISBLANK(INDEX(PlotData,MATCH($A183,PlotNumber,0),MATCH(I$3,PlotTitles,0))),"",CompletionMonth="","",(DATEVALUE(INDEX(PlotData,MATCH($A183,PlotNumber,0),MATCH(I$3,PlotTitles,0))&amp;INDEX(PlotData,MATCH($A183,PlotNumber,0),MATCH(J$3,PlotTitles,0))))&gt;(DATEVALUE(CompletionMonth&amp;CompletionYear)),$AB$16,TRUE,"")</f>
        <v/>
      </c>
      <c r="N183" s="104" t="str" cm="1">
        <f t="array" ref="N183">_xlfn.IFS(AND(A183&gt;NumberOfPlots,ISBLANK(INDEX(PlotData,MATCH($A183,PlotNumber,0),MATCH(B$3,PlotTitles,0)))),"",ISBLANK(INDEX(PlotData,MATCH($A183,PlotNumber,0),MATCH(N$3,PlotTitles,0))),$AB$17,TRUE,"")</f>
        <v/>
      </c>
      <c r="O183" s="104" t="str" cm="1">
        <f t="array" ref="O183">_xlfn.IFS(AND(A183&gt;NumberOfPlots,ISBLANK(INDEX(PlotData,MATCH($A183,PlotNumber,0),MATCH(B$3,PlotTitles,0)))),"",ISBLANK(INDEX(PlotData,MATCH($A183,PlotNumber,0),MATCH(O$3,PlotTitles,0))),$AB$18,TRUE,"")</f>
        <v/>
      </c>
      <c r="P183" s="182" t="str">
        <f t="shared" ca="1" si="7"/>
        <v/>
      </c>
      <c r="Q183" s="104" t="str" cm="1">
        <f t="array" ref="Q183">_xlfn.IFS(AND(A183&gt;NumberOfPlots,ISBLANK(INDEX(PlotData,MATCH($A183,PlotNumber,0),MATCH(B$3,PlotTitles,0)))),"",ISBLANK(INDEX(PlotData,MATCH($A183,PlotNumber,0),MATCH(N$3,PlotTitles,0))),"",(DATEVALUE(INDEX(PlotData,MATCH($A183,PlotNumber,0),MATCH(N$3,PlotTitles,0))&amp;INDEX(PlotData,MATCH($A183,PlotNumber,0),MATCH(O$3,PlotTitles,0))))&lt;(DATEVALUE(INDEX(PlotData,MATCH($A183,PlotNumber,0),MATCH(I$3,PlotTitles,0))&amp;INDEX(PlotData,MATCH($A183,PlotNumber,0),MATCH(J$3,PlotTitles,0)))),$AB$20,TRUE,"")</f>
        <v/>
      </c>
      <c r="R183" s="104" t="str" cm="1">
        <f t="array" ref="R183">_xlfn.IFS(OR(ISBLANK(StartDateMonth),ISBLANK(StartDateYear)),"",AND(A183&gt;NumberOfPlots,ISBLANK(INDEX(PlotData,MATCH($A183,PlotNumber,0),MATCH(B$3,PlotTitles,0)))),"",ISBLANK(INDEX(PlotData,MATCH($A183,PlotNumber,0),MATCH(N$3,PlotTitles,0))),"",CompletionMonth="","",(DATEVALUE(INDEX(PlotData,MATCH($A183,PlotNumber,0),MATCH(N$3,PlotTitles,0))&amp;INDEX(PlotData,MATCH($A183,PlotNumber,0),MATCH(O$3,PlotTitles,0))))&gt;(DATEVALUE(CompletionMonth&amp;CompletionYear)),$AB$21,TRUE,"")</f>
        <v/>
      </c>
      <c r="S183" s="104" t="str" cm="1">
        <f t="array" ref="S183">_xlfn.IFS(AND(A183&gt;NumberOfPlots,ISBLANK(INDEX(PlotData,MATCH($A183,PlotNumber,0),MATCH(B$3,PlotTitles,0)))),"",OR(AND(INDEX(PlotData,MATCH($A183,PlotNumber,0),MATCH("Tenure",PlotTitles,0))="Open market housing",INDEX(PlotData,MATCH($A183,PlotNumber,0),MATCH("Tenure detail",PlotTitles,0))="Private rented sector"),INDEX(PlotData,MATCH($A183,PlotNumber,0),MATCH("Tenure",PlotTitles,0))="Affordable rent"),"",ISNUMBER(INDEX(PlotData,MATCH($A183,PlotNumber,0),MATCH(S$3,PlotTitles,0)))=FALSE, $AB$22,TRUE,"")</f>
        <v/>
      </c>
      <c r="T183" s="104" t="str" cm="1">
        <f t="array" ref="T183">_xlfn.IFS(AND(A183&gt;NumberOfPlots,ISBLANK(INDEX(PlotData,MATCH($A183,PlotNumber,0),MATCH(B$3,PlotTitles,0)))),"",OR(AND(INDEX(PlotData,MATCH($A183,PlotNumber,0),MATCH("Tenure",PlotTitles,0))="Open market housing",INDEX(PlotData,MATCH($A183,PlotNumber,0),MATCH("Tenure detail",PlotTitles,0))="Private rented sector"),INDEX(PlotData,MATCH($A183,PlotNumber,0),MATCH("Tenure",PlotTitles,0))="Affordable rent"),"",INDEX(PlotData,MATCH($A183,PlotNumber,0),MATCH(S$3,PlotTitles,0))&lt;10000, $AB$23,TRUE,"")</f>
        <v/>
      </c>
      <c r="U183" s="104" t="str" cm="1">
        <f t="array" ref="U183">_xlfn.IFS(AND(A183&gt;NumberOfPlots,ISBLANK(INDEX(PlotData,MATCH($A183,PlotNumber,0),MATCH(B$3,PlotTitles,0)))),"",NOT(OR(AND(INDEX(PlotData,MATCH($A183,PlotNumber,0),MATCH("Tenure",PlotTitles,0))="Open market housing",INDEX(PlotData,MATCH($A183,PlotNumber,0),MATCH("Tenure detail",PlotTitles,0))="Private rented sector"),INDEX(PlotData,MATCH($A183,PlotNumber,0),MATCH("Tenure",PlotTitles,0))="Affordable rent")),"",NOT(INDEX(PlotData,MATCH($A183,PlotNumber,0),MATCH(S$3,PlotTitles,0))=0), $AB$24,TRUE,"")</f>
        <v/>
      </c>
      <c r="V183" s="114" t="str" cm="1">
        <f t="array" aca="1" ref="V183" ca="1">_xlfn.IFS(ISBLANK(NumberOfPlots),"Enter the number of homes on the 1_SetUp sheet",AND(A183&gt;NumberOfPlots,ISBLANK(INDEX(PlotData,MATCH($A183,PlotNumber,0),MATCH(B$3,PlotTitles,0)))),"No error",NOT(B183=""),B183,NOT(C183=""),C183,NOT(D183=""),D183,NOT(E183=""),E183,NOT(F183=""),F183,NOT(G183=""),G183,NOT(H183=""),H183,NOT(I183=""),I183,NOT(J183=""),J183,NOT(K183=""),K183,NOT(L183=""),L183,NOT(M183=""),M183,NOT(N183=""),N183,NOT(O183=""),O183,NOT(P183=""),P183,NOT(Q183=""),Q183,NOT(R183=""),R183,NOT(S183=""),S183,NOT(T183=""),T183,NOT(U183=""),U183,TRUE,"No error")</f>
        <v>Enter the number of homes on the 1_SetUp sheet</v>
      </c>
      <c r="W183" s="114" t="str">
        <f t="shared" ca="1" si="8"/>
        <v xml:space="preserve">The Borrower has not addressed the following error messages for Home ID 179: </v>
      </c>
    </row>
    <row r="184" spans="1:23">
      <c r="A184" s="123">
        <v>180</v>
      </c>
      <c r="B184" s="104" t="str" cm="1">
        <f t="array" ref="B184">_xlfn.IFS(AND(A184&gt;NumberOfPlots,ISBLANK(INDEX(PlotData,MATCH($A184,PlotNumber,0),MATCH(B$3,PlotTitles,0)))),"",ISNUMBER(INDEX(PlotData,MATCH($A184,PlotNumber,0),MATCH(B$3,PlotTitles,0)))=FALSE, $AB$5,TRUE,"")</f>
        <v/>
      </c>
      <c r="C184" s="104" t="str" cm="1">
        <f t="array" ref="C184">_xlfn.IFS(AND(A184&gt;NumberOfPlots,ISBLANK(INDEX(PlotData,MATCH($A184,PlotNumber,0),MATCH(B$3,PlotTitles,0)))),"",ISBLANK(INDEX(PlotData,MATCH($A184,PlotNumber,0),MATCH(C$3,PlotTitles,0))),$AB$6,TRUE,"")</f>
        <v/>
      </c>
      <c r="D184" s="104" t="str" cm="1">
        <f t="array" ref="D184">_xlfn.IFS(AND(A184&gt;NumberOfPlots,ISBLANK(INDEX(PlotData,MATCH($A184,PlotNumber,0),MATCH(B$3,PlotTitles,0)))),"",ISBLANK(INDEX(PlotData,MATCH($A184,PlotNumber,0),MATCH(D$3,PlotTitles,0))),$AB$7,TRUE,"")</f>
        <v/>
      </c>
      <c r="E184" s="104" t="str" cm="1">
        <f t="array" ref="E184">_xlfn.IFS(AND(A184&gt;NumberOfPlots,ISBLANK(INDEX(PlotData,MATCH($A184,PlotNumber,0),MATCH(B$3,PlotTitles,0)))),"",ISBLANK(INDEX(PlotData,MATCH($A184,PlotNumber,0),MATCH(E$3,PlotTitles,0))),$AB$8,TRUE,"")</f>
        <v/>
      </c>
      <c r="F184" s="104" t="str" cm="1">
        <f t="array" ref="F184">_xlfn.IFS(AND(A184&gt;NumberOfPlots,ISBLANK(INDEX(PlotData,MATCH($A184,PlotNumber,0),MATCH(B$3,PlotTitles,0)))),"",ISBLANK(INDEX(PlotData,MATCH($A184,PlotNumber,0),MATCH(F$3,PlotTitles,0))),$AB$9,TRUE,"")</f>
        <v/>
      </c>
      <c r="G184" s="104" t="str" cm="1">
        <f t="array" ref="G184">_xlfn.IFS(AND(A184&gt;NumberOfPlots,ISBLANK(INDEX(PlotData,MATCH($A184,PlotNumber,0),MATCH(B$3,PlotTitles,0)))),"",ISBLANK(INDEX(PlotData,MATCH($A184,PlotNumber,0),MATCH(G$3,PlotTitles,0))),$AB$10,TRUE,"")</f>
        <v/>
      </c>
      <c r="H184" s="104" t="str" cm="1">
        <f t="array" ref="H184">_xlfn.IFS(AND(A184&gt;NumberOfPlots,ISBLANK(INDEX(PlotData,MATCH($A184,PlotNumber,0),MATCH(B$3,PlotTitles,0)))),"",AND(ISBLANK(INDEX(PlotData,MATCH($A184,PlotNumber,0),MATCH(H$3,PlotTitles,0)))=FALSE,INDEX(PlotData,MATCH($A184,PlotNumber,0),MATCH(H$3,PlotTitles,0))&lt;500), $AB$11,TRUE,"")</f>
        <v/>
      </c>
      <c r="I184" s="104" t="str" cm="1">
        <f t="array" ref="I184">_xlfn.IFS(AND(A184&gt;NumberOfPlots,ISBLANK(INDEX(PlotData,MATCH($A184,PlotNumber,0),MATCH(B$3,PlotTitles,0)))),"",ISBLANK(INDEX(PlotData,MATCH($A184,PlotNumber,0),MATCH(I$3,PlotTitles,0))),$AB$12,TRUE,"")</f>
        <v/>
      </c>
      <c r="J184" s="104" t="str" cm="1">
        <f t="array" ref="J184">_xlfn.IFS(AND(A184&gt;NumberOfPlots,ISBLANK(INDEX(PlotData,MATCH($A184,PlotNumber,0),MATCH(B$3,PlotTitles,0)))),"",ISBLANK(INDEX(PlotData,MATCH($A184,PlotNumber,0),MATCH(J$3,PlotTitles,0))),$AB$13,TRUE,"")</f>
        <v/>
      </c>
      <c r="K184" s="182" t="str">
        <f t="shared" ca="1" si="6"/>
        <v/>
      </c>
      <c r="L184" s="104" t="str" cm="1">
        <f t="array" ref="L184">_xlfn.IFS(OR(ISBLANK(StartDateMonth),ISBLANK(StartDateYear)),"",AND(A184&gt;NumberOfPlots,ISBLANK(INDEX(PlotData,MATCH($A184,PlotNumber,0),MATCH(B$3,PlotTitles,0)))),"",ISBLANK(INDEX(PlotData,MATCH($A184,PlotNumber,0),MATCH(I$3,PlotTitles,0))),"",(DATEVALUE(INDEX(PlotData,MATCH($A184,PlotNumber,0),MATCH(I$3,PlotTitles,0))&amp;INDEX(PlotData,MATCH($A184,PlotNumber,0),MATCH(J$3,PlotTitles,0))))&lt;DATEVALUE(StartDateMonth&amp;StartDateYear),$AB$15,TRUE,"")</f>
        <v/>
      </c>
      <c r="M184" s="104" t="str" cm="1">
        <f t="array" ref="M184">_xlfn.IFS(OR(ISBLANK(StartDateMonth),ISBLANK(StartDateYear)),"",AND(A184&gt;NumberOfPlots,ISBLANK(INDEX(PlotData,MATCH($A184,PlotNumber,0),MATCH(B$3,PlotTitles,0)))),"",ISBLANK(INDEX(PlotData,MATCH($A184,PlotNumber,0),MATCH(I$3,PlotTitles,0))),"",CompletionMonth="","",(DATEVALUE(INDEX(PlotData,MATCH($A184,PlotNumber,0),MATCH(I$3,PlotTitles,0))&amp;INDEX(PlotData,MATCH($A184,PlotNumber,0),MATCH(J$3,PlotTitles,0))))&gt;(DATEVALUE(CompletionMonth&amp;CompletionYear)),$AB$16,TRUE,"")</f>
        <v/>
      </c>
      <c r="N184" s="104" t="str" cm="1">
        <f t="array" ref="N184">_xlfn.IFS(AND(A184&gt;NumberOfPlots,ISBLANK(INDEX(PlotData,MATCH($A184,PlotNumber,0),MATCH(B$3,PlotTitles,0)))),"",ISBLANK(INDEX(PlotData,MATCH($A184,PlotNumber,0),MATCH(N$3,PlotTitles,0))),$AB$17,TRUE,"")</f>
        <v/>
      </c>
      <c r="O184" s="104" t="str" cm="1">
        <f t="array" ref="O184">_xlfn.IFS(AND(A184&gt;NumberOfPlots,ISBLANK(INDEX(PlotData,MATCH($A184,PlotNumber,0),MATCH(B$3,PlotTitles,0)))),"",ISBLANK(INDEX(PlotData,MATCH($A184,PlotNumber,0),MATCH(O$3,PlotTitles,0))),$AB$18,TRUE,"")</f>
        <v/>
      </c>
      <c r="P184" s="182" t="str">
        <f t="shared" ca="1" si="7"/>
        <v/>
      </c>
      <c r="Q184" s="104" t="str" cm="1">
        <f t="array" ref="Q184">_xlfn.IFS(AND(A184&gt;NumberOfPlots,ISBLANK(INDEX(PlotData,MATCH($A184,PlotNumber,0),MATCH(B$3,PlotTitles,0)))),"",ISBLANK(INDEX(PlotData,MATCH($A184,PlotNumber,0),MATCH(N$3,PlotTitles,0))),"",(DATEVALUE(INDEX(PlotData,MATCH($A184,PlotNumber,0),MATCH(N$3,PlotTitles,0))&amp;INDEX(PlotData,MATCH($A184,PlotNumber,0),MATCH(O$3,PlotTitles,0))))&lt;(DATEVALUE(INDEX(PlotData,MATCH($A184,PlotNumber,0),MATCH(I$3,PlotTitles,0))&amp;INDEX(PlotData,MATCH($A184,PlotNumber,0),MATCH(J$3,PlotTitles,0)))),$AB$20,TRUE,"")</f>
        <v/>
      </c>
      <c r="R184" s="104" t="str" cm="1">
        <f t="array" ref="R184">_xlfn.IFS(OR(ISBLANK(StartDateMonth),ISBLANK(StartDateYear)),"",AND(A184&gt;NumberOfPlots,ISBLANK(INDEX(PlotData,MATCH($A184,PlotNumber,0),MATCH(B$3,PlotTitles,0)))),"",ISBLANK(INDEX(PlotData,MATCH($A184,PlotNumber,0),MATCH(N$3,PlotTitles,0))),"",CompletionMonth="","",(DATEVALUE(INDEX(PlotData,MATCH($A184,PlotNumber,0),MATCH(N$3,PlotTitles,0))&amp;INDEX(PlotData,MATCH($A184,PlotNumber,0),MATCH(O$3,PlotTitles,0))))&gt;(DATEVALUE(CompletionMonth&amp;CompletionYear)),$AB$21,TRUE,"")</f>
        <v/>
      </c>
      <c r="S184" s="104" t="str" cm="1">
        <f t="array" ref="S184">_xlfn.IFS(AND(A184&gt;NumberOfPlots,ISBLANK(INDEX(PlotData,MATCH($A184,PlotNumber,0),MATCH(B$3,PlotTitles,0)))),"",OR(AND(INDEX(PlotData,MATCH($A184,PlotNumber,0),MATCH("Tenure",PlotTitles,0))="Open market housing",INDEX(PlotData,MATCH($A184,PlotNumber,0),MATCH("Tenure detail",PlotTitles,0))="Private rented sector"),INDEX(PlotData,MATCH($A184,PlotNumber,0),MATCH("Tenure",PlotTitles,0))="Affordable rent"),"",ISNUMBER(INDEX(PlotData,MATCH($A184,PlotNumber,0),MATCH(S$3,PlotTitles,0)))=FALSE, $AB$22,TRUE,"")</f>
        <v/>
      </c>
      <c r="T184" s="104" t="str" cm="1">
        <f t="array" ref="T184">_xlfn.IFS(AND(A184&gt;NumberOfPlots,ISBLANK(INDEX(PlotData,MATCH($A184,PlotNumber,0),MATCH(B$3,PlotTitles,0)))),"",OR(AND(INDEX(PlotData,MATCH($A184,PlotNumber,0),MATCH("Tenure",PlotTitles,0))="Open market housing",INDEX(PlotData,MATCH($A184,PlotNumber,0),MATCH("Tenure detail",PlotTitles,0))="Private rented sector"),INDEX(PlotData,MATCH($A184,PlotNumber,0),MATCH("Tenure",PlotTitles,0))="Affordable rent"),"",INDEX(PlotData,MATCH($A184,PlotNumber,0),MATCH(S$3,PlotTitles,0))&lt;10000, $AB$23,TRUE,"")</f>
        <v/>
      </c>
      <c r="U184" s="104" t="str" cm="1">
        <f t="array" ref="U184">_xlfn.IFS(AND(A184&gt;NumberOfPlots,ISBLANK(INDEX(PlotData,MATCH($A184,PlotNumber,0),MATCH(B$3,PlotTitles,0)))),"",NOT(OR(AND(INDEX(PlotData,MATCH($A184,PlotNumber,0),MATCH("Tenure",PlotTitles,0))="Open market housing",INDEX(PlotData,MATCH($A184,PlotNumber,0),MATCH("Tenure detail",PlotTitles,0))="Private rented sector"),INDEX(PlotData,MATCH($A184,PlotNumber,0),MATCH("Tenure",PlotTitles,0))="Affordable rent")),"",NOT(INDEX(PlotData,MATCH($A184,PlotNumber,0),MATCH(S$3,PlotTitles,0))=0), $AB$24,TRUE,"")</f>
        <v/>
      </c>
      <c r="V184" s="114" t="str" cm="1">
        <f t="array" aca="1" ref="V184" ca="1">_xlfn.IFS(ISBLANK(NumberOfPlots),"Enter the number of homes on the 1_SetUp sheet",AND(A184&gt;NumberOfPlots,ISBLANK(INDEX(PlotData,MATCH($A184,PlotNumber,0),MATCH(B$3,PlotTitles,0)))),"No error",NOT(B184=""),B184,NOT(C184=""),C184,NOT(D184=""),D184,NOT(E184=""),E184,NOT(F184=""),F184,NOT(G184=""),G184,NOT(H184=""),H184,NOT(I184=""),I184,NOT(J184=""),J184,NOT(K184=""),K184,NOT(L184=""),L184,NOT(M184=""),M184,NOT(N184=""),N184,NOT(O184=""),O184,NOT(P184=""),P184,NOT(Q184=""),Q184,NOT(R184=""),R184,NOT(S184=""),S184,NOT(T184=""),T184,NOT(U184=""),U184,TRUE,"No error")</f>
        <v>Enter the number of homes on the 1_SetUp sheet</v>
      </c>
      <c r="W184" s="114" t="str">
        <f t="shared" ca="1" si="8"/>
        <v xml:space="preserve">The Borrower has not addressed the following error messages for Home ID 180: </v>
      </c>
    </row>
    <row r="185" spans="1:23">
      <c r="A185" s="123">
        <v>181</v>
      </c>
      <c r="B185" s="104" t="str" cm="1">
        <f t="array" ref="B185">_xlfn.IFS(AND(A185&gt;NumberOfPlots,ISBLANK(INDEX(PlotData,MATCH($A185,PlotNumber,0),MATCH(B$3,PlotTitles,0)))),"",ISNUMBER(INDEX(PlotData,MATCH($A185,PlotNumber,0),MATCH(B$3,PlotTitles,0)))=FALSE, $AB$5,TRUE,"")</f>
        <v/>
      </c>
      <c r="C185" s="104" t="str" cm="1">
        <f t="array" ref="C185">_xlfn.IFS(AND(A185&gt;NumberOfPlots,ISBLANK(INDEX(PlotData,MATCH($A185,PlotNumber,0),MATCH(B$3,PlotTitles,0)))),"",ISBLANK(INDEX(PlotData,MATCH($A185,PlotNumber,0),MATCH(C$3,PlotTitles,0))),$AB$6,TRUE,"")</f>
        <v/>
      </c>
      <c r="D185" s="104" t="str" cm="1">
        <f t="array" ref="D185">_xlfn.IFS(AND(A185&gt;NumberOfPlots,ISBLANK(INDEX(PlotData,MATCH($A185,PlotNumber,0),MATCH(B$3,PlotTitles,0)))),"",ISBLANK(INDEX(PlotData,MATCH($A185,PlotNumber,0),MATCH(D$3,PlotTitles,0))),$AB$7,TRUE,"")</f>
        <v/>
      </c>
      <c r="E185" s="104" t="str" cm="1">
        <f t="array" ref="E185">_xlfn.IFS(AND(A185&gt;NumberOfPlots,ISBLANK(INDEX(PlotData,MATCH($A185,PlotNumber,0),MATCH(B$3,PlotTitles,0)))),"",ISBLANK(INDEX(PlotData,MATCH($A185,PlotNumber,0),MATCH(E$3,PlotTitles,0))),$AB$8,TRUE,"")</f>
        <v/>
      </c>
      <c r="F185" s="104" t="str" cm="1">
        <f t="array" ref="F185">_xlfn.IFS(AND(A185&gt;NumberOfPlots,ISBLANK(INDEX(PlotData,MATCH($A185,PlotNumber,0),MATCH(B$3,PlotTitles,0)))),"",ISBLANK(INDEX(PlotData,MATCH($A185,PlotNumber,0),MATCH(F$3,PlotTitles,0))),$AB$9,TRUE,"")</f>
        <v/>
      </c>
      <c r="G185" s="104" t="str" cm="1">
        <f t="array" ref="G185">_xlfn.IFS(AND(A185&gt;NumberOfPlots,ISBLANK(INDEX(PlotData,MATCH($A185,PlotNumber,0),MATCH(B$3,PlotTitles,0)))),"",ISBLANK(INDEX(PlotData,MATCH($A185,PlotNumber,0),MATCH(G$3,PlotTitles,0))),$AB$10,TRUE,"")</f>
        <v/>
      </c>
      <c r="H185" s="104" t="str" cm="1">
        <f t="array" ref="H185">_xlfn.IFS(AND(A185&gt;NumberOfPlots,ISBLANK(INDEX(PlotData,MATCH($A185,PlotNumber,0),MATCH(B$3,PlotTitles,0)))),"",AND(ISBLANK(INDEX(PlotData,MATCH($A185,PlotNumber,0),MATCH(H$3,PlotTitles,0)))=FALSE,INDEX(PlotData,MATCH($A185,PlotNumber,0),MATCH(H$3,PlotTitles,0))&lt;500), $AB$11,TRUE,"")</f>
        <v/>
      </c>
      <c r="I185" s="104" t="str" cm="1">
        <f t="array" ref="I185">_xlfn.IFS(AND(A185&gt;NumberOfPlots,ISBLANK(INDEX(PlotData,MATCH($A185,PlotNumber,0),MATCH(B$3,PlotTitles,0)))),"",ISBLANK(INDEX(PlotData,MATCH($A185,PlotNumber,0),MATCH(I$3,PlotTitles,0))),$AB$12,TRUE,"")</f>
        <v/>
      </c>
      <c r="J185" s="104" t="str" cm="1">
        <f t="array" ref="J185">_xlfn.IFS(AND(A185&gt;NumberOfPlots,ISBLANK(INDEX(PlotData,MATCH($A185,PlotNumber,0),MATCH(B$3,PlotTitles,0)))),"",ISBLANK(INDEX(PlotData,MATCH($A185,PlotNumber,0),MATCH(J$3,PlotTitles,0))),$AB$13,TRUE,"")</f>
        <v/>
      </c>
      <c r="K185" s="182" t="str">
        <f t="shared" ca="1" si="6"/>
        <v/>
      </c>
      <c r="L185" s="104" t="str" cm="1">
        <f t="array" ref="L185">_xlfn.IFS(OR(ISBLANK(StartDateMonth),ISBLANK(StartDateYear)),"",AND(A185&gt;NumberOfPlots,ISBLANK(INDEX(PlotData,MATCH($A185,PlotNumber,0),MATCH(B$3,PlotTitles,0)))),"",ISBLANK(INDEX(PlotData,MATCH($A185,PlotNumber,0),MATCH(I$3,PlotTitles,0))),"",(DATEVALUE(INDEX(PlotData,MATCH($A185,PlotNumber,0),MATCH(I$3,PlotTitles,0))&amp;INDEX(PlotData,MATCH($A185,PlotNumber,0),MATCH(J$3,PlotTitles,0))))&lt;DATEVALUE(StartDateMonth&amp;StartDateYear),$AB$15,TRUE,"")</f>
        <v/>
      </c>
      <c r="M185" s="104" t="str" cm="1">
        <f t="array" ref="M185">_xlfn.IFS(OR(ISBLANK(StartDateMonth),ISBLANK(StartDateYear)),"",AND(A185&gt;NumberOfPlots,ISBLANK(INDEX(PlotData,MATCH($A185,PlotNumber,0),MATCH(B$3,PlotTitles,0)))),"",ISBLANK(INDEX(PlotData,MATCH($A185,PlotNumber,0),MATCH(I$3,PlotTitles,0))),"",CompletionMonth="","",(DATEVALUE(INDEX(PlotData,MATCH($A185,PlotNumber,0),MATCH(I$3,PlotTitles,0))&amp;INDEX(PlotData,MATCH($A185,PlotNumber,0),MATCH(J$3,PlotTitles,0))))&gt;(DATEVALUE(CompletionMonth&amp;CompletionYear)),$AB$16,TRUE,"")</f>
        <v/>
      </c>
      <c r="N185" s="104" t="str" cm="1">
        <f t="array" ref="N185">_xlfn.IFS(AND(A185&gt;NumberOfPlots,ISBLANK(INDEX(PlotData,MATCH($A185,PlotNumber,0),MATCH(B$3,PlotTitles,0)))),"",ISBLANK(INDEX(PlotData,MATCH($A185,PlotNumber,0),MATCH(N$3,PlotTitles,0))),$AB$17,TRUE,"")</f>
        <v/>
      </c>
      <c r="O185" s="104" t="str" cm="1">
        <f t="array" ref="O185">_xlfn.IFS(AND(A185&gt;NumberOfPlots,ISBLANK(INDEX(PlotData,MATCH($A185,PlotNumber,0),MATCH(B$3,PlotTitles,0)))),"",ISBLANK(INDEX(PlotData,MATCH($A185,PlotNumber,0),MATCH(O$3,PlotTitles,0))),$AB$18,TRUE,"")</f>
        <v/>
      </c>
      <c r="P185" s="182" t="str">
        <f t="shared" ca="1" si="7"/>
        <v/>
      </c>
      <c r="Q185" s="104" t="str" cm="1">
        <f t="array" ref="Q185">_xlfn.IFS(AND(A185&gt;NumberOfPlots,ISBLANK(INDEX(PlotData,MATCH($A185,PlotNumber,0),MATCH(B$3,PlotTitles,0)))),"",ISBLANK(INDEX(PlotData,MATCH($A185,PlotNumber,0),MATCH(N$3,PlotTitles,0))),"",(DATEVALUE(INDEX(PlotData,MATCH($A185,PlotNumber,0),MATCH(N$3,PlotTitles,0))&amp;INDEX(PlotData,MATCH($A185,PlotNumber,0),MATCH(O$3,PlotTitles,0))))&lt;(DATEVALUE(INDEX(PlotData,MATCH($A185,PlotNumber,0),MATCH(I$3,PlotTitles,0))&amp;INDEX(PlotData,MATCH($A185,PlotNumber,0),MATCH(J$3,PlotTitles,0)))),$AB$20,TRUE,"")</f>
        <v/>
      </c>
      <c r="R185" s="104" t="str" cm="1">
        <f t="array" ref="R185">_xlfn.IFS(OR(ISBLANK(StartDateMonth),ISBLANK(StartDateYear)),"",AND(A185&gt;NumberOfPlots,ISBLANK(INDEX(PlotData,MATCH($A185,PlotNumber,0),MATCH(B$3,PlotTitles,0)))),"",ISBLANK(INDEX(PlotData,MATCH($A185,PlotNumber,0),MATCH(N$3,PlotTitles,0))),"",CompletionMonth="","",(DATEVALUE(INDEX(PlotData,MATCH($A185,PlotNumber,0),MATCH(N$3,PlotTitles,0))&amp;INDEX(PlotData,MATCH($A185,PlotNumber,0),MATCH(O$3,PlotTitles,0))))&gt;(DATEVALUE(CompletionMonth&amp;CompletionYear)),$AB$21,TRUE,"")</f>
        <v/>
      </c>
      <c r="S185" s="104" t="str" cm="1">
        <f t="array" ref="S185">_xlfn.IFS(AND(A185&gt;NumberOfPlots,ISBLANK(INDEX(PlotData,MATCH($A185,PlotNumber,0),MATCH(B$3,PlotTitles,0)))),"",OR(AND(INDEX(PlotData,MATCH($A185,PlotNumber,0),MATCH("Tenure",PlotTitles,0))="Open market housing",INDEX(PlotData,MATCH($A185,PlotNumber,0),MATCH("Tenure detail",PlotTitles,0))="Private rented sector"),INDEX(PlotData,MATCH($A185,PlotNumber,0),MATCH("Tenure",PlotTitles,0))="Affordable rent"),"",ISNUMBER(INDEX(PlotData,MATCH($A185,PlotNumber,0),MATCH(S$3,PlotTitles,0)))=FALSE, $AB$22,TRUE,"")</f>
        <v/>
      </c>
      <c r="T185" s="104" t="str" cm="1">
        <f t="array" ref="T185">_xlfn.IFS(AND(A185&gt;NumberOfPlots,ISBLANK(INDEX(PlotData,MATCH($A185,PlotNumber,0),MATCH(B$3,PlotTitles,0)))),"",OR(AND(INDEX(PlotData,MATCH($A185,PlotNumber,0),MATCH("Tenure",PlotTitles,0))="Open market housing",INDEX(PlotData,MATCH($A185,PlotNumber,0),MATCH("Tenure detail",PlotTitles,0))="Private rented sector"),INDEX(PlotData,MATCH($A185,PlotNumber,0),MATCH("Tenure",PlotTitles,0))="Affordable rent"),"",INDEX(PlotData,MATCH($A185,PlotNumber,0),MATCH(S$3,PlotTitles,0))&lt;10000, $AB$23,TRUE,"")</f>
        <v/>
      </c>
      <c r="U185" s="104" t="str" cm="1">
        <f t="array" ref="U185">_xlfn.IFS(AND(A185&gt;NumberOfPlots,ISBLANK(INDEX(PlotData,MATCH($A185,PlotNumber,0),MATCH(B$3,PlotTitles,0)))),"",NOT(OR(AND(INDEX(PlotData,MATCH($A185,PlotNumber,0),MATCH("Tenure",PlotTitles,0))="Open market housing",INDEX(PlotData,MATCH($A185,PlotNumber,0),MATCH("Tenure detail",PlotTitles,0))="Private rented sector"),INDEX(PlotData,MATCH($A185,PlotNumber,0),MATCH("Tenure",PlotTitles,0))="Affordable rent")),"",NOT(INDEX(PlotData,MATCH($A185,PlotNumber,0),MATCH(S$3,PlotTitles,0))=0), $AB$24,TRUE,"")</f>
        <v/>
      </c>
      <c r="V185" s="114" t="str" cm="1">
        <f t="array" aca="1" ref="V185" ca="1">_xlfn.IFS(ISBLANK(NumberOfPlots),"Enter the number of homes on the 1_SetUp sheet",AND(A185&gt;NumberOfPlots,ISBLANK(INDEX(PlotData,MATCH($A185,PlotNumber,0),MATCH(B$3,PlotTitles,0)))),"No error",NOT(B185=""),B185,NOT(C185=""),C185,NOT(D185=""),D185,NOT(E185=""),E185,NOT(F185=""),F185,NOT(G185=""),G185,NOT(H185=""),H185,NOT(I185=""),I185,NOT(J185=""),J185,NOT(K185=""),K185,NOT(L185=""),L185,NOT(M185=""),M185,NOT(N185=""),N185,NOT(O185=""),O185,NOT(P185=""),P185,NOT(Q185=""),Q185,NOT(R185=""),R185,NOT(S185=""),S185,NOT(T185=""),T185,NOT(U185=""),U185,TRUE,"No error")</f>
        <v>Enter the number of homes on the 1_SetUp sheet</v>
      </c>
      <c r="W185" s="114" t="str">
        <f t="shared" ca="1" si="8"/>
        <v xml:space="preserve">The Borrower has not addressed the following error messages for Home ID 181: </v>
      </c>
    </row>
    <row r="186" spans="1:23">
      <c r="A186" s="123">
        <v>182</v>
      </c>
      <c r="B186" s="104" t="str" cm="1">
        <f t="array" ref="B186">_xlfn.IFS(AND(A186&gt;NumberOfPlots,ISBLANK(INDEX(PlotData,MATCH($A186,PlotNumber,0),MATCH(B$3,PlotTitles,0)))),"",ISNUMBER(INDEX(PlotData,MATCH($A186,PlotNumber,0),MATCH(B$3,PlotTitles,0)))=FALSE, $AB$5,TRUE,"")</f>
        <v/>
      </c>
      <c r="C186" s="104" t="str" cm="1">
        <f t="array" ref="C186">_xlfn.IFS(AND(A186&gt;NumberOfPlots,ISBLANK(INDEX(PlotData,MATCH($A186,PlotNumber,0),MATCH(B$3,PlotTitles,0)))),"",ISBLANK(INDEX(PlotData,MATCH($A186,PlotNumber,0),MATCH(C$3,PlotTitles,0))),$AB$6,TRUE,"")</f>
        <v/>
      </c>
      <c r="D186" s="104" t="str" cm="1">
        <f t="array" ref="D186">_xlfn.IFS(AND(A186&gt;NumberOfPlots,ISBLANK(INDEX(PlotData,MATCH($A186,PlotNumber,0),MATCH(B$3,PlotTitles,0)))),"",ISBLANK(INDEX(PlotData,MATCH($A186,PlotNumber,0),MATCH(D$3,PlotTitles,0))),$AB$7,TRUE,"")</f>
        <v/>
      </c>
      <c r="E186" s="104" t="str" cm="1">
        <f t="array" ref="E186">_xlfn.IFS(AND(A186&gt;NumberOfPlots,ISBLANK(INDEX(PlotData,MATCH($A186,PlotNumber,0),MATCH(B$3,PlotTitles,0)))),"",ISBLANK(INDEX(PlotData,MATCH($A186,PlotNumber,0),MATCH(E$3,PlotTitles,0))),$AB$8,TRUE,"")</f>
        <v/>
      </c>
      <c r="F186" s="104" t="str" cm="1">
        <f t="array" ref="F186">_xlfn.IFS(AND(A186&gt;NumberOfPlots,ISBLANK(INDEX(PlotData,MATCH($A186,PlotNumber,0),MATCH(B$3,PlotTitles,0)))),"",ISBLANK(INDEX(PlotData,MATCH($A186,PlotNumber,0),MATCH(F$3,PlotTitles,0))),$AB$9,TRUE,"")</f>
        <v/>
      </c>
      <c r="G186" s="104" t="str" cm="1">
        <f t="array" ref="G186">_xlfn.IFS(AND(A186&gt;NumberOfPlots,ISBLANK(INDEX(PlotData,MATCH($A186,PlotNumber,0),MATCH(B$3,PlotTitles,0)))),"",ISBLANK(INDEX(PlotData,MATCH($A186,PlotNumber,0),MATCH(G$3,PlotTitles,0))),$AB$10,TRUE,"")</f>
        <v/>
      </c>
      <c r="H186" s="104" t="str" cm="1">
        <f t="array" ref="H186">_xlfn.IFS(AND(A186&gt;NumberOfPlots,ISBLANK(INDEX(PlotData,MATCH($A186,PlotNumber,0),MATCH(B$3,PlotTitles,0)))),"",AND(ISBLANK(INDEX(PlotData,MATCH($A186,PlotNumber,0),MATCH(H$3,PlotTitles,0)))=FALSE,INDEX(PlotData,MATCH($A186,PlotNumber,0),MATCH(H$3,PlotTitles,0))&lt;500), $AB$11,TRUE,"")</f>
        <v/>
      </c>
      <c r="I186" s="104" t="str" cm="1">
        <f t="array" ref="I186">_xlfn.IFS(AND(A186&gt;NumberOfPlots,ISBLANK(INDEX(PlotData,MATCH($A186,PlotNumber,0),MATCH(B$3,PlotTitles,0)))),"",ISBLANK(INDEX(PlotData,MATCH($A186,PlotNumber,0),MATCH(I$3,PlotTitles,0))),$AB$12,TRUE,"")</f>
        <v/>
      </c>
      <c r="J186" s="104" t="str" cm="1">
        <f t="array" ref="J186">_xlfn.IFS(AND(A186&gt;NumberOfPlots,ISBLANK(INDEX(PlotData,MATCH($A186,PlotNumber,0),MATCH(B$3,PlotTitles,0)))),"",ISBLANK(INDEX(PlotData,MATCH($A186,PlotNumber,0),MATCH(J$3,PlotTitles,0))),$AB$13,TRUE,"")</f>
        <v/>
      </c>
      <c r="K186" s="182" t="str">
        <f t="shared" ca="1" si="6"/>
        <v/>
      </c>
      <c r="L186" s="104" t="str" cm="1">
        <f t="array" ref="L186">_xlfn.IFS(OR(ISBLANK(StartDateMonth),ISBLANK(StartDateYear)),"",AND(A186&gt;NumberOfPlots,ISBLANK(INDEX(PlotData,MATCH($A186,PlotNumber,0),MATCH(B$3,PlotTitles,0)))),"",ISBLANK(INDEX(PlotData,MATCH($A186,PlotNumber,0),MATCH(I$3,PlotTitles,0))),"",(DATEVALUE(INDEX(PlotData,MATCH($A186,PlotNumber,0),MATCH(I$3,PlotTitles,0))&amp;INDEX(PlotData,MATCH($A186,PlotNumber,0),MATCH(J$3,PlotTitles,0))))&lt;DATEVALUE(StartDateMonth&amp;StartDateYear),$AB$15,TRUE,"")</f>
        <v/>
      </c>
      <c r="M186" s="104" t="str" cm="1">
        <f t="array" ref="M186">_xlfn.IFS(OR(ISBLANK(StartDateMonth),ISBLANK(StartDateYear)),"",AND(A186&gt;NumberOfPlots,ISBLANK(INDEX(PlotData,MATCH($A186,PlotNumber,0),MATCH(B$3,PlotTitles,0)))),"",ISBLANK(INDEX(PlotData,MATCH($A186,PlotNumber,0),MATCH(I$3,PlotTitles,0))),"",CompletionMonth="","",(DATEVALUE(INDEX(PlotData,MATCH($A186,PlotNumber,0),MATCH(I$3,PlotTitles,0))&amp;INDEX(PlotData,MATCH($A186,PlotNumber,0),MATCH(J$3,PlotTitles,0))))&gt;(DATEVALUE(CompletionMonth&amp;CompletionYear)),$AB$16,TRUE,"")</f>
        <v/>
      </c>
      <c r="N186" s="104" t="str" cm="1">
        <f t="array" ref="N186">_xlfn.IFS(AND(A186&gt;NumberOfPlots,ISBLANK(INDEX(PlotData,MATCH($A186,PlotNumber,0),MATCH(B$3,PlotTitles,0)))),"",ISBLANK(INDEX(PlotData,MATCH($A186,PlotNumber,0),MATCH(N$3,PlotTitles,0))),$AB$17,TRUE,"")</f>
        <v/>
      </c>
      <c r="O186" s="104" t="str" cm="1">
        <f t="array" ref="O186">_xlfn.IFS(AND(A186&gt;NumberOfPlots,ISBLANK(INDEX(PlotData,MATCH($A186,PlotNumber,0),MATCH(B$3,PlotTitles,0)))),"",ISBLANK(INDEX(PlotData,MATCH($A186,PlotNumber,0),MATCH(O$3,PlotTitles,0))),$AB$18,TRUE,"")</f>
        <v/>
      </c>
      <c r="P186" s="182" t="str">
        <f t="shared" ca="1" si="7"/>
        <v/>
      </c>
      <c r="Q186" s="104" t="str" cm="1">
        <f t="array" ref="Q186">_xlfn.IFS(AND(A186&gt;NumberOfPlots,ISBLANK(INDEX(PlotData,MATCH($A186,PlotNumber,0),MATCH(B$3,PlotTitles,0)))),"",ISBLANK(INDEX(PlotData,MATCH($A186,PlotNumber,0),MATCH(N$3,PlotTitles,0))),"",(DATEVALUE(INDEX(PlotData,MATCH($A186,PlotNumber,0),MATCH(N$3,PlotTitles,0))&amp;INDEX(PlotData,MATCH($A186,PlotNumber,0),MATCH(O$3,PlotTitles,0))))&lt;(DATEVALUE(INDEX(PlotData,MATCH($A186,PlotNumber,0),MATCH(I$3,PlotTitles,0))&amp;INDEX(PlotData,MATCH($A186,PlotNumber,0),MATCH(J$3,PlotTitles,0)))),$AB$20,TRUE,"")</f>
        <v/>
      </c>
      <c r="R186" s="104" t="str" cm="1">
        <f t="array" ref="R186">_xlfn.IFS(OR(ISBLANK(StartDateMonth),ISBLANK(StartDateYear)),"",AND(A186&gt;NumberOfPlots,ISBLANK(INDEX(PlotData,MATCH($A186,PlotNumber,0),MATCH(B$3,PlotTitles,0)))),"",ISBLANK(INDEX(PlotData,MATCH($A186,PlotNumber,0),MATCH(N$3,PlotTitles,0))),"",CompletionMonth="","",(DATEVALUE(INDEX(PlotData,MATCH($A186,PlotNumber,0),MATCH(N$3,PlotTitles,0))&amp;INDEX(PlotData,MATCH($A186,PlotNumber,0),MATCH(O$3,PlotTitles,0))))&gt;(DATEVALUE(CompletionMonth&amp;CompletionYear)),$AB$21,TRUE,"")</f>
        <v/>
      </c>
      <c r="S186" s="104" t="str" cm="1">
        <f t="array" ref="S186">_xlfn.IFS(AND(A186&gt;NumberOfPlots,ISBLANK(INDEX(PlotData,MATCH($A186,PlotNumber,0),MATCH(B$3,PlotTitles,0)))),"",OR(AND(INDEX(PlotData,MATCH($A186,PlotNumber,0),MATCH("Tenure",PlotTitles,0))="Open market housing",INDEX(PlotData,MATCH($A186,PlotNumber,0),MATCH("Tenure detail",PlotTitles,0))="Private rented sector"),INDEX(PlotData,MATCH($A186,PlotNumber,0),MATCH("Tenure",PlotTitles,0))="Affordable rent"),"",ISNUMBER(INDEX(PlotData,MATCH($A186,PlotNumber,0),MATCH(S$3,PlotTitles,0)))=FALSE, $AB$22,TRUE,"")</f>
        <v/>
      </c>
      <c r="T186" s="104" t="str" cm="1">
        <f t="array" ref="T186">_xlfn.IFS(AND(A186&gt;NumberOfPlots,ISBLANK(INDEX(PlotData,MATCH($A186,PlotNumber,0),MATCH(B$3,PlotTitles,0)))),"",OR(AND(INDEX(PlotData,MATCH($A186,PlotNumber,0),MATCH("Tenure",PlotTitles,0))="Open market housing",INDEX(PlotData,MATCH($A186,PlotNumber,0),MATCH("Tenure detail",PlotTitles,0))="Private rented sector"),INDEX(PlotData,MATCH($A186,PlotNumber,0),MATCH("Tenure",PlotTitles,0))="Affordable rent"),"",INDEX(PlotData,MATCH($A186,PlotNumber,0),MATCH(S$3,PlotTitles,0))&lt;10000, $AB$23,TRUE,"")</f>
        <v/>
      </c>
      <c r="U186" s="104" t="str" cm="1">
        <f t="array" ref="U186">_xlfn.IFS(AND(A186&gt;NumberOfPlots,ISBLANK(INDEX(PlotData,MATCH($A186,PlotNumber,0),MATCH(B$3,PlotTitles,0)))),"",NOT(OR(AND(INDEX(PlotData,MATCH($A186,PlotNumber,0),MATCH("Tenure",PlotTitles,0))="Open market housing",INDEX(PlotData,MATCH($A186,PlotNumber,0),MATCH("Tenure detail",PlotTitles,0))="Private rented sector"),INDEX(PlotData,MATCH($A186,PlotNumber,0),MATCH("Tenure",PlotTitles,0))="Affordable rent")),"",NOT(INDEX(PlotData,MATCH($A186,PlotNumber,0),MATCH(S$3,PlotTitles,0))=0), $AB$24,TRUE,"")</f>
        <v/>
      </c>
      <c r="V186" s="114" t="str" cm="1">
        <f t="array" aca="1" ref="V186" ca="1">_xlfn.IFS(ISBLANK(NumberOfPlots),"Enter the number of homes on the 1_SetUp sheet",AND(A186&gt;NumberOfPlots,ISBLANK(INDEX(PlotData,MATCH($A186,PlotNumber,0),MATCH(B$3,PlotTitles,0)))),"No error",NOT(B186=""),B186,NOT(C186=""),C186,NOT(D186=""),D186,NOT(E186=""),E186,NOT(F186=""),F186,NOT(G186=""),G186,NOT(H186=""),H186,NOT(I186=""),I186,NOT(J186=""),J186,NOT(K186=""),K186,NOT(L186=""),L186,NOT(M186=""),M186,NOT(N186=""),N186,NOT(O186=""),O186,NOT(P186=""),P186,NOT(Q186=""),Q186,NOT(R186=""),R186,NOT(S186=""),S186,NOT(T186=""),T186,NOT(U186=""),U186,TRUE,"No error")</f>
        <v>Enter the number of homes on the 1_SetUp sheet</v>
      </c>
      <c r="W186" s="114" t="str">
        <f t="shared" ca="1" si="8"/>
        <v xml:space="preserve">The Borrower has not addressed the following error messages for Home ID 182: </v>
      </c>
    </row>
    <row r="187" spans="1:23">
      <c r="A187" s="123">
        <v>183</v>
      </c>
      <c r="B187" s="104" t="str" cm="1">
        <f t="array" ref="B187">_xlfn.IFS(AND(A187&gt;NumberOfPlots,ISBLANK(INDEX(PlotData,MATCH($A187,PlotNumber,0),MATCH(B$3,PlotTitles,0)))),"",ISNUMBER(INDEX(PlotData,MATCH($A187,PlotNumber,0),MATCH(B$3,PlotTitles,0)))=FALSE, $AB$5,TRUE,"")</f>
        <v/>
      </c>
      <c r="C187" s="104" t="str" cm="1">
        <f t="array" ref="C187">_xlfn.IFS(AND(A187&gt;NumberOfPlots,ISBLANK(INDEX(PlotData,MATCH($A187,PlotNumber,0),MATCH(B$3,PlotTitles,0)))),"",ISBLANK(INDEX(PlotData,MATCH($A187,PlotNumber,0),MATCH(C$3,PlotTitles,0))),$AB$6,TRUE,"")</f>
        <v/>
      </c>
      <c r="D187" s="104" t="str" cm="1">
        <f t="array" ref="D187">_xlfn.IFS(AND(A187&gt;NumberOfPlots,ISBLANK(INDEX(PlotData,MATCH($A187,PlotNumber,0),MATCH(B$3,PlotTitles,0)))),"",ISBLANK(INDEX(PlotData,MATCH($A187,PlotNumber,0),MATCH(D$3,PlotTitles,0))),$AB$7,TRUE,"")</f>
        <v/>
      </c>
      <c r="E187" s="104" t="str" cm="1">
        <f t="array" ref="E187">_xlfn.IFS(AND(A187&gt;NumberOfPlots,ISBLANK(INDEX(PlotData,MATCH($A187,PlotNumber,0),MATCH(B$3,PlotTitles,0)))),"",ISBLANK(INDEX(PlotData,MATCH($A187,PlotNumber,0),MATCH(E$3,PlotTitles,0))),$AB$8,TRUE,"")</f>
        <v/>
      </c>
      <c r="F187" s="104" t="str" cm="1">
        <f t="array" ref="F187">_xlfn.IFS(AND(A187&gt;NumberOfPlots,ISBLANK(INDEX(PlotData,MATCH($A187,PlotNumber,0),MATCH(B$3,PlotTitles,0)))),"",ISBLANK(INDEX(PlotData,MATCH($A187,PlotNumber,0),MATCH(F$3,PlotTitles,0))),$AB$9,TRUE,"")</f>
        <v/>
      </c>
      <c r="G187" s="104" t="str" cm="1">
        <f t="array" ref="G187">_xlfn.IFS(AND(A187&gt;NumberOfPlots,ISBLANK(INDEX(PlotData,MATCH($A187,PlotNumber,0),MATCH(B$3,PlotTitles,0)))),"",ISBLANK(INDEX(PlotData,MATCH($A187,PlotNumber,0),MATCH(G$3,PlotTitles,0))),$AB$10,TRUE,"")</f>
        <v/>
      </c>
      <c r="H187" s="104" t="str" cm="1">
        <f t="array" ref="H187">_xlfn.IFS(AND(A187&gt;NumberOfPlots,ISBLANK(INDEX(PlotData,MATCH($A187,PlotNumber,0),MATCH(B$3,PlotTitles,0)))),"",AND(ISBLANK(INDEX(PlotData,MATCH($A187,PlotNumber,0),MATCH(H$3,PlotTitles,0)))=FALSE,INDEX(PlotData,MATCH($A187,PlotNumber,0),MATCH(H$3,PlotTitles,0))&lt;500), $AB$11,TRUE,"")</f>
        <v/>
      </c>
      <c r="I187" s="104" t="str" cm="1">
        <f t="array" ref="I187">_xlfn.IFS(AND(A187&gt;NumberOfPlots,ISBLANK(INDEX(PlotData,MATCH($A187,PlotNumber,0),MATCH(B$3,PlotTitles,0)))),"",ISBLANK(INDEX(PlotData,MATCH($A187,PlotNumber,0),MATCH(I$3,PlotTitles,0))),$AB$12,TRUE,"")</f>
        <v/>
      </c>
      <c r="J187" s="104" t="str" cm="1">
        <f t="array" ref="J187">_xlfn.IFS(AND(A187&gt;NumberOfPlots,ISBLANK(INDEX(PlotData,MATCH($A187,PlotNumber,0),MATCH(B$3,PlotTitles,0)))),"",ISBLANK(INDEX(PlotData,MATCH($A187,PlotNumber,0),MATCH(J$3,PlotTitles,0))),$AB$13,TRUE,"")</f>
        <v/>
      </c>
      <c r="K187" s="182" t="str">
        <f t="shared" ca="1" si="6"/>
        <v/>
      </c>
      <c r="L187" s="104" t="str" cm="1">
        <f t="array" ref="L187">_xlfn.IFS(OR(ISBLANK(StartDateMonth),ISBLANK(StartDateYear)),"",AND(A187&gt;NumberOfPlots,ISBLANK(INDEX(PlotData,MATCH($A187,PlotNumber,0),MATCH(B$3,PlotTitles,0)))),"",ISBLANK(INDEX(PlotData,MATCH($A187,PlotNumber,0),MATCH(I$3,PlotTitles,0))),"",(DATEVALUE(INDEX(PlotData,MATCH($A187,PlotNumber,0),MATCH(I$3,PlotTitles,0))&amp;INDEX(PlotData,MATCH($A187,PlotNumber,0),MATCH(J$3,PlotTitles,0))))&lt;DATEVALUE(StartDateMonth&amp;StartDateYear),$AB$15,TRUE,"")</f>
        <v/>
      </c>
      <c r="M187" s="104" t="str" cm="1">
        <f t="array" ref="M187">_xlfn.IFS(OR(ISBLANK(StartDateMonth),ISBLANK(StartDateYear)),"",AND(A187&gt;NumberOfPlots,ISBLANK(INDEX(PlotData,MATCH($A187,PlotNumber,0),MATCH(B$3,PlotTitles,0)))),"",ISBLANK(INDEX(PlotData,MATCH($A187,PlotNumber,0),MATCH(I$3,PlotTitles,0))),"",CompletionMonth="","",(DATEVALUE(INDEX(PlotData,MATCH($A187,PlotNumber,0),MATCH(I$3,PlotTitles,0))&amp;INDEX(PlotData,MATCH($A187,PlotNumber,0),MATCH(J$3,PlotTitles,0))))&gt;(DATEVALUE(CompletionMonth&amp;CompletionYear)),$AB$16,TRUE,"")</f>
        <v/>
      </c>
      <c r="N187" s="104" t="str" cm="1">
        <f t="array" ref="N187">_xlfn.IFS(AND(A187&gt;NumberOfPlots,ISBLANK(INDEX(PlotData,MATCH($A187,PlotNumber,0),MATCH(B$3,PlotTitles,0)))),"",ISBLANK(INDEX(PlotData,MATCH($A187,PlotNumber,0),MATCH(N$3,PlotTitles,0))),$AB$17,TRUE,"")</f>
        <v/>
      </c>
      <c r="O187" s="104" t="str" cm="1">
        <f t="array" ref="O187">_xlfn.IFS(AND(A187&gt;NumberOfPlots,ISBLANK(INDEX(PlotData,MATCH($A187,PlotNumber,0),MATCH(B$3,PlotTitles,0)))),"",ISBLANK(INDEX(PlotData,MATCH($A187,PlotNumber,0),MATCH(O$3,PlotTitles,0))),$AB$18,TRUE,"")</f>
        <v/>
      </c>
      <c r="P187" s="182" t="str">
        <f t="shared" ca="1" si="7"/>
        <v/>
      </c>
      <c r="Q187" s="104" t="str" cm="1">
        <f t="array" ref="Q187">_xlfn.IFS(AND(A187&gt;NumberOfPlots,ISBLANK(INDEX(PlotData,MATCH($A187,PlotNumber,0),MATCH(B$3,PlotTitles,0)))),"",ISBLANK(INDEX(PlotData,MATCH($A187,PlotNumber,0),MATCH(N$3,PlotTitles,0))),"",(DATEVALUE(INDEX(PlotData,MATCH($A187,PlotNumber,0),MATCH(N$3,PlotTitles,0))&amp;INDEX(PlotData,MATCH($A187,PlotNumber,0),MATCH(O$3,PlotTitles,0))))&lt;(DATEVALUE(INDEX(PlotData,MATCH($A187,PlotNumber,0),MATCH(I$3,PlotTitles,0))&amp;INDEX(PlotData,MATCH($A187,PlotNumber,0),MATCH(J$3,PlotTitles,0)))),$AB$20,TRUE,"")</f>
        <v/>
      </c>
      <c r="R187" s="104" t="str" cm="1">
        <f t="array" ref="R187">_xlfn.IFS(OR(ISBLANK(StartDateMonth),ISBLANK(StartDateYear)),"",AND(A187&gt;NumberOfPlots,ISBLANK(INDEX(PlotData,MATCH($A187,PlotNumber,0),MATCH(B$3,PlotTitles,0)))),"",ISBLANK(INDEX(PlotData,MATCH($A187,PlotNumber,0),MATCH(N$3,PlotTitles,0))),"",CompletionMonth="","",(DATEVALUE(INDEX(PlotData,MATCH($A187,PlotNumber,0),MATCH(N$3,PlotTitles,0))&amp;INDEX(PlotData,MATCH($A187,PlotNumber,0),MATCH(O$3,PlotTitles,0))))&gt;(DATEVALUE(CompletionMonth&amp;CompletionYear)),$AB$21,TRUE,"")</f>
        <v/>
      </c>
      <c r="S187" s="104" t="str" cm="1">
        <f t="array" ref="S187">_xlfn.IFS(AND(A187&gt;NumberOfPlots,ISBLANK(INDEX(PlotData,MATCH($A187,PlotNumber,0),MATCH(B$3,PlotTitles,0)))),"",OR(AND(INDEX(PlotData,MATCH($A187,PlotNumber,0),MATCH("Tenure",PlotTitles,0))="Open market housing",INDEX(PlotData,MATCH($A187,PlotNumber,0),MATCH("Tenure detail",PlotTitles,0))="Private rented sector"),INDEX(PlotData,MATCH($A187,PlotNumber,0),MATCH("Tenure",PlotTitles,0))="Affordable rent"),"",ISNUMBER(INDEX(PlotData,MATCH($A187,PlotNumber,0),MATCH(S$3,PlotTitles,0)))=FALSE, $AB$22,TRUE,"")</f>
        <v/>
      </c>
      <c r="T187" s="104" t="str" cm="1">
        <f t="array" ref="T187">_xlfn.IFS(AND(A187&gt;NumberOfPlots,ISBLANK(INDEX(PlotData,MATCH($A187,PlotNumber,0),MATCH(B$3,PlotTitles,0)))),"",OR(AND(INDEX(PlotData,MATCH($A187,PlotNumber,0),MATCH("Tenure",PlotTitles,0))="Open market housing",INDEX(PlotData,MATCH($A187,PlotNumber,0),MATCH("Tenure detail",PlotTitles,0))="Private rented sector"),INDEX(PlotData,MATCH($A187,PlotNumber,0),MATCH("Tenure",PlotTitles,0))="Affordable rent"),"",INDEX(PlotData,MATCH($A187,PlotNumber,0),MATCH(S$3,PlotTitles,0))&lt;10000, $AB$23,TRUE,"")</f>
        <v/>
      </c>
      <c r="U187" s="104" t="str" cm="1">
        <f t="array" ref="U187">_xlfn.IFS(AND(A187&gt;NumberOfPlots,ISBLANK(INDEX(PlotData,MATCH($A187,PlotNumber,0),MATCH(B$3,PlotTitles,0)))),"",NOT(OR(AND(INDEX(PlotData,MATCH($A187,PlotNumber,0),MATCH("Tenure",PlotTitles,0))="Open market housing",INDEX(PlotData,MATCH($A187,PlotNumber,0),MATCH("Tenure detail",PlotTitles,0))="Private rented sector"),INDEX(PlotData,MATCH($A187,PlotNumber,0),MATCH("Tenure",PlotTitles,0))="Affordable rent")),"",NOT(INDEX(PlotData,MATCH($A187,PlotNumber,0),MATCH(S$3,PlotTitles,0))=0), $AB$24,TRUE,"")</f>
        <v/>
      </c>
      <c r="V187" s="114" t="str" cm="1">
        <f t="array" aca="1" ref="V187" ca="1">_xlfn.IFS(ISBLANK(NumberOfPlots),"Enter the number of homes on the 1_SetUp sheet",AND(A187&gt;NumberOfPlots,ISBLANK(INDEX(PlotData,MATCH($A187,PlotNumber,0),MATCH(B$3,PlotTitles,0)))),"No error",NOT(B187=""),B187,NOT(C187=""),C187,NOT(D187=""),D187,NOT(E187=""),E187,NOT(F187=""),F187,NOT(G187=""),G187,NOT(H187=""),H187,NOT(I187=""),I187,NOT(J187=""),J187,NOT(K187=""),K187,NOT(L187=""),L187,NOT(M187=""),M187,NOT(N187=""),N187,NOT(O187=""),O187,NOT(P187=""),P187,NOT(Q187=""),Q187,NOT(R187=""),R187,NOT(S187=""),S187,NOT(T187=""),T187,NOT(U187=""),U187,TRUE,"No error")</f>
        <v>Enter the number of homes on the 1_SetUp sheet</v>
      </c>
      <c r="W187" s="114" t="str">
        <f t="shared" ca="1" si="8"/>
        <v xml:space="preserve">The Borrower has not addressed the following error messages for Home ID 183: </v>
      </c>
    </row>
    <row r="188" spans="1:23">
      <c r="A188" s="123">
        <v>184</v>
      </c>
      <c r="B188" s="104" t="str" cm="1">
        <f t="array" ref="B188">_xlfn.IFS(AND(A188&gt;NumberOfPlots,ISBLANK(INDEX(PlotData,MATCH($A188,PlotNumber,0),MATCH(B$3,PlotTitles,0)))),"",ISNUMBER(INDEX(PlotData,MATCH($A188,PlotNumber,0),MATCH(B$3,PlotTitles,0)))=FALSE, $AB$5,TRUE,"")</f>
        <v/>
      </c>
      <c r="C188" s="104" t="str" cm="1">
        <f t="array" ref="C188">_xlfn.IFS(AND(A188&gt;NumberOfPlots,ISBLANK(INDEX(PlotData,MATCH($A188,PlotNumber,0),MATCH(B$3,PlotTitles,0)))),"",ISBLANK(INDEX(PlotData,MATCH($A188,PlotNumber,0),MATCH(C$3,PlotTitles,0))),$AB$6,TRUE,"")</f>
        <v/>
      </c>
      <c r="D188" s="104" t="str" cm="1">
        <f t="array" ref="D188">_xlfn.IFS(AND(A188&gt;NumberOfPlots,ISBLANK(INDEX(PlotData,MATCH($A188,PlotNumber,0),MATCH(B$3,PlotTitles,0)))),"",ISBLANK(INDEX(PlotData,MATCH($A188,PlotNumber,0),MATCH(D$3,PlotTitles,0))),$AB$7,TRUE,"")</f>
        <v/>
      </c>
      <c r="E188" s="104" t="str" cm="1">
        <f t="array" ref="E188">_xlfn.IFS(AND(A188&gt;NumberOfPlots,ISBLANK(INDEX(PlotData,MATCH($A188,PlotNumber,0),MATCH(B$3,PlotTitles,0)))),"",ISBLANK(INDEX(PlotData,MATCH($A188,PlotNumber,0),MATCH(E$3,PlotTitles,0))),$AB$8,TRUE,"")</f>
        <v/>
      </c>
      <c r="F188" s="104" t="str" cm="1">
        <f t="array" ref="F188">_xlfn.IFS(AND(A188&gt;NumberOfPlots,ISBLANK(INDEX(PlotData,MATCH($A188,PlotNumber,0),MATCH(B$3,PlotTitles,0)))),"",ISBLANK(INDEX(PlotData,MATCH($A188,PlotNumber,0),MATCH(F$3,PlotTitles,0))),$AB$9,TRUE,"")</f>
        <v/>
      </c>
      <c r="G188" s="104" t="str" cm="1">
        <f t="array" ref="G188">_xlfn.IFS(AND(A188&gt;NumberOfPlots,ISBLANK(INDEX(PlotData,MATCH($A188,PlotNumber,0),MATCH(B$3,PlotTitles,0)))),"",ISBLANK(INDEX(PlotData,MATCH($A188,PlotNumber,0),MATCH(G$3,PlotTitles,0))),$AB$10,TRUE,"")</f>
        <v/>
      </c>
      <c r="H188" s="104" t="str" cm="1">
        <f t="array" ref="H188">_xlfn.IFS(AND(A188&gt;NumberOfPlots,ISBLANK(INDEX(PlotData,MATCH($A188,PlotNumber,0),MATCH(B$3,PlotTitles,0)))),"",AND(ISBLANK(INDEX(PlotData,MATCH($A188,PlotNumber,0),MATCH(H$3,PlotTitles,0)))=FALSE,INDEX(PlotData,MATCH($A188,PlotNumber,0),MATCH(H$3,PlotTitles,0))&lt;500), $AB$11,TRUE,"")</f>
        <v/>
      </c>
      <c r="I188" s="104" t="str" cm="1">
        <f t="array" ref="I188">_xlfn.IFS(AND(A188&gt;NumberOfPlots,ISBLANK(INDEX(PlotData,MATCH($A188,PlotNumber,0),MATCH(B$3,PlotTitles,0)))),"",ISBLANK(INDEX(PlotData,MATCH($A188,PlotNumber,0),MATCH(I$3,PlotTitles,0))),$AB$12,TRUE,"")</f>
        <v/>
      </c>
      <c r="J188" s="104" t="str" cm="1">
        <f t="array" ref="J188">_xlfn.IFS(AND(A188&gt;NumberOfPlots,ISBLANK(INDEX(PlotData,MATCH($A188,PlotNumber,0),MATCH(B$3,PlotTitles,0)))),"",ISBLANK(INDEX(PlotData,MATCH($A188,PlotNumber,0),MATCH(J$3,PlotTitles,0))),$AB$13,TRUE,"")</f>
        <v/>
      </c>
      <c r="K188" s="182" t="str">
        <f t="shared" ca="1" si="6"/>
        <v/>
      </c>
      <c r="L188" s="104" t="str" cm="1">
        <f t="array" ref="L188">_xlfn.IFS(OR(ISBLANK(StartDateMonth),ISBLANK(StartDateYear)),"",AND(A188&gt;NumberOfPlots,ISBLANK(INDEX(PlotData,MATCH($A188,PlotNumber,0),MATCH(B$3,PlotTitles,0)))),"",ISBLANK(INDEX(PlotData,MATCH($A188,PlotNumber,0),MATCH(I$3,PlotTitles,0))),"",(DATEVALUE(INDEX(PlotData,MATCH($A188,PlotNumber,0),MATCH(I$3,PlotTitles,0))&amp;INDEX(PlotData,MATCH($A188,PlotNumber,0),MATCH(J$3,PlotTitles,0))))&lt;DATEVALUE(StartDateMonth&amp;StartDateYear),$AB$15,TRUE,"")</f>
        <v/>
      </c>
      <c r="M188" s="104" t="str" cm="1">
        <f t="array" ref="M188">_xlfn.IFS(OR(ISBLANK(StartDateMonth),ISBLANK(StartDateYear)),"",AND(A188&gt;NumberOfPlots,ISBLANK(INDEX(PlotData,MATCH($A188,PlotNumber,0),MATCH(B$3,PlotTitles,0)))),"",ISBLANK(INDEX(PlotData,MATCH($A188,PlotNumber,0),MATCH(I$3,PlotTitles,0))),"",CompletionMonth="","",(DATEVALUE(INDEX(PlotData,MATCH($A188,PlotNumber,0),MATCH(I$3,PlotTitles,0))&amp;INDEX(PlotData,MATCH($A188,PlotNumber,0),MATCH(J$3,PlotTitles,0))))&gt;(DATEVALUE(CompletionMonth&amp;CompletionYear)),$AB$16,TRUE,"")</f>
        <v/>
      </c>
      <c r="N188" s="104" t="str" cm="1">
        <f t="array" ref="N188">_xlfn.IFS(AND(A188&gt;NumberOfPlots,ISBLANK(INDEX(PlotData,MATCH($A188,PlotNumber,0),MATCH(B$3,PlotTitles,0)))),"",ISBLANK(INDEX(PlotData,MATCH($A188,PlotNumber,0),MATCH(N$3,PlotTitles,0))),$AB$17,TRUE,"")</f>
        <v/>
      </c>
      <c r="O188" s="104" t="str" cm="1">
        <f t="array" ref="O188">_xlfn.IFS(AND(A188&gt;NumberOfPlots,ISBLANK(INDEX(PlotData,MATCH($A188,PlotNumber,0),MATCH(B$3,PlotTitles,0)))),"",ISBLANK(INDEX(PlotData,MATCH($A188,PlotNumber,0),MATCH(O$3,PlotTitles,0))),$AB$18,TRUE,"")</f>
        <v/>
      </c>
      <c r="P188" s="182" t="str">
        <f t="shared" ca="1" si="7"/>
        <v/>
      </c>
      <c r="Q188" s="104" t="str" cm="1">
        <f t="array" ref="Q188">_xlfn.IFS(AND(A188&gt;NumberOfPlots,ISBLANK(INDEX(PlotData,MATCH($A188,PlotNumber,0),MATCH(B$3,PlotTitles,0)))),"",ISBLANK(INDEX(PlotData,MATCH($A188,PlotNumber,0),MATCH(N$3,PlotTitles,0))),"",(DATEVALUE(INDEX(PlotData,MATCH($A188,PlotNumber,0),MATCH(N$3,PlotTitles,0))&amp;INDEX(PlotData,MATCH($A188,PlotNumber,0),MATCH(O$3,PlotTitles,0))))&lt;(DATEVALUE(INDEX(PlotData,MATCH($A188,PlotNumber,0),MATCH(I$3,PlotTitles,0))&amp;INDEX(PlotData,MATCH($A188,PlotNumber,0),MATCH(J$3,PlotTitles,0)))),$AB$20,TRUE,"")</f>
        <v/>
      </c>
      <c r="R188" s="104" t="str" cm="1">
        <f t="array" ref="R188">_xlfn.IFS(OR(ISBLANK(StartDateMonth),ISBLANK(StartDateYear)),"",AND(A188&gt;NumberOfPlots,ISBLANK(INDEX(PlotData,MATCH($A188,PlotNumber,0),MATCH(B$3,PlotTitles,0)))),"",ISBLANK(INDEX(PlotData,MATCH($A188,PlotNumber,0),MATCH(N$3,PlotTitles,0))),"",CompletionMonth="","",(DATEVALUE(INDEX(PlotData,MATCH($A188,PlotNumber,0),MATCH(N$3,PlotTitles,0))&amp;INDEX(PlotData,MATCH($A188,PlotNumber,0),MATCH(O$3,PlotTitles,0))))&gt;(DATEVALUE(CompletionMonth&amp;CompletionYear)),$AB$21,TRUE,"")</f>
        <v/>
      </c>
      <c r="S188" s="104" t="str" cm="1">
        <f t="array" ref="S188">_xlfn.IFS(AND(A188&gt;NumberOfPlots,ISBLANK(INDEX(PlotData,MATCH($A188,PlotNumber,0),MATCH(B$3,PlotTitles,0)))),"",OR(AND(INDEX(PlotData,MATCH($A188,PlotNumber,0),MATCH("Tenure",PlotTitles,0))="Open market housing",INDEX(PlotData,MATCH($A188,PlotNumber,0),MATCH("Tenure detail",PlotTitles,0))="Private rented sector"),INDEX(PlotData,MATCH($A188,PlotNumber,0),MATCH("Tenure",PlotTitles,0))="Affordable rent"),"",ISNUMBER(INDEX(PlotData,MATCH($A188,PlotNumber,0),MATCH(S$3,PlotTitles,0)))=FALSE, $AB$22,TRUE,"")</f>
        <v/>
      </c>
      <c r="T188" s="104" t="str" cm="1">
        <f t="array" ref="T188">_xlfn.IFS(AND(A188&gt;NumberOfPlots,ISBLANK(INDEX(PlotData,MATCH($A188,PlotNumber,0),MATCH(B$3,PlotTitles,0)))),"",OR(AND(INDEX(PlotData,MATCH($A188,PlotNumber,0),MATCH("Tenure",PlotTitles,0))="Open market housing",INDEX(PlotData,MATCH($A188,PlotNumber,0),MATCH("Tenure detail",PlotTitles,0))="Private rented sector"),INDEX(PlotData,MATCH($A188,PlotNumber,0),MATCH("Tenure",PlotTitles,0))="Affordable rent"),"",INDEX(PlotData,MATCH($A188,PlotNumber,0),MATCH(S$3,PlotTitles,0))&lt;10000, $AB$23,TRUE,"")</f>
        <v/>
      </c>
      <c r="U188" s="104" t="str" cm="1">
        <f t="array" ref="U188">_xlfn.IFS(AND(A188&gt;NumberOfPlots,ISBLANK(INDEX(PlotData,MATCH($A188,PlotNumber,0),MATCH(B$3,PlotTitles,0)))),"",NOT(OR(AND(INDEX(PlotData,MATCH($A188,PlotNumber,0),MATCH("Tenure",PlotTitles,0))="Open market housing",INDEX(PlotData,MATCH($A188,PlotNumber,0),MATCH("Tenure detail",PlotTitles,0))="Private rented sector"),INDEX(PlotData,MATCH($A188,PlotNumber,0),MATCH("Tenure",PlotTitles,0))="Affordable rent")),"",NOT(INDEX(PlotData,MATCH($A188,PlotNumber,0),MATCH(S$3,PlotTitles,0))=0), $AB$24,TRUE,"")</f>
        <v/>
      </c>
      <c r="V188" s="114" t="str" cm="1">
        <f t="array" aca="1" ref="V188" ca="1">_xlfn.IFS(ISBLANK(NumberOfPlots),"Enter the number of homes on the 1_SetUp sheet",AND(A188&gt;NumberOfPlots,ISBLANK(INDEX(PlotData,MATCH($A188,PlotNumber,0),MATCH(B$3,PlotTitles,0)))),"No error",NOT(B188=""),B188,NOT(C188=""),C188,NOT(D188=""),D188,NOT(E188=""),E188,NOT(F188=""),F188,NOT(G188=""),G188,NOT(H188=""),H188,NOT(I188=""),I188,NOT(J188=""),J188,NOT(K188=""),K188,NOT(L188=""),L188,NOT(M188=""),M188,NOT(N188=""),N188,NOT(O188=""),O188,NOT(P188=""),P188,NOT(Q188=""),Q188,NOT(R188=""),R188,NOT(S188=""),S188,NOT(T188=""),T188,NOT(U188=""),U188,TRUE,"No error")</f>
        <v>Enter the number of homes on the 1_SetUp sheet</v>
      </c>
      <c r="W188" s="114" t="str">
        <f t="shared" ca="1" si="8"/>
        <v xml:space="preserve">The Borrower has not addressed the following error messages for Home ID 184: </v>
      </c>
    </row>
    <row r="189" spans="1:23">
      <c r="A189" s="123">
        <v>185</v>
      </c>
      <c r="B189" s="104" t="str" cm="1">
        <f t="array" ref="B189">_xlfn.IFS(AND(A189&gt;NumberOfPlots,ISBLANK(INDEX(PlotData,MATCH($A189,PlotNumber,0),MATCH(B$3,PlotTitles,0)))),"",ISNUMBER(INDEX(PlotData,MATCH($A189,PlotNumber,0),MATCH(B$3,PlotTitles,0)))=FALSE, $AB$5,TRUE,"")</f>
        <v/>
      </c>
      <c r="C189" s="104" t="str" cm="1">
        <f t="array" ref="C189">_xlfn.IFS(AND(A189&gt;NumberOfPlots,ISBLANK(INDEX(PlotData,MATCH($A189,PlotNumber,0),MATCH(B$3,PlotTitles,0)))),"",ISBLANK(INDEX(PlotData,MATCH($A189,PlotNumber,0),MATCH(C$3,PlotTitles,0))),$AB$6,TRUE,"")</f>
        <v/>
      </c>
      <c r="D189" s="104" t="str" cm="1">
        <f t="array" ref="D189">_xlfn.IFS(AND(A189&gt;NumberOfPlots,ISBLANK(INDEX(PlotData,MATCH($A189,PlotNumber,0),MATCH(B$3,PlotTitles,0)))),"",ISBLANK(INDEX(PlotData,MATCH($A189,PlotNumber,0),MATCH(D$3,PlotTitles,0))),$AB$7,TRUE,"")</f>
        <v/>
      </c>
      <c r="E189" s="104" t="str" cm="1">
        <f t="array" ref="E189">_xlfn.IFS(AND(A189&gt;NumberOfPlots,ISBLANK(INDEX(PlotData,MATCH($A189,PlotNumber,0),MATCH(B$3,PlotTitles,0)))),"",ISBLANK(INDEX(PlotData,MATCH($A189,PlotNumber,0),MATCH(E$3,PlotTitles,0))),$AB$8,TRUE,"")</f>
        <v/>
      </c>
      <c r="F189" s="104" t="str" cm="1">
        <f t="array" ref="F189">_xlfn.IFS(AND(A189&gt;NumberOfPlots,ISBLANK(INDEX(PlotData,MATCH($A189,PlotNumber,0),MATCH(B$3,PlotTitles,0)))),"",ISBLANK(INDEX(PlotData,MATCH($A189,PlotNumber,0),MATCH(F$3,PlotTitles,0))),$AB$9,TRUE,"")</f>
        <v/>
      </c>
      <c r="G189" s="104" t="str" cm="1">
        <f t="array" ref="G189">_xlfn.IFS(AND(A189&gt;NumberOfPlots,ISBLANK(INDEX(PlotData,MATCH($A189,PlotNumber,0),MATCH(B$3,PlotTitles,0)))),"",ISBLANK(INDEX(PlotData,MATCH($A189,PlotNumber,0),MATCH(G$3,PlotTitles,0))),$AB$10,TRUE,"")</f>
        <v/>
      </c>
      <c r="H189" s="104" t="str" cm="1">
        <f t="array" ref="H189">_xlfn.IFS(AND(A189&gt;NumberOfPlots,ISBLANK(INDEX(PlotData,MATCH($A189,PlotNumber,0),MATCH(B$3,PlotTitles,0)))),"",AND(ISBLANK(INDEX(PlotData,MATCH($A189,PlotNumber,0),MATCH(H$3,PlotTitles,0)))=FALSE,INDEX(PlotData,MATCH($A189,PlotNumber,0),MATCH(H$3,PlotTitles,0))&lt;500), $AB$11,TRUE,"")</f>
        <v/>
      </c>
      <c r="I189" s="104" t="str" cm="1">
        <f t="array" ref="I189">_xlfn.IFS(AND(A189&gt;NumberOfPlots,ISBLANK(INDEX(PlotData,MATCH($A189,PlotNumber,0),MATCH(B$3,PlotTitles,0)))),"",ISBLANK(INDEX(PlotData,MATCH($A189,PlotNumber,0),MATCH(I$3,PlotTitles,0))),$AB$12,TRUE,"")</f>
        <v/>
      </c>
      <c r="J189" s="104" t="str" cm="1">
        <f t="array" ref="J189">_xlfn.IFS(AND(A189&gt;NumberOfPlots,ISBLANK(INDEX(PlotData,MATCH($A189,PlotNumber,0),MATCH(B$3,PlotTitles,0)))),"",ISBLANK(INDEX(PlotData,MATCH($A189,PlotNumber,0),MATCH(J$3,PlotTitles,0))),$AB$13,TRUE,"")</f>
        <v/>
      </c>
      <c r="K189" s="182" t="str">
        <f t="shared" ca="1" si="6"/>
        <v/>
      </c>
      <c r="L189" s="104" t="str" cm="1">
        <f t="array" ref="L189">_xlfn.IFS(OR(ISBLANK(StartDateMonth),ISBLANK(StartDateYear)),"",AND(A189&gt;NumberOfPlots,ISBLANK(INDEX(PlotData,MATCH($A189,PlotNumber,0),MATCH(B$3,PlotTitles,0)))),"",ISBLANK(INDEX(PlotData,MATCH($A189,PlotNumber,0),MATCH(I$3,PlotTitles,0))),"",(DATEVALUE(INDEX(PlotData,MATCH($A189,PlotNumber,0),MATCH(I$3,PlotTitles,0))&amp;INDEX(PlotData,MATCH($A189,PlotNumber,0),MATCH(J$3,PlotTitles,0))))&lt;DATEVALUE(StartDateMonth&amp;StartDateYear),$AB$15,TRUE,"")</f>
        <v/>
      </c>
      <c r="M189" s="104" t="str" cm="1">
        <f t="array" ref="M189">_xlfn.IFS(OR(ISBLANK(StartDateMonth),ISBLANK(StartDateYear)),"",AND(A189&gt;NumberOfPlots,ISBLANK(INDEX(PlotData,MATCH($A189,PlotNumber,0),MATCH(B$3,PlotTitles,0)))),"",ISBLANK(INDEX(PlotData,MATCH($A189,PlotNumber,0),MATCH(I$3,PlotTitles,0))),"",CompletionMonth="","",(DATEVALUE(INDEX(PlotData,MATCH($A189,PlotNumber,0),MATCH(I$3,PlotTitles,0))&amp;INDEX(PlotData,MATCH($A189,PlotNumber,0),MATCH(J$3,PlotTitles,0))))&gt;(DATEVALUE(CompletionMonth&amp;CompletionYear)),$AB$16,TRUE,"")</f>
        <v/>
      </c>
      <c r="N189" s="104" t="str" cm="1">
        <f t="array" ref="N189">_xlfn.IFS(AND(A189&gt;NumberOfPlots,ISBLANK(INDEX(PlotData,MATCH($A189,PlotNumber,0),MATCH(B$3,PlotTitles,0)))),"",ISBLANK(INDEX(PlotData,MATCH($A189,PlotNumber,0),MATCH(N$3,PlotTitles,0))),$AB$17,TRUE,"")</f>
        <v/>
      </c>
      <c r="O189" s="104" t="str" cm="1">
        <f t="array" ref="O189">_xlfn.IFS(AND(A189&gt;NumberOfPlots,ISBLANK(INDEX(PlotData,MATCH($A189,PlotNumber,0),MATCH(B$3,PlotTitles,0)))),"",ISBLANK(INDEX(PlotData,MATCH($A189,PlotNumber,0),MATCH(O$3,PlotTitles,0))),$AB$18,TRUE,"")</f>
        <v/>
      </c>
      <c r="P189" s="182" t="str">
        <f t="shared" ca="1" si="7"/>
        <v/>
      </c>
      <c r="Q189" s="104" t="str" cm="1">
        <f t="array" ref="Q189">_xlfn.IFS(AND(A189&gt;NumberOfPlots,ISBLANK(INDEX(PlotData,MATCH($A189,PlotNumber,0),MATCH(B$3,PlotTitles,0)))),"",ISBLANK(INDEX(PlotData,MATCH($A189,PlotNumber,0),MATCH(N$3,PlotTitles,0))),"",(DATEVALUE(INDEX(PlotData,MATCH($A189,PlotNumber,0),MATCH(N$3,PlotTitles,0))&amp;INDEX(PlotData,MATCH($A189,PlotNumber,0),MATCH(O$3,PlotTitles,0))))&lt;(DATEVALUE(INDEX(PlotData,MATCH($A189,PlotNumber,0),MATCH(I$3,PlotTitles,0))&amp;INDEX(PlotData,MATCH($A189,PlotNumber,0),MATCH(J$3,PlotTitles,0)))),$AB$20,TRUE,"")</f>
        <v/>
      </c>
      <c r="R189" s="104" t="str" cm="1">
        <f t="array" ref="R189">_xlfn.IFS(OR(ISBLANK(StartDateMonth),ISBLANK(StartDateYear)),"",AND(A189&gt;NumberOfPlots,ISBLANK(INDEX(PlotData,MATCH($A189,PlotNumber,0),MATCH(B$3,PlotTitles,0)))),"",ISBLANK(INDEX(PlotData,MATCH($A189,PlotNumber,0),MATCH(N$3,PlotTitles,0))),"",CompletionMonth="","",(DATEVALUE(INDEX(PlotData,MATCH($A189,PlotNumber,0),MATCH(N$3,PlotTitles,0))&amp;INDEX(PlotData,MATCH($A189,PlotNumber,0),MATCH(O$3,PlotTitles,0))))&gt;(DATEVALUE(CompletionMonth&amp;CompletionYear)),$AB$21,TRUE,"")</f>
        <v/>
      </c>
      <c r="S189" s="104" t="str" cm="1">
        <f t="array" ref="S189">_xlfn.IFS(AND(A189&gt;NumberOfPlots,ISBLANK(INDEX(PlotData,MATCH($A189,PlotNumber,0),MATCH(B$3,PlotTitles,0)))),"",OR(AND(INDEX(PlotData,MATCH($A189,PlotNumber,0),MATCH("Tenure",PlotTitles,0))="Open market housing",INDEX(PlotData,MATCH($A189,PlotNumber,0),MATCH("Tenure detail",PlotTitles,0))="Private rented sector"),INDEX(PlotData,MATCH($A189,PlotNumber,0),MATCH("Tenure",PlotTitles,0))="Affordable rent"),"",ISNUMBER(INDEX(PlotData,MATCH($A189,PlotNumber,0),MATCH(S$3,PlotTitles,0)))=FALSE, $AB$22,TRUE,"")</f>
        <v/>
      </c>
      <c r="T189" s="104" t="str" cm="1">
        <f t="array" ref="T189">_xlfn.IFS(AND(A189&gt;NumberOfPlots,ISBLANK(INDEX(PlotData,MATCH($A189,PlotNumber,0),MATCH(B$3,PlotTitles,0)))),"",OR(AND(INDEX(PlotData,MATCH($A189,PlotNumber,0),MATCH("Tenure",PlotTitles,0))="Open market housing",INDEX(PlotData,MATCH($A189,PlotNumber,0),MATCH("Tenure detail",PlotTitles,0))="Private rented sector"),INDEX(PlotData,MATCH($A189,PlotNumber,0),MATCH("Tenure",PlotTitles,0))="Affordable rent"),"",INDEX(PlotData,MATCH($A189,PlotNumber,0),MATCH(S$3,PlotTitles,0))&lt;10000, $AB$23,TRUE,"")</f>
        <v/>
      </c>
      <c r="U189" s="104" t="str" cm="1">
        <f t="array" ref="U189">_xlfn.IFS(AND(A189&gt;NumberOfPlots,ISBLANK(INDEX(PlotData,MATCH($A189,PlotNumber,0),MATCH(B$3,PlotTitles,0)))),"",NOT(OR(AND(INDEX(PlotData,MATCH($A189,PlotNumber,0),MATCH("Tenure",PlotTitles,0))="Open market housing",INDEX(PlotData,MATCH($A189,PlotNumber,0),MATCH("Tenure detail",PlotTitles,0))="Private rented sector"),INDEX(PlotData,MATCH($A189,PlotNumber,0),MATCH("Tenure",PlotTitles,0))="Affordable rent")),"",NOT(INDEX(PlotData,MATCH($A189,PlotNumber,0),MATCH(S$3,PlotTitles,0))=0), $AB$24,TRUE,"")</f>
        <v/>
      </c>
      <c r="V189" s="114" t="str" cm="1">
        <f t="array" aca="1" ref="V189" ca="1">_xlfn.IFS(ISBLANK(NumberOfPlots),"Enter the number of homes on the 1_SetUp sheet",AND(A189&gt;NumberOfPlots,ISBLANK(INDEX(PlotData,MATCH($A189,PlotNumber,0),MATCH(B$3,PlotTitles,0)))),"No error",NOT(B189=""),B189,NOT(C189=""),C189,NOT(D189=""),D189,NOT(E189=""),E189,NOT(F189=""),F189,NOT(G189=""),G189,NOT(H189=""),H189,NOT(I189=""),I189,NOT(J189=""),J189,NOT(K189=""),K189,NOT(L189=""),L189,NOT(M189=""),M189,NOT(N189=""),N189,NOT(O189=""),O189,NOT(P189=""),P189,NOT(Q189=""),Q189,NOT(R189=""),R189,NOT(S189=""),S189,NOT(T189=""),T189,NOT(U189=""),U189,TRUE,"No error")</f>
        <v>Enter the number of homes on the 1_SetUp sheet</v>
      </c>
      <c r="W189" s="114" t="str">
        <f t="shared" ca="1" si="8"/>
        <v xml:space="preserve">The Borrower has not addressed the following error messages for Home ID 185: </v>
      </c>
    </row>
    <row r="190" spans="1:23">
      <c r="A190" s="123">
        <v>186</v>
      </c>
      <c r="B190" s="104" t="str" cm="1">
        <f t="array" ref="B190">_xlfn.IFS(AND(A190&gt;NumberOfPlots,ISBLANK(INDEX(PlotData,MATCH($A190,PlotNumber,0),MATCH(B$3,PlotTitles,0)))),"",ISNUMBER(INDEX(PlotData,MATCH($A190,PlotNumber,0),MATCH(B$3,PlotTitles,0)))=FALSE, $AB$5,TRUE,"")</f>
        <v/>
      </c>
      <c r="C190" s="104" t="str" cm="1">
        <f t="array" ref="C190">_xlfn.IFS(AND(A190&gt;NumberOfPlots,ISBLANK(INDEX(PlotData,MATCH($A190,PlotNumber,0),MATCH(B$3,PlotTitles,0)))),"",ISBLANK(INDEX(PlotData,MATCH($A190,PlotNumber,0),MATCH(C$3,PlotTitles,0))),$AB$6,TRUE,"")</f>
        <v/>
      </c>
      <c r="D190" s="104" t="str" cm="1">
        <f t="array" ref="D190">_xlfn.IFS(AND(A190&gt;NumberOfPlots,ISBLANK(INDEX(PlotData,MATCH($A190,PlotNumber,0),MATCH(B$3,PlotTitles,0)))),"",ISBLANK(INDEX(PlotData,MATCH($A190,PlotNumber,0),MATCH(D$3,PlotTitles,0))),$AB$7,TRUE,"")</f>
        <v/>
      </c>
      <c r="E190" s="104" t="str" cm="1">
        <f t="array" ref="E190">_xlfn.IFS(AND(A190&gt;NumberOfPlots,ISBLANK(INDEX(PlotData,MATCH($A190,PlotNumber,0),MATCH(B$3,PlotTitles,0)))),"",ISBLANK(INDEX(PlotData,MATCH($A190,PlotNumber,0),MATCH(E$3,PlotTitles,0))),$AB$8,TRUE,"")</f>
        <v/>
      </c>
      <c r="F190" s="104" t="str" cm="1">
        <f t="array" ref="F190">_xlfn.IFS(AND(A190&gt;NumberOfPlots,ISBLANK(INDEX(PlotData,MATCH($A190,PlotNumber,0),MATCH(B$3,PlotTitles,0)))),"",ISBLANK(INDEX(PlotData,MATCH($A190,PlotNumber,0),MATCH(F$3,PlotTitles,0))),$AB$9,TRUE,"")</f>
        <v/>
      </c>
      <c r="G190" s="104" t="str" cm="1">
        <f t="array" ref="G190">_xlfn.IFS(AND(A190&gt;NumberOfPlots,ISBLANK(INDEX(PlotData,MATCH($A190,PlotNumber,0),MATCH(B$3,PlotTitles,0)))),"",ISBLANK(INDEX(PlotData,MATCH($A190,PlotNumber,0),MATCH(G$3,PlotTitles,0))),$AB$10,TRUE,"")</f>
        <v/>
      </c>
      <c r="H190" s="104" t="str" cm="1">
        <f t="array" ref="H190">_xlfn.IFS(AND(A190&gt;NumberOfPlots,ISBLANK(INDEX(PlotData,MATCH($A190,PlotNumber,0),MATCH(B$3,PlotTitles,0)))),"",AND(ISBLANK(INDEX(PlotData,MATCH($A190,PlotNumber,0),MATCH(H$3,PlotTitles,0)))=FALSE,INDEX(PlotData,MATCH($A190,PlotNumber,0),MATCH(H$3,PlotTitles,0))&lt;500), $AB$11,TRUE,"")</f>
        <v/>
      </c>
      <c r="I190" s="104" t="str" cm="1">
        <f t="array" ref="I190">_xlfn.IFS(AND(A190&gt;NumberOfPlots,ISBLANK(INDEX(PlotData,MATCH($A190,PlotNumber,0),MATCH(B$3,PlotTitles,0)))),"",ISBLANK(INDEX(PlotData,MATCH($A190,PlotNumber,0),MATCH(I$3,PlotTitles,0))),$AB$12,TRUE,"")</f>
        <v/>
      </c>
      <c r="J190" s="104" t="str" cm="1">
        <f t="array" ref="J190">_xlfn.IFS(AND(A190&gt;NumberOfPlots,ISBLANK(INDEX(PlotData,MATCH($A190,PlotNumber,0),MATCH(B$3,PlotTitles,0)))),"",ISBLANK(INDEX(PlotData,MATCH($A190,PlotNumber,0),MATCH(J$3,PlotTitles,0))),$AB$13,TRUE,"")</f>
        <v/>
      </c>
      <c r="K190" s="182" t="str">
        <f t="shared" ca="1" si="6"/>
        <v/>
      </c>
      <c r="L190" s="104" t="str" cm="1">
        <f t="array" ref="L190">_xlfn.IFS(OR(ISBLANK(StartDateMonth),ISBLANK(StartDateYear)),"",AND(A190&gt;NumberOfPlots,ISBLANK(INDEX(PlotData,MATCH($A190,PlotNumber,0),MATCH(B$3,PlotTitles,0)))),"",ISBLANK(INDEX(PlotData,MATCH($A190,PlotNumber,0),MATCH(I$3,PlotTitles,0))),"",(DATEVALUE(INDEX(PlotData,MATCH($A190,PlotNumber,0),MATCH(I$3,PlotTitles,0))&amp;INDEX(PlotData,MATCH($A190,PlotNumber,0),MATCH(J$3,PlotTitles,0))))&lt;DATEVALUE(StartDateMonth&amp;StartDateYear),$AB$15,TRUE,"")</f>
        <v/>
      </c>
      <c r="M190" s="104" t="str" cm="1">
        <f t="array" ref="M190">_xlfn.IFS(OR(ISBLANK(StartDateMonth),ISBLANK(StartDateYear)),"",AND(A190&gt;NumberOfPlots,ISBLANK(INDEX(PlotData,MATCH($A190,PlotNumber,0),MATCH(B$3,PlotTitles,0)))),"",ISBLANK(INDEX(PlotData,MATCH($A190,PlotNumber,0),MATCH(I$3,PlotTitles,0))),"",CompletionMonth="","",(DATEVALUE(INDEX(PlotData,MATCH($A190,PlotNumber,0),MATCH(I$3,PlotTitles,0))&amp;INDEX(PlotData,MATCH($A190,PlotNumber,0),MATCH(J$3,PlotTitles,0))))&gt;(DATEVALUE(CompletionMonth&amp;CompletionYear)),$AB$16,TRUE,"")</f>
        <v/>
      </c>
      <c r="N190" s="104" t="str" cm="1">
        <f t="array" ref="N190">_xlfn.IFS(AND(A190&gt;NumberOfPlots,ISBLANK(INDEX(PlotData,MATCH($A190,PlotNumber,0),MATCH(B$3,PlotTitles,0)))),"",ISBLANK(INDEX(PlotData,MATCH($A190,PlotNumber,0),MATCH(N$3,PlotTitles,0))),$AB$17,TRUE,"")</f>
        <v/>
      </c>
      <c r="O190" s="104" t="str" cm="1">
        <f t="array" ref="O190">_xlfn.IFS(AND(A190&gt;NumberOfPlots,ISBLANK(INDEX(PlotData,MATCH($A190,PlotNumber,0),MATCH(B$3,PlotTitles,0)))),"",ISBLANK(INDEX(PlotData,MATCH($A190,PlotNumber,0),MATCH(O$3,PlotTitles,0))),$AB$18,TRUE,"")</f>
        <v/>
      </c>
      <c r="P190" s="182" t="str">
        <f t="shared" ca="1" si="7"/>
        <v/>
      </c>
      <c r="Q190" s="104" t="str" cm="1">
        <f t="array" ref="Q190">_xlfn.IFS(AND(A190&gt;NumberOfPlots,ISBLANK(INDEX(PlotData,MATCH($A190,PlotNumber,0),MATCH(B$3,PlotTitles,0)))),"",ISBLANK(INDEX(PlotData,MATCH($A190,PlotNumber,0),MATCH(N$3,PlotTitles,0))),"",(DATEVALUE(INDEX(PlotData,MATCH($A190,PlotNumber,0),MATCH(N$3,PlotTitles,0))&amp;INDEX(PlotData,MATCH($A190,PlotNumber,0),MATCH(O$3,PlotTitles,0))))&lt;(DATEVALUE(INDEX(PlotData,MATCH($A190,PlotNumber,0),MATCH(I$3,PlotTitles,0))&amp;INDEX(PlotData,MATCH($A190,PlotNumber,0),MATCH(J$3,PlotTitles,0)))),$AB$20,TRUE,"")</f>
        <v/>
      </c>
      <c r="R190" s="104" t="str" cm="1">
        <f t="array" ref="R190">_xlfn.IFS(OR(ISBLANK(StartDateMonth),ISBLANK(StartDateYear)),"",AND(A190&gt;NumberOfPlots,ISBLANK(INDEX(PlotData,MATCH($A190,PlotNumber,0),MATCH(B$3,PlotTitles,0)))),"",ISBLANK(INDEX(PlotData,MATCH($A190,PlotNumber,0),MATCH(N$3,PlotTitles,0))),"",CompletionMonth="","",(DATEVALUE(INDEX(PlotData,MATCH($A190,PlotNumber,0),MATCH(N$3,PlotTitles,0))&amp;INDEX(PlotData,MATCH($A190,PlotNumber,0),MATCH(O$3,PlotTitles,0))))&gt;(DATEVALUE(CompletionMonth&amp;CompletionYear)),$AB$21,TRUE,"")</f>
        <v/>
      </c>
      <c r="S190" s="104" t="str" cm="1">
        <f t="array" ref="S190">_xlfn.IFS(AND(A190&gt;NumberOfPlots,ISBLANK(INDEX(PlotData,MATCH($A190,PlotNumber,0),MATCH(B$3,PlotTitles,0)))),"",OR(AND(INDEX(PlotData,MATCH($A190,PlotNumber,0),MATCH("Tenure",PlotTitles,0))="Open market housing",INDEX(PlotData,MATCH($A190,PlotNumber,0),MATCH("Tenure detail",PlotTitles,0))="Private rented sector"),INDEX(PlotData,MATCH($A190,PlotNumber,0),MATCH("Tenure",PlotTitles,0))="Affordable rent"),"",ISNUMBER(INDEX(PlotData,MATCH($A190,PlotNumber,0),MATCH(S$3,PlotTitles,0)))=FALSE, $AB$22,TRUE,"")</f>
        <v/>
      </c>
      <c r="T190" s="104" t="str" cm="1">
        <f t="array" ref="T190">_xlfn.IFS(AND(A190&gt;NumberOfPlots,ISBLANK(INDEX(PlotData,MATCH($A190,PlotNumber,0),MATCH(B$3,PlotTitles,0)))),"",OR(AND(INDEX(PlotData,MATCH($A190,PlotNumber,0),MATCH("Tenure",PlotTitles,0))="Open market housing",INDEX(PlotData,MATCH($A190,PlotNumber,0),MATCH("Tenure detail",PlotTitles,0))="Private rented sector"),INDEX(PlotData,MATCH($A190,PlotNumber,0),MATCH("Tenure",PlotTitles,0))="Affordable rent"),"",INDEX(PlotData,MATCH($A190,PlotNumber,0),MATCH(S$3,PlotTitles,0))&lt;10000, $AB$23,TRUE,"")</f>
        <v/>
      </c>
      <c r="U190" s="104" t="str" cm="1">
        <f t="array" ref="U190">_xlfn.IFS(AND(A190&gt;NumberOfPlots,ISBLANK(INDEX(PlotData,MATCH($A190,PlotNumber,0),MATCH(B$3,PlotTitles,0)))),"",NOT(OR(AND(INDEX(PlotData,MATCH($A190,PlotNumber,0),MATCH("Tenure",PlotTitles,0))="Open market housing",INDEX(PlotData,MATCH($A190,PlotNumber,0),MATCH("Tenure detail",PlotTitles,0))="Private rented sector"),INDEX(PlotData,MATCH($A190,PlotNumber,0),MATCH("Tenure",PlotTitles,0))="Affordable rent")),"",NOT(INDEX(PlotData,MATCH($A190,PlotNumber,0),MATCH(S$3,PlotTitles,0))=0), $AB$24,TRUE,"")</f>
        <v/>
      </c>
      <c r="V190" s="114" t="str" cm="1">
        <f t="array" aca="1" ref="V190" ca="1">_xlfn.IFS(ISBLANK(NumberOfPlots),"Enter the number of homes on the 1_SetUp sheet",AND(A190&gt;NumberOfPlots,ISBLANK(INDEX(PlotData,MATCH($A190,PlotNumber,0),MATCH(B$3,PlotTitles,0)))),"No error",NOT(B190=""),B190,NOT(C190=""),C190,NOT(D190=""),D190,NOT(E190=""),E190,NOT(F190=""),F190,NOT(G190=""),G190,NOT(H190=""),H190,NOT(I190=""),I190,NOT(J190=""),J190,NOT(K190=""),K190,NOT(L190=""),L190,NOT(M190=""),M190,NOT(N190=""),N190,NOT(O190=""),O190,NOT(P190=""),P190,NOT(Q190=""),Q190,NOT(R190=""),R190,NOT(S190=""),S190,NOT(T190=""),T190,NOT(U190=""),U190,TRUE,"No error")</f>
        <v>Enter the number of homes on the 1_SetUp sheet</v>
      </c>
      <c r="W190" s="114" t="str">
        <f t="shared" ca="1" si="8"/>
        <v xml:space="preserve">The Borrower has not addressed the following error messages for Home ID 186: </v>
      </c>
    </row>
    <row r="191" spans="1:23">
      <c r="A191" s="123">
        <v>187</v>
      </c>
      <c r="B191" s="104" t="str" cm="1">
        <f t="array" ref="B191">_xlfn.IFS(AND(A191&gt;NumberOfPlots,ISBLANK(INDEX(PlotData,MATCH($A191,PlotNumber,0),MATCH(B$3,PlotTitles,0)))),"",ISNUMBER(INDEX(PlotData,MATCH($A191,PlotNumber,0),MATCH(B$3,PlotTitles,0)))=FALSE, $AB$5,TRUE,"")</f>
        <v/>
      </c>
      <c r="C191" s="104" t="str" cm="1">
        <f t="array" ref="C191">_xlfn.IFS(AND(A191&gt;NumberOfPlots,ISBLANK(INDEX(PlotData,MATCH($A191,PlotNumber,0),MATCH(B$3,PlotTitles,0)))),"",ISBLANK(INDEX(PlotData,MATCH($A191,PlotNumber,0),MATCH(C$3,PlotTitles,0))),$AB$6,TRUE,"")</f>
        <v/>
      </c>
      <c r="D191" s="104" t="str" cm="1">
        <f t="array" ref="D191">_xlfn.IFS(AND(A191&gt;NumberOfPlots,ISBLANK(INDEX(PlotData,MATCH($A191,PlotNumber,0),MATCH(B$3,PlotTitles,0)))),"",ISBLANK(INDEX(PlotData,MATCH($A191,PlotNumber,0),MATCH(D$3,PlotTitles,0))),$AB$7,TRUE,"")</f>
        <v/>
      </c>
      <c r="E191" s="104" t="str" cm="1">
        <f t="array" ref="E191">_xlfn.IFS(AND(A191&gt;NumberOfPlots,ISBLANK(INDEX(PlotData,MATCH($A191,PlotNumber,0),MATCH(B$3,PlotTitles,0)))),"",ISBLANK(INDEX(PlotData,MATCH($A191,PlotNumber,0),MATCH(E$3,PlotTitles,0))),$AB$8,TRUE,"")</f>
        <v/>
      </c>
      <c r="F191" s="104" t="str" cm="1">
        <f t="array" ref="F191">_xlfn.IFS(AND(A191&gt;NumberOfPlots,ISBLANK(INDEX(PlotData,MATCH($A191,PlotNumber,0),MATCH(B$3,PlotTitles,0)))),"",ISBLANK(INDEX(PlotData,MATCH($A191,PlotNumber,0),MATCH(F$3,PlotTitles,0))),$AB$9,TRUE,"")</f>
        <v/>
      </c>
      <c r="G191" s="104" t="str" cm="1">
        <f t="array" ref="G191">_xlfn.IFS(AND(A191&gt;NumberOfPlots,ISBLANK(INDEX(PlotData,MATCH($A191,PlotNumber,0),MATCH(B$3,PlotTitles,0)))),"",ISBLANK(INDEX(PlotData,MATCH($A191,PlotNumber,0),MATCH(G$3,PlotTitles,0))),$AB$10,TRUE,"")</f>
        <v/>
      </c>
      <c r="H191" s="104" t="str" cm="1">
        <f t="array" ref="H191">_xlfn.IFS(AND(A191&gt;NumberOfPlots,ISBLANK(INDEX(PlotData,MATCH($A191,PlotNumber,0),MATCH(B$3,PlotTitles,0)))),"",AND(ISBLANK(INDEX(PlotData,MATCH($A191,PlotNumber,0),MATCH(H$3,PlotTitles,0)))=FALSE,INDEX(PlotData,MATCH($A191,PlotNumber,0),MATCH(H$3,PlotTitles,0))&lt;500), $AB$11,TRUE,"")</f>
        <v/>
      </c>
      <c r="I191" s="104" t="str" cm="1">
        <f t="array" ref="I191">_xlfn.IFS(AND(A191&gt;NumberOfPlots,ISBLANK(INDEX(PlotData,MATCH($A191,PlotNumber,0),MATCH(B$3,PlotTitles,0)))),"",ISBLANK(INDEX(PlotData,MATCH($A191,PlotNumber,0),MATCH(I$3,PlotTitles,0))),$AB$12,TRUE,"")</f>
        <v/>
      </c>
      <c r="J191" s="104" t="str" cm="1">
        <f t="array" ref="J191">_xlfn.IFS(AND(A191&gt;NumberOfPlots,ISBLANK(INDEX(PlotData,MATCH($A191,PlotNumber,0),MATCH(B$3,PlotTitles,0)))),"",ISBLANK(INDEX(PlotData,MATCH($A191,PlotNumber,0),MATCH(J$3,PlotTitles,0))),$AB$13,TRUE,"")</f>
        <v/>
      </c>
      <c r="K191" s="182" t="str">
        <f t="shared" ca="1" si="6"/>
        <v/>
      </c>
      <c r="L191" s="104" t="str" cm="1">
        <f t="array" ref="L191">_xlfn.IFS(OR(ISBLANK(StartDateMonth),ISBLANK(StartDateYear)),"",AND(A191&gt;NumberOfPlots,ISBLANK(INDEX(PlotData,MATCH($A191,PlotNumber,0),MATCH(B$3,PlotTitles,0)))),"",ISBLANK(INDEX(PlotData,MATCH($A191,PlotNumber,0),MATCH(I$3,PlotTitles,0))),"",(DATEVALUE(INDEX(PlotData,MATCH($A191,PlotNumber,0),MATCH(I$3,PlotTitles,0))&amp;INDEX(PlotData,MATCH($A191,PlotNumber,0),MATCH(J$3,PlotTitles,0))))&lt;DATEVALUE(StartDateMonth&amp;StartDateYear),$AB$15,TRUE,"")</f>
        <v/>
      </c>
      <c r="M191" s="104" t="str" cm="1">
        <f t="array" ref="M191">_xlfn.IFS(OR(ISBLANK(StartDateMonth),ISBLANK(StartDateYear)),"",AND(A191&gt;NumberOfPlots,ISBLANK(INDEX(PlotData,MATCH($A191,PlotNumber,0),MATCH(B$3,PlotTitles,0)))),"",ISBLANK(INDEX(PlotData,MATCH($A191,PlotNumber,0),MATCH(I$3,PlotTitles,0))),"",CompletionMonth="","",(DATEVALUE(INDEX(PlotData,MATCH($A191,PlotNumber,0),MATCH(I$3,PlotTitles,0))&amp;INDEX(PlotData,MATCH($A191,PlotNumber,0),MATCH(J$3,PlotTitles,0))))&gt;(DATEVALUE(CompletionMonth&amp;CompletionYear)),$AB$16,TRUE,"")</f>
        <v/>
      </c>
      <c r="N191" s="104" t="str" cm="1">
        <f t="array" ref="N191">_xlfn.IFS(AND(A191&gt;NumberOfPlots,ISBLANK(INDEX(PlotData,MATCH($A191,PlotNumber,0),MATCH(B$3,PlotTitles,0)))),"",ISBLANK(INDEX(PlotData,MATCH($A191,PlotNumber,0),MATCH(N$3,PlotTitles,0))),$AB$17,TRUE,"")</f>
        <v/>
      </c>
      <c r="O191" s="104" t="str" cm="1">
        <f t="array" ref="O191">_xlfn.IFS(AND(A191&gt;NumberOfPlots,ISBLANK(INDEX(PlotData,MATCH($A191,PlotNumber,0),MATCH(B$3,PlotTitles,0)))),"",ISBLANK(INDEX(PlotData,MATCH($A191,PlotNumber,0),MATCH(O$3,PlotTitles,0))),$AB$18,TRUE,"")</f>
        <v/>
      </c>
      <c r="P191" s="182" t="str">
        <f t="shared" ca="1" si="7"/>
        <v/>
      </c>
      <c r="Q191" s="104" t="str" cm="1">
        <f t="array" ref="Q191">_xlfn.IFS(AND(A191&gt;NumberOfPlots,ISBLANK(INDEX(PlotData,MATCH($A191,PlotNumber,0),MATCH(B$3,PlotTitles,0)))),"",ISBLANK(INDEX(PlotData,MATCH($A191,PlotNumber,0),MATCH(N$3,PlotTitles,0))),"",(DATEVALUE(INDEX(PlotData,MATCH($A191,PlotNumber,0),MATCH(N$3,PlotTitles,0))&amp;INDEX(PlotData,MATCH($A191,PlotNumber,0),MATCH(O$3,PlotTitles,0))))&lt;(DATEVALUE(INDEX(PlotData,MATCH($A191,PlotNumber,0),MATCH(I$3,PlotTitles,0))&amp;INDEX(PlotData,MATCH($A191,PlotNumber,0),MATCH(J$3,PlotTitles,0)))),$AB$20,TRUE,"")</f>
        <v/>
      </c>
      <c r="R191" s="104" t="str" cm="1">
        <f t="array" ref="R191">_xlfn.IFS(OR(ISBLANK(StartDateMonth),ISBLANK(StartDateYear)),"",AND(A191&gt;NumberOfPlots,ISBLANK(INDEX(PlotData,MATCH($A191,PlotNumber,0),MATCH(B$3,PlotTitles,0)))),"",ISBLANK(INDEX(PlotData,MATCH($A191,PlotNumber,0),MATCH(N$3,PlotTitles,0))),"",CompletionMonth="","",(DATEVALUE(INDEX(PlotData,MATCH($A191,PlotNumber,0),MATCH(N$3,PlotTitles,0))&amp;INDEX(PlotData,MATCH($A191,PlotNumber,0),MATCH(O$3,PlotTitles,0))))&gt;(DATEVALUE(CompletionMonth&amp;CompletionYear)),$AB$21,TRUE,"")</f>
        <v/>
      </c>
      <c r="S191" s="104" t="str" cm="1">
        <f t="array" ref="S191">_xlfn.IFS(AND(A191&gt;NumberOfPlots,ISBLANK(INDEX(PlotData,MATCH($A191,PlotNumber,0),MATCH(B$3,PlotTitles,0)))),"",OR(AND(INDEX(PlotData,MATCH($A191,PlotNumber,0),MATCH("Tenure",PlotTitles,0))="Open market housing",INDEX(PlotData,MATCH($A191,PlotNumber,0),MATCH("Tenure detail",PlotTitles,0))="Private rented sector"),INDEX(PlotData,MATCH($A191,PlotNumber,0),MATCH("Tenure",PlotTitles,0))="Affordable rent"),"",ISNUMBER(INDEX(PlotData,MATCH($A191,PlotNumber,0),MATCH(S$3,PlotTitles,0)))=FALSE, $AB$22,TRUE,"")</f>
        <v/>
      </c>
      <c r="T191" s="104" t="str" cm="1">
        <f t="array" ref="T191">_xlfn.IFS(AND(A191&gt;NumberOfPlots,ISBLANK(INDEX(PlotData,MATCH($A191,PlotNumber,0),MATCH(B$3,PlotTitles,0)))),"",OR(AND(INDEX(PlotData,MATCH($A191,PlotNumber,0),MATCH("Tenure",PlotTitles,0))="Open market housing",INDEX(PlotData,MATCH($A191,PlotNumber,0),MATCH("Tenure detail",PlotTitles,0))="Private rented sector"),INDEX(PlotData,MATCH($A191,PlotNumber,0),MATCH("Tenure",PlotTitles,0))="Affordable rent"),"",INDEX(PlotData,MATCH($A191,PlotNumber,0),MATCH(S$3,PlotTitles,0))&lt;10000, $AB$23,TRUE,"")</f>
        <v/>
      </c>
      <c r="U191" s="104" t="str" cm="1">
        <f t="array" ref="U191">_xlfn.IFS(AND(A191&gt;NumberOfPlots,ISBLANK(INDEX(PlotData,MATCH($A191,PlotNumber,0),MATCH(B$3,PlotTitles,0)))),"",NOT(OR(AND(INDEX(PlotData,MATCH($A191,PlotNumber,0),MATCH("Tenure",PlotTitles,0))="Open market housing",INDEX(PlotData,MATCH($A191,PlotNumber,0),MATCH("Tenure detail",PlotTitles,0))="Private rented sector"),INDEX(PlotData,MATCH($A191,PlotNumber,0),MATCH("Tenure",PlotTitles,0))="Affordable rent")),"",NOT(INDEX(PlotData,MATCH($A191,PlotNumber,0),MATCH(S$3,PlotTitles,0))=0), $AB$24,TRUE,"")</f>
        <v/>
      </c>
      <c r="V191" s="114" t="str" cm="1">
        <f t="array" aca="1" ref="V191" ca="1">_xlfn.IFS(ISBLANK(NumberOfPlots),"Enter the number of homes on the 1_SetUp sheet",AND(A191&gt;NumberOfPlots,ISBLANK(INDEX(PlotData,MATCH($A191,PlotNumber,0),MATCH(B$3,PlotTitles,0)))),"No error",NOT(B191=""),B191,NOT(C191=""),C191,NOT(D191=""),D191,NOT(E191=""),E191,NOT(F191=""),F191,NOT(G191=""),G191,NOT(H191=""),H191,NOT(I191=""),I191,NOT(J191=""),J191,NOT(K191=""),K191,NOT(L191=""),L191,NOT(M191=""),M191,NOT(N191=""),N191,NOT(O191=""),O191,NOT(P191=""),P191,NOT(Q191=""),Q191,NOT(R191=""),R191,NOT(S191=""),S191,NOT(T191=""),T191,NOT(U191=""),U191,TRUE,"No error")</f>
        <v>Enter the number of homes on the 1_SetUp sheet</v>
      </c>
      <c r="W191" s="114" t="str">
        <f t="shared" ca="1" si="8"/>
        <v xml:space="preserve">The Borrower has not addressed the following error messages for Home ID 187: </v>
      </c>
    </row>
    <row r="192" spans="1:23">
      <c r="A192" s="123">
        <v>188</v>
      </c>
      <c r="B192" s="104" t="str" cm="1">
        <f t="array" ref="B192">_xlfn.IFS(AND(A192&gt;NumberOfPlots,ISBLANK(INDEX(PlotData,MATCH($A192,PlotNumber,0),MATCH(B$3,PlotTitles,0)))),"",ISNUMBER(INDEX(PlotData,MATCH($A192,PlotNumber,0),MATCH(B$3,PlotTitles,0)))=FALSE, $AB$5,TRUE,"")</f>
        <v/>
      </c>
      <c r="C192" s="104" t="str" cm="1">
        <f t="array" ref="C192">_xlfn.IFS(AND(A192&gt;NumberOfPlots,ISBLANK(INDEX(PlotData,MATCH($A192,PlotNumber,0),MATCH(B$3,PlotTitles,0)))),"",ISBLANK(INDEX(PlotData,MATCH($A192,PlotNumber,0),MATCH(C$3,PlotTitles,0))),$AB$6,TRUE,"")</f>
        <v/>
      </c>
      <c r="D192" s="104" t="str" cm="1">
        <f t="array" ref="D192">_xlfn.IFS(AND(A192&gt;NumberOfPlots,ISBLANK(INDEX(PlotData,MATCH($A192,PlotNumber,0),MATCH(B$3,PlotTitles,0)))),"",ISBLANK(INDEX(PlotData,MATCH($A192,PlotNumber,0),MATCH(D$3,PlotTitles,0))),$AB$7,TRUE,"")</f>
        <v/>
      </c>
      <c r="E192" s="104" t="str" cm="1">
        <f t="array" ref="E192">_xlfn.IFS(AND(A192&gt;NumberOfPlots,ISBLANK(INDEX(PlotData,MATCH($A192,PlotNumber,0),MATCH(B$3,PlotTitles,0)))),"",ISBLANK(INDEX(PlotData,MATCH($A192,PlotNumber,0),MATCH(E$3,PlotTitles,0))),$AB$8,TRUE,"")</f>
        <v/>
      </c>
      <c r="F192" s="104" t="str" cm="1">
        <f t="array" ref="F192">_xlfn.IFS(AND(A192&gt;NumberOfPlots,ISBLANK(INDEX(PlotData,MATCH($A192,PlotNumber,0),MATCH(B$3,PlotTitles,0)))),"",ISBLANK(INDEX(PlotData,MATCH($A192,PlotNumber,0),MATCH(F$3,PlotTitles,0))),$AB$9,TRUE,"")</f>
        <v/>
      </c>
      <c r="G192" s="104" t="str" cm="1">
        <f t="array" ref="G192">_xlfn.IFS(AND(A192&gt;NumberOfPlots,ISBLANK(INDEX(PlotData,MATCH($A192,PlotNumber,0),MATCH(B$3,PlotTitles,0)))),"",ISBLANK(INDEX(PlotData,MATCH($A192,PlotNumber,0),MATCH(G$3,PlotTitles,0))),$AB$10,TRUE,"")</f>
        <v/>
      </c>
      <c r="H192" s="104" t="str" cm="1">
        <f t="array" ref="H192">_xlfn.IFS(AND(A192&gt;NumberOfPlots,ISBLANK(INDEX(PlotData,MATCH($A192,PlotNumber,0),MATCH(B$3,PlotTitles,0)))),"",AND(ISBLANK(INDEX(PlotData,MATCH($A192,PlotNumber,0),MATCH(H$3,PlotTitles,0)))=FALSE,INDEX(PlotData,MATCH($A192,PlotNumber,0),MATCH(H$3,PlotTitles,0))&lt;500), $AB$11,TRUE,"")</f>
        <v/>
      </c>
      <c r="I192" s="104" t="str" cm="1">
        <f t="array" ref="I192">_xlfn.IFS(AND(A192&gt;NumberOfPlots,ISBLANK(INDEX(PlotData,MATCH($A192,PlotNumber,0),MATCH(B$3,PlotTitles,0)))),"",ISBLANK(INDEX(PlotData,MATCH($A192,PlotNumber,0),MATCH(I$3,PlotTitles,0))),$AB$12,TRUE,"")</f>
        <v/>
      </c>
      <c r="J192" s="104" t="str" cm="1">
        <f t="array" ref="J192">_xlfn.IFS(AND(A192&gt;NumberOfPlots,ISBLANK(INDEX(PlotData,MATCH($A192,PlotNumber,0),MATCH(B$3,PlotTitles,0)))),"",ISBLANK(INDEX(PlotData,MATCH($A192,PlotNumber,0),MATCH(J$3,PlotTitles,0))),$AB$13,TRUE,"")</f>
        <v/>
      </c>
      <c r="K192" s="182" t="str">
        <f t="shared" ca="1" si="6"/>
        <v/>
      </c>
      <c r="L192" s="104" t="str" cm="1">
        <f t="array" ref="L192">_xlfn.IFS(OR(ISBLANK(StartDateMonth),ISBLANK(StartDateYear)),"",AND(A192&gt;NumberOfPlots,ISBLANK(INDEX(PlotData,MATCH($A192,PlotNumber,0),MATCH(B$3,PlotTitles,0)))),"",ISBLANK(INDEX(PlotData,MATCH($A192,PlotNumber,0),MATCH(I$3,PlotTitles,0))),"",(DATEVALUE(INDEX(PlotData,MATCH($A192,PlotNumber,0),MATCH(I$3,PlotTitles,0))&amp;INDEX(PlotData,MATCH($A192,PlotNumber,0),MATCH(J$3,PlotTitles,0))))&lt;DATEVALUE(StartDateMonth&amp;StartDateYear),$AB$15,TRUE,"")</f>
        <v/>
      </c>
      <c r="M192" s="104" t="str" cm="1">
        <f t="array" ref="M192">_xlfn.IFS(OR(ISBLANK(StartDateMonth),ISBLANK(StartDateYear)),"",AND(A192&gt;NumberOfPlots,ISBLANK(INDEX(PlotData,MATCH($A192,PlotNumber,0),MATCH(B$3,PlotTitles,0)))),"",ISBLANK(INDEX(PlotData,MATCH($A192,PlotNumber,0),MATCH(I$3,PlotTitles,0))),"",CompletionMonth="","",(DATEVALUE(INDEX(PlotData,MATCH($A192,PlotNumber,0),MATCH(I$3,PlotTitles,0))&amp;INDEX(PlotData,MATCH($A192,PlotNumber,0),MATCH(J$3,PlotTitles,0))))&gt;(DATEVALUE(CompletionMonth&amp;CompletionYear)),$AB$16,TRUE,"")</f>
        <v/>
      </c>
      <c r="N192" s="104" t="str" cm="1">
        <f t="array" ref="N192">_xlfn.IFS(AND(A192&gt;NumberOfPlots,ISBLANK(INDEX(PlotData,MATCH($A192,PlotNumber,0),MATCH(B$3,PlotTitles,0)))),"",ISBLANK(INDEX(PlotData,MATCH($A192,PlotNumber,0),MATCH(N$3,PlotTitles,0))),$AB$17,TRUE,"")</f>
        <v/>
      </c>
      <c r="O192" s="104" t="str" cm="1">
        <f t="array" ref="O192">_xlfn.IFS(AND(A192&gt;NumberOfPlots,ISBLANK(INDEX(PlotData,MATCH($A192,PlotNumber,0),MATCH(B$3,PlotTitles,0)))),"",ISBLANK(INDEX(PlotData,MATCH($A192,PlotNumber,0),MATCH(O$3,PlotTitles,0))),$AB$18,TRUE,"")</f>
        <v/>
      </c>
      <c r="P192" s="182" t="str">
        <f t="shared" ca="1" si="7"/>
        <v/>
      </c>
      <c r="Q192" s="104" t="str" cm="1">
        <f t="array" ref="Q192">_xlfn.IFS(AND(A192&gt;NumberOfPlots,ISBLANK(INDEX(PlotData,MATCH($A192,PlotNumber,0),MATCH(B$3,PlotTitles,0)))),"",ISBLANK(INDEX(PlotData,MATCH($A192,PlotNumber,0),MATCH(N$3,PlotTitles,0))),"",(DATEVALUE(INDEX(PlotData,MATCH($A192,PlotNumber,0),MATCH(N$3,PlotTitles,0))&amp;INDEX(PlotData,MATCH($A192,PlotNumber,0),MATCH(O$3,PlotTitles,0))))&lt;(DATEVALUE(INDEX(PlotData,MATCH($A192,PlotNumber,0),MATCH(I$3,PlotTitles,0))&amp;INDEX(PlotData,MATCH($A192,PlotNumber,0),MATCH(J$3,PlotTitles,0)))),$AB$20,TRUE,"")</f>
        <v/>
      </c>
      <c r="R192" s="104" t="str" cm="1">
        <f t="array" ref="R192">_xlfn.IFS(OR(ISBLANK(StartDateMonth),ISBLANK(StartDateYear)),"",AND(A192&gt;NumberOfPlots,ISBLANK(INDEX(PlotData,MATCH($A192,PlotNumber,0),MATCH(B$3,PlotTitles,0)))),"",ISBLANK(INDEX(PlotData,MATCH($A192,PlotNumber,0),MATCH(N$3,PlotTitles,0))),"",CompletionMonth="","",(DATEVALUE(INDEX(PlotData,MATCH($A192,PlotNumber,0),MATCH(N$3,PlotTitles,0))&amp;INDEX(PlotData,MATCH($A192,PlotNumber,0),MATCH(O$3,PlotTitles,0))))&gt;(DATEVALUE(CompletionMonth&amp;CompletionYear)),$AB$21,TRUE,"")</f>
        <v/>
      </c>
      <c r="S192" s="104" t="str" cm="1">
        <f t="array" ref="S192">_xlfn.IFS(AND(A192&gt;NumberOfPlots,ISBLANK(INDEX(PlotData,MATCH($A192,PlotNumber,0),MATCH(B$3,PlotTitles,0)))),"",OR(AND(INDEX(PlotData,MATCH($A192,PlotNumber,0),MATCH("Tenure",PlotTitles,0))="Open market housing",INDEX(PlotData,MATCH($A192,PlotNumber,0),MATCH("Tenure detail",PlotTitles,0))="Private rented sector"),INDEX(PlotData,MATCH($A192,PlotNumber,0),MATCH("Tenure",PlotTitles,0))="Affordable rent"),"",ISNUMBER(INDEX(PlotData,MATCH($A192,PlotNumber,0),MATCH(S$3,PlotTitles,0)))=FALSE, $AB$22,TRUE,"")</f>
        <v/>
      </c>
      <c r="T192" s="104" t="str" cm="1">
        <f t="array" ref="T192">_xlfn.IFS(AND(A192&gt;NumberOfPlots,ISBLANK(INDEX(PlotData,MATCH($A192,PlotNumber,0),MATCH(B$3,PlotTitles,0)))),"",OR(AND(INDEX(PlotData,MATCH($A192,PlotNumber,0),MATCH("Tenure",PlotTitles,0))="Open market housing",INDEX(PlotData,MATCH($A192,PlotNumber,0),MATCH("Tenure detail",PlotTitles,0))="Private rented sector"),INDEX(PlotData,MATCH($A192,PlotNumber,0),MATCH("Tenure",PlotTitles,0))="Affordable rent"),"",INDEX(PlotData,MATCH($A192,PlotNumber,0),MATCH(S$3,PlotTitles,0))&lt;10000, $AB$23,TRUE,"")</f>
        <v/>
      </c>
      <c r="U192" s="104" t="str" cm="1">
        <f t="array" ref="U192">_xlfn.IFS(AND(A192&gt;NumberOfPlots,ISBLANK(INDEX(PlotData,MATCH($A192,PlotNumber,0),MATCH(B$3,PlotTitles,0)))),"",NOT(OR(AND(INDEX(PlotData,MATCH($A192,PlotNumber,0),MATCH("Tenure",PlotTitles,0))="Open market housing",INDEX(PlotData,MATCH($A192,PlotNumber,0),MATCH("Tenure detail",PlotTitles,0))="Private rented sector"),INDEX(PlotData,MATCH($A192,PlotNumber,0),MATCH("Tenure",PlotTitles,0))="Affordable rent")),"",NOT(INDEX(PlotData,MATCH($A192,PlotNumber,0),MATCH(S$3,PlotTitles,0))=0), $AB$24,TRUE,"")</f>
        <v/>
      </c>
      <c r="V192" s="114" t="str" cm="1">
        <f t="array" aca="1" ref="V192" ca="1">_xlfn.IFS(ISBLANK(NumberOfPlots),"Enter the number of homes on the 1_SetUp sheet",AND(A192&gt;NumberOfPlots,ISBLANK(INDEX(PlotData,MATCH($A192,PlotNumber,0),MATCH(B$3,PlotTitles,0)))),"No error",NOT(B192=""),B192,NOT(C192=""),C192,NOT(D192=""),D192,NOT(E192=""),E192,NOT(F192=""),F192,NOT(G192=""),G192,NOT(H192=""),H192,NOT(I192=""),I192,NOT(J192=""),J192,NOT(K192=""),K192,NOT(L192=""),L192,NOT(M192=""),M192,NOT(N192=""),N192,NOT(O192=""),O192,NOT(P192=""),P192,NOT(Q192=""),Q192,NOT(R192=""),R192,NOT(S192=""),S192,NOT(T192=""),T192,NOT(U192=""),U192,TRUE,"No error")</f>
        <v>Enter the number of homes on the 1_SetUp sheet</v>
      </c>
      <c r="W192" s="114" t="str">
        <f t="shared" ca="1" si="8"/>
        <v xml:space="preserve">The Borrower has not addressed the following error messages for Home ID 188: </v>
      </c>
    </row>
    <row r="193" spans="1:23">
      <c r="A193" s="123">
        <v>189</v>
      </c>
      <c r="B193" s="104" t="str" cm="1">
        <f t="array" ref="B193">_xlfn.IFS(AND(A193&gt;NumberOfPlots,ISBLANK(INDEX(PlotData,MATCH($A193,PlotNumber,0),MATCH(B$3,PlotTitles,0)))),"",ISNUMBER(INDEX(PlotData,MATCH($A193,PlotNumber,0),MATCH(B$3,PlotTitles,0)))=FALSE, $AB$5,TRUE,"")</f>
        <v/>
      </c>
      <c r="C193" s="104" t="str" cm="1">
        <f t="array" ref="C193">_xlfn.IFS(AND(A193&gt;NumberOfPlots,ISBLANK(INDEX(PlotData,MATCH($A193,PlotNumber,0),MATCH(B$3,PlotTitles,0)))),"",ISBLANK(INDEX(PlotData,MATCH($A193,PlotNumber,0),MATCH(C$3,PlotTitles,0))),$AB$6,TRUE,"")</f>
        <v/>
      </c>
      <c r="D193" s="104" t="str" cm="1">
        <f t="array" ref="D193">_xlfn.IFS(AND(A193&gt;NumberOfPlots,ISBLANK(INDEX(PlotData,MATCH($A193,PlotNumber,0),MATCH(B$3,PlotTitles,0)))),"",ISBLANK(INDEX(PlotData,MATCH($A193,PlotNumber,0),MATCH(D$3,PlotTitles,0))),$AB$7,TRUE,"")</f>
        <v/>
      </c>
      <c r="E193" s="104" t="str" cm="1">
        <f t="array" ref="E193">_xlfn.IFS(AND(A193&gt;NumberOfPlots,ISBLANK(INDEX(PlotData,MATCH($A193,PlotNumber,0),MATCH(B$3,PlotTitles,0)))),"",ISBLANK(INDEX(PlotData,MATCH($A193,PlotNumber,0),MATCH(E$3,PlotTitles,0))),$AB$8,TRUE,"")</f>
        <v/>
      </c>
      <c r="F193" s="104" t="str" cm="1">
        <f t="array" ref="F193">_xlfn.IFS(AND(A193&gt;NumberOfPlots,ISBLANK(INDEX(PlotData,MATCH($A193,PlotNumber,0),MATCH(B$3,PlotTitles,0)))),"",ISBLANK(INDEX(PlotData,MATCH($A193,PlotNumber,0),MATCH(F$3,PlotTitles,0))),$AB$9,TRUE,"")</f>
        <v/>
      </c>
      <c r="G193" s="104" t="str" cm="1">
        <f t="array" ref="G193">_xlfn.IFS(AND(A193&gt;NumberOfPlots,ISBLANK(INDEX(PlotData,MATCH($A193,PlotNumber,0),MATCH(B$3,PlotTitles,0)))),"",ISBLANK(INDEX(PlotData,MATCH($A193,PlotNumber,0),MATCH(G$3,PlotTitles,0))),$AB$10,TRUE,"")</f>
        <v/>
      </c>
      <c r="H193" s="104" t="str" cm="1">
        <f t="array" ref="H193">_xlfn.IFS(AND(A193&gt;NumberOfPlots,ISBLANK(INDEX(PlotData,MATCH($A193,PlotNumber,0),MATCH(B$3,PlotTitles,0)))),"",AND(ISBLANK(INDEX(PlotData,MATCH($A193,PlotNumber,0),MATCH(H$3,PlotTitles,0)))=FALSE,INDEX(PlotData,MATCH($A193,PlotNumber,0),MATCH(H$3,PlotTitles,0))&lt;500), $AB$11,TRUE,"")</f>
        <v/>
      </c>
      <c r="I193" s="104" t="str" cm="1">
        <f t="array" ref="I193">_xlfn.IFS(AND(A193&gt;NumberOfPlots,ISBLANK(INDEX(PlotData,MATCH($A193,PlotNumber,0),MATCH(B$3,PlotTitles,0)))),"",ISBLANK(INDEX(PlotData,MATCH($A193,PlotNumber,0),MATCH(I$3,PlotTitles,0))),$AB$12,TRUE,"")</f>
        <v/>
      </c>
      <c r="J193" s="104" t="str" cm="1">
        <f t="array" ref="J193">_xlfn.IFS(AND(A193&gt;NumberOfPlots,ISBLANK(INDEX(PlotData,MATCH($A193,PlotNumber,0),MATCH(B$3,PlotTitles,0)))),"",ISBLANK(INDEX(PlotData,MATCH($A193,PlotNumber,0),MATCH(J$3,PlotTitles,0))),$AB$13,TRUE,"")</f>
        <v/>
      </c>
      <c r="K193" s="182" t="str">
        <f t="shared" ca="1" si="6"/>
        <v/>
      </c>
      <c r="L193" s="104" t="str" cm="1">
        <f t="array" ref="L193">_xlfn.IFS(OR(ISBLANK(StartDateMonth),ISBLANK(StartDateYear)),"",AND(A193&gt;NumberOfPlots,ISBLANK(INDEX(PlotData,MATCH($A193,PlotNumber,0),MATCH(B$3,PlotTitles,0)))),"",ISBLANK(INDEX(PlotData,MATCH($A193,PlotNumber,0),MATCH(I$3,PlotTitles,0))),"",(DATEVALUE(INDEX(PlotData,MATCH($A193,PlotNumber,0),MATCH(I$3,PlotTitles,0))&amp;INDEX(PlotData,MATCH($A193,PlotNumber,0),MATCH(J$3,PlotTitles,0))))&lt;DATEVALUE(StartDateMonth&amp;StartDateYear),$AB$15,TRUE,"")</f>
        <v/>
      </c>
      <c r="M193" s="104" t="str" cm="1">
        <f t="array" ref="M193">_xlfn.IFS(OR(ISBLANK(StartDateMonth),ISBLANK(StartDateYear)),"",AND(A193&gt;NumberOfPlots,ISBLANK(INDEX(PlotData,MATCH($A193,PlotNumber,0),MATCH(B$3,PlotTitles,0)))),"",ISBLANK(INDEX(PlotData,MATCH($A193,PlotNumber,0),MATCH(I$3,PlotTitles,0))),"",CompletionMonth="","",(DATEVALUE(INDEX(PlotData,MATCH($A193,PlotNumber,0),MATCH(I$3,PlotTitles,0))&amp;INDEX(PlotData,MATCH($A193,PlotNumber,0),MATCH(J$3,PlotTitles,0))))&gt;(DATEVALUE(CompletionMonth&amp;CompletionYear)),$AB$16,TRUE,"")</f>
        <v/>
      </c>
      <c r="N193" s="104" t="str" cm="1">
        <f t="array" ref="N193">_xlfn.IFS(AND(A193&gt;NumberOfPlots,ISBLANK(INDEX(PlotData,MATCH($A193,PlotNumber,0),MATCH(B$3,PlotTitles,0)))),"",ISBLANK(INDEX(PlotData,MATCH($A193,PlotNumber,0),MATCH(N$3,PlotTitles,0))),$AB$17,TRUE,"")</f>
        <v/>
      </c>
      <c r="O193" s="104" t="str" cm="1">
        <f t="array" ref="O193">_xlfn.IFS(AND(A193&gt;NumberOfPlots,ISBLANK(INDEX(PlotData,MATCH($A193,PlotNumber,0),MATCH(B$3,PlotTitles,0)))),"",ISBLANK(INDEX(PlotData,MATCH($A193,PlotNumber,0),MATCH(O$3,PlotTitles,0))),$AB$18,TRUE,"")</f>
        <v/>
      </c>
      <c r="P193" s="182" t="str">
        <f t="shared" ca="1" si="7"/>
        <v/>
      </c>
      <c r="Q193" s="104" t="str" cm="1">
        <f t="array" ref="Q193">_xlfn.IFS(AND(A193&gt;NumberOfPlots,ISBLANK(INDEX(PlotData,MATCH($A193,PlotNumber,0),MATCH(B$3,PlotTitles,0)))),"",ISBLANK(INDEX(PlotData,MATCH($A193,PlotNumber,0),MATCH(N$3,PlotTitles,0))),"",(DATEVALUE(INDEX(PlotData,MATCH($A193,PlotNumber,0),MATCH(N$3,PlotTitles,0))&amp;INDEX(PlotData,MATCH($A193,PlotNumber,0),MATCH(O$3,PlotTitles,0))))&lt;(DATEVALUE(INDEX(PlotData,MATCH($A193,PlotNumber,0),MATCH(I$3,PlotTitles,0))&amp;INDEX(PlotData,MATCH($A193,PlotNumber,0),MATCH(J$3,PlotTitles,0)))),$AB$20,TRUE,"")</f>
        <v/>
      </c>
      <c r="R193" s="104" t="str" cm="1">
        <f t="array" ref="R193">_xlfn.IFS(OR(ISBLANK(StartDateMonth),ISBLANK(StartDateYear)),"",AND(A193&gt;NumberOfPlots,ISBLANK(INDEX(PlotData,MATCH($A193,PlotNumber,0),MATCH(B$3,PlotTitles,0)))),"",ISBLANK(INDEX(PlotData,MATCH($A193,PlotNumber,0),MATCH(N$3,PlotTitles,0))),"",CompletionMonth="","",(DATEVALUE(INDEX(PlotData,MATCH($A193,PlotNumber,0),MATCH(N$3,PlotTitles,0))&amp;INDEX(PlotData,MATCH($A193,PlotNumber,0),MATCH(O$3,PlotTitles,0))))&gt;(DATEVALUE(CompletionMonth&amp;CompletionYear)),$AB$21,TRUE,"")</f>
        <v/>
      </c>
      <c r="S193" s="104" t="str" cm="1">
        <f t="array" ref="S193">_xlfn.IFS(AND(A193&gt;NumberOfPlots,ISBLANK(INDEX(PlotData,MATCH($A193,PlotNumber,0),MATCH(B$3,PlotTitles,0)))),"",OR(AND(INDEX(PlotData,MATCH($A193,PlotNumber,0),MATCH("Tenure",PlotTitles,0))="Open market housing",INDEX(PlotData,MATCH($A193,PlotNumber,0),MATCH("Tenure detail",PlotTitles,0))="Private rented sector"),INDEX(PlotData,MATCH($A193,PlotNumber,0),MATCH("Tenure",PlotTitles,0))="Affordable rent"),"",ISNUMBER(INDEX(PlotData,MATCH($A193,PlotNumber,0),MATCH(S$3,PlotTitles,0)))=FALSE, $AB$22,TRUE,"")</f>
        <v/>
      </c>
      <c r="T193" s="104" t="str" cm="1">
        <f t="array" ref="T193">_xlfn.IFS(AND(A193&gt;NumberOfPlots,ISBLANK(INDEX(PlotData,MATCH($A193,PlotNumber,0),MATCH(B$3,PlotTitles,0)))),"",OR(AND(INDEX(PlotData,MATCH($A193,PlotNumber,0),MATCH("Tenure",PlotTitles,0))="Open market housing",INDEX(PlotData,MATCH($A193,PlotNumber,0),MATCH("Tenure detail",PlotTitles,0))="Private rented sector"),INDEX(PlotData,MATCH($A193,PlotNumber,0),MATCH("Tenure",PlotTitles,0))="Affordable rent"),"",INDEX(PlotData,MATCH($A193,PlotNumber,0),MATCH(S$3,PlotTitles,0))&lt;10000, $AB$23,TRUE,"")</f>
        <v/>
      </c>
      <c r="U193" s="104" t="str" cm="1">
        <f t="array" ref="U193">_xlfn.IFS(AND(A193&gt;NumberOfPlots,ISBLANK(INDEX(PlotData,MATCH($A193,PlotNumber,0),MATCH(B$3,PlotTitles,0)))),"",NOT(OR(AND(INDEX(PlotData,MATCH($A193,PlotNumber,0),MATCH("Tenure",PlotTitles,0))="Open market housing",INDEX(PlotData,MATCH($A193,PlotNumber,0),MATCH("Tenure detail",PlotTitles,0))="Private rented sector"),INDEX(PlotData,MATCH($A193,PlotNumber,0),MATCH("Tenure",PlotTitles,0))="Affordable rent")),"",NOT(INDEX(PlotData,MATCH($A193,PlotNumber,0),MATCH(S$3,PlotTitles,0))=0), $AB$24,TRUE,"")</f>
        <v/>
      </c>
      <c r="V193" s="114" t="str" cm="1">
        <f t="array" aca="1" ref="V193" ca="1">_xlfn.IFS(ISBLANK(NumberOfPlots),"Enter the number of homes on the 1_SetUp sheet",AND(A193&gt;NumberOfPlots,ISBLANK(INDEX(PlotData,MATCH($A193,PlotNumber,0),MATCH(B$3,PlotTitles,0)))),"No error",NOT(B193=""),B193,NOT(C193=""),C193,NOT(D193=""),D193,NOT(E193=""),E193,NOT(F193=""),F193,NOT(G193=""),G193,NOT(H193=""),H193,NOT(I193=""),I193,NOT(J193=""),J193,NOT(K193=""),K193,NOT(L193=""),L193,NOT(M193=""),M193,NOT(N193=""),N193,NOT(O193=""),O193,NOT(P193=""),P193,NOT(Q193=""),Q193,NOT(R193=""),R193,NOT(S193=""),S193,NOT(T193=""),T193,NOT(U193=""),U193,TRUE,"No error")</f>
        <v>Enter the number of homes on the 1_SetUp sheet</v>
      </c>
      <c r="W193" s="114" t="str">
        <f t="shared" ca="1" si="8"/>
        <v xml:space="preserve">The Borrower has not addressed the following error messages for Home ID 189: </v>
      </c>
    </row>
    <row r="194" spans="1:23">
      <c r="A194" s="123">
        <v>190</v>
      </c>
      <c r="B194" s="104" t="str" cm="1">
        <f t="array" ref="B194">_xlfn.IFS(AND(A194&gt;NumberOfPlots,ISBLANK(INDEX(PlotData,MATCH($A194,PlotNumber,0),MATCH(B$3,PlotTitles,0)))),"",ISNUMBER(INDEX(PlotData,MATCH($A194,PlotNumber,0),MATCH(B$3,PlotTitles,0)))=FALSE, $AB$5,TRUE,"")</f>
        <v/>
      </c>
      <c r="C194" s="104" t="str" cm="1">
        <f t="array" ref="C194">_xlfn.IFS(AND(A194&gt;NumberOfPlots,ISBLANK(INDEX(PlotData,MATCH($A194,PlotNumber,0),MATCH(B$3,PlotTitles,0)))),"",ISBLANK(INDEX(PlotData,MATCH($A194,PlotNumber,0),MATCH(C$3,PlotTitles,0))),$AB$6,TRUE,"")</f>
        <v/>
      </c>
      <c r="D194" s="104" t="str" cm="1">
        <f t="array" ref="D194">_xlfn.IFS(AND(A194&gt;NumberOfPlots,ISBLANK(INDEX(PlotData,MATCH($A194,PlotNumber,0),MATCH(B$3,PlotTitles,0)))),"",ISBLANK(INDEX(PlotData,MATCH($A194,PlotNumber,0),MATCH(D$3,PlotTitles,0))),$AB$7,TRUE,"")</f>
        <v/>
      </c>
      <c r="E194" s="104" t="str" cm="1">
        <f t="array" ref="E194">_xlfn.IFS(AND(A194&gt;NumberOfPlots,ISBLANK(INDEX(PlotData,MATCH($A194,PlotNumber,0),MATCH(B$3,PlotTitles,0)))),"",ISBLANK(INDEX(PlotData,MATCH($A194,PlotNumber,0),MATCH(E$3,PlotTitles,0))),$AB$8,TRUE,"")</f>
        <v/>
      </c>
      <c r="F194" s="104" t="str" cm="1">
        <f t="array" ref="F194">_xlfn.IFS(AND(A194&gt;NumberOfPlots,ISBLANK(INDEX(PlotData,MATCH($A194,PlotNumber,0),MATCH(B$3,PlotTitles,0)))),"",ISBLANK(INDEX(PlotData,MATCH($A194,PlotNumber,0),MATCH(F$3,PlotTitles,0))),$AB$9,TRUE,"")</f>
        <v/>
      </c>
      <c r="G194" s="104" t="str" cm="1">
        <f t="array" ref="G194">_xlfn.IFS(AND(A194&gt;NumberOfPlots,ISBLANK(INDEX(PlotData,MATCH($A194,PlotNumber,0),MATCH(B$3,PlotTitles,0)))),"",ISBLANK(INDEX(PlotData,MATCH($A194,PlotNumber,0),MATCH(G$3,PlotTitles,0))),$AB$10,TRUE,"")</f>
        <v/>
      </c>
      <c r="H194" s="104" t="str" cm="1">
        <f t="array" ref="H194">_xlfn.IFS(AND(A194&gt;NumberOfPlots,ISBLANK(INDEX(PlotData,MATCH($A194,PlotNumber,0),MATCH(B$3,PlotTitles,0)))),"",AND(ISBLANK(INDEX(PlotData,MATCH($A194,PlotNumber,0),MATCH(H$3,PlotTitles,0)))=FALSE,INDEX(PlotData,MATCH($A194,PlotNumber,0),MATCH(H$3,PlotTitles,0))&lt;500), $AB$11,TRUE,"")</f>
        <v/>
      </c>
      <c r="I194" s="104" t="str" cm="1">
        <f t="array" ref="I194">_xlfn.IFS(AND(A194&gt;NumberOfPlots,ISBLANK(INDEX(PlotData,MATCH($A194,PlotNumber,0),MATCH(B$3,PlotTitles,0)))),"",ISBLANK(INDEX(PlotData,MATCH($A194,PlotNumber,0),MATCH(I$3,PlotTitles,0))),$AB$12,TRUE,"")</f>
        <v/>
      </c>
      <c r="J194" s="104" t="str" cm="1">
        <f t="array" ref="J194">_xlfn.IFS(AND(A194&gt;NumberOfPlots,ISBLANK(INDEX(PlotData,MATCH($A194,PlotNumber,0),MATCH(B$3,PlotTitles,0)))),"",ISBLANK(INDEX(PlotData,MATCH($A194,PlotNumber,0),MATCH(J$3,PlotTitles,0))),$AB$13,TRUE,"")</f>
        <v/>
      </c>
      <c r="K194" s="182" t="str">
        <f t="shared" ca="1" si="6"/>
        <v/>
      </c>
      <c r="L194" s="104" t="str" cm="1">
        <f t="array" ref="L194">_xlfn.IFS(OR(ISBLANK(StartDateMonth),ISBLANK(StartDateYear)),"",AND(A194&gt;NumberOfPlots,ISBLANK(INDEX(PlotData,MATCH($A194,PlotNumber,0),MATCH(B$3,PlotTitles,0)))),"",ISBLANK(INDEX(PlotData,MATCH($A194,PlotNumber,0),MATCH(I$3,PlotTitles,0))),"",(DATEVALUE(INDEX(PlotData,MATCH($A194,PlotNumber,0),MATCH(I$3,PlotTitles,0))&amp;INDEX(PlotData,MATCH($A194,PlotNumber,0),MATCH(J$3,PlotTitles,0))))&lt;DATEVALUE(StartDateMonth&amp;StartDateYear),$AB$15,TRUE,"")</f>
        <v/>
      </c>
      <c r="M194" s="104" t="str" cm="1">
        <f t="array" ref="M194">_xlfn.IFS(OR(ISBLANK(StartDateMonth),ISBLANK(StartDateYear)),"",AND(A194&gt;NumberOfPlots,ISBLANK(INDEX(PlotData,MATCH($A194,PlotNumber,0),MATCH(B$3,PlotTitles,0)))),"",ISBLANK(INDEX(PlotData,MATCH($A194,PlotNumber,0),MATCH(I$3,PlotTitles,0))),"",CompletionMonth="","",(DATEVALUE(INDEX(PlotData,MATCH($A194,PlotNumber,0),MATCH(I$3,PlotTitles,0))&amp;INDEX(PlotData,MATCH($A194,PlotNumber,0),MATCH(J$3,PlotTitles,0))))&gt;(DATEVALUE(CompletionMonth&amp;CompletionYear)),$AB$16,TRUE,"")</f>
        <v/>
      </c>
      <c r="N194" s="104" t="str" cm="1">
        <f t="array" ref="N194">_xlfn.IFS(AND(A194&gt;NumberOfPlots,ISBLANK(INDEX(PlotData,MATCH($A194,PlotNumber,0),MATCH(B$3,PlotTitles,0)))),"",ISBLANK(INDEX(PlotData,MATCH($A194,PlotNumber,0),MATCH(N$3,PlotTitles,0))),$AB$17,TRUE,"")</f>
        <v/>
      </c>
      <c r="O194" s="104" t="str" cm="1">
        <f t="array" ref="O194">_xlfn.IFS(AND(A194&gt;NumberOfPlots,ISBLANK(INDEX(PlotData,MATCH($A194,PlotNumber,0),MATCH(B$3,PlotTitles,0)))),"",ISBLANK(INDEX(PlotData,MATCH($A194,PlotNumber,0),MATCH(O$3,PlotTitles,0))),$AB$18,TRUE,"")</f>
        <v/>
      </c>
      <c r="P194" s="182" t="str">
        <f t="shared" ca="1" si="7"/>
        <v/>
      </c>
      <c r="Q194" s="104" t="str" cm="1">
        <f t="array" ref="Q194">_xlfn.IFS(AND(A194&gt;NumberOfPlots,ISBLANK(INDEX(PlotData,MATCH($A194,PlotNumber,0),MATCH(B$3,PlotTitles,0)))),"",ISBLANK(INDEX(PlotData,MATCH($A194,PlotNumber,0),MATCH(N$3,PlotTitles,0))),"",(DATEVALUE(INDEX(PlotData,MATCH($A194,PlotNumber,0),MATCH(N$3,PlotTitles,0))&amp;INDEX(PlotData,MATCH($A194,PlotNumber,0),MATCH(O$3,PlotTitles,0))))&lt;(DATEVALUE(INDEX(PlotData,MATCH($A194,PlotNumber,0),MATCH(I$3,PlotTitles,0))&amp;INDEX(PlotData,MATCH($A194,PlotNumber,0),MATCH(J$3,PlotTitles,0)))),$AB$20,TRUE,"")</f>
        <v/>
      </c>
      <c r="R194" s="104" t="str" cm="1">
        <f t="array" ref="R194">_xlfn.IFS(OR(ISBLANK(StartDateMonth),ISBLANK(StartDateYear)),"",AND(A194&gt;NumberOfPlots,ISBLANK(INDEX(PlotData,MATCH($A194,PlotNumber,0),MATCH(B$3,PlotTitles,0)))),"",ISBLANK(INDEX(PlotData,MATCH($A194,PlotNumber,0),MATCH(N$3,PlotTitles,0))),"",CompletionMonth="","",(DATEVALUE(INDEX(PlotData,MATCH($A194,PlotNumber,0),MATCH(N$3,PlotTitles,0))&amp;INDEX(PlotData,MATCH($A194,PlotNumber,0),MATCH(O$3,PlotTitles,0))))&gt;(DATEVALUE(CompletionMonth&amp;CompletionYear)),$AB$21,TRUE,"")</f>
        <v/>
      </c>
      <c r="S194" s="104" t="str" cm="1">
        <f t="array" ref="S194">_xlfn.IFS(AND(A194&gt;NumberOfPlots,ISBLANK(INDEX(PlotData,MATCH($A194,PlotNumber,0),MATCH(B$3,PlotTitles,0)))),"",OR(AND(INDEX(PlotData,MATCH($A194,PlotNumber,0),MATCH("Tenure",PlotTitles,0))="Open market housing",INDEX(PlotData,MATCH($A194,PlotNumber,0),MATCH("Tenure detail",PlotTitles,0))="Private rented sector"),INDEX(PlotData,MATCH($A194,PlotNumber,0),MATCH("Tenure",PlotTitles,0))="Affordable rent"),"",ISNUMBER(INDEX(PlotData,MATCH($A194,PlotNumber,0),MATCH(S$3,PlotTitles,0)))=FALSE, $AB$22,TRUE,"")</f>
        <v/>
      </c>
      <c r="T194" s="104" t="str" cm="1">
        <f t="array" ref="T194">_xlfn.IFS(AND(A194&gt;NumberOfPlots,ISBLANK(INDEX(PlotData,MATCH($A194,PlotNumber,0),MATCH(B$3,PlotTitles,0)))),"",OR(AND(INDEX(PlotData,MATCH($A194,PlotNumber,0),MATCH("Tenure",PlotTitles,0))="Open market housing",INDEX(PlotData,MATCH($A194,PlotNumber,0),MATCH("Tenure detail",PlotTitles,0))="Private rented sector"),INDEX(PlotData,MATCH($A194,PlotNumber,0),MATCH("Tenure",PlotTitles,0))="Affordable rent"),"",INDEX(PlotData,MATCH($A194,PlotNumber,0),MATCH(S$3,PlotTitles,0))&lt;10000, $AB$23,TRUE,"")</f>
        <v/>
      </c>
      <c r="U194" s="104" t="str" cm="1">
        <f t="array" ref="U194">_xlfn.IFS(AND(A194&gt;NumberOfPlots,ISBLANK(INDEX(PlotData,MATCH($A194,PlotNumber,0),MATCH(B$3,PlotTitles,0)))),"",NOT(OR(AND(INDEX(PlotData,MATCH($A194,PlotNumber,0),MATCH("Tenure",PlotTitles,0))="Open market housing",INDEX(PlotData,MATCH($A194,PlotNumber,0),MATCH("Tenure detail",PlotTitles,0))="Private rented sector"),INDEX(PlotData,MATCH($A194,PlotNumber,0),MATCH("Tenure",PlotTitles,0))="Affordable rent")),"",NOT(INDEX(PlotData,MATCH($A194,PlotNumber,0),MATCH(S$3,PlotTitles,0))=0), $AB$24,TRUE,"")</f>
        <v/>
      </c>
      <c r="V194" s="114" t="str" cm="1">
        <f t="array" aca="1" ref="V194" ca="1">_xlfn.IFS(ISBLANK(NumberOfPlots),"Enter the number of homes on the 1_SetUp sheet",AND(A194&gt;NumberOfPlots,ISBLANK(INDEX(PlotData,MATCH($A194,PlotNumber,0),MATCH(B$3,PlotTitles,0)))),"No error",NOT(B194=""),B194,NOT(C194=""),C194,NOT(D194=""),D194,NOT(E194=""),E194,NOT(F194=""),F194,NOT(G194=""),G194,NOT(H194=""),H194,NOT(I194=""),I194,NOT(J194=""),J194,NOT(K194=""),K194,NOT(L194=""),L194,NOT(M194=""),M194,NOT(N194=""),N194,NOT(O194=""),O194,NOT(P194=""),P194,NOT(Q194=""),Q194,NOT(R194=""),R194,NOT(S194=""),S194,NOT(T194=""),T194,NOT(U194=""),U194,TRUE,"No error")</f>
        <v>Enter the number of homes on the 1_SetUp sheet</v>
      </c>
      <c r="W194" s="114" t="str">
        <f t="shared" ca="1" si="8"/>
        <v xml:space="preserve">The Borrower has not addressed the following error messages for Home ID 190: </v>
      </c>
    </row>
    <row r="195" spans="1:23">
      <c r="A195" s="123">
        <v>191</v>
      </c>
      <c r="B195" s="104" t="str" cm="1">
        <f t="array" ref="B195">_xlfn.IFS(AND(A195&gt;NumberOfPlots,ISBLANK(INDEX(PlotData,MATCH($A195,PlotNumber,0),MATCH(B$3,PlotTitles,0)))),"",ISNUMBER(INDEX(PlotData,MATCH($A195,PlotNumber,0),MATCH(B$3,PlotTitles,0)))=FALSE, $AB$5,TRUE,"")</f>
        <v/>
      </c>
      <c r="C195" s="104" t="str" cm="1">
        <f t="array" ref="C195">_xlfn.IFS(AND(A195&gt;NumberOfPlots,ISBLANK(INDEX(PlotData,MATCH($A195,PlotNumber,0),MATCH(B$3,PlotTitles,0)))),"",ISBLANK(INDEX(PlotData,MATCH($A195,PlotNumber,0),MATCH(C$3,PlotTitles,0))),$AB$6,TRUE,"")</f>
        <v/>
      </c>
      <c r="D195" s="104" t="str" cm="1">
        <f t="array" ref="D195">_xlfn.IFS(AND(A195&gt;NumberOfPlots,ISBLANK(INDEX(PlotData,MATCH($A195,PlotNumber,0),MATCH(B$3,PlotTitles,0)))),"",ISBLANK(INDEX(PlotData,MATCH($A195,PlotNumber,0),MATCH(D$3,PlotTitles,0))),$AB$7,TRUE,"")</f>
        <v/>
      </c>
      <c r="E195" s="104" t="str" cm="1">
        <f t="array" ref="E195">_xlfn.IFS(AND(A195&gt;NumberOfPlots,ISBLANK(INDEX(PlotData,MATCH($A195,PlotNumber,0),MATCH(B$3,PlotTitles,0)))),"",ISBLANK(INDEX(PlotData,MATCH($A195,PlotNumber,0),MATCH(E$3,PlotTitles,0))),$AB$8,TRUE,"")</f>
        <v/>
      </c>
      <c r="F195" s="104" t="str" cm="1">
        <f t="array" ref="F195">_xlfn.IFS(AND(A195&gt;NumberOfPlots,ISBLANK(INDEX(PlotData,MATCH($A195,PlotNumber,0),MATCH(B$3,PlotTitles,0)))),"",ISBLANK(INDEX(PlotData,MATCH($A195,PlotNumber,0),MATCH(F$3,PlotTitles,0))),$AB$9,TRUE,"")</f>
        <v/>
      </c>
      <c r="G195" s="104" t="str" cm="1">
        <f t="array" ref="G195">_xlfn.IFS(AND(A195&gt;NumberOfPlots,ISBLANK(INDEX(PlotData,MATCH($A195,PlotNumber,0),MATCH(B$3,PlotTitles,0)))),"",ISBLANK(INDEX(PlotData,MATCH($A195,PlotNumber,0),MATCH(G$3,PlotTitles,0))),$AB$10,TRUE,"")</f>
        <v/>
      </c>
      <c r="H195" s="104" t="str" cm="1">
        <f t="array" ref="H195">_xlfn.IFS(AND(A195&gt;NumberOfPlots,ISBLANK(INDEX(PlotData,MATCH($A195,PlotNumber,0),MATCH(B$3,PlotTitles,0)))),"",AND(ISBLANK(INDEX(PlotData,MATCH($A195,PlotNumber,0),MATCH(H$3,PlotTitles,0)))=FALSE,INDEX(PlotData,MATCH($A195,PlotNumber,0),MATCH(H$3,PlotTitles,0))&lt;500), $AB$11,TRUE,"")</f>
        <v/>
      </c>
      <c r="I195" s="104" t="str" cm="1">
        <f t="array" ref="I195">_xlfn.IFS(AND(A195&gt;NumberOfPlots,ISBLANK(INDEX(PlotData,MATCH($A195,PlotNumber,0),MATCH(B$3,PlotTitles,0)))),"",ISBLANK(INDEX(PlotData,MATCH($A195,PlotNumber,0),MATCH(I$3,PlotTitles,0))),$AB$12,TRUE,"")</f>
        <v/>
      </c>
      <c r="J195" s="104" t="str" cm="1">
        <f t="array" ref="J195">_xlfn.IFS(AND(A195&gt;NumberOfPlots,ISBLANK(INDEX(PlotData,MATCH($A195,PlotNumber,0),MATCH(B$3,PlotTitles,0)))),"",ISBLANK(INDEX(PlotData,MATCH($A195,PlotNumber,0),MATCH(J$3,PlotTitles,0))),$AB$13,TRUE,"")</f>
        <v/>
      </c>
      <c r="K195" s="182" t="str">
        <f t="shared" ca="1" si="6"/>
        <v/>
      </c>
      <c r="L195" s="104" t="str" cm="1">
        <f t="array" ref="L195">_xlfn.IFS(OR(ISBLANK(StartDateMonth),ISBLANK(StartDateYear)),"",AND(A195&gt;NumberOfPlots,ISBLANK(INDEX(PlotData,MATCH($A195,PlotNumber,0),MATCH(B$3,PlotTitles,0)))),"",ISBLANK(INDEX(PlotData,MATCH($A195,PlotNumber,0),MATCH(I$3,PlotTitles,0))),"",(DATEVALUE(INDEX(PlotData,MATCH($A195,PlotNumber,0),MATCH(I$3,PlotTitles,0))&amp;INDEX(PlotData,MATCH($A195,PlotNumber,0),MATCH(J$3,PlotTitles,0))))&lt;DATEVALUE(StartDateMonth&amp;StartDateYear),$AB$15,TRUE,"")</f>
        <v/>
      </c>
      <c r="M195" s="104" t="str" cm="1">
        <f t="array" ref="M195">_xlfn.IFS(OR(ISBLANK(StartDateMonth),ISBLANK(StartDateYear)),"",AND(A195&gt;NumberOfPlots,ISBLANK(INDEX(PlotData,MATCH($A195,PlotNumber,0),MATCH(B$3,PlotTitles,0)))),"",ISBLANK(INDEX(PlotData,MATCH($A195,PlotNumber,0),MATCH(I$3,PlotTitles,0))),"",CompletionMonth="","",(DATEVALUE(INDEX(PlotData,MATCH($A195,PlotNumber,0),MATCH(I$3,PlotTitles,0))&amp;INDEX(PlotData,MATCH($A195,PlotNumber,0),MATCH(J$3,PlotTitles,0))))&gt;(DATEVALUE(CompletionMonth&amp;CompletionYear)),$AB$16,TRUE,"")</f>
        <v/>
      </c>
      <c r="N195" s="104" t="str" cm="1">
        <f t="array" ref="N195">_xlfn.IFS(AND(A195&gt;NumberOfPlots,ISBLANK(INDEX(PlotData,MATCH($A195,PlotNumber,0),MATCH(B$3,PlotTitles,0)))),"",ISBLANK(INDEX(PlotData,MATCH($A195,PlotNumber,0),MATCH(N$3,PlotTitles,0))),$AB$17,TRUE,"")</f>
        <v/>
      </c>
      <c r="O195" s="104" t="str" cm="1">
        <f t="array" ref="O195">_xlfn.IFS(AND(A195&gt;NumberOfPlots,ISBLANK(INDEX(PlotData,MATCH($A195,PlotNumber,0),MATCH(B$3,PlotTitles,0)))),"",ISBLANK(INDEX(PlotData,MATCH($A195,PlotNumber,0),MATCH(O$3,PlotTitles,0))),$AB$18,TRUE,"")</f>
        <v/>
      </c>
      <c r="P195" s="182" t="str">
        <f t="shared" ca="1" si="7"/>
        <v/>
      </c>
      <c r="Q195" s="104" t="str" cm="1">
        <f t="array" ref="Q195">_xlfn.IFS(AND(A195&gt;NumberOfPlots,ISBLANK(INDEX(PlotData,MATCH($A195,PlotNumber,0),MATCH(B$3,PlotTitles,0)))),"",ISBLANK(INDEX(PlotData,MATCH($A195,PlotNumber,0),MATCH(N$3,PlotTitles,0))),"",(DATEVALUE(INDEX(PlotData,MATCH($A195,PlotNumber,0),MATCH(N$3,PlotTitles,0))&amp;INDEX(PlotData,MATCH($A195,PlotNumber,0),MATCH(O$3,PlotTitles,0))))&lt;(DATEVALUE(INDEX(PlotData,MATCH($A195,PlotNumber,0),MATCH(I$3,PlotTitles,0))&amp;INDEX(PlotData,MATCH($A195,PlotNumber,0),MATCH(J$3,PlotTitles,0)))),$AB$20,TRUE,"")</f>
        <v/>
      </c>
      <c r="R195" s="104" t="str" cm="1">
        <f t="array" ref="R195">_xlfn.IFS(OR(ISBLANK(StartDateMonth),ISBLANK(StartDateYear)),"",AND(A195&gt;NumberOfPlots,ISBLANK(INDEX(PlotData,MATCH($A195,PlotNumber,0),MATCH(B$3,PlotTitles,0)))),"",ISBLANK(INDEX(PlotData,MATCH($A195,PlotNumber,0),MATCH(N$3,PlotTitles,0))),"",CompletionMonth="","",(DATEVALUE(INDEX(PlotData,MATCH($A195,PlotNumber,0),MATCH(N$3,PlotTitles,0))&amp;INDEX(PlotData,MATCH($A195,PlotNumber,0),MATCH(O$3,PlotTitles,0))))&gt;(DATEVALUE(CompletionMonth&amp;CompletionYear)),$AB$21,TRUE,"")</f>
        <v/>
      </c>
      <c r="S195" s="104" t="str" cm="1">
        <f t="array" ref="S195">_xlfn.IFS(AND(A195&gt;NumberOfPlots,ISBLANK(INDEX(PlotData,MATCH($A195,PlotNumber,0),MATCH(B$3,PlotTitles,0)))),"",OR(AND(INDEX(PlotData,MATCH($A195,PlotNumber,0),MATCH("Tenure",PlotTitles,0))="Open market housing",INDEX(PlotData,MATCH($A195,PlotNumber,0),MATCH("Tenure detail",PlotTitles,0))="Private rented sector"),INDEX(PlotData,MATCH($A195,PlotNumber,0),MATCH("Tenure",PlotTitles,0))="Affordable rent"),"",ISNUMBER(INDEX(PlotData,MATCH($A195,PlotNumber,0),MATCH(S$3,PlotTitles,0)))=FALSE, $AB$22,TRUE,"")</f>
        <v/>
      </c>
      <c r="T195" s="104" t="str" cm="1">
        <f t="array" ref="T195">_xlfn.IFS(AND(A195&gt;NumberOfPlots,ISBLANK(INDEX(PlotData,MATCH($A195,PlotNumber,0),MATCH(B$3,PlotTitles,0)))),"",OR(AND(INDEX(PlotData,MATCH($A195,PlotNumber,0),MATCH("Tenure",PlotTitles,0))="Open market housing",INDEX(PlotData,MATCH($A195,PlotNumber,0),MATCH("Tenure detail",PlotTitles,0))="Private rented sector"),INDEX(PlotData,MATCH($A195,PlotNumber,0),MATCH("Tenure",PlotTitles,0))="Affordable rent"),"",INDEX(PlotData,MATCH($A195,PlotNumber,0),MATCH(S$3,PlotTitles,0))&lt;10000, $AB$23,TRUE,"")</f>
        <v/>
      </c>
      <c r="U195" s="104" t="str" cm="1">
        <f t="array" ref="U195">_xlfn.IFS(AND(A195&gt;NumberOfPlots,ISBLANK(INDEX(PlotData,MATCH($A195,PlotNumber,0),MATCH(B$3,PlotTitles,0)))),"",NOT(OR(AND(INDEX(PlotData,MATCH($A195,PlotNumber,0),MATCH("Tenure",PlotTitles,0))="Open market housing",INDEX(PlotData,MATCH($A195,PlotNumber,0),MATCH("Tenure detail",PlotTitles,0))="Private rented sector"),INDEX(PlotData,MATCH($A195,PlotNumber,0),MATCH("Tenure",PlotTitles,0))="Affordable rent")),"",NOT(INDEX(PlotData,MATCH($A195,PlotNumber,0),MATCH(S$3,PlotTitles,0))=0), $AB$24,TRUE,"")</f>
        <v/>
      </c>
      <c r="V195" s="114" t="str" cm="1">
        <f t="array" aca="1" ref="V195" ca="1">_xlfn.IFS(ISBLANK(NumberOfPlots),"Enter the number of homes on the 1_SetUp sheet",AND(A195&gt;NumberOfPlots,ISBLANK(INDEX(PlotData,MATCH($A195,PlotNumber,0),MATCH(B$3,PlotTitles,0)))),"No error",NOT(B195=""),B195,NOT(C195=""),C195,NOT(D195=""),D195,NOT(E195=""),E195,NOT(F195=""),F195,NOT(G195=""),G195,NOT(H195=""),H195,NOT(I195=""),I195,NOT(J195=""),J195,NOT(K195=""),K195,NOT(L195=""),L195,NOT(M195=""),M195,NOT(N195=""),N195,NOT(O195=""),O195,NOT(P195=""),P195,NOT(Q195=""),Q195,NOT(R195=""),R195,NOT(S195=""),S195,NOT(T195=""),T195,NOT(U195=""),U195,TRUE,"No error")</f>
        <v>Enter the number of homes on the 1_SetUp sheet</v>
      </c>
      <c r="W195" s="114" t="str">
        <f t="shared" ca="1" si="8"/>
        <v xml:space="preserve">The Borrower has not addressed the following error messages for Home ID 191: </v>
      </c>
    </row>
    <row r="196" spans="1:23">
      <c r="A196" s="123">
        <v>192</v>
      </c>
      <c r="B196" s="104" t="str" cm="1">
        <f t="array" ref="B196">_xlfn.IFS(AND(A196&gt;NumberOfPlots,ISBLANK(INDEX(PlotData,MATCH($A196,PlotNumber,0),MATCH(B$3,PlotTitles,0)))),"",ISNUMBER(INDEX(PlotData,MATCH($A196,PlotNumber,0),MATCH(B$3,PlotTitles,0)))=FALSE, $AB$5,TRUE,"")</f>
        <v/>
      </c>
      <c r="C196" s="104" t="str" cm="1">
        <f t="array" ref="C196">_xlfn.IFS(AND(A196&gt;NumberOfPlots,ISBLANK(INDEX(PlotData,MATCH($A196,PlotNumber,0),MATCH(B$3,PlotTitles,0)))),"",ISBLANK(INDEX(PlotData,MATCH($A196,PlotNumber,0),MATCH(C$3,PlotTitles,0))),$AB$6,TRUE,"")</f>
        <v/>
      </c>
      <c r="D196" s="104" t="str" cm="1">
        <f t="array" ref="D196">_xlfn.IFS(AND(A196&gt;NumberOfPlots,ISBLANK(INDEX(PlotData,MATCH($A196,PlotNumber,0),MATCH(B$3,PlotTitles,0)))),"",ISBLANK(INDEX(PlotData,MATCH($A196,PlotNumber,0),MATCH(D$3,PlotTitles,0))),$AB$7,TRUE,"")</f>
        <v/>
      </c>
      <c r="E196" s="104" t="str" cm="1">
        <f t="array" ref="E196">_xlfn.IFS(AND(A196&gt;NumberOfPlots,ISBLANK(INDEX(PlotData,MATCH($A196,PlotNumber,0),MATCH(B$3,PlotTitles,0)))),"",ISBLANK(INDEX(PlotData,MATCH($A196,PlotNumber,0),MATCH(E$3,PlotTitles,0))),$AB$8,TRUE,"")</f>
        <v/>
      </c>
      <c r="F196" s="104" t="str" cm="1">
        <f t="array" ref="F196">_xlfn.IFS(AND(A196&gt;NumberOfPlots,ISBLANK(INDEX(PlotData,MATCH($A196,PlotNumber,0),MATCH(B$3,PlotTitles,0)))),"",ISBLANK(INDEX(PlotData,MATCH($A196,PlotNumber,0),MATCH(F$3,PlotTitles,0))),$AB$9,TRUE,"")</f>
        <v/>
      </c>
      <c r="G196" s="104" t="str" cm="1">
        <f t="array" ref="G196">_xlfn.IFS(AND(A196&gt;NumberOfPlots,ISBLANK(INDEX(PlotData,MATCH($A196,PlotNumber,0),MATCH(B$3,PlotTitles,0)))),"",ISBLANK(INDEX(PlotData,MATCH($A196,PlotNumber,0),MATCH(G$3,PlotTitles,0))),$AB$10,TRUE,"")</f>
        <v/>
      </c>
      <c r="H196" s="104" t="str" cm="1">
        <f t="array" ref="H196">_xlfn.IFS(AND(A196&gt;NumberOfPlots,ISBLANK(INDEX(PlotData,MATCH($A196,PlotNumber,0),MATCH(B$3,PlotTitles,0)))),"",AND(ISBLANK(INDEX(PlotData,MATCH($A196,PlotNumber,0),MATCH(H$3,PlotTitles,0)))=FALSE,INDEX(PlotData,MATCH($A196,PlotNumber,0),MATCH(H$3,PlotTitles,0))&lt;500), $AB$11,TRUE,"")</f>
        <v/>
      </c>
      <c r="I196" s="104" t="str" cm="1">
        <f t="array" ref="I196">_xlfn.IFS(AND(A196&gt;NumberOfPlots,ISBLANK(INDEX(PlotData,MATCH($A196,PlotNumber,0),MATCH(B$3,PlotTitles,0)))),"",ISBLANK(INDEX(PlotData,MATCH($A196,PlotNumber,0),MATCH(I$3,PlotTitles,0))),$AB$12,TRUE,"")</f>
        <v/>
      </c>
      <c r="J196" s="104" t="str" cm="1">
        <f t="array" ref="J196">_xlfn.IFS(AND(A196&gt;NumberOfPlots,ISBLANK(INDEX(PlotData,MATCH($A196,PlotNumber,0),MATCH(B$3,PlotTitles,0)))),"",ISBLANK(INDEX(PlotData,MATCH($A196,PlotNumber,0),MATCH(J$3,PlotTitles,0))),$AB$13,TRUE,"")</f>
        <v/>
      </c>
      <c r="K196" s="182" t="str">
        <f t="shared" ca="1" si="6"/>
        <v/>
      </c>
      <c r="L196" s="104" t="str" cm="1">
        <f t="array" ref="L196">_xlfn.IFS(OR(ISBLANK(StartDateMonth),ISBLANK(StartDateYear)),"",AND(A196&gt;NumberOfPlots,ISBLANK(INDEX(PlotData,MATCH($A196,PlotNumber,0),MATCH(B$3,PlotTitles,0)))),"",ISBLANK(INDEX(PlotData,MATCH($A196,PlotNumber,0),MATCH(I$3,PlotTitles,0))),"",(DATEVALUE(INDEX(PlotData,MATCH($A196,PlotNumber,0),MATCH(I$3,PlotTitles,0))&amp;INDEX(PlotData,MATCH($A196,PlotNumber,0),MATCH(J$3,PlotTitles,0))))&lt;DATEVALUE(StartDateMonth&amp;StartDateYear),$AB$15,TRUE,"")</f>
        <v/>
      </c>
      <c r="M196" s="104" t="str" cm="1">
        <f t="array" ref="M196">_xlfn.IFS(OR(ISBLANK(StartDateMonth),ISBLANK(StartDateYear)),"",AND(A196&gt;NumberOfPlots,ISBLANK(INDEX(PlotData,MATCH($A196,PlotNumber,0),MATCH(B$3,PlotTitles,0)))),"",ISBLANK(INDEX(PlotData,MATCH($A196,PlotNumber,0),MATCH(I$3,PlotTitles,0))),"",CompletionMonth="","",(DATEVALUE(INDEX(PlotData,MATCH($A196,PlotNumber,0),MATCH(I$3,PlotTitles,0))&amp;INDEX(PlotData,MATCH($A196,PlotNumber,0),MATCH(J$3,PlotTitles,0))))&gt;(DATEVALUE(CompletionMonth&amp;CompletionYear)),$AB$16,TRUE,"")</f>
        <v/>
      </c>
      <c r="N196" s="104" t="str" cm="1">
        <f t="array" ref="N196">_xlfn.IFS(AND(A196&gt;NumberOfPlots,ISBLANK(INDEX(PlotData,MATCH($A196,PlotNumber,0),MATCH(B$3,PlotTitles,0)))),"",ISBLANK(INDEX(PlotData,MATCH($A196,PlotNumber,0),MATCH(N$3,PlotTitles,0))),$AB$17,TRUE,"")</f>
        <v/>
      </c>
      <c r="O196" s="104" t="str" cm="1">
        <f t="array" ref="O196">_xlfn.IFS(AND(A196&gt;NumberOfPlots,ISBLANK(INDEX(PlotData,MATCH($A196,PlotNumber,0),MATCH(B$3,PlotTitles,0)))),"",ISBLANK(INDEX(PlotData,MATCH($A196,PlotNumber,0),MATCH(O$3,PlotTitles,0))),$AB$18,TRUE,"")</f>
        <v/>
      </c>
      <c r="P196" s="182" t="str">
        <f t="shared" ca="1" si="7"/>
        <v/>
      </c>
      <c r="Q196" s="104" t="str" cm="1">
        <f t="array" ref="Q196">_xlfn.IFS(AND(A196&gt;NumberOfPlots,ISBLANK(INDEX(PlotData,MATCH($A196,PlotNumber,0),MATCH(B$3,PlotTitles,0)))),"",ISBLANK(INDEX(PlotData,MATCH($A196,PlotNumber,0),MATCH(N$3,PlotTitles,0))),"",(DATEVALUE(INDEX(PlotData,MATCH($A196,PlotNumber,0),MATCH(N$3,PlotTitles,0))&amp;INDEX(PlotData,MATCH($A196,PlotNumber,0),MATCH(O$3,PlotTitles,0))))&lt;(DATEVALUE(INDEX(PlotData,MATCH($A196,PlotNumber,0),MATCH(I$3,PlotTitles,0))&amp;INDEX(PlotData,MATCH($A196,PlotNumber,0),MATCH(J$3,PlotTitles,0)))),$AB$20,TRUE,"")</f>
        <v/>
      </c>
      <c r="R196" s="104" t="str" cm="1">
        <f t="array" ref="R196">_xlfn.IFS(OR(ISBLANK(StartDateMonth),ISBLANK(StartDateYear)),"",AND(A196&gt;NumberOfPlots,ISBLANK(INDEX(PlotData,MATCH($A196,PlotNumber,0),MATCH(B$3,PlotTitles,0)))),"",ISBLANK(INDEX(PlotData,MATCH($A196,PlotNumber,0),MATCH(N$3,PlotTitles,0))),"",CompletionMonth="","",(DATEVALUE(INDEX(PlotData,MATCH($A196,PlotNumber,0),MATCH(N$3,PlotTitles,0))&amp;INDEX(PlotData,MATCH($A196,PlotNumber,0),MATCH(O$3,PlotTitles,0))))&gt;(DATEVALUE(CompletionMonth&amp;CompletionYear)),$AB$21,TRUE,"")</f>
        <v/>
      </c>
      <c r="S196" s="104" t="str" cm="1">
        <f t="array" ref="S196">_xlfn.IFS(AND(A196&gt;NumberOfPlots,ISBLANK(INDEX(PlotData,MATCH($A196,PlotNumber,0),MATCH(B$3,PlotTitles,0)))),"",OR(AND(INDEX(PlotData,MATCH($A196,PlotNumber,0),MATCH("Tenure",PlotTitles,0))="Open market housing",INDEX(PlotData,MATCH($A196,PlotNumber,0),MATCH("Tenure detail",PlotTitles,0))="Private rented sector"),INDEX(PlotData,MATCH($A196,PlotNumber,0),MATCH("Tenure",PlotTitles,0))="Affordable rent"),"",ISNUMBER(INDEX(PlotData,MATCH($A196,PlotNumber,0),MATCH(S$3,PlotTitles,0)))=FALSE, $AB$22,TRUE,"")</f>
        <v/>
      </c>
      <c r="T196" s="104" t="str" cm="1">
        <f t="array" ref="T196">_xlfn.IFS(AND(A196&gt;NumberOfPlots,ISBLANK(INDEX(PlotData,MATCH($A196,PlotNumber,0),MATCH(B$3,PlotTitles,0)))),"",OR(AND(INDEX(PlotData,MATCH($A196,PlotNumber,0),MATCH("Tenure",PlotTitles,0))="Open market housing",INDEX(PlotData,MATCH($A196,PlotNumber,0),MATCH("Tenure detail",PlotTitles,0))="Private rented sector"),INDEX(PlotData,MATCH($A196,PlotNumber,0),MATCH("Tenure",PlotTitles,0))="Affordable rent"),"",INDEX(PlotData,MATCH($A196,PlotNumber,0),MATCH(S$3,PlotTitles,0))&lt;10000, $AB$23,TRUE,"")</f>
        <v/>
      </c>
      <c r="U196" s="104" t="str" cm="1">
        <f t="array" ref="U196">_xlfn.IFS(AND(A196&gt;NumberOfPlots,ISBLANK(INDEX(PlotData,MATCH($A196,PlotNumber,0),MATCH(B$3,PlotTitles,0)))),"",NOT(OR(AND(INDEX(PlotData,MATCH($A196,PlotNumber,0),MATCH("Tenure",PlotTitles,0))="Open market housing",INDEX(PlotData,MATCH($A196,PlotNumber,0),MATCH("Tenure detail",PlotTitles,0))="Private rented sector"),INDEX(PlotData,MATCH($A196,PlotNumber,0),MATCH("Tenure",PlotTitles,0))="Affordable rent")),"",NOT(INDEX(PlotData,MATCH($A196,PlotNumber,0),MATCH(S$3,PlotTitles,0))=0), $AB$24,TRUE,"")</f>
        <v/>
      </c>
      <c r="V196" s="114" t="str" cm="1">
        <f t="array" aca="1" ref="V196" ca="1">_xlfn.IFS(ISBLANK(NumberOfPlots),"Enter the number of homes on the 1_SetUp sheet",AND(A196&gt;NumberOfPlots,ISBLANK(INDEX(PlotData,MATCH($A196,PlotNumber,0),MATCH(B$3,PlotTitles,0)))),"No error",NOT(B196=""),B196,NOT(C196=""),C196,NOT(D196=""),D196,NOT(E196=""),E196,NOT(F196=""),F196,NOT(G196=""),G196,NOT(H196=""),H196,NOT(I196=""),I196,NOT(J196=""),J196,NOT(K196=""),K196,NOT(L196=""),L196,NOT(M196=""),M196,NOT(N196=""),N196,NOT(O196=""),O196,NOT(P196=""),P196,NOT(Q196=""),Q196,NOT(R196=""),R196,NOT(S196=""),S196,NOT(T196=""),T196,NOT(U196=""),U196,TRUE,"No error")</f>
        <v>Enter the number of homes on the 1_SetUp sheet</v>
      </c>
      <c r="W196" s="114" t="str">
        <f t="shared" ca="1" si="8"/>
        <v xml:space="preserve">The Borrower has not addressed the following error messages for Home ID 192: </v>
      </c>
    </row>
    <row r="197" spans="1:23">
      <c r="A197" s="123">
        <v>193</v>
      </c>
      <c r="B197" s="104" t="str" cm="1">
        <f t="array" ref="B197">_xlfn.IFS(AND(A197&gt;NumberOfPlots,ISBLANK(INDEX(PlotData,MATCH($A197,PlotNumber,0),MATCH(B$3,PlotTitles,0)))),"",ISNUMBER(INDEX(PlotData,MATCH($A197,PlotNumber,0),MATCH(B$3,PlotTitles,0)))=FALSE, $AB$5,TRUE,"")</f>
        <v/>
      </c>
      <c r="C197" s="104" t="str" cm="1">
        <f t="array" ref="C197">_xlfn.IFS(AND(A197&gt;NumberOfPlots,ISBLANK(INDEX(PlotData,MATCH($A197,PlotNumber,0),MATCH(B$3,PlotTitles,0)))),"",ISBLANK(INDEX(PlotData,MATCH($A197,PlotNumber,0),MATCH(C$3,PlotTitles,0))),$AB$6,TRUE,"")</f>
        <v/>
      </c>
      <c r="D197" s="104" t="str" cm="1">
        <f t="array" ref="D197">_xlfn.IFS(AND(A197&gt;NumberOfPlots,ISBLANK(INDEX(PlotData,MATCH($A197,PlotNumber,0),MATCH(B$3,PlotTitles,0)))),"",ISBLANK(INDEX(PlotData,MATCH($A197,PlotNumber,0),MATCH(D$3,PlotTitles,0))),$AB$7,TRUE,"")</f>
        <v/>
      </c>
      <c r="E197" s="104" t="str" cm="1">
        <f t="array" ref="E197">_xlfn.IFS(AND(A197&gt;NumberOfPlots,ISBLANK(INDEX(PlotData,MATCH($A197,PlotNumber,0),MATCH(B$3,PlotTitles,0)))),"",ISBLANK(INDEX(PlotData,MATCH($A197,PlotNumber,0),MATCH(E$3,PlotTitles,0))),$AB$8,TRUE,"")</f>
        <v/>
      </c>
      <c r="F197" s="104" t="str" cm="1">
        <f t="array" ref="F197">_xlfn.IFS(AND(A197&gt;NumberOfPlots,ISBLANK(INDEX(PlotData,MATCH($A197,PlotNumber,0),MATCH(B$3,PlotTitles,0)))),"",ISBLANK(INDEX(PlotData,MATCH($A197,PlotNumber,0),MATCH(F$3,PlotTitles,0))),$AB$9,TRUE,"")</f>
        <v/>
      </c>
      <c r="G197" s="104" t="str" cm="1">
        <f t="array" ref="G197">_xlfn.IFS(AND(A197&gt;NumberOfPlots,ISBLANK(INDEX(PlotData,MATCH($A197,PlotNumber,0),MATCH(B$3,PlotTitles,0)))),"",ISBLANK(INDEX(PlotData,MATCH($A197,PlotNumber,0),MATCH(G$3,PlotTitles,0))),$AB$10,TRUE,"")</f>
        <v/>
      </c>
      <c r="H197" s="104" t="str" cm="1">
        <f t="array" ref="H197">_xlfn.IFS(AND(A197&gt;NumberOfPlots,ISBLANK(INDEX(PlotData,MATCH($A197,PlotNumber,0),MATCH(B$3,PlotTitles,0)))),"",AND(ISBLANK(INDEX(PlotData,MATCH($A197,PlotNumber,0),MATCH(H$3,PlotTitles,0)))=FALSE,INDEX(PlotData,MATCH($A197,PlotNumber,0),MATCH(H$3,PlotTitles,0))&lt;500), $AB$11,TRUE,"")</f>
        <v/>
      </c>
      <c r="I197" s="104" t="str" cm="1">
        <f t="array" ref="I197">_xlfn.IFS(AND(A197&gt;NumberOfPlots,ISBLANK(INDEX(PlotData,MATCH($A197,PlotNumber,0),MATCH(B$3,PlotTitles,0)))),"",ISBLANK(INDEX(PlotData,MATCH($A197,PlotNumber,0),MATCH(I$3,PlotTitles,0))),$AB$12,TRUE,"")</f>
        <v/>
      </c>
      <c r="J197" s="104" t="str" cm="1">
        <f t="array" ref="J197">_xlfn.IFS(AND(A197&gt;NumberOfPlots,ISBLANK(INDEX(PlotData,MATCH($A197,PlotNumber,0),MATCH(B$3,PlotTitles,0)))),"",ISBLANK(INDEX(PlotData,MATCH($A197,PlotNumber,0),MATCH(J$3,PlotTitles,0))),$AB$13,TRUE,"")</f>
        <v/>
      </c>
      <c r="K197" s="182" t="str">
        <f t="shared" ref="K197:K260" ca="1" si="9">IF(AND(A197&gt;NumberOfPlots,ISBLANK(INDEX(PlotData,MATCH($A197,PlotNumber,0),MATCH(B$3,PlotTitles,0)))),"",IF(ISBLANK(INDEX(PlotData,MATCH($A197,PlotNumber,0),MATCH(I$3,PlotTitles,0)))=FALSE,IF(ISBLANK(INDEX(PlotData,MATCH($A197,PlotNumber,0),MATCH(J$3,PlotTitles,0)))=FALSE,IF((DATEVALUE(INDEX(PlotData,MATCH($A197,PlotNumber,0),MATCH(I$3,PlotTitles,0))&amp;INDEX(PlotData,MATCH($A197,PlotNumber,0),MATCH(J$3,PlotTitles,0))))&lt;(DATEVALUE(TEXT(TODAY(),"DD")&amp;"/"&amp;TEXT(TODAY(),"MM")&amp;"/"&amp;TEXT(TODAY(),"YYYY"))),$AB$14,"")),""))</f>
        <v/>
      </c>
      <c r="L197" s="104" t="str" cm="1">
        <f t="array" ref="L197">_xlfn.IFS(OR(ISBLANK(StartDateMonth),ISBLANK(StartDateYear)),"",AND(A197&gt;NumberOfPlots,ISBLANK(INDEX(PlotData,MATCH($A197,PlotNumber,0),MATCH(B$3,PlotTitles,0)))),"",ISBLANK(INDEX(PlotData,MATCH($A197,PlotNumber,0),MATCH(I$3,PlotTitles,0))),"",(DATEVALUE(INDEX(PlotData,MATCH($A197,PlotNumber,0),MATCH(I$3,PlotTitles,0))&amp;INDEX(PlotData,MATCH($A197,PlotNumber,0),MATCH(J$3,PlotTitles,0))))&lt;DATEVALUE(StartDateMonth&amp;StartDateYear),$AB$15,TRUE,"")</f>
        <v/>
      </c>
      <c r="M197" s="104" t="str" cm="1">
        <f t="array" ref="M197">_xlfn.IFS(OR(ISBLANK(StartDateMonth),ISBLANK(StartDateYear)),"",AND(A197&gt;NumberOfPlots,ISBLANK(INDEX(PlotData,MATCH($A197,PlotNumber,0),MATCH(B$3,PlotTitles,0)))),"",ISBLANK(INDEX(PlotData,MATCH($A197,PlotNumber,0),MATCH(I$3,PlotTitles,0))),"",CompletionMonth="","",(DATEVALUE(INDEX(PlotData,MATCH($A197,PlotNumber,0),MATCH(I$3,PlotTitles,0))&amp;INDEX(PlotData,MATCH($A197,PlotNumber,0),MATCH(J$3,PlotTitles,0))))&gt;(DATEVALUE(CompletionMonth&amp;CompletionYear)),$AB$16,TRUE,"")</f>
        <v/>
      </c>
      <c r="N197" s="104" t="str" cm="1">
        <f t="array" ref="N197">_xlfn.IFS(AND(A197&gt;NumberOfPlots,ISBLANK(INDEX(PlotData,MATCH($A197,PlotNumber,0),MATCH(B$3,PlotTitles,0)))),"",ISBLANK(INDEX(PlotData,MATCH($A197,PlotNumber,0),MATCH(N$3,PlotTitles,0))),$AB$17,TRUE,"")</f>
        <v/>
      </c>
      <c r="O197" s="104" t="str" cm="1">
        <f t="array" ref="O197">_xlfn.IFS(AND(A197&gt;NumberOfPlots,ISBLANK(INDEX(PlotData,MATCH($A197,PlotNumber,0),MATCH(B$3,PlotTitles,0)))),"",ISBLANK(INDEX(PlotData,MATCH($A197,PlotNumber,0),MATCH(O$3,PlotTitles,0))),$AB$18,TRUE,"")</f>
        <v/>
      </c>
      <c r="P197" s="182" t="str">
        <f t="shared" ref="P197:P260" ca="1" si="10">IF(AND(A197&gt;NumberOfPlots,ISBLANK(INDEX(PlotData,MATCH($A197,PlotNumber,0),MATCH(B$3,PlotTitles,0)))),"",IF(ISBLANK(INDEX(PlotData,MATCH($A197,PlotNumber,0),MATCH(N$3,PlotTitles,0)))=FALSE,IF(ISBLANK(INDEX(PlotData,MATCH($A197,PlotNumber,0),MATCH(O$3,PlotTitles,0)))=FALSE,IF((DATEVALUE(INDEX(PlotData,MATCH($A197,PlotNumber,0),MATCH(N$3,PlotTitles,0))&amp;INDEX(PlotData,MATCH($A197,PlotNumber,0),MATCH(O$3,PlotTitles,0))))&lt;(DATEVALUE(TEXT(TODAY(),"DD")&amp;"/"&amp;TEXT(TODAY(),"MM")&amp;"/"&amp;TEXT(TODAY(),"YYYY"))),$AB$19,"")),""))</f>
        <v/>
      </c>
      <c r="Q197" s="104" t="str" cm="1">
        <f t="array" ref="Q197">_xlfn.IFS(AND(A197&gt;NumberOfPlots,ISBLANK(INDEX(PlotData,MATCH($A197,PlotNumber,0),MATCH(B$3,PlotTitles,0)))),"",ISBLANK(INDEX(PlotData,MATCH($A197,PlotNumber,0),MATCH(N$3,PlotTitles,0))),"",(DATEVALUE(INDEX(PlotData,MATCH($A197,PlotNumber,0),MATCH(N$3,PlotTitles,0))&amp;INDEX(PlotData,MATCH($A197,PlotNumber,0),MATCH(O$3,PlotTitles,0))))&lt;(DATEVALUE(INDEX(PlotData,MATCH($A197,PlotNumber,0),MATCH(I$3,PlotTitles,0))&amp;INDEX(PlotData,MATCH($A197,PlotNumber,0),MATCH(J$3,PlotTitles,0)))),$AB$20,TRUE,"")</f>
        <v/>
      </c>
      <c r="R197" s="104" t="str" cm="1">
        <f t="array" ref="R197">_xlfn.IFS(OR(ISBLANK(StartDateMonth),ISBLANK(StartDateYear)),"",AND(A197&gt;NumberOfPlots,ISBLANK(INDEX(PlotData,MATCH($A197,PlotNumber,0),MATCH(B$3,PlotTitles,0)))),"",ISBLANK(INDEX(PlotData,MATCH($A197,PlotNumber,0),MATCH(N$3,PlotTitles,0))),"",CompletionMonth="","",(DATEVALUE(INDEX(PlotData,MATCH($A197,PlotNumber,0),MATCH(N$3,PlotTitles,0))&amp;INDEX(PlotData,MATCH($A197,PlotNumber,0),MATCH(O$3,PlotTitles,0))))&gt;(DATEVALUE(CompletionMonth&amp;CompletionYear)),$AB$21,TRUE,"")</f>
        <v/>
      </c>
      <c r="S197" s="104" t="str" cm="1">
        <f t="array" ref="S197">_xlfn.IFS(AND(A197&gt;NumberOfPlots,ISBLANK(INDEX(PlotData,MATCH($A197,PlotNumber,0),MATCH(B$3,PlotTitles,0)))),"",OR(AND(INDEX(PlotData,MATCH($A197,PlotNumber,0),MATCH("Tenure",PlotTitles,0))="Open market housing",INDEX(PlotData,MATCH($A197,PlotNumber,0),MATCH("Tenure detail",PlotTitles,0))="Private rented sector"),INDEX(PlotData,MATCH($A197,PlotNumber,0),MATCH("Tenure",PlotTitles,0))="Affordable rent"),"",ISNUMBER(INDEX(PlotData,MATCH($A197,PlotNumber,0),MATCH(S$3,PlotTitles,0)))=FALSE, $AB$22,TRUE,"")</f>
        <v/>
      </c>
      <c r="T197" s="104" t="str" cm="1">
        <f t="array" ref="T197">_xlfn.IFS(AND(A197&gt;NumberOfPlots,ISBLANK(INDEX(PlotData,MATCH($A197,PlotNumber,0),MATCH(B$3,PlotTitles,0)))),"",OR(AND(INDEX(PlotData,MATCH($A197,PlotNumber,0),MATCH("Tenure",PlotTitles,0))="Open market housing",INDEX(PlotData,MATCH($A197,PlotNumber,0),MATCH("Tenure detail",PlotTitles,0))="Private rented sector"),INDEX(PlotData,MATCH($A197,PlotNumber,0),MATCH("Tenure",PlotTitles,0))="Affordable rent"),"",INDEX(PlotData,MATCH($A197,PlotNumber,0),MATCH(S$3,PlotTitles,0))&lt;10000, $AB$23,TRUE,"")</f>
        <v/>
      </c>
      <c r="U197" s="104" t="str" cm="1">
        <f t="array" ref="U197">_xlfn.IFS(AND(A197&gt;NumberOfPlots,ISBLANK(INDEX(PlotData,MATCH($A197,PlotNumber,0),MATCH(B$3,PlotTitles,0)))),"",NOT(OR(AND(INDEX(PlotData,MATCH($A197,PlotNumber,0),MATCH("Tenure",PlotTitles,0))="Open market housing",INDEX(PlotData,MATCH($A197,PlotNumber,0),MATCH("Tenure detail",PlotTitles,0))="Private rented sector"),INDEX(PlotData,MATCH($A197,PlotNumber,0),MATCH("Tenure",PlotTitles,0))="Affordable rent")),"",NOT(INDEX(PlotData,MATCH($A197,PlotNumber,0),MATCH(S$3,PlotTitles,0))=0), $AB$24,TRUE,"")</f>
        <v/>
      </c>
      <c r="V197" s="114" t="str" cm="1">
        <f t="array" aca="1" ref="V197" ca="1">_xlfn.IFS(ISBLANK(NumberOfPlots),"Enter the number of homes on the 1_SetUp sheet",AND(A197&gt;NumberOfPlots,ISBLANK(INDEX(PlotData,MATCH($A197,PlotNumber,0),MATCH(B$3,PlotTitles,0)))),"No error",NOT(B197=""),B197,NOT(C197=""),C197,NOT(D197=""),D197,NOT(E197=""),E197,NOT(F197=""),F197,NOT(G197=""),G197,NOT(H197=""),H197,NOT(I197=""),I197,NOT(J197=""),J197,NOT(K197=""),K197,NOT(L197=""),L197,NOT(M197=""),M197,NOT(N197=""),N197,NOT(O197=""),O197,NOT(P197=""),P197,NOT(Q197=""),Q197,NOT(R197=""),R197,NOT(S197=""),S197,NOT(T197=""),T197,NOT(U197=""),U197,TRUE,"No error")</f>
        <v>Enter the number of homes on the 1_SetUp sheet</v>
      </c>
      <c r="W197" s="114" t="str">
        <f t="shared" ca="1" si="8"/>
        <v xml:space="preserve">The Borrower has not addressed the following error messages for Home ID 193: </v>
      </c>
    </row>
    <row r="198" spans="1:23">
      <c r="A198" s="123">
        <v>194</v>
      </c>
      <c r="B198" s="104" t="str" cm="1">
        <f t="array" ref="B198">_xlfn.IFS(AND(A198&gt;NumberOfPlots,ISBLANK(INDEX(PlotData,MATCH($A198,PlotNumber,0),MATCH(B$3,PlotTitles,0)))),"",ISNUMBER(INDEX(PlotData,MATCH($A198,PlotNumber,0),MATCH(B$3,PlotTitles,0)))=FALSE, $AB$5,TRUE,"")</f>
        <v/>
      </c>
      <c r="C198" s="104" t="str" cm="1">
        <f t="array" ref="C198">_xlfn.IFS(AND(A198&gt;NumberOfPlots,ISBLANK(INDEX(PlotData,MATCH($A198,PlotNumber,0),MATCH(B$3,PlotTitles,0)))),"",ISBLANK(INDEX(PlotData,MATCH($A198,PlotNumber,0),MATCH(C$3,PlotTitles,0))),$AB$6,TRUE,"")</f>
        <v/>
      </c>
      <c r="D198" s="104" t="str" cm="1">
        <f t="array" ref="D198">_xlfn.IFS(AND(A198&gt;NumberOfPlots,ISBLANK(INDEX(PlotData,MATCH($A198,PlotNumber,0),MATCH(B$3,PlotTitles,0)))),"",ISBLANK(INDEX(PlotData,MATCH($A198,PlotNumber,0),MATCH(D$3,PlotTitles,0))),$AB$7,TRUE,"")</f>
        <v/>
      </c>
      <c r="E198" s="104" t="str" cm="1">
        <f t="array" ref="E198">_xlfn.IFS(AND(A198&gt;NumberOfPlots,ISBLANK(INDEX(PlotData,MATCH($A198,PlotNumber,0),MATCH(B$3,PlotTitles,0)))),"",ISBLANK(INDEX(PlotData,MATCH($A198,PlotNumber,0),MATCH(E$3,PlotTitles,0))),$AB$8,TRUE,"")</f>
        <v/>
      </c>
      <c r="F198" s="104" t="str" cm="1">
        <f t="array" ref="F198">_xlfn.IFS(AND(A198&gt;NumberOfPlots,ISBLANK(INDEX(PlotData,MATCH($A198,PlotNumber,0),MATCH(B$3,PlotTitles,0)))),"",ISBLANK(INDEX(PlotData,MATCH($A198,PlotNumber,0),MATCH(F$3,PlotTitles,0))),$AB$9,TRUE,"")</f>
        <v/>
      </c>
      <c r="G198" s="104" t="str" cm="1">
        <f t="array" ref="G198">_xlfn.IFS(AND(A198&gt;NumberOfPlots,ISBLANK(INDEX(PlotData,MATCH($A198,PlotNumber,0),MATCH(B$3,PlotTitles,0)))),"",ISBLANK(INDEX(PlotData,MATCH($A198,PlotNumber,0),MATCH(G$3,PlotTitles,0))),$AB$10,TRUE,"")</f>
        <v/>
      </c>
      <c r="H198" s="104" t="str" cm="1">
        <f t="array" ref="H198">_xlfn.IFS(AND(A198&gt;NumberOfPlots,ISBLANK(INDEX(PlotData,MATCH($A198,PlotNumber,0),MATCH(B$3,PlotTitles,0)))),"",AND(ISBLANK(INDEX(PlotData,MATCH($A198,PlotNumber,0),MATCH(H$3,PlotTitles,0)))=FALSE,INDEX(PlotData,MATCH($A198,PlotNumber,0),MATCH(H$3,PlotTitles,0))&lt;500), $AB$11,TRUE,"")</f>
        <v/>
      </c>
      <c r="I198" s="104" t="str" cm="1">
        <f t="array" ref="I198">_xlfn.IFS(AND(A198&gt;NumberOfPlots,ISBLANK(INDEX(PlotData,MATCH($A198,PlotNumber,0),MATCH(B$3,PlotTitles,0)))),"",ISBLANK(INDEX(PlotData,MATCH($A198,PlotNumber,0),MATCH(I$3,PlotTitles,0))),$AB$12,TRUE,"")</f>
        <v/>
      </c>
      <c r="J198" s="104" t="str" cm="1">
        <f t="array" ref="J198">_xlfn.IFS(AND(A198&gt;NumberOfPlots,ISBLANK(INDEX(PlotData,MATCH($A198,PlotNumber,0),MATCH(B$3,PlotTitles,0)))),"",ISBLANK(INDEX(PlotData,MATCH($A198,PlotNumber,0),MATCH(J$3,PlotTitles,0))),$AB$13,TRUE,"")</f>
        <v/>
      </c>
      <c r="K198" s="182" t="str">
        <f t="shared" ca="1" si="9"/>
        <v/>
      </c>
      <c r="L198" s="104" t="str" cm="1">
        <f t="array" ref="L198">_xlfn.IFS(OR(ISBLANK(StartDateMonth),ISBLANK(StartDateYear)),"",AND(A198&gt;NumberOfPlots,ISBLANK(INDEX(PlotData,MATCH($A198,PlotNumber,0),MATCH(B$3,PlotTitles,0)))),"",ISBLANK(INDEX(PlotData,MATCH($A198,PlotNumber,0),MATCH(I$3,PlotTitles,0))),"",(DATEVALUE(INDEX(PlotData,MATCH($A198,PlotNumber,0),MATCH(I$3,PlotTitles,0))&amp;INDEX(PlotData,MATCH($A198,PlotNumber,0),MATCH(J$3,PlotTitles,0))))&lt;DATEVALUE(StartDateMonth&amp;StartDateYear),$AB$15,TRUE,"")</f>
        <v/>
      </c>
      <c r="M198" s="104" t="str" cm="1">
        <f t="array" ref="M198">_xlfn.IFS(OR(ISBLANK(StartDateMonth),ISBLANK(StartDateYear)),"",AND(A198&gt;NumberOfPlots,ISBLANK(INDEX(PlotData,MATCH($A198,PlotNumber,0),MATCH(B$3,PlotTitles,0)))),"",ISBLANK(INDEX(PlotData,MATCH($A198,PlotNumber,0),MATCH(I$3,PlotTitles,0))),"",CompletionMonth="","",(DATEVALUE(INDEX(PlotData,MATCH($A198,PlotNumber,0),MATCH(I$3,PlotTitles,0))&amp;INDEX(PlotData,MATCH($A198,PlotNumber,0),MATCH(J$3,PlotTitles,0))))&gt;(DATEVALUE(CompletionMonth&amp;CompletionYear)),$AB$16,TRUE,"")</f>
        <v/>
      </c>
      <c r="N198" s="104" t="str" cm="1">
        <f t="array" ref="N198">_xlfn.IFS(AND(A198&gt;NumberOfPlots,ISBLANK(INDEX(PlotData,MATCH($A198,PlotNumber,0),MATCH(B$3,PlotTitles,0)))),"",ISBLANK(INDEX(PlotData,MATCH($A198,PlotNumber,0),MATCH(N$3,PlotTitles,0))),$AB$17,TRUE,"")</f>
        <v/>
      </c>
      <c r="O198" s="104" t="str" cm="1">
        <f t="array" ref="O198">_xlfn.IFS(AND(A198&gt;NumberOfPlots,ISBLANK(INDEX(PlotData,MATCH($A198,PlotNumber,0),MATCH(B$3,PlotTitles,0)))),"",ISBLANK(INDEX(PlotData,MATCH($A198,PlotNumber,0),MATCH(O$3,PlotTitles,0))),$AB$18,TRUE,"")</f>
        <v/>
      </c>
      <c r="P198" s="182" t="str">
        <f t="shared" ca="1" si="10"/>
        <v/>
      </c>
      <c r="Q198" s="104" t="str" cm="1">
        <f t="array" ref="Q198">_xlfn.IFS(AND(A198&gt;NumberOfPlots,ISBLANK(INDEX(PlotData,MATCH($A198,PlotNumber,0),MATCH(B$3,PlotTitles,0)))),"",ISBLANK(INDEX(PlotData,MATCH($A198,PlotNumber,0),MATCH(N$3,PlotTitles,0))),"",(DATEVALUE(INDEX(PlotData,MATCH($A198,PlotNumber,0),MATCH(N$3,PlotTitles,0))&amp;INDEX(PlotData,MATCH($A198,PlotNumber,0),MATCH(O$3,PlotTitles,0))))&lt;(DATEVALUE(INDEX(PlotData,MATCH($A198,PlotNumber,0),MATCH(I$3,PlotTitles,0))&amp;INDEX(PlotData,MATCH($A198,PlotNumber,0),MATCH(J$3,PlotTitles,0)))),$AB$20,TRUE,"")</f>
        <v/>
      </c>
      <c r="R198" s="104" t="str" cm="1">
        <f t="array" ref="R198">_xlfn.IFS(OR(ISBLANK(StartDateMonth),ISBLANK(StartDateYear)),"",AND(A198&gt;NumberOfPlots,ISBLANK(INDEX(PlotData,MATCH($A198,PlotNumber,0),MATCH(B$3,PlotTitles,0)))),"",ISBLANK(INDEX(PlotData,MATCH($A198,PlotNumber,0),MATCH(N$3,PlotTitles,0))),"",CompletionMonth="","",(DATEVALUE(INDEX(PlotData,MATCH($A198,PlotNumber,0),MATCH(N$3,PlotTitles,0))&amp;INDEX(PlotData,MATCH($A198,PlotNumber,0),MATCH(O$3,PlotTitles,0))))&gt;(DATEVALUE(CompletionMonth&amp;CompletionYear)),$AB$21,TRUE,"")</f>
        <v/>
      </c>
      <c r="S198" s="104" t="str" cm="1">
        <f t="array" ref="S198">_xlfn.IFS(AND(A198&gt;NumberOfPlots,ISBLANK(INDEX(PlotData,MATCH($A198,PlotNumber,0),MATCH(B$3,PlotTitles,0)))),"",OR(AND(INDEX(PlotData,MATCH($A198,PlotNumber,0),MATCH("Tenure",PlotTitles,0))="Open market housing",INDEX(PlotData,MATCH($A198,PlotNumber,0),MATCH("Tenure detail",PlotTitles,0))="Private rented sector"),INDEX(PlotData,MATCH($A198,PlotNumber,0),MATCH("Tenure",PlotTitles,0))="Affordable rent"),"",ISNUMBER(INDEX(PlotData,MATCH($A198,PlotNumber,0),MATCH(S$3,PlotTitles,0)))=FALSE, $AB$22,TRUE,"")</f>
        <v/>
      </c>
      <c r="T198" s="104" t="str" cm="1">
        <f t="array" ref="T198">_xlfn.IFS(AND(A198&gt;NumberOfPlots,ISBLANK(INDEX(PlotData,MATCH($A198,PlotNumber,0),MATCH(B$3,PlotTitles,0)))),"",OR(AND(INDEX(PlotData,MATCH($A198,PlotNumber,0),MATCH("Tenure",PlotTitles,0))="Open market housing",INDEX(PlotData,MATCH($A198,PlotNumber,0),MATCH("Tenure detail",PlotTitles,0))="Private rented sector"),INDEX(PlotData,MATCH($A198,PlotNumber,0),MATCH("Tenure",PlotTitles,0))="Affordable rent"),"",INDEX(PlotData,MATCH($A198,PlotNumber,0),MATCH(S$3,PlotTitles,0))&lt;10000, $AB$23,TRUE,"")</f>
        <v/>
      </c>
      <c r="U198" s="104" t="str" cm="1">
        <f t="array" ref="U198">_xlfn.IFS(AND(A198&gt;NumberOfPlots,ISBLANK(INDEX(PlotData,MATCH($A198,PlotNumber,0),MATCH(B$3,PlotTitles,0)))),"",NOT(OR(AND(INDEX(PlotData,MATCH($A198,PlotNumber,0),MATCH("Tenure",PlotTitles,0))="Open market housing",INDEX(PlotData,MATCH($A198,PlotNumber,0),MATCH("Tenure detail",PlotTitles,0))="Private rented sector"),INDEX(PlotData,MATCH($A198,PlotNumber,0),MATCH("Tenure",PlotTitles,0))="Affordable rent")),"",NOT(INDEX(PlotData,MATCH($A198,PlotNumber,0),MATCH(S$3,PlotTitles,0))=0), $AB$24,TRUE,"")</f>
        <v/>
      </c>
      <c r="V198" s="114" t="str" cm="1">
        <f t="array" aca="1" ref="V198" ca="1">_xlfn.IFS(ISBLANK(NumberOfPlots),"Enter the number of homes on the 1_SetUp sheet",AND(A198&gt;NumberOfPlots,ISBLANK(INDEX(PlotData,MATCH($A198,PlotNumber,0),MATCH(B$3,PlotTitles,0)))),"No error",NOT(B198=""),B198,NOT(C198=""),C198,NOT(D198=""),D198,NOT(E198=""),E198,NOT(F198=""),F198,NOT(G198=""),G198,NOT(H198=""),H198,NOT(I198=""),I198,NOT(J198=""),J198,NOT(K198=""),K198,NOT(L198=""),L198,NOT(M198=""),M198,NOT(N198=""),N198,NOT(O198=""),O198,NOT(P198=""),P198,NOT(Q198=""),Q198,NOT(R198=""),R198,NOT(S198=""),S198,NOT(T198=""),T198,NOT(U198=""),U198,TRUE,"No error")</f>
        <v>Enter the number of homes on the 1_SetUp sheet</v>
      </c>
      <c r="W198" s="114" t="str">
        <f t="shared" ref="W198:W261" ca="1" si="11">IF($V198="No error","","The Borrower has not addressed the following error messages for Home ID "&amp;$A198&amp;": "&amp;_xlfn.TEXTJOIN(". ",TRUE,$B198:$T198))</f>
        <v xml:space="preserve">The Borrower has not addressed the following error messages for Home ID 194: </v>
      </c>
    </row>
    <row r="199" spans="1:23">
      <c r="A199" s="123">
        <v>195</v>
      </c>
      <c r="B199" s="104" t="str" cm="1">
        <f t="array" ref="B199">_xlfn.IFS(AND(A199&gt;NumberOfPlots,ISBLANK(INDEX(PlotData,MATCH($A199,PlotNumber,0),MATCH(B$3,PlotTitles,0)))),"",ISNUMBER(INDEX(PlotData,MATCH($A199,PlotNumber,0),MATCH(B$3,PlotTitles,0)))=FALSE, $AB$5,TRUE,"")</f>
        <v/>
      </c>
      <c r="C199" s="104" t="str" cm="1">
        <f t="array" ref="C199">_xlfn.IFS(AND(A199&gt;NumberOfPlots,ISBLANK(INDEX(PlotData,MATCH($A199,PlotNumber,0),MATCH(B$3,PlotTitles,0)))),"",ISBLANK(INDEX(PlotData,MATCH($A199,PlotNumber,0),MATCH(C$3,PlotTitles,0))),$AB$6,TRUE,"")</f>
        <v/>
      </c>
      <c r="D199" s="104" t="str" cm="1">
        <f t="array" ref="D199">_xlfn.IFS(AND(A199&gt;NumberOfPlots,ISBLANK(INDEX(PlotData,MATCH($A199,PlotNumber,0),MATCH(B$3,PlotTitles,0)))),"",ISBLANK(INDEX(PlotData,MATCH($A199,PlotNumber,0),MATCH(D$3,PlotTitles,0))),$AB$7,TRUE,"")</f>
        <v/>
      </c>
      <c r="E199" s="104" t="str" cm="1">
        <f t="array" ref="E199">_xlfn.IFS(AND(A199&gt;NumberOfPlots,ISBLANK(INDEX(PlotData,MATCH($A199,PlotNumber,0),MATCH(B$3,PlotTitles,0)))),"",ISBLANK(INDEX(PlotData,MATCH($A199,PlotNumber,0),MATCH(E$3,PlotTitles,0))),$AB$8,TRUE,"")</f>
        <v/>
      </c>
      <c r="F199" s="104" t="str" cm="1">
        <f t="array" ref="F199">_xlfn.IFS(AND(A199&gt;NumberOfPlots,ISBLANK(INDEX(PlotData,MATCH($A199,PlotNumber,0),MATCH(B$3,PlotTitles,0)))),"",ISBLANK(INDEX(PlotData,MATCH($A199,PlotNumber,0),MATCH(F$3,PlotTitles,0))),$AB$9,TRUE,"")</f>
        <v/>
      </c>
      <c r="G199" s="104" t="str" cm="1">
        <f t="array" ref="G199">_xlfn.IFS(AND(A199&gt;NumberOfPlots,ISBLANK(INDEX(PlotData,MATCH($A199,PlotNumber,0),MATCH(B$3,PlotTitles,0)))),"",ISBLANK(INDEX(PlotData,MATCH($A199,PlotNumber,0),MATCH(G$3,PlotTitles,0))),$AB$10,TRUE,"")</f>
        <v/>
      </c>
      <c r="H199" s="104" t="str" cm="1">
        <f t="array" ref="H199">_xlfn.IFS(AND(A199&gt;NumberOfPlots,ISBLANK(INDEX(PlotData,MATCH($A199,PlotNumber,0),MATCH(B$3,PlotTitles,0)))),"",AND(ISBLANK(INDEX(PlotData,MATCH($A199,PlotNumber,0),MATCH(H$3,PlotTitles,0)))=FALSE,INDEX(PlotData,MATCH($A199,PlotNumber,0),MATCH(H$3,PlotTitles,0))&lt;500), $AB$11,TRUE,"")</f>
        <v/>
      </c>
      <c r="I199" s="104" t="str" cm="1">
        <f t="array" ref="I199">_xlfn.IFS(AND(A199&gt;NumberOfPlots,ISBLANK(INDEX(PlotData,MATCH($A199,PlotNumber,0),MATCH(B$3,PlotTitles,0)))),"",ISBLANK(INDEX(PlotData,MATCH($A199,PlotNumber,0),MATCH(I$3,PlotTitles,0))),$AB$12,TRUE,"")</f>
        <v/>
      </c>
      <c r="J199" s="104" t="str" cm="1">
        <f t="array" ref="J199">_xlfn.IFS(AND(A199&gt;NumberOfPlots,ISBLANK(INDEX(PlotData,MATCH($A199,PlotNumber,0),MATCH(B$3,PlotTitles,0)))),"",ISBLANK(INDEX(PlotData,MATCH($A199,PlotNumber,0),MATCH(J$3,PlotTitles,0))),$AB$13,TRUE,"")</f>
        <v/>
      </c>
      <c r="K199" s="182" t="str">
        <f t="shared" ca="1" si="9"/>
        <v/>
      </c>
      <c r="L199" s="104" t="str" cm="1">
        <f t="array" ref="L199">_xlfn.IFS(OR(ISBLANK(StartDateMonth),ISBLANK(StartDateYear)),"",AND(A199&gt;NumberOfPlots,ISBLANK(INDEX(PlotData,MATCH($A199,PlotNumber,0),MATCH(B$3,PlotTitles,0)))),"",ISBLANK(INDEX(PlotData,MATCH($A199,PlotNumber,0),MATCH(I$3,PlotTitles,0))),"",(DATEVALUE(INDEX(PlotData,MATCH($A199,PlotNumber,0),MATCH(I$3,PlotTitles,0))&amp;INDEX(PlotData,MATCH($A199,PlotNumber,0),MATCH(J$3,PlotTitles,0))))&lt;DATEVALUE(StartDateMonth&amp;StartDateYear),$AB$15,TRUE,"")</f>
        <v/>
      </c>
      <c r="M199" s="104" t="str" cm="1">
        <f t="array" ref="M199">_xlfn.IFS(OR(ISBLANK(StartDateMonth),ISBLANK(StartDateYear)),"",AND(A199&gt;NumberOfPlots,ISBLANK(INDEX(PlotData,MATCH($A199,PlotNumber,0),MATCH(B$3,PlotTitles,0)))),"",ISBLANK(INDEX(PlotData,MATCH($A199,PlotNumber,0),MATCH(I$3,PlotTitles,0))),"",CompletionMonth="","",(DATEVALUE(INDEX(PlotData,MATCH($A199,PlotNumber,0),MATCH(I$3,PlotTitles,0))&amp;INDEX(PlotData,MATCH($A199,PlotNumber,0),MATCH(J$3,PlotTitles,0))))&gt;(DATEVALUE(CompletionMonth&amp;CompletionYear)),$AB$16,TRUE,"")</f>
        <v/>
      </c>
      <c r="N199" s="104" t="str" cm="1">
        <f t="array" ref="N199">_xlfn.IFS(AND(A199&gt;NumberOfPlots,ISBLANK(INDEX(PlotData,MATCH($A199,PlotNumber,0),MATCH(B$3,PlotTitles,0)))),"",ISBLANK(INDEX(PlotData,MATCH($A199,PlotNumber,0),MATCH(N$3,PlotTitles,0))),$AB$17,TRUE,"")</f>
        <v/>
      </c>
      <c r="O199" s="104" t="str" cm="1">
        <f t="array" ref="O199">_xlfn.IFS(AND(A199&gt;NumberOfPlots,ISBLANK(INDEX(PlotData,MATCH($A199,PlotNumber,0),MATCH(B$3,PlotTitles,0)))),"",ISBLANK(INDEX(PlotData,MATCH($A199,PlotNumber,0),MATCH(O$3,PlotTitles,0))),$AB$18,TRUE,"")</f>
        <v/>
      </c>
      <c r="P199" s="182" t="str">
        <f t="shared" ca="1" si="10"/>
        <v/>
      </c>
      <c r="Q199" s="104" t="str" cm="1">
        <f t="array" ref="Q199">_xlfn.IFS(AND(A199&gt;NumberOfPlots,ISBLANK(INDEX(PlotData,MATCH($A199,PlotNumber,0),MATCH(B$3,PlotTitles,0)))),"",ISBLANK(INDEX(PlotData,MATCH($A199,PlotNumber,0),MATCH(N$3,PlotTitles,0))),"",(DATEVALUE(INDEX(PlotData,MATCH($A199,PlotNumber,0),MATCH(N$3,PlotTitles,0))&amp;INDEX(PlotData,MATCH($A199,PlotNumber,0),MATCH(O$3,PlotTitles,0))))&lt;(DATEVALUE(INDEX(PlotData,MATCH($A199,PlotNumber,0),MATCH(I$3,PlotTitles,0))&amp;INDEX(PlotData,MATCH($A199,PlotNumber,0),MATCH(J$3,PlotTitles,0)))),$AB$20,TRUE,"")</f>
        <v/>
      </c>
      <c r="R199" s="104" t="str" cm="1">
        <f t="array" ref="R199">_xlfn.IFS(OR(ISBLANK(StartDateMonth),ISBLANK(StartDateYear)),"",AND(A199&gt;NumberOfPlots,ISBLANK(INDEX(PlotData,MATCH($A199,PlotNumber,0),MATCH(B$3,PlotTitles,0)))),"",ISBLANK(INDEX(PlotData,MATCH($A199,PlotNumber,0),MATCH(N$3,PlotTitles,0))),"",CompletionMonth="","",(DATEVALUE(INDEX(PlotData,MATCH($A199,PlotNumber,0),MATCH(N$3,PlotTitles,0))&amp;INDEX(PlotData,MATCH($A199,PlotNumber,0),MATCH(O$3,PlotTitles,0))))&gt;(DATEVALUE(CompletionMonth&amp;CompletionYear)),$AB$21,TRUE,"")</f>
        <v/>
      </c>
      <c r="S199" s="104" t="str" cm="1">
        <f t="array" ref="S199">_xlfn.IFS(AND(A199&gt;NumberOfPlots,ISBLANK(INDEX(PlotData,MATCH($A199,PlotNumber,0),MATCH(B$3,PlotTitles,0)))),"",OR(AND(INDEX(PlotData,MATCH($A199,PlotNumber,0),MATCH("Tenure",PlotTitles,0))="Open market housing",INDEX(PlotData,MATCH($A199,PlotNumber,0),MATCH("Tenure detail",PlotTitles,0))="Private rented sector"),INDEX(PlotData,MATCH($A199,PlotNumber,0),MATCH("Tenure",PlotTitles,0))="Affordable rent"),"",ISNUMBER(INDEX(PlotData,MATCH($A199,PlotNumber,0),MATCH(S$3,PlotTitles,0)))=FALSE, $AB$22,TRUE,"")</f>
        <v/>
      </c>
      <c r="T199" s="104" t="str" cm="1">
        <f t="array" ref="T199">_xlfn.IFS(AND(A199&gt;NumberOfPlots,ISBLANK(INDEX(PlotData,MATCH($A199,PlotNumber,0),MATCH(B$3,PlotTitles,0)))),"",OR(AND(INDEX(PlotData,MATCH($A199,PlotNumber,0),MATCH("Tenure",PlotTitles,0))="Open market housing",INDEX(PlotData,MATCH($A199,PlotNumber,0),MATCH("Tenure detail",PlotTitles,0))="Private rented sector"),INDEX(PlotData,MATCH($A199,PlotNumber,0),MATCH("Tenure",PlotTitles,0))="Affordable rent"),"",INDEX(PlotData,MATCH($A199,PlotNumber,0),MATCH(S$3,PlotTitles,0))&lt;10000, $AB$23,TRUE,"")</f>
        <v/>
      </c>
      <c r="U199" s="104" t="str" cm="1">
        <f t="array" ref="U199">_xlfn.IFS(AND(A199&gt;NumberOfPlots,ISBLANK(INDEX(PlotData,MATCH($A199,PlotNumber,0),MATCH(B$3,PlotTitles,0)))),"",NOT(OR(AND(INDEX(PlotData,MATCH($A199,PlotNumber,0),MATCH("Tenure",PlotTitles,0))="Open market housing",INDEX(PlotData,MATCH($A199,PlotNumber,0),MATCH("Tenure detail",PlotTitles,0))="Private rented sector"),INDEX(PlotData,MATCH($A199,PlotNumber,0),MATCH("Tenure",PlotTitles,0))="Affordable rent")),"",NOT(INDEX(PlotData,MATCH($A199,PlotNumber,0),MATCH(S$3,PlotTitles,0))=0), $AB$24,TRUE,"")</f>
        <v/>
      </c>
      <c r="V199" s="114" t="str" cm="1">
        <f t="array" aca="1" ref="V199" ca="1">_xlfn.IFS(ISBLANK(NumberOfPlots),"Enter the number of homes on the 1_SetUp sheet",AND(A199&gt;NumberOfPlots,ISBLANK(INDEX(PlotData,MATCH($A199,PlotNumber,0),MATCH(B$3,PlotTitles,0)))),"No error",NOT(B199=""),B199,NOT(C199=""),C199,NOT(D199=""),D199,NOT(E199=""),E199,NOT(F199=""),F199,NOT(G199=""),G199,NOT(H199=""),H199,NOT(I199=""),I199,NOT(J199=""),J199,NOT(K199=""),K199,NOT(L199=""),L199,NOT(M199=""),M199,NOT(N199=""),N199,NOT(O199=""),O199,NOT(P199=""),P199,NOT(Q199=""),Q199,NOT(R199=""),R199,NOT(S199=""),S199,NOT(T199=""),T199,NOT(U199=""),U199,TRUE,"No error")</f>
        <v>Enter the number of homes on the 1_SetUp sheet</v>
      </c>
      <c r="W199" s="114" t="str">
        <f t="shared" ca="1" si="11"/>
        <v xml:space="preserve">The Borrower has not addressed the following error messages for Home ID 195: </v>
      </c>
    </row>
    <row r="200" spans="1:23">
      <c r="A200" s="123">
        <v>196</v>
      </c>
      <c r="B200" s="104" t="str" cm="1">
        <f t="array" ref="B200">_xlfn.IFS(AND(A200&gt;NumberOfPlots,ISBLANK(INDEX(PlotData,MATCH($A200,PlotNumber,0),MATCH(B$3,PlotTitles,0)))),"",ISNUMBER(INDEX(PlotData,MATCH($A200,PlotNumber,0),MATCH(B$3,PlotTitles,0)))=FALSE, $AB$5,TRUE,"")</f>
        <v/>
      </c>
      <c r="C200" s="104" t="str" cm="1">
        <f t="array" ref="C200">_xlfn.IFS(AND(A200&gt;NumberOfPlots,ISBLANK(INDEX(PlotData,MATCH($A200,PlotNumber,0),MATCH(B$3,PlotTitles,0)))),"",ISBLANK(INDEX(PlotData,MATCH($A200,PlotNumber,0),MATCH(C$3,PlotTitles,0))),$AB$6,TRUE,"")</f>
        <v/>
      </c>
      <c r="D200" s="104" t="str" cm="1">
        <f t="array" ref="D200">_xlfn.IFS(AND(A200&gt;NumberOfPlots,ISBLANK(INDEX(PlotData,MATCH($A200,PlotNumber,0),MATCH(B$3,PlotTitles,0)))),"",ISBLANK(INDEX(PlotData,MATCH($A200,PlotNumber,0),MATCH(D$3,PlotTitles,0))),$AB$7,TRUE,"")</f>
        <v/>
      </c>
      <c r="E200" s="104" t="str" cm="1">
        <f t="array" ref="E200">_xlfn.IFS(AND(A200&gt;NumberOfPlots,ISBLANK(INDEX(PlotData,MATCH($A200,PlotNumber,0),MATCH(B$3,PlotTitles,0)))),"",ISBLANK(INDEX(PlotData,MATCH($A200,PlotNumber,0),MATCH(E$3,PlotTitles,0))),$AB$8,TRUE,"")</f>
        <v/>
      </c>
      <c r="F200" s="104" t="str" cm="1">
        <f t="array" ref="F200">_xlfn.IFS(AND(A200&gt;NumberOfPlots,ISBLANK(INDEX(PlotData,MATCH($A200,PlotNumber,0),MATCH(B$3,PlotTitles,0)))),"",ISBLANK(INDEX(PlotData,MATCH($A200,PlotNumber,0),MATCH(F$3,PlotTitles,0))),$AB$9,TRUE,"")</f>
        <v/>
      </c>
      <c r="G200" s="104" t="str" cm="1">
        <f t="array" ref="G200">_xlfn.IFS(AND(A200&gt;NumberOfPlots,ISBLANK(INDEX(PlotData,MATCH($A200,PlotNumber,0),MATCH(B$3,PlotTitles,0)))),"",ISBLANK(INDEX(PlotData,MATCH($A200,PlotNumber,0),MATCH(G$3,PlotTitles,0))),$AB$10,TRUE,"")</f>
        <v/>
      </c>
      <c r="H200" s="104" t="str" cm="1">
        <f t="array" ref="H200">_xlfn.IFS(AND(A200&gt;NumberOfPlots,ISBLANK(INDEX(PlotData,MATCH($A200,PlotNumber,0),MATCH(B$3,PlotTitles,0)))),"",AND(ISBLANK(INDEX(PlotData,MATCH($A200,PlotNumber,0),MATCH(H$3,PlotTitles,0)))=FALSE,INDEX(PlotData,MATCH($A200,PlotNumber,0),MATCH(H$3,PlotTitles,0))&lt;500), $AB$11,TRUE,"")</f>
        <v/>
      </c>
      <c r="I200" s="104" t="str" cm="1">
        <f t="array" ref="I200">_xlfn.IFS(AND(A200&gt;NumberOfPlots,ISBLANK(INDEX(PlotData,MATCH($A200,PlotNumber,0),MATCH(B$3,PlotTitles,0)))),"",ISBLANK(INDEX(PlotData,MATCH($A200,PlotNumber,0),MATCH(I$3,PlotTitles,0))),$AB$12,TRUE,"")</f>
        <v/>
      </c>
      <c r="J200" s="104" t="str" cm="1">
        <f t="array" ref="J200">_xlfn.IFS(AND(A200&gt;NumberOfPlots,ISBLANK(INDEX(PlotData,MATCH($A200,PlotNumber,0),MATCH(B$3,PlotTitles,0)))),"",ISBLANK(INDEX(PlotData,MATCH($A200,PlotNumber,0),MATCH(J$3,PlotTitles,0))),$AB$13,TRUE,"")</f>
        <v/>
      </c>
      <c r="K200" s="182" t="str">
        <f t="shared" ca="1" si="9"/>
        <v/>
      </c>
      <c r="L200" s="104" t="str" cm="1">
        <f t="array" ref="L200">_xlfn.IFS(OR(ISBLANK(StartDateMonth),ISBLANK(StartDateYear)),"",AND(A200&gt;NumberOfPlots,ISBLANK(INDEX(PlotData,MATCH($A200,PlotNumber,0),MATCH(B$3,PlotTitles,0)))),"",ISBLANK(INDEX(PlotData,MATCH($A200,PlotNumber,0),MATCH(I$3,PlotTitles,0))),"",(DATEVALUE(INDEX(PlotData,MATCH($A200,PlotNumber,0),MATCH(I$3,PlotTitles,0))&amp;INDEX(PlotData,MATCH($A200,PlotNumber,0),MATCH(J$3,PlotTitles,0))))&lt;DATEVALUE(StartDateMonth&amp;StartDateYear),$AB$15,TRUE,"")</f>
        <v/>
      </c>
      <c r="M200" s="104" t="str" cm="1">
        <f t="array" ref="M200">_xlfn.IFS(OR(ISBLANK(StartDateMonth),ISBLANK(StartDateYear)),"",AND(A200&gt;NumberOfPlots,ISBLANK(INDEX(PlotData,MATCH($A200,PlotNumber,0),MATCH(B$3,PlotTitles,0)))),"",ISBLANK(INDEX(PlotData,MATCH($A200,PlotNumber,0),MATCH(I$3,PlotTitles,0))),"",CompletionMonth="","",(DATEVALUE(INDEX(PlotData,MATCH($A200,PlotNumber,0),MATCH(I$3,PlotTitles,0))&amp;INDEX(PlotData,MATCH($A200,PlotNumber,0),MATCH(J$3,PlotTitles,0))))&gt;(DATEVALUE(CompletionMonth&amp;CompletionYear)),$AB$16,TRUE,"")</f>
        <v/>
      </c>
      <c r="N200" s="104" t="str" cm="1">
        <f t="array" ref="N200">_xlfn.IFS(AND(A200&gt;NumberOfPlots,ISBLANK(INDEX(PlotData,MATCH($A200,PlotNumber,0),MATCH(B$3,PlotTitles,0)))),"",ISBLANK(INDEX(PlotData,MATCH($A200,PlotNumber,0),MATCH(N$3,PlotTitles,0))),$AB$17,TRUE,"")</f>
        <v/>
      </c>
      <c r="O200" s="104" t="str" cm="1">
        <f t="array" ref="O200">_xlfn.IFS(AND(A200&gt;NumberOfPlots,ISBLANK(INDEX(PlotData,MATCH($A200,PlotNumber,0),MATCH(B$3,PlotTitles,0)))),"",ISBLANK(INDEX(PlotData,MATCH($A200,PlotNumber,0),MATCH(O$3,PlotTitles,0))),$AB$18,TRUE,"")</f>
        <v/>
      </c>
      <c r="P200" s="182" t="str">
        <f t="shared" ca="1" si="10"/>
        <v/>
      </c>
      <c r="Q200" s="104" t="str" cm="1">
        <f t="array" ref="Q200">_xlfn.IFS(AND(A200&gt;NumberOfPlots,ISBLANK(INDEX(PlotData,MATCH($A200,PlotNumber,0),MATCH(B$3,PlotTitles,0)))),"",ISBLANK(INDEX(PlotData,MATCH($A200,PlotNumber,0),MATCH(N$3,PlotTitles,0))),"",(DATEVALUE(INDEX(PlotData,MATCH($A200,PlotNumber,0),MATCH(N$3,PlotTitles,0))&amp;INDEX(PlotData,MATCH($A200,PlotNumber,0),MATCH(O$3,PlotTitles,0))))&lt;(DATEVALUE(INDEX(PlotData,MATCH($A200,PlotNumber,0),MATCH(I$3,PlotTitles,0))&amp;INDEX(PlotData,MATCH($A200,PlotNumber,0),MATCH(J$3,PlotTitles,0)))),$AB$20,TRUE,"")</f>
        <v/>
      </c>
      <c r="R200" s="104" t="str" cm="1">
        <f t="array" ref="R200">_xlfn.IFS(OR(ISBLANK(StartDateMonth),ISBLANK(StartDateYear)),"",AND(A200&gt;NumberOfPlots,ISBLANK(INDEX(PlotData,MATCH($A200,PlotNumber,0),MATCH(B$3,PlotTitles,0)))),"",ISBLANK(INDEX(PlotData,MATCH($A200,PlotNumber,0),MATCH(N$3,PlotTitles,0))),"",CompletionMonth="","",(DATEVALUE(INDEX(PlotData,MATCH($A200,PlotNumber,0),MATCH(N$3,PlotTitles,0))&amp;INDEX(PlotData,MATCH($A200,PlotNumber,0),MATCH(O$3,PlotTitles,0))))&gt;(DATEVALUE(CompletionMonth&amp;CompletionYear)),$AB$21,TRUE,"")</f>
        <v/>
      </c>
      <c r="S200" s="104" t="str" cm="1">
        <f t="array" ref="S200">_xlfn.IFS(AND(A200&gt;NumberOfPlots,ISBLANK(INDEX(PlotData,MATCH($A200,PlotNumber,0),MATCH(B$3,PlotTitles,0)))),"",OR(AND(INDEX(PlotData,MATCH($A200,PlotNumber,0),MATCH("Tenure",PlotTitles,0))="Open market housing",INDEX(PlotData,MATCH($A200,PlotNumber,0),MATCH("Tenure detail",PlotTitles,0))="Private rented sector"),INDEX(PlotData,MATCH($A200,PlotNumber,0),MATCH("Tenure",PlotTitles,0))="Affordable rent"),"",ISNUMBER(INDEX(PlotData,MATCH($A200,PlotNumber,0),MATCH(S$3,PlotTitles,0)))=FALSE, $AB$22,TRUE,"")</f>
        <v/>
      </c>
      <c r="T200" s="104" t="str" cm="1">
        <f t="array" ref="T200">_xlfn.IFS(AND(A200&gt;NumberOfPlots,ISBLANK(INDEX(PlotData,MATCH($A200,PlotNumber,0),MATCH(B$3,PlotTitles,0)))),"",OR(AND(INDEX(PlotData,MATCH($A200,PlotNumber,0),MATCH("Tenure",PlotTitles,0))="Open market housing",INDEX(PlotData,MATCH($A200,PlotNumber,0),MATCH("Tenure detail",PlotTitles,0))="Private rented sector"),INDEX(PlotData,MATCH($A200,PlotNumber,0),MATCH("Tenure",PlotTitles,0))="Affordable rent"),"",INDEX(PlotData,MATCH($A200,PlotNumber,0),MATCH(S$3,PlotTitles,0))&lt;10000, $AB$23,TRUE,"")</f>
        <v/>
      </c>
      <c r="U200" s="104" t="str" cm="1">
        <f t="array" ref="U200">_xlfn.IFS(AND(A200&gt;NumberOfPlots,ISBLANK(INDEX(PlotData,MATCH($A200,PlotNumber,0),MATCH(B$3,PlotTitles,0)))),"",NOT(OR(AND(INDEX(PlotData,MATCH($A200,PlotNumber,0),MATCH("Tenure",PlotTitles,0))="Open market housing",INDEX(PlotData,MATCH($A200,PlotNumber,0),MATCH("Tenure detail",PlotTitles,0))="Private rented sector"),INDEX(PlotData,MATCH($A200,PlotNumber,0),MATCH("Tenure",PlotTitles,0))="Affordable rent")),"",NOT(INDEX(PlotData,MATCH($A200,PlotNumber,0),MATCH(S$3,PlotTitles,0))=0), $AB$24,TRUE,"")</f>
        <v/>
      </c>
      <c r="V200" s="114" t="str" cm="1">
        <f t="array" aca="1" ref="V200" ca="1">_xlfn.IFS(ISBLANK(NumberOfPlots),"Enter the number of homes on the 1_SetUp sheet",AND(A200&gt;NumberOfPlots,ISBLANK(INDEX(PlotData,MATCH($A200,PlotNumber,0),MATCH(B$3,PlotTitles,0)))),"No error",NOT(B200=""),B200,NOT(C200=""),C200,NOT(D200=""),D200,NOT(E200=""),E200,NOT(F200=""),F200,NOT(G200=""),G200,NOT(H200=""),H200,NOT(I200=""),I200,NOT(J200=""),J200,NOT(K200=""),K200,NOT(L200=""),L200,NOT(M200=""),M200,NOT(N200=""),N200,NOT(O200=""),O200,NOT(P200=""),P200,NOT(Q200=""),Q200,NOT(R200=""),R200,NOT(S200=""),S200,NOT(T200=""),T200,NOT(U200=""),U200,TRUE,"No error")</f>
        <v>Enter the number of homes on the 1_SetUp sheet</v>
      </c>
      <c r="W200" s="114" t="str">
        <f t="shared" ca="1" si="11"/>
        <v xml:space="preserve">The Borrower has not addressed the following error messages for Home ID 196: </v>
      </c>
    </row>
    <row r="201" spans="1:23">
      <c r="A201" s="123">
        <v>197</v>
      </c>
      <c r="B201" s="104" t="str" cm="1">
        <f t="array" ref="B201">_xlfn.IFS(AND(A201&gt;NumberOfPlots,ISBLANK(INDEX(PlotData,MATCH($A201,PlotNumber,0),MATCH(B$3,PlotTitles,0)))),"",ISNUMBER(INDEX(PlotData,MATCH($A201,PlotNumber,0),MATCH(B$3,PlotTitles,0)))=FALSE, $AB$5,TRUE,"")</f>
        <v/>
      </c>
      <c r="C201" s="104" t="str" cm="1">
        <f t="array" ref="C201">_xlfn.IFS(AND(A201&gt;NumberOfPlots,ISBLANK(INDEX(PlotData,MATCH($A201,PlotNumber,0),MATCH(B$3,PlotTitles,0)))),"",ISBLANK(INDEX(PlotData,MATCH($A201,PlotNumber,0),MATCH(C$3,PlotTitles,0))),$AB$6,TRUE,"")</f>
        <v/>
      </c>
      <c r="D201" s="104" t="str" cm="1">
        <f t="array" ref="D201">_xlfn.IFS(AND(A201&gt;NumberOfPlots,ISBLANK(INDEX(PlotData,MATCH($A201,PlotNumber,0),MATCH(B$3,PlotTitles,0)))),"",ISBLANK(INDEX(PlotData,MATCH($A201,PlotNumber,0),MATCH(D$3,PlotTitles,0))),$AB$7,TRUE,"")</f>
        <v/>
      </c>
      <c r="E201" s="104" t="str" cm="1">
        <f t="array" ref="E201">_xlfn.IFS(AND(A201&gt;NumberOfPlots,ISBLANK(INDEX(PlotData,MATCH($A201,PlotNumber,0),MATCH(B$3,PlotTitles,0)))),"",ISBLANK(INDEX(PlotData,MATCH($A201,PlotNumber,0),MATCH(E$3,PlotTitles,0))),$AB$8,TRUE,"")</f>
        <v/>
      </c>
      <c r="F201" s="104" t="str" cm="1">
        <f t="array" ref="F201">_xlfn.IFS(AND(A201&gt;NumberOfPlots,ISBLANK(INDEX(PlotData,MATCH($A201,PlotNumber,0),MATCH(B$3,PlotTitles,0)))),"",ISBLANK(INDEX(PlotData,MATCH($A201,PlotNumber,0),MATCH(F$3,PlotTitles,0))),$AB$9,TRUE,"")</f>
        <v/>
      </c>
      <c r="G201" s="104" t="str" cm="1">
        <f t="array" ref="G201">_xlfn.IFS(AND(A201&gt;NumberOfPlots,ISBLANK(INDEX(PlotData,MATCH($A201,PlotNumber,0),MATCH(B$3,PlotTitles,0)))),"",ISBLANK(INDEX(PlotData,MATCH($A201,PlotNumber,0),MATCH(G$3,PlotTitles,0))),$AB$10,TRUE,"")</f>
        <v/>
      </c>
      <c r="H201" s="104" t="str" cm="1">
        <f t="array" ref="H201">_xlfn.IFS(AND(A201&gt;NumberOfPlots,ISBLANK(INDEX(PlotData,MATCH($A201,PlotNumber,0),MATCH(B$3,PlotTitles,0)))),"",AND(ISBLANK(INDEX(PlotData,MATCH($A201,PlotNumber,0),MATCH(H$3,PlotTitles,0)))=FALSE,INDEX(PlotData,MATCH($A201,PlotNumber,0),MATCH(H$3,PlotTitles,0))&lt;500), $AB$11,TRUE,"")</f>
        <v/>
      </c>
      <c r="I201" s="104" t="str" cm="1">
        <f t="array" ref="I201">_xlfn.IFS(AND(A201&gt;NumberOfPlots,ISBLANK(INDEX(PlotData,MATCH($A201,PlotNumber,0),MATCH(B$3,PlotTitles,0)))),"",ISBLANK(INDEX(PlotData,MATCH($A201,PlotNumber,0),MATCH(I$3,PlotTitles,0))),$AB$12,TRUE,"")</f>
        <v/>
      </c>
      <c r="J201" s="104" t="str" cm="1">
        <f t="array" ref="J201">_xlfn.IFS(AND(A201&gt;NumberOfPlots,ISBLANK(INDEX(PlotData,MATCH($A201,PlotNumber,0),MATCH(B$3,PlotTitles,0)))),"",ISBLANK(INDEX(PlotData,MATCH($A201,PlotNumber,0),MATCH(J$3,PlotTitles,0))),$AB$13,TRUE,"")</f>
        <v/>
      </c>
      <c r="K201" s="182" t="str">
        <f t="shared" ca="1" si="9"/>
        <v/>
      </c>
      <c r="L201" s="104" t="str" cm="1">
        <f t="array" ref="L201">_xlfn.IFS(OR(ISBLANK(StartDateMonth),ISBLANK(StartDateYear)),"",AND(A201&gt;NumberOfPlots,ISBLANK(INDEX(PlotData,MATCH($A201,PlotNumber,0),MATCH(B$3,PlotTitles,0)))),"",ISBLANK(INDEX(PlotData,MATCH($A201,PlotNumber,0),MATCH(I$3,PlotTitles,0))),"",(DATEVALUE(INDEX(PlotData,MATCH($A201,PlotNumber,0),MATCH(I$3,PlotTitles,0))&amp;INDEX(PlotData,MATCH($A201,PlotNumber,0),MATCH(J$3,PlotTitles,0))))&lt;DATEVALUE(StartDateMonth&amp;StartDateYear),$AB$15,TRUE,"")</f>
        <v/>
      </c>
      <c r="M201" s="104" t="str" cm="1">
        <f t="array" ref="M201">_xlfn.IFS(OR(ISBLANK(StartDateMonth),ISBLANK(StartDateYear)),"",AND(A201&gt;NumberOfPlots,ISBLANK(INDEX(PlotData,MATCH($A201,PlotNumber,0),MATCH(B$3,PlotTitles,0)))),"",ISBLANK(INDEX(PlotData,MATCH($A201,PlotNumber,0),MATCH(I$3,PlotTitles,0))),"",CompletionMonth="","",(DATEVALUE(INDEX(PlotData,MATCH($A201,PlotNumber,0),MATCH(I$3,PlotTitles,0))&amp;INDEX(PlotData,MATCH($A201,PlotNumber,0),MATCH(J$3,PlotTitles,0))))&gt;(DATEVALUE(CompletionMonth&amp;CompletionYear)),$AB$16,TRUE,"")</f>
        <v/>
      </c>
      <c r="N201" s="104" t="str" cm="1">
        <f t="array" ref="N201">_xlfn.IFS(AND(A201&gt;NumberOfPlots,ISBLANK(INDEX(PlotData,MATCH($A201,PlotNumber,0),MATCH(B$3,PlotTitles,0)))),"",ISBLANK(INDEX(PlotData,MATCH($A201,PlotNumber,0),MATCH(N$3,PlotTitles,0))),$AB$17,TRUE,"")</f>
        <v/>
      </c>
      <c r="O201" s="104" t="str" cm="1">
        <f t="array" ref="O201">_xlfn.IFS(AND(A201&gt;NumberOfPlots,ISBLANK(INDEX(PlotData,MATCH($A201,PlotNumber,0),MATCH(B$3,PlotTitles,0)))),"",ISBLANK(INDEX(PlotData,MATCH($A201,PlotNumber,0),MATCH(O$3,PlotTitles,0))),$AB$18,TRUE,"")</f>
        <v/>
      </c>
      <c r="P201" s="182" t="str">
        <f t="shared" ca="1" si="10"/>
        <v/>
      </c>
      <c r="Q201" s="104" t="str" cm="1">
        <f t="array" ref="Q201">_xlfn.IFS(AND(A201&gt;NumberOfPlots,ISBLANK(INDEX(PlotData,MATCH($A201,PlotNumber,0),MATCH(B$3,PlotTitles,0)))),"",ISBLANK(INDEX(PlotData,MATCH($A201,PlotNumber,0),MATCH(N$3,PlotTitles,0))),"",(DATEVALUE(INDEX(PlotData,MATCH($A201,PlotNumber,0),MATCH(N$3,PlotTitles,0))&amp;INDEX(PlotData,MATCH($A201,PlotNumber,0),MATCH(O$3,PlotTitles,0))))&lt;(DATEVALUE(INDEX(PlotData,MATCH($A201,PlotNumber,0),MATCH(I$3,PlotTitles,0))&amp;INDEX(PlotData,MATCH($A201,PlotNumber,0),MATCH(J$3,PlotTitles,0)))),$AB$20,TRUE,"")</f>
        <v/>
      </c>
      <c r="R201" s="104" t="str" cm="1">
        <f t="array" ref="R201">_xlfn.IFS(OR(ISBLANK(StartDateMonth),ISBLANK(StartDateYear)),"",AND(A201&gt;NumberOfPlots,ISBLANK(INDEX(PlotData,MATCH($A201,PlotNumber,0),MATCH(B$3,PlotTitles,0)))),"",ISBLANK(INDEX(PlotData,MATCH($A201,PlotNumber,0),MATCH(N$3,PlotTitles,0))),"",CompletionMonth="","",(DATEVALUE(INDEX(PlotData,MATCH($A201,PlotNumber,0),MATCH(N$3,PlotTitles,0))&amp;INDEX(PlotData,MATCH($A201,PlotNumber,0),MATCH(O$3,PlotTitles,0))))&gt;(DATEVALUE(CompletionMonth&amp;CompletionYear)),$AB$21,TRUE,"")</f>
        <v/>
      </c>
      <c r="S201" s="104" t="str" cm="1">
        <f t="array" ref="S201">_xlfn.IFS(AND(A201&gt;NumberOfPlots,ISBLANK(INDEX(PlotData,MATCH($A201,PlotNumber,0),MATCH(B$3,PlotTitles,0)))),"",OR(AND(INDEX(PlotData,MATCH($A201,PlotNumber,0),MATCH("Tenure",PlotTitles,0))="Open market housing",INDEX(PlotData,MATCH($A201,PlotNumber,0),MATCH("Tenure detail",PlotTitles,0))="Private rented sector"),INDEX(PlotData,MATCH($A201,PlotNumber,0),MATCH("Tenure",PlotTitles,0))="Affordable rent"),"",ISNUMBER(INDEX(PlotData,MATCH($A201,PlotNumber,0),MATCH(S$3,PlotTitles,0)))=FALSE, $AB$22,TRUE,"")</f>
        <v/>
      </c>
      <c r="T201" s="104" t="str" cm="1">
        <f t="array" ref="T201">_xlfn.IFS(AND(A201&gt;NumberOfPlots,ISBLANK(INDEX(PlotData,MATCH($A201,PlotNumber,0),MATCH(B$3,PlotTitles,0)))),"",OR(AND(INDEX(PlotData,MATCH($A201,PlotNumber,0),MATCH("Tenure",PlotTitles,0))="Open market housing",INDEX(PlotData,MATCH($A201,PlotNumber,0),MATCH("Tenure detail",PlotTitles,0))="Private rented sector"),INDEX(PlotData,MATCH($A201,PlotNumber,0),MATCH("Tenure",PlotTitles,0))="Affordable rent"),"",INDEX(PlotData,MATCH($A201,PlotNumber,0),MATCH(S$3,PlotTitles,0))&lt;10000, $AB$23,TRUE,"")</f>
        <v/>
      </c>
      <c r="U201" s="104" t="str" cm="1">
        <f t="array" ref="U201">_xlfn.IFS(AND(A201&gt;NumberOfPlots,ISBLANK(INDEX(PlotData,MATCH($A201,PlotNumber,0),MATCH(B$3,PlotTitles,0)))),"",NOT(OR(AND(INDEX(PlotData,MATCH($A201,PlotNumber,0),MATCH("Tenure",PlotTitles,0))="Open market housing",INDEX(PlotData,MATCH($A201,PlotNumber,0),MATCH("Tenure detail",PlotTitles,0))="Private rented sector"),INDEX(PlotData,MATCH($A201,PlotNumber,0),MATCH("Tenure",PlotTitles,0))="Affordable rent")),"",NOT(INDEX(PlotData,MATCH($A201,PlotNumber,0),MATCH(S$3,PlotTitles,0))=0), $AB$24,TRUE,"")</f>
        <v/>
      </c>
      <c r="V201" s="114" t="str" cm="1">
        <f t="array" aca="1" ref="V201" ca="1">_xlfn.IFS(ISBLANK(NumberOfPlots),"Enter the number of homes on the 1_SetUp sheet",AND(A201&gt;NumberOfPlots,ISBLANK(INDEX(PlotData,MATCH($A201,PlotNumber,0),MATCH(B$3,PlotTitles,0)))),"No error",NOT(B201=""),B201,NOT(C201=""),C201,NOT(D201=""),D201,NOT(E201=""),E201,NOT(F201=""),F201,NOT(G201=""),G201,NOT(H201=""),H201,NOT(I201=""),I201,NOT(J201=""),J201,NOT(K201=""),K201,NOT(L201=""),L201,NOT(M201=""),M201,NOT(N201=""),N201,NOT(O201=""),O201,NOT(P201=""),P201,NOT(Q201=""),Q201,NOT(R201=""),R201,NOT(S201=""),S201,NOT(T201=""),T201,NOT(U201=""),U201,TRUE,"No error")</f>
        <v>Enter the number of homes on the 1_SetUp sheet</v>
      </c>
      <c r="W201" s="114" t="str">
        <f t="shared" ca="1" si="11"/>
        <v xml:space="preserve">The Borrower has not addressed the following error messages for Home ID 197: </v>
      </c>
    </row>
    <row r="202" spans="1:23">
      <c r="A202" s="123">
        <v>198</v>
      </c>
      <c r="B202" s="104" t="str" cm="1">
        <f t="array" ref="B202">_xlfn.IFS(AND(A202&gt;NumberOfPlots,ISBLANK(INDEX(PlotData,MATCH($A202,PlotNumber,0),MATCH(B$3,PlotTitles,0)))),"",ISNUMBER(INDEX(PlotData,MATCH($A202,PlotNumber,0),MATCH(B$3,PlotTitles,0)))=FALSE, $AB$5,TRUE,"")</f>
        <v/>
      </c>
      <c r="C202" s="104" t="str" cm="1">
        <f t="array" ref="C202">_xlfn.IFS(AND(A202&gt;NumberOfPlots,ISBLANK(INDEX(PlotData,MATCH($A202,PlotNumber,0),MATCH(B$3,PlotTitles,0)))),"",ISBLANK(INDEX(PlotData,MATCH($A202,PlotNumber,0),MATCH(C$3,PlotTitles,0))),$AB$6,TRUE,"")</f>
        <v/>
      </c>
      <c r="D202" s="104" t="str" cm="1">
        <f t="array" ref="D202">_xlfn.IFS(AND(A202&gt;NumberOfPlots,ISBLANK(INDEX(PlotData,MATCH($A202,PlotNumber,0),MATCH(B$3,PlotTitles,0)))),"",ISBLANK(INDEX(PlotData,MATCH($A202,PlotNumber,0),MATCH(D$3,PlotTitles,0))),$AB$7,TRUE,"")</f>
        <v/>
      </c>
      <c r="E202" s="104" t="str" cm="1">
        <f t="array" ref="E202">_xlfn.IFS(AND(A202&gt;NumberOfPlots,ISBLANK(INDEX(PlotData,MATCH($A202,PlotNumber,0),MATCH(B$3,PlotTitles,0)))),"",ISBLANK(INDEX(PlotData,MATCH($A202,PlotNumber,0),MATCH(E$3,PlotTitles,0))),$AB$8,TRUE,"")</f>
        <v/>
      </c>
      <c r="F202" s="104" t="str" cm="1">
        <f t="array" ref="F202">_xlfn.IFS(AND(A202&gt;NumberOfPlots,ISBLANK(INDEX(PlotData,MATCH($A202,PlotNumber,0),MATCH(B$3,PlotTitles,0)))),"",ISBLANK(INDEX(PlotData,MATCH($A202,PlotNumber,0),MATCH(F$3,PlotTitles,0))),$AB$9,TRUE,"")</f>
        <v/>
      </c>
      <c r="G202" s="104" t="str" cm="1">
        <f t="array" ref="G202">_xlfn.IFS(AND(A202&gt;NumberOfPlots,ISBLANK(INDEX(PlotData,MATCH($A202,PlotNumber,0),MATCH(B$3,PlotTitles,0)))),"",ISBLANK(INDEX(PlotData,MATCH($A202,PlotNumber,0),MATCH(G$3,PlotTitles,0))),$AB$10,TRUE,"")</f>
        <v/>
      </c>
      <c r="H202" s="104" t="str" cm="1">
        <f t="array" ref="H202">_xlfn.IFS(AND(A202&gt;NumberOfPlots,ISBLANK(INDEX(PlotData,MATCH($A202,PlotNumber,0),MATCH(B$3,PlotTitles,0)))),"",AND(ISBLANK(INDEX(PlotData,MATCH($A202,PlotNumber,0),MATCH(H$3,PlotTitles,0)))=FALSE,INDEX(PlotData,MATCH($A202,PlotNumber,0),MATCH(H$3,PlotTitles,0))&lt;500), $AB$11,TRUE,"")</f>
        <v/>
      </c>
      <c r="I202" s="104" t="str" cm="1">
        <f t="array" ref="I202">_xlfn.IFS(AND(A202&gt;NumberOfPlots,ISBLANK(INDEX(PlotData,MATCH($A202,PlotNumber,0),MATCH(B$3,PlotTitles,0)))),"",ISBLANK(INDEX(PlotData,MATCH($A202,PlotNumber,0),MATCH(I$3,PlotTitles,0))),$AB$12,TRUE,"")</f>
        <v/>
      </c>
      <c r="J202" s="104" t="str" cm="1">
        <f t="array" ref="J202">_xlfn.IFS(AND(A202&gt;NumberOfPlots,ISBLANK(INDEX(PlotData,MATCH($A202,PlotNumber,0),MATCH(B$3,PlotTitles,0)))),"",ISBLANK(INDEX(PlotData,MATCH($A202,PlotNumber,0),MATCH(J$3,PlotTitles,0))),$AB$13,TRUE,"")</f>
        <v/>
      </c>
      <c r="K202" s="182" t="str">
        <f t="shared" ca="1" si="9"/>
        <v/>
      </c>
      <c r="L202" s="104" t="str" cm="1">
        <f t="array" ref="L202">_xlfn.IFS(OR(ISBLANK(StartDateMonth),ISBLANK(StartDateYear)),"",AND(A202&gt;NumberOfPlots,ISBLANK(INDEX(PlotData,MATCH($A202,PlotNumber,0),MATCH(B$3,PlotTitles,0)))),"",ISBLANK(INDEX(PlotData,MATCH($A202,PlotNumber,0),MATCH(I$3,PlotTitles,0))),"",(DATEVALUE(INDEX(PlotData,MATCH($A202,PlotNumber,0),MATCH(I$3,PlotTitles,0))&amp;INDEX(PlotData,MATCH($A202,PlotNumber,0),MATCH(J$3,PlotTitles,0))))&lt;DATEVALUE(StartDateMonth&amp;StartDateYear),$AB$15,TRUE,"")</f>
        <v/>
      </c>
      <c r="M202" s="104" t="str" cm="1">
        <f t="array" ref="M202">_xlfn.IFS(OR(ISBLANK(StartDateMonth),ISBLANK(StartDateYear)),"",AND(A202&gt;NumberOfPlots,ISBLANK(INDEX(PlotData,MATCH($A202,PlotNumber,0),MATCH(B$3,PlotTitles,0)))),"",ISBLANK(INDEX(PlotData,MATCH($A202,PlotNumber,0),MATCH(I$3,PlotTitles,0))),"",CompletionMonth="","",(DATEVALUE(INDEX(PlotData,MATCH($A202,PlotNumber,0),MATCH(I$3,PlotTitles,0))&amp;INDEX(PlotData,MATCH($A202,PlotNumber,0),MATCH(J$3,PlotTitles,0))))&gt;(DATEVALUE(CompletionMonth&amp;CompletionYear)),$AB$16,TRUE,"")</f>
        <v/>
      </c>
      <c r="N202" s="104" t="str" cm="1">
        <f t="array" ref="N202">_xlfn.IFS(AND(A202&gt;NumberOfPlots,ISBLANK(INDEX(PlotData,MATCH($A202,PlotNumber,0),MATCH(B$3,PlotTitles,0)))),"",ISBLANK(INDEX(PlotData,MATCH($A202,PlotNumber,0),MATCH(N$3,PlotTitles,0))),$AB$17,TRUE,"")</f>
        <v/>
      </c>
      <c r="O202" s="104" t="str" cm="1">
        <f t="array" ref="O202">_xlfn.IFS(AND(A202&gt;NumberOfPlots,ISBLANK(INDEX(PlotData,MATCH($A202,PlotNumber,0),MATCH(B$3,PlotTitles,0)))),"",ISBLANK(INDEX(PlotData,MATCH($A202,PlotNumber,0),MATCH(O$3,PlotTitles,0))),$AB$18,TRUE,"")</f>
        <v/>
      </c>
      <c r="P202" s="182" t="str">
        <f t="shared" ca="1" si="10"/>
        <v/>
      </c>
      <c r="Q202" s="104" t="str" cm="1">
        <f t="array" ref="Q202">_xlfn.IFS(AND(A202&gt;NumberOfPlots,ISBLANK(INDEX(PlotData,MATCH($A202,PlotNumber,0),MATCH(B$3,PlotTitles,0)))),"",ISBLANK(INDEX(PlotData,MATCH($A202,PlotNumber,0),MATCH(N$3,PlotTitles,0))),"",(DATEVALUE(INDEX(PlotData,MATCH($A202,PlotNumber,0),MATCH(N$3,PlotTitles,0))&amp;INDEX(PlotData,MATCH($A202,PlotNumber,0),MATCH(O$3,PlotTitles,0))))&lt;(DATEVALUE(INDEX(PlotData,MATCH($A202,PlotNumber,0),MATCH(I$3,PlotTitles,0))&amp;INDEX(PlotData,MATCH($A202,PlotNumber,0),MATCH(J$3,PlotTitles,0)))),$AB$20,TRUE,"")</f>
        <v/>
      </c>
      <c r="R202" s="104" t="str" cm="1">
        <f t="array" ref="R202">_xlfn.IFS(OR(ISBLANK(StartDateMonth),ISBLANK(StartDateYear)),"",AND(A202&gt;NumberOfPlots,ISBLANK(INDEX(PlotData,MATCH($A202,PlotNumber,0),MATCH(B$3,PlotTitles,0)))),"",ISBLANK(INDEX(PlotData,MATCH($A202,PlotNumber,0),MATCH(N$3,PlotTitles,0))),"",CompletionMonth="","",(DATEVALUE(INDEX(PlotData,MATCH($A202,PlotNumber,0),MATCH(N$3,PlotTitles,0))&amp;INDEX(PlotData,MATCH($A202,PlotNumber,0),MATCH(O$3,PlotTitles,0))))&gt;(DATEVALUE(CompletionMonth&amp;CompletionYear)),$AB$21,TRUE,"")</f>
        <v/>
      </c>
      <c r="S202" s="104" t="str" cm="1">
        <f t="array" ref="S202">_xlfn.IFS(AND(A202&gt;NumberOfPlots,ISBLANK(INDEX(PlotData,MATCH($A202,PlotNumber,0),MATCH(B$3,PlotTitles,0)))),"",OR(AND(INDEX(PlotData,MATCH($A202,PlotNumber,0),MATCH("Tenure",PlotTitles,0))="Open market housing",INDEX(PlotData,MATCH($A202,PlotNumber,0),MATCH("Tenure detail",PlotTitles,0))="Private rented sector"),INDEX(PlotData,MATCH($A202,PlotNumber,0),MATCH("Tenure",PlotTitles,0))="Affordable rent"),"",ISNUMBER(INDEX(PlotData,MATCH($A202,PlotNumber,0),MATCH(S$3,PlotTitles,0)))=FALSE, $AB$22,TRUE,"")</f>
        <v/>
      </c>
      <c r="T202" s="104" t="str" cm="1">
        <f t="array" ref="T202">_xlfn.IFS(AND(A202&gt;NumberOfPlots,ISBLANK(INDEX(PlotData,MATCH($A202,PlotNumber,0),MATCH(B$3,PlotTitles,0)))),"",OR(AND(INDEX(PlotData,MATCH($A202,PlotNumber,0),MATCH("Tenure",PlotTitles,0))="Open market housing",INDEX(PlotData,MATCH($A202,PlotNumber,0),MATCH("Tenure detail",PlotTitles,0))="Private rented sector"),INDEX(PlotData,MATCH($A202,PlotNumber,0),MATCH("Tenure",PlotTitles,0))="Affordable rent"),"",INDEX(PlotData,MATCH($A202,PlotNumber,0),MATCH(S$3,PlotTitles,0))&lt;10000, $AB$23,TRUE,"")</f>
        <v/>
      </c>
      <c r="U202" s="104" t="str" cm="1">
        <f t="array" ref="U202">_xlfn.IFS(AND(A202&gt;NumberOfPlots,ISBLANK(INDEX(PlotData,MATCH($A202,PlotNumber,0),MATCH(B$3,PlotTitles,0)))),"",NOT(OR(AND(INDEX(PlotData,MATCH($A202,PlotNumber,0),MATCH("Tenure",PlotTitles,0))="Open market housing",INDEX(PlotData,MATCH($A202,PlotNumber,0),MATCH("Tenure detail",PlotTitles,0))="Private rented sector"),INDEX(PlotData,MATCH($A202,PlotNumber,0),MATCH("Tenure",PlotTitles,0))="Affordable rent")),"",NOT(INDEX(PlotData,MATCH($A202,PlotNumber,0),MATCH(S$3,PlotTitles,0))=0), $AB$24,TRUE,"")</f>
        <v/>
      </c>
      <c r="V202" s="114" t="str" cm="1">
        <f t="array" aca="1" ref="V202" ca="1">_xlfn.IFS(ISBLANK(NumberOfPlots),"Enter the number of homes on the 1_SetUp sheet",AND(A202&gt;NumberOfPlots,ISBLANK(INDEX(PlotData,MATCH($A202,PlotNumber,0),MATCH(B$3,PlotTitles,0)))),"No error",NOT(B202=""),B202,NOT(C202=""),C202,NOT(D202=""),D202,NOT(E202=""),E202,NOT(F202=""),F202,NOT(G202=""),G202,NOT(H202=""),H202,NOT(I202=""),I202,NOT(J202=""),J202,NOT(K202=""),K202,NOT(L202=""),L202,NOT(M202=""),M202,NOT(N202=""),N202,NOT(O202=""),O202,NOT(P202=""),P202,NOT(Q202=""),Q202,NOT(R202=""),R202,NOT(S202=""),S202,NOT(T202=""),T202,NOT(U202=""),U202,TRUE,"No error")</f>
        <v>Enter the number of homes on the 1_SetUp sheet</v>
      </c>
      <c r="W202" s="114" t="str">
        <f t="shared" ca="1" si="11"/>
        <v xml:space="preserve">The Borrower has not addressed the following error messages for Home ID 198: </v>
      </c>
    </row>
    <row r="203" spans="1:23">
      <c r="A203" s="123">
        <v>199</v>
      </c>
      <c r="B203" s="104" t="str" cm="1">
        <f t="array" ref="B203">_xlfn.IFS(AND(A203&gt;NumberOfPlots,ISBLANK(INDEX(PlotData,MATCH($A203,PlotNumber,0),MATCH(B$3,PlotTitles,0)))),"",ISNUMBER(INDEX(PlotData,MATCH($A203,PlotNumber,0),MATCH(B$3,PlotTitles,0)))=FALSE, $AB$5,TRUE,"")</f>
        <v/>
      </c>
      <c r="C203" s="104" t="str" cm="1">
        <f t="array" ref="C203">_xlfn.IFS(AND(A203&gt;NumberOfPlots,ISBLANK(INDEX(PlotData,MATCH($A203,PlotNumber,0),MATCH(B$3,PlotTitles,0)))),"",ISBLANK(INDEX(PlotData,MATCH($A203,PlotNumber,0),MATCH(C$3,PlotTitles,0))),$AB$6,TRUE,"")</f>
        <v/>
      </c>
      <c r="D203" s="104" t="str" cm="1">
        <f t="array" ref="D203">_xlfn.IFS(AND(A203&gt;NumberOfPlots,ISBLANK(INDEX(PlotData,MATCH($A203,PlotNumber,0),MATCH(B$3,PlotTitles,0)))),"",ISBLANK(INDEX(PlotData,MATCH($A203,PlotNumber,0),MATCH(D$3,PlotTitles,0))),$AB$7,TRUE,"")</f>
        <v/>
      </c>
      <c r="E203" s="104" t="str" cm="1">
        <f t="array" ref="E203">_xlfn.IFS(AND(A203&gt;NumberOfPlots,ISBLANK(INDEX(PlotData,MATCH($A203,PlotNumber,0),MATCH(B$3,PlotTitles,0)))),"",ISBLANK(INDEX(PlotData,MATCH($A203,PlotNumber,0),MATCH(E$3,PlotTitles,0))),$AB$8,TRUE,"")</f>
        <v/>
      </c>
      <c r="F203" s="104" t="str" cm="1">
        <f t="array" ref="F203">_xlfn.IFS(AND(A203&gt;NumberOfPlots,ISBLANK(INDEX(PlotData,MATCH($A203,PlotNumber,0),MATCH(B$3,PlotTitles,0)))),"",ISBLANK(INDEX(PlotData,MATCH($A203,PlotNumber,0),MATCH(F$3,PlotTitles,0))),$AB$9,TRUE,"")</f>
        <v/>
      </c>
      <c r="G203" s="104" t="str" cm="1">
        <f t="array" ref="G203">_xlfn.IFS(AND(A203&gt;NumberOfPlots,ISBLANK(INDEX(PlotData,MATCH($A203,PlotNumber,0),MATCH(B$3,PlotTitles,0)))),"",ISBLANK(INDEX(PlotData,MATCH($A203,PlotNumber,0),MATCH(G$3,PlotTitles,0))),$AB$10,TRUE,"")</f>
        <v/>
      </c>
      <c r="H203" s="104" t="str" cm="1">
        <f t="array" ref="H203">_xlfn.IFS(AND(A203&gt;NumberOfPlots,ISBLANK(INDEX(PlotData,MATCH($A203,PlotNumber,0),MATCH(B$3,PlotTitles,0)))),"",AND(ISBLANK(INDEX(PlotData,MATCH($A203,PlotNumber,0),MATCH(H$3,PlotTitles,0)))=FALSE,INDEX(PlotData,MATCH($A203,PlotNumber,0),MATCH(H$3,PlotTitles,0))&lt;500), $AB$11,TRUE,"")</f>
        <v/>
      </c>
      <c r="I203" s="104" t="str" cm="1">
        <f t="array" ref="I203">_xlfn.IFS(AND(A203&gt;NumberOfPlots,ISBLANK(INDEX(PlotData,MATCH($A203,PlotNumber,0),MATCH(B$3,PlotTitles,0)))),"",ISBLANK(INDEX(PlotData,MATCH($A203,PlotNumber,0),MATCH(I$3,PlotTitles,0))),$AB$12,TRUE,"")</f>
        <v/>
      </c>
      <c r="J203" s="104" t="str" cm="1">
        <f t="array" ref="J203">_xlfn.IFS(AND(A203&gt;NumberOfPlots,ISBLANK(INDEX(PlotData,MATCH($A203,PlotNumber,0),MATCH(B$3,PlotTitles,0)))),"",ISBLANK(INDEX(PlotData,MATCH($A203,PlotNumber,0),MATCH(J$3,PlotTitles,0))),$AB$13,TRUE,"")</f>
        <v/>
      </c>
      <c r="K203" s="182" t="str">
        <f t="shared" ca="1" si="9"/>
        <v/>
      </c>
      <c r="L203" s="104" t="str" cm="1">
        <f t="array" ref="L203">_xlfn.IFS(OR(ISBLANK(StartDateMonth),ISBLANK(StartDateYear)),"",AND(A203&gt;NumberOfPlots,ISBLANK(INDEX(PlotData,MATCH($A203,PlotNumber,0),MATCH(B$3,PlotTitles,0)))),"",ISBLANK(INDEX(PlotData,MATCH($A203,PlotNumber,0),MATCH(I$3,PlotTitles,0))),"",(DATEVALUE(INDEX(PlotData,MATCH($A203,PlotNumber,0),MATCH(I$3,PlotTitles,0))&amp;INDEX(PlotData,MATCH($A203,PlotNumber,0),MATCH(J$3,PlotTitles,0))))&lt;DATEVALUE(StartDateMonth&amp;StartDateYear),$AB$15,TRUE,"")</f>
        <v/>
      </c>
      <c r="M203" s="104" t="str" cm="1">
        <f t="array" ref="M203">_xlfn.IFS(OR(ISBLANK(StartDateMonth),ISBLANK(StartDateYear)),"",AND(A203&gt;NumberOfPlots,ISBLANK(INDEX(PlotData,MATCH($A203,PlotNumber,0),MATCH(B$3,PlotTitles,0)))),"",ISBLANK(INDEX(PlotData,MATCH($A203,PlotNumber,0),MATCH(I$3,PlotTitles,0))),"",CompletionMonth="","",(DATEVALUE(INDEX(PlotData,MATCH($A203,PlotNumber,0),MATCH(I$3,PlotTitles,0))&amp;INDEX(PlotData,MATCH($A203,PlotNumber,0),MATCH(J$3,PlotTitles,0))))&gt;(DATEVALUE(CompletionMonth&amp;CompletionYear)),$AB$16,TRUE,"")</f>
        <v/>
      </c>
      <c r="N203" s="104" t="str" cm="1">
        <f t="array" ref="N203">_xlfn.IFS(AND(A203&gt;NumberOfPlots,ISBLANK(INDEX(PlotData,MATCH($A203,PlotNumber,0),MATCH(B$3,PlotTitles,0)))),"",ISBLANK(INDEX(PlotData,MATCH($A203,PlotNumber,0),MATCH(N$3,PlotTitles,0))),$AB$17,TRUE,"")</f>
        <v/>
      </c>
      <c r="O203" s="104" t="str" cm="1">
        <f t="array" ref="O203">_xlfn.IFS(AND(A203&gt;NumberOfPlots,ISBLANK(INDEX(PlotData,MATCH($A203,PlotNumber,0),MATCH(B$3,PlotTitles,0)))),"",ISBLANK(INDEX(PlotData,MATCH($A203,PlotNumber,0),MATCH(O$3,PlotTitles,0))),$AB$18,TRUE,"")</f>
        <v/>
      </c>
      <c r="P203" s="182" t="str">
        <f t="shared" ca="1" si="10"/>
        <v/>
      </c>
      <c r="Q203" s="104" t="str" cm="1">
        <f t="array" ref="Q203">_xlfn.IFS(AND(A203&gt;NumberOfPlots,ISBLANK(INDEX(PlotData,MATCH($A203,PlotNumber,0),MATCH(B$3,PlotTitles,0)))),"",ISBLANK(INDEX(PlotData,MATCH($A203,PlotNumber,0),MATCH(N$3,PlotTitles,0))),"",(DATEVALUE(INDEX(PlotData,MATCH($A203,PlotNumber,0),MATCH(N$3,PlotTitles,0))&amp;INDEX(PlotData,MATCH($A203,PlotNumber,0),MATCH(O$3,PlotTitles,0))))&lt;(DATEVALUE(INDEX(PlotData,MATCH($A203,PlotNumber,0),MATCH(I$3,PlotTitles,0))&amp;INDEX(PlotData,MATCH($A203,PlotNumber,0),MATCH(J$3,PlotTitles,0)))),$AB$20,TRUE,"")</f>
        <v/>
      </c>
      <c r="R203" s="104" t="str" cm="1">
        <f t="array" ref="R203">_xlfn.IFS(OR(ISBLANK(StartDateMonth),ISBLANK(StartDateYear)),"",AND(A203&gt;NumberOfPlots,ISBLANK(INDEX(PlotData,MATCH($A203,PlotNumber,0),MATCH(B$3,PlotTitles,0)))),"",ISBLANK(INDEX(PlotData,MATCH($A203,PlotNumber,0),MATCH(N$3,PlotTitles,0))),"",CompletionMonth="","",(DATEVALUE(INDEX(PlotData,MATCH($A203,PlotNumber,0),MATCH(N$3,PlotTitles,0))&amp;INDEX(PlotData,MATCH($A203,PlotNumber,0),MATCH(O$3,PlotTitles,0))))&gt;(DATEVALUE(CompletionMonth&amp;CompletionYear)),$AB$21,TRUE,"")</f>
        <v/>
      </c>
      <c r="S203" s="104" t="str" cm="1">
        <f t="array" ref="S203">_xlfn.IFS(AND(A203&gt;NumberOfPlots,ISBLANK(INDEX(PlotData,MATCH($A203,PlotNumber,0),MATCH(B$3,PlotTitles,0)))),"",OR(AND(INDEX(PlotData,MATCH($A203,PlotNumber,0),MATCH("Tenure",PlotTitles,0))="Open market housing",INDEX(PlotData,MATCH($A203,PlotNumber,0),MATCH("Tenure detail",PlotTitles,0))="Private rented sector"),INDEX(PlotData,MATCH($A203,PlotNumber,0),MATCH("Tenure",PlotTitles,0))="Affordable rent"),"",ISNUMBER(INDEX(PlotData,MATCH($A203,PlotNumber,0),MATCH(S$3,PlotTitles,0)))=FALSE, $AB$22,TRUE,"")</f>
        <v/>
      </c>
      <c r="T203" s="104" t="str" cm="1">
        <f t="array" ref="T203">_xlfn.IFS(AND(A203&gt;NumberOfPlots,ISBLANK(INDEX(PlotData,MATCH($A203,PlotNumber,0),MATCH(B$3,PlotTitles,0)))),"",OR(AND(INDEX(PlotData,MATCH($A203,PlotNumber,0),MATCH("Tenure",PlotTitles,0))="Open market housing",INDEX(PlotData,MATCH($A203,PlotNumber,0),MATCH("Tenure detail",PlotTitles,0))="Private rented sector"),INDEX(PlotData,MATCH($A203,PlotNumber,0),MATCH("Tenure",PlotTitles,0))="Affordable rent"),"",INDEX(PlotData,MATCH($A203,PlotNumber,0),MATCH(S$3,PlotTitles,0))&lt;10000, $AB$23,TRUE,"")</f>
        <v/>
      </c>
      <c r="U203" s="104" t="str" cm="1">
        <f t="array" ref="U203">_xlfn.IFS(AND(A203&gt;NumberOfPlots,ISBLANK(INDEX(PlotData,MATCH($A203,PlotNumber,0),MATCH(B$3,PlotTitles,0)))),"",NOT(OR(AND(INDEX(PlotData,MATCH($A203,PlotNumber,0),MATCH("Tenure",PlotTitles,0))="Open market housing",INDEX(PlotData,MATCH($A203,PlotNumber,0),MATCH("Tenure detail",PlotTitles,0))="Private rented sector"),INDEX(PlotData,MATCH($A203,PlotNumber,0),MATCH("Tenure",PlotTitles,0))="Affordable rent")),"",NOT(INDEX(PlotData,MATCH($A203,PlotNumber,0),MATCH(S$3,PlotTitles,0))=0), $AB$24,TRUE,"")</f>
        <v/>
      </c>
      <c r="V203" s="114" t="str" cm="1">
        <f t="array" aca="1" ref="V203" ca="1">_xlfn.IFS(ISBLANK(NumberOfPlots),"Enter the number of homes on the 1_SetUp sheet",AND(A203&gt;NumberOfPlots,ISBLANK(INDEX(PlotData,MATCH($A203,PlotNumber,0),MATCH(B$3,PlotTitles,0)))),"No error",NOT(B203=""),B203,NOT(C203=""),C203,NOT(D203=""),D203,NOT(E203=""),E203,NOT(F203=""),F203,NOT(G203=""),G203,NOT(H203=""),H203,NOT(I203=""),I203,NOT(J203=""),J203,NOT(K203=""),K203,NOT(L203=""),L203,NOT(M203=""),M203,NOT(N203=""),N203,NOT(O203=""),O203,NOT(P203=""),P203,NOT(Q203=""),Q203,NOT(R203=""),R203,NOT(S203=""),S203,NOT(T203=""),T203,NOT(U203=""),U203,TRUE,"No error")</f>
        <v>Enter the number of homes on the 1_SetUp sheet</v>
      </c>
      <c r="W203" s="114" t="str">
        <f t="shared" ca="1" si="11"/>
        <v xml:space="preserve">The Borrower has not addressed the following error messages for Home ID 199: </v>
      </c>
    </row>
    <row r="204" spans="1:23">
      <c r="A204" s="123">
        <v>200</v>
      </c>
      <c r="B204" s="104" t="str" cm="1">
        <f t="array" ref="B204">_xlfn.IFS(AND(A204&gt;NumberOfPlots,ISBLANK(INDEX(PlotData,MATCH($A204,PlotNumber,0),MATCH(B$3,PlotTitles,0)))),"",ISNUMBER(INDEX(PlotData,MATCH($A204,PlotNumber,0),MATCH(B$3,PlotTitles,0)))=FALSE, $AB$5,TRUE,"")</f>
        <v/>
      </c>
      <c r="C204" s="104" t="str" cm="1">
        <f t="array" ref="C204">_xlfn.IFS(AND(A204&gt;NumberOfPlots,ISBLANK(INDEX(PlotData,MATCH($A204,PlotNumber,0),MATCH(B$3,PlotTitles,0)))),"",ISBLANK(INDEX(PlotData,MATCH($A204,PlotNumber,0),MATCH(C$3,PlotTitles,0))),$AB$6,TRUE,"")</f>
        <v/>
      </c>
      <c r="D204" s="104" t="str" cm="1">
        <f t="array" ref="D204">_xlfn.IFS(AND(A204&gt;NumberOfPlots,ISBLANK(INDEX(PlotData,MATCH($A204,PlotNumber,0),MATCH(B$3,PlotTitles,0)))),"",ISBLANK(INDEX(PlotData,MATCH($A204,PlotNumber,0),MATCH(D$3,PlotTitles,0))),$AB$7,TRUE,"")</f>
        <v/>
      </c>
      <c r="E204" s="104" t="str" cm="1">
        <f t="array" ref="E204">_xlfn.IFS(AND(A204&gt;NumberOfPlots,ISBLANK(INDEX(PlotData,MATCH($A204,PlotNumber,0),MATCH(B$3,PlotTitles,0)))),"",ISBLANK(INDEX(PlotData,MATCH($A204,PlotNumber,0),MATCH(E$3,PlotTitles,0))),$AB$8,TRUE,"")</f>
        <v/>
      </c>
      <c r="F204" s="104" t="str" cm="1">
        <f t="array" ref="F204">_xlfn.IFS(AND(A204&gt;NumberOfPlots,ISBLANK(INDEX(PlotData,MATCH($A204,PlotNumber,0),MATCH(B$3,PlotTitles,0)))),"",ISBLANK(INDEX(PlotData,MATCH($A204,PlotNumber,0),MATCH(F$3,PlotTitles,0))),$AB$9,TRUE,"")</f>
        <v/>
      </c>
      <c r="G204" s="104" t="str" cm="1">
        <f t="array" ref="G204">_xlfn.IFS(AND(A204&gt;NumberOfPlots,ISBLANK(INDEX(PlotData,MATCH($A204,PlotNumber,0),MATCH(B$3,PlotTitles,0)))),"",ISBLANK(INDEX(PlotData,MATCH($A204,PlotNumber,0),MATCH(G$3,PlotTitles,0))),$AB$10,TRUE,"")</f>
        <v/>
      </c>
      <c r="H204" s="104" t="str" cm="1">
        <f t="array" ref="H204">_xlfn.IFS(AND(A204&gt;NumberOfPlots,ISBLANK(INDEX(PlotData,MATCH($A204,PlotNumber,0),MATCH(B$3,PlotTitles,0)))),"",AND(ISBLANK(INDEX(PlotData,MATCH($A204,PlotNumber,0),MATCH(H$3,PlotTitles,0)))=FALSE,INDEX(PlotData,MATCH($A204,PlotNumber,0),MATCH(H$3,PlotTitles,0))&lt;500), $AB$11,TRUE,"")</f>
        <v/>
      </c>
      <c r="I204" s="104" t="str" cm="1">
        <f t="array" ref="I204">_xlfn.IFS(AND(A204&gt;NumberOfPlots,ISBLANK(INDEX(PlotData,MATCH($A204,PlotNumber,0),MATCH(B$3,PlotTitles,0)))),"",ISBLANK(INDEX(PlotData,MATCH($A204,PlotNumber,0),MATCH(I$3,PlotTitles,0))),$AB$12,TRUE,"")</f>
        <v/>
      </c>
      <c r="J204" s="104" t="str" cm="1">
        <f t="array" ref="J204">_xlfn.IFS(AND(A204&gt;NumberOfPlots,ISBLANK(INDEX(PlotData,MATCH($A204,PlotNumber,0),MATCH(B$3,PlotTitles,0)))),"",ISBLANK(INDEX(PlotData,MATCH($A204,PlotNumber,0),MATCH(J$3,PlotTitles,0))),$AB$13,TRUE,"")</f>
        <v/>
      </c>
      <c r="K204" s="182" t="str">
        <f t="shared" ca="1" si="9"/>
        <v/>
      </c>
      <c r="L204" s="104" t="str" cm="1">
        <f t="array" ref="L204">_xlfn.IFS(OR(ISBLANK(StartDateMonth),ISBLANK(StartDateYear)),"",AND(A204&gt;NumberOfPlots,ISBLANK(INDEX(PlotData,MATCH($A204,PlotNumber,0),MATCH(B$3,PlotTitles,0)))),"",ISBLANK(INDEX(PlotData,MATCH($A204,PlotNumber,0),MATCH(I$3,PlotTitles,0))),"",(DATEVALUE(INDEX(PlotData,MATCH($A204,PlotNumber,0),MATCH(I$3,PlotTitles,0))&amp;INDEX(PlotData,MATCH($A204,PlotNumber,0),MATCH(J$3,PlotTitles,0))))&lt;DATEVALUE(StartDateMonth&amp;StartDateYear),$AB$15,TRUE,"")</f>
        <v/>
      </c>
      <c r="M204" s="104" t="str" cm="1">
        <f t="array" ref="M204">_xlfn.IFS(OR(ISBLANK(StartDateMonth),ISBLANK(StartDateYear)),"",AND(A204&gt;NumberOfPlots,ISBLANK(INDEX(PlotData,MATCH($A204,PlotNumber,0),MATCH(B$3,PlotTitles,0)))),"",ISBLANK(INDEX(PlotData,MATCH($A204,PlotNumber,0),MATCH(I$3,PlotTitles,0))),"",CompletionMonth="","",(DATEVALUE(INDEX(PlotData,MATCH($A204,PlotNumber,0),MATCH(I$3,PlotTitles,0))&amp;INDEX(PlotData,MATCH($A204,PlotNumber,0),MATCH(J$3,PlotTitles,0))))&gt;(DATEVALUE(CompletionMonth&amp;CompletionYear)),$AB$16,TRUE,"")</f>
        <v/>
      </c>
      <c r="N204" s="104" t="str" cm="1">
        <f t="array" ref="N204">_xlfn.IFS(AND(A204&gt;NumberOfPlots,ISBLANK(INDEX(PlotData,MATCH($A204,PlotNumber,0),MATCH(B$3,PlotTitles,0)))),"",ISBLANK(INDEX(PlotData,MATCH($A204,PlotNumber,0),MATCH(N$3,PlotTitles,0))),$AB$17,TRUE,"")</f>
        <v/>
      </c>
      <c r="O204" s="104" t="str" cm="1">
        <f t="array" ref="O204">_xlfn.IFS(AND(A204&gt;NumberOfPlots,ISBLANK(INDEX(PlotData,MATCH($A204,PlotNumber,0),MATCH(B$3,PlotTitles,0)))),"",ISBLANK(INDEX(PlotData,MATCH($A204,PlotNumber,0),MATCH(O$3,PlotTitles,0))),$AB$18,TRUE,"")</f>
        <v/>
      </c>
      <c r="P204" s="182" t="str">
        <f t="shared" ca="1" si="10"/>
        <v/>
      </c>
      <c r="Q204" s="104" t="str" cm="1">
        <f t="array" ref="Q204">_xlfn.IFS(AND(A204&gt;NumberOfPlots,ISBLANK(INDEX(PlotData,MATCH($A204,PlotNumber,0),MATCH(B$3,PlotTitles,0)))),"",ISBLANK(INDEX(PlotData,MATCH($A204,PlotNumber,0),MATCH(N$3,PlotTitles,0))),"",(DATEVALUE(INDEX(PlotData,MATCH($A204,PlotNumber,0),MATCH(N$3,PlotTitles,0))&amp;INDEX(PlotData,MATCH($A204,PlotNumber,0),MATCH(O$3,PlotTitles,0))))&lt;(DATEVALUE(INDEX(PlotData,MATCH($A204,PlotNumber,0),MATCH(I$3,PlotTitles,0))&amp;INDEX(PlotData,MATCH($A204,PlotNumber,0),MATCH(J$3,PlotTitles,0)))),$AB$20,TRUE,"")</f>
        <v/>
      </c>
      <c r="R204" s="104" t="str" cm="1">
        <f t="array" ref="R204">_xlfn.IFS(OR(ISBLANK(StartDateMonth),ISBLANK(StartDateYear)),"",AND(A204&gt;NumberOfPlots,ISBLANK(INDEX(PlotData,MATCH($A204,PlotNumber,0),MATCH(B$3,PlotTitles,0)))),"",ISBLANK(INDEX(PlotData,MATCH($A204,PlotNumber,0),MATCH(N$3,PlotTitles,0))),"",CompletionMonth="","",(DATEVALUE(INDEX(PlotData,MATCH($A204,PlotNumber,0),MATCH(N$3,PlotTitles,0))&amp;INDEX(PlotData,MATCH($A204,PlotNumber,0),MATCH(O$3,PlotTitles,0))))&gt;(DATEVALUE(CompletionMonth&amp;CompletionYear)),$AB$21,TRUE,"")</f>
        <v/>
      </c>
      <c r="S204" s="104" t="str" cm="1">
        <f t="array" ref="S204">_xlfn.IFS(AND(A204&gt;NumberOfPlots,ISBLANK(INDEX(PlotData,MATCH($A204,PlotNumber,0),MATCH(B$3,PlotTitles,0)))),"",OR(AND(INDEX(PlotData,MATCH($A204,PlotNumber,0),MATCH("Tenure",PlotTitles,0))="Open market housing",INDEX(PlotData,MATCH($A204,PlotNumber,0),MATCH("Tenure detail",PlotTitles,0))="Private rented sector"),INDEX(PlotData,MATCH($A204,PlotNumber,0),MATCH("Tenure",PlotTitles,0))="Affordable rent"),"",ISNUMBER(INDEX(PlotData,MATCH($A204,PlotNumber,0),MATCH(S$3,PlotTitles,0)))=FALSE, $AB$22,TRUE,"")</f>
        <v/>
      </c>
      <c r="T204" s="104" t="str" cm="1">
        <f t="array" ref="T204">_xlfn.IFS(AND(A204&gt;NumberOfPlots,ISBLANK(INDEX(PlotData,MATCH($A204,PlotNumber,0),MATCH(B$3,PlotTitles,0)))),"",OR(AND(INDEX(PlotData,MATCH($A204,PlotNumber,0),MATCH("Tenure",PlotTitles,0))="Open market housing",INDEX(PlotData,MATCH($A204,PlotNumber,0),MATCH("Tenure detail",PlotTitles,0))="Private rented sector"),INDEX(PlotData,MATCH($A204,PlotNumber,0),MATCH("Tenure",PlotTitles,0))="Affordable rent"),"",INDEX(PlotData,MATCH($A204,PlotNumber,0),MATCH(S$3,PlotTitles,0))&lt;10000, $AB$23,TRUE,"")</f>
        <v/>
      </c>
      <c r="U204" s="104" t="str" cm="1">
        <f t="array" ref="U204">_xlfn.IFS(AND(A204&gt;NumberOfPlots,ISBLANK(INDEX(PlotData,MATCH($A204,PlotNumber,0),MATCH(B$3,PlotTitles,0)))),"",NOT(OR(AND(INDEX(PlotData,MATCH($A204,PlotNumber,0),MATCH("Tenure",PlotTitles,0))="Open market housing",INDEX(PlotData,MATCH($A204,PlotNumber,0),MATCH("Tenure detail",PlotTitles,0))="Private rented sector"),INDEX(PlotData,MATCH($A204,PlotNumber,0),MATCH("Tenure",PlotTitles,0))="Affordable rent")),"",NOT(INDEX(PlotData,MATCH($A204,PlotNumber,0),MATCH(S$3,PlotTitles,0))=0), $AB$24,TRUE,"")</f>
        <v/>
      </c>
      <c r="V204" s="114" t="str" cm="1">
        <f t="array" aca="1" ref="V204" ca="1">_xlfn.IFS(ISBLANK(NumberOfPlots),"Enter the number of homes on the 1_SetUp sheet",AND(A204&gt;NumberOfPlots,ISBLANK(INDEX(PlotData,MATCH($A204,PlotNumber,0),MATCH(B$3,PlotTitles,0)))),"No error",NOT(B204=""),B204,NOT(C204=""),C204,NOT(D204=""),D204,NOT(E204=""),E204,NOT(F204=""),F204,NOT(G204=""),G204,NOT(H204=""),H204,NOT(I204=""),I204,NOT(J204=""),J204,NOT(K204=""),K204,NOT(L204=""),L204,NOT(M204=""),M204,NOT(N204=""),N204,NOT(O204=""),O204,NOT(P204=""),P204,NOT(Q204=""),Q204,NOT(R204=""),R204,NOT(S204=""),S204,NOT(T204=""),T204,NOT(U204=""),U204,TRUE,"No error")</f>
        <v>Enter the number of homes on the 1_SetUp sheet</v>
      </c>
      <c r="W204" s="114" t="str">
        <f t="shared" ca="1" si="11"/>
        <v xml:space="preserve">The Borrower has not addressed the following error messages for Home ID 200: </v>
      </c>
    </row>
    <row r="205" spans="1:23">
      <c r="A205" s="123">
        <v>201</v>
      </c>
      <c r="B205" s="104" t="str" cm="1">
        <f t="array" ref="B205">_xlfn.IFS(AND(A205&gt;NumberOfPlots,ISBLANK(INDEX(PlotData,MATCH($A205,PlotNumber,0),MATCH(B$3,PlotTitles,0)))),"",ISNUMBER(INDEX(PlotData,MATCH($A205,PlotNumber,0),MATCH(B$3,PlotTitles,0)))=FALSE, $AB$5,TRUE,"")</f>
        <v/>
      </c>
      <c r="C205" s="104" t="str" cm="1">
        <f t="array" ref="C205">_xlfn.IFS(AND(A205&gt;NumberOfPlots,ISBLANK(INDEX(PlotData,MATCH($A205,PlotNumber,0),MATCH(B$3,PlotTitles,0)))),"",ISBLANK(INDEX(PlotData,MATCH($A205,PlotNumber,0),MATCH(C$3,PlotTitles,0))),$AB$6,TRUE,"")</f>
        <v/>
      </c>
      <c r="D205" s="104" t="str" cm="1">
        <f t="array" ref="D205">_xlfn.IFS(AND(A205&gt;NumberOfPlots,ISBLANK(INDEX(PlotData,MATCH($A205,PlotNumber,0),MATCH(B$3,PlotTitles,0)))),"",ISBLANK(INDEX(PlotData,MATCH($A205,PlotNumber,0),MATCH(D$3,PlotTitles,0))),$AB$7,TRUE,"")</f>
        <v/>
      </c>
      <c r="E205" s="104" t="str" cm="1">
        <f t="array" ref="E205">_xlfn.IFS(AND(A205&gt;NumberOfPlots,ISBLANK(INDEX(PlotData,MATCH($A205,PlotNumber,0),MATCH(B$3,PlotTitles,0)))),"",ISBLANK(INDEX(PlotData,MATCH($A205,PlotNumber,0),MATCH(E$3,PlotTitles,0))),$AB$8,TRUE,"")</f>
        <v/>
      </c>
      <c r="F205" s="104" t="str" cm="1">
        <f t="array" ref="F205">_xlfn.IFS(AND(A205&gt;NumberOfPlots,ISBLANK(INDEX(PlotData,MATCH($A205,PlotNumber,0),MATCH(B$3,PlotTitles,0)))),"",ISBLANK(INDEX(PlotData,MATCH($A205,PlotNumber,0),MATCH(F$3,PlotTitles,0))),$AB$9,TRUE,"")</f>
        <v/>
      </c>
      <c r="G205" s="104" t="str" cm="1">
        <f t="array" ref="G205">_xlfn.IFS(AND(A205&gt;NumberOfPlots,ISBLANK(INDEX(PlotData,MATCH($A205,PlotNumber,0),MATCH(B$3,PlotTitles,0)))),"",ISBLANK(INDEX(PlotData,MATCH($A205,PlotNumber,0),MATCH(G$3,PlotTitles,0))),$AB$10,TRUE,"")</f>
        <v/>
      </c>
      <c r="H205" s="104" t="str" cm="1">
        <f t="array" ref="H205">_xlfn.IFS(AND(A205&gt;NumberOfPlots,ISBLANK(INDEX(PlotData,MATCH($A205,PlotNumber,0),MATCH(B$3,PlotTitles,0)))),"",AND(ISBLANK(INDEX(PlotData,MATCH($A205,PlotNumber,0),MATCH(H$3,PlotTitles,0)))=FALSE,INDEX(PlotData,MATCH($A205,PlotNumber,0),MATCH(H$3,PlotTitles,0))&lt;500), $AB$11,TRUE,"")</f>
        <v/>
      </c>
      <c r="I205" s="104" t="str" cm="1">
        <f t="array" ref="I205">_xlfn.IFS(AND(A205&gt;NumberOfPlots,ISBLANK(INDEX(PlotData,MATCH($A205,PlotNumber,0),MATCH(B$3,PlotTitles,0)))),"",ISBLANK(INDEX(PlotData,MATCH($A205,PlotNumber,0),MATCH(I$3,PlotTitles,0))),$AB$12,TRUE,"")</f>
        <v/>
      </c>
      <c r="J205" s="104" t="str" cm="1">
        <f t="array" ref="J205">_xlfn.IFS(AND(A205&gt;NumberOfPlots,ISBLANK(INDEX(PlotData,MATCH($A205,PlotNumber,0),MATCH(B$3,PlotTitles,0)))),"",ISBLANK(INDEX(PlotData,MATCH($A205,PlotNumber,0),MATCH(J$3,PlotTitles,0))),$AB$13,TRUE,"")</f>
        <v/>
      </c>
      <c r="K205" s="182" t="str">
        <f t="shared" ca="1" si="9"/>
        <v/>
      </c>
      <c r="L205" s="104" t="str" cm="1">
        <f t="array" ref="L205">_xlfn.IFS(OR(ISBLANK(StartDateMonth),ISBLANK(StartDateYear)),"",AND(A205&gt;NumberOfPlots,ISBLANK(INDEX(PlotData,MATCH($A205,PlotNumber,0),MATCH(B$3,PlotTitles,0)))),"",ISBLANK(INDEX(PlotData,MATCH($A205,PlotNumber,0),MATCH(I$3,PlotTitles,0))),"",(DATEVALUE(INDEX(PlotData,MATCH($A205,PlotNumber,0),MATCH(I$3,PlotTitles,0))&amp;INDEX(PlotData,MATCH($A205,PlotNumber,0),MATCH(J$3,PlotTitles,0))))&lt;DATEVALUE(StartDateMonth&amp;StartDateYear),$AB$15,TRUE,"")</f>
        <v/>
      </c>
      <c r="M205" s="104" t="str" cm="1">
        <f t="array" ref="M205">_xlfn.IFS(OR(ISBLANK(StartDateMonth),ISBLANK(StartDateYear)),"",AND(A205&gt;NumberOfPlots,ISBLANK(INDEX(PlotData,MATCH($A205,PlotNumber,0),MATCH(B$3,PlotTitles,0)))),"",ISBLANK(INDEX(PlotData,MATCH($A205,PlotNumber,0),MATCH(I$3,PlotTitles,0))),"",CompletionMonth="","",(DATEVALUE(INDEX(PlotData,MATCH($A205,PlotNumber,0),MATCH(I$3,PlotTitles,0))&amp;INDEX(PlotData,MATCH($A205,PlotNumber,0),MATCH(J$3,PlotTitles,0))))&gt;(DATEVALUE(CompletionMonth&amp;CompletionYear)),$AB$16,TRUE,"")</f>
        <v/>
      </c>
      <c r="N205" s="104" t="str" cm="1">
        <f t="array" ref="N205">_xlfn.IFS(AND(A205&gt;NumberOfPlots,ISBLANK(INDEX(PlotData,MATCH($A205,PlotNumber,0),MATCH(B$3,PlotTitles,0)))),"",ISBLANK(INDEX(PlotData,MATCH($A205,PlotNumber,0),MATCH(N$3,PlotTitles,0))),$AB$17,TRUE,"")</f>
        <v/>
      </c>
      <c r="O205" s="104" t="str" cm="1">
        <f t="array" ref="O205">_xlfn.IFS(AND(A205&gt;NumberOfPlots,ISBLANK(INDEX(PlotData,MATCH($A205,PlotNumber,0),MATCH(B$3,PlotTitles,0)))),"",ISBLANK(INDEX(PlotData,MATCH($A205,PlotNumber,0),MATCH(O$3,PlotTitles,0))),$AB$18,TRUE,"")</f>
        <v/>
      </c>
      <c r="P205" s="182" t="str">
        <f t="shared" ca="1" si="10"/>
        <v/>
      </c>
      <c r="Q205" s="104" t="str" cm="1">
        <f t="array" ref="Q205">_xlfn.IFS(AND(A205&gt;NumberOfPlots,ISBLANK(INDEX(PlotData,MATCH($A205,PlotNumber,0),MATCH(B$3,PlotTitles,0)))),"",ISBLANK(INDEX(PlotData,MATCH($A205,PlotNumber,0),MATCH(N$3,PlotTitles,0))),"",(DATEVALUE(INDEX(PlotData,MATCH($A205,PlotNumber,0),MATCH(N$3,PlotTitles,0))&amp;INDEX(PlotData,MATCH($A205,PlotNumber,0),MATCH(O$3,PlotTitles,0))))&lt;(DATEVALUE(INDEX(PlotData,MATCH($A205,PlotNumber,0),MATCH(I$3,PlotTitles,0))&amp;INDEX(PlotData,MATCH($A205,PlotNumber,0),MATCH(J$3,PlotTitles,0)))),$AB$20,TRUE,"")</f>
        <v/>
      </c>
      <c r="R205" s="104" t="str" cm="1">
        <f t="array" ref="R205">_xlfn.IFS(OR(ISBLANK(StartDateMonth),ISBLANK(StartDateYear)),"",AND(A205&gt;NumberOfPlots,ISBLANK(INDEX(PlotData,MATCH($A205,PlotNumber,0),MATCH(B$3,PlotTitles,0)))),"",ISBLANK(INDEX(PlotData,MATCH($A205,PlotNumber,0),MATCH(N$3,PlotTitles,0))),"",CompletionMonth="","",(DATEVALUE(INDEX(PlotData,MATCH($A205,PlotNumber,0),MATCH(N$3,PlotTitles,0))&amp;INDEX(PlotData,MATCH($A205,PlotNumber,0),MATCH(O$3,PlotTitles,0))))&gt;(DATEVALUE(CompletionMonth&amp;CompletionYear)),$AB$21,TRUE,"")</f>
        <v/>
      </c>
      <c r="S205" s="104" t="str" cm="1">
        <f t="array" ref="S205">_xlfn.IFS(AND(A205&gt;NumberOfPlots,ISBLANK(INDEX(PlotData,MATCH($A205,PlotNumber,0),MATCH(B$3,PlotTitles,0)))),"",OR(AND(INDEX(PlotData,MATCH($A205,PlotNumber,0),MATCH("Tenure",PlotTitles,0))="Open market housing",INDEX(PlotData,MATCH($A205,PlotNumber,0),MATCH("Tenure detail",PlotTitles,0))="Private rented sector"),INDEX(PlotData,MATCH($A205,PlotNumber,0),MATCH("Tenure",PlotTitles,0))="Affordable rent"),"",ISNUMBER(INDEX(PlotData,MATCH($A205,PlotNumber,0),MATCH(S$3,PlotTitles,0)))=FALSE, $AB$22,TRUE,"")</f>
        <v/>
      </c>
      <c r="T205" s="104" t="str" cm="1">
        <f t="array" ref="T205">_xlfn.IFS(AND(A205&gt;NumberOfPlots,ISBLANK(INDEX(PlotData,MATCH($A205,PlotNumber,0),MATCH(B$3,PlotTitles,0)))),"",OR(AND(INDEX(PlotData,MATCH($A205,PlotNumber,0),MATCH("Tenure",PlotTitles,0))="Open market housing",INDEX(PlotData,MATCH($A205,PlotNumber,0),MATCH("Tenure detail",PlotTitles,0))="Private rented sector"),INDEX(PlotData,MATCH($A205,PlotNumber,0),MATCH("Tenure",PlotTitles,0))="Affordable rent"),"",INDEX(PlotData,MATCH($A205,PlotNumber,0),MATCH(S$3,PlotTitles,0))&lt;10000, $AB$23,TRUE,"")</f>
        <v/>
      </c>
      <c r="U205" s="104" t="str" cm="1">
        <f t="array" ref="U205">_xlfn.IFS(AND(A205&gt;NumberOfPlots,ISBLANK(INDEX(PlotData,MATCH($A205,PlotNumber,0),MATCH(B$3,PlotTitles,0)))),"",NOT(OR(AND(INDEX(PlotData,MATCH($A205,PlotNumber,0),MATCH("Tenure",PlotTitles,0))="Open market housing",INDEX(PlotData,MATCH($A205,PlotNumber,0),MATCH("Tenure detail",PlotTitles,0))="Private rented sector"),INDEX(PlotData,MATCH($A205,PlotNumber,0),MATCH("Tenure",PlotTitles,0))="Affordable rent")),"",NOT(INDEX(PlotData,MATCH($A205,PlotNumber,0),MATCH(S$3,PlotTitles,0))=0), $AB$24,TRUE,"")</f>
        <v/>
      </c>
      <c r="V205" s="114" t="str" cm="1">
        <f t="array" aca="1" ref="V205" ca="1">_xlfn.IFS(ISBLANK(NumberOfPlots),"Enter the number of homes on the 1_SetUp sheet",AND(A205&gt;NumberOfPlots,ISBLANK(INDEX(PlotData,MATCH($A205,PlotNumber,0),MATCH(B$3,PlotTitles,0)))),"No error",NOT(B205=""),B205,NOT(C205=""),C205,NOT(D205=""),D205,NOT(E205=""),E205,NOT(F205=""),F205,NOT(G205=""),G205,NOT(H205=""),H205,NOT(I205=""),I205,NOT(J205=""),J205,NOT(K205=""),K205,NOT(L205=""),L205,NOT(M205=""),M205,NOT(N205=""),N205,NOT(O205=""),O205,NOT(P205=""),P205,NOT(Q205=""),Q205,NOT(R205=""),R205,NOT(S205=""),S205,NOT(T205=""),T205,NOT(U205=""),U205,TRUE,"No error")</f>
        <v>Enter the number of homes on the 1_SetUp sheet</v>
      </c>
      <c r="W205" s="114" t="str">
        <f t="shared" ca="1" si="11"/>
        <v xml:space="preserve">The Borrower has not addressed the following error messages for Home ID 201: </v>
      </c>
    </row>
    <row r="206" spans="1:23">
      <c r="A206" s="123">
        <v>202</v>
      </c>
      <c r="B206" s="104" t="str" cm="1">
        <f t="array" ref="B206">_xlfn.IFS(AND(A206&gt;NumberOfPlots,ISBLANK(INDEX(PlotData,MATCH($A206,PlotNumber,0),MATCH(B$3,PlotTitles,0)))),"",ISNUMBER(INDEX(PlotData,MATCH($A206,PlotNumber,0),MATCH(B$3,PlotTitles,0)))=FALSE, $AB$5,TRUE,"")</f>
        <v/>
      </c>
      <c r="C206" s="104" t="str" cm="1">
        <f t="array" ref="C206">_xlfn.IFS(AND(A206&gt;NumberOfPlots,ISBLANK(INDEX(PlotData,MATCH($A206,PlotNumber,0),MATCH(B$3,PlotTitles,0)))),"",ISBLANK(INDEX(PlotData,MATCH($A206,PlotNumber,0),MATCH(C$3,PlotTitles,0))),$AB$6,TRUE,"")</f>
        <v/>
      </c>
      <c r="D206" s="104" t="str" cm="1">
        <f t="array" ref="D206">_xlfn.IFS(AND(A206&gt;NumberOfPlots,ISBLANK(INDEX(PlotData,MATCH($A206,PlotNumber,0),MATCH(B$3,PlotTitles,0)))),"",ISBLANK(INDEX(PlotData,MATCH($A206,PlotNumber,0),MATCH(D$3,PlotTitles,0))),$AB$7,TRUE,"")</f>
        <v/>
      </c>
      <c r="E206" s="104" t="str" cm="1">
        <f t="array" ref="E206">_xlfn.IFS(AND(A206&gt;NumberOfPlots,ISBLANK(INDEX(PlotData,MATCH($A206,PlotNumber,0),MATCH(B$3,PlotTitles,0)))),"",ISBLANK(INDEX(PlotData,MATCH($A206,PlotNumber,0),MATCH(E$3,PlotTitles,0))),$AB$8,TRUE,"")</f>
        <v/>
      </c>
      <c r="F206" s="104" t="str" cm="1">
        <f t="array" ref="F206">_xlfn.IFS(AND(A206&gt;NumberOfPlots,ISBLANK(INDEX(PlotData,MATCH($A206,PlotNumber,0),MATCH(B$3,PlotTitles,0)))),"",ISBLANK(INDEX(PlotData,MATCH($A206,PlotNumber,0),MATCH(F$3,PlotTitles,0))),$AB$9,TRUE,"")</f>
        <v/>
      </c>
      <c r="G206" s="104" t="str" cm="1">
        <f t="array" ref="G206">_xlfn.IFS(AND(A206&gt;NumberOfPlots,ISBLANK(INDEX(PlotData,MATCH($A206,PlotNumber,0),MATCH(B$3,PlotTitles,0)))),"",ISBLANK(INDEX(PlotData,MATCH($A206,PlotNumber,0),MATCH(G$3,PlotTitles,0))),$AB$10,TRUE,"")</f>
        <v/>
      </c>
      <c r="H206" s="104" t="str" cm="1">
        <f t="array" ref="H206">_xlfn.IFS(AND(A206&gt;NumberOfPlots,ISBLANK(INDEX(PlotData,MATCH($A206,PlotNumber,0),MATCH(B$3,PlotTitles,0)))),"",AND(ISBLANK(INDEX(PlotData,MATCH($A206,PlotNumber,0),MATCH(H$3,PlotTitles,0)))=FALSE,INDEX(PlotData,MATCH($A206,PlotNumber,0),MATCH(H$3,PlotTitles,0))&lt;500), $AB$11,TRUE,"")</f>
        <v/>
      </c>
      <c r="I206" s="104" t="str" cm="1">
        <f t="array" ref="I206">_xlfn.IFS(AND(A206&gt;NumberOfPlots,ISBLANK(INDEX(PlotData,MATCH($A206,PlotNumber,0),MATCH(B$3,PlotTitles,0)))),"",ISBLANK(INDEX(PlotData,MATCH($A206,PlotNumber,0),MATCH(I$3,PlotTitles,0))),$AB$12,TRUE,"")</f>
        <v/>
      </c>
      <c r="J206" s="104" t="str" cm="1">
        <f t="array" ref="J206">_xlfn.IFS(AND(A206&gt;NumberOfPlots,ISBLANK(INDEX(PlotData,MATCH($A206,PlotNumber,0),MATCH(B$3,PlotTitles,0)))),"",ISBLANK(INDEX(PlotData,MATCH($A206,PlotNumber,0),MATCH(J$3,PlotTitles,0))),$AB$13,TRUE,"")</f>
        <v/>
      </c>
      <c r="K206" s="182" t="str">
        <f t="shared" ca="1" si="9"/>
        <v/>
      </c>
      <c r="L206" s="104" t="str" cm="1">
        <f t="array" ref="L206">_xlfn.IFS(OR(ISBLANK(StartDateMonth),ISBLANK(StartDateYear)),"",AND(A206&gt;NumberOfPlots,ISBLANK(INDEX(PlotData,MATCH($A206,PlotNumber,0),MATCH(B$3,PlotTitles,0)))),"",ISBLANK(INDEX(PlotData,MATCH($A206,PlotNumber,0),MATCH(I$3,PlotTitles,0))),"",(DATEVALUE(INDEX(PlotData,MATCH($A206,PlotNumber,0),MATCH(I$3,PlotTitles,0))&amp;INDEX(PlotData,MATCH($A206,PlotNumber,0),MATCH(J$3,PlotTitles,0))))&lt;DATEVALUE(StartDateMonth&amp;StartDateYear),$AB$15,TRUE,"")</f>
        <v/>
      </c>
      <c r="M206" s="104" t="str" cm="1">
        <f t="array" ref="M206">_xlfn.IFS(OR(ISBLANK(StartDateMonth),ISBLANK(StartDateYear)),"",AND(A206&gt;NumberOfPlots,ISBLANK(INDEX(PlotData,MATCH($A206,PlotNumber,0),MATCH(B$3,PlotTitles,0)))),"",ISBLANK(INDEX(PlotData,MATCH($A206,PlotNumber,0),MATCH(I$3,PlotTitles,0))),"",CompletionMonth="","",(DATEVALUE(INDEX(PlotData,MATCH($A206,PlotNumber,0),MATCH(I$3,PlotTitles,0))&amp;INDEX(PlotData,MATCH($A206,PlotNumber,0),MATCH(J$3,PlotTitles,0))))&gt;(DATEVALUE(CompletionMonth&amp;CompletionYear)),$AB$16,TRUE,"")</f>
        <v/>
      </c>
      <c r="N206" s="104" t="str" cm="1">
        <f t="array" ref="N206">_xlfn.IFS(AND(A206&gt;NumberOfPlots,ISBLANK(INDEX(PlotData,MATCH($A206,PlotNumber,0),MATCH(B$3,PlotTitles,0)))),"",ISBLANK(INDEX(PlotData,MATCH($A206,PlotNumber,0),MATCH(N$3,PlotTitles,0))),$AB$17,TRUE,"")</f>
        <v/>
      </c>
      <c r="O206" s="104" t="str" cm="1">
        <f t="array" ref="O206">_xlfn.IFS(AND(A206&gt;NumberOfPlots,ISBLANK(INDEX(PlotData,MATCH($A206,PlotNumber,0),MATCH(B$3,PlotTitles,0)))),"",ISBLANK(INDEX(PlotData,MATCH($A206,PlotNumber,0),MATCH(O$3,PlotTitles,0))),$AB$18,TRUE,"")</f>
        <v/>
      </c>
      <c r="P206" s="182" t="str">
        <f t="shared" ca="1" si="10"/>
        <v/>
      </c>
      <c r="Q206" s="104" t="str" cm="1">
        <f t="array" ref="Q206">_xlfn.IFS(AND(A206&gt;NumberOfPlots,ISBLANK(INDEX(PlotData,MATCH($A206,PlotNumber,0),MATCH(B$3,PlotTitles,0)))),"",ISBLANK(INDEX(PlotData,MATCH($A206,PlotNumber,0),MATCH(N$3,PlotTitles,0))),"",(DATEVALUE(INDEX(PlotData,MATCH($A206,PlotNumber,0),MATCH(N$3,PlotTitles,0))&amp;INDEX(PlotData,MATCH($A206,PlotNumber,0),MATCH(O$3,PlotTitles,0))))&lt;(DATEVALUE(INDEX(PlotData,MATCH($A206,PlotNumber,0),MATCH(I$3,PlotTitles,0))&amp;INDEX(PlotData,MATCH($A206,PlotNumber,0),MATCH(J$3,PlotTitles,0)))),$AB$20,TRUE,"")</f>
        <v/>
      </c>
      <c r="R206" s="104" t="str" cm="1">
        <f t="array" ref="R206">_xlfn.IFS(OR(ISBLANK(StartDateMonth),ISBLANK(StartDateYear)),"",AND(A206&gt;NumberOfPlots,ISBLANK(INDEX(PlotData,MATCH($A206,PlotNumber,0),MATCH(B$3,PlotTitles,0)))),"",ISBLANK(INDEX(PlotData,MATCH($A206,PlotNumber,0),MATCH(N$3,PlotTitles,0))),"",CompletionMonth="","",(DATEVALUE(INDEX(PlotData,MATCH($A206,PlotNumber,0),MATCH(N$3,PlotTitles,0))&amp;INDEX(PlotData,MATCH($A206,PlotNumber,0),MATCH(O$3,PlotTitles,0))))&gt;(DATEVALUE(CompletionMonth&amp;CompletionYear)),$AB$21,TRUE,"")</f>
        <v/>
      </c>
      <c r="S206" s="104" t="str" cm="1">
        <f t="array" ref="S206">_xlfn.IFS(AND(A206&gt;NumberOfPlots,ISBLANK(INDEX(PlotData,MATCH($A206,PlotNumber,0),MATCH(B$3,PlotTitles,0)))),"",OR(AND(INDEX(PlotData,MATCH($A206,PlotNumber,0),MATCH("Tenure",PlotTitles,0))="Open market housing",INDEX(PlotData,MATCH($A206,PlotNumber,0),MATCH("Tenure detail",PlotTitles,0))="Private rented sector"),INDEX(PlotData,MATCH($A206,PlotNumber,0),MATCH("Tenure",PlotTitles,0))="Affordable rent"),"",ISNUMBER(INDEX(PlotData,MATCH($A206,PlotNumber,0),MATCH(S$3,PlotTitles,0)))=FALSE, $AB$22,TRUE,"")</f>
        <v/>
      </c>
      <c r="T206" s="104" t="str" cm="1">
        <f t="array" ref="T206">_xlfn.IFS(AND(A206&gt;NumberOfPlots,ISBLANK(INDEX(PlotData,MATCH($A206,PlotNumber,0),MATCH(B$3,PlotTitles,0)))),"",OR(AND(INDEX(PlotData,MATCH($A206,PlotNumber,0),MATCH("Tenure",PlotTitles,0))="Open market housing",INDEX(PlotData,MATCH($A206,PlotNumber,0),MATCH("Tenure detail",PlotTitles,0))="Private rented sector"),INDEX(PlotData,MATCH($A206,PlotNumber,0),MATCH("Tenure",PlotTitles,0))="Affordable rent"),"",INDEX(PlotData,MATCH($A206,PlotNumber,0),MATCH(S$3,PlotTitles,0))&lt;10000, $AB$23,TRUE,"")</f>
        <v/>
      </c>
      <c r="U206" s="104" t="str" cm="1">
        <f t="array" ref="U206">_xlfn.IFS(AND(A206&gt;NumberOfPlots,ISBLANK(INDEX(PlotData,MATCH($A206,PlotNumber,0),MATCH(B$3,PlotTitles,0)))),"",NOT(OR(AND(INDEX(PlotData,MATCH($A206,PlotNumber,0),MATCH("Tenure",PlotTitles,0))="Open market housing",INDEX(PlotData,MATCH($A206,PlotNumber,0),MATCH("Tenure detail",PlotTitles,0))="Private rented sector"),INDEX(PlotData,MATCH($A206,PlotNumber,0),MATCH("Tenure",PlotTitles,0))="Affordable rent")),"",NOT(INDEX(PlotData,MATCH($A206,PlotNumber,0),MATCH(S$3,PlotTitles,0))=0), $AB$24,TRUE,"")</f>
        <v/>
      </c>
      <c r="V206" s="114" t="str" cm="1">
        <f t="array" aca="1" ref="V206" ca="1">_xlfn.IFS(ISBLANK(NumberOfPlots),"Enter the number of homes on the 1_SetUp sheet",AND(A206&gt;NumberOfPlots,ISBLANK(INDEX(PlotData,MATCH($A206,PlotNumber,0),MATCH(B$3,PlotTitles,0)))),"No error",NOT(B206=""),B206,NOT(C206=""),C206,NOT(D206=""),D206,NOT(E206=""),E206,NOT(F206=""),F206,NOT(G206=""),G206,NOT(H206=""),H206,NOT(I206=""),I206,NOT(J206=""),J206,NOT(K206=""),K206,NOT(L206=""),L206,NOT(M206=""),M206,NOT(N206=""),N206,NOT(O206=""),O206,NOT(P206=""),P206,NOT(Q206=""),Q206,NOT(R206=""),R206,NOT(S206=""),S206,NOT(T206=""),T206,NOT(U206=""),U206,TRUE,"No error")</f>
        <v>Enter the number of homes on the 1_SetUp sheet</v>
      </c>
      <c r="W206" s="114" t="str">
        <f t="shared" ca="1" si="11"/>
        <v xml:space="preserve">The Borrower has not addressed the following error messages for Home ID 202: </v>
      </c>
    </row>
    <row r="207" spans="1:23">
      <c r="A207" s="123">
        <v>203</v>
      </c>
      <c r="B207" s="104" t="str" cm="1">
        <f t="array" ref="B207">_xlfn.IFS(AND(A207&gt;NumberOfPlots,ISBLANK(INDEX(PlotData,MATCH($A207,PlotNumber,0),MATCH(B$3,PlotTitles,0)))),"",ISNUMBER(INDEX(PlotData,MATCH($A207,PlotNumber,0),MATCH(B$3,PlotTitles,0)))=FALSE, $AB$5,TRUE,"")</f>
        <v/>
      </c>
      <c r="C207" s="104" t="str" cm="1">
        <f t="array" ref="C207">_xlfn.IFS(AND(A207&gt;NumberOfPlots,ISBLANK(INDEX(PlotData,MATCH($A207,PlotNumber,0),MATCH(B$3,PlotTitles,0)))),"",ISBLANK(INDEX(PlotData,MATCH($A207,PlotNumber,0),MATCH(C$3,PlotTitles,0))),$AB$6,TRUE,"")</f>
        <v/>
      </c>
      <c r="D207" s="104" t="str" cm="1">
        <f t="array" ref="D207">_xlfn.IFS(AND(A207&gt;NumberOfPlots,ISBLANK(INDEX(PlotData,MATCH($A207,PlotNumber,0),MATCH(B$3,PlotTitles,0)))),"",ISBLANK(INDEX(PlotData,MATCH($A207,PlotNumber,0),MATCH(D$3,PlotTitles,0))),$AB$7,TRUE,"")</f>
        <v/>
      </c>
      <c r="E207" s="104" t="str" cm="1">
        <f t="array" ref="E207">_xlfn.IFS(AND(A207&gt;NumberOfPlots,ISBLANK(INDEX(PlotData,MATCH($A207,PlotNumber,0),MATCH(B$3,PlotTitles,0)))),"",ISBLANK(INDEX(PlotData,MATCH($A207,PlotNumber,0),MATCH(E$3,PlotTitles,0))),$AB$8,TRUE,"")</f>
        <v/>
      </c>
      <c r="F207" s="104" t="str" cm="1">
        <f t="array" ref="F207">_xlfn.IFS(AND(A207&gt;NumberOfPlots,ISBLANK(INDEX(PlotData,MATCH($A207,PlotNumber,0),MATCH(B$3,PlotTitles,0)))),"",ISBLANK(INDEX(PlotData,MATCH($A207,PlotNumber,0),MATCH(F$3,PlotTitles,0))),$AB$9,TRUE,"")</f>
        <v/>
      </c>
      <c r="G207" s="104" t="str" cm="1">
        <f t="array" ref="G207">_xlfn.IFS(AND(A207&gt;NumberOfPlots,ISBLANK(INDEX(PlotData,MATCH($A207,PlotNumber,0),MATCH(B$3,PlotTitles,0)))),"",ISBLANK(INDEX(PlotData,MATCH($A207,PlotNumber,0),MATCH(G$3,PlotTitles,0))),$AB$10,TRUE,"")</f>
        <v/>
      </c>
      <c r="H207" s="104" t="str" cm="1">
        <f t="array" ref="H207">_xlfn.IFS(AND(A207&gt;NumberOfPlots,ISBLANK(INDEX(PlotData,MATCH($A207,PlotNumber,0),MATCH(B$3,PlotTitles,0)))),"",AND(ISBLANK(INDEX(PlotData,MATCH($A207,PlotNumber,0),MATCH(H$3,PlotTitles,0)))=FALSE,INDEX(PlotData,MATCH($A207,PlotNumber,0),MATCH(H$3,PlotTitles,0))&lt;500), $AB$11,TRUE,"")</f>
        <v/>
      </c>
      <c r="I207" s="104" t="str" cm="1">
        <f t="array" ref="I207">_xlfn.IFS(AND(A207&gt;NumberOfPlots,ISBLANK(INDEX(PlotData,MATCH($A207,PlotNumber,0),MATCH(B$3,PlotTitles,0)))),"",ISBLANK(INDEX(PlotData,MATCH($A207,PlotNumber,0),MATCH(I$3,PlotTitles,0))),$AB$12,TRUE,"")</f>
        <v/>
      </c>
      <c r="J207" s="104" t="str" cm="1">
        <f t="array" ref="J207">_xlfn.IFS(AND(A207&gt;NumberOfPlots,ISBLANK(INDEX(PlotData,MATCH($A207,PlotNumber,0),MATCH(B$3,PlotTitles,0)))),"",ISBLANK(INDEX(PlotData,MATCH($A207,PlotNumber,0),MATCH(J$3,PlotTitles,0))),$AB$13,TRUE,"")</f>
        <v/>
      </c>
      <c r="K207" s="182" t="str">
        <f t="shared" ca="1" si="9"/>
        <v/>
      </c>
      <c r="L207" s="104" t="str" cm="1">
        <f t="array" ref="L207">_xlfn.IFS(OR(ISBLANK(StartDateMonth),ISBLANK(StartDateYear)),"",AND(A207&gt;NumberOfPlots,ISBLANK(INDEX(PlotData,MATCH($A207,PlotNumber,0),MATCH(B$3,PlotTitles,0)))),"",ISBLANK(INDEX(PlotData,MATCH($A207,PlotNumber,0),MATCH(I$3,PlotTitles,0))),"",(DATEVALUE(INDEX(PlotData,MATCH($A207,PlotNumber,0),MATCH(I$3,PlotTitles,0))&amp;INDEX(PlotData,MATCH($A207,PlotNumber,0),MATCH(J$3,PlotTitles,0))))&lt;DATEVALUE(StartDateMonth&amp;StartDateYear),$AB$15,TRUE,"")</f>
        <v/>
      </c>
      <c r="M207" s="104" t="str" cm="1">
        <f t="array" ref="M207">_xlfn.IFS(OR(ISBLANK(StartDateMonth),ISBLANK(StartDateYear)),"",AND(A207&gt;NumberOfPlots,ISBLANK(INDEX(PlotData,MATCH($A207,PlotNumber,0),MATCH(B$3,PlotTitles,0)))),"",ISBLANK(INDEX(PlotData,MATCH($A207,PlotNumber,0),MATCH(I$3,PlotTitles,0))),"",CompletionMonth="","",(DATEVALUE(INDEX(PlotData,MATCH($A207,PlotNumber,0),MATCH(I$3,PlotTitles,0))&amp;INDEX(PlotData,MATCH($A207,PlotNumber,0),MATCH(J$3,PlotTitles,0))))&gt;(DATEVALUE(CompletionMonth&amp;CompletionYear)),$AB$16,TRUE,"")</f>
        <v/>
      </c>
      <c r="N207" s="104" t="str" cm="1">
        <f t="array" ref="N207">_xlfn.IFS(AND(A207&gt;NumberOfPlots,ISBLANK(INDEX(PlotData,MATCH($A207,PlotNumber,0),MATCH(B$3,PlotTitles,0)))),"",ISBLANK(INDEX(PlotData,MATCH($A207,PlotNumber,0),MATCH(N$3,PlotTitles,0))),$AB$17,TRUE,"")</f>
        <v/>
      </c>
      <c r="O207" s="104" t="str" cm="1">
        <f t="array" ref="O207">_xlfn.IFS(AND(A207&gt;NumberOfPlots,ISBLANK(INDEX(PlotData,MATCH($A207,PlotNumber,0),MATCH(B$3,PlotTitles,0)))),"",ISBLANK(INDEX(PlotData,MATCH($A207,PlotNumber,0),MATCH(O$3,PlotTitles,0))),$AB$18,TRUE,"")</f>
        <v/>
      </c>
      <c r="P207" s="182" t="str">
        <f t="shared" ca="1" si="10"/>
        <v/>
      </c>
      <c r="Q207" s="104" t="str" cm="1">
        <f t="array" ref="Q207">_xlfn.IFS(AND(A207&gt;NumberOfPlots,ISBLANK(INDEX(PlotData,MATCH($A207,PlotNumber,0),MATCH(B$3,PlotTitles,0)))),"",ISBLANK(INDEX(PlotData,MATCH($A207,PlotNumber,0),MATCH(N$3,PlotTitles,0))),"",(DATEVALUE(INDEX(PlotData,MATCH($A207,PlotNumber,0),MATCH(N$3,PlotTitles,0))&amp;INDEX(PlotData,MATCH($A207,PlotNumber,0),MATCH(O$3,PlotTitles,0))))&lt;(DATEVALUE(INDEX(PlotData,MATCH($A207,PlotNumber,0),MATCH(I$3,PlotTitles,0))&amp;INDEX(PlotData,MATCH($A207,PlotNumber,0),MATCH(J$3,PlotTitles,0)))),$AB$20,TRUE,"")</f>
        <v/>
      </c>
      <c r="R207" s="104" t="str" cm="1">
        <f t="array" ref="R207">_xlfn.IFS(OR(ISBLANK(StartDateMonth),ISBLANK(StartDateYear)),"",AND(A207&gt;NumberOfPlots,ISBLANK(INDEX(PlotData,MATCH($A207,PlotNumber,0),MATCH(B$3,PlotTitles,0)))),"",ISBLANK(INDEX(PlotData,MATCH($A207,PlotNumber,0),MATCH(N$3,PlotTitles,0))),"",CompletionMonth="","",(DATEVALUE(INDEX(PlotData,MATCH($A207,PlotNumber,0),MATCH(N$3,PlotTitles,0))&amp;INDEX(PlotData,MATCH($A207,PlotNumber,0),MATCH(O$3,PlotTitles,0))))&gt;(DATEVALUE(CompletionMonth&amp;CompletionYear)),$AB$21,TRUE,"")</f>
        <v/>
      </c>
      <c r="S207" s="104" t="str" cm="1">
        <f t="array" ref="S207">_xlfn.IFS(AND(A207&gt;NumberOfPlots,ISBLANK(INDEX(PlotData,MATCH($A207,PlotNumber,0),MATCH(B$3,PlotTitles,0)))),"",OR(AND(INDEX(PlotData,MATCH($A207,PlotNumber,0),MATCH("Tenure",PlotTitles,0))="Open market housing",INDEX(PlotData,MATCH($A207,PlotNumber,0),MATCH("Tenure detail",PlotTitles,0))="Private rented sector"),INDEX(PlotData,MATCH($A207,PlotNumber,0),MATCH("Tenure",PlotTitles,0))="Affordable rent"),"",ISNUMBER(INDEX(PlotData,MATCH($A207,PlotNumber,0),MATCH(S$3,PlotTitles,0)))=FALSE, $AB$22,TRUE,"")</f>
        <v/>
      </c>
      <c r="T207" s="104" t="str" cm="1">
        <f t="array" ref="T207">_xlfn.IFS(AND(A207&gt;NumberOfPlots,ISBLANK(INDEX(PlotData,MATCH($A207,PlotNumber,0),MATCH(B$3,PlotTitles,0)))),"",OR(AND(INDEX(PlotData,MATCH($A207,PlotNumber,0),MATCH("Tenure",PlotTitles,0))="Open market housing",INDEX(PlotData,MATCH($A207,PlotNumber,0),MATCH("Tenure detail",PlotTitles,0))="Private rented sector"),INDEX(PlotData,MATCH($A207,PlotNumber,0),MATCH("Tenure",PlotTitles,0))="Affordable rent"),"",INDEX(PlotData,MATCH($A207,PlotNumber,0),MATCH(S$3,PlotTitles,0))&lt;10000, $AB$23,TRUE,"")</f>
        <v/>
      </c>
      <c r="U207" s="104" t="str" cm="1">
        <f t="array" ref="U207">_xlfn.IFS(AND(A207&gt;NumberOfPlots,ISBLANK(INDEX(PlotData,MATCH($A207,PlotNumber,0),MATCH(B$3,PlotTitles,0)))),"",NOT(OR(AND(INDEX(PlotData,MATCH($A207,PlotNumber,0),MATCH("Tenure",PlotTitles,0))="Open market housing",INDEX(PlotData,MATCH($A207,PlotNumber,0),MATCH("Tenure detail",PlotTitles,0))="Private rented sector"),INDEX(PlotData,MATCH($A207,PlotNumber,0),MATCH("Tenure",PlotTitles,0))="Affordable rent")),"",NOT(INDEX(PlotData,MATCH($A207,PlotNumber,0),MATCH(S$3,PlotTitles,0))=0), $AB$24,TRUE,"")</f>
        <v/>
      </c>
      <c r="V207" s="114" t="str" cm="1">
        <f t="array" aca="1" ref="V207" ca="1">_xlfn.IFS(ISBLANK(NumberOfPlots),"Enter the number of homes on the 1_SetUp sheet",AND(A207&gt;NumberOfPlots,ISBLANK(INDEX(PlotData,MATCH($A207,PlotNumber,0),MATCH(B$3,PlotTitles,0)))),"No error",NOT(B207=""),B207,NOT(C207=""),C207,NOT(D207=""),D207,NOT(E207=""),E207,NOT(F207=""),F207,NOT(G207=""),G207,NOT(H207=""),H207,NOT(I207=""),I207,NOT(J207=""),J207,NOT(K207=""),K207,NOT(L207=""),L207,NOT(M207=""),M207,NOT(N207=""),N207,NOT(O207=""),O207,NOT(P207=""),P207,NOT(Q207=""),Q207,NOT(R207=""),R207,NOT(S207=""),S207,NOT(T207=""),T207,NOT(U207=""),U207,TRUE,"No error")</f>
        <v>Enter the number of homes on the 1_SetUp sheet</v>
      </c>
      <c r="W207" s="114" t="str">
        <f t="shared" ca="1" si="11"/>
        <v xml:space="preserve">The Borrower has not addressed the following error messages for Home ID 203: </v>
      </c>
    </row>
    <row r="208" spans="1:23">
      <c r="A208" s="123">
        <v>204</v>
      </c>
      <c r="B208" s="104" t="str" cm="1">
        <f t="array" ref="B208">_xlfn.IFS(AND(A208&gt;NumberOfPlots,ISBLANK(INDEX(PlotData,MATCH($A208,PlotNumber,0),MATCH(B$3,PlotTitles,0)))),"",ISNUMBER(INDEX(PlotData,MATCH($A208,PlotNumber,0),MATCH(B$3,PlotTitles,0)))=FALSE, $AB$5,TRUE,"")</f>
        <v/>
      </c>
      <c r="C208" s="104" t="str" cm="1">
        <f t="array" ref="C208">_xlfn.IFS(AND(A208&gt;NumberOfPlots,ISBLANK(INDEX(PlotData,MATCH($A208,PlotNumber,0),MATCH(B$3,PlotTitles,0)))),"",ISBLANK(INDEX(PlotData,MATCH($A208,PlotNumber,0),MATCH(C$3,PlotTitles,0))),$AB$6,TRUE,"")</f>
        <v/>
      </c>
      <c r="D208" s="104" t="str" cm="1">
        <f t="array" ref="D208">_xlfn.IFS(AND(A208&gt;NumberOfPlots,ISBLANK(INDEX(PlotData,MATCH($A208,PlotNumber,0),MATCH(B$3,PlotTitles,0)))),"",ISBLANK(INDEX(PlotData,MATCH($A208,PlotNumber,0),MATCH(D$3,PlotTitles,0))),$AB$7,TRUE,"")</f>
        <v/>
      </c>
      <c r="E208" s="104" t="str" cm="1">
        <f t="array" ref="E208">_xlfn.IFS(AND(A208&gt;NumberOfPlots,ISBLANK(INDEX(PlotData,MATCH($A208,PlotNumber,0),MATCH(B$3,PlotTitles,0)))),"",ISBLANK(INDEX(PlotData,MATCH($A208,PlotNumber,0),MATCH(E$3,PlotTitles,0))),$AB$8,TRUE,"")</f>
        <v/>
      </c>
      <c r="F208" s="104" t="str" cm="1">
        <f t="array" ref="F208">_xlfn.IFS(AND(A208&gt;NumberOfPlots,ISBLANK(INDEX(PlotData,MATCH($A208,PlotNumber,0),MATCH(B$3,PlotTitles,0)))),"",ISBLANK(INDEX(PlotData,MATCH($A208,PlotNumber,0),MATCH(F$3,PlotTitles,0))),$AB$9,TRUE,"")</f>
        <v/>
      </c>
      <c r="G208" s="104" t="str" cm="1">
        <f t="array" ref="G208">_xlfn.IFS(AND(A208&gt;NumberOfPlots,ISBLANK(INDEX(PlotData,MATCH($A208,PlotNumber,0),MATCH(B$3,PlotTitles,0)))),"",ISBLANK(INDEX(PlotData,MATCH($A208,PlotNumber,0),MATCH(G$3,PlotTitles,0))),$AB$10,TRUE,"")</f>
        <v/>
      </c>
      <c r="H208" s="104" t="str" cm="1">
        <f t="array" ref="H208">_xlfn.IFS(AND(A208&gt;NumberOfPlots,ISBLANK(INDEX(PlotData,MATCH($A208,PlotNumber,0),MATCH(B$3,PlotTitles,0)))),"",AND(ISBLANK(INDEX(PlotData,MATCH($A208,PlotNumber,0),MATCH(H$3,PlotTitles,0)))=FALSE,INDEX(PlotData,MATCH($A208,PlotNumber,0),MATCH(H$3,PlotTitles,0))&lt;500), $AB$11,TRUE,"")</f>
        <v/>
      </c>
      <c r="I208" s="104" t="str" cm="1">
        <f t="array" ref="I208">_xlfn.IFS(AND(A208&gt;NumberOfPlots,ISBLANK(INDEX(PlotData,MATCH($A208,PlotNumber,0),MATCH(B$3,PlotTitles,0)))),"",ISBLANK(INDEX(PlotData,MATCH($A208,PlotNumber,0),MATCH(I$3,PlotTitles,0))),$AB$12,TRUE,"")</f>
        <v/>
      </c>
      <c r="J208" s="104" t="str" cm="1">
        <f t="array" ref="J208">_xlfn.IFS(AND(A208&gt;NumberOfPlots,ISBLANK(INDEX(PlotData,MATCH($A208,PlotNumber,0),MATCH(B$3,PlotTitles,0)))),"",ISBLANK(INDEX(PlotData,MATCH($A208,PlotNumber,0),MATCH(J$3,PlotTitles,0))),$AB$13,TRUE,"")</f>
        <v/>
      </c>
      <c r="K208" s="182" t="str">
        <f t="shared" ca="1" si="9"/>
        <v/>
      </c>
      <c r="L208" s="104" t="str" cm="1">
        <f t="array" ref="L208">_xlfn.IFS(OR(ISBLANK(StartDateMonth),ISBLANK(StartDateYear)),"",AND(A208&gt;NumberOfPlots,ISBLANK(INDEX(PlotData,MATCH($A208,PlotNumber,0),MATCH(B$3,PlotTitles,0)))),"",ISBLANK(INDEX(PlotData,MATCH($A208,PlotNumber,0),MATCH(I$3,PlotTitles,0))),"",(DATEVALUE(INDEX(PlotData,MATCH($A208,PlotNumber,0),MATCH(I$3,PlotTitles,0))&amp;INDEX(PlotData,MATCH($A208,PlotNumber,0),MATCH(J$3,PlotTitles,0))))&lt;DATEVALUE(StartDateMonth&amp;StartDateYear),$AB$15,TRUE,"")</f>
        <v/>
      </c>
      <c r="M208" s="104" t="str" cm="1">
        <f t="array" ref="M208">_xlfn.IFS(OR(ISBLANK(StartDateMonth),ISBLANK(StartDateYear)),"",AND(A208&gt;NumberOfPlots,ISBLANK(INDEX(PlotData,MATCH($A208,PlotNumber,0),MATCH(B$3,PlotTitles,0)))),"",ISBLANK(INDEX(PlotData,MATCH($A208,PlotNumber,0),MATCH(I$3,PlotTitles,0))),"",CompletionMonth="","",(DATEVALUE(INDEX(PlotData,MATCH($A208,PlotNumber,0),MATCH(I$3,PlotTitles,0))&amp;INDEX(PlotData,MATCH($A208,PlotNumber,0),MATCH(J$3,PlotTitles,0))))&gt;(DATEVALUE(CompletionMonth&amp;CompletionYear)),$AB$16,TRUE,"")</f>
        <v/>
      </c>
      <c r="N208" s="104" t="str" cm="1">
        <f t="array" ref="N208">_xlfn.IFS(AND(A208&gt;NumberOfPlots,ISBLANK(INDEX(PlotData,MATCH($A208,PlotNumber,0),MATCH(B$3,PlotTitles,0)))),"",ISBLANK(INDEX(PlotData,MATCH($A208,PlotNumber,0),MATCH(N$3,PlotTitles,0))),$AB$17,TRUE,"")</f>
        <v/>
      </c>
      <c r="O208" s="104" t="str" cm="1">
        <f t="array" ref="O208">_xlfn.IFS(AND(A208&gt;NumberOfPlots,ISBLANK(INDEX(PlotData,MATCH($A208,PlotNumber,0),MATCH(B$3,PlotTitles,0)))),"",ISBLANK(INDEX(PlotData,MATCH($A208,PlotNumber,0),MATCH(O$3,PlotTitles,0))),$AB$18,TRUE,"")</f>
        <v/>
      </c>
      <c r="P208" s="182" t="str">
        <f t="shared" ca="1" si="10"/>
        <v/>
      </c>
      <c r="Q208" s="104" t="str" cm="1">
        <f t="array" ref="Q208">_xlfn.IFS(AND(A208&gt;NumberOfPlots,ISBLANK(INDEX(PlotData,MATCH($A208,PlotNumber,0),MATCH(B$3,PlotTitles,0)))),"",ISBLANK(INDEX(PlotData,MATCH($A208,PlotNumber,0),MATCH(N$3,PlotTitles,0))),"",(DATEVALUE(INDEX(PlotData,MATCH($A208,PlotNumber,0),MATCH(N$3,PlotTitles,0))&amp;INDEX(PlotData,MATCH($A208,PlotNumber,0),MATCH(O$3,PlotTitles,0))))&lt;(DATEVALUE(INDEX(PlotData,MATCH($A208,PlotNumber,0),MATCH(I$3,PlotTitles,0))&amp;INDEX(PlotData,MATCH($A208,PlotNumber,0),MATCH(J$3,PlotTitles,0)))),$AB$20,TRUE,"")</f>
        <v/>
      </c>
      <c r="R208" s="104" t="str" cm="1">
        <f t="array" ref="R208">_xlfn.IFS(OR(ISBLANK(StartDateMonth),ISBLANK(StartDateYear)),"",AND(A208&gt;NumberOfPlots,ISBLANK(INDEX(PlotData,MATCH($A208,PlotNumber,0),MATCH(B$3,PlotTitles,0)))),"",ISBLANK(INDEX(PlotData,MATCH($A208,PlotNumber,0),MATCH(N$3,PlotTitles,0))),"",CompletionMonth="","",(DATEVALUE(INDEX(PlotData,MATCH($A208,PlotNumber,0),MATCH(N$3,PlotTitles,0))&amp;INDEX(PlotData,MATCH($A208,PlotNumber,0),MATCH(O$3,PlotTitles,0))))&gt;(DATEVALUE(CompletionMonth&amp;CompletionYear)),$AB$21,TRUE,"")</f>
        <v/>
      </c>
      <c r="S208" s="104" t="str" cm="1">
        <f t="array" ref="S208">_xlfn.IFS(AND(A208&gt;NumberOfPlots,ISBLANK(INDEX(PlotData,MATCH($A208,PlotNumber,0),MATCH(B$3,PlotTitles,0)))),"",OR(AND(INDEX(PlotData,MATCH($A208,PlotNumber,0),MATCH("Tenure",PlotTitles,0))="Open market housing",INDEX(PlotData,MATCH($A208,PlotNumber,0),MATCH("Tenure detail",PlotTitles,0))="Private rented sector"),INDEX(PlotData,MATCH($A208,PlotNumber,0),MATCH("Tenure",PlotTitles,0))="Affordable rent"),"",ISNUMBER(INDEX(PlotData,MATCH($A208,PlotNumber,0),MATCH(S$3,PlotTitles,0)))=FALSE, $AB$22,TRUE,"")</f>
        <v/>
      </c>
      <c r="T208" s="104" t="str" cm="1">
        <f t="array" ref="T208">_xlfn.IFS(AND(A208&gt;NumberOfPlots,ISBLANK(INDEX(PlotData,MATCH($A208,PlotNumber,0),MATCH(B$3,PlotTitles,0)))),"",OR(AND(INDEX(PlotData,MATCH($A208,PlotNumber,0),MATCH("Tenure",PlotTitles,0))="Open market housing",INDEX(PlotData,MATCH($A208,PlotNumber,0),MATCH("Tenure detail",PlotTitles,0))="Private rented sector"),INDEX(PlotData,MATCH($A208,PlotNumber,0),MATCH("Tenure",PlotTitles,0))="Affordable rent"),"",INDEX(PlotData,MATCH($A208,PlotNumber,0),MATCH(S$3,PlotTitles,0))&lt;10000, $AB$23,TRUE,"")</f>
        <v/>
      </c>
      <c r="U208" s="104" t="str" cm="1">
        <f t="array" ref="U208">_xlfn.IFS(AND(A208&gt;NumberOfPlots,ISBLANK(INDEX(PlotData,MATCH($A208,PlotNumber,0),MATCH(B$3,PlotTitles,0)))),"",NOT(OR(AND(INDEX(PlotData,MATCH($A208,PlotNumber,0),MATCH("Tenure",PlotTitles,0))="Open market housing",INDEX(PlotData,MATCH($A208,PlotNumber,0),MATCH("Tenure detail",PlotTitles,0))="Private rented sector"),INDEX(PlotData,MATCH($A208,PlotNumber,0),MATCH("Tenure",PlotTitles,0))="Affordable rent")),"",NOT(INDEX(PlotData,MATCH($A208,PlotNumber,0),MATCH(S$3,PlotTitles,0))=0), $AB$24,TRUE,"")</f>
        <v/>
      </c>
      <c r="V208" s="114" t="str" cm="1">
        <f t="array" aca="1" ref="V208" ca="1">_xlfn.IFS(ISBLANK(NumberOfPlots),"Enter the number of homes on the 1_SetUp sheet",AND(A208&gt;NumberOfPlots,ISBLANK(INDEX(PlotData,MATCH($A208,PlotNumber,0),MATCH(B$3,PlotTitles,0)))),"No error",NOT(B208=""),B208,NOT(C208=""),C208,NOT(D208=""),D208,NOT(E208=""),E208,NOT(F208=""),F208,NOT(G208=""),G208,NOT(H208=""),H208,NOT(I208=""),I208,NOT(J208=""),J208,NOT(K208=""),K208,NOT(L208=""),L208,NOT(M208=""),M208,NOT(N208=""),N208,NOT(O208=""),O208,NOT(P208=""),P208,NOT(Q208=""),Q208,NOT(R208=""),R208,NOT(S208=""),S208,NOT(T208=""),T208,NOT(U208=""),U208,TRUE,"No error")</f>
        <v>Enter the number of homes on the 1_SetUp sheet</v>
      </c>
      <c r="W208" s="114" t="str">
        <f t="shared" ca="1" si="11"/>
        <v xml:space="preserve">The Borrower has not addressed the following error messages for Home ID 204: </v>
      </c>
    </row>
    <row r="209" spans="1:23">
      <c r="A209" s="123">
        <v>205</v>
      </c>
      <c r="B209" s="104" t="str" cm="1">
        <f t="array" ref="B209">_xlfn.IFS(AND(A209&gt;NumberOfPlots,ISBLANK(INDEX(PlotData,MATCH($A209,PlotNumber,0),MATCH(B$3,PlotTitles,0)))),"",ISNUMBER(INDEX(PlotData,MATCH($A209,PlotNumber,0),MATCH(B$3,PlotTitles,0)))=FALSE, $AB$5,TRUE,"")</f>
        <v/>
      </c>
      <c r="C209" s="104" t="str" cm="1">
        <f t="array" ref="C209">_xlfn.IFS(AND(A209&gt;NumberOfPlots,ISBLANK(INDEX(PlotData,MATCH($A209,PlotNumber,0),MATCH(B$3,PlotTitles,0)))),"",ISBLANK(INDEX(PlotData,MATCH($A209,PlotNumber,0),MATCH(C$3,PlotTitles,0))),$AB$6,TRUE,"")</f>
        <v/>
      </c>
      <c r="D209" s="104" t="str" cm="1">
        <f t="array" ref="D209">_xlfn.IFS(AND(A209&gt;NumberOfPlots,ISBLANK(INDEX(PlotData,MATCH($A209,PlotNumber,0),MATCH(B$3,PlotTitles,0)))),"",ISBLANK(INDEX(PlotData,MATCH($A209,PlotNumber,0),MATCH(D$3,PlotTitles,0))),$AB$7,TRUE,"")</f>
        <v/>
      </c>
      <c r="E209" s="104" t="str" cm="1">
        <f t="array" ref="E209">_xlfn.IFS(AND(A209&gt;NumberOfPlots,ISBLANK(INDEX(PlotData,MATCH($A209,PlotNumber,0),MATCH(B$3,PlotTitles,0)))),"",ISBLANK(INDEX(PlotData,MATCH($A209,PlotNumber,0),MATCH(E$3,PlotTitles,0))),$AB$8,TRUE,"")</f>
        <v/>
      </c>
      <c r="F209" s="104" t="str" cm="1">
        <f t="array" ref="F209">_xlfn.IFS(AND(A209&gt;NumberOfPlots,ISBLANK(INDEX(PlotData,MATCH($A209,PlotNumber,0),MATCH(B$3,PlotTitles,0)))),"",ISBLANK(INDEX(PlotData,MATCH($A209,PlotNumber,0),MATCH(F$3,PlotTitles,0))),$AB$9,TRUE,"")</f>
        <v/>
      </c>
      <c r="G209" s="104" t="str" cm="1">
        <f t="array" ref="G209">_xlfn.IFS(AND(A209&gt;NumberOfPlots,ISBLANK(INDEX(PlotData,MATCH($A209,PlotNumber,0),MATCH(B$3,PlotTitles,0)))),"",ISBLANK(INDEX(PlotData,MATCH($A209,PlotNumber,0),MATCH(G$3,PlotTitles,0))),$AB$10,TRUE,"")</f>
        <v/>
      </c>
      <c r="H209" s="104" t="str" cm="1">
        <f t="array" ref="H209">_xlfn.IFS(AND(A209&gt;NumberOfPlots,ISBLANK(INDEX(PlotData,MATCH($A209,PlotNumber,0),MATCH(B$3,PlotTitles,0)))),"",AND(ISBLANK(INDEX(PlotData,MATCH($A209,PlotNumber,0),MATCH(H$3,PlotTitles,0)))=FALSE,INDEX(PlotData,MATCH($A209,PlotNumber,0),MATCH(H$3,PlotTitles,0))&lt;500), $AB$11,TRUE,"")</f>
        <v/>
      </c>
      <c r="I209" s="104" t="str" cm="1">
        <f t="array" ref="I209">_xlfn.IFS(AND(A209&gt;NumberOfPlots,ISBLANK(INDEX(PlotData,MATCH($A209,PlotNumber,0),MATCH(B$3,PlotTitles,0)))),"",ISBLANK(INDEX(PlotData,MATCH($A209,PlotNumber,0),MATCH(I$3,PlotTitles,0))),$AB$12,TRUE,"")</f>
        <v/>
      </c>
      <c r="J209" s="104" t="str" cm="1">
        <f t="array" ref="J209">_xlfn.IFS(AND(A209&gt;NumberOfPlots,ISBLANK(INDEX(PlotData,MATCH($A209,PlotNumber,0),MATCH(B$3,PlotTitles,0)))),"",ISBLANK(INDEX(PlotData,MATCH($A209,PlotNumber,0),MATCH(J$3,PlotTitles,0))),$AB$13,TRUE,"")</f>
        <v/>
      </c>
      <c r="K209" s="182" t="str">
        <f t="shared" ca="1" si="9"/>
        <v/>
      </c>
      <c r="L209" s="104" t="str" cm="1">
        <f t="array" ref="L209">_xlfn.IFS(OR(ISBLANK(StartDateMonth),ISBLANK(StartDateYear)),"",AND(A209&gt;NumberOfPlots,ISBLANK(INDEX(PlotData,MATCH($A209,PlotNumber,0),MATCH(B$3,PlotTitles,0)))),"",ISBLANK(INDEX(PlotData,MATCH($A209,PlotNumber,0),MATCH(I$3,PlotTitles,0))),"",(DATEVALUE(INDEX(PlotData,MATCH($A209,PlotNumber,0),MATCH(I$3,PlotTitles,0))&amp;INDEX(PlotData,MATCH($A209,PlotNumber,0),MATCH(J$3,PlotTitles,0))))&lt;DATEVALUE(StartDateMonth&amp;StartDateYear),$AB$15,TRUE,"")</f>
        <v/>
      </c>
      <c r="M209" s="104" t="str" cm="1">
        <f t="array" ref="M209">_xlfn.IFS(OR(ISBLANK(StartDateMonth),ISBLANK(StartDateYear)),"",AND(A209&gt;NumberOfPlots,ISBLANK(INDEX(PlotData,MATCH($A209,PlotNumber,0),MATCH(B$3,PlotTitles,0)))),"",ISBLANK(INDEX(PlotData,MATCH($A209,PlotNumber,0),MATCH(I$3,PlotTitles,0))),"",CompletionMonth="","",(DATEVALUE(INDEX(PlotData,MATCH($A209,PlotNumber,0),MATCH(I$3,PlotTitles,0))&amp;INDEX(PlotData,MATCH($A209,PlotNumber,0),MATCH(J$3,PlotTitles,0))))&gt;(DATEVALUE(CompletionMonth&amp;CompletionYear)),$AB$16,TRUE,"")</f>
        <v/>
      </c>
      <c r="N209" s="104" t="str" cm="1">
        <f t="array" ref="N209">_xlfn.IFS(AND(A209&gt;NumberOfPlots,ISBLANK(INDEX(PlotData,MATCH($A209,PlotNumber,0),MATCH(B$3,PlotTitles,0)))),"",ISBLANK(INDEX(PlotData,MATCH($A209,PlotNumber,0),MATCH(N$3,PlotTitles,0))),$AB$17,TRUE,"")</f>
        <v/>
      </c>
      <c r="O209" s="104" t="str" cm="1">
        <f t="array" ref="O209">_xlfn.IFS(AND(A209&gt;NumberOfPlots,ISBLANK(INDEX(PlotData,MATCH($A209,PlotNumber,0),MATCH(B$3,PlotTitles,0)))),"",ISBLANK(INDEX(PlotData,MATCH($A209,PlotNumber,0),MATCH(O$3,PlotTitles,0))),$AB$18,TRUE,"")</f>
        <v/>
      </c>
      <c r="P209" s="182" t="str">
        <f t="shared" ca="1" si="10"/>
        <v/>
      </c>
      <c r="Q209" s="104" t="str" cm="1">
        <f t="array" ref="Q209">_xlfn.IFS(AND(A209&gt;NumberOfPlots,ISBLANK(INDEX(PlotData,MATCH($A209,PlotNumber,0),MATCH(B$3,PlotTitles,0)))),"",ISBLANK(INDEX(PlotData,MATCH($A209,PlotNumber,0),MATCH(N$3,PlotTitles,0))),"",(DATEVALUE(INDEX(PlotData,MATCH($A209,PlotNumber,0),MATCH(N$3,PlotTitles,0))&amp;INDEX(PlotData,MATCH($A209,PlotNumber,0),MATCH(O$3,PlotTitles,0))))&lt;(DATEVALUE(INDEX(PlotData,MATCH($A209,PlotNumber,0),MATCH(I$3,PlotTitles,0))&amp;INDEX(PlotData,MATCH($A209,PlotNumber,0),MATCH(J$3,PlotTitles,0)))),$AB$20,TRUE,"")</f>
        <v/>
      </c>
      <c r="R209" s="104" t="str" cm="1">
        <f t="array" ref="R209">_xlfn.IFS(OR(ISBLANK(StartDateMonth),ISBLANK(StartDateYear)),"",AND(A209&gt;NumberOfPlots,ISBLANK(INDEX(PlotData,MATCH($A209,PlotNumber,0),MATCH(B$3,PlotTitles,0)))),"",ISBLANK(INDEX(PlotData,MATCH($A209,PlotNumber,0),MATCH(N$3,PlotTitles,0))),"",CompletionMonth="","",(DATEVALUE(INDEX(PlotData,MATCH($A209,PlotNumber,0),MATCH(N$3,PlotTitles,0))&amp;INDEX(PlotData,MATCH($A209,PlotNumber,0),MATCH(O$3,PlotTitles,0))))&gt;(DATEVALUE(CompletionMonth&amp;CompletionYear)),$AB$21,TRUE,"")</f>
        <v/>
      </c>
      <c r="S209" s="104" t="str" cm="1">
        <f t="array" ref="S209">_xlfn.IFS(AND(A209&gt;NumberOfPlots,ISBLANK(INDEX(PlotData,MATCH($A209,PlotNumber,0),MATCH(B$3,PlotTitles,0)))),"",OR(AND(INDEX(PlotData,MATCH($A209,PlotNumber,0),MATCH("Tenure",PlotTitles,0))="Open market housing",INDEX(PlotData,MATCH($A209,PlotNumber,0),MATCH("Tenure detail",PlotTitles,0))="Private rented sector"),INDEX(PlotData,MATCH($A209,PlotNumber,0),MATCH("Tenure",PlotTitles,0))="Affordable rent"),"",ISNUMBER(INDEX(PlotData,MATCH($A209,PlotNumber,0),MATCH(S$3,PlotTitles,0)))=FALSE, $AB$22,TRUE,"")</f>
        <v/>
      </c>
      <c r="T209" s="104" t="str" cm="1">
        <f t="array" ref="T209">_xlfn.IFS(AND(A209&gt;NumberOfPlots,ISBLANK(INDEX(PlotData,MATCH($A209,PlotNumber,0),MATCH(B$3,PlotTitles,0)))),"",OR(AND(INDEX(PlotData,MATCH($A209,PlotNumber,0),MATCH("Tenure",PlotTitles,0))="Open market housing",INDEX(PlotData,MATCH($A209,PlotNumber,0),MATCH("Tenure detail",PlotTitles,0))="Private rented sector"),INDEX(PlotData,MATCH($A209,PlotNumber,0),MATCH("Tenure",PlotTitles,0))="Affordable rent"),"",INDEX(PlotData,MATCH($A209,PlotNumber,0),MATCH(S$3,PlotTitles,0))&lt;10000, $AB$23,TRUE,"")</f>
        <v/>
      </c>
      <c r="U209" s="104" t="str" cm="1">
        <f t="array" ref="U209">_xlfn.IFS(AND(A209&gt;NumberOfPlots,ISBLANK(INDEX(PlotData,MATCH($A209,PlotNumber,0),MATCH(B$3,PlotTitles,0)))),"",NOT(OR(AND(INDEX(PlotData,MATCH($A209,PlotNumber,0),MATCH("Tenure",PlotTitles,0))="Open market housing",INDEX(PlotData,MATCH($A209,PlotNumber,0),MATCH("Tenure detail",PlotTitles,0))="Private rented sector"),INDEX(PlotData,MATCH($A209,PlotNumber,0),MATCH("Tenure",PlotTitles,0))="Affordable rent")),"",NOT(INDEX(PlotData,MATCH($A209,PlotNumber,0),MATCH(S$3,PlotTitles,0))=0), $AB$24,TRUE,"")</f>
        <v/>
      </c>
      <c r="V209" s="114" t="str" cm="1">
        <f t="array" aca="1" ref="V209" ca="1">_xlfn.IFS(ISBLANK(NumberOfPlots),"Enter the number of homes on the 1_SetUp sheet",AND(A209&gt;NumberOfPlots,ISBLANK(INDEX(PlotData,MATCH($A209,PlotNumber,0),MATCH(B$3,PlotTitles,0)))),"No error",NOT(B209=""),B209,NOT(C209=""),C209,NOT(D209=""),D209,NOT(E209=""),E209,NOT(F209=""),F209,NOT(G209=""),G209,NOT(H209=""),H209,NOT(I209=""),I209,NOT(J209=""),J209,NOT(K209=""),K209,NOT(L209=""),L209,NOT(M209=""),M209,NOT(N209=""),N209,NOT(O209=""),O209,NOT(P209=""),P209,NOT(Q209=""),Q209,NOT(R209=""),R209,NOT(S209=""),S209,NOT(T209=""),T209,NOT(U209=""),U209,TRUE,"No error")</f>
        <v>Enter the number of homes on the 1_SetUp sheet</v>
      </c>
      <c r="W209" s="114" t="str">
        <f t="shared" ca="1" si="11"/>
        <v xml:space="preserve">The Borrower has not addressed the following error messages for Home ID 205: </v>
      </c>
    </row>
    <row r="210" spans="1:23">
      <c r="A210" s="123">
        <v>206</v>
      </c>
      <c r="B210" s="104" t="str" cm="1">
        <f t="array" ref="B210">_xlfn.IFS(AND(A210&gt;NumberOfPlots,ISBLANK(INDEX(PlotData,MATCH($A210,PlotNumber,0),MATCH(B$3,PlotTitles,0)))),"",ISNUMBER(INDEX(PlotData,MATCH($A210,PlotNumber,0),MATCH(B$3,PlotTitles,0)))=FALSE, $AB$5,TRUE,"")</f>
        <v/>
      </c>
      <c r="C210" s="104" t="str" cm="1">
        <f t="array" ref="C210">_xlfn.IFS(AND(A210&gt;NumberOfPlots,ISBLANK(INDEX(PlotData,MATCH($A210,PlotNumber,0),MATCH(B$3,PlotTitles,0)))),"",ISBLANK(INDEX(PlotData,MATCH($A210,PlotNumber,0),MATCH(C$3,PlotTitles,0))),$AB$6,TRUE,"")</f>
        <v/>
      </c>
      <c r="D210" s="104" t="str" cm="1">
        <f t="array" ref="D210">_xlfn.IFS(AND(A210&gt;NumberOfPlots,ISBLANK(INDEX(PlotData,MATCH($A210,PlotNumber,0),MATCH(B$3,PlotTitles,0)))),"",ISBLANK(INDEX(PlotData,MATCH($A210,PlotNumber,0),MATCH(D$3,PlotTitles,0))),$AB$7,TRUE,"")</f>
        <v/>
      </c>
      <c r="E210" s="104" t="str" cm="1">
        <f t="array" ref="E210">_xlfn.IFS(AND(A210&gt;NumberOfPlots,ISBLANK(INDEX(PlotData,MATCH($A210,PlotNumber,0),MATCH(B$3,PlotTitles,0)))),"",ISBLANK(INDEX(PlotData,MATCH($A210,PlotNumber,0),MATCH(E$3,PlotTitles,0))),$AB$8,TRUE,"")</f>
        <v/>
      </c>
      <c r="F210" s="104" t="str" cm="1">
        <f t="array" ref="F210">_xlfn.IFS(AND(A210&gt;NumberOfPlots,ISBLANK(INDEX(PlotData,MATCH($A210,PlotNumber,0),MATCH(B$3,PlotTitles,0)))),"",ISBLANK(INDEX(PlotData,MATCH($A210,PlotNumber,0),MATCH(F$3,PlotTitles,0))),$AB$9,TRUE,"")</f>
        <v/>
      </c>
      <c r="G210" s="104" t="str" cm="1">
        <f t="array" ref="G210">_xlfn.IFS(AND(A210&gt;NumberOfPlots,ISBLANK(INDEX(PlotData,MATCH($A210,PlotNumber,0),MATCH(B$3,PlotTitles,0)))),"",ISBLANK(INDEX(PlotData,MATCH($A210,PlotNumber,0),MATCH(G$3,PlotTitles,0))),$AB$10,TRUE,"")</f>
        <v/>
      </c>
      <c r="H210" s="104" t="str" cm="1">
        <f t="array" ref="H210">_xlfn.IFS(AND(A210&gt;NumberOfPlots,ISBLANK(INDEX(PlotData,MATCH($A210,PlotNumber,0),MATCH(B$3,PlotTitles,0)))),"",AND(ISBLANK(INDEX(PlotData,MATCH($A210,PlotNumber,0),MATCH(H$3,PlotTitles,0)))=FALSE,INDEX(PlotData,MATCH($A210,PlotNumber,0),MATCH(H$3,PlotTitles,0))&lt;500), $AB$11,TRUE,"")</f>
        <v/>
      </c>
      <c r="I210" s="104" t="str" cm="1">
        <f t="array" ref="I210">_xlfn.IFS(AND(A210&gt;NumberOfPlots,ISBLANK(INDEX(PlotData,MATCH($A210,PlotNumber,0),MATCH(B$3,PlotTitles,0)))),"",ISBLANK(INDEX(PlotData,MATCH($A210,PlotNumber,0),MATCH(I$3,PlotTitles,0))),$AB$12,TRUE,"")</f>
        <v/>
      </c>
      <c r="J210" s="104" t="str" cm="1">
        <f t="array" ref="J210">_xlfn.IFS(AND(A210&gt;NumberOfPlots,ISBLANK(INDEX(PlotData,MATCH($A210,PlotNumber,0),MATCH(B$3,PlotTitles,0)))),"",ISBLANK(INDEX(PlotData,MATCH($A210,PlotNumber,0),MATCH(J$3,PlotTitles,0))),$AB$13,TRUE,"")</f>
        <v/>
      </c>
      <c r="K210" s="182" t="str">
        <f t="shared" ca="1" si="9"/>
        <v/>
      </c>
      <c r="L210" s="104" t="str" cm="1">
        <f t="array" ref="L210">_xlfn.IFS(OR(ISBLANK(StartDateMonth),ISBLANK(StartDateYear)),"",AND(A210&gt;NumberOfPlots,ISBLANK(INDEX(PlotData,MATCH($A210,PlotNumber,0),MATCH(B$3,PlotTitles,0)))),"",ISBLANK(INDEX(PlotData,MATCH($A210,PlotNumber,0),MATCH(I$3,PlotTitles,0))),"",(DATEVALUE(INDEX(PlotData,MATCH($A210,PlotNumber,0),MATCH(I$3,PlotTitles,0))&amp;INDEX(PlotData,MATCH($A210,PlotNumber,0),MATCH(J$3,PlotTitles,0))))&lt;DATEVALUE(StartDateMonth&amp;StartDateYear),$AB$15,TRUE,"")</f>
        <v/>
      </c>
      <c r="M210" s="104" t="str" cm="1">
        <f t="array" ref="M210">_xlfn.IFS(OR(ISBLANK(StartDateMonth),ISBLANK(StartDateYear)),"",AND(A210&gt;NumberOfPlots,ISBLANK(INDEX(PlotData,MATCH($A210,PlotNumber,0),MATCH(B$3,PlotTitles,0)))),"",ISBLANK(INDEX(PlotData,MATCH($A210,PlotNumber,0),MATCH(I$3,PlotTitles,0))),"",CompletionMonth="","",(DATEVALUE(INDEX(PlotData,MATCH($A210,PlotNumber,0),MATCH(I$3,PlotTitles,0))&amp;INDEX(PlotData,MATCH($A210,PlotNumber,0),MATCH(J$3,PlotTitles,0))))&gt;(DATEVALUE(CompletionMonth&amp;CompletionYear)),$AB$16,TRUE,"")</f>
        <v/>
      </c>
      <c r="N210" s="104" t="str" cm="1">
        <f t="array" ref="N210">_xlfn.IFS(AND(A210&gt;NumberOfPlots,ISBLANK(INDEX(PlotData,MATCH($A210,PlotNumber,0),MATCH(B$3,PlotTitles,0)))),"",ISBLANK(INDEX(PlotData,MATCH($A210,PlotNumber,0),MATCH(N$3,PlotTitles,0))),$AB$17,TRUE,"")</f>
        <v/>
      </c>
      <c r="O210" s="104" t="str" cm="1">
        <f t="array" ref="O210">_xlfn.IFS(AND(A210&gt;NumberOfPlots,ISBLANK(INDEX(PlotData,MATCH($A210,PlotNumber,0),MATCH(B$3,PlotTitles,0)))),"",ISBLANK(INDEX(PlotData,MATCH($A210,PlotNumber,0),MATCH(O$3,PlotTitles,0))),$AB$18,TRUE,"")</f>
        <v/>
      </c>
      <c r="P210" s="182" t="str">
        <f t="shared" ca="1" si="10"/>
        <v/>
      </c>
      <c r="Q210" s="104" t="str" cm="1">
        <f t="array" ref="Q210">_xlfn.IFS(AND(A210&gt;NumberOfPlots,ISBLANK(INDEX(PlotData,MATCH($A210,PlotNumber,0),MATCH(B$3,PlotTitles,0)))),"",ISBLANK(INDEX(PlotData,MATCH($A210,PlotNumber,0),MATCH(N$3,PlotTitles,0))),"",(DATEVALUE(INDEX(PlotData,MATCH($A210,PlotNumber,0),MATCH(N$3,PlotTitles,0))&amp;INDEX(PlotData,MATCH($A210,PlotNumber,0),MATCH(O$3,PlotTitles,0))))&lt;(DATEVALUE(INDEX(PlotData,MATCH($A210,PlotNumber,0),MATCH(I$3,PlotTitles,0))&amp;INDEX(PlotData,MATCH($A210,PlotNumber,0),MATCH(J$3,PlotTitles,0)))),$AB$20,TRUE,"")</f>
        <v/>
      </c>
      <c r="R210" s="104" t="str" cm="1">
        <f t="array" ref="R210">_xlfn.IFS(OR(ISBLANK(StartDateMonth),ISBLANK(StartDateYear)),"",AND(A210&gt;NumberOfPlots,ISBLANK(INDEX(PlotData,MATCH($A210,PlotNumber,0),MATCH(B$3,PlotTitles,0)))),"",ISBLANK(INDEX(PlotData,MATCH($A210,PlotNumber,0),MATCH(N$3,PlotTitles,0))),"",CompletionMonth="","",(DATEVALUE(INDEX(PlotData,MATCH($A210,PlotNumber,0),MATCH(N$3,PlotTitles,0))&amp;INDEX(PlotData,MATCH($A210,PlotNumber,0),MATCH(O$3,PlotTitles,0))))&gt;(DATEVALUE(CompletionMonth&amp;CompletionYear)),$AB$21,TRUE,"")</f>
        <v/>
      </c>
      <c r="S210" s="104" t="str" cm="1">
        <f t="array" ref="S210">_xlfn.IFS(AND(A210&gt;NumberOfPlots,ISBLANK(INDEX(PlotData,MATCH($A210,PlotNumber,0),MATCH(B$3,PlotTitles,0)))),"",OR(AND(INDEX(PlotData,MATCH($A210,PlotNumber,0),MATCH("Tenure",PlotTitles,0))="Open market housing",INDEX(PlotData,MATCH($A210,PlotNumber,0),MATCH("Tenure detail",PlotTitles,0))="Private rented sector"),INDEX(PlotData,MATCH($A210,PlotNumber,0),MATCH("Tenure",PlotTitles,0))="Affordable rent"),"",ISNUMBER(INDEX(PlotData,MATCH($A210,PlotNumber,0),MATCH(S$3,PlotTitles,0)))=FALSE, $AB$22,TRUE,"")</f>
        <v/>
      </c>
      <c r="T210" s="104" t="str" cm="1">
        <f t="array" ref="T210">_xlfn.IFS(AND(A210&gt;NumberOfPlots,ISBLANK(INDEX(PlotData,MATCH($A210,PlotNumber,0),MATCH(B$3,PlotTitles,0)))),"",OR(AND(INDEX(PlotData,MATCH($A210,PlotNumber,0),MATCH("Tenure",PlotTitles,0))="Open market housing",INDEX(PlotData,MATCH($A210,PlotNumber,0),MATCH("Tenure detail",PlotTitles,0))="Private rented sector"),INDEX(PlotData,MATCH($A210,PlotNumber,0),MATCH("Tenure",PlotTitles,0))="Affordable rent"),"",INDEX(PlotData,MATCH($A210,PlotNumber,0),MATCH(S$3,PlotTitles,0))&lt;10000, $AB$23,TRUE,"")</f>
        <v/>
      </c>
      <c r="U210" s="104" t="str" cm="1">
        <f t="array" ref="U210">_xlfn.IFS(AND(A210&gt;NumberOfPlots,ISBLANK(INDEX(PlotData,MATCH($A210,PlotNumber,0),MATCH(B$3,PlotTitles,0)))),"",NOT(OR(AND(INDEX(PlotData,MATCH($A210,PlotNumber,0),MATCH("Tenure",PlotTitles,0))="Open market housing",INDEX(PlotData,MATCH($A210,PlotNumber,0),MATCH("Tenure detail",PlotTitles,0))="Private rented sector"),INDEX(PlotData,MATCH($A210,PlotNumber,0),MATCH("Tenure",PlotTitles,0))="Affordable rent")),"",NOT(INDEX(PlotData,MATCH($A210,PlotNumber,0),MATCH(S$3,PlotTitles,0))=0), $AB$24,TRUE,"")</f>
        <v/>
      </c>
      <c r="V210" s="114" t="str" cm="1">
        <f t="array" aca="1" ref="V210" ca="1">_xlfn.IFS(ISBLANK(NumberOfPlots),"Enter the number of homes on the 1_SetUp sheet",AND(A210&gt;NumberOfPlots,ISBLANK(INDEX(PlotData,MATCH($A210,PlotNumber,0),MATCH(B$3,PlotTitles,0)))),"No error",NOT(B210=""),B210,NOT(C210=""),C210,NOT(D210=""),D210,NOT(E210=""),E210,NOT(F210=""),F210,NOT(G210=""),G210,NOT(H210=""),H210,NOT(I210=""),I210,NOT(J210=""),J210,NOT(K210=""),K210,NOT(L210=""),L210,NOT(M210=""),M210,NOT(N210=""),N210,NOT(O210=""),O210,NOT(P210=""),P210,NOT(Q210=""),Q210,NOT(R210=""),R210,NOT(S210=""),S210,NOT(T210=""),T210,NOT(U210=""),U210,TRUE,"No error")</f>
        <v>Enter the number of homes on the 1_SetUp sheet</v>
      </c>
      <c r="W210" s="114" t="str">
        <f t="shared" ca="1" si="11"/>
        <v xml:space="preserve">The Borrower has not addressed the following error messages for Home ID 206: </v>
      </c>
    </row>
    <row r="211" spans="1:23">
      <c r="A211" s="123">
        <v>207</v>
      </c>
      <c r="B211" s="104" t="str" cm="1">
        <f t="array" ref="B211">_xlfn.IFS(AND(A211&gt;NumberOfPlots,ISBLANK(INDEX(PlotData,MATCH($A211,PlotNumber,0),MATCH(B$3,PlotTitles,0)))),"",ISNUMBER(INDEX(PlotData,MATCH($A211,PlotNumber,0),MATCH(B$3,PlotTitles,0)))=FALSE, $AB$5,TRUE,"")</f>
        <v/>
      </c>
      <c r="C211" s="104" t="str" cm="1">
        <f t="array" ref="C211">_xlfn.IFS(AND(A211&gt;NumberOfPlots,ISBLANK(INDEX(PlotData,MATCH($A211,PlotNumber,0),MATCH(B$3,PlotTitles,0)))),"",ISBLANK(INDEX(PlotData,MATCH($A211,PlotNumber,0),MATCH(C$3,PlotTitles,0))),$AB$6,TRUE,"")</f>
        <v/>
      </c>
      <c r="D211" s="104" t="str" cm="1">
        <f t="array" ref="D211">_xlfn.IFS(AND(A211&gt;NumberOfPlots,ISBLANK(INDEX(PlotData,MATCH($A211,PlotNumber,0),MATCH(B$3,PlotTitles,0)))),"",ISBLANK(INDEX(PlotData,MATCH($A211,PlotNumber,0),MATCH(D$3,PlotTitles,0))),$AB$7,TRUE,"")</f>
        <v/>
      </c>
      <c r="E211" s="104" t="str" cm="1">
        <f t="array" ref="E211">_xlfn.IFS(AND(A211&gt;NumberOfPlots,ISBLANK(INDEX(PlotData,MATCH($A211,PlotNumber,0),MATCH(B$3,PlotTitles,0)))),"",ISBLANK(INDEX(PlotData,MATCH($A211,PlotNumber,0),MATCH(E$3,PlotTitles,0))),$AB$8,TRUE,"")</f>
        <v/>
      </c>
      <c r="F211" s="104" t="str" cm="1">
        <f t="array" ref="F211">_xlfn.IFS(AND(A211&gt;NumberOfPlots,ISBLANK(INDEX(PlotData,MATCH($A211,PlotNumber,0),MATCH(B$3,PlotTitles,0)))),"",ISBLANK(INDEX(PlotData,MATCH($A211,PlotNumber,0),MATCH(F$3,PlotTitles,0))),$AB$9,TRUE,"")</f>
        <v/>
      </c>
      <c r="G211" s="104" t="str" cm="1">
        <f t="array" ref="G211">_xlfn.IFS(AND(A211&gt;NumberOfPlots,ISBLANK(INDEX(PlotData,MATCH($A211,PlotNumber,0),MATCH(B$3,PlotTitles,0)))),"",ISBLANK(INDEX(PlotData,MATCH($A211,PlotNumber,0),MATCH(G$3,PlotTitles,0))),$AB$10,TRUE,"")</f>
        <v/>
      </c>
      <c r="H211" s="104" t="str" cm="1">
        <f t="array" ref="H211">_xlfn.IFS(AND(A211&gt;NumberOfPlots,ISBLANK(INDEX(PlotData,MATCH($A211,PlotNumber,0),MATCH(B$3,PlotTitles,0)))),"",AND(ISBLANK(INDEX(PlotData,MATCH($A211,PlotNumber,0),MATCH(H$3,PlotTitles,0)))=FALSE,INDEX(PlotData,MATCH($A211,PlotNumber,0),MATCH(H$3,PlotTitles,0))&lt;500), $AB$11,TRUE,"")</f>
        <v/>
      </c>
      <c r="I211" s="104" t="str" cm="1">
        <f t="array" ref="I211">_xlfn.IFS(AND(A211&gt;NumberOfPlots,ISBLANK(INDEX(PlotData,MATCH($A211,PlotNumber,0),MATCH(B$3,PlotTitles,0)))),"",ISBLANK(INDEX(PlotData,MATCH($A211,PlotNumber,0),MATCH(I$3,PlotTitles,0))),$AB$12,TRUE,"")</f>
        <v/>
      </c>
      <c r="J211" s="104" t="str" cm="1">
        <f t="array" ref="J211">_xlfn.IFS(AND(A211&gt;NumberOfPlots,ISBLANK(INDEX(PlotData,MATCH($A211,PlotNumber,0),MATCH(B$3,PlotTitles,0)))),"",ISBLANK(INDEX(PlotData,MATCH($A211,PlotNumber,0),MATCH(J$3,PlotTitles,0))),$AB$13,TRUE,"")</f>
        <v/>
      </c>
      <c r="K211" s="182" t="str">
        <f t="shared" ca="1" si="9"/>
        <v/>
      </c>
      <c r="L211" s="104" t="str" cm="1">
        <f t="array" ref="L211">_xlfn.IFS(OR(ISBLANK(StartDateMonth),ISBLANK(StartDateYear)),"",AND(A211&gt;NumberOfPlots,ISBLANK(INDEX(PlotData,MATCH($A211,PlotNumber,0),MATCH(B$3,PlotTitles,0)))),"",ISBLANK(INDEX(PlotData,MATCH($A211,PlotNumber,0),MATCH(I$3,PlotTitles,0))),"",(DATEVALUE(INDEX(PlotData,MATCH($A211,PlotNumber,0),MATCH(I$3,PlotTitles,0))&amp;INDEX(PlotData,MATCH($A211,PlotNumber,0),MATCH(J$3,PlotTitles,0))))&lt;DATEVALUE(StartDateMonth&amp;StartDateYear),$AB$15,TRUE,"")</f>
        <v/>
      </c>
      <c r="M211" s="104" t="str" cm="1">
        <f t="array" ref="M211">_xlfn.IFS(OR(ISBLANK(StartDateMonth),ISBLANK(StartDateYear)),"",AND(A211&gt;NumberOfPlots,ISBLANK(INDEX(PlotData,MATCH($A211,PlotNumber,0),MATCH(B$3,PlotTitles,0)))),"",ISBLANK(INDEX(PlotData,MATCH($A211,PlotNumber,0),MATCH(I$3,PlotTitles,0))),"",CompletionMonth="","",(DATEVALUE(INDEX(PlotData,MATCH($A211,PlotNumber,0),MATCH(I$3,PlotTitles,0))&amp;INDEX(PlotData,MATCH($A211,PlotNumber,0),MATCH(J$3,PlotTitles,0))))&gt;(DATEVALUE(CompletionMonth&amp;CompletionYear)),$AB$16,TRUE,"")</f>
        <v/>
      </c>
      <c r="N211" s="104" t="str" cm="1">
        <f t="array" ref="N211">_xlfn.IFS(AND(A211&gt;NumberOfPlots,ISBLANK(INDEX(PlotData,MATCH($A211,PlotNumber,0),MATCH(B$3,PlotTitles,0)))),"",ISBLANK(INDEX(PlotData,MATCH($A211,PlotNumber,0),MATCH(N$3,PlotTitles,0))),$AB$17,TRUE,"")</f>
        <v/>
      </c>
      <c r="O211" s="104" t="str" cm="1">
        <f t="array" ref="O211">_xlfn.IFS(AND(A211&gt;NumberOfPlots,ISBLANK(INDEX(PlotData,MATCH($A211,PlotNumber,0),MATCH(B$3,PlotTitles,0)))),"",ISBLANK(INDEX(PlotData,MATCH($A211,PlotNumber,0),MATCH(O$3,PlotTitles,0))),$AB$18,TRUE,"")</f>
        <v/>
      </c>
      <c r="P211" s="182" t="str">
        <f t="shared" ca="1" si="10"/>
        <v/>
      </c>
      <c r="Q211" s="104" t="str" cm="1">
        <f t="array" ref="Q211">_xlfn.IFS(AND(A211&gt;NumberOfPlots,ISBLANK(INDEX(PlotData,MATCH($A211,PlotNumber,0),MATCH(B$3,PlotTitles,0)))),"",ISBLANK(INDEX(PlotData,MATCH($A211,PlotNumber,0),MATCH(N$3,PlotTitles,0))),"",(DATEVALUE(INDEX(PlotData,MATCH($A211,PlotNumber,0),MATCH(N$3,PlotTitles,0))&amp;INDEX(PlotData,MATCH($A211,PlotNumber,0),MATCH(O$3,PlotTitles,0))))&lt;(DATEVALUE(INDEX(PlotData,MATCH($A211,PlotNumber,0),MATCH(I$3,PlotTitles,0))&amp;INDEX(PlotData,MATCH($A211,PlotNumber,0),MATCH(J$3,PlotTitles,0)))),$AB$20,TRUE,"")</f>
        <v/>
      </c>
      <c r="R211" s="104" t="str" cm="1">
        <f t="array" ref="R211">_xlfn.IFS(OR(ISBLANK(StartDateMonth),ISBLANK(StartDateYear)),"",AND(A211&gt;NumberOfPlots,ISBLANK(INDEX(PlotData,MATCH($A211,PlotNumber,0),MATCH(B$3,PlotTitles,0)))),"",ISBLANK(INDEX(PlotData,MATCH($A211,PlotNumber,0),MATCH(N$3,PlotTitles,0))),"",CompletionMonth="","",(DATEVALUE(INDEX(PlotData,MATCH($A211,PlotNumber,0),MATCH(N$3,PlotTitles,0))&amp;INDEX(PlotData,MATCH($A211,PlotNumber,0),MATCH(O$3,PlotTitles,0))))&gt;(DATEVALUE(CompletionMonth&amp;CompletionYear)),$AB$21,TRUE,"")</f>
        <v/>
      </c>
      <c r="S211" s="104" t="str" cm="1">
        <f t="array" ref="S211">_xlfn.IFS(AND(A211&gt;NumberOfPlots,ISBLANK(INDEX(PlotData,MATCH($A211,PlotNumber,0),MATCH(B$3,PlotTitles,0)))),"",OR(AND(INDEX(PlotData,MATCH($A211,PlotNumber,0),MATCH("Tenure",PlotTitles,0))="Open market housing",INDEX(PlotData,MATCH($A211,PlotNumber,0),MATCH("Tenure detail",PlotTitles,0))="Private rented sector"),INDEX(PlotData,MATCH($A211,PlotNumber,0),MATCH("Tenure",PlotTitles,0))="Affordable rent"),"",ISNUMBER(INDEX(PlotData,MATCH($A211,PlotNumber,0),MATCH(S$3,PlotTitles,0)))=FALSE, $AB$22,TRUE,"")</f>
        <v/>
      </c>
      <c r="T211" s="104" t="str" cm="1">
        <f t="array" ref="T211">_xlfn.IFS(AND(A211&gt;NumberOfPlots,ISBLANK(INDEX(PlotData,MATCH($A211,PlotNumber,0),MATCH(B$3,PlotTitles,0)))),"",OR(AND(INDEX(PlotData,MATCH($A211,PlotNumber,0),MATCH("Tenure",PlotTitles,0))="Open market housing",INDEX(PlotData,MATCH($A211,PlotNumber,0),MATCH("Tenure detail",PlotTitles,0))="Private rented sector"),INDEX(PlotData,MATCH($A211,PlotNumber,0),MATCH("Tenure",PlotTitles,0))="Affordable rent"),"",INDEX(PlotData,MATCH($A211,PlotNumber,0),MATCH(S$3,PlotTitles,0))&lt;10000, $AB$23,TRUE,"")</f>
        <v/>
      </c>
      <c r="U211" s="104" t="str" cm="1">
        <f t="array" ref="U211">_xlfn.IFS(AND(A211&gt;NumberOfPlots,ISBLANK(INDEX(PlotData,MATCH($A211,PlotNumber,0),MATCH(B$3,PlotTitles,0)))),"",NOT(OR(AND(INDEX(PlotData,MATCH($A211,PlotNumber,0),MATCH("Tenure",PlotTitles,0))="Open market housing",INDEX(PlotData,MATCH($A211,PlotNumber,0),MATCH("Tenure detail",PlotTitles,0))="Private rented sector"),INDEX(PlotData,MATCH($A211,PlotNumber,0),MATCH("Tenure",PlotTitles,0))="Affordable rent")),"",NOT(INDEX(PlotData,MATCH($A211,PlotNumber,0),MATCH(S$3,PlotTitles,0))=0), $AB$24,TRUE,"")</f>
        <v/>
      </c>
      <c r="V211" s="114" t="str" cm="1">
        <f t="array" aca="1" ref="V211" ca="1">_xlfn.IFS(ISBLANK(NumberOfPlots),"Enter the number of homes on the 1_SetUp sheet",AND(A211&gt;NumberOfPlots,ISBLANK(INDEX(PlotData,MATCH($A211,PlotNumber,0),MATCH(B$3,PlotTitles,0)))),"No error",NOT(B211=""),B211,NOT(C211=""),C211,NOT(D211=""),D211,NOT(E211=""),E211,NOT(F211=""),F211,NOT(G211=""),G211,NOT(H211=""),H211,NOT(I211=""),I211,NOT(J211=""),J211,NOT(K211=""),K211,NOT(L211=""),L211,NOT(M211=""),M211,NOT(N211=""),N211,NOT(O211=""),O211,NOT(P211=""),P211,NOT(Q211=""),Q211,NOT(R211=""),R211,NOT(S211=""),S211,NOT(T211=""),T211,NOT(U211=""),U211,TRUE,"No error")</f>
        <v>Enter the number of homes on the 1_SetUp sheet</v>
      </c>
      <c r="W211" s="114" t="str">
        <f t="shared" ca="1" si="11"/>
        <v xml:space="preserve">The Borrower has not addressed the following error messages for Home ID 207: </v>
      </c>
    </row>
    <row r="212" spans="1:23">
      <c r="A212" s="123">
        <v>208</v>
      </c>
      <c r="B212" s="104" t="str" cm="1">
        <f t="array" ref="B212">_xlfn.IFS(AND(A212&gt;NumberOfPlots,ISBLANK(INDEX(PlotData,MATCH($A212,PlotNumber,0),MATCH(B$3,PlotTitles,0)))),"",ISNUMBER(INDEX(PlotData,MATCH($A212,PlotNumber,0),MATCH(B$3,PlotTitles,0)))=FALSE, $AB$5,TRUE,"")</f>
        <v/>
      </c>
      <c r="C212" s="104" t="str" cm="1">
        <f t="array" ref="C212">_xlfn.IFS(AND(A212&gt;NumberOfPlots,ISBLANK(INDEX(PlotData,MATCH($A212,PlotNumber,0),MATCH(B$3,PlotTitles,0)))),"",ISBLANK(INDEX(PlotData,MATCH($A212,PlotNumber,0),MATCH(C$3,PlotTitles,0))),$AB$6,TRUE,"")</f>
        <v/>
      </c>
      <c r="D212" s="104" t="str" cm="1">
        <f t="array" ref="D212">_xlfn.IFS(AND(A212&gt;NumberOfPlots,ISBLANK(INDEX(PlotData,MATCH($A212,PlotNumber,0),MATCH(B$3,PlotTitles,0)))),"",ISBLANK(INDEX(PlotData,MATCH($A212,PlotNumber,0),MATCH(D$3,PlotTitles,0))),$AB$7,TRUE,"")</f>
        <v/>
      </c>
      <c r="E212" s="104" t="str" cm="1">
        <f t="array" ref="E212">_xlfn.IFS(AND(A212&gt;NumberOfPlots,ISBLANK(INDEX(PlotData,MATCH($A212,PlotNumber,0),MATCH(B$3,PlotTitles,0)))),"",ISBLANK(INDEX(PlotData,MATCH($A212,PlotNumber,0),MATCH(E$3,PlotTitles,0))),$AB$8,TRUE,"")</f>
        <v/>
      </c>
      <c r="F212" s="104" t="str" cm="1">
        <f t="array" ref="F212">_xlfn.IFS(AND(A212&gt;NumberOfPlots,ISBLANK(INDEX(PlotData,MATCH($A212,PlotNumber,0),MATCH(B$3,PlotTitles,0)))),"",ISBLANK(INDEX(PlotData,MATCH($A212,PlotNumber,0),MATCH(F$3,PlotTitles,0))),$AB$9,TRUE,"")</f>
        <v/>
      </c>
      <c r="G212" s="104" t="str" cm="1">
        <f t="array" ref="G212">_xlfn.IFS(AND(A212&gt;NumberOfPlots,ISBLANK(INDEX(PlotData,MATCH($A212,PlotNumber,0),MATCH(B$3,PlotTitles,0)))),"",ISBLANK(INDEX(PlotData,MATCH($A212,PlotNumber,0),MATCH(G$3,PlotTitles,0))),$AB$10,TRUE,"")</f>
        <v/>
      </c>
      <c r="H212" s="104" t="str" cm="1">
        <f t="array" ref="H212">_xlfn.IFS(AND(A212&gt;NumberOfPlots,ISBLANK(INDEX(PlotData,MATCH($A212,PlotNumber,0),MATCH(B$3,PlotTitles,0)))),"",AND(ISBLANK(INDEX(PlotData,MATCH($A212,PlotNumber,0),MATCH(H$3,PlotTitles,0)))=FALSE,INDEX(PlotData,MATCH($A212,PlotNumber,0),MATCH(H$3,PlotTitles,0))&lt;500), $AB$11,TRUE,"")</f>
        <v/>
      </c>
      <c r="I212" s="104" t="str" cm="1">
        <f t="array" ref="I212">_xlfn.IFS(AND(A212&gt;NumberOfPlots,ISBLANK(INDEX(PlotData,MATCH($A212,PlotNumber,0),MATCH(B$3,PlotTitles,0)))),"",ISBLANK(INDEX(PlotData,MATCH($A212,PlotNumber,0),MATCH(I$3,PlotTitles,0))),$AB$12,TRUE,"")</f>
        <v/>
      </c>
      <c r="J212" s="104" t="str" cm="1">
        <f t="array" ref="J212">_xlfn.IFS(AND(A212&gt;NumberOfPlots,ISBLANK(INDEX(PlotData,MATCH($A212,PlotNumber,0),MATCH(B$3,PlotTitles,0)))),"",ISBLANK(INDEX(PlotData,MATCH($A212,PlotNumber,0),MATCH(J$3,PlotTitles,0))),$AB$13,TRUE,"")</f>
        <v/>
      </c>
      <c r="K212" s="182" t="str">
        <f t="shared" ca="1" si="9"/>
        <v/>
      </c>
      <c r="L212" s="104" t="str" cm="1">
        <f t="array" ref="L212">_xlfn.IFS(OR(ISBLANK(StartDateMonth),ISBLANK(StartDateYear)),"",AND(A212&gt;NumberOfPlots,ISBLANK(INDEX(PlotData,MATCH($A212,PlotNumber,0),MATCH(B$3,PlotTitles,0)))),"",ISBLANK(INDEX(PlotData,MATCH($A212,PlotNumber,0),MATCH(I$3,PlotTitles,0))),"",(DATEVALUE(INDEX(PlotData,MATCH($A212,PlotNumber,0),MATCH(I$3,PlotTitles,0))&amp;INDEX(PlotData,MATCH($A212,PlotNumber,0),MATCH(J$3,PlotTitles,0))))&lt;DATEVALUE(StartDateMonth&amp;StartDateYear),$AB$15,TRUE,"")</f>
        <v/>
      </c>
      <c r="M212" s="104" t="str" cm="1">
        <f t="array" ref="M212">_xlfn.IFS(OR(ISBLANK(StartDateMonth),ISBLANK(StartDateYear)),"",AND(A212&gt;NumberOfPlots,ISBLANK(INDEX(PlotData,MATCH($A212,PlotNumber,0),MATCH(B$3,PlotTitles,0)))),"",ISBLANK(INDEX(PlotData,MATCH($A212,PlotNumber,0),MATCH(I$3,PlotTitles,0))),"",CompletionMonth="","",(DATEVALUE(INDEX(PlotData,MATCH($A212,PlotNumber,0),MATCH(I$3,PlotTitles,0))&amp;INDEX(PlotData,MATCH($A212,PlotNumber,0),MATCH(J$3,PlotTitles,0))))&gt;(DATEVALUE(CompletionMonth&amp;CompletionYear)),$AB$16,TRUE,"")</f>
        <v/>
      </c>
      <c r="N212" s="104" t="str" cm="1">
        <f t="array" ref="N212">_xlfn.IFS(AND(A212&gt;NumberOfPlots,ISBLANK(INDEX(PlotData,MATCH($A212,PlotNumber,0),MATCH(B$3,PlotTitles,0)))),"",ISBLANK(INDEX(PlotData,MATCH($A212,PlotNumber,0),MATCH(N$3,PlotTitles,0))),$AB$17,TRUE,"")</f>
        <v/>
      </c>
      <c r="O212" s="104" t="str" cm="1">
        <f t="array" ref="O212">_xlfn.IFS(AND(A212&gt;NumberOfPlots,ISBLANK(INDEX(PlotData,MATCH($A212,PlotNumber,0),MATCH(B$3,PlotTitles,0)))),"",ISBLANK(INDEX(PlotData,MATCH($A212,PlotNumber,0),MATCH(O$3,PlotTitles,0))),$AB$18,TRUE,"")</f>
        <v/>
      </c>
      <c r="P212" s="182" t="str">
        <f t="shared" ca="1" si="10"/>
        <v/>
      </c>
      <c r="Q212" s="104" t="str" cm="1">
        <f t="array" ref="Q212">_xlfn.IFS(AND(A212&gt;NumberOfPlots,ISBLANK(INDEX(PlotData,MATCH($A212,PlotNumber,0),MATCH(B$3,PlotTitles,0)))),"",ISBLANK(INDEX(PlotData,MATCH($A212,PlotNumber,0),MATCH(N$3,PlotTitles,0))),"",(DATEVALUE(INDEX(PlotData,MATCH($A212,PlotNumber,0),MATCH(N$3,PlotTitles,0))&amp;INDEX(PlotData,MATCH($A212,PlotNumber,0),MATCH(O$3,PlotTitles,0))))&lt;(DATEVALUE(INDEX(PlotData,MATCH($A212,PlotNumber,0),MATCH(I$3,PlotTitles,0))&amp;INDEX(PlotData,MATCH($A212,PlotNumber,0),MATCH(J$3,PlotTitles,0)))),$AB$20,TRUE,"")</f>
        <v/>
      </c>
      <c r="R212" s="104" t="str" cm="1">
        <f t="array" ref="R212">_xlfn.IFS(OR(ISBLANK(StartDateMonth),ISBLANK(StartDateYear)),"",AND(A212&gt;NumberOfPlots,ISBLANK(INDEX(PlotData,MATCH($A212,PlotNumber,0),MATCH(B$3,PlotTitles,0)))),"",ISBLANK(INDEX(PlotData,MATCH($A212,PlotNumber,0),MATCH(N$3,PlotTitles,0))),"",CompletionMonth="","",(DATEVALUE(INDEX(PlotData,MATCH($A212,PlotNumber,0),MATCH(N$3,PlotTitles,0))&amp;INDEX(PlotData,MATCH($A212,PlotNumber,0),MATCH(O$3,PlotTitles,0))))&gt;(DATEVALUE(CompletionMonth&amp;CompletionYear)),$AB$21,TRUE,"")</f>
        <v/>
      </c>
      <c r="S212" s="104" t="str" cm="1">
        <f t="array" ref="S212">_xlfn.IFS(AND(A212&gt;NumberOfPlots,ISBLANK(INDEX(PlotData,MATCH($A212,PlotNumber,0),MATCH(B$3,PlotTitles,0)))),"",OR(AND(INDEX(PlotData,MATCH($A212,PlotNumber,0),MATCH("Tenure",PlotTitles,0))="Open market housing",INDEX(PlotData,MATCH($A212,PlotNumber,0),MATCH("Tenure detail",PlotTitles,0))="Private rented sector"),INDEX(PlotData,MATCH($A212,PlotNumber,0),MATCH("Tenure",PlotTitles,0))="Affordable rent"),"",ISNUMBER(INDEX(PlotData,MATCH($A212,PlotNumber,0),MATCH(S$3,PlotTitles,0)))=FALSE, $AB$22,TRUE,"")</f>
        <v/>
      </c>
      <c r="T212" s="104" t="str" cm="1">
        <f t="array" ref="T212">_xlfn.IFS(AND(A212&gt;NumberOfPlots,ISBLANK(INDEX(PlotData,MATCH($A212,PlotNumber,0),MATCH(B$3,PlotTitles,0)))),"",OR(AND(INDEX(PlotData,MATCH($A212,PlotNumber,0),MATCH("Tenure",PlotTitles,0))="Open market housing",INDEX(PlotData,MATCH($A212,PlotNumber,0),MATCH("Tenure detail",PlotTitles,0))="Private rented sector"),INDEX(PlotData,MATCH($A212,PlotNumber,0),MATCH("Tenure",PlotTitles,0))="Affordable rent"),"",INDEX(PlotData,MATCH($A212,PlotNumber,0),MATCH(S$3,PlotTitles,0))&lt;10000, $AB$23,TRUE,"")</f>
        <v/>
      </c>
      <c r="U212" s="104" t="str" cm="1">
        <f t="array" ref="U212">_xlfn.IFS(AND(A212&gt;NumberOfPlots,ISBLANK(INDEX(PlotData,MATCH($A212,PlotNumber,0),MATCH(B$3,PlotTitles,0)))),"",NOT(OR(AND(INDEX(PlotData,MATCH($A212,PlotNumber,0),MATCH("Tenure",PlotTitles,0))="Open market housing",INDEX(PlotData,MATCH($A212,PlotNumber,0),MATCH("Tenure detail",PlotTitles,0))="Private rented sector"),INDEX(PlotData,MATCH($A212,PlotNumber,0),MATCH("Tenure",PlotTitles,0))="Affordable rent")),"",NOT(INDEX(PlotData,MATCH($A212,PlotNumber,0),MATCH(S$3,PlotTitles,0))=0), $AB$24,TRUE,"")</f>
        <v/>
      </c>
      <c r="V212" s="114" t="str" cm="1">
        <f t="array" aca="1" ref="V212" ca="1">_xlfn.IFS(ISBLANK(NumberOfPlots),"Enter the number of homes on the 1_SetUp sheet",AND(A212&gt;NumberOfPlots,ISBLANK(INDEX(PlotData,MATCH($A212,PlotNumber,0),MATCH(B$3,PlotTitles,0)))),"No error",NOT(B212=""),B212,NOT(C212=""),C212,NOT(D212=""),D212,NOT(E212=""),E212,NOT(F212=""),F212,NOT(G212=""),G212,NOT(H212=""),H212,NOT(I212=""),I212,NOT(J212=""),J212,NOT(K212=""),K212,NOT(L212=""),L212,NOT(M212=""),M212,NOT(N212=""),N212,NOT(O212=""),O212,NOT(P212=""),P212,NOT(Q212=""),Q212,NOT(R212=""),R212,NOT(S212=""),S212,NOT(T212=""),T212,NOT(U212=""),U212,TRUE,"No error")</f>
        <v>Enter the number of homes on the 1_SetUp sheet</v>
      </c>
      <c r="W212" s="114" t="str">
        <f t="shared" ca="1" si="11"/>
        <v xml:space="preserve">The Borrower has not addressed the following error messages for Home ID 208: </v>
      </c>
    </row>
    <row r="213" spans="1:23">
      <c r="A213" s="123">
        <v>209</v>
      </c>
      <c r="B213" s="104" t="str" cm="1">
        <f t="array" ref="B213">_xlfn.IFS(AND(A213&gt;NumberOfPlots,ISBLANK(INDEX(PlotData,MATCH($A213,PlotNumber,0),MATCH(B$3,PlotTitles,0)))),"",ISNUMBER(INDEX(PlotData,MATCH($A213,PlotNumber,0),MATCH(B$3,PlotTitles,0)))=FALSE, $AB$5,TRUE,"")</f>
        <v/>
      </c>
      <c r="C213" s="104" t="str" cm="1">
        <f t="array" ref="C213">_xlfn.IFS(AND(A213&gt;NumberOfPlots,ISBLANK(INDEX(PlotData,MATCH($A213,PlotNumber,0),MATCH(B$3,PlotTitles,0)))),"",ISBLANK(INDEX(PlotData,MATCH($A213,PlotNumber,0),MATCH(C$3,PlotTitles,0))),$AB$6,TRUE,"")</f>
        <v/>
      </c>
      <c r="D213" s="104" t="str" cm="1">
        <f t="array" ref="D213">_xlfn.IFS(AND(A213&gt;NumberOfPlots,ISBLANK(INDEX(PlotData,MATCH($A213,PlotNumber,0),MATCH(B$3,PlotTitles,0)))),"",ISBLANK(INDEX(PlotData,MATCH($A213,PlotNumber,0),MATCH(D$3,PlotTitles,0))),$AB$7,TRUE,"")</f>
        <v/>
      </c>
      <c r="E213" s="104" t="str" cm="1">
        <f t="array" ref="E213">_xlfn.IFS(AND(A213&gt;NumberOfPlots,ISBLANK(INDEX(PlotData,MATCH($A213,PlotNumber,0),MATCH(B$3,PlotTitles,0)))),"",ISBLANK(INDEX(PlotData,MATCH($A213,PlotNumber,0),MATCH(E$3,PlotTitles,0))),$AB$8,TRUE,"")</f>
        <v/>
      </c>
      <c r="F213" s="104" t="str" cm="1">
        <f t="array" ref="F213">_xlfn.IFS(AND(A213&gt;NumberOfPlots,ISBLANK(INDEX(PlotData,MATCH($A213,PlotNumber,0),MATCH(B$3,PlotTitles,0)))),"",ISBLANK(INDEX(PlotData,MATCH($A213,PlotNumber,0),MATCH(F$3,PlotTitles,0))),$AB$9,TRUE,"")</f>
        <v/>
      </c>
      <c r="G213" s="104" t="str" cm="1">
        <f t="array" ref="G213">_xlfn.IFS(AND(A213&gt;NumberOfPlots,ISBLANK(INDEX(PlotData,MATCH($A213,PlotNumber,0),MATCH(B$3,PlotTitles,0)))),"",ISBLANK(INDEX(PlotData,MATCH($A213,PlotNumber,0),MATCH(G$3,PlotTitles,0))),$AB$10,TRUE,"")</f>
        <v/>
      </c>
      <c r="H213" s="104" t="str" cm="1">
        <f t="array" ref="H213">_xlfn.IFS(AND(A213&gt;NumberOfPlots,ISBLANK(INDEX(PlotData,MATCH($A213,PlotNumber,0),MATCH(B$3,PlotTitles,0)))),"",AND(ISBLANK(INDEX(PlotData,MATCH($A213,PlotNumber,0),MATCH(H$3,PlotTitles,0)))=FALSE,INDEX(PlotData,MATCH($A213,PlotNumber,0),MATCH(H$3,PlotTitles,0))&lt;500), $AB$11,TRUE,"")</f>
        <v/>
      </c>
      <c r="I213" s="104" t="str" cm="1">
        <f t="array" ref="I213">_xlfn.IFS(AND(A213&gt;NumberOfPlots,ISBLANK(INDEX(PlotData,MATCH($A213,PlotNumber,0),MATCH(B$3,PlotTitles,0)))),"",ISBLANK(INDEX(PlotData,MATCH($A213,PlotNumber,0),MATCH(I$3,PlotTitles,0))),$AB$12,TRUE,"")</f>
        <v/>
      </c>
      <c r="J213" s="104" t="str" cm="1">
        <f t="array" ref="J213">_xlfn.IFS(AND(A213&gt;NumberOfPlots,ISBLANK(INDEX(PlotData,MATCH($A213,PlotNumber,0),MATCH(B$3,PlotTitles,0)))),"",ISBLANK(INDEX(PlotData,MATCH($A213,PlotNumber,0),MATCH(J$3,PlotTitles,0))),$AB$13,TRUE,"")</f>
        <v/>
      </c>
      <c r="K213" s="182" t="str">
        <f t="shared" ca="1" si="9"/>
        <v/>
      </c>
      <c r="L213" s="104" t="str" cm="1">
        <f t="array" ref="L213">_xlfn.IFS(OR(ISBLANK(StartDateMonth),ISBLANK(StartDateYear)),"",AND(A213&gt;NumberOfPlots,ISBLANK(INDEX(PlotData,MATCH($A213,PlotNumber,0),MATCH(B$3,PlotTitles,0)))),"",ISBLANK(INDEX(PlotData,MATCH($A213,PlotNumber,0),MATCH(I$3,PlotTitles,0))),"",(DATEVALUE(INDEX(PlotData,MATCH($A213,PlotNumber,0),MATCH(I$3,PlotTitles,0))&amp;INDEX(PlotData,MATCH($A213,PlotNumber,0),MATCH(J$3,PlotTitles,0))))&lt;DATEVALUE(StartDateMonth&amp;StartDateYear),$AB$15,TRUE,"")</f>
        <v/>
      </c>
      <c r="M213" s="104" t="str" cm="1">
        <f t="array" ref="M213">_xlfn.IFS(OR(ISBLANK(StartDateMonth),ISBLANK(StartDateYear)),"",AND(A213&gt;NumberOfPlots,ISBLANK(INDEX(PlotData,MATCH($A213,PlotNumber,0),MATCH(B$3,PlotTitles,0)))),"",ISBLANK(INDEX(PlotData,MATCH($A213,PlotNumber,0),MATCH(I$3,PlotTitles,0))),"",CompletionMonth="","",(DATEVALUE(INDEX(PlotData,MATCH($A213,PlotNumber,0),MATCH(I$3,PlotTitles,0))&amp;INDEX(PlotData,MATCH($A213,PlotNumber,0),MATCH(J$3,PlotTitles,0))))&gt;(DATEVALUE(CompletionMonth&amp;CompletionYear)),$AB$16,TRUE,"")</f>
        <v/>
      </c>
      <c r="N213" s="104" t="str" cm="1">
        <f t="array" ref="N213">_xlfn.IFS(AND(A213&gt;NumberOfPlots,ISBLANK(INDEX(PlotData,MATCH($A213,PlotNumber,0),MATCH(B$3,PlotTitles,0)))),"",ISBLANK(INDEX(PlotData,MATCH($A213,PlotNumber,0),MATCH(N$3,PlotTitles,0))),$AB$17,TRUE,"")</f>
        <v/>
      </c>
      <c r="O213" s="104" t="str" cm="1">
        <f t="array" ref="O213">_xlfn.IFS(AND(A213&gt;NumberOfPlots,ISBLANK(INDEX(PlotData,MATCH($A213,PlotNumber,0),MATCH(B$3,PlotTitles,0)))),"",ISBLANK(INDEX(PlotData,MATCH($A213,PlotNumber,0),MATCH(O$3,PlotTitles,0))),$AB$18,TRUE,"")</f>
        <v/>
      </c>
      <c r="P213" s="182" t="str">
        <f t="shared" ca="1" si="10"/>
        <v/>
      </c>
      <c r="Q213" s="104" t="str" cm="1">
        <f t="array" ref="Q213">_xlfn.IFS(AND(A213&gt;NumberOfPlots,ISBLANK(INDEX(PlotData,MATCH($A213,PlotNumber,0),MATCH(B$3,PlotTitles,0)))),"",ISBLANK(INDEX(PlotData,MATCH($A213,PlotNumber,0),MATCH(N$3,PlotTitles,0))),"",(DATEVALUE(INDEX(PlotData,MATCH($A213,PlotNumber,0),MATCH(N$3,PlotTitles,0))&amp;INDEX(PlotData,MATCH($A213,PlotNumber,0),MATCH(O$3,PlotTitles,0))))&lt;(DATEVALUE(INDEX(PlotData,MATCH($A213,PlotNumber,0),MATCH(I$3,PlotTitles,0))&amp;INDEX(PlotData,MATCH($A213,PlotNumber,0),MATCH(J$3,PlotTitles,0)))),$AB$20,TRUE,"")</f>
        <v/>
      </c>
      <c r="R213" s="104" t="str" cm="1">
        <f t="array" ref="R213">_xlfn.IFS(OR(ISBLANK(StartDateMonth),ISBLANK(StartDateYear)),"",AND(A213&gt;NumberOfPlots,ISBLANK(INDEX(PlotData,MATCH($A213,PlotNumber,0),MATCH(B$3,PlotTitles,0)))),"",ISBLANK(INDEX(PlotData,MATCH($A213,PlotNumber,0),MATCH(N$3,PlotTitles,0))),"",CompletionMonth="","",(DATEVALUE(INDEX(PlotData,MATCH($A213,PlotNumber,0),MATCH(N$3,PlotTitles,0))&amp;INDEX(PlotData,MATCH($A213,PlotNumber,0),MATCH(O$3,PlotTitles,0))))&gt;(DATEVALUE(CompletionMonth&amp;CompletionYear)),$AB$21,TRUE,"")</f>
        <v/>
      </c>
      <c r="S213" s="104" t="str" cm="1">
        <f t="array" ref="S213">_xlfn.IFS(AND(A213&gt;NumberOfPlots,ISBLANK(INDEX(PlotData,MATCH($A213,PlotNumber,0),MATCH(B$3,PlotTitles,0)))),"",OR(AND(INDEX(PlotData,MATCH($A213,PlotNumber,0),MATCH("Tenure",PlotTitles,0))="Open market housing",INDEX(PlotData,MATCH($A213,PlotNumber,0),MATCH("Tenure detail",PlotTitles,0))="Private rented sector"),INDEX(PlotData,MATCH($A213,PlotNumber,0),MATCH("Tenure",PlotTitles,0))="Affordable rent"),"",ISNUMBER(INDEX(PlotData,MATCH($A213,PlotNumber,0),MATCH(S$3,PlotTitles,0)))=FALSE, $AB$22,TRUE,"")</f>
        <v/>
      </c>
      <c r="T213" s="104" t="str" cm="1">
        <f t="array" ref="T213">_xlfn.IFS(AND(A213&gt;NumberOfPlots,ISBLANK(INDEX(PlotData,MATCH($A213,PlotNumber,0),MATCH(B$3,PlotTitles,0)))),"",OR(AND(INDEX(PlotData,MATCH($A213,PlotNumber,0),MATCH("Tenure",PlotTitles,0))="Open market housing",INDEX(PlotData,MATCH($A213,PlotNumber,0),MATCH("Tenure detail",PlotTitles,0))="Private rented sector"),INDEX(PlotData,MATCH($A213,PlotNumber,0),MATCH("Tenure",PlotTitles,0))="Affordable rent"),"",INDEX(PlotData,MATCH($A213,PlotNumber,0),MATCH(S$3,PlotTitles,0))&lt;10000, $AB$23,TRUE,"")</f>
        <v/>
      </c>
      <c r="U213" s="104" t="str" cm="1">
        <f t="array" ref="U213">_xlfn.IFS(AND(A213&gt;NumberOfPlots,ISBLANK(INDEX(PlotData,MATCH($A213,PlotNumber,0),MATCH(B$3,PlotTitles,0)))),"",NOT(OR(AND(INDEX(PlotData,MATCH($A213,PlotNumber,0),MATCH("Tenure",PlotTitles,0))="Open market housing",INDEX(PlotData,MATCH($A213,PlotNumber,0),MATCH("Tenure detail",PlotTitles,0))="Private rented sector"),INDEX(PlotData,MATCH($A213,PlotNumber,0),MATCH("Tenure",PlotTitles,0))="Affordable rent")),"",NOT(INDEX(PlotData,MATCH($A213,PlotNumber,0),MATCH(S$3,PlotTitles,0))=0), $AB$24,TRUE,"")</f>
        <v/>
      </c>
      <c r="V213" s="114" t="str" cm="1">
        <f t="array" aca="1" ref="V213" ca="1">_xlfn.IFS(ISBLANK(NumberOfPlots),"Enter the number of homes on the 1_SetUp sheet",AND(A213&gt;NumberOfPlots,ISBLANK(INDEX(PlotData,MATCH($A213,PlotNumber,0),MATCH(B$3,PlotTitles,0)))),"No error",NOT(B213=""),B213,NOT(C213=""),C213,NOT(D213=""),D213,NOT(E213=""),E213,NOT(F213=""),F213,NOT(G213=""),G213,NOT(H213=""),H213,NOT(I213=""),I213,NOT(J213=""),J213,NOT(K213=""),K213,NOT(L213=""),L213,NOT(M213=""),M213,NOT(N213=""),N213,NOT(O213=""),O213,NOT(P213=""),P213,NOT(Q213=""),Q213,NOT(R213=""),R213,NOT(S213=""),S213,NOT(T213=""),T213,NOT(U213=""),U213,TRUE,"No error")</f>
        <v>Enter the number of homes on the 1_SetUp sheet</v>
      </c>
      <c r="W213" s="114" t="str">
        <f t="shared" ca="1" si="11"/>
        <v xml:space="preserve">The Borrower has not addressed the following error messages for Home ID 209: </v>
      </c>
    </row>
    <row r="214" spans="1:23">
      <c r="A214" s="123">
        <v>210</v>
      </c>
      <c r="B214" s="104" t="str" cm="1">
        <f t="array" ref="B214">_xlfn.IFS(AND(A214&gt;NumberOfPlots,ISBLANK(INDEX(PlotData,MATCH($A214,PlotNumber,0),MATCH(B$3,PlotTitles,0)))),"",ISNUMBER(INDEX(PlotData,MATCH($A214,PlotNumber,0),MATCH(B$3,PlotTitles,0)))=FALSE, $AB$5,TRUE,"")</f>
        <v/>
      </c>
      <c r="C214" s="104" t="str" cm="1">
        <f t="array" ref="C214">_xlfn.IFS(AND(A214&gt;NumberOfPlots,ISBLANK(INDEX(PlotData,MATCH($A214,PlotNumber,0),MATCH(B$3,PlotTitles,0)))),"",ISBLANK(INDEX(PlotData,MATCH($A214,PlotNumber,0),MATCH(C$3,PlotTitles,0))),$AB$6,TRUE,"")</f>
        <v/>
      </c>
      <c r="D214" s="104" t="str" cm="1">
        <f t="array" ref="D214">_xlfn.IFS(AND(A214&gt;NumberOfPlots,ISBLANK(INDEX(PlotData,MATCH($A214,PlotNumber,0),MATCH(B$3,PlotTitles,0)))),"",ISBLANK(INDEX(PlotData,MATCH($A214,PlotNumber,0),MATCH(D$3,PlotTitles,0))),$AB$7,TRUE,"")</f>
        <v/>
      </c>
      <c r="E214" s="104" t="str" cm="1">
        <f t="array" ref="E214">_xlfn.IFS(AND(A214&gt;NumberOfPlots,ISBLANK(INDEX(PlotData,MATCH($A214,PlotNumber,0),MATCH(B$3,PlotTitles,0)))),"",ISBLANK(INDEX(PlotData,MATCH($A214,PlotNumber,0),MATCH(E$3,PlotTitles,0))),$AB$8,TRUE,"")</f>
        <v/>
      </c>
      <c r="F214" s="104" t="str" cm="1">
        <f t="array" ref="F214">_xlfn.IFS(AND(A214&gt;NumberOfPlots,ISBLANK(INDEX(PlotData,MATCH($A214,PlotNumber,0),MATCH(B$3,PlotTitles,0)))),"",ISBLANK(INDEX(PlotData,MATCH($A214,PlotNumber,0),MATCH(F$3,PlotTitles,0))),$AB$9,TRUE,"")</f>
        <v/>
      </c>
      <c r="G214" s="104" t="str" cm="1">
        <f t="array" ref="G214">_xlfn.IFS(AND(A214&gt;NumberOfPlots,ISBLANK(INDEX(PlotData,MATCH($A214,PlotNumber,0),MATCH(B$3,PlotTitles,0)))),"",ISBLANK(INDEX(PlotData,MATCH($A214,PlotNumber,0),MATCH(G$3,PlotTitles,0))),$AB$10,TRUE,"")</f>
        <v/>
      </c>
      <c r="H214" s="104" t="str" cm="1">
        <f t="array" ref="H214">_xlfn.IFS(AND(A214&gt;NumberOfPlots,ISBLANK(INDEX(PlotData,MATCH($A214,PlotNumber,0),MATCH(B$3,PlotTitles,0)))),"",AND(ISBLANK(INDEX(PlotData,MATCH($A214,PlotNumber,0),MATCH(H$3,PlotTitles,0)))=FALSE,INDEX(PlotData,MATCH($A214,PlotNumber,0),MATCH(H$3,PlotTitles,0))&lt;500), $AB$11,TRUE,"")</f>
        <v/>
      </c>
      <c r="I214" s="104" t="str" cm="1">
        <f t="array" ref="I214">_xlfn.IFS(AND(A214&gt;NumberOfPlots,ISBLANK(INDEX(PlotData,MATCH($A214,PlotNumber,0),MATCH(B$3,PlotTitles,0)))),"",ISBLANK(INDEX(PlotData,MATCH($A214,PlotNumber,0),MATCH(I$3,PlotTitles,0))),$AB$12,TRUE,"")</f>
        <v/>
      </c>
      <c r="J214" s="104" t="str" cm="1">
        <f t="array" ref="J214">_xlfn.IFS(AND(A214&gt;NumberOfPlots,ISBLANK(INDEX(PlotData,MATCH($A214,PlotNumber,0),MATCH(B$3,PlotTitles,0)))),"",ISBLANK(INDEX(PlotData,MATCH($A214,PlotNumber,0),MATCH(J$3,PlotTitles,0))),$AB$13,TRUE,"")</f>
        <v/>
      </c>
      <c r="K214" s="182" t="str">
        <f t="shared" ca="1" si="9"/>
        <v/>
      </c>
      <c r="L214" s="104" t="str" cm="1">
        <f t="array" ref="L214">_xlfn.IFS(OR(ISBLANK(StartDateMonth),ISBLANK(StartDateYear)),"",AND(A214&gt;NumberOfPlots,ISBLANK(INDEX(PlotData,MATCH($A214,PlotNumber,0),MATCH(B$3,PlotTitles,0)))),"",ISBLANK(INDEX(PlotData,MATCH($A214,PlotNumber,0),MATCH(I$3,PlotTitles,0))),"",(DATEVALUE(INDEX(PlotData,MATCH($A214,PlotNumber,0),MATCH(I$3,PlotTitles,0))&amp;INDEX(PlotData,MATCH($A214,PlotNumber,0),MATCH(J$3,PlotTitles,0))))&lt;DATEVALUE(StartDateMonth&amp;StartDateYear),$AB$15,TRUE,"")</f>
        <v/>
      </c>
      <c r="M214" s="104" t="str" cm="1">
        <f t="array" ref="M214">_xlfn.IFS(OR(ISBLANK(StartDateMonth),ISBLANK(StartDateYear)),"",AND(A214&gt;NumberOfPlots,ISBLANK(INDEX(PlotData,MATCH($A214,PlotNumber,0),MATCH(B$3,PlotTitles,0)))),"",ISBLANK(INDEX(PlotData,MATCH($A214,PlotNumber,0),MATCH(I$3,PlotTitles,0))),"",CompletionMonth="","",(DATEVALUE(INDEX(PlotData,MATCH($A214,PlotNumber,0),MATCH(I$3,PlotTitles,0))&amp;INDEX(PlotData,MATCH($A214,PlotNumber,0),MATCH(J$3,PlotTitles,0))))&gt;(DATEVALUE(CompletionMonth&amp;CompletionYear)),$AB$16,TRUE,"")</f>
        <v/>
      </c>
      <c r="N214" s="104" t="str" cm="1">
        <f t="array" ref="N214">_xlfn.IFS(AND(A214&gt;NumberOfPlots,ISBLANK(INDEX(PlotData,MATCH($A214,PlotNumber,0),MATCH(B$3,PlotTitles,0)))),"",ISBLANK(INDEX(PlotData,MATCH($A214,PlotNumber,0),MATCH(N$3,PlotTitles,0))),$AB$17,TRUE,"")</f>
        <v/>
      </c>
      <c r="O214" s="104" t="str" cm="1">
        <f t="array" ref="O214">_xlfn.IFS(AND(A214&gt;NumberOfPlots,ISBLANK(INDEX(PlotData,MATCH($A214,PlotNumber,0),MATCH(B$3,PlotTitles,0)))),"",ISBLANK(INDEX(PlotData,MATCH($A214,PlotNumber,0),MATCH(O$3,PlotTitles,0))),$AB$18,TRUE,"")</f>
        <v/>
      </c>
      <c r="P214" s="182" t="str">
        <f t="shared" ca="1" si="10"/>
        <v/>
      </c>
      <c r="Q214" s="104" t="str" cm="1">
        <f t="array" ref="Q214">_xlfn.IFS(AND(A214&gt;NumberOfPlots,ISBLANK(INDEX(PlotData,MATCH($A214,PlotNumber,0),MATCH(B$3,PlotTitles,0)))),"",ISBLANK(INDEX(PlotData,MATCH($A214,PlotNumber,0),MATCH(N$3,PlotTitles,0))),"",(DATEVALUE(INDEX(PlotData,MATCH($A214,PlotNumber,0),MATCH(N$3,PlotTitles,0))&amp;INDEX(PlotData,MATCH($A214,PlotNumber,0),MATCH(O$3,PlotTitles,0))))&lt;(DATEVALUE(INDEX(PlotData,MATCH($A214,PlotNumber,0),MATCH(I$3,PlotTitles,0))&amp;INDEX(PlotData,MATCH($A214,PlotNumber,0),MATCH(J$3,PlotTitles,0)))),$AB$20,TRUE,"")</f>
        <v/>
      </c>
      <c r="R214" s="104" t="str" cm="1">
        <f t="array" ref="R214">_xlfn.IFS(OR(ISBLANK(StartDateMonth),ISBLANK(StartDateYear)),"",AND(A214&gt;NumberOfPlots,ISBLANK(INDEX(PlotData,MATCH($A214,PlotNumber,0),MATCH(B$3,PlotTitles,0)))),"",ISBLANK(INDEX(PlotData,MATCH($A214,PlotNumber,0),MATCH(N$3,PlotTitles,0))),"",CompletionMonth="","",(DATEVALUE(INDEX(PlotData,MATCH($A214,PlotNumber,0),MATCH(N$3,PlotTitles,0))&amp;INDEX(PlotData,MATCH($A214,PlotNumber,0),MATCH(O$3,PlotTitles,0))))&gt;(DATEVALUE(CompletionMonth&amp;CompletionYear)),$AB$21,TRUE,"")</f>
        <v/>
      </c>
      <c r="S214" s="104" t="str" cm="1">
        <f t="array" ref="S214">_xlfn.IFS(AND(A214&gt;NumberOfPlots,ISBLANK(INDEX(PlotData,MATCH($A214,PlotNumber,0),MATCH(B$3,PlotTitles,0)))),"",OR(AND(INDEX(PlotData,MATCH($A214,PlotNumber,0),MATCH("Tenure",PlotTitles,0))="Open market housing",INDEX(PlotData,MATCH($A214,PlotNumber,0),MATCH("Tenure detail",PlotTitles,0))="Private rented sector"),INDEX(PlotData,MATCH($A214,PlotNumber,0),MATCH("Tenure",PlotTitles,0))="Affordable rent"),"",ISNUMBER(INDEX(PlotData,MATCH($A214,PlotNumber,0),MATCH(S$3,PlotTitles,0)))=FALSE, $AB$22,TRUE,"")</f>
        <v/>
      </c>
      <c r="T214" s="104" t="str" cm="1">
        <f t="array" ref="T214">_xlfn.IFS(AND(A214&gt;NumberOfPlots,ISBLANK(INDEX(PlotData,MATCH($A214,PlotNumber,0),MATCH(B$3,PlotTitles,0)))),"",OR(AND(INDEX(PlotData,MATCH($A214,PlotNumber,0),MATCH("Tenure",PlotTitles,0))="Open market housing",INDEX(PlotData,MATCH($A214,PlotNumber,0),MATCH("Tenure detail",PlotTitles,0))="Private rented sector"),INDEX(PlotData,MATCH($A214,PlotNumber,0),MATCH("Tenure",PlotTitles,0))="Affordable rent"),"",INDEX(PlotData,MATCH($A214,PlotNumber,0),MATCH(S$3,PlotTitles,0))&lt;10000, $AB$23,TRUE,"")</f>
        <v/>
      </c>
      <c r="U214" s="104" t="str" cm="1">
        <f t="array" ref="U214">_xlfn.IFS(AND(A214&gt;NumberOfPlots,ISBLANK(INDEX(PlotData,MATCH($A214,PlotNumber,0),MATCH(B$3,PlotTitles,0)))),"",NOT(OR(AND(INDEX(PlotData,MATCH($A214,PlotNumber,0),MATCH("Tenure",PlotTitles,0))="Open market housing",INDEX(PlotData,MATCH($A214,PlotNumber,0),MATCH("Tenure detail",PlotTitles,0))="Private rented sector"),INDEX(PlotData,MATCH($A214,PlotNumber,0),MATCH("Tenure",PlotTitles,0))="Affordable rent")),"",NOT(INDEX(PlotData,MATCH($A214,PlotNumber,0),MATCH(S$3,PlotTitles,0))=0), $AB$24,TRUE,"")</f>
        <v/>
      </c>
      <c r="V214" s="114" t="str" cm="1">
        <f t="array" aca="1" ref="V214" ca="1">_xlfn.IFS(ISBLANK(NumberOfPlots),"Enter the number of homes on the 1_SetUp sheet",AND(A214&gt;NumberOfPlots,ISBLANK(INDEX(PlotData,MATCH($A214,PlotNumber,0),MATCH(B$3,PlotTitles,0)))),"No error",NOT(B214=""),B214,NOT(C214=""),C214,NOT(D214=""),D214,NOT(E214=""),E214,NOT(F214=""),F214,NOT(G214=""),G214,NOT(H214=""),H214,NOT(I214=""),I214,NOT(J214=""),J214,NOT(K214=""),K214,NOT(L214=""),L214,NOT(M214=""),M214,NOT(N214=""),N214,NOT(O214=""),O214,NOT(P214=""),P214,NOT(Q214=""),Q214,NOT(R214=""),R214,NOT(S214=""),S214,NOT(T214=""),T214,NOT(U214=""),U214,TRUE,"No error")</f>
        <v>Enter the number of homes on the 1_SetUp sheet</v>
      </c>
      <c r="W214" s="114" t="str">
        <f t="shared" ca="1" si="11"/>
        <v xml:space="preserve">The Borrower has not addressed the following error messages for Home ID 210: </v>
      </c>
    </row>
    <row r="215" spans="1:23">
      <c r="A215" s="123">
        <v>211</v>
      </c>
      <c r="B215" s="104" t="str" cm="1">
        <f t="array" ref="B215">_xlfn.IFS(AND(A215&gt;NumberOfPlots,ISBLANK(INDEX(PlotData,MATCH($A215,PlotNumber,0),MATCH(B$3,PlotTitles,0)))),"",ISNUMBER(INDEX(PlotData,MATCH($A215,PlotNumber,0),MATCH(B$3,PlotTitles,0)))=FALSE, $AB$5,TRUE,"")</f>
        <v/>
      </c>
      <c r="C215" s="104" t="str" cm="1">
        <f t="array" ref="C215">_xlfn.IFS(AND(A215&gt;NumberOfPlots,ISBLANK(INDEX(PlotData,MATCH($A215,PlotNumber,0),MATCH(B$3,PlotTitles,0)))),"",ISBLANK(INDEX(PlotData,MATCH($A215,PlotNumber,0),MATCH(C$3,PlotTitles,0))),$AB$6,TRUE,"")</f>
        <v/>
      </c>
      <c r="D215" s="104" t="str" cm="1">
        <f t="array" ref="D215">_xlfn.IFS(AND(A215&gt;NumberOfPlots,ISBLANK(INDEX(PlotData,MATCH($A215,PlotNumber,0),MATCH(B$3,PlotTitles,0)))),"",ISBLANK(INDEX(PlotData,MATCH($A215,PlotNumber,0),MATCH(D$3,PlotTitles,0))),$AB$7,TRUE,"")</f>
        <v/>
      </c>
      <c r="E215" s="104" t="str" cm="1">
        <f t="array" ref="E215">_xlfn.IFS(AND(A215&gt;NumberOfPlots,ISBLANK(INDEX(PlotData,MATCH($A215,PlotNumber,0),MATCH(B$3,PlotTitles,0)))),"",ISBLANK(INDEX(PlotData,MATCH($A215,PlotNumber,0),MATCH(E$3,PlotTitles,0))),$AB$8,TRUE,"")</f>
        <v/>
      </c>
      <c r="F215" s="104" t="str" cm="1">
        <f t="array" ref="F215">_xlfn.IFS(AND(A215&gt;NumberOfPlots,ISBLANK(INDEX(PlotData,MATCH($A215,PlotNumber,0),MATCH(B$3,PlotTitles,0)))),"",ISBLANK(INDEX(PlotData,MATCH($A215,PlotNumber,0),MATCH(F$3,PlotTitles,0))),$AB$9,TRUE,"")</f>
        <v/>
      </c>
      <c r="G215" s="104" t="str" cm="1">
        <f t="array" ref="G215">_xlfn.IFS(AND(A215&gt;NumberOfPlots,ISBLANK(INDEX(PlotData,MATCH($A215,PlotNumber,0),MATCH(B$3,PlotTitles,0)))),"",ISBLANK(INDEX(PlotData,MATCH($A215,PlotNumber,0),MATCH(G$3,PlotTitles,0))),$AB$10,TRUE,"")</f>
        <v/>
      </c>
      <c r="H215" s="104" t="str" cm="1">
        <f t="array" ref="H215">_xlfn.IFS(AND(A215&gt;NumberOfPlots,ISBLANK(INDEX(PlotData,MATCH($A215,PlotNumber,0),MATCH(B$3,PlotTitles,0)))),"",AND(ISBLANK(INDEX(PlotData,MATCH($A215,PlotNumber,0),MATCH(H$3,PlotTitles,0)))=FALSE,INDEX(PlotData,MATCH($A215,PlotNumber,0),MATCH(H$3,PlotTitles,0))&lt;500), $AB$11,TRUE,"")</f>
        <v/>
      </c>
      <c r="I215" s="104" t="str" cm="1">
        <f t="array" ref="I215">_xlfn.IFS(AND(A215&gt;NumberOfPlots,ISBLANK(INDEX(PlotData,MATCH($A215,PlotNumber,0),MATCH(B$3,PlotTitles,0)))),"",ISBLANK(INDEX(PlotData,MATCH($A215,PlotNumber,0),MATCH(I$3,PlotTitles,0))),$AB$12,TRUE,"")</f>
        <v/>
      </c>
      <c r="J215" s="104" t="str" cm="1">
        <f t="array" ref="J215">_xlfn.IFS(AND(A215&gt;NumberOfPlots,ISBLANK(INDEX(PlotData,MATCH($A215,PlotNumber,0),MATCH(B$3,PlotTitles,0)))),"",ISBLANK(INDEX(PlotData,MATCH($A215,PlotNumber,0),MATCH(J$3,PlotTitles,0))),$AB$13,TRUE,"")</f>
        <v/>
      </c>
      <c r="K215" s="182" t="str">
        <f t="shared" ca="1" si="9"/>
        <v/>
      </c>
      <c r="L215" s="104" t="str" cm="1">
        <f t="array" ref="L215">_xlfn.IFS(OR(ISBLANK(StartDateMonth),ISBLANK(StartDateYear)),"",AND(A215&gt;NumberOfPlots,ISBLANK(INDEX(PlotData,MATCH($A215,PlotNumber,0),MATCH(B$3,PlotTitles,0)))),"",ISBLANK(INDEX(PlotData,MATCH($A215,PlotNumber,0),MATCH(I$3,PlotTitles,0))),"",(DATEVALUE(INDEX(PlotData,MATCH($A215,PlotNumber,0),MATCH(I$3,PlotTitles,0))&amp;INDEX(PlotData,MATCH($A215,PlotNumber,0),MATCH(J$3,PlotTitles,0))))&lt;DATEVALUE(StartDateMonth&amp;StartDateYear),$AB$15,TRUE,"")</f>
        <v/>
      </c>
      <c r="M215" s="104" t="str" cm="1">
        <f t="array" ref="M215">_xlfn.IFS(OR(ISBLANK(StartDateMonth),ISBLANK(StartDateYear)),"",AND(A215&gt;NumberOfPlots,ISBLANK(INDEX(PlotData,MATCH($A215,PlotNumber,0),MATCH(B$3,PlotTitles,0)))),"",ISBLANK(INDEX(PlotData,MATCH($A215,PlotNumber,0),MATCH(I$3,PlotTitles,0))),"",CompletionMonth="","",(DATEVALUE(INDEX(PlotData,MATCH($A215,PlotNumber,0),MATCH(I$3,PlotTitles,0))&amp;INDEX(PlotData,MATCH($A215,PlotNumber,0),MATCH(J$3,PlotTitles,0))))&gt;(DATEVALUE(CompletionMonth&amp;CompletionYear)),$AB$16,TRUE,"")</f>
        <v/>
      </c>
      <c r="N215" s="104" t="str" cm="1">
        <f t="array" ref="N215">_xlfn.IFS(AND(A215&gt;NumberOfPlots,ISBLANK(INDEX(PlotData,MATCH($A215,PlotNumber,0),MATCH(B$3,PlotTitles,0)))),"",ISBLANK(INDEX(PlotData,MATCH($A215,PlotNumber,0),MATCH(N$3,PlotTitles,0))),$AB$17,TRUE,"")</f>
        <v/>
      </c>
      <c r="O215" s="104" t="str" cm="1">
        <f t="array" ref="O215">_xlfn.IFS(AND(A215&gt;NumberOfPlots,ISBLANK(INDEX(PlotData,MATCH($A215,PlotNumber,0),MATCH(B$3,PlotTitles,0)))),"",ISBLANK(INDEX(PlotData,MATCH($A215,PlotNumber,0),MATCH(O$3,PlotTitles,0))),$AB$18,TRUE,"")</f>
        <v/>
      </c>
      <c r="P215" s="182" t="str">
        <f t="shared" ca="1" si="10"/>
        <v/>
      </c>
      <c r="Q215" s="104" t="str" cm="1">
        <f t="array" ref="Q215">_xlfn.IFS(AND(A215&gt;NumberOfPlots,ISBLANK(INDEX(PlotData,MATCH($A215,PlotNumber,0),MATCH(B$3,PlotTitles,0)))),"",ISBLANK(INDEX(PlotData,MATCH($A215,PlotNumber,0),MATCH(N$3,PlotTitles,0))),"",(DATEVALUE(INDEX(PlotData,MATCH($A215,PlotNumber,0),MATCH(N$3,PlotTitles,0))&amp;INDEX(PlotData,MATCH($A215,PlotNumber,0),MATCH(O$3,PlotTitles,0))))&lt;(DATEVALUE(INDEX(PlotData,MATCH($A215,PlotNumber,0),MATCH(I$3,PlotTitles,0))&amp;INDEX(PlotData,MATCH($A215,PlotNumber,0),MATCH(J$3,PlotTitles,0)))),$AB$20,TRUE,"")</f>
        <v/>
      </c>
      <c r="R215" s="104" t="str" cm="1">
        <f t="array" ref="R215">_xlfn.IFS(OR(ISBLANK(StartDateMonth),ISBLANK(StartDateYear)),"",AND(A215&gt;NumberOfPlots,ISBLANK(INDEX(PlotData,MATCH($A215,PlotNumber,0),MATCH(B$3,PlotTitles,0)))),"",ISBLANK(INDEX(PlotData,MATCH($A215,PlotNumber,0),MATCH(N$3,PlotTitles,0))),"",CompletionMonth="","",(DATEVALUE(INDEX(PlotData,MATCH($A215,PlotNumber,0),MATCH(N$3,PlotTitles,0))&amp;INDEX(PlotData,MATCH($A215,PlotNumber,0),MATCH(O$3,PlotTitles,0))))&gt;(DATEVALUE(CompletionMonth&amp;CompletionYear)),$AB$21,TRUE,"")</f>
        <v/>
      </c>
      <c r="S215" s="104" t="str" cm="1">
        <f t="array" ref="S215">_xlfn.IFS(AND(A215&gt;NumberOfPlots,ISBLANK(INDEX(PlotData,MATCH($A215,PlotNumber,0),MATCH(B$3,PlotTitles,0)))),"",OR(AND(INDEX(PlotData,MATCH($A215,PlotNumber,0),MATCH("Tenure",PlotTitles,0))="Open market housing",INDEX(PlotData,MATCH($A215,PlotNumber,0),MATCH("Tenure detail",PlotTitles,0))="Private rented sector"),INDEX(PlotData,MATCH($A215,PlotNumber,0),MATCH("Tenure",PlotTitles,0))="Affordable rent"),"",ISNUMBER(INDEX(PlotData,MATCH($A215,PlotNumber,0),MATCH(S$3,PlotTitles,0)))=FALSE, $AB$22,TRUE,"")</f>
        <v/>
      </c>
      <c r="T215" s="104" t="str" cm="1">
        <f t="array" ref="T215">_xlfn.IFS(AND(A215&gt;NumberOfPlots,ISBLANK(INDEX(PlotData,MATCH($A215,PlotNumber,0),MATCH(B$3,PlotTitles,0)))),"",OR(AND(INDEX(PlotData,MATCH($A215,PlotNumber,0),MATCH("Tenure",PlotTitles,0))="Open market housing",INDEX(PlotData,MATCH($A215,PlotNumber,0),MATCH("Tenure detail",PlotTitles,0))="Private rented sector"),INDEX(PlotData,MATCH($A215,PlotNumber,0),MATCH("Tenure",PlotTitles,0))="Affordable rent"),"",INDEX(PlotData,MATCH($A215,PlotNumber,0),MATCH(S$3,PlotTitles,0))&lt;10000, $AB$23,TRUE,"")</f>
        <v/>
      </c>
      <c r="U215" s="104" t="str" cm="1">
        <f t="array" ref="U215">_xlfn.IFS(AND(A215&gt;NumberOfPlots,ISBLANK(INDEX(PlotData,MATCH($A215,PlotNumber,0),MATCH(B$3,PlotTitles,0)))),"",NOT(OR(AND(INDEX(PlotData,MATCH($A215,PlotNumber,0),MATCH("Tenure",PlotTitles,0))="Open market housing",INDEX(PlotData,MATCH($A215,PlotNumber,0),MATCH("Tenure detail",PlotTitles,0))="Private rented sector"),INDEX(PlotData,MATCH($A215,PlotNumber,0),MATCH("Tenure",PlotTitles,0))="Affordable rent")),"",NOT(INDEX(PlotData,MATCH($A215,PlotNumber,0),MATCH(S$3,PlotTitles,0))=0), $AB$24,TRUE,"")</f>
        <v/>
      </c>
      <c r="V215" s="114" t="str" cm="1">
        <f t="array" aca="1" ref="V215" ca="1">_xlfn.IFS(ISBLANK(NumberOfPlots),"Enter the number of homes on the 1_SetUp sheet",AND(A215&gt;NumberOfPlots,ISBLANK(INDEX(PlotData,MATCH($A215,PlotNumber,0),MATCH(B$3,PlotTitles,0)))),"No error",NOT(B215=""),B215,NOT(C215=""),C215,NOT(D215=""),D215,NOT(E215=""),E215,NOT(F215=""),F215,NOT(G215=""),G215,NOT(H215=""),H215,NOT(I215=""),I215,NOT(J215=""),J215,NOT(K215=""),K215,NOT(L215=""),L215,NOT(M215=""),M215,NOT(N215=""),N215,NOT(O215=""),O215,NOT(P215=""),P215,NOT(Q215=""),Q215,NOT(R215=""),R215,NOT(S215=""),S215,NOT(T215=""),T215,NOT(U215=""),U215,TRUE,"No error")</f>
        <v>Enter the number of homes on the 1_SetUp sheet</v>
      </c>
      <c r="W215" s="114" t="str">
        <f t="shared" ca="1" si="11"/>
        <v xml:space="preserve">The Borrower has not addressed the following error messages for Home ID 211: </v>
      </c>
    </row>
    <row r="216" spans="1:23">
      <c r="A216" s="123">
        <v>212</v>
      </c>
      <c r="B216" s="104" t="str" cm="1">
        <f t="array" ref="B216">_xlfn.IFS(AND(A216&gt;NumberOfPlots,ISBLANK(INDEX(PlotData,MATCH($A216,PlotNumber,0),MATCH(B$3,PlotTitles,0)))),"",ISNUMBER(INDEX(PlotData,MATCH($A216,PlotNumber,0),MATCH(B$3,PlotTitles,0)))=FALSE, $AB$5,TRUE,"")</f>
        <v/>
      </c>
      <c r="C216" s="104" t="str" cm="1">
        <f t="array" ref="C216">_xlfn.IFS(AND(A216&gt;NumberOfPlots,ISBLANK(INDEX(PlotData,MATCH($A216,PlotNumber,0),MATCH(B$3,PlotTitles,0)))),"",ISBLANK(INDEX(PlotData,MATCH($A216,PlotNumber,0),MATCH(C$3,PlotTitles,0))),$AB$6,TRUE,"")</f>
        <v/>
      </c>
      <c r="D216" s="104" t="str" cm="1">
        <f t="array" ref="D216">_xlfn.IFS(AND(A216&gt;NumberOfPlots,ISBLANK(INDEX(PlotData,MATCH($A216,PlotNumber,0),MATCH(B$3,PlotTitles,0)))),"",ISBLANK(INDEX(PlotData,MATCH($A216,PlotNumber,0),MATCH(D$3,PlotTitles,0))),$AB$7,TRUE,"")</f>
        <v/>
      </c>
      <c r="E216" s="104" t="str" cm="1">
        <f t="array" ref="E216">_xlfn.IFS(AND(A216&gt;NumberOfPlots,ISBLANK(INDEX(PlotData,MATCH($A216,PlotNumber,0),MATCH(B$3,PlotTitles,0)))),"",ISBLANK(INDEX(PlotData,MATCH($A216,PlotNumber,0),MATCH(E$3,PlotTitles,0))),$AB$8,TRUE,"")</f>
        <v/>
      </c>
      <c r="F216" s="104" t="str" cm="1">
        <f t="array" ref="F216">_xlfn.IFS(AND(A216&gt;NumberOfPlots,ISBLANK(INDEX(PlotData,MATCH($A216,PlotNumber,0),MATCH(B$3,PlotTitles,0)))),"",ISBLANK(INDEX(PlotData,MATCH($A216,PlotNumber,0),MATCH(F$3,PlotTitles,0))),$AB$9,TRUE,"")</f>
        <v/>
      </c>
      <c r="G216" s="104" t="str" cm="1">
        <f t="array" ref="G216">_xlfn.IFS(AND(A216&gt;NumberOfPlots,ISBLANK(INDEX(PlotData,MATCH($A216,PlotNumber,0),MATCH(B$3,PlotTitles,0)))),"",ISBLANK(INDEX(PlotData,MATCH($A216,PlotNumber,0),MATCH(G$3,PlotTitles,0))),$AB$10,TRUE,"")</f>
        <v/>
      </c>
      <c r="H216" s="104" t="str" cm="1">
        <f t="array" ref="H216">_xlfn.IFS(AND(A216&gt;NumberOfPlots,ISBLANK(INDEX(PlotData,MATCH($A216,PlotNumber,0),MATCH(B$3,PlotTitles,0)))),"",AND(ISBLANK(INDEX(PlotData,MATCH($A216,PlotNumber,0),MATCH(H$3,PlotTitles,0)))=FALSE,INDEX(PlotData,MATCH($A216,PlotNumber,0),MATCH(H$3,PlotTitles,0))&lt;500), $AB$11,TRUE,"")</f>
        <v/>
      </c>
      <c r="I216" s="104" t="str" cm="1">
        <f t="array" ref="I216">_xlfn.IFS(AND(A216&gt;NumberOfPlots,ISBLANK(INDEX(PlotData,MATCH($A216,PlotNumber,0),MATCH(B$3,PlotTitles,0)))),"",ISBLANK(INDEX(PlotData,MATCH($A216,PlotNumber,0),MATCH(I$3,PlotTitles,0))),$AB$12,TRUE,"")</f>
        <v/>
      </c>
      <c r="J216" s="104" t="str" cm="1">
        <f t="array" ref="J216">_xlfn.IFS(AND(A216&gt;NumberOfPlots,ISBLANK(INDEX(PlotData,MATCH($A216,PlotNumber,0),MATCH(B$3,PlotTitles,0)))),"",ISBLANK(INDEX(PlotData,MATCH($A216,PlotNumber,0),MATCH(J$3,PlotTitles,0))),$AB$13,TRUE,"")</f>
        <v/>
      </c>
      <c r="K216" s="182" t="str">
        <f t="shared" ca="1" si="9"/>
        <v/>
      </c>
      <c r="L216" s="104" t="str" cm="1">
        <f t="array" ref="L216">_xlfn.IFS(OR(ISBLANK(StartDateMonth),ISBLANK(StartDateYear)),"",AND(A216&gt;NumberOfPlots,ISBLANK(INDEX(PlotData,MATCH($A216,PlotNumber,0),MATCH(B$3,PlotTitles,0)))),"",ISBLANK(INDEX(PlotData,MATCH($A216,PlotNumber,0),MATCH(I$3,PlotTitles,0))),"",(DATEVALUE(INDEX(PlotData,MATCH($A216,PlotNumber,0),MATCH(I$3,PlotTitles,0))&amp;INDEX(PlotData,MATCH($A216,PlotNumber,0),MATCH(J$3,PlotTitles,0))))&lt;DATEVALUE(StartDateMonth&amp;StartDateYear),$AB$15,TRUE,"")</f>
        <v/>
      </c>
      <c r="M216" s="104" t="str" cm="1">
        <f t="array" ref="M216">_xlfn.IFS(OR(ISBLANK(StartDateMonth),ISBLANK(StartDateYear)),"",AND(A216&gt;NumberOfPlots,ISBLANK(INDEX(PlotData,MATCH($A216,PlotNumber,0),MATCH(B$3,PlotTitles,0)))),"",ISBLANK(INDEX(PlotData,MATCH($A216,PlotNumber,0),MATCH(I$3,PlotTitles,0))),"",CompletionMonth="","",(DATEVALUE(INDEX(PlotData,MATCH($A216,PlotNumber,0),MATCH(I$3,PlotTitles,0))&amp;INDEX(PlotData,MATCH($A216,PlotNumber,0),MATCH(J$3,PlotTitles,0))))&gt;(DATEVALUE(CompletionMonth&amp;CompletionYear)),$AB$16,TRUE,"")</f>
        <v/>
      </c>
      <c r="N216" s="104" t="str" cm="1">
        <f t="array" ref="N216">_xlfn.IFS(AND(A216&gt;NumberOfPlots,ISBLANK(INDEX(PlotData,MATCH($A216,PlotNumber,0),MATCH(B$3,PlotTitles,0)))),"",ISBLANK(INDEX(PlotData,MATCH($A216,PlotNumber,0),MATCH(N$3,PlotTitles,0))),$AB$17,TRUE,"")</f>
        <v/>
      </c>
      <c r="O216" s="104" t="str" cm="1">
        <f t="array" ref="O216">_xlfn.IFS(AND(A216&gt;NumberOfPlots,ISBLANK(INDEX(PlotData,MATCH($A216,PlotNumber,0),MATCH(B$3,PlotTitles,0)))),"",ISBLANK(INDEX(PlotData,MATCH($A216,PlotNumber,0),MATCH(O$3,PlotTitles,0))),$AB$18,TRUE,"")</f>
        <v/>
      </c>
      <c r="P216" s="182" t="str">
        <f t="shared" ca="1" si="10"/>
        <v/>
      </c>
      <c r="Q216" s="104" t="str" cm="1">
        <f t="array" ref="Q216">_xlfn.IFS(AND(A216&gt;NumberOfPlots,ISBLANK(INDEX(PlotData,MATCH($A216,PlotNumber,0),MATCH(B$3,PlotTitles,0)))),"",ISBLANK(INDEX(PlotData,MATCH($A216,PlotNumber,0),MATCH(N$3,PlotTitles,0))),"",(DATEVALUE(INDEX(PlotData,MATCH($A216,PlotNumber,0),MATCH(N$3,PlotTitles,0))&amp;INDEX(PlotData,MATCH($A216,PlotNumber,0),MATCH(O$3,PlotTitles,0))))&lt;(DATEVALUE(INDEX(PlotData,MATCH($A216,PlotNumber,0),MATCH(I$3,PlotTitles,0))&amp;INDEX(PlotData,MATCH($A216,PlotNumber,0),MATCH(J$3,PlotTitles,0)))),$AB$20,TRUE,"")</f>
        <v/>
      </c>
      <c r="R216" s="104" t="str" cm="1">
        <f t="array" ref="R216">_xlfn.IFS(OR(ISBLANK(StartDateMonth),ISBLANK(StartDateYear)),"",AND(A216&gt;NumberOfPlots,ISBLANK(INDEX(PlotData,MATCH($A216,PlotNumber,0),MATCH(B$3,PlotTitles,0)))),"",ISBLANK(INDEX(PlotData,MATCH($A216,PlotNumber,0),MATCH(N$3,PlotTitles,0))),"",CompletionMonth="","",(DATEVALUE(INDEX(PlotData,MATCH($A216,PlotNumber,0),MATCH(N$3,PlotTitles,0))&amp;INDEX(PlotData,MATCH($A216,PlotNumber,0),MATCH(O$3,PlotTitles,0))))&gt;(DATEVALUE(CompletionMonth&amp;CompletionYear)),$AB$21,TRUE,"")</f>
        <v/>
      </c>
      <c r="S216" s="104" t="str" cm="1">
        <f t="array" ref="S216">_xlfn.IFS(AND(A216&gt;NumberOfPlots,ISBLANK(INDEX(PlotData,MATCH($A216,PlotNumber,0),MATCH(B$3,PlotTitles,0)))),"",OR(AND(INDEX(PlotData,MATCH($A216,PlotNumber,0),MATCH("Tenure",PlotTitles,0))="Open market housing",INDEX(PlotData,MATCH($A216,PlotNumber,0),MATCH("Tenure detail",PlotTitles,0))="Private rented sector"),INDEX(PlotData,MATCH($A216,PlotNumber,0),MATCH("Tenure",PlotTitles,0))="Affordable rent"),"",ISNUMBER(INDEX(PlotData,MATCH($A216,PlotNumber,0),MATCH(S$3,PlotTitles,0)))=FALSE, $AB$22,TRUE,"")</f>
        <v/>
      </c>
      <c r="T216" s="104" t="str" cm="1">
        <f t="array" ref="T216">_xlfn.IFS(AND(A216&gt;NumberOfPlots,ISBLANK(INDEX(PlotData,MATCH($A216,PlotNumber,0),MATCH(B$3,PlotTitles,0)))),"",OR(AND(INDEX(PlotData,MATCH($A216,PlotNumber,0),MATCH("Tenure",PlotTitles,0))="Open market housing",INDEX(PlotData,MATCH($A216,PlotNumber,0),MATCH("Tenure detail",PlotTitles,0))="Private rented sector"),INDEX(PlotData,MATCH($A216,PlotNumber,0),MATCH("Tenure",PlotTitles,0))="Affordable rent"),"",INDEX(PlotData,MATCH($A216,PlotNumber,0),MATCH(S$3,PlotTitles,0))&lt;10000, $AB$23,TRUE,"")</f>
        <v/>
      </c>
      <c r="U216" s="104" t="str" cm="1">
        <f t="array" ref="U216">_xlfn.IFS(AND(A216&gt;NumberOfPlots,ISBLANK(INDEX(PlotData,MATCH($A216,PlotNumber,0),MATCH(B$3,PlotTitles,0)))),"",NOT(OR(AND(INDEX(PlotData,MATCH($A216,PlotNumber,0),MATCH("Tenure",PlotTitles,0))="Open market housing",INDEX(PlotData,MATCH($A216,PlotNumber,0),MATCH("Tenure detail",PlotTitles,0))="Private rented sector"),INDEX(PlotData,MATCH($A216,PlotNumber,0),MATCH("Tenure",PlotTitles,0))="Affordable rent")),"",NOT(INDEX(PlotData,MATCH($A216,PlotNumber,0),MATCH(S$3,PlotTitles,0))=0), $AB$24,TRUE,"")</f>
        <v/>
      </c>
      <c r="V216" s="114" t="str" cm="1">
        <f t="array" aca="1" ref="V216" ca="1">_xlfn.IFS(ISBLANK(NumberOfPlots),"Enter the number of homes on the 1_SetUp sheet",AND(A216&gt;NumberOfPlots,ISBLANK(INDEX(PlotData,MATCH($A216,PlotNumber,0),MATCH(B$3,PlotTitles,0)))),"No error",NOT(B216=""),B216,NOT(C216=""),C216,NOT(D216=""),D216,NOT(E216=""),E216,NOT(F216=""),F216,NOT(G216=""),G216,NOT(H216=""),H216,NOT(I216=""),I216,NOT(J216=""),J216,NOT(K216=""),K216,NOT(L216=""),L216,NOT(M216=""),M216,NOT(N216=""),N216,NOT(O216=""),O216,NOT(P216=""),P216,NOT(Q216=""),Q216,NOT(R216=""),R216,NOT(S216=""),S216,NOT(T216=""),T216,NOT(U216=""),U216,TRUE,"No error")</f>
        <v>Enter the number of homes on the 1_SetUp sheet</v>
      </c>
      <c r="W216" s="114" t="str">
        <f t="shared" ca="1" si="11"/>
        <v xml:space="preserve">The Borrower has not addressed the following error messages for Home ID 212: </v>
      </c>
    </row>
    <row r="217" spans="1:23">
      <c r="A217" s="123">
        <v>213</v>
      </c>
      <c r="B217" s="104" t="str" cm="1">
        <f t="array" ref="B217">_xlfn.IFS(AND(A217&gt;NumberOfPlots,ISBLANK(INDEX(PlotData,MATCH($A217,PlotNumber,0),MATCH(B$3,PlotTitles,0)))),"",ISNUMBER(INDEX(PlotData,MATCH($A217,PlotNumber,0),MATCH(B$3,PlotTitles,0)))=FALSE, $AB$5,TRUE,"")</f>
        <v/>
      </c>
      <c r="C217" s="104" t="str" cm="1">
        <f t="array" ref="C217">_xlfn.IFS(AND(A217&gt;NumberOfPlots,ISBLANK(INDEX(PlotData,MATCH($A217,PlotNumber,0),MATCH(B$3,PlotTitles,0)))),"",ISBLANK(INDEX(PlotData,MATCH($A217,PlotNumber,0),MATCH(C$3,PlotTitles,0))),$AB$6,TRUE,"")</f>
        <v/>
      </c>
      <c r="D217" s="104" t="str" cm="1">
        <f t="array" ref="D217">_xlfn.IFS(AND(A217&gt;NumberOfPlots,ISBLANK(INDEX(PlotData,MATCH($A217,PlotNumber,0),MATCH(B$3,PlotTitles,0)))),"",ISBLANK(INDEX(PlotData,MATCH($A217,PlotNumber,0),MATCH(D$3,PlotTitles,0))),$AB$7,TRUE,"")</f>
        <v/>
      </c>
      <c r="E217" s="104" t="str" cm="1">
        <f t="array" ref="E217">_xlfn.IFS(AND(A217&gt;NumberOfPlots,ISBLANK(INDEX(PlotData,MATCH($A217,PlotNumber,0),MATCH(B$3,PlotTitles,0)))),"",ISBLANK(INDEX(PlotData,MATCH($A217,PlotNumber,0),MATCH(E$3,PlotTitles,0))),$AB$8,TRUE,"")</f>
        <v/>
      </c>
      <c r="F217" s="104" t="str" cm="1">
        <f t="array" ref="F217">_xlfn.IFS(AND(A217&gt;NumberOfPlots,ISBLANK(INDEX(PlotData,MATCH($A217,PlotNumber,0),MATCH(B$3,PlotTitles,0)))),"",ISBLANK(INDEX(PlotData,MATCH($A217,PlotNumber,0),MATCH(F$3,PlotTitles,0))),$AB$9,TRUE,"")</f>
        <v/>
      </c>
      <c r="G217" s="104" t="str" cm="1">
        <f t="array" ref="G217">_xlfn.IFS(AND(A217&gt;NumberOfPlots,ISBLANK(INDEX(PlotData,MATCH($A217,PlotNumber,0),MATCH(B$3,PlotTitles,0)))),"",ISBLANK(INDEX(PlotData,MATCH($A217,PlotNumber,0),MATCH(G$3,PlotTitles,0))),$AB$10,TRUE,"")</f>
        <v/>
      </c>
      <c r="H217" s="104" t="str" cm="1">
        <f t="array" ref="H217">_xlfn.IFS(AND(A217&gt;NumberOfPlots,ISBLANK(INDEX(PlotData,MATCH($A217,PlotNumber,0),MATCH(B$3,PlotTitles,0)))),"",AND(ISBLANK(INDEX(PlotData,MATCH($A217,PlotNumber,0),MATCH(H$3,PlotTitles,0)))=FALSE,INDEX(PlotData,MATCH($A217,PlotNumber,0),MATCH(H$3,PlotTitles,0))&lt;500), $AB$11,TRUE,"")</f>
        <v/>
      </c>
      <c r="I217" s="104" t="str" cm="1">
        <f t="array" ref="I217">_xlfn.IFS(AND(A217&gt;NumberOfPlots,ISBLANK(INDEX(PlotData,MATCH($A217,PlotNumber,0),MATCH(B$3,PlotTitles,0)))),"",ISBLANK(INDEX(PlotData,MATCH($A217,PlotNumber,0),MATCH(I$3,PlotTitles,0))),$AB$12,TRUE,"")</f>
        <v/>
      </c>
      <c r="J217" s="104" t="str" cm="1">
        <f t="array" ref="J217">_xlfn.IFS(AND(A217&gt;NumberOfPlots,ISBLANK(INDEX(PlotData,MATCH($A217,PlotNumber,0),MATCH(B$3,PlotTitles,0)))),"",ISBLANK(INDEX(PlotData,MATCH($A217,PlotNumber,0),MATCH(J$3,PlotTitles,0))),$AB$13,TRUE,"")</f>
        <v/>
      </c>
      <c r="K217" s="182" t="str">
        <f t="shared" ca="1" si="9"/>
        <v/>
      </c>
      <c r="L217" s="104" t="str" cm="1">
        <f t="array" ref="L217">_xlfn.IFS(OR(ISBLANK(StartDateMonth),ISBLANK(StartDateYear)),"",AND(A217&gt;NumberOfPlots,ISBLANK(INDEX(PlotData,MATCH($A217,PlotNumber,0),MATCH(B$3,PlotTitles,0)))),"",ISBLANK(INDEX(PlotData,MATCH($A217,PlotNumber,0),MATCH(I$3,PlotTitles,0))),"",(DATEVALUE(INDEX(PlotData,MATCH($A217,PlotNumber,0),MATCH(I$3,PlotTitles,0))&amp;INDEX(PlotData,MATCH($A217,PlotNumber,0),MATCH(J$3,PlotTitles,0))))&lt;DATEVALUE(StartDateMonth&amp;StartDateYear),$AB$15,TRUE,"")</f>
        <v/>
      </c>
      <c r="M217" s="104" t="str" cm="1">
        <f t="array" ref="M217">_xlfn.IFS(OR(ISBLANK(StartDateMonth),ISBLANK(StartDateYear)),"",AND(A217&gt;NumberOfPlots,ISBLANK(INDEX(PlotData,MATCH($A217,PlotNumber,0),MATCH(B$3,PlotTitles,0)))),"",ISBLANK(INDEX(PlotData,MATCH($A217,PlotNumber,0),MATCH(I$3,PlotTitles,0))),"",CompletionMonth="","",(DATEVALUE(INDEX(PlotData,MATCH($A217,PlotNumber,0),MATCH(I$3,PlotTitles,0))&amp;INDEX(PlotData,MATCH($A217,PlotNumber,0),MATCH(J$3,PlotTitles,0))))&gt;(DATEVALUE(CompletionMonth&amp;CompletionYear)),$AB$16,TRUE,"")</f>
        <v/>
      </c>
      <c r="N217" s="104" t="str" cm="1">
        <f t="array" ref="N217">_xlfn.IFS(AND(A217&gt;NumberOfPlots,ISBLANK(INDEX(PlotData,MATCH($A217,PlotNumber,0),MATCH(B$3,PlotTitles,0)))),"",ISBLANK(INDEX(PlotData,MATCH($A217,PlotNumber,0),MATCH(N$3,PlotTitles,0))),$AB$17,TRUE,"")</f>
        <v/>
      </c>
      <c r="O217" s="104" t="str" cm="1">
        <f t="array" ref="O217">_xlfn.IFS(AND(A217&gt;NumberOfPlots,ISBLANK(INDEX(PlotData,MATCH($A217,PlotNumber,0),MATCH(B$3,PlotTitles,0)))),"",ISBLANK(INDEX(PlotData,MATCH($A217,PlotNumber,0),MATCH(O$3,PlotTitles,0))),$AB$18,TRUE,"")</f>
        <v/>
      </c>
      <c r="P217" s="182" t="str">
        <f t="shared" ca="1" si="10"/>
        <v/>
      </c>
      <c r="Q217" s="104" t="str" cm="1">
        <f t="array" ref="Q217">_xlfn.IFS(AND(A217&gt;NumberOfPlots,ISBLANK(INDEX(PlotData,MATCH($A217,PlotNumber,0),MATCH(B$3,PlotTitles,0)))),"",ISBLANK(INDEX(PlotData,MATCH($A217,PlotNumber,0),MATCH(N$3,PlotTitles,0))),"",(DATEVALUE(INDEX(PlotData,MATCH($A217,PlotNumber,0),MATCH(N$3,PlotTitles,0))&amp;INDEX(PlotData,MATCH($A217,PlotNumber,0),MATCH(O$3,PlotTitles,0))))&lt;(DATEVALUE(INDEX(PlotData,MATCH($A217,PlotNumber,0),MATCH(I$3,PlotTitles,0))&amp;INDEX(PlotData,MATCH($A217,PlotNumber,0),MATCH(J$3,PlotTitles,0)))),$AB$20,TRUE,"")</f>
        <v/>
      </c>
      <c r="R217" s="104" t="str" cm="1">
        <f t="array" ref="R217">_xlfn.IFS(OR(ISBLANK(StartDateMonth),ISBLANK(StartDateYear)),"",AND(A217&gt;NumberOfPlots,ISBLANK(INDEX(PlotData,MATCH($A217,PlotNumber,0),MATCH(B$3,PlotTitles,0)))),"",ISBLANK(INDEX(PlotData,MATCH($A217,PlotNumber,0),MATCH(N$3,PlotTitles,0))),"",CompletionMonth="","",(DATEVALUE(INDEX(PlotData,MATCH($A217,PlotNumber,0),MATCH(N$3,PlotTitles,0))&amp;INDEX(PlotData,MATCH($A217,PlotNumber,0),MATCH(O$3,PlotTitles,0))))&gt;(DATEVALUE(CompletionMonth&amp;CompletionYear)),$AB$21,TRUE,"")</f>
        <v/>
      </c>
      <c r="S217" s="104" t="str" cm="1">
        <f t="array" ref="S217">_xlfn.IFS(AND(A217&gt;NumberOfPlots,ISBLANK(INDEX(PlotData,MATCH($A217,PlotNumber,0),MATCH(B$3,PlotTitles,0)))),"",OR(AND(INDEX(PlotData,MATCH($A217,PlotNumber,0),MATCH("Tenure",PlotTitles,0))="Open market housing",INDEX(PlotData,MATCH($A217,PlotNumber,0),MATCH("Tenure detail",PlotTitles,0))="Private rented sector"),INDEX(PlotData,MATCH($A217,PlotNumber,0),MATCH("Tenure",PlotTitles,0))="Affordable rent"),"",ISNUMBER(INDEX(PlotData,MATCH($A217,PlotNumber,0),MATCH(S$3,PlotTitles,0)))=FALSE, $AB$22,TRUE,"")</f>
        <v/>
      </c>
      <c r="T217" s="104" t="str" cm="1">
        <f t="array" ref="T217">_xlfn.IFS(AND(A217&gt;NumberOfPlots,ISBLANK(INDEX(PlotData,MATCH($A217,PlotNumber,0),MATCH(B$3,PlotTitles,0)))),"",OR(AND(INDEX(PlotData,MATCH($A217,PlotNumber,0),MATCH("Tenure",PlotTitles,0))="Open market housing",INDEX(PlotData,MATCH($A217,PlotNumber,0),MATCH("Tenure detail",PlotTitles,0))="Private rented sector"),INDEX(PlotData,MATCH($A217,PlotNumber,0),MATCH("Tenure",PlotTitles,0))="Affordable rent"),"",INDEX(PlotData,MATCH($A217,PlotNumber,0),MATCH(S$3,PlotTitles,0))&lt;10000, $AB$23,TRUE,"")</f>
        <v/>
      </c>
      <c r="U217" s="104" t="str" cm="1">
        <f t="array" ref="U217">_xlfn.IFS(AND(A217&gt;NumberOfPlots,ISBLANK(INDEX(PlotData,MATCH($A217,PlotNumber,0),MATCH(B$3,PlotTitles,0)))),"",NOT(OR(AND(INDEX(PlotData,MATCH($A217,PlotNumber,0),MATCH("Tenure",PlotTitles,0))="Open market housing",INDEX(PlotData,MATCH($A217,PlotNumber,0),MATCH("Tenure detail",PlotTitles,0))="Private rented sector"),INDEX(PlotData,MATCH($A217,PlotNumber,0),MATCH("Tenure",PlotTitles,0))="Affordable rent")),"",NOT(INDEX(PlotData,MATCH($A217,PlotNumber,0),MATCH(S$3,PlotTitles,0))=0), $AB$24,TRUE,"")</f>
        <v/>
      </c>
      <c r="V217" s="114" t="str" cm="1">
        <f t="array" aca="1" ref="V217" ca="1">_xlfn.IFS(ISBLANK(NumberOfPlots),"Enter the number of homes on the 1_SetUp sheet",AND(A217&gt;NumberOfPlots,ISBLANK(INDEX(PlotData,MATCH($A217,PlotNumber,0),MATCH(B$3,PlotTitles,0)))),"No error",NOT(B217=""),B217,NOT(C217=""),C217,NOT(D217=""),D217,NOT(E217=""),E217,NOT(F217=""),F217,NOT(G217=""),G217,NOT(H217=""),H217,NOT(I217=""),I217,NOT(J217=""),J217,NOT(K217=""),K217,NOT(L217=""),L217,NOT(M217=""),M217,NOT(N217=""),N217,NOT(O217=""),O217,NOT(P217=""),P217,NOT(Q217=""),Q217,NOT(R217=""),R217,NOT(S217=""),S217,NOT(T217=""),T217,NOT(U217=""),U217,TRUE,"No error")</f>
        <v>Enter the number of homes on the 1_SetUp sheet</v>
      </c>
      <c r="W217" s="114" t="str">
        <f t="shared" ca="1" si="11"/>
        <v xml:space="preserve">The Borrower has not addressed the following error messages for Home ID 213: </v>
      </c>
    </row>
    <row r="218" spans="1:23">
      <c r="A218" s="123">
        <v>214</v>
      </c>
      <c r="B218" s="104" t="str" cm="1">
        <f t="array" ref="B218">_xlfn.IFS(AND(A218&gt;NumberOfPlots,ISBLANK(INDEX(PlotData,MATCH($A218,PlotNumber,0),MATCH(B$3,PlotTitles,0)))),"",ISNUMBER(INDEX(PlotData,MATCH($A218,PlotNumber,0),MATCH(B$3,PlotTitles,0)))=FALSE, $AB$5,TRUE,"")</f>
        <v/>
      </c>
      <c r="C218" s="104" t="str" cm="1">
        <f t="array" ref="C218">_xlfn.IFS(AND(A218&gt;NumberOfPlots,ISBLANK(INDEX(PlotData,MATCH($A218,PlotNumber,0),MATCH(B$3,PlotTitles,0)))),"",ISBLANK(INDEX(PlotData,MATCH($A218,PlotNumber,0),MATCH(C$3,PlotTitles,0))),$AB$6,TRUE,"")</f>
        <v/>
      </c>
      <c r="D218" s="104" t="str" cm="1">
        <f t="array" ref="D218">_xlfn.IFS(AND(A218&gt;NumberOfPlots,ISBLANK(INDEX(PlotData,MATCH($A218,PlotNumber,0),MATCH(B$3,PlotTitles,0)))),"",ISBLANK(INDEX(PlotData,MATCH($A218,PlotNumber,0),MATCH(D$3,PlotTitles,0))),$AB$7,TRUE,"")</f>
        <v/>
      </c>
      <c r="E218" s="104" t="str" cm="1">
        <f t="array" ref="E218">_xlfn.IFS(AND(A218&gt;NumberOfPlots,ISBLANK(INDEX(PlotData,MATCH($A218,PlotNumber,0),MATCH(B$3,PlotTitles,0)))),"",ISBLANK(INDEX(PlotData,MATCH($A218,PlotNumber,0),MATCH(E$3,PlotTitles,0))),$AB$8,TRUE,"")</f>
        <v/>
      </c>
      <c r="F218" s="104" t="str" cm="1">
        <f t="array" ref="F218">_xlfn.IFS(AND(A218&gt;NumberOfPlots,ISBLANK(INDEX(PlotData,MATCH($A218,PlotNumber,0),MATCH(B$3,PlotTitles,0)))),"",ISBLANK(INDEX(PlotData,MATCH($A218,PlotNumber,0),MATCH(F$3,PlotTitles,0))),$AB$9,TRUE,"")</f>
        <v/>
      </c>
      <c r="G218" s="104" t="str" cm="1">
        <f t="array" ref="G218">_xlfn.IFS(AND(A218&gt;NumberOfPlots,ISBLANK(INDEX(PlotData,MATCH($A218,PlotNumber,0),MATCH(B$3,PlotTitles,0)))),"",ISBLANK(INDEX(PlotData,MATCH($A218,PlotNumber,0),MATCH(G$3,PlotTitles,0))),$AB$10,TRUE,"")</f>
        <v/>
      </c>
      <c r="H218" s="104" t="str" cm="1">
        <f t="array" ref="H218">_xlfn.IFS(AND(A218&gt;NumberOfPlots,ISBLANK(INDEX(PlotData,MATCH($A218,PlotNumber,0),MATCH(B$3,PlotTitles,0)))),"",AND(ISBLANK(INDEX(PlotData,MATCH($A218,PlotNumber,0),MATCH(H$3,PlotTitles,0)))=FALSE,INDEX(PlotData,MATCH($A218,PlotNumber,0),MATCH(H$3,PlotTitles,0))&lt;500), $AB$11,TRUE,"")</f>
        <v/>
      </c>
      <c r="I218" s="104" t="str" cm="1">
        <f t="array" ref="I218">_xlfn.IFS(AND(A218&gt;NumberOfPlots,ISBLANK(INDEX(PlotData,MATCH($A218,PlotNumber,0),MATCH(B$3,PlotTitles,0)))),"",ISBLANK(INDEX(PlotData,MATCH($A218,PlotNumber,0),MATCH(I$3,PlotTitles,0))),$AB$12,TRUE,"")</f>
        <v/>
      </c>
      <c r="J218" s="104" t="str" cm="1">
        <f t="array" ref="J218">_xlfn.IFS(AND(A218&gt;NumberOfPlots,ISBLANK(INDEX(PlotData,MATCH($A218,PlotNumber,0),MATCH(B$3,PlotTitles,0)))),"",ISBLANK(INDEX(PlotData,MATCH($A218,PlotNumber,0),MATCH(J$3,PlotTitles,0))),$AB$13,TRUE,"")</f>
        <v/>
      </c>
      <c r="K218" s="182" t="str">
        <f t="shared" ca="1" si="9"/>
        <v/>
      </c>
      <c r="L218" s="104" t="str" cm="1">
        <f t="array" ref="L218">_xlfn.IFS(OR(ISBLANK(StartDateMonth),ISBLANK(StartDateYear)),"",AND(A218&gt;NumberOfPlots,ISBLANK(INDEX(PlotData,MATCH($A218,PlotNumber,0),MATCH(B$3,PlotTitles,0)))),"",ISBLANK(INDEX(PlotData,MATCH($A218,PlotNumber,0),MATCH(I$3,PlotTitles,0))),"",(DATEVALUE(INDEX(PlotData,MATCH($A218,PlotNumber,0),MATCH(I$3,PlotTitles,0))&amp;INDEX(PlotData,MATCH($A218,PlotNumber,0),MATCH(J$3,PlotTitles,0))))&lt;DATEVALUE(StartDateMonth&amp;StartDateYear),$AB$15,TRUE,"")</f>
        <v/>
      </c>
      <c r="M218" s="104" t="str" cm="1">
        <f t="array" ref="M218">_xlfn.IFS(OR(ISBLANK(StartDateMonth),ISBLANK(StartDateYear)),"",AND(A218&gt;NumberOfPlots,ISBLANK(INDEX(PlotData,MATCH($A218,PlotNumber,0),MATCH(B$3,PlotTitles,0)))),"",ISBLANK(INDEX(PlotData,MATCH($A218,PlotNumber,0),MATCH(I$3,PlotTitles,0))),"",CompletionMonth="","",(DATEVALUE(INDEX(PlotData,MATCH($A218,PlotNumber,0),MATCH(I$3,PlotTitles,0))&amp;INDEX(PlotData,MATCH($A218,PlotNumber,0),MATCH(J$3,PlotTitles,0))))&gt;(DATEVALUE(CompletionMonth&amp;CompletionYear)),$AB$16,TRUE,"")</f>
        <v/>
      </c>
      <c r="N218" s="104" t="str" cm="1">
        <f t="array" ref="N218">_xlfn.IFS(AND(A218&gt;NumberOfPlots,ISBLANK(INDEX(PlotData,MATCH($A218,PlotNumber,0),MATCH(B$3,PlotTitles,0)))),"",ISBLANK(INDEX(PlotData,MATCH($A218,PlotNumber,0),MATCH(N$3,PlotTitles,0))),$AB$17,TRUE,"")</f>
        <v/>
      </c>
      <c r="O218" s="104" t="str" cm="1">
        <f t="array" ref="O218">_xlfn.IFS(AND(A218&gt;NumberOfPlots,ISBLANK(INDEX(PlotData,MATCH($A218,PlotNumber,0),MATCH(B$3,PlotTitles,0)))),"",ISBLANK(INDEX(PlotData,MATCH($A218,PlotNumber,0),MATCH(O$3,PlotTitles,0))),$AB$18,TRUE,"")</f>
        <v/>
      </c>
      <c r="P218" s="182" t="str">
        <f t="shared" ca="1" si="10"/>
        <v/>
      </c>
      <c r="Q218" s="104" t="str" cm="1">
        <f t="array" ref="Q218">_xlfn.IFS(AND(A218&gt;NumberOfPlots,ISBLANK(INDEX(PlotData,MATCH($A218,PlotNumber,0),MATCH(B$3,PlotTitles,0)))),"",ISBLANK(INDEX(PlotData,MATCH($A218,PlotNumber,0),MATCH(N$3,PlotTitles,0))),"",(DATEVALUE(INDEX(PlotData,MATCH($A218,PlotNumber,0),MATCH(N$3,PlotTitles,0))&amp;INDEX(PlotData,MATCH($A218,PlotNumber,0),MATCH(O$3,PlotTitles,0))))&lt;(DATEVALUE(INDEX(PlotData,MATCH($A218,PlotNumber,0),MATCH(I$3,PlotTitles,0))&amp;INDEX(PlotData,MATCH($A218,PlotNumber,0),MATCH(J$3,PlotTitles,0)))),$AB$20,TRUE,"")</f>
        <v/>
      </c>
      <c r="R218" s="104" t="str" cm="1">
        <f t="array" ref="R218">_xlfn.IFS(OR(ISBLANK(StartDateMonth),ISBLANK(StartDateYear)),"",AND(A218&gt;NumberOfPlots,ISBLANK(INDEX(PlotData,MATCH($A218,PlotNumber,0),MATCH(B$3,PlotTitles,0)))),"",ISBLANK(INDEX(PlotData,MATCH($A218,PlotNumber,0),MATCH(N$3,PlotTitles,0))),"",CompletionMonth="","",(DATEVALUE(INDEX(PlotData,MATCH($A218,PlotNumber,0),MATCH(N$3,PlotTitles,0))&amp;INDEX(PlotData,MATCH($A218,PlotNumber,0),MATCH(O$3,PlotTitles,0))))&gt;(DATEVALUE(CompletionMonth&amp;CompletionYear)),$AB$21,TRUE,"")</f>
        <v/>
      </c>
      <c r="S218" s="104" t="str" cm="1">
        <f t="array" ref="S218">_xlfn.IFS(AND(A218&gt;NumberOfPlots,ISBLANK(INDEX(PlotData,MATCH($A218,PlotNumber,0),MATCH(B$3,PlotTitles,0)))),"",OR(AND(INDEX(PlotData,MATCH($A218,PlotNumber,0),MATCH("Tenure",PlotTitles,0))="Open market housing",INDEX(PlotData,MATCH($A218,PlotNumber,0),MATCH("Tenure detail",PlotTitles,0))="Private rented sector"),INDEX(PlotData,MATCH($A218,PlotNumber,0),MATCH("Tenure",PlotTitles,0))="Affordable rent"),"",ISNUMBER(INDEX(PlotData,MATCH($A218,PlotNumber,0),MATCH(S$3,PlotTitles,0)))=FALSE, $AB$22,TRUE,"")</f>
        <v/>
      </c>
      <c r="T218" s="104" t="str" cm="1">
        <f t="array" ref="T218">_xlfn.IFS(AND(A218&gt;NumberOfPlots,ISBLANK(INDEX(PlotData,MATCH($A218,PlotNumber,0),MATCH(B$3,PlotTitles,0)))),"",OR(AND(INDEX(PlotData,MATCH($A218,PlotNumber,0),MATCH("Tenure",PlotTitles,0))="Open market housing",INDEX(PlotData,MATCH($A218,PlotNumber,0),MATCH("Tenure detail",PlotTitles,0))="Private rented sector"),INDEX(PlotData,MATCH($A218,PlotNumber,0),MATCH("Tenure",PlotTitles,0))="Affordable rent"),"",INDEX(PlotData,MATCH($A218,PlotNumber,0),MATCH(S$3,PlotTitles,0))&lt;10000, $AB$23,TRUE,"")</f>
        <v/>
      </c>
      <c r="U218" s="104" t="str" cm="1">
        <f t="array" ref="U218">_xlfn.IFS(AND(A218&gt;NumberOfPlots,ISBLANK(INDEX(PlotData,MATCH($A218,PlotNumber,0),MATCH(B$3,PlotTitles,0)))),"",NOT(OR(AND(INDEX(PlotData,MATCH($A218,PlotNumber,0),MATCH("Tenure",PlotTitles,0))="Open market housing",INDEX(PlotData,MATCH($A218,PlotNumber,0),MATCH("Tenure detail",PlotTitles,0))="Private rented sector"),INDEX(PlotData,MATCH($A218,PlotNumber,0),MATCH("Tenure",PlotTitles,0))="Affordable rent")),"",NOT(INDEX(PlotData,MATCH($A218,PlotNumber,0),MATCH(S$3,PlotTitles,0))=0), $AB$24,TRUE,"")</f>
        <v/>
      </c>
      <c r="V218" s="114" t="str" cm="1">
        <f t="array" aca="1" ref="V218" ca="1">_xlfn.IFS(ISBLANK(NumberOfPlots),"Enter the number of homes on the 1_SetUp sheet",AND(A218&gt;NumberOfPlots,ISBLANK(INDEX(PlotData,MATCH($A218,PlotNumber,0),MATCH(B$3,PlotTitles,0)))),"No error",NOT(B218=""),B218,NOT(C218=""),C218,NOT(D218=""),D218,NOT(E218=""),E218,NOT(F218=""),F218,NOT(G218=""),G218,NOT(H218=""),H218,NOT(I218=""),I218,NOT(J218=""),J218,NOT(K218=""),K218,NOT(L218=""),L218,NOT(M218=""),M218,NOT(N218=""),N218,NOT(O218=""),O218,NOT(P218=""),P218,NOT(Q218=""),Q218,NOT(R218=""),R218,NOT(S218=""),S218,NOT(T218=""),T218,NOT(U218=""),U218,TRUE,"No error")</f>
        <v>Enter the number of homes on the 1_SetUp sheet</v>
      </c>
      <c r="W218" s="114" t="str">
        <f t="shared" ca="1" si="11"/>
        <v xml:space="preserve">The Borrower has not addressed the following error messages for Home ID 214: </v>
      </c>
    </row>
    <row r="219" spans="1:23">
      <c r="A219" s="123">
        <v>215</v>
      </c>
      <c r="B219" s="104" t="str" cm="1">
        <f t="array" ref="B219">_xlfn.IFS(AND(A219&gt;NumberOfPlots,ISBLANK(INDEX(PlotData,MATCH($A219,PlotNumber,0),MATCH(B$3,PlotTitles,0)))),"",ISNUMBER(INDEX(PlotData,MATCH($A219,PlotNumber,0),MATCH(B$3,PlotTitles,0)))=FALSE, $AB$5,TRUE,"")</f>
        <v/>
      </c>
      <c r="C219" s="104" t="str" cm="1">
        <f t="array" ref="C219">_xlfn.IFS(AND(A219&gt;NumberOfPlots,ISBLANK(INDEX(PlotData,MATCH($A219,PlotNumber,0),MATCH(B$3,PlotTitles,0)))),"",ISBLANK(INDEX(PlotData,MATCH($A219,PlotNumber,0),MATCH(C$3,PlotTitles,0))),$AB$6,TRUE,"")</f>
        <v/>
      </c>
      <c r="D219" s="104" t="str" cm="1">
        <f t="array" ref="D219">_xlfn.IFS(AND(A219&gt;NumberOfPlots,ISBLANK(INDEX(PlotData,MATCH($A219,PlotNumber,0),MATCH(B$3,PlotTitles,0)))),"",ISBLANK(INDEX(PlotData,MATCH($A219,PlotNumber,0),MATCH(D$3,PlotTitles,0))),$AB$7,TRUE,"")</f>
        <v/>
      </c>
      <c r="E219" s="104" t="str" cm="1">
        <f t="array" ref="E219">_xlfn.IFS(AND(A219&gt;NumberOfPlots,ISBLANK(INDEX(PlotData,MATCH($A219,PlotNumber,0),MATCH(B$3,PlotTitles,0)))),"",ISBLANK(INDEX(PlotData,MATCH($A219,PlotNumber,0),MATCH(E$3,PlotTitles,0))),$AB$8,TRUE,"")</f>
        <v/>
      </c>
      <c r="F219" s="104" t="str" cm="1">
        <f t="array" ref="F219">_xlfn.IFS(AND(A219&gt;NumberOfPlots,ISBLANK(INDEX(PlotData,MATCH($A219,PlotNumber,0),MATCH(B$3,PlotTitles,0)))),"",ISBLANK(INDEX(PlotData,MATCH($A219,PlotNumber,0),MATCH(F$3,PlotTitles,0))),$AB$9,TRUE,"")</f>
        <v/>
      </c>
      <c r="G219" s="104" t="str" cm="1">
        <f t="array" ref="G219">_xlfn.IFS(AND(A219&gt;NumberOfPlots,ISBLANK(INDEX(PlotData,MATCH($A219,PlotNumber,0),MATCH(B$3,PlotTitles,0)))),"",ISBLANK(INDEX(PlotData,MATCH($A219,PlotNumber,0),MATCH(G$3,PlotTitles,0))),$AB$10,TRUE,"")</f>
        <v/>
      </c>
      <c r="H219" s="104" t="str" cm="1">
        <f t="array" ref="H219">_xlfn.IFS(AND(A219&gt;NumberOfPlots,ISBLANK(INDEX(PlotData,MATCH($A219,PlotNumber,0),MATCH(B$3,PlotTitles,0)))),"",AND(ISBLANK(INDEX(PlotData,MATCH($A219,PlotNumber,0),MATCH(H$3,PlotTitles,0)))=FALSE,INDEX(PlotData,MATCH($A219,PlotNumber,0),MATCH(H$3,PlotTitles,0))&lt;500), $AB$11,TRUE,"")</f>
        <v/>
      </c>
      <c r="I219" s="104" t="str" cm="1">
        <f t="array" ref="I219">_xlfn.IFS(AND(A219&gt;NumberOfPlots,ISBLANK(INDEX(PlotData,MATCH($A219,PlotNumber,0),MATCH(B$3,PlotTitles,0)))),"",ISBLANK(INDEX(PlotData,MATCH($A219,PlotNumber,0),MATCH(I$3,PlotTitles,0))),$AB$12,TRUE,"")</f>
        <v/>
      </c>
      <c r="J219" s="104" t="str" cm="1">
        <f t="array" ref="J219">_xlfn.IFS(AND(A219&gt;NumberOfPlots,ISBLANK(INDEX(PlotData,MATCH($A219,PlotNumber,0),MATCH(B$3,PlotTitles,0)))),"",ISBLANK(INDEX(PlotData,MATCH($A219,PlotNumber,0),MATCH(J$3,PlotTitles,0))),$AB$13,TRUE,"")</f>
        <v/>
      </c>
      <c r="K219" s="182" t="str">
        <f t="shared" ca="1" si="9"/>
        <v/>
      </c>
      <c r="L219" s="104" t="str" cm="1">
        <f t="array" ref="L219">_xlfn.IFS(OR(ISBLANK(StartDateMonth),ISBLANK(StartDateYear)),"",AND(A219&gt;NumberOfPlots,ISBLANK(INDEX(PlotData,MATCH($A219,PlotNumber,0),MATCH(B$3,PlotTitles,0)))),"",ISBLANK(INDEX(PlotData,MATCH($A219,PlotNumber,0),MATCH(I$3,PlotTitles,0))),"",(DATEVALUE(INDEX(PlotData,MATCH($A219,PlotNumber,0),MATCH(I$3,PlotTitles,0))&amp;INDEX(PlotData,MATCH($A219,PlotNumber,0),MATCH(J$3,PlotTitles,0))))&lt;DATEVALUE(StartDateMonth&amp;StartDateYear),$AB$15,TRUE,"")</f>
        <v/>
      </c>
      <c r="M219" s="104" t="str" cm="1">
        <f t="array" ref="M219">_xlfn.IFS(OR(ISBLANK(StartDateMonth),ISBLANK(StartDateYear)),"",AND(A219&gt;NumberOfPlots,ISBLANK(INDEX(PlotData,MATCH($A219,PlotNumber,0),MATCH(B$3,PlotTitles,0)))),"",ISBLANK(INDEX(PlotData,MATCH($A219,PlotNumber,0),MATCH(I$3,PlotTitles,0))),"",CompletionMonth="","",(DATEVALUE(INDEX(PlotData,MATCH($A219,PlotNumber,0),MATCH(I$3,PlotTitles,0))&amp;INDEX(PlotData,MATCH($A219,PlotNumber,0),MATCH(J$3,PlotTitles,0))))&gt;(DATEVALUE(CompletionMonth&amp;CompletionYear)),$AB$16,TRUE,"")</f>
        <v/>
      </c>
      <c r="N219" s="104" t="str" cm="1">
        <f t="array" ref="N219">_xlfn.IFS(AND(A219&gt;NumberOfPlots,ISBLANK(INDEX(PlotData,MATCH($A219,PlotNumber,0),MATCH(B$3,PlotTitles,0)))),"",ISBLANK(INDEX(PlotData,MATCH($A219,PlotNumber,0),MATCH(N$3,PlotTitles,0))),$AB$17,TRUE,"")</f>
        <v/>
      </c>
      <c r="O219" s="104" t="str" cm="1">
        <f t="array" ref="O219">_xlfn.IFS(AND(A219&gt;NumberOfPlots,ISBLANK(INDEX(PlotData,MATCH($A219,PlotNumber,0),MATCH(B$3,PlotTitles,0)))),"",ISBLANK(INDEX(PlotData,MATCH($A219,PlotNumber,0),MATCH(O$3,PlotTitles,0))),$AB$18,TRUE,"")</f>
        <v/>
      </c>
      <c r="P219" s="182" t="str">
        <f t="shared" ca="1" si="10"/>
        <v/>
      </c>
      <c r="Q219" s="104" t="str" cm="1">
        <f t="array" ref="Q219">_xlfn.IFS(AND(A219&gt;NumberOfPlots,ISBLANK(INDEX(PlotData,MATCH($A219,PlotNumber,0),MATCH(B$3,PlotTitles,0)))),"",ISBLANK(INDEX(PlotData,MATCH($A219,PlotNumber,0),MATCH(N$3,PlotTitles,0))),"",(DATEVALUE(INDEX(PlotData,MATCH($A219,PlotNumber,0),MATCH(N$3,PlotTitles,0))&amp;INDEX(PlotData,MATCH($A219,PlotNumber,0),MATCH(O$3,PlotTitles,0))))&lt;(DATEVALUE(INDEX(PlotData,MATCH($A219,PlotNumber,0),MATCH(I$3,PlotTitles,0))&amp;INDEX(PlotData,MATCH($A219,PlotNumber,0),MATCH(J$3,PlotTitles,0)))),$AB$20,TRUE,"")</f>
        <v/>
      </c>
      <c r="R219" s="104" t="str" cm="1">
        <f t="array" ref="R219">_xlfn.IFS(OR(ISBLANK(StartDateMonth),ISBLANK(StartDateYear)),"",AND(A219&gt;NumberOfPlots,ISBLANK(INDEX(PlotData,MATCH($A219,PlotNumber,0),MATCH(B$3,PlotTitles,0)))),"",ISBLANK(INDEX(PlotData,MATCH($A219,PlotNumber,0),MATCH(N$3,PlotTitles,0))),"",CompletionMonth="","",(DATEVALUE(INDEX(PlotData,MATCH($A219,PlotNumber,0),MATCH(N$3,PlotTitles,0))&amp;INDEX(PlotData,MATCH($A219,PlotNumber,0),MATCH(O$3,PlotTitles,0))))&gt;(DATEVALUE(CompletionMonth&amp;CompletionYear)),$AB$21,TRUE,"")</f>
        <v/>
      </c>
      <c r="S219" s="104" t="str" cm="1">
        <f t="array" ref="S219">_xlfn.IFS(AND(A219&gt;NumberOfPlots,ISBLANK(INDEX(PlotData,MATCH($A219,PlotNumber,0),MATCH(B$3,PlotTitles,0)))),"",OR(AND(INDEX(PlotData,MATCH($A219,PlotNumber,0),MATCH("Tenure",PlotTitles,0))="Open market housing",INDEX(PlotData,MATCH($A219,PlotNumber,0),MATCH("Tenure detail",PlotTitles,0))="Private rented sector"),INDEX(PlotData,MATCH($A219,PlotNumber,0),MATCH("Tenure",PlotTitles,0))="Affordable rent"),"",ISNUMBER(INDEX(PlotData,MATCH($A219,PlotNumber,0),MATCH(S$3,PlotTitles,0)))=FALSE, $AB$22,TRUE,"")</f>
        <v/>
      </c>
      <c r="T219" s="104" t="str" cm="1">
        <f t="array" ref="T219">_xlfn.IFS(AND(A219&gt;NumberOfPlots,ISBLANK(INDEX(PlotData,MATCH($A219,PlotNumber,0),MATCH(B$3,PlotTitles,0)))),"",OR(AND(INDEX(PlotData,MATCH($A219,PlotNumber,0),MATCH("Tenure",PlotTitles,0))="Open market housing",INDEX(PlotData,MATCH($A219,PlotNumber,0),MATCH("Tenure detail",PlotTitles,0))="Private rented sector"),INDEX(PlotData,MATCH($A219,PlotNumber,0),MATCH("Tenure",PlotTitles,0))="Affordable rent"),"",INDEX(PlotData,MATCH($A219,PlotNumber,0),MATCH(S$3,PlotTitles,0))&lt;10000, $AB$23,TRUE,"")</f>
        <v/>
      </c>
      <c r="U219" s="104" t="str" cm="1">
        <f t="array" ref="U219">_xlfn.IFS(AND(A219&gt;NumberOfPlots,ISBLANK(INDEX(PlotData,MATCH($A219,PlotNumber,0),MATCH(B$3,PlotTitles,0)))),"",NOT(OR(AND(INDEX(PlotData,MATCH($A219,PlotNumber,0),MATCH("Tenure",PlotTitles,0))="Open market housing",INDEX(PlotData,MATCH($A219,PlotNumber,0),MATCH("Tenure detail",PlotTitles,0))="Private rented sector"),INDEX(PlotData,MATCH($A219,PlotNumber,0),MATCH("Tenure",PlotTitles,0))="Affordable rent")),"",NOT(INDEX(PlotData,MATCH($A219,PlotNumber,0),MATCH(S$3,PlotTitles,0))=0), $AB$24,TRUE,"")</f>
        <v/>
      </c>
      <c r="V219" s="114" t="str" cm="1">
        <f t="array" aca="1" ref="V219" ca="1">_xlfn.IFS(ISBLANK(NumberOfPlots),"Enter the number of homes on the 1_SetUp sheet",AND(A219&gt;NumberOfPlots,ISBLANK(INDEX(PlotData,MATCH($A219,PlotNumber,0),MATCH(B$3,PlotTitles,0)))),"No error",NOT(B219=""),B219,NOT(C219=""),C219,NOT(D219=""),D219,NOT(E219=""),E219,NOT(F219=""),F219,NOT(G219=""),G219,NOT(H219=""),H219,NOT(I219=""),I219,NOT(J219=""),J219,NOT(K219=""),K219,NOT(L219=""),L219,NOT(M219=""),M219,NOT(N219=""),N219,NOT(O219=""),O219,NOT(P219=""),P219,NOT(Q219=""),Q219,NOT(R219=""),R219,NOT(S219=""),S219,NOT(T219=""),T219,NOT(U219=""),U219,TRUE,"No error")</f>
        <v>Enter the number of homes on the 1_SetUp sheet</v>
      </c>
      <c r="W219" s="114" t="str">
        <f t="shared" ca="1" si="11"/>
        <v xml:space="preserve">The Borrower has not addressed the following error messages for Home ID 215: </v>
      </c>
    </row>
    <row r="220" spans="1:23">
      <c r="A220" s="123">
        <v>216</v>
      </c>
      <c r="B220" s="104" t="str" cm="1">
        <f t="array" ref="B220">_xlfn.IFS(AND(A220&gt;NumberOfPlots,ISBLANK(INDEX(PlotData,MATCH($A220,PlotNumber,0),MATCH(B$3,PlotTitles,0)))),"",ISNUMBER(INDEX(PlotData,MATCH($A220,PlotNumber,0),MATCH(B$3,PlotTitles,0)))=FALSE, $AB$5,TRUE,"")</f>
        <v/>
      </c>
      <c r="C220" s="104" t="str" cm="1">
        <f t="array" ref="C220">_xlfn.IFS(AND(A220&gt;NumberOfPlots,ISBLANK(INDEX(PlotData,MATCH($A220,PlotNumber,0),MATCH(B$3,PlotTitles,0)))),"",ISBLANK(INDEX(PlotData,MATCH($A220,PlotNumber,0),MATCH(C$3,PlotTitles,0))),$AB$6,TRUE,"")</f>
        <v/>
      </c>
      <c r="D220" s="104" t="str" cm="1">
        <f t="array" ref="D220">_xlfn.IFS(AND(A220&gt;NumberOfPlots,ISBLANK(INDEX(PlotData,MATCH($A220,PlotNumber,0),MATCH(B$3,PlotTitles,0)))),"",ISBLANK(INDEX(PlotData,MATCH($A220,PlotNumber,0),MATCH(D$3,PlotTitles,0))),$AB$7,TRUE,"")</f>
        <v/>
      </c>
      <c r="E220" s="104" t="str" cm="1">
        <f t="array" ref="E220">_xlfn.IFS(AND(A220&gt;NumberOfPlots,ISBLANK(INDEX(PlotData,MATCH($A220,PlotNumber,0),MATCH(B$3,PlotTitles,0)))),"",ISBLANK(INDEX(PlotData,MATCH($A220,PlotNumber,0),MATCH(E$3,PlotTitles,0))),$AB$8,TRUE,"")</f>
        <v/>
      </c>
      <c r="F220" s="104" t="str" cm="1">
        <f t="array" ref="F220">_xlfn.IFS(AND(A220&gt;NumberOfPlots,ISBLANK(INDEX(PlotData,MATCH($A220,PlotNumber,0),MATCH(B$3,PlotTitles,0)))),"",ISBLANK(INDEX(PlotData,MATCH($A220,PlotNumber,0),MATCH(F$3,PlotTitles,0))),$AB$9,TRUE,"")</f>
        <v/>
      </c>
      <c r="G220" s="104" t="str" cm="1">
        <f t="array" ref="G220">_xlfn.IFS(AND(A220&gt;NumberOfPlots,ISBLANK(INDEX(PlotData,MATCH($A220,PlotNumber,0),MATCH(B$3,PlotTitles,0)))),"",ISBLANK(INDEX(PlotData,MATCH($A220,PlotNumber,0),MATCH(G$3,PlotTitles,0))),$AB$10,TRUE,"")</f>
        <v/>
      </c>
      <c r="H220" s="104" t="str" cm="1">
        <f t="array" ref="H220">_xlfn.IFS(AND(A220&gt;NumberOfPlots,ISBLANK(INDEX(PlotData,MATCH($A220,PlotNumber,0),MATCH(B$3,PlotTitles,0)))),"",AND(ISBLANK(INDEX(PlotData,MATCH($A220,PlotNumber,0),MATCH(H$3,PlotTitles,0)))=FALSE,INDEX(PlotData,MATCH($A220,PlotNumber,0),MATCH(H$3,PlotTitles,0))&lt;500), $AB$11,TRUE,"")</f>
        <v/>
      </c>
      <c r="I220" s="104" t="str" cm="1">
        <f t="array" ref="I220">_xlfn.IFS(AND(A220&gt;NumberOfPlots,ISBLANK(INDEX(PlotData,MATCH($A220,PlotNumber,0),MATCH(B$3,PlotTitles,0)))),"",ISBLANK(INDEX(PlotData,MATCH($A220,PlotNumber,0),MATCH(I$3,PlotTitles,0))),$AB$12,TRUE,"")</f>
        <v/>
      </c>
      <c r="J220" s="104" t="str" cm="1">
        <f t="array" ref="J220">_xlfn.IFS(AND(A220&gt;NumberOfPlots,ISBLANK(INDEX(PlotData,MATCH($A220,PlotNumber,0),MATCH(B$3,PlotTitles,0)))),"",ISBLANK(INDEX(PlotData,MATCH($A220,PlotNumber,0),MATCH(J$3,PlotTitles,0))),$AB$13,TRUE,"")</f>
        <v/>
      </c>
      <c r="K220" s="182" t="str">
        <f t="shared" ca="1" si="9"/>
        <v/>
      </c>
      <c r="L220" s="104" t="str" cm="1">
        <f t="array" ref="L220">_xlfn.IFS(OR(ISBLANK(StartDateMonth),ISBLANK(StartDateYear)),"",AND(A220&gt;NumberOfPlots,ISBLANK(INDEX(PlotData,MATCH($A220,PlotNumber,0),MATCH(B$3,PlotTitles,0)))),"",ISBLANK(INDEX(PlotData,MATCH($A220,PlotNumber,0),MATCH(I$3,PlotTitles,0))),"",(DATEVALUE(INDEX(PlotData,MATCH($A220,PlotNumber,0),MATCH(I$3,PlotTitles,0))&amp;INDEX(PlotData,MATCH($A220,PlotNumber,0),MATCH(J$3,PlotTitles,0))))&lt;DATEVALUE(StartDateMonth&amp;StartDateYear),$AB$15,TRUE,"")</f>
        <v/>
      </c>
      <c r="M220" s="104" t="str" cm="1">
        <f t="array" ref="M220">_xlfn.IFS(OR(ISBLANK(StartDateMonth),ISBLANK(StartDateYear)),"",AND(A220&gt;NumberOfPlots,ISBLANK(INDEX(PlotData,MATCH($A220,PlotNumber,0),MATCH(B$3,PlotTitles,0)))),"",ISBLANK(INDEX(PlotData,MATCH($A220,PlotNumber,0),MATCH(I$3,PlotTitles,0))),"",CompletionMonth="","",(DATEVALUE(INDEX(PlotData,MATCH($A220,PlotNumber,0),MATCH(I$3,PlotTitles,0))&amp;INDEX(PlotData,MATCH($A220,PlotNumber,0),MATCH(J$3,PlotTitles,0))))&gt;(DATEVALUE(CompletionMonth&amp;CompletionYear)),$AB$16,TRUE,"")</f>
        <v/>
      </c>
      <c r="N220" s="104" t="str" cm="1">
        <f t="array" ref="N220">_xlfn.IFS(AND(A220&gt;NumberOfPlots,ISBLANK(INDEX(PlotData,MATCH($A220,PlotNumber,0),MATCH(B$3,PlotTitles,0)))),"",ISBLANK(INDEX(PlotData,MATCH($A220,PlotNumber,0),MATCH(N$3,PlotTitles,0))),$AB$17,TRUE,"")</f>
        <v/>
      </c>
      <c r="O220" s="104" t="str" cm="1">
        <f t="array" ref="O220">_xlfn.IFS(AND(A220&gt;NumberOfPlots,ISBLANK(INDEX(PlotData,MATCH($A220,PlotNumber,0),MATCH(B$3,PlotTitles,0)))),"",ISBLANK(INDEX(PlotData,MATCH($A220,PlotNumber,0),MATCH(O$3,PlotTitles,0))),$AB$18,TRUE,"")</f>
        <v/>
      </c>
      <c r="P220" s="182" t="str">
        <f t="shared" ca="1" si="10"/>
        <v/>
      </c>
      <c r="Q220" s="104" t="str" cm="1">
        <f t="array" ref="Q220">_xlfn.IFS(AND(A220&gt;NumberOfPlots,ISBLANK(INDEX(PlotData,MATCH($A220,PlotNumber,0),MATCH(B$3,PlotTitles,0)))),"",ISBLANK(INDEX(PlotData,MATCH($A220,PlotNumber,0),MATCH(N$3,PlotTitles,0))),"",(DATEVALUE(INDEX(PlotData,MATCH($A220,PlotNumber,0),MATCH(N$3,PlotTitles,0))&amp;INDEX(PlotData,MATCH($A220,PlotNumber,0),MATCH(O$3,PlotTitles,0))))&lt;(DATEVALUE(INDEX(PlotData,MATCH($A220,PlotNumber,0),MATCH(I$3,PlotTitles,0))&amp;INDEX(PlotData,MATCH($A220,PlotNumber,0),MATCH(J$3,PlotTitles,0)))),$AB$20,TRUE,"")</f>
        <v/>
      </c>
      <c r="R220" s="104" t="str" cm="1">
        <f t="array" ref="R220">_xlfn.IFS(OR(ISBLANK(StartDateMonth),ISBLANK(StartDateYear)),"",AND(A220&gt;NumberOfPlots,ISBLANK(INDEX(PlotData,MATCH($A220,PlotNumber,0),MATCH(B$3,PlotTitles,0)))),"",ISBLANK(INDEX(PlotData,MATCH($A220,PlotNumber,0),MATCH(N$3,PlotTitles,0))),"",CompletionMonth="","",(DATEVALUE(INDEX(PlotData,MATCH($A220,PlotNumber,0),MATCH(N$3,PlotTitles,0))&amp;INDEX(PlotData,MATCH($A220,PlotNumber,0),MATCH(O$3,PlotTitles,0))))&gt;(DATEVALUE(CompletionMonth&amp;CompletionYear)),$AB$21,TRUE,"")</f>
        <v/>
      </c>
      <c r="S220" s="104" t="str" cm="1">
        <f t="array" ref="S220">_xlfn.IFS(AND(A220&gt;NumberOfPlots,ISBLANK(INDEX(PlotData,MATCH($A220,PlotNumber,0),MATCH(B$3,PlotTitles,0)))),"",OR(AND(INDEX(PlotData,MATCH($A220,PlotNumber,0),MATCH("Tenure",PlotTitles,0))="Open market housing",INDEX(PlotData,MATCH($A220,PlotNumber,0),MATCH("Tenure detail",PlotTitles,0))="Private rented sector"),INDEX(PlotData,MATCH($A220,PlotNumber,0),MATCH("Tenure",PlotTitles,0))="Affordable rent"),"",ISNUMBER(INDEX(PlotData,MATCH($A220,PlotNumber,0),MATCH(S$3,PlotTitles,0)))=FALSE, $AB$22,TRUE,"")</f>
        <v/>
      </c>
      <c r="T220" s="104" t="str" cm="1">
        <f t="array" ref="T220">_xlfn.IFS(AND(A220&gt;NumberOfPlots,ISBLANK(INDEX(PlotData,MATCH($A220,PlotNumber,0),MATCH(B$3,PlotTitles,0)))),"",OR(AND(INDEX(PlotData,MATCH($A220,PlotNumber,0),MATCH("Tenure",PlotTitles,0))="Open market housing",INDEX(PlotData,MATCH($A220,PlotNumber,0),MATCH("Tenure detail",PlotTitles,0))="Private rented sector"),INDEX(PlotData,MATCH($A220,PlotNumber,0),MATCH("Tenure",PlotTitles,0))="Affordable rent"),"",INDEX(PlotData,MATCH($A220,PlotNumber,0),MATCH(S$3,PlotTitles,0))&lt;10000, $AB$23,TRUE,"")</f>
        <v/>
      </c>
      <c r="U220" s="104" t="str" cm="1">
        <f t="array" ref="U220">_xlfn.IFS(AND(A220&gt;NumberOfPlots,ISBLANK(INDEX(PlotData,MATCH($A220,PlotNumber,0),MATCH(B$3,PlotTitles,0)))),"",NOT(OR(AND(INDEX(PlotData,MATCH($A220,PlotNumber,0),MATCH("Tenure",PlotTitles,0))="Open market housing",INDEX(PlotData,MATCH($A220,PlotNumber,0),MATCH("Tenure detail",PlotTitles,0))="Private rented sector"),INDEX(PlotData,MATCH($A220,PlotNumber,0),MATCH("Tenure",PlotTitles,0))="Affordable rent")),"",NOT(INDEX(PlotData,MATCH($A220,PlotNumber,0),MATCH(S$3,PlotTitles,0))=0), $AB$24,TRUE,"")</f>
        <v/>
      </c>
      <c r="V220" s="114" t="str" cm="1">
        <f t="array" aca="1" ref="V220" ca="1">_xlfn.IFS(ISBLANK(NumberOfPlots),"Enter the number of homes on the 1_SetUp sheet",AND(A220&gt;NumberOfPlots,ISBLANK(INDEX(PlotData,MATCH($A220,PlotNumber,0),MATCH(B$3,PlotTitles,0)))),"No error",NOT(B220=""),B220,NOT(C220=""),C220,NOT(D220=""),D220,NOT(E220=""),E220,NOT(F220=""),F220,NOT(G220=""),G220,NOT(H220=""),H220,NOT(I220=""),I220,NOT(J220=""),J220,NOT(K220=""),K220,NOT(L220=""),L220,NOT(M220=""),M220,NOT(N220=""),N220,NOT(O220=""),O220,NOT(P220=""),P220,NOT(Q220=""),Q220,NOT(R220=""),R220,NOT(S220=""),S220,NOT(T220=""),T220,NOT(U220=""),U220,TRUE,"No error")</f>
        <v>Enter the number of homes on the 1_SetUp sheet</v>
      </c>
      <c r="W220" s="114" t="str">
        <f t="shared" ca="1" si="11"/>
        <v xml:space="preserve">The Borrower has not addressed the following error messages for Home ID 216: </v>
      </c>
    </row>
    <row r="221" spans="1:23">
      <c r="A221" s="123">
        <v>217</v>
      </c>
      <c r="B221" s="104" t="str" cm="1">
        <f t="array" ref="B221">_xlfn.IFS(AND(A221&gt;NumberOfPlots,ISBLANK(INDEX(PlotData,MATCH($A221,PlotNumber,0),MATCH(B$3,PlotTitles,0)))),"",ISNUMBER(INDEX(PlotData,MATCH($A221,PlotNumber,0),MATCH(B$3,PlotTitles,0)))=FALSE, $AB$5,TRUE,"")</f>
        <v/>
      </c>
      <c r="C221" s="104" t="str" cm="1">
        <f t="array" ref="C221">_xlfn.IFS(AND(A221&gt;NumberOfPlots,ISBLANK(INDEX(PlotData,MATCH($A221,PlotNumber,0),MATCH(B$3,PlotTitles,0)))),"",ISBLANK(INDEX(PlotData,MATCH($A221,PlotNumber,0),MATCH(C$3,PlotTitles,0))),$AB$6,TRUE,"")</f>
        <v/>
      </c>
      <c r="D221" s="104" t="str" cm="1">
        <f t="array" ref="D221">_xlfn.IFS(AND(A221&gt;NumberOfPlots,ISBLANK(INDEX(PlotData,MATCH($A221,PlotNumber,0),MATCH(B$3,PlotTitles,0)))),"",ISBLANK(INDEX(PlotData,MATCH($A221,PlotNumber,0),MATCH(D$3,PlotTitles,0))),$AB$7,TRUE,"")</f>
        <v/>
      </c>
      <c r="E221" s="104" t="str" cm="1">
        <f t="array" ref="E221">_xlfn.IFS(AND(A221&gt;NumberOfPlots,ISBLANK(INDEX(PlotData,MATCH($A221,PlotNumber,0),MATCH(B$3,PlotTitles,0)))),"",ISBLANK(INDEX(PlotData,MATCH($A221,PlotNumber,0),MATCH(E$3,PlotTitles,0))),$AB$8,TRUE,"")</f>
        <v/>
      </c>
      <c r="F221" s="104" t="str" cm="1">
        <f t="array" ref="F221">_xlfn.IFS(AND(A221&gt;NumberOfPlots,ISBLANK(INDEX(PlotData,MATCH($A221,PlotNumber,0),MATCH(B$3,PlotTitles,0)))),"",ISBLANK(INDEX(PlotData,MATCH($A221,PlotNumber,0),MATCH(F$3,PlotTitles,0))),$AB$9,TRUE,"")</f>
        <v/>
      </c>
      <c r="G221" s="104" t="str" cm="1">
        <f t="array" ref="G221">_xlfn.IFS(AND(A221&gt;NumberOfPlots,ISBLANK(INDEX(PlotData,MATCH($A221,PlotNumber,0),MATCH(B$3,PlotTitles,0)))),"",ISBLANK(INDEX(PlotData,MATCH($A221,PlotNumber,0),MATCH(G$3,PlotTitles,0))),$AB$10,TRUE,"")</f>
        <v/>
      </c>
      <c r="H221" s="104" t="str" cm="1">
        <f t="array" ref="H221">_xlfn.IFS(AND(A221&gt;NumberOfPlots,ISBLANK(INDEX(PlotData,MATCH($A221,PlotNumber,0),MATCH(B$3,PlotTitles,0)))),"",AND(ISBLANK(INDEX(PlotData,MATCH($A221,PlotNumber,0),MATCH(H$3,PlotTitles,0)))=FALSE,INDEX(PlotData,MATCH($A221,PlotNumber,0),MATCH(H$3,PlotTitles,0))&lt;500), $AB$11,TRUE,"")</f>
        <v/>
      </c>
      <c r="I221" s="104" t="str" cm="1">
        <f t="array" ref="I221">_xlfn.IFS(AND(A221&gt;NumberOfPlots,ISBLANK(INDEX(PlotData,MATCH($A221,PlotNumber,0),MATCH(B$3,PlotTitles,0)))),"",ISBLANK(INDEX(PlotData,MATCH($A221,PlotNumber,0),MATCH(I$3,PlotTitles,0))),$AB$12,TRUE,"")</f>
        <v/>
      </c>
      <c r="J221" s="104" t="str" cm="1">
        <f t="array" ref="J221">_xlfn.IFS(AND(A221&gt;NumberOfPlots,ISBLANK(INDEX(PlotData,MATCH($A221,PlotNumber,0),MATCH(B$3,PlotTitles,0)))),"",ISBLANK(INDEX(PlotData,MATCH($A221,PlotNumber,0),MATCH(J$3,PlotTitles,0))),$AB$13,TRUE,"")</f>
        <v/>
      </c>
      <c r="K221" s="182" t="str">
        <f t="shared" ca="1" si="9"/>
        <v/>
      </c>
      <c r="L221" s="104" t="str" cm="1">
        <f t="array" ref="L221">_xlfn.IFS(OR(ISBLANK(StartDateMonth),ISBLANK(StartDateYear)),"",AND(A221&gt;NumberOfPlots,ISBLANK(INDEX(PlotData,MATCH($A221,PlotNumber,0),MATCH(B$3,PlotTitles,0)))),"",ISBLANK(INDEX(PlotData,MATCH($A221,PlotNumber,0),MATCH(I$3,PlotTitles,0))),"",(DATEVALUE(INDEX(PlotData,MATCH($A221,PlotNumber,0),MATCH(I$3,PlotTitles,0))&amp;INDEX(PlotData,MATCH($A221,PlotNumber,0),MATCH(J$3,PlotTitles,0))))&lt;DATEVALUE(StartDateMonth&amp;StartDateYear),$AB$15,TRUE,"")</f>
        <v/>
      </c>
      <c r="M221" s="104" t="str" cm="1">
        <f t="array" ref="M221">_xlfn.IFS(OR(ISBLANK(StartDateMonth),ISBLANK(StartDateYear)),"",AND(A221&gt;NumberOfPlots,ISBLANK(INDEX(PlotData,MATCH($A221,PlotNumber,0),MATCH(B$3,PlotTitles,0)))),"",ISBLANK(INDEX(PlotData,MATCH($A221,PlotNumber,0),MATCH(I$3,PlotTitles,0))),"",CompletionMonth="","",(DATEVALUE(INDEX(PlotData,MATCH($A221,PlotNumber,0),MATCH(I$3,PlotTitles,0))&amp;INDEX(PlotData,MATCH($A221,PlotNumber,0),MATCH(J$3,PlotTitles,0))))&gt;(DATEVALUE(CompletionMonth&amp;CompletionYear)),$AB$16,TRUE,"")</f>
        <v/>
      </c>
      <c r="N221" s="104" t="str" cm="1">
        <f t="array" ref="N221">_xlfn.IFS(AND(A221&gt;NumberOfPlots,ISBLANK(INDEX(PlotData,MATCH($A221,PlotNumber,0),MATCH(B$3,PlotTitles,0)))),"",ISBLANK(INDEX(PlotData,MATCH($A221,PlotNumber,0),MATCH(N$3,PlotTitles,0))),$AB$17,TRUE,"")</f>
        <v/>
      </c>
      <c r="O221" s="104" t="str" cm="1">
        <f t="array" ref="O221">_xlfn.IFS(AND(A221&gt;NumberOfPlots,ISBLANK(INDEX(PlotData,MATCH($A221,PlotNumber,0),MATCH(B$3,PlotTitles,0)))),"",ISBLANK(INDEX(PlotData,MATCH($A221,PlotNumber,0),MATCH(O$3,PlotTitles,0))),$AB$18,TRUE,"")</f>
        <v/>
      </c>
      <c r="P221" s="182" t="str">
        <f t="shared" ca="1" si="10"/>
        <v/>
      </c>
      <c r="Q221" s="104" t="str" cm="1">
        <f t="array" ref="Q221">_xlfn.IFS(AND(A221&gt;NumberOfPlots,ISBLANK(INDEX(PlotData,MATCH($A221,PlotNumber,0),MATCH(B$3,PlotTitles,0)))),"",ISBLANK(INDEX(PlotData,MATCH($A221,PlotNumber,0),MATCH(N$3,PlotTitles,0))),"",(DATEVALUE(INDEX(PlotData,MATCH($A221,PlotNumber,0),MATCH(N$3,PlotTitles,0))&amp;INDEX(PlotData,MATCH($A221,PlotNumber,0),MATCH(O$3,PlotTitles,0))))&lt;(DATEVALUE(INDEX(PlotData,MATCH($A221,PlotNumber,0),MATCH(I$3,PlotTitles,0))&amp;INDEX(PlotData,MATCH($A221,PlotNumber,0),MATCH(J$3,PlotTitles,0)))),$AB$20,TRUE,"")</f>
        <v/>
      </c>
      <c r="R221" s="104" t="str" cm="1">
        <f t="array" ref="R221">_xlfn.IFS(OR(ISBLANK(StartDateMonth),ISBLANK(StartDateYear)),"",AND(A221&gt;NumberOfPlots,ISBLANK(INDEX(PlotData,MATCH($A221,PlotNumber,0),MATCH(B$3,PlotTitles,0)))),"",ISBLANK(INDEX(PlotData,MATCH($A221,PlotNumber,0),MATCH(N$3,PlotTitles,0))),"",CompletionMonth="","",(DATEVALUE(INDEX(PlotData,MATCH($A221,PlotNumber,0),MATCH(N$3,PlotTitles,0))&amp;INDEX(PlotData,MATCH($A221,PlotNumber,0),MATCH(O$3,PlotTitles,0))))&gt;(DATEVALUE(CompletionMonth&amp;CompletionYear)),$AB$21,TRUE,"")</f>
        <v/>
      </c>
      <c r="S221" s="104" t="str" cm="1">
        <f t="array" ref="S221">_xlfn.IFS(AND(A221&gt;NumberOfPlots,ISBLANK(INDEX(PlotData,MATCH($A221,PlotNumber,0),MATCH(B$3,PlotTitles,0)))),"",OR(AND(INDEX(PlotData,MATCH($A221,PlotNumber,0),MATCH("Tenure",PlotTitles,0))="Open market housing",INDEX(PlotData,MATCH($A221,PlotNumber,0),MATCH("Tenure detail",PlotTitles,0))="Private rented sector"),INDEX(PlotData,MATCH($A221,PlotNumber,0),MATCH("Tenure",PlotTitles,0))="Affordable rent"),"",ISNUMBER(INDEX(PlotData,MATCH($A221,PlotNumber,0),MATCH(S$3,PlotTitles,0)))=FALSE, $AB$22,TRUE,"")</f>
        <v/>
      </c>
      <c r="T221" s="104" t="str" cm="1">
        <f t="array" ref="T221">_xlfn.IFS(AND(A221&gt;NumberOfPlots,ISBLANK(INDEX(PlotData,MATCH($A221,PlotNumber,0),MATCH(B$3,PlotTitles,0)))),"",OR(AND(INDEX(PlotData,MATCH($A221,PlotNumber,0),MATCH("Tenure",PlotTitles,0))="Open market housing",INDEX(PlotData,MATCH($A221,PlotNumber,0),MATCH("Tenure detail",PlotTitles,0))="Private rented sector"),INDEX(PlotData,MATCH($A221,PlotNumber,0),MATCH("Tenure",PlotTitles,0))="Affordable rent"),"",INDEX(PlotData,MATCH($A221,PlotNumber,0),MATCH(S$3,PlotTitles,0))&lt;10000, $AB$23,TRUE,"")</f>
        <v/>
      </c>
      <c r="U221" s="104" t="str" cm="1">
        <f t="array" ref="U221">_xlfn.IFS(AND(A221&gt;NumberOfPlots,ISBLANK(INDEX(PlotData,MATCH($A221,PlotNumber,0),MATCH(B$3,PlotTitles,0)))),"",NOT(OR(AND(INDEX(PlotData,MATCH($A221,PlotNumber,0),MATCH("Tenure",PlotTitles,0))="Open market housing",INDEX(PlotData,MATCH($A221,PlotNumber,0),MATCH("Tenure detail",PlotTitles,0))="Private rented sector"),INDEX(PlotData,MATCH($A221,PlotNumber,0),MATCH("Tenure",PlotTitles,0))="Affordable rent")),"",NOT(INDEX(PlotData,MATCH($A221,PlotNumber,0),MATCH(S$3,PlotTitles,0))=0), $AB$24,TRUE,"")</f>
        <v/>
      </c>
      <c r="V221" s="114" t="str" cm="1">
        <f t="array" aca="1" ref="V221" ca="1">_xlfn.IFS(ISBLANK(NumberOfPlots),"Enter the number of homes on the 1_SetUp sheet",AND(A221&gt;NumberOfPlots,ISBLANK(INDEX(PlotData,MATCH($A221,PlotNumber,0),MATCH(B$3,PlotTitles,0)))),"No error",NOT(B221=""),B221,NOT(C221=""),C221,NOT(D221=""),D221,NOT(E221=""),E221,NOT(F221=""),F221,NOT(G221=""),G221,NOT(H221=""),H221,NOT(I221=""),I221,NOT(J221=""),J221,NOT(K221=""),K221,NOT(L221=""),L221,NOT(M221=""),M221,NOT(N221=""),N221,NOT(O221=""),O221,NOT(P221=""),P221,NOT(Q221=""),Q221,NOT(R221=""),R221,NOT(S221=""),S221,NOT(T221=""),T221,NOT(U221=""),U221,TRUE,"No error")</f>
        <v>Enter the number of homes on the 1_SetUp sheet</v>
      </c>
      <c r="W221" s="114" t="str">
        <f t="shared" ca="1" si="11"/>
        <v xml:space="preserve">The Borrower has not addressed the following error messages for Home ID 217: </v>
      </c>
    </row>
    <row r="222" spans="1:23">
      <c r="A222" s="123">
        <v>218</v>
      </c>
      <c r="B222" s="104" t="str" cm="1">
        <f t="array" ref="B222">_xlfn.IFS(AND(A222&gt;NumberOfPlots,ISBLANK(INDEX(PlotData,MATCH($A222,PlotNumber,0),MATCH(B$3,PlotTitles,0)))),"",ISNUMBER(INDEX(PlotData,MATCH($A222,PlotNumber,0),MATCH(B$3,PlotTitles,0)))=FALSE, $AB$5,TRUE,"")</f>
        <v/>
      </c>
      <c r="C222" s="104" t="str" cm="1">
        <f t="array" ref="C222">_xlfn.IFS(AND(A222&gt;NumberOfPlots,ISBLANK(INDEX(PlotData,MATCH($A222,PlotNumber,0),MATCH(B$3,PlotTitles,0)))),"",ISBLANK(INDEX(PlotData,MATCH($A222,PlotNumber,0),MATCH(C$3,PlotTitles,0))),$AB$6,TRUE,"")</f>
        <v/>
      </c>
      <c r="D222" s="104" t="str" cm="1">
        <f t="array" ref="D222">_xlfn.IFS(AND(A222&gt;NumberOfPlots,ISBLANK(INDEX(PlotData,MATCH($A222,PlotNumber,0),MATCH(B$3,PlotTitles,0)))),"",ISBLANK(INDEX(PlotData,MATCH($A222,PlotNumber,0),MATCH(D$3,PlotTitles,0))),$AB$7,TRUE,"")</f>
        <v/>
      </c>
      <c r="E222" s="104" t="str" cm="1">
        <f t="array" ref="E222">_xlfn.IFS(AND(A222&gt;NumberOfPlots,ISBLANK(INDEX(PlotData,MATCH($A222,PlotNumber,0),MATCH(B$3,PlotTitles,0)))),"",ISBLANK(INDEX(PlotData,MATCH($A222,PlotNumber,0),MATCH(E$3,PlotTitles,0))),$AB$8,TRUE,"")</f>
        <v/>
      </c>
      <c r="F222" s="104" t="str" cm="1">
        <f t="array" ref="F222">_xlfn.IFS(AND(A222&gt;NumberOfPlots,ISBLANK(INDEX(PlotData,MATCH($A222,PlotNumber,0),MATCH(B$3,PlotTitles,0)))),"",ISBLANK(INDEX(PlotData,MATCH($A222,PlotNumber,0),MATCH(F$3,PlotTitles,0))),$AB$9,TRUE,"")</f>
        <v/>
      </c>
      <c r="G222" s="104" t="str" cm="1">
        <f t="array" ref="G222">_xlfn.IFS(AND(A222&gt;NumberOfPlots,ISBLANK(INDEX(PlotData,MATCH($A222,PlotNumber,0),MATCH(B$3,PlotTitles,0)))),"",ISBLANK(INDEX(PlotData,MATCH($A222,PlotNumber,0),MATCH(G$3,PlotTitles,0))),$AB$10,TRUE,"")</f>
        <v/>
      </c>
      <c r="H222" s="104" t="str" cm="1">
        <f t="array" ref="H222">_xlfn.IFS(AND(A222&gt;NumberOfPlots,ISBLANK(INDEX(PlotData,MATCH($A222,PlotNumber,0),MATCH(B$3,PlotTitles,0)))),"",AND(ISBLANK(INDEX(PlotData,MATCH($A222,PlotNumber,0),MATCH(H$3,PlotTitles,0)))=FALSE,INDEX(PlotData,MATCH($A222,PlotNumber,0),MATCH(H$3,PlotTitles,0))&lt;500), $AB$11,TRUE,"")</f>
        <v/>
      </c>
      <c r="I222" s="104" t="str" cm="1">
        <f t="array" ref="I222">_xlfn.IFS(AND(A222&gt;NumberOfPlots,ISBLANK(INDEX(PlotData,MATCH($A222,PlotNumber,0),MATCH(B$3,PlotTitles,0)))),"",ISBLANK(INDEX(PlotData,MATCH($A222,PlotNumber,0),MATCH(I$3,PlotTitles,0))),$AB$12,TRUE,"")</f>
        <v/>
      </c>
      <c r="J222" s="104" t="str" cm="1">
        <f t="array" ref="J222">_xlfn.IFS(AND(A222&gt;NumberOfPlots,ISBLANK(INDEX(PlotData,MATCH($A222,PlotNumber,0),MATCH(B$3,PlotTitles,0)))),"",ISBLANK(INDEX(PlotData,MATCH($A222,PlotNumber,0),MATCH(J$3,PlotTitles,0))),$AB$13,TRUE,"")</f>
        <v/>
      </c>
      <c r="K222" s="182" t="str">
        <f t="shared" ca="1" si="9"/>
        <v/>
      </c>
      <c r="L222" s="104" t="str" cm="1">
        <f t="array" ref="L222">_xlfn.IFS(OR(ISBLANK(StartDateMonth),ISBLANK(StartDateYear)),"",AND(A222&gt;NumberOfPlots,ISBLANK(INDEX(PlotData,MATCH($A222,PlotNumber,0),MATCH(B$3,PlotTitles,0)))),"",ISBLANK(INDEX(PlotData,MATCH($A222,PlotNumber,0),MATCH(I$3,PlotTitles,0))),"",(DATEVALUE(INDEX(PlotData,MATCH($A222,PlotNumber,0),MATCH(I$3,PlotTitles,0))&amp;INDEX(PlotData,MATCH($A222,PlotNumber,0),MATCH(J$3,PlotTitles,0))))&lt;DATEVALUE(StartDateMonth&amp;StartDateYear),$AB$15,TRUE,"")</f>
        <v/>
      </c>
      <c r="M222" s="104" t="str" cm="1">
        <f t="array" ref="M222">_xlfn.IFS(OR(ISBLANK(StartDateMonth),ISBLANK(StartDateYear)),"",AND(A222&gt;NumberOfPlots,ISBLANK(INDEX(PlotData,MATCH($A222,PlotNumber,0),MATCH(B$3,PlotTitles,0)))),"",ISBLANK(INDEX(PlotData,MATCH($A222,PlotNumber,0),MATCH(I$3,PlotTitles,0))),"",CompletionMonth="","",(DATEVALUE(INDEX(PlotData,MATCH($A222,PlotNumber,0),MATCH(I$3,PlotTitles,0))&amp;INDEX(PlotData,MATCH($A222,PlotNumber,0),MATCH(J$3,PlotTitles,0))))&gt;(DATEVALUE(CompletionMonth&amp;CompletionYear)),$AB$16,TRUE,"")</f>
        <v/>
      </c>
      <c r="N222" s="104" t="str" cm="1">
        <f t="array" ref="N222">_xlfn.IFS(AND(A222&gt;NumberOfPlots,ISBLANK(INDEX(PlotData,MATCH($A222,PlotNumber,0),MATCH(B$3,PlotTitles,0)))),"",ISBLANK(INDEX(PlotData,MATCH($A222,PlotNumber,0),MATCH(N$3,PlotTitles,0))),$AB$17,TRUE,"")</f>
        <v/>
      </c>
      <c r="O222" s="104" t="str" cm="1">
        <f t="array" ref="O222">_xlfn.IFS(AND(A222&gt;NumberOfPlots,ISBLANK(INDEX(PlotData,MATCH($A222,PlotNumber,0),MATCH(B$3,PlotTitles,0)))),"",ISBLANK(INDEX(PlotData,MATCH($A222,PlotNumber,0),MATCH(O$3,PlotTitles,0))),$AB$18,TRUE,"")</f>
        <v/>
      </c>
      <c r="P222" s="182" t="str">
        <f t="shared" ca="1" si="10"/>
        <v/>
      </c>
      <c r="Q222" s="104" t="str" cm="1">
        <f t="array" ref="Q222">_xlfn.IFS(AND(A222&gt;NumberOfPlots,ISBLANK(INDEX(PlotData,MATCH($A222,PlotNumber,0),MATCH(B$3,PlotTitles,0)))),"",ISBLANK(INDEX(PlotData,MATCH($A222,PlotNumber,0),MATCH(N$3,PlotTitles,0))),"",(DATEVALUE(INDEX(PlotData,MATCH($A222,PlotNumber,0),MATCH(N$3,PlotTitles,0))&amp;INDEX(PlotData,MATCH($A222,PlotNumber,0),MATCH(O$3,PlotTitles,0))))&lt;(DATEVALUE(INDEX(PlotData,MATCH($A222,PlotNumber,0),MATCH(I$3,PlotTitles,0))&amp;INDEX(PlotData,MATCH($A222,PlotNumber,0),MATCH(J$3,PlotTitles,0)))),$AB$20,TRUE,"")</f>
        <v/>
      </c>
      <c r="R222" s="104" t="str" cm="1">
        <f t="array" ref="R222">_xlfn.IFS(OR(ISBLANK(StartDateMonth),ISBLANK(StartDateYear)),"",AND(A222&gt;NumberOfPlots,ISBLANK(INDEX(PlotData,MATCH($A222,PlotNumber,0),MATCH(B$3,PlotTitles,0)))),"",ISBLANK(INDEX(PlotData,MATCH($A222,PlotNumber,0),MATCH(N$3,PlotTitles,0))),"",CompletionMonth="","",(DATEVALUE(INDEX(PlotData,MATCH($A222,PlotNumber,0),MATCH(N$3,PlotTitles,0))&amp;INDEX(PlotData,MATCH($A222,PlotNumber,0),MATCH(O$3,PlotTitles,0))))&gt;(DATEVALUE(CompletionMonth&amp;CompletionYear)),$AB$21,TRUE,"")</f>
        <v/>
      </c>
      <c r="S222" s="104" t="str" cm="1">
        <f t="array" ref="S222">_xlfn.IFS(AND(A222&gt;NumberOfPlots,ISBLANK(INDEX(PlotData,MATCH($A222,PlotNumber,0),MATCH(B$3,PlotTitles,0)))),"",OR(AND(INDEX(PlotData,MATCH($A222,PlotNumber,0),MATCH("Tenure",PlotTitles,0))="Open market housing",INDEX(PlotData,MATCH($A222,PlotNumber,0),MATCH("Tenure detail",PlotTitles,0))="Private rented sector"),INDEX(PlotData,MATCH($A222,PlotNumber,0),MATCH("Tenure",PlotTitles,0))="Affordable rent"),"",ISNUMBER(INDEX(PlotData,MATCH($A222,PlotNumber,0),MATCH(S$3,PlotTitles,0)))=FALSE, $AB$22,TRUE,"")</f>
        <v/>
      </c>
      <c r="T222" s="104" t="str" cm="1">
        <f t="array" ref="T222">_xlfn.IFS(AND(A222&gt;NumberOfPlots,ISBLANK(INDEX(PlotData,MATCH($A222,PlotNumber,0),MATCH(B$3,PlotTitles,0)))),"",OR(AND(INDEX(PlotData,MATCH($A222,PlotNumber,0),MATCH("Tenure",PlotTitles,0))="Open market housing",INDEX(PlotData,MATCH($A222,PlotNumber,0),MATCH("Tenure detail",PlotTitles,0))="Private rented sector"),INDEX(PlotData,MATCH($A222,PlotNumber,0),MATCH("Tenure",PlotTitles,0))="Affordable rent"),"",INDEX(PlotData,MATCH($A222,PlotNumber,0),MATCH(S$3,PlotTitles,0))&lt;10000, $AB$23,TRUE,"")</f>
        <v/>
      </c>
      <c r="U222" s="104" t="str" cm="1">
        <f t="array" ref="U222">_xlfn.IFS(AND(A222&gt;NumberOfPlots,ISBLANK(INDEX(PlotData,MATCH($A222,PlotNumber,0),MATCH(B$3,PlotTitles,0)))),"",NOT(OR(AND(INDEX(PlotData,MATCH($A222,PlotNumber,0),MATCH("Tenure",PlotTitles,0))="Open market housing",INDEX(PlotData,MATCH($A222,PlotNumber,0),MATCH("Tenure detail",PlotTitles,0))="Private rented sector"),INDEX(PlotData,MATCH($A222,PlotNumber,0),MATCH("Tenure",PlotTitles,0))="Affordable rent")),"",NOT(INDEX(PlotData,MATCH($A222,PlotNumber,0),MATCH(S$3,PlotTitles,0))=0), $AB$24,TRUE,"")</f>
        <v/>
      </c>
      <c r="V222" s="114" t="str" cm="1">
        <f t="array" aca="1" ref="V222" ca="1">_xlfn.IFS(ISBLANK(NumberOfPlots),"Enter the number of homes on the 1_SetUp sheet",AND(A222&gt;NumberOfPlots,ISBLANK(INDEX(PlotData,MATCH($A222,PlotNumber,0),MATCH(B$3,PlotTitles,0)))),"No error",NOT(B222=""),B222,NOT(C222=""),C222,NOT(D222=""),D222,NOT(E222=""),E222,NOT(F222=""),F222,NOT(G222=""),G222,NOT(H222=""),H222,NOT(I222=""),I222,NOT(J222=""),J222,NOT(K222=""),K222,NOT(L222=""),L222,NOT(M222=""),M222,NOT(N222=""),N222,NOT(O222=""),O222,NOT(P222=""),P222,NOT(Q222=""),Q222,NOT(R222=""),R222,NOT(S222=""),S222,NOT(T222=""),T222,NOT(U222=""),U222,TRUE,"No error")</f>
        <v>Enter the number of homes on the 1_SetUp sheet</v>
      </c>
      <c r="W222" s="114" t="str">
        <f t="shared" ca="1" si="11"/>
        <v xml:space="preserve">The Borrower has not addressed the following error messages for Home ID 218: </v>
      </c>
    </row>
    <row r="223" spans="1:23">
      <c r="A223" s="123">
        <v>219</v>
      </c>
      <c r="B223" s="104" t="str" cm="1">
        <f t="array" ref="B223">_xlfn.IFS(AND(A223&gt;NumberOfPlots,ISBLANK(INDEX(PlotData,MATCH($A223,PlotNumber,0),MATCH(B$3,PlotTitles,0)))),"",ISNUMBER(INDEX(PlotData,MATCH($A223,PlotNumber,0),MATCH(B$3,PlotTitles,0)))=FALSE, $AB$5,TRUE,"")</f>
        <v/>
      </c>
      <c r="C223" s="104" t="str" cm="1">
        <f t="array" ref="C223">_xlfn.IFS(AND(A223&gt;NumberOfPlots,ISBLANK(INDEX(PlotData,MATCH($A223,PlotNumber,0),MATCH(B$3,PlotTitles,0)))),"",ISBLANK(INDEX(PlotData,MATCH($A223,PlotNumber,0),MATCH(C$3,PlotTitles,0))),$AB$6,TRUE,"")</f>
        <v/>
      </c>
      <c r="D223" s="104" t="str" cm="1">
        <f t="array" ref="D223">_xlfn.IFS(AND(A223&gt;NumberOfPlots,ISBLANK(INDEX(PlotData,MATCH($A223,PlotNumber,0),MATCH(B$3,PlotTitles,0)))),"",ISBLANK(INDEX(PlotData,MATCH($A223,PlotNumber,0),MATCH(D$3,PlotTitles,0))),$AB$7,TRUE,"")</f>
        <v/>
      </c>
      <c r="E223" s="104" t="str" cm="1">
        <f t="array" ref="E223">_xlfn.IFS(AND(A223&gt;NumberOfPlots,ISBLANK(INDEX(PlotData,MATCH($A223,PlotNumber,0),MATCH(B$3,PlotTitles,0)))),"",ISBLANK(INDEX(PlotData,MATCH($A223,PlotNumber,0),MATCH(E$3,PlotTitles,0))),$AB$8,TRUE,"")</f>
        <v/>
      </c>
      <c r="F223" s="104" t="str" cm="1">
        <f t="array" ref="F223">_xlfn.IFS(AND(A223&gt;NumberOfPlots,ISBLANK(INDEX(PlotData,MATCH($A223,PlotNumber,0),MATCH(B$3,PlotTitles,0)))),"",ISBLANK(INDEX(PlotData,MATCH($A223,PlotNumber,0),MATCH(F$3,PlotTitles,0))),$AB$9,TRUE,"")</f>
        <v/>
      </c>
      <c r="G223" s="104" t="str" cm="1">
        <f t="array" ref="G223">_xlfn.IFS(AND(A223&gt;NumberOfPlots,ISBLANK(INDEX(PlotData,MATCH($A223,PlotNumber,0),MATCH(B$3,PlotTitles,0)))),"",ISBLANK(INDEX(PlotData,MATCH($A223,PlotNumber,0),MATCH(G$3,PlotTitles,0))),$AB$10,TRUE,"")</f>
        <v/>
      </c>
      <c r="H223" s="104" t="str" cm="1">
        <f t="array" ref="H223">_xlfn.IFS(AND(A223&gt;NumberOfPlots,ISBLANK(INDEX(PlotData,MATCH($A223,PlotNumber,0),MATCH(B$3,PlotTitles,0)))),"",AND(ISBLANK(INDEX(PlotData,MATCH($A223,PlotNumber,0),MATCH(H$3,PlotTitles,0)))=FALSE,INDEX(PlotData,MATCH($A223,PlotNumber,0),MATCH(H$3,PlotTitles,0))&lt;500), $AB$11,TRUE,"")</f>
        <v/>
      </c>
      <c r="I223" s="104" t="str" cm="1">
        <f t="array" ref="I223">_xlfn.IFS(AND(A223&gt;NumberOfPlots,ISBLANK(INDEX(PlotData,MATCH($A223,PlotNumber,0),MATCH(B$3,PlotTitles,0)))),"",ISBLANK(INDEX(PlotData,MATCH($A223,PlotNumber,0),MATCH(I$3,PlotTitles,0))),$AB$12,TRUE,"")</f>
        <v/>
      </c>
      <c r="J223" s="104" t="str" cm="1">
        <f t="array" ref="J223">_xlfn.IFS(AND(A223&gt;NumberOfPlots,ISBLANK(INDEX(PlotData,MATCH($A223,PlotNumber,0),MATCH(B$3,PlotTitles,0)))),"",ISBLANK(INDEX(PlotData,MATCH($A223,PlotNumber,0),MATCH(J$3,PlotTitles,0))),$AB$13,TRUE,"")</f>
        <v/>
      </c>
      <c r="K223" s="182" t="str">
        <f t="shared" ca="1" si="9"/>
        <v/>
      </c>
      <c r="L223" s="104" t="str" cm="1">
        <f t="array" ref="L223">_xlfn.IFS(OR(ISBLANK(StartDateMonth),ISBLANK(StartDateYear)),"",AND(A223&gt;NumberOfPlots,ISBLANK(INDEX(PlotData,MATCH($A223,PlotNumber,0),MATCH(B$3,PlotTitles,0)))),"",ISBLANK(INDEX(PlotData,MATCH($A223,PlotNumber,0),MATCH(I$3,PlotTitles,0))),"",(DATEVALUE(INDEX(PlotData,MATCH($A223,PlotNumber,0),MATCH(I$3,PlotTitles,0))&amp;INDEX(PlotData,MATCH($A223,PlotNumber,0),MATCH(J$3,PlotTitles,0))))&lt;DATEVALUE(StartDateMonth&amp;StartDateYear),$AB$15,TRUE,"")</f>
        <v/>
      </c>
      <c r="M223" s="104" t="str" cm="1">
        <f t="array" ref="M223">_xlfn.IFS(OR(ISBLANK(StartDateMonth),ISBLANK(StartDateYear)),"",AND(A223&gt;NumberOfPlots,ISBLANK(INDEX(PlotData,MATCH($A223,PlotNumber,0),MATCH(B$3,PlotTitles,0)))),"",ISBLANK(INDEX(PlotData,MATCH($A223,PlotNumber,0),MATCH(I$3,PlotTitles,0))),"",CompletionMonth="","",(DATEVALUE(INDEX(PlotData,MATCH($A223,PlotNumber,0),MATCH(I$3,PlotTitles,0))&amp;INDEX(PlotData,MATCH($A223,PlotNumber,0),MATCH(J$3,PlotTitles,0))))&gt;(DATEVALUE(CompletionMonth&amp;CompletionYear)),$AB$16,TRUE,"")</f>
        <v/>
      </c>
      <c r="N223" s="104" t="str" cm="1">
        <f t="array" ref="N223">_xlfn.IFS(AND(A223&gt;NumberOfPlots,ISBLANK(INDEX(PlotData,MATCH($A223,PlotNumber,0),MATCH(B$3,PlotTitles,0)))),"",ISBLANK(INDEX(PlotData,MATCH($A223,PlotNumber,0),MATCH(N$3,PlotTitles,0))),$AB$17,TRUE,"")</f>
        <v/>
      </c>
      <c r="O223" s="104" t="str" cm="1">
        <f t="array" ref="O223">_xlfn.IFS(AND(A223&gt;NumberOfPlots,ISBLANK(INDEX(PlotData,MATCH($A223,PlotNumber,0),MATCH(B$3,PlotTitles,0)))),"",ISBLANK(INDEX(PlotData,MATCH($A223,PlotNumber,0),MATCH(O$3,PlotTitles,0))),$AB$18,TRUE,"")</f>
        <v/>
      </c>
      <c r="P223" s="182" t="str">
        <f t="shared" ca="1" si="10"/>
        <v/>
      </c>
      <c r="Q223" s="104" t="str" cm="1">
        <f t="array" ref="Q223">_xlfn.IFS(AND(A223&gt;NumberOfPlots,ISBLANK(INDEX(PlotData,MATCH($A223,PlotNumber,0),MATCH(B$3,PlotTitles,0)))),"",ISBLANK(INDEX(PlotData,MATCH($A223,PlotNumber,0),MATCH(N$3,PlotTitles,0))),"",(DATEVALUE(INDEX(PlotData,MATCH($A223,PlotNumber,0),MATCH(N$3,PlotTitles,0))&amp;INDEX(PlotData,MATCH($A223,PlotNumber,0),MATCH(O$3,PlotTitles,0))))&lt;(DATEVALUE(INDEX(PlotData,MATCH($A223,PlotNumber,0),MATCH(I$3,PlotTitles,0))&amp;INDEX(PlotData,MATCH($A223,PlotNumber,0),MATCH(J$3,PlotTitles,0)))),$AB$20,TRUE,"")</f>
        <v/>
      </c>
      <c r="R223" s="104" t="str" cm="1">
        <f t="array" ref="R223">_xlfn.IFS(OR(ISBLANK(StartDateMonth),ISBLANK(StartDateYear)),"",AND(A223&gt;NumberOfPlots,ISBLANK(INDEX(PlotData,MATCH($A223,PlotNumber,0),MATCH(B$3,PlotTitles,0)))),"",ISBLANK(INDEX(PlotData,MATCH($A223,PlotNumber,0),MATCH(N$3,PlotTitles,0))),"",CompletionMonth="","",(DATEVALUE(INDEX(PlotData,MATCH($A223,PlotNumber,0),MATCH(N$3,PlotTitles,0))&amp;INDEX(PlotData,MATCH($A223,PlotNumber,0),MATCH(O$3,PlotTitles,0))))&gt;(DATEVALUE(CompletionMonth&amp;CompletionYear)),$AB$21,TRUE,"")</f>
        <v/>
      </c>
      <c r="S223" s="104" t="str" cm="1">
        <f t="array" ref="S223">_xlfn.IFS(AND(A223&gt;NumberOfPlots,ISBLANK(INDEX(PlotData,MATCH($A223,PlotNumber,0),MATCH(B$3,PlotTitles,0)))),"",OR(AND(INDEX(PlotData,MATCH($A223,PlotNumber,0),MATCH("Tenure",PlotTitles,0))="Open market housing",INDEX(PlotData,MATCH($A223,PlotNumber,0),MATCH("Tenure detail",PlotTitles,0))="Private rented sector"),INDEX(PlotData,MATCH($A223,PlotNumber,0),MATCH("Tenure",PlotTitles,0))="Affordable rent"),"",ISNUMBER(INDEX(PlotData,MATCH($A223,PlotNumber,0),MATCH(S$3,PlotTitles,0)))=FALSE, $AB$22,TRUE,"")</f>
        <v/>
      </c>
      <c r="T223" s="104" t="str" cm="1">
        <f t="array" ref="T223">_xlfn.IFS(AND(A223&gt;NumberOfPlots,ISBLANK(INDEX(PlotData,MATCH($A223,PlotNumber,0),MATCH(B$3,PlotTitles,0)))),"",OR(AND(INDEX(PlotData,MATCH($A223,PlotNumber,0),MATCH("Tenure",PlotTitles,0))="Open market housing",INDEX(PlotData,MATCH($A223,PlotNumber,0),MATCH("Tenure detail",PlotTitles,0))="Private rented sector"),INDEX(PlotData,MATCH($A223,PlotNumber,0),MATCH("Tenure",PlotTitles,0))="Affordable rent"),"",INDEX(PlotData,MATCH($A223,PlotNumber,0),MATCH(S$3,PlotTitles,0))&lt;10000, $AB$23,TRUE,"")</f>
        <v/>
      </c>
      <c r="U223" s="104" t="str" cm="1">
        <f t="array" ref="U223">_xlfn.IFS(AND(A223&gt;NumberOfPlots,ISBLANK(INDEX(PlotData,MATCH($A223,PlotNumber,0),MATCH(B$3,PlotTitles,0)))),"",NOT(OR(AND(INDEX(PlotData,MATCH($A223,PlotNumber,0),MATCH("Tenure",PlotTitles,0))="Open market housing",INDEX(PlotData,MATCH($A223,PlotNumber,0),MATCH("Tenure detail",PlotTitles,0))="Private rented sector"),INDEX(PlotData,MATCH($A223,PlotNumber,0),MATCH("Tenure",PlotTitles,0))="Affordable rent")),"",NOT(INDEX(PlotData,MATCH($A223,PlotNumber,0),MATCH(S$3,PlotTitles,0))=0), $AB$24,TRUE,"")</f>
        <v/>
      </c>
      <c r="V223" s="114" t="str" cm="1">
        <f t="array" aca="1" ref="V223" ca="1">_xlfn.IFS(ISBLANK(NumberOfPlots),"Enter the number of homes on the 1_SetUp sheet",AND(A223&gt;NumberOfPlots,ISBLANK(INDEX(PlotData,MATCH($A223,PlotNumber,0),MATCH(B$3,PlotTitles,0)))),"No error",NOT(B223=""),B223,NOT(C223=""),C223,NOT(D223=""),D223,NOT(E223=""),E223,NOT(F223=""),F223,NOT(G223=""),G223,NOT(H223=""),H223,NOT(I223=""),I223,NOT(J223=""),J223,NOT(K223=""),K223,NOT(L223=""),L223,NOT(M223=""),M223,NOT(N223=""),N223,NOT(O223=""),O223,NOT(P223=""),P223,NOT(Q223=""),Q223,NOT(R223=""),R223,NOT(S223=""),S223,NOT(T223=""),T223,NOT(U223=""),U223,TRUE,"No error")</f>
        <v>Enter the number of homes on the 1_SetUp sheet</v>
      </c>
      <c r="W223" s="114" t="str">
        <f t="shared" ca="1" si="11"/>
        <v xml:space="preserve">The Borrower has not addressed the following error messages for Home ID 219: </v>
      </c>
    </row>
    <row r="224" spans="1:23">
      <c r="A224" s="123">
        <v>220</v>
      </c>
      <c r="B224" s="104" t="str" cm="1">
        <f t="array" ref="B224">_xlfn.IFS(AND(A224&gt;NumberOfPlots,ISBLANK(INDEX(PlotData,MATCH($A224,PlotNumber,0),MATCH(B$3,PlotTitles,0)))),"",ISNUMBER(INDEX(PlotData,MATCH($A224,PlotNumber,0),MATCH(B$3,PlotTitles,0)))=FALSE, $AB$5,TRUE,"")</f>
        <v/>
      </c>
      <c r="C224" s="104" t="str" cm="1">
        <f t="array" ref="C224">_xlfn.IFS(AND(A224&gt;NumberOfPlots,ISBLANK(INDEX(PlotData,MATCH($A224,PlotNumber,0),MATCH(B$3,PlotTitles,0)))),"",ISBLANK(INDEX(PlotData,MATCH($A224,PlotNumber,0),MATCH(C$3,PlotTitles,0))),$AB$6,TRUE,"")</f>
        <v/>
      </c>
      <c r="D224" s="104" t="str" cm="1">
        <f t="array" ref="D224">_xlfn.IFS(AND(A224&gt;NumberOfPlots,ISBLANK(INDEX(PlotData,MATCH($A224,PlotNumber,0),MATCH(B$3,PlotTitles,0)))),"",ISBLANK(INDEX(PlotData,MATCH($A224,PlotNumber,0),MATCH(D$3,PlotTitles,0))),$AB$7,TRUE,"")</f>
        <v/>
      </c>
      <c r="E224" s="104" t="str" cm="1">
        <f t="array" ref="E224">_xlfn.IFS(AND(A224&gt;NumberOfPlots,ISBLANK(INDEX(PlotData,MATCH($A224,PlotNumber,0),MATCH(B$3,PlotTitles,0)))),"",ISBLANK(INDEX(PlotData,MATCH($A224,PlotNumber,0),MATCH(E$3,PlotTitles,0))),$AB$8,TRUE,"")</f>
        <v/>
      </c>
      <c r="F224" s="104" t="str" cm="1">
        <f t="array" ref="F224">_xlfn.IFS(AND(A224&gt;NumberOfPlots,ISBLANK(INDEX(PlotData,MATCH($A224,PlotNumber,0),MATCH(B$3,PlotTitles,0)))),"",ISBLANK(INDEX(PlotData,MATCH($A224,PlotNumber,0),MATCH(F$3,PlotTitles,0))),$AB$9,TRUE,"")</f>
        <v/>
      </c>
      <c r="G224" s="104" t="str" cm="1">
        <f t="array" ref="G224">_xlfn.IFS(AND(A224&gt;NumberOfPlots,ISBLANK(INDEX(PlotData,MATCH($A224,PlotNumber,0),MATCH(B$3,PlotTitles,0)))),"",ISBLANK(INDEX(PlotData,MATCH($A224,PlotNumber,0),MATCH(G$3,PlotTitles,0))),$AB$10,TRUE,"")</f>
        <v/>
      </c>
      <c r="H224" s="104" t="str" cm="1">
        <f t="array" ref="H224">_xlfn.IFS(AND(A224&gt;NumberOfPlots,ISBLANK(INDEX(PlotData,MATCH($A224,PlotNumber,0),MATCH(B$3,PlotTitles,0)))),"",AND(ISBLANK(INDEX(PlotData,MATCH($A224,PlotNumber,0),MATCH(H$3,PlotTitles,0)))=FALSE,INDEX(PlotData,MATCH($A224,PlotNumber,0),MATCH(H$3,PlotTitles,0))&lt;500), $AB$11,TRUE,"")</f>
        <v/>
      </c>
      <c r="I224" s="104" t="str" cm="1">
        <f t="array" ref="I224">_xlfn.IFS(AND(A224&gt;NumberOfPlots,ISBLANK(INDEX(PlotData,MATCH($A224,PlotNumber,0),MATCH(B$3,PlotTitles,0)))),"",ISBLANK(INDEX(PlotData,MATCH($A224,PlotNumber,0),MATCH(I$3,PlotTitles,0))),$AB$12,TRUE,"")</f>
        <v/>
      </c>
      <c r="J224" s="104" t="str" cm="1">
        <f t="array" ref="J224">_xlfn.IFS(AND(A224&gt;NumberOfPlots,ISBLANK(INDEX(PlotData,MATCH($A224,PlotNumber,0),MATCH(B$3,PlotTitles,0)))),"",ISBLANK(INDEX(PlotData,MATCH($A224,PlotNumber,0),MATCH(J$3,PlotTitles,0))),$AB$13,TRUE,"")</f>
        <v/>
      </c>
      <c r="K224" s="182" t="str">
        <f t="shared" ca="1" si="9"/>
        <v/>
      </c>
      <c r="L224" s="104" t="str" cm="1">
        <f t="array" ref="L224">_xlfn.IFS(OR(ISBLANK(StartDateMonth),ISBLANK(StartDateYear)),"",AND(A224&gt;NumberOfPlots,ISBLANK(INDEX(PlotData,MATCH($A224,PlotNumber,0),MATCH(B$3,PlotTitles,0)))),"",ISBLANK(INDEX(PlotData,MATCH($A224,PlotNumber,0),MATCH(I$3,PlotTitles,0))),"",(DATEVALUE(INDEX(PlotData,MATCH($A224,PlotNumber,0),MATCH(I$3,PlotTitles,0))&amp;INDEX(PlotData,MATCH($A224,PlotNumber,0),MATCH(J$3,PlotTitles,0))))&lt;DATEVALUE(StartDateMonth&amp;StartDateYear),$AB$15,TRUE,"")</f>
        <v/>
      </c>
      <c r="M224" s="104" t="str" cm="1">
        <f t="array" ref="M224">_xlfn.IFS(OR(ISBLANK(StartDateMonth),ISBLANK(StartDateYear)),"",AND(A224&gt;NumberOfPlots,ISBLANK(INDEX(PlotData,MATCH($A224,PlotNumber,0),MATCH(B$3,PlotTitles,0)))),"",ISBLANK(INDEX(PlotData,MATCH($A224,PlotNumber,0),MATCH(I$3,PlotTitles,0))),"",CompletionMonth="","",(DATEVALUE(INDEX(PlotData,MATCH($A224,PlotNumber,0),MATCH(I$3,PlotTitles,0))&amp;INDEX(PlotData,MATCH($A224,PlotNumber,0),MATCH(J$3,PlotTitles,0))))&gt;(DATEVALUE(CompletionMonth&amp;CompletionYear)),$AB$16,TRUE,"")</f>
        <v/>
      </c>
      <c r="N224" s="104" t="str" cm="1">
        <f t="array" ref="N224">_xlfn.IFS(AND(A224&gt;NumberOfPlots,ISBLANK(INDEX(PlotData,MATCH($A224,PlotNumber,0),MATCH(B$3,PlotTitles,0)))),"",ISBLANK(INDEX(PlotData,MATCH($A224,PlotNumber,0),MATCH(N$3,PlotTitles,0))),$AB$17,TRUE,"")</f>
        <v/>
      </c>
      <c r="O224" s="104" t="str" cm="1">
        <f t="array" ref="O224">_xlfn.IFS(AND(A224&gt;NumberOfPlots,ISBLANK(INDEX(PlotData,MATCH($A224,PlotNumber,0),MATCH(B$3,PlotTitles,0)))),"",ISBLANK(INDEX(PlotData,MATCH($A224,PlotNumber,0),MATCH(O$3,PlotTitles,0))),$AB$18,TRUE,"")</f>
        <v/>
      </c>
      <c r="P224" s="182" t="str">
        <f t="shared" ca="1" si="10"/>
        <v/>
      </c>
      <c r="Q224" s="104" t="str" cm="1">
        <f t="array" ref="Q224">_xlfn.IFS(AND(A224&gt;NumberOfPlots,ISBLANK(INDEX(PlotData,MATCH($A224,PlotNumber,0),MATCH(B$3,PlotTitles,0)))),"",ISBLANK(INDEX(PlotData,MATCH($A224,PlotNumber,0),MATCH(N$3,PlotTitles,0))),"",(DATEVALUE(INDEX(PlotData,MATCH($A224,PlotNumber,0),MATCH(N$3,PlotTitles,0))&amp;INDEX(PlotData,MATCH($A224,PlotNumber,0),MATCH(O$3,PlotTitles,0))))&lt;(DATEVALUE(INDEX(PlotData,MATCH($A224,PlotNumber,0),MATCH(I$3,PlotTitles,0))&amp;INDEX(PlotData,MATCH($A224,PlotNumber,0),MATCH(J$3,PlotTitles,0)))),$AB$20,TRUE,"")</f>
        <v/>
      </c>
      <c r="R224" s="104" t="str" cm="1">
        <f t="array" ref="R224">_xlfn.IFS(OR(ISBLANK(StartDateMonth),ISBLANK(StartDateYear)),"",AND(A224&gt;NumberOfPlots,ISBLANK(INDEX(PlotData,MATCH($A224,PlotNumber,0),MATCH(B$3,PlotTitles,0)))),"",ISBLANK(INDEX(PlotData,MATCH($A224,PlotNumber,0),MATCH(N$3,PlotTitles,0))),"",CompletionMonth="","",(DATEVALUE(INDEX(PlotData,MATCH($A224,PlotNumber,0),MATCH(N$3,PlotTitles,0))&amp;INDEX(PlotData,MATCH($A224,PlotNumber,0),MATCH(O$3,PlotTitles,0))))&gt;(DATEVALUE(CompletionMonth&amp;CompletionYear)),$AB$21,TRUE,"")</f>
        <v/>
      </c>
      <c r="S224" s="104" t="str" cm="1">
        <f t="array" ref="S224">_xlfn.IFS(AND(A224&gt;NumberOfPlots,ISBLANK(INDEX(PlotData,MATCH($A224,PlotNumber,0),MATCH(B$3,PlotTitles,0)))),"",OR(AND(INDEX(PlotData,MATCH($A224,PlotNumber,0),MATCH("Tenure",PlotTitles,0))="Open market housing",INDEX(PlotData,MATCH($A224,PlotNumber,0),MATCH("Tenure detail",PlotTitles,0))="Private rented sector"),INDEX(PlotData,MATCH($A224,PlotNumber,0),MATCH("Tenure",PlotTitles,0))="Affordable rent"),"",ISNUMBER(INDEX(PlotData,MATCH($A224,PlotNumber,0),MATCH(S$3,PlotTitles,0)))=FALSE, $AB$22,TRUE,"")</f>
        <v/>
      </c>
      <c r="T224" s="104" t="str" cm="1">
        <f t="array" ref="T224">_xlfn.IFS(AND(A224&gt;NumberOfPlots,ISBLANK(INDEX(PlotData,MATCH($A224,PlotNumber,0),MATCH(B$3,PlotTitles,0)))),"",OR(AND(INDEX(PlotData,MATCH($A224,PlotNumber,0),MATCH("Tenure",PlotTitles,0))="Open market housing",INDEX(PlotData,MATCH($A224,PlotNumber,0),MATCH("Tenure detail",PlotTitles,0))="Private rented sector"),INDEX(PlotData,MATCH($A224,PlotNumber,0),MATCH("Tenure",PlotTitles,0))="Affordable rent"),"",INDEX(PlotData,MATCH($A224,PlotNumber,0),MATCH(S$3,PlotTitles,0))&lt;10000, $AB$23,TRUE,"")</f>
        <v/>
      </c>
      <c r="U224" s="104" t="str" cm="1">
        <f t="array" ref="U224">_xlfn.IFS(AND(A224&gt;NumberOfPlots,ISBLANK(INDEX(PlotData,MATCH($A224,PlotNumber,0),MATCH(B$3,PlotTitles,0)))),"",NOT(OR(AND(INDEX(PlotData,MATCH($A224,PlotNumber,0),MATCH("Tenure",PlotTitles,0))="Open market housing",INDEX(PlotData,MATCH($A224,PlotNumber,0),MATCH("Tenure detail",PlotTitles,0))="Private rented sector"),INDEX(PlotData,MATCH($A224,PlotNumber,0),MATCH("Tenure",PlotTitles,0))="Affordable rent")),"",NOT(INDEX(PlotData,MATCH($A224,PlotNumber,0),MATCH(S$3,PlotTitles,0))=0), $AB$24,TRUE,"")</f>
        <v/>
      </c>
      <c r="V224" s="114" t="str" cm="1">
        <f t="array" aca="1" ref="V224" ca="1">_xlfn.IFS(ISBLANK(NumberOfPlots),"Enter the number of homes on the 1_SetUp sheet",AND(A224&gt;NumberOfPlots,ISBLANK(INDEX(PlotData,MATCH($A224,PlotNumber,0),MATCH(B$3,PlotTitles,0)))),"No error",NOT(B224=""),B224,NOT(C224=""),C224,NOT(D224=""),D224,NOT(E224=""),E224,NOT(F224=""),F224,NOT(G224=""),G224,NOT(H224=""),H224,NOT(I224=""),I224,NOT(J224=""),J224,NOT(K224=""),K224,NOT(L224=""),L224,NOT(M224=""),M224,NOT(N224=""),N224,NOT(O224=""),O224,NOT(P224=""),P224,NOT(Q224=""),Q224,NOT(R224=""),R224,NOT(S224=""),S224,NOT(T224=""),T224,NOT(U224=""),U224,TRUE,"No error")</f>
        <v>Enter the number of homes on the 1_SetUp sheet</v>
      </c>
      <c r="W224" s="114" t="str">
        <f t="shared" ca="1" si="11"/>
        <v xml:space="preserve">The Borrower has not addressed the following error messages for Home ID 220: </v>
      </c>
    </row>
    <row r="225" spans="1:23">
      <c r="A225" s="123">
        <v>221</v>
      </c>
      <c r="B225" s="104" t="str" cm="1">
        <f t="array" ref="B225">_xlfn.IFS(AND(A225&gt;NumberOfPlots,ISBLANK(INDEX(PlotData,MATCH($A225,PlotNumber,0),MATCH(B$3,PlotTitles,0)))),"",ISNUMBER(INDEX(PlotData,MATCH($A225,PlotNumber,0),MATCH(B$3,PlotTitles,0)))=FALSE, $AB$5,TRUE,"")</f>
        <v/>
      </c>
      <c r="C225" s="104" t="str" cm="1">
        <f t="array" ref="C225">_xlfn.IFS(AND(A225&gt;NumberOfPlots,ISBLANK(INDEX(PlotData,MATCH($A225,PlotNumber,0),MATCH(B$3,PlotTitles,0)))),"",ISBLANK(INDEX(PlotData,MATCH($A225,PlotNumber,0),MATCH(C$3,PlotTitles,0))),$AB$6,TRUE,"")</f>
        <v/>
      </c>
      <c r="D225" s="104" t="str" cm="1">
        <f t="array" ref="D225">_xlfn.IFS(AND(A225&gt;NumberOfPlots,ISBLANK(INDEX(PlotData,MATCH($A225,PlotNumber,0),MATCH(B$3,PlotTitles,0)))),"",ISBLANK(INDEX(PlotData,MATCH($A225,PlotNumber,0),MATCH(D$3,PlotTitles,0))),$AB$7,TRUE,"")</f>
        <v/>
      </c>
      <c r="E225" s="104" t="str" cm="1">
        <f t="array" ref="E225">_xlfn.IFS(AND(A225&gt;NumberOfPlots,ISBLANK(INDEX(PlotData,MATCH($A225,PlotNumber,0),MATCH(B$3,PlotTitles,0)))),"",ISBLANK(INDEX(PlotData,MATCH($A225,PlotNumber,0),MATCH(E$3,PlotTitles,0))),$AB$8,TRUE,"")</f>
        <v/>
      </c>
      <c r="F225" s="104" t="str" cm="1">
        <f t="array" ref="F225">_xlfn.IFS(AND(A225&gt;NumberOfPlots,ISBLANK(INDEX(PlotData,MATCH($A225,PlotNumber,0),MATCH(B$3,PlotTitles,0)))),"",ISBLANK(INDEX(PlotData,MATCH($A225,PlotNumber,0),MATCH(F$3,PlotTitles,0))),$AB$9,TRUE,"")</f>
        <v/>
      </c>
      <c r="G225" s="104" t="str" cm="1">
        <f t="array" ref="G225">_xlfn.IFS(AND(A225&gt;NumberOfPlots,ISBLANK(INDEX(PlotData,MATCH($A225,PlotNumber,0),MATCH(B$3,PlotTitles,0)))),"",ISBLANK(INDEX(PlotData,MATCH($A225,PlotNumber,0),MATCH(G$3,PlotTitles,0))),$AB$10,TRUE,"")</f>
        <v/>
      </c>
      <c r="H225" s="104" t="str" cm="1">
        <f t="array" ref="H225">_xlfn.IFS(AND(A225&gt;NumberOfPlots,ISBLANK(INDEX(PlotData,MATCH($A225,PlotNumber,0),MATCH(B$3,PlotTitles,0)))),"",AND(ISBLANK(INDEX(PlotData,MATCH($A225,PlotNumber,0),MATCH(H$3,PlotTitles,0)))=FALSE,INDEX(PlotData,MATCH($A225,PlotNumber,0),MATCH(H$3,PlotTitles,0))&lt;500), $AB$11,TRUE,"")</f>
        <v/>
      </c>
      <c r="I225" s="104" t="str" cm="1">
        <f t="array" ref="I225">_xlfn.IFS(AND(A225&gt;NumberOfPlots,ISBLANK(INDEX(PlotData,MATCH($A225,PlotNumber,0),MATCH(B$3,PlotTitles,0)))),"",ISBLANK(INDEX(PlotData,MATCH($A225,PlotNumber,0),MATCH(I$3,PlotTitles,0))),$AB$12,TRUE,"")</f>
        <v/>
      </c>
      <c r="J225" s="104" t="str" cm="1">
        <f t="array" ref="J225">_xlfn.IFS(AND(A225&gt;NumberOfPlots,ISBLANK(INDEX(PlotData,MATCH($A225,PlotNumber,0),MATCH(B$3,PlotTitles,0)))),"",ISBLANK(INDEX(PlotData,MATCH($A225,PlotNumber,0),MATCH(J$3,PlotTitles,0))),$AB$13,TRUE,"")</f>
        <v/>
      </c>
      <c r="K225" s="182" t="str">
        <f t="shared" ca="1" si="9"/>
        <v/>
      </c>
      <c r="L225" s="104" t="str" cm="1">
        <f t="array" ref="L225">_xlfn.IFS(OR(ISBLANK(StartDateMonth),ISBLANK(StartDateYear)),"",AND(A225&gt;NumberOfPlots,ISBLANK(INDEX(PlotData,MATCH($A225,PlotNumber,0),MATCH(B$3,PlotTitles,0)))),"",ISBLANK(INDEX(PlotData,MATCH($A225,PlotNumber,0),MATCH(I$3,PlotTitles,0))),"",(DATEVALUE(INDEX(PlotData,MATCH($A225,PlotNumber,0),MATCH(I$3,PlotTitles,0))&amp;INDEX(PlotData,MATCH($A225,PlotNumber,0),MATCH(J$3,PlotTitles,0))))&lt;DATEVALUE(StartDateMonth&amp;StartDateYear),$AB$15,TRUE,"")</f>
        <v/>
      </c>
      <c r="M225" s="104" t="str" cm="1">
        <f t="array" ref="M225">_xlfn.IFS(OR(ISBLANK(StartDateMonth),ISBLANK(StartDateYear)),"",AND(A225&gt;NumberOfPlots,ISBLANK(INDEX(PlotData,MATCH($A225,PlotNumber,0),MATCH(B$3,PlotTitles,0)))),"",ISBLANK(INDEX(PlotData,MATCH($A225,PlotNumber,0),MATCH(I$3,PlotTitles,0))),"",CompletionMonth="","",(DATEVALUE(INDEX(PlotData,MATCH($A225,PlotNumber,0),MATCH(I$3,PlotTitles,0))&amp;INDEX(PlotData,MATCH($A225,PlotNumber,0),MATCH(J$3,PlotTitles,0))))&gt;(DATEVALUE(CompletionMonth&amp;CompletionYear)),$AB$16,TRUE,"")</f>
        <v/>
      </c>
      <c r="N225" s="104" t="str" cm="1">
        <f t="array" ref="N225">_xlfn.IFS(AND(A225&gt;NumberOfPlots,ISBLANK(INDEX(PlotData,MATCH($A225,PlotNumber,0),MATCH(B$3,PlotTitles,0)))),"",ISBLANK(INDEX(PlotData,MATCH($A225,PlotNumber,0),MATCH(N$3,PlotTitles,0))),$AB$17,TRUE,"")</f>
        <v/>
      </c>
      <c r="O225" s="104" t="str" cm="1">
        <f t="array" ref="O225">_xlfn.IFS(AND(A225&gt;NumberOfPlots,ISBLANK(INDEX(PlotData,MATCH($A225,PlotNumber,0),MATCH(B$3,PlotTitles,0)))),"",ISBLANK(INDEX(PlotData,MATCH($A225,PlotNumber,0),MATCH(O$3,PlotTitles,0))),$AB$18,TRUE,"")</f>
        <v/>
      </c>
      <c r="P225" s="182" t="str">
        <f t="shared" ca="1" si="10"/>
        <v/>
      </c>
      <c r="Q225" s="104" t="str" cm="1">
        <f t="array" ref="Q225">_xlfn.IFS(AND(A225&gt;NumberOfPlots,ISBLANK(INDEX(PlotData,MATCH($A225,PlotNumber,0),MATCH(B$3,PlotTitles,0)))),"",ISBLANK(INDEX(PlotData,MATCH($A225,PlotNumber,0),MATCH(N$3,PlotTitles,0))),"",(DATEVALUE(INDEX(PlotData,MATCH($A225,PlotNumber,0),MATCH(N$3,PlotTitles,0))&amp;INDEX(PlotData,MATCH($A225,PlotNumber,0),MATCH(O$3,PlotTitles,0))))&lt;(DATEVALUE(INDEX(PlotData,MATCH($A225,PlotNumber,0),MATCH(I$3,PlotTitles,0))&amp;INDEX(PlotData,MATCH($A225,PlotNumber,0),MATCH(J$3,PlotTitles,0)))),$AB$20,TRUE,"")</f>
        <v/>
      </c>
      <c r="R225" s="104" t="str" cm="1">
        <f t="array" ref="R225">_xlfn.IFS(OR(ISBLANK(StartDateMonth),ISBLANK(StartDateYear)),"",AND(A225&gt;NumberOfPlots,ISBLANK(INDEX(PlotData,MATCH($A225,PlotNumber,0),MATCH(B$3,PlotTitles,0)))),"",ISBLANK(INDEX(PlotData,MATCH($A225,PlotNumber,0),MATCH(N$3,PlotTitles,0))),"",CompletionMonth="","",(DATEVALUE(INDEX(PlotData,MATCH($A225,PlotNumber,0),MATCH(N$3,PlotTitles,0))&amp;INDEX(PlotData,MATCH($A225,PlotNumber,0),MATCH(O$3,PlotTitles,0))))&gt;(DATEVALUE(CompletionMonth&amp;CompletionYear)),$AB$21,TRUE,"")</f>
        <v/>
      </c>
      <c r="S225" s="104" t="str" cm="1">
        <f t="array" ref="S225">_xlfn.IFS(AND(A225&gt;NumberOfPlots,ISBLANK(INDEX(PlotData,MATCH($A225,PlotNumber,0),MATCH(B$3,PlotTitles,0)))),"",OR(AND(INDEX(PlotData,MATCH($A225,PlotNumber,0),MATCH("Tenure",PlotTitles,0))="Open market housing",INDEX(PlotData,MATCH($A225,PlotNumber,0),MATCH("Tenure detail",PlotTitles,0))="Private rented sector"),INDEX(PlotData,MATCH($A225,PlotNumber,0),MATCH("Tenure",PlotTitles,0))="Affordable rent"),"",ISNUMBER(INDEX(PlotData,MATCH($A225,PlotNumber,0),MATCH(S$3,PlotTitles,0)))=FALSE, $AB$22,TRUE,"")</f>
        <v/>
      </c>
      <c r="T225" s="104" t="str" cm="1">
        <f t="array" ref="T225">_xlfn.IFS(AND(A225&gt;NumberOfPlots,ISBLANK(INDEX(PlotData,MATCH($A225,PlotNumber,0),MATCH(B$3,PlotTitles,0)))),"",OR(AND(INDEX(PlotData,MATCH($A225,PlotNumber,0),MATCH("Tenure",PlotTitles,0))="Open market housing",INDEX(PlotData,MATCH($A225,PlotNumber,0),MATCH("Tenure detail",PlotTitles,0))="Private rented sector"),INDEX(PlotData,MATCH($A225,PlotNumber,0),MATCH("Tenure",PlotTitles,0))="Affordable rent"),"",INDEX(PlotData,MATCH($A225,PlotNumber,0),MATCH(S$3,PlotTitles,0))&lt;10000, $AB$23,TRUE,"")</f>
        <v/>
      </c>
      <c r="U225" s="104" t="str" cm="1">
        <f t="array" ref="U225">_xlfn.IFS(AND(A225&gt;NumberOfPlots,ISBLANK(INDEX(PlotData,MATCH($A225,PlotNumber,0),MATCH(B$3,PlotTitles,0)))),"",NOT(OR(AND(INDEX(PlotData,MATCH($A225,PlotNumber,0),MATCH("Tenure",PlotTitles,0))="Open market housing",INDEX(PlotData,MATCH($A225,PlotNumber,0),MATCH("Tenure detail",PlotTitles,0))="Private rented sector"),INDEX(PlotData,MATCH($A225,PlotNumber,0),MATCH("Tenure",PlotTitles,0))="Affordable rent")),"",NOT(INDEX(PlotData,MATCH($A225,PlotNumber,0),MATCH(S$3,PlotTitles,0))=0), $AB$24,TRUE,"")</f>
        <v/>
      </c>
      <c r="V225" s="114" t="str" cm="1">
        <f t="array" aca="1" ref="V225" ca="1">_xlfn.IFS(ISBLANK(NumberOfPlots),"Enter the number of homes on the 1_SetUp sheet",AND(A225&gt;NumberOfPlots,ISBLANK(INDEX(PlotData,MATCH($A225,PlotNumber,0),MATCH(B$3,PlotTitles,0)))),"No error",NOT(B225=""),B225,NOT(C225=""),C225,NOT(D225=""),D225,NOT(E225=""),E225,NOT(F225=""),F225,NOT(G225=""),G225,NOT(H225=""),H225,NOT(I225=""),I225,NOT(J225=""),J225,NOT(K225=""),K225,NOT(L225=""),L225,NOT(M225=""),M225,NOT(N225=""),N225,NOT(O225=""),O225,NOT(P225=""),P225,NOT(Q225=""),Q225,NOT(R225=""),R225,NOT(S225=""),S225,NOT(T225=""),T225,NOT(U225=""),U225,TRUE,"No error")</f>
        <v>Enter the number of homes on the 1_SetUp sheet</v>
      </c>
      <c r="W225" s="114" t="str">
        <f t="shared" ca="1" si="11"/>
        <v xml:space="preserve">The Borrower has not addressed the following error messages for Home ID 221: </v>
      </c>
    </row>
    <row r="226" spans="1:23">
      <c r="A226" s="123">
        <v>222</v>
      </c>
      <c r="B226" s="104" t="str" cm="1">
        <f t="array" ref="B226">_xlfn.IFS(AND(A226&gt;NumberOfPlots,ISBLANK(INDEX(PlotData,MATCH($A226,PlotNumber,0),MATCH(B$3,PlotTitles,0)))),"",ISNUMBER(INDEX(PlotData,MATCH($A226,PlotNumber,0),MATCH(B$3,PlotTitles,0)))=FALSE, $AB$5,TRUE,"")</f>
        <v/>
      </c>
      <c r="C226" s="104" t="str" cm="1">
        <f t="array" ref="C226">_xlfn.IFS(AND(A226&gt;NumberOfPlots,ISBLANK(INDEX(PlotData,MATCH($A226,PlotNumber,0),MATCH(B$3,PlotTitles,0)))),"",ISBLANK(INDEX(PlotData,MATCH($A226,PlotNumber,0),MATCH(C$3,PlotTitles,0))),$AB$6,TRUE,"")</f>
        <v/>
      </c>
      <c r="D226" s="104" t="str" cm="1">
        <f t="array" ref="D226">_xlfn.IFS(AND(A226&gt;NumberOfPlots,ISBLANK(INDEX(PlotData,MATCH($A226,PlotNumber,0),MATCH(B$3,PlotTitles,0)))),"",ISBLANK(INDEX(PlotData,MATCH($A226,PlotNumber,0),MATCH(D$3,PlotTitles,0))),$AB$7,TRUE,"")</f>
        <v/>
      </c>
      <c r="E226" s="104" t="str" cm="1">
        <f t="array" ref="E226">_xlfn.IFS(AND(A226&gt;NumberOfPlots,ISBLANK(INDEX(PlotData,MATCH($A226,PlotNumber,0),MATCH(B$3,PlotTitles,0)))),"",ISBLANK(INDEX(PlotData,MATCH($A226,PlotNumber,0),MATCH(E$3,PlotTitles,0))),$AB$8,TRUE,"")</f>
        <v/>
      </c>
      <c r="F226" s="104" t="str" cm="1">
        <f t="array" ref="F226">_xlfn.IFS(AND(A226&gt;NumberOfPlots,ISBLANK(INDEX(PlotData,MATCH($A226,PlotNumber,0),MATCH(B$3,PlotTitles,0)))),"",ISBLANK(INDEX(PlotData,MATCH($A226,PlotNumber,0),MATCH(F$3,PlotTitles,0))),$AB$9,TRUE,"")</f>
        <v/>
      </c>
      <c r="G226" s="104" t="str" cm="1">
        <f t="array" ref="G226">_xlfn.IFS(AND(A226&gt;NumberOfPlots,ISBLANK(INDEX(PlotData,MATCH($A226,PlotNumber,0),MATCH(B$3,PlotTitles,0)))),"",ISBLANK(INDEX(PlotData,MATCH($A226,PlotNumber,0),MATCH(G$3,PlotTitles,0))),$AB$10,TRUE,"")</f>
        <v/>
      </c>
      <c r="H226" s="104" t="str" cm="1">
        <f t="array" ref="H226">_xlfn.IFS(AND(A226&gt;NumberOfPlots,ISBLANK(INDEX(PlotData,MATCH($A226,PlotNumber,0),MATCH(B$3,PlotTitles,0)))),"",AND(ISBLANK(INDEX(PlotData,MATCH($A226,PlotNumber,0),MATCH(H$3,PlotTitles,0)))=FALSE,INDEX(PlotData,MATCH($A226,PlotNumber,0),MATCH(H$3,PlotTitles,0))&lt;500), $AB$11,TRUE,"")</f>
        <v/>
      </c>
      <c r="I226" s="104" t="str" cm="1">
        <f t="array" ref="I226">_xlfn.IFS(AND(A226&gt;NumberOfPlots,ISBLANK(INDEX(PlotData,MATCH($A226,PlotNumber,0),MATCH(B$3,PlotTitles,0)))),"",ISBLANK(INDEX(PlotData,MATCH($A226,PlotNumber,0),MATCH(I$3,PlotTitles,0))),$AB$12,TRUE,"")</f>
        <v/>
      </c>
      <c r="J226" s="104" t="str" cm="1">
        <f t="array" ref="J226">_xlfn.IFS(AND(A226&gt;NumberOfPlots,ISBLANK(INDEX(PlotData,MATCH($A226,PlotNumber,0),MATCH(B$3,PlotTitles,0)))),"",ISBLANK(INDEX(PlotData,MATCH($A226,PlotNumber,0),MATCH(J$3,PlotTitles,0))),$AB$13,TRUE,"")</f>
        <v/>
      </c>
      <c r="K226" s="182" t="str">
        <f t="shared" ca="1" si="9"/>
        <v/>
      </c>
      <c r="L226" s="104" t="str" cm="1">
        <f t="array" ref="L226">_xlfn.IFS(OR(ISBLANK(StartDateMonth),ISBLANK(StartDateYear)),"",AND(A226&gt;NumberOfPlots,ISBLANK(INDEX(PlotData,MATCH($A226,PlotNumber,0),MATCH(B$3,PlotTitles,0)))),"",ISBLANK(INDEX(PlotData,MATCH($A226,PlotNumber,0),MATCH(I$3,PlotTitles,0))),"",(DATEVALUE(INDEX(PlotData,MATCH($A226,PlotNumber,0),MATCH(I$3,PlotTitles,0))&amp;INDEX(PlotData,MATCH($A226,PlotNumber,0),MATCH(J$3,PlotTitles,0))))&lt;DATEVALUE(StartDateMonth&amp;StartDateYear),$AB$15,TRUE,"")</f>
        <v/>
      </c>
      <c r="M226" s="104" t="str" cm="1">
        <f t="array" ref="M226">_xlfn.IFS(OR(ISBLANK(StartDateMonth),ISBLANK(StartDateYear)),"",AND(A226&gt;NumberOfPlots,ISBLANK(INDEX(PlotData,MATCH($A226,PlotNumber,0),MATCH(B$3,PlotTitles,0)))),"",ISBLANK(INDEX(PlotData,MATCH($A226,PlotNumber,0),MATCH(I$3,PlotTitles,0))),"",CompletionMonth="","",(DATEVALUE(INDEX(PlotData,MATCH($A226,PlotNumber,0),MATCH(I$3,PlotTitles,0))&amp;INDEX(PlotData,MATCH($A226,PlotNumber,0),MATCH(J$3,PlotTitles,0))))&gt;(DATEVALUE(CompletionMonth&amp;CompletionYear)),$AB$16,TRUE,"")</f>
        <v/>
      </c>
      <c r="N226" s="104" t="str" cm="1">
        <f t="array" ref="N226">_xlfn.IFS(AND(A226&gt;NumberOfPlots,ISBLANK(INDEX(PlotData,MATCH($A226,PlotNumber,0),MATCH(B$3,PlotTitles,0)))),"",ISBLANK(INDEX(PlotData,MATCH($A226,PlotNumber,0),MATCH(N$3,PlotTitles,0))),$AB$17,TRUE,"")</f>
        <v/>
      </c>
      <c r="O226" s="104" t="str" cm="1">
        <f t="array" ref="O226">_xlfn.IFS(AND(A226&gt;NumberOfPlots,ISBLANK(INDEX(PlotData,MATCH($A226,PlotNumber,0),MATCH(B$3,PlotTitles,0)))),"",ISBLANK(INDEX(PlotData,MATCH($A226,PlotNumber,0),MATCH(O$3,PlotTitles,0))),$AB$18,TRUE,"")</f>
        <v/>
      </c>
      <c r="P226" s="182" t="str">
        <f t="shared" ca="1" si="10"/>
        <v/>
      </c>
      <c r="Q226" s="104" t="str" cm="1">
        <f t="array" ref="Q226">_xlfn.IFS(AND(A226&gt;NumberOfPlots,ISBLANK(INDEX(PlotData,MATCH($A226,PlotNumber,0),MATCH(B$3,PlotTitles,0)))),"",ISBLANK(INDEX(PlotData,MATCH($A226,PlotNumber,0),MATCH(N$3,PlotTitles,0))),"",(DATEVALUE(INDEX(PlotData,MATCH($A226,PlotNumber,0),MATCH(N$3,PlotTitles,0))&amp;INDEX(PlotData,MATCH($A226,PlotNumber,0),MATCH(O$3,PlotTitles,0))))&lt;(DATEVALUE(INDEX(PlotData,MATCH($A226,PlotNumber,0),MATCH(I$3,PlotTitles,0))&amp;INDEX(PlotData,MATCH($A226,PlotNumber,0),MATCH(J$3,PlotTitles,0)))),$AB$20,TRUE,"")</f>
        <v/>
      </c>
      <c r="R226" s="104" t="str" cm="1">
        <f t="array" ref="R226">_xlfn.IFS(OR(ISBLANK(StartDateMonth),ISBLANK(StartDateYear)),"",AND(A226&gt;NumberOfPlots,ISBLANK(INDEX(PlotData,MATCH($A226,PlotNumber,0),MATCH(B$3,PlotTitles,0)))),"",ISBLANK(INDEX(PlotData,MATCH($A226,PlotNumber,0),MATCH(N$3,PlotTitles,0))),"",CompletionMonth="","",(DATEVALUE(INDEX(PlotData,MATCH($A226,PlotNumber,0),MATCH(N$3,PlotTitles,0))&amp;INDEX(PlotData,MATCH($A226,PlotNumber,0),MATCH(O$3,PlotTitles,0))))&gt;(DATEVALUE(CompletionMonth&amp;CompletionYear)),$AB$21,TRUE,"")</f>
        <v/>
      </c>
      <c r="S226" s="104" t="str" cm="1">
        <f t="array" ref="S226">_xlfn.IFS(AND(A226&gt;NumberOfPlots,ISBLANK(INDEX(PlotData,MATCH($A226,PlotNumber,0),MATCH(B$3,PlotTitles,0)))),"",OR(AND(INDEX(PlotData,MATCH($A226,PlotNumber,0),MATCH("Tenure",PlotTitles,0))="Open market housing",INDEX(PlotData,MATCH($A226,PlotNumber,0),MATCH("Tenure detail",PlotTitles,0))="Private rented sector"),INDEX(PlotData,MATCH($A226,PlotNumber,0),MATCH("Tenure",PlotTitles,0))="Affordable rent"),"",ISNUMBER(INDEX(PlotData,MATCH($A226,PlotNumber,0),MATCH(S$3,PlotTitles,0)))=FALSE, $AB$22,TRUE,"")</f>
        <v/>
      </c>
      <c r="T226" s="104" t="str" cm="1">
        <f t="array" ref="T226">_xlfn.IFS(AND(A226&gt;NumberOfPlots,ISBLANK(INDEX(PlotData,MATCH($A226,PlotNumber,0),MATCH(B$3,PlotTitles,0)))),"",OR(AND(INDEX(PlotData,MATCH($A226,PlotNumber,0),MATCH("Tenure",PlotTitles,0))="Open market housing",INDEX(PlotData,MATCH($A226,PlotNumber,0),MATCH("Tenure detail",PlotTitles,0))="Private rented sector"),INDEX(PlotData,MATCH($A226,PlotNumber,0),MATCH("Tenure",PlotTitles,0))="Affordable rent"),"",INDEX(PlotData,MATCH($A226,PlotNumber,0),MATCH(S$3,PlotTitles,0))&lt;10000, $AB$23,TRUE,"")</f>
        <v/>
      </c>
      <c r="U226" s="104" t="str" cm="1">
        <f t="array" ref="U226">_xlfn.IFS(AND(A226&gt;NumberOfPlots,ISBLANK(INDEX(PlotData,MATCH($A226,PlotNumber,0),MATCH(B$3,PlotTitles,0)))),"",NOT(OR(AND(INDEX(PlotData,MATCH($A226,PlotNumber,0),MATCH("Tenure",PlotTitles,0))="Open market housing",INDEX(PlotData,MATCH($A226,PlotNumber,0),MATCH("Tenure detail",PlotTitles,0))="Private rented sector"),INDEX(PlotData,MATCH($A226,PlotNumber,0),MATCH("Tenure",PlotTitles,0))="Affordable rent")),"",NOT(INDEX(PlotData,MATCH($A226,PlotNumber,0),MATCH(S$3,PlotTitles,0))=0), $AB$24,TRUE,"")</f>
        <v/>
      </c>
      <c r="V226" s="114" t="str" cm="1">
        <f t="array" aca="1" ref="V226" ca="1">_xlfn.IFS(ISBLANK(NumberOfPlots),"Enter the number of homes on the 1_SetUp sheet",AND(A226&gt;NumberOfPlots,ISBLANK(INDEX(PlotData,MATCH($A226,PlotNumber,0),MATCH(B$3,PlotTitles,0)))),"No error",NOT(B226=""),B226,NOT(C226=""),C226,NOT(D226=""),D226,NOT(E226=""),E226,NOT(F226=""),F226,NOT(G226=""),G226,NOT(H226=""),H226,NOT(I226=""),I226,NOT(J226=""),J226,NOT(K226=""),K226,NOT(L226=""),L226,NOT(M226=""),M226,NOT(N226=""),N226,NOT(O226=""),O226,NOT(P226=""),P226,NOT(Q226=""),Q226,NOT(R226=""),R226,NOT(S226=""),S226,NOT(T226=""),T226,NOT(U226=""),U226,TRUE,"No error")</f>
        <v>Enter the number of homes on the 1_SetUp sheet</v>
      </c>
      <c r="W226" s="114" t="str">
        <f t="shared" ca="1" si="11"/>
        <v xml:space="preserve">The Borrower has not addressed the following error messages for Home ID 222: </v>
      </c>
    </row>
    <row r="227" spans="1:23">
      <c r="A227" s="123">
        <v>223</v>
      </c>
      <c r="B227" s="104" t="str" cm="1">
        <f t="array" ref="B227">_xlfn.IFS(AND(A227&gt;NumberOfPlots,ISBLANK(INDEX(PlotData,MATCH($A227,PlotNumber,0),MATCH(B$3,PlotTitles,0)))),"",ISNUMBER(INDEX(PlotData,MATCH($A227,PlotNumber,0),MATCH(B$3,PlotTitles,0)))=FALSE, $AB$5,TRUE,"")</f>
        <v/>
      </c>
      <c r="C227" s="104" t="str" cm="1">
        <f t="array" ref="C227">_xlfn.IFS(AND(A227&gt;NumberOfPlots,ISBLANK(INDEX(PlotData,MATCH($A227,PlotNumber,0),MATCH(B$3,PlotTitles,0)))),"",ISBLANK(INDEX(PlotData,MATCH($A227,PlotNumber,0),MATCH(C$3,PlotTitles,0))),$AB$6,TRUE,"")</f>
        <v/>
      </c>
      <c r="D227" s="104" t="str" cm="1">
        <f t="array" ref="D227">_xlfn.IFS(AND(A227&gt;NumberOfPlots,ISBLANK(INDEX(PlotData,MATCH($A227,PlotNumber,0),MATCH(B$3,PlotTitles,0)))),"",ISBLANK(INDEX(PlotData,MATCH($A227,PlotNumber,0),MATCH(D$3,PlotTitles,0))),$AB$7,TRUE,"")</f>
        <v/>
      </c>
      <c r="E227" s="104" t="str" cm="1">
        <f t="array" ref="E227">_xlfn.IFS(AND(A227&gt;NumberOfPlots,ISBLANK(INDEX(PlotData,MATCH($A227,PlotNumber,0),MATCH(B$3,PlotTitles,0)))),"",ISBLANK(INDEX(PlotData,MATCH($A227,PlotNumber,0),MATCH(E$3,PlotTitles,0))),$AB$8,TRUE,"")</f>
        <v/>
      </c>
      <c r="F227" s="104" t="str" cm="1">
        <f t="array" ref="F227">_xlfn.IFS(AND(A227&gt;NumberOfPlots,ISBLANK(INDEX(PlotData,MATCH($A227,PlotNumber,0),MATCH(B$3,PlotTitles,0)))),"",ISBLANK(INDEX(PlotData,MATCH($A227,PlotNumber,0),MATCH(F$3,PlotTitles,0))),$AB$9,TRUE,"")</f>
        <v/>
      </c>
      <c r="G227" s="104" t="str" cm="1">
        <f t="array" ref="G227">_xlfn.IFS(AND(A227&gt;NumberOfPlots,ISBLANK(INDEX(PlotData,MATCH($A227,PlotNumber,0),MATCH(B$3,PlotTitles,0)))),"",ISBLANK(INDEX(PlotData,MATCH($A227,PlotNumber,0),MATCH(G$3,PlotTitles,0))),$AB$10,TRUE,"")</f>
        <v/>
      </c>
      <c r="H227" s="104" t="str" cm="1">
        <f t="array" ref="H227">_xlfn.IFS(AND(A227&gt;NumberOfPlots,ISBLANK(INDEX(PlotData,MATCH($A227,PlotNumber,0),MATCH(B$3,PlotTitles,0)))),"",AND(ISBLANK(INDEX(PlotData,MATCH($A227,PlotNumber,0),MATCH(H$3,PlotTitles,0)))=FALSE,INDEX(PlotData,MATCH($A227,PlotNumber,0),MATCH(H$3,PlotTitles,0))&lt;500), $AB$11,TRUE,"")</f>
        <v/>
      </c>
      <c r="I227" s="104" t="str" cm="1">
        <f t="array" ref="I227">_xlfn.IFS(AND(A227&gt;NumberOfPlots,ISBLANK(INDEX(PlotData,MATCH($A227,PlotNumber,0),MATCH(B$3,PlotTitles,0)))),"",ISBLANK(INDEX(PlotData,MATCH($A227,PlotNumber,0),MATCH(I$3,PlotTitles,0))),$AB$12,TRUE,"")</f>
        <v/>
      </c>
      <c r="J227" s="104" t="str" cm="1">
        <f t="array" ref="J227">_xlfn.IFS(AND(A227&gt;NumberOfPlots,ISBLANK(INDEX(PlotData,MATCH($A227,PlotNumber,0),MATCH(B$3,PlotTitles,0)))),"",ISBLANK(INDEX(PlotData,MATCH($A227,PlotNumber,0),MATCH(J$3,PlotTitles,0))),$AB$13,TRUE,"")</f>
        <v/>
      </c>
      <c r="K227" s="182" t="str">
        <f t="shared" ca="1" si="9"/>
        <v/>
      </c>
      <c r="L227" s="104" t="str" cm="1">
        <f t="array" ref="L227">_xlfn.IFS(OR(ISBLANK(StartDateMonth),ISBLANK(StartDateYear)),"",AND(A227&gt;NumberOfPlots,ISBLANK(INDEX(PlotData,MATCH($A227,PlotNumber,0),MATCH(B$3,PlotTitles,0)))),"",ISBLANK(INDEX(PlotData,MATCH($A227,PlotNumber,0),MATCH(I$3,PlotTitles,0))),"",(DATEVALUE(INDEX(PlotData,MATCH($A227,PlotNumber,0),MATCH(I$3,PlotTitles,0))&amp;INDEX(PlotData,MATCH($A227,PlotNumber,0),MATCH(J$3,PlotTitles,0))))&lt;DATEVALUE(StartDateMonth&amp;StartDateYear),$AB$15,TRUE,"")</f>
        <v/>
      </c>
      <c r="M227" s="104" t="str" cm="1">
        <f t="array" ref="M227">_xlfn.IFS(OR(ISBLANK(StartDateMonth),ISBLANK(StartDateYear)),"",AND(A227&gt;NumberOfPlots,ISBLANK(INDEX(PlotData,MATCH($A227,PlotNumber,0),MATCH(B$3,PlotTitles,0)))),"",ISBLANK(INDEX(PlotData,MATCH($A227,PlotNumber,0),MATCH(I$3,PlotTitles,0))),"",CompletionMonth="","",(DATEVALUE(INDEX(PlotData,MATCH($A227,PlotNumber,0),MATCH(I$3,PlotTitles,0))&amp;INDEX(PlotData,MATCH($A227,PlotNumber,0),MATCH(J$3,PlotTitles,0))))&gt;(DATEVALUE(CompletionMonth&amp;CompletionYear)),$AB$16,TRUE,"")</f>
        <v/>
      </c>
      <c r="N227" s="104" t="str" cm="1">
        <f t="array" ref="N227">_xlfn.IFS(AND(A227&gt;NumberOfPlots,ISBLANK(INDEX(PlotData,MATCH($A227,PlotNumber,0),MATCH(B$3,PlotTitles,0)))),"",ISBLANK(INDEX(PlotData,MATCH($A227,PlotNumber,0),MATCH(N$3,PlotTitles,0))),$AB$17,TRUE,"")</f>
        <v/>
      </c>
      <c r="O227" s="104" t="str" cm="1">
        <f t="array" ref="O227">_xlfn.IFS(AND(A227&gt;NumberOfPlots,ISBLANK(INDEX(PlotData,MATCH($A227,PlotNumber,0),MATCH(B$3,PlotTitles,0)))),"",ISBLANK(INDEX(PlotData,MATCH($A227,PlotNumber,0),MATCH(O$3,PlotTitles,0))),$AB$18,TRUE,"")</f>
        <v/>
      </c>
      <c r="P227" s="182" t="str">
        <f t="shared" ca="1" si="10"/>
        <v/>
      </c>
      <c r="Q227" s="104" t="str" cm="1">
        <f t="array" ref="Q227">_xlfn.IFS(AND(A227&gt;NumberOfPlots,ISBLANK(INDEX(PlotData,MATCH($A227,PlotNumber,0),MATCH(B$3,PlotTitles,0)))),"",ISBLANK(INDEX(PlotData,MATCH($A227,PlotNumber,0),MATCH(N$3,PlotTitles,0))),"",(DATEVALUE(INDEX(PlotData,MATCH($A227,PlotNumber,0),MATCH(N$3,PlotTitles,0))&amp;INDEX(PlotData,MATCH($A227,PlotNumber,0),MATCH(O$3,PlotTitles,0))))&lt;(DATEVALUE(INDEX(PlotData,MATCH($A227,PlotNumber,0),MATCH(I$3,PlotTitles,0))&amp;INDEX(PlotData,MATCH($A227,PlotNumber,0),MATCH(J$3,PlotTitles,0)))),$AB$20,TRUE,"")</f>
        <v/>
      </c>
      <c r="R227" s="104" t="str" cm="1">
        <f t="array" ref="R227">_xlfn.IFS(OR(ISBLANK(StartDateMonth),ISBLANK(StartDateYear)),"",AND(A227&gt;NumberOfPlots,ISBLANK(INDEX(PlotData,MATCH($A227,PlotNumber,0),MATCH(B$3,PlotTitles,0)))),"",ISBLANK(INDEX(PlotData,MATCH($A227,PlotNumber,0),MATCH(N$3,PlotTitles,0))),"",CompletionMonth="","",(DATEVALUE(INDEX(PlotData,MATCH($A227,PlotNumber,0),MATCH(N$3,PlotTitles,0))&amp;INDEX(PlotData,MATCH($A227,PlotNumber,0),MATCH(O$3,PlotTitles,0))))&gt;(DATEVALUE(CompletionMonth&amp;CompletionYear)),$AB$21,TRUE,"")</f>
        <v/>
      </c>
      <c r="S227" s="104" t="str" cm="1">
        <f t="array" ref="S227">_xlfn.IFS(AND(A227&gt;NumberOfPlots,ISBLANK(INDEX(PlotData,MATCH($A227,PlotNumber,0),MATCH(B$3,PlotTitles,0)))),"",OR(AND(INDEX(PlotData,MATCH($A227,PlotNumber,0),MATCH("Tenure",PlotTitles,0))="Open market housing",INDEX(PlotData,MATCH($A227,PlotNumber,0),MATCH("Tenure detail",PlotTitles,0))="Private rented sector"),INDEX(PlotData,MATCH($A227,PlotNumber,0),MATCH("Tenure",PlotTitles,0))="Affordable rent"),"",ISNUMBER(INDEX(PlotData,MATCH($A227,PlotNumber,0),MATCH(S$3,PlotTitles,0)))=FALSE, $AB$22,TRUE,"")</f>
        <v/>
      </c>
      <c r="T227" s="104" t="str" cm="1">
        <f t="array" ref="T227">_xlfn.IFS(AND(A227&gt;NumberOfPlots,ISBLANK(INDEX(PlotData,MATCH($A227,PlotNumber,0),MATCH(B$3,PlotTitles,0)))),"",OR(AND(INDEX(PlotData,MATCH($A227,PlotNumber,0),MATCH("Tenure",PlotTitles,0))="Open market housing",INDEX(PlotData,MATCH($A227,PlotNumber,0),MATCH("Tenure detail",PlotTitles,0))="Private rented sector"),INDEX(PlotData,MATCH($A227,PlotNumber,0),MATCH("Tenure",PlotTitles,0))="Affordable rent"),"",INDEX(PlotData,MATCH($A227,PlotNumber,0),MATCH(S$3,PlotTitles,0))&lt;10000, $AB$23,TRUE,"")</f>
        <v/>
      </c>
      <c r="U227" s="104" t="str" cm="1">
        <f t="array" ref="U227">_xlfn.IFS(AND(A227&gt;NumberOfPlots,ISBLANK(INDEX(PlotData,MATCH($A227,PlotNumber,0),MATCH(B$3,PlotTitles,0)))),"",NOT(OR(AND(INDEX(PlotData,MATCH($A227,PlotNumber,0),MATCH("Tenure",PlotTitles,0))="Open market housing",INDEX(PlotData,MATCH($A227,PlotNumber,0),MATCH("Tenure detail",PlotTitles,0))="Private rented sector"),INDEX(PlotData,MATCH($A227,PlotNumber,0),MATCH("Tenure",PlotTitles,0))="Affordable rent")),"",NOT(INDEX(PlotData,MATCH($A227,PlotNumber,0),MATCH(S$3,PlotTitles,0))=0), $AB$24,TRUE,"")</f>
        <v/>
      </c>
      <c r="V227" s="114" t="str" cm="1">
        <f t="array" aca="1" ref="V227" ca="1">_xlfn.IFS(ISBLANK(NumberOfPlots),"Enter the number of homes on the 1_SetUp sheet",AND(A227&gt;NumberOfPlots,ISBLANK(INDEX(PlotData,MATCH($A227,PlotNumber,0),MATCH(B$3,PlotTitles,0)))),"No error",NOT(B227=""),B227,NOT(C227=""),C227,NOT(D227=""),D227,NOT(E227=""),E227,NOT(F227=""),F227,NOT(G227=""),G227,NOT(H227=""),H227,NOT(I227=""),I227,NOT(J227=""),J227,NOT(K227=""),K227,NOT(L227=""),L227,NOT(M227=""),M227,NOT(N227=""),N227,NOT(O227=""),O227,NOT(P227=""),P227,NOT(Q227=""),Q227,NOT(R227=""),R227,NOT(S227=""),S227,NOT(T227=""),T227,NOT(U227=""),U227,TRUE,"No error")</f>
        <v>Enter the number of homes on the 1_SetUp sheet</v>
      </c>
      <c r="W227" s="114" t="str">
        <f t="shared" ca="1" si="11"/>
        <v xml:space="preserve">The Borrower has not addressed the following error messages for Home ID 223: </v>
      </c>
    </row>
    <row r="228" spans="1:23">
      <c r="A228" s="123">
        <v>224</v>
      </c>
      <c r="B228" s="104" t="str" cm="1">
        <f t="array" ref="B228">_xlfn.IFS(AND(A228&gt;NumberOfPlots,ISBLANK(INDEX(PlotData,MATCH($A228,PlotNumber,0),MATCH(B$3,PlotTitles,0)))),"",ISNUMBER(INDEX(PlotData,MATCH($A228,PlotNumber,0),MATCH(B$3,PlotTitles,0)))=FALSE, $AB$5,TRUE,"")</f>
        <v/>
      </c>
      <c r="C228" s="104" t="str" cm="1">
        <f t="array" ref="C228">_xlfn.IFS(AND(A228&gt;NumberOfPlots,ISBLANK(INDEX(PlotData,MATCH($A228,PlotNumber,0),MATCH(B$3,PlotTitles,0)))),"",ISBLANK(INDEX(PlotData,MATCH($A228,PlotNumber,0),MATCH(C$3,PlotTitles,0))),$AB$6,TRUE,"")</f>
        <v/>
      </c>
      <c r="D228" s="104" t="str" cm="1">
        <f t="array" ref="D228">_xlfn.IFS(AND(A228&gt;NumberOfPlots,ISBLANK(INDEX(PlotData,MATCH($A228,PlotNumber,0),MATCH(B$3,PlotTitles,0)))),"",ISBLANK(INDEX(PlotData,MATCH($A228,PlotNumber,0),MATCH(D$3,PlotTitles,0))),$AB$7,TRUE,"")</f>
        <v/>
      </c>
      <c r="E228" s="104" t="str" cm="1">
        <f t="array" ref="E228">_xlfn.IFS(AND(A228&gt;NumberOfPlots,ISBLANK(INDEX(PlotData,MATCH($A228,PlotNumber,0),MATCH(B$3,PlotTitles,0)))),"",ISBLANK(INDEX(PlotData,MATCH($A228,PlotNumber,0),MATCH(E$3,PlotTitles,0))),$AB$8,TRUE,"")</f>
        <v/>
      </c>
      <c r="F228" s="104" t="str" cm="1">
        <f t="array" ref="F228">_xlfn.IFS(AND(A228&gt;NumberOfPlots,ISBLANK(INDEX(PlotData,MATCH($A228,PlotNumber,0),MATCH(B$3,PlotTitles,0)))),"",ISBLANK(INDEX(PlotData,MATCH($A228,PlotNumber,0),MATCH(F$3,PlotTitles,0))),$AB$9,TRUE,"")</f>
        <v/>
      </c>
      <c r="G228" s="104" t="str" cm="1">
        <f t="array" ref="G228">_xlfn.IFS(AND(A228&gt;NumberOfPlots,ISBLANK(INDEX(PlotData,MATCH($A228,PlotNumber,0),MATCH(B$3,PlotTitles,0)))),"",ISBLANK(INDEX(PlotData,MATCH($A228,PlotNumber,0),MATCH(G$3,PlotTitles,0))),$AB$10,TRUE,"")</f>
        <v/>
      </c>
      <c r="H228" s="104" t="str" cm="1">
        <f t="array" ref="H228">_xlfn.IFS(AND(A228&gt;NumberOfPlots,ISBLANK(INDEX(PlotData,MATCH($A228,PlotNumber,0),MATCH(B$3,PlotTitles,0)))),"",AND(ISBLANK(INDEX(PlotData,MATCH($A228,PlotNumber,0),MATCH(H$3,PlotTitles,0)))=FALSE,INDEX(PlotData,MATCH($A228,PlotNumber,0),MATCH(H$3,PlotTitles,0))&lt;500), $AB$11,TRUE,"")</f>
        <v/>
      </c>
      <c r="I228" s="104" t="str" cm="1">
        <f t="array" ref="I228">_xlfn.IFS(AND(A228&gt;NumberOfPlots,ISBLANK(INDEX(PlotData,MATCH($A228,PlotNumber,0),MATCH(B$3,PlotTitles,0)))),"",ISBLANK(INDEX(PlotData,MATCH($A228,PlotNumber,0),MATCH(I$3,PlotTitles,0))),$AB$12,TRUE,"")</f>
        <v/>
      </c>
      <c r="J228" s="104" t="str" cm="1">
        <f t="array" ref="J228">_xlfn.IFS(AND(A228&gt;NumberOfPlots,ISBLANK(INDEX(PlotData,MATCH($A228,PlotNumber,0),MATCH(B$3,PlotTitles,0)))),"",ISBLANK(INDEX(PlotData,MATCH($A228,PlotNumber,0),MATCH(J$3,PlotTitles,0))),$AB$13,TRUE,"")</f>
        <v/>
      </c>
      <c r="K228" s="182" t="str">
        <f t="shared" ca="1" si="9"/>
        <v/>
      </c>
      <c r="L228" s="104" t="str" cm="1">
        <f t="array" ref="L228">_xlfn.IFS(OR(ISBLANK(StartDateMonth),ISBLANK(StartDateYear)),"",AND(A228&gt;NumberOfPlots,ISBLANK(INDEX(PlotData,MATCH($A228,PlotNumber,0),MATCH(B$3,PlotTitles,0)))),"",ISBLANK(INDEX(PlotData,MATCH($A228,PlotNumber,0),MATCH(I$3,PlotTitles,0))),"",(DATEVALUE(INDEX(PlotData,MATCH($A228,PlotNumber,0),MATCH(I$3,PlotTitles,0))&amp;INDEX(PlotData,MATCH($A228,PlotNumber,0),MATCH(J$3,PlotTitles,0))))&lt;DATEVALUE(StartDateMonth&amp;StartDateYear),$AB$15,TRUE,"")</f>
        <v/>
      </c>
      <c r="M228" s="104" t="str" cm="1">
        <f t="array" ref="M228">_xlfn.IFS(OR(ISBLANK(StartDateMonth),ISBLANK(StartDateYear)),"",AND(A228&gt;NumberOfPlots,ISBLANK(INDEX(PlotData,MATCH($A228,PlotNumber,0),MATCH(B$3,PlotTitles,0)))),"",ISBLANK(INDEX(PlotData,MATCH($A228,PlotNumber,0),MATCH(I$3,PlotTitles,0))),"",CompletionMonth="","",(DATEVALUE(INDEX(PlotData,MATCH($A228,PlotNumber,0),MATCH(I$3,PlotTitles,0))&amp;INDEX(PlotData,MATCH($A228,PlotNumber,0),MATCH(J$3,PlotTitles,0))))&gt;(DATEVALUE(CompletionMonth&amp;CompletionYear)),$AB$16,TRUE,"")</f>
        <v/>
      </c>
      <c r="N228" s="104" t="str" cm="1">
        <f t="array" ref="N228">_xlfn.IFS(AND(A228&gt;NumberOfPlots,ISBLANK(INDEX(PlotData,MATCH($A228,PlotNumber,0),MATCH(B$3,PlotTitles,0)))),"",ISBLANK(INDEX(PlotData,MATCH($A228,PlotNumber,0),MATCH(N$3,PlotTitles,0))),$AB$17,TRUE,"")</f>
        <v/>
      </c>
      <c r="O228" s="104" t="str" cm="1">
        <f t="array" ref="O228">_xlfn.IFS(AND(A228&gt;NumberOfPlots,ISBLANK(INDEX(PlotData,MATCH($A228,PlotNumber,0),MATCH(B$3,PlotTitles,0)))),"",ISBLANK(INDEX(PlotData,MATCH($A228,PlotNumber,0),MATCH(O$3,PlotTitles,0))),$AB$18,TRUE,"")</f>
        <v/>
      </c>
      <c r="P228" s="182" t="str">
        <f t="shared" ca="1" si="10"/>
        <v/>
      </c>
      <c r="Q228" s="104" t="str" cm="1">
        <f t="array" ref="Q228">_xlfn.IFS(AND(A228&gt;NumberOfPlots,ISBLANK(INDEX(PlotData,MATCH($A228,PlotNumber,0),MATCH(B$3,PlotTitles,0)))),"",ISBLANK(INDEX(PlotData,MATCH($A228,PlotNumber,0),MATCH(N$3,PlotTitles,0))),"",(DATEVALUE(INDEX(PlotData,MATCH($A228,PlotNumber,0),MATCH(N$3,PlotTitles,0))&amp;INDEX(PlotData,MATCH($A228,PlotNumber,0),MATCH(O$3,PlotTitles,0))))&lt;(DATEVALUE(INDEX(PlotData,MATCH($A228,PlotNumber,0),MATCH(I$3,PlotTitles,0))&amp;INDEX(PlotData,MATCH($A228,PlotNumber,0),MATCH(J$3,PlotTitles,0)))),$AB$20,TRUE,"")</f>
        <v/>
      </c>
      <c r="R228" s="104" t="str" cm="1">
        <f t="array" ref="R228">_xlfn.IFS(OR(ISBLANK(StartDateMonth),ISBLANK(StartDateYear)),"",AND(A228&gt;NumberOfPlots,ISBLANK(INDEX(PlotData,MATCH($A228,PlotNumber,0),MATCH(B$3,PlotTitles,0)))),"",ISBLANK(INDEX(PlotData,MATCH($A228,PlotNumber,0),MATCH(N$3,PlotTitles,0))),"",CompletionMonth="","",(DATEVALUE(INDEX(PlotData,MATCH($A228,PlotNumber,0),MATCH(N$3,PlotTitles,0))&amp;INDEX(PlotData,MATCH($A228,PlotNumber,0),MATCH(O$3,PlotTitles,0))))&gt;(DATEVALUE(CompletionMonth&amp;CompletionYear)),$AB$21,TRUE,"")</f>
        <v/>
      </c>
      <c r="S228" s="104" t="str" cm="1">
        <f t="array" ref="S228">_xlfn.IFS(AND(A228&gt;NumberOfPlots,ISBLANK(INDEX(PlotData,MATCH($A228,PlotNumber,0),MATCH(B$3,PlotTitles,0)))),"",OR(AND(INDEX(PlotData,MATCH($A228,PlotNumber,0),MATCH("Tenure",PlotTitles,0))="Open market housing",INDEX(PlotData,MATCH($A228,PlotNumber,0),MATCH("Tenure detail",PlotTitles,0))="Private rented sector"),INDEX(PlotData,MATCH($A228,PlotNumber,0),MATCH("Tenure",PlotTitles,0))="Affordable rent"),"",ISNUMBER(INDEX(PlotData,MATCH($A228,PlotNumber,0),MATCH(S$3,PlotTitles,0)))=FALSE, $AB$22,TRUE,"")</f>
        <v/>
      </c>
      <c r="T228" s="104" t="str" cm="1">
        <f t="array" ref="T228">_xlfn.IFS(AND(A228&gt;NumberOfPlots,ISBLANK(INDEX(PlotData,MATCH($A228,PlotNumber,0),MATCH(B$3,PlotTitles,0)))),"",OR(AND(INDEX(PlotData,MATCH($A228,PlotNumber,0),MATCH("Tenure",PlotTitles,0))="Open market housing",INDEX(PlotData,MATCH($A228,PlotNumber,0),MATCH("Tenure detail",PlotTitles,0))="Private rented sector"),INDEX(PlotData,MATCH($A228,PlotNumber,0),MATCH("Tenure",PlotTitles,0))="Affordable rent"),"",INDEX(PlotData,MATCH($A228,PlotNumber,0),MATCH(S$3,PlotTitles,0))&lt;10000, $AB$23,TRUE,"")</f>
        <v/>
      </c>
      <c r="U228" s="104" t="str" cm="1">
        <f t="array" ref="U228">_xlfn.IFS(AND(A228&gt;NumberOfPlots,ISBLANK(INDEX(PlotData,MATCH($A228,PlotNumber,0),MATCH(B$3,PlotTitles,0)))),"",NOT(OR(AND(INDEX(PlotData,MATCH($A228,PlotNumber,0),MATCH("Tenure",PlotTitles,0))="Open market housing",INDEX(PlotData,MATCH($A228,PlotNumber,0),MATCH("Tenure detail",PlotTitles,0))="Private rented sector"),INDEX(PlotData,MATCH($A228,PlotNumber,0),MATCH("Tenure",PlotTitles,0))="Affordable rent")),"",NOT(INDEX(PlotData,MATCH($A228,PlotNumber,0),MATCH(S$3,PlotTitles,0))=0), $AB$24,TRUE,"")</f>
        <v/>
      </c>
      <c r="V228" s="114" t="str" cm="1">
        <f t="array" aca="1" ref="V228" ca="1">_xlfn.IFS(ISBLANK(NumberOfPlots),"Enter the number of homes on the 1_SetUp sheet",AND(A228&gt;NumberOfPlots,ISBLANK(INDEX(PlotData,MATCH($A228,PlotNumber,0),MATCH(B$3,PlotTitles,0)))),"No error",NOT(B228=""),B228,NOT(C228=""),C228,NOT(D228=""),D228,NOT(E228=""),E228,NOT(F228=""),F228,NOT(G228=""),G228,NOT(H228=""),H228,NOT(I228=""),I228,NOT(J228=""),J228,NOT(K228=""),K228,NOT(L228=""),L228,NOT(M228=""),M228,NOT(N228=""),N228,NOT(O228=""),O228,NOT(P228=""),P228,NOT(Q228=""),Q228,NOT(R228=""),R228,NOT(S228=""),S228,NOT(T228=""),T228,NOT(U228=""),U228,TRUE,"No error")</f>
        <v>Enter the number of homes on the 1_SetUp sheet</v>
      </c>
      <c r="W228" s="114" t="str">
        <f t="shared" ca="1" si="11"/>
        <v xml:space="preserve">The Borrower has not addressed the following error messages for Home ID 224: </v>
      </c>
    </row>
    <row r="229" spans="1:23">
      <c r="A229" s="123">
        <v>225</v>
      </c>
      <c r="B229" s="104" t="str" cm="1">
        <f t="array" ref="B229">_xlfn.IFS(AND(A229&gt;NumberOfPlots,ISBLANK(INDEX(PlotData,MATCH($A229,PlotNumber,0),MATCH(B$3,PlotTitles,0)))),"",ISNUMBER(INDEX(PlotData,MATCH($A229,PlotNumber,0),MATCH(B$3,PlotTitles,0)))=FALSE, $AB$5,TRUE,"")</f>
        <v/>
      </c>
      <c r="C229" s="104" t="str" cm="1">
        <f t="array" ref="C229">_xlfn.IFS(AND(A229&gt;NumberOfPlots,ISBLANK(INDEX(PlotData,MATCH($A229,PlotNumber,0),MATCH(B$3,PlotTitles,0)))),"",ISBLANK(INDEX(PlotData,MATCH($A229,PlotNumber,0),MATCH(C$3,PlotTitles,0))),$AB$6,TRUE,"")</f>
        <v/>
      </c>
      <c r="D229" s="104" t="str" cm="1">
        <f t="array" ref="D229">_xlfn.IFS(AND(A229&gt;NumberOfPlots,ISBLANK(INDEX(PlotData,MATCH($A229,PlotNumber,0),MATCH(B$3,PlotTitles,0)))),"",ISBLANK(INDEX(PlotData,MATCH($A229,PlotNumber,0),MATCH(D$3,PlotTitles,0))),$AB$7,TRUE,"")</f>
        <v/>
      </c>
      <c r="E229" s="104" t="str" cm="1">
        <f t="array" ref="E229">_xlfn.IFS(AND(A229&gt;NumberOfPlots,ISBLANK(INDEX(PlotData,MATCH($A229,PlotNumber,0),MATCH(B$3,PlotTitles,0)))),"",ISBLANK(INDEX(PlotData,MATCH($A229,PlotNumber,0),MATCH(E$3,PlotTitles,0))),$AB$8,TRUE,"")</f>
        <v/>
      </c>
      <c r="F229" s="104" t="str" cm="1">
        <f t="array" ref="F229">_xlfn.IFS(AND(A229&gt;NumberOfPlots,ISBLANK(INDEX(PlotData,MATCH($A229,PlotNumber,0),MATCH(B$3,PlotTitles,0)))),"",ISBLANK(INDEX(PlotData,MATCH($A229,PlotNumber,0),MATCH(F$3,PlotTitles,0))),$AB$9,TRUE,"")</f>
        <v/>
      </c>
      <c r="G229" s="104" t="str" cm="1">
        <f t="array" ref="G229">_xlfn.IFS(AND(A229&gt;NumberOfPlots,ISBLANK(INDEX(PlotData,MATCH($A229,PlotNumber,0),MATCH(B$3,PlotTitles,0)))),"",ISBLANK(INDEX(PlotData,MATCH($A229,PlotNumber,0),MATCH(G$3,PlotTitles,0))),$AB$10,TRUE,"")</f>
        <v/>
      </c>
      <c r="H229" s="104" t="str" cm="1">
        <f t="array" ref="H229">_xlfn.IFS(AND(A229&gt;NumberOfPlots,ISBLANK(INDEX(PlotData,MATCH($A229,PlotNumber,0),MATCH(B$3,PlotTitles,0)))),"",AND(ISBLANK(INDEX(PlotData,MATCH($A229,PlotNumber,0),MATCH(H$3,PlotTitles,0)))=FALSE,INDEX(PlotData,MATCH($A229,PlotNumber,0),MATCH(H$3,PlotTitles,0))&lt;500), $AB$11,TRUE,"")</f>
        <v/>
      </c>
      <c r="I229" s="104" t="str" cm="1">
        <f t="array" ref="I229">_xlfn.IFS(AND(A229&gt;NumberOfPlots,ISBLANK(INDEX(PlotData,MATCH($A229,PlotNumber,0),MATCH(B$3,PlotTitles,0)))),"",ISBLANK(INDEX(PlotData,MATCH($A229,PlotNumber,0),MATCH(I$3,PlotTitles,0))),$AB$12,TRUE,"")</f>
        <v/>
      </c>
      <c r="J229" s="104" t="str" cm="1">
        <f t="array" ref="J229">_xlfn.IFS(AND(A229&gt;NumberOfPlots,ISBLANK(INDEX(PlotData,MATCH($A229,PlotNumber,0),MATCH(B$3,PlotTitles,0)))),"",ISBLANK(INDEX(PlotData,MATCH($A229,PlotNumber,0),MATCH(J$3,PlotTitles,0))),$AB$13,TRUE,"")</f>
        <v/>
      </c>
      <c r="K229" s="182" t="str">
        <f t="shared" ca="1" si="9"/>
        <v/>
      </c>
      <c r="L229" s="104" t="str" cm="1">
        <f t="array" ref="L229">_xlfn.IFS(OR(ISBLANK(StartDateMonth),ISBLANK(StartDateYear)),"",AND(A229&gt;NumberOfPlots,ISBLANK(INDEX(PlotData,MATCH($A229,PlotNumber,0),MATCH(B$3,PlotTitles,0)))),"",ISBLANK(INDEX(PlotData,MATCH($A229,PlotNumber,0),MATCH(I$3,PlotTitles,0))),"",(DATEVALUE(INDEX(PlotData,MATCH($A229,PlotNumber,0),MATCH(I$3,PlotTitles,0))&amp;INDEX(PlotData,MATCH($A229,PlotNumber,0),MATCH(J$3,PlotTitles,0))))&lt;DATEVALUE(StartDateMonth&amp;StartDateYear),$AB$15,TRUE,"")</f>
        <v/>
      </c>
      <c r="M229" s="104" t="str" cm="1">
        <f t="array" ref="M229">_xlfn.IFS(OR(ISBLANK(StartDateMonth),ISBLANK(StartDateYear)),"",AND(A229&gt;NumberOfPlots,ISBLANK(INDEX(PlotData,MATCH($A229,PlotNumber,0),MATCH(B$3,PlotTitles,0)))),"",ISBLANK(INDEX(PlotData,MATCH($A229,PlotNumber,0),MATCH(I$3,PlotTitles,0))),"",CompletionMonth="","",(DATEVALUE(INDEX(PlotData,MATCH($A229,PlotNumber,0),MATCH(I$3,PlotTitles,0))&amp;INDEX(PlotData,MATCH($A229,PlotNumber,0),MATCH(J$3,PlotTitles,0))))&gt;(DATEVALUE(CompletionMonth&amp;CompletionYear)),$AB$16,TRUE,"")</f>
        <v/>
      </c>
      <c r="N229" s="104" t="str" cm="1">
        <f t="array" ref="N229">_xlfn.IFS(AND(A229&gt;NumberOfPlots,ISBLANK(INDEX(PlotData,MATCH($A229,PlotNumber,0),MATCH(B$3,PlotTitles,0)))),"",ISBLANK(INDEX(PlotData,MATCH($A229,PlotNumber,0),MATCH(N$3,PlotTitles,0))),$AB$17,TRUE,"")</f>
        <v/>
      </c>
      <c r="O229" s="104" t="str" cm="1">
        <f t="array" ref="O229">_xlfn.IFS(AND(A229&gt;NumberOfPlots,ISBLANK(INDEX(PlotData,MATCH($A229,PlotNumber,0),MATCH(B$3,PlotTitles,0)))),"",ISBLANK(INDEX(PlotData,MATCH($A229,PlotNumber,0),MATCH(O$3,PlotTitles,0))),$AB$18,TRUE,"")</f>
        <v/>
      </c>
      <c r="P229" s="182" t="str">
        <f t="shared" ca="1" si="10"/>
        <v/>
      </c>
      <c r="Q229" s="104" t="str" cm="1">
        <f t="array" ref="Q229">_xlfn.IFS(AND(A229&gt;NumberOfPlots,ISBLANK(INDEX(PlotData,MATCH($A229,PlotNumber,0),MATCH(B$3,PlotTitles,0)))),"",ISBLANK(INDEX(PlotData,MATCH($A229,PlotNumber,0),MATCH(N$3,PlotTitles,0))),"",(DATEVALUE(INDEX(PlotData,MATCH($A229,PlotNumber,0),MATCH(N$3,PlotTitles,0))&amp;INDEX(PlotData,MATCH($A229,PlotNumber,0),MATCH(O$3,PlotTitles,0))))&lt;(DATEVALUE(INDEX(PlotData,MATCH($A229,PlotNumber,0),MATCH(I$3,PlotTitles,0))&amp;INDEX(PlotData,MATCH($A229,PlotNumber,0),MATCH(J$3,PlotTitles,0)))),$AB$20,TRUE,"")</f>
        <v/>
      </c>
      <c r="R229" s="104" t="str" cm="1">
        <f t="array" ref="R229">_xlfn.IFS(OR(ISBLANK(StartDateMonth),ISBLANK(StartDateYear)),"",AND(A229&gt;NumberOfPlots,ISBLANK(INDEX(PlotData,MATCH($A229,PlotNumber,0),MATCH(B$3,PlotTitles,0)))),"",ISBLANK(INDEX(PlotData,MATCH($A229,PlotNumber,0),MATCH(N$3,PlotTitles,0))),"",CompletionMonth="","",(DATEVALUE(INDEX(PlotData,MATCH($A229,PlotNumber,0),MATCH(N$3,PlotTitles,0))&amp;INDEX(PlotData,MATCH($A229,PlotNumber,0),MATCH(O$3,PlotTitles,0))))&gt;(DATEVALUE(CompletionMonth&amp;CompletionYear)),$AB$21,TRUE,"")</f>
        <v/>
      </c>
      <c r="S229" s="104" t="str" cm="1">
        <f t="array" ref="S229">_xlfn.IFS(AND(A229&gt;NumberOfPlots,ISBLANK(INDEX(PlotData,MATCH($A229,PlotNumber,0),MATCH(B$3,PlotTitles,0)))),"",OR(AND(INDEX(PlotData,MATCH($A229,PlotNumber,0),MATCH("Tenure",PlotTitles,0))="Open market housing",INDEX(PlotData,MATCH($A229,PlotNumber,0),MATCH("Tenure detail",PlotTitles,0))="Private rented sector"),INDEX(PlotData,MATCH($A229,PlotNumber,0),MATCH("Tenure",PlotTitles,0))="Affordable rent"),"",ISNUMBER(INDEX(PlotData,MATCH($A229,PlotNumber,0),MATCH(S$3,PlotTitles,0)))=FALSE, $AB$22,TRUE,"")</f>
        <v/>
      </c>
      <c r="T229" s="104" t="str" cm="1">
        <f t="array" ref="T229">_xlfn.IFS(AND(A229&gt;NumberOfPlots,ISBLANK(INDEX(PlotData,MATCH($A229,PlotNumber,0),MATCH(B$3,PlotTitles,0)))),"",OR(AND(INDEX(PlotData,MATCH($A229,PlotNumber,0),MATCH("Tenure",PlotTitles,0))="Open market housing",INDEX(PlotData,MATCH($A229,PlotNumber,0),MATCH("Tenure detail",PlotTitles,0))="Private rented sector"),INDEX(PlotData,MATCH($A229,PlotNumber,0),MATCH("Tenure",PlotTitles,0))="Affordable rent"),"",INDEX(PlotData,MATCH($A229,PlotNumber,0),MATCH(S$3,PlotTitles,0))&lt;10000, $AB$23,TRUE,"")</f>
        <v/>
      </c>
      <c r="U229" s="104" t="str" cm="1">
        <f t="array" ref="U229">_xlfn.IFS(AND(A229&gt;NumberOfPlots,ISBLANK(INDEX(PlotData,MATCH($A229,PlotNumber,0),MATCH(B$3,PlotTitles,0)))),"",NOT(OR(AND(INDEX(PlotData,MATCH($A229,PlotNumber,0),MATCH("Tenure",PlotTitles,0))="Open market housing",INDEX(PlotData,MATCH($A229,PlotNumber,0),MATCH("Tenure detail",PlotTitles,0))="Private rented sector"),INDEX(PlotData,MATCH($A229,PlotNumber,0),MATCH("Tenure",PlotTitles,0))="Affordable rent")),"",NOT(INDEX(PlotData,MATCH($A229,PlotNumber,0),MATCH(S$3,PlotTitles,0))=0), $AB$24,TRUE,"")</f>
        <v/>
      </c>
      <c r="V229" s="114" t="str" cm="1">
        <f t="array" aca="1" ref="V229" ca="1">_xlfn.IFS(ISBLANK(NumberOfPlots),"Enter the number of homes on the 1_SetUp sheet",AND(A229&gt;NumberOfPlots,ISBLANK(INDEX(PlotData,MATCH($A229,PlotNumber,0),MATCH(B$3,PlotTitles,0)))),"No error",NOT(B229=""),B229,NOT(C229=""),C229,NOT(D229=""),D229,NOT(E229=""),E229,NOT(F229=""),F229,NOT(G229=""),G229,NOT(H229=""),H229,NOT(I229=""),I229,NOT(J229=""),J229,NOT(K229=""),K229,NOT(L229=""),L229,NOT(M229=""),M229,NOT(N229=""),N229,NOT(O229=""),O229,NOT(P229=""),P229,NOT(Q229=""),Q229,NOT(R229=""),R229,NOT(S229=""),S229,NOT(T229=""),T229,NOT(U229=""),U229,TRUE,"No error")</f>
        <v>Enter the number of homes on the 1_SetUp sheet</v>
      </c>
      <c r="W229" s="114" t="str">
        <f t="shared" ca="1" si="11"/>
        <v xml:space="preserve">The Borrower has not addressed the following error messages for Home ID 225: </v>
      </c>
    </row>
    <row r="230" spans="1:23">
      <c r="A230" s="123">
        <v>226</v>
      </c>
      <c r="B230" s="104" t="str" cm="1">
        <f t="array" ref="B230">_xlfn.IFS(AND(A230&gt;NumberOfPlots,ISBLANK(INDEX(PlotData,MATCH($A230,PlotNumber,0),MATCH(B$3,PlotTitles,0)))),"",ISNUMBER(INDEX(PlotData,MATCH($A230,PlotNumber,0),MATCH(B$3,PlotTitles,0)))=FALSE, $AB$5,TRUE,"")</f>
        <v/>
      </c>
      <c r="C230" s="104" t="str" cm="1">
        <f t="array" ref="C230">_xlfn.IFS(AND(A230&gt;NumberOfPlots,ISBLANK(INDEX(PlotData,MATCH($A230,PlotNumber,0),MATCH(B$3,PlotTitles,0)))),"",ISBLANK(INDEX(PlotData,MATCH($A230,PlotNumber,0),MATCH(C$3,PlotTitles,0))),$AB$6,TRUE,"")</f>
        <v/>
      </c>
      <c r="D230" s="104" t="str" cm="1">
        <f t="array" ref="D230">_xlfn.IFS(AND(A230&gt;NumberOfPlots,ISBLANK(INDEX(PlotData,MATCH($A230,PlotNumber,0),MATCH(B$3,PlotTitles,0)))),"",ISBLANK(INDEX(PlotData,MATCH($A230,PlotNumber,0),MATCH(D$3,PlotTitles,0))),$AB$7,TRUE,"")</f>
        <v/>
      </c>
      <c r="E230" s="104" t="str" cm="1">
        <f t="array" ref="E230">_xlfn.IFS(AND(A230&gt;NumberOfPlots,ISBLANK(INDEX(PlotData,MATCH($A230,PlotNumber,0),MATCH(B$3,PlotTitles,0)))),"",ISBLANK(INDEX(PlotData,MATCH($A230,PlotNumber,0),MATCH(E$3,PlotTitles,0))),$AB$8,TRUE,"")</f>
        <v/>
      </c>
      <c r="F230" s="104" t="str" cm="1">
        <f t="array" ref="F230">_xlfn.IFS(AND(A230&gt;NumberOfPlots,ISBLANK(INDEX(PlotData,MATCH($A230,PlotNumber,0),MATCH(B$3,PlotTitles,0)))),"",ISBLANK(INDEX(PlotData,MATCH($A230,PlotNumber,0),MATCH(F$3,PlotTitles,0))),$AB$9,TRUE,"")</f>
        <v/>
      </c>
      <c r="G230" s="104" t="str" cm="1">
        <f t="array" ref="G230">_xlfn.IFS(AND(A230&gt;NumberOfPlots,ISBLANK(INDEX(PlotData,MATCH($A230,PlotNumber,0),MATCH(B$3,PlotTitles,0)))),"",ISBLANK(INDEX(PlotData,MATCH($A230,PlotNumber,0),MATCH(G$3,PlotTitles,0))),$AB$10,TRUE,"")</f>
        <v/>
      </c>
      <c r="H230" s="104" t="str" cm="1">
        <f t="array" ref="H230">_xlfn.IFS(AND(A230&gt;NumberOfPlots,ISBLANK(INDEX(PlotData,MATCH($A230,PlotNumber,0),MATCH(B$3,PlotTitles,0)))),"",AND(ISBLANK(INDEX(PlotData,MATCH($A230,PlotNumber,0),MATCH(H$3,PlotTitles,0)))=FALSE,INDEX(PlotData,MATCH($A230,PlotNumber,0),MATCH(H$3,PlotTitles,0))&lt;500), $AB$11,TRUE,"")</f>
        <v/>
      </c>
      <c r="I230" s="104" t="str" cm="1">
        <f t="array" ref="I230">_xlfn.IFS(AND(A230&gt;NumberOfPlots,ISBLANK(INDEX(PlotData,MATCH($A230,PlotNumber,0),MATCH(B$3,PlotTitles,0)))),"",ISBLANK(INDEX(PlotData,MATCH($A230,PlotNumber,0),MATCH(I$3,PlotTitles,0))),$AB$12,TRUE,"")</f>
        <v/>
      </c>
      <c r="J230" s="104" t="str" cm="1">
        <f t="array" ref="J230">_xlfn.IFS(AND(A230&gt;NumberOfPlots,ISBLANK(INDEX(PlotData,MATCH($A230,PlotNumber,0),MATCH(B$3,PlotTitles,0)))),"",ISBLANK(INDEX(PlotData,MATCH($A230,PlotNumber,0),MATCH(J$3,PlotTitles,0))),$AB$13,TRUE,"")</f>
        <v/>
      </c>
      <c r="K230" s="182" t="str">
        <f t="shared" ca="1" si="9"/>
        <v/>
      </c>
      <c r="L230" s="104" t="str" cm="1">
        <f t="array" ref="L230">_xlfn.IFS(OR(ISBLANK(StartDateMonth),ISBLANK(StartDateYear)),"",AND(A230&gt;NumberOfPlots,ISBLANK(INDEX(PlotData,MATCH($A230,PlotNumber,0),MATCH(B$3,PlotTitles,0)))),"",ISBLANK(INDEX(PlotData,MATCH($A230,PlotNumber,0),MATCH(I$3,PlotTitles,0))),"",(DATEVALUE(INDEX(PlotData,MATCH($A230,PlotNumber,0),MATCH(I$3,PlotTitles,0))&amp;INDEX(PlotData,MATCH($A230,PlotNumber,0),MATCH(J$3,PlotTitles,0))))&lt;DATEVALUE(StartDateMonth&amp;StartDateYear),$AB$15,TRUE,"")</f>
        <v/>
      </c>
      <c r="M230" s="104" t="str" cm="1">
        <f t="array" ref="M230">_xlfn.IFS(OR(ISBLANK(StartDateMonth),ISBLANK(StartDateYear)),"",AND(A230&gt;NumberOfPlots,ISBLANK(INDEX(PlotData,MATCH($A230,PlotNumber,0),MATCH(B$3,PlotTitles,0)))),"",ISBLANK(INDEX(PlotData,MATCH($A230,PlotNumber,0),MATCH(I$3,PlotTitles,0))),"",CompletionMonth="","",(DATEVALUE(INDEX(PlotData,MATCH($A230,PlotNumber,0),MATCH(I$3,PlotTitles,0))&amp;INDEX(PlotData,MATCH($A230,PlotNumber,0),MATCH(J$3,PlotTitles,0))))&gt;(DATEVALUE(CompletionMonth&amp;CompletionYear)),$AB$16,TRUE,"")</f>
        <v/>
      </c>
      <c r="N230" s="104" t="str" cm="1">
        <f t="array" ref="N230">_xlfn.IFS(AND(A230&gt;NumberOfPlots,ISBLANK(INDEX(PlotData,MATCH($A230,PlotNumber,0),MATCH(B$3,PlotTitles,0)))),"",ISBLANK(INDEX(PlotData,MATCH($A230,PlotNumber,0),MATCH(N$3,PlotTitles,0))),$AB$17,TRUE,"")</f>
        <v/>
      </c>
      <c r="O230" s="104" t="str" cm="1">
        <f t="array" ref="O230">_xlfn.IFS(AND(A230&gt;NumberOfPlots,ISBLANK(INDEX(PlotData,MATCH($A230,PlotNumber,0),MATCH(B$3,PlotTitles,0)))),"",ISBLANK(INDEX(PlotData,MATCH($A230,PlotNumber,0),MATCH(O$3,PlotTitles,0))),$AB$18,TRUE,"")</f>
        <v/>
      </c>
      <c r="P230" s="182" t="str">
        <f t="shared" ca="1" si="10"/>
        <v/>
      </c>
      <c r="Q230" s="104" t="str" cm="1">
        <f t="array" ref="Q230">_xlfn.IFS(AND(A230&gt;NumberOfPlots,ISBLANK(INDEX(PlotData,MATCH($A230,PlotNumber,0),MATCH(B$3,PlotTitles,0)))),"",ISBLANK(INDEX(PlotData,MATCH($A230,PlotNumber,0),MATCH(N$3,PlotTitles,0))),"",(DATEVALUE(INDEX(PlotData,MATCH($A230,PlotNumber,0),MATCH(N$3,PlotTitles,0))&amp;INDEX(PlotData,MATCH($A230,PlotNumber,0),MATCH(O$3,PlotTitles,0))))&lt;(DATEVALUE(INDEX(PlotData,MATCH($A230,PlotNumber,0),MATCH(I$3,PlotTitles,0))&amp;INDEX(PlotData,MATCH($A230,PlotNumber,0),MATCH(J$3,PlotTitles,0)))),$AB$20,TRUE,"")</f>
        <v/>
      </c>
      <c r="R230" s="104" t="str" cm="1">
        <f t="array" ref="R230">_xlfn.IFS(OR(ISBLANK(StartDateMonth),ISBLANK(StartDateYear)),"",AND(A230&gt;NumberOfPlots,ISBLANK(INDEX(PlotData,MATCH($A230,PlotNumber,0),MATCH(B$3,PlotTitles,0)))),"",ISBLANK(INDEX(PlotData,MATCH($A230,PlotNumber,0),MATCH(N$3,PlotTitles,0))),"",CompletionMonth="","",(DATEVALUE(INDEX(PlotData,MATCH($A230,PlotNumber,0),MATCH(N$3,PlotTitles,0))&amp;INDEX(PlotData,MATCH($A230,PlotNumber,0),MATCH(O$3,PlotTitles,0))))&gt;(DATEVALUE(CompletionMonth&amp;CompletionYear)),$AB$21,TRUE,"")</f>
        <v/>
      </c>
      <c r="S230" s="104" t="str" cm="1">
        <f t="array" ref="S230">_xlfn.IFS(AND(A230&gt;NumberOfPlots,ISBLANK(INDEX(PlotData,MATCH($A230,PlotNumber,0),MATCH(B$3,PlotTitles,0)))),"",OR(AND(INDEX(PlotData,MATCH($A230,PlotNumber,0),MATCH("Tenure",PlotTitles,0))="Open market housing",INDEX(PlotData,MATCH($A230,PlotNumber,0),MATCH("Tenure detail",PlotTitles,0))="Private rented sector"),INDEX(PlotData,MATCH($A230,PlotNumber,0),MATCH("Tenure",PlotTitles,0))="Affordable rent"),"",ISNUMBER(INDEX(PlotData,MATCH($A230,PlotNumber,0),MATCH(S$3,PlotTitles,0)))=FALSE, $AB$22,TRUE,"")</f>
        <v/>
      </c>
      <c r="T230" s="104" t="str" cm="1">
        <f t="array" ref="T230">_xlfn.IFS(AND(A230&gt;NumberOfPlots,ISBLANK(INDEX(PlotData,MATCH($A230,PlotNumber,0),MATCH(B$3,PlotTitles,0)))),"",OR(AND(INDEX(PlotData,MATCH($A230,PlotNumber,0),MATCH("Tenure",PlotTitles,0))="Open market housing",INDEX(PlotData,MATCH($A230,PlotNumber,0),MATCH("Tenure detail",PlotTitles,0))="Private rented sector"),INDEX(PlotData,MATCH($A230,PlotNumber,0),MATCH("Tenure",PlotTitles,0))="Affordable rent"),"",INDEX(PlotData,MATCH($A230,PlotNumber,0),MATCH(S$3,PlotTitles,0))&lt;10000, $AB$23,TRUE,"")</f>
        <v/>
      </c>
      <c r="U230" s="104" t="str" cm="1">
        <f t="array" ref="U230">_xlfn.IFS(AND(A230&gt;NumberOfPlots,ISBLANK(INDEX(PlotData,MATCH($A230,PlotNumber,0),MATCH(B$3,PlotTitles,0)))),"",NOT(OR(AND(INDEX(PlotData,MATCH($A230,PlotNumber,0),MATCH("Tenure",PlotTitles,0))="Open market housing",INDEX(PlotData,MATCH($A230,PlotNumber,0),MATCH("Tenure detail",PlotTitles,0))="Private rented sector"),INDEX(PlotData,MATCH($A230,PlotNumber,0),MATCH("Tenure",PlotTitles,0))="Affordable rent")),"",NOT(INDEX(PlotData,MATCH($A230,PlotNumber,0),MATCH(S$3,PlotTitles,0))=0), $AB$24,TRUE,"")</f>
        <v/>
      </c>
      <c r="V230" s="114" t="str" cm="1">
        <f t="array" aca="1" ref="V230" ca="1">_xlfn.IFS(ISBLANK(NumberOfPlots),"Enter the number of homes on the 1_SetUp sheet",AND(A230&gt;NumberOfPlots,ISBLANK(INDEX(PlotData,MATCH($A230,PlotNumber,0),MATCH(B$3,PlotTitles,0)))),"No error",NOT(B230=""),B230,NOT(C230=""),C230,NOT(D230=""),D230,NOT(E230=""),E230,NOT(F230=""),F230,NOT(G230=""),G230,NOT(H230=""),H230,NOT(I230=""),I230,NOT(J230=""),J230,NOT(K230=""),K230,NOT(L230=""),L230,NOT(M230=""),M230,NOT(N230=""),N230,NOT(O230=""),O230,NOT(P230=""),P230,NOT(Q230=""),Q230,NOT(R230=""),R230,NOT(S230=""),S230,NOT(T230=""),T230,NOT(U230=""),U230,TRUE,"No error")</f>
        <v>Enter the number of homes on the 1_SetUp sheet</v>
      </c>
      <c r="W230" s="114" t="str">
        <f t="shared" ca="1" si="11"/>
        <v xml:space="preserve">The Borrower has not addressed the following error messages for Home ID 226: </v>
      </c>
    </row>
    <row r="231" spans="1:23">
      <c r="A231" s="123">
        <v>227</v>
      </c>
      <c r="B231" s="104" t="str" cm="1">
        <f t="array" ref="B231">_xlfn.IFS(AND(A231&gt;NumberOfPlots,ISBLANK(INDEX(PlotData,MATCH($A231,PlotNumber,0),MATCH(B$3,PlotTitles,0)))),"",ISNUMBER(INDEX(PlotData,MATCH($A231,PlotNumber,0),MATCH(B$3,PlotTitles,0)))=FALSE, $AB$5,TRUE,"")</f>
        <v/>
      </c>
      <c r="C231" s="104" t="str" cm="1">
        <f t="array" ref="C231">_xlfn.IFS(AND(A231&gt;NumberOfPlots,ISBLANK(INDEX(PlotData,MATCH($A231,PlotNumber,0),MATCH(B$3,PlotTitles,0)))),"",ISBLANK(INDEX(PlotData,MATCH($A231,PlotNumber,0),MATCH(C$3,PlotTitles,0))),$AB$6,TRUE,"")</f>
        <v/>
      </c>
      <c r="D231" s="104" t="str" cm="1">
        <f t="array" ref="D231">_xlfn.IFS(AND(A231&gt;NumberOfPlots,ISBLANK(INDEX(PlotData,MATCH($A231,PlotNumber,0),MATCH(B$3,PlotTitles,0)))),"",ISBLANK(INDEX(PlotData,MATCH($A231,PlotNumber,0),MATCH(D$3,PlotTitles,0))),$AB$7,TRUE,"")</f>
        <v/>
      </c>
      <c r="E231" s="104" t="str" cm="1">
        <f t="array" ref="E231">_xlfn.IFS(AND(A231&gt;NumberOfPlots,ISBLANK(INDEX(PlotData,MATCH($A231,PlotNumber,0),MATCH(B$3,PlotTitles,0)))),"",ISBLANK(INDEX(PlotData,MATCH($A231,PlotNumber,0),MATCH(E$3,PlotTitles,0))),$AB$8,TRUE,"")</f>
        <v/>
      </c>
      <c r="F231" s="104" t="str" cm="1">
        <f t="array" ref="F231">_xlfn.IFS(AND(A231&gt;NumberOfPlots,ISBLANK(INDEX(PlotData,MATCH($A231,PlotNumber,0),MATCH(B$3,PlotTitles,0)))),"",ISBLANK(INDEX(PlotData,MATCH($A231,PlotNumber,0),MATCH(F$3,PlotTitles,0))),$AB$9,TRUE,"")</f>
        <v/>
      </c>
      <c r="G231" s="104" t="str" cm="1">
        <f t="array" ref="G231">_xlfn.IFS(AND(A231&gt;NumberOfPlots,ISBLANK(INDEX(PlotData,MATCH($A231,PlotNumber,0),MATCH(B$3,PlotTitles,0)))),"",ISBLANK(INDEX(PlotData,MATCH($A231,PlotNumber,0),MATCH(G$3,PlotTitles,0))),$AB$10,TRUE,"")</f>
        <v/>
      </c>
      <c r="H231" s="104" t="str" cm="1">
        <f t="array" ref="H231">_xlfn.IFS(AND(A231&gt;NumberOfPlots,ISBLANK(INDEX(PlotData,MATCH($A231,PlotNumber,0),MATCH(B$3,PlotTitles,0)))),"",AND(ISBLANK(INDEX(PlotData,MATCH($A231,PlotNumber,0),MATCH(H$3,PlotTitles,0)))=FALSE,INDEX(PlotData,MATCH($A231,PlotNumber,0),MATCH(H$3,PlotTitles,0))&lt;500), $AB$11,TRUE,"")</f>
        <v/>
      </c>
      <c r="I231" s="104" t="str" cm="1">
        <f t="array" ref="I231">_xlfn.IFS(AND(A231&gt;NumberOfPlots,ISBLANK(INDEX(PlotData,MATCH($A231,PlotNumber,0),MATCH(B$3,PlotTitles,0)))),"",ISBLANK(INDEX(PlotData,MATCH($A231,PlotNumber,0),MATCH(I$3,PlotTitles,0))),$AB$12,TRUE,"")</f>
        <v/>
      </c>
      <c r="J231" s="104" t="str" cm="1">
        <f t="array" ref="J231">_xlfn.IFS(AND(A231&gt;NumberOfPlots,ISBLANK(INDEX(PlotData,MATCH($A231,PlotNumber,0),MATCH(B$3,PlotTitles,0)))),"",ISBLANK(INDEX(PlotData,MATCH($A231,PlotNumber,0),MATCH(J$3,PlotTitles,0))),$AB$13,TRUE,"")</f>
        <v/>
      </c>
      <c r="K231" s="182" t="str">
        <f t="shared" ca="1" si="9"/>
        <v/>
      </c>
      <c r="L231" s="104" t="str" cm="1">
        <f t="array" ref="L231">_xlfn.IFS(OR(ISBLANK(StartDateMonth),ISBLANK(StartDateYear)),"",AND(A231&gt;NumberOfPlots,ISBLANK(INDEX(PlotData,MATCH($A231,PlotNumber,0),MATCH(B$3,PlotTitles,0)))),"",ISBLANK(INDEX(PlotData,MATCH($A231,PlotNumber,0),MATCH(I$3,PlotTitles,0))),"",(DATEVALUE(INDEX(PlotData,MATCH($A231,PlotNumber,0),MATCH(I$3,PlotTitles,0))&amp;INDEX(PlotData,MATCH($A231,PlotNumber,0),MATCH(J$3,PlotTitles,0))))&lt;DATEVALUE(StartDateMonth&amp;StartDateYear),$AB$15,TRUE,"")</f>
        <v/>
      </c>
      <c r="M231" s="104" t="str" cm="1">
        <f t="array" ref="M231">_xlfn.IFS(OR(ISBLANK(StartDateMonth),ISBLANK(StartDateYear)),"",AND(A231&gt;NumberOfPlots,ISBLANK(INDEX(PlotData,MATCH($A231,PlotNumber,0),MATCH(B$3,PlotTitles,0)))),"",ISBLANK(INDEX(PlotData,MATCH($A231,PlotNumber,0),MATCH(I$3,PlotTitles,0))),"",CompletionMonth="","",(DATEVALUE(INDEX(PlotData,MATCH($A231,PlotNumber,0),MATCH(I$3,PlotTitles,0))&amp;INDEX(PlotData,MATCH($A231,PlotNumber,0),MATCH(J$3,PlotTitles,0))))&gt;(DATEVALUE(CompletionMonth&amp;CompletionYear)),$AB$16,TRUE,"")</f>
        <v/>
      </c>
      <c r="N231" s="104" t="str" cm="1">
        <f t="array" ref="N231">_xlfn.IFS(AND(A231&gt;NumberOfPlots,ISBLANK(INDEX(PlotData,MATCH($A231,PlotNumber,0),MATCH(B$3,PlotTitles,0)))),"",ISBLANK(INDEX(PlotData,MATCH($A231,PlotNumber,0),MATCH(N$3,PlotTitles,0))),$AB$17,TRUE,"")</f>
        <v/>
      </c>
      <c r="O231" s="104" t="str" cm="1">
        <f t="array" ref="O231">_xlfn.IFS(AND(A231&gt;NumberOfPlots,ISBLANK(INDEX(PlotData,MATCH($A231,PlotNumber,0),MATCH(B$3,PlotTitles,0)))),"",ISBLANK(INDEX(PlotData,MATCH($A231,PlotNumber,0),MATCH(O$3,PlotTitles,0))),$AB$18,TRUE,"")</f>
        <v/>
      </c>
      <c r="P231" s="182" t="str">
        <f t="shared" ca="1" si="10"/>
        <v/>
      </c>
      <c r="Q231" s="104" t="str" cm="1">
        <f t="array" ref="Q231">_xlfn.IFS(AND(A231&gt;NumberOfPlots,ISBLANK(INDEX(PlotData,MATCH($A231,PlotNumber,0),MATCH(B$3,PlotTitles,0)))),"",ISBLANK(INDEX(PlotData,MATCH($A231,PlotNumber,0),MATCH(N$3,PlotTitles,0))),"",(DATEVALUE(INDEX(PlotData,MATCH($A231,PlotNumber,0),MATCH(N$3,PlotTitles,0))&amp;INDEX(PlotData,MATCH($A231,PlotNumber,0),MATCH(O$3,PlotTitles,0))))&lt;(DATEVALUE(INDEX(PlotData,MATCH($A231,PlotNumber,0),MATCH(I$3,PlotTitles,0))&amp;INDEX(PlotData,MATCH($A231,PlotNumber,0),MATCH(J$3,PlotTitles,0)))),$AB$20,TRUE,"")</f>
        <v/>
      </c>
      <c r="R231" s="104" t="str" cm="1">
        <f t="array" ref="R231">_xlfn.IFS(OR(ISBLANK(StartDateMonth),ISBLANK(StartDateYear)),"",AND(A231&gt;NumberOfPlots,ISBLANK(INDEX(PlotData,MATCH($A231,PlotNumber,0),MATCH(B$3,PlotTitles,0)))),"",ISBLANK(INDEX(PlotData,MATCH($A231,PlotNumber,0),MATCH(N$3,PlotTitles,0))),"",CompletionMonth="","",(DATEVALUE(INDEX(PlotData,MATCH($A231,PlotNumber,0),MATCH(N$3,PlotTitles,0))&amp;INDEX(PlotData,MATCH($A231,PlotNumber,0),MATCH(O$3,PlotTitles,0))))&gt;(DATEVALUE(CompletionMonth&amp;CompletionYear)),$AB$21,TRUE,"")</f>
        <v/>
      </c>
      <c r="S231" s="104" t="str" cm="1">
        <f t="array" ref="S231">_xlfn.IFS(AND(A231&gt;NumberOfPlots,ISBLANK(INDEX(PlotData,MATCH($A231,PlotNumber,0),MATCH(B$3,PlotTitles,0)))),"",OR(AND(INDEX(PlotData,MATCH($A231,PlotNumber,0),MATCH("Tenure",PlotTitles,0))="Open market housing",INDEX(PlotData,MATCH($A231,PlotNumber,0),MATCH("Tenure detail",PlotTitles,0))="Private rented sector"),INDEX(PlotData,MATCH($A231,PlotNumber,0),MATCH("Tenure",PlotTitles,0))="Affordable rent"),"",ISNUMBER(INDEX(PlotData,MATCH($A231,PlotNumber,0),MATCH(S$3,PlotTitles,0)))=FALSE, $AB$22,TRUE,"")</f>
        <v/>
      </c>
      <c r="T231" s="104" t="str" cm="1">
        <f t="array" ref="T231">_xlfn.IFS(AND(A231&gt;NumberOfPlots,ISBLANK(INDEX(PlotData,MATCH($A231,PlotNumber,0),MATCH(B$3,PlotTitles,0)))),"",OR(AND(INDEX(PlotData,MATCH($A231,PlotNumber,0),MATCH("Tenure",PlotTitles,0))="Open market housing",INDEX(PlotData,MATCH($A231,PlotNumber,0),MATCH("Tenure detail",PlotTitles,0))="Private rented sector"),INDEX(PlotData,MATCH($A231,PlotNumber,0),MATCH("Tenure",PlotTitles,0))="Affordable rent"),"",INDEX(PlotData,MATCH($A231,PlotNumber,0),MATCH(S$3,PlotTitles,0))&lt;10000, $AB$23,TRUE,"")</f>
        <v/>
      </c>
      <c r="U231" s="104" t="str" cm="1">
        <f t="array" ref="U231">_xlfn.IFS(AND(A231&gt;NumberOfPlots,ISBLANK(INDEX(PlotData,MATCH($A231,PlotNumber,0),MATCH(B$3,PlotTitles,0)))),"",NOT(OR(AND(INDEX(PlotData,MATCH($A231,PlotNumber,0),MATCH("Tenure",PlotTitles,0))="Open market housing",INDEX(PlotData,MATCH($A231,PlotNumber,0),MATCH("Tenure detail",PlotTitles,0))="Private rented sector"),INDEX(PlotData,MATCH($A231,PlotNumber,0),MATCH("Tenure",PlotTitles,0))="Affordable rent")),"",NOT(INDEX(PlotData,MATCH($A231,PlotNumber,0),MATCH(S$3,PlotTitles,0))=0), $AB$24,TRUE,"")</f>
        <v/>
      </c>
      <c r="V231" s="114" t="str" cm="1">
        <f t="array" aca="1" ref="V231" ca="1">_xlfn.IFS(ISBLANK(NumberOfPlots),"Enter the number of homes on the 1_SetUp sheet",AND(A231&gt;NumberOfPlots,ISBLANK(INDEX(PlotData,MATCH($A231,PlotNumber,0),MATCH(B$3,PlotTitles,0)))),"No error",NOT(B231=""),B231,NOT(C231=""),C231,NOT(D231=""),D231,NOT(E231=""),E231,NOT(F231=""),F231,NOT(G231=""),G231,NOT(H231=""),H231,NOT(I231=""),I231,NOT(J231=""),J231,NOT(K231=""),K231,NOT(L231=""),L231,NOT(M231=""),M231,NOT(N231=""),N231,NOT(O231=""),O231,NOT(P231=""),P231,NOT(Q231=""),Q231,NOT(R231=""),R231,NOT(S231=""),S231,NOT(T231=""),T231,NOT(U231=""),U231,TRUE,"No error")</f>
        <v>Enter the number of homes on the 1_SetUp sheet</v>
      </c>
      <c r="W231" s="114" t="str">
        <f t="shared" ca="1" si="11"/>
        <v xml:space="preserve">The Borrower has not addressed the following error messages for Home ID 227: </v>
      </c>
    </row>
    <row r="232" spans="1:23">
      <c r="A232" s="123">
        <v>228</v>
      </c>
      <c r="B232" s="104" t="str" cm="1">
        <f t="array" ref="B232">_xlfn.IFS(AND(A232&gt;NumberOfPlots,ISBLANK(INDEX(PlotData,MATCH($A232,PlotNumber,0),MATCH(B$3,PlotTitles,0)))),"",ISNUMBER(INDEX(PlotData,MATCH($A232,PlotNumber,0),MATCH(B$3,PlotTitles,0)))=FALSE, $AB$5,TRUE,"")</f>
        <v/>
      </c>
      <c r="C232" s="104" t="str" cm="1">
        <f t="array" ref="C232">_xlfn.IFS(AND(A232&gt;NumberOfPlots,ISBLANK(INDEX(PlotData,MATCH($A232,PlotNumber,0),MATCH(B$3,PlotTitles,0)))),"",ISBLANK(INDEX(PlotData,MATCH($A232,PlotNumber,0),MATCH(C$3,PlotTitles,0))),$AB$6,TRUE,"")</f>
        <v/>
      </c>
      <c r="D232" s="104" t="str" cm="1">
        <f t="array" ref="D232">_xlfn.IFS(AND(A232&gt;NumberOfPlots,ISBLANK(INDEX(PlotData,MATCH($A232,PlotNumber,0),MATCH(B$3,PlotTitles,0)))),"",ISBLANK(INDEX(PlotData,MATCH($A232,PlotNumber,0),MATCH(D$3,PlotTitles,0))),$AB$7,TRUE,"")</f>
        <v/>
      </c>
      <c r="E232" s="104" t="str" cm="1">
        <f t="array" ref="E232">_xlfn.IFS(AND(A232&gt;NumberOfPlots,ISBLANK(INDEX(PlotData,MATCH($A232,PlotNumber,0),MATCH(B$3,PlotTitles,0)))),"",ISBLANK(INDEX(PlotData,MATCH($A232,PlotNumber,0),MATCH(E$3,PlotTitles,0))),$AB$8,TRUE,"")</f>
        <v/>
      </c>
      <c r="F232" s="104" t="str" cm="1">
        <f t="array" ref="F232">_xlfn.IFS(AND(A232&gt;NumberOfPlots,ISBLANK(INDEX(PlotData,MATCH($A232,PlotNumber,0),MATCH(B$3,PlotTitles,0)))),"",ISBLANK(INDEX(PlotData,MATCH($A232,PlotNumber,0),MATCH(F$3,PlotTitles,0))),$AB$9,TRUE,"")</f>
        <v/>
      </c>
      <c r="G232" s="104" t="str" cm="1">
        <f t="array" ref="G232">_xlfn.IFS(AND(A232&gt;NumberOfPlots,ISBLANK(INDEX(PlotData,MATCH($A232,PlotNumber,0),MATCH(B$3,PlotTitles,0)))),"",ISBLANK(INDEX(PlotData,MATCH($A232,PlotNumber,0),MATCH(G$3,PlotTitles,0))),$AB$10,TRUE,"")</f>
        <v/>
      </c>
      <c r="H232" s="104" t="str" cm="1">
        <f t="array" ref="H232">_xlfn.IFS(AND(A232&gt;NumberOfPlots,ISBLANK(INDEX(PlotData,MATCH($A232,PlotNumber,0),MATCH(B$3,PlotTitles,0)))),"",AND(ISBLANK(INDEX(PlotData,MATCH($A232,PlotNumber,0),MATCH(H$3,PlotTitles,0)))=FALSE,INDEX(PlotData,MATCH($A232,PlotNumber,0),MATCH(H$3,PlotTitles,0))&lt;500), $AB$11,TRUE,"")</f>
        <v/>
      </c>
      <c r="I232" s="104" t="str" cm="1">
        <f t="array" ref="I232">_xlfn.IFS(AND(A232&gt;NumberOfPlots,ISBLANK(INDEX(PlotData,MATCH($A232,PlotNumber,0),MATCH(B$3,PlotTitles,0)))),"",ISBLANK(INDEX(PlotData,MATCH($A232,PlotNumber,0),MATCH(I$3,PlotTitles,0))),$AB$12,TRUE,"")</f>
        <v/>
      </c>
      <c r="J232" s="104" t="str" cm="1">
        <f t="array" ref="J232">_xlfn.IFS(AND(A232&gt;NumberOfPlots,ISBLANK(INDEX(PlotData,MATCH($A232,PlotNumber,0),MATCH(B$3,PlotTitles,0)))),"",ISBLANK(INDEX(PlotData,MATCH($A232,PlotNumber,0),MATCH(J$3,PlotTitles,0))),$AB$13,TRUE,"")</f>
        <v/>
      </c>
      <c r="K232" s="182" t="str">
        <f t="shared" ca="1" si="9"/>
        <v/>
      </c>
      <c r="L232" s="104" t="str" cm="1">
        <f t="array" ref="L232">_xlfn.IFS(OR(ISBLANK(StartDateMonth),ISBLANK(StartDateYear)),"",AND(A232&gt;NumberOfPlots,ISBLANK(INDEX(PlotData,MATCH($A232,PlotNumber,0),MATCH(B$3,PlotTitles,0)))),"",ISBLANK(INDEX(PlotData,MATCH($A232,PlotNumber,0),MATCH(I$3,PlotTitles,0))),"",(DATEVALUE(INDEX(PlotData,MATCH($A232,PlotNumber,0),MATCH(I$3,PlotTitles,0))&amp;INDEX(PlotData,MATCH($A232,PlotNumber,0),MATCH(J$3,PlotTitles,0))))&lt;DATEVALUE(StartDateMonth&amp;StartDateYear),$AB$15,TRUE,"")</f>
        <v/>
      </c>
      <c r="M232" s="104" t="str" cm="1">
        <f t="array" ref="M232">_xlfn.IFS(OR(ISBLANK(StartDateMonth),ISBLANK(StartDateYear)),"",AND(A232&gt;NumberOfPlots,ISBLANK(INDEX(PlotData,MATCH($A232,PlotNumber,0),MATCH(B$3,PlotTitles,0)))),"",ISBLANK(INDEX(PlotData,MATCH($A232,PlotNumber,0),MATCH(I$3,PlotTitles,0))),"",CompletionMonth="","",(DATEVALUE(INDEX(PlotData,MATCH($A232,PlotNumber,0),MATCH(I$3,PlotTitles,0))&amp;INDEX(PlotData,MATCH($A232,PlotNumber,0),MATCH(J$3,PlotTitles,0))))&gt;(DATEVALUE(CompletionMonth&amp;CompletionYear)),$AB$16,TRUE,"")</f>
        <v/>
      </c>
      <c r="N232" s="104" t="str" cm="1">
        <f t="array" ref="N232">_xlfn.IFS(AND(A232&gt;NumberOfPlots,ISBLANK(INDEX(PlotData,MATCH($A232,PlotNumber,0),MATCH(B$3,PlotTitles,0)))),"",ISBLANK(INDEX(PlotData,MATCH($A232,PlotNumber,0),MATCH(N$3,PlotTitles,0))),$AB$17,TRUE,"")</f>
        <v/>
      </c>
      <c r="O232" s="104" t="str" cm="1">
        <f t="array" ref="O232">_xlfn.IFS(AND(A232&gt;NumberOfPlots,ISBLANK(INDEX(PlotData,MATCH($A232,PlotNumber,0),MATCH(B$3,PlotTitles,0)))),"",ISBLANK(INDEX(PlotData,MATCH($A232,PlotNumber,0),MATCH(O$3,PlotTitles,0))),$AB$18,TRUE,"")</f>
        <v/>
      </c>
      <c r="P232" s="182" t="str">
        <f t="shared" ca="1" si="10"/>
        <v/>
      </c>
      <c r="Q232" s="104" t="str" cm="1">
        <f t="array" ref="Q232">_xlfn.IFS(AND(A232&gt;NumberOfPlots,ISBLANK(INDEX(PlotData,MATCH($A232,PlotNumber,0),MATCH(B$3,PlotTitles,0)))),"",ISBLANK(INDEX(PlotData,MATCH($A232,PlotNumber,0),MATCH(N$3,PlotTitles,0))),"",(DATEVALUE(INDEX(PlotData,MATCH($A232,PlotNumber,0),MATCH(N$3,PlotTitles,0))&amp;INDEX(PlotData,MATCH($A232,PlotNumber,0),MATCH(O$3,PlotTitles,0))))&lt;(DATEVALUE(INDEX(PlotData,MATCH($A232,PlotNumber,0),MATCH(I$3,PlotTitles,0))&amp;INDEX(PlotData,MATCH($A232,PlotNumber,0),MATCH(J$3,PlotTitles,0)))),$AB$20,TRUE,"")</f>
        <v/>
      </c>
      <c r="R232" s="104" t="str" cm="1">
        <f t="array" ref="R232">_xlfn.IFS(OR(ISBLANK(StartDateMonth),ISBLANK(StartDateYear)),"",AND(A232&gt;NumberOfPlots,ISBLANK(INDEX(PlotData,MATCH($A232,PlotNumber,0),MATCH(B$3,PlotTitles,0)))),"",ISBLANK(INDEX(PlotData,MATCH($A232,PlotNumber,0),MATCH(N$3,PlotTitles,0))),"",CompletionMonth="","",(DATEVALUE(INDEX(PlotData,MATCH($A232,PlotNumber,0),MATCH(N$3,PlotTitles,0))&amp;INDEX(PlotData,MATCH($A232,PlotNumber,0),MATCH(O$3,PlotTitles,0))))&gt;(DATEVALUE(CompletionMonth&amp;CompletionYear)),$AB$21,TRUE,"")</f>
        <v/>
      </c>
      <c r="S232" s="104" t="str" cm="1">
        <f t="array" ref="S232">_xlfn.IFS(AND(A232&gt;NumberOfPlots,ISBLANK(INDEX(PlotData,MATCH($A232,PlotNumber,0),MATCH(B$3,PlotTitles,0)))),"",OR(AND(INDEX(PlotData,MATCH($A232,PlotNumber,0),MATCH("Tenure",PlotTitles,0))="Open market housing",INDEX(PlotData,MATCH($A232,PlotNumber,0),MATCH("Tenure detail",PlotTitles,0))="Private rented sector"),INDEX(PlotData,MATCH($A232,PlotNumber,0),MATCH("Tenure",PlotTitles,0))="Affordable rent"),"",ISNUMBER(INDEX(PlotData,MATCH($A232,PlotNumber,0),MATCH(S$3,PlotTitles,0)))=FALSE, $AB$22,TRUE,"")</f>
        <v/>
      </c>
      <c r="T232" s="104" t="str" cm="1">
        <f t="array" ref="T232">_xlfn.IFS(AND(A232&gt;NumberOfPlots,ISBLANK(INDEX(PlotData,MATCH($A232,PlotNumber,0),MATCH(B$3,PlotTitles,0)))),"",OR(AND(INDEX(PlotData,MATCH($A232,PlotNumber,0),MATCH("Tenure",PlotTitles,0))="Open market housing",INDEX(PlotData,MATCH($A232,PlotNumber,0),MATCH("Tenure detail",PlotTitles,0))="Private rented sector"),INDEX(PlotData,MATCH($A232,PlotNumber,0),MATCH("Tenure",PlotTitles,0))="Affordable rent"),"",INDEX(PlotData,MATCH($A232,PlotNumber,0),MATCH(S$3,PlotTitles,0))&lt;10000, $AB$23,TRUE,"")</f>
        <v/>
      </c>
      <c r="U232" s="104" t="str" cm="1">
        <f t="array" ref="U232">_xlfn.IFS(AND(A232&gt;NumberOfPlots,ISBLANK(INDEX(PlotData,MATCH($A232,PlotNumber,0),MATCH(B$3,PlotTitles,0)))),"",NOT(OR(AND(INDEX(PlotData,MATCH($A232,PlotNumber,0),MATCH("Tenure",PlotTitles,0))="Open market housing",INDEX(PlotData,MATCH($A232,PlotNumber,0),MATCH("Tenure detail",PlotTitles,0))="Private rented sector"),INDEX(PlotData,MATCH($A232,PlotNumber,0),MATCH("Tenure",PlotTitles,0))="Affordable rent")),"",NOT(INDEX(PlotData,MATCH($A232,PlotNumber,0),MATCH(S$3,PlotTitles,0))=0), $AB$24,TRUE,"")</f>
        <v/>
      </c>
      <c r="V232" s="114" t="str" cm="1">
        <f t="array" aca="1" ref="V232" ca="1">_xlfn.IFS(ISBLANK(NumberOfPlots),"Enter the number of homes on the 1_SetUp sheet",AND(A232&gt;NumberOfPlots,ISBLANK(INDEX(PlotData,MATCH($A232,PlotNumber,0),MATCH(B$3,PlotTitles,0)))),"No error",NOT(B232=""),B232,NOT(C232=""),C232,NOT(D232=""),D232,NOT(E232=""),E232,NOT(F232=""),F232,NOT(G232=""),G232,NOT(H232=""),H232,NOT(I232=""),I232,NOT(J232=""),J232,NOT(K232=""),K232,NOT(L232=""),L232,NOT(M232=""),M232,NOT(N232=""),N232,NOT(O232=""),O232,NOT(P232=""),P232,NOT(Q232=""),Q232,NOT(R232=""),R232,NOT(S232=""),S232,NOT(T232=""),T232,NOT(U232=""),U232,TRUE,"No error")</f>
        <v>Enter the number of homes on the 1_SetUp sheet</v>
      </c>
      <c r="W232" s="114" t="str">
        <f t="shared" ca="1" si="11"/>
        <v xml:space="preserve">The Borrower has not addressed the following error messages for Home ID 228: </v>
      </c>
    </row>
    <row r="233" spans="1:23">
      <c r="A233" s="123">
        <v>229</v>
      </c>
      <c r="B233" s="104" t="str" cm="1">
        <f t="array" ref="B233">_xlfn.IFS(AND(A233&gt;NumberOfPlots,ISBLANK(INDEX(PlotData,MATCH($A233,PlotNumber,0),MATCH(B$3,PlotTitles,0)))),"",ISNUMBER(INDEX(PlotData,MATCH($A233,PlotNumber,0),MATCH(B$3,PlotTitles,0)))=FALSE, $AB$5,TRUE,"")</f>
        <v/>
      </c>
      <c r="C233" s="104" t="str" cm="1">
        <f t="array" ref="C233">_xlfn.IFS(AND(A233&gt;NumberOfPlots,ISBLANK(INDEX(PlotData,MATCH($A233,PlotNumber,0),MATCH(B$3,PlotTitles,0)))),"",ISBLANK(INDEX(PlotData,MATCH($A233,PlotNumber,0),MATCH(C$3,PlotTitles,0))),$AB$6,TRUE,"")</f>
        <v/>
      </c>
      <c r="D233" s="104" t="str" cm="1">
        <f t="array" ref="D233">_xlfn.IFS(AND(A233&gt;NumberOfPlots,ISBLANK(INDEX(PlotData,MATCH($A233,PlotNumber,0),MATCH(B$3,PlotTitles,0)))),"",ISBLANK(INDEX(PlotData,MATCH($A233,PlotNumber,0),MATCH(D$3,PlotTitles,0))),$AB$7,TRUE,"")</f>
        <v/>
      </c>
      <c r="E233" s="104" t="str" cm="1">
        <f t="array" ref="E233">_xlfn.IFS(AND(A233&gt;NumberOfPlots,ISBLANK(INDEX(PlotData,MATCH($A233,PlotNumber,0),MATCH(B$3,PlotTitles,0)))),"",ISBLANK(INDEX(PlotData,MATCH($A233,PlotNumber,0),MATCH(E$3,PlotTitles,0))),$AB$8,TRUE,"")</f>
        <v/>
      </c>
      <c r="F233" s="104" t="str" cm="1">
        <f t="array" ref="F233">_xlfn.IFS(AND(A233&gt;NumberOfPlots,ISBLANK(INDEX(PlotData,MATCH($A233,PlotNumber,0),MATCH(B$3,PlotTitles,0)))),"",ISBLANK(INDEX(PlotData,MATCH($A233,PlotNumber,0),MATCH(F$3,PlotTitles,0))),$AB$9,TRUE,"")</f>
        <v/>
      </c>
      <c r="G233" s="104" t="str" cm="1">
        <f t="array" ref="G233">_xlfn.IFS(AND(A233&gt;NumberOfPlots,ISBLANK(INDEX(PlotData,MATCH($A233,PlotNumber,0),MATCH(B$3,PlotTitles,0)))),"",ISBLANK(INDEX(PlotData,MATCH($A233,PlotNumber,0),MATCH(G$3,PlotTitles,0))),$AB$10,TRUE,"")</f>
        <v/>
      </c>
      <c r="H233" s="104" t="str" cm="1">
        <f t="array" ref="H233">_xlfn.IFS(AND(A233&gt;NumberOfPlots,ISBLANK(INDEX(PlotData,MATCH($A233,PlotNumber,0),MATCH(B$3,PlotTitles,0)))),"",AND(ISBLANK(INDEX(PlotData,MATCH($A233,PlotNumber,0),MATCH(H$3,PlotTitles,0)))=FALSE,INDEX(PlotData,MATCH($A233,PlotNumber,0),MATCH(H$3,PlotTitles,0))&lt;500), $AB$11,TRUE,"")</f>
        <v/>
      </c>
      <c r="I233" s="104" t="str" cm="1">
        <f t="array" ref="I233">_xlfn.IFS(AND(A233&gt;NumberOfPlots,ISBLANK(INDEX(PlotData,MATCH($A233,PlotNumber,0),MATCH(B$3,PlotTitles,0)))),"",ISBLANK(INDEX(PlotData,MATCH($A233,PlotNumber,0),MATCH(I$3,PlotTitles,0))),$AB$12,TRUE,"")</f>
        <v/>
      </c>
      <c r="J233" s="104" t="str" cm="1">
        <f t="array" ref="J233">_xlfn.IFS(AND(A233&gt;NumberOfPlots,ISBLANK(INDEX(PlotData,MATCH($A233,PlotNumber,0),MATCH(B$3,PlotTitles,0)))),"",ISBLANK(INDEX(PlotData,MATCH($A233,PlotNumber,0),MATCH(J$3,PlotTitles,0))),$AB$13,TRUE,"")</f>
        <v/>
      </c>
      <c r="K233" s="182" t="str">
        <f t="shared" ca="1" si="9"/>
        <v/>
      </c>
      <c r="L233" s="104" t="str" cm="1">
        <f t="array" ref="L233">_xlfn.IFS(OR(ISBLANK(StartDateMonth),ISBLANK(StartDateYear)),"",AND(A233&gt;NumberOfPlots,ISBLANK(INDEX(PlotData,MATCH($A233,PlotNumber,0),MATCH(B$3,PlotTitles,0)))),"",ISBLANK(INDEX(PlotData,MATCH($A233,PlotNumber,0),MATCH(I$3,PlotTitles,0))),"",(DATEVALUE(INDEX(PlotData,MATCH($A233,PlotNumber,0),MATCH(I$3,PlotTitles,0))&amp;INDEX(PlotData,MATCH($A233,PlotNumber,0),MATCH(J$3,PlotTitles,0))))&lt;DATEVALUE(StartDateMonth&amp;StartDateYear),$AB$15,TRUE,"")</f>
        <v/>
      </c>
      <c r="M233" s="104" t="str" cm="1">
        <f t="array" ref="M233">_xlfn.IFS(OR(ISBLANK(StartDateMonth),ISBLANK(StartDateYear)),"",AND(A233&gt;NumberOfPlots,ISBLANK(INDEX(PlotData,MATCH($A233,PlotNumber,0),MATCH(B$3,PlotTitles,0)))),"",ISBLANK(INDEX(PlotData,MATCH($A233,PlotNumber,0),MATCH(I$3,PlotTitles,0))),"",CompletionMonth="","",(DATEVALUE(INDEX(PlotData,MATCH($A233,PlotNumber,0),MATCH(I$3,PlotTitles,0))&amp;INDEX(PlotData,MATCH($A233,PlotNumber,0),MATCH(J$3,PlotTitles,0))))&gt;(DATEVALUE(CompletionMonth&amp;CompletionYear)),$AB$16,TRUE,"")</f>
        <v/>
      </c>
      <c r="N233" s="104" t="str" cm="1">
        <f t="array" ref="N233">_xlfn.IFS(AND(A233&gt;NumberOfPlots,ISBLANK(INDEX(PlotData,MATCH($A233,PlotNumber,0),MATCH(B$3,PlotTitles,0)))),"",ISBLANK(INDEX(PlotData,MATCH($A233,PlotNumber,0),MATCH(N$3,PlotTitles,0))),$AB$17,TRUE,"")</f>
        <v/>
      </c>
      <c r="O233" s="104" t="str" cm="1">
        <f t="array" ref="O233">_xlfn.IFS(AND(A233&gt;NumberOfPlots,ISBLANK(INDEX(PlotData,MATCH($A233,PlotNumber,0),MATCH(B$3,PlotTitles,0)))),"",ISBLANK(INDEX(PlotData,MATCH($A233,PlotNumber,0),MATCH(O$3,PlotTitles,0))),$AB$18,TRUE,"")</f>
        <v/>
      </c>
      <c r="P233" s="182" t="str">
        <f t="shared" ca="1" si="10"/>
        <v/>
      </c>
      <c r="Q233" s="104" t="str" cm="1">
        <f t="array" ref="Q233">_xlfn.IFS(AND(A233&gt;NumberOfPlots,ISBLANK(INDEX(PlotData,MATCH($A233,PlotNumber,0),MATCH(B$3,PlotTitles,0)))),"",ISBLANK(INDEX(PlotData,MATCH($A233,PlotNumber,0),MATCH(N$3,PlotTitles,0))),"",(DATEVALUE(INDEX(PlotData,MATCH($A233,PlotNumber,0),MATCH(N$3,PlotTitles,0))&amp;INDEX(PlotData,MATCH($A233,PlotNumber,0),MATCH(O$3,PlotTitles,0))))&lt;(DATEVALUE(INDEX(PlotData,MATCH($A233,PlotNumber,0),MATCH(I$3,PlotTitles,0))&amp;INDEX(PlotData,MATCH($A233,PlotNumber,0),MATCH(J$3,PlotTitles,0)))),$AB$20,TRUE,"")</f>
        <v/>
      </c>
      <c r="R233" s="104" t="str" cm="1">
        <f t="array" ref="R233">_xlfn.IFS(OR(ISBLANK(StartDateMonth),ISBLANK(StartDateYear)),"",AND(A233&gt;NumberOfPlots,ISBLANK(INDEX(PlotData,MATCH($A233,PlotNumber,0),MATCH(B$3,PlotTitles,0)))),"",ISBLANK(INDEX(PlotData,MATCH($A233,PlotNumber,0),MATCH(N$3,PlotTitles,0))),"",CompletionMonth="","",(DATEVALUE(INDEX(PlotData,MATCH($A233,PlotNumber,0),MATCH(N$3,PlotTitles,0))&amp;INDEX(PlotData,MATCH($A233,PlotNumber,0),MATCH(O$3,PlotTitles,0))))&gt;(DATEVALUE(CompletionMonth&amp;CompletionYear)),$AB$21,TRUE,"")</f>
        <v/>
      </c>
      <c r="S233" s="104" t="str" cm="1">
        <f t="array" ref="S233">_xlfn.IFS(AND(A233&gt;NumberOfPlots,ISBLANK(INDEX(PlotData,MATCH($A233,PlotNumber,0),MATCH(B$3,PlotTitles,0)))),"",OR(AND(INDEX(PlotData,MATCH($A233,PlotNumber,0),MATCH("Tenure",PlotTitles,0))="Open market housing",INDEX(PlotData,MATCH($A233,PlotNumber,0),MATCH("Tenure detail",PlotTitles,0))="Private rented sector"),INDEX(PlotData,MATCH($A233,PlotNumber,0),MATCH("Tenure",PlotTitles,0))="Affordable rent"),"",ISNUMBER(INDEX(PlotData,MATCH($A233,PlotNumber,0),MATCH(S$3,PlotTitles,0)))=FALSE, $AB$22,TRUE,"")</f>
        <v/>
      </c>
      <c r="T233" s="104" t="str" cm="1">
        <f t="array" ref="T233">_xlfn.IFS(AND(A233&gt;NumberOfPlots,ISBLANK(INDEX(PlotData,MATCH($A233,PlotNumber,0),MATCH(B$3,PlotTitles,0)))),"",OR(AND(INDEX(PlotData,MATCH($A233,PlotNumber,0),MATCH("Tenure",PlotTitles,0))="Open market housing",INDEX(PlotData,MATCH($A233,PlotNumber,0),MATCH("Tenure detail",PlotTitles,0))="Private rented sector"),INDEX(PlotData,MATCH($A233,PlotNumber,0),MATCH("Tenure",PlotTitles,0))="Affordable rent"),"",INDEX(PlotData,MATCH($A233,PlotNumber,0),MATCH(S$3,PlotTitles,0))&lt;10000, $AB$23,TRUE,"")</f>
        <v/>
      </c>
      <c r="U233" s="104" t="str" cm="1">
        <f t="array" ref="U233">_xlfn.IFS(AND(A233&gt;NumberOfPlots,ISBLANK(INDEX(PlotData,MATCH($A233,PlotNumber,0),MATCH(B$3,PlotTitles,0)))),"",NOT(OR(AND(INDEX(PlotData,MATCH($A233,PlotNumber,0),MATCH("Tenure",PlotTitles,0))="Open market housing",INDEX(PlotData,MATCH($A233,PlotNumber,0),MATCH("Tenure detail",PlotTitles,0))="Private rented sector"),INDEX(PlotData,MATCH($A233,PlotNumber,0),MATCH("Tenure",PlotTitles,0))="Affordable rent")),"",NOT(INDEX(PlotData,MATCH($A233,PlotNumber,0),MATCH(S$3,PlotTitles,0))=0), $AB$24,TRUE,"")</f>
        <v/>
      </c>
      <c r="V233" s="114" t="str" cm="1">
        <f t="array" aca="1" ref="V233" ca="1">_xlfn.IFS(ISBLANK(NumberOfPlots),"Enter the number of homes on the 1_SetUp sheet",AND(A233&gt;NumberOfPlots,ISBLANK(INDEX(PlotData,MATCH($A233,PlotNumber,0),MATCH(B$3,PlotTitles,0)))),"No error",NOT(B233=""),B233,NOT(C233=""),C233,NOT(D233=""),D233,NOT(E233=""),E233,NOT(F233=""),F233,NOT(G233=""),G233,NOT(H233=""),H233,NOT(I233=""),I233,NOT(J233=""),J233,NOT(K233=""),K233,NOT(L233=""),L233,NOT(M233=""),M233,NOT(N233=""),N233,NOT(O233=""),O233,NOT(P233=""),P233,NOT(Q233=""),Q233,NOT(R233=""),R233,NOT(S233=""),S233,NOT(T233=""),T233,NOT(U233=""),U233,TRUE,"No error")</f>
        <v>Enter the number of homes on the 1_SetUp sheet</v>
      </c>
      <c r="W233" s="114" t="str">
        <f t="shared" ca="1" si="11"/>
        <v xml:space="preserve">The Borrower has not addressed the following error messages for Home ID 229: </v>
      </c>
    </row>
    <row r="234" spans="1:23">
      <c r="A234" s="123">
        <v>230</v>
      </c>
      <c r="B234" s="104" t="str" cm="1">
        <f t="array" ref="B234">_xlfn.IFS(AND(A234&gt;NumberOfPlots,ISBLANK(INDEX(PlotData,MATCH($A234,PlotNumber,0),MATCH(B$3,PlotTitles,0)))),"",ISNUMBER(INDEX(PlotData,MATCH($A234,PlotNumber,0),MATCH(B$3,PlotTitles,0)))=FALSE, $AB$5,TRUE,"")</f>
        <v/>
      </c>
      <c r="C234" s="104" t="str" cm="1">
        <f t="array" ref="C234">_xlfn.IFS(AND(A234&gt;NumberOfPlots,ISBLANK(INDEX(PlotData,MATCH($A234,PlotNumber,0),MATCH(B$3,PlotTitles,0)))),"",ISBLANK(INDEX(PlotData,MATCH($A234,PlotNumber,0),MATCH(C$3,PlotTitles,0))),$AB$6,TRUE,"")</f>
        <v/>
      </c>
      <c r="D234" s="104" t="str" cm="1">
        <f t="array" ref="D234">_xlfn.IFS(AND(A234&gt;NumberOfPlots,ISBLANK(INDEX(PlotData,MATCH($A234,PlotNumber,0),MATCH(B$3,PlotTitles,0)))),"",ISBLANK(INDEX(PlotData,MATCH($A234,PlotNumber,0),MATCH(D$3,PlotTitles,0))),$AB$7,TRUE,"")</f>
        <v/>
      </c>
      <c r="E234" s="104" t="str" cm="1">
        <f t="array" ref="E234">_xlfn.IFS(AND(A234&gt;NumberOfPlots,ISBLANK(INDEX(PlotData,MATCH($A234,PlotNumber,0),MATCH(B$3,PlotTitles,0)))),"",ISBLANK(INDEX(PlotData,MATCH($A234,PlotNumber,0),MATCH(E$3,PlotTitles,0))),$AB$8,TRUE,"")</f>
        <v/>
      </c>
      <c r="F234" s="104" t="str" cm="1">
        <f t="array" ref="F234">_xlfn.IFS(AND(A234&gt;NumberOfPlots,ISBLANK(INDEX(PlotData,MATCH($A234,PlotNumber,0),MATCH(B$3,PlotTitles,0)))),"",ISBLANK(INDEX(PlotData,MATCH($A234,PlotNumber,0),MATCH(F$3,PlotTitles,0))),$AB$9,TRUE,"")</f>
        <v/>
      </c>
      <c r="G234" s="104" t="str" cm="1">
        <f t="array" ref="G234">_xlfn.IFS(AND(A234&gt;NumberOfPlots,ISBLANK(INDEX(PlotData,MATCH($A234,PlotNumber,0),MATCH(B$3,PlotTitles,0)))),"",ISBLANK(INDEX(PlotData,MATCH($A234,PlotNumber,0),MATCH(G$3,PlotTitles,0))),$AB$10,TRUE,"")</f>
        <v/>
      </c>
      <c r="H234" s="104" t="str" cm="1">
        <f t="array" ref="H234">_xlfn.IFS(AND(A234&gt;NumberOfPlots,ISBLANK(INDEX(PlotData,MATCH($A234,PlotNumber,0),MATCH(B$3,PlotTitles,0)))),"",AND(ISBLANK(INDEX(PlotData,MATCH($A234,PlotNumber,0),MATCH(H$3,PlotTitles,0)))=FALSE,INDEX(PlotData,MATCH($A234,PlotNumber,0),MATCH(H$3,PlotTitles,0))&lt;500), $AB$11,TRUE,"")</f>
        <v/>
      </c>
      <c r="I234" s="104" t="str" cm="1">
        <f t="array" ref="I234">_xlfn.IFS(AND(A234&gt;NumberOfPlots,ISBLANK(INDEX(PlotData,MATCH($A234,PlotNumber,0),MATCH(B$3,PlotTitles,0)))),"",ISBLANK(INDEX(PlotData,MATCH($A234,PlotNumber,0),MATCH(I$3,PlotTitles,0))),$AB$12,TRUE,"")</f>
        <v/>
      </c>
      <c r="J234" s="104" t="str" cm="1">
        <f t="array" ref="J234">_xlfn.IFS(AND(A234&gt;NumberOfPlots,ISBLANK(INDEX(PlotData,MATCH($A234,PlotNumber,0),MATCH(B$3,PlotTitles,0)))),"",ISBLANK(INDEX(PlotData,MATCH($A234,PlotNumber,0),MATCH(J$3,PlotTitles,0))),$AB$13,TRUE,"")</f>
        <v/>
      </c>
      <c r="K234" s="182" t="str">
        <f t="shared" ca="1" si="9"/>
        <v/>
      </c>
      <c r="L234" s="104" t="str" cm="1">
        <f t="array" ref="L234">_xlfn.IFS(OR(ISBLANK(StartDateMonth),ISBLANK(StartDateYear)),"",AND(A234&gt;NumberOfPlots,ISBLANK(INDEX(PlotData,MATCH($A234,PlotNumber,0),MATCH(B$3,PlotTitles,0)))),"",ISBLANK(INDEX(PlotData,MATCH($A234,PlotNumber,0),MATCH(I$3,PlotTitles,0))),"",(DATEVALUE(INDEX(PlotData,MATCH($A234,PlotNumber,0),MATCH(I$3,PlotTitles,0))&amp;INDEX(PlotData,MATCH($A234,PlotNumber,0),MATCH(J$3,PlotTitles,0))))&lt;DATEVALUE(StartDateMonth&amp;StartDateYear),$AB$15,TRUE,"")</f>
        <v/>
      </c>
      <c r="M234" s="104" t="str" cm="1">
        <f t="array" ref="M234">_xlfn.IFS(OR(ISBLANK(StartDateMonth),ISBLANK(StartDateYear)),"",AND(A234&gt;NumberOfPlots,ISBLANK(INDEX(PlotData,MATCH($A234,PlotNumber,0),MATCH(B$3,PlotTitles,0)))),"",ISBLANK(INDEX(PlotData,MATCH($A234,PlotNumber,0),MATCH(I$3,PlotTitles,0))),"",CompletionMonth="","",(DATEVALUE(INDEX(PlotData,MATCH($A234,PlotNumber,0),MATCH(I$3,PlotTitles,0))&amp;INDEX(PlotData,MATCH($A234,PlotNumber,0),MATCH(J$3,PlotTitles,0))))&gt;(DATEVALUE(CompletionMonth&amp;CompletionYear)),$AB$16,TRUE,"")</f>
        <v/>
      </c>
      <c r="N234" s="104" t="str" cm="1">
        <f t="array" ref="N234">_xlfn.IFS(AND(A234&gt;NumberOfPlots,ISBLANK(INDEX(PlotData,MATCH($A234,PlotNumber,0),MATCH(B$3,PlotTitles,0)))),"",ISBLANK(INDEX(PlotData,MATCH($A234,PlotNumber,0),MATCH(N$3,PlotTitles,0))),$AB$17,TRUE,"")</f>
        <v/>
      </c>
      <c r="O234" s="104" t="str" cm="1">
        <f t="array" ref="O234">_xlfn.IFS(AND(A234&gt;NumberOfPlots,ISBLANK(INDEX(PlotData,MATCH($A234,PlotNumber,0),MATCH(B$3,PlotTitles,0)))),"",ISBLANK(INDEX(PlotData,MATCH($A234,PlotNumber,0),MATCH(O$3,PlotTitles,0))),$AB$18,TRUE,"")</f>
        <v/>
      </c>
      <c r="P234" s="182" t="str">
        <f t="shared" ca="1" si="10"/>
        <v/>
      </c>
      <c r="Q234" s="104" t="str" cm="1">
        <f t="array" ref="Q234">_xlfn.IFS(AND(A234&gt;NumberOfPlots,ISBLANK(INDEX(PlotData,MATCH($A234,PlotNumber,0),MATCH(B$3,PlotTitles,0)))),"",ISBLANK(INDEX(PlotData,MATCH($A234,PlotNumber,0),MATCH(N$3,PlotTitles,0))),"",(DATEVALUE(INDEX(PlotData,MATCH($A234,PlotNumber,0),MATCH(N$3,PlotTitles,0))&amp;INDEX(PlotData,MATCH($A234,PlotNumber,0),MATCH(O$3,PlotTitles,0))))&lt;(DATEVALUE(INDEX(PlotData,MATCH($A234,PlotNumber,0),MATCH(I$3,PlotTitles,0))&amp;INDEX(PlotData,MATCH($A234,PlotNumber,0),MATCH(J$3,PlotTitles,0)))),$AB$20,TRUE,"")</f>
        <v/>
      </c>
      <c r="R234" s="104" t="str" cm="1">
        <f t="array" ref="R234">_xlfn.IFS(OR(ISBLANK(StartDateMonth),ISBLANK(StartDateYear)),"",AND(A234&gt;NumberOfPlots,ISBLANK(INDEX(PlotData,MATCH($A234,PlotNumber,0),MATCH(B$3,PlotTitles,0)))),"",ISBLANK(INDEX(PlotData,MATCH($A234,PlotNumber,0),MATCH(N$3,PlotTitles,0))),"",CompletionMonth="","",(DATEVALUE(INDEX(PlotData,MATCH($A234,PlotNumber,0),MATCH(N$3,PlotTitles,0))&amp;INDEX(PlotData,MATCH($A234,PlotNumber,0),MATCH(O$3,PlotTitles,0))))&gt;(DATEVALUE(CompletionMonth&amp;CompletionYear)),$AB$21,TRUE,"")</f>
        <v/>
      </c>
      <c r="S234" s="104" t="str" cm="1">
        <f t="array" ref="S234">_xlfn.IFS(AND(A234&gt;NumberOfPlots,ISBLANK(INDEX(PlotData,MATCH($A234,PlotNumber,0),MATCH(B$3,PlotTitles,0)))),"",OR(AND(INDEX(PlotData,MATCH($A234,PlotNumber,0),MATCH("Tenure",PlotTitles,0))="Open market housing",INDEX(PlotData,MATCH($A234,PlotNumber,0),MATCH("Tenure detail",PlotTitles,0))="Private rented sector"),INDEX(PlotData,MATCH($A234,PlotNumber,0),MATCH("Tenure",PlotTitles,0))="Affordable rent"),"",ISNUMBER(INDEX(PlotData,MATCH($A234,PlotNumber,0),MATCH(S$3,PlotTitles,0)))=FALSE, $AB$22,TRUE,"")</f>
        <v/>
      </c>
      <c r="T234" s="104" t="str" cm="1">
        <f t="array" ref="T234">_xlfn.IFS(AND(A234&gt;NumberOfPlots,ISBLANK(INDEX(PlotData,MATCH($A234,PlotNumber,0),MATCH(B$3,PlotTitles,0)))),"",OR(AND(INDEX(PlotData,MATCH($A234,PlotNumber,0),MATCH("Tenure",PlotTitles,0))="Open market housing",INDEX(PlotData,MATCH($A234,PlotNumber,0),MATCH("Tenure detail",PlotTitles,0))="Private rented sector"),INDEX(PlotData,MATCH($A234,PlotNumber,0),MATCH("Tenure",PlotTitles,0))="Affordable rent"),"",INDEX(PlotData,MATCH($A234,PlotNumber,0),MATCH(S$3,PlotTitles,0))&lt;10000, $AB$23,TRUE,"")</f>
        <v/>
      </c>
      <c r="U234" s="104" t="str" cm="1">
        <f t="array" ref="U234">_xlfn.IFS(AND(A234&gt;NumberOfPlots,ISBLANK(INDEX(PlotData,MATCH($A234,PlotNumber,0),MATCH(B$3,PlotTitles,0)))),"",NOT(OR(AND(INDEX(PlotData,MATCH($A234,PlotNumber,0),MATCH("Tenure",PlotTitles,0))="Open market housing",INDEX(PlotData,MATCH($A234,PlotNumber,0),MATCH("Tenure detail",PlotTitles,0))="Private rented sector"),INDEX(PlotData,MATCH($A234,PlotNumber,0),MATCH("Tenure",PlotTitles,0))="Affordable rent")),"",NOT(INDEX(PlotData,MATCH($A234,PlotNumber,0),MATCH(S$3,PlotTitles,0))=0), $AB$24,TRUE,"")</f>
        <v/>
      </c>
      <c r="V234" s="114" t="str" cm="1">
        <f t="array" aca="1" ref="V234" ca="1">_xlfn.IFS(ISBLANK(NumberOfPlots),"Enter the number of homes on the 1_SetUp sheet",AND(A234&gt;NumberOfPlots,ISBLANK(INDEX(PlotData,MATCH($A234,PlotNumber,0),MATCH(B$3,PlotTitles,0)))),"No error",NOT(B234=""),B234,NOT(C234=""),C234,NOT(D234=""),D234,NOT(E234=""),E234,NOT(F234=""),F234,NOT(G234=""),G234,NOT(H234=""),H234,NOT(I234=""),I234,NOT(J234=""),J234,NOT(K234=""),K234,NOT(L234=""),L234,NOT(M234=""),M234,NOT(N234=""),N234,NOT(O234=""),O234,NOT(P234=""),P234,NOT(Q234=""),Q234,NOT(R234=""),R234,NOT(S234=""),S234,NOT(T234=""),T234,NOT(U234=""),U234,TRUE,"No error")</f>
        <v>Enter the number of homes on the 1_SetUp sheet</v>
      </c>
      <c r="W234" s="114" t="str">
        <f t="shared" ca="1" si="11"/>
        <v xml:space="preserve">The Borrower has not addressed the following error messages for Home ID 230: </v>
      </c>
    </row>
    <row r="235" spans="1:23">
      <c r="A235" s="123">
        <v>231</v>
      </c>
      <c r="B235" s="104" t="str" cm="1">
        <f t="array" ref="B235">_xlfn.IFS(AND(A235&gt;NumberOfPlots,ISBLANK(INDEX(PlotData,MATCH($A235,PlotNumber,0),MATCH(B$3,PlotTitles,0)))),"",ISNUMBER(INDEX(PlotData,MATCH($A235,PlotNumber,0),MATCH(B$3,PlotTitles,0)))=FALSE, $AB$5,TRUE,"")</f>
        <v/>
      </c>
      <c r="C235" s="104" t="str" cm="1">
        <f t="array" ref="C235">_xlfn.IFS(AND(A235&gt;NumberOfPlots,ISBLANK(INDEX(PlotData,MATCH($A235,PlotNumber,0),MATCH(B$3,PlotTitles,0)))),"",ISBLANK(INDEX(PlotData,MATCH($A235,PlotNumber,0),MATCH(C$3,PlotTitles,0))),$AB$6,TRUE,"")</f>
        <v/>
      </c>
      <c r="D235" s="104" t="str" cm="1">
        <f t="array" ref="D235">_xlfn.IFS(AND(A235&gt;NumberOfPlots,ISBLANK(INDEX(PlotData,MATCH($A235,PlotNumber,0),MATCH(B$3,PlotTitles,0)))),"",ISBLANK(INDEX(PlotData,MATCH($A235,PlotNumber,0),MATCH(D$3,PlotTitles,0))),$AB$7,TRUE,"")</f>
        <v/>
      </c>
      <c r="E235" s="104" t="str" cm="1">
        <f t="array" ref="E235">_xlfn.IFS(AND(A235&gt;NumberOfPlots,ISBLANK(INDEX(PlotData,MATCH($A235,PlotNumber,0),MATCH(B$3,PlotTitles,0)))),"",ISBLANK(INDEX(PlotData,MATCH($A235,PlotNumber,0),MATCH(E$3,PlotTitles,0))),$AB$8,TRUE,"")</f>
        <v/>
      </c>
      <c r="F235" s="104" t="str" cm="1">
        <f t="array" ref="F235">_xlfn.IFS(AND(A235&gt;NumberOfPlots,ISBLANK(INDEX(PlotData,MATCH($A235,PlotNumber,0),MATCH(B$3,PlotTitles,0)))),"",ISBLANK(INDEX(PlotData,MATCH($A235,PlotNumber,0),MATCH(F$3,PlotTitles,0))),$AB$9,TRUE,"")</f>
        <v/>
      </c>
      <c r="G235" s="104" t="str" cm="1">
        <f t="array" ref="G235">_xlfn.IFS(AND(A235&gt;NumberOfPlots,ISBLANK(INDEX(PlotData,MATCH($A235,PlotNumber,0),MATCH(B$3,PlotTitles,0)))),"",ISBLANK(INDEX(PlotData,MATCH($A235,PlotNumber,0),MATCH(G$3,PlotTitles,0))),$AB$10,TRUE,"")</f>
        <v/>
      </c>
      <c r="H235" s="104" t="str" cm="1">
        <f t="array" ref="H235">_xlfn.IFS(AND(A235&gt;NumberOfPlots,ISBLANK(INDEX(PlotData,MATCH($A235,PlotNumber,0),MATCH(B$3,PlotTitles,0)))),"",AND(ISBLANK(INDEX(PlotData,MATCH($A235,PlotNumber,0),MATCH(H$3,PlotTitles,0)))=FALSE,INDEX(PlotData,MATCH($A235,PlotNumber,0),MATCH(H$3,PlotTitles,0))&lt;500), $AB$11,TRUE,"")</f>
        <v/>
      </c>
      <c r="I235" s="104" t="str" cm="1">
        <f t="array" ref="I235">_xlfn.IFS(AND(A235&gt;NumberOfPlots,ISBLANK(INDEX(PlotData,MATCH($A235,PlotNumber,0),MATCH(B$3,PlotTitles,0)))),"",ISBLANK(INDEX(PlotData,MATCH($A235,PlotNumber,0),MATCH(I$3,PlotTitles,0))),$AB$12,TRUE,"")</f>
        <v/>
      </c>
      <c r="J235" s="104" t="str" cm="1">
        <f t="array" ref="J235">_xlfn.IFS(AND(A235&gt;NumberOfPlots,ISBLANK(INDEX(PlotData,MATCH($A235,PlotNumber,0),MATCH(B$3,PlotTitles,0)))),"",ISBLANK(INDEX(PlotData,MATCH($A235,PlotNumber,0),MATCH(J$3,PlotTitles,0))),$AB$13,TRUE,"")</f>
        <v/>
      </c>
      <c r="K235" s="182" t="str">
        <f t="shared" ca="1" si="9"/>
        <v/>
      </c>
      <c r="L235" s="104" t="str" cm="1">
        <f t="array" ref="L235">_xlfn.IFS(OR(ISBLANK(StartDateMonth),ISBLANK(StartDateYear)),"",AND(A235&gt;NumberOfPlots,ISBLANK(INDEX(PlotData,MATCH($A235,PlotNumber,0),MATCH(B$3,PlotTitles,0)))),"",ISBLANK(INDEX(PlotData,MATCH($A235,PlotNumber,0),MATCH(I$3,PlotTitles,0))),"",(DATEVALUE(INDEX(PlotData,MATCH($A235,PlotNumber,0),MATCH(I$3,PlotTitles,0))&amp;INDEX(PlotData,MATCH($A235,PlotNumber,0),MATCH(J$3,PlotTitles,0))))&lt;DATEVALUE(StartDateMonth&amp;StartDateYear),$AB$15,TRUE,"")</f>
        <v/>
      </c>
      <c r="M235" s="104" t="str" cm="1">
        <f t="array" ref="M235">_xlfn.IFS(OR(ISBLANK(StartDateMonth),ISBLANK(StartDateYear)),"",AND(A235&gt;NumberOfPlots,ISBLANK(INDEX(PlotData,MATCH($A235,PlotNumber,0),MATCH(B$3,PlotTitles,0)))),"",ISBLANK(INDEX(PlotData,MATCH($A235,PlotNumber,0),MATCH(I$3,PlotTitles,0))),"",CompletionMonth="","",(DATEVALUE(INDEX(PlotData,MATCH($A235,PlotNumber,0),MATCH(I$3,PlotTitles,0))&amp;INDEX(PlotData,MATCH($A235,PlotNumber,0),MATCH(J$3,PlotTitles,0))))&gt;(DATEVALUE(CompletionMonth&amp;CompletionYear)),$AB$16,TRUE,"")</f>
        <v/>
      </c>
      <c r="N235" s="104" t="str" cm="1">
        <f t="array" ref="N235">_xlfn.IFS(AND(A235&gt;NumberOfPlots,ISBLANK(INDEX(PlotData,MATCH($A235,PlotNumber,0),MATCH(B$3,PlotTitles,0)))),"",ISBLANK(INDEX(PlotData,MATCH($A235,PlotNumber,0),MATCH(N$3,PlotTitles,0))),$AB$17,TRUE,"")</f>
        <v/>
      </c>
      <c r="O235" s="104" t="str" cm="1">
        <f t="array" ref="O235">_xlfn.IFS(AND(A235&gt;NumberOfPlots,ISBLANK(INDEX(PlotData,MATCH($A235,PlotNumber,0),MATCH(B$3,PlotTitles,0)))),"",ISBLANK(INDEX(PlotData,MATCH($A235,PlotNumber,0),MATCH(O$3,PlotTitles,0))),$AB$18,TRUE,"")</f>
        <v/>
      </c>
      <c r="P235" s="182" t="str">
        <f t="shared" ca="1" si="10"/>
        <v/>
      </c>
      <c r="Q235" s="104" t="str" cm="1">
        <f t="array" ref="Q235">_xlfn.IFS(AND(A235&gt;NumberOfPlots,ISBLANK(INDEX(PlotData,MATCH($A235,PlotNumber,0),MATCH(B$3,PlotTitles,0)))),"",ISBLANK(INDEX(PlotData,MATCH($A235,PlotNumber,0),MATCH(N$3,PlotTitles,0))),"",(DATEVALUE(INDEX(PlotData,MATCH($A235,PlotNumber,0),MATCH(N$3,PlotTitles,0))&amp;INDEX(PlotData,MATCH($A235,PlotNumber,0),MATCH(O$3,PlotTitles,0))))&lt;(DATEVALUE(INDEX(PlotData,MATCH($A235,PlotNumber,0),MATCH(I$3,PlotTitles,0))&amp;INDEX(PlotData,MATCH($A235,PlotNumber,0),MATCH(J$3,PlotTitles,0)))),$AB$20,TRUE,"")</f>
        <v/>
      </c>
      <c r="R235" s="104" t="str" cm="1">
        <f t="array" ref="R235">_xlfn.IFS(OR(ISBLANK(StartDateMonth),ISBLANK(StartDateYear)),"",AND(A235&gt;NumberOfPlots,ISBLANK(INDEX(PlotData,MATCH($A235,PlotNumber,0),MATCH(B$3,PlotTitles,0)))),"",ISBLANK(INDEX(PlotData,MATCH($A235,PlotNumber,0),MATCH(N$3,PlotTitles,0))),"",CompletionMonth="","",(DATEVALUE(INDEX(PlotData,MATCH($A235,PlotNumber,0),MATCH(N$3,PlotTitles,0))&amp;INDEX(PlotData,MATCH($A235,PlotNumber,0),MATCH(O$3,PlotTitles,0))))&gt;(DATEVALUE(CompletionMonth&amp;CompletionYear)),$AB$21,TRUE,"")</f>
        <v/>
      </c>
      <c r="S235" s="104" t="str" cm="1">
        <f t="array" ref="S235">_xlfn.IFS(AND(A235&gt;NumberOfPlots,ISBLANK(INDEX(PlotData,MATCH($A235,PlotNumber,0),MATCH(B$3,PlotTitles,0)))),"",OR(AND(INDEX(PlotData,MATCH($A235,PlotNumber,0),MATCH("Tenure",PlotTitles,0))="Open market housing",INDEX(PlotData,MATCH($A235,PlotNumber,0),MATCH("Tenure detail",PlotTitles,0))="Private rented sector"),INDEX(PlotData,MATCH($A235,PlotNumber,0),MATCH("Tenure",PlotTitles,0))="Affordable rent"),"",ISNUMBER(INDEX(PlotData,MATCH($A235,PlotNumber,0),MATCH(S$3,PlotTitles,0)))=FALSE, $AB$22,TRUE,"")</f>
        <v/>
      </c>
      <c r="T235" s="104" t="str" cm="1">
        <f t="array" ref="T235">_xlfn.IFS(AND(A235&gt;NumberOfPlots,ISBLANK(INDEX(PlotData,MATCH($A235,PlotNumber,0),MATCH(B$3,PlotTitles,0)))),"",OR(AND(INDEX(PlotData,MATCH($A235,PlotNumber,0),MATCH("Tenure",PlotTitles,0))="Open market housing",INDEX(PlotData,MATCH($A235,PlotNumber,0),MATCH("Tenure detail",PlotTitles,0))="Private rented sector"),INDEX(PlotData,MATCH($A235,PlotNumber,0),MATCH("Tenure",PlotTitles,0))="Affordable rent"),"",INDEX(PlotData,MATCH($A235,PlotNumber,0),MATCH(S$3,PlotTitles,0))&lt;10000, $AB$23,TRUE,"")</f>
        <v/>
      </c>
      <c r="U235" s="104" t="str" cm="1">
        <f t="array" ref="U235">_xlfn.IFS(AND(A235&gt;NumberOfPlots,ISBLANK(INDEX(PlotData,MATCH($A235,PlotNumber,0),MATCH(B$3,PlotTitles,0)))),"",NOT(OR(AND(INDEX(PlotData,MATCH($A235,PlotNumber,0),MATCH("Tenure",PlotTitles,0))="Open market housing",INDEX(PlotData,MATCH($A235,PlotNumber,0),MATCH("Tenure detail",PlotTitles,0))="Private rented sector"),INDEX(PlotData,MATCH($A235,PlotNumber,0),MATCH("Tenure",PlotTitles,0))="Affordable rent")),"",NOT(INDEX(PlotData,MATCH($A235,PlotNumber,0),MATCH(S$3,PlotTitles,0))=0), $AB$24,TRUE,"")</f>
        <v/>
      </c>
      <c r="V235" s="114" t="str" cm="1">
        <f t="array" aca="1" ref="V235" ca="1">_xlfn.IFS(ISBLANK(NumberOfPlots),"Enter the number of homes on the 1_SetUp sheet",AND(A235&gt;NumberOfPlots,ISBLANK(INDEX(PlotData,MATCH($A235,PlotNumber,0),MATCH(B$3,PlotTitles,0)))),"No error",NOT(B235=""),B235,NOT(C235=""),C235,NOT(D235=""),D235,NOT(E235=""),E235,NOT(F235=""),F235,NOT(G235=""),G235,NOT(H235=""),H235,NOT(I235=""),I235,NOT(J235=""),J235,NOT(K235=""),K235,NOT(L235=""),L235,NOT(M235=""),M235,NOT(N235=""),N235,NOT(O235=""),O235,NOT(P235=""),P235,NOT(Q235=""),Q235,NOT(R235=""),R235,NOT(S235=""),S235,NOT(T235=""),T235,NOT(U235=""),U235,TRUE,"No error")</f>
        <v>Enter the number of homes on the 1_SetUp sheet</v>
      </c>
      <c r="W235" s="114" t="str">
        <f t="shared" ca="1" si="11"/>
        <v xml:space="preserve">The Borrower has not addressed the following error messages for Home ID 231: </v>
      </c>
    </row>
    <row r="236" spans="1:23">
      <c r="A236" s="123">
        <v>232</v>
      </c>
      <c r="B236" s="104" t="str" cm="1">
        <f t="array" ref="B236">_xlfn.IFS(AND(A236&gt;NumberOfPlots,ISBLANK(INDEX(PlotData,MATCH($A236,PlotNumber,0),MATCH(B$3,PlotTitles,0)))),"",ISNUMBER(INDEX(PlotData,MATCH($A236,PlotNumber,0),MATCH(B$3,PlotTitles,0)))=FALSE, $AB$5,TRUE,"")</f>
        <v/>
      </c>
      <c r="C236" s="104" t="str" cm="1">
        <f t="array" ref="C236">_xlfn.IFS(AND(A236&gt;NumberOfPlots,ISBLANK(INDEX(PlotData,MATCH($A236,PlotNumber,0),MATCH(B$3,PlotTitles,0)))),"",ISBLANK(INDEX(PlotData,MATCH($A236,PlotNumber,0),MATCH(C$3,PlotTitles,0))),$AB$6,TRUE,"")</f>
        <v/>
      </c>
      <c r="D236" s="104" t="str" cm="1">
        <f t="array" ref="D236">_xlfn.IFS(AND(A236&gt;NumberOfPlots,ISBLANK(INDEX(PlotData,MATCH($A236,PlotNumber,0),MATCH(B$3,PlotTitles,0)))),"",ISBLANK(INDEX(PlotData,MATCH($A236,PlotNumber,0),MATCH(D$3,PlotTitles,0))),$AB$7,TRUE,"")</f>
        <v/>
      </c>
      <c r="E236" s="104" t="str" cm="1">
        <f t="array" ref="E236">_xlfn.IFS(AND(A236&gt;NumberOfPlots,ISBLANK(INDEX(PlotData,MATCH($A236,PlotNumber,0),MATCH(B$3,PlotTitles,0)))),"",ISBLANK(INDEX(PlotData,MATCH($A236,PlotNumber,0),MATCH(E$3,PlotTitles,0))),$AB$8,TRUE,"")</f>
        <v/>
      </c>
      <c r="F236" s="104" t="str" cm="1">
        <f t="array" ref="F236">_xlfn.IFS(AND(A236&gt;NumberOfPlots,ISBLANK(INDEX(PlotData,MATCH($A236,PlotNumber,0),MATCH(B$3,PlotTitles,0)))),"",ISBLANK(INDEX(PlotData,MATCH($A236,PlotNumber,0),MATCH(F$3,PlotTitles,0))),$AB$9,TRUE,"")</f>
        <v/>
      </c>
      <c r="G236" s="104" t="str" cm="1">
        <f t="array" ref="G236">_xlfn.IFS(AND(A236&gt;NumberOfPlots,ISBLANK(INDEX(PlotData,MATCH($A236,PlotNumber,0),MATCH(B$3,PlotTitles,0)))),"",ISBLANK(INDEX(PlotData,MATCH($A236,PlotNumber,0),MATCH(G$3,PlotTitles,0))),$AB$10,TRUE,"")</f>
        <v/>
      </c>
      <c r="H236" s="104" t="str" cm="1">
        <f t="array" ref="H236">_xlfn.IFS(AND(A236&gt;NumberOfPlots,ISBLANK(INDEX(PlotData,MATCH($A236,PlotNumber,0),MATCH(B$3,PlotTitles,0)))),"",AND(ISBLANK(INDEX(PlotData,MATCH($A236,PlotNumber,0),MATCH(H$3,PlotTitles,0)))=FALSE,INDEX(PlotData,MATCH($A236,PlotNumber,0),MATCH(H$3,PlotTitles,0))&lt;500), $AB$11,TRUE,"")</f>
        <v/>
      </c>
      <c r="I236" s="104" t="str" cm="1">
        <f t="array" ref="I236">_xlfn.IFS(AND(A236&gt;NumberOfPlots,ISBLANK(INDEX(PlotData,MATCH($A236,PlotNumber,0),MATCH(B$3,PlotTitles,0)))),"",ISBLANK(INDEX(PlotData,MATCH($A236,PlotNumber,0),MATCH(I$3,PlotTitles,0))),$AB$12,TRUE,"")</f>
        <v/>
      </c>
      <c r="J236" s="104" t="str" cm="1">
        <f t="array" ref="J236">_xlfn.IFS(AND(A236&gt;NumberOfPlots,ISBLANK(INDEX(PlotData,MATCH($A236,PlotNumber,0),MATCH(B$3,PlotTitles,0)))),"",ISBLANK(INDEX(PlotData,MATCH($A236,PlotNumber,0),MATCH(J$3,PlotTitles,0))),$AB$13,TRUE,"")</f>
        <v/>
      </c>
      <c r="K236" s="182" t="str">
        <f t="shared" ca="1" si="9"/>
        <v/>
      </c>
      <c r="L236" s="104" t="str" cm="1">
        <f t="array" ref="L236">_xlfn.IFS(OR(ISBLANK(StartDateMonth),ISBLANK(StartDateYear)),"",AND(A236&gt;NumberOfPlots,ISBLANK(INDEX(PlotData,MATCH($A236,PlotNumber,0),MATCH(B$3,PlotTitles,0)))),"",ISBLANK(INDEX(PlotData,MATCH($A236,PlotNumber,0),MATCH(I$3,PlotTitles,0))),"",(DATEVALUE(INDEX(PlotData,MATCH($A236,PlotNumber,0),MATCH(I$3,PlotTitles,0))&amp;INDEX(PlotData,MATCH($A236,PlotNumber,0),MATCH(J$3,PlotTitles,0))))&lt;DATEVALUE(StartDateMonth&amp;StartDateYear),$AB$15,TRUE,"")</f>
        <v/>
      </c>
      <c r="M236" s="104" t="str" cm="1">
        <f t="array" ref="M236">_xlfn.IFS(OR(ISBLANK(StartDateMonth),ISBLANK(StartDateYear)),"",AND(A236&gt;NumberOfPlots,ISBLANK(INDEX(PlotData,MATCH($A236,PlotNumber,0),MATCH(B$3,PlotTitles,0)))),"",ISBLANK(INDEX(PlotData,MATCH($A236,PlotNumber,0),MATCH(I$3,PlotTitles,0))),"",CompletionMonth="","",(DATEVALUE(INDEX(PlotData,MATCH($A236,PlotNumber,0),MATCH(I$3,PlotTitles,0))&amp;INDEX(PlotData,MATCH($A236,PlotNumber,0),MATCH(J$3,PlotTitles,0))))&gt;(DATEVALUE(CompletionMonth&amp;CompletionYear)),$AB$16,TRUE,"")</f>
        <v/>
      </c>
      <c r="N236" s="104" t="str" cm="1">
        <f t="array" ref="N236">_xlfn.IFS(AND(A236&gt;NumberOfPlots,ISBLANK(INDEX(PlotData,MATCH($A236,PlotNumber,0),MATCH(B$3,PlotTitles,0)))),"",ISBLANK(INDEX(PlotData,MATCH($A236,PlotNumber,0),MATCH(N$3,PlotTitles,0))),$AB$17,TRUE,"")</f>
        <v/>
      </c>
      <c r="O236" s="104" t="str" cm="1">
        <f t="array" ref="O236">_xlfn.IFS(AND(A236&gt;NumberOfPlots,ISBLANK(INDEX(PlotData,MATCH($A236,PlotNumber,0),MATCH(B$3,PlotTitles,0)))),"",ISBLANK(INDEX(PlotData,MATCH($A236,PlotNumber,0),MATCH(O$3,PlotTitles,0))),$AB$18,TRUE,"")</f>
        <v/>
      </c>
      <c r="P236" s="182" t="str">
        <f t="shared" ca="1" si="10"/>
        <v/>
      </c>
      <c r="Q236" s="104" t="str" cm="1">
        <f t="array" ref="Q236">_xlfn.IFS(AND(A236&gt;NumberOfPlots,ISBLANK(INDEX(PlotData,MATCH($A236,PlotNumber,0),MATCH(B$3,PlotTitles,0)))),"",ISBLANK(INDEX(PlotData,MATCH($A236,PlotNumber,0),MATCH(N$3,PlotTitles,0))),"",(DATEVALUE(INDEX(PlotData,MATCH($A236,PlotNumber,0),MATCH(N$3,PlotTitles,0))&amp;INDEX(PlotData,MATCH($A236,PlotNumber,0),MATCH(O$3,PlotTitles,0))))&lt;(DATEVALUE(INDEX(PlotData,MATCH($A236,PlotNumber,0),MATCH(I$3,PlotTitles,0))&amp;INDEX(PlotData,MATCH($A236,PlotNumber,0),MATCH(J$3,PlotTitles,0)))),$AB$20,TRUE,"")</f>
        <v/>
      </c>
      <c r="R236" s="104" t="str" cm="1">
        <f t="array" ref="R236">_xlfn.IFS(OR(ISBLANK(StartDateMonth),ISBLANK(StartDateYear)),"",AND(A236&gt;NumberOfPlots,ISBLANK(INDEX(PlotData,MATCH($A236,PlotNumber,0),MATCH(B$3,PlotTitles,0)))),"",ISBLANK(INDEX(PlotData,MATCH($A236,PlotNumber,0),MATCH(N$3,PlotTitles,0))),"",CompletionMonth="","",(DATEVALUE(INDEX(PlotData,MATCH($A236,PlotNumber,0),MATCH(N$3,PlotTitles,0))&amp;INDEX(PlotData,MATCH($A236,PlotNumber,0),MATCH(O$3,PlotTitles,0))))&gt;(DATEVALUE(CompletionMonth&amp;CompletionYear)),$AB$21,TRUE,"")</f>
        <v/>
      </c>
      <c r="S236" s="104" t="str" cm="1">
        <f t="array" ref="S236">_xlfn.IFS(AND(A236&gt;NumberOfPlots,ISBLANK(INDEX(PlotData,MATCH($A236,PlotNumber,0),MATCH(B$3,PlotTitles,0)))),"",OR(AND(INDEX(PlotData,MATCH($A236,PlotNumber,0),MATCH("Tenure",PlotTitles,0))="Open market housing",INDEX(PlotData,MATCH($A236,PlotNumber,0),MATCH("Tenure detail",PlotTitles,0))="Private rented sector"),INDEX(PlotData,MATCH($A236,PlotNumber,0),MATCH("Tenure",PlotTitles,0))="Affordable rent"),"",ISNUMBER(INDEX(PlotData,MATCH($A236,PlotNumber,0),MATCH(S$3,PlotTitles,0)))=FALSE, $AB$22,TRUE,"")</f>
        <v/>
      </c>
      <c r="T236" s="104" t="str" cm="1">
        <f t="array" ref="T236">_xlfn.IFS(AND(A236&gt;NumberOfPlots,ISBLANK(INDEX(PlotData,MATCH($A236,PlotNumber,0),MATCH(B$3,PlotTitles,0)))),"",OR(AND(INDEX(PlotData,MATCH($A236,PlotNumber,0),MATCH("Tenure",PlotTitles,0))="Open market housing",INDEX(PlotData,MATCH($A236,PlotNumber,0),MATCH("Tenure detail",PlotTitles,0))="Private rented sector"),INDEX(PlotData,MATCH($A236,PlotNumber,0),MATCH("Tenure",PlotTitles,0))="Affordable rent"),"",INDEX(PlotData,MATCH($A236,PlotNumber,0),MATCH(S$3,PlotTitles,0))&lt;10000, $AB$23,TRUE,"")</f>
        <v/>
      </c>
      <c r="U236" s="104" t="str" cm="1">
        <f t="array" ref="U236">_xlfn.IFS(AND(A236&gt;NumberOfPlots,ISBLANK(INDEX(PlotData,MATCH($A236,PlotNumber,0),MATCH(B$3,PlotTitles,0)))),"",NOT(OR(AND(INDEX(PlotData,MATCH($A236,PlotNumber,0),MATCH("Tenure",PlotTitles,0))="Open market housing",INDEX(PlotData,MATCH($A236,PlotNumber,0),MATCH("Tenure detail",PlotTitles,0))="Private rented sector"),INDEX(PlotData,MATCH($A236,PlotNumber,0),MATCH("Tenure",PlotTitles,0))="Affordable rent")),"",NOT(INDEX(PlotData,MATCH($A236,PlotNumber,0),MATCH(S$3,PlotTitles,0))=0), $AB$24,TRUE,"")</f>
        <v/>
      </c>
      <c r="V236" s="114" t="str" cm="1">
        <f t="array" aca="1" ref="V236" ca="1">_xlfn.IFS(ISBLANK(NumberOfPlots),"Enter the number of homes on the 1_SetUp sheet",AND(A236&gt;NumberOfPlots,ISBLANK(INDEX(PlotData,MATCH($A236,PlotNumber,0),MATCH(B$3,PlotTitles,0)))),"No error",NOT(B236=""),B236,NOT(C236=""),C236,NOT(D236=""),D236,NOT(E236=""),E236,NOT(F236=""),F236,NOT(G236=""),G236,NOT(H236=""),H236,NOT(I236=""),I236,NOT(J236=""),J236,NOT(K236=""),K236,NOT(L236=""),L236,NOT(M236=""),M236,NOT(N236=""),N236,NOT(O236=""),O236,NOT(P236=""),P236,NOT(Q236=""),Q236,NOT(R236=""),R236,NOT(S236=""),S236,NOT(T236=""),T236,NOT(U236=""),U236,TRUE,"No error")</f>
        <v>Enter the number of homes on the 1_SetUp sheet</v>
      </c>
      <c r="W236" s="114" t="str">
        <f t="shared" ca="1" si="11"/>
        <v xml:space="preserve">The Borrower has not addressed the following error messages for Home ID 232: </v>
      </c>
    </row>
    <row r="237" spans="1:23">
      <c r="A237" s="123">
        <v>233</v>
      </c>
      <c r="B237" s="104" t="str" cm="1">
        <f t="array" ref="B237">_xlfn.IFS(AND(A237&gt;NumberOfPlots,ISBLANK(INDEX(PlotData,MATCH($A237,PlotNumber,0),MATCH(B$3,PlotTitles,0)))),"",ISNUMBER(INDEX(PlotData,MATCH($A237,PlotNumber,0),MATCH(B$3,PlotTitles,0)))=FALSE, $AB$5,TRUE,"")</f>
        <v/>
      </c>
      <c r="C237" s="104" t="str" cm="1">
        <f t="array" ref="C237">_xlfn.IFS(AND(A237&gt;NumberOfPlots,ISBLANK(INDEX(PlotData,MATCH($A237,PlotNumber,0),MATCH(B$3,PlotTitles,0)))),"",ISBLANK(INDEX(PlotData,MATCH($A237,PlotNumber,0),MATCH(C$3,PlotTitles,0))),$AB$6,TRUE,"")</f>
        <v/>
      </c>
      <c r="D237" s="104" t="str" cm="1">
        <f t="array" ref="D237">_xlfn.IFS(AND(A237&gt;NumberOfPlots,ISBLANK(INDEX(PlotData,MATCH($A237,PlotNumber,0),MATCH(B$3,PlotTitles,0)))),"",ISBLANK(INDEX(PlotData,MATCH($A237,PlotNumber,0),MATCH(D$3,PlotTitles,0))),$AB$7,TRUE,"")</f>
        <v/>
      </c>
      <c r="E237" s="104" t="str" cm="1">
        <f t="array" ref="E237">_xlfn.IFS(AND(A237&gt;NumberOfPlots,ISBLANK(INDEX(PlotData,MATCH($A237,PlotNumber,0),MATCH(B$3,PlotTitles,0)))),"",ISBLANK(INDEX(PlotData,MATCH($A237,PlotNumber,0),MATCH(E$3,PlotTitles,0))),$AB$8,TRUE,"")</f>
        <v/>
      </c>
      <c r="F237" s="104" t="str" cm="1">
        <f t="array" ref="F237">_xlfn.IFS(AND(A237&gt;NumberOfPlots,ISBLANK(INDEX(PlotData,MATCH($A237,PlotNumber,0),MATCH(B$3,PlotTitles,0)))),"",ISBLANK(INDEX(PlotData,MATCH($A237,PlotNumber,0),MATCH(F$3,PlotTitles,0))),$AB$9,TRUE,"")</f>
        <v/>
      </c>
      <c r="G237" s="104" t="str" cm="1">
        <f t="array" ref="G237">_xlfn.IFS(AND(A237&gt;NumberOfPlots,ISBLANK(INDEX(PlotData,MATCH($A237,PlotNumber,0),MATCH(B$3,PlotTitles,0)))),"",ISBLANK(INDEX(PlotData,MATCH($A237,PlotNumber,0),MATCH(G$3,PlotTitles,0))),$AB$10,TRUE,"")</f>
        <v/>
      </c>
      <c r="H237" s="104" t="str" cm="1">
        <f t="array" ref="H237">_xlfn.IFS(AND(A237&gt;NumberOfPlots,ISBLANK(INDEX(PlotData,MATCH($A237,PlotNumber,0),MATCH(B$3,PlotTitles,0)))),"",AND(ISBLANK(INDEX(PlotData,MATCH($A237,PlotNumber,0),MATCH(H$3,PlotTitles,0)))=FALSE,INDEX(PlotData,MATCH($A237,PlotNumber,0),MATCH(H$3,PlotTitles,0))&lt;500), $AB$11,TRUE,"")</f>
        <v/>
      </c>
      <c r="I237" s="104" t="str" cm="1">
        <f t="array" ref="I237">_xlfn.IFS(AND(A237&gt;NumberOfPlots,ISBLANK(INDEX(PlotData,MATCH($A237,PlotNumber,0),MATCH(B$3,PlotTitles,0)))),"",ISBLANK(INDEX(PlotData,MATCH($A237,PlotNumber,0),MATCH(I$3,PlotTitles,0))),$AB$12,TRUE,"")</f>
        <v/>
      </c>
      <c r="J237" s="104" t="str" cm="1">
        <f t="array" ref="J237">_xlfn.IFS(AND(A237&gt;NumberOfPlots,ISBLANK(INDEX(PlotData,MATCH($A237,PlotNumber,0),MATCH(B$3,PlotTitles,0)))),"",ISBLANK(INDEX(PlotData,MATCH($A237,PlotNumber,0),MATCH(J$3,PlotTitles,0))),$AB$13,TRUE,"")</f>
        <v/>
      </c>
      <c r="K237" s="182" t="str">
        <f t="shared" ca="1" si="9"/>
        <v/>
      </c>
      <c r="L237" s="104" t="str" cm="1">
        <f t="array" ref="L237">_xlfn.IFS(OR(ISBLANK(StartDateMonth),ISBLANK(StartDateYear)),"",AND(A237&gt;NumberOfPlots,ISBLANK(INDEX(PlotData,MATCH($A237,PlotNumber,0),MATCH(B$3,PlotTitles,0)))),"",ISBLANK(INDEX(PlotData,MATCH($A237,PlotNumber,0),MATCH(I$3,PlotTitles,0))),"",(DATEVALUE(INDEX(PlotData,MATCH($A237,PlotNumber,0),MATCH(I$3,PlotTitles,0))&amp;INDEX(PlotData,MATCH($A237,PlotNumber,0),MATCH(J$3,PlotTitles,0))))&lt;DATEVALUE(StartDateMonth&amp;StartDateYear),$AB$15,TRUE,"")</f>
        <v/>
      </c>
      <c r="M237" s="104" t="str" cm="1">
        <f t="array" ref="M237">_xlfn.IFS(OR(ISBLANK(StartDateMonth),ISBLANK(StartDateYear)),"",AND(A237&gt;NumberOfPlots,ISBLANK(INDEX(PlotData,MATCH($A237,PlotNumber,0),MATCH(B$3,PlotTitles,0)))),"",ISBLANK(INDEX(PlotData,MATCH($A237,PlotNumber,0),MATCH(I$3,PlotTitles,0))),"",CompletionMonth="","",(DATEVALUE(INDEX(PlotData,MATCH($A237,PlotNumber,0),MATCH(I$3,PlotTitles,0))&amp;INDEX(PlotData,MATCH($A237,PlotNumber,0),MATCH(J$3,PlotTitles,0))))&gt;(DATEVALUE(CompletionMonth&amp;CompletionYear)),$AB$16,TRUE,"")</f>
        <v/>
      </c>
      <c r="N237" s="104" t="str" cm="1">
        <f t="array" ref="N237">_xlfn.IFS(AND(A237&gt;NumberOfPlots,ISBLANK(INDEX(PlotData,MATCH($A237,PlotNumber,0),MATCH(B$3,PlotTitles,0)))),"",ISBLANK(INDEX(PlotData,MATCH($A237,PlotNumber,0),MATCH(N$3,PlotTitles,0))),$AB$17,TRUE,"")</f>
        <v/>
      </c>
      <c r="O237" s="104" t="str" cm="1">
        <f t="array" ref="O237">_xlfn.IFS(AND(A237&gt;NumberOfPlots,ISBLANK(INDEX(PlotData,MATCH($A237,PlotNumber,0),MATCH(B$3,PlotTitles,0)))),"",ISBLANK(INDEX(PlotData,MATCH($A237,PlotNumber,0),MATCH(O$3,PlotTitles,0))),$AB$18,TRUE,"")</f>
        <v/>
      </c>
      <c r="P237" s="182" t="str">
        <f t="shared" ca="1" si="10"/>
        <v/>
      </c>
      <c r="Q237" s="104" t="str" cm="1">
        <f t="array" ref="Q237">_xlfn.IFS(AND(A237&gt;NumberOfPlots,ISBLANK(INDEX(PlotData,MATCH($A237,PlotNumber,0),MATCH(B$3,PlotTitles,0)))),"",ISBLANK(INDEX(PlotData,MATCH($A237,PlotNumber,0),MATCH(N$3,PlotTitles,0))),"",(DATEVALUE(INDEX(PlotData,MATCH($A237,PlotNumber,0),MATCH(N$3,PlotTitles,0))&amp;INDEX(PlotData,MATCH($A237,PlotNumber,0),MATCH(O$3,PlotTitles,0))))&lt;(DATEVALUE(INDEX(PlotData,MATCH($A237,PlotNumber,0),MATCH(I$3,PlotTitles,0))&amp;INDEX(PlotData,MATCH($A237,PlotNumber,0),MATCH(J$3,PlotTitles,0)))),$AB$20,TRUE,"")</f>
        <v/>
      </c>
      <c r="R237" s="104" t="str" cm="1">
        <f t="array" ref="R237">_xlfn.IFS(OR(ISBLANK(StartDateMonth),ISBLANK(StartDateYear)),"",AND(A237&gt;NumberOfPlots,ISBLANK(INDEX(PlotData,MATCH($A237,PlotNumber,0),MATCH(B$3,PlotTitles,0)))),"",ISBLANK(INDEX(PlotData,MATCH($A237,PlotNumber,0),MATCH(N$3,PlotTitles,0))),"",CompletionMonth="","",(DATEVALUE(INDEX(PlotData,MATCH($A237,PlotNumber,0),MATCH(N$3,PlotTitles,0))&amp;INDEX(PlotData,MATCH($A237,PlotNumber,0),MATCH(O$3,PlotTitles,0))))&gt;(DATEVALUE(CompletionMonth&amp;CompletionYear)),$AB$21,TRUE,"")</f>
        <v/>
      </c>
      <c r="S237" s="104" t="str" cm="1">
        <f t="array" ref="S237">_xlfn.IFS(AND(A237&gt;NumberOfPlots,ISBLANK(INDEX(PlotData,MATCH($A237,PlotNumber,0),MATCH(B$3,PlotTitles,0)))),"",OR(AND(INDEX(PlotData,MATCH($A237,PlotNumber,0),MATCH("Tenure",PlotTitles,0))="Open market housing",INDEX(PlotData,MATCH($A237,PlotNumber,0),MATCH("Tenure detail",PlotTitles,0))="Private rented sector"),INDEX(PlotData,MATCH($A237,PlotNumber,0),MATCH("Tenure",PlotTitles,0))="Affordable rent"),"",ISNUMBER(INDEX(PlotData,MATCH($A237,PlotNumber,0),MATCH(S$3,PlotTitles,0)))=FALSE, $AB$22,TRUE,"")</f>
        <v/>
      </c>
      <c r="T237" s="104" t="str" cm="1">
        <f t="array" ref="T237">_xlfn.IFS(AND(A237&gt;NumberOfPlots,ISBLANK(INDEX(PlotData,MATCH($A237,PlotNumber,0),MATCH(B$3,PlotTitles,0)))),"",OR(AND(INDEX(PlotData,MATCH($A237,PlotNumber,0),MATCH("Tenure",PlotTitles,0))="Open market housing",INDEX(PlotData,MATCH($A237,PlotNumber,0),MATCH("Tenure detail",PlotTitles,0))="Private rented sector"),INDEX(PlotData,MATCH($A237,PlotNumber,0),MATCH("Tenure",PlotTitles,0))="Affordable rent"),"",INDEX(PlotData,MATCH($A237,PlotNumber,0),MATCH(S$3,PlotTitles,0))&lt;10000, $AB$23,TRUE,"")</f>
        <v/>
      </c>
      <c r="U237" s="104" t="str" cm="1">
        <f t="array" ref="U237">_xlfn.IFS(AND(A237&gt;NumberOfPlots,ISBLANK(INDEX(PlotData,MATCH($A237,PlotNumber,0),MATCH(B$3,PlotTitles,0)))),"",NOT(OR(AND(INDEX(PlotData,MATCH($A237,PlotNumber,0),MATCH("Tenure",PlotTitles,0))="Open market housing",INDEX(PlotData,MATCH($A237,PlotNumber,0),MATCH("Tenure detail",PlotTitles,0))="Private rented sector"),INDEX(PlotData,MATCH($A237,PlotNumber,0),MATCH("Tenure",PlotTitles,0))="Affordable rent")),"",NOT(INDEX(PlotData,MATCH($A237,PlotNumber,0),MATCH(S$3,PlotTitles,0))=0), $AB$24,TRUE,"")</f>
        <v/>
      </c>
      <c r="V237" s="114" t="str" cm="1">
        <f t="array" aca="1" ref="V237" ca="1">_xlfn.IFS(ISBLANK(NumberOfPlots),"Enter the number of homes on the 1_SetUp sheet",AND(A237&gt;NumberOfPlots,ISBLANK(INDEX(PlotData,MATCH($A237,PlotNumber,0),MATCH(B$3,PlotTitles,0)))),"No error",NOT(B237=""),B237,NOT(C237=""),C237,NOT(D237=""),D237,NOT(E237=""),E237,NOT(F237=""),F237,NOT(G237=""),G237,NOT(H237=""),H237,NOT(I237=""),I237,NOT(J237=""),J237,NOT(K237=""),K237,NOT(L237=""),L237,NOT(M237=""),M237,NOT(N237=""),N237,NOT(O237=""),O237,NOT(P237=""),P237,NOT(Q237=""),Q237,NOT(R237=""),R237,NOT(S237=""),S237,NOT(T237=""),T237,NOT(U237=""),U237,TRUE,"No error")</f>
        <v>Enter the number of homes on the 1_SetUp sheet</v>
      </c>
      <c r="W237" s="114" t="str">
        <f t="shared" ca="1" si="11"/>
        <v xml:space="preserve">The Borrower has not addressed the following error messages for Home ID 233: </v>
      </c>
    </row>
    <row r="238" spans="1:23">
      <c r="A238" s="123">
        <v>234</v>
      </c>
      <c r="B238" s="104" t="str" cm="1">
        <f t="array" ref="B238">_xlfn.IFS(AND(A238&gt;NumberOfPlots,ISBLANK(INDEX(PlotData,MATCH($A238,PlotNumber,0),MATCH(B$3,PlotTitles,0)))),"",ISNUMBER(INDEX(PlotData,MATCH($A238,PlotNumber,0),MATCH(B$3,PlotTitles,0)))=FALSE, $AB$5,TRUE,"")</f>
        <v/>
      </c>
      <c r="C238" s="104" t="str" cm="1">
        <f t="array" ref="C238">_xlfn.IFS(AND(A238&gt;NumberOfPlots,ISBLANK(INDEX(PlotData,MATCH($A238,PlotNumber,0),MATCH(B$3,PlotTitles,0)))),"",ISBLANK(INDEX(PlotData,MATCH($A238,PlotNumber,0),MATCH(C$3,PlotTitles,0))),$AB$6,TRUE,"")</f>
        <v/>
      </c>
      <c r="D238" s="104" t="str" cm="1">
        <f t="array" ref="D238">_xlfn.IFS(AND(A238&gt;NumberOfPlots,ISBLANK(INDEX(PlotData,MATCH($A238,PlotNumber,0),MATCH(B$3,PlotTitles,0)))),"",ISBLANK(INDEX(PlotData,MATCH($A238,PlotNumber,0),MATCH(D$3,PlotTitles,0))),$AB$7,TRUE,"")</f>
        <v/>
      </c>
      <c r="E238" s="104" t="str" cm="1">
        <f t="array" ref="E238">_xlfn.IFS(AND(A238&gt;NumberOfPlots,ISBLANK(INDEX(PlotData,MATCH($A238,PlotNumber,0),MATCH(B$3,PlotTitles,0)))),"",ISBLANK(INDEX(PlotData,MATCH($A238,PlotNumber,0),MATCH(E$3,PlotTitles,0))),$AB$8,TRUE,"")</f>
        <v/>
      </c>
      <c r="F238" s="104" t="str" cm="1">
        <f t="array" ref="F238">_xlfn.IFS(AND(A238&gt;NumberOfPlots,ISBLANK(INDEX(PlotData,MATCH($A238,PlotNumber,0),MATCH(B$3,PlotTitles,0)))),"",ISBLANK(INDEX(PlotData,MATCH($A238,PlotNumber,0),MATCH(F$3,PlotTitles,0))),$AB$9,TRUE,"")</f>
        <v/>
      </c>
      <c r="G238" s="104" t="str" cm="1">
        <f t="array" ref="G238">_xlfn.IFS(AND(A238&gt;NumberOfPlots,ISBLANK(INDEX(PlotData,MATCH($A238,PlotNumber,0),MATCH(B$3,PlotTitles,0)))),"",ISBLANK(INDEX(PlotData,MATCH($A238,PlotNumber,0),MATCH(G$3,PlotTitles,0))),$AB$10,TRUE,"")</f>
        <v/>
      </c>
      <c r="H238" s="104" t="str" cm="1">
        <f t="array" ref="H238">_xlfn.IFS(AND(A238&gt;NumberOfPlots,ISBLANK(INDEX(PlotData,MATCH($A238,PlotNumber,0),MATCH(B$3,PlotTitles,0)))),"",AND(ISBLANK(INDEX(PlotData,MATCH($A238,PlotNumber,0),MATCH(H$3,PlotTitles,0)))=FALSE,INDEX(PlotData,MATCH($A238,PlotNumber,0),MATCH(H$3,PlotTitles,0))&lt;500), $AB$11,TRUE,"")</f>
        <v/>
      </c>
      <c r="I238" s="104" t="str" cm="1">
        <f t="array" ref="I238">_xlfn.IFS(AND(A238&gt;NumberOfPlots,ISBLANK(INDEX(PlotData,MATCH($A238,PlotNumber,0),MATCH(B$3,PlotTitles,0)))),"",ISBLANK(INDEX(PlotData,MATCH($A238,PlotNumber,0),MATCH(I$3,PlotTitles,0))),$AB$12,TRUE,"")</f>
        <v/>
      </c>
      <c r="J238" s="104" t="str" cm="1">
        <f t="array" ref="J238">_xlfn.IFS(AND(A238&gt;NumberOfPlots,ISBLANK(INDEX(PlotData,MATCH($A238,PlotNumber,0),MATCH(B$3,PlotTitles,0)))),"",ISBLANK(INDEX(PlotData,MATCH($A238,PlotNumber,0),MATCH(J$3,PlotTitles,0))),$AB$13,TRUE,"")</f>
        <v/>
      </c>
      <c r="K238" s="182" t="str">
        <f t="shared" ca="1" si="9"/>
        <v/>
      </c>
      <c r="L238" s="104" t="str" cm="1">
        <f t="array" ref="L238">_xlfn.IFS(OR(ISBLANK(StartDateMonth),ISBLANK(StartDateYear)),"",AND(A238&gt;NumberOfPlots,ISBLANK(INDEX(PlotData,MATCH($A238,PlotNumber,0),MATCH(B$3,PlotTitles,0)))),"",ISBLANK(INDEX(PlotData,MATCH($A238,PlotNumber,0),MATCH(I$3,PlotTitles,0))),"",(DATEVALUE(INDEX(PlotData,MATCH($A238,PlotNumber,0),MATCH(I$3,PlotTitles,0))&amp;INDEX(PlotData,MATCH($A238,PlotNumber,0),MATCH(J$3,PlotTitles,0))))&lt;DATEVALUE(StartDateMonth&amp;StartDateYear),$AB$15,TRUE,"")</f>
        <v/>
      </c>
      <c r="M238" s="104" t="str" cm="1">
        <f t="array" ref="M238">_xlfn.IFS(OR(ISBLANK(StartDateMonth),ISBLANK(StartDateYear)),"",AND(A238&gt;NumberOfPlots,ISBLANK(INDEX(PlotData,MATCH($A238,PlotNumber,0),MATCH(B$3,PlotTitles,0)))),"",ISBLANK(INDEX(PlotData,MATCH($A238,PlotNumber,0),MATCH(I$3,PlotTitles,0))),"",CompletionMonth="","",(DATEVALUE(INDEX(PlotData,MATCH($A238,PlotNumber,0),MATCH(I$3,PlotTitles,0))&amp;INDEX(PlotData,MATCH($A238,PlotNumber,0),MATCH(J$3,PlotTitles,0))))&gt;(DATEVALUE(CompletionMonth&amp;CompletionYear)),$AB$16,TRUE,"")</f>
        <v/>
      </c>
      <c r="N238" s="104" t="str" cm="1">
        <f t="array" ref="N238">_xlfn.IFS(AND(A238&gt;NumberOfPlots,ISBLANK(INDEX(PlotData,MATCH($A238,PlotNumber,0),MATCH(B$3,PlotTitles,0)))),"",ISBLANK(INDEX(PlotData,MATCH($A238,PlotNumber,0),MATCH(N$3,PlotTitles,0))),$AB$17,TRUE,"")</f>
        <v/>
      </c>
      <c r="O238" s="104" t="str" cm="1">
        <f t="array" ref="O238">_xlfn.IFS(AND(A238&gt;NumberOfPlots,ISBLANK(INDEX(PlotData,MATCH($A238,PlotNumber,0),MATCH(B$3,PlotTitles,0)))),"",ISBLANK(INDEX(PlotData,MATCH($A238,PlotNumber,0),MATCH(O$3,PlotTitles,0))),$AB$18,TRUE,"")</f>
        <v/>
      </c>
      <c r="P238" s="182" t="str">
        <f t="shared" ca="1" si="10"/>
        <v/>
      </c>
      <c r="Q238" s="104" t="str" cm="1">
        <f t="array" ref="Q238">_xlfn.IFS(AND(A238&gt;NumberOfPlots,ISBLANK(INDEX(PlotData,MATCH($A238,PlotNumber,0),MATCH(B$3,PlotTitles,0)))),"",ISBLANK(INDEX(PlotData,MATCH($A238,PlotNumber,0),MATCH(N$3,PlotTitles,0))),"",(DATEVALUE(INDEX(PlotData,MATCH($A238,PlotNumber,0),MATCH(N$3,PlotTitles,0))&amp;INDEX(PlotData,MATCH($A238,PlotNumber,0),MATCH(O$3,PlotTitles,0))))&lt;(DATEVALUE(INDEX(PlotData,MATCH($A238,PlotNumber,0),MATCH(I$3,PlotTitles,0))&amp;INDEX(PlotData,MATCH($A238,PlotNumber,0),MATCH(J$3,PlotTitles,0)))),$AB$20,TRUE,"")</f>
        <v/>
      </c>
      <c r="R238" s="104" t="str" cm="1">
        <f t="array" ref="R238">_xlfn.IFS(OR(ISBLANK(StartDateMonth),ISBLANK(StartDateYear)),"",AND(A238&gt;NumberOfPlots,ISBLANK(INDEX(PlotData,MATCH($A238,PlotNumber,0),MATCH(B$3,PlotTitles,0)))),"",ISBLANK(INDEX(PlotData,MATCH($A238,PlotNumber,0),MATCH(N$3,PlotTitles,0))),"",CompletionMonth="","",(DATEVALUE(INDEX(PlotData,MATCH($A238,PlotNumber,0),MATCH(N$3,PlotTitles,0))&amp;INDEX(PlotData,MATCH($A238,PlotNumber,0),MATCH(O$3,PlotTitles,0))))&gt;(DATEVALUE(CompletionMonth&amp;CompletionYear)),$AB$21,TRUE,"")</f>
        <v/>
      </c>
      <c r="S238" s="104" t="str" cm="1">
        <f t="array" ref="S238">_xlfn.IFS(AND(A238&gt;NumberOfPlots,ISBLANK(INDEX(PlotData,MATCH($A238,PlotNumber,0),MATCH(B$3,PlotTitles,0)))),"",OR(AND(INDEX(PlotData,MATCH($A238,PlotNumber,0),MATCH("Tenure",PlotTitles,0))="Open market housing",INDEX(PlotData,MATCH($A238,PlotNumber,0),MATCH("Tenure detail",PlotTitles,0))="Private rented sector"),INDEX(PlotData,MATCH($A238,PlotNumber,0),MATCH("Tenure",PlotTitles,0))="Affordable rent"),"",ISNUMBER(INDEX(PlotData,MATCH($A238,PlotNumber,0),MATCH(S$3,PlotTitles,0)))=FALSE, $AB$22,TRUE,"")</f>
        <v/>
      </c>
      <c r="T238" s="104" t="str" cm="1">
        <f t="array" ref="T238">_xlfn.IFS(AND(A238&gt;NumberOfPlots,ISBLANK(INDEX(PlotData,MATCH($A238,PlotNumber,0),MATCH(B$3,PlotTitles,0)))),"",OR(AND(INDEX(PlotData,MATCH($A238,PlotNumber,0),MATCH("Tenure",PlotTitles,0))="Open market housing",INDEX(PlotData,MATCH($A238,PlotNumber,0),MATCH("Tenure detail",PlotTitles,0))="Private rented sector"),INDEX(PlotData,MATCH($A238,PlotNumber,0),MATCH("Tenure",PlotTitles,0))="Affordable rent"),"",INDEX(PlotData,MATCH($A238,PlotNumber,0),MATCH(S$3,PlotTitles,0))&lt;10000, $AB$23,TRUE,"")</f>
        <v/>
      </c>
      <c r="U238" s="104" t="str" cm="1">
        <f t="array" ref="U238">_xlfn.IFS(AND(A238&gt;NumberOfPlots,ISBLANK(INDEX(PlotData,MATCH($A238,PlotNumber,0),MATCH(B$3,PlotTitles,0)))),"",NOT(OR(AND(INDEX(PlotData,MATCH($A238,PlotNumber,0),MATCH("Tenure",PlotTitles,0))="Open market housing",INDEX(PlotData,MATCH($A238,PlotNumber,0),MATCH("Tenure detail",PlotTitles,0))="Private rented sector"),INDEX(PlotData,MATCH($A238,PlotNumber,0),MATCH("Tenure",PlotTitles,0))="Affordable rent")),"",NOT(INDEX(PlotData,MATCH($A238,PlotNumber,0),MATCH(S$3,PlotTitles,0))=0), $AB$24,TRUE,"")</f>
        <v/>
      </c>
      <c r="V238" s="114" t="str" cm="1">
        <f t="array" aca="1" ref="V238" ca="1">_xlfn.IFS(ISBLANK(NumberOfPlots),"Enter the number of homes on the 1_SetUp sheet",AND(A238&gt;NumberOfPlots,ISBLANK(INDEX(PlotData,MATCH($A238,PlotNumber,0),MATCH(B$3,PlotTitles,0)))),"No error",NOT(B238=""),B238,NOT(C238=""),C238,NOT(D238=""),D238,NOT(E238=""),E238,NOT(F238=""),F238,NOT(G238=""),G238,NOT(H238=""),H238,NOT(I238=""),I238,NOT(J238=""),J238,NOT(K238=""),K238,NOT(L238=""),L238,NOT(M238=""),M238,NOT(N238=""),N238,NOT(O238=""),O238,NOT(P238=""),P238,NOT(Q238=""),Q238,NOT(R238=""),R238,NOT(S238=""),S238,NOT(T238=""),T238,NOT(U238=""),U238,TRUE,"No error")</f>
        <v>Enter the number of homes on the 1_SetUp sheet</v>
      </c>
      <c r="W238" s="114" t="str">
        <f t="shared" ca="1" si="11"/>
        <v xml:space="preserve">The Borrower has not addressed the following error messages for Home ID 234: </v>
      </c>
    </row>
    <row r="239" spans="1:23">
      <c r="A239" s="123">
        <v>235</v>
      </c>
      <c r="B239" s="104" t="str" cm="1">
        <f t="array" ref="B239">_xlfn.IFS(AND(A239&gt;NumberOfPlots,ISBLANK(INDEX(PlotData,MATCH($A239,PlotNumber,0),MATCH(B$3,PlotTitles,0)))),"",ISNUMBER(INDEX(PlotData,MATCH($A239,PlotNumber,0),MATCH(B$3,PlotTitles,0)))=FALSE, $AB$5,TRUE,"")</f>
        <v/>
      </c>
      <c r="C239" s="104" t="str" cm="1">
        <f t="array" ref="C239">_xlfn.IFS(AND(A239&gt;NumberOfPlots,ISBLANK(INDEX(PlotData,MATCH($A239,PlotNumber,0),MATCH(B$3,PlotTitles,0)))),"",ISBLANK(INDEX(PlotData,MATCH($A239,PlotNumber,0),MATCH(C$3,PlotTitles,0))),$AB$6,TRUE,"")</f>
        <v/>
      </c>
      <c r="D239" s="104" t="str" cm="1">
        <f t="array" ref="D239">_xlfn.IFS(AND(A239&gt;NumberOfPlots,ISBLANK(INDEX(PlotData,MATCH($A239,PlotNumber,0),MATCH(B$3,PlotTitles,0)))),"",ISBLANK(INDEX(PlotData,MATCH($A239,PlotNumber,0),MATCH(D$3,PlotTitles,0))),$AB$7,TRUE,"")</f>
        <v/>
      </c>
      <c r="E239" s="104" t="str" cm="1">
        <f t="array" ref="E239">_xlfn.IFS(AND(A239&gt;NumberOfPlots,ISBLANK(INDEX(PlotData,MATCH($A239,PlotNumber,0),MATCH(B$3,PlotTitles,0)))),"",ISBLANK(INDEX(PlotData,MATCH($A239,PlotNumber,0),MATCH(E$3,PlotTitles,0))),$AB$8,TRUE,"")</f>
        <v/>
      </c>
      <c r="F239" s="104" t="str" cm="1">
        <f t="array" ref="F239">_xlfn.IFS(AND(A239&gt;NumberOfPlots,ISBLANK(INDEX(PlotData,MATCH($A239,PlotNumber,0),MATCH(B$3,PlotTitles,0)))),"",ISBLANK(INDEX(PlotData,MATCH($A239,PlotNumber,0),MATCH(F$3,PlotTitles,0))),$AB$9,TRUE,"")</f>
        <v/>
      </c>
      <c r="G239" s="104" t="str" cm="1">
        <f t="array" ref="G239">_xlfn.IFS(AND(A239&gt;NumberOfPlots,ISBLANK(INDEX(PlotData,MATCH($A239,PlotNumber,0),MATCH(B$3,PlotTitles,0)))),"",ISBLANK(INDEX(PlotData,MATCH($A239,PlotNumber,0),MATCH(G$3,PlotTitles,0))),$AB$10,TRUE,"")</f>
        <v/>
      </c>
      <c r="H239" s="104" t="str" cm="1">
        <f t="array" ref="H239">_xlfn.IFS(AND(A239&gt;NumberOfPlots,ISBLANK(INDEX(PlotData,MATCH($A239,PlotNumber,0),MATCH(B$3,PlotTitles,0)))),"",AND(ISBLANK(INDEX(PlotData,MATCH($A239,PlotNumber,0),MATCH(H$3,PlotTitles,0)))=FALSE,INDEX(PlotData,MATCH($A239,PlotNumber,0),MATCH(H$3,PlotTitles,0))&lt;500), $AB$11,TRUE,"")</f>
        <v/>
      </c>
      <c r="I239" s="104" t="str" cm="1">
        <f t="array" ref="I239">_xlfn.IFS(AND(A239&gt;NumberOfPlots,ISBLANK(INDEX(PlotData,MATCH($A239,PlotNumber,0),MATCH(B$3,PlotTitles,0)))),"",ISBLANK(INDEX(PlotData,MATCH($A239,PlotNumber,0),MATCH(I$3,PlotTitles,0))),$AB$12,TRUE,"")</f>
        <v/>
      </c>
      <c r="J239" s="104" t="str" cm="1">
        <f t="array" ref="J239">_xlfn.IFS(AND(A239&gt;NumberOfPlots,ISBLANK(INDEX(PlotData,MATCH($A239,PlotNumber,0),MATCH(B$3,PlotTitles,0)))),"",ISBLANK(INDEX(PlotData,MATCH($A239,PlotNumber,0),MATCH(J$3,PlotTitles,0))),$AB$13,TRUE,"")</f>
        <v/>
      </c>
      <c r="K239" s="182" t="str">
        <f t="shared" ca="1" si="9"/>
        <v/>
      </c>
      <c r="L239" s="104" t="str" cm="1">
        <f t="array" ref="L239">_xlfn.IFS(OR(ISBLANK(StartDateMonth),ISBLANK(StartDateYear)),"",AND(A239&gt;NumberOfPlots,ISBLANK(INDEX(PlotData,MATCH($A239,PlotNumber,0),MATCH(B$3,PlotTitles,0)))),"",ISBLANK(INDEX(PlotData,MATCH($A239,PlotNumber,0),MATCH(I$3,PlotTitles,0))),"",(DATEVALUE(INDEX(PlotData,MATCH($A239,PlotNumber,0),MATCH(I$3,PlotTitles,0))&amp;INDEX(PlotData,MATCH($A239,PlotNumber,0),MATCH(J$3,PlotTitles,0))))&lt;DATEVALUE(StartDateMonth&amp;StartDateYear),$AB$15,TRUE,"")</f>
        <v/>
      </c>
      <c r="M239" s="104" t="str" cm="1">
        <f t="array" ref="M239">_xlfn.IFS(OR(ISBLANK(StartDateMonth),ISBLANK(StartDateYear)),"",AND(A239&gt;NumberOfPlots,ISBLANK(INDEX(PlotData,MATCH($A239,PlotNumber,0),MATCH(B$3,PlotTitles,0)))),"",ISBLANK(INDEX(PlotData,MATCH($A239,PlotNumber,0),MATCH(I$3,PlotTitles,0))),"",CompletionMonth="","",(DATEVALUE(INDEX(PlotData,MATCH($A239,PlotNumber,0),MATCH(I$3,PlotTitles,0))&amp;INDEX(PlotData,MATCH($A239,PlotNumber,0),MATCH(J$3,PlotTitles,0))))&gt;(DATEVALUE(CompletionMonth&amp;CompletionYear)),$AB$16,TRUE,"")</f>
        <v/>
      </c>
      <c r="N239" s="104" t="str" cm="1">
        <f t="array" ref="N239">_xlfn.IFS(AND(A239&gt;NumberOfPlots,ISBLANK(INDEX(PlotData,MATCH($A239,PlotNumber,0),MATCH(B$3,PlotTitles,0)))),"",ISBLANK(INDEX(PlotData,MATCH($A239,PlotNumber,0),MATCH(N$3,PlotTitles,0))),$AB$17,TRUE,"")</f>
        <v/>
      </c>
      <c r="O239" s="104" t="str" cm="1">
        <f t="array" ref="O239">_xlfn.IFS(AND(A239&gt;NumberOfPlots,ISBLANK(INDEX(PlotData,MATCH($A239,PlotNumber,0),MATCH(B$3,PlotTitles,0)))),"",ISBLANK(INDEX(PlotData,MATCH($A239,PlotNumber,0),MATCH(O$3,PlotTitles,0))),$AB$18,TRUE,"")</f>
        <v/>
      </c>
      <c r="P239" s="182" t="str">
        <f t="shared" ca="1" si="10"/>
        <v/>
      </c>
      <c r="Q239" s="104" t="str" cm="1">
        <f t="array" ref="Q239">_xlfn.IFS(AND(A239&gt;NumberOfPlots,ISBLANK(INDEX(PlotData,MATCH($A239,PlotNumber,0),MATCH(B$3,PlotTitles,0)))),"",ISBLANK(INDEX(PlotData,MATCH($A239,PlotNumber,0),MATCH(N$3,PlotTitles,0))),"",(DATEVALUE(INDEX(PlotData,MATCH($A239,PlotNumber,0),MATCH(N$3,PlotTitles,0))&amp;INDEX(PlotData,MATCH($A239,PlotNumber,0),MATCH(O$3,PlotTitles,0))))&lt;(DATEVALUE(INDEX(PlotData,MATCH($A239,PlotNumber,0),MATCH(I$3,PlotTitles,0))&amp;INDEX(PlotData,MATCH($A239,PlotNumber,0),MATCH(J$3,PlotTitles,0)))),$AB$20,TRUE,"")</f>
        <v/>
      </c>
      <c r="R239" s="104" t="str" cm="1">
        <f t="array" ref="R239">_xlfn.IFS(OR(ISBLANK(StartDateMonth),ISBLANK(StartDateYear)),"",AND(A239&gt;NumberOfPlots,ISBLANK(INDEX(PlotData,MATCH($A239,PlotNumber,0),MATCH(B$3,PlotTitles,0)))),"",ISBLANK(INDEX(PlotData,MATCH($A239,PlotNumber,0),MATCH(N$3,PlotTitles,0))),"",CompletionMonth="","",(DATEVALUE(INDEX(PlotData,MATCH($A239,PlotNumber,0),MATCH(N$3,PlotTitles,0))&amp;INDEX(PlotData,MATCH($A239,PlotNumber,0),MATCH(O$3,PlotTitles,0))))&gt;(DATEVALUE(CompletionMonth&amp;CompletionYear)),$AB$21,TRUE,"")</f>
        <v/>
      </c>
      <c r="S239" s="104" t="str" cm="1">
        <f t="array" ref="S239">_xlfn.IFS(AND(A239&gt;NumberOfPlots,ISBLANK(INDEX(PlotData,MATCH($A239,PlotNumber,0),MATCH(B$3,PlotTitles,0)))),"",OR(AND(INDEX(PlotData,MATCH($A239,PlotNumber,0),MATCH("Tenure",PlotTitles,0))="Open market housing",INDEX(PlotData,MATCH($A239,PlotNumber,0),MATCH("Tenure detail",PlotTitles,0))="Private rented sector"),INDEX(PlotData,MATCH($A239,PlotNumber,0),MATCH("Tenure",PlotTitles,0))="Affordable rent"),"",ISNUMBER(INDEX(PlotData,MATCH($A239,PlotNumber,0),MATCH(S$3,PlotTitles,0)))=FALSE, $AB$22,TRUE,"")</f>
        <v/>
      </c>
      <c r="T239" s="104" t="str" cm="1">
        <f t="array" ref="T239">_xlfn.IFS(AND(A239&gt;NumberOfPlots,ISBLANK(INDEX(PlotData,MATCH($A239,PlotNumber,0),MATCH(B$3,PlotTitles,0)))),"",OR(AND(INDEX(PlotData,MATCH($A239,PlotNumber,0),MATCH("Tenure",PlotTitles,0))="Open market housing",INDEX(PlotData,MATCH($A239,PlotNumber,0),MATCH("Tenure detail",PlotTitles,0))="Private rented sector"),INDEX(PlotData,MATCH($A239,PlotNumber,0),MATCH("Tenure",PlotTitles,0))="Affordable rent"),"",INDEX(PlotData,MATCH($A239,PlotNumber,0),MATCH(S$3,PlotTitles,0))&lt;10000, $AB$23,TRUE,"")</f>
        <v/>
      </c>
      <c r="U239" s="104" t="str" cm="1">
        <f t="array" ref="U239">_xlfn.IFS(AND(A239&gt;NumberOfPlots,ISBLANK(INDEX(PlotData,MATCH($A239,PlotNumber,0),MATCH(B$3,PlotTitles,0)))),"",NOT(OR(AND(INDEX(PlotData,MATCH($A239,PlotNumber,0),MATCH("Tenure",PlotTitles,0))="Open market housing",INDEX(PlotData,MATCH($A239,PlotNumber,0),MATCH("Tenure detail",PlotTitles,0))="Private rented sector"),INDEX(PlotData,MATCH($A239,PlotNumber,0),MATCH("Tenure",PlotTitles,0))="Affordable rent")),"",NOT(INDEX(PlotData,MATCH($A239,PlotNumber,0),MATCH(S$3,PlotTitles,0))=0), $AB$24,TRUE,"")</f>
        <v/>
      </c>
      <c r="V239" s="114" t="str" cm="1">
        <f t="array" aca="1" ref="V239" ca="1">_xlfn.IFS(ISBLANK(NumberOfPlots),"Enter the number of homes on the 1_SetUp sheet",AND(A239&gt;NumberOfPlots,ISBLANK(INDEX(PlotData,MATCH($A239,PlotNumber,0),MATCH(B$3,PlotTitles,0)))),"No error",NOT(B239=""),B239,NOT(C239=""),C239,NOT(D239=""),D239,NOT(E239=""),E239,NOT(F239=""),F239,NOT(G239=""),G239,NOT(H239=""),H239,NOT(I239=""),I239,NOT(J239=""),J239,NOT(K239=""),K239,NOT(L239=""),L239,NOT(M239=""),M239,NOT(N239=""),N239,NOT(O239=""),O239,NOT(P239=""),P239,NOT(Q239=""),Q239,NOT(R239=""),R239,NOT(S239=""),S239,NOT(T239=""),T239,NOT(U239=""),U239,TRUE,"No error")</f>
        <v>Enter the number of homes on the 1_SetUp sheet</v>
      </c>
      <c r="W239" s="114" t="str">
        <f t="shared" ca="1" si="11"/>
        <v xml:space="preserve">The Borrower has not addressed the following error messages for Home ID 235: </v>
      </c>
    </row>
    <row r="240" spans="1:23">
      <c r="A240" s="123">
        <v>236</v>
      </c>
      <c r="B240" s="104" t="str" cm="1">
        <f t="array" ref="B240">_xlfn.IFS(AND(A240&gt;NumberOfPlots,ISBLANK(INDEX(PlotData,MATCH($A240,PlotNumber,0),MATCH(B$3,PlotTitles,0)))),"",ISNUMBER(INDEX(PlotData,MATCH($A240,PlotNumber,0),MATCH(B$3,PlotTitles,0)))=FALSE, $AB$5,TRUE,"")</f>
        <v/>
      </c>
      <c r="C240" s="104" t="str" cm="1">
        <f t="array" ref="C240">_xlfn.IFS(AND(A240&gt;NumberOfPlots,ISBLANK(INDEX(PlotData,MATCH($A240,PlotNumber,0),MATCH(B$3,PlotTitles,0)))),"",ISBLANK(INDEX(PlotData,MATCH($A240,PlotNumber,0),MATCH(C$3,PlotTitles,0))),$AB$6,TRUE,"")</f>
        <v/>
      </c>
      <c r="D240" s="104" t="str" cm="1">
        <f t="array" ref="D240">_xlfn.IFS(AND(A240&gt;NumberOfPlots,ISBLANK(INDEX(PlotData,MATCH($A240,PlotNumber,0),MATCH(B$3,PlotTitles,0)))),"",ISBLANK(INDEX(PlotData,MATCH($A240,PlotNumber,0),MATCH(D$3,PlotTitles,0))),$AB$7,TRUE,"")</f>
        <v/>
      </c>
      <c r="E240" s="104" t="str" cm="1">
        <f t="array" ref="E240">_xlfn.IFS(AND(A240&gt;NumberOfPlots,ISBLANK(INDEX(PlotData,MATCH($A240,PlotNumber,0),MATCH(B$3,PlotTitles,0)))),"",ISBLANK(INDEX(PlotData,MATCH($A240,PlotNumber,0),MATCH(E$3,PlotTitles,0))),$AB$8,TRUE,"")</f>
        <v/>
      </c>
      <c r="F240" s="104" t="str" cm="1">
        <f t="array" ref="F240">_xlfn.IFS(AND(A240&gt;NumberOfPlots,ISBLANK(INDEX(PlotData,MATCH($A240,PlotNumber,0),MATCH(B$3,PlotTitles,0)))),"",ISBLANK(INDEX(PlotData,MATCH($A240,PlotNumber,0),MATCH(F$3,PlotTitles,0))),$AB$9,TRUE,"")</f>
        <v/>
      </c>
      <c r="G240" s="104" t="str" cm="1">
        <f t="array" ref="G240">_xlfn.IFS(AND(A240&gt;NumberOfPlots,ISBLANK(INDEX(PlotData,MATCH($A240,PlotNumber,0),MATCH(B$3,PlotTitles,0)))),"",ISBLANK(INDEX(PlotData,MATCH($A240,PlotNumber,0),MATCH(G$3,PlotTitles,0))),$AB$10,TRUE,"")</f>
        <v/>
      </c>
      <c r="H240" s="104" t="str" cm="1">
        <f t="array" ref="H240">_xlfn.IFS(AND(A240&gt;NumberOfPlots,ISBLANK(INDEX(PlotData,MATCH($A240,PlotNumber,0),MATCH(B$3,PlotTitles,0)))),"",AND(ISBLANK(INDEX(PlotData,MATCH($A240,PlotNumber,0),MATCH(H$3,PlotTitles,0)))=FALSE,INDEX(PlotData,MATCH($A240,PlotNumber,0),MATCH(H$3,PlotTitles,0))&lt;500), $AB$11,TRUE,"")</f>
        <v/>
      </c>
      <c r="I240" s="104" t="str" cm="1">
        <f t="array" ref="I240">_xlfn.IFS(AND(A240&gt;NumberOfPlots,ISBLANK(INDEX(PlotData,MATCH($A240,PlotNumber,0),MATCH(B$3,PlotTitles,0)))),"",ISBLANK(INDEX(PlotData,MATCH($A240,PlotNumber,0),MATCH(I$3,PlotTitles,0))),$AB$12,TRUE,"")</f>
        <v/>
      </c>
      <c r="J240" s="104" t="str" cm="1">
        <f t="array" ref="J240">_xlfn.IFS(AND(A240&gt;NumberOfPlots,ISBLANK(INDEX(PlotData,MATCH($A240,PlotNumber,0),MATCH(B$3,PlotTitles,0)))),"",ISBLANK(INDEX(PlotData,MATCH($A240,PlotNumber,0),MATCH(J$3,PlotTitles,0))),$AB$13,TRUE,"")</f>
        <v/>
      </c>
      <c r="K240" s="182" t="str">
        <f t="shared" ca="1" si="9"/>
        <v/>
      </c>
      <c r="L240" s="104" t="str" cm="1">
        <f t="array" ref="L240">_xlfn.IFS(OR(ISBLANK(StartDateMonth),ISBLANK(StartDateYear)),"",AND(A240&gt;NumberOfPlots,ISBLANK(INDEX(PlotData,MATCH($A240,PlotNumber,0),MATCH(B$3,PlotTitles,0)))),"",ISBLANK(INDEX(PlotData,MATCH($A240,PlotNumber,0),MATCH(I$3,PlotTitles,0))),"",(DATEVALUE(INDEX(PlotData,MATCH($A240,PlotNumber,0),MATCH(I$3,PlotTitles,0))&amp;INDEX(PlotData,MATCH($A240,PlotNumber,0),MATCH(J$3,PlotTitles,0))))&lt;DATEVALUE(StartDateMonth&amp;StartDateYear),$AB$15,TRUE,"")</f>
        <v/>
      </c>
      <c r="M240" s="104" t="str" cm="1">
        <f t="array" ref="M240">_xlfn.IFS(OR(ISBLANK(StartDateMonth),ISBLANK(StartDateYear)),"",AND(A240&gt;NumberOfPlots,ISBLANK(INDEX(PlotData,MATCH($A240,PlotNumber,0),MATCH(B$3,PlotTitles,0)))),"",ISBLANK(INDEX(PlotData,MATCH($A240,PlotNumber,0),MATCH(I$3,PlotTitles,0))),"",CompletionMonth="","",(DATEVALUE(INDEX(PlotData,MATCH($A240,PlotNumber,0),MATCH(I$3,PlotTitles,0))&amp;INDEX(PlotData,MATCH($A240,PlotNumber,0),MATCH(J$3,PlotTitles,0))))&gt;(DATEVALUE(CompletionMonth&amp;CompletionYear)),$AB$16,TRUE,"")</f>
        <v/>
      </c>
      <c r="N240" s="104" t="str" cm="1">
        <f t="array" ref="N240">_xlfn.IFS(AND(A240&gt;NumberOfPlots,ISBLANK(INDEX(PlotData,MATCH($A240,PlotNumber,0),MATCH(B$3,PlotTitles,0)))),"",ISBLANK(INDEX(PlotData,MATCH($A240,PlotNumber,0),MATCH(N$3,PlotTitles,0))),$AB$17,TRUE,"")</f>
        <v/>
      </c>
      <c r="O240" s="104" t="str" cm="1">
        <f t="array" ref="O240">_xlfn.IFS(AND(A240&gt;NumberOfPlots,ISBLANK(INDEX(PlotData,MATCH($A240,PlotNumber,0),MATCH(B$3,PlotTitles,0)))),"",ISBLANK(INDEX(PlotData,MATCH($A240,PlotNumber,0),MATCH(O$3,PlotTitles,0))),$AB$18,TRUE,"")</f>
        <v/>
      </c>
      <c r="P240" s="182" t="str">
        <f t="shared" ca="1" si="10"/>
        <v/>
      </c>
      <c r="Q240" s="104" t="str" cm="1">
        <f t="array" ref="Q240">_xlfn.IFS(AND(A240&gt;NumberOfPlots,ISBLANK(INDEX(PlotData,MATCH($A240,PlotNumber,0),MATCH(B$3,PlotTitles,0)))),"",ISBLANK(INDEX(PlotData,MATCH($A240,PlotNumber,0),MATCH(N$3,PlotTitles,0))),"",(DATEVALUE(INDEX(PlotData,MATCH($A240,PlotNumber,0),MATCH(N$3,PlotTitles,0))&amp;INDEX(PlotData,MATCH($A240,PlotNumber,0),MATCH(O$3,PlotTitles,0))))&lt;(DATEVALUE(INDEX(PlotData,MATCH($A240,PlotNumber,0),MATCH(I$3,PlotTitles,0))&amp;INDEX(PlotData,MATCH($A240,PlotNumber,0),MATCH(J$3,PlotTitles,0)))),$AB$20,TRUE,"")</f>
        <v/>
      </c>
      <c r="R240" s="104" t="str" cm="1">
        <f t="array" ref="R240">_xlfn.IFS(OR(ISBLANK(StartDateMonth),ISBLANK(StartDateYear)),"",AND(A240&gt;NumberOfPlots,ISBLANK(INDEX(PlotData,MATCH($A240,PlotNumber,0),MATCH(B$3,PlotTitles,0)))),"",ISBLANK(INDEX(PlotData,MATCH($A240,PlotNumber,0),MATCH(N$3,PlotTitles,0))),"",CompletionMonth="","",(DATEVALUE(INDEX(PlotData,MATCH($A240,PlotNumber,0),MATCH(N$3,PlotTitles,0))&amp;INDEX(PlotData,MATCH($A240,PlotNumber,0),MATCH(O$3,PlotTitles,0))))&gt;(DATEVALUE(CompletionMonth&amp;CompletionYear)),$AB$21,TRUE,"")</f>
        <v/>
      </c>
      <c r="S240" s="104" t="str" cm="1">
        <f t="array" ref="S240">_xlfn.IFS(AND(A240&gt;NumberOfPlots,ISBLANK(INDEX(PlotData,MATCH($A240,PlotNumber,0),MATCH(B$3,PlotTitles,0)))),"",OR(AND(INDEX(PlotData,MATCH($A240,PlotNumber,0),MATCH("Tenure",PlotTitles,0))="Open market housing",INDEX(PlotData,MATCH($A240,PlotNumber,0),MATCH("Tenure detail",PlotTitles,0))="Private rented sector"),INDEX(PlotData,MATCH($A240,PlotNumber,0),MATCH("Tenure",PlotTitles,0))="Affordable rent"),"",ISNUMBER(INDEX(PlotData,MATCH($A240,PlotNumber,0),MATCH(S$3,PlotTitles,0)))=FALSE, $AB$22,TRUE,"")</f>
        <v/>
      </c>
      <c r="T240" s="104" t="str" cm="1">
        <f t="array" ref="T240">_xlfn.IFS(AND(A240&gt;NumberOfPlots,ISBLANK(INDEX(PlotData,MATCH($A240,PlotNumber,0),MATCH(B$3,PlotTitles,0)))),"",OR(AND(INDEX(PlotData,MATCH($A240,PlotNumber,0),MATCH("Tenure",PlotTitles,0))="Open market housing",INDEX(PlotData,MATCH($A240,PlotNumber,0),MATCH("Tenure detail",PlotTitles,0))="Private rented sector"),INDEX(PlotData,MATCH($A240,PlotNumber,0),MATCH("Tenure",PlotTitles,0))="Affordable rent"),"",INDEX(PlotData,MATCH($A240,PlotNumber,0),MATCH(S$3,PlotTitles,0))&lt;10000, $AB$23,TRUE,"")</f>
        <v/>
      </c>
      <c r="U240" s="104" t="str" cm="1">
        <f t="array" ref="U240">_xlfn.IFS(AND(A240&gt;NumberOfPlots,ISBLANK(INDEX(PlotData,MATCH($A240,PlotNumber,0),MATCH(B$3,PlotTitles,0)))),"",NOT(OR(AND(INDEX(PlotData,MATCH($A240,PlotNumber,0),MATCH("Tenure",PlotTitles,0))="Open market housing",INDEX(PlotData,MATCH($A240,PlotNumber,0),MATCH("Tenure detail",PlotTitles,0))="Private rented sector"),INDEX(PlotData,MATCH($A240,PlotNumber,0),MATCH("Tenure",PlotTitles,0))="Affordable rent")),"",NOT(INDEX(PlotData,MATCH($A240,PlotNumber,0),MATCH(S$3,PlotTitles,0))=0), $AB$24,TRUE,"")</f>
        <v/>
      </c>
      <c r="V240" s="114" t="str" cm="1">
        <f t="array" aca="1" ref="V240" ca="1">_xlfn.IFS(ISBLANK(NumberOfPlots),"Enter the number of homes on the 1_SetUp sheet",AND(A240&gt;NumberOfPlots,ISBLANK(INDEX(PlotData,MATCH($A240,PlotNumber,0),MATCH(B$3,PlotTitles,0)))),"No error",NOT(B240=""),B240,NOT(C240=""),C240,NOT(D240=""),D240,NOT(E240=""),E240,NOT(F240=""),F240,NOT(G240=""),G240,NOT(H240=""),H240,NOT(I240=""),I240,NOT(J240=""),J240,NOT(K240=""),K240,NOT(L240=""),L240,NOT(M240=""),M240,NOT(N240=""),N240,NOT(O240=""),O240,NOT(P240=""),P240,NOT(Q240=""),Q240,NOT(R240=""),R240,NOT(S240=""),S240,NOT(T240=""),T240,NOT(U240=""),U240,TRUE,"No error")</f>
        <v>Enter the number of homes on the 1_SetUp sheet</v>
      </c>
      <c r="W240" s="114" t="str">
        <f t="shared" ca="1" si="11"/>
        <v xml:space="preserve">The Borrower has not addressed the following error messages for Home ID 236: </v>
      </c>
    </row>
    <row r="241" spans="1:23">
      <c r="A241" s="123">
        <v>237</v>
      </c>
      <c r="B241" s="104" t="str" cm="1">
        <f t="array" ref="B241">_xlfn.IFS(AND(A241&gt;NumberOfPlots,ISBLANK(INDEX(PlotData,MATCH($A241,PlotNumber,0),MATCH(B$3,PlotTitles,0)))),"",ISNUMBER(INDEX(PlotData,MATCH($A241,PlotNumber,0),MATCH(B$3,PlotTitles,0)))=FALSE, $AB$5,TRUE,"")</f>
        <v/>
      </c>
      <c r="C241" s="104" t="str" cm="1">
        <f t="array" ref="C241">_xlfn.IFS(AND(A241&gt;NumberOfPlots,ISBLANK(INDEX(PlotData,MATCH($A241,PlotNumber,0),MATCH(B$3,PlotTitles,0)))),"",ISBLANK(INDEX(PlotData,MATCH($A241,PlotNumber,0),MATCH(C$3,PlotTitles,0))),$AB$6,TRUE,"")</f>
        <v/>
      </c>
      <c r="D241" s="104" t="str" cm="1">
        <f t="array" ref="D241">_xlfn.IFS(AND(A241&gt;NumberOfPlots,ISBLANK(INDEX(PlotData,MATCH($A241,PlotNumber,0),MATCH(B$3,PlotTitles,0)))),"",ISBLANK(INDEX(PlotData,MATCH($A241,PlotNumber,0),MATCH(D$3,PlotTitles,0))),$AB$7,TRUE,"")</f>
        <v/>
      </c>
      <c r="E241" s="104" t="str" cm="1">
        <f t="array" ref="E241">_xlfn.IFS(AND(A241&gt;NumberOfPlots,ISBLANK(INDEX(PlotData,MATCH($A241,PlotNumber,0),MATCH(B$3,PlotTitles,0)))),"",ISBLANK(INDEX(PlotData,MATCH($A241,PlotNumber,0),MATCH(E$3,PlotTitles,0))),$AB$8,TRUE,"")</f>
        <v/>
      </c>
      <c r="F241" s="104" t="str" cm="1">
        <f t="array" ref="F241">_xlfn.IFS(AND(A241&gt;NumberOfPlots,ISBLANK(INDEX(PlotData,MATCH($A241,PlotNumber,0),MATCH(B$3,PlotTitles,0)))),"",ISBLANK(INDEX(PlotData,MATCH($A241,PlotNumber,0),MATCH(F$3,PlotTitles,0))),$AB$9,TRUE,"")</f>
        <v/>
      </c>
      <c r="G241" s="104" t="str" cm="1">
        <f t="array" ref="G241">_xlfn.IFS(AND(A241&gt;NumberOfPlots,ISBLANK(INDEX(PlotData,MATCH($A241,PlotNumber,0),MATCH(B$3,PlotTitles,0)))),"",ISBLANK(INDEX(PlotData,MATCH($A241,PlotNumber,0),MATCH(G$3,PlotTitles,0))),$AB$10,TRUE,"")</f>
        <v/>
      </c>
      <c r="H241" s="104" t="str" cm="1">
        <f t="array" ref="H241">_xlfn.IFS(AND(A241&gt;NumberOfPlots,ISBLANK(INDEX(PlotData,MATCH($A241,PlotNumber,0),MATCH(B$3,PlotTitles,0)))),"",AND(ISBLANK(INDEX(PlotData,MATCH($A241,PlotNumber,0),MATCH(H$3,PlotTitles,0)))=FALSE,INDEX(PlotData,MATCH($A241,PlotNumber,0),MATCH(H$3,PlotTitles,0))&lt;500), $AB$11,TRUE,"")</f>
        <v/>
      </c>
      <c r="I241" s="104" t="str" cm="1">
        <f t="array" ref="I241">_xlfn.IFS(AND(A241&gt;NumberOfPlots,ISBLANK(INDEX(PlotData,MATCH($A241,PlotNumber,0),MATCH(B$3,PlotTitles,0)))),"",ISBLANK(INDEX(PlotData,MATCH($A241,PlotNumber,0),MATCH(I$3,PlotTitles,0))),$AB$12,TRUE,"")</f>
        <v/>
      </c>
      <c r="J241" s="104" t="str" cm="1">
        <f t="array" ref="J241">_xlfn.IFS(AND(A241&gt;NumberOfPlots,ISBLANK(INDEX(PlotData,MATCH($A241,PlotNumber,0),MATCH(B$3,PlotTitles,0)))),"",ISBLANK(INDEX(PlotData,MATCH($A241,PlotNumber,0),MATCH(J$3,PlotTitles,0))),$AB$13,TRUE,"")</f>
        <v/>
      </c>
      <c r="K241" s="182" t="str">
        <f t="shared" ca="1" si="9"/>
        <v/>
      </c>
      <c r="L241" s="104" t="str" cm="1">
        <f t="array" ref="L241">_xlfn.IFS(OR(ISBLANK(StartDateMonth),ISBLANK(StartDateYear)),"",AND(A241&gt;NumberOfPlots,ISBLANK(INDEX(PlotData,MATCH($A241,PlotNumber,0),MATCH(B$3,PlotTitles,0)))),"",ISBLANK(INDEX(PlotData,MATCH($A241,PlotNumber,0),MATCH(I$3,PlotTitles,0))),"",(DATEVALUE(INDEX(PlotData,MATCH($A241,PlotNumber,0),MATCH(I$3,PlotTitles,0))&amp;INDEX(PlotData,MATCH($A241,PlotNumber,0),MATCH(J$3,PlotTitles,0))))&lt;DATEVALUE(StartDateMonth&amp;StartDateYear),$AB$15,TRUE,"")</f>
        <v/>
      </c>
      <c r="M241" s="104" t="str" cm="1">
        <f t="array" ref="M241">_xlfn.IFS(OR(ISBLANK(StartDateMonth),ISBLANK(StartDateYear)),"",AND(A241&gt;NumberOfPlots,ISBLANK(INDEX(PlotData,MATCH($A241,PlotNumber,0),MATCH(B$3,PlotTitles,0)))),"",ISBLANK(INDEX(PlotData,MATCH($A241,PlotNumber,0),MATCH(I$3,PlotTitles,0))),"",CompletionMonth="","",(DATEVALUE(INDEX(PlotData,MATCH($A241,PlotNumber,0),MATCH(I$3,PlotTitles,0))&amp;INDEX(PlotData,MATCH($A241,PlotNumber,0),MATCH(J$3,PlotTitles,0))))&gt;(DATEVALUE(CompletionMonth&amp;CompletionYear)),$AB$16,TRUE,"")</f>
        <v/>
      </c>
      <c r="N241" s="104" t="str" cm="1">
        <f t="array" ref="N241">_xlfn.IFS(AND(A241&gt;NumberOfPlots,ISBLANK(INDEX(PlotData,MATCH($A241,PlotNumber,0),MATCH(B$3,PlotTitles,0)))),"",ISBLANK(INDEX(PlotData,MATCH($A241,PlotNumber,0),MATCH(N$3,PlotTitles,0))),$AB$17,TRUE,"")</f>
        <v/>
      </c>
      <c r="O241" s="104" t="str" cm="1">
        <f t="array" ref="O241">_xlfn.IFS(AND(A241&gt;NumberOfPlots,ISBLANK(INDEX(PlotData,MATCH($A241,PlotNumber,0),MATCH(B$3,PlotTitles,0)))),"",ISBLANK(INDEX(PlotData,MATCH($A241,PlotNumber,0),MATCH(O$3,PlotTitles,0))),$AB$18,TRUE,"")</f>
        <v/>
      </c>
      <c r="P241" s="182" t="str">
        <f t="shared" ca="1" si="10"/>
        <v/>
      </c>
      <c r="Q241" s="104" t="str" cm="1">
        <f t="array" ref="Q241">_xlfn.IFS(AND(A241&gt;NumberOfPlots,ISBLANK(INDEX(PlotData,MATCH($A241,PlotNumber,0),MATCH(B$3,PlotTitles,0)))),"",ISBLANK(INDEX(PlotData,MATCH($A241,PlotNumber,0),MATCH(N$3,PlotTitles,0))),"",(DATEVALUE(INDEX(PlotData,MATCH($A241,PlotNumber,0),MATCH(N$3,PlotTitles,0))&amp;INDEX(PlotData,MATCH($A241,PlotNumber,0),MATCH(O$3,PlotTitles,0))))&lt;(DATEVALUE(INDEX(PlotData,MATCH($A241,PlotNumber,0),MATCH(I$3,PlotTitles,0))&amp;INDEX(PlotData,MATCH($A241,PlotNumber,0),MATCH(J$3,PlotTitles,0)))),$AB$20,TRUE,"")</f>
        <v/>
      </c>
      <c r="R241" s="104" t="str" cm="1">
        <f t="array" ref="R241">_xlfn.IFS(OR(ISBLANK(StartDateMonth),ISBLANK(StartDateYear)),"",AND(A241&gt;NumberOfPlots,ISBLANK(INDEX(PlotData,MATCH($A241,PlotNumber,0),MATCH(B$3,PlotTitles,0)))),"",ISBLANK(INDEX(PlotData,MATCH($A241,PlotNumber,0),MATCH(N$3,PlotTitles,0))),"",CompletionMonth="","",(DATEVALUE(INDEX(PlotData,MATCH($A241,PlotNumber,0),MATCH(N$3,PlotTitles,0))&amp;INDEX(PlotData,MATCH($A241,PlotNumber,0),MATCH(O$3,PlotTitles,0))))&gt;(DATEVALUE(CompletionMonth&amp;CompletionYear)),$AB$21,TRUE,"")</f>
        <v/>
      </c>
      <c r="S241" s="104" t="str" cm="1">
        <f t="array" ref="S241">_xlfn.IFS(AND(A241&gt;NumberOfPlots,ISBLANK(INDEX(PlotData,MATCH($A241,PlotNumber,0),MATCH(B$3,PlotTitles,0)))),"",OR(AND(INDEX(PlotData,MATCH($A241,PlotNumber,0),MATCH("Tenure",PlotTitles,0))="Open market housing",INDEX(PlotData,MATCH($A241,PlotNumber,0),MATCH("Tenure detail",PlotTitles,0))="Private rented sector"),INDEX(PlotData,MATCH($A241,PlotNumber,0),MATCH("Tenure",PlotTitles,0))="Affordable rent"),"",ISNUMBER(INDEX(PlotData,MATCH($A241,PlotNumber,0),MATCH(S$3,PlotTitles,0)))=FALSE, $AB$22,TRUE,"")</f>
        <v/>
      </c>
      <c r="T241" s="104" t="str" cm="1">
        <f t="array" ref="T241">_xlfn.IFS(AND(A241&gt;NumberOfPlots,ISBLANK(INDEX(PlotData,MATCH($A241,PlotNumber,0),MATCH(B$3,PlotTitles,0)))),"",OR(AND(INDEX(PlotData,MATCH($A241,PlotNumber,0),MATCH("Tenure",PlotTitles,0))="Open market housing",INDEX(PlotData,MATCH($A241,PlotNumber,0),MATCH("Tenure detail",PlotTitles,0))="Private rented sector"),INDEX(PlotData,MATCH($A241,PlotNumber,0),MATCH("Tenure",PlotTitles,0))="Affordable rent"),"",INDEX(PlotData,MATCH($A241,PlotNumber,0),MATCH(S$3,PlotTitles,0))&lt;10000, $AB$23,TRUE,"")</f>
        <v/>
      </c>
      <c r="U241" s="104" t="str" cm="1">
        <f t="array" ref="U241">_xlfn.IFS(AND(A241&gt;NumberOfPlots,ISBLANK(INDEX(PlotData,MATCH($A241,PlotNumber,0),MATCH(B$3,PlotTitles,0)))),"",NOT(OR(AND(INDEX(PlotData,MATCH($A241,PlotNumber,0),MATCH("Tenure",PlotTitles,0))="Open market housing",INDEX(PlotData,MATCH($A241,PlotNumber,0),MATCH("Tenure detail",PlotTitles,0))="Private rented sector"),INDEX(PlotData,MATCH($A241,PlotNumber,0),MATCH("Tenure",PlotTitles,0))="Affordable rent")),"",NOT(INDEX(PlotData,MATCH($A241,PlotNumber,0),MATCH(S$3,PlotTitles,0))=0), $AB$24,TRUE,"")</f>
        <v/>
      </c>
      <c r="V241" s="114" t="str" cm="1">
        <f t="array" aca="1" ref="V241" ca="1">_xlfn.IFS(ISBLANK(NumberOfPlots),"Enter the number of homes on the 1_SetUp sheet",AND(A241&gt;NumberOfPlots,ISBLANK(INDEX(PlotData,MATCH($A241,PlotNumber,0),MATCH(B$3,PlotTitles,0)))),"No error",NOT(B241=""),B241,NOT(C241=""),C241,NOT(D241=""),D241,NOT(E241=""),E241,NOT(F241=""),F241,NOT(G241=""),G241,NOT(H241=""),H241,NOT(I241=""),I241,NOT(J241=""),J241,NOT(K241=""),K241,NOT(L241=""),L241,NOT(M241=""),M241,NOT(N241=""),N241,NOT(O241=""),O241,NOT(P241=""),P241,NOT(Q241=""),Q241,NOT(R241=""),R241,NOT(S241=""),S241,NOT(T241=""),T241,NOT(U241=""),U241,TRUE,"No error")</f>
        <v>Enter the number of homes on the 1_SetUp sheet</v>
      </c>
      <c r="W241" s="114" t="str">
        <f t="shared" ca="1" si="11"/>
        <v xml:space="preserve">The Borrower has not addressed the following error messages for Home ID 237: </v>
      </c>
    </row>
    <row r="242" spans="1:23">
      <c r="A242" s="123">
        <v>238</v>
      </c>
      <c r="B242" s="104" t="str" cm="1">
        <f t="array" ref="B242">_xlfn.IFS(AND(A242&gt;NumberOfPlots,ISBLANK(INDEX(PlotData,MATCH($A242,PlotNumber,0),MATCH(B$3,PlotTitles,0)))),"",ISNUMBER(INDEX(PlotData,MATCH($A242,PlotNumber,0),MATCH(B$3,PlotTitles,0)))=FALSE, $AB$5,TRUE,"")</f>
        <v/>
      </c>
      <c r="C242" s="104" t="str" cm="1">
        <f t="array" ref="C242">_xlfn.IFS(AND(A242&gt;NumberOfPlots,ISBLANK(INDEX(PlotData,MATCH($A242,PlotNumber,0),MATCH(B$3,PlotTitles,0)))),"",ISBLANK(INDEX(PlotData,MATCH($A242,PlotNumber,0),MATCH(C$3,PlotTitles,0))),$AB$6,TRUE,"")</f>
        <v/>
      </c>
      <c r="D242" s="104" t="str" cm="1">
        <f t="array" ref="D242">_xlfn.IFS(AND(A242&gt;NumberOfPlots,ISBLANK(INDEX(PlotData,MATCH($A242,PlotNumber,0),MATCH(B$3,PlotTitles,0)))),"",ISBLANK(INDEX(PlotData,MATCH($A242,PlotNumber,0),MATCH(D$3,PlotTitles,0))),$AB$7,TRUE,"")</f>
        <v/>
      </c>
      <c r="E242" s="104" t="str" cm="1">
        <f t="array" ref="E242">_xlfn.IFS(AND(A242&gt;NumberOfPlots,ISBLANK(INDEX(PlotData,MATCH($A242,PlotNumber,0),MATCH(B$3,PlotTitles,0)))),"",ISBLANK(INDEX(PlotData,MATCH($A242,PlotNumber,0),MATCH(E$3,PlotTitles,0))),$AB$8,TRUE,"")</f>
        <v/>
      </c>
      <c r="F242" s="104" t="str" cm="1">
        <f t="array" ref="F242">_xlfn.IFS(AND(A242&gt;NumberOfPlots,ISBLANK(INDEX(PlotData,MATCH($A242,PlotNumber,0),MATCH(B$3,PlotTitles,0)))),"",ISBLANK(INDEX(PlotData,MATCH($A242,PlotNumber,0),MATCH(F$3,PlotTitles,0))),$AB$9,TRUE,"")</f>
        <v/>
      </c>
      <c r="G242" s="104" t="str" cm="1">
        <f t="array" ref="G242">_xlfn.IFS(AND(A242&gt;NumberOfPlots,ISBLANK(INDEX(PlotData,MATCH($A242,PlotNumber,0),MATCH(B$3,PlotTitles,0)))),"",ISBLANK(INDEX(PlotData,MATCH($A242,PlotNumber,0),MATCH(G$3,PlotTitles,0))),$AB$10,TRUE,"")</f>
        <v/>
      </c>
      <c r="H242" s="104" t="str" cm="1">
        <f t="array" ref="H242">_xlfn.IFS(AND(A242&gt;NumberOfPlots,ISBLANK(INDEX(PlotData,MATCH($A242,PlotNumber,0),MATCH(B$3,PlotTitles,0)))),"",AND(ISBLANK(INDEX(PlotData,MATCH($A242,PlotNumber,0),MATCH(H$3,PlotTitles,0)))=FALSE,INDEX(PlotData,MATCH($A242,PlotNumber,0),MATCH(H$3,PlotTitles,0))&lt;500), $AB$11,TRUE,"")</f>
        <v/>
      </c>
      <c r="I242" s="104" t="str" cm="1">
        <f t="array" ref="I242">_xlfn.IFS(AND(A242&gt;NumberOfPlots,ISBLANK(INDEX(PlotData,MATCH($A242,PlotNumber,0),MATCH(B$3,PlotTitles,0)))),"",ISBLANK(INDEX(PlotData,MATCH($A242,PlotNumber,0),MATCH(I$3,PlotTitles,0))),$AB$12,TRUE,"")</f>
        <v/>
      </c>
      <c r="J242" s="104" t="str" cm="1">
        <f t="array" ref="J242">_xlfn.IFS(AND(A242&gt;NumberOfPlots,ISBLANK(INDEX(PlotData,MATCH($A242,PlotNumber,0),MATCH(B$3,PlotTitles,0)))),"",ISBLANK(INDEX(PlotData,MATCH($A242,PlotNumber,0),MATCH(J$3,PlotTitles,0))),$AB$13,TRUE,"")</f>
        <v/>
      </c>
      <c r="K242" s="182" t="str">
        <f t="shared" ca="1" si="9"/>
        <v/>
      </c>
      <c r="L242" s="104" t="str" cm="1">
        <f t="array" ref="L242">_xlfn.IFS(OR(ISBLANK(StartDateMonth),ISBLANK(StartDateYear)),"",AND(A242&gt;NumberOfPlots,ISBLANK(INDEX(PlotData,MATCH($A242,PlotNumber,0),MATCH(B$3,PlotTitles,0)))),"",ISBLANK(INDEX(PlotData,MATCH($A242,PlotNumber,0),MATCH(I$3,PlotTitles,0))),"",(DATEVALUE(INDEX(PlotData,MATCH($A242,PlotNumber,0),MATCH(I$3,PlotTitles,0))&amp;INDEX(PlotData,MATCH($A242,PlotNumber,0),MATCH(J$3,PlotTitles,0))))&lt;DATEVALUE(StartDateMonth&amp;StartDateYear),$AB$15,TRUE,"")</f>
        <v/>
      </c>
      <c r="M242" s="104" t="str" cm="1">
        <f t="array" ref="M242">_xlfn.IFS(OR(ISBLANK(StartDateMonth),ISBLANK(StartDateYear)),"",AND(A242&gt;NumberOfPlots,ISBLANK(INDEX(PlotData,MATCH($A242,PlotNumber,0),MATCH(B$3,PlotTitles,0)))),"",ISBLANK(INDEX(PlotData,MATCH($A242,PlotNumber,0),MATCH(I$3,PlotTitles,0))),"",CompletionMonth="","",(DATEVALUE(INDEX(PlotData,MATCH($A242,PlotNumber,0),MATCH(I$3,PlotTitles,0))&amp;INDEX(PlotData,MATCH($A242,PlotNumber,0),MATCH(J$3,PlotTitles,0))))&gt;(DATEVALUE(CompletionMonth&amp;CompletionYear)),$AB$16,TRUE,"")</f>
        <v/>
      </c>
      <c r="N242" s="104" t="str" cm="1">
        <f t="array" ref="N242">_xlfn.IFS(AND(A242&gt;NumberOfPlots,ISBLANK(INDEX(PlotData,MATCH($A242,PlotNumber,0),MATCH(B$3,PlotTitles,0)))),"",ISBLANK(INDEX(PlotData,MATCH($A242,PlotNumber,0),MATCH(N$3,PlotTitles,0))),$AB$17,TRUE,"")</f>
        <v/>
      </c>
      <c r="O242" s="104" t="str" cm="1">
        <f t="array" ref="O242">_xlfn.IFS(AND(A242&gt;NumberOfPlots,ISBLANK(INDEX(PlotData,MATCH($A242,PlotNumber,0),MATCH(B$3,PlotTitles,0)))),"",ISBLANK(INDEX(PlotData,MATCH($A242,PlotNumber,0),MATCH(O$3,PlotTitles,0))),$AB$18,TRUE,"")</f>
        <v/>
      </c>
      <c r="P242" s="182" t="str">
        <f t="shared" ca="1" si="10"/>
        <v/>
      </c>
      <c r="Q242" s="104" t="str" cm="1">
        <f t="array" ref="Q242">_xlfn.IFS(AND(A242&gt;NumberOfPlots,ISBLANK(INDEX(PlotData,MATCH($A242,PlotNumber,0),MATCH(B$3,PlotTitles,0)))),"",ISBLANK(INDEX(PlotData,MATCH($A242,PlotNumber,0),MATCH(N$3,PlotTitles,0))),"",(DATEVALUE(INDEX(PlotData,MATCH($A242,PlotNumber,0),MATCH(N$3,PlotTitles,0))&amp;INDEX(PlotData,MATCH($A242,PlotNumber,0),MATCH(O$3,PlotTitles,0))))&lt;(DATEVALUE(INDEX(PlotData,MATCH($A242,PlotNumber,0),MATCH(I$3,PlotTitles,0))&amp;INDEX(PlotData,MATCH($A242,PlotNumber,0),MATCH(J$3,PlotTitles,0)))),$AB$20,TRUE,"")</f>
        <v/>
      </c>
      <c r="R242" s="104" t="str" cm="1">
        <f t="array" ref="R242">_xlfn.IFS(OR(ISBLANK(StartDateMonth),ISBLANK(StartDateYear)),"",AND(A242&gt;NumberOfPlots,ISBLANK(INDEX(PlotData,MATCH($A242,PlotNumber,0),MATCH(B$3,PlotTitles,0)))),"",ISBLANK(INDEX(PlotData,MATCH($A242,PlotNumber,0),MATCH(N$3,PlotTitles,0))),"",CompletionMonth="","",(DATEVALUE(INDEX(PlotData,MATCH($A242,PlotNumber,0),MATCH(N$3,PlotTitles,0))&amp;INDEX(PlotData,MATCH($A242,PlotNumber,0),MATCH(O$3,PlotTitles,0))))&gt;(DATEVALUE(CompletionMonth&amp;CompletionYear)),$AB$21,TRUE,"")</f>
        <v/>
      </c>
      <c r="S242" s="104" t="str" cm="1">
        <f t="array" ref="S242">_xlfn.IFS(AND(A242&gt;NumberOfPlots,ISBLANK(INDEX(PlotData,MATCH($A242,PlotNumber,0),MATCH(B$3,PlotTitles,0)))),"",OR(AND(INDEX(PlotData,MATCH($A242,PlotNumber,0),MATCH("Tenure",PlotTitles,0))="Open market housing",INDEX(PlotData,MATCH($A242,PlotNumber,0),MATCH("Tenure detail",PlotTitles,0))="Private rented sector"),INDEX(PlotData,MATCH($A242,PlotNumber,0),MATCH("Tenure",PlotTitles,0))="Affordable rent"),"",ISNUMBER(INDEX(PlotData,MATCH($A242,PlotNumber,0),MATCH(S$3,PlotTitles,0)))=FALSE, $AB$22,TRUE,"")</f>
        <v/>
      </c>
      <c r="T242" s="104" t="str" cm="1">
        <f t="array" ref="T242">_xlfn.IFS(AND(A242&gt;NumberOfPlots,ISBLANK(INDEX(PlotData,MATCH($A242,PlotNumber,0),MATCH(B$3,PlotTitles,0)))),"",OR(AND(INDEX(PlotData,MATCH($A242,PlotNumber,0),MATCH("Tenure",PlotTitles,0))="Open market housing",INDEX(PlotData,MATCH($A242,PlotNumber,0),MATCH("Tenure detail",PlotTitles,0))="Private rented sector"),INDEX(PlotData,MATCH($A242,PlotNumber,0),MATCH("Tenure",PlotTitles,0))="Affordable rent"),"",INDEX(PlotData,MATCH($A242,PlotNumber,0),MATCH(S$3,PlotTitles,0))&lt;10000, $AB$23,TRUE,"")</f>
        <v/>
      </c>
      <c r="U242" s="104" t="str" cm="1">
        <f t="array" ref="U242">_xlfn.IFS(AND(A242&gt;NumberOfPlots,ISBLANK(INDEX(PlotData,MATCH($A242,PlotNumber,0),MATCH(B$3,PlotTitles,0)))),"",NOT(OR(AND(INDEX(PlotData,MATCH($A242,PlotNumber,0),MATCH("Tenure",PlotTitles,0))="Open market housing",INDEX(PlotData,MATCH($A242,PlotNumber,0),MATCH("Tenure detail",PlotTitles,0))="Private rented sector"),INDEX(PlotData,MATCH($A242,PlotNumber,0),MATCH("Tenure",PlotTitles,0))="Affordable rent")),"",NOT(INDEX(PlotData,MATCH($A242,PlotNumber,0),MATCH(S$3,PlotTitles,0))=0), $AB$24,TRUE,"")</f>
        <v/>
      </c>
      <c r="V242" s="114" t="str" cm="1">
        <f t="array" aca="1" ref="V242" ca="1">_xlfn.IFS(ISBLANK(NumberOfPlots),"Enter the number of homes on the 1_SetUp sheet",AND(A242&gt;NumberOfPlots,ISBLANK(INDEX(PlotData,MATCH($A242,PlotNumber,0),MATCH(B$3,PlotTitles,0)))),"No error",NOT(B242=""),B242,NOT(C242=""),C242,NOT(D242=""),D242,NOT(E242=""),E242,NOT(F242=""),F242,NOT(G242=""),G242,NOT(H242=""),H242,NOT(I242=""),I242,NOT(J242=""),J242,NOT(K242=""),K242,NOT(L242=""),L242,NOT(M242=""),M242,NOT(N242=""),N242,NOT(O242=""),O242,NOT(P242=""),P242,NOT(Q242=""),Q242,NOT(R242=""),R242,NOT(S242=""),S242,NOT(T242=""),T242,NOT(U242=""),U242,TRUE,"No error")</f>
        <v>Enter the number of homes on the 1_SetUp sheet</v>
      </c>
      <c r="W242" s="114" t="str">
        <f t="shared" ca="1" si="11"/>
        <v xml:space="preserve">The Borrower has not addressed the following error messages for Home ID 238: </v>
      </c>
    </row>
    <row r="243" spans="1:23">
      <c r="A243" s="123">
        <v>239</v>
      </c>
      <c r="B243" s="104" t="str" cm="1">
        <f t="array" ref="B243">_xlfn.IFS(AND(A243&gt;NumberOfPlots,ISBLANK(INDEX(PlotData,MATCH($A243,PlotNumber,0),MATCH(B$3,PlotTitles,0)))),"",ISNUMBER(INDEX(PlotData,MATCH($A243,PlotNumber,0),MATCH(B$3,PlotTitles,0)))=FALSE, $AB$5,TRUE,"")</f>
        <v/>
      </c>
      <c r="C243" s="104" t="str" cm="1">
        <f t="array" ref="C243">_xlfn.IFS(AND(A243&gt;NumberOfPlots,ISBLANK(INDEX(PlotData,MATCH($A243,PlotNumber,0),MATCH(B$3,PlotTitles,0)))),"",ISBLANK(INDEX(PlotData,MATCH($A243,PlotNumber,0),MATCH(C$3,PlotTitles,0))),$AB$6,TRUE,"")</f>
        <v/>
      </c>
      <c r="D243" s="104" t="str" cm="1">
        <f t="array" ref="D243">_xlfn.IFS(AND(A243&gt;NumberOfPlots,ISBLANK(INDEX(PlotData,MATCH($A243,PlotNumber,0),MATCH(B$3,PlotTitles,0)))),"",ISBLANK(INDEX(PlotData,MATCH($A243,PlotNumber,0),MATCH(D$3,PlotTitles,0))),$AB$7,TRUE,"")</f>
        <v/>
      </c>
      <c r="E243" s="104" t="str" cm="1">
        <f t="array" ref="E243">_xlfn.IFS(AND(A243&gt;NumberOfPlots,ISBLANK(INDEX(PlotData,MATCH($A243,PlotNumber,0),MATCH(B$3,PlotTitles,0)))),"",ISBLANK(INDEX(PlotData,MATCH($A243,PlotNumber,0),MATCH(E$3,PlotTitles,0))),$AB$8,TRUE,"")</f>
        <v/>
      </c>
      <c r="F243" s="104" t="str" cm="1">
        <f t="array" ref="F243">_xlfn.IFS(AND(A243&gt;NumberOfPlots,ISBLANK(INDEX(PlotData,MATCH($A243,PlotNumber,0),MATCH(B$3,PlotTitles,0)))),"",ISBLANK(INDEX(PlotData,MATCH($A243,PlotNumber,0),MATCH(F$3,PlotTitles,0))),$AB$9,TRUE,"")</f>
        <v/>
      </c>
      <c r="G243" s="104" t="str" cm="1">
        <f t="array" ref="G243">_xlfn.IFS(AND(A243&gt;NumberOfPlots,ISBLANK(INDEX(PlotData,MATCH($A243,PlotNumber,0),MATCH(B$3,PlotTitles,0)))),"",ISBLANK(INDEX(PlotData,MATCH($A243,PlotNumber,0),MATCH(G$3,PlotTitles,0))),$AB$10,TRUE,"")</f>
        <v/>
      </c>
      <c r="H243" s="104" t="str" cm="1">
        <f t="array" ref="H243">_xlfn.IFS(AND(A243&gt;NumberOfPlots,ISBLANK(INDEX(PlotData,MATCH($A243,PlotNumber,0),MATCH(B$3,PlotTitles,0)))),"",AND(ISBLANK(INDEX(PlotData,MATCH($A243,PlotNumber,0),MATCH(H$3,PlotTitles,0)))=FALSE,INDEX(PlotData,MATCH($A243,PlotNumber,0),MATCH(H$3,PlotTitles,0))&lt;500), $AB$11,TRUE,"")</f>
        <v/>
      </c>
      <c r="I243" s="104" t="str" cm="1">
        <f t="array" ref="I243">_xlfn.IFS(AND(A243&gt;NumberOfPlots,ISBLANK(INDEX(PlotData,MATCH($A243,PlotNumber,0),MATCH(B$3,PlotTitles,0)))),"",ISBLANK(INDEX(PlotData,MATCH($A243,PlotNumber,0),MATCH(I$3,PlotTitles,0))),$AB$12,TRUE,"")</f>
        <v/>
      </c>
      <c r="J243" s="104" t="str" cm="1">
        <f t="array" ref="J243">_xlfn.IFS(AND(A243&gt;NumberOfPlots,ISBLANK(INDEX(PlotData,MATCH($A243,PlotNumber,0),MATCH(B$3,PlotTitles,0)))),"",ISBLANK(INDEX(PlotData,MATCH($A243,PlotNumber,0),MATCH(J$3,PlotTitles,0))),$AB$13,TRUE,"")</f>
        <v/>
      </c>
      <c r="K243" s="182" t="str">
        <f t="shared" ca="1" si="9"/>
        <v/>
      </c>
      <c r="L243" s="104" t="str" cm="1">
        <f t="array" ref="L243">_xlfn.IFS(OR(ISBLANK(StartDateMonth),ISBLANK(StartDateYear)),"",AND(A243&gt;NumberOfPlots,ISBLANK(INDEX(PlotData,MATCH($A243,PlotNumber,0),MATCH(B$3,PlotTitles,0)))),"",ISBLANK(INDEX(PlotData,MATCH($A243,PlotNumber,0),MATCH(I$3,PlotTitles,0))),"",(DATEVALUE(INDEX(PlotData,MATCH($A243,PlotNumber,0),MATCH(I$3,PlotTitles,0))&amp;INDEX(PlotData,MATCH($A243,PlotNumber,0),MATCH(J$3,PlotTitles,0))))&lt;DATEVALUE(StartDateMonth&amp;StartDateYear),$AB$15,TRUE,"")</f>
        <v/>
      </c>
      <c r="M243" s="104" t="str" cm="1">
        <f t="array" ref="M243">_xlfn.IFS(OR(ISBLANK(StartDateMonth),ISBLANK(StartDateYear)),"",AND(A243&gt;NumberOfPlots,ISBLANK(INDEX(PlotData,MATCH($A243,PlotNumber,0),MATCH(B$3,PlotTitles,0)))),"",ISBLANK(INDEX(PlotData,MATCH($A243,PlotNumber,0),MATCH(I$3,PlotTitles,0))),"",CompletionMonth="","",(DATEVALUE(INDEX(PlotData,MATCH($A243,PlotNumber,0),MATCH(I$3,PlotTitles,0))&amp;INDEX(PlotData,MATCH($A243,PlotNumber,0),MATCH(J$3,PlotTitles,0))))&gt;(DATEVALUE(CompletionMonth&amp;CompletionYear)),$AB$16,TRUE,"")</f>
        <v/>
      </c>
      <c r="N243" s="104" t="str" cm="1">
        <f t="array" ref="N243">_xlfn.IFS(AND(A243&gt;NumberOfPlots,ISBLANK(INDEX(PlotData,MATCH($A243,PlotNumber,0),MATCH(B$3,PlotTitles,0)))),"",ISBLANK(INDEX(PlotData,MATCH($A243,PlotNumber,0),MATCH(N$3,PlotTitles,0))),$AB$17,TRUE,"")</f>
        <v/>
      </c>
      <c r="O243" s="104" t="str" cm="1">
        <f t="array" ref="O243">_xlfn.IFS(AND(A243&gt;NumberOfPlots,ISBLANK(INDEX(PlotData,MATCH($A243,PlotNumber,0),MATCH(B$3,PlotTitles,0)))),"",ISBLANK(INDEX(PlotData,MATCH($A243,PlotNumber,0),MATCH(O$3,PlotTitles,0))),$AB$18,TRUE,"")</f>
        <v/>
      </c>
      <c r="P243" s="182" t="str">
        <f t="shared" ca="1" si="10"/>
        <v/>
      </c>
      <c r="Q243" s="104" t="str" cm="1">
        <f t="array" ref="Q243">_xlfn.IFS(AND(A243&gt;NumberOfPlots,ISBLANK(INDEX(PlotData,MATCH($A243,PlotNumber,0),MATCH(B$3,PlotTitles,0)))),"",ISBLANK(INDEX(PlotData,MATCH($A243,PlotNumber,0),MATCH(N$3,PlotTitles,0))),"",(DATEVALUE(INDEX(PlotData,MATCH($A243,PlotNumber,0),MATCH(N$3,PlotTitles,0))&amp;INDEX(PlotData,MATCH($A243,PlotNumber,0),MATCH(O$3,PlotTitles,0))))&lt;(DATEVALUE(INDEX(PlotData,MATCH($A243,PlotNumber,0),MATCH(I$3,PlotTitles,0))&amp;INDEX(PlotData,MATCH($A243,PlotNumber,0),MATCH(J$3,PlotTitles,0)))),$AB$20,TRUE,"")</f>
        <v/>
      </c>
      <c r="R243" s="104" t="str" cm="1">
        <f t="array" ref="R243">_xlfn.IFS(OR(ISBLANK(StartDateMonth),ISBLANK(StartDateYear)),"",AND(A243&gt;NumberOfPlots,ISBLANK(INDEX(PlotData,MATCH($A243,PlotNumber,0),MATCH(B$3,PlotTitles,0)))),"",ISBLANK(INDEX(PlotData,MATCH($A243,PlotNumber,0),MATCH(N$3,PlotTitles,0))),"",CompletionMonth="","",(DATEVALUE(INDEX(PlotData,MATCH($A243,PlotNumber,0),MATCH(N$3,PlotTitles,0))&amp;INDEX(PlotData,MATCH($A243,PlotNumber,0),MATCH(O$3,PlotTitles,0))))&gt;(DATEVALUE(CompletionMonth&amp;CompletionYear)),$AB$21,TRUE,"")</f>
        <v/>
      </c>
      <c r="S243" s="104" t="str" cm="1">
        <f t="array" ref="S243">_xlfn.IFS(AND(A243&gt;NumberOfPlots,ISBLANK(INDEX(PlotData,MATCH($A243,PlotNumber,0),MATCH(B$3,PlotTitles,0)))),"",OR(AND(INDEX(PlotData,MATCH($A243,PlotNumber,0),MATCH("Tenure",PlotTitles,0))="Open market housing",INDEX(PlotData,MATCH($A243,PlotNumber,0),MATCH("Tenure detail",PlotTitles,0))="Private rented sector"),INDEX(PlotData,MATCH($A243,PlotNumber,0),MATCH("Tenure",PlotTitles,0))="Affordable rent"),"",ISNUMBER(INDEX(PlotData,MATCH($A243,PlotNumber,0),MATCH(S$3,PlotTitles,0)))=FALSE, $AB$22,TRUE,"")</f>
        <v/>
      </c>
      <c r="T243" s="104" t="str" cm="1">
        <f t="array" ref="T243">_xlfn.IFS(AND(A243&gt;NumberOfPlots,ISBLANK(INDEX(PlotData,MATCH($A243,PlotNumber,0),MATCH(B$3,PlotTitles,0)))),"",OR(AND(INDEX(PlotData,MATCH($A243,PlotNumber,0),MATCH("Tenure",PlotTitles,0))="Open market housing",INDEX(PlotData,MATCH($A243,PlotNumber,0),MATCH("Tenure detail",PlotTitles,0))="Private rented sector"),INDEX(PlotData,MATCH($A243,PlotNumber,0),MATCH("Tenure",PlotTitles,0))="Affordable rent"),"",INDEX(PlotData,MATCH($A243,PlotNumber,0),MATCH(S$3,PlotTitles,0))&lt;10000, $AB$23,TRUE,"")</f>
        <v/>
      </c>
      <c r="U243" s="104" t="str" cm="1">
        <f t="array" ref="U243">_xlfn.IFS(AND(A243&gt;NumberOfPlots,ISBLANK(INDEX(PlotData,MATCH($A243,PlotNumber,0),MATCH(B$3,PlotTitles,0)))),"",NOT(OR(AND(INDEX(PlotData,MATCH($A243,PlotNumber,0),MATCH("Tenure",PlotTitles,0))="Open market housing",INDEX(PlotData,MATCH($A243,PlotNumber,0),MATCH("Tenure detail",PlotTitles,0))="Private rented sector"),INDEX(PlotData,MATCH($A243,PlotNumber,0),MATCH("Tenure",PlotTitles,0))="Affordable rent")),"",NOT(INDEX(PlotData,MATCH($A243,PlotNumber,0),MATCH(S$3,PlotTitles,0))=0), $AB$24,TRUE,"")</f>
        <v/>
      </c>
      <c r="V243" s="114" t="str" cm="1">
        <f t="array" aca="1" ref="V243" ca="1">_xlfn.IFS(ISBLANK(NumberOfPlots),"Enter the number of homes on the 1_SetUp sheet",AND(A243&gt;NumberOfPlots,ISBLANK(INDEX(PlotData,MATCH($A243,PlotNumber,0),MATCH(B$3,PlotTitles,0)))),"No error",NOT(B243=""),B243,NOT(C243=""),C243,NOT(D243=""),D243,NOT(E243=""),E243,NOT(F243=""),F243,NOT(G243=""),G243,NOT(H243=""),H243,NOT(I243=""),I243,NOT(J243=""),J243,NOT(K243=""),K243,NOT(L243=""),L243,NOT(M243=""),M243,NOT(N243=""),N243,NOT(O243=""),O243,NOT(P243=""),P243,NOT(Q243=""),Q243,NOT(R243=""),R243,NOT(S243=""),S243,NOT(T243=""),T243,NOT(U243=""),U243,TRUE,"No error")</f>
        <v>Enter the number of homes on the 1_SetUp sheet</v>
      </c>
      <c r="W243" s="114" t="str">
        <f t="shared" ca="1" si="11"/>
        <v xml:space="preserve">The Borrower has not addressed the following error messages for Home ID 239: </v>
      </c>
    </row>
    <row r="244" spans="1:23">
      <c r="A244" s="123">
        <v>240</v>
      </c>
      <c r="B244" s="104" t="str" cm="1">
        <f t="array" ref="B244">_xlfn.IFS(AND(A244&gt;NumberOfPlots,ISBLANK(INDEX(PlotData,MATCH($A244,PlotNumber,0),MATCH(B$3,PlotTitles,0)))),"",ISNUMBER(INDEX(PlotData,MATCH($A244,PlotNumber,0),MATCH(B$3,PlotTitles,0)))=FALSE, $AB$5,TRUE,"")</f>
        <v/>
      </c>
      <c r="C244" s="104" t="str" cm="1">
        <f t="array" ref="C244">_xlfn.IFS(AND(A244&gt;NumberOfPlots,ISBLANK(INDEX(PlotData,MATCH($A244,PlotNumber,0),MATCH(B$3,PlotTitles,0)))),"",ISBLANK(INDEX(PlotData,MATCH($A244,PlotNumber,0),MATCH(C$3,PlotTitles,0))),$AB$6,TRUE,"")</f>
        <v/>
      </c>
      <c r="D244" s="104" t="str" cm="1">
        <f t="array" ref="D244">_xlfn.IFS(AND(A244&gt;NumberOfPlots,ISBLANK(INDEX(PlotData,MATCH($A244,PlotNumber,0),MATCH(B$3,PlotTitles,0)))),"",ISBLANK(INDEX(PlotData,MATCH($A244,PlotNumber,0),MATCH(D$3,PlotTitles,0))),$AB$7,TRUE,"")</f>
        <v/>
      </c>
      <c r="E244" s="104" t="str" cm="1">
        <f t="array" ref="E244">_xlfn.IFS(AND(A244&gt;NumberOfPlots,ISBLANK(INDEX(PlotData,MATCH($A244,PlotNumber,0),MATCH(B$3,PlotTitles,0)))),"",ISBLANK(INDEX(PlotData,MATCH($A244,PlotNumber,0),MATCH(E$3,PlotTitles,0))),$AB$8,TRUE,"")</f>
        <v/>
      </c>
      <c r="F244" s="104" t="str" cm="1">
        <f t="array" ref="F244">_xlfn.IFS(AND(A244&gt;NumberOfPlots,ISBLANK(INDEX(PlotData,MATCH($A244,PlotNumber,0),MATCH(B$3,PlotTitles,0)))),"",ISBLANK(INDEX(PlotData,MATCH($A244,PlotNumber,0),MATCH(F$3,PlotTitles,0))),$AB$9,TRUE,"")</f>
        <v/>
      </c>
      <c r="G244" s="104" t="str" cm="1">
        <f t="array" ref="G244">_xlfn.IFS(AND(A244&gt;NumberOfPlots,ISBLANK(INDEX(PlotData,MATCH($A244,PlotNumber,0),MATCH(B$3,PlotTitles,0)))),"",ISBLANK(INDEX(PlotData,MATCH($A244,PlotNumber,0),MATCH(G$3,PlotTitles,0))),$AB$10,TRUE,"")</f>
        <v/>
      </c>
      <c r="H244" s="104" t="str" cm="1">
        <f t="array" ref="H244">_xlfn.IFS(AND(A244&gt;NumberOfPlots,ISBLANK(INDEX(PlotData,MATCH($A244,PlotNumber,0),MATCH(B$3,PlotTitles,0)))),"",AND(ISBLANK(INDEX(PlotData,MATCH($A244,PlotNumber,0),MATCH(H$3,PlotTitles,0)))=FALSE,INDEX(PlotData,MATCH($A244,PlotNumber,0),MATCH(H$3,PlotTitles,0))&lt;500), $AB$11,TRUE,"")</f>
        <v/>
      </c>
      <c r="I244" s="104" t="str" cm="1">
        <f t="array" ref="I244">_xlfn.IFS(AND(A244&gt;NumberOfPlots,ISBLANK(INDEX(PlotData,MATCH($A244,PlotNumber,0),MATCH(B$3,PlotTitles,0)))),"",ISBLANK(INDEX(PlotData,MATCH($A244,PlotNumber,0),MATCH(I$3,PlotTitles,0))),$AB$12,TRUE,"")</f>
        <v/>
      </c>
      <c r="J244" s="104" t="str" cm="1">
        <f t="array" ref="J244">_xlfn.IFS(AND(A244&gt;NumberOfPlots,ISBLANK(INDEX(PlotData,MATCH($A244,PlotNumber,0),MATCH(B$3,PlotTitles,0)))),"",ISBLANK(INDEX(PlotData,MATCH($A244,PlotNumber,0),MATCH(J$3,PlotTitles,0))),$AB$13,TRUE,"")</f>
        <v/>
      </c>
      <c r="K244" s="182" t="str">
        <f t="shared" ca="1" si="9"/>
        <v/>
      </c>
      <c r="L244" s="104" t="str" cm="1">
        <f t="array" ref="L244">_xlfn.IFS(OR(ISBLANK(StartDateMonth),ISBLANK(StartDateYear)),"",AND(A244&gt;NumberOfPlots,ISBLANK(INDEX(PlotData,MATCH($A244,PlotNumber,0),MATCH(B$3,PlotTitles,0)))),"",ISBLANK(INDEX(PlotData,MATCH($A244,PlotNumber,0),MATCH(I$3,PlotTitles,0))),"",(DATEVALUE(INDEX(PlotData,MATCH($A244,PlotNumber,0),MATCH(I$3,PlotTitles,0))&amp;INDEX(PlotData,MATCH($A244,PlotNumber,0),MATCH(J$3,PlotTitles,0))))&lt;DATEVALUE(StartDateMonth&amp;StartDateYear),$AB$15,TRUE,"")</f>
        <v/>
      </c>
      <c r="M244" s="104" t="str" cm="1">
        <f t="array" ref="M244">_xlfn.IFS(OR(ISBLANK(StartDateMonth),ISBLANK(StartDateYear)),"",AND(A244&gt;NumberOfPlots,ISBLANK(INDEX(PlotData,MATCH($A244,PlotNumber,0),MATCH(B$3,PlotTitles,0)))),"",ISBLANK(INDEX(PlotData,MATCH($A244,PlotNumber,0),MATCH(I$3,PlotTitles,0))),"",CompletionMonth="","",(DATEVALUE(INDEX(PlotData,MATCH($A244,PlotNumber,0),MATCH(I$3,PlotTitles,0))&amp;INDEX(PlotData,MATCH($A244,PlotNumber,0),MATCH(J$3,PlotTitles,0))))&gt;(DATEVALUE(CompletionMonth&amp;CompletionYear)),$AB$16,TRUE,"")</f>
        <v/>
      </c>
      <c r="N244" s="104" t="str" cm="1">
        <f t="array" ref="N244">_xlfn.IFS(AND(A244&gt;NumberOfPlots,ISBLANK(INDEX(PlotData,MATCH($A244,PlotNumber,0),MATCH(B$3,PlotTitles,0)))),"",ISBLANK(INDEX(PlotData,MATCH($A244,PlotNumber,0),MATCH(N$3,PlotTitles,0))),$AB$17,TRUE,"")</f>
        <v/>
      </c>
      <c r="O244" s="104" t="str" cm="1">
        <f t="array" ref="O244">_xlfn.IFS(AND(A244&gt;NumberOfPlots,ISBLANK(INDEX(PlotData,MATCH($A244,PlotNumber,0),MATCH(B$3,PlotTitles,0)))),"",ISBLANK(INDEX(PlotData,MATCH($A244,PlotNumber,0),MATCH(O$3,PlotTitles,0))),$AB$18,TRUE,"")</f>
        <v/>
      </c>
      <c r="P244" s="182" t="str">
        <f t="shared" ca="1" si="10"/>
        <v/>
      </c>
      <c r="Q244" s="104" t="str" cm="1">
        <f t="array" ref="Q244">_xlfn.IFS(AND(A244&gt;NumberOfPlots,ISBLANK(INDEX(PlotData,MATCH($A244,PlotNumber,0),MATCH(B$3,PlotTitles,0)))),"",ISBLANK(INDEX(PlotData,MATCH($A244,PlotNumber,0),MATCH(N$3,PlotTitles,0))),"",(DATEVALUE(INDEX(PlotData,MATCH($A244,PlotNumber,0),MATCH(N$3,PlotTitles,0))&amp;INDEX(PlotData,MATCH($A244,PlotNumber,0),MATCH(O$3,PlotTitles,0))))&lt;(DATEVALUE(INDEX(PlotData,MATCH($A244,PlotNumber,0),MATCH(I$3,PlotTitles,0))&amp;INDEX(PlotData,MATCH($A244,PlotNumber,0),MATCH(J$3,PlotTitles,0)))),$AB$20,TRUE,"")</f>
        <v/>
      </c>
      <c r="R244" s="104" t="str" cm="1">
        <f t="array" ref="R244">_xlfn.IFS(OR(ISBLANK(StartDateMonth),ISBLANK(StartDateYear)),"",AND(A244&gt;NumberOfPlots,ISBLANK(INDEX(PlotData,MATCH($A244,PlotNumber,0),MATCH(B$3,PlotTitles,0)))),"",ISBLANK(INDEX(PlotData,MATCH($A244,PlotNumber,0),MATCH(N$3,PlotTitles,0))),"",CompletionMonth="","",(DATEVALUE(INDEX(PlotData,MATCH($A244,PlotNumber,0),MATCH(N$3,PlotTitles,0))&amp;INDEX(PlotData,MATCH($A244,PlotNumber,0),MATCH(O$3,PlotTitles,0))))&gt;(DATEVALUE(CompletionMonth&amp;CompletionYear)),$AB$21,TRUE,"")</f>
        <v/>
      </c>
      <c r="S244" s="104" t="str" cm="1">
        <f t="array" ref="S244">_xlfn.IFS(AND(A244&gt;NumberOfPlots,ISBLANK(INDEX(PlotData,MATCH($A244,PlotNumber,0),MATCH(B$3,PlotTitles,0)))),"",OR(AND(INDEX(PlotData,MATCH($A244,PlotNumber,0),MATCH("Tenure",PlotTitles,0))="Open market housing",INDEX(PlotData,MATCH($A244,PlotNumber,0),MATCH("Tenure detail",PlotTitles,0))="Private rented sector"),INDEX(PlotData,MATCH($A244,PlotNumber,0),MATCH("Tenure",PlotTitles,0))="Affordable rent"),"",ISNUMBER(INDEX(PlotData,MATCH($A244,PlotNumber,0),MATCH(S$3,PlotTitles,0)))=FALSE, $AB$22,TRUE,"")</f>
        <v/>
      </c>
      <c r="T244" s="104" t="str" cm="1">
        <f t="array" ref="T244">_xlfn.IFS(AND(A244&gt;NumberOfPlots,ISBLANK(INDEX(PlotData,MATCH($A244,PlotNumber,0),MATCH(B$3,PlotTitles,0)))),"",OR(AND(INDEX(PlotData,MATCH($A244,PlotNumber,0),MATCH("Tenure",PlotTitles,0))="Open market housing",INDEX(PlotData,MATCH($A244,PlotNumber,0),MATCH("Tenure detail",PlotTitles,0))="Private rented sector"),INDEX(PlotData,MATCH($A244,PlotNumber,0),MATCH("Tenure",PlotTitles,0))="Affordable rent"),"",INDEX(PlotData,MATCH($A244,PlotNumber,0),MATCH(S$3,PlotTitles,0))&lt;10000, $AB$23,TRUE,"")</f>
        <v/>
      </c>
      <c r="U244" s="104" t="str" cm="1">
        <f t="array" ref="U244">_xlfn.IFS(AND(A244&gt;NumberOfPlots,ISBLANK(INDEX(PlotData,MATCH($A244,PlotNumber,0),MATCH(B$3,PlotTitles,0)))),"",NOT(OR(AND(INDEX(PlotData,MATCH($A244,PlotNumber,0),MATCH("Tenure",PlotTitles,0))="Open market housing",INDEX(PlotData,MATCH($A244,PlotNumber,0),MATCH("Tenure detail",PlotTitles,0))="Private rented sector"),INDEX(PlotData,MATCH($A244,PlotNumber,0),MATCH("Tenure",PlotTitles,0))="Affordable rent")),"",NOT(INDEX(PlotData,MATCH($A244,PlotNumber,0),MATCH(S$3,PlotTitles,0))=0), $AB$24,TRUE,"")</f>
        <v/>
      </c>
      <c r="V244" s="114" t="str" cm="1">
        <f t="array" aca="1" ref="V244" ca="1">_xlfn.IFS(ISBLANK(NumberOfPlots),"Enter the number of homes on the 1_SetUp sheet",AND(A244&gt;NumberOfPlots,ISBLANK(INDEX(PlotData,MATCH($A244,PlotNumber,0),MATCH(B$3,PlotTitles,0)))),"No error",NOT(B244=""),B244,NOT(C244=""),C244,NOT(D244=""),D244,NOT(E244=""),E244,NOT(F244=""),F244,NOT(G244=""),G244,NOT(H244=""),H244,NOT(I244=""),I244,NOT(J244=""),J244,NOT(K244=""),K244,NOT(L244=""),L244,NOT(M244=""),M244,NOT(N244=""),N244,NOT(O244=""),O244,NOT(P244=""),P244,NOT(Q244=""),Q244,NOT(R244=""),R244,NOT(S244=""),S244,NOT(T244=""),T244,NOT(U244=""),U244,TRUE,"No error")</f>
        <v>Enter the number of homes on the 1_SetUp sheet</v>
      </c>
      <c r="W244" s="114" t="str">
        <f t="shared" ca="1" si="11"/>
        <v xml:space="preserve">The Borrower has not addressed the following error messages for Home ID 240: </v>
      </c>
    </row>
    <row r="245" spans="1:23">
      <c r="A245" s="123">
        <v>241</v>
      </c>
      <c r="B245" s="104" t="str" cm="1">
        <f t="array" ref="B245">_xlfn.IFS(AND(A245&gt;NumberOfPlots,ISBLANK(INDEX(PlotData,MATCH($A245,PlotNumber,0),MATCH(B$3,PlotTitles,0)))),"",ISNUMBER(INDEX(PlotData,MATCH($A245,PlotNumber,0),MATCH(B$3,PlotTitles,0)))=FALSE, $AB$5,TRUE,"")</f>
        <v/>
      </c>
      <c r="C245" s="104" t="str" cm="1">
        <f t="array" ref="C245">_xlfn.IFS(AND(A245&gt;NumberOfPlots,ISBLANK(INDEX(PlotData,MATCH($A245,PlotNumber,0),MATCH(B$3,PlotTitles,0)))),"",ISBLANK(INDEX(PlotData,MATCH($A245,PlotNumber,0),MATCH(C$3,PlotTitles,0))),$AB$6,TRUE,"")</f>
        <v/>
      </c>
      <c r="D245" s="104" t="str" cm="1">
        <f t="array" ref="D245">_xlfn.IFS(AND(A245&gt;NumberOfPlots,ISBLANK(INDEX(PlotData,MATCH($A245,PlotNumber,0),MATCH(B$3,PlotTitles,0)))),"",ISBLANK(INDEX(PlotData,MATCH($A245,PlotNumber,0),MATCH(D$3,PlotTitles,0))),$AB$7,TRUE,"")</f>
        <v/>
      </c>
      <c r="E245" s="104" t="str" cm="1">
        <f t="array" ref="E245">_xlfn.IFS(AND(A245&gt;NumberOfPlots,ISBLANK(INDEX(PlotData,MATCH($A245,PlotNumber,0),MATCH(B$3,PlotTitles,0)))),"",ISBLANK(INDEX(PlotData,MATCH($A245,PlotNumber,0),MATCH(E$3,PlotTitles,0))),$AB$8,TRUE,"")</f>
        <v/>
      </c>
      <c r="F245" s="104" t="str" cm="1">
        <f t="array" ref="F245">_xlfn.IFS(AND(A245&gt;NumberOfPlots,ISBLANK(INDEX(PlotData,MATCH($A245,PlotNumber,0),MATCH(B$3,PlotTitles,0)))),"",ISBLANK(INDEX(PlotData,MATCH($A245,PlotNumber,0),MATCH(F$3,PlotTitles,0))),$AB$9,TRUE,"")</f>
        <v/>
      </c>
      <c r="G245" s="104" t="str" cm="1">
        <f t="array" ref="G245">_xlfn.IFS(AND(A245&gt;NumberOfPlots,ISBLANK(INDEX(PlotData,MATCH($A245,PlotNumber,0),MATCH(B$3,PlotTitles,0)))),"",ISBLANK(INDEX(PlotData,MATCH($A245,PlotNumber,0),MATCH(G$3,PlotTitles,0))),$AB$10,TRUE,"")</f>
        <v/>
      </c>
      <c r="H245" s="104" t="str" cm="1">
        <f t="array" ref="H245">_xlfn.IFS(AND(A245&gt;NumberOfPlots,ISBLANK(INDEX(PlotData,MATCH($A245,PlotNumber,0),MATCH(B$3,PlotTitles,0)))),"",AND(ISBLANK(INDEX(PlotData,MATCH($A245,PlotNumber,0),MATCH(H$3,PlotTitles,0)))=FALSE,INDEX(PlotData,MATCH($A245,PlotNumber,0),MATCH(H$3,PlotTitles,0))&lt;500), $AB$11,TRUE,"")</f>
        <v/>
      </c>
      <c r="I245" s="104" t="str" cm="1">
        <f t="array" ref="I245">_xlfn.IFS(AND(A245&gt;NumberOfPlots,ISBLANK(INDEX(PlotData,MATCH($A245,PlotNumber,0),MATCH(B$3,PlotTitles,0)))),"",ISBLANK(INDEX(PlotData,MATCH($A245,PlotNumber,0),MATCH(I$3,PlotTitles,0))),$AB$12,TRUE,"")</f>
        <v/>
      </c>
      <c r="J245" s="104" t="str" cm="1">
        <f t="array" ref="J245">_xlfn.IFS(AND(A245&gt;NumberOfPlots,ISBLANK(INDEX(PlotData,MATCH($A245,PlotNumber,0),MATCH(B$3,PlotTitles,0)))),"",ISBLANK(INDEX(PlotData,MATCH($A245,PlotNumber,0),MATCH(J$3,PlotTitles,0))),$AB$13,TRUE,"")</f>
        <v/>
      </c>
      <c r="K245" s="182" t="str">
        <f t="shared" ca="1" si="9"/>
        <v/>
      </c>
      <c r="L245" s="104" t="str" cm="1">
        <f t="array" ref="L245">_xlfn.IFS(OR(ISBLANK(StartDateMonth),ISBLANK(StartDateYear)),"",AND(A245&gt;NumberOfPlots,ISBLANK(INDEX(PlotData,MATCH($A245,PlotNumber,0),MATCH(B$3,PlotTitles,0)))),"",ISBLANK(INDEX(PlotData,MATCH($A245,PlotNumber,0),MATCH(I$3,PlotTitles,0))),"",(DATEVALUE(INDEX(PlotData,MATCH($A245,PlotNumber,0),MATCH(I$3,PlotTitles,0))&amp;INDEX(PlotData,MATCH($A245,PlotNumber,0),MATCH(J$3,PlotTitles,0))))&lt;DATEVALUE(StartDateMonth&amp;StartDateYear),$AB$15,TRUE,"")</f>
        <v/>
      </c>
      <c r="M245" s="104" t="str" cm="1">
        <f t="array" ref="M245">_xlfn.IFS(OR(ISBLANK(StartDateMonth),ISBLANK(StartDateYear)),"",AND(A245&gt;NumberOfPlots,ISBLANK(INDEX(PlotData,MATCH($A245,PlotNumber,0),MATCH(B$3,PlotTitles,0)))),"",ISBLANK(INDEX(PlotData,MATCH($A245,PlotNumber,0),MATCH(I$3,PlotTitles,0))),"",CompletionMonth="","",(DATEVALUE(INDEX(PlotData,MATCH($A245,PlotNumber,0),MATCH(I$3,PlotTitles,0))&amp;INDEX(PlotData,MATCH($A245,PlotNumber,0),MATCH(J$3,PlotTitles,0))))&gt;(DATEVALUE(CompletionMonth&amp;CompletionYear)),$AB$16,TRUE,"")</f>
        <v/>
      </c>
      <c r="N245" s="104" t="str" cm="1">
        <f t="array" ref="N245">_xlfn.IFS(AND(A245&gt;NumberOfPlots,ISBLANK(INDEX(PlotData,MATCH($A245,PlotNumber,0),MATCH(B$3,PlotTitles,0)))),"",ISBLANK(INDEX(PlotData,MATCH($A245,PlotNumber,0),MATCH(N$3,PlotTitles,0))),$AB$17,TRUE,"")</f>
        <v/>
      </c>
      <c r="O245" s="104" t="str" cm="1">
        <f t="array" ref="O245">_xlfn.IFS(AND(A245&gt;NumberOfPlots,ISBLANK(INDEX(PlotData,MATCH($A245,PlotNumber,0),MATCH(B$3,PlotTitles,0)))),"",ISBLANK(INDEX(PlotData,MATCH($A245,PlotNumber,0),MATCH(O$3,PlotTitles,0))),$AB$18,TRUE,"")</f>
        <v/>
      </c>
      <c r="P245" s="182" t="str">
        <f t="shared" ca="1" si="10"/>
        <v/>
      </c>
      <c r="Q245" s="104" t="str" cm="1">
        <f t="array" ref="Q245">_xlfn.IFS(AND(A245&gt;NumberOfPlots,ISBLANK(INDEX(PlotData,MATCH($A245,PlotNumber,0),MATCH(B$3,PlotTitles,0)))),"",ISBLANK(INDEX(PlotData,MATCH($A245,PlotNumber,0),MATCH(N$3,PlotTitles,0))),"",(DATEVALUE(INDEX(PlotData,MATCH($A245,PlotNumber,0),MATCH(N$3,PlotTitles,0))&amp;INDEX(PlotData,MATCH($A245,PlotNumber,0),MATCH(O$3,PlotTitles,0))))&lt;(DATEVALUE(INDEX(PlotData,MATCH($A245,PlotNumber,0),MATCH(I$3,PlotTitles,0))&amp;INDEX(PlotData,MATCH($A245,PlotNumber,0),MATCH(J$3,PlotTitles,0)))),$AB$20,TRUE,"")</f>
        <v/>
      </c>
      <c r="R245" s="104" t="str" cm="1">
        <f t="array" ref="R245">_xlfn.IFS(OR(ISBLANK(StartDateMonth),ISBLANK(StartDateYear)),"",AND(A245&gt;NumberOfPlots,ISBLANK(INDEX(PlotData,MATCH($A245,PlotNumber,0),MATCH(B$3,PlotTitles,0)))),"",ISBLANK(INDEX(PlotData,MATCH($A245,PlotNumber,0),MATCH(N$3,PlotTitles,0))),"",CompletionMonth="","",(DATEVALUE(INDEX(PlotData,MATCH($A245,PlotNumber,0),MATCH(N$3,PlotTitles,0))&amp;INDEX(PlotData,MATCH($A245,PlotNumber,0),MATCH(O$3,PlotTitles,0))))&gt;(DATEVALUE(CompletionMonth&amp;CompletionYear)),$AB$21,TRUE,"")</f>
        <v/>
      </c>
      <c r="S245" s="104" t="str" cm="1">
        <f t="array" ref="S245">_xlfn.IFS(AND(A245&gt;NumberOfPlots,ISBLANK(INDEX(PlotData,MATCH($A245,PlotNumber,0),MATCH(B$3,PlotTitles,0)))),"",OR(AND(INDEX(PlotData,MATCH($A245,PlotNumber,0),MATCH("Tenure",PlotTitles,0))="Open market housing",INDEX(PlotData,MATCH($A245,PlotNumber,0),MATCH("Tenure detail",PlotTitles,0))="Private rented sector"),INDEX(PlotData,MATCH($A245,PlotNumber,0),MATCH("Tenure",PlotTitles,0))="Affordable rent"),"",ISNUMBER(INDEX(PlotData,MATCH($A245,PlotNumber,0),MATCH(S$3,PlotTitles,0)))=FALSE, $AB$22,TRUE,"")</f>
        <v/>
      </c>
      <c r="T245" s="104" t="str" cm="1">
        <f t="array" ref="T245">_xlfn.IFS(AND(A245&gt;NumberOfPlots,ISBLANK(INDEX(PlotData,MATCH($A245,PlotNumber,0),MATCH(B$3,PlotTitles,0)))),"",OR(AND(INDEX(PlotData,MATCH($A245,PlotNumber,0),MATCH("Tenure",PlotTitles,0))="Open market housing",INDEX(PlotData,MATCH($A245,PlotNumber,0),MATCH("Tenure detail",PlotTitles,0))="Private rented sector"),INDEX(PlotData,MATCH($A245,PlotNumber,0),MATCH("Tenure",PlotTitles,0))="Affordable rent"),"",INDEX(PlotData,MATCH($A245,PlotNumber,0),MATCH(S$3,PlotTitles,0))&lt;10000, $AB$23,TRUE,"")</f>
        <v/>
      </c>
      <c r="U245" s="104" t="str" cm="1">
        <f t="array" ref="U245">_xlfn.IFS(AND(A245&gt;NumberOfPlots,ISBLANK(INDEX(PlotData,MATCH($A245,PlotNumber,0),MATCH(B$3,PlotTitles,0)))),"",NOT(OR(AND(INDEX(PlotData,MATCH($A245,PlotNumber,0),MATCH("Tenure",PlotTitles,0))="Open market housing",INDEX(PlotData,MATCH($A245,PlotNumber,0),MATCH("Tenure detail",PlotTitles,0))="Private rented sector"),INDEX(PlotData,MATCH($A245,PlotNumber,0),MATCH("Tenure",PlotTitles,0))="Affordable rent")),"",NOT(INDEX(PlotData,MATCH($A245,PlotNumber,0),MATCH(S$3,PlotTitles,0))=0), $AB$24,TRUE,"")</f>
        <v/>
      </c>
      <c r="V245" s="114" t="str" cm="1">
        <f t="array" aca="1" ref="V245" ca="1">_xlfn.IFS(ISBLANK(NumberOfPlots),"Enter the number of homes on the 1_SetUp sheet",AND(A245&gt;NumberOfPlots,ISBLANK(INDEX(PlotData,MATCH($A245,PlotNumber,0),MATCH(B$3,PlotTitles,0)))),"No error",NOT(B245=""),B245,NOT(C245=""),C245,NOT(D245=""),D245,NOT(E245=""),E245,NOT(F245=""),F245,NOT(G245=""),G245,NOT(H245=""),H245,NOT(I245=""),I245,NOT(J245=""),J245,NOT(K245=""),K245,NOT(L245=""),L245,NOT(M245=""),M245,NOT(N245=""),N245,NOT(O245=""),O245,NOT(P245=""),P245,NOT(Q245=""),Q245,NOT(R245=""),R245,NOT(S245=""),S245,NOT(T245=""),T245,NOT(U245=""),U245,TRUE,"No error")</f>
        <v>Enter the number of homes on the 1_SetUp sheet</v>
      </c>
      <c r="W245" s="114" t="str">
        <f t="shared" ca="1" si="11"/>
        <v xml:space="preserve">The Borrower has not addressed the following error messages for Home ID 241: </v>
      </c>
    </row>
    <row r="246" spans="1:23">
      <c r="A246" s="123">
        <v>242</v>
      </c>
      <c r="B246" s="104" t="str" cm="1">
        <f t="array" ref="B246">_xlfn.IFS(AND(A246&gt;NumberOfPlots,ISBLANK(INDEX(PlotData,MATCH($A246,PlotNumber,0),MATCH(B$3,PlotTitles,0)))),"",ISNUMBER(INDEX(PlotData,MATCH($A246,PlotNumber,0),MATCH(B$3,PlotTitles,0)))=FALSE, $AB$5,TRUE,"")</f>
        <v/>
      </c>
      <c r="C246" s="104" t="str" cm="1">
        <f t="array" ref="C246">_xlfn.IFS(AND(A246&gt;NumberOfPlots,ISBLANK(INDEX(PlotData,MATCH($A246,PlotNumber,0),MATCH(B$3,PlotTitles,0)))),"",ISBLANK(INDEX(PlotData,MATCH($A246,PlotNumber,0),MATCH(C$3,PlotTitles,0))),$AB$6,TRUE,"")</f>
        <v/>
      </c>
      <c r="D246" s="104" t="str" cm="1">
        <f t="array" ref="D246">_xlfn.IFS(AND(A246&gt;NumberOfPlots,ISBLANK(INDEX(PlotData,MATCH($A246,PlotNumber,0),MATCH(B$3,PlotTitles,0)))),"",ISBLANK(INDEX(PlotData,MATCH($A246,PlotNumber,0),MATCH(D$3,PlotTitles,0))),$AB$7,TRUE,"")</f>
        <v/>
      </c>
      <c r="E246" s="104" t="str" cm="1">
        <f t="array" ref="E246">_xlfn.IFS(AND(A246&gt;NumberOfPlots,ISBLANK(INDEX(PlotData,MATCH($A246,PlotNumber,0),MATCH(B$3,PlotTitles,0)))),"",ISBLANK(INDEX(PlotData,MATCH($A246,PlotNumber,0),MATCH(E$3,PlotTitles,0))),$AB$8,TRUE,"")</f>
        <v/>
      </c>
      <c r="F246" s="104" t="str" cm="1">
        <f t="array" ref="F246">_xlfn.IFS(AND(A246&gt;NumberOfPlots,ISBLANK(INDEX(PlotData,MATCH($A246,PlotNumber,0),MATCH(B$3,PlotTitles,0)))),"",ISBLANK(INDEX(PlotData,MATCH($A246,PlotNumber,0),MATCH(F$3,PlotTitles,0))),$AB$9,TRUE,"")</f>
        <v/>
      </c>
      <c r="G246" s="104" t="str" cm="1">
        <f t="array" ref="G246">_xlfn.IFS(AND(A246&gt;NumberOfPlots,ISBLANK(INDEX(PlotData,MATCH($A246,PlotNumber,0),MATCH(B$3,PlotTitles,0)))),"",ISBLANK(INDEX(PlotData,MATCH($A246,PlotNumber,0),MATCH(G$3,PlotTitles,0))),$AB$10,TRUE,"")</f>
        <v/>
      </c>
      <c r="H246" s="104" t="str" cm="1">
        <f t="array" ref="H246">_xlfn.IFS(AND(A246&gt;NumberOfPlots,ISBLANK(INDEX(PlotData,MATCH($A246,PlotNumber,0),MATCH(B$3,PlotTitles,0)))),"",AND(ISBLANK(INDEX(PlotData,MATCH($A246,PlotNumber,0),MATCH(H$3,PlotTitles,0)))=FALSE,INDEX(PlotData,MATCH($A246,PlotNumber,0),MATCH(H$3,PlotTitles,0))&lt;500), $AB$11,TRUE,"")</f>
        <v/>
      </c>
      <c r="I246" s="104" t="str" cm="1">
        <f t="array" ref="I246">_xlfn.IFS(AND(A246&gt;NumberOfPlots,ISBLANK(INDEX(PlotData,MATCH($A246,PlotNumber,0),MATCH(B$3,PlotTitles,0)))),"",ISBLANK(INDEX(PlotData,MATCH($A246,PlotNumber,0),MATCH(I$3,PlotTitles,0))),$AB$12,TRUE,"")</f>
        <v/>
      </c>
      <c r="J246" s="104" t="str" cm="1">
        <f t="array" ref="J246">_xlfn.IFS(AND(A246&gt;NumberOfPlots,ISBLANK(INDEX(PlotData,MATCH($A246,PlotNumber,0),MATCH(B$3,PlotTitles,0)))),"",ISBLANK(INDEX(PlotData,MATCH($A246,PlotNumber,0),MATCH(J$3,PlotTitles,0))),$AB$13,TRUE,"")</f>
        <v/>
      </c>
      <c r="K246" s="182" t="str">
        <f t="shared" ca="1" si="9"/>
        <v/>
      </c>
      <c r="L246" s="104" t="str" cm="1">
        <f t="array" ref="L246">_xlfn.IFS(OR(ISBLANK(StartDateMonth),ISBLANK(StartDateYear)),"",AND(A246&gt;NumberOfPlots,ISBLANK(INDEX(PlotData,MATCH($A246,PlotNumber,0),MATCH(B$3,PlotTitles,0)))),"",ISBLANK(INDEX(PlotData,MATCH($A246,PlotNumber,0),MATCH(I$3,PlotTitles,0))),"",(DATEVALUE(INDEX(PlotData,MATCH($A246,PlotNumber,0),MATCH(I$3,PlotTitles,0))&amp;INDEX(PlotData,MATCH($A246,PlotNumber,0),MATCH(J$3,PlotTitles,0))))&lt;DATEVALUE(StartDateMonth&amp;StartDateYear),$AB$15,TRUE,"")</f>
        <v/>
      </c>
      <c r="M246" s="104" t="str" cm="1">
        <f t="array" ref="M246">_xlfn.IFS(OR(ISBLANK(StartDateMonth),ISBLANK(StartDateYear)),"",AND(A246&gt;NumberOfPlots,ISBLANK(INDEX(PlotData,MATCH($A246,PlotNumber,0),MATCH(B$3,PlotTitles,0)))),"",ISBLANK(INDEX(PlotData,MATCH($A246,PlotNumber,0),MATCH(I$3,PlotTitles,0))),"",CompletionMonth="","",(DATEVALUE(INDEX(PlotData,MATCH($A246,PlotNumber,0),MATCH(I$3,PlotTitles,0))&amp;INDEX(PlotData,MATCH($A246,PlotNumber,0),MATCH(J$3,PlotTitles,0))))&gt;(DATEVALUE(CompletionMonth&amp;CompletionYear)),$AB$16,TRUE,"")</f>
        <v/>
      </c>
      <c r="N246" s="104" t="str" cm="1">
        <f t="array" ref="N246">_xlfn.IFS(AND(A246&gt;NumberOfPlots,ISBLANK(INDEX(PlotData,MATCH($A246,PlotNumber,0),MATCH(B$3,PlotTitles,0)))),"",ISBLANK(INDEX(PlotData,MATCH($A246,PlotNumber,0),MATCH(N$3,PlotTitles,0))),$AB$17,TRUE,"")</f>
        <v/>
      </c>
      <c r="O246" s="104" t="str" cm="1">
        <f t="array" ref="O246">_xlfn.IFS(AND(A246&gt;NumberOfPlots,ISBLANK(INDEX(PlotData,MATCH($A246,PlotNumber,0),MATCH(B$3,PlotTitles,0)))),"",ISBLANK(INDEX(PlotData,MATCH($A246,PlotNumber,0),MATCH(O$3,PlotTitles,0))),$AB$18,TRUE,"")</f>
        <v/>
      </c>
      <c r="P246" s="182" t="str">
        <f t="shared" ca="1" si="10"/>
        <v/>
      </c>
      <c r="Q246" s="104" t="str" cm="1">
        <f t="array" ref="Q246">_xlfn.IFS(AND(A246&gt;NumberOfPlots,ISBLANK(INDEX(PlotData,MATCH($A246,PlotNumber,0),MATCH(B$3,PlotTitles,0)))),"",ISBLANK(INDEX(PlotData,MATCH($A246,PlotNumber,0),MATCH(N$3,PlotTitles,0))),"",(DATEVALUE(INDEX(PlotData,MATCH($A246,PlotNumber,0),MATCH(N$3,PlotTitles,0))&amp;INDEX(PlotData,MATCH($A246,PlotNumber,0),MATCH(O$3,PlotTitles,0))))&lt;(DATEVALUE(INDEX(PlotData,MATCH($A246,PlotNumber,0),MATCH(I$3,PlotTitles,0))&amp;INDEX(PlotData,MATCH($A246,PlotNumber,0),MATCH(J$3,PlotTitles,0)))),$AB$20,TRUE,"")</f>
        <v/>
      </c>
      <c r="R246" s="104" t="str" cm="1">
        <f t="array" ref="R246">_xlfn.IFS(OR(ISBLANK(StartDateMonth),ISBLANK(StartDateYear)),"",AND(A246&gt;NumberOfPlots,ISBLANK(INDEX(PlotData,MATCH($A246,PlotNumber,0),MATCH(B$3,PlotTitles,0)))),"",ISBLANK(INDEX(PlotData,MATCH($A246,PlotNumber,0),MATCH(N$3,PlotTitles,0))),"",CompletionMonth="","",(DATEVALUE(INDEX(PlotData,MATCH($A246,PlotNumber,0),MATCH(N$3,PlotTitles,0))&amp;INDEX(PlotData,MATCH($A246,PlotNumber,0),MATCH(O$3,PlotTitles,0))))&gt;(DATEVALUE(CompletionMonth&amp;CompletionYear)),$AB$21,TRUE,"")</f>
        <v/>
      </c>
      <c r="S246" s="104" t="str" cm="1">
        <f t="array" ref="S246">_xlfn.IFS(AND(A246&gt;NumberOfPlots,ISBLANK(INDEX(PlotData,MATCH($A246,PlotNumber,0),MATCH(B$3,PlotTitles,0)))),"",OR(AND(INDEX(PlotData,MATCH($A246,PlotNumber,0),MATCH("Tenure",PlotTitles,0))="Open market housing",INDEX(PlotData,MATCH($A246,PlotNumber,0),MATCH("Tenure detail",PlotTitles,0))="Private rented sector"),INDEX(PlotData,MATCH($A246,PlotNumber,0),MATCH("Tenure",PlotTitles,0))="Affordable rent"),"",ISNUMBER(INDEX(PlotData,MATCH($A246,PlotNumber,0),MATCH(S$3,PlotTitles,0)))=FALSE, $AB$22,TRUE,"")</f>
        <v/>
      </c>
      <c r="T246" s="104" t="str" cm="1">
        <f t="array" ref="T246">_xlfn.IFS(AND(A246&gt;NumberOfPlots,ISBLANK(INDEX(PlotData,MATCH($A246,PlotNumber,0),MATCH(B$3,PlotTitles,0)))),"",OR(AND(INDEX(PlotData,MATCH($A246,PlotNumber,0),MATCH("Tenure",PlotTitles,0))="Open market housing",INDEX(PlotData,MATCH($A246,PlotNumber,0),MATCH("Tenure detail",PlotTitles,0))="Private rented sector"),INDEX(PlotData,MATCH($A246,PlotNumber,0),MATCH("Tenure",PlotTitles,0))="Affordable rent"),"",INDEX(PlotData,MATCH($A246,PlotNumber,0),MATCH(S$3,PlotTitles,0))&lt;10000, $AB$23,TRUE,"")</f>
        <v/>
      </c>
      <c r="U246" s="104" t="str" cm="1">
        <f t="array" ref="U246">_xlfn.IFS(AND(A246&gt;NumberOfPlots,ISBLANK(INDEX(PlotData,MATCH($A246,PlotNumber,0),MATCH(B$3,PlotTitles,0)))),"",NOT(OR(AND(INDEX(PlotData,MATCH($A246,PlotNumber,0),MATCH("Tenure",PlotTitles,0))="Open market housing",INDEX(PlotData,MATCH($A246,PlotNumber,0),MATCH("Tenure detail",PlotTitles,0))="Private rented sector"),INDEX(PlotData,MATCH($A246,PlotNumber,0),MATCH("Tenure",PlotTitles,0))="Affordable rent")),"",NOT(INDEX(PlotData,MATCH($A246,PlotNumber,0),MATCH(S$3,PlotTitles,0))=0), $AB$24,TRUE,"")</f>
        <v/>
      </c>
      <c r="V246" s="114" t="str" cm="1">
        <f t="array" aca="1" ref="V246" ca="1">_xlfn.IFS(ISBLANK(NumberOfPlots),"Enter the number of homes on the 1_SetUp sheet",AND(A246&gt;NumberOfPlots,ISBLANK(INDEX(PlotData,MATCH($A246,PlotNumber,0),MATCH(B$3,PlotTitles,0)))),"No error",NOT(B246=""),B246,NOT(C246=""),C246,NOT(D246=""),D246,NOT(E246=""),E246,NOT(F246=""),F246,NOT(G246=""),G246,NOT(H246=""),H246,NOT(I246=""),I246,NOT(J246=""),J246,NOT(K246=""),K246,NOT(L246=""),L246,NOT(M246=""),M246,NOT(N246=""),N246,NOT(O246=""),O246,NOT(P246=""),P246,NOT(Q246=""),Q246,NOT(R246=""),R246,NOT(S246=""),S246,NOT(T246=""),T246,NOT(U246=""),U246,TRUE,"No error")</f>
        <v>Enter the number of homes on the 1_SetUp sheet</v>
      </c>
      <c r="W246" s="114" t="str">
        <f t="shared" ca="1" si="11"/>
        <v xml:space="preserve">The Borrower has not addressed the following error messages for Home ID 242: </v>
      </c>
    </row>
    <row r="247" spans="1:23">
      <c r="A247" s="123">
        <v>243</v>
      </c>
      <c r="B247" s="104" t="str" cm="1">
        <f t="array" ref="B247">_xlfn.IFS(AND(A247&gt;NumberOfPlots,ISBLANK(INDEX(PlotData,MATCH($A247,PlotNumber,0),MATCH(B$3,PlotTitles,0)))),"",ISNUMBER(INDEX(PlotData,MATCH($A247,PlotNumber,0),MATCH(B$3,PlotTitles,0)))=FALSE, $AB$5,TRUE,"")</f>
        <v/>
      </c>
      <c r="C247" s="104" t="str" cm="1">
        <f t="array" ref="C247">_xlfn.IFS(AND(A247&gt;NumberOfPlots,ISBLANK(INDEX(PlotData,MATCH($A247,PlotNumber,0),MATCH(B$3,PlotTitles,0)))),"",ISBLANK(INDEX(PlotData,MATCH($A247,PlotNumber,0),MATCH(C$3,PlotTitles,0))),$AB$6,TRUE,"")</f>
        <v/>
      </c>
      <c r="D247" s="104" t="str" cm="1">
        <f t="array" ref="D247">_xlfn.IFS(AND(A247&gt;NumberOfPlots,ISBLANK(INDEX(PlotData,MATCH($A247,PlotNumber,0),MATCH(B$3,PlotTitles,0)))),"",ISBLANK(INDEX(PlotData,MATCH($A247,PlotNumber,0),MATCH(D$3,PlotTitles,0))),$AB$7,TRUE,"")</f>
        <v/>
      </c>
      <c r="E247" s="104" t="str" cm="1">
        <f t="array" ref="E247">_xlfn.IFS(AND(A247&gt;NumberOfPlots,ISBLANK(INDEX(PlotData,MATCH($A247,PlotNumber,0),MATCH(B$3,PlotTitles,0)))),"",ISBLANK(INDEX(PlotData,MATCH($A247,PlotNumber,0),MATCH(E$3,PlotTitles,0))),$AB$8,TRUE,"")</f>
        <v/>
      </c>
      <c r="F247" s="104" t="str" cm="1">
        <f t="array" ref="F247">_xlfn.IFS(AND(A247&gt;NumberOfPlots,ISBLANK(INDEX(PlotData,MATCH($A247,PlotNumber,0),MATCH(B$3,PlotTitles,0)))),"",ISBLANK(INDEX(PlotData,MATCH($A247,PlotNumber,0),MATCH(F$3,PlotTitles,0))),$AB$9,TRUE,"")</f>
        <v/>
      </c>
      <c r="G247" s="104" t="str" cm="1">
        <f t="array" ref="G247">_xlfn.IFS(AND(A247&gt;NumberOfPlots,ISBLANK(INDEX(PlotData,MATCH($A247,PlotNumber,0),MATCH(B$3,PlotTitles,0)))),"",ISBLANK(INDEX(PlotData,MATCH($A247,PlotNumber,0),MATCH(G$3,PlotTitles,0))),$AB$10,TRUE,"")</f>
        <v/>
      </c>
      <c r="H247" s="104" t="str" cm="1">
        <f t="array" ref="H247">_xlfn.IFS(AND(A247&gt;NumberOfPlots,ISBLANK(INDEX(PlotData,MATCH($A247,PlotNumber,0),MATCH(B$3,PlotTitles,0)))),"",AND(ISBLANK(INDEX(PlotData,MATCH($A247,PlotNumber,0),MATCH(H$3,PlotTitles,0)))=FALSE,INDEX(PlotData,MATCH($A247,PlotNumber,0),MATCH(H$3,PlotTitles,0))&lt;500), $AB$11,TRUE,"")</f>
        <v/>
      </c>
      <c r="I247" s="104" t="str" cm="1">
        <f t="array" ref="I247">_xlfn.IFS(AND(A247&gt;NumberOfPlots,ISBLANK(INDEX(PlotData,MATCH($A247,PlotNumber,0),MATCH(B$3,PlotTitles,0)))),"",ISBLANK(INDEX(PlotData,MATCH($A247,PlotNumber,0),MATCH(I$3,PlotTitles,0))),$AB$12,TRUE,"")</f>
        <v/>
      </c>
      <c r="J247" s="104" t="str" cm="1">
        <f t="array" ref="J247">_xlfn.IFS(AND(A247&gt;NumberOfPlots,ISBLANK(INDEX(PlotData,MATCH($A247,PlotNumber,0),MATCH(B$3,PlotTitles,0)))),"",ISBLANK(INDEX(PlotData,MATCH($A247,PlotNumber,0),MATCH(J$3,PlotTitles,0))),$AB$13,TRUE,"")</f>
        <v/>
      </c>
      <c r="K247" s="182" t="str">
        <f t="shared" ca="1" si="9"/>
        <v/>
      </c>
      <c r="L247" s="104" t="str" cm="1">
        <f t="array" ref="L247">_xlfn.IFS(OR(ISBLANK(StartDateMonth),ISBLANK(StartDateYear)),"",AND(A247&gt;NumberOfPlots,ISBLANK(INDEX(PlotData,MATCH($A247,PlotNumber,0),MATCH(B$3,PlotTitles,0)))),"",ISBLANK(INDEX(PlotData,MATCH($A247,PlotNumber,0),MATCH(I$3,PlotTitles,0))),"",(DATEVALUE(INDEX(PlotData,MATCH($A247,PlotNumber,0),MATCH(I$3,PlotTitles,0))&amp;INDEX(PlotData,MATCH($A247,PlotNumber,0),MATCH(J$3,PlotTitles,0))))&lt;DATEVALUE(StartDateMonth&amp;StartDateYear),$AB$15,TRUE,"")</f>
        <v/>
      </c>
      <c r="M247" s="104" t="str" cm="1">
        <f t="array" ref="M247">_xlfn.IFS(OR(ISBLANK(StartDateMonth),ISBLANK(StartDateYear)),"",AND(A247&gt;NumberOfPlots,ISBLANK(INDEX(PlotData,MATCH($A247,PlotNumber,0),MATCH(B$3,PlotTitles,0)))),"",ISBLANK(INDEX(PlotData,MATCH($A247,PlotNumber,0),MATCH(I$3,PlotTitles,0))),"",CompletionMonth="","",(DATEVALUE(INDEX(PlotData,MATCH($A247,PlotNumber,0),MATCH(I$3,PlotTitles,0))&amp;INDEX(PlotData,MATCH($A247,PlotNumber,0),MATCH(J$3,PlotTitles,0))))&gt;(DATEVALUE(CompletionMonth&amp;CompletionYear)),$AB$16,TRUE,"")</f>
        <v/>
      </c>
      <c r="N247" s="104" t="str" cm="1">
        <f t="array" ref="N247">_xlfn.IFS(AND(A247&gt;NumberOfPlots,ISBLANK(INDEX(PlotData,MATCH($A247,PlotNumber,0),MATCH(B$3,PlotTitles,0)))),"",ISBLANK(INDEX(PlotData,MATCH($A247,PlotNumber,0),MATCH(N$3,PlotTitles,0))),$AB$17,TRUE,"")</f>
        <v/>
      </c>
      <c r="O247" s="104" t="str" cm="1">
        <f t="array" ref="O247">_xlfn.IFS(AND(A247&gt;NumberOfPlots,ISBLANK(INDEX(PlotData,MATCH($A247,PlotNumber,0),MATCH(B$3,PlotTitles,0)))),"",ISBLANK(INDEX(PlotData,MATCH($A247,PlotNumber,0),MATCH(O$3,PlotTitles,0))),$AB$18,TRUE,"")</f>
        <v/>
      </c>
      <c r="P247" s="182" t="str">
        <f t="shared" ca="1" si="10"/>
        <v/>
      </c>
      <c r="Q247" s="104" t="str" cm="1">
        <f t="array" ref="Q247">_xlfn.IFS(AND(A247&gt;NumberOfPlots,ISBLANK(INDEX(PlotData,MATCH($A247,PlotNumber,0),MATCH(B$3,PlotTitles,0)))),"",ISBLANK(INDEX(PlotData,MATCH($A247,PlotNumber,0),MATCH(N$3,PlotTitles,0))),"",(DATEVALUE(INDEX(PlotData,MATCH($A247,PlotNumber,0),MATCH(N$3,PlotTitles,0))&amp;INDEX(PlotData,MATCH($A247,PlotNumber,0),MATCH(O$3,PlotTitles,0))))&lt;(DATEVALUE(INDEX(PlotData,MATCH($A247,PlotNumber,0),MATCH(I$3,PlotTitles,0))&amp;INDEX(PlotData,MATCH($A247,PlotNumber,0),MATCH(J$3,PlotTitles,0)))),$AB$20,TRUE,"")</f>
        <v/>
      </c>
      <c r="R247" s="104" t="str" cm="1">
        <f t="array" ref="R247">_xlfn.IFS(OR(ISBLANK(StartDateMonth),ISBLANK(StartDateYear)),"",AND(A247&gt;NumberOfPlots,ISBLANK(INDEX(PlotData,MATCH($A247,PlotNumber,0),MATCH(B$3,PlotTitles,0)))),"",ISBLANK(INDEX(PlotData,MATCH($A247,PlotNumber,0),MATCH(N$3,PlotTitles,0))),"",CompletionMonth="","",(DATEVALUE(INDEX(PlotData,MATCH($A247,PlotNumber,0),MATCH(N$3,PlotTitles,0))&amp;INDEX(PlotData,MATCH($A247,PlotNumber,0),MATCH(O$3,PlotTitles,0))))&gt;(DATEVALUE(CompletionMonth&amp;CompletionYear)),$AB$21,TRUE,"")</f>
        <v/>
      </c>
      <c r="S247" s="104" t="str" cm="1">
        <f t="array" ref="S247">_xlfn.IFS(AND(A247&gt;NumberOfPlots,ISBLANK(INDEX(PlotData,MATCH($A247,PlotNumber,0),MATCH(B$3,PlotTitles,0)))),"",OR(AND(INDEX(PlotData,MATCH($A247,PlotNumber,0),MATCH("Tenure",PlotTitles,0))="Open market housing",INDEX(PlotData,MATCH($A247,PlotNumber,0),MATCH("Tenure detail",PlotTitles,0))="Private rented sector"),INDEX(PlotData,MATCH($A247,PlotNumber,0),MATCH("Tenure",PlotTitles,0))="Affordable rent"),"",ISNUMBER(INDEX(PlotData,MATCH($A247,PlotNumber,0),MATCH(S$3,PlotTitles,0)))=FALSE, $AB$22,TRUE,"")</f>
        <v/>
      </c>
      <c r="T247" s="104" t="str" cm="1">
        <f t="array" ref="T247">_xlfn.IFS(AND(A247&gt;NumberOfPlots,ISBLANK(INDEX(PlotData,MATCH($A247,PlotNumber,0),MATCH(B$3,PlotTitles,0)))),"",OR(AND(INDEX(PlotData,MATCH($A247,PlotNumber,0),MATCH("Tenure",PlotTitles,0))="Open market housing",INDEX(PlotData,MATCH($A247,PlotNumber,0),MATCH("Tenure detail",PlotTitles,0))="Private rented sector"),INDEX(PlotData,MATCH($A247,PlotNumber,0),MATCH("Tenure",PlotTitles,0))="Affordable rent"),"",INDEX(PlotData,MATCH($A247,PlotNumber,0),MATCH(S$3,PlotTitles,0))&lt;10000, $AB$23,TRUE,"")</f>
        <v/>
      </c>
      <c r="U247" s="104" t="str" cm="1">
        <f t="array" ref="U247">_xlfn.IFS(AND(A247&gt;NumberOfPlots,ISBLANK(INDEX(PlotData,MATCH($A247,PlotNumber,0),MATCH(B$3,PlotTitles,0)))),"",NOT(OR(AND(INDEX(PlotData,MATCH($A247,PlotNumber,0),MATCH("Tenure",PlotTitles,0))="Open market housing",INDEX(PlotData,MATCH($A247,PlotNumber,0),MATCH("Tenure detail",PlotTitles,0))="Private rented sector"),INDEX(PlotData,MATCH($A247,PlotNumber,0),MATCH("Tenure",PlotTitles,0))="Affordable rent")),"",NOT(INDEX(PlotData,MATCH($A247,PlotNumber,0),MATCH(S$3,PlotTitles,0))=0), $AB$24,TRUE,"")</f>
        <v/>
      </c>
      <c r="V247" s="114" t="str" cm="1">
        <f t="array" aca="1" ref="V247" ca="1">_xlfn.IFS(ISBLANK(NumberOfPlots),"Enter the number of homes on the 1_SetUp sheet",AND(A247&gt;NumberOfPlots,ISBLANK(INDEX(PlotData,MATCH($A247,PlotNumber,0),MATCH(B$3,PlotTitles,0)))),"No error",NOT(B247=""),B247,NOT(C247=""),C247,NOT(D247=""),D247,NOT(E247=""),E247,NOT(F247=""),F247,NOT(G247=""),G247,NOT(H247=""),H247,NOT(I247=""),I247,NOT(J247=""),J247,NOT(K247=""),K247,NOT(L247=""),L247,NOT(M247=""),M247,NOT(N247=""),N247,NOT(O247=""),O247,NOT(P247=""),P247,NOT(Q247=""),Q247,NOT(R247=""),R247,NOT(S247=""),S247,NOT(T247=""),T247,NOT(U247=""),U247,TRUE,"No error")</f>
        <v>Enter the number of homes on the 1_SetUp sheet</v>
      </c>
      <c r="W247" s="114" t="str">
        <f t="shared" ca="1" si="11"/>
        <v xml:space="preserve">The Borrower has not addressed the following error messages for Home ID 243: </v>
      </c>
    </row>
    <row r="248" spans="1:23">
      <c r="A248" s="123">
        <v>244</v>
      </c>
      <c r="B248" s="104" t="str" cm="1">
        <f t="array" ref="B248">_xlfn.IFS(AND(A248&gt;NumberOfPlots,ISBLANK(INDEX(PlotData,MATCH($A248,PlotNumber,0),MATCH(B$3,PlotTitles,0)))),"",ISNUMBER(INDEX(PlotData,MATCH($A248,PlotNumber,0),MATCH(B$3,PlotTitles,0)))=FALSE, $AB$5,TRUE,"")</f>
        <v/>
      </c>
      <c r="C248" s="104" t="str" cm="1">
        <f t="array" ref="C248">_xlfn.IFS(AND(A248&gt;NumberOfPlots,ISBLANK(INDEX(PlotData,MATCH($A248,PlotNumber,0),MATCH(B$3,PlotTitles,0)))),"",ISBLANK(INDEX(PlotData,MATCH($A248,PlotNumber,0),MATCH(C$3,PlotTitles,0))),$AB$6,TRUE,"")</f>
        <v/>
      </c>
      <c r="D248" s="104" t="str" cm="1">
        <f t="array" ref="D248">_xlfn.IFS(AND(A248&gt;NumberOfPlots,ISBLANK(INDEX(PlotData,MATCH($A248,PlotNumber,0),MATCH(B$3,PlotTitles,0)))),"",ISBLANK(INDEX(PlotData,MATCH($A248,PlotNumber,0),MATCH(D$3,PlotTitles,0))),$AB$7,TRUE,"")</f>
        <v/>
      </c>
      <c r="E248" s="104" t="str" cm="1">
        <f t="array" ref="E248">_xlfn.IFS(AND(A248&gt;NumberOfPlots,ISBLANK(INDEX(PlotData,MATCH($A248,PlotNumber,0),MATCH(B$3,PlotTitles,0)))),"",ISBLANK(INDEX(PlotData,MATCH($A248,PlotNumber,0),MATCH(E$3,PlotTitles,0))),$AB$8,TRUE,"")</f>
        <v/>
      </c>
      <c r="F248" s="104" t="str" cm="1">
        <f t="array" ref="F248">_xlfn.IFS(AND(A248&gt;NumberOfPlots,ISBLANK(INDEX(PlotData,MATCH($A248,PlotNumber,0),MATCH(B$3,PlotTitles,0)))),"",ISBLANK(INDEX(PlotData,MATCH($A248,PlotNumber,0),MATCH(F$3,PlotTitles,0))),$AB$9,TRUE,"")</f>
        <v/>
      </c>
      <c r="G248" s="104" t="str" cm="1">
        <f t="array" ref="G248">_xlfn.IFS(AND(A248&gt;NumberOfPlots,ISBLANK(INDEX(PlotData,MATCH($A248,PlotNumber,0),MATCH(B$3,PlotTitles,0)))),"",ISBLANK(INDEX(PlotData,MATCH($A248,PlotNumber,0),MATCH(G$3,PlotTitles,0))),$AB$10,TRUE,"")</f>
        <v/>
      </c>
      <c r="H248" s="104" t="str" cm="1">
        <f t="array" ref="H248">_xlfn.IFS(AND(A248&gt;NumberOfPlots,ISBLANK(INDEX(PlotData,MATCH($A248,PlotNumber,0),MATCH(B$3,PlotTitles,0)))),"",AND(ISBLANK(INDEX(PlotData,MATCH($A248,PlotNumber,0),MATCH(H$3,PlotTitles,0)))=FALSE,INDEX(PlotData,MATCH($A248,PlotNumber,0),MATCH(H$3,PlotTitles,0))&lt;500), $AB$11,TRUE,"")</f>
        <v/>
      </c>
      <c r="I248" s="104" t="str" cm="1">
        <f t="array" ref="I248">_xlfn.IFS(AND(A248&gt;NumberOfPlots,ISBLANK(INDEX(PlotData,MATCH($A248,PlotNumber,0),MATCH(B$3,PlotTitles,0)))),"",ISBLANK(INDEX(PlotData,MATCH($A248,PlotNumber,0),MATCH(I$3,PlotTitles,0))),$AB$12,TRUE,"")</f>
        <v/>
      </c>
      <c r="J248" s="104" t="str" cm="1">
        <f t="array" ref="J248">_xlfn.IFS(AND(A248&gt;NumberOfPlots,ISBLANK(INDEX(PlotData,MATCH($A248,PlotNumber,0),MATCH(B$3,PlotTitles,0)))),"",ISBLANK(INDEX(PlotData,MATCH($A248,PlotNumber,0),MATCH(J$3,PlotTitles,0))),$AB$13,TRUE,"")</f>
        <v/>
      </c>
      <c r="K248" s="182" t="str">
        <f t="shared" ca="1" si="9"/>
        <v/>
      </c>
      <c r="L248" s="104" t="str" cm="1">
        <f t="array" ref="L248">_xlfn.IFS(OR(ISBLANK(StartDateMonth),ISBLANK(StartDateYear)),"",AND(A248&gt;NumberOfPlots,ISBLANK(INDEX(PlotData,MATCH($A248,PlotNumber,0),MATCH(B$3,PlotTitles,0)))),"",ISBLANK(INDEX(PlotData,MATCH($A248,PlotNumber,0),MATCH(I$3,PlotTitles,0))),"",(DATEVALUE(INDEX(PlotData,MATCH($A248,PlotNumber,0),MATCH(I$3,PlotTitles,0))&amp;INDEX(PlotData,MATCH($A248,PlotNumber,0),MATCH(J$3,PlotTitles,0))))&lt;DATEVALUE(StartDateMonth&amp;StartDateYear),$AB$15,TRUE,"")</f>
        <v/>
      </c>
      <c r="M248" s="104" t="str" cm="1">
        <f t="array" ref="M248">_xlfn.IFS(OR(ISBLANK(StartDateMonth),ISBLANK(StartDateYear)),"",AND(A248&gt;NumberOfPlots,ISBLANK(INDEX(PlotData,MATCH($A248,PlotNumber,0),MATCH(B$3,PlotTitles,0)))),"",ISBLANK(INDEX(PlotData,MATCH($A248,PlotNumber,0),MATCH(I$3,PlotTitles,0))),"",CompletionMonth="","",(DATEVALUE(INDEX(PlotData,MATCH($A248,PlotNumber,0),MATCH(I$3,PlotTitles,0))&amp;INDEX(PlotData,MATCH($A248,PlotNumber,0),MATCH(J$3,PlotTitles,0))))&gt;(DATEVALUE(CompletionMonth&amp;CompletionYear)),$AB$16,TRUE,"")</f>
        <v/>
      </c>
      <c r="N248" s="104" t="str" cm="1">
        <f t="array" ref="N248">_xlfn.IFS(AND(A248&gt;NumberOfPlots,ISBLANK(INDEX(PlotData,MATCH($A248,PlotNumber,0),MATCH(B$3,PlotTitles,0)))),"",ISBLANK(INDEX(PlotData,MATCH($A248,PlotNumber,0),MATCH(N$3,PlotTitles,0))),$AB$17,TRUE,"")</f>
        <v/>
      </c>
      <c r="O248" s="104" t="str" cm="1">
        <f t="array" ref="O248">_xlfn.IFS(AND(A248&gt;NumberOfPlots,ISBLANK(INDEX(PlotData,MATCH($A248,PlotNumber,0),MATCH(B$3,PlotTitles,0)))),"",ISBLANK(INDEX(PlotData,MATCH($A248,PlotNumber,0),MATCH(O$3,PlotTitles,0))),$AB$18,TRUE,"")</f>
        <v/>
      </c>
      <c r="P248" s="182" t="str">
        <f t="shared" ca="1" si="10"/>
        <v/>
      </c>
      <c r="Q248" s="104" t="str" cm="1">
        <f t="array" ref="Q248">_xlfn.IFS(AND(A248&gt;NumberOfPlots,ISBLANK(INDEX(PlotData,MATCH($A248,PlotNumber,0),MATCH(B$3,PlotTitles,0)))),"",ISBLANK(INDEX(PlotData,MATCH($A248,PlotNumber,0),MATCH(N$3,PlotTitles,0))),"",(DATEVALUE(INDEX(PlotData,MATCH($A248,PlotNumber,0),MATCH(N$3,PlotTitles,0))&amp;INDEX(PlotData,MATCH($A248,PlotNumber,0),MATCH(O$3,PlotTitles,0))))&lt;(DATEVALUE(INDEX(PlotData,MATCH($A248,PlotNumber,0),MATCH(I$3,PlotTitles,0))&amp;INDEX(PlotData,MATCH($A248,PlotNumber,0),MATCH(J$3,PlotTitles,0)))),$AB$20,TRUE,"")</f>
        <v/>
      </c>
      <c r="R248" s="104" t="str" cm="1">
        <f t="array" ref="R248">_xlfn.IFS(OR(ISBLANK(StartDateMonth),ISBLANK(StartDateYear)),"",AND(A248&gt;NumberOfPlots,ISBLANK(INDEX(PlotData,MATCH($A248,PlotNumber,0),MATCH(B$3,PlotTitles,0)))),"",ISBLANK(INDEX(PlotData,MATCH($A248,PlotNumber,0),MATCH(N$3,PlotTitles,0))),"",CompletionMonth="","",(DATEVALUE(INDEX(PlotData,MATCH($A248,PlotNumber,0),MATCH(N$3,PlotTitles,0))&amp;INDEX(PlotData,MATCH($A248,PlotNumber,0),MATCH(O$3,PlotTitles,0))))&gt;(DATEVALUE(CompletionMonth&amp;CompletionYear)),$AB$21,TRUE,"")</f>
        <v/>
      </c>
      <c r="S248" s="104" t="str" cm="1">
        <f t="array" ref="S248">_xlfn.IFS(AND(A248&gt;NumberOfPlots,ISBLANK(INDEX(PlotData,MATCH($A248,PlotNumber,0),MATCH(B$3,PlotTitles,0)))),"",OR(AND(INDEX(PlotData,MATCH($A248,PlotNumber,0),MATCH("Tenure",PlotTitles,0))="Open market housing",INDEX(PlotData,MATCH($A248,PlotNumber,0),MATCH("Tenure detail",PlotTitles,0))="Private rented sector"),INDEX(PlotData,MATCH($A248,PlotNumber,0),MATCH("Tenure",PlotTitles,0))="Affordable rent"),"",ISNUMBER(INDEX(PlotData,MATCH($A248,PlotNumber,0),MATCH(S$3,PlotTitles,0)))=FALSE, $AB$22,TRUE,"")</f>
        <v/>
      </c>
      <c r="T248" s="104" t="str" cm="1">
        <f t="array" ref="T248">_xlfn.IFS(AND(A248&gt;NumberOfPlots,ISBLANK(INDEX(PlotData,MATCH($A248,PlotNumber,0),MATCH(B$3,PlotTitles,0)))),"",OR(AND(INDEX(PlotData,MATCH($A248,PlotNumber,0),MATCH("Tenure",PlotTitles,0))="Open market housing",INDEX(PlotData,MATCH($A248,PlotNumber,0),MATCH("Tenure detail",PlotTitles,0))="Private rented sector"),INDEX(PlotData,MATCH($A248,PlotNumber,0),MATCH("Tenure",PlotTitles,0))="Affordable rent"),"",INDEX(PlotData,MATCH($A248,PlotNumber,0),MATCH(S$3,PlotTitles,0))&lt;10000, $AB$23,TRUE,"")</f>
        <v/>
      </c>
      <c r="U248" s="104" t="str" cm="1">
        <f t="array" ref="U248">_xlfn.IFS(AND(A248&gt;NumberOfPlots,ISBLANK(INDEX(PlotData,MATCH($A248,PlotNumber,0),MATCH(B$3,PlotTitles,0)))),"",NOT(OR(AND(INDEX(PlotData,MATCH($A248,PlotNumber,0),MATCH("Tenure",PlotTitles,0))="Open market housing",INDEX(PlotData,MATCH($A248,PlotNumber,0),MATCH("Tenure detail",PlotTitles,0))="Private rented sector"),INDEX(PlotData,MATCH($A248,PlotNumber,0),MATCH("Tenure",PlotTitles,0))="Affordable rent")),"",NOT(INDEX(PlotData,MATCH($A248,PlotNumber,0),MATCH(S$3,PlotTitles,0))=0), $AB$24,TRUE,"")</f>
        <v/>
      </c>
      <c r="V248" s="114" t="str" cm="1">
        <f t="array" aca="1" ref="V248" ca="1">_xlfn.IFS(ISBLANK(NumberOfPlots),"Enter the number of homes on the 1_SetUp sheet",AND(A248&gt;NumberOfPlots,ISBLANK(INDEX(PlotData,MATCH($A248,PlotNumber,0),MATCH(B$3,PlotTitles,0)))),"No error",NOT(B248=""),B248,NOT(C248=""),C248,NOT(D248=""),D248,NOT(E248=""),E248,NOT(F248=""),F248,NOT(G248=""),G248,NOT(H248=""),H248,NOT(I248=""),I248,NOT(J248=""),J248,NOT(K248=""),K248,NOT(L248=""),L248,NOT(M248=""),M248,NOT(N248=""),N248,NOT(O248=""),O248,NOT(P248=""),P248,NOT(Q248=""),Q248,NOT(R248=""),R248,NOT(S248=""),S248,NOT(T248=""),T248,NOT(U248=""),U248,TRUE,"No error")</f>
        <v>Enter the number of homes on the 1_SetUp sheet</v>
      </c>
      <c r="W248" s="114" t="str">
        <f t="shared" ca="1" si="11"/>
        <v xml:space="preserve">The Borrower has not addressed the following error messages for Home ID 244: </v>
      </c>
    </row>
    <row r="249" spans="1:23">
      <c r="A249" s="123">
        <v>245</v>
      </c>
      <c r="B249" s="104" t="str" cm="1">
        <f t="array" ref="B249">_xlfn.IFS(AND(A249&gt;NumberOfPlots,ISBLANK(INDEX(PlotData,MATCH($A249,PlotNumber,0),MATCH(B$3,PlotTitles,0)))),"",ISNUMBER(INDEX(PlotData,MATCH($A249,PlotNumber,0),MATCH(B$3,PlotTitles,0)))=FALSE, $AB$5,TRUE,"")</f>
        <v/>
      </c>
      <c r="C249" s="104" t="str" cm="1">
        <f t="array" ref="C249">_xlfn.IFS(AND(A249&gt;NumberOfPlots,ISBLANK(INDEX(PlotData,MATCH($A249,PlotNumber,0),MATCH(B$3,PlotTitles,0)))),"",ISBLANK(INDEX(PlotData,MATCH($A249,PlotNumber,0),MATCH(C$3,PlotTitles,0))),$AB$6,TRUE,"")</f>
        <v/>
      </c>
      <c r="D249" s="104" t="str" cm="1">
        <f t="array" ref="D249">_xlfn.IFS(AND(A249&gt;NumberOfPlots,ISBLANK(INDEX(PlotData,MATCH($A249,PlotNumber,0),MATCH(B$3,PlotTitles,0)))),"",ISBLANK(INDEX(PlotData,MATCH($A249,PlotNumber,0),MATCH(D$3,PlotTitles,0))),$AB$7,TRUE,"")</f>
        <v/>
      </c>
      <c r="E249" s="104" t="str" cm="1">
        <f t="array" ref="E249">_xlfn.IFS(AND(A249&gt;NumberOfPlots,ISBLANK(INDEX(PlotData,MATCH($A249,PlotNumber,0),MATCH(B$3,PlotTitles,0)))),"",ISBLANK(INDEX(PlotData,MATCH($A249,PlotNumber,0),MATCH(E$3,PlotTitles,0))),$AB$8,TRUE,"")</f>
        <v/>
      </c>
      <c r="F249" s="104" t="str" cm="1">
        <f t="array" ref="F249">_xlfn.IFS(AND(A249&gt;NumberOfPlots,ISBLANK(INDEX(PlotData,MATCH($A249,PlotNumber,0),MATCH(B$3,PlotTitles,0)))),"",ISBLANK(INDEX(PlotData,MATCH($A249,PlotNumber,0),MATCH(F$3,PlotTitles,0))),$AB$9,TRUE,"")</f>
        <v/>
      </c>
      <c r="G249" s="104" t="str" cm="1">
        <f t="array" ref="G249">_xlfn.IFS(AND(A249&gt;NumberOfPlots,ISBLANK(INDEX(PlotData,MATCH($A249,PlotNumber,0),MATCH(B$3,PlotTitles,0)))),"",ISBLANK(INDEX(PlotData,MATCH($A249,PlotNumber,0),MATCH(G$3,PlotTitles,0))),$AB$10,TRUE,"")</f>
        <v/>
      </c>
      <c r="H249" s="104" t="str" cm="1">
        <f t="array" ref="H249">_xlfn.IFS(AND(A249&gt;NumberOfPlots,ISBLANK(INDEX(PlotData,MATCH($A249,PlotNumber,0),MATCH(B$3,PlotTitles,0)))),"",AND(ISBLANK(INDEX(PlotData,MATCH($A249,PlotNumber,0),MATCH(H$3,PlotTitles,0)))=FALSE,INDEX(PlotData,MATCH($A249,PlotNumber,0),MATCH(H$3,PlotTitles,0))&lt;500), $AB$11,TRUE,"")</f>
        <v/>
      </c>
      <c r="I249" s="104" t="str" cm="1">
        <f t="array" ref="I249">_xlfn.IFS(AND(A249&gt;NumberOfPlots,ISBLANK(INDEX(PlotData,MATCH($A249,PlotNumber,0),MATCH(B$3,PlotTitles,0)))),"",ISBLANK(INDEX(PlotData,MATCH($A249,PlotNumber,0),MATCH(I$3,PlotTitles,0))),$AB$12,TRUE,"")</f>
        <v/>
      </c>
      <c r="J249" s="104" t="str" cm="1">
        <f t="array" ref="J249">_xlfn.IFS(AND(A249&gt;NumberOfPlots,ISBLANK(INDEX(PlotData,MATCH($A249,PlotNumber,0),MATCH(B$3,PlotTitles,0)))),"",ISBLANK(INDEX(PlotData,MATCH($A249,PlotNumber,0),MATCH(J$3,PlotTitles,0))),$AB$13,TRUE,"")</f>
        <v/>
      </c>
      <c r="K249" s="182" t="str">
        <f t="shared" ca="1" si="9"/>
        <v/>
      </c>
      <c r="L249" s="104" t="str" cm="1">
        <f t="array" ref="L249">_xlfn.IFS(OR(ISBLANK(StartDateMonth),ISBLANK(StartDateYear)),"",AND(A249&gt;NumberOfPlots,ISBLANK(INDEX(PlotData,MATCH($A249,PlotNumber,0),MATCH(B$3,PlotTitles,0)))),"",ISBLANK(INDEX(PlotData,MATCH($A249,PlotNumber,0),MATCH(I$3,PlotTitles,0))),"",(DATEVALUE(INDEX(PlotData,MATCH($A249,PlotNumber,0),MATCH(I$3,PlotTitles,0))&amp;INDEX(PlotData,MATCH($A249,PlotNumber,0),MATCH(J$3,PlotTitles,0))))&lt;DATEVALUE(StartDateMonth&amp;StartDateYear),$AB$15,TRUE,"")</f>
        <v/>
      </c>
      <c r="M249" s="104" t="str" cm="1">
        <f t="array" ref="M249">_xlfn.IFS(OR(ISBLANK(StartDateMonth),ISBLANK(StartDateYear)),"",AND(A249&gt;NumberOfPlots,ISBLANK(INDEX(PlotData,MATCH($A249,PlotNumber,0),MATCH(B$3,PlotTitles,0)))),"",ISBLANK(INDEX(PlotData,MATCH($A249,PlotNumber,0),MATCH(I$3,PlotTitles,0))),"",CompletionMonth="","",(DATEVALUE(INDEX(PlotData,MATCH($A249,PlotNumber,0),MATCH(I$3,PlotTitles,0))&amp;INDEX(PlotData,MATCH($A249,PlotNumber,0),MATCH(J$3,PlotTitles,0))))&gt;(DATEVALUE(CompletionMonth&amp;CompletionYear)),$AB$16,TRUE,"")</f>
        <v/>
      </c>
      <c r="N249" s="104" t="str" cm="1">
        <f t="array" ref="N249">_xlfn.IFS(AND(A249&gt;NumberOfPlots,ISBLANK(INDEX(PlotData,MATCH($A249,PlotNumber,0),MATCH(B$3,PlotTitles,0)))),"",ISBLANK(INDEX(PlotData,MATCH($A249,PlotNumber,0),MATCH(N$3,PlotTitles,0))),$AB$17,TRUE,"")</f>
        <v/>
      </c>
      <c r="O249" s="104" t="str" cm="1">
        <f t="array" ref="O249">_xlfn.IFS(AND(A249&gt;NumberOfPlots,ISBLANK(INDEX(PlotData,MATCH($A249,PlotNumber,0),MATCH(B$3,PlotTitles,0)))),"",ISBLANK(INDEX(PlotData,MATCH($A249,PlotNumber,0),MATCH(O$3,PlotTitles,0))),$AB$18,TRUE,"")</f>
        <v/>
      </c>
      <c r="P249" s="182" t="str">
        <f t="shared" ca="1" si="10"/>
        <v/>
      </c>
      <c r="Q249" s="104" t="str" cm="1">
        <f t="array" ref="Q249">_xlfn.IFS(AND(A249&gt;NumberOfPlots,ISBLANK(INDEX(PlotData,MATCH($A249,PlotNumber,0),MATCH(B$3,PlotTitles,0)))),"",ISBLANK(INDEX(PlotData,MATCH($A249,PlotNumber,0),MATCH(N$3,PlotTitles,0))),"",(DATEVALUE(INDEX(PlotData,MATCH($A249,PlotNumber,0),MATCH(N$3,PlotTitles,0))&amp;INDEX(PlotData,MATCH($A249,PlotNumber,0),MATCH(O$3,PlotTitles,0))))&lt;(DATEVALUE(INDEX(PlotData,MATCH($A249,PlotNumber,0),MATCH(I$3,PlotTitles,0))&amp;INDEX(PlotData,MATCH($A249,PlotNumber,0),MATCH(J$3,PlotTitles,0)))),$AB$20,TRUE,"")</f>
        <v/>
      </c>
      <c r="R249" s="104" t="str" cm="1">
        <f t="array" ref="R249">_xlfn.IFS(OR(ISBLANK(StartDateMonth),ISBLANK(StartDateYear)),"",AND(A249&gt;NumberOfPlots,ISBLANK(INDEX(PlotData,MATCH($A249,PlotNumber,0),MATCH(B$3,PlotTitles,0)))),"",ISBLANK(INDEX(PlotData,MATCH($A249,PlotNumber,0),MATCH(N$3,PlotTitles,0))),"",CompletionMonth="","",(DATEVALUE(INDEX(PlotData,MATCH($A249,PlotNumber,0),MATCH(N$3,PlotTitles,0))&amp;INDEX(PlotData,MATCH($A249,PlotNumber,0),MATCH(O$3,PlotTitles,0))))&gt;(DATEVALUE(CompletionMonth&amp;CompletionYear)),$AB$21,TRUE,"")</f>
        <v/>
      </c>
      <c r="S249" s="104" t="str" cm="1">
        <f t="array" ref="S249">_xlfn.IFS(AND(A249&gt;NumberOfPlots,ISBLANK(INDEX(PlotData,MATCH($A249,PlotNumber,0),MATCH(B$3,PlotTitles,0)))),"",OR(AND(INDEX(PlotData,MATCH($A249,PlotNumber,0),MATCH("Tenure",PlotTitles,0))="Open market housing",INDEX(PlotData,MATCH($A249,PlotNumber,0),MATCH("Tenure detail",PlotTitles,0))="Private rented sector"),INDEX(PlotData,MATCH($A249,PlotNumber,0),MATCH("Tenure",PlotTitles,0))="Affordable rent"),"",ISNUMBER(INDEX(PlotData,MATCH($A249,PlotNumber,0),MATCH(S$3,PlotTitles,0)))=FALSE, $AB$22,TRUE,"")</f>
        <v/>
      </c>
      <c r="T249" s="104" t="str" cm="1">
        <f t="array" ref="T249">_xlfn.IFS(AND(A249&gt;NumberOfPlots,ISBLANK(INDEX(PlotData,MATCH($A249,PlotNumber,0),MATCH(B$3,PlotTitles,0)))),"",OR(AND(INDEX(PlotData,MATCH($A249,PlotNumber,0),MATCH("Tenure",PlotTitles,0))="Open market housing",INDEX(PlotData,MATCH($A249,PlotNumber,0),MATCH("Tenure detail",PlotTitles,0))="Private rented sector"),INDEX(PlotData,MATCH($A249,PlotNumber,0),MATCH("Tenure",PlotTitles,0))="Affordable rent"),"",INDEX(PlotData,MATCH($A249,PlotNumber,0),MATCH(S$3,PlotTitles,0))&lt;10000, $AB$23,TRUE,"")</f>
        <v/>
      </c>
      <c r="U249" s="104" t="str" cm="1">
        <f t="array" ref="U249">_xlfn.IFS(AND(A249&gt;NumberOfPlots,ISBLANK(INDEX(PlotData,MATCH($A249,PlotNumber,0),MATCH(B$3,PlotTitles,0)))),"",NOT(OR(AND(INDEX(PlotData,MATCH($A249,PlotNumber,0),MATCH("Tenure",PlotTitles,0))="Open market housing",INDEX(PlotData,MATCH($A249,PlotNumber,0),MATCH("Tenure detail",PlotTitles,0))="Private rented sector"),INDEX(PlotData,MATCH($A249,PlotNumber,0),MATCH("Tenure",PlotTitles,0))="Affordable rent")),"",NOT(INDEX(PlotData,MATCH($A249,PlotNumber,0),MATCH(S$3,PlotTitles,0))=0), $AB$24,TRUE,"")</f>
        <v/>
      </c>
      <c r="V249" s="114" t="str" cm="1">
        <f t="array" aca="1" ref="V249" ca="1">_xlfn.IFS(ISBLANK(NumberOfPlots),"Enter the number of homes on the 1_SetUp sheet",AND(A249&gt;NumberOfPlots,ISBLANK(INDEX(PlotData,MATCH($A249,PlotNumber,0),MATCH(B$3,PlotTitles,0)))),"No error",NOT(B249=""),B249,NOT(C249=""),C249,NOT(D249=""),D249,NOT(E249=""),E249,NOT(F249=""),F249,NOT(G249=""),G249,NOT(H249=""),H249,NOT(I249=""),I249,NOT(J249=""),J249,NOT(K249=""),K249,NOT(L249=""),L249,NOT(M249=""),M249,NOT(N249=""),N249,NOT(O249=""),O249,NOT(P249=""),P249,NOT(Q249=""),Q249,NOT(R249=""),R249,NOT(S249=""),S249,NOT(T249=""),T249,NOT(U249=""),U249,TRUE,"No error")</f>
        <v>Enter the number of homes on the 1_SetUp sheet</v>
      </c>
      <c r="W249" s="114" t="str">
        <f t="shared" ca="1" si="11"/>
        <v xml:space="preserve">The Borrower has not addressed the following error messages for Home ID 245: </v>
      </c>
    </row>
    <row r="250" spans="1:23">
      <c r="A250" s="123">
        <v>246</v>
      </c>
      <c r="B250" s="104" t="str" cm="1">
        <f t="array" ref="B250">_xlfn.IFS(AND(A250&gt;NumberOfPlots,ISBLANK(INDEX(PlotData,MATCH($A250,PlotNumber,0),MATCH(B$3,PlotTitles,0)))),"",ISNUMBER(INDEX(PlotData,MATCH($A250,PlotNumber,0),MATCH(B$3,PlotTitles,0)))=FALSE, $AB$5,TRUE,"")</f>
        <v/>
      </c>
      <c r="C250" s="104" t="str" cm="1">
        <f t="array" ref="C250">_xlfn.IFS(AND(A250&gt;NumberOfPlots,ISBLANK(INDEX(PlotData,MATCH($A250,PlotNumber,0),MATCH(B$3,PlotTitles,0)))),"",ISBLANK(INDEX(PlotData,MATCH($A250,PlotNumber,0),MATCH(C$3,PlotTitles,0))),$AB$6,TRUE,"")</f>
        <v/>
      </c>
      <c r="D250" s="104" t="str" cm="1">
        <f t="array" ref="D250">_xlfn.IFS(AND(A250&gt;NumberOfPlots,ISBLANK(INDEX(PlotData,MATCH($A250,PlotNumber,0),MATCH(B$3,PlotTitles,0)))),"",ISBLANK(INDEX(PlotData,MATCH($A250,PlotNumber,0),MATCH(D$3,PlotTitles,0))),$AB$7,TRUE,"")</f>
        <v/>
      </c>
      <c r="E250" s="104" t="str" cm="1">
        <f t="array" ref="E250">_xlfn.IFS(AND(A250&gt;NumberOfPlots,ISBLANK(INDEX(PlotData,MATCH($A250,PlotNumber,0),MATCH(B$3,PlotTitles,0)))),"",ISBLANK(INDEX(PlotData,MATCH($A250,PlotNumber,0),MATCH(E$3,PlotTitles,0))),$AB$8,TRUE,"")</f>
        <v/>
      </c>
      <c r="F250" s="104" t="str" cm="1">
        <f t="array" ref="F250">_xlfn.IFS(AND(A250&gt;NumberOfPlots,ISBLANK(INDEX(PlotData,MATCH($A250,PlotNumber,0),MATCH(B$3,PlotTitles,0)))),"",ISBLANK(INDEX(PlotData,MATCH($A250,PlotNumber,0),MATCH(F$3,PlotTitles,0))),$AB$9,TRUE,"")</f>
        <v/>
      </c>
      <c r="G250" s="104" t="str" cm="1">
        <f t="array" ref="G250">_xlfn.IFS(AND(A250&gt;NumberOfPlots,ISBLANK(INDEX(PlotData,MATCH($A250,PlotNumber,0),MATCH(B$3,PlotTitles,0)))),"",ISBLANK(INDEX(PlotData,MATCH($A250,PlotNumber,0),MATCH(G$3,PlotTitles,0))),$AB$10,TRUE,"")</f>
        <v/>
      </c>
      <c r="H250" s="104" t="str" cm="1">
        <f t="array" ref="H250">_xlfn.IFS(AND(A250&gt;NumberOfPlots,ISBLANK(INDEX(PlotData,MATCH($A250,PlotNumber,0),MATCH(B$3,PlotTitles,0)))),"",AND(ISBLANK(INDEX(PlotData,MATCH($A250,PlotNumber,0),MATCH(H$3,PlotTitles,0)))=FALSE,INDEX(PlotData,MATCH($A250,PlotNumber,0),MATCH(H$3,PlotTitles,0))&lt;500), $AB$11,TRUE,"")</f>
        <v/>
      </c>
      <c r="I250" s="104" t="str" cm="1">
        <f t="array" ref="I250">_xlfn.IFS(AND(A250&gt;NumberOfPlots,ISBLANK(INDEX(PlotData,MATCH($A250,PlotNumber,0),MATCH(B$3,PlotTitles,0)))),"",ISBLANK(INDEX(PlotData,MATCH($A250,PlotNumber,0),MATCH(I$3,PlotTitles,0))),$AB$12,TRUE,"")</f>
        <v/>
      </c>
      <c r="J250" s="104" t="str" cm="1">
        <f t="array" ref="J250">_xlfn.IFS(AND(A250&gt;NumberOfPlots,ISBLANK(INDEX(PlotData,MATCH($A250,PlotNumber,0),MATCH(B$3,PlotTitles,0)))),"",ISBLANK(INDEX(PlotData,MATCH($A250,PlotNumber,0),MATCH(J$3,PlotTitles,0))),$AB$13,TRUE,"")</f>
        <v/>
      </c>
      <c r="K250" s="182" t="str">
        <f t="shared" ca="1" si="9"/>
        <v/>
      </c>
      <c r="L250" s="104" t="str" cm="1">
        <f t="array" ref="L250">_xlfn.IFS(OR(ISBLANK(StartDateMonth),ISBLANK(StartDateYear)),"",AND(A250&gt;NumberOfPlots,ISBLANK(INDEX(PlotData,MATCH($A250,PlotNumber,0),MATCH(B$3,PlotTitles,0)))),"",ISBLANK(INDEX(PlotData,MATCH($A250,PlotNumber,0),MATCH(I$3,PlotTitles,0))),"",(DATEVALUE(INDEX(PlotData,MATCH($A250,PlotNumber,0),MATCH(I$3,PlotTitles,0))&amp;INDEX(PlotData,MATCH($A250,PlotNumber,0),MATCH(J$3,PlotTitles,0))))&lt;DATEVALUE(StartDateMonth&amp;StartDateYear),$AB$15,TRUE,"")</f>
        <v/>
      </c>
      <c r="M250" s="104" t="str" cm="1">
        <f t="array" ref="M250">_xlfn.IFS(OR(ISBLANK(StartDateMonth),ISBLANK(StartDateYear)),"",AND(A250&gt;NumberOfPlots,ISBLANK(INDEX(PlotData,MATCH($A250,PlotNumber,0),MATCH(B$3,PlotTitles,0)))),"",ISBLANK(INDEX(PlotData,MATCH($A250,PlotNumber,0),MATCH(I$3,PlotTitles,0))),"",CompletionMonth="","",(DATEVALUE(INDEX(PlotData,MATCH($A250,PlotNumber,0),MATCH(I$3,PlotTitles,0))&amp;INDEX(PlotData,MATCH($A250,PlotNumber,0),MATCH(J$3,PlotTitles,0))))&gt;(DATEVALUE(CompletionMonth&amp;CompletionYear)),$AB$16,TRUE,"")</f>
        <v/>
      </c>
      <c r="N250" s="104" t="str" cm="1">
        <f t="array" ref="N250">_xlfn.IFS(AND(A250&gt;NumberOfPlots,ISBLANK(INDEX(PlotData,MATCH($A250,PlotNumber,0),MATCH(B$3,PlotTitles,0)))),"",ISBLANK(INDEX(PlotData,MATCH($A250,PlotNumber,0),MATCH(N$3,PlotTitles,0))),$AB$17,TRUE,"")</f>
        <v/>
      </c>
      <c r="O250" s="104" t="str" cm="1">
        <f t="array" ref="O250">_xlfn.IFS(AND(A250&gt;NumberOfPlots,ISBLANK(INDEX(PlotData,MATCH($A250,PlotNumber,0),MATCH(B$3,PlotTitles,0)))),"",ISBLANK(INDEX(PlotData,MATCH($A250,PlotNumber,0),MATCH(O$3,PlotTitles,0))),$AB$18,TRUE,"")</f>
        <v/>
      </c>
      <c r="P250" s="182" t="str">
        <f t="shared" ca="1" si="10"/>
        <v/>
      </c>
      <c r="Q250" s="104" t="str" cm="1">
        <f t="array" ref="Q250">_xlfn.IFS(AND(A250&gt;NumberOfPlots,ISBLANK(INDEX(PlotData,MATCH($A250,PlotNumber,0),MATCH(B$3,PlotTitles,0)))),"",ISBLANK(INDEX(PlotData,MATCH($A250,PlotNumber,0),MATCH(N$3,PlotTitles,0))),"",(DATEVALUE(INDEX(PlotData,MATCH($A250,PlotNumber,0),MATCH(N$3,PlotTitles,0))&amp;INDEX(PlotData,MATCH($A250,PlotNumber,0),MATCH(O$3,PlotTitles,0))))&lt;(DATEVALUE(INDEX(PlotData,MATCH($A250,PlotNumber,0),MATCH(I$3,PlotTitles,0))&amp;INDEX(PlotData,MATCH($A250,PlotNumber,0),MATCH(J$3,PlotTitles,0)))),$AB$20,TRUE,"")</f>
        <v/>
      </c>
      <c r="R250" s="104" t="str" cm="1">
        <f t="array" ref="R250">_xlfn.IFS(OR(ISBLANK(StartDateMonth),ISBLANK(StartDateYear)),"",AND(A250&gt;NumberOfPlots,ISBLANK(INDEX(PlotData,MATCH($A250,PlotNumber,0),MATCH(B$3,PlotTitles,0)))),"",ISBLANK(INDEX(PlotData,MATCH($A250,PlotNumber,0),MATCH(N$3,PlotTitles,0))),"",CompletionMonth="","",(DATEVALUE(INDEX(PlotData,MATCH($A250,PlotNumber,0),MATCH(N$3,PlotTitles,0))&amp;INDEX(PlotData,MATCH($A250,PlotNumber,0),MATCH(O$3,PlotTitles,0))))&gt;(DATEVALUE(CompletionMonth&amp;CompletionYear)),$AB$21,TRUE,"")</f>
        <v/>
      </c>
      <c r="S250" s="104" t="str" cm="1">
        <f t="array" ref="S250">_xlfn.IFS(AND(A250&gt;NumberOfPlots,ISBLANK(INDEX(PlotData,MATCH($A250,PlotNumber,0),MATCH(B$3,PlotTitles,0)))),"",OR(AND(INDEX(PlotData,MATCH($A250,PlotNumber,0),MATCH("Tenure",PlotTitles,0))="Open market housing",INDEX(PlotData,MATCH($A250,PlotNumber,0),MATCH("Tenure detail",PlotTitles,0))="Private rented sector"),INDEX(PlotData,MATCH($A250,PlotNumber,0),MATCH("Tenure",PlotTitles,0))="Affordable rent"),"",ISNUMBER(INDEX(PlotData,MATCH($A250,PlotNumber,0),MATCH(S$3,PlotTitles,0)))=FALSE, $AB$22,TRUE,"")</f>
        <v/>
      </c>
      <c r="T250" s="104" t="str" cm="1">
        <f t="array" ref="T250">_xlfn.IFS(AND(A250&gt;NumberOfPlots,ISBLANK(INDEX(PlotData,MATCH($A250,PlotNumber,0),MATCH(B$3,PlotTitles,0)))),"",OR(AND(INDEX(PlotData,MATCH($A250,PlotNumber,0),MATCH("Tenure",PlotTitles,0))="Open market housing",INDEX(PlotData,MATCH($A250,PlotNumber,0),MATCH("Tenure detail",PlotTitles,0))="Private rented sector"),INDEX(PlotData,MATCH($A250,PlotNumber,0),MATCH("Tenure",PlotTitles,0))="Affordable rent"),"",INDEX(PlotData,MATCH($A250,PlotNumber,0),MATCH(S$3,PlotTitles,0))&lt;10000, $AB$23,TRUE,"")</f>
        <v/>
      </c>
      <c r="U250" s="104" t="str" cm="1">
        <f t="array" ref="U250">_xlfn.IFS(AND(A250&gt;NumberOfPlots,ISBLANK(INDEX(PlotData,MATCH($A250,PlotNumber,0),MATCH(B$3,PlotTitles,0)))),"",NOT(OR(AND(INDEX(PlotData,MATCH($A250,PlotNumber,0),MATCH("Tenure",PlotTitles,0))="Open market housing",INDEX(PlotData,MATCH($A250,PlotNumber,0),MATCH("Tenure detail",PlotTitles,0))="Private rented sector"),INDEX(PlotData,MATCH($A250,PlotNumber,0),MATCH("Tenure",PlotTitles,0))="Affordable rent")),"",NOT(INDEX(PlotData,MATCH($A250,PlotNumber,0),MATCH(S$3,PlotTitles,0))=0), $AB$24,TRUE,"")</f>
        <v/>
      </c>
      <c r="V250" s="114" t="str" cm="1">
        <f t="array" aca="1" ref="V250" ca="1">_xlfn.IFS(ISBLANK(NumberOfPlots),"Enter the number of homes on the 1_SetUp sheet",AND(A250&gt;NumberOfPlots,ISBLANK(INDEX(PlotData,MATCH($A250,PlotNumber,0),MATCH(B$3,PlotTitles,0)))),"No error",NOT(B250=""),B250,NOT(C250=""),C250,NOT(D250=""),D250,NOT(E250=""),E250,NOT(F250=""),F250,NOT(G250=""),G250,NOT(H250=""),H250,NOT(I250=""),I250,NOT(J250=""),J250,NOT(K250=""),K250,NOT(L250=""),L250,NOT(M250=""),M250,NOT(N250=""),N250,NOT(O250=""),O250,NOT(P250=""),P250,NOT(Q250=""),Q250,NOT(R250=""),R250,NOT(S250=""),S250,NOT(T250=""),T250,NOT(U250=""),U250,TRUE,"No error")</f>
        <v>Enter the number of homes on the 1_SetUp sheet</v>
      </c>
      <c r="W250" s="114" t="str">
        <f t="shared" ca="1" si="11"/>
        <v xml:space="preserve">The Borrower has not addressed the following error messages for Home ID 246: </v>
      </c>
    </row>
    <row r="251" spans="1:23">
      <c r="A251" s="123">
        <v>247</v>
      </c>
      <c r="B251" s="104" t="str" cm="1">
        <f t="array" ref="B251">_xlfn.IFS(AND(A251&gt;NumberOfPlots,ISBLANK(INDEX(PlotData,MATCH($A251,PlotNumber,0),MATCH(B$3,PlotTitles,0)))),"",ISNUMBER(INDEX(PlotData,MATCH($A251,PlotNumber,0),MATCH(B$3,PlotTitles,0)))=FALSE, $AB$5,TRUE,"")</f>
        <v/>
      </c>
      <c r="C251" s="104" t="str" cm="1">
        <f t="array" ref="C251">_xlfn.IFS(AND(A251&gt;NumberOfPlots,ISBLANK(INDEX(PlotData,MATCH($A251,PlotNumber,0),MATCH(B$3,PlotTitles,0)))),"",ISBLANK(INDEX(PlotData,MATCH($A251,PlotNumber,0),MATCH(C$3,PlotTitles,0))),$AB$6,TRUE,"")</f>
        <v/>
      </c>
      <c r="D251" s="104" t="str" cm="1">
        <f t="array" ref="D251">_xlfn.IFS(AND(A251&gt;NumberOfPlots,ISBLANK(INDEX(PlotData,MATCH($A251,PlotNumber,0),MATCH(B$3,PlotTitles,0)))),"",ISBLANK(INDEX(PlotData,MATCH($A251,PlotNumber,0),MATCH(D$3,PlotTitles,0))),$AB$7,TRUE,"")</f>
        <v/>
      </c>
      <c r="E251" s="104" t="str" cm="1">
        <f t="array" ref="E251">_xlfn.IFS(AND(A251&gt;NumberOfPlots,ISBLANK(INDEX(PlotData,MATCH($A251,PlotNumber,0),MATCH(B$3,PlotTitles,0)))),"",ISBLANK(INDEX(PlotData,MATCH($A251,PlotNumber,0),MATCH(E$3,PlotTitles,0))),$AB$8,TRUE,"")</f>
        <v/>
      </c>
      <c r="F251" s="104" t="str" cm="1">
        <f t="array" ref="F251">_xlfn.IFS(AND(A251&gt;NumberOfPlots,ISBLANK(INDEX(PlotData,MATCH($A251,PlotNumber,0),MATCH(B$3,PlotTitles,0)))),"",ISBLANK(INDEX(PlotData,MATCH($A251,PlotNumber,0),MATCH(F$3,PlotTitles,0))),$AB$9,TRUE,"")</f>
        <v/>
      </c>
      <c r="G251" s="104" t="str" cm="1">
        <f t="array" ref="G251">_xlfn.IFS(AND(A251&gt;NumberOfPlots,ISBLANK(INDEX(PlotData,MATCH($A251,PlotNumber,0),MATCH(B$3,PlotTitles,0)))),"",ISBLANK(INDEX(PlotData,MATCH($A251,PlotNumber,0),MATCH(G$3,PlotTitles,0))),$AB$10,TRUE,"")</f>
        <v/>
      </c>
      <c r="H251" s="104" t="str" cm="1">
        <f t="array" ref="H251">_xlfn.IFS(AND(A251&gt;NumberOfPlots,ISBLANK(INDEX(PlotData,MATCH($A251,PlotNumber,0),MATCH(B$3,PlotTitles,0)))),"",AND(ISBLANK(INDEX(PlotData,MATCH($A251,PlotNumber,0),MATCH(H$3,PlotTitles,0)))=FALSE,INDEX(PlotData,MATCH($A251,PlotNumber,0),MATCH(H$3,PlotTitles,0))&lt;500), $AB$11,TRUE,"")</f>
        <v/>
      </c>
      <c r="I251" s="104" t="str" cm="1">
        <f t="array" ref="I251">_xlfn.IFS(AND(A251&gt;NumberOfPlots,ISBLANK(INDEX(PlotData,MATCH($A251,PlotNumber,0),MATCH(B$3,PlotTitles,0)))),"",ISBLANK(INDEX(PlotData,MATCH($A251,PlotNumber,0),MATCH(I$3,PlotTitles,0))),$AB$12,TRUE,"")</f>
        <v/>
      </c>
      <c r="J251" s="104" t="str" cm="1">
        <f t="array" ref="J251">_xlfn.IFS(AND(A251&gt;NumberOfPlots,ISBLANK(INDEX(PlotData,MATCH($A251,PlotNumber,0),MATCH(B$3,PlotTitles,0)))),"",ISBLANK(INDEX(PlotData,MATCH($A251,PlotNumber,0),MATCH(J$3,PlotTitles,0))),$AB$13,TRUE,"")</f>
        <v/>
      </c>
      <c r="K251" s="182" t="str">
        <f t="shared" ca="1" si="9"/>
        <v/>
      </c>
      <c r="L251" s="104" t="str" cm="1">
        <f t="array" ref="L251">_xlfn.IFS(OR(ISBLANK(StartDateMonth),ISBLANK(StartDateYear)),"",AND(A251&gt;NumberOfPlots,ISBLANK(INDEX(PlotData,MATCH($A251,PlotNumber,0),MATCH(B$3,PlotTitles,0)))),"",ISBLANK(INDEX(PlotData,MATCH($A251,PlotNumber,0),MATCH(I$3,PlotTitles,0))),"",(DATEVALUE(INDEX(PlotData,MATCH($A251,PlotNumber,0),MATCH(I$3,PlotTitles,0))&amp;INDEX(PlotData,MATCH($A251,PlotNumber,0),MATCH(J$3,PlotTitles,0))))&lt;DATEVALUE(StartDateMonth&amp;StartDateYear),$AB$15,TRUE,"")</f>
        <v/>
      </c>
      <c r="M251" s="104" t="str" cm="1">
        <f t="array" ref="M251">_xlfn.IFS(OR(ISBLANK(StartDateMonth),ISBLANK(StartDateYear)),"",AND(A251&gt;NumberOfPlots,ISBLANK(INDEX(PlotData,MATCH($A251,PlotNumber,0),MATCH(B$3,PlotTitles,0)))),"",ISBLANK(INDEX(PlotData,MATCH($A251,PlotNumber,0),MATCH(I$3,PlotTitles,0))),"",CompletionMonth="","",(DATEVALUE(INDEX(PlotData,MATCH($A251,PlotNumber,0),MATCH(I$3,PlotTitles,0))&amp;INDEX(PlotData,MATCH($A251,PlotNumber,0),MATCH(J$3,PlotTitles,0))))&gt;(DATEVALUE(CompletionMonth&amp;CompletionYear)),$AB$16,TRUE,"")</f>
        <v/>
      </c>
      <c r="N251" s="104" t="str" cm="1">
        <f t="array" ref="N251">_xlfn.IFS(AND(A251&gt;NumberOfPlots,ISBLANK(INDEX(PlotData,MATCH($A251,PlotNumber,0),MATCH(B$3,PlotTitles,0)))),"",ISBLANK(INDEX(PlotData,MATCH($A251,PlotNumber,0),MATCH(N$3,PlotTitles,0))),$AB$17,TRUE,"")</f>
        <v/>
      </c>
      <c r="O251" s="104" t="str" cm="1">
        <f t="array" ref="O251">_xlfn.IFS(AND(A251&gt;NumberOfPlots,ISBLANK(INDEX(PlotData,MATCH($A251,PlotNumber,0),MATCH(B$3,PlotTitles,0)))),"",ISBLANK(INDEX(PlotData,MATCH($A251,PlotNumber,0),MATCH(O$3,PlotTitles,0))),$AB$18,TRUE,"")</f>
        <v/>
      </c>
      <c r="P251" s="182" t="str">
        <f t="shared" ca="1" si="10"/>
        <v/>
      </c>
      <c r="Q251" s="104" t="str" cm="1">
        <f t="array" ref="Q251">_xlfn.IFS(AND(A251&gt;NumberOfPlots,ISBLANK(INDEX(PlotData,MATCH($A251,PlotNumber,0),MATCH(B$3,PlotTitles,0)))),"",ISBLANK(INDEX(PlotData,MATCH($A251,PlotNumber,0),MATCH(N$3,PlotTitles,0))),"",(DATEVALUE(INDEX(PlotData,MATCH($A251,PlotNumber,0),MATCH(N$3,PlotTitles,0))&amp;INDEX(PlotData,MATCH($A251,PlotNumber,0),MATCH(O$3,PlotTitles,0))))&lt;(DATEVALUE(INDEX(PlotData,MATCH($A251,PlotNumber,0),MATCH(I$3,PlotTitles,0))&amp;INDEX(PlotData,MATCH($A251,PlotNumber,0),MATCH(J$3,PlotTitles,0)))),$AB$20,TRUE,"")</f>
        <v/>
      </c>
      <c r="R251" s="104" t="str" cm="1">
        <f t="array" ref="R251">_xlfn.IFS(OR(ISBLANK(StartDateMonth),ISBLANK(StartDateYear)),"",AND(A251&gt;NumberOfPlots,ISBLANK(INDEX(PlotData,MATCH($A251,PlotNumber,0),MATCH(B$3,PlotTitles,0)))),"",ISBLANK(INDEX(PlotData,MATCH($A251,PlotNumber,0),MATCH(N$3,PlotTitles,0))),"",CompletionMonth="","",(DATEVALUE(INDEX(PlotData,MATCH($A251,PlotNumber,0),MATCH(N$3,PlotTitles,0))&amp;INDEX(PlotData,MATCH($A251,PlotNumber,0),MATCH(O$3,PlotTitles,0))))&gt;(DATEVALUE(CompletionMonth&amp;CompletionYear)),$AB$21,TRUE,"")</f>
        <v/>
      </c>
      <c r="S251" s="104" t="str" cm="1">
        <f t="array" ref="S251">_xlfn.IFS(AND(A251&gt;NumberOfPlots,ISBLANK(INDEX(PlotData,MATCH($A251,PlotNumber,0),MATCH(B$3,PlotTitles,0)))),"",OR(AND(INDEX(PlotData,MATCH($A251,PlotNumber,0),MATCH("Tenure",PlotTitles,0))="Open market housing",INDEX(PlotData,MATCH($A251,PlotNumber,0),MATCH("Tenure detail",PlotTitles,0))="Private rented sector"),INDEX(PlotData,MATCH($A251,PlotNumber,0),MATCH("Tenure",PlotTitles,0))="Affordable rent"),"",ISNUMBER(INDEX(PlotData,MATCH($A251,PlotNumber,0),MATCH(S$3,PlotTitles,0)))=FALSE, $AB$22,TRUE,"")</f>
        <v/>
      </c>
      <c r="T251" s="104" t="str" cm="1">
        <f t="array" ref="T251">_xlfn.IFS(AND(A251&gt;NumberOfPlots,ISBLANK(INDEX(PlotData,MATCH($A251,PlotNumber,0),MATCH(B$3,PlotTitles,0)))),"",OR(AND(INDEX(PlotData,MATCH($A251,PlotNumber,0),MATCH("Tenure",PlotTitles,0))="Open market housing",INDEX(PlotData,MATCH($A251,PlotNumber,0),MATCH("Tenure detail",PlotTitles,0))="Private rented sector"),INDEX(PlotData,MATCH($A251,PlotNumber,0),MATCH("Tenure",PlotTitles,0))="Affordable rent"),"",INDEX(PlotData,MATCH($A251,PlotNumber,0),MATCH(S$3,PlotTitles,0))&lt;10000, $AB$23,TRUE,"")</f>
        <v/>
      </c>
      <c r="U251" s="104" t="str" cm="1">
        <f t="array" ref="U251">_xlfn.IFS(AND(A251&gt;NumberOfPlots,ISBLANK(INDEX(PlotData,MATCH($A251,PlotNumber,0),MATCH(B$3,PlotTitles,0)))),"",NOT(OR(AND(INDEX(PlotData,MATCH($A251,PlotNumber,0),MATCH("Tenure",PlotTitles,0))="Open market housing",INDEX(PlotData,MATCH($A251,PlotNumber,0),MATCH("Tenure detail",PlotTitles,0))="Private rented sector"),INDEX(PlotData,MATCH($A251,PlotNumber,0),MATCH("Tenure",PlotTitles,0))="Affordable rent")),"",NOT(INDEX(PlotData,MATCH($A251,PlotNumber,0),MATCH(S$3,PlotTitles,0))=0), $AB$24,TRUE,"")</f>
        <v/>
      </c>
      <c r="V251" s="114" t="str" cm="1">
        <f t="array" aca="1" ref="V251" ca="1">_xlfn.IFS(ISBLANK(NumberOfPlots),"Enter the number of homes on the 1_SetUp sheet",AND(A251&gt;NumberOfPlots,ISBLANK(INDEX(PlotData,MATCH($A251,PlotNumber,0),MATCH(B$3,PlotTitles,0)))),"No error",NOT(B251=""),B251,NOT(C251=""),C251,NOT(D251=""),D251,NOT(E251=""),E251,NOT(F251=""),F251,NOT(G251=""),G251,NOT(H251=""),H251,NOT(I251=""),I251,NOT(J251=""),J251,NOT(K251=""),K251,NOT(L251=""),L251,NOT(M251=""),M251,NOT(N251=""),N251,NOT(O251=""),O251,NOT(P251=""),P251,NOT(Q251=""),Q251,NOT(R251=""),R251,NOT(S251=""),S251,NOT(T251=""),T251,NOT(U251=""),U251,TRUE,"No error")</f>
        <v>Enter the number of homes on the 1_SetUp sheet</v>
      </c>
      <c r="W251" s="114" t="str">
        <f t="shared" ca="1" si="11"/>
        <v xml:space="preserve">The Borrower has not addressed the following error messages for Home ID 247: </v>
      </c>
    </row>
    <row r="252" spans="1:23">
      <c r="A252" s="123">
        <v>248</v>
      </c>
      <c r="B252" s="104" t="str" cm="1">
        <f t="array" ref="B252">_xlfn.IFS(AND(A252&gt;NumberOfPlots,ISBLANK(INDEX(PlotData,MATCH($A252,PlotNumber,0),MATCH(B$3,PlotTitles,0)))),"",ISNUMBER(INDEX(PlotData,MATCH($A252,PlotNumber,0),MATCH(B$3,PlotTitles,0)))=FALSE, $AB$5,TRUE,"")</f>
        <v/>
      </c>
      <c r="C252" s="104" t="str" cm="1">
        <f t="array" ref="C252">_xlfn.IFS(AND(A252&gt;NumberOfPlots,ISBLANK(INDEX(PlotData,MATCH($A252,PlotNumber,0),MATCH(B$3,PlotTitles,0)))),"",ISBLANK(INDEX(PlotData,MATCH($A252,PlotNumber,0),MATCH(C$3,PlotTitles,0))),$AB$6,TRUE,"")</f>
        <v/>
      </c>
      <c r="D252" s="104" t="str" cm="1">
        <f t="array" ref="D252">_xlfn.IFS(AND(A252&gt;NumberOfPlots,ISBLANK(INDEX(PlotData,MATCH($A252,PlotNumber,0),MATCH(B$3,PlotTitles,0)))),"",ISBLANK(INDEX(PlotData,MATCH($A252,PlotNumber,0),MATCH(D$3,PlotTitles,0))),$AB$7,TRUE,"")</f>
        <v/>
      </c>
      <c r="E252" s="104" t="str" cm="1">
        <f t="array" ref="E252">_xlfn.IFS(AND(A252&gt;NumberOfPlots,ISBLANK(INDEX(PlotData,MATCH($A252,PlotNumber,0),MATCH(B$3,PlotTitles,0)))),"",ISBLANK(INDEX(PlotData,MATCH($A252,PlotNumber,0),MATCH(E$3,PlotTitles,0))),$AB$8,TRUE,"")</f>
        <v/>
      </c>
      <c r="F252" s="104" t="str" cm="1">
        <f t="array" ref="F252">_xlfn.IFS(AND(A252&gt;NumberOfPlots,ISBLANK(INDEX(PlotData,MATCH($A252,PlotNumber,0),MATCH(B$3,PlotTitles,0)))),"",ISBLANK(INDEX(PlotData,MATCH($A252,PlotNumber,0),MATCH(F$3,PlotTitles,0))),$AB$9,TRUE,"")</f>
        <v/>
      </c>
      <c r="G252" s="104" t="str" cm="1">
        <f t="array" ref="G252">_xlfn.IFS(AND(A252&gt;NumberOfPlots,ISBLANK(INDEX(PlotData,MATCH($A252,PlotNumber,0),MATCH(B$3,PlotTitles,0)))),"",ISBLANK(INDEX(PlotData,MATCH($A252,PlotNumber,0),MATCH(G$3,PlotTitles,0))),$AB$10,TRUE,"")</f>
        <v/>
      </c>
      <c r="H252" s="104" t="str" cm="1">
        <f t="array" ref="H252">_xlfn.IFS(AND(A252&gt;NumberOfPlots,ISBLANK(INDEX(PlotData,MATCH($A252,PlotNumber,0),MATCH(B$3,PlotTitles,0)))),"",AND(ISBLANK(INDEX(PlotData,MATCH($A252,PlotNumber,0),MATCH(H$3,PlotTitles,0)))=FALSE,INDEX(PlotData,MATCH($A252,PlotNumber,0),MATCH(H$3,PlotTitles,0))&lt;500), $AB$11,TRUE,"")</f>
        <v/>
      </c>
      <c r="I252" s="104" t="str" cm="1">
        <f t="array" ref="I252">_xlfn.IFS(AND(A252&gt;NumberOfPlots,ISBLANK(INDEX(PlotData,MATCH($A252,PlotNumber,0),MATCH(B$3,PlotTitles,0)))),"",ISBLANK(INDEX(PlotData,MATCH($A252,PlotNumber,0),MATCH(I$3,PlotTitles,0))),$AB$12,TRUE,"")</f>
        <v/>
      </c>
      <c r="J252" s="104" t="str" cm="1">
        <f t="array" ref="J252">_xlfn.IFS(AND(A252&gt;NumberOfPlots,ISBLANK(INDEX(PlotData,MATCH($A252,PlotNumber,0),MATCH(B$3,PlotTitles,0)))),"",ISBLANK(INDEX(PlotData,MATCH($A252,PlotNumber,0),MATCH(J$3,PlotTitles,0))),$AB$13,TRUE,"")</f>
        <v/>
      </c>
      <c r="K252" s="182" t="str">
        <f t="shared" ca="1" si="9"/>
        <v/>
      </c>
      <c r="L252" s="104" t="str" cm="1">
        <f t="array" ref="L252">_xlfn.IFS(OR(ISBLANK(StartDateMonth),ISBLANK(StartDateYear)),"",AND(A252&gt;NumberOfPlots,ISBLANK(INDEX(PlotData,MATCH($A252,PlotNumber,0),MATCH(B$3,PlotTitles,0)))),"",ISBLANK(INDEX(PlotData,MATCH($A252,PlotNumber,0),MATCH(I$3,PlotTitles,0))),"",(DATEVALUE(INDEX(PlotData,MATCH($A252,PlotNumber,0),MATCH(I$3,PlotTitles,0))&amp;INDEX(PlotData,MATCH($A252,PlotNumber,0),MATCH(J$3,PlotTitles,0))))&lt;DATEVALUE(StartDateMonth&amp;StartDateYear),$AB$15,TRUE,"")</f>
        <v/>
      </c>
      <c r="M252" s="104" t="str" cm="1">
        <f t="array" ref="M252">_xlfn.IFS(OR(ISBLANK(StartDateMonth),ISBLANK(StartDateYear)),"",AND(A252&gt;NumberOfPlots,ISBLANK(INDEX(PlotData,MATCH($A252,PlotNumber,0),MATCH(B$3,PlotTitles,0)))),"",ISBLANK(INDEX(PlotData,MATCH($A252,PlotNumber,0),MATCH(I$3,PlotTitles,0))),"",CompletionMonth="","",(DATEVALUE(INDEX(PlotData,MATCH($A252,PlotNumber,0),MATCH(I$3,PlotTitles,0))&amp;INDEX(PlotData,MATCH($A252,PlotNumber,0),MATCH(J$3,PlotTitles,0))))&gt;(DATEVALUE(CompletionMonth&amp;CompletionYear)),$AB$16,TRUE,"")</f>
        <v/>
      </c>
      <c r="N252" s="104" t="str" cm="1">
        <f t="array" ref="N252">_xlfn.IFS(AND(A252&gt;NumberOfPlots,ISBLANK(INDEX(PlotData,MATCH($A252,PlotNumber,0),MATCH(B$3,PlotTitles,0)))),"",ISBLANK(INDEX(PlotData,MATCH($A252,PlotNumber,0),MATCH(N$3,PlotTitles,0))),$AB$17,TRUE,"")</f>
        <v/>
      </c>
      <c r="O252" s="104" t="str" cm="1">
        <f t="array" ref="O252">_xlfn.IFS(AND(A252&gt;NumberOfPlots,ISBLANK(INDEX(PlotData,MATCH($A252,PlotNumber,0),MATCH(B$3,PlotTitles,0)))),"",ISBLANK(INDEX(PlotData,MATCH($A252,PlotNumber,0),MATCH(O$3,PlotTitles,0))),$AB$18,TRUE,"")</f>
        <v/>
      </c>
      <c r="P252" s="182" t="str">
        <f t="shared" ca="1" si="10"/>
        <v/>
      </c>
      <c r="Q252" s="104" t="str" cm="1">
        <f t="array" ref="Q252">_xlfn.IFS(AND(A252&gt;NumberOfPlots,ISBLANK(INDEX(PlotData,MATCH($A252,PlotNumber,0),MATCH(B$3,PlotTitles,0)))),"",ISBLANK(INDEX(PlotData,MATCH($A252,PlotNumber,0),MATCH(N$3,PlotTitles,0))),"",(DATEVALUE(INDEX(PlotData,MATCH($A252,PlotNumber,0),MATCH(N$3,PlotTitles,0))&amp;INDEX(PlotData,MATCH($A252,PlotNumber,0),MATCH(O$3,PlotTitles,0))))&lt;(DATEVALUE(INDEX(PlotData,MATCH($A252,PlotNumber,0),MATCH(I$3,PlotTitles,0))&amp;INDEX(PlotData,MATCH($A252,PlotNumber,0),MATCH(J$3,PlotTitles,0)))),$AB$20,TRUE,"")</f>
        <v/>
      </c>
      <c r="R252" s="104" t="str" cm="1">
        <f t="array" ref="R252">_xlfn.IFS(OR(ISBLANK(StartDateMonth),ISBLANK(StartDateYear)),"",AND(A252&gt;NumberOfPlots,ISBLANK(INDEX(PlotData,MATCH($A252,PlotNumber,0),MATCH(B$3,PlotTitles,0)))),"",ISBLANK(INDEX(PlotData,MATCH($A252,PlotNumber,0),MATCH(N$3,PlotTitles,0))),"",CompletionMonth="","",(DATEVALUE(INDEX(PlotData,MATCH($A252,PlotNumber,0),MATCH(N$3,PlotTitles,0))&amp;INDEX(PlotData,MATCH($A252,PlotNumber,0),MATCH(O$3,PlotTitles,0))))&gt;(DATEVALUE(CompletionMonth&amp;CompletionYear)),$AB$21,TRUE,"")</f>
        <v/>
      </c>
      <c r="S252" s="104" t="str" cm="1">
        <f t="array" ref="S252">_xlfn.IFS(AND(A252&gt;NumberOfPlots,ISBLANK(INDEX(PlotData,MATCH($A252,PlotNumber,0),MATCH(B$3,PlotTitles,0)))),"",OR(AND(INDEX(PlotData,MATCH($A252,PlotNumber,0),MATCH("Tenure",PlotTitles,0))="Open market housing",INDEX(PlotData,MATCH($A252,PlotNumber,0),MATCH("Tenure detail",PlotTitles,0))="Private rented sector"),INDEX(PlotData,MATCH($A252,PlotNumber,0),MATCH("Tenure",PlotTitles,0))="Affordable rent"),"",ISNUMBER(INDEX(PlotData,MATCH($A252,PlotNumber,0),MATCH(S$3,PlotTitles,0)))=FALSE, $AB$22,TRUE,"")</f>
        <v/>
      </c>
      <c r="T252" s="104" t="str" cm="1">
        <f t="array" ref="T252">_xlfn.IFS(AND(A252&gt;NumberOfPlots,ISBLANK(INDEX(PlotData,MATCH($A252,PlotNumber,0),MATCH(B$3,PlotTitles,0)))),"",OR(AND(INDEX(PlotData,MATCH($A252,PlotNumber,0),MATCH("Tenure",PlotTitles,0))="Open market housing",INDEX(PlotData,MATCH($A252,PlotNumber,0),MATCH("Tenure detail",PlotTitles,0))="Private rented sector"),INDEX(PlotData,MATCH($A252,PlotNumber,0),MATCH("Tenure",PlotTitles,0))="Affordable rent"),"",INDEX(PlotData,MATCH($A252,PlotNumber,0),MATCH(S$3,PlotTitles,0))&lt;10000, $AB$23,TRUE,"")</f>
        <v/>
      </c>
      <c r="U252" s="104" t="str" cm="1">
        <f t="array" ref="U252">_xlfn.IFS(AND(A252&gt;NumberOfPlots,ISBLANK(INDEX(PlotData,MATCH($A252,PlotNumber,0),MATCH(B$3,PlotTitles,0)))),"",NOT(OR(AND(INDEX(PlotData,MATCH($A252,PlotNumber,0),MATCH("Tenure",PlotTitles,0))="Open market housing",INDEX(PlotData,MATCH($A252,PlotNumber,0),MATCH("Tenure detail",PlotTitles,0))="Private rented sector"),INDEX(PlotData,MATCH($A252,PlotNumber,0),MATCH("Tenure",PlotTitles,0))="Affordable rent")),"",NOT(INDEX(PlotData,MATCH($A252,PlotNumber,0),MATCH(S$3,PlotTitles,0))=0), $AB$24,TRUE,"")</f>
        <v/>
      </c>
      <c r="V252" s="114" t="str" cm="1">
        <f t="array" aca="1" ref="V252" ca="1">_xlfn.IFS(ISBLANK(NumberOfPlots),"Enter the number of homes on the 1_SetUp sheet",AND(A252&gt;NumberOfPlots,ISBLANK(INDEX(PlotData,MATCH($A252,PlotNumber,0),MATCH(B$3,PlotTitles,0)))),"No error",NOT(B252=""),B252,NOT(C252=""),C252,NOT(D252=""),D252,NOT(E252=""),E252,NOT(F252=""),F252,NOT(G252=""),G252,NOT(H252=""),H252,NOT(I252=""),I252,NOT(J252=""),J252,NOT(K252=""),K252,NOT(L252=""),L252,NOT(M252=""),M252,NOT(N252=""),N252,NOT(O252=""),O252,NOT(P252=""),P252,NOT(Q252=""),Q252,NOT(R252=""),R252,NOT(S252=""),S252,NOT(T252=""),T252,NOT(U252=""),U252,TRUE,"No error")</f>
        <v>Enter the number of homes on the 1_SetUp sheet</v>
      </c>
      <c r="W252" s="114" t="str">
        <f t="shared" ca="1" si="11"/>
        <v xml:space="preserve">The Borrower has not addressed the following error messages for Home ID 248: </v>
      </c>
    </row>
    <row r="253" spans="1:23">
      <c r="A253" s="123">
        <v>249</v>
      </c>
      <c r="B253" s="104" t="str" cm="1">
        <f t="array" ref="B253">_xlfn.IFS(AND(A253&gt;NumberOfPlots,ISBLANK(INDEX(PlotData,MATCH($A253,PlotNumber,0),MATCH(B$3,PlotTitles,0)))),"",ISNUMBER(INDEX(PlotData,MATCH($A253,PlotNumber,0),MATCH(B$3,PlotTitles,0)))=FALSE, $AB$5,TRUE,"")</f>
        <v/>
      </c>
      <c r="C253" s="104" t="str" cm="1">
        <f t="array" ref="C253">_xlfn.IFS(AND(A253&gt;NumberOfPlots,ISBLANK(INDEX(PlotData,MATCH($A253,PlotNumber,0),MATCH(B$3,PlotTitles,0)))),"",ISBLANK(INDEX(PlotData,MATCH($A253,PlotNumber,0),MATCH(C$3,PlotTitles,0))),$AB$6,TRUE,"")</f>
        <v/>
      </c>
      <c r="D253" s="104" t="str" cm="1">
        <f t="array" ref="D253">_xlfn.IFS(AND(A253&gt;NumberOfPlots,ISBLANK(INDEX(PlotData,MATCH($A253,PlotNumber,0),MATCH(B$3,PlotTitles,0)))),"",ISBLANK(INDEX(PlotData,MATCH($A253,PlotNumber,0),MATCH(D$3,PlotTitles,0))),$AB$7,TRUE,"")</f>
        <v/>
      </c>
      <c r="E253" s="104" t="str" cm="1">
        <f t="array" ref="E253">_xlfn.IFS(AND(A253&gt;NumberOfPlots,ISBLANK(INDEX(PlotData,MATCH($A253,PlotNumber,0),MATCH(B$3,PlotTitles,0)))),"",ISBLANK(INDEX(PlotData,MATCH($A253,PlotNumber,0),MATCH(E$3,PlotTitles,0))),$AB$8,TRUE,"")</f>
        <v/>
      </c>
      <c r="F253" s="104" t="str" cm="1">
        <f t="array" ref="F253">_xlfn.IFS(AND(A253&gt;NumberOfPlots,ISBLANK(INDEX(PlotData,MATCH($A253,PlotNumber,0),MATCH(B$3,PlotTitles,0)))),"",ISBLANK(INDEX(PlotData,MATCH($A253,PlotNumber,0),MATCH(F$3,PlotTitles,0))),$AB$9,TRUE,"")</f>
        <v/>
      </c>
      <c r="G253" s="104" t="str" cm="1">
        <f t="array" ref="G253">_xlfn.IFS(AND(A253&gt;NumberOfPlots,ISBLANK(INDEX(PlotData,MATCH($A253,PlotNumber,0),MATCH(B$3,PlotTitles,0)))),"",ISBLANK(INDEX(PlotData,MATCH($A253,PlotNumber,0),MATCH(G$3,PlotTitles,0))),$AB$10,TRUE,"")</f>
        <v/>
      </c>
      <c r="H253" s="104" t="str" cm="1">
        <f t="array" ref="H253">_xlfn.IFS(AND(A253&gt;NumberOfPlots,ISBLANK(INDEX(PlotData,MATCH($A253,PlotNumber,0),MATCH(B$3,PlotTitles,0)))),"",AND(ISBLANK(INDEX(PlotData,MATCH($A253,PlotNumber,0),MATCH(H$3,PlotTitles,0)))=FALSE,INDEX(PlotData,MATCH($A253,PlotNumber,0),MATCH(H$3,PlotTitles,0))&lt;500), $AB$11,TRUE,"")</f>
        <v/>
      </c>
      <c r="I253" s="104" t="str" cm="1">
        <f t="array" ref="I253">_xlfn.IFS(AND(A253&gt;NumberOfPlots,ISBLANK(INDEX(PlotData,MATCH($A253,PlotNumber,0),MATCH(B$3,PlotTitles,0)))),"",ISBLANK(INDEX(PlotData,MATCH($A253,PlotNumber,0),MATCH(I$3,PlotTitles,0))),$AB$12,TRUE,"")</f>
        <v/>
      </c>
      <c r="J253" s="104" t="str" cm="1">
        <f t="array" ref="J253">_xlfn.IFS(AND(A253&gt;NumberOfPlots,ISBLANK(INDEX(PlotData,MATCH($A253,PlotNumber,0),MATCH(B$3,PlotTitles,0)))),"",ISBLANK(INDEX(PlotData,MATCH($A253,PlotNumber,0),MATCH(J$3,PlotTitles,0))),$AB$13,TRUE,"")</f>
        <v/>
      </c>
      <c r="K253" s="182" t="str">
        <f t="shared" ca="1" si="9"/>
        <v/>
      </c>
      <c r="L253" s="104" t="str" cm="1">
        <f t="array" ref="L253">_xlfn.IFS(OR(ISBLANK(StartDateMonth),ISBLANK(StartDateYear)),"",AND(A253&gt;NumberOfPlots,ISBLANK(INDEX(PlotData,MATCH($A253,PlotNumber,0),MATCH(B$3,PlotTitles,0)))),"",ISBLANK(INDEX(PlotData,MATCH($A253,PlotNumber,0),MATCH(I$3,PlotTitles,0))),"",(DATEVALUE(INDEX(PlotData,MATCH($A253,PlotNumber,0),MATCH(I$3,PlotTitles,0))&amp;INDEX(PlotData,MATCH($A253,PlotNumber,0),MATCH(J$3,PlotTitles,0))))&lt;DATEVALUE(StartDateMonth&amp;StartDateYear),$AB$15,TRUE,"")</f>
        <v/>
      </c>
      <c r="M253" s="104" t="str" cm="1">
        <f t="array" ref="M253">_xlfn.IFS(OR(ISBLANK(StartDateMonth),ISBLANK(StartDateYear)),"",AND(A253&gt;NumberOfPlots,ISBLANK(INDEX(PlotData,MATCH($A253,PlotNumber,0),MATCH(B$3,PlotTitles,0)))),"",ISBLANK(INDEX(PlotData,MATCH($A253,PlotNumber,0),MATCH(I$3,PlotTitles,0))),"",CompletionMonth="","",(DATEVALUE(INDEX(PlotData,MATCH($A253,PlotNumber,0),MATCH(I$3,PlotTitles,0))&amp;INDEX(PlotData,MATCH($A253,PlotNumber,0),MATCH(J$3,PlotTitles,0))))&gt;(DATEVALUE(CompletionMonth&amp;CompletionYear)),$AB$16,TRUE,"")</f>
        <v/>
      </c>
      <c r="N253" s="104" t="str" cm="1">
        <f t="array" ref="N253">_xlfn.IFS(AND(A253&gt;NumberOfPlots,ISBLANK(INDEX(PlotData,MATCH($A253,PlotNumber,0),MATCH(B$3,PlotTitles,0)))),"",ISBLANK(INDEX(PlotData,MATCH($A253,PlotNumber,0),MATCH(N$3,PlotTitles,0))),$AB$17,TRUE,"")</f>
        <v/>
      </c>
      <c r="O253" s="104" t="str" cm="1">
        <f t="array" ref="O253">_xlfn.IFS(AND(A253&gt;NumberOfPlots,ISBLANK(INDEX(PlotData,MATCH($A253,PlotNumber,0),MATCH(B$3,PlotTitles,0)))),"",ISBLANK(INDEX(PlotData,MATCH($A253,PlotNumber,0),MATCH(O$3,PlotTitles,0))),$AB$18,TRUE,"")</f>
        <v/>
      </c>
      <c r="P253" s="182" t="str">
        <f t="shared" ca="1" si="10"/>
        <v/>
      </c>
      <c r="Q253" s="104" t="str" cm="1">
        <f t="array" ref="Q253">_xlfn.IFS(AND(A253&gt;NumberOfPlots,ISBLANK(INDEX(PlotData,MATCH($A253,PlotNumber,0),MATCH(B$3,PlotTitles,0)))),"",ISBLANK(INDEX(PlotData,MATCH($A253,PlotNumber,0),MATCH(N$3,PlotTitles,0))),"",(DATEVALUE(INDEX(PlotData,MATCH($A253,PlotNumber,0),MATCH(N$3,PlotTitles,0))&amp;INDEX(PlotData,MATCH($A253,PlotNumber,0),MATCH(O$3,PlotTitles,0))))&lt;(DATEVALUE(INDEX(PlotData,MATCH($A253,PlotNumber,0),MATCH(I$3,PlotTitles,0))&amp;INDEX(PlotData,MATCH($A253,PlotNumber,0),MATCH(J$3,PlotTitles,0)))),$AB$20,TRUE,"")</f>
        <v/>
      </c>
      <c r="R253" s="104" t="str" cm="1">
        <f t="array" ref="R253">_xlfn.IFS(OR(ISBLANK(StartDateMonth),ISBLANK(StartDateYear)),"",AND(A253&gt;NumberOfPlots,ISBLANK(INDEX(PlotData,MATCH($A253,PlotNumber,0),MATCH(B$3,PlotTitles,0)))),"",ISBLANK(INDEX(PlotData,MATCH($A253,PlotNumber,0),MATCH(N$3,PlotTitles,0))),"",CompletionMonth="","",(DATEVALUE(INDEX(PlotData,MATCH($A253,PlotNumber,0),MATCH(N$3,PlotTitles,0))&amp;INDEX(PlotData,MATCH($A253,PlotNumber,0),MATCH(O$3,PlotTitles,0))))&gt;(DATEVALUE(CompletionMonth&amp;CompletionYear)),$AB$21,TRUE,"")</f>
        <v/>
      </c>
      <c r="S253" s="104" t="str" cm="1">
        <f t="array" ref="S253">_xlfn.IFS(AND(A253&gt;NumberOfPlots,ISBLANK(INDEX(PlotData,MATCH($A253,PlotNumber,0),MATCH(B$3,PlotTitles,0)))),"",OR(AND(INDEX(PlotData,MATCH($A253,PlotNumber,0),MATCH("Tenure",PlotTitles,0))="Open market housing",INDEX(PlotData,MATCH($A253,PlotNumber,0),MATCH("Tenure detail",PlotTitles,0))="Private rented sector"),INDEX(PlotData,MATCH($A253,PlotNumber,0),MATCH("Tenure",PlotTitles,0))="Affordable rent"),"",ISNUMBER(INDEX(PlotData,MATCH($A253,PlotNumber,0),MATCH(S$3,PlotTitles,0)))=FALSE, $AB$22,TRUE,"")</f>
        <v/>
      </c>
      <c r="T253" s="104" t="str" cm="1">
        <f t="array" ref="T253">_xlfn.IFS(AND(A253&gt;NumberOfPlots,ISBLANK(INDEX(PlotData,MATCH($A253,PlotNumber,0),MATCH(B$3,PlotTitles,0)))),"",OR(AND(INDEX(PlotData,MATCH($A253,PlotNumber,0),MATCH("Tenure",PlotTitles,0))="Open market housing",INDEX(PlotData,MATCH($A253,PlotNumber,0),MATCH("Tenure detail",PlotTitles,0))="Private rented sector"),INDEX(PlotData,MATCH($A253,PlotNumber,0),MATCH("Tenure",PlotTitles,0))="Affordable rent"),"",INDEX(PlotData,MATCH($A253,PlotNumber,0),MATCH(S$3,PlotTitles,0))&lt;10000, $AB$23,TRUE,"")</f>
        <v/>
      </c>
      <c r="U253" s="104" t="str" cm="1">
        <f t="array" ref="U253">_xlfn.IFS(AND(A253&gt;NumberOfPlots,ISBLANK(INDEX(PlotData,MATCH($A253,PlotNumber,0),MATCH(B$3,PlotTitles,0)))),"",NOT(OR(AND(INDEX(PlotData,MATCH($A253,PlotNumber,0),MATCH("Tenure",PlotTitles,0))="Open market housing",INDEX(PlotData,MATCH($A253,PlotNumber,0),MATCH("Tenure detail",PlotTitles,0))="Private rented sector"),INDEX(PlotData,MATCH($A253,PlotNumber,0),MATCH("Tenure",PlotTitles,0))="Affordable rent")),"",NOT(INDEX(PlotData,MATCH($A253,PlotNumber,0),MATCH(S$3,PlotTitles,0))=0), $AB$24,TRUE,"")</f>
        <v/>
      </c>
      <c r="V253" s="114" t="str" cm="1">
        <f t="array" aca="1" ref="V253" ca="1">_xlfn.IFS(ISBLANK(NumberOfPlots),"Enter the number of homes on the 1_SetUp sheet",AND(A253&gt;NumberOfPlots,ISBLANK(INDEX(PlotData,MATCH($A253,PlotNumber,0),MATCH(B$3,PlotTitles,0)))),"No error",NOT(B253=""),B253,NOT(C253=""),C253,NOT(D253=""),D253,NOT(E253=""),E253,NOT(F253=""),F253,NOT(G253=""),G253,NOT(H253=""),H253,NOT(I253=""),I253,NOT(J253=""),J253,NOT(K253=""),K253,NOT(L253=""),L253,NOT(M253=""),M253,NOT(N253=""),N253,NOT(O253=""),O253,NOT(P253=""),P253,NOT(Q253=""),Q253,NOT(R253=""),R253,NOT(S253=""),S253,NOT(T253=""),T253,NOT(U253=""),U253,TRUE,"No error")</f>
        <v>Enter the number of homes on the 1_SetUp sheet</v>
      </c>
      <c r="W253" s="114" t="str">
        <f t="shared" ca="1" si="11"/>
        <v xml:space="preserve">The Borrower has not addressed the following error messages for Home ID 249: </v>
      </c>
    </row>
    <row r="254" spans="1:23">
      <c r="A254" s="123">
        <v>250</v>
      </c>
      <c r="B254" s="104" t="str" cm="1">
        <f t="array" ref="B254">_xlfn.IFS(AND(A254&gt;NumberOfPlots,ISBLANK(INDEX(PlotData,MATCH($A254,PlotNumber,0),MATCH(B$3,PlotTitles,0)))),"",ISNUMBER(INDEX(PlotData,MATCH($A254,PlotNumber,0),MATCH(B$3,PlotTitles,0)))=FALSE, $AB$5,TRUE,"")</f>
        <v/>
      </c>
      <c r="C254" s="104" t="str" cm="1">
        <f t="array" ref="C254">_xlfn.IFS(AND(A254&gt;NumberOfPlots,ISBLANK(INDEX(PlotData,MATCH($A254,PlotNumber,0),MATCH(B$3,PlotTitles,0)))),"",ISBLANK(INDEX(PlotData,MATCH($A254,PlotNumber,0),MATCH(C$3,PlotTitles,0))),$AB$6,TRUE,"")</f>
        <v/>
      </c>
      <c r="D254" s="104" t="str" cm="1">
        <f t="array" ref="D254">_xlfn.IFS(AND(A254&gt;NumberOfPlots,ISBLANK(INDEX(PlotData,MATCH($A254,PlotNumber,0),MATCH(B$3,PlotTitles,0)))),"",ISBLANK(INDEX(PlotData,MATCH($A254,PlotNumber,0),MATCH(D$3,PlotTitles,0))),$AB$7,TRUE,"")</f>
        <v/>
      </c>
      <c r="E254" s="104" t="str" cm="1">
        <f t="array" ref="E254">_xlfn.IFS(AND(A254&gt;NumberOfPlots,ISBLANK(INDEX(PlotData,MATCH($A254,PlotNumber,0),MATCH(B$3,PlotTitles,0)))),"",ISBLANK(INDEX(PlotData,MATCH($A254,PlotNumber,0),MATCH(E$3,PlotTitles,0))),$AB$8,TRUE,"")</f>
        <v/>
      </c>
      <c r="F254" s="104" t="str" cm="1">
        <f t="array" ref="F254">_xlfn.IFS(AND(A254&gt;NumberOfPlots,ISBLANK(INDEX(PlotData,MATCH($A254,PlotNumber,0),MATCH(B$3,PlotTitles,0)))),"",ISBLANK(INDEX(PlotData,MATCH($A254,PlotNumber,0),MATCH(F$3,PlotTitles,0))),$AB$9,TRUE,"")</f>
        <v/>
      </c>
      <c r="G254" s="104" t="str" cm="1">
        <f t="array" ref="G254">_xlfn.IFS(AND(A254&gt;NumberOfPlots,ISBLANK(INDEX(PlotData,MATCH($A254,PlotNumber,0),MATCH(B$3,PlotTitles,0)))),"",ISBLANK(INDEX(PlotData,MATCH($A254,PlotNumber,0),MATCH(G$3,PlotTitles,0))),$AB$10,TRUE,"")</f>
        <v/>
      </c>
      <c r="H254" s="104" t="str" cm="1">
        <f t="array" ref="H254">_xlfn.IFS(AND(A254&gt;NumberOfPlots,ISBLANK(INDEX(PlotData,MATCH($A254,PlotNumber,0),MATCH(B$3,PlotTitles,0)))),"",AND(ISBLANK(INDEX(PlotData,MATCH($A254,PlotNumber,0),MATCH(H$3,PlotTitles,0)))=FALSE,INDEX(PlotData,MATCH($A254,PlotNumber,0),MATCH(H$3,PlotTitles,0))&lt;500), $AB$11,TRUE,"")</f>
        <v/>
      </c>
      <c r="I254" s="104" t="str" cm="1">
        <f t="array" ref="I254">_xlfn.IFS(AND(A254&gt;NumberOfPlots,ISBLANK(INDEX(PlotData,MATCH($A254,PlotNumber,0),MATCH(B$3,PlotTitles,0)))),"",ISBLANK(INDEX(PlotData,MATCH($A254,PlotNumber,0),MATCH(I$3,PlotTitles,0))),$AB$12,TRUE,"")</f>
        <v/>
      </c>
      <c r="J254" s="104" t="str" cm="1">
        <f t="array" ref="J254">_xlfn.IFS(AND(A254&gt;NumberOfPlots,ISBLANK(INDEX(PlotData,MATCH($A254,PlotNumber,0),MATCH(B$3,PlotTitles,0)))),"",ISBLANK(INDEX(PlotData,MATCH($A254,PlotNumber,0),MATCH(J$3,PlotTitles,0))),$AB$13,TRUE,"")</f>
        <v/>
      </c>
      <c r="K254" s="182" t="str">
        <f t="shared" ca="1" si="9"/>
        <v/>
      </c>
      <c r="L254" s="104" t="str" cm="1">
        <f t="array" ref="L254">_xlfn.IFS(OR(ISBLANK(StartDateMonth),ISBLANK(StartDateYear)),"",AND(A254&gt;NumberOfPlots,ISBLANK(INDEX(PlotData,MATCH($A254,PlotNumber,0),MATCH(B$3,PlotTitles,0)))),"",ISBLANK(INDEX(PlotData,MATCH($A254,PlotNumber,0),MATCH(I$3,PlotTitles,0))),"",(DATEVALUE(INDEX(PlotData,MATCH($A254,PlotNumber,0),MATCH(I$3,PlotTitles,0))&amp;INDEX(PlotData,MATCH($A254,PlotNumber,0),MATCH(J$3,PlotTitles,0))))&lt;DATEVALUE(StartDateMonth&amp;StartDateYear),$AB$15,TRUE,"")</f>
        <v/>
      </c>
      <c r="M254" s="104" t="str" cm="1">
        <f t="array" ref="M254">_xlfn.IFS(OR(ISBLANK(StartDateMonth),ISBLANK(StartDateYear)),"",AND(A254&gt;NumberOfPlots,ISBLANK(INDEX(PlotData,MATCH($A254,PlotNumber,0),MATCH(B$3,PlotTitles,0)))),"",ISBLANK(INDEX(PlotData,MATCH($A254,PlotNumber,0),MATCH(I$3,PlotTitles,0))),"",CompletionMonth="","",(DATEVALUE(INDEX(PlotData,MATCH($A254,PlotNumber,0),MATCH(I$3,PlotTitles,0))&amp;INDEX(PlotData,MATCH($A254,PlotNumber,0),MATCH(J$3,PlotTitles,0))))&gt;(DATEVALUE(CompletionMonth&amp;CompletionYear)),$AB$16,TRUE,"")</f>
        <v/>
      </c>
      <c r="N254" s="104" t="str" cm="1">
        <f t="array" ref="N254">_xlfn.IFS(AND(A254&gt;NumberOfPlots,ISBLANK(INDEX(PlotData,MATCH($A254,PlotNumber,0),MATCH(B$3,PlotTitles,0)))),"",ISBLANK(INDEX(PlotData,MATCH($A254,PlotNumber,0),MATCH(N$3,PlotTitles,0))),$AB$17,TRUE,"")</f>
        <v/>
      </c>
      <c r="O254" s="104" t="str" cm="1">
        <f t="array" ref="O254">_xlfn.IFS(AND(A254&gt;NumberOfPlots,ISBLANK(INDEX(PlotData,MATCH($A254,PlotNumber,0),MATCH(B$3,PlotTitles,0)))),"",ISBLANK(INDEX(PlotData,MATCH($A254,PlotNumber,0),MATCH(O$3,PlotTitles,0))),$AB$18,TRUE,"")</f>
        <v/>
      </c>
      <c r="P254" s="182" t="str">
        <f t="shared" ca="1" si="10"/>
        <v/>
      </c>
      <c r="Q254" s="104" t="str" cm="1">
        <f t="array" ref="Q254">_xlfn.IFS(AND(A254&gt;NumberOfPlots,ISBLANK(INDEX(PlotData,MATCH($A254,PlotNumber,0),MATCH(B$3,PlotTitles,0)))),"",ISBLANK(INDEX(PlotData,MATCH($A254,PlotNumber,0),MATCH(N$3,PlotTitles,0))),"",(DATEVALUE(INDEX(PlotData,MATCH($A254,PlotNumber,0),MATCH(N$3,PlotTitles,0))&amp;INDEX(PlotData,MATCH($A254,PlotNumber,0),MATCH(O$3,PlotTitles,0))))&lt;(DATEVALUE(INDEX(PlotData,MATCH($A254,PlotNumber,0),MATCH(I$3,PlotTitles,0))&amp;INDEX(PlotData,MATCH($A254,PlotNumber,0),MATCH(J$3,PlotTitles,0)))),$AB$20,TRUE,"")</f>
        <v/>
      </c>
      <c r="R254" s="104" t="str" cm="1">
        <f t="array" ref="R254">_xlfn.IFS(OR(ISBLANK(StartDateMonth),ISBLANK(StartDateYear)),"",AND(A254&gt;NumberOfPlots,ISBLANK(INDEX(PlotData,MATCH($A254,PlotNumber,0),MATCH(B$3,PlotTitles,0)))),"",ISBLANK(INDEX(PlotData,MATCH($A254,PlotNumber,0),MATCH(N$3,PlotTitles,0))),"",CompletionMonth="","",(DATEVALUE(INDEX(PlotData,MATCH($A254,PlotNumber,0),MATCH(N$3,PlotTitles,0))&amp;INDEX(PlotData,MATCH($A254,PlotNumber,0),MATCH(O$3,PlotTitles,0))))&gt;(DATEVALUE(CompletionMonth&amp;CompletionYear)),$AB$21,TRUE,"")</f>
        <v/>
      </c>
      <c r="S254" s="104" t="str" cm="1">
        <f t="array" ref="S254">_xlfn.IFS(AND(A254&gt;NumberOfPlots,ISBLANK(INDEX(PlotData,MATCH($A254,PlotNumber,0),MATCH(B$3,PlotTitles,0)))),"",OR(AND(INDEX(PlotData,MATCH($A254,PlotNumber,0),MATCH("Tenure",PlotTitles,0))="Open market housing",INDEX(PlotData,MATCH($A254,PlotNumber,0),MATCH("Tenure detail",PlotTitles,0))="Private rented sector"),INDEX(PlotData,MATCH($A254,PlotNumber,0),MATCH("Tenure",PlotTitles,0))="Affordable rent"),"",ISNUMBER(INDEX(PlotData,MATCH($A254,PlotNumber,0),MATCH(S$3,PlotTitles,0)))=FALSE, $AB$22,TRUE,"")</f>
        <v/>
      </c>
      <c r="T254" s="104" t="str" cm="1">
        <f t="array" ref="T254">_xlfn.IFS(AND(A254&gt;NumberOfPlots,ISBLANK(INDEX(PlotData,MATCH($A254,PlotNumber,0),MATCH(B$3,PlotTitles,0)))),"",OR(AND(INDEX(PlotData,MATCH($A254,PlotNumber,0),MATCH("Tenure",PlotTitles,0))="Open market housing",INDEX(PlotData,MATCH($A254,PlotNumber,0),MATCH("Tenure detail",PlotTitles,0))="Private rented sector"),INDEX(PlotData,MATCH($A254,PlotNumber,0),MATCH("Tenure",PlotTitles,0))="Affordable rent"),"",INDEX(PlotData,MATCH($A254,PlotNumber,0),MATCH(S$3,PlotTitles,0))&lt;10000, $AB$23,TRUE,"")</f>
        <v/>
      </c>
      <c r="U254" s="104" t="str" cm="1">
        <f t="array" ref="U254">_xlfn.IFS(AND(A254&gt;NumberOfPlots,ISBLANK(INDEX(PlotData,MATCH($A254,PlotNumber,0),MATCH(B$3,PlotTitles,0)))),"",NOT(OR(AND(INDEX(PlotData,MATCH($A254,PlotNumber,0),MATCH("Tenure",PlotTitles,0))="Open market housing",INDEX(PlotData,MATCH($A254,PlotNumber,0),MATCH("Tenure detail",PlotTitles,0))="Private rented sector"),INDEX(PlotData,MATCH($A254,PlotNumber,0),MATCH("Tenure",PlotTitles,0))="Affordable rent")),"",NOT(INDEX(PlotData,MATCH($A254,PlotNumber,0),MATCH(S$3,PlotTitles,0))=0), $AB$24,TRUE,"")</f>
        <v/>
      </c>
      <c r="V254" s="114" t="str" cm="1">
        <f t="array" aca="1" ref="V254" ca="1">_xlfn.IFS(ISBLANK(NumberOfPlots),"Enter the number of homes on the 1_SetUp sheet",AND(A254&gt;NumberOfPlots,ISBLANK(INDEX(PlotData,MATCH($A254,PlotNumber,0),MATCH(B$3,PlotTitles,0)))),"No error",NOT(B254=""),B254,NOT(C254=""),C254,NOT(D254=""),D254,NOT(E254=""),E254,NOT(F254=""),F254,NOT(G254=""),G254,NOT(H254=""),H254,NOT(I254=""),I254,NOT(J254=""),J254,NOT(K254=""),K254,NOT(L254=""),L254,NOT(M254=""),M254,NOT(N254=""),N254,NOT(O254=""),O254,NOT(P254=""),P254,NOT(Q254=""),Q254,NOT(R254=""),R254,NOT(S254=""),S254,NOT(T254=""),T254,NOT(U254=""),U254,TRUE,"No error")</f>
        <v>Enter the number of homes on the 1_SetUp sheet</v>
      </c>
      <c r="W254" s="114" t="str">
        <f t="shared" ca="1" si="11"/>
        <v xml:space="preserve">The Borrower has not addressed the following error messages for Home ID 250: </v>
      </c>
    </row>
    <row r="255" spans="1:23">
      <c r="A255" s="123">
        <v>251</v>
      </c>
      <c r="B255" s="104" t="str" cm="1">
        <f t="array" ref="B255">_xlfn.IFS(AND(A255&gt;NumberOfPlots,ISBLANK(INDEX(PlotData,MATCH($A255,PlotNumber,0),MATCH(B$3,PlotTitles,0)))),"",ISNUMBER(INDEX(PlotData,MATCH($A255,PlotNumber,0),MATCH(B$3,PlotTitles,0)))=FALSE, $AB$5,TRUE,"")</f>
        <v/>
      </c>
      <c r="C255" s="104" t="str" cm="1">
        <f t="array" ref="C255">_xlfn.IFS(AND(A255&gt;NumberOfPlots,ISBLANK(INDEX(PlotData,MATCH($A255,PlotNumber,0),MATCH(B$3,PlotTitles,0)))),"",ISBLANK(INDEX(PlotData,MATCH($A255,PlotNumber,0),MATCH(C$3,PlotTitles,0))),$AB$6,TRUE,"")</f>
        <v/>
      </c>
      <c r="D255" s="104" t="str" cm="1">
        <f t="array" ref="D255">_xlfn.IFS(AND(A255&gt;NumberOfPlots,ISBLANK(INDEX(PlotData,MATCH($A255,PlotNumber,0),MATCH(B$3,PlotTitles,0)))),"",ISBLANK(INDEX(PlotData,MATCH($A255,PlotNumber,0),MATCH(D$3,PlotTitles,0))),$AB$7,TRUE,"")</f>
        <v/>
      </c>
      <c r="E255" s="104" t="str" cm="1">
        <f t="array" ref="E255">_xlfn.IFS(AND(A255&gt;NumberOfPlots,ISBLANK(INDEX(PlotData,MATCH($A255,PlotNumber,0),MATCH(B$3,PlotTitles,0)))),"",ISBLANK(INDEX(PlotData,MATCH($A255,PlotNumber,0),MATCH(E$3,PlotTitles,0))),$AB$8,TRUE,"")</f>
        <v/>
      </c>
      <c r="F255" s="104" t="str" cm="1">
        <f t="array" ref="F255">_xlfn.IFS(AND(A255&gt;NumberOfPlots,ISBLANK(INDEX(PlotData,MATCH($A255,PlotNumber,0),MATCH(B$3,PlotTitles,0)))),"",ISBLANK(INDEX(PlotData,MATCH($A255,PlotNumber,0),MATCH(F$3,PlotTitles,0))),$AB$9,TRUE,"")</f>
        <v/>
      </c>
      <c r="G255" s="104" t="str" cm="1">
        <f t="array" ref="G255">_xlfn.IFS(AND(A255&gt;NumberOfPlots,ISBLANK(INDEX(PlotData,MATCH($A255,PlotNumber,0),MATCH(B$3,PlotTitles,0)))),"",ISBLANK(INDEX(PlotData,MATCH($A255,PlotNumber,0),MATCH(G$3,PlotTitles,0))),$AB$10,TRUE,"")</f>
        <v/>
      </c>
      <c r="H255" s="104" t="str" cm="1">
        <f t="array" ref="H255">_xlfn.IFS(AND(A255&gt;NumberOfPlots,ISBLANK(INDEX(PlotData,MATCH($A255,PlotNumber,0),MATCH(B$3,PlotTitles,0)))),"",AND(ISBLANK(INDEX(PlotData,MATCH($A255,PlotNumber,0),MATCH(H$3,PlotTitles,0)))=FALSE,INDEX(PlotData,MATCH($A255,PlotNumber,0),MATCH(H$3,PlotTitles,0))&lt;500), $AB$11,TRUE,"")</f>
        <v/>
      </c>
      <c r="I255" s="104" t="str" cm="1">
        <f t="array" ref="I255">_xlfn.IFS(AND(A255&gt;NumberOfPlots,ISBLANK(INDEX(PlotData,MATCH($A255,PlotNumber,0),MATCH(B$3,PlotTitles,0)))),"",ISBLANK(INDEX(PlotData,MATCH($A255,PlotNumber,0),MATCH(I$3,PlotTitles,0))),$AB$12,TRUE,"")</f>
        <v/>
      </c>
      <c r="J255" s="104" t="str" cm="1">
        <f t="array" ref="J255">_xlfn.IFS(AND(A255&gt;NumberOfPlots,ISBLANK(INDEX(PlotData,MATCH($A255,PlotNumber,0),MATCH(B$3,PlotTitles,0)))),"",ISBLANK(INDEX(PlotData,MATCH($A255,PlotNumber,0),MATCH(J$3,PlotTitles,0))),$AB$13,TRUE,"")</f>
        <v/>
      </c>
      <c r="K255" s="182" t="str">
        <f t="shared" ca="1" si="9"/>
        <v/>
      </c>
      <c r="L255" s="104" t="str" cm="1">
        <f t="array" ref="L255">_xlfn.IFS(OR(ISBLANK(StartDateMonth),ISBLANK(StartDateYear)),"",AND(A255&gt;NumberOfPlots,ISBLANK(INDEX(PlotData,MATCH($A255,PlotNumber,0),MATCH(B$3,PlotTitles,0)))),"",ISBLANK(INDEX(PlotData,MATCH($A255,PlotNumber,0),MATCH(I$3,PlotTitles,0))),"",(DATEVALUE(INDEX(PlotData,MATCH($A255,PlotNumber,0),MATCH(I$3,PlotTitles,0))&amp;INDEX(PlotData,MATCH($A255,PlotNumber,0),MATCH(J$3,PlotTitles,0))))&lt;DATEVALUE(StartDateMonth&amp;StartDateYear),$AB$15,TRUE,"")</f>
        <v/>
      </c>
      <c r="M255" s="104" t="str" cm="1">
        <f t="array" ref="M255">_xlfn.IFS(OR(ISBLANK(StartDateMonth),ISBLANK(StartDateYear)),"",AND(A255&gt;NumberOfPlots,ISBLANK(INDEX(PlotData,MATCH($A255,PlotNumber,0),MATCH(B$3,PlotTitles,0)))),"",ISBLANK(INDEX(PlotData,MATCH($A255,PlotNumber,0),MATCH(I$3,PlotTitles,0))),"",CompletionMonth="","",(DATEVALUE(INDEX(PlotData,MATCH($A255,PlotNumber,0),MATCH(I$3,PlotTitles,0))&amp;INDEX(PlotData,MATCH($A255,PlotNumber,0),MATCH(J$3,PlotTitles,0))))&gt;(DATEVALUE(CompletionMonth&amp;CompletionYear)),$AB$16,TRUE,"")</f>
        <v/>
      </c>
      <c r="N255" s="104" t="str" cm="1">
        <f t="array" ref="N255">_xlfn.IFS(AND(A255&gt;NumberOfPlots,ISBLANK(INDEX(PlotData,MATCH($A255,PlotNumber,0),MATCH(B$3,PlotTitles,0)))),"",ISBLANK(INDEX(PlotData,MATCH($A255,PlotNumber,0),MATCH(N$3,PlotTitles,0))),$AB$17,TRUE,"")</f>
        <v/>
      </c>
      <c r="O255" s="104" t="str" cm="1">
        <f t="array" ref="O255">_xlfn.IFS(AND(A255&gt;NumberOfPlots,ISBLANK(INDEX(PlotData,MATCH($A255,PlotNumber,0),MATCH(B$3,PlotTitles,0)))),"",ISBLANK(INDEX(PlotData,MATCH($A255,PlotNumber,0),MATCH(O$3,PlotTitles,0))),$AB$18,TRUE,"")</f>
        <v/>
      </c>
      <c r="P255" s="182" t="str">
        <f t="shared" ca="1" si="10"/>
        <v/>
      </c>
      <c r="Q255" s="104" t="str" cm="1">
        <f t="array" ref="Q255">_xlfn.IFS(AND(A255&gt;NumberOfPlots,ISBLANK(INDEX(PlotData,MATCH($A255,PlotNumber,0),MATCH(B$3,PlotTitles,0)))),"",ISBLANK(INDEX(PlotData,MATCH($A255,PlotNumber,0),MATCH(N$3,PlotTitles,0))),"",(DATEVALUE(INDEX(PlotData,MATCH($A255,PlotNumber,0),MATCH(N$3,PlotTitles,0))&amp;INDEX(PlotData,MATCH($A255,PlotNumber,0),MATCH(O$3,PlotTitles,0))))&lt;(DATEVALUE(INDEX(PlotData,MATCH($A255,PlotNumber,0),MATCH(I$3,PlotTitles,0))&amp;INDEX(PlotData,MATCH($A255,PlotNumber,0),MATCH(J$3,PlotTitles,0)))),$AB$20,TRUE,"")</f>
        <v/>
      </c>
      <c r="R255" s="104" t="str" cm="1">
        <f t="array" ref="R255">_xlfn.IFS(OR(ISBLANK(StartDateMonth),ISBLANK(StartDateYear)),"",AND(A255&gt;NumberOfPlots,ISBLANK(INDEX(PlotData,MATCH($A255,PlotNumber,0),MATCH(B$3,PlotTitles,0)))),"",ISBLANK(INDEX(PlotData,MATCH($A255,PlotNumber,0),MATCH(N$3,PlotTitles,0))),"",CompletionMonth="","",(DATEVALUE(INDEX(PlotData,MATCH($A255,PlotNumber,0),MATCH(N$3,PlotTitles,0))&amp;INDEX(PlotData,MATCH($A255,PlotNumber,0),MATCH(O$3,PlotTitles,0))))&gt;(DATEVALUE(CompletionMonth&amp;CompletionYear)),$AB$21,TRUE,"")</f>
        <v/>
      </c>
      <c r="S255" s="104" t="str" cm="1">
        <f t="array" ref="S255">_xlfn.IFS(AND(A255&gt;NumberOfPlots,ISBLANK(INDEX(PlotData,MATCH($A255,PlotNumber,0),MATCH(B$3,PlotTitles,0)))),"",OR(AND(INDEX(PlotData,MATCH($A255,PlotNumber,0),MATCH("Tenure",PlotTitles,0))="Open market housing",INDEX(PlotData,MATCH($A255,PlotNumber,0),MATCH("Tenure detail",PlotTitles,0))="Private rented sector"),INDEX(PlotData,MATCH($A255,PlotNumber,0),MATCH("Tenure",PlotTitles,0))="Affordable rent"),"",ISNUMBER(INDEX(PlotData,MATCH($A255,PlotNumber,0),MATCH(S$3,PlotTitles,0)))=FALSE, $AB$22,TRUE,"")</f>
        <v/>
      </c>
      <c r="T255" s="104" t="str" cm="1">
        <f t="array" ref="T255">_xlfn.IFS(AND(A255&gt;NumberOfPlots,ISBLANK(INDEX(PlotData,MATCH($A255,PlotNumber,0),MATCH(B$3,PlotTitles,0)))),"",OR(AND(INDEX(PlotData,MATCH($A255,PlotNumber,0),MATCH("Tenure",PlotTitles,0))="Open market housing",INDEX(PlotData,MATCH($A255,PlotNumber,0),MATCH("Tenure detail",PlotTitles,0))="Private rented sector"),INDEX(PlotData,MATCH($A255,PlotNumber,0),MATCH("Tenure",PlotTitles,0))="Affordable rent"),"",INDEX(PlotData,MATCH($A255,PlotNumber,0),MATCH(S$3,PlotTitles,0))&lt;10000, $AB$23,TRUE,"")</f>
        <v/>
      </c>
      <c r="U255" s="104" t="str" cm="1">
        <f t="array" ref="U255">_xlfn.IFS(AND(A255&gt;NumberOfPlots,ISBLANK(INDEX(PlotData,MATCH($A255,PlotNumber,0),MATCH(B$3,PlotTitles,0)))),"",NOT(OR(AND(INDEX(PlotData,MATCH($A255,PlotNumber,0),MATCH("Tenure",PlotTitles,0))="Open market housing",INDEX(PlotData,MATCH($A255,PlotNumber,0),MATCH("Tenure detail",PlotTitles,0))="Private rented sector"),INDEX(PlotData,MATCH($A255,PlotNumber,0),MATCH("Tenure",PlotTitles,0))="Affordable rent")),"",NOT(INDEX(PlotData,MATCH($A255,PlotNumber,0),MATCH(S$3,PlotTitles,0))=0), $AB$24,TRUE,"")</f>
        <v/>
      </c>
      <c r="V255" s="114" t="str" cm="1">
        <f t="array" aca="1" ref="V255" ca="1">_xlfn.IFS(ISBLANK(NumberOfPlots),"Enter the number of homes on the 1_SetUp sheet",AND(A255&gt;NumberOfPlots,ISBLANK(INDEX(PlotData,MATCH($A255,PlotNumber,0),MATCH(B$3,PlotTitles,0)))),"No error",NOT(B255=""),B255,NOT(C255=""),C255,NOT(D255=""),D255,NOT(E255=""),E255,NOT(F255=""),F255,NOT(G255=""),G255,NOT(H255=""),H255,NOT(I255=""),I255,NOT(J255=""),J255,NOT(K255=""),K255,NOT(L255=""),L255,NOT(M255=""),M255,NOT(N255=""),N255,NOT(O255=""),O255,NOT(P255=""),P255,NOT(Q255=""),Q255,NOT(R255=""),R255,NOT(S255=""),S255,NOT(T255=""),T255,NOT(U255=""),U255,TRUE,"No error")</f>
        <v>Enter the number of homes on the 1_SetUp sheet</v>
      </c>
      <c r="W255" s="114" t="str">
        <f t="shared" ca="1" si="11"/>
        <v xml:space="preserve">The Borrower has not addressed the following error messages for Home ID 251: </v>
      </c>
    </row>
    <row r="256" spans="1:23">
      <c r="A256" s="123">
        <v>252</v>
      </c>
      <c r="B256" s="104" t="str" cm="1">
        <f t="array" ref="B256">_xlfn.IFS(AND(A256&gt;NumberOfPlots,ISBLANK(INDEX(PlotData,MATCH($A256,PlotNumber,0),MATCH(B$3,PlotTitles,0)))),"",ISNUMBER(INDEX(PlotData,MATCH($A256,PlotNumber,0),MATCH(B$3,PlotTitles,0)))=FALSE, $AB$5,TRUE,"")</f>
        <v/>
      </c>
      <c r="C256" s="104" t="str" cm="1">
        <f t="array" ref="C256">_xlfn.IFS(AND(A256&gt;NumberOfPlots,ISBLANK(INDEX(PlotData,MATCH($A256,PlotNumber,0),MATCH(B$3,PlotTitles,0)))),"",ISBLANK(INDEX(PlotData,MATCH($A256,PlotNumber,0),MATCH(C$3,PlotTitles,0))),$AB$6,TRUE,"")</f>
        <v/>
      </c>
      <c r="D256" s="104" t="str" cm="1">
        <f t="array" ref="D256">_xlfn.IFS(AND(A256&gt;NumberOfPlots,ISBLANK(INDEX(PlotData,MATCH($A256,PlotNumber,0),MATCH(B$3,PlotTitles,0)))),"",ISBLANK(INDEX(PlotData,MATCH($A256,PlotNumber,0),MATCH(D$3,PlotTitles,0))),$AB$7,TRUE,"")</f>
        <v/>
      </c>
      <c r="E256" s="104" t="str" cm="1">
        <f t="array" ref="E256">_xlfn.IFS(AND(A256&gt;NumberOfPlots,ISBLANK(INDEX(PlotData,MATCH($A256,PlotNumber,0),MATCH(B$3,PlotTitles,0)))),"",ISBLANK(INDEX(PlotData,MATCH($A256,PlotNumber,0),MATCH(E$3,PlotTitles,0))),$AB$8,TRUE,"")</f>
        <v/>
      </c>
      <c r="F256" s="104" t="str" cm="1">
        <f t="array" ref="F256">_xlfn.IFS(AND(A256&gt;NumberOfPlots,ISBLANK(INDEX(PlotData,MATCH($A256,PlotNumber,0),MATCH(B$3,PlotTitles,0)))),"",ISBLANK(INDEX(PlotData,MATCH($A256,PlotNumber,0),MATCH(F$3,PlotTitles,0))),$AB$9,TRUE,"")</f>
        <v/>
      </c>
      <c r="G256" s="104" t="str" cm="1">
        <f t="array" ref="G256">_xlfn.IFS(AND(A256&gt;NumberOfPlots,ISBLANK(INDEX(PlotData,MATCH($A256,PlotNumber,0),MATCH(B$3,PlotTitles,0)))),"",ISBLANK(INDEX(PlotData,MATCH($A256,PlotNumber,0),MATCH(G$3,PlotTitles,0))),$AB$10,TRUE,"")</f>
        <v/>
      </c>
      <c r="H256" s="104" t="str" cm="1">
        <f t="array" ref="H256">_xlfn.IFS(AND(A256&gt;NumberOfPlots,ISBLANK(INDEX(PlotData,MATCH($A256,PlotNumber,0),MATCH(B$3,PlotTitles,0)))),"",AND(ISBLANK(INDEX(PlotData,MATCH($A256,PlotNumber,0),MATCH(H$3,PlotTitles,0)))=FALSE,INDEX(PlotData,MATCH($A256,PlotNumber,0),MATCH(H$3,PlotTitles,0))&lt;500), $AB$11,TRUE,"")</f>
        <v/>
      </c>
      <c r="I256" s="104" t="str" cm="1">
        <f t="array" ref="I256">_xlfn.IFS(AND(A256&gt;NumberOfPlots,ISBLANK(INDEX(PlotData,MATCH($A256,PlotNumber,0),MATCH(B$3,PlotTitles,0)))),"",ISBLANK(INDEX(PlotData,MATCH($A256,PlotNumber,0),MATCH(I$3,PlotTitles,0))),$AB$12,TRUE,"")</f>
        <v/>
      </c>
      <c r="J256" s="104" t="str" cm="1">
        <f t="array" ref="J256">_xlfn.IFS(AND(A256&gt;NumberOfPlots,ISBLANK(INDEX(PlotData,MATCH($A256,PlotNumber,0),MATCH(B$3,PlotTitles,0)))),"",ISBLANK(INDEX(PlotData,MATCH($A256,PlotNumber,0),MATCH(J$3,PlotTitles,0))),$AB$13,TRUE,"")</f>
        <v/>
      </c>
      <c r="K256" s="182" t="str">
        <f t="shared" ca="1" si="9"/>
        <v/>
      </c>
      <c r="L256" s="104" t="str" cm="1">
        <f t="array" ref="L256">_xlfn.IFS(OR(ISBLANK(StartDateMonth),ISBLANK(StartDateYear)),"",AND(A256&gt;NumberOfPlots,ISBLANK(INDEX(PlotData,MATCH($A256,PlotNumber,0),MATCH(B$3,PlotTitles,0)))),"",ISBLANK(INDEX(PlotData,MATCH($A256,PlotNumber,0),MATCH(I$3,PlotTitles,0))),"",(DATEVALUE(INDEX(PlotData,MATCH($A256,PlotNumber,0),MATCH(I$3,PlotTitles,0))&amp;INDEX(PlotData,MATCH($A256,PlotNumber,0),MATCH(J$3,PlotTitles,0))))&lt;DATEVALUE(StartDateMonth&amp;StartDateYear),$AB$15,TRUE,"")</f>
        <v/>
      </c>
      <c r="M256" s="104" t="str" cm="1">
        <f t="array" ref="M256">_xlfn.IFS(OR(ISBLANK(StartDateMonth),ISBLANK(StartDateYear)),"",AND(A256&gt;NumberOfPlots,ISBLANK(INDEX(PlotData,MATCH($A256,PlotNumber,0),MATCH(B$3,PlotTitles,0)))),"",ISBLANK(INDEX(PlotData,MATCH($A256,PlotNumber,0),MATCH(I$3,PlotTitles,0))),"",CompletionMonth="","",(DATEVALUE(INDEX(PlotData,MATCH($A256,PlotNumber,0),MATCH(I$3,PlotTitles,0))&amp;INDEX(PlotData,MATCH($A256,PlotNumber,0),MATCH(J$3,PlotTitles,0))))&gt;(DATEVALUE(CompletionMonth&amp;CompletionYear)),$AB$16,TRUE,"")</f>
        <v/>
      </c>
      <c r="N256" s="104" t="str" cm="1">
        <f t="array" ref="N256">_xlfn.IFS(AND(A256&gt;NumberOfPlots,ISBLANK(INDEX(PlotData,MATCH($A256,PlotNumber,0),MATCH(B$3,PlotTitles,0)))),"",ISBLANK(INDEX(PlotData,MATCH($A256,PlotNumber,0),MATCH(N$3,PlotTitles,0))),$AB$17,TRUE,"")</f>
        <v/>
      </c>
      <c r="O256" s="104" t="str" cm="1">
        <f t="array" ref="O256">_xlfn.IFS(AND(A256&gt;NumberOfPlots,ISBLANK(INDEX(PlotData,MATCH($A256,PlotNumber,0),MATCH(B$3,PlotTitles,0)))),"",ISBLANK(INDEX(PlotData,MATCH($A256,PlotNumber,0),MATCH(O$3,PlotTitles,0))),$AB$18,TRUE,"")</f>
        <v/>
      </c>
      <c r="P256" s="182" t="str">
        <f t="shared" ca="1" si="10"/>
        <v/>
      </c>
      <c r="Q256" s="104" t="str" cm="1">
        <f t="array" ref="Q256">_xlfn.IFS(AND(A256&gt;NumberOfPlots,ISBLANK(INDEX(PlotData,MATCH($A256,PlotNumber,0),MATCH(B$3,PlotTitles,0)))),"",ISBLANK(INDEX(PlotData,MATCH($A256,PlotNumber,0),MATCH(N$3,PlotTitles,0))),"",(DATEVALUE(INDEX(PlotData,MATCH($A256,PlotNumber,0),MATCH(N$3,PlotTitles,0))&amp;INDEX(PlotData,MATCH($A256,PlotNumber,0),MATCH(O$3,PlotTitles,0))))&lt;(DATEVALUE(INDEX(PlotData,MATCH($A256,PlotNumber,0),MATCH(I$3,PlotTitles,0))&amp;INDEX(PlotData,MATCH($A256,PlotNumber,0),MATCH(J$3,PlotTitles,0)))),$AB$20,TRUE,"")</f>
        <v/>
      </c>
      <c r="R256" s="104" t="str" cm="1">
        <f t="array" ref="R256">_xlfn.IFS(OR(ISBLANK(StartDateMonth),ISBLANK(StartDateYear)),"",AND(A256&gt;NumberOfPlots,ISBLANK(INDEX(PlotData,MATCH($A256,PlotNumber,0),MATCH(B$3,PlotTitles,0)))),"",ISBLANK(INDEX(PlotData,MATCH($A256,PlotNumber,0),MATCH(N$3,PlotTitles,0))),"",CompletionMonth="","",(DATEVALUE(INDEX(PlotData,MATCH($A256,PlotNumber,0),MATCH(N$3,PlotTitles,0))&amp;INDEX(PlotData,MATCH($A256,PlotNumber,0),MATCH(O$3,PlotTitles,0))))&gt;(DATEVALUE(CompletionMonth&amp;CompletionYear)),$AB$21,TRUE,"")</f>
        <v/>
      </c>
      <c r="S256" s="104" t="str" cm="1">
        <f t="array" ref="S256">_xlfn.IFS(AND(A256&gt;NumberOfPlots,ISBLANK(INDEX(PlotData,MATCH($A256,PlotNumber,0),MATCH(B$3,PlotTitles,0)))),"",OR(AND(INDEX(PlotData,MATCH($A256,PlotNumber,0),MATCH("Tenure",PlotTitles,0))="Open market housing",INDEX(PlotData,MATCH($A256,PlotNumber,0),MATCH("Tenure detail",PlotTitles,0))="Private rented sector"),INDEX(PlotData,MATCH($A256,PlotNumber,0),MATCH("Tenure",PlotTitles,0))="Affordable rent"),"",ISNUMBER(INDEX(PlotData,MATCH($A256,PlotNumber,0),MATCH(S$3,PlotTitles,0)))=FALSE, $AB$22,TRUE,"")</f>
        <v/>
      </c>
      <c r="T256" s="104" t="str" cm="1">
        <f t="array" ref="T256">_xlfn.IFS(AND(A256&gt;NumberOfPlots,ISBLANK(INDEX(PlotData,MATCH($A256,PlotNumber,0),MATCH(B$3,PlotTitles,0)))),"",OR(AND(INDEX(PlotData,MATCH($A256,PlotNumber,0),MATCH("Tenure",PlotTitles,0))="Open market housing",INDEX(PlotData,MATCH($A256,PlotNumber,0),MATCH("Tenure detail",PlotTitles,0))="Private rented sector"),INDEX(PlotData,MATCH($A256,PlotNumber,0),MATCH("Tenure",PlotTitles,0))="Affordable rent"),"",INDEX(PlotData,MATCH($A256,PlotNumber,0),MATCH(S$3,PlotTitles,0))&lt;10000, $AB$23,TRUE,"")</f>
        <v/>
      </c>
      <c r="U256" s="104" t="str" cm="1">
        <f t="array" ref="U256">_xlfn.IFS(AND(A256&gt;NumberOfPlots,ISBLANK(INDEX(PlotData,MATCH($A256,PlotNumber,0),MATCH(B$3,PlotTitles,0)))),"",NOT(OR(AND(INDEX(PlotData,MATCH($A256,PlotNumber,0),MATCH("Tenure",PlotTitles,0))="Open market housing",INDEX(PlotData,MATCH($A256,PlotNumber,0),MATCH("Tenure detail",PlotTitles,0))="Private rented sector"),INDEX(PlotData,MATCH($A256,PlotNumber,0),MATCH("Tenure",PlotTitles,0))="Affordable rent")),"",NOT(INDEX(PlotData,MATCH($A256,PlotNumber,0),MATCH(S$3,PlotTitles,0))=0), $AB$24,TRUE,"")</f>
        <v/>
      </c>
      <c r="V256" s="114" t="str" cm="1">
        <f t="array" aca="1" ref="V256" ca="1">_xlfn.IFS(ISBLANK(NumberOfPlots),"Enter the number of homes on the 1_SetUp sheet",AND(A256&gt;NumberOfPlots,ISBLANK(INDEX(PlotData,MATCH($A256,PlotNumber,0),MATCH(B$3,PlotTitles,0)))),"No error",NOT(B256=""),B256,NOT(C256=""),C256,NOT(D256=""),D256,NOT(E256=""),E256,NOT(F256=""),F256,NOT(G256=""),G256,NOT(H256=""),H256,NOT(I256=""),I256,NOT(J256=""),J256,NOT(K256=""),K256,NOT(L256=""),L256,NOT(M256=""),M256,NOT(N256=""),N256,NOT(O256=""),O256,NOT(P256=""),P256,NOT(Q256=""),Q256,NOT(R256=""),R256,NOT(S256=""),S256,NOT(T256=""),T256,NOT(U256=""),U256,TRUE,"No error")</f>
        <v>Enter the number of homes on the 1_SetUp sheet</v>
      </c>
      <c r="W256" s="114" t="str">
        <f t="shared" ca="1" si="11"/>
        <v xml:space="preserve">The Borrower has not addressed the following error messages for Home ID 252: </v>
      </c>
    </row>
    <row r="257" spans="1:23">
      <c r="A257" s="123">
        <v>253</v>
      </c>
      <c r="B257" s="104" t="str" cm="1">
        <f t="array" ref="B257">_xlfn.IFS(AND(A257&gt;NumberOfPlots,ISBLANK(INDEX(PlotData,MATCH($A257,PlotNumber,0),MATCH(B$3,PlotTitles,0)))),"",ISNUMBER(INDEX(PlotData,MATCH($A257,PlotNumber,0),MATCH(B$3,PlotTitles,0)))=FALSE, $AB$5,TRUE,"")</f>
        <v/>
      </c>
      <c r="C257" s="104" t="str" cm="1">
        <f t="array" ref="C257">_xlfn.IFS(AND(A257&gt;NumberOfPlots,ISBLANK(INDEX(PlotData,MATCH($A257,PlotNumber,0),MATCH(B$3,PlotTitles,0)))),"",ISBLANK(INDEX(PlotData,MATCH($A257,PlotNumber,0),MATCH(C$3,PlotTitles,0))),$AB$6,TRUE,"")</f>
        <v/>
      </c>
      <c r="D257" s="104" t="str" cm="1">
        <f t="array" ref="D257">_xlfn.IFS(AND(A257&gt;NumberOfPlots,ISBLANK(INDEX(PlotData,MATCH($A257,PlotNumber,0),MATCH(B$3,PlotTitles,0)))),"",ISBLANK(INDEX(PlotData,MATCH($A257,PlotNumber,0),MATCH(D$3,PlotTitles,0))),$AB$7,TRUE,"")</f>
        <v/>
      </c>
      <c r="E257" s="104" t="str" cm="1">
        <f t="array" ref="E257">_xlfn.IFS(AND(A257&gt;NumberOfPlots,ISBLANK(INDEX(PlotData,MATCH($A257,PlotNumber,0),MATCH(B$3,PlotTitles,0)))),"",ISBLANK(INDEX(PlotData,MATCH($A257,PlotNumber,0),MATCH(E$3,PlotTitles,0))),$AB$8,TRUE,"")</f>
        <v/>
      </c>
      <c r="F257" s="104" t="str" cm="1">
        <f t="array" ref="F257">_xlfn.IFS(AND(A257&gt;NumberOfPlots,ISBLANK(INDEX(PlotData,MATCH($A257,PlotNumber,0),MATCH(B$3,PlotTitles,0)))),"",ISBLANK(INDEX(PlotData,MATCH($A257,PlotNumber,0),MATCH(F$3,PlotTitles,0))),$AB$9,TRUE,"")</f>
        <v/>
      </c>
      <c r="G257" s="104" t="str" cm="1">
        <f t="array" ref="G257">_xlfn.IFS(AND(A257&gt;NumberOfPlots,ISBLANK(INDEX(PlotData,MATCH($A257,PlotNumber,0),MATCH(B$3,PlotTitles,0)))),"",ISBLANK(INDEX(PlotData,MATCH($A257,PlotNumber,0),MATCH(G$3,PlotTitles,0))),$AB$10,TRUE,"")</f>
        <v/>
      </c>
      <c r="H257" s="104" t="str" cm="1">
        <f t="array" ref="H257">_xlfn.IFS(AND(A257&gt;NumberOfPlots,ISBLANK(INDEX(PlotData,MATCH($A257,PlotNumber,0),MATCH(B$3,PlotTitles,0)))),"",AND(ISBLANK(INDEX(PlotData,MATCH($A257,PlotNumber,0),MATCH(H$3,PlotTitles,0)))=FALSE,INDEX(PlotData,MATCH($A257,PlotNumber,0),MATCH(H$3,PlotTitles,0))&lt;500), $AB$11,TRUE,"")</f>
        <v/>
      </c>
      <c r="I257" s="104" t="str" cm="1">
        <f t="array" ref="I257">_xlfn.IFS(AND(A257&gt;NumberOfPlots,ISBLANK(INDEX(PlotData,MATCH($A257,PlotNumber,0),MATCH(B$3,PlotTitles,0)))),"",ISBLANK(INDEX(PlotData,MATCH($A257,PlotNumber,0),MATCH(I$3,PlotTitles,0))),$AB$12,TRUE,"")</f>
        <v/>
      </c>
      <c r="J257" s="104" t="str" cm="1">
        <f t="array" ref="J257">_xlfn.IFS(AND(A257&gt;NumberOfPlots,ISBLANK(INDEX(PlotData,MATCH($A257,PlotNumber,0),MATCH(B$3,PlotTitles,0)))),"",ISBLANK(INDEX(PlotData,MATCH($A257,PlotNumber,0),MATCH(J$3,PlotTitles,0))),$AB$13,TRUE,"")</f>
        <v/>
      </c>
      <c r="K257" s="182" t="str">
        <f t="shared" ca="1" si="9"/>
        <v/>
      </c>
      <c r="L257" s="104" t="str" cm="1">
        <f t="array" ref="L257">_xlfn.IFS(OR(ISBLANK(StartDateMonth),ISBLANK(StartDateYear)),"",AND(A257&gt;NumberOfPlots,ISBLANK(INDEX(PlotData,MATCH($A257,PlotNumber,0),MATCH(B$3,PlotTitles,0)))),"",ISBLANK(INDEX(PlotData,MATCH($A257,PlotNumber,0),MATCH(I$3,PlotTitles,0))),"",(DATEVALUE(INDEX(PlotData,MATCH($A257,PlotNumber,0),MATCH(I$3,PlotTitles,0))&amp;INDEX(PlotData,MATCH($A257,PlotNumber,0),MATCH(J$3,PlotTitles,0))))&lt;DATEVALUE(StartDateMonth&amp;StartDateYear),$AB$15,TRUE,"")</f>
        <v/>
      </c>
      <c r="M257" s="104" t="str" cm="1">
        <f t="array" ref="M257">_xlfn.IFS(OR(ISBLANK(StartDateMonth),ISBLANK(StartDateYear)),"",AND(A257&gt;NumberOfPlots,ISBLANK(INDEX(PlotData,MATCH($A257,PlotNumber,0),MATCH(B$3,PlotTitles,0)))),"",ISBLANK(INDEX(PlotData,MATCH($A257,PlotNumber,0),MATCH(I$3,PlotTitles,0))),"",CompletionMonth="","",(DATEVALUE(INDEX(PlotData,MATCH($A257,PlotNumber,0),MATCH(I$3,PlotTitles,0))&amp;INDEX(PlotData,MATCH($A257,PlotNumber,0),MATCH(J$3,PlotTitles,0))))&gt;(DATEVALUE(CompletionMonth&amp;CompletionYear)),$AB$16,TRUE,"")</f>
        <v/>
      </c>
      <c r="N257" s="104" t="str" cm="1">
        <f t="array" ref="N257">_xlfn.IFS(AND(A257&gt;NumberOfPlots,ISBLANK(INDEX(PlotData,MATCH($A257,PlotNumber,0),MATCH(B$3,PlotTitles,0)))),"",ISBLANK(INDEX(PlotData,MATCH($A257,PlotNumber,0),MATCH(N$3,PlotTitles,0))),$AB$17,TRUE,"")</f>
        <v/>
      </c>
      <c r="O257" s="104" t="str" cm="1">
        <f t="array" ref="O257">_xlfn.IFS(AND(A257&gt;NumberOfPlots,ISBLANK(INDEX(PlotData,MATCH($A257,PlotNumber,0),MATCH(B$3,PlotTitles,0)))),"",ISBLANK(INDEX(PlotData,MATCH($A257,PlotNumber,0),MATCH(O$3,PlotTitles,0))),$AB$18,TRUE,"")</f>
        <v/>
      </c>
      <c r="P257" s="182" t="str">
        <f t="shared" ca="1" si="10"/>
        <v/>
      </c>
      <c r="Q257" s="104" t="str" cm="1">
        <f t="array" ref="Q257">_xlfn.IFS(AND(A257&gt;NumberOfPlots,ISBLANK(INDEX(PlotData,MATCH($A257,PlotNumber,0),MATCH(B$3,PlotTitles,0)))),"",ISBLANK(INDEX(PlotData,MATCH($A257,PlotNumber,0),MATCH(N$3,PlotTitles,0))),"",(DATEVALUE(INDEX(PlotData,MATCH($A257,PlotNumber,0),MATCH(N$3,PlotTitles,0))&amp;INDEX(PlotData,MATCH($A257,PlotNumber,0),MATCH(O$3,PlotTitles,0))))&lt;(DATEVALUE(INDEX(PlotData,MATCH($A257,PlotNumber,0),MATCH(I$3,PlotTitles,0))&amp;INDEX(PlotData,MATCH($A257,PlotNumber,0),MATCH(J$3,PlotTitles,0)))),$AB$20,TRUE,"")</f>
        <v/>
      </c>
      <c r="R257" s="104" t="str" cm="1">
        <f t="array" ref="R257">_xlfn.IFS(OR(ISBLANK(StartDateMonth),ISBLANK(StartDateYear)),"",AND(A257&gt;NumberOfPlots,ISBLANK(INDEX(PlotData,MATCH($A257,PlotNumber,0),MATCH(B$3,PlotTitles,0)))),"",ISBLANK(INDEX(PlotData,MATCH($A257,PlotNumber,0),MATCH(N$3,PlotTitles,0))),"",CompletionMonth="","",(DATEVALUE(INDEX(PlotData,MATCH($A257,PlotNumber,0),MATCH(N$3,PlotTitles,0))&amp;INDEX(PlotData,MATCH($A257,PlotNumber,0),MATCH(O$3,PlotTitles,0))))&gt;(DATEVALUE(CompletionMonth&amp;CompletionYear)),$AB$21,TRUE,"")</f>
        <v/>
      </c>
      <c r="S257" s="104" t="str" cm="1">
        <f t="array" ref="S257">_xlfn.IFS(AND(A257&gt;NumberOfPlots,ISBLANK(INDEX(PlotData,MATCH($A257,PlotNumber,0),MATCH(B$3,PlotTitles,0)))),"",OR(AND(INDEX(PlotData,MATCH($A257,PlotNumber,0),MATCH("Tenure",PlotTitles,0))="Open market housing",INDEX(PlotData,MATCH($A257,PlotNumber,0),MATCH("Tenure detail",PlotTitles,0))="Private rented sector"),INDEX(PlotData,MATCH($A257,PlotNumber,0),MATCH("Tenure",PlotTitles,0))="Affordable rent"),"",ISNUMBER(INDEX(PlotData,MATCH($A257,PlotNumber,0),MATCH(S$3,PlotTitles,0)))=FALSE, $AB$22,TRUE,"")</f>
        <v/>
      </c>
      <c r="T257" s="104" t="str" cm="1">
        <f t="array" ref="T257">_xlfn.IFS(AND(A257&gt;NumberOfPlots,ISBLANK(INDEX(PlotData,MATCH($A257,PlotNumber,0),MATCH(B$3,PlotTitles,0)))),"",OR(AND(INDEX(PlotData,MATCH($A257,PlotNumber,0),MATCH("Tenure",PlotTitles,0))="Open market housing",INDEX(PlotData,MATCH($A257,PlotNumber,0),MATCH("Tenure detail",PlotTitles,0))="Private rented sector"),INDEX(PlotData,MATCH($A257,PlotNumber,0),MATCH("Tenure",PlotTitles,0))="Affordable rent"),"",INDEX(PlotData,MATCH($A257,PlotNumber,0),MATCH(S$3,PlotTitles,0))&lt;10000, $AB$23,TRUE,"")</f>
        <v/>
      </c>
      <c r="U257" s="104" t="str" cm="1">
        <f t="array" ref="U257">_xlfn.IFS(AND(A257&gt;NumberOfPlots,ISBLANK(INDEX(PlotData,MATCH($A257,PlotNumber,0),MATCH(B$3,PlotTitles,0)))),"",NOT(OR(AND(INDEX(PlotData,MATCH($A257,PlotNumber,0),MATCH("Tenure",PlotTitles,0))="Open market housing",INDEX(PlotData,MATCH($A257,PlotNumber,0),MATCH("Tenure detail",PlotTitles,0))="Private rented sector"),INDEX(PlotData,MATCH($A257,PlotNumber,0),MATCH("Tenure",PlotTitles,0))="Affordable rent")),"",NOT(INDEX(PlotData,MATCH($A257,PlotNumber,0),MATCH(S$3,PlotTitles,0))=0), $AB$24,TRUE,"")</f>
        <v/>
      </c>
      <c r="V257" s="114" t="str" cm="1">
        <f t="array" aca="1" ref="V257" ca="1">_xlfn.IFS(ISBLANK(NumberOfPlots),"Enter the number of homes on the 1_SetUp sheet",AND(A257&gt;NumberOfPlots,ISBLANK(INDEX(PlotData,MATCH($A257,PlotNumber,0),MATCH(B$3,PlotTitles,0)))),"No error",NOT(B257=""),B257,NOT(C257=""),C257,NOT(D257=""),D257,NOT(E257=""),E257,NOT(F257=""),F257,NOT(G257=""),G257,NOT(H257=""),H257,NOT(I257=""),I257,NOT(J257=""),J257,NOT(K257=""),K257,NOT(L257=""),L257,NOT(M257=""),M257,NOT(N257=""),N257,NOT(O257=""),O257,NOT(P257=""),P257,NOT(Q257=""),Q257,NOT(R257=""),R257,NOT(S257=""),S257,NOT(T257=""),T257,NOT(U257=""),U257,TRUE,"No error")</f>
        <v>Enter the number of homes on the 1_SetUp sheet</v>
      </c>
      <c r="W257" s="114" t="str">
        <f t="shared" ca="1" si="11"/>
        <v xml:space="preserve">The Borrower has not addressed the following error messages for Home ID 253: </v>
      </c>
    </row>
    <row r="258" spans="1:23">
      <c r="A258" s="123">
        <v>254</v>
      </c>
      <c r="B258" s="104" t="str" cm="1">
        <f t="array" ref="B258">_xlfn.IFS(AND(A258&gt;NumberOfPlots,ISBLANK(INDEX(PlotData,MATCH($A258,PlotNumber,0),MATCH(B$3,PlotTitles,0)))),"",ISNUMBER(INDEX(PlotData,MATCH($A258,PlotNumber,0),MATCH(B$3,PlotTitles,0)))=FALSE, $AB$5,TRUE,"")</f>
        <v/>
      </c>
      <c r="C258" s="104" t="str" cm="1">
        <f t="array" ref="C258">_xlfn.IFS(AND(A258&gt;NumberOfPlots,ISBLANK(INDEX(PlotData,MATCH($A258,PlotNumber,0),MATCH(B$3,PlotTitles,0)))),"",ISBLANK(INDEX(PlotData,MATCH($A258,PlotNumber,0),MATCH(C$3,PlotTitles,0))),$AB$6,TRUE,"")</f>
        <v/>
      </c>
      <c r="D258" s="104" t="str" cm="1">
        <f t="array" ref="D258">_xlfn.IFS(AND(A258&gt;NumberOfPlots,ISBLANK(INDEX(PlotData,MATCH($A258,PlotNumber,0),MATCH(B$3,PlotTitles,0)))),"",ISBLANK(INDEX(PlotData,MATCH($A258,PlotNumber,0),MATCH(D$3,PlotTitles,0))),$AB$7,TRUE,"")</f>
        <v/>
      </c>
      <c r="E258" s="104" t="str" cm="1">
        <f t="array" ref="E258">_xlfn.IFS(AND(A258&gt;NumberOfPlots,ISBLANK(INDEX(PlotData,MATCH($A258,PlotNumber,0),MATCH(B$3,PlotTitles,0)))),"",ISBLANK(INDEX(PlotData,MATCH($A258,PlotNumber,0),MATCH(E$3,PlotTitles,0))),$AB$8,TRUE,"")</f>
        <v/>
      </c>
      <c r="F258" s="104" t="str" cm="1">
        <f t="array" ref="F258">_xlfn.IFS(AND(A258&gt;NumberOfPlots,ISBLANK(INDEX(PlotData,MATCH($A258,PlotNumber,0),MATCH(B$3,PlotTitles,0)))),"",ISBLANK(INDEX(PlotData,MATCH($A258,PlotNumber,0),MATCH(F$3,PlotTitles,0))),$AB$9,TRUE,"")</f>
        <v/>
      </c>
      <c r="G258" s="104" t="str" cm="1">
        <f t="array" ref="G258">_xlfn.IFS(AND(A258&gt;NumberOfPlots,ISBLANK(INDEX(PlotData,MATCH($A258,PlotNumber,0),MATCH(B$3,PlotTitles,0)))),"",ISBLANK(INDEX(PlotData,MATCH($A258,PlotNumber,0),MATCH(G$3,PlotTitles,0))),$AB$10,TRUE,"")</f>
        <v/>
      </c>
      <c r="H258" s="104" t="str" cm="1">
        <f t="array" ref="H258">_xlfn.IFS(AND(A258&gt;NumberOfPlots,ISBLANK(INDEX(PlotData,MATCH($A258,PlotNumber,0),MATCH(B$3,PlotTitles,0)))),"",AND(ISBLANK(INDEX(PlotData,MATCH($A258,PlotNumber,0),MATCH(H$3,PlotTitles,0)))=FALSE,INDEX(PlotData,MATCH($A258,PlotNumber,0),MATCH(H$3,PlotTitles,0))&lt;500), $AB$11,TRUE,"")</f>
        <v/>
      </c>
      <c r="I258" s="104" t="str" cm="1">
        <f t="array" ref="I258">_xlfn.IFS(AND(A258&gt;NumberOfPlots,ISBLANK(INDEX(PlotData,MATCH($A258,PlotNumber,0),MATCH(B$3,PlotTitles,0)))),"",ISBLANK(INDEX(PlotData,MATCH($A258,PlotNumber,0),MATCH(I$3,PlotTitles,0))),$AB$12,TRUE,"")</f>
        <v/>
      </c>
      <c r="J258" s="104" t="str" cm="1">
        <f t="array" ref="J258">_xlfn.IFS(AND(A258&gt;NumberOfPlots,ISBLANK(INDEX(PlotData,MATCH($A258,PlotNumber,0),MATCH(B$3,PlotTitles,0)))),"",ISBLANK(INDEX(PlotData,MATCH($A258,PlotNumber,0),MATCH(J$3,PlotTitles,0))),$AB$13,TRUE,"")</f>
        <v/>
      </c>
      <c r="K258" s="182" t="str">
        <f t="shared" ca="1" si="9"/>
        <v/>
      </c>
      <c r="L258" s="104" t="str" cm="1">
        <f t="array" ref="L258">_xlfn.IFS(OR(ISBLANK(StartDateMonth),ISBLANK(StartDateYear)),"",AND(A258&gt;NumberOfPlots,ISBLANK(INDEX(PlotData,MATCH($A258,PlotNumber,0),MATCH(B$3,PlotTitles,0)))),"",ISBLANK(INDEX(PlotData,MATCH($A258,PlotNumber,0),MATCH(I$3,PlotTitles,0))),"",(DATEVALUE(INDEX(PlotData,MATCH($A258,PlotNumber,0),MATCH(I$3,PlotTitles,0))&amp;INDEX(PlotData,MATCH($A258,PlotNumber,0),MATCH(J$3,PlotTitles,0))))&lt;DATEVALUE(StartDateMonth&amp;StartDateYear),$AB$15,TRUE,"")</f>
        <v/>
      </c>
      <c r="M258" s="104" t="str" cm="1">
        <f t="array" ref="M258">_xlfn.IFS(OR(ISBLANK(StartDateMonth),ISBLANK(StartDateYear)),"",AND(A258&gt;NumberOfPlots,ISBLANK(INDEX(PlotData,MATCH($A258,PlotNumber,0),MATCH(B$3,PlotTitles,0)))),"",ISBLANK(INDEX(PlotData,MATCH($A258,PlotNumber,0),MATCH(I$3,PlotTitles,0))),"",CompletionMonth="","",(DATEVALUE(INDEX(PlotData,MATCH($A258,PlotNumber,0),MATCH(I$3,PlotTitles,0))&amp;INDEX(PlotData,MATCH($A258,PlotNumber,0),MATCH(J$3,PlotTitles,0))))&gt;(DATEVALUE(CompletionMonth&amp;CompletionYear)),$AB$16,TRUE,"")</f>
        <v/>
      </c>
      <c r="N258" s="104" t="str" cm="1">
        <f t="array" ref="N258">_xlfn.IFS(AND(A258&gt;NumberOfPlots,ISBLANK(INDEX(PlotData,MATCH($A258,PlotNumber,0),MATCH(B$3,PlotTitles,0)))),"",ISBLANK(INDEX(PlotData,MATCH($A258,PlotNumber,0),MATCH(N$3,PlotTitles,0))),$AB$17,TRUE,"")</f>
        <v/>
      </c>
      <c r="O258" s="104" t="str" cm="1">
        <f t="array" ref="O258">_xlfn.IFS(AND(A258&gt;NumberOfPlots,ISBLANK(INDEX(PlotData,MATCH($A258,PlotNumber,0),MATCH(B$3,PlotTitles,0)))),"",ISBLANK(INDEX(PlotData,MATCH($A258,PlotNumber,0),MATCH(O$3,PlotTitles,0))),$AB$18,TRUE,"")</f>
        <v/>
      </c>
      <c r="P258" s="182" t="str">
        <f t="shared" ca="1" si="10"/>
        <v/>
      </c>
      <c r="Q258" s="104" t="str" cm="1">
        <f t="array" ref="Q258">_xlfn.IFS(AND(A258&gt;NumberOfPlots,ISBLANK(INDEX(PlotData,MATCH($A258,PlotNumber,0),MATCH(B$3,PlotTitles,0)))),"",ISBLANK(INDEX(PlotData,MATCH($A258,PlotNumber,0),MATCH(N$3,PlotTitles,0))),"",(DATEVALUE(INDEX(PlotData,MATCH($A258,PlotNumber,0),MATCH(N$3,PlotTitles,0))&amp;INDEX(PlotData,MATCH($A258,PlotNumber,0),MATCH(O$3,PlotTitles,0))))&lt;(DATEVALUE(INDEX(PlotData,MATCH($A258,PlotNumber,0),MATCH(I$3,PlotTitles,0))&amp;INDEX(PlotData,MATCH($A258,PlotNumber,0),MATCH(J$3,PlotTitles,0)))),$AB$20,TRUE,"")</f>
        <v/>
      </c>
      <c r="R258" s="104" t="str" cm="1">
        <f t="array" ref="R258">_xlfn.IFS(OR(ISBLANK(StartDateMonth),ISBLANK(StartDateYear)),"",AND(A258&gt;NumberOfPlots,ISBLANK(INDEX(PlotData,MATCH($A258,PlotNumber,0),MATCH(B$3,PlotTitles,0)))),"",ISBLANK(INDEX(PlotData,MATCH($A258,PlotNumber,0),MATCH(N$3,PlotTitles,0))),"",CompletionMonth="","",(DATEVALUE(INDEX(PlotData,MATCH($A258,PlotNumber,0),MATCH(N$3,PlotTitles,0))&amp;INDEX(PlotData,MATCH($A258,PlotNumber,0),MATCH(O$3,PlotTitles,0))))&gt;(DATEVALUE(CompletionMonth&amp;CompletionYear)),$AB$21,TRUE,"")</f>
        <v/>
      </c>
      <c r="S258" s="104" t="str" cm="1">
        <f t="array" ref="S258">_xlfn.IFS(AND(A258&gt;NumberOfPlots,ISBLANK(INDEX(PlotData,MATCH($A258,PlotNumber,0),MATCH(B$3,PlotTitles,0)))),"",OR(AND(INDEX(PlotData,MATCH($A258,PlotNumber,0),MATCH("Tenure",PlotTitles,0))="Open market housing",INDEX(PlotData,MATCH($A258,PlotNumber,0),MATCH("Tenure detail",PlotTitles,0))="Private rented sector"),INDEX(PlotData,MATCH($A258,PlotNumber,0),MATCH("Tenure",PlotTitles,0))="Affordable rent"),"",ISNUMBER(INDEX(PlotData,MATCH($A258,PlotNumber,0),MATCH(S$3,PlotTitles,0)))=FALSE, $AB$22,TRUE,"")</f>
        <v/>
      </c>
      <c r="T258" s="104" t="str" cm="1">
        <f t="array" ref="T258">_xlfn.IFS(AND(A258&gt;NumberOfPlots,ISBLANK(INDEX(PlotData,MATCH($A258,PlotNumber,0),MATCH(B$3,PlotTitles,0)))),"",OR(AND(INDEX(PlotData,MATCH($A258,PlotNumber,0),MATCH("Tenure",PlotTitles,0))="Open market housing",INDEX(PlotData,MATCH($A258,PlotNumber,0),MATCH("Tenure detail",PlotTitles,0))="Private rented sector"),INDEX(PlotData,MATCH($A258,PlotNumber,0),MATCH("Tenure",PlotTitles,0))="Affordable rent"),"",INDEX(PlotData,MATCH($A258,PlotNumber,0),MATCH(S$3,PlotTitles,0))&lt;10000, $AB$23,TRUE,"")</f>
        <v/>
      </c>
      <c r="U258" s="104" t="str" cm="1">
        <f t="array" ref="U258">_xlfn.IFS(AND(A258&gt;NumberOfPlots,ISBLANK(INDEX(PlotData,MATCH($A258,PlotNumber,0),MATCH(B$3,PlotTitles,0)))),"",NOT(OR(AND(INDEX(PlotData,MATCH($A258,PlotNumber,0),MATCH("Tenure",PlotTitles,0))="Open market housing",INDEX(PlotData,MATCH($A258,PlotNumber,0),MATCH("Tenure detail",PlotTitles,0))="Private rented sector"),INDEX(PlotData,MATCH($A258,PlotNumber,0),MATCH("Tenure",PlotTitles,0))="Affordable rent")),"",NOT(INDEX(PlotData,MATCH($A258,PlotNumber,0),MATCH(S$3,PlotTitles,0))=0), $AB$24,TRUE,"")</f>
        <v/>
      </c>
      <c r="V258" s="114" t="str" cm="1">
        <f t="array" aca="1" ref="V258" ca="1">_xlfn.IFS(ISBLANK(NumberOfPlots),"Enter the number of homes on the 1_SetUp sheet",AND(A258&gt;NumberOfPlots,ISBLANK(INDEX(PlotData,MATCH($A258,PlotNumber,0),MATCH(B$3,PlotTitles,0)))),"No error",NOT(B258=""),B258,NOT(C258=""),C258,NOT(D258=""),D258,NOT(E258=""),E258,NOT(F258=""),F258,NOT(G258=""),G258,NOT(H258=""),H258,NOT(I258=""),I258,NOT(J258=""),J258,NOT(K258=""),K258,NOT(L258=""),L258,NOT(M258=""),M258,NOT(N258=""),N258,NOT(O258=""),O258,NOT(P258=""),P258,NOT(Q258=""),Q258,NOT(R258=""),R258,NOT(S258=""),S258,NOT(T258=""),T258,NOT(U258=""),U258,TRUE,"No error")</f>
        <v>Enter the number of homes on the 1_SetUp sheet</v>
      </c>
      <c r="W258" s="114" t="str">
        <f t="shared" ca="1" si="11"/>
        <v xml:space="preserve">The Borrower has not addressed the following error messages for Home ID 254: </v>
      </c>
    </row>
    <row r="259" spans="1:23">
      <c r="A259" s="123">
        <v>255</v>
      </c>
      <c r="B259" s="104" t="str" cm="1">
        <f t="array" ref="B259">_xlfn.IFS(AND(A259&gt;NumberOfPlots,ISBLANK(INDEX(PlotData,MATCH($A259,PlotNumber,0),MATCH(B$3,PlotTitles,0)))),"",ISNUMBER(INDEX(PlotData,MATCH($A259,PlotNumber,0),MATCH(B$3,PlotTitles,0)))=FALSE, $AB$5,TRUE,"")</f>
        <v/>
      </c>
      <c r="C259" s="104" t="str" cm="1">
        <f t="array" ref="C259">_xlfn.IFS(AND(A259&gt;NumberOfPlots,ISBLANK(INDEX(PlotData,MATCH($A259,PlotNumber,0),MATCH(B$3,PlotTitles,0)))),"",ISBLANK(INDEX(PlotData,MATCH($A259,PlotNumber,0),MATCH(C$3,PlotTitles,0))),$AB$6,TRUE,"")</f>
        <v/>
      </c>
      <c r="D259" s="104" t="str" cm="1">
        <f t="array" ref="D259">_xlfn.IFS(AND(A259&gt;NumberOfPlots,ISBLANK(INDEX(PlotData,MATCH($A259,PlotNumber,0),MATCH(B$3,PlotTitles,0)))),"",ISBLANK(INDEX(PlotData,MATCH($A259,PlotNumber,0),MATCH(D$3,PlotTitles,0))),$AB$7,TRUE,"")</f>
        <v/>
      </c>
      <c r="E259" s="104" t="str" cm="1">
        <f t="array" ref="E259">_xlfn.IFS(AND(A259&gt;NumberOfPlots,ISBLANK(INDEX(PlotData,MATCH($A259,PlotNumber,0),MATCH(B$3,PlotTitles,0)))),"",ISBLANK(INDEX(PlotData,MATCH($A259,PlotNumber,0),MATCH(E$3,PlotTitles,0))),$AB$8,TRUE,"")</f>
        <v/>
      </c>
      <c r="F259" s="104" t="str" cm="1">
        <f t="array" ref="F259">_xlfn.IFS(AND(A259&gt;NumberOfPlots,ISBLANK(INDEX(PlotData,MATCH($A259,PlotNumber,0),MATCH(B$3,PlotTitles,0)))),"",ISBLANK(INDEX(PlotData,MATCH($A259,PlotNumber,0),MATCH(F$3,PlotTitles,0))),$AB$9,TRUE,"")</f>
        <v/>
      </c>
      <c r="G259" s="104" t="str" cm="1">
        <f t="array" ref="G259">_xlfn.IFS(AND(A259&gt;NumberOfPlots,ISBLANK(INDEX(PlotData,MATCH($A259,PlotNumber,0),MATCH(B$3,PlotTitles,0)))),"",ISBLANK(INDEX(PlotData,MATCH($A259,PlotNumber,0),MATCH(G$3,PlotTitles,0))),$AB$10,TRUE,"")</f>
        <v/>
      </c>
      <c r="H259" s="104" t="str" cm="1">
        <f t="array" ref="H259">_xlfn.IFS(AND(A259&gt;NumberOfPlots,ISBLANK(INDEX(PlotData,MATCH($A259,PlotNumber,0),MATCH(B$3,PlotTitles,0)))),"",AND(ISBLANK(INDEX(PlotData,MATCH($A259,PlotNumber,0),MATCH(H$3,PlotTitles,0)))=FALSE,INDEX(PlotData,MATCH($A259,PlotNumber,0),MATCH(H$3,PlotTitles,0))&lt;500), $AB$11,TRUE,"")</f>
        <v/>
      </c>
      <c r="I259" s="104" t="str" cm="1">
        <f t="array" ref="I259">_xlfn.IFS(AND(A259&gt;NumberOfPlots,ISBLANK(INDEX(PlotData,MATCH($A259,PlotNumber,0),MATCH(B$3,PlotTitles,0)))),"",ISBLANK(INDEX(PlotData,MATCH($A259,PlotNumber,0),MATCH(I$3,PlotTitles,0))),$AB$12,TRUE,"")</f>
        <v/>
      </c>
      <c r="J259" s="104" t="str" cm="1">
        <f t="array" ref="J259">_xlfn.IFS(AND(A259&gt;NumberOfPlots,ISBLANK(INDEX(PlotData,MATCH($A259,PlotNumber,0),MATCH(B$3,PlotTitles,0)))),"",ISBLANK(INDEX(PlotData,MATCH($A259,PlotNumber,0),MATCH(J$3,PlotTitles,0))),$AB$13,TRUE,"")</f>
        <v/>
      </c>
      <c r="K259" s="182" t="str">
        <f t="shared" ca="1" si="9"/>
        <v/>
      </c>
      <c r="L259" s="104" t="str" cm="1">
        <f t="array" ref="L259">_xlfn.IFS(OR(ISBLANK(StartDateMonth),ISBLANK(StartDateYear)),"",AND(A259&gt;NumberOfPlots,ISBLANK(INDEX(PlotData,MATCH($A259,PlotNumber,0),MATCH(B$3,PlotTitles,0)))),"",ISBLANK(INDEX(PlotData,MATCH($A259,PlotNumber,0),MATCH(I$3,PlotTitles,0))),"",(DATEVALUE(INDEX(PlotData,MATCH($A259,PlotNumber,0),MATCH(I$3,PlotTitles,0))&amp;INDEX(PlotData,MATCH($A259,PlotNumber,0),MATCH(J$3,PlotTitles,0))))&lt;DATEVALUE(StartDateMonth&amp;StartDateYear),$AB$15,TRUE,"")</f>
        <v/>
      </c>
      <c r="M259" s="104" t="str" cm="1">
        <f t="array" ref="M259">_xlfn.IFS(OR(ISBLANK(StartDateMonth),ISBLANK(StartDateYear)),"",AND(A259&gt;NumberOfPlots,ISBLANK(INDEX(PlotData,MATCH($A259,PlotNumber,0),MATCH(B$3,PlotTitles,0)))),"",ISBLANK(INDEX(PlotData,MATCH($A259,PlotNumber,0),MATCH(I$3,PlotTitles,0))),"",CompletionMonth="","",(DATEVALUE(INDEX(PlotData,MATCH($A259,PlotNumber,0),MATCH(I$3,PlotTitles,0))&amp;INDEX(PlotData,MATCH($A259,PlotNumber,0),MATCH(J$3,PlotTitles,0))))&gt;(DATEVALUE(CompletionMonth&amp;CompletionYear)),$AB$16,TRUE,"")</f>
        <v/>
      </c>
      <c r="N259" s="104" t="str" cm="1">
        <f t="array" ref="N259">_xlfn.IFS(AND(A259&gt;NumberOfPlots,ISBLANK(INDEX(PlotData,MATCH($A259,PlotNumber,0),MATCH(B$3,PlotTitles,0)))),"",ISBLANK(INDEX(PlotData,MATCH($A259,PlotNumber,0),MATCH(N$3,PlotTitles,0))),$AB$17,TRUE,"")</f>
        <v/>
      </c>
      <c r="O259" s="104" t="str" cm="1">
        <f t="array" ref="O259">_xlfn.IFS(AND(A259&gt;NumberOfPlots,ISBLANK(INDEX(PlotData,MATCH($A259,PlotNumber,0),MATCH(B$3,PlotTitles,0)))),"",ISBLANK(INDEX(PlotData,MATCH($A259,PlotNumber,0),MATCH(O$3,PlotTitles,0))),$AB$18,TRUE,"")</f>
        <v/>
      </c>
      <c r="P259" s="182" t="str">
        <f t="shared" ca="1" si="10"/>
        <v/>
      </c>
      <c r="Q259" s="104" t="str" cm="1">
        <f t="array" ref="Q259">_xlfn.IFS(AND(A259&gt;NumberOfPlots,ISBLANK(INDEX(PlotData,MATCH($A259,PlotNumber,0),MATCH(B$3,PlotTitles,0)))),"",ISBLANK(INDEX(PlotData,MATCH($A259,PlotNumber,0),MATCH(N$3,PlotTitles,0))),"",(DATEVALUE(INDEX(PlotData,MATCH($A259,PlotNumber,0),MATCH(N$3,PlotTitles,0))&amp;INDEX(PlotData,MATCH($A259,PlotNumber,0),MATCH(O$3,PlotTitles,0))))&lt;(DATEVALUE(INDEX(PlotData,MATCH($A259,PlotNumber,0),MATCH(I$3,PlotTitles,0))&amp;INDEX(PlotData,MATCH($A259,PlotNumber,0),MATCH(J$3,PlotTitles,0)))),$AB$20,TRUE,"")</f>
        <v/>
      </c>
      <c r="R259" s="104" t="str" cm="1">
        <f t="array" ref="R259">_xlfn.IFS(OR(ISBLANK(StartDateMonth),ISBLANK(StartDateYear)),"",AND(A259&gt;NumberOfPlots,ISBLANK(INDEX(PlotData,MATCH($A259,PlotNumber,0),MATCH(B$3,PlotTitles,0)))),"",ISBLANK(INDEX(PlotData,MATCH($A259,PlotNumber,0),MATCH(N$3,PlotTitles,0))),"",CompletionMonth="","",(DATEVALUE(INDEX(PlotData,MATCH($A259,PlotNumber,0),MATCH(N$3,PlotTitles,0))&amp;INDEX(PlotData,MATCH($A259,PlotNumber,0),MATCH(O$3,PlotTitles,0))))&gt;(DATEVALUE(CompletionMonth&amp;CompletionYear)),$AB$21,TRUE,"")</f>
        <v/>
      </c>
      <c r="S259" s="104" t="str" cm="1">
        <f t="array" ref="S259">_xlfn.IFS(AND(A259&gt;NumberOfPlots,ISBLANK(INDEX(PlotData,MATCH($A259,PlotNumber,0),MATCH(B$3,PlotTitles,0)))),"",OR(AND(INDEX(PlotData,MATCH($A259,PlotNumber,0),MATCH("Tenure",PlotTitles,0))="Open market housing",INDEX(PlotData,MATCH($A259,PlotNumber,0),MATCH("Tenure detail",PlotTitles,0))="Private rented sector"),INDEX(PlotData,MATCH($A259,PlotNumber,0),MATCH("Tenure",PlotTitles,0))="Affordable rent"),"",ISNUMBER(INDEX(PlotData,MATCH($A259,PlotNumber,0),MATCH(S$3,PlotTitles,0)))=FALSE, $AB$22,TRUE,"")</f>
        <v/>
      </c>
      <c r="T259" s="104" t="str" cm="1">
        <f t="array" ref="T259">_xlfn.IFS(AND(A259&gt;NumberOfPlots,ISBLANK(INDEX(PlotData,MATCH($A259,PlotNumber,0),MATCH(B$3,PlotTitles,0)))),"",OR(AND(INDEX(PlotData,MATCH($A259,PlotNumber,0),MATCH("Tenure",PlotTitles,0))="Open market housing",INDEX(PlotData,MATCH($A259,PlotNumber,0),MATCH("Tenure detail",PlotTitles,0))="Private rented sector"),INDEX(PlotData,MATCH($A259,PlotNumber,0),MATCH("Tenure",PlotTitles,0))="Affordable rent"),"",INDEX(PlotData,MATCH($A259,PlotNumber,0),MATCH(S$3,PlotTitles,0))&lt;10000, $AB$23,TRUE,"")</f>
        <v/>
      </c>
      <c r="U259" s="104" t="str" cm="1">
        <f t="array" ref="U259">_xlfn.IFS(AND(A259&gt;NumberOfPlots,ISBLANK(INDEX(PlotData,MATCH($A259,PlotNumber,0),MATCH(B$3,PlotTitles,0)))),"",NOT(OR(AND(INDEX(PlotData,MATCH($A259,PlotNumber,0),MATCH("Tenure",PlotTitles,0))="Open market housing",INDEX(PlotData,MATCH($A259,PlotNumber,0),MATCH("Tenure detail",PlotTitles,0))="Private rented sector"),INDEX(PlotData,MATCH($A259,PlotNumber,0),MATCH("Tenure",PlotTitles,0))="Affordable rent")),"",NOT(INDEX(PlotData,MATCH($A259,PlotNumber,0),MATCH(S$3,PlotTitles,0))=0), $AB$24,TRUE,"")</f>
        <v/>
      </c>
      <c r="V259" s="114" t="str" cm="1">
        <f t="array" aca="1" ref="V259" ca="1">_xlfn.IFS(ISBLANK(NumberOfPlots),"Enter the number of homes on the 1_SetUp sheet",AND(A259&gt;NumberOfPlots,ISBLANK(INDEX(PlotData,MATCH($A259,PlotNumber,0),MATCH(B$3,PlotTitles,0)))),"No error",NOT(B259=""),B259,NOT(C259=""),C259,NOT(D259=""),D259,NOT(E259=""),E259,NOT(F259=""),F259,NOT(G259=""),G259,NOT(H259=""),H259,NOT(I259=""),I259,NOT(J259=""),J259,NOT(K259=""),K259,NOT(L259=""),L259,NOT(M259=""),M259,NOT(N259=""),N259,NOT(O259=""),O259,NOT(P259=""),P259,NOT(Q259=""),Q259,NOT(R259=""),R259,NOT(S259=""),S259,NOT(T259=""),T259,NOT(U259=""),U259,TRUE,"No error")</f>
        <v>Enter the number of homes on the 1_SetUp sheet</v>
      </c>
      <c r="W259" s="114" t="str">
        <f t="shared" ca="1" si="11"/>
        <v xml:space="preserve">The Borrower has not addressed the following error messages for Home ID 255: </v>
      </c>
    </row>
    <row r="260" spans="1:23">
      <c r="A260" s="123">
        <v>256</v>
      </c>
      <c r="B260" s="104" t="str" cm="1">
        <f t="array" ref="B260">_xlfn.IFS(AND(A260&gt;NumberOfPlots,ISBLANK(INDEX(PlotData,MATCH($A260,PlotNumber,0),MATCH(B$3,PlotTitles,0)))),"",ISNUMBER(INDEX(PlotData,MATCH($A260,PlotNumber,0),MATCH(B$3,PlotTitles,0)))=FALSE, $AB$5,TRUE,"")</f>
        <v/>
      </c>
      <c r="C260" s="104" t="str" cm="1">
        <f t="array" ref="C260">_xlfn.IFS(AND(A260&gt;NumberOfPlots,ISBLANK(INDEX(PlotData,MATCH($A260,PlotNumber,0),MATCH(B$3,PlotTitles,0)))),"",ISBLANK(INDEX(PlotData,MATCH($A260,PlotNumber,0),MATCH(C$3,PlotTitles,0))),$AB$6,TRUE,"")</f>
        <v/>
      </c>
      <c r="D260" s="104" t="str" cm="1">
        <f t="array" ref="D260">_xlfn.IFS(AND(A260&gt;NumberOfPlots,ISBLANK(INDEX(PlotData,MATCH($A260,PlotNumber,0),MATCH(B$3,PlotTitles,0)))),"",ISBLANK(INDEX(PlotData,MATCH($A260,PlotNumber,0),MATCH(D$3,PlotTitles,0))),$AB$7,TRUE,"")</f>
        <v/>
      </c>
      <c r="E260" s="104" t="str" cm="1">
        <f t="array" ref="E260">_xlfn.IFS(AND(A260&gt;NumberOfPlots,ISBLANK(INDEX(PlotData,MATCH($A260,PlotNumber,0),MATCH(B$3,PlotTitles,0)))),"",ISBLANK(INDEX(PlotData,MATCH($A260,PlotNumber,0),MATCH(E$3,PlotTitles,0))),$AB$8,TRUE,"")</f>
        <v/>
      </c>
      <c r="F260" s="104" t="str" cm="1">
        <f t="array" ref="F260">_xlfn.IFS(AND(A260&gt;NumberOfPlots,ISBLANK(INDEX(PlotData,MATCH($A260,PlotNumber,0),MATCH(B$3,PlotTitles,0)))),"",ISBLANK(INDEX(PlotData,MATCH($A260,PlotNumber,0),MATCH(F$3,PlotTitles,0))),$AB$9,TRUE,"")</f>
        <v/>
      </c>
      <c r="G260" s="104" t="str" cm="1">
        <f t="array" ref="G260">_xlfn.IFS(AND(A260&gt;NumberOfPlots,ISBLANK(INDEX(PlotData,MATCH($A260,PlotNumber,0),MATCH(B$3,PlotTitles,0)))),"",ISBLANK(INDEX(PlotData,MATCH($A260,PlotNumber,0),MATCH(G$3,PlotTitles,0))),$AB$10,TRUE,"")</f>
        <v/>
      </c>
      <c r="H260" s="104" t="str" cm="1">
        <f t="array" ref="H260">_xlfn.IFS(AND(A260&gt;NumberOfPlots,ISBLANK(INDEX(PlotData,MATCH($A260,PlotNumber,0),MATCH(B$3,PlotTitles,0)))),"",AND(ISBLANK(INDEX(PlotData,MATCH($A260,PlotNumber,0),MATCH(H$3,PlotTitles,0)))=FALSE,INDEX(PlotData,MATCH($A260,PlotNumber,0),MATCH(H$3,PlotTitles,0))&lt;500), $AB$11,TRUE,"")</f>
        <v/>
      </c>
      <c r="I260" s="104" t="str" cm="1">
        <f t="array" ref="I260">_xlfn.IFS(AND(A260&gt;NumberOfPlots,ISBLANK(INDEX(PlotData,MATCH($A260,PlotNumber,0),MATCH(B$3,PlotTitles,0)))),"",ISBLANK(INDEX(PlotData,MATCH($A260,PlotNumber,0),MATCH(I$3,PlotTitles,0))),$AB$12,TRUE,"")</f>
        <v/>
      </c>
      <c r="J260" s="104" t="str" cm="1">
        <f t="array" ref="J260">_xlfn.IFS(AND(A260&gt;NumberOfPlots,ISBLANK(INDEX(PlotData,MATCH($A260,PlotNumber,0),MATCH(B$3,PlotTitles,0)))),"",ISBLANK(INDEX(PlotData,MATCH($A260,PlotNumber,0),MATCH(J$3,PlotTitles,0))),$AB$13,TRUE,"")</f>
        <v/>
      </c>
      <c r="K260" s="182" t="str">
        <f t="shared" ca="1" si="9"/>
        <v/>
      </c>
      <c r="L260" s="104" t="str" cm="1">
        <f t="array" ref="L260">_xlfn.IFS(OR(ISBLANK(StartDateMonth),ISBLANK(StartDateYear)),"",AND(A260&gt;NumberOfPlots,ISBLANK(INDEX(PlotData,MATCH($A260,PlotNumber,0),MATCH(B$3,PlotTitles,0)))),"",ISBLANK(INDEX(PlotData,MATCH($A260,PlotNumber,0),MATCH(I$3,PlotTitles,0))),"",(DATEVALUE(INDEX(PlotData,MATCH($A260,PlotNumber,0),MATCH(I$3,PlotTitles,0))&amp;INDEX(PlotData,MATCH($A260,PlotNumber,0),MATCH(J$3,PlotTitles,0))))&lt;DATEVALUE(StartDateMonth&amp;StartDateYear),$AB$15,TRUE,"")</f>
        <v/>
      </c>
      <c r="M260" s="104" t="str" cm="1">
        <f t="array" ref="M260">_xlfn.IFS(OR(ISBLANK(StartDateMonth),ISBLANK(StartDateYear)),"",AND(A260&gt;NumberOfPlots,ISBLANK(INDEX(PlotData,MATCH($A260,PlotNumber,0),MATCH(B$3,PlotTitles,0)))),"",ISBLANK(INDEX(PlotData,MATCH($A260,PlotNumber,0),MATCH(I$3,PlotTitles,0))),"",CompletionMonth="","",(DATEVALUE(INDEX(PlotData,MATCH($A260,PlotNumber,0),MATCH(I$3,PlotTitles,0))&amp;INDEX(PlotData,MATCH($A260,PlotNumber,0),MATCH(J$3,PlotTitles,0))))&gt;(DATEVALUE(CompletionMonth&amp;CompletionYear)),$AB$16,TRUE,"")</f>
        <v/>
      </c>
      <c r="N260" s="104" t="str" cm="1">
        <f t="array" ref="N260">_xlfn.IFS(AND(A260&gt;NumberOfPlots,ISBLANK(INDEX(PlotData,MATCH($A260,PlotNumber,0),MATCH(B$3,PlotTitles,0)))),"",ISBLANK(INDEX(PlotData,MATCH($A260,PlotNumber,0),MATCH(N$3,PlotTitles,0))),$AB$17,TRUE,"")</f>
        <v/>
      </c>
      <c r="O260" s="104" t="str" cm="1">
        <f t="array" ref="O260">_xlfn.IFS(AND(A260&gt;NumberOfPlots,ISBLANK(INDEX(PlotData,MATCH($A260,PlotNumber,0),MATCH(B$3,PlotTitles,0)))),"",ISBLANK(INDEX(PlotData,MATCH($A260,PlotNumber,0),MATCH(O$3,PlotTitles,0))),$AB$18,TRUE,"")</f>
        <v/>
      </c>
      <c r="P260" s="182" t="str">
        <f t="shared" ca="1" si="10"/>
        <v/>
      </c>
      <c r="Q260" s="104" t="str" cm="1">
        <f t="array" ref="Q260">_xlfn.IFS(AND(A260&gt;NumberOfPlots,ISBLANK(INDEX(PlotData,MATCH($A260,PlotNumber,0),MATCH(B$3,PlotTitles,0)))),"",ISBLANK(INDEX(PlotData,MATCH($A260,PlotNumber,0),MATCH(N$3,PlotTitles,0))),"",(DATEVALUE(INDEX(PlotData,MATCH($A260,PlotNumber,0),MATCH(N$3,PlotTitles,0))&amp;INDEX(PlotData,MATCH($A260,PlotNumber,0),MATCH(O$3,PlotTitles,0))))&lt;(DATEVALUE(INDEX(PlotData,MATCH($A260,PlotNumber,0),MATCH(I$3,PlotTitles,0))&amp;INDEX(PlotData,MATCH($A260,PlotNumber,0),MATCH(J$3,PlotTitles,0)))),$AB$20,TRUE,"")</f>
        <v/>
      </c>
      <c r="R260" s="104" t="str" cm="1">
        <f t="array" ref="R260">_xlfn.IFS(OR(ISBLANK(StartDateMonth),ISBLANK(StartDateYear)),"",AND(A260&gt;NumberOfPlots,ISBLANK(INDEX(PlotData,MATCH($A260,PlotNumber,0),MATCH(B$3,PlotTitles,0)))),"",ISBLANK(INDEX(PlotData,MATCH($A260,PlotNumber,0),MATCH(N$3,PlotTitles,0))),"",CompletionMonth="","",(DATEVALUE(INDEX(PlotData,MATCH($A260,PlotNumber,0),MATCH(N$3,PlotTitles,0))&amp;INDEX(PlotData,MATCH($A260,PlotNumber,0),MATCH(O$3,PlotTitles,0))))&gt;(DATEVALUE(CompletionMonth&amp;CompletionYear)),$AB$21,TRUE,"")</f>
        <v/>
      </c>
      <c r="S260" s="104" t="str" cm="1">
        <f t="array" ref="S260">_xlfn.IFS(AND(A260&gt;NumberOfPlots,ISBLANK(INDEX(PlotData,MATCH($A260,PlotNumber,0),MATCH(B$3,PlotTitles,0)))),"",OR(AND(INDEX(PlotData,MATCH($A260,PlotNumber,0),MATCH("Tenure",PlotTitles,0))="Open market housing",INDEX(PlotData,MATCH($A260,PlotNumber,0),MATCH("Tenure detail",PlotTitles,0))="Private rented sector"),INDEX(PlotData,MATCH($A260,PlotNumber,0),MATCH("Tenure",PlotTitles,0))="Affordable rent"),"",ISNUMBER(INDEX(PlotData,MATCH($A260,PlotNumber,0),MATCH(S$3,PlotTitles,0)))=FALSE, $AB$22,TRUE,"")</f>
        <v/>
      </c>
      <c r="T260" s="104" t="str" cm="1">
        <f t="array" ref="T260">_xlfn.IFS(AND(A260&gt;NumberOfPlots,ISBLANK(INDEX(PlotData,MATCH($A260,PlotNumber,0),MATCH(B$3,PlotTitles,0)))),"",OR(AND(INDEX(PlotData,MATCH($A260,PlotNumber,0),MATCH("Tenure",PlotTitles,0))="Open market housing",INDEX(PlotData,MATCH($A260,PlotNumber,0),MATCH("Tenure detail",PlotTitles,0))="Private rented sector"),INDEX(PlotData,MATCH($A260,PlotNumber,0),MATCH("Tenure",PlotTitles,0))="Affordable rent"),"",INDEX(PlotData,MATCH($A260,PlotNumber,0),MATCH(S$3,PlotTitles,0))&lt;10000, $AB$23,TRUE,"")</f>
        <v/>
      </c>
      <c r="U260" s="104" t="str" cm="1">
        <f t="array" ref="U260">_xlfn.IFS(AND(A260&gt;NumberOfPlots,ISBLANK(INDEX(PlotData,MATCH($A260,PlotNumber,0),MATCH(B$3,PlotTitles,0)))),"",NOT(OR(AND(INDEX(PlotData,MATCH($A260,PlotNumber,0),MATCH("Tenure",PlotTitles,0))="Open market housing",INDEX(PlotData,MATCH($A260,PlotNumber,0),MATCH("Tenure detail",PlotTitles,0))="Private rented sector"),INDEX(PlotData,MATCH($A260,PlotNumber,0),MATCH("Tenure",PlotTitles,0))="Affordable rent")),"",NOT(INDEX(PlotData,MATCH($A260,PlotNumber,0),MATCH(S$3,PlotTitles,0))=0), $AB$24,TRUE,"")</f>
        <v/>
      </c>
      <c r="V260" s="114" t="str" cm="1">
        <f t="array" aca="1" ref="V260" ca="1">_xlfn.IFS(ISBLANK(NumberOfPlots),"Enter the number of homes on the 1_SetUp sheet",AND(A260&gt;NumberOfPlots,ISBLANK(INDEX(PlotData,MATCH($A260,PlotNumber,0),MATCH(B$3,PlotTitles,0)))),"No error",NOT(B260=""),B260,NOT(C260=""),C260,NOT(D260=""),D260,NOT(E260=""),E260,NOT(F260=""),F260,NOT(G260=""),G260,NOT(H260=""),H260,NOT(I260=""),I260,NOT(J260=""),J260,NOT(K260=""),K260,NOT(L260=""),L260,NOT(M260=""),M260,NOT(N260=""),N260,NOT(O260=""),O260,NOT(P260=""),P260,NOT(Q260=""),Q260,NOT(R260=""),R260,NOT(S260=""),S260,NOT(T260=""),T260,NOT(U260=""),U260,TRUE,"No error")</f>
        <v>Enter the number of homes on the 1_SetUp sheet</v>
      </c>
      <c r="W260" s="114" t="str">
        <f t="shared" ca="1" si="11"/>
        <v xml:space="preserve">The Borrower has not addressed the following error messages for Home ID 256: </v>
      </c>
    </row>
    <row r="261" spans="1:23">
      <c r="A261" s="123">
        <v>257</v>
      </c>
      <c r="B261" s="104" t="str" cm="1">
        <f t="array" ref="B261">_xlfn.IFS(AND(A261&gt;NumberOfPlots,ISBLANK(INDEX(PlotData,MATCH($A261,PlotNumber,0),MATCH(B$3,PlotTitles,0)))),"",ISNUMBER(INDEX(PlotData,MATCH($A261,PlotNumber,0),MATCH(B$3,PlotTitles,0)))=FALSE, $AB$5,TRUE,"")</f>
        <v/>
      </c>
      <c r="C261" s="104" t="str" cm="1">
        <f t="array" ref="C261">_xlfn.IFS(AND(A261&gt;NumberOfPlots,ISBLANK(INDEX(PlotData,MATCH($A261,PlotNumber,0),MATCH(B$3,PlotTitles,0)))),"",ISBLANK(INDEX(PlotData,MATCH($A261,PlotNumber,0),MATCH(C$3,PlotTitles,0))),$AB$6,TRUE,"")</f>
        <v/>
      </c>
      <c r="D261" s="104" t="str" cm="1">
        <f t="array" ref="D261">_xlfn.IFS(AND(A261&gt;NumberOfPlots,ISBLANK(INDEX(PlotData,MATCH($A261,PlotNumber,0),MATCH(B$3,PlotTitles,0)))),"",ISBLANK(INDEX(PlotData,MATCH($A261,PlotNumber,0),MATCH(D$3,PlotTitles,0))),$AB$7,TRUE,"")</f>
        <v/>
      </c>
      <c r="E261" s="104" t="str" cm="1">
        <f t="array" ref="E261">_xlfn.IFS(AND(A261&gt;NumberOfPlots,ISBLANK(INDEX(PlotData,MATCH($A261,PlotNumber,0),MATCH(B$3,PlotTitles,0)))),"",ISBLANK(INDEX(PlotData,MATCH($A261,PlotNumber,0),MATCH(E$3,PlotTitles,0))),$AB$8,TRUE,"")</f>
        <v/>
      </c>
      <c r="F261" s="104" t="str" cm="1">
        <f t="array" ref="F261">_xlfn.IFS(AND(A261&gt;NumberOfPlots,ISBLANK(INDEX(PlotData,MATCH($A261,PlotNumber,0),MATCH(B$3,PlotTitles,0)))),"",ISBLANK(INDEX(PlotData,MATCH($A261,PlotNumber,0),MATCH(F$3,PlotTitles,0))),$AB$9,TRUE,"")</f>
        <v/>
      </c>
      <c r="G261" s="104" t="str" cm="1">
        <f t="array" ref="G261">_xlfn.IFS(AND(A261&gt;NumberOfPlots,ISBLANK(INDEX(PlotData,MATCH($A261,PlotNumber,0),MATCH(B$3,PlotTitles,0)))),"",ISBLANK(INDEX(PlotData,MATCH($A261,PlotNumber,0),MATCH(G$3,PlotTitles,0))),$AB$10,TRUE,"")</f>
        <v/>
      </c>
      <c r="H261" s="104" t="str" cm="1">
        <f t="array" ref="H261">_xlfn.IFS(AND(A261&gt;NumberOfPlots,ISBLANK(INDEX(PlotData,MATCH($A261,PlotNumber,0),MATCH(B$3,PlotTitles,0)))),"",AND(ISBLANK(INDEX(PlotData,MATCH($A261,PlotNumber,0),MATCH(H$3,PlotTitles,0)))=FALSE,INDEX(PlotData,MATCH($A261,PlotNumber,0),MATCH(H$3,PlotTitles,0))&lt;500), $AB$11,TRUE,"")</f>
        <v/>
      </c>
      <c r="I261" s="104" t="str" cm="1">
        <f t="array" ref="I261">_xlfn.IFS(AND(A261&gt;NumberOfPlots,ISBLANK(INDEX(PlotData,MATCH($A261,PlotNumber,0),MATCH(B$3,PlotTitles,0)))),"",ISBLANK(INDEX(PlotData,MATCH($A261,PlotNumber,0),MATCH(I$3,PlotTitles,0))),$AB$12,TRUE,"")</f>
        <v/>
      </c>
      <c r="J261" s="104" t="str" cm="1">
        <f t="array" ref="J261">_xlfn.IFS(AND(A261&gt;NumberOfPlots,ISBLANK(INDEX(PlotData,MATCH($A261,PlotNumber,0),MATCH(B$3,PlotTitles,0)))),"",ISBLANK(INDEX(PlotData,MATCH($A261,PlotNumber,0),MATCH(J$3,PlotTitles,0))),$AB$13,TRUE,"")</f>
        <v/>
      </c>
      <c r="K261" s="182" t="str">
        <f t="shared" ref="K261:K324" ca="1" si="12">IF(AND(A261&gt;NumberOfPlots,ISBLANK(INDEX(PlotData,MATCH($A261,PlotNumber,0),MATCH(B$3,PlotTitles,0)))),"",IF(ISBLANK(INDEX(PlotData,MATCH($A261,PlotNumber,0),MATCH(I$3,PlotTitles,0)))=FALSE,IF(ISBLANK(INDEX(PlotData,MATCH($A261,PlotNumber,0),MATCH(J$3,PlotTitles,0)))=FALSE,IF((DATEVALUE(INDEX(PlotData,MATCH($A261,PlotNumber,0),MATCH(I$3,PlotTitles,0))&amp;INDEX(PlotData,MATCH($A261,PlotNumber,0),MATCH(J$3,PlotTitles,0))))&lt;(DATEVALUE(TEXT(TODAY(),"DD")&amp;"/"&amp;TEXT(TODAY(),"MM")&amp;"/"&amp;TEXT(TODAY(),"YYYY"))),$AB$14,"")),""))</f>
        <v/>
      </c>
      <c r="L261" s="104" t="str" cm="1">
        <f t="array" ref="L261">_xlfn.IFS(OR(ISBLANK(StartDateMonth),ISBLANK(StartDateYear)),"",AND(A261&gt;NumberOfPlots,ISBLANK(INDEX(PlotData,MATCH($A261,PlotNumber,0),MATCH(B$3,PlotTitles,0)))),"",ISBLANK(INDEX(PlotData,MATCH($A261,PlotNumber,0),MATCH(I$3,PlotTitles,0))),"",(DATEVALUE(INDEX(PlotData,MATCH($A261,PlotNumber,0),MATCH(I$3,PlotTitles,0))&amp;INDEX(PlotData,MATCH($A261,PlotNumber,0),MATCH(J$3,PlotTitles,0))))&lt;DATEVALUE(StartDateMonth&amp;StartDateYear),$AB$15,TRUE,"")</f>
        <v/>
      </c>
      <c r="M261" s="104" t="str" cm="1">
        <f t="array" ref="M261">_xlfn.IFS(OR(ISBLANK(StartDateMonth),ISBLANK(StartDateYear)),"",AND(A261&gt;NumberOfPlots,ISBLANK(INDEX(PlotData,MATCH($A261,PlotNumber,0),MATCH(B$3,PlotTitles,0)))),"",ISBLANK(INDEX(PlotData,MATCH($A261,PlotNumber,0),MATCH(I$3,PlotTitles,0))),"",CompletionMonth="","",(DATEVALUE(INDEX(PlotData,MATCH($A261,PlotNumber,0),MATCH(I$3,PlotTitles,0))&amp;INDEX(PlotData,MATCH($A261,PlotNumber,0),MATCH(J$3,PlotTitles,0))))&gt;(DATEVALUE(CompletionMonth&amp;CompletionYear)),$AB$16,TRUE,"")</f>
        <v/>
      </c>
      <c r="N261" s="104" t="str" cm="1">
        <f t="array" ref="N261">_xlfn.IFS(AND(A261&gt;NumberOfPlots,ISBLANK(INDEX(PlotData,MATCH($A261,PlotNumber,0),MATCH(B$3,PlotTitles,0)))),"",ISBLANK(INDEX(PlotData,MATCH($A261,PlotNumber,0),MATCH(N$3,PlotTitles,0))),$AB$17,TRUE,"")</f>
        <v/>
      </c>
      <c r="O261" s="104" t="str" cm="1">
        <f t="array" ref="O261">_xlfn.IFS(AND(A261&gt;NumberOfPlots,ISBLANK(INDEX(PlotData,MATCH($A261,PlotNumber,0),MATCH(B$3,PlotTitles,0)))),"",ISBLANK(INDEX(PlotData,MATCH($A261,PlotNumber,0),MATCH(O$3,PlotTitles,0))),$AB$18,TRUE,"")</f>
        <v/>
      </c>
      <c r="P261" s="182" t="str">
        <f t="shared" ref="P261:P324" ca="1" si="13">IF(AND(A261&gt;NumberOfPlots,ISBLANK(INDEX(PlotData,MATCH($A261,PlotNumber,0),MATCH(B$3,PlotTitles,0)))),"",IF(ISBLANK(INDEX(PlotData,MATCH($A261,PlotNumber,0),MATCH(N$3,PlotTitles,0)))=FALSE,IF(ISBLANK(INDEX(PlotData,MATCH($A261,PlotNumber,0),MATCH(O$3,PlotTitles,0)))=FALSE,IF((DATEVALUE(INDEX(PlotData,MATCH($A261,PlotNumber,0),MATCH(N$3,PlotTitles,0))&amp;INDEX(PlotData,MATCH($A261,PlotNumber,0),MATCH(O$3,PlotTitles,0))))&lt;(DATEVALUE(TEXT(TODAY(),"DD")&amp;"/"&amp;TEXT(TODAY(),"MM")&amp;"/"&amp;TEXT(TODAY(),"YYYY"))),$AB$19,"")),""))</f>
        <v/>
      </c>
      <c r="Q261" s="104" t="str" cm="1">
        <f t="array" ref="Q261">_xlfn.IFS(AND(A261&gt;NumberOfPlots,ISBLANK(INDEX(PlotData,MATCH($A261,PlotNumber,0),MATCH(B$3,PlotTitles,0)))),"",ISBLANK(INDEX(PlotData,MATCH($A261,PlotNumber,0),MATCH(N$3,PlotTitles,0))),"",(DATEVALUE(INDEX(PlotData,MATCH($A261,PlotNumber,0),MATCH(N$3,PlotTitles,0))&amp;INDEX(PlotData,MATCH($A261,PlotNumber,0),MATCH(O$3,PlotTitles,0))))&lt;(DATEVALUE(INDEX(PlotData,MATCH($A261,PlotNumber,0),MATCH(I$3,PlotTitles,0))&amp;INDEX(PlotData,MATCH($A261,PlotNumber,0),MATCH(J$3,PlotTitles,0)))),$AB$20,TRUE,"")</f>
        <v/>
      </c>
      <c r="R261" s="104" t="str" cm="1">
        <f t="array" ref="R261">_xlfn.IFS(OR(ISBLANK(StartDateMonth),ISBLANK(StartDateYear)),"",AND(A261&gt;NumberOfPlots,ISBLANK(INDEX(PlotData,MATCH($A261,PlotNumber,0),MATCH(B$3,PlotTitles,0)))),"",ISBLANK(INDEX(PlotData,MATCH($A261,PlotNumber,0),MATCH(N$3,PlotTitles,0))),"",CompletionMonth="","",(DATEVALUE(INDEX(PlotData,MATCH($A261,PlotNumber,0),MATCH(N$3,PlotTitles,0))&amp;INDEX(PlotData,MATCH($A261,PlotNumber,0),MATCH(O$3,PlotTitles,0))))&gt;(DATEVALUE(CompletionMonth&amp;CompletionYear)),$AB$21,TRUE,"")</f>
        <v/>
      </c>
      <c r="S261" s="104" t="str" cm="1">
        <f t="array" ref="S261">_xlfn.IFS(AND(A261&gt;NumberOfPlots,ISBLANK(INDEX(PlotData,MATCH($A261,PlotNumber,0),MATCH(B$3,PlotTitles,0)))),"",OR(AND(INDEX(PlotData,MATCH($A261,PlotNumber,0),MATCH("Tenure",PlotTitles,0))="Open market housing",INDEX(PlotData,MATCH($A261,PlotNumber,0),MATCH("Tenure detail",PlotTitles,0))="Private rented sector"),INDEX(PlotData,MATCH($A261,PlotNumber,0),MATCH("Tenure",PlotTitles,0))="Affordable rent"),"",ISNUMBER(INDEX(PlotData,MATCH($A261,PlotNumber,0),MATCH(S$3,PlotTitles,0)))=FALSE, $AB$22,TRUE,"")</f>
        <v/>
      </c>
      <c r="T261" s="104" t="str" cm="1">
        <f t="array" ref="T261">_xlfn.IFS(AND(A261&gt;NumberOfPlots,ISBLANK(INDEX(PlotData,MATCH($A261,PlotNumber,0),MATCH(B$3,PlotTitles,0)))),"",OR(AND(INDEX(PlotData,MATCH($A261,PlotNumber,0),MATCH("Tenure",PlotTitles,0))="Open market housing",INDEX(PlotData,MATCH($A261,PlotNumber,0),MATCH("Tenure detail",PlotTitles,0))="Private rented sector"),INDEX(PlotData,MATCH($A261,PlotNumber,0),MATCH("Tenure",PlotTitles,0))="Affordable rent"),"",INDEX(PlotData,MATCH($A261,PlotNumber,0),MATCH(S$3,PlotTitles,0))&lt;10000, $AB$23,TRUE,"")</f>
        <v/>
      </c>
      <c r="U261" s="104" t="str" cm="1">
        <f t="array" ref="U261">_xlfn.IFS(AND(A261&gt;NumberOfPlots,ISBLANK(INDEX(PlotData,MATCH($A261,PlotNumber,0),MATCH(B$3,PlotTitles,0)))),"",NOT(OR(AND(INDEX(PlotData,MATCH($A261,PlotNumber,0),MATCH("Tenure",PlotTitles,0))="Open market housing",INDEX(PlotData,MATCH($A261,PlotNumber,0),MATCH("Tenure detail",PlotTitles,0))="Private rented sector"),INDEX(PlotData,MATCH($A261,PlotNumber,0),MATCH("Tenure",PlotTitles,0))="Affordable rent")),"",NOT(INDEX(PlotData,MATCH($A261,PlotNumber,0),MATCH(S$3,PlotTitles,0))=0), $AB$24,TRUE,"")</f>
        <v/>
      </c>
      <c r="V261" s="114" t="str" cm="1">
        <f t="array" aca="1" ref="V261" ca="1">_xlfn.IFS(ISBLANK(NumberOfPlots),"Enter the number of homes on the 1_SetUp sheet",AND(A261&gt;NumberOfPlots,ISBLANK(INDEX(PlotData,MATCH($A261,PlotNumber,0),MATCH(B$3,PlotTitles,0)))),"No error",NOT(B261=""),B261,NOT(C261=""),C261,NOT(D261=""),D261,NOT(E261=""),E261,NOT(F261=""),F261,NOT(G261=""),G261,NOT(H261=""),H261,NOT(I261=""),I261,NOT(J261=""),J261,NOT(K261=""),K261,NOT(L261=""),L261,NOT(M261=""),M261,NOT(N261=""),N261,NOT(O261=""),O261,NOT(P261=""),P261,NOT(Q261=""),Q261,NOT(R261=""),R261,NOT(S261=""),S261,NOT(T261=""),T261,NOT(U261=""),U261,TRUE,"No error")</f>
        <v>Enter the number of homes on the 1_SetUp sheet</v>
      </c>
      <c r="W261" s="114" t="str">
        <f t="shared" ca="1" si="11"/>
        <v xml:space="preserve">The Borrower has not addressed the following error messages for Home ID 257: </v>
      </c>
    </row>
    <row r="262" spans="1:23">
      <c r="A262" s="123">
        <v>258</v>
      </c>
      <c r="B262" s="104" t="str" cm="1">
        <f t="array" ref="B262">_xlfn.IFS(AND(A262&gt;NumberOfPlots,ISBLANK(INDEX(PlotData,MATCH($A262,PlotNumber,0),MATCH(B$3,PlotTitles,0)))),"",ISNUMBER(INDEX(PlotData,MATCH($A262,PlotNumber,0),MATCH(B$3,PlotTitles,0)))=FALSE, $AB$5,TRUE,"")</f>
        <v/>
      </c>
      <c r="C262" s="104" t="str" cm="1">
        <f t="array" ref="C262">_xlfn.IFS(AND(A262&gt;NumberOfPlots,ISBLANK(INDEX(PlotData,MATCH($A262,PlotNumber,0),MATCH(B$3,PlotTitles,0)))),"",ISBLANK(INDEX(PlotData,MATCH($A262,PlotNumber,0),MATCH(C$3,PlotTitles,0))),$AB$6,TRUE,"")</f>
        <v/>
      </c>
      <c r="D262" s="104" t="str" cm="1">
        <f t="array" ref="D262">_xlfn.IFS(AND(A262&gt;NumberOfPlots,ISBLANK(INDEX(PlotData,MATCH($A262,PlotNumber,0),MATCH(B$3,PlotTitles,0)))),"",ISBLANK(INDEX(PlotData,MATCH($A262,PlotNumber,0),MATCH(D$3,PlotTitles,0))),$AB$7,TRUE,"")</f>
        <v/>
      </c>
      <c r="E262" s="104" t="str" cm="1">
        <f t="array" ref="E262">_xlfn.IFS(AND(A262&gt;NumberOfPlots,ISBLANK(INDEX(PlotData,MATCH($A262,PlotNumber,0),MATCH(B$3,PlotTitles,0)))),"",ISBLANK(INDEX(PlotData,MATCH($A262,PlotNumber,0),MATCH(E$3,PlotTitles,0))),$AB$8,TRUE,"")</f>
        <v/>
      </c>
      <c r="F262" s="104" t="str" cm="1">
        <f t="array" ref="F262">_xlfn.IFS(AND(A262&gt;NumberOfPlots,ISBLANK(INDEX(PlotData,MATCH($A262,PlotNumber,0),MATCH(B$3,PlotTitles,0)))),"",ISBLANK(INDEX(PlotData,MATCH($A262,PlotNumber,0),MATCH(F$3,PlotTitles,0))),$AB$9,TRUE,"")</f>
        <v/>
      </c>
      <c r="G262" s="104" t="str" cm="1">
        <f t="array" ref="G262">_xlfn.IFS(AND(A262&gt;NumberOfPlots,ISBLANK(INDEX(PlotData,MATCH($A262,PlotNumber,0),MATCH(B$3,PlotTitles,0)))),"",ISBLANK(INDEX(PlotData,MATCH($A262,PlotNumber,0),MATCH(G$3,PlotTitles,0))),$AB$10,TRUE,"")</f>
        <v/>
      </c>
      <c r="H262" s="104" t="str" cm="1">
        <f t="array" ref="H262">_xlfn.IFS(AND(A262&gt;NumberOfPlots,ISBLANK(INDEX(PlotData,MATCH($A262,PlotNumber,0),MATCH(B$3,PlotTitles,0)))),"",AND(ISBLANK(INDEX(PlotData,MATCH($A262,PlotNumber,0),MATCH(H$3,PlotTitles,0)))=FALSE,INDEX(PlotData,MATCH($A262,PlotNumber,0),MATCH(H$3,PlotTitles,0))&lt;500), $AB$11,TRUE,"")</f>
        <v/>
      </c>
      <c r="I262" s="104" t="str" cm="1">
        <f t="array" ref="I262">_xlfn.IFS(AND(A262&gt;NumberOfPlots,ISBLANK(INDEX(PlotData,MATCH($A262,PlotNumber,0),MATCH(B$3,PlotTitles,0)))),"",ISBLANK(INDEX(PlotData,MATCH($A262,PlotNumber,0),MATCH(I$3,PlotTitles,0))),$AB$12,TRUE,"")</f>
        <v/>
      </c>
      <c r="J262" s="104" t="str" cm="1">
        <f t="array" ref="J262">_xlfn.IFS(AND(A262&gt;NumberOfPlots,ISBLANK(INDEX(PlotData,MATCH($A262,PlotNumber,0),MATCH(B$3,PlotTitles,0)))),"",ISBLANK(INDEX(PlotData,MATCH($A262,PlotNumber,0),MATCH(J$3,PlotTitles,0))),$AB$13,TRUE,"")</f>
        <v/>
      </c>
      <c r="K262" s="182" t="str">
        <f t="shared" ca="1" si="12"/>
        <v/>
      </c>
      <c r="L262" s="104" t="str" cm="1">
        <f t="array" ref="L262">_xlfn.IFS(OR(ISBLANK(StartDateMonth),ISBLANK(StartDateYear)),"",AND(A262&gt;NumberOfPlots,ISBLANK(INDEX(PlotData,MATCH($A262,PlotNumber,0),MATCH(B$3,PlotTitles,0)))),"",ISBLANK(INDEX(PlotData,MATCH($A262,PlotNumber,0),MATCH(I$3,PlotTitles,0))),"",(DATEVALUE(INDEX(PlotData,MATCH($A262,PlotNumber,0),MATCH(I$3,PlotTitles,0))&amp;INDEX(PlotData,MATCH($A262,PlotNumber,0),MATCH(J$3,PlotTitles,0))))&lt;DATEVALUE(StartDateMonth&amp;StartDateYear),$AB$15,TRUE,"")</f>
        <v/>
      </c>
      <c r="M262" s="104" t="str" cm="1">
        <f t="array" ref="M262">_xlfn.IFS(OR(ISBLANK(StartDateMonth),ISBLANK(StartDateYear)),"",AND(A262&gt;NumberOfPlots,ISBLANK(INDEX(PlotData,MATCH($A262,PlotNumber,0),MATCH(B$3,PlotTitles,0)))),"",ISBLANK(INDEX(PlotData,MATCH($A262,PlotNumber,0),MATCH(I$3,PlotTitles,0))),"",CompletionMonth="","",(DATEVALUE(INDEX(PlotData,MATCH($A262,PlotNumber,0),MATCH(I$3,PlotTitles,0))&amp;INDEX(PlotData,MATCH($A262,PlotNumber,0),MATCH(J$3,PlotTitles,0))))&gt;(DATEVALUE(CompletionMonth&amp;CompletionYear)),$AB$16,TRUE,"")</f>
        <v/>
      </c>
      <c r="N262" s="104" t="str" cm="1">
        <f t="array" ref="N262">_xlfn.IFS(AND(A262&gt;NumberOfPlots,ISBLANK(INDEX(PlotData,MATCH($A262,PlotNumber,0),MATCH(B$3,PlotTitles,0)))),"",ISBLANK(INDEX(PlotData,MATCH($A262,PlotNumber,0),MATCH(N$3,PlotTitles,0))),$AB$17,TRUE,"")</f>
        <v/>
      </c>
      <c r="O262" s="104" t="str" cm="1">
        <f t="array" ref="O262">_xlfn.IFS(AND(A262&gt;NumberOfPlots,ISBLANK(INDEX(PlotData,MATCH($A262,PlotNumber,0),MATCH(B$3,PlotTitles,0)))),"",ISBLANK(INDEX(PlotData,MATCH($A262,PlotNumber,0),MATCH(O$3,PlotTitles,0))),$AB$18,TRUE,"")</f>
        <v/>
      </c>
      <c r="P262" s="182" t="str">
        <f t="shared" ca="1" si="13"/>
        <v/>
      </c>
      <c r="Q262" s="104" t="str" cm="1">
        <f t="array" ref="Q262">_xlfn.IFS(AND(A262&gt;NumberOfPlots,ISBLANK(INDEX(PlotData,MATCH($A262,PlotNumber,0),MATCH(B$3,PlotTitles,0)))),"",ISBLANK(INDEX(PlotData,MATCH($A262,PlotNumber,0),MATCH(N$3,PlotTitles,0))),"",(DATEVALUE(INDEX(PlotData,MATCH($A262,PlotNumber,0),MATCH(N$3,PlotTitles,0))&amp;INDEX(PlotData,MATCH($A262,PlotNumber,0),MATCH(O$3,PlotTitles,0))))&lt;(DATEVALUE(INDEX(PlotData,MATCH($A262,PlotNumber,0),MATCH(I$3,PlotTitles,0))&amp;INDEX(PlotData,MATCH($A262,PlotNumber,0),MATCH(J$3,PlotTitles,0)))),$AB$20,TRUE,"")</f>
        <v/>
      </c>
      <c r="R262" s="104" t="str" cm="1">
        <f t="array" ref="R262">_xlfn.IFS(OR(ISBLANK(StartDateMonth),ISBLANK(StartDateYear)),"",AND(A262&gt;NumberOfPlots,ISBLANK(INDEX(PlotData,MATCH($A262,PlotNumber,0),MATCH(B$3,PlotTitles,0)))),"",ISBLANK(INDEX(PlotData,MATCH($A262,PlotNumber,0),MATCH(N$3,PlotTitles,0))),"",CompletionMonth="","",(DATEVALUE(INDEX(PlotData,MATCH($A262,PlotNumber,0),MATCH(N$3,PlotTitles,0))&amp;INDEX(PlotData,MATCH($A262,PlotNumber,0),MATCH(O$3,PlotTitles,0))))&gt;(DATEVALUE(CompletionMonth&amp;CompletionYear)),$AB$21,TRUE,"")</f>
        <v/>
      </c>
      <c r="S262" s="104" t="str" cm="1">
        <f t="array" ref="S262">_xlfn.IFS(AND(A262&gt;NumberOfPlots,ISBLANK(INDEX(PlotData,MATCH($A262,PlotNumber,0),MATCH(B$3,PlotTitles,0)))),"",OR(AND(INDEX(PlotData,MATCH($A262,PlotNumber,0),MATCH("Tenure",PlotTitles,0))="Open market housing",INDEX(PlotData,MATCH($A262,PlotNumber,0),MATCH("Tenure detail",PlotTitles,0))="Private rented sector"),INDEX(PlotData,MATCH($A262,PlotNumber,0),MATCH("Tenure",PlotTitles,0))="Affordable rent"),"",ISNUMBER(INDEX(PlotData,MATCH($A262,PlotNumber,0),MATCH(S$3,PlotTitles,0)))=FALSE, $AB$22,TRUE,"")</f>
        <v/>
      </c>
      <c r="T262" s="104" t="str" cm="1">
        <f t="array" ref="T262">_xlfn.IFS(AND(A262&gt;NumberOfPlots,ISBLANK(INDEX(PlotData,MATCH($A262,PlotNumber,0),MATCH(B$3,PlotTitles,0)))),"",OR(AND(INDEX(PlotData,MATCH($A262,PlotNumber,0),MATCH("Tenure",PlotTitles,0))="Open market housing",INDEX(PlotData,MATCH($A262,PlotNumber,0),MATCH("Tenure detail",PlotTitles,0))="Private rented sector"),INDEX(PlotData,MATCH($A262,PlotNumber,0),MATCH("Tenure",PlotTitles,0))="Affordable rent"),"",INDEX(PlotData,MATCH($A262,PlotNumber,0),MATCH(S$3,PlotTitles,0))&lt;10000, $AB$23,TRUE,"")</f>
        <v/>
      </c>
      <c r="U262" s="104" t="str" cm="1">
        <f t="array" ref="U262">_xlfn.IFS(AND(A262&gt;NumberOfPlots,ISBLANK(INDEX(PlotData,MATCH($A262,PlotNumber,0),MATCH(B$3,PlotTitles,0)))),"",NOT(OR(AND(INDEX(PlotData,MATCH($A262,PlotNumber,0),MATCH("Tenure",PlotTitles,0))="Open market housing",INDEX(PlotData,MATCH($A262,PlotNumber,0),MATCH("Tenure detail",PlotTitles,0))="Private rented sector"),INDEX(PlotData,MATCH($A262,PlotNumber,0),MATCH("Tenure",PlotTitles,0))="Affordable rent")),"",NOT(INDEX(PlotData,MATCH($A262,PlotNumber,0),MATCH(S$3,PlotTitles,0))=0), $AB$24,TRUE,"")</f>
        <v/>
      </c>
      <c r="V262" s="114" t="str" cm="1">
        <f t="array" aca="1" ref="V262" ca="1">_xlfn.IFS(ISBLANK(NumberOfPlots),"Enter the number of homes on the 1_SetUp sheet",AND(A262&gt;NumberOfPlots,ISBLANK(INDEX(PlotData,MATCH($A262,PlotNumber,0),MATCH(B$3,PlotTitles,0)))),"No error",NOT(B262=""),B262,NOT(C262=""),C262,NOT(D262=""),D262,NOT(E262=""),E262,NOT(F262=""),F262,NOT(G262=""),G262,NOT(H262=""),H262,NOT(I262=""),I262,NOT(J262=""),J262,NOT(K262=""),K262,NOT(L262=""),L262,NOT(M262=""),M262,NOT(N262=""),N262,NOT(O262=""),O262,NOT(P262=""),P262,NOT(Q262=""),Q262,NOT(R262=""),R262,NOT(S262=""),S262,NOT(T262=""),T262,NOT(U262=""),U262,TRUE,"No error")</f>
        <v>Enter the number of homes on the 1_SetUp sheet</v>
      </c>
      <c r="W262" s="114" t="str">
        <f t="shared" ref="W262:W325" ca="1" si="14">IF($V262="No error","","The Borrower has not addressed the following error messages for Home ID "&amp;$A262&amp;": "&amp;_xlfn.TEXTJOIN(". ",TRUE,$B262:$T262))</f>
        <v xml:space="preserve">The Borrower has not addressed the following error messages for Home ID 258: </v>
      </c>
    </row>
    <row r="263" spans="1:23">
      <c r="A263" s="123">
        <v>259</v>
      </c>
      <c r="B263" s="104" t="str" cm="1">
        <f t="array" ref="B263">_xlfn.IFS(AND(A263&gt;NumberOfPlots,ISBLANK(INDEX(PlotData,MATCH($A263,PlotNumber,0),MATCH(B$3,PlotTitles,0)))),"",ISNUMBER(INDEX(PlotData,MATCH($A263,PlotNumber,0),MATCH(B$3,PlotTitles,0)))=FALSE, $AB$5,TRUE,"")</f>
        <v/>
      </c>
      <c r="C263" s="104" t="str" cm="1">
        <f t="array" ref="C263">_xlfn.IFS(AND(A263&gt;NumberOfPlots,ISBLANK(INDEX(PlotData,MATCH($A263,PlotNumber,0),MATCH(B$3,PlotTitles,0)))),"",ISBLANK(INDEX(PlotData,MATCH($A263,PlotNumber,0),MATCH(C$3,PlotTitles,0))),$AB$6,TRUE,"")</f>
        <v/>
      </c>
      <c r="D263" s="104" t="str" cm="1">
        <f t="array" ref="D263">_xlfn.IFS(AND(A263&gt;NumberOfPlots,ISBLANK(INDEX(PlotData,MATCH($A263,PlotNumber,0),MATCH(B$3,PlotTitles,0)))),"",ISBLANK(INDEX(PlotData,MATCH($A263,PlotNumber,0),MATCH(D$3,PlotTitles,0))),$AB$7,TRUE,"")</f>
        <v/>
      </c>
      <c r="E263" s="104" t="str" cm="1">
        <f t="array" ref="E263">_xlfn.IFS(AND(A263&gt;NumberOfPlots,ISBLANK(INDEX(PlotData,MATCH($A263,PlotNumber,0),MATCH(B$3,PlotTitles,0)))),"",ISBLANK(INDEX(PlotData,MATCH($A263,PlotNumber,0),MATCH(E$3,PlotTitles,0))),$AB$8,TRUE,"")</f>
        <v/>
      </c>
      <c r="F263" s="104" t="str" cm="1">
        <f t="array" ref="F263">_xlfn.IFS(AND(A263&gt;NumberOfPlots,ISBLANK(INDEX(PlotData,MATCH($A263,PlotNumber,0),MATCH(B$3,PlotTitles,0)))),"",ISBLANK(INDEX(PlotData,MATCH($A263,PlotNumber,0),MATCH(F$3,PlotTitles,0))),$AB$9,TRUE,"")</f>
        <v/>
      </c>
      <c r="G263" s="104" t="str" cm="1">
        <f t="array" ref="G263">_xlfn.IFS(AND(A263&gt;NumberOfPlots,ISBLANK(INDEX(PlotData,MATCH($A263,PlotNumber,0),MATCH(B$3,PlotTitles,0)))),"",ISBLANK(INDEX(PlotData,MATCH($A263,PlotNumber,0),MATCH(G$3,PlotTitles,0))),$AB$10,TRUE,"")</f>
        <v/>
      </c>
      <c r="H263" s="104" t="str" cm="1">
        <f t="array" ref="H263">_xlfn.IFS(AND(A263&gt;NumberOfPlots,ISBLANK(INDEX(PlotData,MATCH($A263,PlotNumber,0),MATCH(B$3,PlotTitles,0)))),"",AND(ISBLANK(INDEX(PlotData,MATCH($A263,PlotNumber,0),MATCH(H$3,PlotTitles,0)))=FALSE,INDEX(PlotData,MATCH($A263,PlotNumber,0),MATCH(H$3,PlotTitles,0))&lt;500), $AB$11,TRUE,"")</f>
        <v/>
      </c>
      <c r="I263" s="104" t="str" cm="1">
        <f t="array" ref="I263">_xlfn.IFS(AND(A263&gt;NumberOfPlots,ISBLANK(INDEX(PlotData,MATCH($A263,PlotNumber,0),MATCH(B$3,PlotTitles,0)))),"",ISBLANK(INDEX(PlotData,MATCH($A263,PlotNumber,0),MATCH(I$3,PlotTitles,0))),$AB$12,TRUE,"")</f>
        <v/>
      </c>
      <c r="J263" s="104" t="str" cm="1">
        <f t="array" ref="J263">_xlfn.IFS(AND(A263&gt;NumberOfPlots,ISBLANK(INDEX(PlotData,MATCH($A263,PlotNumber,0),MATCH(B$3,PlotTitles,0)))),"",ISBLANK(INDEX(PlotData,MATCH($A263,PlotNumber,0),MATCH(J$3,PlotTitles,0))),$AB$13,TRUE,"")</f>
        <v/>
      </c>
      <c r="K263" s="182" t="str">
        <f t="shared" ca="1" si="12"/>
        <v/>
      </c>
      <c r="L263" s="104" t="str" cm="1">
        <f t="array" ref="L263">_xlfn.IFS(OR(ISBLANK(StartDateMonth),ISBLANK(StartDateYear)),"",AND(A263&gt;NumberOfPlots,ISBLANK(INDEX(PlotData,MATCH($A263,PlotNumber,0),MATCH(B$3,PlotTitles,0)))),"",ISBLANK(INDEX(PlotData,MATCH($A263,PlotNumber,0),MATCH(I$3,PlotTitles,0))),"",(DATEVALUE(INDEX(PlotData,MATCH($A263,PlotNumber,0),MATCH(I$3,PlotTitles,0))&amp;INDEX(PlotData,MATCH($A263,PlotNumber,0),MATCH(J$3,PlotTitles,0))))&lt;DATEVALUE(StartDateMonth&amp;StartDateYear),$AB$15,TRUE,"")</f>
        <v/>
      </c>
      <c r="M263" s="104" t="str" cm="1">
        <f t="array" ref="M263">_xlfn.IFS(OR(ISBLANK(StartDateMonth),ISBLANK(StartDateYear)),"",AND(A263&gt;NumberOfPlots,ISBLANK(INDEX(PlotData,MATCH($A263,PlotNumber,0),MATCH(B$3,PlotTitles,0)))),"",ISBLANK(INDEX(PlotData,MATCH($A263,PlotNumber,0),MATCH(I$3,PlotTitles,0))),"",CompletionMonth="","",(DATEVALUE(INDEX(PlotData,MATCH($A263,PlotNumber,0),MATCH(I$3,PlotTitles,0))&amp;INDEX(PlotData,MATCH($A263,PlotNumber,0),MATCH(J$3,PlotTitles,0))))&gt;(DATEVALUE(CompletionMonth&amp;CompletionYear)),$AB$16,TRUE,"")</f>
        <v/>
      </c>
      <c r="N263" s="104" t="str" cm="1">
        <f t="array" ref="N263">_xlfn.IFS(AND(A263&gt;NumberOfPlots,ISBLANK(INDEX(PlotData,MATCH($A263,PlotNumber,0),MATCH(B$3,PlotTitles,0)))),"",ISBLANK(INDEX(PlotData,MATCH($A263,PlotNumber,0),MATCH(N$3,PlotTitles,0))),$AB$17,TRUE,"")</f>
        <v/>
      </c>
      <c r="O263" s="104" t="str" cm="1">
        <f t="array" ref="O263">_xlfn.IFS(AND(A263&gt;NumberOfPlots,ISBLANK(INDEX(PlotData,MATCH($A263,PlotNumber,0),MATCH(B$3,PlotTitles,0)))),"",ISBLANK(INDEX(PlotData,MATCH($A263,PlotNumber,0),MATCH(O$3,PlotTitles,0))),$AB$18,TRUE,"")</f>
        <v/>
      </c>
      <c r="P263" s="182" t="str">
        <f t="shared" ca="1" si="13"/>
        <v/>
      </c>
      <c r="Q263" s="104" t="str" cm="1">
        <f t="array" ref="Q263">_xlfn.IFS(AND(A263&gt;NumberOfPlots,ISBLANK(INDEX(PlotData,MATCH($A263,PlotNumber,0),MATCH(B$3,PlotTitles,0)))),"",ISBLANK(INDEX(PlotData,MATCH($A263,PlotNumber,0),MATCH(N$3,PlotTitles,0))),"",(DATEVALUE(INDEX(PlotData,MATCH($A263,PlotNumber,0),MATCH(N$3,PlotTitles,0))&amp;INDEX(PlotData,MATCH($A263,PlotNumber,0),MATCH(O$3,PlotTitles,0))))&lt;(DATEVALUE(INDEX(PlotData,MATCH($A263,PlotNumber,0),MATCH(I$3,PlotTitles,0))&amp;INDEX(PlotData,MATCH($A263,PlotNumber,0),MATCH(J$3,PlotTitles,0)))),$AB$20,TRUE,"")</f>
        <v/>
      </c>
      <c r="R263" s="104" t="str" cm="1">
        <f t="array" ref="R263">_xlfn.IFS(OR(ISBLANK(StartDateMonth),ISBLANK(StartDateYear)),"",AND(A263&gt;NumberOfPlots,ISBLANK(INDEX(PlotData,MATCH($A263,PlotNumber,0),MATCH(B$3,PlotTitles,0)))),"",ISBLANK(INDEX(PlotData,MATCH($A263,PlotNumber,0),MATCH(N$3,PlotTitles,0))),"",CompletionMonth="","",(DATEVALUE(INDEX(PlotData,MATCH($A263,PlotNumber,0),MATCH(N$3,PlotTitles,0))&amp;INDEX(PlotData,MATCH($A263,PlotNumber,0),MATCH(O$3,PlotTitles,0))))&gt;(DATEVALUE(CompletionMonth&amp;CompletionYear)),$AB$21,TRUE,"")</f>
        <v/>
      </c>
      <c r="S263" s="104" t="str" cm="1">
        <f t="array" ref="S263">_xlfn.IFS(AND(A263&gt;NumberOfPlots,ISBLANK(INDEX(PlotData,MATCH($A263,PlotNumber,0),MATCH(B$3,PlotTitles,0)))),"",OR(AND(INDEX(PlotData,MATCH($A263,PlotNumber,0),MATCH("Tenure",PlotTitles,0))="Open market housing",INDEX(PlotData,MATCH($A263,PlotNumber,0),MATCH("Tenure detail",PlotTitles,0))="Private rented sector"),INDEX(PlotData,MATCH($A263,PlotNumber,0),MATCH("Tenure",PlotTitles,0))="Affordable rent"),"",ISNUMBER(INDEX(PlotData,MATCH($A263,PlotNumber,0),MATCH(S$3,PlotTitles,0)))=FALSE, $AB$22,TRUE,"")</f>
        <v/>
      </c>
      <c r="T263" s="104" t="str" cm="1">
        <f t="array" ref="T263">_xlfn.IFS(AND(A263&gt;NumberOfPlots,ISBLANK(INDEX(PlotData,MATCH($A263,PlotNumber,0),MATCH(B$3,PlotTitles,0)))),"",OR(AND(INDEX(PlotData,MATCH($A263,PlotNumber,0),MATCH("Tenure",PlotTitles,0))="Open market housing",INDEX(PlotData,MATCH($A263,PlotNumber,0),MATCH("Tenure detail",PlotTitles,0))="Private rented sector"),INDEX(PlotData,MATCH($A263,PlotNumber,0),MATCH("Tenure",PlotTitles,0))="Affordable rent"),"",INDEX(PlotData,MATCH($A263,PlotNumber,0),MATCH(S$3,PlotTitles,0))&lt;10000, $AB$23,TRUE,"")</f>
        <v/>
      </c>
      <c r="U263" s="104" t="str" cm="1">
        <f t="array" ref="U263">_xlfn.IFS(AND(A263&gt;NumberOfPlots,ISBLANK(INDEX(PlotData,MATCH($A263,PlotNumber,0),MATCH(B$3,PlotTitles,0)))),"",NOT(OR(AND(INDEX(PlotData,MATCH($A263,PlotNumber,0),MATCH("Tenure",PlotTitles,0))="Open market housing",INDEX(PlotData,MATCH($A263,PlotNumber,0),MATCH("Tenure detail",PlotTitles,0))="Private rented sector"),INDEX(PlotData,MATCH($A263,PlotNumber,0),MATCH("Tenure",PlotTitles,0))="Affordable rent")),"",NOT(INDEX(PlotData,MATCH($A263,PlotNumber,0),MATCH(S$3,PlotTitles,0))=0), $AB$24,TRUE,"")</f>
        <v/>
      </c>
      <c r="V263" s="114" t="str" cm="1">
        <f t="array" aca="1" ref="V263" ca="1">_xlfn.IFS(ISBLANK(NumberOfPlots),"Enter the number of homes on the 1_SetUp sheet",AND(A263&gt;NumberOfPlots,ISBLANK(INDEX(PlotData,MATCH($A263,PlotNumber,0),MATCH(B$3,PlotTitles,0)))),"No error",NOT(B263=""),B263,NOT(C263=""),C263,NOT(D263=""),D263,NOT(E263=""),E263,NOT(F263=""),F263,NOT(G263=""),G263,NOT(H263=""),H263,NOT(I263=""),I263,NOT(J263=""),J263,NOT(K263=""),K263,NOT(L263=""),L263,NOT(M263=""),M263,NOT(N263=""),N263,NOT(O263=""),O263,NOT(P263=""),P263,NOT(Q263=""),Q263,NOT(R263=""),R263,NOT(S263=""),S263,NOT(T263=""),T263,NOT(U263=""),U263,TRUE,"No error")</f>
        <v>Enter the number of homes on the 1_SetUp sheet</v>
      </c>
      <c r="W263" s="114" t="str">
        <f t="shared" ca="1" si="14"/>
        <v xml:space="preserve">The Borrower has not addressed the following error messages for Home ID 259: </v>
      </c>
    </row>
    <row r="264" spans="1:23">
      <c r="A264" s="123">
        <v>260</v>
      </c>
      <c r="B264" s="104" t="str" cm="1">
        <f t="array" ref="B264">_xlfn.IFS(AND(A264&gt;NumberOfPlots,ISBLANK(INDEX(PlotData,MATCH($A264,PlotNumber,0),MATCH(B$3,PlotTitles,0)))),"",ISNUMBER(INDEX(PlotData,MATCH($A264,PlotNumber,0),MATCH(B$3,PlotTitles,0)))=FALSE, $AB$5,TRUE,"")</f>
        <v/>
      </c>
      <c r="C264" s="104" t="str" cm="1">
        <f t="array" ref="C264">_xlfn.IFS(AND(A264&gt;NumberOfPlots,ISBLANK(INDEX(PlotData,MATCH($A264,PlotNumber,0),MATCH(B$3,PlotTitles,0)))),"",ISBLANK(INDEX(PlotData,MATCH($A264,PlotNumber,0),MATCH(C$3,PlotTitles,0))),$AB$6,TRUE,"")</f>
        <v/>
      </c>
      <c r="D264" s="104" t="str" cm="1">
        <f t="array" ref="D264">_xlfn.IFS(AND(A264&gt;NumberOfPlots,ISBLANK(INDEX(PlotData,MATCH($A264,PlotNumber,0),MATCH(B$3,PlotTitles,0)))),"",ISBLANK(INDEX(PlotData,MATCH($A264,PlotNumber,0),MATCH(D$3,PlotTitles,0))),$AB$7,TRUE,"")</f>
        <v/>
      </c>
      <c r="E264" s="104" t="str" cm="1">
        <f t="array" ref="E264">_xlfn.IFS(AND(A264&gt;NumberOfPlots,ISBLANK(INDEX(PlotData,MATCH($A264,PlotNumber,0),MATCH(B$3,PlotTitles,0)))),"",ISBLANK(INDEX(PlotData,MATCH($A264,PlotNumber,0),MATCH(E$3,PlotTitles,0))),$AB$8,TRUE,"")</f>
        <v/>
      </c>
      <c r="F264" s="104" t="str" cm="1">
        <f t="array" ref="F264">_xlfn.IFS(AND(A264&gt;NumberOfPlots,ISBLANK(INDEX(PlotData,MATCH($A264,PlotNumber,0),MATCH(B$3,PlotTitles,0)))),"",ISBLANK(INDEX(PlotData,MATCH($A264,PlotNumber,0),MATCH(F$3,PlotTitles,0))),$AB$9,TRUE,"")</f>
        <v/>
      </c>
      <c r="G264" s="104" t="str" cm="1">
        <f t="array" ref="G264">_xlfn.IFS(AND(A264&gt;NumberOfPlots,ISBLANK(INDEX(PlotData,MATCH($A264,PlotNumber,0),MATCH(B$3,PlotTitles,0)))),"",ISBLANK(INDEX(PlotData,MATCH($A264,PlotNumber,0),MATCH(G$3,PlotTitles,0))),$AB$10,TRUE,"")</f>
        <v/>
      </c>
      <c r="H264" s="104" t="str" cm="1">
        <f t="array" ref="H264">_xlfn.IFS(AND(A264&gt;NumberOfPlots,ISBLANK(INDEX(PlotData,MATCH($A264,PlotNumber,0),MATCH(B$3,PlotTitles,0)))),"",AND(ISBLANK(INDEX(PlotData,MATCH($A264,PlotNumber,0),MATCH(H$3,PlotTitles,0)))=FALSE,INDEX(PlotData,MATCH($A264,PlotNumber,0),MATCH(H$3,PlotTitles,0))&lt;500), $AB$11,TRUE,"")</f>
        <v/>
      </c>
      <c r="I264" s="104" t="str" cm="1">
        <f t="array" ref="I264">_xlfn.IFS(AND(A264&gt;NumberOfPlots,ISBLANK(INDEX(PlotData,MATCH($A264,PlotNumber,0),MATCH(B$3,PlotTitles,0)))),"",ISBLANK(INDEX(PlotData,MATCH($A264,PlotNumber,0),MATCH(I$3,PlotTitles,0))),$AB$12,TRUE,"")</f>
        <v/>
      </c>
      <c r="J264" s="104" t="str" cm="1">
        <f t="array" ref="J264">_xlfn.IFS(AND(A264&gt;NumberOfPlots,ISBLANK(INDEX(PlotData,MATCH($A264,PlotNumber,0),MATCH(B$3,PlotTitles,0)))),"",ISBLANK(INDEX(PlotData,MATCH($A264,PlotNumber,0),MATCH(J$3,PlotTitles,0))),$AB$13,TRUE,"")</f>
        <v/>
      </c>
      <c r="K264" s="182" t="str">
        <f t="shared" ca="1" si="12"/>
        <v/>
      </c>
      <c r="L264" s="104" t="str" cm="1">
        <f t="array" ref="L264">_xlfn.IFS(OR(ISBLANK(StartDateMonth),ISBLANK(StartDateYear)),"",AND(A264&gt;NumberOfPlots,ISBLANK(INDEX(PlotData,MATCH($A264,PlotNumber,0),MATCH(B$3,PlotTitles,0)))),"",ISBLANK(INDEX(PlotData,MATCH($A264,PlotNumber,0),MATCH(I$3,PlotTitles,0))),"",(DATEVALUE(INDEX(PlotData,MATCH($A264,PlotNumber,0),MATCH(I$3,PlotTitles,0))&amp;INDEX(PlotData,MATCH($A264,PlotNumber,0),MATCH(J$3,PlotTitles,0))))&lt;DATEVALUE(StartDateMonth&amp;StartDateYear),$AB$15,TRUE,"")</f>
        <v/>
      </c>
      <c r="M264" s="104" t="str" cm="1">
        <f t="array" ref="M264">_xlfn.IFS(OR(ISBLANK(StartDateMonth),ISBLANK(StartDateYear)),"",AND(A264&gt;NumberOfPlots,ISBLANK(INDEX(PlotData,MATCH($A264,PlotNumber,0),MATCH(B$3,PlotTitles,0)))),"",ISBLANK(INDEX(PlotData,MATCH($A264,PlotNumber,0),MATCH(I$3,PlotTitles,0))),"",CompletionMonth="","",(DATEVALUE(INDEX(PlotData,MATCH($A264,PlotNumber,0),MATCH(I$3,PlotTitles,0))&amp;INDEX(PlotData,MATCH($A264,PlotNumber,0),MATCH(J$3,PlotTitles,0))))&gt;(DATEVALUE(CompletionMonth&amp;CompletionYear)),$AB$16,TRUE,"")</f>
        <v/>
      </c>
      <c r="N264" s="104" t="str" cm="1">
        <f t="array" ref="N264">_xlfn.IFS(AND(A264&gt;NumberOfPlots,ISBLANK(INDEX(PlotData,MATCH($A264,PlotNumber,0),MATCH(B$3,PlotTitles,0)))),"",ISBLANK(INDEX(PlotData,MATCH($A264,PlotNumber,0),MATCH(N$3,PlotTitles,0))),$AB$17,TRUE,"")</f>
        <v/>
      </c>
      <c r="O264" s="104" t="str" cm="1">
        <f t="array" ref="O264">_xlfn.IFS(AND(A264&gt;NumberOfPlots,ISBLANK(INDEX(PlotData,MATCH($A264,PlotNumber,0),MATCH(B$3,PlotTitles,0)))),"",ISBLANK(INDEX(PlotData,MATCH($A264,PlotNumber,0),MATCH(O$3,PlotTitles,0))),$AB$18,TRUE,"")</f>
        <v/>
      </c>
      <c r="P264" s="182" t="str">
        <f t="shared" ca="1" si="13"/>
        <v/>
      </c>
      <c r="Q264" s="104" t="str" cm="1">
        <f t="array" ref="Q264">_xlfn.IFS(AND(A264&gt;NumberOfPlots,ISBLANK(INDEX(PlotData,MATCH($A264,PlotNumber,0),MATCH(B$3,PlotTitles,0)))),"",ISBLANK(INDEX(PlotData,MATCH($A264,PlotNumber,0),MATCH(N$3,PlotTitles,0))),"",(DATEVALUE(INDEX(PlotData,MATCH($A264,PlotNumber,0),MATCH(N$3,PlotTitles,0))&amp;INDEX(PlotData,MATCH($A264,PlotNumber,0),MATCH(O$3,PlotTitles,0))))&lt;(DATEVALUE(INDEX(PlotData,MATCH($A264,PlotNumber,0),MATCH(I$3,PlotTitles,0))&amp;INDEX(PlotData,MATCH($A264,PlotNumber,0),MATCH(J$3,PlotTitles,0)))),$AB$20,TRUE,"")</f>
        <v/>
      </c>
      <c r="R264" s="104" t="str" cm="1">
        <f t="array" ref="R264">_xlfn.IFS(OR(ISBLANK(StartDateMonth),ISBLANK(StartDateYear)),"",AND(A264&gt;NumberOfPlots,ISBLANK(INDEX(PlotData,MATCH($A264,PlotNumber,0),MATCH(B$3,PlotTitles,0)))),"",ISBLANK(INDEX(PlotData,MATCH($A264,PlotNumber,0),MATCH(N$3,PlotTitles,0))),"",CompletionMonth="","",(DATEVALUE(INDEX(PlotData,MATCH($A264,PlotNumber,0),MATCH(N$3,PlotTitles,0))&amp;INDEX(PlotData,MATCH($A264,PlotNumber,0),MATCH(O$3,PlotTitles,0))))&gt;(DATEVALUE(CompletionMonth&amp;CompletionYear)),$AB$21,TRUE,"")</f>
        <v/>
      </c>
      <c r="S264" s="104" t="str" cm="1">
        <f t="array" ref="S264">_xlfn.IFS(AND(A264&gt;NumberOfPlots,ISBLANK(INDEX(PlotData,MATCH($A264,PlotNumber,0),MATCH(B$3,PlotTitles,0)))),"",OR(AND(INDEX(PlotData,MATCH($A264,PlotNumber,0),MATCH("Tenure",PlotTitles,0))="Open market housing",INDEX(PlotData,MATCH($A264,PlotNumber,0),MATCH("Tenure detail",PlotTitles,0))="Private rented sector"),INDEX(PlotData,MATCH($A264,PlotNumber,0),MATCH("Tenure",PlotTitles,0))="Affordable rent"),"",ISNUMBER(INDEX(PlotData,MATCH($A264,PlotNumber,0),MATCH(S$3,PlotTitles,0)))=FALSE, $AB$22,TRUE,"")</f>
        <v/>
      </c>
      <c r="T264" s="104" t="str" cm="1">
        <f t="array" ref="T264">_xlfn.IFS(AND(A264&gt;NumberOfPlots,ISBLANK(INDEX(PlotData,MATCH($A264,PlotNumber,0),MATCH(B$3,PlotTitles,0)))),"",OR(AND(INDEX(PlotData,MATCH($A264,PlotNumber,0),MATCH("Tenure",PlotTitles,0))="Open market housing",INDEX(PlotData,MATCH($A264,PlotNumber,0),MATCH("Tenure detail",PlotTitles,0))="Private rented sector"),INDEX(PlotData,MATCH($A264,PlotNumber,0),MATCH("Tenure",PlotTitles,0))="Affordable rent"),"",INDEX(PlotData,MATCH($A264,PlotNumber,0),MATCH(S$3,PlotTitles,0))&lt;10000, $AB$23,TRUE,"")</f>
        <v/>
      </c>
      <c r="U264" s="104" t="str" cm="1">
        <f t="array" ref="U264">_xlfn.IFS(AND(A264&gt;NumberOfPlots,ISBLANK(INDEX(PlotData,MATCH($A264,PlotNumber,0),MATCH(B$3,PlotTitles,0)))),"",NOT(OR(AND(INDEX(PlotData,MATCH($A264,PlotNumber,0),MATCH("Tenure",PlotTitles,0))="Open market housing",INDEX(PlotData,MATCH($A264,PlotNumber,0),MATCH("Tenure detail",PlotTitles,0))="Private rented sector"),INDEX(PlotData,MATCH($A264,PlotNumber,0),MATCH("Tenure",PlotTitles,0))="Affordable rent")),"",NOT(INDEX(PlotData,MATCH($A264,PlotNumber,0),MATCH(S$3,PlotTitles,0))=0), $AB$24,TRUE,"")</f>
        <v/>
      </c>
      <c r="V264" s="114" t="str" cm="1">
        <f t="array" aca="1" ref="V264" ca="1">_xlfn.IFS(ISBLANK(NumberOfPlots),"Enter the number of homes on the 1_SetUp sheet",AND(A264&gt;NumberOfPlots,ISBLANK(INDEX(PlotData,MATCH($A264,PlotNumber,0),MATCH(B$3,PlotTitles,0)))),"No error",NOT(B264=""),B264,NOT(C264=""),C264,NOT(D264=""),D264,NOT(E264=""),E264,NOT(F264=""),F264,NOT(G264=""),G264,NOT(H264=""),H264,NOT(I264=""),I264,NOT(J264=""),J264,NOT(K264=""),K264,NOT(L264=""),L264,NOT(M264=""),M264,NOT(N264=""),N264,NOT(O264=""),O264,NOT(P264=""),P264,NOT(Q264=""),Q264,NOT(R264=""),R264,NOT(S264=""),S264,NOT(T264=""),T264,NOT(U264=""),U264,TRUE,"No error")</f>
        <v>Enter the number of homes on the 1_SetUp sheet</v>
      </c>
      <c r="W264" s="114" t="str">
        <f t="shared" ca="1" si="14"/>
        <v xml:space="preserve">The Borrower has not addressed the following error messages for Home ID 260: </v>
      </c>
    </row>
    <row r="265" spans="1:23">
      <c r="A265" s="123">
        <v>261</v>
      </c>
      <c r="B265" s="104" t="str" cm="1">
        <f t="array" ref="B265">_xlfn.IFS(AND(A265&gt;NumberOfPlots,ISBLANK(INDEX(PlotData,MATCH($A265,PlotNumber,0),MATCH(B$3,PlotTitles,0)))),"",ISNUMBER(INDEX(PlotData,MATCH($A265,PlotNumber,0),MATCH(B$3,PlotTitles,0)))=FALSE, $AB$5,TRUE,"")</f>
        <v/>
      </c>
      <c r="C265" s="104" t="str" cm="1">
        <f t="array" ref="C265">_xlfn.IFS(AND(A265&gt;NumberOfPlots,ISBLANK(INDEX(PlotData,MATCH($A265,PlotNumber,0),MATCH(B$3,PlotTitles,0)))),"",ISBLANK(INDEX(PlotData,MATCH($A265,PlotNumber,0),MATCH(C$3,PlotTitles,0))),$AB$6,TRUE,"")</f>
        <v/>
      </c>
      <c r="D265" s="104" t="str" cm="1">
        <f t="array" ref="D265">_xlfn.IFS(AND(A265&gt;NumberOfPlots,ISBLANK(INDEX(PlotData,MATCH($A265,PlotNumber,0),MATCH(B$3,PlotTitles,0)))),"",ISBLANK(INDEX(PlotData,MATCH($A265,PlotNumber,0),MATCH(D$3,PlotTitles,0))),$AB$7,TRUE,"")</f>
        <v/>
      </c>
      <c r="E265" s="104" t="str" cm="1">
        <f t="array" ref="E265">_xlfn.IFS(AND(A265&gt;NumberOfPlots,ISBLANK(INDEX(PlotData,MATCH($A265,PlotNumber,0),MATCH(B$3,PlotTitles,0)))),"",ISBLANK(INDEX(PlotData,MATCH($A265,PlotNumber,0),MATCH(E$3,PlotTitles,0))),$AB$8,TRUE,"")</f>
        <v/>
      </c>
      <c r="F265" s="104" t="str" cm="1">
        <f t="array" ref="F265">_xlfn.IFS(AND(A265&gt;NumberOfPlots,ISBLANK(INDEX(PlotData,MATCH($A265,PlotNumber,0),MATCH(B$3,PlotTitles,0)))),"",ISBLANK(INDEX(PlotData,MATCH($A265,PlotNumber,0),MATCH(F$3,PlotTitles,0))),$AB$9,TRUE,"")</f>
        <v/>
      </c>
      <c r="G265" s="104" t="str" cm="1">
        <f t="array" ref="G265">_xlfn.IFS(AND(A265&gt;NumberOfPlots,ISBLANK(INDEX(PlotData,MATCH($A265,PlotNumber,0),MATCH(B$3,PlotTitles,0)))),"",ISBLANK(INDEX(PlotData,MATCH($A265,PlotNumber,0),MATCH(G$3,PlotTitles,0))),$AB$10,TRUE,"")</f>
        <v/>
      </c>
      <c r="H265" s="104" t="str" cm="1">
        <f t="array" ref="H265">_xlfn.IFS(AND(A265&gt;NumberOfPlots,ISBLANK(INDEX(PlotData,MATCH($A265,PlotNumber,0),MATCH(B$3,PlotTitles,0)))),"",AND(ISBLANK(INDEX(PlotData,MATCH($A265,PlotNumber,0),MATCH(H$3,PlotTitles,0)))=FALSE,INDEX(PlotData,MATCH($A265,PlotNumber,0),MATCH(H$3,PlotTitles,0))&lt;500), $AB$11,TRUE,"")</f>
        <v/>
      </c>
      <c r="I265" s="104" t="str" cm="1">
        <f t="array" ref="I265">_xlfn.IFS(AND(A265&gt;NumberOfPlots,ISBLANK(INDEX(PlotData,MATCH($A265,PlotNumber,0),MATCH(B$3,PlotTitles,0)))),"",ISBLANK(INDEX(PlotData,MATCH($A265,PlotNumber,0),MATCH(I$3,PlotTitles,0))),$AB$12,TRUE,"")</f>
        <v/>
      </c>
      <c r="J265" s="104" t="str" cm="1">
        <f t="array" ref="J265">_xlfn.IFS(AND(A265&gt;NumberOfPlots,ISBLANK(INDEX(PlotData,MATCH($A265,PlotNumber,0),MATCH(B$3,PlotTitles,0)))),"",ISBLANK(INDEX(PlotData,MATCH($A265,PlotNumber,0),MATCH(J$3,PlotTitles,0))),$AB$13,TRUE,"")</f>
        <v/>
      </c>
      <c r="K265" s="182" t="str">
        <f t="shared" ca="1" si="12"/>
        <v/>
      </c>
      <c r="L265" s="104" t="str" cm="1">
        <f t="array" ref="L265">_xlfn.IFS(OR(ISBLANK(StartDateMonth),ISBLANK(StartDateYear)),"",AND(A265&gt;NumberOfPlots,ISBLANK(INDEX(PlotData,MATCH($A265,PlotNumber,0),MATCH(B$3,PlotTitles,0)))),"",ISBLANK(INDEX(PlotData,MATCH($A265,PlotNumber,0),MATCH(I$3,PlotTitles,0))),"",(DATEVALUE(INDEX(PlotData,MATCH($A265,PlotNumber,0),MATCH(I$3,PlotTitles,0))&amp;INDEX(PlotData,MATCH($A265,PlotNumber,0),MATCH(J$3,PlotTitles,0))))&lt;DATEVALUE(StartDateMonth&amp;StartDateYear),$AB$15,TRUE,"")</f>
        <v/>
      </c>
      <c r="M265" s="104" t="str" cm="1">
        <f t="array" ref="M265">_xlfn.IFS(OR(ISBLANK(StartDateMonth),ISBLANK(StartDateYear)),"",AND(A265&gt;NumberOfPlots,ISBLANK(INDEX(PlotData,MATCH($A265,PlotNumber,0),MATCH(B$3,PlotTitles,0)))),"",ISBLANK(INDEX(PlotData,MATCH($A265,PlotNumber,0),MATCH(I$3,PlotTitles,0))),"",CompletionMonth="","",(DATEVALUE(INDEX(PlotData,MATCH($A265,PlotNumber,0),MATCH(I$3,PlotTitles,0))&amp;INDEX(PlotData,MATCH($A265,PlotNumber,0),MATCH(J$3,PlotTitles,0))))&gt;(DATEVALUE(CompletionMonth&amp;CompletionYear)),$AB$16,TRUE,"")</f>
        <v/>
      </c>
      <c r="N265" s="104" t="str" cm="1">
        <f t="array" ref="N265">_xlfn.IFS(AND(A265&gt;NumberOfPlots,ISBLANK(INDEX(PlotData,MATCH($A265,PlotNumber,0),MATCH(B$3,PlotTitles,0)))),"",ISBLANK(INDEX(PlotData,MATCH($A265,PlotNumber,0),MATCH(N$3,PlotTitles,0))),$AB$17,TRUE,"")</f>
        <v/>
      </c>
      <c r="O265" s="104" t="str" cm="1">
        <f t="array" ref="O265">_xlfn.IFS(AND(A265&gt;NumberOfPlots,ISBLANK(INDEX(PlotData,MATCH($A265,PlotNumber,0),MATCH(B$3,PlotTitles,0)))),"",ISBLANK(INDEX(PlotData,MATCH($A265,PlotNumber,0),MATCH(O$3,PlotTitles,0))),$AB$18,TRUE,"")</f>
        <v/>
      </c>
      <c r="P265" s="182" t="str">
        <f t="shared" ca="1" si="13"/>
        <v/>
      </c>
      <c r="Q265" s="104" t="str" cm="1">
        <f t="array" ref="Q265">_xlfn.IFS(AND(A265&gt;NumberOfPlots,ISBLANK(INDEX(PlotData,MATCH($A265,PlotNumber,0),MATCH(B$3,PlotTitles,0)))),"",ISBLANK(INDEX(PlotData,MATCH($A265,PlotNumber,0),MATCH(N$3,PlotTitles,0))),"",(DATEVALUE(INDEX(PlotData,MATCH($A265,PlotNumber,0),MATCH(N$3,PlotTitles,0))&amp;INDEX(PlotData,MATCH($A265,PlotNumber,0),MATCH(O$3,PlotTitles,0))))&lt;(DATEVALUE(INDEX(PlotData,MATCH($A265,PlotNumber,0),MATCH(I$3,PlotTitles,0))&amp;INDEX(PlotData,MATCH($A265,PlotNumber,0),MATCH(J$3,PlotTitles,0)))),$AB$20,TRUE,"")</f>
        <v/>
      </c>
      <c r="R265" s="104" t="str" cm="1">
        <f t="array" ref="R265">_xlfn.IFS(OR(ISBLANK(StartDateMonth),ISBLANK(StartDateYear)),"",AND(A265&gt;NumberOfPlots,ISBLANK(INDEX(PlotData,MATCH($A265,PlotNumber,0),MATCH(B$3,PlotTitles,0)))),"",ISBLANK(INDEX(PlotData,MATCH($A265,PlotNumber,0),MATCH(N$3,PlotTitles,0))),"",CompletionMonth="","",(DATEVALUE(INDEX(PlotData,MATCH($A265,PlotNumber,0),MATCH(N$3,PlotTitles,0))&amp;INDEX(PlotData,MATCH($A265,PlotNumber,0),MATCH(O$3,PlotTitles,0))))&gt;(DATEVALUE(CompletionMonth&amp;CompletionYear)),$AB$21,TRUE,"")</f>
        <v/>
      </c>
      <c r="S265" s="104" t="str" cm="1">
        <f t="array" ref="S265">_xlfn.IFS(AND(A265&gt;NumberOfPlots,ISBLANK(INDEX(PlotData,MATCH($A265,PlotNumber,0),MATCH(B$3,PlotTitles,0)))),"",OR(AND(INDEX(PlotData,MATCH($A265,PlotNumber,0),MATCH("Tenure",PlotTitles,0))="Open market housing",INDEX(PlotData,MATCH($A265,PlotNumber,0),MATCH("Tenure detail",PlotTitles,0))="Private rented sector"),INDEX(PlotData,MATCH($A265,PlotNumber,0),MATCH("Tenure",PlotTitles,0))="Affordable rent"),"",ISNUMBER(INDEX(PlotData,MATCH($A265,PlotNumber,0),MATCH(S$3,PlotTitles,0)))=FALSE, $AB$22,TRUE,"")</f>
        <v/>
      </c>
      <c r="T265" s="104" t="str" cm="1">
        <f t="array" ref="T265">_xlfn.IFS(AND(A265&gt;NumberOfPlots,ISBLANK(INDEX(PlotData,MATCH($A265,PlotNumber,0),MATCH(B$3,PlotTitles,0)))),"",OR(AND(INDEX(PlotData,MATCH($A265,PlotNumber,0),MATCH("Tenure",PlotTitles,0))="Open market housing",INDEX(PlotData,MATCH($A265,PlotNumber,0),MATCH("Tenure detail",PlotTitles,0))="Private rented sector"),INDEX(PlotData,MATCH($A265,PlotNumber,0),MATCH("Tenure",PlotTitles,0))="Affordable rent"),"",INDEX(PlotData,MATCH($A265,PlotNumber,0),MATCH(S$3,PlotTitles,0))&lt;10000, $AB$23,TRUE,"")</f>
        <v/>
      </c>
      <c r="U265" s="104" t="str" cm="1">
        <f t="array" ref="U265">_xlfn.IFS(AND(A265&gt;NumberOfPlots,ISBLANK(INDEX(PlotData,MATCH($A265,PlotNumber,0),MATCH(B$3,PlotTitles,0)))),"",NOT(OR(AND(INDEX(PlotData,MATCH($A265,PlotNumber,0),MATCH("Tenure",PlotTitles,0))="Open market housing",INDEX(PlotData,MATCH($A265,PlotNumber,0),MATCH("Tenure detail",PlotTitles,0))="Private rented sector"),INDEX(PlotData,MATCH($A265,PlotNumber,0),MATCH("Tenure",PlotTitles,0))="Affordable rent")),"",NOT(INDEX(PlotData,MATCH($A265,PlotNumber,0),MATCH(S$3,PlotTitles,0))=0), $AB$24,TRUE,"")</f>
        <v/>
      </c>
      <c r="V265" s="114" t="str" cm="1">
        <f t="array" aca="1" ref="V265" ca="1">_xlfn.IFS(ISBLANK(NumberOfPlots),"Enter the number of homes on the 1_SetUp sheet",AND(A265&gt;NumberOfPlots,ISBLANK(INDEX(PlotData,MATCH($A265,PlotNumber,0),MATCH(B$3,PlotTitles,0)))),"No error",NOT(B265=""),B265,NOT(C265=""),C265,NOT(D265=""),D265,NOT(E265=""),E265,NOT(F265=""),F265,NOT(G265=""),G265,NOT(H265=""),H265,NOT(I265=""),I265,NOT(J265=""),J265,NOT(K265=""),K265,NOT(L265=""),L265,NOT(M265=""),M265,NOT(N265=""),N265,NOT(O265=""),O265,NOT(P265=""),P265,NOT(Q265=""),Q265,NOT(R265=""),R265,NOT(S265=""),S265,NOT(T265=""),T265,NOT(U265=""),U265,TRUE,"No error")</f>
        <v>Enter the number of homes on the 1_SetUp sheet</v>
      </c>
      <c r="W265" s="114" t="str">
        <f t="shared" ca="1" si="14"/>
        <v xml:space="preserve">The Borrower has not addressed the following error messages for Home ID 261: </v>
      </c>
    </row>
    <row r="266" spans="1:23">
      <c r="A266" s="123">
        <v>262</v>
      </c>
      <c r="B266" s="104" t="str" cm="1">
        <f t="array" ref="B266">_xlfn.IFS(AND(A266&gt;NumberOfPlots,ISBLANK(INDEX(PlotData,MATCH($A266,PlotNumber,0),MATCH(B$3,PlotTitles,0)))),"",ISNUMBER(INDEX(PlotData,MATCH($A266,PlotNumber,0),MATCH(B$3,PlotTitles,0)))=FALSE, $AB$5,TRUE,"")</f>
        <v/>
      </c>
      <c r="C266" s="104" t="str" cm="1">
        <f t="array" ref="C266">_xlfn.IFS(AND(A266&gt;NumberOfPlots,ISBLANK(INDEX(PlotData,MATCH($A266,PlotNumber,0),MATCH(B$3,PlotTitles,0)))),"",ISBLANK(INDEX(PlotData,MATCH($A266,PlotNumber,0),MATCH(C$3,PlotTitles,0))),$AB$6,TRUE,"")</f>
        <v/>
      </c>
      <c r="D266" s="104" t="str" cm="1">
        <f t="array" ref="D266">_xlfn.IFS(AND(A266&gt;NumberOfPlots,ISBLANK(INDEX(PlotData,MATCH($A266,PlotNumber,0),MATCH(B$3,PlotTitles,0)))),"",ISBLANK(INDEX(PlotData,MATCH($A266,PlotNumber,0),MATCH(D$3,PlotTitles,0))),$AB$7,TRUE,"")</f>
        <v/>
      </c>
      <c r="E266" s="104" t="str" cm="1">
        <f t="array" ref="E266">_xlfn.IFS(AND(A266&gt;NumberOfPlots,ISBLANK(INDEX(PlotData,MATCH($A266,PlotNumber,0),MATCH(B$3,PlotTitles,0)))),"",ISBLANK(INDEX(PlotData,MATCH($A266,PlotNumber,0),MATCH(E$3,PlotTitles,0))),$AB$8,TRUE,"")</f>
        <v/>
      </c>
      <c r="F266" s="104" t="str" cm="1">
        <f t="array" ref="F266">_xlfn.IFS(AND(A266&gt;NumberOfPlots,ISBLANK(INDEX(PlotData,MATCH($A266,PlotNumber,0),MATCH(B$3,PlotTitles,0)))),"",ISBLANK(INDEX(PlotData,MATCH($A266,PlotNumber,0),MATCH(F$3,PlotTitles,0))),$AB$9,TRUE,"")</f>
        <v/>
      </c>
      <c r="G266" s="104" t="str" cm="1">
        <f t="array" ref="G266">_xlfn.IFS(AND(A266&gt;NumberOfPlots,ISBLANK(INDEX(PlotData,MATCH($A266,PlotNumber,0),MATCH(B$3,PlotTitles,0)))),"",ISBLANK(INDEX(PlotData,MATCH($A266,PlotNumber,0),MATCH(G$3,PlotTitles,0))),$AB$10,TRUE,"")</f>
        <v/>
      </c>
      <c r="H266" s="104" t="str" cm="1">
        <f t="array" ref="H266">_xlfn.IFS(AND(A266&gt;NumberOfPlots,ISBLANK(INDEX(PlotData,MATCH($A266,PlotNumber,0),MATCH(B$3,PlotTitles,0)))),"",AND(ISBLANK(INDEX(PlotData,MATCH($A266,PlotNumber,0),MATCH(H$3,PlotTitles,0)))=FALSE,INDEX(PlotData,MATCH($A266,PlotNumber,0),MATCH(H$3,PlotTitles,0))&lt;500), $AB$11,TRUE,"")</f>
        <v/>
      </c>
      <c r="I266" s="104" t="str" cm="1">
        <f t="array" ref="I266">_xlfn.IFS(AND(A266&gt;NumberOfPlots,ISBLANK(INDEX(PlotData,MATCH($A266,PlotNumber,0),MATCH(B$3,PlotTitles,0)))),"",ISBLANK(INDEX(PlotData,MATCH($A266,PlotNumber,0),MATCH(I$3,PlotTitles,0))),$AB$12,TRUE,"")</f>
        <v/>
      </c>
      <c r="J266" s="104" t="str" cm="1">
        <f t="array" ref="J266">_xlfn.IFS(AND(A266&gt;NumberOfPlots,ISBLANK(INDEX(PlotData,MATCH($A266,PlotNumber,0),MATCH(B$3,PlotTitles,0)))),"",ISBLANK(INDEX(PlotData,MATCH($A266,PlotNumber,0),MATCH(J$3,PlotTitles,0))),$AB$13,TRUE,"")</f>
        <v/>
      </c>
      <c r="K266" s="182" t="str">
        <f t="shared" ca="1" si="12"/>
        <v/>
      </c>
      <c r="L266" s="104" t="str" cm="1">
        <f t="array" ref="L266">_xlfn.IFS(OR(ISBLANK(StartDateMonth),ISBLANK(StartDateYear)),"",AND(A266&gt;NumberOfPlots,ISBLANK(INDEX(PlotData,MATCH($A266,PlotNumber,0),MATCH(B$3,PlotTitles,0)))),"",ISBLANK(INDEX(PlotData,MATCH($A266,PlotNumber,0),MATCH(I$3,PlotTitles,0))),"",(DATEVALUE(INDEX(PlotData,MATCH($A266,PlotNumber,0),MATCH(I$3,PlotTitles,0))&amp;INDEX(PlotData,MATCH($A266,PlotNumber,0),MATCH(J$3,PlotTitles,0))))&lt;DATEVALUE(StartDateMonth&amp;StartDateYear),$AB$15,TRUE,"")</f>
        <v/>
      </c>
      <c r="M266" s="104" t="str" cm="1">
        <f t="array" ref="M266">_xlfn.IFS(OR(ISBLANK(StartDateMonth),ISBLANK(StartDateYear)),"",AND(A266&gt;NumberOfPlots,ISBLANK(INDEX(PlotData,MATCH($A266,PlotNumber,0),MATCH(B$3,PlotTitles,0)))),"",ISBLANK(INDEX(PlotData,MATCH($A266,PlotNumber,0),MATCH(I$3,PlotTitles,0))),"",CompletionMonth="","",(DATEVALUE(INDEX(PlotData,MATCH($A266,PlotNumber,0),MATCH(I$3,PlotTitles,0))&amp;INDEX(PlotData,MATCH($A266,PlotNumber,0),MATCH(J$3,PlotTitles,0))))&gt;(DATEVALUE(CompletionMonth&amp;CompletionYear)),$AB$16,TRUE,"")</f>
        <v/>
      </c>
      <c r="N266" s="104" t="str" cm="1">
        <f t="array" ref="N266">_xlfn.IFS(AND(A266&gt;NumberOfPlots,ISBLANK(INDEX(PlotData,MATCH($A266,PlotNumber,0),MATCH(B$3,PlotTitles,0)))),"",ISBLANK(INDEX(PlotData,MATCH($A266,PlotNumber,0),MATCH(N$3,PlotTitles,0))),$AB$17,TRUE,"")</f>
        <v/>
      </c>
      <c r="O266" s="104" t="str" cm="1">
        <f t="array" ref="O266">_xlfn.IFS(AND(A266&gt;NumberOfPlots,ISBLANK(INDEX(PlotData,MATCH($A266,PlotNumber,0),MATCH(B$3,PlotTitles,0)))),"",ISBLANK(INDEX(PlotData,MATCH($A266,PlotNumber,0),MATCH(O$3,PlotTitles,0))),$AB$18,TRUE,"")</f>
        <v/>
      </c>
      <c r="P266" s="182" t="str">
        <f t="shared" ca="1" si="13"/>
        <v/>
      </c>
      <c r="Q266" s="104" t="str" cm="1">
        <f t="array" ref="Q266">_xlfn.IFS(AND(A266&gt;NumberOfPlots,ISBLANK(INDEX(PlotData,MATCH($A266,PlotNumber,0),MATCH(B$3,PlotTitles,0)))),"",ISBLANK(INDEX(PlotData,MATCH($A266,PlotNumber,0),MATCH(N$3,PlotTitles,0))),"",(DATEVALUE(INDEX(PlotData,MATCH($A266,PlotNumber,0),MATCH(N$3,PlotTitles,0))&amp;INDEX(PlotData,MATCH($A266,PlotNumber,0),MATCH(O$3,PlotTitles,0))))&lt;(DATEVALUE(INDEX(PlotData,MATCH($A266,PlotNumber,0),MATCH(I$3,PlotTitles,0))&amp;INDEX(PlotData,MATCH($A266,PlotNumber,0),MATCH(J$3,PlotTitles,0)))),$AB$20,TRUE,"")</f>
        <v/>
      </c>
      <c r="R266" s="104" t="str" cm="1">
        <f t="array" ref="R266">_xlfn.IFS(OR(ISBLANK(StartDateMonth),ISBLANK(StartDateYear)),"",AND(A266&gt;NumberOfPlots,ISBLANK(INDEX(PlotData,MATCH($A266,PlotNumber,0),MATCH(B$3,PlotTitles,0)))),"",ISBLANK(INDEX(PlotData,MATCH($A266,PlotNumber,0),MATCH(N$3,PlotTitles,0))),"",CompletionMonth="","",(DATEVALUE(INDEX(PlotData,MATCH($A266,PlotNumber,0),MATCH(N$3,PlotTitles,0))&amp;INDEX(PlotData,MATCH($A266,PlotNumber,0),MATCH(O$3,PlotTitles,0))))&gt;(DATEVALUE(CompletionMonth&amp;CompletionYear)),$AB$21,TRUE,"")</f>
        <v/>
      </c>
      <c r="S266" s="104" t="str" cm="1">
        <f t="array" ref="S266">_xlfn.IFS(AND(A266&gt;NumberOfPlots,ISBLANK(INDEX(PlotData,MATCH($A266,PlotNumber,0),MATCH(B$3,PlotTitles,0)))),"",OR(AND(INDEX(PlotData,MATCH($A266,PlotNumber,0),MATCH("Tenure",PlotTitles,0))="Open market housing",INDEX(PlotData,MATCH($A266,PlotNumber,0),MATCH("Tenure detail",PlotTitles,0))="Private rented sector"),INDEX(PlotData,MATCH($A266,PlotNumber,0),MATCH("Tenure",PlotTitles,0))="Affordable rent"),"",ISNUMBER(INDEX(PlotData,MATCH($A266,PlotNumber,0),MATCH(S$3,PlotTitles,0)))=FALSE, $AB$22,TRUE,"")</f>
        <v/>
      </c>
      <c r="T266" s="104" t="str" cm="1">
        <f t="array" ref="T266">_xlfn.IFS(AND(A266&gt;NumberOfPlots,ISBLANK(INDEX(PlotData,MATCH($A266,PlotNumber,0),MATCH(B$3,PlotTitles,0)))),"",OR(AND(INDEX(PlotData,MATCH($A266,PlotNumber,0),MATCH("Tenure",PlotTitles,0))="Open market housing",INDEX(PlotData,MATCH($A266,PlotNumber,0),MATCH("Tenure detail",PlotTitles,0))="Private rented sector"),INDEX(PlotData,MATCH($A266,PlotNumber,0),MATCH("Tenure",PlotTitles,0))="Affordable rent"),"",INDEX(PlotData,MATCH($A266,PlotNumber,0),MATCH(S$3,PlotTitles,0))&lt;10000, $AB$23,TRUE,"")</f>
        <v/>
      </c>
      <c r="U266" s="104" t="str" cm="1">
        <f t="array" ref="U266">_xlfn.IFS(AND(A266&gt;NumberOfPlots,ISBLANK(INDEX(PlotData,MATCH($A266,PlotNumber,0),MATCH(B$3,PlotTitles,0)))),"",NOT(OR(AND(INDEX(PlotData,MATCH($A266,PlotNumber,0),MATCH("Tenure",PlotTitles,0))="Open market housing",INDEX(PlotData,MATCH($A266,PlotNumber,0),MATCH("Tenure detail",PlotTitles,0))="Private rented sector"),INDEX(PlotData,MATCH($A266,PlotNumber,0),MATCH("Tenure",PlotTitles,0))="Affordable rent")),"",NOT(INDEX(PlotData,MATCH($A266,PlotNumber,0),MATCH(S$3,PlotTitles,0))=0), $AB$24,TRUE,"")</f>
        <v/>
      </c>
      <c r="V266" s="114" t="str" cm="1">
        <f t="array" aca="1" ref="V266" ca="1">_xlfn.IFS(ISBLANK(NumberOfPlots),"Enter the number of homes on the 1_SetUp sheet",AND(A266&gt;NumberOfPlots,ISBLANK(INDEX(PlotData,MATCH($A266,PlotNumber,0),MATCH(B$3,PlotTitles,0)))),"No error",NOT(B266=""),B266,NOT(C266=""),C266,NOT(D266=""),D266,NOT(E266=""),E266,NOT(F266=""),F266,NOT(G266=""),G266,NOT(H266=""),H266,NOT(I266=""),I266,NOT(J266=""),J266,NOT(K266=""),K266,NOT(L266=""),L266,NOT(M266=""),M266,NOT(N266=""),N266,NOT(O266=""),O266,NOT(P266=""),P266,NOT(Q266=""),Q266,NOT(R266=""),R266,NOT(S266=""),S266,NOT(T266=""),T266,NOT(U266=""),U266,TRUE,"No error")</f>
        <v>Enter the number of homes on the 1_SetUp sheet</v>
      </c>
      <c r="W266" s="114" t="str">
        <f t="shared" ca="1" si="14"/>
        <v xml:space="preserve">The Borrower has not addressed the following error messages for Home ID 262: </v>
      </c>
    </row>
    <row r="267" spans="1:23">
      <c r="A267" s="123">
        <v>263</v>
      </c>
      <c r="B267" s="104" t="str" cm="1">
        <f t="array" ref="B267">_xlfn.IFS(AND(A267&gt;NumberOfPlots,ISBLANK(INDEX(PlotData,MATCH($A267,PlotNumber,0),MATCH(B$3,PlotTitles,0)))),"",ISNUMBER(INDEX(PlotData,MATCH($A267,PlotNumber,0),MATCH(B$3,PlotTitles,0)))=FALSE, $AB$5,TRUE,"")</f>
        <v/>
      </c>
      <c r="C267" s="104" t="str" cm="1">
        <f t="array" ref="C267">_xlfn.IFS(AND(A267&gt;NumberOfPlots,ISBLANK(INDEX(PlotData,MATCH($A267,PlotNumber,0),MATCH(B$3,PlotTitles,0)))),"",ISBLANK(INDEX(PlotData,MATCH($A267,PlotNumber,0),MATCH(C$3,PlotTitles,0))),$AB$6,TRUE,"")</f>
        <v/>
      </c>
      <c r="D267" s="104" t="str" cm="1">
        <f t="array" ref="D267">_xlfn.IFS(AND(A267&gt;NumberOfPlots,ISBLANK(INDEX(PlotData,MATCH($A267,PlotNumber,0),MATCH(B$3,PlotTitles,0)))),"",ISBLANK(INDEX(PlotData,MATCH($A267,PlotNumber,0),MATCH(D$3,PlotTitles,0))),$AB$7,TRUE,"")</f>
        <v/>
      </c>
      <c r="E267" s="104" t="str" cm="1">
        <f t="array" ref="E267">_xlfn.IFS(AND(A267&gt;NumberOfPlots,ISBLANK(INDEX(PlotData,MATCH($A267,PlotNumber,0),MATCH(B$3,PlotTitles,0)))),"",ISBLANK(INDEX(PlotData,MATCH($A267,PlotNumber,0),MATCH(E$3,PlotTitles,0))),$AB$8,TRUE,"")</f>
        <v/>
      </c>
      <c r="F267" s="104" t="str" cm="1">
        <f t="array" ref="F267">_xlfn.IFS(AND(A267&gt;NumberOfPlots,ISBLANK(INDEX(PlotData,MATCH($A267,PlotNumber,0),MATCH(B$3,PlotTitles,0)))),"",ISBLANK(INDEX(PlotData,MATCH($A267,PlotNumber,0),MATCH(F$3,PlotTitles,0))),$AB$9,TRUE,"")</f>
        <v/>
      </c>
      <c r="G267" s="104" t="str" cm="1">
        <f t="array" ref="G267">_xlfn.IFS(AND(A267&gt;NumberOfPlots,ISBLANK(INDEX(PlotData,MATCH($A267,PlotNumber,0),MATCH(B$3,PlotTitles,0)))),"",ISBLANK(INDEX(PlotData,MATCH($A267,PlotNumber,0),MATCH(G$3,PlotTitles,0))),$AB$10,TRUE,"")</f>
        <v/>
      </c>
      <c r="H267" s="104" t="str" cm="1">
        <f t="array" ref="H267">_xlfn.IFS(AND(A267&gt;NumberOfPlots,ISBLANK(INDEX(PlotData,MATCH($A267,PlotNumber,0),MATCH(B$3,PlotTitles,0)))),"",AND(ISBLANK(INDEX(PlotData,MATCH($A267,PlotNumber,0),MATCH(H$3,PlotTitles,0)))=FALSE,INDEX(PlotData,MATCH($A267,PlotNumber,0),MATCH(H$3,PlotTitles,0))&lt;500), $AB$11,TRUE,"")</f>
        <v/>
      </c>
      <c r="I267" s="104" t="str" cm="1">
        <f t="array" ref="I267">_xlfn.IFS(AND(A267&gt;NumberOfPlots,ISBLANK(INDEX(PlotData,MATCH($A267,PlotNumber,0),MATCH(B$3,PlotTitles,0)))),"",ISBLANK(INDEX(PlotData,MATCH($A267,PlotNumber,0),MATCH(I$3,PlotTitles,0))),$AB$12,TRUE,"")</f>
        <v/>
      </c>
      <c r="J267" s="104" t="str" cm="1">
        <f t="array" ref="J267">_xlfn.IFS(AND(A267&gt;NumberOfPlots,ISBLANK(INDEX(PlotData,MATCH($A267,PlotNumber,0),MATCH(B$3,PlotTitles,0)))),"",ISBLANK(INDEX(PlotData,MATCH($A267,PlotNumber,0),MATCH(J$3,PlotTitles,0))),$AB$13,TRUE,"")</f>
        <v/>
      </c>
      <c r="K267" s="182" t="str">
        <f t="shared" ca="1" si="12"/>
        <v/>
      </c>
      <c r="L267" s="104" t="str" cm="1">
        <f t="array" ref="L267">_xlfn.IFS(OR(ISBLANK(StartDateMonth),ISBLANK(StartDateYear)),"",AND(A267&gt;NumberOfPlots,ISBLANK(INDEX(PlotData,MATCH($A267,PlotNumber,0),MATCH(B$3,PlotTitles,0)))),"",ISBLANK(INDEX(PlotData,MATCH($A267,PlotNumber,0),MATCH(I$3,PlotTitles,0))),"",(DATEVALUE(INDEX(PlotData,MATCH($A267,PlotNumber,0),MATCH(I$3,PlotTitles,0))&amp;INDEX(PlotData,MATCH($A267,PlotNumber,0),MATCH(J$3,PlotTitles,0))))&lt;DATEVALUE(StartDateMonth&amp;StartDateYear),$AB$15,TRUE,"")</f>
        <v/>
      </c>
      <c r="M267" s="104" t="str" cm="1">
        <f t="array" ref="M267">_xlfn.IFS(OR(ISBLANK(StartDateMonth),ISBLANK(StartDateYear)),"",AND(A267&gt;NumberOfPlots,ISBLANK(INDEX(PlotData,MATCH($A267,PlotNumber,0),MATCH(B$3,PlotTitles,0)))),"",ISBLANK(INDEX(PlotData,MATCH($A267,PlotNumber,0),MATCH(I$3,PlotTitles,0))),"",CompletionMonth="","",(DATEVALUE(INDEX(PlotData,MATCH($A267,PlotNumber,0),MATCH(I$3,PlotTitles,0))&amp;INDEX(PlotData,MATCH($A267,PlotNumber,0),MATCH(J$3,PlotTitles,0))))&gt;(DATEVALUE(CompletionMonth&amp;CompletionYear)),$AB$16,TRUE,"")</f>
        <v/>
      </c>
      <c r="N267" s="104" t="str" cm="1">
        <f t="array" ref="N267">_xlfn.IFS(AND(A267&gt;NumberOfPlots,ISBLANK(INDEX(PlotData,MATCH($A267,PlotNumber,0),MATCH(B$3,PlotTitles,0)))),"",ISBLANK(INDEX(PlotData,MATCH($A267,PlotNumber,0),MATCH(N$3,PlotTitles,0))),$AB$17,TRUE,"")</f>
        <v/>
      </c>
      <c r="O267" s="104" t="str" cm="1">
        <f t="array" ref="O267">_xlfn.IFS(AND(A267&gt;NumberOfPlots,ISBLANK(INDEX(PlotData,MATCH($A267,PlotNumber,0),MATCH(B$3,PlotTitles,0)))),"",ISBLANK(INDEX(PlotData,MATCH($A267,PlotNumber,0),MATCH(O$3,PlotTitles,0))),$AB$18,TRUE,"")</f>
        <v/>
      </c>
      <c r="P267" s="182" t="str">
        <f t="shared" ca="1" si="13"/>
        <v/>
      </c>
      <c r="Q267" s="104" t="str" cm="1">
        <f t="array" ref="Q267">_xlfn.IFS(AND(A267&gt;NumberOfPlots,ISBLANK(INDEX(PlotData,MATCH($A267,PlotNumber,0),MATCH(B$3,PlotTitles,0)))),"",ISBLANK(INDEX(PlotData,MATCH($A267,PlotNumber,0),MATCH(N$3,PlotTitles,0))),"",(DATEVALUE(INDEX(PlotData,MATCH($A267,PlotNumber,0),MATCH(N$3,PlotTitles,0))&amp;INDEX(PlotData,MATCH($A267,PlotNumber,0),MATCH(O$3,PlotTitles,0))))&lt;(DATEVALUE(INDEX(PlotData,MATCH($A267,PlotNumber,0),MATCH(I$3,PlotTitles,0))&amp;INDEX(PlotData,MATCH($A267,PlotNumber,0),MATCH(J$3,PlotTitles,0)))),$AB$20,TRUE,"")</f>
        <v/>
      </c>
      <c r="R267" s="104" t="str" cm="1">
        <f t="array" ref="R267">_xlfn.IFS(OR(ISBLANK(StartDateMonth),ISBLANK(StartDateYear)),"",AND(A267&gt;NumberOfPlots,ISBLANK(INDEX(PlotData,MATCH($A267,PlotNumber,0),MATCH(B$3,PlotTitles,0)))),"",ISBLANK(INDEX(PlotData,MATCH($A267,PlotNumber,0),MATCH(N$3,PlotTitles,0))),"",CompletionMonth="","",(DATEVALUE(INDEX(PlotData,MATCH($A267,PlotNumber,0),MATCH(N$3,PlotTitles,0))&amp;INDEX(PlotData,MATCH($A267,PlotNumber,0),MATCH(O$3,PlotTitles,0))))&gt;(DATEVALUE(CompletionMonth&amp;CompletionYear)),$AB$21,TRUE,"")</f>
        <v/>
      </c>
      <c r="S267" s="104" t="str" cm="1">
        <f t="array" ref="S267">_xlfn.IFS(AND(A267&gt;NumberOfPlots,ISBLANK(INDEX(PlotData,MATCH($A267,PlotNumber,0),MATCH(B$3,PlotTitles,0)))),"",OR(AND(INDEX(PlotData,MATCH($A267,PlotNumber,0),MATCH("Tenure",PlotTitles,0))="Open market housing",INDEX(PlotData,MATCH($A267,PlotNumber,0),MATCH("Tenure detail",PlotTitles,0))="Private rented sector"),INDEX(PlotData,MATCH($A267,PlotNumber,0),MATCH("Tenure",PlotTitles,0))="Affordable rent"),"",ISNUMBER(INDEX(PlotData,MATCH($A267,PlotNumber,0),MATCH(S$3,PlotTitles,0)))=FALSE, $AB$22,TRUE,"")</f>
        <v/>
      </c>
      <c r="T267" s="104" t="str" cm="1">
        <f t="array" ref="T267">_xlfn.IFS(AND(A267&gt;NumberOfPlots,ISBLANK(INDEX(PlotData,MATCH($A267,PlotNumber,0),MATCH(B$3,PlotTitles,0)))),"",OR(AND(INDEX(PlotData,MATCH($A267,PlotNumber,0),MATCH("Tenure",PlotTitles,0))="Open market housing",INDEX(PlotData,MATCH($A267,PlotNumber,0),MATCH("Tenure detail",PlotTitles,0))="Private rented sector"),INDEX(PlotData,MATCH($A267,PlotNumber,0),MATCH("Tenure",PlotTitles,0))="Affordable rent"),"",INDEX(PlotData,MATCH($A267,PlotNumber,0),MATCH(S$3,PlotTitles,0))&lt;10000, $AB$23,TRUE,"")</f>
        <v/>
      </c>
      <c r="U267" s="104" t="str" cm="1">
        <f t="array" ref="U267">_xlfn.IFS(AND(A267&gt;NumberOfPlots,ISBLANK(INDEX(PlotData,MATCH($A267,PlotNumber,0),MATCH(B$3,PlotTitles,0)))),"",NOT(OR(AND(INDEX(PlotData,MATCH($A267,PlotNumber,0),MATCH("Tenure",PlotTitles,0))="Open market housing",INDEX(PlotData,MATCH($A267,PlotNumber,0),MATCH("Tenure detail",PlotTitles,0))="Private rented sector"),INDEX(PlotData,MATCH($A267,PlotNumber,0),MATCH("Tenure",PlotTitles,0))="Affordable rent")),"",NOT(INDEX(PlotData,MATCH($A267,PlotNumber,0),MATCH(S$3,PlotTitles,0))=0), $AB$24,TRUE,"")</f>
        <v/>
      </c>
      <c r="V267" s="114" t="str" cm="1">
        <f t="array" aca="1" ref="V267" ca="1">_xlfn.IFS(ISBLANK(NumberOfPlots),"Enter the number of homes on the 1_SetUp sheet",AND(A267&gt;NumberOfPlots,ISBLANK(INDEX(PlotData,MATCH($A267,PlotNumber,0),MATCH(B$3,PlotTitles,0)))),"No error",NOT(B267=""),B267,NOT(C267=""),C267,NOT(D267=""),D267,NOT(E267=""),E267,NOT(F267=""),F267,NOT(G267=""),G267,NOT(H267=""),H267,NOT(I267=""),I267,NOT(J267=""),J267,NOT(K267=""),K267,NOT(L267=""),L267,NOT(M267=""),M267,NOT(N267=""),N267,NOT(O267=""),O267,NOT(P267=""),P267,NOT(Q267=""),Q267,NOT(R267=""),R267,NOT(S267=""),S267,NOT(T267=""),T267,NOT(U267=""),U267,TRUE,"No error")</f>
        <v>Enter the number of homes on the 1_SetUp sheet</v>
      </c>
      <c r="W267" s="114" t="str">
        <f t="shared" ca="1" si="14"/>
        <v xml:space="preserve">The Borrower has not addressed the following error messages for Home ID 263: </v>
      </c>
    </row>
    <row r="268" spans="1:23">
      <c r="A268" s="123">
        <v>264</v>
      </c>
      <c r="B268" s="104" t="str" cm="1">
        <f t="array" ref="B268">_xlfn.IFS(AND(A268&gt;NumberOfPlots,ISBLANK(INDEX(PlotData,MATCH($A268,PlotNumber,0),MATCH(B$3,PlotTitles,0)))),"",ISNUMBER(INDEX(PlotData,MATCH($A268,PlotNumber,0),MATCH(B$3,PlotTitles,0)))=FALSE, $AB$5,TRUE,"")</f>
        <v/>
      </c>
      <c r="C268" s="104" t="str" cm="1">
        <f t="array" ref="C268">_xlfn.IFS(AND(A268&gt;NumberOfPlots,ISBLANK(INDEX(PlotData,MATCH($A268,PlotNumber,0),MATCH(B$3,PlotTitles,0)))),"",ISBLANK(INDEX(PlotData,MATCH($A268,PlotNumber,0),MATCH(C$3,PlotTitles,0))),$AB$6,TRUE,"")</f>
        <v/>
      </c>
      <c r="D268" s="104" t="str" cm="1">
        <f t="array" ref="D268">_xlfn.IFS(AND(A268&gt;NumberOfPlots,ISBLANK(INDEX(PlotData,MATCH($A268,PlotNumber,0),MATCH(B$3,PlotTitles,0)))),"",ISBLANK(INDEX(PlotData,MATCH($A268,PlotNumber,0),MATCH(D$3,PlotTitles,0))),$AB$7,TRUE,"")</f>
        <v/>
      </c>
      <c r="E268" s="104" t="str" cm="1">
        <f t="array" ref="E268">_xlfn.IFS(AND(A268&gt;NumberOfPlots,ISBLANK(INDEX(PlotData,MATCH($A268,PlotNumber,0),MATCH(B$3,PlotTitles,0)))),"",ISBLANK(INDEX(PlotData,MATCH($A268,PlotNumber,0),MATCH(E$3,PlotTitles,0))),$AB$8,TRUE,"")</f>
        <v/>
      </c>
      <c r="F268" s="104" t="str" cm="1">
        <f t="array" ref="F268">_xlfn.IFS(AND(A268&gt;NumberOfPlots,ISBLANK(INDEX(PlotData,MATCH($A268,PlotNumber,0),MATCH(B$3,PlotTitles,0)))),"",ISBLANK(INDEX(PlotData,MATCH($A268,PlotNumber,0),MATCH(F$3,PlotTitles,0))),$AB$9,TRUE,"")</f>
        <v/>
      </c>
      <c r="G268" s="104" t="str" cm="1">
        <f t="array" ref="G268">_xlfn.IFS(AND(A268&gt;NumberOfPlots,ISBLANK(INDEX(PlotData,MATCH($A268,PlotNumber,0),MATCH(B$3,PlotTitles,0)))),"",ISBLANK(INDEX(PlotData,MATCH($A268,PlotNumber,0),MATCH(G$3,PlotTitles,0))),$AB$10,TRUE,"")</f>
        <v/>
      </c>
      <c r="H268" s="104" t="str" cm="1">
        <f t="array" ref="H268">_xlfn.IFS(AND(A268&gt;NumberOfPlots,ISBLANK(INDEX(PlotData,MATCH($A268,PlotNumber,0),MATCH(B$3,PlotTitles,0)))),"",AND(ISBLANK(INDEX(PlotData,MATCH($A268,PlotNumber,0),MATCH(H$3,PlotTitles,0)))=FALSE,INDEX(PlotData,MATCH($A268,PlotNumber,0),MATCH(H$3,PlotTitles,0))&lt;500), $AB$11,TRUE,"")</f>
        <v/>
      </c>
      <c r="I268" s="104" t="str" cm="1">
        <f t="array" ref="I268">_xlfn.IFS(AND(A268&gt;NumberOfPlots,ISBLANK(INDEX(PlotData,MATCH($A268,PlotNumber,0),MATCH(B$3,PlotTitles,0)))),"",ISBLANK(INDEX(PlotData,MATCH($A268,PlotNumber,0),MATCH(I$3,PlotTitles,0))),$AB$12,TRUE,"")</f>
        <v/>
      </c>
      <c r="J268" s="104" t="str" cm="1">
        <f t="array" ref="J268">_xlfn.IFS(AND(A268&gt;NumberOfPlots,ISBLANK(INDEX(PlotData,MATCH($A268,PlotNumber,0),MATCH(B$3,PlotTitles,0)))),"",ISBLANK(INDEX(PlotData,MATCH($A268,PlotNumber,0),MATCH(J$3,PlotTitles,0))),$AB$13,TRUE,"")</f>
        <v/>
      </c>
      <c r="K268" s="182" t="str">
        <f t="shared" ca="1" si="12"/>
        <v/>
      </c>
      <c r="L268" s="104" t="str" cm="1">
        <f t="array" ref="L268">_xlfn.IFS(OR(ISBLANK(StartDateMonth),ISBLANK(StartDateYear)),"",AND(A268&gt;NumberOfPlots,ISBLANK(INDEX(PlotData,MATCH($A268,PlotNumber,0),MATCH(B$3,PlotTitles,0)))),"",ISBLANK(INDEX(PlotData,MATCH($A268,PlotNumber,0),MATCH(I$3,PlotTitles,0))),"",(DATEVALUE(INDEX(PlotData,MATCH($A268,PlotNumber,0),MATCH(I$3,PlotTitles,0))&amp;INDEX(PlotData,MATCH($A268,PlotNumber,0),MATCH(J$3,PlotTitles,0))))&lt;DATEVALUE(StartDateMonth&amp;StartDateYear),$AB$15,TRUE,"")</f>
        <v/>
      </c>
      <c r="M268" s="104" t="str" cm="1">
        <f t="array" ref="M268">_xlfn.IFS(OR(ISBLANK(StartDateMonth),ISBLANK(StartDateYear)),"",AND(A268&gt;NumberOfPlots,ISBLANK(INDEX(PlotData,MATCH($A268,PlotNumber,0),MATCH(B$3,PlotTitles,0)))),"",ISBLANK(INDEX(PlotData,MATCH($A268,PlotNumber,0),MATCH(I$3,PlotTitles,0))),"",CompletionMonth="","",(DATEVALUE(INDEX(PlotData,MATCH($A268,PlotNumber,0),MATCH(I$3,PlotTitles,0))&amp;INDEX(PlotData,MATCH($A268,PlotNumber,0),MATCH(J$3,PlotTitles,0))))&gt;(DATEVALUE(CompletionMonth&amp;CompletionYear)),$AB$16,TRUE,"")</f>
        <v/>
      </c>
      <c r="N268" s="104" t="str" cm="1">
        <f t="array" ref="N268">_xlfn.IFS(AND(A268&gt;NumberOfPlots,ISBLANK(INDEX(PlotData,MATCH($A268,PlotNumber,0),MATCH(B$3,PlotTitles,0)))),"",ISBLANK(INDEX(PlotData,MATCH($A268,PlotNumber,0),MATCH(N$3,PlotTitles,0))),$AB$17,TRUE,"")</f>
        <v/>
      </c>
      <c r="O268" s="104" t="str" cm="1">
        <f t="array" ref="O268">_xlfn.IFS(AND(A268&gt;NumberOfPlots,ISBLANK(INDEX(PlotData,MATCH($A268,PlotNumber,0),MATCH(B$3,PlotTitles,0)))),"",ISBLANK(INDEX(PlotData,MATCH($A268,PlotNumber,0),MATCH(O$3,PlotTitles,0))),$AB$18,TRUE,"")</f>
        <v/>
      </c>
      <c r="P268" s="182" t="str">
        <f t="shared" ca="1" si="13"/>
        <v/>
      </c>
      <c r="Q268" s="104" t="str" cm="1">
        <f t="array" ref="Q268">_xlfn.IFS(AND(A268&gt;NumberOfPlots,ISBLANK(INDEX(PlotData,MATCH($A268,PlotNumber,0),MATCH(B$3,PlotTitles,0)))),"",ISBLANK(INDEX(PlotData,MATCH($A268,PlotNumber,0),MATCH(N$3,PlotTitles,0))),"",(DATEVALUE(INDEX(PlotData,MATCH($A268,PlotNumber,0),MATCH(N$3,PlotTitles,0))&amp;INDEX(PlotData,MATCH($A268,PlotNumber,0),MATCH(O$3,PlotTitles,0))))&lt;(DATEVALUE(INDEX(PlotData,MATCH($A268,PlotNumber,0),MATCH(I$3,PlotTitles,0))&amp;INDEX(PlotData,MATCH($A268,PlotNumber,0),MATCH(J$3,PlotTitles,0)))),$AB$20,TRUE,"")</f>
        <v/>
      </c>
      <c r="R268" s="104" t="str" cm="1">
        <f t="array" ref="R268">_xlfn.IFS(OR(ISBLANK(StartDateMonth),ISBLANK(StartDateYear)),"",AND(A268&gt;NumberOfPlots,ISBLANK(INDEX(PlotData,MATCH($A268,PlotNumber,0),MATCH(B$3,PlotTitles,0)))),"",ISBLANK(INDEX(PlotData,MATCH($A268,PlotNumber,0),MATCH(N$3,PlotTitles,0))),"",CompletionMonth="","",(DATEVALUE(INDEX(PlotData,MATCH($A268,PlotNumber,0),MATCH(N$3,PlotTitles,0))&amp;INDEX(PlotData,MATCH($A268,PlotNumber,0),MATCH(O$3,PlotTitles,0))))&gt;(DATEVALUE(CompletionMonth&amp;CompletionYear)),$AB$21,TRUE,"")</f>
        <v/>
      </c>
      <c r="S268" s="104" t="str" cm="1">
        <f t="array" ref="S268">_xlfn.IFS(AND(A268&gt;NumberOfPlots,ISBLANK(INDEX(PlotData,MATCH($A268,PlotNumber,0),MATCH(B$3,PlotTitles,0)))),"",OR(AND(INDEX(PlotData,MATCH($A268,PlotNumber,0),MATCH("Tenure",PlotTitles,0))="Open market housing",INDEX(PlotData,MATCH($A268,PlotNumber,0),MATCH("Tenure detail",PlotTitles,0))="Private rented sector"),INDEX(PlotData,MATCH($A268,PlotNumber,0),MATCH("Tenure",PlotTitles,0))="Affordable rent"),"",ISNUMBER(INDEX(PlotData,MATCH($A268,PlotNumber,0),MATCH(S$3,PlotTitles,0)))=FALSE, $AB$22,TRUE,"")</f>
        <v/>
      </c>
      <c r="T268" s="104" t="str" cm="1">
        <f t="array" ref="T268">_xlfn.IFS(AND(A268&gt;NumberOfPlots,ISBLANK(INDEX(PlotData,MATCH($A268,PlotNumber,0),MATCH(B$3,PlotTitles,0)))),"",OR(AND(INDEX(PlotData,MATCH($A268,PlotNumber,0),MATCH("Tenure",PlotTitles,0))="Open market housing",INDEX(PlotData,MATCH($A268,PlotNumber,0),MATCH("Tenure detail",PlotTitles,0))="Private rented sector"),INDEX(PlotData,MATCH($A268,PlotNumber,0),MATCH("Tenure",PlotTitles,0))="Affordable rent"),"",INDEX(PlotData,MATCH($A268,PlotNumber,0),MATCH(S$3,PlotTitles,0))&lt;10000, $AB$23,TRUE,"")</f>
        <v/>
      </c>
      <c r="U268" s="104" t="str" cm="1">
        <f t="array" ref="U268">_xlfn.IFS(AND(A268&gt;NumberOfPlots,ISBLANK(INDEX(PlotData,MATCH($A268,PlotNumber,0),MATCH(B$3,PlotTitles,0)))),"",NOT(OR(AND(INDEX(PlotData,MATCH($A268,PlotNumber,0),MATCH("Tenure",PlotTitles,0))="Open market housing",INDEX(PlotData,MATCH($A268,PlotNumber,0),MATCH("Tenure detail",PlotTitles,0))="Private rented sector"),INDEX(PlotData,MATCH($A268,PlotNumber,0),MATCH("Tenure",PlotTitles,0))="Affordable rent")),"",NOT(INDEX(PlotData,MATCH($A268,PlotNumber,0),MATCH(S$3,PlotTitles,0))=0), $AB$24,TRUE,"")</f>
        <v/>
      </c>
      <c r="V268" s="114" t="str" cm="1">
        <f t="array" aca="1" ref="V268" ca="1">_xlfn.IFS(ISBLANK(NumberOfPlots),"Enter the number of homes on the 1_SetUp sheet",AND(A268&gt;NumberOfPlots,ISBLANK(INDEX(PlotData,MATCH($A268,PlotNumber,0),MATCH(B$3,PlotTitles,0)))),"No error",NOT(B268=""),B268,NOT(C268=""),C268,NOT(D268=""),D268,NOT(E268=""),E268,NOT(F268=""),F268,NOT(G268=""),G268,NOT(H268=""),H268,NOT(I268=""),I268,NOT(J268=""),J268,NOT(K268=""),K268,NOT(L268=""),L268,NOT(M268=""),M268,NOT(N268=""),N268,NOT(O268=""),O268,NOT(P268=""),P268,NOT(Q268=""),Q268,NOT(R268=""),R268,NOT(S268=""),S268,NOT(T268=""),T268,NOT(U268=""),U268,TRUE,"No error")</f>
        <v>Enter the number of homes on the 1_SetUp sheet</v>
      </c>
      <c r="W268" s="114" t="str">
        <f t="shared" ca="1" si="14"/>
        <v xml:space="preserve">The Borrower has not addressed the following error messages for Home ID 264: </v>
      </c>
    </row>
    <row r="269" spans="1:23">
      <c r="A269" s="123">
        <v>265</v>
      </c>
      <c r="B269" s="104" t="str" cm="1">
        <f t="array" ref="B269">_xlfn.IFS(AND(A269&gt;NumberOfPlots,ISBLANK(INDEX(PlotData,MATCH($A269,PlotNumber,0),MATCH(B$3,PlotTitles,0)))),"",ISNUMBER(INDEX(PlotData,MATCH($A269,PlotNumber,0),MATCH(B$3,PlotTitles,0)))=FALSE, $AB$5,TRUE,"")</f>
        <v/>
      </c>
      <c r="C269" s="104" t="str" cm="1">
        <f t="array" ref="C269">_xlfn.IFS(AND(A269&gt;NumberOfPlots,ISBLANK(INDEX(PlotData,MATCH($A269,PlotNumber,0),MATCH(B$3,PlotTitles,0)))),"",ISBLANK(INDEX(PlotData,MATCH($A269,PlotNumber,0),MATCH(C$3,PlotTitles,0))),$AB$6,TRUE,"")</f>
        <v/>
      </c>
      <c r="D269" s="104" t="str" cm="1">
        <f t="array" ref="D269">_xlfn.IFS(AND(A269&gt;NumberOfPlots,ISBLANK(INDEX(PlotData,MATCH($A269,PlotNumber,0),MATCH(B$3,PlotTitles,0)))),"",ISBLANK(INDEX(PlotData,MATCH($A269,PlotNumber,0),MATCH(D$3,PlotTitles,0))),$AB$7,TRUE,"")</f>
        <v/>
      </c>
      <c r="E269" s="104" t="str" cm="1">
        <f t="array" ref="E269">_xlfn.IFS(AND(A269&gt;NumberOfPlots,ISBLANK(INDEX(PlotData,MATCH($A269,PlotNumber,0),MATCH(B$3,PlotTitles,0)))),"",ISBLANK(INDEX(PlotData,MATCH($A269,PlotNumber,0),MATCH(E$3,PlotTitles,0))),$AB$8,TRUE,"")</f>
        <v/>
      </c>
      <c r="F269" s="104" t="str" cm="1">
        <f t="array" ref="F269">_xlfn.IFS(AND(A269&gt;NumberOfPlots,ISBLANK(INDEX(PlotData,MATCH($A269,PlotNumber,0),MATCH(B$3,PlotTitles,0)))),"",ISBLANK(INDEX(PlotData,MATCH($A269,PlotNumber,0),MATCH(F$3,PlotTitles,0))),$AB$9,TRUE,"")</f>
        <v/>
      </c>
      <c r="G269" s="104" t="str" cm="1">
        <f t="array" ref="G269">_xlfn.IFS(AND(A269&gt;NumberOfPlots,ISBLANK(INDEX(PlotData,MATCH($A269,PlotNumber,0),MATCH(B$3,PlotTitles,0)))),"",ISBLANK(INDEX(PlotData,MATCH($A269,PlotNumber,0),MATCH(G$3,PlotTitles,0))),$AB$10,TRUE,"")</f>
        <v/>
      </c>
      <c r="H269" s="104" t="str" cm="1">
        <f t="array" ref="H269">_xlfn.IFS(AND(A269&gt;NumberOfPlots,ISBLANK(INDEX(PlotData,MATCH($A269,PlotNumber,0),MATCH(B$3,PlotTitles,0)))),"",AND(ISBLANK(INDEX(PlotData,MATCH($A269,PlotNumber,0),MATCH(H$3,PlotTitles,0)))=FALSE,INDEX(PlotData,MATCH($A269,PlotNumber,0),MATCH(H$3,PlotTitles,0))&lt;500), $AB$11,TRUE,"")</f>
        <v/>
      </c>
      <c r="I269" s="104" t="str" cm="1">
        <f t="array" ref="I269">_xlfn.IFS(AND(A269&gt;NumberOfPlots,ISBLANK(INDEX(PlotData,MATCH($A269,PlotNumber,0),MATCH(B$3,PlotTitles,0)))),"",ISBLANK(INDEX(PlotData,MATCH($A269,PlotNumber,0),MATCH(I$3,PlotTitles,0))),$AB$12,TRUE,"")</f>
        <v/>
      </c>
      <c r="J269" s="104" t="str" cm="1">
        <f t="array" ref="J269">_xlfn.IFS(AND(A269&gt;NumberOfPlots,ISBLANK(INDEX(PlotData,MATCH($A269,PlotNumber,0),MATCH(B$3,PlotTitles,0)))),"",ISBLANK(INDEX(PlotData,MATCH($A269,PlotNumber,0),MATCH(J$3,PlotTitles,0))),$AB$13,TRUE,"")</f>
        <v/>
      </c>
      <c r="K269" s="182" t="str">
        <f t="shared" ca="1" si="12"/>
        <v/>
      </c>
      <c r="L269" s="104" t="str" cm="1">
        <f t="array" ref="L269">_xlfn.IFS(OR(ISBLANK(StartDateMonth),ISBLANK(StartDateYear)),"",AND(A269&gt;NumberOfPlots,ISBLANK(INDEX(PlotData,MATCH($A269,PlotNumber,0),MATCH(B$3,PlotTitles,0)))),"",ISBLANK(INDEX(PlotData,MATCH($A269,PlotNumber,0),MATCH(I$3,PlotTitles,0))),"",(DATEVALUE(INDEX(PlotData,MATCH($A269,PlotNumber,0),MATCH(I$3,PlotTitles,0))&amp;INDEX(PlotData,MATCH($A269,PlotNumber,0),MATCH(J$3,PlotTitles,0))))&lt;DATEVALUE(StartDateMonth&amp;StartDateYear),$AB$15,TRUE,"")</f>
        <v/>
      </c>
      <c r="M269" s="104" t="str" cm="1">
        <f t="array" ref="M269">_xlfn.IFS(OR(ISBLANK(StartDateMonth),ISBLANK(StartDateYear)),"",AND(A269&gt;NumberOfPlots,ISBLANK(INDEX(PlotData,MATCH($A269,PlotNumber,0),MATCH(B$3,PlotTitles,0)))),"",ISBLANK(INDEX(PlotData,MATCH($A269,PlotNumber,0),MATCH(I$3,PlotTitles,0))),"",CompletionMonth="","",(DATEVALUE(INDEX(PlotData,MATCH($A269,PlotNumber,0),MATCH(I$3,PlotTitles,0))&amp;INDEX(PlotData,MATCH($A269,PlotNumber,0),MATCH(J$3,PlotTitles,0))))&gt;(DATEVALUE(CompletionMonth&amp;CompletionYear)),$AB$16,TRUE,"")</f>
        <v/>
      </c>
      <c r="N269" s="104" t="str" cm="1">
        <f t="array" ref="N269">_xlfn.IFS(AND(A269&gt;NumberOfPlots,ISBLANK(INDEX(PlotData,MATCH($A269,PlotNumber,0),MATCH(B$3,PlotTitles,0)))),"",ISBLANK(INDEX(PlotData,MATCH($A269,PlotNumber,0),MATCH(N$3,PlotTitles,0))),$AB$17,TRUE,"")</f>
        <v/>
      </c>
      <c r="O269" s="104" t="str" cm="1">
        <f t="array" ref="O269">_xlfn.IFS(AND(A269&gt;NumberOfPlots,ISBLANK(INDEX(PlotData,MATCH($A269,PlotNumber,0),MATCH(B$3,PlotTitles,0)))),"",ISBLANK(INDEX(PlotData,MATCH($A269,PlotNumber,0),MATCH(O$3,PlotTitles,0))),$AB$18,TRUE,"")</f>
        <v/>
      </c>
      <c r="P269" s="182" t="str">
        <f t="shared" ca="1" si="13"/>
        <v/>
      </c>
      <c r="Q269" s="104" t="str" cm="1">
        <f t="array" ref="Q269">_xlfn.IFS(AND(A269&gt;NumberOfPlots,ISBLANK(INDEX(PlotData,MATCH($A269,PlotNumber,0),MATCH(B$3,PlotTitles,0)))),"",ISBLANK(INDEX(PlotData,MATCH($A269,PlotNumber,0),MATCH(N$3,PlotTitles,0))),"",(DATEVALUE(INDEX(PlotData,MATCH($A269,PlotNumber,0),MATCH(N$3,PlotTitles,0))&amp;INDEX(PlotData,MATCH($A269,PlotNumber,0),MATCH(O$3,PlotTitles,0))))&lt;(DATEVALUE(INDEX(PlotData,MATCH($A269,PlotNumber,0),MATCH(I$3,PlotTitles,0))&amp;INDEX(PlotData,MATCH($A269,PlotNumber,0),MATCH(J$3,PlotTitles,0)))),$AB$20,TRUE,"")</f>
        <v/>
      </c>
      <c r="R269" s="104" t="str" cm="1">
        <f t="array" ref="R269">_xlfn.IFS(OR(ISBLANK(StartDateMonth),ISBLANK(StartDateYear)),"",AND(A269&gt;NumberOfPlots,ISBLANK(INDEX(PlotData,MATCH($A269,PlotNumber,0),MATCH(B$3,PlotTitles,0)))),"",ISBLANK(INDEX(PlotData,MATCH($A269,PlotNumber,0),MATCH(N$3,PlotTitles,0))),"",CompletionMonth="","",(DATEVALUE(INDEX(PlotData,MATCH($A269,PlotNumber,0),MATCH(N$3,PlotTitles,0))&amp;INDEX(PlotData,MATCH($A269,PlotNumber,0),MATCH(O$3,PlotTitles,0))))&gt;(DATEVALUE(CompletionMonth&amp;CompletionYear)),$AB$21,TRUE,"")</f>
        <v/>
      </c>
      <c r="S269" s="104" t="str" cm="1">
        <f t="array" ref="S269">_xlfn.IFS(AND(A269&gt;NumberOfPlots,ISBLANK(INDEX(PlotData,MATCH($A269,PlotNumber,0),MATCH(B$3,PlotTitles,0)))),"",OR(AND(INDEX(PlotData,MATCH($A269,PlotNumber,0),MATCH("Tenure",PlotTitles,0))="Open market housing",INDEX(PlotData,MATCH($A269,PlotNumber,0),MATCH("Tenure detail",PlotTitles,0))="Private rented sector"),INDEX(PlotData,MATCH($A269,PlotNumber,0),MATCH("Tenure",PlotTitles,0))="Affordable rent"),"",ISNUMBER(INDEX(PlotData,MATCH($A269,PlotNumber,0),MATCH(S$3,PlotTitles,0)))=FALSE, $AB$22,TRUE,"")</f>
        <v/>
      </c>
      <c r="T269" s="104" t="str" cm="1">
        <f t="array" ref="T269">_xlfn.IFS(AND(A269&gt;NumberOfPlots,ISBLANK(INDEX(PlotData,MATCH($A269,PlotNumber,0),MATCH(B$3,PlotTitles,0)))),"",OR(AND(INDEX(PlotData,MATCH($A269,PlotNumber,0),MATCH("Tenure",PlotTitles,0))="Open market housing",INDEX(PlotData,MATCH($A269,PlotNumber,0),MATCH("Tenure detail",PlotTitles,0))="Private rented sector"),INDEX(PlotData,MATCH($A269,PlotNumber,0),MATCH("Tenure",PlotTitles,0))="Affordable rent"),"",INDEX(PlotData,MATCH($A269,PlotNumber,0),MATCH(S$3,PlotTitles,0))&lt;10000, $AB$23,TRUE,"")</f>
        <v/>
      </c>
      <c r="U269" s="104" t="str" cm="1">
        <f t="array" ref="U269">_xlfn.IFS(AND(A269&gt;NumberOfPlots,ISBLANK(INDEX(PlotData,MATCH($A269,PlotNumber,0),MATCH(B$3,PlotTitles,0)))),"",NOT(OR(AND(INDEX(PlotData,MATCH($A269,PlotNumber,0),MATCH("Tenure",PlotTitles,0))="Open market housing",INDEX(PlotData,MATCH($A269,PlotNumber,0),MATCH("Tenure detail",PlotTitles,0))="Private rented sector"),INDEX(PlotData,MATCH($A269,PlotNumber,0),MATCH("Tenure",PlotTitles,0))="Affordable rent")),"",NOT(INDEX(PlotData,MATCH($A269,PlotNumber,0),MATCH(S$3,PlotTitles,0))=0), $AB$24,TRUE,"")</f>
        <v/>
      </c>
      <c r="V269" s="114" t="str" cm="1">
        <f t="array" aca="1" ref="V269" ca="1">_xlfn.IFS(ISBLANK(NumberOfPlots),"Enter the number of homes on the 1_SetUp sheet",AND(A269&gt;NumberOfPlots,ISBLANK(INDEX(PlotData,MATCH($A269,PlotNumber,0),MATCH(B$3,PlotTitles,0)))),"No error",NOT(B269=""),B269,NOT(C269=""),C269,NOT(D269=""),D269,NOT(E269=""),E269,NOT(F269=""),F269,NOT(G269=""),G269,NOT(H269=""),H269,NOT(I269=""),I269,NOT(J269=""),J269,NOT(K269=""),K269,NOT(L269=""),L269,NOT(M269=""),M269,NOT(N269=""),N269,NOT(O269=""),O269,NOT(P269=""),P269,NOT(Q269=""),Q269,NOT(R269=""),R269,NOT(S269=""),S269,NOT(T269=""),T269,NOT(U269=""),U269,TRUE,"No error")</f>
        <v>Enter the number of homes on the 1_SetUp sheet</v>
      </c>
      <c r="W269" s="114" t="str">
        <f t="shared" ca="1" si="14"/>
        <v xml:space="preserve">The Borrower has not addressed the following error messages for Home ID 265: </v>
      </c>
    </row>
    <row r="270" spans="1:23">
      <c r="A270" s="123">
        <v>266</v>
      </c>
      <c r="B270" s="104" t="str" cm="1">
        <f t="array" ref="B270">_xlfn.IFS(AND(A270&gt;NumberOfPlots,ISBLANK(INDEX(PlotData,MATCH($A270,PlotNumber,0),MATCH(B$3,PlotTitles,0)))),"",ISNUMBER(INDEX(PlotData,MATCH($A270,PlotNumber,0),MATCH(B$3,PlotTitles,0)))=FALSE, $AB$5,TRUE,"")</f>
        <v/>
      </c>
      <c r="C270" s="104" t="str" cm="1">
        <f t="array" ref="C270">_xlfn.IFS(AND(A270&gt;NumberOfPlots,ISBLANK(INDEX(PlotData,MATCH($A270,PlotNumber,0),MATCH(B$3,PlotTitles,0)))),"",ISBLANK(INDEX(PlotData,MATCH($A270,PlotNumber,0),MATCH(C$3,PlotTitles,0))),$AB$6,TRUE,"")</f>
        <v/>
      </c>
      <c r="D270" s="104" t="str" cm="1">
        <f t="array" ref="D270">_xlfn.IFS(AND(A270&gt;NumberOfPlots,ISBLANK(INDEX(PlotData,MATCH($A270,PlotNumber,0),MATCH(B$3,PlotTitles,0)))),"",ISBLANK(INDEX(PlotData,MATCH($A270,PlotNumber,0),MATCH(D$3,PlotTitles,0))),$AB$7,TRUE,"")</f>
        <v/>
      </c>
      <c r="E270" s="104" t="str" cm="1">
        <f t="array" ref="E270">_xlfn.IFS(AND(A270&gt;NumberOfPlots,ISBLANK(INDEX(PlotData,MATCH($A270,PlotNumber,0),MATCH(B$3,PlotTitles,0)))),"",ISBLANK(INDEX(PlotData,MATCH($A270,PlotNumber,0),MATCH(E$3,PlotTitles,0))),$AB$8,TRUE,"")</f>
        <v/>
      </c>
      <c r="F270" s="104" t="str" cm="1">
        <f t="array" ref="F270">_xlfn.IFS(AND(A270&gt;NumberOfPlots,ISBLANK(INDEX(PlotData,MATCH($A270,PlotNumber,0),MATCH(B$3,PlotTitles,0)))),"",ISBLANK(INDEX(PlotData,MATCH($A270,PlotNumber,0),MATCH(F$3,PlotTitles,0))),$AB$9,TRUE,"")</f>
        <v/>
      </c>
      <c r="G270" s="104" t="str" cm="1">
        <f t="array" ref="G270">_xlfn.IFS(AND(A270&gt;NumberOfPlots,ISBLANK(INDEX(PlotData,MATCH($A270,PlotNumber,0),MATCH(B$3,PlotTitles,0)))),"",ISBLANK(INDEX(PlotData,MATCH($A270,PlotNumber,0),MATCH(G$3,PlotTitles,0))),$AB$10,TRUE,"")</f>
        <v/>
      </c>
      <c r="H270" s="104" t="str" cm="1">
        <f t="array" ref="H270">_xlfn.IFS(AND(A270&gt;NumberOfPlots,ISBLANK(INDEX(PlotData,MATCH($A270,PlotNumber,0),MATCH(B$3,PlotTitles,0)))),"",AND(ISBLANK(INDEX(PlotData,MATCH($A270,PlotNumber,0),MATCH(H$3,PlotTitles,0)))=FALSE,INDEX(PlotData,MATCH($A270,PlotNumber,0),MATCH(H$3,PlotTitles,0))&lt;500), $AB$11,TRUE,"")</f>
        <v/>
      </c>
      <c r="I270" s="104" t="str" cm="1">
        <f t="array" ref="I270">_xlfn.IFS(AND(A270&gt;NumberOfPlots,ISBLANK(INDEX(PlotData,MATCH($A270,PlotNumber,0),MATCH(B$3,PlotTitles,0)))),"",ISBLANK(INDEX(PlotData,MATCH($A270,PlotNumber,0),MATCH(I$3,PlotTitles,0))),$AB$12,TRUE,"")</f>
        <v/>
      </c>
      <c r="J270" s="104" t="str" cm="1">
        <f t="array" ref="J270">_xlfn.IFS(AND(A270&gt;NumberOfPlots,ISBLANK(INDEX(PlotData,MATCH($A270,PlotNumber,0),MATCH(B$3,PlotTitles,0)))),"",ISBLANK(INDEX(PlotData,MATCH($A270,PlotNumber,0),MATCH(J$3,PlotTitles,0))),$AB$13,TRUE,"")</f>
        <v/>
      </c>
      <c r="K270" s="182" t="str">
        <f t="shared" ca="1" si="12"/>
        <v/>
      </c>
      <c r="L270" s="104" t="str" cm="1">
        <f t="array" ref="L270">_xlfn.IFS(OR(ISBLANK(StartDateMonth),ISBLANK(StartDateYear)),"",AND(A270&gt;NumberOfPlots,ISBLANK(INDEX(PlotData,MATCH($A270,PlotNumber,0),MATCH(B$3,PlotTitles,0)))),"",ISBLANK(INDEX(PlotData,MATCH($A270,PlotNumber,0),MATCH(I$3,PlotTitles,0))),"",(DATEVALUE(INDEX(PlotData,MATCH($A270,PlotNumber,0),MATCH(I$3,PlotTitles,0))&amp;INDEX(PlotData,MATCH($A270,PlotNumber,0),MATCH(J$3,PlotTitles,0))))&lt;DATEVALUE(StartDateMonth&amp;StartDateYear),$AB$15,TRUE,"")</f>
        <v/>
      </c>
      <c r="M270" s="104" t="str" cm="1">
        <f t="array" ref="M270">_xlfn.IFS(OR(ISBLANK(StartDateMonth),ISBLANK(StartDateYear)),"",AND(A270&gt;NumberOfPlots,ISBLANK(INDEX(PlotData,MATCH($A270,PlotNumber,0),MATCH(B$3,PlotTitles,0)))),"",ISBLANK(INDEX(PlotData,MATCH($A270,PlotNumber,0),MATCH(I$3,PlotTitles,0))),"",CompletionMonth="","",(DATEVALUE(INDEX(PlotData,MATCH($A270,PlotNumber,0),MATCH(I$3,PlotTitles,0))&amp;INDEX(PlotData,MATCH($A270,PlotNumber,0),MATCH(J$3,PlotTitles,0))))&gt;(DATEVALUE(CompletionMonth&amp;CompletionYear)),$AB$16,TRUE,"")</f>
        <v/>
      </c>
      <c r="N270" s="104" t="str" cm="1">
        <f t="array" ref="N270">_xlfn.IFS(AND(A270&gt;NumberOfPlots,ISBLANK(INDEX(PlotData,MATCH($A270,PlotNumber,0),MATCH(B$3,PlotTitles,0)))),"",ISBLANK(INDEX(PlotData,MATCH($A270,PlotNumber,0),MATCH(N$3,PlotTitles,0))),$AB$17,TRUE,"")</f>
        <v/>
      </c>
      <c r="O270" s="104" t="str" cm="1">
        <f t="array" ref="O270">_xlfn.IFS(AND(A270&gt;NumberOfPlots,ISBLANK(INDEX(PlotData,MATCH($A270,PlotNumber,0),MATCH(B$3,PlotTitles,0)))),"",ISBLANK(INDEX(PlotData,MATCH($A270,PlotNumber,0),MATCH(O$3,PlotTitles,0))),$AB$18,TRUE,"")</f>
        <v/>
      </c>
      <c r="P270" s="182" t="str">
        <f t="shared" ca="1" si="13"/>
        <v/>
      </c>
      <c r="Q270" s="104" t="str" cm="1">
        <f t="array" ref="Q270">_xlfn.IFS(AND(A270&gt;NumberOfPlots,ISBLANK(INDEX(PlotData,MATCH($A270,PlotNumber,0),MATCH(B$3,PlotTitles,0)))),"",ISBLANK(INDEX(PlotData,MATCH($A270,PlotNumber,0),MATCH(N$3,PlotTitles,0))),"",(DATEVALUE(INDEX(PlotData,MATCH($A270,PlotNumber,0),MATCH(N$3,PlotTitles,0))&amp;INDEX(PlotData,MATCH($A270,PlotNumber,0),MATCH(O$3,PlotTitles,0))))&lt;(DATEVALUE(INDEX(PlotData,MATCH($A270,PlotNumber,0),MATCH(I$3,PlotTitles,0))&amp;INDEX(PlotData,MATCH($A270,PlotNumber,0),MATCH(J$3,PlotTitles,0)))),$AB$20,TRUE,"")</f>
        <v/>
      </c>
      <c r="R270" s="104" t="str" cm="1">
        <f t="array" ref="R270">_xlfn.IFS(OR(ISBLANK(StartDateMonth),ISBLANK(StartDateYear)),"",AND(A270&gt;NumberOfPlots,ISBLANK(INDEX(PlotData,MATCH($A270,PlotNumber,0),MATCH(B$3,PlotTitles,0)))),"",ISBLANK(INDEX(PlotData,MATCH($A270,PlotNumber,0),MATCH(N$3,PlotTitles,0))),"",CompletionMonth="","",(DATEVALUE(INDEX(PlotData,MATCH($A270,PlotNumber,0),MATCH(N$3,PlotTitles,0))&amp;INDEX(PlotData,MATCH($A270,PlotNumber,0),MATCH(O$3,PlotTitles,0))))&gt;(DATEVALUE(CompletionMonth&amp;CompletionYear)),$AB$21,TRUE,"")</f>
        <v/>
      </c>
      <c r="S270" s="104" t="str" cm="1">
        <f t="array" ref="S270">_xlfn.IFS(AND(A270&gt;NumberOfPlots,ISBLANK(INDEX(PlotData,MATCH($A270,PlotNumber,0),MATCH(B$3,PlotTitles,0)))),"",OR(AND(INDEX(PlotData,MATCH($A270,PlotNumber,0),MATCH("Tenure",PlotTitles,0))="Open market housing",INDEX(PlotData,MATCH($A270,PlotNumber,0),MATCH("Tenure detail",PlotTitles,0))="Private rented sector"),INDEX(PlotData,MATCH($A270,PlotNumber,0),MATCH("Tenure",PlotTitles,0))="Affordable rent"),"",ISNUMBER(INDEX(PlotData,MATCH($A270,PlotNumber,0),MATCH(S$3,PlotTitles,0)))=FALSE, $AB$22,TRUE,"")</f>
        <v/>
      </c>
      <c r="T270" s="104" t="str" cm="1">
        <f t="array" ref="T270">_xlfn.IFS(AND(A270&gt;NumberOfPlots,ISBLANK(INDEX(PlotData,MATCH($A270,PlotNumber,0),MATCH(B$3,PlotTitles,0)))),"",OR(AND(INDEX(PlotData,MATCH($A270,PlotNumber,0),MATCH("Tenure",PlotTitles,0))="Open market housing",INDEX(PlotData,MATCH($A270,PlotNumber,0),MATCH("Tenure detail",PlotTitles,0))="Private rented sector"),INDEX(PlotData,MATCH($A270,PlotNumber,0),MATCH("Tenure",PlotTitles,0))="Affordable rent"),"",INDEX(PlotData,MATCH($A270,PlotNumber,0),MATCH(S$3,PlotTitles,0))&lt;10000, $AB$23,TRUE,"")</f>
        <v/>
      </c>
      <c r="U270" s="104" t="str" cm="1">
        <f t="array" ref="U270">_xlfn.IFS(AND(A270&gt;NumberOfPlots,ISBLANK(INDEX(PlotData,MATCH($A270,PlotNumber,0),MATCH(B$3,PlotTitles,0)))),"",NOT(OR(AND(INDEX(PlotData,MATCH($A270,PlotNumber,0),MATCH("Tenure",PlotTitles,0))="Open market housing",INDEX(PlotData,MATCH($A270,PlotNumber,0),MATCH("Tenure detail",PlotTitles,0))="Private rented sector"),INDEX(PlotData,MATCH($A270,PlotNumber,0),MATCH("Tenure",PlotTitles,0))="Affordable rent")),"",NOT(INDEX(PlotData,MATCH($A270,PlotNumber,0),MATCH(S$3,PlotTitles,0))=0), $AB$24,TRUE,"")</f>
        <v/>
      </c>
      <c r="V270" s="114" t="str" cm="1">
        <f t="array" aca="1" ref="V270" ca="1">_xlfn.IFS(ISBLANK(NumberOfPlots),"Enter the number of homes on the 1_SetUp sheet",AND(A270&gt;NumberOfPlots,ISBLANK(INDEX(PlotData,MATCH($A270,PlotNumber,0),MATCH(B$3,PlotTitles,0)))),"No error",NOT(B270=""),B270,NOT(C270=""),C270,NOT(D270=""),D270,NOT(E270=""),E270,NOT(F270=""),F270,NOT(G270=""),G270,NOT(H270=""),H270,NOT(I270=""),I270,NOT(J270=""),J270,NOT(K270=""),K270,NOT(L270=""),L270,NOT(M270=""),M270,NOT(N270=""),N270,NOT(O270=""),O270,NOT(P270=""),P270,NOT(Q270=""),Q270,NOT(R270=""),R270,NOT(S270=""),S270,NOT(T270=""),T270,NOT(U270=""),U270,TRUE,"No error")</f>
        <v>Enter the number of homes on the 1_SetUp sheet</v>
      </c>
      <c r="W270" s="114" t="str">
        <f t="shared" ca="1" si="14"/>
        <v xml:space="preserve">The Borrower has not addressed the following error messages for Home ID 266: </v>
      </c>
    </row>
    <row r="271" spans="1:23">
      <c r="A271" s="123">
        <v>267</v>
      </c>
      <c r="B271" s="104" t="str" cm="1">
        <f t="array" ref="B271">_xlfn.IFS(AND(A271&gt;NumberOfPlots,ISBLANK(INDEX(PlotData,MATCH($A271,PlotNumber,0),MATCH(B$3,PlotTitles,0)))),"",ISNUMBER(INDEX(PlotData,MATCH($A271,PlotNumber,0),MATCH(B$3,PlotTitles,0)))=FALSE, $AB$5,TRUE,"")</f>
        <v/>
      </c>
      <c r="C271" s="104" t="str" cm="1">
        <f t="array" ref="C271">_xlfn.IFS(AND(A271&gt;NumberOfPlots,ISBLANK(INDEX(PlotData,MATCH($A271,PlotNumber,0),MATCH(B$3,PlotTitles,0)))),"",ISBLANK(INDEX(PlotData,MATCH($A271,PlotNumber,0),MATCH(C$3,PlotTitles,0))),$AB$6,TRUE,"")</f>
        <v/>
      </c>
      <c r="D271" s="104" t="str" cm="1">
        <f t="array" ref="D271">_xlfn.IFS(AND(A271&gt;NumberOfPlots,ISBLANK(INDEX(PlotData,MATCH($A271,PlotNumber,0),MATCH(B$3,PlotTitles,0)))),"",ISBLANK(INDEX(PlotData,MATCH($A271,PlotNumber,0),MATCH(D$3,PlotTitles,0))),$AB$7,TRUE,"")</f>
        <v/>
      </c>
      <c r="E271" s="104" t="str" cm="1">
        <f t="array" ref="E271">_xlfn.IFS(AND(A271&gt;NumberOfPlots,ISBLANK(INDEX(PlotData,MATCH($A271,PlotNumber,0),MATCH(B$3,PlotTitles,0)))),"",ISBLANK(INDEX(PlotData,MATCH($A271,PlotNumber,0),MATCH(E$3,PlotTitles,0))),$AB$8,TRUE,"")</f>
        <v/>
      </c>
      <c r="F271" s="104" t="str" cm="1">
        <f t="array" ref="F271">_xlfn.IFS(AND(A271&gt;NumberOfPlots,ISBLANK(INDEX(PlotData,MATCH($A271,PlotNumber,0),MATCH(B$3,PlotTitles,0)))),"",ISBLANK(INDEX(PlotData,MATCH($A271,PlotNumber,0),MATCH(F$3,PlotTitles,0))),$AB$9,TRUE,"")</f>
        <v/>
      </c>
      <c r="G271" s="104" t="str" cm="1">
        <f t="array" ref="G271">_xlfn.IFS(AND(A271&gt;NumberOfPlots,ISBLANK(INDEX(PlotData,MATCH($A271,PlotNumber,0),MATCH(B$3,PlotTitles,0)))),"",ISBLANK(INDEX(PlotData,MATCH($A271,PlotNumber,0),MATCH(G$3,PlotTitles,0))),$AB$10,TRUE,"")</f>
        <v/>
      </c>
      <c r="H271" s="104" t="str" cm="1">
        <f t="array" ref="H271">_xlfn.IFS(AND(A271&gt;NumberOfPlots,ISBLANK(INDEX(PlotData,MATCH($A271,PlotNumber,0),MATCH(B$3,PlotTitles,0)))),"",AND(ISBLANK(INDEX(PlotData,MATCH($A271,PlotNumber,0),MATCH(H$3,PlotTitles,0)))=FALSE,INDEX(PlotData,MATCH($A271,PlotNumber,0),MATCH(H$3,PlotTitles,0))&lt;500), $AB$11,TRUE,"")</f>
        <v/>
      </c>
      <c r="I271" s="104" t="str" cm="1">
        <f t="array" ref="I271">_xlfn.IFS(AND(A271&gt;NumberOfPlots,ISBLANK(INDEX(PlotData,MATCH($A271,PlotNumber,0),MATCH(B$3,PlotTitles,0)))),"",ISBLANK(INDEX(PlotData,MATCH($A271,PlotNumber,0),MATCH(I$3,PlotTitles,0))),$AB$12,TRUE,"")</f>
        <v/>
      </c>
      <c r="J271" s="104" t="str" cm="1">
        <f t="array" ref="J271">_xlfn.IFS(AND(A271&gt;NumberOfPlots,ISBLANK(INDEX(PlotData,MATCH($A271,PlotNumber,0),MATCH(B$3,PlotTitles,0)))),"",ISBLANK(INDEX(PlotData,MATCH($A271,PlotNumber,0),MATCH(J$3,PlotTitles,0))),$AB$13,TRUE,"")</f>
        <v/>
      </c>
      <c r="K271" s="182" t="str">
        <f t="shared" ca="1" si="12"/>
        <v/>
      </c>
      <c r="L271" s="104" t="str" cm="1">
        <f t="array" ref="L271">_xlfn.IFS(OR(ISBLANK(StartDateMonth),ISBLANK(StartDateYear)),"",AND(A271&gt;NumberOfPlots,ISBLANK(INDEX(PlotData,MATCH($A271,PlotNumber,0),MATCH(B$3,PlotTitles,0)))),"",ISBLANK(INDEX(PlotData,MATCH($A271,PlotNumber,0),MATCH(I$3,PlotTitles,0))),"",(DATEVALUE(INDEX(PlotData,MATCH($A271,PlotNumber,0),MATCH(I$3,PlotTitles,0))&amp;INDEX(PlotData,MATCH($A271,PlotNumber,0),MATCH(J$3,PlotTitles,0))))&lt;DATEVALUE(StartDateMonth&amp;StartDateYear),$AB$15,TRUE,"")</f>
        <v/>
      </c>
      <c r="M271" s="104" t="str" cm="1">
        <f t="array" ref="M271">_xlfn.IFS(OR(ISBLANK(StartDateMonth),ISBLANK(StartDateYear)),"",AND(A271&gt;NumberOfPlots,ISBLANK(INDEX(PlotData,MATCH($A271,PlotNumber,0),MATCH(B$3,PlotTitles,0)))),"",ISBLANK(INDEX(PlotData,MATCH($A271,PlotNumber,0),MATCH(I$3,PlotTitles,0))),"",CompletionMonth="","",(DATEVALUE(INDEX(PlotData,MATCH($A271,PlotNumber,0),MATCH(I$3,PlotTitles,0))&amp;INDEX(PlotData,MATCH($A271,PlotNumber,0),MATCH(J$3,PlotTitles,0))))&gt;(DATEVALUE(CompletionMonth&amp;CompletionYear)),$AB$16,TRUE,"")</f>
        <v/>
      </c>
      <c r="N271" s="104" t="str" cm="1">
        <f t="array" ref="N271">_xlfn.IFS(AND(A271&gt;NumberOfPlots,ISBLANK(INDEX(PlotData,MATCH($A271,PlotNumber,0),MATCH(B$3,PlotTitles,0)))),"",ISBLANK(INDEX(PlotData,MATCH($A271,PlotNumber,0),MATCH(N$3,PlotTitles,0))),$AB$17,TRUE,"")</f>
        <v/>
      </c>
      <c r="O271" s="104" t="str" cm="1">
        <f t="array" ref="O271">_xlfn.IFS(AND(A271&gt;NumberOfPlots,ISBLANK(INDEX(PlotData,MATCH($A271,PlotNumber,0),MATCH(B$3,PlotTitles,0)))),"",ISBLANK(INDEX(PlotData,MATCH($A271,PlotNumber,0),MATCH(O$3,PlotTitles,0))),$AB$18,TRUE,"")</f>
        <v/>
      </c>
      <c r="P271" s="182" t="str">
        <f t="shared" ca="1" si="13"/>
        <v/>
      </c>
      <c r="Q271" s="104" t="str" cm="1">
        <f t="array" ref="Q271">_xlfn.IFS(AND(A271&gt;NumberOfPlots,ISBLANK(INDEX(PlotData,MATCH($A271,PlotNumber,0),MATCH(B$3,PlotTitles,0)))),"",ISBLANK(INDEX(PlotData,MATCH($A271,PlotNumber,0),MATCH(N$3,PlotTitles,0))),"",(DATEVALUE(INDEX(PlotData,MATCH($A271,PlotNumber,0),MATCH(N$3,PlotTitles,0))&amp;INDEX(PlotData,MATCH($A271,PlotNumber,0),MATCH(O$3,PlotTitles,0))))&lt;(DATEVALUE(INDEX(PlotData,MATCH($A271,PlotNumber,0),MATCH(I$3,PlotTitles,0))&amp;INDEX(PlotData,MATCH($A271,PlotNumber,0),MATCH(J$3,PlotTitles,0)))),$AB$20,TRUE,"")</f>
        <v/>
      </c>
      <c r="R271" s="104" t="str" cm="1">
        <f t="array" ref="R271">_xlfn.IFS(OR(ISBLANK(StartDateMonth),ISBLANK(StartDateYear)),"",AND(A271&gt;NumberOfPlots,ISBLANK(INDEX(PlotData,MATCH($A271,PlotNumber,0),MATCH(B$3,PlotTitles,0)))),"",ISBLANK(INDEX(PlotData,MATCH($A271,PlotNumber,0),MATCH(N$3,PlotTitles,0))),"",CompletionMonth="","",(DATEVALUE(INDEX(PlotData,MATCH($A271,PlotNumber,0),MATCH(N$3,PlotTitles,0))&amp;INDEX(PlotData,MATCH($A271,PlotNumber,0),MATCH(O$3,PlotTitles,0))))&gt;(DATEVALUE(CompletionMonth&amp;CompletionYear)),$AB$21,TRUE,"")</f>
        <v/>
      </c>
      <c r="S271" s="104" t="str" cm="1">
        <f t="array" ref="S271">_xlfn.IFS(AND(A271&gt;NumberOfPlots,ISBLANK(INDEX(PlotData,MATCH($A271,PlotNumber,0),MATCH(B$3,PlotTitles,0)))),"",OR(AND(INDEX(PlotData,MATCH($A271,PlotNumber,0),MATCH("Tenure",PlotTitles,0))="Open market housing",INDEX(PlotData,MATCH($A271,PlotNumber,0),MATCH("Tenure detail",PlotTitles,0))="Private rented sector"),INDEX(PlotData,MATCH($A271,PlotNumber,0),MATCH("Tenure",PlotTitles,0))="Affordable rent"),"",ISNUMBER(INDEX(PlotData,MATCH($A271,PlotNumber,0),MATCH(S$3,PlotTitles,0)))=FALSE, $AB$22,TRUE,"")</f>
        <v/>
      </c>
      <c r="T271" s="104" t="str" cm="1">
        <f t="array" ref="T271">_xlfn.IFS(AND(A271&gt;NumberOfPlots,ISBLANK(INDEX(PlotData,MATCH($A271,PlotNumber,0),MATCH(B$3,PlotTitles,0)))),"",OR(AND(INDEX(PlotData,MATCH($A271,PlotNumber,0),MATCH("Tenure",PlotTitles,0))="Open market housing",INDEX(PlotData,MATCH($A271,PlotNumber,0),MATCH("Tenure detail",PlotTitles,0))="Private rented sector"),INDEX(PlotData,MATCH($A271,PlotNumber,0),MATCH("Tenure",PlotTitles,0))="Affordable rent"),"",INDEX(PlotData,MATCH($A271,PlotNumber,0),MATCH(S$3,PlotTitles,0))&lt;10000, $AB$23,TRUE,"")</f>
        <v/>
      </c>
      <c r="U271" s="104" t="str" cm="1">
        <f t="array" ref="U271">_xlfn.IFS(AND(A271&gt;NumberOfPlots,ISBLANK(INDEX(PlotData,MATCH($A271,PlotNumber,0),MATCH(B$3,PlotTitles,0)))),"",NOT(OR(AND(INDEX(PlotData,MATCH($A271,PlotNumber,0),MATCH("Tenure",PlotTitles,0))="Open market housing",INDEX(PlotData,MATCH($A271,PlotNumber,0),MATCH("Tenure detail",PlotTitles,0))="Private rented sector"),INDEX(PlotData,MATCH($A271,PlotNumber,0),MATCH("Tenure",PlotTitles,0))="Affordable rent")),"",NOT(INDEX(PlotData,MATCH($A271,PlotNumber,0),MATCH(S$3,PlotTitles,0))=0), $AB$24,TRUE,"")</f>
        <v/>
      </c>
      <c r="V271" s="114" t="str" cm="1">
        <f t="array" aca="1" ref="V271" ca="1">_xlfn.IFS(ISBLANK(NumberOfPlots),"Enter the number of homes on the 1_SetUp sheet",AND(A271&gt;NumberOfPlots,ISBLANK(INDEX(PlotData,MATCH($A271,PlotNumber,0),MATCH(B$3,PlotTitles,0)))),"No error",NOT(B271=""),B271,NOT(C271=""),C271,NOT(D271=""),D271,NOT(E271=""),E271,NOT(F271=""),F271,NOT(G271=""),G271,NOT(H271=""),H271,NOT(I271=""),I271,NOT(J271=""),J271,NOT(K271=""),K271,NOT(L271=""),L271,NOT(M271=""),M271,NOT(N271=""),N271,NOT(O271=""),O271,NOT(P271=""),P271,NOT(Q271=""),Q271,NOT(R271=""),R271,NOT(S271=""),S271,NOT(T271=""),T271,NOT(U271=""),U271,TRUE,"No error")</f>
        <v>Enter the number of homes on the 1_SetUp sheet</v>
      </c>
      <c r="W271" s="114" t="str">
        <f t="shared" ca="1" si="14"/>
        <v xml:space="preserve">The Borrower has not addressed the following error messages for Home ID 267: </v>
      </c>
    </row>
    <row r="272" spans="1:23">
      <c r="A272" s="123">
        <v>268</v>
      </c>
      <c r="B272" s="104" t="str" cm="1">
        <f t="array" ref="B272">_xlfn.IFS(AND(A272&gt;NumberOfPlots,ISBLANK(INDEX(PlotData,MATCH($A272,PlotNumber,0),MATCH(B$3,PlotTitles,0)))),"",ISNUMBER(INDEX(PlotData,MATCH($A272,PlotNumber,0),MATCH(B$3,PlotTitles,0)))=FALSE, $AB$5,TRUE,"")</f>
        <v/>
      </c>
      <c r="C272" s="104" t="str" cm="1">
        <f t="array" ref="C272">_xlfn.IFS(AND(A272&gt;NumberOfPlots,ISBLANK(INDEX(PlotData,MATCH($A272,PlotNumber,0),MATCH(B$3,PlotTitles,0)))),"",ISBLANK(INDEX(PlotData,MATCH($A272,PlotNumber,0),MATCH(C$3,PlotTitles,0))),$AB$6,TRUE,"")</f>
        <v/>
      </c>
      <c r="D272" s="104" t="str" cm="1">
        <f t="array" ref="D272">_xlfn.IFS(AND(A272&gt;NumberOfPlots,ISBLANK(INDEX(PlotData,MATCH($A272,PlotNumber,0),MATCH(B$3,PlotTitles,0)))),"",ISBLANK(INDEX(PlotData,MATCH($A272,PlotNumber,0),MATCH(D$3,PlotTitles,0))),$AB$7,TRUE,"")</f>
        <v/>
      </c>
      <c r="E272" s="104" t="str" cm="1">
        <f t="array" ref="E272">_xlfn.IFS(AND(A272&gt;NumberOfPlots,ISBLANK(INDEX(PlotData,MATCH($A272,PlotNumber,0),MATCH(B$3,PlotTitles,0)))),"",ISBLANK(INDEX(PlotData,MATCH($A272,PlotNumber,0),MATCH(E$3,PlotTitles,0))),$AB$8,TRUE,"")</f>
        <v/>
      </c>
      <c r="F272" s="104" t="str" cm="1">
        <f t="array" ref="F272">_xlfn.IFS(AND(A272&gt;NumberOfPlots,ISBLANK(INDEX(PlotData,MATCH($A272,PlotNumber,0),MATCH(B$3,PlotTitles,0)))),"",ISBLANK(INDEX(PlotData,MATCH($A272,PlotNumber,0),MATCH(F$3,PlotTitles,0))),$AB$9,TRUE,"")</f>
        <v/>
      </c>
      <c r="G272" s="104" t="str" cm="1">
        <f t="array" ref="G272">_xlfn.IFS(AND(A272&gt;NumberOfPlots,ISBLANK(INDEX(PlotData,MATCH($A272,PlotNumber,0),MATCH(B$3,PlotTitles,0)))),"",ISBLANK(INDEX(PlotData,MATCH($A272,PlotNumber,0),MATCH(G$3,PlotTitles,0))),$AB$10,TRUE,"")</f>
        <v/>
      </c>
      <c r="H272" s="104" t="str" cm="1">
        <f t="array" ref="H272">_xlfn.IFS(AND(A272&gt;NumberOfPlots,ISBLANK(INDEX(PlotData,MATCH($A272,PlotNumber,0),MATCH(B$3,PlotTitles,0)))),"",AND(ISBLANK(INDEX(PlotData,MATCH($A272,PlotNumber,0),MATCH(H$3,PlotTitles,0)))=FALSE,INDEX(PlotData,MATCH($A272,PlotNumber,0),MATCH(H$3,PlotTitles,0))&lt;500), $AB$11,TRUE,"")</f>
        <v/>
      </c>
      <c r="I272" s="104" t="str" cm="1">
        <f t="array" ref="I272">_xlfn.IFS(AND(A272&gt;NumberOfPlots,ISBLANK(INDEX(PlotData,MATCH($A272,PlotNumber,0),MATCH(B$3,PlotTitles,0)))),"",ISBLANK(INDEX(PlotData,MATCH($A272,PlotNumber,0),MATCH(I$3,PlotTitles,0))),$AB$12,TRUE,"")</f>
        <v/>
      </c>
      <c r="J272" s="104" t="str" cm="1">
        <f t="array" ref="J272">_xlfn.IFS(AND(A272&gt;NumberOfPlots,ISBLANK(INDEX(PlotData,MATCH($A272,PlotNumber,0),MATCH(B$3,PlotTitles,0)))),"",ISBLANK(INDEX(PlotData,MATCH($A272,PlotNumber,0),MATCH(J$3,PlotTitles,0))),$AB$13,TRUE,"")</f>
        <v/>
      </c>
      <c r="K272" s="182" t="str">
        <f t="shared" ca="1" si="12"/>
        <v/>
      </c>
      <c r="L272" s="104" t="str" cm="1">
        <f t="array" ref="L272">_xlfn.IFS(OR(ISBLANK(StartDateMonth),ISBLANK(StartDateYear)),"",AND(A272&gt;NumberOfPlots,ISBLANK(INDEX(PlotData,MATCH($A272,PlotNumber,0),MATCH(B$3,PlotTitles,0)))),"",ISBLANK(INDEX(PlotData,MATCH($A272,PlotNumber,0),MATCH(I$3,PlotTitles,0))),"",(DATEVALUE(INDEX(PlotData,MATCH($A272,PlotNumber,0),MATCH(I$3,PlotTitles,0))&amp;INDEX(PlotData,MATCH($A272,PlotNumber,0),MATCH(J$3,PlotTitles,0))))&lt;DATEVALUE(StartDateMonth&amp;StartDateYear),$AB$15,TRUE,"")</f>
        <v/>
      </c>
      <c r="M272" s="104" t="str" cm="1">
        <f t="array" ref="M272">_xlfn.IFS(OR(ISBLANK(StartDateMonth),ISBLANK(StartDateYear)),"",AND(A272&gt;NumberOfPlots,ISBLANK(INDEX(PlotData,MATCH($A272,PlotNumber,0),MATCH(B$3,PlotTitles,0)))),"",ISBLANK(INDEX(PlotData,MATCH($A272,PlotNumber,0),MATCH(I$3,PlotTitles,0))),"",CompletionMonth="","",(DATEVALUE(INDEX(PlotData,MATCH($A272,PlotNumber,0),MATCH(I$3,PlotTitles,0))&amp;INDEX(PlotData,MATCH($A272,PlotNumber,0),MATCH(J$3,PlotTitles,0))))&gt;(DATEVALUE(CompletionMonth&amp;CompletionYear)),$AB$16,TRUE,"")</f>
        <v/>
      </c>
      <c r="N272" s="104" t="str" cm="1">
        <f t="array" ref="N272">_xlfn.IFS(AND(A272&gt;NumberOfPlots,ISBLANK(INDEX(PlotData,MATCH($A272,PlotNumber,0),MATCH(B$3,PlotTitles,0)))),"",ISBLANK(INDEX(PlotData,MATCH($A272,PlotNumber,0),MATCH(N$3,PlotTitles,0))),$AB$17,TRUE,"")</f>
        <v/>
      </c>
      <c r="O272" s="104" t="str" cm="1">
        <f t="array" ref="O272">_xlfn.IFS(AND(A272&gt;NumberOfPlots,ISBLANK(INDEX(PlotData,MATCH($A272,PlotNumber,0),MATCH(B$3,PlotTitles,0)))),"",ISBLANK(INDEX(PlotData,MATCH($A272,PlotNumber,0),MATCH(O$3,PlotTitles,0))),$AB$18,TRUE,"")</f>
        <v/>
      </c>
      <c r="P272" s="182" t="str">
        <f t="shared" ca="1" si="13"/>
        <v/>
      </c>
      <c r="Q272" s="104" t="str" cm="1">
        <f t="array" ref="Q272">_xlfn.IFS(AND(A272&gt;NumberOfPlots,ISBLANK(INDEX(PlotData,MATCH($A272,PlotNumber,0),MATCH(B$3,PlotTitles,0)))),"",ISBLANK(INDEX(PlotData,MATCH($A272,PlotNumber,0),MATCH(N$3,PlotTitles,0))),"",(DATEVALUE(INDEX(PlotData,MATCH($A272,PlotNumber,0),MATCH(N$3,PlotTitles,0))&amp;INDEX(PlotData,MATCH($A272,PlotNumber,0),MATCH(O$3,PlotTitles,0))))&lt;(DATEVALUE(INDEX(PlotData,MATCH($A272,PlotNumber,0),MATCH(I$3,PlotTitles,0))&amp;INDEX(PlotData,MATCH($A272,PlotNumber,0),MATCH(J$3,PlotTitles,0)))),$AB$20,TRUE,"")</f>
        <v/>
      </c>
      <c r="R272" s="104" t="str" cm="1">
        <f t="array" ref="R272">_xlfn.IFS(OR(ISBLANK(StartDateMonth),ISBLANK(StartDateYear)),"",AND(A272&gt;NumberOfPlots,ISBLANK(INDEX(PlotData,MATCH($A272,PlotNumber,0),MATCH(B$3,PlotTitles,0)))),"",ISBLANK(INDEX(PlotData,MATCH($A272,PlotNumber,0),MATCH(N$3,PlotTitles,0))),"",CompletionMonth="","",(DATEVALUE(INDEX(PlotData,MATCH($A272,PlotNumber,0),MATCH(N$3,PlotTitles,0))&amp;INDEX(PlotData,MATCH($A272,PlotNumber,0),MATCH(O$3,PlotTitles,0))))&gt;(DATEVALUE(CompletionMonth&amp;CompletionYear)),$AB$21,TRUE,"")</f>
        <v/>
      </c>
      <c r="S272" s="104" t="str" cm="1">
        <f t="array" ref="S272">_xlfn.IFS(AND(A272&gt;NumberOfPlots,ISBLANK(INDEX(PlotData,MATCH($A272,PlotNumber,0),MATCH(B$3,PlotTitles,0)))),"",OR(AND(INDEX(PlotData,MATCH($A272,PlotNumber,0),MATCH("Tenure",PlotTitles,0))="Open market housing",INDEX(PlotData,MATCH($A272,PlotNumber,0),MATCH("Tenure detail",PlotTitles,0))="Private rented sector"),INDEX(PlotData,MATCH($A272,PlotNumber,0),MATCH("Tenure",PlotTitles,0))="Affordable rent"),"",ISNUMBER(INDEX(PlotData,MATCH($A272,PlotNumber,0),MATCH(S$3,PlotTitles,0)))=FALSE, $AB$22,TRUE,"")</f>
        <v/>
      </c>
      <c r="T272" s="104" t="str" cm="1">
        <f t="array" ref="T272">_xlfn.IFS(AND(A272&gt;NumberOfPlots,ISBLANK(INDEX(PlotData,MATCH($A272,PlotNumber,0),MATCH(B$3,PlotTitles,0)))),"",OR(AND(INDEX(PlotData,MATCH($A272,PlotNumber,0),MATCH("Tenure",PlotTitles,0))="Open market housing",INDEX(PlotData,MATCH($A272,PlotNumber,0),MATCH("Tenure detail",PlotTitles,0))="Private rented sector"),INDEX(PlotData,MATCH($A272,PlotNumber,0),MATCH("Tenure",PlotTitles,0))="Affordable rent"),"",INDEX(PlotData,MATCH($A272,PlotNumber,0),MATCH(S$3,PlotTitles,0))&lt;10000, $AB$23,TRUE,"")</f>
        <v/>
      </c>
      <c r="U272" s="104" t="str" cm="1">
        <f t="array" ref="U272">_xlfn.IFS(AND(A272&gt;NumberOfPlots,ISBLANK(INDEX(PlotData,MATCH($A272,PlotNumber,0),MATCH(B$3,PlotTitles,0)))),"",NOT(OR(AND(INDEX(PlotData,MATCH($A272,PlotNumber,0),MATCH("Tenure",PlotTitles,0))="Open market housing",INDEX(PlotData,MATCH($A272,PlotNumber,0),MATCH("Tenure detail",PlotTitles,0))="Private rented sector"),INDEX(PlotData,MATCH($A272,PlotNumber,0),MATCH("Tenure",PlotTitles,0))="Affordable rent")),"",NOT(INDEX(PlotData,MATCH($A272,PlotNumber,0),MATCH(S$3,PlotTitles,0))=0), $AB$24,TRUE,"")</f>
        <v/>
      </c>
      <c r="V272" s="114" t="str" cm="1">
        <f t="array" aca="1" ref="V272" ca="1">_xlfn.IFS(ISBLANK(NumberOfPlots),"Enter the number of homes on the 1_SetUp sheet",AND(A272&gt;NumberOfPlots,ISBLANK(INDEX(PlotData,MATCH($A272,PlotNumber,0),MATCH(B$3,PlotTitles,0)))),"No error",NOT(B272=""),B272,NOT(C272=""),C272,NOT(D272=""),D272,NOT(E272=""),E272,NOT(F272=""),F272,NOT(G272=""),G272,NOT(H272=""),H272,NOT(I272=""),I272,NOT(J272=""),J272,NOT(K272=""),K272,NOT(L272=""),L272,NOT(M272=""),M272,NOT(N272=""),N272,NOT(O272=""),O272,NOT(P272=""),P272,NOT(Q272=""),Q272,NOT(R272=""),R272,NOT(S272=""),S272,NOT(T272=""),T272,NOT(U272=""),U272,TRUE,"No error")</f>
        <v>Enter the number of homes on the 1_SetUp sheet</v>
      </c>
      <c r="W272" s="114" t="str">
        <f t="shared" ca="1" si="14"/>
        <v xml:space="preserve">The Borrower has not addressed the following error messages for Home ID 268: </v>
      </c>
    </row>
    <row r="273" spans="1:23">
      <c r="A273" s="123">
        <v>269</v>
      </c>
      <c r="B273" s="104" t="str" cm="1">
        <f t="array" ref="B273">_xlfn.IFS(AND(A273&gt;NumberOfPlots,ISBLANK(INDEX(PlotData,MATCH($A273,PlotNumber,0),MATCH(B$3,PlotTitles,0)))),"",ISNUMBER(INDEX(PlotData,MATCH($A273,PlotNumber,0),MATCH(B$3,PlotTitles,0)))=FALSE, $AB$5,TRUE,"")</f>
        <v/>
      </c>
      <c r="C273" s="104" t="str" cm="1">
        <f t="array" ref="C273">_xlfn.IFS(AND(A273&gt;NumberOfPlots,ISBLANK(INDEX(PlotData,MATCH($A273,PlotNumber,0),MATCH(B$3,PlotTitles,0)))),"",ISBLANK(INDEX(PlotData,MATCH($A273,PlotNumber,0),MATCH(C$3,PlotTitles,0))),$AB$6,TRUE,"")</f>
        <v/>
      </c>
      <c r="D273" s="104" t="str" cm="1">
        <f t="array" ref="D273">_xlfn.IFS(AND(A273&gt;NumberOfPlots,ISBLANK(INDEX(PlotData,MATCH($A273,PlotNumber,0),MATCH(B$3,PlotTitles,0)))),"",ISBLANK(INDEX(PlotData,MATCH($A273,PlotNumber,0),MATCH(D$3,PlotTitles,0))),$AB$7,TRUE,"")</f>
        <v/>
      </c>
      <c r="E273" s="104" t="str" cm="1">
        <f t="array" ref="E273">_xlfn.IFS(AND(A273&gt;NumberOfPlots,ISBLANK(INDEX(PlotData,MATCH($A273,PlotNumber,0),MATCH(B$3,PlotTitles,0)))),"",ISBLANK(INDEX(PlotData,MATCH($A273,PlotNumber,0),MATCH(E$3,PlotTitles,0))),$AB$8,TRUE,"")</f>
        <v/>
      </c>
      <c r="F273" s="104" t="str" cm="1">
        <f t="array" ref="F273">_xlfn.IFS(AND(A273&gt;NumberOfPlots,ISBLANK(INDEX(PlotData,MATCH($A273,PlotNumber,0),MATCH(B$3,PlotTitles,0)))),"",ISBLANK(INDEX(PlotData,MATCH($A273,PlotNumber,0),MATCH(F$3,PlotTitles,0))),$AB$9,TRUE,"")</f>
        <v/>
      </c>
      <c r="G273" s="104" t="str" cm="1">
        <f t="array" ref="G273">_xlfn.IFS(AND(A273&gt;NumberOfPlots,ISBLANK(INDEX(PlotData,MATCH($A273,PlotNumber,0),MATCH(B$3,PlotTitles,0)))),"",ISBLANK(INDEX(PlotData,MATCH($A273,PlotNumber,0),MATCH(G$3,PlotTitles,0))),$AB$10,TRUE,"")</f>
        <v/>
      </c>
      <c r="H273" s="104" t="str" cm="1">
        <f t="array" ref="H273">_xlfn.IFS(AND(A273&gt;NumberOfPlots,ISBLANK(INDEX(PlotData,MATCH($A273,PlotNumber,0),MATCH(B$3,PlotTitles,0)))),"",AND(ISBLANK(INDEX(PlotData,MATCH($A273,PlotNumber,0),MATCH(H$3,PlotTitles,0)))=FALSE,INDEX(PlotData,MATCH($A273,PlotNumber,0),MATCH(H$3,PlotTitles,0))&lt;500), $AB$11,TRUE,"")</f>
        <v/>
      </c>
      <c r="I273" s="104" t="str" cm="1">
        <f t="array" ref="I273">_xlfn.IFS(AND(A273&gt;NumberOfPlots,ISBLANK(INDEX(PlotData,MATCH($A273,PlotNumber,0),MATCH(B$3,PlotTitles,0)))),"",ISBLANK(INDEX(PlotData,MATCH($A273,PlotNumber,0),MATCH(I$3,PlotTitles,0))),$AB$12,TRUE,"")</f>
        <v/>
      </c>
      <c r="J273" s="104" t="str" cm="1">
        <f t="array" ref="J273">_xlfn.IFS(AND(A273&gt;NumberOfPlots,ISBLANK(INDEX(PlotData,MATCH($A273,PlotNumber,0),MATCH(B$3,PlotTitles,0)))),"",ISBLANK(INDEX(PlotData,MATCH($A273,PlotNumber,0),MATCH(J$3,PlotTitles,0))),$AB$13,TRUE,"")</f>
        <v/>
      </c>
      <c r="K273" s="182" t="str">
        <f t="shared" ca="1" si="12"/>
        <v/>
      </c>
      <c r="L273" s="104" t="str" cm="1">
        <f t="array" ref="L273">_xlfn.IFS(OR(ISBLANK(StartDateMonth),ISBLANK(StartDateYear)),"",AND(A273&gt;NumberOfPlots,ISBLANK(INDEX(PlotData,MATCH($A273,PlotNumber,0),MATCH(B$3,PlotTitles,0)))),"",ISBLANK(INDEX(PlotData,MATCH($A273,PlotNumber,0),MATCH(I$3,PlotTitles,0))),"",(DATEVALUE(INDEX(PlotData,MATCH($A273,PlotNumber,0),MATCH(I$3,PlotTitles,0))&amp;INDEX(PlotData,MATCH($A273,PlotNumber,0),MATCH(J$3,PlotTitles,0))))&lt;DATEVALUE(StartDateMonth&amp;StartDateYear),$AB$15,TRUE,"")</f>
        <v/>
      </c>
      <c r="M273" s="104" t="str" cm="1">
        <f t="array" ref="M273">_xlfn.IFS(OR(ISBLANK(StartDateMonth),ISBLANK(StartDateYear)),"",AND(A273&gt;NumberOfPlots,ISBLANK(INDEX(PlotData,MATCH($A273,PlotNumber,0),MATCH(B$3,PlotTitles,0)))),"",ISBLANK(INDEX(PlotData,MATCH($A273,PlotNumber,0),MATCH(I$3,PlotTitles,0))),"",CompletionMonth="","",(DATEVALUE(INDEX(PlotData,MATCH($A273,PlotNumber,0),MATCH(I$3,PlotTitles,0))&amp;INDEX(PlotData,MATCH($A273,PlotNumber,0),MATCH(J$3,PlotTitles,0))))&gt;(DATEVALUE(CompletionMonth&amp;CompletionYear)),$AB$16,TRUE,"")</f>
        <v/>
      </c>
      <c r="N273" s="104" t="str" cm="1">
        <f t="array" ref="N273">_xlfn.IFS(AND(A273&gt;NumberOfPlots,ISBLANK(INDEX(PlotData,MATCH($A273,PlotNumber,0),MATCH(B$3,PlotTitles,0)))),"",ISBLANK(INDEX(PlotData,MATCH($A273,PlotNumber,0),MATCH(N$3,PlotTitles,0))),$AB$17,TRUE,"")</f>
        <v/>
      </c>
      <c r="O273" s="104" t="str" cm="1">
        <f t="array" ref="O273">_xlfn.IFS(AND(A273&gt;NumberOfPlots,ISBLANK(INDEX(PlotData,MATCH($A273,PlotNumber,0),MATCH(B$3,PlotTitles,0)))),"",ISBLANK(INDEX(PlotData,MATCH($A273,PlotNumber,0),MATCH(O$3,PlotTitles,0))),$AB$18,TRUE,"")</f>
        <v/>
      </c>
      <c r="P273" s="182" t="str">
        <f t="shared" ca="1" si="13"/>
        <v/>
      </c>
      <c r="Q273" s="104" t="str" cm="1">
        <f t="array" ref="Q273">_xlfn.IFS(AND(A273&gt;NumberOfPlots,ISBLANK(INDEX(PlotData,MATCH($A273,PlotNumber,0),MATCH(B$3,PlotTitles,0)))),"",ISBLANK(INDEX(PlotData,MATCH($A273,PlotNumber,0),MATCH(N$3,PlotTitles,0))),"",(DATEVALUE(INDEX(PlotData,MATCH($A273,PlotNumber,0),MATCH(N$3,PlotTitles,0))&amp;INDEX(PlotData,MATCH($A273,PlotNumber,0),MATCH(O$3,PlotTitles,0))))&lt;(DATEVALUE(INDEX(PlotData,MATCH($A273,PlotNumber,0),MATCH(I$3,PlotTitles,0))&amp;INDEX(PlotData,MATCH($A273,PlotNumber,0),MATCH(J$3,PlotTitles,0)))),$AB$20,TRUE,"")</f>
        <v/>
      </c>
      <c r="R273" s="104" t="str" cm="1">
        <f t="array" ref="R273">_xlfn.IFS(OR(ISBLANK(StartDateMonth),ISBLANK(StartDateYear)),"",AND(A273&gt;NumberOfPlots,ISBLANK(INDEX(PlotData,MATCH($A273,PlotNumber,0),MATCH(B$3,PlotTitles,0)))),"",ISBLANK(INDEX(PlotData,MATCH($A273,PlotNumber,0),MATCH(N$3,PlotTitles,0))),"",CompletionMonth="","",(DATEVALUE(INDEX(PlotData,MATCH($A273,PlotNumber,0),MATCH(N$3,PlotTitles,0))&amp;INDEX(PlotData,MATCH($A273,PlotNumber,0),MATCH(O$3,PlotTitles,0))))&gt;(DATEVALUE(CompletionMonth&amp;CompletionYear)),$AB$21,TRUE,"")</f>
        <v/>
      </c>
      <c r="S273" s="104" t="str" cm="1">
        <f t="array" ref="S273">_xlfn.IFS(AND(A273&gt;NumberOfPlots,ISBLANK(INDEX(PlotData,MATCH($A273,PlotNumber,0),MATCH(B$3,PlotTitles,0)))),"",OR(AND(INDEX(PlotData,MATCH($A273,PlotNumber,0),MATCH("Tenure",PlotTitles,0))="Open market housing",INDEX(PlotData,MATCH($A273,PlotNumber,0),MATCH("Tenure detail",PlotTitles,0))="Private rented sector"),INDEX(PlotData,MATCH($A273,PlotNumber,0),MATCH("Tenure",PlotTitles,0))="Affordable rent"),"",ISNUMBER(INDEX(PlotData,MATCH($A273,PlotNumber,0),MATCH(S$3,PlotTitles,0)))=FALSE, $AB$22,TRUE,"")</f>
        <v/>
      </c>
      <c r="T273" s="104" t="str" cm="1">
        <f t="array" ref="T273">_xlfn.IFS(AND(A273&gt;NumberOfPlots,ISBLANK(INDEX(PlotData,MATCH($A273,PlotNumber,0),MATCH(B$3,PlotTitles,0)))),"",OR(AND(INDEX(PlotData,MATCH($A273,PlotNumber,0),MATCH("Tenure",PlotTitles,0))="Open market housing",INDEX(PlotData,MATCH($A273,PlotNumber,0),MATCH("Tenure detail",PlotTitles,0))="Private rented sector"),INDEX(PlotData,MATCH($A273,PlotNumber,0),MATCH("Tenure",PlotTitles,0))="Affordable rent"),"",INDEX(PlotData,MATCH($A273,PlotNumber,0),MATCH(S$3,PlotTitles,0))&lt;10000, $AB$23,TRUE,"")</f>
        <v/>
      </c>
      <c r="U273" s="104" t="str" cm="1">
        <f t="array" ref="U273">_xlfn.IFS(AND(A273&gt;NumberOfPlots,ISBLANK(INDEX(PlotData,MATCH($A273,PlotNumber,0),MATCH(B$3,PlotTitles,0)))),"",NOT(OR(AND(INDEX(PlotData,MATCH($A273,PlotNumber,0),MATCH("Tenure",PlotTitles,0))="Open market housing",INDEX(PlotData,MATCH($A273,PlotNumber,0),MATCH("Tenure detail",PlotTitles,0))="Private rented sector"),INDEX(PlotData,MATCH($A273,PlotNumber,0),MATCH("Tenure",PlotTitles,0))="Affordable rent")),"",NOT(INDEX(PlotData,MATCH($A273,PlotNumber,0),MATCH(S$3,PlotTitles,0))=0), $AB$24,TRUE,"")</f>
        <v/>
      </c>
      <c r="V273" s="114" t="str" cm="1">
        <f t="array" aca="1" ref="V273" ca="1">_xlfn.IFS(ISBLANK(NumberOfPlots),"Enter the number of homes on the 1_SetUp sheet",AND(A273&gt;NumberOfPlots,ISBLANK(INDEX(PlotData,MATCH($A273,PlotNumber,0),MATCH(B$3,PlotTitles,0)))),"No error",NOT(B273=""),B273,NOT(C273=""),C273,NOT(D273=""),D273,NOT(E273=""),E273,NOT(F273=""),F273,NOT(G273=""),G273,NOT(H273=""),H273,NOT(I273=""),I273,NOT(J273=""),J273,NOT(K273=""),K273,NOT(L273=""),L273,NOT(M273=""),M273,NOT(N273=""),N273,NOT(O273=""),O273,NOT(P273=""),P273,NOT(Q273=""),Q273,NOT(R273=""),R273,NOT(S273=""),S273,NOT(T273=""),T273,NOT(U273=""),U273,TRUE,"No error")</f>
        <v>Enter the number of homes on the 1_SetUp sheet</v>
      </c>
      <c r="W273" s="114" t="str">
        <f t="shared" ca="1" si="14"/>
        <v xml:space="preserve">The Borrower has not addressed the following error messages for Home ID 269: </v>
      </c>
    </row>
    <row r="274" spans="1:23">
      <c r="A274" s="123">
        <v>270</v>
      </c>
      <c r="B274" s="104" t="str" cm="1">
        <f t="array" ref="B274">_xlfn.IFS(AND(A274&gt;NumberOfPlots,ISBLANK(INDEX(PlotData,MATCH($A274,PlotNumber,0),MATCH(B$3,PlotTitles,0)))),"",ISNUMBER(INDEX(PlotData,MATCH($A274,PlotNumber,0),MATCH(B$3,PlotTitles,0)))=FALSE, $AB$5,TRUE,"")</f>
        <v/>
      </c>
      <c r="C274" s="104" t="str" cm="1">
        <f t="array" ref="C274">_xlfn.IFS(AND(A274&gt;NumberOfPlots,ISBLANK(INDEX(PlotData,MATCH($A274,PlotNumber,0),MATCH(B$3,PlotTitles,0)))),"",ISBLANK(INDEX(PlotData,MATCH($A274,PlotNumber,0),MATCH(C$3,PlotTitles,0))),$AB$6,TRUE,"")</f>
        <v/>
      </c>
      <c r="D274" s="104" t="str" cm="1">
        <f t="array" ref="D274">_xlfn.IFS(AND(A274&gt;NumberOfPlots,ISBLANK(INDEX(PlotData,MATCH($A274,PlotNumber,0),MATCH(B$3,PlotTitles,0)))),"",ISBLANK(INDEX(PlotData,MATCH($A274,PlotNumber,0),MATCH(D$3,PlotTitles,0))),$AB$7,TRUE,"")</f>
        <v/>
      </c>
      <c r="E274" s="104" t="str" cm="1">
        <f t="array" ref="E274">_xlfn.IFS(AND(A274&gt;NumberOfPlots,ISBLANK(INDEX(PlotData,MATCH($A274,PlotNumber,0),MATCH(B$3,PlotTitles,0)))),"",ISBLANK(INDEX(PlotData,MATCH($A274,PlotNumber,0),MATCH(E$3,PlotTitles,0))),$AB$8,TRUE,"")</f>
        <v/>
      </c>
      <c r="F274" s="104" t="str" cm="1">
        <f t="array" ref="F274">_xlfn.IFS(AND(A274&gt;NumberOfPlots,ISBLANK(INDEX(PlotData,MATCH($A274,PlotNumber,0),MATCH(B$3,PlotTitles,0)))),"",ISBLANK(INDEX(PlotData,MATCH($A274,PlotNumber,0),MATCH(F$3,PlotTitles,0))),$AB$9,TRUE,"")</f>
        <v/>
      </c>
      <c r="G274" s="104" t="str" cm="1">
        <f t="array" ref="G274">_xlfn.IFS(AND(A274&gt;NumberOfPlots,ISBLANK(INDEX(PlotData,MATCH($A274,PlotNumber,0),MATCH(B$3,PlotTitles,0)))),"",ISBLANK(INDEX(PlotData,MATCH($A274,PlotNumber,0),MATCH(G$3,PlotTitles,0))),$AB$10,TRUE,"")</f>
        <v/>
      </c>
      <c r="H274" s="104" t="str" cm="1">
        <f t="array" ref="H274">_xlfn.IFS(AND(A274&gt;NumberOfPlots,ISBLANK(INDEX(PlotData,MATCH($A274,PlotNumber,0),MATCH(B$3,PlotTitles,0)))),"",AND(ISBLANK(INDEX(PlotData,MATCH($A274,PlotNumber,0),MATCH(H$3,PlotTitles,0)))=FALSE,INDEX(PlotData,MATCH($A274,PlotNumber,0),MATCH(H$3,PlotTitles,0))&lt;500), $AB$11,TRUE,"")</f>
        <v/>
      </c>
      <c r="I274" s="104" t="str" cm="1">
        <f t="array" ref="I274">_xlfn.IFS(AND(A274&gt;NumberOfPlots,ISBLANK(INDEX(PlotData,MATCH($A274,PlotNumber,0),MATCH(B$3,PlotTitles,0)))),"",ISBLANK(INDEX(PlotData,MATCH($A274,PlotNumber,0),MATCH(I$3,PlotTitles,0))),$AB$12,TRUE,"")</f>
        <v/>
      </c>
      <c r="J274" s="104" t="str" cm="1">
        <f t="array" ref="J274">_xlfn.IFS(AND(A274&gt;NumberOfPlots,ISBLANK(INDEX(PlotData,MATCH($A274,PlotNumber,0),MATCH(B$3,PlotTitles,0)))),"",ISBLANK(INDEX(PlotData,MATCH($A274,PlotNumber,0),MATCH(J$3,PlotTitles,0))),$AB$13,TRUE,"")</f>
        <v/>
      </c>
      <c r="K274" s="182" t="str">
        <f t="shared" ca="1" si="12"/>
        <v/>
      </c>
      <c r="L274" s="104" t="str" cm="1">
        <f t="array" ref="L274">_xlfn.IFS(OR(ISBLANK(StartDateMonth),ISBLANK(StartDateYear)),"",AND(A274&gt;NumberOfPlots,ISBLANK(INDEX(PlotData,MATCH($A274,PlotNumber,0),MATCH(B$3,PlotTitles,0)))),"",ISBLANK(INDEX(PlotData,MATCH($A274,PlotNumber,0),MATCH(I$3,PlotTitles,0))),"",(DATEVALUE(INDEX(PlotData,MATCH($A274,PlotNumber,0),MATCH(I$3,PlotTitles,0))&amp;INDEX(PlotData,MATCH($A274,PlotNumber,0),MATCH(J$3,PlotTitles,0))))&lt;DATEVALUE(StartDateMonth&amp;StartDateYear),$AB$15,TRUE,"")</f>
        <v/>
      </c>
      <c r="M274" s="104" t="str" cm="1">
        <f t="array" ref="M274">_xlfn.IFS(OR(ISBLANK(StartDateMonth),ISBLANK(StartDateYear)),"",AND(A274&gt;NumberOfPlots,ISBLANK(INDEX(PlotData,MATCH($A274,PlotNumber,0),MATCH(B$3,PlotTitles,0)))),"",ISBLANK(INDEX(PlotData,MATCH($A274,PlotNumber,0),MATCH(I$3,PlotTitles,0))),"",CompletionMonth="","",(DATEVALUE(INDEX(PlotData,MATCH($A274,PlotNumber,0),MATCH(I$3,PlotTitles,0))&amp;INDEX(PlotData,MATCH($A274,PlotNumber,0),MATCH(J$3,PlotTitles,0))))&gt;(DATEVALUE(CompletionMonth&amp;CompletionYear)),$AB$16,TRUE,"")</f>
        <v/>
      </c>
      <c r="N274" s="104" t="str" cm="1">
        <f t="array" ref="N274">_xlfn.IFS(AND(A274&gt;NumberOfPlots,ISBLANK(INDEX(PlotData,MATCH($A274,PlotNumber,0),MATCH(B$3,PlotTitles,0)))),"",ISBLANK(INDEX(PlotData,MATCH($A274,PlotNumber,0),MATCH(N$3,PlotTitles,0))),$AB$17,TRUE,"")</f>
        <v/>
      </c>
      <c r="O274" s="104" t="str" cm="1">
        <f t="array" ref="O274">_xlfn.IFS(AND(A274&gt;NumberOfPlots,ISBLANK(INDEX(PlotData,MATCH($A274,PlotNumber,0),MATCH(B$3,PlotTitles,0)))),"",ISBLANK(INDEX(PlotData,MATCH($A274,PlotNumber,0),MATCH(O$3,PlotTitles,0))),$AB$18,TRUE,"")</f>
        <v/>
      </c>
      <c r="P274" s="182" t="str">
        <f t="shared" ca="1" si="13"/>
        <v/>
      </c>
      <c r="Q274" s="104" t="str" cm="1">
        <f t="array" ref="Q274">_xlfn.IFS(AND(A274&gt;NumberOfPlots,ISBLANK(INDEX(PlotData,MATCH($A274,PlotNumber,0),MATCH(B$3,PlotTitles,0)))),"",ISBLANK(INDEX(PlotData,MATCH($A274,PlotNumber,0),MATCH(N$3,PlotTitles,0))),"",(DATEVALUE(INDEX(PlotData,MATCH($A274,PlotNumber,0),MATCH(N$3,PlotTitles,0))&amp;INDEX(PlotData,MATCH($A274,PlotNumber,0),MATCH(O$3,PlotTitles,0))))&lt;(DATEVALUE(INDEX(PlotData,MATCH($A274,PlotNumber,0),MATCH(I$3,PlotTitles,0))&amp;INDEX(PlotData,MATCH($A274,PlotNumber,0),MATCH(J$3,PlotTitles,0)))),$AB$20,TRUE,"")</f>
        <v/>
      </c>
      <c r="R274" s="104" t="str" cm="1">
        <f t="array" ref="R274">_xlfn.IFS(OR(ISBLANK(StartDateMonth),ISBLANK(StartDateYear)),"",AND(A274&gt;NumberOfPlots,ISBLANK(INDEX(PlotData,MATCH($A274,PlotNumber,0),MATCH(B$3,PlotTitles,0)))),"",ISBLANK(INDEX(PlotData,MATCH($A274,PlotNumber,0),MATCH(N$3,PlotTitles,0))),"",CompletionMonth="","",(DATEVALUE(INDEX(PlotData,MATCH($A274,PlotNumber,0),MATCH(N$3,PlotTitles,0))&amp;INDEX(PlotData,MATCH($A274,PlotNumber,0),MATCH(O$3,PlotTitles,0))))&gt;(DATEVALUE(CompletionMonth&amp;CompletionYear)),$AB$21,TRUE,"")</f>
        <v/>
      </c>
      <c r="S274" s="104" t="str" cm="1">
        <f t="array" ref="S274">_xlfn.IFS(AND(A274&gt;NumberOfPlots,ISBLANK(INDEX(PlotData,MATCH($A274,PlotNumber,0),MATCH(B$3,PlotTitles,0)))),"",OR(AND(INDEX(PlotData,MATCH($A274,PlotNumber,0),MATCH("Tenure",PlotTitles,0))="Open market housing",INDEX(PlotData,MATCH($A274,PlotNumber,0),MATCH("Tenure detail",PlotTitles,0))="Private rented sector"),INDEX(PlotData,MATCH($A274,PlotNumber,0),MATCH("Tenure",PlotTitles,0))="Affordable rent"),"",ISNUMBER(INDEX(PlotData,MATCH($A274,PlotNumber,0),MATCH(S$3,PlotTitles,0)))=FALSE, $AB$22,TRUE,"")</f>
        <v/>
      </c>
      <c r="T274" s="104" t="str" cm="1">
        <f t="array" ref="T274">_xlfn.IFS(AND(A274&gt;NumberOfPlots,ISBLANK(INDEX(PlotData,MATCH($A274,PlotNumber,0),MATCH(B$3,PlotTitles,0)))),"",OR(AND(INDEX(PlotData,MATCH($A274,PlotNumber,0),MATCH("Tenure",PlotTitles,0))="Open market housing",INDEX(PlotData,MATCH($A274,PlotNumber,0),MATCH("Tenure detail",PlotTitles,0))="Private rented sector"),INDEX(PlotData,MATCH($A274,PlotNumber,0),MATCH("Tenure",PlotTitles,0))="Affordable rent"),"",INDEX(PlotData,MATCH($A274,PlotNumber,0),MATCH(S$3,PlotTitles,0))&lt;10000, $AB$23,TRUE,"")</f>
        <v/>
      </c>
      <c r="U274" s="104" t="str" cm="1">
        <f t="array" ref="U274">_xlfn.IFS(AND(A274&gt;NumberOfPlots,ISBLANK(INDEX(PlotData,MATCH($A274,PlotNumber,0),MATCH(B$3,PlotTitles,0)))),"",NOT(OR(AND(INDEX(PlotData,MATCH($A274,PlotNumber,0),MATCH("Tenure",PlotTitles,0))="Open market housing",INDEX(PlotData,MATCH($A274,PlotNumber,0),MATCH("Tenure detail",PlotTitles,0))="Private rented sector"),INDEX(PlotData,MATCH($A274,PlotNumber,0),MATCH("Tenure",PlotTitles,0))="Affordable rent")),"",NOT(INDEX(PlotData,MATCH($A274,PlotNumber,0),MATCH(S$3,PlotTitles,0))=0), $AB$24,TRUE,"")</f>
        <v/>
      </c>
      <c r="V274" s="114" t="str" cm="1">
        <f t="array" aca="1" ref="V274" ca="1">_xlfn.IFS(ISBLANK(NumberOfPlots),"Enter the number of homes on the 1_SetUp sheet",AND(A274&gt;NumberOfPlots,ISBLANK(INDEX(PlotData,MATCH($A274,PlotNumber,0),MATCH(B$3,PlotTitles,0)))),"No error",NOT(B274=""),B274,NOT(C274=""),C274,NOT(D274=""),D274,NOT(E274=""),E274,NOT(F274=""),F274,NOT(G274=""),G274,NOT(H274=""),H274,NOT(I274=""),I274,NOT(J274=""),J274,NOT(K274=""),K274,NOT(L274=""),L274,NOT(M274=""),M274,NOT(N274=""),N274,NOT(O274=""),O274,NOT(P274=""),P274,NOT(Q274=""),Q274,NOT(R274=""),R274,NOT(S274=""),S274,NOT(T274=""),T274,NOT(U274=""),U274,TRUE,"No error")</f>
        <v>Enter the number of homes on the 1_SetUp sheet</v>
      </c>
      <c r="W274" s="114" t="str">
        <f t="shared" ca="1" si="14"/>
        <v xml:space="preserve">The Borrower has not addressed the following error messages for Home ID 270: </v>
      </c>
    </row>
    <row r="275" spans="1:23">
      <c r="A275" s="123">
        <v>271</v>
      </c>
      <c r="B275" s="104" t="str" cm="1">
        <f t="array" ref="B275">_xlfn.IFS(AND(A275&gt;NumberOfPlots,ISBLANK(INDEX(PlotData,MATCH($A275,PlotNumber,0),MATCH(B$3,PlotTitles,0)))),"",ISNUMBER(INDEX(PlotData,MATCH($A275,PlotNumber,0),MATCH(B$3,PlotTitles,0)))=FALSE, $AB$5,TRUE,"")</f>
        <v/>
      </c>
      <c r="C275" s="104" t="str" cm="1">
        <f t="array" ref="C275">_xlfn.IFS(AND(A275&gt;NumberOfPlots,ISBLANK(INDEX(PlotData,MATCH($A275,PlotNumber,0),MATCH(B$3,PlotTitles,0)))),"",ISBLANK(INDEX(PlotData,MATCH($A275,PlotNumber,0),MATCH(C$3,PlotTitles,0))),$AB$6,TRUE,"")</f>
        <v/>
      </c>
      <c r="D275" s="104" t="str" cm="1">
        <f t="array" ref="D275">_xlfn.IFS(AND(A275&gt;NumberOfPlots,ISBLANK(INDEX(PlotData,MATCH($A275,PlotNumber,0),MATCH(B$3,PlotTitles,0)))),"",ISBLANK(INDEX(PlotData,MATCH($A275,PlotNumber,0),MATCH(D$3,PlotTitles,0))),$AB$7,TRUE,"")</f>
        <v/>
      </c>
      <c r="E275" s="104" t="str" cm="1">
        <f t="array" ref="E275">_xlfn.IFS(AND(A275&gt;NumberOfPlots,ISBLANK(INDEX(PlotData,MATCH($A275,PlotNumber,0),MATCH(B$3,PlotTitles,0)))),"",ISBLANK(INDEX(PlotData,MATCH($A275,PlotNumber,0),MATCH(E$3,PlotTitles,0))),$AB$8,TRUE,"")</f>
        <v/>
      </c>
      <c r="F275" s="104" t="str" cm="1">
        <f t="array" ref="F275">_xlfn.IFS(AND(A275&gt;NumberOfPlots,ISBLANK(INDEX(PlotData,MATCH($A275,PlotNumber,0),MATCH(B$3,PlotTitles,0)))),"",ISBLANK(INDEX(PlotData,MATCH($A275,PlotNumber,0),MATCH(F$3,PlotTitles,0))),$AB$9,TRUE,"")</f>
        <v/>
      </c>
      <c r="G275" s="104" t="str" cm="1">
        <f t="array" ref="G275">_xlfn.IFS(AND(A275&gt;NumberOfPlots,ISBLANK(INDEX(PlotData,MATCH($A275,PlotNumber,0),MATCH(B$3,PlotTitles,0)))),"",ISBLANK(INDEX(PlotData,MATCH($A275,PlotNumber,0),MATCH(G$3,PlotTitles,0))),$AB$10,TRUE,"")</f>
        <v/>
      </c>
      <c r="H275" s="104" t="str" cm="1">
        <f t="array" ref="H275">_xlfn.IFS(AND(A275&gt;NumberOfPlots,ISBLANK(INDEX(PlotData,MATCH($A275,PlotNumber,0),MATCH(B$3,PlotTitles,0)))),"",AND(ISBLANK(INDEX(PlotData,MATCH($A275,PlotNumber,0),MATCH(H$3,PlotTitles,0)))=FALSE,INDEX(PlotData,MATCH($A275,PlotNumber,0),MATCH(H$3,PlotTitles,0))&lt;500), $AB$11,TRUE,"")</f>
        <v/>
      </c>
      <c r="I275" s="104" t="str" cm="1">
        <f t="array" ref="I275">_xlfn.IFS(AND(A275&gt;NumberOfPlots,ISBLANK(INDEX(PlotData,MATCH($A275,PlotNumber,0),MATCH(B$3,PlotTitles,0)))),"",ISBLANK(INDEX(PlotData,MATCH($A275,PlotNumber,0),MATCH(I$3,PlotTitles,0))),$AB$12,TRUE,"")</f>
        <v/>
      </c>
      <c r="J275" s="104" t="str" cm="1">
        <f t="array" ref="J275">_xlfn.IFS(AND(A275&gt;NumberOfPlots,ISBLANK(INDEX(PlotData,MATCH($A275,PlotNumber,0),MATCH(B$3,PlotTitles,0)))),"",ISBLANK(INDEX(PlotData,MATCH($A275,PlotNumber,0),MATCH(J$3,PlotTitles,0))),$AB$13,TRUE,"")</f>
        <v/>
      </c>
      <c r="K275" s="182" t="str">
        <f t="shared" ca="1" si="12"/>
        <v/>
      </c>
      <c r="L275" s="104" t="str" cm="1">
        <f t="array" ref="L275">_xlfn.IFS(OR(ISBLANK(StartDateMonth),ISBLANK(StartDateYear)),"",AND(A275&gt;NumberOfPlots,ISBLANK(INDEX(PlotData,MATCH($A275,PlotNumber,0),MATCH(B$3,PlotTitles,0)))),"",ISBLANK(INDEX(PlotData,MATCH($A275,PlotNumber,0),MATCH(I$3,PlotTitles,0))),"",(DATEVALUE(INDEX(PlotData,MATCH($A275,PlotNumber,0),MATCH(I$3,PlotTitles,0))&amp;INDEX(PlotData,MATCH($A275,PlotNumber,0),MATCH(J$3,PlotTitles,0))))&lt;DATEVALUE(StartDateMonth&amp;StartDateYear),$AB$15,TRUE,"")</f>
        <v/>
      </c>
      <c r="M275" s="104" t="str" cm="1">
        <f t="array" ref="M275">_xlfn.IFS(OR(ISBLANK(StartDateMonth),ISBLANK(StartDateYear)),"",AND(A275&gt;NumberOfPlots,ISBLANK(INDEX(PlotData,MATCH($A275,PlotNumber,0),MATCH(B$3,PlotTitles,0)))),"",ISBLANK(INDEX(PlotData,MATCH($A275,PlotNumber,0),MATCH(I$3,PlotTitles,0))),"",CompletionMonth="","",(DATEVALUE(INDEX(PlotData,MATCH($A275,PlotNumber,0),MATCH(I$3,PlotTitles,0))&amp;INDEX(PlotData,MATCH($A275,PlotNumber,0),MATCH(J$3,PlotTitles,0))))&gt;(DATEVALUE(CompletionMonth&amp;CompletionYear)),$AB$16,TRUE,"")</f>
        <v/>
      </c>
      <c r="N275" s="104" t="str" cm="1">
        <f t="array" ref="N275">_xlfn.IFS(AND(A275&gt;NumberOfPlots,ISBLANK(INDEX(PlotData,MATCH($A275,PlotNumber,0),MATCH(B$3,PlotTitles,0)))),"",ISBLANK(INDEX(PlotData,MATCH($A275,PlotNumber,0),MATCH(N$3,PlotTitles,0))),$AB$17,TRUE,"")</f>
        <v/>
      </c>
      <c r="O275" s="104" t="str" cm="1">
        <f t="array" ref="O275">_xlfn.IFS(AND(A275&gt;NumberOfPlots,ISBLANK(INDEX(PlotData,MATCH($A275,PlotNumber,0),MATCH(B$3,PlotTitles,0)))),"",ISBLANK(INDEX(PlotData,MATCH($A275,PlotNumber,0),MATCH(O$3,PlotTitles,0))),$AB$18,TRUE,"")</f>
        <v/>
      </c>
      <c r="P275" s="182" t="str">
        <f t="shared" ca="1" si="13"/>
        <v/>
      </c>
      <c r="Q275" s="104" t="str" cm="1">
        <f t="array" ref="Q275">_xlfn.IFS(AND(A275&gt;NumberOfPlots,ISBLANK(INDEX(PlotData,MATCH($A275,PlotNumber,0),MATCH(B$3,PlotTitles,0)))),"",ISBLANK(INDEX(PlotData,MATCH($A275,PlotNumber,0),MATCH(N$3,PlotTitles,0))),"",(DATEVALUE(INDEX(PlotData,MATCH($A275,PlotNumber,0),MATCH(N$3,PlotTitles,0))&amp;INDEX(PlotData,MATCH($A275,PlotNumber,0),MATCH(O$3,PlotTitles,0))))&lt;(DATEVALUE(INDEX(PlotData,MATCH($A275,PlotNumber,0),MATCH(I$3,PlotTitles,0))&amp;INDEX(PlotData,MATCH($A275,PlotNumber,0),MATCH(J$3,PlotTitles,0)))),$AB$20,TRUE,"")</f>
        <v/>
      </c>
      <c r="R275" s="104" t="str" cm="1">
        <f t="array" ref="R275">_xlfn.IFS(OR(ISBLANK(StartDateMonth),ISBLANK(StartDateYear)),"",AND(A275&gt;NumberOfPlots,ISBLANK(INDEX(PlotData,MATCH($A275,PlotNumber,0),MATCH(B$3,PlotTitles,0)))),"",ISBLANK(INDEX(PlotData,MATCH($A275,PlotNumber,0),MATCH(N$3,PlotTitles,0))),"",CompletionMonth="","",(DATEVALUE(INDEX(PlotData,MATCH($A275,PlotNumber,0),MATCH(N$3,PlotTitles,0))&amp;INDEX(PlotData,MATCH($A275,PlotNumber,0),MATCH(O$3,PlotTitles,0))))&gt;(DATEVALUE(CompletionMonth&amp;CompletionYear)),$AB$21,TRUE,"")</f>
        <v/>
      </c>
      <c r="S275" s="104" t="str" cm="1">
        <f t="array" ref="S275">_xlfn.IFS(AND(A275&gt;NumberOfPlots,ISBLANK(INDEX(PlotData,MATCH($A275,PlotNumber,0),MATCH(B$3,PlotTitles,0)))),"",OR(AND(INDEX(PlotData,MATCH($A275,PlotNumber,0),MATCH("Tenure",PlotTitles,0))="Open market housing",INDEX(PlotData,MATCH($A275,PlotNumber,0),MATCH("Tenure detail",PlotTitles,0))="Private rented sector"),INDEX(PlotData,MATCH($A275,PlotNumber,0),MATCH("Tenure",PlotTitles,0))="Affordable rent"),"",ISNUMBER(INDEX(PlotData,MATCH($A275,PlotNumber,0),MATCH(S$3,PlotTitles,0)))=FALSE, $AB$22,TRUE,"")</f>
        <v/>
      </c>
      <c r="T275" s="104" t="str" cm="1">
        <f t="array" ref="T275">_xlfn.IFS(AND(A275&gt;NumberOfPlots,ISBLANK(INDEX(PlotData,MATCH($A275,PlotNumber,0),MATCH(B$3,PlotTitles,0)))),"",OR(AND(INDEX(PlotData,MATCH($A275,PlotNumber,0),MATCH("Tenure",PlotTitles,0))="Open market housing",INDEX(PlotData,MATCH($A275,PlotNumber,0),MATCH("Tenure detail",PlotTitles,0))="Private rented sector"),INDEX(PlotData,MATCH($A275,PlotNumber,0),MATCH("Tenure",PlotTitles,0))="Affordable rent"),"",INDEX(PlotData,MATCH($A275,PlotNumber,0),MATCH(S$3,PlotTitles,0))&lt;10000, $AB$23,TRUE,"")</f>
        <v/>
      </c>
      <c r="U275" s="104" t="str" cm="1">
        <f t="array" ref="U275">_xlfn.IFS(AND(A275&gt;NumberOfPlots,ISBLANK(INDEX(PlotData,MATCH($A275,PlotNumber,0),MATCH(B$3,PlotTitles,0)))),"",NOT(OR(AND(INDEX(PlotData,MATCH($A275,PlotNumber,0),MATCH("Tenure",PlotTitles,0))="Open market housing",INDEX(PlotData,MATCH($A275,PlotNumber,0),MATCH("Tenure detail",PlotTitles,0))="Private rented sector"),INDEX(PlotData,MATCH($A275,PlotNumber,0),MATCH("Tenure",PlotTitles,0))="Affordable rent")),"",NOT(INDEX(PlotData,MATCH($A275,PlotNumber,0),MATCH(S$3,PlotTitles,0))=0), $AB$24,TRUE,"")</f>
        <v/>
      </c>
      <c r="V275" s="114" t="str" cm="1">
        <f t="array" aca="1" ref="V275" ca="1">_xlfn.IFS(ISBLANK(NumberOfPlots),"Enter the number of homes on the 1_SetUp sheet",AND(A275&gt;NumberOfPlots,ISBLANK(INDEX(PlotData,MATCH($A275,PlotNumber,0),MATCH(B$3,PlotTitles,0)))),"No error",NOT(B275=""),B275,NOT(C275=""),C275,NOT(D275=""),D275,NOT(E275=""),E275,NOT(F275=""),F275,NOT(G275=""),G275,NOT(H275=""),H275,NOT(I275=""),I275,NOT(J275=""),J275,NOT(K275=""),K275,NOT(L275=""),L275,NOT(M275=""),M275,NOT(N275=""),N275,NOT(O275=""),O275,NOT(P275=""),P275,NOT(Q275=""),Q275,NOT(R275=""),R275,NOT(S275=""),S275,NOT(T275=""),T275,NOT(U275=""),U275,TRUE,"No error")</f>
        <v>Enter the number of homes on the 1_SetUp sheet</v>
      </c>
      <c r="W275" s="114" t="str">
        <f t="shared" ca="1" si="14"/>
        <v xml:space="preserve">The Borrower has not addressed the following error messages for Home ID 271: </v>
      </c>
    </row>
    <row r="276" spans="1:23">
      <c r="A276" s="123">
        <v>272</v>
      </c>
      <c r="B276" s="104" t="str" cm="1">
        <f t="array" ref="B276">_xlfn.IFS(AND(A276&gt;NumberOfPlots,ISBLANK(INDEX(PlotData,MATCH($A276,PlotNumber,0),MATCH(B$3,PlotTitles,0)))),"",ISNUMBER(INDEX(PlotData,MATCH($A276,PlotNumber,0),MATCH(B$3,PlotTitles,0)))=FALSE, $AB$5,TRUE,"")</f>
        <v/>
      </c>
      <c r="C276" s="104" t="str" cm="1">
        <f t="array" ref="C276">_xlfn.IFS(AND(A276&gt;NumberOfPlots,ISBLANK(INDEX(PlotData,MATCH($A276,PlotNumber,0),MATCH(B$3,PlotTitles,0)))),"",ISBLANK(INDEX(PlotData,MATCH($A276,PlotNumber,0),MATCH(C$3,PlotTitles,0))),$AB$6,TRUE,"")</f>
        <v/>
      </c>
      <c r="D276" s="104" t="str" cm="1">
        <f t="array" ref="D276">_xlfn.IFS(AND(A276&gt;NumberOfPlots,ISBLANK(INDEX(PlotData,MATCH($A276,PlotNumber,0),MATCH(B$3,PlotTitles,0)))),"",ISBLANK(INDEX(PlotData,MATCH($A276,PlotNumber,0),MATCH(D$3,PlotTitles,0))),$AB$7,TRUE,"")</f>
        <v/>
      </c>
      <c r="E276" s="104" t="str" cm="1">
        <f t="array" ref="E276">_xlfn.IFS(AND(A276&gt;NumberOfPlots,ISBLANK(INDEX(PlotData,MATCH($A276,PlotNumber,0),MATCH(B$3,PlotTitles,0)))),"",ISBLANK(INDEX(PlotData,MATCH($A276,PlotNumber,0),MATCH(E$3,PlotTitles,0))),$AB$8,TRUE,"")</f>
        <v/>
      </c>
      <c r="F276" s="104" t="str" cm="1">
        <f t="array" ref="F276">_xlfn.IFS(AND(A276&gt;NumberOfPlots,ISBLANK(INDEX(PlotData,MATCH($A276,PlotNumber,0),MATCH(B$3,PlotTitles,0)))),"",ISBLANK(INDEX(PlotData,MATCH($A276,PlotNumber,0),MATCH(F$3,PlotTitles,0))),$AB$9,TRUE,"")</f>
        <v/>
      </c>
      <c r="G276" s="104" t="str" cm="1">
        <f t="array" ref="G276">_xlfn.IFS(AND(A276&gt;NumberOfPlots,ISBLANK(INDEX(PlotData,MATCH($A276,PlotNumber,0),MATCH(B$3,PlotTitles,0)))),"",ISBLANK(INDEX(PlotData,MATCH($A276,PlotNumber,0),MATCH(G$3,PlotTitles,0))),$AB$10,TRUE,"")</f>
        <v/>
      </c>
      <c r="H276" s="104" t="str" cm="1">
        <f t="array" ref="H276">_xlfn.IFS(AND(A276&gt;NumberOfPlots,ISBLANK(INDEX(PlotData,MATCH($A276,PlotNumber,0),MATCH(B$3,PlotTitles,0)))),"",AND(ISBLANK(INDEX(PlotData,MATCH($A276,PlotNumber,0),MATCH(H$3,PlotTitles,0)))=FALSE,INDEX(PlotData,MATCH($A276,PlotNumber,0),MATCH(H$3,PlotTitles,0))&lt;500), $AB$11,TRUE,"")</f>
        <v/>
      </c>
      <c r="I276" s="104" t="str" cm="1">
        <f t="array" ref="I276">_xlfn.IFS(AND(A276&gt;NumberOfPlots,ISBLANK(INDEX(PlotData,MATCH($A276,PlotNumber,0),MATCH(B$3,PlotTitles,0)))),"",ISBLANK(INDEX(PlotData,MATCH($A276,PlotNumber,0),MATCH(I$3,PlotTitles,0))),$AB$12,TRUE,"")</f>
        <v/>
      </c>
      <c r="J276" s="104" t="str" cm="1">
        <f t="array" ref="J276">_xlfn.IFS(AND(A276&gt;NumberOfPlots,ISBLANK(INDEX(PlotData,MATCH($A276,PlotNumber,0),MATCH(B$3,PlotTitles,0)))),"",ISBLANK(INDEX(PlotData,MATCH($A276,PlotNumber,0),MATCH(J$3,PlotTitles,0))),$AB$13,TRUE,"")</f>
        <v/>
      </c>
      <c r="K276" s="182" t="str">
        <f t="shared" ca="1" si="12"/>
        <v/>
      </c>
      <c r="L276" s="104" t="str" cm="1">
        <f t="array" ref="L276">_xlfn.IFS(OR(ISBLANK(StartDateMonth),ISBLANK(StartDateYear)),"",AND(A276&gt;NumberOfPlots,ISBLANK(INDEX(PlotData,MATCH($A276,PlotNumber,0),MATCH(B$3,PlotTitles,0)))),"",ISBLANK(INDEX(PlotData,MATCH($A276,PlotNumber,0),MATCH(I$3,PlotTitles,0))),"",(DATEVALUE(INDEX(PlotData,MATCH($A276,PlotNumber,0),MATCH(I$3,PlotTitles,0))&amp;INDEX(PlotData,MATCH($A276,PlotNumber,0),MATCH(J$3,PlotTitles,0))))&lt;DATEVALUE(StartDateMonth&amp;StartDateYear),$AB$15,TRUE,"")</f>
        <v/>
      </c>
      <c r="M276" s="104" t="str" cm="1">
        <f t="array" ref="M276">_xlfn.IFS(OR(ISBLANK(StartDateMonth),ISBLANK(StartDateYear)),"",AND(A276&gt;NumberOfPlots,ISBLANK(INDEX(PlotData,MATCH($A276,PlotNumber,0),MATCH(B$3,PlotTitles,0)))),"",ISBLANK(INDEX(PlotData,MATCH($A276,PlotNumber,0),MATCH(I$3,PlotTitles,0))),"",CompletionMonth="","",(DATEVALUE(INDEX(PlotData,MATCH($A276,PlotNumber,0),MATCH(I$3,PlotTitles,0))&amp;INDEX(PlotData,MATCH($A276,PlotNumber,0),MATCH(J$3,PlotTitles,0))))&gt;(DATEVALUE(CompletionMonth&amp;CompletionYear)),$AB$16,TRUE,"")</f>
        <v/>
      </c>
      <c r="N276" s="104" t="str" cm="1">
        <f t="array" ref="N276">_xlfn.IFS(AND(A276&gt;NumberOfPlots,ISBLANK(INDEX(PlotData,MATCH($A276,PlotNumber,0),MATCH(B$3,PlotTitles,0)))),"",ISBLANK(INDEX(PlotData,MATCH($A276,PlotNumber,0),MATCH(N$3,PlotTitles,0))),$AB$17,TRUE,"")</f>
        <v/>
      </c>
      <c r="O276" s="104" t="str" cm="1">
        <f t="array" ref="O276">_xlfn.IFS(AND(A276&gt;NumberOfPlots,ISBLANK(INDEX(PlotData,MATCH($A276,PlotNumber,0),MATCH(B$3,PlotTitles,0)))),"",ISBLANK(INDEX(PlotData,MATCH($A276,PlotNumber,0),MATCH(O$3,PlotTitles,0))),$AB$18,TRUE,"")</f>
        <v/>
      </c>
      <c r="P276" s="182" t="str">
        <f t="shared" ca="1" si="13"/>
        <v/>
      </c>
      <c r="Q276" s="104" t="str" cm="1">
        <f t="array" ref="Q276">_xlfn.IFS(AND(A276&gt;NumberOfPlots,ISBLANK(INDEX(PlotData,MATCH($A276,PlotNumber,0),MATCH(B$3,PlotTitles,0)))),"",ISBLANK(INDEX(PlotData,MATCH($A276,PlotNumber,0),MATCH(N$3,PlotTitles,0))),"",(DATEVALUE(INDEX(PlotData,MATCH($A276,PlotNumber,0),MATCH(N$3,PlotTitles,0))&amp;INDEX(PlotData,MATCH($A276,PlotNumber,0),MATCH(O$3,PlotTitles,0))))&lt;(DATEVALUE(INDEX(PlotData,MATCH($A276,PlotNumber,0),MATCH(I$3,PlotTitles,0))&amp;INDEX(PlotData,MATCH($A276,PlotNumber,0),MATCH(J$3,PlotTitles,0)))),$AB$20,TRUE,"")</f>
        <v/>
      </c>
      <c r="R276" s="104" t="str" cm="1">
        <f t="array" ref="R276">_xlfn.IFS(OR(ISBLANK(StartDateMonth),ISBLANK(StartDateYear)),"",AND(A276&gt;NumberOfPlots,ISBLANK(INDEX(PlotData,MATCH($A276,PlotNumber,0),MATCH(B$3,PlotTitles,0)))),"",ISBLANK(INDEX(PlotData,MATCH($A276,PlotNumber,0),MATCH(N$3,PlotTitles,0))),"",CompletionMonth="","",(DATEVALUE(INDEX(PlotData,MATCH($A276,PlotNumber,0),MATCH(N$3,PlotTitles,0))&amp;INDEX(PlotData,MATCH($A276,PlotNumber,0),MATCH(O$3,PlotTitles,0))))&gt;(DATEVALUE(CompletionMonth&amp;CompletionYear)),$AB$21,TRUE,"")</f>
        <v/>
      </c>
      <c r="S276" s="104" t="str" cm="1">
        <f t="array" ref="S276">_xlfn.IFS(AND(A276&gt;NumberOfPlots,ISBLANK(INDEX(PlotData,MATCH($A276,PlotNumber,0),MATCH(B$3,PlotTitles,0)))),"",OR(AND(INDEX(PlotData,MATCH($A276,PlotNumber,0),MATCH("Tenure",PlotTitles,0))="Open market housing",INDEX(PlotData,MATCH($A276,PlotNumber,0),MATCH("Tenure detail",PlotTitles,0))="Private rented sector"),INDEX(PlotData,MATCH($A276,PlotNumber,0),MATCH("Tenure",PlotTitles,0))="Affordable rent"),"",ISNUMBER(INDEX(PlotData,MATCH($A276,PlotNumber,0),MATCH(S$3,PlotTitles,0)))=FALSE, $AB$22,TRUE,"")</f>
        <v/>
      </c>
      <c r="T276" s="104" t="str" cm="1">
        <f t="array" ref="T276">_xlfn.IFS(AND(A276&gt;NumberOfPlots,ISBLANK(INDEX(PlotData,MATCH($A276,PlotNumber,0),MATCH(B$3,PlotTitles,0)))),"",OR(AND(INDEX(PlotData,MATCH($A276,PlotNumber,0),MATCH("Tenure",PlotTitles,0))="Open market housing",INDEX(PlotData,MATCH($A276,PlotNumber,0),MATCH("Tenure detail",PlotTitles,0))="Private rented sector"),INDEX(PlotData,MATCH($A276,PlotNumber,0),MATCH("Tenure",PlotTitles,0))="Affordable rent"),"",INDEX(PlotData,MATCH($A276,PlotNumber,0),MATCH(S$3,PlotTitles,0))&lt;10000, $AB$23,TRUE,"")</f>
        <v/>
      </c>
      <c r="U276" s="104" t="str" cm="1">
        <f t="array" ref="U276">_xlfn.IFS(AND(A276&gt;NumberOfPlots,ISBLANK(INDEX(PlotData,MATCH($A276,PlotNumber,0),MATCH(B$3,PlotTitles,0)))),"",NOT(OR(AND(INDEX(PlotData,MATCH($A276,PlotNumber,0),MATCH("Tenure",PlotTitles,0))="Open market housing",INDEX(PlotData,MATCH($A276,PlotNumber,0),MATCH("Tenure detail",PlotTitles,0))="Private rented sector"),INDEX(PlotData,MATCH($A276,PlotNumber,0),MATCH("Tenure",PlotTitles,0))="Affordable rent")),"",NOT(INDEX(PlotData,MATCH($A276,PlotNumber,0),MATCH(S$3,PlotTitles,0))=0), $AB$24,TRUE,"")</f>
        <v/>
      </c>
      <c r="V276" s="114" t="str" cm="1">
        <f t="array" aca="1" ref="V276" ca="1">_xlfn.IFS(ISBLANK(NumberOfPlots),"Enter the number of homes on the 1_SetUp sheet",AND(A276&gt;NumberOfPlots,ISBLANK(INDEX(PlotData,MATCH($A276,PlotNumber,0),MATCH(B$3,PlotTitles,0)))),"No error",NOT(B276=""),B276,NOT(C276=""),C276,NOT(D276=""),D276,NOT(E276=""),E276,NOT(F276=""),F276,NOT(G276=""),G276,NOT(H276=""),H276,NOT(I276=""),I276,NOT(J276=""),J276,NOT(K276=""),K276,NOT(L276=""),L276,NOT(M276=""),M276,NOT(N276=""),N276,NOT(O276=""),O276,NOT(P276=""),P276,NOT(Q276=""),Q276,NOT(R276=""),R276,NOT(S276=""),S276,NOT(T276=""),T276,NOT(U276=""),U276,TRUE,"No error")</f>
        <v>Enter the number of homes on the 1_SetUp sheet</v>
      </c>
      <c r="W276" s="114" t="str">
        <f t="shared" ca="1" si="14"/>
        <v xml:space="preserve">The Borrower has not addressed the following error messages for Home ID 272: </v>
      </c>
    </row>
    <row r="277" spans="1:23">
      <c r="A277" s="123">
        <v>273</v>
      </c>
      <c r="B277" s="104" t="str" cm="1">
        <f t="array" ref="B277">_xlfn.IFS(AND(A277&gt;NumberOfPlots,ISBLANK(INDEX(PlotData,MATCH($A277,PlotNumber,0),MATCH(B$3,PlotTitles,0)))),"",ISNUMBER(INDEX(PlotData,MATCH($A277,PlotNumber,0),MATCH(B$3,PlotTitles,0)))=FALSE, $AB$5,TRUE,"")</f>
        <v/>
      </c>
      <c r="C277" s="104" t="str" cm="1">
        <f t="array" ref="C277">_xlfn.IFS(AND(A277&gt;NumberOfPlots,ISBLANK(INDEX(PlotData,MATCH($A277,PlotNumber,0),MATCH(B$3,PlotTitles,0)))),"",ISBLANK(INDEX(PlotData,MATCH($A277,PlotNumber,0),MATCH(C$3,PlotTitles,0))),$AB$6,TRUE,"")</f>
        <v/>
      </c>
      <c r="D277" s="104" t="str" cm="1">
        <f t="array" ref="D277">_xlfn.IFS(AND(A277&gt;NumberOfPlots,ISBLANK(INDEX(PlotData,MATCH($A277,PlotNumber,0),MATCH(B$3,PlotTitles,0)))),"",ISBLANK(INDEX(PlotData,MATCH($A277,PlotNumber,0),MATCH(D$3,PlotTitles,0))),$AB$7,TRUE,"")</f>
        <v/>
      </c>
      <c r="E277" s="104" t="str" cm="1">
        <f t="array" ref="E277">_xlfn.IFS(AND(A277&gt;NumberOfPlots,ISBLANK(INDEX(PlotData,MATCH($A277,PlotNumber,0),MATCH(B$3,PlotTitles,0)))),"",ISBLANK(INDEX(PlotData,MATCH($A277,PlotNumber,0),MATCH(E$3,PlotTitles,0))),$AB$8,TRUE,"")</f>
        <v/>
      </c>
      <c r="F277" s="104" t="str" cm="1">
        <f t="array" ref="F277">_xlfn.IFS(AND(A277&gt;NumberOfPlots,ISBLANK(INDEX(PlotData,MATCH($A277,PlotNumber,0),MATCH(B$3,PlotTitles,0)))),"",ISBLANK(INDEX(PlotData,MATCH($A277,PlotNumber,0),MATCH(F$3,PlotTitles,0))),$AB$9,TRUE,"")</f>
        <v/>
      </c>
      <c r="G277" s="104" t="str" cm="1">
        <f t="array" ref="G277">_xlfn.IFS(AND(A277&gt;NumberOfPlots,ISBLANK(INDEX(PlotData,MATCH($A277,PlotNumber,0),MATCH(B$3,PlotTitles,0)))),"",ISBLANK(INDEX(PlotData,MATCH($A277,PlotNumber,0),MATCH(G$3,PlotTitles,0))),$AB$10,TRUE,"")</f>
        <v/>
      </c>
      <c r="H277" s="104" t="str" cm="1">
        <f t="array" ref="H277">_xlfn.IFS(AND(A277&gt;NumberOfPlots,ISBLANK(INDEX(PlotData,MATCH($A277,PlotNumber,0),MATCH(B$3,PlotTitles,0)))),"",AND(ISBLANK(INDEX(PlotData,MATCH($A277,PlotNumber,0),MATCH(H$3,PlotTitles,0)))=FALSE,INDEX(PlotData,MATCH($A277,PlotNumber,0),MATCH(H$3,PlotTitles,0))&lt;500), $AB$11,TRUE,"")</f>
        <v/>
      </c>
      <c r="I277" s="104" t="str" cm="1">
        <f t="array" ref="I277">_xlfn.IFS(AND(A277&gt;NumberOfPlots,ISBLANK(INDEX(PlotData,MATCH($A277,PlotNumber,0),MATCH(B$3,PlotTitles,0)))),"",ISBLANK(INDEX(PlotData,MATCH($A277,PlotNumber,0),MATCH(I$3,PlotTitles,0))),$AB$12,TRUE,"")</f>
        <v/>
      </c>
      <c r="J277" s="104" t="str" cm="1">
        <f t="array" ref="J277">_xlfn.IFS(AND(A277&gt;NumberOfPlots,ISBLANK(INDEX(PlotData,MATCH($A277,PlotNumber,0),MATCH(B$3,PlotTitles,0)))),"",ISBLANK(INDEX(PlotData,MATCH($A277,PlotNumber,0),MATCH(J$3,PlotTitles,0))),$AB$13,TRUE,"")</f>
        <v/>
      </c>
      <c r="K277" s="182" t="str">
        <f t="shared" ca="1" si="12"/>
        <v/>
      </c>
      <c r="L277" s="104" t="str" cm="1">
        <f t="array" ref="L277">_xlfn.IFS(OR(ISBLANK(StartDateMonth),ISBLANK(StartDateYear)),"",AND(A277&gt;NumberOfPlots,ISBLANK(INDEX(PlotData,MATCH($A277,PlotNumber,0),MATCH(B$3,PlotTitles,0)))),"",ISBLANK(INDEX(PlotData,MATCH($A277,PlotNumber,0),MATCH(I$3,PlotTitles,0))),"",(DATEVALUE(INDEX(PlotData,MATCH($A277,PlotNumber,0),MATCH(I$3,PlotTitles,0))&amp;INDEX(PlotData,MATCH($A277,PlotNumber,0),MATCH(J$3,PlotTitles,0))))&lt;DATEVALUE(StartDateMonth&amp;StartDateYear),$AB$15,TRUE,"")</f>
        <v/>
      </c>
      <c r="M277" s="104" t="str" cm="1">
        <f t="array" ref="M277">_xlfn.IFS(OR(ISBLANK(StartDateMonth),ISBLANK(StartDateYear)),"",AND(A277&gt;NumberOfPlots,ISBLANK(INDEX(PlotData,MATCH($A277,PlotNumber,0),MATCH(B$3,PlotTitles,0)))),"",ISBLANK(INDEX(PlotData,MATCH($A277,PlotNumber,0),MATCH(I$3,PlotTitles,0))),"",CompletionMonth="","",(DATEVALUE(INDEX(PlotData,MATCH($A277,PlotNumber,0),MATCH(I$3,PlotTitles,0))&amp;INDEX(PlotData,MATCH($A277,PlotNumber,0),MATCH(J$3,PlotTitles,0))))&gt;(DATEVALUE(CompletionMonth&amp;CompletionYear)),$AB$16,TRUE,"")</f>
        <v/>
      </c>
      <c r="N277" s="104" t="str" cm="1">
        <f t="array" ref="N277">_xlfn.IFS(AND(A277&gt;NumberOfPlots,ISBLANK(INDEX(PlotData,MATCH($A277,PlotNumber,0),MATCH(B$3,PlotTitles,0)))),"",ISBLANK(INDEX(PlotData,MATCH($A277,PlotNumber,0),MATCH(N$3,PlotTitles,0))),$AB$17,TRUE,"")</f>
        <v/>
      </c>
      <c r="O277" s="104" t="str" cm="1">
        <f t="array" ref="O277">_xlfn.IFS(AND(A277&gt;NumberOfPlots,ISBLANK(INDEX(PlotData,MATCH($A277,PlotNumber,0),MATCH(B$3,PlotTitles,0)))),"",ISBLANK(INDEX(PlotData,MATCH($A277,PlotNumber,0),MATCH(O$3,PlotTitles,0))),$AB$18,TRUE,"")</f>
        <v/>
      </c>
      <c r="P277" s="182" t="str">
        <f t="shared" ca="1" si="13"/>
        <v/>
      </c>
      <c r="Q277" s="104" t="str" cm="1">
        <f t="array" ref="Q277">_xlfn.IFS(AND(A277&gt;NumberOfPlots,ISBLANK(INDEX(PlotData,MATCH($A277,PlotNumber,0),MATCH(B$3,PlotTitles,0)))),"",ISBLANK(INDEX(PlotData,MATCH($A277,PlotNumber,0),MATCH(N$3,PlotTitles,0))),"",(DATEVALUE(INDEX(PlotData,MATCH($A277,PlotNumber,0),MATCH(N$3,PlotTitles,0))&amp;INDEX(PlotData,MATCH($A277,PlotNumber,0),MATCH(O$3,PlotTitles,0))))&lt;(DATEVALUE(INDEX(PlotData,MATCH($A277,PlotNumber,0),MATCH(I$3,PlotTitles,0))&amp;INDEX(PlotData,MATCH($A277,PlotNumber,0),MATCH(J$3,PlotTitles,0)))),$AB$20,TRUE,"")</f>
        <v/>
      </c>
      <c r="R277" s="104" t="str" cm="1">
        <f t="array" ref="R277">_xlfn.IFS(OR(ISBLANK(StartDateMonth),ISBLANK(StartDateYear)),"",AND(A277&gt;NumberOfPlots,ISBLANK(INDEX(PlotData,MATCH($A277,PlotNumber,0),MATCH(B$3,PlotTitles,0)))),"",ISBLANK(INDEX(PlotData,MATCH($A277,PlotNumber,0),MATCH(N$3,PlotTitles,0))),"",CompletionMonth="","",(DATEVALUE(INDEX(PlotData,MATCH($A277,PlotNumber,0),MATCH(N$3,PlotTitles,0))&amp;INDEX(PlotData,MATCH($A277,PlotNumber,0),MATCH(O$3,PlotTitles,0))))&gt;(DATEVALUE(CompletionMonth&amp;CompletionYear)),$AB$21,TRUE,"")</f>
        <v/>
      </c>
      <c r="S277" s="104" t="str" cm="1">
        <f t="array" ref="S277">_xlfn.IFS(AND(A277&gt;NumberOfPlots,ISBLANK(INDEX(PlotData,MATCH($A277,PlotNumber,0),MATCH(B$3,PlotTitles,0)))),"",OR(AND(INDEX(PlotData,MATCH($A277,PlotNumber,0),MATCH("Tenure",PlotTitles,0))="Open market housing",INDEX(PlotData,MATCH($A277,PlotNumber,0),MATCH("Tenure detail",PlotTitles,0))="Private rented sector"),INDEX(PlotData,MATCH($A277,PlotNumber,0),MATCH("Tenure",PlotTitles,0))="Affordable rent"),"",ISNUMBER(INDEX(PlotData,MATCH($A277,PlotNumber,0),MATCH(S$3,PlotTitles,0)))=FALSE, $AB$22,TRUE,"")</f>
        <v/>
      </c>
      <c r="T277" s="104" t="str" cm="1">
        <f t="array" ref="T277">_xlfn.IFS(AND(A277&gt;NumberOfPlots,ISBLANK(INDEX(PlotData,MATCH($A277,PlotNumber,0),MATCH(B$3,PlotTitles,0)))),"",OR(AND(INDEX(PlotData,MATCH($A277,PlotNumber,0),MATCH("Tenure",PlotTitles,0))="Open market housing",INDEX(PlotData,MATCH($A277,PlotNumber,0),MATCH("Tenure detail",PlotTitles,0))="Private rented sector"),INDEX(PlotData,MATCH($A277,PlotNumber,0),MATCH("Tenure",PlotTitles,0))="Affordable rent"),"",INDEX(PlotData,MATCH($A277,PlotNumber,0),MATCH(S$3,PlotTitles,0))&lt;10000, $AB$23,TRUE,"")</f>
        <v/>
      </c>
      <c r="U277" s="104" t="str" cm="1">
        <f t="array" ref="U277">_xlfn.IFS(AND(A277&gt;NumberOfPlots,ISBLANK(INDEX(PlotData,MATCH($A277,PlotNumber,0),MATCH(B$3,PlotTitles,0)))),"",NOT(OR(AND(INDEX(PlotData,MATCH($A277,PlotNumber,0),MATCH("Tenure",PlotTitles,0))="Open market housing",INDEX(PlotData,MATCH($A277,PlotNumber,0),MATCH("Tenure detail",PlotTitles,0))="Private rented sector"),INDEX(PlotData,MATCH($A277,PlotNumber,0),MATCH("Tenure",PlotTitles,0))="Affordable rent")),"",NOT(INDEX(PlotData,MATCH($A277,PlotNumber,0),MATCH(S$3,PlotTitles,0))=0), $AB$24,TRUE,"")</f>
        <v/>
      </c>
      <c r="V277" s="114" t="str" cm="1">
        <f t="array" aca="1" ref="V277" ca="1">_xlfn.IFS(ISBLANK(NumberOfPlots),"Enter the number of homes on the 1_SetUp sheet",AND(A277&gt;NumberOfPlots,ISBLANK(INDEX(PlotData,MATCH($A277,PlotNumber,0),MATCH(B$3,PlotTitles,0)))),"No error",NOT(B277=""),B277,NOT(C277=""),C277,NOT(D277=""),D277,NOT(E277=""),E277,NOT(F277=""),F277,NOT(G277=""),G277,NOT(H277=""),H277,NOT(I277=""),I277,NOT(J277=""),J277,NOT(K277=""),K277,NOT(L277=""),L277,NOT(M277=""),M277,NOT(N277=""),N277,NOT(O277=""),O277,NOT(P277=""),P277,NOT(Q277=""),Q277,NOT(R277=""),R277,NOT(S277=""),S277,NOT(T277=""),T277,NOT(U277=""),U277,TRUE,"No error")</f>
        <v>Enter the number of homes on the 1_SetUp sheet</v>
      </c>
      <c r="W277" s="114" t="str">
        <f t="shared" ca="1" si="14"/>
        <v xml:space="preserve">The Borrower has not addressed the following error messages for Home ID 273: </v>
      </c>
    </row>
    <row r="278" spans="1:23">
      <c r="A278" s="123">
        <v>274</v>
      </c>
      <c r="B278" s="104" t="str" cm="1">
        <f t="array" ref="B278">_xlfn.IFS(AND(A278&gt;NumberOfPlots,ISBLANK(INDEX(PlotData,MATCH($A278,PlotNumber,0),MATCH(B$3,PlotTitles,0)))),"",ISNUMBER(INDEX(PlotData,MATCH($A278,PlotNumber,0),MATCH(B$3,PlotTitles,0)))=FALSE, $AB$5,TRUE,"")</f>
        <v/>
      </c>
      <c r="C278" s="104" t="str" cm="1">
        <f t="array" ref="C278">_xlfn.IFS(AND(A278&gt;NumberOfPlots,ISBLANK(INDEX(PlotData,MATCH($A278,PlotNumber,0),MATCH(B$3,PlotTitles,0)))),"",ISBLANK(INDEX(PlotData,MATCH($A278,PlotNumber,0),MATCH(C$3,PlotTitles,0))),$AB$6,TRUE,"")</f>
        <v/>
      </c>
      <c r="D278" s="104" t="str" cm="1">
        <f t="array" ref="D278">_xlfn.IFS(AND(A278&gt;NumberOfPlots,ISBLANK(INDEX(PlotData,MATCH($A278,PlotNumber,0),MATCH(B$3,PlotTitles,0)))),"",ISBLANK(INDEX(PlotData,MATCH($A278,PlotNumber,0),MATCH(D$3,PlotTitles,0))),$AB$7,TRUE,"")</f>
        <v/>
      </c>
      <c r="E278" s="104" t="str" cm="1">
        <f t="array" ref="E278">_xlfn.IFS(AND(A278&gt;NumberOfPlots,ISBLANK(INDEX(PlotData,MATCH($A278,PlotNumber,0),MATCH(B$3,PlotTitles,0)))),"",ISBLANK(INDEX(PlotData,MATCH($A278,PlotNumber,0),MATCH(E$3,PlotTitles,0))),$AB$8,TRUE,"")</f>
        <v/>
      </c>
      <c r="F278" s="104" t="str" cm="1">
        <f t="array" ref="F278">_xlfn.IFS(AND(A278&gt;NumberOfPlots,ISBLANK(INDEX(PlotData,MATCH($A278,PlotNumber,0),MATCH(B$3,PlotTitles,0)))),"",ISBLANK(INDEX(PlotData,MATCH($A278,PlotNumber,0),MATCH(F$3,PlotTitles,0))),$AB$9,TRUE,"")</f>
        <v/>
      </c>
      <c r="G278" s="104" t="str" cm="1">
        <f t="array" ref="G278">_xlfn.IFS(AND(A278&gt;NumberOfPlots,ISBLANK(INDEX(PlotData,MATCH($A278,PlotNumber,0),MATCH(B$3,PlotTitles,0)))),"",ISBLANK(INDEX(PlotData,MATCH($A278,PlotNumber,0),MATCH(G$3,PlotTitles,0))),$AB$10,TRUE,"")</f>
        <v/>
      </c>
      <c r="H278" s="104" t="str" cm="1">
        <f t="array" ref="H278">_xlfn.IFS(AND(A278&gt;NumberOfPlots,ISBLANK(INDEX(PlotData,MATCH($A278,PlotNumber,0),MATCH(B$3,PlotTitles,0)))),"",AND(ISBLANK(INDEX(PlotData,MATCH($A278,PlotNumber,0),MATCH(H$3,PlotTitles,0)))=FALSE,INDEX(PlotData,MATCH($A278,PlotNumber,0),MATCH(H$3,PlotTitles,0))&lt;500), $AB$11,TRUE,"")</f>
        <v/>
      </c>
      <c r="I278" s="104" t="str" cm="1">
        <f t="array" ref="I278">_xlfn.IFS(AND(A278&gt;NumberOfPlots,ISBLANK(INDEX(PlotData,MATCH($A278,PlotNumber,0),MATCH(B$3,PlotTitles,0)))),"",ISBLANK(INDEX(PlotData,MATCH($A278,PlotNumber,0),MATCH(I$3,PlotTitles,0))),$AB$12,TRUE,"")</f>
        <v/>
      </c>
      <c r="J278" s="104" t="str" cm="1">
        <f t="array" ref="J278">_xlfn.IFS(AND(A278&gt;NumberOfPlots,ISBLANK(INDEX(PlotData,MATCH($A278,PlotNumber,0),MATCH(B$3,PlotTitles,0)))),"",ISBLANK(INDEX(PlotData,MATCH($A278,PlotNumber,0),MATCH(J$3,PlotTitles,0))),$AB$13,TRUE,"")</f>
        <v/>
      </c>
      <c r="K278" s="182" t="str">
        <f t="shared" ca="1" si="12"/>
        <v/>
      </c>
      <c r="L278" s="104" t="str" cm="1">
        <f t="array" ref="L278">_xlfn.IFS(OR(ISBLANK(StartDateMonth),ISBLANK(StartDateYear)),"",AND(A278&gt;NumberOfPlots,ISBLANK(INDEX(PlotData,MATCH($A278,PlotNumber,0),MATCH(B$3,PlotTitles,0)))),"",ISBLANK(INDEX(PlotData,MATCH($A278,PlotNumber,0),MATCH(I$3,PlotTitles,0))),"",(DATEVALUE(INDEX(PlotData,MATCH($A278,PlotNumber,0),MATCH(I$3,PlotTitles,0))&amp;INDEX(PlotData,MATCH($A278,PlotNumber,0),MATCH(J$3,PlotTitles,0))))&lt;DATEVALUE(StartDateMonth&amp;StartDateYear),$AB$15,TRUE,"")</f>
        <v/>
      </c>
      <c r="M278" s="104" t="str" cm="1">
        <f t="array" ref="M278">_xlfn.IFS(OR(ISBLANK(StartDateMonth),ISBLANK(StartDateYear)),"",AND(A278&gt;NumberOfPlots,ISBLANK(INDEX(PlotData,MATCH($A278,PlotNumber,0),MATCH(B$3,PlotTitles,0)))),"",ISBLANK(INDEX(PlotData,MATCH($A278,PlotNumber,0),MATCH(I$3,PlotTitles,0))),"",CompletionMonth="","",(DATEVALUE(INDEX(PlotData,MATCH($A278,PlotNumber,0),MATCH(I$3,PlotTitles,0))&amp;INDEX(PlotData,MATCH($A278,PlotNumber,0),MATCH(J$3,PlotTitles,0))))&gt;(DATEVALUE(CompletionMonth&amp;CompletionYear)),$AB$16,TRUE,"")</f>
        <v/>
      </c>
      <c r="N278" s="104" t="str" cm="1">
        <f t="array" ref="N278">_xlfn.IFS(AND(A278&gt;NumberOfPlots,ISBLANK(INDEX(PlotData,MATCH($A278,PlotNumber,0),MATCH(B$3,PlotTitles,0)))),"",ISBLANK(INDEX(PlotData,MATCH($A278,PlotNumber,0),MATCH(N$3,PlotTitles,0))),$AB$17,TRUE,"")</f>
        <v/>
      </c>
      <c r="O278" s="104" t="str" cm="1">
        <f t="array" ref="O278">_xlfn.IFS(AND(A278&gt;NumberOfPlots,ISBLANK(INDEX(PlotData,MATCH($A278,PlotNumber,0),MATCH(B$3,PlotTitles,0)))),"",ISBLANK(INDEX(PlotData,MATCH($A278,PlotNumber,0),MATCH(O$3,PlotTitles,0))),$AB$18,TRUE,"")</f>
        <v/>
      </c>
      <c r="P278" s="182" t="str">
        <f t="shared" ca="1" si="13"/>
        <v/>
      </c>
      <c r="Q278" s="104" t="str" cm="1">
        <f t="array" ref="Q278">_xlfn.IFS(AND(A278&gt;NumberOfPlots,ISBLANK(INDEX(PlotData,MATCH($A278,PlotNumber,0),MATCH(B$3,PlotTitles,0)))),"",ISBLANK(INDEX(PlotData,MATCH($A278,PlotNumber,0),MATCH(N$3,PlotTitles,0))),"",(DATEVALUE(INDEX(PlotData,MATCH($A278,PlotNumber,0),MATCH(N$3,PlotTitles,0))&amp;INDEX(PlotData,MATCH($A278,PlotNumber,0),MATCH(O$3,PlotTitles,0))))&lt;(DATEVALUE(INDEX(PlotData,MATCH($A278,PlotNumber,0),MATCH(I$3,PlotTitles,0))&amp;INDEX(PlotData,MATCH($A278,PlotNumber,0),MATCH(J$3,PlotTitles,0)))),$AB$20,TRUE,"")</f>
        <v/>
      </c>
      <c r="R278" s="104" t="str" cm="1">
        <f t="array" ref="R278">_xlfn.IFS(OR(ISBLANK(StartDateMonth),ISBLANK(StartDateYear)),"",AND(A278&gt;NumberOfPlots,ISBLANK(INDEX(PlotData,MATCH($A278,PlotNumber,0),MATCH(B$3,PlotTitles,0)))),"",ISBLANK(INDEX(PlotData,MATCH($A278,PlotNumber,0),MATCH(N$3,PlotTitles,0))),"",CompletionMonth="","",(DATEVALUE(INDEX(PlotData,MATCH($A278,PlotNumber,0),MATCH(N$3,PlotTitles,0))&amp;INDEX(PlotData,MATCH($A278,PlotNumber,0),MATCH(O$3,PlotTitles,0))))&gt;(DATEVALUE(CompletionMonth&amp;CompletionYear)),$AB$21,TRUE,"")</f>
        <v/>
      </c>
      <c r="S278" s="104" t="str" cm="1">
        <f t="array" ref="S278">_xlfn.IFS(AND(A278&gt;NumberOfPlots,ISBLANK(INDEX(PlotData,MATCH($A278,PlotNumber,0),MATCH(B$3,PlotTitles,0)))),"",OR(AND(INDEX(PlotData,MATCH($A278,PlotNumber,0),MATCH("Tenure",PlotTitles,0))="Open market housing",INDEX(PlotData,MATCH($A278,PlotNumber,0),MATCH("Tenure detail",PlotTitles,0))="Private rented sector"),INDEX(PlotData,MATCH($A278,PlotNumber,0),MATCH("Tenure",PlotTitles,0))="Affordable rent"),"",ISNUMBER(INDEX(PlotData,MATCH($A278,PlotNumber,0),MATCH(S$3,PlotTitles,0)))=FALSE, $AB$22,TRUE,"")</f>
        <v/>
      </c>
      <c r="T278" s="104" t="str" cm="1">
        <f t="array" ref="T278">_xlfn.IFS(AND(A278&gt;NumberOfPlots,ISBLANK(INDEX(PlotData,MATCH($A278,PlotNumber,0),MATCH(B$3,PlotTitles,0)))),"",OR(AND(INDEX(PlotData,MATCH($A278,PlotNumber,0),MATCH("Tenure",PlotTitles,0))="Open market housing",INDEX(PlotData,MATCH($A278,PlotNumber,0),MATCH("Tenure detail",PlotTitles,0))="Private rented sector"),INDEX(PlotData,MATCH($A278,PlotNumber,0),MATCH("Tenure",PlotTitles,0))="Affordable rent"),"",INDEX(PlotData,MATCH($A278,PlotNumber,0),MATCH(S$3,PlotTitles,0))&lt;10000, $AB$23,TRUE,"")</f>
        <v/>
      </c>
      <c r="U278" s="104" t="str" cm="1">
        <f t="array" ref="U278">_xlfn.IFS(AND(A278&gt;NumberOfPlots,ISBLANK(INDEX(PlotData,MATCH($A278,PlotNumber,0),MATCH(B$3,PlotTitles,0)))),"",NOT(OR(AND(INDEX(PlotData,MATCH($A278,PlotNumber,0),MATCH("Tenure",PlotTitles,0))="Open market housing",INDEX(PlotData,MATCH($A278,PlotNumber,0),MATCH("Tenure detail",PlotTitles,0))="Private rented sector"),INDEX(PlotData,MATCH($A278,PlotNumber,0),MATCH("Tenure",PlotTitles,0))="Affordable rent")),"",NOT(INDEX(PlotData,MATCH($A278,PlotNumber,0),MATCH(S$3,PlotTitles,0))=0), $AB$24,TRUE,"")</f>
        <v/>
      </c>
      <c r="V278" s="114" t="str" cm="1">
        <f t="array" aca="1" ref="V278" ca="1">_xlfn.IFS(ISBLANK(NumberOfPlots),"Enter the number of homes on the 1_SetUp sheet",AND(A278&gt;NumberOfPlots,ISBLANK(INDEX(PlotData,MATCH($A278,PlotNumber,0),MATCH(B$3,PlotTitles,0)))),"No error",NOT(B278=""),B278,NOT(C278=""),C278,NOT(D278=""),D278,NOT(E278=""),E278,NOT(F278=""),F278,NOT(G278=""),G278,NOT(H278=""),H278,NOT(I278=""),I278,NOT(J278=""),J278,NOT(K278=""),K278,NOT(L278=""),L278,NOT(M278=""),M278,NOT(N278=""),N278,NOT(O278=""),O278,NOT(P278=""),P278,NOT(Q278=""),Q278,NOT(R278=""),R278,NOT(S278=""),S278,NOT(T278=""),T278,NOT(U278=""),U278,TRUE,"No error")</f>
        <v>Enter the number of homes on the 1_SetUp sheet</v>
      </c>
      <c r="W278" s="114" t="str">
        <f t="shared" ca="1" si="14"/>
        <v xml:space="preserve">The Borrower has not addressed the following error messages for Home ID 274: </v>
      </c>
    </row>
    <row r="279" spans="1:23">
      <c r="A279" s="123">
        <v>275</v>
      </c>
      <c r="B279" s="104" t="str" cm="1">
        <f t="array" ref="B279">_xlfn.IFS(AND(A279&gt;NumberOfPlots,ISBLANK(INDEX(PlotData,MATCH($A279,PlotNumber,0),MATCH(B$3,PlotTitles,0)))),"",ISNUMBER(INDEX(PlotData,MATCH($A279,PlotNumber,0),MATCH(B$3,PlotTitles,0)))=FALSE, $AB$5,TRUE,"")</f>
        <v/>
      </c>
      <c r="C279" s="104" t="str" cm="1">
        <f t="array" ref="C279">_xlfn.IFS(AND(A279&gt;NumberOfPlots,ISBLANK(INDEX(PlotData,MATCH($A279,PlotNumber,0),MATCH(B$3,PlotTitles,0)))),"",ISBLANK(INDEX(PlotData,MATCH($A279,PlotNumber,0),MATCH(C$3,PlotTitles,0))),$AB$6,TRUE,"")</f>
        <v/>
      </c>
      <c r="D279" s="104" t="str" cm="1">
        <f t="array" ref="D279">_xlfn.IFS(AND(A279&gt;NumberOfPlots,ISBLANK(INDEX(PlotData,MATCH($A279,PlotNumber,0),MATCH(B$3,PlotTitles,0)))),"",ISBLANK(INDEX(PlotData,MATCH($A279,PlotNumber,0),MATCH(D$3,PlotTitles,0))),$AB$7,TRUE,"")</f>
        <v/>
      </c>
      <c r="E279" s="104" t="str" cm="1">
        <f t="array" ref="E279">_xlfn.IFS(AND(A279&gt;NumberOfPlots,ISBLANK(INDEX(PlotData,MATCH($A279,PlotNumber,0),MATCH(B$3,PlotTitles,0)))),"",ISBLANK(INDEX(PlotData,MATCH($A279,PlotNumber,0),MATCH(E$3,PlotTitles,0))),$AB$8,TRUE,"")</f>
        <v/>
      </c>
      <c r="F279" s="104" t="str" cm="1">
        <f t="array" ref="F279">_xlfn.IFS(AND(A279&gt;NumberOfPlots,ISBLANK(INDEX(PlotData,MATCH($A279,PlotNumber,0),MATCH(B$3,PlotTitles,0)))),"",ISBLANK(INDEX(PlotData,MATCH($A279,PlotNumber,0),MATCH(F$3,PlotTitles,0))),$AB$9,TRUE,"")</f>
        <v/>
      </c>
      <c r="G279" s="104" t="str" cm="1">
        <f t="array" ref="G279">_xlfn.IFS(AND(A279&gt;NumberOfPlots,ISBLANK(INDEX(PlotData,MATCH($A279,PlotNumber,0),MATCH(B$3,PlotTitles,0)))),"",ISBLANK(INDEX(PlotData,MATCH($A279,PlotNumber,0),MATCH(G$3,PlotTitles,0))),$AB$10,TRUE,"")</f>
        <v/>
      </c>
      <c r="H279" s="104" t="str" cm="1">
        <f t="array" ref="H279">_xlfn.IFS(AND(A279&gt;NumberOfPlots,ISBLANK(INDEX(PlotData,MATCH($A279,PlotNumber,0),MATCH(B$3,PlotTitles,0)))),"",AND(ISBLANK(INDEX(PlotData,MATCH($A279,PlotNumber,0),MATCH(H$3,PlotTitles,0)))=FALSE,INDEX(PlotData,MATCH($A279,PlotNumber,0),MATCH(H$3,PlotTitles,0))&lt;500), $AB$11,TRUE,"")</f>
        <v/>
      </c>
      <c r="I279" s="104" t="str" cm="1">
        <f t="array" ref="I279">_xlfn.IFS(AND(A279&gt;NumberOfPlots,ISBLANK(INDEX(PlotData,MATCH($A279,PlotNumber,0),MATCH(B$3,PlotTitles,0)))),"",ISBLANK(INDEX(PlotData,MATCH($A279,PlotNumber,0),MATCH(I$3,PlotTitles,0))),$AB$12,TRUE,"")</f>
        <v/>
      </c>
      <c r="J279" s="104" t="str" cm="1">
        <f t="array" ref="J279">_xlfn.IFS(AND(A279&gt;NumberOfPlots,ISBLANK(INDEX(PlotData,MATCH($A279,PlotNumber,0),MATCH(B$3,PlotTitles,0)))),"",ISBLANK(INDEX(PlotData,MATCH($A279,PlotNumber,0),MATCH(J$3,PlotTitles,0))),$AB$13,TRUE,"")</f>
        <v/>
      </c>
      <c r="K279" s="182" t="str">
        <f t="shared" ca="1" si="12"/>
        <v/>
      </c>
      <c r="L279" s="104" t="str" cm="1">
        <f t="array" ref="L279">_xlfn.IFS(OR(ISBLANK(StartDateMonth),ISBLANK(StartDateYear)),"",AND(A279&gt;NumberOfPlots,ISBLANK(INDEX(PlotData,MATCH($A279,PlotNumber,0),MATCH(B$3,PlotTitles,0)))),"",ISBLANK(INDEX(PlotData,MATCH($A279,PlotNumber,0),MATCH(I$3,PlotTitles,0))),"",(DATEVALUE(INDEX(PlotData,MATCH($A279,PlotNumber,0),MATCH(I$3,PlotTitles,0))&amp;INDEX(PlotData,MATCH($A279,PlotNumber,0),MATCH(J$3,PlotTitles,0))))&lt;DATEVALUE(StartDateMonth&amp;StartDateYear),$AB$15,TRUE,"")</f>
        <v/>
      </c>
      <c r="M279" s="104" t="str" cm="1">
        <f t="array" ref="M279">_xlfn.IFS(OR(ISBLANK(StartDateMonth),ISBLANK(StartDateYear)),"",AND(A279&gt;NumberOfPlots,ISBLANK(INDEX(PlotData,MATCH($A279,PlotNumber,0),MATCH(B$3,PlotTitles,0)))),"",ISBLANK(INDEX(PlotData,MATCH($A279,PlotNumber,0),MATCH(I$3,PlotTitles,0))),"",CompletionMonth="","",(DATEVALUE(INDEX(PlotData,MATCH($A279,PlotNumber,0),MATCH(I$3,PlotTitles,0))&amp;INDEX(PlotData,MATCH($A279,PlotNumber,0),MATCH(J$3,PlotTitles,0))))&gt;(DATEVALUE(CompletionMonth&amp;CompletionYear)),$AB$16,TRUE,"")</f>
        <v/>
      </c>
      <c r="N279" s="104" t="str" cm="1">
        <f t="array" ref="N279">_xlfn.IFS(AND(A279&gt;NumberOfPlots,ISBLANK(INDEX(PlotData,MATCH($A279,PlotNumber,0),MATCH(B$3,PlotTitles,0)))),"",ISBLANK(INDEX(PlotData,MATCH($A279,PlotNumber,0),MATCH(N$3,PlotTitles,0))),$AB$17,TRUE,"")</f>
        <v/>
      </c>
      <c r="O279" s="104" t="str" cm="1">
        <f t="array" ref="O279">_xlfn.IFS(AND(A279&gt;NumberOfPlots,ISBLANK(INDEX(PlotData,MATCH($A279,PlotNumber,0),MATCH(B$3,PlotTitles,0)))),"",ISBLANK(INDEX(PlotData,MATCH($A279,PlotNumber,0),MATCH(O$3,PlotTitles,0))),$AB$18,TRUE,"")</f>
        <v/>
      </c>
      <c r="P279" s="182" t="str">
        <f t="shared" ca="1" si="13"/>
        <v/>
      </c>
      <c r="Q279" s="104" t="str" cm="1">
        <f t="array" ref="Q279">_xlfn.IFS(AND(A279&gt;NumberOfPlots,ISBLANK(INDEX(PlotData,MATCH($A279,PlotNumber,0),MATCH(B$3,PlotTitles,0)))),"",ISBLANK(INDEX(PlotData,MATCH($A279,PlotNumber,0),MATCH(N$3,PlotTitles,0))),"",(DATEVALUE(INDEX(PlotData,MATCH($A279,PlotNumber,0),MATCH(N$3,PlotTitles,0))&amp;INDEX(PlotData,MATCH($A279,PlotNumber,0),MATCH(O$3,PlotTitles,0))))&lt;(DATEVALUE(INDEX(PlotData,MATCH($A279,PlotNumber,0),MATCH(I$3,PlotTitles,0))&amp;INDEX(PlotData,MATCH($A279,PlotNumber,0),MATCH(J$3,PlotTitles,0)))),$AB$20,TRUE,"")</f>
        <v/>
      </c>
      <c r="R279" s="104" t="str" cm="1">
        <f t="array" ref="R279">_xlfn.IFS(OR(ISBLANK(StartDateMonth),ISBLANK(StartDateYear)),"",AND(A279&gt;NumberOfPlots,ISBLANK(INDEX(PlotData,MATCH($A279,PlotNumber,0),MATCH(B$3,PlotTitles,0)))),"",ISBLANK(INDEX(PlotData,MATCH($A279,PlotNumber,0),MATCH(N$3,PlotTitles,0))),"",CompletionMonth="","",(DATEVALUE(INDEX(PlotData,MATCH($A279,PlotNumber,0),MATCH(N$3,PlotTitles,0))&amp;INDEX(PlotData,MATCH($A279,PlotNumber,0),MATCH(O$3,PlotTitles,0))))&gt;(DATEVALUE(CompletionMonth&amp;CompletionYear)),$AB$21,TRUE,"")</f>
        <v/>
      </c>
      <c r="S279" s="104" t="str" cm="1">
        <f t="array" ref="S279">_xlfn.IFS(AND(A279&gt;NumberOfPlots,ISBLANK(INDEX(PlotData,MATCH($A279,PlotNumber,0),MATCH(B$3,PlotTitles,0)))),"",OR(AND(INDEX(PlotData,MATCH($A279,PlotNumber,0),MATCH("Tenure",PlotTitles,0))="Open market housing",INDEX(PlotData,MATCH($A279,PlotNumber,0),MATCH("Tenure detail",PlotTitles,0))="Private rented sector"),INDEX(PlotData,MATCH($A279,PlotNumber,0),MATCH("Tenure",PlotTitles,0))="Affordable rent"),"",ISNUMBER(INDEX(PlotData,MATCH($A279,PlotNumber,0),MATCH(S$3,PlotTitles,0)))=FALSE, $AB$22,TRUE,"")</f>
        <v/>
      </c>
      <c r="T279" s="104" t="str" cm="1">
        <f t="array" ref="T279">_xlfn.IFS(AND(A279&gt;NumberOfPlots,ISBLANK(INDEX(PlotData,MATCH($A279,PlotNumber,0),MATCH(B$3,PlotTitles,0)))),"",OR(AND(INDEX(PlotData,MATCH($A279,PlotNumber,0),MATCH("Tenure",PlotTitles,0))="Open market housing",INDEX(PlotData,MATCH($A279,PlotNumber,0),MATCH("Tenure detail",PlotTitles,0))="Private rented sector"),INDEX(PlotData,MATCH($A279,PlotNumber,0),MATCH("Tenure",PlotTitles,0))="Affordable rent"),"",INDEX(PlotData,MATCH($A279,PlotNumber,0),MATCH(S$3,PlotTitles,0))&lt;10000, $AB$23,TRUE,"")</f>
        <v/>
      </c>
      <c r="U279" s="104" t="str" cm="1">
        <f t="array" ref="U279">_xlfn.IFS(AND(A279&gt;NumberOfPlots,ISBLANK(INDEX(PlotData,MATCH($A279,PlotNumber,0),MATCH(B$3,PlotTitles,0)))),"",NOT(OR(AND(INDEX(PlotData,MATCH($A279,PlotNumber,0),MATCH("Tenure",PlotTitles,0))="Open market housing",INDEX(PlotData,MATCH($A279,PlotNumber,0),MATCH("Tenure detail",PlotTitles,0))="Private rented sector"),INDEX(PlotData,MATCH($A279,PlotNumber,0),MATCH("Tenure",PlotTitles,0))="Affordable rent")),"",NOT(INDEX(PlotData,MATCH($A279,PlotNumber,0),MATCH(S$3,PlotTitles,0))=0), $AB$24,TRUE,"")</f>
        <v/>
      </c>
      <c r="V279" s="114" t="str" cm="1">
        <f t="array" aca="1" ref="V279" ca="1">_xlfn.IFS(ISBLANK(NumberOfPlots),"Enter the number of homes on the 1_SetUp sheet",AND(A279&gt;NumberOfPlots,ISBLANK(INDEX(PlotData,MATCH($A279,PlotNumber,0),MATCH(B$3,PlotTitles,0)))),"No error",NOT(B279=""),B279,NOT(C279=""),C279,NOT(D279=""),D279,NOT(E279=""),E279,NOT(F279=""),F279,NOT(G279=""),G279,NOT(H279=""),H279,NOT(I279=""),I279,NOT(J279=""),J279,NOT(K279=""),K279,NOT(L279=""),L279,NOT(M279=""),M279,NOT(N279=""),N279,NOT(O279=""),O279,NOT(P279=""),P279,NOT(Q279=""),Q279,NOT(R279=""),R279,NOT(S279=""),S279,NOT(T279=""),T279,NOT(U279=""),U279,TRUE,"No error")</f>
        <v>Enter the number of homes on the 1_SetUp sheet</v>
      </c>
      <c r="W279" s="114" t="str">
        <f t="shared" ca="1" si="14"/>
        <v xml:space="preserve">The Borrower has not addressed the following error messages for Home ID 275: </v>
      </c>
    </row>
    <row r="280" spans="1:23">
      <c r="A280" s="123">
        <v>276</v>
      </c>
      <c r="B280" s="104" t="str" cm="1">
        <f t="array" ref="B280">_xlfn.IFS(AND(A280&gt;NumberOfPlots,ISBLANK(INDEX(PlotData,MATCH($A280,PlotNumber,0),MATCH(B$3,PlotTitles,0)))),"",ISNUMBER(INDEX(PlotData,MATCH($A280,PlotNumber,0),MATCH(B$3,PlotTitles,0)))=FALSE, $AB$5,TRUE,"")</f>
        <v/>
      </c>
      <c r="C280" s="104" t="str" cm="1">
        <f t="array" ref="C280">_xlfn.IFS(AND(A280&gt;NumberOfPlots,ISBLANK(INDEX(PlotData,MATCH($A280,PlotNumber,0),MATCH(B$3,PlotTitles,0)))),"",ISBLANK(INDEX(PlotData,MATCH($A280,PlotNumber,0),MATCH(C$3,PlotTitles,0))),$AB$6,TRUE,"")</f>
        <v/>
      </c>
      <c r="D280" s="104" t="str" cm="1">
        <f t="array" ref="D280">_xlfn.IFS(AND(A280&gt;NumberOfPlots,ISBLANK(INDEX(PlotData,MATCH($A280,PlotNumber,0),MATCH(B$3,PlotTitles,0)))),"",ISBLANK(INDEX(PlotData,MATCH($A280,PlotNumber,0),MATCH(D$3,PlotTitles,0))),$AB$7,TRUE,"")</f>
        <v/>
      </c>
      <c r="E280" s="104" t="str" cm="1">
        <f t="array" ref="E280">_xlfn.IFS(AND(A280&gt;NumberOfPlots,ISBLANK(INDEX(PlotData,MATCH($A280,PlotNumber,0),MATCH(B$3,PlotTitles,0)))),"",ISBLANK(INDEX(PlotData,MATCH($A280,PlotNumber,0),MATCH(E$3,PlotTitles,0))),$AB$8,TRUE,"")</f>
        <v/>
      </c>
      <c r="F280" s="104" t="str" cm="1">
        <f t="array" ref="F280">_xlfn.IFS(AND(A280&gt;NumberOfPlots,ISBLANK(INDEX(PlotData,MATCH($A280,PlotNumber,0),MATCH(B$3,PlotTitles,0)))),"",ISBLANK(INDEX(PlotData,MATCH($A280,PlotNumber,0),MATCH(F$3,PlotTitles,0))),$AB$9,TRUE,"")</f>
        <v/>
      </c>
      <c r="G280" s="104" t="str" cm="1">
        <f t="array" ref="G280">_xlfn.IFS(AND(A280&gt;NumberOfPlots,ISBLANK(INDEX(PlotData,MATCH($A280,PlotNumber,0),MATCH(B$3,PlotTitles,0)))),"",ISBLANK(INDEX(PlotData,MATCH($A280,PlotNumber,0),MATCH(G$3,PlotTitles,0))),$AB$10,TRUE,"")</f>
        <v/>
      </c>
      <c r="H280" s="104" t="str" cm="1">
        <f t="array" ref="H280">_xlfn.IFS(AND(A280&gt;NumberOfPlots,ISBLANK(INDEX(PlotData,MATCH($A280,PlotNumber,0),MATCH(B$3,PlotTitles,0)))),"",AND(ISBLANK(INDEX(PlotData,MATCH($A280,PlotNumber,0),MATCH(H$3,PlotTitles,0)))=FALSE,INDEX(PlotData,MATCH($A280,PlotNumber,0),MATCH(H$3,PlotTitles,0))&lt;500), $AB$11,TRUE,"")</f>
        <v/>
      </c>
      <c r="I280" s="104" t="str" cm="1">
        <f t="array" ref="I280">_xlfn.IFS(AND(A280&gt;NumberOfPlots,ISBLANK(INDEX(PlotData,MATCH($A280,PlotNumber,0),MATCH(B$3,PlotTitles,0)))),"",ISBLANK(INDEX(PlotData,MATCH($A280,PlotNumber,0),MATCH(I$3,PlotTitles,0))),$AB$12,TRUE,"")</f>
        <v/>
      </c>
      <c r="J280" s="104" t="str" cm="1">
        <f t="array" ref="J280">_xlfn.IFS(AND(A280&gt;NumberOfPlots,ISBLANK(INDEX(PlotData,MATCH($A280,PlotNumber,0),MATCH(B$3,PlotTitles,0)))),"",ISBLANK(INDEX(PlotData,MATCH($A280,PlotNumber,0),MATCH(J$3,PlotTitles,0))),$AB$13,TRUE,"")</f>
        <v/>
      </c>
      <c r="K280" s="182" t="str">
        <f t="shared" ca="1" si="12"/>
        <v/>
      </c>
      <c r="L280" s="104" t="str" cm="1">
        <f t="array" ref="L280">_xlfn.IFS(OR(ISBLANK(StartDateMonth),ISBLANK(StartDateYear)),"",AND(A280&gt;NumberOfPlots,ISBLANK(INDEX(PlotData,MATCH($A280,PlotNumber,0),MATCH(B$3,PlotTitles,0)))),"",ISBLANK(INDEX(PlotData,MATCH($A280,PlotNumber,0),MATCH(I$3,PlotTitles,0))),"",(DATEVALUE(INDEX(PlotData,MATCH($A280,PlotNumber,0),MATCH(I$3,PlotTitles,0))&amp;INDEX(PlotData,MATCH($A280,PlotNumber,0),MATCH(J$3,PlotTitles,0))))&lt;DATEVALUE(StartDateMonth&amp;StartDateYear),$AB$15,TRUE,"")</f>
        <v/>
      </c>
      <c r="M280" s="104" t="str" cm="1">
        <f t="array" ref="M280">_xlfn.IFS(OR(ISBLANK(StartDateMonth),ISBLANK(StartDateYear)),"",AND(A280&gt;NumberOfPlots,ISBLANK(INDEX(PlotData,MATCH($A280,PlotNumber,0),MATCH(B$3,PlotTitles,0)))),"",ISBLANK(INDEX(PlotData,MATCH($A280,PlotNumber,0),MATCH(I$3,PlotTitles,0))),"",CompletionMonth="","",(DATEVALUE(INDEX(PlotData,MATCH($A280,PlotNumber,0),MATCH(I$3,PlotTitles,0))&amp;INDEX(PlotData,MATCH($A280,PlotNumber,0),MATCH(J$3,PlotTitles,0))))&gt;(DATEVALUE(CompletionMonth&amp;CompletionYear)),$AB$16,TRUE,"")</f>
        <v/>
      </c>
      <c r="N280" s="104" t="str" cm="1">
        <f t="array" ref="N280">_xlfn.IFS(AND(A280&gt;NumberOfPlots,ISBLANK(INDEX(PlotData,MATCH($A280,PlotNumber,0),MATCH(B$3,PlotTitles,0)))),"",ISBLANK(INDEX(PlotData,MATCH($A280,PlotNumber,0),MATCH(N$3,PlotTitles,0))),$AB$17,TRUE,"")</f>
        <v/>
      </c>
      <c r="O280" s="104" t="str" cm="1">
        <f t="array" ref="O280">_xlfn.IFS(AND(A280&gt;NumberOfPlots,ISBLANK(INDEX(PlotData,MATCH($A280,PlotNumber,0),MATCH(B$3,PlotTitles,0)))),"",ISBLANK(INDEX(PlotData,MATCH($A280,PlotNumber,0),MATCH(O$3,PlotTitles,0))),$AB$18,TRUE,"")</f>
        <v/>
      </c>
      <c r="P280" s="182" t="str">
        <f t="shared" ca="1" si="13"/>
        <v/>
      </c>
      <c r="Q280" s="104" t="str" cm="1">
        <f t="array" ref="Q280">_xlfn.IFS(AND(A280&gt;NumberOfPlots,ISBLANK(INDEX(PlotData,MATCH($A280,PlotNumber,0),MATCH(B$3,PlotTitles,0)))),"",ISBLANK(INDEX(PlotData,MATCH($A280,PlotNumber,0),MATCH(N$3,PlotTitles,0))),"",(DATEVALUE(INDEX(PlotData,MATCH($A280,PlotNumber,0),MATCH(N$3,PlotTitles,0))&amp;INDEX(PlotData,MATCH($A280,PlotNumber,0),MATCH(O$3,PlotTitles,0))))&lt;(DATEVALUE(INDEX(PlotData,MATCH($A280,PlotNumber,0),MATCH(I$3,PlotTitles,0))&amp;INDEX(PlotData,MATCH($A280,PlotNumber,0),MATCH(J$3,PlotTitles,0)))),$AB$20,TRUE,"")</f>
        <v/>
      </c>
      <c r="R280" s="104" t="str" cm="1">
        <f t="array" ref="R280">_xlfn.IFS(OR(ISBLANK(StartDateMonth),ISBLANK(StartDateYear)),"",AND(A280&gt;NumberOfPlots,ISBLANK(INDEX(PlotData,MATCH($A280,PlotNumber,0),MATCH(B$3,PlotTitles,0)))),"",ISBLANK(INDEX(PlotData,MATCH($A280,PlotNumber,0),MATCH(N$3,PlotTitles,0))),"",CompletionMonth="","",(DATEVALUE(INDEX(PlotData,MATCH($A280,PlotNumber,0),MATCH(N$3,PlotTitles,0))&amp;INDEX(PlotData,MATCH($A280,PlotNumber,0),MATCH(O$3,PlotTitles,0))))&gt;(DATEVALUE(CompletionMonth&amp;CompletionYear)),$AB$21,TRUE,"")</f>
        <v/>
      </c>
      <c r="S280" s="104" t="str" cm="1">
        <f t="array" ref="S280">_xlfn.IFS(AND(A280&gt;NumberOfPlots,ISBLANK(INDEX(PlotData,MATCH($A280,PlotNumber,0),MATCH(B$3,PlotTitles,0)))),"",OR(AND(INDEX(PlotData,MATCH($A280,PlotNumber,0),MATCH("Tenure",PlotTitles,0))="Open market housing",INDEX(PlotData,MATCH($A280,PlotNumber,0),MATCH("Tenure detail",PlotTitles,0))="Private rented sector"),INDEX(PlotData,MATCH($A280,PlotNumber,0),MATCH("Tenure",PlotTitles,0))="Affordable rent"),"",ISNUMBER(INDEX(PlotData,MATCH($A280,PlotNumber,0),MATCH(S$3,PlotTitles,0)))=FALSE, $AB$22,TRUE,"")</f>
        <v/>
      </c>
      <c r="T280" s="104" t="str" cm="1">
        <f t="array" ref="T280">_xlfn.IFS(AND(A280&gt;NumberOfPlots,ISBLANK(INDEX(PlotData,MATCH($A280,PlotNumber,0),MATCH(B$3,PlotTitles,0)))),"",OR(AND(INDEX(PlotData,MATCH($A280,PlotNumber,0),MATCH("Tenure",PlotTitles,0))="Open market housing",INDEX(PlotData,MATCH($A280,PlotNumber,0),MATCH("Tenure detail",PlotTitles,0))="Private rented sector"),INDEX(PlotData,MATCH($A280,PlotNumber,0),MATCH("Tenure",PlotTitles,0))="Affordable rent"),"",INDEX(PlotData,MATCH($A280,PlotNumber,0),MATCH(S$3,PlotTitles,0))&lt;10000, $AB$23,TRUE,"")</f>
        <v/>
      </c>
      <c r="U280" s="104" t="str" cm="1">
        <f t="array" ref="U280">_xlfn.IFS(AND(A280&gt;NumberOfPlots,ISBLANK(INDEX(PlotData,MATCH($A280,PlotNumber,0),MATCH(B$3,PlotTitles,0)))),"",NOT(OR(AND(INDEX(PlotData,MATCH($A280,PlotNumber,0),MATCH("Tenure",PlotTitles,0))="Open market housing",INDEX(PlotData,MATCH($A280,PlotNumber,0),MATCH("Tenure detail",PlotTitles,0))="Private rented sector"),INDEX(PlotData,MATCH($A280,PlotNumber,0),MATCH("Tenure",PlotTitles,0))="Affordable rent")),"",NOT(INDEX(PlotData,MATCH($A280,PlotNumber,0),MATCH(S$3,PlotTitles,0))=0), $AB$24,TRUE,"")</f>
        <v/>
      </c>
      <c r="V280" s="114" t="str" cm="1">
        <f t="array" aca="1" ref="V280" ca="1">_xlfn.IFS(ISBLANK(NumberOfPlots),"Enter the number of homes on the 1_SetUp sheet",AND(A280&gt;NumberOfPlots,ISBLANK(INDEX(PlotData,MATCH($A280,PlotNumber,0),MATCH(B$3,PlotTitles,0)))),"No error",NOT(B280=""),B280,NOT(C280=""),C280,NOT(D280=""),D280,NOT(E280=""),E280,NOT(F280=""),F280,NOT(G280=""),G280,NOT(H280=""),H280,NOT(I280=""),I280,NOT(J280=""),J280,NOT(K280=""),K280,NOT(L280=""),L280,NOT(M280=""),M280,NOT(N280=""),N280,NOT(O280=""),O280,NOT(P280=""),P280,NOT(Q280=""),Q280,NOT(R280=""),R280,NOT(S280=""),S280,NOT(T280=""),T280,NOT(U280=""),U280,TRUE,"No error")</f>
        <v>Enter the number of homes on the 1_SetUp sheet</v>
      </c>
      <c r="W280" s="114" t="str">
        <f t="shared" ca="1" si="14"/>
        <v xml:space="preserve">The Borrower has not addressed the following error messages for Home ID 276: </v>
      </c>
    </row>
    <row r="281" spans="1:23">
      <c r="A281" s="123">
        <v>277</v>
      </c>
      <c r="B281" s="104" t="str" cm="1">
        <f t="array" ref="B281">_xlfn.IFS(AND(A281&gt;NumberOfPlots,ISBLANK(INDEX(PlotData,MATCH($A281,PlotNumber,0),MATCH(B$3,PlotTitles,0)))),"",ISNUMBER(INDEX(PlotData,MATCH($A281,PlotNumber,0),MATCH(B$3,PlotTitles,0)))=FALSE, $AB$5,TRUE,"")</f>
        <v/>
      </c>
      <c r="C281" s="104" t="str" cm="1">
        <f t="array" ref="C281">_xlfn.IFS(AND(A281&gt;NumberOfPlots,ISBLANK(INDEX(PlotData,MATCH($A281,PlotNumber,0),MATCH(B$3,PlotTitles,0)))),"",ISBLANK(INDEX(PlotData,MATCH($A281,PlotNumber,0),MATCH(C$3,PlotTitles,0))),$AB$6,TRUE,"")</f>
        <v/>
      </c>
      <c r="D281" s="104" t="str" cm="1">
        <f t="array" ref="D281">_xlfn.IFS(AND(A281&gt;NumberOfPlots,ISBLANK(INDEX(PlotData,MATCH($A281,PlotNumber,0),MATCH(B$3,PlotTitles,0)))),"",ISBLANK(INDEX(PlotData,MATCH($A281,PlotNumber,0),MATCH(D$3,PlotTitles,0))),$AB$7,TRUE,"")</f>
        <v/>
      </c>
      <c r="E281" s="104" t="str" cm="1">
        <f t="array" ref="E281">_xlfn.IFS(AND(A281&gt;NumberOfPlots,ISBLANK(INDEX(PlotData,MATCH($A281,PlotNumber,0),MATCH(B$3,PlotTitles,0)))),"",ISBLANK(INDEX(PlotData,MATCH($A281,PlotNumber,0),MATCH(E$3,PlotTitles,0))),$AB$8,TRUE,"")</f>
        <v/>
      </c>
      <c r="F281" s="104" t="str" cm="1">
        <f t="array" ref="F281">_xlfn.IFS(AND(A281&gt;NumberOfPlots,ISBLANK(INDEX(PlotData,MATCH($A281,PlotNumber,0),MATCH(B$3,PlotTitles,0)))),"",ISBLANK(INDEX(PlotData,MATCH($A281,PlotNumber,0),MATCH(F$3,PlotTitles,0))),$AB$9,TRUE,"")</f>
        <v/>
      </c>
      <c r="G281" s="104" t="str" cm="1">
        <f t="array" ref="G281">_xlfn.IFS(AND(A281&gt;NumberOfPlots,ISBLANK(INDEX(PlotData,MATCH($A281,PlotNumber,0),MATCH(B$3,PlotTitles,0)))),"",ISBLANK(INDEX(PlotData,MATCH($A281,PlotNumber,0),MATCH(G$3,PlotTitles,0))),$AB$10,TRUE,"")</f>
        <v/>
      </c>
      <c r="H281" s="104" t="str" cm="1">
        <f t="array" ref="H281">_xlfn.IFS(AND(A281&gt;NumberOfPlots,ISBLANK(INDEX(PlotData,MATCH($A281,PlotNumber,0),MATCH(B$3,PlotTitles,0)))),"",AND(ISBLANK(INDEX(PlotData,MATCH($A281,PlotNumber,0),MATCH(H$3,PlotTitles,0)))=FALSE,INDEX(PlotData,MATCH($A281,PlotNumber,0),MATCH(H$3,PlotTitles,0))&lt;500), $AB$11,TRUE,"")</f>
        <v/>
      </c>
      <c r="I281" s="104" t="str" cm="1">
        <f t="array" ref="I281">_xlfn.IFS(AND(A281&gt;NumberOfPlots,ISBLANK(INDEX(PlotData,MATCH($A281,PlotNumber,0),MATCH(B$3,PlotTitles,0)))),"",ISBLANK(INDEX(PlotData,MATCH($A281,PlotNumber,0),MATCH(I$3,PlotTitles,0))),$AB$12,TRUE,"")</f>
        <v/>
      </c>
      <c r="J281" s="104" t="str" cm="1">
        <f t="array" ref="J281">_xlfn.IFS(AND(A281&gt;NumberOfPlots,ISBLANK(INDEX(PlotData,MATCH($A281,PlotNumber,0),MATCH(B$3,PlotTitles,0)))),"",ISBLANK(INDEX(PlotData,MATCH($A281,PlotNumber,0),MATCH(J$3,PlotTitles,0))),$AB$13,TRUE,"")</f>
        <v/>
      </c>
      <c r="K281" s="182" t="str">
        <f t="shared" ca="1" si="12"/>
        <v/>
      </c>
      <c r="L281" s="104" t="str" cm="1">
        <f t="array" ref="L281">_xlfn.IFS(OR(ISBLANK(StartDateMonth),ISBLANK(StartDateYear)),"",AND(A281&gt;NumberOfPlots,ISBLANK(INDEX(PlotData,MATCH($A281,PlotNumber,0),MATCH(B$3,PlotTitles,0)))),"",ISBLANK(INDEX(PlotData,MATCH($A281,PlotNumber,0),MATCH(I$3,PlotTitles,0))),"",(DATEVALUE(INDEX(PlotData,MATCH($A281,PlotNumber,0),MATCH(I$3,PlotTitles,0))&amp;INDEX(PlotData,MATCH($A281,PlotNumber,0),MATCH(J$3,PlotTitles,0))))&lt;DATEVALUE(StartDateMonth&amp;StartDateYear),$AB$15,TRUE,"")</f>
        <v/>
      </c>
      <c r="M281" s="104" t="str" cm="1">
        <f t="array" ref="M281">_xlfn.IFS(OR(ISBLANK(StartDateMonth),ISBLANK(StartDateYear)),"",AND(A281&gt;NumberOfPlots,ISBLANK(INDEX(PlotData,MATCH($A281,PlotNumber,0),MATCH(B$3,PlotTitles,0)))),"",ISBLANK(INDEX(PlotData,MATCH($A281,PlotNumber,0),MATCH(I$3,PlotTitles,0))),"",CompletionMonth="","",(DATEVALUE(INDEX(PlotData,MATCH($A281,PlotNumber,0),MATCH(I$3,PlotTitles,0))&amp;INDEX(PlotData,MATCH($A281,PlotNumber,0),MATCH(J$3,PlotTitles,0))))&gt;(DATEVALUE(CompletionMonth&amp;CompletionYear)),$AB$16,TRUE,"")</f>
        <v/>
      </c>
      <c r="N281" s="104" t="str" cm="1">
        <f t="array" ref="N281">_xlfn.IFS(AND(A281&gt;NumberOfPlots,ISBLANK(INDEX(PlotData,MATCH($A281,PlotNumber,0),MATCH(B$3,PlotTitles,0)))),"",ISBLANK(INDEX(PlotData,MATCH($A281,PlotNumber,0),MATCH(N$3,PlotTitles,0))),$AB$17,TRUE,"")</f>
        <v/>
      </c>
      <c r="O281" s="104" t="str" cm="1">
        <f t="array" ref="O281">_xlfn.IFS(AND(A281&gt;NumberOfPlots,ISBLANK(INDEX(PlotData,MATCH($A281,PlotNumber,0),MATCH(B$3,PlotTitles,0)))),"",ISBLANK(INDEX(PlotData,MATCH($A281,PlotNumber,0),MATCH(O$3,PlotTitles,0))),$AB$18,TRUE,"")</f>
        <v/>
      </c>
      <c r="P281" s="182" t="str">
        <f t="shared" ca="1" si="13"/>
        <v/>
      </c>
      <c r="Q281" s="104" t="str" cm="1">
        <f t="array" ref="Q281">_xlfn.IFS(AND(A281&gt;NumberOfPlots,ISBLANK(INDEX(PlotData,MATCH($A281,PlotNumber,0),MATCH(B$3,PlotTitles,0)))),"",ISBLANK(INDEX(PlotData,MATCH($A281,PlotNumber,0),MATCH(N$3,PlotTitles,0))),"",(DATEVALUE(INDEX(PlotData,MATCH($A281,PlotNumber,0),MATCH(N$3,PlotTitles,0))&amp;INDEX(PlotData,MATCH($A281,PlotNumber,0),MATCH(O$3,PlotTitles,0))))&lt;(DATEVALUE(INDEX(PlotData,MATCH($A281,PlotNumber,0),MATCH(I$3,PlotTitles,0))&amp;INDEX(PlotData,MATCH($A281,PlotNumber,0),MATCH(J$3,PlotTitles,0)))),$AB$20,TRUE,"")</f>
        <v/>
      </c>
      <c r="R281" s="104" t="str" cm="1">
        <f t="array" ref="R281">_xlfn.IFS(OR(ISBLANK(StartDateMonth),ISBLANK(StartDateYear)),"",AND(A281&gt;NumberOfPlots,ISBLANK(INDEX(PlotData,MATCH($A281,PlotNumber,0),MATCH(B$3,PlotTitles,0)))),"",ISBLANK(INDEX(PlotData,MATCH($A281,PlotNumber,0),MATCH(N$3,PlotTitles,0))),"",CompletionMonth="","",(DATEVALUE(INDEX(PlotData,MATCH($A281,PlotNumber,0),MATCH(N$3,PlotTitles,0))&amp;INDEX(PlotData,MATCH($A281,PlotNumber,0),MATCH(O$3,PlotTitles,0))))&gt;(DATEVALUE(CompletionMonth&amp;CompletionYear)),$AB$21,TRUE,"")</f>
        <v/>
      </c>
      <c r="S281" s="104" t="str" cm="1">
        <f t="array" ref="S281">_xlfn.IFS(AND(A281&gt;NumberOfPlots,ISBLANK(INDEX(PlotData,MATCH($A281,PlotNumber,0),MATCH(B$3,PlotTitles,0)))),"",OR(AND(INDEX(PlotData,MATCH($A281,PlotNumber,0),MATCH("Tenure",PlotTitles,0))="Open market housing",INDEX(PlotData,MATCH($A281,PlotNumber,0),MATCH("Tenure detail",PlotTitles,0))="Private rented sector"),INDEX(PlotData,MATCH($A281,PlotNumber,0),MATCH("Tenure",PlotTitles,0))="Affordable rent"),"",ISNUMBER(INDEX(PlotData,MATCH($A281,PlotNumber,0),MATCH(S$3,PlotTitles,0)))=FALSE, $AB$22,TRUE,"")</f>
        <v/>
      </c>
      <c r="T281" s="104" t="str" cm="1">
        <f t="array" ref="T281">_xlfn.IFS(AND(A281&gt;NumberOfPlots,ISBLANK(INDEX(PlotData,MATCH($A281,PlotNumber,0),MATCH(B$3,PlotTitles,0)))),"",OR(AND(INDEX(PlotData,MATCH($A281,PlotNumber,0),MATCH("Tenure",PlotTitles,0))="Open market housing",INDEX(PlotData,MATCH($A281,PlotNumber,0),MATCH("Tenure detail",PlotTitles,0))="Private rented sector"),INDEX(PlotData,MATCH($A281,PlotNumber,0),MATCH("Tenure",PlotTitles,0))="Affordable rent"),"",INDEX(PlotData,MATCH($A281,PlotNumber,0),MATCH(S$3,PlotTitles,0))&lt;10000, $AB$23,TRUE,"")</f>
        <v/>
      </c>
      <c r="U281" s="104" t="str" cm="1">
        <f t="array" ref="U281">_xlfn.IFS(AND(A281&gt;NumberOfPlots,ISBLANK(INDEX(PlotData,MATCH($A281,PlotNumber,0),MATCH(B$3,PlotTitles,0)))),"",NOT(OR(AND(INDEX(PlotData,MATCH($A281,PlotNumber,0),MATCH("Tenure",PlotTitles,0))="Open market housing",INDEX(PlotData,MATCH($A281,PlotNumber,0),MATCH("Tenure detail",PlotTitles,0))="Private rented sector"),INDEX(PlotData,MATCH($A281,PlotNumber,0),MATCH("Tenure",PlotTitles,0))="Affordable rent")),"",NOT(INDEX(PlotData,MATCH($A281,PlotNumber,0),MATCH(S$3,PlotTitles,0))=0), $AB$24,TRUE,"")</f>
        <v/>
      </c>
      <c r="V281" s="114" t="str" cm="1">
        <f t="array" aca="1" ref="V281" ca="1">_xlfn.IFS(ISBLANK(NumberOfPlots),"Enter the number of homes on the 1_SetUp sheet",AND(A281&gt;NumberOfPlots,ISBLANK(INDEX(PlotData,MATCH($A281,PlotNumber,0),MATCH(B$3,PlotTitles,0)))),"No error",NOT(B281=""),B281,NOT(C281=""),C281,NOT(D281=""),D281,NOT(E281=""),E281,NOT(F281=""),F281,NOT(G281=""),G281,NOT(H281=""),H281,NOT(I281=""),I281,NOT(J281=""),J281,NOT(K281=""),K281,NOT(L281=""),L281,NOT(M281=""),M281,NOT(N281=""),N281,NOT(O281=""),O281,NOT(P281=""),P281,NOT(Q281=""),Q281,NOT(R281=""),R281,NOT(S281=""),S281,NOT(T281=""),T281,NOT(U281=""),U281,TRUE,"No error")</f>
        <v>Enter the number of homes on the 1_SetUp sheet</v>
      </c>
      <c r="W281" s="114" t="str">
        <f t="shared" ca="1" si="14"/>
        <v xml:space="preserve">The Borrower has not addressed the following error messages for Home ID 277: </v>
      </c>
    </row>
    <row r="282" spans="1:23">
      <c r="A282" s="123">
        <v>278</v>
      </c>
      <c r="B282" s="104" t="str" cm="1">
        <f t="array" ref="B282">_xlfn.IFS(AND(A282&gt;NumberOfPlots,ISBLANK(INDEX(PlotData,MATCH($A282,PlotNumber,0),MATCH(B$3,PlotTitles,0)))),"",ISNUMBER(INDEX(PlotData,MATCH($A282,PlotNumber,0),MATCH(B$3,PlotTitles,0)))=FALSE, $AB$5,TRUE,"")</f>
        <v/>
      </c>
      <c r="C282" s="104" t="str" cm="1">
        <f t="array" ref="C282">_xlfn.IFS(AND(A282&gt;NumberOfPlots,ISBLANK(INDEX(PlotData,MATCH($A282,PlotNumber,0),MATCH(B$3,PlotTitles,0)))),"",ISBLANK(INDEX(PlotData,MATCH($A282,PlotNumber,0),MATCH(C$3,PlotTitles,0))),$AB$6,TRUE,"")</f>
        <v/>
      </c>
      <c r="D282" s="104" t="str" cm="1">
        <f t="array" ref="D282">_xlfn.IFS(AND(A282&gt;NumberOfPlots,ISBLANK(INDEX(PlotData,MATCH($A282,PlotNumber,0),MATCH(B$3,PlotTitles,0)))),"",ISBLANK(INDEX(PlotData,MATCH($A282,PlotNumber,0),MATCH(D$3,PlotTitles,0))),$AB$7,TRUE,"")</f>
        <v/>
      </c>
      <c r="E282" s="104" t="str" cm="1">
        <f t="array" ref="E282">_xlfn.IFS(AND(A282&gt;NumberOfPlots,ISBLANK(INDEX(PlotData,MATCH($A282,PlotNumber,0),MATCH(B$3,PlotTitles,0)))),"",ISBLANK(INDEX(PlotData,MATCH($A282,PlotNumber,0),MATCH(E$3,PlotTitles,0))),$AB$8,TRUE,"")</f>
        <v/>
      </c>
      <c r="F282" s="104" t="str" cm="1">
        <f t="array" ref="F282">_xlfn.IFS(AND(A282&gt;NumberOfPlots,ISBLANK(INDEX(PlotData,MATCH($A282,PlotNumber,0),MATCH(B$3,PlotTitles,0)))),"",ISBLANK(INDEX(PlotData,MATCH($A282,PlotNumber,0),MATCH(F$3,PlotTitles,0))),$AB$9,TRUE,"")</f>
        <v/>
      </c>
      <c r="G282" s="104" t="str" cm="1">
        <f t="array" ref="G282">_xlfn.IFS(AND(A282&gt;NumberOfPlots,ISBLANK(INDEX(PlotData,MATCH($A282,PlotNumber,0),MATCH(B$3,PlotTitles,0)))),"",ISBLANK(INDEX(PlotData,MATCH($A282,PlotNumber,0),MATCH(G$3,PlotTitles,0))),$AB$10,TRUE,"")</f>
        <v/>
      </c>
      <c r="H282" s="104" t="str" cm="1">
        <f t="array" ref="H282">_xlfn.IFS(AND(A282&gt;NumberOfPlots,ISBLANK(INDEX(PlotData,MATCH($A282,PlotNumber,0),MATCH(B$3,PlotTitles,0)))),"",AND(ISBLANK(INDEX(PlotData,MATCH($A282,PlotNumber,0),MATCH(H$3,PlotTitles,0)))=FALSE,INDEX(PlotData,MATCH($A282,PlotNumber,0),MATCH(H$3,PlotTitles,0))&lt;500), $AB$11,TRUE,"")</f>
        <v/>
      </c>
      <c r="I282" s="104" t="str" cm="1">
        <f t="array" ref="I282">_xlfn.IFS(AND(A282&gt;NumberOfPlots,ISBLANK(INDEX(PlotData,MATCH($A282,PlotNumber,0),MATCH(B$3,PlotTitles,0)))),"",ISBLANK(INDEX(PlotData,MATCH($A282,PlotNumber,0),MATCH(I$3,PlotTitles,0))),$AB$12,TRUE,"")</f>
        <v/>
      </c>
      <c r="J282" s="104" t="str" cm="1">
        <f t="array" ref="J282">_xlfn.IFS(AND(A282&gt;NumberOfPlots,ISBLANK(INDEX(PlotData,MATCH($A282,PlotNumber,0),MATCH(B$3,PlotTitles,0)))),"",ISBLANK(INDEX(PlotData,MATCH($A282,PlotNumber,0),MATCH(J$3,PlotTitles,0))),$AB$13,TRUE,"")</f>
        <v/>
      </c>
      <c r="K282" s="182" t="str">
        <f t="shared" ca="1" si="12"/>
        <v/>
      </c>
      <c r="L282" s="104" t="str" cm="1">
        <f t="array" ref="L282">_xlfn.IFS(OR(ISBLANK(StartDateMonth),ISBLANK(StartDateYear)),"",AND(A282&gt;NumberOfPlots,ISBLANK(INDEX(PlotData,MATCH($A282,PlotNumber,0),MATCH(B$3,PlotTitles,0)))),"",ISBLANK(INDEX(PlotData,MATCH($A282,PlotNumber,0),MATCH(I$3,PlotTitles,0))),"",(DATEVALUE(INDEX(PlotData,MATCH($A282,PlotNumber,0),MATCH(I$3,PlotTitles,0))&amp;INDEX(PlotData,MATCH($A282,PlotNumber,0),MATCH(J$3,PlotTitles,0))))&lt;DATEVALUE(StartDateMonth&amp;StartDateYear),$AB$15,TRUE,"")</f>
        <v/>
      </c>
      <c r="M282" s="104" t="str" cm="1">
        <f t="array" ref="M282">_xlfn.IFS(OR(ISBLANK(StartDateMonth),ISBLANK(StartDateYear)),"",AND(A282&gt;NumberOfPlots,ISBLANK(INDEX(PlotData,MATCH($A282,PlotNumber,0),MATCH(B$3,PlotTitles,0)))),"",ISBLANK(INDEX(PlotData,MATCH($A282,PlotNumber,0),MATCH(I$3,PlotTitles,0))),"",CompletionMonth="","",(DATEVALUE(INDEX(PlotData,MATCH($A282,PlotNumber,0),MATCH(I$3,PlotTitles,0))&amp;INDEX(PlotData,MATCH($A282,PlotNumber,0),MATCH(J$3,PlotTitles,0))))&gt;(DATEVALUE(CompletionMonth&amp;CompletionYear)),$AB$16,TRUE,"")</f>
        <v/>
      </c>
      <c r="N282" s="104" t="str" cm="1">
        <f t="array" ref="N282">_xlfn.IFS(AND(A282&gt;NumberOfPlots,ISBLANK(INDEX(PlotData,MATCH($A282,PlotNumber,0),MATCH(B$3,PlotTitles,0)))),"",ISBLANK(INDEX(PlotData,MATCH($A282,PlotNumber,0),MATCH(N$3,PlotTitles,0))),$AB$17,TRUE,"")</f>
        <v/>
      </c>
      <c r="O282" s="104" t="str" cm="1">
        <f t="array" ref="O282">_xlfn.IFS(AND(A282&gt;NumberOfPlots,ISBLANK(INDEX(PlotData,MATCH($A282,PlotNumber,0),MATCH(B$3,PlotTitles,0)))),"",ISBLANK(INDEX(PlotData,MATCH($A282,PlotNumber,0),MATCH(O$3,PlotTitles,0))),$AB$18,TRUE,"")</f>
        <v/>
      </c>
      <c r="P282" s="182" t="str">
        <f t="shared" ca="1" si="13"/>
        <v/>
      </c>
      <c r="Q282" s="104" t="str" cm="1">
        <f t="array" ref="Q282">_xlfn.IFS(AND(A282&gt;NumberOfPlots,ISBLANK(INDEX(PlotData,MATCH($A282,PlotNumber,0),MATCH(B$3,PlotTitles,0)))),"",ISBLANK(INDEX(PlotData,MATCH($A282,PlotNumber,0),MATCH(N$3,PlotTitles,0))),"",(DATEVALUE(INDEX(PlotData,MATCH($A282,PlotNumber,0),MATCH(N$3,PlotTitles,0))&amp;INDEX(PlotData,MATCH($A282,PlotNumber,0),MATCH(O$3,PlotTitles,0))))&lt;(DATEVALUE(INDEX(PlotData,MATCH($A282,PlotNumber,0),MATCH(I$3,PlotTitles,0))&amp;INDEX(PlotData,MATCH($A282,PlotNumber,0),MATCH(J$3,PlotTitles,0)))),$AB$20,TRUE,"")</f>
        <v/>
      </c>
      <c r="R282" s="104" t="str" cm="1">
        <f t="array" ref="R282">_xlfn.IFS(OR(ISBLANK(StartDateMonth),ISBLANK(StartDateYear)),"",AND(A282&gt;NumberOfPlots,ISBLANK(INDEX(PlotData,MATCH($A282,PlotNumber,0),MATCH(B$3,PlotTitles,0)))),"",ISBLANK(INDEX(PlotData,MATCH($A282,PlotNumber,0),MATCH(N$3,PlotTitles,0))),"",CompletionMonth="","",(DATEVALUE(INDEX(PlotData,MATCH($A282,PlotNumber,0),MATCH(N$3,PlotTitles,0))&amp;INDEX(PlotData,MATCH($A282,PlotNumber,0),MATCH(O$3,PlotTitles,0))))&gt;(DATEVALUE(CompletionMonth&amp;CompletionYear)),$AB$21,TRUE,"")</f>
        <v/>
      </c>
      <c r="S282" s="104" t="str" cm="1">
        <f t="array" ref="S282">_xlfn.IFS(AND(A282&gt;NumberOfPlots,ISBLANK(INDEX(PlotData,MATCH($A282,PlotNumber,0),MATCH(B$3,PlotTitles,0)))),"",OR(AND(INDEX(PlotData,MATCH($A282,PlotNumber,0),MATCH("Tenure",PlotTitles,0))="Open market housing",INDEX(PlotData,MATCH($A282,PlotNumber,0),MATCH("Tenure detail",PlotTitles,0))="Private rented sector"),INDEX(PlotData,MATCH($A282,PlotNumber,0),MATCH("Tenure",PlotTitles,0))="Affordable rent"),"",ISNUMBER(INDEX(PlotData,MATCH($A282,PlotNumber,0),MATCH(S$3,PlotTitles,0)))=FALSE, $AB$22,TRUE,"")</f>
        <v/>
      </c>
      <c r="T282" s="104" t="str" cm="1">
        <f t="array" ref="T282">_xlfn.IFS(AND(A282&gt;NumberOfPlots,ISBLANK(INDEX(PlotData,MATCH($A282,PlotNumber,0),MATCH(B$3,PlotTitles,0)))),"",OR(AND(INDEX(PlotData,MATCH($A282,PlotNumber,0),MATCH("Tenure",PlotTitles,0))="Open market housing",INDEX(PlotData,MATCH($A282,PlotNumber,0),MATCH("Tenure detail",PlotTitles,0))="Private rented sector"),INDEX(PlotData,MATCH($A282,PlotNumber,0),MATCH("Tenure",PlotTitles,0))="Affordable rent"),"",INDEX(PlotData,MATCH($A282,PlotNumber,0),MATCH(S$3,PlotTitles,0))&lt;10000, $AB$23,TRUE,"")</f>
        <v/>
      </c>
      <c r="U282" s="104" t="str" cm="1">
        <f t="array" ref="U282">_xlfn.IFS(AND(A282&gt;NumberOfPlots,ISBLANK(INDEX(PlotData,MATCH($A282,PlotNumber,0),MATCH(B$3,PlotTitles,0)))),"",NOT(OR(AND(INDEX(PlotData,MATCH($A282,PlotNumber,0),MATCH("Tenure",PlotTitles,0))="Open market housing",INDEX(PlotData,MATCH($A282,PlotNumber,0),MATCH("Tenure detail",PlotTitles,0))="Private rented sector"),INDEX(PlotData,MATCH($A282,PlotNumber,0),MATCH("Tenure",PlotTitles,0))="Affordable rent")),"",NOT(INDEX(PlotData,MATCH($A282,PlotNumber,0),MATCH(S$3,PlotTitles,0))=0), $AB$24,TRUE,"")</f>
        <v/>
      </c>
      <c r="V282" s="114" t="str" cm="1">
        <f t="array" aca="1" ref="V282" ca="1">_xlfn.IFS(ISBLANK(NumberOfPlots),"Enter the number of homes on the 1_SetUp sheet",AND(A282&gt;NumberOfPlots,ISBLANK(INDEX(PlotData,MATCH($A282,PlotNumber,0),MATCH(B$3,PlotTitles,0)))),"No error",NOT(B282=""),B282,NOT(C282=""),C282,NOT(D282=""),D282,NOT(E282=""),E282,NOT(F282=""),F282,NOT(G282=""),G282,NOT(H282=""),H282,NOT(I282=""),I282,NOT(J282=""),J282,NOT(K282=""),K282,NOT(L282=""),L282,NOT(M282=""),M282,NOT(N282=""),N282,NOT(O282=""),O282,NOT(P282=""),P282,NOT(Q282=""),Q282,NOT(R282=""),R282,NOT(S282=""),S282,NOT(T282=""),T282,NOT(U282=""),U282,TRUE,"No error")</f>
        <v>Enter the number of homes on the 1_SetUp sheet</v>
      </c>
      <c r="W282" s="114" t="str">
        <f t="shared" ca="1" si="14"/>
        <v xml:space="preserve">The Borrower has not addressed the following error messages for Home ID 278: </v>
      </c>
    </row>
    <row r="283" spans="1:23">
      <c r="A283" s="123">
        <v>279</v>
      </c>
      <c r="B283" s="104" t="str" cm="1">
        <f t="array" ref="B283">_xlfn.IFS(AND(A283&gt;NumberOfPlots,ISBLANK(INDEX(PlotData,MATCH($A283,PlotNumber,0),MATCH(B$3,PlotTitles,0)))),"",ISNUMBER(INDEX(PlotData,MATCH($A283,PlotNumber,0),MATCH(B$3,PlotTitles,0)))=FALSE, $AB$5,TRUE,"")</f>
        <v/>
      </c>
      <c r="C283" s="104" t="str" cm="1">
        <f t="array" ref="C283">_xlfn.IFS(AND(A283&gt;NumberOfPlots,ISBLANK(INDEX(PlotData,MATCH($A283,PlotNumber,0),MATCH(B$3,PlotTitles,0)))),"",ISBLANK(INDEX(PlotData,MATCH($A283,PlotNumber,0),MATCH(C$3,PlotTitles,0))),$AB$6,TRUE,"")</f>
        <v/>
      </c>
      <c r="D283" s="104" t="str" cm="1">
        <f t="array" ref="D283">_xlfn.IFS(AND(A283&gt;NumberOfPlots,ISBLANK(INDEX(PlotData,MATCH($A283,PlotNumber,0),MATCH(B$3,PlotTitles,0)))),"",ISBLANK(INDEX(PlotData,MATCH($A283,PlotNumber,0),MATCH(D$3,PlotTitles,0))),$AB$7,TRUE,"")</f>
        <v/>
      </c>
      <c r="E283" s="104" t="str" cm="1">
        <f t="array" ref="E283">_xlfn.IFS(AND(A283&gt;NumberOfPlots,ISBLANK(INDEX(PlotData,MATCH($A283,PlotNumber,0),MATCH(B$3,PlotTitles,0)))),"",ISBLANK(INDEX(PlotData,MATCH($A283,PlotNumber,0),MATCH(E$3,PlotTitles,0))),$AB$8,TRUE,"")</f>
        <v/>
      </c>
      <c r="F283" s="104" t="str" cm="1">
        <f t="array" ref="F283">_xlfn.IFS(AND(A283&gt;NumberOfPlots,ISBLANK(INDEX(PlotData,MATCH($A283,PlotNumber,0),MATCH(B$3,PlotTitles,0)))),"",ISBLANK(INDEX(PlotData,MATCH($A283,PlotNumber,0),MATCH(F$3,PlotTitles,0))),$AB$9,TRUE,"")</f>
        <v/>
      </c>
      <c r="G283" s="104" t="str" cm="1">
        <f t="array" ref="G283">_xlfn.IFS(AND(A283&gt;NumberOfPlots,ISBLANK(INDEX(PlotData,MATCH($A283,PlotNumber,0),MATCH(B$3,PlotTitles,0)))),"",ISBLANK(INDEX(PlotData,MATCH($A283,PlotNumber,0),MATCH(G$3,PlotTitles,0))),$AB$10,TRUE,"")</f>
        <v/>
      </c>
      <c r="H283" s="104" t="str" cm="1">
        <f t="array" ref="H283">_xlfn.IFS(AND(A283&gt;NumberOfPlots,ISBLANK(INDEX(PlotData,MATCH($A283,PlotNumber,0),MATCH(B$3,PlotTitles,0)))),"",AND(ISBLANK(INDEX(PlotData,MATCH($A283,PlotNumber,0),MATCH(H$3,PlotTitles,0)))=FALSE,INDEX(PlotData,MATCH($A283,PlotNumber,0),MATCH(H$3,PlotTitles,0))&lt;500), $AB$11,TRUE,"")</f>
        <v/>
      </c>
      <c r="I283" s="104" t="str" cm="1">
        <f t="array" ref="I283">_xlfn.IFS(AND(A283&gt;NumberOfPlots,ISBLANK(INDEX(PlotData,MATCH($A283,PlotNumber,0),MATCH(B$3,PlotTitles,0)))),"",ISBLANK(INDEX(PlotData,MATCH($A283,PlotNumber,0),MATCH(I$3,PlotTitles,0))),$AB$12,TRUE,"")</f>
        <v/>
      </c>
      <c r="J283" s="104" t="str" cm="1">
        <f t="array" ref="J283">_xlfn.IFS(AND(A283&gt;NumberOfPlots,ISBLANK(INDEX(PlotData,MATCH($A283,PlotNumber,0),MATCH(B$3,PlotTitles,0)))),"",ISBLANK(INDEX(PlotData,MATCH($A283,PlotNumber,0),MATCH(J$3,PlotTitles,0))),$AB$13,TRUE,"")</f>
        <v/>
      </c>
      <c r="K283" s="182" t="str">
        <f t="shared" ca="1" si="12"/>
        <v/>
      </c>
      <c r="L283" s="104" t="str" cm="1">
        <f t="array" ref="L283">_xlfn.IFS(OR(ISBLANK(StartDateMonth),ISBLANK(StartDateYear)),"",AND(A283&gt;NumberOfPlots,ISBLANK(INDEX(PlotData,MATCH($A283,PlotNumber,0),MATCH(B$3,PlotTitles,0)))),"",ISBLANK(INDEX(PlotData,MATCH($A283,PlotNumber,0),MATCH(I$3,PlotTitles,0))),"",(DATEVALUE(INDEX(PlotData,MATCH($A283,PlotNumber,0),MATCH(I$3,PlotTitles,0))&amp;INDEX(PlotData,MATCH($A283,PlotNumber,0),MATCH(J$3,PlotTitles,0))))&lt;DATEVALUE(StartDateMonth&amp;StartDateYear),$AB$15,TRUE,"")</f>
        <v/>
      </c>
      <c r="M283" s="104" t="str" cm="1">
        <f t="array" ref="M283">_xlfn.IFS(OR(ISBLANK(StartDateMonth),ISBLANK(StartDateYear)),"",AND(A283&gt;NumberOfPlots,ISBLANK(INDEX(PlotData,MATCH($A283,PlotNumber,0),MATCH(B$3,PlotTitles,0)))),"",ISBLANK(INDEX(PlotData,MATCH($A283,PlotNumber,0),MATCH(I$3,PlotTitles,0))),"",CompletionMonth="","",(DATEVALUE(INDEX(PlotData,MATCH($A283,PlotNumber,0),MATCH(I$3,PlotTitles,0))&amp;INDEX(PlotData,MATCH($A283,PlotNumber,0),MATCH(J$3,PlotTitles,0))))&gt;(DATEVALUE(CompletionMonth&amp;CompletionYear)),$AB$16,TRUE,"")</f>
        <v/>
      </c>
      <c r="N283" s="104" t="str" cm="1">
        <f t="array" ref="N283">_xlfn.IFS(AND(A283&gt;NumberOfPlots,ISBLANK(INDEX(PlotData,MATCH($A283,PlotNumber,0),MATCH(B$3,PlotTitles,0)))),"",ISBLANK(INDEX(PlotData,MATCH($A283,PlotNumber,0),MATCH(N$3,PlotTitles,0))),$AB$17,TRUE,"")</f>
        <v/>
      </c>
      <c r="O283" s="104" t="str" cm="1">
        <f t="array" ref="O283">_xlfn.IFS(AND(A283&gt;NumberOfPlots,ISBLANK(INDEX(PlotData,MATCH($A283,PlotNumber,0),MATCH(B$3,PlotTitles,0)))),"",ISBLANK(INDEX(PlotData,MATCH($A283,PlotNumber,0),MATCH(O$3,PlotTitles,0))),$AB$18,TRUE,"")</f>
        <v/>
      </c>
      <c r="P283" s="182" t="str">
        <f t="shared" ca="1" si="13"/>
        <v/>
      </c>
      <c r="Q283" s="104" t="str" cm="1">
        <f t="array" ref="Q283">_xlfn.IFS(AND(A283&gt;NumberOfPlots,ISBLANK(INDEX(PlotData,MATCH($A283,PlotNumber,0),MATCH(B$3,PlotTitles,0)))),"",ISBLANK(INDEX(PlotData,MATCH($A283,PlotNumber,0),MATCH(N$3,PlotTitles,0))),"",(DATEVALUE(INDEX(PlotData,MATCH($A283,PlotNumber,0),MATCH(N$3,PlotTitles,0))&amp;INDEX(PlotData,MATCH($A283,PlotNumber,0),MATCH(O$3,PlotTitles,0))))&lt;(DATEVALUE(INDEX(PlotData,MATCH($A283,PlotNumber,0),MATCH(I$3,PlotTitles,0))&amp;INDEX(PlotData,MATCH($A283,PlotNumber,0),MATCH(J$3,PlotTitles,0)))),$AB$20,TRUE,"")</f>
        <v/>
      </c>
      <c r="R283" s="104" t="str" cm="1">
        <f t="array" ref="R283">_xlfn.IFS(OR(ISBLANK(StartDateMonth),ISBLANK(StartDateYear)),"",AND(A283&gt;NumberOfPlots,ISBLANK(INDEX(PlotData,MATCH($A283,PlotNumber,0),MATCH(B$3,PlotTitles,0)))),"",ISBLANK(INDEX(PlotData,MATCH($A283,PlotNumber,0),MATCH(N$3,PlotTitles,0))),"",CompletionMonth="","",(DATEVALUE(INDEX(PlotData,MATCH($A283,PlotNumber,0),MATCH(N$3,PlotTitles,0))&amp;INDEX(PlotData,MATCH($A283,PlotNumber,0),MATCH(O$3,PlotTitles,0))))&gt;(DATEVALUE(CompletionMonth&amp;CompletionYear)),$AB$21,TRUE,"")</f>
        <v/>
      </c>
      <c r="S283" s="104" t="str" cm="1">
        <f t="array" ref="S283">_xlfn.IFS(AND(A283&gt;NumberOfPlots,ISBLANK(INDEX(PlotData,MATCH($A283,PlotNumber,0),MATCH(B$3,PlotTitles,0)))),"",OR(AND(INDEX(PlotData,MATCH($A283,PlotNumber,0),MATCH("Tenure",PlotTitles,0))="Open market housing",INDEX(PlotData,MATCH($A283,PlotNumber,0),MATCH("Tenure detail",PlotTitles,0))="Private rented sector"),INDEX(PlotData,MATCH($A283,PlotNumber,0),MATCH("Tenure",PlotTitles,0))="Affordable rent"),"",ISNUMBER(INDEX(PlotData,MATCH($A283,PlotNumber,0),MATCH(S$3,PlotTitles,0)))=FALSE, $AB$22,TRUE,"")</f>
        <v/>
      </c>
      <c r="T283" s="104" t="str" cm="1">
        <f t="array" ref="T283">_xlfn.IFS(AND(A283&gt;NumberOfPlots,ISBLANK(INDEX(PlotData,MATCH($A283,PlotNumber,0),MATCH(B$3,PlotTitles,0)))),"",OR(AND(INDEX(PlotData,MATCH($A283,PlotNumber,0),MATCH("Tenure",PlotTitles,0))="Open market housing",INDEX(PlotData,MATCH($A283,PlotNumber,0),MATCH("Tenure detail",PlotTitles,0))="Private rented sector"),INDEX(PlotData,MATCH($A283,PlotNumber,0),MATCH("Tenure",PlotTitles,0))="Affordable rent"),"",INDEX(PlotData,MATCH($A283,PlotNumber,0),MATCH(S$3,PlotTitles,0))&lt;10000, $AB$23,TRUE,"")</f>
        <v/>
      </c>
      <c r="U283" s="104" t="str" cm="1">
        <f t="array" ref="U283">_xlfn.IFS(AND(A283&gt;NumberOfPlots,ISBLANK(INDEX(PlotData,MATCH($A283,PlotNumber,0),MATCH(B$3,PlotTitles,0)))),"",NOT(OR(AND(INDEX(PlotData,MATCH($A283,PlotNumber,0),MATCH("Tenure",PlotTitles,0))="Open market housing",INDEX(PlotData,MATCH($A283,PlotNumber,0),MATCH("Tenure detail",PlotTitles,0))="Private rented sector"),INDEX(PlotData,MATCH($A283,PlotNumber,0),MATCH("Tenure",PlotTitles,0))="Affordable rent")),"",NOT(INDEX(PlotData,MATCH($A283,PlotNumber,0),MATCH(S$3,PlotTitles,0))=0), $AB$24,TRUE,"")</f>
        <v/>
      </c>
      <c r="V283" s="114" t="str" cm="1">
        <f t="array" aca="1" ref="V283" ca="1">_xlfn.IFS(ISBLANK(NumberOfPlots),"Enter the number of homes on the 1_SetUp sheet",AND(A283&gt;NumberOfPlots,ISBLANK(INDEX(PlotData,MATCH($A283,PlotNumber,0),MATCH(B$3,PlotTitles,0)))),"No error",NOT(B283=""),B283,NOT(C283=""),C283,NOT(D283=""),D283,NOT(E283=""),E283,NOT(F283=""),F283,NOT(G283=""),G283,NOT(H283=""),H283,NOT(I283=""),I283,NOT(J283=""),J283,NOT(K283=""),K283,NOT(L283=""),L283,NOT(M283=""),M283,NOT(N283=""),N283,NOT(O283=""),O283,NOT(P283=""),P283,NOT(Q283=""),Q283,NOT(R283=""),R283,NOT(S283=""),S283,NOT(T283=""),T283,NOT(U283=""),U283,TRUE,"No error")</f>
        <v>Enter the number of homes on the 1_SetUp sheet</v>
      </c>
      <c r="W283" s="114" t="str">
        <f t="shared" ca="1" si="14"/>
        <v xml:space="preserve">The Borrower has not addressed the following error messages for Home ID 279: </v>
      </c>
    </row>
    <row r="284" spans="1:23">
      <c r="A284" s="123">
        <v>280</v>
      </c>
      <c r="B284" s="104" t="str" cm="1">
        <f t="array" ref="B284">_xlfn.IFS(AND(A284&gt;NumberOfPlots,ISBLANK(INDEX(PlotData,MATCH($A284,PlotNumber,0),MATCH(B$3,PlotTitles,0)))),"",ISNUMBER(INDEX(PlotData,MATCH($A284,PlotNumber,0),MATCH(B$3,PlotTitles,0)))=FALSE, $AB$5,TRUE,"")</f>
        <v/>
      </c>
      <c r="C284" s="104" t="str" cm="1">
        <f t="array" ref="C284">_xlfn.IFS(AND(A284&gt;NumberOfPlots,ISBLANK(INDEX(PlotData,MATCH($A284,PlotNumber,0),MATCH(B$3,PlotTitles,0)))),"",ISBLANK(INDEX(PlotData,MATCH($A284,PlotNumber,0),MATCH(C$3,PlotTitles,0))),$AB$6,TRUE,"")</f>
        <v/>
      </c>
      <c r="D284" s="104" t="str" cm="1">
        <f t="array" ref="D284">_xlfn.IFS(AND(A284&gt;NumberOfPlots,ISBLANK(INDEX(PlotData,MATCH($A284,PlotNumber,0),MATCH(B$3,PlotTitles,0)))),"",ISBLANK(INDEX(PlotData,MATCH($A284,PlotNumber,0),MATCH(D$3,PlotTitles,0))),$AB$7,TRUE,"")</f>
        <v/>
      </c>
      <c r="E284" s="104" t="str" cm="1">
        <f t="array" ref="E284">_xlfn.IFS(AND(A284&gt;NumberOfPlots,ISBLANK(INDEX(PlotData,MATCH($A284,PlotNumber,0),MATCH(B$3,PlotTitles,0)))),"",ISBLANK(INDEX(PlotData,MATCH($A284,PlotNumber,0),MATCH(E$3,PlotTitles,0))),$AB$8,TRUE,"")</f>
        <v/>
      </c>
      <c r="F284" s="104" t="str" cm="1">
        <f t="array" ref="F284">_xlfn.IFS(AND(A284&gt;NumberOfPlots,ISBLANK(INDEX(PlotData,MATCH($A284,PlotNumber,0),MATCH(B$3,PlotTitles,0)))),"",ISBLANK(INDEX(PlotData,MATCH($A284,PlotNumber,0),MATCH(F$3,PlotTitles,0))),$AB$9,TRUE,"")</f>
        <v/>
      </c>
      <c r="G284" s="104" t="str" cm="1">
        <f t="array" ref="G284">_xlfn.IFS(AND(A284&gt;NumberOfPlots,ISBLANK(INDEX(PlotData,MATCH($A284,PlotNumber,0),MATCH(B$3,PlotTitles,0)))),"",ISBLANK(INDEX(PlotData,MATCH($A284,PlotNumber,0),MATCH(G$3,PlotTitles,0))),$AB$10,TRUE,"")</f>
        <v/>
      </c>
      <c r="H284" s="104" t="str" cm="1">
        <f t="array" ref="H284">_xlfn.IFS(AND(A284&gt;NumberOfPlots,ISBLANK(INDEX(PlotData,MATCH($A284,PlotNumber,0),MATCH(B$3,PlotTitles,0)))),"",AND(ISBLANK(INDEX(PlotData,MATCH($A284,PlotNumber,0),MATCH(H$3,PlotTitles,0)))=FALSE,INDEX(PlotData,MATCH($A284,PlotNumber,0),MATCH(H$3,PlotTitles,0))&lt;500), $AB$11,TRUE,"")</f>
        <v/>
      </c>
      <c r="I284" s="104" t="str" cm="1">
        <f t="array" ref="I284">_xlfn.IFS(AND(A284&gt;NumberOfPlots,ISBLANK(INDEX(PlotData,MATCH($A284,PlotNumber,0),MATCH(B$3,PlotTitles,0)))),"",ISBLANK(INDEX(PlotData,MATCH($A284,PlotNumber,0),MATCH(I$3,PlotTitles,0))),$AB$12,TRUE,"")</f>
        <v/>
      </c>
      <c r="J284" s="104" t="str" cm="1">
        <f t="array" ref="J284">_xlfn.IFS(AND(A284&gt;NumberOfPlots,ISBLANK(INDEX(PlotData,MATCH($A284,PlotNumber,0),MATCH(B$3,PlotTitles,0)))),"",ISBLANK(INDEX(PlotData,MATCH($A284,PlotNumber,0),MATCH(J$3,PlotTitles,0))),$AB$13,TRUE,"")</f>
        <v/>
      </c>
      <c r="K284" s="182" t="str">
        <f t="shared" ca="1" si="12"/>
        <v/>
      </c>
      <c r="L284" s="104" t="str" cm="1">
        <f t="array" ref="L284">_xlfn.IFS(OR(ISBLANK(StartDateMonth),ISBLANK(StartDateYear)),"",AND(A284&gt;NumberOfPlots,ISBLANK(INDEX(PlotData,MATCH($A284,PlotNumber,0),MATCH(B$3,PlotTitles,0)))),"",ISBLANK(INDEX(PlotData,MATCH($A284,PlotNumber,0),MATCH(I$3,PlotTitles,0))),"",(DATEVALUE(INDEX(PlotData,MATCH($A284,PlotNumber,0),MATCH(I$3,PlotTitles,0))&amp;INDEX(PlotData,MATCH($A284,PlotNumber,0),MATCH(J$3,PlotTitles,0))))&lt;DATEVALUE(StartDateMonth&amp;StartDateYear),$AB$15,TRUE,"")</f>
        <v/>
      </c>
      <c r="M284" s="104" t="str" cm="1">
        <f t="array" ref="M284">_xlfn.IFS(OR(ISBLANK(StartDateMonth),ISBLANK(StartDateYear)),"",AND(A284&gt;NumberOfPlots,ISBLANK(INDEX(PlotData,MATCH($A284,PlotNumber,0),MATCH(B$3,PlotTitles,0)))),"",ISBLANK(INDEX(PlotData,MATCH($A284,PlotNumber,0),MATCH(I$3,PlotTitles,0))),"",CompletionMonth="","",(DATEVALUE(INDEX(PlotData,MATCH($A284,PlotNumber,0),MATCH(I$3,PlotTitles,0))&amp;INDEX(PlotData,MATCH($A284,PlotNumber,0),MATCH(J$3,PlotTitles,0))))&gt;(DATEVALUE(CompletionMonth&amp;CompletionYear)),$AB$16,TRUE,"")</f>
        <v/>
      </c>
      <c r="N284" s="104" t="str" cm="1">
        <f t="array" ref="N284">_xlfn.IFS(AND(A284&gt;NumberOfPlots,ISBLANK(INDEX(PlotData,MATCH($A284,PlotNumber,0),MATCH(B$3,PlotTitles,0)))),"",ISBLANK(INDEX(PlotData,MATCH($A284,PlotNumber,0),MATCH(N$3,PlotTitles,0))),$AB$17,TRUE,"")</f>
        <v/>
      </c>
      <c r="O284" s="104" t="str" cm="1">
        <f t="array" ref="O284">_xlfn.IFS(AND(A284&gt;NumberOfPlots,ISBLANK(INDEX(PlotData,MATCH($A284,PlotNumber,0),MATCH(B$3,PlotTitles,0)))),"",ISBLANK(INDEX(PlotData,MATCH($A284,PlotNumber,0),MATCH(O$3,PlotTitles,0))),$AB$18,TRUE,"")</f>
        <v/>
      </c>
      <c r="P284" s="182" t="str">
        <f t="shared" ca="1" si="13"/>
        <v/>
      </c>
      <c r="Q284" s="104" t="str" cm="1">
        <f t="array" ref="Q284">_xlfn.IFS(AND(A284&gt;NumberOfPlots,ISBLANK(INDEX(PlotData,MATCH($A284,PlotNumber,0),MATCH(B$3,PlotTitles,0)))),"",ISBLANK(INDEX(PlotData,MATCH($A284,PlotNumber,0),MATCH(N$3,PlotTitles,0))),"",(DATEVALUE(INDEX(PlotData,MATCH($A284,PlotNumber,0),MATCH(N$3,PlotTitles,0))&amp;INDEX(PlotData,MATCH($A284,PlotNumber,0),MATCH(O$3,PlotTitles,0))))&lt;(DATEVALUE(INDEX(PlotData,MATCH($A284,PlotNumber,0),MATCH(I$3,PlotTitles,0))&amp;INDEX(PlotData,MATCH($A284,PlotNumber,0),MATCH(J$3,PlotTitles,0)))),$AB$20,TRUE,"")</f>
        <v/>
      </c>
      <c r="R284" s="104" t="str" cm="1">
        <f t="array" ref="R284">_xlfn.IFS(OR(ISBLANK(StartDateMonth),ISBLANK(StartDateYear)),"",AND(A284&gt;NumberOfPlots,ISBLANK(INDEX(PlotData,MATCH($A284,PlotNumber,0),MATCH(B$3,PlotTitles,0)))),"",ISBLANK(INDEX(PlotData,MATCH($A284,PlotNumber,0),MATCH(N$3,PlotTitles,0))),"",CompletionMonth="","",(DATEVALUE(INDEX(PlotData,MATCH($A284,PlotNumber,0),MATCH(N$3,PlotTitles,0))&amp;INDEX(PlotData,MATCH($A284,PlotNumber,0),MATCH(O$3,PlotTitles,0))))&gt;(DATEVALUE(CompletionMonth&amp;CompletionYear)),$AB$21,TRUE,"")</f>
        <v/>
      </c>
      <c r="S284" s="104" t="str" cm="1">
        <f t="array" ref="S284">_xlfn.IFS(AND(A284&gt;NumberOfPlots,ISBLANK(INDEX(PlotData,MATCH($A284,PlotNumber,0),MATCH(B$3,PlotTitles,0)))),"",OR(AND(INDEX(PlotData,MATCH($A284,PlotNumber,0),MATCH("Tenure",PlotTitles,0))="Open market housing",INDEX(PlotData,MATCH($A284,PlotNumber,0),MATCH("Tenure detail",PlotTitles,0))="Private rented sector"),INDEX(PlotData,MATCH($A284,PlotNumber,0),MATCH("Tenure",PlotTitles,0))="Affordable rent"),"",ISNUMBER(INDEX(PlotData,MATCH($A284,PlotNumber,0),MATCH(S$3,PlotTitles,0)))=FALSE, $AB$22,TRUE,"")</f>
        <v/>
      </c>
      <c r="T284" s="104" t="str" cm="1">
        <f t="array" ref="T284">_xlfn.IFS(AND(A284&gt;NumberOfPlots,ISBLANK(INDEX(PlotData,MATCH($A284,PlotNumber,0),MATCH(B$3,PlotTitles,0)))),"",OR(AND(INDEX(PlotData,MATCH($A284,PlotNumber,0),MATCH("Tenure",PlotTitles,0))="Open market housing",INDEX(PlotData,MATCH($A284,PlotNumber,0),MATCH("Tenure detail",PlotTitles,0))="Private rented sector"),INDEX(PlotData,MATCH($A284,PlotNumber,0),MATCH("Tenure",PlotTitles,0))="Affordable rent"),"",INDEX(PlotData,MATCH($A284,PlotNumber,0),MATCH(S$3,PlotTitles,0))&lt;10000, $AB$23,TRUE,"")</f>
        <v/>
      </c>
      <c r="U284" s="104" t="str" cm="1">
        <f t="array" ref="U284">_xlfn.IFS(AND(A284&gt;NumberOfPlots,ISBLANK(INDEX(PlotData,MATCH($A284,PlotNumber,0),MATCH(B$3,PlotTitles,0)))),"",NOT(OR(AND(INDEX(PlotData,MATCH($A284,PlotNumber,0),MATCH("Tenure",PlotTitles,0))="Open market housing",INDEX(PlotData,MATCH($A284,PlotNumber,0),MATCH("Tenure detail",PlotTitles,0))="Private rented sector"),INDEX(PlotData,MATCH($A284,PlotNumber,0),MATCH("Tenure",PlotTitles,0))="Affordable rent")),"",NOT(INDEX(PlotData,MATCH($A284,PlotNumber,0),MATCH(S$3,PlotTitles,0))=0), $AB$24,TRUE,"")</f>
        <v/>
      </c>
      <c r="V284" s="114" t="str" cm="1">
        <f t="array" aca="1" ref="V284" ca="1">_xlfn.IFS(ISBLANK(NumberOfPlots),"Enter the number of homes on the 1_SetUp sheet",AND(A284&gt;NumberOfPlots,ISBLANK(INDEX(PlotData,MATCH($A284,PlotNumber,0),MATCH(B$3,PlotTitles,0)))),"No error",NOT(B284=""),B284,NOT(C284=""),C284,NOT(D284=""),D284,NOT(E284=""),E284,NOT(F284=""),F284,NOT(G284=""),G284,NOT(H284=""),H284,NOT(I284=""),I284,NOT(J284=""),J284,NOT(K284=""),K284,NOT(L284=""),L284,NOT(M284=""),M284,NOT(N284=""),N284,NOT(O284=""),O284,NOT(P284=""),P284,NOT(Q284=""),Q284,NOT(R284=""),R284,NOT(S284=""),S284,NOT(T284=""),T284,NOT(U284=""),U284,TRUE,"No error")</f>
        <v>Enter the number of homes on the 1_SetUp sheet</v>
      </c>
      <c r="W284" s="114" t="str">
        <f t="shared" ca="1" si="14"/>
        <v xml:space="preserve">The Borrower has not addressed the following error messages for Home ID 280: </v>
      </c>
    </row>
    <row r="285" spans="1:23">
      <c r="A285" s="123">
        <v>281</v>
      </c>
      <c r="B285" s="104" t="str" cm="1">
        <f t="array" ref="B285">_xlfn.IFS(AND(A285&gt;NumberOfPlots,ISBLANK(INDEX(PlotData,MATCH($A285,PlotNumber,0),MATCH(B$3,PlotTitles,0)))),"",ISNUMBER(INDEX(PlotData,MATCH($A285,PlotNumber,0),MATCH(B$3,PlotTitles,0)))=FALSE, $AB$5,TRUE,"")</f>
        <v/>
      </c>
      <c r="C285" s="104" t="str" cm="1">
        <f t="array" ref="C285">_xlfn.IFS(AND(A285&gt;NumberOfPlots,ISBLANK(INDEX(PlotData,MATCH($A285,PlotNumber,0),MATCH(B$3,PlotTitles,0)))),"",ISBLANK(INDEX(PlotData,MATCH($A285,PlotNumber,0),MATCH(C$3,PlotTitles,0))),$AB$6,TRUE,"")</f>
        <v/>
      </c>
      <c r="D285" s="104" t="str" cm="1">
        <f t="array" ref="D285">_xlfn.IFS(AND(A285&gt;NumberOfPlots,ISBLANK(INDEX(PlotData,MATCH($A285,PlotNumber,0),MATCH(B$3,PlotTitles,0)))),"",ISBLANK(INDEX(PlotData,MATCH($A285,PlotNumber,0),MATCH(D$3,PlotTitles,0))),$AB$7,TRUE,"")</f>
        <v/>
      </c>
      <c r="E285" s="104" t="str" cm="1">
        <f t="array" ref="E285">_xlfn.IFS(AND(A285&gt;NumberOfPlots,ISBLANK(INDEX(PlotData,MATCH($A285,PlotNumber,0),MATCH(B$3,PlotTitles,0)))),"",ISBLANK(INDEX(PlotData,MATCH($A285,PlotNumber,0),MATCH(E$3,PlotTitles,0))),$AB$8,TRUE,"")</f>
        <v/>
      </c>
      <c r="F285" s="104" t="str" cm="1">
        <f t="array" ref="F285">_xlfn.IFS(AND(A285&gt;NumberOfPlots,ISBLANK(INDEX(PlotData,MATCH($A285,PlotNumber,0),MATCH(B$3,PlotTitles,0)))),"",ISBLANK(INDEX(PlotData,MATCH($A285,PlotNumber,0),MATCH(F$3,PlotTitles,0))),$AB$9,TRUE,"")</f>
        <v/>
      </c>
      <c r="G285" s="104" t="str" cm="1">
        <f t="array" ref="G285">_xlfn.IFS(AND(A285&gt;NumberOfPlots,ISBLANK(INDEX(PlotData,MATCH($A285,PlotNumber,0),MATCH(B$3,PlotTitles,0)))),"",ISBLANK(INDEX(PlotData,MATCH($A285,PlotNumber,0),MATCH(G$3,PlotTitles,0))),$AB$10,TRUE,"")</f>
        <v/>
      </c>
      <c r="H285" s="104" t="str" cm="1">
        <f t="array" ref="H285">_xlfn.IFS(AND(A285&gt;NumberOfPlots,ISBLANK(INDEX(PlotData,MATCH($A285,PlotNumber,0),MATCH(B$3,PlotTitles,0)))),"",AND(ISBLANK(INDEX(PlotData,MATCH($A285,PlotNumber,0),MATCH(H$3,PlotTitles,0)))=FALSE,INDEX(PlotData,MATCH($A285,PlotNumber,0),MATCH(H$3,PlotTitles,0))&lt;500), $AB$11,TRUE,"")</f>
        <v/>
      </c>
      <c r="I285" s="104" t="str" cm="1">
        <f t="array" ref="I285">_xlfn.IFS(AND(A285&gt;NumberOfPlots,ISBLANK(INDEX(PlotData,MATCH($A285,PlotNumber,0),MATCH(B$3,PlotTitles,0)))),"",ISBLANK(INDEX(PlotData,MATCH($A285,PlotNumber,0),MATCH(I$3,PlotTitles,0))),$AB$12,TRUE,"")</f>
        <v/>
      </c>
      <c r="J285" s="104" t="str" cm="1">
        <f t="array" ref="J285">_xlfn.IFS(AND(A285&gt;NumberOfPlots,ISBLANK(INDEX(PlotData,MATCH($A285,PlotNumber,0),MATCH(B$3,PlotTitles,0)))),"",ISBLANK(INDEX(PlotData,MATCH($A285,PlotNumber,0),MATCH(J$3,PlotTitles,0))),$AB$13,TRUE,"")</f>
        <v/>
      </c>
      <c r="K285" s="182" t="str">
        <f t="shared" ca="1" si="12"/>
        <v/>
      </c>
      <c r="L285" s="104" t="str" cm="1">
        <f t="array" ref="L285">_xlfn.IFS(OR(ISBLANK(StartDateMonth),ISBLANK(StartDateYear)),"",AND(A285&gt;NumberOfPlots,ISBLANK(INDEX(PlotData,MATCH($A285,PlotNumber,0),MATCH(B$3,PlotTitles,0)))),"",ISBLANK(INDEX(PlotData,MATCH($A285,PlotNumber,0),MATCH(I$3,PlotTitles,0))),"",(DATEVALUE(INDEX(PlotData,MATCH($A285,PlotNumber,0),MATCH(I$3,PlotTitles,0))&amp;INDEX(PlotData,MATCH($A285,PlotNumber,0),MATCH(J$3,PlotTitles,0))))&lt;DATEVALUE(StartDateMonth&amp;StartDateYear),$AB$15,TRUE,"")</f>
        <v/>
      </c>
      <c r="M285" s="104" t="str" cm="1">
        <f t="array" ref="M285">_xlfn.IFS(OR(ISBLANK(StartDateMonth),ISBLANK(StartDateYear)),"",AND(A285&gt;NumberOfPlots,ISBLANK(INDEX(PlotData,MATCH($A285,PlotNumber,0),MATCH(B$3,PlotTitles,0)))),"",ISBLANK(INDEX(PlotData,MATCH($A285,PlotNumber,0),MATCH(I$3,PlotTitles,0))),"",CompletionMonth="","",(DATEVALUE(INDEX(PlotData,MATCH($A285,PlotNumber,0),MATCH(I$3,PlotTitles,0))&amp;INDEX(PlotData,MATCH($A285,PlotNumber,0),MATCH(J$3,PlotTitles,0))))&gt;(DATEVALUE(CompletionMonth&amp;CompletionYear)),$AB$16,TRUE,"")</f>
        <v/>
      </c>
      <c r="N285" s="104" t="str" cm="1">
        <f t="array" ref="N285">_xlfn.IFS(AND(A285&gt;NumberOfPlots,ISBLANK(INDEX(PlotData,MATCH($A285,PlotNumber,0),MATCH(B$3,PlotTitles,0)))),"",ISBLANK(INDEX(PlotData,MATCH($A285,PlotNumber,0),MATCH(N$3,PlotTitles,0))),$AB$17,TRUE,"")</f>
        <v/>
      </c>
      <c r="O285" s="104" t="str" cm="1">
        <f t="array" ref="O285">_xlfn.IFS(AND(A285&gt;NumberOfPlots,ISBLANK(INDEX(PlotData,MATCH($A285,PlotNumber,0),MATCH(B$3,PlotTitles,0)))),"",ISBLANK(INDEX(PlotData,MATCH($A285,PlotNumber,0),MATCH(O$3,PlotTitles,0))),$AB$18,TRUE,"")</f>
        <v/>
      </c>
      <c r="P285" s="182" t="str">
        <f t="shared" ca="1" si="13"/>
        <v/>
      </c>
      <c r="Q285" s="104" t="str" cm="1">
        <f t="array" ref="Q285">_xlfn.IFS(AND(A285&gt;NumberOfPlots,ISBLANK(INDEX(PlotData,MATCH($A285,PlotNumber,0),MATCH(B$3,PlotTitles,0)))),"",ISBLANK(INDEX(PlotData,MATCH($A285,PlotNumber,0),MATCH(N$3,PlotTitles,0))),"",(DATEVALUE(INDEX(PlotData,MATCH($A285,PlotNumber,0),MATCH(N$3,PlotTitles,0))&amp;INDEX(PlotData,MATCH($A285,PlotNumber,0),MATCH(O$3,PlotTitles,0))))&lt;(DATEVALUE(INDEX(PlotData,MATCH($A285,PlotNumber,0),MATCH(I$3,PlotTitles,0))&amp;INDEX(PlotData,MATCH($A285,PlotNumber,0),MATCH(J$3,PlotTitles,0)))),$AB$20,TRUE,"")</f>
        <v/>
      </c>
      <c r="R285" s="104" t="str" cm="1">
        <f t="array" ref="R285">_xlfn.IFS(OR(ISBLANK(StartDateMonth),ISBLANK(StartDateYear)),"",AND(A285&gt;NumberOfPlots,ISBLANK(INDEX(PlotData,MATCH($A285,PlotNumber,0),MATCH(B$3,PlotTitles,0)))),"",ISBLANK(INDEX(PlotData,MATCH($A285,PlotNumber,0),MATCH(N$3,PlotTitles,0))),"",CompletionMonth="","",(DATEVALUE(INDEX(PlotData,MATCH($A285,PlotNumber,0),MATCH(N$3,PlotTitles,0))&amp;INDEX(PlotData,MATCH($A285,PlotNumber,0),MATCH(O$3,PlotTitles,0))))&gt;(DATEVALUE(CompletionMonth&amp;CompletionYear)),$AB$21,TRUE,"")</f>
        <v/>
      </c>
      <c r="S285" s="104" t="str" cm="1">
        <f t="array" ref="S285">_xlfn.IFS(AND(A285&gt;NumberOfPlots,ISBLANK(INDEX(PlotData,MATCH($A285,PlotNumber,0),MATCH(B$3,PlotTitles,0)))),"",OR(AND(INDEX(PlotData,MATCH($A285,PlotNumber,0),MATCH("Tenure",PlotTitles,0))="Open market housing",INDEX(PlotData,MATCH($A285,PlotNumber,0),MATCH("Tenure detail",PlotTitles,0))="Private rented sector"),INDEX(PlotData,MATCH($A285,PlotNumber,0),MATCH("Tenure",PlotTitles,0))="Affordable rent"),"",ISNUMBER(INDEX(PlotData,MATCH($A285,PlotNumber,0),MATCH(S$3,PlotTitles,0)))=FALSE, $AB$22,TRUE,"")</f>
        <v/>
      </c>
      <c r="T285" s="104" t="str" cm="1">
        <f t="array" ref="T285">_xlfn.IFS(AND(A285&gt;NumberOfPlots,ISBLANK(INDEX(PlotData,MATCH($A285,PlotNumber,0),MATCH(B$3,PlotTitles,0)))),"",OR(AND(INDEX(PlotData,MATCH($A285,PlotNumber,0),MATCH("Tenure",PlotTitles,0))="Open market housing",INDEX(PlotData,MATCH($A285,PlotNumber,0),MATCH("Tenure detail",PlotTitles,0))="Private rented sector"),INDEX(PlotData,MATCH($A285,PlotNumber,0),MATCH("Tenure",PlotTitles,0))="Affordable rent"),"",INDEX(PlotData,MATCH($A285,PlotNumber,0),MATCH(S$3,PlotTitles,0))&lt;10000, $AB$23,TRUE,"")</f>
        <v/>
      </c>
      <c r="U285" s="104" t="str" cm="1">
        <f t="array" ref="U285">_xlfn.IFS(AND(A285&gt;NumberOfPlots,ISBLANK(INDEX(PlotData,MATCH($A285,PlotNumber,0),MATCH(B$3,PlotTitles,0)))),"",NOT(OR(AND(INDEX(PlotData,MATCH($A285,PlotNumber,0),MATCH("Tenure",PlotTitles,0))="Open market housing",INDEX(PlotData,MATCH($A285,PlotNumber,0),MATCH("Tenure detail",PlotTitles,0))="Private rented sector"),INDEX(PlotData,MATCH($A285,PlotNumber,0),MATCH("Tenure",PlotTitles,0))="Affordable rent")),"",NOT(INDEX(PlotData,MATCH($A285,PlotNumber,0),MATCH(S$3,PlotTitles,0))=0), $AB$24,TRUE,"")</f>
        <v/>
      </c>
      <c r="V285" s="114" t="str" cm="1">
        <f t="array" aca="1" ref="V285" ca="1">_xlfn.IFS(ISBLANK(NumberOfPlots),"Enter the number of homes on the 1_SetUp sheet",AND(A285&gt;NumberOfPlots,ISBLANK(INDEX(PlotData,MATCH($A285,PlotNumber,0),MATCH(B$3,PlotTitles,0)))),"No error",NOT(B285=""),B285,NOT(C285=""),C285,NOT(D285=""),D285,NOT(E285=""),E285,NOT(F285=""),F285,NOT(G285=""),G285,NOT(H285=""),H285,NOT(I285=""),I285,NOT(J285=""),J285,NOT(K285=""),K285,NOT(L285=""),L285,NOT(M285=""),M285,NOT(N285=""),N285,NOT(O285=""),O285,NOT(P285=""),P285,NOT(Q285=""),Q285,NOT(R285=""),R285,NOT(S285=""),S285,NOT(T285=""),T285,NOT(U285=""),U285,TRUE,"No error")</f>
        <v>Enter the number of homes on the 1_SetUp sheet</v>
      </c>
      <c r="W285" s="114" t="str">
        <f t="shared" ca="1" si="14"/>
        <v xml:space="preserve">The Borrower has not addressed the following error messages for Home ID 281: </v>
      </c>
    </row>
    <row r="286" spans="1:23">
      <c r="A286" s="123">
        <v>282</v>
      </c>
      <c r="B286" s="104" t="str" cm="1">
        <f t="array" ref="B286">_xlfn.IFS(AND(A286&gt;NumberOfPlots,ISBLANK(INDEX(PlotData,MATCH($A286,PlotNumber,0),MATCH(B$3,PlotTitles,0)))),"",ISNUMBER(INDEX(PlotData,MATCH($A286,PlotNumber,0),MATCH(B$3,PlotTitles,0)))=FALSE, $AB$5,TRUE,"")</f>
        <v/>
      </c>
      <c r="C286" s="104" t="str" cm="1">
        <f t="array" ref="C286">_xlfn.IFS(AND(A286&gt;NumberOfPlots,ISBLANK(INDEX(PlotData,MATCH($A286,PlotNumber,0),MATCH(B$3,PlotTitles,0)))),"",ISBLANK(INDEX(PlotData,MATCH($A286,PlotNumber,0),MATCH(C$3,PlotTitles,0))),$AB$6,TRUE,"")</f>
        <v/>
      </c>
      <c r="D286" s="104" t="str" cm="1">
        <f t="array" ref="D286">_xlfn.IFS(AND(A286&gt;NumberOfPlots,ISBLANK(INDEX(PlotData,MATCH($A286,PlotNumber,0),MATCH(B$3,PlotTitles,0)))),"",ISBLANK(INDEX(PlotData,MATCH($A286,PlotNumber,0),MATCH(D$3,PlotTitles,0))),$AB$7,TRUE,"")</f>
        <v/>
      </c>
      <c r="E286" s="104" t="str" cm="1">
        <f t="array" ref="E286">_xlfn.IFS(AND(A286&gt;NumberOfPlots,ISBLANK(INDEX(PlotData,MATCH($A286,PlotNumber,0),MATCH(B$3,PlotTitles,0)))),"",ISBLANK(INDEX(PlotData,MATCH($A286,PlotNumber,0),MATCH(E$3,PlotTitles,0))),$AB$8,TRUE,"")</f>
        <v/>
      </c>
      <c r="F286" s="104" t="str" cm="1">
        <f t="array" ref="F286">_xlfn.IFS(AND(A286&gt;NumberOfPlots,ISBLANK(INDEX(PlotData,MATCH($A286,PlotNumber,0),MATCH(B$3,PlotTitles,0)))),"",ISBLANK(INDEX(PlotData,MATCH($A286,PlotNumber,0),MATCH(F$3,PlotTitles,0))),$AB$9,TRUE,"")</f>
        <v/>
      </c>
      <c r="G286" s="104" t="str" cm="1">
        <f t="array" ref="G286">_xlfn.IFS(AND(A286&gt;NumberOfPlots,ISBLANK(INDEX(PlotData,MATCH($A286,PlotNumber,0),MATCH(B$3,PlotTitles,0)))),"",ISBLANK(INDEX(PlotData,MATCH($A286,PlotNumber,0),MATCH(G$3,PlotTitles,0))),$AB$10,TRUE,"")</f>
        <v/>
      </c>
      <c r="H286" s="104" t="str" cm="1">
        <f t="array" ref="H286">_xlfn.IFS(AND(A286&gt;NumberOfPlots,ISBLANK(INDEX(PlotData,MATCH($A286,PlotNumber,0),MATCH(B$3,PlotTitles,0)))),"",AND(ISBLANK(INDEX(PlotData,MATCH($A286,PlotNumber,0),MATCH(H$3,PlotTitles,0)))=FALSE,INDEX(PlotData,MATCH($A286,PlotNumber,0),MATCH(H$3,PlotTitles,0))&lt;500), $AB$11,TRUE,"")</f>
        <v/>
      </c>
      <c r="I286" s="104" t="str" cm="1">
        <f t="array" ref="I286">_xlfn.IFS(AND(A286&gt;NumberOfPlots,ISBLANK(INDEX(PlotData,MATCH($A286,PlotNumber,0),MATCH(B$3,PlotTitles,0)))),"",ISBLANK(INDEX(PlotData,MATCH($A286,PlotNumber,0),MATCH(I$3,PlotTitles,0))),$AB$12,TRUE,"")</f>
        <v/>
      </c>
      <c r="J286" s="104" t="str" cm="1">
        <f t="array" ref="J286">_xlfn.IFS(AND(A286&gt;NumberOfPlots,ISBLANK(INDEX(PlotData,MATCH($A286,PlotNumber,0),MATCH(B$3,PlotTitles,0)))),"",ISBLANK(INDEX(PlotData,MATCH($A286,PlotNumber,0),MATCH(J$3,PlotTitles,0))),$AB$13,TRUE,"")</f>
        <v/>
      </c>
      <c r="K286" s="182" t="str">
        <f t="shared" ca="1" si="12"/>
        <v/>
      </c>
      <c r="L286" s="104" t="str" cm="1">
        <f t="array" ref="L286">_xlfn.IFS(OR(ISBLANK(StartDateMonth),ISBLANK(StartDateYear)),"",AND(A286&gt;NumberOfPlots,ISBLANK(INDEX(PlotData,MATCH($A286,PlotNumber,0),MATCH(B$3,PlotTitles,0)))),"",ISBLANK(INDEX(PlotData,MATCH($A286,PlotNumber,0),MATCH(I$3,PlotTitles,0))),"",(DATEVALUE(INDEX(PlotData,MATCH($A286,PlotNumber,0),MATCH(I$3,PlotTitles,0))&amp;INDEX(PlotData,MATCH($A286,PlotNumber,0),MATCH(J$3,PlotTitles,0))))&lt;DATEVALUE(StartDateMonth&amp;StartDateYear),$AB$15,TRUE,"")</f>
        <v/>
      </c>
      <c r="M286" s="104" t="str" cm="1">
        <f t="array" ref="M286">_xlfn.IFS(OR(ISBLANK(StartDateMonth),ISBLANK(StartDateYear)),"",AND(A286&gt;NumberOfPlots,ISBLANK(INDEX(PlotData,MATCH($A286,PlotNumber,0),MATCH(B$3,PlotTitles,0)))),"",ISBLANK(INDEX(PlotData,MATCH($A286,PlotNumber,0),MATCH(I$3,PlotTitles,0))),"",CompletionMonth="","",(DATEVALUE(INDEX(PlotData,MATCH($A286,PlotNumber,0),MATCH(I$3,PlotTitles,0))&amp;INDEX(PlotData,MATCH($A286,PlotNumber,0),MATCH(J$3,PlotTitles,0))))&gt;(DATEVALUE(CompletionMonth&amp;CompletionYear)),$AB$16,TRUE,"")</f>
        <v/>
      </c>
      <c r="N286" s="104" t="str" cm="1">
        <f t="array" ref="N286">_xlfn.IFS(AND(A286&gt;NumberOfPlots,ISBLANK(INDEX(PlotData,MATCH($A286,PlotNumber,0),MATCH(B$3,PlotTitles,0)))),"",ISBLANK(INDEX(PlotData,MATCH($A286,PlotNumber,0),MATCH(N$3,PlotTitles,0))),$AB$17,TRUE,"")</f>
        <v/>
      </c>
      <c r="O286" s="104" t="str" cm="1">
        <f t="array" ref="O286">_xlfn.IFS(AND(A286&gt;NumberOfPlots,ISBLANK(INDEX(PlotData,MATCH($A286,PlotNumber,0),MATCH(B$3,PlotTitles,0)))),"",ISBLANK(INDEX(PlotData,MATCH($A286,PlotNumber,0),MATCH(O$3,PlotTitles,0))),$AB$18,TRUE,"")</f>
        <v/>
      </c>
      <c r="P286" s="182" t="str">
        <f t="shared" ca="1" si="13"/>
        <v/>
      </c>
      <c r="Q286" s="104" t="str" cm="1">
        <f t="array" ref="Q286">_xlfn.IFS(AND(A286&gt;NumberOfPlots,ISBLANK(INDEX(PlotData,MATCH($A286,PlotNumber,0),MATCH(B$3,PlotTitles,0)))),"",ISBLANK(INDEX(PlotData,MATCH($A286,PlotNumber,0),MATCH(N$3,PlotTitles,0))),"",(DATEVALUE(INDEX(PlotData,MATCH($A286,PlotNumber,0),MATCH(N$3,PlotTitles,0))&amp;INDEX(PlotData,MATCH($A286,PlotNumber,0),MATCH(O$3,PlotTitles,0))))&lt;(DATEVALUE(INDEX(PlotData,MATCH($A286,PlotNumber,0),MATCH(I$3,PlotTitles,0))&amp;INDEX(PlotData,MATCH($A286,PlotNumber,0),MATCH(J$3,PlotTitles,0)))),$AB$20,TRUE,"")</f>
        <v/>
      </c>
      <c r="R286" s="104" t="str" cm="1">
        <f t="array" ref="R286">_xlfn.IFS(OR(ISBLANK(StartDateMonth),ISBLANK(StartDateYear)),"",AND(A286&gt;NumberOfPlots,ISBLANK(INDEX(PlotData,MATCH($A286,PlotNumber,0),MATCH(B$3,PlotTitles,0)))),"",ISBLANK(INDEX(PlotData,MATCH($A286,PlotNumber,0),MATCH(N$3,PlotTitles,0))),"",CompletionMonth="","",(DATEVALUE(INDEX(PlotData,MATCH($A286,PlotNumber,0),MATCH(N$3,PlotTitles,0))&amp;INDEX(PlotData,MATCH($A286,PlotNumber,0),MATCH(O$3,PlotTitles,0))))&gt;(DATEVALUE(CompletionMonth&amp;CompletionYear)),$AB$21,TRUE,"")</f>
        <v/>
      </c>
      <c r="S286" s="104" t="str" cm="1">
        <f t="array" ref="S286">_xlfn.IFS(AND(A286&gt;NumberOfPlots,ISBLANK(INDEX(PlotData,MATCH($A286,PlotNumber,0),MATCH(B$3,PlotTitles,0)))),"",OR(AND(INDEX(PlotData,MATCH($A286,PlotNumber,0),MATCH("Tenure",PlotTitles,0))="Open market housing",INDEX(PlotData,MATCH($A286,PlotNumber,0),MATCH("Tenure detail",PlotTitles,0))="Private rented sector"),INDEX(PlotData,MATCH($A286,PlotNumber,0),MATCH("Tenure",PlotTitles,0))="Affordable rent"),"",ISNUMBER(INDEX(PlotData,MATCH($A286,PlotNumber,0),MATCH(S$3,PlotTitles,0)))=FALSE, $AB$22,TRUE,"")</f>
        <v/>
      </c>
      <c r="T286" s="104" t="str" cm="1">
        <f t="array" ref="T286">_xlfn.IFS(AND(A286&gt;NumberOfPlots,ISBLANK(INDEX(PlotData,MATCH($A286,PlotNumber,0),MATCH(B$3,PlotTitles,0)))),"",OR(AND(INDEX(PlotData,MATCH($A286,PlotNumber,0),MATCH("Tenure",PlotTitles,0))="Open market housing",INDEX(PlotData,MATCH($A286,PlotNumber,0),MATCH("Tenure detail",PlotTitles,0))="Private rented sector"),INDEX(PlotData,MATCH($A286,PlotNumber,0),MATCH("Tenure",PlotTitles,0))="Affordable rent"),"",INDEX(PlotData,MATCH($A286,PlotNumber,0),MATCH(S$3,PlotTitles,0))&lt;10000, $AB$23,TRUE,"")</f>
        <v/>
      </c>
      <c r="U286" s="104" t="str" cm="1">
        <f t="array" ref="U286">_xlfn.IFS(AND(A286&gt;NumberOfPlots,ISBLANK(INDEX(PlotData,MATCH($A286,PlotNumber,0),MATCH(B$3,PlotTitles,0)))),"",NOT(OR(AND(INDEX(PlotData,MATCH($A286,PlotNumber,0),MATCH("Tenure",PlotTitles,0))="Open market housing",INDEX(PlotData,MATCH($A286,PlotNumber,0),MATCH("Tenure detail",PlotTitles,0))="Private rented sector"),INDEX(PlotData,MATCH($A286,PlotNumber,0),MATCH("Tenure",PlotTitles,0))="Affordable rent")),"",NOT(INDEX(PlotData,MATCH($A286,PlotNumber,0),MATCH(S$3,PlotTitles,0))=0), $AB$24,TRUE,"")</f>
        <v/>
      </c>
      <c r="V286" s="114" t="str" cm="1">
        <f t="array" aca="1" ref="V286" ca="1">_xlfn.IFS(ISBLANK(NumberOfPlots),"Enter the number of homes on the 1_SetUp sheet",AND(A286&gt;NumberOfPlots,ISBLANK(INDEX(PlotData,MATCH($A286,PlotNumber,0),MATCH(B$3,PlotTitles,0)))),"No error",NOT(B286=""),B286,NOT(C286=""),C286,NOT(D286=""),D286,NOT(E286=""),E286,NOT(F286=""),F286,NOT(G286=""),G286,NOT(H286=""),H286,NOT(I286=""),I286,NOT(J286=""),J286,NOT(K286=""),K286,NOT(L286=""),L286,NOT(M286=""),M286,NOT(N286=""),N286,NOT(O286=""),O286,NOT(P286=""),P286,NOT(Q286=""),Q286,NOT(R286=""),R286,NOT(S286=""),S286,NOT(T286=""),T286,NOT(U286=""),U286,TRUE,"No error")</f>
        <v>Enter the number of homes on the 1_SetUp sheet</v>
      </c>
      <c r="W286" s="114" t="str">
        <f t="shared" ca="1" si="14"/>
        <v xml:space="preserve">The Borrower has not addressed the following error messages for Home ID 282: </v>
      </c>
    </row>
    <row r="287" spans="1:23">
      <c r="A287" s="123">
        <v>283</v>
      </c>
      <c r="B287" s="104" t="str" cm="1">
        <f t="array" ref="B287">_xlfn.IFS(AND(A287&gt;NumberOfPlots,ISBLANK(INDEX(PlotData,MATCH($A287,PlotNumber,0),MATCH(B$3,PlotTitles,0)))),"",ISNUMBER(INDEX(PlotData,MATCH($A287,PlotNumber,0),MATCH(B$3,PlotTitles,0)))=FALSE, $AB$5,TRUE,"")</f>
        <v/>
      </c>
      <c r="C287" s="104" t="str" cm="1">
        <f t="array" ref="C287">_xlfn.IFS(AND(A287&gt;NumberOfPlots,ISBLANK(INDEX(PlotData,MATCH($A287,PlotNumber,0),MATCH(B$3,PlotTitles,0)))),"",ISBLANK(INDEX(PlotData,MATCH($A287,PlotNumber,0),MATCH(C$3,PlotTitles,0))),$AB$6,TRUE,"")</f>
        <v/>
      </c>
      <c r="D287" s="104" t="str" cm="1">
        <f t="array" ref="D287">_xlfn.IFS(AND(A287&gt;NumberOfPlots,ISBLANK(INDEX(PlotData,MATCH($A287,PlotNumber,0),MATCH(B$3,PlotTitles,0)))),"",ISBLANK(INDEX(PlotData,MATCH($A287,PlotNumber,0),MATCH(D$3,PlotTitles,0))),$AB$7,TRUE,"")</f>
        <v/>
      </c>
      <c r="E287" s="104" t="str" cm="1">
        <f t="array" ref="E287">_xlfn.IFS(AND(A287&gt;NumberOfPlots,ISBLANK(INDEX(PlotData,MATCH($A287,PlotNumber,0),MATCH(B$3,PlotTitles,0)))),"",ISBLANK(INDEX(PlotData,MATCH($A287,PlotNumber,0),MATCH(E$3,PlotTitles,0))),$AB$8,TRUE,"")</f>
        <v/>
      </c>
      <c r="F287" s="104" t="str" cm="1">
        <f t="array" ref="F287">_xlfn.IFS(AND(A287&gt;NumberOfPlots,ISBLANK(INDEX(PlotData,MATCH($A287,PlotNumber,0),MATCH(B$3,PlotTitles,0)))),"",ISBLANK(INDEX(PlotData,MATCH($A287,PlotNumber,0),MATCH(F$3,PlotTitles,0))),$AB$9,TRUE,"")</f>
        <v/>
      </c>
      <c r="G287" s="104" t="str" cm="1">
        <f t="array" ref="G287">_xlfn.IFS(AND(A287&gt;NumberOfPlots,ISBLANK(INDEX(PlotData,MATCH($A287,PlotNumber,0),MATCH(B$3,PlotTitles,0)))),"",ISBLANK(INDEX(PlotData,MATCH($A287,PlotNumber,0),MATCH(G$3,PlotTitles,0))),$AB$10,TRUE,"")</f>
        <v/>
      </c>
      <c r="H287" s="104" t="str" cm="1">
        <f t="array" ref="H287">_xlfn.IFS(AND(A287&gt;NumberOfPlots,ISBLANK(INDEX(PlotData,MATCH($A287,PlotNumber,0),MATCH(B$3,PlotTitles,0)))),"",AND(ISBLANK(INDEX(PlotData,MATCH($A287,PlotNumber,0),MATCH(H$3,PlotTitles,0)))=FALSE,INDEX(PlotData,MATCH($A287,PlotNumber,0),MATCH(H$3,PlotTitles,0))&lt;500), $AB$11,TRUE,"")</f>
        <v/>
      </c>
      <c r="I287" s="104" t="str" cm="1">
        <f t="array" ref="I287">_xlfn.IFS(AND(A287&gt;NumberOfPlots,ISBLANK(INDEX(PlotData,MATCH($A287,PlotNumber,0),MATCH(B$3,PlotTitles,0)))),"",ISBLANK(INDEX(PlotData,MATCH($A287,PlotNumber,0),MATCH(I$3,PlotTitles,0))),$AB$12,TRUE,"")</f>
        <v/>
      </c>
      <c r="J287" s="104" t="str" cm="1">
        <f t="array" ref="J287">_xlfn.IFS(AND(A287&gt;NumberOfPlots,ISBLANK(INDEX(PlotData,MATCH($A287,PlotNumber,0),MATCH(B$3,PlotTitles,0)))),"",ISBLANK(INDEX(PlotData,MATCH($A287,PlotNumber,0),MATCH(J$3,PlotTitles,0))),$AB$13,TRUE,"")</f>
        <v/>
      </c>
      <c r="K287" s="182" t="str">
        <f t="shared" ca="1" si="12"/>
        <v/>
      </c>
      <c r="L287" s="104" t="str" cm="1">
        <f t="array" ref="L287">_xlfn.IFS(OR(ISBLANK(StartDateMonth),ISBLANK(StartDateYear)),"",AND(A287&gt;NumberOfPlots,ISBLANK(INDEX(PlotData,MATCH($A287,PlotNumber,0),MATCH(B$3,PlotTitles,0)))),"",ISBLANK(INDEX(PlotData,MATCH($A287,PlotNumber,0),MATCH(I$3,PlotTitles,0))),"",(DATEVALUE(INDEX(PlotData,MATCH($A287,PlotNumber,0),MATCH(I$3,PlotTitles,0))&amp;INDEX(PlotData,MATCH($A287,PlotNumber,0),MATCH(J$3,PlotTitles,0))))&lt;DATEVALUE(StartDateMonth&amp;StartDateYear),$AB$15,TRUE,"")</f>
        <v/>
      </c>
      <c r="M287" s="104" t="str" cm="1">
        <f t="array" ref="M287">_xlfn.IFS(OR(ISBLANK(StartDateMonth),ISBLANK(StartDateYear)),"",AND(A287&gt;NumberOfPlots,ISBLANK(INDEX(PlotData,MATCH($A287,PlotNumber,0),MATCH(B$3,PlotTitles,0)))),"",ISBLANK(INDEX(PlotData,MATCH($A287,PlotNumber,0),MATCH(I$3,PlotTitles,0))),"",CompletionMonth="","",(DATEVALUE(INDEX(PlotData,MATCH($A287,PlotNumber,0),MATCH(I$3,PlotTitles,0))&amp;INDEX(PlotData,MATCH($A287,PlotNumber,0),MATCH(J$3,PlotTitles,0))))&gt;(DATEVALUE(CompletionMonth&amp;CompletionYear)),$AB$16,TRUE,"")</f>
        <v/>
      </c>
      <c r="N287" s="104" t="str" cm="1">
        <f t="array" ref="N287">_xlfn.IFS(AND(A287&gt;NumberOfPlots,ISBLANK(INDEX(PlotData,MATCH($A287,PlotNumber,0),MATCH(B$3,PlotTitles,0)))),"",ISBLANK(INDEX(PlotData,MATCH($A287,PlotNumber,0),MATCH(N$3,PlotTitles,0))),$AB$17,TRUE,"")</f>
        <v/>
      </c>
      <c r="O287" s="104" t="str" cm="1">
        <f t="array" ref="O287">_xlfn.IFS(AND(A287&gt;NumberOfPlots,ISBLANK(INDEX(PlotData,MATCH($A287,PlotNumber,0),MATCH(B$3,PlotTitles,0)))),"",ISBLANK(INDEX(PlotData,MATCH($A287,PlotNumber,0),MATCH(O$3,PlotTitles,0))),$AB$18,TRUE,"")</f>
        <v/>
      </c>
      <c r="P287" s="182" t="str">
        <f t="shared" ca="1" si="13"/>
        <v/>
      </c>
      <c r="Q287" s="104" t="str" cm="1">
        <f t="array" ref="Q287">_xlfn.IFS(AND(A287&gt;NumberOfPlots,ISBLANK(INDEX(PlotData,MATCH($A287,PlotNumber,0),MATCH(B$3,PlotTitles,0)))),"",ISBLANK(INDEX(PlotData,MATCH($A287,PlotNumber,0),MATCH(N$3,PlotTitles,0))),"",(DATEVALUE(INDEX(PlotData,MATCH($A287,PlotNumber,0),MATCH(N$3,PlotTitles,0))&amp;INDEX(PlotData,MATCH($A287,PlotNumber,0),MATCH(O$3,PlotTitles,0))))&lt;(DATEVALUE(INDEX(PlotData,MATCH($A287,PlotNumber,0),MATCH(I$3,PlotTitles,0))&amp;INDEX(PlotData,MATCH($A287,PlotNumber,0),MATCH(J$3,PlotTitles,0)))),$AB$20,TRUE,"")</f>
        <v/>
      </c>
      <c r="R287" s="104" t="str" cm="1">
        <f t="array" ref="R287">_xlfn.IFS(OR(ISBLANK(StartDateMonth),ISBLANK(StartDateYear)),"",AND(A287&gt;NumberOfPlots,ISBLANK(INDEX(PlotData,MATCH($A287,PlotNumber,0),MATCH(B$3,PlotTitles,0)))),"",ISBLANK(INDEX(PlotData,MATCH($A287,PlotNumber,0),MATCH(N$3,PlotTitles,0))),"",CompletionMonth="","",(DATEVALUE(INDEX(PlotData,MATCH($A287,PlotNumber,0),MATCH(N$3,PlotTitles,0))&amp;INDEX(PlotData,MATCH($A287,PlotNumber,0),MATCH(O$3,PlotTitles,0))))&gt;(DATEVALUE(CompletionMonth&amp;CompletionYear)),$AB$21,TRUE,"")</f>
        <v/>
      </c>
      <c r="S287" s="104" t="str" cm="1">
        <f t="array" ref="S287">_xlfn.IFS(AND(A287&gt;NumberOfPlots,ISBLANK(INDEX(PlotData,MATCH($A287,PlotNumber,0),MATCH(B$3,PlotTitles,0)))),"",OR(AND(INDEX(PlotData,MATCH($A287,PlotNumber,0),MATCH("Tenure",PlotTitles,0))="Open market housing",INDEX(PlotData,MATCH($A287,PlotNumber,0),MATCH("Tenure detail",PlotTitles,0))="Private rented sector"),INDEX(PlotData,MATCH($A287,PlotNumber,0),MATCH("Tenure",PlotTitles,0))="Affordable rent"),"",ISNUMBER(INDEX(PlotData,MATCH($A287,PlotNumber,0),MATCH(S$3,PlotTitles,0)))=FALSE, $AB$22,TRUE,"")</f>
        <v/>
      </c>
      <c r="T287" s="104" t="str" cm="1">
        <f t="array" ref="T287">_xlfn.IFS(AND(A287&gt;NumberOfPlots,ISBLANK(INDEX(PlotData,MATCH($A287,PlotNumber,0),MATCH(B$3,PlotTitles,0)))),"",OR(AND(INDEX(PlotData,MATCH($A287,PlotNumber,0),MATCH("Tenure",PlotTitles,0))="Open market housing",INDEX(PlotData,MATCH($A287,PlotNumber,0),MATCH("Tenure detail",PlotTitles,0))="Private rented sector"),INDEX(PlotData,MATCH($A287,PlotNumber,0),MATCH("Tenure",PlotTitles,0))="Affordable rent"),"",INDEX(PlotData,MATCH($A287,PlotNumber,0),MATCH(S$3,PlotTitles,0))&lt;10000, $AB$23,TRUE,"")</f>
        <v/>
      </c>
      <c r="U287" s="104" t="str" cm="1">
        <f t="array" ref="U287">_xlfn.IFS(AND(A287&gt;NumberOfPlots,ISBLANK(INDEX(PlotData,MATCH($A287,PlotNumber,0),MATCH(B$3,PlotTitles,0)))),"",NOT(OR(AND(INDEX(PlotData,MATCH($A287,PlotNumber,0),MATCH("Tenure",PlotTitles,0))="Open market housing",INDEX(PlotData,MATCH($A287,PlotNumber,0),MATCH("Tenure detail",PlotTitles,0))="Private rented sector"),INDEX(PlotData,MATCH($A287,PlotNumber,0),MATCH("Tenure",PlotTitles,0))="Affordable rent")),"",NOT(INDEX(PlotData,MATCH($A287,PlotNumber,0),MATCH(S$3,PlotTitles,0))=0), $AB$24,TRUE,"")</f>
        <v/>
      </c>
      <c r="V287" s="114" t="str" cm="1">
        <f t="array" aca="1" ref="V287" ca="1">_xlfn.IFS(ISBLANK(NumberOfPlots),"Enter the number of homes on the 1_SetUp sheet",AND(A287&gt;NumberOfPlots,ISBLANK(INDEX(PlotData,MATCH($A287,PlotNumber,0),MATCH(B$3,PlotTitles,0)))),"No error",NOT(B287=""),B287,NOT(C287=""),C287,NOT(D287=""),D287,NOT(E287=""),E287,NOT(F287=""),F287,NOT(G287=""),G287,NOT(H287=""),H287,NOT(I287=""),I287,NOT(J287=""),J287,NOT(K287=""),K287,NOT(L287=""),L287,NOT(M287=""),M287,NOT(N287=""),N287,NOT(O287=""),O287,NOT(P287=""),P287,NOT(Q287=""),Q287,NOT(R287=""),R287,NOT(S287=""),S287,NOT(T287=""),T287,NOT(U287=""),U287,TRUE,"No error")</f>
        <v>Enter the number of homes on the 1_SetUp sheet</v>
      </c>
      <c r="W287" s="114" t="str">
        <f t="shared" ca="1" si="14"/>
        <v xml:space="preserve">The Borrower has not addressed the following error messages for Home ID 283: </v>
      </c>
    </row>
    <row r="288" spans="1:23">
      <c r="A288" s="123">
        <v>284</v>
      </c>
      <c r="B288" s="104" t="str" cm="1">
        <f t="array" ref="B288">_xlfn.IFS(AND(A288&gt;NumberOfPlots,ISBLANK(INDEX(PlotData,MATCH($A288,PlotNumber,0),MATCH(B$3,PlotTitles,0)))),"",ISNUMBER(INDEX(PlotData,MATCH($A288,PlotNumber,0),MATCH(B$3,PlotTitles,0)))=FALSE, $AB$5,TRUE,"")</f>
        <v/>
      </c>
      <c r="C288" s="104" t="str" cm="1">
        <f t="array" ref="C288">_xlfn.IFS(AND(A288&gt;NumberOfPlots,ISBLANK(INDEX(PlotData,MATCH($A288,PlotNumber,0),MATCH(B$3,PlotTitles,0)))),"",ISBLANK(INDEX(PlotData,MATCH($A288,PlotNumber,0),MATCH(C$3,PlotTitles,0))),$AB$6,TRUE,"")</f>
        <v/>
      </c>
      <c r="D288" s="104" t="str" cm="1">
        <f t="array" ref="D288">_xlfn.IFS(AND(A288&gt;NumberOfPlots,ISBLANK(INDEX(PlotData,MATCH($A288,PlotNumber,0),MATCH(B$3,PlotTitles,0)))),"",ISBLANK(INDEX(PlotData,MATCH($A288,PlotNumber,0),MATCH(D$3,PlotTitles,0))),$AB$7,TRUE,"")</f>
        <v/>
      </c>
      <c r="E288" s="104" t="str" cm="1">
        <f t="array" ref="E288">_xlfn.IFS(AND(A288&gt;NumberOfPlots,ISBLANK(INDEX(PlotData,MATCH($A288,PlotNumber,0),MATCH(B$3,PlotTitles,0)))),"",ISBLANK(INDEX(PlotData,MATCH($A288,PlotNumber,0),MATCH(E$3,PlotTitles,0))),$AB$8,TRUE,"")</f>
        <v/>
      </c>
      <c r="F288" s="104" t="str" cm="1">
        <f t="array" ref="F288">_xlfn.IFS(AND(A288&gt;NumberOfPlots,ISBLANK(INDEX(PlotData,MATCH($A288,PlotNumber,0),MATCH(B$3,PlotTitles,0)))),"",ISBLANK(INDEX(PlotData,MATCH($A288,PlotNumber,0),MATCH(F$3,PlotTitles,0))),$AB$9,TRUE,"")</f>
        <v/>
      </c>
      <c r="G288" s="104" t="str" cm="1">
        <f t="array" ref="G288">_xlfn.IFS(AND(A288&gt;NumberOfPlots,ISBLANK(INDEX(PlotData,MATCH($A288,PlotNumber,0),MATCH(B$3,PlotTitles,0)))),"",ISBLANK(INDEX(PlotData,MATCH($A288,PlotNumber,0),MATCH(G$3,PlotTitles,0))),$AB$10,TRUE,"")</f>
        <v/>
      </c>
      <c r="H288" s="104" t="str" cm="1">
        <f t="array" ref="H288">_xlfn.IFS(AND(A288&gt;NumberOfPlots,ISBLANK(INDEX(PlotData,MATCH($A288,PlotNumber,0),MATCH(B$3,PlotTitles,0)))),"",AND(ISBLANK(INDEX(PlotData,MATCH($A288,PlotNumber,0),MATCH(H$3,PlotTitles,0)))=FALSE,INDEX(PlotData,MATCH($A288,PlotNumber,0),MATCH(H$3,PlotTitles,0))&lt;500), $AB$11,TRUE,"")</f>
        <v/>
      </c>
      <c r="I288" s="104" t="str" cm="1">
        <f t="array" ref="I288">_xlfn.IFS(AND(A288&gt;NumberOfPlots,ISBLANK(INDEX(PlotData,MATCH($A288,PlotNumber,0),MATCH(B$3,PlotTitles,0)))),"",ISBLANK(INDEX(PlotData,MATCH($A288,PlotNumber,0),MATCH(I$3,PlotTitles,0))),$AB$12,TRUE,"")</f>
        <v/>
      </c>
      <c r="J288" s="104" t="str" cm="1">
        <f t="array" ref="J288">_xlfn.IFS(AND(A288&gt;NumberOfPlots,ISBLANK(INDEX(PlotData,MATCH($A288,PlotNumber,0),MATCH(B$3,PlotTitles,0)))),"",ISBLANK(INDEX(PlotData,MATCH($A288,PlotNumber,0),MATCH(J$3,PlotTitles,0))),$AB$13,TRUE,"")</f>
        <v/>
      </c>
      <c r="K288" s="182" t="str">
        <f t="shared" ca="1" si="12"/>
        <v/>
      </c>
      <c r="L288" s="104" t="str" cm="1">
        <f t="array" ref="L288">_xlfn.IFS(OR(ISBLANK(StartDateMonth),ISBLANK(StartDateYear)),"",AND(A288&gt;NumberOfPlots,ISBLANK(INDEX(PlotData,MATCH($A288,PlotNumber,0),MATCH(B$3,PlotTitles,0)))),"",ISBLANK(INDEX(PlotData,MATCH($A288,PlotNumber,0),MATCH(I$3,PlotTitles,0))),"",(DATEVALUE(INDEX(PlotData,MATCH($A288,PlotNumber,0),MATCH(I$3,PlotTitles,0))&amp;INDEX(PlotData,MATCH($A288,PlotNumber,0),MATCH(J$3,PlotTitles,0))))&lt;DATEVALUE(StartDateMonth&amp;StartDateYear),$AB$15,TRUE,"")</f>
        <v/>
      </c>
      <c r="M288" s="104" t="str" cm="1">
        <f t="array" ref="M288">_xlfn.IFS(OR(ISBLANK(StartDateMonth),ISBLANK(StartDateYear)),"",AND(A288&gt;NumberOfPlots,ISBLANK(INDEX(PlotData,MATCH($A288,PlotNumber,0),MATCH(B$3,PlotTitles,0)))),"",ISBLANK(INDEX(PlotData,MATCH($A288,PlotNumber,0),MATCH(I$3,PlotTitles,0))),"",CompletionMonth="","",(DATEVALUE(INDEX(PlotData,MATCH($A288,PlotNumber,0),MATCH(I$3,PlotTitles,0))&amp;INDEX(PlotData,MATCH($A288,PlotNumber,0),MATCH(J$3,PlotTitles,0))))&gt;(DATEVALUE(CompletionMonth&amp;CompletionYear)),$AB$16,TRUE,"")</f>
        <v/>
      </c>
      <c r="N288" s="104" t="str" cm="1">
        <f t="array" ref="N288">_xlfn.IFS(AND(A288&gt;NumberOfPlots,ISBLANK(INDEX(PlotData,MATCH($A288,PlotNumber,0),MATCH(B$3,PlotTitles,0)))),"",ISBLANK(INDEX(PlotData,MATCH($A288,PlotNumber,0),MATCH(N$3,PlotTitles,0))),$AB$17,TRUE,"")</f>
        <v/>
      </c>
      <c r="O288" s="104" t="str" cm="1">
        <f t="array" ref="O288">_xlfn.IFS(AND(A288&gt;NumberOfPlots,ISBLANK(INDEX(PlotData,MATCH($A288,PlotNumber,0),MATCH(B$3,PlotTitles,0)))),"",ISBLANK(INDEX(PlotData,MATCH($A288,PlotNumber,0),MATCH(O$3,PlotTitles,0))),$AB$18,TRUE,"")</f>
        <v/>
      </c>
      <c r="P288" s="182" t="str">
        <f t="shared" ca="1" si="13"/>
        <v/>
      </c>
      <c r="Q288" s="104" t="str" cm="1">
        <f t="array" ref="Q288">_xlfn.IFS(AND(A288&gt;NumberOfPlots,ISBLANK(INDEX(PlotData,MATCH($A288,PlotNumber,0),MATCH(B$3,PlotTitles,0)))),"",ISBLANK(INDEX(PlotData,MATCH($A288,PlotNumber,0),MATCH(N$3,PlotTitles,0))),"",(DATEVALUE(INDEX(PlotData,MATCH($A288,PlotNumber,0),MATCH(N$3,PlotTitles,0))&amp;INDEX(PlotData,MATCH($A288,PlotNumber,0),MATCH(O$3,PlotTitles,0))))&lt;(DATEVALUE(INDEX(PlotData,MATCH($A288,PlotNumber,0),MATCH(I$3,PlotTitles,0))&amp;INDEX(PlotData,MATCH($A288,PlotNumber,0),MATCH(J$3,PlotTitles,0)))),$AB$20,TRUE,"")</f>
        <v/>
      </c>
      <c r="R288" s="104" t="str" cm="1">
        <f t="array" ref="R288">_xlfn.IFS(OR(ISBLANK(StartDateMonth),ISBLANK(StartDateYear)),"",AND(A288&gt;NumberOfPlots,ISBLANK(INDEX(PlotData,MATCH($A288,PlotNumber,0),MATCH(B$3,PlotTitles,0)))),"",ISBLANK(INDEX(PlotData,MATCH($A288,PlotNumber,0),MATCH(N$3,PlotTitles,0))),"",CompletionMonth="","",(DATEVALUE(INDEX(PlotData,MATCH($A288,PlotNumber,0),MATCH(N$3,PlotTitles,0))&amp;INDEX(PlotData,MATCH($A288,PlotNumber,0),MATCH(O$3,PlotTitles,0))))&gt;(DATEVALUE(CompletionMonth&amp;CompletionYear)),$AB$21,TRUE,"")</f>
        <v/>
      </c>
      <c r="S288" s="104" t="str" cm="1">
        <f t="array" ref="S288">_xlfn.IFS(AND(A288&gt;NumberOfPlots,ISBLANK(INDEX(PlotData,MATCH($A288,PlotNumber,0),MATCH(B$3,PlotTitles,0)))),"",OR(AND(INDEX(PlotData,MATCH($A288,PlotNumber,0),MATCH("Tenure",PlotTitles,0))="Open market housing",INDEX(PlotData,MATCH($A288,PlotNumber,0),MATCH("Tenure detail",PlotTitles,0))="Private rented sector"),INDEX(PlotData,MATCH($A288,PlotNumber,0),MATCH("Tenure",PlotTitles,0))="Affordable rent"),"",ISNUMBER(INDEX(PlotData,MATCH($A288,PlotNumber,0),MATCH(S$3,PlotTitles,0)))=FALSE, $AB$22,TRUE,"")</f>
        <v/>
      </c>
      <c r="T288" s="104" t="str" cm="1">
        <f t="array" ref="T288">_xlfn.IFS(AND(A288&gt;NumberOfPlots,ISBLANK(INDEX(PlotData,MATCH($A288,PlotNumber,0),MATCH(B$3,PlotTitles,0)))),"",OR(AND(INDEX(PlotData,MATCH($A288,PlotNumber,0),MATCH("Tenure",PlotTitles,0))="Open market housing",INDEX(PlotData,MATCH($A288,PlotNumber,0),MATCH("Tenure detail",PlotTitles,0))="Private rented sector"),INDEX(PlotData,MATCH($A288,PlotNumber,0),MATCH("Tenure",PlotTitles,0))="Affordable rent"),"",INDEX(PlotData,MATCH($A288,PlotNumber,0),MATCH(S$3,PlotTitles,0))&lt;10000, $AB$23,TRUE,"")</f>
        <v/>
      </c>
      <c r="U288" s="104" t="str" cm="1">
        <f t="array" ref="U288">_xlfn.IFS(AND(A288&gt;NumberOfPlots,ISBLANK(INDEX(PlotData,MATCH($A288,PlotNumber,0),MATCH(B$3,PlotTitles,0)))),"",NOT(OR(AND(INDEX(PlotData,MATCH($A288,PlotNumber,0),MATCH("Tenure",PlotTitles,0))="Open market housing",INDEX(PlotData,MATCH($A288,PlotNumber,0),MATCH("Tenure detail",PlotTitles,0))="Private rented sector"),INDEX(PlotData,MATCH($A288,PlotNumber,0),MATCH("Tenure",PlotTitles,0))="Affordable rent")),"",NOT(INDEX(PlotData,MATCH($A288,PlotNumber,0),MATCH(S$3,PlotTitles,0))=0), $AB$24,TRUE,"")</f>
        <v/>
      </c>
      <c r="V288" s="114" t="str" cm="1">
        <f t="array" aca="1" ref="V288" ca="1">_xlfn.IFS(ISBLANK(NumberOfPlots),"Enter the number of homes on the 1_SetUp sheet",AND(A288&gt;NumberOfPlots,ISBLANK(INDEX(PlotData,MATCH($A288,PlotNumber,0),MATCH(B$3,PlotTitles,0)))),"No error",NOT(B288=""),B288,NOT(C288=""),C288,NOT(D288=""),D288,NOT(E288=""),E288,NOT(F288=""),F288,NOT(G288=""),G288,NOT(H288=""),H288,NOT(I288=""),I288,NOT(J288=""),J288,NOT(K288=""),K288,NOT(L288=""),L288,NOT(M288=""),M288,NOT(N288=""),N288,NOT(O288=""),O288,NOT(P288=""),P288,NOT(Q288=""),Q288,NOT(R288=""),R288,NOT(S288=""),S288,NOT(T288=""),T288,NOT(U288=""),U288,TRUE,"No error")</f>
        <v>Enter the number of homes on the 1_SetUp sheet</v>
      </c>
      <c r="W288" s="114" t="str">
        <f t="shared" ca="1" si="14"/>
        <v xml:space="preserve">The Borrower has not addressed the following error messages for Home ID 284: </v>
      </c>
    </row>
    <row r="289" spans="1:23">
      <c r="A289" s="123">
        <v>285</v>
      </c>
      <c r="B289" s="104" t="str" cm="1">
        <f t="array" ref="B289">_xlfn.IFS(AND(A289&gt;NumberOfPlots,ISBLANK(INDEX(PlotData,MATCH($A289,PlotNumber,0),MATCH(B$3,PlotTitles,0)))),"",ISNUMBER(INDEX(PlotData,MATCH($A289,PlotNumber,0),MATCH(B$3,PlotTitles,0)))=FALSE, $AB$5,TRUE,"")</f>
        <v/>
      </c>
      <c r="C289" s="104" t="str" cm="1">
        <f t="array" ref="C289">_xlfn.IFS(AND(A289&gt;NumberOfPlots,ISBLANK(INDEX(PlotData,MATCH($A289,PlotNumber,0),MATCH(B$3,PlotTitles,0)))),"",ISBLANK(INDEX(PlotData,MATCH($A289,PlotNumber,0),MATCH(C$3,PlotTitles,0))),$AB$6,TRUE,"")</f>
        <v/>
      </c>
      <c r="D289" s="104" t="str" cm="1">
        <f t="array" ref="D289">_xlfn.IFS(AND(A289&gt;NumberOfPlots,ISBLANK(INDEX(PlotData,MATCH($A289,PlotNumber,0),MATCH(B$3,PlotTitles,0)))),"",ISBLANK(INDEX(PlotData,MATCH($A289,PlotNumber,0),MATCH(D$3,PlotTitles,0))),$AB$7,TRUE,"")</f>
        <v/>
      </c>
      <c r="E289" s="104" t="str" cm="1">
        <f t="array" ref="E289">_xlfn.IFS(AND(A289&gt;NumberOfPlots,ISBLANK(INDEX(PlotData,MATCH($A289,PlotNumber,0),MATCH(B$3,PlotTitles,0)))),"",ISBLANK(INDEX(PlotData,MATCH($A289,PlotNumber,0),MATCH(E$3,PlotTitles,0))),$AB$8,TRUE,"")</f>
        <v/>
      </c>
      <c r="F289" s="104" t="str" cm="1">
        <f t="array" ref="F289">_xlfn.IFS(AND(A289&gt;NumberOfPlots,ISBLANK(INDEX(PlotData,MATCH($A289,PlotNumber,0),MATCH(B$3,PlotTitles,0)))),"",ISBLANK(INDEX(PlotData,MATCH($A289,PlotNumber,0),MATCH(F$3,PlotTitles,0))),$AB$9,TRUE,"")</f>
        <v/>
      </c>
      <c r="G289" s="104" t="str" cm="1">
        <f t="array" ref="G289">_xlfn.IFS(AND(A289&gt;NumberOfPlots,ISBLANK(INDEX(PlotData,MATCH($A289,PlotNumber,0),MATCH(B$3,PlotTitles,0)))),"",ISBLANK(INDEX(PlotData,MATCH($A289,PlotNumber,0),MATCH(G$3,PlotTitles,0))),$AB$10,TRUE,"")</f>
        <v/>
      </c>
      <c r="H289" s="104" t="str" cm="1">
        <f t="array" ref="H289">_xlfn.IFS(AND(A289&gt;NumberOfPlots,ISBLANK(INDEX(PlotData,MATCH($A289,PlotNumber,0),MATCH(B$3,PlotTitles,0)))),"",AND(ISBLANK(INDEX(PlotData,MATCH($A289,PlotNumber,0),MATCH(H$3,PlotTitles,0)))=FALSE,INDEX(PlotData,MATCH($A289,PlotNumber,0),MATCH(H$3,PlotTitles,0))&lt;500), $AB$11,TRUE,"")</f>
        <v/>
      </c>
      <c r="I289" s="104" t="str" cm="1">
        <f t="array" ref="I289">_xlfn.IFS(AND(A289&gt;NumberOfPlots,ISBLANK(INDEX(PlotData,MATCH($A289,PlotNumber,0),MATCH(B$3,PlotTitles,0)))),"",ISBLANK(INDEX(PlotData,MATCH($A289,PlotNumber,0),MATCH(I$3,PlotTitles,0))),$AB$12,TRUE,"")</f>
        <v/>
      </c>
      <c r="J289" s="104" t="str" cm="1">
        <f t="array" ref="J289">_xlfn.IFS(AND(A289&gt;NumberOfPlots,ISBLANK(INDEX(PlotData,MATCH($A289,PlotNumber,0),MATCH(B$3,PlotTitles,0)))),"",ISBLANK(INDEX(PlotData,MATCH($A289,PlotNumber,0),MATCH(J$3,PlotTitles,0))),$AB$13,TRUE,"")</f>
        <v/>
      </c>
      <c r="K289" s="182" t="str">
        <f t="shared" ca="1" si="12"/>
        <v/>
      </c>
      <c r="L289" s="104" t="str" cm="1">
        <f t="array" ref="L289">_xlfn.IFS(OR(ISBLANK(StartDateMonth),ISBLANK(StartDateYear)),"",AND(A289&gt;NumberOfPlots,ISBLANK(INDEX(PlotData,MATCH($A289,PlotNumber,0),MATCH(B$3,PlotTitles,0)))),"",ISBLANK(INDEX(PlotData,MATCH($A289,PlotNumber,0),MATCH(I$3,PlotTitles,0))),"",(DATEVALUE(INDEX(PlotData,MATCH($A289,PlotNumber,0),MATCH(I$3,PlotTitles,0))&amp;INDEX(PlotData,MATCH($A289,PlotNumber,0),MATCH(J$3,PlotTitles,0))))&lt;DATEVALUE(StartDateMonth&amp;StartDateYear),$AB$15,TRUE,"")</f>
        <v/>
      </c>
      <c r="M289" s="104" t="str" cm="1">
        <f t="array" ref="M289">_xlfn.IFS(OR(ISBLANK(StartDateMonth),ISBLANK(StartDateYear)),"",AND(A289&gt;NumberOfPlots,ISBLANK(INDEX(PlotData,MATCH($A289,PlotNumber,0),MATCH(B$3,PlotTitles,0)))),"",ISBLANK(INDEX(PlotData,MATCH($A289,PlotNumber,0),MATCH(I$3,PlotTitles,0))),"",CompletionMonth="","",(DATEVALUE(INDEX(PlotData,MATCH($A289,PlotNumber,0),MATCH(I$3,PlotTitles,0))&amp;INDEX(PlotData,MATCH($A289,PlotNumber,0),MATCH(J$3,PlotTitles,0))))&gt;(DATEVALUE(CompletionMonth&amp;CompletionYear)),$AB$16,TRUE,"")</f>
        <v/>
      </c>
      <c r="N289" s="104" t="str" cm="1">
        <f t="array" ref="N289">_xlfn.IFS(AND(A289&gt;NumberOfPlots,ISBLANK(INDEX(PlotData,MATCH($A289,PlotNumber,0),MATCH(B$3,PlotTitles,0)))),"",ISBLANK(INDEX(PlotData,MATCH($A289,PlotNumber,0),MATCH(N$3,PlotTitles,0))),$AB$17,TRUE,"")</f>
        <v/>
      </c>
      <c r="O289" s="104" t="str" cm="1">
        <f t="array" ref="O289">_xlfn.IFS(AND(A289&gt;NumberOfPlots,ISBLANK(INDEX(PlotData,MATCH($A289,PlotNumber,0),MATCH(B$3,PlotTitles,0)))),"",ISBLANK(INDEX(PlotData,MATCH($A289,PlotNumber,0),MATCH(O$3,PlotTitles,0))),$AB$18,TRUE,"")</f>
        <v/>
      </c>
      <c r="P289" s="182" t="str">
        <f t="shared" ca="1" si="13"/>
        <v/>
      </c>
      <c r="Q289" s="104" t="str" cm="1">
        <f t="array" ref="Q289">_xlfn.IFS(AND(A289&gt;NumberOfPlots,ISBLANK(INDEX(PlotData,MATCH($A289,PlotNumber,0),MATCH(B$3,PlotTitles,0)))),"",ISBLANK(INDEX(PlotData,MATCH($A289,PlotNumber,0),MATCH(N$3,PlotTitles,0))),"",(DATEVALUE(INDEX(PlotData,MATCH($A289,PlotNumber,0),MATCH(N$3,PlotTitles,0))&amp;INDEX(PlotData,MATCH($A289,PlotNumber,0),MATCH(O$3,PlotTitles,0))))&lt;(DATEVALUE(INDEX(PlotData,MATCH($A289,PlotNumber,0),MATCH(I$3,PlotTitles,0))&amp;INDEX(PlotData,MATCH($A289,PlotNumber,0),MATCH(J$3,PlotTitles,0)))),$AB$20,TRUE,"")</f>
        <v/>
      </c>
      <c r="R289" s="104" t="str" cm="1">
        <f t="array" ref="R289">_xlfn.IFS(OR(ISBLANK(StartDateMonth),ISBLANK(StartDateYear)),"",AND(A289&gt;NumberOfPlots,ISBLANK(INDEX(PlotData,MATCH($A289,PlotNumber,0),MATCH(B$3,PlotTitles,0)))),"",ISBLANK(INDEX(PlotData,MATCH($A289,PlotNumber,0),MATCH(N$3,PlotTitles,0))),"",CompletionMonth="","",(DATEVALUE(INDEX(PlotData,MATCH($A289,PlotNumber,0),MATCH(N$3,PlotTitles,0))&amp;INDEX(PlotData,MATCH($A289,PlotNumber,0),MATCH(O$3,PlotTitles,0))))&gt;(DATEVALUE(CompletionMonth&amp;CompletionYear)),$AB$21,TRUE,"")</f>
        <v/>
      </c>
      <c r="S289" s="104" t="str" cm="1">
        <f t="array" ref="S289">_xlfn.IFS(AND(A289&gt;NumberOfPlots,ISBLANK(INDEX(PlotData,MATCH($A289,PlotNumber,0),MATCH(B$3,PlotTitles,0)))),"",OR(AND(INDEX(PlotData,MATCH($A289,PlotNumber,0),MATCH("Tenure",PlotTitles,0))="Open market housing",INDEX(PlotData,MATCH($A289,PlotNumber,0),MATCH("Tenure detail",PlotTitles,0))="Private rented sector"),INDEX(PlotData,MATCH($A289,PlotNumber,0),MATCH("Tenure",PlotTitles,0))="Affordable rent"),"",ISNUMBER(INDEX(PlotData,MATCH($A289,PlotNumber,0),MATCH(S$3,PlotTitles,0)))=FALSE, $AB$22,TRUE,"")</f>
        <v/>
      </c>
      <c r="T289" s="104" t="str" cm="1">
        <f t="array" ref="T289">_xlfn.IFS(AND(A289&gt;NumberOfPlots,ISBLANK(INDEX(PlotData,MATCH($A289,PlotNumber,0),MATCH(B$3,PlotTitles,0)))),"",OR(AND(INDEX(PlotData,MATCH($A289,PlotNumber,0),MATCH("Tenure",PlotTitles,0))="Open market housing",INDEX(PlotData,MATCH($A289,PlotNumber,0),MATCH("Tenure detail",PlotTitles,0))="Private rented sector"),INDEX(PlotData,MATCH($A289,PlotNumber,0),MATCH("Tenure",PlotTitles,0))="Affordable rent"),"",INDEX(PlotData,MATCH($A289,PlotNumber,0),MATCH(S$3,PlotTitles,0))&lt;10000, $AB$23,TRUE,"")</f>
        <v/>
      </c>
      <c r="U289" s="104" t="str" cm="1">
        <f t="array" ref="U289">_xlfn.IFS(AND(A289&gt;NumberOfPlots,ISBLANK(INDEX(PlotData,MATCH($A289,PlotNumber,0),MATCH(B$3,PlotTitles,0)))),"",NOT(OR(AND(INDEX(PlotData,MATCH($A289,PlotNumber,0),MATCH("Tenure",PlotTitles,0))="Open market housing",INDEX(PlotData,MATCH($A289,PlotNumber,0),MATCH("Tenure detail",PlotTitles,0))="Private rented sector"),INDEX(PlotData,MATCH($A289,PlotNumber,0),MATCH("Tenure",PlotTitles,0))="Affordable rent")),"",NOT(INDEX(PlotData,MATCH($A289,PlotNumber,0),MATCH(S$3,PlotTitles,0))=0), $AB$24,TRUE,"")</f>
        <v/>
      </c>
      <c r="V289" s="114" t="str" cm="1">
        <f t="array" aca="1" ref="V289" ca="1">_xlfn.IFS(ISBLANK(NumberOfPlots),"Enter the number of homes on the 1_SetUp sheet",AND(A289&gt;NumberOfPlots,ISBLANK(INDEX(PlotData,MATCH($A289,PlotNumber,0),MATCH(B$3,PlotTitles,0)))),"No error",NOT(B289=""),B289,NOT(C289=""),C289,NOT(D289=""),D289,NOT(E289=""),E289,NOT(F289=""),F289,NOT(G289=""),G289,NOT(H289=""),H289,NOT(I289=""),I289,NOT(J289=""),J289,NOT(K289=""),K289,NOT(L289=""),L289,NOT(M289=""),M289,NOT(N289=""),N289,NOT(O289=""),O289,NOT(P289=""),P289,NOT(Q289=""),Q289,NOT(R289=""),R289,NOT(S289=""),S289,NOT(T289=""),T289,NOT(U289=""),U289,TRUE,"No error")</f>
        <v>Enter the number of homes on the 1_SetUp sheet</v>
      </c>
      <c r="W289" s="114" t="str">
        <f t="shared" ca="1" si="14"/>
        <v xml:space="preserve">The Borrower has not addressed the following error messages for Home ID 285: </v>
      </c>
    </row>
    <row r="290" spans="1:23">
      <c r="A290" s="123">
        <v>286</v>
      </c>
      <c r="B290" s="104" t="str" cm="1">
        <f t="array" ref="B290">_xlfn.IFS(AND(A290&gt;NumberOfPlots,ISBLANK(INDEX(PlotData,MATCH($A290,PlotNumber,0),MATCH(B$3,PlotTitles,0)))),"",ISNUMBER(INDEX(PlotData,MATCH($A290,PlotNumber,0),MATCH(B$3,PlotTitles,0)))=FALSE, $AB$5,TRUE,"")</f>
        <v/>
      </c>
      <c r="C290" s="104" t="str" cm="1">
        <f t="array" ref="C290">_xlfn.IFS(AND(A290&gt;NumberOfPlots,ISBLANK(INDEX(PlotData,MATCH($A290,PlotNumber,0),MATCH(B$3,PlotTitles,0)))),"",ISBLANK(INDEX(PlotData,MATCH($A290,PlotNumber,0),MATCH(C$3,PlotTitles,0))),$AB$6,TRUE,"")</f>
        <v/>
      </c>
      <c r="D290" s="104" t="str" cm="1">
        <f t="array" ref="D290">_xlfn.IFS(AND(A290&gt;NumberOfPlots,ISBLANK(INDEX(PlotData,MATCH($A290,PlotNumber,0),MATCH(B$3,PlotTitles,0)))),"",ISBLANK(INDEX(PlotData,MATCH($A290,PlotNumber,0),MATCH(D$3,PlotTitles,0))),$AB$7,TRUE,"")</f>
        <v/>
      </c>
      <c r="E290" s="104" t="str" cm="1">
        <f t="array" ref="E290">_xlfn.IFS(AND(A290&gt;NumberOfPlots,ISBLANK(INDEX(PlotData,MATCH($A290,PlotNumber,0),MATCH(B$3,PlotTitles,0)))),"",ISBLANK(INDEX(PlotData,MATCH($A290,PlotNumber,0),MATCH(E$3,PlotTitles,0))),$AB$8,TRUE,"")</f>
        <v/>
      </c>
      <c r="F290" s="104" t="str" cm="1">
        <f t="array" ref="F290">_xlfn.IFS(AND(A290&gt;NumberOfPlots,ISBLANK(INDEX(PlotData,MATCH($A290,PlotNumber,0),MATCH(B$3,PlotTitles,0)))),"",ISBLANK(INDEX(PlotData,MATCH($A290,PlotNumber,0),MATCH(F$3,PlotTitles,0))),$AB$9,TRUE,"")</f>
        <v/>
      </c>
      <c r="G290" s="104" t="str" cm="1">
        <f t="array" ref="G290">_xlfn.IFS(AND(A290&gt;NumberOfPlots,ISBLANK(INDEX(PlotData,MATCH($A290,PlotNumber,0),MATCH(B$3,PlotTitles,0)))),"",ISBLANK(INDEX(PlotData,MATCH($A290,PlotNumber,0),MATCH(G$3,PlotTitles,0))),$AB$10,TRUE,"")</f>
        <v/>
      </c>
      <c r="H290" s="104" t="str" cm="1">
        <f t="array" ref="H290">_xlfn.IFS(AND(A290&gt;NumberOfPlots,ISBLANK(INDEX(PlotData,MATCH($A290,PlotNumber,0),MATCH(B$3,PlotTitles,0)))),"",AND(ISBLANK(INDEX(PlotData,MATCH($A290,PlotNumber,0),MATCH(H$3,PlotTitles,0)))=FALSE,INDEX(PlotData,MATCH($A290,PlotNumber,0),MATCH(H$3,PlotTitles,0))&lt;500), $AB$11,TRUE,"")</f>
        <v/>
      </c>
      <c r="I290" s="104" t="str" cm="1">
        <f t="array" ref="I290">_xlfn.IFS(AND(A290&gt;NumberOfPlots,ISBLANK(INDEX(PlotData,MATCH($A290,PlotNumber,0),MATCH(B$3,PlotTitles,0)))),"",ISBLANK(INDEX(PlotData,MATCH($A290,PlotNumber,0),MATCH(I$3,PlotTitles,0))),$AB$12,TRUE,"")</f>
        <v/>
      </c>
      <c r="J290" s="104" t="str" cm="1">
        <f t="array" ref="J290">_xlfn.IFS(AND(A290&gt;NumberOfPlots,ISBLANK(INDEX(PlotData,MATCH($A290,PlotNumber,0),MATCH(B$3,PlotTitles,0)))),"",ISBLANK(INDEX(PlotData,MATCH($A290,PlotNumber,0),MATCH(J$3,PlotTitles,0))),$AB$13,TRUE,"")</f>
        <v/>
      </c>
      <c r="K290" s="182" t="str">
        <f t="shared" ca="1" si="12"/>
        <v/>
      </c>
      <c r="L290" s="104" t="str" cm="1">
        <f t="array" ref="L290">_xlfn.IFS(OR(ISBLANK(StartDateMonth),ISBLANK(StartDateYear)),"",AND(A290&gt;NumberOfPlots,ISBLANK(INDEX(PlotData,MATCH($A290,PlotNumber,0),MATCH(B$3,PlotTitles,0)))),"",ISBLANK(INDEX(PlotData,MATCH($A290,PlotNumber,0),MATCH(I$3,PlotTitles,0))),"",(DATEVALUE(INDEX(PlotData,MATCH($A290,PlotNumber,0),MATCH(I$3,PlotTitles,0))&amp;INDEX(PlotData,MATCH($A290,PlotNumber,0),MATCH(J$3,PlotTitles,0))))&lt;DATEVALUE(StartDateMonth&amp;StartDateYear),$AB$15,TRUE,"")</f>
        <v/>
      </c>
      <c r="M290" s="104" t="str" cm="1">
        <f t="array" ref="M290">_xlfn.IFS(OR(ISBLANK(StartDateMonth),ISBLANK(StartDateYear)),"",AND(A290&gt;NumberOfPlots,ISBLANK(INDEX(PlotData,MATCH($A290,PlotNumber,0),MATCH(B$3,PlotTitles,0)))),"",ISBLANK(INDEX(PlotData,MATCH($A290,PlotNumber,0),MATCH(I$3,PlotTitles,0))),"",CompletionMonth="","",(DATEVALUE(INDEX(PlotData,MATCH($A290,PlotNumber,0),MATCH(I$3,PlotTitles,0))&amp;INDEX(PlotData,MATCH($A290,PlotNumber,0),MATCH(J$3,PlotTitles,0))))&gt;(DATEVALUE(CompletionMonth&amp;CompletionYear)),$AB$16,TRUE,"")</f>
        <v/>
      </c>
      <c r="N290" s="104" t="str" cm="1">
        <f t="array" ref="N290">_xlfn.IFS(AND(A290&gt;NumberOfPlots,ISBLANK(INDEX(PlotData,MATCH($A290,PlotNumber,0),MATCH(B$3,PlotTitles,0)))),"",ISBLANK(INDEX(PlotData,MATCH($A290,PlotNumber,0),MATCH(N$3,PlotTitles,0))),$AB$17,TRUE,"")</f>
        <v/>
      </c>
      <c r="O290" s="104" t="str" cm="1">
        <f t="array" ref="O290">_xlfn.IFS(AND(A290&gt;NumberOfPlots,ISBLANK(INDEX(PlotData,MATCH($A290,PlotNumber,0),MATCH(B$3,PlotTitles,0)))),"",ISBLANK(INDEX(PlotData,MATCH($A290,PlotNumber,0),MATCH(O$3,PlotTitles,0))),$AB$18,TRUE,"")</f>
        <v/>
      </c>
      <c r="P290" s="182" t="str">
        <f t="shared" ca="1" si="13"/>
        <v/>
      </c>
      <c r="Q290" s="104" t="str" cm="1">
        <f t="array" ref="Q290">_xlfn.IFS(AND(A290&gt;NumberOfPlots,ISBLANK(INDEX(PlotData,MATCH($A290,PlotNumber,0),MATCH(B$3,PlotTitles,0)))),"",ISBLANK(INDEX(PlotData,MATCH($A290,PlotNumber,0),MATCH(N$3,PlotTitles,0))),"",(DATEVALUE(INDEX(PlotData,MATCH($A290,PlotNumber,0),MATCH(N$3,PlotTitles,0))&amp;INDEX(PlotData,MATCH($A290,PlotNumber,0),MATCH(O$3,PlotTitles,0))))&lt;(DATEVALUE(INDEX(PlotData,MATCH($A290,PlotNumber,0),MATCH(I$3,PlotTitles,0))&amp;INDEX(PlotData,MATCH($A290,PlotNumber,0),MATCH(J$3,PlotTitles,0)))),$AB$20,TRUE,"")</f>
        <v/>
      </c>
      <c r="R290" s="104" t="str" cm="1">
        <f t="array" ref="R290">_xlfn.IFS(OR(ISBLANK(StartDateMonth),ISBLANK(StartDateYear)),"",AND(A290&gt;NumberOfPlots,ISBLANK(INDEX(PlotData,MATCH($A290,PlotNumber,0),MATCH(B$3,PlotTitles,0)))),"",ISBLANK(INDEX(PlotData,MATCH($A290,PlotNumber,0),MATCH(N$3,PlotTitles,0))),"",CompletionMonth="","",(DATEVALUE(INDEX(PlotData,MATCH($A290,PlotNumber,0),MATCH(N$3,PlotTitles,0))&amp;INDEX(PlotData,MATCH($A290,PlotNumber,0),MATCH(O$3,PlotTitles,0))))&gt;(DATEVALUE(CompletionMonth&amp;CompletionYear)),$AB$21,TRUE,"")</f>
        <v/>
      </c>
      <c r="S290" s="104" t="str" cm="1">
        <f t="array" ref="S290">_xlfn.IFS(AND(A290&gt;NumberOfPlots,ISBLANK(INDEX(PlotData,MATCH($A290,PlotNumber,0),MATCH(B$3,PlotTitles,0)))),"",OR(AND(INDEX(PlotData,MATCH($A290,PlotNumber,0),MATCH("Tenure",PlotTitles,0))="Open market housing",INDEX(PlotData,MATCH($A290,PlotNumber,0),MATCH("Tenure detail",PlotTitles,0))="Private rented sector"),INDEX(PlotData,MATCH($A290,PlotNumber,0),MATCH("Tenure",PlotTitles,0))="Affordable rent"),"",ISNUMBER(INDEX(PlotData,MATCH($A290,PlotNumber,0),MATCH(S$3,PlotTitles,0)))=FALSE, $AB$22,TRUE,"")</f>
        <v/>
      </c>
      <c r="T290" s="104" t="str" cm="1">
        <f t="array" ref="T290">_xlfn.IFS(AND(A290&gt;NumberOfPlots,ISBLANK(INDEX(PlotData,MATCH($A290,PlotNumber,0),MATCH(B$3,PlotTitles,0)))),"",OR(AND(INDEX(PlotData,MATCH($A290,PlotNumber,0),MATCH("Tenure",PlotTitles,0))="Open market housing",INDEX(PlotData,MATCH($A290,PlotNumber,0),MATCH("Tenure detail",PlotTitles,0))="Private rented sector"),INDEX(PlotData,MATCH($A290,PlotNumber,0),MATCH("Tenure",PlotTitles,0))="Affordable rent"),"",INDEX(PlotData,MATCH($A290,PlotNumber,0),MATCH(S$3,PlotTitles,0))&lt;10000, $AB$23,TRUE,"")</f>
        <v/>
      </c>
      <c r="U290" s="104" t="str" cm="1">
        <f t="array" ref="U290">_xlfn.IFS(AND(A290&gt;NumberOfPlots,ISBLANK(INDEX(PlotData,MATCH($A290,PlotNumber,0),MATCH(B$3,PlotTitles,0)))),"",NOT(OR(AND(INDEX(PlotData,MATCH($A290,PlotNumber,0),MATCH("Tenure",PlotTitles,0))="Open market housing",INDEX(PlotData,MATCH($A290,PlotNumber,0),MATCH("Tenure detail",PlotTitles,0))="Private rented sector"),INDEX(PlotData,MATCH($A290,PlotNumber,0),MATCH("Tenure",PlotTitles,0))="Affordable rent")),"",NOT(INDEX(PlotData,MATCH($A290,PlotNumber,0),MATCH(S$3,PlotTitles,0))=0), $AB$24,TRUE,"")</f>
        <v/>
      </c>
      <c r="V290" s="114" t="str" cm="1">
        <f t="array" aca="1" ref="V290" ca="1">_xlfn.IFS(ISBLANK(NumberOfPlots),"Enter the number of homes on the 1_SetUp sheet",AND(A290&gt;NumberOfPlots,ISBLANK(INDEX(PlotData,MATCH($A290,PlotNumber,0),MATCH(B$3,PlotTitles,0)))),"No error",NOT(B290=""),B290,NOT(C290=""),C290,NOT(D290=""),D290,NOT(E290=""),E290,NOT(F290=""),F290,NOT(G290=""),G290,NOT(H290=""),H290,NOT(I290=""),I290,NOT(J290=""),J290,NOT(K290=""),K290,NOT(L290=""),L290,NOT(M290=""),M290,NOT(N290=""),N290,NOT(O290=""),O290,NOT(P290=""),P290,NOT(Q290=""),Q290,NOT(R290=""),R290,NOT(S290=""),S290,NOT(T290=""),T290,NOT(U290=""),U290,TRUE,"No error")</f>
        <v>Enter the number of homes on the 1_SetUp sheet</v>
      </c>
      <c r="W290" s="114" t="str">
        <f t="shared" ca="1" si="14"/>
        <v xml:space="preserve">The Borrower has not addressed the following error messages for Home ID 286: </v>
      </c>
    </row>
    <row r="291" spans="1:23">
      <c r="A291" s="123">
        <v>287</v>
      </c>
      <c r="B291" s="104" t="str" cm="1">
        <f t="array" ref="B291">_xlfn.IFS(AND(A291&gt;NumberOfPlots,ISBLANK(INDEX(PlotData,MATCH($A291,PlotNumber,0),MATCH(B$3,PlotTitles,0)))),"",ISNUMBER(INDEX(PlotData,MATCH($A291,PlotNumber,0),MATCH(B$3,PlotTitles,0)))=FALSE, $AB$5,TRUE,"")</f>
        <v/>
      </c>
      <c r="C291" s="104" t="str" cm="1">
        <f t="array" ref="C291">_xlfn.IFS(AND(A291&gt;NumberOfPlots,ISBLANK(INDEX(PlotData,MATCH($A291,PlotNumber,0),MATCH(B$3,PlotTitles,0)))),"",ISBLANK(INDEX(PlotData,MATCH($A291,PlotNumber,0),MATCH(C$3,PlotTitles,0))),$AB$6,TRUE,"")</f>
        <v/>
      </c>
      <c r="D291" s="104" t="str" cm="1">
        <f t="array" ref="D291">_xlfn.IFS(AND(A291&gt;NumberOfPlots,ISBLANK(INDEX(PlotData,MATCH($A291,PlotNumber,0),MATCH(B$3,PlotTitles,0)))),"",ISBLANK(INDEX(PlotData,MATCH($A291,PlotNumber,0),MATCH(D$3,PlotTitles,0))),$AB$7,TRUE,"")</f>
        <v/>
      </c>
      <c r="E291" s="104" t="str" cm="1">
        <f t="array" ref="E291">_xlfn.IFS(AND(A291&gt;NumberOfPlots,ISBLANK(INDEX(PlotData,MATCH($A291,PlotNumber,0),MATCH(B$3,PlotTitles,0)))),"",ISBLANK(INDEX(PlotData,MATCH($A291,PlotNumber,0),MATCH(E$3,PlotTitles,0))),$AB$8,TRUE,"")</f>
        <v/>
      </c>
      <c r="F291" s="104" t="str" cm="1">
        <f t="array" ref="F291">_xlfn.IFS(AND(A291&gt;NumberOfPlots,ISBLANK(INDEX(PlotData,MATCH($A291,PlotNumber,0),MATCH(B$3,PlotTitles,0)))),"",ISBLANK(INDEX(PlotData,MATCH($A291,PlotNumber,0),MATCH(F$3,PlotTitles,0))),$AB$9,TRUE,"")</f>
        <v/>
      </c>
      <c r="G291" s="104" t="str" cm="1">
        <f t="array" ref="G291">_xlfn.IFS(AND(A291&gt;NumberOfPlots,ISBLANK(INDEX(PlotData,MATCH($A291,PlotNumber,0),MATCH(B$3,PlotTitles,0)))),"",ISBLANK(INDEX(PlotData,MATCH($A291,PlotNumber,0),MATCH(G$3,PlotTitles,0))),$AB$10,TRUE,"")</f>
        <v/>
      </c>
      <c r="H291" s="104" t="str" cm="1">
        <f t="array" ref="H291">_xlfn.IFS(AND(A291&gt;NumberOfPlots,ISBLANK(INDEX(PlotData,MATCH($A291,PlotNumber,0),MATCH(B$3,PlotTitles,0)))),"",AND(ISBLANK(INDEX(PlotData,MATCH($A291,PlotNumber,0),MATCH(H$3,PlotTitles,0)))=FALSE,INDEX(PlotData,MATCH($A291,PlotNumber,0),MATCH(H$3,PlotTitles,0))&lt;500), $AB$11,TRUE,"")</f>
        <v/>
      </c>
      <c r="I291" s="104" t="str" cm="1">
        <f t="array" ref="I291">_xlfn.IFS(AND(A291&gt;NumberOfPlots,ISBLANK(INDEX(PlotData,MATCH($A291,PlotNumber,0),MATCH(B$3,PlotTitles,0)))),"",ISBLANK(INDEX(PlotData,MATCH($A291,PlotNumber,0),MATCH(I$3,PlotTitles,0))),$AB$12,TRUE,"")</f>
        <v/>
      </c>
      <c r="J291" s="104" t="str" cm="1">
        <f t="array" ref="J291">_xlfn.IFS(AND(A291&gt;NumberOfPlots,ISBLANK(INDEX(PlotData,MATCH($A291,PlotNumber,0),MATCH(B$3,PlotTitles,0)))),"",ISBLANK(INDEX(PlotData,MATCH($A291,PlotNumber,0),MATCH(J$3,PlotTitles,0))),$AB$13,TRUE,"")</f>
        <v/>
      </c>
      <c r="K291" s="182" t="str">
        <f t="shared" ca="1" si="12"/>
        <v/>
      </c>
      <c r="L291" s="104" t="str" cm="1">
        <f t="array" ref="L291">_xlfn.IFS(OR(ISBLANK(StartDateMonth),ISBLANK(StartDateYear)),"",AND(A291&gt;NumberOfPlots,ISBLANK(INDEX(PlotData,MATCH($A291,PlotNumber,0),MATCH(B$3,PlotTitles,0)))),"",ISBLANK(INDEX(PlotData,MATCH($A291,PlotNumber,0),MATCH(I$3,PlotTitles,0))),"",(DATEVALUE(INDEX(PlotData,MATCH($A291,PlotNumber,0),MATCH(I$3,PlotTitles,0))&amp;INDEX(PlotData,MATCH($A291,PlotNumber,0),MATCH(J$3,PlotTitles,0))))&lt;DATEVALUE(StartDateMonth&amp;StartDateYear),$AB$15,TRUE,"")</f>
        <v/>
      </c>
      <c r="M291" s="104" t="str" cm="1">
        <f t="array" ref="M291">_xlfn.IFS(OR(ISBLANK(StartDateMonth),ISBLANK(StartDateYear)),"",AND(A291&gt;NumberOfPlots,ISBLANK(INDEX(PlotData,MATCH($A291,PlotNumber,0),MATCH(B$3,PlotTitles,0)))),"",ISBLANK(INDEX(PlotData,MATCH($A291,PlotNumber,0),MATCH(I$3,PlotTitles,0))),"",CompletionMonth="","",(DATEVALUE(INDEX(PlotData,MATCH($A291,PlotNumber,0),MATCH(I$3,PlotTitles,0))&amp;INDEX(PlotData,MATCH($A291,PlotNumber,0),MATCH(J$3,PlotTitles,0))))&gt;(DATEVALUE(CompletionMonth&amp;CompletionYear)),$AB$16,TRUE,"")</f>
        <v/>
      </c>
      <c r="N291" s="104" t="str" cm="1">
        <f t="array" ref="N291">_xlfn.IFS(AND(A291&gt;NumberOfPlots,ISBLANK(INDEX(PlotData,MATCH($A291,PlotNumber,0),MATCH(B$3,PlotTitles,0)))),"",ISBLANK(INDEX(PlotData,MATCH($A291,PlotNumber,0),MATCH(N$3,PlotTitles,0))),$AB$17,TRUE,"")</f>
        <v/>
      </c>
      <c r="O291" s="104" t="str" cm="1">
        <f t="array" ref="O291">_xlfn.IFS(AND(A291&gt;NumberOfPlots,ISBLANK(INDEX(PlotData,MATCH($A291,PlotNumber,0),MATCH(B$3,PlotTitles,0)))),"",ISBLANK(INDEX(PlotData,MATCH($A291,PlotNumber,0),MATCH(O$3,PlotTitles,0))),$AB$18,TRUE,"")</f>
        <v/>
      </c>
      <c r="P291" s="182" t="str">
        <f t="shared" ca="1" si="13"/>
        <v/>
      </c>
      <c r="Q291" s="104" t="str" cm="1">
        <f t="array" ref="Q291">_xlfn.IFS(AND(A291&gt;NumberOfPlots,ISBLANK(INDEX(PlotData,MATCH($A291,PlotNumber,0),MATCH(B$3,PlotTitles,0)))),"",ISBLANK(INDEX(PlotData,MATCH($A291,PlotNumber,0),MATCH(N$3,PlotTitles,0))),"",(DATEVALUE(INDEX(PlotData,MATCH($A291,PlotNumber,0),MATCH(N$3,PlotTitles,0))&amp;INDEX(PlotData,MATCH($A291,PlotNumber,0),MATCH(O$3,PlotTitles,0))))&lt;(DATEVALUE(INDEX(PlotData,MATCH($A291,PlotNumber,0),MATCH(I$3,PlotTitles,0))&amp;INDEX(PlotData,MATCH($A291,PlotNumber,0),MATCH(J$3,PlotTitles,0)))),$AB$20,TRUE,"")</f>
        <v/>
      </c>
      <c r="R291" s="104" t="str" cm="1">
        <f t="array" ref="R291">_xlfn.IFS(OR(ISBLANK(StartDateMonth),ISBLANK(StartDateYear)),"",AND(A291&gt;NumberOfPlots,ISBLANK(INDEX(PlotData,MATCH($A291,PlotNumber,0),MATCH(B$3,PlotTitles,0)))),"",ISBLANK(INDEX(PlotData,MATCH($A291,PlotNumber,0),MATCH(N$3,PlotTitles,0))),"",CompletionMonth="","",(DATEVALUE(INDEX(PlotData,MATCH($A291,PlotNumber,0),MATCH(N$3,PlotTitles,0))&amp;INDEX(PlotData,MATCH($A291,PlotNumber,0),MATCH(O$3,PlotTitles,0))))&gt;(DATEVALUE(CompletionMonth&amp;CompletionYear)),$AB$21,TRUE,"")</f>
        <v/>
      </c>
      <c r="S291" s="104" t="str" cm="1">
        <f t="array" ref="S291">_xlfn.IFS(AND(A291&gt;NumberOfPlots,ISBLANK(INDEX(PlotData,MATCH($A291,PlotNumber,0),MATCH(B$3,PlotTitles,0)))),"",OR(AND(INDEX(PlotData,MATCH($A291,PlotNumber,0),MATCH("Tenure",PlotTitles,0))="Open market housing",INDEX(PlotData,MATCH($A291,PlotNumber,0),MATCH("Tenure detail",PlotTitles,0))="Private rented sector"),INDEX(PlotData,MATCH($A291,PlotNumber,0),MATCH("Tenure",PlotTitles,0))="Affordable rent"),"",ISNUMBER(INDEX(PlotData,MATCH($A291,PlotNumber,0),MATCH(S$3,PlotTitles,0)))=FALSE, $AB$22,TRUE,"")</f>
        <v/>
      </c>
      <c r="T291" s="104" t="str" cm="1">
        <f t="array" ref="T291">_xlfn.IFS(AND(A291&gt;NumberOfPlots,ISBLANK(INDEX(PlotData,MATCH($A291,PlotNumber,0),MATCH(B$3,PlotTitles,0)))),"",OR(AND(INDEX(PlotData,MATCH($A291,PlotNumber,0),MATCH("Tenure",PlotTitles,0))="Open market housing",INDEX(PlotData,MATCH($A291,PlotNumber,0),MATCH("Tenure detail",PlotTitles,0))="Private rented sector"),INDEX(PlotData,MATCH($A291,PlotNumber,0),MATCH("Tenure",PlotTitles,0))="Affordable rent"),"",INDEX(PlotData,MATCH($A291,PlotNumber,0),MATCH(S$3,PlotTitles,0))&lt;10000, $AB$23,TRUE,"")</f>
        <v/>
      </c>
      <c r="U291" s="104" t="str" cm="1">
        <f t="array" ref="U291">_xlfn.IFS(AND(A291&gt;NumberOfPlots,ISBLANK(INDEX(PlotData,MATCH($A291,PlotNumber,0),MATCH(B$3,PlotTitles,0)))),"",NOT(OR(AND(INDEX(PlotData,MATCH($A291,PlotNumber,0),MATCH("Tenure",PlotTitles,0))="Open market housing",INDEX(PlotData,MATCH($A291,PlotNumber,0),MATCH("Tenure detail",PlotTitles,0))="Private rented sector"),INDEX(PlotData,MATCH($A291,PlotNumber,0),MATCH("Tenure",PlotTitles,0))="Affordable rent")),"",NOT(INDEX(PlotData,MATCH($A291,PlotNumber,0),MATCH(S$3,PlotTitles,0))=0), $AB$24,TRUE,"")</f>
        <v/>
      </c>
      <c r="V291" s="114" t="str" cm="1">
        <f t="array" aca="1" ref="V291" ca="1">_xlfn.IFS(ISBLANK(NumberOfPlots),"Enter the number of homes on the 1_SetUp sheet",AND(A291&gt;NumberOfPlots,ISBLANK(INDEX(PlotData,MATCH($A291,PlotNumber,0),MATCH(B$3,PlotTitles,0)))),"No error",NOT(B291=""),B291,NOT(C291=""),C291,NOT(D291=""),D291,NOT(E291=""),E291,NOT(F291=""),F291,NOT(G291=""),G291,NOT(H291=""),H291,NOT(I291=""),I291,NOT(J291=""),J291,NOT(K291=""),K291,NOT(L291=""),L291,NOT(M291=""),M291,NOT(N291=""),N291,NOT(O291=""),O291,NOT(P291=""),P291,NOT(Q291=""),Q291,NOT(R291=""),R291,NOT(S291=""),S291,NOT(T291=""),T291,NOT(U291=""),U291,TRUE,"No error")</f>
        <v>Enter the number of homes on the 1_SetUp sheet</v>
      </c>
      <c r="W291" s="114" t="str">
        <f t="shared" ca="1" si="14"/>
        <v xml:space="preserve">The Borrower has not addressed the following error messages for Home ID 287: </v>
      </c>
    </row>
    <row r="292" spans="1:23">
      <c r="A292" s="123">
        <v>288</v>
      </c>
      <c r="B292" s="104" t="str" cm="1">
        <f t="array" ref="B292">_xlfn.IFS(AND(A292&gt;NumberOfPlots,ISBLANK(INDEX(PlotData,MATCH($A292,PlotNumber,0),MATCH(B$3,PlotTitles,0)))),"",ISNUMBER(INDEX(PlotData,MATCH($A292,PlotNumber,0),MATCH(B$3,PlotTitles,0)))=FALSE, $AB$5,TRUE,"")</f>
        <v/>
      </c>
      <c r="C292" s="104" t="str" cm="1">
        <f t="array" ref="C292">_xlfn.IFS(AND(A292&gt;NumberOfPlots,ISBLANK(INDEX(PlotData,MATCH($A292,PlotNumber,0),MATCH(B$3,PlotTitles,0)))),"",ISBLANK(INDEX(PlotData,MATCH($A292,PlotNumber,0),MATCH(C$3,PlotTitles,0))),$AB$6,TRUE,"")</f>
        <v/>
      </c>
      <c r="D292" s="104" t="str" cm="1">
        <f t="array" ref="D292">_xlfn.IFS(AND(A292&gt;NumberOfPlots,ISBLANK(INDEX(PlotData,MATCH($A292,PlotNumber,0),MATCH(B$3,PlotTitles,0)))),"",ISBLANK(INDEX(PlotData,MATCH($A292,PlotNumber,0),MATCH(D$3,PlotTitles,0))),$AB$7,TRUE,"")</f>
        <v/>
      </c>
      <c r="E292" s="104" t="str" cm="1">
        <f t="array" ref="E292">_xlfn.IFS(AND(A292&gt;NumberOfPlots,ISBLANK(INDEX(PlotData,MATCH($A292,PlotNumber,0),MATCH(B$3,PlotTitles,0)))),"",ISBLANK(INDEX(PlotData,MATCH($A292,PlotNumber,0),MATCH(E$3,PlotTitles,0))),$AB$8,TRUE,"")</f>
        <v/>
      </c>
      <c r="F292" s="104" t="str" cm="1">
        <f t="array" ref="F292">_xlfn.IFS(AND(A292&gt;NumberOfPlots,ISBLANK(INDEX(PlotData,MATCH($A292,PlotNumber,0),MATCH(B$3,PlotTitles,0)))),"",ISBLANK(INDEX(PlotData,MATCH($A292,PlotNumber,0),MATCH(F$3,PlotTitles,0))),$AB$9,TRUE,"")</f>
        <v/>
      </c>
      <c r="G292" s="104" t="str" cm="1">
        <f t="array" ref="G292">_xlfn.IFS(AND(A292&gt;NumberOfPlots,ISBLANK(INDEX(PlotData,MATCH($A292,PlotNumber,0),MATCH(B$3,PlotTitles,0)))),"",ISBLANK(INDEX(PlotData,MATCH($A292,PlotNumber,0),MATCH(G$3,PlotTitles,0))),$AB$10,TRUE,"")</f>
        <v/>
      </c>
      <c r="H292" s="104" t="str" cm="1">
        <f t="array" ref="H292">_xlfn.IFS(AND(A292&gt;NumberOfPlots,ISBLANK(INDEX(PlotData,MATCH($A292,PlotNumber,0),MATCH(B$3,PlotTitles,0)))),"",AND(ISBLANK(INDEX(PlotData,MATCH($A292,PlotNumber,0),MATCH(H$3,PlotTitles,0)))=FALSE,INDEX(PlotData,MATCH($A292,PlotNumber,0),MATCH(H$3,PlotTitles,0))&lt;500), $AB$11,TRUE,"")</f>
        <v/>
      </c>
      <c r="I292" s="104" t="str" cm="1">
        <f t="array" ref="I292">_xlfn.IFS(AND(A292&gt;NumberOfPlots,ISBLANK(INDEX(PlotData,MATCH($A292,PlotNumber,0),MATCH(B$3,PlotTitles,0)))),"",ISBLANK(INDEX(PlotData,MATCH($A292,PlotNumber,0),MATCH(I$3,PlotTitles,0))),$AB$12,TRUE,"")</f>
        <v/>
      </c>
      <c r="J292" s="104" t="str" cm="1">
        <f t="array" ref="J292">_xlfn.IFS(AND(A292&gt;NumberOfPlots,ISBLANK(INDEX(PlotData,MATCH($A292,PlotNumber,0),MATCH(B$3,PlotTitles,0)))),"",ISBLANK(INDEX(PlotData,MATCH($A292,PlotNumber,0),MATCH(J$3,PlotTitles,0))),$AB$13,TRUE,"")</f>
        <v/>
      </c>
      <c r="K292" s="182" t="str">
        <f t="shared" ca="1" si="12"/>
        <v/>
      </c>
      <c r="L292" s="104" t="str" cm="1">
        <f t="array" ref="L292">_xlfn.IFS(OR(ISBLANK(StartDateMonth),ISBLANK(StartDateYear)),"",AND(A292&gt;NumberOfPlots,ISBLANK(INDEX(PlotData,MATCH($A292,PlotNumber,0),MATCH(B$3,PlotTitles,0)))),"",ISBLANK(INDEX(PlotData,MATCH($A292,PlotNumber,0),MATCH(I$3,PlotTitles,0))),"",(DATEVALUE(INDEX(PlotData,MATCH($A292,PlotNumber,0),MATCH(I$3,PlotTitles,0))&amp;INDEX(PlotData,MATCH($A292,PlotNumber,0),MATCH(J$3,PlotTitles,0))))&lt;DATEVALUE(StartDateMonth&amp;StartDateYear),$AB$15,TRUE,"")</f>
        <v/>
      </c>
      <c r="M292" s="104" t="str" cm="1">
        <f t="array" ref="M292">_xlfn.IFS(OR(ISBLANK(StartDateMonth),ISBLANK(StartDateYear)),"",AND(A292&gt;NumberOfPlots,ISBLANK(INDEX(PlotData,MATCH($A292,PlotNumber,0),MATCH(B$3,PlotTitles,0)))),"",ISBLANK(INDEX(PlotData,MATCH($A292,PlotNumber,0),MATCH(I$3,PlotTitles,0))),"",CompletionMonth="","",(DATEVALUE(INDEX(PlotData,MATCH($A292,PlotNumber,0),MATCH(I$3,PlotTitles,0))&amp;INDEX(PlotData,MATCH($A292,PlotNumber,0),MATCH(J$3,PlotTitles,0))))&gt;(DATEVALUE(CompletionMonth&amp;CompletionYear)),$AB$16,TRUE,"")</f>
        <v/>
      </c>
      <c r="N292" s="104" t="str" cm="1">
        <f t="array" ref="N292">_xlfn.IFS(AND(A292&gt;NumberOfPlots,ISBLANK(INDEX(PlotData,MATCH($A292,PlotNumber,0),MATCH(B$3,PlotTitles,0)))),"",ISBLANK(INDEX(PlotData,MATCH($A292,PlotNumber,0),MATCH(N$3,PlotTitles,0))),$AB$17,TRUE,"")</f>
        <v/>
      </c>
      <c r="O292" s="104" t="str" cm="1">
        <f t="array" ref="O292">_xlfn.IFS(AND(A292&gt;NumberOfPlots,ISBLANK(INDEX(PlotData,MATCH($A292,PlotNumber,0),MATCH(B$3,PlotTitles,0)))),"",ISBLANK(INDEX(PlotData,MATCH($A292,PlotNumber,0),MATCH(O$3,PlotTitles,0))),$AB$18,TRUE,"")</f>
        <v/>
      </c>
      <c r="P292" s="182" t="str">
        <f t="shared" ca="1" si="13"/>
        <v/>
      </c>
      <c r="Q292" s="104" t="str" cm="1">
        <f t="array" ref="Q292">_xlfn.IFS(AND(A292&gt;NumberOfPlots,ISBLANK(INDEX(PlotData,MATCH($A292,PlotNumber,0),MATCH(B$3,PlotTitles,0)))),"",ISBLANK(INDEX(PlotData,MATCH($A292,PlotNumber,0),MATCH(N$3,PlotTitles,0))),"",(DATEVALUE(INDEX(PlotData,MATCH($A292,PlotNumber,0),MATCH(N$3,PlotTitles,0))&amp;INDEX(PlotData,MATCH($A292,PlotNumber,0),MATCH(O$3,PlotTitles,0))))&lt;(DATEVALUE(INDEX(PlotData,MATCH($A292,PlotNumber,0),MATCH(I$3,PlotTitles,0))&amp;INDEX(PlotData,MATCH($A292,PlotNumber,0),MATCH(J$3,PlotTitles,0)))),$AB$20,TRUE,"")</f>
        <v/>
      </c>
      <c r="R292" s="104" t="str" cm="1">
        <f t="array" ref="R292">_xlfn.IFS(OR(ISBLANK(StartDateMonth),ISBLANK(StartDateYear)),"",AND(A292&gt;NumberOfPlots,ISBLANK(INDEX(PlotData,MATCH($A292,PlotNumber,0),MATCH(B$3,PlotTitles,0)))),"",ISBLANK(INDEX(PlotData,MATCH($A292,PlotNumber,0),MATCH(N$3,PlotTitles,0))),"",CompletionMonth="","",(DATEVALUE(INDEX(PlotData,MATCH($A292,PlotNumber,0),MATCH(N$3,PlotTitles,0))&amp;INDEX(PlotData,MATCH($A292,PlotNumber,0),MATCH(O$3,PlotTitles,0))))&gt;(DATEVALUE(CompletionMonth&amp;CompletionYear)),$AB$21,TRUE,"")</f>
        <v/>
      </c>
      <c r="S292" s="104" t="str" cm="1">
        <f t="array" ref="S292">_xlfn.IFS(AND(A292&gt;NumberOfPlots,ISBLANK(INDEX(PlotData,MATCH($A292,PlotNumber,0),MATCH(B$3,PlotTitles,0)))),"",OR(AND(INDEX(PlotData,MATCH($A292,PlotNumber,0),MATCH("Tenure",PlotTitles,0))="Open market housing",INDEX(PlotData,MATCH($A292,PlotNumber,0),MATCH("Tenure detail",PlotTitles,0))="Private rented sector"),INDEX(PlotData,MATCH($A292,PlotNumber,0),MATCH("Tenure",PlotTitles,0))="Affordable rent"),"",ISNUMBER(INDEX(PlotData,MATCH($A292,PlotNumber,0),MATCH(S$3,PlotTitles,0)))=FALSE, $AB$22,TRUE,"")</f>
        <v/>
      </c>
      <c r="T292" s="104" t="str" cm="1">
        <f t="array" ref="T292">_xlfn.IFS(AND(A292&gt;NumberOfPlots,ISBLANK(INDEX(PlotData,MATCH($A292,PlotNumber,0),MATCH(B$3,PlotTitles,0)))),"",OR(AND(INDEX(PlotData,MATCH($A292,PlotNumber,0),MATCH("Tenure",PlotTitles,0))="Open market housing",INDEX(PlotData,MATCH($A292,PlotNumber,0),MATCH("Tenure detail",PlotTitles,0))="Private rented sector"),INDEX(PlotData,MATCH($A292,PlotNumber,0),MATCH("Tenure",PlotTitles,0))="Affordable rent"),"",INDEX(PlotData,MATCH($A292,PlotNumber,0),MATCH(S$3,PlotTitles,0))&lt;10000, $AB$23,TRUE,"")</f>
        <v/>
      </c>
      <c r="U292" s="104" t="str" cm="1">
        <f t="array" ref="U292">_xlfn.IFS(AND(A292&gt;NumberOfPlots,ISBLANK(INDEX(PlotData,MATCH($A292,PlotNumber,0),MATCH(B$3,PlotTitles,0)))),"",NOT(OR(AND(INDEX(PlotData,MATCH($A292,PlotNumber,0),MATCH("Tenure",PlotTitles,0))="Open market housing",INDEX(PlotData,MATCH($A292,PlotNumber,0),MATCH("Tenure detail",PlotTitles,0))="Private rented sector"),INDEX(PlotData,MATCH($A292,PlotNumber,0),MATCH("Tenure",PlotTitles,0))="Affordable rent")),"",NOT(INDEX(PlotData,MATCH($A292,PlotNumber,0),MATCH(S$3,PlotTitles,0))=0), $AB$24,TRUE,"")</f>
        <v/>
      </c>
      <c r="V292" s="114" t="str" cm="1">
        <f t="array" aca="1" ref="V292" ca="1">_xlfn.IFS(ISBLANK(NumberOfPlots),"Enter the number of homes on the 1_SetUp sheet",AND(A292&gt;NumberOfPlots,ISBLANK(INDEX(PlotData,MATCH($A292,PlotNumber,0),MATCH(B$3,PlotTitles,0)))),"No error",NOT(B292=""),B292,NOT(C292=""),C292,NOT(D292=""),D292,NOT(E292=""),E292,NOT(F292=""),F292,NOT(G292=""),G292,NOT(H292=""),H292,NOT(I292=""),I292,NOT(J292=""),J292,NOT(K292=""),K292,NOT(L292=""),L292,NOT(M292=""),M292,NOT(N292=""),N292,NOT(O292=""),O292,NOT(P292=""),P292,NOT(Q292=""),Q292,NOT(R292=""),R292,NOT(S292=""),S292,NOT(T292=""),T292,NOT(U292=""),U292,TRUE,"No error")</f>
        <v>Enter the number of homes on the 1_SetUp sheet</v>
      </c>
      <c r="W292" s="114" t="str">
        <f t="shared" ca="1" si="14"/>
        <v xml:space="preserve">The Borrower has not addressed the following error messages for Home ID 288: </v>
      </c>
    </row>
    <row r="293" spans="1:23">
      <c r="A293" s="123">
        <v>289</v>
      </c>
      <c r="B293" s="104" t="str" cm="1">
        <f t="array" ref="B293">_xlfn.IFS(AND(A293&gt;NumberOfPlots,ISBLANK(INDEX(PlotData,MATCH($A293,PlotNumber,0),MATCH(B$3,PlotTitles,0)))),"",ISNUMBER(INDEX(PlotData,MATCH($A293,PlotNumber,0),MATCH(B$3,PlotTitles,0)))=FALSE, $AB$5,TRUE,"")</f>
        <v/>
      </c>
      <c r="C293" s="104" t="str" cm="1">
        <f t="array" ref="C293">_xlfn.IFS(AND(A293&gt;NumberOfPlots,ISBLANK(INDEX(PlotData,MATCH($A293,PlotNumber,0),MATCH(B$3,PlotTitles,0)))),"",ISBLANK(INDEX(PlotData,MATCH($A293,PlotNumber,0),MATCH(C$3,PlotTitles,0))),$AB$6,TRUE,"")</f>
        <v/>
      </c>
      <c r="D293" s="104" t="str" cm="1">
        <f t="array" ref="D293">_xlfn.IFS(AND(A293&gt;NumberOfPlots,ISBLANK(INDEX(PlotData,MATCH($A293,PlotNumber,0),MATCH(B$3,PlotTitles,0)))),"",ISBLANK(INDEX(PlotData,MATCH($A293,PlotNumber,0),MATCH(D$3,PlotTitles,0))),$AB$7,TRUE,"")</f>
        <v/>
      </c>
      <c r="E293" s="104" t="str" cm="1">
        <f t="array" ref="E293">_xlfn.IFS(AND(A293&gt;NumberOfPlots,ISBLANK(INDEX(PlotData,MATCH($A293,PlotNumber,0),MATCH(B$3,PlotTitles,0)))),"",ISBLANK(INDEX(PlotData,MATCH($A293,PlotNumber,0),MATCH(E$3,PlotTitles,0))),$AB$8,TRUE,"")</f>
        <v/>
      </c>
      <c r="F293" s="104" t="str" cm="1">
        <f t="array" ref="F293">_xlfn.IFS(AND(A293&gt;NumberOfPlots,ISBLANK(INDEX(PlotData,MATCH($A293,PlotNumber,0),MATCH(B$3,PlotTitles,0)))),"",ISBLANK(INDEX(PlotData,MATCH($A293,PlotNumber,0),MATCH(F$3,PlotTitles,0))),$AB$9,TRUE,"")</f>
        <v/>
      </c>
      <c r="G293" s="104" t="str" cm="1">
        <f t="array" ref="G293">_xlfn.IFS(AND(A293&gt;NumberOfPlots,ISBLANK(INDEX(PlotData,MATCH($A293,PlotNumber,0),MATCH(B$3,PlotTitles,0)))),"",ISBLANK(INDEX(PlotData,MATCH($A293,PlotNumber,0),MATCH(G$3,PlotTitles,0))),$AB$10,TRUE,"")</f>
        <v/>
      </c>
      <c r="H293" s="104" t="str" cm="1">
        <f t="array" ref="H293">_xlfn.IFS(AND(A293&gt;NumberOfPlots,ISBLANK(INDEX(PlotData,MATCH($A293,PlotNumber,0),MATCH(B$3,PlotTitles,0)))),"",AND(ISBLANK(INDEX(PlotData,MATCH($A293,PlotNumber,0),MATCH(H$3,PlotTitles,0)))=FALSE,INDEX(PlotData,MATCH($A293,PlotNumber,0),MATCH(H$3,PlotTitles,0))&lt;500), $AB$11,TRUE,"")</f>
        <v/>
      </c>
      <c r="I293" s="104" t="str" cm="1">
        <f t="array" ref="I293">_xlfn.IFS(AND(A293&gt;NumberOfPlots,ISBLANK(INDEX(PlotData,MATCH($A293,PlotNumber,0),MATCH(B$3,PlotTitles,0)))),"",ISBLANK(INDEX(PlotData,MATCH($A293,PlotNumber,0),MATCH(I$3,PlotTitles,0))),$AB$12,TRUE,"")</f>
        <v/>
      </c>
      <c r="J293" s="104" t="str" cm="1">
        <f t="array" ref="J293">_xlfn.IFS(AND(A293&gt;NumberOfPlots,ISBLANK(INDEX(PlotData,MATCH($A293,PlotNumber,0),MATCH(B$3,PlotTitles,0)))),"",ISBLANK(INDEX(PlotData,MATCH($A293,PlotNumber,0),MATCH(J$3,PlotTitles,0))),$AB$13,TRUE,"")</f>
        <v/>
      </c>
      <c r="K293" s="182" t="str">
        <f t="shared" ca="1" si="12"/>
        <v/>
      </c>
      <c r="L293" s="104" t="str" cm="1">
        <f t="array" ref="L293">_xlfn.IFS(OR(ISBLANK(StartDateMonth),ISBLANK(StartDateYear)),"",AND(A293&gt;NumberOfPlots,ISBLANK(INDEX(PlotData,MATCH($A293,PlotNumber,0),MATCH(B$3,PlotTitles,0)))),"",ISBLANK(INDEX(PlotData,MATCH($A293,PlotNumber,0),MATCH(I$3,PlotTitles,0))),"",(DATEVALUE(INDEX(PlotData,MATCH($A293,PlotNumber,0),MATCH(I$3,PlotTitles,0))&amp;INDEX(PlotData,MATCH($A293,PlotNumber,0),MATCH(J$3,PlotTitles,0))))&lt;DATEVALUE(StartDateMonth&amp;StartDateYear),$AB$15,TRUE,"")</f>
        <v/>
      </c>
      <c r="M293" s="104" t="str" cm="1">
        <f t="array" ref="M293">_xlfn.IFS(OR(ISBLANK(StartDateMonth),ISBLANK(StartDateYear)),"",AND(A293&gt;NumberOfPlots,ISBLANK(INDEX(PlotData,MATCH($A293,PlotNumber,0),MATCH(B$3,PlotTitles,0)))),"",ISBLANK(INDEX(PlotData,MATCH($A293,PlotNumber,0),MATCH(I$3,PlotTitles,0))),"",CompletionMonth="","",(DATEVALUE(INDEX(PlotData,MATCH($A293,PlotNumber,0),MATCH(I$3,PlotTitles,0))&amp;INDEX(PlotData,MATCH($A293,PlotNumber,0),MATCH(J$3,PlotTitles,0))))&gt;(DATEVALUE(CompletionMonth&amp;CompletionYear)),$AB$16,TRUE,"")</f>
        <v/>
      </c>
      <c r="N293" s="104" t="str" cm="1">
        <f t="array" ref="N293">_xlfn.IFS(AND(A293&gt;NumberOfPlots,ISBLANK(INDEX(PlotData,MATCH($A293,PlotNumber,0),MATCH(B$3,PlotTitles,0)))),"",ISBLANK(INDEX(PlotData,MATCH($A293,PlotNumber,0),MATCH(N$3,PlotTitles,0))),$AB$17,TRUE,"")</f>
        <v/>
      </c>
      <c r="O293" s="104" t="str" cm="1">
        <f t="array" ref="O293">_xlfn.IFS(AND(A293&gt;NumberOfPlots,ISBLANK(INDEX(PlotData,MATCH($A293,PlotNumber,0),MATCH(B$3,PlotTitles,0)))),"",ISBLANK(INDEX(PlotData,MATCH($A293,PlotNumber,0),MATCH(O$3,PlotTitles,0))),$AB$18,TRUE,"")</f>
        <v/>
      </c>
      <c r="P293" s="182" t="str">
        <f t="shared" ca="1" si="13"/>
        <v/>
      </c>
      <c r="Q293" s="104" t="str" cm="1">
        <f t="array" ref="Q293">_xlfn.IFS(AND(A293&gt;NumberOfPlots,ISBLANK(INDEX(PlotData,MATCH($A293,PlotNumber,0),MATCH(B$3,PlotTitles,0)))),"",ISBLANK(INDEX(PlotData,MATCH($A293,PlotNumber,0),MATCH(N$3,PlotTitles,0))),"",(DATEVALUE(INDEX(PlotData,MATCH($A293,PlotNumber,0),MATCH(N$3,PlotTitles,0))&amp;INDEX(PlotData,MATCH($A293,PlotNumber,0),MATCH(O$3,PlotTitles,0))))&lt;(DATEVALUE(INDEX(PlotData,MATCH($A293,PlotNumber,0),MATCH(I$3,PlotTitles,0))&amp;INDEX(PlotData,MATCH($A293,PlotNumber,0),MATCH(J$3,PlotTitles,0)))),$AB$20,TRUE,"")</f>
        <v/>
      </c>
      <c r="R293" s="104" t="str" cm="1">
        <f t="array" ref="R293">_xlfn.IFS(OR(ISBLANK(StartDateMonth),ISBLANK(StartDateYear)),"",AND(A293&gt;NumberOfPlots,ISBLANK(INDEX(PlotData,MATCH($A293,PlotNumber,0),MATCH(B$3,PlotTitles,0)))),"",ISBLANK(INDEX(PlotData,MATCH($A293,PlotNumber,0),MATCH(N$3,PlotTitles,0))),"",CompletionMonth="","",(DATEVALUE(INDEX(PlotData,MATCH($A293,PlotNumber,0),MATCH(N$3,PlotTitles,0))&amp;INDEX(PlotData,MATCH($A293,PlotNumber,0),MATCH(O$3,PlotTitles,0))))&gt;(DATEVALUE(CompletionMonth&amp;CompletionYear)),$AB$21,TRUE,"")</f>
        <v/>
      </c>
      <c r="S293" s="104" t="str" cm="1">
        <f t="array" ref="S293">_xlfn.IFS(AND(A293&gt;NumberOfPlots,ISBLANK(INDEX(PlotData,MATCH($A293,PlotNumber,0),MATCH(B$3,PlotTitles,0)))),"",OR(AND(INDEX(PlotData,MATCH($A293,PlotNumber,0),MATCH("Tenure",PlotTitles,0))="Open market housing",INDEX(PlotData,MATCH($A293,PlotNumber,0),MATCH("Tenure detail",PlotTitles,0))="Private rented sector"),INDEX(PlotData,MATCH($A293,PlotNumber,0),MATCH("Tenure",PlotTitles,0))="Affordable rent"),"",ISNUMBER(INDEX(PlotData,MATCH($A293,PlotNumber,0),MATCH(S$3,PlotTitles,0)))=FALSE, $AB$22,TRUE,"")</f>
        <v/>
      </c>
      <c r="T293" s="104" t="str" cm="1">
        <f t="array" ref="T293">_xlfn.IFS(AND(A293&gt;NumberOfPlots,ISBLANK(INDEX(PlotData,MATCH($A293,PlotNumber,0),MATCH(B$3,PlotTitles,0)))),"",OR(AND(INDEX(PlotData,MATCH($A293,PlotNumber,0),MATCH("Tenure",PlotTitles,0))="Open market housing",INDEX(PlotData,MATCH($A293,PlotNumber,0),MATCH("Tenure detail",PlotTitles,0))="Private rented sector"),INDEX(PlotData,MATCH($A293,PlotNumber,0),MATCH("Tenure",PlotTitles,0))="Affordable rent"),"",INDEX(PlotData,MATCH($A293,PlotNumber,0),MATCH(S$3,PlotTitles,0))&lt;10000, $AB$23,TRUE,"")</f>
        <v/>
      </c>
      <c r="U293" s="104" t="str" cm="1">
        <f t="array" ref="U293">_xlfn.IFS(AND(A293&gt;NumberOfPlots,ISBLANK(INDEX(PlotData,MATCH($A293,PlotNumber,0),MATCH(B$3,PlotTitles,0)))),"",NOT(OR(AND(INDEX(PlotData,MATCH($A293,PlotNumber,0),MATCH("Tenure",PlotTitles,0))="Open market housing",INDEX(PlotData,MATCH($A293,PlotNumber,0),MATCH("Tenure detail",PlotTitles,0))="Private rented sector"),INDEX(PlotData,MATCH($A293,PlotNumber,0),MATCH("Tenure",PlotTitles,0))="Affordable rent")),"",NOT(INDEX(PlotData,MATCH($A293,PlotNumber,0),MATCH(S$3,PlotTitles,0))=0), $AB$24,TRUE,"")</f>
        <v/>
      </c>
      <c r="V293" s="114" t="str" cm="1">
        <f t="array" aca="1" ref="V293" ca="1">_xlfn.IFS(ISBLANK(NumberOfPlots),"Enter the number of homes on the 1_SetUp sheet",AND(A293&gt;NumberOfPlots,ISBLANK(INDEX(PlotData,MATCH($A293,PlotNumber,0),MATCH(B$3,PlotTitles,0)))),"No error",NOT(B293=""),B293,NOT(C293=""),C293,NOT(D293=""),D293,NOT(E293=""),E293,NOT(F293=""),F293,NOT(G293=""),G293,NOT(H293=""),H293,NOT(I293=""),I293,NOT(J293=""),J293,NOT(K293=""),K293,NOT(L293=""),L293,NOT(M293=""),M293,NOT(N293=""),N293,NOT(O293=""),O293,NOT(P293=""),P293,NOT(Q293=""),Q293,NOT(R293=""),R293,NOT(S293=""),S293,NOT(T293=""),T293,NOT(U293=""),U293,TRUE,"No error")</f>
        <v>Enter the number of homes on the 1_SetUp sheet</v>
      </c>
      <c r="W293" s="114" t="str">
        <f t="shared" ca="1" si="14"/>
        <v xml:space="preserve">The Borrower has not addressed the following error messages for Home ID 289: </v>
      </c>
    </row>
    <row r="294" spans="1:23">
      <c r="A294" s="123">
        <v>290</v>
      </c>
      <c r="B294" s="104" t="str" cm="1">
        <f t="array" ref="B294">_xlfn.IFS(AND(A294&gt;NumberOfPlots,ISBLANK(INDEX(PlotData,MATCH($A294,PlotNumber,0),MATCH(B$3,PlotTitles,0)))),"",ISNUMBER(INDEX(PlotData,MATCH($A294,PlotNumber,0),MATCH(B$3,PlotTitles,0)))=FALSE, $AB$5,TRUE,"")</f>
        <v/>
      </c>
      <c r="C294" s="104" t="str" cm="1">
        <f t="array" ref="C294">_xlfn.IFS(AND(A294&gt;NumberOfPlots,ISBLANK(INDEX(PlotData,MATCH($A294,PlotNumber,0),MATCH(B$3,PlotTitles,0)))),"",ISBLANK(INDEX(PlotData,MATCH($A294,PlotNumber,0),MATCH(C$3,PlotTitles,0))),$AB$6,TRUE,"")</f>
        <v/>
      </c>
      <c r="D294" s="104" t="str" cm="1">
        <f t="array" ref="D294">_xlfn.IFS(AND(A294&gt;NumberOfPlots,ISBLANK(INDEX(PlotData,MATCH($A294,PlotNumber,0),MATCH(B$3,PlotTitles,0)))),"",ISBLANK(INDEX(PlotData,MATCH($A294,PlotNumber,0),MATCH(D$3,PlotTitles,0))),$AB$7,TRUE,"")</f>
        <v/>
      </c>
      <c r="E294" s="104" t="str" cm="1">
        <f t="array" ref="E294">_xlfn.IFS(AND(A294&gt;NumberOfPlots,ISBLANK(INDEX(PlotData,MATCH($A294,PlotNumber,0),MATCH(B$3,PlotTitles,0)))),"",ISBLANK(INDEX(PlotData,MATCH($A294,PlotNumber,0),MATCH(E$3,PlotTitles,0))),$AB$8,TRUE,"")</f>
        <v/>
      </c>
      <c r="F294" s="104" t="str" cm="1">
        <f t="array" ref="F294">_xlfn.IFS(AND(A294&gt;NumberOfPlots,ISBLANK(INDEX(PlotData,MATCH($A294,PlotNumber,0),MATCH(B$3,PlotTitles,0)))),"",ISBLANK(INDEX(PlotData,MATCH($A294,PlotNumber,0),MATCH(F$3,PlotTitles,0))),$AB$9,TRUE,"")</f>
        <v/>
      </c>
      <c r="G294" s="104" t="str" cm="1">
        <f t="array" ref="G294">_xlfn.IFS(AND(A294&gt;NumberOfPlots,ISBLANK(INDEX(PlotData,MATCH($A294,PlotNumber,0),MATCH(B$3,PlotTitles,0)))),"",ISBLANK(INDEX(PlotData,MATCH($A294,PlotNumber,0),MATCH(G$3,PlotTitles,0))),$AB$10,TRUE,"")</f>
        <v/>
      </c>
      <c r="H294" s="104" t="str" cm="1">
        <f t="array" ref="H294">_xlfn.IFS(AND(A294&gt;NumberOfPlots,ISBLANK(INDEX(PlotData,MATCH($A294,PlotNumber,0),MATCH(B$3,PlotTitles,0)))),"",AND(ISBLANK(INDEX(PlotData,MATCH($A294,PlotNumber,0),MATCH(H$3,PlotTitles,0)))=FALSE,INDEX(PlotData,MATCH($A294,PlotNumber,0),MATCH(H$3,PlotTitles,0))&lt;500), $AB$11,TRUE,"")</f>
        <v/>
      </c>
      <c r="I294" s="104" t="str" cm="1">
        <f t="array" ref="I294">_xlfn.IFS(AND(A294&gt;NumberOfPlots,ISBLANK(INDEX(PlotData,MATCH($A294,PlotNumber,0),MATCH(B$3,PlotTitles,0)))),"",ISBLANK(INDEX(PlotData,MATCH($A294,PlotNumber,0),MATCH(I$3,PlotTitles,0))),$AB$12,TRUE,"")</f>
        <v/>
      </c>
      <c r="J294" s="104" t="str" cm="1">
        <f t="array" ref="J294">_xlfn.IFS(AND(A294&gt;NumberOfPlots,ISBLANK(INDEX(PlotData,MATCH($A294,PlotNumber,0),MATCH(B$3,PlotTitles,0)))),"",ISBLANK(INDEX(PlotData,MATCH($A294,PlotNumber,0),MATCH(J$3,PlotTitles,0))),$AB$13,TRUE,"")</f>
        <v/>
      </c>
      <c r="K294" s="182" t="str">
        <f t="shared" ca="1" si="12"/>
        <v/>
      </c>
      <c r="L294" s="104" t="str" cm="1">
        <f t="array" ref="L294">_xlfn.IFS(OR(ISBLANK(StartDateMonth),ISBLANK(StartDateYear)),"",AND(A294&gt;NumberOfPlots,ISBLANK(INDEX(PlotData,MATCH($A294,PlotNumber,0),MATCH(B$3,PlotTitles,0)))),"",ISBLANK(INDEX(PlotData,MATCH($A294,PlotNumber,0),MATCH(I$3,PlotTitles,0))),"",(DATEVALUE(INDEX(PlotData,MATCH($A294,PlotNumber,0),MATCH(I$3,PlotTitles,0))&amp;INDEX(PlotData,MATCH($A294,PlotNumber,0),MATCH(J$3,PlotTitles,0))))&lt;DATEVALUE(StartDateMonth&amp;StartDateYear),$AB$15,TRUE,"")</f>
        <v/>
      </c>
      <c r="M294" s="104" t="str" cm="1">
        <f t="array" ref="M294">_xlfn.IFS(OR(ISBLANK(StartDateMonth),ISBLANK(StartDateYear)),"",AND(A294&gt;NumberOfPlots,ISBLANK(INDEX(PlotData,MATCH($A294,PlotNumber,0),MATCH(B$3,PlotTitles,0)))),"",ISBLANK(INDEX(PlotData,MATCH($A294,PlotNumber,0),MATCH(I$3,PlotTitles,0))),"",CompletionMonth="","",(DATEVALUE(INDEX(PlotData,MATCH($A294,PlotNumber,0),MATCH(I$3,PlotTitles,0))&amp;INDEX(PlotData,MATCH($A294,PlotNumber,0),MATCH(J$3,PlotTitles,0))))&gt;(DATEVALUE(CompletionMonth&amp;CompletionYear)),$AB$16,TRUE,"")</f>
        <v/>
      </c>
      <c r="N294" s="104" t="str" cm="1">
        <f t="array" ref="N294">_xlfn.IFS(AND(A294&gt;NumberOfPlots,ISBLANK(INDEX(PlotData,MATCH($A294,PlotNumber,0),MATCH(B$3,PlotTitles,0)))),"",ISBLANK(INDEX(PlotData,MATCH($A294,PlotNumber,0),MATCH(N$3,PlotTitles,0))),$AB$17,TRUE,"")</f>
        <v/>
      </c>
      <c r="O294" s="104" t="str" cm="1">
        <f t="array" ref="O294">_xlfn.IFS(AND(A294&gt;NumberOfPlots,ISBLANK(INDEX(PlotData,MATCH($A294,PlotNumber,0),MATCH(B$3,PlotTitles,0)))),"",ISBLANK(INDEX(PlotData,MATCH($A294,PlotNumber,0),MATCH(O$3,PlotTitles,0))),$AB$18,TRUE,"")</f>
        <v/>
      </c>
      <c r="P294" s="182" t="str">
        <f t="shared" ca="1" si="13"/>
        <v/>
      </c>
      <c r="Q294" s="104" t="str" cm="1">
        <f t="array" ref="Q294">_xlfn.IFS(AND(A294&gt;NumberOfPlots,ISBLANK(INDEX(PlotData,MATCH($A294,PlotNumber,0),MATCH(B$3,PlotTitles,0)))),"",ISBLANK(INDEX(PlotData,MATCH($A294,PlotNumber,0),MATCH(N$3,PlotTitles,0))),"",(DATEVALUE(INDEX(PlotData,MATCH($A294,PlotNumber,0),MATCH(N$3,PlotTitles,0))&amp;INDEX(PlotData,MATCH($A294,PlotNumber,0),MATCH(O$3,PlotTitles,0))))&lt;(DATEVALUE(INDEX(PlotData,MATCH($A294,PlotNumber,0),MATCH(I$3,PlotTitles,0))&amp;INDEX(PlotData,MATCH($A294,PlotNumber,0),MATCH(J$3,PlotTitles,0)))),$AB$20,TRUE,"")</f>
        <v/>
      </c>
      <c r="R294" s="104" t="str" cm="1">
        <f t="array" ref="R294">_xlfn.IFS(OR(ISBLANK(StartDateMonth),ISBLANK(StartDateYear)),"",AND(A294&gt;NumberOfPlots,ISBLANK(INDEX(PlotData,MATCH($A294,PlotNumber,0),MATCH(B$3,PlotTitles,0)))),"",ISBLANK(INDEX(PlotData,MATCH($A294,PlotNumber,0),MATCH(N$3,PlotTitles,0))),"",CompletionMonth="","",(DATEVALUE(INDEX(PlotData,MATCH($A294,PlotNumber,0),MATCH(N$3,PlotTitles,0))&amp;INDEX(PlotData,MATCH($A294,PlotNumber,0),MATCH(O$3,PlotTitles,0))))&gt;(DATEVALUE(CompletionMonth&amp;CompletionYear)),$AB$21,TRUE,"")</f>
        <v/>
      </c>
      <c r="S294" s="104" t="str" cm="1">
        <f t="array" ref="S294">_xlfn.IFS(AND(A294&gt;NumberOfPlots,ISBLANK(INDEX(PlotData,MATCH($A294,PlotNumber,0),MATCH(B$3,PlotTitles,0)))),"",OR(AND(INDEX(PlotData,MATCH($A294,PlotNumber,0),MATCH("Tenure",PlotTitles,0))="Open market housing",INDEX(PlotData,MATCH($A294,PlotNumber,0),MATCH("Tenure detail",PlotTitles,0))="Private rented sector"),INDEX(PlotData,MATCH($A294,PlotNumber,0),MATCH("Tenure",PlotTitles,0))="Affordable rent"),"",ISNUMBER(INDEX(PlotData,MATCH($A294,PlotNumber,0),MATCH(S$3,PlotTitles,0)))=FALSE, $AB$22,TRUE,"")</f>
        <v/>
      </c>
      <c r="T294" s="104" t="str" cm="1">
        <f t="array" ref="T294">_xlfn.IFS(AND(A294&gt;NumberOfPlots,ISBLANK(INDEX(PlotData,MATCH($A294,PlotNumber,0),MATCH(B$3,PlotTitles,0)))),"",OR(AND(INDEX(PlotData,MATCH($A294,PlotNumber,0),MATCH("Tenure",PlotTitles,0))="Open market housing",INDEX(PlotData,MATCH($A294,PlotNumber,0),MATCH("Tenure detail",PlotTitles,0))="Private rented sector"),INDEX(PlotData,MATCH($A294,PlotNumber,0),MATCH("Tenure",PlotTitles,0))="Affordable rent"),"",INDEX(PlotData,MATCH($A294,PlotNumber,0),MATCH(S$3,PlotTitles,0))&lt;10000, $AB$23,TRUE,"")</f>
        <v/>
      </c>
      <c r="U294" s="104" t="str" cm="1">
        <f t="array" ref="U294">_xlfn.IFS(AND(A294&gt;NumberOfPlots,ISBLANK(INDEX(PlotData,MATCH($A294,PlotNumber,0),MATCH(B$3,PlotTitles,0)))),"",NOT(OR(AND(INDEX(PlotData,MATCH($A294,PlotNumber,0),MATCH("Tenure",PlotTitles,0))="Open market housing",INDEX(PlotData,MATCH($A294,PlotNumber,0),MATCH("Tenure detail",PlotTitles,0))="Private rented sector"),INDEX(PlotData,MATCH($A294,PlotNumber,0),MATCH("Tenure",PlotTitles,0))="Affordable rent")),"",NOT(INDEX(PlotData,MATCH($A294,PlotNumber,0),MATCH(S$3,PlotTitles,0))=0), $AB$24,TRUE,"")</f>
        <v/>
      </c>
      <c r="V294" s="114" t="str" cm="1">
        <f t="array" aca="1" ref="V294" ca="1">_xlfn.IFS(ISBLANK(NumberOfPlots),"Enter the number of homes on the 1_SetUp sheet",AND(A294&gt;NumberOfPlots,ISBLANK(INDEX(PlotData,MATCH($A294,PlotNumber,0),MATCH(B$3,PlotTitles,0)))),"No error",NOT(B294=""),B294,NOT(C294=""),C294,NOT(D294=""),D294,NOT(E294=""),E294,NOT(F294=""),F294,NOT(G294=""),G294,NOT(H294=""),H294,NOT(I294=""),I294,NOT(J294=""),J294,NOT(K294=""),K294,NOT(L294=""),L294,NOT(M294=""),M294,NOT(N294=""),N294,NOT(O294=""),O294,NOT(P294=""),P294,NOT(Q294=""),Q294,NOT(R294=""),R294,NOT(S294=""),S294,NOT(T294=""),T294,NOT(U294=""),U294,TRUE,"No error")</f>
        <v>Enter the number of homes on the 1_SetUp sheet</v>
      </c>
      <c r="W294" s="114" t="str">
        <f t="shared" ca="1" si="14"/>
        <v xml:space="preserve">The Borrower has not addressed the following error messages for Home ID 290: </v>
      </c>
    </row>
    <row r="295" spans="1:23">
      <c r="A295" s="123">
        <v>291</v>
      </c>
      <c r="B295" s="104" t="str" cm="1">
        <f t="array" ref="B295">_xlfn.IFS(AND(A295&gt;NumberOfPlots,ISBLANK(INDEX(PlotData,MATCH($A295,PlotNumber,0),MATCH(B$3,PlotTitles,0)))),"",ISNUMBER(INDEX(PlotData,MATCH($A295,PlotNumber,0),MATCH(B$3,PlotTitles,0)))=FALSE, $AB$5,TRUE,"")</f>
        <v/>
      </c>
      <c r="C295" s="104" t="str" cm="1">
        <f t="array" ref="C295">_xlfn.IFS(AND(A295&gt;NumberOfPlots,ISBLANK(INDEX(PlotData,MATCH($A295,PlotNumber,0),MATCH(B$3,PlotTitles,0)))),"",ISBLANK(INDEX(PlotData,MATCH($A295,PlotNumber,0),MATCH(C$3,PlotTitles,0))),$AB$6,TRUE,"")</f>
        <v/>
      </c>
      <c r="D295" s="104" t="str" cm="1">
        <f t="array" ref="D295">_xlfn.IFS(AND(A295&gt;NumberOfPlots,ISBLANK(INDEX(PlotData,MATCH($A295,PlotNumber,0),MATCH(B$3,PlotTitles,0)))),"",ISBLANK(INDEX(PlotData,MATCH($A295,PlotNumber,0),MATCH(D$3,PlotTitles,0))),$AB$7,TRUE,"")</f>
        <v/>
      </c>
      <c r="E295" s="104" t="str" cm="1">
        <f t="array" ref="E295">_xlfn.IFS(AND(A295&gt;NumberOfPlots,ISBLANK(INDEX(PlotData,MATCH($A295,PlotNumber,0),MATCH(B$3,PlotTitles,0)))),"",ISBLANK(INDEX(PlotData,MATCH($A295,PlotNumber,0),MATCH(E$3,PlotTitles,0))),$AB$8,TRUE,"")</f>
        <v/>
      </c>
      <c r="F295" s="104" t="str" cm="1">
        <f t="array" ref="F295">_xlfn.IFS(AND(A295&gt;NumberOfPlots,ISBLANK(INDEX(PlotData,MATCH($A295,PlotNumber,0),MATCH(B$3,PlotTitles,0)))),"",ISBLANK(INDEX(PlotData,MATCH($A295,PlotNumber,0),MATCH(F$3,PlotTitles,0))),$AB$9,TRUE,"")</f>
        <v/>
      </c>
      <c r="G295" s="104" t="str" cm="1">
        <f t="array" ref="G295">_xlfn.IFS(AND(A295&gt;NumberOfPlots,ISBLANK(INDEX(PlotData,MATCH($A295,PlotNumber,0),MATCH(B$3,PlotTitles,0)))),"",ISBLANK(INDEX(PlotData,MATCH($A295,PlotNumber,0),MATCH(G$3,PlotTitles,0))),$AB$10,TRUE,"")</f>
        <v/>
      </c>
      <c r="H295" s="104" t="str" cm="1">
        <f t="array" ref="H295">_xlfn.IFS(AND(A295&gt;NumberOfPlots,ISBLANK(INDEX(PlotData,MATCH($A295,PlotNumber,0),MATCH(B$3,PlotTitles,0)))),"",AND(ISBLANK(INDEX(PlotData,MATCH($A295,PlotNumber,0),MATCH(H$3,PlotTitles,0)))=FALSE,INDEX(PlotData,MATCH($A295,PlotNumber,0),MATCH(H$3,PlotTitles,0))&lt;500), $AB$11,TRUE,"")</f>
        <v/>
      </c>
      <c r="I295" s="104" t="str" cm="1">
        <f t="array" ref="I295">_xlfn.IFS(AND(A295&gt;NumberOfPlots,ISBLANK(INDEX(PlotData,MATCH($A295,PlotNumber,0),MATCH(B$3,PlotTitles,0)))),"",ISBLANK(INDEX(PlotData,MATCH($A295,PlotNumber,0),MATCH(I$3,PlotTitles,0))),$AB$12,TRUE,"")</f>
        <v/>
      </c>
      <c r="J295" s="104" t="str" cm="1">
        <f t="array" ref="J295">_xlfn.IFS(AND(A295&gt;NumberOfPlots,ISBLANK(INDEX(PlotData,MATCH($A295,PlotNumber,0),MATCH(B$3,PlotTitles,0)))),"",ISBLANK(INDEX(PlotData,MATCH($A295,PlotNumber,0),MATCH(J$3,PlotTitles,0))),$AB$13,TRUE,"")</f>
        <v/>
      </c>
      <c r="K295" s="182" t="str">
        <f t="shared" ca="1" si="12"/>
        <v/>
      </c>
      <c r="L295" s="104" t="str" cm="1">
        <f t="array" ref="L295">_xlfn.IFS(OR(ISBLANK(StartDateMonth),ISBLANK(StartDateYear)),"",AND(A295&gt;NumberOfPlots,ISBLANK(INDEX(PlotData,MATCH($A295,PlotNumber,0),MATCH(B$3,PlotTitles,0)))),"",ISBLANK(INDEX(PlotData,MATCH($A295,PlotNumber,0),MATCH(I$3,PlotTitles,0))),"",(DATEVALUE(INDEX(PlotData,MATCH($A295,PlotNumber,0),MATCH(I$3,PlotTitles,0))&amp;INDEX(PlotData,MATCH($A295,PlotNumber,0),MATCH(J$3,PlotTitles,0))))&lt;DATEVALUE(StartDateMonth&amp;StartDateYear),$AB$15,TRUE,"")</f>
        <v/>
      </c>
      <c r="M295" s="104" t="str" cm="1">
        <f t="array" ref="M295">_xlfn.IFS(OR(ISBLANK(StartDateMonth),ISBLANK(StartDateYear)),"",AND(A295&gt;NumberOfPlots,ISBLANK(INDEX(PlotData,MATCH($A295,PlotNumber,0),MATCH(B$3,PlotTitles,0)))),"",ISBLANK(INDEX(PlotData,MATCH($A295,PlotNumber,0),MATCH(I$3,PlotTitles,0))),"",CompletionMonth="","",(DATEVALUE(INDEX(PlotData,MATCH($A295,PlotNumber,0),MATCH(I$3,PlotTitles,0))&amp;INDEX(PlotData,MATCH($A295,PlotNumber,0),MATCH(J$3,PlotTitles,0))))&gt;(DATEVALUE(CompletionMonth&amp;CompletionYear)),$AB$16,TRUE,"")</f>
        <v/>
      </c>
      <c r="N295" s="104" t="str" cm="1">
        <f t="array" ref="N295">_xlfn.IFS(AND(A295&gt;NumberOfPlots,ISBLANK(INDEX(PlotData,MATCH($A295,PlotNumber,0),MATCH(B$3,PlotTitles,0)))),"",ISBLANK(INDEX(PlotData,MATCH($A295,PlotNumber,0),MATCH(N$3,PlotTitles,0))),$AB$17,TRUE,"")</f>
        <v/>
      </c>
      <c r="O295" s="104" t="str" cm="1">
        <f t="array" ref="O295">_xlfn.IFS(AND(A295&gt;NumberOfPlots,ISBLANK(INDEX(PlotData,MATCH($A295,PlotNumber,0),MATCH(B$3,PlotTitles,0)))),"",ISBLANK(INDEX(PlotData,MATCH($A295,PlotNumber,0),MATCH(O$3,PlotTitles,0))),$AB$18,TRUE,"")</f>
        <v/>
      </c>
      <c r="P295" s="182" t="str">
        <f t="shared" ca="1" si="13"/>
        <v/>
      </c>
      <c r="Q295" s="104" t="str" cm="1">
        <f t="array" ref="Q295">_xlfn.IFS(AND(A295&gt;NumberOfPlots,ISBLANK(INDEX(PlotData,MATCH($A295,PlotNumber,0),MATCH(B$3,PlotTitles,0)))),"",ISBLANK(INDEX(PlotData,MATCH($A295,PlotNumber,0),MATCH(N$3,PlotTitles,0))),"",(DATEVALUE(INDEX(PlotData,MATCH($A295,PlotNumber,0),MATCH(N$3,PlotTitles,0))&amp;INDEX(PlotData,MATCH($A295,PlotNumber,0),MATCH(O$3,PlotTitles,0))))&lt;(DATEVALUE(INDEX(PlotData,MATCH($A295,PlotNumber,0),MATCH(I$3,PlotTitles,0))&amp;INDEX(PlotData,MATCH($A295,PlotNumber,0),MATCH(J$3,PlotTitles,0)))),$AB$20,TRUE,"")</f>
        <v/>
      </c>
      <c r="R295" s="104" t="str" cm="1">
        <f t="array" ref="R295">_xlfn.IFS(OR(ISBLANK(StartDateMonth),ISBLANK(StartDateYear)),"",AND(A295&gt;NumberOfPlots,ISBLANK(INDEX(PlotData,MATCH($A295,PlotNumber,0),MATCH(B$3,PlotTitles,0)))),"",ISBLANK(INDEX(PlotData,MATCH($A295,PlotNumber,0),MATCH(N$3,PlotTitles,0))),"",CompletionMonth="","",(DATEVALUE(INDEX(PlotData,MATCH($A295,PlotNumber,0),MATCH(N$3,PlotTitles,0))&amp;INDEX(PlotData,MATCH($A295,PlotNumber,0),MATCH(O$3,PlotTitles,0))))&gt;(DATEVALUE(CompletionMonth&amp;CompletionYear)),$AB$21,TRUE,"")</f>
        <v/>
      </c>
      <c r="S295" s="104" t="str" cm="1">
        <f t="array" ref="S295">_xlfn.IFS(AND(A295&gt;NumberOfPlots,ISBLANK(INDEX(PlotData,MATCH($A295,PlotNumber,0),MATCH(B$3,PlotTitles,0)))),"",OR(AND(INDEX(PlotData,MATCH($A295,PlotNumber,0),MATCH("Tenure",PlotTitles,0))="Open market housing",INDEX(PlotData,MATCH($A295,PlotNumber,0),MATCH("Tenure detail",PlotTitles,0))="Private rented sector"),INDEX(PlotData,MATCH($A295,PlotNumber,0),MATCH("Tenure",PlotTitles,0))="Affordable rent"),"",ISNUMBER(INDEX(PlotData,MATCH($A295,PlotNumber,0),MATCH(S$3,PlotTitles,0)))=FALSE, $AB$22,TRUE,"")</f>
        <v/>
      </c>
      <c r="T295" s="104" t="str" cm="1">
        <f t="array" ref="T295">_xlfn.IFS(AND(A295&gt;NumberOfPlots,ISBLANK(INDEX(PlotData,MATCH($A295,PlotNumber,0),MATCH(B$3,PlotTitles,0)))),"",OR(AND(INDEX(PlotData,MATCH($A295,PlotNumber,0),MATCH("Tenure",PlotTitles,0))="Open market housing",INDEX(PlotData,MATCH($A295,PlotNumber,0),MATCH("Tenure detail",PlotTitles,0))="Private rented sector"),INDEX(PlotData,MATCH($A295,PlotNumber,0),MATCH("Tenure",PlotTitles,0))="Affordable rent"),"",INDEX(PlotData,MATCH($A295,PlotNumber,0),MATCH(S$3,PlotTitles,0))&lt;10000, $AB$23,TRUE,"")</f>
        <v/>
      </c>
      <c r="U295" s="104" t="str" cm="1">
        <f t="array" ref="U295">_xlfn.IFS(AND(A295&gt;NumberOfPlots,ISBLANK(INDEX(PlotData,MATCH($A295,PlotNumber,0),MATCH(B$3,PlotTitles,0)))),"",NOT(OR(AND(INDEX(PlotData,MATCH($A295,PlotNumber,0),MATCH("Tenure",PlotTitles,0))="Open market housing",INDEX(PlotData,MATCH($A295,PlotNumber,0),MATCH("Tenure detail",PlotTitles,0))="Private rented sector"),INDEX(PlotData,MATCH($A295,PlotNumber,0),MATCH("Tenure",PlotTitles,0))="Affordable rent")),"",NOT(INDEX(PlotData,MATCH($A295,PlotNumber,0),MATCH(S$3,PlotTitles,0))=0), $AB$24,TRUE,"")</f>
        <v/>
      </c>
      <c r="V295" s="114" t="str" cm="1">
        <f t="array" aca="1" ref="V295" ca="1">_xlfn.IFS(ISBLANK(NumberOfPlots),"Enter the number of homes on the 1_SetUp sheet",AND(A295&gt;NumberOfPlots,ISBLANK(INDEX(PlotData,MATCH($A295,PlotNumber,0),MATCH(B$3,PlotTitles,0)))),"No error",NOT(B295=""),B295,NOT(C295=""),C295,NOT(D295=""),D295,NOT(E295=""),E295,NOT(F295=""),F295,NOT(G295=""),G295,NOT(H295=""),H295,NOT(I295=""),I295,NOT(J295=""),J295,NOT(K295=""),K295,NOT(L295=""),L295,NOT(M295=""),M295,NOT(N295=""),N295,NOT(O295=""),O295,NOT(P295=""),P295,NOT(Q295=""),Q295,NOT(R295=""),R295,NOT(S295=""),S295,NOT(T295=""),T295,NOT(U295=""),U295,TRUE,"No error")</f>
        <v>Enter the number of homes on the 1_SetUp sheet</v>
      </c>
      <c r="W295" s="114" t="str">
        <f t="shared" ca="1" si="14"/>
        <v xml:space="preserve">The Borrower has not addressed the following error messages for Home ID 291: </v>
      </c>
    </row>
    <row r="296" spans="1:23">
      <c r="A296" s="123">
        <v>292</v>
      </c>
      <c r="B296" s="104" t="str" cm="1">
        <f t="array" ref="B296">_xlfn.IFS(AND(A296&gt;NumberOfPlots,ISBLANK(INDEX(PlotData,MATCH($A296,PlotNumber,0),MATCH(B$3,PlotTitles,0)))),"",ISNUMBER(INDEX(PlotData,MATCH($A296,PlotNumber,0),MATCH(B$3,PlotTitles,0)))=FALSE, $AB$5,TRUE,"")</f>
        <v/>
      </c>
      <c r="C296" s="104" t="str" cm="1">
        <f t="array" ref="C296">_xlfn.IFS(AND(A296&gt;NumberOfPlots,ISBLANK(INDEX(PlotData,MATCH($A296,PlotNumber,0),MATCH(B$3,PlotTitles,0)))),"",ISBLANK(INDEX(PlotData,MATCH($A296,PlotNumber,0),MATCH(C$3,PlotTitles,0))),$AB$6,TRUE,"")</f>
        <v/>
      </c>
      <c r="D296" s="104" t="str" cm="1">
        <f t="array" ref="D296">_xlfn.IFS(AND(A296&gt;NumberOfPlots,ISBLANK(INDEX(PlotData,MATCH($A296,PlotNumber,0),MATCH(B$3,PlotTitles,0)))),"",ISBLANK(INDEX(PlotData,MATCH($A296,PlotNumber,0),MATCH(D$3,PlotTitles,0))),$AB$7,TRUE,"")</f>
        <v/>
      </c>
      <c r="E296" s="104" t="str" cm="1">
        <f t="array" ref="E296">_xlfn.IFS(AND(A296&gt;NumberOfPlots,ISBLANK(INDEX(PlotData,MATCH($A296,PlotNumber,0),MATCH(B$3,PlotTitles,0)))),"",ISBLANK(INDEX(PlotData,MATCH($A296,PlotNumber,0),MATCH(E$3,PlotTitles,0))),$AB$8,TRUE,"")</f>
        <v/>
      </c>
      <c r="F296" s="104" t="str" cm="1">
        <f t="array" ref="F296">_xlfn.IFS(AND(A296&gt;NumberOfPlots,ISBLANK(INDEX(PlotData,MATCH($A296,PlotNumber,0),MATCH(B$3,PlotTitles,0)))),"",ISBLANK(INDEX(PlotData,MATCH($A296,PlotNumber,0),MATCH(F$3,PlotTitles,0))),$AB$9,TRUE,"")</f>
        <v/>
      </c>
      <c r="G296" s="104" t="str" cm="1">
        <f t="array" ref="G296">_xlfn.IFS(AND(A296&gt;NumberOfPlots,ISBLANK(INDEX(PlotData,MATCH($A296,PlotNumber,0),MATCH(B$3,PlotTitles,0)))),"",ISBLANK(INDEX(PlotData,MATCH($A296,PlotNumber,0),MATCH(G$3,PlotTitles,0))),$AB$10,TRUE,"")</f>
        <v/>
      </c>
      <c r="H296" s="104" t="str" cm="1">
        <f t="array" ref="H296">_xlfn.IFS(AND(A296&gt;NumberOfPlots,ISBLANK(INDEX(PlotData,MATCH($A296,PlotNumber,0),MATCH(B$3,PlotTitles,0)))),"",AND(ISBLANK(INDEX(PlotData,MATCH($A296,PlotNumber,0),MATCH(H$3,PlotTitles,0)))=FALSE,INDEX(PlotData,MATCH($A296,PlotNumber,0),MATCH(H$3,PlotTitles,0))&lt;500), $AB$11,TRUE,"")</f>
        <v/>
      </c>
      <c r="I296" s="104" t="str" cm="1">
        <f t="array" ref="I296">_xlfn.IFS(AND(A296&gt;NumberOfPlots,ISBLANK(INDEX(PlotData,MATCH($A296,PlotNumber,0),MATCH(B$3,PlotTitles,0)))),"",ISBLANK(INDEX(PlotData,MATCH($A296,PlotNumber,0),MATCH(I$3,PlotTitles,0))),$AB$12,TRUE,"")</f>
        <v/>
      </c>
      <c r="J296" s="104" t="str" cm="1">
        <f t="array" ref="J296">_xlfn.IFS(AND(A296&gt;NumberOfPlots,ISBLANK(INDEX(PlotData,MATCH($A296,PlotNumber,0),MATCH(B$3,PlotTitles,0)))),"",ISBLANK(INDEX(PlotData,MATCH($A296,PlotNumber,0),MATCH(J$3,PlotTitles,0))),$AB$13,TRUE,"")</f>
        <v/>
      </c>
      <c r="K296" s="182" t="str">
        <f t="shared" ca="1" si="12"/>
        <v/>
      </c>
      <c r="L296" s="104" t="str" cm="1">
        <f t="array" ref="L296">_xlfn.IFS(OR(ISBLANK(StartDateMonth),ISBLANK(StartDateYear)),"",AND(A296&gt;NumberOfPlots,ISBLANK(INDEX(PlotData,MATCH($A296,PlotNumber,0),MATCH(B$3,PlotTitles,0)))),"",ISBLANK(INDEX(PlotData,MATCH($A296,PlotNumber,0),MATCH(I$3,PlotTitles,0))),"",(DATEVALUE(INDEX(PlotData,MATCH($A296,PlotNumber,0),MATCH(I$3,PlotTitles,0))&amp;INDEX(PlotData,MATCH($A296,PlotNumber,0),MATCH(J$3,PlotTitles,0))))&lt;DATEVALUE(StartDateMonth&amp;StartDateYear),$AB$15,TRUE,"")</f>
        <v/>
      </c>
      <c r="M296" s="104" t="str" cm="1">
        <f t="array" ref="M296">_xlfn.IFS(OR(ISBLANK(StartDateMonth),ISBLANK(StartDateYear)),"",AND(A296&gt;NumberOfPlots,ISBLANK(INDEX(PlotData,MATCH($A296,PlotNumber,0),MATCH(B$3,PlotTitles,0)))),"",ISBLANK(INDEX(PlotData,MATCH($A296,PlotNumber,0),MATCH(I$3,PlotTitles,0))),"",CompletionMonth="","",(DATEVALUE(INDEX(PlotData,MATCH($A296,PlotNumber,0),MATCH(I$3,PlotTitles,0))&amp;INDEX(PlotData,MATCH($A296,PlotNumber,0),MATCH(J$3,PlotTitles,0))))&gt;(DATEVALUE(CompletionMonth&amp;CompletionYear)),$AB$16,TRUE,"")</f>
        <v/>
      </c>
      <c r="N296" s="104" t="str" cm="1">
        <f t="array" ref="N296">_xlfn.IFS(AND(A296&gt;NumberOfPlots,ISBLANK(INDEX(PlotData,MATCH($A296,PlotNumber,0),MATCH(B$3,PlotTitles,0)))),"",ISBLANK(INDEX(PlotData,MATCH($A296,PlotNumber,0),MATCH(N$3,PlotTitles,0))),$AB$17,TRUE,"")</f>
        <v/>
      </c>
      <c r="O296" s="104" t="str" cm="1">
        <f t="array" ref="O296">_xlfn.IFS(AND(A296&gt;NumberOfPlots,ISBLANK(INDEX(PlotData,MATCH($A296,PlotNumber,0),MATCH(B$3,PlotTitles,0)))),"",ISBLANK(INDEX(PlotData,MATCH($A296,PlotNumber,0),MATCH(O$3,PlotTitles,0))),$AB$18,TRUE,"")</f>
        <v/>
      </c>
      <c r="P296" s="182" t="str">
        <f t="shared" ca="1" si="13"/>
        <v/>
      </c>
      <c r="Q296" s="104" t="str" cm="1">
        <f t="array" ref="Q296">_xlfn.IFS(AND(A296&gt;NumberOfPlots,ISBLANK(INDEX(PlotData,MATCH($A296,PlotNumber,0),MATCH(B$3,PlotTitles,0)))),"",ISBLANK(INDEX(PlotData,MATCH($A296,PlotNumber,0),MATCH(N$3,PlotTitles,0))),"",(DATEVALUE(INDEX(PlotData,MATCH($A296,PlotNumber,0),MATCH(N$3,PlotTitles,0))&amp;INDEX(PlotData,MATCH($A296,PlotNumber,0),MATCH(O$3,PlotTitles,0))))&lt;(DATEVALUE(INDEX(PlotData,MATCH($A296,PlotNumber,0),MATCH(I$3,PlotTitles,0))&amp;INDEX(PlotData,MATCH($A296,PlotNumber,0),MATCH(J$3,PlotTitles,0)))),$AB$20,TRUE,"")</f>
        <v/>
      </c>
      <c r="R296" s="104" t="str" cm="1">
        <f t="array" ref="R296">_xlfn.IFS(OR(ISBLANK(StartDateMonth),ISBLANK(StartDateYear)),"",AND(A296&gt;NumberOfPlots,ISBLANK(INDEX(PlotData,MATCH($A296,PlotNumber,0),MATCH(B$3,PlotTitles,0)))),"",ISBLANK(INDEX(PlotData,MATCH($A296,PlotNumber,0),MATCH(N$3,PlotTitles,0))),"",CompletionMonth="","",(DATEVALUE(INDEX(PlotData,MATCH($A296,PlotNumber,0),MATCH(N$3,PlotTitles,0))&amp;INDEX(PlotData,MATCH($A296,PlotNumber,0),MATCH(O$3,PlotTitles,0))))&gt;(DATEVALUE(CompletionMonth&amp;CompletionYear)),$AB$21,TRUE,"")</f>
        <v/>
      </c>
      <c r="S296" s="104" t="str" cm="1">
        <f t="array" ref="S296">_xlfn.IFS(AND(A296&gt;NumberOfPlots,ISBLANK(INDEX(PlotData,MATCH($A296,PlotNumber,0),MATCH(B$3,PlotTitles,0)))),"",OR(AND(INDEX(PlotData,MATCH($A296,PlotNumber,0),MATCH("Tenure",PlotTitles,0))="Open market housing",INDEX(PlotData,MATCH($A296,PlotNumber,0),MATCH("Tenure detail",PlotTitles,0))="Private rented sector"),INDEX(PlotData,MATCH($A296,PlotNumber,0),MATCH("Tenure",PlotTitles,0))="Affordable rent"),"",ISNUMBER(INDEX(PlotData,MATCH($A296,PlotNumber,0),MATCH(S$3,PlotTitles,0)))=FALSE, $AB$22,TRUE,"")</f>
        <v/>
      </c>
      <c r="T296" s="104" t="str" cm="1">
        <f t="array" ref="T296">_xlfn.IFS(AND(A296&gt;NumberOfPlots,ISBLANK(INDEX(PlotData,MATCH($A296,PlotNumber,0),MATCH(B$3,PlotTitles,0)))),"",OR(AND(INDEX(PlotData,MATCH($A296,PlotNumber,0),MATCH("Tenure",PlotTitles,0))="Open market housing",INDEX(PlotData,MATCH($A296,PlotNumber,0),MATCH("Tenure detail",PlotTitles,0))="Private rented sector"),INDEX(PlotData,MATCH($A296,PlotNumber,0),MATCH("Tenure",PlotTitles,0))="Affordable rent"),"",INDEX(PlotData,MATCH($A296,PlotNumber,0),MATCH(S$3,PlotTitles,0))&lt;10000, $AB$23,TRUE,"")</f>
        <v/>
      </c>
      <c r="U296" s="104" t="str" cm="1">
        <f t="array" ref="U296">_xlfn.IFS(AND(A296&gt;NumberOfPlots,ISBLANK(INDEX(PlotData,MATCH($A296,PlotNumber,0),MATCH(B$3,PlotTitles,0)))),"",NOT(OR(AND(INDEX(PlotData,MATCH($A296,PlotNumber,0),MATCH("Tenure",PlotTitles,0))="Open market housing",INDEX(PlotData,MATCH($A296,PlotNumber,0),MATCH("Tenure detail",PlotTitles,0))="Private rented sector"),INDEX(PlotData,MATCH($A296,PlotNumber,0),MATCH("Tenure",PlotTitles,0))="Affordable rent")),"",NOT(INDEX(PlotData,MATCH($A296,PlotNumber,0),MATCH(S$3,PlotTitles,0))=0), $AB$24,TRUE,"")</f>
        <v/>
      </c>
      <c r="V296" s="114" t="str" cm="1">
        <f t="array" aca="1" ref="V296" ca="1">_xlfn.IFS(ISBLANK(NumberOfPlots),"Enter the number of homes on the 1_SetUp sheet",AND(A296&gt;NumberOfPlots,ISBLANK(INDEX(PlotData,MATCH($A296,PlotNumber,0),MATCH(B$3,PlotTitles,0)))),"No error",NOT(B296=""),B296,NOT(C296=""),C296,NOT(D296=""),D296,NOT(E296=""),E296,NOT(F296=""),F296,NOT(G296=""),G296,NOT(H296=""),H296,NOT(I296=""),I296,NOT(J296=""),J296,NOT(K296=""),K296,NOT(L296=""),L296,NOT(M296=""),M296,NOT(N296=""),N296,NOT(O296=""),O296,NOT(P296=""),P296,NOT(Q296=""),Q296,NOT(R296=""),R296,NOT(S296=""),S296,NOT(T296=""),T296,NOT(U296=""),U296,TRUE,"No error")</f>
        <v>Enter the number of homes on the 1_SetUp sheet</v>
      </c>
      <c r="W296" s="114" t="str">
        <f t="shared" ca="1" si="14"/>
        <v xml:space="preserve">The Borrower has not addressed the following error messages for Home ID 292: </v>
      </c>
    </row>
    <row r="297" spans="1:23">
      <c r="A297" s="123">
        <v>293</v>
      </c>
      <c r="B297" s="104" t="str" cm="1">
        <f t="array" ref="B297">_xlfn.IFS(AND(A297&gt;NumberOfPlots,ISBLANK(INDEX(PlotData,MATCH($A297,PlotNumber,0),MATCH(B$3,PlotTitles,0)))),"",ISNUMBER(INDEX(PlotData,MATCH($A297,PlotNumber,0),MATCH(B$3,PlotTitles,0)))=FALSE, $AB$5,TRUE,"")</f>
        <v/>
      </c>
      <c r="C297" s="104" t="str" cm="1">
        <f t="array" ref="C297">_xlfn.IFS(AND(A297&gt;NumberOfPlots,ISBLANK(INDEX(PlotData,MATCH($A297,PlotNumber,0),MATCH(B$3,PlotTitles,0)))),"",ISBLANK(INDEX(PlotData,MATCH($A297,PlotNumber,0),MATCH(C$3,PlotTitles,0))),$AB$6,TRUE,"")</f>
        <v/>
      </c>
      <c r="D297" s="104" t="str" cm="1">
        <f t="array" ref="D297">_xlfn.IFS(AND(A297&gt;NumberOfPlots,ISBLANK(INDEX(PlotData,MATCH($A297,PlotNumber,0),MATCH(B$3,PlotTitles,0)))),"",ISBLANK(INDEX(PlotData,MATCH($A297,PlotNumber,0),MATCH(D$3,PlotTitles,0))),$AB$7,TRUE,"")</f>
        <v/>
      </c>
      <c r="E297" s="104" t="str" cm="1">
        <f t="array" ref="E297">_xlfn.IFS(AND(A297&gt;NumberOfPlots,ISBLANK(INDEX(PlotData,MATCH($A297,PlotNumber,0),MATCH(B$3,PlotTitles,0)))),"",ISBLANK(INDEX(PlotData,MATCH($A297,PlotNumber,0),MATCH(E$3,PlotTitles,0))),$AB$8,TRUE,"")</f>
        <v/>
      </c>
      <c r="F297" s="104" t="str" cm="1">
        <f t="array" ref="F297">_xlfn.IFS(AND(A297&gt;NumberOfPlots,ISBLANK(INDEX(PlotData,MATCH($A297,PlotNumber,0),MATCH(B$3,PlotTitles,0)))),"",ISBLANK(INDEX(PlotData,MATCH($A297,PlotNumber,0),MATCH(F$3,PlotTitles,0))),$AB$9,TRUE,"")</f>
        <v/>
      </c>
      <c r="G297" s="104" t="str" cm="1">
        <f t="array" ref="G297">_xlfn.IFS(AND(A297&gt;NumberOfPlots,ISBLANK(INDEX(PlotData,MATCH($A297,PlotNumber,0),MATCH(B$3,PlotTitles,0)))),"",ISBLANK(INDEX(PlotData,MATCH($A297,PlotNumber,0),MATCH(G$3,PlotTitles,0))),$AB$10,TRUE,"")</f>
        <v/>
      </c>
      <c r="H297" s="104" t="str" cm="1">
        <f t="array" ref="H297">_xlfn.IFS(AND(A297&gt;NumberOfPlots,ISBLANK(INDEX(PlotData,MATCH($A297,PlotNumber,0),MATCH(B$3,PlotTitles,0)))),"",AND(ISBLANK(INDEX(PlotData,MATCH($A297,PlotNumber,0),MATCH(H$3,PlotTitles,0)))=FALSE,INDEX(PlotData,MATCH($A297,PlotNumber,0),MATCH(H$3,PlotTitles,0))&lt;500), $AB$11,TRUE,"")</f>
        <v/>
      </c>
      <c r="I297" s="104" t="str" cm="1">
        <f t="array" ref="I297">_xlfn.IFS(AND(A297&gt;NumberOfPlots,ISBLANK(INDEX(PlotData,MATCH($A297,PlotNumber,0),MATCH(B$3,PlotTitles,0)))),"",ISBLANK(INDEX(PlotData,MATCH($A297,PlotNumber,0),MATCH(I$3,PlotTitles,0))),$AB$12,TRUE,"")</f>
        <v/>
      </c>
      <c r="J297" s="104" t="str" cm="1">
        <f t="array" ref="J297">_xlfn.IFS(AND(A297&gt;NumberOfPlots,ISBLANK(INDEX(PlotData,MATCH($A297,PlotNumber,0),MATCH(B$3,PlotTitles,0)))),"",ISBLANK(INDEX(PlotData,MATCH($A297,PlotNumber,0),MATCH(J$3,PlotTitles,0))),$AB$13,TRUE,"")</f>
        <v/>
      </c>
      <c r="K297" s="182" t="str">
        <f t="shared" ca="1" si="12"/>
        <v/>
      </c>
      <c r="L297" s="104" t="str" cm="1">
        <f t="array" ref="L297">_xlfn.IFS(OR(ISBLANK(StartDateMonth),ISBLANK(StartDateYear)),"",AND(A297&gt;NumberOfPlots,ISBLANK(INDEX(PlotData,MATCH($A297,PlotNumber,0),MATCH(B$3,PlotTitles,0)))),"",ISBLANK(INDEX(PlotData,MATCH($A297,PlotNumber,0),MATCH(I$3,PlotTitles,0))),"",(DATEVALUE(INDEX(PlotData,MATCH($A297,PlotNumber,0),MATCH(I$3,PlotTitles,0))&amp;INDEX(PlotData,MATCH($A297,PlotNumber,0),MATCH(J$3,PlotTitles,0))))&lt;DATEVALUE(StartDateMonth&amp;StartDateYear),$AB$15,TRUE,"")</f>
        <v/>
      </c>
      <c r="M297" s="104" t="str" cm="1">
        <f t="array" ref="M297">_xlfn.IFS(OR(ISBLANK(StartDateMonth),ISBLANK(StartDateYear)),"",AND(A297&gt;NumberOfPlots,ISBLANK(INDEX(PlotData,MATCH($A297,PlotNumber,0),MATCH(B$3,PlotTitles,0)))),"",ISBLANK(INDEX(PlotData,MATCH($A297,PlotNumber,0),MATCH(I$3,PlotTitles,0))),"",CompletionMonth="","",(DATEVALUE(INDEX(PlotData,MATCH($A297,PlotNumber,0),MATCH(I$3,PlotTitles,0))&amp;INDEX(PlotData,MATCH($A297,PlotNumber,0),MATCH(J$3,PlotTitles,0))))&gt;(DATEVALUE(CompletionMonth&amp;CompletionYear)),$AB$16,TRUE,"")</f>
        <v/>
      </c>
      <c r="N297" s="104" t="str" cm="1">
        <f t="array" ref="N297">_xlfn.IFS(AND(A297&gt;NumberOfPlots,ISBLANK(INDEX(PlotData,MATCH($A297,PlotNumber,0),MATCH(B$3,PlotTitles,0)))),"",ISBLANK(INDEX(PlotData,MATCH($A297,PlotNumber,0),MATCH(N$3,PlotTitles,0))),$AB$17,TRUE,"")</f>
        <v/>
      </c>
      <c r="O297" s="104" t="str" cm="1">
        <f t="array" ref="O297">_xlfn.IFS(AND(A297&gt;NumberOfPlots,ISBLANK(INDEX(PlotData,MATCH($A297,PlotNumber,0),MATCH(B$3,PlotTitles,0)))),"",ISBLANK(INDEX(PlotData,MATCH($A297,PlotNumber,0),MATCH(O$3,PlotTitles,0))),$AB$18,TRUE,"")</f>
        <v/>
      </c>
      <c r="P297" s="182" t="str">
        <f t="shared" ca="1" si="13"/>
        <v/>
      </c>
      <c r="Q297" s="104" t="str" cm="1">
        <f t="array" ref="Q297">_xlfn.IFS(AND(A297&gt;NumberOfPlots,ISBLANK(INDEX(PlotData,MATCH($A297,PlotNumber,0),MATCH(B$3,PlotTitles,0)))),"",ISBLANK(INDEX(PlotData,MATCH($A297,PlotNumber,0),MATCH(N$3,PlotTitles,0))),"",(DATEVALUE(INDEX(PlotData,MATCH($A297,PlotNumber,0),MATCH(N$3,PlotTitles,0))&amp;INDEX(PlotData,MATCH($A297,PlotNumber,0),MATCH(O$3,PlotTitles,0))))&lt;(DATEVALUE(INDEX(PlotData,MATCH($A297,PlotNumber,0),MATCH(I$3,PlotTitles,0))&amp;INDEX(PlotData,MATCH($A297,PlotNumber,0),MATCH(J$3,PlotTitles,0)))),$AB$20,TRUE,"")</f>
        <v/>
      </c>
      <c r="R297" s="104" t="str" cm="1">
        <f t="array" ref="R297">_xlfn.IFS(OR(ISBLANK(StartDateMonth),ISBLANK(StartDateYear)),"",AND(A297&gt;NumberOfPlots,ISBLANK(INDEX(PlotData,MATCH($A297,PlotNumber,0),MATCH(B$3,PlotTitles,0)))),"",ISBLANK(INDEX(PlotData,MATCH($A297,PlotNumber,0),MATCH(N$3,PlotTitles,0))),"",CompletionMonth="","",(DATEVALUE(INDEX(PlotData,MATCH($A297,PlotNumber,0),MATCH(N$3,PlotTitles,0))&amp;INDEX(PlotData,MATCH($A297,PlotNumber,0),MATCH(O$3,PlotTitles,0))))&gt;(DATEVALUE(CompletionMonth&amp;CompletionYear)),$AB$21,TRUE,"")</f>
        <v/>
      </c>
      <c r="S297" s="104" t="str" cm="1">
        <f t="array" ref="S297">_xlfn.IFS(AND(A297&gt;NumberOfPlots,ISBLANK(INDEX(PlotData,MATCH($A297,PlotNumber,0),MATCH(B$3,PlotTitles,0)))),"",OR(AND(INDEX(PlotData,MATCH($A297,PlotNumber,0),MATCH("Tenure",PlotTitles,0))="Open market housing",INDEX(PlotData,MATCH($A297,PlotNumber,0),MATCH("Tenure detail",PlotTitles,0))="Private rented sector"),INDEX(PlotData,MATCH($A297,PlotNumber,0),MATCH("Tenure",PlotTitles,0))="Affordable rent"),"",ISNUMBER(INDEX(PlotData,MATCH($A297,PlotNumber,0),MATCH(S$3,PlotTitles,0)))=FALSE, $AB$22,TRUE,"")</f>
        <v/>
      </c>
      <c r="T297" s="104" t="str" cm="1">
        <f t="array" ref="T297">_xlfn.IFS(AND(A297&gt;NumberOfPlots,ISBLANK(INDEX(PlotData,MATCH($A297,PlotNumber,0),MATCH(B$3,PlotTitles,0)))),"",OR(AND(INDEX(PlotData,MATCH($A297,PlotNumber,0),MATCH("Tenure",PlotTitles,0))="Open market housing",INDEX(PlotData,MATCH($A297,PlotNumber,0),MATCH("Tenure detail",PlotTitles,0))="Private rented sector"),INDEX(PlotData,MATCH($A297,PlotNumber,0),MATCH("Tenure",PlotTitles,0))="Affordable rent"),"",INDEX(PlotData,MATCH($A297,PlotNumber,0),MATCH(S$3,PlotTitles,0))&lt;10000, $AB$23,TRUE,"")</f>
        <v/>
      </c>
      <c r="U297" s="104" t="str" cm="1">
        <f t="array" ref="U297">_xlfn.IFS(AND(A297&gt;NumberOfPlots,ISBLANK(INDEX(PlotData,MATCH($A297,PlotNumber,0),MATCH(B$3,PlotTitles,0)))),"",NOT(OR(AND(INDEX(PlotData,MATCH($A297,PlotNumber,0),MATCH("Tenure",PlotTitles,0))="Open market housing",INDEX(PlotData,MATCH($A297,PlotNumber,0),MATCH("Tenure detail",PlotTitles,0))="Private rented sector"),INDEX(PlotData,MATCH($A297,PlotNumber,0),MATCH("Tenure",PlotTitles,0))="Affordable rent")),"",NOT(INDEX(PlotData,MATCH($A297,PlotNumber,0),MATCH(S$3,PlotTitles,0))=0), $AB$24,TRUE,"")</f>
        <v/>
      </c>
      <c r="V297" s="114" t="str" cm="1">
        <f t="array" aca="1" ref="V297" ca="1">_xlfn.IFS(ISBLANK(NumberOfPlots),"Enter the number of homes on the 1_SetUp sheet",AND(A297&gt;NumberOfPlots,ISBLANK(INDEX(PlotData,MATCH($A297,PlotNumber,0),MATCH(B$3,PlotTitles,0)))),"No error",NOT(B297=""),B297,NOT(C297=""),C297,NOT(D297=""),D297,NOT(E297=""),E297,NOT(F297=""),F297,NOT(G297=""),G297,NOT(H297=""),H297,NOT(I297=""),I297,NOT(J297=""),J297,NOT(K297=""),K297,NOT(L297=""),L297,NOT(M297=""),M297,NOT(N297=""),N297,NOT(O297=""),O297,NOT(P297=""),P297,NOT(Q297=""),Q297,NOT(R297=""),R297,NOT(S297=""),S297,NOT(T297=""),T297,NOT(U297=""),U297,TRUE,"No error")</f>
        <v>Enter the number of homes on the 1_SetUp sheet</v>
      </c>
      <c r="W297" s="114" t="str">
        <f t="shared" ca="1" si="14"/>
        <v xml:space="preserve">The Borrower has not addressed the following error messages for Home ID 293: </v>
      </c>
    </row>
    <row r="298" spans="1:23">
      <c r="A298" s="123">
        <v>294</v>
      </c>
      <c r="B298" s="104" t="str" cm="1">
        <f t="array" ref="B298">_xlfn.IFS(AND(A298&gt;NumberOfPlots,ISBLANK(INDEX(PlotData,MATCH($A298,PlotNumber,0),MATCH(B$3,PlotTitles,0)))),"",ISNUMBER(INDEX(PlotData,MATCH($A298,PlotNumber,0),MATCH(B$3,PlotTitles,0)))=FALSE, $AB$5,TRUE,"")</f>
        <v/>
      </c>
      <c r="C298" s="104" t="str" cm="1">
        <f t="array" ref="C298">_xlfn.IFS(AND(A298&gt;NumberOfPlots,ISBLANK(INDEX(PlotData,MATCH($A298,PlotNumber,0),MATCH(B$3,PlotTitles,0)))),"",ISBLANK(INDEX(PlotData,MATCH($A298,PlotNumber,0),MATCH(C$3,PlotTitles,0))),$AB$6,TRUE,"")</f>
        <v/>
      </c>
      <c r="D298" s="104" t="str" cm="1">
        <f t="array" ref="D298">_xlfn.IFS(AND(A298&gt;NumberOfPlots,ISBLANK(INDEX(PlotData,MATCH($A298,PlotNumber,0),MATCH(B$3,PlotTitles,0)))),"",ISBLANK(INDEX(PlotData,MATCH($A298,PlotNumber,0),MATCH(D$3,PlotTitles,0))),$AB$7,TRUE,"")</f>
        <v/>
      </c>
      <c r="E298" s="104" t="str" cm="1">
        <f t="array" ref="E298">_xlfn.IFS(AND(A298&gt;NumberOfPlots,ISBLANK(INDEX(PlotData,MATCH($A298,PlotNumber,0),MATCH(B$3,PlotTitles,0)))),"",ISBLANK(INDEX(PlotData,MATCH($A298,PlotNumber,0),MATCH(E$3,PlotTitles,0))),$AB$8,TRUE,"")</f>
        <v/>
      </c>
      <c r="F298" s="104" t="str" cm="1">
        <f t="array" ref="F298">_xlfn.IFS(AND(A298&gt;NumberOfPlots,ISBLANK(INDEX(PlotData,MATCH($A298,PlotNumber,0),MATCH(B$3,PlotTitles,0)))),"",ISBLANK(INDEX(PlotData,MATCH($A298,PlotNumber,0),MATCH(F$3,PlotTitles,0))),$AB$9,TRUE,"")</f>
        <v/>
      </c>
      <c r="G298" s="104" t="str" cm="1">
        <f t="array" ref="G298">_xlfn.IFS(AND(A298&gt;NumberOfPlots,ISBLANK(INDEX(PlotData,MATCH($A298,PlotNumber,0),MATCH(B$3,PlotTitles,0)))),"",ISBLANK(INDEX(PlotData,MATCH($A298,PlotNumber,0),MATCH(G$3,PlotTitles,0))),$AB$10,TRUE,"")</f>
        <v/>
      </c>
      <c r="H298" s="104" t="str" cm="1">
        <f t="array" ref="H298">_xlfn.IFS(AND(A298&gt;NumberOfPlots,ISBLANK(INDEX(PlotData,MATCH($A298,PlotNumber,0),MATCH(B$3,PlotTitles,0)))),"",AND(ISBLANK(INDEX(PlotData,MATCH($A298,PlotNumber,0),MATCH(H$3,PlotTitles,0)))=FALSE,INDEX(PlotData,MATCH($A298,PlotNumber,0),MATCH(H$3,PlotTitles,0))&lt;500), $AB$11,TRUE,"")</f>
        <v/>
      </c>
      <c r="I298" s="104" t="str" cm="1">
        <f t="array" ref="I298">_xlfn.IFS(AND(A298&gt;NumberOfPlots,ISBLANK(INDEX(PlotData,MATCH($A298,PlotNumber,0),MATCH(B$3,PlotTitles,0)))),"",ISBLANK(INDEX(PlotData,MATCH($A298,PlotNumber,0),MATCH(I$3,PlotTitles,0))),$AB$12,TRUE,"")</f>
        <v/>
      </c>
      <c r="J298" s="104" t="str" cm="1">
        <f t="array" ref="J298">_xlfn.IFS(AND(A298&gt;NumberOfPlots,ISBLANK(INDEX(PlotData,MATCH($A298,PlotNumber,0),MATCH(B$3,PlotTitles,0)))),"",ISBLANK(INDEX(PlotData,MATCH($A298,PlotNumber,0),MATCH(J$3,PlotTitles,0))),$AB$13,TRUE,"")</f>
        <v/>
      </c>
      <c r="K298" s="182" t="str">
        <f t="shared" ca="1" si="12"/>
        <v/>
      </c>
      <c r="L298" s="104" t="str" cm="1">
        <f t="array" ref="L298">_xlfn.IFS(OR(ISBLANK(StartDateMonth),ISBLANK(StartDateYear)),"",AND(A298&gt;NumberOfPlots,ISBLANK(INDEX(PlotData,MATCH($A298,PlotNumber,0),MATCH(B$3,PlotTitles,0)))),"",ISBLANK(INDEX(PlotData,MATCH($A298,PlotNumber,0),MATCH(I$3,PlotTitles,0))),"",(DATEVALUE(INDEX(PlotData,MATCH($A298,PlotNumber,0),MATCH(I$3,PlotTitles,0))&amp;INDEX(PlotData,MATCH($A298,PlotNumber,0),MATCH(J$3,PlotTitles,0))))&lt;DATEVALUE(StartDateMonth&amp;StartDateYear),$AB$15,TRUE,"")</f>
        <v/>
      </c>
      <c r="M298" s="104" t="str" cm="1">
        <f t="array" ref="M298">_xlfn.IFS(OR(ISBLANK(StartDateMonth),ISBLANK(StartDateYear)),"",AND(A298&gt;NumberOfPlots,ISBLANK(INDEX(PlotData,MATCH($A298,PlotNumber,0),MATCH(B$3,PlotTitles,0)))),"",ISBLANK(INDEX(PlotData,MATCH($A298,PlotNumber,0),MATCH(I$3,PlotTitles,0))),"",CompletionMonth="","",(DATEVALUE(INDEX(PlotData,MATCH($A298,PlotNumber,0),MATCH(I$3,PlotTitles,0))&amp;INDEX(PlotData,MATCH($A298,PlotNumber,0),MATCH(J$3,PlotTitles,0))))&gt;(DATEVALUE(CompletionMonth&amp;CompletionYear)),$AB$16,TRUE,"")</f>
        <v/>
      </c>
      <c r="N298" s="104" t="str" cm="1">
        <f t="array" ref="N298">_xlfn.IFS(AND(A298&gt;NumberOfPlots,ISBLANK(INDEX(PlotData,MATCH($A298,PlotNumber,0),MATCH(B$3,PlotTitles,0)))),"",ISBLANK(INDEX(PlotData,MATCH($A298,PlotNumber,0),MATCH(N$3,PlotTitles,0))),$AB$17,TRUE,"")</f>
        <v/>
      </c>
      <c r="O298" s="104" t="str" cm="1">
        <f t="array" ref="O298">_xlfn.IFS(AND(A298&gt;NumberOfPlots,ISBLANK(INDEX(PlotData,MATCH($A298,PlotNumber,0),MATCH(B$3,PlotTitles,0)))),"",ISBLANK(INDEX(PlotData,MATCH($A298,PlotNumber,0),MATCH(O$3,PlotTitles,0))),$AB$18,TRUE,"")</f>
        <v/>
      </c>
      <c r="P298" s="182" t="str">
        <f t="shared" ca="1" si="13"/>
        <v/>
      </c>
      <c r="Q298" s="104" t="str" cm="1">
        <f t="array" ref="Q298">_xlfn.IFS(AND(A298&gt;NumberOfPlots,ISBLANK(INDEX(PlotData,MATCH($A298,PlotNumber,0),MATCH(B$3,PlotTitles,0)))),"",ISBLANK(INDEX(PlotData,MATCH($A298,PlotNumber,0),MATCH(N$3,PlotTitles,0))),"",(DATEVALUE(INDEX(PlotData,MATCH($A298,PlotNumber,0),MATCH(N$3,PlotTitles,0))&amp;INDEX(PlotData,MATCH($A298,PlotNumber,0),MATCH(O$3,PlotTitles,0))))&lt;(DATEVALUE(INDEX(PlotData,MATCH($A298,PlotNumber,0),MATCH(I$3,PlotTitles,0))&amp;INDEX(PlotData,MATCH($A298,PlotNumber,0),MATCH(J$3,PlotTitles,0)))),$AB$20,TRUE,"")</f>
        <v/>
      </c>
      <c r="R298" s="104" t="str" cm="1">
        <f t="array" ref="R298">_xlfn.IFS(OR(ISBLANK(StartDateMonth),ISBLANK(StartDateYear)),"",AND(A298&gt;NumberOfPlots,ISBLANK(INDEX(PlotData,MATCH($A298,PlotNumber,0),MATCH(B$3,PlotTitles,0)))),"",ISBLANK(INDEX(PlotData,MATCH($A298,PlotNumber,0),MATCH(N$3,PlotTitles,0))),"",CompletionMonth="","",(DATEVALUE(INDEX(PlotData,MATCH($A298,PlotNumber,0),MATCH(N$3,PlotTitles,0))&amp;INDEX(PlotData,MATCH($A298,PlotNumber,0),MATCH(O$3,PlotTitles,0))))&gt;(DATEVALUE(CompletionMonth&amp;CompletionYear)),$AB$21,TRUE,"")</f>
        <v/>
      </c>
      <c r="S298" s="104" t="str" cm="1">
        <f t="array" ref="S298">_xlfn.IFS(AND(A298&gt;NumberOfPlots,ISBLANK(INDEX(PlotData,MATCH($A298,PlotNumber,0),MATCH(B$3,PlotTitles,0)))),"",OR(AND(INDEX(PlotData,MATCH($A298,PlotNumber,0),MATCH("Tenure",PlotTitles,0))="Open market housing",INDEX(PlotData,MATCH($A298,PlotNumber,0),MATCH("Tenure detail",PlotTitles,0))="Private rented sector"),INDEX(PlotData,MATCH($A298,PlotNumber,0),MATCH("Tenure",PlotTitles,0))="Affordable rent"),"",ISNUMBER(INDEX(PlotData,MATCH($A298,PlotNumber,0),MATCH(S$3,PlotTitles,0)))=FALSE, $AB$22,TRUE,"")</f>
        <v/>
      </c>
      <c r="T298" s="104" t="str" cm="1">
        <f t="array" ref="T298">_xlfn.IFS(AND(A298&gt;NumberOfPlots,ISBLANK(INDEX(PlotData,MATCH($A298,PlotNumber,0),MATCH(B$3,PlotTitles,0)))),"",OR(AND(INDEX(PlotData,MATCH($A298,PlotNumber,0),MATCH("Tenure",PlotTitles,0))="Open market housing",INDEX(PlotData,MATCH($A298,PlotNumber,0),MATCH("Tenure detail",PlotTitles,0))="Private rented sector"),INDEX(PlotData,MATCH($A298,PlotNumber,0),MATCH("Tenure",PlotTitles,0))="Affordable rent"),"",INDEX(PlotData,MATCH($A298,PlotNumber,0),MATCH(S$3,PlotTitles,0))&lt;10000, $AB$23,TRUE,"")</f>
        <v/>
      </c>
      <c r="U298" s="104" t="str" cm="1">
        <f t="array" ref="U298">_xlfn.IFS(AND(A298&gt;NumberOfPlots,ISBLANK(INDEX(PlotData,MATCH($A298,PlotNumber,0),MATCH(B$3,PlotTitles,0)))),"",NOT(OR(AND(INDEX(PlotData,MATCH($A298,PlotNumber,0),MATCH("Tenure",PlotTitles,0))="Open market housing",INDEX(PlotData,MATCH($A298,PlotNumber,0),MATCH("Tenure detail",PlotTitles,0))="Private rented sector"),INDEX(PlotData,MATCH($A298,PlotNumber,0),MATCH("Tenure",PlotTitles,0))="Affordable rent")),"",NOT(INDEX(PlotData,MATCH($A298,PlotNumber,0),MATCH(S$3,PlotTitles,0))=0), $AB$24,TRUE,"")</f>
        <v/>
      </c>
      <c r="V298" s="114" t="str" cm="1">
        <f t="array" aca="1" ref="V298" ca="1">_xlfn.IFS(ISBLANK(NumberOfPlots),"Enter the number of homes on the 1_SetUp sheet",AND(A298&gt;NumberOfPlots,ISBLANK(INDEX(PlotData,MATCH($A298,PlotNumber,0),MATCH(B$3,PlotTitles,0)))),"No error",NOT(B298=""),B298,NOT(C298=""),C298,NOT(D298=""),D298,NOT(E298=""),E298,NOT(F298=""),F298,NOT(G298=""),G298,NOT(H298=""),H298,NOT(I298=""),I298,NOT(J298=""),J298,NOT(K298=""),K298,NOT(L298=""),L298,NOT(M298=""),M298,NOT(N298=""),N298,NOT(O298=""),O298,NOT(P298=""),P298,NOT(Q298=""),Q298,NOT(R298=""),R298,NOT(S298=""),S298,NOT(T298=""),T298,NOT(U298=""),U298,TRUE,"No error")</f>
        <v>Enter the number of homes on the 1_SetUp sheet</v>
      </c>
      <c r="W298" s="114" t="str">
        <f t="shared" ca="1" si="14"/>
        <v xml:space="preserve">The Borrower has not addressed the following error messages for Home ID 294: </v>
      </c>
    </row>
    <row r="299" spans="1:23">
      <c r="A299" s="123">
        <v>295</v>
      </c>
      <c r="B299" s="104" t="str" cm="1">
        <f t="array" ref="B299">_xlfn.IFS(AND(A299&gt;NumberOfPlots,ISBLANK(INDEX(PlotData,MATCH($A299,PlotNumber,0),MATCH(B$3,PlotTitles,0)))),"",ISNUMBER(INDEX(PlotData,MATCH($A299,PlotNumber,0),MATCH(B$3,PlotTitles,0)))=FALSE, $AB$5,TRUE,"")</f>
        <v/>
      </c>
      <c r="C299" s="104" t="str" cm="1">
        <f t="array" ref="C299">_xlfn.IFS(AND(A299&gt;NumberOfPlots,ISBLANK(INDEX(PlotData,MATCH($A299,PlotNumber,0),MATCH(B$3,PlotTitles,0)))),"",ISBLANK(INDEX(PlotData,MATCH($A299,PlotNumber,0),MATCH(C$3,PlotTitles,0))),$AB$6,TRUE,"")</f>
        <v/>
      </c>
      <c r="D299" s="104" t="str" cm="1">
        <f t="array" ref="D299">_xlfn.IFS(AND(A299&gt;NumberOfPlots,ISBLANK(INDEX(PlotData,MATCH($A299,PlotNumber,0),MATCH(B$3,PlotTitles,0)))),"",ISBLANK(INDEX(PlotData,MATCH($A299,PlotNumber,0),MATCH(D$3,PlotTitles,0))),$AB$7,TRUE,"")</f>
        <v/>
      </c>
      <c r="E299" s="104" t="str" cm="1">
        <f t="array" ref="E299">_xlfn.IFS(AND(A299&gt;NumberOfPlots,ISBLANK(INDEX(PlotData,MATCH($A299,PlotNumber,0),MATCH(B$3,PlotTitles,0)))),"",ISBLANK(INDEX(PlotData,MATCH($A299,PlotNumber,0),MATCH(E$3,PlotTitles,0))),$AB$8,TRUE,"")</f>
        <v/>
      </c>
      <c r="F299" s="104" t="str" cm="1">
        <f t="array" ref="F299">_xlfn.IFS(AND(A299&gt;NumberOfPlots,ISBLANK(INDEX(PlotData,MATCH($A299,PlotNumber,0),MATCH(B$3,PlotTitles,0)))),"",ISBLANK(INDEX(PlotData,MATCH($A299,PlotNumber,0),MATCH(F$3,PlotTitles,0))),$AB$9,TRUE,"")</f>
        <v/>
      </c>
      <c r="G299" s="104" t="str" cm="1">
        <f t="array" ref="G299">_xlfn.IFS(AND(A299&gt;NumberOfPlots,ISBLANK(INDEX(PlotData,MATCH($A299,PlotNumber,0),MATCH(B$3,PlotTitles,0)))),"",ISBLANK(INDEX(PlotData,MATCH($A299,PlotNumber,0),MATCH(G$3,PlotTitles,0))),$AB$10,TRUE,"")</f>
        <v/>
      </c>
      <c r="H299" s="104" t="str" cm="1">
        <f t="array" ref="H299">_xlfn.IFS(AND(A299&gt;NumberOfPlots,ISBLANK(INDEX(PlotData,MATCH($A299,PlotNumber,0),MATCH(B$3,PlotTitles,0)))),"",AND(ISBLANK(INDEX(PlotData,MATCH($A299,PlotNumber,0),MATCH(H$3,PlotTitles,0)))=FALSE,INDEX(PlotData,MATCH($A299,PlotNumber,0),MATCH(H$3,PlotTitles,0))&lt;500), $AB$11,TRUE,"")</f>
        <v/>
      </c>
      <c r="I299" s="104" t="str" cm="1">
        <f t="array" ref="I299">_xlfn.IFS(AND(A299&gt;NumberOfPlots,ISBLANK(INDEX(PlotData,MATCH($A299,PlotNumber,0),MATCH(B$3,PlotTitles,0)))),"",ISBLANK(INDEX(PlotData,MATCH($A299,PlotNumber,0),MATCH(I$3,PlotTitles,0))),$AB$12,TRUE,"")</f>
        <v/>
      </c>
      <c r="J299" s="104" t="str" cm="1">
        <f t="array" ref="J299">_xlfn.IFS(AND(A299&gt;NumberOfPlots,ISBLANK(INDEX(PlotData,MATCH($A299,PlotNumber,0),MATCH(B$3,PlotTitles,0)))),"",ISBLANK(INDEX(PlotData,MATCH($A299,PlotNumber,0),MATCH(J$3,PlotTitles,0))),$AB$13,TRUE,"")</f>
        <v/>
      </c>
      <c r="K299" s="182" t="str">
        <f t="shared" ca="1" si="12"/>
        <v/>
      </c>
      <c r="L299" s="104" t="str" cm="1">
        <f t="array" ref="L299">_xlfn.IFS(OR(ISBLANK(StartDateMonth),ISBLANK(StartDateYear)),"",AND(A299&gt;NumberOfPlots,ISBLANK(INDEX(PlotData,MATCH($A299,PlotNumber,0),MATCH(B$3,PlotTitles,0)))),"",ISBLANK(INDEX(PlotData,MATCH($A299,PlotNumber,0),MATCH(I$3,PlotTitles,0))),"",(DATEVALUE(INDEX(PlotData,MATCH($A299,PlotNumber,0),MATCH(I$3,PlotTitles,0))&amp;INDEX(PlotData,MATCH($A299,PlotNumber,0),MATCH(J$3,PlotTitles,0))))&lt;DATEVALUE(StartDateMonth&amp;StartDateYear),$AB$15,TRUE,"")</f>
        <v/>
      </c>
      <c r="M299" s="104" t="str" cm="1">
        <f t="array" ref="M299">_xlfn.IFS(OR(ISBLANK(StartDateMonth),ISBLANK(StartDateYear)),"",AND(A299&gt;NumberOfPlots,ISBLANK(INDEX(PlotData,MATCH($A299,PlotNumber,0),MATCH(B$3,PlotTitles,0)))),"",ISBLANK(INDEX(PlotData,MATCH($A299,PlotNumber,0),MATCH(I$3,PlotTitles,0))),"",CompletionMonth="","",(DATEVALUE(INDEX(PlotData,MATCH($A299,PlotNumber,0),MATCH(I$3,PlotTitles,0))&amp;INDEX(PlotData,MATCH($A299,PlotNumber,0),MATCH(J$3,PlotTitles,0))))&gt;(DATEVALUE(CompletionMonth&amp;CompletionYear)),$AB$16,TRUE,"")</f>
        <v/>
      </c>
      <c r="N299" s="104" t="str" cm="1">
        <f t="array" ref="N299">_xlfn.IFS(AND(A299&gt;NumberOfPlots,ISBLANK(INDEX(PlotData,MATCH($A299,PlotNumber,0),MATCH(B$3,PlotTitles,0)))),"",ISBLANK(INDEX(PlotData,MATCH($A299,PlotNumber,0),MATCH(N$3,PlotTitles,0))),$AB$17,TRUE,"")</f>
        <v/>
      </c>
      <c r="O299" s="104" t="str" cm="1">
        <f t="array" ref="O299">_xlfn.IFS(AND(A299&gt;NumberOfPlots,ISBLANK(INDEX(PlotData,MATCH($A299,PlotNumber,0),MATCH(B$3,PlotTitles,0)))),"",ISBLANK(INDEX(PlotData,MATCH($A299,PlotNumber,0),MATCH(O$3,PlotTitles,0))),$AB$18,TRUE,"")</f>
        <v/>
      </c>
      <c r="P299" s="182" t="str">
        <f t="shared" ca="1" si="13"/>
        <v/>
      </c>
      <c r="Q299" s="104" t="str" cm="1">
        <f t="array" ref="Q299">_xlfn.IFS(AND(A299&gt;NumberOfPlots,ISBLANK(INDEX(PlotData,MATCH($A299,PlotNumber,0),MATCH(B$3,PlotTitles,0)))),"",ISBLANK(INDEX(PlotData,MATCH($A299,PlotNumber,0),MATCH(N$3,PlotTitles,0))),"",(DATEVALUE(INDEX(PlotData,MATCH($A299,PlotNumber,0),MATCH(N$3,PlotTitles,0))&amp;INDEX(PlotData,MATCH($A299,PlotNumber,0),MATCH(O$3,PlotTitles,0))))&lt;(DATEVALUE(INDEX(PlotData,MATCH($A299,PlotNumber,0),MATCH(I$3,PlotTitles,0))&amp;INDEX(PlotData,MATCH($A299,PlotNumber,0),MATCH(J$3,PlotTitles,0)))),$AB$20,TRUE,"")</f>
        <v/>
      </c>
      <c r="R299" s="104" t="str" cm="1">
        <f t="array" ref="R299">_xlfn.IFS(OR(ISBLANK(StartDateMonth),ISBLANK(StartDateYear)),"",AND(A299&gt;NumberOfPlots,ISBLANK(INDEX(PlotData,MATCH($A299,PlotNumber,0),MATCH(B$3,PlotTitles,0)))),"",ISBLANK(INDEX(PlotData,MATCH($A299,PlotNumber,0),MATCH(N$3,PlotTitles,0))),"",CompletionMonth="","",(DATEVALUE(INDEX(PlotData,MATCH($A299,PlotNumber,0),MATCH(N$3,PlotTitles,0))&amp;INDEX(PlotData,MATCH($A299,PlotNumber,0),MATCH(O$3,PlotTitles,0))))&gt;(DATEVALUE(CompletionMonth&amp;CompletionYear)),$AB$21,TRUE,"")</f>
        <v/>
      </c>
      <c r="S299" s="104" t="str" cm="1">
        <f t="array" ref="S299">_xlfn.IFS(AND(A299&gt;NumberOfPlots,ISBLANK(INDEX(PlotData,MATCH($A299,PlotNumber,0),MATCH(B$3,PlotTitles,0)))),"",OR(AND(INDEX(PlotData,MATCH($A299,PlotNumber,0),MATCH("Tenure",PlotTitles,0))="Open market housing",INDEX(PlotData,MATCH($A299,PlotNumber,0),MATCH("Tenure detail",PlotTitles,0))="Private rented sector"),INDEX(PlotData,MATCH($A299,PlotNumber,0),MATCH("Tenure",PlotTitles,0))="Affordable rent"),"",ISNUMBER(INDEX(PlotData,MATCH($A299,PlotNumber,0),MATCH(S$3,PlotTitles,0)))=FALSE, $AB$22,TRUE,"")</f>
        <v/>
      </c>
      <c r="T299" s="104" t="str" cm="1">
        <f t="array" ref="T299">_xlfn.IFS(AND(A299&gt;NumberOfPlots,ISBLANK(INDEX(PlotData,MATCH($A299,PlotNumber,0),MATCH(B$3,PlotTitles,0)))),"",OR(AND(INDEX(PlotData,MATCH($A299,PlotNumber,0),MATCH("Tenure",PlotTitles,0))="Open market housing",INDEX(PlotData,MATCH($A299,PlotNumber,0),MATCH("Tenure detail",PlotTitles,0))="Private rented sector"),INDEX(PlotData,MATCH($A299,PlotNumber,0),MATCH("Tenure",PlotTitles,0))="Affordable rent"),"",INDEX(PlotData,MATCH($A299,PlotNumber,0),MATCH(S$3,PlotTitles,0))&lt;10000, $AB$23,TRUE,"")</f>
        <v/>
      </c>
      <c r="U299" s="104" t="str" cm="1">
        <f t="array" ref="U299">_xlfn.IFS(AND(A299&gt;NumberOfPlots,ISBLANK(INDEX(PlotData,MATCH($A299,PlotNumber,0),MATCH(B$3,PlotTitles,0)))),"",NOT(OR(AND(INDEX(PlotData,MATCH($A299,PlotNumber,0),MATCH("Tenure",PlotTitles,0))="Open market housing",INDEX(PlotData,MATCH($A299,PlotNumber,0),MATCH("Tenure detail",PlotTitles,0))="Private rented sector"),INDEX(PlotData,MATCH($A299,PlotNumber,0),MATCH("Tenure",PlotTitles,0))="Affordable rent")),"",NOT(INDEX(PlotData,MATCH($A299,PlotNumber,0),MATCH(S$3,PlotTitles,0))=0), $AB$24,TRUE,"")</f>
        <v/>
      </c>
      <c r="V299" s="114" t="str" cm="1">
        <f t="array" aca="1" ref="V299" ca="1">_xlfn.IFS(ISBLANK(NumberOfPlots),"Enter the number of homes on the 1_SetUp sheet",AND(A299&gt;NumberOfPlots,ISBLANK(INDEX(PlotData,MATCH($A299,PlotNumber,0),MATCH(B$3,PlotTitles,0)))),"No error",NOT(B299=""),B299,NOT(C299=""),C299,NOT(D299=""),D299,NOT(E299=""),E299,NOT(F299=""),F299,NOT(G299=""),G299,NOT(H299=""),H299,NOT(I299=""),I299,NOT(J299=""),J299,NOT(K299=""),K299,NOT(L299=""),L299,NOT(M299=""),M299,NOT(N299=""),N299,NOT(O299=""),O299,NOT(P299=""),P299,NOT(Q299=""),Q299,NOT(R299=""),R299,NOT(S299=""),S299,NOT(T299=""),T299,NOT(U299=""),U299,TRUE,"No error")</f>
        <v>Enter the number of homes on the 1_SetUp sheet</v>
      </c>
      <c r="W299" s="114" t="str">
        <f t="shared" ca="1" si="14"/>
        <v xml:space="preserve">The Borrower has not addressed the following error messages for Home ID 295: </v>
      </c>
    </row>
    <row r="300" spans="1:23">
      <c r="A300" s="123">
        <v>296</v>
      </c>
      <c r="B300" s="104" t="str" cm="1">
        <f t="array" ref="B300">_xlfn.IFS(AND(A300&gt;NumberOfPlots,ISBLANK(INDEX(PlotData,MATCH($A300,PlotNumber,0),MATCH(B$3,PlotTitles,0)))),"",ISNUMBER(INDEX(PlotData,MATCH($A300,PlotNumber,0),MATCH(B$3,PlotTitles,0)))=FALSE, $AB$5,TRUE,"")</f>
        <v/>
      </c>
      <c r="C300" s="104" t="str" cm="1">
        <f t="array" ref="C300">_xlfn.IFS(AND(A300&gt;NumberOfPlots,ISBLANK(INDEX(PlotData,MATCH($A300,PlotNumber,0),MATCH(B$3,PlotTitles,0)))),"",ISBLANK(INDEX(PlotData,MATCH($A300,PlotNumber,0),MATCH(C$3,PlotTitles,0))),$AB$6,TRUE,"")</f>
        <v/>
      </c>
      <c r="D300" s="104" t="str" cm="1">
        <f t="array" ref="D300">_xlfn.IFS(AND(A300&gt;NumberOfPlots,ISBLANK(INDEX(PlotData,MATCH($A300,PlotNumber,0),MATCH(B$3,PlotTitles,0)))),"",ISBLANK(INDEX(PlotData,MATCH($A300,PlotNumber,0),MATCH(D$3,PlotTitles,0))),$AB$7,TRUE,"")</f>
        <v/>
      </c>
      <c r="E300" s="104" t="str" cm="1">
        <f t="array" ref="E300">_xlfn.IFS(AND(A300&gt;NumberOfPlots,ISBLANK(INDEX(PlotData,MATCH($A300,PlotNumber,0),MATCH(B$3,PlotTitles,0)))),"",ISBLANK(INDEX(PlotData,MATCH($A300,PlotNumber,0),MATCH(E$3,PlotTitles,0))),$AB$8,TRUE,"")</f>
        <v/>
      </c>
      <c r="F300" s="104" t="str" cm="1">
        <f t="array" ref="F300">_xlfn.IFS(AND(A300&gt;NumberOfPlots,ISBLANK(INDEX(PlotData,MATCH($A300,PlotNumber,0),MATCH(B$3,PlotTitles,0)))),"",ISBLANK(INDEX(PlotData,MATCH($A300,PlotNumber,0),MATCH(F$3,PlotTitles,0))),$AB$9,TRUE,"")</f>
        <v/>
      </c>
      <c r="G300" s="104" t="str" cm="1">
        <f t="array" ref="G300">_xlfn.IFS(AND(A300&gt;NumberOfPlots,ISBLANK(INDEX(PlotData,MATCH($A300,PlotNumber,0),MATCH(B$3,PlotTitles,0)))),"",ISBLANK(INDEX(PlotData,MATCH($A300,PlotNumber,0),MATCH(G$3,PlotTitles,0))),$AB$10,TRUE,"")</f>
        <v/>
      </c>
      <c r="H300" s="104" t="str" cm="1">
        <f t="array" ref="H300">_xlfn.IFS(AND(A300&gt;NumberOfPlots,ISBLANK(INDEX(PlotData,MATCH($A300,PlotNumber,0),MATCH(B$3,PlotTitles,0)))),"",AND(ISBLANK(INDEX(PlotData,MATCH($A300,PlotNumber,0),MATCH(H$3,PlotTitles,0)))=FALSE,INDEX(PlotData,MATCH($A300,PlotNumber,0),MATCH(H$3,PlotTitles,0))&lt;500), $AB$11,TRUE,"")</f>
        <v/>
      </c>
      <c r="I300" s="104" t="str" cm="1">
        <f t="array" ref="I300">_xlfn.IFS(AND(A300&gt;NumberOfPlots,ISBLANK(INDEX(PlotData,MATCH($A300,PlotNumber,0),MATCH(B$3,PlotTitles,0)))),"",ISBLANK(INDEX(PlotData,MATCH($A300,PlotNumber,0),MATCH(I$3,PlotTitles,0))),$AB$12,TRUE,"")</f>
        <v/>
      </c>
      <c r="J300" s="104" t="str" cm="1">
        <f t="array" ref="J300">_xlfn.IFS(AND(A300&gt;NumberOfPlots,ISBLANK(INDEX(PlotData,MATCH($A300,PlotNumber,0),MATCH(B$3,PlotTitles,0)))),"",ISBLANK(INDEX(PlotData,MATCH($A300,PlotNumber,0),MATCH(J$3,PlotTitles,0))),$AB$13,TRUE,"")</f>
        <v/>
      </c>
      <c r="K300" s="182" t="str">
        <f t="shared" ca="1" si="12"/>
        <v/>
      </c>
      <c r="L300" s="104" t="str" cm="1">
        <f t="array" ref="L300">_xlfn.IFS(OR(ISBLANK(StartDateMonth),ISBLANK(StartDateYear)),"",AND(A300&gt;NumberOfPlots,ISBLANK(INDEX(PlotData,MATCH($A300,PlotNumber,0),MATCH(B$3,PlotTitles,0)))),"",ISBLANK(INDEX(PlotData,MATCH($A300,PlotNumber,0),MATCH(I$3,PlotTitles,0))),"",(DATEVALUE(INDEX(PlotData,MATCH($A300,PlotNumber,0),MATCH(I$3,PlotTitles,0))&amp;INDEX(PlotData,MATCH($A300,PlotNumber,0),MATCH(J$3,PlotTitles,0))))&lt;DATEVALUE(StartDateMonth&amp;StartDateYear),$AB$15,TRUE,"")</f>
        <v/>
      </c>
      <c r="M300" s="104" t="str" cm="1">
        <f t="array" ref="M300">_xlfn.IFS(OR(ISBLANK(StartDateMonth),ISBLANK(StartDateYear)),"",AND(A300&gt;NumberOfPlots,ISBLANK(INDEX(PlotData,MATCH($A300,PlotNumber,0),MATCH(B$3,PlotTitles,0)))),"",ISBLANK(INDEX(PlotData,MATCH($A300,PlotNumber,0),MATCH(I$3,PlotTitles,0))),"",CompletionMonth="","",(DATEVALUE(INDEX(PlotData,MATCH($A300,PlotNumber,0),MATCH(I$3,PlotTitles,0))&amp;INDEX(PlotData,MATCH($A300,PlotNumber,0),MATCH(J$3,PlotTitles,0))))&gt;(DATEVALUE(CompletionMonth&amp;CompletionYear)),$AB$16,TRUE,"")</f>
        <v/>
      </c>
      <c r="N300" s="104" t="str" cm="1">
        <f t="array" ref="N300">_xlfn.IFS(AND(A300&gt;NumberOfPlots,ISBLANK(INDEX(PlotData,MATCH($A300,PlotNumber,0),MATCH(B$3,PlotTitles,0)))),"",ISBLANK(INDEX(PlotData,MATCH($A300,PlotNumber,0),MATCH(N$3,PlotTitles,0))),$AB$17,TRUE,"")</f>
        <v/>
      </c>
      <c r="O300" s="104" t="str" cm="1">
        <f t="array" ref="O300">_xlfn.IFS(AND(A300&gt;NumberOfPlots,ISBLANK(INDEX(PlotData,MATCH($A300,PlotNumber,0),MATCH(B$3,PlotTitles,0)))),"",ISBLANK(INDEX(PlotData,MATCH($A300,PlotNumber,0),MATCH(O$3,PlotTitles,0))),$AB$18,TRUE,"")</f>
        <v/>
      </c>
      <c r="P300" s="182" t="str">
        <f t="shared" ca="1" si="13"/>
        <v/>
      </c>
      <c r="Q300" s="104" t="str" cm="1">
        <f t="array" ref="Q300">_xlfn.IFS(AND(A300&gt;NumberOfPlots,ISBLANK(INDEX(PlotData,MATCH($A300,PlotNumber,0),MATCH(B$3,PlotTitles,0)))),"",ISBLANK(INDEX(PlotData,MATCH($A300,PlotNumber,0),MATCH(N$3,PlotTitles,0))),"",(DATEVALUE(INDEX(PlotData,MATCH($A300,PlotNumber,0),MATCH(N$3,PlotTitles,0))&amp;INDEX(PlotData,MATCH($A300,PlotNumber,0),MATCH(O$3,PlotTitles,0))))&lt;(DATEVALUE(INDEX(PlotData,MATCH($A300,PlotNumber,0),MATCH(I$3,PlotTitles,0))&amp;INDEX(PlotData,MATCH($A300,PlotNumber,0),MATCH(J$3,PlotTitles,0)))),$AB$20,TRUE,"")</f>
        <v/>
      </c>
      <c r="R300" s="104" t="str" cm="1">
        <f t="array" ref="R300">_xlfn.IFS(OR(ISBLANK(StartDateMonth),ISBLANK(StartDateYear)),"",AND(A300&gt;NumberOfPlots,ISBLANK(INDEX(PlotData,MATCH($A300,PlotNumber,0),MATCH(B$3,PlotTitles,0)))),"",ISBLANK(INDEX(PlotData,MATCH($A300,PlotNumber,0),MATCH(N$3,PlotTitles,0))),"",CompletionMonth="","",(DATEVALUE(INDEX(PlotData,MATCH($A300,PlotNumber,0),MATCH(N$3,PlotTitles,0))&amp;INDEX(PlotData,MATCH($A300,PlotNumber,0),MATCH(O$3,PlotTitles,0))))&gt;(DATEVALUE(CompletionMonth&amp;CompletionYear)),$AB$21,TRUE,"")</f>
        <v/>
      </c>
      <c r="S300" s="104" t="str" cm="1">
        <f t="array" ref="S300">_xlfn.IFS(AND(A300&gt;NumberOfPlots,ISBLANK(INDEX(PlotData,MATCH($A300,PlotNumber,0),MATCH(B$3,PlotTitles,0)))),"",OR(AND(INDEX(PlotData,MATCH($A300,PlotNumber,0),MATCH("Tenure",PlotTitles,0))="Open market housing",INDEX(PlotData,MATCH($A300,PlotNumber,0),MATCH("Tenure detail",PlotTitles,0))="Private rented sector"),INDEX(PlotData,MATCH($A300,PlotNumber,0),MATCH("Tenure",PlotTitles,0))="Affordable rent"),"",ISNUMBER(INDEX(PlotData,MATCH($A300,PlotNumber,0),MATCH(S$3,PlotTitles,0)))=FALSE, $AB$22,TRUE,"")</f>
        <v/>
      </c>
      <c r="T300" s="104" t="str" cm="1">
        <f t="array" ref="T300">_xlfn.IFS(AND(A300&gt;NumberOfPlots,ISBLANK(INDEX(PlotData,MATCH($A300,PlotNumber,0),MATCH(B$3,PlotTitles,0)))),"",OR(AND(INDEX(PlotData,MATCH($A300,PlotNumber,0),MATCH("Tenure",PlotTitles,0))="Open market housing",INDEX(PlotData,MATCH($A300,PlotNumber,0),MATCH("Tenure detail",PlotTitles,0))="Private rented sector"),INDEX(PlotData,MATCH($A300,PlotNumber,0),MATCH("Tenure",PlotTitles,0))="Affordable rent"),"",INDEX(PlotData,MATCH($A300,PlotNumber,0),MATCH(S$3,PlotTitles,0))&lt;10000, $AB$23,TRUE,"")</f>
        <v/>
      </c>
      <c r="U300" s="104" t="str" cm="1">
        <f t="array" ref="U300">_xlfn.IFS(AND(A300&gt;NumberOfPlots,ISBLANK(INDEX(PlotData,MATCH($A300,PlotNumber,0),MATCH(B$3,PlotTitles,0)))),"",NOT(OR(AND(INDEX(PlotData,MATCH($A300,PlotNumber,0),MATCH("Tenure",PlotTitles,0))="Open market housing",INDEX(PlotData,MATCH($A300,PlotNumber,0),MATCH("Tenure detail",PlotTitles,0))="Private rented sector"),INDEX(PlotData,MATCH($A300,PlotNumber,0),MATCH("Tenure",PlotTitles,0))="Affordable rent")),"",NOT(INDEX(PlotData,MATCH($A300,PlotNumber,0),MATCH(S$3,PlotTitles,0))=0), $AB$24,TRUE,"")</f>
        <v/>
      </c>
      <c r="V300" s="114" t="str" cm="1">
        <f t="array" aca="1" ref="V300" ca="1">_xlfn.IFS(ISBLANK(NumberOfPlots),"Enter the number of homes on the 1_SetUp sheet",AND(A300&gt;NumberOfPlots,ISBLANK(INDEX(PlotData,MATCH($A300,PlotNumber,0),MATCH(B$3,PlotTitles,0)))),"No error",NOT(B300=""),B300,NOT(C300=""),C300,NOT(D300=""),D300,NOT(E300=""),E300,NOT(F300=""),F300,NOT(G300=""),G300,NOT(H300=""),H300,NOT(I300=""),I300,NOT(J300=""),J300,NOT(K300=""),K300,NOT(L300=""),L300,NOT(M300=""),M300,NOT(N300=""),N300,NOT(O300=""),O300,NOT(P300=""),P300,NOT(Q300=""),Q300,NOT(R300=""),R300,NOT(S300=""),S300,NOT(T300=""),T300,NOT(U300=""),U300,TRUE,"No error")</f>
        <v>Enter the number of homes on the 1_SetUp sheet</v>
      </c>
      <c r="W300" s="114" t="str">
        <f t="shared" ca="1" si="14"/>
        <v xml:space="preserve">The Borrower has not addressed the following error messages for Home ID 296: </v>
      </c>
    </row>
    <row r="301" spans="1:23">
      <c r="A301" s="123">
        <v>297</v>
      </c>
      <c r="B301" s="104" t="str" cm="1">
        <f t="array" ref="B301">_xlfn.IFS(AND(A301&gt;NumberOfPlots,ISBLANK(INDEX(PlotData,MATCH($A301,PlotNumber,0),MATCH(B$3,PlotTitles,0)))),"",ISNUMBER(INDEX(PlotData,MATCH($A301,PlotNumber,0),MATCH(B$3,PlotTitles,0)))=FALSE, $AB$5,TRUE,"")</f>
        <v/>
      </c>
      <c r="C301" s="104" t="str" cm="1">
        <f t="array" ref="C301">_xlfn.IFS(AND(A301&gt;NumberOfPlots,ISBLANK(INDEX(PlotData,MATCH($A301,PlotNumber,0),MATCH(B$3,PlotTitles,0)))),"",ISBLANK(INDEX(PlotData,MATCH($A301,PlotNumber,0),MATCH(C$3,PlotTitles,0))),$AB$6,TRUE,"")</f>
        <v/>
      </c>
      <c r="D301" s="104" t="str" cm="1">
        <f t="array" ref="D301">_xlfn.IFS(AND(A301&gt;NumberOfPlots,ISBLANK(INDEX(PlotData,MATCH($A301,PlotNumber,0),MATCH(B$3,PlotTitles,0)))),"",ISBLANK(INDEX(PlotData,MATCH($A301,PlotNumber,0),MATCH(D$3,PlotTitles,0))),$AB$7,TRUE,"")</f>
        <v/>
      </c>
      <c r="E301" s="104" t="str" cm="1">
        <f t="array" ref="E301">_xlfn.IFS(AND(A301&gt;NumberOfPlots,ISBLANK(INDEX(PlotData,MATCH($A301,PlotNumber,0),MATCH(B$3,PlotTitles,0)))),"",ISBLANK(INDEX(PlotData,MATCH($A301,PlotNumber,0),MATCH(E$3,PlotTitles,0))),$AB$8,TRUE,"")</f>
        <v/>
      </c>
      <c r="F301" s="104" t="str" cm="1">
        <f t="array" ref="F301">_xlfn.IFS(AND(A301&gt;NumberOfPlots,ISBLANK(INDEX(PlotData,MATCH($A301,PlotNumber,0),MATCH(B$3,PlotTitles,0)))),"",ISBLANK(INDEX(PlotData,MATCH($A301,PlotNumber,0),MATCH(F$3,PlotTitles,0))),$AB$9,TRUE,"")</f>
        <v/>
      </c>
      <c r="G301" s="104" t="str" cm="1">
        <f t="array" ref="G301">_xlfn.IFS(AND(A301&gt;NumberOfPlots,ISBLANK(INDEX(PlotData,MATCH($A301,PlotNumber,0),MATCH(B$3,PlotTitles,0)))),"",ISBLANK(INDEX(PlotData,MATCH($A301,PlotNumber,0),MATCH(G$3,PlotTitles,0))),$AB$10,TRUE,"")</f>
        <v/>
      </c>
      <c r="H301" s="104" t="str" cm="1">
        <f t="array" ref="H301">_xlfn.IFS(AND(A301&gt;NumberOfPlots,ISBLANK(INDEX(PlotData,MATCH($A301,PlotNumber,0),MATCH(B$3,PlotTitles,0)))),"",AND(ISBLANK(INDEX(PlotData,MATCH($A301,PlotNumber,0),MATCH(H$3,PlotTitles,0)))=FALSE,INDEX(PlotData,MATCH($A301,PlotNumber,0),MATCH(H$3,PlotTitles,0))&lt;500), $AB$11,TRUE,"")</f>
        <v/>
      </c>
      <c r="I301" s="104" t="str" cm="1">
        <f t="array" ref="I301">_xlfn.IFS(AND(A301&gt;NumberOfPlots,ISBLANK(INDEX(PlotData,MATCH($A301,PlotNumber,0),MATCH(B$3,PlotTitles,0)))),"",ISBLANK(INDEX(PlotData,MATCH($A301,PlotNumber,0),MATCH(I$3,PlotTitles,0))),$AB$12,TRUE,"")</f>
        <v/>
      </c>
      <c r="J301" s="104" t="str" cm="1">
        <f t="array" ref="J301">_xlfn.IFS(AND(A301&gt;NumberOfPlots,ISBLANK(INDEX(PlotData,MATCH($A301,PlotNumber,0),MATCH(B$3,PlotTitles,0)))),"",ISBLANK(INDEX(PlotData,MATCH($A301,PlotNumber,0),MATCH(J$3,PlotTitles,0))),$AB$13,TRUE,"")</f>
        <v/>
      </c>
      <c r="K301" s="182" t="str">
        <f t="shared" ca="1" si="12"/>
        <v/>
      </c>
      <c r="L301" s="104" t="str" cm="1">
        <f t="array" ref="L301">_xlfn.IFS(OR(ISBLANK(StartDateMonth),ISBLANK(StartDateYear)),"",AND(A301&gt;NumberOfPlots,ISBLANK(INDEX(PlotData,MATCH($A301,PlotNumber,0),MATCH(B$3,PlotTitles,0)))),"",ISBLANK(INDEX(PlotData,MATCH($A301,PlotNumber,0),MATCH(I$3,PlotTitles,0))),"",(DATEVALUE(INDEX(PlotData,MATCH($A301,PlotNumber,0),MATCH(I$3,PlotTitles,0))&amp;INDEX(PlotData,MATCH($A301,PlotNumber,0),MATCH(J$3,PlotTitles,0))))&lt;DATEVALUE(StartDateMonth&amp;StartDateYear),$AB$15,TRUE,"")</f>
        <v/>
      </c>
      <c r="M301" s="104" t="str" cm="1">
        <f t="array" ref="M301">_xlfn.IFS(OR(ISBLANK(StartDateMonth),ISBLANK(StartDateYear)),"",AND(A301&gt;NumberOfPlots,ISBLANK(INDEX(PlotData,MATCH($A301,PlotNumber,0),MATCH(B$3,PlotTitles,0)))),"",ISBLANK(INDEX(PlotData,MATCH($A301,PlotNumber,0),MATCH(I$3,PlotTitles,0))),"",CompletionMonth="","",(DATEVALUE(INDEX(PlotData,MATCH($A301,PlotNumber,0),MATCH(I$3,PlotTitles,0))&amp;INDEX(PlotData,MATCH($A301,PlotNumber,0),MATCH(J$3,PlotTitles,0))))&gt;(DATEVALUE(CompletionMonth&amp;CompletionYear)),$AB$16,TRUE,"")</f>
        <v/>
      </c>
      <c r="N301" s="104" t="str" cm="1">
        <f t="array" ref="N301">_xlfn.IFS(AND(A301&gt;NumberOfPlots,ISBLANK(INDEX(PlotData,MATCH($A301,PlotNumber,0),MATCH(B$3,PlotTitles,0)))),"",ISBLANK(INDEX(PlotData,MATCH($A301,PlotNumber,0),MATCH(N$3,PlotTitles,0))),$AB$17,TRUE,"")</f>
        <v/>
      </c>
      <c r="O301" s="104" t="str" cm="1">
        <f t="array" ref="O301">_xlfn.IFS(AND(A301&gt;NumberOfPlots,ISBLANK(INDEX(PlotData,MATCH($A301,PlotNumber,0),MATCH(B$3,PlotTitles,0)))),"",ISBLANK(INDEX(PlotData,MATCH($A301,PlotNumber,0),MATCH(O$3,PlotTitles,0))),$AB$18,TRUE,"")</f>
        <v/>
      </c>
      <c r="P301" s="182" t="str">
        <f t="shared" ca="1" si="13"/>
        <v/>
      </c>
      <c r="Q301" s="104" t="str" cm="1">
        <f t="array" ref="Q301">_xlfn.IFS(AND(A301&gt;NumberOfPlots,ISBLANK(INDEX(PlotData,MATCH($A301,PlotNumber,0),MATCH(B$3,PlotTitles,0)))),"",ISBLANK(INDEX(PlotData,MATCH($A301,PlotNumber,0),MATCH(N$3,PlotTitles,0))),"",(DATEVALUE(INDEX(PlotData,MATCH($A301,PlotNumber,0),MATCH(N$3,PlotTitles,0))&amp;INDEX(PlotData,MATCH($A301,PlotNumber,0),MATCH(O$3,PlotTitles,0))))&lt;(DATEVALUE(INDEX(PlotData,MATCH($A301,PlotNumber,0),MATCH(I$3,PlotTitles,0))&amp;INDEX(PlotData,MATCH($A301,PlotNumber,0),MATCH(J$3,PlotTitles,0)))),$AB$20,TRUE,"")</f>
        <v/>
      </c>
      <c r="R301" s="104" t="str" cm="1">
        <f t="array" ref="R301">_xlfn.IFS(OR(ISBLANK(StartDateMonth),ISBLANK(StartDateYear)),"",AND(A301&gt;NumberOfPlots,ISBLANK(INDEX(PlotData,MATCH($A301,PlotNumber,0),MATCH(B$3,PlotTitles,0)))),"",ISBLANK(INDEX(PlotData,MATCH($A301,PlotNumber,0),MATCH(N$3,PlotTitles,0))),"",CompletionMonth="","",(DATEVALUE(INDEX(PlotData,MATCH($A301,PlotNumber,0),MATCH(N$3,PlotTitles,0))&amp;INDEX(PlotData,MATCH($A301,PlotNumber,0),MATCH(O$3,PlotTitles,0))))&gt;(DATEVALUE(CompletionMonth&amp;CompletionYear)),$AB$21,TRUE,"")</f>
        <v/>
      </c>
      <c r="S301" s="104" t="str" cm="1">
        <f t="array" ref="S301">_xlfn.IFS(AND(A301&gt;NumberOfPlots,ISBLANK(INDEX(PlotData,MATCH($A301,PlotNumber,0),MATCH(B$3,PlotTitles,0)))),"",OR(AND(INDEX(PlotData,MATCH($A301,PlotNumber,0),MATCH("Tenure",PlotTitles,0))="Open market housing",INDEX(PlotData,MATCH($A301,PlotNumber,0),MATCH("Tenure detail",PlotTitles,0))="Private rented sector"),INDEX(PlotData,MATCH($A301,PlotNumber,0),MATCH("Tenure",PlotTitles,0))="Affordable rent"),"",ISNUMBER(INDEX(PlotData,MATCH($A301,PlotNumber,0),MATCH(S$3,PlotTitles,0)))=FALSE, $AB$22,TRUE,"")</f>
        <v/>
      </c>
      <c r="T301" s="104" t="str" cm="1">
        <f t="array" ref="T301">_xlfn.IFS(AND(A301&gt;NumberOfPlots,ISBLANK(INDEX(PlotData,MATCH($A301,PlotNumber,0),MATCH(B$3,PlotTitles,0)))),"",OR(AND(INDEX(PlotData,MATCH($A301,PlotNumber,0),MATCH("Tenure",PlotTitles,0))="Open market housing",INDEX(PlotData,MATCH($A301,PlotNumber,0),MATCH("Tenure detail",PlotTitles,0))="Private rented sector"),INDEX(PlotData,MATCH($A301,PlotNumber,0),MATCH("Tenure",PlotTitles,0))="Affordable rent"),"",INDEX(PlotData,MATCH($A301,PlotNumber,0),MATCH(S$3,PlotTitles,0))&lt;10000, $AB$23,TRUE,"")</f>
        <v/>
      </c>
      <c r="U301" s="104" t="str" cm="1">
        <f t="array" ref="U301">_xlfn.IFS(AND(A301&gt;NumberOfPlots,ISBLANK(INDEX(PlotData,MATCH($A301,PlotNumber,0),MATCH(B$3,PlotTitles,0)))),"",NOT(OR(AND(INDEX(PlotData,MATCH($A301,PlotNumber,0),MATCH("Tenure",PlotTitles,0))="Open market housing",INDEX(PlotData,MATCH($A301,PlotNumber,0),MATCH("Tenure detail",PlotTitles,0))="Private rented sector"),INDEX(PlotData,MATCH($A301,PlotNumber,0),MATCH("Tenure",PlotTitles,0))="Affordable rent")),"",NOT(INDEX(PlotData,MATCH($A301,PlotNumber,0),MATCH(S$3,PlotTitles,0))=0), $AB$24,TRUE,"")</f>
        <v/>
      </c>
      <c r="V301" s="114" t="str" cm="1">
        <f t="array" aca="1" ref="V301" ca="1">_xlfn.IFS(ISBLANK(NumberOfPlots),"Enter the number of homes on the 1_SetUp sheet",AND(A301&gt;NumberOfPlots,ISBLANK(INDEX(PlotData,MATCH($A301,PlotNumber,0),MATCH(B$3,PlotTitles,0)))),"No error",NOT(B301=""),B301,NOT(C301=""),C301,NOT(D301=""),D301,NOT(E301=""),E301,NOT(F301=""),F301,NOT(G301=""),G301,NOT(H301=""),H301,NOT(I301=""),I301,NOT(J301=""),J301,NOT(K301=""),K301,NOT(L301=""),L301,NOT(M301=""),M301,NOT(N301=""),N301,NOT(O301=""),O301,NOT(P301=""),P301,NOT(Q301=""),Q301,NOT(R301=""),R301,NOT(S301=""),S301,NOT(T301=""),T301,NOT(U301=""),U301,TRUE,"No error")</f>
        <v>Enter the number of homes on the 1_SetUp sheet</v>
      </c>
      <c r="W301" s="114" t="str">
        <f t="shared" ca="1" si="14"/>
        <v xml:space="preserve">The Borrower has not addressed the following error messages for Home ID 297: </v>
      </c>
    </row>
    <row r="302" spans="1:23">
      <c r="A302" s="123">
        <v>298</v>
      </c>
      <c r="B302" s="104" t="str" cm="1">
        <f t="array" ref="B302">_xlfn.IFS(AND(A302&gt;NumberOfPlots,ISBLANK(INDEX(PlotData,MATCH($A302,PlotNumber,0),MATCH(B$3,PlotTitles,0)))),"",ISNUMBER(INDEX(PlotData,MATCH($A302,PlotNumber,0),MATCH(B$3,PlotTitles,0)))=FALSE, $AB$5,TRUE,"")</f>
        <v/>
      </c>
      <c r="C302" s="104" t="str" cm="1">
        <f t="array" ref="C302">_xlfn.IFS(AND(A302&gt;NumberOfPlots,ISBLANK(INDEX(PlotData,MATCH($A302,PlotNumber,0),MATCH(B$3,PlotTitles,0)))),"",ISBLANK(INDEX(PlotData,MATCH($A302,PlotNumber,0),MATCH(C$3,PlotTitles,0))),$AB$6,TRUE,"")</f>
        <v/>
      </c>
      <c r="D302" s="104" t="str" cm="1">
        <f t="array" ref="D302">_xlfn.IFS(AND(A302&gt;NumberOfPlots,ISBLANK(INDEX(PlotData,MATCH($A302,PlotNumber,0),MATCH(B$3,PlotTitles,0)))),"",ISBLANK(INDEX(PlotData,MATCH($A302,PlotNumber,0),MATCH(D$3,PlotTitles,0))),$AB$7,TRUE,"")</f>
        <v/>
      </c>
      <c r="E302" s="104" t="str" cm="1">
        <f t="array" ref="E302">_xlfn.IFS(AND(A302&gt;NumberOfPlots,ISBLANK(INDEX(PlotData,MATCH($A302,PlotNumber,0),MATCH(B$3,PlotTitles,0)))),"",ISBLANK(INDEX(PlotData,MATCH($A302,PlotNumber,0),MATCH(E$3,PlotTitles,0))),$AB$8,TRUE,"")</f>
        <v/>
      </c>
      <c r="F302" s="104" t="str" cm="1">
        <f t="array" ref="F302">_xlfn.IFS(AND(A302&gt;NumberOfPlots,ISBLANK(INDEX(PlotData,MATCH($A302,PlotNumber,0),MATCH(B$3,PlotTitles,0)))),"",ISBLANK(INDEX(PlotData,MATCH($A302,PlotNumber,0),MATCH(F$3,PlotTitles,0))),$AB$9,TRUE,"")</f>
        <v/>
      </c>
      <c r="G302" s="104" t="str" cm="1">
        <f t="array" ref="G302">_xlfn.IFS(AND(A302&gt;NumberOfPlots,ISBLANK(INDEX(PlotData,MATCH($A302,PlotNumber,0),MATCH(B$3,PlotTitles,0)))),"",ISBLANK(INDEX(PlotData,MATCH($A302,PlotNumber,0),MATCH(G$3,PlotTitles,0))),$AB$10,TRUE,"")</f>
        <v/>
      </c>
      <c r="H302" s="104" t="str" cm="1">
        <f t="array" ref="H302">_xlfn.IFS(AND(A302&gt;NumberOfPlots,ISBLANK(INDEX(PlotData,MATCH($A302,PlotNumber,0),MATCH(B$3,PlotTitles,0)))),"",AND(ISBLANK(INDEX(PlotData,MATCH($A302,PlotNumber,0),MATCH(H$3,PlotTitles,0)))=FALSE,INDEX(PlotData,MATCH($A302,PlotNumber,0),MATCH(H$3,PlotTitles,0))&lt;500), $AB$11,TRUE,"")</f>
        <v/>
      </c>
      <c r="I302" s="104" t="str" cm="1">
        <f t="array" ref="I302">_xlfn.IFS(AND(A302&gt;NumberOfPlots,ISBLANK(INDEX(PlotData,MATCH($A302,PlotNumber,0),MATCH(B$3,PlotTitles,0)))),"",ISBLANK(INDEX(PlotData,MATCH($A302,PlotNumber,0),MATCH(I$3,PlotTitles,0))),$AB$12,TRUE,"")</f>
        <v/>
      </c>
      <c r="J302" s="104" t="str" cm="1">
        <f t="array" ref="J302">_xlfn.IFS(AND(A302&gt;NumberOfPlots,ISBLANK(INDEX(PlotData,MATCH($A302,PlotNumber,0),MATCH(B$3,PlotTitles,0)))),"",ISBLANK(INDEX(PlotData,MATCH($A302,PlotNumber,0),MATCH(J$3,PlotTitles,0))),$AB$13,TRUE,"")</f>
        <v/>
      </c>
      <c r="K302" s="182" t="str">
        <f t="shared" ca="1" si="12"/>
        <v/>
      </c>
      <c r="L302" s="104" t="str" cm="1">
        <f t="array" ref="L302">_xlfn.IFS(OR(ISBLANK(StartDateMonth),ISBLANK(StartDateYear)),"",AND(A302&gt;NumberOfPlots,ISBLANK(INDEX(PlotData,MATCH($A302,PlotNumber,0),MATCH(B$3,PlotTitles,0)))),"",ISBLANK(INDEX(PlotData,MATCH($A302,PlotNumber,0),MATCH(I$3,PlotTitles,0))),"",(DATEVALUE(INDEX(PlotData,MATCH($A302,PlotNumber,0),MATCH(I$3,PlotTitles,0))&amp;INDEX(PlotData,MATCH($A302,PlotNumber,0),MATCH(J$3,PlotTitles,0))))&lt;DATEVALUE(StartDateMonth&amp;StartDateYear),$AB$15,TRUE,"")</f>
        <v/>
      </c>
      <c r="M302" s="104" t="str" cm="1">
        <f t="array" ref="M302">_xlfn.IFS(OR(ISBLANK(StartDateMonth),ISBLANK(StartDateYear)),"",AND(A302&gt;NumberOfPlots,ISBLANK(INDEX(PlotData,MATCH($A302,PlotNumber,0),MATCH(B$3,PlotTitles,0)))),"",ISBLANK(INDEX(PlotData,MATCH($A302,PlotNumber,0),MATCH(I$3,PlotTitles,0))),"",CompletionMonth="","",(DATEVALUE(INDEX(PlotData,MATCH($A302,PlotNumber,0),MATCH(I$3,PlotTitles,0))&amp;INDEX(PlotData,MATCH($A302,PlotNumber,0),MATCH(J$3,PlotTitles,0))))&gt;(DATEVALUE(CompletionMonth&amp;CompletionYear)),$AB$16,TRUE,"")</f>
        <v/>
      </c>
      <c r="N302" s="104" t="str" cm="1">
        <f t="array" ref="N302">_xlfn.IFS(AND(A302&gt;NumberOfPlots,ISBLANK(INDEX(PlotData,MATCH($A302,PlotNumber,0),MATCH(B$3,PlotTitles,0)))),"",ISBLANK(INDEX(PlotData,MATCH($A302,PlotNumber,0),MATCH(N$3,PlotTitles,0))),$AB$17,TRUE,"")</f>
        <v/>
      </c>
      <c r="O302" s="104" t="str" cm="1">
        <f t="array" ref="O302">_xlfn.IFS(AND(A302&gt;NumberOfPlots,ISBLANK(INDEX(PlotData,MATCH($A302,PlotNumber,0),MATCH(B$3,PlotTitles,0)))),"",ISBLANK(INDEX(PlotData,MATCH($A302,PlotNumber,0),MATCH(O$3,PlotTitles,0))),$AB$18,TRUE,"")</f>
        <v/>
      </c>
      <c r="P302" s="182" t="str">
        <f t="shared" ca="1" si="13"/>
        <v/>
      </c>
      <c r="Q302" s="104" t="str" cm="1">
        <f t="array" ref="Q302">_xlfn.IFS(AND(A302&gt;NumberOfPlots,ISBLANK(INDEX(PlotData,MATCH($A302,PlotNumber,0),MATCH(B$3,PlotTitles,0)))),"",ISBLANK(INDEX(PlotData,MATCH($A302,PlotNumber,0),MATCH(N$3,PlotTitles,0))),"",(DATEVALUE(INDEX(PlotData,MATCH($A302,PlotNumber,0),MATCH(N$3,PlotTitles,0))&amp;INDEX(PlotData,MATCH($A302,PlotNumber,0),MATCH(O$3,PlotTitles,0))))&lt;(DATEVALUE(INDEX(PlotData,MATCH($A302,PlotNumber,0),MATCH(I$3,PlotTitles,0))&amp;INDEX(PlotData,MATCH($A302,PlotNumber,0),MATCH(J$3,PlotTitles,0)))),$AB$20,TRUE,"")</f>
        <v/>
      </c>
      <c r="R302" s="104" t="str" cm="1">
        <f t="array" ref="R302">_xlfn.IFS(OR(ISBLANK(StartDateMonth),ISBLANK(StartDateYear)),"",AND(A302&gt;NumberOfPlots,ISBLANK(INDEX(PlotData,MATCH($A302,PlotNumber,0),MATCH(B$3,PlotTitles,0)))),"",ISBLANK(INDEX(PlotData,MATCH($A302,PlotNumber,0),MATCH(N$3,PlotTitles,0))),"",CompletionMonth="","",(DATEVALUE(INDEX(PlotData,MATCH($A302,PlotNumber,0),MATCH(N$3,PlotTitles,0))&amp;INDEX(PlotData,MATCH($A302,PlotNumber,0),MATCH(O$3,PlotTitles,0))))&gt;(DATEVALUE(CompletionMonth&amp;CompletionYear)),$AB$21,TRUE,"")</f>
        <v/>
      </c>
      <c r="S302" s="104" t="str" cm="1">
        <f t="array" ref="S302">_xlfn.IFS(AND(A302&gt;NumberOfPlots,ISBLANK(INDEX(PlotData,MATCH($A302,PlotNumber,0),MATCH(B$3,PlotTitles,0)))),"",OR(AND(INDEX(PlotData,MATCH($A302,PlotNumber,0),MATCH("Tenure",PlotTitles,0))="Open market housing",INDEX(PlotData,MATCH($A302,PlotNumber,0),MATCH("Tenure detail",PlotTitles,0))="Private rented sector"),INDEX(PlotData,MATCH($A302,PlotNumber,0),MATCH("Tenure",PlotTitles,0))="Affordable rent"),"",ISNUMBER(INDEX(PlotData,MATCH($A302,PlotNumber,0),MATCH(S$3,PlotTitles,0)))=FALSE, $AB$22,TRUE,"")</f>
        <v/>
      </c>
      <c r="T302" s="104" t="str" cm="1">
        <f t="array" ref="T302">_xlfn.IFS(AND(A302&gt;NumberOfPlots,ISBLANK(INDEX(PlotData,MATCH($A302,PlotNumber,0),MATCH(B$3,PlotTitles,0)))),"",OR(AND(INDEX(PlotData,MATCH($A302,PlotNumber,0),MATCH("Tenure",PlotTitles,0))="Open market housing",INDEX(PlotData,MATCH($A302,PlotNumber,0),MATCH("Tenure detail",PlotTitles,0))="Private rented sector"),INDEX(PlotData,MATCH($A302,PlotNumber,0),MATCH("Tenure",PlotTitles,0))="Affordable rent"),"",INDEX(PlotData,MATCH($A302,PlotNumber,0),MATCH(S$3,PlotTitles,0))&lt;10000, $AB$23,TRUE,"")</f>
        <v/>
      </c>
      <c r="U302" s="104" t="str" cm="1">
        <f t="array" ref="U302">_xlfn.IFS(AND(A302&gt;NumberOfPlots,ISBLANK(INDEX(PlotData,MATCH($A302,PlotNumber,0),MATCH(B$3,PlotTitles,0)))),"",NOT(OR(AND(INDEX(PlotData,MATCH($A302,PlotNumber,0),MATCH("Tenure",PlotTitles,0))="Open market housing",INDEX(PlotData,MATCH($A302,PlotNumber,0),MATCH("Tenure detail",PlotTitles,0))="Private rented sector"),INDEX(PlotData,MATCH($A302,PlotNumber,0),MATCH("Tenure",PlotTitles,0))="Affordable rent")),"",NOT(INDEX(PlotData,MATCH($A302,PlotNumber,0),MATCH(S$3,PlotTitles,0))=0), $AB$24,TRUE,"")</f>
        <v/>
      </c>
      <c r="V302" s="114" t="str" cm="1">
        <f t="array" aca="1" ref="V302" ca="1">_xlfn.IFS(ISBLANK(NumberOfPlots),"Enter the number of homes on the 1_SetUp sheet",AND(A302&gt;NumberOfPlots,ISBLANK(INDEX(PlotData,MATCH($A302,PlotNumber,0),MATCH(B$3,PlotTitles,0)))),"No error",NOT(B302=""),B302,NOT(C302=""),C302,NOT(D302=""),D302,NOT(E302=""),E302,NOT(F302=""),F302,NOT(G302=""),G302,NOT(H302=""),H302,NOT(I302=""),I302,NOT(J302=""),J302,NOT(K302=""),K302,NOT(L302=""),L302,NOT(M302=""),M302,NOT(N302=""),N302,NOT(O302=""),O302,NOT(P302=""),P302,NOT(Q302=""),Q302,NOT(R302=""),R302,NOT(S302=""),S302,NOT(T302=""),T302,NOT(U302=""),U302,TRUE,"No error")</f>
        <v>Enter the number of homes on the 1_SetUp sheet</v>
      </c>
      <c r="W302" s="114" t="str">
        <f t="shared" ca="1" si="14"/>
        <v xml:space="preserve">The Borrower has not addressed the following error messages for Home ID 298: </v>
      </c>
    </row>
    <row r="303" spans="1:23">
      <c r="A303" s="123">
        <v>299</v>
      </c>
      <c r="B303" s="104" t="str" cm="1">
        <f t="array" ref="B303">_xlfn.IFS(AND(A303&gt;NumberOfPlots,ISBLANK(INDEX(PlotData,MATCH($A303,PlotNumber,0),MATCH(B$3,PlotTitles,0)))),"",ISNUMBER(INDEX(PlotData,MATCH($A303,PlotNumber,0),MATCH(B$3,PlotTitles,0)))=FALSE, $AB$5,TRUE,"")</f>
        <v/>
      </c>
      <c r="C303" s="104" t="str" cm="1">
        <f t="array" ref="C303">_xlfn.IFS(AND(A303&gt;NumberOfPlots,ISBLANK(INDEX(PlotData,MATCH($A303,PlotNumber,0),MATCH(B$3,PlotTitles,0)))),"",ISBLANK(INDEX(PlotData,MATCH($A303,PlotNumber,0),MATCH(C$3,PlotTitles,0))),$AB$6,TRUE,"")</f>
        <v/>
      </c>
      <c r="D303" s="104" t="str" cm="1">
        <f t="array" ref="D303">_xlfn.IFS(AND(A303&gt;NumberOfPlots,ISBLANK(INDEX(PlotData,MATCH($A303,PlotNumber,0),MATCH(B$3,PlotTitles,0)))),"",ISBLANK(INDEX(PlotData,MATCH($A303,PlotNumber,0),MATCH(D$3,PlotTitles,0))),$AB$7,TRUE,"")</f>
        <v/>
      </c>
      <c r="E303" s="104" t="str" cm="1">
        <f t="array" ref="E303">_xlfn.IFS(AND(A303&gt;NumberOfPlots,ISBLANK(INDEX(PlotData,MATCH($A303,PlotNumber,0),MATCH(B$3,PlotTitles,0)))),"",ISBLANK(INDEX(PlotData,MATCH($A303,PlotNumber,0),MATCH(E$3,PlotTitles,0))),$AB$8,TRUE,"")</f>
        <v/>
      </c>
      <c r="F303" s="104" t="str" cm="1">
        <f t="array" ref="F303">_xlfn.IFS(AND(A303&gt;NumberOfPlots,ISBLANK(INDEX(PlotData,MATCH($A303,PlotNumber,0),MATCH(B$3,PlotTitles,0)))),"",ISBLANK(INDEX(PlotData,MATCH($A303,PlotNumber,0),MATCH(F$3,PlotTitles,0))),$AB$9,TRUE,"")</f>
        <v/>
      </c>
      <c r="G303" s="104" t="str" cm="1">
        <f t="array" ref="G303">_xlfn.IFS(AND(A303&gt;NumberOfPlots,ISBLANK(INDEX(PlotData,MATCH($A303,PlotNumber,0),MATCH(B$3,PlotTitles,0)))),"",ISBLANK(INDEX(PlotData,MATCH($A303,PlotNumber,0),MATCH(G$3,PlotTitles,0))),$AB$10,TRUE,"")</f>
        <v/>
      </c>
      <c r="H303" s="104" t="str" cm="1">
        <f t="array" ref="H303">_xlfn.IFS(AND(A303&gt;NumberOfPlots,ISBLANK(INDEX(PlotData,MATCH($A303,PlotNumber,0),MATCH(B$3,PlotTitles,0)))),"",AND(ISBLANK(INDEX(PlotData,MATCH($A303,PlotNumber,0),MATCH(H$3,PlotTitles,0)))=FALSE,INDEX(PlotData,MATCH($A303,PlotNumber,0),MATCH(H$3,PlotTitles,0))&lt;500), $AB$11,TRUE,"")</f>
        <v/>
      </c>
      <c r="I303" s="104" t="str" cm="1">
        <f t="array" ref="I303">_xlfn.IFS(AND(A303&gt;NumberOfPlots,ISBLANK(INDEX(PlotData,MATCH($A303,PlotNumber,0),MATCH(B$3,PlotTitles,0)))),"",ISBLANK(INDEX(PlotData,MATCH($A303,PlotNumber,0),MATCH(I$3,PlotTitles,0))),$AB$12,TRUE,"")</f>
        <v/>
      </c>
      <c r="J303" s="104" t="str" cm="1">
        <f t="array" ref="J303">_xlfn.IFS(AND(A303&gt;NumberOfPlots,ISBLANK(INDEX(PlotData,MATCH($A303,PlotNumber,0),MATCH(B$3,PlotTitles,0)))),"",ISBLANK(INDEX(PlotData,MATCH($A303,PlotNumber,0),MATCH(J$3,PlotTitles,0))),$AB$13,TRUE,"")</f>
        <v/>
      </c>
      <c r="K303" s="182" t="str">
        <f t="shared" ca="1" si="12"/>
        <v/>
      </c>
      <c r="L303" s="104" t="str" cm="1">
        <f t="array" ref="L303">_xlfn.IFS(OR(ISBLANK(StartDateMonth),ISBLANK(StartDateYear)),"",AND(A303&gt;NumberOfPlots,ISBLANK(INDEX(PlotData,MATCH($A303,PlotNumber,0),MATCH(B$3,PlotTitles,0)))),"",ISBLANK(INDEX(PlotData,MATCH($A303,PlotNumber,0),MATCH(I$3,PlotTitles,0))),"",(DATEVALUE(INDEX(PlotData,MATCH($A303,PlotNumber,0),MATCH(I$3,PlotTitles,0))&amp;INDEX(PlotData,MATCH($A303,PlotNumber,0),MATCH(J$3,PlotTitles,0))))&lt;DATEVALUE(StartDateMonth&amp;StartDateYear),$AB$15,TRUE,"")</f>
        <v/>
      </c>
      <c r="M303" s="104" t="str" cm="1">
        <f t="array" ref="M303">_xlfn.IFS(OR(ISBLANK(StartDateMonth),ISBLANK(StartDateYear)),"",AND(A303&gt;NumberOfPlots,ISBLANK(INDEX(PlotData,MATCH($A303,PlotNumber,0),MATCH(B$3,PlotTitles,0)))),"",ISBLANK(INDEX(PlotData,MATCH($A303,PlotNumber,0),MATCH(I$3,PlotTitles,0))),"",CompletionMonth="","",(DATEVALUE(INDEX(PlotData,MATCH($A303,PlotNumber,0),MATCH(I$3,PlotTitles,0))&amp;INDEX(PlotData,MATCH($A303,PlotNumber,0),MATCH(J$3,PlotTitles,0))))&gt;(DATEVALUE(CompletionMonth&amp;CompletionYear)),$AB$16,TRUE,"")</f>
        <v/>
      </c>
      <c r="N303" s="104" t="str" cm="1">
        <f t="array" ref="N303">_xlfn.IFS(AND(A303&gt;NumberOfPlots,ISBLANK(INDEX(PlotData,MATCH($A303,PlotNumber,0),MATCH(B$3,PlotTitles,0)))),"",ISBLANK(INDEX(PlotData,MATCH($A303,PlotNumber,0),MATCH(N$3,PlotTitles,0))),$AB$17,TRUE,"")</f>
        <v/>
      </c>
      <c r="O303" s="104" t="str" cm="1">
        <f t="array" ref="O303">_xlfn.IFS(AND(A303&gt;NumberOfPlots,ISBLANK(INDEX(PlotData,MATCH($A303,PlotNumber,0),MATCH(B$3,PlotTitles,0)))),"",ISBLANK(INDEX(PlotData,MATCH($A303,PlotNumber,0),MATCH(O$3,PlotTitles,0))),$AB$18,TRUE,"")</f>
        <v/>
      </c>
      <c r="P303" s="182" t="str">
        <f t="shared" ca="1" si="13"/>
        <v/>
      </c>
      <c r="Q303" s="104" t="str" cm="1">
        <f t="array" ref="Q303">_xlfn.IFS(AND(A303&gt;NumberOfPlots,ISBLANK(INDEX(PlotData,MATCH($A303,PlotNumber,0),MATCH(B$3,PlotTitles,0)))),"",ISBLANK(INDEX(PlotData,MATCH($A303,PlotNumber,0),MATCH(N$3,PlotTitles,0))),"",(DATEVALUE(INDEX(PlotData,MATCH($A303,PlotNumber,0),MATCH(N$3,PlotTitles,0))&amp;INDEX(PlotData,MATCH($A303,PlotNumber,0),MATCH(O$3,PlotTitles,0))))&lt;(DATEVALUE(INDEX(PlotData,MATCH($A303,PlotNumber,0),MATCH(I$3,PlotTitles,0))&amp;INDEX(PlotData,MATCH($A303,PlotNumber,0),MATCH(J$3,PlotTitles,0)))),$AB$20,TRUE,"")</f>
        <v/>
      </c>
      <c r="R303" s="104" t="str" cm="1">
        <f t="array" ref="R303">_xlfn.IFS(OR(ISBLANK(StartDateMonth),ISBLANK(StartDateYear)),"",AND(A303&gt;NumberOfPlots,ISBLANK(INDEX(PlotData,MATCH($A303,PlotNumber,0),MATCH(B$3,PlotTitles,0)))),"",ISBLANK(INDEX(PlotData,MATCH($A303,PlotNumber,0),MATCH(N$3,PlotTitles,0))),"",CompletionMonth="","",(DATEVALUE(INDEX(PlotData,MATCH($A303,PlotNumber,0),MATCH(N$3,PlotTitles,0))&amp;INDEX(PlotData,MATCH($A303,PlotNumber,0),MATCH(O$3,PlotTitles,0))))&gt;(DATEVALUE(CompletionMonth&amp;CompletionYear)),$AB$21,TRUE,"")</f>
        <v/>
      </c>
      <c r="S303" s="104" t="str" cm="1">
        <f t="array" ref="S303">_xlfn.IFS(AND(A303&gt;NumberOfPlots,ISBLANK(INDEX(PlotData,MATCH($A303,PlotNumber,0),MATCH(B$3,PlotTitles,0)))),"",OR(AND(INDEX(PlotData,MATCH($A303,PlotNumber,0),MATCH("Tenure",PlotTitles,0))="Open market housing",INDEX(PlotData,MATCH($A303,PlotNumber,0),MATCH("Tenure detail",PlotTitles,0))="Private rented sector"),INDEX(PlotData,MATCH($A303,PlotNumber,0),MATCH("Tenure",PlotTitles,0))="Affordable rent"),"",ISNUMBER(INDEX(PlotData,MATCH($A303,PlotNumber,0),MATCH(S$3,PlotTitles,0)))=FALSE, $AB$22,TRUE,"")</f>
        <v/>
      </c>
      <c r="T303" s="104" t="str" cm="1">
        <f t="array" ref="T303">_xlfn.IFS(AND(A303&gt;NumberOfPlots,ISBLANK(INDEX(PlotData,MATCH($A303,PlotNumber,0),MATCH(B$3,PlotTitles,0)))),"",OR(AND(INDEX(PlotData,MATCH($A303,PlotNumber,0),MATCH("Tenure",PlotTitles,0))="Open market housing",INDEX(PlotData,MATCH($A303,PlotNumber,0),MATCH("Tenure detail",PlotTitles,0))="Private rented sector"),INDEX(PlotData,MATCH($A303,PlotNumber,0),MATCH("Tenure",PlotTitles,0))="Affordable rent"),"",INDEX(PlotData,MATCH($A303,PlotNumber,0),MATCH(S$3,PlotTitles,0))&lt;10000, $AB$23,TRUE,"")</f>
        <v/>
      </c>
      <c r="U303" s="104" t="str" cm="1">
        <f t="array" ref="U303">_xlfn.IFS(AND(A303&gt;NumberOfPlots,ISBLANK(INDEX(PlotData,MATCH($A303,PlotNumber,0),MATCH(B$3,PlotTitles,0)))),"",NOT(OR(AND(INDEX(PlotData,MATCH($A303,PlotNumber,0),MATCH("Tenure",PlotTitles,0))="Open market housing",INDEX(PlotData,MATCH($A303,PlotNumber,0),MATCH("Tenure detail",PlotTitles,0))="Private rented sector"),INDEX(PlotData,MATCH($A303,PlotNumber,0),MATCH("Tenure",PlotTitles,0))="Affordable rent")),"",NOT(INDEX(PlotData,MATCH($A303,PlotNumber,0),MATCH(S$3,PlotTitles,0))=0), $AB$24,TRUE,"")</f>
        <v/>
      </c>
      <c r="V303" s="114" t="str" cm="1">
        <f t="array" aca="1" ref="V303" ca="1">_xlfn.IFS(ISBLANK(NumberOfPlots),"Enter the number of homes on the 1_SetUp sheet",AND(A303&gt;NumberOfPlots,ISBLANK(INDEX(PlotData,MATCH($A303,PlotNumber,0),MATCH(B$3,PlotTitles,0)))),"No error",NOT(B303=""),B303,NOT(C303=""),C303,NOT(D303=""),D303,NOT(E303=""),E303,NOT(F303=""),F303,NOT(G303=""),G303,NOT(H303=""),H303,NOT(I303=""),I303,NOT(J303=""),J303,NOT(K303=""),K303,NOT(L303=""),L303,NOT(M303=""),M303,NOT(N303=""),N303,NOT(O303=""),O303,NOT(P303=""),P303,NOT(Q303=""),Q303,NOT(R303=""),R303,NOT(S303=""),S303,NOT(T303=""),T303,NOT(U303=""),U303,TRUE,"No error")</f>
        <v>Enter the number of homes on the 1_SetUp sheet</v>
      </c>
      <c r="W303" s="114" t="str">
        <f t="shared" ca="1" si="14"/>
        <v xml:space="preserve">The Borrower has not addressed the following error messages for Home ID 299: </v>
      </c>
    </row>
    <row r="304" spans="1:23">
      <c r="A304" s="123">
        <v>300</v>
      </c>
      <c r="B304" s="104" t="str" cm="1">
        <f t="array" ref="B304">_xlfn.IFS(AND(A304&gt;NumberOfPlots,ISBLANK(INDEX(PlotData,MATCH($A304,PlotNumber,0),MATCH(B$3,PlotTitles,0)))),"",ISNUMBER(INDEX(PlotData,MATCH($A304,PlotNumber,0),MATCH(B$3,PlotTitles,0)))=FALSE, $AB$5,TRUE,"")</f>
        <v/>
      </c>
      <c r="C304" s="104" t="str" cm="1">
        <f t="array" ref="C304">_xlfn.IFS(AND(A304&gt;NumberOfPlots,ISBLANK(INDEX(PlotData,MATCH($A304,PlotNumber,0),MATCH(B$3,PlotTitles,0)))),"",ISBLANK(INDEX(PlotData,MATCH($A304,PlotNumber,0),MATCH(C$3,PlotTitles,0))),$AB$6,TRUE,"")</f>
        <v/>
      </c>
      <c r="D304" s="104" t="str" cm="1">
        <f t="array" ref="D304">_xlfn.IFS(AND(A304&gt;NumberOfPlots,ISBLANK(INDEX(PlotData,MATCH($A304,PlotNumber,0),MATCH(B$3,PlotTitles,0)))),"",ISBLANK(INDEX(PlotData,MATCH($A304,PlotNumber,0),MATCH(D$3,PlotTitles,0))),$AB$7,TRUE,"")</f>
        <v/>
      </c>
      <c r="E304" s="104" t="str" cm="1">
        <f t="array" ref="E304">_xlfn.IFS(AND(A304&gt;NumberOfPlots,ISBLANK(INDEX(PlotData,MATCH($A304,PlotNumber,0),MATCH(B$3,PlotTitles,0)))),"",ISBLANK(INDEX(PlotData,MATCH($A304,PlotNumber,0),MATCH(E$3,PlotTitles,0))),$AB$8,TRUE,"")</f>
        <v/>
      </c>
      <c r="F304" s="104" t="str" cm="1">
        <f t="array" ref="F304">_xlfn.IFS(AND(A304&gt;NumberOfPlots,ISBLANK(INDEX(PlotData,MATCH($A304,PlotNumber,0),MATCH(B$3,PlotTitles,0)))),"",ISBLANK(INDEX(PlotData,MATCH($A304,PlotNumber,0),MATCH(F$3,PlotTitles,0))),$AB$9,TRUE,"")</f>
        <v/>
      </c>
      <c r="G304" s="104" t="str" cm="1">
        <f t="array" ref="G304">_xlfn.IFS(AND(A304&gt;NumberOfPlots,ISBLANK(INDEX(PlotData,MATCH($A304,PlotNumber,0),MATCH(B$3,PlotTitles,0)))),"",ISBLANK(INDEX(PlotData,MATCH($A304,PlotNumber,0),MATCH(G$3,PlotTitles,0))),$AB$10,TRUE,"")</f>
        <v/>
      </c>
      <c r="H304" s="104" t="str" cm="1">
        <f t="array" ref="H304">_xlfn.IFS(AND(A304&gt;NumberOfPlots,ISBLANK(INDEX(PlotData,MATCH($A304,PlotNumber,0),MATCH(B$3,PlotTitles,0)))),"",AND(ISBLANK(INDEX(PlotData,MATCH($A304,PlotNumber,0),MATCH(H$3,PlotTitles,0)))=FALSE,INDEX(PlotData,MATCH($A304,PlotNumber,0),MATCH(H$3,PlotTitles,0))&lt;500), $AB$11,TRUE,"")</f>
        <v/>
      </c>
      <c r="I304" s="104" t="str" cm="1">
        <f t="array" ref="I304">_xlfn.IFS(AND(A304&gt;NumberOfPlots,ISBLANK(INDEX(PlotData,MATCH($A304,PlotNumber,0),MATCH(B$3,PlotTitles,0)))),"",ISBLANK(INDEX(PlotData,MATCH($A304,PlotNumber,0),MATCH(I$3,PlotTitles,0))),$AB$12,TRUE,"")</f>
        <v/>
      </c>
      <c r="J304" s="104" t="str" cm="1">
        <f t="array" ref="J304">_xlfn.IFS(AND(A304&gt;NumberOfPlots,ISBLANK(INDEX(PlotData,MATCH($A304,PlotNumber,0),MATCH(B$3,PlotTitles,0)))),"",ISBLANK(INDEX(PlotData,MATCH($A304,PlotNumber,0),MATCH(J$3,PlotTitles,0))),$AB$13,TRUE,"")</f>
        <v/>
      </c>
      <c r="K304" s="182" t="str">
        <f t="shared" ca="1" si="12"/>
        <v/>
      </c>
      <c r="L304" s="104" t="str" cm="1">
        <f t="array" ref="L304">_xlfn.IFS(OR(ISBLANK(StartDateMonth),ISBLANK(StartDateYear)),"",AND(A304&gt;NumberOfPlots,ISBLANK(INDEX(PlotData,MATCH($A304,PlotNumber,0),MATCH(B$3,PlotTitles,0)))),"",ISBLANK(INDEX(PlotData,MATCH($A304,PlotNumber,0),MATCH(I$3,PlotTitles,0))),"",(DATEVALUE(INDEX(PlotData,MATCH($A304,PlotNumber,0),MATCH(I$3,PlotTitles,0))&amp;INDEX(PlotData,MATCH($A304,PlotNumber,0),MATCH(J$3,PlotTitles,0))))&lt;DATEVALUE(StartDateMonth&amp;StartDateYear),$AB$15,TRUE,"")</f>
        <v/>
      </c>
      <c r="M304" s="104" t="str" cm="1">
        <f t="array" ref="M304">_xlfn.IFS(OR(ISBLANK(StartDateMonth),ISBLANK(StartDateYear)),"",AND(A304&gt;NumberOfPlots,ISBLANK(INDEX(PlotData,MATCH($A304,PlotNumber,0),MATCH(B$3,PlotTitles,0)))),"",ISBLANK(INDEX(PlotData,MATCH($A304,PlotNumber,0),MATCH(I$3,PlotTitles,0))),"",CompletionMonth="","",(DATEVALUE(INDEX(PlotData,MATCH($A304,PlotNumber,0),MATCH(I$3,PlotTitles,0))&amp;INDEX(PlotData,MATCH($A304,PlotNumber,0),MATCH(J$3,PlotTitles,0))))&gt;(DATEVALUE(CompletionMonth&amp;CompletionYear)),$AB$16,TRUE,"")</f>
        <v/>
      </c>
      <c r="N304" s="104" t="str" cm="1">
        <f t="array" ref="N304">_xlfn.IFS(AND(A304&gt;NumberOfPlots,ISBLANK(INDEX(PlotData,MATCH($A304,PlotNumber,0),MATCH(B$3,PlotTitles,0)))),"",ISBLANK(INDEX(PlotData,MATCH($A304,PlotNumber,0),MATCH(N$3,PlotTitles,0))),$AB$17,TRUE,"")</f>
        <v/>
      </c>
      <c r="O304" s="104" t="str" cm="1">
        <f t="array" ref="O304">_xlfn.IFS(AND(A304&gt;NumberOfPlots,ISBLANK(INDEX(PlotData,MATCH($A304,PlotNumber,0),MATCH(B$3,PlotTitles,0)))),"",ISBLANK(INDEX(PlotData,MATCH($A304,PlotNumber,0),MATCH(O$3,PlotTitles,0))),$AB$18,TRUE,"")</f>
        <v/>
      </c>
      <c r="P304" s="182" t="str">
        <f t="shared" ca="1" si="13"/>
        <v/>
      </c>
      <c r="Q304" s="104" t="str" cm="1">
        <f t="array" ref="Q304">_xlfn.IFS(AND(A304&gt;NumberOfPlots,ISBLANK(INDEX(PlotData,MATCH($A304,PlotNumber,0),MATCH(B$3,PlotTitles,0)))),"",ISBLANK(INDEX(PlotData,MATCH($A304,PlotNumber,0),MATCH(N$3,PlotTitles,0))),"",(DATEVALUE(INDEX(PlotData,MATCH($A304,PlotNumber,0),MATCH(N$3,PlotTitles,0))&amp;INDEX(PlotData,MATCH($A304,PlotNumber,0),MATCH(O$3,PlotTitles,0))))&lt;(DATEVALUE(INDEX(PlotData,MATCH($A304,PlotNumber,0),MATCH(I$3,PlotTitles,0))&amp;INDEX(PlotData,MATCH($A304,PlotNumber,0),MATCH(J$3,PlotTitles,0)))),$AB$20,TRUE,"")</f>
        <v/>
      </c>
      <c r="R304" s="104" t="str" cm="1">
        <f t="array" ref="R304">_xlfn.IFS(OR(ISBLANK(StartDateMonth),ISBLANK(StartDateYear)),"",AND(A304&gt;NumberOfPlots,ISBLANK(INDEX(PlotData,MATCH($A304,PlotNumber,0),MATCH(B$3,PlotTitles,0)))),"",ISBLANK(INDEX(PlotData,MATCH($A304,PlotNumber,0),MATCH(N$3,PlotTitles,0))),"",CompletionMonth="","",(DATEVALUE(INDEX(PlotData,MATCH($A304,PlotNumber,0),MATCH(N$3,PlotTitles,0))&amp;INDEX(PlotData,MATCH($A304,PlotNumber,0),MATCH(O$3,PlotTitles,0))))&gt;(DATEVALUE(CompletionMonth&amp;CompletionYear)),$AB$21,TRUE,"")</f>
        <v/>
      </c>
      <c r="S304" s="104" t="str" cm="1">
        <f t="array" ref="S304">_xlfn.IFS(AND(A304&gt;NumberOfPlots,ISBLANK(INDEX(PlotData,MATCH($A304,PlotNumber,0),MATCH(B$3,PlotTitles,0)))),"",OR(AND(INDEX(PlotData,MATCH($A304,PlotNumber,0),MATCH("Tenure",PlotTitles,0))="Open market housing",INDEX(PlotData,MATCH($A304,PlotNumber,0),MATCH("Tenure detail",PlotTitles,0))="Private rented sector"),INDEX(PlotData,MATCH($A304,PlotNumber,0),MATCH("Tenure",PlotTitles,0))="Affordable rent"),"",ISNUMBER(INDEX(PlotData,MATCH($A304,PlotNumber,0),MATCH(S$3,PlotTitles,0)))=FALSE, $AB$22,TRUE,"")</f>
        <v/>
      </c>
      <c r="T304" s="104" t="str" cm="1">
        <f t="array" ref="T304">_xlfn.IFS(AND(A304&gt;NumberOfPlots,ISBLANK(INDEX(PlotData,MATCH($A304,PlotNumber,0),MATCH(B$3,PlotTitles,0)))),"",OR(AND(INDEX(PlotData,MATCH($A304,PlotNumber,0),MATCH("Tenure",PlotTitles,0))="Open market housing",INDEX(PlotData,MATCH($A304,PlotNumber,0),MATCH("Tenure detail",PlotTitles,0))="Private rented sector"),INDEX(PlotData,MATCH($A304,PlotNumber,0),MATCH("Tenure",PlotTitles,0))="Affordable rent"),"",INDEX(PlotData,MATCH($A304,PlotNumber,0),MATCH(S$3,PlotTitles,0))&lt;10000, $AB$23,TRUE,"")</f>
        <v/>
      </c>
      <c r="U304" s="104" t="str" cm="1">
        <f t="array" ref="U304">_xlfn.IFS(AND(A304&gt;NumberOfPlots,ISBLANK(INDEX(PlotData,MATCH($A304,PlotNumber,0),MATCH(B$3,PlotTitles,0)))),"",NOT(OR(AND(INDEX(PlotData,MATCH($A304,PlotNumber,0),MATCH("Tenure",PlotTitles,0))="Open market housing",INDEX(PlotData,MATCH($A304,PlotNumber,0),MATCH("Tenure detail",PlotTitles,0))="Private rented sector"),INDEX(PlotData,MATCH($A304,PlotNumber,0),MATCH("Tenure",PlotTitles,0))="Affordable rent")),"",NOT(INDEX(PlotData,MATCH($A304,PlotNumber,0),MATCH(S$3,PlotTitles,0))=0), $AB$24,TRUE,"")</f>
        <v/>
      </c>
      <c r="V304" s="114" t="str" cm="1">
        <f t="array" aca="1" ref="V304" ca="1">_xlfn.IFS(ISBLANK(NumberOfPlots),"Enter the number of homes on the 1_SetUp sheet",AND(A304&gt;NumberOfPlots,ISBLANK(INDEX(PlotData,MATCH($A304,PlotNumber,0),MATCH(B$3,PlotTitles,0)))),"No error",NOT(B304=""),B304,NOT(C304=""),C304,NOT(D304=""),D304,NOT(E304=""),E304,NOT(F304=""),F304,NOT(G304=""),G304,NOT(H304=""),H304,NOT(I304=""),I304,NOT(J304=""),J304,NOT(K304=""),K304,NOT(L304=""),L304,NOT(M304=""),M304,NOT(N304=""),N304,NOT(O304=""),O304,NOT(P304=""),P304,NOT(Q304=""),Q304,NOT(R304=""),R304,NOT(S304=""),S304,NOT(T304=""),T304,NOT(U304=""),U304,TRUE,"No error")</f>
        <v>Enter the number of homes on the 1_SetUp sheet</v>
      </c>
      <c r="W304" s="114" t="str">
        <f t="shared" ca="1" si="14"/>
        <v xml:space="preserve">The Borrower has not addressed the following error messages for Home ID 300: </v>
      </c>
    </row>
    <row r="305" spans="1:23">
      <c r="A305" s="123">
        <v>301</v>
      </c>
      <c r="B305" s="104" t="str" cm="1">
        <f t="array" ref="B305">_xlfn.IFS(AND(A305&gt;NumberOfPlots,ISBLANK(INDEX(PlotData,MATCH($A305,PlotNumber,0),MATCH(B$3,PlotTitles,0)))),"",ISNUMBER(INDEX(PlotData,MATCH($A305,PlotNumber,0),MATCH(B$3,PlotTitles,0)))=FALSE, $AB$5,TRUE,"")</f>
        <v/>
      </c>
      <c r="C305" s="104" t="str" cm="1">
        <f t="array" ref="C305">_xlfn.IFS(AND(A305&gt;NumberOfPlots,ISBLANK(INDEX(PlotData,MATCH($A305,PlotNumber,0),MATCH(B$3,PlotTitles,0)))),"",ISBLANK(INDEX(PlotData,MATCH($A305,PlotNumber,0),MATCH(C$3,PlotTitles,0))),$AB$6,TRUE,"")</f>
        <v/>
      </c>
      <c r="D305" s="104" t="str" cm="1">
        <f t="array" ref="D305">_xlfn.IFS(AND(A305&gt;NumberOfPlots,ISBLANK(INDEX(PlotData,MATCH($A305,PlotNumber,0),MATCH(B$3,PlotTitles,0)))),"",ISBLANK(INDEX(PlotData,MATCH($A305,PlotNumber,0),MATCH(D$3,PlotTitles,0))),$AB$7,TRUE,"")</f>
        <v/>
      </c>
      <c r="E305" s="104" t="str" cm="1">
        <f t="array" ref="E305">_xlfn.IFS(AND(A305&gt;NumberOfPlots,ISBLANK(INDEX(PlotData,MATCH($A305,PlotNumber,0),MATCH(B$3,PlotTitles,0)))),"",ISBLANK(INDEX(PlotData,MATCH($A305,PlotNumber,0),MATCH(E$3,PlotTitles,0))),$AB$8,TRUE,"")</f>
        <v/>
      </c>
      <c r="F305" s="104" t="str" cm="1">
        <f t="array" ref="F305">_xlfn.IFS(AND(A305&gt;NumberOfPlots,ISBLANK(INDEX(PlotData,MATCH($A305,PlotNumber,0),MATCH(B$3,PlotTitles,0)))),"",ISBLANK(INDEX(PlotData,MATCH($A305,PlotNumber,0),MATCH(F$3,PlotTitles,0))),$AB$9,TRUE,"")</f>
        <v/>
      </c>
      <c r="G305" s="104" t="str" cm="1">
        <f t="array" ref="G305">_xlfn.IFS(AND(A305&gt;NumberOfPlots,ISBLANK(INDEX(PlotData,MATCH($A305,PlotNumber,0),MATCH(B$3,PlotTitles,0)))),"",ISBLANK(INDEX(PlotData,MATCH($A305,PlotNumber,0),MATCH(G$3,PlotTitles,0))),$AB$10,TRUE,"")</f>
        <v/>
      </c>
      <c r="H305" s="104" t="str" cm="1">
        <f t="array" ref="H305">_xlfn.IFS(AND(A305&gt;NumberOfPlots,ISBLANK(INDEX(PlotData,MATCH($A305,PlotNumber,0),MATCH(B$3,PlotTitles,0)))),"",AND(ISBLANK(INDEX(PlotData,MATCH($A305,PlotNumber,0),MATCH(H$3,PlotTitles,0)))=FALSE,INDEX(PlotData,MATCH($A305,PlotNumber,0),MATCH(H$3,PlotTitles,0))&lt;500), $AB$11,TRUE,"")</f>
        <v/>
      </c>
      <c r="I305" s="104" t="str" cm="1">
        <f t="array" ref="I305">_xlfn.IFS(AND(A305&gt;NumberOfPlots,ISBLANK(INDEX(PlotData,MATCH($A305,PlotNumber,0),MATCH(B$3,PlotTitles,0)))),"",ISBLANK(INDEX(PlotData,MATCH($A305,PlotNumber,0),MATCH(I$3,PlotTitles,0))),$AB$12,TRUE,"")</f>
        <v/>
      </c>
      <c r="J305" s="104" t="str" cm="1">
        <f t="array" ref="J305">_xlfn.IFS(AND(A305&gt;NumberOfPlots,ISBLANK(INDEX(PlotData,MATCH($A305,PlotNumber,0),MATCH(B$3,PlotTitles,0)))),"",ISBLANK(INDEX(PlotData,MATCH($A305,PlotNumber,0),MATCH(J$3,PlotTitles,0))),$AB$13,TRUE,"")</f>
        <v/>
      </c>
      <c r="K305" s="182" t="str">
        <f t="shared" ca="1" si="12"/>
        <v/>
      </c>
      <c r="L305" s="104" t="str" cm="1">
        <f t="array" ref="L305">_xlfn.IFS(OR(ISBLANK(StartDateMonth),ISBLANK(StartDateYear)),"",AND(A305&gt;NumberOfPlots,ISBLANK(INDEX(PlotData,MATCH($A305,PlotNumber,0),MATCH(B$3,PlotTitles,0)))),"",ISBLANK(INDEX(PlotData,MATCH($A305,PlotNumber,0),MATCH(I$3,PlotTitles,0))),"",(DATEVALUE(INDEX(PlotData,MATCH($A305,PlotNumber,0),MATCH(I$3,PlotTitles,0))&amp;INDEX(PlotData,MATCH($A305,PlotNumber,0),MATCH(J$3,PlotTitles,0))))&lt;DATEVALUE(StartDateMonth&amp;StartDateYear),$AB$15,TRUE,"")</f>
        <v/>
      </c>
      <c r="M305" s="104" t="str" cm="1">
        <f t="array" ref="M305">_xlfn.IFS(OR(ISBLANK(StartDateMonth),ISBLANK(StartDateYear)),"",AND(A305&gt;NumberOfPlots,ISBLANK(INDEX(PlotData,MATCH($A305,PlotNumber,0),MATCH(B$3,PlotTitles,0)))),"",ISBLANK(INDEX(PlotData,MATCH($A305,PlotNumber,0),MATCH(I$3,PlotTitles,0))),"",CompletionMonth="","",(DATEVALUE(INDEX(PlotData,MATCH($A305,PlotNumber,0),MATCH(I$3,PlotTitles,0))&amp;INDEX(PlotData,MATCH($A305,PlotNumber,0),MATCH(J$3,PlotTitles,0))))&gt;(DATEVALUE(CompletionMonth&amp;CompletionYear)),$AB$16,TRUE,"")</f>
        <v/>
      </c>
      <c r="N305" s="104" t="str" cm="1">
        <f t="array" ref="N305">_xlfn.IFS(AND(A305&gt;NumberOfPlots,ISBLANK(INDEX(PlotData,MATCH($A305,PlotNumber,0),MATCH(B$3,PlotTitles,0)))),"",ISBLANK(INDEX(PlotData,MATCH($A305,PlotNumber,0),MATCH(N$3,PlotTitles,0))),$AB$17,TRUE,"")</f>
        <v/>
      </c>
      <c r="O305" s="104" t="str" cm="1">
        <f t="array" ref="O305">_xlfn.IFS(AND(A305&gt;NumberOfPlots,ISBLANK(INDEX(PlotData,MATCH($A305,PlotNumber,0),MATCH(B$3,PlotTitles,0)))),"",ISBLANK(INDEX(PlotData,MATCH($A305,PlotNumber,0),MATCH(O$3,PlotTitles,0))),$AB$18,TRUE,"")</f>
        <v/>
      </c>
      <c r="P305" s="182" t="str">
        <f t="shared" ca="1" si="13"/>
        <v/>
      </c>
      <c r="Q305" s="104" t="str" cm="1">
        <f t="array" ref="Q305">_xlfn.IFS(AND(A305&gt;NumberOfPlots,ISBLANK(INDEX(PlotData,MATCH($A305,PlotNumber,0),MATCH(B$3,PlotTitles,0)))),"",ISBLANK(INDEX(PlotData,MATCH($A305,PlotNumber,0),MATCH(N$3,PlotTitles,0))),"",(DATEVALUE(INDEX(PlotData,MATCH($A305,PlotNumber,0),MATCH(N$3,PlotTitles,0))&amp;INDEX(PlotData,MATCH($A305,PlotNumber,0),MATCH(O$3,PlotTitles,0))))&lt;(DATEVALUE(INDEX(PlotData,MATCH($A305,PlotNumber,0),MATCH(I$3,PlotTitles,0))&amp;INDEX(PlotData,MATCH($A305,PlotNumber,0),MATCH(J$3,PlotTitles,0)))),$AB$20,TRUE,"")</f>
        <v/>
      </c>
      <c r="R305" s="104" t="str" cm="1">
        <f t="array" ref="R305">_xlfn.IFS(OR(ISBLANK(StartDateMonth),ISBLANK(StartDateYear)),"",AND(A305&gt;NumberOfPlots,ISBLANK(INDEX(PlotData,MATCH($A305,PlotNumber,0),MATCH(B$3,PlotTitles,0)))),"",ISBLANK(INDEX(PlotData,MATCH($A305,PlotNumber,0),MATCH(N$3,PlotTitles,0))),"",CompletionMonth="","",(DATEVALUE(INDEX(PlotData,MATCH($A305,PlotNumber,0),MATCH(N$3,PlotTitles,0))&amp;INDEX(PlotData,MATCH($A305,PlotNumber,0),MATCH(O$3,PlotTitles,0))))&gt;(DATEVALUE(CompletionMonth&amp;CompletionYear)),$AB$21,TRUE,"")</f>
        <v/>
      </c>
      <c r="S305" s="104" t="str" cm="1">
        <f t="array" ref="S305">_xlfn.IFS(AND(A305&gt;NumberOfPlots,ISBLANK(INDEX(PlotData,MATCH($A305,PlotNumber,0),MATCH(B$3,PlotTitles,0)))),"",OR(AND(INDEX(PlotData,MATCH($A305,PlotNumber,0),MATCH("Tenure",PlotTitles,0))="Open market housing",INDEX(PlotData,MATCH($A305,PlotNumber,0),MATCH("Tenure detail",PlotTitles,0))="Private rented sector"),INDEX(PlotData,MATCH($A305,PlotNumber,0),MATCH("Tenure",PlotTitles,0))="Affordable rent"),"",ISNUMBER(INDEX(PlotData,MATCH($A305,PlotNumber,0),MATCH(S$3,PlotTitles,0)))=FALSE, $AB$22,TRUE,"")</f>
        <v/>
      </c>
      <c r="T305" s="104" t="str" cm="1">
        <f t="array" ref="T305">_xlfn.IFS(AND(A305&gt;NumberOfPlots,ISBLANK(INDEX(PlotData,MATCH($A305,PlotNumber,0),MATCH(B$3,PlotTitles,0)))),"",OR(AND(INDEX(PlotData,MATCH($A305,PlotNumber,0),MATCH("Tenure",PlotTitles,0))="Open market housing",INDEX(PlotData,MATCH($A305,PlotNumber,0),MATCH("Tenure detail",PlotTitles,0))="Private rented sector"),INDEX(PlotData,MATCH($A305,PlotNumber,0),MATCH("Tenure",PlotTitles,0))="Affordable rent"),"",INDEX(PlotData,MATCH($A305,PlotNumber,0),MATCH(S$3,PlotTitles,0))&lt;10000, $AB$23,TRUE,"")</f>
        <v/>
      </c>
      <c r="U305" s="104" t="str" cm="1">
        <f t="array" ref="U305">_xlfn.IFS(AND(A305&gt;NumberOfPlots,ISBLANK(INDEX(PlotData,MATCH($A305,PlotNumber,0),MATCH(B$3,PlotTitles,0)))),"",NOT(OR(AND(INDEX(PlotData,MATCH($A305,PlotNumber,0),MATCH("Tenure",PlotTitles,0))="Open market housing",INDEX(PlotData,MATCH($A305,PlotNumber,0),MATCH("Tenure detail",PlotTitles,0))="Private rented sector"),INDEX(PlotData,MATCH($A305,PlotNumber,0),MATCH("Tenure",PlotTitles,0))="Affordable rent")),"",NOT(INDEX(PlotData,MATCH($A305,PlotNumber,0),MATCH(S$3,PlotTitles,0))=0), $AB$24,TRUE,"")</f>
        <v/>
      </c>
      <c r="V305" s="114" t="str" cm="1">
        <f t="array" aca="1" ref="V305" ca="1">_xlfn.IFS(ISBLANK(NumberOfPlots),"Enter the number of homes on the 1_SetUp sheet",AND(A305&gt;NumberOfPlots,ISBLANK(INDEX(PlotData,MATCH($A305,PlotNumber,0),MATCH(B$3,PlotTitles,0)))),"No error",NOT(B305=""),B305,NOT(C305=""),C305,NOT(D305=""),D305,NOT(E305=""),E305,NOT(F305=""),F305,NOT(G305=""),G305,NOT(H305=""),H305,NOT(I305=""),I305,NOT(J305=""),J305,NOT(K305=""),K305,NOT(L305=""),L305,NOT(M305=""),M305,NOT(N305=""),N305,NOT(O305=""),O305,NOT(P305=""),P305,NOT(Q305=""),Q305,NOT(R305=""),R305,NOT(S305=""),S305,NOT(T305=""),T305,NOT(U305=""),U305,TRUE,"No error")</f>
        <v>Enter the number of homes on the 1_SetUp sheet</v>
      </c>
      <c r="W305" s="114" t="str">
        <f t="shared" ca="1" si="14"/>
        <v xml:space="preserve">The Borrower has not addressed the following error messages for Home ID 301: </v>
      </c>
    </row>
    <row r="306" spans="1:23">
      <c r="A306" s="123">
        <v>302</v>
      </c>
      <c r="B306" s="104" t="str" cm="1">
        <f t="array" ref="B306">_xlfn.IFS(AND(A306&gt;NumberOfPlots,ISBLANK(INDEX(PlotData,MATCH($A306,PlotNumber,0),MATCH(B$3,PlotTitles,0)))),"",ISNUMBER(INDEX(PlotData,MATCH($A306,PlotNumber,0),MATCH(B$3,PlotTitles,0)))=FALSE, $AB$5,TRUE,"")</f>
        <v/>
      </c>
      <c r="C306" s="104" t="str" cm="1">
        <f t="array" ref="C306">_xlfn.IFS(AND(A306&gt;NumberOfPlots,ISBLANK(INDEX(PlotData,MATCH($A306,PlotNumber,0),MATCH(B$3,PlotTitles,0)))),"",ISBLANK(INDEX(PlotData,MATCH($A306,PlotNumber,0),MATCH(C$3,PlotTitles,0))),$AB$6,TRUE,"")</f>
        <v/>
      </c>
      <c r="D306" s="104" t="str" cm="1">
        <f t="array" ref="D306">_xlfn.IFS(AND(A306&gt;NumberOfPlots,ISBLANK(INDEX(PlotData,MATCH($A306,PlotNumber,0),MATCH(B$3,PlotTitles,0)))),"",ISBLANK(INDEX(PlotData,MATCH($A306,PlotNumber,0),MATCH(D$3,PlotTitles,0))),$AB$7,TRUE,"")</f>
        <v/>
      </c>
      <c r="E306" s="104" t="str" cm="1">
        <f t="array" ref="E306">_xlfn.IFS(AND(A306&gt;NumberOfPlots,ISBLANK(INDEX(PlotData,MATCH($A306,PlotNumber,0),MATCH(B$3,PlotTitles,0)))),"",ISBLANK(INDEX(PlotData,MATCH($A306,PlotNumber,0),MATCH(E$3,PlotTitles,0))),$AB$8,TRUE,"")</f>
        <v/>
      </c>
      <c r="F306" s="104" t="str" cm="1">
        <f t="array" ref="F306">_xlfn.IFS(AND(A306&gt;NumberOfPlots,ISBLANK(INDEX(PlotData,MATCH($A306,PlotNumber,0),MATCH(B$3,PlotTitles,0)))),"",ISBLANK(INDEX(PlotData,MATCH($A306,PlotNumber,0),MATCH(F$3,PlotTitles,0))),$AB$9,TRUE,"")</f>
        <v/>
      </c>
      <c r="G306" s="104" t="str" cm="1">
        <f t="array" ref="G306">_xlfn.IFS(AND(A306&gt;NumberOfPlots,ISBLANK(INDEX(PlotData,MATCH($A306,PlotNumber,0),MATCH(B$3,PlotTitles,0)))),"",ISBLANK(INDEX(PlotData,MATCH($A306,PlotNumber,0),MATCH(G$3,PlotTitles,0))),$AB$10,TRUE,"")</f>
        <v/>
      </c>
      <c r="H306" s="104" t="str" cm="1">
        <f t="array" ref="H306">_xlfn.IFS(AND(A306&gt;NumberOfPlots,ISBLANK(INDEX(PlotData,MATCH($A306,PlotNumber,0),MATCH(B$3,PlotTitles,0)))),"",AND(ISBLANK(INDEX(PlotData,MATCH($A306,PlotNumber,0),MATCH(H$3,PlotTitles,0)))=FALSE,INDEX(PlotData,MATCH($A306,PlotNumber,0),MATCH(H$3,PlotTitles,0))&lt;500), $AB$11,TRUE,"")</f>
        <v/>
      </c>
      <c r="I306" s="104" t="str" cm="1">
        <f t="array" ref="I306">_xlfn.IFS(AND(A306&gt;NumberOfPlots,ISBLANK(INDEX(PlotData,MATCH($A306,PlotNumber,0),MATCH(B$3,PlotTitles,0)))),"",ISBLANK(INDEX(PlotData,MATCH($A306,PlotNumber,0),MATCH(I$3,PlotTitles,0))),$AB$12,TRUE,"")</f>
        <v/>
      </c>
      <c r="J306" s="104" t="str" cm="1">
        <f t="array" ref="J306">_xlfn.IFS(AND(A306&gt;NumberOfPlots,ISBLANK(INDEX(PlotData,MATCH($A306,PlotNumber,0),MATCH(B$3,PlotTitles,0)))),"",ISBLANK(INDEX(PlotData,MATCH($A306,PlotNumber,0),MATCH(J$3,PlotTitles,0))),$AB$13,TRUE,"")</f>
        <v/>
      </c>
      <c r="K306" s="182" t="str">
        <f t="shared" ca="1" si="12"/>
        <v/>
      </c>
      <c r="L306" s="104" t="str" cm="1">
        <f t="array" ref="L306">_xlfn.IFS(OR(ISBLANK(StartDateMonth),ISBLANK(StartDateYear)),"",AND(A306&gt;NumberOfPlots,ISBLANK(INDEX(PlotData,MATCH($A306,PlotNumber,0),MATCH(B$3,PlotTitles,0)))),"",ISBLANK(INDEX(PlotData,MATCH($A306,PlotNumber,0),MATCH(I$3,PlotTitles,0))),"",(DATEVALUE(INDEX(PlotData,MATCH($A306,PlotNumber,0),MATCH(I$3,PlotTitles,0))&amp;INDEX(PlotData,MATCH($A306,PlotNumber,0),MATCH(J$3,PlotTitles,0))))&lt;DATEVALUE(StartDateMonth&amp;StartDateYear),$AB$15,TRUE,"")</f>
        <v/>
      </c>
      <c r="M306" s="104" t="str" cm="1">
        <f t="array" ref="M306">_xlfn.IFS(OR(ISBLANK(StartDateMonth),ISBLANK(StartDateYear)),"",AND(A306&gt;NumberOfPlots,ISBLANK(INDEX(PlotData,MATCH($A306,PlotNumber,0),MATCH(B$3,PlotTitles,0)))),"",ISBLANK(INDEX(PlotData,MATCH($A306,PlotNumber,0),MATCH(I$3,PlotTitles,0))),"",CompletionMonth="","",(DATEVALUE(INDEX(PlotData,MATCH($A306,PlotNumber,0),MATCH(I$3,PlotTitles,0))&amp;INDEX(PlotData,MATCH($A306,PlotNumber,0),MATCH(J$3,PlotTitles,0))))&gt;(DATEVALUE(CompletionMonth&amp;CompletionYear)),$AB$16,TRUE,"")</f>
        <v/>
      </c>
      <c r="N306" s="104" t="str" cm="1">
        <f t="array" ref="N306">_xlfn.IFS(AND(A306&gt;NumberOfPlots,ISBLANK(INDEX(PlotData,MATCH($A306,PlotNumber,0),MATCH(B$3,PlotTitles,0)))),"",ISBLANK(INDEX(PlotData,MATCH($A306,PlotNumber,0),MATCH(N$3,PlotTitles,0))),$AB$17,TRUE,"")</f>
        <v/>
      </c>
      <c r="O306" s="104" t="str" cm="1">
        <f t="array" ref="O306">_xlfn.IFS(AND(A306&gt;NumberOfPlots,ISBLANK(INDEX(PlotData,MATCH($A306,PlotNumber,0),MATCH(B$3,PlotTitles,0)))),"",ISBLANK(INDEX(PlotData,MATCH($A306,PlotNumber,0),MATCH(O$3,PlotTitles,0))),$AB$18,TRUE,"")</f>
        <v/>
      </c>
      <c r="P306" s="182" t="str">
        <f t="shared" ca="1" si="13"/>
        <v/>
      </c>
      <c r="Q306" s="104" t="str" cm="1">
        <f t="array" ref="Q306">_xlfn.IFS(AND(A306&gt;NumberOfPlots,ISBLANK(INDEX(PlotData,MATCH($A306,PlotNumber,0),MATCH(B$3,PlotTitles,0)))),"",ISBLANK(INDEX(PlotData,MATCH($A306,PlotNumber,0),MATCH(N$3,PlotTitles,0))),"",(DATEVALUE(INDEX(PlotData,MATCH($A306,PlotNumber,0),MATCH(N$3,PlotTitles,0))&amp;INDEX(PlotData,MATCH($A306,PlotNumber,0),MATCH(O$3,PlotTitles,0))))&lt;(DATEVALUE(INDEX(PlotData,MATCH($A306,PlotNumber,0),MATCH(I$3,PlotTitles,0))&amp;INDEX(PlotData,MATCH($A306,PlotNumber,0),MATCH(J$3,PlotTitles,0)))),$AB$20,TRUE,"")</f>
        <v/>
      </c>
      <c r="R306" s="104" t="str" cm="1">
        <f t="array" ref="R306">_xlfn.IFS(OR(ISBLANK(StartDateMonth),ISBLANK(StartDateYear)),"",AND(A306&gt;NumberOfPlots,ISBLANK(INDEX(PlotData,MATCH($A306,PlotNumber,0),MATCH(B$3,PlotTitles,0)))),"",ISBLANK(INDEX(PlotData,MATCH($A306,PlotNumber,0),MATCH(N$3,PlotTitles,0))),"",CompletionMonth="","",(DATEVALUE(INDEX(PlotData,MATCH($A306,PlotNumber,0),MATCH(N$3,PlotTitles,0))&amp;INDEX(PlotData,MATCH($A306,PlotNumber,0),MATCH(O$3,PlotTitles,0))))&gt;(DATEVALUE(CompletionMonth&amp;CompletionYear)),$AB$21,TRUE,"")</f>
        <v/>
      </c>
      <c r="S306" s="104" t="str" cm="1">
        <f t="array" ref="S306">_xlfn.IFS(AND(A306&gt;NumberOfPlots,ISBLANK(INDEX(PlotData,MATCH($A306,PlotNumber,0),MATCH(B$3,PlotTitles,0)))),"",OR(AND(INDEX(PlotData,MATCH($A306,PlotNumber,0),MATCH("Tenure",PlotTitles,0))="Open market housing",INDEX(PlotData,MATCH($A306,PlotNumber,0),MATCH("Tenure detail",PlotTitles,0))="Private rented sector"),INDEX(PlotData,MATCH($A306,PlotNumber,0),MATCH("Tenure",PlotTitles,0))="Affordable rent"),"",ISNUMBER(INDEX(PlotData,MATCH($A306,PlotNumber,0),MATCH(S$3,PlotTitles,0)))=FALSE, $AB$22,TRUE,"")</f>
        <v/>
      </c>
      <c r="T306" s="104" t="str" cm="1">
        <f t="array" ref="T306">_xlfn.IFS(AND(A306&gt;NumberOfPlots,ISBLANK(INDEX(PlotData,MATCH($A306,PlotNumber,0),MATCH(B$3,PlotTitles,0)))),"",OR(AND(INDEX(PlotData,MATCH($A306,PlotNumber,0),MATCH("Tenure",PlotTitles,0))="Open market housing",INDEX(PlotData,MATCH($A306,PlotNumber,0),MATCH("Tenure detail",PlotTitles,0))="Private rented sector"),INDEX(PlotData,MATCH($A306,PlotNumber,0),MATCH("Tenure",PlotTitles,0))="Affordable rent"),"",INDEX(PlotData,MATCH($A306,PlotNumber,0),MATCH(S$3,PlotTitles,0))&lt;10000, $AB$23,TRUE,"")</f>
        <v/>
      </c>
      <c r="U306" s="104" t="str" cm="1">
        <f t="array" ref="U306">_xlfn.IFS(AND(A306&gt;NumberOfPlots,ISBLANK(INDEX(PlotData,MATCH($A306,PlotNumber,0),MATCH(B$3,PlotTitles,0)))),"",NOT(OR(AND(INDEX(PlotData,MATCH($A306,PlotNumber,0),MATCH("Tenure",PlotTitles,0))="Open market housing",INDEX(PlotData,MATCH($A306,PlotNumber,0),MATCH("Tenure detail",PlotTitles,0))="Private rented sector"),INDEX(PlotData,MATCH($A306,PlotNumber,0),MATCH("Tenure",PlotTitles,0))="Affordable rent")),"",NOT(INDEX(PlotData,MATCH($A306,PlotNumber,0),MATCH(S$3,PlotTitles,0))=0), $AB$24,TRUE,"")</f>
        <v/>
      </c>
      <c r="V306" s="114" t="str" cm="1">
        <f t="array" aca="1" ref="V306" ca="1">_xlfn.IFS(ISBLANK(NumberOfPlots),"Enter the number of homes on the 1_SetUp sheet",AND(A306&gt;NumberOfPlots,ISBLANK(INDEX(PlotData,MATCH($A306,PlotNumber,0),MATCH(B$3,PlotTitles,0)))),"No error",NOT(B306=""),B306,NOT(C306=""),C306,NOT(D306=""),D306,NOT(E306=""),E306,NOT(F306=""),F306,NOT(G306=""),G306,NOT(H306=""),H306,NOT(I306=""),I306,NOT(J306=""),J306,NOT(K306=""),K306,NOT(L306=""),L306,NOT(M306=""),M306,NOT(N306=""),N306,NOT(O306=""),O306,NOT(P306=""),P306,NOT(Q306=""),Q306,NOT(R306=""),R306,NOT(S306=""),S306,NOT(T306=""),T306,NOT(U306=""),U306,TRUE,"No error")</f>
        <v>Enter the number of homes on the 1_SetUp sheet</v>
      </c>
      <c r="W306" s="114" t="str">
        <f t="shared" ca="1" si="14"/>
        <v xml:space="preserve">The Borrower has not addressed the following error messages for Home ID 302: </v>
      </c>
    </row>
    <row r="307" spans="1:23">
      <c r="A307" s="123">
        <v>303</v>
      </c>
      <c r="B307" s="104" t="str" cm="1">
        <f t="array" ref="B307">_xlfn.IFS(AND(A307&gt;NumberOfPlots,ISBLANK(INDEX(PlotData,MATCH($A307,PlotNumber,0),MATCH(B$3,PlotTitles,0)))),"",ISNUMBER(INDEX(PlotData,MATCH($A307,PlotNumber,0),MATCH(B$3,PlotTitles,0)))=FALSE, $AB$5,TRUE,"")</f>
        <v/>
      </c>
      <c r="C307" s="104" t="str" cm="1">
        <f t="array" ref="C307">_xlfn.IFS(AND(A307&gt;NumberOfPlots,ISBLANK(INDEX(PlotData,MATCH($A307,PlotNumber,0),MATCH(B$3,PlotTitles,0)))),"",ISBLANK(INDEX(PlotData,MATCH($A307,PlotNumber,0),MATCH(C$3,PlotTitles,0))),$AB$6,TRUE,"")</f>
        <v/>
      </c>
      <c r="D307" s="104" t="str" cm="1">
        <f t="array" ref="D307">_xlfn.IFS(AND(A307&gt;NumberOfPlots,ISBLANK(INDEX(PlotData,MATCH($A307,PlotNumber,0),MATCH(B$3,PlotTitles,0)))),"",ISBLANK(INDEX(PlotData,MATCH($A307,PlotNumber,0),MATCH(D$3,PlotTitles,0))),$AB$7,TRUE,"")</f>
        <v/>
      </c>
      <c r="E307" s="104" t="str" cm="1">
        <f t="array" ref="E307">_xlfn.IFS(AND(A307&gt;NumberOfPlots,ISBLANK(INDEX(PlotData,MATCH($A307,PlotNumber,0),MATCH(B$3,PlotTitles,0)))),"",ISBLANK(INDEX(PlotData,MATCH($A307,PlotNumber,0),MATCH(E$3,PlotTitles,0))),$AB$8,TRUE,"")</f>
        <v/>
      </c>
      <c r="F307" s="104" t="str" cm="1">
        <f t="array" ref="F307">_xlfn.IFS(AND(A307&gt;NumberOfPlots,ISBLANK(INDEX(PlotData,MATCH($A307,PlotNumber,0),MATCH(B$3,PlotTitles,0)))),"",ISBLANK(INDEX(PlotData,MATCH($A307,PlotNumber,0),MATCH(F$3,PlotTitles,0))),$AB$9,TRUE,"")</f>
        <v/>
      </c>
      <c r="G307" s="104" t="str" cm="1">
        <f t="array" ref="G307">_xlfn.IFS(AND(A307&gt;NumberOfPlots,ISBLANK(INDEX(PlotData,MATCH($A307,PlotNumber,0),MATCH(B$3,PlotTitles,0)))),"",ISBLANK(INDEX(PlotData,MATCH($A307,PlotNumber,0),MATCH(G$3,PlotTitles,0))),$AB$10,TRUE,"")</f>
        <v/>
      </c>
      <c r="H307" s="104" t="str" cm="1">
        <f t="array" ref="H307">_xlfn.IFS(AND(A307&gt;NumberOfPlots,ISBLANK(INDEX(PlotData,MATCH($A307,PlotNumber,0),MATCH(B$3,PlotTitles,0)))),"",AND(ISBLANK(INDEX(PlotData,MATCH($A307,PlotNumber,0),MATCH(H$3,PlotTitles,0)))=FALSE,INDEX(PlotData,MATCH($A307,PlotNumber,0),MATCH(H$3,PlotTitles,0))&lt;500), $AB$11,TRUE,"")</f>
        <v/>
      </c>
      <c r="I307" s="104" t="str" cm="1">
        <f t="array" ref="I307">_xlfn.IFS(AND(A307&gt;NumberOfPlots,ISBLANK(INDEX(PlotData,MATCH($A307,PlotNumber,0),MATCH(B$3,PlotTitles,0)))),"",ISBLANK(INDEX(PlotData,MATCH($A307,PlotNumber,0),MATCH(I$3,PlotTitles,0))),$AB$12,TRUE,"")</f>
        <v/>
      </c>
      <c r="J307" s="104" t="str" cm="1">
        <f t="array" ref="J307">_xlfn.IFS(AND(A307&gt;NumberOfPlots,ISBLANK(INDEX(PlotData,MATCH($A307,PlotNumber,0),MATCH(B$3,PlotTitles,0)))),"",ISBLANK(INDEX(PlotData,MATCH($A307,PlotNumber,0),MATCH(J$3,PlotTitles,0))),$AB$13,TRUE,"")</f>
        <v/>
      </c>
      <c r="K307" s="182" t="str">
        <f t="shared" ca="1" si="12"/>
        <v/>
      </c>
      <c r="L307" s="104" t="str" cm="1">
        <f t="array" ref="L307">_xlfn.IFS(OR(ISBLANK(StartDateMonth),ISBLANK(StartDateYear)),"",AND(A307&gt;NumberOfPlots,ISBLANK(INDEX(PlotData,MATCH($A307,PlotNumber,0),MATCH(B$3,PlotTitles,0)))),"",ISBLANK(INDEX(PlotData,MATCH($A307,PlotNumber,0),MATCH(I$3,PlotTitles,0))),"",(DATEVALUE(INDEX(PlotData,MATCH($A307,PlotNumber,0),MATCH(I$3,PlotTitles,0))&amp;INDEX(PlotData,MATCH($A307,PlotNumber,0),MATCH(J$3,PlotTitles,0))))&lt;DATEVALUE(StartDateMonth&amp;StartDateYear),$AB$15,TRUE,"")</f>
        <v/>
      </c>
      <c r="M307" s="104" t="str" cm="1">
        <f t="array" ref="M307">_xlfn.IFS(OR(ISBLANK(StartDateMonth),ISBLANK(StartDateYear)),"",AND(A307&gt;NumberOfPlots,ISBLANK(INDEX(PlotData,MATCH($A307,PlotNumber,0),MATCH(B$3,PlotTitles,0)))),"",ISBLANK(INDEX(PlotData,MATCH($A307,PlotNumber,0),MATCH(I$3,PlotTitles,0))),"",CompletionMonth="","",(DATEVALUE(INDEX(PlotData,MATCH($A307,PlotNumber,0),MATCH(I$3,PlotTitles,0))&amp;INDEX(PlotData,MATCH($A307,PlotNumber,0),MATCH(J$3,PlotTitles,0))))&gt;(DATEVALUE(CompletionMonth&amp;CompletionYear)),$AB$16,TRUE,"")</f>
        <v/>
      </c>
      <c r="N307" s="104" t="str" cm="1">
        <f t="array" ref="N307">_xlfn.IFS(AND(A307&gt;NumberOfPlots,ISBLANK(INDEX(PlotData,MATCH($A307,PlotNumber,0),MATCH(B$3,PlotTitles,0)))),"",ISBLANK(INDEX(PlotData,MATCH($A307,PlotNumber,0),MATCH(N$3,PlotTitles,0))),$AB$17,TRUE,"")</f>
        <v/>
      </c>
      <c r="O307" s="104" t="str" cm="1">
        <f t="array" ref="O307">_xlfn.IFS(AND(A307&gt;NumberOfPlots,ISBLANK(INDEX(PlotData,MATCH($A307,PlotNumber,0),MATCH(B$3,PlotTitles,0)))),"",ISBLANK(INDEX(PlotData,MATCH($A307,PlotNumber,0),MATCH(O$3,PlotTitles,0))),$AB$18,TRUE,"")</f>
        <v/>
      </c>
      <c r="P307" s="182" t="str">
        <f t="shared" ca="1" si="13"/>
        <v/>
      </c>
      <c r="Q307" s="104" t="str" cm="1">
        <f t="array" ref="Q307">_xlfn.IFS(AND(A307&gt;NumberOfPlots,ISBLANK(INDEX(PlotData,MATCH($A307,PlotNumber,0),MATCH(B$3,PlotTitles,0)))),"",ISBLANK(INDEX(PlotData,MATCH($A307,PlotNumber,0),MATCH(N$3,PlotTitles,0))),"",(DATEVALUE(INDEX(PlotData,MATCH($A307,PlotNumber,0),MATCH(N$3,PlotTitles,0))&amp;INDEX(PlotData,MATCH($A307,PlotNumber,0),MATCH(O$3,PlotTitles,0))))&lt;(DATEVALUE(INDEX(PlotData,MATCH($A307,PlotNumber,0),MATCH(I$3,PlotTitles,0))&amp;INDEX(PlotData,MATCH($A307,PlotNumber,0),MATCH(J$3,PlotTitles,0)))),$AB$20,TRUE,"")</f>
        <v/>
      </c>
      <c r="R307" s="104" t="str" cm="1">
        <f t="array" ref="R307">_xlfn.IFS(OR(ISBLANK(StartDateMonth),ISBLANK(StartDateYear)),"",AND(A307&gt;NumberOfPlots,ISBLANK(INDEX(PlotData,MATCH($A307,PlotNumber,0),MATCH(B$3,PlotTitles,0)))),"",ISBLANK(INDEX(PlotData,MATCH($A307,PlotNumber,0),MATCH(N$3,PlotTitles,0))),"",CompletionMonth="","",(DATEVALUE(INDEX(PlotData,MATCH($A307,PlotNumber,0),MATCH(N$3,PlotTitles,0))&amp;INDEX(PlotData,MATCH($A307,PlotNumber,0),MATCH(O$3,PlotTitles,0))))&gt;(DATEVALUE(CompletionMonth&amp;CompletionYear)),$AB$21,TRUE,"")</f>
        <v/>
      </c>
      <c r="S307" s="104" t="str" cm="1">
        <f t="array" ref="S307">_xlfn.IFS(AND(A307&gt;NumberOfPlots,ISBLANK(INDEX(PlotData,MATCH($A307,PlotNumber,0),MATCH(B$3,PlotTitles,0)))),"",OR(AND(INDEX(PlotData,MATCH($A307,PlotNumber,0),MATCH("Tenure",PlotTitles,0))="Open market housing",INDEX(PlotData,MATCH($A307,PlotNumber,0),MATCH("Tenure detail",PlotTitles,0))="Private rented sector"),INDEX(PlotData,MATCH($A307,PlotNumber,0),MATCH("Tenure",PlotTitles,0))="Affordable rent"),"",ISNUMBER(INDEX(PlotData,MATCH($A307,PlotNumber,0),MATCH(S$3,PlotTitles,0)))=FALSE, $AB$22,TRUE,"")</f>
        <v/>
      </c>
      <c r="T307" s="104" t="str" cm="1">
        <f t="array" ref="T307">_xlfn.IFS(AND(A307&gt;NumberOfPlots,ISBLANK(INDEX(PlotData,MATCH($A307,PlotNumber,0),MATCH(B$3,PlotTitles,0)))),"",OR(AND(INDEX(PlotData,MATCH($A307,PlotNumber,0),MATCH("Tenure",PlotTitles,0))="Open market housing",INDEX(PlotData,MATCH($A307,PlotNumber,0),MATCH("Tenure detail",PlotTitles,0))="Private rented sector"),INDEX(PlotData,MATCH($A307,PlotNumber,0),MATCH("Tenure",PlotTitles,0))="Affordable rent"),"",INDEX(PlotData,MATCH($A307,PlotNumber,0),MATCH(S$3,PlotTitles,0))&lt;10000, $AB$23,TRUE,"")</f>
        <v/>
      </c>
      <c r="U307" s="104" t="str" cm="1">
        <f t="array" ref="U307">_xlfn.IFS(AND(A307&gt;NumberOfPlots,ISBLANK(INDEX(PlotData,MATCH($A307,PlotNumber,0),MATCH(B$3,PlotTitles,0)))),"",NOT(OR(AND(INDEX(PlotData,MATCH($A307,PlotNumber,0),MATCH("Tenure",PlotTitles,0))="Open market housing",INDEX(PlotData,MATCH($A307,PlotNumber,0),MATCH("Tenure detail",PlotTitles,0))="Private rented sector"),INDEX(PlotData,MATCH($A307,PlotNumber,0),MATCH("Tenure",PlotTitles,0))="Affordable rent")),"",NOT(INDEX(PlotData,MATCH($A307,PlotNumber,0),MATCH(S$3,PlotTitles,0))=0), $AB$24,TRUE,"")</f>
        <v/>
      </c>
      <c r="V307" s="114" t="str" cm="1">
        <f t="array" aca="1" ref="V307" ca="1">_xlfn.IFS(ISBLANK(NumberOfPlots),"Enter the number of homes on the 1_SetUp sheet",AND(A307&gt;NumberOfPlots,ISBLANK(INDEX(PlotData,MATCH($A307,PlotNumber,0),MATCH(B$3,PlotTitles,0)))),"No error",NOT(B307=""),B307,NOT(C307=""),C307,NOT(D307=""),D307,NOT(E307=""),E307,NOT(F307=""),F307,NOT(G307=""),G307,NOT(H307=""),H307,NOT(I307=""),I307,NOT(J307=""),J307,NOT(K307=""),K307,NOT(L307=""),L307,NOT(M307=""),M307,NOT(N307=""),N307,NOT(O307=""),O307,NOT(P307=""),P307,NOT(Q307=""),Q307,NOT(R307=""),R307,NOT(S307=""),S307,NOT(T307=""),T307,NOT(U307=""),U307,TRUE,"No error")</f>
        <v>Enter the number of homes on the 1_SetUp sheet</v>
      </c>
      <c r="W307" s="114" t="str">
        <f t="shared" ca="1" si="14"/>
        <v xml:space="preserve">The Borrower has not addressed the following error messages for Home ID 303: </v>
      </c>
    </row>
    <row r="308" spans="1:23">
      <c r="A308" s="123">
        <v>304</v>
      </c>
      <c r="B308" s="104" t="str" cm="1">
        <f t="array" ref="B308">_xlfn.IFS(AND(A308&gt;NumberOfPlots,ISBLANK(INDEX(PlotData,MATCH($A308,PlotNumber,0),MATCH(B$3,PlotTitles,0)))),"",ISNUMBER(INDEX(PlotData,MATCH($A308,PlotNumber,0),MATCH(B$3,PlotTitles,0)))=FALSE, $AB$5,TRUE,"")</f>
        <v/>
      </c>
      <c r="C308" s="104" t="str" cm="1">
        <f t="array" ref="C308">_xlfn.IFS(AND(A308&gt;NumberOfPlots,ISBLANK(INDEX(PlotData,MATCH($A308,PlotNumber,0),MATCH(B$3,PlotTitles,0)))),"",ISBLANK(INDEX(PlotData,MATCH($A308,PlotNumber,0),MATCH(C$3,PlotTitles,0))),$AB$6,TRUE,"")</f>
        <v/>
      </c>
      <c r="D308" s="104" t="str" cm="1">
        <f t="array" ref="D308">_xlfn.IFS(AND(A308&gt;NumberOfPlots,ISBLANK(INDEX(PlotData,MATCH($A308,PlotNumber,0),MATCH(B$3,PlotTitles,0)))),"",ISBLANK(INDEX(PlotData,MATCH($A308,PlotNumber,0),MATCH(D$3,PlotTitles,0))),$AB$7,TRUE,"")</f>
        <v/>
      </c>
      <c r="E308" s="104" t="str" cm="1">
        <f t="array" ref="E308">_xlfn.IFS(AND(A308&gt;NumberOfPlots,ISBLANK(INDEX(PlotData,MATCH($A308,PlotNumber,0),MATCH(B$3,PlotTitles,0)))),"",ISBLANK(INDEX(PlotData,MATCH($A308,PlotNumber,0),MATCH(E$3,PlotTitles,0))),$AB$8,TRUE,"")</f>
        <v/>
      </c>
      <c r="F308" s="104" t="str" cm="1">
        <f t="array" ref="F308">_xlfn.IFS(AND(A308&gt;NumberOfPlots,ISBLANK(INDEX(PlotData,MATCH($A308,PlotNumber,0),MATCH(B$3,PlotTitles,0)))),"",ISBLANK(INDEX(PlotData,MATCH($A308,PlotNumber,0),MATCH(F$3,PlotTitles,0))),$AB$9,TRUE,"")</f>
        <v/>
      </c>
      <c r="G308" s="104" t="str" cm="1">
        <f t="array" ref="G308">_xlfn.IFS(AND(A308&gt;NumberOfPlots,ISBLANK(INDEX(PlotData,MATCH($A308,PlotNumber,0),MATCH(B$3,PlotTitles,0)))),"",ISBLANK(INDEX(PlotData,MATCH($A308,PlotNumber,0),MATCH(G$3,PlotTitles,0))),$AB$10,TRUE,"")</f>
        <v/>
      </c>
      <c r="H308" s="104" t="str" cm="1">
        <f t="array" ref="H308">_xlfn.IFS(AND(A308&gt;NumberOfPlots,ISBLANK(INDEX(PlotData,MATCH($A308,PlotNumber,0),MATCH(B$3,PlotTitles,0)))),"",AND(ISBLANK(INDEX(PlotData,MATCH($A308,PlotNumber,0),MATCH(H$3,PlotTitles,0)))=FALSE,INDEX(PlotData,MATCH($A308,PlotNumber,0),MATCH(H$3,PlotTitles,0))&lt;500), $AB$11,TRUE,"")</f>
        <v/>
      </c>
      <c r="I308" s="104" t="str" cm="1">
        <f t="array" ref="I308">_xlfn.IFS(AND(A308&gt;NumberOfPlots,ISBLANK(INDEX(PlotData,MATCH($A308,PlotNumber,0),MATCH(B$3,PlotTitles,0)))),"",ISBLANK(INDEX(PlotData,MATCH($A308,PlotNumber,0),MATCH(I$3,PlotTitles,0))),$AB$12,TRUE,"")</f>
        <v/>
      </c>
      <c r="J308" s="104" t="str" cm="1">
        <f t="array" ref="J308">_xlfn.IFS(AND(A308&gt;NumberOfPlots,ISBLANK(INDEX(PlotData,MATCH($A308,PlotNumber,0),MATCH(B$3,PlotTitles,0)))),"",ISBLANK(INDEX(PlotData,MATCH($A308,PlotNumber,0),MATCH(J$3,PlotTitles,0))),$AB$13,TRUE,"")</f>
        <v/>
      </c>
      <c r="K308" s="182" t="str">
        <f t="shared" ca="1" si="12"/>
        <v/>
      </c>
      <c r="L308" s="104" t="str" cm="1">
        <f t="array" ref="L308">_xlfn.IFS(OR(ISBLANK(StartDateMonth),ISBLANK(StartDateYear)),"",AND(A308&gt;NumberOfPlots,ISBLANK(INDEX(PlotData,MATCH($A308,PlotNumber,0),MATCH(B$3,PlotTitles,0)))),"",ISBLANK(INDEX(PlotData,MATCH($A308,PlotNumber,0),MATCH(I$3,PlotTitles,0))),"",(DATEVALUE(INDEX(PlotData,MATCH($A308,PlotNumber,0),MATCH(I$3,PlotTitles,0))&amp;INDEX(PlotData,MATCH($A308,PlotNumber,0),MATCH(J$3,PlotTitles,0))))&lt;DATEVALUE(StartDateMonth&amp;StartDateYear),$AB$15,TRUE,"")</f>
        <v/>
      </c>
      <c r="M308" s="104" t="str" cm="1">
        <f t="array" ref="M308">_xlfn.IFS(OR(ISBLANK(StartDateMonth),ISBLANK(StartDateYear)),"",AND(A308&gt;NumberOfPlots,ISBLANK(INDEX(PlotData,MATCH($A308,PlotNumber,0),MATCH(B$3,PlotTitles,0)))),"",ISBLANK(INDEX(PlotData,MATCH($A308,PlotNumber,0),MATCH(I$3,PlotTitles,0))),"",CompletionMonth="","",(DATEVALUE(INDEX(PlotData,MATCH($A308,PlotNumber,0),MATCH(I$3,PlotTitles,0))&amp;INDEX(PlotData,MATCH($A308,PlotNumber,0),MATCH(J$3,PlotTitles,0))))&gt;(DATEVALUE(CompletionMonth&amp;CompletionYear)),$AB$16,TRUE,"")</f>
        <v/>
      </c>
      <c r="N308" s="104" t="str" cm="1">
        <f t="array" ref="N308">_xlfn.IFS(AND(A308&gt;NumberOfPlots,ISBLANK(INDEX(PlotData,MATCH($A308,PlotNumber,0),MATCH(B$3,PlotTitles,0)))),"",ISBLANK(INDEX(PlotData,MATCH($A308,PlotNumber,0),MATCH(N$3,PlotTitles,0))),$AB$17,TRUE,"")</f>
        <v/>
      </c>
      <c r="O308" s="104" t="str" cm="1">
        <f t="array" ref="O308">_xlfn.IFS(AND(A308&gt;NumberOfPlots,ISBLANK(INDEX(PlotData,MATCH($A308,PlotNumber,0),MATCH(B$3,PlotTitles,0)))),"",ISBLANK(INDEX(PlotData,MATCH($A308,PlotNumber,0),MATCH(O$3,PlotTitles,0))),$AB$18,TRUE,"")</f>
        <v/>
      </c>
      <c r="P308" s="182" t="str">
        <f t="shared" ca="1" si="13"/>
        <v/>
      </c>
      <c r="Q308" s="104" t="str" cm="1">
        <f t="array" ref="Q308">_xlfn.IFS(AND(A308&gt;NumberOfPlots,ISBLANK(INDEX(PlotData,MATCH($A308,PlotNumber,0),MATCH(B$3,PlotTitles,0)))),"",ISBLANK(INDEX(PlotData,MATCH($A308,PlotNumber,0),MATCH(N$3,PlotTitles,0))),"",(DATEVALUE(INDEX(PlotData,MATCH($A308,PlotNumber,0),MATCH(N$3,PlotTitles,0))&amp;INDEX(PlotData,MATCH($A308,PlotNumber,0),MATCH(O$3,PlotTitles,0))))&lt;(DATEVALUE(INDEX(PlotData,MATCH($A308,PlotNumber,0),MATCH(I$3,PlotTitles,0))&amp;INDEX(PlotData,MATCH($A308,PlotNumber,0),MATCH(J$3,PlotTitles,0)))),$AB$20,TRUE,"")</f>
        <v/>
      </c>
      <c r="R308" s="104" t="str" cm="1">
        <f t="array" ref="R308">_xlfn.IFS(OR(ISBLANK(StartDateMonth),ISBLANK(StartDateYear)),"",AND(A308&gt;NumberOfPlots,ISBLANK(INDEX(PlotData,MATCH($A308,PlotNumber,0),MATCH(B$3,PlotTitles,0)))),"",ISBLANK(INDEX(PlotData,MATCH($A308,PlotNumber,0),MATCH(N$3,PlotTitles,0))),"",CompletionMonth="","",(DATEVALUE(INDEX(PlotData,MATCH($A308,PlotNumber,0),MATCH(N$3,PlotTitles,0))&amp;INDEX(PlotData,MATCH($A308,PlotNumber,0),MATCH(O$3,PlotTitles,0))))&gt;(DATEVALUE(CompletionMonth&amp;CompletionYear)),$AB$21,TRUE,"")</f>
        <v/>
      </c>
      <c r="S308" s="104" t="str" cm="1">
        <f t="array" ref="S308">_xlfn.IFS(AND(A308&gt;NumberOfPlots,ISBLANK(INDEX(PlotData,MATCH($A308,PlotNumber,0),MATCH(B$3,PlotTitles,0)))),"",OR(AND(INDEX(PlotData,MATCH($A308,PlotNumber,0),MATCH("Tenure",PlotTitles,0))="Open market housing",INDEX(PlotData,MATCH($A308,PlotNumber,0),MATCH("Tenure detail",PlotTitles,0))="Private rented sector"),INDEX(PlotData,MATCH($A308,PlotNumber,0),MATCH("Tenure",PlotTitles,0))="Affordable rent"),"",ISNUMBER(INDEX(PlotData,MATCH($A308,PlotNumber,0),MATCH(S$3,PlotTitles,0)))=FALSE, $AB$22,TRUE,"")</f>
        <v/>
      </c>
      <c r="T308" s="104" t="str" cm="1">
        <f t="array" ref="T308">_xlfn.IFS(AND(A308&gt;NumberOfPlots,ISBLANK(INDEX(PlotData,MATCH($A308,PlotNumber,0),MATCH(B$3,PlotTitles,0)))),"",OR(AND(INDEX(PlotData,MATCH($A308,PlotNumber,0),MATCH("Tenure",PlotTitles,0))="Open market housing",INDEX(PlotData,MATCH($A308,PlotNumber,0),MATCH("Tenure detail",PlotTitles,0))="Private rented sector"),INDEX(PlotData,MATCH($A308,PlotNumber,0),MATCH("Tenure",PlotTitles,0))="Affordable rent"),"",INDEX(PlotData,MATCH($A308,PlotNumber,0),MATCH(S$3,PlotTitles,0))&lt;10000, $AB$23,TRUE,"")</f>
        <v/>
      </c>
      <c r="U308" s="104" t="str" cm="1">
        <f t="array" ref="U308">_xlfn.IFS(AND(A308&gt;NumberOfPlots,ISBLANK(INDEX(PlotData,MATCH($A308,PlotNumber,0),MATCH(B$3,PlotTitles,0)))),"",NOT(OR(AND(INDEX(PlotData,MATCH($A308,PlotNumber,0),MATCH("Tenure",PlotTitles,0))="Open market housing",INDEX(PlotData,MATCH($A308,PlotNumber,0),MATCH("Tenure detail",PlotTitles,0))="Private rented sector"),INDEX(PlotData,MATCH($A308,PlotNumber,0),MATCH("Tenure",PlotTitles,0))="Affordable rent")),"",NOT(INDEX(PlotData,MATCH($A308,PlotNumber,0),MATCH(S$3,PlotTitles,0))=0), $AB$24,TRUE,"")</f>
        <v/>
      </c>
      <c r="V308" s="114" t="str" cm="1">
        <f t="array" aca="1" ref="V308" ca="1">_xlfn.IFS(ISBLANK(NumberOfPlots),"Enter the number of homes on the 1_SetUp sheet",AND(A308&gt;NumberOfPlots,ISBLANK(INDEX(PlotData,MATCH($A308,PlotNumber,0),MATCH(B$3,PlotTitles,0)))),"No error",NOT(B308=""),B308,NOT(C308=""),C308,NOT(D308=""),D308,NOT(E308=""),E308,NOT(F308=""),F308,NOT(G308=""),G308,NOT(H308=""),H308,NOT(I308=""),I308,NOT(J308=""),J308,NOT(K308=""),K308,NOT(L308=""),L308,NOT(M308=""),M308,NOT(N308=""),N308,NOT(O308=""),O308,NOT(P308=""),P308,NOT(Q308=""),Q308,NOT(R308=""),R308,NOT(S308=""),S308,NOT(T308=""),T308,NOT(U308=""),U308,TRUE,"No error")</f>
        <v>Enter the number of homes on the 1_SetUp sheet</v>
      </c>
      <c r="W308" s="114" t="str">
        <f t="shared" ca="1" si="14"/>
        <v xml:space="preserve">The Borrower has not addressed the following error messages for Home ID 304: </v>
      </c>
    </row>
    <row r="309" spans="1:23">
      <c r="A309" s="123">
        <v>305</v>
      </c>
      <c r="B309" s="104" t="str" cm="1">
        <f t="array" ref="B309">_xlfn.IFS(AND(A309&gt;NumberOfPlots,ISBLANK(INDEX(PlotData,MATCH($A309,PlotNumber,0),MATCH(B$3,PlotTitles,0)))),"",ISNUMBER(INDEX(PlotData,MATCH($A309,PlotNumber,0),MATCH(B$3,PlotTitles,0)))=FALSE, $AB$5,TRUE,"")</f>
        <v/>
      </c>
      <c r="C309" s="104" t="str" cm="1">
        <f t="array" ref="C309">_xlfn.IFS(AND(A309&gt;NumberOfPlots,ISBLANK(INDEX(PlotData,MATCH($A309,PlotNumber,0),MATCH(B$3,PlotTitles,0)))),"",ISBLANK(INDEX(PlotData,MATCH($A309,PlotNumber,0),MATCH(C$3,PlotTitles,0))),$AB$6,TRUE,"")</f>
        <v/>
      </c>
      <c r="D309" s="104" t="str" cm="1">
        <f t="array" ref="D309">_xlfn.IFS(AND(A309&gt;NumberOfPlots,ISBLANK(INDEX(PlotData,MATCH($A309,PlotNumber,0),MATCH(B$3,PlotTitles,0)))),"",ISBLANK(INDEX(PlotData,MATCH($A309,PlotNumber,0),MATCH(D$3,PlotTitles,0))),$AB$7,TRUE,"")</f>
        <v/>
      </c>
      <c r="E309" s="104" t="str" cm="1">
        <f t="array" ref="E309">_xlfn.IFS(AND(A309&gt;NumberOfPlots,ISBLANK(INDEX(PlotData,MATCH($A309,PlotNumber,0),MATCH(B$3,PlotTitles,0)))),"",ISBLANK(INDEX(PlotData,MATCH($A309,PlotNumber,0),MATCH(E$3,PlotTitles,0))),$AB$8,TRUE,"")</f>
        <v/>
      </c>
      <c r="F309" s="104" t="str" cm="1">
        <f t="array" ref="F309">_xlfn.IFS(AND(A309&gt;NumberOfPlots,ISBLANK(INDEX(PlotData,MATCH($A309,PlotNumber,0),MATCH(B$3,PlotTitles,0)))),"",ISBLANK(INDEX(PlotData,MATCH($A309,PlotNumber,0),MATCH(F$3,PlotTitles,0))),$AB$9,TRUE,"")</f>
        <v/>
      </c>
      <c r="G309" s="104" t="str" cm="1">
        <f t="array" ref="G309">_xlfn.IFS(AND(A309&gt;NumberOfPlots,ISBLANK(INDEX(PlotData,MATCH($A309,PlotNumber,0),MATCH(B$3,PlotTitles,0)))),"",ISBLANK(INDEX(PlotData,MATCH($A309,PlotNumber,0),MATCH(G$3,PlotTitles,0))),$AB$10,TRUE,"")</f>
        <v/>
      </c>
      <c r="H309" s="104" t="str" cm="1">
        <f t="array" ref="H309">_xlfn.IFS(AND(A309&gt;NumberOfPlots,ISBLANK(INDEX(PlotData,MATCH($A309,PlotNumber,0),MATCH(B$3,PlotTitles,0)))),"",AND(ISBLANK(INDEX(PlotData,MATCH($A309,PlotNumber,0),MATCH(H$3,PlotTitles,0)))=FALSE,INDEX(PlotData,MATCH($A309,PlotNumber,0),MATCH(H$3,PlotTitles,0))&lt;500), $AB$11,TRUE,"")</f>
        <v/>
      </c>
      <c r="I309" s="104" t="str" cm="1">
        <f t="array" ref="I309">_xlfn.IFS(AND(A309&gt;NumberOfPlots,ISBLANK(INDEX(PlotData,MATCH($A309,PlotNumber,0),MATCH(B$3,PlotTitles,0)))),"",ISBLANK(INDEX(PlotData,MATCH($A309,PlotNumber,0),MATCH(I$3,PlotTitles,0))),$AB$12,TRUE,"")</f>
        <v/>
      </c>
      <c r="J309" s="104" t="str" cm="1">
        <f t="array" ref="J309">_xlfn.IFS(AND(A309&gt;NumberOfPlots,ISBLANK(INDEX(PlotData,MATCH($A309,PlotNumber,0),MATCH(B$3,PlotTitles,0)))),"",ISBLANK(INDEX(PlotData,MATCH($A309,PlotNumber,0),MATCH(J$3,PlotTitles,0))),$AB$13,TRUE,"")</f>
        <v/>
      </c>
      <c r="K309" s="182" t="str">
        <f t="shared" ca="1" si="12"/>
        <v/>
      </c>
      <c r="L309" s="104" t="str" cm="1">
        <f t="array" ref="L309">_xlfn.IFS(OR(ISBLANK(StartDateMonth),ISBLANK(StartDateYear)),"",AND(A309&gt;NumberOfPlots,ISBLANK(INDEX(PlotData,MATCH($A309,PlotNumber,0),MATCH(B$3,PlotTitles,0)))),"",ISBLANK(INDEX(PlotData,MATCH($A309,PlotNumber,0),MATCH(I$3,PlotTitles,0))),"",(DATEVALUE(INDEX(PlotData,MATCH($A309,PlotNumber,0),MATCH(I$3,PlotTitles,0))&amp;INDEX(PlotData,MATCH($A309,PlotNumber,0),MATCH(J$3,PlotTitles,0))))&lt;DATEVALUE(StartDateMonth&amp;StartDateYear),$AB$15,TRUE,"")</f>
        <v/>
      </c>
      <c r="M309" s="104" t="str" cm="1">
        <f t="array" ref="M309">_xlfn.IFS(OR(ISBLANK(StartDateMonth),ISBLANK(StartDateYear)),"",AND(A309&gt;NumberOfPlots,ISBLANK(INDEX(PlotData,MATCH($A309,PlotNumber,0),MATCH(B$3,PlotTitles,0)))),"",ISBLANK(INDEX(PlotData,MATCH($A309,PlotNumber,0),MATCH(I$3,PlotTitles,0))),"",CompletionMonth="","",(DATEVALUE(INDEX(PlotData,MATCH($A309,PlotNumber,0),MATCH(I$3,PlotTitles,0))&amp;INDEX(PlotData,MATCH($A309,PlotNumber,0),MATCH(J$3,PlotTitles,0))))&gt;(DATEVALUE(CompletionMonth&amp;CompletionYear)),$AB$16,TRUE,"")</f>
        <v/>
      </c>
      <c r="N309" s="104" t="str" cm="1">
        <f t="array" ref="N309">_xlfn.IFS(AND(A309&gt;NumberOfPlots,ISBLANK(INDEX(PlotData,MATCH($A309,PlotNumber,0),MATCH(B$3,PlotTitles,0)))),"",ISBLANK(INDEX(PlotData,MATCH($A309,PlotNumber,0),MATCH(N$3,PlotTitles,0))),$AB$17,TRUE,"")</f>
        <v/>
      </c>
      <c r="O309" s="104" t="str" cm="1">
        <f t="array" ref="O309">_xlfn.IFS(AND(A309&gt;NumberOfPlots,ISBLANK(INDEX(PlotData,MATCH($A309,PlotNumber,0),MATCH(B$3,PlotTitles,0)))),"",ISBLANK(INDEX(PlotData,MATCH($A309,PlotNumber,0),MATCH(O$3,PlotTitles,0))),$AB$18,TRUE,"")</f>
        <v/>
      </c>
      <c r="P309" s="182" t="str">
        <f t="shared" ca="1" si="13"/>
        <v/>
      </c>
      <c r="Q309" s="104" t="str" cm="1">
        <f t="array" ref="Q309">_xlfn.IFS(AND(A309&gt;NumberOfPlots,ISBLANK(INDEX(PlotData,MATCH($A309,PlotNumber,0),MATCH(B$3,PlotTitles,0)))),"",ISBLANK(INDEX(PlotData,MATCH($A309,PlotNumber,0),MATCH(N$3,PlotTitles,0))),"",(DATEVALUE(INDEX(PlotData,MATCH($A309,PlotNumber,0),MATCH(N$3,PlotTitles,0))&amp;INDEX(PlotData,MATCH($A309,PlotNumber,0),MATCH(O$3,PlotTitles,0))))&lt;(DATEVALUE(INDEX(PlotData,MATCH($A309,PlotNumber,0),MATCH(I$3,PlotTitles,0))&amp;INDEX(PlotData,MATCH($A309,PlotNumber,0),MATCH(J$3,PlotTitles,0)))),$AB$20,TRUE,"")</f>
        <v/>
      </c>
      <c r="R309" s="104" t="str" cm="1">
        <f t="array" ref="R309">_xlfn.IFS(OR(ISBLANK(StartDateMonth),ISBLANK(StartDateYear)),"",AND(A309&gt;NumberOfPlots,ISBLANK(INDEX(PlotData,MATCH($A309,PlotNumber,0),MATCH(B$3,PlotTitles,0)))),"",ISBLANK(INDEX(PlotData,MATCH($A309,PlotNumber,0),MATCH(N$3,PlotTitles,0))),"",CompletionMonth="","",(DATEVALUE(INDEX(PlotData,MATCH($A309,PlotNumber,0),MATCH(N$3,PlotTitles,0))&amp;INDEX(PlotData,MATCH($A309,PlotNumber,0),MATCH(O$3,PlotTitles,0))))&gt;(DATEVALUE(CompletionMonth&amp;CompletionYear)),$AB$21,TRUE,"")</f>
        <v/>
      </c>
      <c r="S309" s="104" t="str" cm="1">
        <f t="array" ref="S309">_xlfn.IFS(AND(A309&gt;NumberOfPlots,ISBLANK(INDEX(PlotData,MATCH($A309,PlotNumber,0),MATCH(B$3,PlotTitles,0)))),"",OR(AND(INDEX(PlotData,MATCH($A309,PlotNumber,0),MATCH("Tenure",PlotTitles,0))="Open market housing",INDEX(PlotData,MATCH($A309,PlotNumber,0),MATCH("Tenure detail",PlotTitles,0))="Private rented sector"),INDEX(PlotData,MATCH($A309,PlotNumber,0),MATCH("Tenure",PlotTitles,0))="Affordable rent"),"",ISNUMBER(INDEX(PlotData,MATCH($A309,PlotNumber,0),MATCH(S$3,PlotTitles,0)))=FALSE, $AB$22,TRUE,"")</f>
        <v/>
      </c>
      <c r="T309" s="104" t="str" cm="1">
        <f t="array" ref="T309">_xlfn.IFS(AND(A309&gt;NumberOfPlots,ISBLANK(INDEX(PlotData,MATCH($A309,PlotNumber,0),MATCH(B$3,PlotTitles,0)))),"",OR(AND(INDEX(PlotData,MATCH($A309,PlotNumber,0),MATCH("Tenure",PlotTitles,0))="Open market housing",INDEX(PlotData,MATCH($A309,PlotNumber,0),MATCH("Tenure detail",PlotTitles,0))="Private rented sector"),INDEX(PlotData,MATCH($A309,PlotNumber,0),MATCH("Tenure",PlotTitles,0))="Affordable rent"),"",INDEX(PlotData,MATCH($A309,PlotNumber,0),MATCH(S$3,PlotTitles,0))&lt;10000, $AB$23,TRUE,"")</f>
        <v/>
      </c>
      <c r="U309" s="104" t="str" cm="1">
        <f t="array" ref="U309">_xlfn.IFS(AND(A309&gt;NumberOfPlots,ISBLANK(INDEX(PlotData,MATCH($A309,PlotNumber,0),MATCH(B$3,PlotTitles,0)))),"",NOT(OR(AND(INDEX(PlotData,MATCH($A309,PlotNumber,0),MATCH("Tenure",PlotTitles,0))="Open market housing",INDEX(PlotData,MATCH($A309,PlotNumber,0),MATCH("Tenure detail",PlotTitles,0))="Private rented sector"),INDEX(PlotData,MATCH($A309,PlotNumber,0),MATCH("Tenure",PlotTitles,0))="Affordable rent")),"",NOT(INDEX(PlotData,MATCH($A309,PlotNumber,0),MATCH(S$3,PlotTitles,0))=0), $AB$24,TRUE,"")</f>
        <v/>
      </c>
      <c r="V309" s="114" t="str" cm="1">
        <f t="array" aca="1" ref="V309" ca="1">_xlfn.IFS(ISBLANK(NumberOfPlots),"Enter the number of homes on the 1_SetUp sheet",AND(A309&gt;NumberOfPlots,ISBLANK(INDEX(PlotData,MATCH($A309,PlotNumber,0),MATCH(B$3,PlotTitles,0)))),"No error",NOT(B309=""),B309,NOT(C309=""),C309,NOT(D309=""),D309,NOT(E309=""),E309,NOT(F309=""),F309,NOT(G309=""),G309,NOT(H309=""),H309,NOT(I309=""),I309,NOT(J309=""),J309,NOT(K309=""),K309,NOT(L309=""),L309,NOT(M309=""),M309,NOT(N309=""),N309,NOT(O309=""),O309,NOT(P309=""),P309,NOT(Q309=""),Q309,NOT(R309=""),R309,NOT(S309=""),S309,NOT(T309=""),T309,NOT(U309=""),U309,TRUE,"No error")</f>
        <v>Enter the number of homes on the 1_SetUp sheet</v>
      </c>
      <c r="W309" s="114" t="str">
        <f t="shared" ca="1" si="14"/>
        <v xml:space="preserve">The Borrower has not addressed the following error messages for Home ID 305: </v>
      </c>
    </row>
    <row r="310" spans="1:23">
      <c r="A310" s="123">
        <v>306</v>
      </c>
      <c r="B310" s="104" t="str" cm="1">
        <f t="array" ref="B310">_xlfn.IFS(AND(A310&gt;NumberOfPlots,ISBLANK(INDEX(PlotData,MATCH($A310,PlotNumber,0),MATCH(B$3,PlotTitles,0)))),"",ISNUMBER(INDEX(PlotData,MATCH($A310,PlotNumber,0),MATCH(B$3,PlotTitles,0)))=FALSE, $AB$5,TRUE,"")</f>
        <v/>
      </c>
      <c r="C310" s="104" t="str" cm="1">
        <f t="array" ref="C310">_xlfn.IFS(AND(A310&gt;NumberOfPlots,ISBLANK(INDEX(PlotData,MATCH($A310,PlotNumber,0),MATCH(B$3,PlotTitles,0)))),"",ISBLANK(INDEX(PlotData,MATCH($A310,PlotNumber,0),MATCH(C$3,PlotTitles,0))),$AB$6,TRUE,"")</f>
        <v/>
      </c>
      <c r="D310" s="104" t="str" cm="1">
        <f t="array" ref="D310">_xlfn.IFS(AND(A310&gt;NumberOfPlots,ISBLANK(INDEX(PlotData,MATCH($A310,PlotNumber,0),MATCH(B$3,PlotTitles,0)))),"",ISBLANK(INDEX(PlotData,MATCH($A310,PlotNumber,0),MATCH(D$3,PlotTitles,0))),$AB$7,TRUE,"")</f>
        <v/>
      </c>
      <c r="E310" s="104" t="str" cm="1">
        <f t="array" ref="E310">_xlfn.IFS(AND(A310&gt;NumberOfPlots,ISBLANK(INDEX(PlotData,MATCH($A310,PlotNumber,0),MATCH(B$3,PlotTitles,0)))),"",ISBLANK(INDEX(PlotData,MATCH($A310,PlotNumber,0),MATCH(E$3,PlotTitles,0))),$AB$8,TRUE,"")</f>
        <v/>
      </c>
      <c r="F310" s="104" t="str" cm="1">
        <f t="array" ref="F310">_xlfn.IFS(AND(A310&gt;NumberOfPlots,ISBLANK(INDEX(PlotData,MATCH($A310,PlotNumber,0),MATCH(B$3,PlotTitles,0)))),"",ISBLANK(INDEX(PlotData,MATCH($A310,PlotNumber,0),MATCH(F$3,PlotTitles,0))),$AB$9,TRUE,"")</f>
        <v/>
      </c>
      <c r="G310" s="104" t="str" cm="1">
        <f t="array" ref="G310">_xlfn.IFS(AND(A310&gt;NumberOfPlots,ISBLANK(INDEX(PlotData,MATCH($A310,PlotNumber,0),MATCH(B$3,PlotTitles,0)))),"",ISBLANK(INDEX(PlotData,MATCH($A310,PlotNumber,0),MATCH(G$3,PlotTitles,0))),$AB$10,TRUE,"")</f>
        <v/>
      </c>
      <c r="H310" s="104" t="str" cm="1">
        <f t="array" ref="H310">_xlfn.IFS(AND(A310&gt;NumberOfPlots,ISBLANK(INDEX(PlotData,MATCH($A310,PlotNumber,0),MATCH(B$3,PlotTitles,0)))),"",AND(ISBLANK(INDEX(PlotData,MATCH($A310,PlotNumber,0),MATCH(H$3,PlotTitles,0)))=FALSE,INDEX(PlotData,MATCH($A310,PlotNumber,0),MATCH(H$3,PlotTitles,0))&lt;500), $AB$11,TRUE,"")</f>
        <v/>
      </c>
      <c r="I310" s="104" t="str" cm="1">
        <f t="array" ref="I310">_xlfn.IFS(AND(A310&gt;NumberOfPlots,ISBLANK(INDEX(PlotData,MATCH($A310,PlotNumber,0),MATCH(B$3,PlotTitles,0)))),"",ISBLANK(INDEX(PlotData,MATCH($A310,PlotNumber,0),MATCH(I$3,PlotTitles,0))),$AB$12,TRUE,"")</f>
        <v/>
      </c>
      <c r="J310" s="104" t="str" cm="1">
        <f t="array" ref="J310">_xlfn.IFS(AND(A310&gt;NumberOfPlots,ISBLANK(INDEX(PlotData,MATCH($A310,PlotNumber,0),MATCH(B$3,PlotTitles,0)))),"",ISBLANK(INDEX(PlotData,MATCH($A310,PlotNumber,0),MATCH(J$3,PlotTitles,0))),$AB$13,TRUE,"")</f>
        <v/>
      </c>
      <c r="K310" s="182" t="str">
        <f t="shared" ca="1" si="12"/>
        <v/>
      </c>
      <c r="L310" s="104" t="str" cm="1">
        <f t="array" ref="L310">_xlfn.IFS(OR(ISBLANK(StartDateMonth),ISBLANK(StartDateYear)),"",AND(A310&gt;NumberOfPlots,ISBLANK(INDEX(PlotData,MATCH($A310,PlotNumber,0),MATCH(B$3,PlotTitles,0)))),"",ISBLANK(INDEX(PlotData,MATCH($A310,PlotNumber,0),MATCH(I$3,PlotTitles,0))),"",(DATEVALUE(INDEX(PlotData,MATCH($A310,PlotNumber,0),MATCH(I$3,PlotTitles,0))&amp;INDEX(PlotData,MATCH($A310,PlotNumber,0),MATCH(J$3,PlotTitles,0))))&lt;DATEVALUE(StartDateMonth&amp;StartDateYear),$AB$15,TRUE,"")</f>
        <v/>
      </c>
      <c r="M310" s="104" t="str" cm="1">
        <f t="array" ref="M310">_xlfn.IFS(OR(ISBLANK(StartDateMonth),ISBLANK(StartDateYear)),"",AND(A310&gt;NumberOfPlots,ISBLANK(INDEX(PlotData,MATCH($A310,PlotNumber,0),MATCH(B$3,PlotTitles,0)))),"",ISBLANK(INDEX(PlotData,MATCH($A310,PlotNumber,0),MATCH(I$3,PlotTitles,0))),"",CompletionMonth="","",(DATEVALUE(INDEX(PlotData,MATCH($A310,PlotNumber,0),MATCH(I$3,PlotTitles,0))&amp;INDEX(PlotData,MATCH($A310,PlotNumber,0),MATCH(J$3,PlotTitles,0))))&gt;(DATEVALUE(CompletionMonth&amp;CompletionYear)),$AB$16,TRUE,"")</f>
        <v/>
      </c>
      <c r="N310" s="104" t="str" cm="1">
        <f t="array" ref="N310">_xlfn.IFS(AND(A310&gt;NumberOfPlots,ISBLANK(INDEX(PlotData,MATCH($A310,PlotNumber,0),MATCH(B$3,PlotTitles,0)))),"",ISBLANK(INDEX(PlotData,MATCH($A310,PlotNumber,0),MATCH(N$3,PlotTitles,0))),$AB$17,TRUE,"")</f>
        <v/>
      </c>
      <c r="O310" s="104" t="str" cm="1">
        <f t="array" ref="O310">_xlfn.IFS(AND(A310&gt;NumberOfPlots,ISBLANK(INDEX(PlotData,MATCH($A310,PlotNumber,0),MATCH(B$3,PlotTitles,0)))),"",ISBLANK(INDEX(PlotData,MATCH($A310,PlotNumber,0),MATCH(O$3,PlotTitles,0))),$AB$18,TRUE,"")</f>
        <v/>
      </c>
      <c r="P310" s="182" t="str">
        <f t="shared" ca="1" si="13"/>
        <v/>
      </c>
      <c r="Q310" s="104" t="str" cm="1">
        <f t="array" ref="Q310">_xlfn.IFS(AND(A310&gt;NumberOfPlots,ISBLANK(INDEX(PlotData,MATCH($A310,PlotNumber,0),MATCH(B$3,PlotTitles,0)))),"",ISBLANK(INDEX(PlotData,MATCH($A310,PlotNumber,0),MATCH(N$3,PlotTitles,0))),"",(DATEVALUE(INDEX(PlotData,MATCH($A310,PlotNumber,0),MATCH(N$3,PlotTitles,0))&amp;INDEX(PlotData,MATCH($A310,PlotNumber,0),MATCH(O$3,PlotTitles,0))))&lt;(DATEVALUE(INDEX(PlotData,MATCH($A310,PlotNumber,0),MATCH(I$3,PlotTitles,0))&amp;INDEX(PlotData,MATCH($A310,PlotNumber,0),MATCH(J$3,PlotTitles,0)))),$AB$20,TRUE,"")</f>
        <v/>
      </c>
      <c r="R310" s="104" t="str" cm="1">
        <f t="array" ref="R310">_xlfn.IFS(OR(ISBLANK(StartDateMonth),ISBLANK(StartDateYear)),"",AND(A310&gt;NumberOfPlots,ISBLANK(INDEX(PlotData,MATCH($A310,PlotNumber,0),MATCH(B$3,PlotTitles,0)))),"",ISBLANK(INDEX(PlotData,MATCH($A310,PlotNumber,0),MATCH(N$3,PlotTitles,0))),"",CompletionMonth="","",(DATEVALUE(INDEX(PlotData,MATCH($A310,PlotNumber,0),MATCH(N$3,PlotTitles,0))&amp;INDEX(PlotData,MATCH($A310,PlotNumber,0),MATCH(O$3,PlotTitles,0))))&gt;(DATEVALUE(CompletionMonth&amp;CompletionYear)),$AB$21,TRUE,"")</f>
        <v/>
      </c>
      <c r="S310" s="104" t="str" cm="1">
        <f t="array" ref="S310">_xlfn.IFS(AND(A310&gt;NumberOfPlots,ISBLANK(INDEX(PlotData,MATCH($A310,PlotNumber,0),MATCH(B$3,PlotTitles,0)))),"",OR(AND(INDEX(PlotData,MATCH($A310,PlotNumber,0),MATCH("Tenure",PlotTitles,0))="Open market housing",INDEX(PlotData,MATCH($A310,PlotNumber,0),MATCH("Tenure detail",PlotTitles,0))="Private rented sector"),INDEX(PlotData,MATCH($A310,PlotNumber,0),MATCH("Tenure",PlotTitles,0))="Affordable rent"),"",ISNUMBER(INDEX(PlotData,MATCH($A310,PlotNumber,0),MATCH(S$3,PlotTitles,0)))=FALSE, $AB$22,TRUE,"")</f>
        <v/>
      </c>
      <c r="T310" s="104" t="str" cm="1">
        <f t="array" ref="T310">_xlfn.IFS(AND(A310&gt;NumberOfPlots,ISBLANK(INDEX(PlotData,MATCH($A310,PlotNumber,0),MATCH(B$3,PlotTitles,0)))),"",OR(AND(INDEX(PlotData,MATCH($A310,PlotNumber,0),MATCH("Tenure",PlotTitles,0))="Open market housing",INDEX(PlotData,MATCH($A310,PlotNumber,0),MATCH("Tenure detail",PlotTitles,0))="Private rented sector"),INDEX(PlotData,MATCH($A310,PlotNumber,0),MATCH("Tenure",PlotTitles,0))="Affordable rent"),"",INDEX(PlotData,MATCH($A310,PlotNumber,0),MATCH(S$3,PlotTitles,0))&lt;10000, $AB$23,TRUE,"")</f>
        <v/>
      </c>
      <c r="U310" s="104" t="str" cm="1">
        <f t="array" ref="U310">_xlfn.IFS(AND(A310&gt;NumberOfPlots,ISBLANK(INDEX(PlotData,MATCH($A310,PlotNumber,0),MATCH(B$3,PlotTitles,0)))),"",NOT(OR(AND(INDEX(PlotData,MATCH($A310,PlotNumber,0),MATCH("Tenure",PlotTitles,0))="Open market housing",INDEX(PlotData,MATCH($A310,PlotNumber,0),MATCH("Tenure detail",PlotTitles,0))="Private rented sector"),INDEX(PlotData,MATCH($A310,PlotNumber,0),MATCH("Tenure",PlotTitles,0))="Affordable rent")),"",NOT(INDEX(PlotData,MATCH($A310,PlotNumber,0),MATCH(S$3,PlotTitles,0))=0), $AB$24,TRUE,"")</f>
        <v/>
      </c>
      <c r="V310" s="114" t="str" cm="1">
        <f t="array" aca="1" ref="V310" ca="1">_xlfn.IFS(ISBLANK(NumberOfPlots),"Enter the number of homes on the 1_SetUp sheet",AND(A310&gt;NumberOfPlots,ISBLANK(INDEX(PlotData,MATCH($A310,PlotNumber,0),MATCH(B$3,PlotTitles,0)))),"No error",NOT(B310=""),B310,NOT(C310=""),C310,NOT(D310=""),D310,NOT(E310=""),E310,NOT(F310=""),F310,NOT(G310=""),G310,NOT(H310=""),H310,NOT(I310=""),I310,NOT(J310=""),J310,NOT(K310=""),K310,NOT(L310=""),L310,NOT(M310=""),M310,NOT(N310=""),N310,NOT(O310=""),O310,NOT(P310=""),P310,NOT(Q310=""),Q310,NOT(R310=""),R310,NOT(S310=""),S310,NOT(T310=""),T310,NOT(U310=""),U310,TRUE,"No error")</f>
        <v>Enter the number of homes on the 1_SetUp sheet</v>
      </c>
      <c r="W310" s="114" t="str">
        <f t="shared" ca="1" si="14"/>
        <v xml:space="preserve">The Borrower has not addressed the following error messages for Home ID 306: </v>
      </c>
    </row>
    <row r="311" spans="1:23">
      <c r="A311" s="123">
        <v>307</v>
      </c>
      <c r="B311" s="104" t="str" cm="1">
        <f t="array" ref="B311">_xlfn.IFS(AND(A311&gt;NumberOfPlots,ISBLANK(INDEX(PlotData,MATCH($A311,PlotNumber,0),MATCH(B$3,PlotTitles,0)))),"",ISNUMBER(INDEX(PlotData,MATCH($A311,PlotNumber,0),MATCH(B$3,PlotTitles,0)))=FALSE, $AB$5,TRUE,"")</f>
        <v/>
      </c>
      <c r="C311" s="104" t="str" cm="1">
        <f t="array" ref="C311">_xlfn.IFS(AND(A311&gt;NumberOfPlots,ISBLANK(INDEX(PlotData,MATCH($A311,PlotNumber,0),MATCH(B$3,PlotTitles,0)))),"",ISBLANK(INDEX(PlotData,MATCH($A311,PlotNumber,0),MATCH(C$3,PlotTitles,0))),$AB$6,TRUE,"")</f>
        <v/>
      </c>
      <c r="D311" s="104" t="str" cm="1">
        <f t="array" ref="D311">_xlfn.IFS(AND(A311&gt;NumberOfPlots,ISBLANK(INDEX(PlotData,MATCH($A311,PlotNumber,0),MATCH(B$3,PlotTitles,0)))),"",ISBLANK(INDEX(PlotData,MATCH($A311,PlotNumber,0),MATCH(D$3,PlotTitles,0))),$AB$7,TRUE,"")</f>
        <v/>
      </c>
      <c r="E311" s="104" t="str" cm="1">
        <f t="array" ref="E311">_xlfn.IFS(AND(A311&gt;NumberOfPlots,ISBLANK(INDEX(PlotData,MATCH($A311,PlotNumber,0),MATCH(B$3,PlotTitles,0)))),"",ISBLANK(INDEX(PlotData,MATCH($A311,PlotNumber,0),MATCH(E$3,PlotTitles,0))),$AB$8,TRUE,"")</f>
        <v/>
      </c>
      <c r="F311" s="104" t="str" cm="1">
        <f t="array" ref="F311">_xlfn.IFS(AND(A311&gt;NumberOfPlots,ISBLANK(INDEX(PlotData,MATCH($A311,PlotNumber,0),MATCH(B$3,PlotTitles,0)))),"",ISBLANK(INDEX(PlotData,MATCH($A311,PlotNumber,0),MATCH(F$3,PlotTitles,0))),$AB$9,TRUE,"")</f>
        <v/>
      </c>
      <c r="G311" s="104" t="str" cm="1">
        <f t="array" ref="G311">_xlfn.IFS(AND(A311&gt;NumberOfPlots,ISBLANK(INDEX(PlotData,MATCH($A311,PlotNumber,0),MATCH(B$3,PlotTitles,0)))),"",ISBLANK(INDEX(PlotData,MATCH($A311,PlotNumber,0),MATCH(G$3,PlotTitles,0))),$AB$10,TRUE,"")</f>
        <v/>
      </c>
      <c r="H311" s="104" t="str" cm="1">
        <f t="array" ref="H311">_xlfn.IFS(AND(A311&gt;NumberOfPlots,ISBLANK(INDEX(PlotData,MATCH($A311,PlotNumber,0),MATCH(B$3,PlotTitles,0)))),"",AND(ISBLANK(INDEX(PlotData,MATCH($A311,PlotNumber,0),MATCH(H$3,PlotTitles,0)))=FALSE,INDEX(PlotData,MATCH($A311,PlotNumber,0),MATCH(H$3,PlotTitles,0))&lt;500), $AB$11,TRUE,"")</f>
        <v/>
      </c>
      <c r="I311" s="104" t="str" cm="1">
        <f t="array" ref="I311">_xlfn.IFS(AND(A311&gt;NumberOfPlots,ISBLANK(INDEX(PlotData,MATCH($A311,PlotNumber,0),MATCH(B$3,PlotTitles,0)))),"",ISBLANK(INDEX(PlotData,MATCH($A311,PlotNumber,0),MATCH(I$3,PlotTitles,0))),$AB$12,TRUE,"")</f>
        <v/>
      </c>
      <c r="J311" s="104" t="str" cm="1">
        <f t="array" ref="J311">_xlfn.IFS(AND(A311&gt;NumberOfPlots,ISBLANK(INDEX(PlotData,MATCH($A311,PlotNumber,0),MATCH(B$3,PlotTitles,0)))),"",ISBLANK(INDEX(PlotData,MATCH($A311,PlotNumber,0),MATCH(J$3,PlotTitles,0))),$AB$13,TRUE,"")</f>
        <v/>
      </c>
      <c r="K311" s="182" t="str">
        <f t="shared" ca="1" si="12"/>
        <v/>
      </c>
      <c r="L311" s="104" t="str" cm="1">
        <f t="array" ref="L311">_xlfn.IFS(OR(ISBLANK(StartDateMonth),ISBLANK(StartDateYear)),"",AND(A311&gt;NumberOfPlots,ISBLANK(INDEX(PlotData,MATCH($A311,PlotNumber,0),MATCH(B$3,PlotTitles,0)))),"",ISBLANK(INDEX(PlotData,MATCH($A311,PlotNumber,0),MATCH(I$3,PlotTitles,0))),"",(DATEVALUE(INDEX(PlotData,MATCH($A311,PlotNumber,0),MATCH(I$3,PlotTitles,0))&amp;INDEX(PlotData,MATCH($A311,PlotNumber,0),MATCH(J$3,PlotTitles,0))))&lt;DATEVALUE(StartDateMonth&amp;StartDateYear),$AB$15,TRUE,"")</f>
        <v/>
      </c>
      <c r="M311" s="104" t="str" cm="1">
        <f t="array" ref="M311">_xlfn.IFS(OR(ISBLANK(StartDateMonth),ISBLANK(StartDateYear)),"",AND(A311&gt;NumberOfPlots,ISBLANK(INDEX(PlotData,MATCH($A311,PlotNumber,0),MATCH(B$3,PlotTitles,0)))),"",ISBLANK(INDEX(PlotData,MATCH($A311,PlotNumber,0),MATCH(I$3,PlotTitles,0))),"",CompletionMonth="","",(DATEVALUE(INDEX(PlotData,MATCH($A311,PlotNumber,0),MATCH(I$3,PlotTitles,0))&amp;INDEX(PlotData,MATCH($A311,PlotNumber,0),MATCH(J$3,PlotTitles,0))))&gt;(DATEVALUE(CompletionMonth&amp;CompletionYear)),$AB$16,TRUE,"")</f>
        <v/>
      </c>
      <c r="N311" s="104" t="str" cm="1">
        <f t="array" ref="N311">_xlfn.IFS(AND(A311&gt;NumberOfPlots,ISBLANK(INDEX(PlotData,MATCH($A311,PlotNumber,0),MATCH(B$3,PlotTitles,0)))),"",ISBLANK(INDEX(PlotData,MATCH($A311,PlotNumber,0),MATCH(N$3,PlotTitles,0))),$AB$17,TRUE,"")</f>
        <v/>
      </c>
      <c r="O311" s="104" t="str" cm="1">
        <f t="array" ref="O311">_xlfn.IFS(AND(A311&gt;NumberOfPlots,ISBLANK(INDEX(PlotData,MATCH($A311,PlotNumber,0),MATCH(B$3,PlotTitles,0)))),"",ISBLANK(INDEX(PlotData,MATCH($A311,PlotNumber,0),MATCH(O$3,PlotTitles,0))),$AB$18,TRUE,"")</f>
        <v/>
      </c>
      <c r="P311" s="182" t="str">
        <f t="shared" ca="1" si="13"/>
        <v/>
      </c>
      <c r="Q311" s="104" t="str" cm="1">
        <f t="array" ref="Q311">_xlfn.IFS(AND(A311&gt;NumberOfPlots,ISBLANK(INDEX(PlotData,MATCH($A311,PlotNumber,0),MATCH(B$3,PlotTitles,0)))),"",ISBLANK(INDEX(PlotData,MATCH($A311,PlotNumber,0),MATCH(N$3,PlotTitles,0))),"",(DATEVALUE(INDEX(PlotData,MATCH($A311,PlotNumber,0),MATCH(N$3,PlotTitles,0))&amp;INDEX(PlotData,MATCH($A311,PlotNumber,0),MATCH(O$3,PlotTitles,0))))&lt;(DATEVALUE(INDEX(PlotData,MATCH($A311,PlotNumber,0),MATCH(I$3,PlotTitles,0))&amp;INDEX(PlotData,MATCH($A311,PlotNumber,0),MATCH(J$3,PlotTitles,0)))),$AB$20,TRUE,"")</f>
        <v/>
      </c>
      <c r="R311" s="104" t="str" cm="1">
        <f t="array" ref="R311">_xlfn.IFS(OR(ISBLANK(StartDateMonth),ISBLANK(StartDateYear)),"",AND(A311&gt;NumberOfPlots,ISBLANK(INDEX(PlotData,MATCH($A311,PlotNumber,0),MATCH(B$3,PlotTitles,0)))),"",ISBLANK(INDEX(PlotData,MATCH($A311,PlotNumber,0),MATCH(N$3,PlotTitles,0))),"",CompletionMonth="","",(DATEVALUE(INDEX(PlotData,MATCH($A311,PlotNumber,0),MATCH(N$3,PlotTitles,0))&amp;INDEX(PlotData,MATCH($A311,PlotNumber,0),MATCH(O$3,PlotTitles,0))))&gt;(DATEVALUE(CompletionMonth&amp;CompletionYear)),$AB$21,TRUE,"")</f>
        <v/>
      </c>
      <c r="S311" s="104" t="str" cm="1">
        <f t="array" ref="S311">_xlfn.IFS(AND(A311&gt;NumberOfPlots,ISBLANK(INDEX(PlotData,MATCH($A311,PlotNumber,0),MATCH(B$3,PlotTitles,0)))),"",OR(AND(INDEX(PlotData,MATCH($A311,PlotNumber,0),MATCH("Tenure",PlotTitles,0))="Open market housing",INDEX(PlotData,MATCH($A311,PlotNumber,0),MATCH("Tenure detail",PlotTitles,0))="Private rented sector"),INDEX(PlotData,MATCH($A311,PlotNumber,0),MATCH("Tenure",PlotTitles,0))="Affordable rent"),"",ISNUMBER(INDEX(PlotData,MATCH($A311,PlotNumber,0),MATCH(S$3,PlotTitles,0)))=FALSE, $AB$22,TRUE,"")</f>
        <v/>
      </c>
      <c r="T311" s="104" t="str" cm="1">
        <f t="array" ref="T311">_xlfn.IFS(AND(A311&gt;NumberOfPlots,ISBLANK(INDEX(PlotData,MATCH($A311,PlotNumber,0),MATCH(B$3,PlotTitles,0)))),"",OR(AND(INDEX(PlotData,MATCH($A311,PlotNumber,0),MATCH("Tenure",PlotTitles,0))="Open market housing",INDEX(PlotData,MATCH($A311,PlotNumber,0),MATCH("Tenure detail",PlotTitles,0))="Private rented sector"),INDEX(PlotData,MATCH($A311,PlotNumber,0),MATCH("Tenure",PlotTitles,0))="Affordable rent"),"",INDEX(PlotData,MATCH($A311,PlotNumber,0),MATCH(S$3,PlotTitles,0))&lt;10000, $AB$23,TRUE,"")</f>
        <v/>
      </c>
      <c r="U311" s="104" t="str" cm="1">
        <f t="array" ref="U311">_xlfn.IFS(AND(A311&gt;NumberOfPlots,ISBLANK(INDEX(PlotData,MATCH($A311,PlotNumber,0),MATCH(B$3,PlotTitles,0)))),"",NOT(OR(AND(INDEX(PlotData,MATCH($A311,PlotNumber,0),MATCH("Tenure",PlotTitles,0))="Open market housing",INDEX(PlotData,MATCH($A311,PlotNumber,0),MATCH("Tenure detail",PlotTitles,0))="Private rented sector"),INDEX(PlotData,MATCH($A311,PlotNumber,0),MATCH("Tenure",PlotTitles,0))="Affordable rent")),"",NOT(INDEX(PlotData,MATCH($A311,PlotNumber,0),MATCH(S$3,PlotTitles,0))=0), $AB$24,TRUE,"")</f>
        <v/>
      </c>
      <c r="V311" s="114" t="str" cm="1">
        <f t="array" aca="1" ref="V311" ca="1">_xlfn.IFS(ISBLANK(NumberOfPlots),"Enter the number of homes on the 1_SetUp sheet",AND(A311&gt;NumberOfPlots,ISBLANK(INDEX(PlotData,MATCH($A311,PlotNumber,0),MATCH(B$3,PlotTitles,0)))),"No error",NOT(B311=""),B311,NOT(C311=""),C311,NOT(D311=""),D311,NOT(E311=""),E311,NOT(F311=""),F311,NOT(G311=""),G311,NOT(H311=""),H311,NOT(I311=""),I311,NOT(J311=""),J311,NOT(K311=""),K311,NOT(L311=""),L311,NOT(M311=""),M311,NOT(N311=""),N311,NOT(O311=""),O311,NOT(P311=""),P311,NOT(Q311=""),Q311,NOT(R311=""),R311,NOT(S311=""),S311,NOT(T311=""),T311,NOT(U311=""),U311,TRUE,"No error")</f>
        <v>Enter the number of homes on the 1_SetUp sheet</v>
      </c>
      <c r="W311" s="114" t="str">
        <f t="shared" ca="1" si="14"/>
        <v xml:space="preserve">The Borrower has not addressed the following error messages for Home ID 307: </v>
      </c>
    </row>
    <row r="312" spans="1:23">
      <c r="A312" s="123">
        <v>308</v>
      </c>
      <c r="B312" s="104" t="str" cm="1">
        <f t="array" ref="B312">_xlfn.IFS(AND(A312&gt;NumberOfPlots,ISBLANK(INDEX(PlotData,MATCH($A312,PlotNumber,0),MATCH(B$3,PlotTitles,0)))),"",ISNUMBER(INDEX(PlotData,MATCH($A312,PlotNumber,0),MATCH(B$3,PlotTitles,0)))=FALSE, $AB$5,TRUE,"")</f>
        <v/>
      </c>
      <c r="C312" s="104" t="str" cm="1">
        <f t="array" ref="C312">_xlfn.IFS(AND(A312&gt;NumberOfPlots,ISBLANK(INDEX(PlotData,MATCH($A312,PlotNumber,0),MATCH(B$3,PlotTitles,0)))),"",ISBLANK(INDEX(PlotData,MATCH($A312,PlotNumber,0),MATCH(C$3,PlotTitles,0))),$AB$6,TRUE,"")</f>
        <v/>
      </c>
      <c r="D312" s="104" t="str" cm="1">
        <f t="array" ref="D312">_xlfn.IFS(AND(A312&gt;NumberOfPlots,ISBLANK(INDEX(PlotData,MATCH($A312,PlotNumber,0),MATCH(B$3,PlotTitles,0)))),"",ISBLANK(INDEX(PlotData,MATCH($A312,PlotNumber,0),MATCH(D$3,PlotTitles,0))),$AB$7,TRUE,"")</f>
        <v/>
      </c>
      <c r="E312" s="104" t="str" cm="1">
        <f t="array" ref="E312">_xlfn.IFS(AND(A312&gt;NumberOfPlots,ISBLANK(INDEX(PlotData,MATCH($A312,PlotNumber,0),MATCH(B$3,PlotTitles,0)))),"",ISBLANK(INDEX(PlotData,MATCH($A312,PlotNumber,0),MATCH(E$3,PlotTitles,0))),$AB$8,TRUE,"")</f>
        <v/>
      </c>
      <c r="F312" s="104" t="str" cm="1">
        <f t="array" ref="F312">_xlfn.IFS(AND(A312&gt;NumberOfPlots,ISBLANK(INDEX(PlotData,MATCH($A312,PlotNumber,0),MATCH(B$3,PlotTitles,0)))),"",ISBLANK(INDEX(PlotData,MATCH($A312,PlotNumber,0),MATCH(F$3,PlotTitles,0))),$AB$9,TRUE,"")</f>
        <v/>
      </c>
      <c r="G312" s="104" t="str" cm="1">
        <f t="array" ref="G312">_xlfn.IFS(AND(A312&gt;NumberOfPlots,ISBLANK(INDEX(PlotData,MATCH($A312,PlotNumber,0),MATCH(B$3,PlotTitles,0)))),"",ISBLANK(INDEX(PlotData,MATCH($A312,PlotNumber,0),MATCH(G$3,PlotTitles,0))),$AB$10,TRUE,"")</f>
        <v/>
      </c>
      <c r="H312" s="104" t="str" cm="1">
        <f t="array" ref="H312">_xlfn.IFS(AND(A312&gt;NumberOfPlots,ISBLANK(INDEX(PlotData,MATCH($A312,PlotNumber,0),MATCH(B$3,PlotTitles,0)))),"",AND(ISBLANK(INDEX(PlotData,MATCH($A312,PlotNumber,0),MATCH(H$3,PlotTitles,0)))=FALSE,INDEX(PlotData,MATCH($A312,PlotNumber,0),MATCH(H$3,PlotTitles,0))&lt;500), $AB$11,TRUE,"")</f>
        <v/>
      </c>
      <c r="I312" s="104" t="str" cm="1">
        <f t="array" ref="I312">_xlfn.IFS(AND(A312&gt;NumberOfPlots,ISBLANK(INDEX(PlotData,MATCH($A312,PlotNumber,0),MATCH(B$3,PlotTitles,0)))),"",ISBLANK(INDEX(PlotData,MATCH($A312,PlotNumber,0),MATCH(I$3,PlotTitles,0))),$AB$12,TRUE,"")</f>
        <v/>
      </c>
      <c r="J312" s="104" t="str" cm="1">
        <f t="array" ref="J312">_xlfn.IFS(AND(A312&gt;NumberOfPlots,ISBLANK(INDEX(PlotData,MATCH($A312,PlotNumber,0),MATCH(B$3,PlotTitles,0)))),"",ISBLANK(INDEX(PlotData,MATCH($A312,PlotNumber,0),MATCH(J$3,PlotTitles,0))),$AB$13,TRUE,"")</f>
        <v/>
      </c>
      <c r="K312" s="182" t="str">
        <f t="shared" ca="1" si="12"/>
        <v/>
      </c>
      <c r="L312" s="104" t="str" cm="1">
        <f t="array" ref="L312">_xlfn.IFS(OR(ISBLANK(StartDateMonth),ISBLANK(StartDateYear)),"",AND(A312&gt;NumberOfPlots,ISBLANK(INDEX(PlotData,MATCH($A312,PlotNumber,0),MATCH(B$3,PlotTitles,0)))),"",ISBLANK(INDEX(PlotData,MATCH($A312,PlotNumber,0),MATCH(I$3,PlotTitles,0))),"",(DATEVALUE(INDEX(PlotData,MATCH($A312,PlotNumber,0),MATCH(I$3,PlotTitles,0))&amp;INDEX(PlotData,MATCH($A312,PlotNumber,0),MATCH(J$3,PlotTitles,0))))&lt;DATEVALUE(StartDateMonth&amp;StartDateYear),$AB$15,TRUE,"")</f>
        <v/>
      </c>
      <c r="M312" s="104" t="str" cm="1">
        <f t="array" ref="M312">_xlfn.IFS(OR(ISBLANK(StartDateMonth),ISBLANK(StartDateYear)),"",AND(A312&gt;NumberOfPlots,ISBLANK(INDEX(PlotData,MATCH($A312,PlotNumber,0),MATCH(B$3,PlotTitles,0)))),"",ISBLANK(INDEX(PlotData,MATCH($A312,PlotNumber,0),MATCH(I$3,PlotTitles,0))),"",CompletionMonth="","",(DATEVALUE(INDEX(PlotData,MATCH($A312,PlotNumber,0),MATCH(I$3,PlotTitles,0))&amp;INDEX(PlotData,MATCH($A312,PlotNumber,0),MATCH(J$3,PlotTitles,0))))&gt;(DATEVALUE(CompletionMonth&amp;CompletionYear)),$AB$16,TRUE,"")</f>
        <v/>
      </c>
      <c r="N312" s="104" t="str" cm="1">
        <f t="array" ref="N312">_xlfn.IFS(AND(A312&gt;NumberOfPlots,ISBLANK(INDEX(PlotData,MATCH($A312,PlotNumber,0),MATCH(B$3,PlotTitles,0)))),"",ISBLANK(INDEX(PlotData,MATCH($A312,PlotNumber,0),MATCH(N$3,PlotTitles,0))),$AB$17,TRUE,"")</f>
        <v/>
      </c>
      <c r="O312" s="104" t="str" cm="1">
        <f t="array" ref="O312">_xlfn.IFS(AND(A312&gt;NumberOfPlots,ISBLANK(INDEX(PlotData,MATCH($A312,PlotNumber,0),MATCH(B$3,PlotTitles,0)))),"",ISBLANK(INDEX(PlotData,MATCH($A312,PlotNumber,0),MATCH(O$3,PlotTitles,0))),$AB$18,TRUE,"")</f>
        <v/>
      </c>
      <c r="P312" s="182" t="str">
        <f t="shared" ca="1" si="13"/>
        <v/>
      </c>
      <c r="Q312" s="104" t="str" cm="1">
        <f t="array" ref="Q312">_xlfn.IFS(AND(A312&gt;NumberOfPlots,ISBLANK(INDEX(PlotData,MATCH($A312,PlotNumber,0),MATCH(B$3,PlotTitles,0)))),"",ISBLANK(INDEX(PlotData,MATCH($A312,PlotNumber,0),MATCH(N$3,PlotTitles,0))),"",(DATEVALUE(INDEX(PlotData,MATCH($A312,PlotNumber,0),MATCH(N$3,PlotTitles,0))&amp;INDEX(PlotData,MATCH($A312,PlotNumber,0),MATCH(O$3,PlotTitles,0))))&lt;(DATEVALUE(INDEX(PlotData,MATCH($A312,PlotNumber,0),MATCH(I$3,PlotTitles,0))&amp;INDEX(PlotData,MATCH($A312,PlotNumber,0),MATCH(J$3,PlotTitles,0)))),$AB$20,TRUE,"")</f>
        <v/>
      </c>
      <c r="R312" s="104" t="str" cm="1">
        <f t="array" ref="R312">_xlfn.IFS(OR(ISBLANK(StartDateMonth),ISBLANK(StartDateYear)),"",AND(A312&gt;NumberOfPlots,ISBLANK(INDEX(PlotData,MATCH($A312,PlotNumber,0),MATCH(B$3,PlotTitles,0)))),"",ISBLANK(INDEX(PlotData,MATCH($A312,PlotNumber,0),MATCH(N$3,PlotTitles,0))),"",CompletionMonth="","",(DATEVALUE(INDEX(PlotData,MATCH($A312,PlotNumber,0),MATCH(N$3,PlotTitles,0))&amp;INDEX(PlotData,MATCH($A312,PlotNumber,0),MATCH(O$3,PlotTitles,0))))&gt;(DATEVALUE(CompletionMonth&amp;CompletionYear)),$AB$21,TRUE,"")</f>
        <v/>
      </c>
      <c r="S312" s="104" t="str" cm="1">
        <f t="array" ref="S312">_xlfn.IFS(AND(A312&gt;NumberOfPlots,ISBLANK(INDEX(PlotData,MATCH($A312,PlotNumber,0),MATCH(B$3,PlotTitles,0)))),"",OR(AND(INDEX(PlotData,MATCH($A312,PlotNumber,0),MATCH("Tenure",PlotTitles,0))="Open market housing",INDEX(PlotData,MATCH($A312,PlotNumber,0),MATCH("Tenure detail",PlotTitles,0))="Private rented sector"),INDEX(PlotData,MATCH($A312,PlotNumber,0),MATCH("Tenure",PlotTitles,0))="Affordable rent"),"",ISNUMBER(INDEX(PlotData,MATCH($A312,PlotNumber,0),MATCH(S$3,PlotTitles,0)))=FALSE, $AB$22,TRUE,"")</f>
        <v/>
      </c>
      <c r="T312" s="104" t="str" cm="1">
        <f t="array" ref="T312">_xlfn.IFS(AND(A312&gt;NumberOfPlots,ISBLANK(INDEX(PlotData,MATCH($A312,PlotNumber,0),MATCH(B$3,PlotTitles,0)))),"",OR(AND(INDEX(PlotData,MATCH($A312,PlotNumber,0),MATCH("Tenure",PlotTitles,0))="Open market housing",INDEX(PlotData,MATCH($A312,PlotNumber,0),MATCH("Tenure detail",PlotTitles,0))="Private rented sector"),INDEX(PlotData,MATCH($A312,PlotNumber,0),MATCH("Tenure",PlotTitles,0))="Affordable rent"),"",INDEX(PlotData,MATCH($A312,PlotNumber,0),MATCH(S$3,PlotTitles,0))&lt;10000, $AB$23,TRUE,"")</f>
        <v/>
      </c>
      <c r="U312" s="104" t="str" cm="1">
        <f t="array" ref="U312">_xlfn.IFS(AND(A312&gt;NumberOfPlots,ISBLANK(INDEX(PlotData,MATCH($A312,PlotNumber,0),MATCH(B$3,PlotTitles,0)))),"",NOT(OR(AND(INDEX(PlotData,MATCH($A312,PlotNumber,0),MATCH("Tenure",PlotTitles,0))="Open market housing",INDEX(PlotData,MATCH($A312,PlotNumber,0),MATCH("Tenure detail",PlotTitles,0))="Private rented sector"),INDEX(PlotData,MATCH($A312,PlotNumber,0),MATCH("Tenure",PlotTitles,0))="Affordable rent")),"",NOT(INDEX(PlotData,MATCH($A312,PlotNumber,0),MATCH(S$3,PlotTitles,0))=0), $AB$24,TRUE,"")</f>
        <v/>
      </c>
      <c r="V312" s="114" t="str" cm="1">
        <f t="array" aca="1" ref="V312" ca="1">_xlfn.IFS(ISBLANK(NumberOfPlots),"Enter the number of homes on the 1_SetUp sheet",AND(A312&gt;NumberOfPlots,ISBLANK(INDEX(PlotData,MATCH($A312,PlotNumber,0),MATCH(B$3,PlotTitles,0)))),"No error",NOT(B312=""),B312,NOT(C312=""),C312,NOT(D312=""),D312,NOT(E312=""),E312,NOT(F312=""),F312,NOT(G312=""),G312,NOT(H312=""),H312,NOT(I312=""),I312,NOT(J312=""),J312,NOT(K312=""),K312,NOT(L312=""),L312,NOT(M312=""),M312,NOT(N312=""),N312,NOT(O312=""),O312,NOT(P312=""),P312,NOT(Q312=""),Q312,NOT(R312=""),R312,NOT(S312=""),S312,NOT(T312=""),T312,NOT(U312=""),U312,TRUE,"No error")</f>
        <v>Enter the number of homes on the 1_SetUp sheet</v>
      </c>
      <c r="W312" s="114" t="str">
        <f t="shared" ca="1" si="14"/>
        <v xml:space="preserve">The Borrower has not addressed the following error messages for Home ID 308: </v>
      </c>
    </row>
    <row r="313" spans="1:23">
      <c r="A313" s="123">
        <v>309</v>
      </c>
      <c r="B313" s="104" t="str" cm="1">
        <f t="array" ref="B313">_xlfn.IFS(AND(A313&gt;NumberOfPlots,ISBLANK(INDEX(PlotData,MATCH($A313,PlotNumber,0),MATCH(B$3,PlotTitles,0)))),"",ISNUMBER(INDEX(PlotData,MATCH($A313,PlotNumber,0),MATCH(B$3,PlotTitles,0)))=FALSE, $AB$5,TRUE,"")</f>
        <v/>
      </c>
      <c r="C313" s="104" t="str" cm="1">
        <f t="array" ref="C313">_xlfn.IFS(AND(A313&gt;NumberOfPlots,ISBLANK(INDEX(PlotData,MATCH($A313,PlotNumber,0),MATCH(B$3,PlotTitles,0)))),"",ISBLANK(INDEX(PlotData,MATCH($A313,PlotNumber,0),MATCH(C$3,PlotTitles,0))),$AB$6,TRUE,"")</f>
        <v/>
      </c>
      <c r="D313" s="104" t="str" cm="1">
        <f t="array" ref="D313">_xlfn.IFS(AND(A313&gt;NumberOfPlots,ISBLANK(INDEX(PlotData,MATCH($A313,PlotNumber,0),MATCH(B$3,PlotTitles,0)))),"",ISBLANK(INDEX(PlotData,MATCH($A313,PlotNumber,0),MATCH(D$3,PlotTitles,0))),$AB$7,TRUE,"")</f>
        <v/>
      </c>
      <c r="E313" s="104" t="str" cm="1">
        <f t="array" ref="E313">_xlfn.IFS(AND(A313&gt;NumberOfPlots,ISBLANK(INDEX(PlotData,MATCH($A313,PlotNumber,0),MATCH(B$3,PlotTitles,0)))),"",ISBLANK(INDEX(PlotData,MATCH($A313,PlotNumber,0),MATCH(E$3,PlotTitles,0))),$AB$8,TRUE,"")</f>
        <v/>
      </c>
      <c r="F313" s="104" t="str" cm="1">
        <f t="array" ref="F313">_xlfn.IFS(AND(A313&gt;NumberOfPlots,ISBLANK(INDEX(PlotData,MATCH($A313,PlotNumber,0),MATCH(B$3,PlotTitles,0)))),"",ISBLANK(INDEX(PlotData,MATCH($A313,PlotNumber,0),MATCH(F$3,PlotTitles,0))),$AB$9,TRUE,"")</f>
        <v/>
      </c>
      <c r="G313" s="104" t="str" cm="1">
        <f t="array" ref="G313">_xlfn.IFS(AND(A313&gt;NumberOfPlots,ISBLANK(INDEX(PlotData,MATCH($A313,PlotNumber,0),MATCH(B$3,PlotTitles,0)))),"",ISBLANK(INDEX(PlotData,MATCH($A313,PlotNumber,0),MATCH(G$3,PlotTitles,0))),$AB$10,TRUE,"")</f>
        <v/>
      </c>
      <c r="H313" s="104" t="str" cm="1">
        <f t="array" ref="H313">_xlfn.IFS(AND(A313&gt;NumberOfPlots,ISBLANK(INDEX(PlotData,MATCH($A313,PlotNumber,0),MATCH(B$3,PlotTitles,0)))),"",AND(ISBLANK(INDEX(PlotData,MATCH($A313,PlotNumber,0),MATCH(H$3,PlotTitles,0)))=FALSE,INDEX(PlotData,MATCH($A313,PlotNumber,0),MATCH(H$3,PlotTitles,0))&lt;500), $AB$11,TRUE,"")</f>
        <v/>
      </c>
      <c r="I313" s="104" t="str" cm="1">
        <f t="array" ref="I313">_xlfn.IFS(AND(A313&gt;NumberOfPlots,ISBLANK(INDEX(PlotData,MATCH($A313,PlotNumber,0),MATCH(B$3,PlotTitles,0)))),"",ISBLANK(INDEX(PlotData,MATCH($A313,PlotNumber,0),MATCH(I$3,PlotTitles,0))),$AB$12,TRUE,"")</f>
        <v/>
      </c>
      <c r="J313" s="104" t="str" cm="1">
        <f t="array" ref="J313">_xlfn.IFS(AND(A313&gt;NumberOfPlots,ISBLANK(INDEX(PlotData,MATCH($A313,PlotNumber,0),MATCH(B$3,PlotTitles,0)))),"",ISBLANK(INDEX(PlotData,MATCH($A313,PlotNumber,0),MATCH(J$3,PlotTitles,0))),$AB$13,TRUE,"")</f>
        <v/>
      </c>
      <c r="K313" s="182" t="str">
        <f t="shared" ca="1" si="12"/>
        <v/>
      </c>
      <c r="L313" s="104" t="str" cm="1">
        <f t="array" ref="L313">_xlfn.IFS(OR(ISBLANK(StartDateMonth),ISBLANK(StartDateYear)),"",AND(A313&gt;NumberOfPlots,ISBLANK(INDEX(PlotData,MATCH($A313,PlotNumber,0),MATCH(B$3,PlotTitles,0)))),"",ISBLANK(INDEX(PlotData,MATCH($A313,PlotNumber,0),MATCH(I$3,PlotTitles,0))),"",(DATEVALUE(INDEX(PlotData,MATCH($A313,PlotNumber,0),MATCH(I$3,PlotTitles,0))&amp;INDEX(PlotData,MATCH($A313,PlotNumber,0),MATCH(J$3,PlotTitles,0))))&lt;DATEVALUE(StartDateMonth&amp;StartDateYear),$AB$15,TRUE,"")</f>
        <v/>
      </c>
      <c r="M313" s="104" t="str" cm="1">
        <f t="array" ref="M313">_xlfn.IFS(OR(ISBLANK(StartDateMonth),ISBLANK(StartDateYear)),"",AND(A313&gt;NumberOfPlots,ISBLANK(INDEX(PlotData,MATCH($A313,PlotNumber,0),MATCH(B$3,PlotTitles,0)))),"",ISBLANK(INDEX(PlotData,MATCH($A313,PlotNumber,0),MATCH(I$3,PlotTitles,0))),"",CompletionMonth="","",(DATEVALUE(INDEX(PlotData,MATCH($A313,PlotNumber,0),MATCH(I$3,PlotTitles,0))&amp;INDEX(PlotData,MATCH($A313,PlotNumber,0),MATCH(J$3,PlotTitles,0))))&gt;(DATEVALUE(CompletionMonth&amp;CompletionYear)),$AB$16,TRUE,"")</f>
        <v/>
      </c>
      <c r="N313" s="104" t="str" cm="1">
        <f t="array" ref="N313">_xlfn.IFS(AND(A313&gt;NumberOfPlots,ISBLANK(INDEX(PlotData,MATCH($A313,PlotNumber,0),MATCH(B$3,PlotTitles,0)))),"",ISBLANK(INDEX(PlotData,MATCH($A313,PlotNumber,0),MATCH(N$3,PlotTitles,0))),$AB$17,TRUE,"")</f>
        <v/>
      </c>
      <c r="O313" s="104" t="str" cm="1">
        <f t="array" ref="O313">_xlfn.IFS(AND(A313&gt;NumberOfPlots,ISBLANK(INDEX(PlotData,MATCH($A313,PlotNumber,0),MATCH(B$3,PlotTitles,0)))),"",ISBLANK(INDEX(PlotData,MATCH($A313,PlotNumber,0),MATCH(O$3,PlotTitles,0))),$AB$18,TRUE,"")</f>
        <v/>
      </c>
      <c r="P313" s="182" t="str">
        <f t="shared" ca="1" si="13"/>
        <v/>
      </c>
      <c r="Q313" s="104" t="str" cm="1">
        <f t="array" ref="Q313">_xlfn.IFS(AND(A313&gt;NumberOfPlots,ISBLANK(INDEX(PlotData,MATCH($A313,PlotNumber,0),MATCH(B$3,PlotTitles,0)))),"",ISBLANK(INDEX(PlotData,MATCH($A313,PlotNumber,0),MATCH(N$3,PlotTitles,0))),"",(DATEVALUE(INDEX(PlotData,MATCH($A313,PlotNumber,0),MATCH(N$3,PlotTitles,0))&amp;INDEX(PlotData,MATCH($A313,PlotNumber,0),MATCH(O$3,PlotTitles,0))))&lt;(DATEVALUE(INDEX(PlotData,MATCH($A313,PlotNumber,0),MATCH(I$3,PlotTitles,0))&amp;INDEX(PlotData,MATCH($A313,PlotNumber,0),MATCH(J$3,PlotTitles,0)))),$AB$20,TRUE,"")</f>
        <v/>
      </c>
      <c r="R313" s="104" t="str" cm="1">
        <f t="array" ref="R313">_xlfn.IFS(OR(ISBLANK(StartDateMonth),ISBLANK(StartDateYear)),"",AND(A313&gt;NumberOfPlots,ISBLANK(INDEX(PlotData,MATCH($A313,PlotNumber,0),MATCH(B$3,PlotTitles,0)))),"",ISBLANK(INDEX(PlotData,MATCH($A313,PlotNumber,0),MATCH(N$3,PlotTitles,0))),"",CompletionMonth="","",(DATEVALUE(INDEX(PlotData,MATCH($A313,PlotNumber,0),MATCH(N$3,PlotTitles,0))&amp;INDEX(PlotData,MATCH($A313,PlotNumber,0),MATCH(O$3,PlotTitles,0))))&gt;(DATEVALUE(CompletionMonth&amp;CompletionYear)),$AB$21,TRUE,"")</f>
        <v/>
      </c>
      <c r="S313" s="104" t="str" cm="1">
        <f t="array" ref="S313">_xlfn.IFS(AND(A313&gt;NumberOfPlots,ISBLANK(INDEX(PlotData,MATCH($A313,PlotNumber,0),MATCH(B$3,PlotTitles,0)))),"",OR(AND(INDEX(PlotData,MATCH($A313,PlotNumber,0),MATCH("Tenure",PlotTitles,0))="Open market housing",INDEX(PlotData,MATCH($A313,PlotNumber,0),MATCH("Tenure detail",PlotTitles,0))="Private rented sector"),INDEX(PlotData,MATCH($A313,PlotNumber,0),MATCH("Tenure",PlotTitles,0))="Affordable rent"),"",ISNUMBER(INDEX(PlotData,MATCH($A313,PlotNumber,0),MATCH(S$3,PlotTitles,0)))=FALSE, $AB$22,TRUE,"")</f>
        <v/>
      </c>
      <c r="T313" s="104" t="str" cm="1">
        <f t="array" ref="T313">_xlfn.IFS(AND(A313&gt;NumberOfPlots,ISBLANK(INDEX(PlotData,MATCH($A313,PlotNumber,0),MATCH(B$3,PlotTitles,0)))),"",OR(AND(INDEX(PlotData,MATCH($A313,PlotNumber,0),MATCH("Tenure",PlotTitles,0))="Open market housing",INDEX(PlotData,MATCH($A313,PlotNumber,0),MATCH("Tenure detail",PlotTitles,0))="Private rented sector"),INDEX(PlotData,MATCH($A313,PlotNumber,0),MATCH("Tenure",PlotTitles,0))="Affordable rent"),"",INDEX(PlotData,MATCH($A313,PlotNumber,0),MATCH(S$3,PlotTitles,0))&lt;10000, $AB$23,TRUE,"")</f>
        <v/>
      </c>
      <c r="U313" s="104" t="str" cm="1">
        <f t="array" ref="U313">_xlfn.IFS(AND(A313&gt;NumberOfPlots,ISBLANK(INDEX(PlotData,MATCH($A313,PlotNumber,0),MATCH(B$3,PlotTitles,0)))),"",NOT(OR(AND(INDEX(PlotData,MATCH($A313,PlotNumber,0),MATCH("Tenure",PlotTitles,0))="Open market housing",INDEX(PlotData,MATCH($A313,PlotNumber,0),MATCH("Tenure detail",PlotTitles,0))="Private rented sector"),INDEX(PlotData,MATCH($A313,PlotNumber,0),MATCH("Tenure",PlotTitles,0))="Affordable rent")),"",NOT(INDEX(PlotData,MATCH($A313,PlotNumber,0),MATCH(S$3,PlotTitles,0))=0), $AB$24,TRUE,"")</f>
        <v/>
      </c>
      <c r="V313" s="114" t="str" cm="1">
        <f t="array" aca="1" ref="V313" ca="1">_xlfn.IFS(ISBLANK(NumberOfPlots),"Enter the number of homes on the 1_SetUp sheet",AND(A313&gt;NumberOfPlots,ISBLANK(INDEX(PlotData,MATCH($A313,PlotNumber,0),MATCH(B$3,PlotTitles,0)))),"No error",NOT(B313=""),B313,NOT(C313=""),C313,NOT(D313=""),D313,NOT(E313=""),E313,NOT(F313=""),F313,NOT(G313=""),G313,NOT(H313=""),H313,NOT(I313=""),I313,NOT(J313=""),J313,NOT(K313=""),K313,NOT(L313=""),L313,NOT(M313=""),M313,NOT(N313=""),N313,NOT(O313=""),O313,NOT(P313=""),P313,NOT(Q313=""),Q313,NOT(R313=""),R313,NOT(S313=""),S313,NOT(T313=""),T313,NOT(U313=""),U313,TRUE,"No error")</f>
        <v>Enter the number of homes on the 1_SetUp sheet</v>
      </c>
      <c r="W313" s="114" t="str">
        <f t="shared" ca="1" si="14"/>
        <v xml:space="preserve">The Borrower has not addressed the following error messages for Home ID 309: </v>
      </c>
    </row>
    <row r="314" spans="1:23">
      <c r="A314" s="123">
        <v>310</v>
      </c>
      <c r="B314" s="104" t="str" cm="1">
        <f t="array" ref="B314">_xlfn.IFS(AND(A314&gt;NumberOfPlots,ISBLANK(INDEX(PlotData,MATCH($A314,PlotNumber,0),MATCH(B$3,PlotTitles,0)))),"",ISNUMBER(INDEX(PlotData,MATCH($A314,PlotNumber,0),MATCH(B$3,PlotTitles,0)))=FALSE, $AB$5,TRUE,"")</f>
        <v/>
      </c>
      <c r="C314" s="104" t="str" cm="1">
        <f t="array" ref="C314">_xlfn.IFS(AND(A314&gt;NumberOfPlots,ISBLANK(INDEX(PlotData,MATCH($A314,PlotNumber,0),MATCH(B$3,PlotTitles,0)))),"",ISBLANK(INDEX(PlotData,MATCH($A314,PlotNumber,0),MATCH(C$3,PlotTitles,0))),$AB$6,TRUE,"")</f>
        <v/>
      </c>
      <c r="D314" s="104" t="str" cm="1">
        <f t="array" ref="D314">_xlfn.IFS(AND(A314&gt;NumberOfPlots,ISBLANK(INDEX(PlotData,MATCH($A314,PlotNumber,0),MATCH(B$3,PlotTitles,0)))),"",ISBLANK(INDEX(PlotData,MATCH($A314,PlotNumber,0),MATCH(D$3,PlotTitles,0))),$AB$7,TRUE,"")</f>
        <v/>
      </c>
      <c r="E314" s="104" t="str" cm="1">
        <f t="array" ref="E314">_xlfn.IFS(AND(A314&gt;NumberOfPlots,ISBLANK(INDEX(PlotData,MATCH($A314,PlotNumber,0),MATCH(B$3,PlotTitles,0)))),"",ISBLANK(INDEX(PlotData,MATCH($A314,PlotNumber,0),MATCH(E$3,PlotTitles,0))),$AB$8,TRUE,"")</f>
        <v/>
      </c>
      <c r="F314" s="104" t="str" cm="1">
        <f t="array" ref="F314">_xlfn.IFS(AND(A314&gt;NumberOfPlots,ISBLANK(INDEX(PlotData,MATCH($A314,PlotNumber,0),MATCH(B$3,PlotTitles,0)))),"",ISBLANK(INDEX(PlotData,MATCH($A314,PlotNumber,0),MATCH(F$3,PlotTitles,0))),$AB$9,TRUE,"")</f>
        <v/>
      </c>
      <c r="G314" s="104" t="str" cm="1">
        <f t="array" ref="G314">_xlfn.IFS(AND(A314&gt;NumberOfPlots,ISBLANK(INDEX(PlotData,MATCH($A314,PlotNumber,0),MATCH(B$3,PlotTitles,0)))),"",ISBLANK(INDEX(PlotData,MATCH($A314,PlotNumber,0),MATCH(G$3,PlotTitles,0))),$AB$10,TRUE,"")</f>
        <v/>
      </c>
      <c r="H314" s="104" t="str" cm="1">
        <f t="array" ref="H314">_xlfn.IFS(AND(A314&gt;NumberOfPlots,ISBLANK(INDEX(PlotData,MATCH($A314,PlotNumber,0),MATCH(B$3,PlotTitles,0)))),"",AND(ISBLANK(INDEX(PlotData,MATCH($A314,PlotNumber,0),MATCH(H$3,PlotTitles,0)))=FALSE,INDEX(PlotData,MATCH($A314,PlotNumber,0),MATCH(H$3,PlotTitles,0))&lt;500), $AB$11,TRUE,"")</f>
        <v/>
      </c>
      <c r="I314" s="104" t="str" cm="1">
        <f t="array" ref="I314">_xlfn.IFS(AND(A314&gt;NumberOfPlots,ISBLANK(INDEX(PlotData,MATCH($A314,PlotNumber,0),MATCH(B$3,PlotTitles,0)))),"",ISBLANK(INDEX(PlotData,MATCH($A314,PlotNumber,0),MATCH(I$3,PlotTitles,0))),$AB$12,TRUE,"")</f>
        <v/>
      </c>
      <c r="J314" s="104" t="str" cm="1">
        <f t="array" ref="J314">_xlfn.IFS(AND(A314&gt;NumberOfPlots,ISBLANK(INDEX(PlotData,MATCH($A314,PlotNumber,0),MATCH(B$3,PlotTitles,0)))),"",ISBLANK(INDEX(PlotData,MATCH($A314,PlotNumber,0),MATCH(J$3,PlotTitles,0))),$AB$13,TRUE,"")</f>
        <v/>
      </c>
      <c r="K314" s="182" t="str">
        <f t="shared" ca="1" si="12"/>
        <v/>
      </c>
      <c r="L314" s="104" t="str" cm="1">
        <f t="array" ref="L314">_xlfn.IFS(OR(ISBLANK(StartDateMonth),ISBLANK(StartDateYear)),"",AND(A314&gt;NumberOfPlots,ISBLANK(INDEX(PlotData,MATCH($A314,PlotNumber,0),MATCH(B$3,PlotTitles,0)))),"",ISBLANK(INDEX(PlotData,MATCH($A314,PlotNumber,0),MATCH(I$3,PlotTitles,0))),"",(DATEVALUE(INDEX(PlotData,MATCH($A314,PlotNumber,0),MATCH(I$3,PlotTitles,0))&amp;INDEX(PlotData,MATCH($A314,PlotNumber,0),MATCH(J$3,PlotTitles,0))))&lt;DATEVALUE(StartDateMonth&amp;StartDateYear),$AB$15,TRUE,"")</f>
        <v/>
      </c>
      <c r="M314" s="104" t="str" cm="1">
        <f t="array" ref="M314">_xlfn.IFS(OR(ISBLANK(StartDateMonth),ISBLANK(StartDateYear)),"",AND(A314&gt;NumberOfPlots,ISBLANK(INDEX(PlotData,MATCH($A314,PlotNumber,0),MATCH(B$3,PlotTitles,0)))),"",ISBLANK(INDEX(PlotData,MATCH($A314,PlotNumber,0),MATCH(I$3,PlotTitles,0))),"",CompletionMonth="","",(DATEVALUE(INDEX(PlotData,MATCH($A314,PlotNumber,0),MATCH(I$3,PlotTitles,0))&amp;INDEX(PlotData,MATCH($A314,PlotNumber,0),MATCH(J$3,PlotTitles,0))))&gt;(DATEVALUE(CompletionMonth&amp;CompletionYear)),$AB$16,TRUE,"")</f>
        <v/>
      </c>
      <c r="N314" s="104" t="str" cm="1">
        <f t="array" ref="N314">_xlfn.IFS(AND(A314&gt;NumberOfPlots,ISBLANK(INDEX(PlotData,MATCH($A314,PlotNumber,0),MATCH(B$3,PlotTitles,0)))),"",ISBLANK(INDEX(PlotData,MATCH($A314,PlotNumber,0),MATCH(N$3,PlotTitles,0))),$AB$17,TRUE,"")</f>
        <v/>
      </c>
      <c r="O314" s="104" t="str" cm="1">
        <f t="array" ref="O314">_xlfn.IFS(AND(A314&gt;NumberOfPlots,ISBLANK(INDEX(PlotData,MATCH($A314,PlotNumber,0),MATCH(B$3,PlotTitles,0)))),"",ISBLANK(INDEX(PlotData,MATCH($A314,PlotNumber,0),MATCH(O$3,PlotTitles,0))),$AB$18,TRUE,"")</f>
        <v/>
      </c>
      <c r="P314" s="182" t="str">
        <f t="shared" ca="1" si="13"/>
        <v/>
      </c>
      <c r="Q314" s="104" t="str" cm="1">
        <f t="array" ref="Q314">_xlfn.IFS(AND(A314&gt;NumberOfPlots,ISBLANK(INDEX(PlotData,MATCH($A314,PlotNumber,0),MATCH(B$3,PlotTitles,0)))),"",ISBLANK(INDEX(PlotData,MATCH($A314,PlotNumber,0),MATCH(N$3,PlotTitles,0))),"",(DATEVALUE(INDEX(PlotData,MATCH($A314,PlotNumber,0),MATCH(N$3,PlotTitles,0))&amp;INDEX(PlotData,MATCH($A314,PlotNumber,0),MATCH(O$3,PlotTitles,0))))&lt;(DATEVALUE(INDEX(PlotData,MATCH($A314,PlotNumber,0),MATCH(I$3,PlotTitles,0))&amp;INDEX(PlotData,MATCH($A314,PlotNumber,0),MATCH(J$3,PlotTitles,0)))),$AB$20,TRUE,"")</f>
        <v/>
      </c>
      <c r="R314" s="104" t="str" cm="1">
        <f t="array" ref="R314">_xlfn.IFS(OR(ISBLANK(StartDateMonth),ISBLANK(StartDateYear)),"",AND(A314&gt;NumberOfPlots,ISBLANK(INDEX(PlotData,MATCH($A314,PlotNumber,0),MATCH(B$3,PlotTitles,0)))),"",ISBLANK(INDEX(PlotData,MATCH($A314,PlotNumber,0),MATCH(N$3,PlotTitles,0))),"",CompletionMonth="","",(DATEVALUE(INDEX(PlotData,MATCH($A314,PlotNumber,0),MATCH(N$3,PlotTitles,0))&amp;INDEX(PlotData,MATCH($A314,PlotNumber,0),MATCH(O$3,PlotTitles,0))))&gt;(DATEVALUE(CompletionMonth&amp;CompletionYear)),$AB$21,TRUE,"")</f>
        <v/>
      </c>
      <c r="S314" s="104" t="str" cm="1">
        <f t="array" ref="S314">_xlfn.IFS(AND(A314&gt;NumberOfPlots,ISBLANK(INDEX(PlotData,MATCH($A314,PlotNumber,0),MATCH(B$3,PlotTitles,0)))),"",OR(AND(INDEX(PlotData,MATCH($A314,PlotNumber,0),MATCH("Tenure",PlotTitles,0))="Open market housing",INDEX(PlotData,MATCH($A314,PlotNumber,0),MATCH("Tenure detail",PlotTitles,0))="Private rented sector"),INDEX(PlotData,MATCH($A314,PlotNumber,0),MATCH("Tenure",PlotTitles,0))="Affordable rent"),"",ISNUMBER(INDEX(PlotData,MATCH($A314,PlotNumber,0),MATCH(S$3,PlotTitles,0)))=FALSE, $AB$22,TRUE,"")</f>
        <v/>
      </c>
      <c r="T314" s="104" t="str" cm="1">
        <f t="array" ref="T314">_xlfn.IFS(AND(A314&gt;NumberOfPlots,ISBLANK(INDEX(PlotData,MATCH($A314,PlotNumber,0),MATCH(B$3,PlotTitles,0)))),"",OR(AND(INDEX(PlotData,MATCH($A314,PlotNumber,0),MATCH("Tenure",PlotTitles,0))="Open market housing",INDEX(PlotData,MATCH($A314,PlotNumber,0),MATCH("Tenure detail",PlotTitles,0))="Private rented sector"),INDEX(PlotData,MATCH($A314,PlotNumber,0),MATCH("Tenure",PlotTitles,0))="Affordable rent"),"",INDEX(PlotData,MATCH($A314,PlotNumber,0),MATCH(S$3,PlotTitles,0))&lt;10000, $AB$23,TRUE,"")</f>
        <v/>
      </c>
      <c r="U314" s="104" t="str" cm="1">
        <f t="array" ref="U314">_xlfn.IFS(AND(A314&gt;NumberOfPlots,ISBLANK(INDEX(PlotData,MATCH($A314,PlotNumber,0),MATCH(B$3,PlotTitles,0)))),"",NOT(OR(AND(INDEX(PlotData,MATCH($A314,PlotNumber,0),MATCH("Tenure",PlotTitles,0))="Open market housing",INDEX(PlotData,MATCH($A314,PlotNumber,0),MATCH("Tenure detail",PlotTitles,0))="Private rented sector"),INDEX(PlotData,MATCH($A314,PlotNumber,0),MATCH("Tenure",PlotTitles,0))="Affordable rent")),"",NOT(INDEX(PlotData,MATCH($A314,PlotNumber,0),MATCH(S$3,PlotTitles,0))=0), $AB$24,TRUE,"")</f>
        <v/>
      </c>
      <c r="V314" s="114" t="str" cm="1">
        <f t="array" aca="1" ref="V314" ca="1">_xlfn.IFS(ISBLANK(NumberOfPlots),"Enter the number of homes on the 1_SetUp sheet",AND(A314&gt;NumberOfPlots,ISBLANK(INDEX(PlotData,MATCH($A314,PlotNumber,0),MATCH(B$3,PlotTitles,0)))),"No error",NOT(B314=""),B314,NOT(C314=""),C314,NOT(D314=""),D314,NOT(E314=""),E314,NOT(F314=""),F314,NOT(G314=""),G314,NOT(H314=""),H314,NOT(I314=""),I314,NOT(J314=""),J314,NOT(K314=""),K314,NOT(L314=""),L314,NOT(M314=""),M314,NOT(N314=""),N314,NOT(O314=""),O314,NOT(P314=""),P314,NOT(Q314=""),Q314,NOT(R314=""),R314,NOT(S314=""),S314,NOT(T314=""),T314,NOT(U314=""),U314,TRUE,"No error")</f>
        <v>Enter the number of homes on the 1_SetUp sheet</v>
      </c>
      <c r="W314" s="114" t="str">
        <f t="shared" ca="1" si="14"/>
        <v xml:space="preserve">The Borrower has not addressed the following error messages for Home ID 310: </v>
      </c>
    </row>
    <row r="315" spans="1:23">
      <c r="A315" s="123">
        <v>311</v>
      </c>
      <c r="B315" s="104" t="str" cm="1">
        <f t="array" ref="B315">_xlfn.IFS(AND(A315&gt;NumberOfPlots,ISBLANK(INDEX(PlotData,MATCH($A315,PlotNumber,0),MATCH(B$3,PlotTitles,0)))),"",ISNUMBER(INDEX(PlotData,MATCH($A315,PlotNumber,0),MATCH(B$3,PlotTitles,0)))=FALSE, $AB$5,TRUE,"")</f>
        <v/>
      </c>
      <c r="C315" s="104" t="str" cm="1">
        <f t="array" ref="C315">_xlfn.IFS(AND(A315&gt;NumberOfPlots,ISBLANK(INDEX(PlotData,MATCH($A315,PlotNumber,0),MATCH(B$3,PlotTitles,0)))),"",ISBLANK(INDEX(PlotData,MATCH($A315,PlotNumber,0),MATCH(C$3,PlotTitles,0))),$AB$6,TRUE,"")</f>
        <v/>
      </c>
      <c r="D315" s="104" t="str" cm="1">
        <f t="array" ref="D315">_xlfn.IFS(AND(A315&gt;NumberOfPlots,ISBLANK(INDEX(PlotData,MATCH($A315,PlotNumber,0),MATCH(B$3,PlotTitles,0)))),"",ISBLANK(INDEX(PlotData,MATCH($A315,PlotNumber,0),MATCH(D$3,PlotTitles,0))),$AB$7,TRUE,"")</f>
        <v/>
      </c>
      <c r="E315" s="104" t="str" cm="1">
        <f t="array" ref="E315">_xlfn.IFS(AND(A315&gt;NumberOfPlots,ISBLANK(INDEX(PlotData,MATCH($A315,PlotNumber,0),MATCH(B$3,PlotTitles,0)))),"",ISBLANK(INDEX(PlotData,MATCH($A315,PlotNumber,0),MATCH(E$3,PlotTitles,0))),$AB$8,TRUE,"")</f>
        <v/>
      </c>
      <c r="F315" s="104" t="str" cm="1">
        <f t="array" ref="F315">_xlfn.IFS(AND(A315&gt;NumberOfPlots,ISBLANK(INDEX(PlotData,MATCH($A315,PlotNumber,0),MATCH(B$3,PlotTitles,0)))),"",ISBLANK(INDEX(PlotData,MATCH($A315,PlotNumber,0),MATCH(F$3,PlotTitles,0))),$AB$9,TRUE,"")</f>
        <v/>
      </c>
      <c r="G315" s="104" t="str" cm="1">
        <f t="array" ref="G315">_xlfn.IFS(AND(A315&gt;NumberOfPlots,ISBLANK(INDEX(PlotData,MATCH($A315,PlotNumber,0),MATCH(B$3,PlotTitles,0)))),"",ISBLANK(INDEX(PlotData,MATCH($A315,PlotNumber,0),MATCH(G$3,PlotTitles,0))),$AB$10,TRUE,"")</f>
        <v/>
      </c>
      <c r="H315" s="104" t="str" cm="1">
        <f t="array" ref="H315">_xlfn.IFS(AND(A315&gt;NumberOfPlots,ISBLANK(INDEX(PlotData,MATCH($A315,PlotNumber,0),MATCH(B$3,PlotTitles,0)))),"",AND(ISBLANK(INDEX(PlotData,MATCH($A315,PlotNumber,0),MATCH(H$3,PlotTitles,0)))=FALSE,INDEX(PlotData,MATCH($A315,PlotNumber,0),MATCH(H$3,PlotTitles,0))&lt;500), $AB$11,TRUE,"")</f>
        <v/>
      </c>
      <c r="I315" s="104" t="str" cm="1">
        <f t="array" ref="I315">_xlfn.IFS(AND(A315&gt;NumberOfPlots,ISBLANK(INDEX(PlotData,MATCH($A315,PlotNumber,0),MATCH(B$3,PlotTitles,0)))),"",ISBLANK(INDEX(PlotData,MATCH($A315,PlotNumber,0),MATCH(I$3,PlotTitles,0))),$AB$12,TRUE,"")</f>
        <v/>
      </c>
      <c r="J315" s="104" t="str" cm="1">
        <f t="array" ref="J315">_xlfn.IFS(AND(A315&gt;NumberOfPlots,ISBLANK(INDEX(PlotData,MATCH($A315,PlotNumber,0),MATCH(B$3,PlotTitles,0)))),"",ISBLANK(INDEX(PlotData,MATCH($A315,PlotNumber,0),MATCH(J$3,PlotTitles,0))),$AB$13,TRUE,"")</f>
        <v/>
      </c>
      <c r="K315" s="182" t="str">
        <f t="shared" ca="1" si="12"/>
        <v/>
      </c>
      <c r="L315" s="104" t="str" cm="1">
        <f t="array" ref="L315">_xlfn.IFS(OR(ISBLANK(StartDateMonth),ISBLANK(StartDateYear)),"",AND(A315&gt;NumberOfPlots,ISBLANK(INDEX(PlotData,MATCH($A315,PlotNumber,0),MATCH(B$3,PlotTitles,0)))),"",ISBLANK(INDEX(PlotData,MATCH($A315,PlotNumber,0),MATCH(I$3,PlotTitles,0))),"",(DATEVALUE(INDEX(PlotData,MATCH($A315,PlotNumber,0),MATCH(I$3,PlotTitles,0))&amp;INDEX(PlotData,MATCH($A315,PlotNumber,0),MATCH(J$3,PlotTitles,0))))&lt;DATEVALUE(StartDateMonth&amp;StartDateYear),$AB$15,TRUE,"")</f>
        <v/>
      </c>
      <c r="M315" s="104" t="str" cm="1">
        <f t="array" ref="M315">_xlfn.IFS(OR(ISBLANK(StartDateMonth),ISBLANK(StartDateYear)),"",AND(A315&gt;NumberOfPlots,ISBLANK(INDEX(PlotData,MATCH($A315,PlotNumber,0),MATCH(B$3,PlotTitles,0)))),"",ISBLANK(INDEX(PlotData,MATCH($A315,PlotNumber,0),MATCH(I$3,PlotTitles,0))),"",CompletionMonth="","",(DATEVALUE(INDEX(PlotData,MATCH($A315,PlotNumber,0),MATCH(I$3,PlotTitles,0))&amp;INDEX(PlotData,MATCH($A315,PlotNumber,0),MATCH(J$3,PlotTitles,0))))&gt;(DATEVALUE(CompletionMonth&amp;CompletionYear)),$AB$16,TRUE,"")</f>
        <v/>
      </c>
      <c r="N315" s="104" t="str" cm="1">
        <f t="array" ref="N315">_xlfn.IFS(AND(A315&gt;NumberOfPlots,ISBLANK(INDEX(PlotData,MATCH($A315,PlotNumber,0),MATCH(B$3,PlotTitles,0)))),"",ISBLANK(INDEX(PlotData,MATCH($A315,PlotNumber,0),MATCH(N$3,PlotTitles,0))),$AB$17,TRUE,"")</f>
        <v/>
      </c>
      <c r="O315" s="104" t="str" cm="1">
        <f t="array" ref="O315">_xlfn.IFS(AND(A315&gt;NumberOfPlots,ISBLANK(INDEX(PlotData,MATCH($A315,PlotNumber,0),MATCH(B$3,PlotTitles,0)))),"",ISBLANK(INDEX(PlotData,MATCH($A315,PlotNumber,0),MATCH(O$3,PlotTitles,0))),$AB$18,TRUE,"")</f>
        <v/>
      </c>
      <c r="P315" s="182" t="str">
        <f t="shared" ca="1" si="13"/>
        <v/>
      </c>
      <c r="Q315" s="104" t="str" cm="1">
        <f t="array" ref="Q315">_xlfn.IFS(AND(A315&gt;NumberOfPlots,ISBLANK(INDEX(PlotData,MATCH($A315,PlotNumber,0),MATCH(B$3,PlotTitles,0)))),"",ISBLANK(INDEX(PlotData,MATCH($A315,PlotNumber,0),MATCH(N$3,PlotTitles,0))),"",(DATEVALUE(INDEX(PlotData,MATCH($A315,PlotNumber,0),MATCH(N$3,PlotTitles,0))&amp;INDEX(PlotData,MATCH($A315,PlotNumber,0),MATCH(O$3,PlotTitles,0))))&lt;(DATEVALUE(INDEX(PlotData,MATCH($A315,PlotNumber,0),MATCH(I$3,PlotTitles,0))&amp;INDEX(PlotData,MATCH($A315,PlotNumber,0),MATCH(J$3,PlotTitles,0)))),$AB$20,TRUE,"")</f>
        <v/>
      </c>
      <c r="R315" s="104" t="str" cm="1">
        <f t="array" ref="R315">_xlfn.IFS(OR(ISBLANK(StartDateMonth),ISBLANK(StartDateYear)),"",AND(A315&gt;NumberOfPlots,ISBLANK(INDEX(PlotData,MATCH($A315,PlotNumber,0),MATCH(B$3,PlotTitles,0)))),"",ISBLANK(INDEX(PlotData,MATCH($A315,PlotNumber,0),MATCH(N$3,PlotTitles,0))),"",CompletionMonth="","",(DATEVALUE(INDEX(PlotData,MATCH($A315,PlotNumber,0),MATCH(N$3,PlotTitles,0))&amp;INDEX(PlotData,MATCH($A315,PlotNumber,0),MATCH(O$3,PlotTitles,0))))&gt;(DATEVALUE(CompletionMonth&amp;CompletionYear)),$AB$21,TRUE,"")</f>
        <v/>
      </c>
      <c r="S315" s="104" t="str" cm="1">
        <f t="array" ref="S315">_xlfn.IFS(AND(A315&gt;NumberOfPlots,ISBLANK(INDEX(PlotData,MATCH($A315,PlotNumber,0),MATCH(B$3,PlotTitles,0)))),"",OR(AND(INDEX(PlotData,MATCH($A315,PlotNumber,0),MATCH("Tenure",PlotTitles,0))="Open market housing",INDEX(PlotData,MATCH($A315,PlotNumber,0),MATCH("Tenure detail",PlotTitles,0))="Private rented sector"),INDEX(PlotData,MATCH($A315,PlotNumber,0),MATCH("Tenure",PlotTitles,0))="Affordable rent"),"",ISNUMBER(INDEX(PlotData,MATCH($A315,PlotNumber,0),MATCH(S$3,PlotTitles,0)))=FALSE, $AB$22,TRUE,"")</f>
        <v/>
      </c>
      <c r="T315" s="104" t="str" cm="1">
        <f t="array" ref="T315">_xlfn.IFS(AND(A315&gt;NumberOfPlots,ISBLANK(INDEX(PlotData,MATCH($A315,PlotNumber,0),MATCH(B$3,PlotTitles,0)))),"",OR(AND(INDEX(PlotData,MATCH($A315,PlotNumber,0),MATCH("Tenure",PlotTitles,0))="Open market housing",INDEX(PlotData,MATCH($A315,PlotNumber,0),MATCH("Tenure detail",PlotTitles,0))="Private rented sector"),INDEX(PlotData,MATCH($A315,PlotNumber,0),MATCH("Tenure",PlotTitles,0))="Affordable rent"),"",INDEX(PlotData,MATCH($A315,PlotNumber,0),MATCH(S$3,PlotTitles,0))&lt;10000, $AB$23,TRUE,"")</f>
        <v/>
      </c>
      <c r="U315" s="104" t="str" cm="1">
        <f t="array" ref="U315">_xlfn.IFS(AND(A315&gt;NumberOfPlots,ISBLANK(INDEX(PlotData,MATCH($A315,PlotNumber,0),MATCH(B$3,PlotTitles,0)))),"",NOT(OR(AND(INDEX(PlotData,MATCH($A315,PlotNumber,0),MATCH("Tenure",PlotTitles,0))="Open market housing",INDEX(PlotData,MATCH($A315,PlotNumber,0),MATCH("Tenure detail",PlotTitles,0))="Private rented sector"),INDEX(PlotData,MATCH($A315,PlotNumber,0),MATCH("Tenure",PlotTitles,0))="Affordable rent")),"",NOT(INDEX(PlotData,MATCH($A315,PlotNumber,0),MATCH(S$3,PlotTitles,0))=0), $AB$24,TRUE,"")</f>
        <v/>
      </c>
      <c r="V315" s="114" t="str" cm="1">
        <f t="array" aca="1" ref="V315" ca="1">_xlfn.IFS(ISBLANK(NumberOfPlots),"Enter the number of homes on the 1_SetUp sheet",AND(A315&gt;NumberOfPlots,ISBLANK(INDEX(PlotData,MATCH($A315,PlotNumber,0),MATCH(B$3,PlotTitles,0)))),"No error",NOT(B315=""),B315,NOT(C315=""),C315,NOT(D315=""),D315,NOT(E315=""),E315,NOT(F315=""),F315,NOT(G315=""),G315,NOT(H315=""),H315,NOT(I315=""),I315,NOT(J315=""),J315,NOT(K315=""),K315,NOT(L315=""),L315,NOT(M315=""),M315,NOT(N315=""),N315,NOT(O315=""),O315,NOT(P315=""),P315,NOT(Q315=""),Q315,NOT(R315=""),R315,NOT(S315=""),S315,NOT(T315=""),T315,NOT(U315=""),U315,TRUE,"No error")</f>
        <v>Enter the number of homes on the 1_SetUp sheet</v>
      </c>
      <c r="W315" s="114" t="str">
        <f t="shared" ca="1" si="14"/>
        <v xml:space="preserve">The Borrower has not addressed the following error messages for Home ID 311: </v>
      </c>
    </row>
    <row r="316" spans="1:23">
      <c r="A316" s="123">
        <v>312</v>
      </c>
      <c r="B316" s="104" t="str" cm="1">
        <f t="array" ref="B316">_xlfn.IFS(AND(A316&gt;NumberOfPlots,ISBLANK(INDEX(PlotData,MATCH($A316,PlotNumber,0),MATCH(B$3,PlotTitles,0)))),"",ISNUMBER(INDEX(PlotData,MATCH($A316,PlotNumber,0),MATCH(B$3,PlotTitles,0)))=FALSE, $AB$5,TRUE,"")</f>
        <v/>
      </c>
      <c r="C316" s="104" t="str" cm="1">
        <f t="array" ref="C316">_xlfn.IFS(AND(A316&gt;NumberOfPlots,ISBLANK(INDEX(PlotData,MATCH($A316,PlotNumber,0),MATCH(B$3,PlotTitles,0)))),"",ISBLANK(INDEX(PlotData,MATCH($A316,PlotNumber,0),MATCH(C$3,PlotTitles,0))),$AB$6,TRUE,"")</f>
        <v/>
      </c>
      <c r="D316" s="104" t="str" cm="1">
        <f t="array" ref="D316">_xlfn.IFS(AND(A316&gt;NumberOfPlots,ISBLANK(INDEX(PlotData,MATCH($A316,PlotNumber,0),MATCH(B$3,PlotTitles,0)))),"",ISBLANK(INDEX(PlotData,MATCH($A316,PlotNumber,0),MATCH(D$3,PlotTitles,0))),$AB$7,TRUE,"")</f>
        <v/>
      </c>
      <c r="E316" s="104" t="str" cm="1">
        <f t="array" ref="E316">_xlfn.IFS(AND(A316&gt;NumberOfPlots,ISBLANK(INDEX(PlotData,MATCH($A316,PlotNumber,0),MATCH(B$3,PlotTitles,0)))),"",ISBLANK(INDEX(PlotData,MATCH($A316,PlotNumber,0),MATCH(E$3,PlotTitles,0))),$AB$8,TRUE,"")</f>
        <v/>
      </c>
      <c r="F316" s="104" t="str" cm="1">
        <f t="array" ref="F316">_xlfn.IFS(AND(A316&gt;NumberOfPlots,ISBLANK(INDEX(PlotData,MATCH($A316,PlotNumber,0),MATCH(B$3,PlotTitles,0)))),"",ISBLANK(INDEX(PlotData,MATCH($A316,PlotNumber,0),MATCH(F$3,PlotTitles,0))),$AB$9,TRUE,"")</f>
        <v/>
      </c>
      <c r="G316" s="104" t="str" cm="1">
        <f t="array" ref="G316">_xlfn.IFS(AND(A316&gt;NumberOfPlots,ISBLANK(INDEX(PlotData,MATCH($A316,PlotNumber,0),MATCH(B$3,PlotTitles,0)))),"",ISBLANK(INDEX(PlotData,MATCH($A316,PlotNumber,0),MATCH(G$3,PlotTitles,0))),$AB$10,TRUE,"")</f>
        <v/>
      </c>
      <c r="H316" s="104" t="str" cm="1">
        <f t="array" ref="H316">_xlfn.IFS(AND(A316&gt;NumberOfPlots,ISBLANK(INDEX(PlotData,MATCH($A316,PlotNumber,0),MATCH(B$3,PlotTitles,0)))),"",AND(ISBLANK(INDEX(PlotData,MATCH($A316,PlotNumber,0),MATCH(H$3,PlotTitles,0)))=FALSE,INDEX(PlotData,MATCH($A316,PlotNumber,0),MATCH(H$3,PlotTitles,0))&lt;500), $AB$11,TRUE,"")</f>
        <v/>
      </c>
      <c r="I316" s="104" t="str" cm="1">
        <f t="array" ref="I316">_xlfn.IFS(AND(A316&gt;NumberOfPlots,ISBLANK(INDEX(PlotData,MATCH($A316,PlotNumber,0),MATCH(B$3,PlotTitles,0)))),"",ISBLANK(INDEX(PlotData,MATCH($A316,PlotNumber,0),MATCH(I$3,PlotTitles,0))),$AB$12,TRUE,"")</f>
        <v/>
      </c>
      <c r="J316" s="104" t="str" cm="1">
        <f t="array" ref="J316">_xlfn.IFS(AND(A316&gt;NumberOfPlots,ISBLANK(INDEX(PlotData,MATCH($A316,PlotNumber,0),MATCH(B$3,PlotTitles,0)))),"",ISBLANK(INDEX(PlotData,MATCH($A316,PlotNumber,0),MATCH(J$3,PlotTitles,0))),$AB$13,TRUE,"")</f>
        <v/>
      </c>
      <c r="K316" s="182" t="str">
        <f t="shared" ca="1" si="12"/>
        <v/>
      </c>
      <c r="L316" s="104" t="str" cm="1">
        <f t="array" ref="L316">_xlfn.IFS(OR(ISBLANK(StartDateMonth),ISBLANK(StartDateYear)),"",AND(A316&gt;NumberOfPlots,ISBLANK(INDEX(PlotData,MATCH($A316,PlotNumber,0),MATCH(B$3,PlotTitles,0)))),"",ISBLANK(INDEX(PlotData,MATCH($A316,PlotNumber,0),MATCH(I$3,PlotTitles,0))),"",(DATEVALUE(INDEX(PlotData,MATCH($A316,PlotNumber,0),MATCH(I$3,PlotTitles,0))&amp;INDEX(PlotData,MATCH($A316,PlotNumber,0),MATCH(J$3,PlotTitles,0))))&lt;DATEVALUE(StartDateMonth&amp;StartDateYear),$AB$15,TRUE,"")</f>
        <v/>
      </c>
      <c r="M316" s="104" t="str" cm="1">
        <f t="array" ref="M316">_xlfn.IFS(OR(ISBLANK(StartDateMonth),ISBLANK(StartDateYear)),"",AND(A316&gt;NumberOfPlots,ISBLANK(INDEX(PlotData,MATCH($A316,PlotNumber,0),MATCH(B$3,PlotTitles,0)))),"",ISBLANK(INDEX(PlotData,MATCH($A316,PlotNumber,0),MATCH(I$3,PlotTitles,0))),"",CompletionMonth="","",(DATEVALUE(INDEX(PlotData,MATCH($A316,PlotNumber,0),MATCH(I$3,PlotTitles,0))&amp;INDEX(PlotData,MATCH($A316,PlotNumber,0),MATCH(J$3,PlotTitles,0))))&gt;(DATEVALUE(CompletionMonth&amp;CompletionYear)),$AB$16,TRUE,"")</f>
        <v/>
      </c>
      <c r="N316" s="104" t="str" cm="1">
        <f t="array" ref="N316">_xlfn.IFS(AND(A316&gt;NumberOfPlots,ISBLANK(INDEX(PlotData,MATCH($A316,PlotNumber,0),MATCH(B$3,PlotTitles,0)))),"",ISBLANK(INDEX(PlotData,MATCH($A316,PlotNumber,0),MATCH(N$3,PlotTitles,0))),$AB$17,TRUE,"")</f>
        <v/>
      </c>
      <c r="O316" s="104" t="str" cm="1">
        <f t="array" ref="O316">_xlfn.IFS(AND(A316&gt;NumberOfPlots,ISBLANK(INDEX(PlotData,MATCH($A316,PlotNumber,0),MATCH(B$3,PlotTitles,0)))),"",ISBLANK(INDEX(PlotData,MATCH($A316,PlotNumber,0),MATCH(O$3,PlotTitles,0))),$AB$18,TRUE,"")</f>
        <v/>
      </c>
      <c r="P316" s="182" t="str">
        <f t="shared" ca="1" si="13"/>
        <v/>
      </c>
      <c r="Q316" s="104" t="str" cm="1">
        <f t="array" ref="Q316">_xlfn.IFS(AND(A316&gt;NumberOfPlots,ISBLANK(INDEX(PlotData,MATCH($A316,PlotNumber,0),MATCH(B$3,PlotTitles,0)))),"",ISBLANK(INDEX(PlotData,MATCH($A316,PlotNumber,0),MATCH(N$3,PlotTitles,0))),"",(DATEVALUE(INDEX(PlotData,MATCH($A316,PlotNumber,0),MATCH(N$3,PlotTitles,0))&amp;INDEX(PlotData,MATCH($A316,PlotNumber,0),MATCH(O$3,PlotTitles,0))))&lt;(DATEVALUE(INDEX(PlotData,MATCH($A316,PlotNumber,0),MATCH(I$3,PlotTitles,0))&amp;INDEX(PlotData,MATCH($A316,PlotNumber,0),MATCH(J$3,PlotTitles,0)))),$AB$20,TRUE,"")</f>
        <v/>
      </c>
      <c r="R316" s="104" t="str" cm="1">
        <f t="array" ref="R316">_xlfn.IFS(OR(ISBLANK(StartDateMonth),ISBLANK(StartDateYear)),"",AND(A316&gt;NumberOfPlots,ISBLANK(INDEX(PlotData,MATCH($A316,PlotNumber,0),MATCH(B$3,PlotTitles,0)))),"",ISBLANK(INDEX(PlotData,MATCH($A316,PlotNumber,0),MATCH(N$3,PlotTitles,0))),"",CompletionMonth="","",(DATEVALUE(INDEX(PlotData,MATCH($A316,PlotNumber,0),MATCH(N$3,PlotTitles,0))&amp;INDEX(PlotData,MATCH($A316,PlotNumber,0),MATCH(O$3,PlotTitles,0))))&gt;(DATEVALUE(CompletionMonth&amp;CompletionYear)),$AB$21,TRUE,"")</f>
        <v/>
      </c>
      <c r="S316" s="104" t="str" cm="1">
        <f t="array" ref="S316">_xlfn.IFS(AND(A316&gt;NumberOfPlots,ISBLANK(INDEX(PlotData,MATCH($A316,PlotNumber,0),MATCH(B$3,PlotTitles,0)))),"",OR(AND(INDEX(PlotData,MATCH($A316,PlotNumber,0),MATCH("Tenure",PlotTitles,0))="Open market housing",INDEX(PlotData,MATCH($A316,PlotNumber,0),MATCH("Tenure detail",PlotTitles,0))="Private rented sector"),INDEX(PlotData,MATCH($A316,PlotNumber,0),MATCH("Tenure",PlotTitles,0))="Affordable rent"),"",ISNUMBER(INDEX(PlotData,MATCH($A316,PlotNumber,0),MATCH(S$3,PlotTitles,0)))=FALSE, $AB$22,TRUE,"")</f>
        <v/>
      </c>
      <c r="T316" s="104" t="str" cm="1">
        <f t="array" ref="T316">_xlfn.IFS(AND(A316&gt;NumberOfPlots,ISBLANK(INDEX(PlotData,MATCH($A316,PlotNumber,0),MATCH(B$3,PlotTitles,0)))),"",OR(AND(INDEX(PlotData,MATCH($A316,PlotNumber,0),MATCH("Tenure",PlotTitles,0))="Open market housing",INDEX(PlotData,MATCH($A316,PlotNumber,0),MATCH("Tenure detail",PlotTitles,0))="Private rented sector"),INDEX(PlotData,MATCH($A316,PlotNumber,0),MATCH("Tenure",PlotTitles,0))="Affordable rent"),"",INDEX(PlotData,MATCH($A316,PlotNumber,0),MATCH(S$3,PlotTitles,0))&lt;10000, $AB$23,TRUE,"")</f>
        <v/>
      </c>
      <c r="U316" s="104" t="str" cm="1">
        <f t="array" ref="U316">_xlfn.IFS(AND(A316&gt;NumberOfPlots,ISBLANK(INDEX(PlotData,MATCH($A316,PlotNumber,0),MATCH(B$3,PlotTitles,0)))),"",NOT(OR(AND(INDEX(PlotData,MATCH($A316,PlotNumber,0),MATCH("Tenure",PlotTitles,0))="Open market housing",INDEX(PlotData,MATCH($A316,PlotNumber,0),MATCH("Tenure detail",PlotTitles,0))="Private rented sector"),INDEX(PlotData,MATCH($A316,PlotNumber,0),MATCH("Tenure",PlotTitles,0))="Affordable rent")),"",NOT(INDEX(PlotData,MATCH($A316,PlotNumber,0),MATCH(S$3,PlotTitles,0))=0), $AB$24,TRUE,"")</f>
        <v/>
      </c>
      <c r="V316" s="114" t="str" cm="1">
        <f t="array" aca="1" ref="V316" ca="1">_xlfn.IFS(ISBLANK(NumberOfPlots),"Enter the number of homes on the 1_SetUp sheet",AND(A316&gt;NumberOfPlots,ISBLANK(INDEX(PlotData,MATCH($A316,PlotNumber,0),MATCH(B$3,PlotTitles,0)))),"No error",NOT(B316=""),B316,NOT(C316=""),C316,NOT(D316=""),D316,NOT(E316=""),E316,NOT(F316=""),F316,NOT(G316=""),G316,NOT(H316=""),H316,NOT(I316=""),I316,NOT(J316=""),J316,NOT(K316=""),K316,NOT(L316=""),L316,NOT(M316=""),M316,NOT(N316=""),N316,NOT(O316=""),O316,NOT(P316=""),P316,NOT(Q316=""),Q316,NOT(R316=""),R316,NOT(S316=""),S316,NOT(T316=""),T316,NOT(U316=""),U316,TRUE,"No error")</f>
        <v>Enter the number of homes on the 1_SetUp sheet</v>
      </c>
      <c r="W316" s="114" t="str">
        <f t="shared" ca="1" si="14"/>
        <v xml:space="preserve">The Borrower has not addressed the following error messages for Home ID 312: </v>
      </c>
    </row>
    <row r="317" spans="1:23">
      <c r="A317" s="123">
        <v>313</v>
      </c>
      <c r="B317" s="104" t="str" cm="1">
        <f t="array" ref="B317">_xlfn.IFS(AND(A317&gt;NumberOfPlots,ISBLANK(INDEX(PlotData,MATCH($A317,PlotNumber,0),MATCH(B$3,PlotTitles,0)))),"",ISNUMBER(INDEX(PlotData,MATCH($A317,PlotNumber,0),MATCH(B$3,PlotTitles,0)))=FALSE, $AB$5,TRUE,"")</f>
        <v/>
      </c>
      <c r="C317" s="104" t="str" cm="1">
        <f t="array" ref="C317">_xlfn.IFS(AND(A317&gt;NumberOfPlots,ISBLANK(INDEX(PlotData,MATCH($A317,PlotNumber,0),MATCH(B$3,PlotTitles,0)))),"",ISBLANK(INDEX(PlotData,MATCH($A317,PlotNumber,0),MATCH(C$3,PlotTitles,0))),$AB$6,TRUE,"")</f>
        <v/>
      </c>
      <c r="D317" s="104" t="str" cm="1">
        <f t="array" ref="D317">_xlfn.IFS(AND(A317&gt;NumberOfPlots,ISBLANK(INDEX(PlotData,MATCH($A317,PlotNumber,0),MATCH(B$3,PlotTitles,0)))),"",ISBLANK(INDEX(PlotData,MATCH($A317,PlotNumber,0),MATCH(D$3,PlotTitles,0))),$AB$7,TRUE,"")</f>
        <v/>
      </c>
      <c r="E317" s="104" t="str" cm="1">
        <f t="array" ref="E317">_xlfn.IFS(AND(A317&gt;NumberOfPlots,ISBLANK(INDEX(PlotData,MATCH($A317,PlotNumber,0),MATCH(B$3,PlotTitles,0)))),"",ISBLANK(INDEX(PlotData,MATCH($A317,PlotNumber,0),MATCH(E$3,PlotTitles,0))),$AB$8,TRUE,"")</f>
        <v/>
      </c>
      <c r="F317" s="104" t="str" cm="1">
        <f t="array" ref="F317">_xlfn.IFS(AND(A317&gt;NumberOfPlots,ISBLANK(INDEX(PlotData,MATCH($A317,PlotNumber,0),MATCH(B$3,PlotTitles,0)))),"",ISBLANK(INDEX(PlotData,MATCH($A317,PlotNumber,0),MATCH(F$3,PlotTitles,0))),$AB$9,TRUE,"")</f>
        <v/>
      </c>
      <c r="G317" s="104" t="str" cm="1">
        <f t="array" ref="G317">_xlfn.IFS(AND(A317&gt;NumberOfPlots,ISBLANK(INDEX(PlotData,MATCH($A317,PlotNumber,0),MATCH(B$3,PlotTitles,0)))),"",ISBLANK(INDEX(PlotData,MATCH($A317,PlotNumber,0),MATCH(G$3,PlotTitles,0))),$AB$10,TRUE,"")</f>
        <v/>
      </c>
      <c r="H317" s="104" t="str" cm="1">
        <f t="array" ref="H317">_xlfn.IFS(AND(A317&gt;NumberOfPlots,ISBLANK(INDEX(PlotData,MATCH($A317,PlotNumber,0),MATCH(B$3,PlotTitles,0)))),"",AND(ISBLANK(INDEX(PlotData,MATCH($A317,PlotNumber,0),MATCH(H$3,PlotTitles,0)))=FALSE,INDEX(PlotData,MATCH($A317,PlotNumber,0),MATCH(H$3,PlotTitles,0))&lt;500), $AB$11,TRUE,"")</f>
        <v/>
      </c>
      <c r="I317" s="104" t="str" cm="1">
        <f t="array" ref="I317">_xlfn.IFS(AND(A317&gt;NumberOfPlots,ISBLANK(INDEX(PlotData,MATCH($A317,PlotNumber,0),MATCH(B$3,PlotTitles,0)))),"",ISBLANK(INDEX(PlotData,MATCH($A317,PlotNumber,0),MATCH(I$3,PlotTitles,0))),$AB$12,TRUE,"")</f>
        <v/>
      </c>
      <c r="J317" s="104" t="str" cm="1">
        <f t="array" ref="J317">_xlfn.IFS(AND(A317&gt;NumberOfPlots,ISBLANK(INDEX(PlotData,MATCH($A317,PlotNumber,0),MATCH(B$3,PlotTitles,0)))),"",ISBLANK(INDEX(PlotData,MATCH($A317,PlotNumber,0),MATCH(J$3,PlotTitles,0))),$AB$13,TRUE,"")</f>
        <v/>
      </c>
      <c r="K317" s="182" t="str">
        <f t="shared" ca="1" si="12"/>
        <v/>
      </c>
      <c r="L317" s="104" t="str" cm="1">
        <f t="array" ref="L317">_xlfn.IFS(OR(ISBLANK(StartDateMonth),ISBLANK(StartDateYear)),"",AND(A317&gt;NumberOfPlots,ISBLANK(INDEX(PlotData,MATCH($A317,PlotNumber,0),MATCH(B$3,PlotTitles,0)))),"",ISBLANK(INDEX(PlotData,MATCH($A317,PlotNumber,0),MATCH(I$3,PlotTitles,0))),"",(DATEVALUE(INDEX(PlotData,MATCH($A317,PlotNumber,0),MATCH(I$3,PlotTitles,0))&amp;INDEX(PlotData,MATCH($A317,PlotNumber,0),MATCH(J$3,PlotTitles,0))))&lt;DATEVALUE(StartDateMonth&amp;StartDateYear),$AB$15,TRUE,"")</f>
        <v/>
      </c>
      <c r="M317" s="104" t="str" cm="1">
        <f t="array" ref="M317">_xlfn.IFS(OR(ISBLANK(StartDateMonth),ISBLANK(StartDateYear)),"",AND(A317&gt;NumberOfPlots,ISBLANK(INDEX(PlotData,MATCH($A317,PlotNumber,0),MATCH(B$3,PlotTitles,0)))),"",ISBLANK(INDEX(PlotData,MATCH($A317,PlotNumber,0),MATCH(I$3,PlotTitles,0))),"",CompletionMonth="","",(DATEVALUE(INDEX(PlotData,MATCH($A317,PlotNumber,0),MATCH(I$3,PlotTitles,0))&amp;INDEX(PlotData,MATCH($A317,PlotNumber,0),MATCH(J$3,PlotTitles,0))))&gt;(DATEVALUE(CompletionMonth&amp;CompletionYear)),$AB$16,TRUE,"")</f>
        <v/>
      </c>
      <c r="N317" s="104" t="str" cm="1">
        <f t="array" ref="N317">_xlfn.IFS(AND(A317&gt;NumberOfPlots,ISBLANK(INDEX(PlotData,MATCH($A317,PlotNumber,0),MATCH(B$3,PlotTitles,0)))),"",ISBLANK(INDEX(PlotData,MATCH($A317,PlotNumber,0),MATCH(N$3,PlotTitles,0))),$AB$17,TRUE,"")</f>
        <v/>
      </c>
      <c r="O317" s="104" t="str" cm="1">
        <f t="array" ref="O317">_xlfn.IFS(AND(A317&gt;NumberOfPlots,ISBLANK(INDEX(PlotData,MATCH($A317,PlotNumber,0),MATCH(B$3,PlotTitles,0)))),"",ISBLANK(INDEX(PlotData,MATCH($A317,PlotNumber,0),MATCH(O$3,PlotTitles,0))),$AB$18,TRUE,"")</f>
        <v/>
      </c>
      <c r="P317" s="182" t="str">
        <f t="shared" ca="1" si="13"/>
        <v/>
      </c>
      <c r="Q317" s="104" t="str" cm="1">
        <f t="array" ref="Q317">_xlfn.IFS(AND(A317&gt;NumberOfPlots,ISBLANK(INDEX(PlotData,MATCH($A317,PlotNumber,0),MATCH(B$3,PlotTitles,0)))),"",ISBLANK(INDEX(PlotData,MATCH($A317,PlotNumber,0),MATCH(N$3,PlotTitles,0))),"",(DATEVALUE(INDEX(PlotData,MATCH($A317,PlotNumber,0),MATCH(N$3,PlotTitles,0))&amp;INDEX(PlotData,MATCH($A317,PlotNumber,0),MATCH(O$3,PlotTitles,0))))&lt;(DATEVALUE(INDEX(PlotData,MATCH($A317,PlotNumber,0),MATCH(I$3,PlotTitles,0))&amp;INDEX(PlotData,MATCH($A317,PlotNumber,0),MATCH(J$3,PlotTitles,0)))),$AB$20,TRUE,"")</f>
        <v/>
      </c>
      <c r="R317" s="104" t="str" cm="1">
        <f t="array" ref="R317">_xlfn.IFS(OR(ISBLANK(StartDateMonth),ISBLANK(StartDateYear)),"",AND(A317&gt;NumberOfPlots,ISBLANK(INDEX(PlotData,MATCH($A317,PlotNumber,0),MATCH(B$3,PlotTitles,0)))),"",ISBLANK(INDEX(PlotData,MATCH($A317,PlotNumber,0),MATCH(N$3,PlotTitles,0))),"",CompletionMonth="","",(DATEVALUE(INDEX(PlotData,MATCH($A317,PlotNumber,0),MATCH(N$3,PlotTitles,0))&amp;INDEX(PlotData,MATCH($A317,PlotNumber,0),MATCH(O$3,PlotTitles,0))))&gt;(DATEVALUE(CompletionMonth&amp;CompletionYear)),$AB$21,TRUE,"")</f>
        <v/>
      </c>
      <c r="S317" s="104" t="str" cm="1">
        <f t="array" ref="S317">_xlfn.IFS(AND(A317&gt;NumberOfPlots,ISBLANK(INDEX(PlotData,MATCH($A317,PlotNumber,0),MATCH(B$3,PlotTitles,0)))),"",OR(AND(INDEX(PlotData,MATCH($A317,PlotNumber,0),MATCH("Tenure",PlotTitles,0))="Open market housing",INDEX(PlotData,MATCH($A317,PlotNumber,0),MATCH("Tenure detail",PlotTitles,0))="Private rented sector"),INDEX(PlotData,MATCH($A317,PlotNumber,0),MATCH("Tenure",PlotTitles,0))="Affordable rent"),"",ISNUMBER(INDEX(PlotData,MATCH($A317,PlotNumber,0),MATCH(S$3,PlotTitles,0)))=FALSE, $AB$22,TRUE,"")</f>
        <v/>
      </c>
      <c r="T317" s="104" t="str" cm="1">
        <f t="array" ref="T317">_xlfn.IFS(AND(A317&gt;NumberOfPlots,ISBLANK(INDEX(PlotData,MATCH($A317,PlotNumber,0),MATCH(B$3,PlotTitles,0)))),"",OR(AND(INDEX(PlotData,MATCH($A317,PlotNumber,0),MATCH("Tenure",PlotTitles,0))="Open market housing",INDEX(PlotData,MATCH($A317,PlotNumber,0),MATCH("Tenure detail",PlotTitles,0))="Private rented sector"),INDEX(PlotData,MATCH($A317,PlotNumber,0),MATCH("Tenure",PlotTitles,0))="Affordable rent"),"",INDEX(PlotData,MATCH($A317,PlotNumber,0),MATCH(S$3,PlotTitles,0))&lt;10000, $AB$23,TRUE,"")</f>
        <v/>
      </c>
      <c r="U317" s="104" t="str" cm="1">
        <f t="array" ref="U317">_xlfn.IFS(AND(A317&gt;NumberOfPlots,ISBLANK(INDEX(PlotData,MATCH($A317,PlotNumber,0),MATCH(B$3,PlotTitles,0)))),"",NOT(OR(AND(INDEX(PlotData,MATCH($A317,PlotNumber,0),MATCH("Tenure",PlotTitles,0))="Open market housing",INDEX(PlotData,MATCH($A317,PlotNumber,0),MATCH("Tenure detail",PlotTitles,0))="Private rented sector"),INDEX(PlotData,MATCH($A317,PlotNumber,0),MATCH("Tenure",PlotTitles,0))="Affordable rent")),"",NOT(INDEX(PlotData,MATCH($A317,PlotNumber,0),MATCH(S$3,PlotTitles,0))=0), $AB$24,TRUE,"")</f>
        <v/>
      </c>
      <c r="V317" s="114" t="str" cm="1">
        <f t="array" aca="1" ref="V317" ca="1">_xlfn.IFS(ISBLANK(NumberOfPlots),"Enter the number of homes on the 1_SetUp sheet",AND(A317&gt;NumberOfPlots,ISBLANK(INDEX(PlotData,MATCH($A317,PlotNumber,0),MATCH(B$3,PlotTitles,0)))),"No error",NOT(B317=""),B317,NOT(C317=""),C317,NOT(D317=""),D317,NOT(E317=""),E317,NOT(F317=""),F317,NOT(G317=""),G317,NOT(H317=""),H317,NOT(I317=""),I317,NOT(J317=""),J317,NOT(K317=""),K317,NOT(L317=""),L317,NOT(M317=""),M317,NOT(N317=""),N317,NOT(O317=""),O317,NOT(P317=""),P317,NOT(Q317=""),Q317,NOT(R317=""),R317,NOT(S317=""),S317,NOT(T317=""),T317,NOT(U317=""),U317,TRUE,"No error")</f>
        <v>Enter the number of homes on the 1_SetUp sheet</v>
      </c>
      <c r="W317" s="114" t="str">
        <f t="shared" ca="1" si="14"/>
        <v xml:space="preserve">The Borrower has not addressed the following error messages for Home ID 313: </v>
      </c>
    </row>
    <row r="318" spans="1:23">
      <c r="A318" s="123">
        <v>314</v>
      </c>
      <c r="B318" s="104" t="str" cm="1">
        <f t="array" ref="B318">_xlfn.IFS(AND(A318&gt;NumberOfPlots,ISBLANK(INDEX(PlotData,MATCH($A318,PlotNumber,0),MATCH(B$3,PlotTitles,0)))),"",ISNUMBER(INDEX(PlotData,MATCH($A318,PlotNumber,0),MATCH(B$3,PlotTitles,0)))=FALSE, $AB$5,TRUE,"")</f>
        <v/>
      </c>
      <c r="C318" s="104" t="str" cm="1">
        <f t="array" ref="C318">_xlfn.IFS(AND(A318&gt;NumberOfPlots,ISBLANK(INDEX(PlotData,MATCH($A318,PlotNumber,0),MATCH(B$3,PlotTitles,0)))),"",ISBLANK(INDEX(PlotData,MATCH($A318,PlotNumber,0),MATCH(C$3,PlotTitles,0))),$AB$6,TRUE,"")</f>
        <v/>
      </c>
      <c r="D318" s="104" t="str" cm="1">
        <f t="array" ref="D318">_xlfn.IFS(AND(A318&gt;NumberOfPlots,ISBLANK(INDEX(PlotData,MATCH($A318,PlotNumber,0),MATCH(B$3,PlotTitles,0)))),"",ISBLANK(INDEX(PlotData,MATCH($A318,PlotNumber,0),MATCH(D$3,PlotTitles,0))),$AB$7,TRUE,"")</f>
        <v/>
      </c>
      <c r="E318" s="104" t="str" cm="1">
        <f t="array" ref="E318">_xlfn.IFS(AND(A318&gt;NumberOfPlots,ISBLANK(INDEX(PlotData,MATCH($A318,PlotNumber,0),MATCH(B$3,PlotTitles,0)))),"",ISBLANK(INDEX(PlotData,MATCH($A318,PlotNumber,0),MATCH(E$3,PlotTitles,0))),$AB$8,TRUE,"")</f>
        <v/>
      </c>
      <c r="F318" s="104" t="str" cm="1">
        <f t="array" ref="F318">_xlfn.IFS(AND(A318&gt;NumberOfPlots,ISBLANK(INDEX(PlotData,MATCH($A318,PlotNumber,0),MATCH(B$3,PlotTitles,0)))),"",ISBLANK(INDEX(PlotData,MATCH($A318,PlotNumber,0),MATCH(F$3,PlotTitles,0))),$AB$9,TRUE,"")</f>
        <v/>
      </c>
      <c r="G318" s="104" t="str" cm="1">
        <f t="array" ref="G318">_xlfn.IFS(AND(A318&gt;NumberOfPlots,ISBLANK(INDEX(PlotData,MATCH($A318,PlotNumber,0),MATCH(B$3,PlotTitles,0)))),"",ISBLANK(INDEX(PlotData,MATCH($A318,PlotNumber,0),MATCH(G$3,PlotTitles,0))),$AB$10,TRUE,"")</f>
        <v/>
      </c>
      <c r="H318" s="104" t="str" cm="1">
        <f t="array" ref="H318">_xlfn.IFS(AND(A318&gt;NumberOfPlots,ISBLANK(INDEX(PlotData,MATCH($A318,PlotNumber,0),MATCH(B$3,PlotTitles,0)))),"",AND(ISBLANK(INDEX(PlotData,MATCH($A318,PlotNumber,0),MATCH(H$3,PlotTitles,0)))=FALSE,INDEX(PlotData,MATCH($A318,PlotNumber,0),MATCH(H$3,PlotTitles,0))&lt;500), $AB$11,TRUE,"")</f>
        <v/>
      </c>
      <c r="I318" s="104" t="str" cm="1">
        <f t="array" ref="I318">_xlfn.IFS(AND(A318&gt;NumberOfPlots,ISBLANK(INDEX(PlotData,MATCH($A318,PlotNumber,0),MATCH(B$3,PlotTitles,0)))),"",ISBLANK(INDEX(PlotData,MATCH($A318,PlotNumber,0),MATCH(I$3,PlotTitles,0))),$AB$12,TRUE,"")</f>
        <v/>
      </c>
      <c r="J318" s="104" t="str" cm="1">
        <f t="array" ref="J318">_xlfn.IFS(AND(A318&gt;NumberOfPlots,ISBLANK(INDEX(PlotData,MATCH($A318,PlotNumber,0),MATCH(B$3,PlotTitles,0)))),"",ISBLANK(INDEX(PlotData,MATCH($A318,PlotNumber,0),MATCH(J$3,PlotTitles,0))),$AB$13,TRUE,"")</f>
        <v/>
      </c>
      <c r="K318" s="182" t="str">
        <f t="shared" ca="1" si="12"/>
        <v/>
      </c>
      <c r="L318" s="104" t="str" cm="1">
        <f t="array" ref="L318">_xlfn.IFS(OR(ISBLANK(StartDateMonth),ISBLANK(StartDateYear)),"",AND(A318&gt;NumberOfPlots,ISBLANK(INDEX(PlotData,MATCH($A318,PlotNumber,0),MATCH(B$3,PlotTitles,0)))),"",ISBLANK(INDEX(PlotData,MATCH($A318,PlotNumber,0),MATCH(I$3,PlotTitles,0))),"",(DATEVALUE(INDEX(PlotData,MATCH($A318,PlotNumber,0),MATCH(I$3,PlotTitles,0))&amp;INDEX(PlotData,MATCH($A318,PlotNumber,0),MATCH(J$3,PlotTitles,0))))&lt;DATEVALUE(StartDateMonth&amp;StartDateYear),$AB$15,TRUE,"")</f>
        <v/>
      </c>
      <c r="M318" s="104" t="str" cm="1">
        <f t="array" ref="M318">_xlfn.IFS(OR(ISBLANK(StartDateMonth),ISBLANK(StartDateYear)),"",AND(A318&gt;NumberOfPlots,ISBLANK(INDEX(PlotData,MATCH($A318,PlotNumber,0),MATCH(B$3,PlotTitles,0)))),"",ISBLANK(INDEX(PlotData,MATCH($A318,PlotNumber,0),MATCH(I$3,PlotTitles,0))),"",CompletionMonth="","",(DATEVALUE(INDEX(PlotData,MATCH($A318,PlotNumber,0),MATCH(I$3,PlotTitles,0))&amp;INDEX(PlotData,MATCH($A318,PlotNumber,0),MATCH(J$3,PlotTitles,0))))&gt;(DATEVALUE(CompletionMonth&amp;CompletionYear)),$AB$16,TRUE,"")</f>
        <v/>
      </c>
      <c r="N318" s="104" t="str" cm="1">
        <f t="array" ref="N318">_xlfn.IFS(AND(A318&gt;NumberOfPlots,ISBLANK(INDEX(PlotData,MATCH($A318,PlotNumber,0),MATCH(B$3,PlotTitles,0)))),"",ISBLANK(INDEX(PlotData,MATCH($A318,PlotNumber,0),MATCH(N$3,PlotTitles,0))),$AB$17,TRUE,"")</f>
        <v/>
      </c>
      <c r="O318" s="104" t="str" cm="1">
        <f t="array" ref="O318">_xlfn.IFS(AND(A318&gt;NumberOfPlots,ISBLANK(INDEX(PlotData,MATCH($A318,PlotNumber,0),MATCH(B$3,PlotTitles,0)))),"",ISBLANK(INDEX(PlotData,MATCH($A318,PlotNumber,0),MATCH(O$3,PlotTitles,0))),$AB$18,TRUE,"")</f>
        <v/>
      </c>
      <c r="P318" s="182" t="str">
        <f t="shared" ca="1" si="13"/>
        <v/>
      </c>
      <c r="Q318" s="104" t="str" cm="1">
        <f t="array" ref="Q318">_xlfn.IFS(AND(A318&gt;NumberOfPlots,ISBLANK(INDEX(PlotData,MATCH($A318,PlotNumber,0),MATCH(B$3,PlotTitles,0)))),"",ISBLANK(INDEX(PlotData,MATCH($A318,PlotNumber,0),MATCH(N$3,PlotTitles,0))),"",(DATEVALUE(INDEX(PlotData,MATCH($A318,PlotNumber,0),MATCH(N$3,PlotTitles,0))&amp;INDEX(PlotData,MATCH($A318,PlotNumber,0),MATCH(O$3,PlotTitles,0))))&lt;(DATEVALUE(INDEX(PlotData,MATCH($A318,PlotNumber,0),MATCH(I$3,PlotTitles,0))&amp;INDEX(PlotData,MATCH($A318,PlotNumber,0),MATCH(J$3,PlotTitles,0)))),$AB$20,TRUE,"")</f>
        <v/>
      </c>
      <c r="R318" s="104" t="str" cm="1">
        <f t="array" ref="R318">_xlfn.IFS(OR(ISBLANK(StartDateMonth),ISBLANK(StartDateYear)),"",AND(A318&gt;NumberOfPlots,ISBLANK(INDEX(PlotData,MATCH($A318,PlotNumber,0),MATCH(B$3,PlotTitles,0)))),"",ISBLANK(INDEX(PlotData,MATCH($A318,PlotNumber,0),MATCH(N$3,PlotTitles,0))),"",CompletionMonth="","",(DATEVALUE(INDEX(PlotData,MATCH($A318,PlotNumber,0),MATCH(N$3,PlotTitles,0))&amp;INDEX(PlotData,MATCH($A318,PlotNumber,0),MATCH(O$3,PlotTitles,0))))&gt;(DATEVALUE(CompletionMonth&amp;CompletionYear)),$AB$21,TRUE,"")</f>
        <v/>
      </c>
      <c r="S318" s="104" t="str" cm="1">
        <f t="array" ref="S318">_xlfn.IFS(AND(A318&gt;NumberOfPlots,ISBLANK(INDEX(PlotData,MATCH($A318,PlotNumber,0),MATCH(B$3,PlotTitles,0)))),"",OR(AND(INDEX(PlotData,MATCH($A318,PlotNumber,0),MATCH("Tenure",PlotTitles,0))="Open market housing",INDEX(PlotData,MATCH($A318,PlotNumber,0),MATCH("Tenure detail",PlotTitles,0))="Private rented sector"),INDEX(PlotData,MATCH($A318,PlotNumber,0),MATCH("Tenure",PlotTitles,0))="Affordable rent"),"",ISNUMBER(INDEX(PlotData,MATCH($A318,PlotNumber,0),MATCH(S$3,PlotTitles,0)))=FALSE, $AB$22,TRUE,"")</f>
        <v/>
      </c>
      <c r="T318" s="104" t="str" cm="1">
        <f t="array" ref="T318">_xlfn.IFS(AND(A318&gt;NumberOfPlots,ISBLANK(INDEX(PlotData,MATCH($A318,PlotNumber,0),MATCH(B$3,PlotTitles,0)))),"",OR(AND(INDEX(PlotData,MATCH($A318,PlotNumber,0),MATCH("Tenure",PlotTitles,0))="Open market housing",INDEX(PlotData,MATCH($A318,PlotNumber,0),MATCH("Tenure detail",PlotTitles,0))="Private rented sector"),INDEX(PlotData,MATCH($A318,PlotNumber,0),MATCH("Tenure",PlotTitles,0))="Affordable rent"),"",INDEX(PlotData,MATCH($A318,PlotNumber,0),MATCH(S$3,PlotTitles,0))&lt;10000, $AB$23,TRUE,"")</f>
        <v/>
      </c>
      <c r="U318" s="104" t="str" cm="1">
        <f t="array" ref="U318">_xlfn.IFS(AND(A318&gt;NumberOfPlots,ISBLANK(INDEX(PlotData,MATCH($A318,PlotNumber,0),MATCH(B$3,PlotTitles,0)))),"",NOT(OR(AND(INDEX(PlotData,MATCH($A318,PlotNumber,0),MATCH("Tenure",PlotTitles,0))="Open market housing",INDEX(PlotData,MATCH($A318,PlotNumber,0),MATCH("Tenure detail",PlotTitles,0))="Private rented sector"),INDEX(PlotData,MATCH($A318,PlotNumber,0),MATCH("Tenure",PlotTitles,0))="Affordable rent")),"",NOT(INDEX(PlotData,MATCH($A318,PlotNumber,0),MATCH(S$3,PlotTitles,0))=0), $AB$24,TRUE,"")</f>
        <v/>
      </c>
      <c r="V318" s="114" t="str" cm="1">
        <f t="array" aca="1" ref="V318" ca="1">_xlfn.IFS(ISBLANK(NumberOfPlots),"Enter the number of homes on the 1_SetUp sheet",AND(A318&gt;NumberOfPlots,ISBLANK(INDEX(PlotData,MATCH($A318,PlotNumber,0),MATCH(B$3,PlotTitles,0)))),"No error",NOT(B318=""),B318,NOT(C318=""),C318,NOT(D318=""),D318,NOT(E318=""),E318,NOT(F318=""),F318,NOT(G318=""),G318,NOT(H318=""),H318,NOT(I318=""),I318,NOT(J318=""),J318,NOT(K318=""),K318,NOT(L318=""),L318,NOT(M318=""),M318,NOT(N318=""),N318,NOT(O318=""),O318,NOT(P318=""),P318,NOT(Q318=""),Q318,NOT(R318=""),R318,NOT(S318=""),S318,NOT(T318=""),T318,NOT(U318=""),U318,TRUE,"No error")</f>
        <v>Enter the number of homes on the 1_SetUp sheet</v>
      </c>
      <c r="W318" s="114" t="str">
        <f t="shared" ca="1" si="14"/>
        <v xml:space="preserve">The Borrower has not addressed the following error messages for Home ID 314: </v>
      </c>
    </row>
    <row r="319" spans="1:23">
      <c r="A319" s="123">
        <v>315</v>
      </c>
      <c r="B319" s="104" t="str" cm="1">
        <f t="array" ref="B319">_xlfn.IFS(AND(A319&gt;NumberOfPlots,ISBLANK(INDEX(PlotData,MATCH($A319,PlotNumber,0),MATCH(B$3,PlotTitles,0)))),"",ISNUMBER(INDEX(PlotData,MATCH($A319,PlotNumber,0),MATCH(B$3,PlotTitles,0)))=FALSE, $AB$5,TRUE,"")</f>
        <v/>
      </c>
      <c r="C319" s="104" t="str" cm="1">
        <f t="array" ref="C319">_xlfn.IFS(AND(A319&gt;NumberOfPlots,ISBLANK(INDEX(PlotData,MATCH($A319,PlotNumber,0),MATCH(B$3,PlotTitles,0)))),"",ISBLANK(INDEX(PlotData,MATCH($A319,PlotNumber,0),MATCH(C$3,PlotTitles,0))),$AB$6,TRUE,"")</f>
        <v/>
      </c>
      <c r="D319" s="104" t="str" cm="1">
        <f t="array" ref="D319">_xlfn.IFS(AND(A319&gt;NumberOfPlots,ISBLANK(INDEX(PlotData,MATCH($A319,PlotNumber,0),MATCH(B$3,PlotTitles,0)))),"",ISBLANK(INDEX(PlotData,MATCH($A319,PlotNumber,0),MATCH(D$3,PlotTitles,0))),$AB$7,TRUE,"")</f>
        <v/>
      </c>
      <c r="E319" s="104" t="str" cm="1">
        <f t="array" ref="E319">_xlfn.IFS(AND(A319&gt;NumberOfPlots,ISBLANK(INDEX(PlotData,MATCH($A319,PlotNumber,0),MATCH(B$3,PlotTitles,0)))),"",ISBLANK(INDEX(PlotData,MATCH($A319,PlotNumber,0),MATCH(E$3,PlotTitles,0))),$AB$8,TRUE,"")</f>
        <v/>
      </c>
      <c r="F319" s="104" t="str" cm="1">
        <f t="array" ref="F319">_xlfn.IFS(AND(A319&gt;NumberOfPlots,ISBLANK(INDEX(PlotData,MATCH($A319,PlotNumber,0),MATCH(B$3,PlotTitles,0)))),"",ISBLANK(INDEX(PlotData,MATCH($A319,PlotNumber,0),MATCH(F$3,PlotTitles,0))),$AB$9,TRUE,"")</f>
        <v/>
      </c>
      <c r="G319" s="104" t="str" cm="1">
        <f t="array" ref="G319">_xlfn.IFS(AND(A319&gt;NumberOfPlots,ISBLANK(INDEX(PlotData,MATCH($A319,PlotNumber,0),MATCH(B$3,PlotTitles,0)))),"",ISBLANK(INDEX(PlotData,MATCH($A319,PlotNumber,0),MATCH(G$3,PlotTitles,0))),$AB$10,TRUE,"")</f>
        <v/>
      </c>
      <c r="H319" s="104" t="str" cm="1">
        <f t="array" ref="H319">_xlfn.IFS(AND(A319&gt;NumberOfPlots,ISBLANK(INDEX(PlotData,MATCH($A319,PlotNumber,0),MATCH(B$3,PlotTitles,0)))),"",AND(ISBLANK(INDEX(PlotData,MATCH($A319,PlotNumber,0),MATCH(H$3,PlotTitles,0)))=FALSE,INDEX(PlotData,MATCH($A319,PlotNumber,0),MATCH(H$3,PlotTitles,0))&lt;500), $AB$11,TRUE,"")</f>
        <v/>
      </c>
      <c r="I319" s="104" t="str" cm="1">
        <f t="array" ref="I319">_xlfn.IFS(AND(A319&gt;NumberOfPlots,ISBLANK(INDEX(PlotData,MATCH($A319,PlotNumber,0),MATCH(B$3,PlotTitles,0)))),"",ISBLANK(INDEX(PlotData,MATCH($A319,PlotNumber,0),MATCH(I$3,PlotTitles,0))),$AB$12,TRUE,"")</f>
        <v/>
      </c>
      <c r="J319" s="104" t="str" cm="1">
        <f t="array" ref="J319">_xlfn.IFS(AND(A319&gt;NumberOfPlots,ISBLANK(INDEX(PlotData,MATCH($A319,PlotNumber,0),MATCH(B$3,PlotTitles,0)))),"",ISBLANK(INDEX(PlotData,MATCH($A319,PlotNumber,0),MATCH(J$3,PlotTitles,0))),$AB$13,TRUE,"")</f>
        <v/>
      </c>
      <c r="K319" s="182" t="str">
        <f t="shared" ca="1" si="12"/>
        <v/>
      </c>
      <c r="L319" s="104" t="str" cm="1">
        <f t="array" ref="L319">_xlfn.IFS(OR(ISBLANK(StartDateMonth),ISBLANK(StartDateYear)),"",AND(A319&gt;NumberOfPlots,ISBLANK(INDEX(PlotData,MATCH($A319,PlotNumber,0),MATCH(B$3,PlotTitles,0)))),"",ISBLANK(INDEX(PlotData,MATCH($A319,PlotNumber,0),MATCH(I$3,PlotTitles,0))),"",(DATEVALUE(INDEX(PlotData,MATCH($A319,PlotNumber,0),MATCH(I$3,PlotTitles,0))&amp;INDEX(PlotData,MATCH($A319,PlotNumber,0),MATCH(J$3,PlotTitles,0))))&lt;DATEVALUE(StartDateMonth&amp;StartDateYear),$AB$15,TRUE,"")</f>
        <v/>
      </c>
      <c r="M319" s="104" t="str" cm="1">
        <f t="array" ref="M319">_xlfn.IFS(OR(ISBLANK(StartDateMonth),ISBLANK(StartDateYear)),"",AND(A319&gt;NumberOfPlots,ISBLANK(INDEX(PlotData,MATCH($A319,PlotNumber,0),MATCH(B$3,PlotTitles,0)))),"",ISBLANK(INDEX(PlotData,MATCH($A319,PlotNumber,0),MATCH(I$3,PlotTitles,0))),"",CompletionMonth="","",(DATEVALUE(INDEX(PlotData,MATCH($A319,PlotNumber,0),MATCH(I$3,PlotTitles,0))&amp;INDEX(PlotData,MATCH($A319,PlotNumber,0),MATCH(J$3,PlotTitles,0))))&gt;(DATEVALUE(CompletionMonth&amp;CompletionYear)),$AB$16,TRUE,"")</f>
        <v/>
      </c>
      <c r="N319" s="104" t="str" cm="1">
        <f t="array" ref="N319">_xlfn.IFS(AND(A319&gt;NumberOfPlots,ISBLANK(INDEX(PlotData,MATCH($A319,PlotNumber,0),MATCH(B$3,PlotTitles,0)))),"",ISBLANK(INDEX(PlotData,MATCH($A319,PlotNumber,0),MATCH(N$3,PlotTitles,0))),$AB$17,TRUE,"")</f>
        <v/>
      </c>
      <c r="O319" s="104" t="str" cm="1">
        <f t="array" ref="O319">_xlfn.IFS(AND(A319&gt;NumberOfPlots,ISBLANK(INDEX(PlotData,MATCH($A319,PlotNumber,0),MATCH(B$3,PlotTitles,0)))),"",ISBLANK(INDEX(PlotData,MATCH($A319,PlotNumber,0),MATCH(O$3,PlotTitles,0))),$AB$18,TRUE,"")</f>
        <v/>
      </c>
      <c r="P319" s="182" t="str">
        <f t="shared" ca="1" si="13"/>
        <v/>
      </c>
      <c r="Q319" s="104" t="str" cm="1">
        <f t="array" ref="Q319">_xlfn.IFS(AND(A319&gt;NumberOfPlots,ISBLANK(INDEX(PlotData,MATCH($A319,PlotNumber,0),MATCH(B$3,PlotTitles,0)))),"",ISBLANK(INDEX(PlotData,MATCH($A319,PlotNumber,0),MATCH(N$3,PlotTitles,0))),"",(DATEVALUE(INDEX(PlotData,MATCH($A319,PlotNumber,0),MATCH(N$3,PlotTitles,0))&amp;INDEX(PlotData,MATCH($A319,PlotNumber,0),MATCH(O$3,PlotTitles,0))))&lt;(DATEVALUE(INDEX(PlotData,MATCH($A319,PlotNumber,0),MATCH(I$3,PlotTitles,0))&amp;INDEX(PlotData,MATCH($A319,PlotNumber,0),MATCH(J$3,PlotTitles,0)))),$AB$20,TRUE,"")</f>
        <v/>
      </c>
      <c r="R319" s="104" t="str" cm="1">
        <f t="array" ref="R319">_xlfn.IFS(OR(ISBLANK(StartDateMonth),ISBLANK(StartDateYear)),"",AND(A319&gt;NumberOfPlots,ISBLANK(INDEX(PlotData,MATCH($A319,PlotNumber,0),MATCH(B$3,PlotTitles,0)))),"",ISBLANK(INDEX(PlotData,MATCH($A319,PlotNumber,0),MATCH(N$3,PlotTitles,0))),"",CompletionMonth="","",(DATEVALUE(INDEX(PlotData,MATCH($A319,PlotNumber,0),MATCH(N$3,PlotTitles,0))&amp;INDEX(PlotData,MATCH($A319,PlotNumber,0),MATCH(O$3,PlotTitles,0))))&gt;(DATEVALUE(CompletionMonth&amp;CompletionYear)),$AB$21,TRUE,"")</f>
        <v/>
      </c>
      <c r="S319" s="104" t="str" cm="1">
        <f t="array" ref="S319">_xlfn.IFS(AND(A319&gt;NumberOfPlots,ISBLANK(INDEX(PlotData,MATCH($A319,PlotNumber,0),MATCH(B$3,PlotTitles,0)))),"",OR(AND(INDEX(PlotData,MATCH($A319,PlotNumber,0),MATCH("Tenure",PlotTitles,0))="Open market housing",INDEX(PlotData,MATCH($A319,PlotNumber,0),MATCH("Tenure detail",PlotTitles,0))="Private rented sector"),INDEX(PlotData,MATCH($A319,PlotNumber,0),MATCH("Tenure",PlotTitles,0))="Affordable rent"),"",ISNUMBER(INDEX(PlotData,MATCH($A319,PlotNumber,0),MATCH(S$3,PlotTitles,0)))=FALSE, $AB$22,TRUE,"")</f>
        <v/>
      </c>
      <c r="T319" s="104" t="str" cm="1">
        <f t="array" ref="T319">_xlfn.IFS(AND(A319&gt;NumberOfPlots,ISBLANK(INDEX(PlotData,MATCH($A319,PlotNumber,0),MATCH(B$3,PlotTitles,0)))),"",OR(AND(INDEX(PlotData,MATCH($A319,PlotNumber,0),MATCH("Tenure",PlotTitles,0))="Open market housing",INDEX(PlotData,MATCH($A319,PlotNumber,0),MATCH("Tenure detail",PlotTitles,0))="Private rented sector"),INDEX(PlotData,MATCH($A319,PlotNumber,0),MATCH("Tenure",PlotTitles,0))="Affordable rent"),"",INDEX(PlotData,MATCH($A319,PlotNumber,0),MATCH(S$3,PlotTitles,0))&lt;10000, $AB$23,TRUE,"")</f>
        <v/>
      </c>
      <c r="U319" s="104" t="str" cm="1">
        <f t="array" ref="U319">_xlfn.IFS(AND(A319&gt;NumberOfPlots,ISBLANK(INDEX(PlotData,MATCH($A319,PlotNumber,0),MATCH(B$3,PlotTitles,0)))),"",NOT(OR(AND(INDEX(PlotData,MATCH($A319,PlotNumber,0),MATCH("Tenure",PlotTitles,0))="Open market housing",INDEX(PlotData,MATCH($A319,PlotNumber,0),MATCH("Tenure detail",PlotTitles,0))="Private rented sector"),INDEX(PlotData,MATCH($A319,PlotNumber,0),MATCH("Tenure",PlotTitles,0))="Affordable rent")),"",NOT(INDEX(PlotData,MATCH($A319,PlotNumber,0),MATCH(S$3,PlotTitles,0))=0), $AB$24,TRUE,"")</f>
        <v/>
      </c>
      <c r="V319" s="114" t="str" cm="1">
        <f t="array" aca="1" ref="V319" ca="1">_xlfn.IFS(ISBLANK(NumberOfPlots),"Enter the number of homes on the 1_SetUp sheet",AND(A319&gt;NumberOfPlots,ISBLANK(INDEX(PlotData,MATCH($A319,PlotNumber,0),MATCH(B$3,PlotTitles,0)))),"No error",NOT(B319=""),B319,NOT(C319=""),C319,NOT(D319=""),D319,NOT(E319=""),E319,NOT(F319=""),F319,NOT(G319=""),G319,NOT(H319=""),H319,NOT(I319=""),I319,NOT(J319=""),J319,NOT(K319=""),K319,NOT(L319=""),L319,NOT(M319=""),M319,NOT(N319=""),N319,NOT(O319=""),O319,NOT(P319=""),P319,NOT(Q319=""),Q319,NOT(R319=""),R319,NOT(S319=""),S319,NOT(T319=""),T319,NOT(U319=""),U319,TRUE,"No error")</f>
        <v>Enter the number of homes on the 1_SetUp sheet</v>
      </c>
      <c r="W319" s="114" t="str">
        <f t="shared" ca="1" si="14"/>
        <v xml:space="preserve">The Borrower has not addressed the following error messages for Home ID 315: </v>
      </c>
    </row>
    <row r="320" spans="1:23">
      <c r="A320" s="123">
        <v>316</v>
      </c>
      <c r="B320" s="104" t="str" cm="1">
        <f t="array" ref="B320">_xlfn.IFS(AND(A320&gt;NumberOfPlots,ISBLANK(INDEX(PlotData,MATCH($A320,PlotNumber,0),MATCH(B$3,PlotTitles,0)))),"",ISNUMBER(INDEX(PlotData,MATCH($A320,PlotNumber,0),MATCH(B$3,PlotTitles,0)))=FALSE, $AB$5,TRUE,"")</f>
        <v/>
      </c>
      <c r="C320" s="104" t="str" cm="1">
        <f t="array" ref="C320">_xlfn.IFS(AND(A320&gt;NumberOfPlots,ISBLANK(INDEX(PlotData,MATCH($A320,PlotNumber,0),MATCH(B$3,PlotTitles,0)))),"",ISBLANK(INDEX(PlotData,MATCH($A320,PlotNumber,0),MATCH(C$3,PlotTitles,0))),$AB$6,TRUE,"")</f>
        <v/>
      </c>
      <c r="D320" s="104" t="str" cm="1">
        <f t="array" ref="D320">_xlfn.IFS(AND(A320&gt;NumberOfPlots,ISBLANK(INDEX(PlotData,MATCH($A320,PlotNumber,0),MATCH(B$3,PlotTitles,0)))),"",ISBLANK(INDEX(PlotData,MATCH($A320,PlotNumber,0),MATCH(D$3,PlotTitles,0))),$AB$7,TRUE,"")</f>
        <v/>
      </c>
      <c r="E320" s="104" t="str" cm="1">
        <f t="array" ref="E320">_xlfn.IFS(AND(A320&gt;NumberOfPlots,ISBLANK(INDEX(PlotData,MATCH($A320,PlotNumber,0),MATCH(B$3,PlotTitles,0)))),"",ISBLANK(INDEX(PlotData,MATCH($A320,PlotNumber,0),MATCH(E$3,PlotTitles,0))),$AB$8,TRUE,"")</f>
        <v/>
      </c>
      <c r="F320" s="104" t="str" cm="1">
        <f t="array" ref="F320">_xlfn.IFS(AND(A320&gt;NumberOfPlots,ISBLANK(INDEX(PlotData,MATCH($A320,PlotNumber,0),MATCH(B$3,PlotTitles,0)))),"",ISBLANK(INDEX(PlotData,MATCH($A320,PlotNumber,0),MATCH(F$3,PlotTitles,0))),$AB$9,TRUE,"")</f>
        <v/>
      </c>
      <c r="G320" s="104" t="str" cm="1">
        <f t="array" ref="G320">_xlfn.IFS(AND(A320&gt;NumberOfPlots,ISBLANK(INDEX(PlotData,MATCH($A320,PlotNumber,0),MATCH(B$3,PlotTitles,0)))),"",ISBLANK(INDEX(PlotData,MATCH($A320,PlotNumber,0),MATCH(G$3,PlotTitles,0))),$AB$10,TRUE,"")</f>
        <v/>
      </c>
      <c r="H320" s="104" t="str" cm="1">
        <f t="array" ref="H320">_xlfn.IFS(AND(A320&gt;NumberOfPlots,ISBLANK(INDEX(PlotData,MATCH($A320,PlotNumber,0),MATCH(B$3,PlotTitles,0)))),"",AND(ISBLANK(INDEX(PlotData,MATCH($A320,PlotNumber,0),MATCH(H$3,PlotTitles,0)))=FALSE,INDEX(PlotData,MATCH($A320,PlotNumber,0),MATCH(H$3,PlotTitles,0))&lt;500), $AB$11,TRUE,"")</f>
        <v/>
      </c>
      <c r="I320" s="104" t="str" cm="1">
        <f t="array" ref="I320">_xlfn.IFS(AND(A320&gt;NumberOfPlots,ISBLANK(INDEX(PlotData,MATCH($A320,PlotNumber,0),MATCH(B$3,PlotTitles,0)))),"",ISBLANK(INDEX(PlotData,MATCH($A320,PlotNumber,0),MATCH(I$3,PlotTitles,0))),$AB$12,TRUE,"")</f>
        <v/>
      </c>
      <c r="J320" s="104" t="str" cm="1">
        <f t="array" ref="J320">_xlfn.IFS(AND(A320&gt;NumberOfPlots,ISBLANK(INDEX(PlotData,MATCH($A320,PlotNumber,0),MATCH(B$3,PlotTitles,0)))),"",ISBLANK(INDEX(PlotData,MATCH($A320,PlotNumber,0),MATCH(J$3,PlotTitles,0))),$AB$13,TRUE,"")</f>
        <v/>
      </c>
      <c r="K320" s="182" t="str">
        <f t="shared" ca="1" si="12"/>
        <v/>
      </c>
      <c r="L320" s="104" t="str" cm="1">
        <f t="array" ref="L320">_xlfn.IFS(OR(ISBLANK(StartDateMonth),ISBLANK(StartDateYear)),"",AND(A320&gt;NumberOfPlots,ISBLANK(INDEX(PlotData,MATCH($A320,PlotNumber,0),MATCH(B$3,PlotTitles,0)))),"",ISBLANK(INDEX(PlotData,MATCH($A320,PlotNumber,0),MATCH(I$3,PlotTitles,0))),"",(DATEVALUE(INDEX(PlotData,MATCH($A320,PlotNumber,0),MATCH(I$3,PlotTitles,0))&amp;INDEX(PlotData,MATCH($A320,PlotNumber,0),MATCH(J$3,PlotTitles,0))))&lt;DATEVALUE(StartDateMonth&amp;StartDateYear),$AB$15,TRUE,"")</f>
        <v/>
      </c>
      <c r="M320" s="104" t="str" cm="1">
        <f t="array" ref="M320">_xlfn.IFS(OR(ISBLANK(StartDateMonth),ISBLANK(StartDateYear)),"",AND(A320&gt;NumberOfPlots,ISBLANK(INDEX(PlotData,MATCH($A320,PlotNumber,0),MATCH(B$3,PlotTitles,0)))),"",ISBLANK(INDEX(PlotData,MATCH($A320,PlotNumber,0),MATCH(I$3,PlotTitles,0))),"",CompletionMonth="","",(DATEVALUE(INDEX(PlotData,MATCH($A320,PlotNumber,0),MATCH(I$3,PlotTitles,0))&amp;INDEX(PlotData,MATCH($A320,PlotNumber,0),MATCH(J$3,PlotTitles,0))))&gt;(DATEVALUE(CompletionMonth&amp;CompletionYear)),$AB$16,TRUE,"")</f>
        <v/>
      </c>
      <c r="N320" s="104" t="str" cm="1">
        <f t="array" ref="N320">_xlfn.IFS(AND(A320&gt;NumberOfPlots,ISBLANK(INDEX(PlotData,MATCH($A320,PlotNumber,0),MATCH(B$3,PlotTitles,0)))),"",ISBLANK(INDEX(PlotData,MATCH($A320,PlotNumber,0),MATCH(N$3,PlotTitles,0))),$AB$17,TRUE,"")</f>
        <v/>
      </c>
      <c r="O320" s="104" t="str" cm="1">
        <f t="array" ref="O320">_xlfn.IFS(AND(A320&gt;NumberOfPlots,ISBLANK(INDEX(PlotData,MATCH($A320,PlotNumber,0),MATCH(B$3,PlotTitles,0)))),"",ISBLANK(INDEX(PlotData,MATCH($A320,PlotNumber,0),MATCH(O$3,PlotTitles,0))),$AB$18,TRUE,"")</f>
        <v/>
      </c>
      <c r="P320" s="182" t="str">
        <f t="shared" ca="1" si="13"/>
        <v/>
      </c>
      <c r="Q320" s="104" t="str" cm="1">
        <f t="array" ref="Q320">_xlfn.IFS(AND(A320&gt;NumberOfPlots,ISBLANK(INDEX(PlotData,MATCH($A320,PlotNumber,0),MATCH(B$3,PlotTitles,0)))),"",ISBLANK(INDEX(PlotData,MATCH($A320,PlotNumber,0),MATCH(N$3,PlotTitles,0))),"",(DATEVALUE(INDEX(PlotData,MATCH($A320,PlotNumber,0),MATCH(N$3,PlotTitles,0))&amp;INDEX(PlotData,MATCH($A320,PlotNumber,0),MATCH(O$3,PlotTitles,0))))&lt;(DATEVALUE(INDEX(PlotData,MATCH($A320,PlotNumber,0),MATCH(I$3,PlotTitles,0))&amp;INDEX(PlotData,MATCH($A320,PlotNumber,0),MATCH(J$3,PlotTitles,0)))),$AB$20,TRUE,"")</f>
        <v/>
      </c>
      <c r="R320" s="104" t="str" cm="1">
        <f t="array" ref="R320">_xlfn.IFS(OR(ISBLANK(StartDateMonth),ISBLANK(StartDateYear)),"",AND(A320&gt;NumberOfPlots,ISBLANK(INDEX(PlotData,MATCH($A320,PlotNumber,0),MATCH(B$3,PlotTitles,0)))),"",ISBLANK(INDEX(PlotData,MATCH($A320,PlotNumber,0),MATCH(N$3,PlotTitles,0))),"",CompletionMonth="","",(DATEVALUE(INDEX(PlotData,MATCH($A320,PlotNumber,0),MATCH(N$3,PlotTitles,0))&amp;INDEX(PlotData,MATCH($A320,PlotNumber,0),MATCH(O$3,PlotTitles,0))))&gt;(DATEVALUE(CompletionMonth&amp;CompletionYear)),$AB$21,TRUE,"")</f>
        <v/>
      </c>
      <c r="S320" s="104" t="str" cm="1">
        <f t="array" ref="S320">_xlfn.IFS(AND(A320&gt;NumberOfPlots,ISBLANK(INDEX(PlotData,MATCH($A320,PlotNumber,0),MATCH(B$3,PlotTitles,0)))),"",OR(AND(INDEX(PlotData,MATCH($A320,PlotNumber,0),MATCH("Tenure",PlotTitles,0))="Open market housing",INDEX(PlotData,MATCH($A320,PlotNumber,0),MATCH("Tenure detail",PlotTitles,0))="Private rented sector"),INDEX(PlotData,MATCH($A320,PlotNumber,0),MATCH("Tenure",PlotTitles,0))="Affordable rent"),"",ISNUMBER(INDEX(PlotData,MATCH($A320,PlotNumber,0),MATCH(S$3,PlotTitles,0)))=FALSE, $AB$22,TRUE,"")</f>
        <v/>
      </c>
      <c r="T320" s="104" t="str" cm="1">
        <f t="array" ref="T320">_xlfn.IFS(AND(A320&gt;NumberOfPlots,ISBLANK(INDEX(PlotData,MATCH($A320,PlotNumber,0),MATCH(B$3,PlotTitles,0)))),"",OR(AND(INDEX(PlotData,MATCH($A320,PlotNumber,0),MATCH("Tenure",PlotTitles,0))="Open market housing",INDEX(PlotData,MATCH($A320,PlotNumber,0),MATCH("Tenure detail",PlotTitles,0))="Private rented sector"),INDEX(PlotData,MATCH($A320,PlotNumber,0),MATCH("Tenure",PlotTitles,0))="Affordable rent"),"",INDEX(PlotData,MATCH($A320,PlotNumber,0),MATCH(S$3,PlotTitles,0))&lt;10000, $AB$23,TRUE,"")</f>
        <v/>
      </c>
      <c r="U320" s="104" t="str" cm="1">
        <f t="array" ref="U320">_xlfn.IFS(AND(A320&gt;NumberOfPlots,ISBLANK(INDEX(PlotData,MATCH($A320,PlotNumber,0),MATCH(B$3,PlotTitles,0)))),"",NOT(OR(AND(INDEX(PlotData,MATCH($A320,PlotNumber,0),MATCH("Tenure",PlotTitles,0))="Open market housing",INDEX(PlotData,MATCH($A320,PlotNumber,0),MATCH("Tenure detail",PlotTitles,0))="Private rented sector"),INDEX(PlotData,MATCH($A320,PlotNumber,0),MATCH("Tenure",PlotTitles,0))="Affordable rent")),"",NOT(INDEX(PlotData,MATCH($A320,PlotNumber,0),MATCH(S$3,PlotTitles,0))=0), $AB$24,TRUE,"")</f>
        <v/>
      </c>
      <c r="V320" s="114" t="str" cm="1">
        <f t="array" aca="1" ref="V320" ca="1">_xlfn.IFS(ISBLANK(NumberOfPlots),"Enter the number of homes on the 1_SetUp sheet",AND(A320&gt;NumberOfPlots,ISBLANK(INDEX(PlotData,MATCH($A320,PlotNumber,0),MATCH(B$3,PlotTitles,0)))),"No error",NOT(B320=""),B320,NOT(C320=""),C320,NOT(D320=""),D320,NOT(E320=""),E320,NOT(F320=""),F320,NOT(G320=""),G320,NOT(H320=""),H320,NOT(I320=""),I320,NOT(J320=""),J320,NOT(K320=""),K320,NOT(L320=""),L320,NOT(M320=""),M320,NOT(N320=""),N320,NOT(O320=""),O320,NOT(P320=""),P320,NOT(Q320=""),Q320,NOT(R320=""),R320,NOT(S320=""),S320,NOT(T320=""),T320,NOT(U320=""),U320,TRUE,"No error")</f>
        <v>Enter the number of homes on the 1_SetUp sheet</v>
      </c>
      <c r="W320" s="114" t="str">
        <f t="shared" ca="1" si="14"/>
        <v xml:space="preserve">The Borrower has not addressed the following error messages for Home ID 316: </v>
      </c>
    </row>
    <row r="321" spans="1:23">
      <c r="A321" s="123">
        <v>317</v>
      </c>
      <c r="B321" s="104" t="str" cm="1">
        <f t="array" ref="B321">_xlfn.IFS(AND(A321&gt;NumberOfPlots,ISBLANK(INDEX(PlotData,MATCH($A321,PlotNumber,0),MATCH(B$3,PlotTitles,0)))),"",ISNUMBER(INDEX(PlotData,MATCH($A321,PlotNumber,0),MATCH(B$3,PlotTitles,0)))=FALSE, $AB$5,TRUE,"")</f>
        <v/>
      </c>
      <c r="C321" s="104" t="str" cm="1">
        <f t="array" ref="C321">_xlfn.IFS(AND(A321&gt;NumberOfPlots,ISBLANK(INDEX(PlotData,MATCH($A321,PlotNumber,0),MATCH(B$3,PlotTitles,0)))),"",ISBLANK(INDEX(PlotData,MATCH($A321,PlotNumber,0),MATCH(C$3,PlotTitles,0))),$AB$6,TRUE,"")</f>
        <v/>
      </c>
      <c r="D321" s="104" t="str" cm="1">
        <f t="array" ref="D321">_xlfn.IFS(AND(A321&gt;NumberOfPlots,ISBLANK(INDEX(PlotData,MATCH($A321,PlotNumber,0),MATCH(B$3,PlotTitles,0)))),"",ISBLANK(INDEX(PlotData,MATCH($A321,PlotNumber,0),MATCH(D$3,PlotTitles,0))),$AB$7,TRUE,"")</f>
        <v/>
      </c>
      <c r="E321" s="104" t="str" cm="1">
        <f t="array" ref="E321">_xlfn.IFS(AND(A321&gt;NumberOfPlots,ISBLANK(INDEX(PlotData,MATCH($A321,PlotNumber,0),MATCH(B$3,PlotTitles,0)))),"",ISBLANK(INDEX(PlotData,MATCH($A321,PlotNumber,0),MATCH(E$3,PlotTitles,0))),$AB$8,TRUE,"")</f>
        <v/>
      </c>
      <c r="F321" s="104" t="str" cm="1">
        <f t="array" ref="F321">_xlfn.IFS(AND(A321&gt;NumberOfPlots,ISBLANK(INDEX(PlotData,MATCH($A321,PlotNumber,0),MATCH(B$3,PlotTitles,0)))),"",ISBLANK(INDEX(PlotData,MATCH($A321,PlotNumber,0),MATCH(F$3,PlotTitles,0))),$AB$9,TRUE,"")</f>
        <v/>
      </c>
      <c r="G321" s="104" t="str" cm="1">
        <f t="array" ref="G321">_xlfn.IFS(AND(A321&gt;NumberOfPlots,ISBLANK(INDEX(PlotData,MATCH($A321,PlotNumber,0),MATCH(B$3,PlotTitles,0)))),"",ISBLANK(INDEX(PlotData,MATCH($A321,PlotNumber,0),MATCH(G$3,PlotTitles,0))),$AB$10,TRUE,"")</f>
        <v/>
      </c>
      <c r="H321" s="104" t="str" cm="1">
        <f t="array" ref="H321">_xlfn.IFS(AND(A321&gt;NumberOfPlots,ISBLANK(INDEX(PlotData,MATCH($A321,PlotNumber,0),MATCH(B$3,PlotTitles,0)))),"",AND(ISBLANK(INDEX(PlotData,MATCH($A321,PlotNumber,0),MATCH(H$3,PlotTitles,0)))=FALSE,INDEX(PlotData,MATCH($A321,PlotNumber,0),MATCH(H$3,PlotTitles,0))&lt;500), $AB$11,TRUE,"")</f>
        <v/>
      </c>
      <c r="I321" s="104" t="str" cm="1">
        <f t="array" ref="I321">_xlfn.IFS(AND(A321&gt;NumberOfPlots,ISBLANK(INDEX(PlotData,MATCH($A321,PlotNumber,0),MATCH(B$3,PlotTitles,0)))),"",ISBLANK(INDEX(PlotData,MATCH($A321,PlotNumber,0),MATCH(I$3,PlotTitles,0))),$AB$12,TRUE,"")</f>
        <v/>
      </c>
      <c r="J321" s="104" t="str" cm="1">
        <f t="array" ref="J321">_xlfn.IFS(AND(A321&gt;NumberOfPlots,ISBLANK(INDEX(PlotData,MATCH($A321,PlotNumber,0),MATCH(B$3,PlotTitles,0)))),"",ISBLANK(INDEX(PlotData,MATCH($A321,PlotNumber,0),MATCH(J$3,PlotTitles,0))),$AB$13,TRUE,"")</f>
        <v/>
      </c>
      <c r="K321" s="182" t="str">
        <f t="shared" ca="1" si="12"/>
        <v/>
      </c>
      <c r="L321" s="104" t="str" cm="1">
        <f t="array" ref="L321">_xlfn.IFS(OR(ISBLANK(StartDateMonth),ISBLANK(StartDateYear)),"",AND(A321&gt;NumberOfPlots,ISBLANK(INDEX(PlotData,MATCH($A321,PlotNumber,0),MATCH(B$3,PlotTitles,0)))),"",ISBLANK(INDEX(PlotData,MATCH($A321,PlotNumber,0),MATCH(I$3,PlotTitles,0))),"",(DATEVALUE(INDEX(PlotData,MATCH($A321,PlotNumber,0),MATCH(I$3,PlotTitles,0))&amp;INDEX(PlotData,MATCH($A321,PlotNumber,0),MATCH(J$3,PlotTitles,0))))&lt;DATEVALUE(StartDateMonth&amp;StartDateYear),$AB$15,TRUE,"")</f>
        <v/>
      </c>
      <c r="M321" s="104" t="str" cm="1">
        <f t="array" ref="M321">_xlfn.IFS(OR(ISBLANK(StartDateMonth),ISBLANK(StartDateYear)),"",AND(A321&gt;NumberOfPlots,ISBLANK(INDEX(PlotData,MATCH($A321,PlotNumber,0),MATCH(B$3,PlotTitles,0)))),"",ISBLANK(INDEX(PlotData,MATCH($A321,PlotNumber,0),MATCH(I$3,PlotTitles,0))),"",CompletionMonth="","",(DATEVALUE(INDEX(PlotData,MATCH($A321,PlotNumber,0),MATCH(I$3,PlotTitles,0))&amp;INDEX(PlotData,MATCH($A321,PlotNumber,0),MATCH(J$3,PlotTitles,0))))&gt;(DATEVALUE(CompletionMonth&amp;CompletionYear)),$AB$16,TRUE,"")</f>
        <v/>
      </c>
      <c r="N321" s="104" t="str" cm="1">
        <f t="array" ref="N321">_xlfn.IFS(AND(A321&gt;NumberOfPlots,ISBLANK(INDEX(PlotData,MATCH($A321,PlotNumber,0),MATCH(B$3,PlotTitles,0)))),"",ISBLANK(INDEX(PlotData,MATCH($A321,PlotNumber,0),MATCH(N$3,PlotTitles,0))),$AB$17,TRUE,"")</f>
        <v/>
      </c>
      <c r="O321" s="104" t="str" cm="1">
        <f t="array" ref="O321">_xlfn.IFS(AND(A321&gt;NumberOfPlots,ISBLANK(INDEX(PlotData,MATCH($A321,PlotNumber,0),MATCH(B$3,PlotTitles,0)))),"",ISBLANK(INDEX(PlotData,MATCH($A321,PlotNumber,0),MATCH(O$3,PlotTitles,0))),$AB$18,TRUE,"")</f>
        <v/>
      </c>
      <c r="P321" s="182" t="str">
        <f t="shared" ca="1" si="13"/>
        <v/>
      </c>
      <c r="Q321" s="104" t="str" cm="1">
        <f t="array" ref="Q321">_xlfn.IFS(AND(A321&gt;NumberOfPlots,ISBLANK(INDEX(PlotData,MATCH($A321,PlotNumber,0),MATCH(B$3,PlotTitles,0)))),"",ISBLANK(INDEX(PlotData,MATCH($A321,PlotNumber,0),MATCH(N$3,PlotTitles,0))),"",(DATEVALUE(INDEX(PlotData,MATCH($A321,PlotNumber,0),MATCH(N$3,PlotTitles,0))&amp;INDEX(PlotData,MATCH($A321,PlotNumber,0),MATCH(O$3,PlotTitles,0))))&lt;(DATEVALUE(INDEX(PlotData,MATCH($A321,PlotNumber,0),MATCH(I$3,PlotTitles,0))&amp;INDEX(PlotData,MATCH($A321,PlotNumber,0),MATCH(J$3,PlotTitles,0)))),$AB$20,TRUE,"")</f>
        <v/>
      </c>
      <c r="R321" s="104" t="str" cm="1">
        <f t="array" ref="R321">_xlfn.IFS(OR(ISBLANK(StartDateMonth),ISBLANK(StartDateYear)),"",AND(A321&gt;NumberOfPlots,ISBLANK(INDEX(PlotData,MATCH($A321,PlotNumber,0),MATCH(B$3,PlotTitles,0)))),"",ISBLANK(INDEX(PlotData,MATCH($A321,PlotNumber,0),MATCH(N$3,PlotTitles,0))),"",CompletionMonth="","",(DATEVALUE(INDEX(PlotData,MATCH($A321,PlotNumber,0),MATCH(N$3,PlotTitles,0))&amp;INDEX(PlotData,MATCH($A321,PlotNumber,0),MATCH(O$3,PlotTitles,0))))&gt;(DATEVALUE(CompletionMonth&amp;CompletionYear)),$AB$21,TRUE,"")</f>
        <v/>
      </c>
      <c r="S321" s="104" t="str" cm="1">
        <f t="array" ref="S321">_xlfn.IFS(AND(A321&gt;NumberOfPlots,ISBLANK(INDEX(PlotData,MATCH($A321,PlotNumber,0),MATCH(B$3,PlotTitles,0)))),"",OR(AND(INDEX(PlotData,MATCH($A321,PlotNumber,0),MATCH("Tenure",PlotTitles,0))="Open market housing",INDEX(PlotData,MATCH($A321,PlotNumber,0),MATCH("Tenure detail",PlotTitles,0))="Private rented sector"),INDEX(PlotData,MATCH($A321,PlotNumber,0),MATCH("Tenure",PlotTitles,0))="Affordable rent"),"",ISNUMBER(INDEX(PlotData,MATCH($A321,PlotNumber,0),MATCH(S$3,PlotTitles,0)))=FALSE, $AB$22,TRUE,"")</f>
        <v/>
      </c>
      <c r="T321" s="104" t="str" cm="1">
        <f t="array" ref="T321">_xlfn.IFS(AND(A321&gt;NumberOfPlots,ISBLANK(INDEX(PlotData,MATCH($A321,PlotNumber,0),MATCH(B$3,PlotTitles,0)))),"",OR(AND(INDEX(PlotData,MATCH($A321,PlotNumber,0),MATCH("Tenure",PlotTitles,0))="Open market housing",INDEX(PlotData,MATCH($A321,PlotNumber,0),MATCH("Tenure detail",PlotTitles,0))="Private rented sector"),INDEX(PlotData,MATCH($A321,PlotNumber,0),MATCH("Tenure",PlotTitles,0))="Affordable rent"),"",INDEX(PlotData,MATCH($A321,PlotNumber,0),MATCH(S$3,PlotTitles,0))&lt;10000, $AB$23,TRUE,"")</f>
        <v/>
      </c>
      <c r="U321" s="104" t="str" cm="1">
        <f t="array" ref="U321">_xlfn.IFS(AND(A321&gt;NumberOfPlots,ISBLANK(INDEX(PlotData,MATCH($A321,PlotNumber,0),MATCH(B$3,PlotTitles,0)))),"",NOT(OR(AND(INDEX(PlotData,MATCH($A321,PlotNumber,0),MATCH("Tenure",PlotTitles,0))="Open market housing",INDEX(PlotData,MATCH($A321,PlotNumber,0),MATCH("Tenure detail",PlotTitles,0))="Private rented sector"),INDEX(PlotData,MATCH($A321,PlotNumber,0),MATCH("Tenure",PlotTitles,0))="Affordable rent")),"",NOT(INDEX(PlotData,MATCH($A321,PlotNumber,0),MATCH(S$3,PlotTitles,0))=0), $AB$24,TRUE,"")</f>
        <v/>
      </c>
      <c r="V321" s="114" t="str" cm="1">
        <f t="array" aca="1" ref="V321" ca="1">_xlfn.IFS(ISBLANK(NumberOfPlots),"Enter the number of homes on the 1_SetUp sheet",AND(A321&gt;NumberOfPlots,ISBLANK(INDEX(PlotData,MATCH($A321,PlotNumber,0),MATCH(B$3,PlotTitles,0)))),"No error",NOT(B321=""),B321,NOT(C321=""),C321,NOT(D321=""),D321,NOT(E321=""),E321,NOT(F321=""),F321,NOT(G321=""),G321,NOT(H321=""),H321,NOT(I321=""),I321,NOT(J321=""),J321,NOT(K321=""),K321,NOT(L321=""),L321,NOT(M321=""),M321,NOT(N321=""),N321,NOT(O321=""),O321,NOT(P321=""),P321,NOT(Q321=""),Q321,NOT(R321=""),R321,NOT(S321=""),S321,NOT(T321=""),T321,NOT(U321=""),U321,TRUE,"No error")</f>
        <v>Enter the number of homes on the 1_SetUp sheet</v>
      </c>
      <c r="W321" s="114" t="str">
        <f t="shared" ca="1" si="14"/>
        <v xml:space="preserve">The Borrower has not addressed the following error messages for Home ID 317: </v>
      </c>
    </row>
    <row r="322" spans="1:23">
      <c r="A322" s="123">
        <v>318</v>
      </c>
      <c r="B322" s="104" t="str" cm="1">
        <f t="array" ref="B322">_xlfn.IFS(AND(A322&gt;NumberOfPlots,ISBLANK(INDEX(PlotData,MATCH($A322,PlotNumber,0),MATCH(B$3,PlotTitles,0)))),"",ISNUMBER(INDEX(PlotData,MATCH($A322,PlotNumber,0),MATCH(B$3,PlotTitles,0)))=FALSE, $AB$5,TRUE,"")</f>
        <v/>
      </c>
      <c r="C322" s="104" t="str" cm="1">
        <f t="array" ref="C322">_xlfn.IFS(AND(A322&gt;NumberOfPlots,ISBLANK(INDEX(PlotData,MATCH($A322,PlotNumber,0),MATCH(B$3,PlotTitles,0)))),"",ISBLANK(INDEX(PlotData,MATCH($A322,PlotNumber,0),MATCH(C$3,PlotTitles,0))),$AB$6,TRUE,"")</f>
        <v/>
      </c>
      <c r="D322" s="104" t="str" cm="1">
        <f t="array" ref="D322">_xlfn.IFS(AND(A322&gt;NumberOfPlots,ISBLANK(INDEX(PlotData,MATCH($A322,PlotNumber,0),MATCH(B$3,PlotTitles,0)))),"",ISBLANK(INDEX(PlotData,MATCH($A322,PlotNumber,0),MATCH(D$3,PlotTitles,0))),$AB$7,TRUE,"")</f>
        <v/>
      </c>
      <c r="E322" s="104" t="str" cm="1">
        <f t="array" ref="E322">_xlfn.IFS(AND(A322&gt;NumberOfPlots,ISBLANK(INDEX(PlotData,MATCH($A322,PlotNumber,0),MATCH(B$3,PlotTitles,0)))),"",ISBLANK(INDEX(PlotData,MATCH($A322,PlotNumber,0),MATCH(E$3,PlotTitles,0))),$AB$8,TRUE,"")</f>
        <v/>
      </c>
      <c r="F322" s="104" t="str" cm="1">
        <f t="array" ref="F322">_xlfn.IFS(AND(A322&gt;NumberOfPlots,ISBLANK(INDEX(PlotData,MATCH($A322,PlotNumber,0),MATCH(B$3,PlotTitles,0)))),"",ISBLANK(INDEX(PlotData,MATCH($A322,PlotNumber,0),MATCH(F$3,PlotTitles,0))),$AB$9,TRUE,"")</f>
        <v/>
      </c>
      <c r="G322" s="104" t="str" cm="1">
        <f t="array" ref="G322">_xlfn.IFS(AND(A322&gt;NumberOfPlots,ISBLANK(INDEX(PlotData,MATCH($A322,PlotNumber,0),MATCH(B$3,PlotTitles,0)))),"",ISBLANK(INDEX(PlotData,MATCH($A322,PlotNumber,0),MATCH(G$3,PlotTitles,0))),$AB$10,TRUE,"")</f>
        <v/>
      </c>
      <c r="H322" s="104" t="str" cm="1">
        <f t="array" ref="H322">_xlfn.IFS(AND(A322&gt;NumberOfPlots,ISBLANK(INDEX(PlotData,MATCH($A322,PlotNumber,0),MATCH(B$3,PlotTitles,0)))),"",AND(ISBLANK(INDEX(PlotData,MATCH($A322,PlotNumber,0),MATCH(H$3,PlotTitles,0)))=FALSE,INDEX(PlotData,MATCH($A322,PlotNumber,0),MATCH(H$3,PlotTitles,0))&lt;500), $AB$11,TRUE,"")</f>
        <v/>
      </c>
      <c r="I322" s="104" t="str" cm="1">
        <f t="array" ref="I322">_xlfn.IFS(AND(A322&gt;NumberOfPlots,ISBLANK(INDEX(PlotData,MATCH($A322,PlotNumber,0),MATCH(B$3,PlotTitles,0)))),"",ISBLANK(INDEX(PlotData,MATCH($A322,PlotNumber,0),MATCH(I$3,PlotTitles,0))),$AB$12,TRUE,"")</f>
        <v/>
      </c>
      <c r="J322" s="104" t="str" cm="1">
        <f t="array" ref="J322">_xlfn.IFS(AND(A322&gt;NumberOfPlots,ISBLANK(INDEX(PlotData,MATCH($A322,PlotNumber,0),MATCH(B$3,PlotTitles,0)))),"",ISBLANK(INDEX(PlotData,MATCH($A322,PlotNumber,0),MATCH(J$3,PlotTitles,0))),$AB$13,TRUE,"")</f>
        <v/>
      </c>
      <c r="K322" s="182" t="str">
        <f t="shared" ca="1" si="12"/>
        <v/>
      </c>
      <c r="L322" s="104" t="str" cm="1">
        <f t="array" ref="L322">_xlfn.IFS(OR(ISBLANK(StartDateMonth),ISBLANK(StartDateYear)),"",AND(A322&gt;NumberOfPlots,ISBLANK(INDEX(PlotData,MATCH($A322,PlotNumber,0),MATCH(B$3,PlotTitles,0)))),"",ISBLANK(INDEX(PlotData,MATCH($A322,PlotNumber,0),MATCH(I$3,PlotTitles,0))),"",(DATEVALUE(INDEX(PlotData,MATCH($A322,PlotNumber,0),MATCH(I$3,PlotTitles,0))&amp;INDEX(PlotData,MATCH($A322,PlotNumber,0),MATCH(J$3,PlotTitles,0))))&lt;DATEVALUE(StartDateMonth&amp;StartDateYear),$AB$15,TRUE,"")</f>
        <v/>
      </c>
      <c r="M322" s="104" t="str" cm="1">
        <f t="array" ref="M322">_xlfn.IFS(OR(ISBLANK(StartDateMonth),ISBLANK(StartDateYear)),"",AND(A322&gt;NumberOfPlots,ISBLANK(INDEX(PlotData,MATCH($A322,PlotNumber,0),MATCH(B$3,PlotTitles,0)))),"",ISBLANK(INDEX(PlotData,MATCH($A322,PlotNumber,0),MATCH(I$3,PlotTitles,0))),"",CompletionMonth="","",(DATEVALUE(INDEX(PlotData,MATCH($A322,PlotNumber,0),MATCH(I$3,PlotTitles,0))&amp;INDEX(PlotData,MATCH($A322,PlotNumber,0),MATCH(J$3,PlotTitles,0))))&gt;(DATEVALUE(CompletionMonth&amp;CompletionYear)),$AB$16,TRUE,"")</f>
        <v/>
      </c>
      <c r="N322" s="104" t="str" cm="1">
        <f t="array" ref="N322">_xlfn.IFS(AND(A322&gt;NumberOfPlots,ISBLANK(INDEX(PlotData,MATCH($A322,PlotNumber,0),MATCH(B$3,PlotTitles,0)))),"",ISBLANK(INDEX(PlotData,MATCH($A322,PlotNumber,0),MATCH(N$3,PlotTitles,0))),$AB$17,TRUE,"")</f>
        <v/>
      </c>
      <c r="O322" s="104" t="str" cm="1">
        <f t="array" ref="O322">_xlfn.IFS(AND(A322&gt;NumberOfPlots,ISBLANK(INDEX(PlotData,MATCH($A322,PlotNumber,0),MATCH(B$3,PlotTitles,0)))),"",ISBLANK(INDEX(PlotData,MATCH($A322,PlotNumber,0),MATCH(O$3,PlotTitles,0))),$AB$18,TRUE,"")</f>
        <v/>
      </c>
      <c r="P322" s="182" t="str">
        <f t="shared" ca="1" si="13"/>
        <v/>
      </c>
      <c r="Q322" s="104" t="str" cm="1">
        <f t="array" ref="Q322">_xlfn.IFS(AND(A322&gt;NumberOfPlots,ISBLANK(INDEX(PlotData,MATCH($A322,PlotNumber,0),MATCH(B$3,PlotTitles,0)))),"",ISBLANK(INDEX(PlotData,MATCH($A322,PlotNumber,0),MATCH(N$3,PlotTitles,0))),"",(DATEVALUE(INDEX(PlotData,MATCH($A322,PlotNumber,0),MATCH(N$3,PlotTitles,0))&amp;INDEX(PlotData,MATCH($A322,PlotNumber,0),MATCH(O$3,PlotTitles,0))))&lt;(DATEVALUE(INDEX(PlotData,MATCH($A322,PlotNumber,0),MATCH(I$3,PlotTitles,0))&amp;INDEX(PlotData,MATCH($A322,PlotNumber,0),MATCH(J$3,PlotTitles,0)))),$AB$20,TRUE,"")</f>
        <v/>
      </c>
      <c r="R322" s="104" t="str" cm="1">
        <f t="array" ref="R322">_xlfn.IFS(OR(ISBLANK(StartDateMonth),ISBLANK(StartDateYear)),"",AND(A322&gt;NumberOfPlots,ISBLANK(INDEX(PlotData,MATCH($A322,PlotNumber,0),MATCH(B$3,PlotTitles,0)))),"",ISBLANK(INDEX(PlotData,MATCH($A322,PlotNumber,0),MATCH(N$3,PlotTitles,0))),"",CompletionMonth="","",(DATEVALUE(INDEX(PlotData,MATCH($A322,PlotNumber,0),MATCH(N$3,PlotTitles,0))&amp;INDEX(PlotData,MATCH($A322,PlotNumber,0),MATCH(O$3,PlotTitles,0))))&gt;(DATEVALUE(CompletionMonth&amp;CompletionYear)),$AB$21,TRUE,"")</f>
        <v/>
      </c>
      <c r="S322" s="104" t="str" cm="1">
        <f t="array" ref="S322">_xlfn.IFS(AND(A322&gt;NumberOfPlots,ISBLANK(INDEX(PlotData,MATCH($A322,PlotNumber,0),MATCH(B$3,PlotTitles,0)))),"",OR(AND(INDEX(PlotData,MATCH($A322,PlotNumber,0),MATCH("Tenure",PlotTitles,0))="Open market housing",INDEX(PlotData,MATCH($A322,PlotNumber,0),MATCH("Tenure detail",PlotTitles,0))="Private rented sector"),INDEX(PlotData,MATCH($A322,PlotNumber,0),MATCH("Tenure",PlotTitles,0))="Affordable rent"),"",ISNUMBER(INDEX(PlotData,MATCH($A322,PlotNumber,0),MATCH(S$3,PlotTitles,0)))=FALSE, $AB$22,TRUE,"")</f>
        <v/>
      </c>
      <c r="T322" s="104" t="str" cm="1">
        <f t="array" ref="T322">_xlfn.IFS(AND(A322&gt;NumberOfPlots,ISBLANK(INDEX(PlotData,MATCH($A322,PlotNumber,0),MATCH(B$3,PlotTitles,0)))),"",OR(AND(INDEX(PlotData,MATCH($A322,PlotNumber,0),MATCH("Tenure",PlotTitles,0))="Open market housing",INDEX(PlotData,MATCH($A322,PlotNumber,0),MATCH("Tenure detail",PlotTitles,0))="Private rented sector"),INDEX(PlotData,MATCH($A322,PlotNumber,0),MATCH("Tenure",PlotTitles,0))="Affordable rent"),"",INDEX(PlotData,MATCH($A322,PlotNumber,0),MATCH(S$3,PlotTitles,0))&lt;10000, $AB$23,TRUE,"")</f>
        <v/>
      </c>
      <c r="U322" s="104" t="str" cm="1">
        <f t="array" ref="U322">_xlfn.IFS(AND(A322&gt;NumberOfPlots,ISBLANK(INDEX(PlotData,MATCH($A322,PlotNumber,0),MATCH(B$3,PlotTitles,0)))),"",NOT(OR(AND(INDEX(PlotData,MATCH($A322,PlotNumber,0),MATCH("Tenure",PlotTitles,0))="Open market housing",INDEX(PlotData,MATCH($A322,PlotNumber,0),MATCH("Tenure detail",PlotTitles,0))="Private rented sector"),INDEX(PlotData,MATCH($A322,PlotNumber,0),MATCH("Tenure",PlotTitles,0))="Affordable rent")),"",NOT(INDEX(PlotData,MATCH($A322,PlotNumber,0),MATCH(S$3,PlotTitles,0))=0), $AB$24,TRUE,"")</f>
        <v/>
      </c>
      <c r="V322" s="114" t="str" cm="1">
        <f t="array" aca="1" ref="V322" ca="1">_xlfn.IFS(ISBLANK(NumberOfPlots),"Enter the number of homes on the 1_SetUp sheet",AND(A322&gt;NumberOfPlots,ISBLANK(INDEX(PlotData,MATCH($A322,PlotNumber,0),MATCH(B$3,PlotTitles,0)))),"No error",NOT(B322=""),B322,NOT(C322=""),C322,NOT(D322=""),D322,NOT(E322=""),E322,NOT(F322=""),F322,NOT(G322=""),G322,NOT(H322=""),H322,NOT(I322=""),I322,NOT(J322=""),J322,NOT(K322=""),K322,NOT(L322=""),L322,NOT(M322=""),M322,NOT(N322=""),N322,NOT(O322=""),O322,NOT(P322=""),P322,NOT(Q322=""),Q322,NOT(R322=""),R322,NOT(S322=""),S322,NOT(T322=""),T322,NOT(U322=""),U322,TRUE,"No error")</f>
        <v>Enter the number of homes on the 1_SetUp sheet</v>
      </c>
      <c r="W322" s="114" t="str">
        <f t="shared" ca="1" si="14"/>
        <v xml:space="preserve">The Borrower has not addressed the following error messages for Home ID 318: </v>
      </c>
    </row>
    <row r="323" spans="1:23">
      <c r="A323" s="123">
        <v>319</v>
      </c>
      <c r="B323" s="104" t="str" cm="1">
        <f t="array" ref="B323">_xlfn.IFS(AND(A323&gt;NumberOfPlots,ISBLANK(INDEX(PlotData,MATCH($A323,PlotNumber,0),MATCH(B$3,PlotTitles,0)))),"",ISNUMBER(INDEX(PlotData,MATCH($A323,PlotNumber,0),MATCH(B$3,PlotTitles,0)))=FALSE, $AB$5,TRUE,"")</f>
        <v/>
      </c>
      <c r="C323" s="104" t="str" cm="1">
        <f t="array" ref="C323">_xlfn.IFS(AND(A323&gt;NumberOfPlots,ISBLANK(INDEX(PlotData,MATCH($A323,PlotNumber,0),MATCH(B$3,PlotTitles,0)))),"",ISBLANK(INDEX(PlotData,MATCH($A323,PlotNumber,0),MATCH(C$3,PlotTitles,0))),$AB$6,TRUE,"")</f>
        <v/>
      </c>
      <c r="D323" s="104" t="str" cm="1">
        <f t="array" ref="D323">_xlfn.IFS(AND(A323&gt;NumberOfPlots,ISBLANK(INDEX(PlotData,MATCH($A323,PlotNumber,0),MATCH(B$3,PlotTitles,0)))),"",ISBLANK(INDEX(PlotData,MATCH($A323,PlotNumber,0),MATCH(D$3,PlotTitles,0))),$AB$7,TRUE,"")</f>
        <v/>
      </c>
      <c r="E323" s="104" t="str" cm="1">
        <f t="array" ref="E323">_xlfn.IFS(AND(A323&gt;NumberOfPlots,ISBLANK(INDEX(PlotData,MATCH($A323,PlotNumber,0),MATCH(B$3,PlotTitles,0)))),"",ISBLANK(INDEX(PlotData,MATCH($A323,PlotNumber,0),MATCH(E$3,PlotTitles,0))),$AB$8,TRUE,"")</f>
        <v/>
      </c>
      <c r="F323" s="104" t="str" cm="1">
        <f t="array" ref="F323">_xlfn.IFS(AND(A323&gt;NumberOfPlots,ISBLANK(INDEX(PlotData,MATCH($A323,PlotNumber,0),MATCH(B$3,PlotTitles,0)))),"",ISBLANK(INDEX(PlotData,MATCH($A323,PlotNumber,0),MATCH(F$3,PlotTitles,0))),$AB$9,TRUE,"")</f>
        <v/>
      </c>
      <c r="G323" s="104" t="str" cm="1">
        <f t="array" ref="G323">_xlfn.IFS(AND(A323&gt;NumberOfPlots,ISBLANK(INDEX(PlotData,MATCH($A323,PlotNumber,0),MATCH(B$3,PlotTitles,0)))),"",ISBLANK(INDEX(PlotData,MATCH($A323,PlotNumber,0),MATCH(G$3,PlotTitles,0))),$AB$10,TRUE,"")</f>
        <v/>
      </c>
      <c r="H323" s="104" t="str" cm="1">
        <f t="array" ref="H323">_xlfn.IFS(AND(A323&gt;NumberOfPlots,ISBLANK(INDEX(PlotData,MATCH($A323,PlotNumber,0),MATCH(B$3,PlotTitles,0)))),"",AND(ISBLANK(INDEX(PlotData,MATCH($A323,PlotNumber,0),MATCH(H$3,PlotTitles,0)))=FALSE,INDEX(PlotData,MATCH($A323,PlotNumber,0),MATCH(H$3,PlotTitles,0))&lt;500), $AB$11,TRUE,"")</f>
        <v/>
      </c>
      <c r="I323" s="104" t="str" cm="1">
        <f t="array" ref="I323">_xlfn.IFS(AND(A323&gt;NumberOfPlots,ISBLANK(INDEX(PlotData,MATCH($A323,PlotNumber,0),MATCH(B$3,PlotTitles,0)))),"",ISBLANK(INDEX(PlotData,MATCH($A323,PlotNumber,0),MATCH(I$3,PlotTitles,0))),$AB$12,TRUE,"")</f>
        <v/>
      </c>
      <c r="J323" s="104" t="str" cm="1">
        <f t="array" ref="J323">_xlfn.IFS(AND(A323&gt;NumberOfPlots,ISBLANK(INDEX(PlotData,MATCH($A323,PlotNumber,0),MATCH(B$3,PlotTitles,0)))),"",ISBLANK(INDEX(PlotData,MATCH($A323,PlotNumber,0),MATCH(J$3,PlotTitles,0))),$AB$13,TRUE,"")</f>
        <v/>
      </c>
      <c r="K323" s="182" t="str">
        <f t="shared" ca="1" si="12"/>
        <v/>
      </c>
      <c r="L323" s="104" t="str" cm="1">
        <f t="array" ref="L323">_xlfn.IFS(OR(ISBLANK(StartDateMonth),ISBLANK(StartDateYear)),"",AND(A323&gt;NumberOfPlots,ISBLANK(INDEX(PlotData,MATCH($A323,PlotNumber,0),MATCH(B$3,PlotTitles,0)))),"",ISBLANK(INDEX(PlotData,MATCH($A323,PlotNumber,0),MATCH(I$3,PlotTitles,0))),"",(DATEVALUE(INDEX(PlotData,MATCH($A323,PlotNumber,0),MATCH(I$3,PlotTitles,0))&amp;INDEX(PlotData,MATCH($A323,PlotNumber,0),MATCH(J$3,PlotTitles,0))))&lt;DATEVALUE(StartDateMonth&amp;StartDateYear),$AB$15,TRUE,"")</f>
        <v/>
      </c>
      <c r="M323" s="104" t="str" cm="1">
        <f t="array" ref="M323">_xlfn.IFS(OR(ISBLANK(StartDateMonth),ISBLANK(StartDateYear)),"",AND(A323&gt;NumberOfPlots,ISBLANK(INDEX(PlotData,MATCH($A323,PlotNumber,0),MATCH(B$3,PlotTitles,0)))),"",ISBLANK(INDEX(PlotData,MATCH($A323,PlotNumber,0),MATCH(I$3,PlotTitles,0))),"",CompletionMonth="","",(DATEVALUE(INDEX(PlotData,MATCH($A323,PlotNumber,0),MATCH(I$3,PlotTitles,0))&amp;INDEX(PlotData,MATCH($A323,PlotNumber,0),MATCH(J$3,PlotTitles,0))))&gt;(DATEVALUE(CompletionMonth&amp;CompletionYear)),$AB$16,TRUE,"")</f>
        <v/>
      </c>
      <c r="N323" s="104" t="str" cm="1">
        <f t="array" ref="N323">_xlfn.IFS(AND(A323&gt;NumberOfPlots,ISBLANK(INDEX(PlotData,MATCH($A323,PlotNumber,0),MATCH(B$3,PlotTitles,0)))),"",ISBLANK(INDEX(PlotData,MATCH($A323,PlotNumber,0),MATCH(N$3,PlotTitles,0))),$AB$17,TRUE,"")</f>
        <v/>
      </c>
      <c r="O323" s="104" t="str" cm="1">
        <f t="array" ref="O323">_xlfn.IFS(AND(A323&gt;NumberOfPlots,ISBLANK(INDEX(PlotData,MATCH($A323,PlotNumber,0),MATCH(B$3,PlotTitles,0)))),"",ISBLANK(INDEX(PlotData,MATCH($A323,PlotNumber,0),MATCH(O$3,PlotTitles,0))),$AB$18,TRUE,"")</f>
        <v/>
      </c>
      <c r="P323" s="182" t="str">
        <f t="shared" ca="1" si="13"/>
        <v/>
      </c>
      <c r="Q323" s="104" t="str" cm="1">
        <f t="array" ref="Q323">_xlfn.IFS(AND(A323&gt;NumberOfPlots,ISBLANK(INDEX(PlotData,MATCH($A323,PlotNumber,0),MATCH(B$3,PlotTitles,0)))),"",ISBLANK(INDEX(PlotData,MATCH($A323,PlotNumber,0),MATCH(N$3,PlotTitles,0))),"",(DATEVALUE(INDEX(PlotData,MATCH($A323,PlotNumber,0),MATCH(N$3,PlotTitles,0))&amp;INDEX(PlotData,MATCH($A323,PlotNumber,0),MATCH(O$3,PlotTitles,0))))&lt;(DATEVALUE(INDEX(PlotData,MATCH($A323,PlotNumber,0),MATCH(I$3,PlotTitles,0))&amp;INDEX(PlotData,MATCH($A323,PlotNumber,0),MATCH(J$3,PlotTitles,0)))),$AB$20,TRUE,"")</f>
        <v/>
      </c>
      <c r="R323" s="104" t="str" cm="1">
        <f t="array" ref="R323">_xlfn.IFS(OR(ISBLANK(StartDateMonth),ISBLANK(StartDateYear)),"",AND(A323&gt;NumberOfPlots,ISBLANK(INDEX(PlotData,MATCH($A323,PlotNumber,0),MATCH(B$3,PlotTitles,0)))),"",ISBLANK(INDEX(PlotData,MATCH($A323,PlotNumber,0),MATCH(N$3,PlotTitles,0))),"",CompletionMonth="","",(DATEVALUE(INDEX(PlotData,MATCH($A323,PlotNumber,0),MATCH(N$3,PlotTitles,0))&amp;INDEX(PlotData,MATCH($A323,PlotNumber,0),MATCH(O$3,PlotTitles,0))))&gt;(DATEVALUE(CompletionMonth&amp;CompletionYear)),$AB$21,TRUE,"")</f>
        <v/>
      </c>
      <c r="S323" s="104" t="str" cm="1">
        <f t="array" ref="S323">_xlfn.IFS(AND(A323&gt;NumberOfPlots,ISBLANK(INDEX(PlotData,MATCH($A323,PlotNumber,0),MATCH(B$3,PlotTitles,0)))),"",OR(AND(INDEX(PlotData,MATCH($A323,PlotNumber,0),MATCH("Tenure",PlotTitles,0))="Open market housing",INDEX(PlotData,MATCH($A323,PlotNumber,0),MATCH("Tenure detail",PlotTitles,0))="Private rented sector"),INDEX(PlotData,MATCH($A323,PlotNumber,0),MATCH("Tenure",PlotTitles,0))="Affordable rent"),"",ISNUMBER(INDEX(PlotData,MATCH($A323,PlotNumber,0),MATCH(S$3,PlotTitles,0)))=FALSE, $AB$22,TRUE,"")</f>
        <v/>
      </c>
      <c r="T323" s="104" t="str" cm="1">
        <f t="array" ref="T323">_xlfn.IFS(AND(A323&gt;NumberOfPlots,ISBLANK(INDEX(PlotData,MATCH($A323,PlotNumber,0),MATCH(B$3,PlotTitles,0)))),"",OR(AND(INDEX(PlotData,MATCH($A323,PlotNumber,0),MATCH("Tenure",PlotTitles,0))="Open market housing",INDEX(PlotData,MATCH($A323,PlotNumber,0),MATCH("Tenure detail",PlotTitles,0))="Private rented sector"),INDEX(PlotData,MATCH($A323,PlotNumber,0),MATCH("Tenure",PlotTitles,0))="Affordable rent"),"",INDEX(PlotData,MATCH($A323,PlotNumber,0),MATCH(S$3,PlotTitles,0))&lt;10000, $AB$23,TRUE,"")</f>
        <v/>
      </c>
      <c r="U323" s="104" t="str" cm="1">
        <f t="array" ref="U323">_xlfn.IFS(AND(A323&gt;NumberOfPlots,ISBLANK(INDEX(PlotData,MATCH($A323,PlotNumber,0),MATCH(B$3,PlotTitles,0)))),"",NOT(OR(AND(INDEX(PlotData,MATCH($A323,PlotNumber,0),MATCH("Tenure",PlotTitles,0))="Open market housing",INDEX(PlotData,MATCH($A323,PlotNumber,0),MATCH("Tenure detail",PlotTitles,0))="Private rented sector"),INDEX(PlotData,MATCH($A323,PlotNumber,0),MATCH("Tenure",PlotTitles,0))="Affordable rent")),"",NOT(INDEX(PlotData,MATCH($A323,PlotNumber,0),MATCH(S$3,PlotTitles,0))=0), $AB$24,TRUE,"")</f>
        <v/>
      </c>
      <c r="V323" s="114" t="str" cm="1">
        <f t="array" aca="1" ref="V323" ca="1">_xlfn.IFS(ISBLANK(NumberOfPlots),"Enter the number of homes on the 1_SetUp sheet",AND(A323&gt;NumberOfPlots,ISBLANK(INDEX(PlotData,MATCH($A323,PlotNumber,0),MATCH(B$3,PlotTitles,0)))),"No error",NOT(B323=""),B323,NOT(C323=""),C323,NOT(D323=""),D323,NOT(E323=""),E323,NOT(F323=""),F323,NOT(G323=""),G323,NOT(H323=""),H323,NOT(I323=""),I323,NOT(J323=""),J323,NOT(K323=""),K323,NOT(L323=""),L323,NOT(M323=""),M323,NOT(N323=""),N323,NOT(O323=""),O323,NOT(P323=""),P323,NOT(Q323=""),Q323,NOT(R323=""),R323,NOT(S323=""),S323,NOT(T323=""),T323,NOT(U323=""),U323,TRUE,"No error")</f>
        <v>Enter the number of homes on the 1_SetUp sheet</v>
      </c>
      <c r="W323" s="114" t="str">
        <f t="shared" ca="1" si="14"/>
        <v xml:space="preserve">The Borrower has not addressed the following error messages for Home ID 319: </v>
      </c>
    </row>
    <row r="324" spans="1:23">
      <c r="A324" s="123">
        <v>320</v>
      </c>
      <c r="B324" s="104" t="str" cm="1">
        <f t="array" ref="B324">_xlfn.IFS(AND(A324&gt;NumberOfPlots,ISBLANK(INDEX(PlotData,MATCH($A324,PlotNumber,0),MATCH(B$3,PlotTitles,0)))),"",ISNUMBER(INDEX(PlotData,MATCH($A324,PlotNumber,0),MATCH(B$3,PlotTitles,0)))=FALSE, $AB$5,TRUE,"")</f>
        <v/>
      </c>
      <c r="C324" s="104" t="str" cm="1">
        <f t="array" ref="C324">_xlfn.IFS(AND(A324&gt;NumberOfPlots,ISBLANK(INDEX(PlotData,MATCH($A324,PlotNumber,0),MATCH(B$3,PlotTitles,0)))),"",ISBLANK(INDEX(PlotData,MATCH($A324,PlotNumber,0),MATCH(C$3,PlotTitles,0))),$AB$6,TRUE,"")</f>
        <v/>
      </c>
      <c r="D324" s="104" t="str" cm="1">
        <f t="array" ref="D324">_xlfn.IFS(AND(A324&gt;NumberOfPlots,ISBLANK(INDEX(PlotData,MATCH($A324,PlotNumber,0),MATCH(B$3,PlotTitles,0)))),"",ISBLANK(INDEX(PlotData,MATCH($A324,PlotNumber,0),MATCH(D$3,PlotTitles,0))),$AB$7,TRUE,"")</f>
        <v/>
      </c>
      <c r="E324" s="104" t="str" cm="1">
        <f t="array" ref="E324">_xlfn.IFS(AND(A324&gt;NumberOfPlots,ISBLANK(INDEX(PlotData,MATCH($A324,PlotNumber,0),MATCH(B$3,PlotTitles,0)))),"",ISBLANK(INDEX(PlotData,MATCH($A324,PlotNumber,0),MATCH(E$3,PlotTitles,0))),$AB$8,TRUE,"")</f>
        <v/>
      </c>
      <c r="F324" s="104" t="str" cm="1">
        <f t="array" ref="F324">_xlfn.IFS(AND(A324&gt;NumberOfPlots,ISBLANK(INDEX(PlotData,MATCH($A324,PlotNumber,0),MATCH(B$3,PlotTitles,0)))),"",ISBLANK(INDEX(PlotData,MATCH($A324,PlotNumber,0),MATCH(F$3,PlotTitles,0))),$AB$9,TRUE,"")</f>
        <v/>
      </c>
      <c r="G324" s="104" t="str" cm="1">
        <f t="array" ref="G324">_xlfn.IFS(AND(A324&gt;NumberOfPlots,ISBLANK(INDEX(PlotData,MATCH($A324,PlotNumber,0),MATCH(B$3,PlotTitles,0)))),"",ISBLANK(INDEX(PlotData,MATCH($A324,PlotNumber,0),MATCH(G$3,PlotTitles,0))),$AB$10,TRUE,"")</f>
        <v/>
      </c>
      <c r="H324" s="104" t="str" cm="1">
        <f t="array" ref="H324">_xlfn.IFS(AND(A324&gt;NumberOfPlots,ISBLANK(INDEX(PlotData,MATCH($A324,PlotNumber,0),MATCH(B$3,PlotTitles,0)))),"",AND(ISBLANK(INDEX(PlotData,MATCH($A324,PlotNumber,0),MATCH(H$3,PlotTitles,0)))=FALSE,INDEX(PlotData,MATCH($A324,PlotNumber,0),MATCH(H$3,PlotTitles,0))&lt;500), $AB$11,TRUE,"")</f>
        <v/>
      </c>
      <c r="I324" s="104" t="str" cm="1">
        <f t="array" ref="I324">_xlfn.IFS(AND(A324&gt;NumberOfPlots,ISBLANK(INDEX(PlotData,MATCH($A324,PlotNumber,0),MATCH(B$3,PlotTitles,0)))),"",ISBLANK(INDEX(PlotData,MATCH($A324,PlotNumber,0),MATCH(I$3,PlotTitles,0))),$AB$12,TRUE,"")</f>
        <v/>
      </c>
      <c r="J324" s="104" t="str" cm="1">
        <f t="array" ref="J324">_xlfn.IFS(AND(A324&gt;NumberOfPlots,ISBLANK(INDEX(PlotData,MATCH($A324,PlotNumber,0),MATCH(B$3,PlotTitles,0)))),"",ISBLANK(INDEX(PlotData,MATCH($A324,PlotNumber,0),MATCH(J$3,PlotTitles,0))),$AB$13,TRUE,"")</f>
        <v/>
      </c>
      <c r="K324" s="182" t="str">
        <f t="shared" ca="1" si="12"/>
        <v/>
      </c>
      <c r="L324" s="104" t="str" cm="1">
        <f t="array" ref="L324">_xlfn.IFS(OR(ISBLANK(StartDateMonth),ISBLANK(StartDateYear)),"",AND(A324&gt;NumberOfPlots,ISBLANK(INDEX(PlotData,MATCH($A324,PlotNumber,0),MATCH(B$3,PlotTitles,0)))),"",ISBLANK(INDEX(PlotData,MATCH($A324,PlotNumber,0),MATCH(I$3,PlotTitles,0))),"",(DATEVALUE(INDEX(PlotData,MATCH($A324,PlotNumber,0),MATCH(I$3,PlotTitles,0))&amp;INDEX(PlotData,MATCH($A324,PlotNumber,0),MATCH(J$3,PlotTitles,0))))&lt;DATEVALUE(StartDateMonth&amp;StartDateYear),$AB$15,TRUE,"")</f>
        <v/>
      </c>
      <c r="M324" s="104" t="str" cm="1">
        <f t="array" ref="M324">_xlfn.IFS(OR(ISBLANK(StartDateMonth),ISBLANK(StartDateYear)),"",AND(A324&gt;NumberOfPlots,ISBLANK(INDEX(PlotData,MATCH($A324,PlotNumber,0),MATCH(B$3,PlotTitles,0)))),"",ISBLANK(INDEX(PlotData,MATCH($A324,PlotNumber,0),MATCH(I$3,PlotTitles,0))),"",CompletionMonth="","",(DATEVALUE(INDEX(PlotData,MATCH($A324,PlotNumber,0),MATCH(I$3,PlotTitles,0))&amp;INDEX(PlotData,MATCH($A324,PlotNumber,0),MATCH(J$3,PlotTitles,0))))&gt;(DATEVALUE(CompletionMonth&amp;CompletionYear)),$AB$16,TRUE,"")</f>
        <v/>
      </c>
      <c r="N324" s="104" t="str" cm="1">
        <f t="array" ref="N324">_xlfn.IFS(AND(A324&gt;NumberOfPlots,ISBLANK(INDEX(PlotData,MATCH($A324,PlotNumber,0),MATCH(B$3,PlotTitles,0)))),"",ISBLANK(INDEX(PlotData,MATCH($A324,PlotNumber,0),MATCH(N$3,PlotTitles,0))),$AB$17,TRUE,"")</f>
        <v/>
      </c>
      <c r="O324" s="104" t="str" cm="1">
        <f t="array" ref="O324">_xlfn.IFS(AND(A324&gt;NumberOfPlots,ISBLANK(INDEX(PlotData,MATCH($A324,PlotNumber,0),MATCH(B$3,PlotTitles,0)))),"",ISBLANK(INDEX(PlotData,MATCH($A324,PlotNumber,0),MATCH(O$3,PlotTitles,0))),$AB$18,TRUE,"")</f>
        <v/>
      </c>
      <c r="P324" s="182" t="str">
        <f t="shared" ca="1" si="13"/>
        <v/>
      </c>
      <c r="Q324" s="104" t="str" cm="1">
        <f t="array" ref="Q324">_xlfn.IFS(AND(A324&gt;NumberOfPlots,ISBLANK(INDEX(PlotData,MATCH($A324,PlotNumber,0),MATCH(B$3,PlotTitles,0)))),"",ISBLANK(INDEX(PlotData,MATCH($A324,PlotNumber,0),MATCH(N$3,PlotTitles,0))),"",(DATEVALUE(INDEX(PlotData,MATCH($A324,PlotNumber,0),MATCH(N$3,PlotTitles,0))&amp;INDEX(PlotData,MATCH($A324,PlotNumber,0),MATCH(O$3,PlotTitles,0))))&lt;(DATEVALUE(INDEX(PlotData,MATCH($A324,PlotNumber,0),MATCH(I$3,PlotTitles,0))&amp;INDEX(PlotData,MATCH($A324,PlotNumber,0),MATCH(J$3,PlotTitles,0)))),$AB$20,TRUE,"")</f>
        <v/>
      </c>
      <c r="R324" s="104" t="str" cm="1">
        <f t="array" ref="R324">_xlfn.IFS(OR(ISBLANK(StartDateMonth),ISBLANK(StartDateYear)),"",AND(A324&gt;NumberOfPlots,ISBLANK(INDEX(PlotData,MATCH($A324,PlotNumber,0),MATCH(B$3,PlotTitles,0)))),"",ISBLANK(INDEX(PlotData,MATCH($A324,PlotNumber,0),MATCH(N$3,PlotTitles,0))),"",CompletionMonth="","",(DATEVALUE(INDEX(PlotData,MATCH($A324,PlotNumber,0),MATCH(N$3,PlotTitles,0))&amp;INDEX(PlotData,MATCH($A324,PlotNumber,0),MATCH(O$3,PlotTitles,0))))&gt;(DATEVALUE(CompletionMonth&amp;CompletionYear)),$AB$21,TRUE,"")</f>
        <v/>
      </c>
      <c r="S324" s="104" t="str" cm="1">
        <f t="array" ref="S324">_xlfn.IFS(AND(A324&gt;NumberOfPlots,ISBLANK(INDEX(PlotData,MATCH($A324,PlotNumber,0),MATCH(B$3,PlotTitles,0)))),"",OR(AND(INDEX(PlotData,MATCH($A324,PlotNumber,0),MATCH("Tenure",PlotTitles,0))="Open market housing",INDEX(PlotData,MATCH($A324,PlotNumber,0),MATCH("Tenure detail",PlotTitles,0))="Private rented sector"),INDEX(PlotData,MATCH($A324,PlotNumber,0),MATCH("Tenure",PlotTitles,0))="Affordable rent"),"",ISNUMBER(INDEX(PlotData,MATCH($A324,PlotNumber,0),MATCH(S$3,PlotTitles,0)))=FALSE, $AB$22,TRUE,"")</f>
        <v/>
      </c>
      <c r="T324" s="104" t="str" cm="1">
        <f t="array" ref="T324">_xlfn.IFS(AND(A324&gt;NumberOfPlots,ISBLANK(INDEX(PlotData,MATCH($A324,PlotNumber,0),MATCH(B$3,PlotTitles,0)))),"",OR(AND(INDEX(PlotData,MATCH($A324,PlotNumber,0),MATCH("Tenure",PlotTitles,0))="Open market housing",INDEX(PlotData,MATCH($A324,PlotNumber,0),MATCH("Tenure detail",PlotTitles,0))="Private rented sector"),INDEX(PlotData,MATCH($A324,PlotNumber,0),MATCH("Tenure",PlotTitles,0))="Affordable rent"),"",INDEX(PlotData,MATCH($A324,PlotNumber,0),MATCH(S$3,PlotTitles,0))&lt;10000, $AB$23,TRUE,"")</f>
        <v/>
      </c>
      <c r="U324" s="104" t="str" cm="1">
        <f t="array" ref="U324">_xlfn.IFS(AND(A324&gt;NumberOfPlots,ISBLANK(INDEX(PlotData,MATCH($A324,PlotNumber,0),MATCH(B$3,PlotTitles,0)))),"",NOT(OR(AND(INDEX(PlotData,MATCH($A324,PlotNumber,0),MATCH("Tenure",PlotTitles,0))="Open market housing",INDEX(PlotData,MATCH($A324,PlotNumber,0),MATCH("Tenure detail",PlotTitles,0))="Private rented sector"),INDEX(PlotData,MATCH($A324,PlotNumber,0),MATCH("Tenure",PlotTitles,0))="Affordable rent")),"",NOT(INDEX(PlotData,MATCH($A324,PlotNumber,0),MATCH(S$3,PlotTitles,0))=0), $AB$24,TRUE,"")</f>
        <v/>
      </c>
      <c r="V324" s="114" t="str" cm="1">
        <f t="array" aca="1" ref="V324" ca="1">_xlfn.IFS(ISBLANK(NumberOfPlots),"Enter the number of homes on the 1_SetUp sheet",AND(A324&gt;NumberOfPlots,ISBLANK(INDEX(PlotData,MATCH($A324,PlotNumber,0),MATCH(B$3,PlotTitles,0)))),"No error",NOT(B324=""),B324,NOT(C324=""),C324,NOT(D324=""),D324,NOT(E324=""),E324,NOT(F324=""),F324,NOT(G324=""),G324,NOT(H324=""),H324,NOT(I324=""),I324,NOT(J324=""),J324,NOT(K324=""),K324,NOT(L324=""),L324,NOT(M324=""),M324,NOT(N324=""),N324,NOT(O324=""),O324,NOT(P324=""),P324,NOT(Q324=""),Q324,NOT(R324=""),R324,NOT(S324=""),S324,NOT(T324=""),T324,NOT(U324=""),U324,TRUE,"No error")</f>
        <v>Enter the number of homes on the 1_SetUp sheet</v>
      </c>
      <c r="W324" s="114" t="str">
        <f t="shared" ca="1" si="14"/>
        <v xml:space="preserve">The Borrower has not addressed the following error messages for Home ID 320: </v>
      </c>
    </row>
    <row r="325" spans="1:23">
      <c r="A325" s="123">
        <v>321</v>
      </c>
      <c r="B325" s="104" t="str" cm="1">
        <f t="array" ref="B325">_xlfn.IFS(AND(A325&gt;NumberOfPlots,ISBLANK(INDEX(PlotData,MATCH($A325,PlotNumber,0),MATCH(B$3,PlotTitles,0)))),"",ISNUMBER(INDEX(PlotData,MATCH($A325,PlotNumber,0),MATCH(B$3,PlotTitles,0)))=FALSE, $AB$5,TRUE,"")</f>
        <v/>
      </c>
      <c r="C325" s="104" t="str" cm="1">
        <f t="array" ref="C325">_xlfn.IFS(AND(A325&gt;NumberOfPlots,ISBLANK(INDEX(PlotData,MATCH($A325,PlotNumber,0),MATCH(B$3,PlotTitles,0)))),"",ISBLANK(INDEX(PlotData,MATCH($A325,PlotNumber,0),MATCH(C$3,PlotTitles,0))),$AB$6,TRUE,"")</f>
        <v/>
      </c>
      <c r="D325" s="104" t="str" cm="1">
        <f t="array" ref="D325">_xlfn.IFS(AND(A325&gt;NumberOfPlots,ISBLANK(INDEX(PlotData,MATCH($A325,PlotNumber,0),MATCH(B$3,PlotTitles,0)))),"",ISBLANK(INDEX(PlotData,MATCH($A325,PlotNumber,0),MATCH(D$3,PlotTitles,0))),$AB$7,TRUE,"")</f>
        <v/>
      </c>
      <c r="E325" s="104" t="str" cm="1">
        <f t="array" ref="E325">_xlfn.IFS(AND(A325&gt;NumberOfPlots,ISBLANK(INDEX(PlotData,MATCH($A325,PlotNumber,0),MATCH(B$3,PlotTitles,0)))),"",ISBLANK(INDEX(PlotData,MATCH($A325,PlotNumber,0),MATCH(E$3,PlotTitles,0))),$AB$8,TRUE,"")</f>
        <v/>
      </c>
      <c r="F325" s="104" t="str" cm="1">
        <f t="array" ref="F325">_xlfn.IFS(AND(A325&gt;NumberOfPlots,ISBLANK(INDEX(PlotData,MATCH($A325,PlotNumber,0),MATCH(B$3,PlotTitles,0)))),"",ISBLANK(INDEX(PlotData,MATCH($A325,PlotNumber,0),MATCH(F$3,PlotTitles,0))),$AB$9,TRUE,"")</f>
        <v/>
      </c>
      <c r="G325" s="104" t="str" cm="1">
        <f t="array" ref="G325">_xlfn.IFS(AND(A325&gt;NumberOfPlots,ISBLANK(INDEX(PlotData,MATCH($A325,PlotNumber,0),MATCH(B$3,PlotTitles,0)))),"",ISBLANK(INDEX(PlotData,MATCH($A325,PlotNumber,0),MATCH(G$3,PlotTitles,0))),$AB$10,TRUE,"")</f>
        <v/>
      </c>
      <c r="H325" s="104" t="str" cm="1">
        <f t="array" ref="H325">_xlfn.IFS(AND(A325&gt;NumberOfPlots,ISBLANK(INDEX(PlotData,MATCH($A325,PlotNumber,0),MATCH(B$3,PlotTitles,0)))),"",AND(ISBLANK(INDEX(PlotData,MATCH($A325,PlotNumber,0),MATCH(H$3,PlotTitles,0)))=FALSE,INDEX(PlotData,MATCH($A325,PlotNumber,0),MATCH(H$3,PlotTitles,0))&lt;500), $AB$11,TRUE,"")</f>
        <v/>
      </c>
      <c r="I325" s="104" t="str" cm="1">
        <f t="array" ref="I325">_xlfn.IFS(AND(A325&gt;NumberOfPlots,ISBLANK(INDEX(PlotData,MATCH($A325,PlotNumber,0),MATCH(B$3,PlotTitles,0)))),"",ISBLANK(INDEX(PlotData,MATCH($A325,PlotNumber,0),MATCH(I$3,PlotTitles,0))),$AB$12,TRUE,"")</f>
        <v/>
      </c>
      <c r="J325" s="104" t="str" cm="1">
        <f t="array" ref="J325">_xlfn.IFS(AND(A325&gt;NumberOfPlots,ISBLANK(INDEX(PlotData,MATCH($A325,PlotNumber,0),MATCH(B$3,PlotTitles,0)))),"",ISBLANK(INDEX(PlotData,MATCH($A325,PlotNumber,0),MATCH(J$3,PlotTitles,0))),$AB$13,TRUE,"")</f>
        <v/>
      </c>
      <c r="K325" s="182" t="str">
        <f t="shared" ref="K325:K388" ca="1" si="15">IF(AND(A325&gt;NumberOfPlots,ISBLANK(INDEX(PlotData,MATCH($A325,PlotNumber,0),MATCH(B$3,PlotTitles,0)))),"",IF(ISBLANK(INDEX(PlotData,MATCH($A325,PlotNumber,0),MATCH(I$3,PlotTitles,0)))=FALSE,IF(ISBLANK(INDEX(PlotData,MATCH($A325,PlotNumber,0),MATCH(J$3,PlotTitles,0)))=FALSE,IF((DATEVALUE(INDEX(PlotData,MATCH($A325,PlotNumber,0),MATCH(I$3,PlotTitles,0))&amp;INDEX(PlotData,MATCH($A325,PlotNumber,0),MATCH(J$3,PlotTitles,0))))&lt;(DATEVALUE(TEXT(TODAY(),"DD")&amp;"/"&amp;TEXT(TODAY(),"MM")&amp;"/"&amp;TEXT(TODAY(),"YYYY"))),$AB$14,"")),""))</f>
        <v/>
      </c>
      <c r="L325" s="104" t="str" cm="1">
        <f t="array" ref="L325">_xlfn.IFS(OR(ISBLANK(StartDateMonth),ISBLANK(StartDateYear)),"",AND(A325&gt;NumberOfPlots,ISBLANK(INDEX(PlotData,MATCH($A325,PlotNumber,0),MATCH(B$3,PlotTitles,0)))),"",ISBLANK(INDEX(PlotData,MATCH($A325,PlotNumber,0),MATCH(I$3,PlotTitles,0))),"",(DATEVALUE(INDEX(PlotData,MATCH($A325,PlotNumber,0),MATCH(I$3,PlotTitles,0))&amp;INDEX(PlotData,MATCH($A325,PlotNumber,0),MATCH(J$3,PlotTitles,0))))&lt;DATEVALUE(StartDateMonth&amp;StartDateYear),$AB$15,TRUE,"")</f>
        <v/>
      </c>
      <c r="M325" s="104" t="str" cm="1">
        <f t="array" ref="M325">_xlfn.IFS(OR(ISBLANK(StartDateMonth),ISBLANK(StartDateYear)),"",AND(A325&gt;NumberOfPlots,ISBLANK(INDEX(PlotData,MATCH($A325,PlotNumber,0),MATCH(B$3,PlotTitles,0)))),"",ISBLANK(INDEX(PlotData,MATCH($A325,PlotNumber,0),MATCH(I$3,PlotTitles,0))),"",CompletionMonth="","",(DATEVALUE(INDEX(PlotData,MATCH($A325,PlotNumber,0),MATCH(I$3,PlotTitles,0))&amp;INDEX(PlotData,MATCH($A325,PlotNumber,0),MATCH(J$3,PlotTitles,0))))&gt;(DATEVALUE(CompletionMonth&amp;CompletionYear)),$AB$16,TRUE,"")</f>
        <v/>
      </c>
      <c r="N325" s="104" t="str" cm="1">
        <f t="array" ref="N325">_xlfn.IFS(AND(A325&gt;NumberOfPlots,ISBLANK(INDEX(PlotData,MATCH($A325,PlotNumber,0),MATCH(B$3,PlotTitles,0)))),"",ISBLANK(INDEX(PlotData,MATCH($A325,PlotNumber,0),MATCH(N$3,PlotTitles,0))),$AB$17,TRUE,"")</f>
        <v/>
      </c>
      <c r="O325" s="104" t="str" cm="1">
        <f t="array" ref="O325">_xlfn.IFS(AND(A325&gt;NumberOfPlots,ISBLANK(INDEX(PlotData,MATCH($A325,PlotNumber,0),MATCH(B$3,PlotTitles,0)))),"",ISBLANK(INDEX(PlotData,MATCH($A325,PlotNumber,0),MATCH(O$3,PlotTitles,0))),$AB$18,TRUE,"")</f>
        <v/>
      </c>
      <c r="P325" s="182" t="str">
        <f t="shared" ref="P325:P388" ca="1" si="16">IF(AND(A325&gt;NumberOfPlots,ISBLANK(INDEX(PlotData,MATCH($A325,PlotNumber,0),MATCH(B$3,PlotTitles,0)))),"",IF(ISBLANK(INDEX(PlotData,MATCH($A325,PlotNumber,0),MATCH(N$3,PlotTitles,0)))=FALSE,IF(ISBLANK(INDEX(PlotData,MATCH($A325,PlotNumber,0),MATCH(O$3,PlotTitles,0)))=FALSE,IF((DATEVALUE(INDEX(PlotData,MATCH($A325,PlotNumber,0),MATCH(N$3,PlotTitles,0))&amp;INDEX(PlotData,MATCH($A325,PlotNumber,0),MATCH(O$3,PlotTitles,0))))&lt;(DATEVALUE(TEXT(TODAY(),"DD")&amp;"/"&amp;TEXT(TODAY(),"MM")&amp;"/"&amp;TEXT(TODAY(),"YYYY"))),$AB$19,"")),""))</f>
        <v/>
      </c>
      <c r="Q325" s="104" t="str" cm="1">
        <f t="array" ref="Q325">_xlfn.IFS(AND(A325&gt;NumberOfPlots,ISBLANK(INDEX(PlotData,MATCH($A325,PlotNumber,0),MATCH(B$3,PlotTitles,0)))),"",ISBLANK(INDEX(PlotData,MATCH($A325,PlotNumber,0),MATCH(N$3,PlotTitles,0))),"",(DATEVALUE(INDEX(PlotData,MATCH($A325,PlotNumber,0),MATCH(N$3,PlotTitles,0))&amp;INDEX(PlotData,MATCH($A325,PlotNumber,0),MATCH(O$3,PlotTitles,0))))&lt;(DATEVALUE(INDEX(PlotData,MATCH($A325,PlotNumber,0),MATCH(I$3,PlotTitles,0))&amp;INDEX(PlotData,MATCH($A325,PlotNumber,0),MATCH(J$3,PlotTitles,0)))),$AB$20,TRUE,"")</f>
        <v/>
      </c>
      <c r="R325" s="104" t="str" cm="1">
        <f t="array" ref="R325">_xlfn.IFS(OR(ISBLANK(StartDateMonth),ISBLANK(StartDateYear)),"",AND(A325&gt;NumberOfPlots,ISBLANK(INDEX(PlotData,MATCH($A325,PlotNumber,0),MATCH(B$3,PlotTitles,0)))),"",ISBLANK(INDEX(PlotData,MATCH($A325,PlotNumber,0),MATCH(N$3,PlotTitles,0))),"",CompletionMonth="","",(DATEVALUE(INDEX(PlotData,MATCH($A325,PlotNumber,0),MATCH(N$3,PlotTitles,0))&amp;INDEX(PlotData,MATCH($A325,PlotNumber,0),MATCH(O$3,PlotTitles,0))))&gt;(DATEVALUE(CompletionMonth&amp;CompletionYear)),$AB$21,TRUE,"")</f>
        <v/>
      </c>
      <c r="S325" s="104" t="str" cm="1">
        <f t="array" ref="S325">_xlfn.IFS(AND(A325&gt;NumberOfPlots,ISBLANK(INDEX(PlotData,MATCH($A325,PlotNumber,0),MATCH(B$3,PlotTitles,0)))),"",OR(AND(INDEX(PlotData,MATCH($A325,PlotNumber,0),MATCH("Tenure",PlotTitles,0))="Open market housing",INDEX(PlotData,MATCH($A325,PlotNumber,0),MATCH("Tenure detail",PlotTitles,0))="Private rented sector"),INDEX(PlotData,MATCH($A325,PlotNumber,0),MATCH("Tenure",PlotTitles,0))="Affordable rent"),"",ISNUMBER(INDEX(PlotData,MATCH($A325,PlotNumber,0),MATCH(S$3,PlotTitles,0)))=FALSE, $AB$22,TRUE,"")</f>
        <v/>
      </c>
      <c r="T325" s="104" t="str" cm="1">
        <f t="array" ref="T325">_xlfn.IFS(AND(A325&gt;NumberOfPlots,ISBLANK(INDEX(PlotData,MATCH($A325,PlotNumber,0),MATCH(B$3,PlotTitles,0)))),"",OR(AND(INDEX(PlotData,MATCH($A325,PlotNumber,0),MATCH("Tenure",PlotTitles,0))="Open market housing",INDEX(PlotData,MATCH($A325,PlotNumber,0),MATCH("Tenure detail",PlotTitles,0))="Private rented sector"),INDEX(PlotData,MATCH($A325,PlotNumber,0),MATCH("Tenure",PlotTitles,0))="Affordable rent"),"",INDEX(PlotData,MATCH($A325,PlotNumber,0),MATCH(S$3,PlotTitles,0))&lt;10000, $AB$23,TRUE,"")</f>
        <v/>
      </c>
      <c r="U325" s="104" t="str" cm="1">
        <f t="array" ref="U325">_xlfn.IFS(AND(A325&gt;NumberOfPlots,ISBLANK(INDEX(PlotData,MATCH($A325,PlotNumber,0),MATCH(B$3,PlotTitles,0)))),"",NOT(OR(AND(INDEX(PlotData,MATCH($A325,PlotNumber,0),MATCH("Tenure",PlotTitles,0))="Open market housing",INDEX(PlotData,MATCH($A325,PlotNumber,0),MATCH("Tenure detail",PlotTitles,0))="Private rented sector"),INDEX(PlotData,MATCH($A325,PlotNumber,0),MATCH("Tenure",PlotTitles,0))="Affordable rent")),"",NOT(INDEX(PlotData,MATCH($A325,PlotNumber,0),MATCH(S$3,PlotTitles,0))=0), $AB$24,TRUE,"")</f>
        <v/>
      </c>
      <c r="V325" s="114" t="str" cm="1">
        <f t="array" aca="1" ref="V325" ca="1">_xlfn.IFS(ISBLANK(NumberOfPlots),"Enter the number of homes on the 1_SetUp sheet",AND(A325&gt;NumberOfPlots,ISBLANK(INDEX(PlotData,MATCH($A325,PlotNumber,0),MATCH(B$3,PlotTitles,0)))),"No error",NOT(B325=""),B325,NOT(C325=""),C325,NOT(D325=""),D325,NOT(E325=""),E325,NOT(F325=""),F325,NOT(G325=""),G325,NOT(H325=""),H325,NOT(I325=""),I325,NOT(J325=""),J325,NOT(K325=""),K325,NOT(L325=""),L325,NOT(M325=""),M325,NOT(N325=""),N325,NOT(O325=""),O325,NOT(P325=""),P325,NOT(Q325=""),Q325,NOT(R325=""),R325,NOT(S325=""),S325,NOT(T325=""),T325,NOT(U325=""),U325,TRUE,"No error")</f>
        <v>Enter the number of homes on the 1_SetUp sheet</v>
      </c>
      <c r="W325" s="114" t="str">
        <f t="shared" ca="1" si="14"/>
        <v xml:space="preserve">The Borrower has not addressed the following error messages for Home ID 321: </v>
      </c>
    </row>
    <row r="326" spans="1:23">
      <c r="A326" s="123">
        <v>322</v>
      </c>
      <c r="B326" s="104" t="str" cm="1">
        <f t="array" ref="B326">_xlfn.IFS(AND(A326&gt;NumberOfPlots,ISBLANK(INDEX(PlotData,MATCH($A326,PlotNumber,0),MATCH(B$3,PlotTitles,0)))),"",ISNUMBER(INDEX(PlotData,MATCH($A326,PlotNumber,0),MATCH(B$3,PlotTitles,0)))=FALSE, $AB$5,TRUE,"")</f>
        <v/>
      </c>
      <c r="C326" s="104" t="str" cm="1">
        <f t="array" ref="C326">_xlfn.IFS(AND(A326&gt;NumberOfPlots,ISBLANK(INDEX(PlotData,MATCH($A326,PlotNumber,0),MATCH(B$3,PlotTitles,0)))),"",ISBLANK(INDEX(PlotData,MATCH($A326,PlotNumber,0),MATCH(C$3,PlotTitles,0))),$AB$6,TRUE,"")</f>
        <v/>
      </c>
      <c r="D326" s="104" t="str" cm="1">
        <f t="array" ref="D326">_xlfn.IFS(AND(A326&gt;NumberOfPlots,ISBLANK(INDEX(PlotData,MATCH($A326,PlotNumber,0),MATCH(B$3,PlotTitles,0)))),"",ISBLANK(INDEX(PlotData,MATCH($A326,PlotNumber,0),MATCH(D$3,PlotTitles,0))),$AB$7,TRUE,"")</f>
        <v/>
      </c>
      <c r="E326" s="104" t="str" cm="1">
        <f t="array" ref="E326">_xlfn.IFS(AND(A326&gt;NumberOfPlots,ISBLANK(INDEX(PlotData,MATCH($A326,PlotNumber,0),MATCH(B$3,PlotTitles,0)))),"",ISBLANK(INDEX(PlotData,MATCH($A326,PlotNumber,0),MATCH(E$3,PlotTitles,0))),$AB$8,TRUE,"")</f>
        <v/>
      </c>
      <c r="F326" s="104" t="str" cm="1">
        <f t="array" ref="F326">_xlfn.IFS(AND(A326&gt;NumberOfPlots,ISBLANK(INDEX(PlotData,MATCH($A326,PlotNumber,0),MATCH(B$3,PlotTitles,0)))),"",ISBLANK(INDEX(PlotData,MATCH($A326,PlotNumber,0),MATCH(F$3,PlotTitles,0))),$AB$9,TRUE,"")</f>
        <v/>
      </c>
      <c r="G326" s="104" t="str" cm="1">
        <f t="array" ref="G326">_xlfn.IFS(AND(A326&gt;NumberOfPlots,ISBLANK(INDEX(PlotData,MATCH($A326,PlotNumber,0),MATCH(B$3,PlotTitles,0)))),"",ISBLANK(INDEX(PlotData,MATCH($A326,PlotNumber,0),MATCH(G$3,PlotTitles,0))),$AB$10,TRUE,"")</f>
        <v/>
      </c>
      <c r="H326" s="104" t="str" cm="1">
        <f t="array" ref="H326">_xlfn.IFS(AND(A326&gt;NumberOfPlots,ISBLANK(INDEX(PlotData,MATCH($A326,PlotNumber,0),MATCH(B$3,PlotTitles,0)))),"",AND(ISBLANK(INDEX(PlotData,MATCH($A326,PlotNumber,0),MATCH(H$3,PlotTitles,0)))=FALSE,INDEX(PlotData,MATCH($A326,PlotNumber,0),MATCH(H$3,PlotTitles,0))&lt;500), $AB$11,TRUE,"")</f>
        <v/>
      </c>
      <c r="I326" s="104" t="str" cm="1">
        <f t="array" ref="I326">_xlfn.IFS(AND(A326&gt;NumberOfPlots,ISBLANK(INDEX(PlotData,MATCH($A326,PlotNumber,0),MATCH(B$3,PlotTitles,0)))),"",ISBLANK(INDEX(PlotData,MATCH($A326,PlotNumber,0),MATCH(I$3,PlotTitles,0))),$AB$12,TRUE,"")</f>
        <v/>
      </c>
      <c r="J326" s="104" t="str" cm="1">
        <f t="array" ref="J326">_xlfn.IFS(AND(A326&gt;NumberOfPlots,ISBLANK(INDEX(PlotData,MATCH($A326,PlotNumber,0),MATCH(B$3,PlotTitles,0)))),"",ISBLANK(INDEX(PlotData,MATCH($A326,PlotNumber,0),MATCH(J$3,PlotTitles,0))),$AB$13,TRUE,"")</f>
        <v/>
      </c>
      <c r="K326" s="182" t="str">
        <f t="shared" ca="1" si="15"/>
        <v/>
      </c>
      <c r="L326" s="104" t="str" cm="1">
        <f t="array" ref="L326">_xlfn.IFS(OR(ISBLANK(StartDateMonth),ISBLANK(StartDateYear)),"",AND(A326&gt;NumberOfPlots,ISBLANK(INDEX(PlotData,MATCH($A326,PlotNumber,0),MATCH(B$3,PlotTitles,0)))),"",ISBLANK(INDEX(PlotData,MATCH($A326,PlotNumber,0),MATCH(I$3,PlotTitles,0))),"",(DATEVALUE(INDEX(PlotData,MATCH($A326,PlotNumber,0),MATCH(I$3,PlotTitles,0))&amp;INDEX(PlotData,MATCH($A326,PlotNumber,0),MATCH(J$3,PlotTitles,0))))&lt;DATEVALUE(StartDateMonth&amp;StartDateYear),$AB$15,TRUE,"")</f>
        <v/>
      </c>
      <c r="M326" s="104" t="str" cm="1">
        <f t="array" ref="M326">_xlfn.IFS(OR(ISBLANK(StartDateMonth),ISBLANK(StartDateYear)),"",AND(A326&gt;NumberOfPlots,ISBLANK(INDEX(PlotData,MATCH($A326,PlotNumber,0),MATCH(B$3,PlotTitles,0)))),"",ISBLANK(INDEX(PlotData,MATCH($A326,PlotNumber,0),MATCH(I$3,PlotTitles,0))),"",CompletionMonth="","",(DATEVALUE(INDEX(PlotData,MATCH($A326,PlotNumber,0),MATCH(I$3,PlotTitles,0))&amp;INDEX(PlotData,MATCH($A326,PlotNumber,0),MATCH(J$3,PlotTitles,0))))&gt;(DATEVALUE(CompletionMonth&amp;CompletionYear)),$AB$16,TRUE,"")</f>
        <v/>
      </c>
      <c r="N326" s="104" t="str" cm="1">
        <f t="array" ref="N326">_xlfn.IFS(AND(A326&gt;NumberOfPlots,ISBLANK(INDEX(PlotData,MATCH($A326,PlotNumber,0),MATCH(B$3,PlotTitles,0)))),"",ISBLANK(INDEX(PlotData,MATCH($A326,PlotNumber,0),MATCH(N$3,PlotTitles,0))),$AB$17,TRUE,"")</f>
        <v/>
      </c>
      <c r="O326" s="104" t="str" cm="1">
        <f t="array" ref="O326">_xlfn.IFS(AND(A326&gt;NumberOfPlots,ISBLANK(INDEX(PlotData,MATCH($A326,PlotNumber,0),MATCH(B$3,PlotTitles,0)))),"",ISBLANK(INDEX(PlotData,MATCH($A326,PlotNumber,0),MATCH(O$3,PlotTitles,0))),$AB$18,TRUE,"")</f>
        <v/>
      </c>
      <c r="P326" s="182" t="str">
        <f t="shared" ca="1" si="16"/>
        <v/>
      </c>
      <c r="Q326" s="104" t="str" cm="1">
        <f t="array" ref="Q326">_xlfn.IFS(AND(A326&gt;NumberOfPlots,ISBLANK(INDEX(PlotData,MATCH($A326,PlotNumber,0),MATCH(B$3,PlotTitles,0)))),"",ISBLANK(INDEX(PlotData,MATCH($A326,PlotNumber,0),MATCH(N$3,PlotTitles,0))),"",(DATEVALUE(INDEX(PlotData,MATCH($A326,PlotNumber,0),MATCH(N$3,PlotTitles,0))&amp;INDEX(PlotData,MATCH($A326,PlotNumber,0),MATCH(O$3,PlotTitles,0))))&lt;(DATEVALUE(INDEX(PlotData,MATCH($A326,PlotNumber,0),MATCH(I$3,PlotTitles,0))&amp;INDEX(PlotData,MATCH($A326,PlotNumber,0),MATCH(J$3,PlotTitles,0)))),$AB$20,TRUE,"")</f>
        <v/>
      </c>
      <c r="R326" s="104" t="str" cm="1">
        <f t="array" ref="R326">_xlfn.IFS(OR(ISBLANK(StartDateMonth),ISBLANK(StartDateYear)),"",AND(A326&gt;NumberOfPlots,ISBLANK(INDEX(PlotData,MATCH($A326,PlotNumber,0),MATCH(B$3,PlotTitles,0)))),"",ISBLANK(INDEX(PlotData,MATCH($A326,PlotNumber,0),MATCH(N$3,PlotTitles,0))),"",CompletionMonth="","",(DATEVALUE(INDEX(PlotData,MATCH($A326,PlotNumber,0),MATCH(N$3,PlotTitles,0))&amp;INDEX(PlotData,MATCH($A326,PlotNumber,0),MATCH(O$3,PlotTitles,0))))&gt;(DATEVALUE(CompletionMonth&amp;CompletionYear)),$AB$21,TRUE,"")</f>
        <v/>
      </c>
      <c r="S326" s="104" t="str" cm="1">
        <f t="array" ref="S326">_xlfn.IFS(AND(A326&gt;NumberOfPlots,ISBLANK(INDEX(PlotData,MATCH($A326,PlotNumber,0),MATCH(B$3,PlotTitles,0)))),"",OR(AND(INDEX(PlotData,MATCH($A326,PlotNumber,0),MATCH("Tenure",PlotTitles,0))="Open market housing",INDEX(PlotData,MATCH($A326,PlotNumber,0),MATCH("Tenure detail",PlotTitles,0))="Private rented sector"),INDEX(PlotData,MATCH($A326,PlotNumber,0),MATCH("Tenure",PlotTitles,0))="Affordable rent"),"",ISNUMBER(INDEX(PlotData,MATCH($A326,PlotNumber,0),MATCH(S$3,PlotTitles,0)))=FALSE, $AB$22,TRUE,"")</f>
        <v/>
      </c>
      <c r="T326" s="104" t="str" cm="1">
        <f t="array" ref="T326">_xlfn.IFS(AND(A326&gt;NumberOfPlots,ISBLANK(INDEX(PlotData,MATCH($A326,PlotNumber,0),MATCH(B$3,PlotTitles,0)))),"",OR(AND(INDEX(PlotData,MATCH($A326,PlotNumber,0),MATCH("Tenure",PlotTitles,0))="Open market housing",INDEX(PlotData,MATCH($A326,PlotNumber,0),MATCH("Tenure detail",PlotTitles,0))="Private rented sector"),INDEX(PlotData,MATCH($A326,PlotNumber,0),MATCH("Tenure",PlotTitles,0))="Affordable rent"),"",INDEX(PlotData,MATCH($A326,PlotNumber,0),MATCH(S$3,PlotTitles,0))&lt;10000, $AB$23,TRUE,"")</f>
        <v/>
      </c>
      <c r="U326" s="104" t="str" cm="1">
        <f t="array" ref="U326">_xlfn.IFS(AND(A326&gt;NumberOfPlots,ISBLANK(INDEX(PlotData,MATCH($A326,PlotNumber,0),MATCH(B$3,PlotTitles,0)))),"",NOT(OR(AND(INDEX(PlotData,MATCH($A326,PlotNumber,0),MATCH("Tenure",PlotTitles,0))="Open market housing",INDEX(PlotData,MATCH($A326,PlotNumber,0),MATCH("Tenure detail",PlotTitles,0))="Private rented sector"),INDEX(PlotData,MATCH($A326,PlotNumber,0),MATCH("Tenure",PlotTitles,0))="Affordable rent")),"",NOT(INDEX(PlotData,MATCH($A326,PlotNumber,0),MATCH(S$3,PlotTitles,0))=0), $AB$24,TRUE,"")</f>
        <v/>
      </c>
      <c r="V326" s="114" t="str" cm="1">
        <f t="array" aca="1" ref="V326" ca="1">_xlfn.IFS(ISBLANK(NumberOfPlots),"Enter the number of homes on the 1_SetUp sheet",AND(A326&gt;NumberOfPlots,ISBLANK(INDEX(PlotData,MATCH($A326,PlotNumber,0),MATCH(B$3,PlotTitles,0)))),"No error",NOT(B326=""),B326,NOT(C326=""),C326,NOT(D326=""),D326,NOT(E326=""),E326,NOT(F326=""),F326,NOT(G326=""),G326,NOT(H326=""),H326,NOT(I326=""),I326,NOT(J326=""),J326,NOT(K326=""),K326,NOT(L326=""),L326,NOT(M326=""),M326,NOT(N326=""),N326,NOT(O326=""),O326,NOT(P326=""),P326,NOT(Q326=""),Q326,NOT(R326=""),R326,NOT(S326=""),S326,NOT(T326=""),T326,NOT(U326=""),U326,TRUE,"No error")</f>
        <v>Enter the number of homes on the 1_SetUp sheet</v>
      </c>
      <c r="W326" s="114" t="str">
        <f t="shared" ref="W326:W389" ca="1" si="17">IF($V326="No error","","The Borrower has not addressed the following error messages for Home ID "&amp;$A326&amp;": "&amp;_xlfn.TEXTJOIN(". ",TRUE,$B326:$T326))</f>
        <v xml:space="preserve">The Borrower has not addressed the following error messages for Home ID 322: </v>
      </c>
    </row>
    <row r="327" spans="1:23">
      <c r="A327" s="123">
        <v>323</v>
      </c>
      <c r="B327" s="104" t="str" cm="1">
        <f t="array" ref="B327">_xlfn.IFS(AND(A327&gt;NumberOfPlots,ISBLANK(INDEX(PlotData,MATCH($A327,PlotNumber,0),MATCH(B$3,PlotTitles,0)))),"",ISNUMBER(INDEX(PlotData,MATCH($A327,PlotNumber,0),MATCH(B$3,PlotTitles,0)))=FALSE, $AB$5,TRUE,"")</f>
        <v/>
      </c>
      <c r="C327" s="104" t="str" cm="1">
        <f t="array" ref="C327">_xlfn.IFS(AND(A327&gt;NumberOfPlots,ISBLANK(INDEX(PlotData,MATCH($A327,PlotNumber,0),MATCH(B$3,PlotTitles,0)))),"",ISBLANK(INDEX(PlotData,MATCH($A327,PlotNumber,0),MATCH(C$3,PlotTitles,0))),$AB$6,TRUE,"")</f>
        <v/>
      </c>
      <c r="D327" s="104" t="str" cm="1">
        <f t="array" ref="D327">_xlfn.IFS(AND(A327&gt;NumberOfPlots,ISBLANK(INDEX(PlotData,MATCH($A327,PlotNumber,0),MATCH(B$3,PlotTitles,0)))),"",ISBLANK(INDEX(PlotData,MATCH($A327,PlotNumber,0),MATCH(D$3,PlotTitles,0))),$AB$7,TRUE,"")</f>
        <v/>
      </c>
      <c r="E327" s="104" t="str" cm="1">
        <f t="array" ref="E327">_xlfn.IFS(AND(A327&gt;NumberOfPlots,ISBLANK(INDEX(PlotData,MATCH($A327,PlotNumber,0),MATCH(B$3,PlotTitles,0)))),"",ISBLANK(INDEX(PlotData,MATCH($A327,PlotNumber,0),MATCH(E$3,PlotTitles,0))),$AB$8,TRUE,"")</f>
        <v/>
      </c>
      <c r="F327" s="104" t="str" cm="1">
        <f t="array" ref="F327">_xlfn.IFS(AND(A327&gt;NumberOfPlots,ISBLANK(INDEX(PlotData,MATCH($A327,PlotNumber,0),MATCH(B$3,PlotTitles,0)))),"",ISBLANK(INDEX(PlotData,MATCH($A327,PlotNumber,0),MATCH(F$3,PlotTitles,0))),$AB$9,TRUE,"")</f>
        <v/>
      </c>
      <c r="G327" s="104" t="str" cm="1">
        <f t="array" ref="G327">_xlfn.IFS(AND(A327&gt;NumberOfPlots,ISBLANK(INDEX(PlotData,MATCH($A327,PlotNumber,0),MATCH(B$3,PlotTitles,0)))),"",ISBLANK(INDEX(PlotData,MATCH($A327,PlotNumber,0),MATCH(G$3,PlotTitles,0))),$AB$10,TRUE,"")</f>
        <v/>
      </c>
      <c r="H327" s="104" t="str" cm="1">
        <f t="array" ref="H327">_xlfn.IFS(AND(A327&gt;NumberOfPlots,ISBLANK(INDEX(PlotData,MATCH($A327,PlotNumber,0),MATCH(B$3,PlotTitles,0)))),"",AND(ISBLANK(INDEX(PlotData,MATCH($A327,PlotNumber,0),MATCH(H$3,PlotTitles,0)))=FALSE,INDEX(PlotData,MATCH($A327,PlotNumber,0),MATCH(H$3,PlotTitles,0))&lt;500), $AB$11,TRUE,"")</f>
        <v/>
      </c>
      <c r="I327" s="104" t="str" cm="1">
        <f t="array" ref="I327">_xlfn.IFS(AND(A327&gt;NumberOfPlots,ISBLANK(INDEX(PlotData,MATCH($A327,PlotNumber,0),MATCH(B$3,PlotTitles,0)))),"",ISBLANK(INDEX(PlotData,MATCH($A327,PlotNumber,0),MATCH(I$3,PlotTitles,0))),$AB$12,TRUE,"")</f>
        <v/>
      </c>
      <c r="J327" s="104" t="str" cm="1">
        <f t="array" ref="J327">_xlfn.IFS(AND(A327&gt;NumberOfPlots,ISBLANK(INDEX(PlotData,MATCH($A327,PlotNumber,0),MATCH(B$3,PlotTitles,0)))),"",ISBLANK(INDEX(PlotData,MATCH($A327,PlotNumber,0),MATCH(J$3,PlotTitles,0))),$AB$13,TRUE,"")</f>
        <v/>
      </c>
      <c r="K327" s="182" t="str">
        <f t="shared" ca="1" si="15"/>
        <v/>
      </c>
      <c r="L327" s="104" t="str" cm="1">
        <f t="array" ref="L327">_xlfn.IFS(OR(ISBLANK(StartDateMonth),ISBLANK(StartDateYear)),"",AND(A327&gt;NumberOfPlots,ISBLANK(INDEX(PlotData,MATCH($A327,PlotNumber,0),MATCH(B$3,PlotTitles,0)))),"",ISBLANK(INDEX(PlotData,MATCH($A327,PlotNumber,0),MATCH(I$3,PlotTitles,0))),"",(DATEVALUE(INDEX(PlotData,MATCH($A327,PlotNumber,0),MATCH(I$3,PlotTitles,0))&amp;INDEX(PlotData,MATCH($A327,PlotNumber,0),MATCH(J$3,PlotTitles,0))))&lt;DATEVALUE(StartDateMonth&amp;StartDateYear),$AB$15,TRUE,"")</f>
        <v/>
      </c>
      <c r="M327" s="104" t="str" cm="1">
        <f t="array" ref="M327">_xlfn.IFS(OR(ISBLANK(StartDateMonth),ISBLANK(StartDateYear)),"",AND(A327&gt;NumberOfPlots,ISBLANK(INDEX(PlotData,MATCH($A327,PlotNumber,0),MATCH(B$3,PlotTitles,0)))),"",ISBLANK(INDEX(PlotData,MATCH($A327,PlotNumber,0),MATCH(I$3,PlotTitles,0))),"",CompletionMonth="","",(DATEVALUE(INDEX(PlotData,MATCH($A327,PlotNumber,0),MATCH(I$3,PlotTitles,0))&amp;INDEX(PlotData,MATCH($A327,PlotNumber,0),MATCH(J$3,PlotTitles,0))))&gt;(DATEVALUE(CompletionMonth&amp;CompletionYear)),$AB$16,TRUE,"")</f>
        <v/>
      </c>
      <c r="N327" s="104" t="str" cm="1">
        <f t="array" ref="N327">_xlfn.IFS(AND(A327&gt;NumberOfPlots,ISBLANK(INDEX(PlotData,MATCH($A327,PlotNumber,0),MATCH(B$3,PlotTitles,0)))),"",ISBLANK(INDEX(PlotData,MATCH($A327,PlotNumber,0),MATCH(N$3,PlotTitles,0))),$AB$17,TRUE,"")</f>
        <v/>
      </c>
      <c r="O327" s="104" t="str" cm="1">
        <f t="array" ref="O327">_xlfn.IFS(AND(A327&gt;NumberOfPlots,ISBLANK(INDEX(PlotData,MATCH($A327,PlotNumber,0),MATCH(B$3,PlotTitles,0)))),"",ISBLANK(INDEX(PlotData,MATCH($A327,PlotNumber,0),MATCH(O$3,PlotTitles,0))),$AB$18,TRUE,"")</f>
        <v/>
      </c>
      <c r="P327" s="182" t="str">
        <f t="shared" ca="1" si="16"/>
        <v/>
      </c>
      <c r="Q327" s="104" t="str" cm="1">
        <f t="array" ref="Q327">_xlfn.IFS(AND(A327&gt;NumberOfPlots,ISBLANK(INDEX(PlotData,MATCH($A327,PlotNumber,0),MATCH(B$3,PlotTitles,0)))),"",ISBLANK(INDEX(PlotData,MATCH($A327,PlotNumber,0),MATCH(N$3,PlotTitles,0))),"",(DATEVALUE(INDEX(PlotData,MATCH($A327,PlotNumber,0),MATCH(N$3,PlotTitles,0))&amp;INDEX(PlotData,MATCH($A327,PlotNumber,0),MATCH(O$3,PlotTitles,0))))&lt;(DATEVALUE(INDEX(PlotData,MATCH($A327,PlotNumber,0),MATCH(I$3,PlotTitles,0))&amp;INDEX(PlotData,MATCH($A327,PlotNumber,0),MATCH(J$3,PlotTitles,0)))),$AB$20,TRUE,"")</f>
        <v/>
      </c>
      <c r="R327" s="104" t="str" cm="1">
        <f t="array" ref="R327">_xlfn.IFS(OR(ISBLANK(StartDateMonth),ISBLANK(StartDateYear)),"",AND(A327&gt;NumberOfPlots,ISBLANK(INDEX(PlotData,MATCH($A327,PlotNumber,0),MATCH(B$3,PlotTitles,0)))),"",ISBLANK(INDEX(PlotData,MATCH($A327,PlotNumber,0),MATCH(N$3,PlotTitles,0))),"",CompletionMonth="","",(DATEVALUE(INDEX(PlotData,MATCH($A327,PlotNumber,0),MATCH(N$3,PlotTitles,0))&amp;INDEX(PlotData,MATCH($A327,PlotNumber,0),MATCH(O$3,PlotTitles,0))))&gt;(DATEVALUE(CompletionMonth&amp;CompletionYear)),$AB$21,TRUE,"")</f>
        <v/>
      </c>
      <c r="S327" s="104" t="str" cm="1">
        <f t="array" ref="S327">_xlfn.IFS(AND(A327&gt;NumberOfPlots,ISBLANK(INDEX(PlotData,MATCH($A327,PlotNumber,0),MATCH(B$3,PlotTitles,0)))),"",OR(AND(INDEX(PlotData,MATCH($A327,PlotNumber,0),MATCH("Tenure",PlotTitles,0))="Open market housing",INDEX(PlotData,MATCH($A327,PlotNumber,0),MATCH("Tenure detail",PlotTitles,0))="Private rented sector"),INDEX(PlotData,MATCH($A327,PlotNumber,0),MATCH("Tenure",PlotTitles,0))="Affordable rent"),"",ISNUMBER(INDEX(PlotData,MATCH($A327,PlotNumber,0),MATCH(S$3,PlotTitles,0)))=FALSE, $AB$22,TRUE,"")</f>
        <v/>
      </c>
      <c r="T327" s="104" t="str" cm="1">
        <f t="array" ref="T327">_xlfn.IFS(AND(A327&gt;NumberOfPlots,ISBLANK(INDEX(PlotData,MATCH($A327,PlotNumber,0),MATCH(B$3,PlotTitles,0)))),"",OR(AND(INDEX(PlotData,MATCH($A327,PlotNumber,0),MATCH("Tenure",PlotTitles,0))="Open market housing",INDEX(PlotData,MATCH($A327,PlotNumber,0),MATCH("Tenure detail",PlotTitles,0))="Private rented sector"),INDEX(PlotData,MATCH($A327,PlotNumber,0),MATCH("Tenure",PlotTitles,0))="Affordable rent"),"",INDEX(PlotData,MATCH($A327,PlotNumber,0),MATCH(S$3,PlotTitles,0))&lt;10000, $AB$23,TRUE,"")</f>
        <v/>
      </c>
      <c r="U327" s="104" t="str" cm="1">
        <f t="array" ref="U327">_xlfn.IFS(AND(A327&gt;NumberOfPlots,ISBLANK(INDEX(PlotData,MATCH($A327,PlotNumber,0),MATCH(B$3,PlotTitles,0)))),"",NOT(OR(AND(INDEX(PlotData,MATCH($A327,PlotNumber,0),MATCH("Tenure",PlotTitles,0))="Open market housing",INDEX(PlotData,MATCH($A327,PlotNumber,0),MATCH("Tenure detail",PlotTitles,0))="Private rented sector"),INDEX(PlotData,MATCH($A327,PlotNumber,0),MATCH("Tenure",PlotTitles,0))="Affordable rent")),"",NOT(INDEX(PlotData,MATCH($A327,PlotNumber,0),MATCH(S$3,PlotTitles,0))=0), $AB$24,TRUE,"")</f>
        <v/>
      </c>
      <c r="V327" s="114" t="str" cm="1">
        <f t="array" aca="1" ref="V327" ca="1">_xlfn.IFS(ISBLANK(NumberOfPlots),"Enter the number of homes on the 1_SetUp sheet",AND(A327&gt;NumberOfPlots,ISBLANK(INDEX(PlotData,MATCH($A327,PlotNumber,0),MATCH(B$3,PlotTitles,0)))),"No error",NOT(B327=""),B327,NOT(C327=""),C327,NOT(D327=""),D327,NOT(E327=""),E327,NOT(F327=""),F327,NOT(G327=""),G327,NOT(H327=""),H327,NOT(I327=""),I327,NOT(J327=""),J327,NOT(K327=""),K327,NOT(L327=""),L327,NOT(M327=""),M327,NOT(N327=""),N327,NOT(O327=""),O327,NOT(P327=""),P327,NOT(Q327=""),Q327,NOT(R327=""),R327,NOT(S327=""),S327,NOT(T327=""),T327,NOT(U327=""),U327,TRUE,"No error")</f>
        <v>Enter the number of homes on the 1_SetUp sheet</v>
      </c>
      <c r="W327" s="114" t="str">
        <f t="shared" ca="1" si="17"/>
        <v xml:space="preserve">The Borrower has not addressed the following error messages for Home ID 323: </v>
      </c>
    </row>
    <row r="328" spans="1:23">
      <c r="A328" s="123">
        <v>324</v>
      </c>
      <c r="B328" s="104" t="str" cm="1">
        <f t="array" ref="B328">_xlfn.IFS(AND(A328&gt;NumberOfPlots,ISBLANK(INDEX(PlotData,MATCH($A328,PlotNumber,0),MATCH(B$3,PlotTitles,0)))),"",ISNUMBER(INDEX(PlotData,MATCH($A328,PlotNumber,0),MATCH(B$3,PlotTitles,0)))=FALSE, $AB$5,TRUE,"")</f>
        <v/>
      </c>
      <c r="C328" s="104" t="str" cm="1">
        <f t="array" ref="C328">_xlfn.IFS(AND(A328&gt;NumberOfPlots,ISBLANK(INDEX(PlotData,MATCH($A328,PlotNumber,0),MATCH(B$3,PlotTitles,0)))),"",ISBLANK(INDEX(PlotData,MATCH($A328,PlotNumber,0),MATCH(C$3,PlotTitles,0))),$AB$6,TRUE,"")</f>
        <v/>
      </c>
      <c r="D328" s="104" t="str" cm="1">
        <f t="array" ref="D328">_xlfn.IFS(AND(A328&gt;NumberOfPlots,ISBLANK(INDEX(PlotData,MATCH($A328,PlotNumber,0),MATCH(B$3,PlotTitles,0)))),"",ISBLANK(INDEX(PlotData,MATCH($A328,PlotNumber,0),MATCH(D$3,PlotTitles,0))),$AB$7,TRUE,"")</f>
        <v/>
      </c>
      <c r="E328" s="104" t="str" cm="1">
        <f t="array" ref="E328">_xlfn.IFS(AND(A328&gt;NumberOfPlots,ISBLANK(INDEX(PlotData,MATCH($A328,PlotNumber,0),MATCH(B$3,PlotTitles,0)))),"",ISBLANK(INDEX(PlotData,MATCH($A328,PlotNumber,0),MATCH(E$3,PlotTitles,0))),$AB$8,TRUE,"")</f>
        <v/>
      </c>
      <c r="F328" s="104" t="str" cm="1">
        <f t="array" ref="F328">_xlfn.IFS(AND(A328&gt;NumberOfPlots,ISBLANK(INDEX(PlotData,MATCH($A328,PlotNumber,0),MATCH(B$3,PlotTitles,0)))),"",ISBLANK(INDEX(PlotData,MATCH($A328,PlotNumber,0),MATCH(F$3,PlotTitles,0))),$AB$9,TRUE,"")</f>
        <v/>
      </c>
      <c r="G328" s="104" t="str" cm="1">
        <f t="array" ref="G328">_xlfn.IFS(AND(A328&gt;NumberOfPlots,ISBLANK(INDEX(PlotData,MATCH($A328,PlotNumber,0),MATCH(B$3,PlotTitles,0)))),"",ISBLANK(INDEX(PlotData,MATCH($A328,PlotNumber,0),MATCH(G$3,PlotTitles,0))),$AB$10,TRUE,"")</f>
        <v/>
      </c>
      <c r="H328" s="104" t="str" cm="1">
        <f t="array" ref="H328">_xlfn.IFS(AND(A328&gt;NumberOfPlots,ISBLANK(INDEX(PlotData,MATCH($A328,PlotNumber,0),MATCH(B$3,PlotTitles,0)))),"",AND(ISBLANK(INDEX(PlotData,MATCH($A328,PlotNumber,0),MATCH(H$3,PlotTitles,0)))=FALSE,INDEX(PlotData,MATCH($A328,PlotNumber,0),MATCH(H$3,PlotTitles,0))&lt;500), $AB$11,TRUE,"")</f>
        <v/>
      </c>
      <c r="I328" s="104" t="str" cm="1">
        <f t="array" ref="I328">_xlfn.IFS(AND(A328&gt;NumberOfPlots,ISBLANK(INDEX(PlotData,MATCH($A328,PlotNumber,0),MATCH(B$3,PlotTitles,0)))),"",ISBLANK(INDEX(PlotData,MATCH($A328,PlotNumber,0),MATCH(I$3,PlotTitles,0))),$AB$12,TRUE,"")</f>
        <v/>
      </c>
      <c r="J328" s="104" t="str" cm="1">
        <f t="array" ref="J328">_xlfn.IFS(AND(A328&gt;NumberOfPlots,ISBLANK(INDEX(PlotData,MATCH($A328,PlotNumber,0),MATCH(B$3,PlotTitles,0)))),"",ISBLANK(INDEX(PlotData,MATCH($A328,PlotNumber,0),MATCH(J$3,PlotTitles,0))),$AB$13,TRUE,"")</f>
        <v/>
      </c>
      <c r="K328" s="182" t="str">
        <f t="shared" ca="1" si="15"/>
        <v/>
      </c>
      <c r="L328" s="104" t="str" cm="1">
        <f t="array" ref="L328">_xlfn.IFS(OR(ISBLANK(StartDateMonth),ISBLANK(StartDateYear)),"",AND(A328&gt;NumberOfPlots,ISBLANK(INDEX(PlotData,MATCH($A328,PlotNumber,0),MATCH(B$3,PlotTitles,0)))),"",ISBLANK(INDEX(PlotData,MATCH($A328,PlotNumber,0),MATCH(I$3,PlotTitles,0))),"",(DATEVALUE(INDEX(PlotData,MATCH($A328,PlotNumber,0),MATCH(I$3,PlotTitles,0))&amp;INDEX(PlotData,MATCH($A328,PlotNumber,0),MATCH(J$3,PlotTitles,0))))&lt;DATEVALUE(StartDateMonth&amp;StartDateYear),$AB$15,TRUE,"")</f>
        <v/>
      </c>
      <c r="M328" s="104" t="str" cm="1">
        <f t="array" ref="M328">_xlfn.IFS(OR(ISBLANK(StartDateMonth),ISBLANK(StartDateYear)),"",AND(A328&gt;NumberOfPlots,ISBLANK(INDEX(PlotData,MATCH($A328,PlotNumber,0),MATCH(B$3,PlotTitles,0)))),"",ISBLANK(INDEX(PlotData,MATCH($A328,PlotNumber,0),MATCH(I$3,PlotTitles,0))),"",CompletionMonth="","",(DATEVALUE(INDEX(PlotData,MATCH($A328,PlotNumber,0),MATCH(I$3,PlotTitles,0))&amp;INDEX(PlotData,MATCH($A328,PlotNumber,0),MATCH(J$3,PlotTitles,0))))&gt;(DATEVALUE(CompletionMonth&amp;CompletionYear)),$AB$16,TRUE,"")</f>
        <v/>
      </c>
      <c r="N328" s="104" t="str" cm="1">
        <f t="array" ref="N328">_xlfn.IFS(AND(A328&gt;NumberOfPlots,ISBLANK(INDEX(PlotData,MATCH($A328,PlotNumber,0),MATCH(B$3,PlotTitles,0)))),"",ISBLANK(INDEX(PlotData,MATCH($A328,PlotNumber,0),MATCH(N$3,PlotTitles,0))),$AB$17,TRUE,"")</f>
        <v/>
      </c>
      <c r="O328" s="104" t="str" cm="1">
        <f t="array" ref="O328">_xlfn.IFS(AND(A328&gt;NumberOfPlots,ISBLANK(INDEX(PlotData,MATCH($A328,PlotNumber,0),MATCH(B$3,PlotTitles,0)))),"",ISBLANK(INDEX(PlotData,MATCH($A328,PlotNumber,0),MATCH(O$3,PlotTitles,0))),$AB$18,TRUE,"")</f>
        <v/>
      </c>
      <c r="P328" s="182" t="str">
        <f t="shared" ca="1" si="16"/>
        <v/>
      </c>
      <c r="Q328" s="104" t="str" cm="1">
        <f t="array" ref="Q328">_xlfn.IFS(AND(A328&gt;NumberOfPlots,ISBLANK(INDEX(PlotData,MATCH($A328,PlotNumber,0),MATCH(B$3,PlotTitles,0)))),"",ISBLANK(INDEX(PlotData,MATCH($A328,PlotNumber,0),MATCH(N$3,PlotTitles,0))),"",(DATEVALUE(INDEX(PlotData,MATCH($A328,PlotNumber,0),MATCH(N$3,PlotTitles,0))&amp;INDEX(PlotData,MATCH($A328,PlotNumber,0),MATCH(O$3,PlotTitles,0))))&lt;(DATEVALUE(INDEX(PlotData,MATCH($A328,PlotNumber,0),MATCH(I$3,PlotTitles,0))&amp;INDEX(PlotData,MATCH($A328,PlotNumber,0),MATCH(J$3,PlotTitles,0)))),$AB$20,TRUE,"")</f>
        <v/>
      </c>
      <c r="R328" s="104" t="str" cm="1">
        <f t="array" ref="R328">_xlfn.IFS(OR(ISBLANK(StartDateMonth),ISBLANK(StartDateYear)),"",AND(A328&gt;NumberOfPlots,ISBLANK(INDEX(PlotData,MATCH($A328,PlotNumber,0),MATCH(B$3,PlotTitles,0)))),"",ISBLANK(INDEX(PlotData,MATCH($A328,PlotNumber,0),MATCH(N$3,PlotTitles,0))),"",CompletionMonth="","",(DATEVALUE(INDEX(PlotData,MATCH($A328,PlotNumber,0),MATCH(N$3,PlotTitles,0))&amp;INDEX(PlotData,MATCH($A328,PlotNumber,0),MATCH(O$3,PlotTitles,0))))&gt;(DATEVALUE(CompletionMonth&amp;CompletionYear)),$AB$21,TRUE,"")</f>
        <v/>
      </c>
      <c r="S328" s="104" t="str" cm="1">
        <f t="array" ref="S328">_xlfn.IFS(AND(A328&gt;NumberOfPlots,ISBLANK(INDEX(PlotData,MATCH($A328,PlotNumber,0),MATCH(B$3,PlotTitles,0)))),"",OR(AND(INDEX(PlotData,MATCH($A328,PlotNumber,0),MATCH("Tenure",PlotTitles,0))="Open market housing",INDEX(PlotData,MATCH($A328,PlotNumber,0),MATCH("Tenure detail",PlotTitles,0))="Private rented sector"),INDEX(PlotData,MATCH($A328,PlotNumber,0),MATCH("Tenure",PlotTitles,0))="Affordable rent"),"",ISNUMBER(INDEX(PlotData,MATCH($A328,PlotNumber,0),MATCH(S$3,PlotTitles,0)))=FALSE, $AB$22,TRUE,"")</f>
        <v/>
      </c>
      <c r="T328" s="104" t="str" cm="1">
        <f t="array" ref="T328">_xlfn.IFS(AND(A328&gt;NumberOfPlots,ISBLANK(INDEX(PlotData,MATCH($A328,PlotNumber,0),MATCH(B$3,PlotTitles,0)))),"",OR(AND(INDEX(PlotData,MATCH($A328,PlotNumber,0),MATCH("Tenure",PlotTitles,0))="Open market housing",INDEX(PlotData,MATCH($A328,PlotNumber,0),MATCH("Tenure detail",PlotTitles,0))="Private rented sector"),INDEX(PlotData,MATCH($A328,PlotNumber,0),MATCH("Tenure",PlotTitles,0))="Affordable rent"),"",INDEX(PlotData,MATCH($A328,PlotNumber,0),MATCH(S$3,PlotTitles,0))&lt;10000, $AB$23,TRUE,"")</f>
        <v/>
      </c>
      <c r="U328" s="104" t="str" cm="1">
        <f t="array" ref="U328">_xlfn.IFS(AND(A328&gt;NumberOfPlots,ISBLANK(INDEX(PlotData,MATCH($A328,PlotNumber,0),MATCH(B$3,PlotTitles,0)))),"",NOT(OR(AND(INDEX(PlotData,MATCH($A328,PlotNumber,0),MATCH("Tenure",PlotTitles,0))="Open market housing",INDEX(PlotData,MATCH($A328,PlotNumber,0),MATCH("Tenure detail",PlotTitles,0))="Private rented sector"),INDEX(PlotData,MATCH($A328,PlotNumber,0),MATCH("Tenure",PlotTitles,0))="Affordable rent")),"",NOT(INDEX(PlotData,MATCH($A328,PlotNumber,0),MATCH(S$3,PlotTitles,0))=0), $AB$24,TRUE,"")</f>
        <v/>
      </c>
      <c r="V328" s="114" t="str" cm="1">
        <f t="array" aca="1" ref="V328" ca="1">_xlfn.IFS(ISBLANK(NumberOfPlots),"Enter the number of homes on the 1_SetUp sheet",AND(A328&gt;NumberOfPlots,ISBLANK(INDEX(PlotData,MATCH($A328,PlotNumber,0),MATCH(B$3,PlotTitles,0)))),"No error",NOT(B328=""),B328,NOT(C328=""),C328,NOT(D328=""),D328,NOT(E328=""),E328,NOT(F328=""),F328,NOT(G328=""),G328,NOT(H328=""),H328,NOT(I328=""),I328,NOT(J328=""),J328,NOT(K328=""),K328,NOT(L328=""),L328,NOT(M328=""),M328,NOT(N328=""),N328,NOT(O328=""),O328,NOT(P328=""),P328,NOT(Q328=""),Q328,NOT(R328=""),R328,NOT(S328=""),S328,NOT(T328=""),T328,NOT(U328=""),U328,TRUE,"No error")</f>
        <v>Enter the number of homes on the 1_SetUp sheet</v>
      </c>
      <c r="W328" s="114" t="str">
        <f t="shared" ca="1" si="17"/>
        <v xml:space="preserve">The Borrower has not addressed the following error messages for Home ID 324: </v>
      </c>
    </row>
    <row r="329" spans="1:23">
      <c r="A329" s="123">
        <v>325</v>
      </c>
      <c r="B329" s="104" t="str" cm="1">
        <f t="array" ref="B329">_xlfn.IFS(AND(A329&gt;NumberOfPlots,ISBLANK(INDEX(PlotData,MATCH($A329,PlotNumber,0),MATCH(B$3,PlotTitles,0)))),"",ISNUMBER(INDEX(PlotData,MATCH($A329,PlotNumber,0),MATCH(B$3,PlotTitles,0)))=FALSE, $AB$5,TRUE,"")</f>
        <v/>
      </c>
      <c r="C329" s="104" t="str" cm="1">
        <f t="array" ref="C329">_xlfn.IFS(AND(A329&gt;NumberOfPlots,ISBLANK(INDEX(PlotData,MATCH($A329,PlotNumber,0),MATCH(B$3,PlotTitles,0)))),"",ISBLANK(INDEX(PlotData,MATCH($A329,PlotNumber,0),MATCH(C$3,PlotTitles,0))),$AB$6,TRUE,"")</f>
        <v/>
      </c>
      <c r="D329" s="104" t="str" cm="1">
        <f t="array" ref="D329">_xlfn.IFS(AND(A329&gt;NumberOfPlots,ISBLANK(INDEX(PlotData,MATCH($A329,PlotNumber,0),MATCH(B$3,PlotTitles,0)))),"",ISBLANK(INDEX(PlotData,MATCH($A329,PlotNumber,0),MATCH(D$3,PlotTitles,0))),$AB$7,TRUE,"")</f>
        <v/>
      </c>
      <c r="E329" s="104" t="str" cm="1">
        <f t="array" ref="E329">_xlfn.IFS(AND(A329&gt;NumberOfPlots,ISBLANK(INDEX(PlotData,MATCH($A329,PlotNumber,0),MATCH(B$3,PlotTitles,0)))),"",ISBLANK(INDEX(PlotData,MATCH($A329,PlotNumber,0),MATCH(E$3,PlotTitles,0))),$AB$8,TRUE,"")</f>
        <v/>
      </c>
      <c r="F329" s="104" t="str" cm="1">
        <f t="array" ref="F329">_xlfn.IFS(AND(A329&gt;NumberOfPlots,ISBLANK(INDEX(PlotData,MATCH($A329,PlotNumber,0),MATCH(B$3,PlotTitles,0)))),"",ISBLANK(INDEX(PlotData,MATCH($A329,PlotNumber,0),MATCH(F$3,PlotTitles,0))),$AB$9,TRUE,"")</f>
        <v/>
      </c>
      <c r="G329" s="104" t="str" cm="1">
        <f t="array" ref="G329">_xlfn.IFS(AND(A329&gt;NumberOfPlots,ISBLANK(INDEX(PlotData,MATCH($A329,PlotNumber,0),MATCH(B$3,PlotTitles,0)))),"",ISBLANK(INDEX(PlotData,MATCH($A329,PlotNumber,0),MATCH(G$3,PlotTitles,0))),$AB$10,TRUE,"")</f>
        <v/>
      </c>
      <c r="H329" s="104" t="str" cm="1">
        <f t="array" ref="H329">_xlfn.IFS(AND(A329&gt;NumberOfPlots,ISBLANK(INDEX(PlotData,MATCH($A329,PlotNumber,0),MATCH(B$3,PlotTitles,0)))),"",AND(ISBLANK(INDEX(PlotData,MATCH($A329,PlotNumber,0),MATCH(H$3,PlotTitles,0)))=FALSE,INDEX(PlotData,MATCH($A329,PlotNumber,0),MATCH(H$3,PlotTitles,0))&lt;500), $AB$11,TRUE,"")</f>
        <v/>
      </c>
      <c r="I329" s="104" t="str" cm="1">
        <f t="array" ref="I329">_xlfn.IFS(AND(A329&gt;NumberOfPlots,ISBLANK(INDEX(PlotData,MATCH($A329,PlotNumber,0),MATCH(B$3,PlotTitles,0)))),"",ISBLANK(INDEX(PlotData,MATCH($A329,PlotNumber,0),MATCH(I$3,PlotTitles,0))),$AB$12,TRUE,"")</f>
        <v/>
      </c>
      <c r="J329" s="104" t="str" cm="1">
        <f t="array" ref="J329">_xlfn.IFS(AND(A329&gt;NumberOfPlots,ISBLANK(INDEX(PlotData,MATCH($A329,PlotNumber,0),MATCH(B$3,PlotTitles,0)))),"",ISBLANK(INDEX(PlotData,MATCH($A329,PlotNumber,0),MATCH(J$3,PlotTitles,0))),$AB$13,TRUE,"")</f>
        <v/>
      </c>
      <c r="K329" s="182" t="str">
        <f t="shared" ca="1" si="15"/>
        <v/>
      </c>
      <c r="L329" s="104" t="str" cm="1">
        <f t="array" ref="L329">_xlfn.IFS(OR(ISBLANK(StartDateMonth),ISBLANK(StartDateYear)),"",AND(A329&gt;NumberOfPlots,ISBLANK(INDEX(PlotData,MATCH($A329,PlotNumber,0),MATCH(B$3,PlotTitles,0)))),"",ISBLANK(INDEX(PlotData,MATCH($A329,PlotNumber,0),MATCH(I$3,PlotTitles,0))),"",(DATEVALUE(INDEX(PlotData,MATCH($A329,PlotNumber,0),MATCH(I$3,PlotTitles,0))&amp;INDEX(PlotData,MATCH($A329,PlotNumber,0),MATCH(J$3,PlotTitles,0))))&lt;DATEVALUE(StartDateMonth&amp;StartDateYear),$AB$15,TRUE,"")</f>
        <v/>
      </c>
      <c r="M329" s="104" t="str" cm="1">
        <f t="array" ref="M329">_xlfn.IFS(OR(ISBLANK(StartDateMonth),ISBLANK(StartDateYear)),"",AND(A329&gt;NumberOfPlots,ISBLANK(INDEX(PlotData,MATCH($A329,PlotNumber,0),MATCH(B$3,PlotTitles,0)))),"",ISBLANK(INDEX(PlotData,MATCH($A329,PlotNumber,0),MATCH(I$3,PlotTitles,0))),"",CompletionMonth="","",(DATEVALUE(INDEX(PlotData,MATCH($A329,PlotNumber,0),MATCH(I$3,PlotTitles,0))&amp;INDEX(PlotData,MATCH($A329,PlotNumber,0),MATCH(J$3,PlotTitles,0))))&gt;(DATEVALUE(CompletionMonth&amp;CompletionYear)),$AB$16,TRUE,"")</f>
        <v/>
      </c>
      <c r="N329" s="104" t="str" cm="1">
        <f t="array" ref="N329">_xlfn.IFS(AND(A329&gt;NumberOfPlots,ISBLANK(INDEX(PlotData,MATCH($A329,PlotNumber,0),MATCH(B$3,PlotTitles,0)))),"",ISBLANK(INDEX(PlotData,MATCH($A329,PlotNumber,0),MATCH(N$3,PlotTitles,0))),$AB$17,TRUE,"")</f>
        <v/>
      </c>
      <c r="O329" s="104" t="str" cm="1">
        <f t="array" ref="O329">_xlfn.IFS(AND(A329&gt;NumberOfPlots,ISBLANK(INDEX(PlotData,MATCH($A329,PlotNumber,0),MATCH(B$3,PlotTitles,0)))),"",ISBLANK(INDEX(PlotData,MATCH($A329,PlotNumber,0),MATCH(O$3,PlotTitles,0))),$AB$18,TRUE,"")</f>
        <v/>
      </c>
      <c r="P329" s="182" t="str">
        <f t="shared" ca="1" si="16"/>
        <v/>
      </c>
      <c r="Q329" s="104" t="str" cm="1">
        <f t="array" ref="Q329">_xlfn.IFS(AND(A329&gt;NumberOfPlots,ISBLANK(INDEX(PlotData,MATCH($A329,PlotNumber,0),MATCH(B$3,PlotTitles,0)))),"",ISBLANK(INDEX(PlotData,MATCH($A329,PlotNumber,0),MATCH(N$3,PlotTitles,0))),"",(DATEVALUE(INDEX(PlotData,MATCH($A329,PlotNumber,0),MATCH(N$3,PlotTitles,0))&amp;INDEX(PlotData,MATCH($A329,PlotNumber,0),MATCH(O$3,PlotTitles,0))))&lt;(DATEVALUE(INDEX(PlotData,MATCH($A329,PlotNumber,0),MATCH(I$3,PlotTitles,0))&amp;INDEX(PlotData,MATCH($A329,PlotNumber,0),MATCH(J$3,PlotTitles,0)))),$AB$20,TRUE,"")</f>
        <v/>
      </c>
      <c r="R329" s="104" t="str" cm="1">
        <f t="array" ref="R329">_xlfn.IFS(OR(ISBLANK(StartDateMonth),ISBLANK(StartDateYear)),"",AND(A329&gt;NumberOfPlots,ISBLANK(INDEX(PlotData,MATCH($A329,PlotNumber,0),MATCH(B$3,PlotTitles,0)))),"",ISBLANK(INDEX(PlotData,MATCH($A329,PlotNumber,0),MATCH(N$3,PlotTitles,0))),"",CompletionMonth="","",(DATEVALUE(INDEX(PlotData,MATCH($A329,PlotNumber,0),MATCH(N$3,PlotTitles,0))&amp;INDEX(PlotData,MATCH($A329,PlotNumber,0),MATCH(O$3,PlotTitles,0))))&gt;(DATEVALUE(CompletionMonth&amp;CompletionYear)),$AB$21,TRUE,"")</f>
        <v/>
      </c>
      <c r="S329" s="104" t="str" cm="1">
        <f t="array" ref="S329">_xlfn.IFS(AND(A329&gt;NumberOfPlots,ISBLANK(INDEX(PlotData,MATCH($A329,PlotNumber,0),MATCH(B$3,PlotTitles,0)))),"",OR(AND(INDEX(PlotData,MATCH($A329,PlotNumber,0),MATCH("Tenure",PlotTitles,0))="Open market housing",INDEX(PlotData,MATCH($A329,PlotNumber,0),MATCH("Tenure detail",PlotTitles,0))="Private rented sector"),INDEX(PlotData,MATCH($A329,PlotNumber,0),MATCH("Tenure",PlotTitles,0))="Affordable rent"),"",ISNUMBER(INDEX(PlotData,MATCH($A329,PlotNumber,0),MATCH(S$3,PlotTitles,0)))=FALSE, $AB$22,TRUE,"")</f>
        <v/>
      </c>
      <c r="T329" s="104" t="str" cm="1">
        <f t="array" ref="T329">_xlfn.IFS(AND(A329&gt;NumberOfPlots,ISBLANK(INDEX(PlotData,MATCH($A329,PlotNumber,0),MATCH(B$3,PlotTitles,0)))),"",OR(AND(INDEX(PlotData,MATCH($A329,PlotNumber,0),MATCH("Tenure",PlotTitles,0))="Open market housing",INDEX(PlotData,MATCH($A329,PlotNumber,0),MATCH("Tenure detail",PlotTitles,0))="Private rented sector"),INDEX(PlotData,MATCH($A329,PlotNumber,0),MATCH("Tenure",PlotTitles,0))="Affordable rent"),"",INDEX(PlotData,MATCH($A329,PlotNumber,0),MATCH(S$3,PlotTitles,0))&lt;10000, $AB$23,TRUE,"")</f>
        <v/>
      </c>
      <c r="U329" s="104" t="str" cm="1">
        <f t="array" ref="U329">_xlfn.IFS(AND(A329&gt;NumberOfPlots,ISBLANK(INDEX(PlotData,MATCH($A329,PlotNumber,0),MATCH(B$3,PlotTitles,0)))),"",NOT(OR(AND(INDEX(PlotData,MATCH($A329,PlotNumber,0),MATCH("Tenure",PlotTitles,0))="Open market housing",INDEX(PlotData,MATCH($A329,PlotNumber,0),MATCH("Tenure detail",PlotTitles,0))="Private rented sector"),INDEX(PlotData,MATCH($A329,PlotNumber,0),MATCH("Tenure",PlotTitles,0))="Affordable rent")),"",NOT(INDEX(PlotData,MATCH($A329,PlotNumber,0),MATCH(S$3,PlotTitles,0))=0), $AB$24,TRUE,"")</f>
        <v/>
      </c>
      <c r="V329" s="114" t="str" cm="1">
        <f t="array" aca="1" ref="V329" ca="1">_xlfn.IFS(ISBLANK(NumberOfPlots),"Enter the number of homes on the 1_SetUp sheet",AND(A329&gt;NumberOfPlots,ISBLANK(INDEX(PlotData,MATCH($A329,PlotNumber,0),MATCH(B$3,PlotTitles,0)))),"No error",NOT(B329=""),B329,NOT(C329=""),C329,NOT(D329=""),D329,NOT(E329=""),E329,NOT(F329=""),F329,NOT(G329=""),G329,NOT(H329=""),H329,NOT(I329=""),I329,NOT(J329=""),J329,NOT(K329=""),K329,NOT(L329=""),L329,NOT(M329=""),M329,NOT(N329=""),N329,NOT(O329=""),O329,NOT(P329=""),P329,NOT(Q329=""),Q329,NOT(R329=""),R329,NOT(S329=""),S329,NOT(T329=""),T329,NOT(U329=""),U329,TRUE,"No error")</f>
        <v>Enter the number of homes on the 1_SetUp sheet</v>
      </c>
      <c r="W329" s="114" t="str">
        <f t="shared" ca="1" si="17"/>
        <v xml:space="preserve">The Borrower has not addressed the following error messages for Home ID 325: </v>
      </c>
    </row>
    <row r="330" spans="1:23">
      <c r="A330" s="123">
        <v>326</v>
      </c>
      <c r="B330" s="104" t="str" cm="1">
        <f t="array" ref="B330">_xlfn.IFS(AND(A330&gt;NumberOfPlots,ISBLANK(INDEX(PlotData,MATCH($A330,PlotNumber,0),MATCH(B$3,PlotTitles,0)))),"",ISNUMBER(INDEX(PlotData,MATCH($A330,PlotNumber,0),MATCH(B$3,PlotTitles,0)))=FALSE, $AB$5,TRUE,"")</f>
        <v/>
      </c>
      <c r="C330" s="104" t="str" cm="1">
        <f t="array" ref="C330">_xlfn.IFS(AND(A330&gt;NumberOfPlots,ISBLANK(INDEX(PlotData,MATCH($A330,PlotNumber,0),MATCH(B$3,PlotTitles,0)))),"",ISBLANK(INDEX(PlotData,MATCH($A330,PlotNumber,0),MATCH(C$3,PlotTitles,0))),$AB$6,TRUE,"")</f>
        <v/>
      </c>
      <c r="D330" s="104" t="str" cm="1">
        <f t="array" ref="D330">_xlfn.IFS(AND(A330&gt;NumberOfPlots,ISBLANK(INDEX(PlotData,MATCH($A330,PlotNumber,0),MATCH(B$3,PlotTitles,0)))),"",ISBLANK(INDEX(PlotData,MATCH($A330,PlotNumber,0),MATCH(D$3,PlotTitles,0))),$AB$7,TRUE,"")</f>
        <v/>
      </c>
      <c r="E330" s="104" t="str" cm="1">
        <f t="array" ref="E330">_xlfn.IFS(AND(A330&gt;NumberOfPlots,ISBLANK(INDEX(PlotData,MATCH($A330,PlotNumber,0),MATCH(B$3,PlotTitles,0)))),"",ISBLANK(INDEX(PlotData,MATCH($A330,PlotNumber,0),MATCH(E$3,PlotTitles,0))),$AB$8,TRUE,"")</f>
        <v/>
      </c>
      <c r="F330" s="104" t="str" cm="1">
        <f t="array" ref="F330">_xlfn.IFS(AND(A330&gt;NumberOfPlots,ISBLANK(INDEX(PlotData,MATCH($A330,PlotNumber,0),MATCH(B$3,PlotTitles,0)))),"",ISBLANK(INDEX(PlotData,MATCH($A330,PlotNumber,0),MATCH(F$3,PlotTitles,0))),$AB$9,TRUE,"")</f>
        <v/>
      </c>
      <c r="G330" s="104" t="str" cm="1">
        <f t="array" ref="G330">_xlfn.IFS(AND(A330&gt;NumberOfPlots,ISBLANK(INDEX(PlotData,MATCH($A330,PlotNumber,0),MATCH(B$3,PlotTitles,0)))),"",ISBLANK(INDEX(PlotData,MATCH($A330,PlotNumber,0),MATCH(G$3,PlotTitles,0))),$AB$10,TRUE,"")</f>
        <v/>
      </c>
      <c r="H330" s="104" t="str" cm="1">
        <f t="array" ref="H330">_xlfn.IFS(AND(A330&gt;NumberOfPlots,ISBLANK(INDEX(PlotData,MATCH($A330,PlotNumber,0),MATCH(B$3,PlotTitles,0)))),"",AND(ISBLANK(INDEX(PlotData,MATCH($A330,PlotNumber,0),MATCH(H$3,PlotTitles,0)))=FALSE,INDEX(PlotData,MATCH($A330,PlotNumber,0),MATCH(H$3,PlotTitles,0))&lt;500), $AB$11,TRUE,"")</f>
        <v/>
      </c>
      <c r="I330" s="104" t="str" cm="1">
        <f t="array" ref="I330">_xlfn.IFS(AND(A330&gt;NumberOfPlots,ISBLANK(INDEX(PlotData,MATCH($A330,PlotNumber,0),MATCH(B$3,PlotTitles,0)))),"",ISBLANK(INDEX(PlotData,MATCH($A330,PlotNumber,0),MATCH(I$3,PlotTitles,0))),$AB$12,TRUE,"")</f>
        <v/>
      </c>
      <c r="J330" s="104" t="str" cm="1">
        <f t="array" ref="J330">_xlfn.IFS(AND(A330&gt;NumberOfPlots,ISBLANK(INDEX(PlotData,MATCH($A330,PlotNumber,0),MATCH(B$3,PlotTitles,0)))),"",ISBLANK(INDEX(PlotData,MATCH($A330,PlotNumber,0),MATCH(J$3,PlotTitles,0))),$AB$13,TRUE,"")</f>
        <v/>
      </c>
      <c r="K330" s="182" t="str">
        <f t="shared" ca="1" si="15"/>
        <v/>
      </c>
      <c r="L330" s="104" t="str" cm="1">
        <f t="array" ref="L330">_xlfn.IFS(OR(ISBLANK(StartDateMonth),ISBLANK(StartDateYear)),"",AND(A330&gt;NumberOfPlots,ISBLANK(INDEX(PlotData,MATCH($A330,PlotNumber,0),MATCH(B$3,PlotTitles,0)))),"",ISBLANK(INDEX(PlotData,MATCH($A330,PlotNumber,0),MATCH(I$3,PlotTitles,0))),"",(DATEVALUE(INDEX(PlotData,MATCH($A330,PlotNumber,0),MATCH(I$3,PlotTitles,0))&amp;INDEX(PlotData,MATCH($A330,PlotNumber,0),MATCH(J$3,PlotTitles,0))))&lt;DATEVALUE(StartDateMonth&amp;StartDateYear),$AB$15,TRUE,"")</f>
        <v/>
      </c>
      <c r="M330" s="104" t="str" cm="1">
        <f t="array" ref="M330">_xlfn.IFS(OR(ISBLANK(StartDateMonth),ISBLANK(StartDateYear)),"",AND(A330&gt;NumberOfPlots,ISBLANK(INDEX(PlotData,MATCH($A330,PlotNumber,0),MATCH(B$3,PlotTitles,0)))),"",ISBLANK(INDEX(PlotData,MATCH($A330,PlotNumber,0),MATCH(I$3,PlotTitles,0))),"",CompletionMonth="","",(DATEVALUE(INDEX(PlotData,MATCH($A330,PlotNumber,0),MATCH(I$3,PlotTitles,0))&amp;INDEX(PlotData,MATCH($A330,PlotNumber,0),MATCH(J$3,PlotTitles,0))))&gt;(DATEVALUE(CompletionMonth&amp;CompletionYear)),$AB$16,TRUE,"")</f>
        <v/>
      </c>
      <c r="N330" s="104" t="str" cm="1">
        <f t="array" ref="N330">_xlfn.IFS(AND(A330&gt;NumberOfPlots,ISBLANK(INDEX(PlotData,MATCH($A330,PlotNumber,0),MATCH(B$3,PlotTitles,0)))),"",ISBLANK(INDEX(PlotData,MATCH($A330,PlotNumber,0),MATCH(N$3,PlotTitles,0))),$AB$17,TRUE,"")</f>
        <v/>
      </c>
      <c r="O330" s="104" t="str" cm="1">
        <f t="array" ref="O330">_xlfn.IFS(AND(A330&gt;NumberOfPlots,ISBLANK(INDEX(PlotData,MATCH($A330,PlotNumber,0),MATCH(B$3,PlotTitles,0)))),"",ISBLANK(INDEX(PlotData,MATCH($A330,PlotNumber,0),MATCH(O$3,PlotTitles,0))),$AB$18,TRUE,"")</f>
        <v/>
      </c>
      <c r="P330" s="182" t="str">
        <f t="shared" ca="1" si="16"/>
        <v/>
      </c>
      <c r="Q330" s="104" t="str" cm="1">
        <f t="array" ref="Q330">_xlfn.IFS(AND(A330&gt;NumberOfPlots,ISBLANK(INDEX(PlotData,MATCH($A330,PlotNumber,0),MATCH(B$3,PlotTitles,0)))),"",ISBLANK(INDEX(PlotData,MATCH($A330,PlotNumber,0),MATCH(N$3,PlotTitles,0))),"",(DATEVALUE(INDEX(PlotData,MATCH($A330,PlotNumber,0),MATCH(N$3,PlotTitles,0))&amp;INDEX(PlotData,MATCH($A330,PlotNumber,0),MATCH(O$3,PlotTitles,0))))&lt;(DATEVALUE(INDEX(PlotData,MATCH($A330,PlotNumber,0),MATCH(I$3,PlotTitles,0))&amp;INDEX(PlotData,MATCH($A330,PlotNumber,0),MATCH(J$3,PlotTitles,0)))),$AB$20,TRUE,"")</f>
        <v/>
      </c>
      <c r="R330" s="104" t="str" cm="1">
        <f t="array" ref="R330">_xlfn.IFS(OR(ISBLANK(StartDateMonth),ISBLANK(StartDateYear)),"",AND(A330&gt;NumberOfPlots,ISBLANK(INDEX(PlotData,MATCH($A330,PlotNumber,0),MATCH(B$3,PlotTitles,0)))),"",ISBLANK(INDEX(PlotData,MATCH($A330,PlotNumber,0),MATCH(N$3,PlotTitles,0))),"",CompletionMonth="","",(DATEVALUE(INDEX(PlotData,MATCH($A330,PlotNumber,0),MATCH(N$3,PlotTitles,0))&amp;INDEX(PlotData,MATCH($A330,PlotNumber,0),MATCH(O$3,PlotTitles,0))))&gt;(DATEVALUE(CompletionMonth&amp;CompletionYear)),$AB$21,TRUE,"")</f>
        <v/>
      </c>
      <c r="S330" s="104" t="str" cm="1">
        <f t="array" ref="S330">_xlfn.IFS(AND(A330&gt;NumberOfPlots,ISBLANK(INDEX(PlotData,MATCH($A330,PlotNumber,0),MATCH(B$3,PlotTitles,0)))),"",OR(AND(INDEX(PlotData,MATCH($A330,PlotNumber,0),MATCH("Tenure",PlotTitles,0))="Open market housing",INDEX(PlotData,MATCH($A330,PlotNumber,0),MATCH("Tenure detail",PlotTitles,0))="Private rented sector"),INDEX(PlotData,MATCH($A330,PlotNumber,0),MATCH("Tenure",PlotTitles,0))="Affordable rent"),"",ISNUMBER(INDEX(PlotData,MATCH($A330,PlotNumber,0),MATCH(S$3,PlotTitles,0)))=FALSE, $AB$22,TRUE,"")</f>
        <v/>
      </c>
      <c r="T330" s="104" t="str" cm="1">
        <f t="array" ref="T330">_xlfn.IFS(AND(A330&gt;NumberOfPlots,ISBLANK(INDEX(PlotData,MATCH($A330,PlotNumber,0),MATCH(B$3,PlotTitles,0)))),"",OR(AND(INDEX(PlotData,MATCH($A330,PlotNumber,0),MATCH("Tenure",PlotTitles,0))="Open market housing",INDEX(PlotData,MATCH($A330,PlotNumber,0),MATCH("Tenure detail",PlotTitles,0))="Private rented sector"),INDEX(PlotData,MATCH($A330,PlotNumber,0),MATCH("Tenure",PlotTitles,0))="Affordable rent"),"",INDEX(PlotData,MATCH($A330,PlotNumber,0),MATCH(S$3,PlotTitles,0))&lt;10000, $AB$23,TRUE,"")</f>
        <v/>
      </c>
      <c r="U330" s="104" t="str" cm="1">
        <f t="array" ref="U330">_xlfn.IFS(AND(A330&gt;NumberOfPlots,ISBLANK(INDEX(PlotData,MATCH($A330,PlotNumber,0),MATCH(B$3,PlotTitles,0)))),"",NOT(OR(AND(INDEX(PlotData,MATCH($A330,PlotNumber,0),MATCH("Tenure",PlotTitles,0))="Open market housing",INDEX(PlotData,MATCH($A330,PlotNumber,0),MATCH("Tenure detail",PlotTitles,0))="Private rented sector"),INDEX(PlotData,MATCH($A330,PlotNumber,0),MATCH("Tenure",PlotTitles,0))="Affordable rent")),"",NOT(INDEX(PlotData,MATCH($A330,PlotNumber,0),MATCH(S$3,PlotTitles,0))=0), $AB$24,TRUE,"")</f>
        <v/>
      </c>
      <c r="V330" s="114" t="str" cm="1">
        <f t="array" aca="1" ref="V330" ca="1">_xlfn.IFS(ISBLANK(NumberOfPlots),"Enter the number of homes on the 1_SetUp sheet",AND(A330&gt;NumberOfPlots,ISBLANK(INDEX(PlotData,MATCH($A330,PlotNumber,0),MATCH(B$3,PlotTitles,0)))),"No error",NOT(B330=""),B330,NOT(C330=""),C330,NOT(D330=""),D330,NOT(E330=""),E330,NOT(F330=""),F330,NOT(G330=""),G330,NOT(H330=""),H330,NOT(I330=""),I330,NOT(J330=""),J330,NOT(K330=""),K330,NOT(L330=""),L330,NOT(M330=""),M330,NOT(N330=""),N330,NOT(O330=""),O330,NOT(P330=""),P330,NOT(Q330=""),Q330,NOT(R330=""),R330,NOT(S330=""),S330,NOT(T330=""),T330,NOT(U330=""),U330,TRUE,"No error")</f>
        <v>Enter the number of homes on the 1_SetUp sheet</v>
      </c>
      <c r="W330" s="114" t="str">
        <f t="shared" ca="1" si="17"/>
        <v xml:space="preserve">The Borrower has not addressed the following error messages for Home ID 326: </v>
      </c>
    </row>
    <row r="331" spans="1:23">
      <c r="A331" s="123">
        <v>327</v>
      </c>
      <c r="B331" s="104" t="str" cm="1">
        <f t="array" ref="B331">_xlfn.IFS(AND(A331&gt;NumberOfPlots,ISBLANK(INDEX(PlotData,MATCH($A331,PlotNumber,0),MATCH(B$3,PlotTitles,0)))),"",ISNUMBER(INDEX(PlotData,MATCH($A331,PlotNumber,0),MATCH(B$3,PlotTitles,0)))=FALSE, $AB$5,TRUE,"")</f>
        <v/>
      </c>
      <c r="C331" s="104" t="str" cm="1">
        <f t="array" ref="C331">_xlfn.IFS(AND(A331&gt;NumberOfPlots,ISBLANK(INDEX(PlotData,MATCH($A331,PlotNumber,0),MATCH(B$3,PlotTitles,0)))),"",ISBLANK(INDEX(PlotData,MATCH($A331,PlotNumber,0),MATCH(C$3,PlotTitles,0))),$AB$6,TRUE,"")</f>
        <v/>
      </c>
      <c r="D331" s="104" t="str" cm="1">
        <f t="array" ref="D331">_xlfn.IFS(AND(A331&gt;NumberOfPlots,ISBLANK(INDEX(PlotData,MATCH($A331,PlotNumber,0),MATCH(B$3,PlotTitles,0)))),"",ISBLANK(INDEX(PlotData,MATCH($A331,PlotNumber,0),MATCH(D$3,PlotTitles,0))),$AB$7,TRUE,"")</f>
        <v/>
      </c>
      <c r="E331" s="104" t="str" cm="1">
        <f t="array" ref="E331">_xlfn.IFS(AND(A331&gt;NumberOfPlots,ISBLANK(INDEX(PlotData,MATCH($A331,PlotNumber,0),MATCH(B$3,PlotTitles,0)))),"",ISBLANK(INDEX(PlotData,MATCH($A331,PlotNumber,0),MATCH(E$3,PlotTitles,0))),$AB$8,TRUE,"")</f>
        <v/>
      </c>
      <c r="F331" s="104" t="str" cm="1">
        <f t="array" ref="F331">_xlfn.IFS(AND(A331&gt;NumberOfPlots,ISBLANK(INDEX(PlotData,MATCH($A331,PlotNumber,0),MATCH(B$3,PlotTitles,0)))),"",ISBLANK(INDEX(PlotData,MATCH($A331,PlotNumber,0),MATCH(F$3,PlotTitles,0))),$AB$9,TRUE,"")</f>
        <v/>
      </c>
      <c r="G331" s="104" t="str" cm="1">
        <f t="array" ref="G331">_xlfn.IFS(AND(A331&gt;NumberOfPlots,ISBLANK(INDEX(PlotData,MATCH($A331,PlotNumber,0),MATCH(B$3,PlotTitles,0)))),"",ISBLANK(INDEX(PlotData,MATCH($A331,PlotNumber,0),MATCH(G$3,PlotTitles,0))),$AB$10,TRUE,"")</f>
        <v/>
      </c>
      <c r="H331" s="104" t="str" cm="1">
        <f t="array" ref="H331">_xlfn.IFS(AND(A331&gt;NumberOfPlots,ISBLANK(INDEX(PlotData,MATCH($A331,PlotNumber,0),MATCH(B$3,PlotTitles,0)))),"",AND(ISBLANK(INDEX(PlotData,MATCH($A331,PlotNumber,0),MATCH(H$3,PlotTitles,0)))=FALSE,INDEX(PlotData,MATCH($A331,PlotNumber,0),MATCH(H$3,PlotTitles,0))&lt;500), $AB$11,TRUE,"")</f>
        <v/>
      </c>
      <c r="I331" s="104" t="str" cm="1">
        <f t="array" ref="I331">_xlfn.IFS(AND(A331&gt;NumberOfPlots,ISBLANK(INDEX(PlotData,MATCH($A331,PlotNumber,0),MATCH(B$3,PlotTitles,0)))),"",ISBLANK(INDEX(PlotData,MATCH($A331,PlotNumber,0),MATCH(I$3,PlotTitles,0))),$AB$12,TRUE,"")</f>
        <v/>
      </c>
      <c r="J331" s="104" t="str" cm="1">
        <f t="array" ref="J331">_xlfn.IFS(AND(A331&gt;NumberOfPlots,ISBLANK(INDEX(PlotData,MATCH($A331,PlotNumber,0),MATCH(B$3,PlotTitles,0)))),"",ISBLANK(INDEX(PlotData,MATCH($A331,PlotNumber,0),MATCH(J$3,PlotTitles,0))),$AB$13,TRUE,"")</f>
        <v/>
      </c>
      <c r="K331" s="182" t="str">
        <f t="shared" ca="1" si="15"/>
        <v/>
      </c>
      <c r="L331" s="104" t="str" cm="1">
        <f t="array" ref="L331">_xlfn.IFS(OR(ISBLANK(StartDateMonth),ISBLANK(StartDateYear)),"",AND(A331&gt;NumberOfPlots,ISBLANK(INDEX(PlotData,MATCH($A331,PlotNumber,0),MATCH(B$3,PlotTitles,0)))),"",ISBLANK(INDEX(PlotData,MATCH($A331,PlotNumber,0),MATCH(I$3,PlotTitles,0))),"",(DATEVALUE(INDEX(PlotData,MATCH($A331,PlotNumber,0),MATCH(I$3,PlotTitles,0))&amp;INDEX(PlotData,MATCH($A331,PlotNumber,0),MATCH(J$3,PlotTitles,0))))&lt;DATEVALUE(StartDateMonth&amp;StartDateYear),$AB$15,TRUE,"")</f>
        <v/>
      </c>
      <c r="M331" s="104" t="str" cm="1">
        <f t="array" ref="M331">_xlfn.IFS(OR(ISBLANK(StartDateMonth),ISBLANK(StartDateYear)),"",AND(A331&gt;NumberOfPlots,ISBLANK(INDEX(PlotData,MATCH($A331,PlotNumber,0),MATCH(B$3,PlotTitles,0)))),"",ISBLANK(INDEX(PlotData,MATCH($A331,PlotNumber,0),MATCH(I$3,PlotTitles,0))),"",CompletionMonth="","",(DATEVALUE(INDEX(PlotData,MATCH($A331,PlotNumber,0),MATCH(I$3,PlotTitles,0))&amp;INDEX(PlotData,MATCH($A331,PlotNumber,0),MATCH(J$3,PlotTitles,0))))&gt;(DATEVALUE(CompletionMonth&amp;CompletionYear)),$AB$16,TRUE,"")</f>
        <v/>
      </c>
      <c r="N331" s="104" t="str" cm="1">
        <f t="array" ref="N331">_xlfn.IFS(AND(A331&gt;NumberOfPlots,ISBLANK(INDEX(PlotData,MATCH($A331,PlotNumber,0),MATCH(B$3,PlotTitles,0)))),"",ISBLANK(INDEX(PlotData,MATCH($A331,PlotNumber,0),MATCH(N$3,PlotTitles,0))),$AB$17,TRUE,"")</f>
        <v/>
      </c>
      <c r="O331" s="104" t="str" cm="1">
        <f t="array" ref="O331">_xlfn.IFS(AND(A331&gt;NumberOfPlots,ISBLANK(INDEX(PlotData,MATCH($A331,PlotNumber,0),MATCH(B$3,PlotTitles,0)))),"",ISBLANK(INDEX(PlotData,MATCH($A331,PlotNumber,0),MATCH(O$3,PlotTitles,0))),$AB$18,TRUE,"")</f>
        <v/>
      </c>
      <c r="P331" s="182" t="str">
        <f t="shared" ca="1" si="16"/>
        <v/>
      </c>
      <c r="Q331" s="104" t="str" cm="1">
        <f t="array" ref="Q331">_xlfn.IFS(AND(A331&gt;NumberOfPlots,ISBLANK(INDEX(PlotData,MATCH($A331,PlotNumber,0),MATCH(B$3,PlotTitles,0)))),"",ISBLANK(INDEX(PlotData,MATCH($A331,PlotNumber,0),MATCH(N$3,PlotTitles,0))),"",(DATEVALUE(INDEX(PlotData,MATCH($A331,PlotNumber,0),MATCH(N$3,PlotTitles,0))&amp;INDEX(PlotData,MATCH($A331,PlotNumber,0),MATCH(O$3,PlotTitles,0))))&lt;(DATEVALUE(INDEX(PlotData,MATCH($A331,PlotNumber,0),MATCH(I$3,PlotTitles,0))&amp;INDEX(PlotData,MATCH($A331,PlotNumber,0),MATCH(J$3,PlotTitles,0)))),$AB$20,TRUE,"")</f>
        <v/>
      </c>
      <c r="R331" s="104" t="str" cm="1">
        <f t="array" ref="R331">_xlfn.IFS(OR(ISBLANK(StartDateMonth),ISBLANK(StartDateYear)),"",AND(A331&gt;NumberOfPlots,ISBLANK(INDEX(PlotData,MATCH($A331,PlotNumber,0),MATCH(B$3,PlotTitles,0)))),"",ISBLANK(INDEX(PlotData,MATCH($A331,PlotNumber,0),MATCH(N$3,PlotTitles,0))),"",CompletionMonth="","",(DATEVALUE(INDEX(PlotData,MATCH($A331,PlotNumber,0),MATCH(N$3,PlotTitles,0))&amp;INDEX(PlotData,MATCH($A331,PlotNumber,0),MATCH(O$3,PlotTitles,0))))&gt;(DATEVALUE(CompletionMonth&amp;CompletionYear)),$AB$21,TRUE,"")</f>
        <v/>
      </c>
      <c r="S331" s="104" t="str" cm="1">
        <f t="array" ref="S331">_xlfn.IFS(AND(A331&gt;NumberOfPlots,ISBLANK(INDEX(PlotData,MATCH($A331,PlotNumber,0),MATCH(B$3,PlotTitles,0)))),"",OR(AND(INDEX(PlotData,MATCH($A331,PlotNumber,0),MATCH("Tenure",PlotTitles,0))="Open market housing",INDEX(PlotData,MATCH($A331,PlotNumber,0),MATCH("Tenure detail",PlotTitles,0))="Private rented sector"),INDEX(PlotData,MATCH($A331,PlotNumber,0),MATCH("Tenure",PlotTitles,0))="Affordable rent"),"",ISNUMBER(INDEX(PlotData,MATCH($A331,PlotNumber,0),MATCH(S$3,PlotTitles,0)))=FALSE, $AB$22,TRUE,"")</f>
        <v/>
      </c>
      <c r="T331" s="104" t="str" cm="1">
        <f t="array" ref="T331">_xlfn.IFS(AND(A331&gt;NumberOfPlots,ISBLANK(INDEX(PlotData,MATCH($A331,PlotNumber,0),MATCH(B$3,PlotTitles,0)))),"",OR(AND(INDEX(PlotData,MATCH($A331,PlotNumber,0),MATCH("Tenure",PlotTitles,0))="Open market housing",INDEX(PlotData,MATCH($A331,PlotNumber,0),MATCH("Tenure detail",PlotTitles,0))="Private rented sector"),INDEX(PlotData,MATCH($A331,PlotNumber,0),MATCH("Tenure",PlotTitles,0))="Affordable rent"),"",INDEX(PlotData,MATCH($A331,PlotNumber,0),MATCH(S$3,PlotTitles,0))&lt;10000, $AB$23,TRUE,"")</f>
        <v/>
      </c>
      <c r="U331" s="104" t="str" cm="1">
        <f t="array" ref="U331">_xlfn.IFS(AND(A331&gt;NumberOfPlots,ISBLANK(INDEX(PlotData,MATCH($A331,PlotNumber,0),MATCH(B$3,PlotTitles,0)))),"",NOT(OR(AND(INDEX(PlotData,MATCH($A331,PlotNumber,0),MATCH("Tenure",PlotTitles,0))="Open market housing",INDEX(PlotData,MATCH($A331,PlotNumber,0),MATCH("Tenure detail",PlotTitles,0))="Private rented sector"),INDEX(PlotData,MATCH($A331,PlotNumber,0),MATCH("Tenure",PlotTitles,0))="Affordable rent")),"",NOT(INDEX(PlotData,MATCH($A331,PlotNumber,0),MATCH(S$3,PlotTitles,0))=0), $AB$24,TRUE,"")</f>
        <v/>
      </c>
      <c r="V331" s="114" t="str" cm="1">
        <f t="array" aca="1" ref="V331" ca="1">_xlfn.IFS(ISBLANK(NumberOfPlots),"Enter the number of homes on the 1_SetUp sheet",AND(A331&gt;NumberOfPlots,ISBLANK(INDEX(PlotData,MATCH($A331,PlotNumber,0),MATCH(B$3,PlotTitles,0)))),"No error",NOT(B331=""),B331,NOT(C331=""),C331,NOT(D331=""),D331,NOT(E331=""),E331,NOT(F331=""),F331,NOT(G331=""),G331,NOT(H331=""),H331,NOT(I331=""),I331,NOT(J331=""),J331,NOT(K331=""),K331,NOT(L331=""),L331,NOT(M331=""),M331,NOT(N331=""),N331,NOT(O331=""),O331,NOT(P331=""),P331,NOT(Q331=""),Q331,NOT(R331=""),R331,NOT(S331=""),S331,NOT(T331=""),T331,NOT(U331=""),U331,TRUE,"No error")</f>
        <v>Enter the number of homes on the 1_SetUp sheet</v>
      </c>
      <c r="W331" s="114" t="str">
        <f t="shared" ca="1" si="17"/>
        <v xml:space="preserve">The Borrower has not addressed the following error messages for Home ID 327: </v>
      </c>
    </row>
    <row r="332" spans="1:23">
      <c r="A332" s="123">
        <v>328</v>
      </c>
      <c r="B332" s="104" t="str" cm="1">
        <f t="array" ref="B332">_xlfn.IFS(AND(A332&gt;NumberOfPlots,ISBLANK(INDEX(PlotData,MATCH($A332,PlotNumber,0),MATCH(B$3,PlotTitles,0)))),"",ISNUMBER(INDEX(PlotData,MATCH($A332,PlotNumber,0),MATCH(B$3,PlotTitles,0)))=FALSE, $AB$5,TRUE,"")</f>
        <v/>
      </c>
      <c r="C332" s="104" t="str" cm="1">
        <f t="array" ref="C332">_xlfn.IFS(AND(A332&gt;NumberOfPlots,ISBLANK(INDEX(PlotData,MATCH($A332,PlotNumber,0),MATCH(B$3,PlotTitles,0)))),"",ISBLANK(INDEX(PlotData,MATCH($A332,PlotNumber,0),MATCH(C$3,PlotTitles,0))),$AB$6,TRUE,"")</f>
        <v/>
      </c>
      <c r="D332" s="104" t="str" cm="1">
        <f t="array" ref="D332">_xlfn.IFS(AND(A332&gt;NumberOfPlots,ISBLANK(INDEX(PlotData,MATCH($A332,PlotNumber,0),MATCH(B$3,PlotTitles,0)))),"",ISBLANK(INDEX(PlotData,MATCH($A332,PlotNumber,0),MATCH(D$3,PlotTitles,0))),$AB$7,TRUE,"")</f>
        <v/>
      </c>
      <c r="E332" s="104" t="str" cm="1">
        <f t="array" ref="E332">_xlfn.IFS(AND(A332&gt;NumberOfPlots,ISBLANK(INDEX(PlotData,MATCH($A332,PlotNumber,0),MATCH(B$3,PlotTitles,0)))),"",ISBLANK(INDEX(PlotData,MATCH($A332,PlotNumber,0),MATCH(E$3,PlotTitles,0))),$AB$8,TRUE,"")</f>
        <v/>
      </c>
      <c r="F332" s="104" t="str" cm="1">
        <f t="array" ref="F332">_xlfn.IFS(AND(A332&gt;NumberOfPlots,ISBLANK(INDEX(PlotData,MATCH($A332,PlotNumber,0),MATCH(B$3,PlotTitles,0)))),"",ISBLANK(INDEX(PlotData,MATCH($A332,PlotNumber,0),MATCH(F$3,PlotTitles,0))),$AB$9,TRUE,"")</f>
        <v/>
      </c>
      <c r="G332" s="104" t="str" cm="1">
        <f t="array" ref="G332">_xlfn.IFS(AND(A332&gt;NumberOfPlots,ISBLANK(INDEX(PlotData,MATCH($A332,PlotNumber,0),MATCH(B$3,PlotTitles,0)))),"",ISBLANK(INDEX(PlotData,MATCH($A332,PlotNumber,0),MATCH(G$3,PlotTitles,0))),$AB$10,TRUE,"")</f>
        <v/>
      </c>
      <c r="H332" s="104" t="str" cm="1">
        <f t="array" ref="H332">_xlfn.IFS(AND(A332&gt;NumberOfPlots,ISBLANK(INDEX(PlotData,MATCH($A332,PlotNumber,0),MATCH(B$3,PlotTitles,0)))),"",AND(ISBLANK(INDEX(PlotData,MATCH($A332,PlotNumber,0),MATCH(H$3,PlotTitles,0)))=FALSE,INDEX(PlotData,MATCH($A332,PlotNumber,0),MATCH(H$3,PlotTitles,0))&lt;500), $AB$11,TRUE,"")</f>
        <v/>
      </c>
      <c r="I332" s="104" t="str" cm="1">
        <f t="array" ref="I332">_xlfn.IFS(AND(A332&gt;NumberOfPlots,ISBLANK(INDEX(PlotData,MATCH($A332,PlotNumber,0),MATCH(B$3,PlotTitles,0)))),"",ISBLANK(INDEX(PlotData,MATCH($A332,PlotNumber,0),MATCH(I$3,PlotTitles,0))),$AB$12,TRUE,"")</f>
        <v/>
      </c>
      <c r="J332" s="104" t="str" cm="1">
        <f t="array" ref="J332">_xlfn.IFS(AND(A332&gt;NumberOfPlots,ISBLANK(INDEX(PlotData,MATCH($A332,PlotNumber,0),MATCH(B$3,PlotTitles,0)))),"",ISBLANK(INDEX(PlotData,MATCH($A332,PlotNumber,0),MATCH(J$3,PlotTitles,0))),$AB$13,TRUE,"")</f>
        <v/>
      </c>
      <c r="K332" s="182" t="str">
        <f t="shared" ca="1" si="15"/>
        <v/>
      </c>
      <c r="L332" s="104" t="str" cm="1">
        <f t="array" ref="L332">_xlfn.IFS(OR(ISBLANK(StartDateMonth),ISBLANK(StartDateYear)),"",AND(A332&gt;NumberOfPlots,ISBLANK(INDEX(PlotData,MATCH($A332,PlotNumber,0),MATCH(B$3,PlotTitles,0)))),"",ISBLANK(INDEX(PlotData,MATCH($A332,PlotNumber,0),MATCH(I$3,PlotTitles,0))),"",(DATEVALUE(INDEX(PlotData,MATCH($A332,PlotNumber,0),MATCH(I$3,PlotTitles,0))&amp;INDEX(PlotData,MATCH($A332,PlotNumber,0),MATCH(J$3,PlotTitles,0))))&lt;DATEVALUE(StartDateMonth&amp;StartDateYear),$AB$15,TRUE,"")</f>
        <v/>
      </c>
      <c r="M332" s="104" t="str" cm="1">
        <f t="array" ref="M332">_xlfn.IFS(OR(ISBLANK(StartDateMonth),ISBLANK(StartDateYear)),"",AND(A332&gt;NumberOfPlots,ISBLANK(INDEX(PlotData,MATCH($A332,PlotNumber,0),MATCH(B$3,PlotTitles,0)))),"",ISBLANK(INDEX(PlotData,MATCH($A332,PlotNumber,0),MATCH(I$3,PlotTitles,0))),"",CompletionMonth="","",(DATEVALUE(INDEX(PlotData,MATCH($A332,PlotNumber,0),MATCH(I$3,PlotTitles,0))&amp;INDEX(PlotData,MATCH($A332,PlotNumber,0),MATCH(J$3,PlotTitles,0))))&gt;(DATEVALUE(CompletionMonth&amp;CompletionYear)),$AB$16,TRUE,"")</f>
        <v/>
      </c>
      <c r="N332" s="104" t="str" cm="1">
        <f t="array" ref="N332">_xlfn.IFS(AND(A332&gt;NumberOfPlots,ISBLANK(INDEX(PlotData,MATCH($A332,PlotNumber,0),MATCH(B$3,PlotTitles,0)))),"",ISBLANK(INDEX(PlotData,MATCH($A332,PlotNumber,0),MATCH(N$3,PlotTitles,0))),$AB$17,TRUE,"")</f>
        <v/>
      </c>
      <c r="O332" s="104" t="str" cm="1">
        <f t="array" ref="O332">_xlfn.IFS(AND(A332&gt;NumberOfPlots,ISBLANK(INDEX(PlotData,MATCH($A332,PlotNumber,0),MATCH(B$3,PlotTitles,0)))),"",ISBLANK(INDEX(PlotData,MATCH($A332,PlotNumber,0),MATCH(O$3,PlotTitles,0))),$AB$18,TRUE,"")</f>
        <v/>
      </c>
      <c r="P332" s="182" t="str">
        <f t="shared" ca="1" si="16"/>
        <v/>
      </c>
      <c r="Q332" s="104" t="str" cm="1">
        <f t="array" ref="Q332">_xlfn.IFS(AND(A332&gt;NumberOfPlots,ISBLANK(INDEX(PlotData,MATCH($A332,PlotNumber,0),MATCH(B$3,PlotTitles,0)))),"",ISBLANK(INDEX(PlotData,MATCH($A332,PlotNumber,0),MATCH(N$3,PlotTitles,0))),"",(DATEVALUE(INDEX(PlotData,MATCH($A332,PlotNumber,0),MATCH(N$3,PlotTitles,0))&amp;INDEX(PlotData,MATCH($A332,PlotNumber,0),MATCH(O$3,PlotTitles,0))))&lt;(DATEVALUE(INDEX(PlotData,MATCH($A332,PlotNumber,0),MATCH(I$3,PlotTitles,0))&amp;INDEX(PlotData,MATCH($A332,PlotNumber,0),MATCH(J$3,PlotTitles,0)))),$AB$20,TRUE,"")</f>
        <v/>
      </c>
      <c r="R332" s="104" t="str" cm="1">
        <f t="array" ref="R332">_xlfn.IFS(OR(ISBLANK(StartDateMonth),ISBLANK(StartDateYear)),"",AND(A332&gt;NumberOfPlots,ISBLANK(INDEX(PlotData,MATCH($A332,PlotNumber,0),MATCH(B$3,PlotTitles,0)))),"",ISBLANK(INDEX(PlotData,MATCH($A332,PlotNumber,0),MATCH(N$3,PlotTitles,0))),"",CompletionMonth="","",(DATEVALUE(INDEX(PlotData,MATCH($A332,PlotNumber,0),MATCH(N$3,PlotTitles,0))&amp;INDEX(PlotData,MATCH($A332,PlotNumber,0),MATCH(O$3,PlotTitles,0))))&gt;(DATEVALUE(CompletionMonth&amp;CompletionYear)),$AB$21,TRUE,"")</f>
        <v/>
      </c>
      <c r="S332" s="104" t="str" cm="1">
        <f t="array" ref="S332">_xlfn.IFS(AND(A332&gt;NumberOfPlots,ISBLANK(INDEX(PlotData,MATCH($A332,PlotNumber,0),MATCH(B$3,PlotTitles,0)))),"",OR(AND(INDEX(PlotData,MATCH($A332,PlotNumber,0),MATCH("Tenure",PlotTitles,0))="Open market housing",INDEX(PlotData,MATCH($A332,PlotNumber,0),MATCH("Tenure detail",PlotTitles,0))="Private rented sector"),INDEX(PlotData,MATCH($A332,PlotNumber,0),MATCH("Tenure",PlotTitles,0))="Affordable rent"),"",ISNUMBER(INDEX(PlotData,MATCH($A332,PlotNumber,0),MATCH(S$3,PlotTitles,0)))=FALSE, $AB$22,TRUE,"")</f>
        <v/>
      </c>
      <c r="T332" s="104" t="str" cm="1">
        <f t="array" ref="T332">_xlfn.IFS(AND(A332&gt;NumberOfPlots,ISBLANK(INDEX(PlotData,MATCH($A332,PlotNumber,0),MATCH(B$3,PlotTitles,0)))),"",OR(AND(INDEX(PlotData,MATCH($A332,PlotNumber,0),MATCH("Tenure",PlotTitles,0))="Open market housing",INDEX(PlotData,MATCH($A332,PlotNumber,0),MATCH("Tenure detail",PlotTitles,0))="Private rented sector"),INDEX(PlotData,MATCH($A332,PlotNumber,0),MATCH("Tenure",PlotTitles,0))="Affordable rent"),"",INDEX(PlotData,MATCH($A332,PlotNumber,0),MATCH(S$3,PlotTitles,0))&lt;10000, $AB$23,TRUE,"")</f>
        <v/>
      </c>
      <c r="U332" s="104" t="str" cm="1">
        <f t="array" ref="U332">_xlfn.IFS(AND(A332&gt;NumberOfPlots,ISBLANK(INDEX(PlotData,MATCH($A332,PlotNumber,0),MATCH(B$3,PlotTitles,0)))),"",NOT(OR(AND(INDEX(PlotData,MATCH($A332,PlotNumber,0),MATCH("Tenure",PlotTitles,0))="Open market housing",INDEX(PlotData,MATCH($A332,PlotNumber,0),MATCH("Tenure detail",PlotTitles,0))="Private rented sector"),INDEX(PlotData,MATCH($A332,PlotNumber,0),MATCH("Tenure",PlotTitles,0))="Affordable rent")),"",NOT(INDEX(PlotData,MATCH($A332,PlotNumber,0),MATCH(S$3,PlotTitles,0))=0), $AB$24,TRUE,"")</f>
        <v/>
      </c>
      <c r="V332" s="114" t="str" cm="1">
        <f t="array" aca="1" ref="V332" ca="1">_xlfn.IFS(ISBLANK(NumberOfPlots),"Enter the number of homes on the 1_SetUp sheet",AND(A332&gt;NumberOfPlots,ISBLANK(INDEX(PlotData,MATCH($A332,PlotNumber,0),MATCH(B$3,PlotTitles,0)))),"No error",NOT(B332=""),B332,NOT(C332=""),C332,NOT(D332=""),D332,NOT(E332=""),E332,NOT(F332=""),F332,NOT(G332=""),G332,NOT(H332=""),H332,NOT(I332=""),I332,NOT(J332=""),J332,NOT(K332=""),K332,NOT(L332=""),L332,NOT(M332=""),M332,NOT(N332=""),N332,NOT(O332=""),O332,NOT(P332=""),P332,NOT(Q332=""),Q332,NOT(R332=""),R332,NOT(S332=""),S332,NOT(T332=""),T332,NOT(U332=""),U332,TRUE,"No error")</f>
        <v>Enter the number of homes on the 1_SetUp sheet</v>
      </c>
      <c r="W332" s="114" t="str">
        <f t="shared" ca="1" si="17"/>
        <v xml:space="preserve">The Borrower has not addressed the following error messages for Home ID 328: </v>
      </c>
    </row>
    <row r="333" spans="1:23">
      <c r="A333" s="123">
        <v>329</v>
      </c>
      <c r="B333" s="104" t="str" cm="1">
        <f t="array" ref="B333">_xlfn.IFS(AND(A333&gt;NumberOfPlots,ISBLANK(INDEX(PlotData,MATCH($A333,PlotNumber,0),MATCH(B$3,PlotTitles,0)))),"",ISNUMBER(INDEX(PlotData,MATCH($A333,PlotNumber,0),MATCH(B$3,PlotTitles,0)))=FALSE, $AB$5,TRUE,"")</f>
        <v/>
      </c>
      <c r="C333" s="104" t="str" cm="1">
        <f t="array" ref="C333">_xlfn.IFS(AND(A333&gt;NumberOfPlots,ISBLANK(INDEX(PlotData,MATCH($A333,PlotNumber,0),MATCH(B$3,PlotTitles,0)))),"",ISBLANK(INDEX(PlotData,MATCH($A333,PlotNumber,0),MATCH(C$3,PlotTitles,0))),$AB$6,TRUE,"")</f>
        <v/>
      </c>
      <c r="D333" s="104" t="str" cm="1">
        <f t="array" ref="D333">_xlfn.IFS(AND(A333&gt;NumberOfPlots,ISBLANK(INDEX(PlotData,MATCH($A333,PlotNumber,0),MATCH(B$3,PlotTitles,0)))),"",ISBLANK(INDEX(PlotData,MATCH($A333,PlotNumber,0),MATCH(D$3,PlotTitles,0))),$AB$7,TRUE,"")</f>
        <v/>
      </c>
      <c r="E333" s="104" t="str" cm="1">
        <f t="array" ref="E333">_xlfn.IFS(AND(A333&gt;NumberOfPlots,ISBLANK(INDEX(PlotData,MATCH($A333,PlotNumber,0),MATCH(B$3,PlotTitles,0)))),"",ISBLANK(INDEX(PlotData,MATCH($A333,PlotNumber,0),MATCH(E$3,PlotTitles,0))),$AB$8,TRUE,"")</f>
        <v/>
      </c>
      <c r="F333" s="104" t="str" cm="1">
        <f t="array" ref="F333">_xlfn.IFS(AND(A333&gt;NumberOfPlots,ISBLANK(INDEX(PlotData,MATCH($A333,PlotNumber,0),MATCH(B$3,PlotTitles,0)))),"",ISBLANK(INDEX(PlotData,MATCH($A333,PlotNumber,0),MATCH(F$3,PlotTitles,0))),$AB$9,TRUE,"")</f>
        <v/>
      </c>
      <c r="G333" s="104" t="str" cm="1">
        <f t="array" ref="G333">_xlfn.IFS(AND(A333&gt;NumberOfPlots,ISBLANK(INDEX(PlotData,MATCH($A333,PlotNumber,0),MATCH(B$3,PlotTitles,0)))),"",ISBLANK(INDEX(PlotData,MATCH($A333,PlotNumber,0),MATCH(G$3,PlotTitles,0))),$AB$10,TRUE,"")</f>
        <v/>
      </c>
      <c r="H333" s="104" t="str" cm="1">
        <f t="array" ref="H333">_xlfn.IFS(AND(A333&gt;NumberOfPlots,ISBLANK(INDEX(PlotData,MATCH($A333,PlotNumber,0),MATCH(B$3,PlotTitles,0)))),"",AND(ISBLANK(INDEX(PlotData,MATCH($A333,PlotNumber,0),MATCH(H$3,PlotTitles,0)))=FALSE,INDEX(PlotData,MATCH($A333,PlotNumber,0),MATCH(H$3,PlotTitles,0))&lt;500), $AB$11,TRUE,"")</f>
        <v/>
      </c>
      <c r="I333" s="104" t="str" cm="1">
        <f t="array" ref="I333">_xlfn.IFS(AND(A333&gt;NumberOfPlots,ISBLANK(INDEX(PlotData,MATCH($A333,PlotNumber,0),MATCH(B$3,PlotTitles,0)))),"",ISBLANK(INDEX(PlotData,MATCH($A333,PlotNumber,0),MATCH(I$3,PlotTitles,0))),$AB$12,TRUE,"")</f>
        <v/>
      </c>
      <c r="J333" s="104" t="str" cm="1">
        <f t="array" ref="J333">_xlfn.IFS(AND(A333&gt;NumberOfPlots,ISBLANK(INDEX(PlotData,MATCH($A333,PlotNumber,0),MATCH(B$3,PlotTitles,0)))),"",ISBLANK(INDEX(PlotData,MATCH($A333,PlotNumber,0),MATCH(J$3,PlotTitles,0))),$AB$13,TRUE,"")</f>
        <v/>
      </c>
      <c r="K333" s="182" t="str">
        <f t="shared" ca="1" si="15"/>
        <v/>
      </c>
      <c r="L333" s="104" t="str" cm="1">
        <f t="array" ref="L333">_xlfn.IFS(OR(ISBLANK(StartDateMonth),ISBLANK(StartDateYear)),"",AND(A333&gt;NumberOfPlots,ISBLANK(INDEX(PlotData,MATCH($A333,PlotNumber,0),MATCH(B$3,PlotTitles,0)))),"",ISBLANK(INDEX(PlotData,MATCH($A333,PlotNumber,0),MATCH(I$3,PlotTitles,0))),"",(DATEVALUE(INDEX(PlotData,MATCH($A333,PlotNumber,0),MATCH(I$3,PlotTitles,0))&amp;INDEX(PlotData,MATCH($A333,PlotNumber,0),MATCH(J$3,PlotTitles,0))))&lt;DATEVALUE(StartDateMonth&amp;StartDateYear),$AB$15,TRUE,"")</f>
        <v/>
      </c>
      <c r="M333" s="104" t="str" cm="1">
        <f t="array" ref="M333">_xlfn.IFS(OR(ISBLANK(StartDateMonth),ISBLANK(StartDateYear)),"",AND(A333&gt;NumberOfPlots,ISBLANK(INDEX(PlotData,MATCH($A333,PlotNumber,0),MATCH(B$3,PlotTitles,0)))),"",ISBLANK(INDEX(PlotData,MATCH($A333,PlotNumber,0),MATCH(I$3,PlotTitles,0))),"",CompletionMonth="","",(DATEVALUE(INDEX(PlotData,MATCH($A333,PlotNumber,0),MATCH(I$3,PlotTitles,0))&amp;INDEX(PlotData,MATCH($A333,PlotNumber,0),MATCH(J$3,PlotTitles,0))))&gt;(DATEVALUE(CompletionMonth&amp;CompletionYear)),$AB$16,TRUE,"")</f>
        <v/>
      </c>
      <c r="N333" s="104" t="str" cm="1">
        <f t="array" ref="N333">_xlfn.IFS(AND(A333&gt;NumberOfPlots,ISBLANK(INDEX(PlotData,MATCH($A333,PlotNumber,0),MATCH(B$3,PlotTitles,0)))),"",ISBLANK(INDEX(PlotData,MATCH($A333,PlotNumber,0),MATCH(N$3,PlotTitles,0))),$AB$17,TRUE,"")</f>
        <v/>
      </c>
      <c r="O333" s="104" t="str" cm="1">
        <f t="array" ref="O333">_xlfn.IFS(AND(A333&gt;NumberOfPlots,ISBLANK(INDEX(PlotData,MATCH($A333,PlotNumber,0),MATCH(B$3,PlotTitles,0)))),"",ISBLANK(INDEX(PlotData,MATCH($A333,PlotNumber,0),MATCH(O$3,PlotTitles,0))),$AB$18,TRUE,"")</f>
        <v/>
      </c>
      <c r="P333" s="182" t="str">
        <f t="shared" ca="1" si="16"/>
        <v/>
      </c>
      <c r="Q333" s="104" t="str" cm="1">
        <f t="array" ref="Q333">_xlfn.IFS(AND(A333&gt;NumberOfPlots,ISBLANK(INDEX(PlotData,MATCH($A333,PlotNumber,0),MATCH(B$3,PlotTitles,0)))),"",ISBLANK(INDEX(PlotData,MATCH($A333,PlotNumber,0),MATCH(N$3,PlotTitles,0))),"",(DATEVALUE(INDEX(PlotData,MATCH($A333,PlotNumber,0),MATCH(N$3,PlotTitles,0))&amp;INDEX(PlotData,MATCH($A333,PlotNumber,0),MATCH(O$3,PlotTitles,0))))&lt;(DATEVALUE(INDEX(PlotData,MATCH($A333,PlotNumber,0),MATCH(I$3,PlotTitles,0))&amp;INDEX(PlotData,MATCH($A333,PlotNumber,0),MATCH(J$3,PlotTitles,0)))),$AB$20,TRUE,"")</f>
        <v/>
      </c>
      <c r="R333" s="104" t="str" cm="1">
        <f t="array" ref="R333">_xlfn.IFS(OR(ISBLANK(StartDateMonth),ISBLANK(StartDateYear)),"",AND(A333&gt;NumberOfPlots,ISBLANK(INDEX(PlotData,MATCH($A333,PlotNumber,0),MATCH(B$3,PlotTitles,0)))),"",ISBLANK(INDEX(PlotData,MATCH($A333,PlotNumber,0),MATCH(N$3,PlotTitles,0))),"",CompletionMonth="","",(DATEVALUE(INDEX(PlotData,MATCH($A333,PlotNumber,0),MATCH(N$3,PlotTitles,0))&amp;INDEX(PlotData,MATCH($A333,PlotNumber,0),MATCH(O$3,PlotTitles,0))))&gt;(DATEVALUE(CompletionMonth&amp;CompletionYear)),$AB$21,TRUE,"")</f>
        <v/>
      </c>
      <c r="S333" s="104" t="str" cm="1">
        <f t="array" ref="S333">_xlfn.IFS(AND(A333&gt;NumberOfPlots,ISBLANK(INDEX(PlotData,MATCH($A333,PlotNumber,0),MATCH(B$3,PlotTitles,0)))),"",OR(AND(INDEX(PlotData,MATCH($A333,PlotNumber,0),MATCH("Tenure",PlotTitles,0))="Open market housing",INDEX(PlotData,MATCH($A333,PlotNumber,0),MATCH("Tenure detail",PlotTitles,0))="Private rented sector"),INDEX(PlotData,MATCH($A333,PlotNumber,0),MATCH("Tenure",PlotTitles,0))="Affordable rent"),"",ISNUMBER(INDEX(PlotData,MATCH($A333,PlotNumber,0),MATCH(S$3,PlotTitles,0)))=FALSE, $AB$22,TRUE,"")</f>
        <v/>
      </c>
      <c r="T333" s="104" t="str" cm="1">
        <f t="array" ref="T333">_xlfn.IFS(AND(A333&gt;NumberOfPlots,ISBLANK(INDEX(PlotData,MATCH($A333,PlotNumber,0),MATCH(B$3,PlotTitles,0)))),"",OR(AND(INDEX(PlotData,MATCH($A333,PlotNumber,0),MATCH("Tenure",PlotTitles,0))="Open market housing",INDEX(PlotData,MATCH($A333,PlotNumber,0),MATCH("Tenure detail",PlotTitles,0))="Private rented sector"),INDEX(PlotData,MATCH($A333,PlotNumber,0),MATCH("Tenure",PlotTitles,0))="Affordable rent"),"",INDEX(PlotData,MATCH($A333,PlotNumber,0),MATCH(S$3,PlotTitles,0))&lt;10000, $AB$23,TRUE,"")</f>
        <v/>
      </c>
      <c r="U333" s="104" t="str" cm="1">
        <f t="array" ref="U333">_xlfn.IFS(AND(A333&gt;NumberOfPlots,ISBLANK(INDEX(PlotData,MATCH($A333,PlotNumber,0),MATCH(B$3,PlotTitles,0)))),"",NOT(OR(AND(INDEX(PlotData,MATCH($A333,PlotNumber,0),MATCH("Tenure",PlotTitles,0))="Open market housing",INDEX(PlotData,MATCH($A333,PlotNumber,0),MATCH("Tenure detail",PlotTitles,0))="Private rented sector"),INDEX(PlotData,MATCH($A333,PlotNumber,0),MATCH("Tenure",PlotTitles,0))="Affordable rent")),"",NOT(INDEX(PlotData,MATCH($A333,PlotNumber,0),MATCH(S$3,PlotTitles,0))=0), $AB$24,TRUE,"")</f>
        <v/>
      </c>
      <c r="V333" s="114" t="str" cm="1">
        <f t="array" aca="1" ref="V333" ca="1">_xlfn.IFS(ISBLANK(NumberOfPlots),"Enter the number of homes on the 1_SetUp sheet",AND(A333&gt;NumberOfPlots,ISBLANK(INDEX(PlotData,MATCH($A333,PlotNumber,0),MATCH(B$3,PlotTitles,0)))),"No error",NOT(B333=""),B333,NOT(C333=""),C333,NOT(D333=""),D333,NOT(E333=""),E333,NOT(F333=""),F333,NOT(G333=""),G333,NOT(H333=""),H333,NOT(I333=""),I333,NOT(J333=""),J333,NOT(K333=""),K333,NOT(L333=""),L333,NOT(M333=""),M333,NOT(N333=""),N333,NOT(O333=""),O333,NOT(P333=""),P333,NOT(Q333=""),Q333,NOT(R333=""),R333,NOT(S333=""),S333,NOT(T333=""),T333,NOT(U333=""),U333,TRUE,"No error")</f>
        <v>Enter the number of homes on the 1_SetUp sheet</v>
      </c>
      <c r="W333" s="114" t="str">
        <f t="shared" ca="1" si="17"/>
        <v xml:space="preserve">The Borrower has not addressed the following error messages for Home ID 329: </v>
      </c>
    </row>
    <row r="334" spans="1:23">
      <c r="A334" s="123">
        <v>330</v>
      </c>
      <c r="B334" s="104" t="str" cm="1">
        <f t="array" ref="B334">_xlfn.IFS(AND(A334&gt;NumberOfPlots,ISBLANK(INDEX(PlotData,MATCH($A334,PlotNumber,0),MATCH(B$3,PlotTitles,0)))),"",ISNUMBER(INDEX(PlotData,MATCH($A334,PlotNumber,0),MATCH(B$3,PlotTitles,0)))=FALSE, $AB$5,TRUE,"")</f>
        <v/>
      </c>
      <c r="C334" s="104" t="str" cm="1">
        <f t="array" ref="C334">_xlfn.IFS(AND(A334&gt;NumberOfPlots,ISBLANK(INDEX(PlotData,MATCH($A334,PlotNumber,0),MATCH(B$3,PlotTitles,0)))),"",ISBLANK(INDEX(PlotData,MATCH($A334,PlotNumber,0),MATCH(C$3,PlotTitles,0))),$AB$6,TRUE,"")</f>
        <v/>
      </c>
      <c r="D334" s="104" t="str" cm="1">
        <f t="array" ref="D334">_xlfn.IFS(AND(A334&gt;NumberOfPlots,ISBLANK(INDEX(PlotData,MATCH($A334,PlotNumber,0),MATCH(B$3,PlotTitles,0)))),"",ISBLANK(INDEX(PlotData,MATCH($A334,PlotNumber,0),MATCH(D$3,PlotTitles,0))),$AB$7,TRUE,"")</f>
        <v/>
      </c>
      <c r="E334" s="104" t="str" cm="1">
        <f t="array" ref="E334">_xlfn.IFS(AND(A334&gt;NumberOfPlots,ISBLANK(INDEX(PlotData,MATCH($A334,PlotNumber,0),MATCH(B$3,PlotTitles,0)))),"",ISBLANK(INDEX(PlotData,MATCH($A334,PlotNumber,0),MATCH(E$3,PlotTitles,0))),$AB$8,TRUE,"")</f>
        <v/>
      </c>
      <c r="F334" s="104" t="str" cm="1">
        <f t="array" ref="F334">_xlfn.IFS(AND(A334&gt;NumberOfPlots,ISBLANK(INDEX(PlotData,MATCH($A334,PlotNumber,0),MATCH(B$3,PlotTitles,0)))),"",ISBLANK(INDEX(PlotData,MATCH($A334,PlotNumber,0),MATCH(F$3,PlotTitles,0))),$AB$9,TRUE,"")</f>
        <v/>
      </c>
      <c r="G334" s="104" t="str" cm="1">
        <f t="array" ref="G334">_xlfn.IFS(AND(A334&gt;NumberOfPlots,ISBLANK(INDEX(PlotData,MATCH($A334,PlotNumber,0),MATCH(B$3,PlotTitles,0)))),"",ISBLANK(INDEX(PlotData,MATCH($A334,PlotNumber,0),MATCH(G$3,PlotTitles,0))),$AB$10,TRUE,"")</f>
        <v/>
      </c>
      <c r="H334" s="104" t="str" cm="1">
        <f t="array" ref="H334">_xlfn.IFS(AND(A334&gt;NumberOfPlots,ISBLANK(INDEX(PlotData,MATCH($A334,PlotNumber,0),MATCH(B$3,PlotTitles,0)))),"",AND(ISBLANK(INDEX(PlotData,MATCH($A334,PlotNumber,0),MATCH(H$3,PlotTitles,0)))=FALSE,INDEX(PlotData,MATCH($A334,PlotNumber,0),MATCH(H$3,PlotTitles,0))&lt;500), $AB$11,TRUE,"")</f>
        <v/>
      </c>
      <c r="I334" s="104" t="str" cm="1">
        <f t="array" ref="I334">_xlfn.IFS(AND(A334&gt;NumberOfPlots,ISBLANK(INDEX(PlotData,MATCH($A334,PlotNumber,0),MATCH(B$3,PlotTitles,0)))),"",ISBLANK(INDEX(PlotData,MATCH($A334,PlotNumber,0),MATCH(I$3,PlotTitles,0))),$AB$12,TRUE,"")</f>
        <v/>
      </c>
      <c r="J334" s="104" t="str" cm="1">
        <f t="array" ref="J334">_xlfn.IFS(AND(A334&gt;NumberOfPlots,ISBLANK(INDEX(PlotData,MATCH($A334,PlotNumber,0),MATCH(B$3,PlotTitles,0)))),"",ISBLANK(INDEX(PlotData,MATCH($A334,PlotNumber,0),MATCH(J$3,PlotTitles,0))),$AB$13,TRUE,"")</f>
        <v/>
      </c>
      <c r="K334" s="182" t="str">
        <f t="shared" ca="1" si="15"/>
        <v/>
      </c>
      <c r="L334" s="104" t="str" cm="1">
        <f t="array" ref="L334">_xlfn.IFS(OR(ISBLANK(StartDateMonth),ISBLANK(StartDateYear)),"",AND(A334&gt;NumberOfPlots,ISBLANK(INDEX(PlotData,MATCH($A334,PlotNumber,0),MATCH(B$3,PlotTitles,0)))),"",ISBLANK(INDEX(PlotData,MATCH($A334,PlotNumber,0),MATCH(I$3,PlotTitles,0))),"",(DATEVALUE(INDEX(PlotData,MATCH($A334,PlotNumber,0),MATCH(I$3,PlotTitles,0))&amp;INDEX(PlotData,MATCH($A334,PlotNumber,0),MATCH(J$3,PlotTitles,0))))&lt;DATEVALUE(StartDateMonth&amp;StartDateYear),$AB$15,TRUE,"")</f>
        <v/>
      </c>
      <c r="M334" s="104" t="str" cm="1">
        <f t="array" ref="M334">_xlfn.IFS(OR(ISBLANK(StartDateMonth),ISBLANK(StartDateYear)),"",AND(A334&gt;NumberOfPlots,ISBLANK(INDEX(PlotData,MATCH($A334,PlotNumber,0),MATCH(B$3,PlotTitles,0)))),"",ISBLANK(INDEX(PlotData,MATCH($A334,PlotNumber,0),MATCH(I$3,PlotTitles,0))),"",CompletionMonth="","",(DATEVALUE(INDEX(PlotData,MATCH($A334,PlotNumber,0),MATCH(I$3,PlotTitles,0))&amp;INDEX(PlotData,MATCH($A334,PlotNumber,0),MATCH(J$3,PlotTitles,0))))&gt;(DATEVALUE(CompletionMonth&amp;CompletionYear)),$AB$16,TRUE,"")</f>
        <v/>
      </c>
      <c r="N334" s="104" t="str" cm="1">
        <f t="array" ref="N334">_xlfn.IFS(AND(A334&gt;NumberOfPlots,ISBLANK(INDEX(PlotData,MATCH($A334,PlotNumber,0),MATCH(B$3,PlotTitles,0)))),"",ISBLANK(INDEX(PlotData,MATCH($A334,PlotNumber,0),MATCH(N$3,PlotTitles,0))),$AB$17,TRUE,"")</f>
        <v/>
      </c>
      <c r="O334" s="104" t="str" cm="1">
        <f t="array" ref="O334">_xlfn.IFS(AND(A334&gt;NumberOfPlots,ISBLANK(INDEX(PlotData,MATCH($A334,PlotNumber,0),MATCH(B$3,PlotTitles,0)))),"",ISBLANK(INDEX(PlotData,MATCH($A334,PlotNumber,0),MATCH(O$3,PlotTitles,0))),$AB$18,TRUE,"")</f>
        <v/>
      </c>
      <c r="P334" s="182" t="str">
        <f t="shared" ca="1" si="16"/>
        <v/>
      </c>
      <c r="Q334" s="104" t="str" cm="1">
        <f t="array" ref="Q334">_xlfn.IFS(AND(A334&gt;NumberOfPlots,ISBLANK(INDEX(PlotData,MATCH($A334,PlotNumber,0),MATCH(B$3,PlotTitles,0)))),"",ISBLANK(INDEX(PlotData,MATCH($A334,PlotNumber,0),MATCH(N$3,PlotTitles,0))),"",(DATEVALUE(INDEX(PlotData,MATCH($A334,PlotNumber,0),MATCH(N$3,PlotTitles,0))&amp;INDEX(PlotData,MATCH($A334,PlotNumber,0),MATCH(O$3,PlotTitles,0))))&lt;(DATEVALUE(INDEX(PlotData,MATCH($A334,PlotNumber,0),MATCH(I$3,PlotTitles,0))&amp;INDEX(PlotData,MATCH($A334,PlotNumber,0),MATCH(J$3,PlotTitles,0)))),$AB$20,TRUE,"")</f>
        <v/>
      </c>
      <c r="R334" s="104" t="str" cm="1">
        <f t="array" ref="R334">_xlfn.IFS(OR(ISBLANK(StartDateMonth),ISBLANK(StartDateYear)),"",AND(A334&gt;NumberOfPlots,ISBLANK(INDEX(PlotData,MATCH($A334,PlotNumber,0),MATCH(B$3,PlotTitles,0)))),"",ISBLANK(INDEX(PlotData,MATCH($A334,PlotNumber,0),MATCH(N$3,PlotTitles,0))),"",CompletionMonth="","",(DATEVALUE(INDEX(PlotData,MATCH($A334,PlotNumber,0),MATCH(N$3,PlotTitles,0))&amp;INDEX(PlotData,MATCH($A334,PlotNumber,0),MATCH(O$3,PlotTitles,0))))&gt;(DATEVALUE(CompletionMonth&amp;CompletionYear)),$AB$21,TRUE,"")</f>
        <v/>
      </c>
      <c r="S334" s="104" t="str" cm="1">
        <f t="array" ref="S334">_xlfn.IFS(AND(A334&gt;NumberOfPlots,ISBLANK(INDEX(PlotData,MATCH($A334,PlotNumber,0),MATCH(B$3,PlotTitles,0)))),"",OR(AND(INDEX(PlotData,MATCH($A334,PlotNumber,0),MATCH("Tenure",PlotTitles,0))="Open market housing",INDEX(PlotData,MATCH($A334,PlotNumber,0),MATCH("Tenure detail",PlotTitles,0))="Private rented sector"),INDEX(PlotData,MATCH($A334,PlotNumber,0),MATCH("Tenure",PlotTitles,0))="Affordable rent"),"",ISNUMBER(INDEX(PlotData,MATCH($A334,PlotNumber,0),MATCH(S$3,PlotTitles,0)))=FALSE, $AB$22,TRUE,"")</f>
        <v/>
      </c>
      <c r="T334" s="104" t="str" cm="1">
        <f t="array" ref="T334">_xlfn.IFS(AND(A334&gt;NumberOfPlots,ISBLANK(INDEX(PlotData,MATCH($A334,PlotNumber,0),MATCH(B$3,PlotTitles,0)))),"",OR(AND(INDEX(PlotData,MATCH($A334,PlotNumber,0),MATCH("Tenure",PlotTitles,0))="Open market housing",INDEX(PlotData,MATCH($A334,PlotNumber,0),MATCH("Tenure detail",PlotTitles,0))="Private rented sector"),INDEX(PlotData,MATCH($A334,PlotNumber,0),MATCH("Tenure",PlotTitles,0))="Affordable rent"),"",INDEX(PlotData,MATCH($A334,PlotNumber,0),MATCH(S$3,PlotTitles,0))&lt;10000, $AB$23,TRUE,"")</f>
        <v/>
      </c>
      <c r="U334" s="104" t="str" cm="1">
        <f t="array" ref="U334">_xlfn.IFS(AND(A334&gt;NumberOfPlots,ISBLANK(INDEX(PlotData,MATCH($A334,PlotNumber,0),MATCH(B$3,PlotTitles,0)))),"",NOT(OR(AND(INDEX(PlotData,MATCH($A334,PlotNumber,0),MATCH("Tenure",PlotTitles,0))="Open market housing",INDEX(PlotData,MATCH($A334,PlotNumber,0),MATCH("Tenure detail",PlotTitles,0))="Private rented sector"),INDEX(PlotData,MATCH($A334,PlotNumber,0),MATCH("Tenure",PlotTitles,0))="Affordable rent")),"",NOT(INDEX(PlotData,MATCH($A334,PlotNumber,0),MATCH(S$3,PlotTitles,0))=0), $AB$24,TRUE,"")</f>
        <v/>
      </c>
      <c r="V334" s="114" t="str" cm="1">
        <f t="array" aca="1" ref="V334" ca="1">_xlfn.IFS(ISBLANK(NumberOfPlots),"Enter the number of homes on the 1_SetUp sheet",AND(A334&gt;NumberOfPlots,ISBLANK(INDEX(PlotData,MATCH($A334,PlotNumber,0),MATCH(B$3,PlotTitles,0)))),"No error",NOT(B334=""),B334,NOT(C334=""),C334,NOT(D334=""),D334,NOT(E334=""),E334,NOT(F334=""),F334,NOT(G334=""),G334,NOT(H334=""),H334,NOT(I334=""),I334,NOT(J334=""),J334,NOT(K334=""),K334,NOT(L334=""),L334,NOT(M334=""),M334,NOT(N334=""),N334,NOT(O334=""),O334,NOT(P334=""),P334,NOT(Q334=""),Q334,NOT(R334=""),R334,NOT(S334=""),S334,NOT(T334=""),T334,NOT(U334=""),U334,TRUE,"No error")</f>
        <v>Enter the number of homes on the 1_SetUp sheet</v>
      </c>
      <c r="W334" s="114" t="str">
        <f t="shared" ca="1" si="17"/>
        <v xml:space="preserve">The Borrower has not addressed the following error messages for Home ID 330: </v>
      </c>
    </row>
    <row r="335" spans="1:23">
      <c r="A335" s="123">
        <v>331</v>
      </c>
      <c r="B335" s="104" t="str" cm="1">
        <f t="array" ref="B335">_xlfn.IFS(AND(A335&gt;NumberOfPlots,ISBLANK(INDEX(PlotData,MATCH($A335,PlotNumber,0),MATCH(B$3,PlotTitles,0)))),"",ISNUMBER(INDEX(PlotData,MATCH($A335,PlotNumber,0),MATCH(B$3,PlotTitles,0)))=FALSE, $AB$5,TRUE,"")</f>
        <v/>
      </c>
      <c r="C335" s="104" t="str" cm="1">
        <f t="array" ref="C335">_xlfn.IFS(AND(A335&gt;NumberOfPlots,ISBLANK(INDEX(PlotData,MATCH($A335,PlotNumber,0),MATCH(B$3,PlotTitles,0)))),"",ISBLANK(INDEX(PlotData,MATCH($A335,PlotNumber,0),MATCH(C$3,PlotTitles,0))),$AB$6,TRUE,"")</f>
        <v/>
      </c>
      <c r="D335" s="104" t="str" cm="1">
        <f t="array" ref="D335">_xlfn.IFS(AND(A335&gt;NumberOfPlots,ISBLANK(INDEX(PlotData,MATCH($A335,PlotNumber,0),MATCH(B$3,PlotTitles,0)))),"",ISBLANK(INDEX(PlotData,MATCH($A335,PlotNumber,0),MATCH(D$3,PlotTitles,0))),$AB$7,TRUE,"")</f>
        <v/>
      </c>
      <c r="E335" s="104" t="str" cm="1">
        <f t="array" ref="E335">_xlfn.IFS(AND(A335&gt;NumberOfPlots,ISBLANK(INDEX(PlotData,MATCH($A335,PlotNumber,0),MATCH(B$3,PlotTitles,0)))),"",ISBLANK(INDEX(PlotData,MATCH($A335,PlotNumber,0),MATCH(E$3,PlotTitles,0))),$AB$8,TRUE,"")</f>
        <v/>
      </c>
      <c r="F335" s="104" t="str" cm="1">
        <f t="array" ref="F335">_xlfn.IFS(AND(A335&gt;NumberOfPlots,ISBLANK(INDEX(PlotData,MATCH($A335,PlotNumber,0),MATCH(B$3,PlotTitles,0)))),"",ISBLANK(INDEX(PlotData,MATCH($A335,PlotNumber,0),MATCH(F$3,PlotTitles,0))),$AB$9,TRUE,"")</f>
        <v/>
      </c>
      <c r="G335" s="104" t="str" cm="1">
        <f t="array" ref="G335">_xlfn.IFS(AND(A335&gt;NumberOfPlots,ISBLANK(INDEX(PlotData,MATCH($A335,PlotNumber,0),MATCH(B$3,PlotTitles,0)))),"",ISBLANK(INDEX(PlotData,MATCH($A335,PlotNumber,0),MATCH(G$3,PlotTitles,0))),$AB$10,TRUE,"")</f>
        <v/>
      </c>
      <c r="H335" s="104" t="str" cm="1">
        <f t="array" ref="H335">_xlfn.IFS(AND(A335&gt;NumberOfPlots,ISBLANK(INDEX(PlotData,MATCH($A335,PlotNumber,0),MATCH(B$3,PlotTitles,0)))),"",AND(ISBLANK(INDEX(PlotData,MATCH($A335,PlotNumber,0),MATCH(H$3,PlotTitles,0)))=FALSE,INDEX(PlotData,MATCH($A335,PlotNumber,0),MATCH(H$3,PlotTitles,0))&lt;500), $AB$11,TRUE,"")</f>
        <v/>
      </c>
      <c r="I335" s="104" t="str" cm="1">
        <f t="array" ref="I335">_xlfn.IFS(AND(A335&gt;NumberOfPlots,ISBLANK(INDEX(PlotData,MATCH($A335,PlotNumber,0),MATCH(B$3,PlotTitles,0)))),"",ISBLANK(INDEX(PlotData,MATCH($A335,PlotNumber,0),MATCH(I$3,PlotTitles,0))),$AB$12,TRUE,"")</f>
        <v/>
      </c>
      <c r="J335" s="104" t="str" cm="1">
        <f t="array" ref="J335">_xlfn.IFS(AND(A335&gt;NumberOfPlots,ISBLANK(INDEX(PlotData,MATCH($A335,PlotNumber,0),MATCH(B$3,PlotTitles,0)))),"",ISBLANK(INDEX(PlotData,MATCH($A335,PlotNumber,0),MATCH(J$3,PlotTitles,0))),$AB$13,TRUE,"")</f>
        <v/>
      </c>
      <c r="K335" s="182" t="str">
        <f t="shared" ca="1" si="15"/>
        <v/>
      </c>
      <c r="L335" s="104" t="str" cm="1">
        <f t="array" ref="L335">_xlfn.IFS(OR(ISBLANK(StartDateMonth),ISBLANK(StartDateYear)),"",AND(A335&gt;NumberOfPlots,ISBLANK(INDEX(PlotData,MATCH($A335,PlotNumber,0),MATCH(B$3,PlotTitles,0)))),"",ISBLANK(INDEX(PlotData,MATCH($A335,PlotNumber,0),MATCH(I$3,PlotTitles,0))),"",(DATEVALUE(INDEX(PlotData,MATCH($A335,PlotNumber,0),MATCH(I$3,PlotTitles,0))&amp;INDEX(PlotData,MATCH($A335,PlotNumber,0),MATCH(J$3,PlotTitles,0))))&lt;DATEVALUE(StartDateMonth&amp;StartDateYear),$AB$15,TRUE,"")</f>
        <v/>
      </c>
      <c r="M335" s="104" t="str" cm="1">
        <f t="array" ref="M335">_xlfn.IFS(OR(ISBLANK(StartDateMonth),ISBLANK(StartDateYear)),"",AND(A335&gt;NumberOfPlots,ISBLANK(INDEX(PlotData,MATCH($A335,PlotNumber,0),MATCH(B$3,PlotTitles,0)))),"",ISBLANK(INDEX(PlotData,MATCH($A335,PlotNumber,0),MATCH(I$3,PlotTitles,0))),"",CompletionMonth="","",(DATEVALUE(INDEX(PlotData,MATCH($A335,PlotNumber,0),MATCH(I$3,PlotTitles,0))&amp;INDEX(PlotData,MATCH($A335,PlotNumber,0),MATCH(J$3,PlotTitles,0))))&gt;(DATEVALUE(CompletionMonth&amp;CompletionYear)),$AB$16,TRUE,"")</f>
        <v/>
      </c>
      <c r="N335" s="104" t="str" cm="1">
        <f t="array" ref="N335">_xlfn.IFS(AND(A335&gt;NumberOfPlots,ISBLANK(INDEX(PlotData,MATCH($A335,PlotNumber,0),MATCH(B$3,PlotTitles,0)))),"",ISBLANK(INDEX(PlotData,MATCH($A335,PlotNumber,0),MATCH(N$3,PlotTitles,0))),$AB$17,TRUE,"")</f>
        <v/>
      </c>
      <c r="O335" s="104" t="str" cm="1">
        <f t="array" ref="O335">_xlfn.IFS(AND(A335&gt;NumberOfPlots,ISBLANK(INDEX(PlotData,MATCH($A335,PlotNumber,0),MATCH(B$3,PlotTitles,0)))),"",ISBLANK(INDEX(PlotData,MATCH($A335,PlotNumber,0),MATCH(O$3,PlotTitles,0))),$AB$18,TRUE,"")</f>
        <v/>
      </c>
      <c r="P335" s="182" t="str">
        <f t="shared" ca="1" si="16"/>
        <v/>
      </c>
      <c r="Q335" s="104" t="str" cm="1">
        <f t="array" ref="Q335">_xlfn.IFS(AND(A335&gt;NumberOfPlots,ISBLANK(INDEX(PlotData,MATCH($A335,PlotNumber,0),MATCH(B$3,PlotTitles,0)))),"",ISBLANK(INDEX(PlotData,MATCH($A335,PlotNumber,0),MATCH(N$3,PlotTitles,0))),"",(DATEVALUE(INDEX(PlotData,MATCH($A335,PlotNumber,0),MATCH(N$3,PlotTitles,0))&amp;INDEX(PlotData,MATCH($A335,PlotNumber,0),MATCH(O$3,PlotTitles,0))))&lt;(DATEVALUE(INDEX(PlotData,MATCH($A335,PlotNumber,0),MATCH(I$3,PlotTitles,0))&amp;INDEX(PlotData,MATCH($A335,PlotNumber,0),MATCH(J$3,PlotTitles,0)))),$AB$20,TRUE,"")</f>
        <v/>
      </c>
      <c r="R335" s="104" t="str" cm="1">
        <f t="array" ref="R335">_xlfn.IFS(OR(ISBLANK(StartDateMonth),ISBLANK(StartDateYear)),"",AND(A335&gt;NumberOfPlots,ISBLANK(INDEX(PlotData,MATCH($A335,PlotNumber,0),MATCH(B$3,PlotTitles,0)))),"",ISBLANK(INDEX(PlotData,MATCH($A335,PlotNumber,0),MATCH(N$3,PlotTitles,0))),"",CompletionMonth="","",(DATEVALUE(INDEX(PlotData,MATCH($A335,PlotNumber,0),MATCH(N$3,PlotTitles,0))&amp;INDEX(PlotData,MATCH($A335,PlotNumber,0),MATCH(O$3,PlotTitles,0))))&gt;(DATEVALUE(CompletionMonth&amp;CompletionYear)),$AB$21,TRUE,"")</f>
        <v/>
      </c>
      <c r="S335" s="104" t="str" cm="1">
        <f t="array" ref="S335">_xlfn.IFS(AND(A335&gt;NumberOfPlots,ISBLANK(INDEX(PlotData,MATCH($A335,PlotNumber,0),MATCH(B$3,PlotTitles,0)))),"",OR(AND(INDEX(PlotData,MATCH($A335,PlotNumber,0),MATCH("Tenure",PlotTitles,0))="Open market housing",INDEX(PlotData,MATCH($A335,PlotNumber,0),MATCH("Tenure detail",PlotTitles,0))="Private rented sector"),INDEX(PlotData,MATCH($A335,PlotNumber,0),MATCH("Tenure",PlotTitles,0))="Affordable rent"),"",ISNUMBER(INDEX(PlotData,MATCH($A335,PlotNumber,0),MATCH(S$3,PlotTitles,0)))=FALSE, $AB$22,TRUE,"")</f>
        <v/>
      </c>
      <c r="T335" s="104" t="str" cm="1">
        <f t="array" ref="T335">_xlfn.IFS(AND(A335&gt;NumberOfPlots,ISBLANK(INDEX(PlotData,MATCH($A335,PlotNumber,0),MATCH(B$3,PlotTitles,0)))),"",OR(AND(INDEX(PlotData,MATCH($A335,PlotNumber,0),MATCH("Tenure",PlotTitles,0))="Open market housing",INDEX(PlotData,MATCH($A335,PlotNumber,0),MATCH("Tenure detail",PlotTitles,0))="Private rented sector"),INDEX(PlotData,MATCH($A335,PlotNumber,0),MATCH("Tenure",PlotTitles,0))="Affordable rent"),"",INDEX(PlotData,MATCH($A335,PlotNumber,0),MATCH(S$3,PlotTitles,0))&lt;10000, $AB$23,TRUE,"")</f>
        <v/>
      </c>
      <c r="U335" s="104" t="str" cm="1">
        <f t="array" ref="U335">_xlfn.IFS(AND(A335&gt;NumberOfPlots,ISBLANK(INDEX(PlotData,MATCH($A335,PlotNumber,0),MATCH(B$3,PlotTitles,0)))),"",NOT(OR(AND(INDEX(PlotData,MATCH($A335,PlotNumber,0),MATCH("Tenure",PlotTitles,0))="Open market housing",INDEX(PlotData,MATCH($A335,PlotNumber,0),MATCH("Tenure detail",PlotTitles,0))="Private rented sector"),INDEX(PlotData,MATCH($A335,PlotNumber,0),MATCH("Tenure",PlotTitles,0))="Affordable rent")),"",NOT(INDEX(PlotData,MATCH($A335,PlotNumber,0),MATCH(S$3,PlotTitles,0))=0), $AB$24,TRUE,"")</f>
        <v/>
      </c>
      <c r="V335" s="114" t="str" cm="1">
        <f t="array" aca="1" ref="V335" ca="1">_xlfn.IFS(ISBLANK(NumberOfPlots),"Enter the number of homes on the 1_SetUp sheet",AND(A335&gt;NumberOfPlots,ISBLANK(INDEX(PlotData,MATCH($A335,PlotNumber,0),MATCH(B$3,PlotTitles,0)))),"No error",NOT(B335=""),B335,NOT(C335=""),C335,NOT(D335=""),D335,NOT(E335=""),E335,NOT(F335=""),F335,NOT(G335=""),G335,NOT(H335=""),H335,NOT(I335=""),I335,NOT(J335=""),J335,NOT(K335=""),K335,NOT(L335=""),L335,NOT(M335=""),M335,NOT(N335=""),N335,NOT(O335=""),O335,NOT(P335=""),P335,NOT(Q335=""),Q335,NOT(R335=""),R335,NOT(S335=""),S335,NOT(T335=""),T335,NOT(U335=""),U335,TRUE,"No error")</f>
        <v>Enter the number of homes on the 1_SetUp sheet</v>
      </c>
      <c r="W335" s="114" t="str">
        <f t="shared" ca="1" si="17"/>
        <v xml:space="preserve">The Borrower has not addressed the following error messages for Home ID 331: </v>
      </c>
    </row>
    <row r="336" spans="1:23">
      <c r="A336" s="123">
        <v>332</v>
      </c>
      <c r="B336" s="104" t="str" cm="1">
        <f t="array" ref="B336">_xlfn.IFS(AND(A336&gt;NumberOfPlots,ISBLANK(INDEX(PlotData,MATCH($A336,PlotNumber,0),MATCH(B$3,PlotTitles,0)))),"",ISNUMBER(INDEX(PlotData,MATCH($A336,PlotNumber,0),MATCH(B$3,PlotTitles,0)))=FALSE, $AB$5,TRUE,"")</f>
        <v/>
      </c>
      <c r="C336" s="104" t="str" cm="1">
        <f t="array" ref="C336">_xlfn.IFS(AND(A336&gt;NumberOfPlots,ISBLANK(INDEX(PlotData,MATCH($A336,PlotNumber,0),MATCH(B$3,PlotTitles,0)))),"",ISBLANK(INDEX(PlotData,MATCH($A336,PlotNumber,0),MATCH(C$3,PlotTitles,0))),$AB$6,TRUE,"")</f>
        <v/>
      </c>
      <c r="D336" s="104" t="str" cm="1">
        <f t="array" ref="D336">_xlfn.IFS(AND(A336&gt;NumberOfPlots,ISBLANK(INDEX(PlotData,MATCH($A336,PlotNumber,0),MATCH(B$3,PlotTitles,0)))),"",ISBLANK(INDEX(PlotData,MATCH($A336,PlotNumber,0),MATCH(D$3,PlotTitles,0))),$AB$7,TRUE,"")</f>
        <v/>
      </c>
      <c r="E336" s="104" t="str" cm="1">
        <f t="array" ref="E336">_xlfn.IFS(AND(A336&gt;NumberOfPlots,ISBLANK(INDEX(PlotData,MATCH($A336,PlotNumber,0),MATCH(B$3,PlotTitles,0)))),"",ISBLANK(INDEX(PlotData,MATCH($A336,PlotNumber,0),MATCH(E$3,PlotTitles,0))),$AB$8,TRUE,"")</f>
        <v/>
      </c>
      <c r="F336" s="104" t="str" cm="1">
        <f t="array" ref="F336">_xlfn.IFS(AND(A336&gt;NumberOfPlots,ISBLANK(INDEX(PlotData,MATCH($A336,PlotNumber,0),MATCH(B$3,PlotTitles,0)))),"",ISBLANK(INDEX(PlotData,MATCH($A336,PlotNumber,0),MATCH(F$3,PlotTitles,0))),$AB$9,TRUE,"")</f>
        <v/>
      </c>
      <c r="G336" s="104" t="str" cm="1">
        <f t="array" ref="G336">_xlfn.IFS(AND(A336&gt;NumberOfPlots,ISBLANK(INDEX(PlotData,MATCH($A336,PlotNumber,0),MATCH(B$3,PlotTitles,0)))),"",ISBLANK(INDEX(PlotData,MATCH($A336,PlotNumber,0),MATCH(G$3,PlotTitles,0))),$AB$10,TRUE,"")</f>
        <v/>
      </c>
      <c r="H336" s="104" t="str" cm="1">
        <f t="array" ref="H336">_xlfn.IFS(AND(A336&gt;NumberOfPlots,ISBLANK(INDEX(PlotData,MATCH($A336,PlotNumber,0),MATCH(B$3,PlotTitles,0)))),"",AND(ISBLANK(INDEX(PlotData,MATCH($A336,PlotNumber,0),MATCH(H$3,PlotTitles,0)))=FALSE,INDEX(PlotData,MATCH($A336,PlotNumber,0),MATCH(H$3,PlotTitles,0))&lt;500), $AB$11,TRUE,"")</f>
        <v/>
      </c>
      <c r="I336" s="104" t="str" cm="1">
        <f t="array" ref="I336">_xlfn.IFS(AND(A336&gt;NumberOfPlots,ISBLANK(INDEX(PlotData,MATCH($A336,PlotNumber,0),MATCH(B$3,PlotTitles,0)))),"",ISBLANK(INDEX(PlotData,MATCH($A336,PlotNumber,0),MATCH(I$3,PlotTitles,0))),$AB$12,TRUE,"")</f>
        <v/>
      </c>
      <c r="J336" s="104" t="str" cm="1">
        <f t="array" ref="J336">_xlfn.IFS(AND(A336&gt;NumberOfPlots,ISBLANK(INDEX(PlotData,MATCH($A336,PlotNumber,0),MATCH(B$3,PlotTitles,0)))),"",ISBLANK(INDEX(PlotData,MATCH($A336,PlotNumber,0),MATCH(J$3,PlotTitles,0))),$AB$13,TRUE,"")</f>
        <v/>
      </c>
      <c r="K336" s="182" t="str">
        <f t="shared" ca="1" si="15"/>
        <v/>
      </c>
      <c r="L336" s="104" t="str" cm="1">
        <f t="array" ref="L336">_xlfn.IFS(OR(ISBLANK(StartDateMonth),ISBLANK(StartDateYear)),"",AND(A336&gt;NumberOfPlots,ISBLANK(INDEX(PlotData,MATCH($A336,PlotNumber,0),MATCH(B$3,PlotTitles,0)))),"",ISBLANK(INDEX(PlotData,MATCH($A336,PlotNumber,0),MATCH(I$3,PlotTitles,0))),"",(DATEVALUE(INDEX(PlotData,MATCH($A336,PlotNumber,0),MATCH(I$3,PlotTitles,0))&amp;INDEX(PlotData,MATCH($A336,PlotNumber,0),MATCH(J$3,PlotTitles,0))))&lt;DATEVALUE(StartDateMonth&amp;StartDateYear),$AB$15,TRUE,"")</f>
        <v/>
      </c>
      <c r="M336" s="104" t="str" cm="1">
        <f t="array" ref="M336">_xlfn.IFS(OR(ISBLANK(StartDateMonth),ISBLANK(StartDateYear)),"",AND(A336&gt;NumberOfPlots,ISBLANK(INDEX(PlotData,MATCH($A336,PlotNumber,0),MATCH(B$3,PlotTitles,0)))),"",ISBLANK(INDEX(PlotData,MATCH($A336,PlotNumber,0),MATCH(I$3,PlotTitles,0))),"",CompletionMonth="","",(DATEVALUE(INDEX(PlotData,MATCH($A336,PlotNumber,0),MATCH(I$3,PlotTitles,0))&amp;INDEX(PlotData,MATCH($A336,PlotNumber,0),MATCH(J$3,PlotTitles,0))))&gt;(DATEVALUE(CompletionMonth&amp;CompletionYear)),$AB$16,TRUE,"")</f>
        <v/>
      </c>
      <c r="N336" s="104" t="str" cm="1">
        <f t="array" ref="N336">_xlfn.IFS(AND(A336&gt;NumberOfPlots,ISBLANK(INDEX(PlotData,MATCH($A336,PlotNumber,0),MATCH(B$3,PlotTitles,0)))),"",ISBLANK(INDEX(PlotData,MATCH($A336,PlotNumber,0),MATCH(N$3,PlotTitles,0))),$AB$17,TRUE,"")</f>
        <v/>
      </c>
      <c r="O336" s="104" t="str" cm="1">
        <f t="array" ref="O336">_xlfn.IFS(AND(A336&gt;NumberOfPlots,ISBLANK(INDEX(PlotData,MATCH($A336,PlotNumber,0),MATCH(B$3,PlotTitles,0)))),"",ISBLANK(INDEX(PlotData,MATCH($A336,PlotNumber,0),MATCH(O$3,PlotTitles,0))),$AB$18,TRUE,"")</f>
        <v/>
      </c>
      <c r="P336" s="182" t="str">
        <f t="shared" ca="1" si="16"/>
        <v/>
      </c>
      <c r="Q336" s="104" t="str" cm="1">
        <f t="array" ref="Q336">_xlfn.IFS(AND(A336&gt;NumberOfPlots,ISBLANK(INDEX(PlotData,MATCH($A336,PlotNumber,0),MATCH(B$3,PlotTitles,0)))),"",ISBLANK(INDEX(PlotData,MATCH($A336,PlotNumber,0),MATCH(N$3,PlotTitles,0))),"",(DATEVALUE(INDEX(PlotData,MATCH($A336,PlotNumber,0),MATCH(N$3,PlotTitles,0))&amp;INDEX(PlotData,MATCH($A336,PlotNumber,0),MATCH(O$3,PlotTitles,0))))&lt;(DATEVALUE(INDEX(PlotData,MATCH($A336,PlotNumber,0),MATCH(I$3,PlotTitles,0))&amp;INDEX(PlotData,MATCH($A336,PlotNumber,0),MATCH(J$3,PlotTitles,0)))),$AB$20,TRUE,"")</f>
        <v/>
      </c>
      <c r="R336" s="104" t="str" cm="1">
        <f t="array" ref="R336">_xlfn.IFS(OR(ISBLANK(StartDateMonth),ISBLANK(StartDateYear)),"",AND(A336&gt;NumberOfPlots,ISBLANK(INDEX(PlotData,MATCH($A336,PlotNumber,0),MATCH(B$3,PlotTitles,0)))),"",ISBLANK(INDEX(PlotData,MATCH($A336,PlotNumber,0),MATCH(N$3,PlotTitles,0))),"",CompletionMonth="","",(DATEVALUE(INDEX(PlotData,MATCH($A336,PlotNumber,0),MATCH(N$3,PlotTitles,0))&amp;INDEX(PlotData,MATCH($A336,PlotNumber,0),MATCH(O$3,PlotTitles,0))))&gt;(DATEVALUE(CompletionMonth&amp;CompletionYear)),$AB$21,TRUE,"")</f>
        <v/>
      </c>
      <c r="S336" s="104" t="str" cm="1">
        <f t="array" ref="S336">_xlfn.IFS(AND(A336&gt;NumberOfPlots,ISBLANK(INDEX(PlotData,MATCH($A336,PlotNumber,0),MATCH(B$3,PlotTitles,0)))),"",OR(AND(INDEX(PlotData,MATCH($A336,PlotNumber,0),MATCH("Tenure",PlotTitles,0))="Open market housing",INDEX(PlotData,MATCH($A336,PlotNumber,0),MATCH("Tenure detail",PlotTitles,0))="Private rented sector"),INDEX(PlotData,MATCH($A336,PlotNumber,0),MATCH("Tenure",PlotTitles,0))="Affordable rent"),"",ISNUMBER(INDEX(PlotData,MATCH($A336,PlotNumber,0),MATCH(S$3,PlotTitles,0)))=FALSE, $AB$22,TRUE,"")</f>
        <v/>
      </c>
      <c r="T336" s="104" t="str" cm="1">
        <f t="array" ref="T336">_xlfn.IFS(AND(A336&gt;NumberOfPlots,ISBLANK(INDEX(PlotData,MATCH($A336,PlotNumber,0),MATCH(B$3,PlotTitles,0)))),"",OR(AND(INDEX(PlotData,MATCH($A336,PlotNumber,0),MATCH("Tenure",PlotTitles,0))="Open market housing",INDEX(PlotData,MATCH($A336,PlotNumber,0),MATCH("Tenure detail",PlotTitles,0))="Private rented sector"),INDEX(PlotData,MATCH($A336,PlotNumber,0),MATCH("Tenure",PlotTitles,0))="Affordable rent"),"",INDEX(PlotData,MATCH($A336,PlotNumber,0),MATCH(S$3,PlotTitles,0))&lt;10000, $AB$23,TRUE,"")</f>
        <v/>
      </c>
      <c r="U336" s="104" t="str" cm="1">
        <f t="array" ref="U336">_xlfn.IFS(AND(A336&gt;NumberOfPlots,ISBLANK(INDEX(PlotData,MATCH($A336,PlotNumber,0),MATCH(B$3,PlotTitles,0)))),"",NOT(OR(AND(INDEX(PlotData,MATCH($A336,PlotNumber,0),MATCH("Tenure",PlotTitles,0))="Open market housing",INDEX(PlotData,MATCH($A336,PlotNumber,0),MATCH("Tenure detail",PlotTitles,0))="Private rented sector"),INDEX(PlotData,MATCH($A336,PlotNumber,0),MATCH("Tenure",PlotTitles,0))="Affordable rent")),"",NOT(INDEX(PlotData,MATCH($A336,PlotNumber,0),MATCH(S$3,PlotTitles,0))=0), $AB$24,TRUE,"")</f>
        <v/>
      </c>
      <c r="V336" s="114" t="str" cm="1">
        <f t="array" aca="1" ref="V336" ca="1">_xlfn.IFS(ISBLANK(NumberOfPlots),"Enter the number of homes on the 1_SetUp sheet",AND(A336&gt;NumberOfPlots,ISBLANK(INDEX(PlotData,MATCH($A336,PlotNumber,0),MATCH(B$3,PlotTitles,0)))),"No error",NOT(B336=""),B336,NOT(C336=""),C336,NOT(D336=""),D336,NOT(E336=""),E336,NOT(F336=""),F336,NOT(G336=""),G336,NOT(H336=""),H336,NOT(I336=""),I336,NOT(J336=""),J336,NOT(K336=""),K336,NOT(L336=""),L336,NOT(M336=""),M336,NOT(N336=""),N336,NOT(O336=""),O336,NOT(P336=""),P336,NOT(Q336=""),Q336,NOT(R336=""),R336,NOT(S336=""),S336,NOT(T336=""),T336,NOT(U336=""),U336,TRUE,"No error")</f>
        <v>Enter the number of homes on the 1_SetUp sheet</v>
      </c>
      <c r="W336" s="114" t="str">
        <f t="shared" ca="1" si="17"/>
        <v xml:space="preserve">The Borrower has not addressed the following error messages for Home ID 332: </v>
      </c>
    </row>
    <row r="337" spans="1:23">
      <c r="A337" s="123">
        <v>333</v>
      </c>
      <c r="B337" s="104" t="str" cm="1">
        <f t="array" ref="B337">_xlfn.IFS(AND(A337&gt;NumberOfPlots,ISBLANK(INDEX(PlotData,MATCH($A337,PlotNumber,0),MATCH(B$3,PlotTitles,0)))),"",ISNUMBER(INDEX(PlotData,MATCH($A337,PlotNumber,0),MATCH(B$3,PlotTitles,0)))=FALSE, $AB$5,TRUE,"")</f>
        <v/>
      </c>
      <c r="C337" s="104" t="str" cm="1">
        <f t="array" ref="C337">_xlfn.IFS(AND(A337&gt;NumberOfPlots,ISBLANK(INDEX(PlotData,MATCH($A337,PlotNumber,0),MATCH(B$3,PlotTitles,0)))),"",ISBLANK(INDEX(PlotData,MATCH($A337,PlotNumber,0),MATCH(C$3,PlotTitles,0))),$AB$6,TRUE,"")</f>
        <v/>
      </c>
      <c r="D337" s="104" t="str" cm="1">
        <f t="array" ref="D337">_xlfn.IFS(AND(A337&gt;NumberOfPlots,ISBLANK(INDEX(PlotData,MATCH($A337,PlotNumber,0),MATCH(B$3,PlotTitles,0)))),"",ISBLANK(INDEX(PlotData,MATCH($A337,PlotNumber,0),MATCH(D$3,PlotTitles,0))),$AB$7,TRUE,"")</f>
        <v/>
      </c>
      <c r="E337" s="104" t="str" cm="1">
        <f t="array" ref="E337">_xlfn.IFS(AND(A337&gt;NumberOfPlots,ISBLANK(INDEX(PlotData,MATCH($A337,PlotNumber,0),MATCH(B$3,PlotTitles,0)))),"",ISBLANK(INDEX(PlotData,MATCH($A337,PlotNumber,0),MATCH(E$3,PlotTitles,0))),$AB$8,TRUE,"")</f>
        <v/>
      </c>
      <c r="F337" s="104" t="str" cm="1">
        <f t="array" ref="F337">_xlfn.IFS(AND(A337&gt;NumberOfPlots,ISBLANK(INDEX(PlotData,MATCH($A337,PlotNumber,0),MATCH(B$3,PlotTitles,0)))),"",ISBLANK(INDEX(PlotData,MATCH($A337,PlotNumber,0),MATCH(F$3,PlotTitles,0))),$AB$9,TRUE,"")</f>
        <v/>
      </c>
      <c r="G337" s="104" t="str" cm="1">
        <f t="array" ref="G337">_xlfn.IFS(AND(A337&gt;NumberOfPlots,ISBLANK(INDEX(PlotData,MATCH($A337,PlotNumber,0),MATCH(B$3,PlotTitles,0)))),"",ISBLANK(INDEX(PlotData,MATCH($A337,PlotNumber,0),MATCH(G$3,PlotTitles,0))),$AB$10,TRUE,"")</f>
        <v/>
      </c>
      <c r="H337" s="104" t="str" cm="1">
        <f t="array" ref="H337">_xlfn.IFS(AND(A337&gt;NumberOfPlots,ISBLANK(INDEX(PlotData,MATCH($A337,PlotNumber,0),MATCH(B$3,PlotTitles,0)))),"",AND(ISBLANK(INDEX(PlotData,MATCH($A337,PlotNumber,0),MATCH(H$3,PlotTitles,0)))=FALSE,INDEX(PlotData,MATCH($A337,PlotNumber,0),MATCH(H$3,PlotTitles,0))&lt;500), $AB$11,TRUE,"")</f>
        <v/>
      </c>
      <c r="I337" s="104" t="str" cm="1">
        <f t="array" ref="I337">_xlfn.IFS(AND(A337&gt;NumberOfPlots,ISBLANK(INDEX(PlotData,MATCH($A337,PlotNumber,0),MATCH(B$3,PlotTitles,0)))),"",ISBLANK(INDEX(PlotData,MATCH($A337,PlotNumber,0),MATCH(I$3,PlotTitles,0))),$AB$12,TRUE,"")</f>
        <v/>
      </c>
      <c r="J337" s="104" t="str" cm="1">
        <f t="array" ref="J337">_xlfn.IFS(AND(A337&gt;NumberOfPlots,ISBLANK(INDEX(PlotData,MATCH($A337,PlotNumber,0),MATCH(B$3,PlotTitles,0)))),"",ISBLANK(INDEX(PlotData,MATCH($A337,PlotNumber,0),MATCH(J$3,PlotTitles,0))),$AB$13,TRUE,"")</f>
        <v/>
      </c>
      <c r="K337" s="182" t="str">
        <f t="shared" ca="1" si="15"/>
        <v/>
      </c>
      <c r="L337" s="104" t="str" cm="1">
        <f t="array" ref="L337">_xlfn.IFS(OR(ISBLANK(StartDateMonth),ISBLANK(StartDateYear)),"",AND(A337&gt;NumberOfPlots,ISBLANK(INDEX(PlotData,MATCH($A337,PlotNumber,0),MATCH(B$3,PlotTitles,0)))),"",ISBLANK(INDEX(PlotData,MATCH($A337,PlotNumber,0),MATCH(I$3,PlotTitles,0))),"",(DATEVALUE(INDEX(PlotData,MATCH($A337,PlotNumber,0),MATCH(I$3,PlotTitles,0))&amp;INDEX(PlotData,MATCH($A337,PlotNumber,0),MATCH(J$3,PlotTitles,0))))&lt;DATEVALUE(StartDateMonth&amp;StartDateYear),$AB$15,TRUE,"")</f>
        <v/>
      </c>
      <c r="M337" s="104" t="str" cm="1">
        <f t="array" ref="M337">_xlfn.IFS(OR(ISBLANK(StartDateMonth),ISBLANK(StartDateYear)),"",AND(A337&gt;NumberOfPlots,ISBLANK(INDEX(PlotData,MATCH($A337,PlotNumber,0),MATCH(B$3,PlotTitles,0)))),"",ISBLANK(INDEX(PlotData,MATCH($A337,PlotNumber,0),MATCH(I$3,PlotTitles,0))),"",CompletionMonth="","",(DATEVALUE(INDEX(PlotData,MATCH($A337,PlotNumber,0),MATCH(I$3,PlotTitles,0))&amp;INDEX(PlotData,MATCH($A337,PlotNumber,0),MATCH(J$3,PlotTitles,0))))&gt;(DATEVALUE(CompletionMonth&amp;CompletionYear)),$AB$16,TRUE,"")</f>
        <v/>
      </c>
      <c r="N337" s="104" t="str" cm="1">
        <f t="array" ref="N337">_xlfn.IFS(AND(A337&gt;NumberOfPlots,ISBLANK(INDEX(PlotData,MATCH($A337,PlotNumber,0),MATCH(B$3,PlotTitles,0)))),"",ISBLANK(INDEX(PlotData,MATCH($A337,PlotNumber,0),MATCH(N$3,PlotTitles,0))),$AB$17,TRUE,"")</f>
        <v/>
      </c>
      <c r="O337" s="104" t="str" cm="1">
        <f t="array" ref="O337">_xlfn.IFS(AND(A337&gt;NumberOfPlots,ISBLANK(INDEX(PlotData,MATCH($A337,PlotNumber,0),MATCH(B$3,PlotTitles,0)))),"",ISBLANK(INDEX(PlotData,MATCH($A337,PlotNumber,0),MATCH(O$3,PlotTitles,0))),$AB$18,TRUE,"")</f>
        <v/>
      </c>
      <c r="P337" s="182" t="str">
        <f t="shared" ca="1" si="16"/>
        <v/>
      </c>
      <c r="Q337" s="104" t="str" cm="1">
        <f t="array" ref="Q337">_xlfn.IFS(AND(A337&gt;NumberOfPlots,ISBLANK(INDEX(PlotData,MATCH($A337,PlotNumber,0),MATCH(B$3,PlotTitles,0)))),"",ISBLANK(INDEX(PlotData,MATCH($A337,PlotNumber,0),MATCH(N$3,PlotTitles,0))),"",(DATEVALUE(INDEX(PlotData,MATCH($A337,PlotNumber,0),MATCH(N$3,PlotTitles,0))&amp;INDEX(PlotData,MATCH($A337,PlotNumber,0),MATCH(O$3,PlotTitles,0))))&lt;(DATEVALUE(INDEX(PlotData,MATCH($A337,PlotNumber,0),MATCH(I$3,PlotTitles,0))&amp;INDEX(PlotData,MATCH($A337,PlotNumber,0),MATCH(J$3,PlotTitles,0)))),$AB$20,TRUE,"")</f>
        <v/>
      </c>
      <c r="R337" s="104" t="str" cm="1">
        <f t="array" ref="R337">_xlfn.IFS(OR(ISBLANK(StartDateMonth),ISBLANK(StartDateYear)),"",AND(A337&gt;NumberOfPlots,ISBLANK(INDEX(PlotData,MATCH($A337,PlotNumber,0),MATCH(B$3,PlotTitles,0)))),"",ISBLANK(INDEX(PlotData,MATCH($A337,PlotNumber,0),MATCH(N$3,PlotTitles,0))),"",CompletionMonth="","",(DATEVALUE(INDEX(PlotData,MATCH($A337,PlotNumber,0),MATCH(N$3,PlotTitles,0))&amp;INDEX(PlotData,MATCH($A337,PlotNumber,0),MATCH(O$3,PlotTitles,0))))&gt;(DATEVALUE(CompletionMonth&amp;CompletionYear)),$AB$21,TRUE,"")</f>
        <v/>
      </c>
      <c r="S337" s="104" t="str" cm="1">
        <f t="array" ref="S337">_xlfn.IFS(AND(A337&gt;NumberOfPlots,ISBLANK(INDEX(PlotData,MATCH($A337,PlotNumber,0),MATCH(B$3,PlotTitles,0)))),"",OR(AND(INDEX(PlotData,MATCH($A337,PlotNumber,0),MATCH("Tenure",PlotTitles,0))="Open market housing",INDEX(PlotData,MATCH($A337,PlotNumber,0),MATCH("Tenure detail",PlotTitles,0))="Private rented sector"),INDEX(PlotData,MATCH($A337,PlotNumber,0),MATCH("Tenure",PlotTitles,0))="Affordable rent"),"",ISNUMBER(INDEX(PlotData,MATCH($A337,PlotNumber,0),MATCH(S$3,PlotTitles,0)))=FALSE, $AB$22,TRUE,"")</f>
        <v/>
      </c>
      <c r="T337" s="104" t="str" cm="1">
        <f t="array" ref="T337">_xlfn.IFS(AND(A337&gt;NumberOfPlots,ISBLANK(INDEX(PlotData,MATCH($A337,PlotNumber,0),MATCH(B$3,PlotTitles,0)))),"",OR(AND(INDEX(PlotData,MATCH($A337,PlotNumber,0),MATCH("Tenure",PlotTitles,0))="Open market housing",INDEX(PlotData,MATCH($A337,PlotNumber,0),MATCH("Tenure detail",PlotTitles,0))="Private rented sector"),INDEX(PlotData,MATCH($A337,PlotNumber,0),MATCH("Tenure",PlotTitles,0))="Affordable rent"),"",INDEX(PlotData,MATCH($A337,PlotNumber,0),MATCH(S$3,PlotTitles,0))&lt;10000, $AB$23,TRUE,"")</f>
        <v/>
      </c>
      <c r="U337" s="104" t="str" cm="1">
        <f t="array" ref="U337">_xlfn.IFS(AND(A337&gt;NumberOfPlots,ISBLANK(INDEX(PlotData,MATCH($A337,PlotNumber,0),MATCH(B$3,PlotTitles,0)))),"",NOT(OR(AND(INDEX(PlotData,MATCH($A337,PlotNumber,0),MATCH("Tenure",PlotTitles,0))="Open market housing",INDEX(PlotData,MATCH($A337,PlotNumber,0),MATCH("Tenure detail",PlotTitles,0))="Private rented sector"),INDEX(PlotData,MATCH($A337,PlotNumber,0),MATCH("Tenure",PlotTitles,0))="Affordable rent")),"",NOT(INDEX(PlotData,MATCH($A337,PlotNumber,0),MATCH(S$3,PlotTitles,0))=0), $AB$24,TRUE,"")</f>
        <v/>
      </c>
      <c r="V337" s="114" t="str" cm="1">
        <f t="array" aca="1" ref="V337" ca="1">_xlfn.IFS(ISBLANK(NumberOfPlots),"Enter the number of homes on the 1_SetUp sheet",AND(A337&gt;NumberOfPlots,ISBLANK(INDEX(PlotData,MATCH($A337,PlotNumber,0),MATCH(B$3,PlotTitles,0)))),"No error",NOT(B337=""),B337,NOT(C337=""),C337,NOT(D337=""),D337,NOT(E337=""),E337,NOT(F337=""),F337,NOT(G337=""),G337,NOT(H337=""),H337,NOT(I337=""),I337,NOT(J337=""),J337,NOT(K337=""),K337,NOT(L337=""),L337,NOT(M337=""),M337,NOT(N337=""),N337,NOT(O337=""),O337,NOT(P337=""),P337,NOT(Q337=""),Q337,NOT(R337=""),R337,NOT(S337=""),S337,NOT(T337=""),T337,NOT(U337=""),U337,TRUE,"No error")</f>
        <v>Enter the number of homes on the 1_SetUp sheet</v>
      </c>
      <c r="W337" s="114" t="str">
        <f t="shared" ca="1" si="17"/>
        <v xml:space="preserve">The Borrower has not addressed the following error messages for Home ID 333: </v>
      </c>
    </row>
    <row r="338" spans="1:23">
      <c r="A338" s="123">
        <v>334</v>
      </c>
      <c r="B338" s="104" t="str" cm="1">
        <f t="array" ref="B338">_xlfn.IFS(AND(A338&gt;NumberOfPlots,ISBLANK(INDEX(PlotData,MATCH($A338,PlotNumber,0),MATCH(B$3,PlotTitles,0)))),"",ISNUMBER(INDEX(PlotData,MATCH($A338,PlotNumber,0),MATCH(B$3,PlotTitles,0)))=FALSE, $AB$5,TRUE,"")</f>
        <v/>
      </c>
      <c r="C338" s="104" t="str" cm="1">
        <f t="array" ref="C338">_xlfn.IFS(AND(A338&gt;NumberOfPlots,ISBLANK(INDEX(PlotData,MATCH($A338,PlotNumber,0),MATCH(B$3,PlotTitles,0)))),"",ISBLANK(INDEX(PlotData,MATCH($A338,PlotNumber,0),MATCH(C$3,PlotTitles,0))),$AB$6,TRUE,"")</f>
        <v/>
      </c>
      <c r="D338" s="104" t="str" cm="1">
        <f t="array" ref="D338">_xlfn.IFS(AND(A338&gt;NumberOfPlots,ISBLANK(INDEX(PlotData,MATCH($A338,PlotNumber,0),MATCH(B$3,PlotTitles,0)))),"",ISBLANK(INDEX(PlotData,MATCH($A338,PlotNumber,0),MATCH(D$3,PlotTitles,0))),$AB$7,TRUE,"")</f>
        <v/>
      </c>
      <c r="E338" s="104" t="str" cm="1">
        <f t="array" ref="E338">_xlfn.IFS(AND(A338&gt;NumberOfPlots,ISBLANK(INDEX(PlotData,MATCH($A338,PlotNumber,0),MATCH(B$3,PlotTitles,0)))),"",ISBLANK(INDEX(PlotData,MATCH($A338,PlotNumber,0),MATCH(E$3,PlotTitles,0))),$AB$8,TRUE,"")</f>
        <v/>
      </c>
      <c r="F338" s="104" t="str" cm="1">
        <f t="array" ref="F338">_xlfn.IFS(AND(A338&gt;NumberOfPlots,ISBLANK(INDEX(PlotData,MATCH($A338,PlotNumber,0),MATCH(B$3,PlotTitles,0)))),"",ISBLANK(INDEX(PlotData,MATCH($A338,PlotNumber,0),MATCH(F$3,PlotTitles,0))),$AB$9,TRUE,"")</f>
        <v/>
      </c>
      <c r="G338" s="104" t="str" cm="1">
        <f t="array" ref="G338">_xlfn.IFS(AND(A338&gt;NumberOfPlots,ISBLANK(INDEX(PlotData,MATCH($A338,PlotNumber,0),MATCH(B$3,PlotTitles,0)))),"",ISBLANK(INDEX(PlotData,MATCH($A338,PlotNumber,0),MATCH(G$3,PlotTitles,0))),$AB$10,TRUE,"")</f>
        <v/>
      </c>
      <c r="H338" s="104" t="str" cm="1">
        <f t="array" ref="H338">_xlfn.IFS(AND(A338&gt;NumberOfPlots,ISBLANK(INDEX(PlotData,MATCH($A338,PlotNumber,0),MATCH(B$3,PlotTitles,0)))),"",AND(ISBLANK(INDEX(PlotData,MATCH($A338,PlotNumber,0),MATCH(H$3,PlotTitles,0)))=FALSE,INDEX(PlotData,MATCH($A338,PlotNumber,0),MATCH(H$3,PlotTitles,0))&lt;500), $AB$11,TRUE,"")</f>
        <v/>
      </c>
      <c r="I338" s="104" t="str" cm="1">
        <f t="array" ref="I338">_xlfn.IFS(AND(A338&gt;NumberOfPlots,ISBLANK(INDEX(PlotData,MATCH($A338,PlotNumber,0),MATCH(B$3,PlotTitles,0)))),"",ISBLANK(INDEX(PlotData,MATCH($A338,PlotNumber,0),MATCH(I$3,PlotTitles,0))),$AB$12,TRUE,"")</f>
        <v/>
      </c>
      <c r="J338" s="104" t="str" cm="1">
        <f t="array" ref="J338">_xlfn.IFS(AND(A338&gt;NumberOfPlots,ISBLANK(INDEX(PlotData,MATCH($A338,PlotNumber,0),MATCH(B$3,PlotTitles,0)))),"",ISBLANK(INDEX(PlotData,MATCH($A338,PlotNumber,0),MATCH(J$3,PlotTitles,0))),$AB$13,TRUE,"")</f>
        <v/>
      </c>
      <c r="K338" s="182" t="str">
        <f t="shared" ca="1" si="15"/>
        <v/>
      </c>
      <c r="L338" s="104" t="str" cm="1">
        <f t="array" ref="L338">_xlfn.IFS(OR(ISBLANK(StartDateMonth),ISBLANK(StartDateYear)),"",AND(A338&gt;NumberOfPlots,ISBLANK(INDEX(PlotData,MATCH($A338,PlotNumber,0),MATCH(B$3,PlotTitles,0)))),"",ISBLANK(INDEX(PlotData,MATCH($A338,PlotNumber,0),MATCH(I$3,PlotTitles,0))),"",(DATEVALUE(INDEX(PlotData,MATCH($A338,PlotNumber,0),MATCH(I$3,PlotTitles,0))&amp;INDEX(PlotData,MATCH($A338,PlotNumber,0),MATCH(J$3,PlotTitles,0))))&lt;DATEVALUE(StartDateMonth&amp;StartDateYear),$AB$15,TRUE,"")</f>
        <v/>
      </c>
      <c r="M338" s="104" t="str" cm="1">
        <f t="array" ref="M338">_xlfn.IFS(OR(ISBLANK(StartDateMonth),ISBLANK(StartDateYear)),"",AND(A338&gt;NumberOfPlots,ISBLANK(INDEX(PlotData,MATCH($A338,PlotNumber,0),MATCH(B$3,PlotTitles,0)))),"",ISBLANK(INDEX(PlotData,MATCH($A338,PlotNumber,0),MATCH(I$3,PlotTitles,0))),"",CompletionMonth="","",(DATEVALUE(INDEX(PlotData,MATCH($A338,PlotNumber,0),MATCH(I$3,PlotTitles,0))&amp;INDEX(PlotData,MATCH($A338,PlotNumber,0),MATCH(J$3,PlotTitles,0))))&gt;(DATEVALUE(CompletionMonth&amp;CompletionYear)),$AB$16,TRUE,"")</f>
        <v/>
      </c>
      <c r="N338" s="104" t="str" cm="1">
        <f t="array" ref="N338">_xlfn.IFS(AND(A338&gt;NumberOfPlots,ISBLANK(INDEX(PlotData,MATCH($A338,PlotNumber,0),MATCH(B$3,PlotTitles,0)))),"",ISBLANK(INDEX(PlotData,MATCH($A338,PlotNumber,0),MATCH(N$3,PlotTitles,0))),$AB$17,TRUE,"")</f>
        <v/>
      </c>
      <c r="O338" s="104" t="str" cm="1">
        <f t="array" ref="O338">_xlfn.IFS(AND(A338&gt;NumberOfPlots,ISBLANK(INDEX(PlotData,MATCH($A338,PlotNumber,0),MATCH(B$3,PlotTitles,0)))),"",ISBLANK(INDEX(PlotData,MATCH($A338,PlotNumber,0),MATCH(O$3,PlotTitles,0))),$AB$18,TRUE,"")</f>
        <v/>
      </c>
      <c r="P338" s="182" t="str">
        <f t="shared" ca="1" si="16"/>
        <v/>
      </c>
      <c r="Q338" s="104" t="str" cm="1">
        <f t="array" ref="Q338">_xlfn.IFS(AND(A338&gt;NumberOfPlots,ISBLANK(INDEX(PlotData,MATCH($A338,PlotNumber,0),MATCH(B$3,PlotTitles,0)))),"",ISBLANK(INDEX(PlotData,MATCH($A338,PlotNumber,0),MATCH(N$3,PlotTitles,0))),"",(DATEVALUE(INDEX(PlotData,MATCH($A338,PlotNumber,0),MATCH(N$3,PlotTitles,0))&amp;INDEX(PlotData,MATCH($A338,PlotNumber,0),MATCH(O$3,PlotTitles,0))))&lt;(DATEVALUE(INDEX(PlotData,MATCH($A338,PlotNumber,0),MATCH(I$3,PlotTitles,0))&amp;INDEX(PlotData,MATCH($A338,PlotNumber,0),MATCH(J$3,PlotTitles,0)))),$AB$20,TRUE,"")</f>
        <v/>
      </c>
      <c r="R338" s="104" t="str" cm="1">
        <f t="array" ref="R338">_xlfn.IFS(OR(ISBLANK(StartDateMonth),ISBLANK(StartDateYear)),"",AND(A338&gt;NumberOfPlots,ISBLANK(INDEX(PlotData,MATCH($A338,PlotNumber,0),MATCH(B$3,PlotTitles,0)))),"",ISBLANK(INDEX(PlotData,MATCH($A338,PlotNumber,0),MATCH(N$3,PlotTitles,0))),"",CompletionMonth="","",(DATEVALUE(INDEX(PlotData,MATCH($A338,PlotNumber,0),MATCH(N$3,PlotTitles,0))&amp;INDEX(PlotData,MATCH($A338,PlotNumber,0),MATCH(O$3,PlotTitles,0))))&gt;(DATEVALUE(CompletionMonth&amp;CompletionYear)),$AB$21,TRUE,"")</f>
        <v/>
      </c>
      <c r="S338" s="104" t="str" cm="1">
        <f t="array" ref="S338">_xlfn.IFS(AND(A338&gt;NumberOfPlots,ISBLANK(INDEX(PlotData,MATCH($A338,PlotNumber,0),MATCH(B$3,PlotTitles,0)))),"",OR(AND(INDEX(PlotData,MATCH($A338,PlotNumber,0),MATCH("Tenure",PlotTitles,0))="Open market housing",INDEX(PlotData,MATCH($A338,PlotNumber,0),MATCH("Tenure detail",PlotTitles,0))="Private rented sector"),INDEX(PlotData,MATCH($A338,PlotNumber,0),MATCH("Tenure",PlotTitles,0))="Affordable rent"),"",ISNUMBER(INDEX(PlotData,MATCH($A338,PlotNumber,0),MATCH(S$3,PlotTitles,0)))=FALSE, $AB$22,TRUE,"")</f>
        <v/>
      </c>
      <c r="T338" s="104" t="str" cm="1">
        <f t="array" ref="T338">_xlfn.IFS(AND(A338&gt;NumberOfPlots,ISBLANK(INDEX(PlotData,MATCH($A338,PlotNumber,0),MATCH(B$3,PlotTitles,0)))),"",OR(AND(INDEX(PlotData,MATCH($A338,PlotNumber,0),MATCH("Tenure",PlotTitles,0))="Open market housing",INDEX(PlotData,MATCH($A338,PlotNumber,0),MATCH("Tenure detail",PlotTitles,0))="Private rented sector"),INDEX(PlotData,MATCH($A338,PlotNumber,0),MATCH("Tenure",PlotTitles,0))="Affordable rent"),"",INDEX(PlotData,MATCH($A338,PlotNumber,0),MATCH(S$3,PlotTitles,0))&lt;10000, $AB$23,TRUE,"")</f>
        <v/>
      </c>
      <c r="U338" s="104" t="str" cm="1">
        <f t="array" ref="U338">_xlfn.IFS(AND(A338&gt;NumberOfPlots,ISBLANK(INDEX(PlotData,MATCH($A338,PlotNumber,0),MATCH(B$3,PlotTitles,0)))),"",NOT(OR(AND(INDEX(PlotData,MATCH($A338,PlotNumber,0),MATCH("Tenure",PlotTitles,0))="Open market housing",INDEX(PlotData,MATCH($A338,PlotNumber,0),MATCH("Tenure detail",PlotTitles,0))="Private rented sector"),INDEX(PlotData,MATCH($A338,PlotNumber,0),MATCH("Tenure",PlotTitles,0))="Affordable rent")),"",NOT(INDEX(PlotData,MATCH($A338,PlotNumber,0),MATCH(S$3,PlotTitles,0))=0), $AB$24,TRUE,"")</f>
        <v/>
      </c>
      <c r="V338" s="114" t="str" cm="1">
        <f t="array" aca="1" ref="V338" ca="1">_xlfn.IFS(ISBLANK(NumberOfPlots),"Enter the number of homes on the 1_SetUp sheet",AND(A338&gt;NumberOfPlots,ISBLANK(INDEX(PlotData,MATCH($A338,PlotNumber,0),MATCH(B$3,PlotTitles,0)))),"No error",NOT(B338=""),B338,NOT(C338=""),C338,NOT(D338=""),D338,NOT(E338=""),E338,NOT(F338=""),F338,NOT(G338=""),G338,NOT(H338=""),H338,NOT(I338=""),I338,NOT(J338=""),J338,NOT(K338=""),K338,NOT(L338=""),L338,NOT(M338=""),M338,NOT(N338=""),N338,NOT(O338=""),O338,NOT(P338=""),P338,NOT(Q338=""),Q338,NOT(R338=""),R338,NOT(S338=""),S338,NOT(T338=""),T338,NOT(U338=""),U338,TRUE,"No error")</f>
        <v>Enter the number of homes on the 1_SetUp sheet</v>
      </c>
      <c r="W338" s="114" t="str">
        <f t="shared" ca="1" si="17"/>
        <v xml:space="preserve">The Borrower has not addressed the following error messages for Home ID 334: </v>
      </c>
    </row>
    <row r="339" spans="1:23">
      <c r="A339" s="123">
        <v>335</v>
      </c>
      <c r="B339" s="104" t="str" cm="1">
        <f t="array" ref="B339">_xlfn.IFS(AND(A339&gt;NumberOfPlots,ISBLANK(INDEX(PlotData,MATCH($A339,PlotNumber,0),MATCH(B$3,PlotTitles,0)))),"",ISNUMBER(INDEX(PlotData,MATCH($A339,PlotNumber,0),MATCH(B$3,PlotTitles,0)))=FALSE, $AB$5,TRUE,"")</f>
        <v/>
      </c>
      <c r="C339" s="104" t="str" cm="1">
        <f t="array" ref="C339">_xlfn.IFS(AND(A339&gt;NumberOfPlots,ISBLANK(INDEX(PlotData,MATCH($A339,PlotNumber,0),MATCH(B$3,PlotTitles,0)))),"",ISBLANK(INDEX(PlotData,MATCH($A339,PlotNumber,0),MATCH(C$3,PlotTitles,0))),$AB$6,TRUE,"")</f>
        <v/>
      </c>
      <c r="D339" s="104" t="str" cm="1">
        <f t="array" ref="D339">_xlfn.IFS(AND(A339&gt;NumberOfPlots,ISBLANK(INDEX(PlotData,MATCH($A339,PlotNumber,0),MATCH(B$3,PlotTitles,0)))),"",ISBLANK(INDEX(PlotData,MATCH($A339,PlotNumber,0),MATCH(D$3,PlotTitles,0))),$AB$7,TRUE,"")</f>
        <v/>
      </c>
      <c r="E339" s="104" t="str" cm="1">
        <f t="array" ref="E339">_xlfn.IFS(AND(A339&gt;NumberOfPlots,ISBLANK(INDEX(PlotData,MATCH($A339,PlotNumber,0),MATCH(B$3,PlotTitles,0)))),"",ISBLANK(INDEX(PlotData,MATCH($A339,PlotNumber,0),MATCH(E$3,PlotTitles,0))),$AB$8,TRUE,"")</f>
        <v/>
      </c>
      <c r="F339" s="104" t="str" cm="1">
        <f t="array" ref="F339">_xlfn.IFS(AND(A339&gt;NumberOfPlots,ISBLANK(INDEX(PlotData,MATCH($A339,PlotNumber,0),MATCH(B$3,PlotTitles,0)))),"",ISBLANK(INDEX(PlotData,MATCH($A339,PlotNumber,0),MATCH(F$3,PlotTitles,0))),$AB$9,TRUE,"")</f>
        <v/>
      </c>
      <c r="G339" s="104" t="str" cm="1">
        <f t="array" ref="G339">_xlfn.IFS(AND(A339&gt;NumberOfPlots,ISBLANK(INDEX(PlotData,MATCH($A339,PlotNumber,0),MATCH(B$3,PlotTitles,0)))),"",ISBLANK(INDEX(PlotData,MATCH($A339,PlotNumber,0),MATCH(G$3,PlotTitles,0))),$AB$10,TRUE,"")</f>
        <v/>
      </c>
      <c r="H339" s="104" t="str" cm="1">
        <f t="array" ref="H339">_xlfn.IFS(AND(A339&gt;NumberOfPlots,ISBLANK(INDEX(PlotData,MATCH($A339,PlotNumber,0),MATCH(B$3,PlotTitles,0)))),"",AND(ISBLANK(INDEX(PlotData,MATCH($A339,PlotNumber,0),MATCH(H$3,PlotTitles,0)))=FALSE,INDEX(PlotData,MATCH($A339,PlotNumber,0),MATCH(H$3,PlotTitles,0))&lt;500), $AB$11,TRUE,"")</f>
        <v/>
      </c>
      <c r="I339" s="104" t="str" cm="1">
        <f t="array" ref="I339">_xlfn.IFS(AND(A339&gt;NumberOfPlots,ISBLANK(INDEX(PlotData,MATCH($A339,PlotNumber,0),MATCH(B$3,PlotTitles,0)))),"",ISBLANK(INDEX(PlotData,MATCH($A339,PlotNumber,0),MATCH(I$3,PlotTitles,0))),$AB$12,TRUE,"")</f>
        <v/>
      </c>
      <c r="J339" s="104" t="str" cm="1">
        <f t="array" ref="J339">_xlfn.IFS(AND(A339&gt;NumberOfPlots,ISBLANK(INDEX(PlotData,MATCH($A339,PlotNumber,0),MATCH(B$3,PlotTitles,0)))),"",ISBLANK(INDEX(PlotData,MATCH($A339,PlotNumber,0),MATCH(J$3,PlotTitles,0))),$AB$13,TRUE,"")</f>
        <v/>
      </c>
      <c r="K339" s="182" t="str">
        <f t="shared" ca="1" si="15"/>
        <v/>
      </c>
      <c r="L339" s="104" t="str" cm="1">
        <f t="array" ref="L339">_xlfn.IFS(OR(ISBLANK(StartDateMonth),ISBLANK(StartDateYear)),"",AND(A339&gt;NumberOfPlots,ISBLANK(INDEX(PlotData,MATCH($A339,PlotNumber,0),MATCH(B$3,PlotTitles,0)))),"",ISBLANK(INDEX(PlotData,MATCH($A339,PlotNumber,0),MATCH(I$3,PlotTitles,0))),"",(DATEVALUE(INDEX(PlotData,MATCH($A339,PlotNumber,0),MATCH(I$3,PlotTitles,0))&amp;INDEX(PlotData,MATCH($A339,PlotNumber,0),MATCH(J$3,PlotTitles,0))))&lt;DATEVALUE(StartDateMonth&amp;StartDateYear),$AB$15,TRUE,"")</f>
        <v/>
      </c>
      <c r="M339" s="104" t="str" cm="1">
        <f t="array" ref="M339">_xlfn.IFS(OR(ISBLANK(StartDateMonth),ISBLANK(StartDateYear)),"",AND(A339&gt;NumberOfPlots,ISBLANK(INDEX(PlotData,MATCH($A339,PlotNumber,0),MATCH(B$3,PlotTitles,0)))),"",ISBLANK(INDEX(PlotData,MATCH($A339,PlotNumber,0),MATCH(I$3,PlotTitles,0))),"",CompletionMonth="","",(DATEVALUE(INDEX(PlotData,MATCH($A339,PlotNumber,0),MATCH(I$3,PlotTitles,0))&amp;INDEX(PlotData,MATCH($A339,PlotNumber,0),MATCH(J$3,PlotTitles,0))))&gt;(DATEVALUE(CompletionMonth&amp;CompletionYear)),$AB$16,TRUE,"")</f>
        <v/>
      </c>
      <c r="N339" s="104" t="str" cm="1">
        <f t="array" ref="N339">_xlfn.IFS(AND(A339&gt;NumberOfPlots,ISBLANK(INDEX(PlotData,MATCH($A339,PlotNumber,0),MATCH(B$3,PlotTitles,0)))),"",ISBLANK(INDEX(PlotData,MATCH($A339,PlotNumber,0),MATCH(N$3,PlotTitles,0))),$AB$17,TRUE,"")</f>
        <v/>
      </c>
      <c r="O339" s="104" t="str" cm="1">
        <f t="array" ref="O339">_xlfn.IFS(AND(A339&gt;NumberOfPlots,ISBLANK(INDEX(PlotData,MATCH($A339,PlotNumber,0),MATCH(B$3,PlotTitles,0)))),"",ISBLANK(INDEX(PlotData,MATCH($A339,PlotNumber,0),MATCH(O$3,PlotTitles,0))),$AB$18,TRUE,"")</f>
        <v/>
      </c>
      <c r="P339" s="182" t="str">
        <f t="shared" ca="1" si="16"/>
        <v/>
      </c>
      <c r="Q339" s="104" t="str" cm="1">
        <f t="array" ref="Q339">_xlfn.IFS(AND(A339&gt;NumberOfPlots,ISBLANK(INDEX(PlotData,MATCH($A339,PlotNumber,0),MATCH(B$3,PlotTitles,0)))),"",ISBLANK(INDEX(PlotData,MATCH($A339,PlotNumber,0),MATCH(N$3,PlotTitles,0))),"",(DATEVALUE(INDEX(PlotData,MATCH($A339,PlotNumber,0),MATCH(N$3,PlotTitles,0))&amp;INDEX(PlotData,MATCH($A339,PlotNumber,0),MATCH(O$3,PlotTitles,0))))&lt;(DATEVALUE(INDEX(PlotData,MATCH($A339,PlotNumber,0),MATCH(I$3,PlotTitles,0))&amp;INDEX(PlotData,MATCH($A339,PlotNumber,0),MATCH(J$3,PlotTitles,0)))),$AB$20,TRUE,"")</f>
        <v/>
      </c>
      <c r="R339" s="104" t="str" cm="1">
        <f t="array" ref="R339">_xlfn.IFS(OR(ISBLANK(StartDateMonth),ISBLANK(StartDateYear)),"",AND(A339&gt;NumberOfPlots,ISBLANK(INDEX(PlotData,MATCH($A339,PlotNumber,0),MATCH(B$3,PlotTitles,0)))),"",ISBLANK(INDEX(PlotData,MATCH($A339,PlotNumber,0),MATCH(N$3,PlotTitles,0))),"",CompletionMonth="","",(DATEVALUE(INDEX(PlotData,MATCH($A339,PlotNumber,0),MATCH(N$3,PlotTitles,0))&amp;INDEX(PlotData,MATCH($A339,PlotNumber,0),MATCH(O$3,PlotTitles,0))))&gt;(DATEVALUE(CompletionMonth&amp;CompletionYear)),$AB$21,TRUE,"")</f>
        <v/>
      </c>
      <c r="S339" s="104" t="str" cm="1">
        <f t="array" ref="S339">_xlfn.IFS(AND(A339&gt;NumberOfPlots,ISBLANK(INDEX(PlotData,MATCH($A339,PlotNumber,0),MATCH(B$3,PlotTitles,0)))),"",OR(AND(INDEX(PlotData,MATCH($A339,PlotNumber,0),MATCH("Tenure",PlotTitles,0))="Open market housing",INDEX(PlotData,MATCH($A339,PlotNumber,0),MATCH("Tenure detail",PlotTitles,0))="Private rented sector"),INDEX(PlotData,MATCH($A339,PlotNumber,0),MATCH("Tenure",PlotTitles,0))="Affordable rent"),"",ISNUMBER(INDEX(PlotData,MATCH($A339,PlotNumber,0),MATCH(S$3,PlotTitles,0)))=FALSE, $AB$22,TRUE,"")</f>
        <v/>
      </c>
      <c r="T339" s="104" t="str" cm="1">
        <f t="array" ref="T339">_xlfn.IFS(AND(A339&gt;NumberOfPlots,ISBLANK(INDEX(PlotData,MATCH($A339,PlotNumber,0),MATCH(B$3,PlotTitles,0)))),"",OR(AND(INDEX(PlotData,MATCH($A339,PlotNumber,0),MATCH("Tenure",PlotTitles,0))="Open market housing",INDEX(PlotData,MATCH($A339,PlotNumber,0),MATCH("Tenure detail",PlotTitles,0))="Private rented sector"),INDEX(PlotData,MATCH($A339,PlotNumber,0),MATCH("Tenure",PlotTitles,0))="Affordable rent"),"",INDEX(PlotData,MATCH($A339,PlotNumber,0),MATCH(S$3,PlotTitles,0))&lt;10000, $AB$23,TRUE,"")</f>
        <v/>
      </c>
      <c r="U339" s="104" t="str" cm="1">
        <f t="array" ref="U339">_xlfn.IFS(AND(A339&gt;NumberOfPlots,ISBLANK(INDEX(PlotData,MATCH($A339,PlotNumber,0),MATCH(B$3,PlotTitles,0)))),"",NOT(OR(AND(INDEX(PlotData,MATCH($A339,PlotNumber,0),MATCH("Tenure",PlotTitles,0))="Open market housing",INDEX(PlotData,MATCH($A339,PlotNumber,0),MATCH("Tenure detail",PlotTitles,0))="Private rented sector"),INDEX(PlotData,MATCH($A339,PlotNumber,0),MATCH("Tenure",PlotTitles,0))="Affordable rent")),"",NOT(INDEX(PlotData,MATCH($A339,PlotNumber,0),MATCH(S$3,PlotTitles,0))=0), $AB$24,TRUE,"")</f>
        <v/>
      </c>
      <c r="V339" s="114" t="str" cm="1">
        <f t="array" aca="1" ref="V339" ca="1">_xlfn.IFS(ISBLANK(NumberOfPlots),"Enter the number of homes on the 1_SetUp sheet",AND(A339&gt;NumberOfPlots,ISBLANK(INDEX(PlotData,MATCH($A339,PlotNumber,0),MATCH(B$3,PlotTitles,0)))),"No error",NOT(B339=""),B339,NOT(C339=""),C339,NOT(D339=""),D339,NOT(E339=""),E339,NOT(F339=""),F339,NOT(G339=""),G339,NOT(H339=""),H339,NOT(I339=""),I339,NOT(J339=""),J339,NOT(K339=""),K339,NOT(L339=""),L339,NOT(M339=""),M339,NOT(N339=""),N339,NOT(O339=""),O339,NOT(P339=""),P339,NOT(Q339=""),Q339,NOT(R339=""),R339,NOT(S339=""),S339,NOT(T339=""),T339,NOT(U339=""),U339,TRUE,"No error")</f>
        <v>Enter the number of homes on the 1_SetUp sheet</v>
      </c>
      <c r="W339" s="114" t="str">
        <f t="shared" ca="1" si="17"/>
        <v xml:space="preserve">The Borrower has not addressed the following error messages for Home ID 335: </v>
      </c>
    </row>
    <row r="340" spans="1:23">
      <c r="A340" s="123">
        <v>336</v>
      </c>
      <c r="B340" s="104" t="str" cm="1">
        <f t="array" ref="B340">_xlfn.IFS(AND(A340&gt;NumberOfPlots,ISBLANK(INDEX(PlotData,MATCH($A340,PlotNumber,0),MATCH(B$3,PlotTitles,0)))),"",ISNUMBER(INDEX(PlotData,MATCH($A340,PlotNumber,0),MATCH(B$3,PlotTitles,0)))=FALSE, $AB$5,TRUE,"")</f>
        <v/>
      </c>
      <c r="C340" s="104" t="str" cm="1">
        <f t="array" ref="C340">_xlfn.IFS(AND(A340&gt;NumberOfPlots,ISBLANK(INDEX(PlotData,MATCH($A340,PlotNumber,0),MATCH(B$3,PlotTitles,0)))),"",ISBLANK(INDEX(PlotData,MATCH($A340,PlotNumber,0),MATCH(C$3,PlotTitles,0))),$AB$6,TRUE,"")</f>
        <v/>
      </c>
      <c r="D340" s="104" t="str" cm="1">
        <f t="array" ref="D340">_xlfn.IFS(AND(A340&gt;NumberOfPlots,ISBLANK(INDEX(PlotData,MATCH($A340,PlotNumber,0),MATCH(B$3,PlotTitles,0)))),"",ISBLANK(INDEX(PlotData,MATCH($A340,PlotNumber,0),MATCH(D$3,PlotTitles,0))),$AB$7,TRUE,"")</f>
        <v/>
      </c>
      <c r="E340" s="104" t="str" cm="1">
        <f t="array" ref="E340">_xlfn.IFS(AND(A340&gt;NumberOfPlots,ISBLANK(INDEX(PlotData,MATCH($A340,PlotNumber,0),MATCH(B$3,PlotTitles,0)))),"",ISBLANK(INDEX(PlotData,MATCH($A340,PlotNumber,0),MATCH(E$3,PlotTitles,0))),$AB$8,TRUE,"")</f>
        <v/>
      </c>
      <c r="F340" s="104" t="str" cm="1">
        <f t="array" ref="F340">_xlfn.IFS(AND(A340&gt;NumberOfPlots,ISBLANK(INDEX(PlotData,MATCH($A340,PlotNumber,0),MATCH(B$3,PlotTitles,0)))),"",ISBLANK(INDEX(PlotData,MATCH($A340,PlotNumber,0),MATCH(F$3,PlotTitles,0))),$AB$9,TRUE,"")</f>
        <v/>
      </c>
      <c r="G340" s="104" t="str" cm="1">
        <f t="array" ref="G340">_xlfn.IFS(AND(A340&gt;NumberOfPlots,ISBLANK(INDEX(PlotData,MATCH($A340,PlotNumber,0),MATCH(B$3,PlotTitles,0)))),"",ISBLANK(INDEX(PlotData,MATCH($A340,PlotNumber,0),MATCH(G$3,PlotTitles,0))),$AB$10,TRUE,"")</f>
        <v/>
      </c>
      <c r="H340" s="104" t="str" cm="1">
        <f t="array" ref="H340">_xlfn.IFS(AND(A340&gt;NumberOfPlots,ISBLANK(INDEX(PlotData,MATCH($A340,PlotNumber,0),MATCH(B$3,PlotTitles,0)))),"",AND(ISBLANK(INDEX(PlotData,MATCH($A340,PlotNumber,0),MATCH(H$3,PlotTitles,0)))=FALSE,INDEX(PlotData,MATCH($A340,PlotNumber,0),MATCH(H$3,PlotTitles,0))&lt;500), $AB$11,TRUE,"")</f>
        <v/>
      </c>
      <c r="I340" s="104" t="str" cm="1">
        <f t="array" ref="I340">_xlfn.IFS(AND(A340&gt;NumberOfPlots,ISBLANK(INDEX(PlotData,MATCH($A340,PlotNumber,0),MATCH(B$3,PlotTitles,0)))),"",ISBLANK(INDEX(PlotData,MATCH($A340,PlotNumber,0),MATCH(I$3,PlotTitles,0))),$AB$12,TRUE,"")</f>
        <v/>
      </c>
      <c r="J340" s="104" t="str" cm="1">
        <f t="array" ref="J340">_xlfn.IFS(AND(A340&gt;NumberOfPlots,ISBLANK(INDEX(PlotData,MATCH($A340,PlotNumber,0),MATCH(B$3,PlotTitles,0)))),"",ISBLANK(INDEX(PlotData,MATCH($A340,PlotNumber,0),MATCH(J$3,PlotTitles,0))),$AB$13,TRUE,"")</f>
        <v/>
      </c>
      <c r="K340" s="182" t="str">
        <f t="shared" ca="1" si="15"/>
        <v/>
      </c>
      <c r="L340" s="104" t="str" cm="1">
        <f t="array" ref="L340">_xlfn.IFS(OR(ISBLANK(StartDateMonth),ISBLANK(StartDateYear)),"",AND(A340&gt;NumberOfPlots,ISBLANK(INDEX(PlotData,MATCH($A340,PlotNumber,0),MATCH(B$3,PlotTitles,0)))),"",ISBLANK(INDEX(PlotData,MATCH($A340,PlotNumber,0),MATCH(I$3,PlotTitles,0))),"",(DATEVALUE(INDEX(PlotData,MATCH($A340,PlotNumber,0),MATCH(I$3,PlotTitles,0))&amp;INDEX(PlotData,MATCH($A340,PlotNumber,0),MATCH(J$3,PlotTitles,0))))&lt;DATEVALUE(StartDateMonth&amp;StartDateYear),$AB$15,TRUE,"")</f>
        <v/>
      </c>
      <c r="M340" s="104" t="str" cm="1">
        <f t="array" ref="M340">_xlfn.IFS(OR(ISBLANK(StartDateMonth),ISBLANK(StartDateYear)),"",AND(A340&gt;NumberOfPlots,ISBLANK(INDEX(PlotData,MATCH($A340,PlotNumber,0),MATCH(B$3,PlotTitles,0)))),"",ISBLANK(INDEX(PlotData,MATCH($A340,PlotNumber,0),MATCH(I$3,PlotTitles,0))),"",CompletionMonth="","",(DATEVALUE(INDEX(PlotData,MATCH($A340,PlotNumber,0),MATCH(I$3,PlotTitles,0))&amp;INDEX(PlotData,MATCH($A340,PlotNumber,0),MATCH(J$3,PlotTitles,0))))&gt;(DATEVALUE(CompletionMonth&amp;CompletionYear)),$AB$16,TRUE,"")</f>
        <v/>
      </c>
      <c r="N340" s="104" t="str" cm="1">
        <f t="array" ref="N340">_xlfn.IFS(AND(A340&gt;NumberOfPlots,ISBLANK(INDEX(PlotData,MATCH($A340,PlotNumber,0),MATCH(B$3,PlotTitles,0)))),"",ISBLANK(INDEX(PlotData,MATCH($A340,PlotNumber,0),MATCH(N$3,PlotTitles,0))),$AB$17,TRUE,"")</f>
        <v/>
      </c>
      <c r="O340" s="104" t="str" cm="1">
        <f t="array" ref="O340">_xlfn.IFS(AND(A340&gt;NumberOfPlots,ISBLANK(INDEX(PlotData,MATCH($A340,PlotNumber,0),MATCH(B$3,PlotTitles,0)))),"",ISBLANK(INDEX(PlotData,MATCH($A340,PlotNumber,0),MATCH(O$3,PlotTitles,0))),$AB$18,TRUE,"")</f>
        <v/>
      </c>
      <c r="P340" s="182" t="str">
        <f t="shared" ca="1" si="16"/>
        <v/>
      </c>
      <c r="Q340" s="104" t="str" cm="1">
        <f t="array" ref="Q340">_xlfn.IFS(AND(A340&gt;NumberOfPlots,ISBLANK(INDEX(PlotData,MATCH($A340,PlotNumber,0),MATCH(B$3,PlotTitles,0)))),"",ISBLANK(INDEX(PlotData,MATCH($A340,PlotNumber,0),MATCH(N$3,PlotTitles,0))),"",(DATEVALUE(INDEX(PlotData,MATCH($A340,PlotNumber,0),MATCH(N$3,PlotTitles,0))&amp;INDEX(PlotData,MATCH($A340,PlotNumber,0),MATCH(O$3,PlotTitles,0))))&lt;(DATEVALUE(INDEX(PlotData,MATCH($A340,PlotNumber,0),MATCH(I$3,PlotTitles,0))&amp;INDEX(PlotData,MATCH($A340,PlotNumber,0),MATCH(J$3,PlotTitles,0)))),$AB$20,TRUE,"")</f>
        <v/>
      </c>
      <c r="R340" s="104" t="str" cm="1">
        <f t="array" ref="R340">_xlfn.IFS(OR(ISBLANK(StartDateMonth),ISBLANK(StartDateYear)),"",AND(A340&gt;NumberOfPlots,ISBLANK(INDEX(PlotData,MATCH($A340,PlotNumber,0),MATCH(B$3,PlotTitles,0)))),"",ISBLANK(INDEX(PlotData,MATCH($A340,PlotNumber,0),MATCH(N$3,PlotTitles,0))),"",CompletionMonth="","",(DATEVALUE(INDEX(PlotData,MATCH($A340,PlotNumber,0),MATCH(N$3,PlotTitles,0))&amp;INDEX(PlotData,MATCH($A340,PlotNumber,0),MATCH(O$3,PlotTitles,0))))&gt;(DATEVALUE(CompletionMonth&amp;CompletionYear)),$AB$21,TRUE,"")</f>
        <v/>
      </c>
      <c r="S340" s="104" t="str" cm="1">
        <f t="array" ref="S340">_xlfn.IFS(AND(A340&gt;NumberOfPlots,ISBLANK(INDEX(PlotData,MATCH($A340,PlotNumber,0),MATCH(B$3,PlotTitles,0)))),"",OR(AND(INDEX(PlotData,MATCH($A340,PlotNumber,0),MATCH("Tenure",PlotTitles,0))="Open market housing",INDEX(PlotData,MATCH($A340,PlotNumber,0),MATCH("Tenure detail",PlotTitles,0))="Private rented sector"),INDEX(PlotData,MATCH($A340,PlotNumber,0),MATCH("Tenure",PlotTitles,0))="Affordable rent"),"",ISNUMBER(INDEX(PlotData,MATCH($A340,PlotNumber,0),MATCH(S$3,PlotTitles,0)))=FALSE, $AB$22,TRUE,"")</f>
        <v/>
      </c>
      <c r="T340" s="104" t="str" cm="1">
        <f t="array" ref="T340">_xlfn.IFS(AND(A340&gt;NumberOfPlots,ISBLANK(INDEX(PlotData,MATCH($A340,PlotNumber,0),MATCH(B$3,PlotTitles,0)))),"",OR(AND(INDEX(PlotData,MATCH($A340,PlotNumber,0),MATCH("Tenure",PlotTitles,0))="Open market housing",INDEX(PlotData,MATCH($A340,PlotNumber,0),MATCH("Tenure detail",PlotTitles,0))="Private rented sector"),INDEX(PlotData,MATCH($A340,PlotNumber,0),MATCH("Tenure",PlotTitles,0))="Affordable rent"),"",INDEX(PlotData,MATCH($A340,PlotNumber,0),MATCH(S$3,PlotTitles,0))&lt;10000, $AB$23,TRUE,"")</f>
        <v/>
      </c>
      <c r="U340" s="104" t="str" cm="1">
        <f t="array" ref="U340">_xlfn.IFS(AND(A340&gt;NumberOfPlots,ISBLANK(INDEX(PlotData,MATCH($A340,PlotNumber,0),MATCH(B$3,PlotTitles,0)))),"",NOT(OR(AND(INDEX(PlotData,MATCH($A340,PlotNumber,0),MATCH("Tenure",PlotTitles,0))="Open market housing",INDEX(PlotData,MATCH($A340,PlotNumber,0),MATCH("Tenure detail",PlotTitles,0))="Private rented sector"),INDEX(PlotData,MATCH($A340,PlotNumber,0),MATCH("Tenure",PlotTitles,0))="Affordable rent")),"",NOT(INDEX(PlotData,MATCH($A340,PlotNumber,0),MATCH(S$3,PlotTitles,0))=0), $AB$24,TRUE,"")</f>
        <v/>
      </c>
      <c r="V340" s="114" t="str" cm="1">
        <f t="array" aca="1" ref="V340" ca="1">_xlfn.IFS(ISBLANK(NumberOfPlots),"Enter the number of homes on the 1_SetUp sheet",AND(A340&gt;NumberOfPlots,ISBLANK(INDEX(PlotData,MATCH($A340,PlotNumber,0),MATCH(B$3,PlotTitles,0)))),"No error",NOT(B340=""),B340,NOT(C340=""),C340,NOT(D340=""),D340,NOT(E340=""),E340,NOT(F340=""),F340,NOT(G340=""),G340,NOT(H340=""),H340,NOT(I340=""),I340,NOT(J340=""),J340,NOT(K340=""),K340,NOT(L340=""),L340,NOT(M340=""),M340,NOT(N340=""),N340,NOT(O340=""),O340,NOT(P340=""),P340,NOT(Q340=""),Q340,NOT(R340=""),R340,NOT(S340=""),S340,NOT(T340=""),T340,NOT(U340=""),U340,TRUE,"No error")</f>
        <v>Enter the number of homes on the 1_SetUp sheet</v>
      </c>
      <c r="W340" s="114" t="str">
        <f t="shared" ca="1" si="17"/>
        <v xml:space="preserve">The Borrower has not addressed the following error messages for Home ID 336: </v>
      </c>
    </row>
    <row r="341" spans="1:23">
      <c r="A341" s="123">
        <v>337</v>
      </c>
      <c r="B341" s="104" t="str" cm="1">
        <f t="array" ref="B341">_xlfn.IFS(AND(A341&gt;NumberOfPlots,ISBLANK(INDEX(PlotData,MATCH($A341,PlotNumber,0),MATCH(B$3,PlotTitles,0)))),"",ISNUMBER(INDEX(PlotData,MATCH($A341,PlotNumber,0),MATCH(B$3,PlotTitles,0)))=FALSE, $AB$5,TRUE,"")</f>
        <v/>
      </c>
      <c r="C341" s="104" t="str" cm="1">
        <f t="array" ref="C341">_xlfn.IFS(AND(A341&gt;NumberOfPlots,ISBLANK(INDEX(PlotData,MATCH($A341,PlotNumber,0),MATCH(B$3,PlotTitles,0)))),"",ISBLANK(INDEX(PlotData,MATCH($A341,PlotNumber,0),MATCH(C$3,PlotTitles,0))),$AB$6,TRUE,"")</f>
        <v/>
      </c>
      <c r="D341" s="104" t="str" cm="1">
        <f t="array" ref="D341">_xlfn.IFS(AND(A341&gt;NumberOfPlots,ISBLANK(INDEX(PlotData,MATCH($A341,PlotNumber,0),MATCH(B$3,PlotTitles,0)))),"",ISBLANK(INDEX(PlotData,MATCH($A341,PlotNumber,0),MATCH(D$3,PlotTitles,0))),$AB$7,TRUE,"")</f>
        <v/>
      </c>
      <c r="E341" s="104" t="str" cm="1">
        <f t="array" ref="E341">_xlfn.IFS(AND(A341&gt;NumberOfPlots,ISBLANK(INDEX(PlotData,MATCH($A341,PlotNumber,0),MATCH(B$3,PlotTitles,0)))),"",ISBLANK(INDEX(PlotData,MATCH($A341,PlotNumber,0),MATCH(E$3,PlotTitles,0))),$AB$8,TRUE,"")</f>
        <v/>
      </c>
      <c r="F341" s="104" t="str" cm="1">
        <f t="array" ref="F341">_xlfn.IFS(AND(A341&gt;NumberOfPlots,ISBLANK(INDEX(PlotData,MATCH($A341,PlotNumber,0),MATCH(B$3,PlotTitles,0)))),"",ISBLANK(INDEX(PlotData,MATCH($A341,PlotNumber,0),MATCH(F$3,PlotTitles,0))),$AB$9,TRUE,"")</f>
        <v/>
      </c>
      <c r="G341" s="104" t="str" cm="1">
        <f t="array" ref="G341">_xlfn.IFS(AND(A341&gt;NumberOfPlots,ISBLANK(INDEX(PlotData,MATCH($A341,PlotNumber,0),MATCH(B$3,PlotTitles,0)))),"",ISBLANK(INDEX(PlotData,MATCH($A341,PlotNumber,0),MATCH(G$3,PlotTitles,0))),$AB$10,TRUE,"")</f>
        <v/>
      </c>
      <c r="H341" s="104" t="str" cm="1">
        <f t="array" ref="H341">_xlfn.IFS(AND(A341&gt;NumberOfPlots,ISBLANK(INDEX(PlotData,MATCH($A341,PlotNumber,0),MATCH(B$3,PlotTitles,0)))),"",AND(ISBLANK(INDEX(PlotData,MATCH($A341,PlotNumber,0),MATCH(H$3,PlotTitles,0)))=FALSE,INDEX(PlotData,MATCH($A341,PlotNumber,0),MATCH(H$3,PlotTitles,0))&lt;500), $AB$11,TRUE,"")</f>
        <v/>
      </c>
      <c r="I341" s="104" t="str" cm="1">
        <f t="array" ref="I341">_xlfn.IFS(AND(A341&gt;NumberOfPlots,ISBLANK(INDEX(PlotData,MATCH($A341,PlotNumber,0),MATCH(B$3,PlotTitles,0)))),"",ISBLANK(INDEX(PlotData,MATCH($A341,PlotNumber,0),MATCH(I$3,PlotTitles,0))),$AB$12,TRUE,"")</f>
        <v/>
      </c>
      <c r="J341" s="104" t="str" cm="1">
        <f t="array" ref="J341">_xlfn.IFS(AND(A341&gt;NumberOfPlots,ISBLANK(INDEX(PlotData,MATCH($A341,PlotNumber,0),MATCH(B$3,PlotTitles,0)))),"",ISBLANK(INDEX(PlotData,MATCH($A341,PlotNumber,0),MATCH(J$3,PlotTitles,0))),$AB$13,TRUE,"")</f>
        <v/>
      </c>
      <c r="K341" s="182" t="str">
        <f t="shared" ca="1" si="15"/>
        <v/>
      </c>
      <c r="L341" s="104" t="str" cm="1">
        <f t="array" ref="L341">_xlfn.IFS(OR(ISBLANK(StartDateMonth),ISBLANK(StartDateYear)),"",AND(A341&gt;NumberOfPlots,ISBLANK(INDEX(PlotData,MATCH($A341,PlotNumber,0),MATCH(B$3,PlotTitles,0)))),"",ISBLANK(INDEX(PlotData,MATCH($A341,PlotNumber,0),MATCH(I$3,PlotTitles,0))),"",(DATEVALUE(INDEX(PlotData,MATCH($A341,PlotNumber,0),MATCH(I$3,PlotTitles,0))&amp;INDEX(PlotData,MATCH($A341,PlotNumber,0),MATCH(J$3,PlotTitles,0))))&lt;DATEVALUE(StartDateMonth&amp;StartDateYear),$AB$15,TRUE,"")</f>
        <v/>
      </c>
      <c r="M341" s="104" t="str" cm="1">
        <f t="array" ref="M341">_xlfn.IFS(OR(ISBLANK(StartDateMonth),ISBLANK(StartDateYear)),"",AND(A341&gt;NumberOfPlots,ISBLANK(INDEX(PlotData,MATCH($A341,PlotNumber,0),MATCH(B$3,PlotTitles,0)))),"",ISBLANK(INDEX(PlotData,MATCH($A341,PlotNumber,0),MATCH(I$3,PlotTitles,0))),"",CompletionMonth="","",(DATEVALUE(INDEX(PlotData,MATCH($A341,PlotNumber,0),MATCH(I$3,PlotTitles,0))&amp;INDEX(PlotData,MATCH($A341,PlotNumber,0),MATCH(J$3,PlotTitles,0))))&gt;(DATEVALUE(CompletionMonth&amp;CompletionYear)),$AB$16,TRUE,"")</f>
        <v/>
      </c>
      <c r="N341" s="104" t="str" cm="1">
        <f t="array" ref="N341">_xlfn.IFS(AND(A341&gt;NumberOfPlots,ISBLANK(INDEX(PlotData,MATCH($A341,PlotNumber,0),MATCH(B$3,PlotTitles,0)))),"",ISBLANK(INDEX(PlotData,MATCH($A341,PlotNumber,0),MATCH(N$3,PlotTitles,0))),$AB$17,TRUE,"")</f>
        <v/>
      </c>
      <c r="O341" s="104" t="str" cm="1">
        <f t="array" ref="O341">_xlfn.IFS(AND(A341&gt;NumberOfPlots,ISBLANK(INDEX(PlotData,MATCH($A341,PlotNumber,0),MATCH(B$3,PlotTitles,0)))),"",ISBLANK(INDEX(PlotData,MATCH($A341,PlotNumber,0),MATCH(O$3,PlotTitles,0))),$AB$18,TRUE,"")</f>
        <v/>
      </c>
      <c r="P341" s="182" t="str">
        <f t="shared" ca="1" si="16"/>
        <v/>
      </c>
      <c r="Q341" s="104" t="str" cm="1">
        <f t="array" ref="Q341">_xlfn.IFS(AND(A341&gt;NumberOfPlots,ISBLANK(INDEX(PlotData,MATCH($A341,PlotNumber,0),MATCH(B$3,PlotTitles,0)))),"",ISBLANK(INDEX(PlotData,MATCH($A341,PlotNumber,0),MATCH(N$3,PlotTitles,0))),"",(DATEVALUE(INDEX(PlotData,MATCH($A341,PlotNumber,0),MATCH(N$3,PlotTitles,0))&amp;INDEX(PlotData,MATCH($A341,PlotNumber,0),MATCH(O$3,PlotTitles,0))))&lt;(DATEVALUE(INDEX(PlotData,MATCH($A341,PlotNumber,0),MATCH(I$3,PlotTitles,0))&amp;INDEX(PlotData,MATCH($A341,PlotNumber,0),MATCH(J$3,PlotTitles,0)))),$AB$20,TRUE,"")</f>
        <v/>
      </c>
      <c r="R341" s="104" t="str" cm="1">
        <f t="array" ref="R341">_xlfn.IFS(OR(ISBLANK(StartDateMonth),ISBLANK(StartDateYear)),"",AND(A341&gt;NumberOfPlots,ISBLANK(INDEX(PlotData,MATCH($A341,PlotNumber,0),MATCH(B$3,PlotTitles,0)))),"",ISBLANK(INDEX(PlotData,MATCH($A341,PlotNumber,0),MATCH(N$3,PlotTitles,0))),"",CompletionMonth="","",(DATEVALUE(INDEX(PlotData,MATCH($A341,PlotNumber,0),MATCH(N$3,PlotTitles,0))&amp;INDEX(PlotData,MATCH($A341,PlotNumber,0),MATCH(O$3,PlotTitles,0))))&gt;(DATEVALUE(CompletionMonth&amp;CompletionYear)),$AB$21,TRUE,"")</f>
        <v/>
      </c>
      <c r="S341" s="104" t="str" cm="1">
        <f t="array" ref="S341">_xlfn.IFS(AND(A341&gt;NumberOfPlots,ISBLANK(INDEX(PlotData,MATCH($A341,PlotNumber,0),MATCH(B$3,PlotTitles,0)))),"",OR(AND(INDEX(PlotData,MATCH($A341,PlotNumber,0),MATCH("Tenure",PlotTitles,0))="Open market housing",INDEX(PlotData,MATCH($A341,PlotNumber,0),MATCH("Tenure detail",PlotTitles,0))="Private rented sector"),INDEX(PlotData,MATCH($A341,PlotNumber,0),MATCH("Tenure",PlotTitles,0))="Affordable rent"),"",ISNUMBER(INDEX(PlotData,MATCH($A341,PlotNumber,0),MATCH(S$3,PlotTitles,0)))=FALSE, $AB$22,TRUE,"")</f>
        <v/>
      </c>
      <c r="T341" s="104" t="str" cm="1">
        <f t="array" ref="T341">_xlfn.IFS(AND(A341&gt;NumberOfPlots,ISBLANK(INDEX(PlotData,MATCH($A341,PlotNumber,0),MATCH(B$3,PlotTitles,0)))),"",OR(AND(INDEX(PlotData,MATCH($A341,PlotNumber,0),MATCH("Tenure",PlotTitles,0))="Open market housing",INDEX(PlotData,MATCH($A341,PlotNumber,0),MATCH("Tenure detail",PlotTitles,0))="Private rented sector"),INDEX(PlotData,MATCH($A341,PlotNumber,0),MATCH("Tenure",PlotTitles,0))="Affordable rent"),"",INDEX(PlotData,MATCH($A341,PlotNumber,0),MATCH(S$3,PlotTitles,0))&lt;10000, $AB$23,TRUE,"")</f>
        <v/>
      </c>
      <c r="U341" s="104" t="str" cm="1">
        <f t="array" ref="U341">_xlfn.IFS(AND(A341&gt;NumberOfPlots,ISBLANK(INDEX(PlotData,MATCH($A341,PlotNumber,0),MATCH(B$3,PlotTitles,0)))),"",NOT(OR(AND(INDEX(PlotData,MATCH($A341,PlotNumber,0),MATCH("Tenure",PlotTitles,0))="Open market housing",INDEX(PlotData,MATCH($A341,PlotNumber,0),MATCH("Tenure detail",PlotTitles,0))="Private rented sector"),INDEX(PlotData,MATCH($A341,PlotNumber,0),MATCH("Tenure",PlotTitles,0))="Affordable rent")),"",NOT(INDEX(PlotData,MATCH($A341,PlotNumber,0),MATCH(S$3,PlotTitles,0))=0), $AB$24,TRUE,"")</f>
        <v/>
      </c>
      <c r="V341" s="114" t="str" cm="1">
        <f t="array" aca="1" ref="V341" ca="1">_xlfn.IFS(ISBLANK(NumberOfPlots),"Enter the number of homes on the 1_SetUp sheet",AND(A341&gt;NumberOfPlots,ISBLANK(INDEX(PlotData,MATCH($A341,PlotNumber,0),MATCH(B$3,PlotTitles,0)))),"No error",NOT(B341=""),B341,NOT(C341=""),C341,NOT(D341=""),D341,NOT(E341=""),E341,NOT(F341=""),F341,NOT(G341=""),G341,NOT(H341=""),H341,NOT(I341=""),I341,NOT(J341=""),J341,NOT(K341=""),K341,NOT(L341=""),L341,NOT(M341=""),M341,NOT(N341=""),N341,NOT(O341=""),O341,NOT(P341=""),P341,NOT(Q341=""),Q341,NOT(R341=""),R341,NOT(S341=""),S341,NOT(T341=""),T341,NOT(U341=""),U341,TRUE,"No error")</f>
        <v>Enter the number of homes on the 1_SetUp sheet</v>
      </c>
      <c r="W341" s="114" t="str">
        <f t="shared" ca="1" si="17"/>
        <v xml:space="preserve">The Borrower has not addressed the following error messages for Home ID 337: </v>
      </c>
    </row>
    <row r="342" spans="1:23">
      <c r="A342" s="123">
        <v>338</v>
      </c>
      <c r="B342" s="104" t="str" cm="1">
        <f t="array" ref="B342">_xlfn.IFS(AND(A342&gt;NumberOfPlots,ISBLANK(INDEX(PlotData,MATCH($A342,PlotNumber,0),MATCH(B$3,PlotTitles,0)))),"",ISNUMBER(INDEX(PlotData,MATCH($A342,PlotNumber,0),MATCH(B$3,PlotTitles,0)))=FALSE, $AB$5,TRUE,"")</f>
        <v/>
      </c>
      <c r="C342" s="104" t="str" cm="1">
        <f t="array" ref="C342">_xlfn.IFS(AND(A342&gt;NumberOfPlots,ISBLANK(INDEX(PlotData,MATCH($A342,PlotNumber,0),MATCH(B$3,PlotTitles,0)))),"",ISBLANK(INDEX(PlotData,MATCH($A342,PlotNumber,0),MATCH(C$3,PlotTitles,0))),$AB$6,TRUE,"")</f>
        <v/>
      </c>
      <c r="D342" s="104" t="str" cm="1">
        <f t="array" ref="D342">_xlfn.IFS(AND(A342&gt;NumberOfPlots,ISBLANK(INDEX(PlotData,MATCH($A342,PlotNumber,0),MATCH(B$3,PlotTitles,0)))),"",ISBLANK(INDEX(PlotData,MATCH($A342,PlotNumber,0),MATCH(D$3,PlotTitles,0))),$AB$7,TRUE,"")</f>
        <v/>
      </c>
      <c r="E342" s="104" t="str" cm="1">
        <f t="array" ref="E342">_xlfn.IFS(AND(A342&gt;NumberOfPlots,ISBLANK(INDEX(PlotData,MATCH($A342,PlotNumber,0),MATCH(B$3,PlotTitles,0)))),"",ISBLANK(INDEX(PlotData,MATCH($A342,PlotNumber,0),MATCH(E$3,PlotTitles,0))),$AB$8,TRUE,"")</f>
        <v/>
      </c>
      <c r="F342" s="104" t="str" cm="1">
        <f t="array" ref="F342">_xlfn.IFS(AND(A342&gt;NumberOfPlots,ISBLANK(INDEX(PlotData,MATCH($A342,PlotNumber,0),MATCH(B$3,PlotTitles,0)))),"",ISBLANK(INDEX(PlotData,MATCH($A342,PlotNumber,0),MATCH(F$3,PlotTitles,0))),$AB$9,TRUE,"")</f>
        <v/>
      </c>
      <c r="G342" s="104" t="str" cm="1">
        <f t="array" ref="G342">_xlfn.IFS(AND(A342&gt;NumberOfPlots,ISBLANK(INDEX(PlotData,MATCH($A342,PlotNumber,0),MATCH(B$3,PlotTitles,0)))),"",ISBLANK(INDEX(PlotData,MATCH($A342,PlotNumber,0),MATCH(G$3,PlotTitles,0))),$AB$10,TRUE,"")</f>
        <v/>
      </c>
      <c r="H342" s="104" t="str" cm="1">
        <f t="array" ref="H342">_xlfn.IFS(AND(A342&gt;NumberOfPlots,ISBLANK(INDEX(PlotData,MATCH($A342,PlotNumber,0),MATCH(B$3,PlotTitles,0)))),"",AND(ISBLANK(INDEX(PlotData,MATCH($A342,PlotNumber,0),MATCH(H$3,PlotTitles,0)))=FALSE,INDEX(PlotData,MATCH($A342,PlotNumber,0),MATCH(H$3,PlotTitles,0))&lt;500), $AB$11,TRUE,"")</f>
        <v/>
      </c>
      <c r="I342" s="104" t="str" cm="1">
        <f t="array" ref="I342">_xlfn.IFS(AND(A342&gt;NumberOfPlots,ISBLANK(INDEX(PlotData,MATCH($A342,PlotNumber,0),MATCH(B$3,PlotTitles,0)))),"",ISBLANK(INDEX(PlotData,MATCH($A342,PlotNumber,0),MATCH(I$3,PlotTitles,0))),$AB$12,TRUE,"")</f>
        <v/>
      </c>
      <c r="J342" s="104" t="str" cm="1">
        <f t="array" ref="J342">_xlfn.IFS(AND(A342&gt;NumberOfPlots,ISBLANK(INDEX(PlotData,MATCH($A342,PlotNumber,0),MATCH(B$3,PlotTitles,0)))),"",ISBLANK(INDEX(PlotData,MATCH($A342,PlotNumber,0),MATCH(J$3,PlotTitles,0))),$AB$13,TRUE,"")</f>
        <v/>
      </c>
      <c r="K342" s="182" t="str">
        <f t="shared" ca="1" si="15"/>
        <v/>
      </c>
      <c r="L342" s="104" t="str" cm="1">
        <f t="array" ref="L342">_xlfn.IFS(OR(ISBLANK(StartDateMonth),ISBLANK(StartDateYear)),"",AND(A342&gt;NumberOfPlots,ISBLANK(INDEX(PlotData,MATCH($A342,PlotNumber,0),MATCH(B$3,PlotTitles,0)))),"",ISBLANK(INDEX(PlotData,MATCH($A342,PlotNumber,0),MATCH(I$3,PlotTitles,0))),"",(DATEVALUE(INDEX(PlotData,MATCH($A342,PlotNumber,0),MATCH(I$3,PlotTitles,0))&amp;INDEX(PlotData,MATCH($A342,PlotNumber,0),MATCH(J$3,PlotTitles,0))))&lt;DATEVALUE(StartDateMonth&amp;StartDateYear),$AB$15,TRUE,"")</f>
        <v/>
      </c>
      <c r="M342" s="104" t="str" cm="1">
        <f t="array" ref="M342">_xlfn.IFS(OR(ISBLANK(StartDateMonth),ISBLANK(StartDateYear)),"",AND(A342&gt;NumberOfPlots,ISBLANK(INDEX(PlotData,MATCH($A342,PlotNumber,0),MATCH(B$3,PlotTitles,0)))),"",ISBLANK(INDEX(PlotData,MATCH($A342,PlotNumber,0),MATCH(I$3,PlotTitles,0))),"",CompletionMonth="","",(DATEVALUE(INDEX(PlotData,MATCH($A342,PlotNumber,0),MATCH(I$3,PlotTitles,0))&amp;INDEX(PlotData,MATCH($A342,PlotNumber,0),MATCH(J$3,PlotTitles,0))))&gt;(DATEVALUE(CompletionMonth&amp;CompletionYear)),$AB$16,TRUE,"")</f>
        <v/>
      </c>
      <c r="N342" s="104" t="str" cm="1">
        <f t="array" ref="N342">_xlfn.IFS(AND(A342&gt;NumberOfPlots,ISBLANK(INDEX(PlotData,MATCH($A342,PlotNumber,0),MATCH(B$3,PlotTitles,0)))),"",ISBLANK(INDEX(PlotData,MATCH($A342,PlotNumber,0),MATCH(N$3,PlotTitles,0))),$AB$17,TRUE,"")</f>
        <v/>
      </c>
      <c r="O342" s="104" t="str" cm="1">
        <f t="array" ref="O342">_xlfn.IFS(AND(A342&gt;NumberOfPlots,ISBLANK(INDEX(PlotData,MATCH($A342,PlotNumber,0),MATCH(B$3,PlotTitles,0)))),"",ISBLANK(INDEX(PlotData,MATCH($A342,PlotNumber,0),MATCH(O$3,PlotTitles,0))),$AB$18,TRUE,"")</f>
        <v/>
      </c>
      <c r="P342" s="182" t="str">
        <f t="shared" ca="1" si="16"/>
        <v/>
      </c>
      <c r="Q342" s="104" t="str" cm="1">
        <f t="array" ref="Q342">_xlfn.IFS(AND(A342&gt;NumberOfPlots,ISBLANK(INDEX(PlotData,MATCH($A342,PlotNumber,0),MATCH(B$3,PlotTitles,0)))),"",ISBLANK(INDEX(PlotData,MATCH($A342,PlotNumber,0),MATCH(N$3,PlotTitles,0))),"",(DATEVALUE(INDEX(PlotData,MATCH($A342,PlotNumber,0),MATCH(N$3,PlotTitles,0))&amp;INDEX(PlotData,MATCH($A342,PlotNumber,0),MATCH(O$3,PlotTitles,0))))&lt;(DATEVALUE(INDEX(PlotData,MATCH($A342,PlotNumber,0),MATCH(I$3,PlotTitles,0))&amp;INDEX(PlotData,MATCH($A342,PlotNumber,0),MATCH(J$3,PlotTitles,0)))),$AB$20,TRUE,"")</f>
        <v/>
      </c>
      <c r="R342" s="104" t="str" cm="1">
        <f t="array" ref="R342">_xlfn.IFS(OR(ISBLANK(StartDateMonth),ISBLANK(StartDateYear)),"",AND(A342&gt;NumberOfPlots,ISBLANK(INDEX(PlotData,MATCH($A342,PlotNumber,0),MATCH(B$3,PlotTitles,0)))),"",ISBLANK(INDEX(PlotData,MATCH($A342,PlotNumber,0),MATCH(N$3,PlotTitles,0))),"",CompletionMonth="","",(DATEVALUE(INDEX(PlotData,MATCH($A342,PlotNumber,0),MATCH(N$3,PlotTitles,0))&amp;INDEX(PlotData,MATCH($A342,PlotNumber,0),MATCH(O$3,PlotTitles,0))))&gt;(DATEVALUE(CompletionMonth&amp;CompletionYear)),$AB$21,TRUE,"")</f>
        <v/>
      </c>
      <c r="S342" s="104" t="str" cm="1">
        <f t="array" ref="S342">_xlfn.IFS(AND(A342&gt;NumberOfPlots,ISBLANK(INDEX(PlotData,MATCH($A342,PlotNumber,0),MATCH(B$3,PlotTitles,0)))),"",OR(AND(INDEX(PlotData,MATCH($A342,PlotNumber,0),MATCH("Tenure",PlotTitles,0))="Open market housing",INDEX(PlotData,MATCH($A342,PlotNumber,0),MATCH("Tenure detail",PlotTitles,0))="Private rented sector"),INDEX(PlotData,MATCH($A342,PlotNumber,0),MATCH("Tenure",PlotTitles,0))="Affordable rent"),"",ISNUMBER(INDEX(PlotData,MATCH($A342,PlotNumber,0),MATCH(S$3,PlotTitles,0)))=FALSE, $AB$22,TRUE,"")</f>
        <v/>
      </c>
      <c r="T342" s="104" t="str" cm="1">
        <f t="array" ref="T342">_xlfn.IFS(AND(A342&gt;NumberOfPlots,ISBLANK(INDEX(PlotData,MATCH($A342,PlotNumber,0),MATCH(B$3,PlotTitles,0)))),"",OR(AND(INDEX(PlotData,MATCH($A342,PlotNumber,0),MATCH("Tenure",PlotTitles,0))="Open market housing",INDEX(PlotData,MATCH($A342,PlotNumber,0),MATCH("Tenure detail",PlotTitles,0))="Private rented sector"),INDEX(PlotData,MATCH($A342,PlotNumber,0),MATCH("Tenure",PlotTitles,0))="Affordable rent"),"",INDEX(PlotData,MATCH($A342,PlotNumber,0),MATCH(S$3,PlotTitles,0))&lt;10000, $AB$23,TRUE,"")</f>
        <v/>
      </c>
      <c r="U342" s="104" t="str" cm="1">
        <f t="array" ref="U342">_xlfn.IFS(AND(A342&gt;NumberOfPlots,ISBLANK(INDEX(PlotData,MATCH($A342,PlotNumber,0),MATCH(B$3,PlotTitles,0)))),"",NOT(OR(AND(INDEX(PlotData,MATCH($A342,PlotNumber,0),MATCH("Tenure",PlotTitles,0))="Open market housing",INDEX(PlotData,MATCH($A342,PlotNumber,0),MATCH("Tenure detail",PlotTitles,0))="Private rented sector"),INDEX(PlotData,MATCH($A342,PlotNumber,0),MATCH("Tenure",PlotTitles,0))="Affordable rent")),"",NOT(INDEX(PlotData,MATCH($A342,PlotNumber,0),MATCH(S$3,PlotTitles,0))=0), $AB$24,TRUE,"")</f>
        <v/>
      </c>
      <c r="V342" s="114" t="str" cm="1">
        <f t="array" aca="1" ref="V342" ca="1">_xlfn.IFS(ISBLANK(NumberOfPlots),"Enter the number of homes on the 1_SetUp sheet",AND(A342&gt;NumberOfPlots,ISBLANK(INDEX(PlotData,MATCH($A342,PlotNumber,0),MATCH(B$3,PlotTitles,0)))),"No error",NOT(B342=""),B342,NOT(C342=""),C342,NOT(D342=""),D342,NOT(E342=""),E342,NOT(F342=""),F342,NOT(G342=""),G342,NOT(H342=""),H342,NOT(I342=""),I342,NOT(J342=""),J342,NOT(K342=""),K342,NOT(L342=""),L342,NOT(M342=""),M342,NOT(N342=""),N342,NOT(O342=""),O342,NOT(P342=""),P342,NOT(Q342=""),Q342,NOT(R342=""),R342,NOT(S342=""),S342,NOT(T342=""),T342,NOT(U342=""),U342,TRUE,"No error")</f>
        <v>Enter the number of homes on the 1_SetUp sheet</v>
      </c>
      <c r="W342" s="114" t="str">
        <f t="shared" ca="1" si="17"/>
        <v xml:space="preserve">The Borrower has not addressed the following error messages for Home ID 338: </v>
      </c>
    </row>
    <row r="343" spans="1:23">
      <c r="A343" s="123">
        <v>339</v>
      </c>
      <c r="B343" s="104" t="str" cm="1">
        <f t="array" ref="B343">_xlfn.IFS(AND(A343&gt;NumberOfPlots,ISBLANK(INDEX(PlotData,MATCH($A343,PlotNumber,0),MATCH(B$3,PlotTitles,0)))),"",ISNUMBER(INDEX(PlotData,MATCH($A343,PlotNumber,0),MATCH(B$3,PlotTitles,0)))=FALSE, $AB$5,TRUE,"")</f>
        <v/>
      </c>
      <c r="C343" s="104" t="str" cm="1">
        <f t="array" ref="C343">_xlfn.IFS(AND(A343&gt;NumberOfPlots,ISBLANK(INDEX(PlotData,MATCH($A343,PlotNumber,0),MATCH(B$3,PlotTitles,0)))),"",ISBLANK(INDEX(PlotData,MATCH($A343,PlotNumber,0),MATCH(C$3,PlotTitles,0))),$AB$6,TRUE,"")</f>
        <v/>
      </c>
      <c r="D343" s="104" t="str" cm="1">
        <f t="array" ref="D343">_xlfn.IFS(AND(A343&gt;NumberOfPlots,ISBLANK(INDEX(PlotData,MATCH($A343,PlotNumber,0),MATCH(B$3,PlotTitles,0)))),"",ISBLANK(INDEX(PlotData,MATCH($A343,PlotNumber,0),MATCH(D$3,PlotTitles,0))),$AB$7,TRUE,"")</f>
        <v/>
      </c>
      <c r="E343" s="104" t="str" cm="1">
        <f t="array" ref="E343">_xlfn.IFS(AND(A343&gt;NumberOfPlots,ISBLANK(INDEX(PlotData,MATCH($A343,PlotNumber,0),MATCH(B$3,PlotTitles,0)))),"",ISBLANK(INDEX(PlotData,MATCH($A343,PlotNumber,0),MATCH(E$3,PlotTitles,0))),$AB$8,TRUE,"")</f>
        <v/>
      </c>
      <c r="F343" s="104" t="str" cm="1">
        <f t="array" ref="F343">_xlfn.IFS(AND(A343&gt;NumberOfPlots,ISBLANK(INDEX(PlotData,MATCH($A343,PlotNumber,0),MATCH(B$3,PlotTitles,0)))),"",ISBLANK(INDEX(PlotData,MATCH($A343,PlotNumber,0),MATCH(F$3,PlotTitles,0))),$AB$9,TRUE,"")</f>
        <v/>
      </c>
      <c r="G343" s="104" t="str" cm="1">
        <f t="array" ref="G343">_xlfn.IFS(AND(A343&gt;NumberOfPlots,ISBLANK(INDEX(PlotData,MATCH($A343,PlotNumber,0),MATCH(B$3,PlotTitles,0)))),"",ISBLANK(INDEX(PlotData,MATCH($A343,PlotNumber,0),MATCH(G$3,PlotTitles,0))),$AB$10,TRUE,"")</f>
        <v/>
      </c>
      <c r="H343" s="104" t="str" cm="1">
        <f t="array" ref="H343">_xlfn.IFS(AND(A343&gt;NumberOfPlots,ISBLANK(INDEX(PlotData,MATCH($A343,PlotNumber,0),MATCH(B$3,PlotTitles,0)))),"",AND(ISBLANK(INDEX(PlotData,MATCH($A343,PlotNumber,0),MATCH(H$3,PlotTitles,0)))=FALSE,INDEX(PlotData,MATCH($A343,PlotNumber,0),MATCH(H$3,PlotTitles,0))&lt;500), $AB$11,TRUE,"")</f>
        <v/>
      </c>
      <c r="I343" s="104" t="str" cm="1">
        <f t="array" ref="I343">_xlfn.IFS(AND(A343&gt;NumberOfPlots,ISBLANK(INDEX(PlotData,MATCH($A343,PlotNumber,0),MATCH(B$3,PlotTitles,0)))),"",ISBLANK(INDEX(PlotData,MATCH($A343,PlotNumber,0),MATCH(I$3,PlotTitles,0))),$AB$12,TRUE,"")</f>
        <v/>
      </c>
      <c r="J343" s="104" t="str" cm="1">
        <f t="array" ref="J343">_xlfn.IFS(AND(A343&gt;NumberOfPlots,ISBLANK(INDEX(PlotData,MATCH($A343,PlotNumber,0),MATCH(B$3,PlotTitles,0)))),"",ISBLANK(INDEX(PlotData,MATCH($A343,PlotNumber,0),MATCH(J$3,PlotTitles,0))),$AB$13,TRUE,"")</f>
        <v/>
      </c>
      <c r="K343" s="182" t="str">
        <f t="shared" ca="1" si="15"/>
        <v/>
      </c>
      <c r="L343" s="104" t="str" cm="1">
        <f t="array" ref="L343">_xlfn.IFS(OR(ISBLANK(StartDateMonth),ISBLANK(StartDateYear)),"",AND(A343&gt;NumberOfPlots,ISBLANK(INDEX(PlotData,MATCH($A343,PlotNumber,0),MATCH(B$3,PlotTitles,0)))),"",ISBLANK(INDEX(PlotData,MATCH($A343,PlotNumber,0),MATCH(I$3,PlotTitles,0))),"",(DATEVALUE(INDEX(PlotData,MATCH($A343,PlotNumber,0),MATCH(I$3,PlotTitles,0))&amp;INDEX(PlotData,MATCH($A343,PlotNumber,0),MATCH(J$3,PlotTitles,0))))&lt;DATEVALUE(StartDateMonth&amp;StartDateYear),$AB$15,TRUE,"")</f>
        <v/>
      </c>
      <c r="M343" s="104" t="str" cm="1">
        <f t="array" ref="M343">_xlfn.IFS(OR(ISBLANK(StartDateMonth),ISBLANK(StartDateYear)),"",AND(A343&gt;NumberOfPlots,ISBLANK(INDEX(PlotData,MATCH($A343,PlotNumber,0),MATCH(B$3,PlotTitles,0)))),"",ISBLANK(INDEX(PlotData,MATCH($A343,PlotNumber,0),MATCH(I$3,PlotTitles,0))),"",CompletionMonth="","",(DATEVALUE(INDEX(PlotData,MATCH($A343,PlotNumber,0),MATCH(I$3,PlotTitles,0))&amp;INDEX(PlotData,MATCH($A343,PlotNumber,0),MATCH(J$3,PlotTitles,0))))&gt;(DATEVALUE(CompletionMonth&amp;CompletionYear)),$AB$16,TRUE,"")</f>
        <v/>
      </c>
      <c r="N343" s="104" t="str" cm="1">
        <f t="array" ref="N343">_xlfn.IFS(AND(A343&gt;NumberOfPlots,ISBLANK(INDEX(PlotData,MATCH($A343,PlotNumber,0),MATCH(B$3,PlotTitles,0)))),"",ISBLANK(INDEX(PlotData,MATCH($A343,PlotNumber,0),MATCH(N$3,PlotTitles,0))),$AB$17,TRUE,"")</f>
        <v/>
      </c>
      <c r="O343" s="104" t="str" cm="1">
        <f t="array" ref="O343">_xlfn.IFS(AND(A343&gt;NumberOfPlots,ISBLANK(INDEX(PlotData,MATCH($A343,PlotNumber,0),MATCH(B$3,PlotTitles,0)))),"",ISBLANK(INDEX(PlotData,MATCH($A343,PlotNumber,0),MATCH(O$3,PlotTitles,0))),$AB$18,TRUE,"")</f>
        <v/>
      </c>
      <c r="P343" s="182" t="str">
        <f t="shared" ca="1" si="16"/>
        <v/>
      </c>
      <c r="Q343" s="104" t="str" cm="1">
        <f t="array" ref="Q343">_xlfn.IFS(AND(A343&gt;NumberOfPlots,ISBLANK(INDEX(PlotData,MATCH($A343,PlotNumber,0),MATCH(B$3,PlotTitles,0)))),"",ISBLANK(INDEX(PlotData,MATCH($A343,PlotNumber,0),MATCH(N$3,PlotTitles,0))),"",(DATEVALUE(INDEX(PlotData,MATCH($A343,PlotNumber,0),MATCH(N$3,PlotTitles,0))&amp;INDEX(PlotData,MATCH($A343,PlotNumber,0),MATCH(O$3,PlotTitles,0))))&lt;(DATEVALUE(INDEX(PlotData,MATCH($A343,PlotNumber,0),MATCH(I$3,PlotTitles,0))&amp;INDEX(PlotData,MATCH($A343,PlotNumber,0),MATCH(J$3,PlotTitles,0)))),$AB$20,TRUE,"")</f>
        <v/>
      </c>
      <c r="R343" s="104" t="str" cm="1">
        <f t="array" ref="R343">_xlfn.IFS(OR(ISBLANK(StartDateMonth),ISBLANK(StartDateYear)),"",AND(A343&gt;NumberOfPlots,ISBLANK(INDEX(PlotData,MATCH($A343,PlotNumber,0),MATCH(B$3,PlotTitles,0)))),"",ISBLANK(INDEX(PlotData,MATCH($A343,PlotNumber,0),MATCH(N$3,PlotTitles,0))),"",CompletionMonth="","",(DATEVALUE(INDEX(PlotData,MATCH($A343,PlotNumber,0),MATCH(N$3,PlotTitles,0))&amp;INDEX(PlotData,MATCH($A343,PlotNumber,0),MATCH(O$3,PlotTitles,0))))&gt;(DATEVALUE(CompletionMonth&amp;CompletionYear)),$AB$21,TRUE,"")</f>
        <v/>
      </c>
      <c r="S343" s="104" t="str" cm="1">
        <f t="array" ref="S343">_xlfn.IFS(AND(A343&gt;NumberOfPlots,ISBLANK(INDEX(PlotData,MATCH($A343,PlotNumber,0),MATCH(B$3,PlotTitles,0)))),"",OR(AND(INDEX(PlotData,MATCH($A343,PlotNumber,0),MATCH("Tenure",PlotTitles,0))="Open market housing",INDEX(PlotData,MATCH($A343,PlotNumber,0),MATCH("Tenure detail",PlotTitles,0))="Private rented sector"),INDEX(PlotData,MATCH($A343,PlotNumber,0),MATCH("Tenure",PlotTitles,0))="Affordable rent"),"",ISNUMBER(INDEX(PlotData,MATCH($A343,PlotNumber,0),MATCH(S$3,PlotTitles,0)))=FALSE, $AB$22,TRUE,"")</f>
        <v/>
      </c>
      <c r="T343" s="104" t="str" cm="1">
        <f t="array" ref="T343">_xlfn.IFS(AND(A343&gt;NumberOfPlots,ISBLANK(INDEX(PlotData,MATCH($A343,PlotNumber,0),MATCH(B$3,PlotTitles,0)))),"",OR(AND(INDEX(PlotData,MATCH($A343,PlotNumber,0),MATCH("Tenure",PlotTitles,0))="Open market housing",INDEX(PlotData,MATCH($A343,PlotNumber,0),MATCH("Tenure detail",PlotTitles,0))="Private rented sector"),INDEX(PlotData,MATCH($A343,PlotNumber,0),MATCH("Tenure",PlotTitles,0))="Affordable rent"),"",INDEX(PlotData,MATCH($A343,PlotNumber,0),MATCH(S$3,PlotTitles,0))&lt;10000, $AB$23,TRUE,"")</f>
        <v/>
      </c>
      <c r="U343" s="104" t="str" cm="1">
        <f t="array" ref="U343">_xlfn.IFS(AND(A343&gt;NumberOfPlots,ISBLANK(INDEX(PlotData,MATCH($A343,PlotNumber,0),MATCH(B$3,PlotTitles,0)))),"",NOT(OR(AND(INDEX(PlotData,MATCH($A343,PlotNumber,0),MATCH("Tenure",PlotTitles,0))="Open market housing",INDEX(PlotData,MATCH($A343,PlotNumber,0),MATCH("Tenure detail",PlotTitles,0))="Private rented sector"),INDEX(PlotData,MATCH($A343,PlotNumber,0),MATCH("Tenure",PlotTitles,0))="Affordable rent")),"",NOT(INDEX(PlotData,MATCH($A343,PlotNumber,0),MATCH(S$3,PlotTitles,0))=0), $AB$24,TRUE,"")</f>
        <v/>
      </c>
      <c r="V343" s="114" t="str" cm="1">
        <f t="array" aca="1" ref="V343" ca="1">_xlfn.IFS(ISBLANK(NumberOfPlots),"Enter the number of homes on the 1_SetUp sheet",AND(A343&gt;NumberOfPlots,ISBLANK(INDEX(PlotData,MATCH($A343,PlotNumber,0),MATCH(B$3,PlotTitles,0)))),"No error",NOT(B343=""),B343,NOT(C343=""),C343,NOT(D343=""),D343,NOT(E343=""),E343,NOT(F343=""),F343,NOT(G343=""),G343,NOT(H343=""),H343,NOT(I343=""),I343,NOT(J343=""),J343,NOT(K343=""),K343,NOT(L343=""),L343,NOT(M343=""),M343,NOT(N343=""),N343,NOT(O343=""),O343,NOT(P343=""),P343,NOT(Q343=""),Q343,NOT(R343=""),R343,NOT(S343=""),S343,NOT(T343=""),T343,NOT(U343=""),U343,TRUE,"No error")</f>
        <v>Enter the number of homes on the 1_SetUp sheet</v>
      </c>
      <c r="W343" s="114" t="str">
        <f t="shared" ca="1" si="17"/>
        <v xml:space="preserve">The Borrower has not addressed the following error messages for Home ID 339: </v>
      </c>
    </row>
    <row r="344" spans="1:23">
      <c r="A344" s="123">
        <v>340</v>
      </c>
      <c r="B344" s="104" t="str" cm="1">
        <f t="array" ref="B344">_xlfn.IFS(AND(A344&gt;NumberOfPlots,ISBLANK(INDEX(PlotData,MATCH($A344,PlotNumber,0),MATCH(B$3,PlotTitles,0)))),"",ISNUMBER(INDEX(PlotData,MATCH($A344,PlotNumber,0),MATCH(B$3,PlotTitles,0)))=FALSE, $AB$5,TRUE,"")</f>
        <v/>
      </c>
      <c r="C344" s="104" t="str" cm="1">
        <f t="array" ref="C344">_xlfn.IFS(AND(A344&gt;NumberOfPlots,ISBLANK(INDEX(PlotData,MATCH($A344,PlotNumber,0),MATCH(B$3,PlotTitles,0)))),"",ISBLANK(INDEX(PlotData,MATCH($A344,PlotNumber,0),MATCH(C$3,PlotTitles,0))),$AB$6,TRUE,"")</f>
        <v/>
      </c>
      <c r="D344" s="104" t="str" cm="1">
        <f t="array" ref="D344">_xlfn.IFS(AND(A344&gt;NumberOfPlots,ISBLANK(INDEX(PlotData,MATCH($A344,PlotNumber,0),MATCH(B$3,PlotTitles,0)))),"",ISBLANK(INDEX(PlotData,MATCH($A344,PlotNumber,0),MATCH(D$3,PlotTitles,0))),$AB$7,TRUE,"")</f>
        <v/>
      </c>
      <c r="E344" s="104" t="str" cm="1">
        <f t="array" ref="E344">_xlfn.IFS(AND(A344&gt;NumberOfPlots,ISBLANK(INDEX(PlotData,MATCH($A344,PlotNumber,0),MATCH(B$3,PlotTitles,0)))),"",ISBLANK(INDEX(PlotData,MATCH($A344,PlotNumber,0),MATCH(E$3,PlotTitles,0))),$AB$8,TRUE,"")</f>
        <v/>
      </c>
      <c r="F344" s="104" t="str" cm="1">
        <f t="array" ref="F344">_xlfn.IFS(AND(A344&gt;NumberOfPlots,ISBLANK(INDEX(PlotData,MATCH($A344,PlotNumber,0),MATCH(B$3,PlotTitles,0)))),"",ISBLANK(INDEX(PlotData,MATCH($A344,PlotNumber,0),MATCH(F$3,PlotTitles,0))),$AB$9,TRUE,"")</f>
        <v/>
      </c>
      <c r="G344" s="104" t="str" cm="1">
        <f t="array" ref="G344">_xlfn.IFS(AND(A344&gt;NumberOfPlots,ISBLANK(INDEX(PlotData,MATCH($A344,PlotNumber,0),MATCH(B$3,PlotTitles,0)))),"",ISBLANK(INDEX(PlotData,MATCH($A344,PlotNumber,0),MATCH(G$3,PlotTitles,0))),$AB$10,TRUE,"")</f>
        <v/>
      </c>
      <c r="H344" s="104" t="str" cm="1">
        <f t="array" ref="H344">_xlfn.IFS(AND(A344&gt;NumberOfPlots,ISBLANK(INDEX(PlotData,MATCH($A344,PlotNumber,0),MATCH(B$3,PlotTitles,0)))),"",AND(ISBLANK(INDEX(PlotData,MATCH($A344,PlotNumber,0),MATCH(H$3,PlotTitles,0)))=FALSE,INDEX(PlotData,MATCH($A344,PlotNumber,0),MATCH(H$3,PlotTitles,0))&lt;500), $AB$11,TRUE,"")</f>
        <v/>
      </c>
      <c r="I344" s="104" t="str" cm="1">
        <f t="array" ref="I344">_xlfn.IFS(AND(A344&gt;NumberOfPlots,ISBLANK(INDEX(PlotData,MATCH($A344,PlotNumber,0),MATCH(B$3,PlotTitles,0)))),"",ISBLANK(INDEX(PlotData,MATCH($A344,PlotNumber,0),MATCH(I$3,PlotTitles,0))),$AB$12,TRUE,"")</f>
        <v/>
      </c>
      <c r="J344" s="104" t="str" cm="1">
        <f t="array" ref="J344">_xlfn.IFS(AND(A344&gt;NumberOfPlots,ISBLANK(INDEX(PlotData,MATCH($A344,PlotNumber,0),MATCH(B$3,PlotTitles,0)))),"",ISBLANK(INDEX(PlotData,MATCH($A344,PlotNumber,0),MATCH(J$3,PlotTitles,0))),$AB$13,TRUE,"")</f>
        <v/>
      </c>
      <c r="K344" s="182" t="str">
        <f t="shared" ca="1" si="15"/>
        <v/>
      </c>
      <c r="L344" s="104" t="str" cm="1">
        <f t="array" ref="L344">_xlfn.IFS(OR(ISBLANK(StartDateMonth),ISBLANK(StartDateYear)),"",AND(A344&gt;NumberOfPlots,ISBLANK(INDEX(PlotData,MATCH($A344,PlotNumber,0),MATCH(B$3,PlotTitles,0)))),"",ISBLANK(INDEX(PlotData,MATCH($A344,PlotNumber,0),MATCH(I$3,PlotTitles,0))),"",(DATEVALUE(INDEX(PlotData,MATCH($A344,PlotNumber,0),MATCH(I$3,PlotTitles,0))&amp;INDEX(PlotData,MATCH($A344,PlotNumber,0),MATCH(J$3,PlotTitles,0))))&lt;DATEVALUE(StartDateMonth&amp;StartDateYear),$AB$15,TRUE,"")</f>
        <v/>
      </c>
      <c r="M344" s="104" t="str" cm="1">
        <f t="array" ref="M344">_xlfn.IFS(OR(ISBLANK(StartDateMonth),ISBLANK(StartDateYear)),"",AND(A344&gt;NumberOfPlots,ISBLANK(INDEX(PlotData,MATCH($A344,PlotNumber,0),MATCH(B$3,PlotTitles,0)))),"",ISBLANK(INDEX(PlotData,MATCH($A344,PlotNumber,0),MATCH(I$3,PlotTitles,0))),"",CompletionMonth="","",(DATEVALUE(INDEX(PlotData,MATCH($A344,PlotNumber,0),MATCH(I$3,PlotTitles,0))&amp;INDEX(PlotData,MATCH($A344,PlotNumber,0),MATCH(J$3,PlotTitles,0))))&gt;(DATEVALUE(CompletionMonth&amp;CompletionYear)),$AB$16,TRUE,"")</f>
        <v/>
      </c>
      <c r="N344" s="104" t="str" cm="1">
        <f t="array" ref="N344">_xlfn.IFS(AND(A344&gt;NumberOfPlots,ISBLANK(INDEX(PlotData,MATCH($A344,PlotNumber,0),MATCH(B$3,PlotTitles,0)))),"",ISBLANK(INDEX(PlotData,MATCH($A344,PlotNumber,0),MATCH(N$3,PlotTitles,0))),$AB$17,TRUE,"")</f>
        <v/>
      </c>
      <c r="O344" s="104" t="str" cm="1">
        <f t="array" ref="O344">_xlfn.IFS(AND(A344&gt;NumberOfPlots,ISBLANK(INDEX(PlotData,MATCH($A344,PlotNumber,0),MATCH(B$3,PlotTitles,0)))),"",ISBLANK(INDEX(PlotData,MATCH($A344,PlotNumber,0),MATCH(O$3,PlotTitles,0))),$AB$18,TRUE,"")</f>
        <v/>
      </c>
      <c r="P344" s="182" t="str">
        <f t="shared" ca="1" si="16"/>
        <v/>
      </c>
      <c r="Q344" s="104" t="str" cm="1">
        <f t="array" ref="Q344">_xlfn.IFS(AND(A344&gt;NumberOfPlots,ISBLANK(INDEX(PlotData,MATCH($A344,PlotNumber,0),MATCH(B$3,PlotTitles,0)))),"",ISBLANK(INDEX(PlotData,MATCH($A344,PlotNumber,0),MATCH(N$3,PlotTitles,0))),"",(DATEVALUE(INDEX(PlotData,MATCH($A344,PlotNumber,0),MATCH(N$3,PlotTitles,0))&amp;INDEX(PlotData,MATCH($A344,PlotNumber,0),MATCH(O$3,PlotTitles,0))))&lt;(DATEVALUE(INDEX(PlotData,MATCH($A344,PlotNumber,0),MATCH(I$3,PlotTitles,0))&amp;INDEX(PlotData,MATCH($A344,PlotNumber,0),MATCH(J$3,PlotTitles,0)))),$AB$20,TRUE,"")</f>
        <v/>
      </c>
      <c r="R344" s="104" t="str" cm="1">
        <f t="array" ref="R344">_xlfn.IFS(OR(ISBLANK(StartDateMonth),ISBLANK(StartDateYear)),"",AND(A344&gt;NumberOfPlots,ISBLANK(INDEX(PlotData,MATCH($A344,PlotNumber,0),MATCH(B$3,PlotTitles,0)))),"",ISBLANK(INDEX(PlotData,MATCH($A344,PlotNumber,0),MATCH(N$3,PlotTitles,0))),"",CompletionMonth="","",(DATEVALUE(INDEX(PlotData,MATCH($A344,PlotNumber,0),MATCH(N$3,PlotTitles,0))&amp;INDEX(PlotData,MATCH($A344,PlotNumber,0),MATCH(O$3,PlotTitles,0))))&gt;(DATEVALUE(CompletionMonth&amp;CompletionYear)),$AB$21,TRUE,"")</f>
        <v/>
      </c>
      <c r="S344" s="104" t="str" cm="1">
        <f t="array" ref="S344">_xlfn.IFS(AND(A344&gt;NumberOfPlots,ISBLANK(INDEX(PlotData,MATCH($A344,PlotNumber,0),MATCH(B$3,PlotTitles,0)))),"",OR(AND(INDEX(PlotData,MATCH($A344,PlotNumber,0),MATCH("Tenure",PlotTitles,0))="Open market housing",INDEX(PlotData,MATCH($A344,PlotNumber,0),MATCH("Tenure detail",PlotTitles,0))="Private rented sector"),INDEX(PlotData,MATCH($A344,PlotNumber,0),MATCH("Tenure",PlotTitles,0))="Affordable rent"),"",ISNUMBER(INDEX(PlotData,MATCH($A344,PlotNumber,0),MATCH(S$3,PlotTitles,0)))=FALSE, $AB$22,TRUE,"")</f>
        <v/>
      </c>
      <c r="T344" s="104" t="str" cm="1">
        <f t="array" ref="T344">_xlfn.IFS(AND(A344&gt;NumberOfPlots,ISBLANK(INDEX(PlotData,MATCH($A344,PlotNumber,0),MATCH(B$3,PlotTitles,0)))),"",OR(AND(INDEX(PlotData,MATCH($A344,PlotNumber,0),MATCH("Tenure",PlotTitles,0))="Open market housing",INDEX(PlotData,MATCH($A344,PlotNumber,0),MATCH("Tenure detail",PlotTitles,0))="Private rented sector"),INDEX(PlotData,MATCH($A344,PlotNumber,0),MATCH("Tenure",PlotTitles,0))="Affordable rent"),"",INDEX(PlotData,MATCH($A344,PlotNumber,0),MATCH(S$3,PlotTitles,0))&lt;10000, $AB$23,TRUE,"")</f>
        <v/>
      </c>
      <c r="U344" s="104" t="str" cm="1">
        <f t="array" ref="U344">_xlfn.IFS(AND(A344&gt;NumberOfPlots,ISBLANK(INDEX(PlotData,MATCH($A344,PlotNumber,0),MATCH(B$3,PlotTitles,0)))),"",NOT(OR(AND(INDEX(PlotData,MATCH($A344,PlotNumber,0),MATCH("Tenure",PlotTitles,0))="Open market housing",INDEX(PlotData,MATCH($A344,PlotNumber,0),MATCH("Tenure detail",PlotTitles,0))="Private rented sector"),INDEX(PlotData,MATCH($A344,PlotNumber,0),MATCH("Tenure",PlotTitles,0))="Affordable rent")),"",NOT(INDEX(PlotData,MATCH($A344,PlotNumber,0),MATCH(S$3,PlotTitles,0))=0), $AB$24,TRUE,"")</f>
        <v/>
      </c>
      <c r="V344" s="114" t="str" cm="1">
        <f t="array" aca="1" ref="V344" ca="1">_xlfn.IFS(ISBLANK(NumberOfPlots),"Enter the number of homes on the 1_SetUp sheet",AND(A344&gt;NumberOfPlots,ISBLANK(INDEX(PlotData,MATCH($A344,PlotNumber,0),MATCH(B$3,PlotTitles,0)))),"No error",NOT(B344=""),B344,NOT(C344=""),C344,NOT(D344=""),D344,NOT(E344=""),E344,NOT(F344=""),F344,NOT(G344=""),G344,NOT(H344=""),H344,NOT(I344=""),I344,NOT(J344=""),J344,NOT(K344=""),K344,NOT(L344=""),L344,NOT(M344=""),M344,NOT(N344=""),N344,NOT(O344=""),O344,NOT(P344=""),P344,NOT(Q344=""),Q344,NOT(R344=""),R344,NOT(S344=""),S344,NOT(T344=""),T344,NOT(U344=""),U344,TRUE,"No error")</f>
        <v>Enter the number of homes on the 1_SetUp sheet</v>
      </c>
      <c r="W344" s="114" t="str">
        <f t="shared" ca="1" si="17"/>
        <v xml:space="preserve">The Borrower has not addressed the following error messages for Home ID 340: </v>
      </c>
    </row>
    <row r="345" spans="1:23">
      <c r="A345" s="123">
        <v>341</v>
      </c>
      <c r="B345" s="104" t="str" cm="1">
        <f t="array" ref="B345">_xlfn.IFS(AND(A345&gt;NumberOfPlots,ISBLANK(INDEX(PlotData,MATCH($A345,PlotNumber,0),MATCH(B$3,PlotTitles,0)))),"",ISNUMBER(INDEX(PlotData,MATCH($A345,PlotNumber,0),MATCH(B$3,PlotTitles,0)))=FALSE, $AB$5,TRUE,"")</f>
        <v/>
      </c>
      <c r="C345" s="104" t="str" cm="1">
        <f t="array" ref="C345">_xlfn.IFS(AND(A345&gt;NumberOfPlots,ISBLANK(INDEX(PlotData,MATCH($A345,PlotNumber,0),MATCH(B$3,PlotTitles,0)))),"",ISBLANK(INDEX(PlotData,MATCH($A345,PlotNumber,0),MATCH(C$3,PlotTitles,0))),$AB$6,TRUE,"")</f>
        <v/>
      </c>
      <c r="D345" s="104" t="str" cm="1">
        <f t="array" ref="D345">_xlfn.IFS(AND(A345&gt;NumberOfPlots,ISBLANK(INDEX(PlotData,MATCH($A345,PlotNumber,0),MATCH(B$3,PlotTitles,0)))),"",ISBLANK(INDEX(PlotData,MATCH($A345,PlotNumber,0),MATCH(D$3,PlotTitles,0))),$AB$7,TRUE,"")</f>
        <v/>
      </c>
      <c r="E345" s="104" t="str" cm="1">
        <f t="array" ref="E345">_xlfn.IFS(AND(A345&gt;NumberOfPlots,ISBLANK(INDEX(PlotData,MATCH($A345,PlotNumber,0),MATCH(B$3,PlotTitles,0)))),"",ISBLANK(INDEX(PlotData,MATCH($A345,PlotNumber,0),MATCH(E$3,PlotTitles,0))),$AB$8,TRUE,"")</f>
        <v/>
      </c>
      <c r="F345" s="104" t="str" cm="1">
        <f t="array" ref="F345">_xlfn.IFS(AND(A345&gt;NumberOfPlots,ISBLANK(INDEX(PlotData,MATCH($A345,PlotNumber,0),MATCH(B$3,PlotTitles,0)))),"",ISBLANK(INDEX(PlotData,MATCH($A345,PlotNumber,0),MATCH(F$3,PlotTitles,0))),$AB$9,TRUE,"")</f>
        <v/>
      </c>
      <c r="G345" s="104" t="str" cm="1">
        <f t="array" ref="G345">_xlfn.IFS(AND(A345&gt;NumberOfPlots,ISBLANK(INDEX(PlotData,MATCH($A345,PlotNumber,0),MATCH(B$3,PlotTitles,0)))),"",ISBLANK(INDEX(PlotData,MATCH($A345,PlotNumber,0),MATCH(G$3,PlotTitles,0))),$AB$10,TRUE,"")</f>
        <v/>
      </c>
      <c r="H345" s="104" t="str" cm="1">
        <f t="array" ref="H345">_xlfn.IFS(AND(A345&gt;NumberOfPlots,ISBLANK(INDEX(PlotData,MATCH($A345,PlotNumber,0),MATCH(B$3,PlotTitles,0)))),"",AND(ISBLANK(INDEX(PlotData,MATCH($A345,PlotNumber,0),MATCH(H$3,PlotTitles,0)))=FALSE,INDEX(PlotData,MATCH($A345,PlotNumber,0),MATCH(H$3,PlotTitles,0))&lt;500), $AB$11,TRUE,"")</f>
        <v/>
      </c>
      <c r="I345" s="104" t="str" cm="1">
        <f t="array" ref="I345">_xlfn.IFS(AND(A345&gt;NumberOfPlots,ISBLANK(INDEX(PlotData,MATCH($A345,PlotNumber,0),MATCH(B$3,PlotTitles,0)))),"",ISBLANK(INDEX(PlotData,MATCH($A345,PlotNumber,0),MATCH(I$3,PlotTitles,0))),$AB$12,TRUE,"")</f>
        <v/>
      </c>
      <c r="J345" s="104" t="str" cm="1">
        <f t="array" ref="J345">_xlfn.IFS(AND(A345&gt;NumberOfPlots,ISBLANK(INDEX(PlotData,MATCH($A345,PlotNumber,0),MATCH(B$3,PlotTitles,0)))),"",ISBLANK(INDEX(PlotData,MATCH($A345,PlotNumber,0),MATCH(J$3,PlotTitles,0))),$AB$13,TRUE,"")</f>
        <v/>
      </c>
      <c r="K345" s="182" t="str">
        <f t="shared" ca="1" si="15"/>
        <v/>
      </c>
      <c r="L345" s="104" t="str" cm="1">
        <f t="array" ref="L345">_xlfn.IFS(OR(ISBLANK(StartDateMonth),ISBLANK(StartDateYear)),"",AND(A345&gt;NumberOfPlots,ISBLANK(INDEX(PlotData,MATCH($A345,PlotNumber,0),MATCH(B$3,PlotTitles,0)))),"",ISBLANK(INDEX(PlotData,MATCH($A345,PlotNumber,0),MATCH(I$3,PlotTitles,0))),"",(DATEVALUE(INDEX(PlotData,MATCH($A345,PlotNumber,0),MATCH(I$3,PlotTitles,0))&amp;INDEX(PlotData,MATCH($A345,PlotNumber,0),MATCH(J$3,PlotTitles,0))))&lt;DATEVALUE(StartDateMonth&amp;StartDateYear),$AB$15,TRUE,"")</f>
        <v/>
      </c>
      <c r="M345" s="104" t="str" cm="1">
        <f t="array" ref="M345">_xlfn.IFS(OR(ISBLANK(StartDateMonth),ISBLANK(StartDateYear)),"",AND(A345&gt;NumberOfPlots,ISBLANK(INDEX(PlotData,MATCH($A345,PlotNumber,0),MATCH(B$3,PlotTitles,0)))),"",ISBLANK(INDEX(PlotData,MATCH($A345,PlotNumber,0),MATCH(I$3,PlotTitles,0))),"",CompletionMonth="","",(DATEVALUE(INDEX(PlotData,MATCH($A345,PlotNumber,0),MATCH(I$3,PlotTitles,0))&amp;INDEX(PlotData,MATCH($A345,PlotNumber,0),MATCH(J$3,PlotTitles,0))))&gt;(DATEVALUE(CompletionMonth&amp;CompletionYear)),$AB$16,TRUE,"")</f>
        <v/>
      </c>
      <c r="N345" s="104" t="str" cm="1">
        <f t="array" ref="N345">_xlfn.IFS(AND(A345&gt;NumberOfPlots,ISBLANK(INDEX(PlotData,MATCH($A345,PlotNumber,0),MATCH(B$3,PlotTitles,0)))),"",ISBLANK(INDEX(PlotData,MATCH($A345,PlotNumber,0),MATCH(N$3,PlotTitles,0))),$AB$17,TRUE,"")</f>
        <v/>
      </c>
      <c r="O345" s="104" t="str" cm="1">
        <f t="array" ref="O345">_xlfn.IFS(AND(A345&gt;NumberOfPlots,ISBLANK(INDEX(PlotData,MATCH($A345,PlotNumber,0),MATCH(B$3,PlotTitles,0)))),"",ISBLANK(INDEX(PlotData,MATCH($A345,PlotNumber,0),MATCH(O$3,PlotTitles,0))),$AB$18,TRUE,"")</f>
        <v/>
      </c>
      <c r="P345" s="182" t="str">
        <f t="shared" ca="1" si="16"/>
        <v/>
      </c>
      <c r="Q345" s="104" t="str" cm="1">
        <f t="array" ref="Q345">_xlfn.IFS(AND(A345&gt;NumberOfPlots,ISBLANK(INDEX(PlotData,MATCH($A345,PlotNumber,0),MATCH(B$3,PlotTitles,0)))),"",ISBLANK(INDEX(PlotData,MATCH($A345,PlotNumber,0),MATCH(N$3,PlotTitles,0))),"",(DATEVALUE(INDEX(PlotData,MATCH($A345,PlotNumber,0),MATCH(N$3,PlotTitles,0))&amp;INDEX(PlotData,MATCH($A345,PlotNumber,0),MATCH(O$3,PlotTitles,0))))&lt;(DATEVALUE(INDEX(PlotData,MATCH($A345,PlotNumber,0),MATCH(I$3,PlotTitles,0))&amp;INDEX(PlotData,MATCH($A345,PlotNumber,0),MATCH(J$3,PlotTitles,0)))),$AB$20,TRUE,"")</f>
        <v/>
      </c>
      <c r="R345" s="104" t="str" cm="1">
        <f t="array" ref="R345">_xlfn.IFS(OR(ISBLANK(StartDateMonth),ISBLANK(StartDateYear)),"",AND(A345&gt;NumberOfPlots,ISBLANK(INDEX(PlotData,MATCH($A345,PlotNumber,0),MATCH(B$3,PlotTitles,0)))),"",ISBLANK(INDEX(PlotData,MATCH($A345,PlotNumber,0),MATCH(N$3,PlotTitles,0))),"",CompletionMonth="","",(DATEVALUE(INDEX(PlotData,MATCH($A345,PlotNumber,0),MATCH(N$3,PlotTitles,0))&amp;INDEX(PlotData,MATCH($A345,PlotNumber,0),MATCH(O$3,PlotTitles,0))))&gt;(DATEVALUE(CompletionMonth&amp;CompletionYear)),$AB$21,TRUE,"")</f>
        <v/>
      </c>
      <c r="S345" s="104" t="str" cm="1">
        <f t="array" ref="S345">_xlfn.IFS(AND(A345&gt;NumberOfPlots,ISBLANK(INDEX(PlotData,MATCH($A345,PlotNumber,0),MATCH(B$3,PlotTitles,0)))),"",OR(AND(INDEX(PlotData,MATCH($A345,PlotNumber,0),MATCH("Tenure",PlotTitles,0))="Open market housing",INDEX(PlotData,MATCH($A345,PlotNumber,0),MATCH("Tenure detail",PlotTitles,0))="Private rented sector"),INDEX(PlotData,MATCH($A345,PlotNumber,0),MATCH("Tenure",PlotTitles,0))="Affordable rent"),"",ISNUMBER(INDEX(PlotData,MATCH($A345,PlotNumber,0),MATCH(S$3,PlotTitles,0)))=FALSE, $AB$22,TRUE,"")</f>
        <v/>
      </c>
      <c r="T345" s="104" t="str" cm="1">
        <f t="array" ref="T345">_xlfn.IFS(AND(A345&gt;NumberOfPlots,ISBLANK(INDEX(PlotData,MATCH($A345,PlotNumber,0),MATCH(B$3,PlotTitles,0)))),"",OR(AND(INDEX(PlotData,MATCH($A345,PlotNumber,0),MATCH("Tenure",PlotTitles,0))="Open market housing",INDEX(PlotData,MATCH($A345,PlotNumber,0),MATCH("Tenure detail",PlotTitles,0))="Private rented sector"),INDEX(PlotData,MATCH($A345,PlotNumber,0),MATCH("Tenure",PlotTitles,0))="Affordable rent"),"",INDEX(PlotData,MATCH($A345,PlotNumber,0),MATCH(S$3,PlotTitles,0))&lt;10000, $AB$23,TRUE,"")</f>
        <v/>
      </c>
      <c r="U345" s="104" t="str" cm="1">
        <f t="array" ref="U345">_xlfn.IFS(AND(A345&gt;NumberOfPlots,ISBLANK(INDEX(PlotData,MATCH($A345,PlotNumber,0),MATCH(B$3,PlotTitles,0)))),"",NOT(OR(AND(INDEX(PlotData,MATCH($A345,PlotNumber,0),MATCH("Tenure",PlotTitles,0))="Open market housing",INDEX(PlotData,MATCH($A345,PlotNumber,0),MATCH("Tenure detail",PlotTitles,0))="Private rented sector"),INDEX(PlotData,MATCH($A345,PlotNumber,0),MATCH("Tenure",PlotTitles,0))="Affordable rent")),"",NOT(INDEX(PlotData,MATCH($A345,PlotNumber,0),MATCH(S$3,PlotTitles,0))=0), $AB$24,TRUE,"")</f>
        <v/>
      </c>
      <c r="V345" s="114" t="str" cm="1">
        <f t="array" aca="1" ref="V345" ca="1">_xlfn.IFS(ISBLANK(NumberOfPlots),"Enter the number of homes on the 1_SetUp sheet",AND(A345&gt;NumberOfPlots,ISBLANK(INDEX(PlotData,MATCH($A345,PlotNumber,0),MATCH(B$3,PlotTitles,0)))),"No error",NOT(B345=""),B345,NOT(C345=""),C345,NOT(D345=""),D345,NOT(E345=""),E345,NOT(F345=""),F345,NOT(G345=""),G345,NOT(H345=""),H345,NOT(I345=""),I345,NOT(J345=""),J345,NOT(K345=""),K345,NOT(L345=""),L345,NOT(M345=""),M345,NOT(N345=""),N345,NOT(O345=""),O345,NOT(P345=""),P345,NOT(Q345=""),Q345,NOT(R345=""),R345,NOT(S345=""),S345,NOT(T345=""),T345,NOT(U345=""),U345,TRUE,"No error")</f>
        <v>Enter the number of homes on the 1_SetUp sheet</v>
      </c>
      <c r="W345" s="114" t="str">
        <f t="shared" ca="1" si="17"/>
        <v xml:space="preserve">The Borrower has not addressed the following error messages for Home ID 341: </v>
      </c>
    </row>
    <row r="346" spans="1:23">
      <c r="A346" s="123">
        <v>342</v>
      </c>
      <c r="B346" s="104" t="str" cm="1">
        <f t="array" ref="B346">_xlfn.IFS(AND(A346&gt;NumberOfPlots,ISBLANK(INDEX(PlotData,MATCH($A346,PlotNumber,0),MATCH(B$3,PlotTitles,0)))),"",ISNUMBER(INDEX(PlotData,MATCH($A346,PlotNumber,0),MATCH(B$3,PlotTitles,0)))=FALSE, $AB$5,TRUE,"")</f>
        <v/>
      </c>
      <c r="C346" s="104" t="str" cm="1">
        <f t="array" ref="C346">_xlfn.IFS(AND(A346&gt;NumberOfPlots,ISBLANK(INDEX(PlotData,MATCH($A346,PlotNumber,0),MATCH(B$3,PlotTitles,0)))),"",ISBLANK(INDEX(PlotData,MATCH($A346,PlotNumber,0),MATCH(C$3,PlotTitles,0))),$AB$6,TRUE,"")</f>
        <v/>
      </c>
      <c r="D346" s="104" t="str" cm="1">
        <f t="array" ref="D346">_xlfn.IFS(AND(A346&gt;NumberOfPlots,ISBLANK(INDEX(PlotData,MATCH($A346,PlotNumber,0),MATCH(B$3,PlotTitles,0)))),"",ISBLANK(INDEX(PlotData,MATCH($A346,PlotNumber,0),MATCH(D$3,PlotTitles,0))),$AB$7,TRUE,"")</f>
        <v/>
      </c>
      <c r="E346" s="104" t="str" cm="1">
        <f t="array" ref="E346">_xlfn.IFS(AND(A346&gt;NumberOfPlots,ISBLANK(INDEX(PlotData,MATCH($A346,PlotNumber,0),MATCH(B$3,PlotTitles,0)))),"",ISBLANK(INDEX(PlotData,MATCH($A346,PlotNumber,0),MATCH(E$3,PlotTitles,0))),$AB$8,TRUE,"")</f>
        <v/>
      </c>
      <c r="F346" s="104" t="str" cm="1">
        <f t="array" ref="F346">_xlfn.IFS(AND(A346&gt;NumberOfPlots,ISBLANK(INDEX(PlotData,MATCH($A346,PlotNumber,0),MATCH(B$3,PlotTitles,0)))),"",ISBLANK(INDEX(PlotData,MATCH($A346,PlotNumber,0),MATCH(F$3,PlotTitles,0))),$AB$9,TRUE,"")</f>
        <v/>
      </c>
      <c r="G346" s="104" t="str" cm="1">
        <f t="array" ref="G346">_xlfn.IFS(AND(A346&gt;NumberOfPlots,ISBLANK(INDEX(PlotData,MATCH($A346,PlotNumber,0),MATCH(B$3,PlotTitles,0)))),"",ISBLANK(INDEX(PlotData,MATCH($A346,PlotNumber,0),MATCH(G$3,PlotTitles,0))),$AB$10,TRUE,"")</f>
        <v/>
      </c>
      <c r="H346" s="104" t="str" cm="1">
        <f t="array" ref="H346">_xlfn.IFS(AND(A346&gt;NumberOfPlots,ISBLANK(INDEX(PlotData,MATCH($A346,PlotNumber,0),MATCH(B$3,PlotTitles,0)))),"",AND(ISBLANK(INDEX(PlotData,MATCH($A346,PlotNumber,0),MATCH(H$3,PlotTitles,0)))=FALSE,INDEX(PlotData,MATCH($A346,PlotNumber,0),MATCH(H$3,PlotTitles,0))&lt;500), $AB$11,TRUE,"")</f>
        <v/>
      </c>
      <c r="I346" s="104" t="str" cm="1">
        <f t="array" ref="I346">_xlfn.IFS(AND(A346&gt;NumberOfPlots,ISBLANK(INDEX(PlotData,MATCH($A346,PlotNumber,0),MATCH(B$3,PlotTitles,0)))),"",ISBLANK(INDEX(PlotData,MATCH($A346,PlotNumber,0),MATCH(I$3,PlotTitles,0))),$AB$12,TRUE,"")</f>
        <v/>
      </c>
      <c r="J346" s="104" t="str" cm="1">
        <f t="array" ref="J346">_xlfn.IFS(AND(A346&gt;NumberOfPlots,ISBLANK(INDEX(PlotData,MATCH($A346,PlotNumber,0),MATCH(B$3,PlotTitles,0)))),"",ISBLANK(INDEX(PlotData,MATCH($A346,PlotNumber,0),MATCH(J$3,PlotTitles,0))),$AB$13,TRUE,"")</f>
        <v/>
      </c>
      <c r="K346" s="182" t="str">
        <f t="shared" ca="1" si="15"/>
        <v/>
      </c>
      <c r="L346" s="104" t="str" cm="1">
        <f t="array" ref="L346">_xlfn.IFS(OR(ISBLANK(StartDateMonth),ISBLANK(StartDateYear)),"",AND(A346&gt;NumberOfPlots,ISBLANK(INDEX(PlotData,MATCH($A346,PlotNumber,0),MATCH(B$3,PlotTitles,0)))),"",ISBLANK(INDEX(PlotData,MATCH($A346,PlotNumber,0),MATCH(I$3,PlotTitles,0))),"",(DATEVALUE(INDEX(PlotData,MATCH($A346,PlotNumber,0),MATCH(I$3,PlotTitles,0))&amp;INDEX(PlotData,MATCH($A346,PlotNumber,0),MATCH(J$3,PlotTitles,0))))&lt;DATEVALUE(StartDateMonth&amp;StartDateYear),$AB$15,TRUE,"")</f>
        <v/>
      </c>
      <c r="M346" s="104" t="str" cm="1">
        <f t="array" ref="M346">_xlfn.IFS(OR(ISBLANK(StartDateMonth),ISBLANK(StartDateYear)),"",AND(A346&gt;NumberOfPlots,ISBLANK(INDEX(PlotData,MATCH($A346,PlotNumber,0),MATCH(B$3,PlotTitles,0)))),"",ISBLANK(INDEX(PlotData,MATCH($A346,PlotNumber,0),MATCH(I$3,PlotTitles,0))),"",CompletionMonth="","",(DATEVALUE(INDEX(PlotData,MATCH($A346,PlotNumber,0),MATCH(I$3,PlotTitles,0))&amp;INDEX(PlotData,MATCH($A346,PlotNumber,0),MATCH(J$3,PlotTitles,0))))&gt;(DATEVALUE(CompletionMonth&amp;CompletionYear)),$AB$16,TRUE,"")</f>
        <v/>
      </c>
      <c r="N346" s="104" t="str" cm="1">
        <f t="array" ref="N346">_xlfn.IFS(AND(A346&gt;NumberOfPlots,ISBLANK(INDEX(PlotData,MATCH($A346,PlotNumber,0),MATCH(B$3,PlotTitles,0)))),"",ISBLANK(INDEX(PlotData,MATCH($A346,PlotNumber,0),MATCH(N$3,PlotTitles,0))),$AB$17,TRUE,"")</f>
        <v/>
      </c>
      <c r="O346" s="104" t="str" cm="1">
        <f t="array" ref="O346">_xlfn.IFS(AND(A346&gt;NumberOfPlots,ISBLANK(INDEX(PlotData,MATCH($A346,PlotNumber,0),MATCH(B$3,PlotTitles,0)))),"",ISBLANK(INDEX(PlotData,MATCH($A346,PlotNumber,0),MATCH(O$3,PlotTitles,0))),$AB$18,TRUE,"")</f>
        <v/>
      </c>
      <c r="P346" s="182" t="str">
        <f t="shared" ca="1" si="16"/>
        <v/>
      </c>
      <c r="Q346" s="104" t="str" cm="1">
        <f t="array" ref="Q346">_xlfn.IFS(AND(A346&gt;NumberOfPlots,ISBLANK(INDEX(PlotData,MATCH($A346,PlotNumber,0),MATCH(B$3,PlotTitles,0)))),"",ISBLANK(INDEX(PlotData,MATCH($A346,PlotNumber,0),MATCH(N$3,PlotTitles,0))),"",(DATEVALUE(INDEX(PlotData,MATCH($A346,PlotNumber,0),MATCH(N$3,PlotTitles,0))&amp;INDEX(PlotData,MATCH($A346,PlotNumber,0),MATCH(O$3,PlotTitles,0))))&lt;(DATEVALUE(INDEX(PlotData,MATCH($A346,PlotNumber,0),MATCH(I$3,PlotTitles,0))&amp;INDEX(PlotData,MATCH($A346,PlotNumber,0),MATCH(J$3,PlotTitles,0)))),$AB$20,TRUE,"")</f>
        <v/>
      </c>
      <c r="R346" s="104" t="str" cm="1">
        <f t="array" ref="R346">_xlfn.IFS(OR(ISBLANK(StartDateMonth),ISBLANK(StartDateYear)),"",AND(A346&gt;NumberOfPlots,ISBLANK(INDEX(PlotData,MATCH($A346,PlotNumber,0),MATCH(B$3,PlotTitles,0)))),"",ISBLANK(INDEX(PlotData,MATCH($A346,PlotNumber,0),MATCH(N$3,PlotTitles,0))),"",CompletionMonth="","",(DATEVALUE(INDEX(PlotData,MATCH($A346,PlotNumber,0),MATCH(N$3,PlotTitles,0))&amp;INDEX(PlotData,MATCH($A346,PlotNumber,0),MATCH(O$3,PlotTitles,0))))&gt;(DATEVALUE(CompletionMonth&amp;CompletionYear)),$AB$21,TRUE,"")</f>
        <v/>
      </c>
      <c r="S346" s="104" t="str" cm="1">
        <f t="array" ref="S346">_xlfn.IFS(AND(A346&gt;NumberOfPlots,ISBLANK(INDEX(PlotData,MATCH($A346,PlotNumber,0),MATCH(B$3,PlotTitles,0)))),"",OR(AND(INDEX(PlotData,MATCH($A346,PlotNumber,0),MATCH("Tenure",PlotTitles,0))="Open market housing",INDEX(PlotData,MATCH($A346,PlotNumber,0),MATCH("Tenure detail",PlotTitles,0))="Private rented sector"),INDEX(PlotData,MATCH($A346,PlotNumber,0),MATCH("Tenure",PlotTitles,0))="Affordable rent"),"",ISNUMBER(INDEX(PlotData,MATCH($A346,PlotNumber,0),MATCH(S$3,PlotTitles,0)))=FALSE, $AB$22,TRUE,"")</f>
        <v/>
      </c>
      <c r="T346" s="104" t="str" cm="1">
        <f t="array" ref="T346">_xlfn.IFS(AND(A346&gt;NumberOfPlots,ISBLANK(INDEX(PlotData,MATCH($A346,PlotNumber,0),MATCH(B$3,PlotTitles,0)))),"",OR(AND(INDEX(PlotData,MATCH($A346,PlotNumber,0),MATCH("Tenure",PlotTitles,0))="Open market housing",INDEX(PlotData,MATCH($A346,PlotNumber,0),MATCH("Tenure detail",PlotTitles,0))="Private rented sector"),INDEX(PlotData,MATCH($A346,PlotNumber,0),MATCH("Tenure",PlotTitles,0))="Affordable rent"),"",INDEX(PlotData,MATCH($A346,PlotNumber,0),MATCH(S$3,PlotTitles,0))&lt;10000, $AB$23,TRUE,"")</f>
        <v/>
      </c>
      <c r="U346" s="104" t="str" cm="1">
        <f t="array" ref="U346">_xlfn.IFS(AND(A346&gt;NumberOfPlots,ISBLANK(INDEX(PlotData,MATCH($A346,PlotNumber,0),MATCH(B$3,PlotTitles,0)))),"",NOT(OR(AND(INDEX(PlotData,MATCH($A346,PlotNumber,0),MATCH("Tenure",PlotTitles,0))="Open market housing",INDEX(PlotData,MATCH($A346,PlotNumber,0),MATCH("Tenure detail",PlotTitles,0))="Private rented sector"),INDEX(PlotData,MATCH($A346,PlotNumber,0),MATCH("Tenure",PlotTitles,0))="Affordable rent")),"",NOT(INDEX(PlotData,MATCH($A346,PlotNumber,0),MATCH(S$3,PlotTitles,0))=0), $AB$24,TRUE,"")</f>
        <v/>
      </c>
      <c r="V346" s="114" t="str" cm="1">
        <f t="array" aca="1" ref="V346" ca="1">_xlfn.IFS(ISBLANK(NumberOfPlots),"Enter the number of homes on the 1_SetUp sheet",AND(A346&gt;NumberOfPlots,ISBLANK(INDEX(PlotData,MATCH($A346,PlotNumber,0),MATCH(B$3,PlotTitles,0)))),"No error",NOT(B346=""),B346,NOT(C346=""),C346,NOT(D346=""),D346,NOT(E346=""),E346,NOT(F346=""),F346,NOT(G346=""),G346,NOT(H346=""),H346,NOT(I346=""),I346,NOT(J346=""),J346,NOT(K346=""),K346,NOT(L346=""),L346,NOT(M346=""),M346,NOT(N346=""),N346,NOT(O346=""),O346,NOT(P346=""),P346,NOT(Q346=""),Q346,NOT(R346=""),R346,NOT(S346=""),S346,NOT(T346=""),T346,NOT(U346=""),U346,TRUE,"No error")</f>
        <v>Enter the number of homes on the 1_SetUp sheet</v>
      </c>
      <c r="W346" s="114" t="str">
        <f t="shared" ca="1" si="17"/>
        <v xml:space="preserve">The Borrower has not addressed the following error messages for Home ID 342: </v>
      </c>
    </row>
    <row r="347" spans="1:23">
      <c r="A347" s="123">
        <v>343</v>
      </c>
      <c r="B347" s="104" t="str" cm="1">
        <f t="array" ref="B347">_xlfn.IFS(AND(A347&gt;NumberOfPlots,ISBLANK(INDEX(PlotData,MATCH($A347,PlotNumber,0),MATCH(B$3,PlotTitles,0)))),"",ISNUMBER(INDEX(PlotData,MATCH($A347,PlotNumber,0),MATCH(B$3,PlotTitles,0)))=FALSE, $AB$5,TRUE,"")</f>
        <v/>
      </c>
      <c r="C347" s="104" t="str" cm="1">
        <f t="array" ref="C347">_xlfn.IFS(AND(A347&gt;NumberOfPlots,ISBLANK(INDEX(PlotData,MATCH($A347,PlotNumber,0),MATCH(B$3,PlotTitles,0)))),"",ISBLANK(INDEX(PlotData,MATCH($A347,PlotNumber,0),MATCH(C$3,PlotTitles,0))),$AB$6,TRUE,"")</f>
        <v/>
      </c>
      <c r="D347" s="104" t="str" cm="1">
        <f t="array" ref="D347">_xlfn.IFS(AND(A347&gt;NumberOfPlots,ISBLANK(INDEX(PlotData,MATCH($A347,PlotNumber,0),MATCH(B$3,PlotTitles,0)))),"",ISBLANK(INDEX(PlotData,MATCH($A347,PlotNumber,0),MATCH(D$3,PlotTitles,0))),$AB$7,TRUE,"")</f>
        <v/>
      </c>
      <c r="E347" s="104" t="str" cm="1">
        <f t="array" ref="E347">_xlfn.IFS(AND(A347&gt;NumberOfPlots,ISBLANK(INDEX(PlotData,MATCH($A347,PlotNumber,0),MATCH(B$3,PlotTitles,0)))),"",ISBLANK(INDEX(PlotData,MATCH($A347,PlotNumber,0),MATCH(E$3,PlotTitles,0))),$AB$8,TRUE,"")</f>
        <v/>
      </c>
      <c r="F347" s="104" t="str" cm="1">
        <f t="array" ref="F347">_xlfn.IFS(AND(A347&gt;NumberOfPlots,ISBLANK(INDEX(PlotData,MATCH($A347,PlotNumber,0),MATCH(B$3,PlotTitles,0)))),"",ISBLANK(INDEX(PlotData,MATCH($A347,PlotNumber,0),MATCH(F$3,PlotTitles,0))),$AB$9,TRUE,"")</f>
        <v/>
      </c>
      <c r="G347" s="104" t="str" cm="1">
        <f t="array" ref="G347">_xlfn.IFS(AND(A347&gt;NumberOfPlots,ISBLANK(INDEX(PlotData,MATCH($A347,PlotNumber,0),MATCH(B$3,PlotTitles,0)))),"",ISBLANK(INDEX(PlotData,MATCH($A347,PlotNumber,0),MATCH(G$3,PlotTitles,0))),$AB$10,TRUE,"")</f>
        <v/>
      </c>
      <c r="H347" s="104" t="str" cm="1">
        <f t="array" ref="H347">_xlfn.IFS(AND(A347&gt;NumberOfPlots,ISBLANK(INDEX(PlotData,MATCH($A347,PlotNumber,0),MATCH(B$3,PlotTitles,0)))),"",AND(ISBLANK(INDEX(PlotData,MATCH($A347,PlotNumber,0),MATCH(H$3,PlotTitles,0)))=FALSE,INDEX(PlotData,MATCH($A347,PlotNumber,0),MATCH(H$3,PlotTitles,0))&lt;500), $AB$11,TRUE,"")</f>
        <v/>
      </c>
      <c r="I347" s="104" t="str" cm="1">
        <f t="array" ref="I347">_xlfn.IFS(AND(A347&gt;NumberOfPlots,ISBLANK(INDEX(PlotData,MATCH($A347,PlotNumber,0),MATCH(B$3,PlotTitles,0)))),"",ISBLANK(INDEX(PlotData,MATCH($A347,PlotNumber,0),MATCH(I$3,PlotTitles,0))),$AB$12,TRUE,"")</f>
        <v/>
      </c>
      <c r="J347" s="104" t="str" cm="1">
        <f t="array" ref="J347">_xlfn.IFS(AND(A347&gt;NumberOfPlots,ISBLANK(INDEX(PlotData,MATCH($A347,PlotNumber,0),MATCH(B$3,PlotTitles,0)))),"",ISBLANK(INDEX(PlotData,MATCH($A347,PlotNumber,0),MATCH(J$3,PlotTitles,0))),$AB$13,TRUE,"")</f>
        <v/>
      </c>
      <c r="K347" s="182" t="str">
        <f t="shared" ca="1" si="15"/>
        <v/>
      </c>
      <c r="L347" s="104" t="str" cm="1">
        <f t="array" ref="L347">_xlfn.IFS(OR(ISBLANK(StartDateMonth),ISBLANK(StartDateYear)),"",AND(A347&gt;NumberOfPlots,ISBLANK(INDEX(PlotData,MATCH($A347,PlotNumber,0),MATCH(B$3,PlotTitles,0)))),"",ISBLANK(INDEX(PlotData,MATCH($A347,PlotNumber,0),MATCH(I$3,PlotTitles,0))),"",(DATEVALUE(INDEX(PlotData,MATCH($A347,PlotNumber,0),MATCH(I$3,PlotTitles,0))&amp;INDEX(PlotData,MATCH($A347,PlotNumber,0),MATCH(J$3,PlotTitles,0))))&lt;DATEVALUE(StartDateMonth&amp;StartDateYear),$AB$15,TRUE,"")</f>
        <v/>
      </c>
      <c r="M347" s="104" t="str" cm="1">
        <f t="array" ref="M347">_xlfn.IFS(OR(ISBLANK(StartDateMonth),ISBLANK(StartDateYear)),"",AND(A347&gt;NumberOfPlots,ISBLANK(INDEX(PlotData,MATCH($A347,PlotNumber,0),MATCH(B$3,PlotTitles,0)))),"",ISBLANK(INDEX(PlotData,MATCH($A347,PlotNumber,0),MATCH(I$3,PlotTitles,0))),"",CompletionMonth="","",(DATEVALUE(INDEX(PlotData,MATCH($A347,PlotNumber,0),MATCH(I$3,PlotTitles,0))&amp;INDEX(PlotData,MATCH($A347,PlotNumber,0),MATCH(J$3,PlotTitles,0))))&gt;(DATEVALUE(CompletionMonth&amp;CompletionYear)),$AB$16,TRUE,"")</f>
        <v/>
      </c>
      <c r="N347" s="104" t="str" cm="1">
        <f t="array" ref="N347">_xlfn.IFS(AND(A347&gt;NumberOfPlots,ISBLANK(INDEX(PlotData,MATCH($A347,PlotNumber,0),MATCH(B$3,PlotTitles,0)))),"",ISBLANK(INDEX(PlotData,MATCH($A347,PlotNumber,0),MATCH(N$3,PlotTitles,0))),$AB$17,TRUE,"")</f>
        <v/>
      </c>
      <c r="O347" s="104" t="str" cm="1">
        <f t="array" ref="O347">_xlfn.IFS(AND(A347&gt;NumberOfPlots,ISBLANK(INDEX(PlotData,MATCH($A347,PlotNumber,0),MATCH(B$3,PlotTitles,0)))),"",ISBLANK(INDEX(PlotData,MATCH($A347,PlotNumber,0),MATCH(O$3,PlotTitles,0))),$AB$18,TRUE,"")</f>
        <v/>
      </c>
      <c r="P347" s="182" t="str">
        <f t="shared" ca="1" si="16"/>
        <v/>
      </c>
      <c r="Q347" s="104" t="str" cm="1">
        <f t="array" ref="Q347">_xlfn.IFS(AND(A347&gt;NumberOfPlots,ISBLANK(INDEX(PlotData,MATCH($A347,PlotNumber,0),MATCH(B$3,PlotTitles,0)))),"",ISBLANK(INDEX(PlotData,MATCH($A347,PlotNumber,0),MATCH(N$3,PlotTitles,0))),"",(DATEVALUE(INDEX(PlotData,MATCH($A347,PlotNumber,0),MATCH(N$3,PlotTitles,0))&amp;INDEX(PlotData,MATCH($A347,PlotNumber,0),MATCH(O$3,PlotTitles,0))))&lt;(DATEVALUE(INDEX(PlotData,MATCH($A347,PlotNumber,0),MATCH(I$3,PlotTitles,0))&amp;INDEX(PlotData,MATCH($A347,PlotNumber,0),MATCH(J$3,PlotTitles,0)))),$AB$20,TRUE,"")</f>
        <v/>
      </c>
      <c r="R347" s="104" t="str" cm="1">
        <f t="array" ref="R347">_xlfn.IFS(OR(ISBLANK(StartDateMonth),ISBLANK(StartDateYear)),"",AND(A347&gt;NumberOfPlots,ISBLANK(INDEX(PlotData,MATCH($A347,PlotNumber,0),MATCH(B$3,PlotTitles,0)))),"",ISBLANK(INDEX(PlotData,MATCH($A347,PlotNumber,0),MATCH(N$3,PlotTitles,0))),"",CompletionMonth="","",(DATEVALUE(INDEX(PlotData,MATCH($A347,PlotNumber,0),MATCH(N$3,PlotTitles,0))&amp;INDEX(PlotData,MATCH($A347,PlotNumber,0),MATCH(O$3,PlotTitles,0))))&gt;(DATEVALUE(CompletionMonth&amp;CompletionYear)),$AB$21,TRUE,"")</f>
        <v/>
      </c>
      <c r="S347" s="104" t="str" cm="1">
        <f t="array" ref="S347">_xlfn.IFS(AND(A347&gt;NumberOfPlots,ISBLANK(INDEX(PlotData,MATCH($A347,PlotNumber,0),MATCH(B$3,PlotTitles,0)))),"",OR(AND(INDEX(PlotData,MATCH($A347,PlotNumber,0),MATCH("Tenure",PlotTitles,0))="Open market housing",INDEX(PlotData,MATCH($A347,PlotNumber,0),MATCH("Tenure detail",PlotTitles,0))="Private rented sector"),INDEX(PlotData,MATCH($A347,PlotNumber,0),MATCH("Tenure",PlotTitles,0))="Affordable rent"),"",ISNUMBER(INDEX(PlotData,MATCH($A347,PlotNumber,0),MATCH(S$3,PlotTitles,0)))=FALSE, $AB$22,TRUE,"")</f>
        <v/>
      </c>
      <c r="T347" s="104" t="str" cm="1">
        <f t="array" ref="T347">_xlfn.IFS(AND(A347&gt;NumberOfPlots,ISBLANK(INDEX(PlotData,MATCH($A347,PlotNumber,0),MATCH(B$3,PlotTitles,0)))),"",OR(AND(INDEX(PlotData,MATCH($A347,PlotNumber,0),MATCH("Tenure",PlotTitles,0))="Open market housing",INDEX(PlotData,MATCH($A347,PlotNumber,0),MATCH("Tenure detail",PlotTitles,0))="Private rented sector"),INDEX(PlotData,MATCH($A347,PlotNumber,0),MATCH("Tenure",PlotTitles,0))="Affordable rent"),"",INDEX(PlotData,MATCH($A347,PlotNumber,0),MATCH(S$3,PlotTitles,0))&lt;10000, $AB$23,TRUE,"")</f>
        <v/>
      </c>
      <c r="U347" s="104" t="str" cm="1">
        <f t="array" ref="U347">_xlfn.IFS(AND(A347&gt;NumberOfPlots,ISBLANK(INDEX(PlotData,MATCH($A347,PlotNumber,0),MATCH(B$3,PlotTitles,0)))),"",NOT(OR(AND(INDEX(PlotData,MATCH($A347,PlotNumber,0),MATCH("Tenure",PlotTitles,0))="Open market housing",INDEX(PlotData,MATCH($A347,PlotNumber,0),MATCH("Tenure detail",PlotTitles,0))="Private rented sector"),INDEX(PlotData,MATCH($A347,PlotNumber,0),MATCH("Tenure",PlotTitles,0))="Affordable rent")),"",NOT(INDEX(PlotData,MATCH($A347,PlotNumber,0),MATCH(S$3,PlotTitles,0))=0), $AB$24,TRUE,"")</f>
        <v/>
      </c>
      <c r="V347" s="114" t="str" cm="1">
        <f t="array" aca="1" ref="V347" ca="1">_xlfn.IFS(ISBLANK(NumberOfPlots),"Enter the number of homes on the 1_SetUp sheet",AND(A347&gt;NumberOfPlots,ISBLANK(INDEX(PlotData,MATCH($A347,PlotNumber,0),MATCH(B$3,PlotTitles,0)))),"No error",NOT(B347=""),B347,NOT(C347=""),C347,NOT(D347=""),D347,NOT(E347=""),E347,NOT(F347=""),F347,NOT(G347=""),G347,NOT(H347=""),H347,NOT(I347=""),I347,NOT(J347=""),J347,NOT(K347=""),K347,NOT(L347=""),L347,NOT(M347=""),M347,NOT(N347=""),N347,NOT(O347=""),O347,NOT(P347=""),P347,NOT(Q347=""),Q347,NOT(R347=""),R347,NOT(S347=""),S347,NOT(T347=""),T347,NOT(U347=""),U347,TRUE,"No error")</f>
        <v>Enter the number of homes on the 1_SetUp sheet</v>
      </c>
      <c r="W347" s="114" t="str">
        <f t="shared" ca="1" si="17"/>
        <v xml:space="preserve">The Borrower has not addressed the following error messages for Home ID 343: </v>
      </c>
    </row>
    <row r="348" spans="1:23">
      <c r="A348" s="123">
        <v>344</v>
      </c>
      <c r="B348" s="104" t="str" cm="1">
        <f t="array" ref="B348">_xlfn.IFS(AND(A348&gt;NumberOfPlots,ISBLANK(INDEX(PlotData,MATCH($A348,PlotNumber,0),MATCH(B$3,PlotTitles,0)))),"",ISNUMBER(INDEX(PlotData,MATCH($A348,PlotNumber,0),MATCH(B$3,PlotTitles,0)))=FALSE, $AB$5,TRUE,"")</f>
        <v/>
      </c>
      <c r="C348" s="104" t="str" cm="1">
        <f t="array" ref="C348">_xlfn.IFS(AND(A348&gt;NumberOfPlots,ISBLANK(INDEX(PlotData,MATCH($A348,PlotNumber,0),MATCH(B$3,PlotTitles,0)))),"",ISBLANK(INDEX(PlotData,MATCH($A348,PlotNumber,0),MATCH(C$3,PlotTitles,0))),$AB$6,TRUE,"")</f>
        <v/>
      </c>
      <c r="D348" s="104" t="str" cm="1">
        <f t="array" ref="D348">_xlfn.IFS(AND(A348&gt;NumberOfPlots,ISBLANK(INDEX(PlotData,MATCH($A348,PlotNumber,0),MATCH(B$3,PlotTitles,0)))),"",ISBLANK(INDEX(PlotData,MATCH($A348,PlotNumber,0),MATCH(D$3,PlotTitles,0))),$AB$7,TRUE,"")</f>
        <v/>
      </c>
      <c r="E348" s="104" t="str" cm="1">
        <f t="array" ref="E348">_xlfn.IFS(AND(A348&gt;NumberOfPlots,ISBLANK(INDEX(PlotData,MATCH($A348,PlotNumber,0),MATCH(B$3,PlotTitles,0)))),"",ISBLANK(INDEX(PlotData,MATCH($A348,PlotNumber,0),MATCH(E$3,PlotTitles,0))),$AB$8,TRUE,"")</f>
        <v/>
      </c>
      <c r="F348" s="104" t="str" cm="1">
        <f t="array" ref="F348">_xlfn.IFS(AND(A348&gt;NumberOfPlots,ISBLANK(INDEX(PlotData,MATCH($A348,PlotNumber,0),MATCH(B$3,PlotTitles,0)))),"",ISBLANK(INDEX(PlotData,MATCH($A348,PlotNumber,0),MATCH(F$3,PlotTitles,0))),$AB$9,TRUE,"")</f>
        <v/>
      </c>
      <c r="G348" s="104" t="str" cm="1">
        <f t="array" ref="G348">_xlfn.IFS(AND(A348&gt;NumberOfPlots,ISBLANK(INDEX(PlotData,MATCH($A348,PlotNumber,0),MATCH(B$3,PlotTitles,0)))),"",ISBLANK(INDEX(PlotData,MATCH($A348,PlotNumber,0),MATCH(G$3,PlotTitles,0))),$AB$10,TRUE,"")</f>
        <v/>
      </c>
      <c r="H348" s="104" t="str" cm="1">
        <f t="array" ref="H348">_xlfn.IFS(AND(A348&gt;NumberOfPlots,ISBLANK(INDEX(PlotData,MATCH($A348,PlotNumber,0),MATCH(B$3,PlotTitles,0)))),"",AND(ISBLANK(INDEX(PlotData,MATCH($A348,PlotNumber,0),MATCH(H$3,PlotTitles,0)))=FALSE,INDEX(PlotData,MATCH($A348,PlotNumber,0),MATCH(H$3,PlotTitles,0))&lt;500), $AB$11,TRUE,"")</f>
        <v/>
      </c>
      <c r="I348" s="104" t="str" cm="1">
        <f t="array" ref="I348">_xlfn.IFS(AND(A348&gt;NumberOfPlots,ISBLANK(INDEX(PlotData,MATCH($A348,PlotNumber,0),MATCH(B$3,PlotTitles,0)))),"",ISBLANK(INDEX(PlotData,MATCH($A348,PlotNumber,0),MATCH(I$3,PlotTitles,0))),$AB$12,TRUE,"")</f>
        <v/>
      </c>
      <c r="J348" s="104" t="str" cm="1">
        <f t="array" ref="J348">_xlfn.IFS(AND(A348&gt;NumberOfPlots,ISBLANK(INDEX(PlotData,MATCH($A348,PlotNumber,0),MATCH(B$3,PlotTitles,0)))),"",ISBLANK(INDEX(PlotData,MATCH($A348,PlotNumber,0),MATCH(J$3,PlotTitles,0))),$AB$13,TRUE,"")</f>
        <v/>
      </c>
      <c r="K348" s="182" t="str">
        <f t="shared" ca="1" si="15"/>
        <v/>
      </c>
      <c r="L348" s="104" t="str" cm="1">
        <f t="array" ref="L348">_xlfn.IFS(OR(ISBLANK(StartDateMonth),ISBLANK(StartDateYear)),"",AND(A348&gt;NumberOfPlots,ISBLANK(INDEX(PlotData,MATCH($A348,PlotNumber,0),MATCH(B$3,PlotTitles,0)))),"",ISBLANK(INDEX(PlotData,MATCH($A348,PlotNumber,0),MATCH(I$3,PlotTitles,0))),"",(DATEVALUE(INDEX(PlotData,MATCH($A348,PlotNumber,0),MATCH(I$3,PlotTitles,0))&amp;INDEX(PlotData,MATCH($A348,PlotNumber,0),MATCH(J$3,PlotTitles,0))))&lt;DATEVALUE(StartDateMonth&amp;StartDateYear),$AB$15,TRUE,"")</f>
        <v/>
      </c>
      <c r="M348" s="104" t="str" cm="1">
        <f t="array" ref="M348">_xlfn.IFS(OR(ISBLANK(StartDateMonth),ISBLANK(StartDateYear)),"",AND(A348&gt;NumberOfPlots,ISBLANK(INDEX(PlotData,MATCH($A348,PlotNumber,0),MATCH(B$3,PlotTitles,0)))),"",ISBLANK(INDEX(PlotData,MATCH($A348,PlotNumber,0),MATCH(I$3,PlotTitles,0))),"",CompletionMonth="","",(DATEVALUE(INDEX(PlotData,MATCH($A348,PlotNumber,0),MATCH(I$3,PlotTitles,0))&amp;INDEX(PlotData,MATCH($A348,PlotNumber,0),MATCH(J$3,PlotTitles,0))))&gt;(DATEVALUE(CompletionMonth&amp;CompletionYear)),$AB$16,TRUE,"")</f>
        <v/>
      </c>
      <c r="N348" s="104" t="str" cm="1">
        <f t="array" ref="N348">_xlfn.IFS(AND(A348&gt;NumberOfPlots,ISBLANK(INDEX(PlotData,MATCH($A348,PlotNumber,0),MATCH(B$3,PlotTitles,0)))),"",ISBLANK(INDEX(PlotData,MATCH($A348,PlotNumber,0),MATCH(N$3,PlotTitles,0))),$AB$17,TRUE,"")</f>
        <v/>
      </c>
      <c r="O348" s="104" t="str" cm="1">
        <f t="array" ref="O348">_xlfn.IFS(AND(A348&gt;NumberOfPlots,ISBLANK(INDEX(PlotData,MATCH($A348,PlotNumber,0),MATCH(B$3,PlotTitles,0)))),"",ISBLANK(INDEX(PlotData,MATCH($A348,PlotNumber,0),MATCH(O$3,PlotTitles,0))),$AB$18,TRUE,"")</f>
        <v/>
      </c>
      <c r="P348" s="182" t="str">
        <f t="shared" ca="1" si="16"/>
        <v/>
      </c>
      <c r="Q348" s="104" t="str" cm="1">
        <f t="array" ref="Q348">_xlfn.IFS(AND(A348&gt;NumberOfPlots,ISBLANK(INDEX(PlotData,MATCH($A348,PlotNumber,0),MATCH(B$3,PlotTitles,0)))),"",ISBLANK(INDEX(PlotData,MATCH($A348,PlotNumber,0),MATCH(N$3,PlotTitles,0))),"",(DATEVALUE(INDEX(PlotData,MATCH($A348,PlotNumber,0),MATCH(N$3,PlotTitles,0))&amp;INDEX(PlotData,MATCH($A348,PlotNumber,0),MATCH(O$3,PlotTitles,0))))&lt;(DATEVALUE(INDEX(PlotData,MATCH($A348,PlotNumber,0),MATCH(I$3,PlotTitles,0))&amp;INDEX(PlotData,MATCH($A348,PlotNumber,0),MATCH(J$3,PlotTitles,0)))),$AB$20,TRUE,"")</f>
        <v/>
      </c>
      <c r="R348" s="104" t="str" cm="1">
        <f t="array" ref="R348">_xlfn.IFS(OR(ISBLANK(StartDateMonth),ISBLANK(StartDateYear)),"",AND(A348&gt;NumberOfPlots,ISBLANK(INDEX(PlotData,MATCH($A348,PlotNumber,0),MATCH(B$3,PlotTitles,0)))),"",ISBLANK(INDEX(PlotData,MATCH($A348,PlotNumber,0),MATCH(N$3,PlotTitles,0))),"",CompletionMonth="","",(DATEVALUE(INDEX(PlotData,MATCH($A348,PlotNumber,0),MATCH(N$3,PlotTitles,0))&amp;INDEX(PlotData,MATCH($A348,PlotNumber,0),MATCH(O$3,PlotTitles,0))))&gt;(DATEVALUE(CompletionMonth&amp;CompletionYear)),$AB$21,TRUE,"")</f>
        <v/>
      </c>
      <c r="S348" s="104" t="str" cm="1">
        <f t="array" ref="S348">_xlfn.IFS(AND(A348&gt;NumberOfPlots,ISBLANK(INDEX(PlotData,MATCH($A348,PlotNumber,0),MATCH(B$3,PlotTitles,0)))),"",OR(AND(INDEX(PlotData,MATCH($A348,PlotNumber,0),MATCH("Tenure",PlotTitles,0))="Open market housing",INDEX(PlotData,MATCH($A348,PlotNumber,0),MATCH("Tenure detail",PlotTitles,0))="Private rented sector"),INDEX(PlotData,MATCH($A348,PlotNumber,0),MATCH("Tenure",PlotTitles,0))="Affordable rent"),"",ISNUMBER(INDEX(PlotData,MATCH($A348,PlotNumber,0),MATCH(S$3,PlotTitles,0)))=FALSE, $AB$22,TRUE,"")</f>
        <v/>
      </c>
      <c r="T348" s="104" t="str" cm="1">
        <f t="array" ref="T348">_xlfn.IFS(AND(A348&gt;NumberOfPlots,ISBLANK(INDEX(PlotData,MATCH($A348,PlotNumber,0),MATCH(B$3,PlotTitles,0)))),"",OR(AND(INDEX(PlotData,MATCH($A348,PlotNumber,0),MATCH("Tenure",PlotTitles,0))="Open market housing",INDEX(PlotData,MATCH($A348,PlotNumber,0),MATCH("Tenure detail",PlotTitles,0))="Private rented sector"),INDEX(PlotData,MATCH($A348,PlotNumber,0),MATCH("Tenure",PlotTitles,0))="Affordable rent"),"",INDEX(PlotData,MATCH($A348,PlotNumber,0),MATCH(S$3,PlotTitles,0))&lt;10000, $AB$23,TRUE,"")</f>
        <v/>
      </c>
      <c r="U348" s="104" t="str" cm="1">
        <f t="array" ref="U348">_xlfn.IFS(AND(A348&gt;NumberOfPlots,ISBLANK(INDEX(PlotData,MATCH($A348,PlotNumber,0),MATCH(B$3,PlotTitles,0)))),"",NOT(OR(AND(INDEX(PlotData,MATCH($A348,PlotNumber,0),MATCH("Tenure",PlotTitles,0))="Open market housing",INDEX(PlotData,MATCH($A348,PlotNumber,0),MATCH("Tenure detail",PlotTitles,0))="Private rented sector"),INDEX(PlotData,MATCH($A348,PlotNumber,0),MATCH("Tenure",PlotTitles,0))="Affordable rent")),"",NOT(INDEX(PlotData,MATCH($A348,PlotNumber,0),MATCH(S$3,PlotTitles,0))=0), $AB$24,TRUE,"")</f>
        <v/>
      </c>
      <c r="V348" s="114" t="str" cm="1">
        <f t="array" aca="1" ref="V348" ca="1">_xlfn.IFS(ISBLANK(NumberOfPlots),"Enter the number of homes on the 1_SetUp sheet",AND(A348&gt;NumberOfPlots,ISBLANK(INDEX(PlotData,MATCH($A348,PlotNumber,0),MATCH(B$3,PlotTitles,0)))),"No error",NOT(B348=""),B348,NOT(C348=""),C348,NOT(D348=""),D348,NOT(E348=""),E348,NOT(F348=""),F348,NOT(G348=""),G348,NOT(H348=""),H348,NOT(I348=""),I348,NOT(J348=""),J348,NOT(K348=""),K348,NOT(L348=""),L348,NOT(M348=""),M348,NOT(N348=""),N348,NOT(O348=""),O348,NOT(P348=""),P348,NOT(Q348=""),Q348,NOT(R348=""),R348,NOT(S348=""),S348,NOT(T348=""),T348,NOT(U348=""),U348,TRUE,"No error")</f>
        <v>Enter the number of homes on the 1_SetUp sheet</v>
      </c>
      <c r="W348" s="114" t="str">
        <f t="shared" ca="1" si="17"/>
        <v xml:space="preserve">The Borrower has not addressed the following error messages for Home ID 344: </v>
      </c>
    </row>
    <row r="349" spans="1:23">
      <c r="A349" s="123">
        <v>345</v>
      </c>
      <c r="B349" s="104" t="str" cm="1">
        <f t="array" ref="B349">_xlfn.IFS(AND(A349&gt;NumberOfPlots,ISBLANK(INDEX(PlotData,MATCH($A349,PlotNumber,0),MATCH(B$3,PlotTitles,0)))),"",ISNUMBER(INDEX(PlotData,MATCH($A349,PlotNumber,0),MATCH(B$3,PlotTitles,0)))=FALSE, $AB$5,TRUE,"")</f>
        <v/>
      </c>
      <c r="C349" s="104" t="str" cm="1">
        <f t="array" ref="C349">_xlfn.IFS(AND(A349&gt;NumberOfPlots,ISBLANK(INDEX(PlotData,MATCH($A349,PlotNumber,0),MATCH(B$3,PlotTitles,0)))),"",ISBLANK(INDEX(PlotData,MATCH($A349,PlotNumber,0),MATCH(C$3,PlotTitles,0))),$AB$6,TRUE,"")</f>
        <v/>
      </c>
      <c r="D349" s="104" t="str" cm="1">
        <f t="array" ref="D349">_xlfn.IFS(AND(A349&gt;NumberOfPlots,ISBLANK(INDEX(PlotData,MATCH($A349,PlotNumber,0),MATCH(B$3,PlotTitles,0)))),"",ISBLANK(INDEX(PlotData,MATCH($A349,PlotNumber,0),MATCH(D$3,PlotTitles,0))),$AB$7,TRUE,"")</f>
        <v/>
      </c>
      <c r="E349" s="104" t="str" cm="1">
        <f t="array" ref="E349">_xlfn.IFS(AND(A349&gt;NumberOfPlots,ISBLANK(INDEX(PlotData,MATCH($A349,PlotNumber,0),MATCH(B$3,PlotTitles,0)))),"",ISBLANK(INDEX(PlotData,MATCH($A349,PlotNumber,0),MATCH(E$3,PlotTitles,0))),$AB$8,TRUE,"")</f>
        <v/>
      </c>
      <c r="F349" s="104" t="str" cm="1">
        <f t="array" ref="F349">_xlfn.IFS(AND(A349&gt;NumberOfPlots,ISBLANK(INDEX(PlotData,MATCH($A349,PlotNumber,0),MATCH(B$3,PlotTitles,0)))),"",ISBLANK(INDEX(PlotData,MATCH($A349,PlotNumber,0),MATCH(F$3,PlotTitles,0))),$AB$9,TRUE,"")</f>
        <v/>
      </c>
      <c r="G349" s="104" t="str" cm="1">
        <f t="array" ref="G349">_xlfn.IFS(AND(A349&gt;NumberOfPlots,ISBLANK(INDEX(PlotData,MATCH($A349,PlotNumber,0),MATCH(B$3,PlotTitles,0)))),"",ISBLANK(INDEX(PlotData,MATCH($A349,PlotNumber,0),MATCH(G$3,PlotTitles,0))),$AB$10,TRUE,"")</f>
        <v/>
      </c>
      <c r="H349" s="104" t="str" cm="1">
        <f t="array" ref="H349">_xlfn.IFS(AND(A349&gt;NumberOfPlots,ISBLANK(INDEX(PlotData,MATCH($A349,PlotNumber,0),MATCH(B$3,PlotTitles,0)))),"",AND(ISBLANK(INDEX(PlotData,MATCH($A349,PlotNumber,0),MATCH(H$3,PlotTitles,0)))=FALSE,INDEX(PlotData,MATCH($A349,PlotNumber,0),MATCH(H$3,PlotTitles,0))&lt;500), $AB$11,TRUE,"")</f>
        <v/>
      </c>
      <c r="I349" s="104" t="str" cm="1">
        <f t="array" ref="I349">_xlfn.IFS(AND(A349&gt;NumberOfPlots,ISBLANK(INDEX(PlotData,MATCH($A349,PlotNumber,0),MATCH(B$3,PlotTitles,0)))),"",ISBLANK(INDEX(PlotData,MATCH($A349,PlotNumber,0),MATCH(I$3,PlotTitles,0))),$AB$12,TRUE,"")</f>
        <v/>
      </c>
      <c r="J349" s="104" t="str" cm="1">
        <f t="array" ref="J349">_xlfn.IFS(AND(A349&gt;NumberOfPlots,ISBLANK(INDEX(PlotData,MATCH($A349,PlotNumber,0),MATCH(B$3,PlotTitles,0)))),"",ISBLANK(INDEX(PlotData,MATCH($A349,PlotNumber,0),MATCH(J$3,PlotTitles,0))),$AB$13,TRUE,"")</f>
        <v/>
      </c>
      <c r="K349" s="182" t="str">
        <f t="shared" ca="1" si="15"/>
        <v/>
      </c>
      <c r="L349" s="104" t="str" cm="1">
        <f t="array" ref="L349">_xlfn.IFS(OR(ISBLANK(StartDateMonth),ISBLANK(StartDateYear)),"",AND(A349&gt;NumberOfPlots,ISBLANK(INDEX(PlotData,MATCH($A349,PlotNumber,0),MATCH(B$3,PlotTitles,0)))),"",ISBLANK(INDEX(PlotData,MATCH($A349,PlotNumber,0),MATCH(I$3,PlotTitles,0))),"",(DATEVALUE(INDEX(PlotData,MATCH($A349,PlotNumber,0),MATCH(I$3,PlotTitles,0))&amp;INDEX(PlotData,MATCH($A349,PlotNumber,0),MATCH(J$3,PlotTitles,0))))&lt;DATEVALUE(StartDateMonth&amp;StartDateYear),$AB$15,TRUE,"")</f>
        <v/>
      </c>
      <c r="M349" s="104" t="str" cm="1">
        <f t="array" ref="M349">_xlfn.IFS(OR(ISBLANK(StartDateMonth),ISBLANK(StartDateYear)),"",AND(A349&gt;NumberOfPlots,ISBLANK(INDEX(PlotData,MATCH($A349,PlotNumber,0),MATCH(B$3,PlotTitles,0)))),"",ISBLANK(INDEX(PlotData,MATCH($A349,PlotNumber,0),MATCH(I$3,PlotTitles,0))),"",CompletionMonth="","",(DATEVALUE(INDEX(PlotData,MATCH($A349,PlotNumber,0),MATCH(I$3,PlotTitles,0))&amp;INDEX(PlotData,MATCH($A349,PlotNumber,0),MATCH(J$3,PlotTitles,0))))&gt;(DATEVALUE(CompletionMonth&amp;CompletionYear)),$AB$16,TRUE,"")</f>
        <v/>
      </c>
      <c r="N349" s="104" t="str" cm="1">
        <f t="array" ref="N349">_xlfn.IFS(AND(A349&gt;NumberOfPlots,ISBLANK(INDEX(PlotData,MATCH($A349,PlotNumber,0),MATCH(B$3,PlotTitles,0)))),"",ISBLANK(INDEX(PlotData,MATCH($A349,PlotNumber,0),MATCH(N$3,PlotTitles,0))),$AB$17,TRUE,"")</f>
        <v/>
      </c>
      <c r="O349" s="104" t="str" cm="1">
        <f t="array" ref="O349">_xlfn.IFS(AND(A349&gt;NumberOfPlots,ISBLANK(INDEX(PlotData,MATCH($A349,PlotNumber,0),MATCH(B$3,PlotTitles,0)))),"",ISBLANK(INDEX(PlotData,MATCH($A349,PlotNumber,0),MATCH(O$3,PlotTitles,0))),$AB$18,TRUE,"")</f>
        <v/>
      </c>
      <c r="P349" s="182" t="str">
        <f t="shared" ca="1" si="16"/>
        <v/>
      </c>
      <c r="Q349" s="104" t="str" cm="1">
        <f t="array" ref="Q349">_xlfn.IFS(AND(A349&gt;NumberOfPlots,ISBLANK(INDEX(PlotData,MATCH($A349,PlotNumber,0),MATCH(B$3,PlotTitles,0)))),"",ISBLANK(INDEX(PlotData,MATCH($A349,PlotNumber,0),MATCH(N$3,PlotTitles,0))),"",(DATEVALUE(INDEX(PlotData,MATCH($A349,PlotNumber,0),MATCH(N$3,PlotTitles,0))&amp;INDEX(PlotData,MATCH($A349,PlotNumber,0),MATCH(O$3,PlotTitles,0))))&lt;(DATEVALUE(INDEX(PlotData,MATCH($A349,PlotNumber,0),MATCH(I$3,PlotTitles,0))&amp;INDEX(PlotData,MATCH($A349,PlotNumber,0),MATCH(J$3,PlotTitles,0)))),$AB$20,TRUE,"")</f>
        <v/>
      </c>
      <c r="R349" s="104" t="str" cm="1">
        <f t="array" ref="R349">_xlfn.IFS(OR(ISBLANK(StartDateMonth),ISBLANK(StartDateYear)),"",AND(A349&gt;NumberOfPlots,ISBLANK(INDEX(PlotData,MATCH($A349,PlotNumber,0),MATCH(B$3,PlotTitles,0)))),"",ISBLANK(INDEX(PlotData,MATCH($A349,PlotNumber,0),MATCH(N$3,PlotTitles,0))),"",CompletionMonth="","",(DATEVALUE(INDEX(PlotData,MATCH($A349,PlotNumber,0),MATCH(N$3,PlotTitles,0))&amp;INDEX(PlotData,MATCH($A349,PlotNumber,0),MATCH(O$3,PlotTitles,0))))&gt;(DATEVALUE(CompletionMonth&amp;CompletionYear)),$AB$21,TRUE,"")</f>
        <v/>
      </c>
      <c r="S349" s="104" t="str" cm="1">
        <f t="array" ref="S349">_xlfn.IFS(AND(A349&gt;NumberOfPlots,ISBLANK(INDEX(PlotData,MATCH($A349,PlotNumber,0),MATCH(B$3,PlotTitles,0)))),"",OR(AND(INDEX(PlotData,MATCH($A349,PlotNumber,0),MATCH("Tenure",PlotTitles,0))="Open market housing",INDEX(PlotData,MATCH($A349,PlotNumber,0),MATCH("Tenure detail",PlotTitles,0))="Private rented sector"),INDEX(PlotData,MATCH($A349,PlotNumber,0),MATCH("Tenure",PlotTitles,0))="Affordable rent"),"",ISNUMBER(INDEX(PlotData,MATCH($A349,PlotNumber,0),MATCH(S$3,PlotTitles,0)))=FALSE, $AB$22,TRUE,"")</f>
        <v/>
      </c>
      <c r="T349" s="104" t="str" cm="1">
        <f t="array" ref="T349">_xlfn.IFS(AND(A349&gt;NumberOfPlots,ISBLANK(INDEX(PlotData,MATCH($A349,PlotNumber,0),MATCH(B$3,PlotTitles,0)))),"",OR(AND(INDEX(PlotData,MATCH($A349,PlotNumber,0),MATCH("Tenure",PlotTitles,0))="Open market housing",INDEX(PlotData,MATCH($A349,PlotNumber,0),MATCH("Tenure detail",PlotTitles,0))="Private rented sector"),INDEX(PlotData,MATCH($A349,PlotNumber,0),MATCH("Tenure",PlotTitles,0))="Affordable rent"),"",INDEX(PlotData,MATCH($A349,PlotNumber,0),MATCH(S$3,PlotTitles,0))&lt;10000, $AB$23,TRUE,"")</f>
        <v/>
      </c>
      <c r="U349" s="104" t="str" cm="1">
        <f t="array" ref="U349">_xlfn.IFS(AND(A349&gt;NumberOfPlots,ISBLANK(INDEX(PlotData,MATCH($A349,PlotNumber,0),MATCH(B$3,PlotTitles,0)))),"",NOT(OR(AND(INDEX(PlotData,MATCH($A349,PlotNumber,0),MATCH("Tenure",PlotTitles,0))="Open market housing",INDEX(PlotData,MATCH($A349,PlotNumber,0),MATCH("Tenure detail",PlotTitles,0))="Private rented sector"),INDEX(PlotData,MATCH($A349,PlotNumber,0),MATCH("Tenure",PlotTitles,0))="Affordable rent")),"",NOT(INDEX(PlotData,MATCH($A349,PlotNumber,0),MATCH(S$3,PlotTitles,0))=0), $AB$24,TRUE,"")</f>
        <v/>
      </c>
      <c r="V349" s="114" t="str" cm="1">
        <f t="array" aca="1" ref="V349" ca="1">_xlfn.IFS(ISBLANK(NumberOfPlots),"Enter the number of homes on the 1_SetUp sheet",AND(A349&gt;NumberOfPlots,ISBLANK(INDEX(PlotData,MATCH($A349,PlotNumber,0),MATCH(B$3,PlotTitles,0)))),"No error",NOT(B349=""),B349,NOT(C349=""),C349,NOT(D349=""),D349,NOT(E349=""),E349,NOT(F349=""),F349,NOT(G349=""),G349,NOT(H349=""),H349,NOT(I349=""),I349,NOT(J349=""),J349,NOT(K349=""),K349,NOT(L349=""),L349,NOT(M349=""),M349,NOT(N349=""),N349,NOT(O349=""),O349,NOT(P349=""),P349,NOT(Q349=""),Q349,NOT(R349=""),R349,NOT(S349=""),S349,NOT(T349=""),T349,NOT(U349=""),U349,TRUE,"No error")</f>
        <v>Enter the number of homes on the 1_SetUp sheet</v>
      </c>
      <c r="W349" s="114" t="str">
        <f t="shared" ca="1" si="17"/>
        <v xml:space="preserve">The Borrower has not addressed the following error messages for Home ID 345: </v>
      </c>
    </row>
    <row r="350" spans="1:23">
      <c r="A350" s="123">
        <v>346</v>
      </c>
      <c r="B350" s="104" t="str" cm="1">
        <f t="array" ref="B350">_xlfn.IFS(AND(A350&gt;NumberOfPlots,ISBLANK(INDEX(PlotData,MATCH($A350,PlotNumber,0),MATCH(B$3,PlotTitles,0)))),"",ISNUMBER(INDEX(PlotData,MATCH($A350,PlotNumber,0),MATCH(B$3,PlotTitles,0)))=FALSE, $AB$5,TRUE,"")</f>
        <v/>
      </c>
      <c r="C350" s="104" t="str" cm="1">
        <f t="array" ref="C350">_xlfn.IFS(AND(A350&gt;NumberOfPlots,ISBLANK(INDEX(PlotData,MATCH($A350,PlotNumber,0),MATCH(B$3,PlotTitles,0)))),"",ISBLANK(INDEX(PlotData,MATCH($A350,PlotNumber,0),MATCH(C$3,PlotTitles,0))),$AB$6,TRUE,"")</f>
        <v/>
      </c>
      <c r="D350" s="104" t="str" cm="1">
        <f t="array" ref="D350">_xlfn.IFS(AND(A350&gt;NumberOfPlots,ISBLANK(INDEX(PlotData,MATCH($A350,PlotNumber,0),MATCH(B$3,PlotTitles,0)))),"",ISBLANK(INDEX(PlotData,MATCH($A350,PlotNumber,0),MATCH(D$3,PlotTitles,0))),$AB$7,TRUE,"")</f>
        <v/>
      </c>
      <c r="E350" s="104" t="str" cm="1">
        <f t="array" ref="E350">_xlfn.IFS(AND(A350&gt;NumberOfPlots,ISBLANK(INDEX(PlotData,MATCH($A350,PlotNumber,0),MATCH(B$3,PlotTitles,0)))),"",ISBLANK(INDEX(PlotData,MATCH($A350,PlotNumber,0),MATCH(E$3,PlotTitles,0))),$AB$8,TRUE,"")</f>
        <v/>
      </c>
      <c r="F350" s="104" t="str" cm="1">
        <f t="array" ref="F350">_xlfn.IFS(AND(A350&gt;NumberOfPlots,ISBLANK(INDEX(PlotData,MATCH($A350,PlotNumber,0),MATCH(B$3,PlotTitles,0)))),"",ISBLANK(INDEX(PlotData,MATCH($A350,PlotNumber,0),MATCH(F$3,PlotTitles,0))),$AB$9,TRUE,"")</f>
        <v/>
      </c>
      <c r="G350" s="104" t="str" cm="1">
        <f t="array" ref="G350">_xlfn.IFS(AND(A350&gt;NumberOfPlots,ISBLANK(INDEX(PlotData,MATCH($A350,PlotNumber,0),MATCH(B$3,PlotTitles,0)))),"",ISBLANK(INDEX(PlotData,MATCH($A350,PlotNumber,0),MATCH(G$3,PlotTitles,0))),$AB$10,TRUE,"")</f>
        <v/>
      </c>
      <c r="H350" s="104" t="str" cm="1">
        <f t="array" ref="H350">_xlfn.IFS(AND(A350&gt;NumberOfPlots,ISBLANK(INDEX(PlotData,MATCH($A350,PlotNumber,0),MATCH(B$3,PlotTitles,0)))),"",AND(ISBLANK(INDEX(PlotData,MATCH($A350,PlotNumber,0),MATCH(H$3,PlotTitles,0)))=FALSE,INDEX(PlotData,MATCH($A350,PlotNumber,0),MATCH(H$3,PlotTitles,0))&lt;500), $AB$11,TRUE,"")</f>
        <v/>
      </c>
      <c r="I350" s="104" t="str" cm="1">
        <f t="array" ref="I350">_xlfn.IFS(AND(A350&gt;NumberOfPlots,ISBLANK(INDEX(PlotData,MATCH($A350,PlotNumber,0),MATCH(B$3,PlotTitles,0)))),"",ISBLANK(INDEX(PlotData,MATCH($A350,PlotNumber,0),MATCH(I$3,PlotTitles,0))),$AB$12,TRUE,"")</f>
        <v/>
      </c>
      <c r="J350" s="104" t="str" cm="1">
        <f t="array" ref="J350">_xlfn.IFS(AND(A350&gt;NumberOfPlots,ISBLANK(INDEX(PlotData,MATCH($A350,PlotNumber,0),MATCH(B$3,PlotTitles,0)))),"",ISBLANK(INDEX(PlotData,MATCH($A350,PlotNumber,0),MATCH(J$3,PlotTitles,0))),$AB$13,TRUE,"")</f>
        <v/>
      </c>
      <c r="K350" s="182" t="str">
        <f t="shared" ca="1" si="15"/>
        <v/>
      </c>
      <c r="L350" s="104" t="str" cm="1">
        <f t="array" ref="L350">_xlfn.IFS(OR(ISBLANK(StartDateMonth),ISBLANK(StartDateYear)),"",AND(A350&gt;NumberOfPlots,ISBLANK(INDEX(PlotData,MATCH($A350,PlotNumber,0),MATCH(B$3,PlotTitles,0)))),"",ISBLANK(INDEX(PlotData,MATCH($A350,PlotNumber,0),MATCH(I$3,PlotTitles,0))),"",(DATEVALUE(INDEX(PlotData,MATCH($A350,PlotNumber,0),MATCH(I$3,PlotTitles,0))&amp;INDEX(PlotData,MATCH($A350,PlotNumber,0),MATCH(J$3,PlotTitles,0))))&lt;DATEVALUE(StartDateMonth&amp;StartDateYear),$AB$15,TRUE,"")</f>
        <v/>
      </c>
      <c r="M350" s="104" t="str" cm="1">
        <f t="array" ref="M350">_xlfn.IFS(OR(ISBLANK(StartDateMonth),ISBLANK(StartDateYear)),"",AND(A350&gt;NumberOfPlots,ISBLANK(INDEX(PlotData,MATCH($A350,PlotNumber,0),MATCH(B$3,PlotTitles,0)))),"",ISBLANK(INDEX(PlotData,MATCH($A350,PlotNumber,0),MATCH(I$3,PlotTitles,0))),"",CompletionMonth="","",(DATEVALUE(INDEX(PlotData,MATCH($A350,PlotNumber,0),MATCH(I$3,PlotTitles,0))&amp;INDEX(PlotData,MATCH($A350,PlotNumber,0),MATCH(J$3,PlotTitles,0))))&gt;(DATEVALUE(CompletionMonth&amp;CompletionYear)),$AB$16,TRUE,"")</f>
        <v/>
      </c>
      <c r="N350" s="104" t="str" cm="1">
        <f t="array" ref="N350">_xlfn.IFS(AND(A350&gt;NumberOfPlots,ISBLANK(INDEX(PlotData,MATCH($A350,PlotNumber,0),MATCH(B$3,PlotTitles,0)))),"",ISBLANK(INDEX(PlotData,MATCH($A350,PlotNumber,0),MATCH(N$3,PlotTitles,0))),$AB$17,TRUE,"")</f>
        <v/>
      </c>
      <c r="O350" s="104" t="str" cm="1">
        <f t="array" ref="O350">_xlfn.IFS(AND(A350&gt;NumberOfPlots,ISBLANK(INDEX(PlotData,MATCH($A350,PlotNumber,0),MATCH(B$3,PlotTitles,0)))),"",ISBLANK(INDEX(PlotData,MATCH($A350,PlotNumber,0),MATCH(O$3,PlotTitles,0))),$AB$18,TRUE,"")</f>
        <v/>
      </c>
      <c r="P350" s="182" t="str">
        <f t="shared" ca="1" si="16"/>
        <v/>
      </c>
      <c r="Q350" s="104" t="str" cm="1">
        <f t="array" ref="Q350">_xlfn.IFS(AND(A350&gt;NumberOfPlots,ISBLANK(INDEX(PlotData,MATCH($A350,PlotNumber,0),MATCH(B$3,PlotTitles,0)))),"",ISBLANK(INDEX(PlotData,MATCH($A350,PlotNumber,0),MATCH(N$3,PlotTitles,0))),"",(DATEVALUE(INDEX(PlotData,MATCH($A350,PlotNumber,0),MATCH(N$3,PlotTitles,0))&amp;INDEX(PlotData,MATCH($A350,PlotNumber,0),MATCH(O$3,PlotTitles,0))))&lt;(DATEVALUE(INDEX(PlotData,MATCH($A350,PlotNumber,0),MATCH(I$3,PlotTitles,0))&amp;INDEX(PlotData,MATCH($A350,PlotNumber,0),MATCH(J$3,PlotTitles,0)))),$AB$20,TRUE,"")</f>
        <v/>
      </c>
      <c r="R350" s="104" t="str" cm="1">
        <f t="array" ref="R350">_xlfn.IFS(OR(ISBLANK(StartDateMonth),ISBLANK(StartDateYear)),"",AND(A350&gt;NumberOfPlots,ISBLANK(INDEX(PlotData,MATCH($A350,PlotNumber,0),MATCH(B$3,PlotTitles,0)))),"",ISBLANK(INDEX(PlotData,MATCH($A350,PlotNumber,0),MATCH(N$3,PlotTitles,0))),"",CompletionMonth="","",(DATEVALUE(INDEX(PlotData,MATCH($A350,PlotNumber,0),MATCH(N$3,PlotTitles,0))&amp;INDEX(PlotData,MATCH($A350,PlotNumber,0),MATCH(O$3,PlotTitles,0))))&gt;(DATEVALUE(CompletionMonth&amp;CompletionYear)),$AB$21,TRUE,"")</f>
        <v/>
      </c>
      <c r="S350" s="104" t="str" cm="1">
        <f t="array" ref="S350">_xlfn.IFS(AND(A350&gt;NumberOfPlots,ISBLANK(INDEX(PlotData,MATCH($A350,PlotNumber,0),MATCH(B$3,PlotTitles,0)))),"",OR(AND(INDEX(PlotData,MATCH($A350,PlotNumber,0),MATCH("Tenure",PlotTitles,0))="Open market housing",INDEX(PlotData,MATCH($A350,PlotNumber,0),MATCH("Tenure detail",PlotTitles,0))="Private rented sector"),INDEX(PlotData,MATCH($A350,PlotNumber,0),MATCH("Tenure",PlotTitles,0))="Affordable rent"),"",ISNUMBER(INDEX(PlotData,MATCH($A350,PlotNumber,0),MATCH(S$3,PlotTitles,0)))=FALSE, $AB$22,TRUE,"")</f>
        <v/>
      </c>
      <c r="T350" s="104" t="str" cm="1">
        <f t="array" ref="T350">_xlfn.IFS(AND(A350&gt;NumberOfPlots,ISBLANK(INDEX(PlotData,MATCH($A350,PlotNumber,0),MATCH(B$3,PlotTitles,0)))),"",OR(AND(INDEX(PlotData,MATCH($A350,PlotNumber,0),MATCH("Tenure",PlotTitles,0))="Open market housing",INDEX(PlotData,MATCH($A350,PlotNumber,0),MATCH("Tenure detail",PlotTitles,0))="Private rented sector"),INDEX(PlotData,MATCH($A350,PlotNumber,0),MATCH("Tenure",PlotTitles,0))="Affordable rent"),"",INDEX(PlotData,MATCH($A350,PlotNumber,0),MATCH(S$3,PlotTitles,0))&lt;10000, $AB$23,TRUE,"")</f>
        <v/>
      </c>
      <c r="U350" s="104" t="str" cm="1">
        <f t="array" ref="U350">_xlfn.IFS(AND(A350&gt;NumberOfPlots,ISBLANK(INDEX(PlotData,MATCH($A350,PlotNumber,0),MATCH(B$3,PlotTitles,0)))),"",NOT(OR(AND(INDEX(PlotData,MATCH($A350,PlotNumber,0),MATCH("Tenure",PlotTitles,0))="Open market housing",INDEX(PlotData,MATCH($A350,PlotNumber,0),MATCH("Tenure detail",PlotTitles,0))="Private rented sector"),INDEX(PlotData,MATCH($A350,PlotNumber,0),MATCH("Tenure",PlotTitles,0))="Affordable rent")),"",NOT(INDEX(PlotData,MATCH($A350,PlotNumber,0),MATCH(S$3,PlotTitles,0))=0), $AB$24,TRUE,"")</f>
        <v/>
      </c>
      <c r="V350" s="114" t="str" cm="1">
        <f t="array" aca="1" ref="V350" ca="1">_xlfn.IFS(ISBLANK(NumberOfPlots),"Enter the number of homes on the 1_SetUp sheet",AND(A350&gt;NumberOfPlots,ISBLANK(INDEX(PlotData,MATCH($A350,PlotNumber,0),MATCH(B$3,PlotTitles,0)))),"No error",NOT(B350=""),B350,NOT(C350=""),C350,NOT(D350=""),D350,NOT(E350=""),E350,NOT(F350=""),F350,NOT(G350=""),G350,NOT(H350=""),H350,NOT(I350=""),I350,NOT(J350=""),J350,NOT(K350=""),K350,NOT(L350=""),L350,NOT(M350=""),M350,NOT(N350=""),N350,NOT(O350=""),O350,NOT(P350=""),P350,NOT(Q350=""),Q350,NOT(R350=""),R350,NOT(S350=""),S350,NOT(T350=""),T350,NOT(U350=""),U350,TRUE,"No error")</f>
        <v>Enter the number of homes on the 1_SetUp sheet</v>
      </c>
      <c r="W350" s="114" t="str">
        <f t="shared" ca="1" si="17"/>
        <v xml:space="preserve">The Borrower has not addressed the following error messages for Home ID 346: </v>
      </c>
    </row>
    <row r="351" spans="1:23">
      <c r="A351" s="123">
        <v>347</v>
      </c>
      <c r="B351" s="104" t="str" cm="1">
        <f t="array" ref="B351">_xlfn.IFS(AND(A351&gt;NumberOfPlots,ISBLANK(INDEX(PlotData,MATCH($A351,PlotNumber,0),MATCH(B$3,PlotTitles,0)))),"",ISNUMBER(INDEX(PlotData,MATCH($A351,PlotNumber,0),MATCH(B$3,PlotTitles,0)))=FALSE, $AB$5,TRUE,"")</f>
        <v/>
      </c>
      <c r="C351" s="104" t="str" cm="1">
        <f t="array" ref="C351">_xlfn.IFS(AND(A351&gt;NumberOfPlots,ISBLANK(INDEX(PlotData,MATCH($A351,PlotNumber,0),MATCH(B$3,PlotTitles,0)))),"",ISBLANK(INDEX(PlotData,MATCH($A351,PlotNumber,0),MATCH(C$3,PlotTitles,0))),$AB$6,TRUE,"")</f>
        <v/>
      </c>
      <c r="D351" s="104" t="str" cm="1">
        <f t="array" ref="D351">_xlfn.IFS(AND(A351&gt;NumberOfPlots,ISBLANK(INDEX(PlotData,MATCH($A351,PlotNumber,0),MATCH(B$3,PlotTitles,0)))),"",ISBLANK(INDEX(PlotData,MATCH($A351,PlotNumber,0),MATCH(D$3,PlotTitles,0))),$AB$7,TRUE,"")</f>
        <v/>
      </c>
      <c r="E351" s="104" t="str" cm="1">
        <f t="array" ref="E351">_xlfn.IFS(AND(A351&gt;NumberOfPlots,ISBLANK(INDEX(PlotData,MATCH($A351,PlotNumber,0),MATCH(B$3,PlotTitles,0)))),"",ISBLANK(INDEX(PlotData,MATCH($A351,PlotNumber,0),MATCH(E$3,PlotTitles,0))),$AB$8,TRUE,"")</f>
        <v/>
      </c>
      <c r="F351" s="104" t="str" cm="1">
        <f t="array" ref="F351">_xlfn.IFS(AND(A351&gt;NumberOfPlots,ISBLANK(INDEX(PlotData,MATCH($A351,PlotNumber,0),MATCH(B$3,PlotTitles,0)))),"",ISBLANK(INDEX(PlotData,MATCH($A351,PlotNumber,0),MATCH(F$3,PlotTitles,0))),$AB$9,TRUE,"")</f>
        <v/>
      </c>
      <c r="G351" s="104" t="str" cm="1">
        <f t="array" ref="G351">_xlfn.IFS(AND(A351&gt;NumberOfPlots,ISBLANK(INDEX(PlotData,MATCH($A351,PlotNumber,0),MATCH(B$3,PlotTitles,0)))),"",ISBLANK(INDEX(PlotData,MATCH($A351,PlotNumber,0),MATCH(G$3,PlotTitles,0))),$AB$10,TRUE,"")</f>
        <v/>
      </c>
      <c r="H351" s="104" t="str" cm="1">
        <f t="array" ref="H351">_xlfn.IFS(AND(A351&gt;NumberOfPlots,ISBLANK(INDEX(PlotData,MATCH($A351,PlotNumber,0),MATCH(B$3,PlotTitles,0)))),"",AND(ISBLANK(INDEX(PlotData,MATCH($A351,PlotNumber,0),MATCH(H$3,PlotTitles,0)))=FALSE,INDEX(PlotData,MATCH($A351,PlotNumber,0),MATCH(H$3,PlotTitles,0))&lt;500), $AB$11,TRUE,"")</f>
        <v/>
      </c>
      <c r="I351" s="104" t="str" cm="1">
        <f t="array" ref="I351">_xlfn.IFS(AND(A351&gt;NumberOfPlots,ISBLANK(INDEX(PlotData,MATCH($A351,PlotNumber,0),MATCH(B$3,PlotTitles,0)))),"",ISBLANK(INDEX(PlotData,MATCH($A351,PlotNumber,0),MATCH(I$3,PlotTitles,0))),$AB$12,TRUE,"")</f>
        <v/>
      </c>
      <c r="J351" s="104" t="str" cm="1">
        <f t="array" ref="J351">_xlfn.IFS(AND(A351&gt;NumberOfPlots,ISBLANK(INDEX(PlotData,MATCH($A351,PlotNumber,0),MATCH(B$3,PlotTitles,0)))),"",ISBLANK(INDEX(PlotData,MATCH($A351,PlotNumber,0),MATCH(J$3,PlotTitles,0))),$AB$13,TRUE,"")</f>
        <v/>
      </c>
      <c r="K351" s="182" t="str">
        <f t="shared" ca="1" si="15"/>
        <v/>
      </c>
      <c r="L351" s="104" t="str" cm="1">
        <f t="array" ref="L351">_xlfn.IFS(OR(ISBLANK(StartDateMonth),ISBLANK(StartDateYear)),"",AND(A351&gt;NumberOfPlots,ISBLANK(INDEX(PlotData,MATCH($A351,PlotNumber,0),MATCH(B$3,PlotTitles,0)))),"",ISBLANK(INDEX(PlotData,MATCH($A351,PlotNumber,0),MATCH(I$3,PlotTitles,0))),"",(DATEVALUE(INDEX(PlotData,MATCH($A351,PlotNumber,0),MATCH(I$3,PlotTitles,0))&amp;INDEX(PlotData,MATCH($A351,PlotNumber,0),MATCH(J$3,PlotTitles,0))))&lt;DATEVALUE(StartDateMonth&amp;StartDateYear),$AB$15,TRUE,"")</f>
        <v/>
      </c>
      <c r="M351" s="104" t="str" cm="1">
        <f t="array" ref="M351">_xlfn.IFS(OR(ISBLANK(StartDateMonth),ISBLANK(StartDateYear)),"",AND(A351&gt;NumberOfPlots,ISBLANK(INDEX(PlotData,MATCH($A351,PlotNumber,0),MATCH(B$3,PlotTitles,0)))),"",ISBLANK(INDEX(PlotData,MATCH($A351,PlotNumber,0),MATCH(I$3,PlotTitles,0))),"",CompletionMonth="","",(DATEVALUE(INDEX(PlotData,MATCH($A351,PlotNumber,0),MATCH(I$3,PlotTitles,0))&amp;INDEX(PlotData,MATCH($A351,PlotNumber,0),MATCH(J$3,PlotTitles,0))))&gt;(DATEVALUE(CompletionMonth&amp;CompletionYear)),$AB$16,TRUE,"")</f>
        <v/>
      </c>
      <c r="N351" s="104" t="str" cm="1">
        <f t="array" ref="N351">_xlfn.IFS(AND(A351&gt;NumberOfPlots,ISBLANK(INDEX(PlotData,MATCH($A351,PlotNumber,0),MATCH(B$3,PlotTitles,0)))),"",ISBLANK(INDEX(PlotData,MATCH($A351,PlotNumber,0),MATCH(N$3,PlotTitles,0))),$AB$17,TRUE,"")</f>
        <v/>
      </c>
      <c r="O351" s="104" t="str" cm="1">
        <f t="array" ref="O351">_xlfn.IFS(AND(A351&gt;NumberOfPlots,ISBLANK(INDEX(PlotData,MATCH($A351,PlotNumber,0),MATCH(B$3,PlotTitles,0)))),"",ISBLANK(INDEX(PlotData,MATCH($A351,PlotNumber,0),MATCH(O$3,PlotTitles,0))),$AB$18,TRUE,"")</f>
        <v/>
      </c>
      <c r="P351" s="182" t="str">
        <f t="shared" ca="1" si="16"/>
        <v/>
      </c>
      <c r="Q351" s="104" t="str" cm="1">
        <f t="array" ref="Q351">_xlfn.IFS(AND(A351&gt;NumberOfPlots,ISBLANK(INDEX(PlotData,MATCH($A351,PlotNumber,0),MATCH(B$3,PlotTitles,0)))),"",ISBLANK(INDEX(PlotData,MATCH($A351,PlotNumber,0),MATCH(N$3,PlotTitles,0))),"",(DATEVALUE(INDEX(PlotData,MATCH($A351,PlotNumber,0),MATCH(N$3,PlotTitles,0))&amp;INDEX(PlotData,MATCH($A351,PlotNumber,0),MATCH(O$3,PlotTitles,0))))&lt;(DATEVALUE(INDEX(PlotData,MATCH($A351,PlotNumber,0),MATCH(I$3,PlotTitles,0))&amp;INDEX(PlotData,MATCH($A351,PlotNumber,0),MATCH(J$3,PlotTitles,0)))),$AB$20,TRUE,"")</f>
        <v/>
      </c>
      <c r="R351" s="104" t="str" cm="1">
        <f t="array" ref="R351">_xlfn.IFS(OR(ISBLANK(StartDateMonth),ISBLANK(StartDateYear)),"",AND(A351&gt;NumberOfPlots,ISBLANK(INDEX(PlotData,MATCH($A351,PlotNumber,0),MATCH(B$3,PlotTitles,0)))),"",ISBLANK(INDEX(PlotData,MATCH($A351,PlotNumber,0),MATCH(N$3,PlotTitles,0))),"",CompletionMonth="","",(DATEVALUE(INDEX(PlotData,MATCH($A351,PlotNumber,0),MATCH(N$3,PlotTitles,0))&amp;INDEX(PlotData,MATCH($A351,PlotNumber,0),MATCH(O$3,PlotTitles,0))))&gt;(DATEVALUE(CompletionMonth&amp;CompletionYear)),$AB$21,TRUE,"")</f>
        <v/>
      </c>
      <c r="S351" s="104" t="str" cm="1">
        <f t="array" ref="S351">_xlfn.IFS(AND(A351&gt;NumberOfPlots,ISBLANK(INDEX(PlotData,MATCH($A351,PlotNumber,0),MATCH(B$3,PlotTitles,0)))),"",OR(AND(INDEX(PlotData,MATCH($A351,PlotNumber,0),MATCH("Tenure",PlotTitles,0))="Open market housing",INDEX(PlotData,MATCH($A351,PlotNumber,0),MATCH("Tenure detail",PlotTitles,0))="Private rented sector"),INDEX(PlotData,MATCH($A351,PlotNumber,0),MATCH("Tenure",PlotTitles,0))="Affordable rent"),"",ISNUMBER(INDEX(PlotData,MATCH($A351,PlotNumber,0),MATCH(S$3,PlotTitles,0)))=FALSE, $AB$22,TRUE,"")</f>
        <v/>
      </c>
      <c r="T351" s="104" t="str" cm="1">
        <f t="array" ref="T351">_xlfn.IFS(AND(A351&gt;NumberOfPlots,ISBLANK(INDEX(PlotData,MATCH($A351,PlotNumber,0),MATCH(B$3,PlotTitles,0)))),"",OR(AND(INDEX(PlotData,MATCH($A351,PlotNumber,0),MATCH("Tenure",PlotTitles,0))="Open market housing",INDEX(PlotData,MATCH($A351,PlotNumber,0),MATCH("Tenure detail",PlotTitles,0))="Private rented sector"),INDEX(PlotData,MATCH($A351,PlotNumber,0),MATCH("Tenure",PlotTitles,0))="Affordable rent"),"",INDEX(PlotData,MATCH($A351,PlotNumber,0),MATCH(S$3,PlotTitles,0))&lt;10000, $AB$23,TRUE,"")</f>
        <v/>
      </c>
      <c r="U351" s="104" t="str" cm="1">
        <f t="array" ref="U351">_xlfn.IFS(AND(A351&gt;NumberOfPlots,ISBLANK(INDEX(PlotData,MATCH($A351,PlotNumber,0),MATCH(B$3,PlotTitles,0)))),"",NOT(OR(AND(INDEX(PlotData,MATCH($A351,PlotNumber,0),MATCH("Tenure",PlotTitles,0))="Open market housing",INDEX(PlotData,MATCH($A351,PlotNumber,0),MATCH("Tenure detail",PlotTitles,0))="Private rented sector"),INDEX(PlotData,MATCH($A351,PlotNumber,0),MATCH("Tenure",PlotTitles,0))="Affordable rent")),"",NOT(INDEX(PlotData,MATCH($A351,PlotNumber,0),MATCH(S$3,PlotTitles,0))=0), $AB$24,TRUE,"")</f>
        <v/>
      </c>
      <c r="V351" s="114" t="str" cm="1">
        <f t="array" aca="1" ref="V351" ca="1">_xlfn.IFS(ISBLANK(NumberOfPlots),"Enter the number of homes on the 1_SetUp sheet",AND(A351&gt;NumberOfPlots,ISBLANK(INDEX(PlotData,MATCH($A351,PlotNumber,0),MATCH(B$3,PlotTitles,0)))),"No error",NOT(B351=""),B351,NOT(C351=""),C351,NOT(D351=""),D351,NOT(E351=""),E351,NOT(F351=""),F351,NOT(G351=""),G351,NOT(H351=""),H351,NOT(I351=""),I351,NOT(J351=""),J351,NOT(K351=""),K351,NOT(L351=""),L351,NOT(M351=""),M351,NOT(N351=""),N351,NOT(O351=""),O351,NOT(P351=""),P351,NOT(Q351=""),Q351,NOT(R351=""),R351,NOT(S351=""),S351,NOT(T351=""),T351,NOT(U351=""),U351,TRUE,"No error")</f>
        <v>Enter the number of homes on the 1_SetUp sheet</v>
      </c>
      <c r="W351" s="114" t="str">
        <f t="shared" ca="1" si="17"/>
        <v xml:space="preserve">The Borrower has not addressed the following error messages for Home ID 347: </v>
      </c>
    </row>
    <row r="352" spans="1:23">
      <c r="A352" s="123">
        <v>348</v>
      </c>
      <c r="B352" s="104" t="str" cm="1">
        <f t="array" ref="B352">_xlfn.IFS(AND(A352&gt;NumberOfPlots,ISBLANK(INDEX(PlotData,MATCH($A352,PlotNumber,0),MATCH(B$3,PlotTitles,0)))),"",ISNUMBER(INDEX(PlotData,MATCH($A352,PlotNumber,0),MATCH(B$3,PlotTitles,0)))=FALSE, $AB$5,TRUE,"")</f>
        <v/>
      </c>
      <c r="C352" s="104" t="str" cm="1">
        <f t="array" ref="C352">_xlfn.IFS(AND(A352&gt;NumberOfPlots,ISBLANK(INDEX(PlotData,MATCH($A352,PlotNumber,0),MATCH(B$3,PlotTitles,0)))),"",ISBLANK(INDEX(PlotData,MATCH($A352,PlotNumber,0),MATCH(C$3,PlotTitles,0))),$AB$6,TRUE,"")</f>
        <v/>
      </c>
      <c r="D352" s="104" t="str" cm="1">
        <f t="array" ref="D352">_xlfn.IFS(AND(A352&gt;NumberOfPlots,ISBLANK(INDEX(PlotData,MATCH($A352,PlotNumber,0),MATCH(B$3,PlotTitles,0)))),"",ISBLANK(INDEX(PlotData,MATCH($A352,PlotNumber,0),MATCH(D$3,PlotTitles,0))),$AB$7,TRUE,"")</f>
        <v/>
      </c>
      <c r="E352" s="104" t="str" cm="1">
        <f t="array" ref="E352">_xlfn.IFS(AND(A352&gt;NumberOfPlots,ISBLANK(INDEX(PlotData,MATCH($A352,PlotNumber,0),MATCH(B$3,PlotTitles,0)))),"",ISBLANK(INDEX(PlotData,MATCH($A352,PlotNumber,0),MATCH(E$3,PlotTitles,0))),$AB$8,TRUE,"")</f>
        <v/>
      </c>
      <c r="F352" s="104" t="str" cm="1">
        <f t="array" ref="F352">_xlfn.IFS(AND(A352&gt;NumberOfPlots,ISBLANK(INDEX(PlotData,MATCH($A352,PlotNumber,0),MATCH(B$3,PlotTitles,0)))),"",ISBLANK(INDEX(PlotData,MATCH($A352,PlotNumber,0),MATCH(F$3,PlotTitles,0))),$AB$9,TRUE,"")</f>
        <v/>
      </c>
      <c r="G352" s="104" t="str" cm="1">
        <f t="array" ref="G352">_xlfn.IFS(AND(A352&gt;NumberOfPlots,ISBLANK(INDEX(PlotData,MATCH($A352,PlotNumber,0),MATCH(B$3,PlotTitles,0)))),"",ISBLANK(INDEX(PlotData,MATCH($A352,PlotNumber,0),MATCH(G$3,PlotTitles,0))),$AB$10,TRUE,"")</f>
        <v/>
      </c>
      <c r="H352" s="104" t="str" cm="1">
        <f t="array" ref="H352">_xlfn.IFS(AND(A352&gt;NumberOfPlots,ISBLANK(INDEX(PlotData,MATCH($A352,PlotNumber,0),MATCH(B$3,PlotTitles,0)))),"",AND(ISBLANK(INDEX(PlotData,MATCH($A352,PlotNumber,0),MATCH(H$3,PlotTitles,0)))=FALSE,INDEX(PlotData,MATCH($A352,PlotNumber,0),MATCH(H$3,PlotTitles,0))&lt;500), $AB$11,TRUE,"")</f>
        <v/>
      </c>
      <c r="I352" s="104" t="str" cm="1">
        <f t="array" ref="I352">_xlfn.IFS(AND(A352&gt;NumberOfPlots,ISBLANK(INDEX(PlotData,MATCH($A352,PlotNumber,0),MATCH(B$3,PlotTitles,0)))),"",ISBLANK(INDEX(PlotData,MATCH($A352,PlotNumber,0),MATCH(I$3,PlotTitles,0))),$AB$12,TRUE,"")</f>
        <v/>
      </c>
      <c r="J352" s="104" t="str" cm="1">
        <f t="array" ref="J352">_xlfn.IFS(AND(A352&gt;NumberOfPlots,ISBLANK(INDEX(PlotData,MATCH($A352,PlotNumber,0),MATCH(B$3,PlotTitles,0)))),"",ISBLANK(INDEX(PlotData,MATCH($A352,PlotNumber,0),MATCH(J$3,PlotTitles,0))),$AB$13,TRUE,"")</f>
        <v/>
      </c>
      <c r="K352" s="182" t="str">
        <f t="shared" ca="1" si="15"/>
        <v/>
      </c>
      <c r="L352" s="104" t="str" cm="1">
        <f t="array" ref="L352">_xlfn.IFS(OR(ISBLANK(StartDateMonth),ISBLANK(StartDateYear)),"",AND(A352&gt;NumberOfPlots,ISBLANK(INDEX(PlotData,MATCH($A352,PlotNumber,0),MATCH(B$3,PlotTitles,0)))),"",ISBLANK(INDEX(PlotData,MATCH($A352,PlotNumber,0),MATCH(I$3,PlotTitles,0))),"",(DATEVALUE(INDEX(PlotData,MATCH($A352,PlotNumber,0),MATCH(I$3,PlotTitles,0))&amp;INDEX(PlotData,MATCH($A352,PlotNumber,0),MATCH(J$3,PlotTitles,0))))&lt;DATEVALUE(StartDateMonth&amp;StartDateYear),$AB$15,TRUE,"")</f>
        <v/>
      </c>
      <c r="M352" s="104" t="str" cm="1">
        <f t="array" ref="M352">_xlfn.IFS(OR(ISBLANK(StartDateMonth),ISBLANK(StartDateYear)),"",AND(A352&gt;NumberOfPlots,ISBLANK(INDEX(PlotData,MATCH($A352,PlotNumber,0),MATCH(B$3,PlotTitles,0)))),"",ISBLANK(INDEX(PlotData,MATCH($A352,PlotNumber,0),MATCH(I$3,PlotTitles,0))),"",CompletionMonth="","",(DATEVALUE(INDEX(PlotData,MATCH($A352,PlotNumber,0),MATCH(I$3,PlotTitles,0))&amp;INDEX(PlotData,MATCH($A352,PlotNumber,0),MATCH(J$3,PlotTitles,0))))&gt;(DATEVALUE(CompletionMonth&amp;CompletionYear)),$AB$16,TRUE,"")</f>
        <v/>
      </c>
      <c r="N352" s="104" t="str" cm="1">
        <f t="array" ref="N352">_xlfn.IFS(AND(A352&gt;NumberOfPlots,ISBLANK(INDEX(PlotData,MATCH($A352,PlotNumber,0),MATCH(B$3,PlotTitles,0)))),"",ISBLANK(INDEX(PlotData,MATCH($A352,PlotNumber,0),MATCH(N$3,PlotTitles,0))),$AB$17,TRUE,"")</f>
        <v/>
      </c>
      <c r="O352" s="104" t="str" cm="1">
        <f t="array" ref="O352">_xlfn.IFS(AND(A352&gt;NumberOfPlots,ISBLANK(INDEX(PlotData,MATCH($A352,PlotNumber,0),MATCH(B$3,PlotTitles,0)))),"",ISBLANK(INDEX(PlotData,MATCH($A352,PlotNumber,0),MATCH(O$3,PlotTitles,0))),$AB$18,TRUE,"")</f>
        <v/>
      </c>
      <c r="P352" s="182" t="str">
        <f t="shared" ca="1" si="16"/>
        <v/>
      </c>
      <c r="Q352" s="104" t="str" cm="1">
        <f t="array" ref="Q352">_xlfn.IFS(AND(A352&gt;NumberOfPlots,ISBLANK(INDEX(PlotData,MATCH($A352,PlotNumber,0),MATCH(B$3,PlotTitles,0)))),"",ISBLANK(INDEX(PlotData,MATCH($A352,PlotNumber,0),MATCH(N$3,PlotTitles,0))),"",(DATEVALUE(INDEX(PlotData,MATCH($A352,PlotNumber,0),MATCH(N$3,PlotTitles,0))&amp;INDEX(PlotData,MATCH($A352,PlotNumber,0),MATCH(O$3,PlotTitles,0))))&lt;(DATEVALUE(INDEX(PlotData,MATCH($A352,PlotNumber,0),MATCH(I$3,PlotTitles,0))&amp;INDEX(PlotData,MATCH($A352,PlotNumber,0),MATCH(J$3,PlotTitles,0)))),$AB$20,TRUE,"")</f>
        <v/>
      </c>
      <c r="R352" s="104" t="str" cm="1">
        <f t="array" ref="R352">_xlfn.IFS(OR(ISBLANK(StartDateMonth),ISBLANK(StartDateYear)),"",AND(A352&gt;NumberOfPlots,ISBLANK(INDEX(PlotData,MATCH($A352,PlotNumber,0),MATCH(B$3,PlotTitles,0)))),"",ISBLANK(INDEX(PlotData,MATCH($A352,PlotNumber,0),MATCH(N$3,PlotTitles,0))),"",CompletionMonth="","",(DATEVALUE(INDEX(PlotData,MATCH($A352,PlotNumber,0),MATCH(N$3,PlotTitles,0))&amp;INDEX(PlotData,MATCH($A352,PlotNumber,0),MATCH(O$3,PlotTitles,0))))&gt;(DATEVALUE(CompletionMonth&amp;CompletionYear)),$AB$21,TRUE,"")</f>
        <v/>
      </c>
      <c r="S352" s="104" t="str" cm="1">
        <f t="array" ref="S352">_xlfn.IFS(AND(A352&gt;NumberOfPlots,ISBLANK(INDEX(PlotData,MATCH($A352,PlotNumber,0),MATCH(B$3,PlotTitles,0)))),"",OR(AND(INDEX(PlotData,MATCH($A352,PlotNumber,0),MATCH("Tenure",PlotTitles,0))="Open market housing",INDEX(PlotData,MATCH($A352,PlotNumber,0),MATCH("Tenure detail",PlotTitles,0))="Private rented sector"),INDEX(PlotData,MATCH($A352,PlotNumber,0),MATCH("Tenure",PlotTitles,0))="Affordable rent"),"",ISNUMBER(INDEX(PlotData,MATCH($A352,PlotNumber,0),MATCH(S$3,PlotTitles,0)))=FALSE, $AB$22,TRUE,"")</f>
        <v/>
      </c>
      <c r="T352" s="104" t="str" cm="1">
        <f t="array" ref="T352">_xlfn.IFS(AND(A352&gt;NumberOfPlots,ISBLANK(INDEX(PlotData,MATCH($A352,PlotNumber,0),MATCH(B$3,PlotTitles,0)))),"",OR(AND(INDEX(PlotData,MATCH($A352,PlotNumber,0),MATCH("Tenure",PlotTitles,0))="Open market housing",INDEX(PlotData,MATCH($A352,PlotNumber,0),MATCH("Tenure detail",PlotTitles,0))="Private rented sector"),INDEX(PlotData,MATCH($A352,PlotNumber,0),MATCH("Tenure",PlotTitles,0))="Affordable rent"),"",INDEX(PlotData,MATCH($A352,PlotNumber,0),MATCH(S$3,PlotTitles,0))&lt;10000, $AB$23,TRUE,"")</f>
        <v/>
      </c>
      <c r="U352" s="104" t="str" cm="1">
        <f t="array" ref="U352">_xlfn.IFS(AND(A352&gt;NumberOfPlots,ISBLANK(INDEX(PlotData,MATCH($A352,PlotNumber,0),MATCH(B$3,PlotTitles,0)))),"",NOT(OR(AND(INDEX(PlotData,MATCH($A352,PlotNumber,0),MATCH("Tenure",PlotTitles,0))="Open market housing",INDEX(PlotData,MATCH($A352,PlotNumber,0),MATCH("Tenure detail",PlotTitles,0))="Private rented sector"),INDEX(PlotData,MATCH($A352,PlotNumber,0),MATCH("Tenure",PlotTitles,0))="Affordable rent")),"",NOT(INDEX(PlotData,MATCH($A352,PlotNumber,0),MATCH(S$3,PlotTitles,0))=0), $AB$24,TRUE,"")</f>
        <v/>
      </c>
      <c r="V352" s="114" t="str" cm="1">
        <f t="array" aca="1" ref="V352" ca="1">_xlfn.IFS(ISBLANK(NumberOfPlots),"Enter the number of homes on the 1_SetUp sheet",AND(A352&gt;NumberOfPlots,ISBLANK(INDEX(PlotData,MATCH($A352,PlotNumber,0),MATCH(B$3,PlotTitles,0)))),"No error",NOT(B352=""),B352,NOT(C352=""),C352,NOT(D352=""),D352,NOT(E352=""),E352,NOT(F352=""),F352,NOT(G352=""),G352,NOT(H352=""),H352,NOT(I352=""),I352,NOT(J352=""),J352,NOT(K352=""),K352,NOT(L352=""),L352,NOT(M352=""),M352,NOT(N352=""),N352,NOT(O352=""),O352,NOT(P352=""),P352,NOT(Q352=""),Q352,NOT(R352=""),R352,NOT(S352=""),S352,NOT(T352=""),T352,NOT(U352=""),U352,TRUE,"No error")</f>
        <v>Enter the number of homes on the 1_SetUp sheet</v>
      </c>
      <c r="W352" s="114" t="str">
        <f t="shared" ca="1" si="17"/>
        <v xml:space="preserve">The Borrower has not addressed the following error messages for Home ID 348: </v>
      </c>
    </row>
    <row r="353" spans="1:23">
      <c r="A353" s="123">
        <v>349</v>
      </c>
      <c r="B353" s="104" t="str" cm="1">
        <f t="array" ref="B353">_xlfn.IFS(AND(A353&gt;NumberOfPlots,ISBLANK(INDEX(PlotData,MATCH($A353,PlotNumber,0),MATCH(B$3,PlotTitles,0)))),"",ISNUMBER(INDEX(PlotData,MATCH($A353,PlotNumber,0),MATCH(B$3,PlotTitles,0)))=FALSE, $AB$5,TRUE,"")</f>
        <v/>
      </c>
      <c r="C353" s="104" t="str" cm="1">
        <f t="array" ref="C353">_xlfn.IFS(AND(A353&gt;NumberOfPlots,ISBLANK(INDEX(PlotData,MATCH($A353,PlotNumber,0),MATCH(B$3,PlotTitles,0)))),"",ISBLANK(INDEX(PlotData,MATCH($A353,PlotNumber,0),MATCH(C$3,PlotTitles,0))),$AB$6,TRUE,"")</f>
        <v/>
      </c>
      <c r="D353" s="104" t="str" cm="1">
        <f t="array" ref="D353">_xlfn.IFS(AND(A353&gt;NumberOfPlots,ISBLANK(INDEX(PlotData,MATCH($A353,PlotNumber,0),MATCH(B$3,PlotTitles,0)))),"",ISBLANK(INDEX(PlotData,MATCH($A353,PlotNumber,0),MATCH(D$3,PlotTitles,0))),$AB$7,TRUE,"")</f>
        <v/>
      </c>
      <c r="E353" s="104" t="str" cm="1">
        <f t="array" ref="E353">_xlfn.IFS(AND(A353&gt;NumberOfPlots,ISBLANK(INDEX(PlotData,MATCH($A353,PlotNumber,0),MATCH(B$3,PlotTitles,0)))),"",ISBLANK(INDEX(PlotData,MATCH($A353,PlotNumber,0),MATCH(E$3,PlotTitles,0))),$AB$8,TRUE,"")</f>
        <v/>
      </c>
      <c r="F353" s="104" t="str" cm="1">
        <f t="array" ref="F353">_xlfn.IFS(AND(A353&gt;NumberOfPlots,ISBLANK(INDEX(PlotData,MATCH($A353,PlotNumber,0),MATCH(B$3,PlotTitles,0)))),"",ISBLANK(INDEX(PlotData,MATCH($A353,PlotNumber,0),MATCH(F$3,PlotTitles,0))),$AB$9,TRUE,"")</f>
        <v/>
      </c>
      <c r="G353" s="104" t="str" cm="1">
        <f t="array" ref="G353">_xlfn.IFS(AND(A353&gt;NumberOfPlots,ISBLANK(INDEX(PlotData,MATCH($A353,PlotNumber,0),MATCH(B$3,PlotTitles,0)))),"",ISBLANK(INDEX(PlotData,MATCH($A353,PlotNumber,0),MATCH(G$3,PlotTitles,0))),$AB$10,TRUE,"")</f>
        <v/>
      </c>
      <c r="H353" s="104" t="str" cm="1">
        <f t="array" ref="H353">_xlfn.IFS(AND(A353&gt;NumberOfPlots,ISBLANK(INDEX(PlotData,MATCH($A353,PlotNumber,0),MATCH(B$3,PlotTitles,0)))),"",AND(ISBLANK(INDEX(PlotData,MATCH($A353,PlotNumber,0),MATCH(H$3,PlotTitles,0)))=FALSE,INDEX(PlotData,MATCH($A353,PlotNumber,0),MATCH(H$3,PlotTitles,0))&lt;500), $AB$11,TRUE,"")</f>
        <v/>
      </c>
      <c r="I353" s="104" t="str" cm="1">
        <f t="array" ref="I353">_xlfn.IFS(AND(A353&gt;NumberOfPlots,ISBLANK(INDEX(PlotData,MATCH($A353,PlotNumber,0),MATCH(B$3,PlotTitles,0)))),"",ISBLANK(INDEX(PlotData,MATCH($A353,PlotNumber,0),MATCH(I$3,PlotTitles,0))),$AB$12,TRUE,"")</f>
        <v/>
      </c>
      <c r="J353" s="104" t="str" cm="1">
        <f t="array" ref="J353">_xlfn.IFS(AND(A353&gt;NumberOfPlots,ISBLANK(INDEX(PlotData,MATCH($A353,PlotNumber,0),MATCH(B$3,PlotTitles,0)))),"",ISBLANK(INDEX(PlotData,MATCH($A353,PlotNumber,0),MATCH(J$3,PlotTitles,0))),$AB$13,TRUE,"")</f>
        <v/>
      </c>
      <c r="K353" s="182" t="str">
        <f t="shared" ca="1" si="15"/>
        <v/>
      </c>
      <c r="L353" s="104" t="str" cm="1">
        <f t="array" ref="L353">_xlfn.IFS(OR(ISBLANK(StartDateMonth),ISBLANK(StartDateYear)),"",AND(A353&gt;NumberOfPlots,ISBLANK(INDEX(PlotData,MATCH($A353,PlotNumber,0),MATCH(B$3,PlotTitles,0)))),"",ISBLANK(INDEX(PlotData,MATCH($A353,PlotNumber,0),MATCH(I$3,PlotTitles,0))),"",(DATEVALUE(INDEX(PlotData,MATCH($A353,PlotNumber,0),MATCH(I$3,PlotTitles,0))&amp;INDEX(PlotData,MATCH($A353,PlotNumber,0),MATCH(J$3,PlotTitles,0))))&lt;DATEVALUE(StartDateMonth&amp;StartDateYear),$AB$15,TRUE,"")</f>
        <v/>
      </c>
      <c r="M353" s="104" t="str" cm="1">
        <f t="array" ref="M353">_xlfn.IFS(OR(ISBLANK(StartDateMonth),ISBLANK(StartDateYear)),"",AND(A353&gt;NumberOfPlots,ISBLANK(INDEX(PlotData,MATCH($A353,PlotNumber,0),MATCH(B$3,PlotTitles,0)))),"",ISBLANK(INDEX(PlotData,MATCH($A353,PlotNumber,0),MATCH(I$3,PlotTitles,0))),"",CompletionMonth="","",(DATEVALUE(INDEX(PlotData,MATCH($A353,PlotNumber,0),MATCH(I$3,PlotTitles,0))&amp;INDEX(PlotData,MATCH($A353,PlotNumber,0),MATCH(J$3,PlotTitles,0))))&gt;(DATEVALUE(CompletionMonth&amp;CompletionYear)),$AB$16,TRUE,"")</f>
        <v/>
      </c>
      <c r="N353" s="104" t="str" cm="1">
        <f t="array" ref="N353">_xlfn.IFS(AND(A353&gt;NumberOfPlots,ISBLANK(INDEX(PlotData,MATCH($A353,PlotNumber,0),MATCH(B$3,PlotTitles,0)))),"",ISBLANK(INDEX(PlotData,MATCH($A353,PlotNumber,0),MATCH(N$3,PlotTitles,0))),$AB$17,TRUE,"")</f>
        <v/>
      </c>
      <c r="O353" s="104" t="str" cm="1">
        <f t="array" ref="O353">_xlfn.IFS(AND(A353&gt;NumberOfPlots,ISBLANK(INDEX(PlotData,MATCH($A353,PlotNumber,0),MATCH(B$3,PlotTitles,0)))),"",ISBLANK(INDEX(PlotData,MATCH($A353,PlotNumber,0),MATCH(O$3,PlotTitles,0))),$AB$18,TRUE,"")</f>
        <v/>
      </c>
      <c r="P353" s="182" t="str">
        <f t="shared" ca="1" si="16"/>
        <v/>
      </c>
      <c r="Q353" s="104" t="str" cm="1">
        <f t="array" ref="Q353">_xlfn.IFS(AND(A353&gt;NumberOfPlots,ISBLANK(INDEX(PlotData,MATCH($A353,PlotNumber,0),MATCH(B$3,PlotTitles,0)))),"",ISBLANK(INDEX(PlotData,MATCH($A353,PlotNumber,0),MATCH(N$3,PlotTitles,0))),"",(DATEVALUE(INDEX(PlotData,MATCH($A353,PlotNumber,0),MATCH(N$3,PlotTitles,0))&amp;INDEX(PlotData,MATCH($A353,PlotNumber,0),MATCH(O$3,PlotTitles,0))))&lt;(DATEVALUE(INDEX(PlotData,MATCH($A353,PlotNumber,0),MATCH(I$3,PlotTitles,0))&amp;INDEX(PlotData,MATCH($A353,PlotNumber,0),MATCH(J$3,PlotTitles,0)))),$AB$20,TRUE,"")</f>
        <v/>
      </c>
      <c r="R353" s="104" t="str" cm="1">
        <f t="array" ref="R353">_xlfn.IFS(OR(ISBLANK(StartDateMonth),ISBLANK(StartDateYear)),"",AND(A353&gt;NumberOfPlots,ISBLANK(INDEX(PlotData,MATCH($A353,PlotNumber,0),MATCH(B$3,PlotTitles,0)))),"",ISBLANK(INDEX(PlotData,MATCH($A353,PlotNumber,0),MATCH(N$3,PlotTitles,0))),"",CompletionMonth="","",(DATEVALUE(INDEX(PlotData,MATCH($A353,PlotNumber,0),MATCH(N$3,PlotTitles,0))&amp;INDEX(PlotData,MATCH($A353,PlotNumber,0),MATCH(O$3,PlotTitles,0))))&gt;(DATEVALUE(CompletionMonth&amp;CompletionYear)),$AB$21,TRUE,"")</f>
        <v/>
      </c>
      <c r="S353" s="104" t="str" cm="1">
        <f t="array" ref="S353">_xlfn.IFS(AND(A353&gt;NumberOfPlots,ISBLANK(INDEX(PlotData,MATCH($A353,PlotNumber,0),MATCH(B$3,PlotTitles,0)))),"",OR(AND(INDEX(PlotData,MATCH($A353,PlotNumber,0),MATCH("Tenure",PlotTitles,0))="Open market housing",INDEX(PlotData,MATCH($A353,PlotNumber,0),MATCH("Tenure detail",PlotTitles,0))="Private rented sector"),INDEX(PlotData,MATCH($A353,PlotNumber,0),MATCH("Tenure",PlotTitles,0))="Affordable rent"),"",ISNUMBER(INDEX(PlotData,MATCH($A353,PlotNumber,0),MATCH(S$3,PlotTitles,0)))=FALSE, $AB$22,TRUE,"")</f>
        <v/>
      </c>
      <c r="T353" s="104" t="str" cm="1">
        <f t="array" ref="T353">_xlfn.IFS(AND(A353&gt;NumberOfPlots,ISBLANK(INDEX(PlotData,MATCH($A353,PlotNumber,0),MATCH(B$3,PlotTitles,0)))),"",OR(AND(INDEX(PlotData,MATCH($A353,PlotNumber,0),MATCH("Tenure",PlotTitles,0))="Open market housing",INDEX(PlotData,MATCH($A353,PlotNumber,0),MATCH("Tenure detail",PlotTitles,0))="Private rented sector"),INDEX(PlotData,MATCH($A353,PlotNumber,0),MATCH("Tenure",PlotTitles,0))="Affordable rent"),"",INDEX(PlotData,MATCH($A353,PlotNumber,0),MATCH(S$3,PlotTitles,0))&lt;10000, $AB$23,TRUE,"")</f>
        <v/>
      </c>
      <c r="U353" s="104" t="str" cm="1">
        <f t="array" ref="U353">_xlfn.IFS(AND(A353&gt;NumberOfPlots,ISBLANK(INDEX(PlotData,MATCH($A353,PlotNumber,0),MATCH(B$3,PlotTitles,0)))),"",NOT(OR(AND(INDEX(PlotData,MATCH($A353,PlotNumber,0),MATCH("Tenure",PlotTitles,0))="Open market housing",INDEX(PlotData,MATCH($A353,PlotNumber,0),MATCH("Tenure detail",PlotTitles,0))="Private rented sector"),INDEX(PlotData,MATCH($A353,PlotNumber,0),MATCH("Tenure",PlotTitles,0))="Affordable rent")),"",NOT(INDEX(PlotData,MATCH($A353,PlotNumber,0),MATCH(S$3,PlotTitles,0))=0), $AB$24,TRUE,"")</f>
        <v/>
      </c>
      <c r="V353" s="114" t="str" cm="1">
        <f t="array" aca="1" ref="V353" ca="1">_xlfn.IFS(ISBLANK(NumberOfPlots),"Enter the number of homes on the 1_SetUp sheet",AND(A353&gt;NumberOfPlots,ISBLANK(INDEX(PlotData,MATCH($A353,PlotNumber,0),MATCH(B$3,PlotTitles,0)))),"No error",NOT(B353=""),B353,NOT(C353=""),C353,NOT(D353=""),D353,NOT(E353=""),E353,NOT(F353=""),F353,NOT(G353=""),G353,NOT(H353=""),H353,NOT(I353=""),I353,NOT(J353=""),J353,NOT(K353=""),K353,NOT(L353=""),L353,NOT(M353=""),M353,NOT(N353=""),N353,NOT(O353=""),O353,NOT(P353=""),P353,NOT(Q353=""),Q353,NOT(R353=""),R353,NOT(S353=""),S353,NOT(T353=""),T353,NOT(U353=""),U353,TRUE,"No error")</f>
        <v>Enter the number of homes on the 1_SetUp sheet</v>
      </c>
      <c r="W353" s="114" t="str">
        <f t="shared" ca="1" si="17"/>
        <v xml:space="preserve">The Borrower has not addressed the following error messages for Home ID 349: </v>
      </c>
    </row>
    <row r="354" spans="1:23">
      <c r="A354" s="123">
        <v>350</v>
      </c>
      <c r="B354" s="104" t="str" cm="1">
        <f t="array" ref="B354">_xlfn.IFS(AND(A354&gt;NumberOfPlots,ISBLANK(INDEX(PlotData,MATCH($A354,PlotNumber,0),MATCH(B$3,PlotTitles,0)))),"",ISNUMBER(INDEX(PlotData,MATCH($A354,PlotNumber,0),MATCH(B$3,PlotTitles,0)))=FALSE, $AB$5,TRUE,"")</f>
        <v/>
      </c>
      <c r="C354" s="104" t="str" cm="1">
        <f t="array" ref="C354">_xlfn.IFS(AND(A354&gt;NumberOfPlots,ISBLANK(INDEX(PlotData,MATCH($A354,PlotNumber,0),MATCH(B$3,PlotTitles,0)))),"",ISBLANK(INDEX(PlotData,MATCH($A354,PlotNumber,0),MATCH(C$3,PlotTitles,0))),$AB$6,TRUE,"")</f>
        <v/>
      </c>
      <c r="D354" s="104" t="str" cm="1">
        <f t="array" ref="D354">_xlfn.IFS(AND(A354&gt;NumberOfPlots,ISBLANK(INDEX(PlotData,MATCH($A354,PlotNumber,0),MATCH(B$3,PlotTitles,0)))),"",ISBLANK(INDEX(PlotData,MATCH($A354,PlotNumber,0),MATCH(D$3,PlotTitles,0))),$AB$7,TRUE,"")</f>
        <v/>
      </c>
      <c r="E354" s="104" t="str" cm="1">
        <f t="array" ref="E354">_xlfn.IFS(AND(A354&gt;NumberOfPlots,ISBLANK(INDEX(PlotData,MATCH($A354,PlotNumber,0),MATCH(B$3,PlotTitles,0)))),"",ISBLANK(INDEX(PlotData,MATCH($A354,PlotNumber,0),MATCH(E$3,PlotTitles,0))),$AB$8,TRUE,"")</f>
        <v/>
      </c>
      <c r="F354" s="104" t="str" cm="1">
        <f t="array" ref="F354">_xlfn.IFS(AND(A354&gt;NumberOfPlots,ISBLANK(INDEX(PlotData,MATCH($A354,PlotNumber,0),MATCH(B$3,PlotTitles,0)))),"",ISBLANK(INDEX(PlotData,MATCH($A354,PlotNumber,0),MATCH(F$3,PlotTitles,0))),$AB$9,TRUE,"")</f>
        <v/>
      </c>
      <c r="G354" s="104" t="str" cm="1">
        <f t="array" ref="G354">_xlfn.IFS(AND(A354&gt;NumberOfPlots,ISBLANK(INDEX(PlotData,MATCH($A354,PlotNumber,0),MATCH(B$3,PlotTitles,0)))),"",ISBLANK(INDEX(PlotData,MATCH($A354,PlotNumber,0),MATCH(G$3,PlotTitles,0))),$AB$10,TRUE,"")</f>
        <v/>
      </c>
      <c r="H354" s="104" t="str" cm="1">
        <f t="array" ref="H354">_xlfn.IFS(AND(A354&gt;NumberOfPlots,ISBLANK(INDEX(PlotData,MATCH($A354,PlotNumber,0),MATCH(B$3,PlotTitles,0)))),"",AND(ISBLANK(INDEX(PlotData,MATCH($A354,PlotNumber,0),MATCH(H$3,PlotTitles,0)))=FALSE,INDEX(PlotData,MATCH($A354,PlotNumber,0),MATCH(H$3,PlotTitles,0))&lt;500), $AB$11,TRUE,"")</f>
        <v/>
      </c>
      <c r="I354" s="104" t="str" cm="1">
        <f t="array" ref="I354">_xlfn.IFS(AND(A354&gt;NumberOfPlots,ISBLANK(INDEX(PlotData,MATCH($A354,PlotNumber,0),MATCH(B$3,PlotTitles,0)))),"",ISBLANK(INDEX(PlotData,MATCH($A354,PlotNumber,0),MATCH(I$3,PlotTitles,0))),$AB$12,TRUE,"")</f>
        <v/>
      </c>
      <c r="J354" s="104" t="str" cm="1">
        <f t="array" ref="J354">_xlfn.IFS(AND(A354&gt;NumberOfPlots,ISBLANK(INDEX(PlotData,MATCH($A354,PlotNumber,0),MATCH(B$3,PlotTitles,0)))),"",ISBLANK(INDEX(PlotData,MATCH($A354,PlotNumber,0),MATCH(J$3,PlotTitles,0))),$AB$13,TRUE,"")</f>
        <v/>
      </c>
      <c r="K354" s="182" t="str">
        <f t="shared" ca="1" si="15"/>
        <v/>
      </c>
      <c r="L354" s="104" t="str" cm="1">
        <f t="array" ref="L354">_xlfn.IFS(OR(ISBLANK(StartDateMonth),ISBLANK(StartDateYear)),"",AND(A354&gt;NumberOfPlots,ISBLANK(INDEX(PlotData,MATCH($A354,PlotNumber,0),MATCH(B$3,PlotTitles,0)))),"",ISBLANK(INDEX(PlotData,MATCH($A354,PlotNumber,0),MATCH(I$3,PlotTitles,0))),"",(DATEVALUE(INDEX(PlotData,MATCH($A354,PlotNumber,0),MATCH(I$3,PlotTitles,0))&amp;INDEX(PlotData,MATCH($A354,PlotNumber,0),MATCH(J$3,PlotTitles,0))))&lt;DATEVALUE(StartDateMonth&amp;StartDateYear),$AB$15,TRUE,"")</f>
        <v/>
      </c>
      <c r="M354" s="104" t="str" cm="1">
        <f t="array" ref="M354">_xlfn.IFS(OR(ISBLANK(StartDateMonth),ISBLANK(StartDateYear)),"",AND(A354&gt;NumberOfPlots,ISBLANK(INDEX(PlotData,MATCH($A354,PlotNumber,0),MATCH(B$3,PlotTitles,0)))),"",ISBLANK(INDEX(PlotData,MATCH($A354,PlotNumber,0),MATCH(I$3,PlotTitles,0))),"",CompletionMonth="","",(DATEVALUE(INDEX(PlotData,MATCH($A354,PlotNumber,0),MATCH(I$3,PlotTitles,0))&amp;INDEX(PlotData,MATCH($A354,PlotNumber,0),MATCH(J$3,PlotTitles,0))))&gt;(DATEVALUE(CompletionMonth&amp;CompletionYear)),$AB$16,TRUE,"")</f>
        <v/>
      </c>
      <c r="N354" s="104" t="str" cm="1">
        <f t="array" ref="N354">_xlfn.IFS(AND(A354&gt;NumberOfPlots,ISBLANK(INDEX(PlotData,MATCH($A354,PlotNumber,0),MATCH(B$3,PlotTitles,0)))),"",ISBLANK(INDEX(PlotData,MATCH($A354,PlotNumber,0),MATCH(N$3,PlotTitles,0))),$AB$17,TRUE,"")</f>
        <v/>
      </c>
      <c r="O354" s="104" t="str" cm="1">
        <f t="array" ref="O354">_xlfn.IFS(AND(A354&gt;NumberOfPlots,ISBLANK(INDEX(PlotData,MATCH($A354,PlotNumber,0),MATCH(B$3,PlotTitles,0)))),"",ISBLANK(INDEX(PlotData,MATCH($A354,PlotNumber,0),MATCH(O$3,PlotTitles,0))),$AB$18,TRUE,"")</f>
        <v/>
      </c>
      <c r="P354" s="182" t="str">
        <f t="shared" ca="1" si="16"/>
        <v/>
      </c>
      <c r="Q354" s="104" t="str" cm="1">
        <f t="array" ref="Q354">_xlfn.IFS(AND(A354&gt;NumberOfPlots,ISBLANK(INDEX(PlotData,MATCH($A354,PlotNumber,0),MATCH(B$3,PlotTitles,0)))),"",ISBLANK(INDEX(PlotData,MATCH($A354,PlotNumber,0),MATCH(N$3,PlotTitles,0))),"",(DATEVALUE(INDEX(PlotData,MATCH($A354,PlotNumber,0),MATCH(N$3,PlotTitles,0))&amp;INDEX(PlotData,MATCH($A354,PlotNumber,0),MATCH(O$3,PlotTitles,0))))&lt;(DATEVALUE(INDEX(PlotData,MATCH($A354,PlotNumber,0),MATCH(I$3,PlotTitles,0))&amp;INDEX(PlotData,MATCH($A354,PlotNumber,0),MATCH(J$3,PlotTitles,0)))),$AB$20,TRUE,"")</f>
        <v/>
      </c>
      <c r="R354" s="104" t="str" cm="1">
        <f t="array" ref="R354">_xlfn.IFS(OR(ISBLANK(StartDateMonth),ISBLANK(StartDateYear)),"",AND(A354&gt;NumberOfPlots,ISBLANK(INDEX(PlotData,MATCH($A354,PlotNumber,0),MATCH(B$3,PlotTitles,0)))),"",ISBLANK(INDEX(PlotData,MATCH($A354,PlotNumber,0),MATCH(N$3,PlotTitles,0))),"",CompletionMonth="","",(DATEVALUE(INDEX(PlotData,MATCH($A354,PlotNumber,0),MATCH(N$3,PlotTitles,0))&amp;INDEX(PlotData,MATCH($A354,PlotNumber,0),MATCH(O$3,PlotTitles,0))))&gt;(DATEVALUE(CompletionMonth&amp;CompletionYear)),$AB$21,TRUE,"")</f>
        <v/>
      </c>
      <c r="S354" s="104" t="str" cm="1">
        <f t="array" ref="S354">_xlfn.IFS(AND(A354&gt;NumberOfPlots,ISBLANK(INDEX(PlotData,MATCH($A354,PlotNumber,0),MATCH(B$3,PlotTitles,0)))),"",OR(AND(INDEX(PlotData,MATCH($A354,PlotNumber,0),MATCH("Tenure",PlotTitles,0))="Open market housing",INDEX(PlotData,MATCH($A354,PlotNumber,0),MATCH("Tenure detail",PlotTitles,0))="Private rented sector"),INDEX(PlotData,MATCH($A354,PlotNumber,0),MATCH("Tenure",PlotTitles,0))="Affordable rent"),"",ISNUMBER(INDEX(PlotData,MATCH($A354,PlotNumber,0),MATCH(S$3,PlotTitles,0)))=FALSE, $AB$22,TRUE,"")</f>
        <v/>
      </c>
      <c r="T354" s="104" t="str" cm="1">
        <f t="array" ref="T354">_xlfn.IFS(AND(A354&gt;NumberOfPlots,ISBLANK(INDEX(PlotData,MATCH($A354,PlotNumber,0),MATCH(B$3,PlotTitles,0)))),"",OR(AND(INDEX(PlotData,MATCH($A354,PlotNumber,0),MATCH("Tenure",PlotTitles,0))="Open market housing",INDEX(PlotData,MATCH($A354,PlotNumber,0),MATCH("Tenure detail",PlotTitles,0))="Private rented sector"),INDEX(PlotData,MATCH($A354,PlotNumber,0),MATCH("Tenure",PlotTitles,0))="Affordable rent"),"",INDEX(PlotData,MATCH($A354,PlotNumber,0),MATCH(S$3,PlotTitles,0))&lt;10000, $AB$23,TRUE,"")</f>
        <v/>
      </c>
      <c r="U354" s="104" t="str" cm="1">
        <f t="array" ref="U354">_xlfn.IFS(AND(A354&gt;NumberOfPlots,ISBLANK(INDEX(PlotData,MATCH($A354,PlotNumber,0),MATCH(B$3,PlotTitles,0)))),"",NOT(OR(AND(INDEX(PlotData,MATCH($A354,PlotNumber,0),MATCH("Tenure",PlotTitles,0))="Open market housing",INDEX(PlotData,MATCH($A354,PlotNumber,0),MATCH("Tenure detail",PlotTitles,0))="Private rented sector"),INDEX(PlotData,MATCH($A354,PlotNumber,0),MATCH("Tenure",PlotTitles,0))="Affordable rent")),"",NOT(INDEX(PlotData,MATCH($A354,PlotNumber,0),MATCH(S$3,PlotTitles,0))=0), $AB$24,TRUE,"")</f>
        <v/>
      </c>
      <c r="V354" s="114" t="str" cm="1">
        <f t="array" aca="1" ref="V354" ca="1">_xlfn.IFS(ISBLANK(NumberOfPlots),"Enter the number of homes on the 1_SetUp sheet",AND(A354&gt;NumberOfPlots,ISBLANK(INDEX(PlotData,MATCH($A354,PlotNumber,0),MATCH(B$3,PlotTitles,0)))),"No error",NOT(B354=""),B354,NOT(C354=""),C354,NOT(D354=""),D354,NOT(E354=""),E354,NOT(F354=""),F354,NOT(G354=""),G354,NOT(H354=""),H354,NOT(I354=""),I354,NOT(J354=""),J354,NOT(K354=""),K354,NOT(L354=""),L354,NOT(M354=""),M354,NOT(N354=""),N354,NOT(O354=""),O354,NOT(P354=""),P354,NOT(Q354=""),Q354,NOT(R354=""),R354,NOT(S354=""),S354,NOT(T354=""),T354,NOT(U354=""),U354,TRUE,"No error")</f>
        <v>Enter the number of homes on the 1_SetUp sheet</v>
      </c>
      <c r="W354" s="114" t="str">
        <f t="shared" ca="1" si="17"/>
        <v xml:space="preserve">The Borrower has not addressed the following error messages for Home ID 350: </v>
      </c>
    </row>
    <row r="355" spans="1:23">
      <c r="A355" s="123">
        <v>351</v>
      </c>
      <c r="B355" s="104" t="str" cm="1">
        <f t="array" ref="B355">_xlfn.IFS(AND(A355&gt;NumberOfPlots,ISBLANK(INDEX(PlotData,MATCH($A355,PlotNumber,0),MATCH(B$3,PlotTitles,0)))),"",ISNUMBER(INDEX(PlotData,MATCH($A355,PlotNumber,0),MATCH(B$3,PlotTitles,0)))=FALSE, $AB$5,TRUE,"")</f>
        <v/>
      </c>
      <c r="C355" s="104" t="str" cm="1">
        <f t="array" ref="C355">_xlfn.IFS(AND(A355&gt;NumberOfPlots,ISBLANK(INDEX(PlotData,MATCH($A355,PlotNumber,0),MATCH(B$3,PlotTitles,0)))),"",ISBLANK(INDEX(PlotData,MATCH($A355,PlotNumber,0),MATCH(C$3,PlotTitles,0))),$AB$6,TRUE,"")</f>
        <v/>
      </c>
      <c r="D355" s="104" t="str" cm="1">
        <f t="array" ref="D355">_xlfn.IFS(AND(A355&gt;NumberOfPlots,ISBLANK(INDEX(PlotData,MATCH($A355,PlotNumber,0),MATCH(B$3,PlotTitles,0)))),"",ISBLANK(INDEX(PlotData,MATCH($A355,PlotNumber,0),MATCH(D$3,PlotTitles,0))),$AB$7,TRUE,"")</f>
        <v/>
      </c>
      <c r="E355" s="104" t="str" cm="1">
        <f t="array" ref="E355">_xlfn.IFS(AND(A355&gt;NumberOfPlots,ISBLANK(INDEX(PlotData,MATCH($A355,PlotNumber,0),MATCH(B$3,PlotTitles,0)))),"",ISBLANK(INDEX(PlotData,MATCH($A355,PlotNumber,0),MATCH(E$3,PlotTitles,0))),$AB$8,TRUE,"")</f>
        <v/>
      </c>
      <c r="F355" s="104" t="str" cm="1">
        <f t="array" ref="F355">_xlfn.IFS(AND(A355&gt;NumberOfPlots,ISBLANK(INDEX(PlotData,MATCH($A355,PlotNumber,0),MATCH(B$3,PlotTitles,0)))),"",ISBLANK(INDEX(PlotData,MATCH($A355,PlotNumber,0),MATCH(F$3,PlotTitles,0))),$AB$9,TRUE,"")</f>
        <v/>
      </c>
      <c r="G355" s="104" t="str" cm="1">
        <f t="array" ref="G355">_xlfn.IFS(AND(A355&gt;NumberOfPlots,ISBLANK(INDEX(PlotData,MATCH($A355,PlotNumber,0),MATCH(B$3,PlotTitles,0)))),"",ISBLANK(INDEX(PlotData,MATCH($A355,PlotNumber,0),MATCH(G$3,PlotTitles,0))),$AB$10,TRUE,"")</f>
        <v/>
      </c>
      <c r="H355" s="104" t="str" cm="1">
        <f t="array" ref="H355">_xlfn.IFS(AND(A355&gt;NumberOfPlots,ISBLANK(INDEX(PlotData,MATCH($A355,PlotNumber,0),MATCH(B$3,PlotTitles,0)))),"",AND(ISBLANK(INDEX(PlotData,MATCH($A355,PlotNumber,0),MATCH(H$3,PlotTitles,0)))=FALSE,INDEX(PlotData,MATCH($A355,PlotNumber,0),MATCH(H$3,PlotTitles,0))&lt;500), $AB$11,TRUE,"")</f>
        <v/>
      </c>
      <c r="I355" s="104" t="str" cm="1">
        <f t="array" ref="I355">_xlfn.IFS(AND(A355&gt;NumberOfPlots,ISBLANK(INDEX(PlotData,MATCH($A355,PlotNumber,0),MATCH(B$3,PlotTitles,0)))),"",ISBLANK(INDEX(PlotData,MATCH($A355,PlotNumber,0),MATCH(I$3,PlotTitles,0))),$AB$12,TRUE,"")</f>
        <v/>
      </c>
      <c r="J355" s="104" t="str" cm="1">
        <f t="array" ref="J355">_xlfn.IFS(AND(A355&gt;NumberOfPlots,ISBLANK(INDEX(PlotData,MATCH($A355,PlotNumber,0),MATCH(B$3,PlotTitles,0)))),"",ISBLANK(INDEX(PlotData,MATCH($A355,PlotNumber,0),MATCH(J$3,PlotTitles,0))),$AB$13,TRUE,"")</f>
        <v/>
      </c>
      <c r="K355" s="182" t="str">
        <f t="shared" ca="1" si="15"/>
        <v/>
      </c>
      <c r="L355" s="104" t="str" cm="1">
        <f t="array" ref="L355">_xlfn.IFS(OR(ISBLANK(StartDateMonth),ISBLANK(StartDateYear)),"",AND(A355&gt;NumberOfPlots,ISBLANK(INDEX(PlotData,MATCH($A355,PlotNumber,0),MATCH(B$3,PlotTitles,0)))),"",ISBLANK(INDEX(PlotData,MATCH($A355,PlotNumber,0),MATCH(I$3,PlotTitles,0))),"",(DATEVALUE(INDEX(PlotData,MATCH($A355,PlotNumber,0),MATCH(I$3,PlotTitles,0))&amp;INDEX(PlotData,MATCH($A355,PlotNumber,0),MATCH(J$3,PlotTitles,0))))&lt;DATEVALUE(StartDateMonth&amp;StartDateYear),$AB$15,TRUE,"")</f>
        <v/>
      </c>
      <c r="M355" s="104" t="str" cm="1">
        <f t="array" ref="M355">_xlfn.IFS(OR(ISBLANK(StartDateMonth),ISBLANK(StartDateYear)),"",AND(A355&gt;NumberOfPlots,ISBLANK(INDEX(PlotData,MATCH($A355,PlotNumber,0),MATCH(B$3,PlotTitles,0)))),"",ISBLANK(INDEX(PlotData,MATCH($A355,PlotNumber,0),MATCH(I$3,PlotTitles,0))),"",CompletionMonth="","",(DATEVALUE(INDEX(PlotData,MATCH($A355,PlotNumber,0),MATCH(I$3,PlotTitles,0))&amp;INDEX(PlotData,MATCH($A355,PlotNumber,0),MATCH(J$3,PlotTitles,0))))&gt;(DATEVALUE(CompletionMonth&amp;CompletionYear)),$AB$16,TRUE,"")</f>
        <v/>
      </c>
      <c r="N355" s="104" t="str" cm="1">
        <f t="array" ref="N355">_xlfn.IFS(AND(A355&gt;NumberOfPlots,ISBLANK(INDEX(PlotData,MATCH($A355,PlotNumber,0),MATCH(B$3,PlotTitles,0)))),"",ISBLANK(INDEX(PlotData,MATCH($A355,PlotNumber,0),MATCH(N$3,PlotTitles,0))),$AB$17,TRUE,"")</f>
        <v/>
      </c>
      <c r="O355" s="104" t="str" cm="1">
        <f t="array" ref="O355">_xlfn.IFS(AND(A355&gt;NumberOfPlots,ISBLANK(INDEX(PlotData,MATCH($A355,PlotNumber,0),MATCH(B$3,PlotTitles,0)))),"",ISBLANK(INDEX(PlotData,MATCH($A355,PlotNumber,0),MATCH(O$3,PlotTitles,0))),$AB$18,TRUE,"")</f>
        <v/>
      </c>
      <c r="P355" s="182" t="str">
        <f t="shared" ca="1" si="16"/>
        <v/>
      </c>
      <c r="Q355" s="104" t="str" cm="1">
        <f t="array" ref="Q355">_xlfn.IFS(AND(A355&gt;NumberOfPlots,ISBLANK(INDEX(PlotData,MATCH($A355,PlotNumber,0),MATCH(B$3,PlotTitles,0)))),"",ISBLANK(INDEX(PlotData,MATCH($A355,PlotNumber,0),MATCH(N$3,PlotTitles,0))),"",(DATEVALUE(INDEX(PlotData,MATCH($A355,PlotNumber,0),MATCH(N$3,PlotTitles,0))&amp;INDEX(PlotData,MATCH($A355,PlotNumber,0),MATCH(O$3,PlotTitles,0))))&lt;(DATEVALUE(INDEX(PlotData,MATCH($A355,PlotNumber,0),MATCH(I$3,PlotTitles,0))&amp;INDEX(PlotData,MATCH($A355,PlotNumber,0),MATCH(J$3,PlotTitles,0)))),$AB$20,TRUE,"")</f>
        <v/>
      </c>
      <c r="R355" s="104" t="str" cm="1">
        <f t="array" ref="R355">_xlfn.IFS(OR(ISBLANK(StartDateMonth),ISBLANK(StartDateYear)),"",AND(A355&gt;NumberOfPlots,ISBLANK(INDEX(PlotData,MATCH($A355,PlotNumber,0),MATCH(B$3,PlotTitles,0)))),"",ISBLANK(INDEX(PlotData,MATCH($A355,PlotNumber,0),MATCH(N$3,PlotTitles,0))),"",CompletionMonth="","",(DATEVALUE(INDEX(PlotData,MATCH($A355,PlotNumber,0),MATCH(N$3,PlotTitles,0))&amp;INDEX(PlotData,MATCH($A355,PlotNumber,0),MATCH(O$3,PlotTitles,0))))&gt;(DATEVALUE(CompletionMonth&amp;CompletionYear)),$AB$21,TRUE,"")</f>
        <v/>
      </c>
      <c r="S355" s="104" t="str" cm="1">
        <f t="array" ref="S355">_xlfn.IFS(AND(A355&gt;NumberOfPlots,ISBLANK(INDEX(PlotData,MATCH($A355,PlotNumber,0),MATCH(B$3,PlotTitles,0)))),"",OR(AND(INDEX(PlotData,MATCH($A355,PlotNumber,0),MATCH("Tenure",PlotTitles,0))="Open market housing",INDEX(PlotData,MATCH($A355,PlotNumber,0),MATCH("Tenure detail",PlotTitles,0))="Private rented sector"),INDEX(PlotData,MATCH($A355,PlotNumber,0),MATCH("Tenure",PlotTitles,0))="Affordable rent"),"",ISNUMBER(INDEX(PlotData,MATCH($A355,PlotNumber,0),MATCH(S$3,PlotTitles,0)))=FALSE, $AB$22,TRUE,"")</f>
        <v/>
      </c>
      <c r="T355" s="104" t="str" cm="1">
        <f t="array" ref="T355">_xlfn.IFS(AND(A355&gt;NumberOfPlots,ISBLANK(INDEX(PlotData,MATCH($A355,PlotNumber,0),MATCH(B$3,PlotTitles,0)))),"",OR(AND(INDEX(PlotData,MATCH($A355,PlotNumber,0),MATCH("Tenure",PlotTitles,0))="Open market housing",INDEX(PlotData,MATCH($A355,PlotNumber,0),MATCH("Tenure detail",PlotTitles,0))="Private rented sector"),INDEX(PlotData,MATCH($A355,PlotNumber,0),MATCH("Tenure",PlotTitles,0))="Affordable rent"),"",INDEX(PlotData,MATCH($A355,PlotNumber,0),MATCH(S$3,PlotTitles,0))&lt;10000, $AB$23,TRUE,"")</f>
        <v/>
      </c>
      <c r="U355" s="104" t="str" cm="1">
        <f t="array" ref="U355">_xlfn.IFS(AND(A355&gt;NumberOfPlots,ISBLANK(INDEX(PlotData,MATCH($A355,PlotNumber,0),MATCH(B$3,PlotTitles,0)))),"",NOT(OR(AND(INDEX(PlotData,MATCH($A355,PlotNumber,0),MATCH("Tenure",PlotTitles,0))="Open market housing",INDEX(PlotData,MATCH($A355,PlotNumber,0),MATCH("Tenure detail",PlotTitles,0))="Private rented sector"),INDEX(PlotData,MATCH($A355,PlotNumber,0),MATCH("Tenure",PlotTitles,0))="Affordable rent")),"",NOT(INDEX(PlotData,MATCH($A355,PlotNumber,0),MATCH(S$3,PlotTitles,0))=0), $AB$24,TRUE,"")</f>
        <v/>
      </c>
      <c r="V355" s="114" t="str" cm="1">
        <f t="array" aca="1" ref="V355" ca="1">_xlfn.IFS(ISBLANK(NumberOfPlots),"Enter the number of homes on the 1_SetUp sheet",AND(A355&gt;NumberOfPlots,ISBLANK(INDEX(PlotData,MATCH($A355,PlotNumber,0),MATCH(B$3,PlotTitles,0)))),"No error",NOT(B355=""),B355,NOT(C355=""),C355,NOT(D355=""),D355,NOT(E355=""),E355,NOT(F355=""),F355,NOT(G355=""),G355,NOT(H355=""),H355,NOT(I355=""),I355,NOT(J355=""),J355,NOT(K355=""),K355,NOT(L355=""),L355,NOT(M355=""),M355,NOT(N355=""),N355,NOT(O355=""),O355,NOT(P355=""),P355,NOT(Q355=""),Q355,NOT(R355=""),R355,NOT(S355=""),S355,NOT(T355=""),T355,NOT(U355=""),U355,TRUE,"No error")</f>
        <v>Enter the number of homes on the 1_SetUp sheet</v>
      </c>
      <c r="W355" s="114" t="str">
        <f t="shared" ca="1" si="17"/>
        <v xml:space="preserve">The Borrower has not addressed the following error messages for Home ID 351: </v>
      </c>
    </row>
    <row r="356" spans="1:23">
      <c r="A356" s="123">
        <v>352</v>
      </c>
      <c r="B356" s="104" t="str" cm="1">
        <f t="array" ref="B356">_xlfn.IFS(AND(A356&gt;NumberOfPlots,ISBLANK(INDEX(PlotData,MATCH($A356,PlotNumber,0),MATCH(B$3,PlotTitles,0)))),"",ISNUMBER(INDEX(PlotData,MATCH($A356,PlotNumber,0),MATCH(B$3,PlotTitles,0)))=FALSE, $AB$5,TRUE,"")</f>
        <v/>
      </c>
      <c r="C356" s="104" t="str" cm="1">
        <f t="array" ref="C356">_xlfn.IFS(AND(A356&gt;NumberOfPlots,ISBLANK(INDEX(PlotData,MATCH($A356,PlotNumber,0),MATCH(B$3,PlotTitles,0)))),"",ISBLANK(INDEX(PlotData,MATCH($A356,PlotNumber,0),MATCH(C$3,PlotTitles,0))),$AB$6,TRUE,"")</f>
        <v/>
      </c>
      <c r="D356" s="104" t="str" cm="1">
        <f t="array" ref="D356">_xlfn.IFS(AND(A356&gt;NumberOfPlots,ISBLANK(INDEX(PlotData,MATCH($A356,PlotNumber,0),MATCH(B$3,PlotTitles,0)))),"",ISBLANK(INDEX(PlotData,MATCH($A356,PlotNumber,0),MATCH(D$3,PlotTitles,0))),$AB$7,TRUE,"")</f>
        <v/>
      </c>
      <c r="E356" s="104" t="str" cm="1">
        <f t="array" ref="E356">_xlfn.IFS(AND(A356&gt;NumberOfPlots,ISBLANK(INDEX(PlotData,MATCH($A356,PlotNumber,0),MATCH(B$3,PlotTitles,0)))),"",ISBLANK(INDEX(PlotData,MATCH($A356,PlotNumber,0),MATCH(E$3,PlotTitles,0))),$AB$8,TRUE,"")</f>
        <v/>
      </c>
      <c r="F356" s="104" t="str" cm="1">
        <f t="array" ref="F356">_xlfn.IFS(AND(A356&gt;NumberOfPlots,ISBLANK(INDEX(PlotData,MATCH($A356,PlotNumber,0),MATCH(B$3,PlotTitles,0)))),"",ISBLANK(INDEX(PlotData,MATCH($A356,PlotNumber,0),MATCH(F$3,PlotTitles,0))),$AB$9,TRUE,"")</f>
        <v/>
      </c>
      <c r="G356" s="104" t="str" cm="1">
        <f t="array" ref="G356">_xlfn.IFS(AND(A356&gt;NumberOfPlots,ISBLANK(INDEX(PlotData,MATCH($A356,PlotNumber,0),MATCH(B$3,PlotTitles,0)))),"",ISBLANK(INDEX(PlotData,MATCH($A356,PlotNumber,0),MATCH(G$3,PlotTitles,0))),$AB$10,TRUE,"")</f>
        <v/>
      </c>
      <c r="H356" s="104" t="str" cm="1">
        <f t="array" ref="H356">_xlfn.IFS(AND(A356&gt;NumberOfPlots,ISBLANK(INDEX(PlotData,MATCH($A356,PlotNumber,0),MATCH(B$3,PlotTitles,0)))),"",AND(ISBLANK(INDEX(PlotData,MATCH($A356,PlotNumber,0),MATCH(H$3,PlotTitles,0)))=FALSE,INDEX(PlotData,MATCH($A356,PlotNumber,0),MATCH(H$3,PlotTitles,0))&lt;500), $AB$11,TRUE,"")</f>
        <v/>
      </c>
      <c r="I356" s="104" t="str" cm="1">
        <f t="array" ref="I356">_xlfn.IFS(AND(A356&gt;NumberOfPlots,ISBLANK(INDEX(PlotData,MATCH($A356,PlotNumber,0),MATCH(B$3,PlotTitles,0)))),"",ISBLANK(INDEX(PlotData,MATCH($A356,PlotNumber,0),MATCH(I$3,PlotTitles,0))),$AB$12,TRUE,"")</f>
        <v/>
      </c>
      <c r="J356" s="104" t="str" cm="1">
        <f t="array" ref="J356">_xlfn.IFS(AND(A356&gt;NumberOfPlots,ISBLANK(INDEX(PlotData,MATCH($A356,PlotNumber,0),MATCH(B$3,PlotTitles,0)))),"",ISBLANK(INDEX(PlotData,MATCH($A356,PlotNumber,0),MATCH(J$3,PlotTitles,0))),$AB$13,TRUE,"")</f>
        <v/>
      </c>
      <c r="K356" s="182" t="str">
        <f t="shared" ca="1" si="15"/>
        <v/>
      </c>
      <c r="L356" s="104" t="str" cm="1">
        <f t="array" ref="L356">_xlfn.IFS(OR(ISBLANK(StartDateMonth),ISBLANK(StartDateYear)),"",AND(A356&gt;NumberOfPlots,ISBLANK(INDEX(PlotData,MATCH($A356,PlotNumber,0),MATCH(B$3,PlotTitles,0)))),"",ISBLANK(INDEX(PlotData,MATCH($A356,PlotNumber,0),MATCH(I$3,PlotTitles,0))),"",(DATEVALUE(INDEX(PlotData,MATCH($A356,PlotNumber,0),MATCH(I$3,PlotTitles,0))&amp;INDEX(PlotData,MATCH($A356,PlotNumber,0),MATCH(J$3,PlotTitles,0))))&lt;DATEVALUE(StartDateMonth&amp;StartDateYear),$AB$15,TRUE,"")</f>
        <v/>
      </c>
      <c r="M356" s="104" t="str" cm="1">
        <f t="array" ref="M356">_xlfn.IFS(OR(ISBLANK(StartDateMonth),ISBLANK(StartDateYear)),"",AND(A356&gt;NumberOfPlots,ISBLANK(INDEX(PlotData,MATCH($A356,PlotNumber,0),MATCH(B$3,PlotTitles,0)))),"",ISBLANK(INDEX(PlotData,MATCH($A356,PlotNumber,0),MATCH(I$3,PlotTitles,0))),"",CompletionMonth="","",(DATEVALUE(INDEX(PlotData,MATCH($A356,PlotNumber,0),MATCH(I$3,PlotTitles,0))&amp;INDEX(PlotData,MATCH($A356,PlotNumber,0),MATCH(J$3,PlotTitles,0))))&gt;(DATEVALUE(CompletionMonth&amp;CompletionYear)),$AB$16,TRUE,"")</f>
        <v/>
      </c>
      <c r="N356" s="104" t="str" cm="1">
        <f t="array" ref="N356">_xlfn.IFS(AND(A356&gt;NumberOfPlots,ISBLANK(INDEX(PlotData,MATCH($A356,PlotNumber,0),MATCH(B$3,PlotTitles,0)))),"",ISBLANK(INDEX(PlotData,MATCH($A356,PlotNumber,0),MATCH(N$3,PlotTitles,0))),$AB$17,TRUE,"")</f>
        <v/>
      </c>
      <c r="O356" s="104" t="str" cm="1">
        <f t="array" ref="O356">_xlfn.IFS(AND(A356&gt;NumberOfPlots,ISBLANK(INDEX(PlotData,MATCH($A356,PlotNumber,0),MATCH(B$3,PlotTitles,0)))),"",ISBLANK(INDEX(PlotData,MATCH($A356,PlotNumber,0),MATCH(O$3,PlotTitles,0))),$AB$18,TRUE,"")</f>
        <v/>
      </c>
      <c r="P356" s="182" t="str">
        <f t="shared" ca="1" si="16"/>
        <v/>
      </c>
      <c r="Q356" s="104" t="str" cm="1">
        <f t="array" ref="Q356">_xlfn.IFS(AND(A356&gt;NumberOfPlots,ISBLANK(INDEX(PlotData,MATCH($A356,PlotNumber,0),MATCH(B$3,PlotTitles,0)))),"",ISBLANK(INDEX(PlotData,MATCH($A356,PlotNumber,0),MATCH(N$3,PlotTitles,0))),"",(DATEVALUE(INDEX(PlotData,MATCH($A356,PlotNumber,0),MATCH(N$3,PlotTitles,0))&amp;INDEX(PlotData,MATCH($A356,PlotNumber,0),MATCH(O$3,PlotTitles,0))))&lt;(DATEVALUE(INDEX(PlotData,MATCH($A356,PlotNumber,0),MATCH(I$3,PlotTitles,0))&amp;INDEX(PlotData,MATCH($A356,PlotNumber,0),MATCH(J$3,PlotTitles,0)))),$AB$20,TRUE,"")</f>
        <v/>
      </c>
      <c r="R356" s="104" t="str" cm="1">
        <f t="array" ref="R356">_xlfn.IFS(OR(ISBLANK(StartDateMonth),ISBLANK(StartDateYear)),"",AND(A356&gt;NumberOfPlots,ISBLANK(INDEX(PlotData,MATCH($A356,PlotNumber,0),MATCH(B$3,PlotTitles,0)))),"",ISBLANK(INDEX(PlotData,MATCH($A356,PlotNumber,0),MATCH(N$3,PlotTitles,0))),"",CompletionMonth="","",(DATEVALUE(INDEX(PlotData,MATCH($A356,PlotNumber,0),MATCH(N$3,PlotTitles,0))&amp;INDEX(PlotData,MATCH($A356,PlotNumber,0),MATCH(O$3,PlotTitles,0))))&gt;(DATEVALUE(CompletionMonth&amp;CompletionYear)),$AB$21,TRUE,"")</f>
        <v/>
      </c>
      <c r="S356" s="104" t="str" cm="1">
        <f t="array" ref="S356">_xlfn.IFS(AND(A356&gt;NumberOfPlots,ISBLANK(INDEX(PlotData,MATCH($A356,PlotNumber,0),MATCH(B$3,PlotTitles,0)))),"",OR(AND(INDEX(PlotData,MATCH($A356,PlotNumber,0),MATCH("Tenure",PlotTitles,0))="Open market housing",INDEX(PlotData,MATCH($A356,PlotNumber,0),MATCH("Tenure detail",PlotTitles,0))="Private rented sector"),INDEX(PlotData,MATCH($A356,PlotNumber,0),MATCH("Tenure",PlotTitles,0))="Affordable rent"),"",ISNUMBER(INDEX(PlotData,MATCH($A356,PlotNumber,0),MATCH(S$3,PlotTitles,0)))=FALSE, $AB$22,TRUE,"")</f>
        <v/>
      </c>
      <c r="T356" s="104" t="str" cm="1">
        <f t="array" ref="T356">_xlfn.IFS(AND(A356&gt;NumberOfPlots,ISBLANK(INDEX(PlotData,MATCH($A356,PlotNumber,0),MATCH(B$3,PlotTitles,0)))),"",OR(AND(INDEX(PlotData,MATCH($A356,PlotNumber,0),MATCH("Tenure",PlotTitles,0))="Open market housing",INDEX(PlotData,MATCH($A356,PlotNumber,0),MATCH("Tenure detail",PlotTitles,0))="Private rented sector"),INDEX(PlotData,MATCH($A356,PlotNumber,0),MATCH("Tenure",PlotTitles,0))="Affordable rent"),"",INDEX(PlotData,MATCH($A356,PlotNumber,0),MATCH(S$3,PlotTitles,0))&lt;10000, $AB$23,TRUE,"")</f>
        <v/>
      </c>
      <c r="U356" s="104" t="str" cm="1">
        <f t="array" ref="U356">_xlfn.IFS(AND(A356&gt;NumberOfPlots,ISBLANK(INDEX(PlotData,MATCH($A356,PlotNumber,0),MATCH(B$3,PlotTitles,0)))),"",NOT(OR(AND(INDEX(PlotData,MATCH($A356,PlotNumber,0),MATCH("Tenure",PlotTitles,0))="Open market housing",INDEX(PlotData,MATCH($A356,PlotNumber,0),MATCH("Tenure detail",PlotTitles,0))="Private rented sector"),INDEX(PlotData,MATCH($A356,PlotNumber,0),MATCH("Tenure",PlotTitles,0))="Affordable rent")),"",NOT(INDEX(PlotData,MATCH($A356,PlotNumber,0),MATCH(S$3,PlotTitles,0))=0), $AB$24,TRUE,"")</f>
        <v/>
      </c>
      <c r="V356" s="114" t="str" cm="1">
        <f t="array" aca="1" ref="V356" ca="1">_xlfn.IFS(ISBLANK(NumberOfPlots),"Enter the number of homes on the 1_SetUp sheet",AND(A356&gt;NumberOfPlots,ISBLANK(INDEX(PlotData,MATCH($A356,PlotNumber,0),MATCH(B$3,PlotTitles,0)))),"No error",NOT(B356=""),B356,NOT(C356=""),C356,NOT(D356=""),D356,NOT(E356=""),E356,NOT(F356=""),F356,NOT(G356=""),G356,NOT(H356=""),H356,NOT(I356=""),I356,NOT(J356=""),J356,NOT(K356=""),K356,NOT(L356=""),L356,NOT(M356=""),M356,NOT(N356=""),N356,NOT(O356=""),O356,NOT(P356=""),P356,NOT(Q356=""),Q356,NOT(R356=""),R356,NOT(S356=""),S356,NOT(T356=""),T356,NOT(U356=""),U356,TRUE,"No error")</f>
        <v>Enter the number of homes on the 1_SetUp sheet</v>
      </c>
      <c r="W356" s="114" t="str">
        <f t="shared" ca="1" si="17"/>
        <v xml:space="preserve">The Borrower has not addressed the following error messages for Home ID 352: </v>
      </c>
    </row>
    <row r="357" spans="1:23">
      <c r="A357" s="123">
        <v>353</v>
      </c>
      <c r="B357" s="104" t="str" cm="1">
        <f t="array" ref="B357">_xlfn.IFS(AND(A357&gt;NumberOfPlots,ISBLANK(INDEX(PlotData,MATCH($A357,PlotNumber,0),MATCH(B$3,PlotTitles,0)))),"",ISNUMBER(INDEX(PlotData,MATCH($A357,PlotNumber,0),MATCH(B$3,PlotTitles,0)))=FALSE, $AB$5,TRUE,"")</f>
        <v/>
      </c>
      <c r="C357" s="104" t="str" cm="1">
        <f t="array" ref="C357">_xlfn.IFS(AND(A357&gt;NumberOfPlots,ISBLANK(INDEX(PlotData,MATCH($A357,PlotNumber,0),MATCH(B$3,PlotTitles,0)))),"",ISBLANK(INDEX(PlotData,MATCH($A357,PlotNumber,0),MATCH(C$3,PlotTitles,0))),$AB$6,TRUE,"")</f>
        <v/>
      </c>
      <c r="D357" s="104" t="str" cm="1">
        <f t="array" ref="D357">_xlfn.IFS(AND(A357&gt;NumberOfPlots,ISBLANK(INDEX(PlotData,MATCH($A357,PlotNumber,0),MATCH(B$3,PlotTitles,0)))),"",ISBLANK(INDEX(PlotData,MATCH($A357,PlotNumber,0),MATCH(D$3,PlotTitles,0))),$AB$7,TRUE,"")</f>
        <v/>
      </c>
      <c r="E357" s="104" t="str" cm="1">
        <f t="array" ref="E357">_xlfn.IFS(AND(A357&gt;NumberOfPlots,ISBLANK(INDEX(PlotData,MATCH($A357,PlotNumber,0),MATCH(B$3,PlotTitles,0)))),"",ISBLANK(INDEX(PlotData,MATCH($A357,PlotNumber,0),MATCH(E$3,PlotTitles,0))),$AB$8,TRUE,"")</f>
        <v/>
      </c>
      <c r="F357" s="104" t="str" cm="1">
        <f t="array" ref="F357">_xlfn.IFS(AND(A357&gt;NumberOfPlots,ISBLANK(INDEX(PlotData,MATCH($A357,PlotNumber,0),MATCH(B$3,PlotTitles,0)))),"",ISBLANK(INDEX(PlotData,MATCH($A357,PlotNumber,0),MATCH(F$3,PlotTitles,0))),$AB$9,TRUE,"")</f>
        <v/>
      </c>
      <c r="G357" s="104" t="str" cm="1">
        <f t="array" ref="G357">_xlfn.IFS(AND(A357&gt;NumberOfPlots,ISBLANK(INDEX(PlotData,MATCH($A357,PlotNumber,0),MATCH(B$3,PlotTitles,0)))),"",ISBLANK(INDEX(PlotData,MATCH($A357,PlotNumber,0),MATCH(G$3,PlotTitles,0))),$AB$10,TRUE,"")</f>
        <v/>
      </c>
      <c r="H357" s="104" t="str" cm="1">
        <f t="array" ref="H357">_xlfn.IFS(AND(A357&gt;NumberOfPlots,ISBLANK(INDEX(PlotData,MATCH($A357,PlotNumber,0),MATCH(B$3,PlotTitles,0)))),"",AND(ISBLANK(INDEX(PlotData,MATCH($A357,PlotNumber,0),MATCH(H$3,PlotTitles,0)))=FALSE,INDEX(PlotData,MATCH($A357,PlotNumber,0),MATCH(H$3,PlotTitles,0))&lt;500), $AB$11,TRUE,"")</f>
        <v/>
      </c>
      <c r="I357" s="104" t="str" cm="1">
        <f t="array" ref="I357">_xlfn.IFS(AND(A357&gt;NumberOfPlots,ISBLANK(INDEX(PlotData,MATCH($A357,PlotNumber,0),MATCH(B$3,PlotTitles,0)))),"",ISBLANK(INDEX(PlotData,MATCH($A357,PlotNumber,0),MATCH(I$3,PlotTitles,0))),$AB$12,TRUE,"")</f>
        <v/>
      </c>
      <c r="J357" s="104" t="str" cm="1">
        <f t="array" ref="J357">_xlfn.IFS(AND(A357&gt;NumberOfPlots,ISBLANK(INDEX(PlotData,MATCH($A357,PlotNumber,0),MATCH(B$3,PlotTitles,0)))),"",ISBLANK(INDEX(PlotData,MATCH($A357,PlotNumber,0),MATCH(J$3,PlotTitles,0))),$AB$13,TRUE,"")</f>
        <v/>
      </c>
      <c r="K357" s="182" t="str">
        <f t="shared" ca="1" si="15"/>
        <v/>
      </c>
      <c r="L357" s="104" t="str" cm="1">
        <f t="array" ref="L357">_xlfn.IFS(OR(ISBLANK(StartDateMonth),ISBLANK(StartDateYear)),"",AND(A357&gt;NumberOfPlots,ISBLANK(INDEX(PlotData,MATCH($A357,PlotNumber,0),MATCH(B$3,PlotTitles,0)))),"",ISBLANK(INDEX(PlotData,MATCH($A357,PlotNumber,0),MATCH(I$3,PlotTitles,0))),"",(DATEVALUE(INDEX(PlotData,MATCH($A357,PlotNumber,0),MATCH(I$3,PlotTitles,0))&amp;INDEX(PlotData,MATCH($A357,PlotNumber,0),MATCH(J$3,PlotTitles,0))))&lt;DATEVALUE(StartDateMonth&amp;StartDateYear),$AB$15,TRUE,"")</f>
        <v/>
      </c>
      <c r="M357" s="104" t="str" cm="1">
        <f t="array" ref="M357">_xlfn.IFS(OR(ISBLANK(StartDateMonth),ISBLANK(StartDateYear)),"",AND(A357&gt;NumberOfPlots,ISBLANK(INDEX(PlotData,MATCH($A357,PlotNumber,0),MATCH(B$3,PlotTitles,0)))),"",ISBLANK(INDEX(PlotData,MATCH($A357,PlotNumber,0),MATCH(I$3,PlotTitles,0))),"",CompletionMonth="","",(DATEVALUE(INDEX(PlotData,MATCH($A357,PlotNumber,0),MATCH(I$3,PlotTitles,0))&amp;INDEX(PlotData,MATCH($A357,PlotNumber,0),MATCH(J$3,PlotTitles,0))))&gt;(DATEVALUE(CompletionMonth&amp;CompletionYear)),$AB$16,TRUE,"")</f>
        <v/>
      </c>
      <c r="N357" s="104" t="str" cm="1">
        <f t="array" ref="N357">_xlfn.IFS(AND(A357&gt;NumberOfPlots,ISBLANK(INDEX(PlotData,MATCH($A357,PlotNumber,0),MATCH(B$3,PlotTitles,0)))),"",ISBLANK(INDEX(PlotData,MATCH($A357,PlotNumber,0),MATCH(N$3,PlotTitles,0))),$AB$17,TRUE,"")</f>
        <v/>
      </c>
      <c r="O357" s="104" t="str" cm="1">
        <f t="array" ref="O357">_xlfn.IFS(AND(A357&gt;NumberOfPlots,ISBLANK(INDEX(PlotData,MATCH($A357,PlotNumber,0),MATCH(B$3,PlotTitles,0)))),"",ISBLANK(INDEX(PlotData,MATCH($A357,PlotNumber,0),MATCH(O$3,PlotTitles,0))),$AB$18,TRUE,"")</f>
        <v/>
      </c>
      <c r="P357" s="182" t="str">
        <f t="shared" ca="1" si="16"/>
        <v/>
      </c>
      <c r="Q357" s="104" t="str" cm="1">
        <f t="array" ref="Q357">_xlfn.IFS(AND(A357&gt;NumberOfPlots,ISBLANK(INDEX(PlotData,MATCH($A357,PlotNumber,0),MATCH(B$3,PlotTitles,0)))),"",ISBLANK(INDEX(PlotData,MATCH($A357,PlotNumber,0),MATCH(N$3,PlotTitles,0))),"",(DATEVALUE(INDEX(PlotData,MATCH($A357,PlotNumber,0),MATCH(N$3,PlotTitles,0))&amp;INDEX(PlotData,MATCH($A357,PlotNumber,0),MATCH(O$3,PlotTitles,0))))&lt;(DATEVALUE(INDEX(PlotData,MATCH($A357,PlotNumber,0),MATCH(I$3,PlotTitles,0))&amp;INDEX(PlotData,MATCH($A357,PlotNumber,0),MATCH(J$3,PlotTitles,0)))),$AB$20,TRUE,"")</f>
        <v/>
      </c>
      <c r="R357" s="104" t="str" cm="1">
        <f t="array" ref="R357">_xlfn.IFS(OR(ISBLANK(StartDateMonth),ISBLANK(StartDateYear)),"",AND(A357&gt;NumberOfPlots,ISBLANK(INDEX(PlotData,MATCH($A357,PlotNumber,0),MATCH(B$3,PlotTitles,0)))),"",ISBLANK(INDEX(PlotData,MATCH($A357,PlotNumber,0),MATCH(N$3,PlotTitles,0))),"",CompletionMonth="","",(DATEVALUE(INDEX(PlotData,MATCH($A357,PlotNumber,0),MATCH(N$3,PlotTitles,0))&amp;INDEX(PlotData,MATCH($A357,PlotNumber,0),MATCH(O$3,PlotTitles,0))))&gt;(DATEVALUE(CompletionMonth&amp;CompletionYear)),$AB$21,TRUE,"")</f>
        <v/>
      </c>
      <c r="S357" s="104" t="str" cm="1">
        <f t="array" ref="S357">_xlfn.IFS(AND(A357&gt;NumberOfPlots,ISBLANK(INDEX(PlotData,MATCH($A357,PlotNumber,0),MATCH(B$3,PlotTitles,0)))),"",OR(AND(INDEX(PlotData,MATCH($A357,PlotNumber,0),MATCH("Tenure",PlotTitles,0))="Open market housing",INDEX(PlotData,MATCH($A357,PlotNumber,0),MATCH("Tenure detail",PlotTitles,0))="Private rented sector"),INDEX(PlotData,MATCH($A357,PlotNumber,0),MATCH("Tenure",PlotTitles,0))="Affordable rent"),"",ISNUMBER(INDEX(PlotData,MATCH($A357,PlotNumber,0),MATCH(S$3,PlotTitles,0)))=FALSE, $AB$22,TRUE,"")</f>
        <v/>
      </c>
      <c r="T357" s="104" t="str" cm="1">
        <f t="array" ref="T357">_xlfn.IFS(AND(A357&gt;NumberOfPlots,ISBLANK(INDEX(PlotData,MATCH($A357,PlotNumber,0),MATCH(B$3,PlotTitles,0)))),"",OR(AND(INDEX(PlotData,MATCH($A357,PlotNumber,0),MATCH("Tenure",PlotTitles,0))="Open market housing",INDEX(PlotData,MATCH($A357,PlotNumber,0),MATCH("Tenure detail",PlotTitles,0))="Private rented sector"),INDEX(PlotData,MATCH($A357,PlotNumber,0),MATCH("Tenure",PlotTitles,0))="Affordable rent"),"",INDEX(PlotData,MATCH($A357,PlotNumber,0),MATCH(S$3,PlotTitles,0))&lt;10000, $AB$23,TRUE,"")</f>
        <v/>
      </c>
      <c r="U357" s="104" t="str" cm="1">
        <f t="array" ref="U357">_xlfn.IFS(AND(A357&gt;NumberOfPlots,ISBLANK(INDEX(PlotData,MATCH($A357,PlotNumber,0),MATCH(B$3,PlotTitles,0)))),"",NOT(OR(AND(INDEX(PlotData,MATCH($A357,PlotNumber,0),MATCH("Tenure",PlotTitles,0))="Open market housing",INDEX(PlotData,MATCH($A357,PlotNumber,0),MATCH("Tenure detail",PlotTitles,0))="Private rented sector"),INDEX(PlotData,MATCH($A357,PlotNumber,0),MATCH("Tenure",PlotTitles,0))="Affordable rent")),"",NOT(INDEX(PlotData,MATCH($A357,PlotNumber,0),MATCH(S$3,PlotTitles,0))=0), $AB$24,TRUE,"")</f>
        <v/>
      </c>
      <c r="V357" s="114" t="str" cm="1">
        <f t="array" aca="1" ref="V357" ca="1">_xlfn.IFS(ISBLANK(NumberOfPlots),"Enter the number of homes on the 1_SetUp sheet",AND(A357&gt;NumberOfPlots,ISBLANK(INDEX(PlotData,MATCH($A357,PlotNumber,0),MATCH(B$3,PlotTitles,0)))),"No error",NOT(B357=""),B357,NOT(C357=""),C357,NOT(D357=""),D357,NOT(E357=""),E357,NOT(F357=""),F357,NOT(G357=""),G357,NOT(H357=""),H357,NOT(I357=""),I357,NOT(J357=""),J357,NOT(K357=""),K357,NOT(L357=""),L357,NOT(M357=""),M357,NOT(N357=""),N357,NOT(O357=""),O357,NOT(P357=""),P357,NOT(Q357=""),Q357,NOT(R357=""),R357,NOT(S357=""),S357,NOT(T357=""),T357,NOT(U357=""),U357,TRUE,"No error")</f>
        <v>Enter the number of homes on the 1_SetUp sheet</v>
      </c>
      <c r="W357" s="114" t="str">
        <f t="shared" ca="1" si="17"/>
        <v xml:space="preserve">The Borrower has not addressed the following error messages for Home ID 353: </v>
      </c>
    </row>
    <row r="358" spans="1:23">
      <c r="A358" s="123">
        <v>354</v>
      </c>
      <c r="B358" s="104" t="str" cm="1">
        <f t="array" ref="B358">_xlfn.IFS(AND(A358&gt;NumberOfPlots,ISBLANK(INDEX(PlotData,MATCH($A358,PlotNumber,0),MATCH(B$3,PlotTitles,0)))),"",ISNUMBER(INDEX(PlotData,MATCH($A358,PlotNumber,0),MATCH(B$3,PlotTitles,0)))=FALSE, $AB$5,TRUE,"")</f>
        <v/>
      </c>
      <c r="C358" s="104" t="str" cm="1">
        <f t="array" ref="C358">_xlfn.IFS(AND(A358&gt;NumberOfPlots,ISBLANK(INDEX(PlotData,MATCH($A358,PlotNumber,0),MATCH(B$3,PlotTitles,0)))),"",ISBLANK(INDEX(PlotData,MATCH($A358,PlotNumber,0),MATCH(C$3,PlotTitles,0))),$AB$6,TRUE,"")</f>
        <v/>
      </c>
      <c r="D358" s="104" t="str" cm="1">
        <f t="array" ref="D358">_xlfn.IFS(AND(A358&gt;NumberOfPlots,ISBLANK(INDEX(PlotData,MATCH($A358,PlotNumber,0),MATCH(B$3,PlotTitles,0)))),"",ISBLANK(INDEX(PlotData,MATCH($A358,PlotNumber,0),MATCH(D$3,PlotTitles,0))),$AB$7,TRUE,"")</f>
        <v/>
      </c>
      <c r="E358" s="104" t="str" cm="1">
        <f t="array" ref="E358">_xlfn.IFS(AND(A358&gt;NumberOfPlots,ISBLANK(INDEX(PlotData,MATCH($A358,PlotNumber,0),MATCH(B$3,PlotTitles,0)))),"",ISBLANK(INDEX(PlotData,MATCH($A358,PlotNumber,0),MATCH(E$3,PlotTitles,0))),$AB$8,TRUE,"")</f>
        <v/>
      </c>
      <c r="F358" s="104" t="str" cm="1">
        <f t="array" ref="F358">_xlfn.IFS(AND(A358&gt;NumberOfPlots,ISBLANK(INDEX(PlotData,MATCH($A358,PlotNumber,0),MATCH(B$3,PlotTitles,0)))),"",ISBLANK(INDEX(PlotData,MATCH($A358,PlotNumber,0),MATCH(F$3,PlotTitles,0))),$AB$9,TRUE,"")</f>
        <v/>
      </c>
      <c r="G358" s="104" t="str" cm="1">
        <f t="array" ref="G358">_xlfn.IFS(AND(A358&gt;NumberOfPlots,ISBLANK(INDEX(PlotData,MATCH($A358,PlotNumber,0),MATCH(B$3,PlotTitles,0)))),"",ISBLANK(INDEX(PlotData,MATCH($A358,PlotNumber,0),MATCH(G$3,PlotTitles,0))),$AB$10,TRUE,"")</f>
        <v/>
      </c>
      <c r="H358" s="104" t="str" cm="1">
        <f t="array" ref="H358">_xlfn.IFS(AND(A358&gt;NumberOfPlots,ISBLANK(INDEX(PlotData,MATCH($A358,PlotNumber,0),MATCH(B$3,PlotTitles,0)))),"",AND(ISBLANK(INDEX(PlotData,MATCH($A358,PlotNumber,0),MATCH(H$3,PlotTitles,0)))=FALSE,INDEX(PlotData,MATCH($A358,PlotNumber,0),MATCH(H$3,PlotTitles,0))&lt;500), $AB$11,TRUE,"")</f>
        <v/>
      </c>
      <c r="I358" s="104" t="str" cm="1">
        <f t="array" ref="I358">_xlfn.IFS(AND(A358&gt;NumberOfPlots,ISBLANK(INDEX(PlotData,MATCH($A358,PlotNumber,0),MATCH(B$3,PlotTitles,0)))),"",ISBLANK(INDEX(PlotData,MATCH($A358,PlotNumber,0),MATCH(I$3,PlotTitles,0))),$AB$12,TRUE,"")</f>
        <v/>
      </c>
      <c r="J358" s="104" t="str" cm="1">
        <f t="array" ref="J358">_xlfn.IFS(AND(A358&gt;NumberOfPlots,ISBLANK(INDEX(PlotData,MATCH($A358,PlotNumber,0),MATCH(B$3,PlotTitles,0)))),"",ISBLANK(INDEX(PlotData,MATCH($A358,PlotNumber,0),MATCH(J$3,PlotTitles,0))),$AB$13,TRUE,"")</f>
        <v/>
      </c>
      <c r="K358" s="182" t="str">
        <f t="shared" ca="1" si="15"/>
        <v/>
      </c>
      <c r="L358" s="104" t="str" cm="1">
        <f t="array" ref="L358">_xlfn.IFS(OR(ISBLANK(StartDateMonth),ISBLANK(StartDateYear)),"",AND(A358&gt;NumberOfPlots,ISBLANK(INDEX(PlotData,MATCH($A358,PlotNumber,0),MATCH(B$3,PlotTitles,0)))),"",ISBLANK(INDEX(PlotData,MATCH($A358,PlotNumber,0),MATCH(I$3,PlotTitles,0))),"",(DATEVALUE(INDEX(PlotData,MATCH($A358,PlotNumber,0),MATCH(I$3,PlotTitles,0))&amp;INDEX(PlotData,MATCH($A358,PlotNumber,0),MATCH(J$3,PlotTitles,0))))&lt;DATEVALUE(StartDateMonth&amp;StartDateYear),$AB$15,TRUE,"")</f>
        <v/>
      </c>
      <c r="M358" s="104" t="str" cm="1">
        <f t="array" ref="M358">_xlfn.IFS(OR(ISBLANK(StartDateMonth),ISBLANK(StartDateYear)),"",AND(A358&gt;NumberOfPlots,ISBLANK(INDEX(PlotData,MATCH($A358,PlotNumber,0),MATCH(B$3,PlotTitles,0)))),"",ISBLANK(INDEX(PlotData,MATCH($A358,PlotNumber,0),MATCH(I$3,PlotTitles,0))),"",CompletionMonth="","",(DATEVALUE(INDEX(PlotData,MATCH($A358,PlotNumber,0),MATCH(I$3,PlotTitles,0))&amp;INDEX(PlotData,MATCH($A358,PlotNumber,0),MATCH(J$3,PlotTitles,0))))&gt;(DATEVALUE(CompletionMonth&amp;CompletionYear)),$AB$16,TRUE,"")</f>
        <v/>
      </c>
      <c r="N358" s="104" t="str" cm="1">
        <f t="array" ref="N358">_xlfn.IFS(AND(A358&gt;NumberOfPlots,ISBLANK(INDEX(PlotData,MATCH($A358,PlotNumber,0),MATCH(B$3,PlotTitles,0)))),"",ISBLANK(INDEX(PlotData,MATCH($A358,PlotNumber,0),MATCH(N$3,PlotTitles,0))),$AB$17,TRUE,"")</f>
        <v/>
      </c>
      <c r="O358" s="104" t="str" cm="1">
        <f t="array" ref="O358">_xlfn.IFS(AND(A358&gt;NumberOfPlots,ISBLANK(INDEX(PlotData,MATCH($A358,PlotNumber,0),MATCH(B$3,PlotTitles,0)))),"",ISBLANK(INDEX(PlotData,MATCH($A358,PlotNumber,0),MATCH(O$3,PlotTitles,0))),$AB$18,TRUE,"")</f>
        <v/>
      </c>
      <c r="P358" s="182" t="str">
        <f t="shared" ca="1" si="16"/>
        <v/>
      </c>
      <c r="Q358" s="104" t="str" cm="1">
        <f t="array" ref="Q358">_xlfn.IFS(AND(A358&gt;NumberOfPlots,ISBLANK(INDEX(PlotData,MATCH($A358,PlotNumber,0),MATCH(B$3,PlotTitles,0)))),"",ISBLANK(INDEX(PlotData,MATCH($A358,PlotNumber,0),MATCH(N$3,PlotTitles,0))),"",(DATEVALUE(INDEX(PlotData,MATCH($A358,PlotNumber,0),MATCH(N$3,PlotTitles,0))&amp;INDEX(PlotData,MATCH($A358,PlotNumber,0),MATCH(O$3,PlotTitles,0))))&lt;(DATEVALUE(INDEX(PlotData,MATCH($A358,PlotNumber,0),MATCH(I$3,PlotTitles,0))&amp;INDEX(PlotData,MATCH($A358,PlotNumber,0),MATCH(J$3,PlotTitles,0)))),$AB$20,TRUE,"")</f>
        <v/>
      </c>
      <c r="R358" s="104" t="str" cm="1">
        <f t="array" ref="R358">_xlfn.IFS(OR(ISBLANK(StartDateMonth),ISBLANK(StartDateYear)),"",AND(A358&gt;NumberOfPlots,ISBLANK(INDEX(PlotData,MATCH($A358,PlotNumber,0),MATCH(B$3,PlotTitles,0)))),"",ISBLANK(INDEX(PlotData,MATCH($A358,PlotNumber,0),MATCH(N$3,PlotTitles,0))),"",CompletionMonth="","",(DATEVALUE(INDEX(PlotData,MATCH($A358,PlotNumber,0),MATCH(N$3,PlotTitles,0))&amp;INDEX(PlotData,MATCH($A358,PlotNumber,0),MATCH(O$3,PlotTitles,0))))&gt;(DATEVALUE(CompletionMonth&amp;CompletionYear)),$AB$21,TRUE,"")</f>
        <v/>
      </c>
      <c r="S358" s="104" t="str" cm="1">
        <f t="array" ref="S358">_xlfn.IFS(AND(A358&gt;NumberOfPlots,ISBLANK(INDEX(PlotData,MATCH($A358,PlotNumber,0),MATCH(B$3,PlotTitles,0)))),"",OR(AND(INDEX(PlotData,MATCH($A358,PlotNumber,0),MATCH("Tenure",PlotTitles,0))="Open market housing",INDEX(PlotData,MATCH($A358,PlotNumber,0),MATCH("Tenure detail",PlotTitles,0))="Private rented sector"),INDEX(PlotData,MATCH($A358,PlotNumber,0),MATCH("Tenure",PlotTitles,0))="Affordable rent"),"",ISNUMBER(INDEX(PlotData,MATCH($A358,PlotNumber,0),MATCH(S$3,PlotTitles,0)))=FALSE, $AB$22,TRUE,"")</f>
        <v/>
      </c>
      <c r="T358" s="104" t="str" cm="1">
        <f t="array" ref="T358">_xlfn.IFS(AND(A358&gt;NumberOfPlots,ISBLANK(INDEX(PlotData,MATCH($A358,PlotNumber,0),MATCH(B$3,PlotTitles,0)))),"",OR(AND(INDEX(PlotData,MATCH($A358,PlotNumber,0),MATCH("Tenure",PlotTitles,0))="Open market housing",INDEX(PlotData,MATCH($A358,PlotNumber,0),MATCH("Tenure detail",PlotTitles,0))="Private rented sector"),INDEX(PlotData,MATCH($A358,PlotNumber,0),MATCH("Tenure",PlotTitles,0))="Affordable rent"),"",INDEX(PlotData,MATCH($A358,PlotNumber,0),MATCH(S$3,PlotTitles,0))&lt;10000, $AB$23,TRUE,"")</f>
        <v/>
      </c>
      <c r="U358" s="104" t="str" cm="1">
        <f t="array" ref="U358">_xlfn.IFS(AND(A358&gt;NumberOfPlots,ISBLANK(INDEX(PlotData,MATCH($A358,PlotNumber,0),MATCH(B$3,PlotTitles,0)))),"",NOT(OR(AND(INDEX(PlotData,MATCH($A358,PlotNumber,0),MATCH("Tenure",PlotTitles,0))="Open market housing",INDEX(PlotData,MATCH($A358,PlotNumber,0),MATCH("Tenure detail",PlotTitles,0))="Private rented sector"),INDEX(PlotData,MATCH($A358,PlotNumber,0),MATCH("Tenure",PlotTitles,0))="Affordable rent")),"",NOT(INDEX(PlotData,MATCH($A358,PlotNumber,0),MATCH(S$3,PlotTitles,0))=0), $AB$24,TRUE,"")</f>
        <v/>
      </c>
      <c r="V358" s="114" t="str" cm="1">
        <f t="array" aca="1" ref="V358" ca="1">_xlfn.IFS(ISBLANK(NumberOfPlots),"Enter the number of homes on the 1_SetUp sheet",AND(A358&gt;NumberOfPlots,ISBLANK(INDEX(PlotData,MATCH($A358,PlotNumber,0),MATCH(B$3,PlotTitles,0)))),"No error",NOT(B358=""),B358,NOT(C358=""),C358,NOT(D358=""),D358,NOT(E358=""),E358,NOT(F358=""),F358,NOT(G358=""),G358,NOT(H358=""),H358,NOT(I358=""),I358,NOT(J358=""),J358,NOT(K358=""),K358,NOT(L358=""),L358,NOT(M358=""),M358,NOT(N358=""),N358,NOT(O358=""),O358,NOT(P358=""),P358,NOT(Q358=""),Q358,NOT(R358=""),R358,NOT(S358=""),S358,NOT(T358=""),T358,NOT(U358=""),U358,TRUE,"No error")</f>
        <v>Enter the number of homes on the 1_SetUp sheet</v>
      </c>
      <c r="W358" s="114" t="str">
        <f t="shared" ca="1" si="17"/>
        <v xml:space="preserve">The Borrower has not addressed the following error messages for Home ID 354: </v>
      </c>
    </row>
    <row r="359" spans="1:23">
      <c r="A359" s="123">
        <v>355</v>
      </c>
      <c r="B359" s="104" t="str" cm="1">
        <f t="array" ref="B359">_xlfn.IFS(AND(A359&gt;NumberOfPlots,ISBLANK(INDEX(PlotData,MATCH($A359,PlotNumber,0),MATCH(B$3,PlotTitles,0)))),"",ISNUMBER(INDEX(PlotData,MATCH($A359,PlotNumber,0),MATCH(B$3,PlotTitles,0)))=FALSE, $AB$5,TRUE,"")</f>
        <v/>
      </c>
      <c r="C359" s="104" t="str" cm="1">
        <f t="array" ref="C359">_xlfn.IFS(AND(A359&gt;NumberOfPlots,ISBLANK(INDEX(PlotData,MATCH($A359,PlotNumber,0),MATCH(B$3,PlotTitles,0)))),"",ISBLANK(INDEX(PlotData,MATCH($A359,PlotNumber,0),MATCH(C$3,PlotTitles,0))),$AB$6,TRUE,"")</f>
        <v/>
      </c>
      <c r="D359" s="104" t="str" cm="1">
        <f t="array" ref="D359">_xlfn.IFS(AND(A359&gt;NumberOfPlots,ISBLANK(INDEX(PlotData,MATCH($A359,PlotNumber,0),MATCH(B$3,PlotTitles,0)))),"",ISBLANK(INDEX(PlotData,MATCH($A359,PlotNumber,0),MATCH(D$3,PlotTitles,0))),$AB$7,TRUE,"")</f>
        <v/>
      </c>
      <c r="E359" s="104" t="str" cm="1">
        <f t="array" ref="E359">_xlfn.IFS(AND(A359&gt;NumberOfPlots,ISBLANK(INDEX(PlotData,MATCH($A359,PlotNumber,0),MATCH(B$3,PlotTitles,0)))),"",ISBLANK(INDEX(PlotData,MATCH($A359,PlotNumber,0),MATCH(E$3,PlotTitles,0))),$AB$8,TRUE,"")</f>
        <v/>
      </c>
      <c r="F359" s="104" t="str" cm="1">
        <f t="array" ref="F359">_xlfn.IFS(AND(A359&gt;NumberOfPlots,ISBLANK(INDEX(PlotData,MATCH($A359,PlotNumber,0),MATCH(B$3,PlotTitles,0)))),"",ISBLANK(INDEX(PlotData,MATCH($A359,PlotNumber,0),MATCH(F$3,PlotTitles,0))),$AB$9,TRUE,"")</f>
        <v/>
      </c>
      <c r="G359" s="104" t="str" cm="1">
        <f t="array" ref="G359">_xlfn.IFS(AND(A359&gt;NumberOfPlots,ISBLANK(INDEX(PlotData,MATCH($A359,PlotNumber,0),MATCH(B$3,PlotTitles,0)))),"",ISBLANK(INDEX(PlotData,MATCH($A359,PlotNumber,0),MATCH(G$3,PlotTitles,0))),$AB$10,TRUE,"")</f>
        <v/>
      </c>
      <c r="H359" s="104" t="str" cm="1">
        <f t="array" ref="H359">_xlfn.IFS(AND(A359&gt;NumberOfPlots,ISBLANK(INDEX(PlotData,MATCH($A359,PlotNumber,0),MATCH(B$3,PlotTitles,0)))),"",AND(ISBLANK(INDEX(PlotData,MATCH($A359,PlotNumber,0),MATCH(H$3,PlotTitles,0)))=FALSE,INDEX(PlotData,MATCH($A359,PlotNumber,0),MATCH(H$3,PlotTitles,0))&lt;500), $AB$11,TRUE,"")</f>
        <v/>
      </c>
      <c r="I359" s="104" t="str" cm="1">
        <f t="array" ref="I359">_xlfn.IFS(AND(A359&gt;NumberOfPlots,ISBLANK(INDEX(PlotData,MATCH($A359,PlotNumber,0),MATCH(B$3,PlotTitles,0)))),"",ISBLANK(INDEX(PlotData,MATCH($A359,PlotNumber,0),MATCH(I$3,PlotTitles,0))),$AB$12,TRUE,"")</f>
        <v/>
      </c>
      <c r="J359" s="104" t="str" cm="1">
        <f t="array" ref="J359">_xlfn.IFS(AND(A359&gt;NumberOfPlots,ISBLANK(INDEX(PlotData,MATCH($A359,PlotNumber,0),MATCH(B$3,PlotTitles,0)))),"",ISBLANK(INDEX(PlotData,MATCH($A359,PlotNumber,0),MATCH(J$3,PlotTitles,0))),$AB$13,TRUE,"")</f>
        <v/>
      </c>
      <c r="K359" s="182" t="str">
        <f t="shared" ca="1" si="15"/>
        <v/>
      </c>
      <c r="L359" s="104" t="str" cm="1">
        <f t="array" ref="L359">_xlfn.IFS(OR(ISBLANK(StartDateMonth),ISBLANK(StartDateYear)),"",AND(A359&gt;NumberOfPlots,ISBLANK(INDEX(PlotData,MATCH($A359,PlotNumber,0),MATCH(B$3,PlotTitles,0)))),"",ISBLANK(INDEX(PlotData,MATCH($A359,PlotNumber,0),MATCH(I$3,PlotTitles,0))),"",(DATEVALUE(INDEX(PlotData,MATCH($A359,PlotNumber,0),MATCH(I$3,PlotTitles,0))&amp;INDEX(PlotData,MATCH($A359,PlotNumber,0),MATCH(J$3,PlotTitles,0))))&lt;DATEVALUE(StartDateMonth&amp;StartDateYear),$AB$15,TRUE,"")</f>
        <v/>
      </c>
      <c r="M359" s="104" t="str" cm="1">
        <f t="array" ref="M359">_xlfn.IFS(OR(ISBLANK(StartDateMonth),ISBLANK(StartDateYear)),"",AND(A359&gt;NumberOfPlots,ISBLANK(INDEX(PlotData,MATCH($A359,PlotNumber,0),MATCH(B$3,PlotTitles,0)))),"",ISBLANK(INDEX(PlotData,MATCH($A359,PlotNumber,0),MATCH(I$3,PlotTitles,0))),"",CompletionMonth="","",(DATEVALUE(INDEX(PlotData,MATCH($A359,PlotNumber,0),MATCH(I$3,PlotTitles,0))&amp;INDEX(PlotData,MATCH($A359,PlotNumber,0),MATCH(J$3,PlotTitles,0))))&gt;(DATEVALUE(CompletionMonth&amp;CompletionYear)),$AB$16,TRUE,"")</f>
        <v/>
      </c>
      <c r="N359" s="104" t="str" cm="1">
        <f t="array" ref="N359">_xlfn.IFS(AND(A359&gt;NumberOfPlots,ISBLANK(INDEX(PlotData,MATCH($A359,PlotNumber,0),MATCH(B$3,PlotTitles,0)))),"",ISBLANK(INDEX(PlotData,MATCH($A359,PlotNumber,0),MATCH(N$3,PlotTitles,0))),$AB$17,TRUE,"")</f>
        <v/>
      </c>
      <c r="O359" s="104" t="str" cm="1">
        <f t="array" ref="O359">_xlfn.IFS(AND(A359&gt;NumberOfPlots,ISBLANK(INDEX(PlotData,MATCH($A359,PlotNumber,0),MATCH(B$3,PlotTitles,0)))),"",ISBLANK(INDEX(PlotData,MATCH($A359,PlotNumber,0),MATCH(O$3,PlotTitles,0))),$AB$18,TRUE,"")</f>
        <v/>
      </c>
      <c r="P359" s="182" t="str">
        <f t="shared" ca="1" si="16"/>
        <v/>
      </c>
      <c r="Q359" s="104" t="str" cm="1">
        <f t="array" ref="Q359">_xlfn.IFS(AND(A359&gt;NumberOfPlots,ISBLANK(INDEX(PlotData,MATCH($A359,PlotNumber,0),MATCH(B$3,PlotTitles,0)))),"",ISBLANK(INDEX(PlotData,MATCH($A359,PlotNumber,0),MATCH(N$3,PlotTitles,0))),"",(DATEVALUE(INDEX(PlotData,MATCH($A359,PlotNumber,0),MATCH(N$3,PlotTitles,0))&amp;INDEX(PlotData,MATCH($A359,PlotNumber,0),MATCH(O$3,PlotTitles,0))))&lt;(DATEVALUE(INDEX(PlotData,MATCH($A359,PlotNumber,0),MATCH(I$3,PlotTitles,0))&amp;INDEX(PlotData,MATCH($A359,PlotNumber,0),MATCH(J$3,PlotTitles,0)))),$AB$20,TRUE,"")</f>
        <v/>
      </c>
      <c r="R359" s="104" t="str" cm="1">
        <f t="array" ref="R359">_xlfn.IFS(OR(ISBLANK(StartDateMonth),ISBLANK(StartDateYear)),"",AND(A359&gt;NumberOfPlots,ISBLANK(INDEX(PlotData,MATCH($A359,PlotNumber,0),MATCH(B$3,PlotTitles,0)))),"",ISBLANK(INDEX(PlotData,MATCH($A359,PlotNumber,0),MATCH(N$3,PlotTitles,0))),"",CompletionMonth="","",(DATEVALUE(INDEX(PlotData,MATCH($A359,PlotNumber,0),MATCH(N$3,PlotTitles,0))&amp;INDEX(PlotData,MATCH($A359,PlotNumber,0),MATCH(O$3,PlotTitles,0))))&gt;(DATEVALUE(CompletionMonth&amp;CompletionYear)),$AB$21,TRUE,"")</f>
        <v/>
      </c>
      <c r="S359" s="104" t="str" cm="1">
        <f t="array" ref="S359">_xlfn.IFS(AND(A359&gt;NumberOfPlots,ISBLANK(INDEX(PlotData,MATCH($A359,PlotNumber,0),MATCH(B$3,PlotTitles,0)))),"",OR(AND(INDEX(PlotData,MATCH($A359,PlotNumber,0),MATCH("Tenure",PlotTitles,0))="Open market housing",INDEX(PlotData,MATCH($A359,PlotNumber,0),MATCH("Tenure detail",PlotTitles,0))="Private rented sector"),INDEX(PlotData,MATCH($A359,PlotNumber,0),MATCH("Tenure",PlotTitles,0))="Affordable rent"),"",ISNUMBER(INDEX(PlotData,MATCH($A359,PlotNumber,0),MATCH(S$3,PlotTitles,0)))=FALSE, $AB$22,TRUE,"")</f>
        <v/>
      </c>
      <c r="T359" s="104" t="str" cm="1">
        <f t="array" ref="T359">_xlfn.IFS(AND(A359&gt;NumberOfPlots,ISBLANK(INDEX(PlotData,MATCH($A359,PlotNumber,0),MATCH(B$3,PlotTitles,0)))),"",OR(AND(INDEX(PlotData,MATCH($A359,PlotNumber,0),MATCH("Tenure",PlotTitles,0))="Open market housing",INDEX(PlotData,MATCH($A359,PlotNumber,0),MATCH("Tenure detail",PlotTitles,0))="Private rented sector"),INDEX(PlotData,MATCH($A359,PlotNumber,0),MATCH("Tenure",PlotTitles,0))="Affordable rent"),"",INDEX(PlotData,MATCH($A359,PlotNumber,0),MATCH(S$3,PlotTitles,0))&lt;10000, $AB$23,TRUE,"")</f>
        <v/>
      </c>
      <c r="U359" s="104" t="str" cm="1">
        <f t="array" ref="U359">_xlfn.IFS(AND(A359&gt;NumberOfPlots,ISBLANK(INDEX(PlotData,MATCH($A359,PlotNumber,0),MATCH(B$3,PlotTitles,0)))),"",NOT(OR(AND(INDEX(PlotData,MATCH($A359,PlotNumber,0),MATCH("Tenure",PlotTitles,0))="Open market housing",INDEX(PlotData,MATCH($A359,PlotNumber,0),MATCH("Tenure detail",PlotTitles,0))="Private rented sector"),INDEX(PlotData,MATCH($A359,PlotNumber,0),MATCH("Tenure",PlotTitles,0))="Affordable rent")),"",NOT(INDEX(PlotData,MATCH($A359,PlotNumber,0),MATCH(S$3,PlotTitles,0))=0), $AB$24,TRUE,"")</f>
        <v/>
      </c>
      <c r="V359" s="114" t="str" cm="1">
        <f t="array" aca="1" ref="V359" ca="1">_xlfn.IFS(ISBLANK(NumberOfPlots),"Enter the number of homes on the 1_SetUp sheet",AND(A359&gt;NumberOfPlots,ISBLANK(INDEX(PlotData,MATCH($A359,PlotNumber,0),MATCH(B$3,PlotTitles,0)))),"No error",NOT(B359=""),B359,NOT(C359=""),C359,NOT(D359=""),D359,NOT(E359=""),E359,NOT(F359=""),F359,NOT(G359=""),G359,NOT(H359=""),H359,NOT(I359=""),I359,NOT(J359=""),J359,NOT(K359=""),K359,NOT(L359=""),L359,NOT(M359=""),M359,NOT(N359=""),N359,NOT(O359=""),O359,NOT(P359=""),P359,NOT(Q359=""),Q359,NOT(R359=""),R359,NOT(S359=""),S359,NOT(T359=""),T359,NOT(U359=""),U359,TRUE,"No error")</f>
        <v>Enter the number of homes on the 1_SetUp sheet</v>
      </c>
      <c r="W359" s="114" t="str">
        <f t="shared" ca="1" si="17"/>
        <v xml:space="preserve">The Borrower has not addressed the following error messages for Home ID 355: </v>
      </c>
    </row>
    <row r="360" spans="1:23">
      <c r="A360" s="123">
        <v>356</v>
      </c>
      <c r="B360" s="104" t="str" cm="1">
        <f t="array" ref="B360">_xlfn.IFS(AND(A360&gt;NumberOfPlots,ISBLANK(INDEX(PlotData,MATCH($A360,PlotNumber,0),MATCH(B$3,PlotTitles,0)))),"",ISNUMBER(INDEX(PlotData,MATCH($A360,PlotNumber,0),MATCH(B$3,PlotTitles,0)))=FALSE, $AB$5,TRUE,"")</f>
        <v/>
      </c>
      <c r="C360" s="104" t="str" cm="1">
        <f t="array" ref="C360">_xlfn.IFS(AND(A360&gt;NumberOfPlots,ISBLANK(INDEX(PlotData,MATCH($A360,PlotNumber,0),MATCH(B$3,PlotTitles,0)))),"",ISBLANK(INDEX(PlotData,MATCH($A360,PlotNumber,0),MATCH(C$3,PlotTitles,0))),$AB$6,TRUE,"")</f>
        <v/>
      </c>
      <c r="D360" s="104" t="str" cm="1">
        <f t="array" ref="D360">_xlfn.IFS(AND(A360&gt;NumberOfPlots,ISBLANK(INDEX(PlotData,MATCH($A360,PlotNumber,0),MATCH(B$3,PlotTitles,0)))),"",ISBLANK(INDEX(PlotData,MATCH($A360,PlotNumber,0),MATCH(D$3,PlotTitles,0))),$AB$7,TRUE,"")</f>
        <v/>
      </c>
      <c r="E360" s="104" t="str" cm="1">
        <f t="array" ref="E360">_xlfn.IFS(AND(A360&gt;NumberOfPlots,ISBLANK(INDEX(PlotData,MATCH($A360,PlotNumber,0),MATCH(B$3,PlotTitles,0)))),"",ISBLANK(INDEX(PlotData,MATCH($A360,PlotNumber,0),MATCH(E$3,PlotTitles,0))),$AB$8,TRUE,"")</f>
        <v/>
      </c>
      <c r="F360" s="104" t="str" cm="1">
        <f t="array" ref="F360">_xlfn.IFS(AND(A360&gt;NumberOfPlots,ISBLANK(INDEX(PlotData,MATCH($A360,PlotNumber,0),MATCH(B$3,PlotTitles,0)))),"",ISBLANK(INDEX(PlotData,MATCH($A360,PlotNumber,0),MATCH(F$3,PlotTitles,0))),$AB$9,TRUE,"")</f>
        <v/>
      </c>
      <c r="G360" s="104" t="str" cm="1">
        <f t="array" ref="G360">_xlfn.IFS(AND(A360&gt;NumberOfPlots,ISBLANK(INDEX(PlotData,MATCH($A360,PlotNumber,0),MATCH(B$3,PlotTitles,0)))),"",ISBLANK(INDEX(PlotData,MATCH($A360,PlotNumber,0),MATCH(G$3,PlotTitles,0))),$AB$10,TRUE,"")</f>
        <v/>
      </c>
      <c r="H360" s="104" t="str" cm="1">
        <f t="array" ref="H360">_xlfn.IFS(AND(A360&gt;NumberOfPlots,ISBLANK(INDEX(PlotData,MATCH($A360,PlotNumber,0),MATCH(B$3,PlotTitles,0)))),"",AND(ISBLANK(INDEX(PlotData,MATCH($A360,PlotNumber,0),MATCH(H$3,PlotTitles,0)))=FALSE,INDEX(PlotData,MATCH($A360,PlotNumber,0),MATCH(H$3,PlotTitles,0))&lt;500), $AB$11,TRUE,"")</f>
        <v/>
      </c>
      <c r="I360" s="104" t="str" cm="1">
        <f t="array" ref="I360">_xlfn.IFS(AND(A360&gt;NumberOfPlots,ISBLANK(INDEX(PlotData,MATCH($A360,PlotNumber,0),MATCH(B$3,PlotTitles,0)))),"",ISBLANK(INDEX(PlotData,MATCH($A360,PlotNumber,0),MATCH(I$3,PlotTitles,0))),$AB$12,TRUE,"")</f>
        <v/>
      </c>
      <c r="J360" s="104" t="str" cm="1">
        <f t="array" ref="J360">_xlfn.IFS(AND(A360&gt;NumberOfPlots,ISBLANK(INDEX(PlotData,MATCH($A360,PlotNumber,0),MATCH(B$3,PlotTitles,0)))),"",ISBLANK(INDEX(PlotData,MATCH($A360,PlotNumber,0),MATCH(J$3,PlotTitles,0))),$AB$13,TRUE,"")</f>
        <v/>
      </c>
      <c r="K360" s="182" t="str">
        <f t="shared" ca="1" si="15"/>
        <v/>
      </c>
      <c r="L360" s="104" t="str" cm="1">
        <f t="array" ref="L360">_xlfn.IFS(OR(ISBLANK(StartDateMonth),ISBLANK(StartDateYear)),"",AND(A360&gt;NumberOfPlots,ISBLANK(INDEX(PlotData,MATCH($A360,PlotNumber,0),MATCH(B$3,PlotTitles,0)))),"",ISBLANK(INDEX(PlotData,MATCH($A360,PlotNumber,0),MATCH(I$3,PlotTitles,0))),"",(DATEVALUE(INDEX(PlotData,MATCH($A360,PlotNumber,0),MATCH(I$3,PlotTitles,0))&amp;INDEX(PlotData,MATCH($A360,PlotNumber,0),MATCH(J$3,PlotTitles,0))))&lt;DATEVALUE(StartDateMonth&amp;StartDateYear),$AB$15,TRUE,"")</f>
        <v/>
      </c>
      <c r="M360" s="104" t="str" cm="1">
        <f t="array" ref="M360">_xlfn.IFS(OR(ISBLANK(StartDateMonth),ISBLANK(StartDateYear)),"",AND(A360&gt;NumberOfPlots,ISBLANK(INDEX(PlotData,MATCH($A360,PlotNumber,0),MATCH(B$3,PlotTitles,0)))),"",ISBLANK(INDEX(PlotData,MATCH($A360,PlotNumber,0),MATCH(I$3,PlotTitles,0))),"",CompletionMonth="","",(DATEVALUE(INDEX(PlotData,MATCH($A360,PlotNumber,0),MATCH(I$3,PlotTitles,0))&amp;INDEX(PlotData,MATCH($A360,PlotNumber,0),MATCH(J$3,PlotTitles,0))))&gt;(DATEVALUE(CompletionMonth&amp;CompletionYear)),$AB$16,TRUE,"")</f>
        <v/>
      </c>
      <c r="N360" s="104" t="str" cm="1">
        <f t="array" ref="N360">_xlfn.IFS(AND(A360&gt;NumberOfPlots,ISBLANK(INDEX(PlotData,MATCH($A360,PlotNumber,0),MATCH(B$3,PlotTitles,0)))),"",ISBLANK(INDEX(PlotData,MATCH($A360,PlotNumber,0),MATCH(N$3,PlotTitles,0))),$AB$17,TRUE,"")</f>
        <v/>
      </c>
      <c r="O360" s="104" t="str" cm="1">
        <f t="array" ref="O360">_xlfn.IFS(AND(A360&gt;NumberOfPlots,ISBLANK(INDEX(PlotData,MATCH($A360,PlotNumber,0),MATCH(B$3,PlotTitles,0)))),"",ISBLANK(INDEX(PlotData,MATCH($A360,PlotNumber,0),MATCH(O$3,PlotTitles,0))),$AB$18,TRUE,"")</f>
        <v/>
      </c>
      <c r="P360" s="182" t="str">
        <f t="shared" ca="1" si="16"/>
        <v/>
      </c>
      <c r="Q360" s="104" t="str" cm="1">
        <f t="array" ref="Q360">_xlfn.IFS(AND(A360&gt;NumberOfPlots,ISBLANK(INDEX(PlotData,MATCH($A360,PlotNumber,0),MATCH(B$3,PlotTitles,0)))),"",ISBLANK(INDEX(PlotData,MATCH($A360,PlotNumber,0),MATCH(N$3,PlotTitles,0))),"",(DATEVALUE(INDEX(PlotData,MATCH($A360,PlotNumber,0),MATCH(N$3,PlotTitles,0))&amp;INDEX(PlotData,MATCH($A360,PlotNumber,0),MATCH(O$3,PlotTitles,0))))&lt;(DATEVALUE(INDEX(PlotData,MATCH($A360,PlotNumber,0),MATCH(I$3,PlotTitles,0))&amp;INDEX(PlotData,MATCH($A360,PlotNumber,0),MATCH(J$3,PlotTitles,0)))),$AB$20,TRUE,"")</f>
        <v/>
      </c>
      <c r="R360" s="104" t="str" cm="1">
        <f t="array" ref="R360">_xlfn.IFS(OR(ISBLANK(StartDateMonth),ISBLANK(StartDateYear)),"",AND(A360&gt;NumberOfPlots,ISBLANK(INDEX(PlotData,MATCH($A360,PlotNumber,0),MATCH(B$3,PlotTitles,0)))),"",ISBLANK(INDEX(PlotData,MATCH($A360,PlotNumber,0),MATCH(N$3,PlotTitles,0))),"",CompletionMonth="","",(DATEVALUE(INDEX(PlotData,MATCH($A360,PlotNumber,0),MATCH(N$3,PlotTitles,0))&amp;INDEX(PlotData,MATCH($A360,PlotNumber,0),MATCH(O$3,PlotTitles,0))))&gt;(DATEVALUE(CompletionMonth&amp;CompletionYear)),$AB$21,TRUE,"")</f>
        <v/>
      </c>
      <c r="S360" s="104" t="str" cm="1">
        <f t="array" ref="S360">_xlfn.IFS(AND(A360&gt;NumberOfPlots,ISBLANK(INDEX(PlotData,MATCH($A360,PlotNumber,0),MATCH(B$3,PlotTitles,0)))),"",OR(AND(INDEX(PlotData,MATCH($A360,PlotNumber,0),MATCH("Tenure",PlotTitles,0))="Open market housing",INDEX(PlotData,MATCH($A360,PlotNumber,0),MATCH("Tenure detail",PlotTitles,0))="Private rented sector"),INDEX(PlotData,MATCH($A360,PlotNumber,0),MATCH("Tenure",PlotTitles,0))="Affordable rent"),"",ISNUMBER(INDEX(PlotData,MATCH($A360,PlotNumber,0),MATCH(S$3,PlotTitles,0)))=FALSE, $AB$22,TRUE,"")</f>
        <v/>
      </c>
      <c r="T360" s="104" t="str" cm="1">
        <f t="array" ref="T360">_xlfn.IFS(AND(A360&gt;NumberOfPlots,ISBLANK(INDEX(PlotData,MATCH($A360,PlotNumber,0),MATCH(B$3,PlotTitles,0)))),"",OR(AND(INDEX(PlotData,MATCH($A360,PlotNumber,0),MATCH("Tenure",PlotTitles,0))="Open market housing",INDEX(PlotData,MATCH($A360,PlotNumber,0),MATCH("Tenure detail",PlotTitles,0))="Private rented sector"),INDEX(PlotData,MATCH($A360,PlotNumber,0),MATCH("Tenure",PlotTitles,0))="Affordable rent"),"",INDEX(PlotData,MATCH($A360,PlotNumber,0),MATCH(S$3,PlotTitles,0))&lt;10000, $AB$23,TRUE,"")</f>
        <v/>
      </c>
      <c r="U360" s="104" t="str" cm="1">
        <f t="array" ref="U360">_xlfn.IFS(AND(A360&gt;NumberOfPlots,ISBLANK(INDEX(PlotData,MATCH($A360,PlotNumber,0),MATCH(B$3,PlotTitles,0)))),"",NOT(OR(AND(INDEX(PlotData,MATCH($A360,PlotNumber,0),MATCH("Tenure",PlotTitles,0))="Open market housing",INDEX(PlotData,MATCH($A360,PlotNumber,0),MATCH("Tenure detail",PlotTitles,0))="Private rented sector"),INDEX(PlotData,MATCH($A360,PlotNumber,0),MATCH("Tenure",PlotTitles,0))="Affordable rent")),"",NOT(INDEX(PlotData,MATCH($A360,PlotNumber,0),MATCH(S$3,PlotTitles,0))=0), $AB$24,TRUE,"")</f>
        <v/>
      </c>
      <c r="V360" s="114" t="str" cm="1">
        <f t="array" aca="1" ref="V360" ca="1">_xlfn.IFS(ISBLANK(NumberOfPlots),"Enter the number of homes on the 1_SetUp sheet",AND(A360&gt;NumberOfPlots,ISBLANK(INDEX(PlotData,MATCH($A360,PlotNumber,0),MATCH(B$3,PlotTitles,0)))),"No error",NOT(B360=""),B360,NOT(C360=""),C360,NOT(D360=""),D360,NOT(E360=""),E360,NOT(F360=""),F360,NOT(G360=""),G360,NOT(H360=""),H360,NOT(I360=""),I360,NOT(J360=""),J360,NOT(K360=""),K360,NOT(L360=""),L360,NOT(M360=""),M360,NOT(N360=""),N360,NOT(O360=""),O360,NOT(P360=""),P360,NOT(Q360=""),Q360,NOT(R360=""),R360,NOT(S360=""),S360,NOT(T360=""),T360,NOT(U360=""),U360,TRUE,"No error")</f>
        <v>Enter the number of homes on the 1_SetUp sheet</v>
      </c>
      <c r="W360" s="114" t="str">
        <f t="shared" ca="1" si="17"/>
        <v xml:space="preserve">The Borrower has not addressed the following error messages for Home ID 356: </v>
      </c>
    </row>
    <row r="361" spans="1:23">
      <c r="A361" s="123">
        <v>357</v>
      </c>
      <c r="B361" s="104" t="str" cm="1">
        <f t="array" ref="B361">_xlfn.IFS(AND(A361&gt;NumberOfPlots,ISBLANK(INDEX(PlotData,MATCH($A361,PlotNumber,0),MATCH(B$3,PlotTitles,0)))),"",ISNUMBER(INDEX(PlotData,MATCH($A361,PlotNumber,0),MATCH(B$3,PlotTitles,0)))=FALSE, $AB$5,TRUE,"")</f>
        <v/>
      </c>
      <c r="C361" s="104" t="str" cm="1">
        <f t="array" ref="C361">_xlfn.IFS(AND(A361&gt;NumberOfPlots,ISBLANK(INDEX(PlotData,MATCH($A361,PlotNumber,0),MATCH(B$3,PlotTitles,0)))),"",ISBLANK(INDEX(PlotData,MATCH($A361,PlotNumber,0),MATCH(C$3,PlotTitles,0))),$AB$6,TRUE,"")</f>
        <v/>
      </c>
      <c r="D361" s="104" t="str" cm="1">
        <f t="array" ref="D361">_xlfn.IFS(AND(A361&gt;NumberOfPlots,ISBLANK(INDEX(PlotData,MATCH($A361,PlotNumber,0),MATCH(B$3,PlotTitles,0)))),"",ISBLANK(INDEX(PlotData,MATCH($A361,PlotNumber,0),MATCH(D$3,PlotTitles,0))),$AB$7,TRUE,"")</f>
        <v/>
      </c>
      <c r="E361" s="104" t="str" cm="1">
        <f t="array" ref="E361">_xlfn.IFS(AND(A361&gt;NumberOfPlots,ISBLANK(INDEX(PlotData,MATCH($A361,PlotNumber,0),MATCH(B$3,PlotTitles,0)))),"",ISBLANK(INDEX(PlotData,MATCH($A361,PlotNumber,0),MATCH(E$3,PlotTitles,0))),$AB$8,TRUE,"")</f>
        <v/>
      </c>
      <c r="F361" s="104" t="str" cm="1">
        <f t="array" ref="F361">_xlfn.IFS(AND(A361&gt;NumberOfPlots,ISBLANK(INDEX(PlotData,MATCH($A361,PlotNumber,0),MATCH(B$3,PlotTitles,0)))),"",ISBLANK(INDEX(PlotData,MATCH($A361,PlotNumber,0),MATCH(F$3,PlotTitles,0))),$AB$9,TRUE,"")</f>
        <v/>
      </c>
      <c r="G361" s="104" t="str" cm="1">
        <f t="array" ref="G361">_xlfn.IFS(AND(A361&gt;NumberOfPlots,ISBLANK(INDEX(PlotData,MATCH($A361,PlotNumber,0),MATCH(B$3,PlotTitles,0)))),"",ISBLANK(INDEX(PlotData,MATCH($A361,PlotNumber,0),MATCH(G$3,PlotTitles,0))),$AB$10,TRUE,"")</f>
        <v/>
      </c>
      <c r="H361" s="104" t="str" cm="1">
        <f t="array" ref="H361">_xlfn.IFS(AND(A361&gt;NumberOfPlots,ISBLANK(INDEX(PlotData,MATCH($A361,PlotNumber,0),MATCH(B$3,PlotTitles,0)))),"",AND(ISBLANK(INDEX(PlotData,MATCH($A361,PlotNumber,0),MATCH(H$3,PlotTitles,0)))=FALSE,INDEX(PlotData,MATCH($A361,PlotNumber,0),MATCH(H$3,PlotTitles,0))&lt;500), $AB$11,TRUE,"")</f>
        <v/>
      </c>
      <c r="I361" s="104" t="str" cm="1">
        <f t="array" ref="I361">_xlfn.IFS(AND(A361&gt;NumberOfPlots,ISBLANK(INDEX(PlotData,MATCH($A361,PlotNumber,0),MATCH(B$3,PlotTitles,0)))),"",ISBLANK(INDEX(PlotData,MATCH($A361,PlotNumber,0),MATCH(I$3,PlotTitles,0))),$AB$12,TRUE,"")</f>
        <v/>
      </c>
      <c r="J361" s="104" t="str" cm="1">
        <f t="array" ref="J361">_xlfn.IFS(AND(A361&gt;NumberOfPlots,ISBLANK(INDEX(PlotData,MATCH($A361,PlotNumber,0),MATCH(B$3,PlotTitles,0)))),"",ISBLANK(INDEX(PlotData,MATCH($A361,PlotNumber,0),MATCH(J$3,PlotTitles,0))),$AB$13,TRUE,"")</f>
        <v/>
      </c>
      <c r="K361" s="182" t="str">
        <f t="shared" ca="1" si="15"/>
        <v/>
      </c>
      <c r="L361" s="104" t="str" cm="1">
        <f t="array" ref="L361">_xlfn.IFS(OR(ISBLANK(StartDateMonth),ISBLANK(StartDateYear)),"",AND(A361&gt;NumberOfPlots,ISBLANK(INDEX(PlotData,MATCH($A361,PlotNumber,0),MATCH(B$3,PlotTitles,0)))),"",ISBLANK(INDEX(PlotData,MATCH($A361,PlotNumber,0),MATCH(I$3,PlotTitles,0))),"",(DATEVALUE(INDEX(PlotData,MATCH($A361,PlotNumber,0),MATCH(I$3,PlotTitles,0))&amp;INDEX(PlotData,MATCH($A361,PlotNumber,0),MATCH(J$3,PlotTitles,0))))&lt;DATEVALUE(StartDateMonth&amp;StartDateYear),$AB$15,TRUE,"")</f>
        <v/>
      </c>
      <c r="M361" s="104" t="str" cm="1">
        <f t="array" ref="M361">_xlfn.IFS(OR(ISBLANK(StartDateMonth),ISBLANK(StartDateYear)),"",AND(A361&gt;NumberOfPlots,ISBLANK(INDEX(PlotData,MATCH($A361,PlotNumber,0),MATCH(B$3,PlotTitles,0)))),"",ISBLANK(INDEX(PlotData,MATCH($A361,PlotNumber,0),MATCH(I$3,PlotTitles,0))),"",CompletionMonth="","",(DATEVALUE(INDEX(PlotData,MATCH($A361,PlotNumber,0),MATCH(I$3,PlotTitles,0))&amp;INDEX(PlotData,MATCH($A361,PlotNumber,0),MATCH(J$3,PlotTitles,0))))&gt;(DATEVALUE(CompletionMonth&amp;CompletionYear)),$AB$16,TRUE,"")</f>
        <v/>
      </c>
      <c r="N361" s="104" t="str" cm="1">
        <f t="array" ref="N361">_xlfn.IFS(AND(A361&gt;NumberOfPlots,ISBLANK(INDEX(PlotData,MATCH($A361,PlotNumber,0),MATCH(B$3,PlotTitles,0)))),"",ISBLANK(INDEX(PlotData,MATCH($A361,PlotNumber,0),MATCH(N$3,PlotTitles,0))),$AB$17,TRUE,"")</f>
        <v/>
      </c>
      <c r="O361" s="104" t="str" cm="1">
        <f t="array" ref="O361">_xlfn.IFS(AND(A361&gt;NumberOfPlots,ISBLANK(INDEX(PlotData,MATCH($A361,PlotNumber,0),MATCH(B$3,PlotTitles,0)))),"",ISBLANK(INDEX(PlotData,MATCH($A361,PlotNumber,0),MATCH(O$3,PlotTitles,0))),$AB$18,TRUE,"")</f>
        <v/>
      </c>
      <c r="P361" s="182" t="str">
        <f t="shared" ca="1" si="16"/>
        <v/>
      </c>
      <c r="Q361" s="104" t="str" cm="1">
        <f t="array" ref="Q361">_xlfn.IFS(AND(A361&gt;NumberOfPlots,ISBLANK(INDEX(PlotData,MATCH($A361,PlotNumber,0),MATCH(B$3,PlotTitles,0)))),"",ISBLANK(INDEX(PlotData,MATCH($A361,PlotNumber,0),MATCH(N$3,PlotTitles,0))),"",(DATEVALUE(INDEX(PlotData,MATCH($A361,PlotNumber,0),MATCH(N$3,PlotTitles,0))&amp;INDEX(PlotData,MATCH($A361,PlotNumber,0),MATCH(O$3,PlotTitles,0))))&lt;(DATEVALUE(INDEX(PlotData,MATCH($A361,PlotNumber,0),MATCH(I$3,PlotTitles,0))&amp;INDEX(PlotData,MATCH($A361,PlotNumber,0),MATCH(J$3,PlotTitles,0)))),$AB$20,TRUE,"")</f>
        <v/>
      </c>
      <c r="R361" s="104" t="str" cm="1">
        <f t="array" ref="R361">_xlfn.IFS(OR(ISBLANK(StartDateMonth),ISBLANK(StartDateYear)),"",AND(A361&gt;NumberOfPlots,ISBLANK(INDEX(PlotData,MATCH($A361,PlotNumber,0),MATCH(B$3,PlotTitles,0)))),"",ISBLANK(INDEX(PlotData,MATCH($A361,PlotNumber,0),MATCH(N$3,PlotTitles,0))),"",CompletionMonth="","",(DATEVALUE(INDEX(PlotData,MATCH($A361,PlotNumber,0),MATCH(N$3,PlotTitles,0))&amp;INDEX(PlotData,MATCH($A361,PlotNumber,0),MATCH(O$3,PlotTitles,0))))&gt;(DATEVALUE(CompletionMonth&amp;CompletionYear)),$AB$21,TRUE,"")</f>
        <v/>
      </c>
      <c r="S361" s="104" t="str" cm="1">
        <f t="array" ref="S361">_xlfn.IFS(AND(A361&gt;NumberOfPlots,ISBLANK(INDEX(PlotData,MATCH($A361,PlotNumber,0),MATCH(B$3,PlotTitles,0)))),"",OR(AND(INDEX(PlotData,MATCH($A361,PlotNumber,0),MATCH("Tenure",PlotTitles,0))="Open market housing",INDEX(PlotData,MATCH($A361,PlotNumber,0),MATCH("Tenure detail",PlotTitles,0))="Private rented sector"),INDEX(PlotData,MATCH($A361,PlotNumber,0),MATCH("Tenure",PlotTitles,0))="Affordable rent"),"",ISNUMBER(INDEX(PlotData,MATCH($A361,PlotNumber,0),MATCH(S$3,PlotTitles,0)))=FALSE, $AB$22,TRUE,"")</f>
        <v/>
      </c>
      <c r="T361" s="104" t="str" cm="1">
        <f t="array" ref="T361">_xlfn.IFS(AND(A361&gt;NumberOfPlots,ISBLANK(INDEX(PlotData,MATCH($A361,PlotNumber,0),MATCH(B$3,PlotTitles,0)))),"",OR(AND(INDEX(PlotData,MATCH($A361,PlotNumber,0),MATCH("Tenure",PlotTitles,0))="Open market housing",INDEX(PlotData,MATCH($A361,PlotNumber,0),MATCH("Tenure detail",PlotTitles,0))="Private rented sector"),INDEX(PlotData,MATCH($A361,PlotNumber,0),MATCH("Tenure",PlotTitles,0))="Affordable rent"),"",INDEX(PlotData,MATCH($A361,PlotNumber,0),MATCH(S$3,PlotTitles,0))&lt;10000, $AB$23,TRUE,"")</f>
        <v/>
      </c>
      <c r="U361" s="104" t="str" cm="1">
        <f t="array" ref="U361">_xlfn.IFS(AND(A361&gt;NumberOfPlots,ISBLANK(INDEX(PlotData,MATCH($A361,PlotNumber,0),MATCH(B$3,PlotTitles,0)))),"",NOT(OR(AND(INDEX(PlotData,MATCH($A361,PlotNumber,0),MATCH("Tenure",PlotTitles,0))="Open market housing",INDEX(PlotData,MATCH($A361,PlotNumber,0),MATCH("Tenure detail",PlotTitles,0))="Private rented sector"),INDEX(PlotData,MATCH($A361,PlotNumber,0),MATCH("Tenure",PlotTitles,0))="Affordable rent")),"",NOT(INDEX(PlotData,MATCH($A361,PlotNumber,0),MATCH(S$3,PlotTitles,0))=0), $AB$24,TRUE,"")</f>
        <v/>
      </c>
      <c r="V361" s="114" t="str" cm="1">
        <f t="array" aca="1" ref="V361" ca="1">_xlfn.IFS(ISBLANK(NumberOfPlots),"Enter the number of homes on the 1_SetUp sheet",AND(A361&gt;NumberOfPlots,ISBLANK(INDEX(PlotData,MATCH($A361,PlotNumber,0),MATCH(B$3,PlotTitles,0)))),"No error",NOT(B361=""),B361,NOT(C361=""),C361,NOT(D361=""),D361,NOT(E361=""),E361,NOT(F361=""),F361,NOT(G361=""),G361,NOT(H361=""),H361,NOT(I361=""),I361,NOT(J361=""),J361,NOT(K361=""),K361,NOT(L361=""),L361,NOT(M361=""),M361,NOT(N361=""),N361,NOT(O361=""),O361,NOT(P361=""),P361,NOT(Q361=""),Q361,NOT(R361=""),R361,NOT(S361=""),S361,NOT(T361=""),T361,NOT(U361=""),U361,TRUE,"No error")</f>
        <v>Enter the number of homes on the 1_SetUp sheet</v>
      </c>
      <c r="W361" s="114" t="str">
        <f t="shared" ca="1" si="17"/>
        <v xml:space="preserve">The Borrower has not addressed the following error messages for Home ID 357: </v>
      </c>
    </row>
    <row r="362" spans="1:23">
      <c r="A362" s="123">
        <v>358</v>
      </c>
      <c r="B362" s="104" t="str" cm="1">
        <f t="array" ref="B362">_xlfn.IFS(AND(A362&gt;NumberOfPlots,ISBLANK(INDEX(PlotData,MATCH($A362,PlotNumber,0),MATCH(B$3,PlotTitles,0)))),"",ISNUMBER(INDEX(PlotData,MATCH($A362,PlotNumber,0),MATCH(B$3,PlotTitles,0)))=FALSE, $AB$5,TRUE,"")</f>
        <v/>
      </c>
      <c r="C362" s="104" t="str" cm="1">
        <f t="array" ref="C362">_xlfn.IFS(AND(A362&gt;NumberOfPlots,ISBLANK(INDEX(PlotData,MATCH($A362,PlotNumber,0),MATCH(B$3,PlotTitles,0)))),"",ISBLANK(INDEX(PlotData,MATCH($A362,PlotNumber,0),MATCH(C$3,PlotTitles,0))),$AB$6,TRUE,"")</f>
        <v/>
      </c>
      <c r="D362" s="104" t="str" cm="1">
        <f t="array" ref="D362">_xlfn.IFS(AND(A362&gt;NumberOfPlots,ISBLANK(INDEX(PlotData,MATCH($A362,PlotNumber,0),MATCH(B$3,PlotTitles,0)))),"",ISBLANK(INDEX(PlotData,MATCH($A362,PlotNumber,0),MATCH(D$3,PlotTitles,0))),$AB$7,TRUE,"")</f>
        <v/>
      </c>
      <c r="E362" s="104" t="str" cm="1">
        <f t="array" ref="E362">_xlfn.IFS(AND(A362&gt;NumberOfPlots,ISBLANK(INDEX(PlotData,MATCH($A362,PlotNumber,0),MATCH(B$3,PlotTitles,0)))),"",ISBLANK(INDEX(PlotData,MATCH($A362,PlotNumber,0),MATCH(E$3,PlotTitles,0))),$AB$8,TRUE,"")</f>
        <v/>
      </c>
      <c r="F362" s="104" t="str" cm="1">
        <f t="array" ref="F362">_xlfn.IFS(AND(A362&gt;NumberOfPlots,ISBLANK(INDEX(PlotData,MATCH($A362,PlotNumber,0),MATCH(B$3,PlotTitles,0)))),"",ISBLANK(INDEX(PlotData,MATCH($A362,PlotNumber,0),MATCH(F$3,PlotTitles,0))),$AB$9,TRUE,"")</f>
        <v/>
      </c>
      <c r="G362" s="104" t="str" cm="1">
        <f t="array" ref="G362">_xlfn.IFS(AND(A362&gt;NumberOfPlots,ISBLANK(INDEX(PlotData,MATCH($A362,PlotNumber,0),MATCH(B$3,PlotTitles,0)))),"",ISBLANK(INDEX(PlotData,MATCH($A362,PlotNumber,0),MATCH(G$3,PlotTitles,0))),$AB$10,TRUE,"")</f>
        <v/>
      </c>
      <c r="H362" s="104" t="str" cm="1">
        <f t="array" ref="H362">_xlfn.IFS(AND(A362&gt;NumberOfPlots,ISBLANK(INDEX(PlotData,MATCH($A362,PlotNumber,0),MATCH(B$3,PlotTitles,0)))),"",AND(ISBLANK(INDEX(PlotData,MATCH($A362,PlotNumber,0),MATCH(H$3,PlotTitles,0)))=FALSE,INDEX(PlotData,MATCH($A362,PlotNumber,0),MATCH(H$3,PlotTitles,0))&lt;500), $AB$11,TRUE,"")</f>
        <v/>
      </c>
      <c r="I362" s="104" t="str" cm="1">
        <f t="array" ref="I362">_xlfn.IFS(AND(A362&gt;NumberOfPlots,ISBLANK(INDEX(PlotData,MATCH($A362,PlotNumber,0),MATCH(B$3,PlotTitles,0)))),"",ISBLANK(INDEX(PlotData,MATCH($A362,PlotNumber,0),MATCH(I$3,PlotTitles,0))),$AB$12,TRUE,"")</f>
        <v/>
      </c>
      <c r="J362" s="104" t="str" cm="1">
        <f t="array" ref="J362">_xlfn.IFS(AND(A362&gt;NumberOfPlots,ISBLANK(INDEX(PlotData,MATCH($A362,PlotNumber,0),MATCH(B$3,PlotTitles,0)))),"",ISBLANK(INDEX(PlotData,MATCH($A362,PlotNumber,0),MATCH(J$3,PlotTitles,0))),$AB$13,TRUE,"")</f>
        <v/>
      </c>
      <c r="K362" s="182" t="str">
        <f t="shared" ca="1" si="15"/>
        <v/>
      </c>
      <c r="L362" s="104" t="str" cm="1">
        <f t="array" ref="L362">_xlfn.IFS(OR(ISBLANK(StartDateMonth),ISBLANK(StartDateYear)),"",AND(A362&gt;NumberOfPlots,ISBLANK(INDEX(PlotData,MATCH($A362,PlotNumber,0),MATCH(B$3,PlotTitles,0)))),"",ISBLANK(INDEX(PlotData,MATCH($A362,PlotNumber,0),MATCH(I$3,PlotTitles,0))),"",(DATEVALUE(INDEX(PlotData,MATCH($A362,PlotNumber,0),MATCH(I$3,PlotTitles,0))&amp;INDEX(PlotData,MATCH($A362,PlotNumber,0),MATCH(J$3,PlotTitles,0))))&lt;DATEVALUE(StartDateMonth&amp;StartDateYear),$AB$15,TRUE,"")</f>
        <v/>
      </c>
      <c r="M362" s="104" t="str" cm="1">
        <f t="array" ref="M362">_xlfn.IFS(OR(ISBLANK(StartDateMonth),ISBLANK(StartDateYear)),"",AND(A362&gt;NumberOfPlots,ISBLANK(INDEX(PlotData,MATCH($A362,PlotNumber,0),MATCH(B$3,PlotTitles,0)))),"",ISBLANK(INDEX(PlotData,MATCH($A362,PlotNumber,0),MATCH(I$3,PlotTitles,0))),"",CompletionMonth="","",(DATEVALUE(INDEX(PlotData,MATCH($A362,PlotNumber,0),MATCH(I$3,PlotTitles,0))&amp;INDEX(PlotData,MATCH($A362,PlotNumber,0),MATCH(J$3,PlotTitles,0))))&gt;(DATEVALUE(CompletionMonth&amp;CompletionYear)),$AB$16,TRUE,"")</f>
        <v/>
      </c>
      <c r="N362" s="104" t="str" cm="1">
        <f t="array" ref="N362">_xlfn.IFS(AND(A362&gt;NumberOfPlots,ISBLANK(INDEX(PlotData,MATCH($A362,PlotNumber,0),MATCH(B$3,PlotTitles,0)))),"",ISBLANK(INDEX(PlotData,MATCH($A362,PlotNumber,0),MATCH(N$3,PlotTitles,0))),$AB$17,TRUE,"")</f>
        <v/>
      </c>
      <c r="O362" s="104" t="str" cm="1">
        <f t="array" ref="O362">_xlfn.IFS(AND(A362&gt;NumberOfPlots,ISBLANK(INDEX(PlotData,MATCH($A362,PlotNumber,0),MATCH(B$3,PlotTitles,0)))),"",ISBLANK(INDEX(PlotData,MATCH($A362,PlotNumber,0),MATCH(O$3,PlotTitles,0))),$AB$18,TRUE,"")</f>
        <v/>
      </c>
      <c r="P362" s="182" t="str">
        <f t="shared" ca="1" si="16"/>
        <v/>
      </c>
      <c r="Q362" s="104" t="str" cm="1">
        <f t="array" ref="Q362">_xlfn.IFS(AND(A362&gt;NumberOfPlots,ISBLANK(INDEX(PlotData,MATCH($A362,PlotNumber,0),MATCH(B$3,PlotTitles,0)))),"",ISBLANK(INDEX(PlotData,MATCH($A362,PlotNumber,0),MATCH(N$3,PlotTitles,0))),"",(DATEVALUE(INDEX(PlotData,MATCH($A362,PlotNumber,0),MATCH(N$3,PlotTitles,0))&amp;INDEX(PlotData,MATCH($A362,PlotNumber,0),MATCH(O$3,PlotTitles,0))))&lt;(DATEVALUE(INDEX(PlotData,MATCH($A362,PlotNumber,0),MATCH(I$3,PlotTitles,0))&amp;INDEX(PlotData,MATCH($A362,PlotNumber,0),MATCH(J$3,PlotTitles,0)))),$AB$20,TRUE,"")</f>
        <v/>
      </c>
      <c r="R362" s="104" t="str" cm="1">
        <f t="array" ref="R362">_xlfn.IFS(OR(ISBLANK(StartDateMonth),ISBLANK(StartDateYear)),"",AND(A362&gt;NumberOfPlots,ISBLANK(INDEX(PlotData,MATCH($A362,PlotNumber,0),MATCH(B$3,PlotTitles,0)))),"",ISBLANK(INDEX(PlotData,MATCH($A362,PlotNumber,0),MATCH(N$3,PlotTitles,0))),"",CompletionMonth="","",(DATEVALUE(INDEX(PlotData,MATCH($A362,PlotNumber,0),MATCH(N$3,PlotTitles,0))&amp;INDEX(PlotData,MATCH($A362,PlotNumber,0),MATCH(O$3,PlotTitles,0))))&gt;(DATEVALUE(CompletionMonth&amp;CompletionYear)),$AB$21,TRUE,"")</f>
        <v/>
      </c>
      <c r="S362" s="104" t="str" cm="1">
        <f t="array" ref="S362">_xlfn.IFS(AND(A362&gt;NumberOfPlots,ISBLANK(INDEX(PlotData,MATCH($A362,PlotNumber,0),MATCH(B$3,PlotTitles,0)))),"",OR(AND(INDEX(PlotData,MATCH($A362,PlotNumber,0),MATCH("Tenure",PlotTitles,0))="Open market housing",INDEX(PlotData,MATCH($A362,PlotNumber,0),MATCH("Tenure detail",PlotTitles,0))="Private rented sector"),INDEX(PlotData,MATCH($A362,PlotNumber,0),MATCH("Tenure",PlotTitles,0))="Affordable rent"),"",ISNUMBER(INDEX(PlotData,MATCH($A362,PlotNumber,0),MATCH(S$3,PlotTitles,0)))=FALSE, $AB$22,TRUE,"")</f>
        <v/>
      </c>
      <c r="T362" s="104" t="str" cm="1">
        <f t="array" ref="T362">_xlfn.IFS(AND(A362&gt;NumberOfPlots,ISBLANK(INDEX(PlotData,MATCH($A362,PlotNumber,0),MATCH(B$3,PlotTitles,0)))),"",OR(AND(INDEX(PlotData,MATCH($A362,PlotNumber,0),MATCH("Tenure",PlotTitles,0))="Open market housing",INDEX(PlotData,MATCH($A362,PlotNumber,0),MATCH("Tenure detail",PlotTitles,0))="Private rented sector"),INDEX(PlotData,MATCH($A362,PlotNumber,0),MATCH("Tenure",PlotTitles,0))="Affordable rent"),"",INDEX(PlotData,MATCH($A362,PlotNumber,0),MATCH(S$3,PlotTitles,0))&lt;10000, $AB$23,TRUE,"")</f>
        <v/>
      </c>
      <c r="U362" s="104" t="str" cm="1">
        <f t="array" ref="U362">_xlfn.IFS(AND(A362&gt;NumberOfPlots,ISBLANK(INDEX(PlotData,MATCH($A362,PlotNumber,0),MATCH(B$3,PlotTitles,0)))),"",NOT(OR(AND(INDEX(PlotData,MATCH($A362,PlotNumber,0),MATCH("Tenure",PlotTitles,0))="Open market housing",INDEX(PlotData,MATCH($A362,PlotNumber,0),MATCH("Tenure detail",PlotTitles,0))="Private rented sector"),INDEX(PlotData,MATCH($A362,PlotNumber,0),MATCH("Tenure",PlotTitles,0))="Affordable rent")),"",NOT(INDEX(PlotData,MATCH($A362,PlotNumber,0),MATCH(S$3,PlotTitles,0))=0), $AB$24,TRUE,"")</f>
        <v/>
      </c>
      <c r="V362" s="114" t="str" cm="1">
        <f t="array" aca="1" ref="V362" ca="1">_xlfn.IFS(ISBLANK(NumberOfPlots),"Enter the number of homes on the 1_SetUp sheet",AND(A362&gt;NumberOfPlots,ISBLANK(INDEX(PlotData,MATCH($A362,PlotNumber,0),MATCH(B$3,PlotTitles,0)))),"No error",NOT(B362=""),B362,NOT(C362=""),C362,NOT(D362=""),D362,NOT(E362=""),E362,NOT(F362=""),F362,NOT(G362=""),G362,NOT(H362=""),H362,NOT(I362=""),I362,NOT(J362=""),J362,NOT(K362=""),K362,NOT(L362=""),L362,NOT(M362=""),M362,NOT(N362=""),N362,NOT(O362=""),O362,NOT(P362=""),P362,NOT(Q362=""),Q362,NOT(R362=""),R362,NOT(S362=""),S362,NOT(T362=""),T362,NOT(U362=""),U362,TRUE,"No error")</f>
        <v>Enter the number of homes on the 1_SetUp sheet</v>
      </c>
      <c r="W362" s="114" t="str">
        <f t="shared" ca="1" si="17"/>
        <v xml:space="preserve">The Borrower has not addressed the following error messages for Home ID 358: </v>
      </c>
    </row>
    <row r="363" spans="1:23">
      <c r="A363" s="123">
        <v>359</v>
      </c>
      <c r="B363" s="104" t="str" cm="1">
        <f t="array" ref="B363">_xlfn.IFS(AND(A363&gt;NumberOfPlots,ISBLANK(INDEX(PlotData,MATCH($A363,PlotNumber,0),MATCH(B$3,PlotTitles,0)))),"",ISNUMBER(INDEX(PlotData,MATCH($A363,PlotNumber,0),MATCH(B$3,PlotTitles,0)))=FALSE, $AB$5,TRUE,"")</f>
        <v/>
      </c>
      <c r="C363" s="104" t="str" cm="1">
        <f t="array" ref="C363">_xlfn.IFS(AND(A363&gt;NumberOfPlots,ISBLANK(INDEX(PlotData,MATCH($A363,PlotNumber,0),MATCH(B$3,PlotTitles,0)))),"",ISBLANK(INDEX(PlotData,MATCH($A363,PlotNumber,0),MATCH(C$3,PlotTitles,0))),$AB$6,TRUE,"")</f>
        <v/>
      </c>
      <c r="D363" s="104" t="str" cm="1">
        <f t="array" ref="D363">_xlfn.IFS(AND(A363&gt;NumberOfPlots,ISBLANK(INDEX(PlotData,MATCH($A363,PlotNumber,0),MATCH(B$3,PlotTitles,0)))),"",ISBLANK(INDEX(PlotData,MATCH($A363,PlotNumber,0),MATCH(D$3,PlotTitles,0))),$AB$7,TRUE,"")</f>
        <v/>
      </c>
      <c r="E363" s="104" t="str" cm="1">
        <f t="array" ref="E363">_xlfn.IFS(AND(A363&gt;NumberOfPlots,ISBLANK(INDEX(PlotData,MATCH($A363,PlotNumber,0),MATCH(B$3,PlotTitles,0)))),"",ISBLANK(INDEX(PlotData,MATCH($A363,PlotNumber,0),MATCH(E$3,PlotTitles,0))),$AB$8,TRUE,"")</f>
        <v/>
      </c>
      <c r="F363" s="104" t="str" cm="1">
        <f t="array" ref="F363">_xlfn.IFS(AND(A363&gt;NumberOfPlots,ISBLANK(INDEX(PlotData,MATCH($A363,PlotNumber,0),MATCH(B$3,PlotTitles,0)))),"",ISBLANK(INDEX(PlotData,MATCH($A363,PlotNumber,0),MATCH(F$3,PlotTitles,0))),$AB$9,TRUE,"")</f>
        <v/>
      </c>
      <c r="G363" s="104" t="str" cm="1">
        <f t="array" ref="G363">_xlfn.IFS(AND(A363&gt;NumberOfPlots,ISBLANK(INDEX(PlotData,MATCH($A363,PlotNumber,0),MATCH(B$3,PlotTitles,0)))),"",ISBLANK(INDEX(PlotData,MATCH($A363,PlotNumber,0),MATCH(G$3,PlotTitles,0))),$AB$10,TRUE,"")</f>
        <v/>
      </c>
      <c r="H363" s="104" t="str" cm="1">
        <f t="array" ref="H363">_xlfn.IFS(AND(A363&gt;NumberOfPlots,ISBLANK(INDEX(PlotData,MATCH($A363,PlotNumber,0),MATCH(B$3,PlotTitles,0)))),"",AND(ISBLANK(INDEX(PlotData,MATCH($A363,PlotNumber,0),MATCH(H$3,PlotTitles,0)))=FALSE,INDEX(PlotData,MATCH($A363,PlotNumber,0),MATCH(H$3,PlotTitles,0))&lt;500), $AB$11,TRUE,"")</f>
        <v/>
      </c>
      <c r="I363" s="104" t="str" cm="1">
        <f t="array" ref="I363">_xlfn.IFS(AND(A363&gt;NumberOfPlots,ISBLANK(INDEX(PlotData,MATCH($A363,PlotNumber,0),MATCH(B$3,PlotTitles,0)))),"",ISBLANK(INDEX(PlotData,MATCH($A363,PlotNumber,0),MATCH(I$3,PlotTitles,0))),$AB$12,TRUE,"")</f>
        <v/>
      </c>
      <c r="J363" s="104" t="str" cm="1">
        <f t="array" ref="J363">_xlfn.IFS(AND(A363&gt;NumberOfPlots,ISBLANK(INDEX(PlotData,MATCH($A363,PlotNumber,0),MATCH(B$3,PlotTitles,0)))),"",ISBLANK(INDEX(PlotData,MATCH($A363,PlotNumber,0),MATCH(J$3,PlotTitles,0))),$AB$13,TRUE,"")</f>
        <v/>
      </c>
      <c r="K363" s="182" t="str">
        <f t="shared" ca="1" si="15"/>
        <v/>
      </c>
      <c r="L363" s="104" t="str" cm="1">
        <f t="array" ref="L363">_xlfn.IFS(OR(ISBLANK(StartDateMonth),ISBLANK(StartDateYear)),"",AND(A363&gt;NumberOfPlots,ISBLANK(INDEX(PlotData,MATCH($A363,PlotNumber,0),MATCH(B$3,PlotTitles,0)))),"",ISBLANK(INDEX(PlotData,MATCH($A363,PlotNumber,0),MATCH(I$3,PlotTitles,0))),"",(DATEVALUE(INDEX(PlotData,MATCH($A363,PlotNumber,0),MATCH(I$3,PlotTitles,0))&amp;INDEX(PlotData,MATCH($A363,PlotNumber,0),MATCH(J$3,PlotTitles,0))))&lt;DATEVALUE(StartDateMonth&amp;StartDateYear),$AB$15,TRUE,"")</f>
        <v/>
      </c>
      <c r="M363" s="104" t="str" cm="1">
        <f t="array" ref="M363">_xlfn.IFS(OR(ISBLANK(StartDateMonth),ISBLANK(StartDateYear)),"",AND(A363&gt;NumberOfPlots,ISBLANK(INDEX(PlotData,MATCH($A363,PlotNumber,0),MATCH(B$3,PlotTitles,0)))),"",ISBLANK(INDEX(PlotData,MATCH($A363,PlotNumber,0),MATCH(I$3,PlotTitles,0))),"",CompletionMonth="","",(DATEVALUE(INDEX(PlotData,MATCH($A363,PlotNumber,0),MATCH(I$3,PlotTitles,0))&amp;INDEX(PlotData,MATCH($A363,PlotNumber,0),MATCH(J$3,PlotTitles,0))))&gt;(DATEVALUE(CompletionMonth&amp;CompletionYear)),$AB$16,TRUE,"")</f>
        <v/>
      </c>
      <c r="N363" s="104" t="str" cm="1">
        <f t="array" ref="N363">_xlfn.IFS(AND(A363&gt;NumberOfPlots,ISBLANK(INDEX(PlotData,MATCH($A363,PlotNumber,0),MATCH(B$3,PlotTitles,0)))),"",ISBLANK(INDEX(PlotData,MATCH($A363,PlotNumber,0),MATCH(N$3,PlotTitles,0))),$AB$17,TRUE,"")</f>
        <v/>
      </c>
      <c r="O363" s="104" t="str" cm="1">
        <f t="array" ref="O363">_xlfn.IFS(AND(A363&gt;NumberOfPlots,ISBLANK(INDEX(PlotData,MATCH($A363,PlotNumber,0),MATCH(B$3,PlotTitles,0)))),"",ISBLANK(INDEX(PlotData,MATCH($A363,PlotNumber,0),MATCH(O$3,PlotTitles,0))),$AB$18,TRUE,"")</f>
        <v/>
      </c>
      <c r="P363" s="182" t="str">
        <f t="shared" ca="1" si="16"/>
        <v/>
      </c>
      <c r="Q363" s="104" t="str" cm="1">
        <f t="array" ref="Q363">_xlfn.IFS(AND(A363&gt;NumberOfPlots,ISBLANK(INDEX(PlotData,MATCH($A363,PlotNumber,0),MATCH(B$3,PlotTitles,0)))),"",ISBLANK(INDEX(PlotData,MATCH($A363,PlotNumber,0),MATCH(N$3,PlotTitles,0))),"",(DATEVALUE(INDEX(PlotData,MATCH($A363,PlotNumber,0),MATCH(N$3,PlotTitles,0))&amp;INDEX(PlotData,MATCH($A363,PlotNumber,0),MATCH(O$3,PlotTitles,0))))&lt;(DATEVALUE(INDEX(PlotData,MATCH($A363,PlotNumber,0),MATCH(I$3,PlotTitles,0))&amp;INDEX(PlotData,MATCH($A363,PlotNumber,0),MATCH(J$3,PlotTitles,0)))),$AB$20,TRUE,"")</f>
        <v/>
      </c>
      <c r="R363" s="104" t="str" cm="1">
        <f t="array" ref="R363">_xlfn.IFS(OR(ISBLANK(StartDateMonth),ISBLANK(StartDateYear)),"",AND(A363&gt;NumberOfPlots,ISBLANK(INDEX(PlotData,MATCH($A363,PlotNumber,0),MATCH(B$3,PlotTitles,0)))),"",ISBLANK(INDEX(PlotData,MATCH($A363,PlotNumber,0),MATCH(N$3,PlotTitles,0))),"",CompletionMonth="","",(DATEVALUE(INDEX(PlotData,MATCH($A363,PlotNumber,0),MATCH(N$3,PlotTitles,0))&amp;INDEX(PlotData,MATCH($A363,PlotNumber,0),MATCH(O$3,PlotTitles,0))))&gt;(DATEVALUE(CompletionMonth&amp;CompletionYear)),$AB$21,TRUE,"")</f>
        <v/>
      </c>
      <c r="S363" s="104" t="str" cm="1">
        <f t="array" ref="S363">_xlfn.IFS(AND(A363&gt;NumberOfPlots,ISBLANK(INDEX(PlotData,MATCH($A363,PlotNumber,0),MATCH(B$3,PlotTitles,0)))),"",OR(AND(INDEX(PlotData,MATCH($A363,PlotNumber,0),MATCH("Tenure",PlotTitles,0))="Open market housing",INDEX(PlotData,MATCH($A363,PlotNumber,0),MATCH("Tenure detail",PlotTitles,0))="Private rented sector"),INDEX(PlotData,MATCH($A363,PlotNumber,0),MATCH("Tenure",PlotTitles,0))="Affordable rent"),"",ISNUMBER(INDEX(PlotData,MATCH($A363,PlotNumber,0),MATCH(S$3,PlotTitles,0)))=FALSE, $AB$22,TRUE,"")</f>
        <v/>
      </c>
      <c r="T363" s="104" t="str" cm="1">
        <f t="array" ref="T363">_xlfn.IFS(AND(A363&gt;NumberOfPlots,ISBLANK(INDEX(PlotData,MATCH($A363,PlotNumber,0),MATCH(B$3,PlotTitles,0)))),"",OR(AND(INDEX(PlotData,MATCH($A363,PlotNumber,0),MATCH("Tenure",PlotTitles,0))="Open market housing",INDEX(PlotData,MATCH($A363,PlotNumber,0),MATCH("Tenure detail",PlotTitles,0))="Private rented sector"),INDEX(PlotData,MATCH($A363,PlotNumber,0),MATCH("Tenure",PlotTitles,0))="Affordable rent"),"",INDEX(PlotData,MATCH($A363,PlotNumber,0),MATCH(S$3,PlotTitles,0))&lt;10000, $AB$23,TRUE,"")</f>
        <v/>
      </c>
      <c r="U363" s="104" t="str" cm="1">
        <f t="array" ref="U363">_xlfn.IFS(AND(A363&gt;NumberOfPlots,ISBLANK(INDEX(PlotData,MATCH($A363,PlotNumber,0),MATCH(B$3,PlotTitles,0)))),"",NOT(OR(AND(INDEX(PlotData,MATCH($A363,PlotNumber,0),MATCH("Tenure",PlotTitles,0))="Open market housing",INDEX(PlotData,MATCH($A363,PlotNumber,0),MATCH("Tenure detail",PlotTitles,0))="Private rented sector"),INDEX(PlotData,MATCH($A363,PlotNumber,0),MATCH("Tenure",PlotTitles,0))="Affordable rent")),"",NOT(INDEX(PlotData,MATCH($A363,PlotNumber,0),MATCH(S$3,PlotTitles,0))=0), $AB$24,TRUE,"")</f>
        <v/>
      </c>
      <c r="V363" s="114" t="str" cm="1">
        <f t="array" aca="1" ref="V363" ca="1">_xlfn.IFS(ISBLANK(NumberOfPlots),"Enter the number of homes on the 1_SetUp sheet",AND(A363&gt;NumberOfPlots,ISBLANK(INDEX(PlotData,MATCH($A363,PlotNumber,0),MATCH(B$3,PlotTitles,0)))),"No error",NOT(B363=""),B363,NOT(C363=""),C363,NOT(D363=""),D363,NOT(E363=""),E363,NOT(F363=""),F363,NOT(G363=""),G363,NOT(H363=""),H363,NOT(I363=""),I363,NOT(J363=""),J363,NOT(K363=""),K363,NOT(L363=""),L363,NOT(M363=""),M363,NOT(N363=""),N363,NOT(O363=""),O363,NOT(P363=""),P363,NOT(Q363=""),Q363,NOT(R363=""),R363,NOT(S363=""),S363,NOT(T363=""),T363,NOT(U363=""),U363,TRUE,"No error")</f>
        <v>Enter the number of homes on the 1_SetUp sheet</v>
      </c>
      <c r="W363" s="114" t="str">
        <f t="shared" ca="1" si="17"/>
        <v xml:space="preserve">The Borrower has not addressed the following error messages for Home ID 359: </v>
      </c>
    </row>
    <row r="364" spans="1:23">
      <c r="A364" s="123">
        <v>360</v>
      </c>
      <c r="B364" s="104" t="str" cm="1">
        <f t="array" ref="B364">_xlfn.IFS(AND(A364&gt;NumberOfPlots,ISBLANK(INDEX(PlotData,MATCH($A364,PlotNumber,0),MATCH(B$3,PlotTitles,0)))),"",ISNUMBER(INDEX(PlotData,MATCH($A364,PlotNumber,0),MATCH(B$3,PlotTitles,0)))=FALSE, $AB$5,TRUE,"")</f>
        <v/>
      </c>
      <c r="C364" s="104" t="str" cm="1">
        <f t="array" ref="C364">_xlfn.IFS(AND(A364&gt;NumberOfPlots,ISBLANK(INDEX(PlotData,MATCH($A364,PlotNumber,0),MATCH(B$3,PlotTitles,0)))),"",ISBLANK(INDEX(PlotData,MATCH($A364,PlotNumber,0),MATCH(C$3,PlotTitles,0))),$AB$6,TRUE,"")</f>
        <v/>
      </c>
      <c r="D364" s="104" t="str" cm="1">
        <f t="array" ref="D364">_xlfn.IFS(AND(A364&gt;NumberOfPlots,ISBLANK(INDEX(PlotData,MATCH($A364,PlotNumber,0),MATCH(B$3,PlotTitles,0)))),"",ISBLANK(INDEX(PlotData,MATCH($A364,PlotNumber,0),MATCH(D$3,PlotTitles,0))),$AB$7,TRUE,"")</f>
        <v/>
      </c>
      <c r="E364" s="104" t="str" cm="1">
        <f t="array" ref="E364">_xlfn.IFS(AND(A364&gt;NumberOfPlots,ISBLANK(INDEX(PlotData,MATCH($A364,PlotNumber,0),MATCH(B$3,PlotTitles,0)))),"",ISBLANK(INDEX(PlotData,MATCH($A364,PlotNumber,0),MATCH(E$3,PlotTitles,0))),$AB$8,TRUE,"")</f>
        <v/>
      </c>
      <c r="F364" s="104" t="str" cm="1">
        <f t="array" ref="F364">_xlfn.IFS(AND(A364&gt;NumberOfPlots,ISBLANK(INDEX(PlotData,MATCH($A364,PlotNumber,0),MATCH(B$3,PlotTitles,0)))),"",ISBLANK(INDEX(PlotData,MATCH($A364,PlotNumber,0),MATCH(F$3,PlotTitles,0))),$AB$9,TRUE,"")</f>
        <v/>
      </c>
      <c r="G364" s="104" t="str" cm="1">
        <f t="array" ref="G364">_xlfn.IFS(AND(A364&gt;NumberOfPlots,ISBLANK(INDEX(PlotData,MATCH($A364,PlotNumber,0),MATCH(B$3,PlotTitles,0)))),"",ISBLANK(INDEX(PlotData,MATCH($A364,PlotNumber,0),MATCH(G$3,PlotTitles,0))),$AB$10,TRUE,"")</f>
        <v/>
      </c>
      <c r="H364" s="104" t="str" cm="1">
        <f t="array" ref="H364">_xlfn.IFS(AND(A364&gt;NumberOfPlots,ISBLANK(INDEX(PlotData,MATCH($A364,PlotNumber,0),MATCH(B$3,PlotTitles,0)))),"",AND(ISBLANK(INDEX(PlotData,MATCH($A364,PlotNumber,0),MATCH(H$3,PlotTitles,0)))=FALSE,INDEX(PlotData,MATCH($A364,PlotNumber,0),MATCH(H$3,PlotTitles,0))&lt;500), $AB$11,TRUE,"")</f>
        <v/>
      </c>
      <c r="I364" s="104" t="str" cm="1">
        <f t="array" ref="I364">_xlfn.IFS(AND(A364&gt;NumberOfPlots,ISBLANK(INDEX(PlotData,MATCH($A364,PlotNumber,0),MATCH(B$3,PlotTitles,0)))),"",ISBLANK(INDEX(PlotData,MATCH($A364,PlotNumber,0),MATCH(I$3,PlotTitles,0))),$AB$12,TRUE,"")</f>
        <v/>
      </c>
      <c r="J364" s="104" t="str" cm="1">
        <f t="array" ref="J364">_xlfn.IFS(AND(A364&gt;NumberOfPlots,ISBLANK(INDEX(PlotData,MATCH($A364,PlotNumber,0),MATCH(B$3,PlotTitles,0)))),"",ISBLANK(INDEX(PlotData,MATCH($A364,PlotNumber,0),MATCH(J$3,PlotTitles,0))),$AB$13,TRUE,"")</f>
        <v/>
      </c>
      <c r="K364" s="182" t="str">
        <f t="shared" ca="1" si="15"/>
        <v/>
      </c>
      <c r="L364" s="104" t="str" cm="1">
        <f t="array" ref="L364">_xlfn.IFS(OR(ISBLANK(StartDateMonth),ISBLANK(StartDateYear)),"",AND(A364&gt;NumberOfPlots,ISBLANK(INDEX(PlotData,MATCH($A364,PlotNumber,0),MATCH(B$3,PlotTitles,0)))),"",ISBLANK(INDEX(PlotData,MATCH($A364,PlotNumber,0),MATCH(I$3,PlotTitles,0))),"",(DATEVALUE(INDEX(PlotData,MATCH($A364,PlotNumber,0),MATCH(I$3,PlotTitles,0))&amp;INDEX(PlotData,MATCH($A364,PlotNumber,0),MATCH(J$3,PlotTitles,0))))&lt;DATEVALUE(StartDateMonth&amp;StartDateYear),$AB$15,TRUE,"")</f>
        <v/>
      </c>
      <c r="M364" s="104" t="str" cm="1">
        <f t="array" ref="M364">_xlfn.IFS(OR(ISBLANK(StartDateMonth),ISBLANK(StartDateYear)),"",AND(A364&gt;NumberOfPlots,ISBLANK(INDEX(PlotData,MATCH($A364,PlotNumber,0),MATCH(B$3,PlotTitles,0)))),"",ISBLANK(INDEX(PlotData,MATCH($A364,PlotNumber,0),MATCH(I$3,PlotTitles,0))),"",CompletionMonth="","",(DATEVALUE(INDEX(PlotData,MATCH($A364,PlotNumber,0),MATCH(I$3,PlotTitles,0))&amp;INDEX(PlotData,MATCH($A364,PlotNumber,0),MATCH(J$3,PlotTitles,0))))&gt;(DATEVALUE(CompletionMonth&amp;CompletionYear)),$AB$16,TRUE,"")</f>
        <v/>
      </c>
      <c r="N364" s="104" t="str" cm="1">
        <f t="array" ref="N364">_xlfn.IFS(AND(A364&gt;NumberOfPlots,ISBLANK(INDEX(PlotData,MATCH($A364,PlotNumber,0),MATCH(B$3,PlotTitles,0)))),"",ISBLANK(INDEX(PlotData,MATCH($A364,PlotNumber,0),MATCH(N$3,PlotTitles,0))),$AB$17,TRUE,"")</f>
        <v/>
      </c>
      <c r="O364" s="104" t="str" cm="1">
        <f t="array" ref="O364">_xlfn.IFS(AND(A364&gt;NumberOfPlots,ISBLANK(INDEX(PlotData,MATCH($A364,PlotNumber,0),MATCH(B$3,PlotTitles,0)))),"",ISBLANK(INDEX(PlotData,MATCH($A364,PlotNumber,0),MATCH(O$3,PlotTitles,0))),$AB$18,TRUE,"")</f>
        <v/>
      </c>
      <c r="P364" s="182" t="str">
        <f t="shared" ca="1" si="16"/>
        <v/>
      </c>
      <c r="Q364" s="104" t="str" cm="1">
        <f t="array" ref="Q364">_xlfn.IFS(AND(A364&gt;NumberOfPlots,ISBLANK(INDEX(PlotData,MATCH($A364,PlotNumber,0),MATCH(B$3,PlotTitles,0)))),"",ISBLANK(INDEX(PlotData,MATCH($A364,PlotNumber,0),MATCH(N$3,PlotTitles,0))),"",(DATEVALUE(INDEX(PlotData,MATCH($A364,PlotNumber,0),MATCH(N$3,PlotTitles,0))&amp;INDEX(PlotData,MATCH($A364,PlotNumber,0),MATCH(O$3,PlotTitles,0))))&lt;(DATEVALUE(INDEX(PlotData,MATCH($A364,PlotNumber,0),MATCH(I$3,PlotTitles,0))&amp;INDEX(PlotData,MATCH($A364,PlotNumber,0),MATCH(J$3,PlotTitles,0)))),$AB$20,TRUE,"")</f>
        <v/>
      </c>
      <c r="R364" s="104" t="str" cm="1">
        <f t="array" ref="R364">_xlfn.IFS(OR(ISBLANK(StartDateMonth),ISBLANK(StartDateYear)),"",AND(A364&gt;NumberOfPlots,ISBLANK(INDEX(PlotData,MATCH($A364,PlotNumber,0),MATCH(B$3,PlotTitles,0)))),"",ISBLANK(INDEX(PlotData,MATCH($A364,PlotNumber,0),MATCH(N$3,PlotTitles,0))),"",CompletionMonth="","",(DATEVALUE(INDEX(PlotData,MATCH($A364,PlotNumber,0),MATCH(N$3,PlotTitles,0))&amp;INDEX(PlotData,MATCH($A364,PlotNumber,0),MATCH(O$3,PlotTitles,0))))&gt;(DATEVALUE(CompletionMonth&amp;CompletionYear)),$AB$21,TRUE,"")</f>
        <v/>
      </c>
      <c r="S364" s="104" t="str" cm="1">
        <f t="array" ref="S364">_xlfn.IFS(AND(A364&gt;NumberOfPlots,ISBLANK(INDEX(PlotData,MATCH($A364,PlotNumber,0),MATCH(B$3,PlotTitles,0)))),"",OR(AND(INDEX(PlotData,MATCH($A364,PlotNumber,0),MATCH("Tenure",PlotTitles,0))="Open market housing",INDEX(PlotData,MATCH($A364,PlotNumber,0),MATCH("Tenure detail",PlotTitles,0))="Private rented sector"),INDEX(PlotData,MATCH($A364,PlotNumber,0),MATCH("Tenure",PlotTitles,0))="Affordable rent"),"",ISNUMBER(INDEX(PlotData,MATCH($A364,PlotNumber,0),MATCH(S$3,PlotTitles,0)))=FALSE, $AB$22,TRUE,"")</f>
        <v/>
      </c>
      <c r="T364" s="104" t="str" cm="1">
        <f t="array" ref="T364">_xlfn.IFS(AND(A364&gt;NumberOfPlots,ISBLANK(INDEX(PlotData,MATCH($A364,PlotNumber,0),MATCH(B$3,PlotTitles,0)))),"",OR(AND(INDEX(PlotData,MATCH($A364,PlotNumber,0),MATCH("Tenure",PlotTitles,0))="Open market housing",INDEX(PlotData,MATCH($A364,PlotNumber,0),MATCH("Tenure detail",PlotTitles,0))="Private rented sector"),INDEX(PlotData,MATCH($A364,PlotNumber,0),MATCH("Tenure",PlotTitles,0))="Affordable rent"),"",INDEX(PlotData,MATCH($A364,PlotNumber,0),MATCH(S$3,PlotTitles,0))&lt;10000, $AB$23,TRUE,"")</f>
        <v/>
      </c>
      <c r="U364" s="104" t="str" cm="1">
        <f t="array" ref="U364">_xlfn.IFS(AND(A364&gt;NumberOfPlots,ISBLANK(INDEX(PlotData,MATCH($A364,PlotNumber,0),MATCH(B$3,PlotTitles,0)))),"",NOT(OR(AND(INDEX(PlotData,MATCH($A364,PlotNumber,0),MATCH("Tenure",PlotTitles,0))="Open market housing",INDEX(PlotData,MATCH($A364,PlotNumber,0),MATCH("Tenure detail",PlotTitles,0))="Private rented sector"),INDEX(PlotData,MATCH($A364,PlotNumber,0),MATCH("Tenure",PlotTitles,0))="Affordable rent")),"",NOT(INDEX(PlotData,MATCH($A364,PlotNumber,0),MATCH(S$3,PlotTitles,0))=0), $AB$24,TRUE,"")</f>
        <v/>
      </c>
      <c r="V364" s="114" t="str" cm="1">
        <f t="array" aca="1" ref="V364" ca="1">_xlfn.IFS(ISBLANK(NumberOfPlots),"Enter the number of homes on the 1_SetUp sheet",AND(A364&gt;NumberOfPlots,ISBLANK(INDEX(PlotData,MATCH($A364,PlotNumber,0),MATCH(B$3,PlotTitles,0)))),"No error",NOT(B364=""),B364,NOT(C364=""),C364,NOT(D364=""),D364,NOT(E364=""),E364,NOT(F364=""),F364,NOT(G364=""),G364,NOT(H364=""),H364,NOT(I364=""),I364,NOT(J364=""),J364,NOT(K364=""),K364,NOT(L364=""),L364,NOT(M364=""),M364,NOT(N364=""),N364,NOT(O364=""),O364,NOT(P364=""),P364,NOT(Q364=""),Q364,NOT(R364=""),R364,NOT(S364=""),S364,NOT(T364=""),T364,NOT(U364=""),U364,TRUE,"No error")</f>
        <v>Enter the number of homes on the 1_SetUp sheet</v>
      </c>
      <c r="W364" s="114" t="str">
        <f t="shared" ca="1" si="17"/>
        <v xml:space="preserve">The Borrower has not addressed the following error messages for Home ID 360: </v>
      </c>
    </row>
    <row r="365" spans="1:23">
      <c r="A365" s="123">
        <v>361</v>
      </c>
      <c r="B365" s="104" t="str" cm="1">
        <f t="array" ref="B365">_xlfn.IFS(AND(A365&gt;NumberOfPlots,ISBLANK(INDEX(PlotData,MATCH($A365,PlotNumber,0),MATCH(B$3,PlotTitles,0)))),"",ISNUMBER(INDEX(PlotData,MATCH($A365,PlotNumber,0),MATCH(B$3,PlotTitles,0)))=FALSE, $AB$5,TRUE,"")</f>
        <v/>
      </c>
      <c r="C365" s="104" t="str" cm="1">
        <f t="array" ref="C365">_xlfn.IFS(AND(A365&gt;NumberOfPlots,ISBLANK(INDEX(PlotData,MATCH($A365,PlotNumber,0),MATCH(B$3,PlotTitles,0)))),"",ISBLANK(INDEX(PlotData,MATCH($A365,PlotNumber,0),MATCH(C$3,PlotTitles,0))),$AB$6,TRUE,"")</f>
        <v/>
      </c>
      <c r="D365" s="104" t="str" cm="1">
        <f t="array" ref="D365">_xlfn.IFS(AND(A365&gt;NumberOfPlots,ISBLANK(INDEX(PlotData,MATCH($A365,PlotNumber,0),MATCH(B$3,PlotTitles,0)))),"",ISBLANK(INDEX(PlotData,MATCH($A365,PlotNumber,0),MATCH(D$3,PlotTitles,0))),$AB$7,TRUE,"")</f>
        <v/>
      </c>
      <c r="E365" s="104" t="str" cm="1">
        <f t="array" ref="E365">_xlfn.IFS(AND(A365&gt;NumberOfPlots,ISBLANK(INDEX(PlotData,MATCH($A365,PlotNumber,0),MATCH(B$3,PlotTitles,0)))),"",ISBLANK(INDEX(PlotData,MATCH($A365,PlotNumber,0),MATCH(E$3,PlotTitles,0))),$AB$8,TRUE,"")</f>
        <v/>
      </c>
      <c r="F365" s="104" t="str" cm="1">
        <f t="array" ref="F365">_xlfn.IFS(AND(A365&gt;NumberOfPlots,ISBLANK(INDEX(PlotData,MATCH($A365,PlotNumber,0),MATCH(B$3,PlotTitles,0)))),"",ISBLANK(INDEX(PlotData,MATCH($A365,PlotNumber,0),MATCH(F$3,PlotTitles,0))),$AB$9,TRUE,"")</f>
        <v/>
      </c>
      <c r="G365" s="104" t="str" cm="1">
        <f t="array" ref="G365">_xlfn.IFS(AND(A365&gt;NumberOfPlots,ISBLANK(INDEX(PlotData,MATCH($A365,PlotNumber,0),MATCH(B$3,PlotTitles,0)))),"",ISBLANK(INDEX(PlotData,MATCH($A365,PlotNumber,0),MATCH(G$3,PlotTitles,0))),$AB$10,TRUE,"")</f>
        <v/>
      </c>
      <c r="H365" s="104" t="str" cm="1">
        <f t="array" ref="H365">_xlfn.IFS(AND(A365&gt;NumberOfPlots,ISBLANK(INDEX(PlotData,MATCH($A365,PlotNumber,0),MATCH(B$3,PlotTitles,0)))),"",AND(ISBLANK(INDEX(PlotData,MATCH($A365,PlotNumber,0),MATCH(H$3,PlotTitles,0)))=FALSE,INDEX(PlotData,MATCH($A365,PlotNumber,0),MATCH(H$3,PlotTitles,0))&lt;500), $AB$11,TRUE,"")</f>
        <v/>
      </c>
      <c r="I365" s="104" t="str" cm="1">
        <f t="array" ref="I365">_xlfn.IFS(AND(A365&gt;NumberOfPlots,ISBLANK(INDEX(PlotData,MATCH($A365,PlotNumber,0),MATCH(B$3,PlotTitles,0)))),"",ISBLANK(INDEX(PlotData,MATCH($A365,PlotNumber,0),MATCH(I$3,PlotTitles,0))),$AB$12,TRUE,"")</f>
        <v/>
      </c>
      <c r="J365" s="104" t="str" cm="1">
        <f t="array" ref="J365">_xlfn.IFS(AND(A365&gt;NumberOfPlots,ISBLANK(INDEX(PlotData,MATCH($A365,PlotNumber,0),MATCH(B$3,PlotTitles,0)))),"",ISBLANK(INDEX(PlotData,MATCH($A365,PlotNumber,0),MATCH(J$3,PlotTitles,0))),$AB$13,TRUE,"")</f>
        <v/>
      </c>
      <c r="K365" s="182" t="str">
        <f t="shared" ca="1" si="15"/>
        <v/>
      </c>
      <c r="L365" s="104" t="str" cm="1">
        <f t="array" ref="L365">_xlfn.IFS(OR(ISBLANK(StartDateMonth),ISBLANK(StartDateYear)),"",AND(A365&gt;NumberOfPlots,ISBLANK(INDEX(PlotData,MATCH($A365,PlotNumber,0),MATCH(B$3,PlotTitles,0)))),"",ISBLANK(INDEX(PlotData,MATCH($A365,PlotNumber,0),MATCH(I$3,PlotTitles,0))),"",(DATEVALUE(INDEX(PlotData,MATCH($A365,PlotNumber,0),MATCH(I$3,PlotTitles,0))&amp;INDEX(PlotData,MATCH($A365,PlotNumber,0),MATCH(J$3,PlotTitles,0))))&lt;DATEVALUE(StartDateMonth&amp;StartDateYear),$AB$15,TRUE,"")</f>
        <v/>
      </c>
      <c r="M365" s="104" t="str" cm="1">
        <f t="array" ref="M365">_xlfn.IFS(OR(ISBLANK(StartDateMonth),ISBLANK(StartDateYear)),"",AND(A365&gt;NumberOfPlots,ISBLANK(INDEX(PlotData,MATCH($A365,PlotNumber,0),MATCH(B$3,PlotTitles,0)))),"",ISBLANK(INDEX(PlotData,MATCH($A365,PlotNumber,0),MATCH(I$3,PlotTitles,0))),"",CompletionMonth="","",(DATEVALUE(INDEX(PlotData,MATCH($A365,PlotNumber,0),MATCH(I$3,PlotTitles,0))&amp;INDEX(PlotData,MATCH($A365,PlotNumber,0),MATCH(J$3,PlotTitles,0))))&gt;(DATEVALUE(CompletionMonth&amp;CompletionYear)),$AB$16,TRUE,"")</f>
        <v/>
      </c>
      <c r="N365" s="104" t="str" cm="1">
        <f t="array" ref="N365">_xlfn.IFS(AND(A365&gt;NumberOfPlots,ISBLANK(INDEX(PlotData,MATCH($A365,PlotNumber,0),MATCH(B$3,PlotTitles,0)))),"",ISBLANK(INDEX(PlotData,MATCH($A365,PlotNumber,0),MATCH(N$3,PlotTitles,0))),$AB$17,TRUE,"")</f>
        <v/>
      </c>
      <c r="O365" s="104" t="str" cm="1">
        <f t="array" ref="O365">_xlfn.IFS(AND(A365&gt;NumberOfPlots,ISBLANK(INDEX(PlotData,MATCH($A365,PlotNumber,0),MATCH(B$3,PlotTitles,0)))),"",ISBLANK(INDEX(PlotData,MATCH($A365,PlotNumber,0),MATCH(O$3,PlotTitles,0))),$AB$18,TRUE,"")</f>
        <v/>
      </c>
      <c r="P365" s="182" t="str">
        <f t="shared" ca="1" si="16"/>
        <v/>
      </c>
      <c r="Q365" s="104" t="str" cm="1">
        <f t="array" ref="Q365">_xlfn.IFS(AND(A365&gt;NumberOfPlots,ISBLANK(INDEX(PlotData,MATCH($A365,PlotNumber,0),MATCH(B$3,PlotTitles,0)))),"",ISBLANK(INDEX(PlotData,MATCH($A365,PlotNumber,0),MATCH(N$3,PlotTitles,0))),"",(DATEVALUE(INDEX(PlotData,MATCH($A365,PlotNumber,0),MATCH(N$3,PlotTitles,0))&amp;INDEX(PlotData,MATCH($A365,PlotNumber,0),MATCH(O$3,PlotTitles,0))))&lt;(DATEVALUE(INDEX(PlotData,MATCH($A365,PlotNumber,0),MATCH(I$3,PlotTitles,0))&amp;INDEX(PlotData,MATCH($A365,PlotNumber,0),MATCH(J$3,PlotTitles,0)))),$AB$20,TRUE,"")</f>
        <v/>
      </c>
      <c r="R365" s="104" t="str" cm="1">
        <f t="array" ref="R365">_xlfn.IFS(OR(ISBLANK(StartDateMonth),ISBLANK(StartDateYear)),"",AND(A365&gt;NumberOfPlots,ISBLANK(INDEX(PlotData,MATCH($A365,PlotNumber,0),MATCH(B$3,PlotTitles,0)))),"",ISBLANK(INDEX(PlotData,MATCH($A365,PlotNumber,0),MATCH(N$3,PlotTitles,0))),"",CompletionMonth="","",(DATEVALUE(INDEX(PlotData,MATCH($A365,PlotNumber,0),MATCH(N$3,PlotTitles,0))&amp;INDEX(PlotData,MATCH($A365,PlotNumber,0),MATCH(O$3,PlotTitles,0))))&gt;(DATEVALUE(CompletionMonth&amp;CompletionYear)),$AB$21,TRUE,"")</f>
        <v/>
      </c>
      <c r="S365" s="104" t="str" cm="1">
        <f t="array" ref="S365">_xlfn.IFS(AND(A365&gt;NumberOfPlots,ISBLANK(INDEX(PlotData,MATCH($A365,PlotNumber,0),MATCH(B$3,PlotTitles,0)))),"",OR(AND(INDEX(PlotData,MATCH($A365,PlotNumber,0),MATCH("Tenure",PlotTitles,0))="Open market housing",INDEX(PlotData,MATCH($A365,PlotNumber,0),MATCH("Tenure detail",PlotTitles,0))="Private rented sector"),INDEX(PlotData,MATCH($A365,PlotNumber,0),MATCH("Tenure",PlotTitles,0))="Affordable rent"),"",ISNUMBER(INDEX(PlotData,MATCH($A365,PlotNumber,0),MATCH(S$3,PlotTitles,0)))=FALSE, $AB$22,TRUE,"")</f>
        <v/>
      </c>
      <c r="T365" s="104" t="str" cm="1">
        <f t="array" ref="T365">_xlfn.IFS(AND(A365&gt;NumberOfPlots,ISBLANK(INDEX(PlotData,MATCH($A365,PlotNumber,0),MATCH(B$3,PlotTitles,0)))),"",OR(AND(INDEX(PlotData,MATCH($A365,PlotNumber,0),MATCH("Tenure",PlotTitles,0))="Open market housing",INDEX(PlotData,MATCH($A365,PlotNumber,0),MATCH("Tenure detail",PlotTitles,0))="Private rented sector"),INDEX(PlotData,MATCH($A365,PlotNumber,0),MATCH("Tenure",PlotTitles,0))="Affordable rent"),"",INDEX(PlotData,MATCH($A365,PlotNumber,0),MATCH(S$3,PlotTitles,0))&lt;10000, $AB$23,TRUE,"")</f>
        <v/>
      </c>
      <c r="U365" s="104" t="str" cm="1">
        <f t="array" ref="U365">_xlfn.IFS(AND(A365&gt;NumberOfPlots,ISBLANK(INDEX(PlotData,MATCH($A365,PlotNumber,0),MATCH(B$3,PlotTitles,0)))),"",NOT(OR(AND(INDEX(PlotData,MATCH($A365,PlotNumber,0),MATCH("Tenure",PlotTitles,0))="Open market housing",INDEX(PlotData,MATCH($A365,PlotNumber,0),MATCH("Tenure detail",PlotTitles,0))="Private rented sector"),INDEX(PlotData,MATCH($A365,PlotNumber,0),MATCH("Tenure",PlotTitles,0))="Affordable rent")),"",NOT(INDEX(PlotData,MATCH($A365,PlotNumber,0),MATCH(S$3,PlotTitles,0))=0), $AB$24,TRUE,"")</f>
        <v/>
      </c>
      <c r="V365" s="114" t="str" cm="1">
        <f t="array" aca="1" ref="V365" ca="1">_xlfn.IFS(ISBLANK(NumberOfPlots),"Enter the number of homes on the 1_SetUp sheet",AND(A365&gt;NumberOfPlots,ISBLANK(INDEX(PlotData,MATCH($A365,PlotNumber,0),MATCH(B$3,PlotTitles,0)))),"No error",NOT(B365=""),B365,NOT(C365=""),C365,NOT(D365=""),D365,NOT(E365=""),E365,NOT(F365=""),F365,NOT(G365=""),G365,NOT(H365=""),H365,NOT(I365=""),I365,NOT(J365=""),J365,NOT(K365=""),K365,NOT(L365=""),L365,NOT(M365=""),M365,NOT(N365=""),N365,NOT(O365=""),O365,NOT(P365=""),P365,NOT(Q365=""),Q365,NOT(R365=""),R365,NOT(S365=""),S365,NOT(T365=""),T365,NOT(U365=""),U365,TRUE,"No error")</f>
        <v>Enter the number of homes on the 1_SetUp sheet</v>
      </c>
      <c r="W365" s="114" t="str">
        <f t="shared" ca="1" si="17"/>
        <v xml:space="preserve">The Borrower has not addressed the following error messages for Home ID 361: </v>
      </c>
    </row>
    <row r="366" spans="1:23">
      <c r="A366" s="123">
        <v>362</v>
      </c>
      <c r="B366" s="104" t="str" cm="1">
        <f t="array" ref="B366">_xlfn.IFS(AND(A366&gt;NumberOfPlots,ISBLANK(INDEX(PlotData,MATCH($A366,PlotNumber,0),MATCH(B$3,PlotTitles,0)))),"",ISNUMBER(INDEX(PlotData,MATCH($A366,PlotNumber,0),MATCH(B$3,PlotTitles,0)))=FALSE, $AB$5,TRUE,"")</f>
        <v/>
      </c>
      <c r="C366" s="104" t="str" cm="1">
        <f t="array" ref="C366">_xlfn.IFS(AND(A366&gt;NumberOfPlots,ISBLANK(INDEX(PlotData,MATCH($A366,PlotNumber,0),MATCH(B$3,PlotTitles,0)))),"",ISBLANK(INDEX(PlotData,MATCH($A366,PlotNumber,0),MATCH(C$3,PlotTitles,0))),$AB$6,TRUE,"")</f>
        <v/>
      </c>
      <c r="D366" s="104" t="str" cm="1">
        <f t="array" ref="D366">_xlfn.IFS(AND(A366&gt;NumberOfPlots,ISBLANK(INDEX(PlotData,MATCH($A366,PlotNumber,0),MATCH(B$3,PlotTitles,0)))),"",ISBLANK(INDEX(PlotData,MATCH($A366,PlotNumber,0),MATCH(D$3,PlotTitles,0))),$AB$7,TRUE,"")</f>
        <v/>
      </c>
      <c r="E366" s="104" t="str" cm="1">
        <f t="array" ref="E366">_xlfn.IFS(AND(A366&gt;NumberOfPlots,ISBLANK(INDEX(PlotData,MATCH($A366,PlotNumber,0),MATCH(B$3,PlotTitles,0)))),"",ISBLANK(INDEX(PlotData,MATCH($A366,PlotNumber,0),MATCH(E$3,PlotTitles,0))),$AB$8,TRUE,"")</f>
        <v/>
      </c>
      <c r="F366" s="104" t="str" cm="1">
        <f t="array" ref="F366">_xlfn.IFS(AND(A366&gt;NumberOfPlots,ISBLANK(INDEX(PlotData,MATCH($A366,PlotNumber,0),MATCH(B$3,PlotTitles,0)))),"",ISBLANK(INDEX(PlotData,MATCH($A366,PlotNumber,0),MATCH(F$3,PlotTitles,0))),$AB$9,TRUE,"")</f>
        <v/>
      </c>
      <c r="G366" s="104" t="str" cm="1">
        <f t="array" ref="G366">_xlfn.IFS(AND(A366&gt;NumberOfPlots,ISBLANK(INDEX(PlotData,MATCH($A366,PlotNumber,0),MATCH(B$3,PlotTitles,0)))),"",ISBLANK(INDEX(PlotData,MATCH($A366,PlotNumber,0),MATCH(G$3,PlotTitles,0))),$AB$10,TRUE,"")</f>
        <v/>
      </c>
      <c r="H366" s="104" t="str" cm="1">
        <f t="array" ref="H366">_xlfn.IFS(AND(A366&gt;NumberOfPlots,ISBLANK(INDEX(PlotData,MATCH($A366,PlotNumber,0),MATCH(B$3,PlotTitles,0)))),"",AND(ISBLANK(INDEX(PlotData,MATCH($A366,PlotNumber,0),MATCH(H$3,PlotTitles,0)))=FALSE,INDEX(PlotData,MATCH($A366,PlotNumber,0),MATCH(H$3,PlotTitles,0))&lt;500), $AB$11,TRUE,"")</f>
        <v/>
      </c>
      <c r="I366" s="104" t="str" cm="1">
        <f t="array" ref="I366">_xlfn.IFS(AND(A366&gt;NumberOfPlots,ISBLANK(INDEX(PlotData,MATCH($A366,PlotNumber,0),MATCH(B$3,PlotTitles,0)))),"",ISBLANK(INDEX(PlotData,MATCH($A366,PlotNumber,0),MATCH(I$3,PlotTitles,0))),$AB$12,TRUE,"")</f>
        <v/>
      </c>
      <c r="J366" s="104" t="str" cm="1">
        <f t="array" ref="J366">_xlfn.IFS(AND(A366&gt;NumberOfPlots,ISBLANK(INDEX(PlotData,MATCH($A366,PlotNumber,0),MATCH(B$3,PlotTitles,0)))),"",ISBLANK(INDEX(PlotData,MATCH($A366,PlotNumber,0),MATCH(J$3,PlotTitles,0))),$AB$13,TRUE,"")</f>
        <v/>
      </c>
      <c r="K366" s="182" t="str">
        <f t="shared" ca="1" si="15"/>
        <v/>
      </c>
      <c r="L366" s="104" t="str" cm="1">
        <f t="array" ref="L366">_xlfn.IFS(OR(ISBLANK(StartDateMonth),ISBLANK(StartDateYear)),"",AND(A366&gt;NumberOfPlots,ISBLANK(INDEX(PlotData,MATCH($A366,PlotNumber,0),MATCH(B$3,PlotTitles,0)))),"",ISBLANK(INDEX(PlotData,MATCH($A366,PlotNumber,0),MATCH(I$3,PlotTitles,0))),"",(DATEVALUE(INDEX(PlotData,MATCH($A366,PlotNumber,0),MATCH(I$3,PlotTitles,0))&amp;INDEX(PlotData,MATCH($A366,PlotNumber,0),MATCH(J$3,PlotTitles,0))))&lt;DATEVALUE(StartDateMonth&amp;StartDateYear),$AB$15,TRUE,"")</f>
        <v/>
      </c>
      <c r="M366" s="104" t="str" cm="1">
        <f t="array" ref="M366">_xlfn.IFS(OR(ISBLANK(StartDateMonth),ISBLANK(StartDateYear)),"",AND(A366&gt;NumberOfPlots,ISBLANK(INDEX(PlotData,MATCH($A366,PlotNumber,0),MATCH(B$3,PlotTitles,0)))),"",ISBLANK(INDEX(PlotData,MATCH($A366,PlotNumber,0),MATCH(I$3,PlotTitles,0))),"",CompletionMonth="","",(DATEVALUE(INDEX(PlotData,MATCH($A366,PlotNumber,0),MATCH(I$3,PlotTitles,0))&amp;INDEX(PlotData,MATCH($A366,PlotNumber,0),MATCH(J$3,PlotTitles,0))))&gt;(DATEVALUE(CompletionMonth&amp;CompletionYear)),$AB$16,TRUE,"")</f>
        <v/>
      </c>
      <c r="N366" s="104" t="str" cm="1">
        <f t="array" ref="N366">_xlfn.IFS(AND(A366&gt;NumberOfPlots,ISBLANK(INDEX(PlotData,MATCH($A366,PlotNumber,0),MATCH(B$3,PlotTitles,0)))),"",ISBLANK(INDEX(PlotData,MATCH($A366,PlotNumber,0),MATCH(N$3,PlotTitles,0))),$AB$17,TRUE,"")</f>
        <v/>
      </c>
      <c r="O366" s="104" t="str" cm="1">
        <f t="array" ref="O366">_xlfn.IFS(AND(A366&gt;NumberOfPlots,ISBLANK(INDEX(PlotData,MATCH($A366,PlotNumber,0),MATCH(B$3,PlotTitles,0)))),"",ISBLANK(INDEX(PlotData,MATCH($A366,PlotNumber,0),MATCH(O$3,PlotTitles,0))),$AB$18,TRUE,"")</f>
        <v/>
      </c>
      <c r="P366" s="182" t="str">
        <f t="shared" ca="1" si="16"/>
        <v/>
      </c>
      <c r="Q366" s="104" t="str" cm="1">
        <f t="array" ref="Q366">_xlfn.IFS(AND(A366&gt;NumberOfPlots,ISBLANK(INDEX(PlotData,MATCH($A366,PlotNumber,0),MATCH(B$3,PlotTitles,0)))),"",ISBLANK(INDEX(PlotData,MATCH($A366,PlotNumber,0),MATCH(N$3,PlotTitles,0))),"",(DATEVALUE(INDEX(PlotData,MATCH($A366,PlotNumber,0),MATCH(N$3,PlotTitles,0))&amp;INDEX(PlotData,MATCH($A366,PlotNumber,0),MATCH(O$3,PlotTitles,0))))&lt;(DATEVALUE(INDEX(PlotData,MATCH($A366,PlotNumber,0),MATCH(I$3,PlotTitles,0))&amp;INDEX(PlotData,MATCH($A366,PlotNumber,0),MATCH(J$3,PlotTitles,0)))),$AB$20,TRUE,"")</f>
        <v/>
      </c>
      <c r="R366" s="104" t="str" cm="1">
        <f t="array" ref="R366">_xlfn.IFS(OR(ISBLANK(StartDateMonth),ISBLANK(StartDateYear)),"",AND(A366&gt;NumberOfPlots,ISBLANK(INDEX(PlotData,MATCH($A366,PlotNumber,0),MATCH(B$3,PlotTitles,0)))),"",ISBLANK(INDEX(PlotData,MATCH($A366,PlotNumber,0),MATCH(N$3,PlotTitles,0))),"",CompletionMonth="","",(DATEVALUE(INDEX(PlotData,MATCH($A366,PlotNumber,0),MATCH(N$3,PlotTitles,0))&amp;INDEX(PlotData,MATCH($A366,PlotNumber,0),MATCH(O$3,PlotTitles,0))))&gt;(DATEVALUE(CompletionMonth&amp;CompletionYear)),$AB$21,TRUE,"")</f>
        <v/>
      </c>
      <c r="S366" s="104" t="str" cm="1">
        <f t="array" ref="S366">_xlfn.IFS(AND(A366&gt;NumberOfPlots,ISBLANK(INDEX(PlotData,MATCH($A366,PlotNumber,0),MATCH(B$3,PlotTitles,0)))),"",OR(AND(INDEX(PlotData,MATCH($A366,PlotNumber,0),MATCH("Tenure",PlotTitles,0))="Open market housing",INDEX(PlotData,MATCH($A366,PlotNumber,0),MATCH("Tenure detail",PlotTitles,0))="Private rented sector"),INDEX(PlotData,MATCH($A366,PlotNumber,0),MATCH("Tenure",PlotTitles,0))="Affordable rent"),"",ISNUMBER(INDEX(PlotData,MATCH($A366,PlotNumber,0),MATCH(S$3,PlotTitles,0)))=FALSE, $AB$22,TRUE,"")</f>
        <v/>
      </c>
      <c r="T366" s="104" t="str" cm="1">
        <f t="array" ref="T366">_xlfn.IFS(AND(A366&gt;NumberOfPlots,ISBLANK(INDEX(PlotData,MATCH($A366,PlotNumber,0),MATCH(B$3,PlotTitles,0)))),"",OR(AND(INDEX(PlotData,MATCH($A366,PlotNumber,0),MATCH("Tenure",PlotTitles,0))="Open market housing",INDEX(PlotData,MATCH($A366,PlotNumber,0),MATCH("Tenure detail",PlotTitles,0))="Private rented sector"),INDEX(PlotData,MATCH($A366,PlotNumber,0),MATCH("Tenure",PlotTitles,0))="Affordable rent"),"",INDEX(PlotData,MATCH($A366,PlotNumber,0),MATCH(S$3,PlotTitles,0))&lt;10000, $AB$23,TRUE,"")</f>
        <v/>
      </c>
      <c r="U366" s="104" t="str" cm="1">
        <f t="array" ref="U366">_xlfn.IFS(AND(A366&gt;NumberOfPlots,ISBLANK(INDEX(PlotData,MATCH($A366,PlotNumber,0),MATCH(B$3,PlotTitles,0)))),"",NOT(OR(AND(INDEX(PlotData,MATCH($A366,PlotNumber,0),MATCH("Tenure",PlotTitles,0))="Open market housing",INDEX(PlotData,MATCH($A366,PlotNumber,0),MATCH("Tenure detail",PlotTitles,0))="Private rented sector"),INDEX(PlotData,MATCH($A366,PlotNumber,0),MATCH("Tenure",PlotTitles,0))="Affordable rent")),"",NOT(INDEX(PlotData,MATCH($A366,PlotNumber,0),MATCH(S$3,PlotTitles,0))=0), $AB$24,TRUE,"")</f>
        <v/>
      </c>
      <c r="V366" s="114" t="str" cm="1">
        <f t="array" aca="1" ref="V366" ca="1">_xlfn.IFS(ISBLANK(NumberOfPlots),"Enter the number of homes on the 1_SetUp sheet",AND(A366&gt;NumberOfPlots,ISBLANK(INDEX(PlotData,MATCH($A366,PlotNumber,0),MATCH(B$3,PlotTitles,0)))),"No error",NOT(B366=""),B366,NOT(C366=""),C366,NOT(D366=""),D366,NOT(E366=""),E366,NOT(F366=""),F366,NOT(G366=""),G366,NOT(H366=""),H366,NOT(I366=""),I366,NOT(J366=""),J366,NOT(K366=""),K366,NOT(L366=""),L366,NOT(M366=""),M366,NOT(N366=""),N366,NOT(O366=""),O366,NOT(P366=""),P366,NOT(Q366=""),Q366,NOT(R366=""),R366,NOT(S366=""),S366,NOT(T366=""),T366,NOT(U366=""),U366,TRUE,"No error")</f>
        <v>Enter the number of homes on the 1_SetUp sheet</v>
      </c>
      <c r="W366" s="114" t="str">
        <f t="shared" ca="1" si="17"/>
        <v xml:space="preserve">The Borrower has not addressed the following error messages for Home ID 362: </v>
      </c>
    </row>
    <row r="367" spans="1:23">
      <c r="A367" s="123">
        <v>363</v>
      </c>
      <c r="B367" s="104" t="str" cm="1">
        <f t="array" ref="B367">_xlfn.IFS(AND(A367&gt;NumberOfPlots,ISBLANK(INDEX(PlotData,MATCH($A367,PlotNumber,0),MATCH(B$3,PlotTitles,0)))),"",ISNUMBER(INDEX(PlotData,MATCH($A367,PlotNumber,0),MATCH(B$3,PlotTitles,0)))=FALSE, $AB$5,TRUE,"")</f>
        <v/>
      </c>
      <c r="C367" s="104" t="str" cm="1">
        <f t="array" ref="C367">_xlfn.IFS(AND(A367&gt;NumberOfPlots,ISBLANK(INDEX(PlotData,MATCH($A367,PlotNumber,0),MATCH(B$3,PlotTitles,0)))),"",ISBLANK(INDEX(PlotData,MATCH($A367,PlotNumber,0),MATCH(C$3,PlotTitles,0))),$AB$6,TRUE,"")</f>
        <v/>
      </c>
      <c r="D367" s="104" t="str" cm="1">
        <f t="array" ref="D367">_xlfn.IFS(AND(A367&gt;NumberOfPlots,ISBLANK(INDEX(PlotData,MATCH($A367,PlotNumber,0),MATCH(B$3,PlotTitles,0)))),"",ISBLANK(INDEX(PlotData,MATCH($A367,PlotNumber,0),MATCH(D$3,PlotTitles,0))),$AB$7,TRUE,"")</f>
        <v/>
      </c>
      <c r="E367" s="104" t="str" cm="1">
        <f t="array" ref="E367">_xlfn.IFS(AND(A367&gt;NumberOfPlots,ISBLANK(INDEX(PlotData,MATCH($A367,PlotNumber,0),MATCH(B$3,PlotTitles,0)))),"",ISBLANK(INDEX(PlotData,MATCH($A367,PlotNumber,0),MATCH(E$3,PlotTitles,0))),$AB$8,TRUE,"")</f>
        <v/>
      </c>
      <c r="F367" s="104" t="str" cm="1">
        <f t="array" ref="F367">_xlfn.IFS(AND(A367&gt;NumberOfPlots,ISBLANK(INDEX(PlotData,MATCH($A367,PlotNumber,0),MATCH(B$3,PlotTitles,0)))),"",ISBLANK(INDEX(PlotData,MATCH($A367,PlotNumber,0),MATCH(F$3,PlotTitles,0))),$AB$9,TRUE,"")</f>
        <v/>
      </c>
      <c r="G367" s="104" t="str" cm="1">
        <f t="array" ref="G367">_xlfn.IFS(AND(A367&gt;NumberOfPlots,ISBLANK(INDEX(PlotData,MATCH($A367,PlotNumber,0),MATCH(B$3,PlotTitles,0)))),"",ISBLANK(INDEX(PlotData,MATCH($A367,PlotNumber,0),MATCH(G$3,PlotTitles,0))),$AB$10,TRUE,"")</f>
        <v/>
      </c>
      <c r="H367" s="104" t="str" cm="1">
        <f t="array" ref="H367">_xlfn.IFS(AND(A367&gt;NumberOfPlots,ISBLANK(INDEX(PlotData,MATCH($A367,PlotNumber,0),MATCH(B$3,PlotTitles,0)))),"",AND(ISBLANK(INDEX(PlotData,MATCH($A367,PlotNumber,0),MATCH(H$3,PlotTitles,0)))=FALSE,INDEX(PlotData,MATCH($A367,PlotNumber,0),MATCH(H$3,PlotTitles,0))&lt;500), $AB$11,TRUE,"")</f>
        <v/>
      </c>
      <c r="I367" s="104" t="str" cm="1">
        <f t="array" ref="I367">_xlfn.IFS(AND(A367&gt;NumberOfPlots,ISBLANK(INDEX(PlotData,MATCH($A367,PlotNumber,0),MATCH(B$3,PlotTitles,0)))),"",ISBLANK(INDEX(PlotData,MATCH($A367,PlotNumber,0),MATCH(I$3,PlotTitles,0))),$AB$12,TRUE,"")</f>
        <v/>
      </c>
      <c r="J367" s="104" t="str" cm="1">
        <f t="array" ref="J367">_xlfn.IFS(AND(A367&gt;NumberOfPlots,ISBLANK(INDEX(PlotData,MATCH($A367,PlotNumber,0),MATCH(B$3,PlotTitles,0)))),"",ISBLANK(INDEX(PlotData,MATCH($A367,PlotNumber,0),MATCH(J$3,PlotTitles,0))),$AB$13,TRUE,"")</f>
        <v/>
      </c>
      <c r="K367" s="182" t="str">
        <f t="shared" ca="1" si="15"/>
        <v/>
      </c>
      <c r="L367" s="104" t="str" cm="1">
        <f t="array" ref="L367">_xlfn.IFS(OR(ISBLANK(StartDateMonth),ISBLANK(StartDateYear)),"",AND(A367&gt;NumberOfPlots,ISBLANK(INDEX(PlotData,MATCH($A367,PlotNumber,0),MATCH(B$3,PlotTitles,0)))),"",ISBLANK(INDEX(PlotData,MATCH($A367,PlotNumber,0),MATCH(I$3,PlotTitles,0))),"",(DATEVALUE(INDEX(PlotData,MATCH($A367,PlotNumber,0),MATCH(I$3,PlotTitles,0))&amp;INDEX(PlotData,MATCH($A367,PlotNumber,0),MATCH(J$3,PlotTitles,0))))&lt;DATEVALUE(StartDateMonth&amp;StartDateYear),$AB$15,TRUE,"")</f>
        <v/>
      </c>
      <c r="M367" s="104" t="str" cm="1">
        <f t="array" ref="M367">_xlfn.IFS(OR(ISBLANK(StartDateMonth),ISBLANK(StartDateYear)),"",AND(A367&gt;NumberOfPlots,ISBLANK(INDEX(PlotData,MATCH($A367,PlotNumber,0),MATCH(B$3,PlotTitles,0)))),"",ISBLANK(INDEX(PlotData,MATCH($A367,PlotNumber,0),MATCH(I$3,PlotTitles,0))),"",CompletionMonth="","",(DATEVALUE(INDEX(PlotData,MATCH($A367,PlotNumber,0),MATCH(I$3,PlotTitles,0))&amp;INDEX(PlotData,MATCH($A367,PlotNumber,0),MATCH(J$3,PlotTitles,0))))&gt;(DATEVALUE(CompletionMonth&amp;CompletionYear)),$AB$16,TRUE,"")</f>
        <v/>
      </c>
      <c r="N367" s="104" t="str" cm="1">
        <f t="array" ref="N367">_xlfn.IFS(AND(A367&gt;NumberOfPlots,ISBLANK(INDEX(PlotData,MATCH($A367,PlotNumber,0),MATCH(B$3,PlotTitles,0)))),"",ISBLANK(INDEX(PlotData,MATCH($A367,PlotNumber,0),MATCH(N$3,PlotTitles,0))),$AB$17,TRUE,"")</f>
        <v/>
      </c>
      <c r="O367" s="104" t="str" cm="1">
        <f t="array" ref="O367">_xlfn.IFS(AND(A367&gt;NumberOfPlots,ISBLANK(INDEX(PlotData,MATCH($A367,PlotNumber,0),MATCH(B$3,PlotTitles,0)))),"",ISBLANK(INDEX(PlotData,MATCH($A367,PlotNumber,0),MATCH(O$3,PlotTitles,0))),$AB$18,TRUE,"")</f>
        <v/>
      </c>
      <c r="P367" s="182" t="str">
        <f t="shared" ca="1" si="16"/>
        <v/>
      </c>
      <c r="Q367" s="104" t="str" cm="1">
        <f t="array" ref="Q367">_xlfn.IFS(AND(A367&gt;NumberOfPlots,ISBLANK(INDEX(PlotData,MATCH($A367,PlotNumber,0),MATCH(B$3,PlotTitles,0)))),"",ISBLANK(INDEX(PlotData,MATCH($A367,PlotNumber,0),MATCH(N$3,PlotTitles,0))),"",(DATEVALUE(INDEX(PlotData,MATCH($A367,PlotNumber,0),MATCH(N$3,PlotTitles,0))&amp;INDEX(PlotData,MATCH($A367,PlotNumber,0),MATCH(O$3,PlotTitles,0))))&lt;(DATEVALUE(INDEX(PlotData,MATCH($A367,PlotNumber,0),MATCH(I$3,PlotTitles,0))&amp;INDEX(PlotData,MATCH($A367,PlotNumber,0),MATCH(J$3,PlotTitles,0)))),$AB$20,TRUE,"")</f>
        <v/>
      </c>
      <c r="R367" s="104" t="str" cm="1">
        <f t="array" ref="R367">_xlfn.IFS(OR(ISBLANK(StartDateMonth),ISBLANK(StartDateYear)),"",AND(A367&gt;NumberOfPlots,ISBLANK(INDEX(PlotData,MATCH($A367,PlotNumber,0),MATCH(B$3,PlotTitles,0)))),"",ISBLANK(INDEX(PlotData,MATCH($A367,PlotNumber,0),MATCH(N$3,PlotTitles,0))),"",CompletionMonth="","",(DATEVALUE(INDEX(PlotData,MATCH($A367,PlotNumber,0),MATCH(N$3,PlotTitles,0))&amp;INDEX(PlotData,MATCH($A367,PlotNumber,0),MATCH(O$3,PlotTitles,0))))&gt;(DATEVALUE(CompletionMonth&amp;CompletionYear)),$AB$21,TRUE,"")</f>
        <v/>
      </c>
      <c r="S367" s="104" t="str" cm="1">
        <f t="array" ref="S367">_xlfn.IFS(AND(A367&gt;NumberOfPlots,ISBLANK(INDEX(PlotData,MATCH($A367,PlotNumber,0),MATCH(B$3,PlotTitles,0)))),"",OR(AND(INDEX(PlotData,MATCH($A367,PlotNumber,0),MATCH("Tenure",PlotTitles,0))="Open market housing",INDEX(PlotData,MATCH($A367,PlotNumber,0),MATCH("Tenure detail",PlotTitles,0))="Private rented sector"),INDEX(PlotData,MATCH($A367,PlotNumber,0),MATCH("Tenure",PlotTitles,0))="Affordable rent"),"",ISNUMBER(INDEX(PlotData,MATCH($A367,PlotNumber,0),MATCH(S$3,PlotTitles,0)))=FALSE, $AB$22,TRUE,"")</f>
        <v/>
      </c>
      <c r="T367" s="104" t="str" cm="1">
        <f t="array" ref="T367">_xlfn.IFS(AND(A367&gt;NumberOfPlots,ISBLANK(INDEX(PlotData,MATCH($A367,PlotNumber,0),MATCH(B$3,PlotTitles,0)))),"",OR(AND(INDEX(PlotData,MATCH($A367,PlotNumber,0),MATCH("Tenure",PlotTitles,0))="Open market housing",INDEX(PlotData,MATCH($A367,PlotNumber,0),MATCH("Tenure detail",PlotTitles,0))="Private rented sector"),INDEX(PlotData,MATCH($A367,PlotNumber,0),MATCH("Tenure",PlotTitles,0))="Affordable rent"),"",INDEX(PlotData,MATCH($A367,PlotNumber,0),MATCH(S$3,PlotTitles,0))&lt;10000, $AB$23,TRUE,"")</f>
        <v/>
      </c>
      <c r="U367" s="104" t="str" cm="1">
        <f t="array" ref="U367">_xlfn.IFS(AND(A367&gt;NumberOfPlots,ISBLANK(INDEX(PlotData,MATCH($A367,PlotNumber,0),MATCH(B$3,PlotTitles,0)))),"",NOT(OR(AND(INDEX(PlotData,MATCH($A367,PlotNumber,0),MATCH("Tenure",PlotTitles,0))="Open market housing",INDEX(PlotData,MATCH($A367,PlotNumber,0),MATCH("Tenure detail",PlotTitles,0))="Private rented sector"),INDEX(PlotData,MATCH($A367,PlotNumber,0),MATCH("Tenure",PlotTitles,0))="Affordable rent")),"",NOT(INDEX(PlotData,MATCH($A367,PlotNumber,0),MATCH(S$3,PlotTitles,0))=0), $AB$24,TRUE,"")</f>
        <v/>
      </c>
      <c r="V367" s="114" t="str" cm="1">
        <f t="array" aca="1" ref="V367" ca="1">_xlfn.IFS(ISBLANK(NumberOfPlots),"Enter the number of homes on the 1_SetUp sheet",AND(A367&gt;NumberOfPlots,ISBLANK(INDEX(PlotData,MATCH($A367,PlotNumber,0),MATCH(B$3,PlotTitles,0)))),"No error",NOT(B367=""),B367,NOT(C367=""),C367,NOT(D367=""),D367,NOT(E367=""),E367,NOT(F367=""),F367,NOT(G367=""),G367,NOT(H367=""),H367,NOT(I367=""),I367,NOT(J367=""),J367,NOT(K367=""),K367,NOT(L367=""),L367,NOT(M367=""),M367,NOT(N367=""),N367,NOT(O367=""),O367,NOT(P367=""),P367,NOT(Q367=""),Q367,NOT(R367=""),R367,NOT(S367=""),S367,NOT(T367=""),T367,NOT(U367=""),U367,TRUE,"No error")</f>
        <v>Enter the number of homes on the 1_SetUp sheet</v>
      </c>
      <c r="W367" s="114" t="str">
        <f t="shared" ca="1" si="17"/>
        <v xml:space="preserve">The Borrower has not addressed the following error messages for Home ID 363: </v>
      </c>
    </row>
    <row r="368" spans="1:23">
      <c r="A368" s="123">
        <v>364</v>
      </c>
      <c r="B368" s="104" t="str" cm="1">
        <f t="array" ref="B368">_xlfn.IFS(AND(A368&gt;NumberOfPlots,ISBLANK(INDEX(PlotData,MATCH($A368,PlotNumber,0),MATCH(B$3,PlotTitles,0)))),"",ISNUMBER(INDEX(PlotData,MATCH($A368,PlotNumber,0),MATCH(B$3,PlotTitles,0)))=FALSE, $AB$5,TRUE,"")</f>
        <v/>
      </c>
      <c r="C368" s="104" t="str" cm="1">
        <f t="array" ref="C368">_xlfn.IFS(AND(A368&gt;NumberOfPlots,ISBLANK(INDEX(PlotData,MATCH($A368,PlotNumber,0),MATCH(B$3,PlotTitles,0)))),"",ISBLANK(INDEX(PlotData,MATCH($A368,PlotNumber,0),MATCH(C$3,PlotTitles,0))),$AB$6,TRUE,"")</f>
        <v/>
      </c>
      <c r="D368" s="104" t="str" cm="1">
        <f t="array" ref="D368">_xlfn.IFS(AND(A368&gt;NumberOfPlots,ISBLANK(INDEX(PlotData,MATCH($A368,PlotNumber,0),MATCH(B$3,PlotTitles,0)))),"",ISBLANK(INDEX(PlotData,MATCH($A368,PlotNumber,0),MATCH(D$3,PlotTitles,0))),$AB$7,TRUE,"")</f>
        <v/>
      </c>
      <c r="E368" s="104" t="str" cm="1">
        <f t="array" ref="E368">_xlfn.IFS(AND(A368&gt;NumberOfPlots,ISBLANK(INDEX(PlotData,MATCH($A368,PlotNumber,0),MATCH(B$3,PlotTitles,0)))),"",ISBLANK(INDEX(PlotData,MATCH($A368,PlotNumber,0),MATCH(E$3,PlotTitles,0))),$AB$8,TRUE,"")</f>
        <v/>
      </c>
      <c r="F368" s="104" t="str" cm="1">
        <f t="array" ref="F368">_xlfn.IFS(AND(A368&gt;NumberOfPlots,ISBLANK(INDEX(PlotData,MATCH($A368,PlotNumber,0),MATCH(B$3,PlotTitles,0)))),"",ISBLANK(INDEX(PlotData,MATCH($A368,PlotNumber,0),MATCH(F$3,PlotTitles,0))),$AB$9,TRUE,"")</f>
        <v/>
      </c>
      <c r="G368" s="104" t="str" cm="1">
        <f t="array" ref="G368">_xlfn.IFS(AND(A368&gt;NumberOfPlots,ISBLANK(INDEX(PlotData,MATCH($A368,PlotNumber,0),MATCH(B$3,PlotTitles,0)))),"",ISBLANK(INDEX(PlotData,MATCH($A368,PlotNumber,0),MATCH(G$3,PlotTitles,0))),$AB$10,TRUE,"")</f>
        <v/>
      </c>
      <c r="H368" s="104" t="str" cm="1">
        <f t="array" ref="H368">_xlfn.IFS(AND(A368&gt;NumberOfPlots,ISBLANK(INDEX(PlotData,MATCH($A368,PlotNumber,0),MATCH(B$3,PlotTitles,0)))),"",AND(ISBLANK(INDEX(PlotData,MATCH($A368,PlotNumber,0),MATCH(H$3,PlotTitles,0)))=FALSE,INDEX(PlotData,MATCH($A368,PlotNumber,0),MATCH(H$3,PlotTitles,0))&lt;500), $AB$11,TRUE,"")</f>
        <v/>
      </c>
      <c r="I368" s="104" t="str" cm="1">
        <f t="array" ref="I368">_xlfn.IFS(AND(A368&gt;NumberOfPlots,ISBLANK(INDEX(PlotData,MATCH($A368,PlotNumber,0),MATCH(B$3,PlotTitles,0)))),"",ISBLANK(INDEX(PlotData,MATCH($A368,PlotNumber,0),MATCH(I$3,PlotTitles,0))),$AB$12,TRUE,"")</f>
        <v/>
      </c>
      <c r="J368" s="104" t="str" cm="1">
        <f t="array" ref="J368">_xlfn.IFS(AND(A368&gt;NumberOfPlots,ISBLANK(INDEX(PlotData,MATCH($A368,PlotNumber,0),MATCH(B$3,PlotTitles,0)))),"",ISBLANK(INDEX(PlotData,MATCH($A368,PlotNumber,0),MATCH(J$3,PlotTitles,0))),$AB$13,TRUE,"")</f>
        <v/>
      </c>
      <c r="K368" s="182" t="str">
        <f t="shared" ca="1" si="15"/>
        <v/>
      </c>
      <c r="L368" s="104" t="str" cm="1">
        <f t="array" ref="L368">_xlfn.IFS(OR(ISBLANK(StartDateMonth),ISBLANK(StartDateYear)),"",AND(A368&gt;NumberOfPlots,ISBLANK(INDEX(PlotData,MATCH($A368,PlotNumber,0),MATCH(B$3,PlotTitles,0)))),"",ISBLANK(INDEX(PlotData,MATCH($A368,PlotNumber,0),MATCH(I$3,PlotTitles,0))),"",(DATEVALUE(INDEX(PlotData,MATCH($A368,PlotNumber,0),MATCH(I$3,PlotTitles,0))&amp;INDEX(PlotData,MATCH($A368,PlotNumber,0),MATCH(J$3,PlotTitles,0))))&lt;DATEVALUE(StartDateMonth&amp;StartDateYear),$AB$15,TRUE,"")</f>
        <v/>
      </c>
      <c r="M368" s="104" t="str" cm="1">
        <f t="array" ref="M368">_xlfn.IFS(OR(ISBLANK(StartDateMonth),ISBLANK(StartDateYear)),"",AND(A368&gt;NumberOfPlots,ISBLANK(INDEX(PlotData,MATCH($A368,PlotNumber,0),MATCH(B$3,PlotTitles,0)))),"",ISBLANK(INDEX(PlotData,MATCH($A368,PlotNumber,0),MATCH(I$3,PlotTitles,0))),"",CompletionMonth="","",(DATEVALUE(INDEX(PlotData,MATCH($A368,PlotNumber,0),MATCH(I$3,PlotTitles,0))&amp;INDEX(PlotData,MATCH($A368,PlotNumber,0),MATCH(J$3,PlotTitles,0))))&gt;(DATEVALUE(CompletionMonth&amp;CompletionYear)),$AB$16,TRUE,"")</f>
        <v/>
      </c>
      <c r="N368" s="104" t="str" cm="1">
        <f t="array" ref="N368">_xlfn.IFS(AND(A368&gt;NumberOfPlots,ISBLANK(INDEX(PlotData,MATCH($A368,PlotNumber,0),MATCH(B$3,PlotTitles,0)))),"",ISBLANK(INDEX(PlotData,MATCH($A368,PlotNumber,0),MATCH(N$3,PlotTitles,0))),$AB$17,TRUE,"")</f>
        <v/>
      </c>
      <c r="O368" s="104" t="str" cm="1">
        <f t="array" ref="O368">_xlfn.IFS(AND(A368&gt;NumberOfPlots,ISBLANK(INDEX(PlotData,MATCH($A368,PlotNumber,0),MATCH(B$3,PlotTitles,0)))),"",ISBLANK(INDEX(PlotData,MATCH($A368,PlotNumber,0),MATCH(O$3,PlotTitles,0))),$AB$18,TRUE,"")</f>
        <v/>
      </c>
      <c r="P368" s="182" t="str">
        <f t="shared" ca="1" si="16"/>
        <v/>
      </c>
      <c r="Q368" s="104" t="str" cm="1">
        <f t="array" ref="Q368">_xlfn.IFS(AND(A368&gt;NumberOfPlots,ISBLANK(INDEX(PlotData,MATCH($A368,PlotNumber,0),MATCH(B$3,PlotTitles,0)))),"",ISBLANK(INDEX(PlotData,MATCH($A368,PlotNumber,0),MATCH(N$3,PlotTitles,0))),"",(DATEVALUE(INDEX(PlotData,MATCH($A368,PlotNumber,0),MATCH(N$3,PlotTitles,0))&amp;INDEX(PlotData,MATCH($A368,PlotNumber,0),MATCH(O$3,PlotTitles,0))))&lt;(DATEVALUE(INDEX(PlotData,MATCH($A368,PlotNumber,0),MATCH(I$3,PlotTitles,0))&amp;INDEX(PlotData,MATCH($A368,PlotNumber,0),MATCH(J$3,PlotTitles,0)))),$AB$20,TRUE,"")</f>
        <v/>
      </c>
      <c r="R368" s="104" t="str" cm="1">
        <f t="array" ref="R368">_xlfn.IFS(OR(ISBLANK(StartDateMonth),ISBLANK(StartDateYear)),"",AND(A368&gt;NumberOfPlots,ISBLANK(INDEX(PlotData,MATCH($A368,PlotNumber,0),MATCH(B$3,PlotTitles,0)))),"",ISBLANK(INDEX(PlotData,MATCH($A368,PlotNumber,0),MATCH(N$3,PlotTitles,0))),"",CompletionMonth="","",(DATEVALUE(INDEX(PlotData,MATCH($A368,PlotNumber,0),MATCH(N$3,PlotTitles,0))&amp;INDEX(PlotData,MATCH($A368,PlotNumber,0),MATCH(O$3,PlotTitles,0))))&gt;(DATEVALUE(CompletionMonth&amp;CompletionYear)),$AB$21,TRUE,"")</f>
        <v/>
      </c>
      <c r="S368" s="104" t="str" cm="1">
        <f t="array" ref="S368">_xlfn.IFS(AND(A368&gt;NumberOfPlots,ISBLANK(INDEX(PlotData,MATCH($A368,PlotNumber,0),MATCH(B$3,PlotTitles,0)))),"",OR(AND(INDEX(PlotData,MATCH($A368,PlotNumber,0),MATCH("Tenure",PlotTitles,0))="Open market housing",INDEX(PlotData,MATCH($A368,PlotNumber,0),MATCH("Tenure detail",PlotTitles,0))="Private rented sector"),INDEX(PlotData,MATCH($A368,PlotNumber,0),MATCH("Tenure",PlotTitles,0))="Affordable rent"),"",ISNUMBER(INDEX(PlotData,MATCH($A368,PlotNumber,0),MATCH(S$3,PlotTitles,0)))=FALSE, $AB$22,TRUE,"")</f>
        <v/>
      </c>
      <c r="T368" s="104" t="str" cm="1">
        <f t="array" ref="T368">_xlfn.IFS(AND(A368&gt;NumberOfPlots,ISBLANK(INDEX(PlotData,MATCH($A368,PlotNumber,0),MATCH(B$3,PlotTitles,0)))),"",OR(AND(INDEX(PlotData,MATCH($A368,PlotNumber,0),MATCH("Tenure",PlotTitles,0))="Open market housing",INDEX(PlotData,MATCH($A368,PlotNumber,0),MATCH("Tenure detail",PlotTitles,0))="Private rented sector"),INDEX(PlotData,MATCH($A368,PlotNumber,0),MATCH("Tenure",PlotTitles,0))="Affordable rent"),"",INDEX(PlotData,MATCH($A368,PlotNumber,0),MATCH(S$3,PlotTitles,0))&lt;10000, $AB$23,TRUE,"")</f>
        <v/>
      </c>
      <c r="U368" s="104" t="str" cm="1">
        <f t="array" ref="U368">_xlfn.IFS(AND(A368&gt;NumberOfPlots,ISBLANK(INDEX(PlotData,MATCH($A368,PlotNumber,0),MATCH(B$3,PlotTitles,0)))),"",NOT(OR(AND(INDEX(PlotData,MATCH($A368,PlotNumber,0),MATCH("Tenure",PlotTitles,0))="Open market housing",INDEX(PlotData,MATCH($A368,PlotNumber,0),MATCH("Tenure detail",PlotTitles,0))="Private rented sector"),INDEX(PlotData,MATCH($A368,PlotNumber,0),MATCH("Tenure",PlotTitles,0))="Affordable rent")),"",NOT(INDEX(PlotData,MATCH($A368,PlotNumber,0),MATCH(S$3,PlotTitles,0))=0), $AB$24,TRUE,"")</f>
        <v/>
      </c>
      <c r="V368" s="114" t="str" cm="1">
        <f t="array" aca="1" ref="V368" ca="1">_xlfn.IFS(ISBLANK(NumberOfPlots),"Enter the number of homes on the 1_SetUp sheet",AND(A368&gt;NumberOfPlots,ISBLANK(INDEX(PlotData,MATCH($A368,PlotNumber,0),MATCH(B$3,PlotTitles,0)))),"No error",NOT(B368=""),B368,NOT(C368=""),C368,NOT(D368=""),D368,NOT(E368=""),E368,NOT(F368=""),F368,NOT(G368=""),G368,NOT(H368=""),H368,NOT(I368=""),I368,NOT(J368=""),J368,NOT(K368=""),K368,NOT(L368=""),L368,NOT(M368=""),M368,NOT(N368=""),N368,NOT(O368=""),O368,NOT(P368=""),P368,NOT(Q368=""),Q368,NOT(R368=""),R368,NOT(S368=""),S368,NOT(T368=""),T368,NOT(U368=""),U368,TRUE,"No error")</f>
        <v>Enter the number of homes on the 1_SetUp sheet</v>
      </c>
      <c r="W368" s="114" t="str">
        <f t="shared" ca="1" si="17"/>
        <v xml:space="preserve">The Borrower has not addressed the following error messages for Home ID 364: </v>
      </c>
    </row>
    <row r="369" spans="1:23">
      <c r="A369" s="123">
        <v>365</v>
      </c>
      <c r="B369" s="104" t="str" cm="1">
        <f t="array" ref="B369">_xlfn.IFS(AND(A369&gt;NumberOfPlots,ISBLANK(INDEX(PlotData,MATCH($A369,PlotNumber,0),MATCH(B$3,PlotTitles,0)))),"",ISNUMBER(INDEX(PlotData,MATCH($A369,PlotNumber,0),MATCH(B$3,PlotTitles,0)))=FALSE, $AB$5,TRUE,"")</f>
        <v/>
      </c>
      <c r="C369" s="104" t="str" cm="1">
        <f t="array" ref="C369">_xlfn.IFS(AND(A369&gt;NumberOfPlots,ISBLANK(INDEX(PlotData,MATCH($A369,PlotNumber,0),MATCH(B$3,PlotTitles,0)))),"",ISBLANK(INDEX(PlotData,MATCH($A369,PlotNumber,0),MATCH(C$3,PlotTitles,0))),$AB$6,TRUE,"")</f>
        <v/>
      </c>
      <c r="D369" s="104" t="str" cm="1">
        <f t="array" ref="D369">_xlfn.IFS(AND(A369&gt;NumberOfPlots,ISBLANK(INDEX(PlotData,MATCH($A369,PlotNumber,0),MATCH(B$3,PlotTitles,0)))),"",ISBLANK(INDEX(PlotData,MATCH($A369,PlotNumber,0),MATCH(D$3,PlotTitles,0))),$AB$7,TRUE,"")</f>
        <v/>
      </c>
      <c r="E369" s="104" t="str" cm="1">
        <f t="array" ref="E369">_xlfn.IFS(AND(A369&gt;NumberOfPlots,ISBLANK(INDEX(PlotData,MATCH($A369,PlotNumber,0),MATCH(B$3,PlotTitles,0)))),"",ISBLANK(INDEX(PlotData,MATCH($A369,PlotNumber,0),MATCH(E$3,PlotTitles,0))),$AB$8,TRUE,"")</f>
        <v/>
      </c>
      <c r="F369" s="104" t="str" cm="1">
        <f t="array" ref="F369">_xlfn.IFS(AND(A369&gt;NumberOfPlots,ISBLANK(INDEX(PlotData,MATCH($A369,PlotNumber,0),MATCH(B$3,PlotTitles,0)))),"",ISBLANK(INDEX(PlotData,MATCH($A369,PlotNumber,0),MATCH(F$3,PlotTitles,0))),$AB$9,TRUE,"")</f>
        <v/>
      </c>
      <c r="G369" s="104" t="str" cm="1">
        <f t="array" ref="G369">_xlfn.IFS(AND(A369&gt;NumberOfPlots,ISBLANK(INDEX(PlotData,MATCH($A369,PlotNumber,0),MATCH(B$3,PlotTitles,0)))),"",ISBLANK(INDEX(PlotData,MATCH($A369,PlotNumber,0),MATCH(G$3,PlotTitles,0))),$AB$10,TRUE,"")</f>
        <v/>
      </c>
      <c r="H369" s="104" t="str" cm="1">
        <f t="array" ref="H369">_xlfn.IFS(AND(A369&gt;NumberOfPlots,ISBLANK(INDEX(PlotData,MATCH($A369,PlotNumber,0),MATCH(B$3,PlotTitles,0)))),"",AND(ISBLANK(INDEX(PlotData,MATCH($A369,PlotNumber,0),MATCH(H$3,PlotTitles,0)))=FALSE,INDEX(PlotData,MATCH($A369,PlotNumber,0),MATCH(H$3,PlotTitles,0))&lt;500), $AB$11,TRUE,"")</f>
        <v/>
      </c>
      <c r="I369" s="104" t="str" cm="1">
        <f t="array" ref="I369">_xlfn.IFS(AND(A369&gt;NumberOfPlots,ISBLANK(INDEX(PlotData,MATCH($A369,PlotNumber,0),MATCH(B$3,PlotTitles,0)))),"",ISBLANK(INDEX(PlotData,MATCH($A369,PlotNumber,0),MATCH(I$3,PlotTitles,0))),$AB$12,TRUE,"")</f>
        <v/>
      </c>
      <c r="J369" s="104" t="str" cm="1">
        <f t="array" ref="J369">_xlfn.IFS(AND(A369&gt;NumberOfPlots,ISBLANK(INDEX(PlotData,MATCH($A369,PlotNumber,0),MATCH(B$3,PlotTitles,0)))),"",ISBLANK(INDEX(PlotData,MATCH($A369,PlotNumber,0),MATCH(J$3,PlotTitles,0))),$AB$13,TRUE,"")</f>
        <v/>
      </c>
      <c r="K369" s="182" t="str">
        <f t="shared" ca="1" si="15"/>
        <v/>
      </c>
      <c r="L369" s="104" t="str" cm="1">
        <f t="array" ref="L369">_xlfn.IFS(OR(ISBLANK(StartDateMonth),ISBLANK(StartDateYear)),"",AND(A369&gt;NumberOfPlots,ISBLANK(INDEX(PlotData,MATCH($A369,PlotNumber,0),MATCH(B$3,PlotTitles,0)))),"",ISBLANK(INDEX(PlotData,MATCH($A369,PlotNumber,0),MATCH(I$3,PlotTitles,0))),"",(DATEVALUE(INDEX(PlotData,MATCH($A369,PlotNumber,0),MATCH(I$3,PlotTitles,0))&amp;INDEX(PlotData,MATCH($A369,PlotNumber,0),MATCH(J$3,PlotTitles,0))))&lt;DATEVALUE(StartDateMonth&amp;StartDateYear),$AB$15,TRUE,"")</f>
        <v/>
      </c>
      <c r="M369" s="104" t="str" cm="1">
        <f t="array" ref="M369">_xlfn.IFS(OR(ISBLANK(StartDateMonth),ISBLANK(StartDateYear)),"",AND(A369&gt;NumberOfPlots,ISBLANK(INDEX(PlotData,MATCH($A369,PlotNumber,0),MATCH(B$3,PlotTitles,0)))),"",ISBLANK(INDEX(PlotData,MATCH($A369,PlotNumber,0),MATCH(I$3,PlotTitles,0))),"",CompletionMonth="","",(DATEVALUE(INDEX(PlotData,MATCH($A369,PlotNumber,0),MATCH(I$3,PlotTitles,0))&amp;INDEX(PlotData,MATCH($A369,PlotNumber,0),MATCH(J$3,PlotTitles,0))))&gt;(DATEVALUE(CompletionMonth&amp;CompletionYear)),$AB$16,TRUE,"")</f>
        <v/>
      </c>
      <c r="N369" s="104" t="str" cm="1">
        <f t="array" ref="N369">_xlfn.IFS(AND(A369&gt;NumberOfPlots,ISBLANK(INDEX(PlotData,MATCH($A369,PlotNumber,0),MATCH(B$3,PlotTitles,0)))),"",ISBLANK(INDEX(PlotData,MATCH($A369,PlotNumber,0),MATCH(N$3,PlotTitles,0))),$AB$17,TRUE,"")</f>
        <v/>
      </c>
      <c r="O369" s="104" t="str" cm="1">
        <f t="array" ref="O369">_xlfn.IFS(AND(A369&gt;NumberOfPlots,ISBLANK(INDEX(PlotData,MATCH($A369,PlotNumber,0),MATCH(B$3,PlotTitles,0)))),"",ISBLANK(INDEX(PlotData,MATCH($A369,PlotNumber,0),MATCH(O$3,PlotTitles,0))),$AB$18,TRUE,"")</f>
        <v/>
      </c>
      <c r="P369" s="182" t="str">
        <f t="shared" ca="1" si="16"/>
        <v/>
      </c>
      <c r="Q369" s="104" t="str" cm="1">
        <f t="array" ref="Q369">_xlfn.IFS(AND(A369&gt;NumberOfPlots,ISBLANK(INDEX(PlotData,MATCH($A369,PlotNumber,0),MATCH(B$3,PlotTitles,0)))),"",ISBLANK(INDEX(PlotData,MATCH($A369,PlotNumber,0),MATCH(N$3,PlotTitles,0))),"",(DATEVALUE(INDEX(PlotData,MATCH($A369,PlotNumber,0),MATCH(N$3,PlotTitles,0))&amp;INDEX(PlotData,MATCH($A369,PlotNumber,0),MATCH(O$3,PlotTitles,0))))&lt;(DATEVALUE(INDEX(PlotData,MATCH($A369,PlotNumber,0),MATCH(I$3,PlotTitles,0))&amp;INDEX(PlotData,MATCH($A369,PlotNumber,0),MATCH(J$3,PlotTitles,0)))),$AB$20,TRUE,"")</f>
        <v/>
      </c>
      <c r="R369" s="104" t="str" cm="1">
        <f t="array" ref="R369">_xlfn.IFS(OR(ISBLANK(StartDateMonth),ISBLANK(StartDateYear)),"",AND(A369&gt;NumberOfPlots,ISBLANK(INDEX(PlotData,MATCH($A369,PlotNumber,0),MATCH(B$3,PlotTitles,0)))),"",ISBLANK(INDEX(PlotData,MATCH($A369,PlotNumber,0),MATCH(N$3,PlotTitles,0))),"",CompletionMonth="","",(DATEVALUE(INDEX(PlotData,MATCH($A369,PlotNumber,0),MATCH(N$3,PlotTitles,0))&amp;INDEX(PlotData,MATCH($A369,PlotNumber,0),MATCH(O$3,PlotTitles,0))))&gt;(DATEVALUE(CompletionMonth&amp;CompletionYear)),$AB$21,TRUE,"")</f>
        <v/>
      </c>
      <c r="S369" s="104" t="str" cm="1">
        <f t="array" ref="S369">_xlfn.IFS(AND(A369&gt;NumberOfPlots,ISBLANK(INDEX(PlotData,MATCH($A369,PlotNumber,0),MATCH(B$3,PlotTitles,0)))),"",OR(AND(INDEX(PlotData,MATCH($A369,PlotNumber,0),MATCH("Tenure",PlotTitles,0))="Open market housing",INDEX(PlotData,MATCH($A369,PlotNumber,0),MATCH("Tenure detail",PlotTitles,0))="Private rented sector"),INDEX(PlotData,MATCH($A369,PlotNumber,0),MATCH("Tenure",PlotTitles,0))="Affordable rent"),"",ISNUMBER(INDEX(PlotData,MATCH($A369,PlotNumber,0),MATCH(S$3,PlotTitles,0)))=FALSE, $AB$22,TRUE,"")</f>
        <v/>
      </c>
      <c r="T369" s="104" t="str" cm="1">
        <f t="array" ref="T369">_xlfn.IFS(AND(A369&gt;NumberOfPlots,ISBLANK(INDEX(PlotData,MATCH($A369,PlotNumber,0),MATCH(B$3,PlotTitles,0)))),"",OR(AND(INDEX(PlotData,MATCH($A369,PlotNumber,0),MATCH("Tenure",PlotTitles,0))="Open market housing",INDEX(PlotData,MATCH($A369,PlotNumber,0),MATCH("Tenure detail",PlotTitles,0))="Private rented sector"),INDEX(PlotData,MATCH($A369,PlotNumber,0),MATCH("Tenure",PlotTitles,0))="Affordable rent"),"",INDEX(PlotData,MATCH($A369,PlotNumber,0),MATCH(S$3,PlotTitles,0))&lt;10000, $AB$23,TRUE,"")</f>
        <v/>
      </c>
      <c r="U369" s="104" t="str" cm="1">
        <f t="array" ref="U369">_xlfn.IFS(AND(A369&gt;NumberOfPlots,ISBLANK(INDEX(PlotData,MATCH($A369,PlotNumber,0),MATCH(B$3,PlotTitles,0)))),"",NOT(OR(AND(INDEX(PlotData,MATCH($A369,PlotNumber,0),MATCH("Tenure",PlotTitles,0))="Open market housing",INDEX(PlotData,MATCH($A369,PlotNumber,0),MATCH("Tenure detail",PlotTitles,0))="Private rented sector"),INDEX(PlotData,MATCH($A369,PlotNumber,0),MATCH("Tenure",PlotTitles,0))="Affordable rent")),"",NOT(INDEX(PlotData,MATCH($A369,PlotNumber,0),MATCH(S$3,PlotTitles,0))=0), $AB$24,TRUE,"")</f>
        <v/>
      </c>
      <c r="V369" s="114" t="str" cm="1">
        <f t="array" aca="1" ref="V369" ca="1">_xlfn.IFS(ISBLANK(NumberOfPlots),"Enter the number of homes on the 1_SetUp sheet",AND(A369&gt;NumberOfPlots,ISBLANK(INDEX(PlotData,MATCH($A369,PlotNumber,0),MATCH(B$3,PlotTitles,0)))),"No error",NOT(B369=""),B369,NOT(C369=""),C369,NOT(D369=""),D369,NOT(E369=""),E369,NOT(F369=""),F369,NOT(G369=""),G369,NOT(H369=""),H369,NOT(I369=""),I369,NOT(J369=""),J369,NOT(K369=""),K369,NOT(L369=""),L369,NOT(M369=""),M369,NOT(N369=""),N369,NOT(O369=""),O369,NOT(P369=""),P369,NOT(Q369=""),Q369,NOT(R369=""),R369,NOT(S369=""),S369,NOT(T369=""),T369,NOT(U369=""),U369,TRUE,"No error")</f>
        <v>Enter the number of homes on the 1_SetUp sheet</v>
      </c>
      <c r="W369" s="114" t="str">
        <f t="shared" ca="1" si="17"/>
        <v xml:space="preserve">The Borrower has not addressed the following error messages for Home ID 365: </v>
      </c>
    </row>
    <row r="370" spans="1:23">
      <c r="A370" s="123">
        <v>366</v>
      </c>
      <c r="B370" s="104" t="str" cm="1">
        <f t="array" ref="B370">_xlfn.IFS(AND(A370&gt;NumberOfPlots,ISBLANK(INDEX(PlotData,MATCH($A370,PlotNumber,0),MATCH(B$3,PlotTitles,0)))),"",ISNUMBER(INDEX(PlotData,MATCH($A370,PlotNumber,0),MATCH(B$3,PlotTitles,0)))=FALSE, $AB$5,TRUE,"")</f>
        <v/>
      </c>
      <c r="C370" s="104" t="str" cm="1">
        <f t="array" ref="C370">_xlfn.IFS(AND(A370&gt;NumberOfPlots,ISBLANK(INDEX(PlotData,MATCH($A370,PlotNumber,0),MATCH(B$3,PlotTitles,0)))),"",ISBLANK(INDEX(PlotData,MATCH($A370,PlotNumber,0),MATCH(C$3,PlotTitles,0))),$AB$6,TRUE,"")</f>
        <v/>
      </c>
      <c r="D370" s="104" t="str" cm="1">
        <f t="array" ref="D370">_xlfn.IFS(AND(A370&gt;NumberOfPlots,ISBLANK(INDEX(PlotData,MATCH($A370,PlotNumber,0),MATCH(B$3,PlotTitles,0)))),"",ISBLANK(INDEX(PlotData,MATCH($A370,PlotNumber,0),MATCH(D$3,PlotTitles,0))),$AB$7,TRUE,"")</f>
        <v/>
      </c>
      <c r="E370" s="104" t="str" cm="1">
        <f t="array" ref="E370">_xlfn.IFS(AND(A370&gt;NumberOfPlots,ISBLANK(INDEX(PlotData,MATCH($A370,PlotNumber,0),MATCH(B$3,PlotTitles,0)))),"",ISBLANK(INDEX(PlotData,MATCH($A370,PlotNumber,0),MATCH(E$3,PlotTitles,0))),$AB$8,TRUE,"")</f>
        <v/>
      </c>
      <c r="F370" s="104" t="str" cm="1">
        <f t="array" ref="F370">_xlfn.IFS(AND(A370&gt;NumberOfPlots,ISBLANK(INDEX(PlotData,MATCH($A370,PlotNumber,0),MATCH(B$3,PlotTitles,0)))),"",ISBLANK(INDEX(PlotData,MATCH($A370,PlotNumber,0),MATCH(F$3,PlotTitles,0))),$AB$9,TRUE,"")</f>
        <v/>
      </c>
      <c r="G370" s="104" t="str" cm="1">
        <f t="array" ref="G370">_xlfn.IFS(AND(A370&gt;NumberOfPlots,ISBLANK(INDEX(PlotData,MATCH($A370,PlotNumber,0),MATCH(B$3,PlotTitles,0)))),"",ISBLANK(INDEX(PlotData,MATCH($A370,PlotNumber,0),MATCH(G$3,PlotTitles,0))),$AB$10,TRUE,"")</f>
        <v/>
      </c>
      <c r="H370" s="104" t="str" cm="1">
        <f t="array" ref="H370">_xlfn.IFS(AND(A370&gt;NumberOfPlots,ISBLANK(INDEX(PlotData,MATCH($A370,PlotNumber,0),MATCH(B$3,PlotTitles,0)))),"",AND(ISBLANK(INDEX(PlotData,MATCH($A370,PlotNumber,0),MATCH(H$3,PlotTitles,0)))=FALSE,INDEX(PlotData,MATCH($A370,PlotNumber,0),MATCH(H$3,PlotTitles,0))&lt;500), $AB$11,TRUE,"")</f>
        <v/>
      </c>
      <c r="I370" s="104" t="str" cm="1">
        <f t="array" ref="I370">_xlfn.IFS(AND(A370&gt;NumberOfPlots,ISBLANK(INDEX(PlotData,MATCH($A370,PlotNumber,0),MATCH(B$3,PlotTitles,0)))),"",ISBLANK(INDEX(PlotData,MATCH($A370,PlotNumber,0),MATCH(I$3,PlotTitles,0))),$AB$12,TRUE,"")</f>
        <v/>
      </c>
      <c r="J370" s="104" t="str" cm="1">
        <f t="array" ref="J370">_xlfn.IFS(AND(A370&gt;NumberOfPlots,ISBLANK(INDEX(PlotData,MATCH($A370,PlotNumber,0),MATCH(B$3,PlotTitles,0)))),"",ISBLANK(INDEX(PlotData,MATCH($A370,PlotNumber,0),MATCH(J$3,PlotTitles,0))),$AB$13,TRUE,"")</f>
        <v/>
      </c>
      <c r="K370" s="182" t="str">
        <f t="shared" ca="1" si="15"/>
        <v/>
      </c>
      <c r="L370" s="104" t="str" cm="1">
        <f t="array" ref="L370">_xlfn.IFS(OR(ISBLANK(StartDateMonth),ISBLANK(StartDateYear)),"",AND(A370&gt;NumberOfPlots,ISBLANK(INDEX(PlotData,MATCH($A370,PlotNumber,0),MATCH(B$3,PlotTitles,0)))),"",ISBLANK(INDEX(PlotData,MATCH($A370,PlotNumber,0),MATCH(I$3,PlotTitles,0))),"",(DATEVALUE(INDEX(PlotData,MATCH($A370,PlotNumber,0),MATCH(I$3,PlotTitles,0))&amp;INDEX(PlotData,MATCH($A370,PlotNumber,0),MATCH(J$3,PlotTitles,0))))&lt;DATEVALUE(StartDateMonth&amp;StartDateYear),$AB$15,TRUE,"")</f>
        <v/>
      </c>
      <c r="M370" s="104" t="str" cm="1">
        <f t="array" ref="M370">_xlfn.IFS(OR(ISBLANK(StartDateMonth),ISBLANK(StartDateYear)),"",AND(A370&gt;NumberOfPlots,ISBLANK(INDEX(PlotData,MATCH($A370,PlotNumber,0),MATCH(B$3,PlotTitles,0)))),"",ISBLANK(INDEX(PlotData,MATCH($A370,PlotNumber,0),MATCH(I$3,PlotTitles,0))),"",CompletionMonth="","",(DATEVALUE(INDEX(PlotData,MATCH($A370,PlotNumber,0),MATCH(I$3,PlotTitles,0))&amp;INDEX(PlotData,MATCH($A370,PlotNumber,0),MATCH(J$3,PlotTitles,0))))&gt;(DATEVALUE(CompletionMonth&amp;CompletionYear)),$AB$16,TRUE,"")</f>
        <v/>
      </c>
      <c r="N370" s="104" t="str" cm="1">
        <f t="array" ref="N370">_xlfn.IFS(AND(A370&gt;NumberOfPlots,ISBLANK(INDEX(PlotData,MATCH($A370,PlotNumber,0),MATCH(B$3,PlotTitles,0)))),"",ISBLANK(INDEX(PlotData,MATCH($A370,PlotNumber,0),MATCH(N$3,PlotTitles,0))),$AB$17,TRUE,"")</f>
        <v/>
      </c>
      <c r="O370" s="104" t="str" cm="1">
        <f t="array" ref="O370">_xlfn.IFS(AND(A370&gt;NumberOfPlots,ISBLANK(INDEX(PlotData,MATCH($A370,PlotNumber,0),MATCH(B$3,PlotTitles,0)))),"",ISBLANK(INDEX(PlotData,MATCH($A370,PlotNumber,0),MATCH(O$3,PlotTitles,0))),$AB$18,TRUE,"")</f>
        <v/>
      </c>
      <c r="P370" s="182" t="str">
        <f t="shared" ca="1" si="16"/>
        <v/>
      </c>
      <c r="Q370" s="104" t="str" cm="1">
        <f t="array" ref="Q370">_xlfn.IFS(AND(A370&gt;NumberOfPlots,ISBLANK(INDEX(PlotData,MATCH($A370,PlotNumber,0),MATCH(B$3,PlotTitles,0)))),"",ISBLANK(INDEX(PlotData,MATCH($A370,PlotNumber,0),MATCH(N$3,PlotTitles,0))),"",(DATEVALUE(INDEX(PlotData,MATCH($A370,PlotNumber,0),MATCH(N$3,PlotTitles,0))&amp;INDEX(PlotData,MATCH($A370,PlotNumber,0),MATCH(O$3,PlotTitles,0))))&lt;(DATEVALUE(INDEX(PlotData,MATCH($A370,PlotNumber,0),MATCH(I$3,PlotTitles,0))&amp;INDEX(PlotData,MATCH($A370,PlotNumber,0),MATCH(J$3,PlotTitles,0)))),$AB$20,TRUE,"")</f>
        <v/>
      </c>
      <c r="R370" s="104" t="str" cm="1">
        <f t="array" ref="R370">_xlfn.IFS(OR(ISBLANK(StartDateMonth),ISBLANK(StartDateYear)),"",AND(A370&gt;NumberOfPlots,ISBLANK(INDEX(PlotData,MATCH($A370,PlotNumber,0),MATCH(B$3,PlotTitles,0)))),"",ISBLANK(INDEX(PlotData,MATCH($A370,PlotNumber,0),MATCH(N$3,PlotTitles,0))),"",CompletionMonth="","",(DATEVALUE(INDEX(PlotData,MATCH($A370,PlotNumber,0),MATCH(N$3,PlotTitles,0))&amp;INDEX(PlotData,MATCH($A370,PlotNumber,0),MATCH(O$3,PlotTitles,0))))&gt;(DATEVALUE(CompletionMonth&amp;CompletionYear)),$AB$21,TRUE,"")</f>
        <v/>
      </c>
      <c r="S370" s="104" t="str" cm="1">
        <f t="array" ref="S370">_xlfn.IFS(AND(A370&gt;NumberOfPlots,ISBLANK(INDEX(PlotData,MATCH($A370,PlotNumber,0),MATCH(B$3,PlotTitles,0)))),"",OR(AND(INDEX(PlotData,MATCH($A370,PlotNumber,0),MATCH("Tenure",PlotTitles,0))="Open market housing",INDEX(PlotData,MATCH($A370,PlotNumber,0),MATCH("Tenure detail",PlotTitles,0))="Private rented sector"),INDEX(PlotData,MATCH($A370,PlotNumber,0),MATCH("Tenure",PlotTitles,0))="Affordable rent"),"",ISNUMBER(INDEX(PlotData,MATCH($A370,PlotNumber,0),MATCH(S$3,PlotTitles,0)))=FALSE, $AB$22,TRUE,"")</f>
        <v/>
      </c>
      <c r="T370" s="104" t="str" cm="1">
        <f t="array" ref="T370">_xlfn.IFS(AND(A370&gt;NumberOfPlots,ISBLANK(INDEX(PlotData,MATCH($A370,PlotNumber,0),MATCH(B$3,PlotTitles,0)))),"",OR(AND(INDEX(PlotData,MATCH($A370,PlotNumber,0),MATCH("Tenure",PlotTitles,0))="Open market housing",INDEX(PlotData,MATCH($A370,PlotNumber,0),MATCH("Tenure detail",PlotTitles,0))="Private rented sector"),INDEX(PlotData,MATCH($A370,PlotNumber,0),MATCH("Tenure",PlotTitles,0))="Affordable rent"),"",INDEX(PlotData,MATCH($A370,PlotNumber,0),MATCH(S$3,PlotTitles,0))&lt;10000, $AB$23,TRUE,"")</f>
        <v/>
      </c>
      <c r="U370" s="104" t="str" cm="1">
        <f t="array" ref="U370">_xlfn.IFS(AND(A370&gt;NumberOfPlots,ISBLANK(INDEX(PlotData,MATCH($A370,PlotNumber,0),MATCH(B$3,PlotTitles,0)))),"",NOT(OR(AND(INDEX(PlotData,MATCH($A370,PlotNumber,0),MATCH("Tenure",PlotTitles,0))="Open market housing",INDEX(PlotData,MATCH($A370,PlotNumber,0),MATCH("Tenure detail",PlotTitles,0))="Private rented sector"),INDEX(PlotData,MATCH($A370,PlotNumber,0),MATCH("Tenure",PlotTitles,0))="Affordable rent")),"",NOT(INDEX(PlotData,MATCH($A370,PlotNumber,0),MATCH(S$3,PlotTitles,0))=0), $AB$24,TRUE,"")</f>
        <v/>
      </c>
      <c r="V370" s="114" t="str" cm="1">
        <f t="array" aca="1" ref="V370" ca="1">_xlfn.IFS(ISBLANK(NumberOfPlots),"Enter the number of homes on the 1_SetUp sheet",AND(A370&gt;NumberOfPlots,ISBLANK(INDEX(PlotData,MATCH($A370,PlotNumber,0),MATCH(B$3,PlotTitles,0)))),"No error",NOT(B370=""),B370,NOT(C370=""),C370,NOT(D370=""),D370,NOT(E370=""),E370,NOT(F370=""),F370,NOT(G370=""),G370,NOT(H370=""),H370,NOT(I370=""),I370,NOT(J370=""),J370,NOT(K370=""),K370,NOT(L370=""),L370,NOT(M370=""),M370,NOT(N370=""),N370,NOT(O370=""),O370,NOT(P370=""),P370,NOT(Q370=""),Q370,NOT(R370=""),R370,NOT(S370=""),S370,NOT(T370=""),T370,NOT(U370=""),U370,TRUE,"No error")</f>
        <v>Enter the number of homes on the 1_SetUp sheet</v>
      </c>
      <c r="W370" s="114" t="str">
        <f t="shared" ca="1" si="17"/>
        <v xml:space="preserve">The Borrower has not addressed the following error messages for Home ID 366: </v>
      </c>
    </row>
    <row r="371" spans="1:23">
      <c r="A371" s="123">
        <v>367</v>
      </c>
      <c r="B371" s="104" t="str" cm="1">
        <f t="array" ref="B371">_xlfn.IFS(AND(A371&gt;NumberOfPlots,ISBLANK(INDEX(PlotData,MATCH($A371,PlotNumber,0),MATCH(B$3,PlotTitles,0)))),"",ISNUMBER(INDEX(PlotData,MATCH($A371,PlotNumber,0),MATCH(B$3,PlotTitles,0)))=FALSE, $AB$5,TRUE,"")</f>
        <v/>
      </c>
      <c r="C371" s="104" t="str" cm="1">
        <f t="array" ref="C371">_xlfn.IFS(AND(A371&gt;NumberOfPlots,ISBLANK(INDEX(PlotData,MATCH($A371,PlotNumber,0),MATCH(B$3,PlotTitles,0)))),"",ISBLANK(INDEX(PlotData,MATCH($A371,PlotNumber,0),MATCH(C$3,PlotTitles,0))),$AB$6,TRUE,"")</f>
        <v/>
      </c>
      <c r="D371" s="104" t="str" cm="1">
        <f t="array" ref="D371">_xlfn.IFS(AND(A371&gt;NumberOfPlots,ISBLANK(INDEX(PlotData,MATCH($A371,PlotNumber,0),MATCH(B$3,PlotTitles,0)))),"",ISBLANK(INDEX(PlotData,MATCH($A371,PlotNumber,0),MATCH(D$3,PlotTitles,0))),$AB$7,TRUE,"")</f>
        <v/>
      </c>
      <c r="E371" s="104" t="str" cm="1">
        <f t="array" ref="E371">_xlfn.IFS(AND(A371&gt;NumberOfPlots,ISBLANK(INDEX(PlotData,MATCH($A371,PlotNumber,0),MATCH(B$3,PlotTitles,0)))),"",ISBLANK(INDEX(PlotData,MATCH($A371,PlotNumber,0),MATCH(E$3,PlotTitles,0))),$AB$8,TRUE,"")</f>
        <v/>
      </c>
      <c r="F371" s="104" t="str" cm="1">
        <f t="array" ref="F371">_xlfn.IFS(AND(A371&gt;NumberOfPlots,ISBLANK(INDEX(PlotData,MATCH($A371,PlotNumber,0),MATCH(B$3,PlotTitles,0)))),"",ISBLANK(INDEX(PlotData,MATCH($A371,PlotNumber,0),MATCH(F$3,PlotTitles,0))),$AB$9,TRUE,"")</f>
        <v/>
      </c>
      <c r="G371" s="104" t="str" cm="1">
        <f t="array" ref="G371">_xlfn.IFS(AND(A371&gt;NumberOfPlots,ISBLANK(INDEX(PlotData,MATCH($A371,PlotNumber,0),MATCH(B$3,PlotTitles,0)))),"",ISBLANK(INDEX(PlotData,MATCH($A371,PlotNumber,0),MATCH(G$3,PlotTitles,0))),$AB$10,TRUE,"")</f>
        <v/>
      </c>
      <c r="H371" s="104" t="str" cm="1">
        <f t="array" ref="H371">_xlfn.IFS(AND(A371&gt;NumberOfPlots,ISBLANK(INDEX(PlotData,MATCH($A371,PlotNumber,0),MATCH(B$3,PlotTitles,0)))),"",AND(ISBLANK(INDEX(PlotData,MATCH($A371,PlotNumber,0),MATCH(H$3,PlotTitles,0)))=FALSE,INDEX(PlotData,MATCH($A371,PlotNumber,0),MATCH(H$3,PlotTitles,0))&lt;500), $AB$11,TRUE,"")</f>
        <v/>
      </c>
      <c r="I371" s="104" t="str" cm="1">
        <f t="array" ref="I371">_xlfn.IFS(AND(A371&gt;NumberOfPlots,ISBLANK(INDEX(PlotData,MATCH($A371,PlotNumber,0),MATCH(B$3,PlotTitles,0)))),"",ISBLANK(INDEX(PlotData,MATCH($A371,PlotNumber,0),MATCH(I$3,PlotTitles,0))),$AB$12,TRUE,"")</f>
        <v/>
      </c>
      <c r="J371" s="104" t="str" cm="1">
        <f t="array" ref="J371">_xlfn.IFS(AND(A371&gt;NumberOfPlots,ISBLANK(INDEX(PlotData,MATCH($A371,PlotNumber,0),MATCH(B$3,PlotTitles,0)))),"",ISBLANK(INDEX(PlotData,MATCH($A371,PlotNumber,0),MATCH(J$3,PlotTitles,0))),$AB$13,TRUE,"")</f>
        <v/>
      </c>
      <c r="K371" s="182" t="str">
        <f t="shared" ca="1" si="15"/>
        <v/>
      </c>
      <c r="L371" s="104" t="str" cm="1">
        <f t="array" ref="L371">_xlfn.IFS(OR(ISBLANK(StartDateMonth),ISBLANK(StartDateYear)),"",AND(A371&gt;NumberOfPlots,ISBLANK(INDEX(PlotData,MATCH($A371,PlotNumber,0),MATCH(B$3,PlotTitles,0)))),"",ISBLANK(INDEX(PlotData,MATCH($A371,PlotNumber,0),MATCH(I$3,PlotTitles,0))),"",(DATEVALUE(INDEX(PlotData,MATCH($A371,PlotNumber,0),MATCH(I$3,PlotTitles,0))&amp;INDEX(PlotData,MATCH($A371,PlotNumber,0),MATCH(J$3,PlotTitles,0))))&lt;DATEVALUE(StartDateMonth&amp;StartDateYear),$AB$15,TRUE,"")</f>
        <v/>
      </c>
      <c r="M371" s="104" t="str" cm="1">
        <f t="array" ref="M371">_xlfn.IFS(OR(ISBLANK(StartDateMonth),ISBLANK(StartDateYear)),"",AND(A371&gt;NumberOfPlots,ISBLANK(INDEX(PlotData,MATCH($A371,PlotNumber,0),MATCH(B$3,PlotTitles,0)))),"",ISBLANK(INDEX(PlotData,MATCH($A371,PlotNumber,0),MATCH(I$3,PlotTitles,0))),"",CompletionMonth="","",(DATEVALUE(INDEX(PlotData,MATCH($A371,PlotNumber,0),MATCH(I$3,PlotTitles,0))&amp;INDEX(PlotData,MATCH($A371,PlotNumber,0),MATCH(J$3,PlotTitles,0))))&gt;(DATEVALUE(CompletionMonth&amp;CompletionYear)),$AB$16,TRUE,"")</f>
        <v/>
      </c>
      <c r="N371" s="104" t="str" cm="1">
        <f t="array" ref="N371">_xlfn.IFS(AND(A371&gt;NumberOfPlots,ISBLANK(INDEX(PlotData,MATCH($A371,PlotNumber,0),MATCH(B$3,PlotTitles,0)))),"",ISBLANK(INDEX(PlotData,MATCH($A371,PlotNumber,0),MATCH(N$3,PlotTitles,0))),$AB$17,TRUE,"")</f>
        <v/>
      </c>
      <c r="O371" s="104" t="str" cm="1">
        <f t="array" ref="O371">_xlfn.IFS(AND(A371&gt;NumberOfPlots,ISBLANK(INDEX(PlotData,MATCH($A371,PlotNumber,0),MATCH(B$3,PlotTitles,0)))),"",ISBLANK(INDEX(PlotData,MATCH($A371,PlotNumber,0),MATCH(O$3,PlotTitles,0))),$AB$18,TRUE,"")</f>
        <v/>
      </c>
      <c r="P371" s="182" t="str">
        <f t="shared" ca="1" si="16"/>
        <v/>
      </c>
      <c r="Q371" s="104" t="str" cm="1">
        <f t="array" ref="Q371">_xlfn.IFS(AND(A371&gt;NumberOfPlots,ISBLANK(INDEX(PlotData,MATCH($A371,PlotNumber,0),MATCH(B$3,PlotTitles,0)))),"",ISBLANK(INDEX(PlotData,MATCH($A371,PlotNumber,0),MATCH(N$3,PlotTitles,0))),"",(DATEVALUE(INDEX(PlotData,MATCH($A371,PlotNumber,0),MATCH(N$3,PlotTitles,0))&amp;INDEX(PlotData,MATCH($A371,PlotNumber,0),MATCH(O$3,PlotTitles,0))))&lt;(DATEVALUE(INDEX(PlotData,MATCH($A371,PlotNumber,0),MATCH(I$3,PlotTitles,0))&amp;INDEX(PlotData,MATCH($A371,PlotNumber,0),MATCH(J$3,PlotTitles,0)))),$AB$20,TRUE,"")</f>
        <v/>
      </c>
      <c r="R371" s="104" t="str" cm="1">
        <f t="array" ref="R371">_xlfn.IFS(OR(ISBLANK(StartDateMonth),ISBLANK(StartDateYear)),"",AND(A371&gt;NumberOfPlots,ISBLANK(INDEX(PlotData,MATCH($A371,PlotNumber,0),MATCH(B$3,PlotTitles,0)))),"",ISBLANK(INDEX(PlotData,MATCH($A371,PlotNumber,0),MATCH(N$3,PlotTitles,0))),"",CompletionMonth="","",(DATEVALUE(INDEX(PlotData,MATCH($A371,PlotNumber,0),MATCH(N$3,PlotTitles,0))&amp;INDEX(PlotData,MATCH($A371,PlotNumber,0),MATCH(O$3,PlotTitles,0))))&gt;(DATEVALUE(CompletionMonth&amp;CompletionYear)),$AB$21,TRUE,"")</f>
        <v/>
      </c>
      <c r="S371" s="104" t="str" cm="1">
        <f t="array" ref="S371">_xlfn.IFS(AND(A371&gt;NumberOfPlots,ISBLANK(INDEX(PlotData,MATCH($A371,PlotNumber,0),MATCH(B$3,PlotTitles,0)))),"",OR(AND(INDEX(PlotData,MATCH($A371,PlotNumber,0),MATCH("Tenure",PlotTitles,0))="Open market housing",INDEX(PlotData,MATCH($A371,PlotNumber,0),MATCH("Tenure detail",PlotTitles,0))="Private rented sector"),INDEX(PlotData,MATCH($A371,PlotNumber,0),MATCH("Tenure",PlotTitles,0))="Affordable rent"),"",ISNUMBER(INDEX(PlotData,MATCH($A371,PlotNumber,0),MATCH(S$3,PlotTitles,0)))=FALSE, $AB$22,TRUE,"")</f>
        <v/>
      </c>
      <c r="T371" s="104" t="str" cm="1">
        <f t="array" ref="T371">_xlfn.IFS(AND(A371&gt;NumberOfPlots,ISBLANK(INDEX(PlotData,MATCH($A371,PlotNumber,0),MATCH(B$3,PlotTitles,0)))),"",OR(AND(INDEX(PlotData,MATCH($A371,PlotNumber,0),MATCH("Tenure",PlotTitles,0))="Open market housing",INDEX(PlotData,MATCH($A371,PlotNumber,0),MATCH("Tenure detail",PlotTitles,0))="Private rented sector"),INDEX(PlotData,MATCH($A371,PlotNumber,0),MATCH("Tenure",PlotTitles,0))="Affordable rent"),"",INDEX(PlotData,MATCH($A371,PlotNumber,0),MATCH(S$3,PlotTitles,0))&lt;10000, $AB$23,TRUE,"")</f>
        <v/>
      </c>
      <c r="U371" s="104" t="str" cm="1">
        <f t="array" ref="U371">_xlfn.IFS(AND(A371&gt;NumberOfPlots,ISBLANK(INDEX(PlotData,MATCH($A371,PlotNumber,0),MATCH(B$3,PlotTitles,0)))),"",NOT(OR(AND(INDEX(PlotData,MATCH($A371,PlotNumber,0),MATCH("Tenure",PlotTitles,0))="Open market housing",INDEX(PlotData,MATCH($A371,PlotNumber,0),MATCH("Tenure detail",PlotTitles,0))="Private rented sector"),INDEX(PlotData,MATCH($A371,PlotNumber,0),MATCH("Tenure",PlotTitles,0))="Affordable rent")),"",NOT(INDEX(PlotData,MATCH($A371,PlotNumber,0),MATCH(S$3,PlotTitles,0))=0), $AB$24,TRUE,"")</f>
        <v/>
      </c>
      <c r="V371" s="114" t="str" cm="1">
        <f t="array" aca="1" ref="V371" ca="1">_xlfn.IFS(ISBLANK(NumberOfPlots),"Enter the number of homes on the 1_SetUp sheet",AND(A371&gt;NumberOfPlots,ISBLANK(INDEX(PlotData,MATCH($A371,PlotNumber,0),MATCH(B$3,PlotTitles,0)))),"No error",NOT(B371=""),B371,NOT(C371=""),C371,NOT(D371=""),D371,NOT(E371=""),E371,NOT(F371=""),F371,NOT(G371=""),G371,NOT(H371=""),H371,NOT(I371=""),I371,NOT(J371=""),J371,NOT(K371=""),K371,NOT(L371=""),L371,NOT(M371=""),M371,NOT(N371=""),N371,NOT(O371=""),O371,NOT(P371=""),P371,NOT(Q371=""),Q371,NOT(R371=""),R371,NOT(S371=""),S371,NOT(T371=""),T371,NOT(U371=""),U371,TRUE,"No error")</f>
        <v>Enter the number of homes on the 1_SetUp sheet</v>
      </c>
      <c r="W371" s="114" t="str">
        <f t="shared" ca="1" si="17"/>
        <v xml:space="preserve">The Borrower has not addressed the following error messages for Home ID 367: </v>
      </c>
    </row>
    <row r="372" spans="1:23">
      <c r="A372" s="123">
        <v>368</v>
      </c>
      <c r="B372" s="104" t="str" cm="1">
        <f t="array" ref="B372">_xlfn.IFS(AND(A372&gt;NumberOfPlots,ISBLANK(INDEX(PlotData,MATCH($A372,PlotNumber,0),MATCH(B$3,PlotTitles,0)))),"",ISNUMBER(INDEX(PlotData,MATCH($A372,PlotNumber,0),MATCH(B$3,PlotTitles,0)))=FALSE, $AB$5,TRUE,"")</f>
        <v/>
      </c>
      <c r="C372" s="104" t="str" cm="1">
        <f t="array" ref="C372">_xlfn.IFS(AND(A372&gt;NumberOfPlots,ISBLANK(INDEX(PlotData,MATCH($A372,PlotNumber,0),MATCH(B$3,PlotTitles,0)))),"",ISBLANK(INDEX(PlotData,MATCH($A372,PlotNumber,0),MATCH(C$3,PlotTitles,0))),$AB$6,TRUE,"")</f>
        <v/>
      </c>
      <c r="D372" s="104" t="str" cm="1">
        <f t="array" ref="D372">_xlfn.IFS(AND(A372&gt;NumberOfPlots,ISBLANK(INDEX(PlotData,MATCH($A372,PlotNumber,0),MATCH(B$3,PlotTitles,0)))),"",ISBLANK(INDEX(PlotData,MATCH($A372,PlotNumber,0),MATCH(D$3,PlotTitles,0))),$AB$7,TRUE,"")</f>
        <v/>
      </c>
      <c r="E372" s="104" t="str" cm="1">
        <f t="array" ref="E372">_xlfn.IFS(AND(A372&gt;NumberOfPlots,ISBLANK(INDEX(PlotData,MATCH($A372,PlotNumber,0),MATCH(B$3,PlotTitles,0)))),"",ISBLANK(INDEX(PlotData,MATCH($A372,PlotNumber,0),MATCH(E$3,PlotTitles,0))),$AB$8,TRUE,"")</f>
        <v/>
      </c>
      <c r="F372" s="104" t="str" cm="1">
        <f t="array" ref="F372">_xlfn.IFS(AND(A372&gt;NumberOfPlots,ISBLANK(INDEX(PlotData,MATCH($A372,PlotNumber,0),MATCH(B$3,PlotTitles,0)))),"",ISBLANK(INDEX(PlotData,MATCH($A372,PlotNumber,0),MATCH(F$3,PlotTitles,0))),$AB$9,TRUE,"")</f>
        <v/>
      </c>
      <c r="G372" s="104" t="str" cm="1">
        <f t="array" ref="G372">_xlfn.IFS(AND(A372&gt;NumberOfPlots,ISBLANK(INDEX(PlotData,MATCH($A372,PlotNumber,0),MATCH(B$3,PlotTitles,0)))),"",ISBLANK(INDEX(PlotData,MATCH($A372,PlotNumber,0),MATCH(G$3,PlotTitles,0))),$AB$10,TRUE,"")</f>
        <v/>
      </c>
      <c r="H372" s="104" t="str" cm="1">
        <f t="array" ref="H372">_xlfn.IFS(AND(A372&gt;NumberOfPlots,ISBLANK(INDEX(PlotData,MATCH($A372,PlotNumber,0),MATCH(B$3,PlotTitles,0)))),"",AND(ISBLANK(INDEX(PlotData,MATCH($A372,PlotNumber,0),MATCH(H$3,PlotTitles,0)))=FALSE,INDEX(PlotData,MATCH($A372,PlotNumber,0),MATCH(H$3,PlotTitles,0))&lt;500), $AB$11,TRUE,"")</f>
        <v/>
      </c>
      <c r="I372" s="104" t="str" cm="1">
        <f t="array" ref="I372">_xlfn.IFS(AND(A372&gt;NumberOfPlots,ISBLANK(INDEX(PlotData,MATCH($A372,PlotNumber,0),MATCH(B$3,PlotTitles,0)))),"",ISBLANK(INDEX(PlotData,MATCH($A372,PlotNumber,0),MATCH(I$3,PlotTitles,0))),$AB$12,TRUE,"")</f>
        <v/>
      </c>
      <c r="J372" s="104" t="str" cm="1">
        <f t="array" ref="J372">_xlfn.IFS(AND(A372&gt;NumberOfPlots,ISBLANK(INDEX(PlotData,MATCH($A372,PlotNumber,0),MATCH(B$3,PlotTitles,0)))),"",ISBLANK(INDEX(PlotData,MATCH($A372,PlotNumber,0),MATCH(J$3,PlotTitles,0))),$AB$13,TRUE,"")</f>
        <v/>
      </c>
      <c r="K372" s="182" t="str">
        <f t="shared" ca="1" si="15"/>
        <v/>
      </c>
      <c r="L372" s="104" t="str" cm="1">
        <f t="array" ref="L372">_xlfn.IFS(OR(ISBLANK(StartDateMonth),ISBLANK(StartDateYear)),"",AND(A372&gt;NumberOfPlots,ISBLANK(INDEX(PlotData,MATCH($A372,PlotNumber,0),MATCH(B$3,PlotTitles,0)))),"",ISBLANK(INDEX(PlotData,MATCH($A372,PlotNumber,0),MATCH(I$3,PlotTitles,0))),"",(DATEVALUE(INDEX(PlotData,MATCH($A372,PlotNumber,0),MATCH(I$3,PlotTitles,0))&amp;INDEX(PlotData,MATCH($A372,PlotNumber,0),MATCH(J$3,PlotTitles,0))))&lt;DATEVALUE(StartDateMonth&amp;StartDateYear),$AB$15,TRUE,"")</f>
        <v/>
      </c>
      <c r="M372" s="104" t="str" cm="1">
        <f t="array" ref="M372">_xlfn.IFS(OR(ISBLANK(StartDateMonth),ISBLANK(StartDateYear)),"",AND(A372&gt;NumberOfPlots,ISBLANK(INDEX(PlotData,MATCH($A372,PlotNumber,0),MATCH(B$3,PlotTitles,0)))),"",ISBLANK(INDEX(PlotData,MATCH($A372,PlotNumber,0),MATCH(I$3,PlotTitles,0))),"",CompletionMonth="","",(DATEVALUE(INDEX(PlotData,MATCH($A372,PlotNumber,0),MATCH(I$3,PlotTitles,0))&amp;INDEX(PlotData,MATCH($A372,PlotNumber,0),MATCH(J$3,PlotTitles,0))))&gt;(DATEVALUE(CompletionMonth&amp;CompletionYear)),$AB$16,TRUE,"")</f>
        <v/>
      </c>
      <c r="N372" s="104" t="str" cm="1">
        <f t="array" ref="N372">_xlfn.IFS(AND(A372&gt;NumberOfPlots,ISBLANK(INDEX(PlotData,MATCH($A372,PlotNumber,0),MATCH(B$3,PlotTitles,0)))),"",ISBLANK(INDEX(PlotData,MATCH($A372,PlotNumber,0),MATCH(N$3,PlotTitles,0))),$AB$17,TRUE,"")</f>
        <v/>
      </c>
      <c r="O372" s="104" t="str" cm="1">
        <f t="array" ref="O372">_xlfn.IFS(AND(A372&gt;NumberOfPlots,ISBLANK(INDEX(PlotData,MATCH($A372,PlotNumber,0),MATCH(B$3,PlotTitles,0)))),"",ISBLANK(INDEX(PlotData,MATCH($A372,PlotNumber,0),MATCH(O$3,PlotTitles,0))),$AB$18,TRUE,"")</f>
        <v/>
      </c>
      <c r="P372" s="182" t="str">
        <f t="shared" ca="1" si="16"/>
        <v/>
      </c>
      <c r="Q372" s="104" t="str" cm="1">
        <f t="array" ref="Q372">_xlfn.IFS(AND(A372&gt;NumberOfPlots,ISBLANK(INDEX(PlotData,MATCH($A372,PlotNumber,0),MATCH(B$3,PlotTitles,0)))),"",ISBLANK(INDEX(PlotData,MATCH($A372,PlotNumber,0),MATCH(N$3,PlotTitles,0))),"",(DATEVALUE(INDEX(PlotData,MATCH($A372,PlotNumber,0),MATCH(N$3,PlotTitles,0))&amp;INDEX(PlotData,MATCH($A372,PlotNumber,0),MATCH(O$3,PlotTitles,0))))&lt;(DATEVALUE(INDEX(PlotData,MATCH($A372,PlotNumber,0),MATCH(I$3,PlotTitles,0))&amp;INDEX(PlotData,MATCH($A372,PlotNumber,0),MATCH(J$3,PlotTitles,0)))),$AB$20,TRUE,"")</f>
        <v/>
      </c>
      <c r="R372" s="104" t="str" cm="1">
        <f t="array" ref="R372">_xlfn.IFS(OR(ISBLANK(StartDateMonth),ISBLANK(StartDateYear)),"",AND(A372&gt;NumberOfPlots,ISBLANK(INDEX(PlotData,MATCH($A372,PlotNumber,0),MATCH(B$3,PlotTitles,0)))),"",ISBLANK(INDEX(PlotData,MATCH($A372,PlotNumber,0),MATCH(N$3,PlotTitles,0))),"",CompletionMonth="","",(DATEVALUE(INDEX(PlotData,MATCH($A372,PlotNumber,0),MATCH(N$3,PlotTitles,0))&amp;INDEX(PlotData,MATCH($A372,PlotNumber,0),MATCH(O$3,PlotTitles,0))))&gt;(DATEVALUE(CompletionMonth&amp;CompletionYear)),$AB$21,TRUE,"")</f>
        <v/>
      </c>
      <c r="S372" s="104" t="str" cm="1">
        <f t="array" ref="S372">_xlfn.IFS(AND(A372&gt;NumberOfPlots,ISBLANK(INDEX(PlotData,MATCH($A372,PlotNumber,0),MATCH(B$3,PlotTitles,0)))),"",OR(AND(INDEX(PlotData,MATCH($A372,PlotNumber,0),MATCH("Tenure",PlotTitles,0))="Open market housing",INDEX(PlotData,MATCH($A372,PlotNumber,0),MATCH("Tenure detail",PlotTitles,0))="Private rented sector"),INDEX(PlotData,MATCH($A372,PlotNumber,0),MATCH("Tenure",PlotTitles,0))="Affordable rent"),"",ISNUMBER(INDEX(PlotData,MATCH($A372,PlotNumber,0),MATCH(S$3,PlotTitles,0)))=FALSE, $AB$22,TRUE,"")</f>
        <v/>
      </c>
      <c r="T372" s="104" t="str" cm="1">
        <f t="array" ref="T372">_xlfn.IFS(AND(A372&gt;NumberOfPlots,ISBLANK(INDEX(PlotData,MATCH($A372,PlotNumber,0),MATCH(B$3,PlotTitles,0)))),"",OR(AND(INDEX(PlotData,MATCH($A372,PlotNumber,0),MATCH("Tenure",PlotTitles,0))="Open market housing",INDEX(PlotData,MATCH($A372,PlotNumber,0),MATCH("Tenure detail",PlotTitles,0))="Private rented sector"),INDEX(PlotData,MATCH($A372,PlotNumber,0),MATCH("Tenure",PlotTitles,0))="Affordable rent"),"",INDEX(PlotData,MATCH($A372,PlotNumber,0),MATCH(S$3,PlotTitles,0))&lt;10000, $AB$23,TRUE,"")</f>
        <v/>
      </c>
      <c r="U372" s="104" t="str" cm="1">
        <f t="array" ref="U372">_xlfn.IFS(AND(A372&gt;NumberOfPlots,ISBLANK(INDEX(PlotData,MATCH($A372,PlotNumber,0),MATCH(B$3,PlotTitles,0)))),"",NOT(OR(AND(INDEX(PlotData,MATCH($A372,PlotNumber,0),MATCH("Tenure",PlotTitles,0))="Open market housing",INDEX(PlotData,MATCH($A372,PlotNumber,0),MATCH("Tenure detail",PlotTitles,0))="Private rented sector"),INDEX(PlotData,MATCH($A372,PlotNumber,0),MATCH("Tenure",PlotTitles,0))="Affordable rent")),"",NOT(INDEX(PlotData,MATCH($A372,PlotNumber,0),MATCH(S$3,PlotTitles,0))=0), $AB$24,TRUE,"")</f>
        <v/>
      </c>
      <c r="V372" s="114" t="str" cm="1">
        <f t="array" aca="1" ref="V372" ca="1">_xlfn.IFS(ISBLANK(NumberOfPlots),"Enter the number of homes on the 1_SetUp sheet",AND(A372&gt;NumberOfPlots,ISBLANK(INDEX(PlotData,MATCH($A372,PlotNumber,0),MATCH(B$3,PlotTitles,0)))),"No error",NOT(B372=""),B372,NOT(C372=""),C372,NOT(D372=""),D372,NOT(E372=""),E372,NOT(F372=""),F372,NOT(G372=""),G372,NOT(H372=""),H372,NOT(I372=""),I372,NOT(J372=""),J372,NOT(K372=""),K372,NOT(L372=""),L372,NOT(M372=""),M372,NOT(N372=""),N372,NOT(O372=""),O372,NOT(P372=""),P372,NOT(Q372=""),Q372,NOT(R372=""),R372,NOT(S372=""),S372,NOT(T372=""),T372,NOT(U372=""),U372,TRUE,"No error")</f>
        <v>Enter the number of homes on the 1_SetUp sheet</v>
      </c>
      <c r="W372" s="114" t="str">
        <f t="shared" ca="1" si="17"/>
        <v xml:space="preserve">The Borrower has not addressed the following error messages for Home ID 368: </v>
      </c>
    </row>
    <row r="373" spans="1:23">
      <c r="A373" s="123">
        <v>369</v>
      </c>
      <c r="B373" s="104" t="str" cm="1">
        <f t="array" ref="B373">_xlfn.IFS(AND(A373&gt;NumberOfPlots,ISBLANK(INDEX(PlotData,MATCH($A373,PlotNumber,0),MATCH(B$3,PlotTitles,0)))),"",ISNUMBER(INDEX(PlotData,MATCH($A373,PlotNumber,0),MATCH(B$3,PlotTitles,0)))=FALSE, $AB$5,TRUE,"")</f>
        <v/>
      </c>
      <c r="C373" s="104" t="str" cm="1">
        <f t="array" ref="C373">_xlfn.IFS(AND(A373&gt;NumberOfPlots,ISBLANK(INDEX(PlotData,MATCH($A373,PlotNumber,0),MATCH(B$3,PlotTitles,0)))),"",ISBLANK(INDEX(PlotData,MATCH($A373,PlotNumber,0),MATCH(C$3,PlotTitles,0))),$AB$6,TRUE,"")</f>
        <v/>
      </c>
      <c r="D373" s="104" t="str" cm="1">
        <f t="array" ref="D373">_xlfn.IFS(AND(A373&gt;NumberOfPlots,ISBLANK(INDEX(PlotData,MATCH($A373,PlotNumber,0),MATCH(B$3,PlotTitles,0)))),"",ISBLANK(INDEX(PlotData,MATCH($A373,PlotNumber,0),MATCH(D$3,PlotTitles,0))),$AB$7,TRUE,"")</f>
        <v/>
      </c>
      <c r="E373" s="104" t="str" cm="1">
        <f t="array" ref="E373">_xlfn.IFS(AND(A373&gt;NumberOfPlots,ISBLANK(INDEX(PlotData,MATCH($A373,PlotNumber,0),MATCH(B$3,PlotTitles,0)))),"",ISBLANK(INDEX(PlotData,MATCH($A373,PlotNumber,0),MATCH(E$3,PlotTitles,0))),$AB$8,TRUE,"")</f>
        <v/>
      </c>
      <c r="F373" s="104" t="str" cm="1">
        <f t="array" ref="F373">_xlfn.IFS(AND(A373&gt;NumberOfPlots,ISBLANK(INDEX(PlotData,MATCH($A373,PlotNumber,0),MATCH(B$3,PlotTitles,0)))),"",ISBLANK(INDEX(PlotData,MATCH($A373,PlotNumber,0),MATCH(F$3,PlotTitles,0))),$AB$9,TRUE,"")</f>
        <v/>
      </c>
      <c r="G373" s="104" t="str" cm="1">
        <f t="array" ref="G373">_xlfn.IFS(AND(A373&gt;NumberOfPlots,ISBLANK(INDEX(PlotData,MATCH($A373,PlotNumber,0),MATCH(B$3,PlotTitles,0)))),"",ISBLANK(INDEX(PlotData,MATCH($A373,PlotNumber,0),MATCH(G$3,PlotTitles,0))),$AB$10,TRUE,"")</f>
        <v/>
      </c>
      <c r="H373" s="104" t="str" cm="1">
        <f t="array" ref="H373">_xlfn.IFS(AND(A373&gt;NumberOfPlots,ISBLANK(INDEX(PlotData,MATCH($A373,PlotNumber,0),MATCH(B$3,PlotTitles,0)))),"",AND(ISBLANK(INDEX(PlotData,MATCH($A373,PlotNumber,0),MATCH(H$3,PlotTitles,0)))=FALSE,INDEX(PlotData,MATCH($A373,PlotNumber,0),MATCH(H$3,PlotTitles,0))&lt;500), $AB$11,TRUE,"")</f>
        <v/>
      </c>
      <c r="I373" s="104" t="str" cm="1">
        <f t="array" ref="I373">_xlfn.IFS(AND(A373&gt;NumberOfPlots,ISBLANK(INDEX(PlotData,MATCH($A373,PlotNumber,0),MATCH(B$3,PlotTitles,0)))),"",ISBLANK(INDEX(PlotData,MATCH($A373,PlotNumber,0),MATCH(I$3,PlotTitles,0))),$AB$12,TRUE,"")</f>
        <v/>
      </c>
      <c r="J373" s="104" t="str" cm="1">
        <f t="array" ref="J373">_xlfn.IFS(AND(A373&gt;NumberOfPlots,ISBLANK(INDEX(PlotData,MATCH($A373,PlotNumber,0),MATCH(B$3,PlotTitles,0)))),"",ISBLANK(INDEX(PlotData,MATCH($A373,PlotNumber,0),MATCH(J$3,PlotTitles,0))),$AB$13,TRUE,"")</f>
        <v/>
      </c>
      <c r="K373" s="182" t="str">
        <f t="shared" ca="1" si="15"/>
        <v/>
      </c>
      <c r="L373" s="104" t="str" cm="1">
        <f t="array" ref="L373">_xlfn.IFS(OR(ISBLANK(StartDateMonth),ISBLANK(StartDateYear)),"",AND(A373&gt;NumberOfPlots,ISBLANK(INDEX(PlotData,MATCH($A373,PlotNumber,0),MATCH(B$3,PlotTitles,0)))),"",ISBLANK(INDEX(PlotData,MATCH($A373,PlotNumber,0),MATCH(I$3,PlotTitles,0))),"",(DATEVALUE(INDEX(PlotData,MATCH($A373,PlotNumber,0),MATCH(I$3,PlotTitles,0))&amp;INDEX(PlotData,MATCH($A373,PlotNumber,0),MATCH(J$3,PlotTitles,0))))&lt;DATEVALUE(StartDateMonth&amp;StartDateYear),$AB$15,TRUE,"")</f>
        <v/>
      </c>
      <c r="M373" s="104" t="str" cm="1">
        <f t="array" ref="M373">_xlfn.IFS(OR(ISBLANK(StartDateMonth),ISBLANK(StartDateYear)),"",AND(A373&gt;NumberOfPlots,ISBLANK(INDEX(PlotData,MATCH($A373,PlotNumber,0),MATCH(B$3,PlotTitles,0)))),"",ISBLANK(INDEX(PlotData,MATCH($A373,PlotNumber,0),MATCH(I$3,PlotTitles,0))),"",CompletionMonth="","",(DATEVALUE(INDEX(PlotData,MATCH($A373,PlotNumber,0),MATCH(I$3,PlotTitles,0))&amp;INDEX(PlotData,MATCH($A373,PlotNumber,0),MATCH(J$3,PlotTitles,0))))&gt;(DATEVALUE(CompletionMonth&amp;CompletionYear)),$AB$16,TRUE,"")</f>
        <v/>
      </c>
      <c r="N373" s="104" t="str" cm="1">
        <f t="array" ref="N373">_xlfn.IFS(AND(A373&gt;NumberOfPlots,ISBLANK(INDEX(PlotData,MATCH($A373,PlotNumber,0),MATCH(B$3,PlotTitles,0)))),"",ISBLANK(INDEX(PlotData,MATCH($A373,PlotNumber,0),MATCH(N$3,PlotTitles,0))),$AB$17,TRUE,"")</f>
        <v/>
      </c>
      <c r="O373" s="104" t="str" cm="1">
        <f t="array" ref="O373">_xlfn.IFS(AND(A373&gt;NumberOfPlots,ISBLANK(INDEX(PlotData,MATCH($A373,PlotNumber,0),MATCH(B$3,PlotTitles,0)))),"",ISBLANK(INDEX(PlotData,MATCH($A373,PlotNumber,0),MATCH(O$3,PlotTitles,0))),$AB$18,TRUE,"")</f>
        <v/>
      </c>
      <c r="P373" s="182" t="str">
        <f t="shared" ca="1" si="16"/>
        <v/>
      </c>
      <c r="Q373" s="104" t="str" cm="1">
        <f t="array" ref="Q373">_xlfn.IFS(AND(A373&gt;NumberOfPlots,ISBLANK(INDEX(PlotData,MATCH($A373,PlotNumber,0),MATCH(B$3,PlotTitles,0)))),"",ISBLANK(INDEX(PlotData,MATCH($A373,PlotNumber,0),MATCH(N$3,PlotTitles,0))),"",(DATEVALUE(INDEX(PlotData,MATCH($A373,PlotNumber,0),MATCH(N$3,PlotTitles,0))&amp;INDEX(PlotData,MATCH($A373,PlotNumber,0),MATCH(O$3,PlotTitles,0))))&lt;(DATEVALUE(INDEX(PlotData,MATCH($A373,PlotNumber,0),MATCH(I$3,PlotTitles,0))&amp;INDEX(PlotData,MATCH($A373,PlotNumber,0),MATCH(J$3,PlotTitles,0)))),$AB$20,TRUE,"")</f>
        <v/>
      </c>
      <c r="R373" s="104" t="str" cm="1">
        <f t="array" ref="R373">_xlfn.IFS(OR(ISBLANK(StartDateMonth),ISBLANK(StartDateYear)),"",AND(A373&gt;NumberOfPlots,ISBLANK(INDEX(PlotData,MATCH($A373,PlotNumber,0),MATCH(B$3,PlotTitles,0)))),"",ISBLANK(INDEX(PlotData,MATCH($A373,PlotNumber,0),MATCH(N$3,PlotTitles,0))),"",CompletionMonth="","",(DATEVALUE(INDEX(PlotData,MATCH($A373,PlotNumber,0),MATCH(N$3,PlotTitles,0))&amp;INDEX(PlotData,MATCH($A373,PlotNumber,0),MATCH(O$3,PlotTitles,0))))&gt;(DATEVALUE(CompletionMonth&amp;CompletionYear)),$AB$21,TRUE,"")</f>
        <v/>
      </c>
      <c r="S373" s="104" t="str" cm="1">
        <f t="array" ref="S373">_xlfn.IFS(AND(A373&gt;NumberOfPlots,ISBLANK(INDEX(PlotData,MATCH($A373,PlotNumber,0),MATCH(B$3,PlotTitles,0)))),"",OR(AND(INDEX(PlotData,MATCH($A373,PlotNumber,0),MATCH("Tenure",PlotTitles,0))="Open market housing",INDEX(PlotData,MATCH($A373,PlotNumber,0),MATCH("Tenure detail",PlotTitles,0))="Private rented sector"),INDEX(PlotData,MATCH($A373,PlotNumber,0),MATCH("Tenure",PlotTitles,0))="Affordable rent"),"",ISNUMBER(INDEX(PlotData,MATCH($A373,PlotNumber,0),MATCH(S$3,PlotTitles,0)))=FALSE, $AB$22,TRUE,"")</f>
        <v/>
      </c>
      <c r="T373" s="104" t="str" cm="1">
        <f t="array" ref="T373">_xlfn.IFS(AND(A373&gt;NumberOfPlots,ISBLANK(INDEX(PlotData,MATCH($A373,PlotNumber,0),MATCH(B$3,PlotTitles,0)))),"",OR(AND(INDEX(PlotData,MATCH($A373,PlotNumber,0),MATCH("Tenure",PlotTitles,0))="Open market housing",INDEX(PlotData,MATCH($A373,PlotNumber,0),MATCH("Tenure detail",PlotTitles,0))="Private rented sector"),INDEX(PlotData,MATCH($A373,PlotNumber,0),MATCH("Tenure",PlotTitles,0))="Affordable rent"),"",INDEX(PlotData,MATCH($A373,PlotNumber,0),MATCH(S$3,PlotTitles,0))&lt;10000, $AB$23,TRUE,"")</f>
        <v/>
      </c>
      <c r="U373" s="104" t="str" cm="1">
        <f t="array" ref="U373">_xlfn.IFS(AND(A373&gt;NumberOfPlots,ISBLANK(INDEX(PlotData,MATCH($A373,PlotNumber,0),MATCH(B$3,PlotTitles,0)))),"",NOT(OR(AND(INDEX(PlotData,MATCH($A373,PlotNumber,0),MATCH("Tenure",PlotTitles,0))="Open market housing",INDEX(PlotData,MATCH($A373,PlotNumber,0),MATCH("Tenure detail",PlotTitles,0))="Private rented sector"),INDEX(PlotData,MATCH($A373,PlotNumber,0),MATCH("Tenure",PlotTitles,0))="Affordable rent")),"",NOT(INDEX(PlotData,MATCH($A373,PlotNumber,0),MATCH(S$3,PlotTitles,0))=0), $AB$24,TRUE,"")</f>
        <v/>
      </c>
      <c r="V373" s="114" t="str" cm="1">
        <f t="array" aca="1" ref="V373" ca="1">_xlfn.IFS(ISBLANK(NumberOfPlots),"Enter the number of homes on the 1_SetUp sheet",AND(A373&gt;NumberOfPlots,ISBLANK(INDEX(PlotData,MATCH($A373,PlotNumber,0),MATCH(B$3,PlotTitles,0)))),"No error",NOT(B373=""),B373,NOT(C373=""),C373,NOT(D373=""),D373,NOT(E373=""),E373,NOT(F373=""),F373,NOT(G373=""),G373,NOT(H373=""),H373,NOT(I373=""),I373,NOT(J373=""),J373,NOT(K373=""),K373,NOT(L373=""),L373,NOT(M373=""),M373,NOT(N373=""),N373,NOT(O373=""),O373,NOT(P373=""),P373,NOT(Q373=""),Q373,NOT(R373=""),R373,NOT(S373=""),S373,NOT(T373=""),T373,NOT(U373=""),U373,TRUE,"No error")</f>
        <v>Enter the number of homes on the 1_SetUp sheet</v>
      </c>
      <c r="W373" s="114" t="str">
        <f t="shared" ca="1" si="17"/>
        <v xml:space="preserve">The Borrower has not addressed the following error messages for Home ID 369: </v>
      </c>
    </row>
    <row r="374" spans="1:23">
      <c r="A374" s="123">
        <v>370</v>
      </c>
      <c r="B374" s="104" t="str" cm="1">
        <f t="array" ref="B374">_xlfn.IFS(AND(A374&gt;NumberOfPlots,ISBLANK(INDEX(PlotData,MATCH($A374,PlotNumber,0),MATCH(B$3,PlotTitles,0)))),"",ISNUMBER(INDEX(PlotData,MATCH($A374,PlotNumber,0),MATCH(B$3,PlotTitles,0)))=FALSE, $AB$5,TRUE,"")</f>
        <v/>
      </c>
      <c r="C374" s="104" t="str" cm="1">
        <f t="array" ref="C374">_xlfn.IFS(AND(A374&gt;NumberOfPlots,ISBLANK(INDEX(PlotData,MATCH($A374,PlotNumber,0),MATCH(B$3,PlotTitles,0)))),"",ISBLANK(INDEX(PlotData,MATCH($A374,PlotNumber,0),MATCH(C$3,PlotTitles,0))),$AB$6,TRUE,"")</f>
        <v/>
      </c>
      <c r="D374" s="104" t="str" cm="1">
        <f t="array" ref="D374">_xlfn.IFS(AND(A374&gt;NumberOfPlots,ISBLANK(INDEX(PlotData,MATCH($A374,PlotNumber,0),MATCH(B$3,PlotTitles,0)))),"",ISBLANK(INDEX(PlotData,MATCH($A374,PlotNumber,0),MATCH(D$3,PlotTitles,0))),$AB$7,TRUE,"")</f>
        <v/>
      </c>
      <c r="E374" s="104" t="str" cm="1">
        <f t="array" ref="E374">_xlfn.IFS(AND(A374&gt;NumberOfPlots,ISBLANK(INDEX(PlotData,MATCH($A374,PlotNumber,0),MATCH(B$3,PlotTitles,0)))),"",ISBLANK(INDEX(PlotData,MATCH($A374,PlotNumber,0),MATCH(E$3,PlotTitles,0))),$AB$8,TRUE,"")</f>
        <v/>
      </c>
      <c r="F374" s="104" t="str" cm="1">
        <f t="array" ref="F374">_xlfn.IFS(AND(A374&gt;NumberOfPlots,ISBLANK(INDEX(PlotData,MATCH($A374,PlotNumber,0),MATCH(B$3,PlotTitles,0)))),"",ISBLANK(INDEX(PlotData,MATCH($A374,PlotNumber,0),MATCH(F$3,PlotTitles,0))),$AB$9,TRUE,"")</f>
        <v/>
      </c>
      <c r="G374" s="104" t="str" cm="1">
        <f t="array" ref="G374">_xlfn.IFS(AND(A374&gt;NumberOfPlots,ISBLANK(INDEX(PlotData,MATCH($A374,PlotNumber,0),MATCH(B$3,PlotTitles,0)))),"",ISBLANK(INDEX(PlotData,MATCH($A374,PlotNumber,0),MATCH(G$3,PlotTitles,0))),$AB$10,TRUE,"")</f>
        <v/>
      </c>
      <c r="H374" s="104" t="str" cm="1">
        <f t="array" ref="H374">_xlfn.IFS(AND(A374&gt;NumberOfPlots,ISBLANK(INDEX(PlotData,MATCH($A374,PlotNumber,0),MATCH(B$3,PlotTitles,0)))),"",AND(ISBLANK(INDEX(PlotData,MATCH($A374,PlotNumber,0),MATCH(H$3,PlotTitles,0)))=FALSE,INDEX(PlotData,MATCH($A374,PlotNumber,0),MATCH(H$3,PlotTitles,0))&lt;500), $AB$11,TRUE,"")</f>
        <v/>
      </c>
      <c r="I374" s="104" t="str" cm="1">
        <f t="array" ref="I374">_xlfn.IFS(AND(A374&gt;NumberOfPlots,ISBLANK(INDEX(PlotData,MATCH($A374,PlotNumber,0),MATCH(B$3,PlotTitles,0)))),"",ISBLANK(INDEX(PlotData,MATCH($A374,PlotNumber,0),MATCH(I$3,PlotTitles,0))),$AB$12,TRUE,"")</f>
        <v/>
      </c>
      <c r="J374" s="104" t="str" cm="1">
        <f t="array" ref="J374">_xlfn.IFS(AND(A374&gt;NumberOfPlots,ISBLANK(INDEX(PlotData,MATCH($A374,PlotNumber,0),MATCH(B$3,PlotTitles,0)))),"",ISBLANK(INDEX(PlotData,MATCH($A374,PlotNumber,0),MATCH(J$3,PlotTitles,0))),$AB$13,TRUE,"")</f>
        <v/>
      </c>
      <c r="K374" s="182" t="str">
        <f t="shared" ca="1" si="15"/>
        <v/>
      </c>
      <c r="L374" s="104" t="str" cm="1">
        <f t="array" ref="L374">_xlfn.IFS(OR(ISBLANK(StartDateMonth),ISBLANK(StartDateYear)),"",AND(A374&gt;NumberOfPlots,ISBLANK(INDEX(PlotData,MATCH($A374,PlotNumber,0),MATCH(B$3,PlotTitles,0)))),"",ISBLANK(INDEX(PlotData,MATCH($A374,PlotNumber,0),MATCH(I$3,PlotTitles,0))),"",(DATEVALUE(INDEX(PlotData,MATCH($A374,PlotNumber,0),MATCH(I$3,PlotTitles,0))&amp;INDEX(PlotData,MATCH($A374,PlotNumber,0),MATCH(J$3,PlotTitles,0))))&lt;DATEVALUE(StartDateMonth&amp;StartDateYear),$AB$15,TRUE,"")</f>
        <v/>
      </c>
      <c r="M374" s="104" t="str" cm="1">
        <f t="array" ref="M374">_xlfn.IFS(OR(ISBLANK(StartDateMonth),ISBLANK(StartDateYear)),"",AND(A374&gt;NumberOfPlots,ISBLANK(INDEX(PlotData,MATCH($A374,PlotNumber,0),MATCH(B$3,PlotTitles,0)))),"",ISBLANK(INDEX(PlotData,MATCH($A374,PlotNumber,0),MATCH(I$3,PlotTitles,0))),"",CompletionMonth="","",(DATEVALUE(INDEX(PlotData,MATCH($A374,PlotNumber,0),MATCH(I$3,PlotTitles,0))&amp;INDEX(PlotData,MATCH($A374,PlotNumber,0),MATCH(J$3,PlotTitles,0))))&gt;(DATEVALUE(CompletionMonth&amp;CompletionYear)),$AB$16,TRUE,"")</f>
        <v/>
      </c>
      <c r="N374" s="104" t="str" cm="1">
        <f t="array" ref="N374">_xlfn.IFS(AND(A374&gt;NumberOfPlots,ISBLANK(INDEX(PlotData,MATCH($A374,PlotNumber,0),MATCH(B$3,PlotTitles,0)))),"",ISBLANK(INDEX(PlotData,MATCH($A374,PlotNumber,0),MATCH(N$3,PlotTitles,0))),$AB$17,TRUE,"")</f>
        <v/>
      </c>
      <c r="O374" s="104" t="str" cm="1">
        <f t="array" ref="O374">_xlfn.IFS(AND(A374&gt;NumberOfPlots,ISBLANK(INDEX(PlotData,MATCH($A374,PlotNumber,0),MATCH(B$3,PlotTitles,0)))),"",ISBLANK(INDEX(PlotData,MATCH($A374,PlotNumber,0),MATCH(O$3,PlotTitles,0))),$AB$18,TRUE,"")</f>
        <v/>
      </c>
      <c r="P374" s="182" t="str">
        <f t="shared" ca="1" si="16"/>
        <v/>
      </c>
      <c r="Q374" s="104" t="str" cm="1">
        <f t="array" ref="Q374">_xlfn.IFS(AND(A374&gt;NumberOfPlots,ISBLANK(INDEX(PlotData,MATCH($A374,PlotNumber,0),MATCH(B$3,PlotTitles,0)))),"",ISBLANK(INDEX(PlotData,MATCH($A374,PlotNumber,0),MATCH(N$3,PlotTitles,0))),"",(DATEVALUE(INDEX(PlotData,MATCH($A374,PlotNumber,0),MATCH(N$3,PlotTitles,0))&amp;INDEX(PlotData,MATCH($A374,PlotNumber,0),MATCH(O$3,PlotTitles,0))))&lt;(DATEVALUE(INDEX(PlotData,MATCH($A374,PlotNumber,0),MATCH(I$3,PlotTitles,0))&amp;INDEX(PlotData,MATCH($A374,PlotNumber,0),MATCH(J$3,PlotTitles,0)))),$AB$20,TRUE,"")</f>
        <v/>
      </c>
      <c r="R374" s="104" t="str" cm="1">
        <f t="array" ref="R374">_xlfn.IFS(OR(ISBLANK(StartDateMonth),ISBLANK(StartDateYear)),"",AND(A374&gt;NumberOfPlots,ISBLANK(INDEX(PlotData,MATCH($A374,PlotNumber,0),MATCH(B$3,PlotTitles,0)))),"",ISBLANK(INDEX(PlotData,MATCH($A374,PlotNumber,0),MATCH(N$3,PlotTitles,0))),"",CompletionMonth="","",(DATEVALUE(INDEX(PlotData,MATCH($A374,PlotNumber,0),MATCH(N$3,PlotTitles,0))&amp;INDEX(PlotData,MATCH($A374,PlotNumber,0),MATCH(O$3,PlotTitles,0))))&gt;(DATEVALUE(CompletionMonth&amp;CompletionYear)),$AB$21,TRUE,"")</f>
        <v/>
      </c>
      <c r="S374" s="104" t="str" cm="1">
        <f t="array" ref="S374">_xlfn.IFS(AND(A374&gt;NumberOfPlots,ISBLANK(INDEX(PlotData,MATCH($A374,PlotNumber,0),MATCH(B$3,PlotTitles,0)))),"",OR(AND(INDEX(PlotData,MATCH($A374,PlotNumber,0),MATCH("Tenure",PlotTitles,0))="Open market housing",INDEX(PlotData,MATCH($A374,PlotNumber,0),MATCH("Tenure detail",PlotTitles,0))="Private rented sector"),INDEX(PlotData,MATCH($A374,PlotNumber,0),MATCH("Tenure",PlotTitles,0))="Affordable rent"),"",ISNUMBER(INDEX(PlotData,MATCH($A374,PlotNumber,0),MATCH(S$3,PlotTitles,0)))=FALSE, $AB$22,TRUE,"")</f>
        <v/>
      </c>
      <c r="T374" s="104" t="str" cm="1">
        <f t="array" ref="T374">_xlfn.IFS(AND(A374&gt;NumberOfPlots,ISBLANK(INDEX(PlotData,MATCH($A374,PlotNumber,0),MATCH(B$3,PlotTitles,0)))),"",OR(AND(INDEX(PlotData,MATCH($A374,PlotNumber,0),MATCH("Tenure",PlotTitles,0))="Open market housing",INDEX(PlotData,MATCH($A374,PlotNumber,0),MATCH("Tenure detail",PlotTitles,0))="Private rented sector"),INDEX(PlotData,MATCH($A374,PlotNumber,0),MATCH("Tenure",PlotTitles,0))="Affordable rent"),"",INDEX(PlotData,MATCH($A374,PlotNumber,0),MATCH(S$3,PlotTitles,0))&lt;10000, $AB$23,TRUE,"")</f>
        <v/>
      </c>
      <c r="U374" s="104" t="str" cm="1">
        <f t="array" ref="U374">_xlfn.IFS(AND(A374&gt;NumberOfPlots,ISBLANK(INDEX(PlotData,MATCH($A374,PlotNumber,0),MATCH(B$3,PlotTitles,0)))),"",NOT(OR(AND(INDEX(PlotData,MATCH($A374,PlotNumber,0),MATCH("Tenure",PlotTitles,0))="Open market housing",INDEX(PlotData,MATCH($A374,PlotNumber,0),MATCH("Tenure detail",PlotTitles,0))="Private rented sector"),INDEX(PlotData,MATCH($A374,PlotNumber,0),MATCH("Tenure",PlotTitles,0))="Affordable rent")),"",NOT(INDEX(PlotData,MATCH($A374,PlotNumber,0),MATCH(S$3,PlotTitles,0))=0), $AB$24,TRUE,"")</f>
        <v/>
      </c>
      <c r="V374" s="114" t="str" cm="1">
        <f t="array" aca="1" ref="V374" ca="1">_xlfn.IFS(ISBLANK(NumberOfPlots),"Enter the number of homes on the 1_SetUp sheet",AND(A374&gt;NumberOfPlots,ISBLANK(INDEX(PlotData,MATCH($A374,PlotNumber,0),MATCH(B$3,PlotTitles,0)))),"No error",NOT(B374=""),B374,NOT(C374=""),C374,NOT(D374=""),D374,NOT(E374=""),E374,NOT(F374=""),F374,NOT(G374=""),G374,NOT(H374=""),H374,NOT(I374=""),I374,NOT(J374=""),J374,NOT(K374=""),K374,NOT(L374=""),L374,NOT(M374=""),M374,NOT(N374=""),N374,NOT(O374=""),O374,NOT(P374=""),P374,NOT(Q374=""),Q374,NOT(R374=""),R374,NOT(S374=""),S374,NOT(T374=""),T374,NOT(U374=""),U374,TRUE,"No error")</f>
        <v>Enter the number of homes on the 1_SetUp sheet</v>
      </c>
      <c r="W374" s="114" t="str">
        <f t="shared" ca="1" si="17"/>
        <v xml:space="preserve">The Borrower has not addressed the following error messages for Home ID 370: </v>
      </c>
    </row>
    <row r="375" spans="1:23">
      <c r="A375" s="123">
        <v>371</v>
      </c>
      <c r="B375" s="104" t="str" cm="1">
        <f t="array" ref="B375">_xlfn.IFS(AND(A375&gt;NumberOfPlots,ISBLANK(INDEX(PlotData,MATCH($A375,PlotNumber,0),MATCH(B$3,PlotTitles,0)))),"",ISNUMBER(INDEX(PlotData,MATCH($A375,PlotNumber,0),MATCH(B$3,PlotTitles,0)))=FALSE, $AB$5,TRUE,"")</f>
        <v/>
      </c>
      <c r="C375" s="104" t="str" cm="1">
        <f t="array" ref="C375">_xlfn.IFS(AND(A375&gt;NumberOfPlots,ISBLANK(INDEX(PlotData,MATCH($A375,PlotNumber,0),MATCH(B$3,PlotTitles,0)))),"",ISBLANK(INDEX(PlotData,MATCH($A375,PlotNumber,0),MATCH(C$3,PlotTitles,0))),$AB$6,TRUE,"")</f>
        <v/>
      </c>
      <c r="D375" s="104" t="str" cm="1">
        <f t="array" ref="D375">_xlfn.IFS(AND(A375&gt;NumberOfPlots,ISBLANK(INDEX(PlotData,MATCH($A375,PlotNumber,0),MATCH(B$3,PlotTitles,0)))),"",ISBLANK(INDEX(PlotData,MATCH($A375,PlotNumber,0),MATCH(D$3,PlotTitles,0))),$AB$7,TRUE,"")</f>
        <v/>
      </c>
      <c r="E375" s="104" t="str" cm="1">
        <f t="array" ref="E375">_xlfn.IFS(AND(A375&gt;NumberOfPlots,ISBLANK(INDEX(PlotData,MATCH($A375,PlotNumber,0),MATCH(B$3,PlotTitles,0)))),"",ISBLANK(INDEX(PlotData,MATCH($A375,PlotNumber,0),MATCH(E$3,PlotTitles,0))),$AB$8,TRUE,"")</f>
        <v/>
      </c>
      <c r="F375" s="104" t="str" cm="1">
        <f t="array" ref="F375">_xlfn.IFS(AND(A375&gt;NumberOfPlots,ISBLANK(INDEX(PlotData,MATCH($A375,PlotNumber,0),MATCH(B$3,PlotTitles,0)))),"",ISBLANK(INDEX(PlotData,MATCH($A375,PlotNumber,0),MATCH(F$3,PlotTitles,0))),$AB$9,TRUE,"")</f>
        <v/>
      </c>
      <c r="G375" s="104" t="str" cm="1">
        <f t="array" ref="G375">_xlfn.IFS(AND(A375&gt;NumberOfPlots,ISBLANK(INDEX(PlotData,MATCH($A375,PlotNumber,0),MATCH(B$3,PlotTitles,0)))),"",ISBLANK(INDEX(PlotData,MATCH($A375,PlotNumber,0),MATCH(G$3,PlotTitles,0))),$AB$10,TRUE,"")</f>
        <v/>
      </c>
      <c r="H375" s="104" t="str" cm="1">
        <f t="array" ref="H375">_xlfn.IFS(AND(A375&gt;NumberOfPlots,ISBLANK(INDEX(PlotData,MATCH($A375,PlotNumber,0),MATCH(B$3,PlotTitles,0)))),"",AND(ISBLANK(INDEX(PlotData,MATCH($A375,PlotNumber,0),MATCH(H$3,PlotTitles,0)))=FALSE,INDEX(PlotData,MATCH($A375,PlotNumber,0),MATCH(H$3,PlotTitles,0))&lt;500), $AB$11,TRUE,"")</f>
        <v/>
      </c>
      <c r="I375" s="104" t="str" cm="1">
        <f t="array" ref="I375">_xlfn.IFS(AND(A375&gt;NumberOfPlots,ISBLANK(INDEX(PlotData,MATCH($A375,PlotNumber,0),MATCH(B$3,PlotTitles,0)))),"",ISBLANK(INDEX(PlotData,MATCH($A375,PlotNumber,0),MATCH(I$3,PlotTitles,0))),$AB$12,TRUE,"")</f>
        <v/>
      </c>
      <c r="J375" s="104" t="str" cm="1">
        <f t="array" ref="J375">_xlfn.IFS(AND(A375&gt;NumberOfPlots,ISBLANK(INDEX(PlotData,MATCH($A375,PlotNumber,0),MATCH(B$3,PlotTitles,0)))),"",ISBLANK(INDEX(PlotData,MATCH($A375,PlotNumber,0),MATCH(J$3,PlotTitles,0))),$AB$13,TRUE,"")</f>
        <v/>
      </c>
      <c r="K375" s="182" t="str">
        <f t="shared" ca="1" si="15"/>
        <v/>
      </c>
      <c r="L375" s="104" t="str" cm="1">
        <f t="array" ref="L375">_xlfn.IFS(OR(ISBLANK(StartDateMonth),ISBLANK(StartDateYear)),"",AND(A375&gt;NumberOfPlots,ISBLANK(INDEX(PlotData,MATCH($A375,PlotNumber,0),MATCH(B$3,PlotTitles,0)))),"",ISBLANK(INDEX(PlotData,MATCH($A375,PlotNumber,0),MATCH(I$3,PlotTitles,0))),"",(DATEVALUE(INDEX(PlotData,MATCH($A375,PlotNumber,0),MATCH(I$3,PlotTitles,0))&amp;INDEX(PlotData,MATCH($A375,PlotNumber,0),MATCH(J$3,PlotTitles,0))))&lt;DATEVALUE(StartDateMonth&amp;StartDateYear),$AB$15,TRUE,"")</f>
        <v/>
      </c>
      <c r="M375" s="104" t="str" cm="1">
        <f t="array" ref="M375">_xlfn.IFS(OR(ISBLANK(StartDateMonth),ISBLANK(StartDateYear)),"",AND(A375&gt;NumberOfPlots,ISBLANK(INDEX(PlotData,MATCH($A375,PlotNumber,0),MATCH(B$3,PlotTitles,0)))),"",ISBLANK(INDEX(PlotData,MATCH($A375,PlotNumber,0),MATCH(I$3,PlotTitles,0))),"",CompletionMonth="","",(DATEVALUE(INDEX(PlotData,MATCH($A375,PlotNumber,0),MATCH(I$3,PlotTitles,0))&amp;INDEX(PlotData,MATCH($A375,PlotNumber,0),MATCH(J$3,PlotTitles,0))))&gt;(DATEVALUE(CompletionMonth&amp;CompletionYear)),$AB$16,TRUE,"")</f>
        <v/>
      </c>
      <c r="N375" s="104" t="str" cm="1">
        <f t="array" ref="N375">_xlfn.IFS(AND(A375&gt;NumberOfPlots,ISBLANK(INDEX(PlotData,MATCH($A375,PlotNumber,0),MATCH(B$3,PlotTitles,0)))),"",ISBLANK(INDEX(PlotData,MATCH($A375,PlotNumber,0),MATCH(N$3,PlotTitles,0))),$AB$17,TRUE,"")</f>
        <v/>
      </c>
      <c r="O375" s="104" t="str" cm="1">
        <f t="array" ref="O375">_xlfn.IFS(AND(A375&gt;NumberOfPlots,ISBLANK(INDEX(PlotData,MATCH($A375,PlotNumber,0),MATCH(B$3,PlotTitles,0)))),"",ISBLANK(INDEX(PlotData,MATCH($A375,PlotNumber,0),MATCH(O$3,PlotTitles,0))),$AB$18,TRUE,"")</f>
        <v/>
      </c>
      <c r="P375" s="182" t="str">
        <f t="shared" ca="1" si="16"/>
        <v/>
      </c>
      <c r="Q375" s="104" t="str" cm="1">
        <f t="array" ref="Q375">_xlfn.IFS(AND(A375&gt;NumberOfPlots,ISBLANK(INDEX(PlotData,MATCH($A375,PlotNumber,0),MATCH(B$3,PlotTitles,0)))),"",ISBLANK(INDEX(PlotData,MATCH($A375,PlotNumber,0),MATCH(N$3,PlotTitles,0))),"",(DATEVALUE(INDEX(PlotData,MATCH($A375,PlotNumber,0),MATCH(N$3,PlotTitles,0))&amp;INDEX(PlotData,MATCH($A375,PlotNumber,0),MATCH(O$3,PlotTitles,0))))&lt;(DATEVALUE(INDEX(PlotData,MATCH($A375,PlotNumber,0),MATCH(I$3,PlotTitles,0))&amp;INDEX(PlotData,MATCH($A375,PlotNumber,0),MATCH(J$3,PlotTitles,0)))),$AB$20,TRUE,"")</f>
        <v/>
      </c>
      <c r="R375" s="104" t="str" cm="1">
        <f t="array" ref="R375">_xlfn.IFS(OR(ISBLANK(StartDateMonth),ISBLANK(StartDateYear)),"",AND(A375&gt;NumberOfPlots,ISBLANK(INDEX(PlotData,MATCH($A375,PlotNumber,0),MATCH(B$3,PlotTitles,0)))),"",ISBLANK(INDEX(PlotData,MATCH($A375,PlotNumber,0),MATCH(N$3,PlotTitles,0))),"",CompletionMonth="","",(DATEVALUE(INDEX(PlotData,MATCH($A375,PlotNumber,0),MATCH(N$3,PlotTitles,0))&amp;INDEX(PlotData,MATCH($A375,PlotNumber,0),MATCH(O$3,PlotTitles,0))))&gt;(DATEVALUE(CompletionMonth&amp;CompletionYear)),$AB$21,TRUE,"")</f>
        <v/>
      </c>
      <c r="S375" s="104" t="str" cm="1">
        <f t="array" ref="S375">_xlfn.IFS(AND(A375&gt;NumberOfPlots,ISBLANK(INDEX(PlotData,MATCH($A375,PlotNumber,0),MATCH(B$3,PlotTitles,0)))),"",OR(AND(INDEX(PlotData,MATCH($A375,PlotNumber,0),MATCH("Tenure",PlotTitles,0))="Open market housing",INDEX(PlotData,MATCH($A375,PlotNumber,0),MATCH("Tenure detail",PlotTitles,0))="Private rented sector"),INDEX(PlotData,MATCH($A375,PlotNumber,0),MATCH("Tenure",PlotTitles,0))="Affordable rent"),"",ISNUMBER(INDEX(PlotData,MATCH($A375,PlotNumber,0),MATCH(S$3,PlotTitles,0)))=FALSE, $AB$22,TRUE,"")</f>
        <v/>
      </c>
      <c r="T375" s="104" t="str" cm="1">
        <f t="array" ref="T375">_xlfn.IFS(AND(A375&gt;NumberOfPlots,ISBLANK(INDEX(PlotData,MATCH($A375,PlotNumber,0),MATCH(B$3,PlotTitles,0)))),"",OR(AND(INDEX(PlotData,MATCH($A375,PlotNumber,0),MATCH("Tenure",PlotTitles,0))="Open market housing",INDEX(PlotData,MATCH($A375,PlotNumber,0),MATCH("Tenure detail",PlotTitles,0))="Private rented sector"),INDEX(PlotData,MATCH($A375,PlotNumber,0),MATCH("Tenure",PlotTitles,0))="Affordable rent"),"",INDEX(PlotData,MATCH($A375,PlotNumber,0),MATCH(S$3,PlotTitles,0))&lt;10000, $AB$23,TRUE,"")</f>
        <v/>
      </c>
      <c r="U375" s="104" t="str" cm="1">
        <f t="array" ref="U375">_xlfn.IFS(AND(A375&gt;NumberOfPlots,ISBLANK(INDEX(PlotData,MATCH($A375,PlotNumber,0),MATCH(B$3,PlotTitles,0)))),"",NOT(OR(AND(INDEX(PlotData,MATCH($A375,PlotNumber,0),MATCH("Tenure",PlotTitles,0))="Open market housing",INDEX(PlotData,MATCH($A375,PlotNumber,0),MATCH("Tenure detail",PlotTitles,0))="Private rented sector"),INDEX(PlotData,MATCH($A375,PlotNumber,0),MATCH("Tenure",PlotTitles,0))="Affordable rent")),"",NOT(INDEX(PlotData,MATCH($A375,PlotNumber,0),MATCH(S$3,PlotTitles,0))=0), $AB$24,TRUE,"")</f>
        <v/>
      </c>
      <c r="V375" s="114" t="str" cm="1">
        <f t="array" aca="1" ref="V375" ca="1">_xlfn.IFS(ISBLANK(NumberOfPlots),"Enter the number of homes on the 1_SetUp sheet",AND(A375&gt;NumberOfPlots,ISBLANK(INDEX(PlotData,MATCH($A375,PlotNumber,0),MATCH(B$3,PlotTitles,0)))),"No error",NOT(B375=""),B375,NOT(C375=""),C375,NOT(D375=""),D375,NOT(E375=""),E375,NOT(F375=""),F375,NOT(G375=""),G375,NOT(H375=""),H375,NOT(I375=""),I375,NOT(J375=""),J375,NOT(K375=""),K375,NOT(L375=""),L375,NOT(M375=""),M375,NOT(N375=""),N375,NOT(O375=""),O375,NOT(P375=""),P375,NOT(Q375=""),Q375,NOT(R375=""),R375,NOT(S375=""),S375,NOT(T375=""),T375,NOT(U375=""),U375,TRUE,"No error")</f>
        <v>Enter the number of homes on the 1_SetUp sheet</v>
      </c>
      <c r="W375" s="114" t="str">
        <f t="shared" ca="1" si="17"/>
        <v xml:space="preserve">The Borrower has not addressed the following error messages for Home ID 371: </v>
      </c>
    </row>
    <row r="376" spans="1:23">
      <c r="A376" s="123">
        <v>372</v>
      </c>
      <c r="B376" s="104" t="str" cm="1">
        <f t="array" ref="B376">_xlfn.IFS(AND(A376&gt;NumberOfPlots,ISBLANK(INDEX(PlotData,MATCH($A376,PlotNumber,0),MATCH(B$3,PlotTitles,0)))),"",ISNUMBER(INDEX(PlotData,MATCH($A376,PlotNumber,0),MATCH(B$3,PlotTitles,0)))=FALSE, $AB$5,TRUE,"")</f>
        <v/>
      </c>
      <c r="C376" s="104" t="str" cm="1">
        <f t="array" ref="C376">_xlfn.IFS(AND(A376&gt;NumberOfPlots,ISBLANK(INDEX(PlotData,MATCH($A376,PlotNumber,0),MATCH(B$3,PlotTitles,0)))),"",ISBLANK(INDEX(PlotData,MATCH($A376,PlotNumber,0),MATCH(C$3,PlotTitles,0))),$AB$6,TRUE,"")</f>
        <v/>
      </c>
      <c r="D376" s="104" t="str" cm="1">
        <f t="array" ref="D376">_xlfn.IFS(AND(A376&gt;NumberOfPlots,ISBLANK(INDEX(PlotData,MATCH($A376,PlotNumber,0),MATCH(B$3,PlotTitles,0)))),"",ISBLANK(INDEX(PlotData,MATCH($A376,PlotNumber,0),MATCH(D$3,PlotTitles,0))),$AB$7,TRUE,"")</f>
        <v/>
      </c>
      <c r="E376" s="104" t="str" cm="1">
        <f t="array" ref="E376">_xlfn.IFS(AND(A376&gt;NumberOfPlots,ISBLANK(INDEX(PlotData,MATCH($A376,PlotNumber,0),MATCH(B$3,PlotTitles,0)))),"",ISBLANK(INDEX(PlotData,MATCH($A376,PlotNumber,0),MATCH(E$3,PlotTitles,0))),$AB$8,TRUE,"")</f>
        <v/>
      </c>
      <c r="F376" s="104" t="str" cm="1">
        <f t="array" ref="F376">_xlfn.IFS(AND(A376&gt;NumberOfPlots,ISBLANK(INDEX(PlotData,MATCH($A376,PlotNumber,0),MATCH(B$3,PlotTitles,0)))),"",ISBLANK(INDEX(PlotData,MATCH($A376,PlotNumber,0),MATCH(F$3,PlotTitles,0))),$AB$9,TRUE,"")</f>
        <v/>
      </c>
      <c r="G376" s="104" t="str" cm="1">
        <f t="array" ref="G376">_xlfn.IFS(AND(A376&gt;NumberOfPlots,ISBLANK(INDEX(PlotData,MATCH($A376,PlotNumber,0),MATCH(B$3,PlotTitles,0)))),"",ISBLANK(INDEX(PlotData,MATCH($A376,PlotNumber,0),MATCH(G$3,PlotTitles,0))),$AB$10,TRUE,"")</f>
        <v/>
      </c>
      <c r="H376" s="104" t="str" cm="1">
        <f t="array" ref="H376">_xlfn.IFS(AND(A376&gt;NumberOfPlots,ISBLANK(INDEX(PlotData,MATCH($A376,PlotNumber,0),MATCH(B$3,PlotTitles,0)))),"",AND(ISBLANK(INDEX(PlotData,MATCH($A376,PlotNumber,0),MATCH(H$3,PlotTitles,0)))=FALSE,INDEX(PlotData,MATCH($A376,PlotNumber,0),MATCH(H$3,PlotTitles,0))&lt;500), $AB$11,TRUE,"")</f>
        <v/>
      </c>
      <c r="I376" s="104" t="str" cm="1">
        <f t="array" ref="I376">_xlfn.IFS(AND(A376&gt;NumberOfPlots,ISBLANK(INDEX(PlotData,MATCH($A376,PlotNumber,0),MATCH(B$3,PlotTitles,0)))),"",ISBLANK(INDEX(PlotData,MATCH($A376,PlotNumber,0),MATCH(I$3,PlotTitles,0))),$AB$12,TRUE,"")</f>
        <v/>
      </c>
      <c r="J376" s="104" t="str" cm="1">
        <f t="array" ref="J376">_xlfn.IFS(AND(A376&gt;NumberOfPlots,ISBLANK(INDEX(PlotData,MATCH($A376,PlotNumber,0),MATCH(B$3,PlotTitles,0)))),"",ISBLANK(INDEX(PlotData,MATCH($A376,PlotNumber,0),MATCH(J$3,PlotTitles,0))),$AB$13,TRUE,"")</f>
        <v/>
      </c>
      <c r="K376" s="182" t="str">
        <f t="shared" ca="1" si="15"/>
        <v/>
      </c>
      <c r="L376" s="104" t="str" cm="1">
        <f t="array" ref="L376">_xlfn.IFS(OR(ISBLANK(StartDateMonth),ISBLANK(StartDateYear)),"",AND(A376&gt;NumberOfPlots,ISBLANK(INDEX(PlotData,MATCH($A376,PlotNumber,0),MATCH(B$3,PlotTitles,0)))),"",ISBLANK(INDEX(PlotData,MATCH($A376,PlotNumber,0),MATCH(I$3,PlotTitles,0))),"",(DATEVALUE(INDEX(PlotData,MATCH($A376,PlotNumber,0),MATCH(I$3,PlotTitles,0))&amp;INDEX(PlotData,MATCH($A376,PlotNumber,0),MATCH(J$3,PlotTitles,0))))&lt;DATEVALUE(StartDateMonth&amp;StartDateYear),$AB$15,TRUE,"")</f>
        <v/>
      </c>
      <c r="M376" s="104" t="str" cm="1">
        <f t="array" ref="M376">_xlfn.IFS(OR(ISBLANK(StartDateMonth),ISBLANK(StartDateYear)),"",AND(A376&gt;NumberOfPlots,ISBLANK(INDEX(PlotData,MATCH($A376,PlotNumber,0),MATCH(B$3,PlotTitles,0)))),"",ISBLANK(INDEX(PlotData,MATCH($A376,PlotNumber,0),MATCH(I$3,PlotTitles,0))),"",CompletionMonth="","",(DATEVALUE(INDEX(PlotData,MATCH($A376,PlotNumber,0),MATCH(I$3,PlotTitles,0))&amp;INDEX(PlotData,MATCH($A376,PlotNumber,0),MATCH(J$3,PlotTitles,0))))&gt;(DATEVALUE(CompletionMonth&amp;CompletionYear)),$AB$16,TRUE,"")</f>
        <v/>
      </c>
      <c r="N376" s="104" t="str" cm="1">
        <f t="array" ref="N376">_xlfn.IFS(AND(A376&gt;NumberOfPlots,ISBLANK(INDEX(PlotData,MATCH($A376,PlotNumber,0),MATCH(B$3,PlotTitles,0)))),"",ISBLANK(INDEX(PlotData,MATCH($A376,PlotNumber,0),MATCH(N$3,PlotTitles,0))),$AB$17,TRUE,"")</f>
        <v/>
      </c>
      <c r="O376" s="104" t="str" cm="1">
        <f t="array" ref="O376">_xlfn.IFS(AND(A376&gt;NumberOfPlots,ISBLANK(INDEX(PlotData,MATCH($A376,PlotNumber,0),MATCH(B$3,PlotTitles,0)))),"",ISBLANK(INDEX(PlotData,MATCH($A376,PlotNumber,0),MATCH(O$3,PlotTitles,0))),$AB$18,TRUE,"")</f>
        <v/>
      </c>
      <c r="P376" s="182" t="str">
        <f t="shared" ca="1" si="16"/>
        <v/>
      </c>
      <c r="Q376" s="104" t="str" cm="1">
        <f t="array" ref="Q376">_xlfn.IFS(AND(A376&gt;NumberOfPlots,ISBLANK(INDEX(PlotData,MATCH($A376,PlotNumber,0),MATCH(B$3,PlotTitles,0)))),"",ISBLANK(INDEX(PlotData,MATCH($A376,PlotNumber,0),MATCH(N$3,PlotTitles,0))),"",(DATEVALUE(INDEX(PlotData,MATCH($A376,PlotNumber,0),MATCH(N$3,PlotTitles,0))&amp;INDEX(PlotData,MATCH($A376,PlotNumber,0),MATCH(O$3,PlotTitles,0))))&lt;(DATEVALUE(INDEX(PlotData,MATCH($A376,PlotNumber,0),MATCH(I$3,PlotTitles,0))&amp;INDEX(PlotData,MATCH($A376,PlotNumber,0),MATCH(J$3,PlotTitles,0)))),$AB$20,TRUE,"")</f>
        <v/>
      </c>
      <c r="R376" s="104" t="str" cm="1">
        <f t="array" ref="R376">_xlfn.IFS(OR(ISBLANK(StartDateMonth),ISBLANK(StartDateYear)),"",AND(A376&gt;NumberOfPlots,ISBLANK(INDEX(PlotData,MATCH($A376,PlotNumber,0),MATCH(B$3,PlotTitles,0)))),"",ISBLANK(INDEX(PlotData,MATCH($A376,PlotNumber,0),MATCH(N$3,PlotTitles,0))),"",CompletionMonth="","",(DATEVALUE(INDEX(PlotData,MATCH($A376,PlotNumber,0),MATCH(N$3,PlotTitles,0))&amp;INDEX(PlotData,MATCH($A376,PlotNumber,0),MATCH(O$3,PlotTitles,0))))&gt;(DATEVALUE(CompletionMonth&amp;CompletionYear)),$AB$21,TRUE,"")</f>
        <v/>
      </c>
      <c r="S376" s="104" t="str" cm="1">
        <f t="array" ref="S376">_xlfn.IFS(AND(A376&gt;NumberOfPlots,ISBLANK(INDEX(PlotData,MATCH($A376,PlotNumber,0),MATCH(B$3,PlotTitles,0)))),"",OR(AND(INDEX(PlotData,MATCH($A376,PlotNumber,0),MATCH("Tenure",PlotTitles,0))="Open market housing",INDEX(PlotData,MATCH($A376,PlotNumber,0),MATCH("Tenure detail",PlotTitles,0))="Private rented sector"),INDEX(PlotData,MATCH($A376,PlotNumber,0),MATCH("Tenure",PlotTitles,0))="Affordable rent"),"",ISNUMBER(INDEX(PlotData,MATCH($A376,PlotNumber,0),MATCH(S$3,PlotTitles,0)))=FALSE, $AB$22,TRUE,"")</f>
        <v/>
      </c>
      <c r="T376" s="104" t="str" cm="1">
        <f t="array" ref="T376">_xlfn.IFS(AND(A376&gt;NumberOfPlots,ISBLANK(INDEX(PlotData,MATCH($A376,PlotNumber,0),MATCH(B$3,PlotTitles,0)))),"",OR(AND(INDEX(PlotData,MATCH($A376,PlotNumber,0),MATCH("Tenure",PlotTitles,0))="Open market housing",INDEX(PlotData,MATCH($A376,PlotNumber,0),MATCH("Tenure detail",PlotTitles,0))="Private rented sector"),INDEX(PlotData,MATCH($A376,PlotNumber,0),MATCH("Tenure",PlotTitles,0))="Affordable rent"),"",INDEX(PlotData,MATCH($A376,PlotNumber,0),MATCH(S$3,PlotTitles,0))&lt;10000, $AB$23,TRUE,"")</f>
        <v/>
      </c>
      <c r="U376" s="104" t="str" cm="1">
        <f t="array" ref="U376">_xlfn.IFS(AND(A376&gt;NumberOfPlots,ISBLANK(INDEX(PlotData,MATCH($A376,PlotNumber,0),MATCH(B$3,PlotTitles,0)))),"",NOT(OR(AND(INDEX(PlotData,MATCH($A376,PlotNumber,0),MATCH("Tenure",PlotTitles,0))="Open market housing",INDEX(PlotData,MATCH($A376,PlotNumber,0),MATCH("Tenure detail",PlotTitles,0))="Private rented sector"),INDEX(PlotData,MATCH($A376,PlotNumber,0),MATCH("Tenure",PlotTitles,0))="Affordable rent")),"",NOT(INDEX(PlotData,MATCH($A376,PlotNumber,0),MATCH(S$3,PlotTitles,0))=0), $AB$24,TRUE,"")</f>
        <v/>
      </c>
      <c r="V376" s="114" t="str" cm="1">
        <f t="array" aca="1" ref="V376" ca="1">_xlfn.IFS(ISBLANK(NumberOfPlots),"Enter the number of homes on the 1_SetUp sheet",AND(A376&gt;NumberOfPlots,ISBLANK(INDEX(PlotData,MATCH($A376,PlotNumber,0),MATCH(B$3,PlotTitles,0)))),"No error",NOT(B376=""),B376,NOT(C376=""),C376,NOT(D376=""),D376,NOT(E376=""),E376,NOT(F376=""),F376,NOT(G376=""),G376,NOT(H376=""),H376,NOT(I376=""),I376,NOT(J376=""),J376,NOT(K376=""),K376,NOT(L376=""),L376,NOT(M376=""),M376,NOT(N376=""),N376,NOT(O376=""),O376,NOT(P376=""),P376,NOT(Q376=""),Q376,NOT(R376=""),R376,NOT(S376=""),S376,NOT(T376=""),T376,NOT(U376=""),U376,TRUE,"No error")</f>
        <v>Enter the number of homes on the 1_SetUp sheet</v>
      </c>
      <c r="W376" s="114" t="str">
        <f t="shared" ca="1" si="17"/>
        <v xml:space="preserve">The Borrower has not addressed the following error messages for Home ID 372: </v>
      </c>
    </row>
    <row r="377" spans="1:23">
      <c r="A377" s="123">
        <v>373</v>
      </c>
      <c r="B377" s="104" t="str" cm="1">
        <f t="array" ref="B377">_xlfn.IFS(AND(A377&gt;NumberOfPlots,ISBLANK(INDEX(PlotData,MATCH($A377,PlotNumber,0),MATCH(B$3,PlotTitles,0)))),"",ISNUMBER(INDEX(PlotData,MATCH($A377,PlotNumber,0),MATCH(B$3,PlotTitles,0)))=FALSE, $AB$5,TRUE,"")</f>
        <v/>
      </c>
      <c r="C377" s="104" t="str" cm="1">
        <f t="array" ref="C377">_xlfn.IFS(AND(A377&gt;NumberOfPlots,ISBLANK(INDEX(PlotData,MATCH($A377,PlotNumber,0),MATCH(B$3,PlotTitles,0)))),"",ISBLANK(INDEX(PlotData,MATCH($A377,PlotNumber,0),MATCH(C$3,PlotTitles,0))),$AB$6,TRUE,"")</f>
        <v/>
      </c>
      <c r="D377" s="104" t="str" cm="1">
        <f t="array" ref="D377">_xlfn.IFS(AND(A377&gt;NumberOfPlots,ISBLANK(INDEX(PlotData,MATCH($A377,PlotNumber,0),MATCH(B$3,PlotTitles,0)))),"",ISBLANK(INDEX(PlotData,MATCH($A377,PlotNumber,0),MATCH(D$3,PlotTitles,0))),$AB$7,TRUE,"")</f>
        <v/>
      </c>
      <c r="E377" s="104" t="str" cm="1">
        <f t="array" ref="E377">_xlfn.IFS(AND(A377&gt;NumberOfPlots,ISBLANK(INDEX(PlotData,MATCH($A377,PlotNumber,0),MATCH(B$3,PlotTitles,0)))),"",ISBLANK(INDEX(PlotData,MATCH($A377,PlotNumber,0),MATCH(E$3,PlotTitles,0))),$AB$8,TRUE,"")</f>
        <v/>
      </c>
      <c r="F377" s="104" t="str" cm="1">
        <f t="array" ref="F377">_xlfn.IFS(AND(A377&gt;NumberOfPlots,ISBLANK(INDEX(PlotData,MATCH($A377,PlotNumber,0),MATCH(B$3,PlotTitles,0)))),"",ISBLANK(INDEX(PlotData,MATCH($A377,PlotNumber,0),MATCH(F$3,PlotTitles,0))),$AB$9,TRUE,"")</f>
        <v/>
      </c>
      <c r="G377" s="104" t="str" cm="1">
        <f t="array" ref="G377">_xlfn.IFS(AND(A377&gt;NumberOfPlots,ISBLANK(INDEX(PlotData,MATCH($A377,PlotNumber,0),MATCH(B$3,PlotTitles,0)))),"",ISBLANK(INDEX(PlotData,MATCH($A377,PlotNumber,0),MATCH(G$3,PlotTitles,0))),$AB$10,TRUE,"")</f>
        <v/>
      </c>
      <c r="H377" s="104" t="str" cm="1">
        <f t="array" ref="H377">_xlfn.IFS(AND(A377&gt;NumberOfPlots,ISBLANK(INDEX(PlotData,MATCH($A377,PlotNumber,0),MATCH(B$3,PlotTitles,0)))),"",AND(ISBLANK(INDEX(PlotData,MATCH($A377,PlotNumber,0),MATCH(H$3,PlotTitles,0)))=FALSE,INDEX(PlotData,MATCH($A377,PlotNumber,0),MATCH(H$3,PlotTitles,0))&lt;500), $AB$11,TRUE,"")</f>
        <v/>
      </c>
      <c r="I377" s="104" t="str" cm="1">
        <f t="array" ref="I377">_xlfn.IFS(AND(A377&gt;NumberOfPlots,ISBLANK(INDEX(PlotData,MATCH($A377,PlotNumber,0),MATCH(B$3,PlotTitles,0)))),"",ISBLANK(INDEX(PlotData,MATCH($A377,PlotNumber,0),MATCH(I$3,PlotTitles,0))),$AB$12,TRUE,"")</f>
        <v/>
      </c>
      <c r="J377" s="104" t="str" cm="1">
        <f t="array" ref="J377">_xlfn.IFS(AND(A377&gt;NumberOfPlots,ISBLANK(INDEX(PlotData,MATCH($A377,PlotNumber,0),MATCH(B$3,PlotTitles,0)))),"",ISBLANK(INDEX(PlotData,MATCH($A377,PlotNumber,0),MATCH(J$3,PlotTitles,0))),$AB$13,TRUE,"")</f>
        <v/>
      </c>
      <c r="K377" s="182" t="str">
        <f t="shared" ca="1" si="15"/>
        <v/>
      </c>
      <c r="L377" s="104" t="str" cm="1">
        <f t="array" ref="L377">_xlfn.IFS(OR(ISBLANK(StartDateMonth),ISBLANK(StartDateYear)),"",AND(A377&gt;NumberOfPlots,ISBLANK(INDEX(PlotData,MATCH($A377,PlotNumber,0),MATCH(B$3,PlotTitles,0)))),"",ISBLANK(INDEX(PlotData,MATCH($A377,PlotNumber,0),MATCH(I$3,PlotTitles,0))),"",(DATEVALUE(INDEX(PlotData,MATCH($A377,PlotNumber,0),MATCH(I$3,PlotTitles,0))&amp;INDEX(PlotData,MATCH($A377,PlotNumber,0),MATCH(J$3,PlotTitles,0))))&lt;DATEVALUE(StartDateMonth&amp;StartDateYear),$AB$15,TRUE,"")</f>
        <v/>
      </c>
      <c r="M377" s="104" t="str" cm="1">
        <f t="array" ref="M377">_xlfn.IFS(OR(ISBLANK(StartDateMonth),ISBLANK(StartDateYear)),"",AND(A377&gt;NumberOfPlots,ISBLANK(INDEX(PlotData,MATCH($A377,PlotNumber,0),MATCH(B$3,PlotTitles,0)))),"",ISBLANK(INDEX(PlotData,MATCH($A377,PlotNumber,0),MATCH(I$3,PlotTitles,0))),"",CompletionMonth="","",(DATEVALUE(INDEX(PlotData,MATCH($A377,PlotNumber,0),MATCH(I$3,PlotTitles,0))&amp;INDEX(PlotData,MATCH($A377,PlotNumber,0),MATCH(J$3,PlotTitles,0))))&gt;(DATEVALUE(CompletionMonth&amp;CompletionYear)),$AB$16,TRUE,"")</f>
        <v/>
      </c>
      <c r="N377" s="104" t="str" cm="1">
        <f t="array" ref="N377">_xlfn.IFS(AND(A377&gt;NumberOfPlots,ISBLANK(INDEX(PlotData,MATCH($A377,PlotNumber,0),MATCH(B$3,PlotTitles,0)))),"",ISBLANK(INDEX(PlotData,MATCH($A377,PlotNumber,0),MATCH(N$3,PlotTitles,0))),$AB$17,TRUE,"")</f>
        <v/>
      </c>
      <c r="O377" s="104" t="str" cm="1">
        <f t="array" ref="O377">_xlfn.IFS(AND(A377&gt;NumberOfPlots,ISBLANK(INDEX(PlotData,MATCH($A377,PlotNumber,0),MATCH(B$3,PlotTitles,0)))),"",ISBLANK(INDEX(PlotData,MATCH($A377,PlotNumber,0),MATCH(O$3,PlotTitles,0))),$AB$18,TRUE,"")</f>
        <v/>
      </c>
      <c r="P377" s="182" t="str">
        <f t="shared" ca="1" si="16"/>
        <v/>
      </c>
      <c r="Q377" s="104" t="str" cm="1">
        <f t="array" ref="Q377">_xlfn.IFS(AND(A377&gt;NumberOfPlots,ISBLANK(INDEX(PlotData,MATCH($A377,PlotNumber,0),MATCH(B$3,PlotTitles,0)))),"",ISBLANK(INDEX(PlotData,MATCH($A377,PlotNumber,0),MATCH(N$3,PlotTitles,0))),"",(DATEVALUE(INDEX(PlotData,MATCH($A377,PlotNumber,0),MATCH(N$3,PlotTitles,0))&amp;INDEX(PlotData,MATCH($A377,PlotNumber,0),MATCH(O$3,PlotTitles,0))))&lt;(DATEVALUE(INDEX(PlotData,MATCH($A377,PlotNumber,0),MATCH(I$3,PlotTitles,0))&amp;INDEX(PlotData,MATCH($A377,PlotNumber,0),MATCH(J$3,PlotTitles,0)))),$AB$20,TRUE,"")</f>
        <v/>
      </c>
      <c r="R377" s="104" t="str" cm="1">
        <f t="array" ref="R377">_xlfn.IFS(OR(ISBLANK(StartDateMonth),ISBLANK(StartDateYear)),"",AND(A377&gt;NumberOfPlots,ISBLANK(INDEX(PlotData,MATCH($A377,PlotNumber,0),MATCH(B$3,PlotTitles,0)))),"",ISBLANK(INDEX(PlotData,MATCH($A377,PlotNumber,0),MATCH(N$3,PlotTitles,0))),"",CompletionMonth="","",(DATEVALUE(INDEX(PlotData,MATCH($A377,PlotNumber,0),MATCH(N$3,PlotTitles,0))&amp;INDEX(PlotData,MATCH($A377,PlotNumber,0),MATCH(O$3,PlotTitles,0))))&gt;(DATEVALUE(CompletionMonth&amp;CompletionYear)),$AB$21,TRUE,"")</f>
        <v/>
      </c>
      <c r="S377" s="104" t="str" cm="1">
        <f t="array" ref="S377">_xlfn.IFS(AND(A377&gt;NumberOfPlots,ISBLANK(INDEX(PlotData,MATCH($A377,PlotNumber,0),MATCH(B$3,PlotTitles,0)))),"",OR(AND(INDEX(PlotData,MATCH($A377,PlotNumber,0),MATCH("Tenure",PlotTitles,0))="Open market housing",INDEX(PlotData,MATCH($A377,PlotNumber,0),MATCH("Tenure detail",PlotTitles,0))="Private rented sector"),INDEX(PlotData,MATCH($A377,PlotNumber,0),MATCH("Tenure",PlotTitles,0))="Affordable rent"),"",ISNUMBER(INDEX(PlotData,MATCH($A377,PlotNumber,0),MATCH(S$3,PlotTitles,0)))=FALSE, $AB$22,TRUE,"")</f>
        <v/>
      </c>
      <c r="T377" s="104" t="str" cm="1">
        <f t="array" ref="T377">_xlfn.IFS(AND(A377&gt;NumberOfPlots,ISBLANK(INDEX(PlotData,MATCH($A377,PlotNumber,0),MATCH(B$3,PlotTitles,0)))),"",OR(AND(INDEX(PlotData,MATCH($A377,PlotNumber,0),MATCH("Tenure",PlotTitles,0))="Open market housing",INDEX(PlotData,MATCH($A377,PlotNumber,0),MATCH("Tenure detail",PlotTitles,0))="Private rented sector"),INDEX(PlotData,MATCH($A377,PlotNumber,0),MATCH("Tenure",PlotTitles,0))="Affordable rent"),"",INDEX(PlotData,MATCH($A377,PlotNumber,0),MATCH(S$3,PlotTitles,0))&lt;10000, $AB$23,TRUE,"")</f>
        <v/>
      </c>
      <c r="U377" s="104" t="str" cm="1">
        <f t="array" ref="U377">_xlfn.IFS(AND(A377&gt;NumberOfPlots,ISBLANK(INDEX(PlotData,MATCH($A377,PlotNumber,0),MATCH(B$3,PlotTitles,0)))),"",NOT(OR(AND(INDEX(PlotData,MATCH($A377,PlotNumber,0),MATCH("Tenure",PlotTitles,0))="Open market housing",INDEX(PlotData,MATCH($A377,PlotNumber,0),MATCH("Tenure detail",PlotTitles,0))="Private rented sector"),INDEX(PlotData,MATCH($A377,PlotNumber,0),MATCH("Tenure",PlotTitles,0))="Affordable rent")),"",NOT(INDEX(PlotData,MATCH($A377,PlotNumber,0),MATCH(S$3,PlotTitles,0))=0), $AB$24,TRUE,"")</f>
        <v/>
      </c>
      <c r="V377" s="114" t="str" cm="1">
        <f t="array" aca="1" ref="V377" ca="1">_xlfn.IFS(ISBLANK(NumberOfPlots),"Enter the number of homes on the 1_SetUp sheet",AND(A377&gt;NumberOfPlots,ISBLANK(INDEX(PlotData,MATCH($A377,PlotNumber,0),MATCH(B$3,PlotTitles,0)))),"No error",NOT(B377=""),B377,NOT(C377=""),C377,NOT(D377=""),D377,NOT(E377=""),E377,NOT(F377=""),F377,NOT(G377=""),G377,NOT(H377=""),H377,NOT(I377=""),I377,NOT(J377=""),J377,NOT(K377=""),K377,NOT(L377=""),L377,NOT(M377=""),M377,NOT(N377=""),N377,NOT(O377=""),O377,NOT(P377=""),P377,NOT(Q377=""),Q377,NOT(R377=""),R377,NOT(S377=""),S377,NOT(T377=""),T377,NOT(U377=""),U377,TRUE,"No error")</f>
        <v>Enter the number of homes on the 1_SetUp sheet</v>
      </c>
      <c r="W377" s="114" t="str">
        <f t="shared" ca="1" si="17"/>
        <v xml:space="preserve">The Borrower has not addressed the following error messages for Home ID 373: </v>
      </c>
    </row>
    <row r="378" spans="1:23">
      <c r="A378" s="123">
        <v>374</v>
      </c>
      <c r="B378" s="104" t="str" cm="1">
        <f t="array" ref="B378">_xlfn.IFS(AND(A378&gt;NumberOfPlots,ISBLANK(INDEX(PlotData,MATCH($A378,PlotNumber,0),MATCH(B$3,PlotTitles,0)))),"",ISNUMBER(INDEX(PlotData,MATCH($A378,PlotNumber,0),MATCH(B$3,PlotTitles,0)))=FALSE, $AB$5,TRUE,"")</f>
        <v/>
      </c>
      <c r="C378" s="104" t="str" cm="1">
        <f t="array" ref="C378">_xlfn.IFS(AND(A378&gt;NumberOfPlots,ISBLANK(INDEX(PlotData,MATCH($A378,PlotNumber,0),MATCH(B$3,PlotTitles,0)))),"",ISBLANK(INDEX(PlotData,MATCH($A378,PlotNumber,0),MATCH(C$3,PlotTitles,0))),$AB$6,TRUE,"")</f>
        <v/>
      </c>
      <c r="D378" s="104" t="str" cm="1">
        <f t="array" ref="D378">_xlfn.IFS(AND(A378&gt;NumberOfPlots,ISBLANK(INDEX(PlotData,MATCH($A378,PlotNumber,0),MATCH(B$3,PlotTitles,0)))),"",ISBLANK(INDEX(PlotData,MATCH($A378,PlotNumber,0),MATCH(D$3,PlotTitles,0))),$AB$7,TRUE,"")</f>
        <v/>
      </c>
      <c r="E378" s="104" t="str" cm="1">
        <f t="array" ref="E378">_xlfn.IFS(AND(A378&gt;NumberOfPlots,ISBLANK(INDEX(PlotData,MATCH($A378,PlotNumber,0),MATCH(B$3,PlotTitles,0)))),"",ISBLANK(INDEX(PlotData,MATCH($A378,PlotNumber,0),MATCH(E$3,PlotTitles,0))),$AB$8,TRUE,"")</f>
        <v/>
      </c>
      <c r="F378" s="104" t="str" cm="1">
        <f t="array" ref="F378">_xlfn.IFS(AND(A378&gt;NumberOfPlots,ISBLANK(INDEX(PlotData,MATCH($A378,PlotNumber,0),MATCH(B$3,PlotTitles,0)))),"",ISBLANK(INDEX(PlotData,MATCH($A378,PlotNumber,0),MATCH(F$3,PlotTitles,0))),$AB$9,TRUE,"")</f>
        <v/>
      </c>
      <c r="G378" s="104" t="str" cm="1">
        <f t="array" ref="G378">_xlfn.IFS(AND(A378&gt;NumberOfPlots,ISBLANK(INDEX(PlotData,MATCH($A378,PlotNumber,0),MATCH(B$3,PlotTitles,0)))),"",ISBLANK(INDEX(PlotData,MATCH($A378,PlotNumber,0),MATCH(G$3,PlotTitles,0))),$AB$10,TRUE,"")</f>
        <v/>
      </c>
      <c r="H378" s="104" t="str" cm="1">
        <f t="array" ref="H378">_xlfn.IFS(AND(A378&gt;NumberOfPlots,ISBLANK(INDEX(PlotData,MATCH($A378,PlotNumber,0),MATCH(B$3,PlotTitles,0)))),"",AND(ISBLANK(INDEX(PlotData,MATCH($A378,PlotNumber,0),MATCH(H$3,PlotTitles,0)))=FALSE,INDEX(PlotData,MATCH($A378,PlotNumber,0),MATCH(H$3,PlotTitles,0))&lt;500), $AB$11,TRUE,"")</f>
        <v/>
      </c>
      <c r="I378" s="104" t="str" cm="1">
        <f t="array" ref="I378">_xlfn.IFS(AND(A378&gt;NumberOfPlots,ISBLANK(INDEX(PlotData,MATCH($A378,PlotNumber,0),MATCH(B$3,PlotTitles,0)))),"",ISBLANK(INDEX(PlotData,MATCH($A378,PlotNumber,0),MATCH(I$3,PlotTitles,0))),$AB$12,TRUE,"")</f>
        <v/>
      </c>
      <c r="J378" s="104" t="str" cm="1">
        <f t="array" ref="J378">_xlfn.IFS(AND(A378&gt;NumberOfPlots,ISBLANK(INDEX(PlotData,MATCH($A378,PlotNumber,0),MATCH(B$3,PlotTitles,0)))),"",ISBLANK(INDEX(PlotData,MATCH($A378,PlotNumber,0),MATCH(J$3,PlotTitles,0))),$AB$13,TRUE,"")</f>
        <v/>
      </c>
      <c r="K378" s="182" t="str">
        <f t="shared" ca="1" si="15"/>
        <v/>
      </c>
      <c r="L378" s="104" t="str" cm="1">
        <f t="array" ref="L378">_xlfn.IFS(OR(ISBLANK(StartDateMonth),ISBLANK(StartDateYear)),"",AND(A378&gt;NumberOfPlots,ISBLANK(INDEX(PlotData,MATCH($A378,PlotNumber,0),MATCH(B$3,PlotTitles,0)))),"",ISBLANK(INDEX(PlotData,MATCH($A378,PlotNumber,0),MATCH(I$3,PlotTitles,0))),"",(DATEVALUE(INDEX(PlotData,MATCH($A378,PlotNumber,0),MATCH(I$3,PlotTitles,0))&amp;INDEX(PlotData,MATCH($A378,PlotNumber,0),MATCH(J$3,PlotTitles,0))))&lt;DATEVALUE(StartDateMonth&amp;StartDateYear),$AB$15,TRUE,"")</f>
        <v/>
      </c>
      <c r="M378" s="104" t="str" cm="1">
        <f t="array" ref="M378">_xlfn.IFS(OR(ISBLANK(StartDateMonth),ISBLANK(StartDateYear)),"",AND(A378&gt;NumberOfPlots,ISBLANK(INDEX(PlotData,MATCH($A378,PlotNumber,0),MATCH(B$3,PlotTitles,0)))),"",ISBLANK(INDEX(PlotData,MATCH($A378,PlotNumber,0),MATCH(I$3,PlotTitles,0))),"",CompletionMonth="","",(DATEVALUE(INDEX(PlotData,MATCH($A378,PlotNumber,0),MATCH(I$3,PlotTitles,0))&amp;INDEX(PlotData,MATCH($A378,PlotNumber,0),MATCH(J$3,PlotTitles,0))))&gt;(DATEVALUE(CompletionMonth&amp;CompletionYear)),$AB$16,TRUE,"")</f>
        <v/>
      </c>
      <c r="N378" s="104" t="str" cm="1">
        <f t="array" ref="N378">_xlfn.IFS(AND(A378&gt;NumberOfPlots,ISBLANK(INDEX(PlotData,MATCH($A378,PlotNumber,0),MATCH(B$3,PlotTitles,0)))),"",ISBLANK(INDEX(PlotData,MATCH($A378,PlotNumber,0),MATCH(N$3,PlotTitles,0))),$AB$17,TRUE,"")</f>
        <v/>
      </c>
      <c r="O378" s="104" t="str" cm="1">
        <f t="array" ref="O378">_xlfn.IFS(AND(A378&gt;NumberOfPlots,ISBLANK(INDEX(PlotData,MATCH($A378,PlotNumber,0),MATCH(B$3,PlotTitles,0)))),"",ISBLANK(INDEX(PlotData,MATCH($A378,PlotNumber,0),MATCH(O$3,PlotTitles,0))),$AB$18,TRUE,"")</f>
        <v/>
      </c>
      <c r="P378" s="182" t="str">
        <f t="shared" ca="1" si="16"/>
        <v/>
      </c>
      <c r="Q378" s="104" t="str" cm="1">
        <f t="array" ref="Q378">_xlfn.IFS(AND(A378&gt;NumberOfPlots,ISBLANK(INDEX(PlotData,MATCH($A378,PlotNumber,0),MATCH(B$3,PlotTitles,0)))),"",ISBLANK(INDEX(PlotData,MATCH($A378,PlotNumber,0),MATCH(N$3,PlotTitles,0))),"",(DATEVALUE(INDEX(PlotData,MATCH($A378,PlotNumber,0),MATCH(N$3,PlotTitles,0))&amp;INDEX(PlotData,MATCH($A378,PlotNumber,0),MATCH(O$3,PlotTitles,0))))&lt;(DATEVALUE(INDEX(PlotData,MATCH($A378,PlotNumber,0),MATCH(I$3,PlotTitles,0))&amp;INDEX(PlotData,MATCH($A378,PlotNumber,0),MATCH(J$3,PlotTitles,0)))),$AB$20,TRUE,"")</f>
        <v/>
      </c>
      <c r="R378" s="104" t="str" cm="1">
        <f t="array" ref="R378">_xlfn.IFS(OR(ISBLANK(StartDateMonth),ISBLANK(StartDateYear)),"",AND(A378&gt;NumberOfPlots,ISBLANK(INDEX(PlotData,MATCH($A378,PlotNumber,0),MATCH(B$3,PlotTitles,0)))),"",ISBLANK(INDEX(PlotData,MATCH($A378,PlotNumber,0),MATCH(N$3,PlotTitles,0))),"",CompletionMonth="","",(DATEVALUE(INDEX(PlotData,MATCH($A378,PlotNumber,0),MATCH(N$3,PlotTitles,0))&amp;INDEX(PlotData,MATCH($A378,PlotNumber,0),MATCH(O$3,PlotTitles,0))))&gt;(DATEVALUE(CompletionMonth&amp;CompletionYear)),$AB$21,TRUE,"")</f>
        <v/>
      </c>
      <c r="S378" s="104" t="str" cm="1">
        <f t="array" ref="S378">_xlfn.IFS(AND(A378&gt;NumberOfPlots,ISBLANK(INDEX(PlotData,MATCH($A378,PlotNumber,0),MATCH(B$3,PlotTitles,0)))),"",OR(AND(INDEX(PlotData,MATCH($A378,PlotNumber,0),MATCH("Tenure",PlotTitles,0))="Open market housing",INDEX(PlotData,MATCH($A378,PlotNumber,0),MATCH("Tenure detail",PlotTitles,0))="Private rented sector"),INDEX(PlotData,MATCH($A378,PlotNumber,0),MATCH("Tenure",PlotTitles,0))="Affordable rent"),"",ISNUMBER(INDEX(PlotData,MATCH($A378,PlotNumber,0),MATCH(S$3,PlotTitles,0)))=FALSE, $AB$22,TRUE,"")</f>
        <v/>
      </c>
      <c r="T378" s="104" t="str" cm="1">
        <f t="array" ref="T378">_xlfn.IFS(AND(A378&gt;NumberOfPlots,ISBLANK(INDEX(PlotData,MATCH($A378,PlotNumber,0),MATCH(B$3,PlotTitles,0)))),"",OR(AND(INDEX(PlotData,MATCH($A378,PlotNumber,0),MATCH("Tenure",PlotTitles,0))="Open market housing",INDEX(PlotData,MATCH($A378,PlotNumber,0),MATCH("Tenure detail",PlotTitles,0))="Private rented sector"),INDEX(PlotData,MATCH($A378,PlotNumber,0),MATCH("Tenure",PlotTitles,0))="Affordable rent"),"",INDEX(PlotData,MATCH($A378,PlotNumber,0),MATCH(S$3,PlotTitles,0))&lt;10000, $AB$23,TRUE,"")</f>
        <v/>
      </c>
      <c r="U378" s="104" t="str" cm="1">
        <f t="array" ref="U378">_xlfn.IFS(AND(A378&gt;NumberOfPlots,ISBLANK(INDEX(PlotData,MATCH($A378,PlotNumber,0),MATCH(B$3,PlotTitles,0)))),"",NOT(OR(AND(INDEX(PlotData,MATCH($A378,PlotNumber,0),MATCH("Tenure",PlotTitles,0))="Open market housing",INDEX(PlotData,MATCH($A378,PlotNumber,0),MATCH("Tenure detail",PlotTitles,0))="Private rented sector"),INDEX(PlotData,MATCH($A378,PlotNumber,0),MATCH("Tenure",PlotTitles,0))="Affordable rent")),"",NOT(INDEX(PlotData,MATCH($A378,PlotNumber,0),MATCH(S$3,PlotTitles,0))=0), $AB$24,TRUE,"")</f>
        <v/>
      </c>
      <c r="V378" s="114" t="str" cm="1">
        <f t="array" aca="1" ref="V378" ca="1">_xlfn.IFS(ISBLANK(NumberOfPlots),"Enter the number of homes on the 1_SetUp sheet",AND(A378&gt;NumberOfPlots,ISBLANK(INDEX(PlotData,MATCH($A378,PlotNumber,0),MATCH(B$3,PlotTitles,0)))),"No error",NOT(B378=""),B378,NOT(C378=""),C378,NOT(D378=""),D378,NOT(E378=""),E378,NOT(F378=""),F378,NOT(G378=""),G378,NOT(H378=""),H378,NOT(I378=""),I378,NOT(J378=""),J378,NOT(K378=""),K378,NOT(L378=""),L378,NOT(M378=""),M378,NOT(N378=""),N378,NOT(O378=""),O378,NOT(P378=""),P378,NOT(Q378=""),Q378,NOT(R378=""),R378,NOT(S378=""),S378,NOT(T378=""),T378,NOT(U378=""),U378,TRUE,"No error")</f>
        <v>Enter the number of homes on the 1_SetUp sheet</v>
      </c>
      <c r="W378" s="114" t="str">
        <f t="shared" ca="1" si="17"/>
        <v xml:space="preserve">The Borrower has not addressed the following error messages for Home ID 374: </v>
      </c>
    </row>
    <row r="379" spans="1:23">
      <c r="A379" s="123">
        <v>375</v>
      </c>
      <c r="B379" s="104" t="str" cm="1">
        <f t="array" ref="B379">_xlfn.IFS(AND(A379&gt;NumberOfPlots,ISBLANK(INDEX(PlotData,MATCH($A379,PlotNumber,0),MATCH(B$3,PlotTitles,0)))),"",ISNUMBER(INDEX(PlotData,MATCH($A379,PlotNumber,0),MATCH(B$3,PlotTitles,0)))=FALSE, $AB$5,TRUE,"")</f>
        <v/>
      </c>
      <c r="C379" s="104" t="str" cm="1">
        <f t="array" ref="C379">_xlfn.IFS(AND(A379&gt;NumberOfPlots,ISBLANK(INDEX(PlotData,MATCH($A379,PlotNumber,0),MATCH(B$3,PlotTitles,0)))),"",ISBLANK(INDEX(PlotData,MATCH($A379,PlotNumber,0),MATCH(C$3,PlotTitles,0))),$AB$6,TRUE,"")</f>
        <v/>
      </c>
      <c r="D379" s="104" t="str" cm="1">
        <f t="array" ref="D379">_xlfn.IFS(AND(A379&gt;NumberOfPlots,ISBLANK(INDEX(PlotData,MATCH($A379,PlotNumber,0),MATCH(B$3,PlotTitles,0)))),"",ISBLANK(INDEX(PlotData,MATCH($A379,PlotNumber,0),MATCH(D$3,PlotTitles,0))),$AB$7,TRUE,"")</f>
        <v/>
      </c>
      <c r="E379" s="104" t="str" cm="1">
        <f t="array" ref="E379">_xlfn.IFS(AND(A379&gt;NumberOfPlots,ISBLANK(INDEX(PlotData,MATCH($A379,PlotNumber,0),MATCH(B$3,PlotTitles,0)))),"",ISBLANK(INDEX(PlotData,MATCH($A379,PlotNumber,0),MATCH(E$3,PlotTitles,0))),$AB$8,TRUE,"")</f>
        <v/>
      </c>
      <c r="F379" s="104" t="str" cm="1">
        <f t="array" ref="F379">_xlfn.IFS(AND(A379&gt;NumberOfPlots,ISBLANK(INDEX(PlotData,MATCH($A379,PlotNumber,0),MATCH(B$3,PlotTitles,0)))),"",ISBLANK(INDEX(PlotData,MATCH($A379,PlotNumber,0),MATCH(F$3,PlotTitles,0))),$AB$9,TRUE,"")</f>
        <v/>
      </c>
      <c r="G379" s="104" t="str" cm="1">
        <f t="array" ref="G379">_xlfn.IFS(AND(A379&gt;NumberOfPlots,ISBLANK(INDEX(PlotData,MATCH($A379,PlotNumber,0),MATCH(B$3,PlotTitles,0)))),"",ISBLANK(INDEX(PlotData,MATCH($A379,PlotNumber,0),MATCH(G$3,PlotTitles,0))),$AB$10,TRUE,"")</f>
        <v/>
      </c>
      <c r="H379" s="104" t="str" cm="1">
        <f t="array" ref="H379">_xlfn.IFS(AND(A379&gt;NumberOfPlots,ISBLANK(INDEX(PlotData,MATCH($A379,PlotNumber,0),MATCH(B$3,PlotTitles,0)))),"",AND(ISBLANK(INDEX(PlotData,MATCH($A379,PlotNumber,0),MATCH(H$3,PlotTitles,0)))=FALSE,INDEX(PlotData,MATCH($A379,PlotNumber,0),MATCH(H$3,PlotTitles,0))&lt;500), $AB$11,TRUE,"")</f>
        <v/>
      </c>
      <c r="I379" s="104" t="str" cm="1">
        <f t="array" ref="I379">_xlfn.IFS(AND(A379&gt;NumberOfPlots,ISBLANK(INDEX(PlotData,MATCH($A379,PlotNumber,0),MATCH(B$3,PlotTitles,0)))),"",ISBLANK(INDEX(PlotData,MATCH($A379,PlotNumber,0),MATCH(I$3,PlotTitles,0))),$AB$12,TRUE,"")</f>
        <v/>
      </c>
      <c r="J379" s="104" t="str" cm="1">
        <f t="array" ref="J379">_xlfn.IFS(AND(A379&gt;NumberOfPlots,ISBLANK(INDEX(PlotData,MATCH($A379,PlotNumber,0),MATCH(B$3,PlotTitles,0)))),"",ISBLANK(INDEX(PlotData,MATCH($A379,PlotNumber,0),MATCH(J$3,PlotTitles,0))),$AB$13,TRUE,"")</f>
        <v/>
      </c>
      <c r="K379" s="182" t="str">
        <f t="shared" ca="1" si="15"/>
        <v/>
      </c>
      <c r="L379" s="104" t="str" cm="1">
        <f t="array" ref="L379">_xlfn.IFS(OR(ISBLANK(StartDateMonth),ISBLANK(StartDateYear)),"",AND(A379&gt;NumberOfPlots,ISBLANK(INDEX(PlotData,MATCH($A379,PlotNumber,0),MATCH(B$3,PlotTitles,0)))),"",ISBLANK(INDEX(PlotData,MATCH($A379,PlotNumber,0),MATCH(I$3,PlotTitles,0))),"",(DATEVALUE(INDEX(PlotData,MATCH($A379,PlotNumber,0),MATCH(I$3,PlotTitles,0))&amp;INDEX(PlotData,MATCH($A379,PlotNumber,0),MATCH(J$3,PlotTitles,0))))&lt;DATEVALUE(StartDateMonth&amp;StartDateYear),$AB$15,TRUE,"")</f>
        <v/>
      </c>
      <c r="M379" s="104" t="str" cm="1">
        <f t="array" ref="M379">_xlfn.IFS(OR(ISBLANK(StartDateMonth),ISBLANK(StartDateYear)),"",AND(A379&gt;NumberOfPlots,ISBLANK(INDEX(PlotData,MATCH($A379,PlotNumber,0),MATCH(B$3,PlotTitles,0)))),"",ISBLANK(INDEX(PlotData,MATCH($A379,PlotNumber,0),MATCH(I$3,PlotTitles,0))),"",CompletionMonth="","",(DATEVALUE(INDEX(PlotData,MATCH($A379,PlotNumber,0),MATCH(I$3,PlotTitles,0))&amp;INDEX(PlotData,MATCH($A379,PlotNumber,0),MATCH(J$3,PlotTitles,0))))&gt;(DATEVALUE(CompletionMonth&amp;CompletionYear)),$AB$16,TRUE,"")</f>
        <v/>
      </c>
      <c r="N379" s="104" t="str" cm="1">
        <f t="array" ref="N379">_xlfn.IFS(AND(A379&gt;NumberOfPlots,ISBLANK(INDEX(PlotData,MATCH($A379,PlotNumber,0),MATCH(B$3,PlotTitles,0)))),"",ISBLANK(INDEX(PlotData,MATCH($A379,PlotNumber,0),MATCH(N$3,PlotTitles,0))),$AB$17,TRUE,"")</f>
        <v/>
      </c>
      <c r="O379" s="104" t="str" cm="1">
        <f t="array" ref="O379">_xlfn.IFS(AND(A379&gt;NumberOfPlots,ISBLANK(INDEX(PlotData,MATCH($A379,PlotNumber,0),MATCH(B$3,PlotTitles,0)))),"",ISBLANK(INDEX(PlotData,MATCH($A379,PlotNumber,0),MATCH(O$3,PlotTitles,0))),$AB$18,TRUE,"")</f>
        <v/>
      </c>
      <c r="P379" s="182" t="str">
        <f t="shared" ca="1" si="16"/>
        <v/>
      </c>
      <c r="Q379" s="104" t="str" cm="1">
        <f t="array" ref="Q379">_xlfn.IFS(AND(A379&gt;NumberOfPlots,ISBLANK(INDEX(PlotData,MATCH($A379,PlotNumber,0),MATCH(B$3,PlotTitles,0)))),"",ISBLANK(INDEX(PlotData,MATCH($A379,PlotNumber,0),MATCH(N$3,PlotTitles,0))),"",(DATEVALUE(INDEX(PlotData,MATCH($A379,PlotNumber,0),MATCH(N$3,PlotTitles,0))&amp;INDEX(PlotData,MATCH($A379,PlotNumber,0),MATCH(O$3,PlotTitles,0))))&lt;(DATEVALUE(INDEX(PlotData,MATCH($A379,PlotNumber,0),MATCH(I$3,PlotTitles,0))&amp;INDEX(PlotData,MATCH($A379,PlotNumber,0),MATCH(J$3,PlotTitles,0)))),$AB$20,TRUE,"")</f>
        <v/>
      </c>
      <c r="R379" s="104" t="str" cm="1">
        <f t="array" ref="R379">_xlfn.IFS(OR(ISBLANK(StartDateMonth),ISBLANK(StartDateYear)),"",AND(A379&gt;NumberOfPlots,ISBLANK(INDEX(PlotData,MATCH($A379,PlotNumber,0),MATCH(B$3,PlotTitles,0)))),"",ISBLANK(INDEX(PlotData,MATCH($A379,PlotNumber,0),MATCH(N$3,PlotTitles,0))),"",CompletionMonth="","",(DATEVALUE(INDEX(PlotData,MATCH($A379,PlotNumber,0),MATCH(N$3,PlotTitles,0))&amp;INDEX(PlotData,MATCH($A379,PlotNumber,0),MATCH(O$3,PlotTitles,0))))&gt;(DATEVALUE(CompletionMonth&amp;CompletionYear)),$AB$21,TRUE,"")</f>
        <v/>
      </c>
      <c r="S379" s="104" t="str" cm="1">
        <f t="array" ref="S379">_xlfn.IFS(AND(A379&gt;NumberOfPlots,ISBLANK(INDEX(PlotData,MATCH($A379,PlotNumber,0),MATCH(B$3,PlotTitles,0)))),"",OR(AND(INDEX(PlotData,MATCH($A379,PlotNumber,0),MATCH("Tenure",PlotTitles,0))="Open market housing",INDEX(PlotData,MATCH($A379,PlotNumber,0),MATCH("Tenure detail",PlotTitles,0))="Private rented sector"),INDEX(PlotData,MATCH($A379,PlotNumber,0),MATCH("Tenure",PlotTitles,0))="Affordable rent"),"",ISNUMBER(INDEX(PlotData,MATCH($A379,PlotNumber,0),MATCH(S$3,PlotTitles,0)))=FALSE, $AB$22,TRUE,"")</f>
        <v/>
      </c>
      <c r="T379" s="104" t="str" cm="1">
        <f t="array" ref="T379">_xlfn.IFS(AND(A379&gt;NumberOfPlots,ISBLANK(INDEX(PlotData,MATCH($A379,PlotNumber,0),MATCH(B$3,PlotTitles,0)))),"",OR(AND(INDEX(PlotData,MATCH($A379,PlotNumber,0),MATCH("Tenure",PlotTitles,0))="Open market housing",INDEX(PlotData,MATCH($A379,PlotNumber,0),MATCH("Tenure detail",PlotTitles,0))="Private rented sector"),INDEX(PlotData,MATCH($A379,PlotNumber,0),MATCH("Tenure",PlotTitles,0))="Affordable rent"),"",INDEX(PlotData,MATCH($A379,PlotNumber,0),MATCH(S$3,PlotTitles,0))&lt;10000, $AB$23,TRUE,"")</f>
        <v/>
      </c>
      <c r="U379" s="104" t="str" cm="1">
        <f t="array" ref="U379">_xlfn.IFS(AND(A379&gt;NumberOfPlots,ISBLANK(INDEX(PlotData,MATCH($A379,PlotNumber,0),MATCH(B$3,PlotTitles,0)))),"",NOT(OR(AND(INDEX(PlotData,MATCH($A379,PlotNumber,0),MATCH("Tenure",PlotTitles,0))="Open market housing",INDEX(PlotData,MATCH($A379,PlotNumber,0),MATCH("Tenure detail",PlotTitles,0))="Private rented sector"),INDEX(PlotData,MATCH($A379,PlotNumber,0),MATCH("Tenure",PlotTitles,0))="Affordable rent")),"",NOT(INDEX(PlotData,MATCH($A379,PlotNumber,0),MATCH(S$3,PlotTitles,0))=0), $AB$24,TRUE,"")</f>
        <v/>
      </c>
      <c r="V379" s="114" t="str" cm="1">
        <f t="array" aca="1" ref="V379" ca="1">_xlfn.IFS(ISBLANK(NumberOfPlots),"Enter the number of homes on the 1_SetUp sheet",AND(A379&gt;NumberOfPlots,ISBLANK(INDEX(PlotData,MATCH($A379,PlotNumber,0),MATCH(B$3,PlotTitles,0)))),"No error",NOT(B379=""),B379,NOT(C379=""),C379,NOT(D379=""),D379,NOT(E379=""),E379,NOT(F379=""),F379,NOT(G379=""),G379,NOT(H379=""),H379,NOT(I379=""),I379,NOT(J379=""),J379,NOT(K379=""),K379,NOT(L379=""),L379,NOT(M379=""),M379,NOT(N379=""),N379,NOT(O379=""),O379,NOT(P379=""),P379,NOT(Q379=""),Q379,NOT(R379=""),R379,NOT(S379=""),S379,NOT(T379=""),T379,NOT(U379=""),U379,TRUE,"No error")</f>
        <v>Enter the number of homes on the 1_SetUp sheet</v>
      </c>
      <c r="W379" s="114" t="str">
        <f t="shared" ca="1" si="17"/>
        <v xml:space="preserve">The Borrower has not addressed the following error messages for Home ID 375: </v>
      </c>
    </row>
    <row r="380" spans="1:23">
      <c r="A380" s="123">
        <v>376</v>
      </c>
      <c r="B380" s="104" t="str" cm="1">
        <f t="array" ref="B380">_xlfn.IFS(AND(A380&gt;NumberOfPlots,ISBLANK(INDEX(PlotData,MATCH($A380,PlotNumber,0),MATCH(B$3,PlotTitles,0)))),"",ISNUMBER(INDEX(PlotData,MATCH($A380,PlotNumber,0),MATCH(B$3,PlotTitles,0)))=FALSE, $AB$5,TRUE,"")</f>
        <v/>
      </c>
      <c r="C380" s="104" t="str" cm="1">
        <f t="array" ref="C380">_xlfn.IFS(AND(A380&gt;NumberOfPlots,ISBLANK(INDEX(PlotData,MATCH($A380,PlotNumber,0),MATCH(B$3,PlotTitles,0)))),"",ISBLANK(INDEX(PlotData,MATCH($A380,PlotNumber,0),MATCH(C$3,PlotTitles,0))),$AB$6,TRUE,"")</f>
        <v/>
      </c>
      <c r="D380" s="104" t="str" cm="1">
        <f t="array" ref="D380">_xlfn.IFS(AND(A380&gt;NumberOfPlots,ISBLANK(INDEX(PlotData,MATCH($A380,PlotNumber,0),MATCH(B$3,PlotTitles,0)))),"",ISBLANK(INDEX(PlotData,MATCH($A380,PlotNumber,0),MATCH(D$3,PlotTitles,0))),$AB$7,TRUE,"")</f>
        <v/>
      </c>
      <c r="E380" s="104" t="str" cm="1">
        <f t="array" ref="E380">_xlfn.IFS(AND(A380&gt;NumberOfPlots,ISBLANK(INDEX(PlotData,MATCH($A380,PlotNumber,0),MATCH(B$3,PlotTitles,0)))),"",ISBLANK(INDEX(PlotData,MATCH($A380,PlotNumber,0),MATCH(E$3,PlotTitles,0))),$AB$8,TRUE,"")</f>
        <v/>
      </c>
      <c r="F380" s="104" t="str" cm="1">
        <f t="array" ref="F380">_xlfn.IFS(AND(A380&gt;NumberOfPlots,ISBLANK(INDEX(PlotData,MATCH($A380,PlotNumber,0),MATCH(B$3,PlotTitles,0)))),"",ISBLANK(INDEX(PlotData,MATCH($A380,PlotNumber,0),MATCH(F$3,PlotTitles,0))),$AB$9,TRUE,"")</f>
        <v/>
      </c>
      <c r="G380" s="104" t="str" cm="1">
        <f t="array" ref="G380">_xlfn.IFS(AND(A380&gt;NumberOfPlots,ISBLANK(INDEX(PlotData,MATCH($A380,PlotNumber,0),MATCH(B$3,PlotTitles,0)))),"",ISBLANK(INDEX(PlotData,MATCH($A380,PlotNumber,0),MATCH(G$3,PlotTitles,0))),$AB$10,TRUE,"")</f>
        <v/>
      </c>
      <c r="H380" s="104" t="str" cm="1">
        <f t="array" ref="H380">_xlfn.IFS(AND(A380&gt;NumberOfPlots,ISBLANK(INDEX(PlotData,MATCH($A380,PlotNumber,0),MATCH(B$3,PlotTitles,0)))),"",AND(ISBLANK(INDEX(PlotData,MATCH($A380,PlotNumber,0),MATCH(H$3,PlotTitles,0)))=FALSE,INDEX(PlotData,MATCH($A380,PlotNumber,0),MATCH(H$3,PlotTitles,0))&lt;500), $AB$11,TRUE,"")</f>
        <v/>
      </c>
      <c r="I380" s="104" t="str" cm="1">
        <f t="array" ref="I380">_xlfn.IFS(AND(A380&gt;NumberOfPlots,ISBLANK(INDEX(PlotData,MATCH($A380,PlotNumber,0),MATCH(B$3,PlotTitles,0)))),"",ISBLANK(INDEX(PlotData,MATCH($A380,PlotNumber,0),MATCH(I$3,PlotTitles,0))),$AB$12,TRUE,"")</f>
        <v/>
      </c>
      <c r="J380" s="104" t="str" cm="1">
        <f t="array" ref="J380">_xlfn.IFS(AND(A380&gt;NumberOfPlots,ISBLANK(INDEX(PlotData,MATCH($A380,PlotNumber,0),MATCH(B$3,PlotTitles,0)))),"",ISBLANK(INDEX(PlotData,MATCH($A380,PlotNumber,0),MATCH(J$3,PlotTitles,0))),$AB$13,TRUE,"")</f>
        <v/>
      </c>
      <c r="K380" s="182" t="str">
        <f t="shared" ca="1" si="15"/>
        <v/>
      </c>
      <c r="L380" s="104" t="str" cm="1">
        <f t="array" ref="L380">_xlfn.IFS(OR(ISBLANK(StartDateMonth),ISBLANK(StartDateYear)),"",AND(A380&gt;NumberOfPlots,ISBLANK(INDEX(PlotData,MATCH($A380,PlotNumber,0),MATCH(B$3,PlotTitles,0)))),"",ISBLANK(INDEX(PlotData,MATCH($A380,PlotNumber,0),MATCH(I$3,PlotTitles,0))),"",(DATEVALUE(INDEX(PlotData,MATCH($A380,PlotNumber,0),MATCH(I$3,PlotTitles,0))&amp;INDEX(PlotData,MATCH($A380,PlotNumber,0),MATCH(J$3,PlotTitles,0))))&lt;DATEVALUE(StartDateMonth&amp;StartDateYear),$AB$15,TRUE,"")</f>
        <v/>
      </c>
      <c r="M380" s="104" t="str" cm="1">
        <f t="array" ref="M380">_xlfn.IFS(OR(ISBLANK(StartDateMonth),ISBLANK(StartDateYear)),"",AND(A380&gt;NumberOfPlots,ISBLANK(INDEX(PlotData,MATCH($A380,PlotNumber,0),MATCH(B$3,PlotTitles,0)))),"",ISBLANK(INDEX(PlotData,MATCH($A380,PlotNumber,0),MATCH(I$3,PlotTitles,0))),"",CompletionMonth="","",(DATEVALUE(INDEX(PlotData,MATCH($A380,PlotNumber,0),MATCH(I$3,PlotTitles,0))&amp;INDEX(PlotData,MATCH($A380,PlotNumber,0),MATCH(J$3,PlotTitles,0))))&gt;(DATEVALUE(CompletionMonth&amp;CompletionYear)),$AB$16,TRUE,"")</f>
        <v/>
      </c>
      <c r="N380" s="104" t="str" cm="1">
        <f t="array" ref="N380">_xlfn.IFS(AND(A380&gt;NumberOfPlots,ISBLANK(INDEX(PlotData,MATCH($A380,PlotNumber,0),MATCH(B$3,PlotTitles,0)))),"",ISBLANK(INDEX(PlotData,MATCH($A380,PlotNumber,0),MATCH(N$3,PlotTitles,0))),$AB$17,TRUE,"")</f>
        <v/>
      </c>
      <c r="O380" s="104" t="str" cm="1">
        <f t="array" ref="O380">_xlfn.IFS(AND(A380&gt;NumberOfPlots,ISBLANK(INDEX(PlotData,MATCH($A380,PlotNumber,0),MATCH(B$3,PlotTitles,0)))),"",ISBLANK(INDEX(PlotData,MATCH($A380,PlotNumber,0),MATCH(O$3,PlotTitles,0))),$AB$18,TRUE,"")</f>
        <v/>
      </c>
      <c r="P380" s="182" t="str">
        <f t="shared" ca="1" si="16"/>
        <v/>
      </c>
      <c r="Q380" s="104" t="str" cm="1">
        <f t="array" ref="Q380">_xlfn.IFS(AND(A380&gt;NumberOfPlots,ISBLANK(INDEX(PlotData,MATCH($A380,PlotNumber,0),MATCH(B$3,PlotTitles,0)))),"",ISBLANK(INDEX(PlotData,MATCH($A380,PlotNumber,0),MATCH(N$3,PlotTitles,0))),"",(DATEVALUE(INDEX(PlotData,MATCH($A380,PlotNumber,0),MATCH(N$3,PlotTitles,0))&amp;INDEX(PlotData,MATCH($A380,PlotNumber,0),MATCH(O$3,PlotTitles,0))))&lt;(DATEVALUE(INDEX(PlotData,MATCH($A380,PlotNumber,0),MATCH(I$3,PlotTitles,0))&amp;INDEX(PlotData,MATCH($A380,PlotNumber,0),MATCH(J$3,PlotTitles,0)))),$AB$20,TRUE,"")</f>
        <v/>
      </c>
      <c r="R380" s="104" t="str" cm="1">
        <f t="array" ref="R380">_xlfn.IFS(OR(ISBLANK(StartDateMonth),ISBLANK(StartDateYear)),"",AND(A380&gt;NumberOfPlots,ISBLANK(INDEX(PlotData,MATCH($A380,PlotNumber,0),MATCH(B$3,PlotTitles,0)))),"",ISBLANK(INDEX(PlotData,MATCH($A380,PlotNumber,0),MATCH(N$3,PlotTitles,0))),"",CompletionMonth="","",(DATEVALUE(INDEX(PlotData,MATCH($A380,PlotNumber,0),MATCH(N$3,PlotTitles,0))&amp;INDEX(PlotData,MATCH($A380,PlotNumber,0),MATCH(O$3,PlotTitles,0))))&gt;(DATEVALUE(CompletionMonth&amp;CompletionYear)),$AB$21,TRUE,"")</f>
        <v/>
      </c>
      <c r="S380" s="104" t="str" cm="1">
        <f t="array" ref="S380">_xlfn.IFS(AND(A380&gt;NumberOfPlots,ISBLANK(INDEX(PlotData,MATCH($A380,PlotNumber,0),MATCH(B$3,PlotTitles,0)))),"",OR(AND(INDEX(PlotData,MATCH($A380,PlotNumber,0),MATCH("Tenure",PlotTitles,0))="Open market housing",INDEX(PlotData,MATCH($A380,PlotNumber,0),MATCH("Tenure detail",PlotTitles,0))="Private rented sector"),INDEX(PlotData,MATCH($A380,PlotNumber,0),MATCH("Tenure",PlotTitles,0))="Affordable rent"),"",ISNUMBER(INDEX(PlotData,MATCH($A380,PlotNumber,0),MATCH(S$3,PlotTitles,0)))=FALSE, $AB$22,TRUE,"")</f>
        <v/>
      </c>
      <c r="T380" s="104" t="str" cm="1">
        <f t="array" ref="T380">_xlfn.IFS(AND(A380&gt;NumberOfPlots,ISBLANK(INDEX(PlotData,MATCH($A380,PlotNumber,0),MATCH(B$3,PlotTitles,0)))),"",OR(AND(INDEX(PlotData,MATCH($A380,PlotNumber,0),MATCH("Tenure",PlotTitles,0))="Open market housing",INDEX(PlotData,MATCH($A380,PlotNumber,0),MATCH("Tenure detail",PlotTitles,0))="Private rented sector"),INDEX(PlotData,MATCH($A380,PlotNumber,0),MATCH("Tenure",PlotTitles,0))="Affordable rent"),"",INDEX(PlotData,MATCH($A380,PlotNumber,0),MATCH(S$3,PlotTitles,0))&lt;10000, $AB$23,TRUE,"")</f>
        <v/>
      </c>
      <c r="U380" s="104" t="str" cm="1">
        <f t="array" ref="U380">_xlfn.IFS(AND(A380&gt;NumberOfPlots,ISBLANK(INDEX(PlotData,MATCH($A380,PlotNumber,0),MATCH(B$3,PlotTitles,0)))),"",NOT(OR(AND(INDEX(PlotData,MATCH($A380,PlotNumber,0),MATCH("Tenure",PlotTitles,0))="Open market housing",INDEX(PlotData,MATCH($A380,PlotNumber,0),MATCH("Tenure detail",PlotTitles,0))="Private rented sector"),INDEX(PlotData,MATCH($A380,PlotNumber,0),MATCH("Tenure",PlotTitles,0))="Affordable rent")),"",NOT(INDEX(PlotData,MATCH($A380,PlotNumber,0),MATCH(S$3,PlotTitles,0))=0), $AB$24,TRUE,"")</f>
        <v/>
      </c>
      <c r="V380" s="114" t="str" cm="1">
        <f t="array" aca="1" ref="V380" ca="1">_xlfn.IFS(ISBLANK(NumberOfPlots),"Enter the number of homes on the 1_SetUp sheet",AND(A380&gt;NumberOfPlots,ISBLANK(INDEX(PlotData,MATCH($A380,PlotNumber,0),MATCH(B$3,PlotTitles,0)))),"No error",NOT(B380=""),B380,NOT(C380=""),C380,NOT(D380=""),D380,NOT(E380=""),E380,NOT(F380=""),F380,NOT(G380=""),G380,NOT(H380=""),H380,NOT(I380=""),I380,NOT(J380=""),J380,NOT(K380=""),K380,NOT(L380=""),L380,NOT(M380=""),M380,NOT(N380=""),N380,NOT(O380=""),O380,NOT(P380=""),P380,NOT(Q380=""),Q380,NOT(R380=""),R380,NOT(S380=""),S380,NOT(T380=""),T380,NOT(U380=""),U380,TRUE,"No error")</f>
        <v>Enter the number of homes on the 1_SetUp sheet</v>
      </c>
      <c r="W380" s="114" t="str">
        <f t="shared" ca="1" si="17"/>
        <v xml:space="preserve">The Borrower has not addressed the following error messages for Home ID 376: </v>
      </c>
    </row>
    <row r="381" spans="1:23">
      <c r="A381" s="123">
        <v>377</v>
      </c>
      <c r="B381" s="104" t="str" cm="1">
        <f t="array" ref="B381">_xlfn.IFS(AND(A381&gt;NumberOfPlots,ISBLANK(INDEX(PlotData,MATCH($A381,PlotNumber,0),MATCH(B$3,PlotTitles,0)))),"",ISNUMBER(INDEX(PlotData,MATCH($A381,PlotNumber,0),MATCH(B$3,PlotTitles,0)))=FALSE, $AB$5,TRUE,"")</f>
        <v/>
      </c>
      <c r="C381" s="104" t="str" cm="1">
        <f t="array" ref="C381">_xlfn.IFS(AND(A381&gt;NumberOfPlots,ISBLANK(INDEX(PlotData,MATCH($A381,PlotNumber,0),MATCH(B$3,PlotTitles,0)))),"",ISBLANK(INDEX(PlotData,MATCH($A381,PlotNumber,0),MATCH(C$3,PlotTitles,0))),$AB$6,TRUE,"")</f>
        <v/>
      </c>
      <c r="D381" s="104" t="str" cm="1">
        <f t="array" ref="D381">_xlfn.IFS(AND(A381&gt;NumberOfPlots,ISBLANK(INDEX(PlotData,MATCH($A381,PlotNumber,0),MATCH(B$3,PlotTitles,0)))),"",ISBLANK(INDEX(PlotData,MATCH($A381,PlotNumber,0),MATCH(D$3,PlotTitles,0))),$AB$7,TRUE,"")</f>
        <v/>
      </c>
      <c r="E381" s="104" t="str" cm="1">
        <f t="array" ref="E381">_xlfn.IFS(AND(A381&gt;NumberOfPlots,ISBLANK(INDEX(PlotData,MATCH($A381,PlotNumber,0),MATCH(B$3,PlotTitles,0)))),"",ISBLANK(INDEX(PlotData,MATCH($A381,PlotNumber,0),MATCH(E$3,PlotTitles,0))),$AB$8,TRUE,"")</f>
        <v/>
      </c>
      <c r="F381" s="104" t="str" cm="1">
        <f t="array" ref="F381">_xlfn.IFS(AND(A381&gt;NumberOfPlots,ISBLANK(INDEX(PlotData,MATCH($A381,PlotNumber,0),MATCH(B$3,PlotTitles,0)))),"",ISBLANK(INDEX(PlotData,MATCH($A381,PlotNumber,0),MATCH(F$3,PlotTitles,0))),$AB$9,TRUE,"")</f>
        <v/>
      </c>
      <c r="G381" s="104" t="str" cm="1">
        <f t="array" ref="G381">_xlfn.IFS(AND(A381&gt;NumberOfPlots,ISBLANK(INDEX(PlotData,MATCH($A381,PlotNumber,0),MATCH(B$3,PlotTitles,0)))),"",ISBLANK(INDEX(PlotData,MATCH($A381,PlotNumber,0),MATCH(G$3,PlotTitles,0))),$AB$10,TRUE,"")</f>
        <v/>
      </c>
      <c r="H381" s="104" t="str" cm="1">
        <f t="array" ref="H381">_xlfn.IFS(AND(A381&gt;NumberOfPlots,ISBLANK(INDEX(PlotData,MATCH($A381,PlotNumber,0),MATCH(B$3,PlotTitles,0)))),"",AND(ISBLANK(INDEX(PlotData,MATCH($A381,PlotNumber,0),MATCH(H$3,PlotTitles,0)))=FALSE,INDEX(PlotData,MATCH($A381,PlotNumber,0),MATCH(H$3,PlotTitles,0))&lt;500), $AB$11,TRUE,"")</f>
        <v/>
      </c>
      <c r="I381" s="104" t="str" cm="1">
        <f t="array" ref="I381">_xlfn.IFS(AND(A381&gt;NumberOfPlots,ISBLANK(INDEX(PlotData,MATCH($A381,PlotNumber,0),MATCH(B$3,PlotTitles,0)))),"",ISBLANK(INDEX(PlotData,MATCH($A381,PlotNumber,0),MATCH(I$3,PlotTitles,0))),$AB$12,TRUE,"")</f>
        <v/>
      </c>
      <c r="J381" s="104" t="str" cm="1">
        <f t="array" ref="J381">_xlfn.IFS(AND(A381&gt;NumberOfPlots,ISBLANK(INDEX(PlotData,MATCH($A381,PlotNumber,0),MATCH(B$3,PlotTitles,0)))),"",ISBLANK(INDEX(PlotData,MATCH($A381,PlotNumber,0),MATCH(J$3,PlotTitles,0))),$AB$13,TRUE,"")</f>
        <v/>
      </c>
      <c r="K381" s="182" t="str">
        <f t="shared" ca="1" si="15"/>
        <v/>
      </c>
      <c r="L381" s="104" t="str" cm="1">
        <f t="array" ref="L381">_xlfn.IFS(OR(ISBLANK(StartDateMonth),ISBLANK(StartDateYear)),"",AND(A381&gt;NumberOfPlots,ISBLANK(INDEX(PlotData,MATCH($A381,PlotNumber,0),MATCH(B$3,PlotTitles,0)))),"",ISBLANK(INDEX(PlotData,MATCH($A381,PlotNumber,0),MATCH(I$3,PlotTitles,0))),"",(DATEVALUE(INDEX(PlotData,MATCH($A381,PlotNumber,0),MATCH(I$3,PlotTitles,0))&amp;INDEX(PlotData,MATCH($A381,PlotNumber,0),MATCH(J$3,PlotTitles,0))))&lt;DATEVALUE(StartDateMonth&amp;StartDateYear),$AB$15,TRUE,"")</f>
        <v/>
      </c>
      <c r="M381" s="104" t="str" cm="1">
        <f t="array" ref="M381">_xlfn.IFS(OR(ISBLANK(StartDateMonth),ISBLANK(StartDateYear)),"",AND(A381&gt;NumberOfPlots,ISBLANK(INDEX(PlotData,MATCH($A381,PlotNumber,0),MATCH(B$3,PlotTitles,0)))),"",ISBLANK(INDEX(PlotData,MATCH($A381,PlotNumber,0),MATCH(I$3,PlotTitles,0))),"",CompletionMonth="","",(DATEVALUE(INDEX(PlotData,MATCH($A381,PlotNumber,0),MATCH(I$3,PlotTitles,0))&amp;INDEX(PlotData,MATCH($A381,PlotNumber,0),MATCH(J$3,PlotTitles,0))))&gt;(DATEVALUE(CompletionMonth&amp;CompletionYear)),$AB$16,TRUE,"")</f>
        <v/>
      </c>
      <c r="N381" s="104" t="str" cm="1">
        <f t="array" ref="N381">_xlfn.IFS(AND(A381&gt;NumberOfPlots,ISBLANK(INDEX(PlotData,MATCH($A381,PlotNumber,0),MATCH(B$3,PlotTitles,0)))),"",ISBLANK(INDEX(PlotData,MATCH($A381,PlotNumber,0),MATCH(N$3,PlotTitles,0))),$AB$17,TRUE,"")</f>
        <v/>
      </c>
      <c r="O381" s="104" t="str" cm="1">
        <f t="array" ref="O381">_xlfn.IFS(AND(A381&gt;NumberOfPlots,ISBLANK(INDEX(PlotData,MATCH($A381,PlotNumber,0),MATCH(B$3,PlotTitles,0)))),"",ISBLANK(INDEX(PlotData,MATCH($A381,PlotNumber,0),MATCH(O$3,PlotTitles,0))),$AB$18,TRUE,"")</f>
        <v/>
      </c>
      <c r="P381" s="182" t="str">
        <f t="shared" ca="1" si="16"/>
        <v/>
      </c>
      <c r="Q381" s="104" t="str" cm="1">
        <f t="array" ref="Q381">_xlfn.IFS(AND(A381&gt;NumberOfPlots,ISBLANK(INDEX(PlotData,MATCH($A381,PlotNumber,0),MATCH(B$3,PlotTitles,0)))),"",ISBLANK(INDEX(PlotData,MATCH($A381,PlotNumber,0),MATCH(N$3,PlotTitles,0))),"",(DATEVALUE(INDEX(PlotData,MATCH($A381,PlotNumber,0),MATCH(N$3,PlotTitles,0))&amp;INDEX(PlotData,MATCH($A381,PlotNumber,0),MATCH(O$3,PlotTitles,0))))&lt;(DATEVALUE(INDEX(PlotData,MATCH($A381,PlotNumber,0),MATCH(I$3,PlotTitles,0))&amp;INDEX(PlotData,MATCH($A381,PlotNumber,0),MATCH(J$3,PlotTitles,0)))),$AB$20,TRUE,"")</f>
        <v/>
      </c>
      <c r="R381" s="104" t="str" cm="1">
        <f t="array" ref="R381">_xlfn.IFS(OR(ISBLANK(StartDateMonth),ISBLANK(StartDateYear)),"",AND(A381&gt;NumberOfPlots,ISBLANK(INDEX(PlotData,MATCH($A381,PlotNumber,0),MATCH(B$3,PlotTitles,0)))),"",ISBLANK(INDEX(PlotData,MATCH($A381,PlotNumber,0),MATCH(N$3,PlotTitles,0))),"",CompletionMonth="","",(DATEVALUE(INDEX(PlotData,MATCH($A381,PlotNumber,0),MATCH(N$3,PlotTitles,0))&amp;INDEX(PlotData,MATCH($A381,PlotNumber,0),MATCH(O$3,PlotTitles,0))))&gt;(DATEVALUE(CompletionMonth&amp;CompletionYear)),$AB$21,TRUE,"")</f>
        <v/>
      </c>
      <c r="S381" s="104" t="str" cm="1">
        <f t="array" ref="S381">_xlfn.IFS(AND(A381&gt;NumberOfPlots,ISBLANK(INDEX(PlotData,MATCH($A381,PlotNumber,0),MATCH(B$3,PlotTitles,0)))),"",OR(AND(INDEX(PlotData,MATCH($A381,PlotNumber,0),MATCH("Tenure",PlotTitles,0))="Open market housing",INDEX(PlotData,MATCH($A381,PlotNumber,0),MATCH("Tenure detail",PlotTitles,0))="Private rented sector"),INDEX(PlotData,MATCH($A381,PlotNumber,0),MATCH("Tenure",PlotTitles,0))="Affordable rent"),"",ISNUMBER(INDEX(PlotData,MATCH($A381,PlotNumber,0),MATCH(S$3,PlotTitles,0)))=FALSE, $AB$22,TRUE,"")</f>
        <v/>
      </c>
      <c r="T381" s="104" t="str" cm="1">
        <f t="array" ref="T381">_xlfn.IFS(AND(A381&gt;NumberOfPlots,ISBLANK(INDEX(PlotData,MATCH($A381,PlotNumber,0),MATCH(B$3,PlotTitles,0)))),"",OR(AND(INDEX(PlotData,MATCH($A381,PlotNumber,0),MATCH("Tenure",PlotTitles,0))="Open market housing",INDEX(PlotData,MATCH($A381,PlotNumber,0),MATCH("Tenure detail",PlotTitles,0))="Private rented sector"),INDEX(PlotData,MATCH($A381,PlotNumber,0),MATCH("Tenure",PlotTitles,0))="Affordable rent"),"",INDEX(PlotData,MATCH($A381,PlotNumber,0),MATCH(S$3,PlotTitles,0))&lt;10000, $AB$23,TRUE,"")</f>
        <v/>
      </c>
      <c r="U381" s="104" t="str" cm="1">
        <f t="array" ref="U381">_xlfn.IFS(AND(A381&gt;NumberOfPlots,ISBLANK(INDEX(PlotData,MATCH($A381,PlotNumber,0),MATCH(B$3,PlotTitles,0)))),"",NOT(OR(AND(INDEX(PlotData,MATCH($A381,PlotNumber,0),MATCH("Tenure",PlotTitles,0))="Open market housing",INDEX(PlotData,MATCH($A381,PlotNumber,0),MATCH("Tenure detail",PlotTitles,0))="Private rented sector"),INDEX(PlotData,MATCH($A381,PlotNumber,0),MATCH("Tenure",PlotTitles,0))="Affordable rent")),"",NOT(INDEX(PlotData,MATCH($A381,PlotNumber,0),MATCH(S$3,PlotTitles,0))=0), $AB$24,TRUE,"")</f>
        <v/>
      </c>
      <c r="V381" s="114" t="str" cm="1">
        <f t="array" aca="1" ref="V381" ca="1">_xlfn.IFS(ISBLANK(NumberOfPlots),"Enter the number of homes on the 1_SetUp sheet",AND(A381&gt;NumberOfPlots,ISBLANK(INDEX(PlotData,MATCH($A381,PlotNumber,0),MATCH(B$3,PlotTitles,0)))),"No error",NOT(B381=""),B381,NOT(C381=""),C381,NOT(D381=""),D381,NOT(E381=""),E381,NOT(F381=""),F381,NOT(G381=""),G381,NOT(H381=""),H381,NOT(I381=""),I381,NOT(J381=""),J381,NOT(K381=""),K381,NOT(L381=""),L381,NOT(M381=""),M381,NOT(N381=""),N381,NOT(O381=""),O381,NOT(P381=""),P381,NOT(Q381=""),Q381,NOT(R381=""),R381,NOT(S381=""),S381,NOT(T381=""),T381,NOT(U381=""),U381,TRUE,"No error")</f>
        <v>Enter the number of homes on the 1_SetUp sheet</v>
      </c>
      <c r="W381" s="114" t="str">
        <f t="shared" ca="1" si="17"/>
        <v xml:space="preserve">The Borrower has not addressed the following error messages for Home ID 377: </v>
      </c>
    </row>
    <row r="382" spans="1:23">
      <c r="A382" s="123">
        <v>378</v>
      </c>
      <c r="B382" s="104" t="str" cm="1">
        <f t="array" ref="B382">_xlfn.IFS(AND(A382&gt;NumberOfPlots,ISBLANK(INDEX(PlotData,MATCH($A382,PlotNumber,0),MATCH(B$3,PlotTitles,0)))),"",ISNUMBER(INDEX(PlotData,MATCH($A382,PlotNumber,0),MATCH(B$3,PlotTitles,0)))=FALSE, $AB$5,TRUE,"")</f>
        <v/>
      </c>
      <c r="C382" s="104" t="str" cm="1">
        <f t="array" ref="C382">_xlfn.IFS(AND(A382&gt;NumberOfPlots,ISBLANK(INDEX(PlotData,MATCH($A382,PlotNumber,0),MATCH(B$3,PlotTitles,0)))),"",ISBLANK(INDEX(PlotData,MATCH($A382,PlotNumber,0),MATCH(C$3,PlotTitles,0))),$AB$6,TRUE,"")</f>
        <v/>
      </c>
      <c r="D382" s="104" t="str" cm="1">
        <f t="array" ref="D382">_xlfn.IFS(AND(A382&gt;NumberOfPlots,ISBLANK(INDEX(PlotData,MATCH($A382,PlotNumber,0),MATCH(B$3,PlotTitles,0)))),"",ISBLANK(INDEX(PlotData,MATCH($A382,PlotNumber,0),MATCH(D$3,PlotTitles,0))),$AB$7,TRUE,"")</f>
        <v/>
      </c>
      <c r="E382" s="104" t="str" cm="1">
        <f t="array" ref="E382">_xlfn.IFS(AND(A382&gt;NumberOfPlots,ISBLANK(INDEX(PlotData,MATCH($A382,PlotNumber,0),MATCH(B$3,PlotTitles,0)))),"",ISBLANK(INDEX(PlotData,MATCH($A382,PlotNumber,0),MATCH(E$3,PlotTitles,0))),$AB$8,TRUE,"")</f>
        <v/>
      </c>
      <c r="F382" s="104" t="str" cm="1">
        <f t="array" ref="F382">_xlfn.IFS(AND(A382&gt;NumberOfPlots,ISBLANK(INDEX(PlotData,MATCH($A382,PlotNumber,0),MATCH(B$3,PlotTitles,0)))),"",ISBLANK(INDEX(PlotData,MATCH($A382,PlotNumber,0),MATCH(F$3,PlotTitles,0))),$AB$9,TRUE,"")</f>
        <v/>
      </c>
      <c r="G382" s="104" t="str" cm="1">
        <f t="array" ref="G382">_xlfn.IFS(AND(A382&gt;NumberOfPlots,ISBLANK(INDEX(PlotData,MATCH($A382,PlotNumber,0),MATCH(B$3,PlotTitles,0)))),"",ISBLANK(INDEX(PlotData,MATCH($A382,PlotNumber,0),MATCH(G$3,PlotTitles,0))),$AB$10,TRUE,"")</f>
        <v/>
      </c>
      <c r="H382" s="104" t="str" cm="1">
        <f t="array" ref="H382">_xlfn.IFS(AND(A382&gt;NumberOfPlots,ISBLANK(INDEX(PlotData,MATCH($A382,PlotNumber,0),MATCH(B$3,PlotTitles,0)))),"",AND(ISBLANK(INDEX(PlotData,MATCH($A382,PlotNumber,0),MATCH(H$3,PlotTitles,0)))=FALSE,INDEX(PlotData,MATCH($A382,PlotNumber,0),MATCH(H$3,PlotTitles,0))&lt;500), $AB$11,TRUE,"")</f>
        <v/>
      </c>
      <c r="I382" s="104" t="str" cm="1">
        <f t="array" ref="I382">_xlfn.IFS(AND(A382&gt;NumberOfPlots,ISBLANK(INDEX(PlotData,MATCH($A382,PlotNumber,0),MATCH(B$3,PlotTitles,0)))),"",ISBLANK(INDEX(PlotData,MATCH($A382,PlotNumber,0),MATCH(I$3,PlotTitles,0))),$AB$12,TRUE,"")</f>
        <v/>
      </c>
      <c r="J382" s="104" t="str" cm="1">
        <f t="array" ref="J382">_xlfn.IFS(AND(A382&gt;NumberOfPlots,ISBLANK(INDEX(PlotData,MATCH($A382,PlotNumber,0),MATCH(B$3,PlotTitles,0)))),"",ISBLANK(INDEX(PlotData,MATCH($A382,PlotNumber,0),MATCH(J$3,PlotTitles,0))),$AB$13,TRUE,"")</f>
        <v/>
      </c>
      <c r="K382" s="182" t="str">
        <f t="shared" ca="1" si="15"/>
        <v/>
      </c>
      <c r="L382" s="104" t="str" cm="1">
        <f t="array" ref="L382">_xlfn.IFS(OR(ISBLANK(StartDateMonth),ISBLANK(StartDateYear)),"",AND(A382&gt;NumberOfPlots,ISBLANK(INDEX(PlotData,MATCH($A382,PlotNumber,0),MATCH(B$3,PlotTitles,0)))),"",ISBLANK(INDEX(PlotData,MATCH($A382,PlotNumber,0),MATCH(I$3,PlotTitles,0))),"",(DATEVALUE(INDEX(PlotData,MATCH($A382,PlotNumber,0),MATCH(I$3,PlotTitles,0))&amp;INDEX(PlotData,MATCH($A382,PlotNumber,0),MATCH(J$3,PlotTitles,0))))&lt;DATEVALUE(StartDateMonth&amp;StartDateYear),$AB$15,TRUE,"")</f>
        <v/>
      </c>
      <c r="M382" s="104" t="str" cm="1">
        <f t="array" ref="M382">_xlfn.IFS(OR(ISBLANK(StartDateMonth),ISBLANK(StartDateYear)),"",AND(A382&gt;NumberOfPlots,ISBLANK(INDEX(PlotData,MATCH($A382,PlotNumber,0),MATCH(B$3,PlotTitles,0)))),"",ISBLANK(INDEX(PlotData,MATCH($A382,PlotNumber,0),MATCH(I$3,PlotTitles,0))),"",CompletionMonth="","",(DATEVALUE(INDEX(PlotData,MATCH($A382,PlotNumber,0),MATCH(I$3,PlotTitles,0))&amp;INDEX(PlotData,MATCH($A382,PlotNumber,0),MATCH(J$3,PlotTitles,0))))&gt;(DATEVALUE(CompletionMonth&amp;CompletionYear)),$AB$16,TRUE,"")</f>
        <v/>
      </c>
      <c r="N382" s="104" t="str" cm="1">
        <f t="array" ref="N382">_xlfn.IFS(AND(A382&gt;NumberOfPlots,ISBLANK(INDEX(PlotData,MATCH($A382,PlotNumber,0),MATCH(B$3,PlotTitles,0)))),"",ISBLANK(INDEX(PlotData,MATCH($A382,PlotNumber,0),MATCH(N$3,PlotTitles,0))),$AB$17,TRUE,"")</f>
        <v/>
      </c>
      <c r="O382" s="104" t="str" cm="1">
        <f t="array" ref="O382">_xlfn.IFS(AND(A382&gt;NumberOfPlots,ISBLANK(INDEX(PlotData,MATCH($A382,PlotNumber,0),MATCH(B$3,PlotTitles,0)))),"",ISBLANK(INDEX(PlotData,MATCH($A382,PlotNumber,0),MATCH(O$3,PlotTitles,0))),$AB$18,TRUE,"")</f>
        <v/>
      </c>
      <c r="P382" s="182" t="str">
        <f t="shared" ca="1" si="16"/>
        <v/>
      </c>
      <c r="Q382" s="104" t="str" cm="1">
        <f t="array" ref="Q382">_xlfn.IFS(AND(A382&gt;NumberOfPlots,ISBLANK(INDEX(PlotData,MATCH($A382,PlotNumber,0),MATCH(B$3,PlotTitles,0)))),"",ISBLANK(INDEX(PlotData,MATCH($A382,PlotNumber,0),MATCH(N$3,PlotTitles,0))),"",(DATEVALUE(INDEX(PlotData,MATCH($A382,PlotNumber,0),MATCH(N$3,PlotTitles,0))&amp;INDEX(PlotData,MATCH($A382,PlotNumber,0),MATCH(O$3,PlotTitles,0))))&lt;(DATEVALUE(INDEX(PlotData,MATCH($A382,PlotNumber,0),MATCH(I$3,PlotTitles,0))&amp;INDEX(PlotData,MATCH($A382,PlotNumber,0),MATCH(J$3,PlotTitles,0)))),$AB$20,TRUE,"")</f>
        <v/>
      </c>
      <c r="R382" s="104" t="str" cm="1">
        <f t="array" ref="R382">_xlfn.IFS(OR(ISBLANK(StartDateMonth),ISBLANK(StartDateYear)),"",AND(A382&gt;NumberOfPlots,ISBLANK(INDEX(PlotData,MATCH($A382,PlotNumber,0),MATCH(B$3,PlotTitles,0)))),"",ISBLANK(INDEX(PlotData,MATCH($A382,PlotNumber,0),MATCH(N$3,PlotTitles,0))),"",CompletionMonth="","",(DATEVALUE(INDEX(PlotData,MATCH($A382,PlotNumber,0),MATCH(N$3,PlotTitles,0))&amp;INDEX(PlotData,MATCH($A382,PlotNumber,0),MATCH(O$3,PlotTitles,0))))&gt;(DATEVALUE(CompletionMonth&amp;CompletionYear)),$AB$21,TRUE,"")</f>
        <v/>
      </c>
      <c r="S382" s="104" t="str" cm="1">
        <f t="array" ref="S382">_xlfn.IFS(AND(A382&gt;NumberOfPlots,ISBLANK(INDEX(PlotData,MATCH($A382,PlotNumber,0),MATCH(B$3,PlotTitles,0)))),"",OR(AND(INDEX(PlotData,MATCH($A382,PlotNumber,0),MATCH("Tenure",PlotTitles,0))="Open market housing",INDEX(PlotData,MATCH($A382,PlotNumber,0),MATCH("Tenure detail",PlotTitles,0))="Private rented sector"),INDEX(PlotData,MATCH($A382,PlotNumber,0),MATCH("Tenure",PlotTitles,0))="Affordable rent"),"",ISNUMBER(INDEX(PlotData,MATCH($A382,PlotNumber,0),MATCH(S$3,PlotTitles,0)))=FALSE, $AB$22,TRUE,"")</f>
        <v/>
      </c>
      <c r="T382" s="104" t="str" cm="1">
        <f t="array" ref="T382">_xlfn.IFS(AND(A382&gt;NumberOfPlots,ISBLANK(INDEX(PlotData,MATCH($A382,PlotNumber,0),MATCH(B$3,PlotTitles,0)))),"",OR(AND(INDEX(PlotData,MATCH($A382,PlotNumber,0),MATCH("Tenure",PlotTitles,0))="Open market housing",INDEX(PlotData,MATCH($A382,PlotNumber,0),MATCH("Tenure detail",PlotTitles,0))="Private rented sector"),INDEX(PlotData,MATCH($A382,PlotNumber,0),MATCH("Tenure",PlotTitles,0))="Affordable rent"),"",INDEX(PlotData,MATCH($A382,PlotNumber,0),MATCH(S$3,PlotTitles,0))&lt;10000, $AB$23,TRUE,"")</f>
        <v/>
      </c>
      <c r="U382" s="104" t="str" cm="1">
        <f t="array" ref="U382">_xlfn.IFS(AND(A382&gt;NumberOfPlots,ISBLANK(INDEX(PlotData,MATCH($A382,PlotNumber,0),MATCH(B$3,PlotTitles,0)))),"",NOT(OR(AND(INDEX(PlotData,MATCH($A382,PlotNumber,0),MATCH("Tenure",PlotTitles,0))="Open market housing",INDEX(PlotData,MATCH($A382,PlotNumber,0),MATCH("Tenure detail",PlotTitles,0))="Private rented sector"),INDEX(PlotData,MATCH($A382,PlotNumber,0),MATCH("Tenure",PlotTitles,0))="Affordable rent")),"",NOT(INDEX(PlotData,MATCH($A382,PlotNumber,0),MATCH(S$3,PlotTitles,0))=0), $AB$24,TRUE,"")</f>
        <v/>
      </c>
      <c r="V382" s="114" t="str" cm="1">
        <f t="array" aca="1" ref="V382" ca="1">_xlfn.IFS(ISBLANK(NumberOfPlots),"Enter the number of homes on the 1_SetUp sheet",AND(A382&gt;NumberOfPlots,ISBLANK(INDEX(PlotData,MATCH($A382,PlotNumber,0),MATCH(B$3,PlotTitles,0)))),"No error",NOT(B382=""),B382,NOT(C382=""),C382,NOT(D382=""),D382,NOT(E382=""),E382,NOT(F382=""),F382,NOT(G382=""),G382,NOT(H382=""),H382,NOT(I382=""),I382,NOT(J382=""),J382,NOT(K382=""),K382,NOT(L382=""),L382,NOT(M382=""),M382,NOT(N382=""),N382,NOT(O382=""),O382,NOT(P382=""),P382,NOT(Q382=""),Q382,NOT(R382=""),R382,NOT(S382=""),S382,NOT(T382=""),T382,NOT(U382=""),U382,TRUE,"No error")</f>
        <v>Enter the number of homes on the 1_SetUp sheet</v>
      </c>
      <c r="W382" s="114" t="str">
        <f t="shared" ca="1" si="17"/>
        <v xml:space="preserve">The Borrower has not addressed the following error messages for Home ID 378: </v>
      </c>
    </row>
    <row r="383" spans="1:23">
      <c r="A383" s="123">
        <v>379</v>
      </c>
      <c r="B383" s="104" t="str" cm="1">
        <f t="array" ref="B383">_xlfn.IFS(AND(A383&gt;NumberOfPlots,ISBLANK(INDEX(PlotData,MATCH($A383,PlotNumber,0),MATCH(B$3,PlotTitles,0)))),"",ISNUMBER(INDEX(PlotData,MATCH($A383,PlotNumber,0),MATCH(B$3,PlotTitles,0)))=FALSE, $AB$5,TRUE,"")</f>
        <v/>
      </c>
      <c r="C383" s="104" t="str" cm="1">
        <f t="array" ref="C383">_xlfn.IFS(AND(A383&gt;NumberOfPlots,ISBLANK(INDEX(PlotData,MATCH($A383,PlotNumber,0),MATCH(B$3,PlotTitles,0)))),"",ISBLANK(INDEX(PlotData,MATCH($A383,PlotNumber,0),MATCH(C$3,PlotTitles,0))),$AB$6,TRUE,"")</f>
        <v/>
      </c>
      <c r="D383" s="104" t="str" cm="1">
        <f t="array" ref="D383">_xlfn.IFS(AND(A383&gt;NumberOfPlots,ISBLANK(INDEX(PlotData,MATCH($A383,PlotNumber,0),MATCH(B$3,PlotTitles,0)))),"",ISBLANK(INDEX(PlotData,MATCH($A383,PlotNumber,0),MATCH(D$3,PlotTitles,0))),$AB$7,TRUE,"")</f>
        <v/>
      </c>
      <c r="E383" s="104" t="str" cm="1">
        <f t="array" ref="E383">_xlfn.IFS(AND(A383&gt;NumberOfPlots,ISBLANK(INDEX(PlotData,MATCH($A383,PlotNumber,0),MATCH(B$3,PlotTitles,0)))),"",ISBLANK(INDEX(PlotData,MATCH($A383,PlotNumber,0),MATCH(E$3,PlotTitles,0))),$AB$8,TRUE,"")</f>
        <v/>
      </c>
      <c r="F383" s="104" t="str" cm="1">
        <f t="array" ref="F383">_xlfn.IFS(AND(A383&gt;NumberOfPlots,ISBLANK(INDEX(PlotData,MATCH($A383,PlotNumber,0),MATCH(B$3,PlotTitles,0)))),"",ISBLANK(INDEX(PlotData,MATCH($A383,PlotNumber,0),MATCH(F$3,PlotTitles,0))),$AB$9,TRUE,"")</f>
        <v/>
      </c>
      <c r="G383" s="104" t="str" cm="1">
        <f t="array" ref="G383">_xlfn.IFS(AND(A383&gt;NumberOfPlots,ISBLANK(INDEX(PlotData,MATCH($A383,PlotNumber,0),MATCH(B$3,PlotTitles,0)))),"",ISBLANK(INDEX(PlotData,MATCH($A383,PlotNumber,0),MATCH(G$3,PlotTitles,0))),$AB$10,TRUE,"")</f>
        <v/>
      </c>
      <c r="H383" s="104" t="str" cm="1">
        <f t="array" ref="H383">_xlfn.IFS(AND(A383&gt;NumberOfPlots,ISBLANK(INDEX(PlotData,MATCH($A383,PlotNumber,0),MATCH(B$3,PlotTitles,0)))),"",AND(ISBLANK(INDEX(PlotData,MATCH($A383,PlotNumber,0),MATCH(H$3,PlotTitles,0)))=FALSE,INDEX(PlotData,MATCH($A383,PlotNumber,0),MATCH(H$3,PlotTitles,0))&lt;500), $AB$11,TRUE,"")</f>
        <v/>
      </c>
      <c r="I383" s="104" t="str" cm="1">
        <f t="array" ref="I383">_xlfn.IFS(AND(A383&gt;NumberOfPlots,ISBLANK(INDEX(PlotData,MATCH($A383,PlotNumber,0),MATCH(B$3,PlotTitles,0)))),"",ISBLANK(INDEX(PlotData,MATCH($A383,PlotNumber,0),MATCH(I$3,PlotTitles,0))),$AB$12,TRUE,"")</f>
        <v/>
      </c>
      <c r="J383" s="104" t="str" cm="1">
        <f t="array" ref="J383">_xlfn.IFS(AND(A383&gt;NumberOfPlots,ISBLANK(INDEX(PlotData,MATCH($A383,PlotNumber,0),MATCH(B$3,PlotTitles,0)))),"",ISBLANK(INDEX(PlotData,MATCH($A383,PlotNumber,0),MATCH(J$3,PlotTitles,0))),$AB$13,TRUE,"")</f>
        <v/>
      </c>
      <c r="K383" s="182" t="str">
        <f t="shared" ca="1" si="15"/>
        <v/>
      </c>
      <c r="L383" s="104" t="str" cm="1">
        <f t="array" ref="L383">_xlfn.IFS(OR(ISBLANK(StartDateMonth),ISBLANK(StartDateYear)),"",AND(A383&gt;NumberOfPlots,ISBLANK(INDEX(PlotData,MATCH($A383,PlotNumber,0),MATCH(B$3,PlotTitles,0)))),"",ISBLANK(INDEX(PlotData,MATCH($A383,PlotNumber,0),MATCH(I$3,PlotTitles,0))),"",(DATEVALUE(INDEX(PlotData,MATCH($A383,PlotNumber,0),MATCH(I$3,PlotTitles,0))&amp;INDEX(PlotData,MATCH($A383,PlotNumber,0),MATCH(J$3,PlotTitles,0))))&lt;DATEVALUE(StartDateMonth&amp;StartDateYear),$AB$15,TRUE,"")</f>
        <v/>
      </c>
      <c r="M383" s="104" t="str" cm="1">
        <f t="array" ref="M383">_xlfn.IFS(OR(ISBLANK(StartDateMonth),ISBLANK(StartDateYear)),"",AND(A383&gt;NumberOfPlots,ISBLANK(INDEX(PlotData,MATCH($A383,PlotNumber,0),MATCH(B$3,PlotTitles,0)))),"",ISBLANK(INDEX(PlotData,MATCH($A383,PlotNumber,0),MATCH(I$3,PlotTitles,0))),"",CompletionMonth="","",(DATEVALUE(INDEX(PlotData,MATCH($A383,PlotNumber,0),MATCH(I$3,PlotTitles,0))&amp;INDEX(PlotData,MATCH($A383,PlotNumber,0),MATCH(J$3,PlotTitles,0))))&gt;(DATEVALUE(CompletionMonth&amp;CompletionYear)),$AB$16,TRUE,"")</f>
        <v/>
      </c>
      <c r="N383" s="104" t="str" cm="1">
        <f t="array" ref="N383">_xlfn.IFS(AND(A383&gt;NumberOfPlots,ISBLANK(INDEX(PlotData,MATCH($A383,PlotNumber,0),MATCH(B$3,PlotTitles,0)))),"",ISBLANK(INDEX(PlotData,MATCH($A383,PlotNumber,0),MATCH(N$3,PlotTitles,0))),$AB$17,TRUE,"")</f>
        <v/>
      </c>
      <c r="O383" s="104" t="str" cm="1">
        <f t="array" ref="O383">_xlfn.IFS(AND(A383&gt;NumberOfPlots,ISBLANK(INDEX(PlotData,MATCH($A383,PlotNumber,0),MATCH(B$3,PlotTitles,0)))),"",ISBLANK(INDEX(PlotData,MATCH($A383,PlotNumber,0),MATCH(O$3,PlotTitles,0))),$AB$18,TRUE,"")</f>
        <v/>
      </c>
      <c r="P383" s="182" t="str">
        <f t="shared" ca="1" si="16"/>
        <v/>
      </c>
      <c r="Q383" s="104" t="str" cm="1">
        <f t="array" ref="Q383">_xlfn.IFS(AND(A383&gt;NumberOfPlots,ISBLANK(INDEX(PlotData,MATCH($A383,PlotNumber,0),MATCH(B$3,PlotTitles,0)))),"",ISBLANK(INDEX(PlotData,MATCH($A383,PlotNumber,0),MATCH(N$3,PlotTitles,0))),"",(DATEVALUE(INDEX(PlotData,MATCH($A383,PlotNumber,0),MATCH(N$3,PlotTitles,0))&amp;INDEX(PlotData,MATCH($A383,PlotNumber,0),MATCH(O$3,PlotTitles,0))))&lt;(DATEVALUE(INDEX(PlotData,MATCH($A383,PlotNumber,0),MATCH(I$3,PlotTitles,0))&amp;INDEX(PlotData,MATCH($A383,PlotNumber,0),MATCH(J$3,PlotTitles,0)))),$AB$20,TRUE,"")</f>
        <v/>
      </c>
      <c r="R383" s="104" t="str" cm="1">
        <f t="array" ref="R383">_xlfn.IFS(OR(ISBLANK(StartDateMonth),ISBLANK(StartDateYear)),"",AND(A383&gt;NumberOfPlots,ISBLANK(INDEX(PlotData,MATCH($A383,PlotNumber,0),MATCH(B$3,PlotTitles,0)))),"",ISBLANK(INDEX(PlotData,MATCH($A383,PlotNumber,0),MATCH(N$3,PlotTitles,0))),"",CompletionMonth="","",(DATEVALUE(INDEX(PlotData,MATCH($A383,PlotNumber,0),MATCH(N$3,PlotTitles,0))&amp;INDEX(PlotData,MATCH($A383,PlotNumber,0),MATCH(O$3,PlotTitles,0))))&gt;(DATEVALUE(CompletionMonth&amp;CompletionYear)),$AB$21,TRUE,"")</f>
        <v/>
      </c>
      <c r="S383" s="104" t="str" cm="1">
        <f t="array" ref="S383">_xlfn.IFS(AND(A383&gt;NumberOfPlots,ISBLANK(INDEX(PlotData,MATCH($A383,PlotNumber,0),MATCH(B$3,PlotTitles,0)))),"",OR(AND(INDEX(PlotData,MATCH($A383,PlotNumber,0),MATCH("Tenure",PlotTitles,0))="Open market housing",INDEX(PlotData,MATCH($A383,PlotNumber,0),MATCH("Tenure detail",PlotTitles,0))="Private rented sector"),INDEX(PlotData,MATCH($A383,PlotNumber,0),MATCH("Tenure",PlotTitles,0))="Affordable rent"),"",ISNUMBER(INDEX(PlotData,MATCH($A383,PlotNumber,0),MATCH(S$3,PlotTitles,0)))=FALSE, $AB$22,TRUE,"")</f>
        <v/>
      </c>
      <c r="T383" s="104" t="str" cm="1">
        <f t="array" ref="T383">_xlfn.IFS(AND(A383&gt;NumberOfPlots,ISBLANK(INDEX(PlotData,MATCH($A383,PlotNumber,0),MATCH(B$3,PlotTitles,0)))),"",OR(AND(INDEX(PlotData,MATCH($A383,PlotNumber,0),MATCH("Tenure",PlotTitles,0))="Open market housing",INDEX(PlotData,MATCH($A383,PlotNumber,0),MATCH("Tenure detail",PlotTitles,0))="Private rented sector"),INDEX(PlotData,MATCH($A383,PlotNumber,0),MATCH("Tenure",PlotTitles,0))="Affordable rent"),"",INDEX(PlotData,MATCH($A383,PlotNumber,0),MATCH(S$3,PlotTitles,0))&lt;10000, $AB$23,TRUE,"")</f>
        <v/>
      </c>
      <c r="U383" s="104" t="str" cm="1">
        <f t="array" ref="U383">_xlfn.IFS(AND(A383&gt;NumberOfPlots,ISBLANK(INDEX(PlotData,MATCH($A383,PlotNumber,0),MATCH(B$3,PlotTitles,0)))),"",NOT(OR(AND(INDEX(PlotData,MATCH($A383,PlotNumber,0),MATCH("Tenure",PlotTitles,0))="Open market housing",INDEX(PlotData,MATCH($A383,PlotNumber,0),MATCH("Tenure detail",PlotTitles,0))="Private rented sector"),INDEX(PlotData,MATCH($A383,PlotNumber,0),MATCH("Tenure",PlotTitles,0))="Affordable rent")),"",NOT(INDEX(PlotData,MATCH($A383,PlotNumber,0),MATCH(S$3,PlotTitles,0))=0), $AB$24,TRUE,"")</f>
        <v/>
      </c>
      <c r="V383" s="114" t="str" cm="1">
        <f t="array" aca="1" ref="V383" ca="1">_xlfn.IFS(ISBLANK(NumberOfPlots),"Enter the number of homes on the 1_SetUp sheet",AND(A383&gt;NumberOfPlots,ISBLANK(INDEX(PlotData,MATCH($A383,PlotNumber,0),MATCH(B$3,PlotTitles,0)))),"No error",NOT(B383=""),B383,NOT(C383=""),C383,NOT(D383=""),D383,NOT(E383=""),E383,NOT(F383=""),F383,NOT(G383=""),G383,NOT(H383=""),H383,NOT(I383=""),I383,NOT(J383=""),J383,NOT(K383=""),K383,NOT(L383=""),L383,NOT(M383=""),M383,NOT(N383=""),N383,NOT(O383=""),O383,NOT(P383=""),P383,NOT(Q383=""),Q383,NOT(R383=""),R383,NOT(S383=""),S383,NOT(T383=""),T383,NOT(U383=""),U383,TRUE,"No error")</f>
        <v>Enter the number of homes on the 1_SetUp sheet</v>
      </c>
      <c r="W383" s="114" t="str">
        <f t="shared" ca="1" si="17"/>
        <v xml:space="preserve">The Borrower has not addressed the following error messages for Home ID 379: </v>
      </c>
    </row>
    <row r="384" spans="1:23">
      <c r="A384" s="123">
        <v>380</v>
      </c>
      <c r="B384" s="104" t="str" cm="1">
        <f t="array" ref="B384">_xlfn.IFS(AND(A384&gt;NumberOfPlots,ISBLANK(INDEX(PlotData,MATCH($A384,PlotNumber,0),MATCH(B$3,PlotTitles,0)))),"",ISNUMBER(INDEX(PlotData,MATCH($A384,PlotNumber,0),MATCH(B$3,PlotTitles,0)))=FALSE, $AB$5,TRUE,"")</f>
        <v/>
      </c>
      <c r="C384" s="104" t="str" cm="1">
        <f t="array" ref="C384">_xlfn.IFS(AND(A384&gt;NumberOfPlots,ISBLANK(INDEX(PlotData,MATCH($A384,PlotNumber,0),MATCH(B$3,PlotTitles,0)))),"",ISBLANK(INDEX(PlotData,MATCH($A384,PlotNumber,0),MATCH(C$3,PlotTitles,0))),$AB$6,TRUE,"")</f>
        <v/>
      </c>
      <c r="D384" s="104" t="str" cm="1">
        <f t="array" ref="D384">_xlfn.IFS(AND(A384&gt;NumberOfPlots,ISBLANK(INDEX(PlotData,MATCH($A384,PlotNumber,0),MATCH(B$3,PlotTitles,0)))),"",ISBLANK(INDEX(PlotData,MATCH($A384,PlotNumber,0),MATCH(D$3,PlotTitles,0))),$AB$7,TRUE,"")</f>
        <v/>
      </c>
      <c r="E384" s="104" t="str" cm="1">
        <f t="array" ref="E384">_xlfn.IFS(AND(A384&gt;NumberOfPlots,ISBLANK(INDEX(PlotData,MATCH($A384,PlotNumber,0),MATCH(B$3,PlotTitles,0)))),"",ISBLANK(INDEX(PlotData,MATCH($A384,PlotNumber,0),MATCH(E$3,PlotTitles,0))),$AB$8,TRUE,"")</f>
        <v/>
      </c>
      <c r="F384" s="104" t="str" cm="1">
        <f t="array" ref="F384">_xlfn.IFS(AND(A384&gt;NumberOfPlots,ISBLANK(INDEX(PlotData,MATCH($A384,PlotNumber,0),MATCH(B$3,PlotTitles,0)))),"",ISBLANK(INDEX(PlotData,MATCH($A384,PlotNumber,0),MATCH(F$3,PlotTitles,0))),$AB$9,TRUE,"")</f>
        <v/>
      </c>
      <c r="G384" s="104" t="str" cm="1">
        <f t="array" ref="G384">_xlfn.IFS(AND(A384&gt;NumberOfPlots,ISBLANK(INDEX(PlotData,MATCH($A384,PlotNumber,0),MATCH(B$3,PlotTitles,0)))),"",ISBLANK(INDEX(PlotData,MATCH($A384,PlotNumber,0),MATCH(G$3,PlotTitles,0))),$AB$10,TRUE,"")</f>
        <v/>
      </c>
      <c r="H384" s="104" t="str" cm="1">
        <f t="array" ref="H384">_xlfn.IFS(AND(A384&gt;NumberOfPlots,ISBLANK(INDEX(PlotData,MATCH($A384,PlotNumber,0),MATCH(B$3,PlotTitles,0)))),"",AND(ISBLANK(INDEX(PlotData,MATCH($A384,PlotNumber,0),MATCH(H$3,PlotTitles,0)))=FALSE,INDEX(PlotData,MATCH($A384,PlotNumber,0),MATCH(H$3,PlotTitles,0))&lt;500), $AB$11,TRUE,"")</f>
        <v/>
      </c>
      <c r="I384" s="104" t="str" cm="1">
        <f t="array" ref="I384">_xlfn.IFS(AND(A384&gt;NumberOfPlots,ISBLANK(INDEX(PlotData,MATCH($A384,PlotNumber,0),MATCH(B$3,PlotTitles,0)))),"",ISBLANK(INDEX(PlotData,MATCH($A384,PlotNumber,0),MATCH(I$3,PlotTitles,0))),$AB$12,TRUE,"")</f>
        <v/>
      </c>
      <c r="J384" s="104" t="str" cm="1">
        <f t="array" ref="J384">_xlfn.IFS(AND(A384&gt;NumberOfPlots,ISBLANK(INDEX(PlotData,MATCH($A384,PlotNumber,0),MATCH(B$3,PlotTitles,0)))),"",ISBLANK(INDEX(PlotData,MATCH($A384,PlotNumber,0),MATCH(J$3,PlotTitles,0))),$AB$13,TRUE,"")</f>
        <v/>
      </c>
      <c r="K384" s="182" t="str">
        <f t="shared" ca="1" si="15"/>
        <v/>
      </c>
      <c r="L384" s="104" t="str" cm="1">
        <f t="array" ref="L384">_xlfn.IFS(OR(ISBLANK(StartDateMonth),ISBLANK(StartDateYear)),"",AND(A384&gt;NumberOfPlots,ISBLANK(INDEX(PlotData,MATCH($A384,PlotNumber,0),MATCH(B$3,PlotTitles,0)))),"",ISBLANK(INDEX(PlotData,MATCH($A384,PlotNumber,0),MATCH(I$3,PlotTitles,0))),"",(DATEVALUE(INDEX(PlotData,MATCH($A384,PlotNumber,0),MATCH(I$3,PlotTitles,0))&amp;INDEX(PlotData,MATCH($A384,PlotNumber,0),MATCH(J$3,PlotTitles,0))))&lt;DATEVALUE(StartDateMonth&amp;StartDateYear),$AB$15,TRUE,"")</f>
        <v/>
      </c>
      <c r="M384" s="104" t="str" cm="1">
        <f t="array" ref="M384">_xlfn.IFS(OR(ISBLANK(StartDateMonth),ISBLANK(StartDateYear)),"",AND(A384&gt;NumberOfPlots,ISBLANK(INDEX(PlotData,MATCH($A384,PlotNumber,0),MATCH(B$3,PlotTitles,0)))),"",ISBLANK(INDEX(PlotData,MATCH($A384,PlotNumber,0),MATCH(I$3,PlotTitles,0))),"",CompletionMonth="","",(DATEVALUE(INDEX(PlotData,MATCH($A384,PlotNumber,0),MATCH(I$3,PlotTitles,0))&amp;INDEX(PlotData,MATCH($A384,PlotNumber,0),MATCH(J$3,PlotTitles,0))))&gt;(DATEVALUE(CompletionMonth&amp;CompletionYear)),$AB$16,TRUE,"")</f>
        <v/>
      </c>
      <c r="N384" s="104" t="str" cm="1">
        <f t="array" ref="N384">_xlfn.IFS(AND(A384&gt;NumberOfPlots,ISBLANK(INDEX(PlotData,MATCH($A384,PlotNumber,0),MATCH(B$3,PlotTitles,0)))),"",ISBLANK(INDEX(PlotData,MATCH($A384,PlotNumber,0),MATCH(N$3,PlotTitles,0))),$AB$17,TRUE,"")</f>
        <v/>
      </c>
      <c r="O384" s="104" t="str" cm="1">
        <f t="array" ref="O384">_xlfn.IFS(AND(A384&gt;NumberOfPlots,ISBLANK(INDEX(PlotData,MATCH($A384,PlotNumber,0),MATCH(B$3,PlotTitles,0)))),"",ISBLANK(INDEX(PlotData,MATCH($A384,PlotNumber,0),MATCH(O$3,PlotTitles,0))),$AB$18,TRUE,"")</f>
        <v/>
      </c>
      <c r="P384" s="182" t="str">
        <f t="shared" ca="1" si="16"/>
        <v/>
      </c>
      <c r="Q384" s="104" t="str" cm="1">
        <f t="array" ref="Q384">_xlfn.IFS(AND(A384&gt;NumberOfPlots,ISBLANK(INDEX(PlotData,MATCH($A384,PlotNumber,0),MATCH(B$3,PlotTitles,0)))),"",ISBLANK(INDEX(PlotData,MATCH($A384,PlotNumber,0),MATCH(N$3,PlotTitles,0))),"",(DATEVALUE(INDEX(PlotData,MATCH($A384,PlotNumber,0),MATCH(N$3,PlotTitles,0))&amp;INDEX(PlotData,MATCH($A384,PlotNumber,0),MATCH(O$3,PlotTitles,0))))&lt;(DATEVALUE(INDEX(PlotData,MATCH($A384,PlotNumber,0),MATCH(I$3,PlotTitles,0))&amp;INDEX(PlotData,MATCH($A384,PlotNumber,0),MATCH(J$3,PlotTitles,0)))),$AB$20,TRUE,"")</f>
        <v/>
      </c>
      <c r="R384" s="104" t="str" cm="1">
        <f t="array" ref="R384">_xlfn.IFS(OR(ISBLANK(StartDateMonth),ISBLANK(StartDateYear)),"",AND(A384&gt;NumberOfPlots,ISBLANK(INDEX(PlotData,MATCH($A384,PlotNumber,0),MATCH(B$3,PlotTitles,0)))),"",ISBLANK(INDEX(PlotData,MATCH($A384,PlotNumber,0),MATCH(N$3,PlotTitles,0))),"",CompletionMonth="","",(DATEVALUE(INDEX(PlotData,MATCH($A384,PlotNumber,0),MATCH(N$3,PlotTitles,0))&amp;INDEX(PlotData,MATCH($A384,PlotNumber,0),MATCH(O$3,PlotTitles,0))))&gt;(DATEVALUE(CompletionMonth&amp;CompletionYear)),$AB$21,TRUE,"")</f>
        <v/>
      </c>
      <c r="S384" s="104" t="str" cm="1">
        <f t="array" ref="S384">_xlfn.IFS(AND(A384&gt;NumberOfPlots,ISBLANK(INDEX(PlotData,MATCH($A384,PlotNumber,0),MATCH(B$3,PlotTitles,0)))),"",OR(AND(INDEX(PlotData,MATCH($A384,PlotNumber,0),MATCH("Tenure",PlotTitles,0))="Open market housing",INDEX(PlotData,MATCH($A384,PlotNumber,0),MATCH("Tenure detail",PlotTitles,0))="Private rented sector"),INDEX(PlotData,MATCH($A384,PlotNumber,0),MATCH("Tenure",PlotTitles,0))="Affordable rent"),"",ISNUMBER(INDEX(PlotData,MATCH($A384,PlotNumber,0),MATCH(S$3,PlotTitles,0)))=FALSE, $AB$22,TRUE,"")</f>
        <v/>
      </c>
      <c r="T384" s="104" t="str" cm="1">
        <f t="array" ref="T384">_xlfn.IFS(AND(A384&gt;NumberOfPlots,ISBLANK(INDEX(PlotData,MATCH($A384,PlotNumber,0),MATCH(B$3,PlotTitles,0)))),"",OR(AND(INDEX(PlotData,MATCH($A384,PlotNumber,0),MATCH("Tenure",PlotTitles,0))="Open market housing",INDEX(PlotData,MATCH($A384,PlotNumber,0),MATCH("Tenure detail",PlotTitles,0))="Private rented sector"),INDEX(PlotData,MATCH($A384,PlotNumber,0),MATCH("Tenure",PlotTitles,0))="Affordable rent"),"",INDEX(PlotData,MATCH($A384,PlotNumber,0),MATCH(S$3,PlotTitles,0))&lt;10000, $AB$23,TRUE,"")</f>
        <v/>
      </c>
      <c r="U384" s="104" t="str" cm="1">
        <f t="array" ref="U384">_xlfn.IFS(AND(A384&gt;NumberOfPlots,ISBLANK(INDEX(PlotData,MATCH($A384,PlotNumber,0),MATCH(B$3,PlotTitles,0)))),"",NOT(OR(AND(INDEX(PlotData,MATCH($A384,PlotNumber,0),MATCH("Tenure",PlotTitles,0))="Open market housing",INDEX(PlotData,MATCH($A384,PlotNumber,0),MATCH("Tenure detail",PlotTitles,0))="Private rented sector"),INDEX(PlotData,MATCH($A384,PlotNumber,0),MATCH("Tenure",PlotTitles,0))="Affordable rent")),"",NOT(INDEX(PlotData,MATCH($A384,PlotNumber,0),MATCH(S$3,PlotTitles,0))=0), $AB$24,TRUE,"")</f>
        <v/>
      </c>
      <c r="V384" s="114" t="str" cm="1">
        <f t="array" aca="1" ref="V384" ca="1">_xlfn.IFS(ISBLANK(NumberOfPlots),"Enter the number of homes on the 1_SetUp sheet",AND(A384&gt;NumberOfPlots,ISBLANK(INDEX(PlotData,MATCH($A384,PlotNumber,0),MATCH(B$3,PlotTitles,0)))),"No error",NOT(B384=""),B384,NOT(C384=""),C384,NOT(D384=""),D384,NOT(E384=""),E384,NOT(F384=""),F384,NOT(G384=""),G384,NOT(H384=""),H384,NOT(I384=""),I384,NOT(J384=""),J384,NOT(K384=""),K384,NOT(L384=""),L384,NOT(M384=""),M384,NOT(N384=""),N384,NOT(O384=""),O384,NOT(P384=""),P384,NOT(Q384=""),Q384,NOT(R384=""),R384,NOT(S384=""),S384,NOT(T384=""),T384,NOT(U384=""),U384,TRUE,"No error")</f>
        <v>Enter the number of homes on the 1_SetUp sheet</v>
      </c>
      <c r="W384" s="114" t="str">
        <f t="shared" ca="1" si="17"/>
        <v xml:space="preserve">The Borrower has not addressed the following error messages for Home ID 380: </v>
      </c>
    </row>
    <row r="385" spans="1:23">
      <c r="A385" s="123">
        <v>381</v>
      </c>
      <c r="B385" s="104" t="str" cm="1">
        <f t="array" ref="B385">_xlfn.IFS(AND(A385&gt;NumberOfPlots,ISBLANK(INDEX(PlotData,MATCH($A385,PlotNumber,0),MATCH(B$3,PlotTitles,0)))),"",ISNUMBER(INDEX(PlotData,MATCH($A385,PlotNumber,0),MATCH(B$3,PlotTitles,0)))=FALSE, $AB$5,TRUE,"")</f>
        <v/>
      </c>
      <c r="C385" s="104" t="str" cm="1">
        <f t="array" ref="C385">_xlfn.IFS(AND(A385&gt;NumberOfPlots,ISBLANK(INDEX(PlotData,MATCH($A385,PlotNumber,0),MATCH(B$3,PlotTitles,0)))),"",ISBLANK(INDEX(PlotData,MATCH($A385,PlotNumber,0),MATCH(C$3,PlotTitles,0))),$AB$6,TRUE,"")</f>
        <v/>
      </c>
      <c r="D385" s="104" t="str" cm="1">
        <f t="array" ref="D385">_xlfn.IFS(AND(A385&gt;NumberOfPlots,ISBLANK(INDEX(PlotData,MATCH($A385,PlotNumber,0),MATCH(B$3,PlotTitles,0)))),"",ISBLANK(INDEX(PlotData,MATCH($A385,PlotNumber,0),MATCH(D$3,PlotTitles,0))),$AB$7,TRUE,"")</f>
        <v/>
      </c>
      <c r="E385" s="104" t="str" cm="1">
        <f t="array" ref="E385">_xlfn.IFS(AND(A385&gt;NumberOfPlots,ISBLANK(INDEX(PlotData,MATCH($A385,PlotNumber,0),MATCH(B$3,PlotTitles,0)))),"",ISBLANK(INDEX(PlotData,MATCH($A385,PlotNumber,0),MATCH(E$3,PlotTitles,0))),$AB$8,TRUE,"")</f>
        <v/>
      </c>
      <c r="F385" s="104" t="str" cm="1">
        <f t="array" ref="F385">_xlfn.IFS(AND(A385&gt;NumberOfPlots,ISBLANK(INDEX(PlotData,MATCH($A385,PlotNumber,0),MATCH(B$3,PlotTitles,0)))),"",ISBLANK(INDEX(PlotData,MATCH($A385,PlotNumber,0),MATCH(F$3,PlotTitles,0))),$AB$9,TRUE,"")</f>
        <v/>
      </c>
      <c r="G385" s="104" t="str" cm="1">
        <f t="array" ref="G385">_xlfn.IFS(AND(A385&gt;NumberOfPlots,ISBLANK(INDEX(PlotData,MATCH($A385,PlotNumber,0),MATCH(B$3,PlotTitles,0)))),"",ISBLANK(INDEX(PlotData,MATCH($A385,PlotNumber,0),MATCH(G$3,PlotTitles,0))),$AB$10,TRUE,"")</f>
        <v/>
      </c>
      <c r="H385" s="104" t="str" cm="1">
        <f t="array" ref="H385">_xlfn.IFS(AND(A385&gt;NumberOfPlots,ISBLANK(INDEX(PlotData,MATCH($A385,PlotNumber,0),MATCH(B$3,PlotTitles,0)))),"",AND(ISBLANK(INDEX(PlotData,MATCH($A385,PlotNumber,0),MATCH(H$3,PlotTitles,0)))=FALSE,INDEX(PlotData,MATCH($A385,PlotNumber,0),MATCH(H$3,PlotTitles,0))&lt;500), $AB$11,TRUE,"")</f>
        <v/>
      </c>
      <c r="I385" s="104" t="str" cm="1">
        <f t="array" ref="I385">_xlfn.IFS(AND(A385&gt;NumberOfPlots,ISBLANK(INDEX(PlotData,MATCH($A385,PlotNumber,0),MATCH(B$3,PlotTitles,0)))),"",ISBLANK(INDEX(PlotData,MATCH($A385,PlotNumber,0),MATCH(I$3,PlotTitles,0))),$AB$12,TRUE,"")</f>
        <v/>
      </c>
      <c r="J385" s="104" t="str" cm="1">
        <f t="array" ref="J385">_xlfn.IFS(AND(A385&gt;NumberOfPlots,ISBLANK(INDEX(PlotData,MATCH($A385,PlotNumber,0),MATCH(B$3,PlotTitles,0)))),"",ISBLANK(INDEX(PlotData,MATCH($A385,PlotNumber,0),MATCH(J$3,PlotTitles,0))),$AB$13,TRUE,"")</f>
        <v/>
      </c>
      <c r="K385" s="182" t="str">
        <f t="shared" ca="1" si="15"/>
        <v/>
      </c>
      <c r="L385" s="104" t="str" cm="1">
        <f t="array" ref="L385">_xlfn.IFS(OR(ISBLANK(StartDateMonth),ISBLANK(StartDateYear)),"",AND(A385&gt;NumberOfPlots,ISBLANK(INDEX(PlotData,MATCH($A385,PlotNumber,0),MATCH(B$3,PlotTitles,0)))),"",ISBLANK(INDEX(PlotData,MATCH($A385,PlotNumber,0),MATCH(I$3,PlotTitles,0))),"",(DATEVALUE(INDEX(PlotData,MATCH($A385,PlotNumber,0),MATCH(I$3,PlotTitles,0))&amp;INDEX(PlotData,MATCH($A385,PlotNumber,0),MATCH(J$3,PlotTitles,0))))&lt;DATEVALUE(StartDateMonth&amp;StartDateYear),$AB$15,TRUE,"")</f>
        <v/>
      </c>
      <c r="M385" s="104" t="str" cm="1">
        <f t="array" ref="M385">_xlfn.IFS(OR(ISBLANK(StartDateMonth),ISBLANK(StartDateYear)),"",AND(A385&gt;NumberOfPlots,ISBLANK(INDEX(PlotData,MATCH($A385,PlotNumber,0),MATCH(B$3,PlotTitles,0)))),"",ISBLANK(INDEX(PlotData,MATCH($A385,PlotNumber,0),MATCH(I$3,PlotTitles,0))),"",CompletionMonth="","",(DATEVALUE(INDEX(PlotData,MATCH($A385,PlotNumber,0),MATCH(I$3,PlotTitles,0))&amp;INDEX(PlotData,MATCH($A385,PlotNumber,0),MATCH(J$3,PlotTitles,0))))&gt;(DATEVALUE(CompletionMonth&amp;CompletionYear)),$AB$16,TRUE,"")</f>
        <v/>
      </c>
      <c r="N385" s="104" t="str" cm="1">
        <f t="array" ref="N385">_xlfn.IFS(AND(A385&gt;NumberOfPlots,ISBLANK(INDEX(PlotData,MATCH($A385,PlotNumber,0),MATCH(B$3,PlotTitles,0)))),"",ISBLANK(INDEX(PlotData,MATCH($A385,PlotNumber,0),MATCH(N$3,PlotTitles,0))),$AB$17,TRUE,"")</f>
        <v/>
      </c>
      <c r="O385" s="104" t="str" cm="1">
        <f t="array" ref="O385">_xlfn.IFS(AND(A385&gt;NumberOfPlots,ISBLANK(INDEX(PlotData,MATCH($A385,PlotNumber,0),MATCH(B$3,PlotTitles,0)))),"",ISBLANK(INDEX(PlotData,MATCH($A385,PlotNumber,0),MATCH(O$3,PlotTitles,0))),$AB$18,TRUE,"")</f>
        <v/>
      </c>
      <c r="P385" s="182" t="str">
        <f t="shared" ca="1" si="16"/>
        <v/>
      </c>
      <c r="Q385" s="104" t="str" cm="1">
        <f t="array" ref="Q385">_xlfn.IFS(AND(A385&gt;NumberOfPlots,ISBLANK(INDEX(PlotData,MATCH($A385,PlotNumber,0),MATCH(B$3,PlotTitles,0)))),"",ISBLANK(INDEX(PlotData,MATCH($A385,PlotNumber,0),MATCH(N$3,PlotTitles,0))),"",(DATEVALUE(INDEX(PlotData,MATCH($A385,PlotNumber,0),MATCH(N$3,PlotTitles,0))&amp;INDEX(PlotData,MATCH($A385,PlotNumber,0),MATCH(O$3,PlotTitles,0))))&lt;(DATEVALUE(INDEX(PlotData,MATCH($A385,PlotNumber,0),MATCH(I$3,PlotTitles,0))&amp;INDEX(PlotData,MATCH($A385,PlotNumber,0),MATCH(J$3,PlotTitles,0)))),$AB$20,TRUE,"")</f>
        <v/>
      </c>
      <c r="R385" s="104" t="str" cm="1">
        <f t="array" ref="R385">_xlfn.IFS(OR(ISBLANK(StartDateMonth),ISBLANK(StartDateYear)),"",AND(A385&gt;NumberOfPlots,ISBLANK(INDEX(PlotData,MATCH($A385,PlotNumber,0),MATCH(B$3,PlotTitles,0)))),"",ISBLANK(INDEX(PlotData,MATCH($A385,PlotNumber,0),MATCH(N$3,PlotTitles,0))),"",CompletionMonth="","",(DATEVALUE(INDEX(PlotData,MATCH($A385,PlotNumber,0),MATCH(N$3,PlotTitles,0))&amp;INDEX(PlotData,MATCH($A385,PlotNumber,0),MATCH(O$3,PlotTitles,0))))&gt;(DATEVALUE(CompletionMonth&amp;CompletionYear)),$AB$21,TRUE,"")</f>
        <v/>
      </c>
      <c r="S385" s="104" t="str" cm="1">
        <f t="array" ref="S385">_xlfn.IFS(AND(A385&gt;NumberOfPlots,ISBLANK(INDEX(PlotData,MATCH($A385,PlotNumber,0),MATCH(B$3,PlotTitles,0)))),"",OR(AND(INDEX(PlotData,MATCH($A385,PlotNumber,0),MATCH("Tenure",PlotTitles,0))="Open market housing",INDEX(PlotData,MATCH($A385,PlotNumber,0),MATCH("Tenure detail",PlotTitles,0))="Private rented sector"),INDEX(PlotData,MATCH($A385,PlotNumber,0),MATCH("Tenure",PlotTitles,0))="Affordable rent"),"",ISNUMBER(INDEX(PlotData,MATCH($A385,PlotNumber,0),MATCH(S$3,PlotTitles,0)))=FALSE, $AB$22,TRUE,"")</f>
        <v/>
      </c>
      <c r="T385" s="104" t="str" cm="1">
        <f t="array" ref="T385">_xlfn.IFS(AND(A385&gt;NumberOfPlots,ISBLANK(INDEX(PlotData,MATCH($A385,PlotNumber,0),MATCH(B$3,PlotTitles,0)))),"",OR(AND(INDEX(PlotData,MATCH($A385,PlotNumber,0),MATCH("Tenure",PlotTitles,0))="Open market housing",INDEX(PlotData,MATCH($A385,PlotNumber,0),MATCH("Tenure detail",PlotTitles,0))="Private rented sector"),INDEX(PlotData,MATCH($A385,PlotNumber,0),MATCH("Tenure",PlotTitles,0))="Affordable rent"),"",INDEX(PlotData,MATCH($A385,PlotNumber,0),MATCH(S$3,PlotTitles,0))&lt;10000, $AB$23,TRUE,"")</f>
        <v/>
      </c>
      <c r="U385" s="104" t="str" cm="1">
        <f t="array" ref="U385">_xlfn.IFS(AND(A385&gt;NumberOfPlots,ISBLANK(INDEX(PlotData,MATCH($A385,PlotNumber,0),MATCH(B$3,PlotTitles,0)))),"",NOT(OR(AND(INDEX(PlotData,MATCH($A385,PlotNumber,0),MATCH("Tenure",PlotTitles,0))="Open market housing",INDEX(PlotData,MATCH($A385,PlotNumber,0),MATCH("Tenure detail",PlotTitles,0))="Private rented sector"),INDEX(PlotData,MATCH($A385,PlotNumber,0),MATCH("Tenure",PlotTitles,0))="Affordable rent")),"",NOT(INDEX(PlotData,MATCH($A385,PlotNumber,0),MATCH(S$3,PlotTitles,0))=0), $AB$24,TRUE,"")</f>
        <v/>
      </c>
      <c r="V385" s="114" t="str" cm="1">
        <f t="array" aca="1" ref="V385" ca="1">_xlfn.IFS(ISBLANK(NumberOfPlots),"Enter the number of homes on the 1_SetUp sheet",AND(A385&gt;NumberOfPlots,ISBLANK(INDEX(PlotData,MATCH($A385,PlotNumber,0),MATCH(B$3,PlotTitles,0)))),"No error",NOT(B385=""),B385,NOT(C385=""),C385,NOT(D385=""),D385,NOT(E385=""),E385,NOT(F385=""),F385,NOT(G385=""),G385,NOT(H385=""),H385,NOT(I385=""),I385,NOT(J385=""),J385,NOT(K385=""),K385,NOT(L385=""),L385,NOT(M385=""),M385,NOT(N385=""),N385,NOT(O385=""),O385,NOT(P385=""),P385,NOT(Q385=""),Q385,NOT(R385=""),R385,NOT(S385=""),S385,NOT(T385=""),T385,NOT(U385=""),U385,TRUE,"No error")</f>
        <v>Enter the number of homes on the 1_SetUp sheet</v>
      </c>
      <c r="W385" s="114" t="str">
        <f t="shared" ca="1" si="17"/>
        <v xml:space="preserve">The Borrower has not addressed the following error messages for Home ID 381: </v>
      </c>
    </row>
    <row r="386" spans="1:23">
      <c r="A386" s="123">
        <v>382</v>
      </c>
      <c r="B386" s="104" t="str" cm="1">
        <f t="array" ref="B386">_xlfn.IFS(AND(A386&gt;NumberOfPlots,ISBLANK(INDEX(PlotData,MATCH($A386,PlotNumber,0),MATCH(B$3,PlotTitles,0)))),"",ISNUMBER(INDEX(PlotData,MATCH($A386,PlotNumber,0),MATCH(B$3,PlotTitles,0)))=FALSE, $AB$5,TRUE,"")</f>
        <v/>
      </c>
      <c r="C386" s="104" t="str" cm="1">
        <f t="array" ref="C386">_xlfn.IFS(AND(A386&gt;NumberOfPlots,ISBLANK(INDEX(PlotData,MATCH($A386,PlotNumber,0),MATCH(B$3,PlotTitles,0)))),"",ISBLANK(INDEX(PlotData,MATCH($A386,PlotNumber,0),MATCH(C$3,PlotTitles,0))),$AB$6,TRUE,"")</f>
        <v/>
      </c>
      <c r="D386" s="104" t="str" cm="1">
        <f t="array" ref="D386">_xlfn.IFS(AND(A386&gt;NumberOfPlots,ISBLANK(INDEX(PlotData,MATCH($A386,PlotNumber,0),MATCH(B$3,PlotTitles,0)))),"",ISBLANK(INDEX(PlotData,MATCH($A386,PlotNumber,0),MATCH(D$3,PlotTitles,0))),$AB$7,TRUE,"")</f>
        <v/>
      </c>
      <c r="E386" s="104" t="str" cm="1">
        <f t="array" ref="E386">_xlfn.IFS(AND(A386&gt;NumberOfPlots,ISBLANK(INDEX(PlotData,MATCH($A386,PlotNumber,0),MATCH(B$3,PlotTitles,0)))),"",ISBLANK(INDEX(PlotData,MATCH($A386,PlotNumber,0),MATCH(E$3,PlotTitles,0))),$AB$8,TRUE,"")</f>
        <v/>
      </c>
      <c r="F386" s="104" t="str" cm="1">
        <f t="array" ref="F386">_xlfn.IFS(AND(A386&gt;NumberOfPlots,ISBLANK(INDEX(PlotData,MATCH($A386,PlotNumber,0),MATCH(B$3,PlotTitles,0)))),"",ISBLANK(INDEX(PlotData,MATCH($A386,PlotNumber,0),MATCH(F$3,PlotTitles,0))),$AB$9,TRUE,"")</f>
        <v/>
      </c>
      <c r="G386" s="104" t="str" cm="1">
        <f t="array" ref="G386">_xlfn.IFS(AND(A386&gt;NumberOfPlots,ISBLANK(INDEX(PlotData,MATCH($A386,PlotNumber,0),MATCH(B$3,PlotTitles,0)))),"",ISBLANK(INDEX(PlotData,MATCH($A386,PlotNumber,0),MATCH(G$3,PlotTitles,0))),$AB$10,TRUE,"")</f>
        <v/>
      </c>
      <c r="H386" s="104" t="str" cm="1">
        <f t="array" ref="H386">_xlfn.IFS(AND(A386&gt;NumberOfPlots,ISBLANK(INDEX(PlotData,MATCH($A386,PlotNumber,0),MATCH(B$3,PlotTitles,0)))),"",AND(ISBLANK(INDEX(PlotData,MATCH($A386,PlotNumber,0),MATCH(H$3,PlotTitles,0)))=FALSE,INDEX(PlotData,MATCH($A386,PlotNumber,0),MATCH(H$3,PlotTitles,0))&lt;500), $AB$11,TRUE,"")</f>
        <v/>
      </c>
      <c r="I386" s="104" t="str" cm="1">
        <f t="array" ref="I386">_xlfn.IFS(AND(A386&gt;NumberOfPlots,ISBLANK(INDEX(PlotData,MATCH($A386,PlotNumber,0),MATCH(B$3,PlotTitles,0)))),"",ISBLANK(INDEX(PlotData,MATCH($A386,PlotNumber,0),MATCH(I$3,PlotTitles,0))),$AB$12,TRUE,"")</f>
        <v/>
      </c>
      <c r="J386" s="104" t="str" cm="1">
        <f t="array" ref="J386">_xlfn.IFS(AND(A386&gt;NumberOfPlots,ISBLANK(INDEX(PlotData,MATCH($A386,PlotNumber,0),MATCH(B$3,PlotTitles,0)))),"",ISBLANK(INDEX(PlotData,MATCH($A386,PlotNumber,0),MATCH(J$3,PlotTitles,0))),$AB$13,TRUE,"")</f>
        <v/>
      </c>
      <c r="K386" s="182" t="str">
        <f t="shared" ca="1" si="15"/>
        <v/>
      </c>
      <c r="L386" s="104" t="str" cm="1">
        <f t="array" ref="L386">_xlfn.IFS(OR(ISBLANK(StartDateMonth),ISBLANK(StartDateYear)),"",AND(A386&gt;NumberOfPlots,ISBLANK(INDEX(PlotData,MATCH($A386,PlotNumber,0),MATCH(B$3,PlotTitles,0)))),"",ISBLANK(INDEX(PlotData,MATCH($A386,PlotNumber,0),MATCH(I$3,PlotTitles,0))),"",(DATEVALUE(INDEX(PlotData,MATCH($A386,PlotNumber,0),MATCH(I$3,PlotTitles,0))&amp;INDEX(PlotData,MATCH($A386,PlotNumber,0),MATCH(J$3,PlotTitles,0))))&lt;DATEVALUE(StartDateMonth&amp;StartDateYear),$AB$15,TRUE,"")</f>
        <v/>
      </c>
      <c r="M386" s="104" t="str" cm="1">
        <f t="array" ref="M386">_xlfn.IFS(OR(ISBLANK(StartDateMonth),ISBLANK(StartDateYear)),"",AND(A386&gt;NumberOfPlots,ISBLANK(INDEX(PlotData,MATCH($A386,PlotNumber,0),MATCH(B$3,PlotTitles,0)))),"",ISBLANK(INDEX(PlotData,MATCH($A386,PlotNumber,0),MATCH(I$3,PlotTitles,0))),"",CompletionMonth="","",(DATEVALUE(INDEX(PlotData,MATCH($A386,PlotNumber,0),MATCH(I$3,PlotTitles,0))&amp;INDEX(PlotData,MATCH($A386,PlotNumber,0),MATCH(J$3,PlotTitles,0))))&gt;(DATEVALUE(CompletionMonth&amp;CompletionYear)),$AB$16,TRUE,"")</f>
        <v/>
      </c>
      <c r="N386" s="104" t="str" cm="1">
        <f t="array" ref="N386">_xlfn.IFS(AND(A386&gt;NumberOfPlots,ISBLANK(INDEX(PlotData,MATCH($A386,PlotNumber,0),MATCH(B$3,PlotTitles,0)))),"",ISBLANK(INDEX(PlotData,MATCH($A386,PlotNumber,0),MATCH(N$3,PlotTitles,0))),$AB$17,TRUE,"")</f>
        <v/>
      </c>
      <c r="O386" s="104" t="str" cm="1">
        <f t="array" ref="O386">_xlfn.IFS(AND(A386&gt;NumberOfPlots,ISBLANK(INDEX(PlotData,MATCH($A386,PlotNumber,0),MATCH(B$3,PlotTitles,0)))),"",ISBLANK(INDEX(PlotData,MATCH($A386,PlotNumber,0),MATCH(O$3,PlotTitles,0))),$AB$18,TRUE,"")</f>
        <v/>
      </c>
      <c r="P386" s="182" t="str">
        <f t="shared" ca="1" si="16"/>
        <v/>
      </c>
      <c r="Q386" s="104" t="str" cm="1">
        <f t="array" ref="Q386">_xlfn.IFS(AND(A386&gt;NumberOfPlots,ISBLANK(INDEX(PlotData,MATCH($A386,PlotNumber,0),MATCH(B$3,PlotTitles,0)))),"",ISBLANK(INDEX(PlotData,MATCH($A386,PlotNumber,0),MATCH(N$3,PlotTitles,0))),"",(DATEVALUE(INDEX(PlotData,MATCH($A386,PlotNumber,0),MATCH(N$3,PlotTitles,0))&amp;INDEX(PlotData,MATCH($A386,PlotNumber,0),MATCH(O$3,PlotTitles,0))))&lt;(DATEVALUE(INDEX(PlotData,MATCH($A386,PlotNumber,0),MATCH(I$3,PlotTitles,0))&amp;INDEX(PlotData,MATCH($A386,PlotNumber,0),MATCH(J$3,PlotTitles,0)))),$AB$20,TRUE,"")</f>
        <v/>
      </c>
      <c r="R386" s="104" t="str" cm="1">
        <f t="array" ref="R386">_xlfn.IFS(OR(ISBLANK(StartDateMonth),ISBLANK(StartDateYear)),"",AND(A386&gt;NumberOfPlots,ISBLANK(INDEX(PlotData,MATCH($A386,PlotNumber,0),MATCH(B$3,PlotTitles,0)))),"",ISBLANK(INDEX(PlotData,MATCH($A386,PlotNumber,0),MATCH(N$3,PlotTitles,0))),"",CompletionMonth="","",(DATEVALUE(INDEX(PlotData,MATCH($A386,PlotNumber,0),MATCH(N$3,PlotTitles,0))&amp;INDEX(PlotData,MATCH($A386,PlotNumber,0),MATCH(O$3,PlotTitles,0))))&gt;(DATEVALUE(CompletionMonth&amp;CompletionYear)),$AB$21,TRUE,"")</f>
        <v/>
      </c>
      <c r="S386" s="104" t="str" cm="1">
        <f t="array" ref="S386">_xlfn.IFS(AND(A386&gt;NumberOfPlots,ISBLANK(INDEX(PlotData,MATCH($A386,PlotNumber,0),MATCH(B$3,PlotTitles,0)))),"",OR(AND(INDEX(PlotData,MATCH($A386,PlotNumber,0),MATCH("Tenure",PlotTitles,0))="Open market housing",INDEX(PlotData,MATCH($A386,PlotNumber,0),MATCH("Tenure detail",PlotTitles,0))="Private rented sector"),INDEX(PlotData,MATCH($A386,PlotNumber,0),MATCH("Tenure",PlotTitles,0))="Affordable rent"),"",ISNUMBER(INDEX(PlotData,MATCH($A386,PlotNumber,0),MATCH(S$3,PlotTitles,0)))=FALSE, $AB$22,TRUE,"")</f>
        <v/>
      </c>
      <c r="T386" s="104" t="str" cm="1">
        <f t="array" ref="T386">_xlfn.IFS(AND(A386&gt;NumberOfPlots,ISBLANK(INDEX(PlotData,MATCH($A386,PlotNumber,0),MATCH(B$3,PlotTitles,0)))),"",OR(AND(INDEX(PlotData,MATCH($A386,PlotNumber,0),MATCH("Tenure",PlotTitles,0))="Open market housing",INDEX(PlotData,MATCH($A386,PlotNumber,0),MATCH("Tenure detail",PlotTitles,0))="Private rented sector"),INDEX(PlotData,MATCH($A386,PlotNumber,0),MATCH("Tenure",PlotTitles,0))="Affordable rent"),"",INDEX(PlotData,MATCH($A386,PlotNumber,0),MATCH(S$3,PlotTitles,0))&lt;10000, $AB$23,TRUE,"")</f>
        <v/>
      </c>
      <c r="U386" s="104" t="str" cm="1">
        <f t="array" ref="U386">_xlfn.IFS(AND(A386&gt;NumberOfPlots,ISBLANK(INDEX(PlotData,MATCH($A386,PlotNumber,0),MATCH(B$3,PlotTitles,0)))),"",NOT(OR(AND(INDEX(PlotData,MATCH($A386,PlotNumber,0),MATCH("Tenure",PlotTitles,0))="Open market housing",INDEX(PlotData,MATCH($A386,PlotNumber,0),MATCH("Tenure detail",PlotTitles,0))="Private rented sector"),INDEX(PlotData,MATCH($A386,PlotNumber,0),MATCH("Tenure",PlotTitles,0))="Affordable rent")),"",NOT(INDEX(PlotData,MATCH($A386,PlotNumber,0),MATCH(S$3,PlotTitles,0))=0), $AB$24,TRUE,"")</f>
        <v/>
      </c>
      <c r="V386" s="114" t="str" cm="1">
        <f t="array" aca="1" ref="V386" ca="1">_xlfn.IFS(ISBLANK(NumberOfPlots),"Enter the number of homes on the 1_SetUp sheet",AND(A386&gt;NumberOfPlots,ISBLANK(INDEX(PlotData,MATCH($A386,PlotNumber,0),MATCH(B$3,PlotTitles,0)))),"No error",NOT(B386=""),B386,NOT(C386=""),C386,NOT(D386=""),D386,NOT(E386=""),E386,NOT(F386=""),F386,NOT(G386=""),G386,NOT(H386=""),H386,NOT(I386=""),I386,NOT(J386=""),J386,NOT(K386=""),K386,NOT(L386=""),L386,NOT(M386=""),M386,NOT(N386=""),N386,NOT(O386=""),O386,NOT(P386=""),P386,NOT(Q386=""),Q386,NOT(R386=""),R386,NOT(S386=""),S386,NOT(T386=""),T386,NOT(U386=""),U386,TRUE,"No error")</f>
        <v>Enter the number of homes on the 1_SetUp sheet</v>
      </c>
      <c r="W386" s="114" t="str">
        <f t="shared" ca="1" si="17"/>
        <v xml:space="preserve">The Borrower has not addressed the following error messages for Home ID 382: </v>
      </c>
    </row>
    <row r="387" spans="1:23">
      <c r="A387" s="123">
        <v>383</v>
      </c>
      <c r="B387" s="104" t="str" cm="1">
        <f t="array" ref="B387">_xlfn.IFS(AND(A387&gt;NumberOfPlots,ISBLANK(INDEX(PlotData,MATCH($A387,PlotNumber,0),MATCH(B$3,PlotTitles,0)))),"",ISNUMBER(INDEX(PlotData,MATCH($A387,PlotNumber,0),MATCH(B$3,PlotTitles,0)))=FALSE, $AB$5,TRUE,"")</f>
        <v/>
      </c>
      <c r="C387" s="104" t="str" cm="1">
        <f t="array" ref="C387">_xlfn.IFS(AND(A387&gt;NumberOfPlots,ISBLANK(INDEX(PlotData,MATCH($A387,PlotNumber,0),MATCH(B$3,PlotTitles,0)))),"",ISBLANK(INDEX(PlotData,MATCH($A387,PlotNumber,0),MATCH(C$3,PlotTitles,0))),$AB$6,TRUE,"")</f>
        <v/>
      </c>
      <c r="D387" s="104" t="str" cm="1">
        <f t="array" ref="D387">_xlfn.IFS(AND(A387&gt;NumberOfPlots,ISBLANK(INDEX(PlotData,MATCH($A387,PlotNumber,0),MATCH(B$3,PlotTitles,0)))),"",ISBLANK(INDEX(PlotData,MATCH($A387,PlotNumber,0),MATCH(D$3,PlotTitles,0))),$AB$7,TRUE,"")</f>
        <v/>
      </c>
      <c r="E387" s="104" t="str" cm="1">
        <f t="array" ref="E387">_xlfn.IFS(AND(A387&gt;NumberOfPlots,ISBLANK(INDEX(PlotData,MATCH($A387,PlotNumber,0),MATCH(B$3,PlotTitles,0)))),"",ISBLANK(INDEX(PlotData,MATCH($A387,PlotNumber,0),MATCH(E$3,PlotTitles,0))),$AB$8,TRUE,"")</f>
        <v/>
      </c>
      <c r="F387" s="104" t="str" cm="1">
        <f t="array" ref="F387">_xlfn.IFS(AND(A387&gt;NumberOfPlots,ISBLANK(INDEX(PlotData,MATCH($A387,PlotNumber,0),MATCH(B$3,PlotTitles,0)))),"",ISBLANK(INDEX(PlotData,MATCH($A387,PlotNumber,0),MATCH(F$3,PlotTitles,0))),$AB$9,TRUE,"")</f>
        <v/>
      </c>
      <c r="G387" s="104" t="str" cm="1">
        <f t="array" ref="G387">_xlfn.IFS(AND(A387&gt;NumberOfPlots,ISBLANK(INDEX(PlotData,MATCH($A387,PlotNumber,0),MATCH(B$3,PlotTitles,0)))),"",ISBLANK(INDEX(PlotData,MATCH($A387,PlotNumber,0),MATCH(G$3,PlotTitles,0))),$AB$10,TRUE,"")</f>
        <v/>
      </c>
      <c r="H387" s="104" t="str" cm="1">
        <f t="array" ref="H387">_xlfn.IFS(AND(A387&gt;NumberOfPlots,ISBLANK(INDEX(PlotData,MATCH($A387,PlotNumber,0),MATCH(B$3,PlotTitles,0)))),"",AND(ISBLANK(INDEX(PlotData,MATCH($A387,PlotNumber,0),MATCH(H$3,PlotTitles,0)))=FALSE,INDEX(PlotData,MATCH($A387,PlotNumber,0),MATCH(H$3,PlotTitles,0))&lt;500), $AB$11,TRUE,"")</f>
        <v/>
      </c>
      <c r="I387" s="104" t="str" cm="1">
        <f t="array" ref="I387">_xlfn.IFS(AND(A387&gt;NumberOfPlots,ISBLANK(INDEX(PlotData,MATCH($A387,PlotNumber,0),MATCH(B$3,PlotTitles,0)))),"",ISBLANK(INDEX(PlotData,MATCH($A387,PlotNumber,0),MATCH(I$3,PlotTitles,0))),$AB$12,TRUE,"")</f>
        <v/>
      </c>
      <c r="J387" s="104" t="str" cm="1">
        <f t="array" ref="J387">_xlfn.IFS(AND(A387&gt;NumberOfPlots,ISBLANK(INDEX(PlotData,MATCH($A387,PlotNumber,0),MATCH(B$3,PlotTitles,0)))),"",ISBLANK(INDEX(PlotData,MATCH($A387,PlotNumber,0),MATCH(J$3,PlotTitles,0))),$AB$13,TRUE,"")</f>
        <v/>
      </c>
      <c r="K387" s="182" t="str">
        <f t="shared" ca="1" si="15"/>
        <v/>
      </c>
      <c r="L387" s="104" t="str" cm="1">
        <f t="array" ref="L387">_xlfn.IFS(OR(ISBLANK(StartDateMonth),ISBLANK(StartDateYear)),"",AND(A387&gt;NumberOfPlots,ISBLANK(INDEX(PlotData,MATCH($A387,PlotNumber,0),MATCH(B$3,PlotTitles,0)))),"",ISBLANK(INDEX(PlotData,MATCH($A387,PlotNumber,0),MATCH(I$3,PlotTitles,0))),"",(DATEVALUE(INDEX(PlotData,MATCH($A387,PlotNumber,0),MATCH(I$3,PlotTitles,0))&amp;INDEX(PlotData,MATCH($A387,PlotNumber,0),MATCH(J$3,PlotTitles,0))))&lt;DATEVALUE(StartDateMonth&amp;StartDateYear),$AB$15,TRUE,"")</f>
        <v/>
      </c>
      <c r="M387" s="104" t="str" cm="1">
        <f t="array" ref="M387">_xlfn.IFS(OR(ISBLANK(StartDateMonth),ISBLANK(StartDateYear)),"",AND(A387&gt;NumberOfPlots,ISBLANK(INDEX(PlotData,MATCH($A387,PlotNumber,0),MATCH(B$3,PlotTitles,0)))),"",ISBLANK(INDEX(PlotData,MATCH($A387,PlotNumber,0),MATCH(I$3,PlotTitles,0))),"",CompletionMonth="","",(DATEVALUE(INDEX(PlotData,MATCH($A387,PlotNumber,0),MATCH(I$3,PlotTitles,0))&amp;INDEX(PlotData,MATCH($A387,PlotNumber,0),MATCH(J$3,PlotTitles,0))))&gt;(DATEVALUE(CompletionMonth&amp;CompletionYear)),$AB$16,TRUE,"")</f>
        <v/>
      </c>
      <c r="N387" s="104" t="str" cm="1">
        <f t="array" ref="N387">_xlfn.IFS(AND(A387&gt;NumberOfPlots,ISBLANK(INDEX(PlotData,MATCH($A387,PlotNumber,0),MATCH(B$3,PlotTitles,0)))),"",ISBLANK(INDEX(PlotData,MATCH($A387,PlotNumber,0),MATCH(N$3,PlotTitles,0))),$AB$17,TRUE,"")</f>
        <v/>
      </c>
      <c r="O387" s="104" t="str" cm="1">
        <f t="array" ref="O387">_xlfn.IFS(AND(A387&gt;NumberOfPlots,ISBLANK(INDEX(PlotData,MATCH($A387,PlotNumber,0),MATCH(B$3,PlotTitles,0)))),"",ISBLANK(INDEX(PlotData,MATCH($A387,PlotNumber,0),MATCH(O$3,PlotTitles,0))),$AB$18,TRUE,"")</f>
        <v/>
      </c>
      <c r="P387" s="182" t="str">
        <f t="shared" ca="1" si="16"/>
        <v/>
      </c>
      <c r="Q387" s="104" t="str" cm="1">
        <f t="array" ref="Q387">_xlfn.IFS(AND(A387&gt;NumberOfPlots,ISBLANK(INDEX(PlotData,MATCH($A387,PlotNumber,0),MATCH(B$3,PlotTitles,0)))),"",ISBLANK(INDEX(PlotData,MATCH($A387,PlotNumber,0),MATCH(N$3,PlotTitles,0))),"",(DATEVALUE(INDEX(PlotData,MATCH($A387,PlotNumber,0),MATCH(N$3,PlotTitles,0))&amp;INDEX(PlotData,MATCH($A387,PlotNumber,0),MATCH(O$3,PlotTitles,0))))&lt;(DATEVALUE(INDEX(PlotData,MATCH($A387,PlotNumber,0),MATCH(I$3,PlotTitles,0))&amp;INDEX(PlotData,MATCH($A387,PlotNumber,0),MATCH(J$3,PlotTitles,0)))),$AB$20,TRUE,"")</f>
        <v/>
      </c>
      <c r="R387" s="104" t="str" cm="1">
        <f t="array" ref="R387">_xlfn.IFS(OR(ISBLANK(StartDateMonth),ISBLANK(StartDateYear)),"",AND(A387&gt;NumberOfPlots,ISBLANK(INDEX(PlotData,MATCH($A387,PlotNumber,0),MATCH(B$3,PlotTitles,0)))),"",ISBLANK(INDEX(PlotData,MATCH($A387,PlotNumber,0),MATCH(N$3,PlotTitles,0))),"",CompletionMonth="","",(DATEVALUE(INDEX(PlotData,MATCH($A387,PlotNumber,0),MATCH(N$3,PlotTitles,0))&amp;INDEX(PlotData,MATCH($A387,PlotNumber,0),MATCH(O$3,PlotTitles,0))))&gt;(DATEVALUE(CompletionMonth&amp;CompletionYear)),$AB$21,TRUE,"")</f>
        <v/>
      </c>
      <c r="S387" s="104" t="str" cm="1">
        <f t="array" ref="S387">_xlfn.IFS(AND(A387&gt;NumberOfPlots,ISBLANK(INDEX(PlotData,MATCH($A387,PlotNumber,0),MATCH(B$3,PlotTitles,0)))),"",OR(AND(INDEX(PlotData,MATCH($A387,PlotNumber,0),MATCH("Tenure",PlotTitles,0))="Open market housing",INDEX(PlotData,MATCH($A387,PlotNumber,0),MATCH("Tenure detail",PlotTitles,0))="Private rented sector"),INDEX(PlotData,MATCH($A387,PlotNumber,0),MATCH("Tenure",PlotTitles,0))="Affordable rent"),"",ISNUMBER(INDEX(PlotData,MATCH($A387,PlotNumber,0),MATCH(S$3,PlotTitles,0)))=FALSE, $AB$22,TRUE,"")</f>
        <v/>
      </c>
      <c r="T387" s="104" t="str" cm="1">
        <f t="array" ref="T387">_xlfn.IFS(AND(A387&gt;NumberOfPlots,ISBLANK(INDEX(PlotData,MATCH($A387,PlotNumber,0),MATCH(B$3,PlotTitles,0)))),"",OR(AND(INDEX(PlotData,MATCH($A387,PlotNumber,0),MATCH("Tenure",PlotTitles,0))="Open market housing",INDEX(PlotData,MATCH($A387,PlotNumber,0),MATCH("Tenure detail",PlotTitles,0))="Private rented sector"),INDEX(PlotData,MATCH($A387,PlotNumber,0),MATCH("Tenure",PlotTitles,0))="Affordable rent"),"",INDEX(PlotData,MATCH($A387,PlotNumber,0),MATCH(S$3,PlotTitles,0))&lt;10000, $AB$23,TRUE,"")</f>
        <v/>
      </c>
      <c r="U387" s="104" t="str" cm="1">
        <f t="array" ref="U387">_xlfn.IFS(AND(A387&gt;NumberOfPlots,ISBLANK(INDEX(PlotData,MATCH($A387,PlotNumber,0),MATCH(B$3,PlotTitles,0)))),"",NOT(OR(AND(INDEX(PlotData,MATCH($A387,PlotNumber,0),MATCH("Tenure",PlotTitles,0))="Open market housing",INDEX(PlotData,MATCH($A387,PlotNumber,0),MATCH("Tenure detail",PlotTitles,0))="Private rented sector"),INDEX(PlotData,MATCH($A387,PlotNumber,0),MATCH("Tenure",PlotTitles,0))="Affordable rent")),"",NOT(INDEX(PlotData,MATCH($A387,PlotNumber,0),MATCH(S$3,PlotTitles,0))=0), $AB$24,TRUE,"")</f>
        <v/>
      </c>
      <c r="V387" s="114" t="str" cm="1">
        <f t="array" aca="1" ref="V387" ca="1">_xlfn.IFS(ISBLANK(NumberOfPlots),"Enter the number of homes on the 1_SetUp sheet",AND(A387&gt;NumberOfPlots,ISBLANK(INDEX(PlotData,MATCH($A387,PlotNumber,0),MATCH(B$3,PlotTitles,0)))),"No error",NOT(B387=""),B387,NOT(C387=""),C387,NOT(D387=""),D387,NOT(E387=""),E387,NOT(F387=""),F387,NOT(G387=""),G387,NOT(H387=""),H387,NOT(I387=""),I387,NOT(J387=""),J387,NOT(K387=""),K387,NOT(L387=""),L387,NOT(M387=""),M387,NOT(N387=""),N387,NOT(O387=""),O387,NOT(P387=""),P387,NOT(Q387=""),Q387,NOT(R387=""),R387,NOT(S387=""),S387,NOT(T387=""),T387,NOT(U387=""),U387,TRUE,"No error")</f>
        <v>Enter the number of homes on the 1_SetUp sheet</v>
      </c>
      <c r="W387" s="114" t="str">
        <f t="shared" ca="1" si="17"/>
        <v xml:space="preserve">The Borrower has not addressed the following error messages for Home ID 383: </v>
      </c>
    </row>
    <row r="388" spans="1:23">
      <c r="A388" s="123">
        <v>384</v>
      </c>
      <c r="B388" s="104" t="str" cm="1">
        <f t="array" ref="B388">_xlfn.IFS(AND(A388&gt;NumberOfPlots,ISBLANK(INDEX(PlotData,MATCH($A388,PlotNumber,0),MATCH(B$3,PlotTitles,0)))),"",ISNUMBER(INDEX(PlotData,MATCH($A388,PlotNumber,0),MATCH(B$3,PlotTitles,0)))=FALSE, $AB$5,TRUE,"")</f>
        <v/>
      </c>
      <c r="C388" s="104" t="str" cm="1">
        <f t="array" ref="C388">_xlfn.IFS(AND(A388&gt;NumberOfPlots,ISBLANK(INDEX(PlotData,MATCH($A388,PlotNumber,0),MATCH(B$3,PlotTitles,0)))),"",ISBLANK(INDEX(PlotData,MATCH($A388,PlotNumber,0),MATCH(C$3,PlotTitles,0))),$AB$6,TRUE,"")</f>
        <v/>
      </c>
      <c r="D388" s="104" t="str" cm="1">
        <f t="array" ref="D388">_xlfn.IFS(AND(A388&gt;NumberOfPlots,ISBLANK(INDEX(PlotData,MATCH($A388,PlotNumber,0),MATCH(B$3,PlotTitles,0)))),"",ISBLANK(INDEX(PlotData,MATCH($A388,PlotNumber,0),MATCH(D$3,PlotTitles,0))),$AB$7,TRUE,"")</f>
        <v/>
      </c>
      <c r="E388" s="104" t="str" cm="1">
        <f t="array" ref="E388">_xlfn.IFS(AND(A388&gt;NumberOfPlots,ISBLANK(INDEX(PlotData,MATCH($A388,PlotNumber,0),MATCH(B$3,PlotTitles,0)))),"",ISBLANK(INDEX(PlotData,MATCH($A388,PlotNumber,0),MATCH(E$3,PlotTitles,0))),$AB$8,TRUE,"")</f>
        <v/>
      </c>
      <c r="F388" s="104" t="str" cm="1">
        <f t="array" ref="F388">_xlfn.IFS(AND(A388&gt;NumberOfPlots,ISBLANK(INDEX(PlotData,MATCH($A388,PlotNumber,0),MATCH(B$3,PlotTitles,0)))),"",ISBLANK(INDEX(PlotData,MATCH($A388,PlotNumber,0),MATCH(F$3,PlotTitles,0))),$AB$9,TRUE,"")</f>
        <v/>
      </c>
      <c r="G388" s="104" t="str" cm="1">
        <f t="array" ref="G388">_xlfn.IFS(AND(A388&gt;NumberOfPlots,ISBLANK(INDEX(PlotData,MATCH($A388,PlotNumber,0),MATCH(B$3,PlotTitles,0)))),"",ISBLANK(INDEX(PlotData,MATCH($A388,PlotNumber,0),MATCH(G$3,PlotTitles,0))),$AB$10,TRUE,"")</f>
        <v/>
      </c>
      <c r="H388" s="104" t="str" cm="1">
        <f t="array" ref="H388">_xlfn.IFS(AND(A388&gt;NumberOfPlots,ISBLANK(INDEX(PlotData,MATCH($A388,PlotNumber,0),MATCH(B$3,PlotTitles,0)))),"",AND(ISBLANK(INDEX(PlotData,MATCH($A388,PlotNumber,0),MATCH(H$3,PlotTitles,0)))=FALSE,INDEX(PlotData,MATCH($A388,PlotNumber,0),MATCH(H$3,PlotTitles,0))&lt;500), $AB$11,TRUE,"")</f>
        <v/>
      </c>
      <c r="I388" s="104" t="str" cm="1">
        <f t="array" ref="I388">_xlfn.IFS(AND(A388&gt;NumberOfPlots,ISBLANK(INDEX(PlotData,MATCH($A388,PlotNumber,0),MATCH(B$3,PlotTitles,0)))),"",ISBLANK(INDEX(PlotData,MATCH($A388,PlotNumber,0),MATCH(I$3,PlotTitles,0))),$AB$12,TRUE,"")</f>
        <v/>
      </c>
      <c r="J388" s="104" t="str" cm="1">
        <f t="array" ref="J388">_xlfn.IFS(AND(A388&gt;NumberOfPlots,ISBLANK(INDEX(PlotData,MATCH($A388,PlotNumber,0),MATCH(B$3,PlotTitles,0)))),"",ISBLANK(INDEX(PlotData,MATCH($A388,PlotNumber,0),MATCH(J$3,PlotTitles,0))),$AB$13,TRUE,"")</f>
        <v/>
      </c>
      <c r="K388" s="182" t="str">
        <f t="shared" ca="1" si="15"/>
        <v/>
      </c>
      <c r="L388" s="104" t="str" cm="1">
        <f t="array" ref="L388">_xlfn.IFS(OR(ISBLANK(StartDateMonth),ISBLANK(StartDateYear)),"",AND(A388&gt;NumberOfPlots,ISBLANK(INDEX(PlotData,MATCH($A388,PlotNumber,0),MATCH(B$3,PlotTitles,0)))),"",ISBLANK(INDEX(PlotData,MATCH($A388,PlotNumber,0),MATCH(I$3,PlotTitles,0))),"",(DATEVALUE(INDEX(PlotData,MATCH($A388,PlotNumber,0),MATCH(I$3,PlotTitles,0))&amp;INDEX(PlotData,MATCH($A388,PlotNumber,0),MATCH(J$3,PlotTitles,0))))&lt;DATEVALUE(StartDateMonth&amp;StartDateYear),$AB$15,TRUE,"")</f>
        <v/>
      </c>
      <c r="M388" s="104" t="str" cm="1">
        <f t="array" ref="M388">_xlfn.IFS(OR(ISBLANK(StartDateMonth),ISBLANK(StartDateYear)),"",AND(A388&gt;NumberOfPlots,ISBLANK(INDEX(PlotData,MATCH($A388,PlotNumber,0),MATCH(B$3,PlotTitles,0)))),"",ISBLANK(INDEX(PlotData,MATCH($A388,PlotNumber,0),MATCH(I$3,PlotTitles,0))),"",CompletionMonth="","",(DATEVALUE(INDEX(PlotData,MATCH($A388,PlotNumber,0),MATCH(I$3,PlotTitles,0))&amp;INDEX(PlotData,MATCH($A388,PlotNumber,0),MATCH(J$3,PlotTitles,0))))&gt;(DATEVALUE(CompletionMonth&amp;CompletionYear)),$AB$16,TRUE,"")</f>
        <v/>
      </c>
      <c r="N388" s="104" t="str" cm="1">
        <f t="array" ref="N388">_xlfn.IFS(AND(A388&gt;NumberOfPlots,ISBLANK(INDEX(PlotData,MATCH($A388,PlotNumber,0),MATCH(B$3,PlotTitles,0)))),"",ISBLANK(INDEX(PlotData,MATCH($A388,PlotNumber,0),MATCH(N$3,PlotTitles,0))),$AB$17,TRUE,"")</f>
        <v/>
      </c>
      <c r="O388" s="104" t="str" cm="1">
        <f t="array" ref="O388">_xlfn.IFS(AND(A388&gt;NumberOfPlots,ISBLANK(INDEX(PlotData,MATCH($A388,PlotNumber,0),MATCH(B$3,PlotTitles,0)))),"",ISBLANK(INDEX(PlotData,MATCH($A388,PlotNumber,0),MATCH(O$3,PlotTitles,0))),$AB$18,TRUE,"")</f>
        <v/>
      </c>
      <c r="P388" s="182" t="str">
        <f t="shared" ca="1" si="16"/>
        <v/>
      </c>
      <c r="Q388" s="104" t="str" cm="1">
        <f t="array" ref="Q388">_xlfn.IFS(AND(A388&gt;NumberOfPlots,ISBLANK(INDEX(PlotData,MATCH($A388,PlotNumber,0),MATCH(B$3,PlotTitles,0)))),"",ISBLANK(INDEX(PlotData,MATCH($A388,PlotNumber,0),MATCH(N$3,PlotTitles,0))),"",(DATEVALUE(INDEX(PlotData,MATCH($A388,PlotNumber,0),MATCH(N$3,PlotTitles,0))&amp;INDEX(PlotData,MATCH($A388,PlotNumber,0),MATCH(O$3,PlotTitles,0))))&lt;(DATEVALUE(INDEX(PlotData,MATCH($A388,PlotNumber,0),MATCH(I$3,PlotTitles,0))&amp;INDEX(PlotData,MATCH($A388,PlotNumber,0),MATCH(J$3,PlotTitles,0)))),$AB$20,TRUE,"")</f>
        <v/>
      </c>
      <c r="R388" s="104" t="str" cm="1">
        <f t="array" ref="R388">_xlfn.IFS(OR(ISBLANK(StartDateMonth),ISBLANK(StartDateYear)),"",AND(A388&gt;NumberOfPlots,ISBLANK(INDEX(PlotData,MATCH($A388,PlotNumber,0),MATCH(B$3,PlotTitles,0)))),"",ISBLANK(INDEX(PlotData,MATCH($A388,PlotNumber,0),MATCH(N$3,PlotTitles,0))),"",CompletionMonth="","",(DATEVALUE(INDEX(PlotData,MATCH($A388,PlotNumber,0),MATCH(N$3,PlotTitles,0))&amp;INDEX(PlotData,MATCH($A388,PlotNumber,0),MATCH(O$3,PlotTitles,0))))&gt;(DATEVALUE(CompletionMonth&amp;CompletionYear)),$AB$21,TRUE,"")</f>
        <v/>
      </c>
      <c r="S388" s="104" t="str" cm="1">
        <f t="array" ref="S388">_xlfn.IFS(AND(A388&gt;NumberOfPlots,ISBLANK(INDEX(PlotData,MATCH($A388,PlotNumber,0),MATCH(B$3,PlotTitles,0)))),"",OR(AND(INDEX(PlotData,MATCH($A388,PlotNumber,0),MATCH("Tenure",PlotTitles,0))="Open market housing",INDEX(PlotData,MATCH($A388,PlotNumber,0),MATCH("Tenure detail",PlotTitles,0))="Private rented sector"),INDEX(PlotData,MATCH($A388,PlotNumber,0),MATCH("Tenure",PlotTitles,0))="Affordable rent"),"",ISNUMBER(INDEX(PlotData,MATCH($A388,PlotNumber,0),MATCH(S$3,PlotTitles,0)))=FALSE, $AB$22,TRUE,"")</f>
        <v/>
      </c>
      <c r="T388" s="104" t="str" cm="1">
        <f t="array" ref="T388">_xlfn.IFS(AND(A388&gt;NumberOfPlots,ISBLANK(INDEX(PlotData,MATCH($A388,PlotNumber,0),MATCH(B$3,PlotTitles,0)))),"",OR(AND(INDEX(PlotData,MATCH($A388,PlotNumber,0),MATCH("Tenure",PlotTitles,0))="Open market housing",INDEX(PlotData,MATCH($A388,PlotNumber,0),MATCH("Tenure detail",PlotTitles,0))="Private rented sector"),INDEX(PlotData,MATCH($A388,PlotNumber,0),MATCH("Tenure",PlotTitles,0))="Affordable rent"),"",INDEX(PlotData,MATCH($A388,PlotNumber,0),MATCH(S$3,PlotTitles,0))&lt;10000, $AB$23,TRUE,"")</f>
        <v/>
      </c>
      <c r="U388" s="104" t="str" cm="1">
        <f t="array" ref="U388">_xlfn.IFS(AND(A388&gt;NumberOfPlots,ISBLANK(INDEX(PlotData,MATCH($A388,PlotNumber,0),MATCH(B$3,PlotTitles,0)))),"",NOT(OR(AND(INDEX(PlotData,MATCH($A388,PlotNumber,0),MATCH("Tenure",PlotTitles,0))="Open market housing",INDEX(PlotData,MATCH($A388,PlotNumber,0),MATCH("Tenure detail",PlotTitles,0))="Private rented sector"),INDEX(PlotData,MATCH($A388,PlotNumber,0),MATCH("Tenure",PlotTitles,0))="Affordable rent")),"",NOT(INDEX(PlotData,MATCH($A388,PlotNumber,0),MATCH(S$3,PlotTitles,0))=0), $AB$24,TRUE,"")</f>
        <v/>
      </c>
      <c r="V388" s="114" t="str" cm="1">
        <f t="array" aca="1" ref="V388" ca="1">_xlfn.IFS(ISBLANK(NumberOfPlots),"Enter the number of homes on the 1_SetUp sheet",AND(A388&gt;NumberOfPlots,ISBLANK(INDEX(PlotData,MATCH($A388,PlotNumber,0),MATCH(B$3,PlotTitles,0)))),"No error",NOT(B388=""),B388,NOT(C388=""),C388,NOT(D388=""),D388,NOT(E388=""),E388,NOT(F388=""),F388,NOT(G388=""),G388,NOT(H388=""),H388,NOT(I388=""),I388,NOT(J388=""),J388,NOT(K388=""),K388,NOT(L388=""),L388,NOT(M388=""),M388,NOT(N388=""),N388,NOT(O388=""),O388,NOT(P388=""),P388,NOT(Q388=""),Q388,NOT(R388=""),R388,NOT(S388=""),S388,NOT(T388=""),T388,NOT(U388=""),U388,TRUE,"No error")</f>
        <v>Enter the number of homes on the 1_SetUp sheet</v>
      </c>
      <c r="W388" s="114" t="str">
        <f t="shared" ca="1" si="17"/>
        <v xml:space="preserve">The Borrower has not addressed the following error messages for Home ID 384: </v>
      </c>
    </row>
    <row r="389" spans="1:23">
      <c r="A389" s="123">
        <v>385</v>
      </c>
      <c r="B389" s="104" t="str" cm="1">
        <f t="array" ref="B389">_xlfn.IFS(AND(A389&gt;NumberOfPlots,ISBLANK(INDEX(PlotData,MATCH($A389,PlotNumber,0),MATCH(B$3,PlotTitles,0)))),"",ISNUMBER(INDEX(PlotData,MATCH($A389,PlotNumber,0),MATCH(B$3,PlotTitles,0)))=FALSE, $AB$5,TRUE,"")</f>
        <v/>
      </c>
      <c r="C389" s="104" t="str" cm="1">
        <f t="array" ref="C389">_xlfn.IFS(AND(A389&gt;NumberOfPlots,ISBLANK(INDEX(PlotData,MATCH($A389,PlotNumber,0),MATCH(B$3,PlotTitles,0)))),"",ISBLANK(INDEX(PlotData,MATCH($A389,PlotNumber,0),MATCH(C$3,PlotTitles,0))),$AB$6,TRUE,"")</f>
        <v/>
      </c>
      <c r="D389" s="104" t="str" cm="1">
        <f t="array" ref="D389">_xlfn.IFS(AND(A389&gt;NumberOfPlots,ISBLANK(INDEX(PlotData,MATCH($A389,PlotNumber,0),MATCH(B$3,PlotTitles,0)))),"",ISBLANK(INDEX(PlotData,MATCH($A389,PlotNumber,0),MATCH(D$3,PlotTitles,0))),$AB$7,TRUE,"")</f>
        <v/>
      </c>
      <c r="E389" s="104" t="str" cm="1">
        <f t="array" ref="E389">_xlfn.IFS(AND(A389&gt;NumberOfPlots,ISBLANK(INDEX(PlotData,MATCH($A389,PlotNumber,0),MATCH(B$3,PlotTitles,0)))),"",ISBLANK(INDEX(PlotData,MATCH($A389,PlotNumber,0),MATCH(E$3,PlotTitles,0))),$AB$8,TRUE,"")</f>
        <v/>
      </c>
      <c r="F389" s="104" t="str" cm="1">
        <f t="array" ref="F389">_xlfn.IFS(AND(A389&gt;NumberOfPlots,ISBLANK(INDEX(PlotData,MATCH($A389,PlotNumber,0),MATCH(B$3,PlotTitles,0)))),"",ISBLANK(INDEX(PlotData,MATCH($A389,PlotNumber,0),MATCH(F$3,PlotTitles,0))),$AB$9,TRUE,"")</f>
        <v/>
      </c>
      <c r="G389" s="104" t="str" cm="1">
        <f t="array" ref="G389">_xlfn.IFS(AND(A389&gt;NumberOfPlots,ISBLANK(INDEX(PlotData,MATCH($A389,PlotNumber,0),MATCH(B$3,PlotTitles,0)))),"",ISBLANK(INDEX(PlotData,MATCH($A389,PlotNumber,0),MATCH(G$3,PlotTitles,0))),$AB$10,TRUE,"")</f>
        <v/>
      </c>
      <c r="H389" s="104" t="str" cm="1">
        <f t="array" ref="H389">_xlfn.IFS(AND(A389&gt;NumberOfPlots,ISBLANK(INDEX(PlotData,MATCH($A389,PlotNumber,0),MATCH(B$3,PlotTitles,0)))),"",AND(ISBLANK(INDEX(PlotData,MATCH($A389,PlotNumber,0),MATCH(H$3,PlotTitles,0)))=FALSE,INDEX(PlotData,MATCH($A389,PlotNumber,0),MATCH(H$3,PlotTitles,0))&lt;500), $AB$11,TRUE,"")</f>
        <v/>
      </c>
      <c r="I389" s="104" t="str" cm="1">
        <f t="array" ref="I389">_xlfn.IFS(AND(A389&gt;NumberOfPlots,ISBLANK(INDEX(PlotData,MATCH($A389,PlotNumber,0),MATCH(B$3,PlotTitles,0)))),"",ISBLANK(INDEX(PlotData,MATCH($A389,PlotNumber,0),MATCH(I$3,PlotTitles,0))),$AB$12,TRUE,"")</f>
        <v/>
      </c>
      <c r="J389" s="104" t="str" cm="1">
        <f t="array" ref="J389">_xlfn.IFS(AND(A389&gt;NumberOfPlots,ISBLANK(INDEX(PlotData,MATCH($A389,PlotNumber,0),MATCH(B$3,PlotTitles,0)))),"",ISBLANK(INDEX(PlotData,MATCH($A389,PlotNumber,0),MATCH(J$3,PlotTitles,0))),$AB$13,TRUE,"")</f>
        <v/>
      </c>
      <c r="K389" s="182" t="str">
        <f t="shared" ref="K389:K452" ca="1" si="18">IF(AND(A389&gt;NumberOfPlots,ISBLANK(INDEX(PlotData,MATCH($A389,PlotNumber,0),MATCH(B$3,PlotTitles,0)))),"",IF(ISBLANK(INDEX(PlotData,MATCH($A389,PlotNumber,0),MATCH(I$3,PlotTitles,0)))=FALSE,IF(ISBLANK(INDEX(PlotData,MATCH($A389,PlotNumber,0),MATCH(J$3,PlotTitles,0)))=FALSE,IF((DATEVALUE(INDEX(PlotData,MATCH($A389,PlotNumber,0),MATCH(I$3,PlotTitles,0))&amp;INDEX(PlotData,MATCH($A389,PlotNumber,0),MATCH(J$3,PlotTitles,0))))&lt;(DATEVALUE(TEXT(TODAY(),"DD")&amp;"/"&amp;TEXT(TODAY(),"MM")&amp;"/"&amp;TEXT(TODAY(),"YYYY"))),$AB$14,"")),""))</f>
        <v/>
      </c>
      <c r="L389" s="104" t="str" cm="1">
        <f t="array" ref="L389">_xlfn.IFS(OR(ISBLANK(StartDateMonth),ISBLANK(StartDateYear)),"",AND(A389&gt;NumberOfPlots,ISBLANK(INDEX(PlotData,MATCH($A389,PlotNumber,0),MATCH(B$3,PlotTitles,0)))),"",ISBLANK(INDEX(PlotData,MATCH($A389,PlotNumber,0),MATCH(I$3,PlotTitles,0))),"",(DATEVALUE(INDEX(PlotData,MATCH($A389,PlotNumber,0),MATCH(I$3,PlotTitles,0))&amp;INDEX(PlotData,MATCH($A389,PlotNumber,0),MATCH(J$3,PlotTitles,0))))&lt;DATEVALUE(StartDateMonth&amp;StartDateYear),$AB$15,TRUE,"")</f>
        <v/>
      </c>
      <c r="M389" s="104" t="str" cm="1">
        <f t="array" ref="M389">_xlfn.IFS(OR(ISBLANK(StartDateMonth),ISBLANK(StartDateYear)),"",AND(A389&gt;NumberOfPlots,ISBLANK(INDEX(PlotData,MATCH($A389,PlotNumber,0),MATCH(B$3,PlotTitles,0)))),"",ISBLANK(INDEX(PlotData,MATCH($A389,PlotNumber,0),MATCH(I$3,PlotTitles,0))),"",CompletionMonth="","",(DATEVALUE(INDEX(PlotData,MATCH($A389,PlotNumber,0),MATCH(I$3,PlotTitles,0))&amp;INDEX(PlotData,MATCH($A389,PlotNumber,0),MATCH(J$3,PlotTitles,0))))&gt;(DATEVALUE(CompletionMonth&amp;CompletionYear)),$AB$16,TRUE,"")</f>
        <v/>
      </c>
      <c r="N389" s="104" t="str" cm="1">
        <f t="array" ref="N389">_xlfn.IFS(AND(A389&gt;NumberOfPlots,ISBLANK(INDEX(PlotData,MATCH($A389,PlotNumber,0),MATCH(B$3,PlotTitles,0)))),"",ISBLANK(INDEX(PlotData,MATCH($A389,PlotNumber,0),MATCH(N$3,PlotTitles,0))),$AB$17,TRUE,"")</f>
        <v/>
      </c>
      <c r="O389" s="104" t="str" cm="1">
        <f t="array" ref="O389">_xlfn.IFS(AND(A389&gt;NumberOfPlots,ISBLANK(INDEX(PlotData,MATCH($A389,PlotNumber,0),MATCH(B$3,PlotTitles,0)))),"",ISBLANK(INDEX(PlotData,MATCH($A389,PlotNumber,0),MATCH(O$3,PlotTitles,0))),$AB$18,TRUE,"")</f>
        <v/>
      </c>
      <c r="P389" s="182" t="str">
        <f t="shared" ref="P389:P452" ca="1" si="19">IF(AND(A389&gt;NumberOfPlots,ISBLANK(INDEX(PlotData,MATCH($A389,PlotNumber,0),MATCH(B$3,PlotTitles,0)))),"",IF(ISBLANK(INDEX(PlotData,MATCH($A389,PlotNumber,0),MATCH(N$3,PlotTitles,0)))=FALSE,IF(ISBLANK(INDEX(PlotData,MATCH($A389,PlotNumber,0),MATCH(O$3,PlotTitles,0)))=FALSE,IF((DATEVALUE(INDEX(PlotData,MATCH($A389,PlotNumber,0),MATCH(N$3,PlotTitles,0))&amp;INDEX(PlotData,MATCH($A389,PlotNumber,0),MATCH(O$3,PlotTitles,0))))&lt;(DATEVALUE(TEXT(TODAY(),"DD")&amp;"/"&amp;TEXT(TODAY(),"MM")&amp;"/"&amp;TEXT(TODAY(),"YYYY"))),$AB$19,"")),""))</f>
        <v/>
      </c>
      <c r="Q389" s="104" t="str" cm="1">
        <f t="array" ref="Q389">_xlfn.IFS(AND(A389&gt;NumberOfPlots,ISBLANK(INDEX(PlotData,MATCH($A389,PlotNumber,0),MATCH(B$3,PlotTitles,0)))),"",ISBLANK(INDEX(PlotData,MATCH($A389,PlotNumber,0),MATCH(N$3,PlotTitles,0))),"",(DATEVALUE(INDEX(PlotData,MATCH($A389,PlotNumber,0),MATCH(N$3,PlotTitles,0))&amp;INDEX(PlotData,MATCH($A389,PlotNumber,0),MATCH(O$3,PlotTitles,0))))&lt;(DATEVALUE(INDEX(PlotData,MATCH($A389,PlotNumber,0),MATCH(I$3,PlotTitles,0))&amp;INDEX(PlotData,MATCH($A389,PlotNumber,0),MATCH(J$3,PlotTitles,0)))),$AB$20,TRUE,"")</f>
        <v/>
      </c>
      <c r="R389" s="104" t="str" cm="1">
        <f t="array" ref="R389">_xlfn.IFS(OR(ISBLANK(StartDateMonth),ISBLANK(StartDateYear)),"",AND(A389&gt;NumberOfPlots,ISBLANK(INDEX(PlotData,MATCH($A389,PlotNumber,0),MATCH(B$3,PlotTitles,0)))),"",ISBLANK(INDEX(PlotData,MATCH($A389,PlotNumber,0),MATCH(N$3,PlotTitles,0))),"",CompletionMonth="","",(DATEVALUE(INDEX(PlotData,MATCH($A389,PlotNumber,0),MATCH(N$3,PlotTitles,0))&amp;INDEX(PlotData,MATCH($A389,PlotNumber,0),MATCH(O$3,PlotTitles,0))))&gt;(DATEVALUE(CompletionMonth&amp;CompletionYear)),$AB$21,TRUE,"")</f>
        <v/>
      </c>
      <c r="S389" s="104" t="str" cm="1">
        <f t="array" ref="S389">_xlfn.IFS(AND(A389&gt;NumberOfPlots,ISBLANK(INDEX(PlotData,MATCH($A389,PlotNumber,0),MATCH(B$3,PlotTitles,0)))),"",OR(AND(INDEX(PlotData,MATCH($A389,PlotNumber,0),MATCH("Tenure",PlotTitles,0))="Open market housing",INDEX(PlotData,MATCH($A389,PlotNumber,0),MATCH("Tenure detail",PlotTitles,0))="Private rented sector"),INDEX(PlotData,MATCH($A389,PlotNumber,0),MATCH("Tenure",PlotTitles,0))="Affordable rent"),"",ISNUMBER(INDEX(PlotData,MATCH($A389,PlotNumber,0),MATCH(S$3,PlotTitles,0)))=FALSE, $AB$22,TRUE,"")</f>
        <v/>
      </c>
      <c r="T389" s="104" t="str" cm="1">
        <f t="array" ref="T389">_xlfn.IFS(AND(A389&gt;NumberOfPlots,ISBLANK(INDEX(PlotData,MATCH($A389,PlotNumber,0),MATCH(B$3,PlotTitles,0)))),"",OR(AND(INDEX(PlotData,MATCH($A389,PlotNumber,0),MATCH("Tenure",PlotTitles,0))="Open market housing",INDEX(PlotData,MATCH($A389,PlotNumber,0),MATCH("Tenure detail",PlotTitles,0))="Private rented sector"),INDEX(PlotData,MATCH($A389,PlotNumber,0),MATCH("Tenure",PlotTitles,0))="Affordable rent"),"",INDEX(PlotData,MATCH($A389,PlotNumber,0),MATCH(S$3,PlotTitles,0))&lt;10000, $AB$23,TRUE,"")</f>
        <v/>
      </c>
      <c r="U389" s="104" t="str" cm="1">
        <f t="array" ref="U389">_xlfn.IFS(AND(A389&gt;NumberOfPlots,ISBLANK(INDEX(PlotData,MATCH($A389,PlotNumber,0),MATCH(B$3,PlotTitles,0)))),"",NOT(OR(AND(INDEX(PlotData,MATCH($A389,PlotNumber,0),MATCH("Tenure",PlotTitles,0))="Open market housing",INDEX(PlotData,MATCH($A389,PlotNumber,0),MATCH("Tenure detail",PlotTitles,0))="Private rented sector"),INDEX(PlotData,MATCH($A389,PlotNumber,0),MATCH("Tenure",PlotTitles,0))="Affordable rent")),"",NOT(INDEX(PlotData,MATCH($A389,PlotNumber,0),MATCH(S$3,PlotTitles,0))=0), $AB$24,TRUE,"")</f>
        <v/>
      </c>
      <c r="V389" s="114" t="str" cm="1">
        <f t="array" aca="1" ref="V389" ca="1">_xlfn.IFS(ISBLANK(NumberOfPlots),"Enter the number of homes on the 1_SetUp sheet",AND(A389&gt;NumberOfPlots,ISBLANK(INDEX(PlotData,MATCH($A389,PlotNumber,0),MATCH(B$3,PlotTitles,0)))),"No error",NOT(B389=""),B389,NOT(C389=""),C389,NOT(D389=""),D389,NOT(E389=""),E389,NOT(F389=""),F389,NOT(G389=""),G389,NOT(H389=""),H389,NOT(I389=""),I389,NOT(J389=""),J389,NOT(K389=""),K389,NOT(L389=""),L389,NOT(M389=""),M389,NOT(N389=""),N389,NOT(O389=""),O389,NOT(P389=""),P389,NOT(Q389=""),Q389,NOT(R389=""),R389,NOT(S389=""),S389,NOT(T389=""),T389,NOT(U389=""),U389,TRUE,"No error")</f>
        <v>Enter the number of homes on the 1_SetUp sheet</v>
      </c>
      <c r="W389" s="114" t="str">
        <f t="shared" ca="1" si="17"/>
        <v xml:space="preserve">The Borrower has not addressed the following error messages for Home ID 385: </v>
      </c>
    </row>
    <row r="390" spans="1:23">
      <c r="A390" s="123">
        <v>386</v>
      </c>
      <c r="B390" s="104" t="str" cm="1">
        <f t="array" ref="B390">_xlfn.IFS(AND(A390&gt;NumberOfPlots,ISBLANK(INDEX(PlotData,MATCH($A390,PlotNumber,0),MATCH(B$3,PlotTitles,0)))),"",ISNUMBER(INDEX(PlotData,MATCH($A390,PlotNumber,0),MATCH(B$3,PlotTitles,0)))=FALSE, $AB$5,TRUE,"")</f>
        <v/>
      </c>
      <c r="C390" s="104" t="str" cm="1">
        <f t="array" ref="C390">_xlfn.IFS(AND(A390&gt;NumberOfPlots,ISBLANK(INDEX(PlotData,MATCH($A390,PlotNumber,0),MATCH(B$3,PlotTitles,0)))),"",ISBLANK(INDEX(PlotData,MATCH($A390,PlotNumber,0),MATCH(C$3,PlotTitles,0))),$AB$6,TRUE,"")</f>
        <v/>
      </c>
      <c r="D390" s="104" t="str" cm="1">
        <f t="array" ref="D390">_xlfn.IFS(AND(A390&gt;NumberOfPlots,ISBLANK(INDEX(PlotData,MATCH($A390,PlotNumber,0),MATCH(B$3,PlotTitles,0)))),"",ISBLANK(INDEX(PlotData,MATCH($A390,PlotNumber,0),MATCH(D$3,PlotTitles,0))),$AB$7,TRUE,"")</f>
        <v/>
      </c>
      <c r="E390" s="104" t="str" cm="1">
        <f t="array" ref="E390">_xlfn.IFS(AND(A390&gt;NumberOfPlots,ISBLANK(INDEX(PlotData,MATCH($A390,PlotNumber,0),MATCH(B$3,PlotTitles,0)))),"",ISBLANK(INDEX(PlotData,MATCH($A390,PlotNumber,0),MATCH(E$3,PlotTitles,0))),$AB$8,TRUE,"")</f>
        <v/>
      </c>
      <c r="F390" s="104" t="str" cm="1">
        <f t="array" ref="F390">_xlfn.IFS(AND(A390&gt;NumberOfPlots,ISBLANK(INDEX(PlotData,MATCH($A390,PlotNumber,0),MATCH(B$3,PlotTitles,0)))),"",ISBLANK(INDEX(PlotData,MATCH($A390,PlotNumber,0),MATCH(F$3,PlotTitles,0))),$AB$9,TRUE,"")</f>
        <v/>
      </c>
      <c r="G390" s="104" t="str" cm="1">
        <f t="array" ref="G390">_xlfn.IFS(AND(A390&gt;NumberOfPlots,ISBLANK(INDEX(PlotData,MATCH($A390,PlotNumber,0),MATCH(B$3,PlotTitles,0)))),"",ISBLANK(INDEX(PlotData,MATCH($A390,PlotNumber,0),MATCH(G$3,PlotTitles,0))),$AB$10,TRUE,"")</f>
        <v/>
      </c>
      <c r="H390" s="104" t="str" cm="1">
        <f t="array" ref="H390">_xlfn.IFS(AND(A390&gt;NumberOfPlots,ISBLANK(INDEX(PlotData,MATCH($A390,PlotNumber,0),MATCH(B$3,PlotTitles,0)))),"",AND(ISBLANK(INDEX(PlotData,MATCH($A390,PlotNumber,0),MATCH(H$3,PlotTitles,0)))=FALSE,INDEX(PlotData,MATCH($A390,PlotNumber,0),MATCH(H$3,PlotTitles,0))&lt;500), $AB$11,TRUE,"")</f>
        <v/>
      </c>
      <c r="I390" s="104" t="str" cm="1">
        <f t="array" ref="I390">_xlfn.IFS(AND(A390&gt;NumberOfPlots,ISBLANK(INDEX(PlotData,MATCH($A390,PlotNumber,0),MATCH(B$3,PlotTitles,0)))),"",ISBLANK(INDEX(PlotData,MATCH($A390,PlotNumber,0),MATCH(I$3,PlotTitles,0))),$AB$12,TRUE,"")</f>
        <v/>
      </c>
      <c r="J390" s="104" t="str" cm="1">
        <f t="array" ref="J390">_xlfn.IFS(AND(A390&gt;NumberOfPlots,ISBLANK(INDEX(PlotData,MATCH($A390,PlotNumber,0),MATCH(B$3,PlotTitles,0)))),"",ISBLANK(INDEX(PlotData,MATCH($A390,PlotNumber,0),MATCH(J$3,PlotTitles,0))),$AB$13,TRUE,"")</f>
        <v/>
      </c>
      <c r="K390" s="182" t="str">
        <f t="shared" ca="1" si="18"/>
        <v/>
      </c>
      <c r="L390" s="104" t="str" cm="1">
        <f t="array" ref="L390">_xlfn.IFS(OR(ISBLANK(StartDateMonth),ISBLANK(StartDateYear)),"",AND(A390&gt;NumberOfPlots,ISBLANK(INDEX(PlotData,MATCH($A390,PlotNumber,0),MATCH(B$3,PlotTitles,0)))),"",ISBLANK(INDEX(PlotData,MATCH($A390,PlotNumber,0),MATCH(I$3,PlotTitles,0))),"",(DATEVALUE(INDEX(PlotData,MATCH($A390,PlotNumber,0),MATCH(I$3,PlotTitles,0))&amp;INDEX(PlotData,MATCH($A390,PlotNumber,0),MATCH(J$3,PlotTitles,0))))&lt;DATEVALUE(StartDateMonth&amp;StartDateYear),$AB$15,TRUE,"")</f>
        <v/>
      </c>
      <c r="M390" s="104" t="str" cm="1">
        <f t="array" ref="M390">_xlfn.IFS(OR(ISBLANK(StartDateMonth),ISBLANK(StartDateYear)),"",AND(A390&gt;NumberOfPlots,ISBLANK(INDEX(PlotData,MATCH($A390,PlotNumber,0),MATCH(B$3,PlotTitles,0)))),"",ISBLANK(INDEX(PlotData,MATCH($A390,PlotNumber,0),MATCH(I$3,PlotTitles,0))),"",CompletionMonth="","",(DATEVALUE(INDEX(PlotData,MATCH($A390,PlotNumber,0),MATCH(I$3,PlotTitles,0))&amp;INDEX(PlotData,MATCH($A390,PlotNumber,0),MATCH(J$3,PlotTitles,0))))&gt;(DATEVALUE(CompletionMonth&amp;CompletionYear)),$AB$16,TRUE,"")</f>
        <v/>
      </c>
      <c r="N390" s="104" t="str" cm="1">
        <f t="array" ref="N390">_xlfn.IFS(AND(A390&gt;NumberOfPlots,ISBLANK(INDEX(PlotData,MATCH($A390,PlotNumber,0),MATCH(B$3,PlotTitles,0)))),"",ISBLANK(INDEX(PlotData,MATCH($A390,PlotNumber,0),MATCH(N$3,PlotTitles,0))),$AB$17,TRUE,"")</f>
        <v/>
      </c>
      <c r="O390" s="104" t="str" cm="1">
        <f t="array" ref="O390">_xlfn.IFS(AND(A390&gt;NumberOfPlots,ISBLANK(INDEX(PlotData,MATCH($A390,PlotNumber,0),MATCH(B$3,PlotTitles,0)))),"",ISBLANK(INDEX(PlotData,MATCH($A390,PlotNumber,0),MATCH(O$3,PlotTitles,0))),$AB$18,TRUE,"")</f>
        <v/>
      </c>
      <c r="P390" s="182" t="str">
        <f t="shared" ca="1" si="19"/>
        <v/>
      </c>
      <c r="Q390" s="104" t="str" cm="1">
        <f t="array" ref="Q390">_xlfn.IFS(AND(A390&gt;NumberOfPlots,ISBLANK(INDEX(PlotData,MATCH($A390,PlotNumber,0),MATCH(B$3,PlotTitles,0)))),"",ISBLANK(INDEX(PlotData,MATCH($A390,PlotNumber,0),MATCH(N$3,PlotTitles,0))),"",(DATEVALUE(INDEX(PlotData,MATCH($A390,PlotNumber,0),MATCH(N$3,PlotTitles,0))&amp;INDEX(PlotData,MATCH($A390,PlotNumber,0),MATCH(O$3,PlotTitles,0))))&lt;(DATEVALUE(INDEX(PlotData,MATCH($A390,PlotNumber,0),MATCH(I$3,PlotTitles,0))&amp;INDEX(PlotData,MATCH($A390,PlotNumber,0),MATCH(J$3,PlotTitles,0)))),$AB$20,TRUE,"")</f>
        <v/>
      </c>
      <c r="R390" s="104" t="str" cm="1">
        <f t="array" ref="R390">_xlfn.IFS(OR(ISBLANK(StartDateMonth),ISBLANK(StartDateYear)),"",AND(A390&gt;NumberOfPlots,ISBLANK(INDEX(PlotData,MATCH($A390,PlotNumber,0),MATCH(B$3,PlotTitles,0)))),"",ISBLANK(INDEX(PlotData,MATCH($A390,PlotNumber,0),MATCH(N$3,PlotTitles,0))),"",CompletionMonth="","",(DATEVALUE(INDEX(PlotData,MATCH($A390,PlotNumber,0),MATCH(N$3,PlotTitles,0))&amp;INDEX(PlotData,MATCH($A390,PlotNumber,0),MATCH(O$3,PlotTitles,0))))&gt;(DATEVALUE(CompletionMonth&amp;CompletionYear)),$AB$21,TRUE,"")</f>
        <v/>
      </c>
      <c r="S390" s="104" t="str" cm="1">
        <f t="array" ref="S390">_xlfn.IFS(AND(A390&gt;NumberOfPlots,ISBLANK(INDEX(PlotData,MATCH($A390,PlotNumber,0),MATCH(B$3,PlotTitles,0)))),"",OR(AND(INDEX(PlotData,MATCH($A390,PlotNumber,0),MATCH("Tenure",PlotTitles,0))="Open market housing",INDEX(PlotData,MATCH($A390,PlotNumber,0),MATCH("Tenure detail",PlotTitles,0))="Private rented sector"),INDEX(PlotData,MATCH($A390,PlotNumber,0),MATCH("Tenure",PlotTitles,0))="Affordable rent"),"",ISNUMBER(INDEX(PlotData,MATCH($A390,PlotNumber,0),MATCH(S$3,PlotTitles,0)))=FALSE, $AB$22,TRUE,"")</f>
        <v/>
      </c>
      <c r="T390" s="104" t="str" cm="1">
        <f t="array" ref="T390">_xlfn.IFS(AND(A390&gt;NumberOfPlots,ISBLANK(INDEX(PlotData,MATCH($A390,PlotNumber,0),MATCH(B$3,PlotTitles,0)))),"",OR(AND(INDEX(PlotData,MATCH($A390,PlotNumber,0),MATCH("Tenure",PlotTitles,0))="Open market housing",INDEX(PlotData,MATCH($A390,PlotNumber,0),MATCH("Tenure detail",PlotTitles,0))="Private rented sector"),INDEX(PlotData,MATCH($A390,PlotNumber,0),MATCH("Tenure",PlotTitles,0))="Affordable rent"),"",INDEX(PlotData,MATCH($A390,PlotNumber,0),MATCH(S$3,PlotTitles,0))&lt;10000, $AB$23,TRUE,"")</f>
        <v/>
      </c>
      <c r="U390" s="104" t="str" cm="1">
        <f t="array" ref="U390">_xlfn.IFS(AND(A390&gt;NumberOfPlots,ISBLANK(INDEX(PlotData,MATCH($A390,PlotNumber,0),MATCH(B$3,PlotTitles,0)))),"",NOT(OR(AND(INDEX(PlotData,MATCH($A390,PlotNumber,0),MATCH("Tenure",PlotTitles,0))="Open market housing",INDEX(PlotData,MATCH($A390,PlotNumber,0),MATCH("Tenure detail",PlotTitles,0))="Private rented sector"),INDEX(PlotData,MATCH($A390,PlotNumber,0),MATCH("Tenure",PlotTitles,0))="Affordable rent")),"",NOT(INDEX(PlotData,MATCH($A390,PlotNumber,0),MATCH(S$3,PlotTitles,0))=0), $AB$24,TRUE,"")</f>
        <v/>
      </c>
      <c r="V390" s="114" t="str" cm="1">
        <f t="array" aca="1" ref="V390" ca="1">_xlfn.IFS(ISBLANK(NumberOfPlots),"Enter the number of homes on the 1_SetUp sheet",AND(A390&gt;NumberOfPlots,ISBLANK(INDEX(PlotData,MATCH($A390,PlotNumber,0),MATCH(B$3,PlotTitles,0)))),"No error",NOT(B390=""),B390,NOT(C390=""),C390,NOT(D390=""),D390,NOT(E390=""),E390,NOT(F390=""),F390,NOT(G390=""),G390,NOT(H390=""),H390,NOT(I390=""),I390,NOT(J390=""),J390,NOT(K390=""),K390,NOT(L390=""),L390,NOT(M390=""),M390,NOT(N390=""),N390,NOT(O390=""),O390,NOT(P390=""),P390,NOT(Q390=""),Q390,NOT(R390=""),R390,NOT(S390=""),S390,NOT(T390=""),T390,NOT(U390=""),U390,TRUE,"No error")</f>
        <v>Enter the number of homes on the 1_SetUp sheet</v>
      </c>
      <c r="W390" s="114" t="str">
        <f t="shared" ref="W390:W453" ca="1" si="20">IF($V390="No error","","The Borrower has not addressed the following error messages for Home ID "&amp;$A390&amp;": "&amp;_xlfn.TEXTJOIN(". ",TRUE,$B390:$T390))</f>
        <v xml:space="preserve">The Borrower has not addressed the following error messages for Home ID 386: </v>
      </c>
    </row>
    <row r="391" spans="1:23">
      <c r="A391" s="123">
        <v>387</v>
      </c>
      <c r="B391" s="104" t="str" cm="1">
        <f t="array" ref="B391">_xlfn.IFS(AND(A391&gt;NumberOfPlots,ISBLANK(INDEX(PlotData,MATCH($A391,PlotNumber,0),MATCH(B$3,PlotTitles,0)))),"",ISNUMBER(INDEX(PlotData,MATCH($A391,PlotNumber,0),MATCH(B$3,PlotTitles,0)))=FALSE, $AB$5,TRUE,"")</f>
        <v/>
      </c>
      <c r="C391" s="104" t="str" cm="1">
        <f t="array" ref="C391">_xlfn.IFS(AND(A391&gt;NumberOfPlots,ISBLANK(INDEX(PlotData,MATCH($A391,PlotNumber,0),MATCH(B$3,PlotTitles,0)))),"",ISBLANK(INDEX(PlotData,MATCH($A391,PlotNumber,0),MATCH(C$3,PlotTitles,0))),$AB$6,TRUE,"")</f>
        <v/>
      </c>
      <c r="D391" s="104" t="str" cm="1">
        <f t="array" ref="D391">_xlfn.IFS(AND(A391&gt;NumberOfPlots,ISBLANK(INDEX(PlotData,MATCH($A391,PlotNumber,0),MATCH(B$3,PlotTitles,0)))),"",ISBLANK(INDEX(PlotData,MATCH($A391,PlotNumber,0),MATCH(D$3,PlotTitles,0))),$AB$7,TRUE,"")</f>
        <v/>
      </c>
      <c r="E391" s="104" t="str" cm="1">
        <f t="array" ref="E391">_xlfn.IFS(AND(A391&gt;NumberOfPlots,ISBLANK(INDEX(PlotData,MATCH($A391,PlotNumber,0),MATCH(B$3,PlotTitles,0)))),"",ISBLANK(INDEX(PlotData,MATCH($A391,PlotNumber,0),MATCH(E$3,PlotTitles,0))),$AB$8,TRUE,"")</f>
        <v/>
      </c>
      <c r="F391" s="104" t="str" cm="1">
        <f t="array" ref="F391">_xlfn.IFS(AND(A391&gt;NumberOfPlots,ISBLANK(INDEX(PlotData,MATCH($A391,PlotNumber,0),MATCH(B$3,PlotTitles,0)))),"",ISBLANK(INDEX(PlotData,MATCH($A391,PlotNumber,0),MATCH(F$3,PlotTitles,0))),$AB$9,TRUE,"")</f>
        <v/>
      </c>
      <c r="G391" s="104" t="str" cm="1">
        <f t="array" ref="G391">_xlfn.IFS(AND(A391&gt;NumberOfPlots,ISBLANK(INDEX(PlotData,MATCH($A391,PlotNumber,0),MATCH(B$3,PlotTitles,0)))),"",ISBLANK(INDEX(PlotData,MATCH($A391,PlotNumber,0),MATCH(G$3,PlotTitles,0))),$AB$10,TRUE,"")</f>
        <v/>
      </c>
      <c r="H391" s="104" t="str" cm="1">
        <f t="array" ref="H391">_xlfn.IFS(AND(A391&gt;NumberOfPlots,ISBLANK(INDEX(PlotData,MATCH($A391,PlotNumber,0),MATCH(B$3,PlotTitles,0)))),"",AND(ISBLANK(INDEX(PlotData,MATCH($A391,PlotNumber,0),MATCH(H$3,PlotTitles,0)))=FALSE,INDEX(PlotData,MATCH($A391,PlotNumber,0),MATCH(H$3,PlotTitles,0))&lt;500), $AB$11,TRUE,"")</f>
        <v/>
      </c>
      <c r="I391" s="104" t="str" cm="1">
        <f t="array" ref="I391">_xlfn.IFS(AND(A391&gt;NumberOfPlots,ISBLANK(INDEX(PlotData,MATCH($A391,PlotNumber,0),MATCH(B$3,PlotTitles,0)))),"",ISBLANK(INDEX(PlotData,MATCH($A391,PlotNumber,0),MATCH(I$3,PlotTitles,0))),$AB$12,TRUE,"")</f>
        <v/>
      </c>
      <c r="J391" s="104" t="str" cm="1">
        <f t="array" ref="J391">_xlfn.IFS(AND(A391&gt;NumberOfPlots,ISBLANK(INDEX(PlotData,MATCH($A391,PlotNumber,0),MATCH(B$3,PlotTitles,0)))),"",ISBLANK(INDEX(PlotData,MATCH($A391,PlotNumber,0),MATCH(J$3,PlotTitles,0))),$AB$13,TRUE,"")</f>
        <v/>
      </c>
      <c r="K391" s="182" t="str">
        <f t="shared" ca="1" si="18"/>
        <v/>
      </c>
      <c r="L391" s="104" t="str" cm="1">
        <f t="array" ref="L391">_xlfn.IFS(OR(ISBLANK(StartDateMonth),ISBLANK(StartDateYear)),"",AND(A391&gt;NumberOfPlots,ISBLANK(INDEX(PlotData,MATCH($A391,PlotNumber,0),MATCH(B$3,PlotTitles,0)))),"",ISBLANK(INDEX(PlotData,MATCH($A391,PlotNumber,0),MATCH(I$3,PlotTitles,0))),"",(DATEVALUE(INDEX(PlotData,MATCH($A391,PlotNumber,0),MATCH(I$3,PlotTitles,0))&amp;INDEX(PlotData,MATCH($A391,PlotNumber,0),MATCH(J$3,PlotTitles,0))))&lt;DATEVALUE(StartDateMonth&amp;StartDateYear),$AB$15,TRUE,"")</f>
        <v/>
      </c>
      <c r="M391" s="104" t="str" cm="1">
        <f t="array" ref="M391">_xlfn.IFS(OR(ISBLANK(StartDateMonth),ISBLANK(StartDateYear)),"",AND(A391&gt;NumberOfPlots,ISBLANK(INDEX(PlotData,MATCH($A391,PlotNumber,0),MATCH(B$3,PlotTitles,0)))),"",ISBLANK(INDEX(PlotData,MATCH($A391,PlotNumber,0),MATCH(I$3,PlotTitles,0))),"",CompletionMonth="","",(DATEVALUE(INDEX(PlotData,MATCH($A391,PlotNumber,0),MATCH(I$3,PlotTitles,0))&amp;INDEX(PlotData,MATCH($A391,PlotNumber,0),MATCH(J$3,PlotTitles,0))))&gt;(DATEVALUE(CompletionMonth&amp;CompletionYear)),$AB$16,TRUE,"")</f>
        <v/>
      </c>
      <c r="N391" s="104" t="str" cm="1">
        <f t="array" ref="N391">_xlfn.IFS(AND(A391&gt;NumberOfPlots,ISBLANK(INDEX(PlotData,MATCH($A391,PlotNumber,0),MATCH(B$3,PlotTitles,0)))),"",ISBLANK(INDEX(PlotData,MATCH($A391,PlotNumber,0),MATCH(N$3,PlotTitles,0))),$AB$17,TRUE,"")</f>
        <v/>
      </c>
      <c r="O391" s="104" t="str" cm="1">
        <f t="array" ref="O391">_xlfn.IFS(AND(A391&gt;NumberOfPlots,ISBLANK(INDEX(PlotData,MATCH($A391,PlotNumber,0),MATCH(B$3,PlotTitles,0)))),"",ISBLANK(INDEX(PlotData,MATCH($A391,PlotNumber,0),MATCH(O$3,PlotTitles,0))),$AB$18,TRUE,"")</f>
        <v/>
      </c>
      <c r="P391" s="182" t="str">
        <f t="shared" ca="1" si="19"/>
        <v/>
      </c>
      <c r="Q391" s="104" t="str" cm="1">
        <f t="array" ref="Q391">_xlfn.IFS(AND(A391&gt;NumberOfPlots,ISBLANK(INDEX(PlotData,MATCH($A391,PlotNumber,0),MATCH(B$3,PlotTitles,0)))),"",ISBLANK(INDEX(PlotData,MATCH($A391,PlotNumber,0),MATCH(N$3,PlotTitles,0))),"",(DATEVALUE(INDEX(PlotData,MATCH($A391,PlotNumber,0),MATCH(N$3,PlotTitles,0))&amp;INDEX(PlotData,MATCH($A391,PlotNumber,0),MATCH(O$3,PlotTitles,0))))&lt;(DATEVALUE(INDEX(PlotData,MATCH($A391,PlotNumber,0),MATCH(I$3,PlotTitles,0))&amp;INDEX(PlotData,MATCH($A391,PlotNumber,0),MATCH(J$3,PlotTitles,0)))),$AB$20,TRUE,"")</f>
        <v/>
      </c>
      <c r="R391" s="104" t="str" cm="1">
        <f t="array" ref="R391">_xlfn.IFS(OR(ISBLANK(StartDateMonth),ISBLANK(StartDateYear)),"",AND(A391&gt;NumberOfPlots,ISBLANK(INDEX(PlotData,MATCH($A391,PlotNumber,0),MATCH(B$3,PlotTitles,0)))),"",ISBLANK(INDEX(PlotData,MATCH($A391,PlotNumber,0),MATCH(N$3,PlotTitles,0))),"",CompletionMonth="","",(DATEVALUE(INDEX(PlotData,MATCH($A391,PlotNumber,0),MATCH(N$3,PlotTitles,0))&amp;INDEX(PlotData,MATCH($A391,PlotNumber,0),MATCH(O$3,PlotTitles,0))))&gt;(DATEVALUE(CompletionMonth&amp;CompletionYear)),$AB$21,TRUE,"")</f>
        <v/>
      </c>
      <c r="S391" s="104" t="str" cm="1">
        <f t="array" ref="S391">_xlfn.IFS(AND(A391&gt;NumberOfPlots,ISBLANK(INDEX(PlotData,MATCH($A391,PlotNumber,0),MATCH(B$3,PlotTitles,0)))),"",OR(AND(INDEX(PlotData,MATCH($A391,PlotNumber,0),MATCH("Tenure",PlotTitles,0))="Open market housing",INDEX(PlotData,MATCH($A391,PlotNumber,0),MATCH("Tenure detail",PlotTitles,0))="Private rented sector"),INDEX(PlotData,MATCH($A391,PlotNumber,0),MATCH("Tenure",PlotTitles,0))="Affordable rent"),"",ISNUMBER(INDEX(PlotData,MATCH($A391,PlotNumber,0),MATCH(S$3,PlotTitles,0)))=FALSE, $AB$22,TRUE,"")</f>
        <v/>
      </c>
      <c r="T391" s="104" t="str" cm="1">
        <f t="array" ref="T391">_xlfn.IFS(AND(A391&gt;NumberOfPlots,ISBLANK(INDEX(PlotData,MATCH($A391,PlotNumber,0),MATCH(B$3,PlotTitles,0)))),"",OR(AND(INDEX(PlotData,MATCH($A391,PlotNumber,0),MATCH("Tenure",PlotTitles,0))="Open market housing",INDEX(PlotData,MATCH($A391,PlotNumber,0),MATCH("Tenure detail",PlotTitles,0))="Private rented sector"),INDEX(PlotData,MATCH($A391,PlotNumber,0),MATCH("Tenure",PlotTitles,0))="Affordable rent"),"",INDEX(PlotData,MATCH($A391,PlotNumber,0),MATCH(S$3,PlotTitles,0))&lt;10000, $AB$23,TRUE,"")</f>
        <v/>
      </c>
      <c r="U391" s="104" t="str" cm="1">
        <f t="array" ref="U391">_xlfn.IFS(AND(A391&gt;NumberOfPlots,ISBLANK(INDEX(PlotData,MATCH($A391,PlotNumber,0),MATCH(B$3,PlotTitles,0)))),"",NOT(OR(AND(INDEX(PlotData,MATCH($A391,PlotNumber,0),MATCH("Tenure",PlotTitles,0))="Open market housing",INDEX(PlotData,MATCH($A391,PlotNumber,0),MATCH("Tenure detail",PlotTitles,0))="Private rented sector"),INDEX(PlotData,MATCH($A391,PlotNumber,0),MATCH("Tenure",PlotTitles,0))="Affordable rent")),"",NOT(INDEX(PlotData,MATCH($A391,PlotNumber,0),MATCH(S$3,PlotTitles,0))=0), $AB$24,TRUE,"")</f>
        <v/>
      </c>
      <c r="V391" s="114" t="str" cm="1">
        <f t="array" aca="1" ref="V391" ca="1">_xlfn.IFS(ISBLANK(NumberOfPlots),"Enter the number of homes on the 1_SetUp sheet",AND(A391&gt;NumberOfPlots,ISBLANK(INDEX(PlotData,MATCH($A391,PlotNumber,0),MATCH(B$3,PlotTitles,0)))),"No error",NOT(B391=""),B391,NOT(C391=""),C391,NOT(D391=""),D391,NOT(E391=""),E391,NOT(F391=""),F391,NOT(G391=""),G391,NOT(H391=""),H391,NOT(I391=""),I391,NOT(J391=""),J391,NOT(K391=""),K391,NOT(L391=""),L391,NOT(M391=""),M391,NOT(N391=""),N391,NOT(O391=""),O391,NOT(P391=""),P391,NOT(Q391=""),Q391,NOT(R391=""),R391,NOT(S391=""),S391,NOT(T391=""),T391,NOT(U391=""),U391,TRUE,"No error")</f>
        <v>Enter the number of homes on the 1_SetUp sheet</v>
      </c>
      <c r="W391" s="114" t="str">
        <f t="shared" ca="1" si="20"/>
        <v xml:space="preserve">The Borrower has not addressed the following error messages for Home ID 387: </v>
      </c>
    </row>
    <row r="392" spans="1:23">
      <c r="A392" s="123">
        <v>388</v>
      </c>
      <c r="B392" s="104" t="str" cm="1">
        <f t="array" ref="B392">_xlfn.IFS(AND(A392&gt;NumberOfPlots,ISBLANK(INDEX(PlotData,MATCH($A392,PlotNumber,0),MATCH(B$3,PlotTitles,0)))),"",ISNUMBER(INDEX(PlotData,MATCH($A392,PlotNumber,0),MATCH(B$3,PlotTitles,0)))=FALSE, $AB$5,TRUE,"")</f>
        <v/>
      </c>
      <c r="C392" s="104" t="str" cm="1">
        <f t="array" ref="C392">_xlfn.IFS(AND(A392&gt;NumberOfPlots,ISBLANK(INDEX(PlotData,MATCH($A392,PlotNumber,0),MATCH(B$3,PlotTitles,0)))),"",ISBLANK(INDEX(PlotData,MATCH($A392,PlotNumber,0),MATCH(C$3,PlotTitles,0))),$AB$6,TRUE,"")</f>
        <v/>
      </c>
      <c r="D392" s="104" t="str" cm="1">
        <f t="array" ref="D392">_xlfn.IFS(AND(A392&gt;NumberOfPlots,ISBLANK(INDEX(PlotData,MATCH($A392,PlotNumber,0),MATCH(B$3,PlotTitles,0)))),"",ISBLANK(INDEX(PlotData,MATCH($A392,PlotNumber,0),MATCH(D$3,PlotTitles,0))),$AB$7,TRUE,"")</f>
        <v/>
      </c>
      <c r="E392" s="104" t="str" cm="1">
        <f t="array" ref="E392">_xlfn.IFS(AND(A392&gt;NumberOfPlots,ISBLANK(INDEX(PlotData,MATCH($A392,PlotNumber,0),MATCH(B$3,PlotTitles,0)))),"",ISBLANK(INDEX(PlotData,MATCH($A392,PlotNumber,0),MATCH(E$3,PlotTitles,0))),$AB$8,TRUE,"")</f>
        <v/>
      </c>
      <c r="F392" s="104" t="str" cm="1">
        <f t="array" ref="F392">_xlfn.IFS(AND(A392&gt;NumberOfPlots,ISBLANK(INDEX(PlotData,MATCH($A392,PlotNumber,0),MATCH(B$3,PlotTitles,0)))),"",ISBLANK(INDEX(PlotData,MATCH($A392,PlotNumber,0),MATCH(F$3,PlotTitles,0))),$AB$9,TRUE,"")</f>
        <v/>
      </c>
      <c r="G392" s="104" t="str" cm="1">
        <f t="array" ref="G392">_xlfn.IFS(AND(A392&gt;NumberOfPlots,ISBLANK(INDEX(PlotData,MATCH($A392,PlotNumber,0),MATCH(B$3,PlotTitles,0)))),"",ISBLANK(INDEX(PlotData,MATCH($A392,PlotNumber,0),MATCH(G$3,PlotTitles,0))),$AB$10,TRUE,"")</f>
        <v/>
      </c>
      <c r="H392" s="104" t="str" cm="1">
        <f t="array" ref="H392">_xlfn.IFS(AND(A392&gt;NumberOfPlots,ISBLANK(INDEX(PlotData,MATCH($A392,PlotNumber,0),MATCH(B$3,PlotTitles,0)))),"",AND(ISBLANK(INDEX(PlotData,MATCH($A392,PlotNumber,0),MATCH(H$3,PlotTitles,0)))=FALSE,INDEX(PlotData,MATCH($A392,PlotNumber,0),MATCH(H$3,PlotTitles,0))&lt;500), $AB$11,TRUE,"")</f>
        <v/>
      </c>
      <c r="I392" s="104" t="str" cm="1">
        <f t="array" ref="I392">_xlfn.IFS(AND(A392&gt;NumberOfPlots,ISBLANK(INDEX(PlotData,MATCH($A392,PlotNumber,0),MATCH(B$3,PlotTitles,0)))),"",ISBLANK(INDEX(PlotData,MATCH($A392,PlotNumber,0),MATCH(I$3,PlotTitles,0))),$AB$12,TRUE,"")</f>
        <v/>
      </c>
      <c r="J392" s="104" t="str" cm="1">
        <f t="array" ref="J392">_xlfn.IFS(AND(A392&gt;NumberOfPlots,ISBLANK(INDEX(PlotData,MATCH($A392,PlotNumber,0),MATCH(B$3,PlotTitles,0)))),"",ISBLANK(INDEX(PlotData,MATCH($A392,PlotNumber,0),MATCH(J$3,PlotTitles,0))),$AB$13,TRUE,"")</f>
        <v/>
      </c>
      <c r="K392" s="182" t="str">
        <f t="shared" ca="1" si="18"/>
        <v/>
      </c>
      <c r="L392" s="104" t="str" cm="1">
        <f t="array" ref="L392">_xlfn.IFS(OR(ISBLANK(StartDateMonth),ISBLANK(StartDateYear)),"",AND(A392&gt;NumberOfPlots,ISBLANK(INDEX(PlotData,MATCH($A392,PlotNumber,0),MATCH(B$3,PlotTitles,0)))),"",ISBLANK(INDEX(PlotData,MATCH($A392,PlotNumber,0),MATCH(I$3,PlotTitles,0))),"",(DATEVALUE(INDEX(PlotData,MATCH($A392,PlotNumber,0),MATCH(I$3,PlotTitles,0))&amp;INDEX(PlotData,MATCH($A392,PlotNumber,0),MATCH(J$3,PlotTitles,0))))&lt;DATEVALUE(StartDateMonth&amp;StartDateYear),$AB$15,TRUE,"")</f>
        <v/>
      </c>
      <c r="M392" s="104" t="str" cm="1">
        <f t="array" ref="M392">_xlfn.IFS(OR(ISBLANK(StartDateMonth),ISBLANK(StartDateYear)),"",AND(A392&gt;NumberOfPlots,ISBLANK(INDEX(PlotData,MATCH($A392,PlotNumber,0),MATCH(B$3,PlotTitles,0)))),"",ISBLANK(INDEX(PlotData,MATCH($A392,PlotNumber,0),MATCH(I$3,PlotTitles,0))),"",CompletionMonth="","",(DATEVALUE(INDEX(PlotData,MATCH($A392,PlotNumber,0),MATCH(I$3,PlotTitles,0))&amp;INDEX(PlotData,MATCH($A392,PlotNumber,0),MATCH(J$3,PlotTitles,0))))&gt;(DATEVALUE(CompletionMonth&amp;CompletionYear)),$AB$16,TRUE,"")</f>
        <v/>
      </c>
      <c r="N392" s="104" t="str" cm="1">
        <f t="array" ref="N392">_xlfn.IFS(AND(A392&gt;NumberOfPlots,ISBLANK(INDEX(PlotData,MATCH($A392,PlotNumber,0),MATCH(B$3,PlotTitles,0)))),"",ISBLANK(INDEX(PlotData,MATCH($A392,PlotNumber,0),MATCH(N$3,PlotTitles,0))),$AB$17,TRUE,"")</f>
        <v/>
      </c>
      <c r="O392" s="104" t="str" cm="1">
        <f t="array" ref="O392">_xlfn.IFS(AND(A392&gt;NumberOfPlots,ISBLANK(INDEX(PlotData,MATCH($A392,PlotNumber,0),MATCH(B$3,PlotTitles,0)))),"",ISBLANK(INDEX(PlotData,MATCH($A392,PlotNumber,0),MATCH(O$3,PlotTitles,0))),$AB$18,TRUE,"")</f>
        <v/>
      </c>
      <c r="P392" s="182" t="str">
        <f t="shared" ca="1" si="19"/>
        <v/>
      </c>
      <c r="Q392" s="104" t="str" cm="1">
        <f t="array" ref="Q392">_xlfn.IFS(AND(A392&gt;NumberOfPlots,ISBLANK(INDEX(PlotData,MATCH($A392,PlotNumber,0),MATCH(B$3,PlotTitles,0)))),"",ISBLANK(INDEX(PlotData,MATCH($A392,PlotNumber,0),MATCH(N$3,PlotTitles,0))),"",(DATEVALUE(INDEX(PlotData,MATCH($A392,PlotNumber,0),MATCH(N$3,PlotTitles,0))&amp;INDEX(PlotData,MATCH($A392,PlotNumber,0),MATCH(O$3,PlotTitles,0))))&lt;(DATEVALUE(INDEX(PlotData,MATCH($A392,PlotNumber,0),MATCH(I$3,PlotTitles,0))&amp;INDEX(PlotData,MATCH($A392,PlotNumber,0),MATCH(J$3,PlotTitles,0)))),$AB$20,TRUE,"")</f>
        <v/>
      </c>
      <c r="R392" s="104" t="str" cm="1">
        <f t="array" ref="R392">_xlfn.IFS(OR(ISBLANK(StartDateMonth),ISBLANK(StartDateYear)),"",AND(A392&gt;NumberOfPlots,ISBLANK(INDEX(PlotData,MATCH($A392,PlotNumber,0),MATCH(B$3,PlotTitles,0)))),"",ISBLANK(INDEX(PlotData,MATCH($A392,PlotNumber,0),MATCH(N$3,PlotTitles,0))),"",CompletionMonth="","",(DATEVALUE(INDEX(PlotData,MATCH($A392,PlotNumber,0),MATCH(N$3,PlotTitles,0))&amp;INDEX(PlotData,MATCH($A392,PlotNumber,0),MATCH(O$3,PlotTitles,0))))&gt;(DATEVALUE(CompletionMonth&amp;CompletionYear)),$AB$21,TRUE,"")</f>
        <v/>
      </c>
      <c r="S392" s="104" t="str" cm="1">
        <f t="array" ref="S392">_xlfn.IFS(AND(A392&gt;NumberOfPlots,ISBLANK(INDEX(PlotData,MATCH($A392,PlotNumber,0),MATCH(B$3,PlotTitles,0)))),"",OR(AND(INDEX(PlotData,MATCH($A392,PlotNumber,0),MATCH("Tenure",PlotTitles,0))="Open market housing",INDEX(PlotData,MATCH($A392,PlotNumber,0),MATCH("Tenure detail",PlotTitles,0))="Private rented sector"),INDEX(PlotData,MATCH($A392,PlotNumber,0),MATCH("Tenure",PlotTitles,0))="Affordable rent"),"",ISNUMBER(INDEX(PlotData,MATCH($A392,PlotNumber,0),MATCH(S$3,PlotTitles,0)))=FALSE, $AB$22,TRUE,"")</f>
        <v/>
      </c>
      <c r="T392" s="104" t="str" cm="1">
        <f t="array" ref="T392">_xlfn.IFS(AND(A392&gt;NumberOfPlots,ISBLANK(INDEX(PlotData,MATCH($A392,PlotNumber,0),MATCH(B$3,PlotTitles,0)))),"",OR(AND(INDEX(PlotData,MATCH($A392,PlotNumber,0),MATCH("Tenure",PlotTitles,0))="Open market housing",INDEX(PlotData,MATCH($A392,PlotNumber,0),MATCH("Tenure detail",PlotTitles,0))="Private rented sector"),INDEX(PlotData,MATCH($A392,PlotNumber,0),MATCH("Tenure",PlotTitles,0))="Affordable rent"),"",INDEX(PlotData,MATCH($A392,PlotNumber,0),MATCH(S$3,PlotTitles,0))&lt;10000, $AB$23,TRUE,"")</f>
        <v/>
      </c>
      <c r="U392" s="104" t="str" cm="1">
        <f t="array" ref="U392">_xlfn.IFS(AND(A392&gt;NumberOfPlots,ISBLANK(INDEX(PlotData,MATCH($A392,PlotNumber,0),MATCH(B$3,PlotTitles,0)))),"",NOT(OR(AND(INDEX(PlotData,MATCH($A392,PlotNumber,0),MATCH("Tenure",PlotTitles,0))="Open market housing",INDEX(PlotData,MATCH($A392,PlotNumber,0),MATCH("Tenure detail",PlotTitles,0))="Private rented sector"),INDEX(PlotData,MATCH($A392,PlotNumber,0),MATCH("Tenure",PlotTitles,0))="Affordable rent")),"",NOT(INDEX(PlotData,MATCH($A392,PlotNumber,0),MATCH(S$3,PlotTitles,0))=0), $AB$24,TRUE,"")</f>
        <v/>
      </c>
      <c r="V392" s="114" t="str" cm="1">
        <f t="array" aca="1" ref="V392" ca="1">_xlfn.IFS(ISBLANK(NumberOfPlots),"Enter the number of homes on the 1_SetUp sheet",AND(A392&gt;NumberOfPlots,ISBLANK(INDEX(PlotData,MATCH($A392,PlotNumber,0),MATCH(B$3,PlotTitles,0)))),"No error",NOT(B392=""),B392,NOT(C392=""),C392,NOT(D392=""),D392,NOT(E392=""),E392,NOT(F392=""),F392,NOT(G392=""),G392,NOT(H392=""),H392,NOT(I392=""),I392,NOT(J392=""),J392,NOT(K392=""),K392,NOT(L392=""),L392,NOT(M392=""),M392,NOT(N392=""),N392,NOT(O392=""),O392,NOT(P392=""),P392,NOT(Q392=""),Q392,NOT(R392=""),R392,NOT(S392=""),S392,NOT(T392=""),T392,NOT(U392=""),U392,TRUE,"No error")</f>
        <v>Enter the number of homes on the 1_SetUp sheet</v>
      </c>
      <c r="W392" s="114" t="str">
        <f t="shared" ca="1" si="20"/>
        <v xml:space="preserve">The Borrower has not addressed the following error messages for Home ID 388: </v>
      </c>
    </row>
    <row r="393" spans="1:23">
      <c r="A393" s="123">
        <v>389</v>
      </c>
      <c r="B393" s="104" t="str" cm="1">
        <f t="array" ref="B393">_xlfn.IFS(AND(A393&gt;NumberOfPlots,ISBLANK(INDEX(PlotData,MATCH($A393,PlotNumber,0),MATCH(B$3,PlotTitles,0)))),"",ISNUMBER(INDEX(PlotData,MATCH($A393,PlotNumber,0),MATCH(B$3,PlotTitles,0)))=FALSE, $AB$5,TRUE,"")</f>
        <v/>
      </c>
      <c r="C393" s="104" t="str" cm="1">
        <f t="array" ref="C393">_xlfn.IFS(AND(A393&gt;NumberOfPlots,ISBLANK(INDEX(PlotData,MATCH($A393,PlotNumber,0),MATCH(B$3,PlotTitles,0)))),"",ISBLANK(INDEX(PlotData,MATCH($A393,PlotNumber,0),MATCH(C$3,PlotTitles,0))),$AB$6,TRUE,"")</f>
        <v/>
      </c>
      <c r="D393" s="104" t="str" cm="1">
        <f t="array" ref="D393">_xlfn.IFS(AND(A393&gt;NumberOfPlots,ISBLANK(INDEX(PlotData,MATCH($A393,PlotNumber,0),MATCH(B$3,PlotTitles,0)))),"",ISBLANK(INDEX(PlotData,MATCH($A393,PlotNumber,0),MATCH(D$3,PlotTitles,0))),$AB$7,TRUE,"")</f>
        <v/>
      </c>
      <c r="E393" s="104" t="str" cm="1">
        <f t="array" ref="E393">_xlfn.IFS(AND(A393&gt;NumberOfPlots,ISBLANK(INDEX(PlotData,MATCH($A393,PlotNumber,0),MATCH(B$3,PlotTitles,0)))),"",ISBLANK(INDEX(PlotData,MATCH($A393,PlotNumber,0),MATCH(E$3,PlotTitles,0))),$AB$8,TRUE,"")</f>
        <v/>
      </c>
      <c r="F393" s="104" t="str" cm="1">
        <f t="array" ref="F393">_xlfn.IFS(AND(A393&gt;NumberOfPlots,ISBLANK(INDEX(PlotData,MATCH($A393,PlotNumber,0),MATCH(B$3,PlotTitles,0)))),"",ISBLANK(INDEX(PlotData,MATCH($A393,PlotNumber,0),MATCH(F$3,PlotTitles,0))),$AB$9,TRUE,"")</f>
        <v/>
      </c>
      <c r="G393" s="104" t="str" cm="1">
        <f t="array" ref="G393">_xlfn.IFS(AND(A393&gt;NumberOfPlots,ISBLANK(INDEX(PlotData,MATCH($A393,PlotNumber,0),MATCH(B$3,PlotTitles,0)))),"",ISBLANK(INDEX(PlotData,MATCH($A393,PlotNumber,0),MATCH(G$3,PlotTitles,0))),$AB$10,TRUE,"")</f>
        <v/>
      </c>
      <c r="H393" s="104" t="str" cm="1">
        <f t="array" ref="H393">_xlfn.IFS(AND(A393&gt;NumberOfPlots,ISBLANK(INDEX(PlotData,MATCH($A393,PlotNumber,0),MATCH(B$3,PlotTitles,0)))),"",AND(ISBLANK(INDEX(PlotData,MATCH($A393,PlotNumber,0),MATCH(H$3,PlotTitles,0)))=FALSE,INDEX(PlotData,MATCH($A393,PlotNumber,0),MATCH(H$3,PlotTitles,0))&lt;500), $AB$11,TRUE,"")</f>
        <v/>
      </c>
      <c r="I393" s="104" t="str" cm="1">
        <f t="array" ref="I393">_xlfn.IFS(AND(A393&gt;NumberOfPlots,ISBLANK(INDEX(PlotData,MATCH($A393,PlotNumber,0),MATCH(B$3,PlotTitles,0)))),"",ISBLANK(INDEX(PlotData,MATCH($A393,PlotNumber,0),MATCH(I$3,PlotTitles,0))),$AB$12,TRUE,"")</f>
        <v/>
      </c>
      <c r="J393" s="104" t="str" cm="1">
        <f t="array" ref="J393">_xlfn.IFS(AND(A393&gt;NumberOfPlots,ISBLANK(INDEX(PlotData,MATCH($A393,PlotNumber,0),MATCH(B$3,PlotTitles,0)))),"",ISBLANK(INDEX(PlotData,MATCH($A393,PlotNumber,0),MATCH(J$3,PlotTitles,0))),$AB$13,TRUE,"")</f>
        <v/>
      </c>
      <c r="K393" s="182" t="str">
        <f t="shared" ca="1" si="18"/>
        <v/>
      </c>
      <c r="L393" s="104" t="str" cm="1">
        <f t="array" ref="L393">_xlfn.IFS(OR(ISBLANK(StartDateMonth),ISBLANK(StartDateYear)),"",AND(A393&gt;NumberOfPlots,ISBLANK(INDEX(PlotData,MATCH($A393,PlotNumber,0),MATCH(B$3,PlotTitles,0)))),"",ISBLANK(INDEX(PlotData,MATCH($A393,PlotNumber,0),MATCH(I$3,PlotTitles,0))),"",(DATEVALUE(INDEX(PlotData,MATCH($A393,PlotNumber,0),MATCH(I$3,PlotTitles,0))&amp;INDEX(PlotData,MATCH($A393,PlotNumber,0),MATCH(J$3,PlotTitles,0))))&lt;DATEVALUE(StartDateMonth&amp;StartDateYear),$AB$15,TRUE,"")</f>
        <v/>
      </c>
      <c r="M393" s="104" t="str" cm="1">
        <f t="array" ref="M393">_xlfn.IFS(OR(ISBLANK(StartDateMonth),ISBLANK(StartDateYear)),"",AND(A393&gt;NumberOfPlots,ISBLANK(INDEX(PlotData,MATCH($A393,PlotNumber,0),MATCH(B$3,PlotTitles,0)))),"",ISBLANK(INDEX(PlotData,MATCH($A393,PlotNumber,0),MATCH(I$3,PlotTitles,0))),"",CompletionMonth="","",(DATEVALUE(INDEX(PlotData,MATCH($A393,PlotNumber,0),MATCH(I$3,PlotTitles,0))&amp;INDEX(PlotData,MATCH($A393,PlotNumber,0),MATCH(J$3,PlotTitles,0))))&gt;(DATEVALUE(CompletionMonth&amp;CompletionYear)),$AB$16,TRUE,"")</f>
        <v/>
      </c>
      <c r="N393" s="104" t="str" cm="1">
        <f t="array" ref="N393">_xlfn.IFS(AND(A393&gt;NumberOfPlots,ISBLANK(INDEX(PlotData,MATCH($A393,PlotNumber,0),MATCH(B$3,PlotTitles,0)))),"",ISBLANK(INDEX(PlotData,MATCH($A393,PlotNumber,0),MATCH(N$3,PlotTitles,0))),$AB$17,TRUE,"")</f>
        <v/>
      </c>
      <c r="O393" s="104" t="str" cm="1">
        <f t="array" ref="O393">_xlfn.IFS(AND(A393&gt;NumberOfPlots,ISBLANK(INDEX(PlotData,MATCH($A393,PlotNumber,0),MATCH(B$3,PlotTitles,0)))),"",ISBLANK(INDEX(PlotData,MATCH($A393,PlotNumber,0),MATCH(O$3,PlotTitles,0))),$AB$18,TRUE,"")</f>
        <v/>
      </c>
      <c r="P393" s="182" t="str">
        <f t="shared" ca="1" si="19"/>
        <v/>
      </c>
      <c r="Q393" s="104" t="str" cm="1">
        <f t="array" ref="Q393">_xlfn.IFS(AND(A393&gt;NumberOfPlots,ISBLANK(INDEX(PlotData,MATCH($A393,PlotNumber,0),MATCH(B$3,PlotTitles,0)))),"",ISBLANK(INDEX(PlotData,MATCH($A393,PlotNumber,0),MATCH(N$3,PlotTitles,0))),"",(DATEVALUE(INDEX(PlotData,MATCH($A393,PlotNumber,0),MATCH(N$3,PlotTitles,0))&amp;INDEX(PlotData,MATCH($A393,PlotNumber,0),MATCH(O$3,PlotTitles,0))))&lt;(DATEVALUE(INDEX(PlotData,MATCH($A393,PlotNumber,0),MATCH(I$3,PlotTitles,0))&amp;INDEX(PlotData,MATCH($A393,PlotNumber,0),MATCH(J$3,PlotTitles,0)))),$AB$20,TRUE,"")</f>
        <v/>
      </c>
      <c r="R393" s="104" t="str" cm="1">
        <f t="array" ref="R393">_xlfn.IFS(OR(ISBLANK(StartDateMonth),ISBLANK(StartDateYear)),"",AND(A393&gt;NumberOfPlots,ISBLANK(INDEX(PlotData,MATCH($A393,PlotNumber,0),MATCH(B$3,PlotTitles,0)))),"",ISBLANK(INDEX(PlotData,MATCH($A393,PlotNumber,0),MATCH(N$3,PlotTitles,0))),"",CompletionMonth="","",(DATEVALUE(INDEX(PlotData,MATCH($A393,PlotNumber,0),MATCH(N$3,PlotTitles,0))&amp;INDEX(PlotData,MATCH($A393,PlotNumber,0),MATCH(O$3,PlotTitles,0))))&gt;(DATEVALUE(CompletionMonth&amp;CompletionYear)),$AB$21,TRUE,"")</f>
        <v/>
      </c>
      <c r="S393" s="104" t="str" cm="1">
        <f t="array" ref="S393">_xlfn.IFS(AND(A393&gt;NumberOfPlots,ISBLANK(INDEX(PlotData,MATCH($A393,PlotNumber,0),MATCH(B$3,PlotTitles,0)))),"",OR(AND(INDEX(PlotData,MATCH($A393,PlotNumber,0),MATCH("Tenure",PlotTitles,0))="Open market housing",INDEX(PlotData,MATCH($A393,PlotNumber,0),MATCH("Tenure detail",PlotTitles,0))="Private rented sector"),INDEX(PlotData,MATCH($A393,PlotNumber,0),MATCH("Tenure",PlotTitles,0))="Affordable rent"),"",ISNUMBER(INDEX(PlotData,MATCH($A393,PlotNumber,0),MATCH(S$3,PlotTitles,0)))=FALSE, $AB$22,TRUE,"")</f>
        <v/>
      </c>
      <c r="T393" s="104" t="str" cm="1">
        <f t="array" ref="T393">_xlfn.IFS(AND(A393&gt;NumberOfPlots,ISBLANK(INDEX(PlotData,MATCH($A393,PlotNumber,0),MATCH(B$3,PlotTitles,0)))),"",OR(AND(INDEX(PlotData,MATCH($A393,PlotNumber,0),MATCH("Tenure",PlotTitles,0))="Open market housing",INDEX(PlotData,MATCH($A393,PlotNumber,0),MATCH("Tenure detail",PlotTitles,0))="Private rented sector"),INDEX(PlotData,MATCH($A393,PlotNumber,0),MATCH("Tenure",PlotTitles,0))="Affordable rent"),"",INDEX(PlotData,MATCH($A393,PlotNumber,0),MATCH(S$3,PlotTitles,0))&lt;10000, $AB$23,TRUE,"")</f>
        <v/>
      </c>
      <c r="U393" s="104" t="str" cm="1">
        <f t="array" ref="U393">_xlfn.IFS(AND(A393&gt;NumberOfPlots,ISBLANK(INDEX(PlotData,MATCH($A393,PlotNumber,0),MATCH(B$3,PlotTitles,0)))),"",NOT(OR(AND(INDEX(PlotData,MATCH($A393,PlotNumber,0),MATCH("Tenure",PlotTitles,0))="Open market housing",INDEX(PlotData,MATCH($A393,PlotNumber,0),MATCH("Tenure detail",PlotTitles,0))="Private rented sector"),INDEX(PlotData,MATCH($A393,PlotNumber,0),MATCH("Tenure",PlotTitles,0))="Affordable rent")),"",NOT(INDEX(PlotData,MATCH($A393,PlotNumber,0),MATCH(S$3,PlotTitles,0))=0), $AB$24,TRUE,"")</f>
        <v/>
      </c>
      <c r="V393" s="114" t="str" cm="1">
        <f t="array" aca="1" ref="V393" ca="1">_xlfn.IFS(ISBLANK(NumberOfPlots),"Enter the number of homes on the 1_SetUp sheet",AND(A393&gt;NumberOfPlots,ISBLANK(INDEX(PlotData,MATCH($A393,PlotNumber,0),MATCH(B$3,PlotTitles,0)))),"No error",NOT(B393=""),B393,NOT(C393=""),C393,NOT(D393=""),D393,NOT(E393=""),E393,NOT(F393=""),F393,NOT(G393=""),G393,NOT(H393=""),H393,NOT(I393=""),I393,NOT(J393=""),J393,NOT(K393=""),K393,NOT(L393=""),L393,NOT(M393=""),M393,NOT(N393=""),N393,NOT(O393=""),O393,NOT(P393=""),P393,NOT(Q393=""),Q393,NOT(R393=""),R393,NOT(S393=""),S393,NOT(T393=""),T393,NOT(U393=""),U393,TRUE,"No error")</f>
        <v>Enter the number of homes on the 1_SetUp sheet</v>
      </c>
      <c r="W393" s="114" t="str">
        <f t="shared" ca="1" si="20"/>
        <v xml:space="preserve">The Borrower has not addressed the following error messages for Home ID 389: </v>
      </c>
    </row>
    <row r="394" spans="1:23">
      <c r="A394" s="123">
        <v>390</v>
      </c>
      <c r="B394" s="104" t="str" cm="1">
        <f t="array" ref="B394">_xlfn.IFS(AND(A394&gt;NumberOfPlots,ISBLANK(INDEX(PlotData,MATCH($A394,PlotNumber,0),MATCH(B$3,PlotTitles,0)))),"",ISNUMBER(INDEX(PlotData,MATCH($A394,PlotNumber,0),MATCH(B$3,PlotTitles,0)))=FALSE, $AB$5,TRUE,"")</f>
        <v/>
      </c>
      <c r="C394" s="104" t="str" cm="1">
        <f t="array" ref="C394">_xlfn.IFS(AND(A394&gt;NumberOfPlots,ISBLANK(INDEX(PlotData,MATCH($A394,PlotNumber,0),MATCH(B$3,PlotTitles,0)))),"",ISBLANK(INDEX(PlotData,MATCH($A394,PlotNumber,0),MATCH(C$3,PlotTitles,0))),$AB$6,TRUE,"")</f>
        <v/>
      </c>
      <c r="D394" s="104" t="str" cm="1">
        <f t="array" ref="D394">_xlfn.IFS(AND(A394&gt;NumberOfPlots,ISBLANK(INDEX(PlotData,MATCH($A394,PlotNumber,0),MATCH(B$3,PlotTitles,0)))),"",ISBLANK(INDEX(PlotData,MATCH($A394,PlotNumber,0),MATCH(D$3,PlotTitles,0))),$AB$7,TRUE,"")</f>
        <v/>
      </c>
      <c r="E394" s="104" t="str" cm="1">
        <f t="array" ref="E394">_xlfn.IFS(AND(A394&gt;NumberOfPlots,ISBLANK(INDEX(PlotData,MATCH($A394,PlotNumber,0),MATCH(B$3,PlotTitles,0)))),"",ISBLANK(INDEX(PlotData,MATCH($A394,PlotNumber,0),MATCH(E$3,PlotTitles,0))),$AB$8,TRUE,"")</f>
        <v/>
      </c>
      <c r="F394" s="104" t="str" cm="1">
        <f t="array" ref="F394">_xlfn.IFS(AND(A394&gt;NumberOfPlots,ISBLANK(INDEX(PlotData,MATCH($A394,PlotNumber,0),MATCH(B$3,PlotTitles,0)))),"",ISBLANK(INDEX(PlotData,MATCH($A394,PlotNumber,0),MATCH(F$3,PlotTitles,0))),$AB$9,TRUE,"")</f>
        <v/>
      </c>
      <c r="G394" s="104" t="str" cm="1">
        <f t="array" ref="G394">_xlfn.IFS(AND(A394&gt;NumberOfPlots,ISBLANK(INDEX(PlotData,MATCH($A394,PlotNumber,0),MATCH(B$3,PlotTitles,0)))),"",ISBLANK(INDEX(PlotData,MATCH($A394,PlotNumber,0),MATCH(G$3,PlotTitles,0))),$AB$10,TRUE,"")</f>
        <v/>
      </c>
      <c r="H394" s="104" t="str" cm="1">
        <f t="array" ref="H394">_xlfn.IFS(AND(A394&gt;NumberOfPlots,ISBLANK(INDEX(PlotData,MATCH($A394,PlotNumber,0),MATCH(B$3,PlotTitles,0)))),"",AND(ISBLANK(INDEX(PlotData,MATCH($A394,PlotNumber,0),MATCH(H$3,PlotTitles,0)))=FALSE,INDEX(PlotData,MATCH($A394,PlotNumber,0),MATCH(H$3,PlotTitles,0))&lt;500), $AB$11,TRUE,"")</f>
        <v/>
      </c>
      <c r="I394" s="104" t="str" cm="1">
        <f t="array" ref="I394">_xlfn.IFS(AND(A394&gt;NumberOfPlots,ISBLANK(INDEX(PlotData,MATCH($A394,PlotNumber,0),MATCH(B$3,PlotTitles,0)))),"",ISBLANK(INDEX(PlotData,MATCH($A394,PlotNumber,0),MATCH(I$3,PlotTitles,0))),$AB$12,TRUE,"")</f>
        <v/>
      </c>
      <c r="J394" s="104" t="str" cm="1">
        <f t="array" ref="J394">_xlfn.IFS(AND(A394&gt;NumberOfPlots,ISBLANK(INDEX(PlotData,MATCH($A394,PlotNumber,0),MATCH(B$3,PlotTitles,0)))),"",ISBLANK(INDEX(PlotData,MATCH($A394,PlotNumber,0),MATCH(J$3,PlotTitles,0))),$AB$13,TRUE,"")</f>
        <v/>
      </c>
      <c r="K394" s="182" t="str">
        <f t="shared" ca="1" si="18"/>
        <v/>
      </c>
      <c r="L394" s="104" t="str" cm="1">
        <f t="array" ref="L394">_xlfn.IFS(OR(ISBLANK(StartDateMonth),ISBLANK(StartDateYear)),"",AND(A394&gt;NumberOfPlots,ISBLANK(INDEX(PlotData,MATCH($A394,PlotNumber,0),MATCH(B$3,PlotTitles,0)))),"",ISBLANK(INDEX(PlotData,MATCH($A394,PlotNumber,0),MATCH(I$3,PlotTitles,0))),"",(DATEVALUE(INDEX(PlotData,MATCH($A394,PlotNumber,0),MATCH(I$3,PlotTitles,0))&amp;INDEX(PlotData,MATCH($A394,PlotNumber,0),MATCH(J$3,PlotTitles,0))))&lt;DATEVALUE(StartDateMonth&amp;StartDateYear),$AB$15,TRUE,"")</f>
        <v/>
      </c>
      <c r="M394" s="104" t="str" cm="1">
        <f t="array" ref="M394">_xlfn.IFS(OR(ISBLANK(StartDateMonth),ISBLANK(StartDateYear)),"",AND(A394&gt;NumberOfPlots,ISBLANK(INDEX(PlotData,MATCH($A394,PlotNumber,0),MATCH(B$3,PlotTitles,0)))),"",ISBLANK(INDEX(PlotData,MATCH($A394,PlotNumber,0),MATCH(I$3,PlotTitles,0))),"",CompletionMonth="","",(DATEVALUE(INDEX(PlotData,MATCH($A394,PlotNumber,0),MATCH(I$3,PlotTitles,0))&amp;INDEX(PlotData,MATCH($A394,PlotNumber,0),MATCH(J$3,PlotTitles,0))))&gt;(DATEVALUE(CompletionMonth&amp;CompletionYear)),$AB$16,TRUE,"")</f>
        <v/>
      </c>
      <c r="N394" s="104" t="str" cm="1">
        <f t="array" ref="N394">_xlfn.IFS(AND(A394&gt;NumberOfPlots,ISBLANK(INDEX(PlotData,MATCH($A394,PlotNumber,0),MATCH(B$3,PlotTitles,0)))),"",ISBLANK(INDEX(PlotData,MATCH($A394,PlotNumber,0),MATCH(N$3,PlotTitles,0))),$AB$17,TRUE,"")</f>
        <v/>
      </c>
      <c r="O394" s="104" t="str" cm="1">
        <f t="array" ref="O394">_xlfn.IFS(AND(A394&gt;NumberOfPlots,ISBLANK(INDEX(PlotData,MATCH($A394,PlotNumber,0),MATCH(B$3,PlotTitles,0)))),"",ISBLANK(INDEX(PlotData,MATCH($A394,PlotNumber,0),MATCH(O$3,PlotTitles,0))),$AB$18,TRUE,"")</f>
        <v/>
      </c>
      <c r="P394" s="182" t="str">
        <f t="shared" ca="1" si="19"/>
        <v/>
      </c>
      <c r="Q394" s="104" t="str" cm="1">
        <f t="array" ref="Q394">_xlfn.IFS(AND(A394&gt;NumberOfPlots,ISBLANK(INDEX(PlotData,MATCH($A394,PlotNumber,0),MATCH(B$3,PlotTitles,0)))),"",ISBLANK(INDEX(PlotData,MATCH($A394,PlotNumber,0),MATCH(N$3,PlotTitles,0))),"",(DATEVALUE(INDEX(PlotData,MATCH($A394,PlotNumber,0),MATCH(N$3,PlotTitles,0))&amp;INDEX(PlotData,MATCH($A394,PlotNumber,0),MATCH(O$3,PlotTitles,0))))&lt;(DATEVALUE(INDEX(PlotData,MATCH($A394,PlotNumber,0),MATCH(I$3,PlotTitles,0))&amp;INDEX(PlotData,MATCH($A394,PlotNumber,0),MATCH(J$3,PlotTitles,0)))),$AB$20,TRUE,"")</f>
        <v/>
      </c>
      <c r="R394" s="104" t="str" cm="1">
        <f t="array" ref="R394">_xlfn.IFS(OR(ISBLANK(StartDateMonth),ISBLANK(StartDateYear)),"",AND(A394&gt;NumberOfPlots,ISBLANK(INDEX(PlotData,MATCH($A394,PlotNumber,0),MATCH(B$3,PlotTitles,0)))),"",ISBLANK(INDEX(PlotData,MATCH($A394,PlotNumber,0),MATCH(N$3,PlotTitles,0))),"",CompletionMonth="","",(DATEVALUE(INDEX(PlotData,MATCH($A394,PlotNumber,0),MATCH(N$3,PlotTitles,0))&amp;INDEX(PlotData,MATCH($A394,PlotNumber,0),MATCH(O$3,PlotTitles,0))))&gt;(DATEVALUE(CompletionMonth&amp;CompletionYear)),$AB$21,TRUE,"")</f>
        <v/>
      </c>
      <c r="S394" s="104" t="str" cm="1">
        <f t="array" ref="S394">_xlfn.IFS(AND(A394&gt;NumberOfPlots,ISBLANK(INDEX(PlotData,MATCH($A394,PlotNumber,0),MATCH(B$3,PlotTitles,0)))),"",OR(AND(INDEX(PlotData,MATCH($A394,PlotNumber,0),MATCH("Tenure",PlotTitles,0))="Open market housing",INDEX(PlotData,MATCH($A394,PlotNumber,0),MATCH("Tenure detail",PlotTitles,0))="Private rented sector"),INDEX(PlotData,MATCH($A394,PlotNumber,0),MATCH("Tenure",PlotTitles,0))="Affordable rent"),"",ISNUMBER(INDEX(PlotData,MATCH($A394,PlotNumber,0),MATCH(S$3,PlotTitles,0)))=FALSE, $AB$22,TRUE,"")</f>
        <v/>
      </c>
      <c r="T394" s="104" t="str" cm="1">
        <f t="array" ref="T394">_xlfn.IFS(AND(A394&gt;NumberOfPlots,ISBLANK(INDEX(PlotData,MATCH($A394,PlotNumber,0),MATCH(B$3,PlotTitles,0)))),"",OR(AND(INDEX(PlotData,MATCH($A394,PlotNumber,0),MATCH("Tenure",PlotTitles,0))="Open market housing",INDEX(PlotData,MATCH($A394,PlotNumber,0),MATCH("Tenure detail",PlotTitles,0))="Private rented sector"),INDEX(PlotData,MATCH($A394,PlotNumber,0),MATCH("Tenure",PlotTitles,0))="Affordable rent"),"",INDEX(PlotData,MATCH($A394,PlotNumber,0),MATCH(S$3,PlotTitles,0))&lt;10000, $AB$23,TRUE,"")</f>
        <v/>
      </c>
      <c r="U394" s="104" t="str" cm="1">
        <f t="array" ref="U394">_xlfn.IFS(AND(A394&gt;NumberOfPlots,ISBLANK(INDEX(PlotData,MATCH($A394,PlotNumber,0),MATCH(B$3,PlotTitles,0)))),"",NOT(OR(AND(INDEX(PlotData,MATCH($A394,PlotNumber,0),MATCH("Tenure",PlotTitles,0))="Open market housing",INDEX(PlotData,MATCH($A394,PlotNumber,0),MATCH("Tenure detail",PlotTitles,0))="Private rented sector"),INDEX(PlotData,MATCH($A394,PlotNumber,0),MATCH("Tenure",PlotTitles,0))="Affordable rent")),"",NOT(INDEX(PlotData,MATCH($A394,PlotNumber,0),MATCH(S$3,PlotTitles,0))=0), $AB$24,TRUE,"")</f>
        <v/>
      </c>
      <c r="V394" s="114" t="str" cm="1">
        <f t="array" aca="1" ref="V394" ca="1">_xlfn.IFS(ISBLANK(NumberOfPlots),"Enter the number of homes on the 1_SetUp sheet",AND(A394&gt;NumberOfPlots,ISBLANK(INDEX(PlotData,MATCH($A394,PlotNumber,0),MATCH(B$3,PlotTitles,0)))),"No error",NOT(B394=""),B394,NOT(C394=""),C394,NOT(D394=""),D394,NOT(E394=""),E394,NOT(F394=""),F394,NOT(G394=""),G394,NOT(H394=""),H394,NOT(I394=""),I394,NOT(J394=""),J394,NOT(K394=""),K394,NOT(L394=""),L394,NOT(M394=""),M394,NOT(N394=""),N394,NOT(O394=""),O394,NOT(P394=""),P394,NOT(Q394=""),Q394,NOT(R394=""),R394,NOT(S394=""),S394,NOT(T394=""),T394,NOT(U394=""),U394,TRUE,"No error")</f>
        <v>Enter the number of homes on the 1_SetUp sheet</v>
      </c>
      <c r="W394" s="114" t="str">
        <f t="shared" ca="1" si="20"/>
        <v xml:space="preserve">The Borrower has not addressed the following error messages for Home ID 390: </v>
      </c>
    </row>
    <row r="395" spans="1:23">
      <c r="A395" s="123">
        <v>391</v>
      </c>
      <c r="B395" s="104" t="str" cm="1">
        <f t="array" ref="B395">_xlfn.IFS(AND(A395&gt;NumberOfPlots,ISBLANK(INDEX(PlotData,MATCH($A395,PlotNumber,0),MATCH(B$3,PlotTitles,0)))),"",ISNUMBER(INDEX(PlotData,MATCH($A395,PlotNumber,0),MATCH(B$3,PlotTitles,0)))=FALSE, $AB$5,TRUE,"")</f>
        <v/>
      </c>
      <c r="C395" s="104" t="str" cm="1">
        <f t="array" ref="C395">_xlfn.IFS(AND(A395&gt;NumberOfPlots,ISBLANK(INDEX(PlotData,MATCH($A395,PlotNumber,0),MATCH(B$3,PlotTitles,0)))),"",ISBLANK(INDEX(PlotData,MATCH($A395,PlotNumber,0),MATCH(C$3,PlotTitles,0))),$AB$6,TRUE,"")</f>
        <v/>
      </c>
      <c r="D395" s="104" t="str" cm="1">
        <f t="array" ref="D395">_xlfn.IFS(AND(A395&gt;NumberOfPlots,ISBLANK(INDEX(PlotData,MATCH($A395,PlotNumber,0),MATCH(B$3,PlotTitles,0)))),"",ISBLANK(INDEX(PlotData,MATCH($A395,PlotNumber,0),MATCH(D$3,PlotTitles,0))),$AB$7,TRUE,"")</f>
        <v/>
      </c>
      <c r="E395" s="104" t="str" cm="1">
        <f t="array" ref="E395">_xlfn.IFS(AND(A395&gt;NumberOfPlots,ISBLANK(INDEX(PlotData,MATCH($A395,PlotNumber,0),MATCH(B$3,PlotTitles,0)))),"",ISBLANK(INDEX(PlotData,MATCH($A395,PlotNumber,0),MATCH(E$3,PlotTitles,0))),$AB$8,TRUE,"")</f>
        <v/>
      </c>
      <c r="F395" s="104" t="str" cm="1">
        <f t="array" ref="F395">_xlfn.IFS(AND(A395&gt;NumberOfPlots,ISBLANK(INDEX(PlotData,MATCH($A395,PlotNumber,0),MATCH(B$3,PlotTitles,0)))),"",ISBLANK(INDEX(PlotData,MATCH($A395,PlotNumber,0),MATCH(F$3,PlotTitles,0))),$AB$9,TRUE,"")</f>
        <v/>
      </c>
      <c r="G395" s="104" t="str" cm="1">
        <f t="array" ref="G395">_xlfn.IFS(AND(A395&gt;NumberOfPlots,ISBLANK(INDEX(PlotData,MATCH($A395,PlotNumber,0),MATCH(B$3,PlotTitles,0)))),"",ISBLANK(INDEX(PlotData,MATCH($A395,PlotNumber,0),MATCH(G$3,PlotTitles,0))),$AB$10,TRUE,"")</f>
        <v/>
      </c>
      <c r="H395" s="104" t="str" cm="1">
        <f t="array" ref="H395">_xlfn.IFS(AND(A395&gt;NumberOfPlots,ISBLANK(INDEX(PlotData,MATCH($A395,PlotNumber,0),MATCH(B$3,PlotTitles,0)))),"",AND(ISBLANK(INDEX(PlotData,MATCH($A395,PlotNumber,0),MATCH(H$3,PlotTitles,0)))=FALSE,INDEX(PlotData,MATCH($A395,PlotNumber,0),MATCH(H$3,PlotTitles,0))&lt;500), $AB$11,TRUE,"")</f>
        <v/>
      </c>
      <c r="I395" s="104" t="str" cm="1">
        <f t="array" ref="I395">_xlfn.IFS(AND(A395&gt;NumberOfPlots,ISBLANK(INDEX(PlotData,MATCH($A395,PlotNumber,0),MATCH(B$3,PlotTitles,0)))),"",ISBLANK(INDEX(PlotData,MATCH($A395,PlotNumber,0),MATCH(I$3,PlotTitles,0))),$AB$12,TRUE,"")</f>
        <v/>
      </c>
      <c r="J395" s="104" t="str" cm="1">
        <f t="array" ref="J395">_xlfn.IFS(AND(A395&gt;NumberOfPlots,ISBLANK(INDEX(PlotData,MATCH($A395,PlotNumber,0),MATCH(B$3,PlotTitles,0)))),"",ISBLANK(INDEX(PlotData,MATCH($A395,PlotNumber,0),MATCH(J$3,PlotTitles,0))),$AB$13,TRUE,"")</f>
        <v/>
      </c>
      <c r="K395" s="182" t="str">
        <f t="shared" ca="1" si="18"/>
        <v/>
      </c>
      <c r="L395" s="104" t="str" cm="1">
        <f t="array" ref="L395">_xlfn.IFS(OR(ISBLANK(StartDateMonth),ISBLANK(StartDateYear)),"",AND(A395&gt;NumberOfPlots,ISBLANK(INDEX(PlotData,MATCH($A395,PlotNumber,0),MATCH(B$3,PlotTitles,0)))),"",ISBLANK(INDEX(PlotData,MATCH($A395,PlotNumber,0),MATCH(I$3,PlotTitles,0))),"",(DATEVALUE(INDEX(PlotData,MATCH($A395,PlotNumber,0),MATCH(I$3,PlotTitles,0))&amp;INDEX(PlotData,MATCH($A395,PlotNumber,0),MATCH(J$3,PlotTitles,0))))&lt;DATEVALUE(StartDateMonth&amp;StartDateYear),$AB$15,TRUE,"")</f>
        <v/>
      </c>
      <c r="M395" s="104" t="str" cm="1">
        <f t="array" ref="M395">_xlfn.IFS(OR(ISBLANK(StartDateMonth),ISBLANK(StartDateYear)),"",AND(A395&gt;NumberOfPlots,ISBLANK(INDEX(PlotData,MATCH($A395,PlotNumber,0),MATCH(B$3,PlotTitles,0)))),"",ISBLANK(INDEX(PlotData,MATCH($A395,PlotNumber,0),MATCH(I$3,PlotTitles,0))),"",CompletionMonth="","",(DATEVALUE(INDEX(PlotData,MATCH($A395,PlotNumber,0),MATCH(I$3,PlotTitles,0))&amp;INDEX(PlotData,MATCH($A395,PlotNumber,0),MATCH(J$3,PlotTitles,0))))&gt;(DATEVALUE(CompletionMonth&amp;CompletionYear)),$AB$16,TRUE,"")</f>
        <v/>
      </c>
      <c r="N395" s="104" t="str" cm="1">
        <f t="array" ref="N395">_xlfn.IFS(AND(A395&gt;NumberOfPlots,ISBLANK(INDEX(PlotData,MATCH($A395,PlotNumber,0),MATCH(B$3,PlotTitles,0)))),"",ISBLANK(INDEX(PlotData,MATCH($A395,PlotNumber,0),MATCH(N$3,PlotTitles,0))),$AB$17,TRUE,"")</f>
        <v/>
      </c>
      <c r="O395" s="104" t="str" cm="1">
        <f t="array" ref="O395">_xlfn.IFS(AND(A395&gt;NumberOfPlots,ISBLANK(INDEX(PlotData,MATCH($A395,PlotNumber,0),MATCH(B$3,PlotTitles,0)))),"",ISBLANK(INDEX(PlotData,MATCH($A395,PlotNumber,0),MATCH(O$3,PlotTitles,0))),$AB$18,TRUE,"")</f>
        <v/>
      </c>
      <c r="P395" s="182" t="str">
        <f t="shared" ca="1" si="19"/>
        <v/>
      </c>
      <c r="Q395" s="104" t="str" cm="1">
        <f t="array" ref="Q395">_xlfn.IFS(AND(A395&gt;NumberOfPlots,ISBLANK(INDEX(PlotData,MATCH($A395,PlotNumber,0),MATCH(B$3,PlotTitles,0)))),"",ISBLANK(INDEX(PlotData,MATCH($A395,PlotNumber,0),MATCH(N$3,PlotTitles,0))),"",(DATEVALUE(INDEX(PlotData,MATCH($A395,PlotNumber,0),MATCH(N$3,PlotTitles,0))&amp;INDEX(PlotData,MATCH($A395,PlotNumber,0),MATCH(O$3,PlotTitles,0))))&lt;(DATEVALUE(INDEX(PlotData,MATCH($A395,PlotNumber,0),MATCH(I$3,PlotTitles,0))&amp;INDEX(PlotData,MATCH($A395,PlotNumber,0),MATCH(J$3,PlotTitles,0)))),$AB$20,TRUE,"")</f>
        <v/>
      </c>
      <c r="R395" s="104" t="str" cm="1">
        <f t="array" ref="R395">_xlfn.IFS(OR(ISBLANK(StartDateMonth),ISBLANK(StartDateYear)),"",AND(A395&gt;NumberOfPlots,ISBLANK(INDEX(PlotData,MATCH($A395,PlotNumber,0),MATCH(B$3,PlotTitles,0)))),"",ISBLANK(INDEX(PlotData,MATCH($A395,PlotNumber,0),MATCH(N$3,PlotTitles,0))),"",CompletionMonth="","",(DATEVALUE(INDEX(PlotData,MATCH($A395,PlotNumber,0),MATCH(N$3,PlotTitles,0))&amp;INDEX(PlotData,MATCH($A395,PlotNumber,0),MATCH(O$3,PlotTitles,0))))&gt;(DATEVALUE(CompletionMonth&amp;CompletionYear)),$AB$21,TRUE,"")</f>
        <v/>
      </c>
      <c r="S395" s="104" t="str" cm="1">
        <f t="array" ref="S395">_xlfn.IFS(AND(A395&gt;NumberOfPlots,ISBLANK(INDEX(PlotData,MATCH($A395,PlotNumber,0),MATCH(B$3,PlotTitles,0)))),"",OR(AND(INDEX(PlotData,MATCH($A395,PlotNumber,0),MATCH("Tenure",PlotTitles,0))="Open market housing",INDEX(PlotData,MATCH($A395,PlotNumber,0),MATCH("Tenure detail",PlotTitles,0))="Private rented sector"),INDEX(PlotData,MATCH($A395,PlotNumber,0),MATCH("Tenure",PlotTitles,0))="Affordable rent"),"",ISNUMBER(INDEX(PlotData,MATCH($A395,PlotNumber,0),MATCH(S$3,PlotTitles,0)))=FALSE, $AB$22,TRUE,"")</f>
        <v/>
      </c>
      <c r="T395" s="104" t="str" cm="1">
        <f t="array" ref="T395">_xlfn.IFS(AND(A395&gt;NumberOfPlots,ISBLANK(INDEX(PlotData,MATCH($A395,PlotNumber,0),MATCH(B$3,PlotTitles,0)))),"",OR(AND(INDEX(PlotData,MATCH($A395,PlotNumber,0),MATCH("Tenure",PlotTitles,0))="Open market housing",INDEX(PlotData,MATCH($A395,PlotNumber,0),MATCH("Tenure detail",PlotTitles,0))="Private rented sector"),INDEX(PlotData,MATCH($A395,PlotNumber,0),MATCH("Tenure",PlotTitles,0))="Affordable rent"),"",INDEX(PlotData,MATCH($A395,PlotNumber,0),MATCH(S$3,PlotTitles,0))&lt;10000, $AB$23,TRUE,"")</f>
        <v/>
      </c>
      <c r="U395" s="104" t="str" cm="1">
        <f t="array" ref="U395">_xlfn.IFS(AND(A395&gt;NumberOfPlots,ISBLANK(INDEX(PlotData,MATCH($A395,PlotNumber,0),MATCH(B$3,PlotTitles,0)))),"",NOT(OR(AND(INDEX(PlotData,MATCH($A395,PlotNumber,0),MATCH("Tenure",PlotTitles,0))="Open market housing",INDEX(PlotData,MATCH($A395,PlotNumber,0),MATCH("Tenure detail",PlotTitles,0))="Private rented sector"),INDEX(PlotData,MATCH($A395,PlotNumber,0),MATCH("Tenure",PlotTitles,0))="Affordable rent")),"",NOT(INDEX(PlotData,MATCH($A395,PlotNumber,0),MATCH(S$3,PlotTitles,0))=0), $AB$24,TRUE,"")</f>
        <v/>
      </c>
      <c r="V395" s="114" t="str" cm="1">
        <f t="array" aca="1" ref="V395" ca="1">_xlfn.IFS(ISBLANK(NumberOfPlots),"Enter the number of homes on the 1_SetUp sheet",AND(A395&gt;NumberOfPlots,ISBLANK(INDEX(PlotData,MATCH($A395,PlotNumber,0),MATCH(B$3,PlotTitles,0)))),"No error",NOT(B395=""),B395,NOT(C395=""),C395,NOT(D395=""),D395,NOT(E395=""),E395,NOT(F395=""),F395,NOT(G395=""),G395,NOT(H395=""),H395,NOT(I395=""),I395,NOT(J395=""),J395,NOT(K395=""),K395,NOT(L395=""),L395,NOT(M395=""),M395,NOT(N395=""),N395,NOT(O395=""),O395,NOT(P395=""),P395,NOT(Q395=""),Q395,NOT(R395=""),R395,NOT(S395=""),S395,NOT(T395=""),T395,NOT(U395=""),U395,TRUE,"No error")</f>
        <v>Enter the number of homes on the 1_SetUp sheet</v>
      </c>
      <c r="W395" s="114" t="str">
        <f t="shared" ca="1" si="20"/>
        <v xml:space="preserve">The Borrower has not addressed the following error messages for Home ID 391: </v>
      </c>
    </row>
    <row r="396" spans="1:23">
      <c r="A396" s="123">
        <v>392</v>
      </c>
      <c r="B396" s="104" t="str" cm="1">
        <f t="array" ref="B396">_xlfn.IFS(AND(A396&gt;NumberOfPlots,ISBLANK(INDEX(PlotData,MATCH($A396,PlotNumber,0),MATCH(B$3,PlotTitles,0)))),"",ISNUMBER(INDEX(PlotData,MATCH($A396,PlotNumber,0),MATCH(B$3,PlotTitles,0)))=FALSE, $AB$5,TRUE,"")</f>
        <v/>
      </c>
      <c r="C396" s="104" t="str" cm="1">
        <f t="array" ref="C396">_xlfn.IFS(AND(A396&gt;NumberOfPlots,ISBLANK(INDEX(PlotData,MATCH($A396,PlotNumber,0),MATCH(B$3,PlotTitles,0)))),"",ISBLANK(INDEX(PlotData,MATCH($A396,PlotNumber,0),MATCH(C$3,PlotTitles,0))),$AB$6,TRUE,"")</f>
        <v/>
      </c>
      <c r="D396" s="104" t="str" cm="1">
        <f t="array" ref="D396">_xlfn.IFS(AND(A396&gt;NumberOfPlots,ISBLANK(INDEX(PlotData,MATCH($A396,PlotNumber,0),MATCH(B$3,PlotTitles,0)))),"",ISBLANK(INDEX(PlotData,MATCH($A396,PlotNumber,0),MATCH(D$3,PlotTitles,0))),$AB$7,TRUE,"")</f>
        <v/>
      </c>
      <c r="E396" s="104" t="str" cm="1">
        <f t="array" ref="E396">_xlfn.IFS(AND(A396&gt;NumberOfPlots,ISBLANK(INDEX(PlotData,MATCH($A396,PlotNumber,0),MATCH(B$3,PlotTitles,0)))),"",ISBLANK(INDEX(PlotData,MATCH($A396,PlotNumber,0),MATCH(E$3,PlotTitles,0))),$AB$8,TRUE,"")</f>
        <v/>
      </c>
      <c r="F396" s="104" t="str" cm="1">
        <f t="array" ref="F396">_xlfn.IFS(AND(A396&gt;NumberOfPlots,ISBLANK(INDEX(PlotData,MATCH($A396,PlotNumber,0),MATCH(B$3,PlotTitles,0)))),"",ISBLANK(INDEX(PlotData,MATCH($A396,PlotNumber,0),MATCH(F$3,PlotTitles,0))),$AB$9,TRUE,"")</f>
        <v/>
      </c>
      <c r="G396" s="104" t="str" cm="1">
        <f t="array" ref="G396">_xlfn.IFS(AND(A396&gt;NumberOfPlots,ISBLANK(INDEX(PlotData,MATCH($A396,PlotNumber,0),MATCH(B$3,PlotTitles,0)))),"",ISBLANK(INDEX(PlotData,MATCH($A396,PlotNumber,0),MATCH(G$3,PlotTitles,0))),$AB$10,TRUE,"")</f>
        <v/>
      </c>
      <c r="H396" s="104" t="str" cm="1">
        <f t="array" ref="H396">_xlfn.IFS(AND(A396&gt;NumberOfPlots,ISBLANK(INDEX(PlotData,MATCH($A396,PlotNumber,0),MATCH(B$3,PlotTitles,0)))),"",AND(ISBLANK(INDEX(PlotData,MATCH($A396,PlotNumber,0),MATCH(H$3,PlotTitles,0)))=FALSE,INDEX(PlotData,MATCH($A396,PlotNumber,0),MATCH(H$3,PlotTitles,0))&lt;500), $AB$11,TRUE,"")</f>
        <v/>
      </c>
      <c r="I396" s="104" t="str" cm="1">
        <f t="array" ref="I396">_xlfn.IFS(AND(A396&gt;NumberOfPlots,ISBLANK(INDEX(PlotData,MATCH($A396,PlotNumber,0),MATCH(B$3,PlotTitles,0)))),"",ISBLANK(INDEX(PlotData,MATCH($A396,PlotNumber,0),MATCH(I$3,PlotTitles,0))),$AB$12,TRUE,"")</f>
        <v/>
      </c>
      <c r="J396" s="104" t="str" cm="1">
        <f t="array" ref="J396">_xlfn.IFS(AND(A396&gt;NumberOfPlots,ISBLANK(INDEX(PlotData,MATCH($A396,PlotNumber,0),MATCH(B$3,PlotTitles,0)))),"",ISBLANK(INDEX(PlotData,MATCH($A396,PlotNumber,0),MATCH(J$3,PlotTitles,0))),$AB$13,TRUE,"")</f>
        <v/>
      </c>
      <c r="K396" s="182" t="str">
        <f t="shared" ca="1" si="18"/>
        <v/>
      </c>
      <c r="L396" s="104" t="str" cm="1">
        <f t="array" ref="L396">_xlfn.IFS(OR(ISBLANK(StartDateMonth),ISBLANK(StartDateYear)),"",AND(A396&gt;NumberOfPlots,ISBLANK(INDEX(PlotData,MATCH($A396,PlotNumber,0),MATCH(B$3,PlotTitles,0)))),"",ISBLANK(INDEX(PlotData,MATCH($A396,PlotNumber,0),MATCH(I$3,PlotTitles,0))),"",(DATEVALUE(INDEX(PlotData,MATCH($A396,PlotNumber,0),MATCH(I$3,PlotTitles,0))&amp;INDEX(PlotData,MATCH($A396,PlotNumber,0),MATCH(J$3,PlotTitles,0))))&lt;DATEVALUE(StartDateMonth&amp;StartDateYear),$AB$15,TRUE,"")</f>
        <v/>
      </c>
      <c r="M396" s="104" t="str" cm="1">
        <f t="array" ref="M396">_xlfn.IFS(OR(ISBLANK(StartDateMonth),ISBLANK(StartDateYear)),"",AND(A396&gt;NumberOfPlots,ISBLANK(INDEX(PlotData,MATCH($A396,PlotNumber,0),MATCH(B$3,PlotTitles,0)))),"",ISBLANK(INDEX(PlotData,MATCH($A396,PlotNumber,0),MATCH(I$3,PlotTitles,0))),"",CompletionMonth="","",(DATEVALUE(INDEX(PlotData,MATCH($A396,PlotNumber,0),MATCH(I$3,PlotTitles,0))&amp;INDEX(PlotData,MATCH($A396,PlotNumber,0),MATCH(J$3,PlotTitles,0))))&gt;(DATEVALUE(CompletionMonth&amp;CompletionYear)),$AB$16,TRUE,"")</f>
        <v/>
      </c>
      <c r="N396" s="104" t="str" cm="1">
        <f t="array" ref="N396">_xlfn.IFS(AND(A396&gt;NumberOfPlots,ISBLANK(INDEX(PlotData,MATCH($A396,PlotNumber,0),MATCH(B$3,PlotTitles,0)))),"",ISBLANK(INDEX(PlotData,MATCH($A396,PlotNumber,0),MATCH(N$3,PlotTitles,0))),$AB$17,TRUE,"")</f>
        <v/>
      </c>
      <c r="O396" s="104" t="str" cm="1">
        <f t="array" ref="O396">_xlfn.IFS(AND(A396&gt;NumberOfPlots,ISBLANK(INDEX(PlotData,MATCH($A396,PlotNumber,0),MATCH(B$3,PlotTitles,0)))),"",ISBLANK(INDEX(PlotData,MATCH($A396,PlotNumber,0),MATCH(O$3,PlotTitles,0))),$AB$18,TRUE,"")</f>
        <v/>
      </c>
      <c r="P396" s="182" t="str">
        <f t="shared" ca="1" si="19"/>
        <v/>
      </c>
      <c r="Q396" s="104" t="str" cm="1">
        <f t="array" ref="Q396">_xlfn.IFS(AND(A396&gt;NumberOfPlots,ISBLANK(INDEX(PlotData,MATCH($A396,PlotNumber,0),MATCH(B$3,PlotTitles,0)))),"",ISBLANK(INDEX(PlotData,MATCH($A396,PlotNumber,0),MATCH(N$3,PlotTitles,0))),"",(DATEVALUE(INDEX(PlotData,MATCH($A396,PlotNumber,0),MATCH(N$3,PlotTitles,0))&amp;INDEX(PlotData,MATCH($A396,PlotNumber,0),MATCH(O$3,PlotTitles,0))))&lt;(DATEVALUE(INDEX(PlotData,MATCH($A396,PlotNumber,0),MATCH(I$3,PlotTitles,0))&amp;INDEX(PlotData,MATCH($A396,PlotNumber,0),MATCH(J$3,PlotTitles,0)))),$AB$20,TRUE,"")</f>
        <v/>
      </c>
      <c r="R396" s="104" t="str" cm="1">
        <f t="array" ref="R396">_xlfn.IFS(OR(ISBLANK(StartDateMonth),ISBLANK(StartDateYear)),"",AND(A396&gt;NumberOfPlots,ISBLANK(INDEX(PlotData,MATCH($A396,PlotNumber,0),MATCH(B$3,PlotTitles,0)))),"",ISBLANK(INDEX(PlotData,MATCH($A396,PlotNumber,0),MATCH(N$3,PlotTitles,0))),"",CompletionMonth="","",(DATEVALUE(INDEX(PlotData,MATCH($A396,PlotNumber,0),MATCH(N$3,PlotTitles,0))&amp;INDEX(PlotData,MATCH($A396,PlotNumber,0),MATCH(O$3,PlotTitles,0))))&gt;(DATEVALUE(CompletionMonth&amp;CompletionYear)),$AB$21,TRUE,"")</f>
        <v/>
      </c>
      <c r="S396" s="104" t="str" cm="1">
        <f t="array" ref="S396">_xlfn.IFS(AND(A396&gt;NumberOfPlots,ISBLANK(INDEX(PlotData,MATCH($A396,PlotNumber,0),MATCH(B$3,PlotTitles,0)))),"",OR(AND(INDEX(PlotData,MATCH($A396,PlotNumber,0),MATCH("Tenure",PlotTitles,0))="Open market housing",INDEX(PlotData,MATCH($A396,PlotNumber,0),MATCH("Tenure detail",PlotTitles,0))="Private rented sector"),INDEX(PlotData,MATCH($A396,PlotNumber,0),MATCH("Tenure",PlotTitles,0))="Affordable rent"),"",ISNUMBER(INDEX(PlotData,MATCH($A396,PlotNumber,0),MATCH(S$3,PlotTitles,0)))=FALSE, $AB$22,TRUE,"")</f>
        <v/>
      </c>
      <c r="T396" s="104" t="str" cm="1">
        <f t="array" ref="T396">_xlfn.IFS(AND(A396&gt;NumberOfPlots,ISBLANK(INDEX(PlotData,MATCH($A396,PlotNumber,0),MATCH(B$3,PlotTitles,0)))),"",OR(AND(INDEX(PlotData,MATCH($A396,PlotNumber,0),MATCH("Tenure",PlotTitles,0))="Open market housing",INDEX(PlotData,MATCH($A396,PlotNumber,0),MATCH("Tenure detail",PlotTitles,0))="Private rented sector"),INDEX(PlotData,MATCH($A396,PlotNumber,0),MATCH("Tenure",PlotTitles,0))="Affordable rent"),"",INDEX(PlotData,MATCH($A396,PlotNumber,0),MATCH(S$3,PlotTitles,0))&lt;10000, $AB$23,TRUE,"")</f>
        <v/>
      </c>
      <c r="U396" s="104" t="str" cm="1">
        <f t="array" ref="U396">_xlfn.IFS(AND(A396&gt;NumberOfPlots,ISBLANK(INDEX(PlotData,MATCH($A396,PlotNumber,0),MATCH(B$3,PlotTitles,0)))),"",NOT(OR(AND(INDEX(PlotData,MATCH($A396,PlotNumber,0),MATCH("Tenure",PlotTitles,0))="Open market housing",INDEX(PlotData,MATCH($A396,PlotNumber,0),MATCH("Tenure detail",PlotTitles,0))="Private rented sector"),INDEX(PlotData,MATCH($A396,PlotNumber,0),MATCH("Tenure",PlotTitles,0))="Affordable rent")),"",NOT(INDEX(PlotData,MATCH($A396,PlotNumber,0),MATCH(S$3,PlotTitles,0))=0), $AB$24,TRUE,"")</f>
        <v/>
      </c>
      <c r="V396" s="114" t="str" cm="1">
        <f t="array" aca="1" ref="V396" ca="1">_xlfn.IFS(ISBLANK(NumberOfPlots),"Enter the number of homes on the 1_SetUp sheet",AND(A396&gt;NumberOfPlots,ISBLANK(INDEX(PlotData,MATCH($A396,PlotNumber,0),MATCH(B$3,PlotTitles,0)))),"No error",NOT(B396=""),B396,NOT(C396=""),C396,NOT(D396=""),D396,NOT(E396=""),E396,NOT(F396=""),F396,NOT(G396=""),G396,NOT(H396=""),H396,NOT(I396=""),I396,NOT(J396=""),J396,NOT(K396=""),K396,NOT(L396=""),L396,NOT(M396=""),M396,NOT(N396=""),N396,NOT(O396=""),O396,NOT(P396=""),P396,NOT(Q396=""),Q396,NOT(R396=""),R396,NOT(S396=""),S396,NOT(T396=""),T396,NOT(U396=""),U396,TRUE,"No error")</f>
        <v>Enter the number of homes on the 1_SetUp sheet</v>
      </c>
      <c r="W396" s="114" t="str">
        <f t="shared" ca="1" si="20"/>
        <v xml:space="preserve">The Borrower has not addressed the following error messages for Home ID 392: </v>
      </c>
    </row>
    <row r="397" spans="1:23">
      <c r="A397" s="123">
        <v>393</v>
      </c>
      <c r="B397" s="104" t="str" cm="1">
        <f t="array" ref="B397">_xlfn.IFS(AND(A397&gt;NumberOfPlots,ISBLANK(INDEX(PlotData,MATCH($A397,PlotNumber,0),MATCH(B$3,PlotTitles,0)))),"",ISNUMBER(INDEX(PlotData,MATCH($A397,PlotNumber,0),MATCH(B$3,PlotTitles,0)))=FALSE, $AB$5,TRUE,"")</f>
        <v/>
      </c>
      <c r="C397" s="104" t="str" cm="1">
        <f t="array" ref="C397">_xlfn.IFS(AND(A397&gt;NumberOfPlots,ISBLANK(INDEX(PlotData,MATCH($A397,PlotNumber,0),MATCH(B$3,PlotTitles,0)))),"",ISBLANK(INDEX(PlotData,MATCH($A397,PlotNumber,0),MATCH(C$3,PlotTitles,0))),$AB$6,TRUE,"")</f>
        <v/>
      </c>
      <c r="D397" s="104" t="str" cm="1">
        <f t="array" ref="D397">_xlfn.IFS(AND(A397&gt;NumberOfPlots,ISBLANK(INDEX(PlotData,MATCH($A397,PlotNumber,0),MATCH(B$3,PlotTitles,0)))),"",ISBLANK(INDEX(PlotData,MATCH($A397,PlotNumber,0),MATCH(D$3,PlotTitles,0))),$AB$7,TRUE,"")</f>
        <v/>
      </c>
      <c r="E397" s="104" t="str" cm="1">
        <f t="array" ref="E397">_xlfn.IFS(AND(A397&gt;NumberOfPlots,ISBLANK(INDEX(PlotData,MATCH($A397,PlotNumber,0),MATCH(B$3,PlotTitles,0)))),"",ISBLANK(INDEX(PlotData,MATCH($A397,PlotNumber,0),MATCH(E$3,PlotTitles,0))),$AB$8,TRUE,"")</f>
        <v/>
      </c>
      <c r="F397" s="104" t="str" cm="1">
        <f t="array" ref="F397">_xlfn.IFS(AND(A397&gt;NumberOfPlots,ISBLANK(INDEX(PlotData,MATCH($A397,PlotNumber,0),MATCH(B$3,PlotTitles,0)))),"",ISBLANK(INDEX(PlotData,MATCH($A397,PlotNumber,0),MATCH(F$3,PlotTitles,0))),$AB$9,TRUE,"")</f>
        <v/>
      </c>
      <c r="G397" s="104" t="str" cm="1">
        <f t="array" ref="G397">_xlfn.IFS(AND(A397&gt;NumberOfPlots,ISBLANK(INDEX(PlotData,MATCH($A397,PlotNumber,0),MATCH(B$3,PlotTitles,0)))),"",ISBLANK(INDEX(PlotData,MATCH($A397,PlotNumber,0),MATCH(G$3,PlotTitles,0))),$AB$10,TRUE,"")</f>
        <v/>
      </c>
      <c r="H397" s="104" t="str" cm="1">
        <f t="array" ref="H397">_xlfn.IFS(AND(A397&gt;NumberOfPlots,ISBLANK(INDEX(PlotData,MATCH($A397,PlotNumber,0),MATCH(B$3,PlotTitles,0)))),"",AND(ISBLANK(INDEX(PlotData,MATCH($A397,PlotNumber,0),MATCH(H$3,PlotTitles,0)))=FALSE,INDEX(PlotData,MATCH($A397,PlotNumber,0),MATCH(H$3,PlotTitles,0))&lt;500), $AB$11,TRUE,"")</f>
        <v/>
      </c>
      <c r="I397" s="104" t="str" cm="1">
        <f t="array" ref="I397">_xlfn.IFS(AND(A397&gt;NumberOfPlots,ISBLANK(INDEX(PlotData,MATCH($A397,PlotNumber,0),MATCH(B$3,PlotTitles,0)))),"",ISBLANK(INDEX(PlotData,MATCH($A397,PlotNumber,0),MATCH(I$3,PlotTitles,0))),$AB$12,TRUE,"")</f>
        <v/>
      </c>
      <c r="J397" s="104" t="str" cm="1">
        <f t="array" ref="J397">_xlfn.IFS(AND(A397&gt;NumberOfPlots,ISBLANK(INDEX(PlotData,MATCH($A397,PlotNumber,0),MATCH(B$3,PlotTitles,0)))),"",ISBLANK(INDEX(PlotData,MATCH($A397,PlotNumber,0),MATCH(J$3,PlotTitles,0))),$AB$13,TRUE,"")</f>
        <v/>
      </c>
      <c r="K397" s="182" t="str">
        <f t="shared" ca="1" si="18"/>
        <v/>
      </c>
      <c r="L397" s="104" t="str" cm="1">
        <f t="array" ref="L397">_xlfn.IFS(OR(ISBLANK(StartDateMonth),ISBLANK(StartDateYear)),"",AND(A397&gt;NumberOfPlots,ISBLANK(INDEX(PlotData,MATCH($A397,PlotNumber,0),MATCH(B$3,PlotTitles,0)))),"",ISBLANK(INDEX(PlotData,MATCH($A397,PlotNumber,0),MATCH(I$3,PlotTitles,0))),"",(DATEVALUE(INDEX(PlotData,MATCH($A397,PlotNumber,0),MATCH(I$3,PlotTitles,0))&amp;INDEX(PlotData,MATCH($A397,PlotNumber,0),MATCH(J$3,PlotTitles,0))))&lt;DATEVALUE(StartDateMonth&amp;StartDateYear),$AB$15,TRUE,"")</f>
        <v/>
      </c>
      <c r="M397" s="104" t="str" cm="1">
        <f t="array" ref="M397">_xlfn.IFS(OR(ISBLANK(StartDateMonth),ISBLANK(StartDateYear)),"",AND(A397&gt;NumberOfPlots,ISBLANK(INDEX(PlotData,MATCH($A397,PlotNumber,0),MATCH(B$3,PlotTitles,0)))),"",ISBLANK(INDEX(PlotData,MATCH($A397,PlotNumber,0),MATCH(I$3,PlotTitles,0))),"",CompletionMonth="","",(DATEVALUE(INDEX(PlotData,MATCH($A397,PlotNumber,0),MATCH(I$3,PlotTitles,0))&amp;INDEX(PlotData,MATCH($A397,PlotNumber,0),MATCH(J$3,PlotTitles,0))))&gt;(DATEVALUE(CompletionMonth&amp;CompletionYear)),$AB$16,TRUE,"")</f>
        <v/>
      </c>
      <c r="N397" s="104" t="str" cm="1">
        <f t="array" ref="N397">_xlfn.IFS(AND(A397&gt;NumberOfPlots,ISBLANK(INDEX(PlotData,MATCH($A397,PlotNumber,0),MATCH(B$3,PlotTitles,0)))),"",ISBLANK(INDEX(PlotData,MATCH($A397,PlotNumber,0),MATCH(N$3,PlotTitles,0))),$AB$17,TRUE,"")</f>
        <v/>
      </c>
      <c r="O397" s="104" t="str" cm="1">
        <f t="array" ref="O397">_xlfn.IFS(AND(A397&gt;NumberOfPlots,ISBLANK(INDEX(PlotData,MATCH($A397,PlotNumber,0),MATCH(B$3,PlotTitles,0)))),"",ISBLANK(INDEX(PlotData,MATCH($A397,PlotNumber,0),MATCH(O$3,PlotTitles,0))),$AB$18,TRUE,"")</f>
        <v/>
      </c>
      <c r="P397" s="182" t="str">
        <f t="shared" ca="1" si="19"/>
        <v/>
      </c>
      <c r="Q397" s="104" t="str" cm="1">
        <f t="array" ref="Q397">_xlfn.IFS(AND(A397&gt;NumberOfPlots,ISBLANK(INDEX(PlotData,MATCH($A397,PlotNumber,0),MATCH(B$3,PlotTitles,0)))),"",ISBLANK(INDEX(PlotData,MATCH($A397,PlotNumber,0),MATCH(N$3,PlotTitles,0))),"",(DATEVALUE(INDEX(PlotData,MATCH($A397,PlotNumber,0),MATCH(N$3,PlotTitles,0))&amp;INDEX(PlotData,MATCH($A397,PlotNumber,0),MATCH(O$3,PlotTitles,0))))&lt;(DATEVALUE(INDEX(PlotData,MATCH($A397,PlotNumber,0),MATCH(I$3,PlotTitles,0))&amp;INDEX(PlotData,MATCH($A397,PlotNumber,0),MATCH(J$3,PlotTitles,0)))),$AB$20,TRUE,"")</f>
        <v/>
      </c>
      <c r="R397" s="104" t="str" cm="1">
        <f t="array" ref="R397">_xlfn.IFS(OR(ISBLANK(StartDateMonth),ISBLANK(StartDateYear)),"",AND(A397&gt;NumberOfPlots,ISBLANK(INDEX(PlotData,MATCH($A397,PlotNumber,0),MATCH(B$3,PlotTitles,0)))),"",ISBLANK(INDEX(PlotData,MATCH($A397,PlotNumber,0),MATCH(N$3,PlotTitles,0))),"",CompletionMonth="","",(DATEVALUE(INDEX(PlotData,MATCH($A397,PlotNumber,0),MATCH(N$3,PlotTitles,0))&amp;INDEX(PlotData,MATCH($A397,PlotNumber,0),MATCH(O$3,PlotTitles,0))))&gt;(DATEVALUE(CompletionMonth&amp;CompletionYear)),$AB$21,TRUE,"")</f>
        <v/>
      </c>
      <c r="S397" s="104" t="str" cm="1">
        <f t="array" ref="S397">_xlfn.IFS(AND(A397&gt;NumberOfPlots,ISBLANK(INDEX(PlotData,MATCH($A397,PlotNumber,0),MATCH(B$3,PlotTitles,0)))),"",OR(AND(INDEX(PlotData,MATCH($A397,PlotNumber,0),MATCH("Tenure",PlotTitles,0))="Open market housing",INDEX(PlotData,MATCH($A397,PlotNumber,0),MATCH("Tenure detail",PlotTitles,0))="Private rented sector"),INDEX(PlotData,MATCH($A397,PlotNumber,0),MATCH("Tenure",PlotTitles,0))="Affordable rent"),"",ISNUMBER(INDEX(PlotData,MATCH($A397,PlotNumber,0),MATCH(S$3,PlotTitles,0)))=FALSE, $AB$22,TRUE,"")</f>
        <v/>
      </c>
      <c r="T397" s="104" t="str" cm="1">
        <f t="array" ref="T397">_xlfn.IFS(AND(A397&gt;NumberOfPlots,ISBLANK(INDEX(PlotData,MATCH($A397,PlotNumber,0),MATCH(B$3,PlotTitles,0)))),"",OR(AND(INDEX(PlotData,MATCH($A397,PlotNumber,0),MATCH("Tenure",PlotTitles,0))="Open market housing",INDEX(PlotData,MATCH($A397,PlotNumber,0),MATCH("Tenure detail",PlotTitles,0))="Private rented sector"),INDEX(PlotData,MATCH($A397,PlotNumber,0),MATCH("Tenure",PlotTitles,0))="Affordable rent"),"",INDEX(PlotData,MATCH($A397,PlotNumber,0),MATCH(S$3,PlotTitles,0))&lt;10000, $AB$23,TRUE,"")</f>
        <v/>
      </c>
      <c r="U397" s="104" t="str" cm="1">
        <f t="array" ref="U397">_xlfn.IFS(AND(A397&gt;NumberOfPlots,ISBLANK(INDEX(PlotData,MATCH($A397,PlotNumber,0),MATCH(B$3,PlotTitles,0)))),"",NOT(OR(AND(INDEX(PlotData,MATCH($A397,PlotNumber,0),MATCH("Tenure",PlotTitles,0))="Open market housing",INDEX(PlotData,MATCH($A397,PlotNumber,0),MATCH("Tenure detail",PlotTitles,0))="Private rented sector"),INDEX(PlotData,MATCH($A397,PlotNumber,0),MATCH("Tenure",PlotTitles,0))="Affordable rent")),"",NOT(INDEX(PlotData,MATCH($A397,PlotNumber,0),MATCH(S$3,PlotTitles,0))=0), $AB$24,TRUE,"")</f>
        <v/>
      </c>
      <c r="V397" s="114" t="str" cm="1">
        <f t="array" aca="1" ref="V397" ca="1">_xlfn.IFS(ISBLANK(NumberOfPlots),"Enter the number of homes on the 1_SetUp sheet",AND(A397&gt;NumberOfPlots,ISBLANK(INDEX(PlotData,MATCH($A397,PlotNumber,0),MATCH(B$3,PlotTitles,0)))),"No error",NOT(B397=""),B397,NOT(C397=""),C397,NOT(D397=""),D397,NOT(E397=""),E397,NOT(F397=""),F397,NOT(G397=""),G397,NOT(H397=""),H397,NOT(I397=""),I397,NOT(J397=""),J397,NOT(K397=""),K397,NOT(L397=""),L397,NOT(M397=""),M397,NOT(N397=""),N397,NOT(O397=""),O397,NOT(P397=""),P397,NOT(Q397=""),Q397,NOT(R397=""),R397,NOT(S397=""),S397,NOT(T397=""),T397,NOT(U397=""),U397,TRUE,"No error")</f>
        <v>Enter the number of homes on the 1_SetUp sheet</v>
      </c>
      <c r="W397" s="114" t="str">
        <f t="shared" ca="1" si="20"/>
        <v xml:space="preserve">The Borrower has not addressed the following error messages for Home ID 393: </v>
      </c>
    </row>
    <row r="398" spans="1:23">
      <c r="A398" s="123">
        <v>394</v>
      </c>
      <c r="B398" s="104" t="str" cm="1">
        <f t="array" ref="B398">_xlfn.IFS(AND(A398&gt;NumberOfPlots,ISBLANK(INDEX(PlotData,MATCH($A398,PlotNumber,0),MATCH(B$3,PlotTitles,0)))),"",ISNUMBER(INDEX(PlotData,MATCH($A398,PlotNumber,0),MATCH(B$3,PlotTitles,0)))=FALSE, $AB$5,TRUE,"")</f>
        <v/>
      </c>
      <c r="C398" s="104" t="str" cm="1">
        <f t="array" ref="C398">_xlfn.IFS(AND(A398&gt;NumberOfPlots,ISBLANK(INDEX(PlotData,MATCH($A398,PlotNumber,0),MATCH(B$3,PlotTitles,0)))),"",ISBLANK(INDEX(PlotData,MATCH($A398,PlotNumber,0),MATCH(C$3,PlotTitles,0))),$AB$6,TRUE,"")</f>
        <v/>
      </c>
      <c r="D398" s="104" t="str" cm="1">
        <f t="array" ref="D398">_xlfn.IFS(AND(A398&gt;NumberOfPlots,ISBLANK(INDEX(PlotData,MATCH($A398,PlotNumber,0),MATCH(B$3,PlotTitles,0)))),"",ISBLANK(INDEX(PlotData,MATCH($A398,PlotNumber,0),MATCH(D$3,PlotTitles,0))),$AB$7,TRUE,"")</f>
        <v/>
      </c>
      <c r="E398" s="104" t="str" cm="1">
        <f t="array" ref="E398">_xlfn.IFS(AND(A398&gt;NumberOfPlots,ISBLANK(INDEX(PlotData,MATCH($A398,PlotNumber,0),MATCH(B$3,PlotTitles,0)))),"",ISBLANK(INDEX(PlotData,MATCH($A398,PlotNumber,0),MATCH(E$3,PlotTitles,0))),$AB$8,TRUE,"")</f>
        <v/>
      </c>
      <c r="F398" s="104" t="str" cm="1">
        <f t="array" ref="F398">_xlfn.IFS(AND(A398&gt;NumberOfPlots,ISBLANK(INDEX(PlotData,MATCH($A398,PlotNumber,0),MATCH(B$3,PlotTitles,0)))),"",ISBLANK(INDEX(PlotData,MATCH($A398,PlotNumber,0),MATCH(F$3,PlotTitles,0))),$AB$9,TRUE,"")</f>
        <v/>
      </c>
      <c r="G398" s="104" t="str" cm="1">
        <f t="array" ref="G398">_xlfn.IFS(AND(A398&gt;NumberOfPlots,ISBLANK(INDEX(PlotData,MATCH($A398,PlotNumber,0),MATCH(B$3,PlotTitles,0)))),"",ISBLANK(INDEX(PlotData,MATCH($A398,PlotNumber,0),MATCH(G$3,PlotTitles,0))),$AB$10,TRUE,"")</f>
        <v/>
      </c>
      <c r="H398" s="104" t="str" cm="1">
        <f t="array" ref="H398">_xlfn.IFS(AND(A398&gt;NumberOfPlots,ISBLANK(INDEX(PlotData,MATCH($A398,PlotNumber,0),MATCH(B$3,PlotTitles,0)))),"",AND(ISBLANK(INDEX(PlotData,MATCH($A398,PlotNumber,0),MATCH(H$3,PlotTitles,0)))=FALSE,INDEX(PlotData,MATCH($A398,PlotNumber,0),MATCH(H$3,PlotTitles,0))&lt;500), $AB$11,TRUE,"")</f>
        <v/>
      </c>
      <c r="I398" s="104" t="str" cm="1">
        <f t="array" ref="I398">_xlfn.IFS(AND(A398&gt;NumberOfPlots,ISBLANK(INDEX(PlotData,MATCH($A398,PlotNumber,0),MATCH(B$3,PlotTitles,0)))),"",ISBLANK(INDEX(PlotData,MATCH($A398,PlotNumber,0),MATCH(I$3,PlotTitles,0))),$AB$12,TRUE,"")</f>
        <v/>
      </c>
      <c r="J398" s="104" t="str" cm="1">
        <f t="array" ref="J398">_xlfn.IFS(AND(A398&gt;NumberOfPlots,ISBLANK(INDEX(PlotData,MATCH($A398,PlotNumber,0),MATCH(B$3,PlotTitles,0)))),"",ISBLANK(INDEX(PlotData,MATCH($A398,PlotNumber,0),MATCH(J$3,PlotTitles,0))),$AB$13,TRUE,"")</f>
        <v/>
      </c>
      <c r="K398" s="182" t="str">
        <f t="shared" ca="1" si="18"/>
        <v/>
      </c>
      <c r="L398" s="104" t="str" cm="1">
        <f t="array" ref="L398">_xlfn.IFS(OR(ISBLANK(StartDateMonth),ISBLANK(StartDateYear)),"",AND(A398&gt;NumberOfPlots,ISBLANK(INDEX(PlotData,MATCH($A398,PlotNumber,0),MATCH(B$3,PlotTitles,0)))),"",ISBLANK(INDEX(PlotData,MATCH($A398,PlotNumber,0),MATCH(I$3,PlotTitles,0))),"",(DATEVALUE(INDEX(PlotData,MATCH($A398,PlotNumber,0),MATCH(I$3,PlotTitles,0))&amp;INDEX(PlotData,MATCH($A398,PlotNumber,0),MATCH(J$3,PlotTitles,0))))&lt;DATEVALUE(StartDateMonth&amp;StartDateYear),$AB$15,TRUE,"")</f>
        <v/>
      </c>
      <c r="M398" s="104" t="str" cm="1">
        <f t="array" ref="M398">_xlfn.IFS(OR(ISBLANK(StartDateMonth),ISBLANK(StartDateYear)),"",AND(A398&gt;NumberOfPlots,ISBLANK(INDEX(PlotData,MATCH($A398,PlotNumber,0),MATCH(B$3,PlotTitles,0)))),"",ISBLANK(INDEX(PlotData,MATCH($A398,PlotNumber,0),MATCH(I$3,PlotTitles,0))),"",CompletionMonth="","",(DATEVALUE(INDEX(PlotData,MATCH($A398,PlotNumber,0),MATCH(I$3,PlotTitles,0))&amp;INDEX(PlotData,MATCH($A398,PlotNumber,0),MATCH(J$3,PlotTitles,0))))&gt;(DATEVALUE(CompletionMonth&amp;CompletionYear)),$AB$16,TRUE,"")</f>
        <v/>
      </c>
      <c r="N398" s="104" t="str" cm="1">
        <f t="array" ref="N398">_xlfn.IFS(AND(A398&gt;NumberOfPlots,ISBLANK(INDEX(PlotData,MATCH($A398,PlotNumber,0),MATCH(B$3,PlotTitles,0)))),"",ISBLANK(INDEX(PlotData,MATCH($A398,PlotNumber,0),MATCH(N$3,PlotTitles,0))),$AB$17,TRUE,"")</f>
        <v/>
      </c>
      <c r="O398" s="104" t="str" cm="1">
        <f t="array" ref="O398">_xlfn.IFS(AND(A398&gt;NumberOfPlots,ISBLANK(INDEX(PlotData,MATCH($A398,PlotNumber,0),MATCH(B$3,PlotTitles,0)))),"",ISBLANK(INDEX(PlotData,MATCH($A398,PlotNumber,0),MATCH(O$3,PlotTitles,0))),$AB$18,TRUE,"")</f>
        <v/>
      </c>
      <c r="P398" s="182" t="str">
        <f t="shared" ca="1" si="19"/>
        <v/>
      </c>
      <c r="Q398" s="104" t="str" cm="1">
        <f t="array" ref="Q398">_xlfn.IFS(AND(A398&gt;NumberOfPlots,ISBLANK(INDEX(PlotData,MATCH($A398,PlotNumber,0),MATCH(B$3,PlotTitles,0)))),"",ISBLANK(INDEX(PlotData,MATCH($A398,PlotNumber,0),MATCH(N$3,PlotTitles,0))),"",(DATEVALUE(INDEX(PlotData,MATCH($A398,PlotNumber,0),MATCH(N$3,PlotTitles,0))&amp;INDEX(PlotData,MATCH($A398,PlotNumber,0),MATCH(O$3,PlotTitles,0))))&lt;(DATEVALUE(INDEX(PlotData,MATCH($A398,PlotNumber,0),MATCH(I$3,PlotTitles,0))&amp;INDEX(PlotData,MATCH($A398,PlotNumber,0),MATCH(J$3,PlotTitles,0)))),$AB$20,TRUE,"")</f>
        <v/>
      </c>
      <c r="R398" s="104" t="str" cm="1">
        <f t="array" ref="R398">_xlfn.IFS(OR(ISBLANK(StartDateMonth),ISBLANK(StartDateYear)),"",AND(A398&gt;NumberOfPlots,ISBLANK(INDEX(PlotData,MATCH($A398,PlotNumber,0),MATCH(B$3,PlotTitles,0)))),"",ISBLANK(INDEX(PlotData,MATCH($A398,PlotNumber,0),MATCH(N$3,PlotTitles,0))),"",CompletionMonth="","",(DATEVALUE(INDEX(PlotData,MATCH($A398,PlotNumber,0),MATCH(N$3,PlotTitles,0))&amp;INDEX(PlotData,MATCH($A398,PlotNumber,0),MATCH(O$3,PlotTitles,0))))&gt;(DATEVALUE(CompletionMonth&amp;CompletionYear)),$AB$21,TRUE,"")</f>
        <v/>
      </c>
      <c r="S398" s="104" t="str" cm="1">
        <f t="array" ref="S398">_xlfn.IFS(AND(A398&gt;NumberOfPlots,ISBLANK(INDEX(PlotData,MATCH($A398,PlotNumber,0),MATCH(B$3,PlotTitles,0)))),"",OR(AND(INDEX(PlotData,MATCH($A398,PlotNumber,0),MATCH("Tenure",PlotTitles,0))="Open market housing",INDEX(PlotData,MATCH($A398,PlotNumber,0),MATCH("Tenure detail",PlotTitles,0))="Private rented sector"),INDEX(PlotData,MATCH($A398,PlotNumber,0),MATCH("Tenure",PlotTitles,0))="Affordable rent"),"",ISNUMBER(INDEX(PlotData,MATCH($A398,PlotNumber,0),MATCH(S$3,PlotTitles,0)))=FALSE, $AB$22,TRUE,"")</f>
        <v/>
      </c>
      <c r="T398" s="104" t="str" cm="1">
        <f t="array" ref="T398">_xlfn.IFS(AND(A398&gt;NumberOfPlots,ISBLANK(INDEX(PlotData,MATCH($A398,PlotNumber,0),MATCH(B$3,PlotTitles,0)))),"",OR(AND(INDEX(PlotData,MATCH($A398,PlotNumber,0),MATCH("Tenure",PlotTitles,0))="Open market housing",INDEX(PlotData,MATCH($A398,PlotNumber,0),MATCH("Tenure detail",PlotTitles,0))="Private rented sector"),INDEX(PlotData,MATCH($A398,PlotNumber,0),MATCH("Tenure",PlotTitles,0))="Affordable rent"),"",INDEX(PlotData,MATCH($A398,PlotNumber,0),MATCH(S$3,PlotTitles,0))&lt;10000, $AB$23,TRUE,"")</f>
        <v/>
      </c>
      <c r="U398" s="104" t="str" cm="1">
        <f t="array" ref="U398">_xlfn.IFS(AND(A398&gt;NumberOfPlots,ISBLANK(INDEX(PlotData,MATCH($A398,PlotNumber,0),MATCH(B$3,PlotTitles,0)))),"",NOT(OR(AND(INDEX(PlotData,MATCH($A398,PlotNumber,0),MATCH("Tenure",PlotTitles,0))="Open market housing",INDEX(PlotData,MATCH($A398,PlotNumber,0),MATCH("Tenure detail",PlotTitles,0))="Private rented sector"),INDEX(PlotData,MATCH($A398,PlotNumber,0),MATCH("Tenure",PlotTitles,0))="Affordable rent")),"",NOT(INDEX(PlotData,MATCH($A398,PlotNumber,0),MATCH(S$3,PlotTitles,0))=0), $AB$24,TRUE,"")</f>
        <v/>
      </c>
      <c r="V398" s="114" t="str" cm="1">
        <f t="array" aca="1" ref="V398" ca="1">_xlfn.IFS(ISBLANK(NumberOfPlots),"Enter the number of homes on the 1_SetUp sheet",AND(A398&gt;NumberOfPlots,ISBLANK(INDEX(PlotData,MATCH($A398,PlotNumber,0),MATCH(B$3,PlotTitles,0)))),"No error",NOT(B398=""),B398,NOT(C398=""),C398,NOT(D398=""),D398,NOT(E398=""),E398,NOT(F398=""),F398,NOT(G398=""),G398,NOT(H398=""),H398,NOT(I398=""),I398,NOT(J398=""),J398,NOT(K398=""),K398,NOT(L398=""),L398,NOT(M398=""),M398,NOT(N398=""),N398,NOT(O398=""),O398,NOT(P398=""),P398,NOT(Q398=""),Q398,NOT(R398=""),R398,NOT(S398=""),S398,NOT(T398=""),T398,NOT(U398=""),U398,TRUE,"No error")</f>
        <v>Enter the number of homes on the 1_SetUp sheet</v>
      </c>
      <c r="W398" s="114" t="str">
        <f t="shared" ca="1" si="20"/>
        <v xml:space="preserve">The Borrower has not addressed the following error messages for Home ID 394: </v>
      </c>
    </row>
    <row r="399" spans="1:23">
      <c r="A399" s="123">
        <v>395</v>
      </c>
      <c r="B399" s="104" t="str" cm="1">
        <f t="array" ref="B399">_xlfn.IFS(AND(A399&gt;NumberOfPlots,ISBLANK(INDEX(PlotData,MATCH($A399,PlotNumber,0),MATCH(B$3,PlotTitles,0)))),"",ISNUMBER(INDEX(PlotData,MATCH($A399,PlotNumber,0),MATCH(B$3,PlotTitles,0)))=FALSE, $AB$5,TRUE,"")</f>
        <v/>
      </c>
      <c r="C399" s="104" t="str" cm="1">
        <f t="array" ref="C399">_xlfn.IFS(AND(A399&gt;NumberOfPlots,ISBLANK(INDEX(PlotData,MATCH($A399,PlotNumber,0),MATCH(B$3,PlotTitles,0)))),"",ISBLANK(INDEX(PlotData,MATCH($A399,PlotNumber,0),MATCH(C$3,PlotTitles,0))),$AB$6,TRUE,"")</f>
        <v/>
      </c>
      <c r="D399" s="104" t="str" cm="1">
        <f t="array" ref="D399">_xlfn.IFS(AND(A399&gt;NumberOfPlots,ISBLANK(INDEX(PlotData,MATCH($A399,PlotNumber,0),MATCH(B$3,PlotTitles,0)))),"",ISBLANK(INDEX(PlotData,MATCH($A399,PlotNumber,0),MATCH(D$3,PlotTitles,0))),$AB$7,TRUE,"")</f>
        <v/>
      </c>
      <c r="E399" s="104" t="str" cm="1">
        <f t="array" ref="E399">_xlfn.IFS(AND(A399&gt;NumberOfPlots,ISBLANK(INDEX(PlotData,MATCH($A399,PlotNumber,0),MATCH(B$3,PlotTitles,0)))),"",ISBLANK(INDEX(PlotData,MATCH($A399,PlotNumber,0),MATCH(E$3,PlotTitles,0))),$AB$8,TRUE,"")</f>
        <v/>
      </c>
      <c r="F399" s="104" t="str" cm="1">
        <f t="array" ref="F399">_xlfn.IFS(AND(A399&gt;NumberOfPlots,ISBLANK(INDEX(PlotData,MATCH($A399,PlotNumber,0),MATCH(B$3,PlotTitles,0)))),"",ISBLANK(INDEX(PlotData,MATCH($A399,PlotNumber,0),MATCH(F$3,PlotTitles,0))),$AB$9,TRUE,"")</f>
        <v/>
      </c>
      <c r="G399" s="104" t="str" cm="1">
        <f t="array" ref="G399">_xlfn.IFS(AND(A399&gt;NumberOfPlots,ISBLANK(INDEX(PlotData,MATCH($A399,PlotNumber,0),MATCH(B$3,PlotTitles,0)))),"",ISBLANK(INDEX(PlotData,MATCH($A399,PlotNumber,0),MATCH(G$3,PlotTitles,0))),$AB$10,TRUE,"")</f>
        <v/>
      </c>
      <c r="H399" s="104" t="str" cm="1">
        <f t="array" ref="H399">_xlfn.IFS(AND(A399&gt;NumberOfPlots,ISBLANK(INDEX(PlotData,MATCH($A399,PlotNumber,0),MATCH(B$3,PlotTitles,0)))),"",AND(ISBLANK(INDEX(PlotData,MATCH($A399,PlotNumber,0),MATCH(H$3,PlotTitles,0)))=FALSE,INDEX(PlotData,MATCH($A399,PlotNumber,0),MATCH(H$3,PlotTitles,0))&lt;500), $AB$11,TRUE,"")</f>
        <v/>
      </c>
      <c r="I399" s="104" t="str" cm="1">
        <f t="array" ref="I399">_xlfn.IFS(AND(A399&gt;NumberOfPlots,ISBLANK(INDEX(PlotData,MATCH($A399,PlotNumber,0),MATCH(B$3,PlotTitles,0)))),"",ISBLANK(INDEX(PlotData,MATCH($A399,PlotNumber,0),MATCH(I$3,PlotTitles,0))),$AB$12,TRUE,"")</f>
        <v/>
      </c>
      <c r="J399" s="104" t="str" cm="1">
        <f t="array" ref="J399">_xlfn.IFS(AND(A399&gt;NumberOfPlots,ISBLANK(INDEX(PlotData,MATCH($A399,PlotNumber,0),MATCH(B$3,PlotTitles,0)))),"",ISBLANK(INDEX(PlotData,MATCH($A399,PlotNumber,0),MATCH(J$3,PlotTitles,0))),$AB$13,TRUE,"")</f>
        <v/>
      </c>
      <c r="K399" s="182" t="str">
        <f t="shared" ca="1" si="18"/>
        <v/>
      </c>
      <c r="L399" s="104" t="str" cm="1">
        <f t="array" ref="L399">_xlfn.IFS(OR(ISBLANK(StartDateMonth),ISBLANK(StartDateYear)),"",AND(A399&gt;NumberOfPlots,ISBLANK(INDEX(PlotData,MATCH($A399,PlotNumber,0),MATCH(B$3,PlotTitles,0)))),"",ISBLANK(INDEX(PlotData,MATCH($A399,PlotNumber,0),MATCH(I$3,PlotTitles,0))),"",(DATEVALUE(INDEX(PlotData,MATCH($A399,PlotNumber,0),MATCH(I$3,PlotTitles,0))&amp;INDEX(PlotData,MATCH($A399,PlotNumber,0),MATCH(J$3,PlotTitles,0))))&lt;DATEVALUE(StartDateMonth&amp;StartDateYear),$AB$15,TRUE,"")</f>
        <v/>
      </c>
      <c r="M399" s="104" t="str" cm="1">
        <f t="array" ref="M399">_xlfn.IFS(OR(ISBLANK(StartDateMonth),ISBLANK(StartDateYear)),"",AND(A399&gt;NumberOfPlots,ISBLANK(INDEX(PlotData,MATCH($A399,PlotNumber,0),MATCH(B$3,PlotTitles,0)))),"",ISBLANK(INDEX(PlotData,MATCH($A399,PlotNumber,0),MATCH(I$3,PlotTitles,0))),"",CompletionMonth="","",(DATEVALUE(INDEX(PlotData,MATCH($A399,PlotNumber,0),MATCH(I$3,PlotTitles,0))&amp;INDEX(PlotData,MATCH($A399,PlotNumber,0),MATCH(J$3,PlotTitles,0))))&gt;(DATEVALUE(CompletionMonth&amp;CompletionYear)),$AB$16,TRUE,"")</f>
        <v/>
      </c>
      <c r="N399" s="104" t="str" cm="1">
        <f t="array" ref="N399">_xlfn.IFS(AND(A399&gt;NumberOfPlots,ISBLANK(INDEX(PlotData,MATCH($A399,PlotNumber,0),MATCH(B$3,PlotTitles,0)))),"",ISBLANK(INDEX(PlotData,MATCH($A399,PlotNumber,0),MATCH(N$3,PlotTitles,0))),$AB$17,TRUE,"")</f>
        <v/>
      </c>
      <c r="O399" s="104" t="str" cm="1">
        <f t="array" ref="O399">_xlfn.IFS(AND(A399&gt;NumberOfPlots,ISBLANK(INDEX(PlotData,MATCH($A399,PlotNumber,0),MATCH(B$3,PlotTitles,0)))),"",ISBLANK(INDEX(PlotData,MATCH($A399,PlotNumber,0),MATCH(O$3,PlotTitles,0))),$AB$18,TRUE,"")</f>
        <v/>
      </c>
      <c r="P399" s="182" t="str">
        <f t="shared" ca="1" si="19"/>
        <v/>
      </c>
      <c r="Q399" s="104" t="str" cm="1">
        <f t="array" ref="Q399">_xlfn.IFS(AND(A399&gt;NumberOfPlots,ISBLANK(INDEX(PlotData,MATCH($A399,PlotNumber,0),MATCH(B$3,PlotTitles,0)))),"",ISBLANK(INDEX(PlotData,MATCH($A399,PlotNumber,0),MATCH(N$3,PlotTitles,0))),"",(DATEVALUE(INDEX(PlotData,MATCH($A399,PlotNumber,0),MATCH(N$3,PlotTitles,0))&amp;INDEX(PlotData,MATCH($A399,PlotNumber,0),MATCH(O$3,PlotTitles,0))))&lt;(DATEVALUE(INDEX(PlotData,MATCH($A399,PlotNumber,0),MATCH(I$3,PlotTitles,0))&amp;INDEX(PlotData,MATCH($A399,PlotNumber,0),MATCH(J$3,PlotTitles,0)))),$AB$20,TRUE,"")</f>
        <v/>
      </c>
      <c r="R399" s="104" t="str" cm="1">
        <f t="array" ref="R399">_xlfn.IFS(OR(ISBLANK(StartDateMonth),ISBLANK(StartDateYear)),"",AND(A399&gt;NumberOfPlots,ISBLANK(INDEX(PlotData,MATCH($A399,PlotNumber,0),MATCH(B$3,PlotTitles,0)))),"",ISBLANK(INDEX(PlotData,MATCH($A399,PlotNumber,0),MATCH(N$3,PlotTitles,0))),"",CompletionMonth="","",(DATEVALUE(INDEX(PlotData,MATCH($A399,PlotNumber,0),MATCH(N$3,PlotTitles,0))&amp;INDEX(PlotData,MATCH($A399,PlotNumber,0),MATCH(O$3,PlotTitles,0))))&gt;(DATEVALUE(CompletionMonth&amp;CompletionYear)),$AB$21,TRUE,"")</f>
        <v/>
      </c>
      <c r="S399" s="104" t="str" cm="1">
        <f t="array" ref="S399">_xlfn.IFS(AND(A399&gt;NumberOfPlots,ISBLANK(INDEX(PlotData,MATCH($A399,PlotNumber,0),MATCH(B$3,PlotTitles,0)))),"",OR(AND(INDEX(PlotData,MATCH($A399,PlotNumber,0),MATCH("Tenure",PlotTitles,0))="Open market housing",INDEX(PlotData,MATCH($A399,PlotNumber,0),MATCH("Tenure detail",PlotTitles,0))="Private rented sector"),INDEX(PlotData,MATCH($A399,PlotNumber,0),MATCH("Tenure",PlotTitles,0))="Affordable rent"),"",ISNUMBER(INDEX(PlotData,MATCH($A399,PlotNumber,0),MATCH(S$3,PlotTitles,0)))=FALSE, $AB$22,TRUE,"")</f>
        <v/>
      </c>
      <c r="T399" s="104" t="str" cm="1">
        <f t="array" ref="T399">_xlfn.IFS(AND(A399&gt;NumberOfPlots,ISBLANK(INDEX(PlotData,MATCH($A399,PlotNumber,0),MATCH(B$3,PlotTitles,0)))),"",OR(AND(INDEX(PlotData,MATCH($A399,PlotNumber,0),MATCH("Tenure",PlotTitles,0))="Open market housing",INDEX(PlotData,MATCH($A399,PlotNumber,0),MATCH("Tenure detail",PlotTitles,0))="Private rented sector"),INDEX(PlotData,MATCH($A399,PlotNumber,0),MATCH("Tenure",PlotTitles,0))="Affordable rent"),"",INDEX(PlotData,MATCH($A399,PlotNumber,0),MATCH(S$3,PlotTitles,0))&lt;10000, $AB$23,TRUE,"")</f>
        <v/>
      </c>
      <c r="U399" s="104" t="str" cm="1">
        <f t="array" ref="U399">_xlfn.IFS(AND(A399&gt;NumberOfPlots,ISBLANK(INDEX(PlotData,MATCH($A399,PlotNumber,0),MATCH(B$3,PlotTitles,0)))),"",NOT(OR(AND(INDEX(PlotData,MATCH($A399,PlotNumber,0),MATCH("Tenure",PlotTitles,0))="Open market housing",INDEX(PlotData,MATCH($A399,PlotNumber,0),MATCH("Tenure detail",PlotTitles,0))="Private rented sector"),INDEX(PlotData,MATCH($A399,PlotNumber,0),MATCH("Tenure",PlotTitles,0))="Affordable rent")),"",NOT(INDEX(PlotData,MATCH($A399,PlotNumber,0),MATCH(S$3,PlotTitles,0))=0), $AB$24,TRUE,"")</f>
        <v/>
      </c>
      <c r="V399" s="114" t="str" cm="1">
        <f t="array" aca="1" ref="V399" ca="1">_xlfn.IFS(ISBLANK(NumberOfPlots),"Enter the number of homes on the 1_SetUp sheet",AND(A399&gt;NumberOfPlots,ISBLANK(INDEX(PlotData,MATCH($A399,PlotNumber,0),MATCH(B$3,PlotTitles,0)))),"No error",NOT(B399=""),B399,NOT(C399=""),C399,NOT(D399=""),D399,NOT(E399=""),E399,NOT(F399=""),F399,NOT(G399=""),G399,NOT(H399=""),H399,NOT(I399=""),I399,NOT(J399=""),J399,NOT(K399=""),K399,NOT(L399=""),L399,NOT(M399=""),M399,NOT(N399=""),N399,NOT(O399=""),O399,NOT(P399=""),P399,NOT(Q399=""),Q399,NOT(R399=""),R399,NOT(S399=""),S399,NOT(T399=""),T399,NOT(U399=""),U399,TRUE,"No error")</f>
        <v>Enter the number of homes on the 1_SetUp sheet</v>
      </c>
      <c r="W399" s="114" t="str">
        <f t="shared" ca="1" si="20"/>
        <v xml:space="preserve">The Borrower has not addressed the following error messages for Home ID 395: </v>
      </c>
    </row>
    <row r="400" spans="1:23">
      <c r="A400" s="123">
        <v>396</v>
      </c>
      <c r="B400" s="104" t="str" cm="1">
        <f t="array" ref="B400">_xlfn.IFS(AND(A400&gt;NumberOfPlots,ISBLANK(INDEX(PlotData,MATCH($A400,PlotNumber,0),MATCH(B$3,PlotTitles,0)))),"",ISNUMBER(INDEX(PlotData,MATCH($A400,PlotNumber,0),MATCH(B$3,PlotTitles,0)))=FALSE, $AB$5,TRUE,"")</f>
        <v/>
      </c>
      <c r="C400" s="104" t="str" cm="1">
        <f t="array" ref="C400">_xlfn.IFS(AND(A400&gt;NumberOfPlots,ISBLANK(INDEX(PlotData,MATCH($A400,PlotNumber,0),MATCH(B$3,PlotTitles,0)))),"",ISBLANK(INDEX(PlotData,MATCH($A400,PlotNumber,0),MATCH(C$3,PlotTitles,0))),$AB$6,TRUE,"")</f>
        <v/>
      </c>
      <c r="D400" s="104" t="str" cm="1">
        <f t="array" ref="D400">_xlfn.IFS(AND(A400&gt;NumberOfPlots,ISBLANK(INDEX(PlotData,MATCH($A400,PlotNumber,0),MATCH(B$3,PlotTitles,0)))),"",ISBLANK(INDEX(PlotData,MATCH($A400,PlotNumber,0),MATCH(D$3,PlotTitles,0))),$AB$7,TRUE,"")</f>
        <v/>
      </c>
      <c r="E400" s="104" t="str" cm="1">
        <f t="array" ref="E400">_xlfn.IFS(AND(A400&gt;NumberOfPlots,ISBLANK(INDEX(PlotData,MATCH($A400,PlotNumber,0),MATCH(B$3,PlotTitles,0)))),"",ISBLANK(INDEX(PlotData,MATCH($A400,PlotNumber,0),MATCH(E$3,PlotTitles,0))),$AB$8,TRUE,"")</f>
        <v/>
      </c>
      <c r="F400" s="104" t="str" cm="1">
        <f t="array" ref="F400">_xlfn.IFS(AND(A400&gt;NumberOfPlots,ISBLANK(INDEX(PlotData,MATCH($A400,PlotNumber,0),MATCH(B$3,PlotTitles,0)))),"",ISBLANK(INDEX(PlotData,MATCH($A400,PlotNumber,0),MATCH(F$3,PlotTitles,0))),$AB$9,TRUE,"")</f>
        <v/>
      </c>
      <c r="G400" s="104" t="str" cm="1">
        <f t="array" ref="G400">_xlfn.IFS(AND(A400&gt;NumberOfPlots,ISBLANK(INDEX(PlotData,MATCH($A400,PlotNumber,0),MATCH(B$3,PlotTitles,0)))),"",ISBLANK(INDEX(PlotData,MATCH($A400,PlotNumber,0),MATCH(G$3,PlotTitles,0))),$AB$10,TRUE,"")</f>
        <v/>
      </c>
      <c r="H400" s="104" t="str" cm="1">
        <f t="array" ref="H400">_xlfn.IFS(AND(A400&gt;NumberOfPlots,ISBLANK(INDEX(PlotData,MATCH($A400,PlotNumber,0),MATCH(B$3,PlotTitles,0)))),"",AND(ISBLANK(INDEX(PlotData,MATCH($A400,PlotNumber,0),MATCH(H$3,PlotTitles,0)))=FALSE,INDEX(PlotData,MATCH($A400,PlotNumber,0),MATCH(H$3,PlotTitles,0))&lt;500), $AB$11,TRUE,"")</f>
        <v/>
      </c>
      <c r="I400" s="104" t="str" cm="1">
        <f t="array" ref="I400">_xlfn.IFS(AND(A400&gt;NumberOfPlots,ISBLANK(INDEX(PlotData,MATCH($A400,PlotNumber,0),MATCH(B$3,PlotTitles,0)))),"",ISBLANK(INDEX(PlotData,MATCH($A400,PlotNumber,0),MATCH(I$3,PlotTitles,0))),$AB$12,TRUE,"")</f>
        <v/>
      </c>
      <c r="J400" s="104" t="str" cm="1">
        <f t="array" ref="J400">_xlfn.IFS(AND(A400&gt;NumberOfPlots,ISBLANK(INDEX(PlotData,MATCH($A400,PlotNumber,0),MATCH(B$3,PlotTitles,0)))),"",ISBLANK(INDEX(PlotData,MATCH($A400,PlotNumber,0),MATCH(J$3,PlotTitles,0))),$AB$13,TRUE,"")</f>
        <v/>
      </c>
      <c r="K400" s="182" t="str">
        <f t="shared" ca="1" si="18"/>
        <v/>
      </c>
      <c r="L400" s="104" t="str" cm="1">
        <f t="array" ref="L400">_xlfn.IFS(OR(ISBLANK(StartDateMonth),ISBLANK(StartDateYear)),"",AND(A400&gt;NumberOfPlots,ISBLANK(INDEX(PlotData,MATCH($A400,PlotNumber,0),MATCH(B$3,PlotTitles,0)))),"",ISBLANK(INDEX(PlotData,MATCH($A400,PlotNumber,0),MATCH(I$3,PlotTitles,0))),"",(DATEVALUE(INDEX(PlotData,MATCH($A400,PlotNumber,0),MATCH(I$3,PlotTitles,0))&amp;INDEX(PlotData,MATCH($A400,PlotNumber,0),MATCH(J$3,PlotTitles,0))))&lt;DATEVALUE(StartDateMonth&amp;StartDateYear),$AB$15,TRUE,"")</f>
        <v/>
      </c>
      <c r="M400" s="104" t="str" cm="1">
        <f t="array" ref="M400">_xlfn.IFS(OR(ISBLANK(StartDateMonth),ISBLANK(StartDateYear)),"",AND(A400&gt;NumberOfPlots,ISBLANK(INDEX(PlotData,MATCH($A400,PlotNumber,0),MATCH(B$3,PlotTitles,0)))),"",ISBLANK(INDEX(PlotData,MATCH($A400,PlotNumber,0),MATCH(I$3,PlotTitles,0))),"",CompletionMonth="","",(DATEVALUE(INDEX(PlotData,MATCH($A400,PlotNumber,0),MATCH(I$3,PlotTitles,0))&amp;INDEX(PlotData,MATCH($A400,PlotNumber,0),MATCH(J$3,PlotTitles,0))))&gt;(DATEVALUE(CompletionMonth&amp;CompletionYear)),$AB$16,TRUE,"")</f>
        <v/>
      </c>
      <c r="N400" s="104" t="str" cm="1">
        <f t="array" ref="N400">_xlfn.IFS(AND(A400&gt;NumberOfPlots,ISBLANK(INDEX(PlotData,MATCH($A400,PlotNumber,0),MATCH(B$3,PlotTitles,0)))),"",ISBLANK(INDEX(PlotData,MATCH($A400,PlotNumber,0),MATCH(N$3,PlotTitles,0))),$AB$17,TRUE,"")</f>
        <v/>
      </c>
      <c r="O400" s="104" t="str" cm="1">
        <f t="array" ref="O400">_xlfn.IFS(AND(A400&gt;NumberOfPlots,ISBLANK(INDEX(PlotData,MATCH($A400,PlotNumber,0),MATCH(B$3,PlotTitles,0)))),"",ISBLANK(INDEX(PlotData,MATCH($A400,PlotNumber,0),MATCH(O$3,PlotTitles,0))),$AB$18,TRUE,"")</f>
        <v/>
      </c>
      <c r="P400" s="182" t="str">
        <f t="shared" ca="1" si="19"/>
        <v/>
      </c>
      <c r="Q400" s="104" t="str" cm="1">
        <f t="array" ref="Q400">_xlfn.IFS(AND(A400&gt;NumberOfPlots,ISBLANK(INDEX(PlotData,MATCH($A400,PlotNumber,0),MATCH(B$3,PlotTitles,0)))),"",ISBLANK(INDEX(PlotData,MATCH($A400,PlotNumber,0),MATCH(N$3,PlotTitles,0))),"",(DATEVALUE(INDEX(PlotData,MATCH($A400,PlotNumber,0),MATCH(N$3,PlotTitles,0))&amp;INDEX(PlotData,MATCH($A400,PlotNumber,0),MATCH(O$3,PlotTitles,0))))&lt;(DATEVALUE(INDEX(PlotData,MATCH($A400,PlotNumber,0),MATCH(I$3,PlotTitles,0))&amp;INDEX(PlotData,MATCH($A400,PlotNumber,0),MATCH(J$3,PlotTitles,0)))),$AB$20,TRUE,"")</f>
        <v/>
      </c>
      <c r="R400" s="104" t="str" cm="1">
        <f t="array" ref="R400">_xlfn.IFS(OR(ISBLANK(StartDateMonth),ISBLANK(StartDateYear)),"",AND(A400&gt;NumberOfPlots,ISBLANK(INDEX(PlotData,MATCH($A400,PlotNumber,0),MATCH(B$3,PlotTitles,0)))),"",ISBLANK(INDEX(PlotData,MATCH($A400,PlotNumber,0),MATCH(N$3,PlotTitles,0))),"",CompletionMonth="","",(DATEVALUE(INDEX(PlotData,MATCH($A400,PlotNumber,0),MATCH(N$3,PlotTitles,0))&amp;INDEX(PlotData,MATCH($A400,PlotNumber,0),MATCH(O$3,PlotTitles,0))))&gt;(DATEVALUE(CompletionMonth&amp;CompletionYear)),$AB$21,TRUE,"")</f>
        <v/>
      </c>
      <c r="S400" s="104" t="str" cm="1">
        <f t="array" ref="S400">_xlfn.IFS(AND(A400&gt;NumberOfPlots,ISBLANK(INDEX(PlotData,MATCH($A400,PlotNumber,0),MATCH(B$3,PlotTitles,0)))),"",OR(AND(INDEX(PlotData,MATCH($A400,PlotNumber,0),MATCH("Tenure",PlotTitles,0))="Open market housing",INDEX(PlotData,MATCH($A400,PlotNumber,0),MATCH("Tenure detail",PlotTitles,0))="Private rented sector"),INDEX(PlotData,MATCH($A400,PlotNumber,0),MATCH("Tenure",PlotTitles,0))="Affordable rent"),"",ISNUMBER(INDEX(PlotData,MATCH($A400,PlotNumber,0),MATCH(S$3,PlotTitles,0)))=FALSE, $AB$22,TRUE,"")</f>
        <v/>
      </c>
      <c r="T400" s="104" t="str" cm="1">
        <f t="array" ref="T400">_xlfn.IFS(AND(A400&gt;NumberOfPlots,ISBLANK(INDEX(PlotData,MATCH($A400,PlotNumber,0),MATCH(B$3,PlotTitles,0)))),"",OR(AND(INDEX(PlotData,MATCH($A400,PlotNumber,0),MATCH("Tenure",PlotTitles,0))="Open market housing",INDEX(PlotData,MATCH($A400,PlotNumber,0),MATCH("Tenure detail",PlotTitles,0))="Private rented sector"),INDEX(PlotData,MATCH($A400,PlotNumber,0),MATCH("Tenure",PlotTitles,0))="Affordable rent"),"",INDEX(PlotData,MATCH($A400,PlotNumber,0),MATCH(S$3,PlotTitles,0))&lt;10000, $AB$23,TRUE,"")</f>
        <v/>
      </c>
      <c r="U400" s="104" t="str" cm="1">
        <f t="array" ref="U400">_xlfn.IFS(AND(A400&gt;NumberOfPlots,ISBLANK(INDEX(PlotData,MATCH($A400,PlotNumber,0),MATCH(B$3,PlotTitles,0)))),"",NOT(OR(AND(INDEX(PlotData,MATCH($A400,PlotNumber,0),MATCH("Tenure",PlotTitles,0))="Open market housing",INDEX(PlotData,MATCH($A400,PlotNumber,0),MATCH("Tenure detail",PlotTitles,0))="Private rented sector"),INDEX(PlotData,MATCH($A400,PlotNumber,0),MATCH("Tenure",PlotTitles,0))="Affordable rent")),"",NOT(INDEX(PlotData,MATCH($A400,PlotNumber,0),MATCH(S$3,PlotTitles,0))=0), $AB$24,TRUE,"")</f>
        <v/>
      </c>
      <c r="V400" s="114" t="str" cm="1">
        <f t="array" aca="1" ref="V400" ca="1">_xlfn.IFS(ISBLANK(NumberOfPlots),"Enter the number of homes on the 1_SetUp sheet",AND(A400&gt;NumberOfPlots,ISBLANK(INDEX(PlotData,MATCH($A400,PlotNumber,0),MATCH(B$3,PlotTitles,0)))),"No error",NOT(B400=""),B400,NOT(C400=""),C400,NOT(D400=""),D400,NOT(E400=""),E400,NOT(F400=""),F400,NOT(G400=""),G400,NOT(H400=""),H400,NOT(I400=""),I400,NOT(J400=""),J400,NOT(K400=""),K400,NOT(L400=""),L400,NOT(M400=""),M400,NOT(N400=""),N400,NOT(O400=""),O400,NOT(P400=""),P400,NOT(Q400=""),Q400,NOT(R400=""),R400,NOT(S400=""),S400,NOT(T400=""),T400,NOT(U400=""),U400,TRUE,"No error")</f>
        <v>Enter the number of homes on the 1_SetUp sheet</v>
      </c>
      <c r="W400" s="114" t="str">
        <f t="shared" ca="1" si="20"/>
        <v xml:space="preserve">The Borrower has not addressed the following error messages for Home ID 396: </v>
      </c>
    </row>
    <row r="401" spans="1:23">
      <c r="A401" s="123">
        <v>397</v>
      </c>
      <c r="B401" s="104" t="str" cm="1">
        <f t="array" ref="B401">_xlfn.IFS(AND(A401&gt;NumberOfPlots,ISBLANK(INDEX(PlotData,MATCH($A401,PlotNumber,0),MATCH(B$3,PlotTitles,0)))),"",ISNUMBER(INDEX(PlotData,MATCH($A401,PlotNumber,0),MATCH(B$3,PlotTitles,0)))=FALSE, $AB$5,TRUE,"")</f>
        <v/>
      </c>
      <c r="C401" s="104" t="str" cm="1">
        <f t="array" ref="C401">_xlfn.IFS(AND(A401&gt;NumberOfPlots,ISBLANK(INDEX(PlotData,MATCH($A401,PlotNumber,0),MATCH(B$3,PlotTitles,0)))),"",ISBLANK(INDEX(PlotData,MATCH($A401,PlotNumber,0),MATCH(C$3,PlotTitles,0))),$AB$6,TRUE,"")</f>
        <v/>
      </c>
      <c r="D401" s="104" t="str" cm="1">
        <f t="array" ref="D401">_xlfn.IFS(AND(A401&gt;NumberOfPlots,ISBLANK(INDEX(PlotData,MATCH($A401,PlotNumber,0),MATCH(B$3,PlotTitles,0)))),"",ISBLANK(INDEX(PlotData,MATCH($A401,PlotNumber,0),MATCH(D$3,PlotTitles,0))),$AB$7,TRUE,"")</f>
        <v/>
      </c>
      <c r="E401" s="104" t="str" cm="1">
        <f t="array" ref="E401">_xlfn.IFS(AND(A401&gt;NumberOfPlots,ISBLANK(INDEX(PlotData,MATCH($A401,PlotNumber,0),MATCH(B$3,PlotTitles,0)))),"",ISBLANK(INDEX(PlotData,MATCH($A401,PlotNumber,0),MATCH(E$3,PlotTitles,0))),$AB$8,TRUE,"")</f>
        <v/>
      </c>
      <c r="F401" s="104" t="str" cm="1">
        <f t="array" ref="F401">_xlfn.IFS(AND(A401&gt;NumberOfPlots,ISBLANK(INDEX(PlotData,MATCH($A401,PlotNumber,0),MATCH(B$3,PlotTitles,0)))),"",ISBLANK(INDEX(PlotData,MATCH($A401,PlotNumber,0),MATCH(F$3,PlotTitles,0))),$AB$9,TRUE,"")</f>
        <v/>
      </c>
      <c r="G401" s="104" t="str" cm="1">
        <f t="array" ref="G401">_xlfn.IFS(AND(A401&gt;NumberOfPlots,ISBLANK(INDEX(PlotData,MATCH($A401,PlotNumber,0),MATCH(B$3,PlotTitles,0)))),"",ISBLANK(INDEX(PlotData,MATCH($A401,PlotNumber,0),MATCH(G$3,PlotTitles,0))),$AB$10,TRUE,"")</f>
        <v/>
      </c>
      <c r="H401" s="104" t="str" cm="1">
        <f t="array" ref="H401">_xlfn.IFS(AND(A401&gt;NumberOfPlots,ISBLANK(INDEX(PlotData,MATCH($A401,PlotNumber,0),MATCH(B$3,PlotTitles,0)))),"",AND(ISBLANK(INDEX(PlotData,MATCH($A401,PlotNumber,0),MATCH(H$3,PlotTitles,0)))=FALSE,INDEX(PlotData,MATCH($A401,PlotNumber,0),MATCH(H$3,PlotTitles,0))&lt;500), $AB$11,TRUE,"")</f>
        <v/>
      </c>
      <c r="I401" s="104" t="str" cm="1">
        <f t="array" ref="I401">_xlfn.IFS(AND(A401&gt;NumberOfPlots,ISBLANK(INDEX(PlotData,MATCH($A401,PlotNumber,0),MATCH(B$3,PlotTitles,0)))),"",ISBLANK(INDEX(PlotData,MATCH($A401,PlotNumber,0),MATCH(I$3,PlotTitles,0))),$AB$12,TRUE,"")</f>
        <v/>
      </c>
      <c r="J401" s="104" t="str" cm="1">
        <f t="array" ref="J401">_xlfn.IFS(AND(A401&gt;NumberOfPlots,ISBLANK(INDEX(PlotData,MATCH($A401,PlotNumber,0),MATCH(B$3,PlotTitles,0)))),"",ISBLANK(INDEX(PlotData,MATCH($A401,PlotNumber,0),MATCH(J$3,PlotTitles,0))),$AB$13,TRUE,"")</f>
        <v/>
      </c>
      <c r="K401" s="182" t="str">
        <f t="shared" ca="1" si="18"/>
        <v/>
      </c>
      <c r="L401" s="104" t="str" cm="1">
        <f t="array" ref="L401">_xlfn.IFS(OR(ISBLANK(StartDateMonth),ISBLANK(StartDateYear)),"",AND(A401&gt;NumberOfPlots,ISBLANK(INDEX(PlotData,MATCH($A401,PlotNumber,0),MATCH(B$3,PlotTitles,0)))),"",ISBLANK(INDEX(PlotData,MATCH($A401,PlotNumber,0),MATCH(I$3,PlotTitles,0))),"",(DATEVALUE(INDEX(PlotData,MATCH($A401,PlotNumber,0),MATCH(I$3,PlotTitles,0))&amp;INDEX(PlotData,MATCH($A401,PlotNumber,0),MATCH(J$3,PlotTitles,0))))&lt;DATEVALUE(StartDateMonth&amp;StartDateYear),$AB$15,TRUE,"")</f>
        <v/>
      </c>
      <c r="M401" s="104" t="str" cm="1">
        <f t="array" ref="M401">_xlfn.IFS(OR(ISBLANK(StartDateMonth),ISBLANK(StartDateYear)),"",AND(A401&gt;NumberOfPlots,ISBLANK(INDEX(PlotData,MATCH($A401,PlotNumber,0),MATCH(B$3,PlotTitles,0)))),"",ISBLANK(INDEX(PlotData,MATCH($A401,PlotNumber,0),MATCH(I$3,PlotTitles,0))),"",CompletionMonth="","",(DATEVALUE(INDEX(PlotData,MATCH($A401,PlotNumber,0),MATCH(I$3,PlotTitles,0))&amp;INDEX(PlotData,MATCH($A401,PlotNumber,0),MATCH(J$3,PlotTitles,0))))&gt;(DATEVALUE(CompletionMonth&amp;CompletionYear)),$AB$16,TRUE,"")</f>
        <v/>
      </c>
      <c r="N401" s="104" t="str" cm="1">
        <f t="array" ref="N401">_xlfn.IFS(AND(A401&gt;NumberOfPlots,ISBLANK(INDEX(PlotData,MATCH($A401,PlotNumber,0),MATCH(B$3,PlotTitles,0)))),"",ISBLANK(INDEX(PlotData,MATCH($A401,PlotNumber,0),MATCH(N$3,PlotTitles,0))),$AB$17,TRUE,"")</f>
        <v/>
      </c>
      <c r="O401" s="104" t="str" cm="1">
        <f t="array" ref="O401">_xlfn.IFS(AND(A401&gt;NumberOfPlots,ISBLANK(INDEX(PlotData,MATCH($A401,PlotNumber,0),MATCH(B$3,PlotTitles,0)))),"",ISBLANK(INDEX(PlotData,MATCH($A401,PlotNumber,0),MATCH(O$3,PlotTitles,0))),$AB$18,TRUE,"")</f>
        <v/>
      </c>
      <c r="P401" s="182" t="str">
        <f t="shared" ca="1" si="19"/>
        <v/>
      </c>
      <c r="Q401" s="104" t="str" cm="1">
        <f t="array" ref="Q401">_xlfn.IFS(AND(A401&gt;NumberOfPlots,ISBLANK(INDEX(PlotData,MATCH($A401,PlotNumber,0),MATCH(B$3,PlotTitles,0)))),"",ISBLANK(INDEX(PlotData,MATCH($A401,PlotNumber,0),MATCH(N$3,PlotTitles,0))),"",(DATEVALUE(INDEX(PlotData,MATCH($A401,PlotNumber,0),MATCH(N$3,PlotTitles,0))&amp;INDEX(PlotData,MATCH($A401,PlotNumber,0),MATCH(O$3,PlotTitles,0))))&lt;(DATEVALUE(INDEX(PlotData,MATCH($A401,PlotNumber,0),MATCH(I$3,PlotTitles,0))&amp;INDEX(PlotData,MATCH($A401,PlotNumber,0),MATCH(J$3,PlotTitles,0)))),$AB$20,TRUE,"")</f>
        <v/>
      </c>
      <c r="R401" s="104" t="str" cm="1">
        <f t="array" ref="R401">_xlfn.IFS(OR(ISBLANK(StartDateMonth),ISBLANK(StartDateYear)),"",AND(A401&gt;NumberOfPlots,ISBLANK(INDEX(PlotData,MATCH($A401,PlotNumber,0),MATCH(B$3,PlotTitles,0)))),"",ISBLANK(INDEX(PlotData,MATCH($A401,PlotNumber,0),MATCH(N$3,PlotTitles,0))),"",CompletionMonth="","",(DATEVALUE(INDEX(PlotData,MATCH($A401,PlotNumber,0),MATCH(N$3,PlotTitles,0))&amp;INDEX(PlotData,MATCH($A401,PlotNumber,0),MATCH(O$3,PlotTitles,0))))&gt;(DATEVALUE(CompletionMonth&amp;CompletionYear)),$AB$21,TRUE,"")</f>
        <v/>
      </c>
      <c r="S401" s="104" t="str" cm="1">
        <f t="array" ref="S401">_xlfn.IFS(AND(A401&gt;NumberOfPlots,ISBLANK(INDEX(PlotData,MATCH($A401,PlotNumber,0),MATCH(B$3,PlotTitles,0)))),"",OR(AND(INDEX(PlotData,MATCH($A401,PlotNumber,0),MATCH("Tenure",PlotTitles,0))="Open market housing",INDEX(PlotData,MATCH($A401,PlotNumber,0),MATCH("Tenure detail",PlotTitles,0))="Private rented sector"),INDEX(PlotData,MATCH($A401,PlotNumber,0),MATCH("Tenure",PlotTitles,0))="Affordable rent"),"",ISNUMBER(INDEX(PlotData,MATCH($A401,PlotNumber,0),MATCH(S$3,PlotTitles,0)))=FALSE, $AB$22,TRUE,"")</f>
        <v/>
      </c>
      <c r="T401" s="104" t="str" cm="1">
        <f t="array" ref="T401">_xlfn.IFS(AND(A401&gt;NumberOfPlots,ISBLANK(INDEX(PlotData,MATCH($A401,PlotNumber,0),MATCH(B$3,PlotTitles,0)))),"",OR(AND(INDEX(PlotData,MATCH($A401,PlotNumber,0),MATCH("Tenure",PlotTitles,0))="Open market housing",INDEX(PlotData,MATCH($A401,PlotNumber,0),MATCH("Tenure detail",PlotTitles,0))="Private rented sector"),INDEX(PlotData,MATCH($A401,PlotNumber,0),MATCH("Tenure",PlotTitles,0))="Affordable rent"),"",INDEX(PlotData,MATCH($A401,PlotNumber,0),MATCH(S$3,PlotTitles,0))&lt;10000, $AB$23,TRUE,"")</f>
        <v/>
      </c>
      <c r="U401" s="104" t="str" cm="1">
        <f t="array" ref="U401">_xlfn.IFS(AND(A401&gt;NumberOfPlots,ISBLANK(INDEX(PlotData,MATCH($A401,PlotNumber,0),MATCH(B$3,PlotTitles,0)))),"",NOT(OR(AND(INDEX(PlotData,MATCH($A401,PlotNumber,0),MATCH("Tenure",PlotTitles,0))="Open market housing",INDEX(PlotData,MATCH($A401,PlotNumber,0),MATCH("Tenure detail",PlotTitles,0))="Private rented sector"),INDEX(PlotData,MATCH($A401,PlotNumber,0),MATCH("Tenure",PlotTitles,0))="Affordable rent")),"",NOT(INDEX(PlotData,MATCH($A401,PlotNumber,0),MATCH(S$3,PlotTitles,0))=0), $AB$24,TRUE,"")</f>
        <v/>
      </c>
      <c r="V401" s="114" t="str" cm="1">
        <f t="array" aca="1" ref="V401" ca="1">_xlfn.IFS(ISBLANK(NumberOfPlots),"Enter the number of homes on the 1_SetUp sheet",AND(A401&gt;NumberOfPlots,ISBLANK(INDEX(PlotData,MATCH($A401,PlotNumber,0),MATCH(B$3,PlotTitles,0)))),"No error",NOT(B401=""),B401,NOT(C401=""),C401,NOT(D401=""),D401,NOT(E401=""),E401,NOT(F401=""),F401,NOT(G401=""),G401,NOT(H401=""),H401,NOT(I401=""),I401,NOT(J401=""),J401,NOT(K401=""),K401,NOT(L401=""),L401,NOT(M401=""),M401,NOT(N401=""),N401,NOT(O401=""),O401,NOT(P401=""),P401,NOT(Q401=""),Q401,NOT(R401=""),R401,NOT(S401=""),S401,NOT(T401=""),T401,NOT(U401=""),U401,TRUE,"No error")</f>
        <v>Enter the number of homes on the 1_SetUp sheet</v>
      </c>
      <c r="W401" s="114" t="str">
        <f t="shared" ca="1" si="20"/>
        <v xml:space="preserve">The Borrower has not addressed the following error messages for Home ID 397: </v>
      </c>
    </row>
    <row r="402" spans="1:23">
      <c r="A402" s="123">
        <v>398</v>
      </c>
      <c r="B402" s="104" t="str" cm="1">
        <f t="array" ref="B402">_xlfn.IFS(AND(A402&gt;NumberOfPlots,ISBLANK(INDEX(PlotData,MATCH($A402,PlotNumber,0),MATCH(B$3,PlotTitles,0)))),"",ISNUMBER(INDEX(PlotData,MATCH($A402,PlotNumber,0),MATCH(B$3,PlotTitles,0)))=FALSE, $AB$5,TRUE,"")</f>
        <v/>
      </c>
      <c r="C402" s="104" t="str" cm="1">
        <f t="array" ref="C402">_xlfn.IFS(AND(A402&gt;NumberOfPlots,ISBLANK(INDEX(PlotData,MATCH($A402,PlotNumber,0),MATCH(B$3,PlotTitles,0)))),"",ISBLANK(INDEX(PlotData,MATCH($A402,PlotNumber,0),MATCH(C$3,PlotTitles,0))),$AB$6,TRUE,"")</f>
        <v/>
      </c>
      <c r="D402" s="104" t="str" cm="1">
        <f t="array" ref="D402">_xlfn.IFS(AND(A402&gt;NumberOfPlots,ISBLANK(INDEX(PlotData,MATCH($A402,PlotNumber,0),MATCH(B$3,PlotTitles,0)))),"",ISBLANK(INDEX(PlotData,MATCH($A402,PlotNumber,0),MATCH(D$3,PlotTitles,0))),$AB$7,TRUE,"")</f>
        <v/>
      </c>
      <c r="E402" s="104" t="str" cm="1">
        <f t="array" ref="E402">_xlfn.IFS(AND(A402&gt;NumberOfPlots,ISBLANK(INDEX(PlotData,MATCH($A402,PlotNumber,0),MATCH(B$3,PlotTitles,0)))),"",ISBLANK(INDEX(PlotData,MATCH($A402,PlotNumber,0),MATCH(E$3,PlotTitles,0))),$AB$8,TRUE,"")</f>
        <v/>
      </c>
      <c r="F402" s="104" t="str" cm="1">
        <f t="array" ref="F402">_xlfn.IFS(AND(A402&gt;NumberOfPlots,ISBLANK(INDEX(PlotData,MATCH($A402,PlotNumber,0),MATCH(B$3,PlotTitles,0)))),"",ISBLANK(INDEX(PlotData,MATCH($A402,PlotNumber,0),MATCH(F$3,PlotTitles,0))),$AB$9,TRUE,"")</f>
        <v/>
      </c>
      <c r="G402" s="104" t="str" cm="1">
        <f t="array" ref="G402">_xlfn.IFS(AND(A402&gt;NumberOfPlots,ISBLANK(INDEX(PlotData,MATCH($A402,PlotNumber,0),MATCH(B$3,PlotTitles,0)))),"",ISBLANK(INDEX(PlotData,MATCH($A402,PlotNumber,0),MATCH(G$3,PlotTitles,0))),$AB$10,TRUE,"")</f>
        <v/>
      </c>
      <c r="H402" s="104" t="str" cm="1">
        <f t="array" ref="H402">_xlfn.IFS(AND(A402&gt;NumberOfPlots,ISBLANK(INDEX(PlotData,MATCH($A402,PlotNumber,0),MATCH(B$3,PlotTitles,0)))),"",AND(ISBLANK(INDEX(PlotData,MATCH($A402,PlotNumber,0),MATCH(H$3,PlotTitles,0)))=FALSE,INDEX(PlotData,MATCH($A402,PlotNumber,0),MATCH(H$3,PlotTitles,0))&lt;500), $AB$11,TRUE,"")</f>
        <v/>
      </c>
      <c r="I402" s="104" t="str" cm="1">
        <f t="array" ref="I402">_xlfn.IFS(AND(A402&gt;NumberOfPlots,ISBLANK(INDEX(PlotData,MATCH($A402,PlotNumber,0),MATCH(B$3,PlotTitles,0)))),"",ISBLANK(INDEX(PlotData,MATCH($A402,PlotNumber,0),MATCH(I$3,PlotTitles,0))),$AB$12,TRUE,"")</f>
        <v/>
      </c>
      <c r="J402" s="104" t="str" cm="1">
        <f t="array" ref="J402">_xlfn.IFS(AND(A402&gt;NumberOfPlots,ISBLANK(INDEX(PlotData,MATCH($A402,PlotNumber,0),MATCH(B$3,PlotTitles,0)))),"",ISBLANK(INDEX(PlotData,MATCH($A402,PlotNumber,0),MATCH(J$3,PlotTitles,0))),$AB$13,TRUE,"")</f>
        <v/>
      </c>
      <c r="K402" s="182" t="str">
        <f t="shared" ca="1" si="18"/>
        <v/>
      </c>
      <c r="L402" s="104" t="str" cm="1">
        <f t="array" ref="L402">_xlfn.IFS(OR(ISBLANK(StartDateMonth),ISBLANK(StartDateYear)),"",AND(A402&gt;NumberOfPlots,ISBLANK(INDEX(PlotData,MATCH($A402,PlotNumber,0),MATCH(B$3,PlotTitles,0)))),"",ISBLANK(INDEX(PlotData,MATCH($A402,PlotNumber,0),MATCH(I$3,PlotTitles,0))),"",(DATEVALUE(INDEX(PlotData,MATCH($A402,PlotNumber,0),MATCH(I$3,PlotTitles,0))&amp;INDEX(PlotData,MATCH($A402,PlotNumber,0),MATCH(J$3,PlotTitles,0))))&lt;DATEVALUE(StartDateMonth&amp;StartDateYear),$AB$15,TRUE,"")</f>
        <v/>
      </c>
      <c r="M402" s="104" t="str" cm="1">
        <f t="array" ref="M402">_xlfn.IFS(OR(ISBLANK(StartDateMonth),ISBLANK(StartDateYear)),"",AND(A402&gt;NumberOfPlots,ISBLANK(INDEX(PlotData,MATCH($A402,PlotNumber,0),MATCH(B$3,PlotTitles,0)))),"",ISBLANK(INDEX(PlotData,MATCH($A402,PlotNumber,0),MATCH(I$3,PlotTitles,0))),"",CompletionMonth="","",(DATEVALUE(INDEX(PlotData,MATCH($A402,PlotNumber,0),MATCH(I$3,PlotTitles,0))&amp;INDEX(PlotData,MATCH($A402,PlotNumber,0),MATCH(J$3,PlotTitles,0))))&gt;(DATEVALUE(CompletionMonth&amp;CompletionYear)),$AB$16,TRUE,"")</f>
        <v/>
      </c>
      <c r="N402" s="104" t="str" cm="1">
        <f t="array" ref="N402">_xlfn.IFS(AND(A402&gt;NumberOfPlots,ISBLANK(INDEX(PlotData,MATCH($A402,PlotNumber,0),MATCH(B$3,PlotTitles,0)))),"",ISBLANK(INDEX(PlotData,MATCH($A402,PlotNumber,0),MATCH(N$3,PlotTitles,0))),$AB$17,TRUE,"")</f>
        <v/>
      </c>
      <c r="O402" s="104" t="str" cm="1">
        <f t="array" ref="O402">_xlfn.IFS(AND(A402&gt;NumberOfPlots,ISBLANK(INDEX(PlotData,MATCH($A402,PlotNumber,0),MATCH(B$3,PlotTitles,0)))),"",ISBLANK(INDEX(PlotData,MATCH($A402,PlotNumber,0),MATCH(O$3,PlotTitles,0))),$AB$18,TRUE,"")</f>
        <v/>
      </c>
      <c r="P402" s="182" t="str">
        <f t="shared" ca="1" si="19"/>
        <v/>
      </c>
      <c r="Q402" s="104" t="str" cm="1">
        <f t="array" ref="Q402">_xlfn.IFS(AND(A402&gt;NumberOfPlots,ISBLANK(INDEX(PlotData,MATCH($A402,PlotNumber,0),MATCH(B$3,PlotTitles,0)))),"",ISBLANK(INDEX(PlotData,MATCH($A402,PlotNumber,0),MATCH(N$3,PlotTitles,0))),"",(DATEVALUE(INDEX(PlotData,MATCH($A402,PlotNumber,0),MATCH(N$3,PlotTitles,0))&amp;INDEX(PlotData,MATCH($A402,PlotNumber,0),MATCH(O$3,PlotTitles,0))))&lt;(DATEVALUE(INDEX(PlotData,MATCH($A402,PlotNumber,0),MATCH(I$3,PlotTitles,0))&amp;INDEX(PlotData,MATCH($A402,PlotNumber,0),MATCH(J$3,PlotTitles,0)))),$AB$20,TRUE,"")</f>
        <v/>
      </c>
      <c r="R402" s="104" t="str" cm="1">
        <f t="array" ref="R402">_xlfn.IFS(OR(ISBLANK(StartDateMonth),ISBLANK(StartDateYear)),"",AND(A402&gt;NumberOfPlots,ISBLANK(INDEX(PlotData,MATCH($A402,PlotNumber,0),MATCH(B$3,PlotTitles,0)))),"",ISBLANK(INDEX(PlotData,MATCH($A402,PlotNumber,0),MATCH(N$3,PlotTitles,0))),"",CompletionMonth="","",(DATEVALUE(INDEX(PlotData,MATCH($A402,PlotNumber,0),MATCH(N$3,PlotTitles,0))&amp;INDEX(PlotData,MATCH($A402,PlotNumber,0),MATCH(O$3,PlotTitles,0))))&gt;(DATEVALUE(CompletionMonth&amp;CompletionYear)),$AB$21,TRUE,"")</f>
        <v/>
      </c>
      <c r="S402" s="104" t="str" cm="1">
        <f t="array" ref="S402">_xlfn.IFS(AND(A402&gt;NumberOfPlots,ISBLANK(INDEX(PlotData,MATCH($A402,PlotNumber,0),MATCH(B$3,PlotTitles,0)))),"",OR(AND(INDEX(PlotData,MATCH($A402,PlotNumber,0),MATCH("Tenure",PlotTitles,0))="Open market housing",INDEX(PlotData,MATCH($A402,PlotNumber,0),MATCH("Tenure detail",PlotTitles,0))="Private rented sector"),INDEX(PlotData,MATCH($A402,PlotNumber,0),MATCH("Tenure",PlotTitles,0))="Affordable rent"),"",ISNUMBER(INDEX(PlotData,MATCH($A402,PlotNumber,0),MATCH(S$3,PlotTitles,0)))=FALSE, $AB$22,TRUE,"")</f>
        <v/>
      </c>
      <c r="T402" s="104" t="str" cm="1">
        <f t="array" ref="T402">_xlfn.IFS(AND(A402&gt;NumberOfPlots,ISBLANK(INDEX(PlotData,MATCH($A402,PlotNumber,0),MATCH(B$3,PlotTitles,0)))),"",OR(AND(INDEX(PlotData,MATCH($A402,PlotNumber,0),MATCH("Tenure",PlotTitles,0))="Open market housing",INDEX(PlotData,MATCH($A402,PlotNumber,0),MATCH("Tenure detail",PlotTitles,0))="Private rented sector"),INDEX(PlotData,MATCH($A402,PlotNumber,0),MATCH("Tenure",PlotTitles,0))="Affordable rent"),"",INDEX(PlotData,MATCH($A402,PlotNumber,0),MATCH(S$3,PlotTitles,0))&lt;10000, $AB$23,TRUE,"")</f>
        <v/>
      </c>
      <c r="U402" s="104" t="str" cm="1">
        <f t="array" ref="U402">_xlfn.IFS(AND(A402&gt;NumberOfPlots,ISBLANK(INDEX(PlotData,MATCH($A402,PlotNumber,0),MATCH(B$3,PlotTitles,0)))),"",NOT(OR(AND(INDEX(PlotData,MATCH($A402,PlotNumber,0),MATCH("Tenure",PlotTitles,0))="Open market housing",INDEX(PlotData,MATCH($A402,PlotNumber,0),MATCH("Tenure detail",PlotTitles,0))="Private rented sector"),INDEX(PlotData,MATCH($A402,PlotNumber,0),MATCH("Tenure",PlotTitles,0))="Affordable rent")),"",NOT(INDEX(PlotData,MATCH($A402,PlotNumber,0),MATCH(S$3,PlotTitles,0))=0), $AB$24,TRUE,"")</f>
        <v/>
      </c>
      <c r="V402" s="114" t="str" cm="1">
        <f t="array" aca="1" ref="V402" ca="1">_xlfn.IFS(ISBLANK(NumberOfPlots),"Enter the number of homes on the 1_SetUp sheet",AND(A402&gt;NumberOfPlots,ISBLANK(INDEX(PlotData,MATCH($A402,PlotNumber,0),MATCH(B$3,PlotTitles,0)))),"No error",NOT(B402=""),B402,NOT(C402=""),C402,NOT(D402=""),D402,NOT(E402=""),E402,NOT(F402=""),F402,NOT(G402=""),G402,NOT(H402=""),H402,NOT(I402=""),I402,NOT(J402=""),J402,NOT(K402=""),K402,NOT(L402=""),L402,NOT(M402=""),M402,NOT(N402=""),N402,NOT(O402=""),O402,NOT(P402=""),P402,NOT(Q402=""),Q402,NOT(R402=""),R402,NOT(S402=""),S402,NOT(T402=""),T402,NOT(U402=""),U402,TRUE,"No error")</f>
        <v>Enter the number of homes on the 1_SetUp sheet</v>
      </c>
      <c r="W402" s="114" t="str">
        <f t="shared" ca="1" si="20"/>
        <v xml:space="preserve">The Borrower has not addressed the following error messages for Home ID 398: </v>
      </c>
    </row>
    <row r="403" spans="1:23">
      <c r="A403" s="123">
        <v>399</v>
      </c>
      <c r="B403" s="104" t="str" cm="1">
        <f t="array" ref="B403">_xlfn.IFS(AND(A403&gt;NumberOfPlots,ISBLANK(INDEX(PlotData,MATCH($A403,PlotNumber,0),MATCH(B$3,PlotTitles,0)))),"",ISNUMBER(INDEX(PlotData,MATCH($A403,PlotNumber,0),MATCH(B$3,PlotTitles,0)))=FALSE, $AB$5,TRUE,"")</f>
        <v/>
      </c>
      <c r="C403" s="104" t="str" cm="1">
        <f t="array" ref="C403">_xlfn.IFS(AND(A403&gt;NumberOfPlots,ISBLANK(INDEX(PlotData,MATCH($A403,PlotNumber,0),MATCH(B$3,PlotTitles,0)))),"",ISBLANK(INDEX(PlotData,MATCH($A403,PlotNumber,0),MATCH(C$3,PlotTitles,0))),$AB$6,TRUE,"")</f>
        <v/>
      </c>
      <c r="D403" s="104" t="str" cm="1">
        <f t="array" ref="D403">_xlfn.IFS(AND(A403&gt;NumberOfPlots,ISBLANK(INDEX(PlotData,MATCH($A403,PlotNumber,0),MATCH(B$3,PlotTitles,0)))),"",ISBLANK(INDEX(PlotData,MATCH($A403,PlotNumber,0),MATCH(D$3,PlotTitles,0))),$AB$7,TRUE,"")</f>
        <v/>
      </c>
      <c r="E403" s="104" t="str" cm="1">
        <f t="array" ref="E403">_xlfn.IFS(AND(A403&gt;NumberOfPlots,ISBLANK(INDEX(PlotData,MATCH($A403,PlotNumber,0),MATCH(B$3,PlotTitles,0)))),"",ISBLANK(INDEX(PlotData,MATCH($A403,PlotNumber,0),MATCH(E$3,PlotTitles,0))),$AB$8,TRUE,"")</f>
        <v/>
      </c>
      <c r="F403" s="104" t="str" cm="1">
        <f t="array" ref="F403">_xlfn.IFS(AND(A403&gt;NumberOfPlots,ISBLANK(INDEX(PlotData,MATCH($A403,PlotNumber,0),MATCH(B$3,PlotTitles,0)))),"",ISBLANK(INDEX(PlotData,MATCH($A403,PlotNumber,0),MATCH(F$3,PlotTitles,0))),$AB$9,TRUE,"")</f>
        <v/>
      </c>
      <c r="G403" s="104" t="str" cm="1">
        <f t="array" ref="G403">_xlfn.IFS(AND(A403&gt;NumberOfPlots,ISBLANK(INDEX(PlotData,MATCH($A403,PlotNumber,0),MATCH(B$3,PlotTitles,0)))),"",ISBLANK(INDEX(PlotData,MATCH($A403,PlotNumber,0),MATCH(G$3,PlotTitles,0))),$AB$10,TRUE,"")</f>
        <v/>
      </c>
      <c r="H403" s="104" t="str" cm="1">
        <f t="array" ref="H403">_xlfn.IFS(AND(A403&gt;NumberOfPlots,ISBLANK(INDEX(PlotData,MATCH($A403,PlotNumber,0),MATCH(B$3,PlotTitles,0)))),"",AND(ISBLANK(INDEX(PlotData,MATCH($A403,PlotNumber,0),MATCH(H$3,PlotTitles,0)))=FALSE,INDEX(PlotData,MATCH($A403,PlotNumber,0),MATCH(H$3,PlotTitles,0))&lt;500), $AB$11,TRUE,"")</f>
        <v/>
      </c>
      <c r="I403" s="104" t="str" cm="1">
        <f t="array" ref="I403">_xlfn.IFS(AND(A403&gt;NumberOfPlots,ISBLANK(INDEX(PlotData,MATCH($A403,PlotNumber,0),MATCH(B$3,PlotTitles,0)))),"",ISBLANK(INDEX(PlotData,MATCH($A403,PlotNumber,0),MATCH(I$3,PlotTitles,0))),$AB$12,TRUE,"")</f>
        <v/>
      </c>
      <c r="J403" s="104" t="str" cm="1">
        <f t="array" ref="J403">_xlfn.IFS(AND(A403&gt;NumberOfPlots,ISBLANK(INDEX(PlotData,MATCH($A403,PlotNumber,0),MATCH(B$3,PlotTitles,0)))),"",ISBLANK(INDEX(PlotData,MATCH($A403,PlotNumber,0),MATCH(J$3,PlotTitles,0))),$AB$13,TRUE,"")</f>
        <v/>
      </c>
      <c r="K403" s="182" t="str">
        <f t="shared" ca="1" si="18"/>
        <v/>
      </c>
      <c r="L403" s="104" t="str" cm="1">
        <f t="array" ref="L403">_xlfn.IFS(OR(ISBLANK(StartDateMonth),ISBLANK(StartDateYear)),"",AND(A403&gt;NumberOfPlots,ISBLANK(INDEX(PlotData,MATCH($A403,PlotNumber,0),MATCH(B$3,PlotTitles,0)))),"",ISBLANK(INDEX(PlotData,MATCH($A403,PlotNumber,0),MATCH(I$3,PlotTitles,0))),"",(DATEVALUE(INDEX(PlotData,MATCH($A403,PlotNumber,0),MATCH(I$3,PlotTitles,0))&amp;INDEX(PlotData,MATCH($A403,PlotNumber,0),MATCH(J$3,PlotTitles,0))))&lt;DATEVALUE(StartDateMonth&amp;StartDateYear),$AB$15,TRUE,"")</f>
        <v/>
      </c>
      <c r="M403" s="104" t="str" cm="1">
        <f t="array" ref="M403">_xlfn.IFS(OR(ISBLANK(StartDateMonth),ISBLANK(StartDateYear)),"",AND(A403&gt;NumberOfPlots,ISBLANK(INDEX(PlotData,MATCH($A403,PlotNumber,0),MATCH(B$3,PlotTitles,0)))),"",ISBLANK(INDEX(PlotData,MATCH($A403,PlotNumber,0),MATCH(I$3,PlotTitles,0))),"",CompletionMonth="","",(DATEVALUE(INDEX(PlotData,MATCH($A403,PlotNumber,0),MATCH(I$3,PlotTitles,0))&amp;INDEX(PlotData,MATCH($A403,PlotNumber,0),MATCH(J$3,PlotTitles,0))))&gt;(DATEVALUE(CompletionMonth&amp;CompletionYear)),$AB$16,TRUE,"")</f>
        <v/>
      </c>
      <c r="N403" s="104" t="str" cm="1">
        <f t="array" ref="N403">_xlfn.IFS(AND(A403&gt;NumberOfPlots,ISBLANK(INDEX(PlotData,MATCH($A403,PlotNumber,0),MATCH(B$3,PlotTitles,0)))),"",ISBLANK(INDEX(PlotData,MATCH($A403,PlotNumber,0),MATCH(N$3,PlotTitles,0))),$AB$17,TRUE,"")</f>
        <v/>
      </c>
      <c r="O403" s="104" t="str" cm="1">
        <f t="array" ref="O403">_xlfn.IFS(AND(A403&gt;NumberOfPlots,ISBLANK(INDEX(PlotData,MATCH($A403,PlotNumber,0),MATCH(B$3,PlotTitles,0)))),"",ISBLANK(INDEX(PlotData,MATCH($A403,PlotNumber,0),MATCH(O$3,PlotTitles,0))),$AB$18,TRUE,"")</f>
        <v/>
      </c>
      <c r="P403" s="182" t="str">
        <f t="shared" ca="1" si="19"/>
        <v/>
      </c>
      <c r="Q403" s="104" t="str" cm="1">
        <f t="array" ref="Q403">_xlfn.IFS(AND(A403&gt;NumberOfPlots,ISBLANK(INDEX(PlotData,MATCH($A403,PlotNumber,0),MATCH(B$3,PlotTitles,0)))),"",ISBLANK(INDEX(PlotData,MATCH($A403,PlotNumber,0),MATCH(N$3,PlotTitles,0))),"",(DATEVALUE(INDEX(PlotData,MATCH($A403,PlotNumber,0),MATCH(N$3,PlotTitles,0))&amp;INDEX(PlotData,MATCH($A403,PlotNumber,0),MATCH(O$3,PlotTitles,0))))&lt;(DATEVALUE(INDEX(PlotData,MATCH($A403,PlotNumber,0),MATCH(I$3,PlotTitles,0))&amp;INDEX(PlotData,MATCH($A403,PlotNumber,0),MATCH(J$3,PlotTitles,0)))),$AB$20,TRUE,"")</f>
        <v/>
      </c>
      <c r="R403" s="104" t="str" cm="1">
        <f t="array" ref="R403">_xlfn.IFS(OR(ISBLANK(StartDateMonth),ISBLANK(StartDateYear)),"",AND(A403&gt;NumberOfPlots,ISBLANK(INDEX(PlotData,MATCH($A403,PlotNumber,0),MATCH(B$3,PlotTitles,0)))),"",ISBLANK(INDEX(PlotData,MATCH($A403,PlotNumber,0),MATCH(N$3,PlotTitles,0))),"",CompletionMonth="","",(DATEVALUE(INDEX(PlotData,MATCH($A403,PlotNumber,0),MATCH(N$3,PlotTitles,0))&amp;INDEX(PlotData,MATCH($A403,PlotNumber,0),MATCH(O$3,PlotTitles,0))))&gt;(DATEVALUE(CompletionMonth&amp;CompletionYear)),$AB$21,TRUE,"")</f>
        <v/>
      </c>
      <c r="S403" s="104" t="str" cm="1">
        <f t="array" ref="S403">_xlfn.IFS(AND(A403&gt;NumberOfPlots,ISBLANK(INDEX(PlotData,MATCH($A403,PlotNumber,0),MATCH(B$3,PlotTitles,0)))),"",OR(AND(INDEX(PlotData,MATCH($A403,PlotNumber,0),MATCH("Tenure",PlotTitles,0))="Open market housing",INDEX(PlotData,MATCH($A403,PlotNumber,0),MATCH("Tenure detail",PlotTitles,0))="Private rented sector"),INDEX(PlotData,MATCH($A403,PlotNumber,0),MATCH("Tenure",PlotTitles,0))="Affordable rent"),"",ISNUMBER(INDEX(PlotData,MATCH($A403,PlotNumber,0),MATCH(S$3,PlotTitles,0)))=FALSE, $AB$22,TRUE,"")</f>
        <v/>
      </c>
      <c r="T403" s="104" t="str" cm="1">
        <f t="array" ref="T403">_xlfn.IFS(AND(A403&gt;NumberOfPlots,ISBLANK(INDEX(PlotData,MATCH($A403,PlotNumber,0),MATCH(B$3,PlotTitles,0)))),"",OR(AND(INDEX(PlotData,MATCH($A403,PlotNumber,0),MATCH("Tenure",PlotTitles,0))="Open market housing",INDEX(PlotData,MATCH($A403,PlotNumber,0),MATCH("Tenure detail",PlotTitles,0))="Private rented sector"),INDEX(PlotData,MATCH($A403,PlotNumber,0),MATCH("Tenure",PlotTitles,0))="Affordable rent"),"",INDEX(PlotData,MATCH($A403,PlotNumber,0),MATCH(S$3,PlotTitles,0))&lt;10000, $AB$23,TRUE,"")</f>
        <v/>
      </c>
      <c r="U403" s="104" t="str" cm="1">
        <f t="array" ref="U403">_xlfn.IFS(AND(A403&gt;NumberOfPlots,ISBLANK(INDEX(PlotData,MATCH($A403,PlotNumber,0),MATCH(B$3,PlotTitles,0)))),"",NOT(OR(AND(INDEX(PlotData,MATCH($A403,PlotNumber,0),MATCH("Tenure",PlotTitles,0))="Open market housing",INDEX(PlotData,MATCH($A403,PlotNumber,0),MATCH("Tenure detail",PlotTitles,0))="Private rented sector"),INDEX(PlotData,MATCH($A403,PlotNumber,0),MATCH("Tenure",PlotTitles,0))="Affordable rent")),"",NOT(INDEX(PlotData,MATCH($A403,PlotNumber,0),MATCH(S$3,PlotTitles,0))=0), $AB$24,TRUE,"")</f>
        <v/>
      </c>
      <c r="V403" s="114" t="str" cm="1">
        <f t="array" aca="1" ref="V403" ca="1">_xlfn.IFS(ISBLANK(NumberOfPlots),"Enter the number of homes on the 1_SetUp sheet",AND(A403&gt;NumberOfPlots,ISBLANK(INDEX(PlotData,MATCH($A403,PlotNumber,0),MATCH(B$3,PlotTitles,0)))),"No error",NOT(B403=""),B403,NOT(C403=""),C403,NOT(D403=""),D403,NOT(E403=""),E403,NOT(F403=""),F403,NOT(G403=""),G403,NOT(H403=""),H403,NOT(I403=""),I403,NOT(J403=""),J403,NOT(K403=""),K403,NOT(L403=""),L403,NOT(M403=""),M403,NOT(N403=""),N403,NOT(O403=""),O403,NOT(P403=""),P403,NOT(Q403=""),Q403,NOT(R403=""),R403,NOT(S403=""),S403,NOT(T403=""),T403,NOT(U403=""),U403,TRUE,"No error")</f>
        <v>Enter the number of homes on the 1_SetUp sheet</v>
      </c>
      <c r="W403" s="114" t="str">
        <f t="shared" ca="1" si="20"/>
        <v xml:space="preserve">The Borrower has not addressed the following error messages for Home ID 399: </v>
      </c>
    </row>
    <row r="404" spans="1:23">
      <c r="A404" s="123">
        <v>400</v>
      </c>
      <c r="B404" s="104" t="str" cm="1">
        <f t="array" ref="B404">_xlfn.IFS(AND(A404&gt;NumberOfPlots,ISBLANK(INDEX(PlotData,MATCH($A404,PlotNumber,0),MATCH(B$3,PlotTitles,0)))),"",ISNUMBER(INDEX(PlotData,MATCH($A404,PlotNumber,0),MATCH(B$3,PlotTitles,0)))=FALSE, $AB$5,TRUE,"")</f>
        <v/>
      </c>
      <c r="C404" s="104" t="str" cm="1">
        <f t="array" ref="C404">_xlfn.IFS(AND(A404&gt;NumberOfPlots,ISBLANK(INDEX(PlotData,MATCH($A404,PlotNumber,0),MATCH(B$3,PlotTitles,0)))),"",ISBLANK(INDEX(PlotData,MATCH($A404,PlotNumber,0),MATCH(C$3,PlotTitles,0))),$AB$6,TRUE,"")</f>
        <v/>
      </c>
      <c r="D404" s="104" t="str" cm="1">
        <f t="array" ref="D404">_xlfn.IFS(AND(A404&gt;NumberOfPlots,ISBLANK(INDEX(PlotData,MATCH($A404,PlotNumber,0),MATCH(B$3,PlotTitles,0)))),"",ISBLANK(INDEX(PlotData,MATCH($A404,PlotNumber,0),MATCH(D$3,PlotTitles,0))),$AB$7,TRUE,"")</f>
        <v/>
      </c>
      <c r="E404" s="104" t="str" cm="1">
        <f t="array" ref="E404">_xlfn.IFS(AND(A404&gt;NumberOfPlots,ISBLANK(INDEX(PlotData,MATCH($A404,PlotNumber,0),MATCH(B$3,PlotTitles,0)))),"",ISBLANK(INDEX(PlotData,MATCH($A404,PlotNumber,0),MATCH(E$3,PlotTitles,0))),$AB$8,TRUE,"")</f>
        <v/>
      </c>
      <c r="F404" s="104" t="str" cm="1">
        <f t="array" ref="F404">_xlfn.IFS(AND(A404&gt;NumberOfPlots,ISBLANK(INDEX(PlotData,MATCH($A404,PlotNumber,0),MATCH(B$3,PlotTitles,0)))),"",ISBLANK(INDEX(PlotData,MATCH($A404,PlotNumber,0),MATCH(F$3,PlotTitles,0))),$AB$9,TRUE,"")</f>
        <v/>
      </c>
      <c r="G404" s="104" t="str" cm="1">
        <f t="array" ref="G404">_xlfn.IFS(AND(A404&gt;NumberOfPlots,ISBLANK(INDEX(PlotData,MATCH($A404,PlotNumber,0),MATCH(B$3,PlotTitles,0)))),"",ISBLANK(INDEX(PlotData,MATCH($A404,PlotNumber,0),MATCH(G$3,PlotTitles,0))),$AB$10,TRUE,"")</f>
        <v/>
      </c>
      <c r="H404" s="104" t="str" cm="1">
        <f t="array" ref="H404">_xlfn.IFS(AND(A404&gt;NumberOfPlots,ISBLANK(INDEX(PlotData,MATCH($A404,PlotNumber,0),MATCH(B$3,PlotTitles,0)))),"",AND(ISBLANK(INDEX(PlotData,MATCH($A404,PlotNumber,0),MATCH(H$3,PlotTitles,0)))=FALSE,INDEX(PlotData,MATCH($A404,PlotNumber,0),MATCH(H$3,PlotTitles,0))&lt;500), $AB$11,TRUE,"")</f>
        <v/>
      </c>
      <c r="I404" s="104" t="str" cm="1">
        <f t="array" ref="I404">_xlfn.IFS(AND(A404&gt;NumberOfPlots,ISBLANK(INDEX(PlotData,MATCH($A404,PlotNumber,0),MATCH(B$3,PlotTitles,0)))),"",ISBLANK(INDEX(PlotData,MATCH($A404,PlotNumber,0),MATCH(I$3,PlotTitles,0))),$AB$12,TRUE,"")</f>
        <v/>
      </c>
      <c r="J404" s="104" t="str" cm="1">
        <f t="array" ref="J404">_xlfn.IFS(AND(A404&gt;NumberOfPlots,ISBLANK(INDEX(PlotData,MATCH($A404,PlotNumber,0),MATCH(B$3,PlotTitles,0)))),"",ISBLANK(INDEX(PlotData,MATCH($A404,PlotNumber,0),MATCH(J$3,PlotTitles,0))),$AB$13,TRUE,"")</f>
        <v/>
      </c>
      <c r="K404" s="182" t="str">
        <f t="shared" ca="1" si="18"/>
        <v/>
      </c>
      <c r="L404" s="104" t="str" cm="1">
        <f t="array" ref="L404">_xlfn.IFS(OR(ISBLANK(StartDateMonth),ISBLANK(StartDateYear)),"",AND(A404&gt;NumberOfPlots,ISBLANK(INDEX(PlotData,MATCH($A404,PlotNumber,0),MATCH(B$3,PlotTitles,0)))),"",ISBLANK(INDEX(PlotData,MATCH($A404,PlotNumber,0),MATCH(I$3,PlotTitles,0))),"",(DATEVALUE(INDEX(PlotData,MATCH($A404,PlotNumber,0),MATCH(I$3,PlotTitles,0))&amp;INDEX(PlotData,MATCH($A404,PlotNumber,0),MATCH(J$3,PlotTitles,0))))&lt;DATEVALUE(StartDateMonth&amp;StartDateYear),$AB$15,TRUE,"")</f>
        <v/>
      </c>
      <c r="M404" s="104" t="str" cm="1">
        <f t="array" ref="M404">_xlfn.IFS(OR(ISBLANK(StartDateMonth),ISBLANK(StartDateYear)),"",AND(A404&gt;NumberOfPlots,ISBLANK(INDEX(PlotData,MATCH($A404,PlotNumber,0),MATCH(B$3,PlotTitles,0)))),"",ISBLANK(INDEX(PlotData,MATCH($A404,PlotNumber,0),MATCH(I$3,PlotTitles,0))),"",CompletionMonth="","",(DATEVALUE(INDEX(PlotData,MATCH($A404,PlotNumber,0),MATCH(I$3,PlotTitles,0))&amp;INDEX(PlotData,MATCH($A404,PlotNumber,0),MATCH(J$3,PlotTitles,0))))&gt;(DATEVALUE(CompletionMonth&amp;CompletionYear)),$AB$16,TRUE,"")</f>
        <v/>
      </c>
      <c r="N404" s="104" t="str" cm="1">
        <f t="array" ref="N404">_xlfn.IFS(AND(A404&gt;NumberOfPlots,ISBLANK(INDEX(PlotData,MATCH($A404,PlotNumber,0),MATCH(B$3,PlotTitles,0)))),"",ISBLANK(INDEX(PlotData,MATCH($A404,PlotNumber,0),MATCH(N$3,PlotTitles,0))),$AB$17,TRUE,"")</f>
        <v/>
      </c>
      <c r="O404" s="104" t="str" cm="1">
        <f t="array" ref="O404">_xlfn.IFS(AND(A404&gt;NumberOfPlots,ISBLANK(INDEX(PlotData,MATCH($A404,PlotNumber,0),MATCH(B$3,PlotTitles,0)))),"",ISBLANK(INDEX(PlotData,MATCH($A404,PlotNumber,0),MATCH(O$3,PlotTitles,0))),$AB$18,TRUE,"")</f>
        <v/>
      </c>
      <c r="P404" s="182" t="str">
        <f t="shared" ca="1" si="19"/>
        <v/>
      </c>
      <c r="Q404" s="104" t="str" cm="1">
        <f t="array" ref="Q404">_xlfn.IFS(AND(A404&gt;NumberOfPlots,ISBLANK(INDEX(PlotData,MATCH($A404,PlotNumber,0),MATCH(B$3,PlotTitles,0)))),"",ISBLANK(INDEX(PlotData,MATCH($A404,PlotNumber,0),MATCH(N$3,PlotTitles,0))),"",(DATEVALUE(INDEX(PlotData,MATCH($A404,PlotNumber,0),MATCH(N$3,PlotTitles,0))&amp;INDEX(PlotData,MATCH($A404,PlotNumber,0),MATCH(O$3,PlotTitles,0))))&lt;(DATEVALUE(INDEX(PlotData,MATCH($A404,PlotNumber,0),MATCH(I$3,PlotTitles,0))&amp;INDEX(PlotData,MATCH($A404,PlotNumber,0),MATCH(J$3,PlotTitles,0)))),$AB$20,TRUE,"")</f>
        <v/>
      </c>
      <c r="R404" s="104" t="str" cm="1">
        <f t="array" ref="R404">_xlfn.IFS(OR(ISBLANK(StartDateMonth),ISBLANK(StartDateYear)),"",AND(A404&gt;NumberOfPlots,ISBLANK(INDEX(PlotData,MATCH($A404,PlotNumber,0),MATCH(B$3,PlotTitles,0)))),"",ISBLANK(INDEX(PlotData,MATCH($A404,PlotNumber,0),MATCH(N$3,PlotTitles,0))),"",CompletionMonth="","",(DATEVALUE(INDEX(PlotData,MATCH($A404,PlotNumber,0),MATCH(N$3,PlotTitles,0))&amp;INDEX(PlotData,MATCH($A404,PlotNumber,0),MATCH(O$3,PlotTitles,0))))&gt;(DATEVALUE(CompletionMonth&amp;CompletionYear)),$AB$21,TRUE,"")</f>
        <v/>
      </c>
      <c r="S404" s="104" t="str" cm="1">
        <f t="array" ref="S404">_xlfn.IFS(AND(A404&gt;NumberOfPlots,ISBLANK(INDEX(PlotData,MATCH($A404,PlotNumber,0),MATCH(B$3,PlotTitles,0)))),"",OR(AND(INDEX(PlotData,MATCH($A404,PlotNumber,0),MATCH("Tenure",PlotTitles,0))="Open market housing",INDEX(PlotData,MATCH($A404,PlotNumber,0),MATCH("Tenure detail",PlotTitles,0))="Private rented sector"),INDEX(PlotData,MATCH($A404,PlotNumber,0),MATCH("Tenure",PlotTitles,0))="Affordable rent"),"",ISNUMBER(INDEX(PlotData,MATCH($A404,PlotNumber,0),MATCH(S$3,PlotTitles,0)))=FALSE, $AB$22,TRUE,"")</f>
        <v/>
      </c>
      <c r="T404" s="104" t="str" cm="1">
        <f t="array" ref="T404">_xlfn.IFS(AND(A404&gt;NumberOfPlots,ISBLANK(INDEX(PlotData,MATCH($A404,PlotNumber,0),MATCH(B$3,PlotTitles,0)))),"",OR(AND(INDEX(PlotData,MATCH($A404,PlotNumber,0),MATCH("Tenure",PlotTitles,0))="Open market housing",INDEX(PlotData,MATCH($A404,PlotNumber,0),MATCH("Tenure detail",PlotTitles,0))="Private rented sector"),INDEX(PlotData,MATCH($A404,PlotNumber,0),MATCH("Tenure",PlotTitles,0))="Affordable rent"),"",INDEX(PlotData,MATCH($A404,PlotNumber,0),MATCH(S$3,PlotTitles,0))&lt;10000, $AB$23,TRUE,"")</f>
        <v/>
      </c>
      <c r="U404" s="104" t="str" cm="1">
        <f t="array" ref="U404">_xlfn.IFS(AND(A404&gt;NumberOfPlots,ISBLANK(INDEX(PlotData,MATCH($A404,PlotNumber,0),MATCH(B$3,PlotTitles,0)))),"",NOT(OR(AND(INDEX(PlotData,MATCH($A404,PlotNumber,0),MATCH("Tenure",PlotTitles,0))="Open market housing",INDEX(PlotData,MATCH($A404,PlotNumber,0),MATCH("Tenure detail",PlotTitles,0))="Private rented sector"),INDEX(PlotData,MATCH($A404,PlotNumber,0),MATCH("Tenure",PlotTitles,0))="Affordable rent")),"",NOT(INDEX(PlotData,MATCH($A404,PlotNumber,0),MATCH(S$3,PlotTitles,0))=0), $AB$24,TRUE,"")</f>
        <v/>
      </c>
      <c r="V404" s="114" t="str" cm="1">
        <f t="array" aca="1" ref="V404" ca="1">_xlfn.IFS(ISBLANK(NumberOfPlots),"Enter the number of homes on the 1_SetUp sheet",AND(A404&gt;NumberOfPlots,ISBLANK(INDEX(PlotData,MATCH($A404,PlotNumber,0),MATCH(B$3,PlotTitles,0)))),"No error",NOT(B404=""),B404,NOT(C404=""),C404,NOT(D404=""),D404,NOT(E404=""),E404,NOT(F404=""),F404,NOT(G404=""),G404,NOT(H404=""),H404,NOT(I404=""),I404,NOT(J404=""),J404,NOT(K404=""),K404,NOT(L404=""),L404,NOT(M404=""),M404,NOT(N404=""),N404,NOT(O404=""),O404,NOT(P404=""),P404,NOT(Q404=""),Q404,NOT(R404=""),R404,NOT(S404=""),S404,NOT(T404=""),T404,NOT(U404=""),U404,TRUE,"No error")</f>
        <v>Enter the number of homes on the 1_SetUp sheet</v>
      </c>
      <c r="W404" s="114" t="str">
        <f t="shared" ca="1" si="20"/>
        <v xml:space="preserve">The Borrower has not addressed the following error messages for Home ID 400: </v>
      </c>
    </row>
    <row r="405" spans="1:23">
      <c r="A405" s="123">
        <v>401</v>
      </c>
      <c r="B405" s="104" t="str" cm="1">
        <f t="array" ref="B405">_xlfn.IFS(AND(A405&gt;NumberOfPlots,ISBLANK(INDEX(PlotData,MATCH($A405,PlotNumber,0),MATCH(B$3,PlotTitles,0)))),"",ISNUMBER(INDEX(PlotData,MATCH($A405,PlotNumber,0),MATCH(B$3,PlotTitles,0)))=FALSE, $AB$5,TRUE,"")</f>
        <v/>
      </c>
      <c r="C405" s="104" t="str" cm="1">
        <f t="array" ref="C405">_xlfn.IFS(AND(A405&gt;NumberOfPlots,ISBLANK(INDEX(PlotData,MATCH($A405,PlotNumber,0),MATCH(B$3,PlotTitles,0)))),"",ISBLANK(INDEX(PlotData,MATCH($A405,PlotNumber,0),MATCH(C$3,PlotTitles,0))),$AB$6,TRUE,"")</f>
        <v/>
      </c>
      <c r="D405" s="104" t="str" cm="1">
        <f t="array" ref="D405">_xlfn.IFS(AND(A405&gt;NumberOfPlots,ISBLANK(INDEX(PlotData,MATCH($A405,PlotNumber,0),MATCH(B$3,PlotTitles,0)))),"",ISBLANK(INDEX(PlotData,MATCH($A405,PlotNumber,0),MATCH(D$3,PlotTitles,0))),$AB$7,TRUE,"")</f>
        <v/>
      </c>
      <c r="E405" s="104" t="str" cm="1">
        <f t="array" ref="E405">_xlfn.IFS(AND(A405&gt;NumberOfPlots,ISBLANK(INDEX(PlotData,MATCH($A405,PlotNumber,0),MATCH(B$3,PlotTitles,0)))),"",ISBLANK(INDEX(PlotData,MATCH($A405,PlotNumber,0),MATCH(E$3,PlotTitles,0))),$AB$8,TRUE,"")</f>
        <v/>
      </c>
      <c r="F405" s="104" t="str" cm="1">
        <f t="array" ref="F405">_xlfn.IFS(AND(A405&gt;NumberOfPlots,ISBLANK(INDEX(PlotData,MATCH($A405,PlotNumber,0),MATCH(B$3,PlotTitles,0)))),"",ISBLANK(INDEX(PlotData,MATCH($A405,PlotNumber,0),MATCH(F$3,PlotTitles,0))),$AB$9,TRUE,"")</f>
        <v/>
      </c>
      <c r="G405" s="104" t="str" cm="1">
        <f t="array" ref="G405">_xlfn.IFS(AND(A405&gt;NumberOfPlots,ISBLANK(INDEX(PlotData,MATCH($A405,PlotNumber,0),MATCH(B$3,PlotTitles,0)))),"",ISBLANK(INDEX(PlotData,MATCH($A405,PlotNumber,0),MATCH(G$3,PlotTitles,0))),$AB$10,TRUE,"")</f>
        <v/>
      </c>
      <c r="H405" s="104" t="str" cm="1">
        <f t="array" ref="H405">_xlfn.IFS(AND(A405&gt;NumberOfPlots,ISBLANK(INDEX(PlotData,MATCH($A405,PlotNumber,0),MATCH(B$3,PlotTitles,0)))),"",AND(ISBLANK(INDEX(PlotData,MATCH($A405,PlotNumber,0),MATCH(H$3,PlotTitles,0)))=FALSE,INDEX(PlotData,MATCH($A405,PlotNumber,0),MATCH(H$3,PlotTitles,0))&lt;500), $AB$11,TRUE,"")</f>
        <v/>
      </c>
      <c r="I405" s="104" t="str" cm="1">
        <f t="array" ref="I405">_xlfn.IFS(AND(A405&gt;NumberOfPlots,ISBLANK(INDEX(PlotData,MATCH($A405,PlotNumber,0),MATCH(B$3,PlotTitles,0)))),"",ISBLANK(INDEX(PlotData,MATCH($A405,PlotNumber,0),MATCH(I$3,PlotTitles,0))),$AB$12,TRUE,"")</f>
        <v/>
      </c>
      <c r="J405" s="104" t="str" cm="1">
        <f t="array" ref="J405">_xlfn.IFS(AND(A405&gt;NumberOfPlots,ISBLANK(INDEX(PlotData,MATCH($A405,PlotNumber,0),MATCH(B$3,PlotTitles,0)))),"",ISBLANK(INDEX(PlotData,MATCH($A405,PlotNumber,0),MATCH(J$3,PlotTitles,0))),$AB$13,TRUE,"")</f>
        <v/>
      </c>
      <c r="K405" s="182" t="str">
        <f t="shared" ca="1" si="18"/>
        <v/>
      </c>
      <c r="L405" s="104" t="str" cm="1">
        <f t="array" ref="L405">_xlfn.IFS(OR(ISBLANK(StartDateMonth),ISBLANK(StartDateYear)),"",AND(A405&gt;NumberOfPlots,ISBLANK(INDEX(PlotData,MATCH($A405,PlotNumber,0),MATCH(B$3,PlotTitles,0)))),"",ISBLANK(INDEX(PlotData,MATCH($A405,PlotNumber,0),MATCH(I$3,PlotTitles,0))),"",(DATEVALUE(INDEX(PlotData,MATCH($A405,PlotNumber,0),MATCH(I$3,PlotTitles,0))&amp;INDEX(PlotData,MATCH($A405,PlotNumber,0),MATCH(J$3,PlotTitles,0))))&lt;DATEVALUE(StartDateMonth&amp;StartDateYear),$AB$15,TRUE,"")</f>
        <v/>
      </c>
      <c r="M405" s="104" t="str" cm="1">
        <f t="array" ref="M405">_xlfn.IFS(OR(ISBLANK(StartDateMonth),ISBLANK(StartDateYear)),"",AND(A405&gt;NumberOfPlots,ISBLANK(INDEX(PlotData,MATCH($A405,PlotNumber,0),MATCH(B$3,PlotTitles,0)))),"",ISBLANK(INDEX(PlotData,MATCH($A405,PlotNumber,0),MATCH(I$3,PlotTitles,0))),"",CompletionMonth="","",(DATEVALUE(INDEX(PlotData,MATCH($A405,PlotNumber,0),MATCH(I$3,PlotTitles,0))&amp;INDEX(PlotData,MATCH($A405,PlotNumber,0),MATCH(J$3,PlotTitles,0))))&gt;(DATEVALUE(CompletionMonth&amp;CompletionYear)),$AB$16,TRUE,"")</f>
        <v/>
      </c>
      <c r="N405" s="104" t="str" cm="1">
        <f t="array" ref="N405">_xlfn.IFS(AND(A405&gt;NumberOfPlots,ISBLANK(INDEX(PlotData,MATCH($A405,PlotNumber,0),MATCH(B$3,PlotTitles,0)))),"",ISBLANK(INDEX(PlotData,MATCH($A405,PlotNumber,0),MATCH(N$3,PlotTitles,0))),$AB$17,TRUE,"")</f>
        <v/>
      </c>
      <c r="O405" s="104" t="str" cm="1">
        <f t="array" ref="O405">_xlfn.IFS(AND(A405&gt;NumberOfPlots,ISBLANK(INDEX(PlotData,MATCH($A405,PlotNumber,0),MATCH(B$3,PlotTitles,0)))),"",ISBLANK(INDEX(PlotData,MATCH($A405,PlotNumber,0),MATCH(O$3,PlotTitles,0))),$AB$18,TRUE,"")</f>
        <v/>
      </c>
      <c r="P405" s="182" t="str">
        <f t="shared" ca="1" si="19"/>
        <v/>
      </c>
      <c r="Q405" s="104" t="str" cm="1">
        <f t="array" ref="Q405">_xlfn.IFS(AND(A405&gt;NumberOfPlots,ISBLANK(INDEX(PlotData,MATCH($A405,PlotNumber,0),MATCH(B$3,PlotTitles,0)))),"",ISBLANK(INDEX(PlotData,MATCH($A405,PlotNumber,0),MATCH(N$3,PlotTitles,0))),"",(DATEVALUE(INDEX(PlotData,MATCH($A405,PlotNumber,0),MATCH(N$3,PlotTitles,0))&amp;INDEX(PlotData,MATCH($A405,PlotNumber,0),MATCH(O$3,PlotTitles,0))))&lt;(DATEVALUE(INDEX(PlotData,MATCH($A405,PlotNumber,0),MATCH(I$3,PlotTitles,0))&amp;INDEX(PlotData,MATCH($A405,PlotNumber,0),MATCH(J$3,PlotTitles,0)))),$AB$20,TRUE,"")</f>
        <v/>
      </c>
      <c r="R405" s="104" t="str" cm="1">
        <f t="array" ref="R405">_xlfn.IFS(OR(ISBLANK(StartDateMonth),ISBLANK(StartDateYear)),"",AND(A405&gt;NumberOfPlots,ISBLANK(INDEX(PlotData,MATCH($A405,PlotNumber,0),MATCH(B$3,PlotTitles,0)))),"",ISBLANK(INDEX(PlotData,MATCH($A405,PlotNumber,0),MATCH(N$3,PlotTitles,0))),"",CompletionMonth="","",(DATEVALUE(INDEX(PlotData,MATCH($A405,PlotNumber,0),MATCH(N$3,PlotTitles,0))&amp;INDEX(PlotData,MATCH($A405,PlotNumber,0),MATCH(O$3,PlotTitles,0))))&gt;(DATEVALUE(CompletionMonth&amp;CompletionYear)),$AB$21,TRUE,"")</f>
        <v/>
      </c>
      <c r="S405" s="104" t="str" cm="1">
        <f t="array" ref="S405">_xlfn.IFS(AND(A405&gt;NumberOfPlots,ISBLANK(INDEX(PlotData,MATCH($A405,PlotNumber,0),MATCH(B$3,PlotTitles,0)))),"",OR(AND(INDEX(PlotData,MATCH($A405,PlotNumber,0),MATCH("Tenure",PlotTitles,0))="Open market housing",INDEX(PlotData,MATCH($A405,PlotNumber,0),MATCH("Tenure detail",PlotTitles,0))="Private rented sector"),INDEX(PlotData,MATCH($A405,PlotNumber,0),MATCH("Tenure",PlotTitles,0))="Affordable rent"),"",ISNUMBER(INDEX(PlotData,MATCH($A405,PlotNumber,0),MATCH(S$3,PlotTitles,0)))=FALSE, $AB$22,TRUE,"")</f>
        <v/>
      </c>
      <c r="T405" s="104" t="str" cm="1">
        <f t="array" ref="T405">_xlfn.IFS(AND(A405&gt;NumberOfPlots,ISBLANK(INDEX(PlotData,MATCH($A405,PlotNumber,0),MATCH(B$3,PlotTitles,0)))),"",OR(AND(INDEX(PlotData,MATCH($A405,PlotNumber,0),MATCH("Tenure",PlotTitles,0))="Open market housing",INDEX(PlotData,MATCH($A405,PlotNumber,0),MATCH("Tenure detail",PlotTitles,0))="Private rented sector"),INDEX(PlotData,MATCH($A405,PlotNumber,0),MATCH("Tenure",PlotTitles,0))="Affordable rent"),"",INDEX(PlotData,MATCH($A405,PlotNumber,0),MATCH(S$3,PlotTitles,0))&lt;10000, $AB$23,TRUE,"")</f>
        <v/>
      </c>
      <c r="U405" s="104" t="str" cm="1">
        <f t="array" ref="U405">_xlfn.IFS(AND(A405&gt;NumberOfPlots,ISBLANK(INDEX(PlotData,MATCH($A405,PlotNumber,0),MATCH(B$3,PlotTitles,0)))),"",NOT(OR(AND(INDEX(PlotData,MATCH($A405,PlotNumber,0),MATCH("Tenure",PlotTitles,0))="Open market housing",INDEX(PlotData,MATCH($A405,PlotNumber,0),MATCH("Tenure detail",PlotTitles,0))="Private rented sector"),INDEX(PlotData,MATCH($A405,PlotNumber,0),MATCH("Tenure",PlotTitles,0))="Affordable rent")),"",NOT(INDEX(PlotData,MATCH($A405,PlotNumber,0),MATCH(S$3,PlotTitles,0))=0), $AB$24,TRUE,"")</f>
        <v/>
      </c>
      <c r="V405" s="114" t="str" cm="1">
        <f t="array" aca="1" ref="V405" ca="1">_xlfn.IFS(ISBLANK(NumberOfPlots),"Enter the number of homes on the 1_SetUp sheet",AND(A405&gt;NumberOfPlots,ISBLANK(INDEX(PlotData,MATCH($A405,PlotNumber,0),MATCH(B$3,PlotTitles,0)))),"No error",NOT(B405=""),B405,NOT(C405=""),C405,NOT(D405=""),D405,NOT(E405=""),E405,NOT(F405=""),F405,NOT(G405=""),G405,NOT(H405=""),H405,NOT(I405=""),I405,NOT(J405=""),J405,NOT(K405=""),K405,NOT(L405=""),L405,NOT(M405=""),M405,NOT(N405=""),N405,NOT(O405=""),O405,NOT(P405=""),P405,NOT(Q405=""),Q405,NOT(R405=""),R405,NOT(S405=""),S405,NOT(T405=""),T405,NOT(U405=""),U405,TRUE,"No error")</f>
        <v>Enter the number of homes on the 1_SetUp sheet</v>
      </c>
      <c r="W405" s="114" t="str">
        <f t="shared" ca="1" si="20"/>
        <v xml:space="preserve">The Borrower has not addressed the following error messages for Home ID 401: </v>
      </c>
    </row>
    <row r="406" spans="1:23">
      <c r="A406" s="123">
        <v>402</v>
      </c>
      <c r="B406" s="104" t="str" cm="1">
        <f t="array" ref="B406">_xlfn.IFS(AND(A406&gt;NumberOfPlots,ISBLANK(INDEX(PlotData,MATCH($A406,PlotNumber,0),MATCH(B$3,PlotTitles,0)))),"",ISNUMBER(INDEX(PlotData,MATCH($A406,PlotNumber,0),MATCH(B$3,PlotTitles,0)))=FALSE, $AB$5,TRUE,"")</f>
        <v/>
      </c>
      <c r="C406" s="104" t="str" cm="1">
        <f t="array" ref="C406">_xlfn.IFS(AND(A406&gt;NumberOfPlots,ISBLANK(INDEX(PlotData,MATCH($A406,PlotNumber,0),MATCH(B$3,PlotTitles,0)))),"",ISBLANK(INDEX(PlotData,MATCH($A406,PlotNumber,0),MATCH(C$3,PlotTitles,0))),$AB$6,TRUE,"")</f>
        <v/>
      </c>
      <c r="D406" s="104" t="str" cm="1">
        <f t="array" ref="D406">_xlfn.IFS(AND(A406&gt;NumberOfPlots,ISBLANK(INDEX(PlotData,MATCH($A406,PlotNumber,0),MATCH(B$3,PlotTitles,0)))),"",ISBLANK(INDEX(PlotData,MATCH($A406,PlotNumber,0),MATCH(D$3,PlotTitles,0))),$AB$7,TRUE,"")</f>
        <v/>
      </c>
      <c r="E406" s="104" t="str" cm="1">
        <f t="array" ref="E406">_xlfn.IFS(AND(A406&gt;NumberOfPlots,ISBLANK(INDEX(PlotData,MATCH($A406,PlotNumber,0),MATCH(B$3,PlotTitles,0)))),"",ISBLANK(INDEX(PlotData,MATCH($A406,PlotNumber,0),MATCH(E$3,PlotTitles,0))),$AB$8,TRUE,"")</f>
        <v/>
      </c>
      <c r="F406" s="104" t="str" cm="1">
        <f t="array" ref="F406">_xlfn.IFS(AND(A406&gt;NumberOfPlots,ISBLANK(INDEX(PlotData,MATCH($A406,PlotNumber,0),MATCH(B$3,PlotTitles,0)))),"",ISBLANK(INDEX(PlotData,MATCH($A406,PlotNumber,0),MATCH(F$3,PlotTitles,0))),$AB$9,TRUE,"")</f>
        <v/>
      </c>
      <c r="G406" s="104" t="str" cm="1">
        <f t="array" ref="G406">_xlfn.IFS(AND(A406&gt;NumberOfPlots,ISBLANK(INDEX(PlotData,MATCH($A406,PlotNumber,0),MATCH(B$3,PlotTitles,0)))),"",ISBLANK(INDEX(PlotData,MATCH($A406,PlotNumber,0),MATCH(G$3,PlotTitles,0))),$AB$10,TRUE,"")</f>
        <v/>
      </c>
      <c r="H406" s="104" t="str" cm="1">
        <f t="array" ref="H406">_xlfn.IFS(AND(A406&gt;NumberOfPlots,ISBLANK(INDEX(PlotData,MATCH($A406,PlotNumber,0),MATCH(B$3,PlotTitles,0)))),"",AND(ISBLANK(INDEX(PlotData,MATCH($A406,PlotNumber,0),MATCH(H$3,PlotTitles,0)))=FALSE,INDEX(PlotData,MATCH($A406,PlotNumber,0),MATCH(H$3,PlotTitles,0))&lt;500), $AB$11,TRUE,"")</f>
        <v/>
      </c>
      <c r="I406" s="104" t="str" cm="1">
        <f t="array" ref="I406">_xlfn.IFS(AND(A406&gt;NumberOfPlots,ISBLANK(INDEX(PlotData,MATCH($A406,PlotNumber,0),MATCH(B$3,PlotTitles,0)))),"",ISBLANK(INDEX(PlotData,MATCH($A406,PlotNumber,0),MATCH(I$3,PlotTitles,0))),$AB$12,TRUE,"")</f>
        <v/>
      </c>
      <c r="J406" s="104" t="str" cm="1">
        <f t="array" ref="J406">_xlfn.IFS(AND(A406&gt;NumberOfPlots,ISBLANK(INDEX(PlotData,MATCH($A406,PlotNumber,0),MATCH(B$3,PlotTitles,0)))),"",ISBLANK(INDEX(PlotData,MATCH($A406,PlotNumber,0),MATCH(J$3,PlotTitles,0))),$AB$13,TRUE,"")</f>
        <v/>
      </c>
      <c r="K406" s="182" t="str">
        <f t="shared" ca="1" si="18"/>
        <v/>
      </c>
      <c r="L406" s="104" t="str" cm="1">
        <f t="array" ref="L406">_xlfn.IFS(OR(ISBLANK(StartDateMonth),ISBLANK(StartDateYear)),"",AND(A406&gt;NumberOfPlots,ISBLANK(INDEX(PlotData,MATCH($A406,PlotNumber,0),MATCH(B$3,PlotTitles,0)))),"",ISBLANK(INDEX(PlotData,MATCH($A406,PlotNumber,0),MATCH(I$3,PlotTitles,0))),"",(DATEVALUE(INDEX(PlotData,MATCH($A406,PlotNumber,0),MATCH(I$3,PlotTitles,0))&amp;INDEX(PlotData,MATCH($A406,PlotNumber,0),MATCH(J$3,PlotTitles,0))))&lt;DATEVALUE(StartDateMonth&amp;StartDateYear),$AB$15,TRUE,"")</f>
        <v/>
      </c>
      <c r="M406" s="104" t="str" cm="1">
        <f t="array" ref="M406">_xlfn.IFS(OR(ISBLANK(StartDateMonth),ISBLANK(StartDateYear)),"",AND(A406&gt;NumberOfPlots,ISBLANK(INDEX(PlotData,MATCH($A406,PlotNumber,0),MATCH(B$3,PlotTitles,0)))),"",ISBLANK(INDEX(PlotData,MATCH($A406,PlotNumber,0),MATCH(I$3,PlotTitles,0))),"",CompletionMonth="","",(DATEVALUE(INDEX(PlotData,MATCH($A406,PlotNumber,0),MATCH(I$3,PlotTitles,0))&amp;INDEX(PlotData,MATCH($A406,PlotNumber,0),MATCH(J$3,PlotTitles,0))))&gt;(DATEVALUE(CompletionMonth&amp;CompletionYear)),$AB$16,TRUE,"")</f>
        <v/>
      </c>
      <c r="N406" s="104" t="str" cm="1">
        <f t="array" ref="N406">_xlfn.IFS(AND(A406&gt;NumberOfPlots,ISBLANK(INDEX(PlotData,MATCH($A406,PlotNumber,0),MATCH(B$3,PlotTitles,0)))),"",ISBLANK(INDEX(PlotData,MATCH($A406,PlotNumber,0),MATCH(N$3,PlotTitles,0))),$AB$17,TRUE,"")</f>
        <v/>
      </c>
      <c r="O406" s="104" t="str" cm="1">
        <f t="array" ref="O406">_xlfn.IFS(AND(A406&gt;NumberOfPlots,ISBLANK(INDEX(PlotData,MATCH($A406,PlotNumber,0),MATCH(B$3,PlotTitles,0)))),"",ISBLANK(INDEX(PlotData,MATCH($A406,PlotNumber,0),MATCH(O$3,PlotTitles,0))),$AB$18,TRUE,"")</f>
        <v/>
      </c>
      <c r="P406" s="182" t="str">
        <f t="shared" ca="1" si="19"/>
        <v/>
      </c>
      <c r="Q406" s="104" t="str" cm="1">
        <f t="array" ref="Q406">_xlfn.IFS(AND(A406&gt;NumberOfPlots,ISBLANK(INDEX(PlotData,MATCH($A406,PlotNumber,0),MATCH(B$3,PlotTitles,0)))),"",ISBLANK(INDEX(PlotData,MATCH($A406,PlotNumber,0),MATCH(N$3,PlotTitles,0))),"",(DATEVALUE(INDEX(PlotData,MATCH($A406,PlotNumber,0),MATCH(N$3,PlotTitles,0))&amp;INDEX(PlotData,MATCH($A406,PlotNumber,0),MATCH(O$3,PlotTitles,0))))&lt;(DATEVALUE(INDEX(PlotData,MATCH($A406,PlotNumber,0),MATCH(I$3,PlotTitles,0))&amp;INDEX(PlotData,MATCH($A406,PlotNumber,0),MATCH(J$3,PlotTitles,0)))),$AB$20,TRUE,"")</f>
        <v/>
      </c>
      <c r="R406" s="104" t="str" cm="1">
        <f t="array" ref="R406">_xlfn.IFS(OR(ISBLANK(StartDateMonth),ISBLANK(StartDateYear)),"",AND(A406&gt;NumberOfPlots,ISBLANK(INDEX(PlotData,MATCH($A406,PlotNumber,0),MATCH(B$3,PlotTitles,0)))),"",ISBLANK(INDEX(PlotData,MATCH($A406,PlotNumber,0),MATCH(N$3,PlotTitles,0))),"",CompletionMonth="","",(DATEVALUE(INDEX(PlotData,MATCH($A406,PlotNumber,0),MATCH(N$3,PlotTitles,0))&amp;INDEX(PlotData,MATCH($A406,PlotNumber,0),MATCH(O$3,PlotTitles,0))))&gt;(DATEVALUE(CompletionMonth&amp;CompletionYear)),$AB$21,TRUE,"")</f>
        <v/>
      </c>
      <c r="S406" s="104" t="str" cm="1">
        <f t="array" ref="S406">_xlfn.IFS(AND(A406&gt;NumberOfPlots,ISBLANK(INDEX(PlotData,MATCH($A406,PlotNumber,0),MATCH(B$3,PlotTitles,0)))),"",OR(AND(INDEX(PlotData,MATCH($A406,PlotNumber,0),MATCH("Tenure",PlotTitles,0))="Open market housing",INDEX(PlotData,MATCH($A406,PlotNumber,0),MATCH("Tenure detail",PlotTitles,0))="Private rented sector"),INDEX(PlotData,MATCH($A406,PlotNumber,0),MATCH("Tenure",PlotTitles,0))="Affordable rent"),"",ISNUMBER(INDEX(PlotData,MATCH($A406,PlotNumber,0),MATCH(S$3,PlotTitles,0)))=FALSE, $AB$22,TRUE,"")</f>
        <v/>
      </c>
      <c r="T406" s="104" t="str" cm="1">
        <f t="array" ref="T406">_xlfn.IFS(AND(A406&gt;NumberOfPlots,ISBLANK(INDEX(PlotData,MATCH($A406,PlotNumber,0),MATCH(B$3,PlotTitles,0)))),"",OR(AND(INDEX(PlotData,MATCH($A406,PlotNumber,0),MATCH("Tenure",PlotTitles,0))="Open market housing",INDEX(PlotData,MATCH($A406,PlotNumber,0),MATCH("Tenure detail",PlotTitles,0))="Private rented sector"),INDEX(PlotData,MATCH($A406,PlotNumber,0),MATCH("Tenure",PlotTitles,0))="Affordable rent"),"",INDEX(PlotData,MATCH($A406,PlotNumber,0),MATCH(S$3,PlotTitles,0))&lt;10000, $AB$23,TRUE,"")</f>
        <v/>
      </c>
      <c r="U406" s="104" t="str" cm="1">
        <f t="array" ref="U406">_xlfn.IFS(AND(A406&gt;NumberOfPlots,ISBLANK(INDEX(PlotData,MATCH($A406,PlotNumber,0),MATCH(B$3,PlotTitles,0)))),"",NOT(OR(AND(INDEX(PlotData,MATCH($A406,PlotNumber,0),MATCH("Tenure",PlotTitles,0))="Open market housing",INDEX(PlotData,MATCH($A406,PlotNumber,0),MATCH("Tenure detail",PlotTitles,0))="Private rented sector"),INDEX(PlotData,MATCH($A406,PlotNumber,0),MATCH("Tenure",PlotTitles,0))="Affordable rent")),"",NOT(INDEX(PlotData,MATCH($A406,PlotNumber,0),MATCH(S$3,PlotTitles,0))=0), $AB$24,TRUE,"")</f>
        <v/>
      </c>
      <c r="V406" s="114" t="str" cm="1">
        <f t="array" aca="1" ref="V406" ca="1">_xlfn.IFS(ISBLANK(NumberOfPlots),"Enter the number of homes on the 1_SetUp sheet",AND(A406&gt;NumberOfPlots,ISBLANK(INDEX(PlotData,MATCH($A406,PlotNumber,0),MATCH(B$3,PlotTitles,0)))),"No error",NOT(B406=""),B406,NOT(C406=""),C406,NOT(D406=""),D406,NOT(E406=""),E406,NOT(F406=""),F406,NOT(G406=""),G406,NOT(H406=""),H406,NOT(I406=""),I406,NOT(J406=""),J406,NOT(K406=""),K406,NOT(L406=""),L406,NOT(M406=""),M406,NOT(N406=""),N406,NOT(O406=""),O406,NOT(P406=""),P406,NOT(Q406=""),Q406,NOT(R406=""),R406,NOT(S406=""),S406,NOT(T406=""),T406,NOT(U406=""),U406,TRUE,"No error")</f>
        <v>Enter the number of homes on the 1_SetUp sheet</v>
      </c>
      <c r="W406" s="114" t="str">
        <f t="shared" ca="1" si="20"/>
        <v xml:space="preserve">The Borrower has not addressed the following error messages for Home ID 402: </v>
      </c>
    </row>
    <row r="407" spans="1:23">
      <c r="A407" s="123">
        <v>403</v>
      </c>
      <c r="B407" s="104" t="str" cm="1">
        <f t="array" ref="B407">_xlfn.IFS(AND(A407&gt;NumberOfPlots,ISBLANK(INDEX(PlotData,MATCH($A407,PlotNumber,0),MATCH(B$3,PlotTitles,0)))),"",ISNUMBER(INDEX(PlotData,MATCH($A407,PlotNumber,0),MATCH(B$3,PlotTitles,0)))=FALSE, $AB$5,TRUE,"")</f>
        <v/>
      </c>
      <c r="C407" s="104" t="str" cm="1">
        <f t="array" ref="C407">_xlfn.IFS(AND(A407&gt;NumberOfPlots,ISBLANK(INDEX(PlotData,MATCH($A407,PlotNumber,0),MATCH(B$3,PlotTitles,0)))),"",ISBLANK(INDEX(PlotData,MATCH($A407,PlotNumber,0),MATCH(C$3,PlotTitles,0))),$AB$6,TRUE,"")</f>
        <v/>
      </c>
      <c r="D407" s="104" t="str" cm="1">
        <f t="array" ref="D407">_xlfn.IFS(AND(A407&gt;NumberOfPlots,ISBLANK(INDEX(PlotData,MATCH($A407,PlotNumber,0),MATCH(B$3,PlotTitles,0)))),"",ISBLANK(INDEX(PlotData,MATCH($A407,PlotNumber,0),MATCH(D$3,PlotTitles,0))),$AB$7,TRUE,"")</f>
        <v/>
      </c>
      <c r="E407" s="104" t="str" cm="1">
        <f t="array" ref="E407">_xlfn.IFS(AND(A407&gt;NumberOfPlots,ISBLANK(INDEX(PlotData,MATCH($A407,PlotNumber,0),MATCH(B$3,PlotTitles,0)))),"",ISBLANK(INDEX(PlotData,MATCH($A407,PlotNumber,0),MATCH(E$3,PlotTitles,0))),$AB$8,TRUE,"")</f>
        <v/>
      </c>
      <c r="F407" s="104" t="str" cm="1">
        <f t="array" ref="F407">_xlfn.IFS(AND(A407&gt;NumberOfPlots,ISBLANK(INDEX(PlotData,MATCH($A407,PlotNumber,0),MATCH(B$3,PlotTitles,0)))),"",ISBLANK(INDEX(PlotData,MATCH($A407,PlotNumber,0),MATCH(F$3,PlotTitles,0))),$AB$9,TRUE,"")</f>
        <v/>
      </c>
      <c r="G407" s="104" t="str" cm="1">
        <f t="array" ref="G407">_xlfn.IFS(AND(A407&gt;NumberOfPlots,ISBLANK(INDEX(PlotData,MATCH($A407,PlotNumber,0),MATCH(B$3,PlotTitles,0)))),"",ISBLANK(INDEX(PlotData,MATCH($A407,PlotNumber,0),MATCH(G$3,PlotTitles,0))),$AB$10,TRUE,"")</f>
        <v/>
      </c>
      <c r="H407" s="104" t="str" cm="1">
        <f t="array" ref="H407">_xlfn.IFS(AND(A407&gt;NumberOfPlots,ISBLANK(INDEX(PlotData,MATCH($A407,PlotNumber,0),MATCH(B$3,PlotTitles,0)))),"",AND(ISBLANK(INDEX(PlotData,MATCH($A407,PlotNumber,0),MATCH(H$3,PlotTitles,0)))=FALSE,INDEX(PlotData,MATCH($A407,PlotNumber,0),MATCH(H$3,PlotTitles,0))&lt;500), $AB$11,TRUE,"")</f>
        <v/>
      </c>
      <c r="I407" s="104" t="str" cm="1">
        <f t="array" ref="I407">_xlfn.IFS(AND(A407&gt;NumberOfPlots,ISBLANK(INDEX(PlotData,MATCH($A407,PlotNumber,0),MATCH(B$3,PlotTitles,0)))),"",ISBLANK(INDEX(PlotData,MATCH($A407,PlotNumber,0),MATCH(I$3,PlotTitles,0))),$AB$12,TRUE,"")</f>
        <v/>
      </c>
      <c r="J407" s="104" t="str" cm="1">
        <f t="array" ref="J407">_xlfn.IFS(AND(A407&gt;NumberOfPlots,ISBLANK(INDEX(PlotData,MATCH($A407,PlotNumber,0),MATCH(B$3,PlotTitles,0)))),"",ISBLANK(INDEX(PlotData,MATCH($A407,PlotNumber,0),MATCH(J$3,PlotTitles,0))),$AB$13,TRUE,"")</f>
        <v/>
      </c>
      <c r="K407" s="182" t="str">
        <f t="shared" ca="1" si="18"/>
        <v/>
      </c>
      <c r="L407" s="104" t="str" cm="1">
        <f t="array" ref="L407">_xlfn.IFS(OR(ISBLANK(StartDateMonth),ISBLANK(StartDateYear)),"",AND(A407&gt;NumberOfPlots,ISBLANK(INDEX(PlotData,MATCH($A407,PlotNumber,0),MATCH(B$3,PlotTitles,0)))),"",ISBLANK(INDEX(PlotData,MATCH($A407,PlotNumber,0),MATCH(I$3,PlotTitles,0))),"",(DATEVALUE(INDEX(PlotData,MATCH($A407,PlotNumber,0),MATCH(I$3,PlotTitles,0))&amp;INDEX(PlotData,MATCH($A407,PlotNumber,0),MATCH(J$3,PlotTitles,0))))&lt;DATEVALUE(StartDateMonth&amp;StartDateYear),$AB$15,TRUE,"")</f>
        <v/>
      </c>
      <c r="M407" s="104" t="str" cm="1">
        <f t="array" ref="M407">_xlfn.IFS(OR(ISBLANK(StartDateMonth),ISBLANK(StartDateYear)),"",AND(A407&gt;NumberOfPlots,ISBLANK(INDEX(PlotData,MATCH($A407,PlotNumber,0),MATCH(B$3,PlotTitles,0)))),"",ISBLANK(INDEX(PlotData,MATCH($A407,PlotNumber,0),MATCH(I$3,PlotTitles,0))),"",CompletionMonth="","",(DATEVALUE(INDEX(PlotData,MATCH($A407,PlotNumber,0),MATCH(I$3,PlotTitles,0))&amp;INDEX(PlotData,MATCH($A407,PlotNumber,0),MATCH(J$3,PlotTitles,0))))&gt;(DATEVALUE(CompletionMonth&amp;CompletionYear)),$AB$16,TRUE,"")</f>
        <v/>
      </c>
      <c r="N407" s="104" t="str" cm="1">
        <f t="array" ref="N407">_xlfn.IFS(AND(A407&gt;NumberOfPlots,ISBLANK(INDEX(PlotData,MATCH($A407,PlotNumber,0),MATCH(B$3,PlotTitles,0)))),"",ISBLANK(INDEX(PlotData,MATCH($A407,PlotNumber,0),MATCH(N$3,PlotTitles,0))),$AB$17,TRUE,"")</f>
        <v/>
      </c>
      <c r="O407" s="104" t="str" cm="1">
        <f t="array" ref="O407">_xlfn.IFS(AND(A407&gt;NumberOfPlots,ISBLANK(INDEX(PlotData,MATCH($A407,PlotNumber,0),MATCH(B$3,PlotTitles,0)))),"",ISBLANK(INDEX(PlotData,MATCH($A407,PlotNumber,0),MATCH(O$3,PlotTitles,0))),$AB$18,TRUE,"")</f>
        <v/>
      </c>
      <c r="P407" s="182" t="str">
        <f t="shared" ca="1" si="19"/>
        <v/>
      </c>
      <c r="Q407" s="104" t="str" cm="1">
        <f t="array" ref="Q407">_xlfn.IFS(AND(A407&gt;NumberOfPlots,ISBLANK(INDEX(PlotData,MATCH($A407,PlotNumber,0),MATCH(B$3,PlotTitles,0)))),"",ISBLANK(INDEX(PlotData,MATCH($A407,PlotNumber,0),MATCH(N$3,PlotTitles,0))),"",(DATEVALUE(INDEX(PlotData,MATCH($A407,PlotNumber,0),MATCH(N$3,PlotTitles,0))&amp;INDEX(PlotData,MATCH($A407,PlotNumber,0),MATCH(O$3,PlotTitles,0))))&lt;(DATEVALUE(INDEX(PlotData,MATCH($A407,PlotNumber,0),MATCH(I$3,PlotTitles,0))&amp;INDEX(PlotData,MATCH($A407,PlotNumber,0),MATCH(J$3,PlotTitles,0)))),$AB$20,TRUE,"")</f>
        <v/>
      </c>
      <c r="R407" s="104" t="str" cm="1">
        <f t="array" ref="R407">_xlfn.IFS(OR(ISBLANK(StartDateMonth),ISBLANK(StartDateYear)),"",AND(A407&gt;NumberOfPlots,ISBLANK(INDEX(PlotData,MATCH($A407,PlotNumber,0),MATCH(B$3,PlotTitles,0)))),"",ISBLANK(INDEX(PlotData,MATCH($A407,PlotNumber,0),MATCH(N$3,PlotTitles,0))),"",CompletionMonth="","",(DATEVALUE(INDEX(PlotData,MATCH($A407,PlotNumber,0),MATCH(N$3,PlotTitles,0))&amp;INDEX(PlotData,MATCH($A407,PlotNumber,0),MATCH(O$3,PlotTitles,0))))&gt;(DATEVALUE(CompletionMonth&amp;CompletionYear)),$AB$21,TRUE,"")</f>
        <v/>
      </c>
      <c r="S407" s="104" t="str" cm="1">
        <f t="array" ref="S407">_xlfn.IFS(AND(A407&gt;NumberOfPlots,ISBLANK(INDEX(PlotData,MATCH($A407,PlotNumber,0),MATCH(B$3,PlotTitles,0)))),"",OR(AND(INDEX(PlotData,MATCH($A407,PlotNumber,0),MATCH("Tenure",PlotTitles,0))="Open market housing",INDEX(PlotData,MATCH($A407,PlotNumber,0),MATCH("Tenure detail",PlotTitles,0))="Private rented sector"),INDEX(PlotData,MATCH($A407,PlotNumber,0),MATCH("Tenure",PlotTitles,0))="Affordable rent"),"",ISNUMBER(INDEX(PlotData,MATCH($A407,PlotNumber,0),MATCH(S$3,PlotTitles,0)))=FALSE, $AB$22,TRUE,"")</f>
        <v/>
      </c>
      <c r="T407" s="104" t="str" cm="1">
        <f t="array" ref="T407">_xlfn.IFS(AND(A407&gt;NumberOfPlots,ISBLANK(INDEX(PlotData,MATCH($A407,PlotNumber,0),MATCH(B$3,PlotTitles,0)))),"",OR(AND(INDEX(PlotData,MATCH($A407,PlotNumber,0),MATCH("Tenure",PlotTitles,0))="Open market housing",INDEX(PlotData,MATCH($A407,PlotNumber,0),MATCH("Tenure detail",PlotTitles,0))="Private rented sector"),INDEX(PlotData,MATCH($A407,PlotNumber,0),MATCH("Tenure",PlotTitles,0))="Affordable rent"),"",INDEX(PlotData,MATCH($A407,PlotNumber,0),MATCH(S$3,PlotTitles,0))&lt;10000, $AB$23,TRUE,"")</f>
        <v/>
      </c>
      <c r="U407" s="104" t="str" cm="1">
        <f t="array" ref="U407">_xlfn.IFS(AND(A407&gt;NumberOfPlots,ISBLANK(INDEX(PlotData,MATCH($A407,PlotNumber,0),MATCH(B$3,PlotTitles,0)))),"",NOT(OR(AND(INDEX(PlotData,MATCH($A407,PlotNumber,0),MATCH("Tenure",PlotTitles,0))="Open market housing",INDEX(PlotData,MATCH($A407,PlotNumber,0),MATCH("Tenure detail",PlotTitles,0))="Private rented sector"),INDEX(PlotData,MATCH($A407,PlotNumber,0),MATCH("Tenure",PlotTitles,0))="Affordable rent")),"",NOT(INDEX(PlotData,MATCH($A407,PlotNumber,0),MATCH(S$3,PlotTitles,0))=0), $AB$24,TRUE,"")</f>
        <v/>
      </c>
      <c r="V407" s="114" t="str" cm="1">
        <f t="array" aca="1" ref="V407" ca="1">_xlfn.IFS(ISBLANK(NumberOfPlots),"Enter the number of homes on the 1_SetUp sheet",AND(A407&gt;NumberOfPlots,ISBLANK(INDEX(PlotData,MATCH($A407,PlotNumber,0),MATCH(B$3,PlotTitles,0)))),"No error",NOT(B407=""),B407,NOT(C407=""),C407,NOT(D407=""),D407,NOT(E407=""),E407,NOT(F407=""),F407,NOT(G407=""),G407,NOT(H407=""),H407,NOT(I407=""),I407,NOT(J407=""),J407,NOT(K407=""),K407,NOT(L407=""),L407,NOT(M407=""),M407,NOT(N407=""),N407,NOT(O407=""),O407,NOT(P407=""),P407,NOT(Q407=""),Q407,NOT(R407=""),R407,NOT(S407=""),S407,NOT(T407=""),T407,NOT(U407=""),U407,TRUE,"No error")</f>
        <v>Enter the number of homes on the 1_SetUp sheet</v>
      </c>
      <c r="W407" s="114" t="str">
        <f t="shared" ca="1" si="20"/>
        <v xml:space="preserve">The Borrower has not addressed the following error messages for Home ID 403: </v>
      </c>
    </row>
    <row r="408" spans="1:23">
      <c r="A408" s="123">
        <v>404</v>
      </c>
      <c r="B408" s="104" t="str" cm="1">
        <f t="array" ref="B408">_xlfn.IFS(AND(A408&gt;NumberOfPlots,ISBLANK(INDEX(PlotData,MATCH($A408,PlotNumber,0),MATCH(B$3,PlotTitles,0)))),"",ISNUMBER(INDEX(PlotData,MATCH($A408,PlotNumber,0),MATCH(B$3,PlotTitles,0)))=FALSE, $AB$5,TRUE,"")</f>
        <v/>
      </c>
      <c r="C408" s="104" t="str" cm="1">
        <f t="array" ref="C408">_xlfn.IFS(AND(A408&gt;NumberOfPlots,ISBLANK(INDEX(PlotData,MATCH($A408,PlotNumber,0),MATCH(B$3,PlotTitles,0)))),"",ISBLANK(INDEX(PlotData,MATCH($A408,PlotNumber,0),MATCH(C$3,PlotTitles,0))),$AB$6,TRUE,"")</f>
        <v/>
      </c>
      <c r="D408" s="104" t="str" cm="1">
        <f t="array" ref="D408">_xlfn.IFS(AND(A408&gt;NumberOfPlots,ISBLANK(INDEX(PlotData,MATCH($A408,PlotNumber,0),MATCH(B$3,PlotTitles,0)))),"",ISBLANK(INDEX(PlotData,MATCH($A408,PlotNumber,0),MATCH(D$3,PlotTitles,0))),$AB$7,TRUE,"")</f>
        <v/>
      </c>
      <c r="E408" s="104" t="str" cm="1">
        <f t="array" ref="E408">_xlfn.IFS(AND(A408&gt;NumberOfPlots,ISBLANK(INDEX(PlotData,MATCH($A408,PlotNumber,0),MATCH(B$3,PlotTitles,0)))),"",ISBLANK(INDEX(PlotData,MATCH($A408,PlotNumber,0),MATCH(E$3,PlotTitles,0))),$AB$8,TRUE,"")</f>
        <v/>
      </c>
      <c r="F408" s="104" t="str" cm="1">
        <f t="array" ref="F408">_xlfn.IFS(AND(A408&gt;NumberOfPlots,ISBLANK(INDEX(PlotData,MATCH($A408,PlotNumber,0),MATCH(B$3,PlotTitles,0)))),"",ISBLANK(INDEX(PlotData,MATCH($A408,PlotNumber,0),MATCH(F$3,PlotTitles,0))),$AB$9,TRUE,"")</f>
        <v/>
      </c>
      <c r="G408" s="104" t="str" cm="1">
        <f t="array" ref="G408">_xlfn.IFS(AND(A408&gt;NumberOfPlots,ISBLANK(INDEX(PlotData,MATCH($A408,PlotNumber,0),MATCH(B$3,PlotTitles,0)))),"",ISBLANK(INDEX(PlotData,MATCH($A408,PlotNumber,0),MATCH(G$3,PlotTitles,0))),$AB$10,TRUE,"")</f>
        <v/>
      </c>
      <c r="H408" s="104" t="str" cm="1">
        <f t="array" ref="H408">_xlfn.IFS(AND(A408&gt;NumberOfPlots,ISBLANK(INDEX(PlotData,MATCH($A408,PlotNumber,0),MATCH(B$3,PlotTitles,0)))),"",AND(ISBLANK(INDEX(PlotData,MATCH($A408,PlotNumber,0),MATCH(H$3,PlotTitles,0)))=FALSE,INDEX(PlotData,MATCH($A408,PlotNumber,0),MATCH(H$3,PlotTitles,0))&lt;500), $AB$11,TRUE,"")</f>
        <v/>
      </c>
      <c r="I408" s="104" t="str" cm="1">
        <f t="array" ref="I408">_xlfn.IFS(AND(A408&gt;NumberOfPlots,ISBLANK(INDEX(PlotData,MATCH($A408,PlotNumber,0),MATCH(B$3,PlotTitles,0)))),"",ISBLANK(INDEX(PlotData,MATCH($A408,PlotNumber,0),MATCH(I$3,PlotTitles,0))),$AB$12,TRUE,"")</f>
        <v/>
      </c>
      <c r="J408" s="104" t="str" cm="1">
        <f t="array" ref="J408">_xlfn.IFS(AND(A408&gt;NumberOfPlots,ISBLANK(INDEX(PlotData,MATCH($A408,PlotNumber,0),MATCH(B$3,PlotTitles,0)))),"",ISBLANK(INDEX(PlotData,MATCH($A408,PlotNumber,0),MATCH(J$3,PlotTitles,0))),$AB$13,TRUE,"")</f>
        <v/>
      </c>
      <c r="K408" s="182" t="str">
        <f t="shared" ca="1" si="18"/>
        <v/>
      </c>
      <c r="L408" s="104" t="str" cm="1">
        <f t="array" ref="L408">_xlfn.IFS(OR(ISBLANK(StartDateMonth),ISBLANK(StartDateYear)),"",AND(A408&gt;NumberOfPlots,ISBLANK(INDEX(PlotData,MATCH($A408,PlotNumber,0),MATCH(B$3,PlotTitles,0)))),"",ISBLANK(INDEX(PlotData,MATCH($A408,PlotNumber,0),MATCH(I$3,PlotTitles,0))),"",(DATEVALUE(INDEX(PlotData,MATCH($A408,PlotNumber,0),MATCH(I$3,PlotTitles,0))&amp;INDEX(PlotData,MATCH($A408,PlotNumber,0),MATCH(J$3,PlotTitles,0))))&lt;DATEVALUE(StartDateMonth&amp;StartDateYear),$AB$15,TRUE,"")</f>
        <v/>
      </c>
      <c r="M408" s="104" t="str" cm="1">
        <f t="array" ref="M408">_xlfn.IFS(OR(ISBLANK(StartDateMonth),ISBLANK(StartDateYear)),"",AND(A408&gt;NumberOfPlots,ISBLANK(INDEX(PlotData,MATCH($A408,PlotNumber,0),MATCH(B$3,PlotTitles,0)))),"",ISBLANK(INDEX(PlotData,MATCH($A408,PlotNumber,0),MATCH(I$3,PlotTitles,0))),"",CompletionMonth="","",(DATEVALUE(INDEX(PlotData,MATCH($A408,PlotNumber,0),MATCH(I$3,PlotTitles,0))&amp;INDEX(PlotData,MATCH($A408,PlotNumber,0),MATCH(J$3,PlotTitles,0))))&gt;(DATEVALUE(CompletionMonth&amp;CompletionYear)),$AB$16,TRUE,"")</f>
        <v/>
      </c>
      <c r="N408" s="104" t="str" cm="1">
        <f t="array" ref="N408">_xlfn.IFS(AND(A408&gt;NumberOfPlots,ISBLANK(INDEX(PlotData,MATCH($A408,PlotNumber,0),MATCH(B$3,PlotTitles,0)))),"",ISBLANK(INDEX(PlotData,MATCH($A408,PlotNumber,0),MATCH(N$3,PlotTitles,0))),$AB$17,TRUE,"")</f>
        <v/>
      </c>
      <c r="O408" s="104" t="str" cm="1">
        <f t="array" ref="O408">_xlfn.IFS(AND(A408&gt;NumberOfPlots,ISBLANK(INDEX(PlotData,MATCH($A408,PlotNumber,0),MATCH(B$3,PlotTitles,0)))),"",ISBLANK(INDEX(PlotData,MATCH($A408,PlotNumber,0),MATCH(O$3,PlotTitles,0))),$AB$18,TRUE,"")</f>
        <v/>
      </c>
      <c r="P408" s="182" t="str">
        <f t="shared" ca="1" si="19"/>
        <v/>
      </c>
      <c r="Q408" s="104" t="str" cm="1">
        <f t="array" ref="Q408">_xlfn.IFS(AND(A408&gt;NumberOfPlots,ISBLANK(INDEX(PlotData,MATCH($A408,PlotNumber,0),MATCH(B$3,PlotTitles,0)))),"",ISBLANK(INDEX(PlotData,MATCH($A408,PlotNumber,0),MATCH(N$3,PlotTitles,0))),"",(DATEVALUE(INDEX(PlotData,MATCH($A408,PlotNumber,0),MATCH(N$3,PlotTitles,0))&amp;INDEX(PlotData,MATCH($A408,PlotNumber,0),MATCH(O$3,PlotTitles,0))))&lt;(DATEVALUE(INDEX(PlotData,MATCH($A408,PlotNumber,0),MATCH(I$3,PlotTitles,0))&amp;INDEX(PlotData,MATCH($A408,PlotNumber,0),MATCH(J$3,PlotTitles,0)))),$AB$20,TRUE,"")</f>
        <v/>
      </c>
      <c r="R408" s="104" t="str" cm="1">
        <f t="array" ref="R408">_xlfn.IFS(OR(ISBLANK(StartDateMonth),ISBLANK(StartDateYear)),"",AND(A408&gt;NumberOfPlots,ISBLANK(INDEX(PlotData,MATCH($A408,PlotNumber,0),MATCH(B$3,PlotTitles,0)))),"",ISBLANK(INDEX(PlotData,MATCH($A408,PlotNumber,0),MATCH(N$3,PlotTitles,0))),"",CompletionMonth="","",(DATEVALUE(INDEX(PlotData,MATCH($A408,PlotNumber,0),MATCH(N$3,PlotTitles,0))&amp;INDEX(PlotData,MATCH($A408,PlotNumber,0),MATCH(O$3,PlotTitles,0))))&gt;(DATEVALUE(CompletionMonth&amp;CompletionYear)),$AB$21,TRUE,"")</f>
        <v/>
      </c>
      <c r="S408" s="104" t="str" cm="1">
        <f t="array" ref="S408">_xlfn.IFS(AND(A408&gt;NumberOfPlots,ISBLANK(INDEX(PlotData,MATCH($A408,PlotNumber,0),MATCH(B$3,PlotTitles,0)))),"",OR(AND(INDEX(PlotData,MATCH($A408,PlotNumber,0),MATCH("Tenure",PlotTitles,0))="Open market housing",INDEX(PlotData,MATCH($A408,PlotNumber,0),MATCH("Tenure detail",PlotTitles,0))="Private rented sector"),INDEX(PlotData,MATCH($A408,PlotNumber,0),MATCH("Tenure",PlotTitles,0))="Affordable rent"),"",ISNUMBER(INDEX(PlotData,MATCH($A408,PlotNumber,0),MATCH(S$3,PlotTitles,0)))=FALSE, $AB$22,TRUE,"")</f>
        <v/>
      </c>
      <c r="T408" s="104" t="str" cm="1">
        <f t="array" ref="T408">_xlfn.IFS(AND(A408&gt;NumberOfPlots,ISBLANK(INDEX(PlotData,MATCH($A408,PlotNumber,0),MATCH(B$3,PlotTitles,0)))),"",OR(AND(INDEX(PlotData,MATCH($A408,PlotNumber,0),MATCH("Tenure",PlotTitles,0))="Open market housing",INDEX(PlotData,MATCH($A408,PlotNumber,0),MATCH("Tenure detail",PlotTitles,0))="Private rented sector"),INDEX(PlotData,MATCH($A408,PlotNumber,0),MATCH("Tenure",PlotTitles,0))="Affordable rent"),"",INDEX(PlotData,MATCH($A408,PlotNumber,0),MATCH(S$3,PlotTitles,0))&lt;10000, $AB$23,TRUE,"")</f>
        <v/>
      </c>
      <c r="U408" s="104" t="str" cm="1">
        <f t="array" ref="U408">_xlfn.IFS(AND(A408&gt;NumberOfPlots,ISBLANK(INDEX(PlotData,MATCH($A408,PlotNumber,0),MATCH(B$3,PlotTitles,0)))),"",NOT(OR(AND(INDEX(PlotData,MATCH($A408,PlotNumber,0),MATCH("Tenure",PlotTitles,0))="Open market housing",INDEX(PlotData,MATCH($A408,PlotNumber,0),MATCH("Tenure detail",PlotTitles,0))="Private rented sector"),INDEX(PlotData,MATCH($A408,PlotNumber,0),MATCH("Tenure",PlotTitles,0))="Affordable rent")),"",NOT(INDEX(PlotData,MATCH($A408,PlotNumber,0),MATCH(S$3,PlotTitles,0))=0), $AB$24,TRUE,"")</f>
        <v/>
      </c>
      <c r="V408" s="114" t="str" cm="1">
        <f t="array" aca="1" ref="V408" ca="1">_xlfn.IFS(ISBLANK(NumberOfPlots),"Enter the number of homes on the 1_SetUp sheet",AND(A408&gt;NumberOfPlots,ISBLANK(INDEX(PlotData,MATCH($A408,PlotNumber,0),MATCH(B$3,PlotTitles,0)))),"No error",NOT(B408=""),B408,NOT(C408=""),C408,NOT(D408=""),D408,NOT(E408=""),E408,NOT(F408=""),F408,NOT(G408=""),G408,NOT(H408=""),H408,NOT(I408=""),I408,NOT(J408=""),J408,NOT(K408=""),K408,NOT(L408=""),L408,NOT(M408=""),M408,NOT(N408=""),N408,NOT(O408=""),O408,NOT(P408=""),P408,NOT(Q408=""),Q408,NOT(R408=""),R408,NOT(S408=""),S408,NOT(T408=""),T408,NOT(U408=""),U408,TRUE,"No error")</f>
        <v>Enter the number of homes on the 1_SetUp sheet</v>
      </c>
      <c r="W408" s="114" t="str">
        <f t="shared" ca="1" si="20"/>
        <v xml:space="preserve">The Borrower has not addressed the following error messages for Home ID 404: </v>
      </c>
    </row>
    <row r="409" spans="1:23">
      <c r="A409" s="123">
        <v>405</v>
      </c>
      <c r="B409" s="104" t="str" cm="1">
        <f t="array" ref="B409">_xlfn.IFS(AND(A409&gt;NumberOfPlots,ISBLANK(INDEX(PlotData,MATCH($A409,PlotNumber,0),MATCH(B$3,PlotTitles,0)))),"",ISNUMBER(INDEX(PlotData,MATCH($A409,PlotNumber,0),MATCH(B$3,PlotTitles,0)))=FALSE, $AB$5,TRUE,"")</f>
        <v/>
      </c>
      <c r="C409" s="104" t="str" cm="1">
        <f t="array" ref="C409">_xlfn.IFS(AND(A409&gt;NumberOfPlots,ISBLANK(INDEX(PlotData,MATCH($A409,PlotNumber,0),MATCH(B$3,PlotTitles,0)))),"",ISBLANK(INDEX(PlotData,MATCH($A409,PlotNumber,0),MATCH(C$3,PlotTitles,0))),$AB$6,TRUE,"")</f>
        <v/>
      </c>
      <c r="D409" s="104" t="str" cm="1">
        <f t="array" ref="D409">_xlfn.IFS(AND(A409&gt;NumberOfPlots,ISBLANK(INDEX(PlotData,MATCH($A409,PlotNumber,0),MATCH(B$3,PlotTitles,0)))),"",ISBLANK(INDEX(PlotData,MATCH($A409,PlotNumber,0),MATCH(D$3,PlotTitles,0))),$AB$7,TRUE,"")</f>
        <v/>
      </c>
      <c r="E409" s="104" t="str" cm="1">
        <f t="array" ref="E409">_xlfn.IFS(AND(A409&gt;NumberOfPlots,ISBLANK(INDEX(PlotData,MATCH($A409,PlotNumber,0),MATCH(B$3,PlotTitles,0)))),"",ISBLANK(INDEX(PlotData,MATCH($A409,PlotNumber,0),MATCH(E$3,PlotTitles,0))),$AB$8,TRUE,"")</f>
        <v/>
      </c>
      <c r="F409" s="104" t="str" cm="1">
        <f t="array" ref="F409">_xlfn.IFS(AND(A409&gt;NumberOfPlots,ISBLANK(INDEX(PlotData,MATCH($A409,PlotNumber,0),MATCH(B$3,PlotTitles,0)))),"",ISBLANK(INDEX(PlotData,MATCH($A409,PlotNumber,0),MATCH(F$3,PlotTitles,0))),$AB$9,TRUE,"")</f>
        <v/>
      </c>
      <c r="G409" s="104" t="str" cm="1">
        <f t="array" ref="G409">_xlfn.IFS(AND(A409&gt;NumberOfPlots,ISBLANK(INDEX(PlotData,MATCH($A409,PlotNumber,0),MATCH(B$3,PlotTitles,0)))),"",ISBLANK(INDEX(PlotData,MATCH($A409,PlotNumber,0),MATCH(G$3,PlotTitles,0))),$AB$10,TRUE,"")</f>
        <v/>
      </c>
      <c r="H409" s="104" t="str" cm="1">
        <f t="array" ref="H409">_xlfn.IFS(AND(A409&gt;NumberOfPlots,ISBLANK(INDEX(PlotData,MATCH($A409,PlotNumber,0),MATCH(B$3,PlotTitles,0)))),"",AND(ISBLANK(INDEX(PlotData,MATCH($A409,PlotNumber,0),MATCH(H$3,PlotTitles,0)))=FALSE,INDEX(PlotData,MATCH($A409,PlotNumber,0),MATCH(H$3,PlotTitles,0))&lt;500), $AB$11,TRUE,"")</f>
        <v/>
      </c>
      <c r="I409" s="104" t="str" cm="1">
        <f t="array" ref="I409">_xlfn.IFS(AND(A409&gt;NumberOfPlots,ISBLANK(INDEX(PlotData,MATCH($A409,PlotNumber,0),MATCH(B$3,PlotTitles,0)))),"",ISBLANK(INDEX(PlotData,MATCH($A409,PlotNumber,0),MATCH(I$3,PlotTitles,0))),$AB$12,TRUE,"")</f>
        <v/>
      </c>
      <c r="J409" s="104" t="str" cm="1">
        <f t="array" ref="J409">_xlfn.IFS(AND(A409&gt;NumberOfPlots,ISBLANK(INDEX(PlotData,MATCH($A409,PlotNumber,0),MATCH(B$3,PlotTitles,0)))),"",ISBLANK(INDEX(PlotData,MATCH($A409,PlotNumber,0),MATCH(J$3,PlotTitles,0))),$AB$13,TRUE,"")</f>
        <v/>
      </c>
      <c r="K409" s="182" t="str">
        <f t="shared" ca="1" si="18"/>
        <v/>
      </c>
      <c r="L409" s="104" t="str" cm="1">
        <f t="array" ref="L409">_xlfn.IFS(OR(ISBLANK(StartDateMonth),ISBLANK(StartDateYear)),"",AND(A409&gt;NumberOfPlots,ISBLANK(INDEX(PlotData,MATCH($A409,PlotNumber,0),MATCH(B$3,PlotTitles,0)))),"",ISBLANK(INDEX(PlotData,MATCH($A409,PlotNumber,0),MATCH(I$3,PlotTitles,0))),"",(DATEVALUE(INDEX(PlotData,MATCH($A409,PlotNumber,0),MATCH(I$3,PlotTitles,0))&amp;INDEX(PlotData,MATCH($A409,PlotNumber,0),MATCH(J$3,PlotTitles,0))))&lt;DATEVALUE(StartDateMonth&amp;StartDateYear),$AB$15,TRUE,"")</f>
        <v/>
      </c>
      <c r="M409" s="104" t="str" cm="1">
        <f t="array" ref="M409">_xlfn.IFS(OR(ISBLANK(StartDateMonth),ISBLANK(StartDateYear)),"",AND(A409&gt;NumberOfPlots,ISBLANK(INDEX(PlotData,MATCH($A409,PlotNumber,0),MATCH(B$3,PlotTitles,0)))),"",ISBLANK(INDEX(PlotData,MATCH($A409,PlotNumber,0),MATCH(I$3,PlotTitles,0))),"",CompletionMonth="","",(DATEVALUE(INDEX(PlotData,MATCH($A409,PlotNumber,0),MATCH(I$3,PlotTitles,0))&amp;INDEX(PlotData,MATCH($A409,PlotNumber,0),MATCH(J$3,PlotTitles,0))))&gt;(DATEVALUE(CompletionMonth&amp;CompletionYear)),$AB$16,TRUE,"")</f>
        <v/>
      </c>
      <c r="N409" s="104" t="str" cm="1">
        <f t="array" ref="N409">_xlfn.IFS(AND(A409&gt;NumberOfPlots,ISBLANK(INDEX(PlotData,MATCH($A409,PlotNumber,0),MATCH(B$3,PlotTitles,0)))),"",ISBLANK(INDEX(PlotData,MATCH($A409,PlotNumber,0),MATCH(N$3,PlotTitles,0))),$AB$17,TRUE,"")</f>
        <v/>
      </c>
      <c r="O409" s="104" t="str" cm="1">
        <f t="array" ref="O409">_xlfn.IFS(AND(A409&gt;NumberOfPlots,ISBLANK(INDEX(PlotData,MATCH($A409,PlotNumber,0),MATCH(B$3,PlotTitles,0)))),"",ISBLANK(INDEX(PlotData,MATCH($A409,PlotNumber,0),MATCH(O$3,PlotTitles,0))),$AB$18,TRUE,"")</f>
        <v/>
      </c>
      <c r="P409" s="182" t="str">
        <f t="shared" ca="1" si="19"/>
        <v/>
      </c>
      <c r="Q409" s="104" t="str" cm="1">
        <f t="array" ref="Q409">_xlfn.IFS(AND(A409&gt;NumberOfPlots,ISBLANK(INDEX(PlotData,MATCH($A409,PlotNumber,0),MATCH(B$3,PlotTitles,0)))),"",ISBLANK(INDEX(PlotData,MATCH($A409,PlotNumber,0),MATCH(N$3,PlotTitles,0))),"",(DATEVALUE(INDEX(PlotData,MATCH($A409,PlotNumber,0),MATCH(N$3,PlotTitles,0))&amp;INDEX(PlotData,MATCH($A409,PlotNumber,0),MATCH(O$3,PlotTitles,0))))&lt;(DATEVALUE(INDEX(PlotData,MATCH($A409,PlotNumber,0),MATCH(I$3,PlotTitles,0))&amp;INDEX(PlotData,MATCH($A409,PlotNumber,0),MATCH(J$3,PlotTitles,0)))),$AB$20,TRUE,"")</f>
        <v/>
      </c>
      <c r="R409" s="104" t="str" cm="1">
        <f t="array" ref="R409">_xlfn.IFS(OR(ISBLANK(StartDateMonth),ISBLANK(StartDateYear)),"",AND(A409&gt;NumberOfPlots,ISBLANK(INDEX(PlotData,MATCH($A409,PlotNumber,0),MATCH(B$3,PlotTitles,0)))),"",ISBLANK(INDEX(PlotData,MATCH($A409,PlotNumber,0),MATCH(N$3,PlotTitles,0))),"",CompletionMonth="","",(DATEVALUE(INDEX(PlotData,MATCH($A409,PlotNumber,0),MATCH(N$3,PlotTitles,0))&amp;INDEX(PlotData,MATCH($A409,PlotNumber,0),MATCH(O$3,PlotTitles,0))))&gt;(DATEVALUE(CompletionMonth&amp;CompletionYear)),$AB$21,TRUE,"")</f>
        <v/>
      </c>
      <c r="S409" s="104" t="str" cm="1">
        <f t="array" ref="S409">_xlfn.IFS(AND(A409&gt;NumberOfPlots,ISBLANK(INDEX(PlotData,MATCH($A409,PlotNumber,0),MATCH(B$3,PlotTitles,0)))),"",OR(AND(INDEX(PlotData,MATCH($A409,PlotNumber,0),MATCH("Tenure",PlotTitles,0))="Open market housing",INDEX(PlotData,MATCH($A409,PlotNumber,0),MATCH("Tenure detail",PlotTitles,0))="Private rented sector"),INDEX(PlotData,MATCH($A409,PlotNumber,0),MATCH("Tenure",PlotTitles,0))="Affordable rent"),"",ISNUMBER(INDEX(PlotData,MATCH($A409,PlotNumber,0),MATCH(S$3,PlotTitles,0)))=FALSE, $AB$22,TRUE,"")</f>
        <v/>
      </c>
      <c r="T409" s="104" t="str" cm="1">
        <f t="array" ref="T409">_xlfn.IFS(AND(A409&gt;NumberOfPlots,ISBLANK(INDEX(PlotData,MATCH($A409,PlotNumber,0),MATCH(B$3,PlotTitles,0)))),"",OR(AND(INDEX(PlotData,MATCH($A409,PlotNumber,0),MATCH("Tenure",PlotTitles,0))="Open market housing",INDEX(PlotData,MATCH($A409,PlotNumber,0),MATCH("Tenure detail",PlotTitles,0))="Private rented sector"),INDEX(PlotData,MATCH($A409,PlotNumber,0),MATCH("Tenure",PlotTitles,0))="Affordable rent"),"",INDEX(PlotData,MATCH($A409,PlotNumber,0),MATCH(S$3,PlotTitles,0))&lt;10000, $AB$23,TRUE,"")</f>
        <v/>
      </c>
      <c r="U409" s="104" t="str" cm="1">
        <f t="array" ref="U409">_xlfn.IFS(AND(A409&gt;NumberOfPlots,ISBLANK(INDEX(PlotData,MATCH($A409,PlotNumber,0),MATCH(B$3,PlotTitles,0)))),"",NOT(OR(AND(INDEX(PlotData,MATCH($A409,PlotNumber,0),MATCH("Tenure",PlotTitles,0))="Open market housing",INDEX(PlotData,MATCH($A409,PlotNumber,0),MATCH("Tenure detail",PlotTitles,0))="Private rented sector"),INDEX(PlotData,MATCH($A409,PlotNumber,0),MATCH("Tenure",PlotTitles,0))="Affordable rent")),"",NOT(INDEX(PlotData,MATCH($A409,PlotNumber,0),MATCH(S$3,PlotTitles,0))=0), $AB$24,TRUE,"")</f>
        <v/>
      </c>
      <c r="V409" s="114" t="str" cm="1">
        <f t="array" aca="1" ref="V409" ca="1">_xlfn.IFS(ISBLANK(NumberOfPlots),"Enter the number of homes on the 1_SetUp sheet",AND(A409&gt;NumberOfPlots,ISBLANK(INDEX(PlotData,MATCH($A409,PlotNumber,0),MATCH(B$3,PlotTitles,0)))),"No error",NOT(B409=""),B409,NOT(C409=""),C409,NOT(D409=""),D409,NOT(E409=""),E409,NOT(F409=""),F409,NOT(G409=""),G409,NOT(H409=""),H409,NOT(I409=""),I409,NOT(J409=""),J409,NOT(K409=""),K409,NOT(L409=""),L409,NOT(M409=""),M409,NOT(N409=""),N409,NOT(O409=""),O409,NOT(P409=""),P409,NOT(Q409=""),Q409,NOT(R409=""),R409,NOT(S409=""),S409,NOT(T409=""),T409,NOT(U409=""),U409,TRUE,"No error")</f>
        <v>Enter the number of homes on the 1_SetUp sheet</v>
      </c>
      <c r="W409" s="114" t="str">
        <f t="shared" ca="1" si="20"/>
        <v xml:space="preserve">The Borrower has not addressed the following error messages for Home ID 405: </v>
      </c>
    </row>
    <row r="410" spans="1:23">
      <c r="A410" s="123">
        <v>406</v>
      </c>
      <c r="B410" s="104" t="str" cm="1">
        <f t="array" ref="B410">_xlfn.IFS(AND(A410&gt;NumberOfPlots,ISBLANK(INDEX(PlotData,MATCH($A410,PlotNumber,0),MATCH(B$3,PlotTitles,0)))),"",ISNUMBER(INDEX(PlotData,MATCH($A410,PlotNumber,0),MATCH(B$3,PlotTitles,0)))=FALSE, $AB$5,TRUE,"")</f>
        <v/>
      </c>
      <c r="C410" s="104" t="str" cm="1">
        <f t="array" ref="C410">_xlfn.IFS(AND(A410&gt;NumberOfPlots,ISBLANK(INDEX(PlotData,MATCH($A410,PlotNumber,0),MATCH(B$3,PlotTitles,0)))),"",ISBLANK(INDEX(PlotData,MATCH($A410,PlotNumber,0),MATCH(C$3,PlotTitles,0))),$AB$6,TRUE,"")</f>
        <v/>
      </c>
      <c r="D410" s="104" t="str" cm="1">
        <f t="array" ref="D410">_xlfn.IFS(AND(A410&gt;NumberOfPlots,ISBLANK(INDEX(PlotData,MATCH($A410,PlotNumber,0),MATCH(B$3,PlotTitles,0)))),"",ISBLANK(INDEX(PlotData,MATCH($A410,PlotNumber,0),MATCH(D$3,PlotTitles,0))),$AB$7,TRUE,"")</f>
        <v/>
      </c>
      <c r="E410" s="104" t="str" cm="1">
        <f t="array" ref="E410">_xlfn.IFS(AND(A410&gt;NumberOfPlots,ISBLANK(INDEX(PlotData,MATCH($A410,PlotNumber,0),MATCH(B$3,PlotTitles,0)))),"",ISBLANK(INDEX(PlotData,MATCH($A410,PlotNumber,0),MATCH(E$3,PlotTitles,0))),$AB$8,TRUE,"")</f>
        <v/>
      </c>
      <c r="F410" s="104" t="str" cm="1">
        <f t="array" ref="F410">_xlfn.IFS(AND(A410&gt;NumberOfPlots,ISBLANK(INDEX(PlotData,MATCH($A410,PlotNumber,0),MATCH(B$3,PlotTitles,0)))),"",ISBLANK(INDEX(PlotData,MATCH($A410,PlotNumber,0),MATCH(F$3,PlotTitles,0))),$AB$9,TRUE,"")</f>
        <v/>
      </c>
      <c r="G410" s="104" t="str" cm="1">
        <f t="array" ref="G410">_xlfn.IFS(AND(A410&gt;NumberOfPlots,ISBLANK(INDEX(PlotData,MATCH($A410,PlotNumber,0),MATCH(B$3,PlotTitles,0)))),"",ISBLANK(INDEX(PlotData,MATCH($A410,PlotNumber,0),MATCH(G$3,PlotTitles,0))),$AB$10,TRUE,"")</f>
        <v/>
      </c>
      <c r="H410" s="104" t="str" cm="1">
        <f t="array" ref="H410">_xlfn.IFS(AND(A410&gt;NumberOfPlots,ISBLANK(INDEX(PlotData,MATCH($A410,PlotNumber,0),MATCH(B$3,PlotTitles,0)))),"",AND(ISBLANK(INDEX(PlotData,MATCH($A410,PlotNumber,0),MATCH(H$3,PlotTitles,0)))=FALSE,INDEX(PlotData,MATCH($A410,PlotNumber,0),MATCH(H$3,PlotTitles,0))&lt;500), $AB$11,TRUE,"")</f>
        <v/>
      </c>
      <c r="I410" s="104" t="str" cm="1">
        <f t="array" ref="I410">_xlfn.IFS(AND(A410&gt;NumberOfPlots,ISBLANK(INDEX(PlotData,MATCH($A410,PlotNumber,0),MATCH(B$3,PlotTitles,0)))),"",ISBLANK(INDEX(PlotData,MATCH($A410,PlotNumber,0),MATCH(I$3,PlotTitles,0))),$AB$12,TRUE,"")</f>
        <v/>
      </c>
      <c r="J410" s="104" t="str" cm="1">
        <f t="array" ref="J410">_xlfn.IFS(AND(A410&gt;NumberOfPlots,ISBLANK(INDEX(PlotData,MATCH($A410,PlotNumber,0),MATCH(B$3,PlotTitles,0)))),"",ISBLANK(INDEX(PlotData,MATCH($A410,PlotNumber,0),MATCH(J$3,PlotTitles,0))),$AB$13,TRUE,"")</f>
        <v/>
      </c>
      <c r="K410" s="182" t="str">
        <f t="shared" ca="1" si="18"/>
        <v/>
      </c>
      <c r="L410" s="104" t="str" cm="1">
        <f t="array" ref="L410">_xlfn.IFS(OR(ISBLANK(StartDateMonth),ISBLANK(StartDateYear)),"",AND(A410&gt;NumberOfPlots,ISBLANK(INDEX(PlotData,MATCH($A410,PlotNumber,0),MATCH(B$3,PlotTitles,0)))),"",ISBLANK(INDEX(PlotData,MATCH($A410,PlotNumber,0),MATCH(I$3,PlotTitles,0))),"",(DATEVALUE(INDEX(PlotData,MATCH($A410,PlotNumber,0),MATCH(I$3,PlotTitles,0))&amp;INDEX(PlotData,MATCH($A410,PlotNumber,0),MATCH(J$3,PlotTitles,0))))&lt;DATEVALUE(StartDateMonth&amp;StartDateYear),$AB$15,TRUE,"")</f>
        <v/>
      </c>
      <c r="M410" s="104" t="str" cm="1">
        <f t="array" ref="M410">_xlfn.IFS(OR(ISBLANK(StartDateMonth),ISBLANK(StartDateYear)),"",AND(A410&gt;NumberOfPlots,ISBLANK(INDEX(PlotData,MATCH($A410,PlotNumber,0),MATCH(B$3,PlotTitles,0)))),"",ISBLANK(INDEX(PlotData,MATCH($A410,PlotNumber,0),MATCH(I$3,PlotTitles,0))),"",CompletionMonth="","",(DATEVALUE(INDEX(PlotData,MATCH($A410,PlotNumber,0),MATCH(I$3,PlotTitles,0))&amp;INDEX(PlotData,MATCH($A410,PlotNumber,0),MATCH(J$3,PlotTitles,0))))&gt;(DATEVALUE(CompletionMonth&amp;CompletionYear)),$AB$16,TRUE,"")</f>
        <v/>
      </c>
      <c r="N410" s="104" t="str" cm="1">
        <f t="array" ref="N410">_xlfn.IFS(AND(A410&gt;NumberOfPlots,ISBLANK(INDEX(PlotData,MATCH($A410,PlotNumber,0),MATCH(B$3,PlotTitles,0)))),"",ISBLANK(INDEX(PlotData,MATCH($A410,PlotNumber,0),MATCH(N$3,PlotTitles,0))),$AB$17,TRUE,"")</f>
        <v/>
      </c>
      <c r="O410" s="104" t="str" cm="1">
        <f t="array" ref="O410">_xlfn.IFS(AND(A410&gt;NumberOfPlots,ISBLANK(INDEX(PlotData,MATCH($A410,PlotNumber,0),MATCH(B$3,PlotTitles,0)))),"",ISBLANK(INDEX(PlotData,MATCH($A410,PlotNumber,0),MATCH(O$3,PlotTitles,0))),$AB$18,TRUE,"")</f>
        <v/>
      </c>
      <c r="P410" s="182" t="str">
        <f t="shared" ca="1" si="19"/>
        <v/>
      </c>
      <c r="Q410" s="104" t="str" cm="1">
        <f t="array" ref="Q410">_xlfn.IFS(AND(A410&gt;NumberOfPlots,ISBLANK(INDEX(PlotData,MATCH($A410,PlotNumber,0),MATCH(B$3,PlotTitles,0)))),"",ISBLANK(INDEX(PlotData,MATCH($A410,PlotNumber,0),MATCH(N$3,PlotTitles,0))),"",(DATEVALUE(INDEX(PlotData,MATCH($A410,PlotNumber,0),MATCH(N$3,PlotTitles,0))&amp;INDEX(PlotData,MATCH($A410,PlotNumber,0),MATCH(O$3,PlotTitles,0))))&lt;(DATEVALUE(INDEX(PlotData,MATCH($A410,PlotNumber,0),MATCH(I$3,PlotTitles,0))&amp;INDEX(PlotData,MATCH($A410,PlotNumber,0),MATCH(J$3,PlotTitles,0)))),$AB$20,TRUE,"")</f>
        <v/>
      </c>
      <c r="R410" s="104" t="str" cm="1">
        <f t="array" ref="R410">_xlfn.IFS(OR(ISBLANK(StartDateMonth),ISBLANK(StartDateYear)),"",AND(A410&gt;NumberOfPlots,ISBLANK(INDEX(PlotData,MATCH($A410,PlotNumber,0),MATCH(B$3,PlotTitles,0)))),"",ISBLANK(INDEX(PlotData,MATCH($A410,PlotNumber,0),MATCH(N$3,PlotTitles,0))),"",CompletionMonth="","",(DATEVALUE(INDEX(PlotData,MATCH($A410,PlotNumber,0),MATCH(N$3,PlotTitles,0))&amp;INDEX(PlotData,MATCH($A410,PlotNumber,0),MATCH(O$3,PlotTitles,0))))&gt;(DATEVALUE(CompletionMonth&amp;CompletionYear)),$AB$21,TRUE,"")</f>
        <v/>
      </c>
      <c r="S410" s="104" t="str" cm="1">
        <f t="array" ref="S410">_xlfn.IFS(AND(A410&gt;NumberOfPlots,ISBLANK(INDEX(PlotData,MATCH($A410,PlotNumber,0),MATCH(B$3,PlotTitles,0)))),"",OR(AND(INDEX(PlotData,MATCH($A410,PlotNumber,0),MATCH("Tenure",PlotTitles,0))="Open market housing",INDEX(PlotData,MATCH($A410,PlotNumber,0),MATCH("Tenure detail",PlotTitles,0))="Private rented sector"),INDEX(PlotData,MATCH($A410,PlotNumber,0),MATCH("Tenure",PlotTitles,0))="Affordable rent"),"",ISNUMBER(INDEX(PlotData,MATCH($A410,PlotNumber,0),MATCH(S$3,PlotTitles,0)))=FALSE, $AB$22,TRUE,"")</f>
        <v/>
      </c>
      <c r="T410" s="104" t="str" cm="1">
        <f t="array" ref="T410">_xlfn.IFS(AND(A410&gt;NumberOfPlots,ISBLANK(INDEX(PlotData,MATCH($A410,PlotNumber,0),MATCH(B$3,PlotTitles,0)))),"",OR(AND(INDEX(PlotData,MATCH($A410,PlotNumber,0),MATCH("Tenure",PlotTitles,0))="Open market housing",INDEX(PlotData,MATCH($A410,PlotNumber,0),MATCH("Tenure detail",PlotTitles,0))="Private rented sector"),INDEX(PlotData,MATCH($A410,PlotNumber,0),MATCH("Tenure",PlotTitles,0))="Affordable rent"),"",INDEX(PlotData,MATCH($A410,PlotNumber,0),MATCH(S$3,PlotTitles,0))&lt;10000, $AB$23,TRUE,"")</f>
        <v/>
      </c>
      <c r="U410" s="104" t="str" cm="1">
        <f t="array" ref="U410">_xlfn.IFS(AND(A410&gt;NumberOfPlots,ISBLANK(INDEX(PlotData,MATCH($A410,PlotNumber,0),MATCH(B$3,PlotTitles,0)))),"",NOT(OR(AND(INDEX(PlotData,MATCH($A410,PlotNumber,0),MATCH("Tenure",PlotTitles,0))="Open market housing",INDEX(PlotData,MATCH($A410,PlotNumber,0),MATCH("Tenure detail",PlotTitles,0))="Private rented sector"),INDEX(PlotData,MATCH($A410,PlotNumber,0),MATCH("Tenure",PlotTitles,0))="Affordable rent")),"",NOT(INDEX(PlotData,MATCH($A410,PlotNumber,0),MATCH(S$3,PlotTitles,0))=0), $AB$24,TRUE,"")</f>
        <v/>
      </c>
      <c r="V410" s="114" t="str" cm="1">
        <f t="array" aca="1" ref="V410" ca="1">_xlfn.IFS(ISBLANK(NumberOfPlots),"Enter the number of homes on the 1_SetUp sheet",AND(A410&gt;NumberOfPlots,ISBLANK(INDEX(PlotData,MATCH($A410,PlotNumber,0),MATCH(B$3,PlotTitles,0)))),"No error",NOT(B410=""),B410,NOT(C410=""),C410,NOT(D410=""),D410,NOT(E410=""),E410,NOT(F410=""),F410,NOT(G410=""),G410,NOT(H410=""),H410,NOT(I410=""),I410,NOT(J410=""),J410,NOT(K410=""),K410,NOT(L410=""),L410,NOT(M410=""),M410,NOT(N410=""),N410,NOT(O410=""),O410,NOT(P410=""),P410,NOT(Q410=""),Q410,NOT(R410=""),R410,NOT(S410=""),S410,NOT(T410=""),T410,NOT(U410=""),U410,TRUE,"No error")</f>
        <v>Enter the number of homes on the 1_SetUp sheet</v>
      </c>
      <c r="W410" s="114" t="str">
        <f t="shared" ca="1" si="20"/>
        <v xml:space="preserve">The Borrower has not addressed the following error messages for Home ID 406: </v>
      </c>
    </row>
    <row r="411" spans="1:23">
      <c r="A411" s="123">
        <v>407</v>
      </c>
      <c r="B411" s="104" t="str" cm="1">
        <f t="array" ref="B411">_xlfn.IFS(AND(A411&gt;NumberOfPlots,ISBLANK(INDEX(PlotData,MATCH($A411,PlotNumber,0),MATCH(B$3,PlotTitles,0)))),"",ISNUMBER(INDEX(PlotData,MATCH($A411,PlotNumber,0),MATCH(B$3,PlotTitles,0)))=FALSE, $AB$5,TRUE,"")</f>
        <v/>
      </c>
      <c r="C411" s="104" t="str" cm="1">
        <f t="array" ref="C411">_xlfn.IFS(AND(A411&gt;NumberOfPlots,ISBLANK(INDEX(PlotData,MATCH($A411,PlotNumber,0),MATCH(B$3,PlotTitles,0)))),"",ISBLANK(INDEX(PlotData,MATCH($A411,PlotNumber,0),MATCH(C$3,PlotTitles,0))),$AB$6,TRUE,"")</f>
        <v/>
      </c>
      <c r="D411" s="104" t="str" cm="1">
        <f t="array" ref="D411">_xlfn.IFS(AND(A411&gt;NumberOfPlots,ISBLANK(INDEX(PlotData,MATCH($A411,PlotNumber,0),MATCH(B$3,PlotTitles,0)))),"",ISBLANK(INDEX(PlotData,MATCH($A411,PlotNumber,0),MATCH(D$3,PlotTitles,0))),$AB$7,TRUE,"")</f>
        <v/>
      </c>
      <c r="E411" s="104" t="str" cm="1">
        <f t="array" ref="E411">_xlfn.IFS(AND(A411&gt;NumberOfPlots,ISBLANK(INDEX(PlotData,MATCH($A411,PlotNumber,0),MATCH(B$3,PlotTitles,0)))),"",ISBLANK(INDEX(PlotData,MATCH($A411,PlotNumber,0),MATCH(E$3,PlotTitles,0))),$AB$8,TRUE,"")</f>
        <v/>
      </c>
      <c r="F411" s="104" t="str" cm="1">
        <f t="array" ref="F411">_xlfn.IFS(AND(A411&gt;NumberOfPlots,ISBLANK(INDEX(PlotData,MATCH($A411,PlotNumber,0),MATCH(B$3,PlotTitles,0)))),"",ISBLANK(INDEX(PlotData,MATCH($A411,PlotNumber,0),MATCH(F$3,PlotTitles,0))),$AB$9,TRUE,"")</f>
        <v/>
      </c>
      <c r="G411" s="104" t="str" cm="1">
        <f t="array" ref="G411">_xlfn.IFS(AND(A411&gt;NumberOfPlots,ISBLANK(INDEX(PlotData,MATCH($A411,PlotNumber,0),MATCH(B$3,PlotTitles,0)))),"",ISBLANK(INDEX(PlotData,MATCH($A411,PlotNumber,0),MATCH(G$3,PlotTitles,0))),$AB$10,TRUE,"")</f>
        <v/>
      </c>
      <c r="H411" s="104" t="str" cm="1">
        <f t="array" ref="H411">_xlfn.IFS(AND(A411&gt;NumberOfPlots,ISBLANK(INDEX(PlotData,MATCH($A411,PlotNumber,0),MATCH(B$3,PlotTitles,0)))),"",AND(ISBLANK(INDEX(PlotData,MATCH($A411,PlotNumber,0),MATCH(H$3,PlotTitles,0)))=FALSE,INDEX(PlotData,MATCH($A411,PlotNumber,0),MATCH(H$3,PlotTitles,0))&lt;500), $AB$11,TRUE,"")</f>
        <v/>
      </c>
      <c r="I411" s="104" t="str" cm="1">
        <f t="array" ref="I411">_xlfn.IFS(AND(A411&gt;NumberOfPlots,ISBLANK(INDEX(PlotData,MATCH($A411,PlotNumber,0),MATCH(B$3,PlotTitles,0)))),"",ISBLANK(INDEX(PlotData,MATCH($A411,PlotNumber,0),MATCH(I$3,PlotTitles,0))),$AB$12,TRUE,"")</f>
        <v/>
      </c>
      <c r="J411" s="104" t="str" cm="1">
        <f t="array" ref="J411">_xlfn.IFS(AND(A411&gt;NumberOfPlots,ISBLANK(INDEX(PlotData,MATCH($A411,PlotNumber,0),MATCH(B$3,PlotTitles,0)))),"",ISBLANK(INDEX(PlotData,MATCH($A411,PlotNumber,0),MATCH(J$3,PlotTitles,0))),$AB$13,TRUE,"")</f>
        <v/>
      </c>
      <c r="K411" s="182" t="str">
        <f t="shared" ca="1" si="18"/>
        <v/>
      </c>
      <c r="L411" s="104" t="str" cm="1">
        <f t="array" ref="L411">_xlfn.IFS(OR(ISBLANK(StartDateMonth),ISBLANK(StartDateYear)),"",AND(A411&gt;NumberOfPlots,ISBLANK(INDEX(PlotData,MATCH($A411,PlotNumber,0),MATCH(B$3,PlotTitles,0)))),"",ISBLANK(INDEX(PlotData,MATCH($A411,PlotNumber,0),MATCH(I$3,PlotTitles,0))),"",(DATEVALUE(INDEX(PlotData,MATCH($A411,PlotNumber,0),MATCH(I$3,PlotTitles,0))&amp;INDEX(PlotData,MATCH($A411,PlotNumber,0),MATCH(J$3,PlotTitles,0))))&lt;DATEVALUE(StartDateMonth&amp;StartDateYear),$AB$15,TRUE,"")</f>
        <v/>
      </c>
      <c r="M411" s="104" t="str" cm="1">
        <f t="array" ref="M411">_xlfn.IFS(OR(ISBLANK(StartDateMonth),ISBLANK(StartDateYear)),"",AND(A411&gt;NumberOfPlots,ISBLANK(INDEX(PlotData,MATCH($A411,PlotNumber,0),MATCH(B$3,PlotTitles,0)))),"",ISBLANK(INDEX(PlotData,MATCH($A411,PlotNumber,0),MATCH(I$3,PlotTitles,0))),"",CompletionMonth="","",(DATEVALUE(INDEX(PlotData,MATCH($A411,PlotNumber,0),MATCH(I$3,PlotTitles,0))&amp;INDEX(PlotData,MATCH($A411,PlotNumber,0),MATCH(J$3,PlotTitles,0))))&gt;(DATEVALUE(CompletionMonth&amp;CompletionYear)),$AB$16,TRUE,"")</f>
        <v/>
      </c>
      <c r="N411" s="104" t="str" cm="1">
        <f t="array" ref="N411">_xlfn.IFS(AND(A411&gt;NumberOfPlots,ISBLANK(INDEX(PlotData,MATCH($A411,PlotNumber,0),MATCH(B$3,PlotTitles,0)))),"",ISBLANK(INDEX(PlotData,MATCH($A411,PlotNumber,0),MATCH(N$3,PlotTitles,0))),$AB$17,TRUE,"")</f>
        <v/>
      </c>
      <c r="O411" s="104" t="str" cm="1">
        <f t="array" ref="O411">_xlfn.IFS(AND(A411&gt;NumberOfPlots,ISBLANK(INDEX(PlotData,MATCH($A411,PlotNumber,0),MATCH(B$3,PlotTitles,0)))),"",ISBLANK(INDEX(PlotData,MATCH($A411,PlotNumber,0),MATCH(O$3,PlotTitles,0))),$AB$18,TRUE,"")</f>
        <v/>
      </c>
      <c r="P411" s="182" t="str">
        <f t="shared" ca="1" si="19"/>
        <v/>
      </c>
      <c r="Q411" s="104" t="str" cm="1">
        <f t="array" ref="Q411">_xlfn.IFS(AND(A411&gt;NumberOfPlots,ISBLANK(INDEX(PlotData,MATCH($A411,PlotNumber,0),MATCH(B$3,PlotTitles,0)))),"",ISBLANK(INDEX(PlotData,MATCH($A411,PlotNumber,0),MATCH(N$3,PlotTitles,0))),"",(DATEVALUE(INDEX(PlotData,MATCH($A411,PlotNumber,0),MATCH(N$3,PlotTitles,0))&amp;INDEX(PlotData,MATCH($A411,PlotNumber,0),MATCH(O$3,PlotTitles,0))))&lt;(DATEVALUE(INDEX(PlotData,MATCH($A411,PlotNumber,0),MATCH(I$3,PlotTitles,0))&amp;INDEX(PlotData,MATCH($A411,PlotNumber,0),MATCH(J$3,PlotTitles,0)))),$AB$20,TRUE,"")</f>
        <v/>
      </c>
      <c r="R411" s="104" t="str" cm="1">
        <f t="array" ref="R411">_xlfn.IFS(OR(ISBLANK(StartDateMonth),ISBLANK(StartDateYear)),"",AND(A411&gt;NumberOfPlots,ISBLANK(INDEX(PlotData,MATCH($A411,PlotNumber,0),MATCH(B$3,PlotTitles,0)))),"",ISBLANK(INDEX(PlotData,MATCH($A411,PlotNumber,0),MATCH(N$3,PlotTitles,0))),"",CompletionMonth="","",(DATEVALUE(INDEX(PlotData,MATCH($A411,PlotNumber,0),MATCH(N$3,PlotTitles,0))&amp;INDEX(PlotData,MATCH($A411,PlotNumber,0),MATCH(O$3,PlotTitles,0))))&gt;(DATEVALUE(CompletionMonth&amp;CompletionYear)),$AB$21,TRUE,"")</f>
        <v/>
      </c>
      <c r="S411" s="104" t="str" cm="1">
        <f t="array" ref="S411">_xlfn.IFS(AND(A411&gt;NumberOfPlots,ISBLANK(INDEX(PlotData,MATCH($A411,PlotNumber,0),MATCH(B$3,PlotTitles,0)))),"",OR(AND(INDEX(PlotData,MATCH($A411,PlotNumber,0),MATCH("Tenure",PlotTitles,0))="Open market housing",INDEX(PlotData,MATCH($A411,PlotNumber,0),MATCH("Tenure detail",PlotTitles,0))="Private rented sector"),INDEX(PlotData,MATCH($A411,PlotNumber,0),MATCH("Tenure",PlotTitles,0))="Affordable rent"),"",ISNUMBER(INDEX(PlotData,MATCH($A411,PlotNumber,0),MATCH(S$3,PlotTitles,0)))=FALSE, $AB$22,TRUE,"")</f>
        <v/>
      </c>
      <c r="T411" s="104" t="str" cm="1">
        <f t="array" ref="T411">_xlfn.IFS(AND(A411&gt;NumberOfPlots,ISBLANK(INDEX(PlotData,MATCH($A411,PlotNumber,0),MATCH(B$3,PlotTitles,0)))),"",OR(AND(INDEX(PlotData,MATCH($A411,PlotNumber,0),MATCH("Tenure",PlotTitles,0))="Open market housing",INDEX(PlotData,MATCH($A411,PlotNumber,0),MATCH("Tenure detail",PlotTitles,0))="Private rented sector"),INDEX(PlotData,MATCH($A411,PlotNumber,0),MATCH("Tenure",PlotTitles,0))="Affordable rent"),"",INDEX(PlotData,MATCH($A411,PlotNumber,0),MATCH(S$3,PlotTitles,0))&lt;10000, $AB$23,TRUE,"")</f>
        <v/>
      </c>
      <c r="U411" s="104" t="str" cm="1">
        <f t="array" ref="U411">_xlfn.IFS(AND(A411&gt;NumberOfPlots,ISBLANK(INDEX(PlotData,MATCH($A411,PlotNumber,0),MATCH(B$3,PlotTitles,0)))),"",NOT(OR(AND(INDEX(PlotData,MATCH($A411,PlotNumber,0),MATCH("Tenure",PlotTitles,0))="Open market housing",INDEX(PlotData,MATCH($A411,PlotNumber,0),MATCH("Tenure detail",PlotTitles,0))="Private rented sector"),INDEX(PlotData,MATCH($A411,PlotNumber,0),MATCH("Tenure",PlotTitles,0))="Affordable rent")),"",NOT(INDEX(PlotData,MATCH($A411,PlotNumber,0),MATCH(S$3,PlotTitles,0))=0), $AB$24,TRUE,"")</f>
        <v/>
      </c>
      <c r="V411" s="114" t="str" cm="1">
        <f t="array" aca="1" ref="V411" ca="1">_xlfn.IFS(ISBLANK(NumberOfPlots),"Enter the number of homes on the 1_SetUp sheet",AND(A411&gt;NumberOfPlots,ISBLANK(INDEX(PlotData,MATCH($A411,PlotNumber,0),MATCH(B$3,PlotTitles,0)))),"No error",NOT(B411=""),B411,NOT(C411=""),C411,NOT(D411=""),D411,NOT(E411=""),E411,NOT(F411=""),F411,NOT(G411=""),G411,NOT(H411=""),H411,NOT(I411=""),I411,NOT(J411=""),J411,NOT(K411=""),K411,NOT(L411=""),L411,NOT(M411=""),M411,NOT(N411=""),N411,NOT(O411=""),O411,NOT(P411=""),P411,NOT(Q411=""),Q411,NOT(R411=""),R411,NOT(S411=""),S411,NOT(T411=""),T411,NOT(U411=""),U411,TRUE,"No error")</f>
        <v>Enter the number of homes on the 1_SetUp sheet</v>
      </c>
      <c r="W411" s="114" t="str">
        <f t="shared" ca="1" si="20"/>
        <v xml:space="preserve">The Borrower has not addressed the following error messages for Home ID 407: </v>
      </c>
    </row>
    <row r="412" spans="1:23">
      <c r="A412" s="123">
        <v>408</v>
      </c>
      <c r="B412" s="104" t="str" cm="1">
        <f t="array" ref="B412">_xlfn.IFS(AND(A412&gt;NumberOfPlots,ISBLANK(INDEX(PlotData,MATCH($A412,PlotNumber,0),MATCH(B$3,PlotTitles,0)))),"",ISNUMBER(INDEX(PlotData,MATCH($A412,PlotNumber,0),MATCH(B$3,PlotTitles,0)))=FALSE, $AB$5,TRUE,"")</f>
        <v/>
      </c>
      <c r="C412" s="104" t="str" cm="1">
        <f t="array" ref="C412">_xlfn.IFS(AND(A412&gt;NumberOfPlots,ISBLANK(INDEX(PlotData,MATCH($A412,PlotNumber,0),MATCH(B$3,PlotTitles,0)))),"",ISBLANK(INDEX(PlotData,MATCH($A412,PlotNumber,0),MATCH(C$3,PlotTitles,0))),$AB$6,TRUE,"")</f>
        <v/>
      </c>
      <c r="D412" s="104" t="str" cm="1">
        <f t="array" ref="D412">_xlfn.IFS(AND(A412&gt;NumberOfPlots,ISBLANK(INDEX(PlotData,MATCH($A412,PlotNumber,0),MATCH(B$3,PlotTitles,0)))),"",ISBLANK(INDEX(PlotData,MATCH($A412,PlotNumber,0),MATCH(D$3,PlotTitles,0))),$AB$7,TRUE,"")</f>
        <v/>
      </c>
      <c r="E412" s="104" t="str" cm="1">
        <f t="array" ref="E412">_xlfn.IFS(AND(A412&gt;NumberOfPlots,ISBLANK(INDEX(PlotData,MATCH($A412,PlotNumber,0),MATCH(B$3,PlotTitles,0)))),"",ISBLANK(INDEX(PlotData,MATCH($A412,PlotNumber,0),MATCH(E$3,PlotTitles,0))),$AB$8,TRUE,"")</f>
        <v/>
      </c>
      <c r="F412" s="104" t="str" cm="1">
        <f t="array" ref="F412">_xlfn.IFS(AND(A412&gt;NumberOfPlots,ISBLANK(INDEX(PlotData,MATCH($A412,PlotNumber,0),MATCH(B$3,PlotTitles,0)))),"",ISBLANK(INDEX(PlotData,MATCH($A412,PlotNumber,0),MATCH(F$3,PlotTitles,0))),$AB$9,TRUE,"")</f>
        <v/>
      </c>
      <c r="G412" s="104" t="str" cm="1">
        <f t="array" ref="G412">_xlfn.IFS(AND(A412&gt;NumberOfPlots,ISBLANK(INDEX(PlotData,MATCH($A412,PlotNumber,0),MATCH(B$3,PlotTitles,0)))),"",ISBLANK(INDEX(PlotData,MATCH($A412,PlotNumber,0),MATCH(G$3,PlotTitles,0))),$AB$10,TRUE,"")</f>
        <v/>
      </c>
      <c r="H412" s="104" t="str" cm="1">
        <f t="array" ref="H412">_xlfn.IFS(AND(A412&gt;NumberOfPlots,ISBLANK(INDEX(PlotData,MATCH($A412,PlotNumber,0),MATCH(B$3,PlotTitles,0)))),"",AND(ISBLANK(INDEX(PlotData,MATCH($A412,PlotNumber,0),MATCH(H$3,PlotTitles,0)))=FALSE,INDEX(PlotData,MATCH($A412,PlotNumber,0),MATCH(H$3,PlotTitles,0))&lt;500), $AB$11,TRUE,"")</f>
        <v/>
      </c>
      <c r="I412" s="104" t="str" cm="1">
        <f t="array" ref="I412">_xlfn.IFS(AND(A412&gt;NumberOfPlots,ISBLANK(INDEX(PlotData,MATCH($A412,PlotNumber,0),MATCH(B$3,PlotTitles,0)))),"",ISBLANK(INDEX(PlotData,MATCH($A412,PlotNumber,0),MATCH(I$3,PlotTitles,0))),$AB$12,TRUE,"")</f>
        <v/>
      </c>
      <c r="J412" s="104" t="str" cm="1">
        <f t="array" ref="J412">_xlfn.IFS(AND(A412&gt;NumberOfPlots,ISBLANK(INDEX(PlotData,MATCH($A412,PlotNumber,0),MATCH(B$3,PlotTitles,0)))),"",ISBLANK(INDEX(PlotData,MATCH($A412,PlotNumber,0),MATCH(J$3,PlotTitles,0))),$AB$13,TRUE,"")</f>
        <v/>
      </c>
      <c r="K412" s="182" t="str">
        <f t="shared" ca="1" si="18"/>
        <v/>
      </c>
      <c r="L412" s="104" t="str" cm="1">
        <f t="array" ref="L412">_xlfn.IFS(OR(ISBLANK(StartDateMonth),ISBLANK(StartDateYear)),"",AND(A412&gt;NumberOfPlots,ISBLANK(INDEX(PlotData,MATCH($A412,PlotNumber,0),MATCH(B$3,PlotTitles,0)))),"",ISBLANK(INDEX(PlotData,MATCH($A412,PlotNumber,0),MATCH(I$3,PlotTitles,0))),"",(DATEVALUE(INDEX(PlotData,MATCH($A412,PlotNumber,0),MATCH(I$3,PlotTitles,0))&amp;INDEX(PlotData,MATCH($A412,PlotNumber,0),MATCH(J$3,PlotTitles,0))))&lt;DATEVALUE(StartDateMonth&amp;StartDateYear),$AB$15,TRUE,"")</f>
        <v/>
      </c>
      <c r="M412" s="104" t="str" cm="1">
        <f t="array" ref="M412">_xlfn.IFS(OR(ISBLANK(StartDateMonth),ISBLANK(StartDateYear)),"",AND(A412&gt;NumberOfPlots,ISBLANK(INDEX(PlotData,MATCH($A412,PlotNumber,0),MATCH(B$3,PlotTitles,0)))),"",ISBLANK(INDEX(PlotData,MATCH($A412,PlotNumber,0),MATCH(I$3,PlotTitles,0))),"",CompletionMonth="","",(DATEVALUE(INDEX(PlotData,MATCH($A412,PlotNumber,0),MATCH(I$3,PlotTitles,0))&amp;INDEX(PlotData,MATCH($A412,PlotNumber,0),MATCH(J$3,PlotTitles,0))))&gt;(DATEVALUE(CompletionMonth&amp;CompletionYear)),$AB$16,TRUE,"")</f>
        <v/>
      </c>
      <c r="N412" s="104" t="str" cm="1">
        <f t="array" ref="N412">_xlfn.IFS(AND(A412&gt;NumberOfPlots,ISBLANK(INDEX(PlotData,MATCH($A412,PlotNumber,0),MATCH(B$3,PlotTitles,0)))),"",ISBLANK(INDEX(PlotData,MATCH($A412,PlotNumber,0),MATCH(N$3,PlotTitles,0))),$AB$17,TRUE,"")</f>
        <v/>
      </c>
      <c r="O412" s="104" t="str" cm="1">
        <f t="array" ref="O412">_xlfn.IFS(AND(A412&gt;NumberOfPlots,ISBLANK(INDEX(PlotData,MATCH($A412,PlotNumber,0),MATCH(B$3,PlotTitles,0)))),"",ISBLANK(INDEX(PlotData,MATCH($A412,PlotNumber,0),MATCH(O$3,PlotTitles,0))),$AB$18,TRUE,"")</f>
        <v/>
      </c>
      <c r="P412" s="182" t="str">
        <f t="shared" ca="1" si="19"/>
        <v/>
      </c>
      <c r="Q412" s="104" t="str" cm="1">
        <f t="array" ref="Q412">_xlfn.IFS(AND(A412&gt;NumberOfPlots,ISBLANK(INDEX(PlotData,MATCH($A412,PlotNumber,0),MATCH(B$3,PlotTitles,0)))),"",ISBLANK(INDEX(PlotData,MATCH($A412,PlotNumber,0),MATCH(N$3,PlotTitles,0))),"",(DATEVALUE(INDEX(PlotData,MATCH($A412,PlotNumber,0),MATCH(N$3,PlotTitles,0))&amp;INDEX(PlotData,MATCH($A412,PlotNumber,0),MATCH(O$3,PlotTitles,0))))&lt;(DATEVALUE(INDEX(PlotData,MATCH($A412,PlotNumber,0),MATCH(I$3,PlotTitles,0))&amp;INDEX(PlotData,MATCH($A412,PlotNumber,0),MATCH(J$3,PlotTitles,0)))),$AB$20,TRUE,"")</f>
        <v/>
      </c>
      <c r="R412" s="104" t="str" cm="1">
        <f t="array" ref="R412">_xlfn.IFS(OR(ISBLANK(StartDateMonth),ISBLANK(StartDateYear)),"",AND(A412&gt;NumberOfPlots,ISBLANK(INDEX(PlotData,MATCH($A412,PlotNumber,0),MATCH(B$3,PlotTitles,0)))),"",ISBLANK(INDEX(PlotData,MATCH($A412,PlotNumber,0),MATCH(N$3,PlotTitles,0))),"",CompletionMonth="","",(DATEVALUE(INDEX(PlotData,MATCH($A412,PlotNumber,0),MATCH(N$3,PlotTitles,0))&amp;INDEX(PlotData,MATCH($A412,PlotNumber,0),MATCH(O$3,PlotTitles,0))))&gt;(DATEVALUE(CompletionMonth&amp;CompletionYear)),$AB$21,TRUE,"")</f>
        <v/>
      </c>
      <c r="S412" s="104" t="str" cm="1">
        <f t="array" ref="S412">_xlfn.IFS(AND(A412&gt;NumberOfPlots,ISBLANK(INDEX(PlotData,MATCH($A412,PlotNumber,0),MATCH(B$3,PlotTitles,0)))),"",OR(AND(INDEX(PlotData,MATCH($A412,PlotNumber,0),MATCH("Tenure",PlotTitles,0))="Open market housing",INDEX(PlotData,MATCH($A412,PlotNumber,0),MATCH("Tenure detail",PlotTitles,0))="Private rented sector"),INDEX(PlotData,MATCH($A412,PlotNumber,0),MATCH("Tenure",PlotTitles,0))="Affordable rent"),"",ISNUMBER(INDEX(PlotData,MATCH($A412,PlotNumber,0),MATCH(S$3,PlotTitles,0)))=FALSE, $AB$22,TRUE,"")</f>
        <v/>
      </c>
      <c r="T412" s="104" t="str" cm="1">
        <f t="array" ref="T412">_xlfn.IFS(AND(A412&gt;NumberOfPlots,ISBLANK(INDEX(PlotData,MATCH($A412,PlotNumber,0),MATCH(B$3,PlotTitles,0)))),"",OR(AND(INDEX(PlotData,MATCH($A412,PlotNumber,0),MATCH("Tenure",PlotTitles,0))="Open market housing",INDEX(PlotData,MATCH($A412,PlotNumber,0),MATCH("Tenure detail",PlotTitles,0))="Private rented sector"),INDEX(PlotData,MATCH($A412,PlotNumber,0),MATCH("Tenure",PlotTitles,0))="Affordable rent"),"",INDEX(PlotData,MATCH($A412,PlotNumber,0),MATCH(S$3,PlotTitles,0))&lt;10000, $AB$23,TRUE,"")</f>
        <v/>
      </c>
      <c r="U412" s="104" t="str" cm="1">
        <f t="array" ref="U412">_xlfn.IFS(AND(A412&gt;NumberOfPlots,ISBLANK(INDEX(PlotData,MATCH($A412,PlotNumber,0),MATCH(B$3,PlotTitles,0)))),"",NOT(OR(AND(INDEX(PlotData,MATCH($A412,PlotNumber,0),MATCH("Tenure",PlotTitles,0))="Open market housing",INDEX(PlotData,MATCH($A412,PlotNumber,0),MATCH("Tenure detail",PlotTitles,0))="Private rented sector"),INDEX(PlotData,MATCH($A412,PlotNumber,0),MATCH("Tenure",PlotTitles,0))="Affordable rent")),"",NOT(INDEX(PlotData,MATCH($A412,PlotNumber,0),MATCH(S$3,PlotTitles,0))=0), $AB$24,TRUE,"")</f>
        <v/>
      </c>
      <c r="V412" s="114" t="str" cm="1">
        <f t="array" aca="1" ref="V412" ca="1">_xlfn.IFS(ISBLANK(NumberOfPlots),"Enter the number of homes on the 1_SetUp sheet",AND(A412&gt;NumberOfPlots,ISBLANK(INDEX(PlotData,MATCH($A412,PlotNumber,0),MATCH(B$3,PlotTitles,0)))),"No error",NOT(B412=""),B412,NOT(C412=""),C412,NOT(D412=""),D412,NOT(E412=""),E412,NOT(F412=""),F412,NOT(G412=""),G412,NOT(H412=""),H412,NOT(I412=""),I412,NOT(J412=""),J412,NOT(K412=""),K412,NOT(L412=""),L412,NOT(M412=""),M412,NOT(N412=""),N412,NOT(O412=""),O412,NOT(P412=""),P412,NOT(Q412=""),Q412,NOT(R412=""),R412,NOT(S412=""),S412,NOT(T412=""),T412,NOT(U412=""),U412,TRUE,"No error")</f>
        <v>Enter the number of homes on the 1_SetUp sheet</v>
      </c>
      <c r="W412" s="114" t="str">
        <f t="shared" ca="1" si="20"/>
        <v xml:space="preserve">The Borrower has not addressed the following error messages for Home ID 408: </v>
      </c>
    </row>
    <row r="413" spans="1:23">
      <c r="A413" s="123">
        <v>409</v>
      </c>
      <c r="B413" s="104" t="str" cm="1">
        <f t="array" ref="B413">_xlfn.IFS(AND(A413&gt;NumberOfPlots,ISBLANK(INDEX(PlotData,MATCH($A413,PlotNumber,0),MATCH(B$3,PlotTitles,0)))),"",ISNUMBER(INDEX(PlotData,MATCH($A413,PlotNumber,0),MATCH(B$3,PlotTitles,0)))=FALSE, $AB$5,TRUE,"")</f>
        <v/>
      </c>
      <c r="C413" s="104" t="str" cm="1">
        <f t="array" ref="C413">_xlfn.IFS(AND(A413&gt;NumberOfPlots,ISBLANK(INDEX(PlotData,MATCH($A413,PlotNumber,0),MATCH(B$3,PlotTitles,0)))),"",ISBLANK(INDEX(PlotData,MATCH($A413,PlotNumber,0),MATCH(C$3,PlotTitles,0))),$AB$6,TRUE,"")</f>
        <v/>
      </c>
      <c r="D413" s="104" t="str" cm="1">
        <f t="array" ref="D413">_xlfn.IFS(AND(A413&gt;NumberOfPlots,ISBLANK(INDEX(PlotData,MATCH($A413,PlotNumber,0),MATCH(B$3,PlotTitles,0)))),"",ISBLANK(INDEX(PlotData,MATCH($A413,PlotNumber,0),MATCH(D$3,PlotTitles,0))),$AB$7,TRUE,"")</f>
        <v/>
      </c>
      <c r="E413" s="104" t="str" cm="1">
        <f t="array" ref="E413">_xlfn.IFS(AND(A413&gt;NumberOfPlots,ISBLANK(INDEX(PlotData,MATCH($A413,PlotNumber,0),MATCH(B$3,PlotTitles,0)))),"",ISBLANK(INDEX(PlotData,MATCH($A413,PlotNumber,0),MATCH(E$3,PlotTitles,0))),$AB$8,TRUE,"")</f>
        <v/>
      </c>
      <c r="F413" s="104" t="str" cm="1">
        <f t="array" ref="F413">_xlfn.IFS(AND(A413&gt;NumberOfPlots,ISBLANK(INDEX(PlotData,MATCH($A413,PlotNumber,0),MATCH(B$3,PlotTitles,0)))),"",ISBLANK(INDEX(PlotData,MATCH($A413,PlotNumber,0),MATCH(F$3,PlotTitles,0))),$AB$9,TRUE,"")</f>
        <v/>
      </c>
      <c r="G413" s="104" t="str" cm="1">
        <f t="array" ref="G413">_xlfn.IFS(AND(A413&gt;NumberOfPlots,ISBLANK(INDEX(PlotData,MATCH($A413,PlotNumber,0),MATCH(B$3,PlotTitles,0)))),"",ISBLANK(INDEX(PlotData,MATCH($A413,PlotNumber,0),MATCH(G$3,PlotTitles,0))),$AB$10,TRUE,"")</f>
        <v/>
      </c>
      <c r="H413" s="104" t="str" cm="1">
        <f t="array" ref="H413">_xlfn.IFS(AND(A413&gt;NumberOfPlots,ISBLANK(INDEX(PlotData,MATCH($A413,PlotNumber,0),MATCH(B$3,PlotTitles,0)))),"",AND(ISBLANK(INDEX(PlotData,MATCH($A413,PlotNumber,0),MATCH(H$3,PlotTitles,0)))=FALSE,INDEX(PlotData,MATCH($A413,PlotNumber,0),MATCH(H$3,PlotTitles,0))&lt;500), $AB$11,TRUE,"")</f>
        <v/>
      </c>
      <c r="I413" s="104" t="str" cm="1">
        <f t="array" ref="I413">_xlfn.IFS(AND(A413&gt;NumberOfPlots,ISBLANK(INDEX(PlotData,MATCH($A413,PlotNumber,0),MATCH(B$3,PlotTitles,0)))),"",ISBLANK(INDEX(PlotData,MATCH($A413,PlotNumber,0),MATCH(I$3,PlotTitles,0))),$AB$12,TRUE,"")</f>
        <v/>
      </c>
      <c r="J413" s="104" t="str" cm="1">
        <f t="array" ref="J413">_xlfn.IFS(AND(A413&gt;NumberOfPlots,ISBLANK(INDEX(PlotData,MATCH($A413,PlotNumber,0),MATCH(B$3,PlotTitles,0)))),"",ISBLANK(INDEX(PlotData,MATCH($A413,PlotNumber,0),MATCH(J$3,PlotTitles,0))),$AB$13,TRUE,"")</f>
        <v/>
      </c>
      <c r="K413" s="182" t="str">
        <f t="shared" ca="1" si="18"/>
        <v/>
      </c>
      <c r="L413" s="104" t="str" cm="1">
        <f t="array" ref="L413">_xlfn.IFS(OR(ISBLANK(StartDateMonth),ISBLANK(StartDateYear)),"",AND(A413&gt;NumberOfPlots,ISBLANK(INDEX(PlotData,MATCH($A413,PlotNumber,0),MATCH(B$3,PlotTitles,0)))),"",ISBLANK(INDEX(PlotData,MATCH($A413,PlotNumber,0),MATCH(I$3,PlotTitles,0))),"",(DATEVALUE(INDEX(PlotData,MATCH($A413,PlotNumber,0),MATCH(I$3,PlotTitles,0))&amp;INDEX(PlotData,MATCH($A413,PlotNumber,0),MATCH(J$3,PlotTitles,0))))&lt;DATEVALUE(StartDateMonth&amp;StartDateYear),$AB$15,TRUE,"")</f>
        <v/>
      </c>
      <c r="M413" s="104" t="str" cm="1">
        <f t="array" ref="M413">_xlfn.IFS(OR(ISBLANK(StartDateMonth),ISBLANK(StartDateYear)),"",AND(A413&gt;NumberOfPlots,ISBLANK(INDEX(PlotData,MATCH($A413,PlotNumber,0),MATCH(B$3,PlotTitles,0)))),"",ISBLANK(INDEX(PlotData,MATCH($A413,PlotNumber,0),MATCH(I$3,PlotTitles,0))),"",CompletionMonth="","",(DATEVALUE(INDEX(PlotData,MATCH($A413,PlotNumber,0),MATCH(I$3,PlotTitles,0))&amp;INDEX(PlotData,MATCH($A413,PlotNumber,0),MATCH(J$3,PlotTitles,0))))&gt;(DATEVALUE(CompletionMonth&amp;CompletionYear)),$AB$16,TRUE,"")</f>
        <v/>
      </c>
      <c r="N413" s="104" t="str" cm="1">
        <f t="array" ref="N413">_xlfn.IFS(AND(A413&gt;NumberOfPlots,ISBLANK(INDEX(PlotData,MATCH($A413,PlotNumber,0),MATCH(B$3,PlotTitles,0)))),"",ISBLANK(INDEX(PlotData,MATCH($A413,PlotNumber,0),MATCH(N$3,PlotTitles,0))),$AB$17,TRUE,"")</f>
        <v/>
      </c>
      <c r="O413" s="104" t="str" cm="1">
        <f t="array" ref="O413">_xlfn.IFS(AND(A413&gt;NumberOfPlots,ISBLANK(INDEX(PlotData,MATCH($A413,PlotNumber,0),MATCH(B$3,PlotTitles,0)))),"",ISBLANK(INDEX(PlotData,MATCH($A413,PlotNumber,0),MATCH(O$3,PlotTitles,0))),$AB$18,TRUE,"")</f>
        <v/>
      </c>
      <c r="P413" s="182" t="str">
        <f t="shared" ca="1" si="19"/>
        <v/>
      </c>
      <c r="Q413" s="104" t="str" cm="1">
        <f t="array" ref="Q413">_xlfn.IFS(AND(A413&gt;NumberOfPlots,ISBLANK(INDEX(PlotData,MATCH($A413,PlotNumber,0),MATCH(B$3,PlotTitles,0)))),"",ISBLANK(INDEX(PlotData,MATCH($A413,PlotNumber,0),MATCH(N$3,PlotTitles,0))),"",(DATEVALUE(INDEX(PlotData,MATCH($A413,PlotNumber,0),MATCH(N$3,PlotTitles,0))&amp;INDEX(PlotData,MATCH($A413,PlotNumber,0),MATCH(O$3,PlotTitles,0))))&lt;(DATEVALUE(INDEX(PlotData,MATCH($A413,PlotNumber,0),MATCH(I$3,PlotTitles,0))&amp;INDEX(PlotData,MATCH($A413,PlotNumber,0),MATCH(J$3,PlotTitles,0)))),$AB$20,TRUE,"")</f>
        <v/>
      </c>
      <c r="R413" s="104" t="str" cm="1">
        <f t="array" ref="R413">_xlfn.IFS(OR(ISBLANK(StartDateMonth),ISBLANK(StartDateYear)),"",AND(A413&gt;NumberOfPlots,ISBLANK(INDEX(PlotData,MATCH($A413,PlotNumber,0),MATCH(B$3,PlotTitles,0)))),"",ISBLANK(INDEX(PlotData,MATCH($A413,PlotNumber,0),MATCH(N$3,PlotTitles,0))),"",CompletionMonth="","",(DATEVALUE(INDEX(PlotData,MATCH($A413,PlotNumber,0),MATCH(N$3,PlotTitles,0))&amp;INDEX(PlotData,MATCH($A413,PlotNumber,0),MATCH(O$3,PlotTitles,0))))&gt;(DATEVALUE(CompletionMonth&amp;CompletionYear)),$AB$21,TRUE,"")</f>
        <v/>
      </c>
      <c r="S413" s="104" t="str" cm="1">
        <f t="array" ref="S413">_xlfn.IFS(AND(A413&gt;NumberOfPlots,ISBLANK(INDEX(PlotData,MATCH($A413,PlotNumber,0),MATCH(B$3,PlotTitles,0)))),"",OR(AND(INDEX(PlotData,MATCH($A413,PlotNumber,0),MATCH("Tenure",PlotTitles,0))="Open market housing",INDEX(PlotData,MATCH($A413,PlotNumber,0),MATCH("Tenure detail",PlotTitles,0))="Private rented sector"),INDEX(PlotData,MATCH($A413,PlotNumber,0),MATCH("Tenure",PlotTitles,0))="Affordable rent"),"",ISNUMBER(INDEX(PlotData,MATCH($A413,PlotNumber,0),MATCH(S$3,PlotTitles,0)))=FALSE, $AB$22,TRUE,"")</f>
        <v/>
      </c>
      <c r="T413" s="104" t="str" cm="1">
        <f t="array" ref="T413">_xlfn.IFS(AND(A413&gt;NumberOfPlots,ISBLANK(INDEX(PlotData,MATCH($A413,PlotNumber,0),MATCH(B$3,PlotTitles,0)))),"",OR(AND(INDEX(PlotData,MATCH($A413,PlotNumber,0),MATCH("Tenure",PlotTitles,0))="Open market housing",INDEX(PlotData,MATCH($A413,PlotNumber,0),MATCH("Tenure detail",PlotTitles,0))="Private rented sector"),INDEX(PlotData,MATCH($A413,PlotNumber,0),MATCH("Tenure",PlotTitles,0))="Affordable rent"),"",INDEX(PlotData,MATCH($A413,PlotNumber,0),MATCH(S$3,PlotTitles,0))&lt;10000, $AB$23,TRUE,"")</f>
        <v/>
      </c>
      <c r="U413" s="104" t="str" cm="1">
        <f t="array" ref="U413">_xlfn.IFS(AND(A413&gt;NumberOfPlots,ISBLANK(INDEX(PlotData,MATCH($A413,PlotNumber,0),MATCH(B$3,PlotTitles,0)))),"",NOT(OR(AND(INDEX(PlotData,MATCH($A413,PlotNumber,0),MATCH("Tenure",PlotTitles,0))="Open market housing",INDEX(PlotData,MATCH($A413,PlotNumber,0),MATCH("Tenure detail",PlotTitles,0))="Private rented sector"),INDEX(PlotData,MATCH($A413,PlotNumber,0),MATCH("Tenure",PlotTitles,0))="Affordable rent")),"",NOT(INDEX(PlotData,MATCH($A413,PlotNumber,0),MATCH(S$3,PlotTitles,0))=0), $AB$24,TRUE,"")</f>
        <v/>
      </c>
      <c r="V413" s="114" t="str" cm="1">
        <f t="array" aca="1" ref="V413" ca="1">_xlfn.IFS(ISBLANK(NumberOfPlots),"Enter the number of homes on the 1_SetUp sheet",AND(A413&gt;NumberOfPlots,ISBLANK(INDEX(PlotData,MATCH($A413,PlotNumber,0),MATCH(B$3,PlotTitles,0)))),"No error",NOT(B413=""),B413,NOT(C413=""),C413,NOT(D413=""),D413,NOT(E413=""),E413,NOT(F413=""),F413,NOT(G413=""),G413,NOT(H413=""),H413,NOT(I413=""),I413,NOT(J413=""),J413,NOT(K413=""),K413,NOT(L413=""),L413,NOT(M413=""),M413,NOT(N413=""),N413,NOT(O413=""),O413,NOT(P413=""),P413,NOT(Q413=""),Q413,NOT(R413=""),R413,NOT(S413=""),S413,NOT(T413=""),T413,NOT(U413=""),U413,TRUE,"No error")</f>
        <v>Enter the number of homes on the 1_SetUp sheet</v>
      </c>
      <c r="W413" s="114" t="str">
        <f t="shared" ca="1" si="20"/>
        <v xml:space="preserve">The Borrower has not addressed the following error messages for Home ID 409: </v>
      </c>
    </row>
    <row r="414" spans="1:23">
      <c r="A414" s="123">
        <v>410</v>
      </c>
      <c r="B414" s="104" t="str" cm="1">
        <f t="array" ref="B414">_xlfn.IFS(AND(A414&gt;NumberOfPlots,ISBLANK(INDEX(PlotData,MATCH($A414,PlotNumber,0),MATCH(B$3,PlotTitles,0)))),"",ISNUMBER(INDEX(PlotData,MATCH($A414,PlotNumber,0),MATCH(B$3,PlotTitles,0)))=FALSE, $AB$5,TRUE,"")</f>
        <v/>
      </c>
      <c r="C414" s="104" t="str" cm="1">
        <f t="array" ref="C414">_xlfn.IFS(AND(A414&gt;NumberOfPlots,ISBLANK(INDEX(PlotData,MATCH($A414,PlotNumber,0),MATCH(B$3,PlotTitles,0)))),"",ISBLANK(INDEX(PlotData,MATCH($A414,PlotNumber,0),MATCH(C$3,PlotTitles,0))),$AB$6,TRUE,"")</f>
        <v/>
      </c>
      <c r="D414" s="104" t="str" cm="1">
        <f t="array" ref="D414">_xlfn.IFS(AND(A414&gt;NumberOfPlots,ISBLANK(INDEX(PlotData,MATCH($A414,PlotNumber,0),MATCH(B$3,PlotTitles,0)))),"",ISBLANK(INDEX(PlotData,MATCH($A414,PlotNumber,0),MATCH(D$3,PlotTitles,0))),$AB$7,TRUE,"")</f>
        <v/>
      </c>
      <c r="E414" s="104" t="str" cm="1">
        <f t="array" ref="E414">_xlfn.IFS(AND(A414&gt;NumberOfPlots,ISBLANK(INDEX(PlotData,MATCH($A414,PlotNumber,0),MATCH(B$3,PlotTitles,0)))),"",ISBLANK(INDEX(PlotData,MATCH($A414,PlotNumber,0),MATCH(E$3,PlotTitles,0))),$AB$8,TRUE,"")</f>
        <v/>
      </c>
      <c r="F414" s="104" t="str" cm="1">
        <f t="array" ref="F414">_xlfn.IFS(AND(A414&gt;NumberOfPlots,ISBLANK(INDEX(PlotData,MATCH($A414,PlotNumber,0),MATCH(B$3,PlotTitles,0)))),"",ISBLANK(INDEX(PlotData,MATCH($A414,PlotNumber,0),MATCH(F$3,PlotTitles,0))),$AB$9,TRUE,"")</f>
        <v/>
      </c>
      <c r="G414" s="104" t="str" cm="1">
        <f t="array" ref="G414">_xlfn.IFS(AND(A414&gt;NumberOfPlots,ISBLANK(INDEX(PlotData,MATCH($A414,PlotNumber,0),MATCH(B$3,PlotTitles,0)))),"",ISBLANK(INDEX(PlotData,MATCH($A414,PlotNumber,0),MATCH(G$3,PlotTitles,0))),$AB$10,TRUE,"")</f>
        <v/>
      </c>
      <c r="H414" s="104" t="str" cm="1">
        <f t="array" ref="H414">_xlfn.IFS(AND(A414&gt;NumberOfPlots,ISBLANK(INDEX(PlotData,MATCH($A414,PlotNumber,0),MATCH(B$3,PlotTitles,0)))),"",AND(ISBLANK(INDEX(PlotData,MATCH($A414,PlotNumber,0),MATCH(H$3,PlotTitles,0)))=FALSE,INDEX(PlotData,MATCH($A414,PlotNumber,0),MATCH(H$3,PlotTitles,0))&lt;500), $AB$11,TRUE,"")</f>
        <v/>
      </c>
      <c r="I414" s="104" t="str" cm="1">
        <f t="array" ref="I414">_xlfn.IFS(AND(A414&gt;NumberOfPlots,ISBLANK(INDEX(PlotData,MATCH($A414,PlotNumber,0),MATCH(B$3,PlotTitles,0)))),"",ISBLANK(INDEX(PlotData,MATCH($A414,PlotNumber,0),MATCH(I$3,PlotTitles,0))),$AB$12,TRUE,"")</f>
        <v/>
      </c>
      <c r="J414" s="104" t="str" cm="1">
        <f t="array" ref="J414">_xlfn.IFS(AND(A414&gt;NumberOfPlots,ISBLANK(INDEX(PlotData,MATCH($A414,PlotNumber,0),MATCH(B$3,PlotTitles,0)))),"",ISBLANK(INDEX(PlotData,MATCH($A414,PlotNumber,0),MATCH(J$3,PlotTitles,0))),$AB$13,TRUE,"")</f>
        <v/>
      </c>
      <c r="K414" s="182" t="str">
        <f t="shared" ca="1" si="18"/>
        <v/>
      </c>
      <c r="L414" s="104" t="str" cm="1">
        <f t="array" ref="L414">_xlfn.IFS(OR(ISBLANK(StartDateMonth),ISBLANK(StartDateYear)),"",AND(A414&gt;NumberOfPlots,ISBLANK(INDEX(PlotData,MATCH($A414,PlotNumber,0),MATCH(B$3,PlotTitles,0)))),"",ISBLANK(INDEX(PlotData,MATCH($A414,PlotNumber,0),MATCH(I$3,PlotTitles,0))),"",(DATEVALUE(INDEX(PlotData,MATCH($A414,PlotNumber,0),MATCH(I$3,PlotTitles,0))&amp;INDEX(PlotData,MATCH($A414,PlotNumber,0),MATCH(J$3,PlotTitles,0))))&lt;DATEVALUE(StartDateMonth&amp;StartDateYear),$AB$15,TRUE,"")</f>
        <v/>
      </c>
      <c r="M414" s="104" t="str" cm="1">
        <f t="array" ref="M414">_xlfn.IFS(OR(ISBLANK(StartDateMonth),ISBLANK(StartDateYear)),"",AND(A414&gt;NumberOfPlots,ISBLANK(INDEX(PlotData,MATCH($A414,PlotNumber,0),MATCH(B$3,PlotTitles,0)))),"",ISBLANK(INDEX(PlotData,MATCH($A414,PlotNumber,0),MATCH(I$3,PlotTitles,0))),"",CompletionMonth="","",(DATEVALUE(INDEX(PlotData,MATCH($A414,PlotNumber,0),MATCH(I$3,PlotTitles,0))&amp;INDEX(PlotData,MATCH($A414,PlotNumber,0),MATCH(J$3,PlotTitles,0))))&gt;(DATEVALUE(CompletionMonth&amp;CompletionYear)),$AB$16,TRUE,"")</f>
        <v/>
      </c>
      <c r="N414" s="104" t="str" cm="1">
        <f t="array" ref="N414">_xlfn.IFS(AND(A414&gt;NumberOfPlots,ISBLANK(INDEX(PlotData,MATCH($A414,PlotNumber,0),MATCH(B$3,PlotTitles,0)))),"",ISBLANK(INDEX(PlotData,MATCH($A414,PlotNumber,0),MATCH(N$3,PlotTitles,0))),$AB$17,TRUE,"")</f>
        <v/>
      </c>
      <c r="O414" s="104" t="str" cm="1">
        <f t="array" ref="O414">_xlfn.IFS(AND(A414&gt;NumberOfPlots,ISBLANK(INDEX(PlotData,MATCH($A414,PlotNumber,0),MATCH(B$3,PlotTitles,0)))),"",ISBLANK(INDEX(PlotData,MATCH($A414,PlotNumber,0),MATCH(O$3,PlotTitles,0))),$AB$18,TRUE,"")</f>
        <v/>
      </c>
      <c r="P414" s="182" t="str">
        <f t="shared" ca="1" si="19"/>
        <v/>
      </c>
      <c r="Q414" s="104" t="str" cm="1">
        <f t="array" ref="Q414">_xlfn.IFS(AND(A414&gt;NumberOfPlots,ISBLANK(INDEX(PlotData,MATCH($A414,PlotNumber,0),MATCH(B$3,PlotTitles,0)))),"",ISBLANK(INDEX(PlotData,MATCH($A414,PlotNumber,0),MATCH(N$3,PlotTitles,0))),"",(DATEVALUE(INDEX(PlotData,MATCH($A414,PlotNumber,0),MATCH(N$3,PlotTitles,0))&amp;INDEX(PlotData,MATCH($A414,PlotNumber,0),MATCH(O$3,PlotTitles,0))))&lt;(DATEVALUE(INDEX(PlotData,MATCH($A414,PlotNumber,0),MATCH(I$3,PlotTitles,0))&amp;INDEX(PlotData,MATCH($A414,PlotNumber,0),MATCH(J$3,PlotTitles,0)))),$AB$20,TRUE,"")</f>
        <v/>
      </c>
      <c r="R414" s="104" t="str" cm="1">
        <f t="array" ref="R414">_xlfn.IFS(OR(ISBLANK(StartDateMonth),ISBLANK(StartDateYear)),"",AND(A414&gt;NumberOfPlots,ISBLANK(INDEX(PlotData,MATCH($A414,PlotNumber,0),MATCH(B$3,PlotTitles,0)))),"",ISBLANK(INDEX(PlotData,MATCH($A414,PlotNumber,0),MATCH(N$3,PlotTitles,0))),"",CompletionMonth="","",(DATEVALUE(INDEX(PlotData,MATCH($A414,PlotNumber,0),MATCH(N$3,PlotTitles,0))&amp;INDEX(PlotData,MATCH($A414,PlotNumber,0),MATCH(O$3,PlotTitles,0))))&gt;(DATEVALUE(CompletionMonth&amp;CompletionYear)),$AB$21,TRUE,"")</f>
        <v/>
      </c>
      <c r="S414" s="104" t="str" cm="1">
        <f t="array" ref="S414">_xlfn.IFS(AND(A414&gt;NumberOfPlots,ISBLANK(INDEX(PlotData,MATCH($A414,PlotNumber,0),MATCH(B$3,PlotTitles,0)))),"",OR(AND(INDEX(PlotData,MATCH($A414,PlotNumber,0),MATCH("Tenure",PlotTitles,0))="Open market housing",INDEX(PlotData,MATCH($A414,PlotNumber,0),MATCH("Tenure detail",PlotTitles,0))="Private rented sector"),INDEX(PlotData,MATCH($A414,PlotNumber,0),MATCH("Tenure",PlotTitles,0))="Affordable rent"),"",ISNUMBER(INDEX(PlotData,MATCH($A414,PlotNumber,0),MATCH(S$3,PlotTitles,0)))=FALSE, $AB$22,TRUE,"")</f>
        <v/>
      </c>
      <c r="T414" s="104" t="str" cm="1">
        <f t="array" ref="T414">_xlfn.IFS(AND(A414&gt;NumberOfPlots,ISBLANK(INDEX(PlotData,MATCH($A414,PlotNumber,0),MATCH(B$3,PlotTitles,0)))),"",OR(AND(INDEX(PlotData,MATCH($A414,PlotNumber,0),MATCH("Tenure",PlotTitles,0))="Open market housing",INDEX(PlotData,MATCH($A414,PlotNumber,0),MATCH("Tenure detail",PlotTitles,0))="Private rented sector"),INDEX(PlotData,MATCH($A414,PlotNumber,0),MATCH("Tenure",PlotTitles,0))="Affordable rent"),"",INDEX(PlotData,MATCH($A414,PlotNumber,0),MATCH(S$3,PlotTitles,0))&lt;10000, $AB$23,TRUE,"")</f>
        <v/>
      </c>
      <c r="U414" s="104" t="str" cm="1">
        <f t="array" ref="U414">_xlfn.IFS(AND(A414&gt;NumberOfPlots,ISBLANK(INDEX(PlotData,MATCH($A414,PlotNumber,0),MATCH(B$3,PlotTitles,0)))),"",NOT(OR(AND(INDEX(PlotData,MATCH($A414,PlotNumber,0),MATCH("Tenure",PlotTitles,0))="Open market housing",INDEX(PlotData,MATCH($A414,PlotNumber,0),MATCH("Tenure detail",PlotTitles,0))="Private rented sector"),INDEX(PlotData,MATCH($A414,PlotNumber,0),MATCH("Tenure",PlotTitles,0))="Affordable rent")),"",NOT(INDEX(PlotData,MATCH($A414,PlotNumber,0),MATCH(S$3,PlotTitles,0))=0), $AB$24,TRUE,"")</f>
        <v/>
      </c>
      <c r="V414" s="114" t="str" cm="1">
        <f t="array" aca="1" ref="V414" ca="1">_xlfn.IFS(ISBLANK(NumberOfPlots),"Enter the number of homes on the 1_SetUp sheet",AND(A414&gt;NumberOfPlots,ISBLANK(INDEX(PlotData,MATCH($A414,PlotNumber,0),MATCH(B$3,PlotTitles,0)))),"No error",NOT(B414=""),B414,NOT(C414=""),C414,NOT(D414=""),D414,NOT(E414=""),E414,NOT(F414=""),F414,NOT(G414=""),G414,NOT(H414=""),H414,NOT(I414=""),I414,NOT(J414=""),J414,NOT(K414=""),K414,NOT(L414=""),L414,NOT(M414=""),M414,NOT(N414=""),N414,NOT(O414=""),O414,NOT(P414=""),P414,NOT(Q414=""),Q414,NOT(R414=""),R414,NOT(S414=""),S414,NOT(T414=""),T414,NOT(U414=""),U414,TRUE,"No error")</f>
        <v>Enter the number of homes on the 1_SetUp sheet</v>
      </c>
      <c r="W414" s="114" t="str">
        <f t="shared" ca="1" si="20"/>
        <v xml:space="preserve">The Borrower has not addressed the following error messages for Home ID 410: </v>
      </c>
    </row>
    <row r="415" spans="1:23">
      <c r="A415" s="123">
        <v>411</v>
      </c>
      <c r="B415" s="104" t="str" cm="1">
        <f t="array" ref="B415">_xlfn.IFS(AND(A415&gt;NumberOfPlots,ISBLANK(INDEX(PlotData,MATCH($A415,PlotNumber,0),MATCH(B$3,PlotTitles,0)))),"",ISNUMBER(INDEX(PlotData,MATCH($A415,PlotNumber,0),MATCH(B$3,PlotTitles,0)))=FALSE, $AB$5,TRUE,"")</f>
        <v/>
      </c>
      <c r="C415" s="104" t="str" cm="1">
        <f t="array" ref="C415">_xlfn.IFS(AND(A415&gt;NumberOfPlots,ISBLANK(INDEX(PlotData,MATCH($A415,PlotNumber,0),MATCH(B$3,PlotTitles,0)))),"",ISBLANK(INDEX(PlotData,MATCH($A415,PlotNumber,0),MATCH(C$3,PlotTitles,0))),$AB$6,TRUE,"")</f>
        <v/>
      </c>
      <c r="D415" s="104" t="str" cm="1">
        <f t="array" ref="D415">_xlfn.IFS(AND(A415&gt;NumberOfPlots,ISBLANK(INDEX(PlotData,MATCH($A415,PlotNumber,0),MATCH(B$3,PlotTitles,0)))),"",ISBLANK(INDEX(PlotData,MATCH($A415,PlotNumber,0),MATCH(D$3,PlotTitles,0))),$AB$7,TRUE,"")</f>
        <v/>
      </c>
      <c r="E415" s="104" t="str" cm="1">
        <f t="array" ref="E415">_xlfn.IFS(AND(A415&gt;NumberOfPlots,ISBLANK(INDEX(PlotData,MATCH($A415,PlotNumber,0),MATCH(B$3,PlotTitles,0)))),"",ISBLANK(INDEX(PlotData,MATCH($A415,PlotNumber,0),MATCH(E$3,PlotTitles,0))),$AB$8,TRUE,"")</f>
        <v/>
      </c>
      <c r="F415" s="104" t="str" cm="1">
        <f t="array" ref="F415">_xlfn.IFS(AND(A415&gt;NumberOfPlots,ISBLANK(INDEX(PlotData,MATCH($A415,PlotNumber,0),MATCH(B$3,PlotTitles,0)))),"",ISBLANK(INDEX(PlotData,MATCH($A415,PlotNumber,0),MATCH(F$3,PlotTitles,0))),$AB$9,TRUE,"")</f>
        <v/>
      </c>
      <c r="G415" s="104" t="str" cm="1">
        <f t="array" ref="G415">_xlfn.IFS(AND(A415&gt;NumberOfPlots,ISBLANK(INDEX(PlotData,MATCH($A415,PlotNumber,0),MATCH(B$3,PlotTitles,0)))),"",ISBLANK(INDEX(PlotData,MATCH($A415,PlotNumber,0),MATCH(G$3,PlotTitles,0))),$AB$10,TRUE,"")</f>
        <v/>
      </c>
      <c r="H415" s="104" t="str" cm="1">
        <f t="array" ref="H415">_xlfn.IFS(AND(A415&gt;NumberOfPlots,ISBLANK(INDEX(PlotData,MATCH($A415,PlotNumber,0),MATCH(B$3,PlotTitles,0)))),"",AND(ISBLANK(INDEX(PlotData,MATCH($A415,PlotNumber,0),MATCH(H$3,PlotTitles,0)))=FALSE,INDEX(PlotData,MATCH($A415,PlotNumber,0),MATCH(H$3,PlotTitles,0))&lt;500), $AB$11,TRUE,"")</f>
        <v/>
      </c>
      <c r="I415" s="104" t="str" cm="1">
        <f t="array" ref="I415">_xlfn.IFS(AND(A415&gt;NumberOfPlots,ISBLANK(INDEX(PlotData,MATCH($A415,PlotNumber,0),MATCH(B$3,PlotTitles,0)))),"",ISBLANK(INDEX(PlotData,MATCH($A415,PlotNumber,0),MATCH(I$3,PlotTitles,0))),$AB$12,TRUE,"")</f>
        <v/>
      </c>
      <c r="J415" s="104" t="str" cm="1">
        <f t="array" ref="J415">_xlfn.IFS(AND(A415&gt;NumberOfPlots,ISBLANK(INDEX(PlotData,MATCH($A415,PlotNumber,0),MATCH(B$3,PlotTitles,0)))),"",ISBLANK(INDEX(PlotData,MATCH($A415,PlotNumber,0),MATCH(J$3,PlotTitles,0))),$AB$13,TRUE,"")</f>
        <v/>
      </c>
      <c r="K415" s="182" t="str">
        <f t="shared" ca="1" si="18"/>
        <v/>
      </c>
      <c r="L415" s="104" t="str" cm="1">
        <f t="array" ref="L415">_xlfn.IFS(OR(ISBLANK(StartDateMonth),ISBLANK(StartDateYear)),"",AND(A415&gt;NumberOfPlots,ISBLANK(INDEX(PlotData,MATCH($A415,PlotNumber,0),MATCH(B$3,PlotTitles,0)))),"",ISBLANK(INDEX(PlotData,MATCH($A415,PlotNumber,0),MATCH(I$3,PlotTitles,0))),"",(DATEVALUE(INDEX(PlotData,MATCH($A415,PlotNumber,0),MATCH(I$3,PlotTitles,0))&amp;INDEX(PlotData,MATCH($A415,PlotNumber,0),MATCH(J$3,PlotTitles,0))))&lt;DATEVALUE(StartDateMonth&amp;StartDateYear),$AB$15,TRUE,"")</f>
        <v/>
      </c>
      <c r="M415" s="104" t="str" cm="1">
        <f t="array" ref="M415">_xlfn.IFS(OR(ISBLANK(StartDateMonth),ISBLANK(StartDateYear)),"",AND(A415&gt;NumberOfPlots,ISBLANK(INDEX(PlotData,MATCH($A415,PlotNumber,0),MATCH(B$3,PlotTitles,0)))),"",ISBLANK(INDEX(PlotData,MATCH($A415,PlotNumber,0),MATCH(I$3,PlotTitles,0))),"",CompletionMonth="","",(DATEVALUE(INDEX(PlotData,MATCH($A415,PlotNumber,0),MATCH(I$3,PlotTitles,0))&amp;INDEX(PlotData,MATCH($A415,PlotNumber,0),MATCH(J$3,PlotTitles,0))))&gt;(DATEVALUE(CompletionMonth&amp;CompletionYear)),$AB$16,TRUE,"")</f>
        <v/>
      </c>
      <c r="N415" s="104" t="str" cm="1">
        <f t="array" ref="N415">_xlfn.IFS(AND(A415&gt;NumberOfPlots,ISBLANK(INDEX(PlotData,MATCH($A415,PlotNumber,0),MATCH(B$3,PlotTitles,0)))),"",ISBLANK(INDEX(PlotData,MATCH($A415,PlotNumber,0),MATCH(N$3,PlotTitles,0))),$AB$17,TRUE,"")</f>
        <v/>
      </c>
      <c r="O415" s="104" t="str" cm="1">
        <f t="array" ref="O415">_xlfn.IFS(AND(A415&gt;NumberOfPlots,ISBLANK(INDEX(PlotData,MATCH($A415,PlotNumber,0),MATCH(B$3,PlotTitles,0)))),"",ISBLANK(INDEX(PlotData,MATCH($A415,PlotNumber,0),MATCH(O$3,PlotTitles,0))),$AB$18,TRUE,"")</f>
        <v/>
      </c>
      <c r="P415" s="182" t="str">
        <f t="shared" ca="1" si="19"/>
        <v/>
      </c>
      <c r="Q415" s="104" t="str" cm="1">
        <f t="array" ref="Q415">_xlfn.IFS(AND(A415&gt;NumberOfPlots,ISBLANK(INDEX(PlotData,MATCH($A415,PlotNumber,0),MATCH(B$3,PlotTitles,0)))),"",ISBLANK(INDEX(PlotData,MATCH($A415,PlotNumber,0),MATCH(N$3,PlotTitles,0))),"",(DATEVALUE(INDEX(PlotData,MATCH($A415,PlotNumber,0),MATCH(N$3,PlotTitles,0))&amp;INDEX(PlotData,MATCH($A415,PlotNumber,0),MATCH(O$3,PlotTitles,0))))&lt;(DATEVALUE(INDEX(PlotData,MATCH($A415,PlotNumber,0),MATCH(I$3,PlotTitles,0))&amp;INDEX(PlotData,MATCH($A415,PlotNumber,0),MATCH(J$3,PlotTitles,0)))),$AB$20,TRUE,"")</f>
        <v/>
      </c>
      <c r="R415" s="104" t="str" cm="1">
        <f t="array" ref="R415">_xlfn.IFS(OR(ISBLANK(StartDateMonth),ISBLANK(StartDateYear)),"",AND(A415&gt;NumberOfPlots,ISBLANK(INDEX(PlotData,MATCH($A415,PlotNumber,0),MATCH(B$3,PlotTitles,0)))),"",ISBLANK(INDEX(PlotData,MATCH($A415,PlotNumber,0),MATCH(N$3,PlotTitles,0))),"",CompletionMonth="","",(DATEVALUE(INDEX(PlotData,MATCH($A415,PlotNumber,0),MATCH(N$3,PlotTitles,0))&amp;INDEX(PlotData,MATCH($A415,PlotNumber,0),MATCH(O$3,PlotTitles,0))))&gt;(DATEVALUE(CompletionMonth&amp;CompletionYear)),$AB$21,TRUE,"")</f>
        <v/>
      </c>
      <c r="S415" s="104" t="str" cm="1">
        <f t="array" ref="S415">_xlfn.IFS(AND(A415&gt;NumberOfPlots,ISBLANK(INDEX(PlotData,MATCH($A415,PlotNumber,0),MATCH(B$3,PlotTitles,0)))),"",OR(AND(INDEX(PlotData,MATCH($A415,PlotNumber,0),MATCH("Tenure",PlotTitles,0))="Open market housing",INDEX(PlotData,MATCH($A415,PlotNumber,0),MATCH("Tenure detail",PlotTitles,0))="Private rented sector"),INDEX(PlotData,MATCH($A415,PlotNumber,0),MATCH("Tenure",PlotTitles,0))="Affordable rent"),"",ISNUMBER(INDEX(PlotData,MATCH($A415,PlotNumber,0),MATCH(S$3,PlotTitles,0)))=FALSE, $AB$22,TRUE,"")</f>
        <v/>
      </c>
      <c r="T415" s="104" t="str" cm="1">
        <f t="array" ref="T415">_xlfn.IFS(AND(A415&gt;NumberOfPlots,ISBLANK(INDEX(PlotData,MATCH($A415,PlotNumber,0),MATCH(B$3,PlotTitles,0)))),"",OR(AND(INDEX(PlotData,MATCH($A415,PlotNumber,0),MATCH("Tenure",PlotTitles,0))="Open market housing",INDEX(PlotData,MATCH($A415,PlotNumber,0),MATCH("Tenure detail",PlotTitles,0))="Private rented sector"),INDEX(PlotData,MATCH($A415,PlotNumber,0),MATCH("Tenure",PlotTitles,0))="Affordable rent"),"",INDEX(PlotData,MATCH($A415,PlotNumber,0),MATCH(S$3,PlotTitles,0))&lt;10000, $AB$23,TRUE,"")</f>
        <v/>
      </c>
      <c r="U415" s="104" t="str" cm="1">
        <f t="array" ref="U415">_xlfn.IFS(AND(A415&gt;NumberOfPlots,ISBLANK(INDEX(PlotData,MATCH($A415,PlotNumber,0),MATCH(B$3,PlotTitles,0)))),"",NOT(OR(AND(INDEX(PlotData,MATCH($A415,PlotNumber,0),MATCH("Tenure",PlotTitles,0))="Open market housing",INDEX(PlotData,MATCH($A415,PlotNumber,0),MATCH("Tenure detail",PlotTitles,0))="Private rented sector"),INDEX(PlotData,MATCH($A415,PlotNumber,0),MATCH("Tenure",PlotTitles,0))="Affordable rent")),"",NOT(INDEX(PlotData,MATCH($A415,PlotNumber,0),MATCH(S$3,PlotTitles,0))=0), $AB$24,TRUE,"")</f>
        <v/>
      </c>
      <c r="V415" s="114" t="str" cm="1">
        <f t="array" aca="1" ref="V415" ca="1">_xlfn.IFS(ISBLANK(NumberOfPlots),"Enter the number of homes on the 1_SetUp sheet",AND(A415&gt;NumberOfPlots,ISBLANK(INDEX(PlotData,MATCH($A415,PlotNumber,0),MATCH(B$3,PlotTitles,0)))),"No error",NOT(B415=""),B415,NOT(C415=""),C415,NOT(D415=""),D415,NOT(E415=""),E415,NOT(F415=""),F415,NOT(G415=""),G415,NOT(H415=""),H415,NOT(I415=""),I415,NOT(J415=""),J415,NOT(K415=""),K415,NOT(L415=""),L415,NOT(M415=""),M415,NOT(N415=""),N415,NOT(O415=""),O415,NOT(P415=""),P415,NOT(Q415=""),Q415,NOT(R415=""),R415,NOT(S415=""),S415,NOT(T415=""),T415,NOT(U415=""),U415,TRUE,"No error")</f>
        <v>Enter the number of homes on the 1_SetUp sheet</v>
      </c>
      <c r="W415" s="114" t="str">
        <f t="shared" ca="1" si="20"/>
        <v xml:space="preserve">The Borrower has not addressed the following error messages for Home ID 411: </v>
      </c>
    </row>
    <row r="416" spans="1:23">
      <c r="A416" s="123">
        <v>412</v>
      </c>
      <c r="B416" s="104" t="str" cm="1">
        <f t="array" ref="B416">_xlfn.IFS(AND(A416&gt;NumberOfPlots,ISBLANK(INDEX(PlotData,MATCH($A416,PlotNumber,0),MATCH(B$3,PlotTitles,0)))),"",ISNUMBER(INDEX(PlotData,MATCH($A416,PlotNumber,0),MATCH(B$3,PlotTitles,0)))=FALSE, $AB$5,TRUE,"")</f>
        <v/>
      </c>
      <c r="C416" s="104" t="str" cm="1">
        <f t="array" ref="C416">_xlfn.IFS(AND(A416&gt;NumberOfPlots,ISBLANK(INDEX(PlotData,MATCH($A416,PlotNumber,0),MATCH(B$3,PlotTitles,0)))),"",ISBLANK(INDEX(PlotData,MATCH($A416,PlotNumber,0),MATCH(C$3,PlotTitles,0))),$AB$6,TRUE,"")</f>
        <v/>
      </c>
      <c r="D416" s="104" t="str" cm="1">
        <f t="array" ref="D416">_xlfn.IFS(AND(A416&gt;NumberOfPlots,ISBLANK(INDEX(PlotData,MATCH($A416,PlotNumber,0),MATCH(B$3,PlotTitles,0)))),"",ISBLANK(INDEX(PlotData,MATCH($A416,PlotNumber,0),MATCH(D$3,PlotTitles,0))),$AB$7,TRUE,"")</f>
        <v/>
      </c>
      <c r="E416" s="104" t="str" cm="1">
        <f t="array" ref="E416">_xlfn.IFS(AND(A416&gt;NumberOfPlots,ISBLANK(INDEX(PlotData,MATCH($A416,PlotNumber,0),MATCH(B$3,PlotTitles,0)))),"",ISBLANK(INDEX(PlotData,MATCH($A416,PlotNumber,0),MATCH(E$3,PlotTitles,0))),$AB$8,TRUE,"")</f>
        <v/>
      </c>
      <c r="F416" s="104" t="str" cm="1">
        <f t="array" ref="F416">_xlfn.IFS(AND(A416&gt;NumberOfPlots,ISBLANK(INDEX(PlotData,MATCH($A416,PlotNumber,0),MATCH(B$3,PlotTitles,0)))),"",ISBLANK(INDEX(PlotData,MATCH($A416,PlotNumber,0),MATCH(F$3,PlotTitles,0))),$AB$9,TRUE,"")</f>
        <v/>
      </c>
      <c r="G416" s="104" t="str" cm="1">
        <f t="array" ref="G416">_xlfn.IFS(AND(A416&gt;NumberOfPlots,ISBLANK(INDEX(PlotData,MATCH($A416,PlotNumber,0),MATCH(B$3,PlotTitles,0)))),"",ISBLANK(INDEX(PlotData,MATCH($A416,PlotNumber,0),MATCH(G$3,PlotTitles,0))),$AB$10,TRUE,"")</f>
        <v/>
      </c>
      <c r="H416" s="104" t="str" cm="1">
        <f t="array" ref="H416">_xlfn.IFS(AND(A416&gt;NumberOfPlots,ISBLANK(INDEX(PlotData,MATCH($A416,PlotNumber,0),MATCH(B$3,PlotTitles,0)))),"",AND(ISBLANK(INDEX(PlotData,MATCH($A416,PlotNumber,0),MATCH(H$3,PlotTitles,0)))=FALSE,INDEX(PlotData,MATCH($A416,PlotNumber,0),MATCH(H$3,PlotTitles,0))&lt;500), $AB$11,TRUE,"")</f>
        <v/>
      </c>
      <c r="I416" s="104" t="str" cm="1">
        <f t="array" ref="I416">_xlfn.IFS(AND(A416&gt;NumberOfPlots,ISBLANK(INDEX(PlotData,MATCH($A416,PlotNumber,0),MATCH(B$3,PlotTitles,0)))),"",ISBLANK(INDEX(PlotData,MATCH($A416,PlotNumber,0),MATCH(I$3,PlotTitles,0))),$AB$12,TRUE,"")</f>
        <v/>
      </c>
      <c r="J416" s="104" t="str" cm="1">
        <f t="array" ref="J416">_xlfn.IFS(AND(A416&gt;NumberOfPlots,ISBLANK(INDEX(PlotData,MATCH($A416,PlotNumber,0),MATCH(B$3,PlotTitles,0)))),"",ISBLANK(INDEX(PlotData,MATCH($A416,PlotNumber,0),MATCH(J$3,PlotTitles,0))),$AB$13,TRUE,"")</f>
        <v/>
      </c>
      <c r="K416" s="182" t="str">
        <f t="shared" ca="1" si="18"/>
        <v/>
      </c>
      <c r="L416" s="104" t="str" cm="1">
        <f t="array" ref="L416">_xlfn.IFS(OR(ISBLANK(StartDateMonth),ISBLANK(StartDateYear)),"",AND(A416&gt;NumberOfPlots,ISBLANK(INDEX(PlotData,MATCH($A416,PlotNumber,0),MATCH(B$3,PlotTitles,0)))),"",ISBLANK(INDEX(PlotData,MATCH($A416,PlotNumber,0),MATCH(I$3,PlotTitles,0))),"",(DATEVALUE(INDEX(PlotData,MATCH($A416,PlotNumber,0),MATCH(I$3,PlotTitles,0))&amp;INDEX(PlotData,MATCH($A416,PlotNumber,0),MATCH(J$3,PlotTitles,0))))&lt;DATEVALUE(StartDateMonth&amp;StartDateYear),$AB$15,TRUE,"")</f>
        <v/>
      </c>
      <c r="M416" s="104" t="str" cm="1">
        <f t="array" ref="M416">_xlfn.IFS(OR(ISBLANK(StartDateMonth),ISBLANK(StartDateYear)),"",AND(A416&gt;NumberOfPlots,ISBLANK(INDEX(PlotData,MATCH($A416,PlotNumber,0),MATCH(B$3,PlotTitles,0)))),"",ISBLANK(INDEX(PlotData,MATCH($A416,PlotNumber,0),MATCH(I$3,PlotTitles,0))),"",CompletionMonth="","",(DATEVALUE(INDEX(PlotData,MATCH($A416,PlotNumber,0),MATCH(I$3,PlotTitles,0))&amp;INDEX(PlotData,MATCH($A416,PlotNumber,0),MATCH(J$3,PlotTitles,0))))&gt;(DATEVALUE(CompletionMonth&amp;CompletionYear)),$AB$16,TRUE,"")</f>
        <v/>
      </c>
      <c r="N416" s="104" t="str" cm="1">
        <f t="array" ref="N416">_xlfn.IFS(AND(A416&gt;NumberOfPlots,ISBLANK(INDEX(PlotData,MATCH($A416,PlotNumber,0),MATCH(B$3,PlotTitles,0)))),"",ISBLANK(INDEX(PlotData,MATCH($A416,PlotNumber,0),MATCH(N$3,PlotTitles,0))),$AB$17,TRUE,"")</f>
        <v/>
      </c>
      <c r="O416" s="104" t="str" cm="1">
        <f t="array" ref="O416">_xlfn.IFS(AND(A416&gt;NumberOfPlots,ISBLANK(INDEX(PlotData,MATCH($A416,PlotNumber,0),MATCH(B$3,PlotTitles,0)))),"",ISBLANK(INDEX(PlotData,MATCH($A416,PlotNumber,0),MATCH(O$3,PlotTitles,0))),$AB$18,TRUE,"")</f>
        <v/>
      </c>
      <c r="P416" s="182" t="str">
        <f t="shared" ca="1" si="19"/>
        <v/>
      </c>
      <c r="Q416" s="104" t="str" cm="1">
        <f t="array" ref="Q416">_xlfn.IFS(AND(A416&gt;NumberOfPlots,ISBLANK(INDEX(PlotData,MATCH($A416,PlotNumber,0),MATCH(B$3,PlotTitles,0)))),"",ISBLANK(INDEX(PlotData,MATCH($A416,PlotNumber,0),MATCH(N$3,PlotTitles,0))),"",(DATEVALUE(INDEX(PlotData,MATCH($A416,PlotNumber,0),MATCH(N$3,PlotTitles,0))&amp;INDEX(PlotData,MATCH($A416,PlotNumber,0),MATCH(O$3,PlotTitles,0))))&lt;(DATEVALUE(INDEX(PlotData,MATCH($A416,PlotNumber,0),MATCH(I$3,PlotTitles,0))&amp;INDEX(PlotData,MATCH($A416,PlotNumber,0),MATCH(J$3,PlotTitles,0)))),$AB$20,TRUE,"")</f>
        <v/>
      </c>
      <c r="R416" s="104" t="str" cm="1">
        <f t="array" ref="R416">_xlfn.IFS(OR(ISBLANK(StartDateMonth),ISBLANK(StartDateYear)),"",AND(A416&gt;NumberOfPlots,ISBLANK(INDEX(PlotData,MATCH($A416,PlotNumber,0),MATCH(B$3,PlotTitles,0)))),"",ISBLANK(INDEX(PlotData,MATCH($A416,PlotNumber,0),MATCH(N$3,PlotTitles,0))),"",CompletionMonth="","",(DATEVALUE(INDEX(PlotData,MATCH($A416,PlotNumber,0),MATCH(N$3,PlotTitles,0))&amp;INDEX(PlotData,MATCH($A416,PlotNumber,0),MATCH(O$3,PlotTitles,0))))&gt;(DATEVALUE(CompletionMonth&amp;CompletionYear)),$AB$21,TRUE,"")</f>
        <v/>
      </c>
      <c r="S416" s="104" t="str" cm="1">
        <f t="array" ref="S416">_xlfn.IFS(AND(A416&gt;NumberOfPlots,ISBLANK(INDEX(PlotData,MATCH($A416,PlotNumber,0),MATCH(B$3,PlotTitles,0)))),"",OR(AND(INDEX(PlotData,MATCH($A416,PlotNumber,0),MATCH("Tenure",PlotTitles,0))="Open market housing",INDEX(PlotData,MATCH($A416,PlotNumber,0),MATCH("Tenure detail",PlotTitles,0))="Private rented sector"),INDEX(PlotData,MATCH($A416,PlotNumber,0),MATCH("Tenure",PlotTitles,0))="Affordable rent"),"",ISNUMBER(INDEX(PlotData,MATCH($A416,PlotNumber,0),MATCH(S$3,PlotTitles,0)))=FALSE, $AB$22,TRUE,"")</f>
        <v/>
      </c>
      <c r="T416" s="104" t="str" cm="1">
        <f t="array" ref="T416">_xlfn.IFS(AND(A416&gt;NumberOfPlots,ISBLANK(INDEX(PlotData,MATCH($A416,PlotNumber,0),MATCH(B$3,PlotTitles,0)))),"",OR(AND(INDEX(PlotData,MATCH($A416,PlotNumber,0),MATCH("Tenure",PlotTitles,0))="Open market housing",INDEX(PlotData,MATCH($A416,PlotNumber,0),MATCH("Tenure detail",PlotTitles,0))="Private rented sector"),INDEX(PlotData,MATCH($A416,PlotNumber,0),MATCH("Tenure",PlotTitles,0))="Affordable rent"),"",INDEX(PlotData,MATCH($A416,PlotNumber,0),MATCH(S$3,PlotTitles,0))&lt;10000, $AB$23,TRUE,"")</f>
        <v/>
      </c>
      <c r="U416" s="104" t="str" cm="1">
        <f t="array" ref="U416">_xlfn.IFS(AND(A416&gt;NumberOfPlots,ISBLANK(INDEX(PlotData,MATCH($A416,PlotNumber,0),MATCH(B$3,PlotTitles,0)))),"",NOT(OR(AND(INDEX(PlotData,MATCH($A416,PlotNumber,0),MATCH("Tenure",PlotTitles,0))="Open market housing",INDEX(PlotData,MATCH($A416,PlotNumber,0),MATCH("Tenure detail",PlotTitles,0))="Private rented sector"),INDEX(PlotData,MATCH($A416,PlotNumber,0),MATCH("Tenure",PlotTitles,0))="Affordable rent")),"",NOT(INDEX(PlotData,MATCH($A416,PlotNumber,0),MATCH(S$3,PlotTitles,0))=0), $AB$24,TRUE,"")</f>
        <v/>
      </c>
      <c r="V416" s="114" t="str" cm="1">
        <f t="array" aca="1" ref="V416" ca="1">_xlfn.IFS(ISBLANK(NumberOfPlots),"Enter the number of homes on the 1_SetUp sheet",AND(A416&gt;NumberOfPlots,ISBLANK(INDEX(PlotData,MATCH($A416,PlotNumber,0),MATCH(B$3,PlotTitles,0)))),"No error",NOT(B416=""),B416,NOT(C416=""),C416,NOT(D416=""),D416,NOT(E416=""),E416,NOT(F416=""),F416,NOT(G416=""),G416,NOT(H416=""),H416,NOT(I416=""),I416,NOT(J416=""),J416,NOT(K416=""),K416,NOT(L416=""),L416,NOT(M416=""),M416,NOT(N416=""),N416,NOT(O416=""),O416,NOT(P416=""),P416,NOT(Q416=""),Q416,NOT(R416=""),R416,NOT(S416=""),S416,NOT(T416=""),T416,NOT(U416=""),U416,TRUE,"No error")</f>
        <v>Enter the number of homes on the 1_SetUp sheet</v>
      </c>
      <c r="W416" s="114" t="str">
        <f t="shared" ca="1" si="20"/>
        <v xml:space="preserve">The Borrower has not addressed the following error messages for Home ID 412: </v>
      </c>
    </row>
    <row r="417" spans="1:23">
      <c r="A417" s="123">
        <v>413</v>
      </c>
      <c r="B417" s="104" t="str" cm="1">
        <f t="array" ref="B417">_xlfn.IFS(AND(A417&gt;NumberOfPlots,ISBLANK(INDEX(PlotData,MATCH($A417,PlotNumber,0),MATCH(B$3,PlotTitles,0)))),"",ISNUMBER(INDEX(PlotData,MATCH($A417,PlotNumber,0),MATCH(B$3,PlotTitles,0)))=FALSE, $AB$5,TRUE,"")</f>
        <v/>
      </c>
      <c r="C417" s="104" t="str" cm="1">
        <f t="array" ref="C417">_xlfn.IFS(AND(A417&gt;NumberOfPlots,ISBLANK(INDEX(PlotData,MATCH($A417,PlotNumber,0),MATCH(B$3,PlotTitles,0)))),"",ISBLANK(INDEX(PlotData,MATCH($A417,PlotNumber,0),MATCH(C$3,PlotTitles,0))),$AB$6,TRUE,"")</f>
        <v/>
      </c>
      <c r="D417" s="104" t="str" cm="1">
        <f t="array" ref="D417">_xlfn.IFS(AND(A417&gt;NumberOfPlots,ISBLANK(INDEX(PlotData,MATCH($A417,PlotNumber,0),MATCH(B$3,PlotTitles,0)))),"",ISBLANK(INDEX(PlotData,MATCH($A417,PlotNumber,0),MATCH(D$3,PlotTitles,0))),$AB$7,TRUE,"")</f>
        <v/>
      </c>
      <c r="E417" s="104" t="str" cm="1">
        <f t="array" ref="E417">_xlfn.IFS(AND(A417&gt;NumberOfPlots,ISBLANK(INDEX(PlotData,MATCH($A417,PlotNumber,0),MATCH(B$3,PlotTitles,0)))),"",ISBLANK(INDEX(PlotData,MATCH($A417,PlotNumber,0),MATCH(E$3,PlotTitles,0))),$AB$8,TRUE,"")</f>
        <v/>
      </c>
      <c r="F417" s="104" t="str" cm="1">
        <f t="array" ref="F417">_xlfn.IFS(AND(A417&gt;NumberOfPlots,ISBLANK(INDEX(PlotData,MATCH($A417,PlotNumber,0),MATCH(B$3,PlotTitles,0)))),"",ISBLANK(INDEX(PlotData,MATCH($A417,PlotNumber,0),MATCH(F$3,PlotTitles,0))),$AB$9,TRUE,"")</f>
        <v/>
      </c>
      <c r="G417" s="104" t="str" cm="1">
        <f t="array" ref="G417">_xlfn.IFS(AND(A417&gt;NumberOfPlots,ISBLANK(INDEX(PlotData,MATCH($A417,PlotNumber,0),MATCH(B$3,PlotTitles,0)))),"",ISBLANK(INDEX(PlotData,MATCH($A417,PlotNumber,0),MATCH(G$3,PlotTitles,0))),$AB$10,TRUE,"")</f>
        <v/>
      </c>
      <c r="H417" s="104" t="str" cm="1">
        <f t="array" ref="H417">_xlfn.IFS(AND(A417&gt;NumberOfPlots,ISBLANK(INDEX(PlotData,MATCH($A417,PlotNumber,0),MATCH(B$3,PlotTitles,0)))),"",AND(ISBLANK(INDEX(PlotData,MATCH($A417,PlotNumber,0),MATCH(H$3,PlotTitles,0)))=FALSE,INDEX(PlotData,MATCH($A417,PlotNumber,0),MATCH(H$3,PlotTitles,0))&lt;500), $AB$11,TRUE,"")</f>
        <v/>
      </c>
      <c r="I417" s="104" t="str" cm="1">
        <f t="array" ref="I417">_xlfn.IFS(AND(A417&gt;NumberOfPlots,ISBLANK(INDEX(PlotData,MATCH($A417,PlotNumber,0),MATCH(B$3,PlotTitles,0)))),"",ISBLANK(INDEX(PlotData,MATCH($A417,PlotNumber,0),MATCH(I$3,PlotTitles,0))),$AB$12,TRUE,"")</f>
        <v/>
      </c>
      <c r="J417" s="104" t="str" cm="1">
        <f t="array" ref="J417">_xlfn.IFS(AND(A417&gt;NumberOfPlots,ISBLANK(INDEX(PlotData,MATCH($A417,PlotNumber,0),MATCH(B$3,PlotTitles,0)))),"",ISBLANK(INDEX(PlotData,MATCH($A417,PlotNumber,0),MATCH(J$3,PlotTitles,0))),$AB$13,TRUE,"")</f>
        <v/>
      </c>
      <c r="K417" s="182" t="str">
        <f t="shared" ca="1" si="18"/>
        <v/>
      </c>
      <c r="L417" s="104" t="str" cm="1">
        <f t="array" ref="L417">_xlfn.IFS(OR(ISBLANK(StartDateMonth),ISBLANK(StartDateYear)),"",AND(A417&gt;NumberOfPlots,ISBLANK(INDEX(PlotData,MATCH($A417,PlotNumber,0),MATCH(B$3,PlotTitles,0)))),"",ISBLANK(INDEX(PlotData,MATCH($A417,PlotNumber,0),MATCH(I$3,PlotTitles,0))),"",(DATEVALUE(INDEX(PlotData,MATCH($A417,PlotNumber,0),MATCH(I$3,PlotTitles,0))&amp;INDEX(PlotData,MATCH($A417,PlotNumber,0),MATCH(J$3,PlotTitles,0))))&lt;DATEVALUE(StartDateMonth&amp;StartDateYear),$AB$15,TRUE,"")</f>
        <v/>
      </c>
      <c r="M417" s="104" t="str" cm="1">
        <f t="array" ref="M417">_xlfn.IFS(OR(ISBLANK(StartDateMonth),ISBLANK(StartDateYear)),"",AND(A417&gt;NumberOfPlots,ISBLANK(INDEX(PlotData,MATCH($A417,PlotNumber,0),MATCH(B$3,PlotTitles,0)))),"",ISBLANK(INDEX(PlotData,MATCH($A417,PlotNumber,0),MATCH(I$3,PlotTitles,0))),"",CompletionMonth="","",(DATEVALUE(INDEX(PlotData,MATCH($A417,PlotNumber,0),MATCH(I$3,PlotTitles,0))&amp;INDEX(PlotData,MATCH($A417,PlotNumber,0),MATCH(J$3,PlotTitles,0))))&gt;(DATEVALUE(CompletionMonth&amp;CompletionYear)),$AB$16,TRUE,"")</f>
        <v/>
      </c>
      <c r="N417" s="104" t="str" cm="1">
        <f t="array" ref="N417">_xlfn.IFS(AND(A417&gt;NumberOfPlots,ISBLANK(INDEX(PlotData,MATCH($A417,PlotNumber,0),MATCH(B$3,PlotTitles,0)))),"",ISBLANK(INDEX(PlotData,MATCH($A417,PlotNumber,0),MATCH(N$3,PlotTitles,0))),$AB$17,TRUE,"")</f>
        <v/>
      </c>
      <c r="O417" s="104" t="str" cm="1">
        <f t="array" ref="O417">_xlfn.IFS(AND(A417&gt;NumberOfPlots,ISBLANK(INDEX(PlotData,MATCH($A417,PlotNumber,0),MATCH(B$3,PlotTitles,0)))),"",ISBLANK(INDEX(PlotData,MATCH($A417,PlotNumber,0),MATCH(O$3,PlotTitles,0))),$AB$18,TRUE,"")</f>
        <v/>
      </c>
      <c r="P417" s="182" t="str">
        <f t="shared" ca="1" si="19"/>
        <v/>
      </c>
      <c r="Q417" s="104" t="str" cm="1">
        <f t="array" ref="Q417">_xlfn.IFS(AND(A417&gt;NumberOfPlots,ISBLANK(INDEX(PlotData,MATCH($A417,PlotNumber,0),MATCH(B$3,PlotTitles,0)))),"",ISBLANK(INDEX(PlotData,MATCH($A417,PlotNumber,0),MATCH(N$3,PlotTitles,0))),"",(DATEVALUE(INDEX(PlotData,MATCH($A417,PlotNumber,0),MATCH(N$3,PlotTitles,0))&amp;INDEX(PlotData,MATCH($A417,PlotNumber,0),MATCH(O$3,PlotTitles,0))))&lt;(DATEVALUE(INDEX(PlotData,MATCH($A417,PlotNumber,0),MATCH(I$3,PlotTitles,0))&amp;INDEX(PlotData,MATCH($A417,PlotNumber,0),MATCH(J$3,PlotTitles,0)))),$AB$20,TRUE,"")</f>
        <v/>
      </c>
      <c r="R417" s="104" t="str" cm="1">
        <f t="array" ref="R417">_xlfn.IFS(OR(ISBLANK(StartDateMonth),ISBLANK(StartDateYear)),"",AND(A417&gt;NumberOfPlots,ISBLANK(INDEX(PlotData,MATCH($A417,PlotNumber,0),MATCH(B$3,PlotTitles,0)))),"",ISBLANK(INDEX(PlotData,MATCH($A417,PlotNumber,0),MATCH(N$3,PlotTitles,0))),"",CompletionMonth="","",(DATEVALUE(INDEX(PlotData,MATCH($A417,PlotNumber,0),MATCH(N$3,PlotTitles,0))&amp;INDEX(PlotData,MATCH($A417,PlotNumber,0),MATCH(O$3,PlotTitles,0))))&gt;(DATEVALUE(CompletionMonth&amp;CompletionYear)),$AB$21,TRUE,"")</f>
        <v/>
      </c>
      <c r="S417" s="104" t="str" cm="1">
        <f t="array" ref="S417">_xlfn.IFS(AND(A417&gt;NumberOfPlots,ISBLANK(INDEX(PlotData,MATCH($A417,PlotNumber,0),MATCH(B$3,PlotTitles,0)))),"",OR(AND(INDEX(PlotData,MATCH($A417,PlotNumber,0),MATCH("Tenure",PlotTitles,0))="Open market housing",INDEX(PlotData,MATCH($A417,PlotNumber,0),MATCH("Tenure detail",PlotTitles,0))="Private rented sector"),INDEX(PlotData,MATCH($A417,PlotNumber,0),MATCH("Tenure",PlotTitles,0))="Affordable rent"),"",ISNUMBER(INDEX(PlotData,MATCH($A417,PlotNumber,0),MATCH(S$3,PlotTitles,0)))=FALSE, $AB$22,TRUE,"")</f>
        <v/>
      </c>
      <c r="T417" s="104" t="str" cm="1">
        <f t="array" ref="T417">_xlfn.IFS(AND(A417&gt;NumberOfPlots,ISBLANK(INDEX(PlotData,MATCH($A417,PlotNumber,0),MATCH(B$3,PlotTitles,0)))),"",OR(AND(INDEX(PlotData,MATCH($A417,PlotNumber,0),MATCH("Tenure",PlotTitles,0))="Open market housing",INDEX(PlotData,MATCH($A417,PlotNumber,0),MATCH("Tenure detail",PlotTitles,0))="Private rented sector"),INDEX(PlotData,MATCH($A417,PlotNumber,0),MATCH("Tenure",PlotTitles,0))="Affordable rent"),"",INDEX(PlotData,MATCH($A417,PlotNumber,0),MATCH(S$3,PlotTitles,0))&lt;10000, $AB$23,TRUE,"")</f>
        <v/>
      </c>
      <c r="U417" s="104" t="str" cm="1">
        <f t="array" ref="U417">_xlfn.IFS(AND(A417&gt;NumberOfPlots,ISBLANK(INDEX(PlotData,MATCH($A417,PlotNumber,0),MATCH(B$3,PlotTitles,0)))),"",NOT(OR(AND(INDEX(PlotData,MATCH($A417,PlotNumber,0),MATCH("Tenure",PlotTitles,0))="Open market housing",INDEX(PlotData,MATCH($A417,PlotNumber,0),MATCH("Tenure detail",PlotTitles,0))="Private rented sector"),INDEX(PlotData,MATCH($A417,PlotNumber,0),MATCH("Tenure",PlotTitles,0))="Affordable rent")),"",NOT(INDEX(PlotData,MATCH($A417,PlotNumber,0),MATCH(S$3,PlotTitles,0))=0), $AB$24,TRUE,"")</f>
        <v/>
      </c>
      <c r="V417" s="114" t="str" cm="1">
        <f t="array" aca="1" ref="V417" ca="1">_xlfn.IFS(ISBLANK(NumberOfPlots),"Enter the number of homes on the 1_SetUp sheet",AND(A417&gt;NumberOfPlots,ISBLANK(INDEX(PlotData,MATCH($A417,PlotNumber,0),MATCH(B$3,PlotTitles,0)))),"No error",NOT(B417=""),B417,NOT(C417=""),C417,NOT(D417=""),D417,NOT(E417=""),E417,NOT(F417=""),F417,NOT(G417=""),G417,NOT(H417=""),H417,NOT(I417=""),I417,NOT(J417=""),J417,NOT(K417=""),K417,NOT(L417=""),L417,NOT(M417=""),M417,NOT(N417=""),N417,NOT(O417=""),O417,NOT(P417=""),P417,NOT(Q417=""),Q417,NOT(R417=""),R417,NOT(S417=""),S417,NOT(T417=""),T417,NOT(U417=""),U417,TRUE,"No error")</f>
        <v>Enter the number of homes on the 1_SetUp sheet</v>
      </c>
      <c r="W417" s="114" t="str">
        <f t="shared" ca="1" si="20"/>
        <v xml:space="preserve">The Borrower has not addressed the following error messages for Home ID 413: </v>
      </c>
    </row>
    <row r="418" spans="1:23">
      <c r="A418" s="123">
        <v>414</v>
      </c>
      <c r="B418" s="104" t="str" cm="1">
        <f t="array" ref="B418">_xlfn.IFS(AND(A418&gt;NumberOfPlots,ISBLANK(INDEX(PlotData,MATCH($A418,PlotNumber,0),MATCH(B$3,PlotTitles,0)))),"",ISNUMBER(INDEX(PlotData,MATCH($A418,PlotNumber,0),MATCH(B$3,PlotTitles,0)))=FALSE, $AB$5,TRUE,"")</f>
        <v/>
      </c>
      <c r="C418" s="104" t="str" cm="1">
        <f t="array" ref="C418">_xlfn.IFS(AND(A418&gt;NumberOfPlots,ISBLANK(INDEX(PlotData,MATCH($A418,PlotNumber,0),MATCH(B$3,PlotTitles,0)))),"",ISBLANK(INDEX(PlotData,MATCH($A418,PlotNumber,0),MATCH(C$3,PlotTitles,0))),$AB$6,TRUE,"")</f>
        <v/>
      </c>
      <c r="D418" s="104" t="str" cm="1">
        <f t="array" ref="D418">_xlfn.IFS(AND(A418&gt;NumberOfPlots,ISBLANK(INDEX(PlotData,MATCH($A418,PlotNumber,0),MATCH(B$3,PlotTitles,0)))),"",ISBLANK(INDEX(PlotData,MATCH($A418,PlotNumber,0),MATCH(D$3,PlotTitles,0))),$AB$7,TRUE,"")</f>
        <v/>
      </c>
      <c r="E418" s="104" t="str" cm="1">
        <f t="array" ref="E418">_xlfn.IFS(AND(A418&gt;NumberOfPlots,ISBLANK(INDEX(PlotData,MATCH($A418,PlotNumber,0),MATCH(B$3,PlotTitles,0)))),"",ISBLANK(INDEX(PlotData,MATCH($A418,PlotNumber,0),MATCH(E$3,PlotTitles,0))),$AB$8,TRUE,"")</f>
        <v/>
      </c>
      <c r="F418" s="104" t="str" cm="1">
        <f t="array" ref="F418">_xlfn.IFS(AND(A418&gt;NumberOfPlots,ISBLANK(INDEX(PlotData,MATCH($A418,PlotNumber,0),MATCH(B$3,PlotTitles,0)))),"",ISBLANK(INDEX(PlotData,MATCH($A418,PlotNumber,0),MATCH(F$3,PlotTitles,0))),$AB$9,TRUE,"")</f>
        <v/>
      </c>
      <c r="G418" s="104" t="str" cm="1">
        <f t="array" ref="G418">_xlfn.IFS(AND(A418&gt;NumberOfPlots,ISBLANK(INDEX(PlotData,MATCH($A418,PlotNumber,0),MATCH(B$3,PlotTitles,0)))),"",ISBLANK(INDEX(PlotData,MATCH($A418,PlotNumber,0),MATCH(G$3,PlotTitles,0))),$AB$10,TRUE,"")</f>
        <v/>
      </c>
      <c r="H418" s="104" t="str" cm="1">
        <f t="array" ref="H418">_xlfn.IFS(AND(A418&gt;NumberOfPlots,ISBLANK(INDEX(PlotData,MATCH($A418,PlotNumber,0),MATCH(B$3,PlotTitles,0)))),"",AND(ISBLANK(INDEX(PlotData,MATCH($A418,PlotNumber,0),MATCH(H$3,PlotTitles,0)))=FALSE,INDEX(PlotData,MATCH($A418,PlotNumber,0),MATCH(H$3,PlotTitles,0))&lt;500), $AB$11,TRUE,"")</f>
        <v/>
      </c>
      <c r="I418" s="104" t="str" cm="1">
        <f t="array" ref="I418">_xlfn.IFS(AND(A418&gt;NumberOfPlots,ISBLANK(INDEX(PlotData,MATCH($A418,PlotNumber,0),MATCH(B$3,PlotTitles,0)))),"",ISBLANK(INDEX(PlotData,MATCH($A418,PlotNumber,0),MATCH(I$3,PlotTitles,0))),$AB$12,TRUE,"")</f>
        <v/>
      </c>
      <c r="J418" s="104" t="str" cm="1">
        <f t="array" ref="J418">_xlfn.IFS(AND(A418&gt;NumberOfPlots,ISBLANK(INDEX(PlotData,MATCH($A418,PlotNumber,0),MATCH(B$3,PlotTitles,0)))),"",ISBLANK(INDEX(PlotData,MATCH($A418,PlotNumber,0),MATCH(J$3,PlotTitles,0))),$AB$13,TRUE,"")</f>
        <v/>
      </c>
      <c r="K418" s="182" t="str">
        <f t="shared" ca="1" si="18"/>
        <v/>
      </c>
      <c r="L418" s="104" t="str" cm="1">
        <f t="array" ref="L418">_xlfn.IFS(OR(ISBLANK(StartDateMonth),ISBLANK(StartDateYear)),"",AND(A418&gt;NumberOfPlots,ISBLANK(INDEX(PlotData,MATCH($A418,PlotNumber,0),MATCH(B$3,PlotTitles,0)))),"",ISBLANK(INDEX(PlotData,MATCH($A418,PlotNumber,0),MATCH(I$3,PlotTitles,0))),"",(DATEVALUE(INDEX(PlotData,MATCH($A418,PlotNumber,0),MATCH(I$3,PlotTitles,0))&amp;INDEX(PlotData,MATCH($A418,PlotNumber,0),MATCH(J$3,PlotTitles,0))))&lt;DATEVALUE(StartDateMonth&amp;StartDateYear),$AB$15,TRUE,"")</f>
        <v/>
      </c>
      <c r="M418" s="104" t="str" cm="1">
        <f t="array" ref="M418">_xlfn.IFS(OR(ISBLANK(StartDateMonth),ISBLANK(StartDateYear)),"",AND(A418&gt;NumberOfPlots,ISBLANK(INDEX(PlotData,MATCH($A418,PlotNumber,0),MATCH(B$3,PlotTitles,0)))),"",ISBLANK(INDEX(PlotData,MATCH($A418,PlotNumber,0),MATCH(I$3,PlotTitles,0))),"",CompletionMonth="","",(DATEVALUE(INDEX(PlotData,MATCH($A418,PlotNumber,0),MATCH(I$3,PlotTitles,0))&amp;INDEX(PlotData,MATCH($A418,PlotNumber,0),MATCH(J$3,PlotTitles,0))))&gt;(DATEVALUE(CompletionMonth&amp;CompletionYear)),$AB$16,TRUE,"")</f>
        <v/>
      </c>
      <c r="N418" s="104" t="str" cm="1">
        <f t="array" ref="N418">_xlfn.IFS(AND(A418&gt;NumberOfPlots,ISBLANK(INDEX(PlotData,MATCH($A418,PlotNumber,0),MATCH(B$3,PlotTitles,0)))),"",ISBLANK(INDEX(PlotData,MATCH($A418,PlotNumber,0),MATCH(N$3,PlotTitles,0))),$AB$17,TRUE,"")</f>
        <v/>
      </c>
      <c r="O418" s="104" t="str" cm="1">
        <f t="array" ref="O418">_xlfn.IFS(AND(A418&gt;NumberOfPlots,ISBLANK(INDEX(PlotData,MATCH($A418,PlotNumber,0),MATCH(B$3,PlotTitles,0)))),"",ISBLANK(INDEX(PlotData,MATCH($A418,PlotNumber,0),MATCH(O$3,PlotTitles,0))),$AB$18,TRUE,"")</f>
        <v/>
      </c>
      <c r="P418" s="182" t="str">
        <f t="shared" ca="1" si="19"/>
        <v/>
      </c>
      <c r="Q418" s="104" t="str" cm="1">
        <f t="array" ref="Q418">_xlfn.IFS(AND(A418&gt;NumberOfPlots,ISBLANK(INDEX(PlotData,MATCH($A418,PlotNumber,0),MATCH(B$3,PlotTitles,0)))),"",ISBLANK(INDEX(PlotData,MATCH($A418,PlotNumber,0),MATCH(N$3,PlotTitles,0))),"",(DATEVALUE(INDEX(PlotData,MATCH($A418,PlotNumber,0),MATCH(N$3,PlotTitles,0))&amp;INDEX(PlotData,MATCH($A418,PlotNumber,0),MATCH(O$3,PlotTitles,0))))&lt;(DATEVALUE(INDEX(PlotData,MATCH($A418,PlotNumber,0),MATCH(I$3,PlotTitles,0))&amp;INDEX(PlotData,MATCH($A418,PlotNumber,0),MATCH(J$3,PlotTitles,0)))),$AB$20,TRUE,"")</f>
        <v/>
      </c>
      <c r="R418" s="104" t="str" cm="1">
        <f t="array" ref="R418">_xlfn.IFS(OR(ISBLANK(StartDateMonth),ISBLANK(StartDateYear)),"",AND(A418&gt;NumberOfPlots,ISBLANK(INDEX(PlotData,MATCH($A418,PlotNumber,0),MATCH(B$3,PlotTitles,0)))),"",ISBLANK(INDEX(PlotData,MATCH($A418,PlotNumber,0),MATCH(N$3,PlotTitles,0))),"",CompletionMonth="","",(DATEVALUE(INDEX(PlotData,MATCH($A418,PlotNumber,0),MATCH(N$3,PlotTitles,0))&amp;INDEX(PlotData,MATCH($A418,PlotNumber,0),MATCH(O$3,PlotTitles,0))))&gt;(DATEVALUE(CompletionMonth&amp;CompletionYear)),$AB$21,TRUE,"")</f>
        <v/>
      </c>
      <c r="S418" s="104" t="str" cm="1">
        <f t="array" ref="S418">_xlfn.IFS(AND(A418&gt;NumberOfPlots,ISBLANK(INDEX(PlotData,MATCH($A418,PlotNumber,0),MATCH(B$3,PlotTitles,0)))),"",OR(AND(INDEX(PlotData,MATCH($A418,PlotNumber,0),MATCH("Tenure",PlotTitles,0))="Open market housing",INDEX(PlotData,MATCH($A418,PlotNumber,0),MATCH("Tenure detail",PlotTitles,0))="Private rented sector"),INDEX(PlotData,MATCH($A418,PlotNumber,0),MATCH("Tenure",PlotTitles,0))="Affordable rent"),"",ISNUMBER(INDEX(PlotData,MATCH($A418,PlotNumber,0),MATCH(S$3,PlotTitles,0)))=FALSE, $AB$22,TRUE,"")</f>
        <v/>
      </c>
      <c r="T418" s="104" t="str" cm="1">
        <f t="array" ref="T418">_xlfn.IFS(AND(A418&gt;NumberOfPlots,ISBLANK(INDEX(PlotData,MATCH($A418,PlotNumber,0),MATCH(B$3,PlotTitles,0)))),"",OR(AND(INDEX(PlotData,MATCH($A418,PlotNumber,0),MATCH("Tenure",PlotTitles,0))="Open market housing",INDEX(PlotData,MATCH($A418,PlotNumber,0),MATCH("Tenure detail",PlotTitles,0))="Private rented sector"),INDEX(PlotData,MATCH($A418,PlotNumber,0),MATCH("Tenure",PlotTitles,0))="Affordable rent"),"",INDEX(PlotData,MATCH($A418,PlotNumber,0),MATCH(S$3,PlotTitles,0))&lt;10000, $AB$23,TRUE,"")</f>
        <v/>
      </c>
      <c r="U418" s="104" t="str" cm="1">
        <f t="array" ref="U418">_xlfn.IFS(AND(A418&gt;NumberOfPlots,ISBLANK(INDEX(PlotData,MATCH($A418,PlotNumber,0),MATCH(B$3,PlotTitles,0)))),"",NOT(OR(AND(INDEX(PlotData,MATCH($A418,PlotNumber,0),MATCH("Tenure",PlotTitles,0))="Open market housing",INDEX(PlotData,MATCH($A418,PlotNumber,0),MATCH("Tenure detail",PlotTitles,0))="Private rented sector"),INDEX(PlotData,MATCH($A418,PlotNumber,0),MATCH("Tenure",PlotTitles,0))="Affordable rent")),"",NOT(INDEX(PlotData,MATCH($A418,PlotNumber,0),MATCH(S$3,PlotTitles,0))=0), $AB$24,TRUE,"")</f>
        <v/>
      </c>
      <c r="V418" s="114" t="str" cm="1">
        <f t="array" aca="1" ref="V418" ca="1">_xlfn.IFS(ISBLANK(NumberOfPlots),"Enter the number of homes on the 1_SetUp sheet",AND(A418&gt;NumberOfPlots,ISBLANK(INDEX(PlotData,MATCH($A418,PlotNumber,0),MATCH(B$3,PlotTitles,0)))),"No error",NOT(B418=""),B418,NOT(C418=""),C418,NOT(D418=""),D418,NOT(E418=""),E418,NOT(F418=""),F418,NOT(G418=""),G418,NOT(H418=""),H418,NOT(I418=""),I418,NOT(J418=""),J418,NOT(K418=""),K418,NOT(L418=""),L418,NOT(M418=""),M418,NOT(N418=""),N418,NOT(O418=""),O418,NOT(P418=""),P418,NOT(Q418=""),Q418,NOT(R418=""),R418,NOT(S418=""),S418,NOT(T418=""),T418,NOT(U418=""),U418,TRUE,"No error")</f>
        <v>Enter the number of homes on the 1_SetUp sheet</v>
      </c>
      <c r="W418" s="114" t="str">
        <f t="shared" ca="1" si="20"/>
        <v xml:space="preserve">The Borrower has not addressed the following error messages for Home ID 414: </v>
      </c>
    </row>
    <row r="419" spans="1:23">
      <c r="A419" s="123">
        <v>415</v>
      </c>
      <c r="B419" s="104" t="str" cm="1">
        <f t="array" ref="B419">_xlfn.IFS(AND(A419&gt;NumberOfPlots,ISBLANK(INDEX(PlotData,MATCH($A419,PlotNumber,0),MATCH(B$3,PlotTitles,0)))),"",ISNUMBER(INDEX(PlotData,MATCH($A419,PlotNumber,0),MATCH(B$3,PlotTitles,0)))=FALSE, $AB$5,TRUE,"")</f>
        <v/>
      </c>
      <c r="C419" s="104" t="str" cm="1">
        <f t="array" ref="C419">_xlfn.IFS(AND(A419&gt;NumberOfPlots,ISBLANK(INDEX(PlotData,MATCH($A419,PlotNumber,0),MATCH(B$3,PlotTitles,0)))),"",ISBLANK(INDEX(PlotData,MATCH($A419,PlotNumber,0),MATCH(C$3,PlotTitles,0))),$AB$6,TRUE,"")</f>
        <v/>
      </c>
      <c r="D419" s="104" t="str" cm="1">
        <f t="array" ref="D419">_xlfn.IFS(AND(A419&gt;NumberOfPlots,ISBLANK(INDEX(PlotData,MATCH($A419,PlotNumber,0),MATCH(B$3,PlotTitles,0)))),"",ISBLANK(INDEX(PlotData,MATCH($A419,PlotNumber,0),MATCH(D$3,PlotTitles,0))),$AB$7,TRUE,"")</f>
        <v/>
      </c>
      <c r="E419" s="104" t="str" cm="1">
        <f t="array" ref="E419">_xlfn.IFS(AND(A419&gt;NumberOfPlots,ISBLANK(INDEX(PlotData,MATCH($A419,PlotNumber,0),MATCH(B$3,PlotTitles,0)))),"",ISBLANK(INDEX(PlotData,MATCH($A419,PlotNumber,0),MATCH(E$3,PlotTitles,0))),$AB$8,TRUE,"")</f>
        <v/>
      </c>
      <c r="F419" s="104" t="str" cm="1">
        <f t="array" ref="F419">_xlfn.IFS(AND(A419&gt;NumberOfPlots,ISBLANK(INDEX(PlotData,MATCH($A419,PlotNumber,0),MATCH(B$3,PlotTitles,0)))),"",ISBLANK(INDEX(PlotData,MATCH($A419,PlotNumber,0),MATCH(F$3,PlotTitles,0))),$AB$9,TRUE,"")</f>
        <v/>
      </c>
      <c r="G419" s="104" t="str" cm="1">
        <f t="array" ref="G419">_xlfn.IFS(AND(A419&gt;NumberOfPlots,ISBLANK(INDEX(PlotData,MATCH($A419,PlotNumber,0),MATCH(B$3,PlotTitles,0)))),"",ISBLANK(INDEX(PlotData,MATCH($A419,PlotNumber,0),MATCH(G$3,PlotTitles,0))),$AB$10,TRUE,"")</f>
        <v/>
      </c>
      <c r="H419" s="104" t="str" cm="1">
        <f t="array" ref="H419">_xlfn.IFS(AND(A419&gt;NumberOfPlots,ISBLANK(INDEX(PlotData,MATCH($A419,PlotNumber,0),MATCH(B$3,PlotTitles,0)))),"",AND(ISBLANK(INDEX(PlotData,MATCH($A419,PlotNumber,0),MATCH(H$3,PlotTitles,0)))=FALSE,INDEX(PlotData,MATCH($A419,PlotNumber,0),MATCH(H$3,PlotTitles,0))&lt;500), $AB$11,TRUE,"")</f>
        <v/>
      </c>
      <c r="I419" s="104" t="str" cm="1">
        <f t="array" ref="I419">_xlfn.IFS(AND(A419&gt;NumberOfPlots,ISBLANK(INDEX(PlotData,MATCH($A419,PlotNumber,0),MATCH(B$3,PlotTitles,0)))),"",ISBLANK(INDEX(PlotData,MATCH($A419,PlotNumber,0),MATCH(I$3,PlotTitles,0))),$AB$12,TRUE,"")</f>
        <v/>
      </c>
      <c r="J419" s="104" t="str" cm="1">
        <f t="array" ref="J419">_xlfn.IFS(AND(A419&gt;NumberOfPlots,ISBLANK(INDEX(PlotData,MATCH($A419,PlotNumber,0),MATCH(B$3,PlotTitles,0)))),"",ISBLANK(INDEX(PlotData,MATCH($A419,PlotNumber,0),MATCH(J$3,PlotTitles,0))),$AB$13,TRUE,"")</f>
        <v/>
      </c>
      <c r="K419" s="182" t="str">
        <f t="shared" ca="1" si="18"/>
        <v/>
      </c>
      <c r="L419" s="104" t="str" cm="1">
        <f t="array" ref="L419">_xlfn.IFS(OR(ISBLANK(StartDateMonth),ISBLANK(StartDateYear)),"",AND(A419&gt;NumberOfPlots,ISBLANK(INDEX(PlotData,MATCH($A419,PlotNumber,0),MATCH(B$3,PlotTitles,0)))),"",ISBLANK(INDEX(PlotData,MATCH($A419,PlotNumber,0),MATCH(I$3,PlotTitles,0))),"",(DATEVALUE(INDEX(PlotData,MATCH($A419,PlotNumber,0),MATCH(I$3,PlotTitles,0))&amp;INDEX(PlotData,MATCH($A419,PlotNumber,0),MATCH(J$3,PlotTitles,0))))&lt;DATEVALUE(StartDateMonth&amp;StartDateYear),$AB$15,TRUE,"")</f>
        <v/>
      </c>
      <c r="M419" s="104" t="str" cm="1">
        <f t="array" ref="M419">_xlfn.IFS(OR(ISBLANK(StartDateMonth),ISBLANK(StartDateYear)),"",AND(A419&gt;NumberOfPlots,ISBLANK(INDEX(PlotData,MATCH($A419,PlotNumber,0),MATCH(B$3,PlotTitles,0)))),"",ISBLANK(INDEX(PlotData,MATCH($A419,PlotNumber,0),MATCH(I$3,PlotTitles,0))),"",CompletionMonth="","",(DATEVALUE(INDEX(PlotData,MATCH($A419,PlotNumber,0),MATCH(I$3,PlotTitles,0))&amp;INDEX(PlotData,MATCH($A419,PlotNumber,0),MATCH(J$3,PlotTitles,0))))&gt;(DATEVALUE(CompletionMonth&amp;CompletionYear)),$AB$16,TRUE,"")</f>
        <v/>
      </c>
      <c r="N419" s="104" t="str" cm="1">
        <f t="array" ref="N419">_xlfn.IFS(AND(A419&gt;NumberOfPlots,ISBLANK(INDEX(PlotData,MATCH($A419,PlotNumber,0),MATCH(B$3,PlotTitles,0)))),"",ISBLANK(INDEX(PlotData,MATCH($A419,PlotNumber,0),MATCH(N$3,PlotTitles,0))),$AB$17,TRUE,"")</f>
        <v/>
      </c>
      <c r="O419" s="104" t="str" cm="1">
        <f t="array" ref="O419">_xlfn.IFS(AND(A419&gt;NumberOfPlots,ISBLANK(INDEX(PlotData,MATCH($A419,PlotNumber,0),MATCH(B$3,PlotTitles,0)))),"",ISBLANK(INDEX(PlotData,MATCH($A419,PlotNumber,0),MATCH(O$3,PlotTitles,0))),$AB$18,TRUE,"")</f>
        <v/>
      </c>
      <c r="P419" s="182" t="str">
        <f t="shared" ca="1" si="19"/>
        <v/>
      </c>
      <c r="Q419" s="104" t="str" cm="1">
        <f t="array" ref="Q419">_xlfn.IFS(AND(A419&gt;NumberOfPlots,ISBLANK(INDEX(PlotData,MATCH($A419,PlotNumber,0),MATCH(B$3,PlotTitles,0)))),"",ISBLANK(INDEX(PlotData,MATCH($A419,PlotNumber,0),MATCH(N$3,PlotTitles,0))),"",(DATEVALUE(INDEX(PlotData,MATCH($A419,PlotNumber,0),MATCH(N$3,PlotTitles,0))&amp;INDEX(PlotData,MATCH($A419,PlotNumber,0),MATCH(O$3,PlotTitles,0))))&lt;(DATEVALUE(INDEX(PlotData,MATCH($A419,PlotNumber,0),MATCH(I$3,PlotTitles,0))&amp;INDEX(PlotData,MATCH($A419,PlotNumber,0),MATCH(J$3,PlotTitles,0)))),$AB$20,TRUE,"")</f>
        <v/>
      </c>
      <c r="R419" s="104" t="str" cm="1">
        <f t="array" ref="R419">_xlfn.IFS(OR(ISBLANK(StartDateMonth),ISBLANK(StartDateYear)),"",AND(A419&gt;NumberOfPlots,ISBLANK(INDEX(PlotData,MATCH($A419,PlotNumber,0),MATCH(B$3,PlotTitles,0)))),"",ISBLANK(INDEX(PlotData,MATCH($A419,PlotNumber,0),MATCH(N$3,PlotTitles,0))),"",CompletionMonth="","",(DATEVALUE(INDEX(PlotData,MATCH($A419,PlotNumber,0),MATCH(N$3,PlotTitles,0))&amp;INDEX(PlotData,MATCH($A419,PlotNumber,0),MATCH(O$3,PlotTitles,0))))&gt;(DATEVALUE(CompletionMonth&amp;CompletionYear)),$AB$21,TRUE,"")</f>
        <v/>
      </c>
      <c r="S419" s="104" t="str" cm="1">
        <f t="array" ref="S419">_xlfn.IFS(AND(A419&gt;NumberOfPlots,ISBLANK(INDEX(PlotData,MATCH($A419,PlotNumber,0),MATCH(B$3,PlotTitles,0)))),"",OR(AND(INDEX(PlotData,MATCH($A419,PlotNumber,0),MATCH("Tenure",PlotTitles,0))="Open market housing",INDEX(PlotData,MATCH($A419,PlotNumber,0),MATCH("Tenure detail",PlotTitles,0))="Private rented sector"),INDEX(PlotData,MATCH($A419,PlotNumber,0),MATCH("Tenure",PlotTitles,0))="Affordable rent"),"",ISNUMBER(INDEX(PlotData,MATCH($A419,PlotNumber,0),MATCH(S$3,PlotTitles,0)))=FALSE, $AB$22,TRUE,"")</f>
        <v/>
      </c>
      <c r="T419" s="104" t="str" cm="1">
        <f t="array" ref="T419">_xlfn.IFS(AND(A419&gt;NumberOfPlots,ISBLANK(INDEX(PlotData,MATCH($A419,PlotNumber,0),MATCH(B$3,PlotTitles,0)))),"",OR(AND(INDEX(PlotData,MATCH($A419,PlotNumber,0),MATCH("Tenure",PlotTitles,0))="Open market housing",INDEX(PlotData,MATCH($A419,PlotNumber,0),MATCH("Tenure detail",PlotTitles,0))="Private rented sector"),INDEX(PlotData,MATCH($A419,PlotNumber,0),MATCH("Tenure",PlotTitles,0))="Affordable rent"),"",INDEX(PlotData,MATCH($A419,PlotNumber,0),MATCH(S$3,PlotTitles,0))&lt;10000, $AB$23,TRUE,"")</f>
        <v/>
      </c>
      <c r="U419" s="104" t="str" cm="1">
        <f t="array" ref="U419">_xlfn.IFS(AND(A419&gt;NumberOfPlots,ISBLANK(INDEX(PlotData,MATCH($A419,PlotNumber,0),MATCH(B$3,PlotTitles,0)))),"",NOT(OR(AND(INDEX(PlotData,MATCH($A419,PlotNumber,0),MATCH("Tenure",PlotTitles,0))="Open market housing",INDEX(PlotData,MATCH($A419,PlotNumber,0),MATCH("Tenure detail",PlotTitles,0))="Private rented sector"),INDEX(PlotData,MATCH($A419,PlotNumber,0),MATCH("Tenure",PlotTitles,0))="Affordable rent")),"",NOT(INDEX(PlotData,MATCH($A419,PlotNumber,0),MATCH(S$3,PlotTitles,0))=0), $AB$24,TRUE,"")</f>
        <v/>
      </c>
      <c r="V419" s="114" t="str" cm="1">
        <f t="array" aca="1" ref="V419" ca="1">_xlfn.IFS(ISBLANK(NumberOfPlots),"Enter the number of homes on the 1_SetUp sheet",AND(A419&gt;NumberOfPlots,ISBLANK(INDEX(PlotData,MATCH($A419,PlotNumber,0),MATCH(B$3,PlotTitles,0)))),"No error",NOT(B419=""),B419,NOT(C419=""),C419,NOT(D419=""),D419,NOT(E419=""),E419,NOT(F419=""),F419,NOT(G419=""),G419,NOT(H419=""),H419,NOT(I419=""),I419,NOT(J419=""),J419,NOT(K419=""),K419,NOT(L419=""),L419,NOT(M419=""),M419,NOT(N419=""),N419,NOT(O419=""),O419,NOT(P419=""),P419,NOT(Q419=""),Q419,NOT(R419=""),R419,NOT(S419=""),S419,NOT(T419=""),T419,NOT(U419=""),U419,TRUE,"No error")</f>
        <v>Enter the number of homes on the 1_SetUp sheet</v>
      </c>
      <c r="W419" s="114" t="str">
        <f t="shared" ca="1" si="20"/>
        <v xml:space="preserve">The Borrower has not addressed the following error messages for Home ID 415: </v>
      </c>
    </row>
    <row r="420" spans="1:23">
      <c r="A420" s="123">
        <v>416</v>
      </c>
      <c r="B420" s="104" t="str" cm="1">
        <f t="array" ref="B420">_xlfn.IFS(AND(A420&gt;NumberOfPlots,ISBLANK(INDEX(PlotData,MATCH($A420,PlotNumber,0),MATCH(B$3,PlotTitles,0)))),"",ISNUMBER(INDEX(PlotData,MATCH($A420,PlotNumber,0),MATCH(B$3,PlotTitles,0)))=FALSE, $AB$5,TRUE,"")</f>
        <v/>
      </c>
      <c r="C420" s="104" t="str" cm="1">
        <f t="array" ref="C420">_xlfn.IFS(AND(A420&gt;NumberOfPlots,ISBLANK(INDEX(PlotData,MATCH($A420,PlotNumber,0),MATCH(B$3,PlotTitles,0)))),"",ISBLANK(INDEX(PlotData,MATCH($A420,PlotNumber,0),MATCH(C$3,PlotTitles,0))),$AB$6,TRUE,"")</f>
        <v/>
      </c>
      <c r="D420" s="104" t="str" cm="1">
        <f t="array" ref="D420">_xlfn.IFS(AND(A420&gt;NumberOfPlots,ISBLANK(INDEX(PlotData,MATCH($A420,PlotNumber,0),MATCH(B$3,PlotTitles,0)))),"",ISBLANK(INDEX(PlotData,MATCH($A420,PlotNumber,0),MATCH(D$3,PlotTitles,0))),$AB$7,TRUE,"")</f>
        <v/>
      </c>
      <c r="E420" s="104" t="str" cm="1">
        <f t="array" ref="E420">_xlfn.IFS(AND(A420&gt;NumberOfPlots,ISBLANK(INDEX(PlotData,MATCH($A420,PlotNumber,0),MATCH(B$3,PlotTitles,0)))),"",ISBLANK(INDEX(PlotData,MATCH($A420,PlotNumber,0),MATCH(E$3,PlotTitles,0))),$AB$8,TRUE,"")</f>
        <v/>
      </c>
      <c r="F420" s="104" t="str" cm="1">
        <f t="array" ref="F420">_xlfn.IFS(AND(A420&gt;NumberOfPlots,ISBLANK(INDEX(PlotData,MATCH($A420,PlotNumber,0),MATCH(B$3,PlotTitles,0)))),"",ISBLANK(INDEX(PlotData,MATCH($A420,PlotNumber,0),MATCH(F$3,PlotTitles,0))),$AB$9,TRUE,"")</f>
        <v/>
      </c>
      <c r="G420" s="104" t="str" cm="1">
        <f t="array" ref="G420">_xlfn.IFS(AND(A420&gt;NumberOfPlots,ISBLANK(INDEX(PlotData,MATCH($A420,PlotNumber,0),MATCH(B$3,PlotTitles,0)))),"",ISBLANK(INDEX(PlotData,MATCH($A420,PlotNumber,0),MATCH(G$3,PlotTitles,0))),$AB$10,TRUE,"")</f>
        <v/>
      </c>
      <c r="H420" s="104" t="str" cm="1">
        <f t="array" ref="H420">_xlfn.IFS(AND(A420&gt;NumberOfPlots,ISBLANK(INDEX(PlotData,MATCH($A420,PlotNumber,0),MATCH(B$3,PlotTitles,0)))),"",AND(ISBLANK(INDEX(PlotData,MATCH($A420,PlotNumber,0),MATCH(H$3,PlotTitles,0)))=FALSE,INDEX(PlotData,MATCH($A420,PlotNumber,0),MATCH(H$3,PlotTitles,0))&lt;500), $AB$11,TRUE,"")</f>
        <v/>
      </c>
      <c r="I420" s="104" t="str" cm="1">
        <f t="array" ref="I420">_xlfn.IFS(AND(A420&gt;NumberOfPlots,ISBLANK(INDEX(PlotData,MATCH($A420,PlotNumber,0),MATCH(B$3,PlotTitles,0)))),"",ISBLANK(INDEX(PlotData,MATCH($A420,PlotNumber,0),MATCH(I$3,PlotTitles,0))),$AB$12,TRUE,"")</f>
        <v/>
      </c>
      <c r="J420" s="104" t="str" cm="1">
        <f t="array" ref="J420">_xlfn.IFS(AND(A420&gt;NumberOfPlots,ISBLANK(INDEX(PlotData,MATCH($A420,PlotNumber,0),MATCH(B$3,PlotTitles,0)))),"",ISBLANK(INDEX(PlotData,MATCH($A420,PlotNumber,0),MATCH(J$3,PlotTitles,0))),$AB$13,TRUE,"")</f>
        <v/>
      </c>
      <c r="K420" s="182" t="str">
        <f t="shared" ca="1" si="18"/>
        <v/>
      </c>
      <c r="L420" s="104" t="str" cm="1">
        <f t="array" ref="L420">_xlfn.IFS(OR(ISBLANK(StartDateMonth),ISBLANK(StartDateYear)),"",AND(A420&gt;NumberOfPlots,ISBLANK(INDEX(PlotData,MATCH($A420,PlotNumber,0),MATCH(B$3,PlotTitles,0)))),"",ISBLANK(INDEX(PlotData,MATCH($A420,PlotNumber,0),MATCH(I$3,PlotTitles,0))),"",(DATEVALUE(INDEX(PlotData,MATCH($A420,PlotNumber,0),MATCH(I$3,PlotTitles,0))&amp;INDEX(PlotData,MATCH($A420,PlotNumber,0),MATCH(J$3,PlotTitles,0))))&lt;DATEVALUE(StartDateMonth&amp;StartDateYear),$AB$15,TRUE,"")</f>
        <v/>
      </c>
      <c r="M420" s="104" t="str" cm="1">
        <f t="array" ref="M420">_xlfn.IFS(OR(ISBLANK(StartDateMonth),ISBLANK(StartDateYear)),"",AND(A420&gt;NumberOfPlots,ISBLANK(INDEX(PlotData,MATCH($A420,PlotNumber,0),MATCH(B$3,PlotTitles,0)))),"",ISBLANK(INDEX(PlotData,MATCH($A420,PlotNumber,0),MATCH(I$3,PlotTitles,0))),"",CompletionMonth="","",(DATEVALUE(INDEX(PlotData,MATCH($A420,PlotNumber,0),MATCH(I$3,PlotTitles,0))&amp;INDEX(PlotData,MATCH($A420,PlotNumber,0),MATCH(J$3,PlotTitles,0))))&gt;(DATEVALUE(CompletionMonth&amp;CompletionYear)),$AB$16,TRUE,"")</f>
        <v/>
      </c>
      <c r="N420" s="104" t="str" cm="1">
        <f t="array" ref="N420">_xlfn.IFS(AND(A420&gt;NumberOfPlots,ISBLANK(INDEX(PlotData,MATCH($A420,PlotNumber,0),MATCH(B$3,PlotTitles,0)))),"",ISBLANK(INDEX(PlotData,MATCH($A420,PlotNumber,0),MATCH(N$3,PlotTitles,0))),$AB$17,TRUE,"")</f>
        <v/>
      </c>
      <c r="O420" s="104" t="str" cm="1">
        <f t="array" ref="O420">_xlfn.IFS(AND(A420&gt;NumberOfPlots,ISBLANK(INDEX(PlotData,MATCH($A420,PlotNumber,0),MATCH(B$3,PlotTitles,0)))),"",ISBLANK(INDEX(PlotData,MATCH($A420,PlotNumber,0),MATCH(O$3,PlotTitles,0))),$AB$18,TRUE,"")</f>
        <v/>
      </c>
      <c r="P420" s="182" t="str">
        <f t="shared" ca="1" si="19"/>
        <v/>
      </c>
      <c r="Q420" s="104" t="str" cm="1">
        <f t="array" ref="Q420">_xlfn.IFS(AND(A420&gt;NumberOfPlots,ISBLANK(INDEX(PlotData,MATCH($A420,PlotNumber,0),MATCH(B$3,PlotTitles,0)))),"",ISBLANK(INDEX(PlotData,MATCH($A420,PlotNumber,0),MATCH(N$3,PlotTitles,0))),"",(DATEVALUE(INDEX(PlotData,MATCH($A420,PlotNumber,0),MATCH(N$3,PlotTitles,0))&amp;INDEX(PlotData,MATCH($A420,PlotNumber,0),MATCH(O$3,PlotTitles,0))))&lt;(DATEVALUE(INDEX(PlotData,MATCH($A420,PlotNumber,0),MATCH(I$3,PlotTitles,0))&amp;INDEX(PlotData,MATCH($A420,PlotNumber,0),MATCH(J$3,PlotTitles,0)))),$AB$20,TRUE,"")</f>
        <v/>
      </c>
      <c r="R420" s="104" t="str" cm="1">
        <f t="array" ref="R420">_xlfn.IFS(OR(ISBLANK(StartDateMonth),ISBLANK(StartDateYear)),"",AND(A420&gt;NumberOfPlots,ISBLANK(INDEX(PlotData,MATCH($A420,PlotNumber,0),MATCH(B$3,PlotTitles,0)))),"",ISBLANK(INDEX(PlotData,MATCH($A420,PlotNumber,0),MATCH(N$3,PlotTitles,0))),"",CompletionMonth="","",(DATEVALUE(INDEX(PlotData,MATCH($A420,PlotNumber,0),MATCH(N$3,PlotTitles,0))&amp;INDEX(PlotData,MATCH($A420,PlotNumber,0),MATCH(O$3,PlotTitles,0))))&gt;(DATEVALUE(CompletionMonth&amp;CompletionYear)),$AB$21,TRUE,"")</f>
        <v/>
      </c>
      <c r="S420" s="104" t="str" cm="1">
        <f t="array" ref="S420">_xlfn.IFS(AND(A420&gt;NumberOfPlots,ISBLANK(INDEX(PlotData,MATCH($A420,PlotNumber,0),MATCH(B$3,PlotTitles,0)))),"",OR(AND(INDEX(PlotData,MATCH($A420,PlotNumber,0),MATCH("Tenure",PlotTitles,0))="Open market housing",INDEX(PlotData,MATCH($A420,PlotNumber,0),MATCH("Tenure detail",PlotTitles,0))="Private rented sector"),INDEX(PlotData,MATCH($A420,PlotNumber,0),MATCH("Tenure",PlotTitles,0))="Affordable rent"),"",ISNUMBER(INDEX(PlotData,MATCH($A420,PlotNumber,0),MATCH(S$3,PlotTitles,0)))=FALSE, $AB$22,TRUE,"")</f>
        <v/>
      </c>
      <c r="T420" s="104" t="str" cm="1">
        <f t="array" ref="T420">_xlfn.IFS(AND(A420&gt;NumberOfPlots,ISBLANK(INDEX(PlotData,MATCH($A420,PlotNumber,0),MATCH(B$3,PlotTitles,0)))),"",OR(AND(INDEX(PlotData,MATCH($A420,PlotNumber,0),MATCH("Tenure",PlotTitles,0))="Open market housing",INDEX(PlotData,MATCH($A420,PlotNumber,0),MATCH("Tenure detail",PlotTitles,0))="Private rented sector"),INDEX(PlotData,MATCH($A420,PlotNumber,0),MATCH("Tenure",PlotTitles,0))="Affordable rent"),"",INDEX(PlotData,MATCH($A420,PlotNumber,0),MATCH(S$3,PlotTitles,0))&lt;10000, $AB$23,TRUE,"")</f>
        <v/>
      </c>
      <c r="U420" s="104" t="str" cm="1">
        <f t="array" ref="U420">_xlfn.IFS(AND(A420&gt;NumberOfPlots,ISBLANK(INDEX(PlotData,MATCH($A420,PlotNumber,0),MATCH(B$3,PlotTitles,0)))),"",NOT(OR(AND(INDEX(PlotData,MATCH($A420,PlotNumber,0),MATCH("Tenure",PlotTitles,0))="Open market housing",INDEX(PlotData,MATCH($A420,PlotNumber,0),MATCH("Tenure detail",PlotTitles,0))="Private rented sector"),INDEX(PlotData,MATCH($A420,PlotNumber,0),MATCH("Tenure",PlotTitles,0))="Affordable rent")),"",NOT(INDEX(PlotData,MATCH($A420,PlotNumber,0),MATCH(S$3,PlotTitles,0))=0), $AB$24,TRUE,"")</f>
        <v/>
      </c>
      <c r="V420" s="114" t="str" cm="1">
        <f t="array" aca="1" ref="V420" ca="1">_xlfn.IFS(ISBLANK(NumberOfPlots),"Enter the number of homes on the 1_SetUp sheet",AND(A420&gt;NumberOfPlots,ISBLANK(INDEX(PlotData,MATCH($A420,PlotNumber,0),MATCH(B$3,PlotTitles,0)))),"No error",NOT(B420=""),B420,NOT(C420=""),C420,NOT(D420=""),D420,NOT(E420=""),E420,NOT(F420=""),F420,NOT(G420=""),G420,NOT(H420=""),H420,NOT(I420=""),I420,NOT(J420=""),J420,NOT(K420=""),K420,NOT(L420=""),L420,NOT(M420=""),M420,NOT(N420=""),N420,NOT(O420=""),O420,NOT(P420=""),P420,NOT(Q420=""),Q420,NOT(R420=""),R420,NOT(S420=""),S420,NOT(T420=""),T420,NOT(U420=""),U420,TRUE,"No error")</f>
        <v>Enter the number of homes on the 1_SetUp sheet</v>
      </c>
      <c r="W420" s="114" t="str">
        <f t="shared" ca="1" si="20"/>
        <v xml:space="preserve">The Borrower has not addressed the following error messages for Home ID 416: </v>
      </c>
    </row>
    <row r="421" spans="1:23">
      <c r="A421" s="123">
        <v>417</v>
      </c>
      <c r="B421" s="104" t="str" cm="1">
        <f t="array" ref="B421">_xlfn.IFS(AND(A421&gt;NumberOfPlots,ISBLANK(INDEX(PlotData,MATCH($A421,PlotNumber,0),MATCH(B$3,PlotTitles,0)))),"",ISNUMBER(INDEX(PlotData,MATCH($A421,PlotNumber,0),MATCH(B$3,PlotTitles,0)))=FALSE, $AB$5,TRUE,"")</f>
        <v/>
      </c>
      <c r="C421" s="104" t="str" cm="1">
        <f t="array" ref="C421">_xlfn.IFS(AND(A421&gt;NumberOfPlots,ISBLANK(INDEX(PlotData,MATCH($A421,PlotNumber,0),MATCH(B$3,PlotTitles,0)))),"",ISBLANK(INDEX(PlotData,MATCH($A421,PlotNumber,0),MATCH(C$3,PlotTitles,0))),$AB$6,TRUE,"")</f>
        <v/>
      </c>
      <c r="D421" s="104" t="str" cm="1">
        <f t="array" ref="D421">_xlfn.IFS(AND(A421&gt;NumberOfPlots,ISBLANK(INDEX(PlotData,MATCH($A421,PlotNumber,0),MATCH(B$3,PlotTitles,0)))),"",ISBLANK(INDEX(PlotData,MATCH($A421,PlotNumber,0),MATCH(D$3,PlotTitles,0))),$AB$7,TRUE,"")</f>
        <v/>
      </c>
      <c r="E421" s="104" t="str" cm="1">
        <f t="array" ref="E421">_xlfn.IFS(AND(A421&gt;NumberOfPlots,ISBLANK(INDEX(PlotData,MATCH($A421,PlotNumber,0),MATCH(B$3,PlotTitles,0)))),"",ISBLANK(INDEX(PlotData,MATCH($A421,PlotNumber,0),MATCH(E$3,PlotTitles,0))),$AB$8,TRUE,"")</f>
        <v/>
      </c>
      <c r="F421" s="104" t="str" cm="1">
        <f t="array" ref="F421">_xlfn.IFS(AND(A421&gt;NumberOfPlots,ISBLANK(INDEX(PlotData,MATCH($A421,PlotNumber,0),MATCH(B$3,PlotTitles,0)))),"",ISBLANK(INDEX(PlotData,MATCH($A421,PlotNumber,0),MATCH(F$3,PlotTitles,0))),$AB$9,TRUE,"")</f>
        <v/>
      </c>
      <c r="G421" s="104" t="str" cm="1">
        <f t="array" ref="G421">_xlfn.IFS(AND(A421&gt;NumberOfPlots,ISBLANK(INDEX(PlotData,MATCH($A421,PlotNumber,0),MATCH(B$3,PlotTitles,0)))),"",ISBLANK(INDEX(PlotData,MATCH($A421,PlotNumber,0),MATCH(G$3,PlotTitles,0))),$AB$10,TRUE,"")</f>
        <v/>
      </c>
      <c r="H421" s="104" t="str" cm="1">
        <f t="array" ref="H421">_xlfn.IFS(AND(A421&gt;NumberOfPlots,ISBLANK(INDEX(PlotData,MATCH($A421,PlotNumber,0),MATCH(B$3,PlotTitles,0)))),"",AND(ISBLANK(INDEX(PlotData,MATCH($A421,PlotNumber,0),MATCH(H$3,PlotTitles,0)))=FALSE,INDEX(PlotData,MATCH($A421,PlotNumber,0),MATCH(H$3,PlotTitles,0))&lt;500), $AB$11,TRUE,"")</f>
        <v/>
      </c>
      <c r="I421" s="104" t="str" cm="1">
        <f t="array" ref="I421">_xlfn.IFS(AND(A421&gt;NumberOfPlots,ISBLANK(INDEX(PlotData,MATCH($A421,PlotNumber,0),MATCH(B$3,PlotTitles,0)))),"",ISBLANK(INDEX(PlotData,MATCH($A421,PlotNumber,0),MATCH(I$3,PlotTitles,0))),$AB$12,TRUE,"")</f>
        <v/>
      </c>
      <c r="J421" s="104" t="str" cm="1">
        <f t="array" ref="J421">_xlfn.IFS(AND(A421&gt;NumberOfPlots,ISBLANK(INDEX(PlotData,MATCH($A421,PlotNumber,0),MATCH(B$3,PlotTitles,0)))),"",ISBLANK(INDEX(PlotData,MATCH($A421,PlotNumber,0),MATCH(J$3,PlotTitles,0))),$AB$13,TRUE,"")</f>
        <v/>
      </c>
      <c r="K421" s="182" t="str">
        <f t="shared" ca="1" si="18"/>
        <v/>
      </c>
      <c r="L421" s="104" t="str" cm="1">
        <f t="array" ref="L421">_xlfn.IFS(OR(ISBLANK(StartDateMonth),ISBLANK(StartDateYear)),"",AND(A421&gt;NumberOfPlots,ISBLANK(INDEX(PlotData,MATCH($A421,PlotNumber,0),MATCH(B$3,PlotTitles,0)))),"",ISBLANK(INDEX(PlotData,MATCH($A421,PlotNumber,0),MATCH(I$3,PlotTitles,0))),"",(DATEVALUE(INDEX(PlotData,MATCH($A421,PlotNumber,0),MATCH(I$3,PlotTitles,0))&amp;INDEX(PlotData,MATCH($A421,PlotNumber,0),MATCH(J$3,PlotTitles,0))))&lt;DATEVALUE(StartDateMonth&amp;StartDateYear),$AB$15,TRUE,"")</f>
        <v/>
      </c>
      <c r="M421" s="104" t="str" cm="1">
        <f t="array" ref="M421">_xlfn.IFS(OR(ISBLANK(StartDateMonth),ISBLANK(StartDateYear)),"",AND(A421&gt;NumberOfPlots,ISBLANK(INDEX(PlotData,MATCH($A421,PlotNumber,0),MATCH(B$3,PlotTitles,0)))),"",ISBLANK(INDEX(PlotData,MATCH($A421,PlotNumber,0),MATCH(I$3,PlotTitles,0))),"",CompletionMonth="","",(DATEVALUE(INDEX(PlotData,MATCH($A421,PlotNumber,0),MATCH(I$3,PlotTitles,0))&amp;INDEX(PlotData,MATCH($A421,PlotNumber,0),MATCH(J$3,PlotTitles,0))))&gt;(DATEVALUE(CompletionMonth&amp;CompletionYear)),$AB$16,TRUE,"")</f>
        <v/>
      </c>
      <c r="N421" s="104" t="str" cm="1">
        <f t="array" ref="N421">_xlfn.IFS(AND(A421&gt;NumberOfPlots,ISBLANK(INDEX(PlotData,MATCH($A421,PlotNumber,0),MATCH(B$3,PlotTitles,0)))),"",ISBLANK(INDEX(PlotData,MATCH($A421,PlotNumber,0),MATCH(N$3,PlotTitles,0))),$AB$17,TRUE,"")</f>
        <v/>
      </c>
      <c r="O421" s="104" t="str" cm="1">
        <f t="array" ref="O421">_xlfn.IFS(AND(A421&gt;NumberOfPlots,ISBLANK(INDEX(PlotData,MATCH($A421,PlotNumber,0),MATCH(B$3,PlotTitles,0)))),"",ISBLANK(INDEX(PlotData,MATCH($A421,PlotNumber,0),MATCH(O$3,PlotTitles,0))),$AB$18,TRUE,"")</f>
        <v/>
      </c>
      <c r="P421" s="182" t="str">
        <f t="shared" ca="1" si="19"/>
        <v/>
      </c>
      <c r="Q421" s="104" t="str" cm="1">
        <f t="array" ref="Q421">_xlfn.IFS(AND(A421&gt;NumberOfPlots,ISBLANK(INDEX(PlotData,MATCH($A421,PlotNumber,0),MATCH(B$3,PlotTitles,0)))),"",ISBLANK(INDEX(PlotData,MATCH($A421,PlotNumber,0),MATCH(N$3,PlotTitles,0))),"",(DATEVALUE(INDEX(PlotData,MATCH($A421,PlotNumber,0),MATCH(N$3,PlotTitles,0))&amp;INDEX(PlotData,MATCH($A421,PlotNumber,0),MATCH(O$3,PlotTitles,0))))&lt;(DATEVALUE(INDEX(PlotData,MATCH($A421,PlotNumber,0),MATCH(I$3,PlotTitles,0))&amp;INDEX(PlotData,MATCH($A421,PlotNumber,0),MATCH(J$3,PlotTitles,0)))),$AB$20,TRUE,"")</f>
        <v/>
      </c>
      <c r="R421" s="104" t="str" cm="1">
        <f t="array" ref="R421">_xlfn.IFS(OR(ISBLANK(StartDateMonth),ISBLANK(StartDateYear)),"",AND(A421&gt;NumberOfPlots,ISBLANK(INDEX(PlotData,MATCH($A421,PlotNumber,0),MATCH(B$3,PlotTitles,0)))),"",ISBLANK(INDEX(PlotData,MATCH($A421,PlotNumber,0),MATCH(N$3,PlotTitles,0))),"",CompletionMonth="","",(DATEVALUE(INDEX(PlotData,MATCH($A421,PlotNumber,0),MATCH(N$3,PlotTitles,0))&amp;INDEX(PlotData,MATCH($A421,PlotNumber,0),MATCH(O$3,PlotTitles,0))))&gt;(DATEVALUE(CompletionMonth&amp;CompletionYear)),$AB$21,TRUE,"")</f>
        <v/>
      </c>
      <c r="S421" s="104" t="str" cm="1">
        <f t="array" ref="S421">_xlfn.IFS(AND(A421&gt;NumberOfPlots,ISBLANK(INDEX(PlotData,MATCH($A421,PlotNumber,0),MATCH(B$3,PlotTitles,0)))),"",OR(AND(INDEX(PlotData,MATCH($A421,PlotNumber,0),MATCH("Tenure",PlotTitles,0))="Open market housing",INDEX(PlotData,MATCH($A421,PlotNumber,0),MATCH("Tenure detail",PlotTitles,0))="Private rented sector"),INDEX(PlotData,MATCH($A421,PlotNumber,0),MATCH("Tenure",PlotTitles,0))="Affordable rent"),"",ISNUMBER(INDEX(PlotData,MATCH($A421,PlotNumber,0),MATCH(S$3,PlotTitles,0)))=FALSE, $AB$22,TRUE,"")</f>
        <v/>
      </c>
      <c r="T421" s="104" t="str" cm="1">
        <f t="array" ref="T421">_xlfn.IFS(AND(A421&gt;NumberOfPlots,ISBLANK(INDEX(PlotData,MATCH($A421,PlotNumber,0),MATCH(B$3,PlotTitles,0)))),"",OR(AND(INDEX(PlotData,MATCH($A421,PlotNumber,0),MATCH("Tenure",PlotTitles,0))="Open market housing",INDEX(PlotData,MATCH($A421,PlotNumber,0),MATCH("Tenure detail",PlotTitles,0))="Private rented sector"),INDEX(PlotData,MATCH($A421,PlotNumber,0),MATCH("Tenure",PlotTitles,0))="Affordable rent"),"",INDEX(PlotData,MATCH($A421,PlotNumber,0),MATCH(S$3,PlotTitles,0))&lt;10000, $AB$23,TRUE,"")</f>
        <v/>
      </c>
      <c r="U421" s="104" t="str" cm="1">
        <f t="array" ref="U421">_xlfn.IFS(AND(A421&gt;NumberOfPlots,ISBLANK(INDEX(PlotData,MATCH($A421,PlotNumber,0),MATCH(B$3,PlotTitles,0)))),"",NOT(OR(AND(INDEX(PlotData,MATCH($A421,PlotNumber,0),MATCH("Tenure",PlotTitles,0))="Open market housing",INDEX(PlotData,MATCH($A421,PlotNumber,0),MATCH("Tenure detail",PlotTitles,0))="Private rented sector"),INDEX(PlotData,MATCH($A421,PlotNumber,0),MATCH("Tenure",PlotTitles,0))="Affordable rent")),"",NOT(INDEX(PlotData,MATCH($A421,PlotNumber,0),MATCH(S$3,PlotTitles,0))=0), $AB$24,TRUE,"")</f>
        <v/>
      </c>
      <c r="V421" s="114" t="str" cm="1">
        <f t="array" aca="1" ref="V421" ca="1">_xlfn.IFS(ISBLANK(NumberOfPlots),"Enter the number of homes on the 1_SetUp sheet",AND(A421&gt;NumberOfPlots,ISBLANK(INDEX(PlotData,MATCH($A421,PlotNumber,0),MATCH(B$3,PlotTitles,0)))),"No error",NOT(B421=""),B421,NOT(C421=""),C421,NOT(D421=""),D421,NOT(E421=""),E421,NOT(F421=""),F421,NOT(G421=""),G421,NOT(H421=""),H421,NOT(I421=""),I421,NOT(J421=""),J421,NOT(K421=""),K421,NOT(L421=""),L421,NOT(M421=""),M421,NOT(N421=""),N421,NOT(O421=""),O421,NOT(P421=""),P421,NOT(Q421=""),Q421,NOT(R421=""),R421,NOT(S421=""),S421,NOT(T421=""),T421,NOT(U421=""),U421,TRUE,"No error")</f>
        <v>Enter the number of homes on the 1_SetUp sheet</v>
      </c>
      <c r="W421" s="114" t="str">
        <f t="shared" ca="1" si="20"/>
        <v xml:space="preserve">The Borrower has not addressed the following error messages for Home ID 417: </v>
      </c>
    </row>
    <row r="422" spans="1:23">
      <c r="A422" s="123">
        <v>418</v>
      </c>
      <c r="B422" s="104" t="str" cm="1">
        <f t="array" ref="B422">_xlfn.IFS(AND(A422&gt;NumberOfPlots,ISBLANK(INDEX(PlotData,MATCH($A422,PlotNumber,0),MATCH(B$3,PlotTitles,0)))),"",ISNUMBER(INDEX(PlotData,MATCH($A422,PlotNumber,0),MATCH(B$3,PlotTitles,0)))=FALSE, $AB$5,TRUE,"")</f>
        <v/>
      </c>
      <c r="C422" s="104" t="str" cm="1">
        <f t="array" ref="C422">_xlfn.IFS(AND(A422&gt;NumberOfPlots,ISBLANK(INDEX(PlotData,MATCH($A422,PlotNumber,0),MATCH(B$3,PlotTitles,0)))),"",ISBLANK(INDEX(PlotData,MATCH($A422,PlotNumber,0),MATCH(C$3,PlotTitles,0))),$AB$6,TRUE,"")</f>
        <v/>
      </c>
      <c r="D422" s="104" t="str" cm="1">
        <f t="array" ref="D422">_xlfn.IFS(AND(A422&gt;NumberOfPlots,ISBLANK(INDEX(PlotData,MATCH($A422,PlotNumber,0),MATCH(B$3,PlotTitles,0)))),"",ISBLANK(INDEX(PlotData,MATCH($A422,PlotNumber,0),MATCH(D$3,PlotTitles,0))),$AB$7,TRUE,"")</f>
        <v/>
      </c>
      <c r="E422" s="104" t="str" cm="1">
        <f t="array" ref="E422">_xlfn.IFS(AND(A422&gt;NumberOfPlots,ISBLANK(INDEX(PlotData,MATCH($A422,PlotNumber,0),MATCH(B$3,PlotTitles,0)))),"",ISBLANK(INDEX(PlotData,MATCH($A422,PlotNumber,0),MATCH(E$3,PlotTitles,0))),$AB$8,TRUE,"")</f>
        <v/>
      </c>
      <c r="F422" s="104" t="str" cm="1">
        <f t="array" ref="F422">_xlfn.IFS(AND(A422&gt;NumberOfPlots,ISBLANK(INDEX(PlotData,MATCH($A422,PlotNumber,0),MATCH(B$3,PlotTitles,0)))),"",ISBLANK(INDEX(PlotData,MATCH($A422,PlotNumber,0),MATCH(F$3,PlotTitles,0))),$AB$9,TRUE,"")</f>
        <v/>
      </c>
      <c r="G422" s="104" t="str" cm="1">
        <f t="array" ref="G422">_xlfn.IFS(AND(A422&gt;NumberOfPlots,ISBLANK(INDEX(PlotData,MATCH($A422,PlotNumber,0),MATCH(B$3,PlotTitles,0)))),"",ISBLANK(INDEX(PlotData,MATCH($A422,PlotNumber,0),MATCH(G$3,PlotTitles,0))),$AB$10,TRUE,"")</f>
        <v/>
      </c>
      <c r="H422" s="104" t="str" cm="1">
        <f t="array" ref="H422">_xlfn.IFS(AND(A422&gt;NumberOfPlots,ISBLANK(INDEX(PlotData,MATCH($A422,PlotNumber,0),MATCH(B$3,PlotTitles,0)))),"",AND(ISBLANK(INDEX(PlotData,MATCH($A422,PlotNumber,0),MATCH(H$3,PlotTitles,0)))=FALSE,INDEX(PlotData,MATCH($A422,PlotNumber,0),MATCH(H$3,PlotTitles,0))&lt;500), $AB$11,TRUE,"")</f>
        <v/>
      </c>
      <c r="I422" s="104" t="str" cm="1">
        <f t="array" ref="I422">_xlfn.IFS(AND(A422&gt;NumberOfPlots,ISBLANK(INDEX(PlotData,MATCH($A422,PlotNumber,0),MATCH(B$3,PlotTitles,0)))),"",ISBLANK(INDEX(PlotData,MATCH($A422,PlotNumber,0),MATCH(I$3,PlotTitles,0))),$AB$12,TRUE,"")</f>
        <v/>
      </c>
      <c r="J422" s="104" t="str" cm="1">
        <f t="array" ref="J422">_xlfn.IFS(AND(A422&gt;NumberOfPlots,ISBLANK(INDEX(PlotData,MATCH($A422,PlotNumber,0),MATCH(B$3,PlotTitles,0)))),"",ISBLANK(INDEX(PlotData,MATCH($A422,PlotNumber,0),MATCH(J$3,PlotTitles,0))),$AB$13,TRUE,"")</f>
        <v/>
      </c>
      <c r="K422" s="182" t="str">
        <f t="shared" ca="1" si="18"/>
        <v/>
      </c>
      <c r="L422" s="104" t="str" cm="1">
        <f t="array" ref="L422">_xlfn.IFS(OR(ISBLANK(StartDateMonth),ISBLANK(StartDateYear)),"",AND(A422&gt;NumberOfPlots,ISBLANK(INDEX(PlotData,MATCH($A422,PlotNumber,0),MATCH(B$3,PlotTitles,0)))),"",ISBLANK(INDEX(PlotData,MATCH($A422,PlotNumber,0),MATCH(I$3,PlotTitles,0))),"",(DATEVALUE(INDEX(PlotData,MATCH($A422,PlotNumber,0),MATCH(I$3,PlotTitles,0))&amp;INDEX(PlotData,MATCH($A422,PlotNumber,0),MATCH(J$3,PlotTitles,0))))&lt;DATEVALUE(StartDateMonth&amp;StartDateYear),$AB$15,TRUE,"")</f>
        <v/>
      </c>
      <c r="M422" s="104" t="str" cm="1">
        <f t="array" ref="M422">_xlfn.IFS(OR(ISBLANK(StartDateMonth),ISBLANK(StartDateYear)),"",AND(A422&gt;NumberOfPlots,ISBLANK(INDEX(PlotData,MATCH($A422,PlotNumber,0),MATCH(B$3,PlotTitles,0)))),"",ISBLANK(INDEX(PlotData,MATCH($A422,PlotNumber,0),MATCH(I$3,PlotTitles,0))),"",CompletionMonth="","",(DATEVALUE(INDEX(PlotData,MATCH($A422,PlotNumber,0),MATCH(I$3,PlotTitles,0))&amp;INDEX(PlotData,MATCH($A422,PlotNumber,0),MATCH(J$3,PlotTitles,0))))&gt;(DATEVALUE(CompletionMonth&amp;CompletionYear)),$AB$16,TRUE,"")</f>
        <v/>
      </c>
      <c r="N422" s="104" t="str" cm="1">
        <f t="array" ref="N422">_xlfn.IFS(AND(A422&gt;NumberOfPlots,ISBLANK(INDEX(PlotData,MATCH($A422,PlotNumber,0),MATCH(B$3,PlotTitles,0)))),"",ISBLANK(INDEX(PlotData,MATCH($A422,PlotNumber,0),MATCH(N$3,PlotTitles,0))),$AB$17,TRUE,"")</f>
        <v/>
      </c>
      <c r="O422" s="104" t="str" cm="1">
        <f t="array" ref="O422">_xlfn.IFS(AND(A422&gt;NumberOfPlots,ISBLANK(INDEX(PlotData,MATCH($A422,PlotNumber,0),MATCH(B$3,PlotTitles,0)))),"",ISBLANK(INDEX(PlotData,MATCH($A422,PlotNumber,0),MATCH(O$3,PlotTitles,0))),$AB$18,TRUE,"")</f>
        <v/>
      </c>
      <c r="P422" s="182" t="str">
        <f t="shared" ca="1" si="19"/>
        <v/>
      </c>
      <c r="Q422" s="104" t="str" cm="1">
        <f t="array" ref="Q422">_xlfn.IFS(AND(A422&gt;NumberOfPlots,ISBLANK(INDEX(PlotData,MATCH($A422,PlotNumber,0),MATCH(B$3,PlotTitles,0)))),"",ISBLANK(INDEX(PlotData,MATCH($A422,PlotNumber,0),MATCH(N$3,PlotTitles,0))),"",(DATEVALUE(INDEX(PlotData,MATCH($A422,PlotNumber,0),MATCH(N$3,PlotTitles,0))&amp;INDEX(PlotData,MATCH($A422,PlotNumber,0),MATCH(O$3,PlotTitles,0))))&lt;(DATEVALUE(INDEX(PlotData,MATCH($A422,PlotNumber,0),MATCH(I$3,PlotTitles,0))&amp;INDEX(PlotData,MATCH($A422,PlotNumber,0),MATCH(J$3,PlotTitles,0)))),$AB$20,TRUE,"")</f>
        <v/>
      </c>
      <c r="R422" s="104" t="str" cm="1">
        <f t="array" ref="R422">_xlfn.IFS(OR(ISBLANK(StartDateMonth),ISBLANK(StartDateYear)),"",AND(A422&gt;NumberOfPlots,ISBLANK(INDEX(PlotData,MATCH($A422,PlotNumber,0),MATCH(B$3,PlotTitles,0)))),"",ISBLANK(INDEX(PlotData,MATCH($A422,PlotNumber,0),MATCH(N$3,PlotTitles,0))),"",CompletionMonth="","",(DATEVALUE(INDEX(PlotData,MATCH($A422,PlotNumber,0),MATCH(N$3,PlotTitles,0))&amp;INDEX(PlotData,MATCH($A422,PlotNumber,0),MATCH(O$3,PlotTitles,0))))&gt;(DATEVALUE(CompletionMonth&amp;CompletionYear)),$AB$21,TRUE,"")</f>
        <v/>
      </c>
      <c r="S422" s="104" t="str" cm="1">
        <f t="array" ref="S422">_xlfn.IFS(AND(A422&gt;NumberOfPlots,ISBLANK(INDEX(PlotData,MATCH($A422,PlotNumber,0),MATCH(B$3,PlotTitles,0)))),"",OR(AND(INDEX(PlotData,MATCH($A422,PlotNumber,0),MATCH("Tenure",PlotTitles,0))="Open market housing",INDEX(PlotData,MATCH($A422,PlotNumber,0),MATCH("Tenure detail",PlotTitles,0))="Private rented sector"),INDEX(PlotData,MATCH($A422,PlotNumber,0),MATCH("Tenure",PlotTitles,0))="Affordable rent"),"",ISNUMBER(INDEX(PlotData,MATCH($A422,PlotNumber,0),MATCH(S$3,PlotTitles,0)))=FALSE, $AB$22,TRUE,"")</f>
        <v/>
      </c>
      <c r="T422" s="104" t="str" cm="1">
        <f t="array" ref="T422">_xlfn.IFS(AND(A422&gt;NumberOfPlots,ISBLANK(INDEX(PlotData,MATCH($A422,PlotNumber,0),MATCH(B$3,PlotTitles,0)))),"",OR(AND(INDEX(PlotData,MATCH($A422,PlotNumber,0),MATCH("Tenure",PlotTitles,0))="Open market housing",INDEX(PlotData,MATCH($A422,PlotNumber,0),MATCH("Tenure detail",PlotTitles,0))="Private rented sector"),INDEX(PlotData,MATCH($A422,PlotNumber,0),MATCH("Tenure",PlotTitles,0))="Affordable rent"),"",INDEX(PlotData,MATCH($A422,PlotNumber,0),MATCH(S$3,PlotTitles,0))&lt;10000, $AB$23,TRUE,"")</f>
        <v/>
      </c>
      <c r="U422" s="104" t="str" cm="1">
        <f t="array" ref="U422">_xlfn.IFS(AND(A422&gt;NumberOfPlots,ISBLANK(INDEX(PlotData,MATCH($A422,PlotNumber,0),MATCH(B$3,PlotTitles,0)))),"",NOT(OR(AND(INDEX(PlotData,MATCH($A422,PlotNumber,0),MATCH("Tenure",PlotTitles,0))="Open market housing",INDEX(PlotData,MATCH($A422,PlotNumber,0),MATCH("Tenure detail",PlotTitles,0))="Private rented sector"),INDEX(PlotData,MATCH($A422,PlotNumber,0),MATCH("Tenure",PlotTitles,0))="Affordable rent")),"",NOT(INDEX(PlotData,MATCH($A422,PlotNumber,0),MATCH(S$3,PlotTitles,0))=0), $AB$24,TRUE,"")</f>
        <v/>
      </c>
      <c r="V422" s="114" t="str" cm="1">
        <f t="array" aca="1" ref="V422" ca="1">_xlfn.IFS(ISBLANK(NumberOfPlots),"Enter the number of homes on the 1_SetUp sheet",AND(A422&gt;NumberOfPlots,ISBLANK(INDEX(PlotData,MATCH($A422,PlotNumber,0),MATCH(B$3,PlotTitles,0)))),"No error",NOT(B422=""),B422,NOT(C422=""),C422,NOT(D422=""),D422,NOT(E422=""),E422,NOT(F422=""),F422,NOT(G422=""),G422,NOT(H422=""),H422,NOT(I422=""),I422,NOT(J422=""),J422,NOT(K422=""),K422,NOT(L422=""),L422,NOT(M422=""),M422,NOT(N422=""),N422,NOT(O422=""),O422,NOT(P422=""),P422,NOT(Q422=""),Q422,NOT(R422=""),R422,NOT(S422=""),S422,NOT(T422=""),T422,NOT(U422=""),U422,TRUE,"No error")</f>
        <v>Enter the number of homes on the 1_SetUp sheet</v>
      </c>
      <c r="W422" s="114" t="str">
        <f t="shared" ca="1" si="20"/>
        <v xml:space="preserve">The Borrower has not addressed the following error messages for Home ID 418: </v>
      </c>
    </row>
    <row r="423" spans="1:23">
      <c r="A423" s="123">
        <v>419</v>
      </c>
      <c r="B423" s="104" t="str" cm="1">
        <f t="array" ref="B423">_xlfn.IFS(AND(A423&gt;NumberOfPlots,ISBLANK(INDEX(PlotData,MATCH($A423,PlotNumber,0),MATCH(B$3,PlotTitles,0)))),"",ISNUMBER(INDEX(PlotData,MATCH($A423,PlotNumber,0),MATCH(B$3,PlotTitles,0)))=FALSE, $AB$5,TRUE,"")</f>
        <v/>
      </c>
      <c r="C423" s="104" t="str" cm="1">
        <f t="array" ref="C423">_xlfn.IFS(AND(A423&gt;NumberOfPlots,ISBLANK(INDEX(PlotData,MATCH($A423,PlotNumber,0),MATCH(B$3,PlotTitles,0)))),"",ISBLANK(INDEX(PlotData,MATCH($A423,PlotNumber,0),MATCH(C$3,PlotTitles,0))),$AB$6,TRUE,"")</f>
        <v/>
      </c>
      <c r="D423" s="104" t="str" cm="1">
        <f t="array" ref="D423">_xlfn.IFS(AND(A423&gt;NumberOfPlots,ISBLANK(INDEX(PlotData,MATCH($A423,PlotNumber,0),MATCH(B$3,PlotTitles,0)))),"",ISBLANK(INDEX(PlotData,MATCH($A423,PlotNumber,0),MATCH(D$3,PlotTitles,0))),$AB$7,TRUE,"")</f>
        <v/>
      </c>
      <c r="E423" s="104" t="str" cm="1">
        <f t="array" ref="E423">_xlfn.IFS(AND(A423&gt;NumberOfPlots,ISBLANK(INDEX(PlotData,MATCH($A423,PlotNumber,0),MATCH(B$3,PlotTitles,0)))),"",ISBLANK(INDEX(PlotData,MATCH($A423,PlotNumber,0),MATCH(E$3,PlotTitles,0))),$AB$8,TRUE,"")</f>
        <v/>
      </c>
      <c r="F423" s="104" t="str" cm="1">
        <f t="array" ref="F423">_xlfn.IFS(AND(A423&gt;NumberOfPlots,ISBLANK(INDEX(PlotData,MATCH($A423,PlotNumber,0),MATCH(B$3,PlotTitles,0)))),"",ISBLANK(INDEX(PlotData,MATCH($A423,PlotNumber,0),MATCH(F$3,PlotTitles,0))),$AB$9,TRUE,"")</f>
        <v/>
      </c>
      <c r="G423" s="104" t="str" cm="1">
        <f t="array" ref="G423">_xlfn.IFS(AND(A423&gt;NumberOfPlots,ISBLANK(INDEX(PlotData,MATCH($A423,PlotNumber,0),MATCH(B$3,PlotTitles,0)))),"",ISBLANK(INDEX(PlotData,MATCH($A423,PlotNumber,0),MATCH(G$3,PlotTitles,0))),$AB$10,TRUE,"")</f>
        <v/>
      </c>
      <c r="H423" s="104" t="str" cm="1">
        <f t="array" ref="H423">_xlfn.IFS(AND(A423&gt;NumberOfPlots,ISBLANK(INDEX(PlotData,MATCH($A423,PlotNumber,0),MATCH(B$3,PlotTitles,0)))),"",AND(ISBLANK(INDEX(PlotData,MATCH($A423,PlotNumber,0),MATCH(H$3,PlotTitles,0)))=FALSE,INDEX(PlotData,MATCH($A423,PlotNumber,0),MATCH(H$3,PlotTitles,0))&lt;500), $AB$11,TRUE,"")</f>
        <v/>
      </c>
      <c r="I423" s="104" t="str" cm="1">
        <f t="array" ref="I423">_xlfn.IFS(AND(A423&gt;NumberOfPlots,ISBLANK(INDEX(PlotData,MATCH($A423,PlotNumber,0),MATCH(B$3,PlotTitles,0)))),"",ISBLANK(INDEX(PlotData,MATCH($A423,PlotNumber,0),MATCH(I$3,PlotTitles,0))),$AB$12,TRUE,"")</f>
        <v/>
      </c>
      <c r="J423" s="104" t="str" cm="1">
        <f t="array" ref="J423">_xlfn.IFS(AND(A423&gt;NumberOfPlots,ISBLANK(INDEX(PlotData,MATCH($A423,PlotNumber,0),MATCH(B$3,PlotTitles,0)))),"",ISBLANK(INDEX(PlotData,MATCH($A423,PlotNumber,0),MATCH(J$3,PlotTitles,0))),$AB$13,TRUE,"")</f>
        <v/>
      </c>
      <c r="K423" s="182" t="str">
        <f t="shared" ca="1" si="18"/>
        <v/>
      </c>
      <c r="L423" s="104" t="str" cm="1">
        <f t="array" ref="L423">_xlfn.IFS(OR(ISBLANK(StartDateMonth),ISBLANK(StartDateYear)),"",AND(A423&gt;NumberOfPlots,ISBLANK(INDEX(PlotData,MATCH($A423,PlotNumber,0),MATCH(B$3,PlotTitles,0)))),"",ISBLANK(INDEX(PlotData,MATCH($A423,PlotNumber,0),MATCH(I$3,PlotTitles,0))),"",(DATEVALUE(INDEX(PlotData,MATCH($A423,PlotNumber,0),MATCH(I$3,PlotTitles,0))&amp;INDEX(PlotData,MATCH($A423,PlotNumber,0),MATCH(J$3,PlotTitles,0))))&lt;DATEVALUE(StartDateMonth&amp;StartDateYear),$AB$15,TRUE,"")</f>
        <v/>
      </c>
      <c r="M423" s="104" t="str" cm="1">
        <f t="array" ref="M423">_xlfn.IFS(OR(ISBLANK(StartDateMonth),ISBLANK(StartDateYear)),"",AND(A423&gt;NumberOfPlots,ISBLANK(INDEX(PlotData,MATCH($A423,PlotNumber,0),MATCH(B$3,PlotTitles,0)))),"",ISBLANK(INDEX(PlotData,MATCH($A423,PlotNumber,0),MATCH(I$3,PlotTitles,0))),"",CompletionMonth="","",(DATEVALUE(INDEX(PlotData,MATCH($A423,PlotNumber,0),MATCH(I$3,PlotTitles,0))&amp;INDEX(PlotData,MATCH($A423,PlotNumber,0),MATCH(J$3,PlotTitles,0))))&gt;(DATEVALUE(CompletionMonth&amp;CompletionYear)),$AB$16,TRUE,"")</f>
        <v/>
      </c>
      <c r="N423" s="104" t="str" cm="1">
        <f t="array" ref="N423">_xlfn.IFS(AND(A423&gt;NumberOfPlots,ISBLANK(INDEX(PlotData,MATCH($A423,PlotNumber,0),MATCH(B$3,PlotTitles,0)))),"",ISBLANK(INDEX(PlotData,MATCH($A423,PlotNumber,0),MATCH(N$3,PlotTitles,0))),$AB$17,TRUE,"")</f>
        <v/>
      </c>
      <c r="O423" s="104" t="str" cm="1">
        <f t="array" ref="O423">_xlfn.IFS(AND(A423&gt;NumberOfPlots,ISBLANK(INDEX(PlotData,MATCH($A423,PlotNumber,0),MATCH(B$3,PlotTitles,0)))),"",ISBLANK(INDEX(PlotData,MATCH($A423,PlotNumber,0),MATCH(O$3,PlotTitles,0))),$AB$18,TRUE,"")</f>
        <v/>
      </c>
      <c r="P423" s="182" t="str">
        <f t="shared" ca="1" si="19"/>
        <v/>
      </c>
      <c r="Q423" s="104" t="str" cm="1">
        <f t="array" ref="Q423">_xlfn.IFS(AND(A423&gt;NumberOfPlots,ISBLANK(INDEX(PlotData,MATCH($A423,PlotNumber,0),MATCH(B$3,PlotTitles,0)))),"",ISBLANK(INDEX(PlotData,MATCH($A423,PlotNumber,0),MATCH(N$3,PlotTitles,0))),"",(DATEVALUE(INDEX(PlotData,MATCH($A423,PlotNumber,0),MATCH(N$3,PlotTitles,0))&amp;INDEX(PlotData,MATCH($A423,PlotNumber,0),MATCH(O$3,PlotTitles,0))))&lt;(DATEVALUE(INDEX(PlotData,MATCH($A423,PlotNumber,0),MATCH(I$3,PlotTitles,0))&amp;INDEX(PlotData,MATCH($A423,PlotNumber,0),MATCH(J$3,PlotTitles,0)))),$AB$20,TRUE,"")</f>
        <v/>
      </c>
      <c r="R423" s="104" t="str" cm="1">
        <f t="array" ref="R423">_xlfn.IFS(OR(ISBLANK(StartDateMonth),ISBLANK(StartDateYear)),"",AND(A423&gt;NumberOfPlots,ISBLANK(INDEX(PlotData,MATCH($A423,PlotNumber,0),MATCH(B$3,PlotTitles,0)))),"",ISBLANK(INDEX(PlotData,MATCH($A423,PlotNumber,0),MATCH(N$3,PlotTitles,0))),"",CompletionMonth="","",(DATEVALUE(INDEX(PlotData,MATCH($A423,PlotNumber,0),MATCH(N$3,PlotTitles,0))&amp;INDEX(PlotData,MATCH($A423,PlotNumber,0),MATCH(O$3,PlotTitles,0))))&gt;(DATEVALUE(CompletionMonth&amp;CompletionYear)),$AB$21,TRUE,"")</f>
        <v/>
      </c>
      <c r="S423" s="104" t="str" cm="1">
        <f t="array" ref="S423">_xlfn.IFS(AND(A423&gt;NumberOfPlots,ISBLANK(INDEX(PlotData,MATCH($A423,PlotNumber,0),MATCH(B$3,PlotTitles,0)))),"",OR(AND(INDEX(PlotData,MATCH($A423,PlotNumber,0),MATCH("Tenure",PlotTitles,0))="Open market housing",INDEX(PlotData,MATCH($A423,PlotNumber,0),MATCH("Tenure detail",PlotTitles,0))="Private rented sector"),INDEX(PlotData,MATCH($A423,PlotNumber,0),MATCH("Tenure",PlotTitles,0))="Affordable rent"),"",ISNUMBER(INDEX(PlotData,MATCH($A423,PlotNumber,0),MATCH(S$3,PlotTitles,0)))=FALSE, $AB$22,TRUE,"")</f>
        <v/>
      </c>
      <c r="T423" s="104" t="str" cm="1">
        <f t="array" ref="T423">_xlfn.IFS(AND(A423&gt;NumberOfPlots,ISBLANK(INDEX(PlotData,MATCH($A423,PlotNumber,0),MATCH(B$3,PlotTitles,0)))),"",OR(AND(INDEX(PlotData,MATCH($A423,PlotNumber,0),MATCH("Tenure",PlotTitles,0))="Open market housing",INDEX(PlotData,MATCH($A423,PlotNumber,0),MATCH("Tenure detail",PlotTitles,0))="Private rented sector"),INDEX(PlotData,MATCH($A423,PlotNumber,0),MATCH("Tenure",PlotTitles,0))="Affordable rent"),"",INDEX(PlotData,MATCH($A423,PlotNumber,0),MATCH(S$3,PlotTitles,0))&lt;10000, $AB$23,TRUE,"")</f>
        <v/>
      </c>
      <c r="U423" s="104" t="str" cm="1">
        <f t="array" ref="U423">_xlfn.IFS(AND(A423&gt;NumberOfPlots,ISBLANK(INDEX(PlotData,MATCH($A423,PlotNumber,0),MATCH(B$3,PlotTitles,0)))),"",NOT(OR(AND(INDEX(PlotData,MATCH($A423,PlotNumber,0),MATCH("Tenure",PlotTitles,0))="Open market housing",INDEX(PlotData,MATCH($A423,PlotNumber,0),MATCH("Tenure detail",PlotTitles,0))="Private rented sector"),INDEX(PlotData,MATCH($A423,PlotNumber,0),MATCH("Tenure",PlotTitles,0))="Affordable rent")),"",NOT(INDEX(PlotData,MATCH($A423,PlotNumber,0),MATCH(S$3,PlotTitles,0))=0), $AB$24,TRUE,"")</f>
        <v/>
      </c>
      <c r="V423" s="114" t="str" cm="1">
        <f t="array" aca="1" ref="V423" ca="1">_xlfn.IFS(ISBLANK(NumberOfPlots),"Enter the number of homes on the 1_SetUp sheet",AND(A423&gt;NumberOfPlots,ISBLANK(INDEX(PlotData,MATCH($A423,PlotNumber,0),MATCH(B$3,PlotTitles,0)))),"No error",NOT(B423=""),B423,NOT(C423=""),C423,NOT(D423=""),D423,NOT(E423=""),E423,NOT(F423=""),F423,NOT(G423=""),G423,NOT(H423=""),H423,NOT(I423=""),I423,NOT(J423=""),J423,NOT(K423=""),K423,NOT(L423=""),L423,NOT(M423=""),M423,NOT(N423=""),N423,NOT(O423=""),O423,NOT(P423=""),P423,NOT(Q423=""),Q423,NOT(R423=""),R423,NOT(S423=""),S423,NOT(T423=""),T423,NOT(U423=""),U423,TRUE,"No error")</f>
        <v>Enter the number of homes on the 1_SetUp sheet</v>
      </c>
      <c r="W423" s="114" t="str">
        <f t="shared" ca="1" si="20"/>
        <v xml:space="preserve">The Borrower has not addressed the following error messages for Home ID 419: </v>
      </c>
    </row>
    <row r="424" spans="1:23">
      <c r="A424" s="123">
        <v>420</v>
      </c>
      <c r="B424" s="104" t="str" cm="1">
        <f t="array" ref="B424">_xlfn.IFS(AND(A424&gt;NumberOfPlots,ISBLANK(INDEX(PlotData,MATCH($A424,PlotNumber,0),MATCH(B$3,PlotTitles,0)))),"",ISNUMBER(INDEX(PlotData,MATCH($A424,PlotNumber,0),MATCH(B$3,PlotTitles,0)))=FALSE, $AB$5,TRUE,"")</f>
        <v/>
      </c>
      <c r="C424" s="104" t="str" cm="1">
        <f t="array" ref="C424">_xlfn.IFS(AND(A424&gt;NumberOfPlots,ISBLANK(INDEX(PlotData,MATCH($A424,PlotNumber,0),MATCH(B$3,PlotTitles,0)))),"",ISBLANK(INDEX(PlotData,MATCH($A424,PlotNumber,0),MATCH(C$3,PlotTitles,0))),$AB$6,TRUE,"")</f>
        <v/>
      </c>
      <c r="D424" s="104" t="str" cm="1">
        <f t="array" ref="D424">_xlfn.IFS(AND(A424&gt;NumberOfPlots,ISBLANK(INDEX(PlotData,MATCH($A424,PlotNumber,0),MATCH(B$3,PlotTitles,0)))),"",ISBLANK(INDEX(PlotData,MATCH($A424,PlotNumber,0),MATCH(D$3,PlotTitles,0))),$AB$7,TRUE,"")</f>
        <v/>
      </c>
      <c r="E424" s="104" t="str" cm="1">
        <f t="array" ref="E424">_xlfn.IFS(AND(A424&gt;NumberOfPlots,ISBLANK(INDEX(PlotData,MATCH($A424,PlotNumber,0),MATCH(B$3,PlotTitles,0)))),"",ISBLANK(INDEX(PlotData,MATCH($A424,PlotNumber,0),MATCH(E$3,PlotTitles,0))),$AB$8,TRUE,"")</f>
        <v/>
      </c>
      <c r="F424" s="104" t="str" cm="1">
        <f t="array" ref="F424">_xlfn.IFS(AND(A424&gt;NumberOfPlots,ISBLANK(INDEX(PlotData,MATCH($A424,PlotNumber,0),MATCH(B$3,PlotTitles,0)))),"",ISBLANK(INDEX(PlotData,MATCH($A424,PlotNumber,0),MATCH(F$3,PlotTitles,0))),$AB$9,TRUE,"")</f>
        <v/>
      </c>
      <c r="G424" s="104" t="str" cm="1">
        <f t="array" ref="G424">_xlfn.IFS(AND(A424&gt;NumberOfPlots,ISBLANK(INDEX(PlotData,MATCH($A424,PlotNumber,0),MATCH(B$3,PlotTitles,0)))),"",ISBLANK(INDEX(PlotData,MATCH($A424,PlotNumber,0),MATCH(G$3,PlotTitles,0))),$AB$10,TRUE,"")</f>
        <v/>
      </c>
      <c r="H424" s="104" t="str" cm="1">
        <f t="array" ref="H424">_xlfn.IFS(AND(A424&gt;NumberOfPlots,ISBLANK(INDEX(PlotData,MATCH($A424,PlotNumber,0),MATCH(B$3,PlotTitles,0)))),"",AND(ISBLANK(INDEX(PlotData,MATCH($A424,PlotNumber,0),MATCH(H$3,PlotTitles,0)))=FALSE,INDEX(PlotData,MATCH($A424,PlotNumber,0),MATCH(H$3,PlotTitles,0))&lt;500), $AB$11,TRUE,"")</f>
        <v/>
      </c>
      <c r="I424" s="104" t="str" cm="1">
        <f t="array" ref="I424">_xlfn.IFS(AND(A424&gt;NumberOfPlots,ISBLANK(INDEX(PlotData,MATCH($A424,PlotNumber,0),MATCH(B$3,PlotTitles,0)))),"",ISBLANK(INDEX(PlotData,MATCH($A424,PlotNumber,0),MATCH(I$3,PlotTitles,0))),$AB$12,TRUE,"")</f>
        <v/>
      </c>
      <c r="J424" s="104" t="str" cm="1">
        <f t="array" ref="J424">_xlfn.IFS(AND(A424&gt;NumberOfPlots,ISBLANK(INDEX(PlotData,MATCH($A424,PlotNumber,0),MATCH(B$3,PlotTitles,0)))),"",ISBLANK(INDEX(PlotData,MATCH($A424,PlotNumber,0),MATCH(J$3,PlotTitles,0))),$AB$13,TRUE,"")</f>
        <v/>
      </c>
      <c r="K424" s="182" t="str">
        <f t="shared" ca="1" si="18"/>
        <v/>
      </c>
      <c r="L424" s="104" t="str" cm="1">
        <f t="array" ref="L424">_xlfn.IFS(OR(ISBLANK(StartDateMonth),ISBLANK(StartDateYear)),"",AND(A424&gt;NumberOfPlots,ISBLANK(INDEX(PlotData,MATCH($A424,PlotNumber,0),MATCH(B$3,PlotTitles,0)))),"",ISBLANK(INDEX(PlotData,MATCH($A424,PlotNumber,0),MATCH(I$3,PlotTitles,0))),"",(DATEVALUE(INDEX(PlotData,MATCH($A424,PlotNumber,0),MATCH(I$3,PlotTitles,0))&amp;INDEX(PlotData,MATCH($A424,PlotNumber,0),MATCH(J$3,PlotTitles,0))))&lt;DATEVALUE(StartDateMonth&amp;StartDateYear),$AB$15,TRUE,"")</f>
        <v/>
      </c>
      <c r="M424" s="104" t="str" cm="1">
        <f t="array" ref="M424">_xlfn.IFS(OR(ISBLANK(StartDateMonth),ISBLANK(StartDateYear)),"",AND(A424&gt;NumberOfPlots,ISBLANK(INDEX(PlotData,MATCH($A424,PlotNumber,0),MATCH(B$3,PlotTitles,0)))),"",ISBLANK(INDEX(PlotData,MATCH($A424,PlotNumber,0),MATCH(I$3,PlotTitles,0))),"",CompletionMonth="","",(DATEVALUE(INDEX(PlotData,MATCH($A424,PlotNumber,0),MATCH(I$3,PlotTitles,0))&amp;INDEX(PlotData,MATCH($A424,PlotNumber,0),MATCH(J$3,PlotTitles,0))))&gt;(DATEVALUE(CompletionMonth&amp;CompletionYear)),$AB$16,TRUE,"")</f>
        <v/>
      </c>
      <c r="N424" s="104" t="str" cm="1">
        <f t="array" ref="N424">_xlfn.IFS(AND(A424&gt;NumberOfPlots,ISBLANK(INDEX(PlotData,MATCH($A424,PlotNumber,0),MATCH(B$3,PlotTitles,0)))),"",ISBLANK(INDEX(PlotData,MATCH($A424,PlotNumber,0),MATCH(N$3,PlotTitles,0))),$AB$17,TRUE,"")</f>
        <v/>
      </c>
      <c r="O424" s="104" t="str" cm="1">
        <f t="array" ref="O424">_xlfn.IFS(AND(A424&gt;NumberOfPlots,ISBLANK(INDEX(PlotData,MATCH($A424,PlotNumber,0),MATCH(B$3,PlotTitles,0)))),"",ISBLANK(INDEX(PlotData,MATCH($A424,PlotNumber,0),MATCH(O$3,PlotTitles,0))),$AB$18,TRUE,"")</f>
        <v/>
      </c>
      <c r="P424" s="182" t="str">
        <f t="shared" ca="1" si="19"/>
        <v/>
      </c>
      <c r="Q424" s="104" t="str" cm="1">
        <f t="array" ref="Q424">_xlfn.IFS(AND(A424&gt;NumberOfPlots,ISBLANK(INDEX(PlotData,MATCH($A424,PlotNumber,0),MATCH(B$3,PlotTitles,0)))),"",ISBLANK(INDEX(PlotData,MATCH($A424,PlotNumber,0),MATCH(N$3,PlotTitles,0))),"",(DATEVALUE(INDEX(PlotData,MATCH($A424,PlotNumber,0),MATCH(N$3,PlotTitles,0))&amp;INDEX(PlotData,MATCH($A424,PlotNumber,0),MATCH(O$3,PlotTitles,0))))&lt;(DATEVALUE(INDEX(PlotData,MATCH($A424,PlotNumber,0),MATCH(I$3,PlotTitles,0))&amp;INDEX(PlotData,MATCH($A424,PlotNumber,0),MATCH(J$3,PlotTitles,0)))),$AB$20,TRUE,"")</f>
        <v/>
      </c>
      <c r="R424" s="104" t="str" cm="1">
        <f t="array" ref="R424">_xlfn.IFS(OR(ISBLANK(StartDateMonth),ISBLANK(StartDateYear)),"",AND(A424&gt;NumberOfPlots,ISBLANK(INDEX(PlotData,MATCH($A424,PlotNumber,0),MATCH(B$3,PlotTitles,0)))),"",ISBLANK(INDEX(PlotData,MATCH($A424,PlotNumber,0),MATCH(N$3,PlotTitles,0))),"",CompletionMonth="","",(DATEVALUE(INDEX(PlotData,MATCH($A424,PlotNumber,0),MATCH(N$3,PlotTitles,0))&amp;INDEX(PlotData,MATCH($A424,PlotNumber,0),MATCH(O$3,PlotTitles,0))))&gt;(DATEVALUE(CompletionMonth&amp;CompletionYear)),$AB$21,TRUE,"")</f>
        <v/>
      </c>
      <c r="S424" s="104" t="str" cm="1">
        <f t="array" ref="S424">_xlfn.IFS(AND(A424&gt;NumberOfPlots,ISBLANK(INDEX(PlotData,MATCH($A424,PlotNumber,0),MATCH(B$3,PlotTitles,0)))),"",OR(AND(INDEX(PlotData,MATCH($A424,PlotNumber,0),MATCH("Tenure",PlotTitles,0))="Open market housing",INDEX(PlotData,MATCH($A424,PlotNumber,0),MATCH("Tenure detail",PlotTitles,0))="Private rented sector"),INDEX(PlotData,MATCH($A424,PlotNumber,0),MATCH("Tenure",PlotTitles,0))="Affordable rent"),"",ISNUMBER(INDEX(PlotData,MATCH($A424,PlotNumber,0),MATCH(S$3,PlotTitles,0)))=FALSE, $AB$22,TRUE,"")</f>
        <v/>
      </c>
      <c r="T424" s="104" t="str" cm="1">
        <f t="array" ref="T424">_xlfn.IFS(AND(A424&gt;NumberOfPlots,ISBLANK(INDEX(PlotData,MATCH($A424,PlotNumber,0),MATCH(B$3,PlotTitles,0)))),"",OR(AND(INDEX(PlotData,MATCH($A424,PlotNumber,0),MATCH("Tenure",PlotTitles,0))="Open market housing",INDEX(PlotData,MATCH($A424,PlotNumber,0),MATCH("Tenure detail",PlotTitles,0))="Private rented sector"),INDEX(PlotData,MATCH($A424,PlotNumber,0),MATCH("Tenure",PlotTitles,0))="Affordable rent"),"",INDEX(PlotData,MATCH($A424,PlotNumber,0),MATCH(S$3,PlotTitles,0))&lt;10000, $AB$23,TRUE,"")</f>
        <v/>
      </c>
      <c r="U424" s="104" t="str" cm="1">
        <f t="array" ref="U424">_xlfn.IFS(AND(A424&gt;NumberOfPlots,ISBLANK(INDEX(PlotData,MATCH($A424,PlotNumber,0),MATCH(B$3,PlotTitles,0)))),"",NOT(OR(AND(INDEX(PlotData,MATCH($A424,PlotNumber,0),MATCH("Tenure",PlotTitles,0))="Open market housing",INDEX(PlotData,MATCH($A424,PlotNumber,0),MATCH("Tenure detail",PlotTitles,0))="Private rented sector"),INDEX(PlotData,MATCH($A424,PlotNumber,0),MATCH("Tenure",PlotTitles,0))="Affordable rent")),"",NOT(INDEX(PlotData,MATCH($A424,PlotNumber,0),MATCH(S$3,PlotTitles,0))=0), $AB$24,TRUE,"")</f>
        <v/>
      </c>
      <c r="V424" s="114" t="str" cm="1">
        <f t="array" aca="1" ref="V424" ca="1">_xlfn.IFS(ISBLANK(NumberOfPlots),"Enter the number of homes on the 1_SetUp sheet",AND(A424&gt;NumberOfPlots,ISBLANK(INDEX(PlotData,MATCH($A424,PlotNumber,0),MATCH(B$3,PlotTitles,0)))),"No error",NOT(B424=""),B424,NOT(C424=""),C424,NOT(D424=""),D424,NOT(E424=""),E424,NOT(F424=""),F424,NOT(G424=""),G424,NOT(H424=""),H424,NOT(I424=""),I424,NOT(J424=""),J424,NOT(K424=""),K424,NOT(L424=""),L424,NOT(M424=""),M424,NOT(N424=""),N424,NOT(O424=""),O424,NOT(P424=""),P424,NOT(Q424=""),Q424,NOT(R424=""),R424,NOT(S424=""),S424,NOT(T424=""),T424,NOT(U424=""),U424,TRUE,"No error")</f>
        <v>Enter the number of homes on the 1_SetUp sheet</v>
      </c>
      <c r="W424" s="114" t="str">
        <f t="shared" ca="1" si="20"/>
        <v xml:space="preserve">The Borrower has not addressed the following error messages for Home ID 420: </v>
      </c>
    </row>
    <row r="425" spans="1:23">
      <c r="A425" s="123">
        <v>421</v>
      </c>
      <c r="B425" s="104" t="str" cm="1">
        <f t="array" ref="B425">_xlfn.IFS(AND(A425&gt;NumberOfPlots,ISBLANK(INDEX(PlotData,MATCH($A425,PlotNumber,0),MATCH(B$3,PlotTitles,0)))),"",ISNUMBER(INDEX(PlotData,MATCH($A425,PlotNumber,0),MATCH(B$3,PlotTitles,0)))=FALSE, $AB$5,TRUE,"")</f>
        <v/>
      </c>
      <c r="C425" s="104" t="str" cm="1">
        <f t="array" ref="C425">_xlfn.IFS(AND(A425&gt;NumberOfPlots,ISBLANK(INDEX(PlotData,MATCH($A425,PlotNumber,0),MATCH(B$3,PlotTitles,0)))),"",ISBLANK(INDEX(PlotData,MATCH($A425,PlotNumber,0),MATCH(C$3,PlotTitles,0))),$AB$6,TRUE,"")</f>
        <v/>
      </c>
      <c r="D425" s="104" t="str" cm="1">
        <f t="array" ref="D425">_xlfn.IFS(AND(A425&gt;NumberOfPlots,ISBLANK(INDEX(PlotData,MATCH($A425,PlotNumber,0),MATCH(B$3,PlotTitles,0)))),"",ISBLANK(INDEX(PlotData,MATCH($A425,PlotNumber,0),MATCH(D$3,PlotTitles,0))),$AB$7,TRUE,"")</f>
        <v/>
      </c>
      <c r="E425" s="104" t="str" cm="1">
        <f t="array" ref="E425">_xlfn.IFS(AND(A425&gt;NumberOfPlots,ISBLANK(INDEX(PlotData,MATCH($A425,PlotNumber,0),MATCH(B$3,PlotTitles,0)))),"",ISBLANK(INDEX(PlotData,MATCH($A425,PlotNumber,0),MATCH(E$3,PlotTitles,0))),$AB$8,TRUE,"")</f>
        <v/>
      </c>
      <c r="F425" s="104" t="str" cm="1">
        <f t="array" ref="F425">_xlfn.IFS(AND(A425&gt;NumberOfPlots,ISBLANK(INDEX(PlotData,MATCH($A425,PlotNumber,0),MATCH(B$3,PlotTitles,0)))),"",ISBLANK(INDEX(PlotData,MATCH($A425,PlotNumber,0),MATCH(F$3,PlotTitles,0))),$AB$9,TRUE,"")</f>
        <v/>
      </c>
      <c r="G425" s="104" t="str" cm="1">
        <f t="array" ref="G425">_xlfn.IFS(AND(A425&gt;NumberOfPlots,ISBLANK(INDEX(PlotData,MATCH($A425,PlotNumber,0),MATCH(B$3,PlotTitles,0)))),"",ISBLANK(INDEX(PlotData,MATCH($A425,PlotNumber,0),MATCH(G$3,PlotTitles,0))),$AB$10,TRUE,"")</f>
        <v/>
      </c>
      <c r="H425" s="104" t="str" cm="1">
        <f t="array" ref="H425">_xlfn.IFS(AND(A425&gt;NumberOfPlots,ISBLANK(INDEX(PlotData,MATCH($A425,PlotNumber,0),MATCH(B$3,PlotTitles,0)))),"",AND(ISBLANK(INDEX(PlotData,MATCH($A425,PlotNumber,0),MATCH(H$3,PlotTitles,0)))=FALSE,INDEX(PlotData,MATCH($A425,PlotNumber,0),MATCH(H$3,PlotTitles,0))&lt;500), $AB$11,TRUE,"")</f>
        <v/>
      </c>
      <c r="I425" s="104" t="str" cm="1">
        <f t="array" ref="I425">_xlfn.IFS(AND(A425&gt;NumberOfPlots,ISBLANK(INDEX(PlotData,MATCH($A425,PlotNumber,0),MATCH(B$3,PlotTitles,0)))),"",ISBLANK(INDEX(PlotData,MATCH($A425,PlotNumber,0),MATCH(I$3,PlotTitles,0))),$AB$12,TRUE,"")</f>
        <v/>
      </c>
      <c r="J425" s="104" t="str" cm="1">
        <f t="array" ref="J425">_xlfn.IFS(AND(A425&gt;NumberOfPlots,ISBLANK(INDEX(PlotData,MATCH($A425,PlotNumber,0),MATCH(B$3,PlotTitles,0)))),"",ISBLANK(INDEX(PlotData,MATCH($A425,PlotNumber,0),MATCH(J$3,PlotTitles,0))),$AB$13,TRUE,"")</f>
        <v/>
      </c>
      <c r="K425" s="182" t="str">
        <f t="shared" ca="1" si="18"/>
        <v/>
      </c>
      <c r="L425" s="104" t="str" cm="1">
        <f t="array" ref="L425">_xlfn.IFS(OR(ISBLANK(StartDateMonth),ISBLANK(StartDateYear)),"",AND(A425&gt;NumberOfPlots,ISBLANK(INDEX(PlotData,MATCH($A425,PlotNumber,0),MATCH(B$3,PlotTitles,0)))),"",ISBLANK(INDEX(PlotData,MATCH($A425,PlotNumber,0),MATCH(I$3,PlotTitles,0))),"",(DATEVALUE(INDEX(PlotData,MATCH($A425,PlotNumber,0),MATCH(I$3,PlotTitles,0))&amp;INDEX(PlotData,MATCH($A425,PlotNumber,0),MATCH(J$3,PlotTitles,0))))&lt;DATEVALUE(StartDateMonth&amp;StartDateYear),$AB$15,TRUE,"")</f>
        <v/>
      </c>
      <c r="M425" s="104" t="str" cm="1">
        <f t="array" ref="M425">_xlfn.IFS(OR(ISBLANK(StartDateMonth),ISBLANK(StartDateYear)),"",AND(A425&gt;NumberOfPlots,ISBLANK(INDEX(PlotData,MATCH($A425,PlotNumber,0),MATCH(B$3,PlotTitles,0)))),"",ISBLANK(INDEX(PlotData,MATCH($A425,PlotNumber,0),MATCH(I$3,PlotTitles,0))),"",CompletionMonth="","",(DATEVALUE(INDEX(PlotData,MATCH($A425,PlotNumber,0),MATCH(I$3,PlotTitles,0))&amp;INDEX(PlotData,MATCH($A425,PlotNumber,0),MATCH(J$3,PlotTitles,0))))&gt;(DATEVALUE(CompletionMonth&amp;CompletionYear)),$AB$16,TRUE,"")</f>
        <v/>
      </c>
      <c r="N425" s="104" t="str" cm="1">
        <f t="array" ref="N425">_xlfn.IFS(AND(A425&gt;NumberOfPlots,ISBLANK(INDEX(PlotData,MATCH($A425,PlotNumber,0),MATCH(B$3,PlotTitles,0)))),"",ISBLANK(INDEX(PlotData,MATCH($A425,PlotNumber,0),MATCH(N$3,PlotTitles,0))),$AB$17,TRUE,"")</f>
        <v/>
      </c>
      <c r="O425" s="104" t="str" cm="1">
        <f t="array" ref="O425">_xlfn.IFS(AND(A425&gt;NumberOfPlots,ISBLANK(INDEX(PlotData,MATCH($A425,PlotNumber,0),MATCH(B$3,PlotTitles,0)))),"",ISBLANK(INDEX(PlotData,MATCH($A425,PlotNumber,0),MATCH(O$3,PlotTitles,0))),$AB$18,TRUE,"")</f>
        <v/>
      </c>
      <c r="P425" s="182" t="str">
        <f t="shared" ca="1" si="19"/>
        <v/>
      </c>
      <c r="Q425" s="104" t="str" cm="1">
        <f t="array" ref="Q425">_xlfn.IFS(AND(A425&gt;NumberOfPlots,ISBLANK(INDEX(PlotData,MATCH($A425,PlotNumber,0),MATCH(B$3,PlotTitles,0)))),"",ISBLANK(INDEX(PlotData,MATCH($A425,PlotNumber,0),MATCH(N$3,PlotTitles,0))),"",(DATEVALUE(INDEX(PlotData,MATCH($A425,PlotNumber,0),MATCH(N$3,PlotTitles,0))&amp;INDEX(PlotData,MATCH($A425,PlotNumber,0),MATCH(O$3,PlotTitles,0))))&lt;(DATEVALUE(INDEX(PlotData,MATCH($A425,PlotNumber,0),MATCH(I$3,PlotTitles,0))&amp;INDEX(PlotData,MATCH($A425,PlotNumber,0),MATCH(J$3,PlotTitles,0)))),$AB$20,TRUE,"")</f>
        <v/>
      </c>
      <c r="R425" s="104" t="str" cm="1">
        <f t="array" ref="R425">_xlfn.IFS(OR(ISBLANK(StartDateMonth),ISBLANK(StartDateYear)),"",AND(A425&gt;NumberOfPlots,ISBLANK(INDEX(PlotData,MATCH($A425,PlotNumber,0),MATCH(B$3,PlotTitles,0)))),"",ISBLANK(INDEX(PlotData,MATCH($A425,PlotNumber,0),MATCH(N$3,PlotTitles,0))),"",CompletionMonth="","",(DATEVALUE(INDEX(PlotData,MATCH($A425,PlotNumber,0),MATCH(N$3,PlotTitles,0))&amp;INDEX(PlotData,MATCH($A425,PlotNumber,0),MATCH(O$3,PlotTitles,0))))&gt;(DATEVALUE(CompletionMonth&amp;CompletionYear)),$AB$21,TRUE,"")</f>
        <v/>
      </c>
      <c r="S425" s="104" t="str" cm="1">
        <f t="array" ref="S425">_xlfn.IFS(AND(A425&gt;NumberOfPlots,ISBLANK(INDEX(PlotData,MATCH($A425,PlotNumber,0),MATCH(B$3,PlotTitles,0)))),"",OR(AND(INDEX(PlotData,MATCH($A425,PlotNumber,0),MATCH("Tenure",PlotTitles,0))="Open market housing",INDEX(PlotData,MATCH($A425,PlotNumber,0),MATCH("Tenure detail",PlotTitles,0))="Private rented sector"),INDEX(PlotData,MATCH($A425,PlotNumber,0),MATCH("Tenure",PlotTitles,0))="Affordable rent"),"",ISNUMBER(INDEX(PlotData,MATCH($A425,PlotNumber,0),MATCH(S$3,PlotTitles,0)))=FALSE, $AB$22,TRUE,"")</f>
        <v/>
      </c>
      <c r="T425" s="104" t="str" cm="1">
        <f t="array" ref="T425">_xlfn.IFS(AND(A425&gt;NumberOfPlots,ISBLANK(INDEX(PlotData,MATCH($A425,PlotNumber,0),MATCH(B$3,PlotTitles,0)))),"",OR(AND(INDEX(PlotData,MATCH($A425,PlotNumber,0),MATCH("Tenure",PlotTitles,0))="Open market housing",INDEX(PlotData,MATCH($A425,PlotNumber,0),MATCH("Tenure detail",PlotTitles,0))="Private rented sector"),INDEX(PlotData,MATCH($A425,PlotNumber,0),MATCH("Tenure",PlotTitles,0))="Affordable rent"),"",INDEX(PlotData,MATCH($A425,PlotNumber,0),MATCH(S$3,PlotTitles,0))&lt;10000, $AB$23,TRUE,"")</f>
        <v/>
      </c>
      <c r="U425" s="104" t="str" cm="1">
        <f t="array" ref="U425">_xlfn.IFS(AND(A425&gt;NumberOfPlots,ISBLANK(INDEX(PlotData,MATCH($A425,PlotNumber,0),MATCH(B$3,PlotTitles,0)))),"",NOT(OR(AND(INDEX(PlotData,MATCH($A425,PlotNumber,0),MATCH("Tenure",PlotTitles,0))="Open market housing",INDEX(PlotData,MATCH($A425,PlotNumber,0),MATCH("Tenure detail",PlotTitles,0))="Private rented sector"),INDEX(PlotData,MATCH($A425,PlotNumber,0),MATCH("Tenure",PlotTitles,0))="Affordable rent")),"",NOT(INDEX(PlotData,MATCH($A425,PlotNumber,0),MATCH(S$3,PlotTitles,0))=0), $AB$24,TRUE,"")</f>
        <v/>
      </c>
      <c r="V425" s="114" t="str" cm="1">
        <f t="array" aca="1" ref="V425" ca="1">_xlfn.IFS(ISBLANK(NumberOfPlots),"Enter the number of homes on the 1_SetUp sheet",AND(A425&gt;NumberOfPlots,ISBLANK(INDEX(PlotData,MATCH($A425,PlotNumber,0),MATCH(B$3,PlotTitles,0)))),"No error",NOT(B425=""),B425,NOT(C425=""),C425,NOT(D425=""),D425,NOT(E425=""),E425,NOT(F425=""),F425,NOT(G425=""),G425,NOT(H425=""),H425,NOT(I425=""),I425,NOT(J425=""),J425,NOT(K425=""),K425,NOT(L425=""),L425,NOT(M425=""),M425,NOT(N425=""),N425,NOT(O425=""),O425,NOT(P425=""),P425,NOT(Q425=""),Q425,NOT(R425=""),R425,NOT(S425=""),S425,NOT(T425=""),T425,NOT(U425=""),U425,TRUE,"No error")</f>
        <v>Enter the number of homes on the 1_SetUp sheet</v>
      </c>
      <c r="W425" s="114" t="str">
        <f t="shared" ca="1" si="20"/>
        <v xml:space="preserve">The Borrower has not addressed the following error messages for Home ID 421: </v>
      </c>
    </row>
    <row r="426" spans="1:23">
      <c r="A426" s="123">
        <v>422</v>
      </c>
      <c r="B426" s="104" t="str" cm="1">
        <f t="array" ref="B426">_xlfn.IFS(AND(A426&gt;NumberOfPlots,ISBLANK(INDEX(PlotData,MATCH($A426,PlotNumber,0),MATCH(B$3,PlotTitles,0)))),"",ISNUMBER(INDEX(PlotData,MATCH($A426,PlotNumber,0),MATCH(B$3,PlotTitles,0)))=FALSE, $AB$5,TRUE,"")</f>
        <v/>
      </c>
      <c r="C426" s="104" t="str" cm="1">
        <f t="array" ref="C426">_xlfn.IFS(AND(A426&gt;NumberOfPlots,ISBLANK(INDEX(PlotData,MATCH($A426,PlotNumber,0),MATCH(B$3,PlotTitles,0)))),"",ISBLANK(INDEX(PlotData,MATCH($A426,PlotNumber,0),MATCH(C$3,PlotTitles,0))),$AB$6,TRUE,"")</f>
        <v/>
      </c>
      <c r="D426" s="104" t="str" cm="1">
        <f t="array" ref="D426">_xlfn.IFS(AND(A426&gt;NumberOfPlots,ISBLANK(INDEX(PlotData,MATCH($A426,PlotNumber,0),MATCH(B$3,PlotTitles,0)))),"",ISBLANK(INDEX(PlotData,MATCH($A426,PlotNumber,0),MATCH(D$3,PlotTitles,0))),$AB$7,TRUE,"")</f>
        <v/>
      </c>
      <c r="E426" s="104" t="str" cm="1">
        <f t="array" ref="E426">_xlfn.IFS(AND(A426&gt;NumberOfPlots,ISBLANK(INDEX(PlotData,MATCH($A426,PlotNumber,0),MATCH(B$3,PlotTitles,0)))),"",ISBLANK(INDEX(PlotData,MATCH($A426,PlotNumber,0),MATCH(E$3,PlotTitles,0))),$AB$8,TRUE,"")</f>
        <v/>
      </c>
      <c r="F426" s="104" t="str" cm="1">
        <f t="array" ref="F426">_xlfn.IFS(AND(A426&gt;NumberOfPlots,ISBLANK(INDEX(PlotData,MATCH($A426,PlotNumber,0),MATCH(B$3,PlotTitles,0)))),"",ISBLANK(INDEX(PlotData,MATCH($A426,PlotNumber,0),MATCH(F$3,PlotTitles,0))),$AB$9,TRUE,"")</f>
        <v/>
      </c>
      <c r="G426" s="104" t="str" cm="1">
        <f t="array" ref="G426">_xlfn.IFS(AND(A426&gt;NumberOfPlots,ISBLANK(INDEX(PlotData,MATCH($A426,PlotNumber,0),MATCH(B$3,PlotTitles,0)))),"",ISBLANK(INDEX(PlotData,MATCH($A426,PlotNumber,0),MATCH(G$3,PlotTitles,0))),$AB$10,TRUE,"")</f>
        <v/>
      </c>
      <c r="H426" s="104" t="str" cm="1">
        <f t="array" ref="H426">_xlfn.IFS(AND(A426&gt;NumberOfPlots,ISBLANK(INDEX(PlotData,MATCH($A426,PlotNumber,0),MATCH(B$3,PlotTitles,0)))),"",AND(ISBLANK(INDEX(PlotData,MATCH($A426,PlotNumber,0),MATCH(H$3,PlotTitles,0)))=FALSE,INDEX(PlotData,MATCH($A426,PlotNumber,0),MATCH(H$3,PlotTitles,0))&lt;500), $AB$11,TRUE,"")</f>
        <v/>
      </c>
      <c r="I426" s="104" t="str" cm="1">
        <f t="array" ref="I426">_xlfn.IFS(AND(A426&gt;NumberOfPlots,ISBLANK(INDEX(PlotData,MATCH($A426,PlotNumber,0),MATCH(B$3,PlotTitles,0)))),"",ISBLANK(INDEX(PlotData,MATCH($A426,PlotNumber,0),MATCH(I$3,PlotTitles,0))),$AB$12,TRUE,"")</f>
        <v/>
      </c>
      <c r="J426" s="104" t="str" cm="1">
        <f t="array" ref="J426">_xlfn.IFS(AND(A426&gt;NumberOfPlots,ISBLANK(INDEX(PlotData,MATCH($A426,PlotNumber,0),MATCH(B$3,PlotTitles,0)))),"",ISBLANK(INDEX(PlotData,MATCH($A426,PlotNumber,0),MATCH(J$3,PlotTitles,0))),$AB$13,TRUE,"")</f>
        <v/>
      </c>
      <c r="K426" s="182" t="str">
        <f t="shared" ca="1" si="18"/>
        <v/>
      </c>
      <c r="L426" s="104" t="str" cm="1">
        <f t="array" ref="L426">_xlfn.IFS(OR(ISBLANK(StartDateMonth),ISBLANK(StartDateYear)),"",AND(A426&gt;NumberOfPlots,ISBLANK(INDEX(PlotData,MATCH($A426,PlotNumber,0),MATCH(B$3,PlotTitles,0)))),"",ISBLANK(INDEX(PlotData,MATCH($A426,PlotNumber,0),MATCH(I$3,PlotTitles,0))),"",(DATEVALUE(INDEX(PlotData,MATCH($A426,PlotNumber,0),MATCH(I$3,PlotTitles,0))&amp;INDEX(PlotData,MATCH($A426,PlotNumber,0),MATCH(J$3,PlotTitles,0))))&lt;DATEVALUE(StartDateMonth&amp;StartDateYear),$AB$15,TRUE,"")</f>
        <v/>
      </c>
      <c r="M426" s="104" t="str" cm="1">
        <f t="array" ref="M426">_xlfn.IFS(OR(ISBLANK(StartDateMonth),ISBLANK(StartDateYear)),"",AND(A426&gt;NumberOfPlots,ISBLANK(INDEX(PlotData,MATCH($A426,PlotNumber,0),MATCH(B$3,PlotTitles,0)))),"",ISBLANK(INDEX(PlotData,MATCH($A426,PlotNumber,0),MATCH(I$3,PlotTitles,0))),"",CompletionMonth="","",(DATEVALUE(INDEX(PlotData,MATCH($A426,PlotNumber,0),MATCH(I$3,PlotTitles,0))&amp;INDEX(PlotData,MATCH($A426,PlotNumber,0),MATCH(J$3,PlotTitles,0))))&gt;(DATEVALUE(CompletionMonth&amp;CompletionYear)),$AB$16,TRUE,"")</f>
        <v/>
      </c>
      <c r="N426" s="104" t="str" cm="1">
        <f t="array" ref="N426">_xlfn.IFS(AND(A426&gt;NumberOfPlots,ISBLANK(INDEX(PlotData,MATCH($A426,PlotNumber,0),MATCH(B$3,PlotTitles,0)))),"",ISBLANK(INDEX(PlotData,MATCH($A426,PlotNumber,0),MATCH(N$3,PlotTitles,0))),$AB$17,TRUE,"")</f>
        <v/>
      </c>
      <c r="O426" s="104" t="str" cm="1">
        <f t="array" ref="O426">_xlfn.IFS(AND(A426&gt;NumberOfPlots,ISBLANK(INDEX(PlotData,MATCH($A426,PlotNumber,0),MATCH(B$3,PlotTitles,0)))),"",ISBLANK(INDEX(PlotData,MATCH($A426,PlotNumber,0),MATCH(O$3,PlotTitles,0))),$AB$18,TRUE,"")</f>
        <v/>
      </c>
      <c r="P426" s="182" t="str">
        <f t="shared" ca="1" si="19"/>
        <v/>
      </c>
      <c r="Q426" s="104" t="str" cm="1">
        <f t="array" ref="Q426">_xlfn.IFS(AND(A426&gt;NumberOfPlots,ISBLANK(INDEX(PlotData,MATCH($A426,PlotNumber,0),MATCH(B$3,PlotTitles,0)))),"",ISBLANK(INDEX(PlotData,MATCH($A426,PlotNumber,0),MATCH(N$3,PlotTitles,0))),"",(DATEVALUE(INDEX(PlotData,MATCH($A426,PlotNumber,0),MATCH(N$3,PlotTitles,0))&amp;INDEX(PlotData,MATCH($A426,PlotNumber,0),MATCH(O$3,PlotTitles,0))))&lt;(DATEVALUE(INDEX(PlotData,MATCH($A426,PlotNumber,0),MATCH(I$3,PlotTitles,0))&amp;INDEX(PlotData,MATCH($A426,PlotNumber,0),MATCH(J$3,PlotTitles,0)))),$AB$20,TRUE,"")</f>
        <v/>
      </c>
      <c r="R426" s="104" t="str" cm="1">
        <f t="array" ref="R426">_xlfn.IFS(OR(ISBLANK(StartDateMonth),ISBLANK(StartDateYear)),"",AND(A426&gt;NumberOfPlots,ISBLANK(INDEX(PlotData,MATCH($A426,PlotNumber,0),MATCH(B$3,PlotTitles,0)))),"",ISBLANK(INDEX(PlotData,MATCH($A426,PlotNumber,0),MATCH(N$3,PlotTitles,0))),"",CompletionMonth="","",(DATEVALUE(INDEX(PlotData,MATCH($A426,PlotNumber,0),MATCH(N$3,PlotTitles,0))&amp;INDEX(PlotData,MATCH($A426,PlotNumber,0),MATCH(O$3,PlotTitles,0))))&gt;(DATEVALUE(CompletionMonth&amp;CompletionYear)),$AB$21,TRUE,"")</f>
        <v/>
      </c>
      <c r="S426" s="104" t="str" cm="1">
        <f t="array" ref="S426">_xlfn.IFS(AND(A426&gt;NumberOfPlots,ISBLANK(INDEX(PlotData,MATCH($A426,PlotNumber,0),MATCH(B$3,PlotTitles,0)))),"",OR(AND(INDEX(PlotData,MATCH($A426,PlotNumber,0),MATCH("Tenure",PlotTitles,0))="Open market housing",INDEX(PlotData,MATCH($A426,PlotNumber,0),MATCH("Tenure detail",PlotTitles,0))="Private rented sector"),INDEX(PlotData,MATCH($A426,PlotNumber,0),MATCH("Tenure",PlotTitles,0))="Affordable rent"),"",ISNUMBER(INDEX(PlotData,MATCH($A426,PlotNumber,0),MATCH(S$3,PlotTitles,0)))=FALSE, $AB$22,TRUE,"")</f>
        <v/>
      </c>
      <c r="T426" s="104" t="str" cm="1">
        <f t="array" ref="T426">_xlfn.IFS(AND(A426&gt;NumberOfPlots,ISBLANK(INDEX(PlotData,MATCH($A426,PlotNumber,0),MATCH(B$3,PlotTitles,0)))),"",OR(AND(INDEX(PlotData,MATCH($A426,PlotNumber,0),MATCH("Tenure",PlotTitles,0))="Open market housing",INDEX(PlotData,MATCH($A426,PlotNumber,0),MATCH("Tenure detail",PlotTitles,0))="Private rented sector"),INDEX(PlotData,MATCH($A426,PlotNumber,0),MATCH("Tenure",PlotTitles,0))="Affordable rent"),"",INDEX(PlotData,MATCH($A426,PlotNumber,0),MATCH(S$3,PlotTitles,0))&lt;10000, $AB$23,TRUE,"")</f>
        <v/>
      </c>
      <c r="U426" s="104" t="str" cm="1">
        <f t="array" ref="U426">_xlfn.IFS(AND(A426&gt;NumberOfPlots,ISBLANK(INDEX(PlotData,MATCH($A426,PlotNumber,0),MATCH(B$3,PlotTitles,0)))),"",NOT(OR(AND(INDEX(PlotData,MATCH($A426,PlotNumber,0),MATCH("Tenure",PlotTitles,0))="Open market housing",INDEX(PlotData,MATCH($A426,PlotNumber,0),MATCH("Tenure detail",PlotTitles,0))="Private rented sector"),INDEX(PlotData,MATCH($A426,PlotNumber,0),MATCH("Tenure",PlotTitles,0))="Affordable rent")),"",NOT(INDEX(PlotData,MATCH($A426,PlotNumber,0),MATCH(S$3,PlotTitles,0))=0), $AB$24,TRUE,"")</f>
        <v/>
      </c>
      <c r="V426" s="114" t="str" cm="1">
        <f t="array" aca="1" ref="V426" ca="1">_xlfn.IFS(ISBLANK(NumberOfPlots),"Enter the number of homes on the 1_SetUp sheet",AND(A426&gt;NumberOfPlots,ISBLANK(INDEX(PlotData,MATCH($A426,PlotNumber,0),MATCH(B$3,PlotTitles,0)))),"No error",NOT(B426=""),B426,NOT(C426=""),C426,NOT(D426=""),D426,NOT(E426=""),E426,NOT(F426=""),F426,NOT(G426=""),G426,NOT(H426=""),H426,NOT(I426=""),I426,NOT(J426=""),J426,NOT(K426=""),K426,NOT(L426=""),L426,NOT(M426=""),M426,NOT(N426=""),N426,NOT(O426=""),O426,NOT(P426=""),P426,NOT(Q426=""),Q426,NOT(R426=""),R426,NOT(S426=""),S426,NOT(T426=""),T426,NOT(U426=""),U426,TRUE,"No error")</f>
        <v>Enter the number of homes on the 1_SetUp sheet</v>
      </c>
      <c r="W426" s="114" t="str">
        <f t="shared" ca="1" si="20"/>
        <v xml:space="preserve">The Borrower has not addressed the following error messages for Home ID 422: </v>
      </c>
    </row>
    <row r="427" spans="1:23">
      <c r="A427" s="123">
        <v>423</v>
      </c>
      <c r="B427" s="104" t="str" cm="1">
        <f t="array" ref="B427">_xlfn.IFS(AND(A427&gt;NumberOfPlots,ISBLANK(INDEX(PlotData,MATCH($A427,PlotNumber,0),MATCH(B$3,PlotTitles,0)))),"",ISNUMBER(INDEX(PlotData,MATCH($A427,PlotNumber,0),MATCH(B$3,PlotTitles,0)))=FALSE, $AB$5,TRUE,"")</f>
        <v/>
      </c>
      <c r="C427" s="104" t="str" cm="1">
        <f t="array" ref="C427">_xlfn.IFS(AND(A427&gt;NumberOfPlots,ISBLANK(INDEX(PlotData,MATCH($A427,PlotNumber,0),MATCH(B$3,PlotTitles,0)))),"",ISBLANK(INDEX(PlotData,MATCH($A427,PlotNumber,0),MATCH(C$3,PlotTitles,0))),$AB$6,TRUE,"")</f>
        <v/>
      </c>
      <c r="D427" s="104" t="str" cm="1">
        <f t="array" ref="D427">_xlfn.IFS(AND(A427&gt;NumberOfPlots,ISBLANK(INDEX(PlotData,MATCH($A427,PlotNumber,0),MATCH(B$3,PlotTitles,0)))),"",ISBLANK(INDEX(PlotData,MATCH($A427,PlotNumber,0),MATCH(D$3,PlotTitles,0))),$AB$7,TRUE,"")</f>
        <v/>
      </c>
      <c r="E427" s="104" t="str" cm="1">
        <f t="array" ref="E427">_xlfn.IFS(AND(A427&gt;NumberOfPlots,ISBLANK(INDEX(PlotData,MATCH($A427,PlotNumber,0),MATCH(B$3,PlotTitles,0)))),"",ISBLANK(INDEX(PlotData,MATCH($A427,PlotNumber,0),MATCH(E$3,PlotTitles,0))),$AB$8,TRUE,"")</f>
        <v/>
      </c>
      <c r="F427" s="104" t="str" cm="1">
        <f t="array" ref="F427">_xlfn.IFS(AND(A427&gt;NumberOfPlots,ISBLANK(INDEX(PlotData,MATCH($A427,PlotNumber,0),MATCH(B$3,PlotTitles,0)))),"",ISBLANK(INDEX(PlotData,MATCH($A427,PlotNumber,0),MATCH(F$3,PlotTitles,0))),$AB$9,TRUE,"")</f>
        <v/>
      </c>
      <c r="G427" s="104" t="str" cm="1">
        <f t="array" ref="G427">_xlfn.IFS(AND(A427&gt;NumberOfPlots,ISBLANK(INDEX(PlotData,MATCH($A427,PlotNumber,0),MATCH(B$3,PlotTitles,0)))),"",ISBLANK(INDEX(PlotData,MATCH($A427,PlotNumber,0),MATCH(G$3,PlotTitles,0))),$AB$10,TRUE,"")</f>
        <v/>
      </c>
      <c r="H427" s="104" t="str" cm="1">
        <f t="array" ref="H427">_xlfn.IFS(AND(A427&gt;NumberOfPlots,ISBLANK(INDEX(PlotData,MATCH($A427,PlotNumber,0),MATCH(B$3,PlotTitles,0)))),"",AND(ISBLANK(INDEX(PlotData,MATCH($A427,PlotNumber,0),MATCH(H$3,PlotTitles,0)))=FALSE,INDEX(PlotData,MATCH($A427,PlotNumber,0),MATCH(H$3,PlotTitles,0))&lt;500), $AB$11,TRUE,"")</f>
        <v/>
      </c>
      <c r="I427" s="104" t="str" cm="1">
        <f t="array" ref="I427">_xlfn.IFS(AND(A427&gt;NumberOfPlots,ISBLANK(INDEX(PlotData,MATCH($A427,PlotNumber,0),MATCH(B$3,PlotTitles,0)))),"",ISBLANK(INDEX(PlotData,MATCH($A427,PlotNumber,0),MATCH(I$3,PlotTitles,0))),$AB$12,TRUE,"")</f>
        <v/>
      </c>
      <c r="J427" s="104" t="str" cm="1">
        <f t="array" ref="J427">_xlfn.IFS(AND(A427&gt;NumberOfPlots,ISBLANK(INDEX(PlotData,MATCH($A427,PlotNumber,0),MATCH(B$3,PlotTitles,0)))),"",ISBLANK(INDEX(PlotData,MATCH($A427,PlotNumber,0),MATCH(J$3,PlotTitles,0))),$AB$13,TRUE,"")</f>
        <v/>
      </c>
      <c r="K427" s="182" t="str">
        <f t="shared" ca="1" si="18"/>
        <v/>
      </c>
      <c r="L427" s="104" t="str" cm="1">
        <f t="array" ref="L427">_xlfn.IFS(OR(ISBLANK(StartDateMonth),ISBLANK(StartDateYear)),"",AND(A427&gt;NumberOfPlots,ISBLANK(INDEX(PlotData,MATCH($A427,PlotNumber,0),MATCH(B$3,PlotTitles,0)))),"",ISBLANK(INDEX(PlotData,MATCH($A427,PlotNumber,0),MATCH(I$3,PlotTitles,0))),"",(DATEVALUE(INDEX(PlotData,MATCH($A427,PlotNumber,0),MATCH(I$3,PlotTitles,0))&amp;INDEX(PlotData,MATCH($A427,PlotNumber,0),MATCH(J$3,PlotTitles,0))))&lt;DATEVALUE(StartDateMonth&amp;StartDateYear),$AB$15,TRUE,"")</f>
        <v/>
      </c>
      <c r="M427" s="104" t="str" cm="1">
        <f t="array" ref="M427">_xlfn.IFS(OR(ISBLANK(StartDateMonth),ISBLANK(StartDateYear)),"",AND(A427&gt;NumberOfPlots,ISBLANK(INDEX(PlotData,MATCH($A427,PlotNumber,0),MATCH(B$3,PlotTitles,0)))),"",ISBLANK(INDEX(PlotData,MATCH($A427,PlotNumber,0),MATCH(I$3,PlotTitles,0))),"",CompletionMonth="","",(DATEVALUE(INDEX(PlotData,MATCH($A427,PlotNumber,0),MATCH(I$3,PlotTitles,0))&amp;INDEX(PlotData,MATCH($A427,PlotNumber,0),MATCH(J$3,PlotTitles,0))))&gt;(DATEVALUE(CompletionMonth&amp;CompletionYear)),$AB$16,TRUE,"")</f>
        <v/>
      </c>
      <c r="N427" s="104" t="str" cm="1">
        <f t="array" ref="N427">_xlfn.IFS(AND(A427&gt;NumberOfPlots,ISBLANK(INDEX(PlotData,MATCH($A427,PlotNumber,0),MATCH(B$3,PlotTitles,0)))),"",ISBLANK(INDEX(PlotData,MATCH($A427,PlotNumber,0),MATCH(N$3,PlotTitles,0))),$AB$17,TRUE,"")</f>
        <v/>
      </c>
      <c r="O427" s="104" t="str" cm="1">
        <f t="array" ref="O427">_xlfn.IFS(AND(A427&gt;NumberOfPlots,ISBLANK(INDEX(PlotData,MATCH($A427,PlotNumber,0),MATCH(B$3,PlotTitles,0)))),"",ISBLANK(INDEX(PlotData,MATCH($A427,PlotNumber,0),MATCH(O$3,PlotTitles,0))),$AB$18,TRUE,"")</f>
        <v/>
      </c>
      <c r="P427" s="182" t="str">
        <f t="shared" ca="1" si="19"/>
        <v/>
      </c>
      <c r="Q427" s="104" t="str" cm="1">
        <f t="array" ref="Q427">_xlfn.IFS(AND(A427&gt;NumberOfPlots,ISBLANK(INDEX(PlotData,MATCH($A427,PlotNumber,0),MATCH(B$3,PlotTitles,0)))),"",ISBLANK(INDEX(PlotData,MATCH($A427,PlotNumber,0),MATCH(N$3,PlotTitles,0))),"",(DATEVALUE(INDEX(PlotData,MATCH($A427,PlotNumber,0),MATCH(N$3,PlotTitles,0))&amp;INDEX(PlotData,MATCH($A427,PlotNumber,0),MATCH(O$3,PlotTitles,0))))&lt;(DATEVALUE(INDEX(PlotData,MATCH($A427,PlotNumber,0),MATCH(I$3,PlotTitles,0))&amp;INDEX(PlotData,MATCH($A427,PlotNumber,0),MATCH(J$3,PlotTitles,0)))),$AB$20,TRUE,"")</f>
        <v/>
      </c>
      <c r="R427" s="104" t="str" cm="1">
        <f t="array" ref="R427">_xlfn.IFS(OR(ISBLANK(StartDateMonth),ISBLANK(StartDateYear)),"",AND(A427&gt;NumberOfPlots,ISBLANK(INDEX(PlotData,MATCH($A427,PlotNumber,0),MATCH(B$3,PlotTitles,0)))),"",ISBLANK(INDEX(PlotData,MATCH($A427,PlotNumber,0),MATCH(N$3,PlotTitles,0))),"",CompletionMonth="","",(DATEVALUE(INDEX(PlotData,MATCH($A427,PlotNumber,0),MATCH(N$3,PlotTitles,0))&amp;INDEX(PlotData,MATCH($A427,PlotNumber,0),MATCH(O$3,PlotTitles,0))))&gt;(DATEVALUE(CompletionMonth&amp;CompletionYear)),$AB$21,TRUE,"")</f>
        <v/>
      </c>
      <c r="S427" s="104" t="str" cm="1">
        <f t="array" ref="S427">_xlfn.IFS(AND(A427&gt;NumberOfPlots,ISBLANK(INDEX(PlotData,MATCH($A427,PlotNumber,0),MATCH(B$3,PlotTitles,0)))),"",OR(AND(INDEX(PlotData,MATCH($A427,PlotNumber,0),MATCH("Tenure",PlotTitles,0))="Open market housing",INDEX(PlotData,MATCH($A427,PlotNumber,0),MATCH("Tenure detail",PlotTitles,0))="Private rented sector"),INDEX(PlotData,MATCH($A427,PlotNumber,0),MATCH("Tenure",PlotTitles,0))="Affordable rent"),"",ISNUMBER(INDEX(PlotData,MATCH($A427,PlotNumber,0),MATCH(S$3,PlotTitles,0)))=FALSE, $AB$22,TRUE,"")</f>
        <v/>
      </c>
      <c r="T427" s="104" t="str" cm="1">
        <f t="array" ref="T427">_xlfn.IFS(AND(A427&gt;NumberOfPlots,ISBLANK(INDEX(PlotData,MATCH($A427,PlotNumber,0),MATCH(B$3,PlotTitles,0)))),"",OR(AND(INDEX(PlotData,MATCH($A427,PlotNumber,0),MATCH("Tenure",PlotTitles,0))="Open market housing",INDEX(PlotData,MATCH($A427,PlotNumber,0),MATCH("Tenure detail",PlotTitles,0))="Private rented sector"),INDEX(PlotData,MATCH($A427,PlotNumber,0),MATCH("Tenure",PlotTitles,0))="Affordable rent"),"",INDEX(PlotData,MATCH($A427,PlotNumber,0),MATCH(S$3,PlotTitles,0))&lt;10000, $AB$23,TRUE,"")</f>
        <v/>
      </c>
      <c r="U427" s="104" t="str" cm="1">
        <f t="array" ref="U427">_xlfn.IFS(AND(A427&gt;NumberOfPlots,ISBLANK(INDEX(PlotData,MATCH($A427,PlotNumber,0),MATCH(B$3,PlotTitles,0)))),"",NOT(OR(AND(INDEX(PlotData,MATCH($A427,PlotNumber,0),MATCH("Tenure",PlotTitles,0))="Open market housing",INDEX(PlotData,MATCH($A427,PlotNumber,0),MATCH("Tenure detail",PlotTitles,0))="Private rented sector"),INDEX(PlotData,MATCH($A427,PlotNumber,0),MATCH("Tenure",PlotTitles,0))="Affordable rent")),"",NOT(INDEX(PlotData,MATCH($A427,PlotNumber,0),MATCH(S$3,PlotTitles,0))=0), $AB$24,TRUE,"")</f>
        <v/>
      </c>
      <c r="V427" s="114" t="str" cm="1">
        <f t="array" aca="1" ref="V427" ca="1">_xlfn.IFS(ISBLANK(NumberOfPlots),"Enter the number of homes on the 1_SetUp sheet",AND(A427&gt;NumberOfPlots,ISBLANK(INDEX(PlotData,MATCH($A427,PlotNumber,0),MATCH(B$3,PlotTitles,0)))),"No error",NOT(B427=""),B427,NOT(C427=""),C427,NOT(D427=""),D427,NOT(E427=""),E427,NOT(F427=""),F427,NOT(G427=""),G427,NOT(H427=""),H427,NOT(I427=""),I427,NOT(J427=""),J427,NOT(K427=""),K427,NOT(L427=""),L427,NOT(M427=""),M427,NOT(N427=""),N427,NOT(O427=""),O427,NOT(P427=""),P427,NOT(Q427=""),Q427,NOT(R427=""),R427,NOT(S427=""),S427,NOT(T427=""),T427,NOT(U427=""),U427,TRUE,"No error")</f>
        <v>Enter the number of homes on the 1_SetUp sheet</v>
      </c>
      <c r="W427" s="114" t="str">
        <f t="shared" ca="1" si="20"/>
        <v xml:space="preserve">The Borrower has not addressed the following error messages for Home ID 423: </v>
      </c>
    </row>
    <row r="428" spans="1:23">
      <c r="A428" s="123">
        <v>424</v>
      </c>
      <c r="B428" s="104" t="str" cm="1">
        <f t="array" ref="B428">_xlfn.IFS(AND(A428&gt;NumberOfPlots,ISBLANK(INDEX(PlotData,MATCH($A428,PlotNumber,0),MATCH(B$3,PlotTitles,0)))),"",ISNUMBER(INDEX(PlotData,MATCH($A428,PlotNumber,0),MATCH(B$3,PlotTitles,0)))=FALSE, $AB$5,TRUE,"")</f>
        <v/>
      </c>
      <c r="C428" s="104" t="str" cm="1">
        <f t="array" ref="C428">_xlfn.IFS(AND(A428&gt;NumberOfPlots,ISBLANK(INDEX(PlotData,MATCH($A428,PlotNumber,0),MATCH(B$3,PlotTitles,0)))),"",ISBLANK(INDEX(PlotData,MATCH($A428,PlotNumber,0),MATCH(C$3,PlotTitles,0))),$AB$6,TRUE,"")</f>
        <v/>
      </c>
      <c r="D428" s="104" t="str" cm="1">
        <f t="array" ref="D428">_xlfn.IFS(AND(A428&gt;NumberOfPlots,ISBLANK(INDEX(PlotData,MATCH($A428,PlotNumber,0),MATCH(B$3,PlotTitles,0)))),"",ISBLANK(INDEX(PlotData,MATCH($A428,PlotNumber,0),MATCH(D$3,PlotTitles,0))),$AB$7,TRUE,"")</f>
        <v/>
      </c>
      <c r="E428" s="104" t="str" cm="1">
        <f t="array" ref="E428">_xlfn.IFS(AND(A428&gt;NumberOfPlots,ISBLANK(INDEX(PlotData,MATCH($A428,PlotNumber,0),MATCH(B$3,PlotTitles,0)))),"",ISBLANK(INDEX(PlotData,MATCH($A428,PlotNumber,0),MATCH(E$3,PlotTitles,0))),$AB$8,TRUE,"")</f>
        <v/>
      </c>
      <c r="F428" s="104" t="str" cm="1">
        <f t="array" ref="F428">_xlfn.IFS(AND(A428&gt;NumberOfPlots,ISBLANK(INDEX(PlotData,MATCH($A428,PlotNumber,0),MATCH(B$3,PlotTitles,0)))),"",ISBLANK(INDEX(PlotData,MATCH($A428,PlotNumber,0),MATCH(F$3,PlotTitles,0))),$AB$9,TRUE,"")</f>
        <v/>
      </c>
      <c r="G428" s="104" t="str" cm="1">
        <f t="array" ref="G428">_xlfn.IFS(AND(A428&gt;NumberOfPlots,ISBLANK(INDEX(PlotData,MATCH($A428,PlotNumber,0),MATCH(B$3,PlotTitles,0)))),"",ISBLANK(INDEX(PlotData,MATCH($A428,PlotNumber,0),MATCH(G$3,PlotTitles,0))),$AB$10,TRUE,"")</f>
        <v/>
      </c>
      <c r="H428" s="104" t="str" cm="1">
        <f t="array" ref="H428">_xlfn.IFS(AND(A428&gt;NumberOfPlots,ISBLANK(INDEX(PlotData,MATCH($A428,PlotNumber,0),MATCH(B$3,PlotTitles,0)))),"",AND(ISBLANK(INDEX(PlotData,MATCH($A428,PlotNumber,0),MATCH(H$3,PlotTitles,0)))=FALSE,INDEX(PlotData,MATCH($A428,PlotNumber,0),MATCH(H$3,PlotTitles,0))&lt;500), $AB$11,TRUE,"")</f>
        <v/>
      </c>
      <c r="I428" s="104" t="str" cm="1">
        <f t="array" ref="I428">_xlfn.IFS(AND(A428&gt;NumberOfPlots,ISBLANK(INDEX(PlotData,MATCH($A428,PlotNumber,0),MATCH(B$3,PlotTitles,0)))),"",ISBLANK(INDEX(PlotData,MATCH($A428,PlotNumber,0),MATCH(I$3,PlotTitles,0))),$AB$12,TRUE,"")</f>
        <v/>
      </c>
      <c r="J428" s="104" t="str" cm="1">
        <f t="array" ref="J428">_xlfn.IFS(AND(A428&gt;NumberOfPlots,ISBLANK(INDEX(PlotData,MATCH($A428,PlotNumber,0),MATCH(B$3,PlotTitles,0)))),"",ISBLANK(INDEX(PlotData,MATCH($A428,PlotNumber,0),MATCH(J$3,PlotTitles,0))),$AB$13,TRUE,"")</f>
        <v/>
      </c>
      <c r="K428" s="182" t="str">
        <f t="shared" ca="1" si="18"/>
        <v/>
      </c>
      <c r="L428" s="104" t="str" cm="1">
        <f t="array" ref="L428">_xlfn.IFS(OR(ISBLANK(StartDateMonth),ISBLANK(StartDateYear)),"",AND(A428&gt;NumberOfPlots,ISBLANK(INDEX(PlotData,MATCH($A428,PlotNumber,0),MATCH(B$3,PlotTitles,0)))),"",ISBLANK(INDEX(PlotData,MATCH($A428,PlotNumber,0),MATCH(I$3,PlotTitles,0))),"",(DATEVALUE(INDEX(PlotData,MATCH($A428,PlotNumber,0),MATCH(I$3,PlotTitles,0))&amp;INDEX(PlotData,MATCH($A428,PlotNumber,0),MATCH(J$3,PlotTitles,0))))&lt;DATEVALUE(StartDateMonth&amp;StartDateYear),$AB$15,TRUE,"")</f>
        <v/>
      </c>
      <c r="M428" s="104" t="str" cm="1">
        <f t="array" ref="M428">_xlfn.IFS(OR(ISBLANK(StartDateMonth),ISBLANK(StartDateYear)),"",AND(A428&gt;NumberOfPlots,ISBLANK(INDEX(PlotData,MATCH($A428,PlotNumber,0),MATCH(B$3,PlotTitles,0)))),"",ISBLANK(INDEX(PlotData,MATCH($A428,PlotNumber,0),MATCH(I$3,PlotTitles,0))),"",CompletionMonth="","",(DATEVALUE(INDEX(PlotData,MATCH($A428,PlotNumber,0),MATCH(I$3,PlotTitles,0))&amp;INDEX(PlotData,MATCH($A428,PlotNumber,0),MATCH(J$3,PlotTitles,0))))&gt;(DATEVALUE(CompletionMonth&amp;CompletionYear)),$AB$16,TRUE,"")</f>
        <v/>
      </c>
      <c r="N428" s="104" t="str" cm="1">
        <f t="array" ref="N428">_xlfn.IFS(AND(A428&gt;NumberOfPlots,ISBLANK(INDEX(PlotData,MATCH($A428,PlotNumber,0),MATCH(B$3,PlotTitles,0)))),"",ISBLANK(INDEX(PlotData,MATCH($A428,PlotNumber,0),MATCH(N$3,PlotTitles,0))),$AB$17,TRUE,"")</f>
        <v/>
      </c>
      <c r="O428" s="104" t="str" cm="1">
        <f t="array" ref="O428">_xlfn.IFS(AND(A428&gt;NumberOfPlots,ISBLANK(INDEX(PlotData,MATCH($A428,PlotNumber,0),MATCH(B$3,PlotTitles,0)))),"",ISBLANK(INDEX(PlotData,MATCH($A428,PlotNumber,0),MATCH(O$3,PlotTitles,0))),$AB$18,TRUE,"")</f>
        <v/>
      </c>
      <c r="P428" s="182" t="str">
        <f t="shared" ca="1" si="19"/>
        <v/>
      </c>
      <c r="Q428" s="104" t="str" cm="1">
        <f t="array" ref="Q428">_xlfn.IFS(AND(A428&gt;NumberOfPlots,ISBLANK(INDEX(PlotData,MATCH($A428,PlotNumber,0),MATCH(B$3,PlotTitles,0)))),"",ISBLANK(INDEX(PlotData,MATCH($A428,PlotNumber,0),MATCH(N$3,PlotTitles,0))),"",(DATEVALUE(INDEX(PlotData,MATCH($A428,PlotNumber,0),MATCH(N$3,PlotTitles,0))&amp;INDEX(PlotData,MATCH($A428,PlotNumber,0),MATCH(O$3,PlotTitles,0))))&lt;(DATEVALUE(INDEX(PlotData,MATCH($A428,PlotNumber,0),MATCH(I$3,PlotTitles,0))&amp;INDEX(PlotData,MATCH($A428,PlotNumber,0),MATCH(J$3,PlotTitles,0)))),$AB$20,TRUE,"")</f>
        <v/>
      </c>
      <c r="R428" s="104" t="str" cm="1">
        <f t="array" ref="R428">_xlfn.IFS(OR(ISBLANK(StartDateMonth),ISBLANK(StartDateYear)),"",AND(A428&gt;NumberOfPlots,ISBLANK(INDEX(PlotData,MATCH($A428,PlotNumber,0),MATCH(B$3,PlotTitles,0)))),"",ISBLANK(INDEX(PlotData,MATCH($A428,PlotNumber,0),MATCH(N$3,PlotTitles,0))),"",CompletionMonth="","",(DATEVALUE(INDEX(PlotData,MATCH($A428,PlotNumber,0),MATCH(N$3,PlotTitles,0))&amp;INDEX(PlotData,MATCH($A428,PlotNumber,0),MATCH(O$3,PlotTitles,0))))&gt;(DATEVALUE(CompletionMonth&amp;CompletionYear)),$AB$21,TRUE,"")</f>
        <v/>
      </c>
      <c r="S428" s="104" t="str" cm="1">
        <f t="array" ref="S428">_xlfn.IFS(AND(A428&gt;NumberOfPlots,ISBLANK(INDEX(PlotData,MATCH($A428,PlotNumber,0),MATCH(B$3,PlotTitles,0)))),"",OR(AND(INDEX(PlotData,MATCH($A428,PlotNumber,0),MATCH("Tenure",PlotTitles,0))="Open market housing",INDEX(PlotData,MATCH($A428,PlotNumber,0),MATCH("Tenure detail",PlotTitles,0))="Private rented sector"),INDEX(PlotData,MATCH($A428,PlotNumber,0),MATCH("Tenure",PlotTitles,0))="Affordable rent"),"",ISNUMBER(INDEX(PlotData,MATCH($A428,PlotNumber,0),MATCH(S$3,PlotTitles,0)))=FALSE, $AB$22,TRUE,"")</f>
        <v/>
      </c>
      <c r="T428" s="104" t="str" cm="1">
        <f t="array" ref="T428">_xlfn.IFS(AND(A428&gt;NumberOfPlots,ISBLANK(INDEX(PlotData,MATCH($A428,PlotNumber,0),MATCH(B$3,PlotTitles,0)))),"",OR(AND(INDEX(PlotData,MATCH($A428,PlotNumber,0),MATCH("Tenure",PlotTitles,0))="Open market housing",INDEX(PlotData,MATCH($A428,PlotNumber,0),MATCH("Tenure detail",PlotTitles,0))="Private rented sector"),INDEX(PlotData,MATCH($A428,PlotNumber,0),MATCH("Tenure",PlotTitles,0))="Affordable rent"),"",INDEX(PlotData,MATCH($A428,PlotNumber,0),MATCH(S$3,PlotTitles,0))&lt;10000, $AB$23,TRUE,"")</f>
        <v/>
      </c>
      <c r="U428" s="104" t="str" cm="1">
        <f t="array" ref="U428">_xlfn.IFS(AND(A428&gt;NumberOfPlots,ISBLANK(INDEX(PlotData,MATCH($A428,PlotNumber,0),MATCH(B$3,PlotTitles,0)))),"",NOT(OR(AND(INDEX(PlotData,MATCH($A428,PlotNumber,0),MATCH("Tenure",PlotTitles,0))="Open market housing",INDEX(PlotData,MATCH($A428,PlotNumber,0),MATCH("Tenure detail",PlotTitles,0))="Private rented sector"),INDEX(PlotData,MATCH($A428,PlotNumber,0),MATCH("Tenure",PlotTitles,0))="Affordable rent")),"",NOT(INDEX(PlotData,MATCH($A428,PlotNumber,0),MATCH(S$3,PlotTitles,0))=0), $AB$24,TRUE,"")</f>
        <v/>
      </c>
      <c r="V428" s="114" t="str" cm="1">
        <f t="array" aca="1" ref="V428" ca="1">_xlfn.IFS(ISBLANK(NumberOfPlots),"Enter the number of homes on the 1_SetUp sheet",AND(A428&gt;NumberOfPlots,ISBLANK(INDEX(PlotData,MATCH($A428,PlotNumber,0),MATCH(B$3,PlotTitles,0)))),"No error",NOT(B428=""),B428,NOT(C428=""),C428,NOT(D428=""),D428,NOT(E428=""),E428,NOT(F428=""),F428,NOT(G428=""),G428,NOT(H428=""),H428,NOT(I428=""),I428,NOT(J428=""),J428,NOT(K428=""),K428,NOT(L428=""),L428,NOT(M428=""),M428,NOT(N428=""),N428,NOT(O428=""),O428,NOT(P428=""),P428,NOT(Q428=""),Q428,NOT(R428=""),R428,NOT(S428=""),S428,NOT(T428=""),T428,NOT(U428=""),U428,TRUE,"No error")</f>
        <v>Enter the number of homes on the 1_SetUp sheet</v>
      </c>
      <c r="W428" s="114" t="str">
        <f t="shared" ca="1" si="20"/>
        <v xml:space="preserve">The Borrower has not addressed the following error messages for Home ID 424: </v>
      </c>
    </row>
    <row r="429" spans="1:23">
      <c r="A429" s="123">
        <v>425</v>
      </c>
      <c r="B429" s="104" t="str" cm="1">
        <f t="array" ref="B429">_xlfn.IFS(AND(A429&gt;NumberOfPlots,ISBLANK(INDEX(PlotData,MATCH($A429,PlotNumber,0),MATCH(B$3,PlotTitles,0)))),"",ISNUMBER(INDEX(PlotData,MATCH($A429,PlotNumber,0),MATCH(B$3,PlotTitles,0)))=FALSE, $AB$5,TRUE,"")</f>
        <v/>
      </c>
      <c r="C429" s="104" t="str" cm="1">
        <f t="array" ref="C429">_xlfn.IFS(AND(A429&gt;NumberOfPlots,ISBLANK(INDEX(PlotData,MATCH($A429,PlotNumber,0),MATCH(B$3,PlotTitles,0)))),"",ISBLANK(INDEX(PlotData,MATCH($A429,PlotNumber,0),MATCH(C$3,PlotTitles,0))),$AB$6,TRUE,"")</f>
        <v/>
      </c>
      <c r="D429" s="104" t="str" cm="1">
        <f t="array" ref="D429">_xlfn.IFS(AND(A429&gt;NumberOfPlots,ISBLANK(INDEX(PlotData,MATCH($A429,PlotNumber,0),MATCH(B$3,PlotTitles,0)))),"",ISBLANK(INDEX(PlotData,MATCH($A429,PlotNumber,0),MATCH(D$3,PlotTitles,0))),$AB$7,TRUE,"")</f>
        <v/>
      </c>
      <c r="E429" s="104" t="str" cm="1">
        <f t="array" ref="E429">_xlfn.IFS(AND(A429&gt;NumberOfPlots,ISBLANK(INDEX(PlotData,MATCH($A429,PlotNumber,0),MATCH(B$3,PlotTitles,0)))),"",ISBLANK(INDEX(PlotData,MATCH($A429,PlotNumber,0),MATCH(E$3,PlotTitles,0))),$AB$8,TRUE,"")</f>
        <v/>
      </c>
      <c r="F429" s="104" t="str" cm="1">
        <f t="array" ref="F429">_xlfn.IFS(AND(A429&gt;NumberOfPlots,ISBLANK(INDEX(PlotData,MATCH($A429,PlotNumber,0),MATCH(B$3,PlotTitles,0)))),"",ISBLANK(INDEX(PlotData,MATCH($A429,PlotNumber,0),MATCH(F$3,PlotTitles,0))),$AB$9,TRUE,"")</f>
        <v/>
      </c>
      <c r="G429" s="104" t="str" cm="1">
        <f t="array" ref="G429">_xlfn.IFS(AND(A429&gt;NumberOfPlots,ISBLANK(INDEX(PlotData,MATCH($A429,PlotNumber,0),MATCH(B$3,PlotTitles,0)))),"",ISBLANK(INDEX(PlotData,MATCH($A429,PlotNumber,0),MATCH(G$3,PlotTitles,0))),$AB$10,TRUE,"")</f>
        <v/>
      </c>
      <c r="H429" s="104" t="str" cm="1">
        <f t="array" ref="H429">_xlfn.IFS(AND(A429&gt;NumberOfPlots,ISBLANK(INDEX(PlotData,MATCH($A429,PlotNumber,0),MATCH(B$3,PlotTitles,0)))),"",AND(ISBLANK(INDEX(PlotData,MATCH($A429,PlotNumber,0),MATCH(H$3,PlotTitles,0)))=FALSE,INDEX(PlotData,MATCH($A429,PlotNumber,0),MATCH(H$3,PlotTitles,0))&lt;500), $AB$11,TRUE,"")</f>
        <v/>
      </c>
      <c r="I429" s="104" t="str" cm="1">
        <f t="array" ref="I429">_xlfn.IFS(AND(A429&gt;NumberOfPlots,ISBLANK(INDEX(PlotData,MATCH($A429,PlotNumber,0),MATCH(B$3,PlotTitles,0)))),"",ISBLANK(INDEX(PlotData,MATCH($A429,PlotNumber,0),MATCH(I$3,PlotTitles,0))),$AB$12,TRUE,"")</f>
        <v/>
      </c>
      <c r="J429" s="104" t="str" cm="1">
        <f t="array" ref="J429">_xlfn.IFS(AND(A429&gt;NumberOfPlots,ISBLANK(INDEX(PlotData,MATCH($A429,PlotNumber,0),MATCH(B$3,PlotTitles,0)))),"",ISBLANK(INDEX(PlotData,MATCH($A429,PlotNumber,0),MATCH(J$3,PlotTitles,0))),$AB$13,TRUE,"")</f>
        <v/>
      </c>
      <c r="K429" s="182" t="str">
        <f t="shared" ca="1" si="18"/>
        <v/>
      </c>
      <c r="L429" s="104" t="str" cm="1">
        <f t="array" ref="L429">_xlfn.IFS(OR(ISBLANK(StartDateMonth),ISBLANK(StartDateYear)),"",AND(A429&gt;NumberOfPlots,ISBLANK(INDEX(PlotData,MATCH($A429,PlotNumber,0),MATCH(B$3,PlotTitles,0)))),"",ISBLANK(INDEX(PlotData,MATCH($A429,PlotNumber,0),MATCH(I$3,PlotTitles,0))),"",(DATEVALUE(INDEX(PlotData,MATCH($A429,PlotNumber,0),MATCH(I$3,PlotTitles,0))&amp;INDEX(PlotData,MATCH($A429,PlotNumber,0),MATCH(J$3,PlotTitles,0))))&lt;DATEVALUE(StartDateMonth&amp;StartDateYear),$AB$15,TRUE,"")</f>
        <v/>
      </c>
      <c r="M429" s="104" t="str" cm="1">
        <f t="array" ref="M429">_xlfn.IFS(OR(ISBLANK(StartDateMonth),ISBLANK(StartDateYear)),"",AND(A429&gt;NumberOfPlots,ISBLANK(INDEX(PlotData,MATCH($A429,PlotNumber,0),MATCH(B$3,PlotTitles,0)))),"",ISBLANK(INDEX(PlotData,MATCH($A429,PlotNumber,0),MATCH(I$3,PlotTitles,0))),"",CompletionMonth="","",(DATEVALUE(INDEX(PlotData,MATCH($A429,PlotNumber,0),MATCH(I$3,PlotTitles,0))&amp;INDEX(PlotData,MATCH($A429,PlotNumber,0),MATCH(J$3,PlotTitles,0))))&gt;(DATEVALUE(CompletionMonth&amp;CompletionYear)),$AB$16,TRUE,"")</f>
        <v/>
      </c>
      <c r="N429" s="104" t="str" cm="1">
        <f t="array" ref="N429">_xlfn.IFS(AND(A429&gt;NumberOfPlots,ISBLANK(INDEX(PlotData,MATCH($A429,PlotNumber,0),MATCH(B$3,PlotTitles,0)))),"",ISBLANK(INDEX(PlotData,MATCH($A429,PlotNumber,0),MATCH(N$3,PlotTitles,0))),$AB$17,TRUE,"")</f>
        <v/>
      </c>
      <c r="O429" s="104" t="str" cm="1">
        <f t="array" ref="O429">_xlfn.IFS(AND(A429&gt;NumberOfPlots,ISBLANK(INDEX(PlotData,MATCH($A429,PlotNumber,0),MATCH(B$3,PlotTitles,0)))),"",ISBLANK(INDEX(PlotData,MATCH($A429,PlotNumber,0),MATCH(O$3,PlotTitles,0))),$AB$18,TRUE,"")</f>
        <v/>
      </c>
      <c r="P429" s="182" t="str">
        <f t="shared" ca="1" si="19"/>
        <v/>
      </c>
      <c r="Q429" s="104" t="str" cm="1">
        <f t="array" ref="Q429">_xlfn.IFS(AND(A429&gt;NumberOfPlots,ISBLANK(INDEX(PlotData,MATCH($A429,PlotNumber,0),MATCH(B$3,PlotTitles,0)))),"",ISBLANK(INDEX(PlotData,MATCH($A429,PlotNumber,0),MATCH(N$3,PlotTitles,0))),"",(DATEVALUE(INDEX(PlotData,MATCH($A429,PlotNumber,0),MATCH(N$3,PlotTitles,0))&amp;INDEX(PlotData,MATCH($A429,PlotNumber,0),MATCH(O$3,PlotTitles,0))))&lt;(DATEVALUE(INDEX(PlotData,MATCH($A429,PlotNumber,0),MATCH(I$3,PlotTitles,0))&amp;INDEX(PlotData,MATCH($A429,PlotNumber,0),MATCH(J$3,PlotTitles,0)))),$AB$20,TRUE,"")</f>
        <v/>
      </c>
      <c r="R429" s="104" t="str" cm="1">
        <f t="array" ref="R429">_xlfn.IFS(OR(ISBLANK(StartDateMonth),ISBLANK(StartDateYear)),"",AND(A429&gt;NumberOfPlots,ISBLANK(INDEX(PlotData,MATCH($A429,PlotNumber,0),MATCH(B$3,PlotTitles,0)))),"",ISBLANK(INDEX(PlotData,MATCH($A429,PlotNumber,0),MATCH(N$3,PlotTitles,0))),"",CompletionMonth="","",(DATEVALUE(INDEX(PlotData,MATCH($A429,PlotNumber,0),MATCH(N$3,PlotTitles,0))&amp;INDEX(PlotData,MATCH($A429,PlotNumber,0),MATCH(O$3,PlotTitles,0))))&gt;(DATEVALUE(CompletionMonth&amp;CompletionYear)),$AB$21,TRUE,"")</f>
        <v/>
      </c>
      <c r="S429" s="104" t="str" cm="1">
        <f t="array" ref="S429">_xlfn.IFS(AND(A429&gt;NumberOfPlots,ISBLANK(INDEX(PlotData,MATCH($A429,PlotNumber,0),MATCH(B$3,PlotTitles,0)))),"",OR(AND(INDEX(PlotData,MATCH($A429,PlotNumber,0),MATCH("Tenure",PlotTitles,0))="Open market housing",INDEX(PlotData,MATCH($A429,PlotNumber,0),MATCH("Tenure detail",PlotTitles,0))="Private rented sector"),INDEX(PlotData,MATCH($A429,PlotNumber,0),MATCH("Tenure",PlotTitles,0))="Affordable rent"),"",ISNUMBER(INDEX(PlotData,MATCH($A429,PlotNumber,0),MATCH(S$3,PlotTitles,0)))=FALSE, $AB$22,TRUE,"")</f>
        <v/>
      </c>
      <c r="T429" s="104" t="str" cm="1">
        <f t="array" ref="T429">_xlfn.IFS(AND(A429&gt;NumberOfPlots,ISBLANK(INDEX(PlotData,MATCH($A429,PlotNumber,0),MATCH(B$3,PlotTitles,0)))),"",OR(AND(INDEX(PlotData,MATCH($A429,PlotNumber,0),MATCH("Tenure",PlotTitles,0))="Open market housing",INDEX(PlotData,MATCH($A429,PlotNumber,0),MATCH("Tenure detail",PlotTitles,0))="Private rented sector"),INDEX(PlotData,MATCH($A429,PlotNumber,0),MATCH("Tenure",PlotTitles,0))="Affordable rent"),"",INDEX(PlotData,MATCH($A429,PlotNumber,0),MATCH(S$3,PlotTitles,0))&lt;10000, $AB$23,TRUE,"")</f>
        <v/>
      </c>
      <c r="U429" s="104" t="str" cm="1">
        <f t="array" ref="U429">_xlfn.IFS(AND(A429&gt;NumberOfPlots,ISBLANK(INDEX(PlotData,MATCH($A429,PlotNumber,0),MATCH(B$3,PlotTitles,0)))),"",NOT(OR(AND(INDEX(PlotData,MATCH($A429,PlotNumber,0),MATCH("Tenure",PlotTitles,0))="Open market housing",INDEX(PlotData,MATCH($A429,PlotNumber,0),MATCH("Tenure detail",PlotTitles,0))="Private rented sector"),INDEX(PlotData,MATCH($A429,PlotNumber,0),MATCH("Tenure",PlotTitles,0))="Affordable rent")),"",NOT(INDEX(PlotData,MATCH($A429,PlotNumber,0),MATCH(S$3,PlotTitles,0))=0), $AB$24,TRUE,"")</f>
        <v/>
      </c>
      <c r="V429" s="114" t="str" cm="1">
        <f t="array" aca="1" ref="V429" ca="1">_xlfn.IFS(ISBLANK(NumberOfPlots),"Enter the number of homes on the 1_SetUp sheet",AND(A429&gt;NumberOfPlots,ISBLANK(INDEX(PlotData,MATCH($A429,PlotNumber,0),MATCH(B$3,PlotTitles,0)))),"No error",NOT(B429=""),B429,NOT(C429=""),C429,NOT(D429=""),D429,NOT(E429=""),E429,NOT(F429=""),F429,NOT(G429=""),G429,NOT(H429=""),H429,NOT(I429=""),I429,NOT(J429=""),J429,NOT(K429=""),K429,NOT(L429=""),L429,NOT(M429=""),M429,NOT(N429=""),N429,NOT(O429=""),O429,NOT(P429=""),P429,NOT(Q429=""),Q429,NOT(R429=""),R429,NOT(S429=""),S429,NOT(T429=""),T429,NOT(U429=""),U429,TRUE,"No error")</f>
        <v>Enter the number of homes on the 1_SetUp sheet</v>
      </c>
      <c r="W429" s="114" t="str">
        <f t="shared" ca="1" si="20"/>
        <v xml:space="preserve">The Borrower has not addressed the following error messages for Home ID 425: </v>
      </c>
    </row>
    <row r="430" spans="1:23">
      <c r="A430" s="123">
        <v>426</v>
      </c>
      <c r="B430" s="104" t="str" cm="1">
        <f t="array" ref="B430">_xlfn.IFS(AND(A430&gt;NumberOfPlots,ISBLANK(INDEX(PlotData,MATCH($A430,PlotNumber,0),MATCH(B$3,PlotTitles,0)))),"",ISNUMBER(INDEX(PlotData,MATCH($A430,PlotNumber,0),MATCH(B$3,PlotTitles,0)))=FALSE, $AB$5,TRUE,"")</f>
        <v/>
      </c>
      <c r="C430" s="104" t="str" cm="1">
        <f t="array" ref="C430">_xlfn.IFS(AND(A430&gt;NumberOfPlots,ISBLANK(INDEX(PlotData,MATCH($A430,PlotNumber,0),MATCH(B$3,PlotTitles,0)))),"",ISBLANK(INDEX(PlotData,MATCH($A430,PlotNumber,0),MATCH(C$3,PlotTitles,0))),$AB$6,TRUE,"")</f>
        <v/>
      </c>
      <c r="D430" s="104" t="str" cm="1">
        <f t="array" ref="D430">_xlfn.IFS(AND(A430&gt;NumberOfPlots,ISBLANK(INDEX(PlotData,MATCH($A430,PlotNumber,0),MATCH(B$3,PlotTitles,0)))),"",ISBLANK(INDEX(PlotData,MATCH($A430,PlotNumber,0),MATCH(D$3,PlotTitles,0))),$AB$7,TRUE,"")</f>
        <v/>
      </c>
      <c r="E430" s="104" t="str" cm="1">
        <f t="array" ref="E430">_xlfn.IFS(AND(A430&gt;NumberOfPlots,ISBLANK(INDEX(PlotData,MATCH($A430,PlotNumber,0),MATCH(B$3,PlotTitles,0)))),"",ISBLANK(INDEX(PlotData,MATCH($A430,PlotNumber,0),MATCH(E$3,PlotTitles,0))),$AB$8,TRUE,"")</f>
        <v/>
      </c>
      <c r="F430" s="104" t="str" cm="1">
        <f t="array" ref="F430">_xlfn.IFS(AND(A430&gt;NumberOfPlots,ISBLANK(INDEX(PlotData,MATCH($A430,PlotNumber,0),MATCH(B$3,PlotTitles,0)))),"",ISBLANK(INDEX(PlotData,MATCH($A430,PlotNumber,0),MATCH(F$3,PlotTitles,0))),$AB$9,TRUE,"")</f>
        <v/>
      </c>
      <c r="G430" s="104" t="str" cm="1">
        <f t="array" ref="G430">_xlfn.IFS(AND(A430&gt;NumberOfPlots,ISBLANK(INDEX(PlotData,MATCH($A430,PlotNumber,0),MATCH(B$3,PlotTitles,0)))),"",ISBLANK(INDEX(PlotData,MATCH($A430,PlotNumber,0),MATCH(G$3,PlotTitles,0))),$AB$10,TRUE,"")</f>
        <v/>
      </c>
      <c r="H430" s="104" t="str" cm="1">
        <f t="array" ref="H430">_xlfn.IFS(AND(A430&gt;NumberOfPlots,ISBLANK(INDEX(PlotData,MATCH($A430,PlotNumber,0),MATCH(B$3,PlotTitles,0)))),"",AND(ISBLANK(INDEX(PlotData,MATCH($A430,PlotNumber,0),MATCH(H$3,PlotTitles,0)))=FALSE,INDEX(PlotData,MATCH($A430,PlotNumber,0),MATCH(H$3,PlotTitles,0))&lt;500), $AB$11,TRUE,"")</f>
        <v/>
      </c>
      <c r="I430" s="104" t="str" cm="1">
        <f t="array" ref="I430">_xlfn.IFS(AND(A430&gt;NumberOfPlots,ISBLANK(INDEX(PlotData,MATCH($A430,PlotNumber,0),MATCH(B$3,PlotTitles,0)))),"",ISBLANK(INDEX(PlotData,MATCH($A430,PlotNumber,0),MATCH(I$3,PlotTitles,0))),$AB$12,TRUE,"")</f>
        <v/>
      </c>
      <c r="J430" s="104" t="str" cm="1">
        <f t="array" ref="J430">_xlfn.IFS(AND(A430&gt;NumberOfPlots,ISBLANK(INDEX(PlotData,MATCH($A430,PlotNumber,0),MATCH(B$3,PlotTitles,0)))),"",ISBLANK(INDEX(PlotData,MATCH($A430,PlotNumber,0),MATCH(J$3,PlotTitles,0))),$AB$13,TRUE,"")</f>
        <v/>
      </c>
      <c r="K430" s="182" t="str">
        <f t="shared" ca="1" si="18"/>
        <v/>
      </c>
      <c r="L430" s="104" t="str" cm="1">
        <f t="array" ref="L430">_xlfn.IFS(OR(ISBLANK(StartDateMonth),ISBLANK(StartDateYear)),"",AND(A430&gt;NumberOfPlots,ISBLANK(INDEX(PlotData,MATCH($A430,PlotNumber,0),MATCH(B$3,PlotTitles,0)))),"",ISBLANK(INDEX(PlotData,MATCH($A430,PlotNumber,0),MATCH(I$3,PlotTitles,0))),"",(DATEVALUE(INDEX(PlotData,MATCH($A430,PlotNumber,0),MATCH(I$3,PlotTitles,0))&amp;INDEX(PlotData,MATCH($A430,PlotNumber,0),MATCH(J$3,PlotTitles,0))))&lt;DATEVALUE(StartDateMonth&amp;StartDateYear),$AB$15,TRUE,"")</f>
        <v/>
      </c>
      <c r="M430" s="104" t="str" cm="1">
        <f t="array" ref="M430">_xlfn.IFS(OR(ISBLANK(StartDateMonth),ISBLANK(StartDateYear)),"",AND(A430&gt;NumberOfPlots,ISBLANK(INDEX(PlotData,MATCH($A430,PlotNumber,0),MATCH(B$3,PlotTitles,0)))),"",ISBLANK(INDEX(PlotData,MATCH($A430,PlotNumber,0),MATCH(I$3,PlotTitles,0))),"",CompletionMonth="","",(DATEVALUE(INDEX(PlotData,MATCH($A430,PlotNumber,0),MATCH(I$3,PlotTitles,0))&amp;INDEX(PlotData,MATCH($A430,PlotNumber,0),MATCH(J$3,PlotTitles,0))))&gt;(DATEVALUE(CompletionMonth&amp;CompletionYear)),$AB$16,TRUE,"")</f>
        <v/>
      </c>
      <c r="N430" s="104" t="str" cm="1">
        <f t="array" ref="N430">_xlfn.IFS(AND(A430&gt;NumberOfPlots,ISBLANK(INDEX(PlotData,MATCH($A430,PlotNumber,0),MATCH(B$3,PlotTitles,0)))),"",ISBLANK(INDEX(PlotData,MATCH($A430,PlotNumber,0),MATCH(N$3,PlotTitles,0))),$AB$17,TRUE,"")</f>
        <v/>
      </c>
      <c r="O430" s="104" t="str" cm="1">
        <f t="array" ref="O430">_xlfn.IFS(AND(A430&gt;NumberOfPlots,ISBLANK(INDEX(PlotData,MATCH($A430,PlotNumber,0),MATCH(B$3,PlotTitles,0)))),"",ISBLANK(INDEX(PlotData,MATCH($A430,PlotNumber,0),MATCH(O$3,PlotTitles,0))),$AB$18,TRUE,"")</f>
        <v/>
      </c>
      <c r="P430" s="182" t="str">
        <f t="shared" ca="1" si="19"/>
        <v/>
      </c>
      <c r="Q430" s="104" t="str" cm="1">
        <f t="array" ref="Q430">_xlfn.IFS(AND(A430&gt;NumberOfPlots,ISBLANK(INDEX(PlotData,MATCH($A430,PlotNumber,0),MATCH(B$3,PlotTitles,0)))),"",ISBLANK(INDEX(PlotData,MATCH($A430,PlotNumber,0),MATCH(N$3,PlotTitles,0))),"",(DATEVALUE(INDEX(PlotData,MATCH($A430,PlotNumber,0),MATCH(N$3,PlotTitles,0))&amp;INDEX(PlotData,MATCH($A430,PlotNumber,0),MATCH(O$3,PlotTitles,0))))&lt;(DATEVALUE(INDEX(PlotData,MATCH($A430,PlotNumber,0),MATCH(I$3,PlotTitles,0))&amp;INDEX(PlotData,MATCH($A430,PlotNumber,0),MATCH(J$3,PlotTitles,0)))),$AB$20,TRUE,"")</f>
        <v/>
      </c>
      <c r="R430" s="104" t="str" cm="1">
        <f t="array" ref="R430">_xlfn.IFS(OR(ISBLANK(StartDateMonth),ISBLANK(StartDateYear)),"",AND(A430&gt;NumberOfPlots,ISBLANK(INDEX(PlotData,MATCH($A430,PlotNumber,0),MATCH(B$3,PlotTitles,0)))),"",ISBLANK(INDEX(PlotData,MATCH($A430,PlotNumber,0),MATCH(N$3,PlotTitles,0))),"",CompletionMonth="","",(DATEVALUE(INDEX(PlotData,MATCH($A430,PlotNumber,0),MATCH(N$3,PlotTitles,0))&amp;INDEX(PlotData,MATCH($A430,PlotNumber,0),MATCH(O$3,PlotTitles,0))))&gt;(DATEVALUE(CompletionMonth&amp;CompletionYear)),$AB$21,TRUE,"")</f>
        <v/>
      </c>
      <c r="S430" s="104" t="str" cm="1">
        <f t="array" ref="S430">_xlfn.IFS(AND(A430&gt;NumberOfPlots,ISBLANK(INDEX(PlotData,MATCH($A430,PlotNumber,0),MATCH(B$3,PlotTitles,0)))),"",OR(AND(INDEX(PlotData,MATCH($A430,PlotNumber,0),MATCH("Tenure",PlotTitles,0))="Open market housing",INDEX(PlotData,MATCH($A430,PlotNumber,0),MATCH("Tenure detail",PlotTitles,0))="Private rented sector"),INDEX(PlotData,MATCH($A430,PlotNumber,0),MATCH("Tenure",PlotTitles,0))="Affordable rent"),"",ISNUMBER(INDEX(PlotData,MATCH($A430,PlotNumber,0),MATCH(S$3,PlotTitles,0)))=FALSE, $AB$22,TRUE,"")</f>
        <v/>
      </c>
      <c r="T430" s="104" t="str" cm="1">
        <f t="array" ref="T430">_xlfn.IFS(AND(A430&gt;NumberOfPlots,ISBLANK(INDEX(PlotData,MATCH($A430,PlotNumber,0),MATCH(B$3,PlotTitles,0)))),"",OR(AND(INDEX(PlotData,MATCH($A430,PlotNumber,0),MATCH("Tenure",PlotTitles,0))="Open market housing",INDEX(PlotData,MATCH($A430,PlotNumber,0),MATCH("Tenure detail",PlotTitles,0))="Private rented sector"),INDEX(PlotData,MATCH($A430,PlotNumber,0),MATCH("Tenure",PlotTitles,0))="Affordable rent"),"",INDEX(PlotData,MATCH($A430,PlotNumber,0),MATCH(S$3,PlotTitles,0))&lt;10000, $AB$23,TRUE,"")</f>
        <v/>
      </c>
      <c r="U430" s="104" t="str" cm="1">
        <f t="array" ref="U430">_xlfn.IFS(AND(A430&gt;NumberOfPlots,ISBLANK(INDEX(PlotData,MATCH($A430,PlotNumber,0),MATCH(B$3,PlotTitles,0)))),"",NOT(OR(AND(INDEX(PlotData,MATCH($A430,PlotNumber,0),MATCH("Tenure",PlotTitles,0))="Open market housing",INDEX(PlotData,MATCH($A430,PlotNumber,0),MATCH("Tenure detail",PlotTitles,0))="Private rented sector"),INDEX(PlotData,MATCH($A430,PlotNumber,0),MATCH("Tenure",PlotTitles,0))="Affordable rent")),"",NOT(INDEX(PlotData,MATCH($A430,PlotNumber,0),MATCH(S$3,PlotTitles,0))=0), $AB$24,TRUE,"")</f>
        <v/>
      </c>
      <c r="V430" s="114" t="str" cm="1">
        <f t="array" aca="1" ref="V430" ca="1">_xlfn.IFS(ISBLANK(NumberOfPlots),"Enter the number of homes on the 1_SetUp sheet",AND(A430&gt;NumberOfPlots,ISBLANK(INDEX(PlotData,MATCH($A430,PlotNumber,0),MATCH(B$3,PlotTitles,0)))),"No error",NOT(B430=""),B430,NOT(C430=""),C430,NOT(D430=""),D430,NOT(E430=""),E430,NOT(F430=""),F430,NOT(G430=""),G430,NOT(H430=""),H430,NOT(I430=""),I430,NOT(J430=""),J430,NOT(K430=""),K430,NOT(L430=""),L430,NOT(M430=""),M430,NOT(N430=""),N430,NOT(O430=""),O430,NOT(P430=""),P430,NOT(Q430=""),Q430,NOT(R430=""),R430,NOT(S430=""),S430,NOT(T430=""),T430,NOT(U430=""),U430,TRUE,"No error")</f>
        <v>Enter the number of homes on the 1_SetUp sheet</v>
      </c>
      <c r="W430" s="114" t="str">
        <f t="shared" ca="1" si="20"/>
        <v xml:space="preserve">The Borrower has not addressed the following error messages for Home ID 426: </v>
      </c>
    </row>
    <row r="431" spans="1:23">
      <c r="A431" s="123">
        <v>427</v>
      </c>
      <c r="B431" s="104" t="str" cm="1">
        <f t="array" ref="B431">_xlfn.IFS(AND(A431&gt;NumberOfPlots,ISBLANK(INDEX(PlotData,MATCH($A431,PlotNumber,0),MATCH(B$3,PlotTitles,0)))),"",ISNUMBER(INDEX(PlotData,MATCH($A431,PlotNumber,0),MATCH(B$3,PlotTitles,0)))=FALSE, $AB$5,TRUE,"")</f>
        <v/>
      </c>
      <c r="C431" s="104" t="str" cm="1">
        <f t="array" ref="C431">_xlfn.IFS(AND(A431&gt;NumberOfPlots,ISBLANK(INDEX(PlotData,MATCH($A431,PlotNumber,0),MATCH(B$3,PlotTitles,0)))),"",ISBLANK(INDEX(PlotData,MATCH($A431,PlotNumber,0),MATCH(C$3,PlotTitles,0))),$AB$6,TRUE,"")</f>
        <v/>
      </c>
      <c r="D431" s="104" t="str" cm="1">
        <f t="array" ref="D431">_xlfn.IFS(AND(A431&gt;NumberOfPlots,ISBLANK(INDEX(PlotData,MATCH($A431,PlotNumber,0),MATCH(B$3,PlotTitles,0)))),"",ISBLANK(INDEX(PlotData,MATCH($A431,PlotNumber,0),MATCH(D$3,PlotTitles,0))),$AB$7,TRUE,"")</f>
        <v/>
      </c>
      <c r="E431" s="104" t="str" cm="1">
        <f t="array" ref="E431">_xlfn.IFS(AND(A431&gt;NumberOfPlots,ISBLANK(INDEX(PlotData,MATCH($A431,PlotNumber,0),MATCH(B$3,PlotTitles,0)))),"",ISBLANK(INDEX(PlotData,MATCH($A431,PlotNumber,0),MATCH(E$3,PlotTitles,0))),$AB$8,TRUE,"")</f>
        <v/>
      </c>
      <c r="F431" s="104" t="str" cm="1">
        <f t="array" ref="F431">_xlfn.IFS(AND(A431&gt;NumberOfPlots,ISBLANK(INDEX(PlotData,MATCH($A431,PlotNumber,0),MATCH(B$3,PlotTitles,0)))),"",ISBLANK(INDEX(PlotData,MATCH($A431,PlotNumber,0),MATCH(F$3,PlotTitles,0))),$AB$9,TRUE,"")</f>
        <v/>
      </c>
      <c r="G431" s="104" t="str" cm="1">
        <f t="array" ref="G431">_xlfn.IFS(AND(A431&gt;NumberOfPlots,ISBLANK(INDEX(PlotData,MATCH($A431,PlotNumber,0),MATCH(B$3,PlotTitles,0)))),"",ISBLANK(INDEX(PlotData,MATCH($A431,PlotNumber,0),MATCH(G$3,PlotTitles,0))),$AB$10,TRUE,"")</f>
        <v/>
      </c>
      <c r="H431" s="104" t="str" cm="1">
        <f t="array" ref="H431">_xlfn.IFS(AND(A431&gt;NumberOfPlots,ISBLANK(INDEX(PlotData,MATCH($A431,PlotNumber,0),MATCH(B$3,PlotTitles,0)))),"",AND(ISBLANK(INDEX(PlotData,MATCH($A431,PlotNumber,0),MATCH(H$3,PlotTitles,0)))=FALSE,INDEX(PlotData,MATCH($A431,PlotNumber,0),MATCH(H$3,PlotTitles,0))&lt;500), $AB$11,TRUE,"")</f>
        <v/>
      </c>
      <c r="I431" s="104" t="str" cm="1">
        <f t="array" ref="I431">_xlfn.IFS(AND(A431&gt;NumberOfPlots,ISBLANK(INDEX(PlotData,MATCH($A431,PlotNumber,0),MATCH(B$3,PlotTitles,0)))),"",ISBLANK(INDEX(PlotData,MATCH($A431,PlotNumber,0),MATCH(I$3,PlotTitles,0))),$AB$12,TRUE,"")</f>
        <v/>
      </c>
      <c r="J431" s="104" t="str" cm="1">
        <f t="array" ref="J431">_xlfn.IFS(AND(A431&gt;NumberOfPlots,ISBLANK(INDEX(PlotData,MATCH($A431,PlotNumber,0),MATCH(B$3,PlotTitles,0)))),"",ISBLANK(INDEX(PlotData,MATCH($A431,PlotNumber,0),MATCH(J$3,PlotTitles,0))),$AB$13,TRUE,"")</f>
        <v/>
      </c>
      <c r="K431" s="182" t="str">
        <f t="shared" ca="1" si="18"/>
        <v/>
      </c>
      <c r="L431" s="104" t="str" cm="1">
        <f t="array" ref="L431">_xlfn.IFS(OR(ISBLANK(StartDateMonth),ISBLANK(StartDateYear)),"",AND(A431&gt;NumberOfPlots,ISBLANK(INDEX(PlotData,MATCH($A431,PlotNumber,0),MATCH(B$3,PlotTitles,0)))),"",ISBLANK(INDEX(PlotData,MATCH($A431,PlotNumber,0),MATCH(I$3,PlotTitles,0))),"",(DATEVALUE(INDEX(PlotData,MATCH($A431,PlotNumber,0),MATCH(I$3,PlotTitles,0))&amp;INDEX(PlotData,MATCH($A431,PlotNumber,0),MATCH(J$3,PlotTitles,0))))&lt;DATEVALUE(StartDateMonth&amp;StartDateYear),$AB$15,TRUE,"")</f>
        <v/>
      </c>
      <c r="M431" s="104" t="str" cm="1">
        <f t="array" ref="M431">_xlfn.IFS(OR(ISBLANK(StartDateMonth),ISBLANK(StartDateYear)),"",AND(A431&gt;NumberOfPlots,ISBLANK(INDEX(PlotData,MATCH($A431,PlotNumber,0),MATCH(B$3,PlotTitles,0)))),"",ISBLANK(INDEX(PlotData,MATCH($A431,PlotNumber,0),MATCH(I$3,PlotTitles,0))),"",CompletionMonth="","",(DATEVALUE(INDEX(PlotData,MATCH($A431,PlotNumber,0),MATCH(I$3,PlotTitles,0))&amp;INDEX(PlotData,MATCH($A431,PlotNumber,0),MATCH(J$3,PlotTitles,0))))&gt;(DATEVALUE(CompletionMonth&amp;CompletionYear)),$AB$16,TRUE,"")</f>
        <v/>
      </c>
      <c r="N431" s="104" t="str" cm="1">
        <f t="array" ref="N431">_xlfn.IFS(AND(A431&gt;NumberOfPlots,ISBLANK(INDEX(PlotData,MATCH($A431,PlotNumber,0),MATCH(B$3,PlotTitles,0)))),"",ISBLANK(INDEX(PlotData,MATCH($A431,PlotNumber,0),MATCH(N$3,PlotTitles,0))),$AB$17,TRUE,"")</f>
        <v/>
      </c>
      <c r="O431" s="104" t="str" cm="1">
        <f t="array" ref="O431">_xlfn.IFS(AND(A431&gt;NumberOfPlots,ISBLANK(INDEX(PlotData,MATCH($A431,PlotNumber,0),MATCH(B$3,PlotTitles,0)))),"",ISBLANK(INDEX(PlotData,MATCH($A431,PlotNumber,0),MATCH(O$3,PlotTitles,0))),$AB$18,TRUE,"")</f>
        <v/>
      </c>
      <c r="P431" s="182" t="str">
        <f t="shared" ca="1" si="19"/>
        <v/>
      </c>
      <c r="Q431" s="104" t="str" cm="1">
        <f t="array" ref="Q431">_xlfn.IFS(AND(A431&gt;NumberOfPlots,ISBLANK(INDEX(PlotData,MATCH($A431,PlotNumber,0),MATCH(B$3,PlotTitles,0)))),"",ISBLANK(INDEX(PlotData,MATCH($A431,PlotNumber,0),MATCH(N$3,PlotTitles,0))),"",(DATEVALUE(INDEX(PlotData,MATCH($A431,PlotNumber,0),MATCH(N$3,PlotTitles,0))&amp;INDEX(PlotData,MATCH($A431,PlotNumber,0),MATCH(O$3,PlotTitles,0))))&lt;(DATEVALUE(INDEX(PlotData,MATCH($A431,PlotNumber,0),MATCH(I$3,PlotTitles,0))&amp;INDEX(PlotData,MATCH($A431,PlotNumber,0),MATCH(J$3,PlotTitles,0)))),$AB$20,TRUE,"")</f>
        <v/>
      </c>
      <c r="R431" s="104" t="str" cm="1">
        <f t="array" ref="R431">_xlfn.IFS(OR(ISBLANK(StartDateMonth),ISBLANK(StartDateYear)),"",AND(A431&gt;NumberOfPlots,ISBLANK(INDEX(PlotData,MATCH($A431,PlotNumber,0),MATCH(B$3,PlotTitles,0)))),"",ISBLANK(INDEX(PlotData,MATCH($A431,PlotNumber,0),MATCH(N$3,PlotTitles,0))),"",CompletionMonth="","",(DATEVALUE(INDEX(PlotData,MATCH($A431,PlotNumber,0),MATCH(N$3,PlotTitles,0))&amp;INDEX(PlotData,MATCH($A431,PlotNumber,0),MATCH(O$3,PlotTitles,0))))&gt;(DATEVALUE(CompletionMonth&amp;CompletionYear)),$AB$21,TRUE,"")</f>
        <v/>
      </c>
      <c r="S431" s="104" t="str" cm="1">
        <f t="array" ref="S431">_xlfn.IFS(AND(A431&gt;NumberOfPlots,ISBLANK(INDEX(PlotData,MATCH($A431,PlotNumber,0),MATCH(B$3,PlotTitles,0)))),"",OR(AND(INDEX(PlotData,MATCH($A431,PlotNumber,0),MATCH("Tenure",PlotTitles,0))="Open market housing",INDEX(PlotData,MATCH($A431,PlotNumber,0),MATCH("Tenure detail",PlotTitles,0))="Private rented sector"),INDEX(PlotData,MATCH($A431,PlotNumber,0),MATCH("Tenure",PlotTitles,0))="Affordable rent"),"",ISNUMBER(INDEX(PlotData,MATCH($A431,PlotNumber,0),MATCH(S$3,PlotTitles,0)))=FALSE, $AB$22,TRUE,"")</f>
        <v/>
      </c>
      <c r="T431" s="104" t="str" cm="1">
        <f t="array" ref="T431">_xlfn.IFS(AND(A431&gt;NumberOfPlots,ISBLANK(INDEX(PlotData,MATCH($A431,PlotNumber,0),MATCH(B$3,PlotTitles,0)))),"",OR(AND(INDEX(PlotData,MATCH($A431,PlotNumber,0),MATCH("Tenure",PlotTitles,0))="Open market housing",INDEX(PlotData,MATCH($A431,PlotNumber,0),MATCH("Tenure detail",PlotTitles,0))="Private rented sector"),INDEX(PlotData,MATCH($A431,PlotNumber,0),MATCH("Tenure",PlotTitles,0))="Affordable rent"),"",INDEX(PlotData,MATCH($A431,PlotNumber,0),MATCH(S$3,PlotTitles,0))&lt;10000, $AB$23,TRUE,"")</f>
        <v/>
      </c>
      <c r="U431" s="104" t="str" cm="1">
        <f t="array" ref="U431">_xlfn.IFS(AND(A431&gt;NumberOfPlots,ISBLANK(INDEX(PlotData,MATCH($A431,PlotNumber,0),MATCH(B$3,PlotTitles,0)))),"",NOT(OR(AND(INDEX(PlotData,MATCH($A431,PlotNumber,0),MATCH("Tenure",PlotTitles,0))="Open market housing",INDEX(PlotData,MATCH($A431,PlotNumber,0),MATCH("Tenure detail",PlotTitles,0))="Private rented sector"),INDEX(PlotData,MATCH($A431,PlotNumber,0),MATCH("Tenure",PlotTitles,0))="Affordable rent")),"",NOT(INDEX(PlotData,MATCH($A431,PlotNumber,0),MATCH(S$3,PlotTitles,0))=0), $AB$24,TRUE,"")</f>
        <v/>
      </c>
      <c r="V431" s="114" t="str" cm="1">
        <f t="array" aca="1" ref="V431" ca="1">_xlfn.IFS(ISBLANK(NumberOfPlots),"Enter the number of homes on the 1_SetUp sheet",AND(A431&gt;NumberOfPlots,ISBLANK(INDEX(PlotData,MATCH($A431,PlotNumber,0),MATCH(B$3,PlotTitles,0)))),"No error",NOT(B431=""),B431,NOT(C431=""),C431,NOT(D431=""),D431,NOT(E431=""),E431,NOT(F431=""),F431,NOT(G431=""),G431,NOT(H431=""),H431,NOT(I431=""),I431,NOT(J431=""),J431,NOT(K431=""),K431,NOT(L431=""),L431,NOT(M431=""),M431,NOT(N431=""),N431,NOT(O431=""),O431,NOT(P431=""),P431,NOT(Q431=""),Q431,NOT(R431=""),R431,NOT(S431=""),S431,NOT(T431=""),T431,NOT(U431=""),U431,TRUE,"No error")</f>
        <v>Enter the number of homes on the 1_SetUp sheet</v>
      </c>
      <c r="W431" s="114" t="str">
        <f t="shared" ca="1" si="20"/>
        <v xml:space="preserve">The Borrower has not addressed the following error messages for Home ID 427: </v>
      </c>
    </row>
    <row r="432" spans="1:23">
      <c r="A432" s="123">
        <v>428</v>
      </c>
      <c r="B432" s="104" t="str" cm="1">
        <f t="array" ref="B432">_xlfn.IFS(AND(A432&gt;NumberOfPlots,ISBLANK(INDEX(PlotData,MATCH($A432,PlotNumber,0),MATCH(B$3,PlotTitles,0)))),"",ISNUMBER(INDEX(PlotData,MATCH($A432,PlotNumber,0),MATCH(B$3,PlotTitles,0)))=FALSE, $AB$5,TRUE,"")</f>
        <v/>
      </c>
      <c r="C432" s="104" t="str" cm="1">
        <f t="array" ref="C432">_xlfn.IFS(AND(A432&gt;NumberOfPlots,ISBLANK(INDEX(PlotData,MATCH($A432,PlotNumber,0),MATCH(B$3,PlotTitles,0)))),"",ISBLANK(INDEX(PlotData,MATCH($A432,PlotNumber,0),MATCH(C$3,PlotTitles,0))),$AB$6,TRUE,"")</f>
        <v/>
      </c>
      <c r="D432" s="104" t="str" cm="1">
        <f t="array" ref="D432">_xlfn.IFS(AND(A432&gt;NumberOfPlots,ISBLANK(INDEX(PlotData,MATCH($A432,PlotNumber,0),MATCH(B$3,PlotTitles,0)))),"",ISBLANK(INDEX(PlotData,MATCH($A432,PlotNumber,0),MATCH(D$3,PlotTitles,0))),$AB$7,TRUE,"")</f>
        <v/>
      </c>
      <c r="E432" s="104" t="str" cm="1">
        <f t="array" ref="E432">_xlfn.IFS(AND(A432&gt;NumberOfPlots,ISBLANK(INDEX(PlotData,MATCH($A432,PlotNumber,0),MATCH(B$3,PlotTitles,0)))),"",ISBLANK(INDEX(PlotData,MATCH($A432,PlotNumber,0),MATCH(E$3,PlotTitles,0))),$AB$8,TRUE,"")</f>
        <v/>
      </c>
      <c r="F432" s="104" t="str" cm="1">
        <f t="array" ref="F432">_xlfn.IFS(AND(A432&gt;NumberOfPlots,ISBLANK(INDEX(PlotData,MATCH($A432,PlotNumber,0),MATCH(B$3,PlotTitles,0)))),"",ISBLANK(INDEX(PlotData,MATCH($A432,PlotNumber,0),MATCH(F$3,PlotTitles,0))),$AB$9,TRUE,"")</f>
        <v/>
      </c>
      <c r="G432" s="104" t="str" cm="1">
        <f t="array" ref="G432">_xlfn.IFS(AND(A432&gt;NumberOfPlots,ISBLANK(INDEX(PlotData,MATCH($A432,PlotNumber,0),MATCH(B$3,PlotTitles,0)))),"",ISBLANK(INDEX(PlotData,MATCH($A432,PlotNumber,0),MATCH(G$3,PlotTitles,0))),$AB$10,TRUE,"")</f>
        <v/>
      </c>
      <c r="H432" s="104" t="str" cm="1">
        <f t="array" ref="H432">_xlfn.IFS(AND(A432&gt;NumberOfPlots,ISBLANK(INDEX(PlotData,MATCH($A432,PlotNumber,0),MATCH(B$3,PlotTitles,0)))),"",AND(ISBLANK(INDEX(PlotData,MATCH($A432,PlotNumber,0),MATCH(H$3,PlotTitles,0)))=FALSE,INDEX(PlotData,MATCH($A432,PlotNumber,0),MATCH(H$3,PlotTitles,0))&lt;500), $AB$11,TRUE,"")</f>
        <v/>
      </c>
      <c r="I432" s="104" t="str" cm="1">
        <f t="array" ref="I432">_xlfn.IFS(AND(A432&gt;NumberOfPlots,ISBLANK(INDEX(PlotData,MATCH($A432,PlotNumber,0),MATCH(B$3,PlotTitles,0)))),"",ISBLANK(INDEX(PlotData,MATCH($A432,PlotNumber,0),MATCH(I$3,PlotTitles,0))),$AB$12,TRUE,"")</f>
        <v/>
      </c>
      <c r="J432" s="104" t="str" cm="1">
        <f t="array" ref="J432">_xlfn.IFS(AND(A432&gt;NumberOfPlots,ISBLANK(INDEX(PlotData,MATCH($A432,PlotNumber,0),MATCH(B$3,PlotTitles,0)))),"",ISBLANK(INDEX(PlotData,MATCH($A432,PlotNumber,0),MATCH(J$3,PlotTitles,0))),$AB$13,TRUE,"")</f>
        <v/>
      </c>
      <c r="K432" s="182" t="str">
        <f t="shared" ca="1" si="18"/>
        <v/>
      </c>
      <c r="L432" s="104" t="str" cm="1">
        <f t="array" ref="L432">_xlfn.IFS(OR(ISBLANK(StartDateMonth),ISBLANK(StartDateYear)),"",AND(A432&gt;NumberOfPlots,ISBLANK(INDEX(PlotData,MATCH($A432,PlotNumber,0),MATCH(B$3,PlotTitles,0)))),"",ISBLANK(INDEX(PlotData,MATCH($A432,PlotNumber,0),MATCH(I$3,PlotTitles,0))),"",(DATEVALUE(INDEX(PlotData,MATCH($A432,PlotNumber,0),MATCH(I$3,PlotTitles,0))&amp;INDEX(PlotData,MATCH($A432,PlotNumber,0),MATCH(J$3,PlotTitles,0))))&lt;DATEVALUE(StartDateMonth&amp;StartDateYear),$AB$15,TRUE,"")</f>
        <v/>
      </c>
      <c r="M432" s="104" t="str" cm="1">
        <f t="array" ref="M432">_xlfn.IFS(OR(ISBLANK(StartDateMonth),ISBLANK(StartDateYear)),"",AND(A432&gt;NumberOfPlots,ISBLANK(INDEX(PlotData,MATCH($A432,PlotNumber,0),MATCH(B$3,PlotTitles,0)))),"",ISBLANK(INDEX(PlotData,MATCH($A432,PlotNumber,0),MATCH(I$3,PlotTitles,0))),"",CompletionMonth="","",(DATEVALUE(INDEX(PlotData,MATCH($A432,PlotNumber,0),MATCH(I$3,PlotTitles,0))&amp;INDEX(PlotData,MATCH($A432,PlotNumber,0),MATCH(J$3,PlotTitles,0))))&gt;(DATEVALUE(CompletionMonth&amp;CompletionYear)),$AB$16,TRUE,"")</f>
        <v/>
      </c>
      <c r="N432" s="104" t="str" cm="1">
        <f t="array" ref="N432">_xlfn.IFS(AND(A432&gt;NumberOfPlots,ISBLANK(INDEX(PlotData,MATCH($A432,PlotNumber,0),MATCH(B$3,PlotTitles,0)))),"",ISBLANK(INDEX(PlotData,MATCH($A432,PlotNumber,0),MATCH(N$3,PlotTitles,0))),$AB$17,TRUE,"")</f>
        <v/>
      </c>
      <c r="O432" s="104" t="str" cm="1">
        <f t="array" ref="O432">_xlfn.IFS(AND(A432&gt;NumberOfPlots,ISBLANK(INDEX(PlotData,MATCH($A432,PlotNumber,0),MATCH(B$3,PlotTitles,0)))),"",ISBLANK(INDEX(PlotData,MATCH($A432,PlotNumber,0),MATCH(O$3,PlotTitles,0))),$AB$18,TRUE,"")</f>
        <v/>
      </c>
      <c r="P432" s="182" t="str">
        <f t="shared" ca="1" si="19"/>
        <v/>
      </c>
      <c r="Q432" s="104" t="str" cm="1">
        <f t="array" ref="Q432">_xlfn.IFS(AND(A432&gt;NumberOfPlots,ISBLANK(INDEX(PlotData,MATCH($A432,PlotNumber,0),MATCH(B$3,PlotTitles,0)))),"",ISBLANK(INDEX(PlotData,MATCH($A432,PlotNumber,0),MATCH(N$3,PlotTitles,0))),"",(DATEVALUE(INDEX(PlotData,MATCH($A432,PlotNumber,0),MATCH(N$3,PlotTitles,0))&amp;INDEX(PlotData,MATCH($A432,PlotNumber,0),MATCH(O$3,PlotTitles,0))))&lt;(DATEVALUE(INDEX(PlotData,MATCH($A432,PlotNumber,0),MATCH(I$3,PlotTitles,0))&amp;INDEX(PlotData,MATCH($A432,PlotNumber,0),MATCH(J$3,PlotTitles,0)))),$AB$20,TRUE,"")</f>
        <v/>
      </c>
      <c r="R432" s="104" t="str" cm="1">
        <f t="array" ref="R432">_xlfn.IFS(OR(ISBLANK(StartDateMonth),ISBLANK(StartDateYear)),"",AND(A432&gt;NumberOfPlots,ISBLANK(INDEX(PlotData,MATCH($A432,PlotNumber,0),MATCH(B$3,PlotTitles,0)))),"",ISBLANK(INDEX(PlotData,MATCH($A432,PlotNumber,0),MATCH(N$3,PlotTitles,0))),"",CompletionMonth="","",(DATEVALUE(INDEX(PlotData,MATCH($A432,PlotNumber,0),MATCH(N$3,PlotTitles,0))&amp;INDEX(PlotData,MATCH($A432,PlotNumber,0),MATCH(O$3,PlotTitles,0))))&gt;(DATEVALUE(CompletionMonth&amp;CompletionYear)),$AB$21,TRUE,"")</f>
        <v/>
      </c>
      <c r="S432" s="104" t="str" cm="1">
        <f t="array" ref="S432">_xlfn.IFS(AND(A432&gt;NumberOfPlots,ISBLANK(INDEX(PlotData,MATCH($A432,PlotNumber,0),MATCH(B$3,PlotTitles,0)))),"",OR(AND(INDEX(PlotData,MATCH($A432,PlotNumber,0),MATCH("Tenure",PlotTitles,0))="Open market housing",INDEX(PlotData,MATCH($A432,PlotNumber,0),MATCH("Tenure detail",PlotTitles,0))="Private rented sector"),INDEX(PlotData,MATCH($A432,PlotNumber,0),MATCH("Tenure",PlotTitles,0))="Affordable rent"),"",ISNUMBER(INDEX(PlotData,MATCH($A432,PlotNumber,0),MATCH(S$3,PlotTitles,0)))=FALSE, $AB$22,TRUE,"")</f>
        <v/>
      </c>
      <c r="T432" s="104" t="str" cm="1">
        <f t="array" ref="T432">_xlfn.IFS(AND(A432&gt;NumberOfPlots,ISBLANK(INDEX(PlotData,MATCH($A432,PlotNumber,0),MATCH(B$3,PlotTitles,0)))),"",OR(AND(INDEX(PlotData,MATCH($A432,PlotNumber,0),MATCH("Tenure",PlotTitles,0))="Open market housing",INDEX(PlotData,MATCH($A432,PlotNumber,0),MATCH("Tenure detail",PlotTitles,0))="Private rented sector"),INDEX(PlotData,MATCH($A432,PlotNumber,0),MATCH("Tenure",PlotTitles,0))="Affordable rent"),"",INDEX(PlotData,MATCH($A432,PlotNumber,0),MATCH(S$3,PlotTitles,0))&lt;10000, $AB$23,TRUE,"")</f>
        <v/>
      </c>
      <c r="U432" s="104" t="str" cm="1">
        <f t="array" ref="U432">_xlfn.IFS(AND(A432&gt;NumberOfPlots,ISBLANK(INDEX(PlotData,MATCH($A432,PlotNumber,0),MATCH(B$3,PlotTitles,0)))),"",NOT(OR(AND(INDEX(PlotData,MATCH($A432,PlotNumber,0),MATCH("Tenure",PlotTitles,0))="Open market housing",INDEX(PlotData,MATCH($A432,PlotNumber,0),MATCH("Tenure detail",PlotTitles,0))="Private rented sector"),INDEX(PlotData,MATCH($A432,PlotNumber,0),MATCH("Tenure",PlotTitles,0))="Affordable rent")),"",NOT(INDEX(PlotData,MATCH($A432,PlotNumber,0),MATCH(S$3,PlotTitles,0))=0), $AB$24,TRUE,"")</f>
        <v/>
      </c>
      <c r="V432" s="114" t="str" cm="1">
        <f t="array" aca="1" ref="V432" ca="1">_xlfn.IFS(ISBLANK(NumberOfPlots),"Enter the number of homes on the 1_SetUp sheet",AND(A432&gt;NumberOfPlots,ISBLANK(INDEX(PlotData,MATCH($A432,PlotNumber,0),MATCH(B$3,PlotTitles,0)))),"No error",NOT(B432=""),B432,NOT(C432=""),C432,NOT(D432=""),D432,NOT(E432=""),E432,NOT(F432=""),F432,NOT(G432=""),G432,NOT(H432=""),H432,NOT(I432=""),I432,NOT(J432=""),J432,NOT(K432=""),K432,NOT(L432=""),L432,NOT(M432=""),M432,NOT(N432=""),N432,NOT(O432=""),O432,NOT(P432=""),P432,NOT(Q432=""),Q432,NOT(R432=""),R432,NOT(S432=""),S432,NOT(T432=""),T432,NOT(U432=""),U432,TRUE,"No error")</f>
        <v>Enter the number of homes on the 1_SetUp sheet</v>
      </c>
      <c r="W432" s="114" t="str">
        <f t="shared" ca="1" si="20"/>
        <v xml:space="preserve">The Borrower has not addressed the following error messages for Home ID 428: </v>
      </c>
    </row>
    <row r="433" spans="1:23">
      <c r="A433" s="123">
        <v>429</v>
      </c>
      <c r="B433" s="104" t="str" cm="1">
        <f t="array" ref="B433">_xlfn.IFS(AND(A433&gt;NumberOfPlots,ISBLANK(INDEX(PlotData,MATCH($A433,PlotNumber,0),MATCH(B$3,PlotTitles,0)))),"",ISNUMBER(INDEX(PlotData,MATCH($A433,PlotNumber,0),MATCH(B$3,PlotTitles,0)))=FALSE, $AB$5,TRUE,"")</f>
        <v/>
      </c>
      <c r="C433" s="104" t="str" cm="1">
        <f t="array" ref="C433">_xlfn.IFS(AND(A433&gt;NumberOfPlots,ISBLANK(INDEX(PlotData,MATCH($A433,PlotNumber,0),MATCH(B$3,PlotTitles,0)))),"",ISBLANK(INDEX(PlotData,MATCH($A433,PlotNumber,0),MATCH(C$3,PlotTitles,0))),$AB$6,TRUE,"")</f>
        <v/>
      </c>
      <c r="D433" s="104" t="str" cm="1">
        <f t="array" ref="D433">_xlfn.IFS(AND(A433&gt;NumberOfPlots,ISBLANK(INDEX(PlotData,MATCH($A433,PlotNumber,0),MATCH(B$3,PlotTitles,0)))),"",ISBLANK(INDEX(PlotData,MATCH($A433,PlotNumber,0),MATCH(D$3,PlotTitles,0))),$AB$7,TRUE,"")</f>
        <v/>
      </c>
      <c r="E433" s="104" t="str" cm="1">
        <f t="array" ref="E433">_xlfn.IFS(AND(A433&gt;NumberOfPlots,ISBLANK(INDEX(PlotData,MATCH($A433,PlotNumber,0),MATCH(B$3,PlotTitles,0)))),"",ISBLANK(INDEX(PlotData,MATCH($A433,PlotNumber,0),MATCH(E$3,PlotTitles,0))),$AB$8,TRUE,"")</f>
        <v/>
      </c>
      <c r="F433" s="104" t="str" cm="1">
        <f t="array" ref="F433">_xlfn.IFS(AND(A433&gt;NumberOfPlots,ISBLANK(INDEX(PlotData,MATCH($A433,PlotNumber,0),MATCH(B$3,PlotTitles,0)))),"",ISBLANK(INDEX(PlotData,MATCH($A433,PlotNumber,0),MATCH(F$3,PlotTitles,0))),$AB$9,TRUE,"")</f>
        <v/>
      </c>
      <c r="G433" s="104" t="str" cm="1">
        <f t="array" ref="G433">_xlfn.IFS(AND(A433&gt;NumberOfPlots,ISBLANK(INDEX(PlotData,MATCH($A433,PlotNumber,0),MATCH(B$3,PlotTitles,0)))),"",ISBLANK(INDEX(PlotData,MATCH($A433,PlotNumber,0),MATCH(G$3,PlotTitles,0))),$AB$10,TRUE,"")</f>
        <v/>
      </c>
      <c r="H433" s="104" t="str" cm="1">
        <f t="array" ref="H433">_xlfn.IFS(AND(A433&gt;NumberOfPlots,ISBLANK(INDEX(PlotData,MATCH($A433,PlotNumber,0),MATCH(B$3,PlotTitles,0)))),"",AND(ISBLANK(INDEX(PlotData,MATCH($A433,PlotNumber,0),MATCH(H$3,PlotTitles,0)))=FALSE,INDEX(PlotData,MATCH($A433,PlotNumber,0),MATCH(H$3,PlotTitles,0))&lt;500), $AB$11,TRUE,"")</f>
        <v/>
      </c>
      <c r="I433" s="104" t="str" cm="1">
        <f t="array" ref="I433">_xlfn.IFS(AND(A433&gt;NumberOfPlots,ISBLANK(INDEX(PlotData,MATCH($A433,PlotNumber,0),MATCH(B$3,PlotTitles,0)))),"",ISBLANK(INDEX(PlotData,MATCH($A433,PlotNumber,0),MATCH(I$3,PlotTitles,0))),$AB$12,TRUE,"")</f>
        <v/>
      </c>
      <c r="J433" s="104" t="str" cm="1">
        <f t="array" ref="J433">_xlfn.IFS(AND(A433&gt;NumberOfPlots,ISBLANK(INDEX(PlotData,MATCH($A433,PlotNumber,0),MATCH(B$3,PlotTitles,0)))),"",ISBLANK(INDEX(PlotData,MATCH($A433,PlotNumber,0),MATCH(J$3,PlotTitles,0))),$AB$13,TRUE,"")</f>
        <v/>
      </c>
      <c r="K433" s="182" t="str">
        <f t="shared" ca="1" si="18"/>
        <v/>
      </c>
      <c r="L433" s="104" t="str" cm="1">
        <f t="array" ref="L433">_xlfn.IFS(OR(ISBLANK(StartDateMonth),ISBLANK(StartDateYear)),"",AND(A433&gt;NumberOfPlots,ISBLANK(INDEX(PlotData,MATCH($A433,PlotNumber,0),MATCH(B$3,PlotTitles,0)))),"",ISBLANK(INDEX(PlotData,MATCH($A433,PlotNumber,0),MATCH(I$3,PlotTitles,0))),"",(DATEVALUE(INDEX(PlotData,MATCH($A433,PlotNumber,0),MATCH(I$3,PlotTitles,0))&amp;INDEX(PlotData,MATCH($A433,PlotNumber,0),MATCH(J$3,PlotTitles,0))))&lt;DATEVALUE(StartDateMonth&amp;StartDateYear),$AB$15,TRUE,"")</f>
        <v/>
      </c>
      <c r="M433" s="104" t="str" cm="1">
        <f t="array" ref="M433">_xlfn.IFS(OR(ISBLANK(StartDateMonth),ISBLANK(StartDateYear)),"",AND(A433&gt;NumberOfPlots,ISBLANK(INDEX(PlotData,MATCH($A433,PlotNumber,0),MATCH(B$3,PlotTitles,0)))),"",ISBLANK(INDEX(PlotData,MATCH($A433,PlotNumber,0),MATCH(I$3,PlotTitles,0))),"",CompletionMonth="","",(DATEVALUE(INDEX(PlotData,MATCH($A433,PlotNumber,0),MATCH(I$3,PlotTitles,0))&amp;INDEX(PlotData,MATCH($A433,PlotNumber,0),MATCH(J$3,PlotTitles,0))))&gt;(DATEVALUE(CompletionMonth&amp;CompletionYear)),$AB$16,TRUE,"")</f>
        <v/>
      </c>
      <c r="N433" s="104" t="str" cm="1">
        <f t="array" ref="N433">_xlfn.IFS(AND(A433&gt;NumberOfPlots,ISBLANK(INDEX(PlotData,MATCH($A433,PlotNumber,0),MATCH(B$3,PlotTitles,0)))),"",ISBLANK(INDEX(PlotData,MATCH($A433,PlotNumber,0),MATCH(N$3,PlotTitles,0))),$AB$17,TRUE,"")</f>
        <v/>
      </c>
      <c r="O433" s="104" t="str" cm="1">
        <f t="array" ref="O433">_xlfn.IFS(AND(A433&gt;NumberOfPlots,ISBLANK(INDEX(PlotData,MATCH($A433,PlotNumber,0),MATCH(B$3,PlotTitles,0)))),"",ISBLANK(INDEX(PlotData,MATCH($A433,PlotNumber,0),MATCH(O$3,PlotTitles,0))),$AB$18,TRUE,"")</f>
        <v/>
      </c>
      <c r="P433" s="182" t="str">
        <f t="shared" ca="1" si="19"/>
        <v/>
      </c>
      <c r="Q433" s="104" t="str" cm="1">
        <f t="array" ref="Q433">_xlfn.IFS(AND(A433&gt;NumberOfPlots,ISBLANK(INDEX(PlotData,MATCH($A433,PlotNumber,0),MATCH(B$3,PlotTitles,0)))),"",ISBLANK(INDEX(PlotData,MATCH($A433,PlotNumber,0),MATCH(N$3,PlotTitles,0))),"",(DATEVALUE(INDEX(PlotData,MATCH($A433,PlotNumber,0),MATCH(N$3,PlotTitles,0))&amp;INDEX(PlotData,MATCH($A433,PlotNumber,0),MATCH(O$3,PlotTitles,0))))&lt;(DATEVALUE(INDEX(PlotData,MATCH($A433,PlotNumber,0),MATCH(I$3,PlotTitles,0))&amp;INDEX(PlotData,MATCH($A433,PlotNumber,0),MATCH(J$3,PlotTitles,0)))),$AB$20,TRUE,"")</f>
        <v/>
      </c>
      <c r="R433" s="104" t="str" cm="1">
        <f t="array" ref="R433">_xlfn.IFS(OR(ISBLANK(StartDateMonth),ISBLANK(StartDateYear)),"",AND(A433&gt;NumberOfPlots,ISBLANK(INDEX(PlotData,MATCH($A433,PlotNumber,0),MATCH(B$3,PlotTitles,0)))),"",ISBLANK(INDEX(PlotData,MATCH($A433,PlotNumber,0),MATCH(N$3,PlotTitles,0))),"",CompletionMonth="","",(DATEVALUE(INDEX(PlotData,MATCH($A433,PlotNumber,0),MATCH(N$3,PlotTitles,0))&amp;INDEX(PlotData,MATCH($A433,PlotNumber,0),MATCH(O$3,PlotTitles,0))))&gt;(DATEVALUE(CompletionMonth&amp;CompletionYear)),$AB$21,TRUE,"")</f>
        <v/>
      </c>
      <c r="S433" s="104" t="str" cm="1">
        <f t="array" ref="S433">_xlfn.IFS(AND(A433&gt;NumberOfPlots,ISBLANK(INDEX(PlotData,MATCH($A433,PlotNumber,0),MATCH(B$3,PlotTitles,0)))),"",OR(AND(INDEX(PlotData,MATCH($A433,PlotNumber,0),MATCH("Tenure",PlotTitles,0))="Open market housing",INDEX(PlotData,MATCH($A433,PlotNumber,0),MATCH("Tenure detail",PlotTitles,0))="Private rented sector"),INDEX(PlotData,MATCH($A433,PlotNumber,0),MATCH("Tenure",PlotTitles,0))="Affordable rent"),"",ISNUMBER(INDEX(PlotData,MATCH($A433,PlotNumber,0),MATCH(S$3,PlotTitles,0)))=FALSE, $AB$22,TRUE,"")</f>
        <v/>
      </c>
      <c r="T433" s="104" t="str" cm="1">
        <f t="array" ref="T433">_xlfn.IFS(AND(A433&gt;NumberOfPlots,ISBLANK(INDEX(PlotData,MATCH($A433,PlotNumber,0),MATCH(B$3,PlotTitles,0)))),"",OR(AND(INDEX(PlotData,MATCH($A433,PlotNumber,0),MATCH("Tenure",PlotTitles,0))="Open market housing",INDEX(PlotData,MATCH($A433,PlotNumber,0),MATCH("Tenure detail",PlotTitles,0))="Private rented sector"),INDEX(PlotData,MATCH($A433,PlotNumber,0),MATCH("Tenure",PlotTitles,0))="Affordable rent"),"",INDEX(PlotData,MATCH($A433,PlotNumber,0),MATCH(S$3,PlotTitles,0))&lt;10000, $AB$23,TRUE,"")</f>
        <v/>
      </c>
      <c r="U433" s="104" t="str" cm="1">
        <f t="array" ref="U433">_xlfn.IFS(AND(A433&gt;NumberOfPlots,ISBLANK(INDEX(PlotData,MATCH($A433,PlotNumber,0),MATCH(B$3,PlotTitles,0)))),"",NOT(OR(AND(INDEX(PlotData,MATCH($A433,PlotNumber,0),MATCH("Tenure",PlotTitles,0))="Open market housing",INDEX(PlotData,MATCH($A433,PlotNumber,0),MATCH("Tenure detail",PlotTitles,0))="Private rented sector"),INDEX(PlotData,MATCH($A433,PlotNumber,0),MATCH("Tenure",PlotTitles,0))="Affordable rent")),"",NOT(INDEX(PlotData,MATCH($A433,PlotNumber,0),MATCH(S$3,PlotTitles,0))=0), $AB$24,TRUE,"")</f>
        <v/>
      </c>
      <c r="V433" s="114" t="str" cm="1">
        <f t="array" aca="1" ref="V433" ca="1">_xlfn.IFS(ISBLANK(NumberOfPlots),"Enter the number of homes on the 1_SetUp sheet",AND(A433&gt;NumberOfPlots,ISBLANK(INDEX(PlotData,MATCH($A433,PlotNumber,0),MATCH(B$3,PlotTitles,0)))),"No error",NOT(B433=""),B433,NOT(C433=""),C433,NOT(D433=""),D433,NOT(E433=""),E433,NOT(F433=""),F433,NOT(G433=""),G433,NOT(H433=""),H433,NOT(I433=""),I433,NOT(J433=""),J433,NOT(K433=""),K433,NOT(L433=""),L433,NOT(M433=""),M433,NOT(N433=""),N433,NOT(O433=""),O433,NOT(P433=""),P433,NOT(Q433=""),Q433,NOT(R433=""),R433,NOT(S433=""),S433,NOT(T433=""),T433,NOT(U433=""),U433,TRUE,"No error")</f>
        <v>Enter the number of homes on the 1_SetUp sheet</v>
      </c>
      <c r="W433" s="114" t="str">
        <f t="shared" ca="1" si="20"/>
        <v xml:space="preserve">The Borrower has not addressed the following error messages for Home ID 429: </v>
      </c>
    </row>
    <row r="434" spans="1:23">
      <c r="A434" s="123">
        <v>430</v>
      </c>
      <c r="B434" s="104" t="str" cm="1">
        <f t="array" ref="B434">_xlfn.IFS(AND(A434&gt;NumberOfPlots,ISBLANK(INDEX(PlotData,MATCH($A434,PlotNumber,0),MATCH(B$3,PlotTitles,0)))),"",ISNUMBER(INDEX(PlotData,MATCH($A434,PlotNumber,0),MATCH(B$3,PlotTitles,0)))=FALSE, $AB$5,TRUE,"")</f>
        <v/>
      </c>
      <c r="C434" s="104" t="str" cm="1">
        <f t="array" ref="C434">_xlfn.IFS(AND(A434&gt;NumberOfPlots,ISBLANK(INDEX(PlotData,MATCH($A434,PlotNumber,0),MATCH(B$3,PlotTitles,0)))),"",ISBLANK(INDEX(PlotData,MATCH($A434,PlotNumber,0),MATCH(C$3,PlotTitles,0))),$AB$6,TRUE,"")</f>
        <v/>
      </c>
      <c r="D434" s="104" t="str" cm="1">
        <f t="array" ref="D434">_xlfn.IFS(AND(A434&gt;NumberOfPlots,ISBLANK(INDEX(PlotData,MATCH($A434,PlotNumber,0),MATCH(B$3,PlotTitles,0)))),"",ISBLANK(INDEX(PlotData,MATCH($A434,PlotNumber,0),MATCH(D$3,PlotTitles,0))),$AB$7,TRUE,"")</f>
        <v/>
      </c>
      <c r="E434" s="104" t="str" cm="1">
        <f t="array" ref="E434">_xlfn.IFS(AND(A434&gt;NumberOfPlots,ISBLANK(INDEX(PlotData,MATCH($A434,PlotNumber,0),MATCH(B$3,PlotTitles,0)))),"",ISBLANK(INDEX(PlotData,MATCH($A434,PlotNumber,0),MATCH(E$3,PlotTitles,0))),$AB$8,TRUE,"")</f>
        <v/>
      </c>
      <c r="F434" s="104" t="str" cm="1">
        <f t="array" ref="F434">_xlfn.IFS(AND(A434&gt;NumberOfPlots,ISBLANK(INDEX(PlotData,MATCH($A434,PlotNumber,0),MATCH(B$3,PlotTitles,0)))),"",ISBLANK(INDEX(PlotData,MATCH($A434,PlotNumber,0),MATCH(F$3,PlotTitles,0))),$AB$9,TRUE,"")</f>
        <v/>
      </c>
      <c r="G434" s="104" t="str" cm="1">
        <f t="array" ref="G434">_xlfn.IFS(AND(A434&gt;NumberOfPlots,ISBLANK(INDEX(PlotData,MATCH($A434,PlotNumber,0),MATCH(B$3,PlotTitles,0)))),"",ISBLANK(INDEX(PlotData,MATCH($A434,PlotNumber,0),MATCH(G$3,PlotTitles,0))),$AB$10,TRUE,"")</f>
        <v/>
      </c>
      <c r="H434" s="104" t="str" cm="1">
        <f t="array" ref="H434">_xlfn.IFS(AND(A434&gt;NumberOfPlots,ISBLANK(INDEX(PlotData,MATCH($A434,PlotNumber,0),MATCH(B$3,PlotTitles,0)))),"",AND(ISBLANK(INDEX(PlotData,MATCH($A434,PlotNumber,0),MATCH(H$3,PlotTitles,0)))=FALSE,INDEX(PlotData,MATCH($A434,PlotNumber,0),MATCH(H$3,PlotTitles,0))&lt;500), $AB$11,TRUE,"")</f>
        <v/>
      </c>
      <c r="I434" s="104" t="str" cm="1">
        <f t="array" ref="I434">_xlfn.IFS(AND(A434&gt;NumberOfPlots,ISBLANK(INDEX(PlotData,MATCH($A434,PlotNumber,0),MATCH(B$3,PlotTitles,0)))),"",ISBLANK(INDEX(PlotData,MATCH($A434,PlotNumber,0),MATCH(I$3,PlotTitles,0))),$AB$12,TRUE,"")</f>
        <v/>
      </c>
      <c r="J434" s="104" t="str" cm="1">
        <f t="array" ref="J434">_xlfn.IFS(AND(A434&gt;NumberOfPlots,ISBLANK(INDEX(PlotData,MATCH($A434,PlotNumber,0),MATCH(B$3,PlotTitles,0)))),"",ISBLANK(INDEX(PlotData,MATCH($A434,PlotNumber,0),MATCH(J$3,PlotTitles,0))),$AB$13,TRUE,"")</f>
        <v/>
      </c>
      <c r="K434" s="182" t="str">
        <f t="shared" ca="1" si="18"/>
        <v/>
      </c>
      <c r="L434" s="104" t="str" cm="1">
        <f t="array" ref="L434">_xlfn.IFS(OR(ISBLANK(StartDateMonth),ISBLANK(StartDateYear)),"",AND(A434&gt;NumberOfPlots,ISBLANK(INDEX(PlotData,MATCH($A434,PlotNumber,0),MATCH(B$3,PlotTitles,0)))),"",ISBLANK(INDEX(PlotData,MATCH($A434,PlotNumber,0),MATCH(I$3,PlotTitles,0))),"",(DATEVALUE(INDEX(PlotData,MATCH($A434,PlotNumber,0),MATCH(I$3,PlotTitles,0))&amp;INDEX(PlotData,MATCH($A434,PlotNumber,0),MATCH(J$3,PlotTitles,0))))&lt;DATEVALUE(StartDateMonth&amp;StartDateYear),$AB$15,TRUE,"")</f>
        <v/>
      </c>
      <c r="M434" s="104" t="str" cm="1">
        <f t="array" ref="M434">_xlfn.IFS(OR(ISBLANK(StartDateMonth),ISBLANK(StartDateYear)),"",AND(A434&gt;NumberOfPlots,ISBLANK(INDEX(PlotData,MATCH($A434,PlotNumber,0),MATCH(B$3,PlotTitles,0)))),"",ISBLANK(INDEX(PlotData,MATCH($A434,PlotNumber,0),MATCH(I$3,PlotTitles,0))),"",CompletionMonth="","",(DATEVALUE(INDEX(PlotData,MATCH($A434,PlotNumber,0),MATCH(I$3,PlotTitles,0))&amp;INDEX(PlotData,MATCH($A434,PlotNumber,0),MATCH(J$3,PlotTitles,0))))&gt;(DATEVALUE(CompletionMonth&amp;CompletionYear)),$AB$16,TRUE,"")</f>
        <v/>
      </c>
      <c r="N434" s="104" t="str" cm="1">
        <f t="array" ref="N434">_xlfn.IFS(AND(A434&gt;NumberOfPlots,ISBLANK(INDEX(PlotData,MATCH($A434,PlotNumber,0),MATCH(B$3,PlotTitles,0)))),"",ISBLANK(INDEX(PlotData,MATCH($A434,PlotNumber,0),MATCH(N$3,PlotTitles,0))),$AB$17,TRUE,"")</f>
        <v/>
      </c>
      <c r="O434" s="104" t="str" cm="1">
        <f t="array" ref="O434">_xlfn.IFS(AND(A434&gt;NumberOfPlots,ISBLANK(INDEX(PlotData,MATCH($A434,PlotNumber,0),MATCH(B$3,PlotTitles,0)))),"",ISBLANK(INDEX(PlotData,MATCH($A434,PlotNumber,0),MATCH(O$3,PlotTitles,0))),$AB$18,TRUE,"")</f>
        <v/>
      </c>
      <c r="P434" s="182" t="str">
        <f t="shared" ca="1" si="19"/>
        <v/>
      </c>
      <c r="Q434" s="104" t="str" cm="1">
        <f t="array" ref="Q434">_xlfn.IFS(AND(A434&gt;NumberOfPlots,ISBLANK(INDEX(PlotData,MATCH($A434,PlotNumber,0),MATCH(B$3,PlotTitles,0)))),"",ISBLANK(INDEX(PlotData,MATCH($A434,PlotNumber,0),MATCH(N$3,PlotTitles,0))),"",(DATEVALUE(INDEX(PlotData,MATCH($A434,PlotNumber,0),MATCH(N$3,PlotTitles,0))&amp;INDEX(PlotData,MATCH($A434,PlotNumber,0),MATCH(O$3,PlotTitles,0))))&lt;(DATEVALUE(INDEX(PlotData,MATCH($A434,PlotNumber,0),MATCH(I$3,PlotTitles,0))&amp;INDEX(PlotData,MATCH($A434,PlotNumber,0),MATCH(J$3,PlotTitles,0)))),$AB$20,TRUE,"")</f>
        <v/>
      </c>
      <c r="R434" s="104" t="str" cm="1">
        <f t="array" ref="R434">_xlfn.IFS(OR(ISBLANK(StartDateMonth),ISBLANK(StartDateYear)),"",AND(A434&gt;NumberOfPlots,ISBLANK(INDEX(PlotData,MATCH($A434,PlotNumber,0),MATCH(B$3,PlotTitles,0)))),"",ISBLANK(INDEX(PlotData,MATCH($A434,PlotNumber,0),MATCH(N$3,PlotTitles,0))),"",CompletionMonth="","",(DATEVALUE(INDEX(PlotData,MATCH($A434,PlotNumber,0),MATCH(N$3,PlotTitles,0))&amp;INDEX(PlotData,MATCH($A434,PlotNumber,0),MATCH(O$3,PlotTitles,0))))&gt;(DATEVALUE(CompletionMonth&amp;CompletionYear)),$AB$21,TRUE,"")</f>
        <v/>
      </c>
      <c r="S434" s="104" t="str" cm="1">
        <f t="array" ref="S434">_xlfn.IFS(AND(A434&gt;NumberOfPlots,ISBLANK(INDEX(PlotData,MATCH($A434,PlotNumber,0),MATCH(B$3,PlotTitles,0)))),"",OR(AND(INDEX(PlotData,MATCH($A434,PlotNumber,0),MATCH("Tenure",PlotTitles,0))="Open market housing",INDEX(PlotData,MATCH($A434,PlotNumber,0),MATCH("Tenure detail",PlotTitles,0))="Private rented sector"),INDEX(PlotData,MATCH($A434,PlotNumber,0),MATCH("Tenure",PlotTitles,0))="Affordable rent"),"",ISNUMBER(INDEX(PlotData,MATCH($A434,PlotNumber,0),MATCH(S$3,PlotTitles,0)))=FALSE, $AB$22,TRUE,"")</f>
        <v/>
      </c>
      <c r="T434" s="104" t="str" cm="1">
        <f t="array" ref="T434">_xlfn.IFS(AND(A434&gt;NumberOfPlots,ISBLANK(INDEX(PlotData,MATCH($A434,PlotNumber,0),MATCH(B$3,PlotTitles,0)))),"",OR(AND(INDEX(PlotData,MATCH($A434,PlotNumber,0),MATCH("Tenure",PlotTitles,0))="Open market housing",INDEX(PlotData,MATCH($A434,PlotNumber,0),MATCH("Tenure detail",PlotTitles,0))="Private rented sector"),INDEX(PlotData,MATCH($A434,PlotNumber,0),MATCH("Tenure",PlotTitles,0))="Affordable rent"),"",INDEX(PlotData,MATCH($A434,PlotNumber,0),MATCH(S$3,PlotTitles,0))&lt;10000, $AB$23,TRUE,"")</f>
        <v/>
      </c>
      <c r="U434" s="104" t="str" cm="1">
        <f t="array" ref="U434">_xlfn.IFS(AND(A434&gt;NumberOfPlots,ISBLANK(INDEX(PlotData,MATCH($A434,PlotNumber,0),MATCH(B$3,PlotTitles,0)))),"",NOT(OR(AND(INDEX(PlotData,MATCH($A434,PlotNumber,0),MATCH("Tenure",PlotTitles,0))="Open market housing",INDEX(PlotData,MATCH($A434,PlotNumber,0),MATCH("Tenure detail",PlotTitles,0))="Private rented sector"),INDEX(PlotData,MATCH($A434,PlotNumber,0),MATCH("Tenure",PlotTitles,0))="Affordable rent")),"",NOT(INDEX(PlotData,MATCH($A434,PlotNumber,0),MATCH(S$3,PlotTitles,0))=0), $AB$24,TRUE,"")</f>
        <v/>
      </c>
      <c r="V434" s="114" t="str" cm="1">
        <f t="array" aca="1" ref="V434" ca="1">_xlfn.IFS(ISBLANK(NumberOfPlots),"Enter the number of homes on the 1_SetUp sheet",AND(A434&gt;NumberOfPlots,ISBLANK(INDEX(PlotData,MATCH($A434,PlotNumber,0),MATCH(B$3,PlotTitles,0)))),"No error",NOT(B434=""),B434,NOT(C434=""),C434,NOT(D434=""),D434,NOT(E434=""),E434,NOT(F434=""),F434,NOT(G434=""),G434,NOT(H434=""),H434,NOT(I434=""),I434,NOT(J434=""),J434,NOT(K434=""),K434,NOT(L434=""),L434,NOT(M434=""),M434,NOT(N434=""),N434,NOT(O434=""),O434,NOT(P434=""),P434,NOT(Q434=""),Q434,NOT(R434=""),R434,NOT(S434=""),S434,NOT(T434=""),T434,NOT(U434=""),U434,TRUE,"No error")</f>
        <v>Enter the number of homes on the 1_SetUp sheet</v>
      </c>
      <c r="W434" s="114" t="str">
        <f t="shared" ca="1" si="20"/>
        <v xml:space="preserve">The Borrower has not addressed the following error messages for Home ID 430: </v>
      </c>
    </row>
    <row r="435" spans="1:23">
      <c r="A435" s="123">
        <v>431</v>
      </c>
      <c r="B435" s="104" t="str" cm="1">
        <f t="array" ref="B435">_xlfn.IFS(AND(A435&gt;NumberOfPlots,ISBLANK(INDEX(PlotData,MATCH($A435,PlotNumber,0),MATCH(B$3,PlotTitles,0)))),"",ISNUMBER(INDEX(PlotData,MATCH($A435,PlotNumber,0),MATCH(B$3,PlotTitles,0)))=FALSE, $AB$5,TRUE,"")</f>
        <v/>
      </c>
      <c r="C435" s="104" t="str" cm="1">
        <f t="array" ref="C435">_xlfn.IFS(AND(A435&gt;NumberOfPlots,ISBLANK(INDEX(PlotData,MATCH($A435,PlotNumber,0),MATCH(B$3,PlotTitles,0)))),"",ISBLANK(INDEX(PlotData,MATCH($A435,PlotNumber,0),MATCH(C$3,PlotTitles,0))),$AB$6,TRUE,"")</f>
        <v/>
      </c>
      <c r="D435" s="104" t="str" cm="1">
        <f t="array" ref="D435">_xlfn.IFS(AND(A435&gt;NumberOfPlots,ISBLANK(INDEX(PlotData,MATCH($A435,PlotNumber,0),MATCH(B$3,PlotTitles,0)))),"",ISBLANK(INDEX(PlotData,MATCH($A435,PlotNumber,0),MATCH(D$3,PlotTitles,0))),$AB$7,TRUE,"")</f>
        <v/>
      </c>
      <c r="E435" s="104" t="str" cm="1">
        <f t="array" ref="E435">_xlfn.IFS(AND(A435&gt;NumberOfPlots,ISBLANK(INDEX(PlotData,MATCH($A435,PlotNumber,0),MATCH(B$3,PlotTitles,0)))),"",ISBLANK(INDEX(PlotData,MATCH($A435,PlotNumber,0),MATCH(E$3,PlotTitles,0))),$AB$8,TRUE,"")</f>
        <v/>
      </c>
      <c r="F435" s="104" t="str" cm="1">
        <f t="array" ref="F435">_xlfn.IFS(AND(A435&gt;NumberOfPlots,ISBLANK(INDEX(PlotData,MATCH($A435,PlotNumber,0),MATCH(B$3,PlotTitles,0)))),"",ISBLANK(INDEX(PlotData,MATCH($A435,PlotNumber,0),MATCH(F$3,PlotTitles,0))),$AB$9,TRUE,"")</f>
        <v/>
      </c>
      <c r="G435" s="104" t="str" cm="1">
        <f t="array" ref="G435">_xlfn.IFS(AND(A435&gt;NumberOfPlots,ISBLANK(INDEX(PlotData,MATCH($A435,PlotNumber,0),MATCH(B$3,PlotTitles,0)))),"",ISBLANK(INDEX(PlotData,MATCH($A435,PlotNumber,0),MATCH(G$3,PlotTitles,0))),$AB$10,TRUE,"")</f>
        <v/>
      </c>
      <c r="H435" s="104" t="str" cm="1">
        <f t="array" ref="H435">_xlfn.IFS(AND(A435&gt;NumberOfPlots,ISBLANK(INDEX(PlotData,MATCH($A435,PlotNumber,0),MATCH(B$3,PlotTitles,0)))),"",AND(ISBLANK(INDEX(PlotData,MATCH($A435,PlotNumber,0),MATCH(H$3,PlotTitles,0)))=FALSE,INDEX(PlotData,MATCH($A435,PlotNumber,0),MATCH(H$3,PlotTitles,0))&lt;500), $AB$11,TRUE,"")</f>
        <v/>
      </c>
      <c r="I435" s="104" t="str" cm="1">
        <f t="array" ref="I435">_xlfn.IFS(AND(A435&gt;NumberOfPlots,ISBLANK(INDEX(PlotData,MATCH($A435,PlotNumber,0),MATCH(B$3,PlotTitles,0)))),"",ISBLANK(INDEX(PlotData,MATCH($A435,PlotNumber,0),MATCH(I$3,PlotTitles,0))),$AB$12,TRUE,"")</f>
        <v/>
      </c>
      <c r="J435" s="104" t="str" cm="1">
        <f t="array" ref="J435">_xlfn.IFS(AND(A435&gt;NumberOfPlots,ISBLANK(INDEX(PlotData,MATCH($A435,PlotNumber,0),MATCH(B$3,PlotTitles,0)))),"",ISBLANK(INDEX(PlotData,MATCH($A435,PlotNumber,0),MATCH(J$3,PlotTitles,0))),$AB$13,TRUE,"")</f>
        <v/>
      </c>
      <c r="K435" s="182" t="str">
        <f t="shared" ca="1" si="18"/>
        <v/>
      </c>
      <c r="L435" s="104" t="str" cm="1">
        <f t="array" ref="L435">_xlfn.IFS(OR(ISBLANK(StartDateMonth),ISBLANK(StartDateYear)),"",AND(A435&gt;NumberOfPlots,ISBLANK(INDEX(PlotData,MATCH($A435,PlotNumber,0),MATCH(B$3,PlotTitles,0)))),"",ISBLANK(INDEX(PlotData,MATCH($A435,PlotNumber,0),MATCH(I$3,PlotTitles,0))),"",(DATEVALUE(INDEX(PlotData,MATCH($A435,PlotNumber,0),MATCH(I$3,PlotTitles,0))&amp;INDEX(PlotData,MATCH($A435,PlotNumber,0),MATCH(J$3,PlotTitles,0))))&lt;DATEVALUE(StartDateMonth&amp;StartDateYear),$AB$15,TRUE,"")</f>
        <v/>
      </c>
      <c r="M435" s="104" t="str" cm="1">
        <f t="array" ref="M435">_xlfn.IFS(OR(ISBLANK(StartDateMonth),ISBLANK(StartDateYear)),"",AND(A435&gt;NumberOfPlots,ISBLANK(INDEX(PlotData,MATCH($A435,PlotNumber,0),MATCH(B$3,PlotTitles,0)))),"",ISBLANK(INDEX(PlotData,MATCH($A435,PlotNumber,0),MATCH(I$3,PlotTitles,0))),"",CompletionMonth="","",(DATEVALUE(INDEX(PlotData,MATCH($A435,PlotNumber,0),MATCH(I$3,PlotTitles,0))&amp;INDEX(PlotData,MATCH($A435,PlotNumber,0),MATCH(J$3,PlotTitles,0))))&gt;(DATEVALUE(CompletionMonth&amp;CompletionYear)),$AB$16,TRUE,"")</f>
        <v/>
      </c>
      <c r="N435" s="104" t="str" cm="1">
        <f t="array" ref="N435">_xlfn.IFS(AND(A435&gt;NumberOfPlots,ISBLANK(INDEX(PlotData,MATCH($A435,PlotNumber,0),MATCH(B$3,PlotTitles,0)))),"",ISBLANK(INDEX(PlotData,MATCH($A435,PlotNumber,0),MATCH(N$3,PlotTitles,0))),$AB$17,TRUE,"")</f>
        <v/>
      </c>
      <c r="O435" s="104" t="str" cm="1">
        <f t="array" ref="O435">_xlfn.IFS(AND(A435&gt;NumberOfPlots,ISBLANK(INDEX(PlotData,MATCH($A435,PlotNumber,0),MATCH(B$3,PlotTitles,0)))),"",ISBLANK(INDEX(PlotData,MATCH($A435,PlotNumber,0),MATCH(O$3,PlotTitles,0))),$AB$18,TRUE,"")</f>
        <v/>
      </c>
      <c r="P435" s="182" t="str">
        <f t="shared" ca="1" si="19"/>
        <v/>
      </c>
      <c r="Q435" s="104" t="str" cm="1">
        <f t="array" ref="Q435">_xlfn.IFS(AND(A435&gt;NumberOfPlots,ISBLANK(INDEX(PlotData,MATCH($A435,PlotNumber,0),MATCH(B$3,PlotTitles,0)))),"",ISBLANK(INDEX(PlotData,MATCH($A435,PlotNumber,0),MATCH(N$3,PlotTitles,0))),"",(DATEVALUE(INDEX(PlotData,MATCH($A435,PlotNumber,0),MATCH(N$3,PlotTitles,0))&amp;INDEX(PlotData,MATCH($A435,PlotNumber,0),MATCH(O$3,PlotTitles,0))))&lt;(DATEVALUE(INDEX(PlotData,MATCH($A435,PlotNumber,0),MATCH(I$3,PlotTitles,0))&amp;INDEX(PlotData,MATCH($A435,PlotNumber,0),MATCH(J$3,PlotTitles,0)))),$AB$20,TRUE,"")</f>
        <v/>
      </c>
      <c r="R435" s="104" t="str" cm="1">
        <f t="array" ref="R435">_xlfn.IFS(OR(ISBLANK(StartDateMonth),ISBLANK(StartDateYear)),"",AND(A435&gt;NumberOfPlots,ISBLANK(INDEX(PlotData,MATCH($A435,PlotNumber,0),MATCH(B$3,PlotTitles,0)))),"",ISBLANK(INDEX(PlotData,MATCH($A435,PlotNumber,0),MATCH(N$3,PlotTitles,0))),"",CompletionMonth="","",(DATEVALUE(INDEX(PlotData,MATCH($A435,PlotNumber,0),MATCH(N$3,PlotTitles,0))&amp;INDEX(PlotData,MATCH($A435,PlotNumber,0),MATCH(O$3,PlotTitles,0))))&gt;(DATEVALUE(CompletionMonth&amp;CompletionYear)),$AB$21,TRUE,"")</f>
        <v/>
      </c>
      <c r="S435" s="104" t="str" cm="1">
        <f t="array" ref="S435">_xlfn.IFS(AND(A435&gt;NumberOfPlots,ISBLANK(INDEX(PlotData,MATCH($A435,PlotNumber,0),MATCH(B$3,PlotTitles,0)))),"",OR(AND(INDEX(PlotData,MATCH($A435,PlotNumber,0),MATCH("Tenure",PlotTitles,0))="Open market housing",INDEX(PlotData,MATCH($A435,PlotNumber,0),MATCH("Tenure detail",PlotTitles,0))="Private rented sector"),INDEX(PlotData,MATCH($A435,PlotNumber,0),MATCH("Tenure",PlotTitles,0))="Affordable rent"),"",ISNUMBER(INDEX(PlotData,MATCH($A435,PlotNumber,0),MATCH(S$3,PlotTitles,0)))=FALSE, $AB$22,TRUE,"")</f>
        <v/>
      </c>
      <c r="T435" s="104" t="str" cm="1">
        <f t="array" ref="T435">_xlfn.IFS(AND(A435&gt;NumberOfPlots,ISBLANK(INDEX(PlotData,MATCH($A435,PlotNumber,0),MATCH(B$3,PlotTitles,0)))),"",OR(AND(INDEX(PlotData,MATCH($A435,PlotNumber,0),MATCH("Tenure",PlotTitles,0))="Open market housing",INDEX(PlotData,MATCH($A435,PlotNumber,0),MATCH("Tenure detail",PlotTitles,0))="Private rented sector"),INDEX(PlotData,MATCH($A435,PlotNumber,0),MATCH("Tenure",PlotTitles,0))="Affordable rent"),"",INDEX(PlotData,MATCH($A435,PlotNumber,0),MATCH(S$3,PlotTitles,0))&lt;10000, $AB$23,TRUE,"")</f>
        <v/>
      </c>
      <c r="U435" s="104" t="str" cm="1">
        <f t="array" ref="U435">_xlfn.IFS(AND(A435&gt;NumberOfPlots,ISBLANK(INDEX(PlotData,MATCH($A435,PlotNumber,0),MATCH(B$3,PlotTitles,0)))),"",NOT(OR(AND(INDEX(PlotData,MATCH($A435,PlotNumber,0),MATCH("Tenure",PlotTitles,0))="Open market housing",INDEX(PlotData,MATCH($A435,PlotNumber,0),MATCH("Tenure detail",PlotTitles,0))="Private rented sector"),INDEX(PlotData,MATCH($A435,PlotNumber,0),MATCH("Tenure",PlotTitles,0))="Affordable rent")),"",NOT(INDEX(PlotData,MATCH($A435,PlotNumber,0),MATCH(S$3,PlotTitles,0))=0), $AB$24,TRUE,"")</f>
        <v/>
      </c>
      <c r="V435" s="114" t="str" cm="1">
        <f t="array" aca="1" ref="V435" ca="1">_xlfn.IFS(ISBLANK(NumberOfPlots),"Enter the number of homes on the 1_SetUp sheet",AND(A435&gt;NumberOfPlots,ISBLANK(INDEX(PlotData,MATCH($A435,PlotNumber,0),MATCH(B$3,PlotTitles,0)))),"No error",NOT(B435=""),B435,NOT(C435=""),C435,NOT(D435=""),D435,NOT(E435=""),E435,NOT(F435=""),F435,NOT(G435=""),G435,NOT(H435=""),H435,NOT(I435=""),I435,NOT(J435=""),J435,NOT(K435=""),K435,NOT(L435=""),L435,NOT(M435=""),M435,NOT(N435=""),N435,NOT(O435=""),O435,NOT(P435=""),P435,NOT(Q435=""),Q435,NOT(R435=""),R435,NOT(S435=""),S435,NOT(T435=""),T435,NOT(U435=""),U435,TRUE,"No error")</f>
        <v>Enter the number of homes on the 1_SetUp sheet</v>
      </c>
      <c r="W435" s="114" t="str">
        <f t="shared" ca="1" si="20"/>
        <v xml:space="preserve">The Borrower has not addressed the following error messages for Home ID 431: </v>
      </c>
    </row>
    <row r="436" spans="1:23">
      <c r="A436" s="123">
        <v>432</v>
      </c>
      <c r="B436" s="104" t="str" cm="1">
        <f t="array" ref="B436">_xlfn.IFS(AND(A436&gt;NumberOfPlots,ISBLANK(INDEX(PlotData,MATCH($A436,PlotNumber,0),MATCH(B$3,PlotTitles,0)))),"",ISNUMBER(INDEX(PlotData,MATCH($A436,PlotNumber,0),MATCH(B$3,PlotTitles,0)))=FALSE, $AB$5,TRUE,"")</f>
        <v/>
      </c>
      <c r="C436" s="104" t="str" cm="1">
        <f t="array" ref="C436">_xlfn.IFS(AND(A436&gt;NumberOfPlots,ISBLANK(INDEX(PlotData,MATCH($A436,PlotNumber,0),MATCH(B$3,PlotTitles,0)))),"",ISBLANK(INDEX(PlotData,MATCH($A436,PlotNumber,0),MATCH(C$3,PlotTitles,0))),$AB$6,TRUE,"")</f>
        <v/>
      </c>
      <c r="D436" s="104" t="str" cm="1">
        <f t="array" ref="D436">_xlfn.IFS(AND(A436&gt;NumberOfPlots,ISBLANK(INDEX(PlotData,MATCH($A436,PlotNumber,0),MATCH(B$3,PlotTitles,0)))),"",ISBLANK(INDEX(PlotData,MATCH($A436,PlotNumber,0),MATCH(D$3,PlotTitles,0))),$AB$7,TRUE,"")</f>
        <v/>
      </c>
      <c r="E436" s="104" t="str" cm="1">
        <f t="array" ref="E436">_xlfn.IFS(AND(A436&gt;NumberOfPlots,ISBLANK(INDEX(PlotData,MATCH($A436,PlotNumber,0),MATCH(B$3,PlotTitles,0)))),"",ISBLANK(INDEX(PlotData,MATCH($A436,PlotNumber,0),MATCH(E$3,PlotTitles,0))),$AB$8,TRUE,"")</f>
        <v/>
      </c>
      <c r="F436" s="104" t="str" cm="1">
        <f t="array" ref="F436">_xlfn.IFS(AND(A436&gt;NumberOfPlots,ISBLANK(INDEX(PlotData,MATCH($A436,PlotNumber,0),MATCH(B$3,PlotTitles,0)))),"",ISBLANK(INDEX(PlotData,MATCH($A436,PlotNumber,0),MATCH(F$3,PlotTitles,0))),$AB$9,TRUE,"")</f>
        <v/>
      </c>
      <c r="G436" s="104" t="str" cm="1">
        <f t="array" ref="G436">_xlfn.IFS(AND(A436&gt;NumberOfPlots,ISBLANK(INDEX(PlotData,MATCH($A436,PlotNumber,0),MATCH(B$3,PlotTitles,0)))),"",ISBLANK(INDEX(PlotData,MATCH($A436,PlotNumber,0),MATCH(G$3,PlotTitles,0))),$AB$10,TRUE,"")</f>
        <v/>
      </c>
      <c r="H436" s="104" t="str" cm="1">
        <f t="array" ref="H436">_xlfn.IFS(AND(A436&gt;NumberOfPlots,ISBLANK(INDEX(PlotData,MATCH($A436,PlotNumber,0),MATCH(B$3,PlotTitles,0)))),"",AND(ISBLANK(INDEX(PlotData,MATCH($A436,PlotNumber,0),MATCH(H$3,PlotTitles,0)))=FALSE,INDEX(PlotData,MATCH($A436,PlotNumber,0),MATCH(H$3,PlotTitles,0))&lt;500), $AB$11,TRUE,"")</f>
        <v/>
      </c>
      <c r="I436" s="104" t="str" cm="1">
        <f t="array" ref="I436">_xlfn.IFS(AND(A436&gt;NumberOfPlots,ISBLANK(INDEX(PlotData,MATCH($A436,PlotNumber,0),MATCH(B$3,PlotTitles,0)))),"",ISBLANK(INDEX(PlotData,MATCH($A436,PlotNumber,0),MATCH(I$3,PlotTitles,0))),$AB$12,TRUE,"")</f>
        <v/>
      </c>
      <c r="J436" s="104" t="str" cm="1">
        <f t="array" ref="J436">_xlfn.IFS(AND(A436&gt;NumberOfPlots,ISBLANK(INDEX(PlotData,MATCH($A436,PlotNumber,0),MATCH(B$3,PlotTitles,0)))),"",ISBLANK(INDEX(PlotData,MATCH($A436,PlotNumber,0),MATCH(J$3,PlotTitles,0))),$AB$13,TRUE,"")</f>
        <v/>
      </c>
      <c r="K436" s="182" t="str">
        <f t="shared" ca="1" si="18"/>
        <v/>
      </c>
      <c r="L436" s="104" t="str" cm="1">
        <f t="array" ref="L436">_xlfn.IFS(OR(ISBLANK(StartDateMonth),ISBLANK(StartDateYear)),"",AND(A436&gt;NumberOfPlots,ISBLANK(INDEX(PlotData,MATCH($A436,PlotNumber,0),MATCH(B$3,PlotTitles,0)))),"",ISBLANK(INDEX(PlotData,MATCH($A436,PlotNumber,0),MATCH(I$3,PlotTitles,0))),"",(DATEVALUE(INDEX(PlotData,MATCH($A436,PlotNumber,0),MATCH(I$3,PlotTitles,0))&amp;INDEX(PlotData,MATCH($A436,PlotNumber,0),MATCH(J$3,PlotTitles,0))))&lt;DATEVALUE(StartDateMonth&amp;StartDateYear),$AB$15,TRUE,"")</f>
        <v/>
      </c>
      <c r="M436" s="104" t="str" cm="1">
        <f t="array" ref="M436">_xlfn.IFS(OR(ISBLANK(StartDateMonth),ISBLANK(StartDateYear)),"",AND(A436&gt;NumberOfPlots,ISBLANK(INDEX(PlotData,MATCH($A436,PlotNumber,0),MATCH(B$3,PlotTitles,0)))),"",ISBLANK(INDEX(PlotData,MATCH($A436,PlotNumber,0),MATCH(I$3,PlotTitles,0))),"",CompletionMonth="","",(DATEVALUE(INDEX(PlotData,MATCH($A436,PlotNumber,0),MATCH(I$3,PlotTitles,0))&amp;INDEX(PlotData,MATCH($A436,PlotNumber,0),MATCH(J$3,PlotTitles,0))))&gt;(DATEVALUE(CompletionMonth&amp;CompletionYear)),$AB$16,TRUE,"")</f>
        <v/>
      </c>
      <c r="N436" s="104" t="str" cm="1">
        <f t="array" ref="N436">_xlfn.IFS(AND(A436&gt;NumberOfPlots,ISBLANK(INDEX(PlotData,MATCH($A436,PlotNumber,0),MATCH(B$3,PlotTitles,0)))),"",ISBLANK(INDEX(PlotData,MATCH($A436,PlotNumber,0),MATCH(N$3,PlotTitles,0))),$AB$17,TRUE,"")</f>
        <v/>
      </c>
      <c r="O436" s="104" t="str" cm="1">
        <f t="array" ref="O436">_xlfn.IFS(AND(A436&gt;NumberOfPlots,ISBLANK(INDEX(PlotData,MATCH($A436,PlotNumber,0),MATCH(B$3,PlotTitles,0)))),"",ISBLANK(INDEX(PlotData,MATCH($A436,PlotNumber,0),MATCH(O$3,PlotTitles,0))),$AB$18,TRUE,"")</f>
        <v/>
      </c>
      <c r="P436" s="182" t="str">
        <f t="shared" ca="1" si="19"/>
        <v/>
      </c>
      <c r="Q436" s="104" t="str" cm="1">
        <f t="array" ref="Q436">_xlfn.IFS(AND(A436&gt;NumberOfPlots,ISBLANK(INDEX(PlotData,MATCH($A436,PlotNumber,0),MATCH(B$3,PlotTitles,0)))),"",ISBLANK(INDEX(PlotData,MATCH($A436,PlotNumber,0),MATCH(N$3,PlotTitles,0))),"",(DATEVALUE(INDEX(PlotData,MATCH($A436,PlotNumber,0),MATCH(N$3,PlotTitles,0))&amp;INDEX(PlotData,MATCH($A436,PlotNumber,0),MATCH(O$3,PlotTitles,0))))&lt;(DATEVALUE(INDEX(PlotData,MATCH($A436,PlotNumber,0),MATCH(I$3,PlotTitles,0))&amp;INDEX(PlotData,MATCH($A436,PlotNumber,0),MATCH(J$3,PlotTitles,0)))),$AB$20,TRUE,"")</f>
        <v/>
      </c>
      <c r="R436" s="104" t="str" cm="1">
        <f t="array" ref="R436">_xlfn.IFS(OR(ISBLANK(StartDateMonth),ISBLANK(StartDateYear)),"",AND(A436&gt;NumberOfPlots,ISBLANK(INDEX(PlotData,MATCH($A436,PlotNumber,0),MATCH(B$3,PlotTitles,0)))),"",ISBLANK(INDEX(PlotData,MATCH($A436,PlotNumber,0),MATCH(N$3,PlotTitles,0))),"",CompletionMonth="","",(DATEVALUE(INDEX(PlotData,MATCH($A436,PlotNumber,0),MATCH(N$3,PlotTitles,0))&amp;INDEX(PlotData,MATCH($A436,PlotNumber,0),MATCH(O$3,PlotTitles,0))))&gt;(DATEVALUE(CompletionMonth&amp;CompletionYear)),$AB$21,TRUE,"")</f>
        <v/>
      </c>
      <c r="S436" s="104" t="str" cm="1">
        <f t="array" ref="S436">_xlfn.IFS(AND(A436&gt;NumberOfPlots,ISBLANK(INDEX(PlotData,MATCH($A436,PlotNumber,0),MATCH(B$3,PlotTitles,0)))),"",OR(AND(INDEX(PlotData,MATCH($A436,PlotNumber,0),MATCH("Tenure",PlotTitles,0))="Open market housing",INDEX(PlotData,MATCH($A436,PlotNumber,0),MATCH("Tenure detail",PlotTitles,0))="Private rented sector"),INDEX(PlotData,MATCH($A436,PlotNumber,0),MATCH("Tenure",PlotTitles,0))="Affordable rent"),"",ISNUMBER(INDEX(PlotData,MATCH($A436,PlotNumber,0),MATCH(S$3,PlotTitles,0)))=FALSE, $AB$22,TRUE,"")</f>
        <v/>
      </c>
      <c r="T436" s="104" t="str" cm="1">
        <f t="array" ref="T436">_xlfn.IFS(AND(A436&gt;NumberOfPlots,ISBLANK(INDEX(PlotData,MATCH($A436,PlotNumber,0),MATCH(B$3,PlotTitles,0)))),"",OR(AND(INDEX(PlotData,MATCH($A436,PlotNumber,0),MATCH("Tenure",PlotTitles,0))="Open market housing",INDEX(PlotData,MATCH($A436,PlotNumber,0),MATCH("Tenure detail",PlotTitles,0))="Private rented sector"),INDEX(PlotData,MATCH($A436,PlotNumber,0),MATCH("Tenure",PlotTitles,0))="Affordable rent"),"",INDEX(PlotData,MATCH($A436,PlotNumber,0),MATCH(S$3,PlotTitles,0))&lt;10000, $AB$23,TRUE,"")</f>
        <v/>
      </c>
      <c r="U436" s="104" t="str" cm="1">
        <f t="array" ref="U436">_xlfn.IFS(AND(A436&gt;NumberOfPlots,ISBLANK(INDEX(PlotData,MATCH($A436,PlotNumber,0),MATCH(B$3,PlotTitles,0)))),"",NOT(OR(AND(INDEX(PlotData,MATCH($A436,PlotNumber,0),MATCH("Tenure",PlotTitles,0))="Open market housing",INDEX(PlotData,MATCH($A436,PlotNumber,0),MATCH("Tenure detail",PlotTitles,0))="Private rented sector"),INDEX(PlotData,MATCH($A436,PlotNumber,0),MATCH("Tenure",PlotTitles,0))="Affordable rent")),"",NOT(INDEX(PlotData,MATCH($A436,PlotNumber,0),MATCH(S$3,PlotTitles,0))=0), $AB$24,TRUE,"")</f>
        <v/>
      </c>
      <c r="V436" s="114" t="str" cm="1">
        <f t="array" aca="1" ref="V436" ca="1">_xlfn.IFS(ISBLANK(NumberOfPlots),"Enter the number of homes on the 1_SetUp sheet",AND(A436&gt;NumberOfPlots,ISBLANK(INDEX(PlotData,MATCH($A436,PlotNumber,0),MATCH(B$3,PlotTitles,0)))),"No error",NOT(B436=""),B436,NOT(C436=""),C436,NOT(D436=""),D436,NOT(E436=""),E436,NOT(F436=""),F436,NOT(G436=""),G436,NOT(H436=""),H436,NOT(I436=""),I436,NOT(J436=""),J436,NOT(K436=""),K436,NOT(L436=""),L436,NOT(M436=""),M436,NOT(N436=""),N436,NOT(O436=""),O436,NOT(P436=""),P436,NOT(Q436=""),Q436,NOT(R436=""),R436,NOT(S436=""),S436,NOT(T436=""),T436,NOT(U436=""),U436,TRUE,"No error")</f>
        <v>Enter the number of homes on the 1_SetUp sheet</v>
      </c>
      <c r="W436" s="114" t="str">
        <f t="shared" ca="1" si="20"/>
        <v xml:space="preserve">The Borrower has not addressed the following error messages for Home ID 432: </v>
      </c>
    </row>
    <row r="437" spans="1:23">
      <c r="A437" s="123">
        <v>433</v>
      </c>
      <c r="B437" s="104" t="str" cm="1">
        <f t="array" ref="B437">_xlfn.IFS(AND(A437&gt;NumberOfPlots,ISBLANK(INDEX(PlotData,MATCH($A437,PlotNumber,0),MATCH(B$3,PlotTitles,0)))),"",ISNUMBER(INDEX(PlotData,MATCH($A437,PlotNumber,0),MATCH(B$3,PlotTitles,0)))=FALSE, $AB$5,TRUE,"")</f>
        <v/>
      </c>
      <c r="C437" s="104" t="str" cm="1">
        <f t="array" ref="C437">_xlfn.IFS(AND(A437&gt;NumberOfPlots,ISBLANK(INDEX(PlotData,MATCH($A437,PlotNumber,0),MATCH(B$3,PlotTitles,0)))),"",ISBLANK(INDEX(PlotData,MATCH($A437,PlotNumber,0),MATCH(C$3,PlotTitles,0))),$AB$6,TRUE,"")</f>
        <v/>
      </c>
      <c r="D437" s="104" t="str" cm="1">
        <f t="array" ref="D437">_xlfn.IFS(AND(A437&gt;NumberOfPlots,ISBLANK(INDEX(PlotData,MATCH($A437,PlotNumber,0),MATCH(B$3,PlotTitles,0)))),"",ISBLANK(INDEX(PlotData,MATCH($A437,PlotNumber,0),MATCH(D$3,PlotTitles,0))),$AB$7,TRUE,"")</f>
        <v/>
      </c>
      <c r="E437" s="104" t="str" cm="1">
        <f t="array" ref="E437">_xlfn.IFS(AND(A437&gt;NumberOfPlots,ISBLANK(INDEX(PlotData,MATCH($A437,PlotNumber,0),MATCH(B$3,PlotTitles,0)))),"",ISBLANK(INDEX(PlotData,MATCH($A437,PlotNumber,0),MATCH(E$3,PlotTitles,0))),$AB$8,TRUE,"")</f>
        <v/>
      </c>
      <c r="F437" s="104" t="str" cm="1">
        <f t="array" ref="F437">_xlfn.IFS(AND(A437&gt;NumberOfPlots,ISBLANK(INDEX(PlotData,MATCH($A437,PlotNumber,0),MATCH(B$3,PlotTitles,0)))),"",ISBLANK(INDEX(PlotData,MATCH($A437,PlotNumber,0),MATCH(F$3,PlotTitles,0))),$AB$9,TRUE,"")</f>
        <v/>
      </c>
      <c r="G437" s="104" t="str" cm="1">
        <f t="array" ref="G437">_xlfn.IFS(AND(A437&gt;NumberOfPlots,ISBLANK(INDEX(PlotData,MATCH($A437,PlotNumber,0),MATCH(B$3,PlotTitles,0)))),"",ISBLANK(INDEX(PlotData,MATCH($A437,PlotNumber,0),MATCH(G$3,PlotTitles,0))),$AB$10,TRUE,"")</f>
        <v/>
      </c>
      <c r="H437" s="104" t="str" cm="1">
        <f t="array" ref="H437">_xlfn.IFS(AND(A437&gt;NumberOfPlots,ISBLANK(INDEX(PlotData,MATCH($A437,PlotNumber,0),MATCH(B$3,PlotTitles,0)))),"",AND(ISBLANK(INDEX(PlotData,MATCH($A437,PlotNumber,0),MATCH(H$3,PlotTitles,0)))=FALSE,INDEX(PlotData,MATCH($A437,PlotNumber,0),MATCH(H$3,PlotTitles,0))&lt;500), $AB$11,TRUE,"")</f>
        <v/>
      </c>
      <c r="I437" s="104" t="str" cm="1">
        <f t="array" ref="I437">_xlfn.IFS(AND(A437&gt;NumberOfPlots,ISBLANK(INDEX(PlotData,MATCH($A437,PlotNumber,0),MATCH(B$3,PlotTitles,0)))),"",ISBLANK(INDEX(PlotData,MATCH($A437,PlotNumber,0),MATCH(I$3,PlotTitles,0))),$AB$12,TRUE,"")</f>
        <v/>
      </c>
      <c r="J437" s="104" t="str" cm="1">
        <f t="array" ref="J437">_xlfn.IFS(AND(A437&gt;NumberOfPlots,ISBLANK(INDEX(PlotData,MATCH($A437,PlotNumber,0),MATCH(B$3,PlotTitles,0)))),"",ISBLANK(INDEX(PlotData,MATCH($A437,PlotNumber,0),MATCH(J$3,PlotTitles,0))),$AB$13,TRUE,"")</f>
        <v/>
      </c>
      <c r="K437" s="182" t="str">
        <f t="shared" ca="1" si="18"/>
        <v/>
      </c>
      <c r="L437" s="104" t="str" cm="1">
        <f t="array" ref="L437">_xlfn.IFS(OR(ISBLANK(StartDateMonth),ISBLANK(StartDateYear)),"",AND(A437&gt;NumberOfPlots,ISBLANK(INDEX(PlotData,MATCH($A437,PlotNumber,0),MATCH(B$3,PlotTitles,0)))),"",ISBLANK(INDEX(PlotData,MATCH($A437,PlotNumber,0),MATCH(I$3,PlotTitles,0))),"",(DATEVALUE(INDEX(PlotData,MATCH($A437,PlotNumber,0),MATCH(I$3,PlotTitles,0))&amp;INDEX(PlotData,MATCH($A437,PlotNumber,0),MATCH(J$3,PlotTitles,0))))&lt;DATEVALUE(StartDateMonth&amp;StartDateYear),$AB$15,TRUE,"")</f>
        <v/>
      </c>
      <c r="M437" s="104" t="str" cm="1">
        <f t="array" ref="M437">_xlfn.IFS(OR(ISBLANK(StartDateMonth),ISBLANK(StartDateYear)),"",AND(A437&gt;NumberOfPlots,ISBLANK(INDEX(PlotData,MATCH($A437,PlotNumber,0),MATCH(B$3,PlotTitles,0)))),"",ISBLANK(INDEX(PlotData,MATCH($A437,PlotNumber,0),MATCH(I$3,PlotTitles,0))),"",CompletionMonth="","",(DATEVALUE(INDEX(PlotData,MATCH($A437,PlotNumber,0),MATCH(I$3,PlotTitles,0))&amp;INDEX(PlotData,MATCH($A437,PlotNumber,0),MATCH(J$3,PlotTitles,0))))&gt;(DATEVALUE(CompletionMonth&amp;CompletionYear)),$AB$16,TRUE,"")</f>
        <v/>
      </c>
      <c r="N437" s="104" t="str" cm="1">
        <f t="array" ref="N437">_xlfn.IFS(AND(A437&gt;NumberOfPlots,ISBLANK(INDEX(PlotData,MATCH($A437,PlotNumber,0),MATCH(B$3,PlotTitles,0)))),"",ISBLANK(INDEX(PlotData,MATCH($A437,PlotNumber,0),MATCH(N$3,PlotTitles,0))),$AB$17,TRUE,"")</f>
        <v/>
      </c>
      <c r="O437" s="104" t="str" cm="1">
        <f t="array" ref="O437">_xlfn.IFS(AND(A437&gt;NumberOfPlots,ISBLANK(INDEX(PlotData,MATCH($A437,PlotNumber,0),MATCH(B$3,PlotTitles,0)))),"",ISBLANK(INDEX(PlotData,MATCH($A437,PlotNumber,0),MATCH(O$3,PlotTitles,0))),$AB$18,TRUE,"")</f>
        <v/>
      </c>
      <c r="P437" s="182" t="str">
        <f t="shared" ca="1" si="19"/>
        <v/>
      </c>
      <c r="Q437" s="104" t="str" cm="1">
        <f t="array" ref="Q437">_xlfn.IFS(AND(A437&gt;NumberOfPlots,ISBLANK(INDEX(PlotData,MATCH($A437,PlotNumber,0),MATCH(B$3,PlotTitles,0)))),"",ISBLANK(INDEX(PlotData,MATCH($A437,PlotNumber,0),MATCH(N$3,PlotTitles,0))),"",(DATEVALUE(INDEX(PlotData,MATCH($A437,PlotNumber,0),MATCH(N$3,PlotTitles,0))&amp;INDEX(PlotData,MATCH($A437,PlotNumber,0),MATCH(O$3,PlotTitles,0))))&lt;(DATEVALUE(INDEX(PlotData,MATCH($A437,PlotNumber,0),MATCH(I$3,PlotTitles,0))&amp;INDEX(PlotData,MATCH($A437,PlotNumber,0),MATCH(J$3,PlotTitles,0)))),$AB$20,TRUE,"")</f>
        <v/>
      </c>
      <c r="R437" s="104" t="str" cm="1">
        <f t="array" ref="R437">_xlfn.IFS(OR(ISBLANK(StartDateMonth),ISBLANK(StartDateYear)),"",AND(A437&gt;NumberOfPlots,ISBLANK(INDEX(PlotData,MATCH($A437,PlotNumber,0),MATCH(B$3,PlotTitles,0)))),"",ISBLANK(INDEX(PlotData,MATCH($A437,PlotNumber,0),MATCH(N$3,PlotTitles,0))),"",CompletionMonth="","",(DATEVALUE(INDEX(PlotData,MATCH($A437,PlotNumber,0),MATCH(N$3,PlotTitles,0))&amp;INDEX(PlotData,MATCH($A437,PlotNumber,0),MATCH(O$3,PlotTitles,0))))&gt;(DATEVALUE(CompletionMonth&amp;CompletionYear)),$AB$21,TRUE,"")</f>
        <v/>
      </c>
      <c r="S437" s="104" t="str" cm="1">
        <f t="array" ref="S437">_xlfn.IFS(AND(A437&gt;NumberOfPlots,ISBLANK(INDEX(PlotData,MATCH($A437,PlotNumber,0),MATCH(B$3,PlotTitles,0)))),"",OR(AND(INDEX(PlotData,MATCH($A437,PlotNumber,0),MATCH("Tenure",PlotTitles,0))="Open market housing",INDEX(PlotData,MATCH($A437,PlotNumber,0),MATCH("Tenure detail",PlotTitles,0))="Private rented sector"),INDEX(PlotData,MATCH($A437,PlotNumber,0),MATCH("Tenure",PlotTitles,0))="Affordable rent"),"",ISNUMBER(INDEX(PlotData,MATCH($A437,PlotNumber,0),MATCH(S$3,PlotTitles,0)))=FALSE, $AB$22,TRUE,"")</f>
        <v/>
      </c>
      <c r="T437" s="104" t="str" cm="1">
        <f t="array" ref="T437">_xlfn.IFS(AND(A437&gt;NumberOfPlots,ISBLANK(INDEX(PlotData,MATCH($A437,PlotNumber,0),MATCH(B$3,PlotTitles,0)))),"",OR(AND(INDEX(PlotData,MATCH($A437,PlotNumber,0),MATCH("Tenure",PlotTitles,0))="Open market housing",INDEX(PlotData,MATCH($A437,PlotNumber,0),MATCH("Tenure detail",PlotTitles,0))="Private rented sector"),INDEX(PlotData,MATCH($A437,PlotNumber,0),MATCH("Tenure",PlotTitles,0))="Affordable rent"),"",INDEX(PlotData,MATCH($A437,PlotNumber,0),MATCH(S$3,PlotTitles,0))&lt;10000, $AB$23,TRUE,"")</f>
        <v/>
      </c>
      <c r="U437" s="104" t="str" cm="1">
        <f t="array" ref="U437">_xlfn.IFS(AND(A437&gt;NumberOfPlots,ISBLANK(INDEX(PlotData,MATCH($A437,PlotNumber,0),MATCH(B$3,PlotTitles,0)))),"",NOT(OR(AND(INDEX(PlotData,MATCH($A437,PlotNumber,0),MATCH("Tenure",PlotTitles,0))="Open market housing",INDEX(PlotData,MATCH($A437,PlotNumber,0),MATCH("Tenure detail",PlotTitles,0))="Private rented sector"),INDEX(PlotData,MATCH($A437,PlotNumber,0),MATCH("Tenure",PlotTitles,0))="Affordable rent")),"",NOT(INDEX(PlotData,MATCH($A437,PlotNumber,0),MATCH(S$3,PlotTitles,0))=0), $AB$24,TRUE,"")</f>
        <v/>
      </c>
      <c r="V437" s="114" t="str" cm="1">
        <f t="array" aca="1" ref="V437" ca="1">_xlfn.IFS(ISBLANK(NumberOfPlots),"Enter the number of homes on the 1_SetUp sheet",AND(A437&gt;NumberOfPlots,ISBLANK(INDEX(PlotData,MATCH($A437,PlotNumber,0),MATCH(B$3,PlotTitles,0)))),"No error",NOT(B437=""),B437,NOT(C437=""),C437,NOT(D437=""),D437,NOT(E437=""),E437,NOT(F437=""),F437,NOT(G437=""),G437,NOT(H437=""),H437,NOT(I437=""),I437,NOT(J437=""),J437,NOT(K437=""),K437,NOT(L437=""),L437,NOT(M437=""),M437,NOT(N437=""),N437,NOT(O437=""),O437,NOT(P437=""),P437,NOT(Q437=""),Q437,NOT(R437=""),R437,NOT(S437=""),S437,NOT(T437=""),T437,NOT(U437=""),U437,TRUE,"No error")</f>
        <v>Enter the number of homes on the 1_SetUp sheet</v>
      </c>
      <c r="W437" s="114" t="str">
        <f t="shared" ca="1" si="20"/>
        <v xml:space="preserve">The Borrower has not addressed the following error messages for Home ID 433: </v>
      </c>
    </row>
    <row r="438" spans="1:23">
      <c r="A438" s="123">
        <v>434</v>
      </c>
      <c r="B438" s="104" t="str" cm="1">
        <f t="array" ref="B438">_xlfn.IFS(AND(A438&gt;NumberOfPlots,ISBLANK(INDEX(PlotData,MATCH($A438,PlotNumber,0),MATCH(B$3,PlotTitles,0)))),"",ISNUMBER(INDEX(PlotData,MATCH($A438,PlotNumber,0),MATCH(B$3,PlotTitles,0)))=FALSE, $AB$5,TRUE,"")</f>
        <v/>
      </c>
      <c r="C438" s="104" t="str" cm="1">
        <f t="array" ref="C438">_xlfn.IFS(AND(A438&gt;NumberOfPlots,ISBLANK(INDEX(PlotData,MATCH($A438,PlotNumber,0),MATCH(B$3,PlotTitles,0)))),"",ISBLANK(INDEX(PlotData,MATCH($A438,PlotNumber,0),MATCH(C$3,PlotTitles,0))),$AB$6,TRUE,"")</f>
        <v/>
      </c>
      <c r="D438" s="104" t="str" cm="1">
        <f t="array" ref="D438">_xlfn.IFS(AND(A438&gt;NumberOfPlots,ISBLANK(INDEX(PlotData,MATCH($A438,PlotNumber,0),MATCH(B$3,PlotTitles,0)))),"",ISBLANK(INDEX(PlotData,MATCH($A438,PlotNumber,0),MATCH(D$3,PlotTitles,0))),$AB$7,TRUE,"")</f>
        <v/>
      </c>
      <c r="E438" s="104" t="str" cm="1">
        <f t="array" ref="E438">_xlfn.IFS(AND(A438&gt;NumberOfPlots,ISBLANK(INDEX(PlotData,MATCH($A438,PlotNumber,0),MATCH(B$3,PlotTitles,0)))),"",ISBLANK(INDEX(PlotData,MATCH($A438,PlotNumber,0),MATCH(E$3,PlotTitles,0))),$AB$8,TRUE,"")</f>
        <v/>
      </c>
      <c r="F438" s="104" t="str" cm="1">
        <f t="array" ref="F438">_xlfn.IFS(AND(A438&gt;NumberOfPlots,ISBLANK(INDEX(PlotData,MATCH($A438,PlotNumber,0),MATCH(B$3,PlotTitles,0)))),"",ISBLANK(INDEX(PlotData,MATCH($A438,PlotNumber,0),MATCH(F$3,PlotTitles,0))),$AB$9,TRUE,"")</f>
        <v/>
      </c>
      <c r="G438" s="104" t="str" cm="1">
        <f t="array" ref="G438">_xlfn.IFS(AND(A438&gt;NumberOfPlots,ISBLANK(INDEX(PlotData,MATCH($A438,PlotNumber,0),MATCH(B$3,PlotTitles,0)))),"",ISBLANK(INDEX(PlotData,MATCH($A438,PlotNumber,0),MATCH(G$3,PlotTitles,0))),$AB$10,TRUE,"")</f>
        <v/>
      </c>
      <c r="H438" s="104" t="str" cm="1">
        <f t="array" ref="H438">_xlfn.IFS(AND(A438&gt;NumberOfPlots,ISBLANK(INDEX(PlotData,MATCH($A438,PlotNumber,0),MATCH(B$3,PlotTitles,0)))),"",AND(ISBLANK(INDEX(PlotData,MATCH($A438,PlotNumber,0),MATCH(H$3,PlotTitles,0)))=FALSE,INDEX(PlotData,MATCH($A438,PlotNumber,0),MATCH(H$3,PlotTitles,0))&lt;500), $AB$11,TRUE,"")</f>
        <v/>
      </c>
      <c r="I438" s="104" t="str" cm="1">
        <f t="array" ref="I438">_xlfn.IFS(AND(A438&gt;NumberOfPlots,ISBLANK(INDEX(PlotData,MATCH($A438,PlotNumber,0),MATCH(B$3,PlotTitles,0)))),"",ISBLANK(INDEX(PlotData,MATCH($A438,PlotNumber,0),MATCH(I$3,PlotTitles,0))),$AB$12,TRUE,"")</f>
        <v/>
      </c>
      <c r="J438" s="104" t="str" cm="1">
        <f t="array" ref="J438">_xlfn.IFS(AND(A438&gt;NumberOfPlots,ISBLANK(INDEX(PlotData,MATCH($A438,PlotNumber,0),MATCH(B$3,PlotTitles,0)))),"",ISBLANK(INDEX(PlotData,MATCH($A438,PlotNumber,0),MATCH(J$3,PlotTitles,0))),$AB$13,TRUE,"")</f>
        <v/>
      </c>
      <c r="K438" s="182" t="str">
        <f t="shared" ca="1" si="18"/>
        <v/>
      </c>
      <c r="L438" s="104" t="str" cm="1">
        <f t="array" ref="L438">_xlfn.IFS(OR(ISBLANK(StartDateMonth),ISBLANK(StartDateYear)),"",AND(A438&gt;NumberOfPlots,ISBLANK(INDEX(PlotData,MATCH($A438,PlotNumber,0),MATCH(B$3,PlotTitles,0)))),"",ISBLANK(INDEX(PlotData,MATCH($A438,PlotNumber,0),MATCH(I$3,PlotTitles,0))),"",(DATEVALUE(INDEX(PlotData,MATCH($A438,PlotNumber,0),MATCH(I$3,PlotTitles,0))&amp;INDEX(PlotData,MATCH($A438,PlotNumber,0),MATCH(J$3,PlotTitles,0))))&lt;DATEVALUE(StartDateMonth&amp;StartDateYear),$AB$15,TRUE,"")</f>
        <v/>
      </c>
      <c r="M438" s="104" t="str" cm="1">
        <f t="array" ref="M438">_xlfn.IFS(OR(ISBLANK(StartDateMonth),ISBLANK(StartDateYear)),"",AND(A438&gt;NumberOfPlots,ISBLANK(INDEX(PlotData,MATCH($A438,PlotNumber,0),MATCH(B$3,PlotTitles,0)))),"",ISBLANK(INDEX(PlotData,MATCH($A438,PlotNumber,0),MATCH(I$3,PlotTitles,0))),"",CompletionMonth="","",(DATEVALUE(INDEX(PlotData,MATCH($A438,PlotNumber,0),MATCH(I$3,PlotTitles,0))&amp;INDEX(PlotData,MATCH($A438,PlotNumber,0),MATCH(J$3,PlotTitles,0))))&gt;(DATEVALUE(CompletionMonth&amp;CompletionYear)),$AB$16,TRUE,"")</f>
        <v/>
      </c>
      <c r="N438" s="104" t="str" cm="1">
        <f t="array" ref="N438">_xlfn.IFS(AND(A438&gt;NumberOfPlots,ISBLANK(INDEX(PlotData,MATCH($A438,PlotNumber,0),MATCH(B$3,PlotTitles,0)))),"",ISBLANK(INDEX(PlotData,MATCH($A438,PlotNumber,0),MATCH(N$3,PlotTitles,0))),$AB$17,TRUE,"")</f>
        <v/>
      </c>
      <c r="O438" s="104" t="str" cm="1">
        <f t="array" ref="O438">_xlfn.IFS(AND(A438&gt;NumberOfPlots,ISBLANK(INDEX(PlotData,MATCH($A438,PlotNumber,0),MATCH(B$3,PlotTitles,0)))),"",ISBLANK(INDEX(PlotData,MATCH($A438,PlotNumber,0),MATCH(O$3,PlotTitles,0))),$AB$18,TRUE,"")</f>
        <v/>
      </c>
      <c r="P438" s="182" t="str">
        <f t="shared" ca="1" si="19"/>
        <v/>
      </c>
      <c r="Q438" s="104" t="str" cm="1">
        <f t="array" ref="Q438">_xlfn.IFS(AND(A438&gt;NumberOfPlots,ISBLANK(INDEX(PlotData,MATCH($A438,PlotNumber,0),MATCH(B$3,PlotTitles,0)))),"",ISBLANK(INDEX(PlotData,MATCH($A438,PlotNumber,0),MATCH(N$3,PlotTitles,0))),"",(DATEVALUE(INDEX(PlotData,MATCH($A438,PlotNumber,0),MATCH(N$3,PlotTitles,0))&amp;INDEX(PlotData,MATCH($A438,PlotNumber,0),MATCH(O$3,PlotTitles,0))))&lt;(DATEVALUE(INDEX(PlotData,MATCH($A438,PlotNumber,0),MATCH(I$3,PlotTitles,0))&amp;INDEX(PlotData,MATCH($A438,PlotNumber,0),MATCH(J$3,PlotTitles,0)))),$AB$20,TRUE,"")</f>
        <v/>
      </c>
      <c r="R438" s="104" t="str" cm="1">
        <f t="array" ref="R438">_xlfn.IFS(OR(ISBLANK(StartDateMonth),ISBLANK(StartDateYear)),"",AND(A438&gt;NumberOfPlots,ISBLANK(INDEX(PlotData,MATCH($A438,PlotNumber,0),MATCH(B$3,PlotTitles,0)))),"",ISBLANK(INDEX(PlotData,MATCH($A438,PlotNumber,0),MATCH(N$3,PlotTitles,0))),"",CompletionMonth="","",(DATEVALUE(INDEX(PlotData,MATCH($A438,PlotNumber,0),MATCH(N$3,PlotTitles,0))&amp;INDEX(PlotData,MATCH($A438,PlotNumber,0),MATCH(O$3,PlotTitles,0))))&gt;(DATEVALUE(CompletionMonth&amp;CompletionYear)),$AB$21,TRUE,"")</f>
        <v/>
      </c>
      <c r="S438" s="104" t="str" cm="1">
        <f t="array" ref="S438">_xlfn.IFS(AND(A438&gt;NumberOfPlots,ISBLANK(INDEX(PlotData,MATCH($A438,PlotNumber,0),MATCH(B$3,PlotTitles,0)))),"",OR(AND(INDEX(PlotData,MATCH($A438,PlotNumber,0),MATCH("Tenure",PlotTitles,0))="Open market housing",INDEX(PlotData,MATCH($A438,PlotNumber,0),MATCH("Tenure detail",PlotTitles,0))="Private rented sector"),INDEX(PlotData,MATCH($A438,PlotNumber,0),MATCH("Tenure",PlotTitles,0))="Affordable rent"),"",ISNUMBER(INDEX(PlotData,MATCH($A438,PlotNumber,0),MATCH(S$3,PlotTitles,0)))=FALSE, $AB$22,TRUE,"")</f>
        <v/>
      </c>
      <c r="T438" s="104" t="str" cm="1">
        <f t="array" ref="T438">_xlfn.IFS(AND(A438&gt;NumberOfPlots,ISBLANK(INDEX(PlotData,MATCH($A438,PlotNumber,0),MATCH(B$3,PlotTitles,0)))),"",OR(AND(INDEX(PlotData,MATCH($A438,PlotNumber,0),MATCH("Tenure",PlotTitles,0))="Open market housing",INDEX(PlotData,MATCH($A438,PlotNumber,0),MATCH("Tenure detail",PlotTitles,0))="Private rented sector"),INDEX(PlotData,MATCH($A438,PlotNumber,0),MATCH("Tenure",PlotTitles,0))="Affordable rent"),"",INDEX(PlotData,MATCH($A438,PlotNumber,0),MATCH(S$3,PlotTitles,0))&lt;10000, $AB$23,TRUE,"")</f>
        <v/>
      </c>
      <c r="U438" s="104" t="str" cm="1">
        <f t="array" ref="U438">_xlfn.IFS(AND(A438&gt;NumberOfPlots,ISBLANK(INDEX(PlotData,MATCH($A438,PlotNumber,0),MATCH(B$3,PlotTitles,0)))),"",NOT(OR(AND(INDEX(PlotData,MATCH($A438,PlotNumber,0),MATCH("Tenure",PlotTitles,0))="Open market housing",INDEX(PlotData,MATCH($A438,PlotNumber,0),MATCH("Tenure detail",PlotTitles,0))="Private rented sector"),INDEX(PlotData,MATCH($A438,PlotNumber,0),MATCH("Tenure",PlotTitles,0))="Affordable rent")),"",NOT(INDEX(PlotData,MATCH($A438,PlotNumber,0),MATCH(S$3,PlotTitles,0))=0), $AB$24,TRUE,"")</f>
        <v/>
      </c>
      <c r="V438" s="114" t="str" cm="1">
        <f t="array" aca="1" ref="V438" ca="1">_xlfn.IFS(ISBLANK(NumberOfPlots),"Enter the number of homes on the 1_SetUp sheet",AND(A438&gt;NumberOfPlots,ISBLANK(INDEX(PlotData,MATCH($A438,PlotNumber,0),MATCH(B$3,PlotTitles,0)))),"No error",NOT(B438=""),B438,NOT(C438=""),C438,NOT(D438=""),D438,NOT(E438=""),E438,NOT(F438=""),F438,NOT(G438=""),G438,NOT(H438=""),H438,NOT(I438=""),I438,NOT(J438=""),J438,NOT(K438=""),K438,NOT(L438=""),L438,NOT(M438=""),M438,NOT(N438=""),N438,NOT(O438=""),O438,NOT(P438=""),P438,NOT(Q438=""),Q438,NOT(R438=""),R438,NOT(S438=""),S438,NOT(T438=""),T438,NOT(U438=""),U438,TRUE,"No error")</f>
        <v>Enter the number of homes on the 1_SetUp sheet</v>
      </c>
      <c r="W438" s="114" t="str">
        <f t="shared" ca="1" si="20"/>
        <v xml:space="preserve">The Borrower has not addressed the following error messages for Home ID 434: </v>
      </c>
    </row>
    <row r="439" spans="1:23">
      <c r="A439" s="123">
        <v>435</v>
      </c>
      <c r="B439" s="104" t="str" cm="1">
        <f t="array" ref="B439">_xlfn.IFS(AND(A439&gt;NumberOfPlots,ISBLANK(INDEX(PlotData,MATCH($A439,PlotNumber,0),MATCH(B$3,PlotTitles,0)))),"",ISNUMBER(INDEX(PlotData,MATCH($A439,PlotNumber,0),MATCH(B$3,PlotTitles,0)))=FALSE, $AB$5,TRUE,"")</f>
        <v/>
      </c>
      <c r="C439" s="104" t="str" cm="1">
        <f t="array" ref="C439">_xlfn.IFS(AND(A439&gt;NumberOfPlots,ISBLANK(INDEX(PlotData,MATCH($A439,PlotNumber,0),MATCH(B$3,PlotTitles,0)))),"",ISBLANK(INDEX(PlotData,MATCH($A439,PlotNumber,0),MATCH(C$3,PlotTitles,0))),$AB$6,TRUE,"")</f>
        <v/>
      </c>
      <c r="D439" s="104" t="str" cm="1">
        <f t="array" ref="D439">_xlfn.IFS(AND(A439&gt;NumberOfPlots,ISBLANK(INDEX(PlotData,MATCH($A439,PlotNumber,0),MATCH(B$3,PlotTitles,0)))),"",ISBLANK(INDEX(PlotData,MATCH($A439,PlotNumber,0),MATCH(D$3,PlotTitles,0))),$AB$7,TRUE,"")</f>
        <v/>
      </c>
      <c r="E439" s="104" t="str" cm="1">
        <f t="array" ref="E439">_xlfn.IFS(AND(A439&gt;NumberOfPlots,ISBLANK(INDEX(PlotData,MATCH($A439,PlotNumber,0),MATCH(B$3,PlotTitles,0)))),"",ISBLANK(INDEX(PlotData,MATCH($A439,PlotNumber,0),MATCH(E$3,PlotTitles,0))),$AB$8,TRUE,"")</f>
        <v/>
      </c>
      <c r="F439" s="104" t="str" cm="1">
        <f t="array" ref="F439">_xlfn.IFS(AND(A439&gt;NumberOfPlots,ISBLANK(INDEX(PlotData,MATCH($A439,PlotNumber,0),MATCH(B$3,PlotTitles,0)))),"",ISBLANK(INDEX(PlotData,MATCH($A439,PlotNumber,0),MATCH(F$3,PlotTitles,0))),$AB$9,TRUE,"")</f>
        <v/>
      </c>
      <c r="G439" s="104" t="str" cm="1">
        <f t="array" ref="G439">_xlfn.IFS(AND(A439&gt;NumberOfPlots,ISBLANK(INDEX(PlotData,MATCH($A439,PlotNumber,0),MATCH(B$3,PlotTitles,0)))),"",ISBLANK(INDEX(PlotData,MATCH($A439,PlotNumber,0),MATCH(G$3,PlotTitles,0))),$AB$10,TRUE,"")</f>
        <v/>
      </c>
      <c r="H439" s="104" t="str" cm="1">
        <f t="array" ref="H439">_xlfn.IFS(AND(A439&gt;NumberOfPlots,ISBLANK(INDEX(PlotData,MATCH($A439,PlotNumber,0),MATCH(B$3,PlotTitles,0)))),"",AND(ISBLANK(INDEX(PlotData,MATCH($A439,PlotNumber,0),MATCH(H$3,PlotTitles,0)))=FALSE,INDEX(PlotData,MATCH($A439,PlotNumber,0),MATCH(H$3,PlotTitles,0))&lt;500), $AB$11,TRUE,"")</f>
        <v/>
      </c>
      <c r="I439" s="104" t="str" cm="1">
        <f t="array" ref="I439">_xlfn.IFS(AND(A439&gt;NumberOfPlots,ISBLANK(INDEX(PlotData,MATCH($A439,PlotNumber,0),MATCH(B$3,PlotTitles,0)))),"",ISBLANK(INDEX(PlotData,MATCH($A439,PlotNumber,0),MATCH(I$3,PlotTitles,0))),$AB$12,TRUE,"")</f>
        <v/>
      </c>
      <c r="J439" s="104" t="str" cm="1">
        <f t="array" ref="J439">_xlfn.IFS(AND(A439&gt;NumberOfPlots,ISBLANK(INDEX(PlotData,MATCH($A439,PlotNumber,0),MATCH(B$3,PlotTitles,0)))),"",ISBLANK(INDEX(PlotData,MATCH($A439,PlotNumber,0),MATCH(J$3,PlotTitles,0))),$AB$13,TRUE,"")</f>
        <v/>
      </c>
      <c r="K439" s="182" t="str">
        <f t="shared" ca="1" si="18"/>
        <v/>
      </c>
      <c r="L439" s="104" t="str" cm="1">
        <f t="array" ref="L439">_xlfn.IFS(OR(ISBLANK(StartDateMonth),ISBLANK(StartDateYear)),"",AND(A439&gt;NumberOfPlots,ISBLANK(INDEX(PlotData,MATCH($A439,PlotNumber,0),MATCH(B$3,PlotTitles,0)))),"",ISBLANK(INDEX(PlotData,MATCH($A439,PlotNumber,0),MATCH(I$3,PlotTitles,0))),"",(DATEVALUE(INDEX(PlotData,MATCH($A439,PlotNumber,0),MATCH(I$3,PlotTitles,0))&amp;INDEX(PlotData,MATCH($A439,PlotNumber,0),MATCH(J$3,PlotTitles,0))))&lt;DATEVALUE(StartDateMonth&amp;StartDateYear),$AB$15,TRUE,"")</f>
        <v/>
      </c>
      <c r="M439" s="104" t="str" cm="1">
        <f t="array" ref="M439">_xlfn.IFS(OR(ISBLANK(StartDateMonth),ISBLANK(StartDateYear)),"",AND(A439&gt;NumberOfPlots,ISBLANK(INDEX(PlotData,MATCH($A439,PlotNumber,0),MATCH(B$3,PlotTitles,0)))),"",ISBLANK(INDEX(PlotData,MATCH($A439,PlotNumber,0),MATCH(I$3,PlotTitles,0))),"",CompletionMonth="","",(DATEVALUE(INDEX(PlotData,MATCH($A439,PlotNumber,0),MATCH(I$3,PlotTitles,0))&amp;INDEX(PlotData,MATCH($A439,PlotNumber,0),MATCH(J$3,PlotTitles,0))))&gt;(DATEVALUE(CompletionMonth&amp;CompletionYear)),$AB$16,TRUE,"")</f>
        <v/>
      </c>
      <c r="N439" s="104" t="str" cm="1">
        <f t="array" ref="N439">_xlfn.IFS(AND(A439&gt;NumberOfPlots,ISBLANK(INDEX(PlotData,MATCH($A439,PlotNumber,0),MATCH(B$3,PlotTitles,0)))),"",ISBLANK(INDEX(PlotData,MATCH($A439,PlotNumber,0),MATCH(N$3,PlotTitles,0))),$AB$17,TRUE,"")</f>
        <v/>
      </c>
      <c r="O439" s="104" t="str" cm="1">
        <f t="array" ref="O439">_xlfn.IFS(AND(A439&gt;NumberOfPlots,ISBLANK(INDEX(PlotData,MATCH($A439,PlotNumber,0),MATCH(B$3,PlotTitles,0)))),"",ISBLANK(INDEX(PlotData,MATCH($A439,PlotNumber,0),MATCH(O$3,PlotTitles,0))),$AB$18,TRUE,"")</f>
        <v/>
      </c>
      <c r="P439" s="182" t="str">
        <f t="shared" ca="1" si="19"/>
        <v/>
      </c>
      <c r="Q439" s="104" t="str" cm="1">
        <f t="array" ref="Q439">_xlfn.IFS(AND(A439&gt;NumberOfPlots,ISBLANK(INDEX(PlotData,MATCH($A439,PlotNumber,0),MATCH(B$3,PlotTitles,0)))),"",ISBLANK(INDEX(PlotData,MATCH($A439,PlotNumber,0),MATCH(N$3,PlotTitles,0))),"",(DATEVALUE(INDEX(PlotData,MATCH($A439,PlotNumber,0),MATCH(N$3,PlotTitles,0))&amp;INDEX(PlotData,MATCH($A439,PlotNumber,0),MATCH(O$3,PlotTitles,0))))&lt;(DATEVALUE(INDEX(PlotData,MATCH($A439,PlotNumber,0),MATCH(I$3,PlotTitles,0))&amp;INDEX(PlotData,MATCH($A439,PlotNumber,0),MATCH(J$3,PlotTitles,0)))),$AB$20,TRUE,"")</f>
        <v/>
      </c>
      <c r="R439" s="104" t="str" cm="1">
        <f t="array" ref="R439">_xlfn.IFS(OR(ISBLANK(StartDateMonth),ISBLANK(StartDateYear)),"",AND(A439&gt;NumberOfPlots,ISBLANK(INDEX(PlotData,MATCH($A439,PlotNumber,0),MATCH(B$3,PlotTitles,0)))),"",ISBLANK(INDEX(PlotData,MATCH($A439,PlotNumber,0),MATCH(N$3,PlotTitles,0))),"",CompletionMonth="","",(DATEVALUE(INDEX(PlotData,MATCH($A439,PlotNumber,0),MATCH(N$3,PlotTitles,0))&amp;INDEX(PlotData,MATCH($A439,PlotNumber,0),MATCH(O$3,PlotTitles,0))))&gt;(DATEVALUE(CompletionMonth&amp;CompletionYear)),$AB$21,TRUE,"")</f>
        <v/>
      </c>
      <c r="S439" s="104" t="str" cm="1">
        <f t="array" ref="S439">_xlfn.IFS(AND(A439&gt;NumberOfPlots,ISBLANK(INDEX(PlotData,MATCH($A439,PlotNumber,0),MATCH(B$3,PlotTitles,0)))),"",OR(AND(INDEX(PlotData,MATCH($A439,PlotNumber,0),MATCH("Tenure",PlotTitles,0))="Open market housing",INDEX(PlotData,MATCH($A439,PlotNumber,0),MATCH("Tenure detail",PlotTitles,0))="Private rented sector"),INDEX(PlotData,MATCH($A439,PlotNumber,0),MATCH("Tenure",PlotTitles,0))="Affordable rent"),"",ISNUMBER(INDEX(PlotData,MATCH($A439,PlotNumber,0),MATCH(S$3,PlotTitles,0)))=FALSE, $AB$22,TRUE,"")</f>
        <v/>
      </c>
      <c r="T439" s="104" t="str" cm="1">
        <f t="array" ref="T439">_xlfn.IFS(AND(A439&gt;NumberOfPlots,ISBLANK(INDEX(PlotData,MATCH($A439,PlotNumber,0),MATCH(B$3,PlotTitles,0)))),"",OR(AND(INDEX(PlotData,MATCH($A439,PlotNumber,0),MATCH("Tenure",PlotTitles,0))="Open market housing",INDEX(PlotData,MATCH($A439,PlotNumber,0),MATCH("Tenure detail",PlotTitles,0))="Private rented sector"),INDEX(PlotData,MATCH($A439,PlotNumber,0),MATCH("Tenure",PlotTitles,0))="Affordable rent"),"",INDEX(PlotData,MATCH($A439,PlotNumber,0),MATCH(S$3,PlotTitles,0))&lt;10000, $AB$23,TRUE,"")</f>
        <v/>
      </c>
      <c r="U439" s="104" t="str" cm="1">
        <f t="array" ref="U439">_xlfn.IFS(AND(A439&gt;NumberOfPlots,ISBLANK(INDEX(PlotData,MATCH($A439,PlotNumber,0),MATCH(B$3,PlotTitles,0)))),"",NOT(OR(AND(INDEX(PlotData,MATCH($A439,PlotNumber,0),MATCH("Tenure",PlotTitles,0))="Open market housing",INDEX(PlotData,MATCH($A439,PlotNumber,0),MATCH("Tenure detail",PlotTitles,0))="Private rented sector"),INDEX(PlotData,MATCH($A439,PlotNumber,0),MATCH("Tenure",PlotTitles,0))="Affordable rent")),"",NOT(INDEX(PlotData,MATCH($A439,PlotNumber,0),MATCH(S$3,PlotTitles,0))=0), $AB$24,TRUE,"")</f>
        <v/>
      </c>
      <c r="V439" s="114" t="str" cm="1">
        <f t="array" aca="1" ref="V439" ca="1">_xlfn.IFS(ISBLANK(NumberOfPlots),"Enter the number of homes on the 1_SetUp sheet",AND(A439&gt;NumberOfPlots,ISBLANK(INDEX(PlotData,MATCH($A439,PlotNumber,0),MATCH(B$3,PlotTitles,0)))),"No error",NOT(B439=""),B439,NOT(C439=""),C439,NOT(D439=""),D439,NOT(E439=""),E439,NOT(F439=""),F439,NOT(G439=""),G439,NOT(H439=""),H439,NOT(I439=""),I439,NOT(J439=""),J439,NOT(K439=""),K439,NOT(L439=""),L439,NOT(M439=""),M439,NOT(N439=""),N439,NOT(O439=""),O439,NOT(P439=""),P439,NOT(Q439=""),Q439,NOT(R439=""),R439,NOT(S439=""),S439,NOT(T439=""),T439,NOT(U439=""),U439,TRUE,"No error")</f>
        <v>Enter the number of homes on the 1_SetUp sheet</v>
      </c>
      <c r="W439" s="114" t="str">
        <f t="shared" ca="1" si="20"/>
        <v xml:space="preserve">The Borrower has not addressed the following error messages for Home ID 435: </v>
      </c>
    </row>
    <row r="440" spans="1:23">
      <c r="A440" s="123">
        <v>436</v>
      </c>
      <c r="B440" s="104" t="str" cm="1">
        <f t="array" ref="B440">_xlfn.IFS(AND(A440&gt;NumberOfPlots,ISBLANK(INDEX(PlotData,MATCH($A440,PlotNumber,0),MATCH(B$3,PlotTitles,0)))),"",ISNUMBER(INDEX(PlotData,MATCH($A440,PlotNumber,0),MATCH(B$3,PlotTitles,0)))=FALSE, $AB$5,TRUE,"")</f>
        <v/>
      </c>
      <c r="C440" s="104" t="str" cm="1">
        <f t="array" ref="C440">_xlfn.IFS(AND(A440&gt;NumberOfPlots,ISBLANK(INDEX(PlotData,MATCH($A440,PlotNumber,0),MATCH(B$3,PlotTitles,0)))),"",ISBLANK(INDEX(PlotData,MATCH($A440,PlotNumber,0),MATCH(C$3,PlotTitles,0))),$AB$6,TRUE,"")</f>
        <v/>
      </c>
      <c r="D440" s="104" t="str" cm="1">
        <f t="array" ref="D440">_xlfn.IFS(AND(A440&gt;NumberOfPlots,ISBLANK(INDEX(PlotData,MATCH($A440,PlotNumber,0),MATCH(B$3,PlotTitles,0)))),"",ISBLANK(INDEX(PlotData,MATCH($A440,PlotNumber,0),MATCH(D$3,PlotTitles,0))),$AB$7,TRUE,"")</f>
        <v/>
      </c>
      <c r="E440" s="104" t="str" cm="1">
        <f t="array" ref="E440">_xlfn.IFS(AND(A440&gt;NumberOfPlots,ISBLANK(INDEX(PlotData,MATCH($A440,PlotNumber,0),MATCH(B$3,PlotTitles,0)))),"",ISBLANK(INDEX(PlotData,MATCH($A440,PlotNumber,0),MATCH(E$3,PlotTitles,0))),$AB$8,TRUE,"")</f>
        <v/>
      </c>
      <c r="F440" s="104" t="str" cm="1">
        <f t="array" ref="F440">_xlfn.IFS(AND(A440&gt;NumberOfPlots,ISBLANK(INDEX(PlotData,MATCH($A440,PlotNumber,0),MATCH(B$3,PlotTitles,0)))),"",ISBLANK(INDEX(PlotData,MATCH($A440,PlotNumber,0),MATCH(F$3,PlotTitles,0))),$AB$9,TRUE,"")</f>
        <v/>
      </c>
      <c r="G440" s="104" t="str" cm="1">
        <f t="array" ref="G440">_xlfn.IFS(AND(A440&gt;NumberOfPlots,ISBLANK(INDEX(PlotData,MATCH($A440,PlotNumber,0),MATCH(B$3,PlotTitles,0)))),"",ISBLANK(INDEX(PlotData,MATCH($A440,PlotNumber,0),MATCH(G$3,PlotTitles,0))),$AB$10,TRUE,"")</f>
        <v/>
      </c>
      <c r="H440" s="104" t="str" cm="1">
        <f t="array" ref="H440">_xlfn.IFS(AND(A440&gt;NumberOfPlots,ISBLANK(INDEX(PlotData,MATCH($A440,PlotNumber,0),MATCH(B$3,PlotTitles,0)))),"",AND(ISBLANK(INDEX(PlotData,MATCH($A440,PlotNumber,0),MATCH(H$3,PlotTitles,0)))=FALSE,INDEX(PlotData,MATCH($A440,PlotNumber,0),MATCH(H$3,PlotTitles,0))&lt;500), $AB$11,TRUE,"")</f>
        <v/>
      </c>
      <c r="I440" s="104" t="str" cm="1">
        <f t="array" ref="I440">_xlfn.IFS(AND(A440&gt;NumberOfPlots,ISBLANK(INDEX(PlotData,MATCH($A440,PlotNumber,0),MATCH(B$3,PlotTitles,0)))),"",ISBLANK(INDEX(PlotData,MATCH($A440,PlotNumber,0),MATCH(I$3,PlotTitles,0))),$AB$12,TRUE,"")</f>
        <v/>
      </c>
      <c r="J440" s="104" t="str" cm="1">
        <f t="array" ref="J440">_xlfn.IFS(AND(A440&gt;NumberOfPlots,ISBLANK(INDEX(PlotData,MATCH($A440,PlotNumber,0),MATCH(B$3,PlotTitles,0)))),"",ISBLANK(INDEX(PlotData,MATCH($A440,PlotNumber,0),MATCH(J$3,PlotTitles,0))),$AB$13,TRUE,"")</f>
        <v/>
      </c>
      <c r="K440" s="182" t="str">
        <f t="shared" ca="1" si="18"/>
        <v/>
      </c>
      <c r="L440" s="104" t="str" cm="1">
        <f t="array" ref="L440">_xlfn.IFS(OR(ISBLANK(StartDateMonth),ISBLANK(StartDateYear)),"",AND(A440&gt;NumberOfPlots,ISBLANK(INDEX(PlotData,MATCH($A440,PlotNumber,0),MATCH(B$3,PlotTitles,0)))),"",ISBLANK(INDEX(PlotData,MATCH($A440,PlotNumber,0),MATCH(I$3,PlotTitles,0))),"",(DATEVALUE(INDEX(PlotData,MATCH($A440,PlotNumber,0),MATCH(I$3,PlotTitles,0))&amp;INDEX(PlotData,MATCH($A440,PlotNumber,0),MATCH(J$3,PlotTitles,0))))&lt;DATEVALUE(StartDateMonth&amp;StartDateYear),$AB$15,TRUE,"")</f>
        <v/>
      </c>
      <c r="M440" s="104" t="str" cm="1">
        <f t="array" ref="M440">_xlfn.IFS(OR(ISBLANK(StartDateMonth),ISBLANK(StartDateYear)),"",AND(A440&gt;NumberOfPlots,ISBLANK(INDEX(PlotData,MATCH($A440,PlotNumber,0),MATCH(B$3,PlotTitles,0)))),"",ISBLANK(INDEX(PlotData,MATCH($A440,PlotNumber,0),MATCH(I$3,PlotTitles,0))),"",CompletionMonth="","",(DATEVALUE(INDEX(PlotData,MATCH($A440,PlotNumber,0),MATCH(I$3,PlotTitles,0))&amp;INDEX(PlotData,MATCH($A440,PlotNumber,0),MATCH(J$3,PlotTitles,0))))&gt;(DATEVALUE(CompletionMonth&amp;CompletionYear)),$AB$16,TRUE,"")</f>
        <v/>
      </c>
      <c r="N440" s="104" t="str" cm="1">
        <f t="array" ref="N440">_xlfn.IFS(AND(A440&gt;NumberOfPlots,ISBLANK(INDEX(PlotData,MATCH($A440,PlotNumber,0),MATCH(B$3,PlotTitles,0)))),"",ISBLANK(INDEX(PlotData,MATCH($A440,PlotNumber,0),MATCH(N$3,PlotTitles,0))),$AB$17,TRUE,"")</f>
        <v/>
      </c>
      <c r="O440" s="104" t="str" cm="1">
        <f t="array" ref="O440">_xlfn.IFS(AND(A440&gt;NumberOfPlots,ISBLANK(INDEX(PlotData,MATCH($A440,PlotNumber,0),MATCH(B$3,PlotTitles,0)))),"",ISBLANK(INDEX(PlotData,MATCH($A440,PlotNumber,0),MATCH(O$3,PlotTitles,0))),$AB$18,TRUE,"")</f>
        <v/>
      </c>
      <c r="P440" s="182" t="str">
        <f t="shared" ca="1" si="19"/>
        <v/>
      </c>
      <c r="Q440" s="104" t="str" cm="1">
        <f t="array" ref="Q440">_xlfn.IFS(AND(A440&gt;NumberOfPlots,ISBLANK(INDEX(PlotData,MATCH($A440,PlotNumber,0),MATCH(B$3,PlotTitles,0)))),"",ISBLANK(INDEX(PlotData,MATCH($A440,PlotNumber,0),MATCH(N$3,PlotTitles,0))),"",(DATEVALUE(INDEX(PlotData,MATCH($A440,PlotNumber,0),MATCH(N$3,PlotTitles,0))&amp;INDEX(PlotData,MATCH($A440,PlotNumber,0),MATCH(O$3,PlotTitles,0))))&lt;(DATEVALUE(INDEX(PlotData,MATCH($A440,PlotNumber,0),MATCH(I$3,PlotTitles,0))&amp;INDEX(PlotData,MATCH($A440,PlotNumber,0),MATCH(J$3,PlotTitles,0)))),$AB$20,TRUE,"")</f>
        <v/>
      </c>
      <c r="R440" s="104" t="str" cm="1">
        <f t="array" ref="R440">_xlfn.IFS(OR(ISBLANK(StartDateMonth),ISBLANK(StartDateYear)),"",AND(A440&gt;NumberOfPlots,ISBLANK(INDEX(PlotData,MATCH($A440,PlotNumber,0),MATCH(B$3,PlotTitles,0)))),"",ISBLANK(INDEX(PlotData,MATCH($A440,PlotNumber,0),MATCH(N$3,PlotTitles,0))),"",CompletionMonth="","",(DATEVALUE(INDEX(PlotData,MATCH($A440,PlotNumber,0),MATCH(N$3,PlotTitles,0))&amp;INDEX(PlotData,MATCH($A440,PlotNumber,0),MATCH(O$3,PlotTitles,0))))&gt;(DATEVALUE(CompletionMonth&amp;CompletionYear)),$AB$21,TRUE,"")</f>
        <v/>
      </c>
      <c r="S440" s="104" t="str" cm="1">
        <f t="array" ref="S440">_xlfn.IFS(AND(A440&gt;NumberOfPlots,ISBLANK(INDEX(PlotData,MATCH($A440,PlotNumber,0),MATCH(B$3,PlotTitles,0)))),"",OR(AND(INDEX(PlotData,MATCH($A440,PlotNumber,0),MATCH("Tenure",PlotTitles,0))="Open market housing",INDEX(PlotData,MATCH($A440,PlotNumber,0),MATCH("Tenure detail",PlotTitles,0))="Private rented sector"),INDEX(PlotData,MATCH($A440,PlotNumber,0),MATCH("Tenure",PlotTitles,0))="Affordable rent"),"",ISNUMBER(INDEX(PlotData,MATCH($A440,PlotNumber,0),MATCH(S$3,PlotTitles,0)))=FALSE, $AB$22,TRUE,"")</f>
        <v/>
      </c>
      <c r="T440" s="104" t="str" cm="1">
        <f t="array" ref="T440">_xlfn.IFS(AND(A440&gt;NumberOfPlots,ISBLANK(INDEX(PlotData,MATCH($A440,PlotNumber,0),MATCH(B$3,PlotTitles,0)))),"",OR(AND(INDEX(PlotData,MATCH($A440,PlotNumber,0),MATCH("Tenure",PlotTitles,0))="Open market housing",INDEX(PlotData,MATCH($A440,PlotNumber,0),MATCH("Tenure detail",PlotTitles,0))="Private rented sector"),INDEX(PlotData,MATCH($A440,PlotNumber,0),MATCH("Tenure",PlotTitles,0))="Affordable rent"),"",INDEX(PlotData,MATCH($A440,PlotNumber,0),MATCH(S$3,PlotTitles,0))&lt;10000, $AB$23,TRUE,"")</f>
        <v/>
      </c>
      <c r="U440" s="104" t="str" cm="1">
        <f t="array" ref="U440">_xlfn.IFS(AND(A440&gt;NumberOfPlots,ISBLANK(INDEX(PlotData,MATCH($A440,PlotNumber,0),MATCH(B$3,PlotTitles,0)))),"",NOT(OR(AND(INDEX(PlotData,MATCH($A440,PlotNumber,0),MATCH("Tenure",PlotTitles,0))="Open market housing",INDEX(PlotData,MATCH($A440,PlotNumber,0),MATCH("Tenure detail",PlotTitles,0))="Private rented sector"),INDEX(PlotData,MATCH($A440,PlotNumber,0),MATCH("Tenure",PlotTitles,0))="Affordable rent")),"",NOT(INDEX(PlotData,MATCH($A440,PlotNumber,0),MATCH(S$3,PlotTitles,0))=0), $AB$24,TRUE,"")</f>
        <v/>
      </c>
      <c r="V440" s="114" t="str" cm="1">
        <f t="array" aca="1" ref="V440" ca="1">_xlfn.IFS(ISBLANK(NumberOfPlots),"Enter the number of homes on the 1_SetUp sheet",AND(A440&gt;NumberOfPlots,ISBLANK(INDEX(PlotData,MATCH($A440,PlotNumber,0),MATCH(B$3,PlotTitles,0)))),"No error",NOT(B440=""),B440,NOT(C440=""),C440,NOT(D440=""),D440,NOT(E440=""),E440,NOT(F440=""),F440,NOT(G440=""),G440,NOT(H440=""),H440,NOT(I440=""),I440,NOT(J440=""),J440,NOT(K440=""),K440,NOT(L440=""),L440,NOT(M440=""),M440,NOT(N440=""),N440,NOT(O440=""),O440,NOT(P440=""),P440,NOT(Q440=""),Q440,NOT(R440=""),R440,NOT(S440=""),S440,NOT(T440=""),T440,NOT(U440=""),U440,TRUE,"No error")</f>
        <v>Enter the number of homes on the 1_SetUp sheet</v>
      </c>
      <c r="W440" s="114" t="str">
        <f t="shared" ca="1" si="20"/>
        <v xml:space="preserve">The Borrower has not addressed the following error messages for Home ID 436: </v>
      </c>
    </row>
    <row r="441" spans="1:23">
      <c r="A441" s="123">
        <v>437</v>
      </c>
      <c r="B441" s="104" t="str" cm="1">
        <f t="array" ref="B441">_xlfn.IFS(AND(A441&gt;NumberOfPlots,ISBLANK(INDEX(PlotData,MATCH($A441,PlotNumber,0),MATCH(B$3,PlotTitles,0)))),"",ISNUMBER(INDEX(PlotData,MATCH($A441,PlotNumber,0),MATCH(B$3,PlotTitles,0)))=FALSE, $AB$5,TRUE,"")</f>
        <v/>
      </c>
      <c r="C441" s="104" t="str" cm="1">
        <f t="array" ref="C441">_xlfn.IFS(AND(A441&gt;NumberOfPlots,ISBLANK(INDEX(PlotData,MATCH($A441,PlotNumber,0),MATCH(B$3,PlotTitles,0)))),"",ISBLANK(INDEX(PlotData,MATCH($A441,PlotNumber,0),MATCH(C$3,PlotTitles,0))),$AB$6,TRUE,"")</f>
        <v/>
      </c>
      <c r="D441" s="104" t="str" cm="1">
        <f t="array" ref="D441">_xlfn.IFS(AND(A441&gt;NumberOfPlots,ISBLANK(INDEX(PlotData,MATCH($A441,PlotNumber,0),MATCH(B$3,PlotTitles,0)))),"",ISBLANK(INDEX(PlotData,MATCH($A441,PlotNumber,0),MATCH(D$3,PlotTitles,0))),$AB$7,TRUE,"")</f>
        <v/>
      </c>
      <c r="E441" s="104" t="str" cm="1">
        <f t="array" ref="E441">_xlfn.IFS(AND(A441&gt;NumberOfPlots,ISBLANK(INDEX(PlotData,MATCH($A441,PlotNumber,0),MATCH(B$3,PlotTitles,0)))),"",ISBLANK(INDEX(PlotData,MATCH($A441,PlotNumber,0),MATCH(E$3,PlotTitles,0))),$AB$8,TRUE,"")</f>
        <v/>
      </c>
      <c r="F441" s="104" t="str" cm="1">
        <f t="array" ref="F441">_xlfn.IFS(AND(A441&gt;NumberOfPlots,ISBLANK(INDEX(PlotData,MATCH($A441,PlotNumber,0),MATCH(B$3,PlotTitles,0)))),"",ISBLANK(INDEX(PlotData,MATCH($A441,PlotNumber,0),MATCH(F$3,PlotTitles,0))),$AB$9,TRUE,"")</f>
        <v/>
      </c>
      <c r="G441" s="104" t="str" cm="1">
        <f t="array" ref="G441">_xlfn.IFS(AND(A441&gt;NumberOfPlots,ISBLANK(INDEX(PlotData,MATCH($A441,PlotNumber,0),MATCH(B$3,PlotTitles,0)))),"",ISBLANK(INDEX(PlotData,MATCH($A441,PlotNumber,0),MATCH(G$3,PlotTitles,0))),$AB$10,TRUE,"")</f>
        <v/>
      </c>
      <c r="H441" s="104" t="str" cm="1">
        <f t="array" ref="H441">_xlfn.IFS(AND(A441&gt;NumberOfPlots,ISBLANK(INDEX(PlotData,MATCH($A441,PlotNumber,0),MATCH(B$3,PlotTitles,0)))),"",AND(ISBLANK(INDEX(PlotData,MATCH($A441,PlotNumber,0),MATCH(H$3,PlotTitles,0)))=FALSE,INDEX(PlotData,MATCH($A441,PlotNumber,0),MATCH(H$3,PlotTitles,0))&lt;500), $AB$11,TRUE,"")</f>
        <v/>
      </c>
      <c r="I441" s="104" t="str" cm="1">
        <f t="array" ref="I441">_xlfn.IFS(AND(A441&gt;NumberOfPlots,ISBLANK(INDEX(PlotData,MATCH($A441,PlotNumber,0),MATCH(B$3,PlotTitles,0)))),"",ISBLANK(INDEX(PlotData,MATCH($A441,PlotNumber,0),MATCH(I$3,PlotTitles,0))),$AB$12,TRUE,"")</f>
        <v/>
      </c>
      <c r="J441" s="104" t="str" cm="1">
        <f t="array" ref="J441">_xlfn.IFS(AND(A441&gt;NumberOfPlots,ISBLANK(INDEX(PlotData,MATCH($A441,PlotNumber,0),MATCH(B$3,PlotTitles,0)))),"",ISBLANK(INDEX(PlotData,MATCH($A441,PlotNumber,0),MATCH(J$3,PlotTitles,0))),$AB$13,TRUE,"")</f>
        <v/>
      </c>
      <c r="K441" s="182" t="str">
        <f t="shared" ca="1" si="18"/>
        <v/>
      </c>
      <c r="L441" s="104" t="str" cm="1">
        <f t="array" ref="L441">_xlfn.IFS(OR(ISBLANK(StartDateMonth),ISBLANK(StartDateYear)),"",AND(A441&gt;NumberOfPlots,ISBLANK(INDEX(PlotData,MATCH($A441,PlotNumber,0),MATCH(B$3,PlotTitles,0)))),"",ISBLANK(INDEX(PlotData,MATCH($A441,PlotNumber,0),MATCH(I$3,PlotTitles,0))),"",(DATEVALUE(INDEX(PlotData,MATCH($A441,PlotNumber,0),MATCH(I$3,PlotTitles,0))&amp;INDEX(PlotData,MATCH($A441,PlotNumber,0),MATCH(J$3,PlotTitles,0))))&lt;DATEVALUE(StartDateMonth&amp;StartDateYear),$AB$15,TRUE,"")</f>
        <v/>
      </c>
      <c r="M441" s="104" t="str" cm="1">
        <f t="array" ref="M441">_xlfn.IFS(OR(ISBLANK(StartDateMonth),ISBLANK(StartDateYear)),"",AND(A441&gt;NumberOfPlots,ISBLANK(INDEX(PlotData,MATCH($A441,PlotNumber,0),MATCH(B$3,PlotTitles,0)))),"",ISBLANK(INDEX(PlotData,MATCH($A441,PlotNumber,0),MATCH(I$3,PlotTitles,0))),"",CompletionMonth="","",(DATEVALUE(INDEX(PlotData,MATCH($A441,PlotNumber,0),MATCH(I$3,PlotTitles,0))&amp;INDEX(PlotData,MATCH($A441,PlotNumber,0),MATCH(J$3,PlotTitles,0))))&gt;(DATEVALUE(CompletionMonth&amp;CompletionYear)),$AB$16,TRUE,"")</f>
        <v/>
      </c>
      <c r="N441" s="104" t="str" cm="1">
        <f t="array" ref="N441">_xlfn.IFS(AND(A441&gt;NumberOfPlots,ISBLANK(INDEX(PlotData,MATCH($A441,PlotNumber,0),MATCH(B$3,PlotTitles,0)))),"",ISBLANK(INDEX(PlotData,MATCH($A441,PlotNumber,0),MATCH(N$3,PlotTitles,0))),$AB$17,TRUE,"")</f>
        <v/>
      </c>
      <c r="O441" s="104" t="str" cm="1">
        <f t="array" ref="O441">_xlfn.IFS(AND(A441&gt;NumberOfPlots,ISBLANK(INDEX(PlotData,MATCH($A441,PlotNumber,0),MATCH(B$3,PlotTitles,0)))),"",ISBLANK(INDEX(PlotData,MATCH($A441,PlotNumber,0),MATCH(O$3,PlotTitles,0))),$AB$18,TRUE,"")</f>
        <v/>
      </c>
      <c r="P441" s="182" t="str">
        <f t="shared" ca="1" si="19"/>
        <v/>
      </c>
      <c r="Q441" s="104" t="str" cm="1">
        <f t="array" ref="Q441">_xlfn.IFS(AND(A441&gt;NumberOfPlots,ISBLANK(INDEX(PlotData,MATCH($A441,PlotNumber,0),MATCH(B$3,PlotTitles,0)))),"",ISBLANK(INDEX(PlotData,MATCH($A441,PlotNumber,0),MATCH(N$3,PlotTitles,0))),"",(DATEVALUE(INDEX(PlotData,MATCH($A441,PlotNumber,0),MATCH(N$3,PlotTitles,0))&amp;INDEX(PlotData,MATCH($A441,PlotNumber,0),MATCH(O$3,PlotTitles,0))))&lt;(DATEVALUE(INDEX(PlotData,MATCH($A441,PlotNumber,0),MATCH(I$3,PlotTitles,0))&amp;INDEX(PlotData,MATCH($A441,PlotNumber,0),MATCH(J$3,PlotTitles,0)))),$AB$20,TRUE,"")</f>
        <v/>
      </c>
      <c r="R441" s="104" t="str" cm="1">
        <f t="array" ref="R441">_xlfn.IFS(OR(ISBLANK(StartDateMonth),ISBLANK(StartDateYear)),"",AND(A441&gt;NumberOfPlots,ISBLANK(INDEX(PlotData,MATCH($A441,PlotNumber,0),MATCH(B$3,PlotTitles,0)))),"",ISBLANK(INDEX(PlotData,MATCH($A441,PlotNumber,0),MATCH(N$3,PlotTitles,0))),"",CompletionMonth="","",(DATEVALUE(INDEX(PlotData,MATCH($A441,PlotNumber,0),MATCH(N$3,PlotTitles,0))&amp;INDEX(PlotData,MATCH($A441,PlotNumber,0),MATCH(O$3,PlotTitles,0))))&gt;(DATEVALUE(CompletionMonth&amp;CompletionYear)),$AB$21,TRUE,"")</f>
        <v/>
      </c>
      <c r="S441" s="104" t="str" cm="1">
        <f t="array" ref="S441">_xlfn.IFS(AND(A441&gt;NumberOfPlots,ISBLANK(INDEX(PlotData,MATCH($A441,PlotNumber,0),MATCH(B$3,PlotTitles,0)))),"",OR(AND(INDEX(PlotData,MATCH($A441,PlotNumber,0),MATCH("Tenure",PlotTitles,0))="Open market housing",INDEX(PlotData,MATCH($A441,PlotNumber,0),MATCH("Tenure detail",PlotTitles,0))="Private rented sector"),INDEX(PlotData,MATCH($A441,PlotNumber,0),MATCH("Tenure",PlotTitles,0))="Affordable rent"),"",ISNUMBER(INDEX(PlotData,MATCH($A441,PlotNumber,0),MATCH(S$3,PlotTitles,0)))=FALSE, $AB$22,TRUE,"")</f>
        <v/>
      </c>
      <c r="T441" s="104" t="str" cm="1">
        <f t="array" ref="T441">_xlfn.IFS(AND(A441&gt;NumberOfPlots,ISBLANK(INDEX(PlotData,MATCH($A441,PlotNumber,0),MATCH(B$3,PlotTitles,0)))),"",OR(AND(INDEX(PlotData,MATCH($A441,PlotNumber,0),MATCH("Tenure",PlotTitles,0))="Open market housing",INDEX(PlotData,MATCH($A441,PlotNumber,0),MATCH("Tenure detail",PlotTitles,0))="Private rented sector"),INDEX(PlotData,MATCH($A441,PlotNumber,0),MATCH("Tenure",PlotTitles,0))="Affordable rent"),"",INDEX(PlotData,MATCH($A441,PlotNumber,0),MATCH(S$3,PlotTitles,0))&lt;10000, $AB$23,TRUE,"")</f>
        <v/>
      </c>
      <c r="U441" s="104" t="str" cm="1">
        <f t="array" ref="U441">_xlfn.IFS(AND(A441&gt;NumberOfPlots,ISBLANK(INDEX(PlotData,MATCH($A441,PlotNumber,0),MATCH(B$3,PlotTitles,0)))),"",NOT(OR(AND(INDEX(PlotData,MATCH($A441,PlotNumber,0),MATCH("Tenure",PlotTitles,0))="Open market housing",INDEX(PlotData,MATCH($A441,PlotNumber,0),MATCH("Tenure detail",PlotTitles,0))="Private rented sector"),INDEX(PlotData,MATCH($A441,PlotNumber,0),MATCH("Tenure",PlotTitles,0))="Affordable rent")),"",NOT(INDEX(PlotData,MATCH($A441,PlotNumber,0),MATCH(S$3,PlotTitles,0))=0), $AB$24,TRUE,"")</f>
        <v/>
      </c>
      <c r="V441" s="114" t="str" cm="1">
        <f t="array" aca="1" ref="V441" ca="1">_xlfn.IFS(ISBLANK(NumberOfPlots),"Enter the number of homes on the 1_SetUp sheet",AND(A441&gt;NumberOfPlots,ISBLANK(INDEX(PlotData,MATCH($A441,PlotNumber,0),MATCH(B$3,PlotTitles,0)))),"No error",NOT(B441=""),B441,NOT(C441=""),C441,NOT(D441=""),D441,NOT(E441=""),E441,NOT(F441=""),F441,NOT(G441=""),G441,NOT(H441=""),H441,NOT(I441=""),I441,NOT(J441=""),J441,NOT(K441=""),K441,NOT(L441=""),L441,NOT(M441=""),M441,NOT(N441=""),N441,NOT(O441=""),O441,NOT(P441=""),P441,NOT(Q441=""),Q441,NOT(R441=""),R441,NOT(S441=""),S441,NOT(T441=""),T441,NOT(U441=""),U441,TRUE,"No error")</f>
        <v>Enter the number of homes on the 1_SetUp sheet</v>
      </c>
      <c r="W441" s="114" t="str">
        <f t="shared" ca="1" si="20"/>
        <v xml:space="preserve">The Borrower has not addressed the following error messages for Home ID 437: </v>
      </c>
    </row>
    <row r="442" spans="1:23">
      <c r="A442" s="123">
        <v>438</v>
      </c>
      <c r="B442" s="104" t="str" cm="1">
        <f t="array" ref="B442">_xlfn.IFS(AND(A442&gt;NumberOfPlots,ISBLANK(INDEX(PlotData,MATCH($A442,PlotNumber,0),MATCH(B$3,PlotTitles,0)))),"",ISNUMBER(INDEX(PlotData,MATCH($A442,PlotNumber,0),MATCH(B$3,PlotTitles,0)))=FALSE, $AB$5,TRUE,"")</f>
        <v/>
      </c>
      <c r="C442" s="104" t="str" cm="1">
        <f t="array" ref="C442">_xlfn.IFS(AND(A442&gt;NumberOfPlots,ISBLANK(INDEX(PlotData,MATCH($A442,PlotNumber,0),MATCH(B$3,PlotTitles,0)))),"",ISBLANK(INDEX(PlotData,MATCH($A442,PlotNumber,0),MATCH(C$3,PlotTitles,0))),$AB$6,TRUE,"")</f>
        <v/>
      </c>
      <c r="D442" s="104" t="str" cm="1">
        <f t="array" ref="D442">_xlfn.IFS(AND(A442&gt;NumberOfPlots,ISBLANK(INDEX(PlotData,MATCH($A442,PlotNumber,0),MATCH(B$3,PlotTitles,0)))),"",ISBLANK(INDEX(PlotData,MATCH($A442,PlotNumber,0),MATCH(D$3,PlotTitles,0))),$AB$7,TRUE,"")</f>
        <v/>
      </c>
      <c r="E442" s="104" t="str" cm="1">
        <f t="array" ref="E442">_xlfn.IFS(AND(A442&gt;NumberOfPlots,ISBLANK(INDEX(PlotData,MATCH($A442,PlotNumber,0),MATCH(B$3,PlotTitles,0)))),"",ISBLANK(INDEX(PlotData,MATCH($A442,PlotNumber,0),MATCH(E$3,PlotTitles,0))),$AB$8,TRUE,"")</f>
        <v/>
      </c>
      <c r="F442" s="104" t="str" cm="1">
        <f t="array" ref="F442">_xlfn.IFS(AND(A442&gt;NumberOfPlots,ISBLANK(INDEX(PlotData,MATCH($A442,PlotNumber,0),MATCH(B$3,PlotTitles,0)))),"",ISBLANK(INDEX(PlotData,MATCH($A442,PlotNumber,0),MATCH(F$3,PlotTitles,0))),$AB$9,TRUE,"")</f>
        <v/>
      </c>
      <c r="G442" s="104" t="str" cm="1">
        <f t="array" ref="G442">_xlfn.IFS(AND(A442&gt;NumberOfPlots,ISBLANK(INDEX(PlotData,MATCH($A442,PlotNumber,0),MATCH(B$3,PlotTitles,0)))),"",ISBLANK(INDEX(PlotData,MATCH($A442,PlotNumber,0),MATCH(G$3,PlotTitles,0))),$AB$10,TRUE,"")</f>
        <v/>
      </c>
      <c r="H442" s="104" t="str" cm="1">
        <f t="array" ref="H442">_xlfn.IFS(AND(A442&gt;NumberOfPlots,ISBLANK(INDEX(PlotData,MATCH($A442,PlotNumber,0),MATCH(B$3,PlotTitles,0)))),"",AND(ISBLANK(INDEX(PlotData,MATCH($A442,PlotNumber,0),MATCH(H$3,PlotTitles,0)))=FALSE,INDEX(PlotData,MATCH($A442,PlotNumber,0),MATCH(H$3,PlotTitles,0))&lt;500), $AB$11,TRUE,"")</f>
        <v/>
      </c>
      <c r="I442" s="104" t="str" cm="1">
        <f t="array" ref="I442">_xlfn.IFS(AND(A442&gt;NumberOfPlots,ISBLANK(INDEX(PlotData,MATCH($A442,PlotNumber,0),MATCH(B$3,PlotTitles,0)))),"",ISBLANK(INDEX(PlotData,MATCH($A442,PlotNumber,0),MATCH(I$3,PlotTitles,0))),$AB$12,TRUE,"")</f>
        <v/>
      </c>
      <c r="J442" s="104" t="str" cm="1">
        <f t="array" ref="J442">_xlfn.IFS(AND(A442&gt;NumberOfPlots,ISBLANK(INDEX(PlotData,MATCH($A442,PlotNumber,0),MATCH(B$3,PlotTitles,0)))),"",ISBLANK(INDEX(PlotData,MATCH($A442,PlotNumber,0),MATCH(J$3,PlotTitles,0))),$AB$13,TRUE,"")</f>
        <v/>
      </c>
      <c r="K442" s="182" t="str">
        <f t="shared" ca="1" si="18"/>
        <v/>
      </c>
      <c r="L442" s="104" t="str" cm="1">
        <f t="array" ref="L442">_xlfn.IFS(OR(ISBLANK(StartDateMonth),ISBLANK(StartDateYear)),"",AND(A442&gt;NumberOfPlots,ISBLANK(INDEX(PlotData,MATCH($A442,PlotNumber,0),MATCH(B$3,PlotTitles,0)))),"",ISBLANK(INDEX(PlotData,MATCH($A442,PlotNumber,0),MATCH(I$3,PlotTitles,0))),"",(DATEVALUE(INDEX(PlotData,MATCH($A442,PlotNumber,0),MATCH(I$3,PlotTitles,0))&amp;INDEX(PlotData,MATCH($A442,PlotNumber,0),MATCH(J$3,PlotTitles,0))))&lt;DATEVALUE(StartDateMonth&amp;StartDateYear),$AB$15,TRUE,"")</f>
        <v/>
      </c>
      <c r="M442" s="104" t="str" cm="1">
        <f t="array" ref="M442">_xlfn.IFS(OR(ISBLANK(StartDateMonth),ISBLANK(StartDateYear)),"",AND(A442&gt;NumberOfPlots,ISBLANK(INDEX(PlotData,MATCH($A442,PlotNumber,0),MATCH(B$3,PlotTitles,0)))),"",ISBLANK(INDEX(PlotData,MATCH($A442,PlotNumber,0),MATCH(I$3,PlotTitles,0))),"",CompletionMonth="","",(DATEVALUE(INDEX(PlotData,MATCH($A442,PlotNumber,0),MATCH(I$3,PlotTitles,0))&amp;INDEX(PlotData,MATCH($A442,PlotNumber,0),MATCH(J$3,PlotTitles,0))))&gt;(DATEVALUE(CompletionMonth&amp;CompletionYear)),$AB$16,TRUE,"")</f>
        <v/>
      </c>
      <c r="N442" s="104" t="str" cm="1">
        <f t="array" ref="N442">_xlfn.IFS(AND(A442&gt;NumberOfPlots,ISBLANK(INDEX(PlotData,MATCH($A442,PlotNumber,0),MATCH(B$3,PlotTitles,0)))),"",ISBLANK(INDEX(PlotData,MATCH($A442,PlotNumber,0),MATCH(N$3,PlotTitles,0))),$AB$17,TRUE,"")</f>
        <v/>
      </c>
      <c r="O442" s="104" t="str" cm="1">
        <f t="array" ref="O442">_xlfn.IFS(AND(A442&gt;NumberOfPlots,ISBLANK(INDEX(PlotData,MATCH($A442,PlotNumber,0),MATCH(B$3,PlotTitles,0)))),"",ISBLANK(INDEX(PlotData,MATCH($A442,PlotNumber,0),MATCH(O$3,PlotTitles,0))),$AB$18,TRUE,"")</f>
        <v/>
      </c>
      <c r="P442" s="182" t="str">
        <f t="shared" ca="1" si="19"/>
        <v/>
      </c>
      <c r="Q442" s="104" t="str" cm="1">
        <f t="array" ref="Q442">_xlfn.IFS(AND(A442&gt;NumberOfPlots,ISBLANK(INDEX(PlotData,MATCH($A442,PlotNumber,0),MATCH(B$3,PlotTitles,0)))),"",ISBLANK(INDEX(PlotData,MATCH($A442,PlotNumber,0),MATCH(N$3,PlotTitles,0))),"",(DATEVALUE(INDEX(PlotData,MATCH($A442,PlotNumber,0),MATCH(N$3,PlotTitles,0))&amp;INDEX(PlotData,MATCH($A442,PlotNumber,0),MATCH(O$3,PlotTitles,0))))&lt;(DATEVALUE(INDEX(PlotData,MATCH($A442,PlotNumber,0),MATCH(I$3,PlotTitles,0))&amp;INDEX(PlotData,MATCH($A442,PlotNumber,0),MATCH(J$3,PlotTitles,0)))),$AB$20,TRUE,"")</f>
        <v/>
      </c>
      <c r="R442" s="104" t="str" cm="1">
        <f t="array" ref="R442">_xlfn.IFS(OR(ISBLANK(StartDateMonth),ISBLANK(StartDateYear)),"",AND(A442&gt;NumberOfPlots,ISBLANK(INDEX(PlotData,MATCH($A442,PlotNumber,0),MATCH(B$3,PlotTitles,0)))),"",ISBLANK(INDEX(PlotData,MATCH($A442,PlotNumber,0),MATCH(N$3,PlotTitles,0))),"",CompletionMonth="","",(DATEVALUE(INDEX(PlotData,MATCH($A442,PlotNumber,0),MATCH(N$3,PlotTitles,0))&amp;INDEX(PlotData,MATCH($A442,PlotNumber,0),MATCH(O$3,PlotTitles,0))))&gt;(DATEVALUE(CompletionMonth&amp;CompletionYear)),$AB$21,TRUE,"")</f>
        <v/>
      </c>
      <c r="S442" s="104" t="str" cm="1">
        <f t="array" ref="S442">_xlfn.IFS(AND(A442&gt;NumberOfPlots,ISBLANK(INDEX(PlotData,MATCH($A442,PlotNumber,0),MATCH(B$3,PlotTitles,0)))),"",OR(AND(INDEX(PlotData,MATCH($A442,PlotNumber,0),MATCH("Tenure",PlotTitles,0))="Open market housing",INDEX(PlotData,MATCH($A442,PlotNumber,0),MATCH("Tenure detail",PlotTitles,0))="Private rented sector"),INDEX(PlotData,MATCH($A442,PlotNumber,0),MATCH("Tenure",PlotTitles,0))="Affordable rent"),"",ISNUMBER(INDEX(PlotData,MATCH($A442,PlotNumber,0),MATCH(S$3,PlotTitles,0)))=FALSE, $AB$22,TRUE,"")</f>
        <v/>
      </c>
      <c r="T442" s="104" t="str" cm="1">
        <f t="array" ref="T442">_xlfn.IFS(AND(A442&gt;NumberOfPlots,ISBLANK(INDEX(PlotData,MATCH($A442,PlotNumber,0),MATCH(B$3,PlotTitles,0)))),"",OR(AND(INDEX(PlotData,MATCH($A442,PlotNumber,0),MATCH("Tenure",PlotTitles,0))="Open market housing",INDEX(PlotData,MATCH($A442,PlotNumber,0),MATCH("Tenure detail",PlotTitles,0))="Private rented sector"),INDEX(PlotData,MATCH($A442,PlotNumber,0),MATCH("Tenure",PlotTitles,0))="Affordable rent"),"",INDEX(PlotData,MATCH($A442,PlotNumber,0),MATCH(S$3,PlotTitles,0))&lt;10000, $AB$23,TRUE,"")</f>
        <v/>
      </c>
      <c r="U442" s="104" t="str" cm="1">
        <f t="array" ref="U442">_xlfn.IFS(AND(A442&gt;NumberOfPlots,ISBLANK(INDEX(PlotData,MATCH($A442,PlotNumber,0),MATCH(B$3,PlotTitles,0)))),"",NOT(OR(AND(INDEX(PlotData,MATCH($A442,PlotNumber,0),MATCH("Tenure",PlotTitles,0))="Open market housing",INDEX(PlotData,MATCH($A442,PlotNumber,0),MATCH("Tenure detail",PlotTitles,0))="Private rented sector"),INDEX(PlotData,MATCH($A442,PlotNumber,0),MATCH("Tenure",PlotTitles,0))="Affordable rent")),"",NOT(INDEX(PlotData,MATCH($A442,PlotNumber,0),MATCH(S$3,PlotTitles,0))=0), $AB$24,TRUE,"")</f>
        <v/>
      </c>
      <c r="V442" s="114" t="str" cm="1">
        <f t="array" aca="1" ref="V442" ca="1">_xlfn.IFS(ISBLANK(NumberOfPlots),"Enter the number of homes on the 1_SetUp sheet",AND(A442&gt;NumberOfPlots,ISBLANK(INDEX(PlotData,MATCH($A442,PlotNumber,0),MATCH(B$3,PlotTitles,0)))),"No error",NOT(B442=""),B442,NOT(C442=""),C442,NOT(D442=""),D442,NOT(E442=""),E442,NOT(F442=""),F442,NOT(G442=""),G442,NOT(H442=""),H442,NOT(I442=""),I442,NOT(J442=""),J442,NOT(K442=""),K442,NOT(L442=""),L442,NOT(M442=""),M442,NOT(N442=""),N442,NOT(O442=""),O442,NOT(P442=""),P442,NOT(Q442=""),Q442,NOT(R442=""),R442,NOT(S442=""),S442,NOT(T442=""),T442,NOT(U442=""),U442,TRUE,"No error")</f>
        <v>Enter the number of homes on the 1_SetUp sheet</v>
      </c>
      <c r="W442" s="114" t="str">
        <f t="shared" ca="1" si="20"/>
        <v xml:space="preserve">The Borrower has not addressed the following error messages for Home ID 438: </v>
      </c>
    </row>
    <row r="443" spans="1:23">
      <c r="A443" s="123">
        <v>439</v>
      </c>
      <c r="B443" s="104" t="str" cm="1">
        <f t="array" ref="B443">_xlfn.IFS(AND(A443&gt;NumberOfPlots,ISBLANK(INDEX(PlotData,MATCH($A443,PlotNumber,0),MATCH(B$3,PlotTitles,0)))),"",ISNUMBER(INDEX(PlotData,MATCH($A443,PlotNumber,0),MATCH(B$3,PlotTitles,0)))=FALSE, $AB$5,TRUE,"")</f>
        <v/>
      </c>
      <c r="C443" s="104" t="str" cm="1">
        <f t="array" ref="C443">_xlfn.IFS(AND(A443&gt;NumberOfPlots,ISBLANK(INDEX(PlotData,MATCH($A443,PlotNumber,0),MATCH(B$3,PlotTitles,0)))),"",ISBLANK(INDEX(PlotData,MATCH($A443,PlotNumber,0),MATCH(C$3,PlotTitles,0))),$AB$6,TRUE,"")</f>
        <v/>
      </c>
      <c r="D443" s="104" t="str" cm="1">
        <f t="array" ref="D443">_xlfn.IFS(AND(A443&gt;NumberOfPlots,ISBLANK(INDEX(PlotData,MATCH($A443,PlotNumber,0),MATCH(B$3,PlotTitles,0)))),"",ISBLANK(INDEX(PlotData,MATCH($A443,PlotNumber,0),MATCH(D$3,PlotTitles,0))),$AB$7,TRUE,"")</f>
        <v/>
      </c>
      <c r="E443" s="104" t="str" cm="1">
        <f t="array" ref="E443">_xlfn.IFS(AND(A443&gt;NumberOfPlots,ISBLANK(INDEX(PlotData,MATCH($A443,PlotNumber,0),MATCH(B$3,PlotTitles,0)))),"",ISBLANK(INDEX(PlotData,MATCH($A443,PlotNumber,0),MATCH(E$3,PlotTitles,0))),$AB$8,TRUE,"")</f>
        <v/>
      </c>
      <c r="F443" s="104" t="str" cm="1">
        <f t="array" ref="F443">_xlfn.IFS(AND(A443&gt;NumberOfPlots,ISBLANK(INDEX(PlotData,MATCH($A443,PlotNumber,0),MATCH(B$3,PlotTitles,0)))),"",ISBLANK(INDEX(PlotData,MATCH($A443,PlotNumber,0),MATCH(F$3,PlotTitles,0))),$AB$9,TRUE,"")</f>
        <v/>
      </c>
      <c r="G443" s="104" t="str" cm="1">
        <f t="array" ref="G443">_xlfn.IFS(AND(A443&gt;NumberOfPlots,ISBLANK(INDEX(PlotData,MATCH($A443,PlotNumber,0),MATCH(B$3,PlotTitles,0)))),"",ISBLANK(INDEX(PlotData,MATCH($A443,PlotNumber,0),MATCH(G$3,PlotTitles,0))),$AB$10,TRUE,"")</f>
        <v/>
      </c>
      <c r="H443" s="104" t="str" cm="1">
        <f t="array" ref="H443">_xlfn.IFS(AND(A443&gt;NumberOfPlots,ISBLANK(INDEX(PlotData,MATCH($A443,PlotNumber,0),MATCH(B$3,PlotTitles,0)))),"",AND(ISBLANK(INDEX(PlotData,MATCH($A443,PlotNumber,0),MATCH(H$3,PlotTitles,0)))=FALSE,INDEX(PlotData,MATCH($A443,PlotNumber,0),MATCH(H$3,PlotTitles,0))&lt;500), $AB$11,TRUE,"")</f>
        <v/>
      </c>
      <c r="I443" s="104" t="str" cm="1">
        <f t="array" ref="I443">_xlfn.IFS(AND(A443&gt;NumberOfPlots,ISBLANK(INDEX(PlotData,MATCH($A443,PlotNumber,0),MATCH(B$3,PlotTitles,0)))),"",ISBLANK(INDEX(PlotData,MATCH($A443,PlotNumber,0),MATCH(I$3,PlotTitles,0))),$AB$12,TRUE,"")</f>
        <v/>
      </c>
      <c r="J443" s="104" t="str" cm="1">
        <f t="array" ref="J443">_xlfn.IFS(AND(A443&gt;NumberOfPlots,ISBLANK(INDEX(PlotData,MATCH($A443,PlotNumber,0),MATCH(B$3,PlotTitles,0)))),"",ISBLANK(INDEX(PlotData,MATCH($A443,PlotNumber,0),MATCH(J$3,PlotTitles,0))),$AB$13,TRUE,"")</f>
        <v/>
      </c>
      <c r="K443" s="182" t="str">
        <f t="shared" ca="1" si="18"/>
        <v/>
      </c>
      <c r="L443" s="104" t="str" cm="1">
        <f t="array" ref="L443">_xlfn.IFS(OR(ISBLANK(StartDateMonth),ISBLANK(StartDateYear)),"",AND(A443&gt;NumberOfPlots,ISBLANK(INDEX(PlotData,MATCH($A443,PlotNumber,0),MATCH(B$3,PlotTitles,0)))),"",ISBLANK(INDEX(PlotData,MATCH($A443,PlotNumber,0),MATCH(I$3,PlotTitles,0))),"",(DATEVALUE(INDEX(PlotData,MATCH($A443,PlotNumber,0),MATCH(I$3,PlotTitles,0))&amp;INDEX(PlotData,MATCH($A443,PlotNumber,0),MATCH(J$3,PlotTitles,0))))&lt;DATEVALUE(StartDateMonth&amp;StartDateYear),$AB$15,TRUE,"")</f>
        <v/>
      </c>
      <c r="M443" s="104" t="str" cm="1">
        <f t="array" ref="M443">_xlfn.IFS(OR(ISBLANK(StartDateMonth),ISBLANK(StartDateYear)),"",AND(A443&gt;NumberOfPlots,ISBLANK(INDEX(PlotData,MATCH($A443,PlotNumber,0),MATCH(B$3,PlotTitles,0)))),"",ISBLANK(INDEX(PlotData,MATCH($A443,PlotNumber,0),MATCH(I$3,PlotTitles,0))),"",CompletionMonth="","",(DATEVALUE(INDEX(PlotData,MATCH($A443,PlotNumber,0),MATCH(I$3,PlotTitles,0))&amp;INDEX(PlotData,MATCH($A443,PlotNumber,0),MATCH(J$3,PlotTitles,0))))&gt;(DATEVALUE(CompletionMonth&amp;CompletionYear)),$AB$16,TRUE,"")</f>
        <v/>
      </c>
      <c r="N443" s="104" t="str" cm="1">
        <f t="array" ref="N443">_xlfn.IFS(AND(A443&gt;NumberOfPlots,ISBLANK(INDEX(PlotData,MATCH($A443,PlotNumber,0),MATCH(B$3,PlotTitles,0)))),"",ISBLANK(INDEX(PlotData,MATCH($A443,PlotNumber,0),MATCH(N$3,PlotTitles,0))),$AB$17,TRUE,"")</f>
        <v/>
      </c>
      <c r="O443" s="104" t="str" cm="1">
        <f t="array" ref="O443">_xlfn.IFS(AND(A443&gt;NumberOfPlots,ISBLANK(INDEX(PlotData,MATCH($A443,PlotNumber,0),MATCH(B$3,PlotTitles,0)))),"",ISBLANK(INDEX(PlotData,MATCH($A443,PlotNumber,0),MATCH(O$3,PlotTitles,0))),$AB$18,TRUE,"")</f>
        <v/>
      </c>
      <c r="P443" s="182" t="str">
        <f t="shared" ca="1" si="19"/>
        <v/>
      </c>
      <c r="Q443" s="104" t="str" cm="1">
        <f t="array" ref="Q443">_xlfn.IFS(AND(A443&gt;NumberOfPlots,ISBLANK(INDEX(PlotData,MATCH($A443,PlotNumber,0),MATCH(B$3,PlotTitles,0)))),"",ISBLANK(INDEX(PlotData,MATCH($A443,PlotNumber,0),MATCH(N$3,PlotTitles,0))),"",(DATEVALUE(INDEX(PlotData,MATCH($A443,PlotNumber,0),MATCH(N$3,PlotTitles,0))&amp;INDEX(PlotData,MATCH($A443,PlotNumber,0),MATCH(O$3,PlotTitles,0))))&lt;(DATEVALUE(INDEX(PlotData,MATCH($A443,PlotNumber,0),MATCH(I$3,PlotTitles,0))&amp;INDEX(PlotData,MATCH($A443,PlotNumber,0),MATCH(J$3,PlotTitles,0)))),$AB$20,TRUE,"")</f>
        <v/>
      </c>
      <c r="R443" s="104" t="str" cm="1">
        <f t="array" ref="R443">_xlfn.IFS(OR(ISBLANK(StartDateMonth),ISBLANK(StartDateYear)),"",AND(A443&gt;NumberOfPlots,ISBLANK(INDEX(PlotData,MATCH($A443,PlotNumber,0),MATCH(B$3,PlotTitles,0)))),"",ISBLANK(INDEX(PlotData,MATCH($A443,PlotNumber,0),MATCH(N$3,PlotTitles,0))),"",CompletionMonth="","",(DATEVALUE(INDEX(PlotData,MATCH($A443,PlotNumber,0),MATCH(N$3,PlotTitles,0))&amp;INDEX(PlotData,MATCH($A443,PlotNumber,0),MATCH(O$3,PlotTitles,0))))&gt;(DATEVALUE(CompletionMonth&amp;CompletionYear)),$AB$21,TRUE,"")</f>
        <v/>
      </c>
      <c r="S443" s="104" t="str" cm="1">
        <f t="array" ref="S443">_xlfn.IFS(AND(A443&gt;NumberOfPlots,ISBLANK(INDEX(PlotData,MATCH($A443,PlotNumber,0),MATCH(B$3,PlotTitles,0)))),"",OR(AND(INDEX(PlotData,MATCH($A443,PlotNumber,0),MATCH("Tenure",PlotTitles,0))="Open market housing",INDEX(PlotData,MATCH($A443,PlotNumber,0),MATCH("Tenure detail",PlotTitles,0))="Private rented sector"),INDEX(PlotData,MATCH($A443,PlotNumber,0),MATCH("Tenure",PlotTitles,0))="Affordable rent"),"",ISNUMBER(INDEX(PlotData,MATCH($A443,PlotNumber,0),MATCH(S$3,PlotTitles,0)))=FALSE, $AB$22,TRUE,"")</f>
        <v/>
      </c>
      <c r="T443" s="104" t="str" cm="1">
        <f t="array" ref="T443">_xlfn.IFS(AND(A443&gt;NumberOfPlots,ISBLANK(INDEX(PlotData,MATCH($A443,PlotNumber,0),MATCH(B$3,PlotTitles,0)))),"",OR(AND(INDEX(PlotData,MATCH($A443,PlotNumber,0),MATCH("Tenure",PlotTitles,0))="Open market housing",INDEX(PlotData,MATCH($A443,PlotNumber,0),MATCH("Tenure detail",PlotTitles,0))="Private rented sector"),INDEX(PlotData,MATCH($A443,PlotNumber,0),MATCH("Tenure",PlotTitles,0))="Affordable rent"),"",INDEX(PlotData,MATCH($A443,PlotNumber,0),MATCH(S$3,PlotTitles,0))&lt;10000, $AB$23,TRUE,"")</f>
        <v/>
      </c>
      <c r="U443" s="104" t="str" cm="1">
        <f t="array" ref="U443">_xlfn.IFS(AND(A443&gt;NumberOfPlots,ISBLANK(INDEX(PlotData,MATCH($A443,PlotNumber,0),MATCH(B$3,PlotTitles,0)))),"",NOT(OR(AND(INDEX(PlotData,MATCH($A443,PlotNumber,0),MATCH("Tenure",PlotTitles,0))="Open market housing",INDEX(PlotData,MATCH($A443,PlotNumber,0),MATCH("Tenure detail",PlotTitles,0))="Private rented sector"),INDEX(PlotData,MATCH($A443,PlotNumber,0),MATCH("Tenure",PlotTitles,0))="Affordable rent")),"",NOT(INDEX(PlotData,MATCH($A443,PlotNumber,0),MATCH(S$3,PlotTitles,0))=0), $AB$24,TRUE,"")</f>
        <v/>
      </c>
      <c r="V443" s="114" t="str" cm="1">
        <f t="array" aca="1" ref="V443" ca="1">_xlfn.IFS(ISBLANK(NumberOfPlots),"Enter the number of homes on the 1_SetUp sheet",AND(A443&gt;NumberOfPlots,ISBLANK(INDEX(PlotData,MATCH($A443,PlotNumber,0),MATCH(B$3,PlotTitles,0)))),"No error",NOT(B443=""),B443,NOT(C443=""),C443,NOT(D443=""),D443,NOT(E443=""),E443,NOT(F443=""),F443,NOT(G443=""),G443,NOT(H443=""),H443,NOT(I443=""),I443,NOT(J443=""),J443,NOT(K443=""),K443,NOT(L443=""),L443,NOT(M443=""),M443,NOT(N443=""),N443,NOT(O443=""),O443,NOT(P443=""),P443,NOT(Q443=""),Q443,NOT(R443=""),R443,NOT(S443=""),S443,NOT(T443=""),T443,NOT(U443=""),U443,TRUE,"No error")</f>
        <v>Enter the number of homes on the 1_SetUp sheet</v>
      </c>
      <c r="W443" s="114" t="str">
        <f t="shared" ca="1" si="20"/>
        <v xml:space="preserve">The Borrower has not addressed the following error messages for Home ID 439: </v>
      </c>
    </row>
    <row r="444" spans="1:23">
      <c r="A444" s="123">
        <v>440</v>
      </c>
      <c r="B444" s="104" t="str" cm="1">
        <f t="array" ref="B444">_xlfn.IFS(AND(A444&gt;NumberOfPlots,ISBLANK(INDEX(PlotData,MATCH($A444,PlotNumber,0),MATCH(B$3,PlotTitles,0)))),"",ISNUMBER(INDEX(PlotData,MATCH($A444,PlotNumber,0),MATCH(B$3,PlotTitles,0)))=FALSE, $AB$5,TRUE,"")</f>
        <v/>
      </c>
      <c r="C444" s="104" t="str" cm="1">
        <f t="array" ref="C444">_xlfn.IFS(AND(A444&gt;NumberOfPlots,ISBLANK(INDEX(PlotData,MATCH($A444,PlotNumber,0),MATCH(B$3,PlotTitles,0)))),"",ISBLANK(INDEX(PlotData,MATCH($A444,PlotNumber,0),MATCH(C$3,PlotTitles,0))),$AB$6,TRUE,"")</f>
        <v/>
      </c>
      <c r="D444" s="104" t="str" cm="1">
        <f t="array" ref="D444">_xlfn.IFS(AND(A444&gt;NumberOfPlots,ISBLANK(INDEX(PlotData,MATCH($A444,PlotNumber,0),MATCH(B$3,PlotTitles,0)))),"",ISBLANK(INDEX(PlotData,MATCH($A444,PlotNumber,0),MATCH(D$3,PlotTitles,0))),$AB$7,TRUE,"")</f>
        <v/>
      </c>
      <c r="E444" s="104" t="str" cm="1">
        <f t="array" ref="E444">_xlfn.IFS(AND(A444&gt;NumberOfPlots,ISBLANK(INDEX(PlotData,MATCH($A444,PlotNumber,0),MATCH(B$3,PlotTitles,0)))),"",ISBLANK(INDEX(PlotData,MATCH($A444,PlotNumber,0),MATCH(E$3,PlotTitles,0))),$AB$8,TRUE,"")</f>
        <v/>
      </c>
      <c r="F444" s="104" t="str" cm="1">
        <f t="array" ref="F444">_xlfn.IFS(AND(A444&gt;NumberOfPlots,ISBLANK(INDEX(PlotData,MATCH($A444,PlotNumber,0),MATCH(B$3,PlotTitles,0)))),"",ISBLANK(INDEX(PlotData,MATCH($A444,PlotNumber,0),MATCH(F$3,PlotTitles,0))),$AB$9,TRUE,"")</f>
        <v/>
      </c>
      <c r="G444" s="104" t="str" cm="1">
        <f t="array" ref="G444">_xlfn.IFS(AND(A444&gt;NumberOfPlots,ISBLANK(INDEX(PlotData,MATCH($A444,PlotNumber,0),MATCH(B$3,PlotTitles,0)))),"",ISBLANK(INDEX(PlotData,MATCH($A444,PlotNumber,0),MATCH(G$3,PlotTitles,0))),$AB$10,TRUE,"")</f>
        <v/>
      </c>
      <c r="H444" s="104" t="str" cm="1">
        <f t="array" ref="H444">_xlfn.IFS(AND(A444&gt;NumberOfPlots,ISBLANK(INDEX(PlotData,MATCH($A444,PlotNumber,0),MATCH(B$3,PlotTitles,0)))),"",AND(ISBLANK(INDEX(PlotData,MATCH($A444,PlotNumber,0),MATCH(H$3,PlotTitles,0)))=FALSE,INDEX(PlotData,MATCH($A444,PlotNumber,0),MATCH(H$3,PlotTitles,0))&lt;500), $AB$11,TRUE,"")</f>
        <v/>
      </c>
      <c r="I444" s="104" t="str" cm="1">
        <f t="array" ref="I444">_xlfn.IFS(AND(A444&gt;NumberOfPlots,ISBLANK(INDEX(PlotData,MATCH($A444,PlotNumber,0),MATCH(B$3,PlotTitles,0)))),"",ISBLANK(INDEX(PlotData,MATCH($A444,PlotNumber,0),MATCH(I$3,PlotTitles,0))),$AB$12,TRUE,"")</f>
        <v/>
      </c>
      <c r="J444" s="104" t="str" cm="1">
        <f t="array" ref="J444">_xlfn.IFS(AND(A444&gt;NumberOfPlots,ISBLANK(INDEX(PlotData,MATCH($A444,PlotNumber,0),MATCH(B$3,PlotTitles,0)))),"",ISBLANK(INDEX(PlotData,MATCH($A444,PlotNumber,0),MATCH(J$3,PlotTitles,0))),$AB$13,TRUE,"")</f>
        <v/>
      </c>
      <c r="K444" s="182" t="str">
        <f t="shared" ca="1" si="18"/>
        <v/>
      </c>
      <c r="L444" s="104" t="str" cm="1">
        <f t="array" ref="L444">_xlfn.IFS(OR(ISBLANK(StartDateMonth),ISBLANK(StartDateYear)),"",AND(A444&gt;NumberOfPlots,ISBLANK(INDEX(PlotData,MATCH($A444,PlotNumber,0),MATCH(B$3,PlotTitles,0)))),"",ISBLANK(INDEX(PlotData,MATCH($A444,PlotNumber,0),MATCH(I$3,PlotTitles,0))),"",(DATEVALUE(INDEX(PlotData,MATCH($A444,PlotNumber,0),MATCH(I$3,PlotTitles,0))&amp;INDEX(PlotData,MATCH($A444,PlotNumber,0),MATCH(J$3,PlotTitles,0))))&lt;DATEVALUE(StartDateMonth&amp;StartDateYear),$AB$15,TRUE,"")</f>
        <v/>
      </c>
      <c r="M444" s="104" t="str" cm="1">
        <f t="array" ref="M444">_xlfn.IFS(OR(ISBLANK(StartDateMonth),ISBLANK(StartDateYear)),"",AND(A444&gt;NumberOfPlots,ISBLANK(INDEX(PlotData,MATCH($A444,PlotNumber,0),MATCH(B$3,PlotTitles,0)))),"",ISBLANK(INDEX(PlotData,MATCH($A444,PlotNumber,0),MATCH(I$3,PlotTitles,0))),"",CompletionMonth="","",(DATEVALUE(INDEX(PlotData,MATCH($A444,PlotNumber,0),MATCH(I$3,PlotTitles,0))&amp;INDEX(PlotData,MATCH($A444,PlotNumber,0),MATCH(J$3,PlotTitles,0))))&gt;(DATEVALUE(CompletionMonth&amp;CompletionYear)),$AB$16,TRUE,"")</f>
        <v/>
      </c>
      <c r="N444" s="104" t="str" cm="1">
        <f t="array" ref="N444">_xlfn.IFS(AND(A444&gt;NumberOfPlots,ISBLANK(INDEX(PlotData,MATCH($A444,PlotNumber,0),MATCH(B$3,PlotTitles,0)))),"",ISBLANK(INDEX(PlotData,MATCH($A444,PlotNumber,0),MATCH(N$3,PlotTitles,0))),$AB$17,TRUE,"")</f>
        <v/>
      </c>
      <c r="O444" s="104" t="str" cm="1">
        <f t="array" ref="O444">_xlfn.IFS(AND(A444&gt;NumberOfPlots,ISBLANK(INDEX(PlotData,MATCH($A444,PlotNumber,0),MATCH(B$3,PlotTitles,0)))),"",ISBLANK(INDEX(PlotData,MATCH($A444,PlotNumber,0),MATCH(O$3,PlotTitles,0))),$AB$18,TRUE,"")</f>
        <v/>
      </c>
      <c r="P444" s="182" t="str">
        <f t="shared" ca="1" si="19"/>
        <v/>
      </c>
      <c r="Q444" s="104" t="str" cm="1">
        <f t="array" ref="Q444">_xlfn.IFS(AND(A444&gt;NumberOfPlots,ISBLANK(INDEX(PlotData,MATCH($A444,PlotNumber,0),MATCH(B$3,PlotTitles,0)))),"",ISBLANK(INDEX(PlotData,MATCH($A444,PlotNumber,0),MATCH(N$3,PlotTitles,0))),"",(DATEVALUE(INDEX(PlotData,MATCH($A444,PlotNumber,0),MATCH(N$3,PlotTitles,0))&amp;INDEX(PlotData,MATCH($A444,PlotNumber,0),MATCH(O$3,PlotTitles,0))))&lt;(DATEVALUE(INDEX(PlotData,MATCH($A444,PlotNumber,0),MATCH(I$3,PlotTitles,0))&amp;INDEX(PlotData,MATCH($A444,PlotNumber,0),MATCH(J$3,PlotTitles,0)))),$AB$20,TRUE,"")</f>
        <v/>
      </c>
      <c r="R444" s="104" t="str" cm="1">
        <f t="array" ref="R444">_xlfn.IFS(OR(ISBLANK(StartDateMonth),ISBLANK(StartDateYear)),"",AND(A444&gt;NumberOfPlots,ISBLANK(INDEX(PlotData,MATCH($A444,PlotNumber,0),MATCH(B$3,PlotTitles,0)))),"",ISBLANK(INDEX(PlotData,MATCH($A444,PlotNumber,0),MATCH(N$3,PlotTitles,0))),"",CompletionMonth="","",(DATEVALUE(INDEX(PlotData,MATCH($A444,PlotNumber,0),MATCH(N$3,PlotTitles,0))&amp;INDEX(PlotData,MATCH($A444,PlotNumber,0),MATCH(O$3,PlotTitles,0))))&gt;(DATEVALUE(CompletionMonth&amp;CompletionYear)),$AB$21,TRUE,"")</f>
        <v/>
      </c>
      <c r="S444" s="104" t="str" cm="1">
        <f t="array" ref="S444">_xlfn.IFS(AND(A444&gt;NumberOfPlots,ISBLANK(INDEX(PlotData,MATCH($A444,PlotNumber,0),MATCH(B$3,PlotTitles,0)))),"",OR(AND(INDEX(PlotData,MATCH($A444,PlotNumber,0),MATCH("Tenure",PlotTitles,0))="Open market housing",INDEX(PlotData,MATCH($A444,PlotNumber,0),MATCH("Tenure detail",PlotTitles,0))="Private rented sector"),INDEX(PlotData,MATCH($A444,PlotNumber,0),MATCH("Tenure",PlotTitles,0))="Affordable rent"),"",ISNUMBER(INDEX(PlotData,MATCH($A444,PlotNumber,0),MATCH(S$3,PlotTitles,0)))=FALSE, $AB$22,TRUE,"")</f>
        <v/>
      </c>
      <c r="T444" s="104" t="str" cm="1">
        <f t="array" ref="T444">_xlfn.IFS(AND(A444&gt;NumberOfPlots,ISBLANK(INDEX(PlotData,MATCH($A444,PlotNumber,0),MATCH(B$3,PlotTitles,0)))),"",OR(AND(INDEX(PlotData,MATCH($A444,PlotNumber,0),MATCH("Tenure",PlotTitles,0))="Open market housing",INDEX(PlotData,MATCH($A444,PlotNumber,0),MATCH("Tenure detail",PlotTitles,0))="Private rented sector"),INDEX(PlotData,MATCH($A444,PlotNumber,0),MATCH("Tenure",PlotTitles,0))="Affordable rent"),"",INDEX(PlotData,MATCH($A444,PlotNumber,0),MATCH(S$3,PlotTitles,0))&lt;10000, $AB$23,TRUE,"")</f>
        <v/>
      </c>
      <c r="U444" s="104" t="str" cm="1">
        <f t="array" ref="U444">_xlfn.IFS(AND(A444&gt;NumberOfPlots,ISBLANK(INDEX(PlotData,MATCH($A444,PlotNumber,0),MATCH(B$3,PlotTitles,0)))),"",NOT(OR(AND(INDEX(PlotData,MATCH($A444,PlotNumber,0),MATCH("Tenure",PlotTitles,0))="Open market housing",INDEX(PlotData,MATCH($A444,PlotNumber,0),MATCH("Tenure detail",PlotTitles,0))="Private rented sector"),INDEX(PlotData,MATCH($A444,PlotNumber,0),MATCH("Tenure",PlotTitles,0))="Affordable rent")),"",NOT(INDEX(PlotData,MATCH($A444,PlotNumber,0),MATCH(S$3,PlotTitles,0))=0), $AB$24,TRUE,"")</f>
        <v/>
      </c>
      <c r="V444" s="114" t="str" cm="1">
        <f t="array" aca="1" ref="V444" ca="1">_xlfn.IFS(ISBLANK(NumberOfPlots),"Enter the number of homes on the 1_SetUp sheet",AND(A444&gt;NumberOfPlots,ISBLANK(INDEX(PlotData,MATCH($A444,PlotNumber,0),MATCH(B$3,PlotTitles,0)))),"No error",NOT(B444=""),B444,NOT(C444=""),C444,NOT(D444=""),D444,NOT(E444=""),E444,NOT(F444=""),F444,NOT(G444=""),G444,NOT(H444=""),H444,NOT(I444=""),I444,NOT(J444=""),J444,NOT(K444=""),K444,NOT(L444=""),L444,NOT(M444=""),M444,NOT(N444=""),N444,NOT(O444=""),O444,NOT(P444=""),P444,NOT(Q444=""),Q444,NOT(R444=""),R444,NOT(S444=""),S444,NOT(T444=""),T444,NOT(U444=""),U444,TRUE,"No error")</f>
        <v>Enter the number of homes on the 1_SetUp sheet</v>
      </c>
      <c r="W444" s="114" t="str">
        <f t="shared" ca="1" si="20"/>
        <v xml:space="preserve">The Borrower has not addressed the following error messages for Home ID 440: </v>
      </c>
    </row>
    <row r="445" spans="1:23">
      <c r="A445" s="123">
        <v>441</v>
      </c>
      <c r="B445" s="104" t="str" cm="1">
        <f t="array" ref="B445">_xlfn.IFS(AND(A445&gt;NumberOfPlots,ISBLANK(INDEX(PlotData,MATCH($A445,PlotNumber,0),MATCH(B$3,PlotTitles,0)))),"",ISNUMBER(INDEX(PlotData,MATCH($A445,PlotNumber,0),MATCH(B$3,PlotTitles,0)))=FALSE, $AB$5,TRUE,"")</f>
        <v/>
      </c>
      <c r="C445" s="104" t="str" cm="1">
        <f t="array" ref="C445">_xlfn.IFS(AND(A445&gt;NumberOfPlots,ISBLANK(INDEX(PlotData,MATCH($A445,PlotNumber,0),MATCH(B$3,PlotTitles,0)))),"",ISBLANK(INDEX(PlotData,MATCH($A445,PlotNumber,0),MATCH(C$3,PlotTitles,0))),$AB$6,TRUE,"")</f>
        <v/>
      </c>
      <c r="D445" s="104" t="str" cm="1">
        <f t="array" ref="D445">_xlfn.IFS(AND(A445&gt;NumberOfPlots,ISBLANK(INDEX(PlotData,MATCH($A445,PlotNumber,0),MATCH(B$3,PlotTitles,0)))),"",ISBLANK(INDEX(PlotData,MATCH($A445,PlotNumber,0),MATCH(D$3,PlotTitles,0))),$AB$7,TRUE,"")</f>
        <v/>
      </c>
      <c r="E445" s="104" t="str" cm="1">
        <f t="array" ref="E445">_xlfn.IFS(AND(A445&gt;NumberOfPlots,ISBLANK(INDEX(PlotData,MATCH($A445,PlotNumber,0),MATCH(B$3,PlotTitles,0)))),"",ISBLANK(INDEX(PlotData,MATCH($A445,PlotNumber,0),MATCH(E$3,PlotTitles,0))),$AB$8,TRUE,"")</f>
        <v/>
      </c>
      <c r="F445" s="104" t="str" cm="1">
        <f t="array" ref="F445">_xlfn.IFS(AND(A445&gt;NumberOfPlots,ISBLANK(INDEX(PlotData,MATCH($A445,PlotNumber,0),MATCH(B$3,PlotTitles,0)))),"",ISBLANK(INDEX(PlotData,MATCH($A445,PlotNumber,0),MATCH(F$3,PlotTitles,0))),$AB$9,TRUE,"")</f>
        <v/>
      </c>
      <c r="G445" s="104" t="str" cm="1">
        <f t="array" ref="G445">_xlfn.IFS(AND(A445&gt;NumberOfPlots,ISBLANK(INDEX(PlotData,MATCH($A445,PlotNumber,0),MATCH(B$3,PlotTitles,0)))),"",ISBLANK(INDEX(PlotData,MATCH($A445,PlotNumber,0),MATCH(G$3,PlotTitles,0))),$AB$10,TRUE,"")</f>
        <v/>
      </c>
      <c r="H445" s="104" t="str" cm="1">
        <f t="array" ref="H445">_xlfn.IFS(AND(A445&gt;NumberOfPlots,ISBLANK(INDEX(PlotData,MATCH($A445,PlotNumber,0),MATCH(B$3,PlotTitles,0)))),"",AND(ISBLANK(INDEX(PlotData,MATCH($A445,PlotNumber,0),MATCH(H$3,PlotTitles,0)))=FALSE,INDEX(PlotData,MATCH($A445,PlotNumber,0),MATCH(H$3,PlotTitles,0))&lt;500), $AB$11,TRUE,"")</f>
        <v/>
      </c>
      <c r="I445" s="104" t="str" cm="1">
        <f t="array" ref="I445">_xlfn.IFS(AND(A445&gt;NumberOfPlots,ISBLANK(INDEX(PlotData,MATCH($A445,PlotNumber,0),MATCH(B$3,PlotTitles,0)))),"",ISBLANK(INDEX(PlotData,MATCH($A445,PlotNumber,0),MATCH(I$3,PlotTitles,0))),$AB$12,TRUE,"")</f>
        <v/>
      </c>
      <c r="J445" s="104" t="str" cm="1">
        <f t="array" ref="J445">_xlfn.IFS(AND(A445&gt;NumberOfPlots,ISBLANK(INDEX(PlotData,MATCH($A445,PlotNumber,0),MATCH(B$3,PlotTitles,0)))),"",ISBLANK(INDEX(PlotData,MATCH($A445,PlotNumber,0),MATCH(J$3,PlotTitles,0))),$AB$13,TRUE,"")</f>
        <v/>
      </c>
      <c r="K445" s="182" t="str">
        <f t="shared" ca="1" si="18"/>
        <v/>
      </c>
      <c r="L445" s="104" t="str" cm="1">
        <f t="array" ref="L445">_xlfn.IFS(OR(ISBLANK(StartDateMonth),ISBLANK(StartDateYear)),"",AND(A445&gt;NumberOfPlots,ISBLANK(INDEX(PlotData,MATCH($A445,PlotNumber,0),MATCH(B$3,PlotTitles,0)))),"",ISBLANK(INDEX(PlotData,MATCH($A445,PlotNumber,0),MATCH(I$3,PlotTitles,0))),"",(DATEVALUE(INDEX(PlotData,MATCH($A445,PlotNumber,0),MATCH(I$3,PlotTitles,0))&amp;INDEX(PlotData,MATCH($A445,PlotNumber,0),MATCH(J$3,PlotTitles,0))))&lt;DATEVALUE(StartDateMonth&amp;StartDateYear),$AB$15,TRUE,"")</f>
        <v/>
      </c>
      <c r="M445" s="104" t="str" cm="1">
        <f t="array" ref="M445">_xlfn.IFS(OR(ISBLANK(StartDateMonth),ISBLANK(StartDateYear)),"",AND(A445&gt;NumberOfPlots,ISBLANK(INDEX(PlotData,MATCH($A445,PlotNumber,0),MATCH(B$3,PlotTitles,0)))),"",ISBLANK(INDEX(PlotData,MATCH($A445,PlotNumber,0),MATCH(I$3,PlotTitles,0))),"",CompletionMonth="","",(DATEVALUE(INDEX(PlotData,MATCH($A445,PlotNumber,0),MATCH(I$3,PlotTitles,0))&amp;INDEX(PlotData,MATCH($A445,PlotNumber,0),MATCH(J$3,PlotTitles,0))))&gt;(DATEVALUE(CompletionMonth&amp;CompletionYear)),$AB$16,TRUE,"")</f>
        <v/>
      </c>
      <c r="N445" s="104" t="str" cm="1">
        <f t="array" ref="N445">_xlfn.IFS(AND(A445&gt;NumberOfPlots,ISBLANK(INDEX(PlotData,MATCH($A445,PlotNumber,0),MATCH(B$3,PlotTitles,0)))),"",ISBLANK(INDEX(PlotData,MATCH($A445,PlotNumber,0),MATCH(N$3,PlotTitles,0))),$AB$17,TRUE,"")</f>
        <v/>
      </c>
      <c r="O445" s="104" t="str" cm="1">
        <f t="array" ref="O445">_xlfn.IFS(AND(A445&gt;NumberOfPlots,ISBLANK(INDEX(PlotData,MATCH($A445,PlotNumber,0),MATCH(B$3,PlotTitles,0)))),"",ISBLANK(INDEX(PlotData,MATCH($A445,PlotNumber,0),MATCH(O$3,PlotTitles,0))),$AB$18,TRUE,"")</f>
        <v/>
      </c>
      <c r="P445" s="182" t="str">
        <f t="shared" ca="1" si="19"/>
        <v/>
      </c>
      <c r="Q445" s="104" t="str" cm="1">
        <f t="array" ref="Q445">_xlfn.IFS(AND(A445&gt;NumberOfPlots,ISBLANK(INDEX(PlotData,MATCH($A445,PlotNumber,0),MATCH(B$3,PlotTitles,0)))),"",ISBLANK(INDEX(PlotData,MATCH($A445,PlotNumber,0),MATCH(N$3,PlotTitles,0))),"",(DATEVALUE(INDEX(PlotData,MATCH($A445,PlotNumber,0),MATCH(N$3,PlotTitles,0))&amp;INDEX(PlotData,MATCH($A445,PlotNumber,0),MATCH(O$3,PlotTitles,0))))&lt;(DATEVALUE(INDEX(PlotData,MATCH($A445,PlotNumber,0),MATCH(I$3,PlotTitles,0))&amp;INDEX(PlotData,MATCH($A445,PlotNumber,0),MATCH(J$3,PlotTitles,0)))),$AB$20,TRUE,"")</f>
        <v/>
      </c>
      <c r="R445" s="104" t="str" cm="1">
        <f t="array" ref="R445">_xlfn.IFS(OR(ISBLANK(StartDateMonth),ISBLANK(StartDateYear)),"",AND(A445&gt;NumberOfPlots,ISBLANK(INDEX(PlotData,MATCH($A445,PlotNumber,0),MATCH(B$3,PlotTitles,0)))),"",ISBLANK(INDEX(PlotData,MATCH($A445,PlotNumber,0),MATCH(N$3,PlotTitles,0))),"",CompletionMonth="","",(DATEVALUE(INDEX(PlotData,MATCH($A445,PlotNumber,0),MATCH(N$3,PlotTitles,0))&amp;INDEX(PlotData,MATCH($A445,PlotNumber,0),MATCH(O$3,PlotTitles,0))))&gt;(DATEVALUE(CompletionMonth&amp;CompletionYear)),$AB$21,TRUE,"")</f>
        <v/>
      </c>
      <c r="S445" s="104" t="str" cm="1">
        <f t="array" ref="S445">_xlfn.IFS(AND(A445&gt;NumberOfPlots,ISBLANK(INDEX(PlotData,MATCH($A445,PlotNumber,0),MATCH(B$3,PlotTitles,0)))),"",OR(AND(INDEX(PlotData,MATCH($A445,PlotNumber,0),MATCH("Tenure",PlotTitles,0))="Open market housing",INDEX(PlotData,MATCH($A445,PlotNumber,0),MATCH("Tenure detail",PlotTitles,0))="Private rented sector"),INDEX(PlotData,MATCH($A445,PlotNumber,0),MATCH("Tenure",PlotTitles,0))="Affordable rent"),"",ISNUMBER(INDEX(PlotData,MATCH($A445,PlotNumber,0),MATCH(S$3,PlotTitles,0)))=FALSE, $AB$22,TRUE,"")</f>
        <v/>
      </c>
      <c r="T445" s="104" t="str" cm="1">
        <f t="array" ref="T445">_xlfn.IFS(AND(A445&gt;NumberOfPlots,ISBLANK(INDEX(PlotData,MATCH($A445,PlotNumber,0),MATCH(B$3,PlotTitles,0)))),"",OR(AND(INDEX(PlotData,MATCH($A445,PlotNumber,0),MATCH("Tenure",PlotTitles,0))="Open market housing",INDEX(PlotData,MATCH($A445,PlotNumber,0),MATCH("Tenure detail",PlotTitles,0))="Private rented sector"),INDEX(PlotData,MATCH($A445,PlotNumber,0),MATCH("Tenure",PlotTitles,0))="Affordable rent"),"",INDEX(PlotData,MATCH($A445,PlotNumber,0),MATCH(S$3,PlotTitles,0))&lt;10000, $AB$23,TRUE,"")</f>
        <v/>
      </c>
      <c r="U445" s="104" t="str" cm="1">
        <f t="array" ref="U445">_xlfn.IFS(AND(A445&gt;NumberOfPlots,ISBLANK(INDEX(PlotData,MATCH($A445,PlotNumber,0),MATCH(B$3,PlotTitles,0)))),"",NOT(OR(AND(INDEX(PlotData,MATCH($A445,PlotNumber,0),MATCH("Tenure",PlotTitles,0))="Open market housing",INDEX(PlotData,MATCH($A445,PlotNumber,0),MATCH("Tenure detail",PlotTitles,0))="Private rented sector"),INDEX(PlotData,MATCH($A445,PlotNumber,0),MATCH("Tenure",PlotTitles,0))="Affordable rent")),"",NOT(INDEX(PlotData,MATCH($A445,PlotNumber,0),MATCH(S$3,PlotTitles,0))=0), $AB$24,TRUE,"")</f>
        <v/>
      </c>
      <c r="V445" s="114" t="str" cm="1">
        <f t="array" aca="1" ref="V445" ca="1">_xlfn.IFS(ISBLANK(NumberOfPlots),"Enter the number of homes on the 1_SetUp sheet",AND(A445&gt;NumberOfPlots,ISBLANK(INDEX(PlotData,MATCH($A445,PlotNumber,0),MATCH(B$3,PlotTitles,0)))),"No error",NOT(B445=""),B445,NOT(C445=""),C445,NOT(D445=""),D445,NOT(E445=""),E445,NOT(F445=""),F445,NOT(G445=""),G445,NOT(H445=""),H445,NOT(I445=""),I445,NOT(J445=""),J445,NOT(K445=""),K445,NOT(L445=""),L445,NOT(M445=""),M445,NOT(N445=""),N445,NOT(O445=""),O445,NOT(P445=""),P445,NOT(Q445=""),Q445,NOT(R445=""),R445,NOT(S445=""),S445,NOT(T445=""),T445,NOT(U445=""),U445,TRUE,"No error")</f>
        <v>Enter the number of homes on the 1_SetUp sheet</v>
      </c>
      <c r="W445" s="114" t="str">
        <f t="shared" ca="1" si="20"/>
        <v xml:space="preserve">The Borrower has not addressed the following error messages for Home ID 441: </v>
      </c>
    </row>
    <row r="446" spans="1:23">
      <c r="A446" s="123">
        <v>442</v>
      </c>
      <c r="B446" s="104" t="str" cm="1">
        <f t="array" ref="B446">_xlfn.IFS(AND(A446&gt;NumberOfPlots,ISBLANK(INDEX(PlotData,MATCH($A446,PlotNumber,0),MATCH(B$3,PlotTitles,0)))),"",ISNUMBER(INDEX(PlotData,MATCH($A446,PlotNumber,0),MATCH(B$3,PlotTitles,0)))=FALSE, $AB$5,TRUE,"")</f>
        <v/>
      </c>
      <c r="C446" s="104" t="str" cm="1">
        <f t="array" ref="C446">_xlfn.IFS(AND(A446&gt;NumberOfPlots,ISBLANK(INDEX(PlotData,MATCH($A446,PlotNumber,0),MATCH(B$3,PlotTitles,0)))),"",ISBLANK(INDEX(PlotData,MATCH($A446,PlotNumber,0),MATCH(C$3,PlotTitles,0))),$AB$6,TRUE,"")</f>
        <v/>
      </c>
      <c r="D446" s="104" t="str" cm="1">
        <f t="array" ref="D446">_xlfn.IFS(AND(A446&gt;NumberOfPlots,ISBLANK(INDEX(PlotData,MATCH($A446,PlotNumber,0),MATCH(B$3,PlotTitles,0)))),"",ISBLANK(INDEX(PlotData,MATCH($A446,PlotNumber,0),MATCH(D$3,PlotTitles,0))),$AB$7,TRUE,"")</f>
        <v/>
      </c>
      <c r="E446" s="104" t="str" cm="1">
        <f t="array" ref="E446">_xlfn.IFS(AND(A446&gt;NumberOfPlots,ISBLANK(INDEX(PlotData,MATCH($A446,PlotNumber,0),MATCH(B$3,PlotTitles,0)))),"",ISBLANK(INDEX(PlotData,MATCH($A446,PlotNumber,0),MATCH(E$3,PlotTitles,0))),$AB$8,TRUE,"")</f>
        <v/>
      </c>
      <c r="F446" s="104" t="str" cm="1">
        <f t="array" ref="F446">_xlfn.IFS(AND(A446&gt;NumberOfPlots,ISBLANK(INDEX(PlotData,MATCH($A446,PlotNumber,0),MATCH(B$3,PlotTitles,0)))),"",ISBLANK(INDEX(PlotData,MATCH($A446,PlotNumber,0),MATCH(F$3,PlotTitles,0))),$AB$9,TRUE,"")</f>
        <v/>
      </c>
      <c r="G446" s="104" t="str" cm="1">
        <f t="array" ref="G446">_xlfn.IFS(AND(A446&gt;NumberOfPlots,ISBLANK(INDEX(PlotData,MATCH($A446,PlotNumber,0),MATCH(B$3,PlotTitles,0)))),"",ISBLANK(INDEX(PlotData,MATCH($A446,PlotNumber,0),MATCH(G$3,PlotTitles,0))),$AB$10,TRUE,"")</f>
        <v/>
      </c>
      <c r="H446" s="104" t="str" cm="1">
        <f t="array" ref="H446">_xlfn.IFS(AND(A446&gt;NumberOfPlots,ISBLANK(INDEX(PlotData,MATCH($A446,PlotNumber,0),MATCH(B$3,PlotTitles,0)))),"",AND(ISBLANK(INDEX(PlotData,MATCH($A446,PlotNumber,0),MATCH(H$3,PlotTitles,0)))=FALSE,INDEX(PlotData,MATCH($A446,PlotNumber,0),MATCH(H$3,PlotTitles,0))&lt;500), $AB$11,TRUE,"")</f>
        <v/>
      </c>
      <c r="I446" s="104" t="str" cm="1">
        <f t="array" ref="I446">_xlfn.IFS(AND(A446&gt;NumberOfPlots,ISBLANK(INDEX(PlotData,MATCH($A446,PlotNumber,0),MATCH(B$3,PlotTitles,0)))),"",ISBLANK(INDEX(PlotData,MATCH($A446,PlotNumber,0),MATCH(I$3,PlotTitles,0))),$AB$12,TRUE,"")</f>
        <v/>
      </c>
      <c r="J446" s="104" t="str" cm="1">
        <f t="array" ref="J446">_xlfn.IFS(AND(A446&gt;NumberOfPlots,ISBLANK(INDEX(PlotData,MATCH($A446,PlotNumber,0),MATCH(B$3,PlotTitles,0)))),"",ISBLANK(INDEX(PlotData,MATCH($A446,PlotNumber,0),MATCH(J$3,PlotTitles,0))),$AB$13,TRUE,"")</f>
        <v/>
      </c>
      <c r="K446" s="182" t="str">
        <f t="shared" ca="1" si="18"/>
        <v/>
      </c>
      <c r="L446" s="104" t="str" cm="1">
        <f t="array" ref="L446">_xlfn.IFS(OR(ISBLANK(StartDateMonth),ISBLANK(StartDateYear)),"",AND(A446&gt;NumberOfPlots,ISBLANK(INDEX(PlotData,MATCH($A446,PlotNumber,0),MATCH(B$3,PlotTitles,0)))),"",ISBLANK(INDEX(PlotData,MATCH($A446,PlotNumber,0),MATCH(I$3,PlotTitles,0))),"",(DATEVALUE(INDEX(PlotData,MATCH($A446,PlotNumber,0),MATCH(I$3,PlotTitles,0))&amp;INDEX(PlotData,MATCH($A446,PlotNumber,0),MATCH(J$3,PlotTitles,0))))&lt;DATEVALUE(StartDateMonth&amp;StartDateYear),$AB$15,TRUE,"")</f>
        <v/>
      </c>
      <c r="M446" s="104" t="str" cm="1">
        <f t="array" ref="M446">_xlfn.IFS(OR(ISBLANK(StartDateMonth),ISBLANK(StartDateYear)),"",AND(A446&gt;NumberOfPlots,ISBLANK(INDEX(PlotData,MATCH($A446,PlotNumber,0),MATCH(B$3,PlotTitles,0)))),"",ISBLANK(INDEX(PlotData,MATCH($A446,PlotNumber,0),MATCH(I$3,PlotTitles,0))),"",CompletionMonth="","",(DATEVALUE(INDEX(PlotData,MATCH($A446,PlotNumber,0),MATCH(I$3,PlotTitles,0))&amp;INDEX(PlotData,MATCH($A446,PlotNumber,0),MATCH(J$3,PlotTitles,0))))&gt;(DATEVALUE(CompletionMonth&amp;CompletionYear)),$AB$16,TRUE,"")</f>
        <v/>
      </c>
      <c r="N446" s="104" t="str" cm="1">
        <f t="array" ref="N446">_xlfn.IFS(AND(A446&gt;NumberOfPlots,ISBLANK(INDEX(PlotData,MATCH($A446,PlotNumber,0),MATCH(B$3,PlotTitles,0)))),"",ISBLANK(INDEX(PlotData,MATCH($A446,PlotNumber,0),MATCH(N$3,PlotTitles,0))),$AB$17,TRUE,"")</f>
        <v/>
      </c>
      <c r="O446" s="104" t="str" cm="1">
        <f t="array" ref="O446">_xlfn.IFS(AND(A446&gt;NumberOfPlots,ISBLANK(INDEX(PlotData,MATCH($A446,PlotNumber,0),MATCH(B$3,PlotTitles,0)))),"",ISBLANK(INDEX(PlotData,MATCH($A446,PlotNumber,0),MATCH(O$3,PlotTitles,0))),$AB$18,TRUE,"")</f>
        <v/>
      </c>
      <c r="P446" s="182" t="str">
        <f t="shared" ca="1" si="19"/>
        <v/>
      </c>
      <c r="Q446" s="104" t="str" cm="1">
        <f t="array" ref="Q446">_xlfn.IFS(AND(A446&gt;NumberOfPlots,ISBLANK(INDEX(PlotData,MATCH($A446,PlotNumber,0),MATCH(B$3,PlotTitles,0)))),"",ISBLANK(INDEX(PlotData,MATCH($A446,PlotNumber,0),MATCH(N$3,PlotTitles,0))),"",(DATEVALUE(INDEX(PlotData,MATCH($A446,PlotNumber,0),MATCH(N$3,PlotTitles,0))&amp;INDEX(PlotData,MATCH($A446,PlotNumber,0),MATCH(O$3,PlotTitles,0))))&lt;(DATEVALUE(INDEX(PlotData,MATCH($A446,PlotNumber,0),MATCH(I$3,PlotTitles,0))&amp;INDEX(PlotData,MATCH($A446,PlotNumber,0),MATCH(J$3,PlotTitles,0)))),$AB$20,TRUE,"")</f>
        <v/>
      </c>
      <c r="R446" s="104" t="str" cm="1">
        <f t="array" ref="R446">_xlfn.IFS(OR(ISBLANK(StartDateMonth),ISBLANK(StartDateYear)),"",AND(A446&gt;NumberOfPlots,ISBLANK(INDEX(PlotData,MATCH($A446,PlotNumber,0),MATCH(B$3,PlotTitles,0)))),"",ISBLANK(INDEX(PlotData,MATCH($A446,PlotNumber,0),MATCH(N$3,PlotTitles,0))),"",CompletionMonth="","",(DATEVALUE(INDEX(PlotData,MATCH($A446,PlotNumber,0),MATCH(N$3,PlotTitles,0))&amp;INDEX(PlotData,MATCH($A446,PlotNumber,0),MATCH(O$3,PlotTitles,0))))&gt;(DATEVALUE(CompletionMonth&amp;CompletionYear)),$AB$21,TRUE,"")</f>
        <v/>
      </c>
      <c r="S446" s="104" t="str" cm="1">
        <f t="array" ref="S446">_xlfn.IFS(AND(A446&gt;NumberOfPlots,ISBLANK(INDEX(PlotData,MATCH($A446,PlotNumber,0),MATCH(B$3,PlotTitles,0)))),"",OR(AND(INDEX(PlotData,MATCH($A446,PlotNumber,0),MATCH("Tenure",PlotTitles,0))="Open market housing",INDEX(PlotData,MATCH($A446,PlotNumber,0),MATCH("Tenure detail",PlotTitles,0))="Private rented sector"),INDEX(PlotData,MATCH($A446,PlotNumber,0),MATCH("Tenure",PlotTitles,0))="Affordable rent"),"",ISNUMBER(INDEX(PlotData,MATCH($A446,PlotNumber,0),MATCH(S$3,PlotTitles,0)))=FALSE, $AB$22,TRUE,"")</f>
        <v/>
      </c>
      <c r="T446" s="104" t="str" cm="1">
        <f t="array" ref="T446">_xlfn.IFS(AND(A446&gt;NumberOfPlots,ISBLANK(INDEX(PlotData,MATCH($A446,PlotNumber,0),MATCH(B$3,PlotTitles,0)))),"",OR(AND(INDEX(PlotData,MATCH($A446,PlotNumber,0),MATCH("Tenure",PlotTitles,0))="Open market housing",INDEX(PlotData,MATCH($A446,PlotNumber,0),MATCH("Tenure detail",PlotTitles,0))="Private rented sector"),INDEX(PlotData,MATCH($A446,PlotNumber,0),MATCH("Tenure",PlotTitles,0))="Affordable rent"),"",INDEX(PlotData,MATCH($A446,PlotNumber,0),MATCH(S$3,PlotTitles,0))&lt;10000, $AB$23,TRUE,"")</f>
        <v/>
      </c>
      <c r="U446" s="104" t="str" cm="1">
        <f t="array" ref="U446">_xlfn.IFS(AND(A446&gt;NumberOfPlots,ISBLANK(INDEX(PlotData,MATCH($A446,PlotNumber,0),MATCH(B$3,PlotTitles,0)))),"",NOT(OR(AND(INDEX(PlotData,MATCH($A446,PlotNumber,0),MATCH("Tenure",PlotTitles,0))="Open market housing",INDEX(PlotData,MATCH($A446,PlotNumber,0),MATCH("Tenure detail",PlotTitles,0))="Private rented sector"),INDEX(PlotData,MATCH($A446,PlotNumber,0),MATCH("Tenure",PlotTitles,0))="Affordable rent")),"",NOT(INDEX(PlotData,MATCH($A446,PlotNumber,0),MATCH(S$3,PlotTitles,0))=0), $AB$24,TRUE,"")</f>
        <v/>
      </c>
      <c r="V446" s="114" t="str" cm="1">
        <f t="array" aca="1" ref="V446" ca="1">_xlfn.IFS(ISBLANK(NumberOfPlots),"Enter the number of homes on the 1_SetUp sheet",AND(A446&gt;NumberOfPlots,ISBLANK(INDEX(PlotData,MATCH($A446,PlotNumber,0),MATCH(B$3,PlotTitles,0)))),"No error",NOT(B446=""),B446,NOT(C446=""),C446,NOT(D446=""),D446,NOT(E446=""),E446,NOT(F446=""),F446,NOT(G446=""),G446,NOT(H446=""),H446,NOT(I446=""),I446,NOT(J446=""),J446,NOT(K446=""),K446,NOT(L446=""),L446,NOT(M446=""),M446,NOT(N446=""),N446,NOT(O446=""),O446,NOT(P446=""),P446,NOT(Q446=""),Q446,NOT(R446=""),R446,NOT(S446=""),S446,NOT(T446=""),T446,NOT(U446=""),U446,TRUE,"No error")</f>
        <v>Enter the number of homes on the 1_SetUp sheet</v>
      </c>
      <c r="W446" s="114" t="str">
        <f t="shared" ca="1" si="20"/>
        <v xml:space="preserve">The Borrower has not addressed the following error messages for Home ID 442: </v>
      </c>
    </row>
    <row r="447" spans="1:23">
      <c r="A447" s="123">
        <v>443</v>
      </c>
      <c r="B447" s="104" t="str" cm="1">
        <f t="array" ref="B447">_xlfn.IFS(AND(A447&gt;NumberOfPlots,ISBLANK(INDEX(PlotData,MATCH($A447,PlotNumber,0),MATCH(B$3,PlotTitles,0)))),"",ISNUMBER(INDEX(PlotData,MATCH($A447,PlotNumber,0),MATCH(B$3,PlotTitles,0)))=FALSE, $AB$5,TRUE,"")</f>
        <v/>
      </c>
      <c r="C447" s="104" t="str" cm="1">
        <f t="array" ref="C447">_xlfn.IFS(AND(A447&gt;NumberOfPlots,ISBLANK(INDEX(PlotData,MATCH($A447,PlotNumber,0),MATCH(B$3,PlotTitles,0)))),"",ISBLANK(INDEX(PlotData,MATCH($A447,PlotNumber,0),MATCH(C$3,PlotTitles,0))),$AB$6,TRUE,"")</f>
        <v/>
      </c>
      <c r="D447" s="104" t="str" cm="1">
        <f t="array" ref="D447">_xlfn.IFS(AND(A447&gt;NumberOfPlots,ISBLANK(INDEX(PlotData,MATCH($A447,PlotNumber,0),MATCH(B$3,PlotTitles,0)))),"",ISBLANK(INDEX(PlotData,MATCH($A447,PlotNumber,0),MATCH(D$3,PlotTitles,0))),$AB$7,TRUE,"")</f>
        <v/>
      </c>
      <c r="E447" s="104" t="str" cm="1">
        <f t="array" ref="E447">_xlfn.IFS(AND(A447&gt;NumberOfPlots,ISBLANK(INDEX(PlotData,MATCH($A447,PlotNumber,0),MATCH(B$3,PlotTitles,0)))),"",ISBLANK(INDEX(PlotData,MATCH($A447,PlotNumber,0),MATCH(E$3,PlotTitles,0))),$AB$8,TRUE,"")</f>
        <v/>
      </c>
      <c r="F447" s="104" t="str" cm="1">
        <f t="array" ref="F447">_xlfn.IFS(AND(A447&gt;NumberOfPlots,ISBLANK(INDEX(PlotData,MATCH($A447,PlotNumber,0),MATCH(B$3,PlotTitles,0)))),"",ISBLANK(INDEX(PlotData,MATCH($A447,PlotNumber,0),MATCH(F$3,PlotTitles,0))),$AB$9,TRUE,"")</f>
        <v/>
      </c>
      <c r="G447" s="104" t="str" cm="1">
        <f t="array" ref="G447">_xlfn.IFS(AND(A447&gt;NumberOfPlots,ISBLANK(INDEX(PlotData,MATCH($A447,PlotNumber,0),MATCH(B$3,PlotTitles,0)))),"",ISBLANK(INDEX(PlotData,MATCH($A447,PlotNumber,0),MATCH(G$3,PlotTitles,0))),$AB$10,TRUE,"")</f>
        <v/>
      </c>
      <c r="H447" s="104" t="str" cm="1">
        <f t="array" ref="H447">_xlfn.IFS(AND(A447&gt;NumberOfPlots,ISBLANK(INDEX(PlotData,MATCH($A447,PlotNumber,0),MATCH(B$3,PlotTitles,0)))),"",AND(ISBLANK(INDEX(PlotData,MATCH($A447,PlotNumber,0),MATCH(H$3,PlotTitles,0)))=FALSE,INDEX(PlotData,MATCH($A447,PlotNumber,0),MATCH(H$3,PlotTitles,0))&lt;500), $AB$11,TRUE,"")</f>
        <v/>
      </c>
      <c r="I447" s="104" t="str" cm="1">
        <f t="array" ref="I447">_xlfn.IFS(AND(A447&gt;NumberOfPlots,ISBLANK(INDEX(PlotData,MATCH($A447,PlotNumber,0),MATCH(B$3,PlotTitles,0)))),"",ISBLANK(INDEX(PlotData,MATCH($A447,PlotNumber,0),MATCH(I$3,PlotTitles,0))),$AB$12,TRUE,"")</f>
        <v/>
      </c>
      <c r="J447" s="104" t="str" cm="1">
        <f t="array" ref="J447">_xlfn.IFS(AND(A447&gt;NumberOfPlots,ISBLANK(INDEX(PlotData,MATCH($A447,PlotNumber,0),MATCH(B$3,PlotTitles,0)))),"",ISBLANK(INDEX(PlotData,MATCH($A447,PlotNumber,0),MATCH(J$3,PlotTitles,0))),$AB$13,TRUE,"")</f>
        <v/>
      </c>
      <c r="K447" s="182" t="str">
        <f t="shared" ca="1" si="18"/>
        <v/>
      </c>
      <c r="L447" s="104" t="str" cm="1">
        <f t="array" ref="L447">_xlfn.IFS(OR(ISBLANK(StartDateMonth),ISBLANK(StartDateYear)),"",AND(A447&gt;NumberOfPlots,ISBLANK(INDEX(PlotData,MATCH($A447,PlotNumber,0),MATCH(B$3,PlotTitles,0)))),"",ISBLANK(INDEX(PlotData,MATCH($A447,PlotNumber,0),MATCH(I$3,PlotTitles,0))),"",(DATEVALUE(INDEX(PlotData,MATCH($A447,PlotNumber,0),MATCH(I$3,PlotTitles,0))&amp;INDEX(PlotData,MATCH($A447,PlotNumber,0),MATCH(J$3,PlotTitles,0))))&lt;DATEVALUE(StartDateMonth&amp;StartDateYear),$AB$15,TRUE,"")</f>
        <v/>
      </c>
      <c r="M447" s="104" t="str" cm="1">
        <f t="array" ref="M447">_xlfn.IFS(OR(ISBLANK(StartDateMonth),ISBLANK(StartDateYear)),"",AND(A447&gt;NumberOfPlots,ISBLANK(INDEX(PlotData,MATCH($A447,PlotNumber,0),MATCH(B$3,PlotTitles,0)))),"",ISBLANK(INDEX(PlotData,MATCH($A447,PlotNumber,0),MATCH(I$3,PlotTitles,0))),"",CompletionMonth="","",(DATEVALUE(INDEX(PlotData,MATCH($A447,PlotNumber,0),MATCH(I$3,PlotTitles,0))&amp;INDEX(PlotData,MATCH($A447,PlotNumber,0),MATCH(J$3,PlotTitles,0))))&gt;(DATEVALUE(CompletionMonth&amp;CompletionYear)),$AB$16,TRUE,"")</f>
        <v/>
      </c>
      <c r="N447" s="104" t="str" cm="1">
        <f t="array" ref="N447">_xlfn.IFS(AND(A447&gt;NumberOfPlots,ISBLANK(INDEX(PlotData,MATCH($A447,PlotNumber,0),MATCH(B$3,PlotTitles,0)))),"",ISBLANK(INDEX(PlotData,MATCH($A447,PlotNumber,0),MATCH(N$3,PlotTitles,0))),$AB$17,TRUE,"")</f>
        <v/>
      </c>
      <c r="O447" s="104" t="str" cm="1">
        <f t="array" ref="O447">_xlfn.IFS(AND(A447&gt;NumberOfPlots,ISBLANK(INDEX(PlotData,MATCH($A447,PlotNumber,0),MATCH(B$3,PlotTitles,0)))),"",ISBLANK(INDEX(PlotData,MATCH($A447,PlotNumber,0),MATCH(O$3,PlotTitles,0))),$AB$18,TRUE,"")</f>
        <v/>
      </c>
      <c r="P447" s="182" t="str">
        <f t="shared" ca="1" si="19"/>
        <v/>
      </c>
      <c r="Q447" s="104" t="str" cm="1">
        <f t="array" ref="Q447">_xlfn.IFS(AND(A447&gt;NumberOfPlots,ISBLANK(INDEX(PlotData,MATCH($A447,PlotNumber,0),MATCH(B$3,PlotTitles,0)))),"",ISBLANK(INDEX(PlotData,MATCH($A447,PlotNumber,0),MATCH(N$3,PlotTitles,0))),"",(DATEVALUE(INDEX(PlotData,MATCH($A447,PlotNumber,0),MATCH(N$3,PlotTitles,0))&amp;INDEX(PlotData,MATCH($A447,PlotNumber,0),MATCH(O$3,PlotTitles,0))))&lt;(DATEVALUE(INDEX(PlotData,MATCH($A447,PlotNumber,0),MATCH(I$3,PlotTitles,0))&amp;INDEX(PlotData,MATCH($A447,PlotNumber,0),MATCH(J$3,PlotTitles,0)))),$AB$20,TRUE,"")</f>
        <v/>
      </c>
      <c r="R447" s="104" t="str" cm="1">
        <f t="array" ref="R447">_xlfn.IFS(OR(ISBLANK(StartDateMonth),ISBLANK(StartDateYear)),"",AND(A447&gt;NumberOfPlots,ISBLANK(INDEX(PlotData,MATCH($A447,PlotNumber,0),MATCH(B$3,PlotTitles,0)))),"",ISBLANK(INDEX(PlotData,MATCH($A447,PlotNumber,0),MATCH(N$3,PlotTitles,0))),"",CompletionMonth="","",(DATEVALUE(INDEX(PlotData,MATCH($A447,PlotNumber,0),MATCH(N$3,PlotTitles,0))&amp;INDEX(PlotData,MATCH($A447,PlotNumber,0),MATCH(O$3,PlotTitles,0))))&gt;(DATEVALUE(CompletionMonth&amp;CompletionYear)),$AB$21,TRUE,"")</f>
        <v/>
      </c>
      <c r="S447" s="104" t="str" cm="1">
        <f t="array" ref="S447">_xlfn.IFS(AND(A447&gt;NumberOfPlots,ISBLANK(INDEX(PlotData,MATCH($A447,PlotNumber,0),MATCH(B$3,PlotTitles,0)))),"",OR(AND(INDEX(PlotData,MATCH($A447,PlotNumber,0),MATCH("Tenure",PlotTitles,0))="Open market housing",INDEX(PlotData,MATCH($A447,PlotNumber,0),MATCH("Tenure detail",PlotTitles,0))="Private rented sector"),INDEX(PlotData,MATCH($A447,PlotNumber,0),MATCH("Tenure",PlotTitles,0))="Affordable rent"),"",ISNUMBER(INDEX(PlotData,MATCH($A447,PlotNumber,0),MATCH(S$3,PlotTitles,0)))=FALSE, $AB$22,TRUE,"")</f>
        <v/>
      </c>
      <c r="T447" s="104" t="str" cm="1">
        <f t="array" ref="T447">_xlfn.IFS(AND(A447&gt;NumberOfPlots,ISBLANK(INDEX(PlotData,MATCH($A447,PlotNumber,0),MATCH(B$3,PlotTitles,0)))),"",OR(AND(INDEX(PlotData,MATCH($A447,PlotNumber,0),MATCH("Tenure",PlotTitles,0))="Open market housing",INDEX(PlotData,MATCH($A447,PlotNumber,0),MATCH("Tenure detail",PlotTitles,0))="Private rented sector"),INDEX(PlotData,MATCH($A447,PlotNumber,0),MATCH("Tenure",PlotTitles,0))="Affordable rent"),"",INDEX(PlotData,MATCH($A447,PlotNumber,0),MATCH(S$3,PlotTitles,0))&lt;10000, $AB$23,TRUE,"")</f>
        <v/>
      </c>
      <c r="U447" s="104" t="str" cm="1">
        <f t="array" ref="U447">_xlfn.IFS(AND(A447&gt;NumberOfPlots,ISBLANK(INDEX(PlotData,MATCH($A447,PlotNumber,0),MATCH(B$3,PlotTitles,0)))),"",NOT(OR(AND(INDEX(PlotData,MATCH($A447,PlotNumber,0),MATCH("Tenure",PlotTitles,0))="Open market housing",INDEX(PlotData,MATCH($A447,PlotNumber,0),MATCH("Tenure detail",PlotTitles,0))="Private rented sector"),INDEX(PlotData,MATCH($A447,PlotNumber,0),MATCH("Tenure",PlotTitles,0))="Affordable rent")),"",NOT(INDEX(PlotData,MATCH($A447,PlotNumber,0),MATCH(S$3,PlotTitles,0))=0), $AB$24,TRUE,"")</f>
        <v/>
      </c>
      <c r="V447" s="114" t="str" cm="1">
        <f t="array" aca="1" ref="V447" ca="1">_xlfn.IFS(ISBLANK(NumberOfPlots),"Enter the number of homes on the 1_SetUp sheet",AND(A447&gt;NumberOfPlots,ISBLANK(INDEX(PlotData,MATCH($A447,PlotNumber,0),MATCH(B$3,PlotTitles,0)))),"No error",NOT(B447=""),B447,NOT(C447=""),C447,NOT(D447=""),D447,NOT(E447=""),E447,NOT(F447=""),F447,NOT(G447=""),G447,NOT(H447=""),H447,NOT(I447=""),I447,NOT(J447=""),J447,NOT(K447=""),K447,NOT(L447=""),L447,NOT(M447=""),M447,NOT(N447=""),N447,NOT(O447=""),O447,NOT(P447=""),P447,NOT(Q447=""),Q447,NOT(R447=""),R447,NOT(S447=""),S447,NOT(T447=""),T447,NOT(U447=""),U447,TRUE,"No error")</f>
        <v>Enter the number of homes on the 1_SetUp sheet</v>
      </c>
      <c r="W447" s="114" t="str">
        <f t="shared" ca="1" si="20"/>
        <v xml:space="preserve">The Borrower has not addressed the following error messages for Home ID 443: </v>
      </c>
    </row>
    <row r="448" spans="1:23">
      <c r="A448" s="123">
        <v>444</v>
      </c>
      <c r="B448" s="104" t="str" cm="1">
        <f t="array" ref="B448">_xlfn.IFS(AND(A448&gt;NumberOfPlots,ISBLANK(INDEX(PlotData,MATCH($A448,PlotNumber,0),MATCH(B$3,PlotTitles,0)))),"",ISNUMBER(INDEX(PlotData,MATCH($A448,PlotNumber,0),MATCH(B$3,PlotTitles,0)))=FALSE, $AB$5,TRUE,"")</f>
        <v/>
      </c>
      <c r="C448" s="104" t="str" cm="1">
        <f t="array" ref="C448">_xlfn.IFS(AND(A448&gt;NumberOfPlots,ISBLANK(INDEX(PlotData,MATCH($A448,PlotNumber,0),MATCH(B$3,PlotTitles,0)))),"",ISBLANK(INDEX(PlotData,MATCH($A448,PlotNumber,0),MATCH(C$3,PlotTitles,0))),$AB$6,TRUE,"")</f>
        <v/>
      </c>
      <c r="D448" s="104" t="str" cm="1">
        <f t="array" ref="D448">_xlfn.IFS(AND(A448&gt;NumberOfPlots,ISBLANK(INDEX(PlotData,MATCH($A448,PlotNumber,0),MATCH(B$3,PlotTitles,0)))),"",ISBLANK(INDEX(PlotData,MATCH($A448,PlotNumber,0),MATCH(D$3,PlotTitles,0))),$AB$7,TRUE,"")</f>
        <v/>
      </c>
      <c r="E448" s="104" t="str" cm="1">
        <f t="array" ref="E448">_xlfn.IFS(AND(A448&gt;NumberOfPlots,ISBLANK(INDEX(PlotData,MATCH($A448,PlotNumber,0),MATCH(B$3,PlotTitles,0)))),"",ISBLANK(INDEX(PlotData,MATCH($A448,PlotNumber,0),MATCH(E$3,PlotTitles,0))),$AB$8,TRUE,"")</f>
        <v/>
      </c>
      <c r="F448" s="104" t="str" cm="1">
        <f t="array" ref="F448">_xlfn.IFS(AND(A448&gt;NumberOfPlots,ISBLANK(INDEX(PlotData,MATCH($A448,PlotNumber,0),MATCH(B$3,PlotTitles,0)))),"",ISBLANK(INDEX(PlotData,MATCH($A448,PlotNumber,0),MATCH(F$3,PlotTitles,0))),$AB$9,TRUE,"")</f>
        <v/>
      </c>
      <c r="G448" s="104" t="str" cm="1">
        <f t="array" ref="G448">_xlfn.IFS(AND(A448&gt;NumberOfPlots,ISBLANK(INDEX(PlotData,MATCH($A448,PlotNumber,0),MATCH(B$3,PlotTitles,0)))),"",ISBLANK(INDEX(PlotData,MATCH($A448,PlotNumber,0),MATCH(G$3,PlotTitles,0))),$AB$10,TRUE,"")</f>
        <v/>
      </c>
      <c r="H448" s="104" t="str" cm="1">
        <f t="array" ref="H448">_xlfn.IFS(AND(A448&gt;NumberOfPlots,ISBLANK(INDEX(PlotData,MATCH($A448,PlotNumber,0),MATCH(B$3,PlotTitles,0)))),"",AND(ISBLANK(INDEX(PlotData,MATCH($A448,PlotNumber,0),MATCH(H$3,PlotTitles,0)))=FALSE,INDEX(PlotData,MATCH($A448,PlotNumber,0),MATCH(H$3,PlotTitles,0))&lt;500), $AB$11,TRUE,"")</f>
        <v/>
      </c>
      <c r="I448" s="104" t="str" cm="1">
        <f t="array" ref="I448">_xlfn.IFS(AND(A448&gt;NumberOfPlots,ISBLANK(INDEX(PlotData,MATCH($A448,PlotNumber,0),MATCH(B$3,PlotTitles,0)))),"",ISBLANK(INDEX(PlotData,MATCH($A448,PlotNumber,0),MATCH(I$3,PlotTitles,0))),$AB$12,TRUE,"")</f>
        <v/>
      </c>
      <c r="J448" s="104" t="str" cm="1">
        <f t="array" ref="J448">_xlfn.IFS(AND(A448&gt;NumberOfPlots,ISBLANK(INDEX(PlotData,MATCH($A448,PlotNumber,0),MATCH(B$3,PlotTitles,0)))),"",ISBLANK(INDEX(PlotData,MATCH($A448,PlotNumber,0),MATCH(J$3,PlotTitles,0))),$AB$13,TRUE,"")</f>
        <v/>
      </c>
      <c r="K448" s="182" t="str">
        <f t="shared" ca="1" si="18"/>
        <v/>
      </c>
      <c r="L448" s="104" t="str" cm="1">
        <f t="array" ref="L448">_xlfn.IFS(OR(ISBLANK(StartDateMonth),ISBLANK(StartDateYear)),"",AND(A448&gt;NumberOfPlots,ISBLANK(INDEX(PlotData,MATCH($A448,PlotNumber,0),MATCH(B$3,PlotTitles,0)))),"",ISBLANK(INDEX(PlotData,MATCH($A448,PlotNumber,0),MATCH(I$3,PlotTitles,0))),"",(DATEVALUE(INDEX(PlotData,MATCH($A448,PlotNumber,0),MATCH(I$3,PlotTitles,0))&amp;INDEX(PlotData,MATCH($A448,PlotNumber,0),MATCH(J$3,PlotTitles,0))))&lt;DATEVALUE(StartDateMonth&amp;StartDateYear),$AB$15,TRUE,"")</f>
        <v/>
      </c>
      <c r="M448" s="104" t="str" cm="1">
        <f t="array" ref="M448">_xlfn.IFS(OR(ISBLANK(StartDateMonth),ISBLANK(StartDateYear)),"",AND(A448&gt;NumberOfPlots,ISBLANK(INDEX(PlotData,MATCH($A448,PlotNumber,0),MATCH(B$3,PlotTitles,0)))),"",ISBLANK(INDEX(PlotData,MATCH($A448,PlotNumber,0),MATCH(I$3,PlotTitles,0))),"",CompletionMonth="","",(DATEVALUE(INDEX(PlotData,MATCH($A448,PlotNumber,0),MATCH(I$3,PlotTitles,0))&amp;INDEX(PlotData,MATCH($A448,PlotNumber,0),MATCH(J$3,PlotTitles,0))))&gt;(DATEVALUE(CompletionMonth&amp;CompletionYear)),$AB$16,TRUE,"")</f>
        <v/>
      </c>
      <c r="N448" s="104" t="str" cm="1">
        <f t="array" ref="N448">_xlfn.IFS(AND(A448&gt;NumberOfPlots,ISBLANK(INDEX(PlotData,MATCH($A448,PlotNumber,0),MATCH(B$3,PlotTitles,0)))),"",ISBLANK(INDEX(PlotData,MATCH($A448,PlotNumber,0),MATCH(N$3,PlotTitles,0))),$AB$17,TRUE,"")</f>
        <v/>
      </c>
      <c r="O448" s="104" t="str" cm="1">
        <f t="array" ref="O448">_xlfn.IFS(AND(A448&gt;NumberOfPlots,ISBLANK(INDEX(PlotData,MATCH($A448,PlotNumber,0),MATCH(B$3,PlotTitles,0)))),"",ISBLANK(INDEX(PlotData,MATCH($A448,PlotNumber,0),MATCH(O$3,PlotTitles,0))),$AB$18,TRUE,"")</f>
        <v/>
      </c>
      <c r="P448" s="182" t="str">
        <f t="shared" ca="1" si="19"/>
        <v/>
      </c>
      <c r="Q448" s="104" t="str" cm="1">
        <f t="array" ref="Q448">_xlfn.IFS(AND(A448&gt;NumberOfPlots,ISBLANK(INDEX(PlotData,MATCH($A448,PlotNumber,0),MATCH(B$3,PlotTitles,0)))),"",ISBLANK(INDEX(PlotData,MATCH($A448,PlotNumber,0),MATCH(N$3,PlotTitles,0))),"",(DATEVALUE(INDEX(PlotData,MATCH($A448,PlotNumber,0),MATCH(N$3,PlotTitles,0))&amp;INDEX(PlotData,MATCH($A448,PlotNumber,0),MATCH(O$3,PlotTitles,0))))&lt;(DATEVALUE(INDEX(PlotData,MATCH($A448,PlotNumber,0),MATCH(I$3,PlotTitles,0))&amp;INDEX(PlotData,MATCH($A448,PlotNumber,0),MATCH(J$3,PlotTitles,0)))),$AB$20,TRUE,"")</f>
        <v/>
      </c>
      <c r="R448" s="104" t="str" cm="1">
        <f t="array" ref="R448">_xlfn.IFS(OR(ISBLANK(StartDateMonth),ISBLANK(StartDateYear)),"",AND(A448&gt;NumberOfPlots,ISBLANK(INDEX(PlotData,MATCH($A448,PlotNumber,0),MATCH(B$3,PlotTitles,0)))),"",ISBLANK(INDEX(PlotData,MATCH($A448,PlotNumber,0),MATCH(N$3,PlotTitles,0))),"",CompletionMonth="","",(DATEVALUE(INDEX(PlotData,MATCH($A448,PlotNumber,0),MATCH(N$3,PlotTitles,0))&amp;INDEX(PlotData,MATCH($A448,PlotNumber,0),MATCH(O$3,PlotTitles,0))))&gt;(DATEVALUE(CompletionMonth&amp;CompletionYear)),$AB$21,TRUE,"")</f>
        <v/>
      </c>
      <c r="S448" s="104" t="str" cm="1">
        <f t="array" ref="S448">_xlfn.IFS(AND(A448&gt;NumberOfPlots,ISBLANK(INDEX(PlotData,MATCH($A448,PlotNumber,0),MATCH(B$3,PlotTitles,0)))),"",OR(AND(INDEX(PlotData,MATCH($A448,PlotNumber,0),MATCH("Tenure",PlotTitles,0))="Open market housing",INDEX(PlotData,MATCH($A448,PlotNumber,0),MATCH("Tenure detail",PlotTitles,0))="Private rented sector"),INDEX(PlotData,MATCH($A448,PlotNumber,0),MATCH("Tenure",PlotTitles,0))="Affordable rent"),"",ISNUMBER(INDEX(PlotData,MATCH($A448,PlotNumber,0),MATCH(S$3,PlotTitles,0)))=FALSE, $AB$22,TRUE,"")</f>
        <v/>
      </c>
      <c r="T448" s="104" t="str" cm="1">
        <f t="array" ref="T448">_xlfn.IFS(AND(A448&gt;NumberOfPlots,ISBLANK(INDEX(PlotData,MATCH($A448,PlotNumber,0),MATCH(B$3,PlotTitles,0)))),"",OR(AND(INDEX(PlotData,MATCH($A448,PlotNumber,0),MATCH("Tenure",PlotTitles,0))="Open market housing",INDEX(PlotData,MATCH($A448,PlotNumber,0),MATCH("Tenure detail",PlotTitles,0))="Private rented sector"),INDEX(PlotData,MATCH($A448,PlotNumber,0),MATCH("Tenure",PlotTitles,0))="Affordable rent"),"",INDEX(PlotData,MATCH($A448,PlotNumber,0),MATCH(S$3,PlotTitles,0))&lt;10000, $AB$23,TRUE,"")</f>
        <v/>
      </c>
      <c r="U448" s="104" t="str" cm="1">
        <f t="array" ref="U448">_xlfn.IFS(AND(A448&gt;NumberOfPlots,ISBLANK(INDEX(PlotData,MATCH($A448,PlotNumber,0),MATCH(B$3,PlotTitles,0)))),"",NOT(OR(AND(INDEX(PlotData,MATCH($A448,PlotNumber,0),MATCH("Tenure",PlotTitles,0))="Open market housing",INDEX(PlotData,MATCH($A448,PlotNumber,0),MATCH("Tenure detail",PlotTitles,0))="Private rented sector"),INDEX(PlotData,MATCH($A448,PlotNumber,0),MATCH("Tenure",PlotTitles,0))="Affordable rent")),"",NOT(INDEX(PlotData,MATCH($A448,PlotNumber,0),MATCH(S$3,PlotTitles,0))=0), $AB$24,TRUE,"")</f>
        <v/>
      </c>
      <c r="V448" s="114" t="str" cm="1">
        <f t="array" aca="1" ref="V448" ca="1">_xlfn.IFS(ISBLANK(NumberOfPlots),"Enter the number of homes on the 1_SetUp sheet",AND(A448&gt;NumberOfPlots,ISBLANK(INDEX(PlotData,MATCH($A448,PlotNumber,0),MATCH(B$3,PlotTitles,0)))),"No error",NOT(B448=""),B448,NOT(C448=""),C448,NOT(D448=""),D448,NOT(E448=""),E448,NOT(F448=""),F448,NOT(G448=""),G448,NOT(H448=""),H448,NOT(I448=""),I448,NOT(J448=""),J448,NOT(K448=""),K448,NOT(L448=""),L448,NOT(M448=""),M448,NOT(N448=""),N448,NOT(O448=""),O448,NOT(P448=""),P448,NOT(Q448=""),Q448,NOT(R448=""),R448,NOT(S448=""),S448,NOT(T448=""),T448,NOT(U448=""),U448,TRUE,"No error")</f>
        <v>Enter the number of homes on the 1_SetUp sheet</v>
      </c>
      <c r="W448" s="114" t="str">
        <f t="shared" ca="1" si="20"/>
        <v xml:space="preserve">The Borrower has not addressed the following error messages for Home ID 444: </v>
      </c>
    </row>
    <row r="449" spans="1:23">
      <c r="A449" s="123">
        <v>445</v>
      </c>
      <c r="B449" s="104" t="str" cm="1">
        <f t="array" ref="B449">_xlfn.IFS(AND(A449&gt;NumberOfPlots,ISBLANK(INDEX(PlotData,MATCH($A449,PlotNumber,0),MATCH(B$3,PlotTitles,0)))),"",ISNUMBER(INDEX(PlotData,MATCH($A449,PlotNumber,0),MATCH(B$3,PlotTitles,0)))=FALSE, $AB$5,TRUE,"")</f>
        <v/>
      </c>
      <c r="C449" s="104" t="str" cm="1">
        <f t="array" ref="C449">_xlfn.IFS(AND(A449&gt;NumberOfPlots,ISBLANK(INDEX(PlotData,MATCH($A449,PlotNumber,0),MATCH(B$3,PlotTitles,0)))),"",ISBLANK(INDEX(PlotData,MATCH($A449,PlotNumber,0),MATCH(C$3,PlotTitles,0))),$AB$6,TRUE,"")</f>
        <v/>
      </c>
      <c r="D449" s="104" t="str" cm="1">
        <f t="array" ref="D449">_xlfn.IFS(AND(A449&gt;NumberOfPlots,ISBLANK(INDEX(PlotData,MATCH($A449,PlotNumber,0),MATCH(B$3,PlotTitles,0)))),"",ISBLANK(INDEX(PlotData,MATCH($A449,PlotNumber,0),MATCH(D$3,PlotTitles,0))),$AB$7,TRUE,"")</f>
        <v/>
      </c>
      <c r="E449" s="104" t="str" cm="1">
        <f t="array" ref="E449">_xlfn.IFS(AND(A449&gt;NumberOfPlots,ISBLANK(INDEX(PlotData,MATCH($A449,PlotNumber,0),MATCH(B$3,PlotTitles,0)))),"",ISBLANK(INDEX(PlotData,MATCH($A449,PlotNumber,0),MATCH(E$3,PlotTitles,0))),$AB$8,TRUE,"")</f>
        <v/>
      </c>
      <c r="F449" s="104" t="str" cm="1">
        <f t="array" ref="F449">_xlfn.IFS(AND(A449&gt;NumberOfPlots,ISBLANK(INDEX(PlotData,MATCH($A449,PlotNumber,0),MATCH(B$3,PlotTitles,0)))),"",ISBLANK(INDEX(PlotData,MATCH($A449,PlotNumber,0),MATCH(F$3,PlotTitles,0))),$AB$9,TRUE,"")</f>
        <v/>
      </c>
      <c r="G449" s="104" t="str" cm="1">
        <f t="array" ref="G449">_xlfn.IFS(AND(A449&gt;NumberOfPlots,ISBLANK(INDEX(PlotData,MATCH($A449,PlotNumber,0),MATCH(B$3,PlotTitles,0)))),"",ISBLANK(INDEX(PlotData,MATCH($A449,PlotNumber,0),MATCH(G$3,PlotTitles,0))),$AB$10,TRUE,"")</f>
        <v/>
      </c>
      <c r="H449" s="104" t="str" cm="1">
        <f t="array" ref="H449">_xlfn.IFS(AND(A449&gt;NumberOfPlots,ISBLANK(INDEX(PlotData,MATCH($A449,PlotNumber,0),MATCH(B$3,PlotTitles,0)))),"",AND(ISBLANK(INDEX(PlotData,MATCH($A449,PlotNumber,0),MATCH(H$3,PlotTitles,0)))=FALSE,INDEX(PlotData,MATCH($A449,PlotNumber,0),MATCH(H$3,PlotTitles,0))&lt;500), $AB$11,TRUE,"")</f>
        <v/>
      </c>
      <c r="I449" s="104" t="str" cm="1">
        <f t="array" ref="I449">_xlfn.IFS(AND(A449&gt;NumberOfPlots,ISBLANK(INDEX(PlotData,MATCH($A449,PlotNumber,0),MATCH(B$3,PlotTitles,0)))),"",ISBLANK(INDEX(PlotData,MATCH($A449,PlotNumber,0),MATCH(I$3,PlotTitles,0))),$AB$12,TRUE,"")</f>
        <v/>
      </c>
      <c r="J449" s="104" t="str" cm="1">
        <f t="array" ref="J449">_xlfn.IFS(AND(A449&gt;NumberOfPlots,ISBLANK(INDEX(PlotData,MATCH($A449,PlotNumber,0),MATCH(B$3,PlotTitles,0)))),"",ISBLANK(INDEX(PlotData,MATCH($A449,PlotNumber,0),MATCH(J$3,PlotTitles,0))),$AB$13,TRUE,"")</f>
        <v/>
      </c>
      <c r="K449" s="182" t="str">
        <f t="shared" ca="1" si="18"/>
        <v/>
      </c>
      <c r="L449" s="104" t="str" cm="1">
        <f t="array" ref="L449">_xlfn.IFS(OR(ISBLANK(StartDateMonth),ISBLANK(StartDateYear)),"",AND(A449&gt;NumberOfPlots,ISBLANK(INDEX(PlotData,MATCH($A449,PlotNumber,0),MATCH(B$3,PlotTitles,0)))),"",ISBLANK(INDEX(PlotData,MATCH($A449,PlotNumber,0),MATCH(I$3,PlotTitles,0))),"",(DATEVALUE(INDEX(PlotData,MATCH($A449,PlotNumber,0),MATCH(I$3,PlotTitles,0))&amp;INDEX(PlotData,MATCH($A449,PlotNumber,0),MATCH(J$3,PlotTitles,0))))&lt;DATEVALUE(StartDateMonth&amp;StartDateYear),$AB$15,TRUE,"")</f>
        <v/>
      </c>
      <c r="M449" s="104" t="str" cm="1">
        <f t="array" ref="M449">_xlfn.IFS(OR(ISBLANK(StartDateMonth),ISBLANK(StartDateYear)),"",AND(A449&gt;NumberOfPlots,ISBLANK(INDEX(PlotData,MATCH($A449,PlotNumber,0),MATCH(B$3,PlotTitles,0)))),"",ISBLANK(INDEX(PlotData,MATCH($A449,PlotNumber,0),MATCH(I$3,PlotTitles,0))),"",CompletionMonth="","",(DATEVALUE(INDEX(PlotData,MATCH($A449,PlotNumber,0),MATCH(I$3,PlotTitles,0))&amp;INDEX(PlotData,MATCH($A449,PlotNumber,0),MATCH(J$3,PlotTitles,0))))&gt;(DATEVALUE(CompletionMonth&amp;CompletionYear)),$AB$16,TRUE,"")</f>
        <v/>
      </c>
      <c r="N449" s="104" t="str" cm="1">
        <f t="array" ref="N449">_xlfn.IFS(AND(A449&gt;NumberOfPlots,ISBLANK(INDEX(PlotData,MATCH($A449,PlotNumber,0),MATCH(B$3,PlotTitles,0)))),"",ISBLANK(INDEX(PlotData,MATCH($A449,PlotNumber,0),MATCH(N$3,PlotTitles,0))),$AB$17,TRUE,"")</f>
        <v/>
      </c>
      <c r="O449" s="104" t="str" cm="1">
        <f t="array" ref="O449">_xlfn.IFS(AND(A449&gt;NumberOfPlots,ISBLANK(INDEX(PlotData,MATCH($A449,PlotNumber,0),MATCH(B$3,PlotTitles,0)))),"",ISBLANK(INDEX(PlotData,MATCH($A449,PlotNumber,0),MATCH(O$3,PlotTitles,0))),$AB$18,TRUE,"")</f>
        <v/>
      </c>
      <c r="P449" s="182" t="str">
        <f t="shared" ca="1" si="19"/>
        <v/>
      </c>
      <c r="Q449" s="104" t="str" cm="1">
        <f t="array" ref="Q449">_xlfn.IFS(AND(A449&gt;NumberOfPlots,ISBLANK(INDEX(PlotData,MATCH($A449,PlotNumber,0),MATCH(B$3,PlotTitles,0)))),"",ISBLANK(INDEX(PlotData,MATCH($A449,PlotNumber,0),MATCH(N$3,PlotTitles,0))),"",(DATEVALUE(INDEX(PlotData,MATCH($A449,PlotNumber,0),MATCH(N$3,PlotTitles,0))&amp;INDEX(PlotData,MATCH($A449,PlotNumber,0),MATCH(O$3,PlotTitles,0))))&lt;(DATEVALUE(INDEX(PlotData,MATCH($A449,PlotNumber,0),MATCH(I$3,PlotTitles,0))&amp;INDEX(PlotData,MATCH($A449,PlotNumber,0),MATCH(J$3,PlotTitles,0)))),$AB$20,TRUE,"")</f>
        <v/>
      </c>
      <c r="R449" s="104" t="str" cm="1">
        <f t="array" ref="R449">_xlfn.IFS(OR(ISBLANK(StartDateMonth),ISBLANK(StartDateYear)),"",AND(A449&gt;NumberOfPlots,ISBLANK(INDEX(PlotData,MATCH($A449,PlotNumber,0),MATCH(B$3,PlotTitles,0)))),"",ISBLANK(INDEX(PlotData,MATCH($A449,PlotNumber,0),MATCH(N$3,PlotTitles,0))),"",CompletionMonth="","",(DATEVALUE(INDEX(PlotData,MATCH($A449,PlotNumber,0),MATCH(N$3,PlotTitles,0))&amp;INDEX(PlotData,MATCH($A449,PlotNumber,0),MATCH(O$3,PlotTitles,0))))&gt;(DATEVALUE(CompletionMonth&amp;CompletionYear)),$AB$21,TRUE,"")</f>
        <v/>
      </c>
      <c r="S449" s="104" t="str" cm="1">
        <f t="array" ref="S449">_xlfn.IFS(AND(A449&gt;NumberOfPlots,ISBLANK(INDEX(PlotData,MATCH($A449,PlotNumber,0),MATCH(B$3,PlotTitles,0)))),"",OR(AND(INDEX(PlotData,MATCH($A449,PlotNumber,0),MATCH("Tenure",PlotTitles,0))="Open market housing",INDEX(PlotData,MATCH($A449,PlotNumber,0),MATCH("Tenure detail",PlotTitles,0))="Private rented sector"),INDEX(PlotData,MATCH($A449,PlotNumber,0),MATCH("Tenure",PlotTitles,0))="Affordable rent"),"",ISNUMBER(INDEX(PlotData,MATCH($A449,PlotNumber,0),MATCH(S$3,PlotTitles,0)))=FALSE, $AB$22,TRUE,"")</f>
        <v/>
      </c>
      <c r="T449" s="104" t="str" cm="1">
        <f t="array" ref="T449">_xlfn.IFS(AND(A449&gt;NumberOfPlots,ISBLANK(INDEX(PlotData,MATCH($A449,PlotNumber,0),MATCH(B$3,PlotTitles,0)))),"",OR(AND(INDEX(PlotData,MATCH($A449,PlotNumber,0),MATCH("Tenure",PlotTitles,0))="Open market housing",INDEX(PlotData,MATCH($A449,PlotNumber,0),MATCH("Tenure detail",PlotTitles,0))="Private rented sector"),INDEX(PlotData,MATCH($A449,PlotNumber,0),MATCH("Tenure",PlotTitles,0))="Affordable rent"),"",INDEX(PlotData,MATCH($A449,PlotNumber,0),MATCH(S$3,PlotTitles,0))&lt;10000, $AB$23,TRUE,"")</f>
        <v/>
      </c>
      <c r="U449" s="104" t="str" cm="1">
        <f t="array" ref="U449">_xlfn.IFS(AND(A449&gt;NumberOfPlots,ISBLANK(INDEX(PlotData,MATCH($A449,PlotNumber,0),MATCH(B$3,PlotTitles,0)))),"",NOT(OR(AND(INDEX(PlotData,MATCH($A449,PlotNumber,0),MATCH("Tenure",PlotTitles,0))="Open market housing",INDEX(PlotData,MATCH($A449,PlotNumber,0),MATCH("Tenure detail",PlotTitles,0))="Private rented sector"),INDEX(PlotData,MATCH($A449,PlotNumber,0),MATCH("Tenure",PlotTitles,0))="Affordable rent")),"",NOT(INDEX(PlotData,MATCH($A449,PlotNumber,0),MATCH(S$3,PlotTitles,0))=0), $AB$24,TRUE,"")</f>
        <v/>
      </c>
      <c r="V449" s="114" t="str" cm="1">
        <f t="array" aca="1" ref="V449" ca="1">_xlfn.IFS(ISBLANK(NumberOfPlots),"Enter the number of homes on the 1_SetUp sheet",AND(A449&gt;NumberOfPlots,ISBLANK(INDEX(PlotData,MATCH($A449,PlotNumber,0),MATCH(B$3,PlotTitles,0)))),"No error",NOT(B449=""),B449,NOT(C449=""),C449,NOT(D449=""),D449,NOT(E449=""),E449,NOT(F449=""),F449,NOT(G449=""),G449,NOT(H449=""),H449,NOT(I449=""),I449,NOT(J449=""),J449,NOT(K449=""),K449,NOT(L449=""),L449,NOT(M449=""),M449,NOT(N449=""),N449,NOT(O449=""),O449,NOT(P449=""),P449,NOT(Q449=""),Q449,NOT(R449=""),R449,NOT(S449=""),S449,NOT(T449=""),T449,NOT(U449=""),U449,TRUE,"No error")</f>
        <v>Enter the number of homes on the 1_SetUp sheet</v>
      </c>
      <c r="W449" s="114" t="str">
        <f t="shared" ca="1" si="20"/>
        <v xml:space="preserve">The Borrower has not addressed the following error messages for Home ID 445: </v>
      </c>
    </row>
    <row r="450" spans="1:23">
      <c r="A450" s="123">
        <v>446</v>
      </c>
      <c r="B450" s="104" t="str" cm="1">
        <f t="array" ref="B450">_xlfn.IFS(AND(A450&gt;NumberOfPlots,ISBLANK(INDEX(PlotData,MATCH($A450,PlotNumber,0),MATCH(B$3,PlotTitles,0)))),"",ISNUMBER(INDEX(PlotData,MATCH($A450,PlotNumber,0),MATCH(B$3,PlotTitles,0)))=FALSE, $AB$5,TRUE,"")</f>
        <v/>
      </c>
      <c r="C450" s="104" t="str" cm="1">
        <f t="array" ref="C450">_xlfn.IFS(AND(A450&gt;NumberOfPlots,ISBLANK(INDEX(PlotData,MATCH($A450,PlotNumber,0),MATCH(B$3,PlotTitles,0)))),"",ISBLANK(INDEX(PlotData,MATCH($A450,PlotNumber,0),MATCH(C$3,PlotTitles,0))),$AB$6,TRUE,"")</f>
        <v/>
      </c>
      <c r="D450" s="104" t="str" cm="1">
        <f t="array" ref="D450">_xlfn.IFS(AND(A450&gt;NumberOfPlots,ISBLANK(INDEX(PlotData,MATCH($A450,PlotNumber,0),MATCH(B$3,PlotTitles,0)))),"",ISBLANK(INDEX(PlotData,MATCH($A450,PlotNumber,0),MATCH(D$3,PlotTitles,0))),$AB$7,TRUE,"")</f>
        <v/>
      </c>
      <c r="E450" s="104" t="str" cm="1">
        <f t="array" ref="E450">_xlfn.IFS(AND(A450&gt;NumberOfPlots,ISBLANK(INDEX(PlotData,MATCH($A450,PlotNumber,0),MATCH(B$3,PlotTitles,0)))),"",ISBLANK(INDEX(PlotData,MATCH($A450,PlotNumber,0),MATCH(E$3,PlotTitles,0))),$AB$8,TRUE,"")</f>
        <v/>
      </c>
      <c r="F450" s="104" t="str" cm="1">
        <f t="array" ref="F450">_xlfn.IFS(AND(A450&gt;NumberOfPlots,ISBLANK(INDEX(PlotData,MATCH($A450,PlotNumber,0),MATCH(B$3,PlotTitles,0)))),"",ISBLANK(INDEX(PlotData,MATCH($A450,PlotNumber,0),MATCH(F$3,PlotTitles,0))),$AB$9,TRUE,"")</f>
        <v/>
      </c>
      <c r="G450" s="104" t="str" cm="1">
        <f t="array" ref="G450">_xlfn.IFS(AND(A450&gt;NumberOfPlots,ISBLANK(INDEX(PlotData,MATCH($A450,PlotNumber,0),MATCH(B$3,PlotTitles,0)))),"",ISBLANK(INDEX(PlotData,MATCH($A450,PlotNumber,0),MATCH(G$3,PlotTitles,0))),$AB$10,TRUE,"")</f>
        <v/>
      </c>
      <c r="H450" s="104" t="str" cm="1">
        <f t="array" ref="H450">_xlfn.IFS(AND(A450&gt;NumberOfPlots,ISBLANK(INDEX(PlotData,MATCH($A450,PlotNumber,0),MATCH(B$3,PlotTitles,0)))),"",AND(ISBLANK(INDEX(PlotData,MATCH($A450,PlotNumber,0),MATCH(H$3,PlotTitles,0)))=FALSE,INDEX(PlotData,MATCH($A450,PlotNumber,0),MATCH(H$3,PlotTitles,0))&lt;500), $AB$11,TRUE,"")</f>
        <v/>
      </c>
      <c r="I450" s="104" t="str" cm="1">
        <f t="array" ref="I450">_xlfn.IFS(AND(A450&gt;NumberOfPlots,ISBLANK(INDEX(PlotData,MATCH($A450,PlotNumber,0),MATCH(B$3,PlotTitles,0)))),"",ISBLANK(INDEX(PlotData,MATCH($A450,PlotNumber,0),MATCH(I$3,PlotTitles,0))),$AB$12,TRUE,"")</f>
        <v/>
      </c>
      <c r="J450" s="104" t="str" cm="1">
        <f t="array" ref="J450">_xlfn.IFS(AND(A450&gt;NumberOfPlots,ISBLANK(INDEX(PlotData,MATCH($A450,PlotNumber,0),MATCH(B$3,PlotTitles,0)))),"",ISBLANK(INDEX(PlotData,MATCH($A450,PlotNumber,0),MATCH(J$3,PlotTitles,0))),$AB$13,TRUE,"")</f>
        <v/>
      </c>
      <c r="K450" s="182" t="str">
        <f t="shared" ca="1" si="18"/>
        <v/>
      </c>
      <c r="L450" s="104" t="str" cm="1">
        <f t="array" ref="L450">_xlfn.IFS(OR(ISBLANK(StartDateMonth),ISBLANK(StartDateYear)),"",AND(A450&gt;NumberOfPlots,ISBLANK(INDEX(PlotData,MATCH($A450,PlotNumber,0),MATCH(B$3,PlotTitles,0)))),"",ISBLANK(INDEX(PlotData,MATCH($A450,PlotNumber,0),MATCH(I$3,PlotTitles,0))),"",(DATEVALUE(INDEX(PlotData,MATCH($A450,PlotNumber,0),MATCH(I$3,PlotTitles,0))&amp;INDEX(PlotData,MATCH($A450,PlotNumber,0),MATCH(J$3,PlotTitles,0))))&lt;DATEVALUE(StartDateMonth&amp;StartDateYear),$AB$15,TRUE,"")</f>
        <v/>
      </c>
      <c r="M450" s="104" t="str" cm="1">
        <f t="array" ref="M450">_xlfn.IFS(OR(ISBLANK(StartDateMonth),ISBLANK(StartDateYear)),"",AND(A450&gt;NumberOfPlots,ISBLANK(INDEX(PlotData,MATCH($A450,PlotNumber,0),MATCH(B$3,PlotTitles,0)))),"",ISBLANK(INDEX(PlotData,MATCH($A450,PlotNumber,0),MATCH(I$3,PlotTitles,0))),"",CompletionMonth="","",(DATEVALUE(INDEX(PlotData,MATCH($A450,PlotNumber,0),MATCH(I$3,PlotTitles,0))&amp;INDEX(PlotData,MATCH($A450,PlotNumber,0),MATCH(J$3,PlotTitles,0))))&gt;(DATEVALUE(CompletionMonth&amp;CompletionYear)),$AB$16,TRUE,"")</f>
        <v/>
      </c>
      <c r="N450" s="104" t="str" cm="1">
        <f t="array" ref="N450">_xlfn.IFS(AND(A450&gt;NumberOfPlots,ISBLANK(INDEX(PlotData,MATCH($A450,PlotNumber,0),MATCH(B$3,PlotTitles,0)))),"",ISBLANK(INDEX(PlotData,MATCH($A450,PlotNumber,0),MATCH(N$3,PlotTitles,0))),$AB$17,TRUE,"")</f>
        <v/>
      </c>
      <c r="O450" s="104" t="str" cm="1">
        <f t="array" ref="O450">_xlfn.IFS(AND(A450&gt;NumberOfPlots,ISBLANK(INDEX(PlotData,MATCH($A450,PlotNumber,0),MATCH(B$3,PlotTitles,0)))),"",ISBLANK(INDEX(PlotData,MATCH($A450,PlotNumber,0),MATCH(O$3,PlotTitles,0))),$AB$18,TRUE,"")</f>
        <v/>
      </c>
      <c r="P450" s="182" t="str">
        <f t="shared" ca="1" si="19"/>
        <v/>
      </c>
      <c r="Q450" s="104" t="str" cm="1">
        <f t="array" ref="Q450">_xlfn.IFS(AND(A450&gt;NumberOfPlots,ISBLANK(INDEX(PlotData,MATCH($A450,PlotNumber,0),MATCH(B$3,PlotTitles,0)))),"",ISBLANK(INDEX(PlotData,MATCH($A450,PlotNumber,0),MATCH(N$3,PlotTitles,0))),"",(DATEVALUE(INDEX(PlotData,MATCH($A450,PlotNumber,0),MATCH(N$3,PlotTitles,0))&amp;INDEX(PlotData,MATCH($A450,PlotNumber,0),MATCH(O$3,PlotTitles,0))))&lt;(DATEVALUE(INDEX(PlotData,MATCH($A450,PlotNumber,0),MATCH(I$3,PlotTitles,0))&amp;INDEX(PlotData,MATCH($A450,PlotNumber,0),MATCH(J$3,PlotTitles,0)))),$AB$20,TRUE,"")</f>
        <v/>
      </c>
      <c r="R450" s="104" t="str" cm="1">
        <f t="array" ref="R450">_xlfn.IFS(OR(ISBLANK(StartDateMonth),ISBLANK(StartDateYear)),"",AND(A450&gt;NumberOfPlots,ISBLANK(INDEX(PlotData,MATCH($A450,PlotNumber,0),MATCH(B$3,PlotTitles,0)))),"",ISBLANK(INDEX(PlotData,MATCH($A450,PlotNumber,0),MATCH(N$3,PlotTitles,0))),"",CompletionMonth="","",(DATEVALUE(INDEX(PlotData,MATCH($A450,PlotNumber,0),MATCH(N$3,PlotTitles,0))&amp;INDEX(PlotData,MATCH($A450,PlotNumber,0),MATCH(O$3,PlotTitles,0))))&gt;(DATEVALUE(CompletionMonth&amp;CompletionYear)),$AB$21,TRUE,"")</f>
        <v/>
      </c>
      <c r="S450" s="104" t="str" cm="1">
        <f t="array" ref="S450">_xlfn.IFS(AND(A450&gt;NumberOfPlots,ISBLANK(INDEX(PlotData,MATCH($A450,PlotNumber,0),MATCH(B$3,PlotTitles,0)))),"",OR(AND(INDEX(PlotData,MATCH($A450,PlotNumber,0),MATCH("Tenure",PlotTitles,0))="Open market housing",INDEX(PlotData,MATCH($A450,PlotNumber,0),MATCH("Tenure detail",PlotTitles,0))="Private rented sector"),INDEX(PlotData,MATCH($A450,PlotNumber,0),MATCH("Tenure",PlotTitles,0))="Affordable rent"),"",ISNUMBER(INDEX(PlotData,MATCH($A450,PlotNumber,0),MATCH(S$3,PlotTitles,0)))=FALSE, $AB$22,TRUE,"")</f>
        <v/>
      </c>
      <c r="T450" s="104" t="str" cm="1">
        <f t="array" ref="T450">_xlfn.IFS(AND(A450&gt;NumberOfPlots,ISBLANK(INDEX(PlotData,MATCH($A450,PlotNumber,0),MATCH(B$3,PlotTitles,0)))),"",OR(AND(INDEX(PlotData,MATCH($A450,PlotNumber,0),MATCH("Tenure",PlotTitles,0))="Open market housing",INDEX(PlotData,MATCH($A450,PlotNumber,0),MATCH("Tenure detail",PlotTitles,0))="Private rented sector"),INDEX(PlotData,MATCH($A450,PlotNumber,0),MATCH("Tenure",PlotTitles,0))="Affordable rent"),"",INDEX(PlotData,MATCH($A450,PlotNumber,0),MATCH(S$3,PlotTitles,0))&lt;10000, $AB$23,TRUE,"")</f>
        <v/>
      </c>
      <c r="U450" s="104" t="str" cm="1">
        <f t="array" ref="U450">_xlfn.IFS(AND(A450&gt;NumberOfPlots,ISBLANK(INDEX(PlotData,MATCH($A450,PlotNumber,0),MATCH(B$3,PlotTitles,0)))),"",NOT(OR(AND(INDEX(PlotData,MATCH($A450,PlotNumber,0),MATCH("Tenure",PlotTitles,0))="Open market housing",INDEX(PlotData,MATCH($A450,PlotNumber,0),MATCH("Tenure detail",PlotTitles,0))="Private rented sector"),INDEX(PlotData,MATCH($A450,PlotNumber,0),MATCH("Tenure",PlotTitles,0))="Affordable rent")),"",NOT(INDEX(PlotData,MATCH($A450,PlotNumber,0),MATCH(S$3,PlotTitles,0))=0), $AB$24,TRUE,"")</f>
        <v/>
      </c>
      <c r="V450" s="114" t="str" cm="1">
        <f t="array" aca="1" ref="V450" ca="1">_xlfn.IFS(ISBLANK(NumberOfPlots),"Enter the number of homes on the 1_SetUp sheet",AND(A450&gt;NumberOfPlots,ISBLANK(INDEX(PlotData,MATCH($A450,PlotNumber,0),MATCH(B$3,PlotTitles,0)))),"No error",NOT(B450=""),B450,NOT(C450=""),C450,NOT(D450=""),D450,NOT(E450=""),E450,NOT(F450=""),F450,NOT(G450=""),G450,NOT(H450=""),H450,NOT(I450=""),I450,NOT(J450=""),J450,NOT(K450=""),K450,NOT(L450=""),L450,NOT(M450=""),M450,NOT(N450=""),N450,NOT(O450=""),O450,NOT(P450=""),P450,NOT(Q450=""),Q450,NOT(R450=""),R450,NOT(S450=""),S450,NOT(T450=""),T450,NOT(U450=""),U450,TRUE,"No error")</f>
        <v>Enter the number of homes on the 1_SetUp sheet</v>
      </c>
      <c r="W450" s="114" t="str">
        <f t="shared" ca="1" si="20"/>
        <v xml:space="preserve">The Borrower has not addressed the following error messages for Home ID 446: </v>
      </c>
    </row>
    <row r="451" spans="1:23">
      <c r="A451" s="123">
        <v>447</v>
      </c>
      <c r="B451" s="104" t="str" cm="1">
        <f t="array" ref="B451">_xlfn.IFS(AND(A451&gt;NumberOfPlots,ISBLANK(INDEX(PlotData,MATCH($A451,PlotNumber,0),MATCH(B$3,PlotTitles,0)))),"",ISNUMBER(INDEX(PlotData,MATCH($A451,PlotNumber,0),MATCH(B$3,PlotTitles,0)))=FALSE, $AB$5,TRUE,"")</f>
        <v/>
      </c>
      <c r="C451" s="104" t="str" cm="1">
        <f t="array" ref="C451">_xlfn.IFS(AND(A451&gt;NumberOfPlots,ISBLANK(INDEX(PlotData,MATCH($A451,PlotNumber,0),MATCH(B$3,PlotTitles,0)))),"",ISBLANK(INDEX(PlotData,MATCH($A451,PlotNumber,0),MATCH(C$3,PlotTitles,0))),$AB$6,TRUE,"")</f>
        <v/>
      </c>
      <c r="D451" s="104" t="str" cm="1">
        <f t="array" ref="D451">_xlfn.IFS(AND(A451&gt;NumberOfPlots,ISBLANK(INDEX(PlotData,MATCH($A451,PlotNumber,0),MATCH(B$3,PlotTitles,0)))),"",ISBLANK(INDEX(PlotData,MATCH($A451,PlotNumber,0),MATCH(D$3,PlotTitles,0))),$AB$7,TRUE,"")</f>
        <v/>
      </c>
      <c r="E451" s="104" t="str" cm="1">
        <f t="array" ref="E451">_xlfn.IFS(AND(A451&gt;NumberOfPlots,ISBLANK(INDEX(PlotData,MATCH($A451,PlotNumber,0),MATCH(B$3,PlotTitles,0)))),"",ISBLANK(INDEX(PlotData,MATCH($A451,PlotNumber,0),MATCH(E$3,PlotTitles,0))),$AB$8,TRUE,"")</f>
        <v/>
      </c>
      <c r="F451" s="104" t="str" cm="1">
        <f t="array" ref="F451">_xlfn.IFS(AND(A451&gt;NumberOfPlots,ISBLANK(INDEX(PlotData,MATCH($A451,PlotNumber,0),MATCH(B$3,PlotTitles,0)))),"",ISBLANK(INDEX(PlotData,MATCH($A451,PlotNumber,0),MATCH(F$3,PlotTitles,0))),$AB$9,TRUE,"")</f>
        <v/>
      </c>
      <c r="G451" s="104" t="str" cm="1">
        <f t="array" ref="G451">_xlfn.IFS(AND(A451&gt;NumberOfPlots,ISBLANK(INDEX(PlotData,MATCH($A451,PlotNumber,0),MATCH(B$3,PlotTitles,0)))),"",ISBLANK(INDEX(PlotData,MATCH($A451,PlotNumber,0),MATCH(G$3,PlotTitles,0))),$AB$10,TRUE,"")</f>
        <v/>
      </c>
      <c r="H451" s="104" t="str" cm="1">
        <f t="array" ref="H451">_xlfn.IFS(AND(A451&gt;NumberOfPlots,ISBLANK(INDEX(PlotData,MATCH($A451,PlotNumber,0),MATCH(B$3,PlotTitles,0)))),"",AND(ISBLANK(INDEX(PlotData,MATCH($A451,PlotNumber,0),MATCH(H$3,PlotTitles,0)))=FALSE,INDEX(PlotData,MATCH($A451,PlotNumber,0),MATCH(H$3,PlotTitles,0))&lt;500), $AB$11,TRUE,"")</f>
        <v/>
      </c>
      <c r="I451" s="104" t="str" cm="1">
        <f t="array" ref="I451">_xlfn.IFS(AND(A451&gt;NumberOfPlots,ISBLANK(INDEX(PlotData,MATCH($A451,PlotNumber,0),MATCH(B$3,PlotTitles,0)))),"",ISBLANK(INDEX(PlotData,MATCH($A451,PlotNumber,0),MATCH(I$3,PlotTitles,0))),$AB$12,TRUE,"")</f>
        <v/>
      </c>
      <c r="J451" s="104" t="str" cm="1">
        <f t="array" ref="J451">_xlfn.IFS(AND(A451&gt;NumberOfPlots,ISBLANK(INDEX(PlotData,MATCH($A451,PlotNumber,0),MATCH(B$3,PlotTitles,0)))),"",ISBLANK(INDEX(PlotData,MATCH($A451,PlotNumber,0),MATCH(J$3,PlotTitles,0))),$AB$13,TRUE,"")</f>
        <v/>
      </c>
      <c r="K451" s="182" t="str">
        <f t="shared" ca="1" si="18"/>
        <v/>
      </c>
      <c r="L451" s="104" t="str" cm="1">
        <f t="array" ref="L451">_xlfn.IFS(OR(ISBLANK(StartDateMonth),ISBLANK(StartDateYear)),"",AND(A451&gt;NumberOfPlots,ISBLANK(INDEX(PlotData,MATCH($A451,PlotNumber,0),MATCH(B$3,PlotTitles,0)))),"",ISBLANK(INDEX(PlotData,MATCH($A451,PlotNumber,0),MATCH(I$3,PlotTitles,0))),"",(DATEVALUE(INDEX(PlotData,MATCH($A451,PlotNumber,0),MATCH(I$3,PlotTitles,0))&amp;INDEX(PlotData,MATCH($A451,PlotNumber,0),MATCH(J$3,PlotTitles,0))))&lt;DATEVALUE(StartDateMonth&amp;StartDateYear),$AB$15,TRUE,"")</f>
        <v/>
      </c>
      <c r="M451" s="104" t="str" cm="1">
        <f t="array" ref="M451">_xlfn.IFS(OR(ISBLANK(StartDateMonth),ISBLANK(StartDateYear)),"",AND(A451&gt;NumberOfPlots,ISBLANK(INDEX(PlotData,MATCH($A451,PlotNumber,0),MATCH(B$3,PlotTitles,0)))),"",ISBLANK(INDEX(PlotData,MATCH($A451,PlotNumber,0),MATCH(I$3,PlotTitles,0))),"",CompletionMonth="","",(DATEVALUE(INDEX(PlotData,MATCH($A451,PlotNumber,0),MATCH(I$3,PlotTitles,0))&amp;INDEX(PlotData,MATCH($A451,PlotNumber,0),MATCH(J$3,PlotTitles,0))))&gt;(DATEVALUE(CompletionMonth&amp;CompletionYear)),$AB$16,TRUE,"")</f>
        <v/>
      </c>
      <c r="N451" s="104" t="str" cm="1">
        <f t="array" ref="N451">_xlfn.IFS(AND(A451&gt;NumberOfPlots,ISBLANK(INDEX(PlotData,MATCH($A451,PlotNumber,0),MATCH(B$3,PlotTitles,0)))),"",ISBLANK(INDEX(PlotData,MATCH($A451,PlotNumber,0),MATCH(N$3,PlotTitles,0))),$AB$17,TRUE,"")</f>
        <v/>
      </c>
      <c r="O451" s="104" t="str" cm="1">
        <f t="array" ref="O451">_xlfn.IFS(AND(A451&gt;NumberOfPlots,ISBLANK(INDEX(PlotData,MATCH($A451,PlotNumber,0),MATCH(B$3,PlotTitles,0)))),"",ISBLANK(INDEX(PlotData,MATCH($A451,PlotNumber,0),MATCH(O$3,PlotTitles,0))),$AB$18,TRUE,"")</f>
        <v/>
      </c>
      <c r="P451" s="182" t="str">
        <f t="shared" ca="1" si="19"/>
        <v/>
      </c>
      <c r="Q451" s="104" t="str" cm="1">
        <f t="array" ref="Q451">_xlfn.IFS(AND(A451&gt;NumberOfPlots,ISBLANK(INDEX(PlotData,MATCH($A451,PlotNumber,0),MATCH(B$3,PlotTitles,0)))),"",ISBLANK(INDEX(PlotData,MATCH($A451,PlotNumber,0),MATCH(N$3,PlotTitles,0))),"",(DATEVALUE(INDEX(PlotData,MATCH($A451,PlotNumber,0),MATCH(N$3,PlotTitles,0))&amp;INDEX(PlotData,MATCH($A451,PlotNumber,0),MATCH(O$3,PlotTitles,0))))&lt;(DATEVALUE(INDEX(PlotData,MATCH($A451,PlotNumber,0),MATCH(I$3,PlotTitles,0))&amp;INDEX(PlotData,MATCH($A451,PlotNumber,0),MATCH(J$3,PlotTitles,0)))),$AB$20,TRUE,"")</f>
        <v/>
      </c>
      <c r="R451" s="104" t="str" cm="1">
        <f t="array" ref="R451">_xlfn.IFS(OR(ISBLANK(StartDateMonth),ISBLANK(StartDateYear)),"",AND(A451&gt;NumberOfPlots,ISBLANK(INDEX(PlotData,MATCH($A451,PlotNumber,0),MATCH(B$3,PlotTitles,0)))),"",ISBLANK(INDEX(PlotData,MATCH($A451,PlotNumber,0),MATCH(N$3,PlotTitles,0))),"",CompletionMonth="","",(DATEVALUE(INDEX(PlotData,MATCH($A451,PlotNumber,0),MATCH(N$3,PlotTitles,0))&amp;INDEX(PlotData,MATCH($A451,PlotNumber,0),MATCH(O$3,PlotTitles,0))))&gt;(DATEVALUE(CompletionMonth&amp;CompletionYear)),$AB$21,TRUE,"")</f>
        <v/>
      </c>
      <c r="S451" s="104" t="str" cm="1">
        <f t="array" ref="S451">_xlfn.IFS(AND(A451&gt;NumberOfPlots,ISBLANK(INDEX(PlotData,MATCH($A451,PlotNumber,0),MATCH(B$3,PlotTitles,0)))),"",OR(AND(INDEX(PlotData,MATCH($A451,PlotNumber,0),MATCH("Tenure",PlotTitles,0))="Open market housing",INDEX(PlotData,MATCH($A451,PlotNumber,0),MATCH("Tenure detail",PlotTitles,0))="Private rented sector"),INDEX(PlotData,MATCH($A451,PlotNumber,0),MATCH("Tenure",PlotTitles,0))="Affordable rent"),"",ISNUMBER(INDEX(PlotData,MATCH($A451,PlotNumber,0),MATCH(S$3,PlotTitles,0)))=FALSE, $AB$22,TRUE,"")</f>
        <v/>
      </c>
      <c r="T451" s="104" t="str" cm="1">
        <f t="array" ref="T451">_xlfn.IFS(AND(A451&gt;NumberOfPlots,ISBLANK(INDEX(PlotData,MATCH($A451,PlotNumber,0),MATCH(B$3,PlotTitles,0)))),"",OR(AND(INDEX(PlotData,MATCH($A451,PlotNumber,0),MATCH("Tenure",PlotTitles,0))="Open market housing",INDEX(PlotData,MATCH($A451,PlotNumber,0),MATCH("Tenure detail",PlotTitles,0))="Private rented sector"),INDEX(PlotData,MATCH($A451,PlotNumber,0),MATCH("Tenure",PlotTitles,0))="Affordable rent"),"",INDEX(PlotData,MATCH($A451,PlotNumber,0),MATCH(S$3,PlotTitles,0))&lt;10000, $AB$23,TRUE,"")</f>
        <v/>
      </c>
      <c r="U451" s="104" t="str" cm="1">
        <f t="array" ref="U451">_xlfn.IFS(AND(A451&gt;NumberOfPlots,ISBLANK(INDEX(PlotData,MATCH($A451,PlotNumber,0),MATCH(B$3,PlotTitles,0)))),"",NOT(OR(AND(INDEX(PlotData,MATCH($A451,PlotNumber,0),MATCH("Tenure",PlotTitles,0))="Open market housing",INDEX(PlotData,MATCH($A451,PlotNumber,0),MATCH("Tenure detail",PlotTitles,0))="Private rented sector"),INDEX(PlotData,MATCH($A451,PlotNumber,0),MATCH("Tenure",PlotTitles,0))="Affordable rent")),"",NOT(INDEX(PlotData,MATCH($A451,PlotNumber,0),MATCH(S$3,PlotTitles,0))=0), $AB$24,TRUE,"")</f>
        <v/>
      </c>
      <c r="V451" s="114" t="str" cm="1">
        <f t="array" aca="1" ref="V451" ca="1">_xlfn.IFS(ISBLANK(NumberOfPlots),"Enter the number of homes on the 1_SetUp sheet",AND(A451&gt;NumberOfPlots,ISBLANK(INDEX(PlotData,MATCH($A451,PlotNumber,0),MATCH(B$3,PlotTitles,0)))),"No error",NOT(B451=""),B451,NOT(C451=""),C451,NOT(D451=""),D451,NOT(E451=""),E451,NOT(F451=""),F451,NOT(G451=""),G451,NOT(H451=""),H451,NOT(I451=""),I451,NOT(J451=""),J451,NOT(K451=""),K451,NOT(L451=""),L451,NOT(M451=""),M451,NOT(N451=""),N451,NOT(O451=""),O451,NOT(P451=""),P451,NOT(Q451=""),Q451,NOT(R451=""),R451,NOT(S451=""),S451,NOT(T451=""),T451,NOT(U451=""),U451,TRUE,"No error")</f>
        <v>Enter the number of homes on the 1_SetUp sheet</v>
      </c>
      <c r="W451" s="114" t="str">
        <f t="shared" ca="1" si="20"/>
        <v xml:space="preserve">The Borrower has not addressed the following error messages for Home ID 447: </v>
      </c>
    </row>
    <row r="452" spans="1:23">
      <c r="A452" s="123">
        <v>448</v>
      </c>
      <c r="B452" s="104" t="str" cm="1">
        <f t="array" ref="B452">_xlfn.IFS(AND(A452&gt;NumberOfPlots,ISBLANK(INDEX(PlotData,MATCH($A452,PlotNumber,0),MATCH(B$3,PlotTitles,0)))),"",ISNUMBER(INDEX(PlotData,MATCH($A452,PlotNumber,0),MATCH(B$3,PlotTitles,0)))=FALSE, $AB$5,TRUE,"")</f>
        <v/>
      </c>
      <c r="C452" s="104" t="str" cm="1">
        <f t="array" ref="C452">_xlfn.IFS(AND(A452&gt;NumberOfPlots,ISBLANK(INDEX(PlotData,MATCH($A452,PlotNumber,0),MATCH(B$3,PlotTitles,0)))),"",ISBLANK(INDEX(PlotData,MATCH($A452,PlotNumber,0),MATCH(C$3,PlotTitles,0))),$AB$6,TRUE,"")</f>
        <v/>
      </c>
      <c r="D452" s="104" t="str" cm="1">
        <f t="array" ref="D452">_xlfn.IFS(AND(A452&gt;NumberOfPlots,ISBLANK(INDEX(PlotData,MATCH($A452,PlotNumber,0),MATCH(B$3,PlotTitles,0)))),"",ISBLANK(INDEX(PlotData,MATCH($A452,PlotNumber,0),MATCH(D$3,PlotTitles,0))),$AB$7,TRUE,"")</f>
        <v/>
      </c>
      <c r="E452" s="104" t="str" cm="1">
        <f t="array" ref="E452">_xlfn.IFS(AND(A452&gt;NumberOfPlots,ISBLANK(INDEX(PlotData,MATCH($A452,PlotNumber,0),MATCH(B$3,PlotTitles,0)))),"",ISBLANK(INDEX(PlotData,MATCH($A452,PlotNumber,0),MATCH(E$3,PlotTitles,0))),$AB$8,TRUE,"")</f>
        <v/>
      </c>
      <c r="F452" s="104" t="str" cm="1">
        <f t="array" ref="F452">_xlfn.IFS(AND(A452&gt;NumberOfPlots,ISBLANK(INDEX(PlotData,MATCH($A452,PlotNumber,0),MATCH(B$3,PlotTitles,0)))),"",ISBLANK(INDEX(PlotData,MATCH($A452,PlotNumber,0),MATCH(F$3,PlotTitles,0))),$AB$9,TRUE,"")</f>
        <v/>
      </c>
      <c r="G452" s="104" t="str" cm="1">
        <f t="array" ref="G452">_xlfn.IFS(AND(A452&gt;NumberOfPlots,ISBLANK(INDEX(PlotData,MATCH($A452,PlotNumber,0),MATCH(B$3,PlotTitles,0)))),"",ISBLANK(INDEX(PlotData,MATCH($A452,PlotNumber,0),MATCH(G$3,PlotTitles,0))),$AB$10,TRUE,"")</f>
        <v/>
      </c>
      <c r="H452" s="104" t="str" cm="1">
        <f t="array" ref="H452">_xlfn.IFS(AND(A452&gt;NumberOfPlots,ISBLANK(INDEX(PlotData,MATCH($A452,PlotNumber,0),MATCH(B$3,PlotTitles,0)))),"",AND(ISBLANK(INDEX(PlotData,MATCH($A452,PlotNumber,0),MATCH(H$3,PlotTitles,0)))=FALSE,INDEX(PlotData,MATCH($A452,PlotNumber,0),MATCH(H$3,PlotTitles,0))&lt;500), $AB$11,TRUE,"")</f>
        <v/>
      </c>
      <c r="I452" s="104" t="str" cm="1">
        <f t="array" ref="I452">_xlfn.IFS(AND(A452&gt;NumberOfPlots,ISBLANK(INDEX(PlotData,MATCH($A452,PlotNumber,0),MATCH(B$3,PlotTitles,0)))),"",ISBLANK(INDEX(PlotData,MATCH($A452,PlotNumber,0),MATCH(I$3,PlotTitles,0))),$AB$12,TRUE,"")</f>
        <v/>
      </c>
      <c r="J452" s="104" t="str" cm="1">
        <f t="array" ref="J452">_xlfn.IFS(AND(A452&gt;NumberOfPlots,ISBLANK(INDEX(PlotData,MATCH($A452,PlotNumber,0),MATCH(B$3,PlotTitles,0)))),"",ISBLANK(INDEX(PlotData,MATCH($A452,PlotNumber,0),MATCH(J$3,PlotTitles,0))),$AB$13,TRUE,"")</f>
        <v/>
      </c>
      <c r="K452" s="182" t="str">
        <f t="shared" ca="1" si="18"/>
        <v/>
      </c>
      <c r="L452" s="104" t="str" cm="1">
        <f t="array" ref="L452">_xlfn.IFS(OR(ISBLANK(StartDateMonth),ISBLANK(StartDateYear)),"",AND(A452&gt;NumberOfPlots,ISBLANK(INDEX(PlotData,MATCH($A452,PlotNumber,0),MATCH(B$3,PlotTitles,0)))),"",ISBLANK(INDEX(PlotData,MATCH($A452,PlotNumber,0),MATCH(I$3,PlotTitles,0))),"",(DATEVALUE(INDEX(PlotData,MATCH($A452,PlotNumber,0),MATCH(I$3,PlotTitles,0))&amp;INDEX(PlotData,MATCH($A452,PlotNumber,0),MATCH(J$3,PlotTitles,0))))&lt;DATEVALUE(StartDateMonth&amp;StartDateYear),$AB$15,TRUE,"")</f>
        <v/>
      </c>
      <c r="M452" s="104" t="str" cm="1">
        <f t="array" ref="M452">_xlfn.IFS(OR(ISBLANK(StartDateMonth),ISBLANK(StartDateYear)),"",AND(A452&gt;NumberOfPlots,ISBLANK(INDEX(PlotData,MATCH($A452,PlotNumber,0),MATCH(B$3,PlotTitles,0)))),"",ISBLANK(INDEX(PlotData,MATCH($A452,PlotNumber,0),MATCH(I$3,PlotTitles,0))),"",CompletionMonth="","",(DATEVALUE(INDEX(PlotData,MATCH($A452,PlotNumber,0),MATCH(I$3,PlotTitles,0))&amp;INDEX(PlotData,MATCH($A452,PlotNumber,0),MATCH(J$3,PlotTitles,0))))&gt;(DATEVALUE(CompletionMonth&amp;CompletionYear)),$AB$16,TRUE,"")</f>
        <v/>
      </c>
      <c r="N452" s="104" t="str" cm="1">
        <f t="array" ref="N452">_xlfn.IFS(AND(A452&gt;NumberOfPlots,ISBLANK(INDEX(PlotData,MATCH($A452,PlotNumber,0),MATCH(B$3,PlotTitles,0)))),"",ISBLANK(INDEX(PlotData,MATCH($A452,PlotNumber,0),MATCH(N$3,PlotTitles,0))),$AB$17,TRUE,"")</f>
        <v/>
      </c>
      <c r="O452" s="104" t="str" cm="1">
        <f t="array" ref="O452">_xlfn.IFS(AND(A452&gt;NumberOfPlots,ISBLANK(INDEX(PlotData,MATCH($A452,PlotNumber,0),MATCH(B$3,PlotTitles,0)))),"",ISBLANK(INDEX(PlotData,MATCH($A452,PlotNumber,0),MATCH(O$3,PlotTitles,0))),$AB$18,TRUE,"")</f>
        <v/>
      </c>
      <c r="P452" s="182" t="str">
        <f t="shared" ca="1" si="19"/>
        <v/>
      </c>
      <c r="Q452" s="104" t="str" cm="1">
        <f t="array" ref="Q452">_xlfn.IFS(AND(A452&gt;NumberOfPlots,ISBLANK(INDEX(PlotData,MATCH($A452,PlotNumber,0),MATCH(B$3,PlotTitles,0)))),"",ISBLANK(INDEX(PlotData,MATCH($A452,PlotNumber,0),MATCH(N$3,PlotTitles,0))),"",(DATEVALUE(INDEX(PlotData,MATCH($A452,PlotNumber,0),MATCH(N$3,PlotTitles,0))&amp;INDEX(PlotData,MATCH($A452,PlotNumber,0),MATCH(O$3,PlotTitles,0))))&lt;(DATEVALUE(INDEX(PlotData,MATCH($A452,PlotNumber,0),MATCH(I$3,PlotTitles,0))&amp;INDEX(PlotData,MATCH($A452,PlotNumber,0),MATCH(J$3,PlotTitles,0)))),$AB$20,TRUE,"")</f>
        <v/>
      </c>
      <c r="R452" s="104" t="str" cm="1">
        <f t="array" ref="R452">_xlfn.IFS(OR(ISBLANK(StartDateMonth),ISBLANK(StartDateYear)),"",AND(A452&gt;NumberOfPlots,ISBLANK(INDEX(PlotData,MATCH($A452,PlotNumber,0),MATCH(B$3,PlotTitles,0)))),"",ISBLANK(INDEX(PlotData,MATCH($A452,PlotNumber,0),MATCH(N$3,PlotTitles,0))),"",CompletionMonth="","",(DATEVALUE(INDEX(PlotData,MATCH($A452,PlotNumber,0),MATCH(N$3,PlotTitles,0))&amp;INDEX(PlotData,MATCH($A452,PlotNumber,0),MATCH(O$3,PlotTitles,0))))&gt;(DATEVALUE(CompletionMonth&amp;CompletionYear)),$AB$21,TRUE,"")</f>
        <v/>
      </c>
      <c r="S452" s="104" t="str" cm="1">
        <f t="array" ref="S452">_xlfn.IFS(AND(A452&gt;NumberOfPlots,ISBLANK(INDEX(PlotData,MATCH($A452,PlotNumber,0),MATCH(B$3,PlotTitles,0)))),"",OR(AND(INDEX(PlotData,MATCH($A452,PlotNumber,0),MATCH("Tenure",PlotTitles,0))="Open market housing",INDEX(PlotData,MATCH($A452,PlotNumber,0),MATCH("Tenure detail",PlotTitles,0))="Private rented sector"),INDEX(PlotData,MATCH($A452,PlotNumber,0),MATCH("Tenure",PlotTitles,0))="Affordable rent"),"",ISNUMBER(INDEX(PlotData,MATCH($A452,PlotNumber,0),MATCH(S$3,PlotTitles,0)))=FALSE, $AB$22,TRUE,"")</f>
        <v/>
      </c>
      <c r="T452" s="104" t="str" cm="1">
        <f t="array" ref="T452">_xlfn.IFS(AND(A452&gt;NumberOfPlots,ISBLANK(INDEX(PlotData,MATCH($A452,PlotNumber,0),MATCH(B$3,PlotTitles,0)))),"",OR(AND(INDEX(PlotData,MATCH($A452,PlotNumber,0),MATCH("Tenure",PlotTitles,0))="Open market housing",INDEX(PlotData,MATCH($A452,PlotNumber,0),MATCH("Tenure detail",PlotTitles,0))="Private rented sector"),INDEX(PlotData,MATCH($A452,PlotNumber,0),MATCH("Tenure",PlotTitles,0))="Affordable rent"),"",INDEX(PlotData,MATCH($A452,PlotNumber,0),MATCH(S$3,PlotTitles,0))&lt;10000, $AB$23,TRUE,"")</f>
        <v/>
      </c>
      <c r="U452" s="104" t="str" cm="1">
        <f t="array" ref="U452">_xlfn.IFS(AND(A452&gt;NumberOfPlots,ISBLANK(INDEX(PlotData,MATCH($A452,PlotNumber,0),MATCH(B$3,PlotTitles,0)))),"",NOT(OR(AND(INDEX(PlotData,MATCH($A452,PlotNumber,0),MATCH("Tenure",PlotTitles,0))="Open market housing",INDEX(PlotData,MATCH($A452,PlotNumber,0),MATCH("Tenure detail",PlotTitles,0))="Private rented sector"),INDEX(PlotData,MATCH($A452,PlotNumber,0),MATCH("Tenure",PlotTitles,0))="Affordable rent")),"",NOT(INDEX(PlotData,MATCH($A452,PlotNumber,0),MATCH(S$3,PlotTitles,0))=0), $AB$24,TRUE,"")</f>
        <v/>
      </c>
      <c r="V452" s="114" t="str" cm="1">
        <f t="array" aca="1" ref="V452" ca="1">_xlfn.IFS(ISBLANK(NumberOfPlots),"Enter the number of homes on the 1_SetUp sheet",AND(A452&gt;NumberOfPlots,ISBLANK(INDEX(PlotData,MATCH($A452,PlotNumber,0),MATCH(B$3,PlotTitles,0)))),"No error",NOT(B452=""),B452,NOT(C452=""),C452,NOT(D452=""),D452,NOT(E452=""),E452,NOT(F452=""),F452,NOT(G452=""),G452,NOT(H452=""),H452,NOT(I452=""),I452,NOT(J452=""),J452,NOT(K452=""),K452,NOT(L452=""),L452,NOT(M452=""),M452,NOT(N452=""),N452,NOT(O452=""),O452,NOT(P452=""),P452,NOT(Q452=""),Q452,NOT(R452=""),R452,NOT(S452=""),S452,NOT(T452=""),T452,NOT(U452=""),U452,TRUE,"No error")</f>
        <v>Enter the number of homes on the 1_SetUp sheet</v>
      </c>
      <c r="W452" s="114" t="str">
        <f t="shared" ca="1" si="20"/>
        <v xml:space="preserve">The Borrower has not addressed the following error messages for Home ID 448: </v>
      </c>
    </row>
    <row r="453" spans="1:23">
      <c r="A453" s="123">
        <v>449</v>
      </c>
      <c r="B453" s="104" t="str" cm="1">
        <f t="array" ref="B453">_xlfn.IFS(AND(A453&gt;NumberOfPlots,ISBLANK(INDEX(PlotData,MATCH($A453,PlotNumber,0),MATCH(B$3,PlotTitles,0)))),"",ISNUMBER(INDEX(PlotData,MATCH($A453,PlotNumber,0),MATCH(B$3,PlotTitles,0)))=FALSE, $AB$5,TRUE,"")</f>
        <v/>
      </c>
      <c r="C453" s="104" t="str" cm="1">
        <f t="array" ref="C453">_xlfn.IFS(AND(A453&gt;NumberOfPlots,ISBLANK(INDEX(PlotData,MATCH($A453,PlotNumber,0),MATCH(B$3,PlotTitles,0)))),"",ISBLANK(INDEX(PlotData,MATCH($A453,PlotNumber,0),MATCH(C$3,PlotTitles,0))),$AB$6,TRUE,"")</f>
        <v/>
      </c>
      <c r="D453" s="104" t="str" cm="1">
        <f t="array" ref="D453">_xlfn.IFS(AND(A453&gt;NumberOfPlots,ISBLANK(INDEX(PlotData,MATCH($A453,PlotNumber,0),MATCH(B$3,PlotTitles,0)))),"",ISBLANK(INDEX(PlotData,MATCH($A453,PlotNumber,0),MATCH(D$3,PlotTitles,0))),$AB$7,TRUE,"")</f>
        <v/>
      </c>
      <c r="E453" s="104" t="str" cm="1">
        <f t="array" ref="E453">_xlfn.IFS(AND(A453&gt;NumberOfPlots,ISBLANK(INDEX(PlotData,MATCH($A453,PlotNumber,0),MATCH(B$3,PlotTitles,0)))),"",ISBLANK(INDEX(PlotData,MATCH($A453,PlotNumber,0),MATCH(E$3,PlotTitles,0))),$AB$8,TRUE,"")</f>
        <v/>
      </c>
      <c r="F453" s="104" t="str" cm="1">
        <f t="array" ref="F453">_xlfn.IFS(AND(A453&gt;NumberOfPlots,ISBLANK(INDEX(PlotData,MATCH($A453,PlotNumber,0),MATCH(B$3,PlotTitles,0)))),"",ISBLANK(INDEX(PlotData,MATCH($A453,PlotNumber,0),MATCH(F$3,PlotTitles,0))),$AB$9,TRUE,"")</f>
        <v/>
      </c>
      <c r="G453" s="104" t="str" cm="1">
        <f t="array" ref="G453">_xlfn.IFS(AND(A453&gt;NumberOfPlots,ISBLANK(INDEX(PlotData,MATCH($A453,PlotNumber,0),MATCH(B$3,PlotTitles,0)))),"",ISBLANK(INDEX(PlotData,MATCH($A453,PlotNumber,0),MATCH(G$3,PlotTitles,0))),$AB$10,TRUE,"")</f>
        <v/>
      </c>
      <c r="H453" s="104" t="str" cm="1">
        <f t="array" ref="H453">_xlfn.IFS(AND(A453&gt;NumberOfPlots,ISBLANK(INDEX(PlotData,MATCH($A453,PlotNumber,0),MATCH(B$3,PlotTitles,0)))),"",AND(ISBLANK(INDEX(PlotData,MATCH($A453,PlotNumber,0),MATCH(H$3,PlotTitles,0)))=FALSE,INDEX(PlotData,MATCH($A453,PlotNumber,0),MATCH(H$3,PlotTitles,0))&lt;500), $AB$11,TRUE,"")</f>
        <v/>
      </c>
      <c r="I453" s="104" t="str" cm="1">
        <f t="array" ref="I453">_xlfn.IFS(AND(A453&gt;NumberOfPlots,ISBLANK(INDEX(PlotData,MATCH($A453,PlotNumber,0),MATCH(B$3,PlotTitles,0)))),"",ISBLANK(INDEX(PlotData,MATCH($A453,PlotNumber,0),MATCH(I$3,PlotTitles,0))),$AB$12,TRUE,"")</f>
        <v/>
      </c>
      <c r="J453" s="104" t="str" cm="1">
        <f t="array" ref="J453">_xlfn.IFS(AND(A453&gt;NumberOfPlots,ISBLANK(INDEX(PlotData,MATCH($A453,PlotNumber,0),MATCH(B$3,PlotTitles,0)))),"",ISBLANK(INDEX(PlotData,MATCH($A453,PlotNumber,0),MATCH(J$3,PlotTitles,0))),$AB$13,TRUE,"")</f>
        <v/>
      </c>
      <c r="K453" s="182" t="str">
        <f t="shared" ref="K453:K516" ca="1" si="21">IF(AND(A453&gt;NumberOfPlots,ISBLANK(INDEX(PlotData,MATCH($A453,PlotNumber,0),MATCH(B$3,PlotTitles,0)))),"",IF(ISBLANK(INDEX(PlotData,MATCH($A453,PlotNumber,0),MATCH(I$3,PlotTitles,0)))=FALSE,IF(ISBLANK(INDEX(PlotData,MATCH($A453,PlotNumber,0),MATCH(J$3,PlotTitles,0)))=FALSE,IF((DATEVALUE(INDEX(PlotData,MATCH($A453,PlotNumber,0),MATCH(I$3,PlotTitles,0))&amp;INDEX(PlotData,MATCH($A453,PlotNumber,0),MATCH(J$3,PlotTitles,0))))&lt;(DATEVALUE(TEXT(TODAY(),"DD")&amp;"/"&amp;TEXT(TODAY(),"MM")&amp;"/"&amp;TEXT(TODAY(),"YYYY"))),$AB$14,"")),""))</f>
        <v/>
      </c>
      <c r="L453" s="104" t="str" cm="1">
        <f t="array" ref="L453">_xlfn.IFS(OR(ISBLANK(StartDateMonth),ISBLANK(StartDateYear)),"",AND(A453&gt;NumberOfPlots,ISBLANK(INDEX(PlotData,MATCH($A453,PlotNumber,0),MATCH(B$3,PlotTitles,0)))),"",ISBLANK(INDEX(PlotData,MATCH($A453,PlotNumber,0),MATCH(I$3,PlotTitles,0))),"",(DATEVALUE(INDEX(PlotData,MATCH($A453,PlotNumber,0),MATCH(I$3,PlotTitles,0))&amp;INDEX(PlotData,MATCH($A453,PlotNumber,0),MATCH(J$3,PlotTitles,0))))&lt;DATEVALUE(StartDateMonth&amp;StartDateYear),$AB$15,TRUE,"")</f>
        <v/>
      </c>
      <c r="M453" s="104" t="str" cm="1">
        <f t="array" ref="M453">_xlfn.IFS(OR(ISBLANK(StartDateMonth),ISBLANK(StartDateYear)),"",AND(A453&gt;NumberOfPlots,ISBLANK(INDEX(PlotData,MATCH($A453,PlotNumber,0),MATCH(B$3,PlotTitles,0)))),"",ISBLANK(INDEX(PlotData,MATCH($A453,PlotNumber,0),MATCH(I$3,PlotTitles,0))),"",CompletionMonth="","",(DATEVALUE(INDEX(PlotData,MATCH($A453,PlotNumber,0),MATCH(I$3,PlotTitles,0))&amp;INDEX(PlotData,MATCH($A453,PlotNumber,0),MATCH(J$3,PlotTitles,0))))&gt;(DATEVALUE(CompletionMonth&amp;CompletionYear)),$AB$16,TRUE,"")</f>
        <v/>
      </c>
      <c r="N453" s="104" t="str" cm="1">
        <f t="array" ref="N453">_xlfn.IFS(AND(A453&gt;NumberOfPlots,ISBLANK(INDEX(PlotData,MATCH($A453,PlotNumber,0),MATCH(B$3,PlotTitles,0)))),"",ISBLANK(INDEX(PlotData,MATCH($A453,PlotNumber,0),MATCH(N$3,PlotTitles,0))),$AB$17,TRUE,"")</f>
        <v/>
      </c>
      <c r="O453" s="104" t="str" cm="1">
        <f t="array" ref="O453">_xlfn.IFS(AND(A453&gt;NumberOfPlots,ISBLANK(INDEX(PlotData,MATCH($A453,PlotNumber,0),MATCH(B$3,PlotTitles,0)))),"",ISBLANK(INDEX(PlotData,MATCH($A453,PlotNumber,0),MATCH(O$3,PlotTitles,0))),$AB$18,TRUE,"")</f>
        <v/>
      </c>
      <c r="P453" s="182" t="str">
        <f t="shared" ref="P453:P516" ca="1" si="22">IF(AND(A453&gt;NumberOfPlots,ISBLANK(INDEX(PlotData,MATCH($A453,PlotNumber,0),MATCH(B$3,PlotTitles,0)))),"",IF(ISBLANK(INDEX(PlotData,MATCH($A453,PlotNumber,0),MATCH(N$3,PlotTitles,0)))=FALSE,IF(ISBLANK(INDEX(PlotData,MATCH($A453,PlotNumber,0),MATCH(O$3,PlotTitles,0)))=FALSE,IF((DATEVALUE(INDEX(PlotData,MATCH($A453,PlotNumber,0),MATCH(N$3,PlotTitles,0))&amp;INDEX(PlotData,MATCH($A453,PlotNumber,0),MATCH(O$3,PlotTitles,0))))&lt;(DATEVALUE(TEXT(TODAY(),"DD")&amp;"/"&amp;TEXT(TODAY(),"MM")&amp;"/"&amp;TEXT(TODAY(),"YYYY"))),$AB$19,"")),""))</f>
        <v/>
      </c>
      <c r="Q453" s="104" t="str" cm="1">
        <f t="array" ref="Q453">_xlfn.IFS(AND(A453&gt;NumberOfPlots,ISBLANK(INDEX(PlotData,MATCH($A453,PlotNumber,0),MATCH(B$3,PlotTitles,0)))),"",ISBLANK(INDEX(PlotData,MATCH($A453,PlotNumber,0),MATCH(N$3,PlotTitles,0))),"",(DATEVALUE(INDEX(PlotData,MATCH($A453,PlotNumber,0),MATCH(N$3,PlotTitles,0))&amp;INDEX(PlotData,MATCH($A453,PlotNumber,0),MATCH(O$3,PlotTitles,0))))&lt;(DATEVALUE(INDEX(PlotData,MATCH($A453,PlotNumber,0),MATCH(I$3,PlotTitles,0))&amp;INDEX(PlotData,MATCH($A453,PlotNumber,0),MATCH(J$3,PlotTitles,0)))),$AB$20,TRUE,"")</f>
        <v/>
      </c>
      <c r="R453" s="104" t="str" cm="1">
        <f t="array" ref="R453">_xlfn.IFS(OR(ISBLANK(StartDateMonth),ISBLANK(StartDateYear)),"",AND(A453&gt;NumberOfPlots,ISBLANK(INDEX(PlotData,MATCH($A453,PlotNumber,0),MATCH(B$3,PlotTitles,0)))),"",ISBLANK(INDEX(PlotData,MATCH($A453,PlotNumber,0),MATCH(N$3,PlotTitles,0))),"",CompletionMonth="","",(DATEVALUE(INDEX(PlotData,MATCH($A453,PlotNumber,0),MATCH(N$3,PlotTitles,0))&amp;INDEX(PlotData,MATCH($A453,PlotNumber,0),MATCH(O$3,PlotTitles,0))))&gt;(DATEVALUE(CompletionMonth&amp;CompletionYear)),$AB$21,TRUE,"")</f>
        <v/>
      </c>
      <c r="S453" s="104" t="str" cm="1">
        <f t="array" ref="S453">_xlfn.IFS(AND(A453&gt;NumberOfPlots,ISBLANK(INDEX(PlotData,MATCH($A453,PlotNumber,0),MATCH(B$3,PlotTitles,0)))),"",OR(AND(INDEX(PlotData,MATCH($A453,PlotNumber,0),MATCH("Tenure",PlotTitles,0))="Open market housing",INDEX(PlotData,MATCH($A453,PlotNumber,0),MATCH("Tenure detail",PlotTitles,0))="Private rented sector"),INDEX(PlotData,MATCH($A453,PlotNumber,0),MATCH("Tenure",PlotTitles,0))="Affordable rent"),"",ISNUMBER(INDEX(PlotData,MATCH($A453,PlotNumber,0),MATCH(S$3,PlotTitles,0)))=FALSE, $AB$22,TRUE,"")</f>
        <v/>
      </c>
      <c r="T453" s="104" t="str" cm="1">
        <f t="array" ref="T453">_xlfn.IFS(AND(A453&gt;NumberOfPlots,ISBLANK(INDEX(PlotData,MATCH($A453,PlotNumber,0),MATCH(B$3,PlotTitles,0)))),"",OR(AND(INDEX(PlotData,MATCH($A453,PlotNumber,0),MATCH("Tenure",PlotTitles,0))="Open market housing",INDEX(PlotData,MATCH($A453,PlotNumber,0),MATCH("Tenure detail",PlotTitles,0))="Private rented sector"),INDEX(PlotData,MATCH($A453,PlotNumber,0),MATCH("Tenure",PlotTitles,0))="Affordable rent"),"",INDEX(PlotData,MATCH($A453,PlotNumber,0),MATCH(S$3,PlotTitles,0))&lt;10000, $AB$23,TRUE,"")</f>
        <v/>
      </c>
      <c r="U453" s="104" t="str" cm="1">
        <f t="array" ref="U453">_xlfn.IFS(AND(A453&gt;NumberOfPlots,ISBLANK(INDEX(PlotData,MATCH($A453,PlotNumber,0),MATCH(B$3,PlotTitles,0)))),"",NOT(OR(AND(INDEX(PlotData,MATCH($A453,PlotNumber,0),MATCH("Tenure",PlotTitles,0))="Open market housing",INDEX(PlotData,MATCH($A453,PlotNumber,0),MATCH("Tenure detail",PlotTitles,0))="Private rented sector"),INDEX(PlotData,MATCH($A453,PlotNumber,0),MATCH("Tenure",PlotTitles,0))="Affordable rent")),"",NOT(INDEX(PlotData,MATCH($A453,PlotNumber,0),MATCH(S$3,PlotTitles,0))=0), $AB$24,TRUE,"")</f>
        <v/>
      </c>
      <c r="V453" s="114" t="str" cm="1">
        <f t="array" aca="1" ref="V453" ca="1">_xlfn.IFS(ISBLANK(NumberOfPlots),"Enter the number of homes on the 1_SetUp sheet",AND(A453&gt;NumberOfPlots,ISBLANK(INDEX(PlotData,MATCH($A453,PlotNumber,0),MATCH(B$3,PlotTitles,0)))),"No error",NOT(B453=""),B453,NOT(C453=""),C453,NOT(D453=""),D453,NOT(E453=""),E453,NOT(F453=""),F453,NOT(G453=""),G453,NOT(H453=""),H453,NOT(I453=""),I453,NOT(J453=""),J453,NOT(K453=""),K453,NOT(L453=""),L453,NOT(M453=""),M453,NOT(N453=""),N453,NOT(O453=""),O453,NOT(P453=""),P453,NOT(Q453=""),Q453,NOT(R453=""),R453,NOT(S453=""),S453,NOT(T453=""),T453,NOT(U453=""),U453,TRUE,"No error")</f>
        <v>Enter the number of homes on the 1_SetUp sheet</v>
      </c>
      <c r="W453" s="114" t="str">
        <f t="shared" ca="1" si="20"/>
        <v xml:space="preserve">The Borrower has not addressed the following error messages for Home ID 449: </v>
      </c>
    </row>
    <row r="454" spans="1:23">
      <c r="A454" s="123">
        <v>450</v>
      </c>
      <c r="B454" s="104" t="str" cm="1">
        <f t="array" ref="B454">_xlfn.IFS(AND(A454&gt;NumberOfPlots,ISBLANK(INDEX(PlotData,MATCH($A454,PlotNumber,0),MATCH(B$3,PlotTitles,0)))),"",ISNUMBER(INDEX(PlotData,MATCH($A454,PlotNumber,0),MATCH(B$3,PlotTitles,0)))=FALSE, $AB$5,TRUE,"")</f>
        <v/>
      </c>
      <c r="C454" s="104" t="str" cm="1">
        <f t="array" ref="C454">_xlfn.IFS(AND(A454&gt;NumberOfPlots,ISBLANK(INDEX(PlotData,MATCH($A454,PlotNumber,0),MATCH(B$3,PlotTitles,0)))),"",ISBLANK(INDEX(PlotData,MATCH($A454,PlotNumber,0),MATCH(C$3,PlotTitles,0))),$AB$6,TRUE,"")</f>
        <v/>
      </c>
      <c r="D454" s="104" t="str" cm="1">
        <f t="array" ref="D454">_xlfn.IFS(AND(A454&gt;NumberOfPlots,ISBLANK(INDEX(PlotData,MATCH($A454,PlotNumber,0),MATCH(B$3,PlotTitles,0)))),"",ISBLANK(INDEX(PlotData,MATCH($A454,PlotNumber,0),MATCH(D$3,PlotTitles,0))),$AB$7,TRUE,"")</f>
        <v/>
      </c>
      <c r="E454" s="104" t="str" cm="1">
        <f t="array" ref="E454">_xlfn.IFS(AND(A454&gt;NumberOfPlots,ISBLANK(INDEX(PlotData,MATCH($A454,PlotNumber,0),MATCH(B$3,PlotTitles,0)))),"",ISBLANK(INDEX(PlotData,MATCH($A454,PlotNumber,0),MATCH(E$3,PlotTitles,0))),$AB$8,TRUE,"")</f>
        <v/>
      </c>
      <c r="F454" s="104" t="str" cm="1">
        <f t="array" ref="F454">_xlfn.IFS(AND(A454&gt;NumberOfPlots,ISBLANK(INDEX(PlotData,MATCH($A454,PlotNumber,0),MATCH(B$3,PlotTitles,0)))),"",ISBLANK(INDEX(PlotData,MATCH($A454,PlotNumber,0),MATCH(F$3,PlotTitles,0))),$AB$9,TRUE,"")</f>
        <v/>
      </c>
      <c r="G454" s="104" t="str" cm="1">
        <f t="array" ref="G454">_xlfn.IFS(AND(A454&gt;NumberOfPlots,ISBLANK(INDEX(PlotData,MATCH($A454,PlotNumber,0),MATCH(B$3,PlotTitles,0)))),"",ISBLANK(INDEX(PlotData,MATCH($A454,PlotNumber,0),MATCH(G$3,PlotTitles,0))),$AB$10,TRUE,"")</f>
        <v/>
      </c>
      <c r="H454" s="104" t="str" cm="1">
        <f t="array" ref="H454">_xlfn.IFS(AND(A454&gt;NumberOfPlots,ISBLANK(INDEX(PlotData,MATCH($A454,PlotNumber,0),MATCH(B$3,PlotTitles,0)))),"",AND(ISBLANK(INDEX(PlotData,MATCH($A454,PlotNumber,0),MATCH(H$3,PlotTitles,0)))=FALSE,INDEX(PlotData,MATCH($A454,PlotNumber,0),MATCH(H$3,PlotTitles,0))&lt;500), $AB$11,TRUE,"")</f>
        <v/>
      </c>
      <c r="I454" s="104" t="str" cm="1">
        <f t="array" ref="I454">_xlfn.IFS(AND(A454&gt;NumberOfPlots,ISBLANK(INDEX(PlotData,MATCH($A454,PlotNumber,0),MATCH(B$3,PlotTitles,0)))),"",ISBLANK(INDEX(PlotData,MATCH($A454,PlotNumber,0),MATCH(I$3,PlotTitles,0))),$AB$12,TRUE,"")</f>
        <v/>
      </c>
      <c r="J454" s="104" t="str" cm="1">
        <f t="array" ref="J454">_xlfn.IFS(AND(A454&gt;NumberOfPlots,ISBLANK(INDEX(PlotData,MATCH($A454,PlotNumber,0),MATCH(B$3,PlotTitles,0)))),"",ISBLANK(INDEX(PlotData,MATCH($A454,PlotNumber,0),MATCH(J$3,PlotTitles,0))),$AB$13,TRUE,"")</f>
        <v/>
      </c>
      <c r="K454" s="182" t="str">
        <f t="shared" ca="1" si="21"/>
        <v/>
      </c>
      <c r="L454" s="104" t="str" cm="1">
        <f t="array" ref="L454">_xlfn.IFS(OR(ISBLANK(StartDateMonth),ISBLANK(StartDateYear)),"",AND(A454&gt;NumberOfPlots,ISBLANK(INDEX(PlotData,MATCH($A454,PlotNumber,0),MATCH(B$3,PlotTitles,0)))),"",ISBLANK(INDEX(PlotData,MATCH($A454,PlotNumber,0),MATCH(I$3,PlotTitles,0))),"",(DATEVALUE(INDEX(PlotData,MATCH($A454,PlotNumber,0),MATCH(I$3,PlotTitles,0))&amp;INDEX(PlotData,MATCH($A454,PlotNumber,0),MATCH(J$3,PlotTitles,0))))&lt;DATEVALUE(StartDateMonth&amp;StartDateYear),$AB$15,TRUE,"")</f>
        <v/>
      </c>
      <c r="M454" s="104" t="str" cm="1">
        <f t="array" ref="M454">_xlfn.IFS(OR(ISBLANK(StartDateMonth),ISBLANK(StartDateYear)),"",AND(A454&gt;NumberOfPlots,ISBLANK(INDEX(PlotData,MATCH($A454,PlotNumber,0),MATCH(B$3,PlotTitles,0)))),"",ISBLANK(INDEX(PlotData,MATCH($A454,PlotNumber,0),MATCH(I$3,PlotTitles,0))),"",CompletionMonth="","",(DATEVALUE(INDEX(PlotData,MATCH($A454,PlotNumber,0),MATCH(I$3,PlotTitles,0))&amp;INDEX(PlotData,MATCH($A454,PlotNumber,0),MATCH(J$3,PlotTitles,0))))&gt;(DATEVALUE(CompletionMonth&amp;CompletionYear)),$AB$16,TRUE,"")</f>
        <v/>
      </c>
      <c r="N454" s="104" t="str" cm="1">
        <f t="array" ref="N454">_xlfn.IFS(AND(A454&gt;NumberOfPlots,ISBLANK(INDEX(PlotData,MATCH($A454,PlotNumber,0),MATCH(B$3,PlotTitles,0)))),"",ISBLANK(INDEX(PlotData,MATCH($A454,PlotNumber,0),MATCH(N$3,PlotTitles,0))),$AB$17,TRUE,"")</f>
        <v/>
      </c>
      <c r="O454" s="104" t="str" cm="1">
        <f t="array" ref="O454">_xlfn.IFS(AND(A454&gt;NumberOfPlots,ISBLANK(INDEX(PlotData,MATCH($A454,PlotNumber,0),MATCH(B$3,PlotTitles,0)))),"",ISBLANK(INDEX(PlotData,MATCH($A454,PlotNumber,0),MATCH(O$3,PlotTitles,0))),$AB$18,TRUE,"")</f>
        <v/>
      </c>
      <c r="P454" s="182" t="str">
        <f t="shared" ca="1" si="22"/>
        <v/>
      </c>
      <c r="Q454" s="104" t="str" cm="1">
        <f t="array" ref="Q454">_xlfn.IFS(AND(A454&gt;NumberOfPlots,ISBLANK(INDEX(PlotData,MATCH($A454,PlotNumber,0),MATCH(B$3,PlotTitles,0)))),"",ISBLANK(INDEX(PlotData,MATCH($A454,PlotNumber,0),MATCH(N$3,PlotTitles,0))),"",(DATEVALUE(INDEX(PlotData,MATCH($A454,PlotNumber,0),MATCH(N$3,PlotTitles,0))&amp;INDEX(PlotData,MATCH($A454,PlotNumber,0),MATCH(O$3,PlotTitles,0))))&lt;(DATEVALUE(INDEX(PlotData,MATCH($A454,PlotNumber,0),MATCH(I$3,PlotTitles,0))&amp;INDEX(PlotData,MATCH($A454,PlotNumber,0),MATCH(J$3,PlotTitles,0)))),$AB$20,TRUE,"")</f>
        <v/>
      </c>
      <c r="R454" s="104" t="str" cm="1">
        <f t="array" ref="R454">_xlfn.IFS(OR(ISBLANK(StartDateMonth),ISBLANK(StartDateYear)),"",AND(A454&gt;NumberOfPlots,ISBLANK(INDEX(PlotData,MATCH($A454,PlotNumber,0),MATCH(B$3,PlotTitles,0)))),"",ISBLANK(INDEX(PlotData,MATCH($A454,PlotNumber,0),MATCH(N$3,PlotTitles,0))),"",CompletionMonth="","",(DATEVALUE(INDEX(PlotData,MATCH($A454,PlotNumber,0),MATCH(N$3,PlotTitles,0))&amp;INDEX(PlotData,MATCH($A454,PlotNumber,0),MATCH(O$3,PlotTitles,0))))&gt;(DATEVALUE(CompletionMonth&amp;CompletionYear)),$AB$21,TRUE,"")</f>
        <v/>
      </c>
      <c r="S454" s="104" t="str" cm="1">
        <f t="array" ref="S454">_xlfn.IFS(AND(A454&gt;NumberOfPlots,ISBLANK(INDEX(PlotData,MATCH($A454,PlotNumber,0),MATCH(B$3,PlotTitles,0)))),"",OR(AND(INDEX(PlotData,MATCH($A454,PlotNumber,0),MATCH("Tenure",PlotTitles,0))="Open market housing",INDEX(PlotData,MATCH($A454,PlotNumber,0),MATCH("Tenure detail",PlotTitles,0))="Private rented sector"),INDEX(PlotData,MATCH($A454,PlotNumber,0),MATCH("Tenure",PlotTitles,0))="Affordable rent"),"",ISNUMBER(INDEX(PlotData,MATCH($A454,PlotNumber,0),MATCH(S$3,PlotTitles,0)))=FALSE, $AB$22,TRUE,"")</f>
        <v/>
      </c>
      <c r="T454" s="104" t="str" cm="1">
        <f t="array" ref="T454">_xlfn.IFS(AND(A454&gt;NumberOfPlots,ISBLANK(INDEX(PlotData,MATCH($A454,PlotNumber,0),MATCH(B$3,PlotTitles,0)))),"",OR(AND(INDEX(PlotData,MATCH($A454,PlotNumber,0),MATCH("Tenure",PlotTitles,0))="Open market housing",INDEX(PlotData,MATCH($A454,PlotNumber,0),MATCH("Tenure detail",PlotTitles,0))="Private rented sector"),INDEX(PlotData,MATCH($A454,PlotNumber,0),MATCH("Tenure",PlotTitles,0))="Affordable rent"),"",INDEX(PlotData,MATCH($A454,PlotNumber,0),MATCH(S$3,PlotTitles,0))&lt;10000, $AB$23,TRUE,"")</f>
        <v/>
      </c>
      <c r="U454" s="104" t="str" cm="1">
        <f t="array" ref="U454">_xlfn.IFS(AND(A454&gt;NumberOfPlots,ISBLANK(INDEX(PlotData,MATCH($A454,PlotNumber,0),MATCH(B$3,PlotTitles,0)))),"",NOT(OR(AND(INDEX(PlotData,MATCH($A454,PlotNumber,0),MATCH("Tenure",PlotTitles,0))="Open market housing",INDEX(PlotData,MATCH($A454,PlotNumber,0),MATCH("Tenure detail",PlotTitles,0))="Private rented sector"),INDEX(PlotData,MATCH($A454,PlotNumber,0),MATCH("Tenure",PlotTitles,0))="Affordable rent")),"",NOT(INDEX(PlotData,MATCH($A454,PlotNumber,0),MATCH(S$3,PlotTitles,0))=0), $AB$24,TRUE,"")</f>
        <v/>
      </c>
      <c r="V454" s="114" t="str" cm="1">
        <f t="array" aca="1" ref="V454" ca="1">_xlfn.IFS(ISBLANK(NumberOfPlots),"Enter the number of homes on the 1_SetUp sheet",AND(A454&gt;NumberOfPlots,ISBLANK(INDEX(PlotData,MATCH($A454,PlotNumber,0),MATCH(B$3,PlotTitles,0)))),"No error",NOT(B454=""),B454,NOT(C454=""),C454,NOT(D454=""),D454,NOT(E454=""),E454,NOT(F454=""),F454,NOT(G454=""),G454,NOT(H454=""),H454,NOT(I454=""),I454,NOT(J454=""),J454,NOT(K454=""),K454,NOT(L454=""),L454,NOT(M454=""),M454,NOT(N454=""),N454,NOT(O454=""),O454,NOT(P454=""),P454,NOT(Q454=""),Q454,NOT(R454=""),R454,NOT(S454=""),S454,NOT(T454=""),T454,NOT(U454=""),U454,TRUE,"No error")</f>
        <v>Enter the number of homes on the 1_SetUp sheet</v>
      </c>
      <c r="W454" s="114" t="str">
        <f t="shared" ref="W454:W517" ca="1" si="23">IF($V454="No error","","The Borrower has not addressed the following error messages for Home ID "&amp;$A454&amp;": "&amp;_xlfn.TEXTJOIN(". ",TRUE,$B454:$T454))</f>
        <v xml:space="preserve">The Borrower has not addressed the following error messages for Home ID 450: </v>
      </c>
    </row>
    <row r="455" spans="1:23">
      <c r="A455" s="123">
        <v>451</v>
      </c>
      <c r="B455" s="104" t="str" cm="1">
        <f t="array" ref="B455">_xlfn.IFS(AND(A455&gt;NumberOfPlots,ISBLANK(INDEX(PlotData,MATCH($A455,PlotNumber,0),MATCH(B$3,PlotTitles,0)))),"",ISNUMBER(INDEX(PlotData,MATCH($A455,PlotNumber,0),MATCH(B$3,PlotTitles,0)))=FALSE, $AB$5,TRUE,"")</f>
        <v/>
      </c>
      <c r="C455" s="104" t="str" cm="1">
        <f t="array" ref="C455">_xlfn.IFS(AND(A455&gt;NumberOfPlots,ISBLANK(INDEX(PlotData,MATCH($A455,PlotNumber,0),MATCH(B$3,PlotTitles,0)))),"",ISBLANK(INDEX(PlotData,MATCH($A455,PlotNumber,0),MATCH(C$3,PlotTitles,0))),$AB$6,TRUE,"")</f>
        <v/>
      </c>
      <c r="D455" s="104" t="str" cm="1">
        <f t="array" ref="D455">_xlfn.IFS(AND(A455&gt;NumberOfPlots,ISBLANK(INDEX(PlotData,MATCH($A455,PlotNumber,0),MATCH(B$3,PlotTitles,0)))),"",ISBLANK(INDEX(PlotData,MATCH($A455,PlotNumber,0),MATCH(D$3,PlotTitles,0))),$AB$7,TRUE,"")</f>
        <v/>
      </c>
      <c r="E455" s="104" t="str" cm="1">
        <f t="array" ref="E455">_xlfn.IFS(AND(A455&gt;NumberOfPlots,ISBLANK(INDEX(PlotData,MATCH($A455,PlotNumber,0),MATCH(B$3,PlotTitles,0)))),"",ISBLANK(INDEX(PlotData,MATCH($A455,PlotNumber,0),MATCH(E$3,PlotTitles,0))),$AB$8,TRUE,"")</f>
        <v/>
      </c>
      <c r="F455" s="104" t="str" cm="1">
        <f t="array" ref="F455">_xlfn.IFS(AND(A455&gt;NumberOfPlots,ISBLANK(INDEX(PlotData,MATCH($A455,PlotNumber,0),MATCH(B$3,PlotTitles,0)))),"",ISBLANK(INDEX(PlotData,MATCH($A455,PlotNumber,0),MATCH(F$3,PlotTitles,0))),$AB$9,TRUE,"")</f>
        <v/>
      </c>
      <c r="G455" s="104" t="str" cm="1">
        <f t="array" ref="G455">_xlfn.IFS(AND(A455&gt;NumberOfPlots,ISBLANK(INDEX(PlotData,MATCH($A455,PlotNumber,0),MATCH(B$3,PlotTitles,0)))),"",ISBLANK(INDEX(PlotData,MATCH($A455,PlotNumber,0),MATCH(G$3,PlotTitles,0))),$AB$10,TRUE,"")</f>
        <v/>
      </c>
      <c r="H455" s="104" t="str" cm="1">
        <f t="array" ref="H455">_xlfn.IFS(AND(A455&gt;NumberOfPlots,ISBLANK(INDEX(PlotData,MATCH($A455,PlotNumber,0),MATCH(B$3,PlotTitles,0)))),"",AND(ISBLANK(INDEX(PlotData,MATCH($A455,PlotNumber,0),MATCH(H$3,PlotTitles,0)))=FALSE,INDEX(PlotData,MATCH($A455,PlotNumber,0),MATCH(H$3,PlotTitles,0))&lt;500), $AB$11,TRUE,"")</f>
        <v/>
      </c>
      <c r="I455" s="104" t="str" cm="1">
        <f t="array" ref="I455">_xlfn.IFS(AND(A455&gt;NumberOfPlots,ISBLANK(INDEX(PlotData,MATCH($A455,PlotNumber,0),MATCH(B$3,PlotTitles,0)))),"",ISBLANK(INDEX(PlotData,MATCH($A455,PlotNumber,0),MATCH(I$3,PlotTitles,0))),$AB$12,TRUE,"")</f>
        <v/>
      </c>
      <c r="J455" s="104" t="str" cm="1">
        <f t="array" ref="J455">_xlfn.IFS(AND(A455&gt;NumberOfPlots,ISBLANK(INDEX(PlotData,MATCH($A455,PlotNumber,0),MATCH(B$3,PlotTitles,0)))),"",ISBLANK(INDEX(PlotData,MATCH($A455,PlotNumber,0),MATCH(J$3,PlotTitles,0))),$AB$13,TRUE,"")</f>
        <v/>
      </c>
      <c r="K455" s="182" t="str">
        <f t="shared" ca="1" si="21"/>
        <v/>
      </c>
      <c r="L455" s="104" t="str" cm="1">
        <f t="array" ref="L455">_xlfn.IFS(OR(ISBLANK(StartDateMonth),ISBLANK(StartDateYear)),"",AND(A455&gt;NumberOfPlots,ISBLANK(INDEX(PlotData,MATCH($A455,PlotNumber,0),MATCH(B$3,PlotTitles,0)))),"",ISBLANK(INDEX(PlotData,MATCH($A455,PlotNumber,0),MATCH(I$3,PlotTitles,0))),"",(DATEVALUE(INDEX(PlotData,MATCH($A455,PlotNumber,0),MATCH(I$3,PlotTitles,0))&amp;INDEX(PlotData,MATCH($A455,PlotNumber,0),MATCH(J$3,PlotTitles,0))))&lt;DATEVALUE(StartDateMonth&amp;StartDateYear),$AB$15,TRUE,"")</f>
        <v/>
      </c>
      <c r="M455" s="104" t="str" cm="1">
        <f t="array" ref="M455">_xlfn.IFS(OR(ISBLANK(StartDateMonth),ISBLANK(StartDateYear)),"",AND(A455&gt;NumberOfPlots,ISBLANK(INDEX(PlotData,MATCH($A455,PlotNumber,0),MATCH(B$3,PlotTitles,0)))),"",ISBLANK(INDEX(PlotData,MATCH($A455,PlotNumber,0),MATCH(I$3,PlotTitles,0))),"",CompletionMonth="","",(DATEVALUE(INDEX(PlotData,MATCH($A455,PlotNumber,0),MATCH(I$3,PlotTitles,0))&amp;INDEX(PlotData,MATCH($A455,PlotNumber,0),MATCH(J$3,PlotTitles,0))))&gt;(DATEVALUE(CompletionMonth&amp;CompletionYear)),$AB$16,TRUE,"")</f>
        <v/>
      </c>
      <c r="N455" s="104" t="str" cm="1">
        <f t="array" ref="N455">_xlfn.IFS(AND(A455&gt;NumberOfPlots,ISBLANK(INDEX(PlotData,MATCH($A455,PlotNumber,0),MATCH(B$3,PlotTitles,0)))),"",ISBLANK(INDEX(PlotData,MATCH($A455,PlotNumber,0),MATCH(N$3,PlotTitles,0))),$AB$17,TRUE,"")</f>
        <v/>
      </c>
      <c r="O455" s="104" t="str" cm="1">
        <f t="array" ref="O455">_xlfn.IFS(AND(A455&gt;NumberOfPlots,ISBLANK(INDEX(PlotData,MATCH($A455,PlotNumber,0),MATCH(B$3,PlotTitles,0)))),"",ISBLANK(INDEX(PlotData,MATCH($A455,PlotNumber,0),MATCH(O$3,PlotTitles,0))),$AB$18,TRUE,"")</f>
        <v/>
      </c>
      <c r="P455" s="182" t="str">
        <f t="shared" ca="1" si="22"/>
        <v/>
      </c>
      <c r="Q455" s="104" t="str" cm="1">
        <f t="array" ref="Q455">_xlfn.IFS(AND(A455&gt;NumberOfPlots,ISBLANK(INDEX(PlotData,MATCH($A455,PlotNumber,0),MATCH(B$3,PlotTitles,0)))),"",ISBLANK(INDEX(PlotData,MATCH($A455,PlotNumber,0),MATCH(N$3,PlotTitles,0))),"",(DATEVALUE(INDEX(PlotData,MATCH($A455,PlotNumber,0),MATCH(N$3,PlotTitles,0))&amp;INDEX(PlotData,MATCH($A455,PlotNumber,0),MATCH(O$3,PlotTitles,0))))&lt;(DATEVALUE(INDEX(PlotData,MATCH($A455,PlotNumber,0),MATCH(I$3,PlotTitles,0))&amp;INDEX(PlotData,MATCH($A455,PlotNumber,0),MATCH(J$3,PlotTitles,0)))),$AB$20,TRUE,"")</f>
        <v/>
      </c>
      <c r="R455" s="104" t="str" cm="1">
        <f t="array" ref="R455">_xlfn.IFS(OR(ISBLANK(StartDateMonth),ISBLANK(StartDateYear)),"",AND(A455&gt;NumberOfPlots,ISBLANK(INDEX(PlotData,MATCH($A455,PlotNumber,0),MATCH(B$3,PlotTitles,0)))),"",ISBLANK(INDEX(PlotData,MATCH($A455,PlotNumber,0),MATCH(N$3,PlotTitles,0))),"",CompletionMonth="","",(DATEVALUE(INDEX(PlotData,MATCH($A455,PlotNumber,0),MATCH(N$3,PlotTitles,0))&amp;INDEX(PlotData,MATCH($A455,PlotNumber,0),MATCH(O$3,PlotTitles,0))))&gt;(DATEVALUE(CompletionMonth&amp;CompletionYear)),$AB$21,TRUE,"")</f>
        <v/>
      </c>
      <c r="S455" s="104" t="str" cm="1">
        <f t="array" ref="S455">_xlfn.IFS(AND(A455&gt;NumberOfPlots,ISBLANK(INDEX(PlotData,MATCH($A455,PlotNumber,0),MATCH(B$3,PlotTitles,0)))),"",OR(AND(INDEX(PlotData,MATCH($A455,PlotNumber,0),MATCH("Tenure",PlotTitles,0))="Open market housing",INDEX(PlotData,MATCH($A455,PlotNumber,0),MATCH("Tenure detail",PlotTitles,0))="Private rented sector"),INDEX(PlotData,MATCH($A455,PlotNumber,0),MATCH("Tenure",PlotTitles,0))="Affordable rent"),"",ISNUMBER(INDEX(PlotData,MATCH($A455,PlotNumber,0),MATCH(S$3,PlotTitles,0)))=FALSE, $AB$22,TRUE,"")</f>
        <v/>
      </c>
      <c r="T455" s="104" t="str" cm="1">
        <f t="array" ref="T455">_xlfn.IFS(AND(A455&gt;NumberOfPlots,ISBLANK(INDEX(PlotData,MATCH($A455,PlotNumber,0),MATCH(B$3,PlotTitles,0)))),"",OR(AND(INDEX(PlotData,MATCH($A455,PlotNumber,0),MATCH("Tenure",PlotTitles,0))="Open market housing",INDEX(PlotData,MATCH($A455,PlotNumber,0),MATCH("Tenure detail",PlotTitles,0))="Private rented sector"),INDEX(PlotData,MATCH($A455,PlotNumber,0),MATCH("Tenure",PlotTitles,0))="Affordable rent"),"",INDEX(PlotData,MATCH($A455,PlotNumber,0),MATCH(S$3,PlotTitles,0))&lt;10000, $AB$23,TRUE,"")</f>
        <v/>
      </c>
      <c r="U455" s="104" t="str" cm="1">
        <f t="array" ref="U455">_xlfn.IFS(AND(A455&gt;NumberOfPlots,ISBLANK(INDEX(PlotData,MATCH($A455,PlotNumber,0),MATCH(B$3,PlotTitles,0)))),"",NOT(OR(AND(INDEX(PlotData,MATCH($A455,PlotNumber,0),MATCH("Tenure",PlotTitles,0))="Open market housing",INDEX(PlotData,MATCH($A455,PlotNumber,0),MATCH("Tenure detail",PlotTitles,0))="Private rented sector"),INDEX(PlotData,MATCH($A455,PlotNumber,0),MATCH("Tenure",PlotTitles,0))="Affordable rent")),"",NOT(INDEX(PlotData,MATCH($A455,PlotNumber,0),MATCH(S$3,PlotTitles,0))=0), $AB$24,TRUE,"")</f>
        <v/>
      </c>
      <c r="V455" s="114" t="str" cm="1">
        <f t="array" aca="1" ref="V455" ca="1">_xlfn.IFS(ISBLANK(NumberOfPlots),"Enter the number of homes on the 1_SetUp sheet",AND(A455&gt;NumberOfPlots,ISBLANK(INDEX(PlotData,MATCH($A455,PlotNumber,0),MATCH(B$3,PlotTitles,0)))),"No error",NOT(B455=""),B455,NOT(C455=""),C455,NOT(D455=""),D455,NOT(E455=""),E455,NOT(F455=""),F455,NOT(G455=""),G455,NOT(H455=""),H455,NOT(I455=""),I455,NOT(J455=""),J455,NOT(K455=""),K455,NOT(L455=""),L455,NOT(M455=""),M455,NOT(N455=""),N455,NOT(O455=""),O455,NOT(P455=""),P455,NOT(Q455=""),Q455,NOT(R455=""),R455,NOT(S455=""),S455,NOT(T455=""),T455,NOT(U455=""),U455,TRUE,"No error")</f>
        <v>Enter the number of homes on the 1_SetUp sheet</v>
      </c>
      <c r="W455" s="114" t="str">
        <f t="shared" ca="1" si="23"/>
        <v xml:space="preserve">The Borrower has not addressed the following error messages for Home ID 451: </v>
      </c>
    </row>
    <row r="456" spans="1:23">
      <c r="A456" s="123">
        <v>452</v>
      </c>
      <c r="B456" s="104" t="str" cm="1">
        <f t="array" ref="B456">_xlfn.IFS(AND(A456&gt;NumberOfPlots,ISBLANK(INDEX(PlotData,MATCH($A456,PlotNumber,0),MATCH(B$3,PlotTitles,0)))),"",ISNUMBER(INDEX(PlotData,MATCH($A456,PlotNumber,0),MATCH(B$3,PlotTitles,0)))=FALSE, $AB$5,TRUE,"")</f>
        <v/>
      </c>
      <c r="C456" s="104" t="str" cm="1">
        <f t="array" ref="C456">_xlfn.IFS(AND(A456&gt;NumberOfPlots,ISBLANK(INDEX(PlotData,MATCH($A456,PlotNumber,0),MATCH(B$3,PlotTitles,0)))),"",ISBLANK(INDEX(PlotData,MATCH($A456,PlotNumber,0),MATCH(C$3,PlotTitles,0))),$AB$6,TRUE,"")</f>
        <v/>
      </c>
      <c r="D456" s="104" t="str" cm="1">
        <f t="array" ref="D456">_xlfn.IFS(AND(A456&gt;NumberOfPlots,ISBLANK(INDEX(PlotData,MATCH($A456,PlotNumber,0),MATCH(B$3,PlotTitles,0)))),"",ISBLANK(INDEX(PlotData,MATCH($A456,PlotNumber,0),MATCH(D$3,PlotTitles,0))),$AB$7,TRUE,"")</f>
        <v/>
      </c>
      <c r="E456" s="104" t="str" cm="1">
        <f t="array" ref="E456">_xlfn.IFS(AND(A456&gt;NumberOfPlots,ISBLANK(INDEX(PlotData,MATCH($A456,PlotNumber,0),MATCH(B$3,PlotTitles,0)))),"",ISBLANK(INDEX(PlotData,MATCH($A456,PlotNumber,0),MATCH(E$3,PlotTitles,0))),$AB$8,TRUE,"")</f>
        <v/>
      </c>
      <c r="F456" s="104" t="str" cm="1">
        <f t="array" ref="F456">_xlfn.IFS(AND(A456&gt;NumberOfPlots,ISBLANK(INDEX(PlotData,MATCH($A456,PlotNumber,0),MATCH(B$3,PlotTitles,0)))),"",ISBLANK(INDEX(PlotData,MATCH($A456,PlotNumber,0),MATCH(F$3,PlotTitles,0))),$AB$9,TRUE,"")</f>
        <v/>
      </c>
      <c r="G456" s="104" t="str" cm="1">
        <f t="array" ref="G456">_xlfn.IFS(AND(A456&gt;NumberOfPlots,ISBLANK(INDEX(PlotData,MATCH($A456,PlotNumber,0),MATCH(B$3,PlotTitles,0)))),"",ISBLANK(INDEX(PlotData,MATCH($A456,PlotNumber,0),MATCH(G$3,PlotTitles,0))),$AB$10,TRUE,"")</f>
        <v/>
      </c>
      <c r="H456" s="104" t="str" cm="1">
        <f t="array" ref="H456">_xlfn.IFS(AND(A456&gt;NumberOfPlots,ISBLANK(INDEX(PlotData,MATCH($A456,PlotNumber,0),MATCH(B$3,PlotTitles,0)))),"",AND(ISBLANK(INDEX(PlotData,MATCH($A456,PlotNumber,0),MATCH(H$3,PlotTitles,0)))=FALSE,INDEX(PlotData,MATCH($A456,PlotNumber,0),MATCH(H$3,PlotTitles,0))&lt;500), $AB$11,TRUE,"")</f>
        <v/>
      </c>
      <c r="I456" s="104" t="str" cm="1">
        <f t="array" ref="I456">_xlfn.IFS(AND(A456&gt;NumberOfPlots,ISBLANK(INDEX(PlotData,MATCH($A456,PlotNumber,0),MATCH(B$3,PlotTitles,0)))),"",ISBLANK(INDEX(PlotData,MATCH($A456,PlotNumber,0),MATCH(I$3,PlotTitles,0))),$AB$12,TRUE,"")</f>
        <v/>
      </c>
      <c r="J456" s="104" t="str" cm="1">
        <f t="array" ref="J456">_xlfn.IFS(AND(A456&gt;NumberOfPlots,ISBLANK(INDEX(PlotData,MATCH($A456,PlotNumber,0),MATCH(B$3,PlotTitles,0)))),"",ISBLANK(INDEX(PlotData,MATCH($A456,PlotNumber,0),MATCH(J$3,PlotTitles,0))),$AB$13,TRUE,"")</f>
        <v/>
      </c>
      <c r="K456" s="182" t="str">
        <f t="shared" ca="1" si="21"/>
        <v/>
      </c>
      <c r="L456" s="104" t="str" cm="1">
        <f t="array" ref="L456">_xlfn.IFS(OR(ISBLANK(StartDateMonth),ISBLANK(StartDateYear)),"",AND(A456&gt;NumberOfPlots,ISBLANK(INDEX(PlotData,MATCH($A456,PlotNumber,0),MATCH(B$3,PlotTitles,0)))),"",ISBLANK(INDEX(PlotData,MATCH($A456,PlotNumber,0),MATCH(I$3,PlotTitles,0))),"",(DATEVALUE(INDEX(PlotData,MATCH($A456,PlotNumber,0),MATCH(I$3,PlotTitles,0))&amp;INDEX(PlotData,MATCH($A456,PlotNumber,0),MATCH(J$3,PlotTitles,0))))&lt;DATEVALUE(StartDateMonth&amp;StartDateYear),$AB$15,TRUE,"")</f>
        <v/>
      </c>
      <c r="M456" s="104" t="str" cm="1">
        <f t="array" ref="M456">_xlfn.IFS(OR(ISBLANK(StartDateMonth),ISBLANK(StartDateYear)),"",AND(A456&gt;NumberOfPlots,ISBLANK(INDEX(PlotData,MATCH($A456,PlotNumber,0),MATCH(B$3,PlotTitles,0)))),"",ISBLANK(INDEX(PlotData,MATCH($A456,PlotNumber,0),MATCH(I$3,PlotTitles,0))),"",CompletionMonth="","",(DATEVALUE(INDEX(PlotData,MATCH($A456,PlotNumber,0),MATCH(I$3,PlotTitles,0))&amp;INDEX(PlotData,MATCH($A456,PlotNumber,0),MATCH(J$3,PlotTitles,0))))&gt;(DATEVALUE(CompletionMonth&amp;CompletionYear)),$AB$16,TRUE,"")</f>
        <v/>
      </c>
      <c r="N456" s="104" t="str" cm="1">
        <f t="array" ref="N456">_xlfn.IFS(AND(A456&gt;NumberOfPlots,ISBLANK(INDEX(PlotData,MATCH($A456,PlotNumber,0),MATCH(B$3,PlotTitles,0)))),"",ISBLANK(INDEX(PlotData,MATCH($A456,PlotNumber,0),MATCH(N$3,PlotTitles,0))),$AB$17,TRUE,"")</f>
        <v/>
      </c>
      <c r="O456" s="104" t="str" cm="1">
        <f t="array" ref="O456">_xlfn.IFS(AND(A456&gt;NumberOfPlots,ISBLANK(INDEX(PlotData,MATCH($A456,PlotNumber,0),MATCH(B$3,PlotTitles,0)))),"",ISBLANK(INDEX(PlotData,MATCH($A456,PlotNumber,0),MATCH(O$3,PlotTitles,0))),$AB$18,TRUE,"")</f>
        <v/>
      </c>
      <c r="P456" s="182" t="str">
        <f t="shared" ca="1" si="22"/>
        <v/>
      </c>
      <c r="Q456" s="104" t="str" cm="1">
        <f t="array" ref="Q456">_xlfn.IFS(AND(A456&gt;NumberOfPlots,ISBLANK(INDEX(PlotData,MATCH($A456,PlotNumber,0),MATCH(B$3,PlotTitles,0)))),"",ISBLANK(INDEX(PlotData,MATCH($A456,PlotNumber,0),MATCH(N$3,PlotTitles,0))),"",(DATEVALUE(INDEX(PlotData,MATCH($A456,PlotNumber,0),MATCH(N$3,PlotTitles,0))&amp;INDEX(PlotData,MATCH($A456,PlotNumber,0),MATCH(O$3,PlotTitles,0))))&lt;(DATEVALUE(INDEX(PlotData,MATCH($A456,PlotNumber,0),MATCH(I$3,PlotTitles,0))&amp;INDEX(PlotData,MATCH($A456,PlotNumber,0),MATCH(J$3,PlotTitles,0)))),$AB$20,TRUE,"")</f>
        <v/>
      </c>
      <c r="R456" s="104" t="str" cm="1">
        <f t="array" ref="R456">_xlfn.IFS(OR(ISBLANK(StartDateMonth),ISBLANK(StartDateYear)),"",AND(A456&gt;NumberOfPlots,ISBLANK(INDEX(PlotData,MATCH($A456,PlotNumber,0),MATCH(B$3,PlotTitles,0)))),"",ISBLANK(INDEX(PlotData,MATCH($A456,PlotNumber,0),MATCH(N$3,PlotTitles,0))),"",CompletionMonth="","",(DATEVALUE(INDEX(PlotData,MATCH($A456,PlotNumber,0),MATCH(N$3,PlotTitles,0))&amp;INDEX(PlotData,MATCH($A456,PlotNumber,0),MATCH(O$3,PlotTitles,0))))&gt;(DATEVALUE(CompletionMonth&amp;CompletionYear)),$AB$21,TRUE,"")</f>
        <v/>
      </c>
      <c r="S456" s="104" t="str" cm="1">
        <f t="array" ref="S456">_xlfn.IFS(AND(A456&gt;NumberOfPlots,ISBLANK(INDEX(PlotData,MATCH($A456,PlotNumber,0),MATCH(B$3,PlotTitles,0)))),"",OR(AND(INDEX(PlotData,MATCH($A456,PlotNumber,0),MATCH("Tenure",PlotTitles,0))="Open market housing",INDEX(PlotData,MATCH($A456,PlotNumber,0),MATCH("Tenure detail",PlotTitles,0))="Private rented sector"),INDEX(PlotData,MATCH($A456,PlotNumber,0),MATCH("Tenure",PlotTitles,0))="Affordable rent"),"",ISNUMBER(INDEX(PlotData,MATCH($A456,PlotNumber,0),MATCH(S$3,PlotTitles,0)))=FALSE, $AB$22,TRUE,"")</f>
        <v/>
      </c>
      <c r="T456" s="104" t="str" cm="1">
        <f t="array" ref="T456">_xlfn.IFS(AND(A456&gt;NumberOfPlots,ISBLANK(INDEX(PlotData,MATCH($A456,PlotNumber,0),MATCH(B$3,PlotTitles,0)))),"",OR(AND(INDEX(PlotData,MATCH($A456,PlotNumber,0),MATCH("Tenure",PlotTitles,0))="Open market housing",INDEX(PlotData,MATCH($A456,PlotNumber,0),MATCH("Tenure detail",PlotTitles,0))="Private rented sector"),INDEX(PlotData,MATCH($A456,PlotNumber,0),MATCH("Tenure",PlotTitles,0))="Affordable rent"),"",INDEX(PlotData,MATCH($A456,PlotNumber,0),MATCH(S$3,PlotTitles,0))&lt;10000, $AB$23,TRUE,"")</f>
        <v/>
      </c>
      <c r="U456" s="104" t="str" cm="1">
        <f t="array" ref="U456">_xlfn.IFS(AND(A456&gt;NumberOfPlots,ISBLANK(INDEX(PlotData,MATCH($A456,PlotNumber,0),MATCH(B$3,PlotTitles,0)))),"",NOT(OR(AND(INDEX(PlotData,MATCH($A456,PlotNumber,0),MATCH("Tenure",PlotTitles,0))="Open market housing",INDEX(PlotData,MATCH($A456,PlotNumber,0),MATCH("Tenure detail",PlotTitles,0))="Private rented sector"),INDEX(PlotData,MATCH($A456,PlotNumber,0),MATCH("Tenure",PlotTitles,0))="Affordable rent")),"",NOT(INDEX(PlotData,MATCH($A456,PlotNumber,0),MATCH(S$3,PlotTitles,0))=0), $AB$24,TRUE,"")</f>
        <v/>
      </c>
      <c r="V456" s="114" t="str" cm="1">
        <f t="array" aca="1" ref="V456" ca="1">_xlfn.IFS(ISBLANK(NumberOfPlots),"Enter the number of homes on the 1_SetUp sheet",AND(A456&gt;NumberOfPlots,ISBLANK(INDEX(PlotData,MATCH($A456,PlotNumber,0),MATCH(B$3,PlotTitles,0)))),"No error",NOT(B456=""),B456,NOT(C456=""),C456,NOT(D456=""),D456,NOT(E456=""),E456,NOT(F456=""),F456,NOT(G456=""),G456,NOT(H456=""),H456,NOT(I456=""),I456,NOT(J456=""),J456,NOT(K456=""),K456,NOT(L456=""),L456,NOT(M456=""),M456,NOT(N456=""),N456,NOT(O456=""),O456,NOT(P456=""),P456,NOT(Q456=""),Q456,NOT(R456=""),R456,NOT(S456=""),S456,NOT(T456=""),T456,NOT(U456=""),U456,TRUE,"No error")</f>
        <v>Enter the number of homes on the 1_SetUp sheet</v>
      </c>
      <c r="W456" s="114" t="str">
        <f t="shared" ca="1" si="23"/>
        <v xml:space="preserve">The Borrower has not addressed the following error messages for Home ID 452: </v>
      </c>
    </row>
    <row r="457" spans="1:23">
      <c r="A457" s="123">
        <v>453</v>
      </c>
      <c r="B457" s="104" t="str" cm="1">
        <f t="array" ref="B457">_xlfn.IFS(AND(A457&gt;NumberOfPlots,ISBLANK(INDEX(PlotData,MATCH($A457,PlotNumber,0),MATCH(B$3,PlotTitles,0)))),"",ISNUMBER(INDEX(PlotData,MATCH($A457,PlotNumber,0),MATCH(B$3,PlotTitles,0)))=FALSE, $AB$5,TRUE,"")</f>
        <v/>
      </c>
      <c r="C457" s="104" t="str" cm="1">
        <f t="array" ref="C457">_xlfn.IFS(AND(A457&gt;NumberOfPlots,ISBLANK(INDEX(PlotData,MATCH($A457,PlotNumber,0),MATCH(B$3,PlotTitles,0)))),"",ISBLANK(INDEX(PlotData,MATCH($A457,PlotNumber,0),MATCH(C$3,PlotTitles,0))),$AB$6,TRUE,"")</f>
        <v/>
      </c>
      <c r="D457" s="104" t="str" cm="1">
        <f t="array" ref="D457">_xlfn.IFS(AND(A457&gt;NumberOfPlots,ISBLANK(INDEX(PlotData,MATCH($A457,PlotNumber,0),MATCH(B$3,PlotTitles,0)))),"",ISBLANK(INDEX(PlotData,MATCH($A457,PlotNumber,0),MATCH(D$3,PlotTitles,0))),$AB$7,TRUE,"")</f>
        <v/>
      </c>
      <c r="E457" s="104" t="str" cm="1">
        <f t="array" ref="E457">_xlfn.IFS(AND(A457&gt;NumberOfPlots,ISBLANK(INDEX(PlotData,MATCH($A457,PlotNumber,0),MATCH(B$3,PlotTitles,0)))),"",ISBLANK(INDEX(PlotData,MATCH($A457,PlotNumber,0),MATCH(E$3,PlotTitles,0))),$AB$8,TRUE,"")</f>
        <v/>
      </c>
      <c r="F457" s="104" t="str" cm="1">
        <f t="array" ref="F457">_xlfn.IFS(AND(A457&gt;NumberOfPlots,ISBLANK(INDEX(PlotData,MATCH($A457,PlotNumber,0),MATCH(B$3,PlotTitles,0)))),"",ISBLANK(INDEX(PlotData,MATCH($A457,PlotNumber,0),MATCH(F$3,PlotTitles,0))),$AB$9,TRUE,"")</f>
        <v/>
      </c>
      <c r="G457" s="104" t="str" cm="1">
        <f t="array" ref="G457">_xlfn.IFS(AND(A457&gt;NumberOfPlots,ISBLANK(INDEX(PlotData,MATCH($A457,PlotNumber,0),MATCH(B$3,PlotTitles,0)))),"",ISBLANK(INDEX(PlotData,MATCH($A457,PlotNumber,0),MATCH(G$3,PlotTitles,0))),$AB$10,TRUE,"")</f>
        <v/>
      </c>
      <c r="H457" s="104" t="str" cm="1">
        <f t="array" ref="H457">_xlfn.IFS(AND(A457&gt;NumberOfPlots,ISBLANK(INDEX(PlotData,MATCH($A457,PlotNumber,0),MATCH(B$3,PlotTitles,0)))),"",AND(ISBLANK(INDEX(PlotData,MATCH($A457,PlotNumber,0),MATCH(H$3,PlotTitles,0)))=FALSE,INDEX(PlotData,MATCH($A457,PlotNumber,0),MATCH(H$3,PlotTitles,0))&lt;500), $AB$11,TRUE,"")</f>
        <v/>
      </c>
      <c r="I457" s="104" t="str" cm="1">
        <f t="array" ref="I457">_xlfn.IFS(AND(A457&gt;NumberOfPlots,ISBLANK(INDEX(PlotData,MATCH($A457,PlotNumber,0),MATCH(B$3,PlotTitles,0)))),"",ISBLANK(INDEX(PlotData,MATCH($A457,PlotNumber,0),MATCH(I$3,PlotTitles,0))),$AB$12,TRUE,"")</f>
        <v/>
      </c>
      <c r="J457" s="104" t="str" cm="1">
        <f t="array" ref="J457">_xlfn.IFS(AND(A457&gt;NumberOfPlots,ISBLANK(INDEX(PlotData,MATCH($A457,PlotNumber,0),MATCH(B$3,PlotTitles,0)))),"",ISBLANK(INDEX(PlotData,MATCH($A457,PlotNumber,0),MATCH(J$3,PlotTitles,0))),$AB$13,TRUE,"")</f>
        <v/>
      </c>
      <c r="K457" s="182" t="str">
        <f t="shared" ca="1" si="21"/>
        <v/>
      </c>
      <c r="L457" s="104" t="str" cm="1">
        <f t="array" ref="L457">_xlfn.IFS(OR(ISBLANK(StartDateMonth),ISBLANK(StartDateYear)),"",AND(A457&gt;NumberOfPlots,ISBLANK(INDEX(PlotData,MATCH($A457,PlotNumber,0),MATCH(B$3,PlotTitles,0)))),"",ISBLANK(INDEX(PlotData,MATCH($A457,PlotNumber,0),MATCH(I$3,PlotTitles,0))),"",(DATEVALUE(INDEX(PlotData,MATCH($A457,PlotNumber,0),MATCH(I$3,PlotTitles,0))&amp;INDEX(PlotData,MATCH($A457,PlotNumber,0),MATCH(J$3,PlotTitles,0))))&lt;DATEVALUE(StartDateMonth&amp;StartDateYear),$AB$15,TRUE,"")</f>
        <v/>
      </c>
      <c r="M457" s="104" t="str" cm="1">
        <f t="array" ref="M457">_xlfn.IFS(OR(ISBLANK(StartDateMonth),ISBLANK(StartDateYear)),"",AND(A457&gt;NumberOfPlots,ISBLANK(INDEX(PlotData,MATCH($A457,PlotNumber,0),MATCH(B$3,PlotTitles,0)))),"",ISBLANK(INDEX(PlotData,MATCH($A457,PlotNumber,0),MATCH(I$3,PlotTitles,0))),"",CompletionMonth="","",(DATEVALUE(INDEX(PlotData,MATCH($A457,PlotNumber,0),MATCH(I$3,PlotTitles,0))&amp;INDEX(PlotData,MATCH($A457,PlotNumber,0),MATCH(J$3,PlotTitles,0))))&gt;(DATEVALUE(CompletionMonth&amp;CompletionYear)),$AB$16,TRUE,"")</f>
        <v/>
      </c>
      <c r="N457" s="104" t="str" cm="1">
        <f t="array" ref="N457">_xlfn.IFS(AND(A457&gt;NumberOfPlots,ISBLANK(INDEX(PlotData,MATCH($A457,PlotNumber,0),MATCH(B$3,PlotTitles,0)))),"",ISBLANK(INDEX(PlotData,MATCH($A457,PlotNumber,0),MATCH(N$3,PlotTitles,0))),$AB$17,TRUE,"")</f>
        <v/>
      </c>
      <c r="O457" s="104" t="str" cm="1">
        <f t="array" ref="O457">_xlfn.IFS(AND(A457&gt;NumberOfPlots,ISBLANK(INDEX(PlotData,MATCH($A457,PlotNumber,0),MATCH(B$3,PlotTitles,0)))),"",ISBLANK(INDEX(PlotData,MATCH($A457,PlotNumber,0),MATCH(O$3,PlotTitles,0))),$AB$18,TRUE,"")</f>
        <v/>
      </c>
      <c r="P457" s="182" t="str">
        <f t="shared" ca="1" si="22"/>
        <v/>
      </c>
      <c r="Q457" s="104" t="str" cm="1">
        <f t="array" ref="Q457">_xlfn.IFS(AND(A457&gt;NumberOfPlots,ISBLANK(INDEX(PlotData,MATCH($A457,PlotNumber,0),MATCH(B$3,PlotTitles,0)))),"",ISBLANK(INDEX(PlotData,MATCH($A457,PlotNumber,0),MATCH(N$3,PlotTitles,0))),"",(DATEVALUE(INDEX(PlotData,MATCH($A457,PlotNumber,0),MATCH(N$3,PlotTitles,0))&amp;INDEX(PlotData,MATCH($A457,PlotNumber,0),MATCH(O$3,PlotTitles,0))))&lt;(DATEVALUE(INDEX(PlotData,MATCH($A457,PlotNumber,0),MATCH(I$3,PlotTitles,0))&amp;INDEX(PlotData,MATCH($A457,PlotNumber,0),MATCH(J$3,PlotTitles,0)))),$AB$20,TRUE,"")</f>
        <v/>
      </c>
      <c r="R457" s="104" t="str" cm="1">
        <f t="array" ref="R457">_xlfn.IFS(OR(ISBLANK(StartDateMonth),ISBLANK(StartDateYear)),"",AND(A457&gt;NumberOfPlots,ISBLANK(INDEX(PlotData,MATCH($A457,PlotNumber,0),MATCH(B$3,PlotTitles,0)))),"",ISBLANK(INDEX(PlotData,MATCH($A457,PlotNumber,0),MATCH(N$3,PlotTitles,0))),"",CompletionMonth="","",(DATEVALUE(INDEX(PlotData,MATCH($A457,PlotNumber,0),MATCH(N$3,PlotTitles,0))&amp;INDEX(PlotData,MATCH($A457,PlotNumber,0),MATCH(O$3,PlotTitles,0))))&gt;(DATEVALUE(CompletionMonth&amp;CompletionYear)),$AB$21,TRUE,"")</f>
        <v/>
      </c>
      <c r="S457" s="104" t="str" cm="1">
        <f t="array" ref="S457">_xlfn.IFS(AND(A457&gt;NumberOfPlots,ISBLANK(INDEX(PlotData,MATCH($A457,PlotNumber,0),MATCH(B$3,PlotTitles,0)))),"",OR(AND(INDEX(PlotData,MATCH($A457,PlotNumber,0),MATCH("Tenure",PlotTitles,0))="Open market housing",INDEX(PlotData,MATCH($A457,PlotNumber,0),MATCH("Tenure detail",PlotTitles,0))="Private rented sector"),INDEX(PlotData,MATCH($A457,PlotNumber,0),MATCH("Tenure",PlotTitles,0))="Affordable rent"),"",ISNUMBER(INDEX(PlotData,MATCH($A457,PlotNumber,0),MATCH(S$3,PlotTitles,0)))=FALSE, $AB$22,TRUE,"")</f>
        <v/>
      </c>
      <c r="T457" s="104" t="str" cm="1">
        <f t="array" ref="T457">_xlfn.IFS(AND(A457&gt;NumberOfPlots,ISBLANK(INDEX(PlotData,MATCH($A457,PlotNumber,0),MATCH(B$3,PlotTitles,0)))),"",OR(AND(INDEX(PlotData,MATCH($A457,PlotNumber,0),MATCH("Tenure",PlotTitles,0))="Open market housing",INDEX(PlotData,MATCH($A457,PlotNumber,0),MATCH("Tenure detail",PlotTitles,0))="Private rented sector"),INDEX(PlotData,MATCH($A457,PlotNumber,0),MATCH("Tenure",PlotTitles,0))="Affordable rent"),"",INDEX(PlotData,MATCH($A457,PlotNumber,0),MATCH(S$3,PlotTitles,0))&lt;10000, $AB$23,TRUE,"")</f>
        <v/>
      </c>
      <c r="U457" s="104" t="str" cm="1">
        <f t="array" ref="U457">_xlfn.IFS(AND(A457&gt;NumberOfPlots,ISBLANK(INDEX(PlotData,MATCH($A457,PlotNumber,0),MATCH(B$3,PlotTitles,0)))),"",NOT(OR(AND(INDEX(PlotData,MATCH($A457,PlotNumber,0),MATCH("Tenure",PlotTitles,0))="Open market housing",INDEX(PlotData,MATCH($A457,PlotNumber,0),MATCH("Tenure detail",PlotTitles,0))="Private rented sector"),INDEX(PlotData,MATCH($A457,PlotNumber,0),MATCH("Tenure",PlotTitles,0))="Affordable rent")),"",NOT(INDEX(PlotData,MATCH($A457,PlotNumber,0),MATCH(S$3,PlotTitles,0))=0), $AB$24,TRUE,"")</f>
        <v/>
      </c>
      <c r="V457" s="114" t="str" cm="1">
        <f t="array" aca="1" ref="V457" ca="1">_xlfn.IFS(ISBLANK(NumberOfPlots),"Enter the number of homes on the 1_SetUp sheet",AND(A457&gt;NumberOfPlots,ISBLANK(INDEX(PlotData,MATCH($A457,PlotNumber,0),MATCH(B$3,PlotTitles,0)))),"No error",NOT(B457=""),B457,NOT(C457=""),C457,NOT(D457=""),D457,NOT(E457=""),E457,NOT(F457=""),F457,NOT(G457=""),G457,NOT(H457=""),H457,NOT(I457=""),I457,NOT(J457=""),J457,NOT(K457=""),K457,NOT(L457=""),L457,NOT(M457=""),M457,NOT(N457=""),N457,NOT(O457=""),O457,NOT(P457=""),P457,NOT(Q457=""),Q457,NOT(R457=""),R457,NOT(S457=""),S457,NOT(T457=""),T457,NOT(U457=""),U457,TRUE,"No error")</f>
        <v>Enter the number of homes on the 1_SetUp sheet</v>
      </c>
      <c r="W457" s="114" t="str">
        <f t="shared" ca="1" si="23"/>
        <v xml:space="preserve">The Borrower has not addressed the following error messages for Home ID 453: </v>
      </c>
    </row>
    <row r="458" spans="1:23">
      <c r="A458" s="123">
        <v>454</v>
      </c>
      <c r="B458" s="104" t="str" cm="1">
        <f t="array" ref="B458">_xlfn.IFS(AND(A458&gt;NumberOfPlots,ISBLANK(INDEX(PlotData,MATCH($A458,PlotNumber,0),MATCH(B$3,PlotTitles,0)))),"",ISNUMBER(INDEX(PlotData,MATCH($A458,PlotNumber,0),MATCH(B$3,PlotTitles,0)))=FALSE, $AB$5,TRUE,"")</f>
        <v/>
      </c>
      <c r="C458" s="104" t="str" cm="1">
        <f t="array" ref="C458">_xlfn.IFS(AND(A458&gt;NumberOfPlots,ISBLANK(INDEX(PlotData,MATCH($A458,PlotNumber,0),MATCH(B$3,PlotTitles,0)))),"",ISBLANK(INDEX(PlotData,MATCH($A458,PlotNumber,0),MATCH(C$3,PlotTitles,0))),$AB$6,TRUE,"")</f>
        <v/>
      </c>
      <c r="D458" s="104" t="str" cm="1">
        <f t="array" ref="D458">_xlfn.IFS(AND(A458&gt;NumberOfPlots,ISBLANK(INDEX(PlotData,MATCH($A458,PlotNumber,0),MATCH(B$3,PlotTitles,0)))),"",ISBLANK(INDEX(PlotData,MATCH($A458,PlotNumber,0),MATCH(D$3,PlotTitles,0))),$AB$7,TRUE,"")</f>
        <v/>
      </c>
      <c r="E458" s="104" t="str" cm="1">
        <f t="array" ref="E458">_xlfn.IFS(AND(A458&gt;NumberOfPlots,ISBLANK(INDEX(PlotData,MATCH($A458,PlotNumber,0),MATCH(B$3,PlotTitles,0)))),"",ISBLANK(INDEX(PlotData,MATCH($A458,PlotNumber,0),MATCH(E$3,PlotTitles,0))),$AB$8,TRUE,"")</f>
        <v/>
      </c>
      <c r="F458" s="104" t="str" cm="1">
        <f t="array" ref="F458">_xlfn.IFS(AND(A458&gt;NumberOfPlots,ISBLANK(INDEX(PlotData,MATCH($A458,PlotNumber,0),MATCH(B$3,PlotTitles,0)))),"",ISBLANK(INDEX(PlotData,MATCH($A458,PlotNumber,0),MATCH(F$3,PlotTitles,0))),$AB$9,TRUE,"")</f>
        <v/>
      </c>
      <c r="G458" s="104" t="str" cm="1">
        <f t="array" ref="G458">_xlfn.IFS(AND(A458&gt;NumberOfPlots,ISBLANK(INDEX(PlotData,MATCH($A458,PlotNumber,0),MATCH(B$3,PlotTitles,0)))),"",ISBLANK(INDEX(PlotData,MATCH($A458,PlotNumber,0),MATCH(G$3,PlotTitles,0))),$AB$10,TRUE,"")</f>
        <v/>
      </c>
      <c r="H458" s="104" t="str" cm="1">
        <f t="array" ref="H458">_xlfn.IFS(AND(A458&gt;NumberOfPlots,ISBLANK(INDEX(PlotData,MATCH($A458,PlotNumber,0),MATCH(B$3,PlotTitles,0)))),"",AND(ISBLANK(INDEX(PlotData,MATCH($A458,PlotNumber,0),MATCH(H$3,PlotTitles,0)))=FALSE,INDEX(PlotData,MATCH($A458,PlotNumber,0),MATCH(H$3,PlotTitles,0))&lt;500), $AB$11,TRUE,"")</f>
        <v/>
      </c>
      <c r="I458" s="104" t="str" cm="1">
        <f t="array" ref="I458">_xlfn.IFS(AND(A458&gt;NumberOfPlots,ISBLANK(INDEX(PlotData,MATCH($A458,PlotNumber,0),MATCH(B$3,PlotTitles,0)))),"",ISBLANK(INDEX(PlotData,MATCH($A458,PlotNumber,0),MATCH(I$3,PlotTitles,0))),$AB$12,TRUE,"")</f>
        <v/>
      </c>
      <c r="J458" s="104" t="str" cm="1">
        <f t="array" ref="J458">_xlfn.IFS(AND(A458&gt;NumberOfPlots,ISBLANK(INDEX(PlotData,MATCH($A458,PlotNumber,0),MATCH(B$3,PlotTitles,0)))),"",ISBLANK(INDEX(PlotData,MATCH($A458,PlotNumber,0),MATCH(J$3,PlotTitles,0))),$AB$13,TRUE,"")</f>
        <v/>
      </c>
      <c r="K458" s="182" t="str">
        <f t="shared" ca="1" si="21"/>
        <v/>
      </c>
      <c r="L458" s="104" t="str" cm="1">
        <f t="array" ref="L458">_xlfn.IFS(OR(ISBLANK(StartDateMonth),ISBLANK(StartDateYear)),"",AND(A458&gt;NumberOfPlots,ISBLANK(INDEX(PlotData,MATCH($A458,PlotNumber,0),MATCH(B$3,PlotTitles,0)))),"",ISBLANK(INDEX(PlotData,MATCH($A458,PlotNumber,0),MATCH(I$3,PlotTitles,0))),"",(DATEVALUE(INDEX(PlotData,MATCH($A458,PlotNumber,0),MATCH(I$3,PlotTitles,0))&amp;INDEX(PlotData,MATCH($A458,PlotNumber,0),MATCH(J$3,PlotTitles,0))))&lt;DATEVALUE(StartDateMonth&amp;StartDateYear),$AB$15,TRUE,"")</f>
        <v/>
      </c>
      <c r="M458" s="104" t="str" cm="1">
        <f t="array" ref="M458">_xlfn.IFS(OR(ISBLANK(StartDateMonth),ISBLANK(StartDateYear)),"",AND(A458&gt;NumberOfPlots,ISBLANK(INDEX(PlotData,MATCH($A458,PlotNumber,0),MATCH(B$3,PlotTitles,0)))),"",ISBLANK(INDEX(PlotData,MATCH($A458,PlotNumber,0),MATCH(I$3,PlotTitles,0))),"",CompletionMonth="","",(DATEVALUE(INDEX(PlotData,MATCH($A458,PlotNumber,0),MATCH(I$3,PlotTitles,0))&amp;INDEX(PlotData,MATCH($A458,PlotNumber,0),MATCH(J$3,PlotTitles,0))))&gt;(DATEVALUE(CompletionMonth&amp;CompletionYear)),$AB$16,TRUE,"")</f>
        <v/>
      </c>
      <c r="N458" s="104" t="str" cm="1">
        <f t="array" ref="N458">_xlfn.IFS(AND(A458&gt;NumberOfPlots,ISBLANK(INDEX(PlotData,MATCH($A458,PlotNumber,0),MATCH(B$3,PlotTitles,0)))),"",ISBLANK(INDEX(PlotData,MATCH($A458,PlotNumber,0),MATCH(N$3,PlotTitles,0))),$AB$17,TRUE,"")</f>
        <v/>
      </c>
      <c r="O458" s="104" t="str" cm="1">
        <f t="array" ref="O458">_xlfn.IFS(AND(A458&gt;NumberOfPlots,ISBLANK(INDEX(PlotData,MATCH($A458,PlotNumber,0),MATCH(B$3,PlotTitles,0)))),"",ISBLANK(INDEX(PlotData,MATCH($A458,PlotNumber,0),MATCH(O$3,PlotTitles,0))),$AB$18,TRUE,"")</f>
        <v/>
      </c>
      <c r="P458" s="182" t="str">
        <f t="shared" ca="1" si="22"/>
        <v/>
      </c>
      <c r="Q458" s="104" t="str" cm="1">
        <f t="array" ref="Q458">_xlfn.IFS(AND(A458&gt;NumberOfPlots,ISBLANK(INDEX(PlotData,MATCH($A458,PlotNumber,0),MATCH(B$3,PlotTitles,0)))),"",ISBLANK(INDEX(PlotData,MATCH($A458,PlotNumber,0),MATCH(N$3,PlotTitles,0))),"",(DATEVALUE(INDEX(PlotData,MATCH($A458,PlotNumber,0),MATCH(N$3,PlotTitles,0))&amp;INDEX(PlotData,MATCH($A458,PlotNumber,0),MATCH(O$3,PlotTitles,0))))&lt;(DATEVALUE(INDEX(PlotData,MATCH($A458,PlotNumber,0),MATCH(I$3,PlotTitles,0))&amp;INDEX(PlotData,MATCH($A458,PlotNumber,0),MATCH(J$3,PlotTitles,0)))),$AB$20,TRUE,"")</f>
        <v/>
      </c>
      <c r="R458" s="104" t="str" cm="1">
        <f t="array" ref="R458">_xlfn.IFS(OR(ISBLANK(StartDateMonth),ISBLANK(StartDateYear)),"",AND(A458&gt;NumberOfPlots,ISBLANK(INDEX(PlotData,MATCH($A458,PlotNumber,0),MATCH(B$3,PlotTitles,0)))),"",ISBLANK(INDEX(PlotData,MATCH($A458,PlotNumber,0),MATCH(N$3,PlotTitles,0))),"",CompletionMonth="","",(DATEVALUE(INDEX(PlotData,MATCH($A458,PlotNumber,0),MATCH(N$3,PlotTitles,0))&amp;INDEX(PlotData,MATCH($A458,PlotNumber,0),MATCH(O$3,PlotTitles,0))))&gt;(DATEVALUE(CompletionMonth&amp;CompletionYear)),$AB$21,TRUE,"")</f>
        <v/>
      </c>
      <c r="S458" s="104" t="str" cm="1">
        <f t="array" ref="S458">_xlfn.IFS(AND(A458&gt;NumberOfPlots,ISBLANK(INDEX(PlotData,MATCH($A458,PlotNumber,0),MATCH(B$3,PlotTitles,0)))),"",OR(AND(INDEX(PlotData,MATCH($A458,PlotNumber,0),MATCH("Tenure",PlotTitles,0))="Open market housing",INDEX(PlotData,MATCH($A458,PlotNumber,0),MATCH("Tenure detail",PlotTitles,0))="Private rented sector"),INDEX(PlotData,MATCH($A458,PlotNumber,0),MATCH("Tenure",PlotTitles,0))="Affordable rent"),"",ISNUMBER(INDEX(PlotData,MATCH($A458,PlotNumber,0),MATCH(S$3,PlotTitles,0)))=FALSE, $AB$22,TRUE,"")</f>
        <v/>
      </c>
      <c r="T458" s="104" t="str" cm="1">
        <f t="array" ref="T458">_xlfn.IFS(AND(A458&gt;NumberOfPlots,ISBLANK(INDEX(PlotData,MATCH($A458,PlotNumber,0),MATCH(B$3,PlotTitles,0)))),"",OR(AND(INDEX(PlotData,MATCH($A458,PlotNumber,0),MATCH("Tenure",PlotTitles,0))="Open market housing",INDEX(PlotData,MATCH($A458,PlotNumber,0),MATCH("Tenure detail",PlotTitles,0))="Private rented sector"),INDEX(PlotData,MATCH($A458,PlotNumber,0),MATCH("Tenure",PlotTitles,0))="Affordable rent"),"",INDEX(PlotData,MATCH($A458,PlotNumber,0),MATCH(S$3,PlotTitles,0))&lt;10000, $AB$23,TRUE,"")</f>
        <v/>
      </c>
      <c r="U458" s="104" t="str" cm="1">
        <f t="array" ref="U458">_xlfn.IFS(AND(A458&gt;NumberOfPlots,ISBLANK(INDEX(PlotData,MATCH($A458,PlotNumber,0),MATCH(B$3,PlotTitles,0)))),"",NOT(OR(AND(INDEX(PlotData,MATCH($A458,PlotNumber,0),MATCH("Tenure",PlotTitles,0))="Open market housing",INDEX(PlotData,MATCH($A458,PlotNumber,0),MATCH("Tenure detail",PlotTitles,0))="Private rented sector"),INDEX(PlotData,MATCH($A458,PlotNumber,0),MATCH("Tenure",PlotTitles,0))="Affordable rent")),"",NOT(INDEX(PlotData,MATCH($A458,PlotNumber,0),MATCH(S$3,PlotTitles,0))=0), $AB$24,TRUE,"")</f>
        <v/>
      </c>
      <c r="V458" s="114" t="str" cm="1">
        <f t="array" aca="1" ref="V458" ca="1">_xlfn.IFS(ISBLANK(NumberOfPlots),"Enter the number of homes on the 1_SetUp sheet",AND(A458&gt;NumberOfPlots,ISBLANK(INDEX(PlotData,MATCH($A458,PlotNumber,0),MATCH(B$3,PlotTitles,0)))),"No error",NOT(B458=""),B458,NOT(C458=""),C458,NOT(D458=""),D458,NOT(E458=""),E458,NOT(F458=""),F458,NOT(G458=""),G458,NOT(H458=""),H458,NOT(I458=""),I458,NOT(J458=""),J458,NOT(K458=""),K458,NOT(L458=""),L458,NOT(M458=""),M458,NOT(N458=""),N458,NOT(O458=""),O458,NOT(P458=""),P458,NOT(Q458=""),Q458,NOT(R458=""),R458,NOT(S458=""),S458,NOT(T458=""),T458,NOT(U458=""),U458,TRUE,"No error")</f>
        <v>Enter the number of homes on the 1_SetUp sheet</v>
      </c>
      <c r="W458" s="114" t="str">
        <f t="shared" ca="1" si="23"/>
        <v xml:space="preserve">The Borrower has not addressed the following error messages for Home ID 454: </v>
      </c>
    </row>
    <row r="459" spans="1:23">
      <c r="A459" s="123">
        <v>455</v>
      </c>
      <c r="B459" s="104" t="str" cm="1">
        <f t="array" ref="B459">_xlfn.IFS(AND(A459&gt;NumberOfPlots,ISBLANK(INDEX(PlotData,MATCH($A459,PlotNumber,0),MATCH(B$3,PlotTitles,0)))),"",ISNUMBER(INDEX(PlotData,MATCH($A459,PlotNumber,0),MATCH(B$3,PlotTitles,0)))=FALSE, $AB$5,TRUE,"")</f>
        <v/>
      </c>
      <c r="C459" s="104" t="str" cm="1">
        <f t="array" ref="C459">_xlfn.IFS(AND(A459&gt;NumberOfPlots,ISBLANK(INDEX(PlotData,MATCH($A459,PlotNumber,0),MATCH(B$3,PlotTitles,0)))),"",ISBLANK(INDEX(PlotData,MATCH($A459,PlotNumber,0),MATCH(C$3,PlotTitles,0))),$AB$6,TRUE,"")</f>
        <v/>
      </c>
      <c r="D459" s="104" t="str" cm="1">
        <f t="array" ref="D459">_xlfn.IFS(AND(A459&gt;NumberOfPlots,ISBLANK(INDEX(PlotData,MATCH($A459,PlotNumber,0),MATCH(B$3,PlotTitles,0)))),"",ISBLANK(INDEX(PlotData,MATCH($A459,PlotNumber,0),MATCH(D$3,PlotTitles,0))),$AB$7,TRUE,"")</f>
        <v/>
      </c>
      <c r="E459" s="104" t="str" cm="1">
        <f t="array" ref="E459">_xlfn.IFS(AND(A459&gt;NumberOfPlots,ISBLANK(INDEX(PlotData,MATCH($A459,PlotNumber,0),MATCH(B$3,PlotTitles,0)))),"",ISBLANK(INDEX(PlotData,MATCH($A459,PlotNumber,0),MATCH(E$3,PlotTitles,0))),$AB$8,TRUE,"")</f>
        <v/>
      </c>
      <c r="F459" s="104" t="str" cm="1">
        <f t="array" ref="F459">_xlfn.IFS(AND(A459&gt;NumberOfPlots,ISBLANK(INDEX(PlotData,MATCH($A459,PlotNumber,0),MATCH(B$3,PlotTitles,0)))),"",ISBLANK(INDEX(PlotData,MATCH($A459,PlotNumber,0),MATCH(F$3,PlotTitles,0))),$AB$9,TRUE,"")</f>
        <v/>
      </c>
      <c r="G459" s="104" t="str" cm="1">
        <f t="array" ref="G459">_xlfn.IFS(AND(A459&gt;NumberOfPlots,ISBLANK(INDEX(PlotData,MATCH($A459,PlotNumber,0),MATCH(B$3,PlotTitles,0)))),"",ISBLANK(INDEX(PlotData,MATCH($A459,PlotNumber,0),MATCH(G$3,PlotTitles,0))),$AB$10,TRUE,"")</f>
        <v/>
      </c>
      <c r="H459" s="104" t="str" cm="1">
        <f t="array" ref="H459">_xlfn.IFS(AND(A459&gt;NumberOfPlots,ISBLANK(INDEX(PlotData,MATCH($A459,PlotNumber,0),MATCH(B$3,PlotTitles,0)))),"",AND(ISBLANK(INDEX(PlotData,MATCH($A459,PlotNumber,0),MATCH(H$3,PlotTitles,0)))=FALSE,INDEX(PlotData,MATCH($A459,PlotNumber,0),MATCH(H$3,PlotTitles,0))&lt;500), $AB$11,TRUE,"")</f>
        <v/>
      </c>
      <c r="I459" s="104" t="str" cm="1">
        <f t="array" ref="I459">_xlfn.IFS(AND(A459&gt;NumberOfPlots,ISBLANK(INDEX(PlotData,MATCH($A459,PlotNumber,0),MATCH(B$3,PlotTitles,0)))),"",ISBLANK(INDEX(PlotData,MATCH($A459,PlotNumber,0),MATCH(I$3,PlotTitles,0))),$AB$12,TRUE,"")</f>
        <v/>
      </c>
      <c r="J459" s="104" t="str" cm="1">
        <f t="array" ref="J459">_xlfn.IFS(AND(A459&gt;NumberOfPlots,ISBLANK(INDEX(PlotData,MATCH($A459,PlotNumber,0),MATCH(B$3,PlotTitles,0)))),"",ISBLANK(INDEX(PlotData,MATCH($A459,PlotNumber,0),MATCH(J$3,PlotTitles,0))),$AB$13,TRUE,"")</f>
        <v/>
      </c>
      <c r="K459" s="182" t="str">
        <f t="shared" ca="1" si="21"/>
        <v/>
      </c>
      <c r="L459" s="104" t="str" cm="1">
        <f t="array" ref="L459">_xlfn.IFS(OR(ISBLANK(StartDateMonth),ISBLANK(StartDateYear)),"",AND(A459&gt;NumberOfPlots,ISBLANK(INDEX(PlotData,MATCH($A459,PlotNumber,0),MATCH(B$3,PlotTitles,0)))),"",ISBLANK(INDEX(PlotData,MATCH($A459,PlotNumber,0),MATCH(I$3,PlotTitles,0))),"",(DATEVALUE(INDEX(PlotData,MATCH($A459,PlotNumber,0),MATCH(I$3,PlotTitles,0))&amp;INDEX(PlotData,MATCH($A459,PlotNumber,0),MATCH(J$3,PlotTitles,0))))&lt;DATEVALUE(StartDateMonth&amp;StartDateYear),$AB$15,TRUE,"")</f>
        <v/>
      </c>
      <c r="M459" s="104" t="str" cm="1">
        <f t="array" ref="M459">_xlfn.IFS(OR(ISBLANK(StartDateMonth),ISBLANK(StartDateYear)),"",AND(A459&gt;NumberOfPlots,ISBLANK(INDEX(PlotData,MATCH($A459,PlotNumber,0),MATCH(B$3,PlotTitles,0)))),"",ISBLANK(INDEX(PlotData,MATCH($A459,PlotNumber,0),MATCH(I$3,PlotTitles,0))),"",CompletionMonth="","",(DATEVALUE(INDEX(PlotData,MATCH($A459,PlotNumber,0),MATCH(I$3,PlotTitles,0))&amp;INDEX(PlotData,MATCH($A459,PlotNumber,0),MATCH(J$3,PlotTitles,0))))&gt;(DATEVALUE(CompletionMonth&amp;CompletionYear)),$AB$16,TRUE,"")</f>
        <v/>
      </c>
      <c r="N459" s="104" t="str" cm="1">
        <f t="array" ref="N459">_xlfn.IFS(AND(A459&gt;NumberOfPlots,ISBLANK(INDEX(PlotData,MATCH($A459,PlotNumber,0),MATCH(B$3,PlotTitles,0)))),"",ISBLANK(INDEX(PlotData,MATCH($A459,PlotNumber,0),MATCH(N$3,PlotTitles,0))),$AB$17,TRUE,"")</f>
        <v/>
      </c>
      <c r="O459" s="104" t="str" cm="1">
        <f t="array" ref="O459">_xlfn.IFS(AND(A459&gt;NumberOfPlots,ISBLANK(INDEX(PlotData,MATCH($A459,PlotNumber,0),MATCH(B$3,PlotTitles,0)))),"",ISBLANK(INDEX(PlotData,MATCH($A459,PlotNumber,0),MATCH(O$3,PlotTitles,0))),$AB$18,TRUE,"")</f>
        <v/>
      </c>
      <c r="P459" s="182" t="str">
        <f t="shared" ca="1" si="22"/>
        <v/>
      </c>
      <c r="Q459" s="104" t="str" cm="1">
        <f t="array" ref="Q459">_xlfn.IFS(AND(A459&gt;NumberOfPlots,ISBLANK(INDEX(PlotData,MATCH($A459,PlotNumber,0),MATCH(B$3,PlotTitles,0)))),"",ISBLANK(INDEX(PlotData,MATCH($A459,PlotNumber,0),MATCH(N$3,PlotTitles,0))),"",(DATEVALUE(INDEX(PlotData,MATCH($A459,PlotNumber,0),MATCH(N$3,PlotTitles,0))&amp;INDEX(PlotData,MATCH($A459,PlotNumber,0),MATCH(O$3,PlotTitles,0))))&lt;(DATEVALUE(INDEX(PlotData,MATCH($A459,PlotNumber,0),MATCH(I$3,PlotTitles,0))&amp;INDEX(PlotData,MATCH($A459,PlotNumber,0),MATCH(J$3,PlotTitles,0)))),$AB$20,TRUE,"")</f>
        <v/>
      </c>
      <c r="R459" s="104" t="str" cm="1">
        <f t="array" ref="R459">_xlfn.IFS(OR(ISBLANK(StartDateMonth),ISBLANK(StartDateYear)),"",AND(A459&gt;NumberOfPlots,ISBLANK(INDEX(PlotData,MATCH($A459,PlotNumber,0),MATCH(B$3,PlotTitles,0)))),"",ISBLANK(INDEX(PlotData,MATCH($A459,PlotNumber,0),MATCH(N$3,PlotTitles,0))),"",CompletionMonth="","",(DATEVALUE(INDEX(PlotData,MATCH($A459,PlotNumber,0),MATCH(N$3,PlotTitles,0))&amp;INDEX(PlotData,MATCH($A459,PlotNumber,0),MATCH(O$3,PlotTitles,0))))&gt;(DATEVALUE(CompletionMonth&amp;CompletionYear)),$AB$21,TRUE,"")</f>
        <v/>
      </c>
      <c r="S459" s="104" t="str" cm="1">
        <f t="array" ref="S459">_xlfn.IFS(AND(A459&gt;NumberOfPlots,ISBLANK(INDEX(PlotData,MATCH($A459,PlotNumber,0),MATCH(B$3,PlotTitles,0)))),"",OR(AND(INDEX(PlotData,MATCH($A459,PlotNumber,0),MATCH("Tenure",PlotTitles,0))="Open market housing",INDEX(PlotData,MATCH($A459,PlotNumber,0),MATCH("Tenure detail",PlotTitles,0))="Private rented sector"),INDEX(PlotData,MATCH($A459,PlotNumber,0),MATCH("Tenure",PlotTitles,0))="Affordable rent"),"",ISNUMBER(INDEX(PlotData,MATCH($A459,PlotNumber,0),MATCH(S$3,PlotTitles,0)))=FALSE, $AB$22,TRUE,"")</f>
        <v/>
      </c>
      <c r="T459" s="104" t="str" cm="1">
        <f t="array" ref="T459">_xlfn.IFS(AND(A459&gt;NumberOfPlots,ISBLANK(INDEX(PlotData,MATCH($A459,PlotNumber,0),MATCH(B$3,PlotTitles,0)))),"",OR(AND(INDEX(PlotData,MATCH($A459,PlotNumber,0),MATCH("Tenure",PlotTitles,0))="Open market housing",INDEX(PlotData,MATCH($A459,PlotNumber,0),MATCH("Tenure detail",PlotTitles,0))="Private rented sector"),INDEX(PlotData,MATCH($A459,PlotNumber,0),MATCH("Tenure",PlotTitles,0))="Affordable rent"),"",INDEX(PlotData,MATCH($A459,PlotNumber,0),MATCH(S$3,PlotTitles,0))&lt;10000, $AB$23,TRUE,"")</f>
        <v/>
      </c>
      <c r="U459" s="104" t="str" cm="1">
        <f t="array" ref="U459">_xlfn.IFS(AND(A459&gt;NumberOfPlots,ISBLANK(INDEX(PlotData,MATCH($A459,PlotNumber,0),MATCH(B$3,PlotTitles,0)))),"",NOT(OR(AND(INDEX(PlotData,MATCH($A459,PlotNumber,0),MATCH("Tenure",PlotTitles,0))="Open market housing",INDEX(PlotData,MATCH($A459,PlotNumber,0),MATCH("Tenure detail",PlotTitles,0))="Private rented sector"),INDEX(PlotData,MATCH($A459,PlotNumber,0),MATCH("Tenure",PlotTitles,0))="Affordable rent")),"",NOT(INDEX(PlotData,MATCH($A459,PlotNumber,0),MATCH(S$3,PlotTitles,0))=0), $AB$24,TRUE,"")</f>
        <v/>
      </c>
      <c r="V459" s="114" t="str" cm="1">
        <f t="array" aca="1" ref="V459" ca="1">_xlfn.IFS(ISBLANK(NumberOfPlots),"Enter the number of homes on the 1_SetUp sheet",AND(A459&gt;NumberOfPlots,ISBLANK(INDEX(PlotData,MATCH($A459,PlotNumber,0),MATCH(B$3,PlotTitles,0)))),"No error",NOT(B459=""),B459,NOT(C459=""),C459,NOT(D459=""),D459,NOT(E459=""),E459,NOT(F459=""),F459,NOT(G459=""),G459,NOT(H459=""),H459,NOT(I459=""),I459,NOT(J459=""),J459,NOT(K459=""),K459,NOT(L459=""),L459,NOT(M459=""),M459,NOT(N459=""),N459,NOT(O459=""),O459,NOT(P459=""),P459,NOT(Q459=""),Q459,NOT(R459=""),R459,NOT(S459=""),S459,NOT(T459=""),T459,NOT(U459=""),U459,TRUE,"No error")</f>
        <v>Enter the number of homes on the 1_SetUp sheet</v>
      </c>
      <c r="W459" s="114" t="str">
        <f t="shared" ca="1" si="23"/>
        <v xml:space="preserve">The Borrower has not addressed the following error messages for Home ID 455: </v>
      </c>
    </row>
    <row r="460" spans="1:23">
      <c r="A460" s="123">
        <v>456</v>
      </c>
      <c r="B460" s="104" t="str" cm="1">
        <f t="array" ref="B460">_xlfn.IFS(AND(A460&gt;NumberOfPlots,ISBLANK(INDEX(PlotData,MATCH($A460,PlotNumber,0),MATCH(B$3,PlotTitles,0)))),"",ISNUMBER(INDEX(PlotData,MATCH($A460,PlotNumber,0),MATCH(B$3,PlotTitles,0)))=FALSE, $AB$5,TRUE,"")</f>
        <v/>
      </c>
      <c r="C460" s="104" t="str" cm="1">
        <f t="array" ref="C460">_xlfn.IFS(AND(A460&gt;NumberOfPlots,ISBLANK(INDEX(PlotData,MATCH($A460,PlotNumber,0),MATCH(B$3,PlotTitles,0)))),"",ISBLANK(INDEX(PlotData,MATCH($A460,PlotNumber,0),MATCH(C$3,PlotTitles,0))),$AB$6,TRUE,"")</f>
        <v/>
      </c>
      <c r="D460" s="104" t="str" cm="1">
        <f t="array" ref="D460">_xlfn.IFS(AND(A460&gt;NumberOfPlots,ISBLANK(INDEX(PlotData,MATCH($A460,PlotNumber,0),MATCH(B$3,PlotTitles,0)))),"",ISBLANK(INDEX(PlotData,MATCH($A460,PlotNumber,0),MATCH(D$3,PlotTitles,0))),$AB$7,TRUE,"")</f>
        <v/>
      </c>
      <c r="E460" s="104" t="str" cm="1">
        <f t="array" ref="E460">_xlfn.IFS(AND(A460&gt;NumberOfPlots,ISBLANK(INDEX(PlotData,MATCH($A460,PlotNumber,0),MATCH(B$3,PlotTitles,0)))),"",ISBLANK(INDEX(PlotData,MATCH($A460,PlotNumber,0),MATCH(E$3,PlotTitles,0))),$AB$8,TRUE,"")</f>
        <v/>
      </c>
      <c r="F460" s="104" t="str" cm="1">
        <f t="array" ref="F460">_xlfn.IFS(AND(A460&gt;NumberOfPlots,ISBLANK(INDEX(PlotData,MATCH($A460,PlotNumber,0),MATCH(B$3,PlotTitles,0)))),"",ISBLANK(INDEX(PlotData,MATCH($A460,PlotNumber,0),MATCH(F$3,PlotTitles,0))),$AB$9,TRUE,"")</f>
        <v/>
      </c>
      <c r="G460" s="104" t="str" cm="1">
        <f t="array" ref="G460">_xlfn.IFS(AND(A460&gt;NumberOfPlots,ISBLANK(INDEX(PlotData,MATCH($A460,PlotNumber,0),MATCH(B$3,PlotTitles,0)))),"",ISBLANK(INDEX(PlotData,MATCH($A460,PlotNumber,0),MATCH(G$3,PlotTitles,0))),$AB$10,TRUE,"")</f>
        <v/>
      </c>
      <c r="H460" s="104" t="str" cm="1">
        <f t="array" ref="H460">_xlfn.IFS(AND(A460&gt;NumberOfPlots,ISBLANK(INDEX(PlotData,MATCH($A460,PlotNumber,0),MATCH(B$3,PlotTitles,0)))),"",AND(ISBLANK(INDEX(PlotData,MATCH($A460,PlotNumber,0),MATCH(H$3,PlotTitles,0)))=FALSE,INDEX(PlotData,MATCH($A460,PlotNumber,0),MATCH(H$3,PlotTitles,0))&lt;500), $AB$11,TRUE,"")</f>
        <v/>
      </c>
      <c r="I460" s="104" t="str" cm="1">
        <f t="array" ref="I460">_xlfn.IFS(AND(A460&gt;NumberOfPlots,ISBLANK(INDEX(PlotData,MATCH($A460,PlotNumber,0),MATCH(B$3,PlotTitles,0)))),"",ISBLANK(INDEX(PlotData,MATCH($A460,PlotNumber,0),MATCH(I$3,PlotTitles,0))),$AB$12,TRUE,"")</f>
        <v/>
      </c>
      <c r="J460" s="104" t="str" cm="1">
        <f t="array" ref="J460">_xlfn.IFS(AND(A460&gt;NumberOfPlots,ISBLANK(INDEX(PlotData,MATCH($A460,PlotNumber,0),MATCH(B$3,PlotTitles,0)))),"",ISBLANK(INDEX(PlotData,MATCH($A460,PlotNumber,0),MATCH(J$3,PlotTitles,0))),$AB$13,TRUE,"")</f>
        <v/>
      </c>
      <c r="K460" s="182" t="str">
        <f t="shared" ca="1" si="21"/>
        <v/>
      </c>
      <c r="L460" s="104" t="str" cm="1">
        <f t="array" ref="L460">_xlfn.IFS(OR(ISBLANK(StartDateMonth),ISBLANK(StartDateYear)),"",AND(A460&gt;NumberOfPlots,ISBLANK(INDEX(PlotData,MATCH($A460,PlotNumber,0),MATCH(B$3,PlotTitles,0)))),"",ISBLANK(INDEX(PlotData,MATCH($A460,PlotNumber,0),MATCH(I$3,PlotTitles,0))),"",(DATEVALUE(INDEX(PlotData,MATCH($A460,PlotNumber,0),MATCH(I$3,PlotTitles,0))&amp;INDEX(PlotData,MATCH($A460,PlotNumber,0),MATCH(J$3,PlotTitles,0))))&lt;DATEVALUE(StartDateMonth&amp;StartDateYear),$AB$15,TRUE,"")</f>
        <v/>
      </c>
      <c r="M460" s="104" t="str" cm="1">
        <f t="array" ref="M460">_xlfn.IFS(OR(ISBLANK(StartDateMonth),ISBLANK(StartDateYear)),"",AND(A460&gt;NumberOfPlots,ISBLANK(INDEX(PlotData,MATCH($A460,PlotNumber,0),MATCH(B$3,PlotTitles,0)))),"",ISBLANK(INDEX(PlotData,MATCH($A460,PlotNumber,0),MATCH(I$3,PlotTitles,0))),"",CompletionMonth="","",(DATEVALUE(INDEX(PlotData,MATCH($A460,PlotNumber,0),MATCH(I$3,PlotTitles,0))&amp;INDEX(PlotData,MATCH($A460,PlotNumber,0),MATCH(J$3,PlotTitles,0))))&gt;(DATEVALUE(CompletionMonth&amp;CompletionYear)),$AB$16,TRUE,"")</f>
        <v/>
      </c>
      <c r="N460" s="104" t="str" cm="1">
        <f t="array" ref="N460">_xlfn.IFS(AND(A460&gt;NumberOfPlots,ISBLANK(INDEX(PlotData,MATCH($A460,PlotNumber,0),MATCH(B$3,PlotTitles,0)))),"",ISBLANK(INDEX(PlotData,MATCH($A460,PlotNumber,0),MATCH(N$3,PlotTitles,0))),$AB$17,TRUE,"")</f>
        <v/>
      </c>
      <c r="O460" s="104" t="str" cm="1">
        <f t="array" ref="O460">_xlfn.IFS(AND(A460&gt;NumberOfPlots,ISBLANK(INDEX(PlotData,MATCH($A460,PlotNumber,0),MATCH(B$3,PlotTitles,0)))),"",ISBLANK(INDEX(PlotData,MATCH($A460,PlotNumber,0),MATCH(O$3,PlotTitles,0))),$AB$18,TRUE,"")</f>
        <v/>
      </c>
      <c r="P460" s="182" t="str">
        <f t="shared" ca="1" si="22"/>
        <v/>
      </c>
      <c r="Q460" s="104" t="str" cm="1">
        <f t="array" ref="Q460">_xlfn.IFS(AND(A460&gt;NumberOfPlots,ISBLANK(INDEX(PlotData,MATCH($A460,PlotNumber,0),MATCH(B$3,PlotTitles,0)))),"",ISBLANK(INDEX(PlotData,MATCH($A460,PlotNumber,0),MATCH(N$3,PlotTitles,0))),"",(DATEVALUE(INDEX(PlotData,MATCH($A460,PlotNumber,0),MATCH(N$3,PlotTitles,0))&amp;INDEX(PlotData,MATCH($A460,PlotNumber,0),MATCH(O$3,PlotTitles,0))))&lt;(DATEVALUE(INDEX(PlotData,MATCH($A460,PlotNumber,0),MATCH(I$3,PlotTitles,0))&amp;INDEX(PlotData,MATCH($A460,PlotNumber,0),MATCH(J$3,PlotTitles,0)))),$AB$20,TRUE,"")</f>
        <v/>
      </c>
      <c r="R460" s="104" t="str" cm="1">
        <f t="array" ref="R460">_xlfn.IFS(OR(ISBLANK(StartDateMonth),ISBLANK(StartDateYear)),"",AND(A460&gt;NumberOfPlots,ISBLANK(INDEX(PlotData,MATCH($A460,PlotNumber,0),MATCH(B$3,PlotTitles,0)))),"",ISBLANK(INDEX(PlotData,MATCH($A460,PlotNumber,0),MATCH(N$3,PlotTitles,0))),"",CompletionMonth="","",(DATEVALUE(INDEX(PlotData,MATCH($A460,PlotNumber,0),MATCH(N$3,PlotTitles,0))&amp;INDEX(PlotData,MATCH($A460,PlotNumber,0),MATCH(O$3,PlotTitles,0))))&gt;(DATEVALUE(CompletionMonth&amp;CompletionYear)),$AB$21,TRUE,"")</f>
        <v/>
      </c>
      <c r="S460" s="104" t="str" cm="1">
        <f t="array" ref="S460">_xlfn.IFS(AND(A460&gt;NumberOfPlots,ISBLANK(INDEX(PlotData,MATCH($A460,PlotNumber,0),MATCH(B$3,PlotTitles,0)))),"",OR(AND(INDEX(PlotData,MATCH($A460,PlotNumber,0),MATCH("Tenure",PlotTitles,0))="Open market housing",INDEX(PlotData,MATCH($A460,PlotNumber,0),MATCH("Tenure detail",PlotTitles,0))="Private rented sector"),INDEX(PlotData,MATCH($A460,PlotNumber,0),MATCH("Tenure",PlotTitles,0))="Affordable rent"),"",ISNUMBER(INDEX(PlotData,MATCH($A460,PlotNumber,0),MATCH(S$3,PlotTitles,0)))=FALSE, $AB$22,TRUE,"")</f>
        <v/>
      </c>
      <c r="T460" s="104" t="str" cm="1">
        <f t="array" ref="T460">_xlfn.IFS(AND(A460&gt;NumberOfPlots,ISBLANK(INDEX(PlotData,MATCH($A460,PlotNumber,0),MATCH(B$3,PlotTitles,0)))),"",OR(AND(INDEX(PlotData,MATCH($A460,PlotNumber,0),MATCH("Tenure",PlotTitles,0))="Open market housing",INDEX(PlotData,MATCH($A460,PlotNumber,0),MATCH("Tenure detail",PlotTitles,0))="Private rented sector"),INDEX(PlotData,MATCH($A460,PlotNumber,0),MATCH("Tenure",PlotTitles,0))="Affordable rent"),"",INDEX(PlotData,MATCH($A460,PlotNumber,0),MATCH(S$3,PlotTitles,0))&lt;10000, $AB$23,TRUE,"")</f>
        <v/>
      </c>
      <c r="U460" s="104" t="str" cm="1">
        <f t="array" ref="U460">_xlfn.IFS(AND(A460&gt;NumberOfPlots,ISBLANK(INDEX(PlotData,MATCH($A460,PlotNumber,0),MATCH(B$3,PlotTitles,0)))),"",NOT(OR(AND(INDEX(PlotData,MATCH($A460,PlotNumber,0),MATCH("Tenure",PlotTitles,0))="Open market housing",INDEX(PlotData,MATCH($A460,PlotNumber,0),MATCH("Tenure detail",PlotTitles,0))="Private rented sector"),INDEX(PlotData,MATCH($A460,PlotNumber,0),MATCH("Tenure",PlotTitles,0))="Affordable rent")),"",NOT(INDEX(PlotData,MATCH($A460,PlotNumber,0),MATCH(S$3,PlotTitles,0))=0), $AB$24,TRUE,"")</f>
        <v/>
      </c>
      <c r="V460" s="114" t="str" cm="1">
        <f t="array" aca="1" ref="V460" ca="1">_xlfn.IFS(ISBLANK(NumberOfPlots),"Enter the number of homes on the 1_SetUp sheet",AND(A460&gt;NumberOfPlots,ISBLANK(INDEX(PlotData,MATCH($A460,PlotNumber,0),MATCH(B$3,PlotTitles,0)))),"No error",NOT(B460=""),B460,NOT(C460=""),C460,NOT(D460=""),D460,NOT(E460=""),E460,NOT(F460=""),F460,NOT(G460=""),G460,NOT(H460=""),H460,NOT(I460=""),I460,NOT(J460=""),J460,NOT(K460=""),K460,NOT(L460=""),L460,NOT(M460=""),M460,NOT(N460=""),N460,NOT(O460=""),O460,NOT(P460=""),P460,NOT(Q460=""),Q460,NOT(R460=""),R460,NOT(S460=""),S460,NOT(T460=""),T460,NOT(U460=""),U460,TRUE,"No error")</f>
        <v>Enter the number of homes on the 1_SetUp sheet</v>
      </c>
      <c r="W460" s="114" t="str">
        <f t="shared" ca="1" si="23"/>
        <v xml:space="preserve">The Borrower has not addressed the following error messages for Home ID 456: </v>
      </c>
    </row>
    <row r="461" spans="1:23">
      <c r="A461" s="123">
        <v>457</v>
      </c>
      <c r="B461" s="104" t="str" cm="1">
        <f t="array" ref="B461">_xlfn.IFS(AND(A461&gt;NumberOfPlots,ISBLANK(INDEX(PlotData,MATCH($A461,PlotNumber,0),MATCH(B$3,PlotTitles,0)))),"",ISNUMBER(INDEX(PlotData,MATCH($A461,PlotNumber,0),MATCH(B$3,PlotTitles,0)))=FALSE, $AB$5,TRUE,"")</f>
        <v/>
      </c>
      <c r="C461" s="104" t="str" cm="1">
        <f t="array" ref="C461">_xlfn.IFS(AND(A461&gt;NumberOfPlots,ISBLANK(INDEX(PlotData,MATCH($A461,PlotNumber,0),MATCH(B$3,PlotTitles,0)))),"",ISBLANK(INDEX(PlotData,MATCH($A461,PlotNumber,0),MATCH(C$3,PlotTitles,0))),$AB$6,TRUE,"")</f>
        <v/>
      </c>
      <c r="D461" s="104" t="str" cm="1">
        <f t="array" ref="D461">_xlfn.IFS(AND(A461&gt;NumberOfPlots,ISBLANK(INDEX(PlotData,MATCH($A461,PlotNumber,0),MATCH(B$3,PlotTitles,0)))),"",ISBLANK(INDEX(PlotData,MATCH($A461,PlotNumber,0),MATCH(D$3,PlotTitles,0))),$AB$7,TRUE,"")</f>
        <v/>
      </c>
      <c r="E461" s="104" t="str" cm="1">
        <f t="array" ref="E461">_xlfn.IFS(AND(A461&gt;NumberOfPlots,ISBLANK(INDEX(PlotData,MATCH($A461,PlotNumber,0),MATCH(B$3,PlotTitles,0)))),"",ISBLANK(INDEX(PlotData,MATCH($A461,PlotNumber,0),MATCH(E$3,PlotTitles,0))),$AB$8,TRUE,"")</f>
        <v/>
      </c>
      <c r="F461" s="104" t="str" cm="1">
        <f t="array" ref="F461">_xlfn.IFS(AND(A461&gt;NumberOfPlots,ISBLANK(INDEX(PlotData,MATCH($A461,PlotNumber,0),MATCH(B$3,PlotTitles,0)))),"",ISBLANK(INDEX(PlotData,MATCH($A461,PlotNumber,0),MATCH(F$3,PlotTitles,0))),$AB$9,TRUE,"")</f>
        <v/>
      </c>
      <c r="G461" s="104" t="str" cm="1">
        <f t="array" ref="G461">_xlfn.IFS(AND(A461&gt;NumberOfPlots,ISBLANK(INDEX(PlotData,MATCH($A461,PlotNumber,0),MATCH(B$3,PlotTitles,0)))),"",ISBLANK(INDEX(PlotData,MATCH($A461,PlotNumber,0),MATCH(G$3,PlotTitles,0))),$AB$10,TRUE,"")</f>
        <v/>
      </c>
      <c r="H461" s="104" t="str" cm="1">
        <f t="array" ref="H461">_xlfn.IFS(AND(A461&gt;NumberOfPlots,ISBLANK(INDEX(PlotData,MATCH($A461,PlotNumber,0),MATCH(B$3,PlotTitles,0)))),"",AND(ISBLANK(INDEX(PlotData,MATCH($A461,PlotNumber,0),MATCH(H$3,PlotTitles,0)))=FALSE,INDEX(PlotData,MATCH($A461,PlotNumber,0),MATCH(H$3,PlotTitles,0))&lt;500), $AB$11,TRUE,"")</f>
        <v/>
      </c>
      <c r="I461" s="104" t="str" cm="1">
        <f t="array" ref="I461">_xlfn.IFS(AND(A461&gt;NumberOfPlots,ISBLANK(INDEX(PlotData,MATCH($A461,PlotNumber,0),MATCH(B$3,PlotTitles,0)))),"",ISBLANK(INDEX(PlotData,MATCH($A461,PlotNumber,0),MATCH(I$3,PlotTitles,0))),$AB$12,TRUE,"")</f>
        <v/>
      </c>
      <c r="J461" s="104" t="str" cm="1">
        <f t="array" ref="J461">_xlfn.IFS(AND(A461&gt;NumberOfPlots,ISBLANK(INDEX(PlotData,MATCH($A461,PlotNumber,0),MATCH(B$3,PlotTitles,0)))),"",ISBLANK(INDEX(PlotData,MATCH($A461,PlotNumber,0),MATCH(J$3,PlotTitles,0))),$AB$13,TRUE,"")</f>
        <v/>
      </c>
      <c r="K461" s="182" t="str">
        <f t="shared" ca="1" si="21"/>
        <v/>
      </c>
      <c r="L461" s="104" t="str" cm="1">
        <f t="array" ref="L461">_xlfn.IFS(OR(ISBLANK(StartDateMonth),ISBLANK(StartDateYear)),"",AND(A461&gt;NumberOfPlots,ISBLANK(INDEX(PlotData,MATCH($A461,PlotNumber,0),MATCH(B$3,PlotTitles,0)))),"",ISBLANK(INDEX(PlotData,MATCH($A461,PlotNumber,0),MATCH(I$3,PlotTitles,0))),"",(DATEVALUE(INDEX(PlotData,MATCH($A461,PlotNumber,0),MATCH(I$3,PlotTitles,0))&amp;INDEX(PlotData,MATCH($A461,PlotNumber,0),MATCH(J$3,PlotTitles,0))))&lt;DATEVALUE(StartDateMonth&amp;StartDateYear),$AB$15,TRUE,"")</f>
        <v/>
      </c>
      <c r="M461" s="104" t="str" cm="1">
        <f t="array" ref="M461">_xlfn.IFS(OR(ISBLANK(StartDateMonth),ISBLANK(StartDateYear)),"",AND(A461&gt;NumberOfPlots,ISBLANK(INDEX(PlotData,MATCH($A461,PlotNumber,0),MATCH(B$3,PlotTitles,0)))),"",ISBLANK(INDEX(PlotData,MATCH($A461,PlotNumber,0),MATCH(I$3,PlotTitles,0))),"",CompletionMonth="","",(DATEVALUE(INDEX(PlotData,MATCH($A461,PlotNumber,0),MATCH(I$3,PlotTitles,0))&amp;INDEX(PlotData,MATCH($A461,PlotNumber,0),MATCH(J$3,PlotTitles,0))))&gt;(DATEVALUE(CompletionMonth&amp;CompletionYear)),$AB$16,TRUE,"")</f>
        <v/>
      </c>
      <c r="N461" s="104" t="str" cm="1">
        <f t="array" ref="N461">_xlfn.IFS(AND(A461&gt;NumberOfPlots,ISBLANK(INDEX(PlotData,MATCH($A461,PlotNumber,0),MATCH(B$3,PlotTitles,0)))),"",ISBLANK(INDEX(PlotData,MATCH($A461,PlotNumber,0),MATCH(N$3,PlotTitles,0))),$AB$17,TRUE,"")</f>
        <v/>
      </c>
      <c r="O461" s="104" t="str" cm="1">
        <f t="array" ref="O461">_xlfn.IFS(AND(A461&gt;NumberOfPlots,ISBLANK(INDEX(PlotData,MATCH($A461,PlotNumber,0),MATCH(B$3,PlotTitles,0)))),"",ISBLANK(INDEX(PlotData,MATCH($A461,PlotNumber,0),MATCH(O$3,PlotTitles,0))),$AB$18,TRUE,"")</f>
        <v/>
      </c>
      <c r="P461" s="182" t="str">
        <f t="shared" ca="1" si="22"/>
        <v/>
      </c>
      <c r="Q461" s="104" t="str" cm="1">
        <f t="array" ref="Q461">_xlfn.IFS(AND(A461&gt;NumberOfPlots,ISBLANK(INDEX(PlotData,MATCH($A461,PlotNumber,0),MATCH(B$3,PlotTitles,0)))),"",ISBLANK(INDEX(PlotData,MATCH($A461,PlotNumber,0),MATCH(N$3,PlotTitles,0))),"",(DATEVALUE(INDEX(PlotData,MATCH($A461,PlotNumber,0),MATCH(N$3,PlotTitles,0))&amp;INDEX(PlotData,MATCH($A461,PlotNumber,0),MATCH(O$3,PlotTitles,0))))&lt;(DATEVALUE(INDEX(PlotData,MATCH($A461,PlotNumber,0),MATCH(I$3,PlotTitles,0))&amp;INDEX(PlotData,MATCH($A461,PlotNumber,0),MATCH(J$3,PlotTitles,0)))),$AB$20,TRUE,"")</f>
        <v/>
      </c>
      <c r="R461" s="104" t="str" cm="1">
        <f t="array" ref="R461">_xlfn.IFS(OR(ISBLANK(StartDateMonth),ISBLANK(StartDateYear)),"",AND(A461&gt;NumberOfPlots,ISBLANK(INDEX(PlotData,MATCH($A461,PlotNumber,0),MATCH(B$3,PlotTitles,0)))),"",ISBLANK(INDEX(PlotData,MATCH($A461,PlotNumber,0),MATCH(N$3,PlotTitles,0))),"",CompletionMonth="","",(DATEVALUE(INDEX(PlotData,MATCH($A461,PlotNumber,0),MATCH(N$3,PlotTitles,0))&amp;INDEX(PlotData,MATCH($A461,PlotNumber,0),MATCH(O$3,PlotTitles,0))))&gt;(DATEVALUE(CompletionMonth&amp;CompletionYear)),$AB$21,TRUE,"")</f>
        <v/>
      </c>
      <c r="S461" s="104" t="str" cm="1">
        <f t="array" ref="S461">_xlfn.IFS(AND(A461&gt;NumberOfPlots,ISBLANK(INDEX(PlotData,MATCH($A461,PlotNumber,0),MATCH(B$3,PlotTitles,0)))),"",OR(AND(INDEX(PlotData,MATCH($A461,PlotNumber,0),MATCH("Tenure",PlotTitles,0))="Open market housing",INDEX(PlotData,MATCH($A461,PlotNumber,0),MATCH("Tenure detail",PlotTitles,0))="Private rented sector"),INDEX(PlotData,MATCH($A461,PlotNumber,0),MATCH("Tenure",PlotTitles,0))="Affordable rent"),"",ISNUMBER(INDEX(PlotData,MATCH($A461,PlotNumber,0),MATCH(S$3,PlotTitles,0)))=FALSE, $AB$22,TRUE,"")</f>
        <v/>
      </c>
      <c r="T461" s="104" t="str" cm="1">
        <f t="array" ref="T461">_xlfn.IFS(AND(A461&gt;NumberOfPlots,ISBLANK(INDEX(PlotData,MATCH($A461,PlotNumber,0),MATCH(B$3,PlotTitles,0)))),"",OR(AND(INDEX(PlotData,MATCH($A461,PlotNumber,0),MATCH("Tenure",PlotTitles,0))="Open market housing",INDEX(PlotData,MATCH($A461,PlotNumber,0),MATCH("Tenure detail",PlotTitles,0))="Private rented sector"),INDEX(PlotData,MATCH($A461,PlotNumber,0),MATCH("Tenure",PlotTitles,0))="Affordable rent"),"",INDEX(PlotData,MATCH($A461,PlotNumber,0),MATCH(S$3,PlotTitles,0))&lt;10000, $AB$23,TRUE,"")</f>
        <v/>
      </c>
      <c r="U461" s="104" t="str" cm="1">
        <f t="array" ref="U461">_xlfn.IFS(AND(A461&gt;NumberOfPlots,ISBLANK(INDEX(PlotData,MATCH($A461,PlotNumber,0),MATCH(B$3,PlotTitles,0)))),"",NOT(OR(AND(INDEX(PlotData,MATCH($A461,PlotNumber,0),MATCH("Tenure",PlotTitles,0))="Open market housing",INDEX(PlotData,MATCH($A461,PlotNumber,0),MATCH("Tenure detail",PlotTitles,0))="Private rented sector"),INDEX(PlotData,MATCH($A461,PlotNumber,0),MATCH("Tenure",PlotTitles,0))="Affordable rent")),"",NOT(INDEX(PlotData,MATCH($A461,PlotNumber,0),MATCH(S$3,PlotTitles,0))=0), $AB$24,TRUE,"")</f>
        <v/>
      </c>
      <c r="V461" s="114" t="str" cm="1">
        <f t="array" aca="1" ref="V461" ca="1">_xlfn.IFS(ISBLANK(NumberOfPlots),"Enter the number of homes on the 1_SetUp sheet",AND(A461&gt;NumberOfPlots,ISBLANK(INDEX(PlotData,MATCH($A461,PlotNumber,0),MATCH(B$3,PlotTitles,0)))),"No error",NOT(B461=""),B461,NOT(C461=""),C461,NOT(D461=""),D461,NOT(E461=""),E461,NOT(F461=""),F461,NOT(G461=""),G461,NOT(H461=""),H461,NOT(I461=""),I461,NOT(J461=""),J461,NOT(K461=""),K461,NOT(L461=""),L461,NOT(M461=""),M461,NOT(N461=""),N461,NOT(O461=""),O461,NOT(P461=""),P461,NOT(Q461=""),Q461,NOT(R461=""),R461,NOT(S461=""),S461,NOT(T461=""),T461,NOT(U461=""),U461,TRUE,"No error")</f>
        <v>Enter the number of homes on the 1_SetUp sheet</v>
      </c>
      <c r="W461" s="114" t="str">
        <f t="shared" ca="1" si="23"/>
        <v xml:space="preserve">The Borrower has not addressed the following error messages for Home ID 457: </v>
      </c>
    </row>
    <row r="462" spans="1:23">
      <c r="A462" s="123">
        <v>458</v>
      </c>
      <c r="B462" s="104" t="str" cm="1">
        <f t="array" ref="B462">_xlfn.IFS(AND(A462&gt;NumberOfPlots,ISBLANK(INDEX(PlotData,MATCH($A462,PlotNumber,0),MATCH(B$3,PlotTitles,0)))),"",ISNUMBER(INDEX(PlotData,MATCH($A462,PlotNumber,0),MATCH(B$3,PlotTitles,0)))=FALSE, $AB$5,TRUE,"")</f>
        <v/>
      </c>
      <c r="C462" s="104" t="str" cm="1">
        <f t="array" ref="C462">_xlfn.IFS(AND(A462&gt;NumberOfPlots,ISBLANK(INDEX(PlotData,MATCH($A462,PlotNumber,0),MATCH(B$3,PlotTitles,0)))),"",ISBLANK(INDEX(PlotData,MATCH($A462,PlotNumber,0),MATCH(C$3,PlotTitles,0))),$AB$6,TRUE,"")</f>
        <v/>
      </c>
      <c r="D462" s="104" t="str" cm="1">
        <f t="array" ref="D462">_xlfn.IFS(AND(A462&gt;NumberOfPlots,ISBLANK(INDEX(PlotData,MATCH($A462,PlotNumber,0),MATCH(B$3,PlotTitles,0)))),"",ISBLANK(INDEX(PlotData,MATCH($A462,PlotNumber,0),MATCH(D$3,PlotTitles,0))),$AB$7,TRUE,"")</f>
        <v/>
      </c>
      <c r="E462" s="104" t="str" cm="1">
        <f t="array" ref="E462">_xlfn.IFS(AND(A462&gt;NumberOfPlots,ISBLANK(INDEX(PlotData,MATCH($A462,PlotNumber,0),MATCH(B$3,PlotTitles,0)))),"",ISBLANK(INDEX(PlotData,MATCH($A462,PlotNumber,0),MATCH(E$3,PlotTitles,0))),$AB$8,TRUE,"")</f>
        <v/>
      </c>
      <c r="F462" s="104" t="str" cm="1">
        <f t="array" ref="F462">_xlfn.IFS(AND(A462&gt;NumberOfPlots,ISBLANK(INDEX(PlotData,MATCH($A462,PlotNumber,0),MATCH(B$3,PlotTitles,0)))),"",ISBLANK(INDEX(PlotData,MATCH($A462,PlotNumber,0),MATCH(F$3,PlotTitles,0))),$AB$9,TRUE,"")</f>
        <v/>
      </c>
      <c r="G462" s="104" t="str" cm="1">
        <f t="array" ref="G462">_xlfn.IFS(AND(A462&gt;NumberOfPlots,ISBLANK(INDEX(PlotData,MATCH($A462,PlotNumber,0),MATCH(B$3,PlotTitles,0)))),"",ISBLANK(INDEX(PlotData,MATCH($A462,PlotNumber,0),MATCH(G$3,PlotTitles,0))),$AB$10,TRUE,"")</f>
        <v/>
      </c>
      <c r="H462" s="104" t="str" cm="1">
        <f t="array" ref="H462">_xlfn.IFS(AND(A462&gt;NumberOfPlots,ISBLANK(INDEX(PlotData,MATCH($A462,PlotNumber,0),MATCH(B$3,PlotTitles,0)))),"",AND(ISBLANK(INDEX(PlotData,MATCH($A462,PlotNumber,0),MATCH(H$3,PlotTitles,0)))=FALSE,INDEX(PlotData,MATCH($A462,PlotNumber,0),MATCH(H$3,PlotTitles,0))&lt;500), $AB$11,TRUE,"")</f>
        <v/>
      </c>
      <c r="I462" s="104" t="str" cm="1">
        <f t="array" ref="I462">_xlfn.IFS(AND(A462&gt;NumberOfPlots,ISBLANK(INDEX(PlotData,MATCH($A462,PlotNumber,0),MATCH(B$3,PlotTitles,0)))),"",ISBLANK(INDEX(PlotData,MATCH($A462,PlotNumber,0),MATCH(I$3,PlotTitles,0))),$AB$12,TRUE,"")</f>
        <v/>
      </c>
      <c r="J462" s="104" t="str" cm="1">
        <f t="array" ref="J462">_xlfn.IFS(AND(A462&gt;NumberOfPlots,ISBLANK(INDEX(PlotData,MATCH($A462,PlotNumber,0),MATCH(B$3,PlotTitles,0)))),"",ISBLANK(INDEX(PlotData,MATCH($A462,PlotNumber,0),MATCH(J$3,PlotTitles,0))),$AB$13,TRUE,"")</f>
        <v/>
      </c>
      <c r="K462" s="182" t="str">
        <f t="shared" ca="1" si="21"/>
        <v/>
      </c>
      <c r="L462" s="104" t="str" cm="1">
        <f t="array" ref="L462">_xlfn.IFS(OR(ISBLANK(StartDateMonth),ISBLANK(StartDateYear)),"",AND(A462&gt;NumberOfPlots,ISBLANK(INDEX(PlotData,MATCH($A462,PlotNumber,0),MATCH(B$3,PlotTitles,0)))),"",ISBLANK(INDEX(PlotData,MATCH($A462,PlotNumber,0),MATCH(I$3,PlotTitles,0))),"",(DATEVALUE(INDEX(PlotData,MATCH($A462,PlotNumber,0),MATCH(I$3,PlotTitles,0))&amp;INDEX(PlotData,MATCH($A462,PlotNumber,0),MATCH(J$3,PlotTitles,0))))&lt;DATEVALUE(StartDateMonth&amp;StartDateYear),$AB$15,TRUE,"")</f>
        <v/>
      </c>
      <c r="M462" s="104" t="str" cm="1">
        <f t="array" ref="M462">_xlfn.IFS(OR(ISBLANK(StartDateMonth),ISBLANK(StartDateYear)),"",AND(A462&gt;NumberOfPlots,ISBLANK(INDEX(PlotData,MATCH($A462,PlotNumber,0),MATCH(B$3,PlotTitles,0)))),"",ISBLANK(INDEX(PlotData,MATCH($A462,PlotNumber,0),MATCH(I$3,PlotTitles,0))),"",CompletionMonth="","",(DATEVALUE(INDEX(PlotData,MATCH($A462,PlotNumber,0),MATCH(I$3,PlotTitles,0))&amp;INDEX(PlotData,MATCH($A462,PlotNumber,0),MATCH(J$3,PlotTitles,0))))&gt;(DATEVALUE(CompletionMonth&amp;CompletionYear)),$AB$16,TRUE,"")</f>
        <v/>
      </c>
      <c r="N462" s="104" t="str" cm="1">
        <f t="array" ref="N462">_xlfn.IFS(AND(A462&gt;NumberOfPlots,ISBLANK(INDEX(PlotData,MATCH($A462,PlotNumber,0),MATCH(B$3,PlotTitles,0)))),"",ISBLANK(INDEX(PlotData,MATCH($A462,PlotNumber,0),MATCH(N$3,PlotTitles,0))),$AB$17,TRUE,"")</f>
        <v/>
      </c>
      <c r="O462" s="104" t="str" cm="1">
        <f t="array" ref="O462">_xlfn.IFS(AND(A462&gt;NumberOfPlots,ISBLANK(INDEX(PlotData,MATCH($A462,PlotNumber,0),MATCH(B$3,PlotTitles,0)))),"",ISBLANK(INDEX(PlotData,MATCH($A462,PlotNumber,0),MATCH(O$3,PlotTitles,0))),$AB$18,TRUE,"")</f>
        <v/>
      </c>
      <c r="P462" s="182" t="str">
        <f t="shared" ca="1" si="22"/>
        <v/>
      </c>
      <c r="Q462" s="104" t="str" cm="1">
        <f t="array" ref="Q462">_xlfn.IFS(AND(A462&gt;NumberOfPlots,ISBLANK(INDEX(PlotData,MATCH($A462,PlotNumber,0),MATCH(B$3,PlotTitles,0)))),"",ISBLANK(INDEX(PlotData,MATCH($A462,PlotNumber,0),MATCH(N$3,PlotTitles,0))),"",(DATEVALUE(INDEX(PlotData,MATCH($A462,PlotNumber,0),MATCH(N$3,PlotTitles,0))&amp;INDEX(PlotData,MATCH($A462,PlotNumber,0),MATCH(O$3,PlotTitles,0))))&lt;(DATEVALUE(INDEX(PlotData,MATCH($A462,PlotNumber,0),MATCH(I$3,PlotTitles,0))&amp;INDEX(PlotData,MATCH($A462,PlotNumber,0),MATCH(J$3,PlotTitles,0)))),$AB$20,TRUE,"")</f>
        <v/>
      </c>
      <c r="R462" s="104" t="str" cm="1">
        <f t="array" ref="R462">_xlfn.IFS(OR(ISBLANK(StartDateMonth),ISBLANK(StartDateYear)),"",AND(A462&gt;NumberOfPlots,ISBLANK(INDEX(PlotData,MATCH($A462,PlotNumber,0),MATCH(B$3,PlotTitles,0)))),"",ISBLANK(INDEX(PlotData,MATCH($A462,PlotNumber,0),MATCH(N$3,PlotTitles,0))),"",CompletionMonth="","",(DATEVALUE(INDEX(PlotData,MATCH($A462,PlotNumber,0),MATCH(N$3,PlotTitles,0))&amp;INDEX(PlotData,MATCH($A462,PlotNumber,0),MATCH(O$3,PlotTitles,0))))&gt;(DATEVALUE(CompletionMonth&amp;CompletionYear)),$AB$21,TRUE,"")</f>
        <v/>
      </c>
      <c r="S462" s="104" t="str" cm="1">
        <f t="array" ref="S462">_xlfn.IFS(AND(A462&gt;NumberOfPlots,ISBLANK(INDEX(PlotData,MATCH($A462,PlotNumber,0),MATCH(B$3,PlotTitles,0)))),"",OR(AND(INDEX(PlotData,MATCH($A462,PlotNumber,0),MATCH("Tenure",PlotTitles,0))="Open market housing",INDEX(PlotData,MATCH($A462,PlotNumber,0),MATCH("Tenure detail",PlotTitles,0))="Private rented sector"),INDEX(PlotData,MATCH($A462,PlotNumber,0),MATCH("Tenure",PlotTitles,0))="Affordable rent"),"",ISNUMBER(INDEX(PlotData,MATCH($A462,PlotNumber,0),MATCH(S$3,PlotTitles,0)))=FALSE, $AB$22,TRUE,"")</f>
        <v/>
      </c>
      <c r="T462" s="104" t="str" cm="1">
        <f t="array" ref="T462">_xlfn.IFS(AND(A462&gt;NumberOfPlots,ISBLANK(INDEX(PlotData,MATCH($A462,PlotNumber,0),MATCH(B$3,PlotTitles,0)))),"",OR(AND(INDEX(PlotData,MATCH($A462,PlotNumber,0),MATCH("Tenure",PlotTitles,0))="Open market housing",INDEX(PlotData,MATCH($A462,PlotNumber,0),MATCH("Tenure detail",PlotTitles,0))="Private rented sector"),INDEX(PlotData,MATCH($A462,PlotNumber,0),MATCH("Tenure",PlotTitles,0))="Affordable rent"),"",INDEX(PlotData,MATCH($A462,PlotNumber,0),MATCH(S$3,PlotTitles,0))&lt;10000, $AB$23,TRUE,"")</f>
        <v/>
      </c>
      <c r="U462" s="104" t="str" cm="1">
        <f t="array" ref="U462">_xlfn.IFS(AND(A462&gt;NumberOfPlots,ISBLANK(INDEX(PlotData,MATCH($A462,PlotNumber,0),MATCH(B$3,PlotTitles,0)))),"",NOT(OR(AND(INDEX(PlotData,MATCH($A462,PlotNumber,0),MATCH("Tenure",PlotTitles,0))="Open market housing",INDEX(PlotData,MATCH($A462,PlotNumber,0),MATCH("Tenure detail",PlotTitles,0))="Private rented sector"),INDEX(PlotData,MATCH($A462,PlotNumber,0),MATCH("Tenure",PlotTitles,0))="Affordable rent")),"",NOT(INDEX(PlotData,MATCH($A462,PlotNumber,0),MATCH(S$3,PlotTitles,0))=0), $AB$24,TRUE,"")</f>
        <v/>
      </c>
      <c r="V462" s="114" t="str" cm="1">
        <f t="array" aca="1" ref="V462" ca="1">_xlfn.IFS(ISBLANK(NumberOfPlots),"Enter the number of homes on the 1_SetUp sheet",AND(A462&gt;NumberOfPlots,ISBLANK(INDEX(PlotData,MATCH($A462,PlotNumber,0),MATCH(B$3,PlotTitles,0)))),"No error",NOT(B462=""),B462,NOT(C462=""),C462,NOT(D462=""),D462,NOT(E462=""),E462,NOT(F462=""),F462,NOT(G462=""),G462,NOT(H462=""),H462,NOT(I462=""),I462,NOT(J462=""),J462,NOT(K462=""),K462,NOT(L462=""),L462,NOT(M462=""),M462,NOT(N462=""),N462,NOT(O462=""),O462,NOT(P462=""),P462,NOT(Q462=""),Q462,NOT(R462=""),R462,NOT(S462=""),S462,NOT(T462=""),T462,NOT(U462=""),U462,TRUE,"No error")</f>
        <v>Enter the number of homes on the 1_SetUp sheet</v>
      </c>
      <c r="W462" s="114" t="str">
        <f t="shared" ca="1" si="23"/>
        <v xml:space="preserve">The Borrower has not addressed the following error messages for Home ID 458: </v>
      </c>
    </row>
    <row r="463" spans="1:23">
      <c r="A463" s="123">
        <v>459</v>
      </c>
      <c r="B463" s="104" t="str" cm="1">
        <f t="array" ref="B463">_xlfn.IFS(AND(A463&gt;NumberOfPlots,ISBLANK(INDEX(PlotData,MATCH($A463,PlotNumber,0),MATCH(B$3,PlotTitles,0)))),"",ISNUMBER(INDEX(PlotData,MATCH($A463,PlotNumber,0),MATCH(B$3,PlotTitles,0)))=FALSE, $AB$5,TRUE,"")</f>
        <v/>
      </c>
      <c r="C463" s="104" t="str" cm="1">
        <f t="array" ref="C463">_xlfn.IFS(AND(A463&gt;NumberOfPlots,ISBLANK(INDEX(PlotData,MATCH($A463,PlotNumber,0),MATCH(B$3,PlotTitles,0)))),"",ISBLANK(INDEX(PlotData,MATCH($A463,PlotNumber,0),MATCH(C$3,PlotTitles,0))),$AB$6,TRUE,"")</f>
        <v/>
      </c>
      <c r="D463" s="104" t="str" cm="1">
        <f t="array" ref="D463">_xlfn.IFS(AND(A463&gt;NumberOfPlots,ISBLANK(INDEX(PlotData,MATCH($A463,PlotNumber,0),MATCH(B$3,PlotTitles,0)))),"",ISBLANK(INDEX(PlotData,MATCH($A463,PlotNumber,0),MATCH(D$3,PlotTitles,0))),$AB$7,TRUE,"")</f>
        <v/>
      </c>
      <c r="E463" s="104" t="str" cm="1">
        <f t="array" ref="E463">_xlfn.IFS(AND(A463&gt;NumberOfPlots,ISBLANK(INDEX(PlotData,MATCH($A463,PlotNumber,0),MATCH(B$3,PlotTitles,0)))),"",ISBLANK(INDEX(PlotData,MATCH($A463,PlotNumber,0),MATCH(E$3,PlotTitles,0))),$AB$8,TRUE,"")</f>
        <v/>
      </c>
      <c r="F463" s="104" t="str" cm="1">
        <f t="array" ref="F463">_xlfn.IFS(AND(A463&gt;NumberOfPlots,ISBLANK(INDEX(PlotData,MATCH($A463,PlotNumber,0),MATCH(B$3,PlotTitles,0)))),"",ISBLANK(INDEX(PlotData,MATCH($A463,PlotNumber,0),MATCH(F$3,PlotTitles,0))),$AB$9,TRUE,"")</f>
        <v/>
      </c>
      <c r="G463" s="104" t="str" cm="1">
        <f t="array" ref="G463">_xlfn.IFS(AND(A463&gt;NumberOfPlots,ISBLANK(INDEX(PlotData,MATCH($A463,PlotNumber,0),MATCH(B$3,PlotTitles,0)))),"",ISBLANK(INDEX(PlotData,MATCH($A463,PlotNumber,0),MATCH(G$3,PlotTitles,0))),$AB$10,TRUE,"")</f>
        <v/>
      </c>
      <c r="H463" s="104" t="str" cm="1">
        <f t="array" ref="H463">_xlfn.IFS(AND(A463&gt;NumberOfPlots,ISBLANK(INDEX(PlotData,MATCH($A463,PlotNumber,0),MATCH(B$3,PlotTitles,0)))),"",AND(ISBLANK(INDEX(PlotData,MATCH($A463,PlotNumber,0),MATCH(H$3,PlotTitles,0)))=FALSE,INDEX(PlotData,MATCH($A463,PlotNumber,0),MATCH(H$3,PlotTitles,0))&lt;500), $AB$11,TRUE,"")</f>
        <v/>
      </c>
      <c r="I463" s="104" t="str" cm="1">
        <f t="array" ref="I463">_xlfn.IFS(AND(A463&gt;NumberOfPlots,ISBLANK(INDEX(PlotData,MATCH($A463,PlotNumber,0),MATCH(B$3,PlotTitles,0)))),"",ISBLANK(INDEX(PlotData,MATCH($A463,PlotNumber,0),MATCH(I$3,PlotTitles,0))),$AB$12,TRUE,"")</f>
        <v/>
      </c>
      <c r="J463" s="104" t="str" cm="1">
        <f t="array" ref="J463">_xlfn.IFS(AND(A463&gt;NumberOfPlots,ISBLANK(INDEX(PlotData,MATCH($A463,PlotNumber,0),MATCH(B$3,PlotTitles,0)))),"",ISBLANK(INDEX(PlotData,MATCH($A463,PlotNumber,0),MATCH(J$3,PlotTitles,0))),$AB$13,TRUE,"")</f>
        <v/>
      </c>
      <c r="K463" s="182" t="str">
        <f t="shared" ca="1" si="21"/>
        <v/>
      </c>
      <c r="L463" s="104" t="str" cm="1">
        <f t="array" ref="L463">_xlfn.IFS(OR(ISBLANK(StartDateMonth),ISBLANK(StartDateYear)),"",AND(A463&gt;NumberOfPlots,ISBLANK(INDEX(PlotData,MATCH($A463,PlotNumber,0),MATCH(B$3,PlotTitles,0)))),"",ISBLANK(INDEX(PlotData,MATCH($A463,PlotNumber,0),MATCH(I$3,PlotTitles,0))),"",(DATEVALUE(INDEX(PlotData,MATCH($A463,PlotNumber,0),MATCH(I$3,PlotTitles,0))&amp;INDEX(PlotData,MATCH($A463,PlotNumber,0),MATCH(J$3,PlotTitles,0))))&lt;DATEVALUE(StartDateMonth&amp;StartDateYear),$AB$15,TRUE,"")</f>
        <v/>
      </c>
      <c r="M463" s="104" t="str" cm="1">
        <f t="array" ref="M463">_xlfn.IFS(OR(ISBLANK(StartDateMonth),ISBLANK(StartDateYear)),"",AND(A463&gt;NumberOfPlots,ISBLANK(INDEX(PlotData,MATCH($A463,PlotNumber,0),MATCH(B$3,PlotTitles,0)))),"",ISBLANK(INDEX(PlotData,MATCH($A463,PlotNumber,0),MATCH(I$3,PlotTitles,0))),"",CompletionMonth="","",(DATEVALUE(INDEX(PlotData,MATCH($A463,PlotNumber,0),MATCH(I$3,PlotTitles,0))&amp;INDEX(PlotData,MATCH($A463,PlotNumber,0),MATCH(J$3,PlotTitles,0))))&gt;(DATEVALUE(CompletionMonth&amp;CompletionYear)),$AB$16,TRUE,"")</f>
        <v/>
      </c>
      <c r="N463" s="104" t="str" cm="1">
        <f t="array" ref="N463">_xlfn.IFS(AND(A463&gt;NumberOfPlots,ISBLANK(INDEX(PlotData,MATCH($A463,PlotNumber,0),MATCH(B$3,PlotTitles,0)))),"",ISBLANK(INDEX(PlotData,MATCH($A463,PlotNumber,0),MATCH(N$3,PlotTitles,0))),$AB$17,TRUE,"")</f>
        <v/>
      </c>
      <c r="O463" s="104" t="str" cm="1">
        <f t="array" ref="O463">_xlfn.IFS(AND(A463&gt;NumberOfPlots,ISBLANK(INDEX(PlotData,MATCH($A463,PlotNumber,0),MATCH(B$3,PlotTitles,0)))),"",ISBLANK(INDEX(PlotData,MATCH($A463,PlotNumber,0),MATCH(O$3,PlotTitles,0))),$AB$18,TRUE,"")</f>
        <v/>
      </c>
      <c r="P463" s="182" t="str">
        <f t="shared" ca="1" si="22"/>
        <v/>
      </c>
      <c r="Q463" s="104" t="str" cm="1">
        <f t="array" ref="Q463">_xlfn.IFS(AND(A463&gt;NumberOfPlots,ISBLANK(INDEX(PlotData,MATCH($A463,PlotNumber,0),MATCH(B$3,PlotTitles,0)))),"",ISBLANK(INDEX(PlotData,MATCH($A463,PlotNumber,0),MATCH(N$3,PlotTitles,0))),"",(DATEVALUE(INDEX(PlotData,MATCH($A463,PlotNumber,0),MATCH(N$3,PlotTitles,0))&amp;INDEX(PlotData,MATCH($A463,PlotNumber,0),MATCH(O$3,PlotTitles,0))))&lt;(DATEVALUE(INDEX(PlotData,MATCH($A463,PlotNumber,0),MATCH(I$3,PlotTitles,0))&amp;INDEX(PlotData,MATCH($A463,PlotNumber,0),MATCH(J$3,PlotTitles,0)))),$AB$20,TRUE,"")</f>
        <v/>
      </c>
      <c r="R463" s="104" t="str" cm="1">
        <f t="array" ref="R463">_xlfn.IFS(OR(ISBLANK(StartDateMonth),ISBLANK(StartDateYear)),"",AND(A463&gt;NumberOfPlots,ISBLANK(INDEX(PlotData,MATCH($A463,PlotNumber,0),MATCH(B$3,PlotTitles,0)))),"",ISBLANK(INDEX(PlotData,MATCH($A463,PlotNumber,0),MATCH(N$3,PlotTitles,0))),"",CompletionMonth="","",(DATEVALUE(INDEX(PlotData,MATCH($A463,PlotNumber,0),MATCH(N$3,PlotTitles,0))&amp;INDEX(PlotData,MATCH($A463,PlotNumber,0),MATCH(O$3,PlotTitles,0))))&gt;(DATEVALUE(CompletionMonth&amp;CompletionYear)),$AB$21,TRUE,"")</f>
        <v/>
      </c>
      <c r="S463" s="104" t="str" cm="1">
        <f t="array" ref="S463">_xlfn.IFS(AND(A463&gt;NumberOfPlots,ISBLANK(INDEX(PlotData,MATCH($A463,PlotNumber,0),MATCH(B$3,PlotTitles,0)))),"",OR(AND(INDEX(PlotData,MATCH($A463,PlotNumber,0),MATCH("Tenure",PlotTitles,0))="Open market housing",INDEX(PlotData,MATCH($A463,PlotNumber,0),MATCH("Tenure detail",PlotTitles,0))="Private rented sector"),INDEX(PlotData,MATCH($A463,PlotNumber,0),MATCH("Tenure",PlotTitles,0))="Affordable rent"),"",ISNUMBER(INDEX(PlotData,MATCH($A463,PlotNumber,0),MATCH(S$3,PlotTitles,0)))=FALSE, $AB$22,TRUE,"")</f>
        <v/>
      </c>
      <c r="T463" s="104" t="str" cm="1">
        <f t="array" ref="T463">_xlfn.IFS(AND(A463&gt;NumberOfPlots,ISBLANK(INDEX(PlotData,MATCH($A463,PlotNumber,0),MATCH(B$3,PlotTitles,0)))),"",OR(AND(INDEX(PlotData,MATCH($A463,PlotNumber,0),MATCH("Tenure",PlotTitles,0))="Open market housing",INDEX(PlotData,MATCH($A463,PlotNumber,0),MATCH("Tenure detail",PlotTitles,0))="Private rented sector"),INDEX(PlotData,MATCH($A463,PlotNumber,0),MATCH("Tenure",PlotTitles,0))="Affordable rent"),"",INDEX(PlotData,MATCH($A463,PlotNumber,0),MATCH(S$3,PlotTitles,0))&lt;10000, $AB$23,TRUE,"")</f>
        <v/>
      </c>
      <c r="U463" s="104" t="str" cm="1">
        <f t="array" ref="U463">_xlfn.IFS(AND(A463&gt;NumberOfPlots,ISBLANK(INDEX(PlotData,MATCH($A463,PlotNumber,0),MATCH(B$3,PlotTitles,0)))),"",NOT(OR(AND(INDEX(PlotData,MATCH($A463,PlotNumber,0),MATCH("Tenure",PlotTitles,0))="Open market housing",INDEX(PlotData,MATCH($A463,PlotNumber,0),MATCH("Tenure detail",PlotTitles,0))="Private rented sector"),INDEX(PlotData,MATCH($A463,PlotNumber,0),MATCH("Tenure",PlotTitles,0))="Affordable rent")),"",NOT(INDEX(PlotData,MATCH($A463,PlotNumber,0),MATCH(S$3,PlotTitles,0))=0), $AB$24,TRUE,"")</f>
        <v/>
      </c>
      <c r="V463" s="114" t="str" cm="1">
        <f t="array" aca="1" ref="V463" ca="1">_xlfn.IFS(ISBLANK(NumberOfPlots),"Enter the number of homes on the 1_SetUp sheet",AND(A463&gt;NumberOfPlots,ISBLANK(INDEX(PlotData,MATCH($A463,PlotNumber,0),MATCH(B$3,PlotTitles,0)))),"No error",NOT(B463=""),B463,NOT(C463=""),C463,NOT(D463=""),D463,NOT(E463=""),E463,NOT(F463=""),F463,NOT(G463=""),G463,NOT(H463=""),H463,NOT(I463=""),I463,NOT(J463=""),J463,NOT(K463=""),K463,NOT(L463=""),L463,NOT(M463=""),M463,NOT(N463=""),N463,NOT(O463=""),O463,NOT(P463=""),P463,NOT(Q463=""),Q463,NOT(R463=""),R463,NOT(S463=""),S463,NOT(T463=""),T463,NOT(U463=""),U463,TRUE,"No error")</f>
        <v>Enter the number of homes on the 1_SetUp sheet</v>
      </c>
      <c r="W463" s="114" t="str">
        <f t="shared" ca="1" si="23"/>
        <v xml:space="preserve">The Borrower has not addressed the following error messages for Home ID 459: </v>
      </c>
    </row>
    <row r="464" spans="1:23">
      <c r="A464" s="123">
        <v>460</v>
      </c>
      <c r="B464" s="104" t="str" cm="1">
        <f t="array" ref="B464">_xlfn.IFS(AND(A464&gt;NumberOfPlots,ISBLANK(INDEX(PlotData,MATCH($A464,PlotNumber,0),MATCH(B$3,PlotTitles,0)))),"",ISNUMBER(INDEX(PlotData,MATCH($A464,PlotNumber,0),MATCH(B$3,PlotTitles,0)))=FALSE, $AB$5,TRUE,"")</f>
        <v/>
      </c>
      <c r="C464" s="104" t="str" cm="1">
        <f t="array" ref="C464">_xlfn.IFS(AND(A464&gt;NumberOfPlots,ISBLANK(INDEX(PlotData,MATCH($A464,PlotNumber,0),MATCH(B$3,PlotTitles,0)))),"",ISBLANK(INDEX(PlotData,MATCH($A464,PlotNumber,0),MATCH(C$3,PlotTitles,0))),$AB$6,TRUE,"")</f>
        <v/>
      </c>
      <c r="D464" s="104" t="str" cm="1">
        <f t="array" ref="D464">_xlfn.IFS(AND(A464&gt;NumberOfPlots,ISBLANK(INDEX(PlotData,MATCH($A464,PlotNumber,0),MATCH(B$3,PlotTitles,0)))),"",ISBLANK(INDEX(PlotData,MATCH($A464,PlotNumber,0),MATCH(D$3,PlotTitles,0))),$AB$7,TRUE,"")</f>
        <v/>
      </c>
      <c r="E464" s="104" t="str" cm="1">
        <f t="array" ref="E464">_xlfn.IFS(AND(A464&gt;NumberOfPlots,ISBLANK(INDEX(PlotData,MATCH($A464,PlotNumber,0),MATCH(B$3,PlotTitles,0)))),"",ISBLANK(INDEX(PlotData,MATCH($A464,PlotNumber,0),MATCH(E$3,PlotTitles,0))),$AB$8,TRUE,"")</f>
        <v/>
      </c>
      <c r="F464" s="104" t="str" cm="1">
        <f t="array" ref="F464">_xlfn.IFS(AND(A464&gt;NumberOfPlots,ISBLANK(INDEX(PlotData,MATCH($A464,PlotNumber,0),MATCH(B$3,PlotTitles,0)))),"",ISBLANK(INDEX(PlotData,MATCH($A464,PlotNumber,0),MATCH(F$3,PlotTitles,0))),$AB$9,TRUE,"")</f>
        <v/>
      </c>
      <c r="G464" s="104" t="str" cm="1">
        <f t="array" ref="G464">_xlfn.IFS(AND(A464&gt;NumberOfPlots,ISBLANK(INDEX(PlotData,MATCH($A464,PlotNumber,0),MATCH(B$3,PlotTitles,0)))),"",ISBLANK(INDEX(PlotData,MATCH($A464,PlotNumber,0),MATCH(G$3,PlotTitles,0))),$AB$10,TRUE,"")</f>
        <v/>
      </c>
      <c r="H464" s="104" t="str" cm="1">
        <f t="array" ref="H464">_xlfn.IFS(AND(A464&gt;NumberOfPlots,ISBLANK(INDEX(PlotData,MATCH($A464,PlotNumber,0),MATCH(B$3,PlotTitles,0)))),"",AND(ISBLANK(INDEX(PlotData,MATCH($A464,PlotNumber,0),MATCH(H$3,PlotTitles,0)))=FALSE,INDEX(PlotData,MATCH($A464,PlotNumber,0),MATCH(H$3,PlotTitles,0))&lt;500), $AB$11,TRUE,"")</f>
        <v/>
      </c>
      <c r="I464" s="104" t="str" cm="1">
        <f t="array" ref="I464">_xlfn.IFS(AND(A464&gt;NumberOfPlots,ISBLANK(INDEX(PlotData,MATCH($A464,PlotNumber,0),MATCH(B$3,PlotTitles,0)))),"",ISBLANK(INDEX(PlotData,MATCH($A464,PlotNumber,0),MATCH(I$3,PlotTitles,0))),$AB$12,TRUE,"")</f>
        <v/>
      </c>
      <c r="J464" s="104" t="str" cm="1">
        <f t="array" ref="J464">_xlfn.IFS(AND(A464&gt;NumberOfPlots,ISBLANK(INDEX(PlotData,MATCH($A464,PlotNumber,0),MATCH(B$3,PlotTitles,0)))),"",ISBLANK(INDEX(PlotData,MATCH($A464,PlotNumber,0),MATCH(J$3,PlotTitles,0))),$AB$13,TRUE,"")</f>
        <v/>
      </c>
      <c r="K464" s="182" t="str">
        <f t="shared" ca="1" si="21"/>
        <v/>
      </c>
      <c r="L464" s="104" t="str" cm="1">
        <f t="array" ref="L464">_xlfn.IFS(OR(ISBLANK(StartDateMonth),ISBLANK(StartDateYear)),"",AND(A464&gt;NumberOfPlots,ISBLANK(INDEX(PlotData,MATCH($A464,PlotNumber,0),MATCH(B$3,PlotTitles,0)))),"",ISBLANK(INDEX(PlotData,MATCH($A464,PlotNumber,0),MATCH(I$3,PlotTitles,0))),"",(DATEVALUE(INDEX(PlotData,MATCH($A464,PlotNumber,0),MATCH(I$3,PlotTitles,0))&amp;INDEX(PlotData,MATCH($A464,PlotNumber,0),MATCH(J$3,PlotTitles,0))))&lt;DATEVALUE(StartDateMonth&amp;StartDateYear),$AB$15,TRUE,"")</f>
        <v/>
      </c>
      <c r="M464" s="104" t="str" cm="1">
        <f t="array" ref="M464">_xlfn.IFS(OR(ISBLANK(StartDateMonth),ISBLANK(StartDateYear)),"",AND(A464&gt;NumberOfPlots,ISBLANK(INDEX(PlotData,MATCH($A464,PlotNumber,0),MATCH(B$3,PlotTitles,0)))),"",ISBLANK(INDEX(PlotData,MATCH($A464,PlotNumber,0),MATCH(I$3,PlotTitles,0))),"",CompletionMonth="","",(DATEVALUE(INDEX(PlotData,MATCH($A464,PlotNumber,0),MATCH(I$3,PlotTitles,0))&amp;INDEX(PlotData,MATCH($A464,PlotNumber,0),MATCH(J$3,PlotTitles,0))))&gt;(DATEVALUE(CompletionMonth&amp;CompletionYear)),$AB$16,TRUE,"")</f>
        <v/>
      </c>
      <c r="N464" s="104" t="str" cm="1">
        <f t="array" ref="N464">_xlfn.IFS(AND(A464&gt;NumberOfPlots,ISBLANK(INDEX(PlotData,MATCH($A464,PlotNumber,0),MATCH(B$3,PlotTitles,0)))),"",ISBLANK(INDEX(PlotData,MATCH($A464,PlotNumber,0),MATCH(N$3,PlotTitles,0))),$AB$17,TRUE,"")</f>
        <v/>
      </c>
      <c r="O464" s="104" t="str" cm="1">
        <f t="array" ref="O464">_xlfn.IFS(AND(A464&gt;NumberOfPlots,ISBLANK(INDEX(PlotData,MATCH($A464,PlotNumber,0),MATCH(B$3,PlotTitles,0)))),"",ISBLANK(INDEX(PlotData,MATCH($A464,PlotNumber,0),MATCH(O$3,PlotTitles,0))),$AB$18,TRUE,"")</f>
        <v/>
      </c>
      <c r="P464" s="182" t="str">
        <f t="shared" ca="1" si="22"/>
        <v/>
      </c>
      <c r="Q464" s="104" t="str" cm="1">
        <f t="array" ref="Q464">_xlfn.IFS(AND(A464&gt;NumberOfPlots,ISBLANK(INDEX(PlotData,MATCH($A464,PlotNumber,0),MATCH(B$3,PlotTitles,0)))),"",ISBLANK(INDEX(PlotData,MATCH($A464,PlotNumber,0),MATCH(N$3,PlotTitles,0))),"",(DATEVALUE(INDEX(PlotData,MATCH($A464,PlotNumber,0),MATCH(N$3,PlotTitles,0))&amp;INDEX(PlotData,MATCH($A464,PlotNumber,0),MATCH(O$3,PlotTitles,0))))&lt;(DATEVALUE(INDEX(PlotData,MATCH($A464,PlotNumber,0),MATCH(I$3,PlotTitles,0))&amp;INDEX(PlotData,MATCH($A464,PlotNumber,0),MATCH(J$3,PlotTitles,0)))),$AB$20,TRUE,"")</f>
        <v/>
      </c>
      <c r="R464" s="104" t="str" cm="1">
        <f t="array" ref="R464">_xlfn.IFS(OR(ISBLANK(StartDateMonth),ISBLANK(StartDateYear)),"",AND(A464&gt;NumberOfPlots,ISBLANK(INDEX(PlotData,MATCH($A464,PlotNumber,0),MATCH(B$3,PlotTitles,0)))),"",ISBLANK(INDEX(PlotData,MATCH($A464,PlotNumber,0),MATCH(N$3,PlotTitles,0))),"",CompletionMonth="","",(DATEVALUE(INDEX(PlotData,MATCH($A464,PlotNumber,0),MATCH(N$3,PlotTitles,0))&amp;INDEX(PlotData,MATCH($A464,PlotNumber,0),MATCH(O$3,PlotTitles,0))))&gt;(DATEVALUE(CompletionMonth&amp;CompletionYear)),$AB$21,TRUE,"")</f>
        <v/>
      </c>
      <c r="S464" s="104" t="str" cm="1">
        <f t="array" ref="S464">_xlfn.IFS(AND(A464&gt;NumberOfPlots,ISBLANK(INDEX(PlotData,MATCH($A464,PlotNumber,0),MATCH(B$3,PlotTitles,0)))),"",OR(AND(INDEX(PlotData,MATCH($A464,PlotNumber,0),MATCH("Tenure",PlotTitles,0))="Open market housing",INDEX(PlotData,MATCH($A464,PlotNumber,0),MATCH("Tenure detail",PlotTitles,0))="Private rented sector"),INDEX(PlotData,MATCH($A464,PlotNumber,0),MATCH("Tenure",PlotTitles,0))="Affordable rent"),"",ISNUMBER(INDEX(PlotData,MATCH($A464,PlotNumber,0),MATCH(S$3,PlotTitles,0)))=FALSE, $AB$22,TRUE,"")</f>
        <v/>
      </c>
      <c r="T464" s="104" t="str" cm="1">
        <f t="array" ref="T464">_xlfn.IFS(AND(A464&gt;NumberOfPlots,ISBLANK(INDEX(PlotData,MATCH($A464,PlotNumber,0),MATCH(B$3,PlotTitles,0)))),"",OR(AND(INDEX(PlotData,MATCH($A464,PlotNumber,0),MATCH("Tenure",PlotTitles,0))="Open market housing",INDEX(PlotData,MATCH($A464,PlotNumber,0),MATCH("Tenure detail",PlotTitles,0))="Private rented sector"),INDEX(PlotData,MATCH($A464,PlotNumber,0),MATCH("Tenure",PlotTitles,0))="Affordable rent"),"",INDEX(PlotData,MATCH($A464,PlotNumber,0),MATCH(S$3,PlotTitles,0))&lt;10000, $AB$23,TRUE,"")</f>
        <v/>
      </c>
      <c r="U464" s="104" t="str" cm="1">
        <f t="array" ref="U464">_xlfn.IFS(AND(A464&gt;NumberOfPlots,ISBLANK(INDEX(PlotData,MATCH($A464,PlotNumber,0),MATCH(B$3,PlotTitles,0)))),"",NOT(OR(AND(INDEX(PlotData,MATCH($A464,PlotNumber,0),MATCH("Tenure",PlotTitles,0))="Open market housing",INDEX(PlotData,MATCH($A464,PlotNumber,0),MATCH("Tenure detail",PlotTitles,0))="Private rented sector"),INDEX(PlotData,MATCH($A464,PlotNumber,0),MATCH("Tenure",PlotTitles,0))="Affordable rent")),"",NOT(INDEX(PlotData,MATCH($A464,PlotNumber,0),MATCH(S$3,PlotTitles,0))=0), $AB$24,TRUE,"")</f>
        <v/>
      </c>
      <c r="V464" s="114" t="str" cm="1">
        <f t="array" aca="1" ref="V464" ca="1">_xlfn.IFS(ISBLANK(NumberOfPlots),"Enter the number of homes on the 1_SetUp sheet",AND(A464&gt;NumberOfPlots,ISBLANK(INDEX(PlotData,MATCH($A464,PlotNumber,0),MATCH(B$3,PlotTitles,0)))),"No error",NOT(B464=""),B464,NOT(C464=""),C464,NOT(D464=""),D464,NOT(E464=""),E464,NOT(F464=""),F464,NOT(G464=""),G464,NOT(H464=""),H464,NOT(I464=""),I464,NOT(J464=""),J464,NOT(K464=""),K464,NOT(L464=""),L464,NOT(M464=""),M464,NOT(N464=""),N464,NOT(O464=""),O464,NOT(P464=""),P464,NOT(Q464=""),Q464,NOT(R464=""),R464,NOT(S464=""),S464,NOT(T464=""),T464,NOT(U464=""),U464,TRUE,"No error")</f>
        <v>Enter the number of homes on the 1_SetUp sheet</v>
      </c>
      <c r="W464" s="114" t="str">
        <f t="shared" ca="1" si="23"/>
        <v xml:space="preserve">The Borrower has not addressed the following error messages for Home ID 460: </v>
      </c>
    </row>
    <row r="465" spans="1:23">
      <c r="A465" s="123">
        <v>461</v>
      </c>
      <c r="B465" s="104" t="str" cm="1">
        <f t="array" ref="B465">_xlfn.IFS(AND(A465&gt;NumberOfPlots,ISBLANK(INDEX(PlotData,MATCH($A465,PlotNumber,0),MATCH(B$3,PlotTitles,0)))),"",ISNUMBER(INDEX(PlotData,MATCH($A465,PlotNumber,0),MATCH(B$3,PlotTitles,0)))=FALSE, $AB$5,TRUE,"")</f>
        <v/>
      </c>
      <c r="C465" s="104" t="str" cm="1">
        <f t="array" ref="C465">_xlfn.IFS(AND(A465&gt;NumberOfPlots,ISBLANK(INDEX(PlotData,MATCH($A465,PlotNumber,0),MATCH(B$3,PlotTitles,0)))),"",ISBLANK(INDEX(PlotData,MATCH($A465,PlotNumber,0),MATCH(C$3,PlotTitles,0))),$AB$6,TRUE,"")</f>
        <v/>
      </c>
      <c r="D465" s="104" t="str" cm="1">
        <f t="array" ref="D465">_xlfn.IFS(AND(A465&gt;NumberOfPlots,ISBLANK(INDEX(PlotData,MATCH($A465,PlotNumber,0),MATCH(B$3,PlotTitles,0)))),"",ISBLANK(INDEX(PlotData,MATCH($A465,PlotNumber,0),MATCH(D$3,PlotTitles,0))),$AB$7,TRUE,"")</f>
        <v/>
      </c>
      <c r="E465" s="104" t="str" cm="1">
        <f t="array" ref="E465">_xlfn.IFS(AND(A465&gt;NumberOfPlots,ISBLANK(INDEX(PlotData,MATCH($A465,PlotNumber,0),MATCH(B$3,PlotTitles,0)))),"",ISBLANK(INDEX(PlotData,MATCH($A465,PlotNumber,0),MATCH(E$3,PlotTitles,0))),$AB$8,TRUE,"")</f>
        <v/>
      </c>
      <c r="F465" s="104" t="str" cm="1">
        <f t="array" ref="F465">_xlfn.IFS(AND(A465&gt;NumberOfPlots,ISBLANK(INDEX(PlotData,MATCH($A465,PlotNumber,0),MATCH(B$3,PlotTitles,0)))),"",ISBLANK(INDEX(PlotData,MATCH($A465,PlotNumber,0),MATCH(F$3,PlotTitles,0))),$AB$9,TRUE,"")</f>
        <v/>
      </c>
      <c r="G465" s="104" t="str" cm="1">
        <f t="array" ref="G465">_xlfn.IFS(AND(A465&gt;NumberOfPlots,ISBLANK(INDEX(PlotData,MATCH($A465,PlotNumber,0),MATCH(B$3,PlotTitles,0)))),"",ISBLANK(INDEX(PlotData,MATCH($A465,PlotNumber,0),MATCH(G$3,PlotTitles,0))),$AB$10,TRUE,"")</f>
        <v/>
      </c>
      <c r="H465" s="104" t="str" cm="1">
        <f t="array" ref="H465">_xlfn.IFS(AND(A465&gt;NumberOfPlots,ISBLANK(INDEX(PlotData,MATCH($A465,PlotNumber,0),MATCH(B$3,PlotTitles,0)))),"",AND(ISBLANK(INDEX(PlotData,MATCH($A465,PlotNumber,0),MATCH(H$3,PlotTitles,0)))=FALSE,INDEX(PlotData,MATCH($A465,PlotNumber,0),MATCH(H$3,PlotTitles,0))&lt;500), $AB$11,TRUE,"")</f>
        <v/>
      </c>
      <c r="I465" s="104" t="str" cm="1">
        <f t="array" ref="I465">_xlfn.IFS(AND(A465&gt;NumberOfPlots,ISBLANK(INDEX(PlotData,MATCH($A465,PlotNumber,0),MATCH(B$3,PlotTitles,0)))),"",ISBLANK(INDEX(PlotData,MATCH($A465,PlotNumber,0),MATCH(I$3,PlotTitles,0))),$AB$12,TRUE,"")</f>
        <v/>
      </c>
      <c r="J465" s="104" t="str" cm="1">
        <f t="array" ref="J465">_xlfn.IFS(AND(A465&gt;NumberOfPlots,ISBLANK(INDEX(PlotData,MATCH($A465,PlotNumber,0),MATCH(B$3,PlotTitles,0)))),"",ISBLANK(INDEX(PlotData,MATCH($A465,PlotNumber,0),MATCH(J$3,PlotTitles,0))),$AB$13,TRUE,"")</f>
        <v/>
      </c>
      <c r="K465" s="182" t="str">
        <f t="shared" ca="1" si="21"/>
        <v/>
      </c>
      <c r="L465" s="104" t="str" cm="1">
        <f t="array" ref="L465">_xlfn.IFS(OR(ISBLANK(StartDateMonth),ISBLANK(StartDateYear)),"",AND(A465&gt;NumberOfPlots,ISBLANK(INDEX(PlotData,MATCH($A465,PlotNumber,0),MATCH(B$3,PlotTitles,0)))),"",ISBLANK(INDEX(PlotData,MATCH($A465,PlotNumber,0),MATCH(I$3,PlotTitles,0))),"",(DATEVALUE(INDEX(PlotData,MATCH($A465,PlotNumber,0),MATCH(I$3,PlotTitles,0))&amp;INDEX(PlotData,MATCH($A465,PlotNumber,0),MATCH(J$3,PlotTitles,0))))&lt;DATEVALUE(StartDateMonth&amp;StartDateYear),$AB$15,TRUE,"")</f>
        <v/>
      </c>
      <c r="M465" s="104" t="str" cm="1">
        <f t="array" ref="M465">_xlfn.IFS(OR(ISBLANK(StartDateMonth),ISBLANK(StartDateYear)),"",AND(A465&gt;NumberOfPlots,ISBLANK(INDEX(PlotData,MATCH($A465,PlotNumber,0),MATCH(B$3,PlotTitles,0)))),"",ISBLANK(INDEX(PlotData,MATCH($A465,PlotNumber,0),MATCH(I$3,PlotTitles,0))),"",CompletionMonth="","",(DATEVALUE(INDEX(PlotData,MATCH($A465,PlotNumber,0),MATCH(I$3,PlotTitles,0))&amp;INDEX(PlotData,MATCH($A465,PlotNumber,0),MATCH(J$3,PlotTitles,0))))&gt;(DATEVALUE(CompletionMonth&amp;CompletionYear)),$AB$16,TRUE,"")</f>
        <v/>
      </c>
      <c r="N465" s="104" t="str" cm="1">
        <f t="array" ref="N465">_xlfn.IFS(AND(A465&gt;NumberOfPlots,ISBLANK(INDEX(PlotData,MATCH($A465,PlotNumber,0),MATCH(B$3,PlotTitles,0)))),"",ISBLANK(INDEX(PlotData,MATCH($A465,PlotNumber,0),MATCH(N$3,PlotTitles,0))),$AB$17,TRUE,"")</f>
        <v/>
      </c>
      <c r="O465" s="104" t="str" cm="1">
        <f t="array" ref="O465">_xlfn.IFS(AND(A465&gt;NumberOfPlots,ISBLANK(INDEX(PlotData,MATCH($A465,PlotNumber,0),MATCH(B$3,PlotTitles,0)))),"",ISBLANK(INDEX(PlotData,MATCH($A465,PlotNumber,0),MATCH(O$3,PlotTitles,0))),$AB$18,TRUE,"")</f>
        <v/>
      </c>
      <c r="P465" s="182" t="str">
        <f t="shared" ca="1" si="22"/>
        <v/>
      </c>
      <c r="Q465" s="104" t="str" cm="1">
        <f t="array" ref="Q465">_xlfn.IFS(AND(A465&gt;NumberOfPlots,ISBLANK(INDEX(PlotData,MATCH($A465,PlotNumber,0),MATCH(B$3,PlotTitles,0)))),"",ISBLANK(INDEX(PlotData,MATCH($A465,PlotNumber,0),MATCH(N$3,PlotTitles,0))),"",(DATEVALUE(INDEX(PlotData,MATCH($A465,PlotNumber,0),MATCH(N$3,PlotTitles,0))&amp;INDEX(PlotData,MATCH($A465,PlotNumber,0),MATCH(O$3,PlotTitles,0))))&lt;(DATEVALUE(INDEX(PlotData,MATCH($A465,PlotNumber,0),MATCH(I$3,PlotTitles,0))&amp;INDEX(PlotData,MATCH($A465,PlotNumber,0),MATCH(J$3,PlotTitles,0)))),$AB$20,TRUE,"")</f>
        <v/>
      </c>
      <c r="R465" s="104" t="str" cm="1">
        <f t="array" ref="R465">_xlfn.IFS(OR(ISBLANK(StartDateMonth),ISBLANK(StartDateYear)),"",AND(A465&gt;NumberOfPlots,ISBLANK(INDEX(PlotData,MATCH($A465,PlotNumber,0),MATCH(B$3,PlotTitles,0)))),"",ISBLANK(INDEX(PlotData,MATCH($A465,PlotNumber,0),MATCH(N$3,PlotTitles,0))),"",CompletionMonth="","",(DATEVALUE(INDEX(PlotData,MATCH($A465,PlotNumber,0),MATCH(N$3,PlotTitles,0))&amp;INDEX(PlotData,MATCH($A465,PlotNumber,0),MATCH(O$3,PlotTitles,0))))&gt;(DATEVALUE(CompletionMonth&amp;CompletionYear)),$AB$21,TRUE,"")</f>
        <v/>
      </c>
      <c r="S465" s="104" t="str" cm="1">
        <f t="array" ref="S465">_xlfn.IFS(AND(A465&gt;NumberOfPlots,ISBLANK(INDEX(PlotData,MATCH($A465,PlotNumber,0),MATCH(B$3,PlotTitles,0)))),"",OR(AND(INDEX(PlotData,MATCH($A465,PlotNumber,0),MATCH("Tenure",PlotTitles,0))="Open market housing",INDEX(PlotData,MATCH($A465,PlotNumber,0),MATCH("Tenure detail",PlotTitles,0))="Private rented sector"),INDEX(PlotData,MATCH($A465,PlotNumber,0),MATCH("Tenure",PlotTitles,0))="Affordable rent"),"",ISNUMBER(INDEX(PlotData,MATCH($A465,PlotNumber,0),MATCH(S$3,PlotTitles,0)))=FALSE, $AB$22,TRUE,"")</f>
        <v/>
      </c>
      <c r="T465" s="104" t="str" cm="1">
        <f t="array" ref="T465">_xlfn.IFS(AND(A465&gt;NumberOfPlots,ISBLANK(INDEX(PlotData,MATCH($A465,PlotNumber,0),MATCH(B$3,PlotTitles,0)))),"",OR(AND(INDEX(PlotData,MATCH($A465,PlotNumber,0),MATCH("Tenure",PlotTitles,0))="Open market housing",INDEX(PlotData,MATCH($A465,PlotNumber,0),MATCH("Tenure detail",PlotTitles,0))="Private rented sector"),INDEX(PlotData,MATCH($A465,PlotNumber,0),MATCH("Tenure",PlotTitles,0))="Affordable rent"),"",INDEX(PlotData,MATCH($A465,PlotNumber,0),MATCH(S$3,PlotTitles,0))&lt;10000, $AB$23,TRUE,"")</f>
        <v/>
      </c>
      <c r="U465" s="104" t="str" cm="1">
        <f t="array" ref="U465">_xlfn.IFS(AND(A465&gt;NumberOfPlots,ISBLANK(INDEX(PlotData,MATCH($A465,PlotNumber,0),MATCH(B$3,PlotTitles,0)))),"",NOT(OR(AND(INDEX(PlotData,MATCH($A465,PlotNumber,0),MATCH("Tenure",PlotTitles,0))="Open market housing",INDEX(PlotData,MATCH($A465,PlotNumber,0),MATCH("Tenure detail",PlotTitles,0))="Private rented sector"),INDEX(PlotData,MATCH($A465,PlotNumber,0),MATCH("Tenure",PlotTitles,0))="Affordable rent")),"",NOT(INDEX(PlotData,MATCH($A465,PlotNumber,0),MATCH(S$3,PlotTitles,0))=0), $AB$24,TRUE,"")</f>
        <v/>
      </c>
      <c r="V465" s="114" t="str" cm="1">
        <f t="array" aca="1" ref="V465" ca="1">_xlfn.IFS(ISBLANK(NumberOfPlots),"Enter the number of homes on the 1_SetUp sheet",AND(A465&gt;NumberOfPlots,ISBLANK(INDEX(PlotData,MATCH($A465,PlotNumber,0),MATCH(B$3,PlotTitles,0)))),"No error",NOT(B465=""),B465,NOT(C465=""),C465,NOT(D465=""),D465,NOT(E465=""),E465,NOT(F465=""),F465,NOT(G465=""),G465,NOT(H465=""),H465,NOT(I465=""),I465,NOT(J465=""),J465,NOT(K465=""),K465,NOT(L465=""),L465,NOT(M465=""),M465,NOT(N465=""),N465,NOT(O465=""),O465,NOT(P465=""),P465,NOT(Q465=""),Q465,NOT(R465=""),R465,NOT(S465=""),S465,NOT(T465=""),T465,NOT(U465=""),U465,TRUE,"No error")</f>
        <v>Enter the number of homes on the 1_SetUp sheet</v>
      </c>
      <c r="W465" s="114" t="str">
        <f t="shared" ca="1" si="23"/>
        <v xml:space="preserve">The Borrower has not addressed the following error messages for Home ID 461: </v>
      </c>
    </row>
    <row r="466" spans="1:23">
      <c r="A466" s="123">
        <v>462</v>
      </c>
      <c r="B466" s="104" t="str" cm="1">
        <f t="array" ref="B466">_xlfn.IFS(AND(A466&gt;NumberOfPlots,ISBLANK(INDEX(PlotData,MATCH($A466,PlotNumber,0),MATCH(B$3,PlotTitles,0)))),"",ISNUMBER(INDEX(PlotData,MATCH($A466,PlotNumber,0),MATCH(B$3,PlotTitles,0)))=FALSE, $AB$5,TRUE,"")</f>
        <v/>
      </c>
      <c r="C466" s="104" t="str" cm="1">
        <f t="array" ref="C466">_xlfn.IFS(AND(A466&gt;NumberOfPlots,ISBLANK(INDEX(PlotData,MATCH($A466,PlotNumber,0),MATCH(B$3,PlotTitles,0)))),"",ISBLANK(INDEX(PlotData,MATCH($A466,PlotNumber,0),MATCH(C$3,PlotTitles,0))),$AB$6,TRUE,"")</f>
        <v/>
      </c>
      <c r="D466" s="104" t="str" cm="1">
        <f t="array" ref="D466">_xlfn.IFS(AND(A466&gt;NumberOfPlots,ISBLANK(INDEX(PlotData,MATCH($A466,PlotNumber,0),MATCH(B$3,PlotTitles,0)))),"",ISBLANK(INDEX(PlotData,MATCH($A466,PlotNumber,0),MATCH(D$3,PlotTitles,0))),$AB$7,TRUE,"")</f>
        <v/>
      </c>
      <c r="E466" s="104" t="str" cm="1">
        <f t="array" ref="E466">_xlfn.IFS(AND(A466&gt;NumberOfPlots,ISBLANK(INDEX(PlotData,MATCH($A466,PlotNumber,0),MATCH(B$3,PlotTitles,0)))),"",ISBLANK(INDEX(PlotData,MATCH($A466,PlotNumber,0),MATCH(E$3,PlotTitles,0))),$AB$8,TRUE,"")</f>
        <v/>
      </c>
      <c r="F466" s="104" t="str" cm="1">
        <f t="array" ref="F466">_xlfn.IFS(AND(A466&gt;NumberOfPlots,ISBLANK(INDEX(PlotData,MATCH($A466,PlotNumber,0),MATCH(B$3,PlotTitles,0)))),"",ISBLANK(INDEX(PlotData,MATCH($A466,PlotNumber,0),MATCH(F$3,PlotTitles,0))),$AB$9,TRUE,"")</f>
        <v/>
      </c>
      <c r="G466" s="104" t="str" cm="1">
        <f t="array" ref="G466">_xlfn.IFS(AND(A466&gt;NumberOfPlots,ISBLANK(INDEX(PlotData,MATCH($A466,PlotNumber,0),MATCH(B$3,PlotTitles,0)))),"",ISBLANK(INDEX(PlotData,MATCH($A466,PlotNumber,0),MATCH(G$3,PlotTitles,0))),$AB$10,TRUE,"")</f>
        <v/>
      </c>
      <c r="H466" s="104" t="str" cm="1">
        <f t="array" ref="H466">_xlfn.IFS(AND(A466&gt;NumberOfPlots,ISBLANK(INDEX(PlotData,MATCH($A466,PlotNumber,0),MATCH(B$3,PlotTitles,0)))),"",AND(ISBLANK(INDEX(PlotData,MATCH($A466,PlotNumber,0),MATCH(H$3,PlotTitles,0)))=FALSE,INDEX(PlotData,MATCH($A466,PlotNumber,0),MATCH(H$3,PlotTitles,0))&lt;500), $AB$11,TRUE,"")</f>
        <v/>
      </c>
      <c r="I466" s="104" t="str" cm="1">
        <f t="array" ref="I466">_xlfn.IFS(AND(A466&gt;NumberOfPlots,ISBLANK(INDEX(PlotData,MATCH($A466,PlotNumber,0),MATCH(B$3,PlotTitles,0)))),"",ISBLANK(INDEX(PlotData,MATCH($A466,PlotNumber,0),MATCH(I$3,PlotTitles,0))),$AB$12,TRUE,"")</f>
        <v/>
      </c>
      <c r="J466" s="104" t="str" cm="1">
        <f t="array" ref="J466">_xlfn.IFS(AND(A466&gt;NumberOfPlots,ISBLANK(INDEX(PlotData,MATCH($A466,PlotNumber,0),MATCH(B$3,PlotTitles,0)))),"",ISBLANK(INDEX(PlotData,MATCH($A466,PlotNumber,0),MATCH(J$3,PlotTitles,0))),$AB$13,TRUE,"")</f>
        <v/>
      </c>
      <c r="K466" s="182" t="str">
        <f t="shared" ca="1" si="21"/>
        <v/>
      </c>
      <c r="L466" s="104" t="str" cm="1">
        <f t="array" ref="L466">_xlfn.IFS(OR(ISBLANK(StartDateMonth),ISBLANK(StartDateYear)),"",AND(A466&gt;NumberOfPlots,ISBLANK(INDEX(PlotData,MATCH($A466,PlotNumber,0),MATCH(B$3,PlotTitles,0)))),"",ISBLANK(INDEX(PlotData,MATCH($A466,PlotNumber,0),MATCH(I$3,PlotTitles,0))),"",(DATEVALUE(INDEX(PlotData,MATCH($A466,PlotNumber,0),MATCH(I$3,PlotTitles,0))&amp;INDEX(PlotData,MATCH($A466,PlotNumber,0),MATCH(J$3,PlotTitles,0))))&lt;DATEVALUE(StartDateMonth&amp;StartDateYear),$AB$15,TRUE,"")</f>
        <v/>
      </c>
      <c r="M466" s="104" t="str" cm="1">
        <f t="array" ref="M466">_xlfn.IFS(OR(ISBLANK(StartDateMonth),ISBLANK(StartDateYear)),"",AND(A466&gt;NumberOfPlots,ISBLANK(INDEX(PlotData,MATCH($A466,PlotNumber,0),MATCH(B$3,PlotTitles,0)))),"",ISBLANK(INDEX(PlotData,MATCH($A466,PlotNumber,0),MATCH(I$3,PlotTitles,0))),"",CompletionMonth="","",(DATEVALUE(INDEX(PlotData,MATCH($A466,PlotNumber,0),MATCH(I$3,PlotTitles,0))&amp;INDEX(PlotData,MATCH($A466,PlotNumber,0),MATCH(J$3,PlotTitles,0))))&gt;(DATEVALUE(CompletionMonth&amp;CompletionYear)),$AB$16,TRUE,"")</f>
        <v/>
      </c>
      <c r="N466" s="104" t="str" cm="1">
        <f t="array" ref="N466">_xlfn.IFS(AND(A466&gt;NumberOfPlots,ISBLANK(INDEX(PlotData,MATCH($A466,PlotNumber,0),MATCH(B$3,PlotTitles,0)))),"",ISBLANK(INDEX(PlotData,MATCH($A466,PlotNumber,0),MATCH(N$3,PlotTitles,0))),$AB$17,TRUE,"")</f>
        <v/>
      </c>
      <c r="O466" s="104" t="str" cm="1">
        <f t="array" ref="O466">_xlfn.IFS(AND(A466&gt;NumberOfPlots,ISBLANK(INDEX(PlotData,MATCH($A466,PlotNumber,0),MATCH(B$3,PlotTitles,0)))),"",ISBLANK(INDEX(PlotData,MATCH($A466,PlotNumber,0),MATCH(O$3,PlotTitles,0))),$AB$18,TRUE,"")</f>
        <v/>
      </c>
      <c r="P466" s="182" t="str">
        <f t="shared" ca="1" si="22"/>
        <v/>
      </c>
      <c r="Q466" s="104" t="str" cm="1">
        <f t="array" ref="Q466">_xlfn.IFS(AND(A466&gt;NumberOfPlots,ISBLANK(INDEX(PlotData,MATCH($A466,PlotNumber,0),MATCH(B$3,PlotTitles,0)))),"",ISBLANK(INDEX(PlotData,MATCH($A466,PlotNumber,0),MATCH(N$3,PlotTitles,0))),"",(DATEVALUE(INDEX(PlotData,MATCH($A466,PlotNumber,0),MATCH(N$3,PlotTitles,0))&amp;INDEX(PlotData,MATCH($A466,PlotNumber,0),MATCH(O$3,PlotTitles,0))))&lt;(DATEVALUE(INDEX(PlotData,MATCH($A466,PlotNumber,0),MATCH(I$3,PlotTitles,0))&amp;INDEX(PlotData,MATCH($A466,PlotNumber,0),MATCH(J$3,PlotTitles,0)))),$AB$20,TRUE,"")</f>
        <v/>
      </c>
      <c r="R466" s="104" t="str" cm="1">
        <f t="array" ref="R466">_xlfn.IFS(OR(ISBLANK(StartDateMonth),ISBLANK(StartDateYear)),"",AND(A466&gt;NumberOfPlots,ISBLANK(INDEX(PlotData,MATCH($A466,PlotNumber,0),MATCH(B$3,PlotTitles,0)))),"",ISBLANK(INDEX(PlotData,MATCH($A466,PlotNumber,0),MATCH(N$3,PlotTitles,0))),"",CompletionMonth="","",(DATEVALUE(INDEX(PlotData,MATCH($A466,PlotNumber,0),MATCH(N$3,PlotTitles,0))&amp;INDEX(PlotData,MATCH($A466,PlotNumber,0),MATCH(O$3,PlotTitles,0))))&gt;(DATEVALUE(CompletionMonth&amp;CompletionYear)),$AB$21,TRUE,"")</f>
        <v/>
      </c>
      <c r="S466" s="104" t="str" cm="1">
        <f t="array" ref="S466">_xlfn.IFS(AND(A466&gt;NumberOfPlots,ISBLANK(INDEX(PlotData,MATCH($A466,PlotNumber,0),MATCH(B$3,PlotTitles,0)))),"",OR(AND(INDEX(PlotData,MATCH($A466,PlotNumber,0),MATCH("Tenure",PlotTitles,0))="Open market housing",INDEX(PlotData,MATCH($A466,PlotNumber,0),MATCH("Tenure detail",PlotTitles,0))="Private rented sector"),INDEX(PlotData,MATCH($A466,PlotNumber,0),MATCH("Tenure",PlotTitles,0))="Affordable rent"),"",ISNUMBER(INDEX(PlotData,MATCH($A466,PlotNumber,0),MATCH(S$3,PlotTitles,0)))=FALSE, $AB$22,TRUE,"")</f>
        <v/>
      </c>
      <c r="T466" s="104" t="str" cm="1">
        <f t="array" ref="T466">_xlfn.IFS(AND(A466&gt;NumberOfPlots,ISBLANK(INDEX(PlotData,MATCH($A466,PlotNumber,0),MATCH(B$3,PlotTitles,0)))),"",OR(AND(INDEX(PlotData,MATCH($A466,PlotNumber,0),MATCH("Tenure",PlotTitles,0))="Open market housing",INDEX(PlotData,MATCH($A466,PlotNumber,0),MATCH("Tenure detail",PlotTitles,0))="Private rented sector"),INDEX(PlotData,MATCH($A466,PlotNumber,0),MATCH("Tenure",PlotTitles,0))="Affordable rent"),"",INDEX(PlotData,MATCH($A466,PlotNumber,0),MATCH(S$3,PlotTitles,0))&lt;10000, $AB$23,TRUE,"")</f>
        <v/>
      </c>
      <c r="U466" s="104" t="str" cm="1">
        <f t="array" ref="U466">_xlfn.IFS(AND(A466&gt;NumberOfPlots,ISBLANK(INDEX(PlotData,MATCH($A466,PlotNumber,0),MATCH(B$3,PlotTitles,0)))),"",NOT(OR(AND(INDEX(PlotData,MATCH($A466,PlotNumber,0),MATCH("Tenure",PlotTitles,0))="Open market housing",INDEX(PlotData,MATCH($A466,PlotNumber,0),MATCH("Tenure detail",PlotTitles,0))="Private rented sector"),INDEX(PlotData,MATCH($A466,PlotNumber,0),MATCH("Tenure",PlotTitles,0))="Affordable rent")),"",NOT(INDEX(PlotData,MATCH($A466,PlotNumber,0),MATCH(S$3,PlotTitles,0))=0), $AB$24,TRUE,"")</f>
        <v/>
      </c>
      <c r="V466" s="114" t="str" cm="1">
        <f t="array" aca="1" ref="V466" ca="1">_xlfn.IFS(ISBLANK(NumberOfPlots),"Enter the number of homes on the 1_SetUp sheet",AND(A466&gt;NumberOfPlots,ISBLANK(INDEX(PlotData,MATCH($A466,PlotNumber,0),MATCH(B$3,PlotTitles,0)))),"No error",NOT(B466=""),B466,NOT(C466=""),C466,NOT(D466=""),D466,NOT(E466=""),E466,NOT(F466=""),F466,NOT(G466=""),G466,NOT(H466=""),H466,NOT(I466=""),I466,NOT(J466=""),J466,NOT(K466=""),K466,NOT(L466=""),L466,NOT(M466=""),M466,NOT(N466=""),N466,NOT(O466=""),O466,NOT(P466=""),P466,NOT(Q466=""),Q466,NOT(R466=""),R466,NOT(S466=""),S466,NOT(T466=""),T466,NOT(U466=""),U466,TRUE,"No error")</f>
        <v>Enter the number of homes on the 1_SetUp sheet</v>
      </c>
      <c r="W466" s="114" t="str">
        <f t="shared" ca="1" si="23"/>
        <v xml:space="preserve">The Borrower has not addressed the following error messages for Home ID 462: </v>
      </c>
    </row>
    <row r="467" spans="1:23">
      <c r="A467" s="123">
        <v>463</v>
      </c>
      <c r="B467" s="104" t="str" cm="1">
        <f t="array" ref="B467">_xlfn.IFS(AND(A467&gt;NumberOfPlots,ISBLANK(INDEX(PlotData,MATCH($A467,PlotNumber,0),MATCH(B$3,PlotTitles,0)))),"",ISNUMBER(INDEX(PlotData,MATCH($A467,PlotNumber,0),MATCH(B$3,PlotTitles,0)))=FALSE, $AB$5,TRUE,"")</f>
        <v/>
      </c>
      <c r="C467" s="104" t="str" cm="1">
        <f t="array" ref="C467">_xlfn.IFS(AND(A467&gt;NumberOfPlots,ISBLANK(INDEX(PlotData,MATCH($A467,PlotNumber,0),MATCH(B$3,PlotTitles,0)))),"",ISBLANK(INDEX(PlotData,MATCH($A467,PlotNumber,0),MATCH(C$3,PlotTitles,0))),$AB$6,TRUE,"")</f>
        <v/>
      </c>
      <c r="D467" s="104" t="str" cm="1">
        <f t="array" ref="D467">_xlfn.IFS(AND(A467&gt;NumberOfPlots,ISBLANK(INDEX(PlotData,MATCH($A467,PlotNumber,0),MATCH(B$3,PlotTitles,0)))),"",ISBLANK(INDEX(PlotData,MATCH($A467,PlotNumber,0),MATCH(D$3,PlotTitles,0))),$AB$7,TRUE,"")</f>
        <v/>
      </c>
      <c r="E467" s="104" t="str" cm="1">
        <f t="array" ref="E467">_xlfn.IFS(AND(A467&gt;NumberOfPlots,ISBLANK(INDEX(PlotData,MATCH($A467,PlotNumber,0),MATCH(B$3,PlotTitles,0)))),"",ISBLANK(INDEX(PlotData,MATCH($A467,PlotNumber,0),MATCH(E$3,PlotTitles,0))),$AB$8,TRUE,"")</f>
        <v/>
      </c>
      <c r="F467" s="104" t="str" cm="1">
        <f t="array" ref="F467">_xlfn.IFS(AND(A467&gt;NumberOfPlots,ISBLANK(INDEX(PlotData,MATCH($A467,PlotNumber,0),MATCH(B$3,PlotTitles,0)))),"",ISBLANK(INDEX(PlotData,MATCH($A467,PlotNumber,0),MATCH(F$3,PlotTitles,0))),$AB$9,TRUE,"")</f>
        <v/>
      </c>
      <c r="G467" s="104" t="str" cm="1">
        <f t="array" ref="G467">_xlfn.IFS(AND(A467&gt;NumberOfPlots,ISBLANK(INDEX(PlotData,MATCH($A467,PlotNumber,0),MATCH(B$3,PlotTitles,0)))),"",ISBLANK(INDEX(PlotData,MATCH($A467,PlotNumber,0),MATCH(G$3,PlotTitles,0))),$AB$10,TRUE,"")</f>
        <v/>
      </c>
      <c r="H467" s="104" t="str" cm="1">
        <f t="array" ref="H467">_xlfn.IFS(AND(A467&gt;NumberOfPlots,ISBLANK(INDEX(PlotData,MATCH($A467,PlotNumber,0),MATCH(B$3,PlotTitles,0)))),"",AND(ISBLANK(INDEX(PlotData,MATCH($A467,PlotNumber,0),MATCH(H$3,PlotTitles,0)))=FALSE,INDEX(PlotData,MATCH($A467,PlotNumber,0),MATCH(H$3,PlotTitles,0))&lt;500), $AB$11,TRUE,"")</f>
        <v/>
      </c>
      <c r="I467" s="104" t="str" cm="1">
        <f t="array" ref="I467">_xlfn.IFS(AND(A467&gt;NumberOfPlots,ISBLANK(INDEX(PlotData,MATCH($A467,PlotNumber,0),MATCH(B$3,PlotTitles,0)))),"",ISBLANK(INDEX(PlotData,MATCH($A467,PlotNumber,0),MATCH(I$3,PlotTitles,0))),$AB$12,TRUE,"")</f>
        <v/>
      </c>
      <c r="J467" s="104" t="str" cm="1">
        <f t="array" ref="J467">_xlfn.IFS(AND(A467&gt;NumberOfPlots,ISBLANK(INDEX(PlotData,MATCH($A467,PlotNumber,0),MATCH(B$3,PlotTitles,0)))),"",ISBLANK(INDEX(PlotData,MATCH($A467,PlotNumber,0),MATCH(J$3,PlotTitles,0))),$AB$13,TRUE,"")</f>
        <v/>
      </c>
      <c r="K467" s="182" t="str">
        <f t="shared" ca="1" si="21"/>
        <v/>
      </c>
      <c r="L467" s="104" t="str" cm="1">
        <f t="array" ref="L467">_xlfn.IFS(OR(ISBLANK(StartDateMonth),ISBLANK(StartDateYear)),"",AND(A467&gt;NumberOfPlots,ISBLANK(INDEX(PlotData,MATCH($A467,PlotNumber,0),MATCH(B$3,PlotTitles,0)))),"",ISBLANK(INDEX(PlotData,MATCH($A467,PlotNumber,0),MATCH(I$3,PlotTitles,0))),"",(DATEVALUE(INDEX(PlotData,MATCH($A467,PlotNumber,0),MATCH(I$3,PlotTitles,0))&amp;INDEX(PlotData,MATCH($A467,PlotNumber,0),MATCH(J$3,PlotTitles,0))))&lt;DATEVALUE(StartDateMonth&amp;StartDateYear),$AB$15,TRUE,"")</f>
        <v/>
      </c>
      <c r="M467" s="104" t="str" cm="1">
        <f t="array" ref="M467">_xlfn.IFS(OR(ISBLANK(StartDateMonth),ISBLANK(StartDateYear)),"",AND(A467&gt;NumberOfPlots,ISBLANK(INDEX(PlotData,MATCH($A467,PlotNumber,0),MATCH(B$3,PlotTitles,0)))),"",ISBLANK(INDEX(PlotData,MATCH($A467,PlotNumber,0),MATCH(I$3,PlotTitles,0))),"",CompletionMonth="","",(DATEVALUE(INDEX(PlotData,MATCH($A467,PlotNumber,0),MATCH(I$3,PlotTitles,0))&amp;INDEX(PlotData,MATCH($A467,PlotNumber,0),MATCH(J$3,PlotTitles,0))))&gt;(DATEVALUE(CompletionMonth&amp;CompletionYear)),$AB$16,TRUE,"")</f>
        <v/>
      </c>
      <c r="N467" s="104" t="str" cm="1">
        <f t="array" ref="N467">_xlfn.IFS(AND(A467&gt;NumberOfPlots,ISBLANK(INDEX(PlotData,MATCH($A467,PlotNumber,0),MATCH(B$3,PlotTitles,0)))),"",ISBLANK(INDEX(PlotData,MATCH($A467,PlotNumber,0),MATCH(N$3,PlotTitles,0))),$AB$17,TRUE,"")</f>
        <v/>
      </c>
      <c r="O467" s="104" t="str" cm="1">
        <f t="array" ref="O467">_xlfn.IFS(AND(A467&gt;NumberOfPlots,ISBLANK(INDEX(PlotData,MATCH($A467,PlotNumber,0),MATCH(B$3,PlotTitles,0)))),"",ISBLANK(INDEX(PlotData,MATCH($A467,PlotNumber,0),MATCH(O$3,PlotTitles,0))),$AB$18,TRUE,"")</f>
        <v/>
      </c>
      <c r="P467" s="182" t="str">
        <f t="shared" ca="1" si="22"/>
        <v/>
      </c>
      <c r="Q467" s="104" t="str" cm="1">
        <f t="array" ref="Q467">_xlfn.IFS(AND(A467&gt;NumberOfPlots,ISBLANK(INDEX(PlotData,MATCH($A467,PlotNumber,0),MATCH(B$3,PlotTitles,0)))),"",ISBLANK(INDEX(PlotData,MATCH($A467,PlotNumber,0),MATCH(N$3,PlotTitles,0))),"",(DATEVALUE(INDEX(PlotData,MATCH($A467,PlotNumber,0),MATCH(N$3,PlotTitles,0))&amp;INDEX(PlotData,MATCH($A467,PlotNumber,0),MATCH(O$3,PlotTitles,0))))&lt;(DATEVALUE(INDEX(PlotData,MATCH($A467,PlotNumber,0),MATCH(I$3,PlotTitles,0))&amp;INDEX(PlotData,MATCH($A467,PlotNumber,0),MATCH(J$3,PlotTitles,0)))),$AB$20,TRUE,"")</f>
        <v/>
      </c>
      <c r="R467" s="104" t="str" cm="1">
        <f t="array" ref="R467">_xlfn.IFS(OR(ISBLANK(StartDateMonth),ISBLANK(StartDateYear)),"",AND(A467&gt;NumberOfPlots,ISBLANK(INDEX(PlotData,MATCH($A467,PlotNumber,0),MATCH(B$3,PlotTitles,0)))),"",ISBLANK(INDEX(PlotData,MATCH($A467,PlotNumber,0),MATCH(N$3,PlotTitles,0))),"",CompletionMonth="","",(DATEVALUE(INDEX(PlotData,MATCH($A467,PlotNumber,0),MATCH(N$3,PlotTitles,0))&amp;INDEX(PlotData,MATCH($A467,PlotNumber,0),MATCH(O$3,PlotTitles,0))))&gt;(DATEVALUE(CompletionMonth&amp;CompletionYear)),$AB$21,TRUE,"")</f>
        <v/>
      </c>
      <c r="S467" s="104" t="str" cm="1">
        <f t="array" ref="S467">_xlfn.IFS(AND(A467&gt;NumberOfPlots,ISBLANK(INDEX(PlotData,MATCH($A467,PlotNumber,0),MATCH(B$3,PlotTitles,0)))),"",OR(AND(INDEX(PlotData,MATCH($A467,PlotNumber,0),MATCH("Tenure",PlotTitles,0))="Open market housing",INDEX(PlotData,MATCH($A467,PlotNumber,0),MATCH("Tenure detail",PlotTitles,0))="Private rented sector"),INDEX(PlotData,MATCH($A467,PlotNumber,0),MATCH("Tenure",PlotTitles,0))="Affordable rent"),"",ISNUMBER(INDEX(PlotData,MATCH($A467,PlotNumber,0),MATCH(S$3,PlotTitles,0)))=FALSE, $AB$22,TRUE,"")</f>
        <v/>
      </c>
      <c r="T467" s="104" t="str" cm="1">
        <f t="array" ref="T467">_xlfn.IFS(AND(A467&gt;NumberOfPlots,ISBLANK(INDEX(PlotData,MATCH($A467,PlotNumber,0),MATCH(B$3,PlotTitles,0)))),"",OR(AND(INDEX(PlotData,MATCH($A467,PlotNumber,0),MATCH("Tenure",PlotTitles,0))="Open market housing",INDEX(PlotData,MATCH($A467,PlotNumber,0),MATCH("Tenure detail",PlotTitles,0))="Private rented sector"),INDEX(PlotData,MATCH($A467,PlotNumber,0),MATCH("Tenure",PlotTitles,0))="Affordable rent"),"",INDEX(PlotData,MATCH($A467,PlotNumber,0),MATCH(S$3,PlotTitles,0))&lt;10000, $AB$23,TRUE,"")</f>
        <v/>
      </c>
      <c r="U467" s="104" t="str" cm="1">
        <f t="array" ref="U467">_xlfn.IFS(AND(A467&gt;NumberOfPlots,ISBLANK(INDEX(PlotData,MATCH($A467,PlotNumber,0),MATCH(B$3,PlotTitles,0)))),"",NOT(OR(AND(INDEX(PlotData,MATCH($A467,PlotNumber,0),MATCH("Tenure",PlotTitles,0))="Open market housing",INDEX(PlotData,MATCH($A467,PlotNumber,0),MATCH("Tenure detail",PlotTitles,0))="Private rented sector"),INDEX(PlotData,MATCH($A467,PlotNumber,0),MATCH("Tenure",PlotTitles,0))="Affordable rent")),"",NOT(INDEX(PlotData,MATCH($A467,PlotNumber,0),MATCH(S$3,PlotTitles,0))=0), $AB$24,TRUE,"")</f>
        <v/>
      </c>
      <c r="V467" s="114" t="str" cm="1">
        <f t="array" aca="1" ref="V467" ca="1">_xlfn.IFS(ISBLANK(NumberOfPlots),"Enter the number of homes on the 1_SetUp sheet",AND(A467&gt;NumberOfPlots,ISBLANK(INDEX(PlotData,MATCH($A467,PlotNumber,0),MATCH(B$3,PlotTitles,0)))),"No error",NOT(B467=""),B467,NOT(C467=""),C467,NOT(D467=""),D467,NOT(E467=""),E467,NOT(F467=""),F467,NOT(G467=""),G467,NOT(H467=""),H467,NOT(I467=""),I467,NOT(J467=""),J467,NOT(K467=""),K467,NOT(L467=""),L467,NOT(M467=""),M467,NOT(N467=""),N467,NOT(O467=""),O467,NOT(P467=""),P467,NOT(Q467=""),Q467,NOT(R467=""),R467,NOT(S467=""),S467,NOT(T467=""),T467,NOT(U467=""),U467,TRUE,"No error")</f>
        <v>Enter the number of homes on the 1_SetUp sheet</v>
      </c>
      <c r="W467" s="114" t="str">
        <f t="shared" ca="1" si="23"/>
        <v xml:space="preserve">The Borrower has not addressed the following error messages for Home ID 463: </v>
      </c>
    </row>
    <row r="468" spans="1:23">
      <c r="A468" s="123">
        <v>464</v>
      </c>
      <c r="B468" s="104" t="str" cm="1">
        <f t="array" ref="B468">_xlfn.IFS(AND(A468&gt;NumberOfPlots,ISBLANK(INDEX(PlotData,MATCH($A468,PlotNumber,0),MATCH(B$3,PlotTitles,0)))),"",ISNUMBER(INDEX(PlotData,MATCH($A468,PlotNumber,0),MATCH(B$3,PlotTitles,0)))=FALSE, $AB$5,TRUE,"")</f>
        <v/>
      </c>
      <c r="C468" s="104" t="str" cm="1">
        <f t="array" ref="C468">_xlfn.IFS(AND(A468&gt;NumberOfPlots,ISBLANK(INDEX(PlotData,MATCH($A468,PlotNumber,0),MATCH(B$3,PlotTitles,0)))),"",ISBLANK(INDEX(PlotData,MATCH($A468,PlotNumber,0),MATCH(C$3,PlotTitles,0))),$AB$6,TRUE,"")</f>
        <v/>
      </c>
      <c r="D468" s="104" t="str" cm="1">
        <f t="array" ref="D468">_xlfn.IFS(AND(A468&gt;NumberOfPlots,ISBLANK(INDEX(PlotData,MATCH($A468,PlotNumber,0),MATCH(B$3,PlotTitles,0)))),"",ISBLANK(INDEX(PlotData,MATCH($A468,PlotNumber,0),MATCH(D$3,PlotTitles,0))),$AB$7,TRUE,"")</f>
        <v/>
      </c>
      <c r="E468" s="104" t="str" cm="1">
        <f t="array" ref="E468">_xlfn.IFS(AND(A468&gt;NumberOfPlots,ISBLANK(INDEX(PlotData,MATCH($A468,PlotNumber,0),MATCH(B$3,PlotTitles,0)))),"",ISBLANK(INDEX(PlotData,MATCH($A468,PlotNumber,0),MATCH(E$3,PlotTitles,0))),$AB$8,TRUE,"")</f>
        <v/>
      </c>
      <c r="F468" s="104" t="str" cm="1">
        <f t="array" ref="F468">_xlfn.IFS(AND(A468&gt;NumberOfPlots,ISBLANK(INDEX(PlotData,MATCH($A468,PlotNumber,0),MATCH(B$3,PlotTitles,0)))),"",ISBLANK(INDEX(PlotData,MATCH($A468,PlotNumber,0),MATCH(F$3,PlotTitles,0))),$AB$9,TRUE,"")</f>
        <v/>
      </c>
      <c r="G468" s="104" t="str" cm="1">
        <f t="array" ref="G468">_xlfn.IFS(AND(A468&gt;NumberOfPlots,ISBLANK(INDEX(PlotData,MATCH($A468,PlotNumber,0),MATCH(B$3,PlotTitles,0)))),"",ISBLANK(INDEX(PlotData,MATCH($A468,PlotNumber,0),MATCH(G$3,PlotTitles,0))),$AB$10,TRUE,"")</f>
        <v/>
      </c>
      <c r="H468" s="104" t="str" cm="1">
        <f t="array" ref="H468">_xlfn.IFS(AND(A468&gt;NumberOfPlots,ISBLANK(INDEX(PlotData,MATCH($A468,PlotNumber,0),MATCH(B$3,PlotTitles,0)))),"",AND(ISBLANK(INDEX(PlotData,MATCH($A468,PlotNumber,0),MATCH(H$3,PlotTitles,0)))=FALSE,INDEX(PlotData,MATCH($A468,PlotNumber,0),MATCH(H$3,PlotTitles,0))&lt;500), $AB$11,TRUE,"")</f>
        <v/>
      </c>
      <c r="I468" s="104" t="str" cm="1">
        <f t="array" ref="I468">_xlfn.IFS(AND(A468&gt;NumberOfPlots,ISBLANK(INDEX(PlotData,MATCH($A468,PlotNumber,0),MATCH(B$3,PlotTitles,0)))),"",ISBLANK(INDEX(PlotData,MATCH($A468,PlotNumber,0),MATCH(I$3,PlotTitles,0))),$AB$12,TRUE,"")</f>
        <v/>
      </c>
      <c r="J468" s="104" t="str" cm="1">
        <f t="array" ref="J468">_xlfn.IFS(AND(A468&gt;NumberOfPlots,ISBLANK(INDEX(PlotData,MATCH($A468,PlotNumber,0),MATCH(B$3,PlotTitles,0)))),"",ISBLANK(INDEX(PlotData,MATCH($A468,PlotNumber,0),MATCH(J$3,PlotTitles,0))),$AB$13,TRUE,"")</f>
        <v/>
      </c>
      <c r="K468" s="182" t="str">
        <f t="shared" ca="1" si="21"/>
        <v/>
      </c>
      <c r="L468" s="104" t="str" cm="1">
        <f t="array" ref="L468">_xlfn.IFS(OR(ISBLANK(StartDateMonth),ISBLANK(StartDateYear)),"",AND(A468&gt;NumberOfPlots,ISBLANK(INDEX(PlotData,MATCH($A468,PlotNumber,0),MATCH(B$3,PlotTitles,0)))),"",ISBLANK(INDEX(PlotData,MATCH($A468,PlotNumber,0),MATCH(I$3,PlotTitles,0))),"",(DATEVALUE(INDEX(PlotData,MATCH($A468,PlotNumber,0),MATCH(I$3,PlotTitles,0))&amp;INDEX(PlotData,MATCH($A468,PlotNumber,0),MATCH(J$3,PlotTitles,0))))&lt;DATEVALUE(StartDateMonth&amp;StartDateYear),$AB$15,TRUE,"")</f>
        <v/>
      </c>
      <c r="M468" s="104" t="str" cm="1">
        <f t="array" ref="M468">_xlfn.IFS(OR(ISBLANK(StartDateMonth),ISBLANK(StartDateYear)),"",AND(A468&gt;NumberOfPlots,ISBLANK(INDEX(PlotData,MATCH($A468,PlotNumber,0),MATCH(B$3,PlotTitles,0)))),"",ISBLANK(INDEX(PlotData,MATCH($A468,PlotNumber,0),MATCH(I$3,PlotTitles,0))),"",CompletionMonth="","",(DATEVALUE(INDEX(PlotData,MATCH($A468,PlotNumber,0),MATCH(I$3,PlotTitles,0))&amp;INDEX(PlotData,MATCH($A468,PlotNumber,0),MATCH(J$3,PlotTitles,0))))&gt;(DATEVALUE(CompletionMonth&amp;CompletionYear)),$AB$16,TRUE,"")</f>
        <v/>
      </c>
      <c r="N468" s="104" t="str" cm="1">
        <f t="array" ref="N468">_xlfn.IFS(AND(A468&gt;NumberOfPlots,ISBLANK(INDEX(PlotData,MATCH($A468,PlotNumber,0),MATCH(B$3,PlotTitles,0)))),"",ISBLANK(INDEX(PlotData,MATCH($A468,PlotNumber,0),MATCH(N$3,PlotTitles,0))),$AB$17,TRUE,"")</f>
        <v/>
      </c>
      <c r="O468" s="104" t="str" cm="1">
        <f t="array" ref="O468">_xlfn.IFS(AND(A468&gt;NumberOfPlots,ISBLANK(INDEX(PlotData,MATCH($A468,PlotNumber,0),MATCH(B$3,PlotTitles,0)))),"",ISBLANK(INDEX(PlotData,MATCH($A468,PlotNumber,0),MATCH(O$3,PlotTitles,0))),$AB$18,TRUE,"")</f>
        <v/>
      </c>
      <c r="P468" s="182" t="str">
        <f t="shared" ca="1" si="22"/>
        <v/>
      </c>
      <c r="Q468" s="104" t="str" cm="1">
        <f t="array" ref="Q468">_xlfn.IFS(AND(A468&gt;NumberOfPlots,ISBLANK(INDEX(PlotData,MATCH($A468,PlotNumber,0),MATCH(B$3,PlotTitles,0)))),"",ISBLANK(INDEX(PlotData,MATCH($A468,PlotNumber,0),MATCH(N$3,PlotTitles,0))),"",(DATEVALUE(INDEX(PlotData,MATCH($A468,PlotNumber,0),MATCH(N$3,PlotTitles,0))&amp;INDEX(PlotData,MATCH($A468,PlotNumber,0),MATCH(O$3,PlotTitles,0))))&lt;(DATEVALUE(INDEX(PlotData,MATCH($A468,PlotNumber,0),MATCH(I$3,PlotTitles,0))&amp;INDEX(PlotData,MATCH($A468,PlotNumber,0),MATCH(J$3,PlotTitles,0)))),$AB$20,TRUE,"")</f>
        <v/>
      </c>
      <c r="R468" s="104" t="str" cm="1">
        <f t="array" ref="R468">_xlfn.IFS(OR(ISBLANK(StartDateMonth),ISBLANK(StartDateYear)),"",AND(A468&gt;NumberOfPlots,ISBLANK(INDEX(PlotData,MATCH($A468,PlotNumber,0),MATCH(B$3,PlotTitles,0)))),"",ISBLANK(INDEX(PlotData,MATCH($A468,PlotNumber,0),MATCH(N$3,PlotTitles,0))),"",CompletionMonth="","",(DATEVALUE(INDEX(PlotData,MATCH($A468,PlotNumber,0),MATCH(N$3,PlotTitles,0))&amp;INDEX(PlotData,MATCH($A468,PlotNumber,0),MATCH(O$3,PlotTitles,0))))&gt;(DATEVALUE(CompletionMonth&amp;CompletionYear)),$AB$21,TRUE,"")</f>
        <v/>
      </c>
      <c r="S468" s="104" t="str" cm="1">
        <f t="array" ref="S468">_xlfn.IFS(AND(A468&gt;NumberOfPlots,ISBLANK(INDEX(PlotData,MATCH($A468,PlotNumber,0),MATCH(B$3,PlotTitles,0)))),"",OR(AND(INDEX(PlotData,MATCH($A468,PlotNumber,0),MATCH("Tenure",PlotTitles,0))="Open market housing",INDEX(PlotData,MATCH($A468,PlotNumber,0),MATCH("Tenure detail",PlotTitles,0))="Private rented sector"),INDEX(PlotData,MATCH($A468,PlotNumber,0),MATCH("Tenure",PlotTitles,0))="Affordable rent"),"",ISNUMBER(INDEX(PlotData,MATCH($A468,PlotNumber,0),MATCH(S$3,PlotTitles,0)))=FALSE, $AB$22,TRUE,"")</f>
        <v/>
      </c>
      <c r="T468" s="104" t="str" cm="1">
        <f t="array" ref="T468">_xlfn.IFS(AND(A468&gt;NumberOfPlots,ISBLANK(INDEX(PlotData,MATCH($A468,PlotNumber,0),MATCH(B$3,PlotTitles,0)))),"",OR(AND(INDEX(PlotData,MATCH($A468,PlotNumber,0),MATCH("Tenure",PlotTitles,0))="Open market housing",INDEX(PlotData,MATCH($A468,PlotNumber,0),MATCH("Tenure detail",PlotTitles,0))="Private rented sector"),INDEX(PlotData,MATCH($A468,PlotNumber,0),MATCH("Tenure",PlotTitles,0))="Affordable rent"),"",INDEX(PlotData,MATCH($A468,PlotNumber,0),MATCH(S$3,PlotTitles,0))&lt;10000, $AB$23,TRUE,"")</f>
        <v/>
      </c>
      <c r="U468" s="104" t="str" cm="1">
        <f t="array" ref="U468">_xlfn.IFS(AND(A468&gt;NumberOfPlots,ISBLANK(INDEX(PlotData,MATCH($A468,PlotNumber,0),MATCH(B$3,PlotTitles,0)))),"",NOT(OR(AND(INDEX(PlotData,MATCH($A468,PlotNumber,0),MATCH("Tenure",PlotTitles,0))="Open market housing",INDEX(PlotData,MATCH($A468,PlotNumber,0),MATCH("Tenure detail",PlotTitles,0))="Private rented sector"),INDEX(PlotData,MATCH($A468,PlotNumber,0),MATCH("Tenure",PlotTitles,0))="Affordable rent")),"",NOT(INDEX(PlotData,MATCH($A468,PlotNumber,0),MATCH(S$3,PlotTitles,0))=0), $AB$24,TRUE,"")</f>
        <v/>
      </c>
      <c r="V468" s="114" t="str" cm="1">
        <f t="array" aca="1" ref="V468" ca="1">_xlfn.IFS(ISBLANK(NumberOfPlots),"Enter the number of homes on the 1_SetUp sheet",AND(A468&gt;NumberOfPlots,ISBLANK(INDEX(PlotData,MATCH($A468,PlotNumber,0),MATCH(B$3,PlotTitles,0)))),"No error",NOT(B468=""),B468,NOT(C468=""),C468,NOT(D468=""),D468,NOT(E468=""),E468,NOT(F468=""),F468,NOT(G468=""),G468,NOT(H468=""),H468,NOT(I468=""),I468,NOT(J468=""),J468,NOT(K468=""),K468,NOT(L468=""),L468,NOT(M468=""),M468,NOT(N468=""),N468,NOT(O468=""),O468,NOT(P468=""),P468,NOT(Q468=""),Q468,NOT(R468=""),R468,NOT(S468=""),S468,NOT(T468=""),T468,NOT(U468=""),U468,TRUE,"No error")</f>
        <v>Enter the number of homes on the 1_SetUp sheet</v>
      </c>
      <c r="W468" s="114" t="str">
        <f t="shared" ca="1" si="23"/>
        <v xml:space="preserve">The Borrower has not addressed the following error messages for Home ID 464: </v>
      </c>
    </row>
    <row r="469" spans="1:23">
      <c r="A469" s="123">
        <v>465</v>
      </c>
      <c r="B469" s="104" t="str" cm="1">
        <f t="array" ref="B469">_xlfn.IFS(AND(A469&gt;NumberOfPlots,ISBLANK(INDEX(PlotData,MATCH($A469,PlotNumber,0),MATCH(B$3,PlotTitles,0)))),"",ISNUMBER(INDEX(PlotData,MATCH($A469,PlotNumber,0),MATCH(B$3,PlotTitles,0)))=FALSE, $AB$5,TRUE,"")</f>
        <v/>
      </c>
      <c r="C469" s="104" t="str" cm="1">
        <f t="array" ref="C469">_xlfn.IFS(AND(A469&gt;NumberOfPlots,ISBLANK(INDEX(PlotData,MATCH($A469,PlotNumber,0),MATCH(B$3,PlotTitles,0)))),"",ISBLANK(INDEX(PlotData,MATCH($A469,PlotNumber,0),MATCH(C$3,PlotTitles,0))),$AB$6,TRUE,"")</f>
        <v/>
      </c>
      <c r="D469" s="104" t="str" cm="1">
        <f t="array" ref="D469">_xlfn.IFS(AND(A469&gt;NumberOfPlots,ISBLANK(INDEX(PlotData,MATCH($A469,PlotNumber,0),MATCH(B$3,PlotTitles,0)))),"",ISBLANK(INDEX(PlotData,MATCH($A469,PlotNumber,0),MATCH(D$3,PlotTitles,0))),$AB$7,TRUE,"")</f>
        <v/>
      </c>
      <c r="E469" s="104" t="str" cm="1">
        <f t="array" ref="E469">_xlfn.IFS(AND(A469&gt;NumberOfPlots,ISBLANK(INDEX(PlotData,MATCH($A469,PlotNumber,0),MATCH(B$3,PlotTitles,0)))),"",ISBLANK(INDEX(PlotData,MATCH($A469,PlotNumber,0),MATCH(E$3,PlotTitles,0))),$AB$8,TRUE,"")</f>
        <v/>
      </c>
      <c r="F469" s="104" t="str" cm="1">
        <f t="array" ref="F469">_xlfn.IFS(AND(A469&gt;NumberOfPlots,ISBLANK(INDEX(PlotData,MATCH($A469,PlotNumber,0),MATCH(B$3,PlotTitles,0)))),"",ISBLANK(INDEX(PlotData,MATCH($A469,PlotNumber,0),MATCH(F$3,PlotTitles,0))),$AB$9,TRUE,"")</f>
        <v/>
      </c>
      <c r="G469" s="104" t="str" cm="1">
        <f t="array" ref="G469">_xlfn.IFS(AND(A469&gt;NumberOfPlots,ISBLANK(INDEX(PlotData,MATCH($A469,PlotNumber,0),MATCH(B$3,PlotTitles,0)))),"",ISBLANK(INDEX(PlotData,MATCH($A469,PlotNumber,0),MATCH(G$3,PlotTitles,0))),$AB$10,TRUE,"")</f>
        <v/>
      </c>
      <c r="H469" s="104" t="str" cm="1">
        <f t="array" ref="H469">_xlfn.IFS(AND(A469&gt;NumberOfPlots,ISBLANK(INDEX(PlotData,MATCH($A469,PlotNumber,0),MATCH(B$3,PlotTitles,0)))),"",AND(ISBLANK(INDEX(PlotData,MATCH($A469,PlotNumber,0),MATCH(H$3,PlotTitles,0)))=FALSE,INDEX(PlotData,MATCH($A469,PlotNumber,0),MATCH(H$3,PlotTitles,0))&lt;500), $AB$11,TRUE,"")</f>
        <v/>
      </c>
      <c r="I469" s="104" t="str" cm="1">
        <f t="array" ref="I469">_xlfn.IFS(AND(A469&gt;NumberOfPlots,ISBLANK(INDEX(PlotData,MATCH($A469,PlotNumber,0),MATCH(B$3,PlotTitles,0)))),"",ISBLANK(INDEX(PlotData,MATCH($A469,PlotNumber,0),MATCH(I$3,PlotTitles,0))),$AB$12,TRUE,"")</f>
        <v/>
      </c>
      <c r="J469" s="104" t="str" cm="1">
        <f t="array" ref="J469">_xlfn.IFS(AND(A469&gt;NumberOfPlots,ISBLANK(INDEX(PlotData,MATCH($A469,PlotNumber,0),MATCH(B$3,PlotTitles,0)))),"",ISBLANK(INDEX(PlotData,MATCH($A469,PlotNumber,0),MATCH(J$3,PlotTitles,0))),$AB$13,TRUE,"")</f>
        <v/>
      </c>
      <c r="K469" s="182" t="str">
        <f t="shared" ca="1" si="21"/>
        <v/>
      </c>
      <c r="L469" s="104" t="str" cm="1">
        <f t="array" ref="L469">_xlfn.IFS(OR(ISBLANK(StartDateMonth),ISBLANK(StartDateYear)),"",AND(A469&gt;NumberOfPlots,ISBLANK(INDEX(PlotData,MATCH($A469,PlotNumber,0),MATCH(B$3,PlotTitles,0)))),"",ISBLANK(INDEX(PlotData,MATCH($A469,PlotNumber,0),MATCH(I$3,PlotTitles,0))),"",(DATEVALUE(INDEX(PlotData,MATCH($A469,PlotNumber,0),MATCH(I$3,PlotTitles,0))&amp;INDEX(PlotData,MATCH($A469,PlotNumber,0),MATCH(J$3,PlotTitles,0))))&lt;DATEVALUE(StartDateMonth&amp;StartDateYear),$AB$15,TRUE,"")</f>
        <v/>
      </c>
      <c r="M469" s="104" t="str" cm="1">
        <f t="array" ref="M469">_xlfn.IFS(OR(ISBLANK(StartDateMonth),ISBLANK(StartDateYear)),"",AND(A469&gt;NumberOfPlots,ISBLANK(INDEX(PlotData,MATCH($A469,PlotNumber,0),MATCH(B$3,PlotTitles,0)))),"",ISBLANK(INDEX(PlotData,MATCH($A469,PlotNumber,0),MATCH(I$3,PlotTitles,0))),"",CompletionMonth="","",(DATEVALUE(INDEX(PlotData,MATCH($A469,PlotNumber,0),MATCH(I$3,PlotTitles,0))&amp;INDEX(PlotData,MATCH($A469,PlotNumber,0),MATCH(J$3,PlotTitles,0))))&gt;(DATEVALUE(CompletionMonth&amp;CompletionYear)),$AB$16,TRUE,"")</f>
        <v/>
      </c>
      <c r="N469" s="104" t="str" cm="1">
        <f t="array" ref="N469">_xlfn.IFS(AND(A469&gt;NumberOfPlots,ISBLANK(INDEX(PlotData,MATCH($A469,PlotNumber,0),MATCH(B$3,PlotTitles,0)))),"",ISBLANK(INDEX(PlotData,MATCH($A469,PlotNumber,0),MATCH(N$3,PlotTitles,0))),$AB$17,TRUE,"")</f>
        <v/>
      </c>
      <c r="O469" s="104" t="str" cm="1">
        <f t="array" ref="O469">_xlfn.IFS(AND(A469&gt;NumberOfPlots,ISBLANK(INDEX(PlotData,MATCH($A469,PlotNumber,0),MATCH(B$3,PlotTitles,0)))),"",ISBLANK(INDEX(PlotData,MATCH($A469,PlotNumber,0),MATCH(O$3,PlotTitles,0))),$AB$18,TRUE,"")</f>
        <v/>
      </c>
      <c r="P469" s="182" t="str">
        <f t="shared" ca="1" si="22"/>
        <v/>
      </c>
      <c r="Q469" s="104" t="str" cm="1">
        <f t="array" ref="Q469">_xlfn.IFS(AND(A469&gt;NumberOfPlots,ISBLANK(INDEX(PlotData,MATCH($A469,PlotNumber,0),MATCH(B$3,PlotTitles,0)))),"",ISBLANK(INDEX(PlotData,MATCH($A469,PlotNumber,0),MATCH(N$3,PlotTitles,0))),"",(DATEVALUE(INDEX(PlotData,MATCH($A469,PlotNumber,0),MATCH(N$3,PlotTitles,0))&amp;INDEX(PlotData,MATCH($A469,PlotNumber,0),MATCH(O$3,PlotTitles,0))))&lt;(DATEVALUE(INDEX(PlotData,MATCH($A469,PlotNumber,0),MATCH(I$3,PlotTitles,0))&amp;INDEX(PlotData,MATCH($A469,PlotNumber,0),MATCH(J$3,PlotTitles,0)))),$AB$20,TRUE,"")</f>
        <v/>
      </c>
      <c r="R469" s="104" t="str" cm="1">
        <f t="array" ref="R469">_xlfn.IFS(OR(ISBLANK(StartDateMonth),ISBLANK(StartDateYear)),"",AND(A469&gt;NumberOfPlots,ISBLANK(INDEX(PlotData,MATCH($A469,PlotNumber,0),MATCH(B$3,PlotTitles,0)))),"",ISBLANK(INDEX(PlotData,MATCH($A469,PlotNumber,0),MATCH(N$3,PlotTitles,0))),"",CompletionMonth="","",(DATEVALUE(INDEX(PlotData,MATCH($A469,PlotNumber,0),MATCH(N$3,PlotTitles,0))&amp;INDEX(PlotData,MATCH($A469,PlotNumber,0),MATCH(O$3,PlotTitles,0))))&gt;(DATEVALUE(CompletionMonth&amp;CompletionYear)),$AB$21,TRUE,"")</f>
        <v/>
      </c>
      <c r="S469" s="104" t="str" cm="1">
        <f t="array" ref="S469">_xlfn.IFS(AND(A469&gt;NumberOfPlots,ISBLANK(INDEX(PlotData,MATCH($A469,PlotNumber,0),MATCH(B$3,PlotTitles,0)))),"",OR(AND(INDEX(PlotData,MATCH($A469,PlotNumber,0),MATCH("Tenure",PlotTitles,0))="Open market housing",INDEX(PlotData,MATCH($A469,PlotNumber,0),MATCH("Tenure detail",PlotTitles,0))="Private rented sector"),INDEX(PlotData,MATCH($A469,PlotNumber,0),MATCH("Tenure",PlotTitles,0))="Affordable rent"),"",ISNUMBER(INDEX(PlotData,MATCH($A469,PlotNumber,0),MATCH(S$3,PlotTitles,0)))=FALSE, $AB$22,TRUE,"")</f>
        <v/>
      </c>
      <c r="T469" s="104" t="str" cm="1">
        <f t="array" ref="T469">_xlfn.IFS(AND(A469&gt;NumberOfPlots,ISBLANK(INDEX(PlotData,MATCH($A469,PlotNumber,0),MATCH(B$3,PlotTitles,0)))),"",OR(AND(INDEX(PlotData,MATCH($A469,PlotNumber,0),MATCH("Tenure",PlotTitles,0))="Open market housing",INDEX(PlotData,MATCH($A469,PlotNumber,0),MATCH("Tenure detail",PlotTitles,0))="Private rented sector"),INDEX(PlotData,MATCH($A469,PlotNumber,0),MATCH("Tenure",PlotTitles,0))="Affordable rent"),"",INDEX(PlotData,MATCH($A469,PlotNumber,0),MATCH(S$3,PlotTitles,0))&lt;10000, $AB$23,TRUE,"")</f>
        <v/>
      </c>
      <c r="U469" s="104" t="str" cm="1">
        <f t="array" ref="U469">_xlfn.IFS(AND(A469&gt;NumberOfPlots,ISBLANK(INDEX(PlotData,MATCH($A469,PlotNumber,0),MATCH(B$3,PlotTitles,0)))),"",NOT(OR(AND(INDEX(PlotData,MATCH($A469,PlotNumber,0),MATCH("Tenure",PlotTitles,0))="Open market housing",INDEX(PlotData,MATCH($A469,PlotNumber,0),MATCH("Tenure detail",PlotTitles,0))="Private rented sector"),INDEX(PlotData,MATCH($A469,PlotNumber,0),MATCH("Tenure",PlotTitles,0))="Affordable rent")),"",NOT(INDEX(PlotData,MATCH($A469,PlotNumber,0),MATCH(S$3,PlotTitles,0))=0), $AB$24,TRUE,"")</f>
        <v/>
      </c>
      <c r="V469" s="114" t="str" cm="1">
        <f t="array" aca="1" ref="V469" ca="1">_xlfn.IFS(ISBLANK(NumberOfPlots),"Enter the number of homes on the 1_SetUp sheet",AND(A469&gt;NumberOfPlots,ISBLANK(INDEX(PlotData,MATCH($A469,PlotNumber,0),MATCH(B$3,PlotTitles,0)))),"No error",NOT(B469=""),B469,NOT(C469=""),C469,NOT(D469=""),D469,NOT(E469=""),E469,NOT(F469=""),F469,NOT(G469=""),G469,NOT(H469=""),H469,NOT(I469=""),I469,NOT(J469=""),J469,NOT(K469=""),K469,NOT(L469=""),L469,NOT(M469=""),M469,NOT(N469=""),N469,NOT(O469=""),O469,NOT(P469=""),P469,NOT(Q469=""),Q469,NOT(R469=""),R469,NOT(S469=""),S469,NOT(T469=""),T469,NOT(U469=""),U469,TRUE,"No error")</f>
        <v>Enter the number of homes on the 1_SetUp sheet</v>
      </c>
      <c r="W469" s="114" t="str">
        <f t="shared" ca="1" si="23"/>
        <v xml:space="preserve">The Borrower has not addressed the following error messages for Home ID 465: </v>
      </c>
    </row>
    <row r="470" spans="1:23">
      <c r="A470" s="123">
        <v>466</v>
      </c>
      <c r="B470" s="104" t="str" cm="1">
        <f t="array" ref="B470">_xlfn.IFS(AND(A470&gt;NumberOfPlots,ISBLANK(INDEX(PlotData,MATCH($A470,PlotNumber,0),MATCH(B$3,PlotTitles,0)))),"",ISNUMBER(INDEX(PlotData,MATCH($A470,PlotNumber,0),MATCH(B$3,PlotTitles,0)))=FALSE, $AB$5,TRUE,"")</f>
        <v/>
      </c>
      <c r="C470" s="104" t="str" cm="1">
        <f t="array" ref="C470">_xlfn.IFS(AND(A470&gt;NumberOfPlots,ISBLANK(INDEX(PlotData,MATCH($A470,PlotNumber,0),MATCH(B$3,PlotTitles,0)))),"",ISBLANK(INDEX(PlotData,MATCH($A470,PlotNumber,0),MATCH(C$3,PlotTitles,0))),$AB$6,TRUE,"")</f>
        <v/>
      </c>
      <c r="D470" s="104" t="str" cm="1">
        <f t="array" ref="D470">_xlfn.IFS(AND(A470&gt;NumberOfPlots,ISBLANK(INDEX(PlotData,MATCH($A470,PlotNumber,0),MATCH(B$3,PlotTitles,0)))),"",ISBLANK(INDEX(PlotData,MATCH($A470,PlotNumber,0),MATCH(D$3,PlotTitles,0))),$AB$7,TRUE,"")</f>
        <v/>
      </c>
      <c r="E470" s="104" t="str" cm="1">
        <f t="array" ref="E470">_xlfn.IFS(AND(A470&gt;NumberOfPlots,ISBLANK(INDEX(PlotData,MATCH($A470,PlotNumber,0),MATCH(B$3,PlotTitles,0)))),"",ISBLANK(INDEX(PlotData,MATCH($A470,PlotNumber,0),MATCH(E$3,PlotTitles,0))),$AB$8,TRUE,"")</f>
        <v/>
      </c>
      <c r="F470" s="104" t="str" cm="1">
        <f t="array" ref="F470">_xlfn.IFS(AND(A470&gt;NumberOfPlots,ISBLANK(INDEX(PlotData,MATCH($A470,PlotNumber,0),MATCH(B$3,PlotTitles,0)))),"",ISBLANK(INDEX(PlotData,MATCH($A470,PlotNumber,0),MATCH(F$3,PlotTitles,0))),$AB$9,TRUE,"")</f>
        <v/>
      </c>
      <c r="G470" s="104" t="str" cm="1">
        <f t="array" ref="G470">_xlfn.IFS(AND(A470&gt;NumberOfPlots,ISBLANK(INDEX(PlotData,MATCH($A470,PlotNumber,0),MATCH(B$3,PlotTitles,0)))),"",ISBLANK(INDEX(PlotData,MATCH($A470,PlotNumber,0),MATCH(G$3,PlotTitles,0))),$AB$10,TRUE,"")</f>
        <v/>
      </c>
      <c r="H470" s="104" t="str" cm="1">
        <f t="array" ref="H470">_xlfn.IFS(AND(A470&gt;NumberOfPlots,ISBLANK(INDEX(PlotData,MATCH($A470,PlotNumber,0),MATCH(B$3,PlotTitles,0)))),"",AND(ISBLANK(INDEX(PlotData,MATCH($A470,PlotNumber,0),MATCH(H$3,PlotTitles,0)))=FALSE,INDEX(PlotData,MATCH($A470,PlotNumber,0),MATCH(H$3,PlotTitles,0))&lt;500), $AB$11,TRUE,"")</f>
        <v/>
      </c>
      <c r="I470" s="104" t="str" cm="1">
        <f t="array" ref="I470">_xlfn.IFS(AND(A470&gt;NumberOfPlots,ISBLANK(INDEX(PlotData,MATCH($A470,PlotNumber,0),MATCH(B$3,PlotTitles,0)))),"",ISBLANK(INDEX(PlotData,MATCH($A470,PlotNumber,0),MATCH(I$3,PlotTitles,0))),$AB$12,TRUE,"")</f>
        <v/>
      </c>
      <c r="J470" s="104" t="str" cm="1">
        <f t="array" ref="J470">_xlfn.IFS(AND(A470&gt;NumberOfPlots,ISBLANK(INDEX(PlotData,MATCH($A470,PlotNumber,0),MATCH(B$3,PlotTitles,0)))),"",ISBLANK(INDEX(PlotData,MATCH($A470,PlotNumber,0),MATCH(J$3,PlotTitles,0))),$AB$13,TRUE,"")</f>
        <v/>
      </c>
      <c r="K470" s="182" t="str">
        <f t="shared" ca="1" si="21"/>
        <v/>
      </c>
      <c r="L470" s="104" t="str" cm="1">
        <f t="array" ref="L470">_xlfn.IFS(OR(ISBLANK(StartDateMonth),ISBLANK(StartDateYear)),"",AND(A470&gt;NumberOfPlots,ISBLANK(INDEX(PlotData,MATCH($A470,PlotNumber,0),MATCH(B$3,PlotTitles,0)))),"",ISBLANK(INDEX(PlotData,MATCH($A470,PlotNumber,0),MATCH(I$3,PlotTitles,0))),"",(DATEVALUE(INDEX(PlotData,MATCH($A470,PlotNumber,0),MATCH(I$3,PlotTitles,0))&amp;INDEX(PlotData,MATCH($A470,PlotNumber,0),MATCH(J$3,PlotTitles,0))))&lt;DATEVALUE(StartDateMonth&amp;StartDateYear),$AB$15,TRUE,"")</f>
        <v/>
      </c>
      <c r="M470" s="104" t="str" cm="1">
        <f t="array" ref="M470">_xlfn.IFS(OR(ISBLANK(StartDateMonth),ISBLANK(StartDateYear)),"",AND(A470&gt;NumberOfPlots,ISBLANK(INDEX(PlotData,MATCH($A470,PlotNumber,0),MATCH(B$3,PlotTitles,0)))),"",ISBLANK(INDEX(PlotData,MATCH($A470,PlotNumber,0),MATCH(I$3,PlotTitles,0))),"",CompletionMonth="","",(DATEVALUE(INDEX(PlotData,MATCH($A470,PlotNumber,0),MATCH(I$3,PlotTitles,0))&amp;INDEX(PlotData,MATCH($A470,PlotNumber,0),MATCH(J$3,PlotTitles,0))))&gt;(DATEVALUE(CompletionMonth&amp;CompletionYear)),$AB$16,TRUE,"")</f>
        <v/>
      </c>
      <c r="N470" s="104" t="str" cm="1">
        <f t="array" ref="N470">_xlfn.IFS(AND(A470&gt;NumberOfPlots,ISBLANK(INDEX(PlotData,MATCH($A470,PlotNumber,0),MATCH(B$3,PlotTitles,0)))),"",ISBLANK(INDEX(PlotData,MATCH($A470,PlotNumber,0),MATCH(N$3,PlotTitles,0))),$AB$17,TRUE,"")</f>
        <v/>
      </c>
      <c r="O470" s="104" t="str" cm="1">
        <f t="array" ref="O470">_xlfn.IFS(AND(A470&gt;NumberOfPlots,ISBLANK(INDEX(PlotData,MATCH($A470,PlotNumber,0),MATCH(B$3,PlotTitles,0)))),"",ISBLANK(INDEX(PlotData,MATCH($A470,PlotNumber,0),MATCH(O$3,PlotTitles,0))),$AB$18,TRUE,"")</f>
        <v/>
      </c>
      <c r="P470" s="182" t="str">
        <f t="shared" ca="1" si="22"/>
        <v/>
      </c>
      <c r="Q470" s="104" t="str" cm="1">
        <f t="array" ref="Q470">_xlfn.IFS(AND(A470&gt;NumberOfPlots,ISBLANK(INDEX(PlotData,MATCH($A470,PlotNumber,0),MATCH(B$3,PlotTitles,0)))),"",ISBLANK(INDEX(PlotData,MATCH($A470,PlotNumber,0),MATCH(N$3,PlotTitles,0))),"",(DATEVALUE(INDEX(PlotData,MATCH($A470,PlotNumber,0),MATCH(N$3,PlotTitles,0))&amp;INDEX(PlotData,MATCH($A470,PlotNumber,0),MATCH(O$3,PlotTitles,0))))&lt;(DATEVALUE(INDEX(PlotData,MATCH($A470,PlotNumber,0),MATCH(I$3,PlotTitles,0))&amp;INDEX(PlotData,MATCH($A470,PlotNumber,0),MATCH(J$3,PlotTitles,0)))),$AB$20,TRUE,"")</f>
        <v/>
      </c>
      <c r="R470" s="104" t="str" cm="1">
        <f t="array" ref="R470">_xlfn.IFS(OR(ISBLANK(StartDateMonth),ISBLANK(StartDateYear)),"",AND(A470&gt;NumberOfPlots,ISBLANK(INDEX(PlotData,MATCH($A470,PlotNumber,0),MATCH(B$3,PlotTitles,0)))),"",ISBLANK(INDEX(PlotData,MATCH($A470,PlotNumber,0),MATCH(N$3,PlotTitles,0))),"",CompletionMonth="","",(DATEVALUE(INDEX(PlotData,MATCH($A470,PlotNumber,0),MATCH(N$3,PlotTitles,0))&amp;INDEX(PlotData,MATCH($A470,PlotNumber,0),MATCH(O$3,PlotTitles,0))))&gt;(DATEVALUE(CompletionMonth&amp;CompletionYear)),$AB$21,TRUE,"")</f>
        <v/>
      </c>
      <c r="S470" s="104" t="str" cm="1">
        <f t="array" ref="S470">_xlfn.IFS(AND(A470&gt;NumberOfPlots,ISBLANK(INDEX(PlotData,MATCH($A470,PlotNumber,0),MATCH(B$3,PlotTitles,0)))),"",OR(AND(INDEX(PlotData,MATCH($A470,PlotNumber,0),MATCH("Tenure",PlotTitles,0))="Open market housing",INDEX(PlotData,MATCH($A470,PlotNumber,0),MATCH("Tenure detail",PlotTitles,0))="Private rented sector"),INDEX(PlotData,MATCH($A470,PlotNumber,0),MATCH("Tenure",PlotTitles,0))="Affordable rent"),"",ISNUMBER(INDEX(PlotData,MATCH($A470,PlotNumber,0),MATCH(S$3,PlotTitles,0)))=FALSE, $AB$22,TRUE,"")</f>
        <v/>
      </c>
      <c r="T470" s="104" t="str" cm="1">
        <f t="array" ref="T470">_xlfn.IFS(AND(A470&gt;NumberOfPlots,ISBLANK(INDEX(PlotData,MATCH($A470,PlotNumber,0),MATCH(B$3,PlotTitles,0)))),"",OR(AND(INDEX(PlotData,MATCH($A470,PlotNumber,0),MATCH("Tenure",PlotTitles,0))="Open market housing",INDEX(PlotData,MATCH($A470,PlotNumber,0),MATCH("Tenure detail",PlotTitles,0))="Private rented sector"),INDEX(PlotData,MATCH($A470,PlotNumber,0),MATCH("Tenure",PlotTitles,0))="Affordable rent"),"",INDEX(PlotData,MATCH($A470,PlotNumber,0),MATCH(S$3,PlotTitles,0))&lt;10000, $AB$23,TRUE,"")</f>
        <v/>
      </c>
      <c r="U470" s="104" t="str" cm="1">
        <f t="array" ref="U470">_xlfn.IFS(AND(A470&gt;NumberOfPlots,ISBLANK(INDEX(PlotData,MATCH($A470,PlotNumber,0),MATCH(B$3,PlotTitles,0)))),"",NOT(OR(AND(INDEX(PlotData,MATCH($A470,PlotNumber,0),MATCH("Tenure",PlotTitles,0))="Open market housing",INDEX(PlotData,MATCH($A470,PlotNumber,0),MATCH("Tenure detail",PlotTitles,0))="Private rented sector"),INDEX(PlotData,MATCH($A470,PlotNumber,0),MATCH("Tenure",PlotTitles,0))="Affordable rent")),"",NOT(INDEX(PlotData,MATCH($A470,PlotNumber,0),MATCH(S$3,PlotTitles,0))=0), $AB$24,TRUE,"")</f>
        <v/>
      </c>
      <c r="V470" s="114" t="str" cm="1">
        <f t="array" aca="1" ref="V470" ca="1">_xlfn.IFS(ISBLANK(NumberOfPlots),"Enter the number of homes on the 1_SetUp sheet",AND(A470&gt;NumberOfPlots,ISBLANK(INDEX(PlotData,MATCH($A470,PlotNumber,0),MATCH(B$3,PlotTitles,0)))),"No error",NOT(B470=""),B470,NOT(C470=""),C470,NOT(D470=""),D470,NOT(E470=""),E470,NOT(F470=""),F470,NOT(G470=""),G470,NOT(H470=""),H470,NOT(I470=""),I470,NOT(J470=""),J470,NOT(K470=""),K470,NOT(L470=""),L470,NOT(M470=""),M470,NOT(N470=""),N470,NOT(O470=""),O470,NOT(P470=""),P470,NOT(Q470=""),Q470,NOT(R470=""),R470,NOT(S470=""),S470,NOT(T470=""),T470,NOT(U470=""),U470,TRUE,"No error")</f>
        <v>Enter the number of homes on the 1_SetUp sheet</v>
      </c>
      <c r="W470" s="114" t="str">
        <f t="shared" ca="1" si="23"/>
        <v xml:space="preserve">The Borrower has not addressed the following error messages for Home ID 466: </v>
      </c>
    </row>
    <row r="471" spans="1:23">
      <c r="A471" s="123">
        <v>467</v>
      </c>
      <c r="B471" s="104" t="str" cm="1">
        <f t="array" ref="B471">_xlfn.IFS(AND(A471&gt;NumberOfPlots,ISBLANK(INDEX(PlotData,MATCH($A471,PlotNumber,0),MATCH(B$3,PlotTitles,0)))),"",ISNUMBER(INDEX(PlotData,MATCH($A471,PlotNumber,0),MATCH(B$3,PlotTitles,0)))=FALSE, $AB$5,TRUE,"")</f>
        <v/>
      </c>
      <c r="C471" s="104" t="str" cm="1">
        <f t="array" ref="C471">_xlfn.IFS(AND(A471&gt;NumberOfPlots,ISBLANK(INDEX(PlotData,MATCH($A471,PlotNumber,0),MATCH(B$3,PlotTitles,0)))),"",ISBLANK(INDEX(PlotData,MATCH($A471,PlotNumber,0),MATCH(C$3,PlotTitles,0))),$AB$6,TRUE,"")</f>
        <v/>
      </c>
      <c r="D471" s="104" t="str" cm="1">
        <f t="array" ref="D471">_xlfn.IFS(AND(A471&gt;NumberOfPlots,ISBLANK(INDEX(PlotData,MATCH($A471,PlotNumber,0),MATCH(B$3,PlotTitles,0)))),"",ISBLANK(INDEX(PlotData,MATCH($A471,PlotNumber,0),MATCH(D$3,PlotTitles,0))),$AB$7,TRUE,"")</f>
        <v/>
      </c>
      <c r="E471" s="104" t="str" cm="1">
        <f t="array" ref="E471">_xlfn.IFS(AND(A471&gt;NumberOfPlots,ISBLANK(INDEX(PlotData,MATCH($A471,PlotNumber,0),MATCH(B$3,PlotTitles,0)))),"",ISBLANK(INDEX(PlotData,MATCH($A471,PlotNumber,0),MATCH(E$3,PlotTitles,0))),$AB$8,TRUE,"")</f>
        <v/>
      </c>
      <c r="F471" s="104" t="str" cm="1">
        <f t="array" ref="F471">_xlfn.IFS(AND(A471&gt;NumberOfPlots,ISBLANK(INDEX(PlotData,MATCH($A471,PlotNumber,0),MATCH(B$3,PlotTitles,0)))),"",ISBLANK(INDEX(PlotData,MATCH($A471,PlotNumber,0),MATCH(F$3,PlotTitles,0))),$AB$9,TRUE,"")</f>
        <v/>
      </c>
      <c r="G471" s="104" t="str" cm="1">
        <f t="array" ref="G471">_xlfn.IFS(AND(A471&gt;NumberOfPlots,ISBLANK(INDEX(PlotData,MATCH($A471,PlotNumber,0),MATCH(B$3,PlotTitles,0)))),"",ISBLANK(INDEX(PlotData,MATCH($A471,PlotNumber,0),MATCH(G$3,PlotTitles,0))),$AB$10,TRUE,"")</f>
        <v/>
      </c>
      <c r="H471" s="104" t="str" cm="1">
        <f t="array" ref="H471">_xlfn.IFS(AND(A471&gt;NumberOfPlots,ISBLANK(INDEX(PlotData,MATCH($A471,PlotNumber,0),MATCH(B$3,PlotTitles,0)))),"",AND(ISBLANK(INDEX(PlotData,MATCH($A471,PlotNumber,0),MATCH(H$3,PlotTitles,0)))=FALSE,INDEX(PlotData,MATCH($A471,PlotNumber,0),MATCH(H$3,PlotTitles,0))&lt;500), $AB$11,TRUE,"")</f>
        <v/>
      </c>
      <c r="I471" s="104" t="str" cm="1">
        <f t="array" ref="I471">_xlfn.IFS(AND(A471&gt;NumberOfPlots,ISBLANK(INDEX(PlotData,MATCH($A471,PlotNumber,0),MATCH(B$3,PlotTitles,0)))),"",ISBLANK(INDEX(PlotData,MATCH($A471,PlotNumber,0),MATCH(I$3,PlotTitles,0))),$AB$12,TRUE,"")</f>
        <v/>
      </c>
      <c r="J471" s="104" t="str" cm="1">
        <f t="array" ref="J471">_xlfn.IFS(AND(A471&gt;NumberOfPlots,ISBLANK(INDEX(PlotData,MATCH($A471,PlotNumber,0),MATCH(B$3,PlotTitles,0)))),"",ISBLANK(INDEX(PlotData,MATCH($A471,PlotNumber,0),MATCH(J$3,PlotTitles,0))),$AB$13,TRUE,"")</f>
        <v/>
      </c>
      <c r="K471" s="182" t="str">
        <f t="shared" ca="1" si="21"/>
        <v/>
      </c>
      <c r="L471" s="104" t="str" cm="1">
        <f t="array" ref="L471">_xlfn.IFS(OR(ISBLANK(StartDateMonth),ISBLANK(StartDateYear)),"",AND(A471&gt;NumberOfPlots,ISBLANK(INDEX(PlotData,MATCH($A471,PlotNumber,0),MATCH(B$3,PlotTitles,0)))),"",ISBLANK(INDEX(PlotData,MATCH($A471,PlotNumber,0),MATCH(I$3,PlotTitles,0))),"",(DATEVALUE(INDEX(PlotData,MATCH($A471,PlotNumber,0),MATCH(I$3,PlotTitles,0))&amp;INDEX(PlotData,MATCH($A471,PlotNumber,0),MATCH(J$3,PlotTitles,0))))&lt;DATEVALUE(StartDateMonth&amp;StartDateYear),$AB$15,TRUE,"")</f>
        <v/>
      </c>
      <c r="M471" s="104" t="str" cm="1">
        <f t="array" ref="M471">_xlfn.IFS(OR(ISBLANK(StartDateMonth),ISBLANK(StartDateYear)),"",AND(A471&gt;NumberOfPlots,ISBLANK(INDEX(PlotData,MATCH($A471,PlotNumber,0),MATCH(B$3,PlotTitles,0)))),"",ISBLANK(INDEX(PlotData,MATCH($A471,PlotNumber,0),MATCH(I$3,PlotTitles,0))),"",CompletionMonth="","",(DATEVALUE(INDEX(PlotData,MATCH($A471,PlotNumber,0),MATCH(I$3,PlotTitles,0))&amp;INDEX(PlotData,MATCH($A471,PlotNumber,0),MATCH(J$3,PlotTitles,0))))&gt;(DATEVALUE(CompletionMonth&amp;CompletionYear)),$AB$16,TRUE,"")</f>
        <v/>
      </c>
      <c r="N471" s="104" t="str" cm="1">
        <f t="array" ref="N471">_xlfn.IFS(AND(A471&gt;NumberOfPlots,ISBLANK(INDEX(PlotData,MATCH($A471,PlotNumber,0),MATCH(B$3,PlotTitles,0)))),"",ISBLANK(INDEX(PlotData,MATCH($A471,PlotNumber,0),MATCH(N$3,PlotTitles,0))),$AB$17,TRUE,"")</f>
        <v/>
      </c>
      <c r="O471" s="104" t="str" cm="1">
        <f t="array" ref="O471">_xlfn.IFS(AND(A471&gt;NumberOfPlots,ISBLANK(INDEX(PlotData,MATCH($A471,PlotNumber,0),MATCH(B$3,PlotTitles,0)))),"",ISBLANK(INDEX(PlotData,MATCH($A471,PlotNumber,0),MATCH(O$3,PlotTitles,0))),$AB$18,TRUE,"")</f>
        <v/>
      </c>
      <c r="P471" s="182" t="str">
        <f t="shared" ca="1" si="22"/>
        <v/>
      </c>
      <c r="Q471" s="104" t="str" cm="1">
        <f t="array" ref="Q471">_xlfn.IFS(AND(A471&gt;NumberOfPlots,ISBLANK(INDEX(PlotData,MATCH($A471,PlotNumber,0),MATCH(B$3,PlotTitles,0)))),"",ISBLANK(INDEX(PlotData,MATCH($A471,PlotNumber,0),MATCH(N$3,PlotTitles,0))),"",(DATEVALUE(INDEX(PlotData,MATCH($A471,PlotNumber,0),MATCH(N$3,PlotTitles,0))&amp;INDEX(PlotData,MATCH($A471,PlotNumber,0),MATCH(O$3,PlotTitles,0))))&lt;(DATEVALUE(INDEX(PlotData,MATCH($A471,PlotNumber,0),MATCH(I$3,PlotTitles,0))&amp;INDEX(PlotData,MATCH($A471,PlotNumber,0),MATCH(J$3,PlotTitles,0)))),$AB$20,TRUE,"")</f>
        <v/>
      </c>
      <c r="R471" s="104" t="str" cm="1">
        <f t="array" ref="R471">_xlfn.IFS(OR(ISBLANK(StartDateMonth),ISBLANK(StartDateYear)),"",AND(A471&gt;NumberOfPlots,ISBLANK(INDEX(PlotData,MATCH($A471,PlotNumber,0),MATCH(B$3,PlotTitles,0)))),"",ISBLANK(INDEX(PlotData,MATCH($A471,PlotNumber,0),MATCH(N$3,PlotTitles,0))),"",CompletionMonth="","",(DATEVALUE(INDEX(PlotData,MATCH($A471,PlotNumber,0),MATCH(N$3,PlotTitles,0))&amp;INDEX(PlotData,MATCH($A471,PlotNumber,0),MATCH(O$3,PlotTitles,0))))&gt;(DATEVALUE(CompletionMonth&amp;CompletionYear)),$AB$21,TRUE,"")</f>
        <v/>
      </c>
      <c r="S471" s="104" t="str" cm="1">
        <f t="array" ref="S471">_xlfn.IFS(AND(A471&gt;NumberOfPlots,ISBLANK(INDEX(PlotData,MATCH($A471,PlotNumber,0),MATCH(B$3,PlotTitles,0)))),"",OR(AND(INDEX(PlotData,MATCH($A471,PlotNumber,0),MATCH("Tenure",PlotTitles,0))="Open market housing",INDEX(PlotData,MATCH($A471,PlotNumber,0),MATCH("Tenure detail",PlotTitles,0))="Private rented sector"),INDEX(PlotData,MATCH($A471,PlotNumber,0),MATCH("Tenure",PlotTitles,0))="Affordable rent"),"",ISNUMBER(INDEX(PlotData,MATCH($A471,PlotNumber,0),MATCH(S$3,PlotTitles,0)))=FALSE, $AB$22,TRUE,"")</f>
        <v/>
      </c>
      <c r="T471" s="104" t="str" cm="1">
        <f t="array" ref="T471">_xlfn.IFS(AND(A471&gt;NumberOfPlots,ISBLANK(INDEX(PlotData,MATCH($A471,PlotNumber,0),MATCH(B$3,PlotTitles,0)))),"",OR(AND(INDEX(PlotData,MATCH($A471,PlotNumber,0),MATCH("Tenure",PlotTitles,0))="Open market housing",INDEX(PlotData,MATCH($A471,PlotNumber,0),MATCH("Tenure detail",PlotTitles,0))="Private rented sector"),INDEX(PlotData,MATCH($A471,PlotNumber,0),MATCH("Tenure",PlotTitles,0))="Affordable rent"),"",INDEX(PlotData,MATCH($A471,PlotNumber,0),MATCH(S$3,PlotTitles,0))&lt;10000, $AB$23,TRUE,"")</f>
        <v/>
      </c>
      <c r="U471" s="104" t="str" cm="1">
        <f t="array" ref="U471">_xlfn.IFS(AND(A471&gt;NumberOfPlots,ISBLANK(INDEX(PlotData,MATCH($A471,PlotNumber,0),MATCH(B$3,PlotTitles,0)))),"",NOT(OR(AND(INDEX(PlotData,MATCH($A471,PlotNumber,0),MATCH("Tenure",PlotTitles,0))="Open market housing",INDEX(PlotData,MATCH($A471,PlotNumber,0),MATCH("Tenure detail",PlotTitles,0))="Private rented sector"),INDEX(PlotData,MATCH($A471,PlotNumber,0),MATCH("Tenure",PlotTitles,0))="Affordable rent")),"",NOT(INDEX(PlotData,MATCH($A471,PlotNumber,0),MATCH(S$3,PlotTitles,0))=0), $AB$24,TRUE,"")</f>
        <v/>
      </c>
      <c r="V471" s="114" t="str" cm="1">
        <f t="array" aca="1" ref="V471" ca="1">_xlfn.IFS(ISBLANK(NumberOfPlots),"Enter the number of homes on the 1_SetUp sheet",AND(A471&gt;NumberOfPlots,ISBLANK(INDEX(PlotData,MATCH($A471,PlotNumber,0),MATCH(B$3,PlotTitles,0)))),"No error",NOT(B471=""),B471,NOT(C471=""),C471,NOT(D471=""),D471,NOT(E471=""),E471,NOT(F471=""),F471,NOT(G471=""),G471,NOT(H471=""),H471,NOT(I471=""),I471,NOT(J471=""),J471,NOT(K471=""),K471,NOT(L471=""),L471,NOT(M471=""),M471,NOT(N471=""),N471,NOT(O471=""),O471,NOT(P471=""),P471,NOT(Q471=""),Q471,NOT(R471=""),R471,NOT(S471=""),S471,NOT(T471=""),T471,NOT(U471=""),U471,TRUE,"No error")</f>
        <v>Enter the number of homes on the 1_SetUp sheet</v>
      </c>
      <c r="W471" s="114" t="str">
        <f t="shared" ca="1" si="23"/>
        <v xml:space="preserve">The Borrower has not addressed the following error messages for Home ID 467: </v>
      </c>
    </row>
    <row r="472" spans="1:23">
      <c r="A472" s="123">
        <v>468</v>
      </c>
      <c r="B472" s="104" t="str" cm="1">
        <f t="array" ref="B472">_xlfn.IFS(AND(A472&gt;NumberOfPlots,ISBLANK(INDEX(PlotData,MATCH($A472,PlotNumber,0),MATCH(B$3,PlotTitles,0)))),"",ISNUMBER(INDEX(PlotData,MATCH($A472,PlotNumber,0),MATCH(B$3,PlotTitles,0)))=FALSE, $AB$5,TRUE,"")</f>
        <v/>
      </c>
      <c r="C472" s="104" t="str" cm="1">
        <f t="array" ref="C472">_xlfn.IFS(AND(A472&gt;NumberOfPlots,ISBLANK(INDEX(PlotData,MATCH($A472,PlotNumber,0),MATCH(B$3,PlotTitles,0)))),"",ISBLANK(INDEX(PlotData,MATCH($A472,PlotNumber,0),MATCH(C$3,PlotTitles,0))),$AB$6,TRUE,"")</f>
        <v/>
      </c>
      <c r="D472" s="104" t="str" cm="1">
        <f t="array" ref="D472">_xlfn.IFS(AND(A472&gt;NumberOfPlots,ISBLANK(INDEX(PlotData,MATCH($A472,PlotNumber,0),MATCH(B$3,PlotTitles,0)))),"",ISBLANK(INDEX(PlotData,MATCH($A472,PlotNumber,0),MATCH(D$3,PlotTitles,0))),$AB$7,TRUE,"")</f>
        <v/>
      </c>
      <c r="E472" s="104" t="str" cm="1">
        <f t="array" ref="E472">_xlfn.IFS(AND(A472&gt;NumberOfPlots,ISBLANK(INDEX(PlotData,MATCH($A472,PlotNumber,0),MATCH(B$3,PlotTitles,0)))),"",ISBLANK(INDEX(PlotData,MATCH($A472,PlotNumber,0),MATCH(E$3,PlotTitles,0))),$AB$8,TRUE,"")</f>
        <v/>
      </c>
      <c r="F472" s="104" t="str" cm="1">
        <f t="array" ref="F472">_xlfn.IFS(AND(A472&gt;NumberOfPlots,ISBLANK(INDEX(PlotData,MATCH($A472,PlotNumber,0),MATCH(B$3,PlotTitles,0)))),"",ISBLANK(INDEX(PlotData,MATCH($A472,PlotNumber,0),MATCH(F$3,PlotTitles,0))),$AB$9,TRUE,"")</f>
        <v/>
      </c>
      <c r="G472" s="104" t="str" cm="1">
        <f t="array" ref="G472">_xlfn.IFS(AND(A472&gt;NumberOfPlots,ISBLANK(INDEX(PlotData,MATCH($A472,PlotNumber,0),MATCH(B$3,PlotTitles,0)))),"",ISBLANK(INDEX(PlotData,MATCH($A472,PlotNumber,0),MATCH(G$3,PlotTitles,0))),$AB$10,TRUE,"")</f>
        <v/>
      </c>
      <c r="H472" s="104" t="str" cm="1">
        <f t="array" ref="H472">_xlfn.IFS(AND(A472&gt;NumberOfPlots,ISBLANK(INDEX(PlotData,MATCH($A472,PlotNumber,0),MATCH(B$3,PlotTitles,0)))),"",AND(ISBLANK(INDEX(PlotData,MATCH($A472,PlotNumber,0),MATCH(H$3,PlotTitles,0)))=FALSE,INDEX(PlotData,MATCH($A472,PlotNumber,0),MATCH(H$3,PlotTitles,0))&lt;500), $AB$11,TRUE,"")</f>
        <v/>
      </c>
      <c r="I472" s="104" t="str" cm="1">
        <f t="array" ref="I472">_xlfn.IFS(AND(A472&gt;NumberOfPlots,ISBLANK(INDEX(PlotData,MATCH($A472,PlotNumber,0),MATCH(B$3,PlotTitles,0)))),"",ISBLANK(INDEX(PlotData,MATCH($A472,PlotNumber,0),MATCH(I$3,PlotTitles,0))),$AB$12,TRUE,"")</f>
        <v/>
      </c>
      <c r="J472" s="104" t="str" cm="1">
        <f t="array" ref="J472">_xlfn.IFS(AND(A472&gt;NumberOfPlots,ISBLANK(INDEX(PlotData,MATCH($A472,PlotNumber,0),MATCH(B$3,PlotTitles,0)))),"",ISBLANK(INDEX(PlotData,MATCH($A472,PlotNumber,0),MATCH(J$3,PlotTitles,0))),$AB$13,TRUE,"")</f>
        <v/>
      </c>
      <c r="K472" s="182" t="str">
        <f t="shared" ca="1" si="21"/>
        <v/>
      </c>
      <c r="L472" s="104" t="str" cm="1">
        <f t="array" ref="L472">_xlfn.IFS(OR(ISBLANK(StartDateMonth),ISBLANK(StartDateYear)),"",AND(A472&gt;NumberOfPlots,ISBLANK(INDEX(PlotData,MATCH($A472,PlotNumber,0),MATCH(B$3,PlotTitles,0)))),"",ISBLANK(INDEX(PlotData,MATCH($A472,PlotNumber,0),MATCH(I$3,PlotTitles,0))),"",(DATEVALUE(INDEX(PlotData,MATCH($A472,PlotNumber,0),MATCH(I$3,PlotTitles,0))&amp;INDEX(PlotData,MATCH($A472,PlotNumber,0),MATCH(J$3,PlotTitles,0))))&lt;DATEVALUE(StartDateMonth&amp;StartDateYear),$AB$15,TRUE,"")</f>
        <v/>
      </c>
      <c r="M472" s="104" t="str" cm="1">
        <f t="array" ref="M472">_xlfn.IFS(OR(ISBLANK(StartDateMonth),ISBLANK(StartDateYear)),"",AND(A472&gt;NumberOfPlots,ISBLANK(INDEX(PlotData,MATCH($A472,PlotNumber,0),MATCH(B$3,PlotTitles,0)))),"",ISBLANK(INDEX(PlotData,MATCH($A472,PlotNumber,0),MATCH(I$3,PlotTitles,0))),"",CompletionMonth="","",(DATEVALUE(INDEX(PlotData,MATCH($A472,PlotNumber,0),MATCH(I$3,PlotTitles,0))&amp;INDEX(PlotData,MATCH($A472,PlotNumber,0),MATCH(J$3,PlotTitles,0))))&gt;(DATEVALUE(CompletionMonth&amp;CompletionYear)),$AB$16,TRUE,"")</f>
        <v/>
      </c>
      <c r="N472" s="104" t="str" cm="1">
        <f t="array" ref="N472">_xlfn.IFS(AND(A472&gt;NumberOfPlots,ISBLANK(INDEX(PlotData,MATCH($A472,PlotNumber,0),MATCH(B$3,PlotTitles,0)))),"",ISBLANK(INDEX(PlotData,MATCH($A472,PlotNumber,0),MATCH(N$3,PlotTitles,0))),$AB$17,TRUE,"")</f>
        <v/>
      </c>
      <c r="O472" s="104" t="str" cm="1">
        <f t="array" ref="O472">_xlfn.IFS(AND(A472&gt;NumberOfPlots,ISBLANK(INDEX(PlotData,MATCH($A472,PlotNumber,0),MATCH(B$3,PlotTitles,0)))),"",ISBLANK(INDEX(PlotData,MATCH($A472,PlotNumber,0),MATCH(O$3,PlotTitles,0))),$AB$18,TRUE,"")</f>
        <v/>
      </c>
      <c r="P472" s="182" t="str">
        <f t="shared" ca="1" si="22"/>
        <v/>
      </c>
      <c r="Q472" s="104" t="str" cm="1">
        <f t="array" ref="Q472">_xlfn.IFS(AND(A472&gt;NumberOfPlots,ISBLANK(INDEX(PlotData,MATCH($A472,PlotNumber,0),MATCH(B$3,PlotTitles,0)))),"",ISBLANK(INDEX(PlotData,MATCH($A472,PlotNumber,0),MATCH(N$3,PlotTitles,0))),"",(DATEVALUE(INDEX(PlotData,MATCH($A472,PlotNumber,0),MATCH(N$3,PlotTitles,0))&amp;INDEX(PlotData,MATCH($A472,PlotNumber,0),MATCH(O$3,PlotTitles,0))))&lt;(DATEVALUE(INDEX(PlotData,MATCH($A472,PlotNumber,0),MATCH(I$3,PlotTitles,0))&amp;INDEX(PlotData,MATCH($A472,PlotNumber,0),MATCH(J$3,PlotTitles,0)))),$AB$20,TRUE,"")</f>
        <v/>
      </c>
      <c r="R472" s="104" t="str" cm="1">
        <f t="array" ref="R472">_xlfn.IFS(OR(ISBLANK(StartDateMonth),ISBLANK(StartDateYear)),"",AND(A472&gt;NumberOfPlots,ISBLANK(INDEX(PlotData,MATCH($A472,PlotNumber,0),MATCH(B$3,PlotTitles,0)))),"",ISBLANK(INDEX(PlotData,MATCH($A472,PlotNumber,0),MATCH(N$3,PlotTitles,0))),"",CompletionMonth="","",(DATEVALUE(INDEX(PlotData,MATCH($A472,PlotNumber,0),MATCH(N$3,PlotTitles,0))&amp;INDEX(PlotData,MATCH($A472,PlotNumber,0),MATCH(O$3,PlotTitles,0))))&gt;(DATEVALUE(CompletionMonth&amp;CompletionYear)),$AB$21,TRUE,"")</f>
        <v/>
      </c>
      <c r="S472" s="104" t="str" cm="1">
        <f t="array" ref="S472">_xlfn.IFS(AND(A472&gt;NumberOfPlots,ISBLANK(INDEX(PlotData,MATCH($A472,PlotNumber,0),MATCH(B$3,PlotTitles,0)))),"",OR(AND(INDEX(PlotData,MATCH($A472,PlotNumber,0),MATCH("Tenure",PlotTitles,0))="Open market housing",INDEX(PlotData,MATCH($A472,PlotNumber,0),MATCH("Tenure detail",PlotTitles,0))="Private rented sector"),INDEX(PlotData,MATCH($A472,PlotNumber,0),MATCH("Tenure",PlotTitles,0))="Affordable rent"),"",ISNUMBER(INDEX(PlotData,MATCH($A472,PlotNumber,0),MATCH(S$3,PlotTitles,0)))=FALSE, $AB$22,TRUE,"")</f>
        <v/>
      </c>
      <c r="T472" s="104" t="str" cm="1">
        <f t="array" ref="T472">_xlfn.IFS(AND(A472&gt;NumberOfPlots,ISBLANK(INDEX(PlotData,MATCH($A472,PlotNumber,0),MATCH(B$3,PlotTitles,0)))),"",OR(AND(INDEX(PlotData,MATCH($A472,PlotNumber,0),MATCH("Tenure",PlotTitles,0))="Open market housing",INDEX(PlotData,MATCH($A472,PlotNumber,0),MATCH("Tenure detail",PlotTitles,0))="Private rented sector"),INDEX(PlotData,MATCH($A472,PlotNumber,0),MATCH("Tenure",PlotTitles,0))="Affordable rent"),"",INDEX(PlotData,MATCH($A472,PlotNumber,0),MATCH(S$3,PlotTitles,0))&lt;10000, $AB$23,TRUE,"")</f>
        <v/>
      </c>
      <c r="U472" s="104" t="str" cm="1">
        <f t="array" ref="U472">_xlfn.IFS(AND(A472&gt;NumberOfPlots,ISBLANK(INDEX(PlotData,MATCH($A472,PlotNumber,0),MATCH(B$3,PlotTitles,0)))),"",NOT(OR(AND(INDEX(PlotData,MATCH($A472,PlotNumber,0),MATCH("Tenure",PlotTitles,0))="Open market housing",INDEX(PlotData,MATCH($A472,PlotNumber,0),MATCH("Tenure detail",PlotTitles,0))="Private rented sector"),INDEX(PlotData,MATCH($A472,PlotNumber,0),MATCH("Tenure",PlotTitles,0))="Affordable rent")),"",NOT(INDEX(PlotData,MATCH($A472,PlotNumber,0),MATCH(S$3,PlotTitles,0))=0), $AB$24,TRUE,"")</f>
        <v/>
      </c>
      <c r="V472" s="114" t="str" cm="1">
        <f t="array" aca="1" ref="V472" ca="1">_xlfn.IFS(ISBLANK(NumberOfPlots),"Enter the number of homes on the 1_SetUp sheet",AND(A472&gt;NumberOfPlots,ISBLANK(INDEX(PlotData,MATCH($A472,PlotNumber,0),MATCH(B$3,PlotTitles,0)))),"No error",NOT(B472=""),B472,NOT(C472=""),C472,NOT(D472=""),D472,NOT(E472=""),E472,NOT(F472=""),F472,NOT(G472=""),G472,NOT(H472=""),H472,NOT(I472=""),I472,NOT(J472=""),J472,NOT(K472=""),K472,NOT(L472=""),L472,NOT(M472=""),M472,NOT(N472=""),N472,NOT(O472=""),O472,NOT(P472=""),P472,NOT(Q472=""),Q472,NOT(R472=""),R472,NOT(S472=""),S472,NOT(T472=""),T472,NOT(U472=""),U472,TRUE,"No error")</f>
        <v>Enter the number of homes on the 1_SetUp sheet</v>
      </c>
      <c r="W472" s="114" t="str">
        <f t="shared" ca="1" si="23"/>
        <v xml:space="preserve">The Borrower has not addressed the following error messages for Home ID 468: </v>
      </c>
    </row>
    <row r="473" spans="1:23">
      <c r="A473" s="123">
        <v>469</v>
      </c>
      <c r="B473" s="104" t="str" cm="1">
        <f t="array" ref="B473">_xlfn.IFS(AND(A473&gt;NumberOfPlots,ISBLANK(INDEX(PlotData,MATCH($A473,PlotNumber,0),MATCH(B$3,PlotTitles,0)))),"",ISNUMBER(INDEX(PlotData,MATCH($A473,PlotNumber,0),MATCH(B$3,PlotTitles,0)))=FALSE, $AB$5,TRUE,"")</f>
        <v/>
      </c>
      <c r="C473" s="104" t="str" cm="1">
        <f t="array" ref="C473">_xlfn.IFS(AND(A473&gt;NumberOfPlots,ISBLANK(INDEX(PlotData,MATCH($A473,PlotNumber,0),MATCH(B$3,PlotTitles,0)))),"",ISBLANK(INDEX(PlotData,MATCH($A473,PlotNumber,0),MATCH(C$3,PlotTitles,0))),$AB$6,TRUE,"")</f>
        <v/>
      </c>
      <c r="D473" s="104" t="str" cm="1">
        <f t="array" ref="D473">_xlfn.IFS(AND(A473&gt;NumberOfPlots,ISBLANK(INDEX(PlotData,MATCH($A473,PlotNumber,0),MATCH(B$3,PlotTitles,0)))),"",ISBLANK(INDEX(PlotData,MATCH($A473,PlotNumber,0),MATCH(D$3,PlotTitles,0))),$AB$7,TRUE,"")</f>
        <v/>
      </c>
      <c r="E473" s="104" t="str" cm="1">
        <f t="array" ref="E473">_xlfn.IFS(AND(A473&gt;NumberOfPlots,ISBLANK(INDEX(PlotData,MATCH($A473,PlotNumber,0),MATCH(B$3,PlotTitles,0)))),"",ISBLANK(INDEX(PlotData,MATCH($A473,PlotNumber,0),MATCH(E$3,PlotTitles,0))),$AB$8,TRUE,"")</f>
        <v/>
      </c>
      <c r="F473" s="104" t="str" cm="1">
        <f t="array" ref="F473">_xlfn.IFS(AND(A473&gt;NumberOfPlots,ISBLANK(INDEX(PlotData,MATCH($A473,PlotNumber,0),MATCH(B$3,PlotTitles,0)))),"",ISBLANK(INDEX(PlotData,MATCH($A473,PlotNumber,0),MATCH(F$3,PlotTitles,0))),$AB$9,TRUE,"")</f>
        <v/>
      </c>
      <c r="G473" s="104" t="str" cm="1">
        <f t="array" ref="G473">_xlfn.IFS(AND(A473&gt;NumberOfPlots,ISBLANK(INDEX(PlotData,MATCH($A473,PlotNumber,0),MATCH(B$3,PlotTitles,0)))),"",ISBLANK(INDEX(PlotData,MATCH($A473,PlotNumber,0),MATCH(G$3,PlotTitles,0))),$AB$10,TRUE,"")</f>
        <v/>
      </c>
      <c r="H473" s="104" t="str" cm="1">
        <f t="array" ref="H473">_xlfn.IFS(AND(A473&gt;NumberOfPlots,ISBLANK(INDEX(PlotData,MATCH($A473,PlotNumber,0),MATCH(B$3,PlotTitles,0)))),"",AND(ISBLANK(INDEX(PlotData,MATCH($A473,PlotNumber,0),MATCH(H$3,PlotTitles,0)))=FALSE,INDEX(PlotData,MATCH($A473,PlotNumber,0),MATCH(H$3,PlotTitles,0))&lt;500), $AB$11,TRUE,"")</f>
        <v/>
      </c>
      <c r="I473" s="104" t="str" cm="1">
        <f t="array" ref="I473">_xlfn.IFS(AND(A473&gt;NumberOfPlots,ISBLANK(INDEX(PlotData,MATCH($A473,PlotNumber,0),MATCH(B$3,PlotTitles,0)))),"",ISBLANK(INDEX(PlotData,MATCH($A473,PlotNumber,0),MATCH(I$3,PlotTitles,0))),$AB$12,TRUE,"")</f>
        <v/>
      </c>
      <c r="J473" s="104" t="str" cm="1">
        <f t="array" ref="J473">_xlfn.IFS(AND(A473&gt;NumberOfPlots,ISBLANK(INDEX(PlotData,MATCH($A473,PlotNumber,0),MATCH(B$3,PlotTitles,0)))),"",ISBLANK(INDEX(PlotData,MATCH($A473,PlotNumber,0),MATCH(J$3,PlotTitles,0))),$AB$13,TRUE,"")</f>
        <v/>
      </c>
      <c r="K473" s="182" t="str">
        <f t="shared" ca="1" si="21"/>
        <v/>
      </c>
      <c r="L473" s="104" t="str" cm="1">
        <f t="array" ref="L473">_xlfn.IFS(OR(ISBLANK(StartDateMonth),ISBLANK(StartDateYear)),"",AND(A473&gt;NumberOfPlots,ISBLANK(INDEX(PlotData,MATCH($A473,PlotNumber,0),MATCH(B$3,PlotTitles,0)))),"",ISBLANK(INDEX(PlotData,MATCH($A473,PlotNumber,0),MATCH(I$3,PlotTitles,0))),"",(DATEVALUE(INDEX(PlotData,MATCH($A473,PlotNumber,0),MATCH(I$3,PlotTitles,0))&amp;INDEX(PlotData,MATCH($A473,PlotNumber,0),MATCH(J$3,PlotTitles,0))))&lt;DATEVALUE(StartDateMonth&amp;StartDateYear),$AB$15,TRUE,"")</f>
        <v/>
      </c>
      <c r="M473" s="104" t="str" cm="1">
        <f t="array" ref="M473">_xlfn.IFS(OR(ISBLANK(StartDateMonth),ISBLANK(StartDateYear)),"",AND(A473&gt;NumberOfPlots,ISBLANK(INDEX(PlotData,MATCH($A473,PlotNumber,0),MATCH(B$3,PlotTitles,0)))),"",ISBLANK(INDEX(PlotData,MATCH($A473,PlotNumber,0),MATCH(I$3,PlotTitles,0))),"",CompletionMonth="","",(DATEVALUE(INDEX(PlotData,MATCH($A473,PlotNumber,0),MATCH(I$3,PlotTitles,0))&amp;INDEX(PlotData,MATCH($A473,PlotNumber,0),MATCH(J$3,PlotTitles,0))))&gt;(DATEVALUE(CompletionMonth&amp;CompletionYear)),$AB$16,TRUE,"")</f>
        <v/>
      </c>
      <c r="N473" s="104" t="str" cm="1">
        <f t="array" ref="N473">_xlfn.IFS(AND(A473&gt;NumberOfPlots,ISBLANK(INDEX(PlotData,MATCH($A473,PlotNumber,0),MATCH(B$3,PlotTitles,0)))),"",ISBLANK(INDEX(PlotData,MATCH($A473,PlotNumber,0),MATCH(N$3,PlotTitles,0))),$AB$17,TRUE,"")</f>
        <v/>
      </c>
      <c r="O473" s="104" t="str" cm="1">
        <f t="array" ref="O473">_xlfn.IFS(AND(A473&gt;NumberOfPlots,ISBLANK(INDEX(PlotData,MATCH($A473,PlotNumber,0),MATCH(B$3,PlotTitles,0)))),"",ISBLANK(INDEX(PlotData,MATCH($A473,PlotNumber,0),MATCH(O$3,PlotTitles,0))),$AB$18,TRUE,"")</f>
        <v/>
      </c>
      <c r="P473" s="182" t="str">
        <f t="shared" ca="1" si="22"/>
        <v/>
      </c>
      <c r="Q473" s="104" t="str" cm="1">
        <f t="array" ref="Q473">_xlfn.IFS(AND(A473&gt;NumberOfPlots,ISBLANK(INDEX(PlotData,MATCH($A473,PlotNumber,0),MATCH(B$3,PlotTitles,0)))),"",ISBLANK(INDEX(PlotData,MATCH($A473,PlotNumber,0),MATCH(N$3,PlotTitles,0))),"",(DATEVALUE(INDEX(PlotData,MATCH($A473,PlotNumber,0),MATCH(N$3,PlotTitles,0))&amp;INDEX(PlotData,MATCH($A473,PlotNumber,0),MATCH(O$3,PlotTitles,0))))&lt;(DATEVALUE(INDEX(PlotData,MATCH($A473,PlotNumber,0),MATCH(I$3,PlotTitles,0))&amp;INDEX(PlotData,MATCH($A473,PlotNumber,0),MATCH(J$3,PlotTitles,0)))),$AB$20,TRUE,"")</f>
        <v/>
      </c>
      <c r="R473" s="104" t="str" cm="1">
        <f t="array" ref="R473">_xlfn.IFS(OR(ISBLANK(StartDateMonth),ISBLANK(StartDateYear)),"",AND(A473&gt;NumberOfPlots,ISBLANK(INDEX(PlotData,MATCH($A473,PlotNumber,0),MATCH(B$3,PlotTitles,0)))),"",ISBLANK(INDEX(PlotData,MATCH($A473,PlotNumber,0),MATCH(N$3,PlotTitles,0))),"",CompletionMonth="","",(DATEVALUE(INDEX(PlotData,MATCH($A473,PlotNumber,0),MATCH(N$3,PlotTitles,0))&amp;INDEX(PlotData,MATCH($A473,PlotNumber,0),MATCH(O$3,PlotTitles,0))))&gt;(DATEVALUE(CompletionMonth&amp;CompletionYear)),$AB$21,TRUE,"")</f>
        <v/>
      </c>
      <c r="S473" s="104" t="str" cm="1">
        <f t="array" ref="S473">_xlfn.IFS(AND(A473&gt;NumberOfPlots,ISBLANK(INDEX(PlotData,MATCH($A473,PlotNumber,0),MATCH(B$3,PlotTitles,0)))),"",OR(AND(INDEX(PlotData,MATCH($A473,PlotNumber,0),MATCH("Tenure",PlotTitles,0))="Open market housing",INDEX(PlotData,MATCH($A473,PlotNumber,0),MATCH("Tenure detail",PlotTitles,0))="Private rented sector"),INDEX(PlotData,MATCH($A473,PlotNumber,0),MATCH("Tenure",PlotTitles,0))="Affordable rent"),"",ISNUMBER(INDEX(PlotData,MATCH($A473,PlotNumber,0),MATCH(S$3,PlotTitles,0)))=FALSE, $AB$22,TRUE,"")</f>
        <v/>
      </c>
      <c r="T473" s="104" t="str" cm="1">
        <f t="array" ref="T473">_xlfn.IFS(AND(A473&gt;NumberOfPlots,ISBLANK(INDEX(PlotData,MATCH($A473,PlotNumber,0),MATCH(B$3,PlotTitles,0)))),"",OR(AND(INDEX(PlotData,MATCH($A473,PlotNumber,0),MATCH("Tenure",PlotTitles,0))="Open market housing",INDEX(PlotData,MATCH($A473,PlotNumber,0),MATCH("Tenure detail",PlotTitles,0))="Private rented sector"),INDEX(PlotData,MATCH($A473,PlotNumber,0),MATCH("Tenure",PlotTitles,0))="Affordable rent"),"",INDEX(PlotData,MATCH($A473,PlotNumber,0),MATCH(S$3,PlotTitles,0))&lt;10000, $AB$23,TRUE,"")</f>
        <v/>
      </c>
      <c r="U473" s="104" t="str" cm="1">
        <f t="array" ref="U473">_xlfn.IFS(AND(A473&gt;NumberOfPlots,ISBLANK(INDEX(PlotData,MATCH($A473,PlotNumber,0),MATCH(B$3,PlotTitles,0)))),"",NOT(OR(AND(INDEX(PlotData,MATCH($A473,PlotNumber,0),MATCH("Tenure",PlotTitles,0))="Open market housing",INDEX(PlotData,MATCH($A473,PlotNumber,0),MATCH("Tenure detail",PlotTitles,0))="Private rented sector"),INDEX(PlotData,MATCH($A473,PlotNumber,0),MATCH("Tenure",PlotTitles,0))="Affordable rent")),"",NOT(INDEX(PlotData,MATCH($A473,PlotNumber,0),MATCH(S$3,PlotTitles,0))=0), $AB$24,TRUE,"")</f>
        <v/>
      </c>
      <c r="V473" s="114" t="str" cm="1">
        <f t="array" aca="1" ref="V473" ca="1">_xlfn.IFS(ISBLANK(NumberOfPlots),"Enter the number of homes on the 1_SetUp sheet",AND(A473&gt;NumberOfPlots,ISBLANK(INDEX(PlotData,MATCH($A473,PlotNumber,0),MATCH(B$3,PlotTitles,0)))),"No error",NOT(B473=""),B473,NOT(C473=""),C473,NOT(D473=""),D473,NOT(E473=""),E473,NOT(F473=""),F473,NOT(G473=""),G473,NOT(H473=""),H473,NOT(I473=""),I473,NOT(J473=""),J473,NOT(K473=""),K473,NOT(L473=""),L473,NOT(M473=""),M473,NOT(N473=""),N473,NOT(O473=""),O473,NOT(P473=""),P473,NOT(Q473=""),Q473,NOT(R473=""),R473,NOT(S473=""),S473,NOT(T473=""),T473,NOT(U473=""),U473,TRUE,"No error")</f>
        <v>Enter the number of homes on the 1_SetUp sheet</v>
      </c>
      <c r="W473" s="114" t="str">
        <f t="shared" ca="1" si="23"/>
        <v xml:space="preserve">The Borrower has not addressed the following error messages for Home ID 469: </v>
      </c>
    </row>
    <row r="474" spans="1:23">
      <c r="A474" s="123">
        <v>470</v>
      </c>
      <c r="B474" s="104" t="str" cm="1">
        <f t="array" ref="B474">_xlfn.IFS(AND(A474&gt;NumberOfPlots,ISBLANK(INDEX(PlotData,MATCH($A474,PlotNumber,0),MATCH(B$3,PlotTitles,0)))),"",ISNUMBER(INDEX(PlotData,MATCH($A474,PlotNumber,0),MATCH(B$3,PlotTitles,0)))=FALSE, $AB$5,TRUE,"")</f>
        <v/>
      </c>
      <c r="C474" s="104" t="str" cm="1">
        <f t="array" ref="C474">_xlfn.IFS(AND(A474&gt;NumberOfPlots,ISBLANK(INDEX(PlotData,MATCH($A474,PlotNumber,0),MATCH(B$3,PlotTitles,0)))),"",ISBLANK(INDEX(PlotData,MATCH($A474,PlotNumber,0),MATCH(C$3,PlotTitles,0))),$AB$6,TRUE,"")</f>
        <v/>
      </c>
      <c r="D474" s="104" t="str" cm="1">
        <f t="array" ref="D474">_xlfn.IFS(AND(A474&gt;NumberOfPlots,ISBLANK(INDEX(PlotData,MATCH($A474,PlotNumber,0),MATCH(B$3,PlotTitles,0)))),"",ISBLANK(INDEX(PlotData,MATCH($A474,PlotNumber,0),MATCH(D$3,PlotTitles,0))),$AB$7,TRUE,"")</f>
        <v/>
      </c>
      <c r="E474" s="104" t="str" cm="1">
        <f t="array" ref="E474">_xlfn.IFS(AND(A474&gt;NumberOfPlots,ISBLANK(INDEX(PlotData,MATCH($A474,PlotNumber,0),MATCH(B$3,PlotTitles,0)))),"",ISBLANK(INDEX(PlotData,MATCH($A474,PlotNumber,0),MATCH(E$3,PlotTitles,0))),$AB$8,TRUE,"")</f>
        <v/>
      </c>
      <c r="F474" s="104" t="str" cm="1">
        <f t="array" ref="F474">_xlfn.IFS(AND(A474&gt;NumberOfPlots,ISBLANK(INDEX(PlotData,MATCH($A474,PlotNumber,0),MATCH(B$3,PlotTitles,0)))),"",ISBLANK(INDEX(PlotData,MATCH($A474,PlotNumber,0),MATCH(F$3,PlotTitles,0))),$AB$9,TRUE,"")</f>
        <v/>
      </c>
      <c r="G474" s="104" t="str" cm="1">
        <f t="array" ref="G474">_xlfn.IFS(AND(A474&gt;NumberOfPlots,ISBLANK(INDEX(PlotData,MATCH($A474,PlotNumber,0),MATCH(B$3,PlotTitles,0)))),"",ISBLANK(INDEX(PlotData,MATCH($A474,PlotNumber,0),MATCH(G$3,PlotTitles,0))),$AB$10,TRUE,"")</f>
        <v/>
      </c>
      <c r="H474" s="104" t="str" cm="1">
        <f t="array" ref="H474">_xlfn.IFS(AND(A474&gt;NumberOfPlots,ISBLANK(INDEX(PlotData,MATCH($A474,PlotNumber,0),MATCH(B$3,PlotTitles,0)))),"",AND(ISBLANK(INDEX(PlotData,MATCH($A474,PlotNumber,0),MATCH(H$3,PlotTitles,0)))=FALSE,INDEX(PlotData,MATCH($A474,PlotNumber,0),MATCH(H$3,PlotTitles,0))&lt;500), $AB$11,TRUE,"")</f>
        <v/>
      </c>
      <c r="I474" s="104" t="str" cm="1">
        <f t="array" ref="I474">_xlfn.IFS(AND(A474&gt;NumberOfPlots,ISBLANK(INDEX(PlotData,MATCH($A474,PlotNumber,0),MATCH(B$3,PlotTitles,0)))),"",ISBLANK(INDEX(PlotData,MATCH($A474,PlotNumber,0),MATCH(I$3,PlotTitles,0))),$AB$12,TRUE,"")</f>
        <v/>
      </c>
      <c r="J474" s="104" t="str" cm="1">
        <f t="array" ref="J474">_xlfn.IFS(AND(A474&gt;NumberOfPlots,ISBLANK(INDEX(PlotData,MATCH($A474,PlotNumber,0),MATCH(B$3,PlotTitles,0)))),"",ISBLANK(INDEX(PlotData,MATCH($A474,PlotNumber,0),MATCH(J$3,PlotTitles,0))),$AB$13,TRUE,"")</f>
        <v/>
      </c>
      <c r="K474" s="182" t="str">
        <f t="shared" ca="1" si="21"/>
        <v/>
      </c>
      <c r="L474" s="104" t="str" cm="1">
        <f t="array" ref="L474">_xlfn.IFS(OR(ISBLANK(StartDateMonth),ISBLANK(StartDateYear)),"",AND(A474&gt;NumberOfPlots,ISBLANK(INDEX(PlotData,MATCH($A474,PlotNumber,0),MATCH(B$3,PlotTitles,0)))),"",ISBLANK(INDEX(PlotData,MATCH($A474,PlotNumber,0),MATCH(I$3,PlotTitles,0))),"",(DATEVALUE(INDEX(PlotData,MATCH($A474,PlotNumber,0),MATCH(I$3,PlotTitles,0))&amp;INDEX(PlotData,MATCH($A474,PlotNumber,0),MATCH(J$3,PlotTitles,0))))&lt;DATEVALUE(StartDateMonth&amp;StartDateYear),$AB$15,TRUE,"")</f>
        <v/>
      </c>
      <c r="M474" s="104" t="str" cm="1">
        <f t="array" ref="M474">_xlfn.IFS(OR(ISBLANK(StartDateMonth),ISBLANK(StartDateYear)),"",AND(A474&gt;NumberOfPlots,ISBLANK(INDEX(PlotData,MATCH($A474,PlotNumber,0),MATCH(B$3,PlotTitles,0)))),"",ISBLANK(INDEX(PlotData,MATCH($A474,PlotNumber,0),MATCH(I$3,PlotTitles,0))),"",CompletionMonth="","",(DATEVALUE(INDEX(PlotData,MATCH($A474,PlotNumber,0),MATCH(I$3,PlotTitles,0))&amp;INDEX(PlotData,MATCH($A474,PlotNumber,0),MATCH(J$3,PlotTitles,0))))&gt;(DATEVALUE(CompletionMonth&amp;CompletionYear)),$AB$16,TRUE,"")</f>
        <v/>
      </c>
      <c r="N474" s="104" t="str" cm="1">
        <f t="array" ref="N474">_xlfn.IFS(AND(A474&gt;NumberOfPlots,ISBLANK(INDEX(PlotData,MATCH($A474,PlotNumber,0),MATCH(B$3,PlotTitles,0)))),"",ISBLANK(INDEX(PlotData,MATCH($A474,PlotNumber,0),MATCH(N$3,PlotTitles,0))),$AB$17,TRUE,"")</f>
        <v/>
      </c>
      <c r="O474" s="104" t="str" cm="1">
        <f t="array" ref="O474">_xlfn.IFS(AND(A474&gt;NumberOfPlots,ISBLANK(INDEX(PlotData,MATCH($A474,PlotNumber,0),MATCH(B$3,PlotTitles,0)))),"",ISBLANK(INDEX(PlotData,MATCH($A474,PlotNumber,0),MATCH(O$3,PlotTitles,0))),$AB$18,TRUE,"")</f>
        <v/>
      </c>
      <c r="P474" s="182" t="str">
        <f t="shared" ca="1" si="22"/>
        <v/>
      </c>
      <c r="Q474" s="104" t="str" cm="1">
        <f t="array" ref="Q474">_xlfn.IFS(AND(A474&gt;NumberOfPlots,ISBLANK(INDEX(PlotData,MATCH($A474,PlotNumber,0),MATCH(B$3,PlotTitles,0)))),"",ISBLANK(INDEX(PlotData,MATCH($A474,PlotNumber,0),MATCH(N$3,PlotTitles,0))),"",(DATEVALUE(INDEX(PlotData,MATCH($A474,PlotNumber,0),MATCH(N$3,PlotTitles,0))&amp;INDEX(PlotData,MATCH($A474,PlotNumber,0),MATCH(O$3,PlotTitles,0))))&lt;(DATEVALUE(INDEX(PlotData,MATCH($A474,PlotNumber,0),MATCH(I$3,PlotTitles,0))&amp;INDEX(PlotData,MATCH($A474,PlotNumber,0),MATCH(J$3,PlotTitles,0)))),$AB$20,TRUE,"")</f>
        <v/>
      </c>
      <c r="R474" s="104" t="str" cm="1">
        <f t="array" ref="R474">_xlfn.IFS(OR(ISBLANK(StartDateMonth),ISBLANK(StartDateYear)),"",AND(A474&gt;NumberOfPlots,ISBLANK(INDEX(PlotData,MATCH($A474,PlotNumber,0),MATCH(B$3,PlotTitles,0)))),"",ISBLANK(INDEX(PlotData,MATCH($A474,PlotNumber,0),MATCH(N$3,PlotTitles,0))),"",CompletionMonth="","",(DATEVALUE(INDEX(PlotData,MATCH($A474,PlotNumber,0),MATCH(N$3,PlotTitles,0))&amp;INDEX(PlotData,MATCH($A474,PlotNumber,0),MATCH(O$3,PlotTitles,0))))&gt;(DATEVALUE(CompletionMonth&amp;CompletionYear)),$AB$21,TRUE,"")</f>
        <v/>
      </c>
      <c r="S474" s="104" t="str" cm="1">
        <f t="array" ref="S474">_xlfn.IFS(AND(A474&gt;NumberOfPlots,ISBLANK(INDEX(PlotData,MATCH($A474,PlotNumber,0),MATCH(B$3,PlotTitles,0)))),"",OR(AND(INDEX(PlotData,MATCH($A474,PlotNumber,0),MATCH("Tenure",PlotTitles,0))="Open market housing",INDEX(PlotData,MATCH($A474,PlotNumber,0),MATCH("Tenure detail",PlotTitles,0))="Private rented sector"),INDEX(PlotData,MATCH($A474,PlotNumber,0),MATCH("Tenure",PlotTitles,0))="Affordable rent"),"",ISNUMBER(INDEX(PlotData,MATCH($A474,PlotNumber,0),MATCH(S$3,PlotTitles,0)))=FALSE, $AB$22,TRUE,"")</f>
        <v/>
      </c>
      <c r="T474" s="104" t="str" cm="1">
        <f t="array" ref="T474">_xlfn.IFS(AND(A474&gt;NumberOfPlots,ISBLANK(INDEX(PlotData,MATCH($A474,PlotNumber,0),MATCH(B$3,PlotTitles,0)))),"",OR(AND(INDEX(PlotData,MATCH($A474,PlotNumber,0),MATCH("Tenure",PlotTitles,0))="Open market housing",INDEX(PlotData,MATCH($A474,PlotNumber,0),MATCH("Tenure detail",PlotTitles,0))="Private rented sector"),INDEX(PlotData,MATCH($A474,PlotNumber,0),MATCH("Tenure",PlotTitles,0))="Affordable rent"),"",INDEX(PlotData,MATCH($A474,PlotNumber,0),MATCH(S$3,PlotTitles,0))&lt;10000, $AB$23,TRUE,"")</f>
        <v/>
      </c>
      <c r="U474" s="104" t="str" cm="1">
        <f t="array" ref="U474">_xlfn.IFS(AND(A474&gt;NumberOfPlots,ISBLANK(INDEX(PlotData,MATCH($A474,PlotNumber,0),MATCH(B$3,PlotTitles,0)))),"",NOT(OR(AND(INDEX(PlotData,MATCH($A474,PlotNumber,0),MATCH("Tenure",PlotTitles,0))="Open market housing",INDEX(PlotData,MATCH($A474,PlotNumber,0),MATCH("Tenure detail",PlotTitles,0))="Private rented sector"),INDEX(PlotData,MATCH($A474,PlotNumber,0),MATCH("Tenure",PlotTitles,0))="Affordable rent")),"",NOT(INDEX(PlotData,MATCH($A474,PlotNumber,0),MATCH(S$3,PlotTitles,0))=0), $AB$24,TRUE,"")</f>
        <v/>
      </c>
      <c r="V474" s="114" t="str" cm="1">
        <f t="array" aca="1" ref="V474" ca="1">_xlfn.IFS(ISBLANK(NumberOfPlots),"Enter the number of homes on the 1_SetUp sheet",AND(A474&gt;NumberOfPlots,ISBLANK(INDEX(PlotData,MATCH($A474,PlotNumber,0),MATCH(B$3,PlotTitles,0)))),"No error",NOT(B474=""),B474,NOT(C474=""),C474,NOT(D474=""),D474,NOT(E474=""),E474,NOT(F474=""),F474,NOT(G474=""),G474,NOT(H474=""),H474,NOT(I474=""),I474,NOT(J474=""),J474,NOT(K474=""),K474,NOT(L474=""),L474,NOT(M474=""),M474,NOT(N474=""),N474,NOT(O474=""),O474,NOT(P474=""),P474,NOT(Q474=""),Q474,NOT(R474=""),R474,NOT(S474=""),S474,NOT(T474=""),T474,NOT(U474=""),U474,TRUE,"No error")</f>
        <v>Enter the number of homes on the 1_SetUp sheet</v>
      </c>
      <c r="W474" s="114" t="str">
        <f t="shared" ca="1" si="23"/>
        <v xml:space="preserve">The Borrower has not addressed the following error messages for Home ID 470: </v>
      </c>
    </row>
    <row r="475" spans="1:23">
      <c r="A475" s="123">
        <v>471</v>
      </c>
      <c r="B475" s="104" t="str" cm="1">
        <f t="array" ref="B475">_xlfn.IFS(AND(A475&gt;NumberOfPlots,ISBLANK(INDEX(PlotData,MATCH($A475,PlotNumber,0),MATCH(B$3,PlotTitles,0)))),"",ISNUMBER(INDEX(PlotData,MATCH($A475,PlotNumber,0),MATCH(B$3,PlotTitles,0)))=FALSE, $AB$5,TRUE,"")</f>
        <v/>
      </c>
      <c r="C475" s="104" t="str" cm="1">
        <f t="array" ref="C475">_xlfn.IFS(AND(A475&gt;NumberOfPlots,ISBLANK(INDEX(PlotData,MATCH($A475,PlotNumber,0),MATCH(B$3,PlotTitles,0)))),"",ISBLANK(INDEX(PlotData,MATCH($A475,PlotNumber,0),MATCH(C$3,PlotTitles,0))),$AB$6,TRUE,"")</f>
        <v/>
      </c>
      <c r="D475" s="104" t="str" cm="1">
        <f t="array" ref="D475">_xlfn.IFS(AND(A475&gt;NumberOfPlots,ISBLANK(INDEX(PlotData,MATCH($A475,PlotNumber,0),MATCH(B$3,PlotTitles,0)))),"",ISBLANK(INDEX(PlotData,MATCH($A475,PlotNumber,0),MATCH(D$3,PlotTitles,0))),$AB$7,TRUE,"")</f>
        <v/>
      </c>
      <c r="E475" s="104" t="str" cm="1">
        <f t="array" ref="E475">_xlfn.IFS(AND(A475&gt;NumberOfPlots,ISBLANK(INDEX(PlotData,MATCH($A475,PlotNumber,0),MATCH(B$3,PlotTitles,0)))),"",ISBLANK(INDEX(PlotData,MATCH($A475,PlotNumber,0),MATCH(E$3,PlotTitles,0))),$AB$8,TRUE,"")</f>
        <v/>
      </c>
      <c r="F475" s="104" t="str" cm="1">
        <f t="array" ref="F475">_xlfn.IFS(AND(A475&gt;NumberOfPlots,ISBLANK(INDEX(PlotData,MATCH($A475,PlotNumber,0),MATCH(B$3,PlotTitles,0)))),"",ISBLANK(INDEX(PlotData,MATCH($A475,PlotNumber,0),MATCH(F$3,PlotTitles,0))),$AB$9,TRUE,"")</f>
        <v/>
      </c>
      <c r="G475" s="104" t="str" cm="1">
        <f t="array" ref="G475">_xlfn.IFS(AND(A475&gt;NumberOfPlots,ISBLANK(INDEX(PlotData,MATCH($A475,PlotNumber,0),MATCH(B$3,PlotTitles,0)))),"",ISBLANK(INDEX(PlotData,MATCH($A475,PlotNumber,0),MATCH(G$3,PlotTitles,0))),$AB$10,TRUE,"")</f>
        <v/>
      </c>
      <c r="H475" s="104" t="str" cm="1">
        <f t="array" ref="H475">_xlfn.IFS(AND(A475&gt;NumberOfPlots,ISBLANK(INDEX(PlotData,MATCH($A475,PlotNumber,0),MATCH(B$3,PlotTitles,0)))),"",AND(ISBLANK(INDEX(PlotData,MATCH($A475,PlotNumber,0),MATCH(H$3,PlotTitles,0)))=FALSE,INDEX(PlotData,MATCH($A475,PlotNumber,0),MATCH(H$3,PlotTitles,0))&lt;500), $AB$11,TRUE,"")</f>
        <v/>
      </c>
      <c r="I475" s="104" t="str" cm="1">
        <f t="array" ref="I475">_xlfn.IFS(AND(A475&gt;NumberOfPlots,ISBLANK(INDEX(PlotData,MATCH($A475,PlotNumber,0),MATCH(B$3,PlotTitles,0)))),"",ISBLANK(INDEX(PlotData,MATCH($A475,PlotNumber,0),MATCH(I$3,PlotTitles,0))),$AB$12,TRUE,"")</f>
        <v/>
      </c>
      <c r="J475" s="104" t="str" cm="1">
        <f t="array" ref="J475">_xlfn.IFS(AND(A475&gt;NumberOfPlots,ISBLANK(INDEX(PlotData,MATCH($A475,PlotNumber,0),MATCH(B$3,PlotTitles,0)))),"",ISBLANK(INDEX(PlotData,MATCH($A475,PlotNumber,0),MATCH(J$3,PlotTitles,0))),$AB$13,TRUE,"")</f>
        <v/>
      </c>
      <c r="K475" s="182" t="str">
        <f t="shared" ca="1" si="21"/>
        <v/>
      </c>
      <c r="L475" s="104" t="str" cm="1">
        <f t="array" ref="L475">_xlfn.IFS(OR(ISBLANK(StartDateMonth),ISBLANK(StartDateYear)),"",AND(A475&gt;NumberOfPlots,ISBLANK(INDEX(PlotData,MATCH($A475,PlotNumber,0),MATCH(B$3,PlotTitles,0)))),"",ISBLANK(INDEX(PlotData,MATCH($A475,PlotNumber,0),MATCH(I$3,PlotTitles,0))),"",(DATEVALUE(INDEX(PlotData,MATCH($A475,PlotNumber,0),MATCH(I$3,PlotTitles,0))&amp;INDEX(PlotData,MATCH($A475,PlotNumber,0),MATCH(J$3,PlotTitles,0))))&lt;DATEVALUE(StartDateMonth&amp;StartDateYear),$AB$15,TRUE,"")</f>
        <v/>
      </c>
      <c r="M475" s="104" t="str" cm="1">
        <f t="array" ref="M475">_xlfn.IFS(OR(ISBLANK(StartDateMonth),ISBLANK(StartDateYear)),"",AND(A475&gt;NumberOfPlots,ISBLANK(INDEX(PlotData,MATCH($A475,PlotNumber,0),MATCH(B$3,PlotTitles,0)))),"",ISBLANK(INDEX(PlotData,MATCH($A475,PlotNumber,0),MATCH(I$3,PlotTitles,0))),"",CompletionMonth="","",(DATEVALUE(INDEX(PlotData,MATCH($A475,PlotNumber,0),MATCH(I$3,PlotTitles,0))&amp;INDEX(PlotData,MATCH($A475,PlotNumber,0),MATCH(J$3,PlotTitles,0))))&gt;(DATEVALUE(CompletionMonth&amp;CompletionYear)),$AB$16,TRUE,"")</f>
        <v/>
      </c>
      <c r="N475" s="104" t="str" cm="1">
        <f t="array" ref="N475">_xlfn.IFS(AND(A475&gt;NumberOfPlots,ISBLANK(INDEX(PlotData,MATCH($A475,PlotNumber,0),MATCH(B$3,PlotTitles,0)))),"",ISBLANK(INDEX(PlotData,MATCH($A475,PlotNumber,0),MATCH(N$3,PlotTitles,0))),$AB$17,TRUE,"")</f>
        <v/>
      </c>
      <c r="O475" s="104" t="str" cm="1">
        <f t="array" ref="O475">_xlfn.IFS(AND(A475&gt;NumberOfPlots,ISBLANK(INDEX(PlotData,MATCH($A475,PlotNumber,0),MATCH(B$3,PlotTitles,0)))),"",ISBLANK(INDEX(PlotData,MATCH($A475,PlotNumber,0),MATCH(O$3,PlotTitles,0))),$AB$18,TRUE,"")</f>
        <v/>
      </c>
      <c r="P475" s="182" t="str">
        <f t="shared" ca="1" si="22"/>
        <v/>
      </c>
      <c r="Q475" s="104" t="str" cm="1">
        <f t="array" ref="Q475">_xlfn.IFS(AND(A475&gt;NumberOfPlots,ISBLANK(INDEX(PlotData,MATCH($A475,PlotNumber,0),MATCH(B$3,PlotTitles,0)))),"",ISBLANK(INDEX(PlotData,MATCH($A475,PlotNumber,0),MATCH(N$3,PlotTitles,0))),"",(DATEVALUE(INDEX(PlotData,MATCH($A475,PlotNumber,0),MATCH(N$3,PlotTitles,0))&amp;INDEX(PlotData,MATCH($A475,PlotNumber,0),MATCH(O$3,PlotTitles,0))))&lt;(DATEVALUE(INDEX(PlotData,MATCH($A475,PlotNumber,0),MATCH(I$3,PlotTitles,0))&amp;INDEX(PlotData,MATCH($A475,PlotNumber,0),MATCH(J$3,PlotTitles,0)))),$AB$20,TRUE,"")</f>
        <v/>
      </c>
      <c r="R475" s="104" t="str" cm="1">
        <f t="array" ref="R475">_xlfn.IFS(OR(ISBLANK(StartDateMonth),ISBLANK(StartDateYear)),"",AND(A475&gt;NumberOfPlots,ISBLANK(INDEX(PlotData,MATCH($A475,PlotNumber,0),MATCH(B$3,PlotTitles,0)))),"",ISBLANK(INDEX(PlotData,MATCH($A475,PlotNumber,0),MATCH(N$3,PlotTitles,0))),"",CompletionMonth="","",(DATEVALUE(INDEX(PlotData,MATCH($A475,PlotNumber,0),MATCH(N$3,PlotTitles,0))&amp;INDEX(PlotData,MATCH($A475,PlotNumber,0),MATCH(O$3,PlotTitles,0))))&gt;(DATEVALUE(CompletionMonth&amp;CompletionYear)),$AB$21,TRUE,"")</f>
        <v/>
      </c>
      <c r="S475" s="104" t="str" cm="1">
        <f t="array" ref="S475">_xlfn.IFS(AND(A475&gt;NumberOfPlots,ISBLANK(INDEX(PlotData,MATCH($A475,PlotNumber,0),MATCH(B$3,PlotTitles,0)))),"",OR(AND(INDEX(PlotData,MATCH($A475,PlotNumber,0),MATCH("Tenure",PlotTitles,0))="Open market housing",INDEX(PlotData,MATCH($A475,PlotNumber,0),MATCH("Tenure detail",PlotTitles,0))="Private rented sector"),INDEX(PlotData,MATCH($A475,PlotNumber,0),MATCH("Tenure",PlotTitles,0))="Affordable rent"),"",ISNUMBER(INDEX(PlotData,MATCH($A475,PlotNumber,0),MATCH(S$3,PlotTitles,0)))=FALSE, $AB$22,TRUE,"")</f>
        <v/>
      </c>
      <c r="T475" s="104" t="str" cm="1">
        <f t="array" ref="T475">_xlfn.IFS(AND(A475&gt;NumberOfPlots,ISBLANK(INDEX(PlotData,MATCH($A475,PlotNumber,0),MATCH(B$3,PlotTitles,0)))),"",OR(AND(INDEX(PlotData,MATCH($A475,PlotNumber,0),MATCH("Tenure",PlotTitles,0))="Open market housing",INDEX(PlotData,MATCH($A475,PlotNumber,0),MATCH("Tenure detail",PlotTitles,0))="Private rented sector"),INDEX(PlotData,MATCH($A475,PlotNumber,0),MATCH("Tenure",PlotTitles,0))="Affordable rent"),"",INDEX(PlotData,MATCH($A475,PlotNumber,0),MATCH(S$3,PlotTitles,0))&lt;10000, $AB$23,TRUE,"")</f>
        <v/>
      </c>
      <c r="U475" s="104" t="str" cm="1">
        <f t="array" ref="U475">_xlfn.IFS(AND(A475&gt;NumberOfPlots,ISBLANK(INDEX(PlotData,MATCH($A475,PlotNumber,0),MATCH(B$3,PlotTitles,0)))),"",NOT(OR(AND(INDEX(PlotData,MATCH($A475,PlotNumber,0),MATCH("Tenure",PlotTitles,0))="Open market housing",INDEX(PlotData,MATCH($A475,PlotNumber,0),MATCH("Tenure detail",PlotTitles,0))="Private rented sector"),INDEX(PlotData,MATCH($A475,PlotNumber,0),MATCH("Tenure",PlotTitles,0))="Affordable rent")),"",NOT(INDEX(PlotData,MATCH($A475,PlotNumber,0),MATCH(S$3,PlotTitles,0))=0), $AB$24,TRUE,"")</f>
        <v/>
      </c>
      <c r="V475" s="114" t="str" cm="1">
        <f t="array" aca="1" ref="V475" ca="1">_xlfn.IFS(ISBLANK(NumberOfPlots),"Enter the number of homes on the 1_SetUp sheet",AND(A475&gt;NumberOfPlots,ISBLANK(INDEX(PlotData,MATCH($A475,PlotNumber,0),MATCH(B$3,PlotTitles,0)))),"No error",NOT(B475=""),B475,NOT(C475=""),C475,NOT(D475=""),D475,NOT(E475=""),E475,NOT(F475=""),F475,NOT(G475=""),G475,NOT(H475=""),H475,NOT(I475=""),I475,NOT(J475=""),J475,NOT(K475=""),K475,NOT(L475=""),L475,NOT(M475=""),M475,NOT(N475=""),N475,NOT(O475=""),O475,NOT(P475=""),P475,NOT(Q475=""),Q475,NOT(R475=""),R475,NOT(S475=""),S475,NOT(T475=""),T475,NOT(U475=""),U475,TRUE,"No error")</f>
        <v>Enter the number of homes on the 1_SetUp sheet</v>
      </c>
      <c r="W475" s="114" t="str">
        <f t="shared" ca="1" si="23"/>
        <v xml:space="preserve">The Borrower has not addressed the following error messages for Home ID 471: </v>
      </c>
    </row>
    <row r="476" spans="1:23">
      <c r="A476" s="123">
        <v>472</v>
      </c>
      <c r="B476" s="104" t="str" cm="1">
        <f t="array" ref="B476">_xlfn.IFS(AND(A476&gt;NumberOfPlots,ISBLANK(INDEX(PlotData,MATCH($A476,PlotNumber,0),MATCH(B$3,PlotTitles,0)))),"",ISNUMBER(INDEX(PlotData,MATCH($A476,PlotNumber,0),MATCH(B$3,PlotTitles,0)))=FALSE, $AB$5,TRUE,"")</f>
        <v/>
      </c>
      <c r="C476" s="104" t="str" cm="1">
        <f t="array" ref="C476">_xlfn.IFS(AND(A476&gt;NumberOfPlots,ISBLANK(INDEX(PlotData,MATCH($A476,PlotNumber,0),MATCH(B$3,PlotTitles,0)))),"",ISBLANK(INDEX(PlotData,MATCH($A476,PlotNumber,0),MATCH(C$3,PlotTitles,0))),$AB$6,TRUE,"")</f>
        <v/>
      </c>
      <c r="D476" s="104" t="str" cm="1">
        <f t="array" ref="D476">_xlfn.IFS(AND(A476&gt;NumberOfPlots,ISBLANK(INDEX(PlotData,MATCH($A476,PlotNumber,0),MATCH(B$3,PlotTitles,0)))),"",ISBLANK(INDEX(PlotData,MATCH($A476,PlotNumber,0),MATCH(D$3,PlotTitles,0))),$AB$7,TRUE,"")</f>
        <v/>
      </c>
      <c r="E476" s="104" t="str" cm="1">
        <f t="array" ref="E476">_xlfn.IFS(AND(A476&gt;NumberOfPlots,ISBLANK(INDEX(PlotData,MATCH($A476,PlotNumber,0),MATCH(B$3,PlotTitles,0)))),"",ISBLANK(INDEX(PlotData,MATCH($A476,PlotNumber,0),MATCH(E$3,PlotTitles,0))),$AB$8,TRUE,"")</f>
        <v/>
      </c>
      <c r="F476" s="104" t="str" cm="1">
        <f t="array" ref="F476">_xlfn.IFS(AND(A476&gt;NumberOfPlots,ISBLANK(INDEX(PlotData,MATCH($A476,PlotNumber,0),MATCH(B$3,PlotTitles,0)))),"",ISBLANK(INDEX(PlotData,MATCH($A476,PlotNumber,0),MATCH(F$3,PlotTitles,0))),$AB$9,TRUE,"")</f>
        <v/>
      </c>
      <c r="G476" s="104" t="str" cm="1">
        <f t="array" ref="G476">_xlfn.IFS(AND(A476&gt;NumberOfPlots,ISBLANK(INDEX(PlotData,MATCH($A476,PlotNumber,0),MATCH(B$3,PlotTitles,0)))),"",ISBLANK(INDEX(PlotData,MATCH($A476,PlotNumber,0),MATCH(G$3,PlotTitles,0))),$AB$10,TRUE,"")</f>
        <v/>
      </c>
      <c r="H476" s="104" t="str" cm="1">
        <f t="array" ref="H476">_xlfn.IFS(AND(A476&gt;NumberOfPlots,ISBLANK(INDEX(PlotData,MATCH($A476,PlotNumber,0),MATCH(B$3,PlotTitles,0)))),"",AND(ISBLANK(INDEX(PlotData,MATCH($A476,PlotNumber,0),MATCH(H$3,PlotTitles,0)))=FALSE,INDEX(PlotData,MATCH($A476,PlotNumber,0),MATCH(H$3,PlotTitles,0))&lt;500), $AB$11,TRUE,"")</f>
        <v/>
      </c>
      <c r="I476" s="104" t="str" cm="1">
        <f t="array" ref="I476">_xlfn.IFS(AND(A476&gt;NumberOfPlots,ISBLANK(INDEX(PlotData,MATCH($A476,PlotNumber,0),MATCH(B$3,PlotTitles,0)))),"",ISBLANK(INDEX(PlotData,MATCH($A476,PlotNumber,0),MATCH(I$3,PlotTitles,0))),$AB$12,TRUE,"")</f>
        <v/>
      </c>
      <c r="J476" s="104" t="str" cm="1">
        <f t="array" ref="J476">_xlfn.IFS(AND(A476&gt;NumberOfPlots,ISBLANK(INDEX(PlotData,MATCH($A476,PlotNumber,0),MATCH(B$3,PlotTitles,0)))),"",ISBLANK(INDEX(PlotData,MATCH($A476,PlotNumber,0),MATCH(J$3,PlotTitles,0))),$AB$13,TRUE,"")</f>
        <v/>
      </c>
      <c r="K476" s="182" t="str">
        <f t="shared" ca="1" si="21"/>
        <v/>
      </c>
      <c r="L476" s="104" t="str" cm="1">
        <f t="array" ref="L476">_xlfn.IFS(OR(ISBLANK(StartDateMonth),ISBLANK(StartDateYear)),"",AND(A476&gt;NumberOfPlots,ISBLANK(INDEX(PlotData,MATCH($A476,PlotNumber,0),MATCH(B$3,PlotTitles,0)))),"",ISBLANK(INDEX(PlotData,MATCH($A476,PlotNumber,0),MATCH(I$3,PlotTitles,0))),"",(DATEVALUE(INDEX(PlotData,MATCH($A476,PlotNumber,0),MATCH(I$3,PlotTitles,0))&amp;INDEX(PlotData,MATCH($A476,PlotNumber,0),MATCH(J$3,PlotTitles,0))))&lt;DATEVALUE(StartDateMonth&amp;StartDateYear),$AB$15,TRUE,"")</f>
        <v/>
      </c>
      <c r="M476" s="104" t="str" cm="1">
        <f t="array" ref="M476">_xlfn.IFS(OR(ISBLANK(StartDateMonth),ISBLANK(StartDateYear)),"",AND(A476&gt;NumberOfPlots,ISBLANK(INDEX(PlotData,MATCH($A476,PlotNumber,0),MATCH(B$3,PlotTitles,0)))),"",ISBLANK(INDEX(PlotData,MATCH($A476,PlotNumber,0),MATCH(I$3,PlotTitles,0))),"",CompletionMonth="","",(DATEVALUE(INDEX(PlotData,MATCH($A476,PlotNumber,0),MATCH(I$3,PlotTitles,0))&amp;INDEX(PlotData,MATCH($A476,PlotNumber,0),MATCH(J$3,PlotTitles,0))))&gt;(DATEVALUE(CompletionMonth&amp;CompletionYear)),$AB$16,TRUE,"")</f>
        <v/>
      </c>
      <c r="N476" s="104" t="str" cm="1">
        <f t="array" ref="N476">_xlfn.IFS(AND(A476&gt;NumberOfPlots,ISBLANK(INDEX(PlotData,MATCH($A476,PlotNumber,0),MATCH(B$3,PlotTitles,0)))),"",ISBLANK(INDEX(PlotData,MATCH($A476,PlotNumber,0),MATCH(N$3,PlotTitles,0))),$AB$17,TRUE,"")</f>
        <v/>
      </c>
      <c r="O476" s="104" t="str" cm="1">
        <f t="array" ref="O476">_xlfn.IFS(AND(A476&gt;NumberOfPlots,ISBLANK(INDEX(PlotData,MATCH($A476,PlotNumber,0),MATCH(B$3,PlotTitles,0)))),"",ISBLANK(INDEX(PlotData,MATCH($A476,PlotNumber,0),MATCH(O$3,PlotTitles,0))),$AB$18,TRUE,"")</f>
        <v/>
      </c>
      <c r="P476" s="182" t="str">
        <f t="shared" ca="1" si="22"/>
        <v/>
      </c>
      <c r="Q476" s="104" t="str" cm="1">
        <f t="array" ref="Q476">_xlfn.IFS(AND(A476&gt;NumberOfPlots,ISBLANK(INDEX(PlotData,MATCH($A476,PlotNumber,0),MATCH(B$3,PlotTitles,0)))),"",ISBLANK(INDEX(PlotData,MATCH($A476,PlotNumber,0),MATCH(N$3,PlotTitles,0))),"",(DATEVALUE(INDEX(PlotData,MATCH($A476,PlotNumber,0),MATCH(N$3,PlotTitles,0))&amp;INDEX(PlotData,MATCH($A476,PlotNumber,0),MATCH(O$3,PlotTitles,0))))&lt;(DATEVALUE(INDEX(PlotData,MATCH($A476,PlotNumber,0),MATCH(I$3,PlotTitles,0))&amp;INDEX(PlotData,MATCH($A476,PlotNumber,0),MATCH(J$3,PlotTitles,0)))),$AB$20,TRUE,"")</f>
        <v/>
      </c>
      <c r="R476" s="104" t="str" cm="1">
        <f t="array" ref="R476">_xlfn.IFS(OR(ISBLANK(StartDateMonth),ISBLANK(StartDateYear)),"",AND(A476&gt;NumberOfPlots,ISBLANK(INDEX(PlotData,MATCH($A476,PlotNumber,0),MATCH(B$3,PlotTitles,0)))),"",ISBLANK(INDEX(PlotData,MATCH($A476,PlotNumber,0),MATCH(N$3,PlotTitles,0))),"",CompletionMonth="","",(DATEVALUE(INDEX(PlotData,MATCH($A476,PlotNumber,0),MATCH(N$3,PlotTitles,0))&amp;INDEX(PlotData,MATCH($A476,PlotNumber,0),MATCH(O$3,PlotTitles,0))))&gt;(DATEVALUE(CompletionMonth&amp;CompletionYear)),$AB$21,TRUE,"")</f>
        <v/>
      </c>
      <c r="S476" s="104" t="str" cm="1">
        <f t="array" ref="S476">_xlfn.IFS(AND(A476&gt;NumberOfPlots,ISBLANK(INDEX(PlotData,MATCH($A476,PlotNumber,0),MATCH(B$3,PlotTitles,0)))),"",OR(AND(INDEX(PlotData,MATCH($A476,PlotNumber,0),MATCH("Tenure",PlotTitles,0))="Open market housing",INDEX(PlotData,MATCH($A476,PlotNumber,0),MATCH("Tenure detail",PlotTitles,0))="Private rented sector"),INDEX(PlotData,MATCH($A476,PlotNumber,0),MATCH("Tenure",PlotTitles,0))="Affordable rent"),"",ISNUMBER(INDEX(PlotData,MATCH($A476,PlotNumber,0),MATCH(S$3,PlotTitles,0)))=FALSE, $AB$22,TRUE,"")</f>
        <v/>
      </c>
      <c r="T476" s="104" t="str" cm="1">
        <f t="array" ref="T476">_xlfn.IFS(AND(A476&gt;NumberOfPlots,ISBLANK(INDEX(PlotData,MATCH($A476,PlotNumber,0),MATCH(B$3,PlotTitles,0)))),"",OR(AND(INDEX(PlotData,MATCH($A476,PlotNumber,0),MATCH("Tenure",PlotTitles,0))="Open market housing",INDEX(PlotData,MATCH($A476,PlotNumber,0),MATCH("Tenure detail",PlotTitles,0))="Private rented sector"),INDEX(PlotData,MATCH($A476,PlotNumber,0),MATCH("Tenure",PlotTitles,0))="Affordable rent"),"",INDEX(PlotData,MATCH($A476,PlotNumber,0),MATCH(S$3,PlotTitles,0))&lt;10000, $AB$23,TRUE,"")</f>
        <v/>
      </c>
      <c r="U476" s="104" t="str" cm="1">
        <f t="array" ref="U476">_xlfn.IFS(AND(A476&gt;NumberOfPlots,ISBLANK(INDEX(PlotData,MATCH($A476,PlotNumber,0),MATCH(B$3,PlotTitles,0)))),"",NOT(OR(AND(INDEX(PlotData,MATCH($A476,PlotNumber,0),MATCH("Tenure",PlotTitles,0))="Open market housing",INDEX(PlotData,MATCH($A476,PlotNumber,0),MATCH("Tenure detail",PlotTitles,0))="Private rented sector"),INDEX(PlotData,MATCH($A476,PlotNumber,0),MATCH("Tenure",PlotTitles,0))="Affordable rent")),"",NOT(INDEX(PlotData,MATCH($A476,PlotNumber,0),MATCH(S$3,PlotTitles,0))=0), $AB$24,TRUE,"")</f>
        <v/>
      </c>
      <c r="V476" s="114" t="str" cm="1">
        <f t="array" aca="1" ref="V476" ca="1">_xlfn.IFS(ISBLANK(NumberOfPlots),"Enter the number of homes on the 1_SetUp sheet",AND(A476&gt;NumberOfPlots,ISBLANK(INDEX(PlotData,MATCH($A476,PlotNumber,0),MATCH(B$3,PlotTitles,0)))),"No error",NOT(B476=""),B476,NOT(C476=""),C476,NOT(D476=""),D476,NOT(E476=""),E476,NOT(F476=""),F476,NOT(G476=""),G476,NOT(H476=""),H476,NOT(I476=""),I476,NOT(J476=""),J476,NOT(K476=""),K476,NOT(L476=""),L476,NOT(M476=""),M476,NOT(N476=""),N476,NOT(O476=""),O476,NOT(P476=""),P476,NOT(Q476=""),Q476,NOT(R476=""),R476,NOT(S476=""),S476,NOT(T476=""),T476,NOT(U476=""),U476,TRUE,"No error")</f>
        <v>Enter the number of homes on the 1_SetUp sheet</v>
      </c>
      <c r="W476" s="114" t="str">
        <f t="shared" ca="1" si="23"/>
        <v xml:space="preserve">The Borrower has not addressed the following error messages for Home ID 472: </v>
      </c>
    </row>
    <row r="477" spans="1:23">
      <c r="A477" s="123">
        <v>473</v>
      </c>
      <c r="B477" s="104" t="str" cm="1">
        <f t="array" ref="B477">_xlfn.IFS(AND(A477&gt;NumberOfPlots,ISBLANK(INDEX(PlotData,MATCH($A477,PlotNumber,0),MATCH(B$3,PlotTitles,0)))),"",ISNUMBER(INDEX(PlotData,MATCH($A477,PlotNumber,0),MATCH(B$3,PlotTitles,0)))=FALSE, $AB$5,TRUE,"")</f>
        <v/>
      </c>
      <c r="C477" s="104" t="str" cm="1">
        <f t="array" ref="C477">_xlfn.IFS(AND(A477&gt;NumberOfPlots,ISBLANK(INDEX(PlotData,MATCH($A477,PlotNumber,0),MATCH(B$3,PlotTitles,0)))),"",ISBLANK(INDEX(PlotData,MATCH($A477,PlotNumber,0),MATCH(C$3,PlotTitles,0))),$AB$6,TRUE,"")</f>
        <v/>
      </c>
      <c r="D477" s="104" t="str" cm="1">
        <f t="array" ref="D477">_xlfn.IFS(AND(A477&gt;NumberOfPlots,ISBLANK(INDEX(PlotData,MATCH($A477,PlotNumber,0),MATCH(B$3,PlotTitles,0)))),"",ISBLANK(INDEX(PlotData,MATCH($A477,PlotNumber,0),MATCH(D$3,PlotTitles,0))),$AB$7,TRUE,"")</f>
        <v/>
      </c>
      <c r="E477" s="104" t="str" cm="1">
        <f t="array" ref="E477">_xlfn.IFS(AND(A477&gt;NumberOfPlots,ISBLANK(INDEX(PlotData,MATCH($A477,PlotNumber,0),MATCH(B$3,PlotTitles,0)))),"",ISBLANK(INDEX(PlotData,MATCH($A477,PlotNumber,0),MATCH(E$3,PlotTitles,0))),$AB$8,TRUE,"")</f>
        <v/>
      </c>
      <c r="F477" s="104" t="str" cm="1">
        <f t="array" ref="F477">_xlfn.IFS(AND(A477&gt;NumberOfPlots,ISBLANK(INDEX(PlotData,MATCH($A477,PlotNumber,0),MATCH(B$3,PlotTitles,0)))),"",ISBLANK(INDEX(PlotData,MATCH($A477,PlotNumber,0),MATCH(F$3,PlotTitles,0))),$AB$9,TRUE,"")</f>
        <v/>
      </c>
      <c r="G477" s="104" t="str" cm="1">
        <f t="array" ref="G477">_xlfn.IFS(AND(A477&gt;NumberOfPlots,ISBLANK(INDEX(PlotData,MATCH($A477,PlotNumber,0),MATCH(B$3,PlotTitles,0)))),"",ISBLANK(INDEX(PlotData,MATCH($A477,PlotNumber,0),MATCH(G$3,PlotTitles,0))),$AB$10,TRUE,"")</f>
        <v/>
      </c>
      <c r="H477" s="104" t="str" cm="1">
        <f t="array" ref="H477">_xlfn.IFS(AND(A477&gt;NumberOfPlots,ISBLANK(INDEX(PlotData,MATCH($A477,PlotNumber,0),MATCH(B$3,PlotTitles,0)))),"",AND(ISBLANK(INDEX(PlotData,MATCH($A477,PlotNumber,0),MATCH(H$3,PlotTitles,0)))=FALSE,INDEX(PlotData,MATCH($A477,PlotNumber,0),MATCH(H$3,PlotTitles,0))&lt;500), $AB$11,TRUE,"")</f>
        <v/>
      </c>
      <c r="I477" s="104" t="str" cm="1">
        <f t="array" ref="I477">_xlfn.IFS(AND(A477&gt;NumberOfPlots,ISBLANK(INDEX(PlotData,MATCH($A477,PlotNumber,0),MATCH(B$3,PlotTitles,0)))),"",ISBLANK(INDEX(PlotData,MATCH($A477,PlotNumber,0),MATCH(I$3,PlotTitles,0))),$AB$12,TRUE,"")</f>
        <v/>
      </c>
      <c r="J477" s="104" t="str" cm="1">
        <f t="array" ref="J477">_xlfn.IFS(AND(A477&gt;NumberOfPlots,ISBLANK(INDEX(PlotData,MATCH($A477,PlotNumber,0),MATCH(B$3,PlotTitles,0)))),"",ISBLANK(INDEX(PlotData,MATCH($A477,PlotNumber,0),MATCH(J$3,PlotTitles,0))),$AB$13,TRUE,"")</f>
        <v/>
      </c>
      <c r="K477" s="182" t="str">
        <f t="shared" ca="1" si="21"/>
        <v/>
      </c>
      <c r="L477" s="104" t="str" cm="1">
        <f t="array" ref="L477">_xlfn.IFS(OR(ISBLANK(StartDateMonth),ISBLANK(StartDateYear)),"",AND(A477&gt;NumberOfPlots,ISBLANK(INDEX(PlotData,MATCH($A477,PlotNumber,0),MATCH(B$3,PlotTitles,0)))),"",ISBLANK(INDEX(PlotData,MATCH($A477,PlotNumber,0),MATCH(I$3,PlotTitles,0))),"",(DATEVALUE(INDEX(PlotData,MATCH($A477,PlotNumber,0),MATCH(I$3,PlotTitles,0))&amp;INDEX(PlotData,MATCH($A477,PlotNumber,0),MATCH(J$3,PlotTitles,0))))&lt;DATEVALUE(StartDateMonth&amp;StartDateYear),$AB$15,TRUE,"")</f>
        <v/>
      </c>
      <c r="M477" s="104" t="str" cm="1">
        <f t="array" ref="M477">_xlfn.IFS(OR(ISBLANK(StartDateMonth),ISBLANK(StartDateYear)),"",AND(A477&gt;NumberOfPlots,ISBLANK(INDEX(PlotData,MATCH($A477,PlotNumber,0),MATCH(B$3,PlotTitles,0)))),"",ISBLANK(INDEX(PlotData,MATCH($A477,PlotNumber,0),MATCH(I$3,PlotTitles,0))),"",CompletionMonth="","",(DATEVALUE(INDEX(PlotData,MATCH($A477,PlotNumber,0),MATCH(I$3,PlotTitles,0))&amp;INDEX(PlotData,MATCH($A477,PlotNumber,0),MATCH(J$3,PlotTitles,0))))&gt;(DATEVALUE(CompletionMonth&amp;CompletionYear)),$AB$16,TRUE,"")</f>
        <v/>
      </c>
      <c r="N477" s="104" t="str" cm="1">
        <f t="array" ref="N477">_xlfn.IFS(AND(A477&gt;NumberOfPlots,ISBLANK(INDEX(PlotData,MATCH($A477,PlotNumber,0),MATCH(B$3,PlotTitles,0)))),"",ISBLANK(INDEX(PlotData,MATCH($A477,PlotNumber,0),MATCH(N$3,PlotTitles,0))),$AB$17,TRUE,"")</f>
        <v/>
      </c>
      <c r="O477" s="104" t="str" cm="1">
        <f t="array" ref="O477">_xlfn.IFS(AND(A477&gt;NumberOfPlots,ISBLANK(INDEX(PlotData,MATCH($A477,PlotNumber,0),MATCH(B$3,PlotTitles,0)))),"",ISBLANK(INDEX(PlotData,MATCH($A477,PlotNumber,0),MATCH(O$3,PlotTitles,0))),$AB$18,TRUE,"")</f>
        <v/>
      </c>
      <c r="P477" s="182" t="str">
        <f t="shared" ca="1" si="22"/>
        <v/>
      </c>
      <c r="Q477" s="104" t="str" cm="1">
        <f t="array" ref="Q477">_xlfn.IFS(AND(A477&gt;NumberOfPlots,ISBLANK(INDEX(PlotData,MATCH($A477,PlotNumber,0),MATCH(B$3,PlotTitles,0)))),"",ISBLANK(INDEX(PlotData,MATCH($A477,PlotNumber,0),MATCH(N$3,PlotTitles,0))),"",(DATEVALUE(INDEX(PlotData,MATCH($A477,PlotNumber,0),MATCH(N$3,PlotTitles,0))&amp;INDEX(PlotData,MATCH($A477,PlotNumber,0),MATCH(O$3,PlotTitles,0))))&lt;(DATEVALUE(INDEX(PlotData,MATCH($A477,PlotNumber,0),MATCH(I$3,PlotTitles,0))&amp;INDEX(PlotData,MATCH($A477,PlotNumber,0),MATCH(J$3,PlotTitles,0)))),$AB$20,TRUE,"")</f>
        <v/>
      </c>
      <c r="R477" s="104" t="str" cm="1">
        <f t="array" ref="R477">_xlfn.IFS(OR(ISBLANK(StartDateMonth),ISBLANK(StartDateYear)),"",AND(A477&gt;NumberOfPlots,ISBLANK(INDEX(PlotData,MATCH($A477,PlotNumber,0),MATCH(B$3,PlotTitles,0)))),"",ISBLANK(INDEX(PlotData,MATCH($A477,PlotNumber,0),MATCH(N$3,PlotTitles,0))),"",CompletionMonth="","",(DATEVALUE(INDEX(PlotData,MATCH($A477,PlotNumber,0),MATCH(N$3,PlotTitles,0))&amp;INDEX(PlotData,MATCH($A477,PlotNumber,0),MATCH(O$3,PlotTitles,0))))&gt;(DATEVALUE(CompletionMonth&amp;CompletionYear)),$AB$21,TRUE,"")</f>
        <v/>
      </c>
      <c r="S477" s="104" t="str" cm="1">
        <f t="array" ref="S477">_xlfn.IFS(AND(A477&gt;NumberOfPlots,ISBLANK(INDEX(PlotData,MATCH($A477,PlotNumber,0),MATCH(B$3,PlotTitles,0)))),"",OR(AND(INDEX(PlotData,MATCH($A477,PlotNumber,0),MATCH("Tenure",PlotTitles,0))="Open market housing",INDEX(PlotData,MATCH($A477,PlotNumber,0),MATCH("Tenure detail",PlotTitles,0))="Private rented sector"),INDEX(PlotData,MATCH($A477,PlotNumber,0),MATCH("Tenure",PlotTitles,0))="Affordable rent"),"",ISNUMBER(INDEX(PlotData,MATCH($A477,PlotNumber,0),MATCH(S$3,PlotTitles,0)))=FALSE, $AB$22,TRUE,"")</f>
        <v/>
      </c>
      <c r="T477" s="104" t="str" cm="1">
        <f t="array" ref="T477">_xlfn.IFS(AND(A477&gt;NumberOfPlots,ISBLANK(INDEX(PlotData,MATCH($A477,PlotNumber,0),MATCH(B$3,PlotTitles,0)))),"",OR(AND(INDEX(PlotData,MATCH($A477,PlotNumber,0),MATCH("Tenure",PlotTitles,0))="Open market housing",INDEX(PlotData,MATCH($A477,PlotNumber,0),MATCH("Tenure detail",PlotTitles,0))="Private rented sector"),INDEX(PlotData,MATCH($A477,PlotNumber,0),MATCH("Tenure",PlotTitles,0))="Affordable rent"),"",INDEX(PlotData,MATCH($A477,PlotNumber,0),MATCH(S$3,PlotTitles,0))&lt;10000, $AB$23,TRUE,"")</f>
        <v/>
      </c>
      <c r="U477" s="104" t="str" cm="1">
        <f t="array" ref="U477">_xlfn.IFS(AND(A477&gt;NumberOfPlots,ISBLANK(INDEX(PlotData,MATCH($A477,PlotNumber,0),MATCH(B$3,PlotTitles,0)))),"",NOT(OR(AND(INDEX(PlotData,MATCH($A477,PlotNumber,0),MATCH("Tenure",PlotTitles,0))="Open market housing",INDEX(PlotData,MATCH($A477,PlotNumber,0),MATCH("Tenure detail",PlotTitles,0))="Private rented sector"),INDEX(PlotData,MATCH($A477,PlotNumber,0),MATCH("Tenure",PlotTitles,0))="Affordable rent")),"",NOT(INDEX(PlotData,MATCH($A477,PlotNumber,0),MATCH(S$3,PlotTitles,0))=0), $AB$24,TRUE,"")</f>
        <v/>
      </c>
      <c r="V477" s="114" t="str" cm="1">
        <f t="array" aca="1" ref="V477" ca="1">_xlfn.IFS(ISBLANK(NumberOfPlots),"Enter the number of homes on the 1_SetUp sheet",AND(A477&gt;NumberOfPlots,ISBLANK(INDEX(PlotData,MATCH($A477,PlotNumber,0),MATCH(B$3,PlotTitles,0)))),"No error",NOT(B477=""),B477,NOT(C477=""),C477,NOT(D477=""),D477,NOT(E477=""),E477,NOT(F477=""),F477,NOT(G477=""),G477,NOT(H477=""),H477,NOT(I477=""),I477,NOT(J477=""),J477,NOT(K477=""),K477,NOT(L477=""),L477,NOT(M477=""),M477,NOT(N477=""),N477,NOT(O477=""),O477,NOT(P477=""),P477,NOT(Q477=""),Q477,NOT(R477=""),R477,NOT(S477=""),S477,NOT(T477=""),T477,NOT(U477=""),U477,TRUE,"No error")</f>
        <v>Enter the number of homes on the 1_SetUp sheet</v>
      </c>
      <c r="W477" s="114" t="str">
        <f t="shared" ca="1" si="23"/>
        <v xml:space="preserve">The Borrower has not addressed the following error messages for Home ID 473: </v>
      </c>
    </row>
    <row r="478" spans="1:23">
      <c r="A478" s="123">
        <v>474</v>
      </c>
      <c r="B478" s="104" t="str" cm="1">
        <f t="array" ref="B478">_xlfn.IFS(AND(A478&gt;NumberOfPlots,ISBLANK(INDEX(PlotData,MATCH($A478,PlotNumber,0),MATCH(B$3,PlotTitles,0)))),"",ISNUMBER(INDEX(PlotData,MATCH($A478,PlotNumber,0),MATCH(B$3,PlotTitles,0)))=FALSE, $AB$5,TRUE,"")</f>
        <v/>
      </c>
      <c r="C478" s="104" t="str" cm="1">
        <f t="array" ref="C478">_xlfn.IFS(AND(A478&gt;NumberOfPlots,ISBLANK(INDEX(PlotData,MATCH($A478,PlotNumber,0),MATCH(B$3,PlotTitles,0)))),"",ISBLANK(INDEX(PlotData,MATCH($A478,PlotNumber,0),MATCH(C$3,PlotTitles,0))),$AB$6,TRUE,"")</f>
        <v/>
      </c>
      <c r="D478" s="104" t="str" cm="1">
        <f t="array" ref="D478">_xlfn.IFS(AND(A478&gt;NumberOfPlots,ISBLANK(INDEX(PlotData,MATCH($A478,PlotNumber,0),MATCH(B$3,PlotTitles,0)))),"",ISBLANK(INDEX(PlotData,MATCH($A478,PlotNumber,0),MATCH(D$3,PlotTitles,0))),$AB$7,TRUE,"")</f>
        <v/>
      </c>
      <c r="E478" s="104" t="str" cm="1">
        <f t="array" ref="E478">_xlfn.IFS(AND(A478&gt;NumberOfPlots,ISBLANK(INDEX(PlotData,MATCH($A478,PlotNumber,0),MATCH(B$3,PlotTitles,0)))),"",ISBLANK(INDEX(PlotData,MATCH($A478,PlotNumber,0),MATCH(E$3,PlotTitles,0))),$AB$8,TRUE,"")</f>
        <v/>
      </c>
      <c r="F478" s="104" t="str" cm="1">
        <f t="array" ref="F478">_xlfn.IFS(AND(A478&gt;NumberOfPlots,ISBLANK(INDEX(PlotData,MATCH($A478,PlotNumber,0),MATCH(B$3,PlotTitles,0)))),"",ISBLANK(INDEX(PlotData,MATCH($A478,PlotNumber,0),MATCH(F$3,PlotTitles,0))),$AB$9,TRUE,"")</f>
        <v/>
      </c>
      <c r="G478" s="104" t="str" cm="1">
        <f t="array" ref="G478">_xlfn.IFS(AND(A478&gt;NumberOfPlots,ISBLANK(INDEX(PlotData,MATCH($A478,PlotNumber,0),MATCH(B$3,PlotTitles,0)))),"",ISBLANK(INDEX(PlotData,MATCH($A478,PlotNumber,0),MATCH(G$3,PlotTitles,0))),$AB$10,TRUE,"")</f>
        <v/>
      </c>
      <c r="H478" s="104" t="str" cm="1">
        <f t="array" ref="H478">_xlfn.IFS(AND(A478&gt;NumberOfPlots,ISBLANK(INDEX(PlotData,MATCH($A478,PlotNumber,0),MATCH(B$3,PlotTitles,0)))),"",AND(ISBLANK(INDEX(PlotData,MATCH($A478,PlotNumber,0),MATCH(H$3,PlotTitles,0)))=FALSE,INDEX(PlotData,MATCH($A478,PlotNumber,0),MATCH(H$3,PlotTitles,0))&lt;500), $AB$11,TRUE,"")</f>
        <v/>
      </c>
      <c r="I478" s="104" t="str" cm="1">
        <f t="array" ref="I478">_xlfn.IFS(AND(A478&gt;NumberOfPlots,ISBLANK(INDEX(PlotData,MATCH($A478,PlotNumber,0),MATCH(B$3,PlotTitles,0)))),"",ISBLANK(INDEX(PlotData,MATCH($A478,PlotNumber,0),MATCH(I$3,PlotTitles,0))),$AB$12,TRUE,"")</f>
        <v/>
      </c>
      <c r="J478" s="104" t="str" cm="1">
        <f t="array" ref="J478">_xlfn.IFS(AND(A478&gt;NumberOfPlots,ISBLANK(INDEX(PlotData,MATCH($A478,PlotNumber,0),MATCH(B$3,PlotTitles,0)))),"",ISBLANK(INDEX(PlotData,MATCH($A478,PlotNumber,0),MATCH(J$3,PlotTitles,0))),$AB$13,TRUE,"")</f>
        <v/>
      </c>
      <c r="K478" s="182" t="str">
        <f t="shared" ca="1" si="21"/>
        <v/>
      </c>
      <c r="L478" s="104" t="str" cm="1">
        <f t="array" ref="L478">_xlfn.IFS(OR(ISBLANK(StartDateMonth),ISBLANK(StartDateYear)),"",AND(A478&gt;NumberOfPlots,ISBLANK(INDEX(PlotData,MATCH($A478,PlotNumber,0),MATCH(B$3,PlotTitles,0)))),"",ISBLANK(INDEX(PlotData,MATCH($A478,PlotNumber,0),MATCH(I$3,PlotTitles,0))),"",(DATEVALUE(INDEX(PlotData,MATCH($A478,PlotNumber,0),MATCH(I$3,PlotTitles,0))&amp;INDEX(PlotData,MATCH($A478,PlotNumber,0),MATCH(J$3,PlotTitles,0))))&lt;DATEVALUE(StartDateMonth&amp;StartDateYear),$AB$15,TRUE,"")</f>
        <v/>
      </c>
      <c r="M478" s="104" t="str" cm="1">
        <f t="array" ref="M478">_xlfn.IFS(OR(ISBLANK(StartDateMonth),ISBLANK(StartDateYear)),"",AND(A478&gt;NumberOfPlots,ISBLANK(INDEX(PlotData,MATCH($A478,PlotNumber,0),MATCH(B$3,PlotTitles,0)))),"",ISBLANK(INDEX(PlotData,MATCH($A478,PlotNumber,0),MATCH(I$3,PlotTitles,0))),"",CompletionMonth="","",(DATEVALUE(INDEX(PlotData,MATCH($A478,PlotNumber,0),MATCH(I$3,PlotTitles,0))&amp;INDEX(PlotData,MATCH($A478,PlotNumber,0),MATCH(J$3,PlotTitles,0))))&gt;(DATEVALUE(CompletionMonth&amp;CompletionYear)),$AB$16,TRUE,"")</f>
        <v/>
      </c>
      <c r="N478" s="104" t="str" cm="1">
        <f t="array" ref="N478">_xlfn.IFS(AND(A478&gt;NumberOfPlots,ISBLANK(INDEX(PlotData,MATCH($A478,PlotNumber,0),MATCH(B$3,PlotTitles,0)))),"",ISBLANK(INDEX(PlotData,MATCH($A478,PlotNumber,0),MATCH(N$3,PlotTitles,0))),$AB$17,TRUE,"")</f>
        <v/>
      </c>
      <c r="O478" s="104" t="str" cm="1">
        <f t="array" ref="O478">_xlfn.IFS(AND(A478&gt;NumberOfPlots,ISBLANK(INDEX(PlotData,MATCH($A478,PlotNumber,0),MATCH(B$3,PlotTitles,0)))),"",ISBLANK(INDEX(PlotData,MATCH($A478,PlotNumber,0),MATCH(O$3,PlotTitles,0))),$AB$18,TRUE,"")</f>
        <v/>
      </c>
      <c r="P478" s="182" t="str">
        <f t="shared" ca="1" si="22"/>
        <v/>
      </c>
      <c r="Q478" s="104" t="str" cm="1">
        <f t="array" ref="Q478">_xlfn.IFS(AND(A478&gt;NumberOfPlots,ISBLANK(INDEX(PlotData,MATCH($A478,PlotNumber,0),MATCH(B$3,PlotTitles,0)))),"",ISBLANK(INDEX(PlotData,MATCH($A478,PlotNumber,0),MATCH(N$3,PlotTitles,0))),"",(DATEVALUE(INDEX(PlotData,MATCH($A478,PlotNumber,0),MATCH(N$3,PlotTitles,0))&amp;INDEX(PlotData,MATCH($A478,PlotNumber,0),MATCH(O$3,PlotTitles,0))))&lt;(DATEVALUE(INDEX(PlotData,MATCH($A478,PlotNumber,0),MATCH(I$3,PlotTitles,0))&amp;INDEX(PlotData,MATCH($A478,PlotNumber,0),MATCH(J$3,PlotTitles,0)))),$AB$20,TRUE,"")</f>
        <v/>
      </c>
      <c r="R478" s="104" t="str" cm="1">
        <f t="array" ref="R478">_xlfn.IFS(OR(ISBLANK(StartDateMonth),ISBLANK(StartDateYear)),"",AND(A478&gt;NumberOfPlots,ISBLANK(INDEX(PlotData,MATCH($A478,PlotNumber,0),MATCH(B$3,PlotTitles,0)))),"",ISBLANK(INDEX(PlotData,MATCH($A478,PlotNumber,0),MATCH(N$3,PlotTitles,0))),"",CompletionMonth="","",(DATEVALUE(INDEX(PlotData,MATCH($A478,PlotNumber,0),MATCH(N$3,PlotTitles,0))&amp;INDEX(PlotData,MATCH($A478,PlotNumber,0),MATCH(O$3,PlotTitles,0))))&gt;(DATEVALUE(CompletionMonth&amp;CompletionYear)),$AB$21,TRUE,"")</f>
        <v/>
      </c>
      <c r="S478" s="104" t="str" cm="1">
        <f t="array" ref="S478">_xlfn.IFS(AND(A478&gt;NumberOfPlots,ISBLANK(INDEX(PlotData,MATCH($A478,PlotNumber,0),MATCH(B$3,PlotTitles,0)))),"",OR(AND(INDEX(PlotData,MATCH($A478,PlotNumber,0),MATCH("Tenure",PlotTitles,0))="Open market housing",INDEX(PlotData,MATCH($A478,PlotNumber,0),MATCH("Tenure detail",PlotTitles,0))="Private rented sector"),INDEX(PlotData,MATCH($A478,PlotNumber,0),MATCH("Tenure",PlotTitles,0))="Affordable rent"),"",ISNUMBER(INDEX(PlotData,MATCH($A478,PlotNumber,0),MATCH(S$3,PlotTitles,0)))=FALSE, $AB$22,TRUE,"")</f>
        <v/>
      </c>
      <c r="T478" s="104" t="str" cm="1">
        <f t="array" ref="T478">_xlfn.IFS(AND(A478&gt;NumberOfPlots,ISBLANK(INDEX(PlotData,MATCH($A478,PlotNumber,0),MATCH(B$3,PlotTitles,0)))),"",OR(AND(INDEX(PlotData,MATCH($A478,PlotNumber,0),MATCH("Tenure",PlotTitles,0))="Open market housing",INDEX(PlotData,MATCH($A478,PlotNumber,0),MATCH("Tenure detail",PlotTitles,0))="Private rented sector"),INDEX(PlotData,MATCH($A478,PlotNumber,0),MATCH("Tenure",PlotTitles,0))="Affordable rent"),"",INDEX(PlotData,MATCH($A478,PlotNumber,0),MATCH(S$3,PlotTitles,0))&lt;10000, $AB$23,TRUE,"")</f>
        <v/>
      </c>
      <c r="U478" s="104" t="str" cm="1">
        <f t="array" ref="U478">_xlfn.IFS(AND(A478&gt;NumberOfPlots,ISBLANK(INDEX(PlotData,MATCH($A478,PlotNumber,0),MATCH(B$3,PlotTitles,0)))),"",NOT(OR(AND(INDEX(PlotData,MATCH($A478,PlotNumber,0),MATCH("Tenure",PlotTitles,0))="Open market housing",INDEX(PlotData,MATCH($A478,PlotNumber,0),MATCH("Tenure detail",PlotTitles,0))="Private rented sector"),INDEX(PlotData,MATCH($A478,PlotNumber,0),MATCH("Tenure",PlotTitles,0))="Affordable rent")),"",NOT(INDEX(PlotData,MATCH($A478,PlotNumber,0),MATCH(S$3,PlotTitles,0))=0), $AB$24,TRUE,"")</f>
        <v/>
      </c>
      <c r="V478" s="114" t="str" cm="1">
        <f t="array" aca="1" ref="V478" ca="1">_xlfn.IFS(ISBLANK(NumberOfPlots),"Enter the number of homes on the 1_SetUp sheet",AND(A478&gt;NumberOfPlots,ISBLANK(INDEX(PlotData,MATCH($A478,PlotNumber,0),MATCH(B$3,PlotTitles,0)))),"No error",NOT(B478=""),B478,NOT(C478=""),C478,NOT(D478=""),D478,NOT(E478=""),E478,NOT(F478=""),F478,NOT(G478=""),G478,NOT(H478=""),H478,NOT(I478=""),I478,NOT(J478=""),J478,NOT(K478=""),K478,NOT(L478=""),L478,NOT(M478=""),M478,NOT(N478=""),N478,NOT(O478=""),O478,NOT(P478=""),P478,NOT(Q478=""),Q478,NOT(R478=""),R478,NOT(S478=""),S478,NOT(T478=""),T478,NOT(U478=""),U478,TRUE,"No error")</f>
        <v>Enter the number of homes on the 1_SetUp sheet</v>
      </c>
      <c r="W478" s="114" t="str">
        <f t="shared" ca="1" si="23"/>
        <v xml:space="preserve">The Borrower has not addressed the following error messages for Home ID 474: </v>
      </c>
    </row>
    <row r="479" spans="1:23">
      <c r="A479" s="123">
        <v>475</v>
      </c>
      <c r="B479" s="104" t="str" cm="1">
        <f t="array" ref="B479">_xlfn.IFS(AND(A479&gt;NumberOfPlots,ISBLANK(INDEX(PlotData,MATCH($A479,PlotNumber,0),MATCH(B$3,PlotTitles,0)))),"",ISNUMBER(INDEX(PlotData,MATCH($A479,PlotNumber,0),MATCH(B$3,PlotTitles,0)))=FALSE, $AB$5,TRUE,"")</f>
        <v/>
      </c>
      <c r="C479" s="104" t="str" cm="1">
        <f t="array" ref="C479">_xlfn.IFS(AND(A479&gt;NumberOfPlots,ISBLANK(INDEX(PlotData,MATCH($A479,PlotNumber,0),MATCH(B$3,PlotTitles,0)))),"",ISBLANK(INDEX(PlotData,MATCH($A479,PlotNumber,0),MATCH(C$3,PlotTitles,0))),$AB$6,TRUE,"")</f>
        <v/>
      </c>
      <c r="D479" s="104" t="str" cm="1">
        <f t="array" ref="D479">_xlfn.IFS(AND(A479&gt;NumberOfPlots,ISBLANK(INDEX(PlotData,MATCH($A479,PlotNumber,0),MATCH(B$3,PlotTitles,0)))),"",ISBLANK(INDEX(PlotData,MATCH($A479,PlotNumber,0),MATCH(D$3,PlotTitles,0))),$AB$7,TRUE,"")</f>
        <v/>
      </c>
      <c r="E479" s="104" t="str" cm="1">
        <f t="array" ref="E479">_xlfn.IFS(AND(A479&gt;NumberOfPlots,ISBLANK(INDEX(PlotData,MATCH($A479,PlotNumber,0),MATCH(B$3,PlotTitles,0)))),"",ISBLANK(INDEX(PlotData,MATCH($A479,PlotNumber,0),MATCH(E$3,PlotTitles,0))),$AB$8,TRUE,"")</f>
        <v/>
      </c>
      <c r="F479" s="104" t="str" cm="1">
        <f t="array" ref="F479">_xlfn.IFS(AND(A479&gt;NumberOfPlots,ISBLANK(INDEX(PlotData,MATCH($A479,PlotNumber,0),MATCH(B$3,PlotTitles,0)))),"",ISBLANK(INDEX(PlotData,MATCH($A479,PlotNumber,0),MATCH(F$3,PlotTitles,0))),$AB$9,TRUE,"")</f>
        <v/>
      </c>
      <c r="G479" s="104" t="str" cm="1">
        <f t="array" ref="G479">_xlfn.IFS(AND(A479&gt;NumberOfPlots,ISBLANK(INDEX(PlotData,MATCH($A479,PlotNumber,0),MATCH(B$3,PlotTitles,0)))),"",ISBLANK(INDEX(PlotData,MATCH($A479,PlotNumber,0),MATCH(G$3,PlotTitles,0))),$AB$10,TRUE,"")</f>
        <v/>
      </c>
      <c r="H479" s="104" t="str" cm="1">
        <f t="array" ref="H479">_xlfn.IFS(AND(A479&gt;NumberOfPlots,ISBLANK(INDEX(PlotData,MATCH($A479,PlotNumber,0),MATCH(B$3,PlotTitles,0)))),"",AND(ISBLANK(INDEX(PlotData,MATCH($A479,PlotNumber,0),MATCH(H$3,PlotTitles,0)))=FALSE,INDEX(PlotData,MATCH($A479,PlotNumber,0),MATCH(H$3,PlotTitles,0))&lt;500), $AB$11,TRUE,"")</f>
        <v/>
      </c>
      <c r="I479" s="104" t="str" cm="1">
        <f t="array" ref="I479">_xlfn.IFS(AND(A479&gt;NumberOfPlots,ISBLANK(INDEX(PlotData,MATCH($A479,PlotNumber,0),MATCH(B$3,PlotTitles,0)))),"",ISBLANK(INDEX(PlotData,MATCH($A479,PlotNumber,0),MATCH(I$3,PlotTitles,0))),$AB$12,TRUE,"")</f>
        <v/>
      </c>
      <c r="J479" s="104" t="str" cm="1">
        <f t="array" ref="J479">_xlfn.IFS(AND(A479&gt;NumberOfPlots,ISBLANK(INDEX(PlotData,MATCH($A479,PlotNumber,0),MATCH(B$3,PlotTitles,0)))),"",ISBLANK(INDEX(PlotData,MATCH($A479,PlotNumber,0),MATCH(J$3,PlotTitles,0))),$AB$13,TRUE,"")</f>
        <v/>
      </c>
      <c r="K479" s="182" t="str">
        <f t="shared" ca="1" si="21"/>
        <v/>
      </c>
      <c r="L479" s="104" t="str" cm="1">
        <f t="array" ref="L479">_xlfn.IFS(OR(ISBLANK(StartDateMonth),ISBLANK(StartDateYear)),"",AND(A479&gt;NumberOfPlots,ISBLANK(INDEX(PlotData,MATCH($A479,PlotNumber,0),MATCH(B$3,PlotTitles,0)))),"",ISBLANK(INDEX(PlotData,MATCH($A479,PlotNumber,0),MATCH(I$3,PlotTitles,0))),"",(DATEVALUE(INDEX(PlotData,MATCH($A479,PlotNumber,0),MATCH(I$3,PlotTitles,0))&amp;INDEX(PlotData,MATCH($A479,PlotNumber,0),MATCH(J$3,PlotTitles,0))))&lt;DATEVALUE(StartDateMonth&amp;StartDateYear),$AB$15,TRUE,"")</f>
        <v/>
      </c>
      <c r="M479" s="104" t="str" cm="1">
        <f t="array" ref="M479">_xlfn.IFS(OR(ISBLANK(StartDateMonth),ISBLANK(StartDateYear)),"",AND(A479&gt;NumberOfPlots,ISBLANK(INDEX(PlotData,MATCH($A479,PlotNumber,0),MATCH(B$3,PlotTitles,0)))),"",ISBLANK(INDEX(PlotData,MATCH($A479,PlotNumber,0),MATCH(I$3,PlotTitles,0))),"",CompletionMonth="","",(DATEVALUE(INDEX(PlotData,MATCH($A479,PlotNumber,0),MATCH(I$3,PlotTitles,0))&amp;INDEX(PlotData,MATCH($A479,PlotNumber,0),MATCH(J$3,PlotTitles,0))))&gt;(DATEVALUE(CompletionMonth&amp;CompletionYear)),$AB$16,TRUE,"")</f>
        <v/>
      </c>
      <c r="N479" s="104" t="str" cm="1">
        <f t="array" ref="N479">_xlfn.IFS(AND(A479&gt;NumberOfPlots,ISBLANK(INDEX(PlotData,MATCH($A479,PlotNumber,0),MATCH(B$3,PlotTitles,0)))),"",ISBLANK(INDEX(PlotData,MATCH($A479,PlotNumber,0),MATCH(N$3,PlotTitles,0))),$AB$17,TRUE,"")</f>
        <v/>
      </c>
      <c r="O479" s="104" t="str" cm="1">
        <f t="array" ref="O479">_xlfn.IFS(AND(A479&gt;NumberOfPlots,ISBLANK(INDEX(PlotData,MATCH($A479,PlotNumber,0),MATCH(B$3,PlotTitles,0)))),"",ISBLANK(INDEX(PlotData,MATCH($A479,PlotNumber,0),MATCH(O$3,PlotTitles,0))),$AB$18,TRUE,"")</f>
        <v/>
      </c>
      <c r="P479" s="182" t="str">
        <f t="shared" ca="1" si="22"/>
        <v/>
      </c>
      <c r="Q479" s="104" t="str" cm="1">
        <f t="array" ref="Q479">_xlfn.IFS(AND(A479&gt;NumberOfPlots,ISBLANK(INDEX(PlotData,MATCH($A479,PlotNumber,0),MATCH(B$3,PlotTitles,0)))),"",ISBLANK(INDEX(PlotData,MATCH($A479,PlotNumber,0),MATCH(N$3,PlotTitles,0))),"",(DATEVALUE(INDEX(PlotData,MATCH($A479,PlotNumber,0),MATCH(N$3,PlotTitles,0))&amp;INDEX(PlotData,MATCH($A479,PlotNumber,0),MATCH(O$3,PlotTitles,0))))&lt;(DATEVALUE(INDEX(PlotData,MATCH($A479,PlotNumber,0),MATCH(I$3,PlotTitles,0))&amp;INDEX(PlotData,MATCH($A479,PlotNumber,0),MATCH(J$3,PlotTitles,0)))),$AB$20,TRUE,"")</f>
        <v/>
      </c>
      <c r="R479" s="104" t="str" cm="1">
        <f t="array" ref="R479">_xlfn.IFS(OR(ISBLANK(StartDateMonth),ISBLANK(StartDateYear)),"",AND(A479&gt;NumberOfPlots,ISBLANK(INDEX(PlotData,MATCH($A479,PlotNumber,0),MATCH(B$3,PlotTitles,0)))),"",ISBLANK(INDEX(PlotData,MATCH($A479,PlotNumber,0),MATCH(N$3,PlotTitles,0))),"",CompletionMonth="","",(DATEVALUE(INDEX(PlotData,MATCH($A479,PlotNumber,0),MATCH(N$3,PlotTitles,0))&amp;INDEX(PlotData,MATCH($A479,PlotNumber,0),MATCH(O$3,PlotTitles,0))))&gt;(DATEVALUE(CompletionMonth&amp;CompletionYear)),$AB$21,TRUE,"")</f>
        <v/>
      </c>
      <c r="S479" s="104" t="str" cm="1">
        <f t="array" ref="S479">_xlfn.IFS(AND(A479&gt;NumberOfPlots,ISBLANK(INDEX(PlotData,MATCH($A479,PlotNumber,0),MATCH(B$3,PlotTitles,0)))),"",OR(AND(INDEX(PlotData,MATCH($A479,PlotNumber,0),MATCH("Tenure",PlotTitles,0))="Open market housing",INDEX(PlotData,MATCH($A479,PlotNumber,0),MATCH("Tenure detail",PlotTitles,0))="Private rented sector"),INDEX(PlotData,MATCH($A479,PlotNumber,0),MATCH("Tenure",PlotTitles,0))="Affordable rent"),"",ISNUMBER(INDEX(PlotData,MATCH($A479,PlotNumber,0),MATCH(S$3,PlotTitles,0)))=FALSE, $AB$22,TRUE,"")</f>
        <v/>
      </c>
      <c r="T479" s="104" t="str" cm="1">
        <f t="array" ref="T479">_xlfn.IFS(AND(A479&gt;NumberOfPlots,ISBLANK(INDEX(PlotData,MATCH($A479,PlotNumber,0),MATCH(B$3,PlotTitles,0)))),"",OR(AND(INDEX(PlotData,MATCH($A479,PlotNumber,0),MATCH("Tenure",PlotTitles,0))="Open market housing",INDEX(PlotData,MATCH($A479,PlotNumber,0),MATCH("Tenure detail",PlotTitles,0))="Private rented sector"),INDEX(PlotData,MATCH($A479,PlotNumber,0),MATCH("Tenure",PlotTitles,0))="Affordable rent"),"",INDEX(PlotData,MATCH($A479,PlotNumber,0),MATCH(S$3,PlotTitles,0))&lt;10000, $AB$23,TRUE,"")</f>
        <v/>
      </c>
      <c r="U479" s="104" t="str" cm="1">
        <f t="array" ref="U479">_xlfn.IFS(AND(A479&gt;NumberOfPlots,ISBLANK(INDEX(PlotData,MATCH($A479,PlotNumber,0),MATCH(B$3,PlotTitles,0)))),"",NOT(OR(AND(INDEX(PlotData,MATCH($A479,PlotNumber,0),MATCH("Tenure",PlotTitles,0))="Open market housing",INDEX(PlotData,MATCH($A479,PlotNumber,0),MATCH("Tenure detail",PlotTitles,0))="Private rented sector"),INDEX(PlotData,MATCH($A479,PlotNumber,0),MATCH("Tenure",PlotTitles,0))="Affordable rent")),"",NOT(INDEX(PlotData,MATCH($A479,PlotNumber,0),MATCH(S$3,PlotTitles,0))=0), $AB$24,TRUE,"")</f>
        <v/>
      </c>
      <c r="V479" s="114" t="str" cm="1">
        <f t="array" aca="1" ref="V479" ca="1">_xlfn.IFS(ISBLANK(NumberOfPlots),"Enter the number of homes on the 1_SetUp sheet",AND(A479&gt;NumberOfPlots,ISBLANK(INDEX(PlotData,MATCH($A479,PlotNumber,0),MATCH(B$3,PlotTitles,0)))),"No error",NOT(B479=""),B479,NOT(C479=""),C479,NOT(D479=""),D479,NOT(E479=""),E479,NOT(F479=""),F479,NOT(G479=""),G479,NOT(H479=""),H479,NOT(I479=""),I479,NOT(J479=""),J479,NOT(K479=""),K479,NOT(L479=""),L479,NOT(M479=""),M479,NOT(N479=""),N479,NOT(O479=""),O479,NOT(P479=""),P479,NOT(Q479=""),Q479,NOT(R479=""),R479,NOT(S479=""),S479,NOT(T479=""),T479,NOT(U479=""),U479,TRUE,"No error")</f>
        <v>Enter the number of homes on the 1_SetUp sheet</v>
      </c>
      <c r="W479" s="114" t="str">
        <f t="shared" ca="1" si="23"/>
        <v xml:space="preserve">The Borrower has not addressed the following error messages for Home ID 475: </v>
      </c>
    </row>
    <row r="480" spans="1:23">
      <c r="A480" s="123">
        <v>476</v>
      </c>
      <c r="B480" s="104" t="str" cm="1">
        <f t="array" ref="B480">_xlfn.IFS(AND(A480&gt;NumberOfPlots,ISBLANK(INDEX(PlotData,MATCH($A480,PlotNumber,0),MATCH(B$3,PlotTitles,0)))),"",ISNUMBER(INDEX(PlotData,MATCH($A480,PlotNumber,0),MATCH(B$3,PlotTitles,0)))=FALSE, $AB$5,TRUE,"")</f>
        <v/>
      </c>
      <c r="C480" s="104" t="str" cm="1">
        <f t="array" ref="C480">_xlfn.IFS(AND(A480&gt;NumberOfPlots,ISBLANK(INDEX(PlotData,MATCH($A480,PlotNumber,0),MATCH(B$3,PlotTitles,0)))),"",ISBLANK(INDEX(PlotData,MATCH($A480,PlotNumber,0),MATCH(C$3,PlotTitles,0))),$AB$6,TRUE,"")</f>
        <v/>
      </c>
      <c r="D480" s="104" t="str" cm="1">
        <f t="array" ref="D480">_xlfn.IFS(AND(A480&gt;NumberOfPlots,ISBLANK(INDEX(PlotData,MATCH($A480,PlotNumber,0),MATCH(B$3,PlotTitles,0)))),"",ISBLANK(INDEX(PlotData,MATCH($A480,PlotNumber,0),MATCH(D$3,PlotTitles,0))),$AB$7,TRUE,"")</f>
        <v/>
      </c>
      <c r="E480" s="104" t="str" cm="1">
        <f t="array" ref="E480">_xlfn.IFS(AND(A480&gt;NumberOfPlots,ISBLANK(INDEX(PlotData,MATCH($A480,PlotNumber,0),MATCH(B$3,PlotTitles,0)))),"",ISBLANK(INDEX(PlotData,MATCH($A480,PlotNumber,0),MATCH(E$3,PlotTitles,0))),$AB$8,TRUE,"")</f>
        <v/>
      </c>
      <c r="F480" s="104" t="str" cm="1">
        <f t="array" ref="F480">_xlfn.IFS(AND(A480&gt;NumberOfPlots,ISBLANK(INDEX(PlotData,MATCH($A480,PlotNumber,0),MATCH(B$3,PlotTitles,0)))),"",ISBLANK(INDEX(PlotData,MATCH($A480,PlotNumber,0),MATCH(F$3,PlotTitles,0))),$AB$9,TRUE,"")</f>
        <v/>
      </c>
      <c r="G480" s="104" t="str" cm="1">
        <f t="array" ref="G480">_xlfn.IFS(AND(A480&gt;NumberOfPlots,ISBLANK(INDEX(PlotData,MATCH($A480,PlotNumber,0),MATCH(B$3,PlotTitles,0)))),"",ISBLANK(INDEX(PlotData,MATCH($A480,PlotNumber,0),MATCH(G$3,PlotTitles,0))),$AB$10,TRUE,"")</f>
        <v/>
      </c>
      <c r="H480" s="104" t="str" cm="1">
        <f t="array" ref="H480">_xlfn.IFS(AND(A480&gt;NumberOfPlots,ISBLANK(INDEX(PlotData,MATCH($A480,PlotNumber,0),MATCH(B$3,PlotTitles,0)))),"",AND(ISBLANK(INDEX(PlotData,MATCH($A480,PlotNumber,0),MATCH(H$3,PlotTitles,0)))=FALSE,INDEX(PlotData,MATCH($A480,PlotNumber,0),MATCH(H$3,PlotTitles,0))&lt;500), $AB$11,TRUE,"")</f>
        <v/>
      </c>
      <c r="I480" s="104" t="str" cm="1">
        <f t="array" ref="I480">_xlfn.IFS(AND(A480&gt;NumberOfPlots,ISBLANK(INDEX(PlotData,MATCH($A480,PlotNumber,0),MATCH(B$3,PlotTitles,0)))),"",ISBLANK(INDEX(PlotData,MATCH($A480,PlotNumber,0),MATCH(I$3,PlotTitles,0))),$AB$12,TRUE,"")</f>
        <v/>
      </c>
      <c r="J480" s="104" t="str" cm="1">
        <f t="array" ref="J480">_xlfn.IFS(AND(A480&gt;NumberOfPlots,ISBLANK(INDEX(PlotData,MATCH($A480,PlotNumber,0),MATCH(B$3,PlotTitles,0)))),"",ISBLANK(INDEX(PlotData,MATCH($A480,PlotNumber,0),MATCH(J$3,PlotTitles,0))),$AB$13,TRUE,"")</f>
        <v/>
      </c>
      <c r="K480" s="182" t="str">
        <f t="shared" ca="1" si="21"/>
        <v/>
      </c>
      <c r="L480" s="104" t="str" cm="1">
        <f t="array" ref="L480">_xlfn.IFS(OR(ISBLANK(StartDateMonth),ISBLANK(StartDateYear)),"",AND(A480&gt;NumberOfPlots,ISBLANK(INDEX(PlotData,MATCH($A480,PlotNumber,0),MATCH(B$3,PlotTitles,0)))),"",ISBLANK(INDEX(PlotData,MATCH($A480,PlotNumber,0),MATCH(I$3,PlotTitles,0))),"",(DATEVALUE(INDEX(PlotData,MATCH($A480,PlotNumber,0),MATCH(I$3,PlotTitles,0))&amp;INDEX(PlotData,MATCH($A480,PlotNumber,0),MATCH(J$3,PlotTitles,0))))&lt;DATEVALUE(StartDateMonth&amp;StartDateYear),$AB$15,TRUE,"")</f>
        <v/>
      </c>
      <c r="M480" s="104" t="str" cm="1">
        <f t="array" ref="M480">_xlfn.IFS(OR(ISBLANK(StartDateMonth),ISBLANK(StartDateYear)),"",AND(A480&gt;NumberOfPlots,ISBLANK(INDEX(PlotData,MATCH($A480,PlotNumber,0),MATCH(B$3,PlotTitles,0)))),"",ISBLANK(INDEX(PlotData,MATCH($A480,PlotNumber,0),MATCH(I$3,PlotTitles,0))),"",CompletionMonth="","",(DATEVALUE(INDEX(PlotData,MATCH($A480,PlotNumber,0),MATCH(I$3,PlotTitles,0))&amp;INDEX(PlotData,MATCH($A480,PlotNumber,0),MATCH(J$3,PlotTitles,0))))&gt;(DATEVALUE(CompletionMonth&amp;CompletionYear)),$AB$16,TRUE,"")</f>
        <v/>
      </c>
      <c r="N480" s="104" t="str" cm="1">
        <f t="array" ref="N480">_xlfn.IFS(AND(A480&gt;NumberOfPlots,ISBLANK(INDEX(PlotData,MATCH($A480,PlotNumber,0),MATCH(B$3,PlotTitles,0)))),"",ISBLANK(INDEX(PlotData,MATCH($A480,PlotNumber,0),MATCH(N$3,PlotTitles,0))),$AB$17,TRUE,"")</f>
        <v/>
      </c>
      <c r="O480" s="104" t="str" cm="1">
        <f t="array" ref="O480">_xlfn.IFS(AND(A480&gt;NumberOfPlots,ISBLANK(INDEX(PlotData,MATCH($A480,PlotNumber,0),MATCH(B$3,PlotTitles,0)))),"",ISBLANK(INDEX(PlotData,MATCH($A480,PlotNumber,0),MATCH(O$3,PlotTitles,0))),$AB$18,TRUE,"")</f>
        <v/>
      </c>
      <c r="P480" s="182" t="str">
        <f t="shared" ca="1" si="22"/>
        <v/>
      </c>
      <c r="Q480" s="104" t="str" cm="1">
        <f t="array" ref="Q480">_xlfn.IFS(AND(A480&gt;NumberOfPlots,ISBLANK(INDEX(PlotData,MATCH($A480,PlotNumber,0),MATCH(B$3,PlotTitles,0)))),"",ISBLANK(INDEX(PlotData,MATCH($A480,PlotNumber,0),MATCH(N$3,PlotTitles,0))),"",(DATEVALUE(INDEX(PlotData,MATCH($A480,PlotNumber,0),MATCH(N$3,PlotTitles,0))&amp;INDEX(PlotData,MATCH($A480,PlotNumber,0),MATCH(O$3,PlotTitles,0))))&lt;(DATEVALUE(INDEX(PlotData,MATCH($A480,PlotNumber,0),MATCH(I$3,PlotTitles,0))&amp;INDEX(PlotData,MATCH($A480,PlotNumber,0),MATCH(J$3,PlotTitles,0)))),$AB$20,TRUE,"")</f>
        <v/>
      </c>
      <c r="R480" s="104" t="str" cm="1">
        <f t="array" ref="R480">_xlfn.IFS(OR(ISBLANK(StartDateMonth),ISBLANK(StartDateYear)),"",AND(A480&gt;NumberOfPlots,ISBLANK(INDEX(PlotData,MATCH($A480,PlotNumber,0),MATCH(B$3,PlotTitles,0)))),"",ISBLANK(INDEX(PlotData,MATCH($A480,PlotNumber,0),MATCH(N$3,PlotTitles,0))),"",CompletionMonth="","",(DATEVALUE(INDEX(PlotData,MATCH($A480,PlotNumber,0),MATCH(N$3,PlotTitles,0))&amp;INDEX(PlotData,MATCH($A480,PlotNumber,0),MATCH(O$3,PlotTitles,0))))&gt;(DATEVALUE(CompletionMonth&amp;CompletionYear)),$AB$21,TRUE,"")</f>
        <v/>
      </c>
      <c r="S480" s="104" t="str" cm="1">
        <f t="array" ref="S480">_xlfn.IFS(AND(A480&gt;NumberOfPlots,ISBLANK(INDEX(PlotData,MATCH($A480,PlotNumber,0),MATCH(B$3,PlotTitles,0)))),"",OR(AND(INDEX(PlotData,MATCH($A480,PlotNumber,0),MATCH("Tenure",PlotTitles,0))="Open market housing",INDEX(PlotData,MATCH($A480,PlotNumber,0),MATCH("Tenure detail",PlotTitles,0))="Private rented sector"),INDEX(PlotData,MATCH($A480,PlotNumber,0),MATCH("Tenure",PlotTitles,0))="Affordable rent"),"",ISNUMBER(INDEX(PlotData,MATCH($A480,PlotNumber,0),MATCH(S$3,PlotTitles,0)))=FALSE, $AB$22,TRUE,"")</f>
        <v/>
      </c>
      <c r="T480" s="104" t="str" cm="1">
        <f t="array" ref="T480">_xlfn.IFS(AND(A480&gt;NumberOfPlots,ISBLANK(INDEX(PlotData,MATCH($A480,PlotNumber,0),MATCH(B$3,PlotTitles,0)))),"",OR(AND(INDEX(PlotData,MATCH($A480,PlotNumber,0),MATCH("Tenure",PlotTitles,0))="Open market housing",INDEX(PlotData,MATCH($A480,PlotNumber,0),MATCH("Tenure detail",PlotTitles,0))="Private rented sector"),INDEX(PlotData,MATCH($A480,PlotNumber,0),MATCH("Tenure",PlotTitles,0))="Affordable rent"),"",INDEX(PlotData,MATCH($A480,PlotNumber,0),MATCH(S$3,PlotTitles,0))&lt;10000, $AB$23,TRUE,"")</f>
        <v/>
      </c>
      <c r="U480" s="104" t="str" cm="1">
        <f t="array" ref="U480">_xlfn.IFS(AND(A480&gt;NumberOfPlots,ISBLANK(INDEX(PlotData,MATCH($A480,PlotNumber,0),MATCH(B$3,PlotTitles,0)))),"",NOT(OR(AND(INDEX(PlotData,MATCH($A480,PlotNumber,0),MATCH("Tenure",PlotTitles,0))="Open market housing",INDEX(PlotData,MATCH($A480,PlotNumber,0),MATCH("Tenure detail",PlotTitles,0))="Private rented sector"),INDEX(PlotData,MATCH($A480,PlotNumber,0),MATCH("Tenure",PlotTitles,0))="Affordable rent")),"",NOT(INDEX(PlotData,MATCH($A480,PlotNumber,0),MATCH(S$3,PlotTitles,0))=0), $AB$24,TRUE,"")</f>
        <v/>
      </c>
      <c r="V480" s="114" t="str" cm="1">
        <f t="array" aca="1" ref="V480" ca="1">_xlfn.IFS(ISBLANK(NumberOfPlots),"Enter the number of homes on the 1_SetUp sheet",AND(A480&gt;NumberOfPlots,ISBLANK(INDEX(PlotData,MATCH($A480,PlotNumber,0),MATCH(B$3,PlotTitles,0)))),"No error",NOT(B480=""),B480,NOT(C480=""),C480,NOT(D480=""),D480,NOT(E480=""),E480,NOT(F480=""),F480,NOT(G480=""),G480,NOT(H480=""),H480,NOT(I480=""),I480,NOT(J480=""),J480,NOT(K480=""),K480,NOT(L480=""),L480,NOT(M480=""),M480,NOT(N480=""),N480,NOT(O480=""),O480,NOT(P480=""),P480,NOT(Q480=""),Q480,NOT(R480=""),R480,NOT(S480=""),S480,NOT(T480=""),T480,NOT(U480=""),U480,TRUE,"No error")</f>
        <v>Enter the number of homes on the 1_SetUp sheet</v>
      </c>
      <c r="W480" s="114" t="str">
        <f t="shared" ca="1" si="23"/>
        <v xml:space="preserve">The Borrower has not addressed the following error messages for Home ID 476: </v>
      </c>
    </row>
    <row r="481" spans="1:23">
      <c r="A481" s="123">
        <v>477</v>
      </c>
      <c r="B481" s="104" t="str" cm="1">
        <f t="array" ref="B481">_xlfn.IFS(AND(A481&gt;NumberOfPlots,ISBLANK(INDEX(PlotData,MATCH($A481,PlotNumber,0),MATCH(B$3,PlotTitles,0)))),"",ISNUMBER(INDEX(PlotData,MATCH($A481,PlotNumber,0),MATCH(B$3,PlotTitles,0)))=FALSE, $AB$5,TRUE,"")</f>
        <v/>
      </c>
      <c r="C481" s="104" t="str" cm="1">
        <f t="array" ref="C481">_xlfn.IFS(AND(A481&gt;NumberOfPlots,ISBLANK(INDEX(PlotData,MATCH($A481,PlotNumber,0),MATCH(B$3,PlotTitles,0)))),"",ISBLANK(INDEX(PlotData,MATCH($A481,PlotNumber,0),MATCH(C$3,PlotTitles,0))),$AB$6,TRUE,"")</f>
        <v/>
      </c>
      <c r="D481" s="104" t="str" cm="1">
        <f t="array" ref="D481">_xlfn.IFS(AND(A481&gt;NumberOfPlots,ISBLANK(INDEX(PlotData,MATCH($A481,PlotNumber,0),MATCH(B$3,PlotTitles,0)))),"",ISBLANK(INDEX(PlotData,MATCH($A481,PlotNumber,0),MATCH(D$3,PlotTitles,0))),$AB$7,TRUE,"")</f>
        <v/>
      </c>
      <c r="E481" s="104" t="str" cm="1">
        <f t="array" ref="E481">_xlfn.IFS(AND(A481&gt;NumberOfPlots,ISBLANK(INDEX(PlotData,MATCH($A481,PlotNumber,0),MATCH(B$3,PlotTitles,0)))),"",ISBLANK(INDEX(PlotData,MATCH($A481,PlotNumber,0),MATCH(E$3,PlotTitles,0))),$AB$8,TRUE,"")</f>
        <v/>
      </c>
      <c r="F481" s="104" t="str" cm="1">
        <f t="array" ref="F481">_xlfn.IFS(AND(A481&gt;NumberOfPlots,ISBLANK(INDEX(PlotData,MATCH($A481,PlotNumber,0),MATCH(B$3,PlotTitles,0)))),"",ISBLANK(INDEX(PlotData,MATCH($A481,PlotNumber,0),MATCH(F$3,PlotTitles,0))),$AB$9,TRUE,"")</f>
        <v/>
      </c>
      <c r="G481" s="104" t="str" cm="1">
        <f t="array" ref="G481">_xlfn.IFS(AND(A481&gt;NumberOfPlots,ISBLANK(INDEX(PlotData,MATCH($A481,PlotNumber,0),MATCH(B$3,PlotTitles,0)))),"",ISBLANK(INDEX(PlotData,MATCH($A481,PlotNumber,0),MATCH(G$3,PlotTitles,0))),$AB$10,TRUE,"")</f>
        <v/>
      </c>
      <c r="H481" s="104" t="str" cm="1">
        <f t="array" ref="H481">_xlfn.IFS(AND(A481&gt;NumberOfPlots,ISBLANK(INDEX(PlotData,MATCH($A481,PlotNumber,0),MATCH(B$3,PlotTitles,0)))),"",AND(ISBLANK(INDEX(PlotData,MATCH($A481,PlotNumber,0),MATCH(H$3,PlotTitles,0)))=FALSE,INDEX(PlotData,MATCH($A481,PlotNumber,0),MATCH(H$3,PlotTitles,0))&lt;500), $AB$11,TRUE,"")</f>
        <v/>
      </c>
      <c r="I481" s="104" t="str" cm="1">
        <f t="array" ref="I481">_xlfn.IFS(AND(A481&gt;NumberOfPlots,ISBLANK(INDEX(PlotData,MATCH($A481,PlotNumber,0),MATCH(B$3,PlotTitles,0)))),"",ISBLANK(INDEX(PlotData,MATCH($A481,PlotNumber,0),MATCH(I$3,PlotTitles,0))),$AB$12,TRUE,"")</f>
        <v/>
      </c>
      <c r="J481" s="104" t="str" cm="1">
        <f t="array" ref="J481">_xlfn.IFS(AND(A481&gt;NumberOfPlots,ISBLANK(INDEX(PlotData,MATCH($A481,PlotNumber,0),MATCH(B$3,PlotTitles,0)))),"",ISBLANK(INDEX(PlotData,MATCH($A481,PlotNumber,0),MATCH(J$3,PlotTitles,0))),$AB$13,TRUE,"")</f>
        <v/>
      </c>
      <c r="K481" s="182" t="str">
        <f t="shared" ca="1" si="21"/>
        <v/>
      </c>
      <c r="L481" s="104" t="str" cm="1">
        <f t="array" ref="L481">_xlfn.IFS(OR(ISBLANK(StartDateMonth),ISBLANK(StartDateYear)),"",AND(A481&gt;NumberOfPlots,ISBLANK(INDEX(PlotData,MATCH($A481,PlotNumber,0),MATCH(B$3,PlotTitles,0)))),"",ISBLANK(INDEX(PlotData,MATCH($A481,PlotNumber,0),MATCH(I$3,PlotTitles,0))),"",(DATEVALUE(INDEX(PlotData,MATCH($A481,PlotNumber,0),MATCH(I$3,PlotTitles,0))&amp;INDEX(PlotData,MATCH($A481,PlotNumber,0),MATCH(J$3,PlotTitles,0))))&lt;DATEVALUE(StartDateMonth&amp;StartDateYear),$AB$15,TRUE,"")</f>
        <v/>
      </c>
      <c r="M481" s="104" t="str" cm="1">
        <f t="array" ref="M481">_xlfn.IFS(OR(ISBLANK(StartDateMonth),ISBLANK(StartDateYear)),"",AND(A481&gt;NumberOfPlots,ISBLANK(INDEX(PlotData,MATCH($A481,PlotNumber,0),MATCH(B$3,PlotTitles,0)))),"",ISBLANK(INDEX(PlotData,MATCH($A481,PlotNumber,0),MATCH(I$3,PlotTitles,0))),"",CompletionMonth="","",(DATEVALUE(INDEX(PlotData,MATCH($A481,PlotNumber,0),MATCH(I$3,PlotTitles,0))&amp;INDEX(PlotData,MATCH($A481,PlotNumber,0),MATCH(J$3,PlotTitles,0))))&gt;(DATEVALUE(CompletionMonth&amp;CompletionYear)),$AB$16,TRUE,"")</f>
        <v/>
      </c>
      <c r="N481" s="104" t="str" cm="1">
        <f t="array" ref="N481">_xlfn.IFS(AND(A481&gt;NumberOfPlots,ISBLANK(INDEX(PlotData,MATCH($A481,PlotNumber,0),MATCH(B$3,PlotTitles,0)))),"",ISBLANK(INDEX(PlotData,MATCH($A481,PlotNumber,0),MATCH(N$3,PlotTitles,0))),$AB$17,TRUE,"")</f>
        <v/>
      </c>
      <c r="O481" s="104" t="str" cm="1">
        <f t="array" ref="O481">_xlfn.IFS(AND(A481&gt;NumberOfPlots,ISBLANK(INDEX(PlotData,MATCH($A481,PlotNumber,0),MATCH(B$3,PlotTitles,0)))),"",ISBLANK(INDEX(PlotData,MATCH($A481,PlotNumber,0),MATCH(O$3,PlotTitles,0))),$AB$18,TRUE,"")</f>
        <v/>
      </c>
      <c r="P481" s="182" t="str">
        <f t="shared" ca="1" si="22"/>
        <v/>
      </c>
      <c r="Q481" s="104" t="str" cm="1">
        <f t="array" ref="Q481">_xlfn.IFS(AND(A481&gt;NumberOfPlots,ISBLANK(INDEX(PlotData,MATCH($A481,PlotNumber,0),MATCH(B$3,PlotTitles,0)))),"",ISBLANK(INDEX(PlotData,MATCH($A481,PlotNumber,0),MATCH(N$3,PlotTitles,0))),"",(DATEVALUE(INDEX(PlotData,MATCH($A481,PlotNumber,0),MATCH(N$3,PlotTitles,0))&amp;INDEX(PlotData,MATCH($A481,PlotNumber,0),MATCH(O$3,PlotTitles,0))))&lt;(DATEVALUE(INDEX(PlotData,MATCH($A481,PlotNumber,0),MATCH(I$3,PlotTitles,0))&amp;INDEX(PlotData,MATCH($A481,PlotNumber,0),MATCH(J$3,PlotTitles,0)))),$AB$20,TRUE,"")</f>
        <v/>
      </c>
      <c r="R481" s="104" t="str" cm="1">
        <f t="array" ref="R481">_xlfn.IFS(OR(ISBLANK(StartDateMonth),ISBLANK(StartDateYear)),"",AND(A481&gt;NumberOfPlots,ISBLANK(INDEX(PlotData,MATCH($A481,PlotNumber,0),MATCH(B$3,PlotTitles,0)))),"",ISBLANK(INDEX(PlotData,MATCH($A481,PlotNumber,0),MATCH(N$3,PlotTitles,0))),"",CompletionMonth="","",(DATEVALUE(INDEX(PlotData,MATCH($A481,PlotNumber,0),MATCH(N$3,PlotTitles,0))&amp;INDEX(PlotData,MATCH($A481,PlotNumber,0),MATCH(O$3,PlotTitles,0))))&gt;(DATEVALUE(CompletionMonth&amp;CompletionYear)),$AB$21,TRUE,"")</f>
        <v/>
      </c>
      <c r="S481" s="104" t="str" cm="1">
        <f t="array" ref="S481">_xlfn.IFS(AND(A481&gt;NumberOfPlots,ISBLANK(INDEX(PlotData,MATCH($A481,PlotNumber,0),MATCH(B$3,PlotTitles,0)))),"",OR(AND(INDEX(PlotData,MATCH($A481,PlotNumber,0),MATCH("Tenure",PlotTitles,0))="Open market housing",INDEX(PlotData,MATCH($A481,PlotNumber,0),MATCH("Tenure detail",PlotTitles,0))="Private rented sector"),INDEX(PlotData,MATCH($A481,PlotNumber,0),MATCH("Tenure",PlotTitles,0))="Affordable rent"),"",ISNUMBER(INDEX(PlotData,MATCH($A481,PlotNumber,0),MATCH(S$3,PlotTitles,0)))=FALSE, $AB$22,TRUE,"")</f>
        <v/>
      </c>
      <c r="T481" s="104" t="str" cm="1">
        <f t="array" ref="T481">_xlfn.IFS(AND(A481&gt;NumberOfPlots,ISBLANK(INDEX(PlotData,MATCH($A481,PlotNumber,0),MATCH(B$3,PlotTitles,0)))),"",OR(AND(INDEX(PlotData,MATCH($A481,PlotNumber,0),MATCH("Tenure",PlotTitles,0))="Open market housing",INDEX(PlotData,MATCH($A481,PlotNumber,0),MATCH("Tenure detail",PlotTitles,0))="Private rented sector"),INDEX(PlotData,MATCH($A481,PlotNumber,0),MATCH("Tenure",PlotTitles,0))="Affordable rent"),"",INDEX(PlotData,MATCH($A481,PlotNumber,0),MATCH(S$3,PlotTitles,0))&lt;10000, $AB$23,TRUE,"")</f>
        <v/>
      </c>
      <c r="U481" s="104" t="str" cm="1">
        <f t="array" ref="U481">_xlfn.IFS(AND(A481&gt;NumberOfPlots,ISBLANK(INDEX(PlotData,MATCH($A481,PlotNumber,0),MATCH(B$3,PlotTitles,0)))),"",NOT(OR(AND(INDEX(PlotData,MATCH($A481,PlotNumber,0),MATCH("Tenure",PlotTitles,0))="Open market housing",INDEX(PlotData,MATCH($A481,PlotNumber,0),MATCH("Tenure detail",PlotTitles,0))="Private rented sector"),INDEX(PlotData,MATCH($A481,PlotNumber,0),MATCH("Tenure",PlotTitles,0))="Affordable rent")),"",NOT(INDEX(PlotData,MATCH($A481,PlotNumber,0),MATCH(S$3,PlotTitles,0))=0), $AB$24,TRUE,"")</f>
        <v/>
      </c>
      <c r="V481" s="114" t="str" cm="1">
        <f t="array" aca="1" ref="V481" ca="1">_xlfn.IFS(ISBLANK(NumberOfPlots),"Enter the number of homes on the 1_SetUp sheet",AND(A481&gt;NumberOfPlots,ISBLANK(INDEX(PlotData,MATCH($A481,PlotNumber,0),MATCH(B$3,PlotTitles,0)))),"No error",NOT(B481=""),B481,NOT(C481=""),C481,NOT(D481=""),D481,NOT(E481=""),E481,NOT(F481=""),F481,NOT(G481=""),G481,NOT(H481=""),H481,NOT(I481=""),I481,NOT(J481=""),J481,NOT(K481=""),K481,NOT(L481=""),L481,NOT(M481=""),M481,NOT(N481=""),N481,NOT(O481=""),O481,NOT(P481=""),P481,NOT(Q481=""),Q481,NOT(R481=""),R481,NOT(S481=""),S481,NOT(T481=""),T481,NOT(U481=""),U481,TRUE,"No error")</f>
        <v>Enter the number of homes on the 1_SetUp sheet</v>
      </c>
      <c r="W481" s="114" t="str">
        <f t="shared" ca="1" si="23"/>
        <v xml:space="preserve">The Borrower has not addressed the following error messages for Home ID 477: </v>
      </c>
    </row>
    <row r="482" spans="1:23">
      <c r="A482" s="123">
        <v>478</v>
      </c>
      <c r="B482" s="104" t="str" cm="1">
        <f t="array" ref="B482">_xlfn.IFS(AND(A482&gt;NumberOfPlots,ISBLANK(INDEX(PlotData,MATCH($A482,PlotNumber,0),MATCH(B$3,PlotTitles,0)))),"",ISNUMBER(INDEX(PlotData,MATCH($A482,PlotNumber,0),MATCH(B$3,PlotTitles,0)))=FALSE, $AB$5,TRUE,"")</f>
        <v/>
      </c>
      <c r="C482" s="104" t="str" cm="1">
        <f t="array" ref="C482">_xlfn.IFS(AND(A482&gt;NumberOfPlots,ISBLANK(INDEX(PlotData,MATCH($A482,PlotNumber,0),MATCH(B$3,PlotTitles,0)))),"",ISBLANK(INDEX(PlotData,MATCH($A482,PlotNumber,0),MATCH(C$3,PlotTitles,0))),$AB$6,TRUE,"")</f>
        <v/>
      </c>
      <c r="D482" s="104" t="str" cm="1">
        <f t="array" ref="D482">_xlfn.IFS(AND(A482&gt;NumberOfPlots,ISBLANK(INDEX(PlotData,MATCH($A482,PlotNumber,0),MATCH(B$3,PlotTitles,0)))),"",ISBLANK(INDEX(PlotData,MATCH($A482,PlotNumber,0),MATCH(D$3,PlotTitles,0))),$AB$7,TRUE,"")</f>
        <v/>
      </c>
      <c r="E482" s="104" t="str" cm="1">
        <f t="array" ref="E482">_xlfn.IFS(AND(A482&gt;NumberOfPlots,ISBLANK(INDEX(PlotData,MATCH($A482,PlotNumber,0),MATCH(B$3,PlotTitles,0)))),"",ISBLANK(INDEX(PlotData,MATCH($A482,PlotNumber,0),MATCH(E$3,PlotTitles,0))),$AB$8,TRUE,"")</f>
        <v/>
      </c>
      <c r="F482" s="104" t="str" cm="1">
        <f t="array" ref="F482">_xlfn.IFS(AND(A482&gt;NumberOfPlots,ISBLANK(INDEX(PlotData,MATCH($A482,PlotNumber,0),MATCH(B$3,PlotTitles,0)))),"",ISBLANK(INDEX(PlotData,MATCH($A482,PlotNumber,0),MATCH(F$3,PlotTitles,0))),$AB$9,TRUE,"")</f>
        <v/>
      </c>
      <c r="G482" s="104" t="str" cm="1">
        <f t="array" ref="G482">_xlfn.IFS(AND(A482&gt;NumberOfPlots,ISBLANK(INDEX(PlotData,MATCH($A482,PlotNumber,0),MATCH(B$3,PlotTitles,0)))),"",ISBLANK(INDEX(PlotData,MATCH($A482,PlotNumber,0),MATCH(G$3,PlotTitles,0))),$AB$10,TRUE,"")</f>
        <v/>
      </c>
      <c r="H482" s="104" t="str" cm="1">
        <f t="array" ref="H482">_xlfn.IFS(AND(A482&gt;NumberOfPlots,ISBLANK(INDEX(PlotData,MATCH($A482,PlotNumber,0),MATCH(B$3,PlotTitles,0)))),"",AND(ISBLANK(INDEX(PlotData,MATCH($A482,PlotNumber,0),MATCH(H$3,PlotTitles,0)))=FALSE,INDEX(PlotData,MATCH($A482,PlotNumber,0),MATCH(H$3,PlotTitles,0))&lt;500), $AB$11,TRUE,"")</f>
        <v/>
      </c>
      <c r="I482" s="104" t="str" cm="1">
        <f t="array" ref="I482">_xlfn.IFS(AND(A482&gt;NumberOfPlots,ISBLANK(INDEX(PlotData,MATCH($A482,PlotNumber,0),MATCH(B$3,PlotTitles,0)))),"",ISBLANK(INDEX(PlotData,MATCH($A482,PlotNumber,0),MATCH(I$3,PlotTitles,0))),$AB$12,TRUE,"")</f>
        <v/>
      </c>
      <c r="J482" s="104" t="str" cm="1">
        <f t="array" ref="J482">_xlfn.IFS(AND(A482&gt;NumberOfPlots,ISBLANK(INDEX(PlotData,MATCH($A482,PlotNumber,0),MATCH(B$3,PlotTitles,0)))),"",ISBLANK(INDEX(PlotData,MATCH($A482,PlotNumber,0),MATCH(J$3,PlotTitles,0))),$AB$13,TRUE,"")</f>
        <v/>
      </c>
      <c r="K482" s="182" t="str">
        <f t="shared" ca="1" si="21"/>
        <v/>
      </c>
      <c r="L482" s="104" t="str" cm="1">
        <f t="array" ref="L482">_xlfn.IFS(OR(ISBLANK(StartDateMonth),ISBLANK(StartDateYear)),"",AND(A482&gt;NumberOfPlots,ISBLANK(INDEX(PlotData,MATCH($A482,PlotNumber,0),MATCH(B$3,PlotTitles,0)))),"",ISBLANK(INDEX(PlotData,MATCH($A482,PlotNumber,0),MATCH(I$3,PlotTitles,0))),"",(DATEVALUE(INDEX(PlotData,MATCH($A482,PlotNumber,0),MATCH(I$3,PlotTitles,0))&amp;INDEX(PlotData,MATCH($A482,PlotNumber,0),MATCH(J$3,PlotTitles,0))))&lt;DATEVALUE(StartDateMonth&amp;StartDateYear),$AB$15,TRUE,"")</f>
        <v/>
      </c>
      <c r="M482" s="104" t="str" cm="1">
        <f t="array" ref="M482">_xlfn.IFS(OR(ISBLANK(StartDateMonth),ISBLANK(StartDateYear)),"",AND(A482&gt;NumberOfPlots,ISBLANK(INDEX(PlotData,MATCH($A482,PlotNumber,0),MATCH(B$3,PlotTitles,0)))),"",ISBLANK(INDEX(PlotData,MATCH($A482,PlotNumber,0),MATCH(I$3,PlotTitles,0))),"",CompletionMonth="","",(DATEVALUE(INDEX(PlotData,MATCH($A482,PlotNumber,0),MATCH(I$3,PlotTitles,0))&amp;INDEX(PlotData,MATCH($A482,PlotNumber,0),MATCH(J$3,PlotTitles,0))))&gt;(DATEVALUE(CompletionMonth&amp;CompletionYear)),$AB$16,TRUE,"")</f>
        <v/>
      </c>
      <c r="N482" s="104" t="str" cm="1">
        <f t="array" ref="N482">_xlfn.IFS(AND(A482&gt;NumberOfPlots,ISBLANK(INDEX(PlotData,MATCH($A482,PlotNumber,0),MATCH(B$3,PlotTitles,0)))),"",ISBLANK(INDEX(PlotData,MATCH($A482,PlotNumber,0),MATCH(N$3,PlotTitles,0))),$AB$17,TRUE,"")</f>
        <v/>
      </c>
      <c r="O482" s="104" t="str" cm="1">
        <f t="array" ref="O482">_xlfn.IFS(AND(A482&gt;NumberOfPlots,ISBLANK(INDEX(PlotData,MATCH($A482,PlotNumber,0),MATCH(B$3,PlotTitles,0)))),"",ISBLANK(INDEX(PlotData,MATCH($A482,PlotNumber,0),MATCH(O$3,PlotTitles,0))),$AB$18,TRUE,"")</f>
        <v/>
      </c>
      <c r="P482" s="182" t="str">
        <f t="shared" ca="1" si="22"/>
        <v/>
      </c>
      <c r="Q482" s="104" t="str" cm="1">
        <f t="array" ref="Q482">_xlfn.IFS(AND(A482&gt;NumberOfPlots,ISBLANK(INDEX(PlotData,MATCH($A482,PlotNumber,0),MATCH(B$3,PlotTitles,0)))),"",ISBLANK(INDEX(PlotData,MATCH($A482,PlotNumber,0),MATCH(N$3,PlotTitles,0))),"",(DATEVALUE(INDEX(PlotData,MATCH($A482,PlotNumber,0),MATCH(N$3,PlotTitles,0))&amp;INDEX(PlotData,MATCH($A482,PlotNumber,0),MATCH(O$3,PlotTitles,0))))&lt;(DATEVALUE(INDEX(PlotData,MATCH($A482,PlotNumber,0),MATCH(I$3,PlotTitles,0))&amp;INDEX(PlotData,MATCH($A482,PlotNumber,0),MATCH(J$3,PlotTitles,0)))),$AB$20,TRUE,"")</f>
        <v/>
      </c>
      <c r="R482" s="104" t="str" cm="1">
        <f t="array" ref="R482">_xlfn.IFS(OR(ISBLANK(StartDateMonth),ISBLANK(StartDateYear)),"",AND(A482&gt;NumberOfPlots,ISBLANK(INDEX(PlotData,MATCH($A482,PlotNumber,0),MATCH(B$3,PlotTitles,0)))),"",ISBLANK(INDEX(PlotData,MATCH($A482,PlotNumber,0),MATCH(N$3,PlotTitles,0))),"",CompletionMonth="","",(DATEVALUE(INDEX(PlotData,MATCH($A482,PlotNumber,0),MATCH(N$3,PlotTitles,0))&amp;INDEX(PlotData,MATCH($A482,PlotNumber,0),MATCH(O$3,PlotTitles,0))))&gt;(DATEVALUE(CompletionMonth&amp;CompletionYear)),$AB$21,TRUE,"")</f>
        <v/>
      </c>
      <c r="S482" s="104" t="str" cm="1">
        <f t="array" ref="S482">_xlfn.IFS(AND(A482&gt;NumberOfPlots,ISBLANK(INDEX(PlotData,MATCH($A482,PlotNumber,0),MATCH(B$3,PlotTitles,0)))),"",OR(AND(INDEX(PlotData,MATCH($A482,PlotNumber,0),MATCH("Tenure",PlotTitles,0))="Open market housing",INDEX(PlotData,MATCH($A482,PlotNumber,0),MATCH("Tenure detail",PlotTitles,0))="Private rented sector"),INDEX(PlotData,MATCH($A482,PlotNumber,0),MATCH("Tenure",PlotTitles,0))="Affordable rent"),"",ISNUMBER(INDEX(PlotData,MATCH($A482,PlotNumber,0),MATCH(S$3,PlotTitles,0)))=FALSE, $AB$22,TRUE,"")</f>
        <v/>
      </c>
      <c r="T482" s="104" t="str" cm="1">
        <f t="array" ref="T482">_xlfn.IFS(AND(A482&gt;NumberOfPlots,ISBLANK(INDEX(PlotData,MATCH($A482,PlotNumber,0),MATCH(B$3,PlotTitles,0)))),"",OR(AND(INDEX(PlotData,MATCH($A482,PlotNumber,0),MATCH("Tenure",PlotTitles,0))="Open market housing",INDEX(PlotData,MATCH($A482,PlotNumber,0),MATCH("Tenure detail",PlotTitles,0))="Private rented sector"),INDEX(PlotData,MATCH($A482,PlotNumber,0),MATCH("Tenure",PlotTitles,0))="Affordable rent"),"",INDEX(PlotData,MATCH($A482,PlotNumber,0),MATCH(S$3,PlotTitles,0))&lt;10000, $AB$23,TRUE,"")</f>
        <v/>
      </c>
      <c r="U482" s="104" t="str" cm="1">
        <f t="array" ref="U482">_xlfn.IFS(AND(A482&gt;NumberOfPlots,ISBLANK(INDEX(PlotData,MATCH($A482,PlotNumber,0),MATCH(B$3,PlotTitles,0)))),"",NOT(OR(AND(INDEX(PlotData,MATCH($A482,PlotNumber,0),MATCH("Tenure",PlotTitles,0))="Open market housing",INDEX(PlotData,MATCH($A482,PlotNumber,0),MATCH("Tenure detail",PlotTitles,0))="Private rented sector"),INDEX(PlotData,MATCH($A482,PlotNumber,0),MATCH("Tenure",PlotTitles,0))="Affordable rent")),"",NOT(INDEX(PlotData,MATCH($A482,PlotNumber,0),MATCH(S$3,PlotTitles,0))=0), $AB$24,TRUE,"")</f>
        <v/>
      </c>
      <c r="V482" s="114" t="str" cm="1">
        <f t="array" aca="1" ref="V482" ca="1">_xlfn.IFS(ISBLANK(NumberOfPlots),"Enter the number of homes on the 1_SetUp sheet",AND(A482&gt;NumberOfPlots,ISBLANK(INDEX(PlotData,MATCH($A482,PlotNumber,0),MATCH(B$3,PlotTitles,0)))),"No error",NOT(B482=""),B482,NOT(C482=""),C482,NOT(D482=""),D482,NOT(E482=""),E482,NOT(F482=""),F482,NOT(G482=""),G482,NOT(H482=""),H482,NOT(I482=""),I482,NOT(J482=""),J482,NOT(K482=""),K482,NOT(L482=""),L482,NOT(M482=""),M482,NOT(N482=""),N482,NOT(O482=""),O482,NOT(P482=""),P482,NOT(Q482=""),Q482,NOT(R482=""),R482,NOT(S482=""),S482,NOT(T482=""),T482,NOT(U482=""),U482,TRUE,"No error")</f>
        <v>Enter the number of homes on the 1_SetUp sheet</v>
      </c>
      <c r="W482" s="114" t="str">
        <f t="shared" ca="1" si="23"/>
        <v xml:space="preserve">The Borrower has not addressed the following error messages for Home ID 478: </v>
      </c>
    </row>
    <row r="483" spans="1:23">
      <c r="A483" s="123">
        <v>479</v>
      </c>
      <c r="B483" s="104" t="str" cm="1">
        <f t="array" ref="B483">_xlfn.IFS(AND(A483&gt;NumberOfPlots,ISBLANK(INDEX(PlotData,MATCH($A483,PlotNumber,0),MATCH(B$3,PlotTitles,0)))),"",ISNUMBER(INDEX(PlotData,MATCH($A483,PlotNumber,0),MATCH(B$3,PlotTitles,0)))=FALSE, $AB$5,TRUE,"")</f>
        <v/>
      </c>
      <c r="C483" s="104" t="str" cm="1">
        <f t="array" ref="C483">_xlfn.IFS(AND(A483&gt;NumberOfPlots,ISBLANK(INDEX(PlotData,MATCH($A483,PlotNumber,0),MATCH(B$3,PlotTitles,0)))),"",ISBLANK(INDEX(PlotData,MATCH($A483,PlotNumber,0),MATCH(C$3,PlotTitles,0))),$AB$6,TRUE,"")</f>
        <v/>
      </c>
      <c r="D483" s="104" t="str" cm="1">
        <f t="array" ref="D483">_xlfn.IFS(AND(A483&gt;NumberOfPlots,ISBLANK(INDEX(PlotData,MATCH($A483,PlotNumber,0),MATCH(B$3,PlotTitles,0)))),"",ISBLANK(INDEX(PlotData,MATCH($A483,PlotNumber,0),MATCH(D$3,PlotTitles,0))),$AB$7,TRUE,"")</f>
        <v/>
      </c>
      <c r="E483" s="104" t="str" cm="1">
        <f t="array" ref="E483">_xlfn.IFS(AND(A483&gt;NumberOfPlots,ISBLANK(INDEX(PlotData,MATCH($A483,PlotNumber,0),MATCH(B$3,PlotTitles,0)))),"",ISBLANK(INDEX(PlotData,MATCH($A483,PlotNumber,0),MATCH(E$3,PlotTitles,0))),$AB$8,TRUE,"")</f>
        <v/>
      </c>
      <c r="F483" s="104" t="str" cm="1">
        <f t="array" ref="F483">_xlfn.IFS(AND(A483&gt;NumberOfPlots,ISBLANK(INDEX(PlotData,MATCH($A483,PlotNumber,0),MATCH(B$3,PlotTitles,0)))),"",ISBLANK(INDEX(PlotData,MATCH($A483,PlotNumber,0),MATCH(F$3,PlotTitles,0))),$AB$9,TRUE,"")</f>
        <v/>
      </c>
      <c r="G483" s="104" t="str" cm="1">
        <f t="array" ref="G483">_xlfn.IFS(AND(A483&gt;NumberOfPlots,ISBLANK(INDEX(PlotData,MATCH($A483,PlotNumber,0),MATCH(B$3,PlotTitles,0)))),"",ISBLANK(INDEX(PlotData,MATCH($A483,PlotNumber,0),MATCH(G$3,PlotTitles,0))),$AB$10,TRUE,"")</f>
        <v/>
      </c>
      <c r="H483" s="104" t="str" cm="1">
        <f t="array" ref="H483">_xlfn.IFS(AND(A483&gt;NumberOfPlots,ISBLANK(INDEX(PlotData,MATCH($A483,PlotNumber,0),MATCH(B$3,PlotTitles,0)))),"",AND(ISBLANK(INDEX(PlotData,MATCH($A483,PlotNumber,0),MATCH(H$3,PlotTitles,0)))=FALSE,INDEX(PlotData,MATCH($A483,PlotNumber,0),MATCH(H$3,PlotTitles,0))&lt;500), $AB$11,TRUE,"")</f>
        <v/>
      </c>
      <c r="I483" s="104" t="str" cm="1">
        <f t="array" ref="I483">_xlfn.IFS(AND(A483&gt;NumberOfPlots,ISBLANK(INDEX(PlotData,MATCH($A483,PlotNumber,0),MATCH(B$3,PlotTitles,0)))),"",ISBLANK(INDEX(PlotData,MATCH($A483,PlotNumber,0),MATCH(I$3,PlotTitles,0))),$AB$12,TRUE,"")</f>
        <v/>
      </c>
      <c r="J483" s="104" t="str" cm="1">
        <f t="array" ref="J483">_xlfn.IFS(AND(A483&gt;NumberOfPlots,ISBLANK(INDEX(PlotData,MATCH($A483,PlotNumber,0),MATCH(B$3,PlotTitles,0)))),"",ISBLANK(INDEX(PlotData,MATCH($A483,PlotNumber,0),MATCH(J$3,PlotTitles,0))),$AB$13,TRUE,"")</f>
        <v/>
      </c>
      <c r="K483" s="182" t="str">
        <f t="shared" ca="1" si="21"/>
        <v/>
      </c>
      <c r="L483" s="104" t="str" cm="1">
        <f t="array" ref="L483">_xlfn.IFS(OR(ISBLANK(StartDateMonth),ISBLANK(StartDateYear)),"",AND(A483&gt;NumberOfPlots,ISBLANK(INDEX(PlotData,MATCH($A483,PlotNumber,0),MATCH(B$3,PlotTitles,0)))),"",ISBLANK(INDEX(PlotData,MATCH($A483,PlotNumber,0),MATCH(I$3,PlotTitles,0))),"",(DATEVALUE(INDEX(PlotData,MATCH($A483,PlotNumber,0),MATCH(I$3,PlotTitles,0))&amp;INDEX(PlotData,MATCH($A483,PlotNumber,0),MATCH(J$3,PlotTitles,0))))&lt;DATEVALUE(StartDateMonth&amp;StartDateYear),$AB$15,TRUE,"")</f>
        <v/>
      </c>
      <c r="M483" s="104" t="str" cm="1">
        <f t="array" ref="M483">_xlfn.IFS(OR(ISBLANK(StartDateMonth),ISBLANK(StartDateYear)),"",AND(A483&gt;NumberOfPlots,ISBLANK(INDEX(PlotData,MATCH($A483,PlotNumber,0),MATCH(B$3,PlotTitles,0)))),"",ISBLANK(INDEX(PlotData,MATCH($A483,PlotNumber,0),MATCH(I$3,PlotTitles,0))),"",CompletionMonth="","",(DATEVALUE(INDEX(PlotData,MATCH($A483,PlotNumber,0),MATCH(I$3,PlotTitles,0))&amp;INDEX(PlotData,MATCH($A483,PlotNumber,0),MATCH(J$3,PlotTitles,0))))&gt;(DATEVALUE(CompletionMonth&amp;CompletionYear)),$AB$16,TRUE,"")</f>
        <v/>
      </c>
      <c r="N483" s="104" t="str" cm="1">
        <f t="array" ref="N483">_xlfn.IFS(AND(A483&gt;NumberOfPlots,ISBLANK(INDEX(PlotData,MATCH($A483,PlotNumber,0),MATCH(B$3,PlotTitles,0)))),"",ISBLANK(INDEX(PlotData,MATCH($A483,PlotNumber,0),MATCH(N$3,PlotTitles,0))),$AB$17,TRUE,"")</f>
        <v/>
      </c>
      <c r="O483" s="104" t="str" cm="1">
        <f t="array" ref="O483">_xlfn.IFS(AND(A483&gt;NumberOfPlots,ISBLANK(INDEX(PlotData,MATCH($A483,PlotNumber,0),MATCH(B$3,PlotTitles,0)))),"",ISBLANK(INDEX(PlotData,MATCH($A483,PlotNumber,0),MATCH(O$3,PlotTitles,0))),$AB$18,TRUE,"")</f>
        <v/>
      </c>
      <c r="P483" s="182" t="str">
        <f t="shared" ca="1" si="22"/>
        <v/>
      </c>
      <c r="Q483" s="104" t="str" cm="1">
        <f t="array" ref="Q483">_xlfn.IFS(AND(A483&gt;NumberOfPlots,ISBLANK(INDEX(PlotData,MATCH($A483,PlotNumber,0),MATCH(B$3,PlotTitles,0)))),"",ISBLANK(INDEX(PlotData,MATCH($A483,PlotNumber,0),MATCH(N$3,PlotTitles,0))),"",(DATEVALUE(INDEX(PlotData,MATCH($A483,PlotNumber,0),MATCH(N$3,PlotTitles,0))&amp;INDEX(PlotData,MATCH($A483,PlotNumber,0),MATCH(O$3,PlotTitles,0))))&lt;(DATEVALUE(INDEX(PlotData,MATCH($A483,PlotNumber,0),MATCH(I$3,PlotTitles,0))&amp;INDEX(PlotData,MATCH($A483,PlotNumber,0),MATCH(J$3,PlotTitles,0)))),$AB$20,TRUE,"")</f>
        <v/>
      </c>
      <c r="R483" s="104" t="str" cm="1">
        <f t="array" ref="R483">_xlfn.IFS(OR(ISBLANK(StartDateMonth),ISBLANK(StartDateYear)),"",AND(A483&gt;NumberOfPlots,ISBLANK(INDEX(PlotData,MATCH($A483,PlotNumber,0),MATCH(B$3,PlotTitles,0)))),"",ISBLANK(INDEX(PlotData,MATCH($A483,PlotNumber,0),MATCH(N$3,PlotTitles,0))),"",CompletionMonth="","",(DATEVALUE(INDEX(PlotData,MATCH($A483,PlotNumber,0),MATCH(N$3,PlotTitles,0))&amp;INDEX(PlotData,MATCH($A483,PlotNumber,0),MATCH(O$3,PlotTitles,0))))&gt;(DATEVALUE(CompletionMonth&amp;CompletionYear)),$AB$21,TRUE,"")</f>
        <v/>
      </c>
      <c r="S483" s="104" t="str" cm="1">
        <f t="array" ref="S483">_xlfn.IFS(AND(A483&gt;NumberOfPlots,ISBLANK(INDEX(PlotData,MATCH($A483,PlotNumber,0),MATCH(B$3,PlotTitles,0)))),"",OR(AND(INDEX(PlotData,MATCH($A483,PlotNumber,0),MATCH("Tenure",PlotTitles,0))="Open market housing",INDEX(PlotData,MATCH($A483,PlotNumber,0),MATCH("Tenure detail",PlotTitles,0))="Private rented sector"),INDEX(PlotData,MATCH($A483,PlotNumber,0),MATCH("Tenure",PlotTitles,0))="Affordable rent"),"",ISNUMBER(INDEX(PlotData,MATCH($A483,PlotNumber,0),MATCH(S$3,PlotTitles,0)))=FALSE, $AB$22,TRUE,"")</f>
        <v/>
      </c>
      <c r="T483" s="104" t="str" cm="1">
        <f t="array" ref="T483">_xlfn.IFS(AND(A483&gt;NumberOfPlots,ISBLANK(INDEX(PlotData,MATCH($A483,PlotNumber,0),MATCH(B$3,PlotTitles,0)))),"",OR(AND(INDEX(PlotData,MATCH($A483,PlotNumber,0),MATCH("Tenure",PlotTitles,0))="Open market housing",INDEX(PlotData,MATCH($A483,PlotNumber,0),MATCH("Tenure detail",PlotTitles,0))="Private rented sector"),INDEX(PlotData,MATCH($A483,PlotNumber,0),MATCH("Tenure",PlotTitles,0))="Affordable rent"),"",INDEX(PlotData,MATCH($A483,PlotNumber,0),MATCH(S$3,PlotTitles,0))&lt;10000, $AB$23,TRUE,"")</f>
        <v/>
      </c>
      <c r="U483" s="104" t="str" cm="1">
        <f t="array" ref="U483">_xlfn.IFS(AND(A483&gt;NumberOfPlots,ISBLANK(INDEX(PlotData,MATCH($A483,PlotNumber,0),MATCH(B$3,PlotTitles,0)))),"",NOT(OR(AND(INDEX(PlotData,MATCH($A483,PlotNumber,0),MATCH("Tenure",PlotTitles,0))="Open market housing",INDEX(PlotData,MATCH($A483,PlotNumber,0),MATCH("Tenure detail",PlotTitles,0))="Private rented sector"),INDEX(PlotData,MATCH($A483,PlotNumber,0),MATCH("Tenure",PlotTitles,0))="Affordable rent")),"",NOT(INDEX(PlotData,MATCH($A483,PlotNumber,0),MATCH(S$3,PlotTitles,0))=0), $AB$24,TRUE,"")</f>
        <v/>
      </c>
      <c r="V483" s="114" t="str" cm="1">
        <f t="array" aca="1" ref="V483" ca="1">_xlfn.IFS(ISBLANK(NumberOfPlots),"Enter the number of homes on the 1_SetUp sheet",AND(A483&gt;NumberOfPlots,ISBLANK(INDEX(PlotData,MATCH($A483,PlotNumber,0),MATCH(B$3,PlotTitles,0)))),"No error",NOT(B483=""),B483,NOT(C483=""),C483,NOT(D483=""),D483,NOT(E483=""),E483,NOT(F483=""),F483,NOT(G483=""),G483,NOT(H483=""),H483,NOT(I483=""),I483,NOT(J483=""),J483,NOT(K483=""),K483,NOT(L483=""),L483,NOT(M483=""),M483,NOT(N483=""),N483,NOT(O483=""),O483,NOT(P483=""),P483,NOT(Q483=""),Q483,NOT(R483=""),R483,NOT(S483=""),S483,NOT(T483=""),T483,NOT(U483=""),U483,TRUE,"No error")</f>
        <v>Enter the number of homes on the 1_SetUp sheet</v>
      </c>
      <c r="W483" s="114" t="str">
        <f t="shared" ca="1" si="23"/>
        <v xml:space="preserve">The Borrower has not addressed the following error messages for Home ID 479: </v>
      </c>
    </row>
    <row r="484" spans="1:23">
      <c r="A484" s="123">
        <v>480</v>
      </c>
      <c r="B484" s="104" t="str" cm="1">
        <f t="array" ref="B484">_xlfn.IFS(AND(A484&gt;NumberOfPlots,ISBLANK(INDEX(PlotData,MATCH($A484,PlotNumber,0),MATCH(B$3,PlotTitles,0)))),"",ISNUMBER(INDEX(PlotData,MATCH($A484,PlotNumber,0),MATCH(B$3,PlotTitles,0)))=FALSE, $AB$5,TRUE,"")</f>
        <v/>
      </c>
      <c r="C484" s="104" t="str" cm="1">
        <f t="array" ref="C484">_xlfn.IFS(AND(A484&gt;NumberOfPlots,ISBLANK(INDEX(PlotData,MATCH($A484,PlotNumber,0),MATCH(B$3,PlotTitles,0)))),"",ISBLANK(INDEX(PlotData,MATCH($A484,PlotNumber,0),MATCH(C$3,PlotTitles,0))),$AB$6,TRUE,"")</f>
        <v/>
      </c>
      <c r="D484" s="104" t="str" cm="1">
        <f t="array" ref="D484">_xlfn.IFS(AND(A484&gt;NumberOfPlots,ISBLANK(INDEX(PlotData,MATCH($A484,PlotNumber,0),MATCH(B$3,PlotTitles,0)))),"",ISBLANK(INDEX(PlotData,MATCH($A484,PlotNumber,0),MATCH(D$3,PlotTitles,0))),$AB$7,TRUE,"")</f>
        <v/>
      </c>
      <c r="E484" s="104" t="str" cm="1">
        <f t="array" ref="E484">_xlfn.IFS(AND(A484&gt;NumberOfPlots,ISBLANK(INDEX(PlotData,MATCH($A484,PlotNumber,0),MATCH(B$3,PlotTitles,0)))),"",ISBLANK(INDEX(PlotData,MATCH($A484,PlotNumber,0),MATCH(E$3,PlotTitles,0))),$AB$8,TRUE,"")</f>
        <v/>
      </c>
      <c r="F484" s="104" t="str" cm="1">
        <f t="array" ref="F484">_xlfn.IFS(AND(A484&gt;NumberOfPlots,ISBLANK(INDEX(PlotData,MATCH($A484,PlotNumber,0),MATCH(B$3,PlotTitles,0)))),"",ISBLANK(INDEX(PlotData,MATCH($A484,PlotNumber,0),MATCH(F$3,PlotTitles,0))),$AB$9,TRUE,"")</f>
        <v/>
      </c>
      <c r="G484" s="104" t="str" cm="1">
        <f t="array" ref="G484">_xlfn.IFS(AND(A484&gt;NumberOfPlots,ISBLANK(INDEX(PlotData,MATCH($A484,PlotNumber,0),MATCH(B$3,PlotTitles,0)))),"",ISBLANK(INDEX(PlotData,MATCH($A484,PlotNumber,0),MATCH(G$3,PlotTitles,0))),$AB$10,TRUE,"")</f>
        <v/>
      </c>
      <c r="H484" s="104" t="str" cm="1">
        <f t="array" ref="H484">_xlfn.IFS(AND(A484&gt;NumberOfPlots,ISBLANK(INDEX(PlotData,MATCH($A484,PlotNumber,0),MATCH(B$3,PlotTitles,0)))),"",AND(ISBLANK(INDEX(PlotData,MATCH($A484,PlotNumber,0),MATCH(H$3,PlotTitles,0)))=FALSE,INDEX(PlotData,MATCH($A484,PlotNumber,0),MATCH(H$3,PlotTitles,0))&lt;500), $AB$11,TRUE,"")</f>
        <v/>
      </c>
      <c r="I484" s="104" t="str" cm="1">
        <f t="array" ref="I484">_xlfn.IFS(AND(A484&gt;NumberOfPlots,ISBLANK(INDEX(PlotData,MATCH($A484,PlotNumber,0),MATCH(B$3,PlotTitles,0)))),"",ISBLANK(INDEX(PlotData,MATCH($A484,PlotNumber,0),MATCH(I$3,PlotTitles,0))),$AB$12,TRUE,"")</f>
        <v/>
      </c>
      <c r="J484" s="104" t="str" cm="1">
        <f t="array" ref="J484">_xlfn.IFS(AND(A484&gt;NumberOfPlots,ISBLANK(INDEX(PlotData,MATCH($A484,PlotNumber,0),MATCH(B$3,PlotTitles,0)))),"",ISBLANK(INDEX(PlotData,MATCH($A484,PlotNumber,0),MATCH(J$3,PlotTitles,0))),$AB$13,TRUE,"")</f>
        <v/>
      </c>
      <c r="K484" s="182" t="str">
        <f t="shared" ca="1" si="21"/>
        <v/>
      </c>
      <c r="L484" s="104" t="str" cm="1">
        <f t="array" ref="L484">_xlfn.IFS(OR(ISBLANK(StartDateMonth),ISBLANK(StartDateYear)),"",AND(A484&gt;NumberOfPlots,ISBLANK(INDEX(PlotData,MATCH($A484,PlotNumber,0),MATCH(B$3,PlotTitles,0)))),"",ISBLANK(INDEX(PlotData,MATCH($A484,PlotNumber,0),MATCH(I$3,PlotTitles,0))),"",(DATEVALUE(INDEX(PlotData,MATCH($A484,PlotNumber,0),MATCH(I$3,PlotTitles,0))&amp;INDEX(PlotData,MATCH($A484,PlotNumber,0),MATCH(J$3,PlotTitles,0))))&lt;DATEVALUE(StartDateMonth&amp;StartDateYear),$AB$15,TRUE,"")</f>
        <v/>
      </c>
      <c r="M484" s="104" t="str" cm="1">
        <f t="array" ref="M484">_xlfn.IFS(OR(ISBLANK(StartDateMonth),ISBLANK(StartDateYear)),"",AND(A484&gt;NumberOfPlots,ISBLANK(INDEX(PlotData,MATCH($A484,PlotNumber,0),MATCH(B$3,PlotTitles,0)))),"",ISBLANK(INDEX(PlotData,MATCH($A484,PlotNumber,0),MATCH(I$3,PlotTitles,0))),"",CompletionMonth="","",(DATEVALUE(INDEX(PlotData,MATCH($A484,PlotNumber,0),MATCH(I$3,PlotTitles,0))&amp;INDEX(PlotData,MATCH($A484,PlotNumber,0),MATCH(J$3,PlotTitles,0))))&gt;(DATEVALUE(CompletionMonth&amp;CompletionYear)),$AB$16,TRUE,"")</f>
        <v/>
      </c>
      <c r="N484" s="104" t="str" cm="1">
        <f t="array" ref="N484">_xlfn.IFS(AND(A484&gt;NumberOfPlots,ISBLANK(INDEX(PlotData,MATCH($A484,PlotNumber,0),MATCH(B$3,PlotTitles,0)))),"",ISBLANK(INDEX(PlotData,MATCH($A484,PlotNumber,0),MATCH(N$3,PlotTitles,0))),$AB$17,TRUE,"")</f>
        <v/>
      </c>
      <c r="O484" s="104" t="str" cm="1">
        <f t="array" ref="O484">_xlfn.IFS(AND(A484&gt;NumberOfPlots,ISBLANK(INDEX(PlotData,MATCH($A484,PlotNumber,0),MATCH(B$3,PlotTitles,0)))),"",ISBLANK(INDEX(PlotData,MATCH($A484,PlotNumber,0),MATCH(O$3,PlotTitles,0))),$AB$18,TRUE,"")</f>
        <v/>
      </c>
      <c r="P484" s="182" t="str">
        <f t="shared" ca="1" si="22"/>
        <v/>
      </c>
      <c r="Q484" s="104" t="str" cm="1">
        <f t="array" ref="Q484">_xlfn.IFS(AND(A484&gt;NumberOfPlots,ISBLANK(INDEX(PlotData,MATCH($A484,PlotNumber,0),MATCH(B$3,PlotTitles,0)))),"",ISBLANK(INDEX(PlotData,MATCH($A484,PlotNumber,0),MATCH(N$3,PlotTitles,0))),"",(DATEVALUE(INDEX(PlotData,MATCH($A484,PlotNumber,0),MATCH(N$3,PlotTitles,0))&amp;INDEX(PlotData,MATCH($A484,PlotNumber,0),MATCH(O$3,PlotTitles,0))))&lt;(DATEVALUE(INDEX(PlotData,MATCH($A484,PlotNumber,0),MATCH(I$3,PlotTitles,0))&amp;INDEX(PlotData,MATCH($A484,PlotNumber,0),MATCH(J$3,PlotTitles,0)))),$AB$20,TRUE,"")</f>
        <v/>
      </c>
      <c r="R484" s="104" t="str" cm="1">
        <f t="array" ref="R484">_xlfn.IFS(OR(ISBLANK(StartDateMonth),ISBLANK(StartDateYear)),"",AND(A484&gt;NumberOfPlots,ISBLANK(INDEX(PlotData,MATCH($A484,PlotNumber,0),MATCH(B$3,PlotTitles,0)))),"",ISBLANK(INDEX(PlotData,MATCH($A484,PlotNumber,0),MATCH(N$3,PlotTitles,0))),"",CompletionMonth="","",(DATEVALUE(INDEX(PlotData,MATCH($A484,PlotNumber,0),MATCH(N$3,PlotTitles,0))&amp;INDEX(PlotData,MATCH($A484,PlotNumber,0),MATCH(O$3,PlotTitles,0))))&gt;(DATEVALUE(CompletionMonth&amp;CompletionYear)),$AB$21,TRUE,"")</f>
        <v/>
      </c>
      <c r="S484" s="104" t="str" cm="1">
        <f t="array" ref="S484">_xlfn.IFS(AND(A484&gt;NumberOfPlots,ISBLANK(INDEX(PlotData,MATCH($A484,PlotNumber,0),MATCH(B$3,PlotTitles,0)))),"",OR(AND(INDEX(PlotData,MATCH($A484,PlotNumber,0),MATCH("Tenure",PlotTitles,0))="Open market housing",INDEX(PlotData,MATCH($A484,PlotNumber,0),MATCH("Tenure detail",PlotTitles,0))="Private rented sector"),INDEX(PlotData,MATCH($A484,PlotNumber,0),MATCH("Tenure",PlotTitles,0))="Affordable rent"),"",ISNUMBER(INDEX(PlotData,MATCH($A484,PlotNumber,0),MATCH(S$3,PlotTitles,0)))=FALSE, $AB$22,TRUE,"")</f>
        <v/>
      </c>
      <c r="T484" s="104" t="str" cm="1">
        <f t="array" ref="T484">_xlfn.IFS(AND(A484&gt;NumberOfPlots,ISBLANK(INDEX(PlotData,MATCH($A484,PlotNumber,0),MATCH(B$3,PlotTitles,0)))),"",OR(AND(INDEX(PlotData,MATCH($A484,PlotNumber,0),MATCH("Tenure",PlotTitles,0))="Open market housing",INDEX(PlotData,MATCH($A484,PlotNumber,0),MATCH("Tenure detail",PlotTitles,0))="Private rented sector"),INDEX(PlotData,MATCH($A484,PlotNumber,0),MATCH("Tenure",PlotTitles,0))="Affordable rent"),"",INDEX(PlotData,MATCH($A484,PlotNumber,0),MATCH(S$3,PlotTitles,0))&lt;10000, $AB$23,TRUE,"")</f>
        <v/>
      </c>
      <c r="U484" s="104" t="str" cm="1">
        <f t="array" ref="U484">_xlfn.IFS(AND(A484&gt;NumberOfPlots,ISBLANK(INDEX(PlotData,MATCH($A484,PlotNumber,0),MATCH(B$3,PlotTitles,0)))),"",NOT(OR(AND(INDEX(PlotData,MATCH($A484,PlotNumber,0),MATCH("Tenure",PlotTitles,0))="Open market housing",INDEX(PlotData,MATCH($A484,PlotNumber,0),MATCH("Tenure detail",PlotTitles,0))="Private rented sector"),INDEX(PlotData,MATCH($A484,PlotNumber,0),MATCH("Tenure",PlotTitles,0))="Affordable rent")),"",NOT(INDEX(PlotData,MATCH($A484,PlotNumber,0),MATCH(S$3,PlotTitles,0))=0), $AB$24,TRUE,"")</f>
        <v/>
      </c>
      <c r="V484" s="114" t="str" cm="1">
        <f t="array" aca="1" ref="V484" ca="1">_xlfn.IFS(ISBLANK(NumberOfPlots),"Enter the number of homes on the 1_SetUp sheet",AND(A484&gt;NumberOfPlots,ISBLANK(INDEX(PlotData,MATCH($A484,PlotNumber,0),MATCH(B$3,PlotTitles,0)))),"No error",NOT(B484=""),B484,NOT(C484=""),C484,NOT(D484=""),D484,NOT(E484=""),E484,NOT(F484=""),F484,NOT(G484=""),G484,NOT(H484=""),H484,NOT(I484=""),I484,NOT(J484=""),J484,NOT(K484=""),K484,NOT(L484=""),L484,NOT(M484=""),M484,NOT(N484=""),N484,NOT(O484=""),O484,NOT(P484=""),P484,NOT(Q484=""),Q484,NOT(R484=""),R484,NOT(S484=""),S484,NOT(T484=""),T484,NOT(U484=""),U484,TRUE,"No error")</f>
        <v>Enter the number of homes on the 1_SetUp sheet</v>
      </c>
      <c r="W484" s="114" t="str">
        <f t="shared" ca="1" si="23"/>
        <v xml:space="preserve">The Borrower has not addressed the following error messages for Home ID 480: </v>
      </c>
    </row>
    <row r="485" spans="1:23">
      <c r="A485" s="123">
        <v>481</v>
      </c>
      <c r="B485" s="104" t="str" cm="1">
        <f t="array" ref="B485">_xlfn.IFS(AND(A485&gt;NumberOfPlots,ISBLANK(INDEX(PlotData,MATCH($A485,PlotNumber,0),MATCH(B$3,PlotTitles,0)))),"",ISNUMBER(INDEX(PlotData,MATCH($A485,PlotNumber,0),MATCH(B$3,PlotTitles,0)))=FALSE, $AB$5,TRUE,"")</f>
        <v/>
      </c>
      <c r="C485" s="104" t="str" cm="1">
        <f t="array" ref="C485">_xlfn.IFS(AND(A485&gt;NumberOfPlots,ISBLANK(INDEX(PlotData,MATCH($A485,PlotNumber,0),MATCH(B$3,PlotTitles,0)))),"",ISBLANK(INDEX(PlotData,MATCH($A485,PlotNumber,0),MATCH(C$3,PlotTitles,0))),$AB$6,TRUE,"")</f>
        <v/>
      </c>
      <c r="D485" s="104" t="str" cm="1">
        <f t="array" ref="D485">_xlfn.IFS(AND(A485&gt;NumberOfPlots,ISBLANK(INDEX(PlotData,MATCH($A485,PlotNumber,0),MATCH(B$3,PlotTitles,0)))),"",ISBLANK(INDEX(PlotData,MATCH($A485,PlotNumber,0),MATCH(D$3,PlotTitles,0))),$AB$7,TRUE,"")</f>
        <v/>
      </c>
      <c r="E485" s="104" t="str" cm="1">
        <f t="array" ref="E485">_xlfn.IFS(AND(A485&gt;NumberOfPlots,ISBLANK(INDEX(PlotData,MATCH($A485,PlotNumber,0),MATCH(B$3,PlotTitles,0)))),"",ISBLANK(INDEX(PlotData,MATCH($A485,PlotNumber,0),MATCH(E$3,PlotTitles,0))),$AB$8,TRUE,"")</f>
        <v/>
      </c>
      <c r="F485" s="104" t="str" cm="1">
        <f t="array" ref="F485">_xlfn.IFS(AND(A485&gt;NumberOfPlots,ISBLANK(INDEX(PlotData,MATCH($A485,PlotNumber,0),MATCH(B$3,PlotTitles,0)))),"",ISBLANK(INDEX(PlotData,MATCH($A485,PlotNumber,0),MATCH(F$3,PlotTitles,0))),$AB$9,TRUE,"")</f>
        <v/>
      </c>
      <c r="G485" s="104" t="str" cm="1">
        <f t="array" ref="G485">_xlfn.IFS(AND(A485&gt;NumberOfPlots,ISBLANK(INDEX(PlotData,MATCH($A485,PlotNumber,0),MATCH(B$3,PlotTitles,0)))),"",ISBLANK(INDEX(PlotData,MATCH($A485,PlotNumber,0),MATCH(G$3,PlotTitles,0))),$AB$10,TRUE,"")</f>
        <v/>
      </c>
      <c r="H485" s="104" t="str" cm="1">
        <f t="array" ref="H485">_xlfn.IFS(AND(A485&gt;NumberOfPlots,ISBLANK(INDEX(PlotData,MATCH($A485,PlotNumber,0),MATCH(B$3,PlotTitles,0)))),"",AND(ISBLANK(INDEX(PlotData,MATCH($A485,PlotNumber,0),MATCH(H$3,PlotTitles,0)))=FALSE,INDEX(PlotData,MATCH($A485,PlotNumber,0),MATCH(H$3,PlotTitles,0))&lt;500), $AB$11,TRUE,"")</f>
        <v/>
      </c>
      <c r="I485" s="104" t="str" cm="1">
        <f t="array" ref="I485">_xlfn.IFS(AND(A485&gt;NumberOfPlots,ISBLANK(INDEX(PlotData,MATCH($A485,PlotNumber,0),MATCH(B$3,PlotTitles,0)))),"",ISBLANK(INDEX(PlotData,MATCH($A485,PlotNumber,0),MATCH(I$3,PlotTitles,0))),$AB$12,TRUE,"")</f>
        <v/>
      </c>
      <c r="J485" s="104" t="str" cm="1">
        <f t="array" ref="J485">_xlfn.IFS(AND(A485&gt;NumberOfPlots,ISBLANK(INDEX(PlotData,MATCH($A485,PlotNumber,0),MATCH(B$3,PlotTitles,0)))),"",ISBLANK(INDEX(PlotData,MATCH($A485,PlotNumber,0),MATCH(J$3,PlotTitles,0))),$AB$13,TRUE,"")</f>
        <v/>
      </c>
      <c r="K485" s="182" t="str">
        <f t="shared" ca="1" si="21"/>
        <v/>
      </c>
      <c r="L485" s="104" t="str" cm="1">
        <f t="array" ref="L485">_xlfn.IFS(OR(ISBLANK(StartDateMonth),ISBLANK(StartDateYear)),"",AND(A485&gt;NumberOfPlots,ISBLANK(INDEX(PlotData,MATCH($A485,PlotNumber,0),MATCH(B$3,PlotTitles,0)))),"",ISBLANK(INDEX(PlotData,MATCH($A485,PlotNumber,0),MATCH(I$3,PlotTitles,0))),"",(DATEVALUE(INDEX(PlotData,MATCH($A485,PlotNumber,0),MATCH(I$3,PlotTitles,0))&amp;INDEX(PlotData,MATCH($A485,PlotNumber,0),MATCH(J$3,PlotTitles,0))))&lt;DATEVALUE(StartDateMonth&amp;StartDateYear),$AB$15,TRUE,"")</f>
        <v/>
      </c>
      <c r="M485" s="104" t="str" cm="1">
        <f t="array" ref="M485">_xlfn.IFS(OR(ISBLANK(StartDateMonth),ISBLANK(StartDateYear)),"",AND(A485&gt;NumberOfPlots,ISBLANK(INDEX(PlotData,MATCH($A485,PlotNumber,0),MATCH(B$3,PlotTitles,0)))),"",ISBLANK(INDEX(PlotData,MATCH($A485,PlotNumber,0),MATCH(I$3,PlotTitles,0))),"",CompletionMonth="","",(DATEVALUE(INDEX(PlotData,MATCH($A485,PlotNumber,0),MATCH(I$3,PlotTitles,0))&amp;INDEX(PlotData,MATCH($A485,PlotNumber,0),MATCH(J$3,PlotTitles,0))))&gt;(DATEVALUE(CompletionMonth&amp;CompletionYear)),$AB$16,TRUE,"")</f>
        <v/>
      </c>
      <c r="N485" s="104" t="str" cm="1">
        <f t="array" ref="N485">_xlfn.IFS(AND(A485&gt;NumberOfPlots,ISBLANK(INDEX(PlotData,MATCH($A485,PlotNumber,0),MATCH(B$3,PlotTitles,0)))),"",ISBLANK(INDEX(PlotData,MATCH($A485,PlotNumber,0),MATCH(N$3,PlotTitles,0))),$AB$17,TRUE,"")</f>
        <v/>
      </c>
      <c r="O485" s="104" t="str" cm="1">
        <f t="array" ref="O485">_xlfn.IFS(AND(A485&gt;NumberOfPlots,ISBLANK(INDEX(PlotData,MATCH($A485,PlotNumber,0),MATCH(B$3,PlotTitles,0)))),"",ISBLANK(INDEX(PlotData,MATCH($A485,PlotNumber,0),MATCH(O$3,PlotTitles,0))),$AB$18,TRUE,"")</f>
        <v/>
      </c>
      <c r="P485" s="182" t="str">
        <f t="shared" ca="1" si="22"/>
        <v/>
      </c>
      <c r="Q485" s="104" t="str" cm="1">
        <f t="array" ref="Q485">_xlfn.IFS(AND(A485&gt;NumberOfPlots,ISBLANK(INDEX(PlotData,MATCH($A485,PlotNumber,0),MATCH(B$3,PlotTitles,0)))),"",ISBLANK(INDEX(PlotData,MATCH($A485,PlotNumber,0),MATCH(N$3,PlotTitles,0))),"",(DATEVALUE(INDEX(PlotData,MATCH($A485,PlotNumber,0),MATCH(N$3,PlotTitles,0))&amp;INDEX(PlotData,MATCH($A485,PlotNumber,0),MATCH(O$3,PlotTitles,0))))&lt;(DATEVALUE(INDEX(PlotData,MATCH($A485,PlotNumber,0),MATCH(I$3,PlotTitles,0))&amp;INDEX(PlotData,MATCH($A485,PlotNumber,0),MATCH(J$3,PlotTitles,0)))),$AB$20,TRUE,"")</f>
        <v/>
      </c>
      <c r="R485" s="104" t="str" cm="1">
        <f t="array" ref="R485">_xlfn.IFS(OR(ISBLANK(StartDateMonth),ISBLANK(StartDateYear)),"",AND(A485&gt;NumberOfPlots,ISBLANK(INDEX(PlotData,MATCH($A485,PlotNumber,0),MATCH(B$3,PlotTitles,0)))),"",ISBLANK(INDEX(PlotData,MATCH($A485,PlotNumber,0),MATCH(N$3,PlotTitles,0))),"",CompletionMonth="","",(DATEVALUE(INDEX(PlotData,MATCH($A485,PlotNumber,0),MATCH(N$3,PlotTitles,0))&amp;INDEX(PlotData,MATCH($A485,PlotNumber,0),MATCH(O$3,PlotTitles,0))))&gt;(DATEVALUE(CompletionMonth&amp;CompletionYear)),$AB$21,TRUE,"")</f>
        <v/>
      </c>
      <c r="S485" s="104" t="str" cm="1">
        <f t="array" ref="S485">_xlfn.IFS(AND(A485&gt;NumberOfPlots,ISBLANK(INDEX(PlotData,MATCH($A485,PlotNumber,0),MATCH(B$3,PlotTitles,0)))),"",OR(AND(INDEX(PlotData,MATCH($A485,PlotNumber,0),MATCH("Tenure",PlotTitles,0))="Open market housing",INDEX(PlotData,MATCH($A485,PlotNumber,0),MATCH("Tenure detail",PlotTitles,0))="Private rented sector"),INDEX(PlotData,MATCH($A485,PlotNumber,0),MATCH("Tenure",PlotTitles,0))="Affordable rent"),"",ISNUMBER(INDEX(PlotData,MATCH($A485,PlotNumber,0),MATCH(S$3,PlotTitles,0)))=FALSE, $AB$22,TRUE,"")</f>
        <v/>
      </c>
      <c r="T485" s="104" t="str" cm="1">
        <f t="array" ref="T485">_xlfn.IFS(AND(A485&gt;NumberOfPlots,ISBLANK(INDEX(PlotData,MATCH($A485,PlotNumber,0),MATCH(B$3,PlotTitles,0)))),"",OR(AND(INDEX(PlotData,MATCH($A485,PlotNumber,0),MATCH("Tenure",PlotTitles,0))="Open market housing",INDEX(PlotData,MATCH($A485,PlotNumber,0),MATCH("Tenure detail",PlotTitles,0))="Private rented sector"),INDEX(PlotData,MATCH($A485,PlotNumber,0),MATCH("Tenure",PlotTitles,0))="Affordable rent"),"",INDEX(PlotData,MATCH($A485,PlotNumber,0),MATCH(S$3,PlotTitles,0))&lt;10000, $AB$23,TRUE,"")</f>
        <v/>
      </c>
      <c r="U485" s="104" t="str" cm="1">
        <f t="array" ref="U485">_xlfn.IFS(AND(A485&gt;NumberOfPlots,ISBLANK(INDEX(PlotData,MATCH($A485,PlotNumber,0),MATCH(B$3,PlotTitles,0)))),"",NOT(OR(AND(INDEX(PlotData,MATCH($A485,PlotNumber,0),MATCH("Tenure",PlotTitles,0))="Open market housing",INDEX(PlotData,MATCH($A485,PlotNumber,0),MATCH("Tenure detail",PlotTitles,0))="Private rented sector"),INDEX(PlotData,MATCH($A485,PlotNumber,0),MATCH("Tenure",PlotTitles,0))="Affordable rent")),"",NOT(INDEX(PlotData,MATCH($A485,PlotNumber,0),MATCH(S$3,PlotTitles,0))=0), $AB$24,TRUE,"")</f>
        <v/>
      </c>
      <c r="V485" s="114" t="str" cm="1">
        <f t="array" aca="1" ref="V485" ca="1">_xlfn.IFS(ISBLANK(NumberOfPlots),"Enter the number of homes on the 1_SetUp sheet",AND(A485&gt;NumberOfPlots,ISBLANK(INDEX(PlotData,MATCH($A485,PlotNumber,0),MATCH(B$3,PlotTitles,0)))),"No error",NOT(B485=""),B485,NOT(C485=""),C485,NOT(D485=""),D485,NOT(E485=""),E485,NOT(F485=""),F485,NOT(G485=""),G485,NOT(H485=""),H485,NOT(I485=""),I485,NOT(J485=""),J485,NOT(K485=""),K485,NOT(L485=""),L485,NOT(M485=""),M485,NOT(N485=""),N485,NOT(O485=""),O485,NOT(P485=""),P485,NOT(Q485=""),Q485,NOT(R485=""),R485,NOT(S485=""),S485,NOT(T485=""),T485,NOT(U485=""),U485,TRUE,"No error")</f>
        <v>Enter the number of homes on the 1_SetUp sheet</v>
      </c>
      <c r="W485" s="114" t="str">
        <f t="shared" ca="1" si="23"/>
        <v xml:space="preserve">The Borrower has not addressed the following error messages for Home ID 481: </v>
      </c>
    </row>
    <row r="486" spans="1:23">
      <c r="A486" s="123">
        <v>482</v>
      </c>
      <c r="B486" s="104" t="str" cm="1">
        <f t="array" ref="B486">_xlfn.IFS(AND(A486&gt;NumberOfPlots,ISBLANK(INDEX(PlotData,MATCH($A486,PlotNumber,0),MATCH(B$3,PlotTitles,0)))),"",ISNUMBER(INDEX(PlotData,MATCH($A486,PlotNumber,0),MATCH(B$3,PlotTitles,0)))=FALSE, $AB$5,TRUE,"")</f>
        <v/>
      </c>
      <c r="C486" s="104" t="str" cm="1">
        <f t="array" ref="C486">_xlfn.IFS(AND(A486&gt;NumberOfPlots,ISBLANK(INDEX(PlotData,MATCH($A486,PlotNumber,0),MATCH(B$3,PlotTitles,0)))),"",ISBLANK(INDEX(PlotData,MATCH($A486,PlotNumber,0),MATCH(C$3,PlotTitles,0))),$AB$6,TRUE,"")</f>
        <v/>
      </c>
      <c r="D486" s="104" t="str" cm="1">
        <f t="array" ref="D486">_xlfn.IFS(AND(A486&gt;NumberOfPlots,ISBLANK(INDEX(PlotData,MATCH($A486,PlotNumber,0),MATCH(B$3,PlotTitles,0)))),"",ISBLANK(INDEX(PlotData,MATCH($A486,PlotNumber,0),MATCH(D$3,PlotTitles,0))),$AB$7,TRUE,"")</f>
        <v/>
      </c>
      <c r="E486" s="104" t="str" cm="1">
        <f t="array" ref="E486">_xlfn.IFS(AND(A486&gt;NumberOfPlots,ISBLANK(INDEX(PlotData,MATCH($A486,PlotNumber,0),MATCH(B$3,PlotTitles,0)))),"",ISBLANK(INDEX(PlotData,MATCH($A486,PlotNumber,0),MATCH(E$3,PlotTitles,0))),$AB$8,TRUE,"")</f>
        <v/>
      </c>
      <c r="F486" s="104" t="str" cm="1">
        <f t="array" ref="F486">_xlfn.IFS(AND(A486&gt;NumberOfPlots,ISBLANK(INDEX(PlotData,MATCH($A486,PlotNumber,0),MATCH(B$3,PlotTitles,0)))),"",ISBLANK(INDEX(PlotData,MATCH($A486,PlotNumber,0),MATCH(F$3,PlotTitles,0))),$AB$9,TRUE,"")</f>
        <v/>
      </c>
      <c r="G486" s="104" t="str" cm="1">
        <f t="array" ref="G486">_xlfn.IFS(AND(A486&gt;NumberOfPlots,ISBLANK(INDEX(PlotData,MATCH($A486,PlotNumber,0),MATCH(B$3,PlotTitles,0)))),"",ISBLANK(INDEX(PlotData,MATCH($A486,PlotNumber,0),MATCH(G$3,PlotTitles,0))),$AB$10,TRUE,"")</f>
        <v/>
      </c>
      <c r="H486" s="104" t="str" cm="1">
        <f t="array" ref="H486">_xlfn.IFS(AND(A486&gt;NumberOfPlots,ISBLANK(INDEX(PlotData,MATCH($A486,PlotNumber,0),MATCH(B$3,PlotTitles,0)))),"",AND(ISBLANK(INDEX(PlotData,MATCH($A486,PlotNumber,0),MATCH(H$3,PlotTitles,0)))=FALSE,INDEX(PlotData,MATCH($A486,PlotNumber,0),MATCH(H$3,PlotTitles,0))&lt;500), $AB$11,TRUE,"")</f>
        <v/>
      </c>
      <c r="I486" s="104" t="str" cm="1">
        <f t="array" ref="I486">_xlfn.IFS(AND(A486&gt;NumberOfPlots,ISBLANK(INDEX(PlotData,MATCH($A486,PlotNumber,0),MATCH(B$3,PlotTitles,0)))),"",ISBLANK(INDEX(PlotData,MATCH($A486,PlotNumber,0),MATCH(I$3,PlotTitles,0))),$AB$12,TRUE,"")</f>
        <v/>
      </c>
      <c r="J486" s="104" t="str" cm="1">
        <f t="array" ref="J486">_xlfn.IFS(AND(A486&gt;NumberOfPlots,ISBLANK(INDEX(PlotData,MATCH($A486,PlotNumber,0),MATCH(B$3,PlotTitles,0)))),"",ISBLANK(INDEX(PlotData,MATCH($A486,PlotNumber,0),MATCH(J$3,PlotTitles,0))),$AB$13,TRUE,"")</f>
        <v/>
      </c>
      <c r="K486" s="182" t="str">
        <f t="shared" ca="1" si="21"/>
        <v/>
      </c>
      <c r="L486" s="104" t="str" cm="1">
        <f t="array" ref="L486">_xlfn.IFS(OR(ISBLANK(StartDateMonth),ISBLANK(StartDateYear)),"",AND(A486&gt;NumberOfPlots,ISBLANK(INDEX(PlotData,MATCH($A486,PlotNumber,0),MATCH(B$3,PlotTitles,0)))),"",ISBLANK(INDEX(PlotData,MATCH($A486,PlotNumber,0),MATCH(I$3,PlotTitles,0))),"",(DATEVALUE(INDEX(PlotData,MATCH($A486,PlotNumber,0),MATCH(I$3,PlotTitles,0))&amp;INDEX(PlotData,MATCH($A486,PlotNumber,0),MATCH(J$3,PlotTitles,0))))&lt;DATEVALUE(StartDateMonth&amp;StartDateYear),$AB$15,TRUE,"")</f>
        <v/>
      </c>
      <c r="M486" s="104" t="str" cm="1">
        <f t="array" ref="M486">_xlfn.IFS(OR(ISBLANK(StartDateMonth),ISBLANK(StartDateYear)),"",AND(A486&gt;NumberOfPlots,ISBLANK(INDEX(PlotData,MATCH($A486,PlotNumber,0),MATCH(B$3,PlotTitles,0)))),"",ISBLANK(INDEX(PlotData,MATCH($A486,PlotNumber,0),MATCH(I$3,PlotTitles,0))),"",CompletionMonth="","",(DATEVALUE(INDEX(PlotData,MATCH($A486,PlotNumber,0),MATCH(I$3,PlotTitles,0))&amp;INDEX(PlotData,MATCH($A486,PlotNumber,0),MATCH(J$3,PlotTitles,0))))&gt;(DATEVALUE(CompletionMonth&amp;CompletionYear)),$AB$16,TRUE,"")</f>
        <v/>
      </c>
      <c r="N486" s="104" t="str" cm="1">
        <f t="array" ref="N486">_xlfn.IFS(AND(A486&gt;NumberOfPlots,ISBLANK(INDEX(PlotData,MATCH($A486,PlotNumber,0),MATCH(B$3,PlotTitles,0)))),"",ISBLANK(INDEX(PlotData,MATCH($A486,PlotNumber,0),MATCH(N$3,PlotTitles,0))),$AB$17,TRUE,"")</f>
        <v/>
      </c>
      <c r="O486" s="104" t="str" cm="1">
        <f t="array" ref="O486">_xlfn.IFS(AND(A486&gt;NumberOfPlots,ISBLANK(INDEX(PlotData,MATCH($A486,PlotNumber,0),MATCH(B$3,PlotTitles,0)))),"",ISBLANK(INDEX(PlotData,MATCH($A486,PlotNumber,0),MATCH(O$3,PlotTitles,0))),$AB$18,TRUE,"")</f>
        <v/>
      </c>
      <c r="P486" s="182" t="str">
        <f t="shared" ca="1" si="22"/>
        <v/>
      </c>
      <c r="Q486" s="104" t="str" cm="1">
        <f t="array" ref="Q486">_xlfn.IFS(AND(A486&gt;NumberOfPlots,ISBLANK(INDEX(PlotData,MATCH($A486,PlotNumber,0),MATCH(B$3,PlotTitles,0)))),"",ISBLANK(INDEX(PlotData,MATCH($A486,PlotNumber,0),MATCH(N$3,PlotTitles,0))),"",(DATEVALUE(INDEX(PlotData,MATCH($A486,PlotNumber,0),MATCH(N$3,PlotTitles,0))&amp;INDEX(PlotData,MATCH($A486,PlotNumber,0),MATCH(O$3,PlotTitles,0))))&lt;(DATEVALUE(INDEX(PlotData,MATCH($A486,PlotNumber,0),MATCH(I$3,PlotTitles,0))&amp;INDEX(PlotData,MATCH($A486,PlotNumber,0),MATCH(J$3,PlotTitles,0)))),$AB$20,TRUE,"")</f>
        <v/>
      </c>
      <c r="R486" s="104" t="str" cm="1">
        <f t="array" ref="R486">_xlfn.IFS(OR(ISBLANK(StartDateMonth),ISBLANK(StartDateYear)),"",AND(A486&gt;NumberOfPlots,ISBLANK(INDEX(PlotData,MATCH($A486,PlotNumber,0),MATCH(B$3,PlotTitles,0)))),"",ISBLANK(INDEX(PlotData,MATCH($A486,PlotNumber,0),MATCH(N$3,PlotTitles,0))),"",CompletionMonth="","",(DATEVALUE(INDEX(PlotData,MATCH($A486,PlotNumber,0),MATCH(N$3,PlotTitles,0))&amp;INDEX(PlotData,MATCH($A486,PlotNumber,0),MATCH(O$3,PlotTitles,0))))&gt;(DATEVALUE(CompletionMonth&amp;CompletionYear)),$AB$21,TRUE,"")</f>
        <v/>
      </c>
      <c r="S486" s="104" t="str" cm="1">
        <f t="array" ref="S486">_xlfn.IFS(AND(A486&gt;NumberOfPlots,ISBLANK(INDEX(PlotData,MATCH($A486,PlotNumber,0),MATCH(B$3,PlotTitles,0)))),"",OR(AND(INDEX(PlotData,MATCH($A486,PlotNumber,0),MATCH("Tenure",PlotTitles,0))="Open market housing",INDEX(PlotData,MATCH($A486,PlotNumber,0),MATCH("Tenure detail",PlotTitles,0))="Private rented sector"),INDEX(PlotData,MATCH($A486,PlotNumber,0),MATCH("Tenure",PlotTitles,0))="Affordable rent"),"",ISNUMBER(INDEX(PlotData,MATCH($A486,PlotNumber,0),MATCH(S$3,PlotTitles,0)))=FALSE, $AB$22,TRUE,"")</f>
        <v/>
      </c>
      <c r="T486" s="104" t="str" cm="1">
        <f t="array" ref="T486">_xlfn.IFS(AND(A486&gt;NumberOfPlots,ISBLANK(INDEX(PlotData,MATCH($A486,PlotNumber,0),MATCH(B$3,PlotTitles,0)))),"",OR(AND(INDEX(PlotData,MATCH($A486,PlotNumber,0),MATCH("Tenure",PlotTitles,0))="Open market housing",INDEX(PlotData,MATCH($A486,PlotNumber,0),MATCH("Tenure detail",PlotTitles,0))="Private rented sector"),INDEX(PlotData,MATCH($A486,PlotNumber,0),MATCH("Tenure",PlotTitles,0))="Affordable rent"),"",INDEX(PlotData,MATCH($A486,PlotNumber,0),MATCH(S$3,PlotTitles,0))&lt;10000, $AB$23,TRUE,"")</f>
        <v/>
      </c>
      <c r="U486" s="104" t="str" cm="1">
        <f t="array" ref="U486">_xlfn.IFS(AND(A486&gt;NumberOfPlots,ISBLANK(INDEX(PlotData,MATCH($A486,PlotNumber,0),MATCH(B$3,PlotTitles,0)))),"",NOT(OR(AND(INDEX(PlotData,MATCH($A486,PlotNumber,0),MATCH("Tenure",PlotTitles,0))="Open market housing",INDEX(PlotData,MATCH($A486,PlotNumber,0),MATCH("Tenure detail",PlotTitles,0))="Private rented sector"),INDEX(PlotData,MATCH($A486,PlotNumber,0),MATCH("Tenure",PlotTitles,0))="Affordable rent")),"",NOT(INDEX(PlotData,MATCH($A486,PlotNumber,0),MATCH(S$3,PlotTitles,0))=0), $AB$24,TRUE,"")</f>
        <v/>
      </c>
      <c r="V486" s="114" t="str" cm="1">
        <f t="array" aca="1" ref="V486" ca="1">_xlfn.IFS(ISBLANK(NumberOfPlots),"Enter the number of homes on the 1_SetUp sheet",AND(A486&gt;NumberOfPlots,ISBLANK(INDEX(PlotData,MATCH($A486,PlotNumber,0),MATCH(B$3,PlotTitles,0)))),"No error",NOT(B486=""),B486,NOT(C486=""),C486,NOT(D486=""),D486,NOT(E486=""),E486,NOT(F486=""),F486,NOT(G486=""),G486,NOT(H486=""),H486,NOT(I486=""),I486,NOT(J486=""),J486,NOT(K486=""),K486,NOT(L486=""),L486,NOT(M486=""),M486,NOT(N486=""),N486,NOT(O486=""),O486,NOT(P486=""),P486,NOT(Q486=""),Q486,NOT(R486=""),R486,NOT(S486=""),S486,NOT(T486=""),T486,NOT(U486=""),U486,TRUE,"No error")</f>
        <v>Enter the number of homes on the 1_SetUp sheet</v>
      </c>
      <c r="W486" s="114" t="str">
        <f t="shared" ca="1" si="23"/>
        <v xml:space="preserve">The Borrower has not addressed the following error messages for Home ID 482: </v>
      </c>
    </row>
    <row r="487" spans="1:23">
      <c r="A487" s="123">
        <v>483</v>
      </c>
      <c r="B487" s="104" t="str" cm="1">
        <f t="array" ref="B487">_xlfn.IFS(AND(A487&gt;NumberOfPlots,ISBLANK(INDEX(PlotData,MATCH($A487,PlotNumber,0),MATCH(B$3,PlotTitles,0)))),"",ISNUMBER(INDEX(PlotData,MATCH($A487,PlotNumber,0),MATCH(B$3,PlotTitles,0)))=FALSE, $AB$5,TRUE,"")</f>
        <v/>
      </c>
      <c r="C487" s="104" t="str" cm="1">
        <f t="array" ref="C487">_xlfn.IFS(AND(A487&gt;NumberOfPlots,ISBLANK(INDEX(PlotData,MATCH($A487,PlotNumber,0),MATCH(B$3,PlotTitles,0)))),"",ISBLANK(INDEX(PlotData,MATCH($A487,PlotNumber,0),MATCH(C$3,PlotTitles,0))),$AB$6,TRUE,"")</f>
        <v/>
      </c>
      <c r="D487" s="104" t="str" cm="1">
        <f t="array" ref="D487">_xlfn.IFS(AND(A487&gt;NumberOfPlots,ISBLANK(INDEX(PlotData,MATCH($A487,PlotNumber,0),MATCH(B$3,PlotTitles,0)))),"",ISBLANK(INDEX(PlotData,MATCH($A487,PlotNumber,0),MATCH(D$3,PlotTitles,0))),$AB$7,TRUE,"")</f>
        <v/>
      </c>
      <c r="E487" s="104" t="str" cm="1">
        <f t="array" ref="E487">_xlfn.IFS(AND(A487&gt;NumberOfPlots,ISBLANK(INDEX(PlotData,MATCH($A487,PlotNumber,0),MATCH(B$3,PlotTitles,0)))),"",ISBLANK(INDEX(PlotData,MATCH($A487,PlotNumber,0),MATCH(E$3,PlotTitles,0))),$AB$8,TRUE,"")</f>
        <v/>
      </c>
      <c r="F487" s="104" t="str" cm="1">
        <f t="array" ref="F487">_xlfn.IFS(AND(A487&gt;NumberOfPlots,ISBLANK(INDEX(PlotData,MATCH($A487,PlotNumber,0),MATCH(B$3,PlotTitles,0)))),"",ISBLANK(INDEX(PlotData,MATCH($A487,PlotNumber,0),MATCH(F$3,PlotTitles,0))),$AB$9,TRUE,"")</f>
        <v/>
      </c>
      <c r="G487" s="104" t="str" cm="1">
        <f t="array" ref="G487">_xlfn.IFS(AND(A487&gt;NumberOfPlots,ISBLANK(INDEX(PlotData,MATCH($A487,PlotNumber,0),MATCH(B$3,PlotTitles,0)))),"",ISBLANK(INDEX(PlotData,MATCH($A487,PlotNumber,0),MATCH(G$3,PlotTitles,0))),$AB$10,TRUE,"")</f>
        <v/>
      </c>
      <c r="H487" s="104" t="str" cm="1">
        <f t="array" ref="H487">_xlfn.IFS(AND(A487&gt;NumberOfPlots,ISBLANK(INDEX(PlotData,MATCH($A487,PlotNumber,0),MATCH(B$3,PlotTitles,0)))),"",AND(ISBLANK(INDEX(PlotData,MATCH($A487,PlotNumber,0),MATCH(H$3,PlotTitles,0)))=FALSE,INDEX(PlotData,MATCH($A487,PlotNumber,0),MATCH(H$3,PlotTitles,0))&lt;500), $AB$11,TRUE,"")</f>
        <v/>
      </c>
      <c r="I487" s="104" t="str" cm="1">
        <f t="array" ref="I487">_xlfn.IFS(AND(A487&gt;NumberOfPlots,ISBLANK(INDEX(PlotData,MATCH($A487,PlotNumber,0),MATCH(B$3,PlotTitles,0)))),"",ISBLANK(INDEX(PlotData,MATCH($A487,PlotNumber,0),MATCH(I$3,PlotTitles,0))),$AB$12,TRUE,"")</f>
        <v/>
      </c>
      <c r="J487" s="104" t="str" cm="1">
        <f t="array" ref="J487">_xlfn.IFS(AND(A487&gt;NumberOfPlots,ISBLANK(INDEX(PlotData,MATCH($A487,PlotNumber,0),MATCH(B$3,PlotTitles,0)))),"",ISBLANK(INDEX(PlotData,MATCH($A487,PlotNumber,0),MATCH(J$3,PlotTitles,0))),$AB$13,TRUE,"")</f>
        <v/>
      </c>
      <c r="K487" s="182" t="str">
        <f t="shared" ca="1" si="21"/>
        <v/>
      </c>
      <c r="L487" s="104" t="str" cm="1">
        <f t="array" ref="L487">_xlfn.IFS(OR(ISBLANK(StartDateMonth),ISBLANK(StartDateYear)),"",AND(A487&gt;NumberOfPlots,ISBLANK(INDEX(PlotData,MATCH($A487,PlotNumber,0),MATCH(B$3,PlotTitles,0)))),"",ISBLANK(INDEX(PlotData,MATCH($A487,PlotNumber,0),MATCH(I$3,PlotTitles,0))),"",(DATEVALUE(INDEX(PlotData,MATCH($A487,PlotNumber,0),MATCH(I$3,PlotTitles,0))&amp;INDEX(PlotData,MATCH($A487,PlotNumber,0),MATCH(J$3,PlotTitles,0))))&lt;DATEVALUE(StartDateMonth&amp;StartDateYear),$AB$15,TRUE,"")</f>
        <v/>
      </c>
      <c r="M487" s="104" t="str" cm="1">
        <f t="array" ref="M487">_xlfn.IFS(OR(ISBLANK(StartDateMonth),ISBLANK(StartDateYear)),"",AND(A487&gt;NumberOfPlots,ISBLANK(INDEX(PlotData,MATCH($A487,PlotNumber,0),MATCH(B$3,PlotTitles,0)))),"",ISBLANK(INDEX(PlotData,MATCH($A487,PlotNumber,0),MATCH(I$3,PlotTitles,0))),"",CompletionMonth="","",(DATEVALUE(INDEX(PlotData,MATCH($A487,PlotNumber,0),MATCH(I$3,PlotTitles,0))&amp;INDEX(PlotData,MATCH($A487,PlotNumber,0),MATCH(J$3,PlotTitles,0))))&gt;(DATEVALUE(CompletionMonth&amp;CompletionYear)),$AB$16,TRUE,"")</f>
        <v/>
      </c>
      <c r="N487" s="104" t="str" cm="1">
        <f t="array" ref="N487">_xlfn.IFS(AND(A487&gt;NumberOfPlots,ISBLANK(INDEX(PlotData,MATCH($A487,PlotNumber,0),MATCH(B$3,PlotTitles,0)))),"",ISBLANK(INDEX(PlotData,MATCH($A487,PlotNumber,0),MATCH(N$3,PlotTitles,0))),$AB$17,TRUE,"")</f>
        <v/>
      </c>
      <c r="O487" s="104" t="str" cm="1">
        <f t="array" ref="O487">_xlfn.IFS(AND(A487&gt;NumberOfPlots,ISBLANK(INDEX(PlotData,MATCH($A487,PlotNumber,0),MATCH(B$3,PlotTitles,0)))),"",ISBLANK(INDEX(PlotData,MATCH($A487,PlotNumber,0),MATCH(O$3,PlotTitles,0))),$AB$18,TRUE,"")</f>
        <v/>
      </c>
      <c r="P487" s="182" t="str">
        <f t="shared" ca="1" si="22"/>
        <v/>
      </c>
      <c r="Q487" s="104" t="str" cm="1">
        <f t="array" ref="Q487">_xlfn.IFS(AND(A487&gt;NumberOfPlots,ISBLANK(INDEX(PlotData,MATCH($A487,PlotNumber,0),MATCH(B$3,PlotTitles,0)))),"",ISBLANK(INDEX(PlotData,MATCH($A487,PlotNumber,0),MATCH(N$3,PlotTitles,0))),"",(DATEVALUE(INDEX(PlotData,MATCH($A487,PlotNumber,0),MATCH(N$3,PlotTitles,0))&amp;INDEX(PlotData,MATCH($A487,PlotNumber,0),MATCH(O$3,PlotTitles,0))))&lt;(DATEVALUE(INDEX(PlotData,MATCH($A487,PlotNumber,0),MATCH(I$3,PlotTitles,0))&amp;INDEX(PlotData,MATCH($A487,PlotNumber,0),MATCH(J$3,PlotTitles,0)))),$AB$20,TRUE,"")</f>
        <v/>
      </c>
      <c r="R487" s="104" t="str" cm="1">
        <f t="array" ref="R487">_xlfn.IFS(OR(ISBLANK(StartDateMonth),ISBLANK(StartDateYear)),"",AND(A487&gt;NumberOfPlots,ISBLANK(INDEX(PlotData,MATCH($A487,PlotNumber,0),MATCH(B$3,PlotTitles,0)))),"",ISBLANK(INDEX(PlotData,MATCH($A487,PlotNumber,0),MATCH(N$3,PlotTitles,0))),"",CompletionMonth="","",(DATEVALUE(INDEX(PlotData,MATCH($A487,PlotNumber,0),MATCH(N$3,PlotTitles,0))&amp;INDEX(PlotData,MATCH($A487,PlotNumber,0),MATCH(O$3,PlotTitles,0))))&gt;(DATEVALUE(CompletionMonth&amp;CompletionYear)),$AB$21,TRUE,"")</f>
        <v/>
      </c>
      <c r="S487" s="104" t="str" cm="1">
        <f t="array" ref="S487">_xlfn.IFS(AND(A487&gt;NumberOfPlots,ISBLANK(INDEX(PlotData,MATCH($A487,PlotNumber,0),MATCH(B$3,PlotTitles,0)))),"",OR(AND(INDEX(PlotData,MATCH($A487,PlotNumber,0),MATCH("Tenure",PlotTitles,0))="Open market housing",INDEX(PlotData,MATCH($A487,PlotNumber,0),MATCH("Tenure detail",PlotTitles,0))="Private rented sector"),INDEX(PlotData,MATCH($A487,PlotNumber,0),MATCH("Tenure",PlotTitles,0))="Affordable rent"),"",ISNUMBER(INDEX(PlotData,MATCH($A487,PlotNumber,0),MATCH(S$3,PlotTitles,0)))=FALSE, $AB$22,TRUE,"")</f>
        <v/>
      </c>
      <c r="T487" s="104" t="str" cm="1">
        <f t="array" ref="T487">_xlfn.IFS(AND(A487&gt;NumberOfPlots,ISBLANK(INDEX(PlotData,MATCH($A487,PlotNumber,0),MATCH(B$3,PlotTitles,0)))),"",OR(AND(INDEX(PlotData,MATCH($A487,PlotNumber,0),MATCH("Tenure",PlotTitles,0))="Open market housing",INDEX(PlotData,MATCH($A487,PlotNumber,0),MATCH("Tenure detail",PlotTitles,0))="Private rented sector"),INDEX(PlotData,MATCH($A487,PlotNumber,0),MATCH("Tenure",PlotTitles,0))="Affordable rent"),"",INDEX(PlotData,MATCH($A487,PlotNumber,0),MATCH(S$3,PlotTitles,0))&lt;10000, $AB$23,TRUE,"")</f>
        <v/>
      </c>
      <c r="U487" s="104" t="str" cm="1">
        <f t="array" ref="U487">_xlfn.IFS(AND(A487&gt;NumberOfPlots,ISBLANK(INDEX(PlotData,MATCH($A487,PlotNumber,0),MATCH(B$3,PlotTitles,0)))),"",NOT(OR(AND(INDEX(PlotData,MATCH($A487,PlotNumber,0),MATCH("Tenure",PlotTitles,0))="Open market housing",INDEX(PlotData,MATCH($A487,PlotNumber,0),MATCH("Tenure detail",PlotTitles,0))="Private rented sector"),INDEX(PlotData,MATCH($A487,PlotNumber,0),MATCH("Tenure",PlotTitles,0))="Affordable rent")),"",NOT(INDEX(PlotData,MATCH($A487,PlotNumber,0),MATCH(S$3,PlotTitles,0))=0), $AB$24,TRUE,"")</f>
        <v/>
      </c>
      <c r="V487" s="114" t="str" cm="1">
        <f t="array" aca="1" ref="V487" ca="1">_xlfn.IFS(ISBLANK(NumberOfPlots),"Enter the number of homes on the 1_SetUp sheet",AND(A487&gt;NumberOfPlots,ISBLANK(INDEX(PlotData,MATCH($A487,PlotNumber,0),MATCH(B$3,PlotTitles,0)))),"No error",NOT(B487=""),B487,NOT(C487=""),C487,NOT(D487=""),D487,NOT(E487=""),E487,NOT(F487=""),F487,NOT(G487=""),G487,NOT(H487=""),H487,NOT(I487=""),I487,NOT(J487=""),J487,NOT(K487=""),K487,NOT(L487=""),L487,NOT(M487=""),M487,NOT(N487=""),N487,NOT(O487=""),O487,NOT(P487=""),P487,NOT(Q487=""),Q487,NOT(R487=""),R487,NOT(S487=""),S487,NOT(T487=""),T487,NOT(U487=""),U487,TRUE,"No error")</f>
        <v>Enter the number of homes on the 1_SetUp sheet</v>
      </c>
      <c r="W487" s="114" t="str">
        <f t="shared" ca="1" si="23"/>
        <v xml:space="preserve">The Borrower has not addressed the following error messages for Home ID 483: </v>
      </c>
    </row>
    <row r="488" spans="1:23">
      <c r="A488" s="123">
        <v>484</v>
      </c>
      <c r="B488" s="104" t="str" cm="1">
        <f t="array" ref="B488">_xlfn.IFS(AND(A488&gt;NumberOfPlots,ISBLANK(INDEX(PlotData,MATCH($A488,PlotNumber,0),MATCH(B$3,PlotTitles,0)))),"",ISNUMBER(INDEX(PlotData,MATCH($A488,PlotNumber,0),MATCH(B$3,PlotTitles,0)))=FALSE, $AB$5,TRUE,"")</f>
        <v/>
      </c>
      <c r="C488" s="104" t="str" cm="1">
        <f t="array" ref="C488">_xlfn.IFS(AND(A488&gt;NumberOfPlots,ISBLANK(INDEX(PlotData,MATCH($A488,PlotNumber,0),MATCH(B$3,PlotTitles,0)))),"",ISBLANK(INDEX(PlotData,MATCH($A488,PlotNumber,0),MATCH(C$3,PlotTitles,0))),$AB$6,TRUE,"")</f>
        <v/>
      </c>
      <c r="D488" s="104" t="str" cm="1">
        <f t="array" ref="D488">_xlfn.IFS(AND(A488&gt;NumberOfPlots,ISBLANK(INDEX(PlotData,MATCH($A488,PlotNumber,0),MATCH(B$3,PlotTitles,0)))),"",ISBLANK(INDEX(PlotData,MATCH($A488,PlotNumber,0),MATCH(D$3,PlotTitles,0))),$AB$7,TRUE,"")</f>
        <v/>
      </c>
      <c r="E488" s="104" t="str" cm="1">
        <f t="array" ref="E488">_xlfn.IFS(AND(A488&gt;NumberOfPlots,ISBLANK(INDEX(PlotData,MATCH($A488,PlotNumber,0),MATCH(B$3,PlotTitles,0)))),"",ISBLANK(INDEX(PlotData,MATCH($A488,PlotNumber,0),MATCH(E$3,PlotTitles,0))),$AB$8,TRUE,"")</f>
        <v/>
      </c>
      <c r="F488" s="104" t="str" cm="1">
        <f t="array" ref="F488">_xlfn.IFS(AND(A488&gt;NumberOfPlots,ISBLANK(INDEX(PlotData,MATCH($A488,PlotNumber,0),MATCH(B$3,PlotTitles,0)))),"",ISBLANK(INDEX(PlotData,MATCH($A488,PlotNumber,0),MATCH(F$3,PlotTitles,0))),$AB$9,TRUE,"")</f>
        <v/>
      </c>
      <c r="G488" s="104" t="str" cm="1">
        <f t="array" ref="G488">_xlfn.IFS(AND(A488&gt;NumberOfPlots,ISBLANK(INDEX(PlotData,MATCH($A488,PlotNumber,0),MATCH(B$3,PlotTitles,0)))),"",ISBLANK(INDEX(PlotData,MATCH($A488,PlotNumber,0),MATCH(G$3,PlotTitles,0))),$AB$10,TRUE,"")</f>
        <v/>
      </c>
      <c r="H488" s="104" t="str" cm="1">
        <f t="array" ref="H488">_xlfn.IFS(AND(A488&gt;NumberOfPlots,ISBLANK(INDEX(PlotData,MATCH($A488,PlotNumber,0),MATCH(B$3,PlotTitles,0)))),"",AND(ISBLANK(INDEX(PlotData,MATCH($A488,PlotNumber,0),MATCH(H$3,PlotTitles,0)))=FALSE,INDEX(PlotData,MATCH($A488,PlotNumber,0),MATCH(H$3,PlotTitles,0))&lt;500), $AB$11,TRUE,"")</f>
        <v/>
      </c>
      <c r="I488" s="104" t="str" cm="1">
        <f t="array" ref="I488">_xlfn.IFS(AND(A488&gt;NumberOfPlots,ISBLANK(INDEX(PlotData,MATCH($A488,PlotNumber,0),MATCH(B$3,PlotTitles,0)))),"",ISBLANK(INDEX(PlotData,MATCH($A488,PlotNumber,0),MATCH(I$3,PlotTitles,0))),$AB$12,TRUE,"")</f>
        <v/>
      </c>
      <c r="J488" s="104" t="str" cm="1">
        <f t="array" ref="J488">_xlfn.IFS(AND(A488&gt;NumberOfPlots,ISBLANK(INDEX(PlotData,MATCH($A488,PlotNumber,0),MATCH(B$3,PlotTitles,0)))),"",ISBLANK(INDEX(PlotData,MATCH($A488,PlotNumber,0),MATCH(J$3,PlotTitles,0))),$AB$13,TRUE,"")</f>
        <v/>
      </c>
      <c r="K488" s="182" t="str">
        <f t="shared" ca="1" si="21"/>
        <v/>
      </c>
      <c r="L488" s="104" t="str" cm="1">
        <f t="array" ref="L488">_xlfn.IFS(OR(ISBLANK(StartDateMonth),ISBLANK(StartDateYear)),"",AND(A488&gt;NumberOfPlots,ISBLANK(INDEX(PlotData,MATCH($A488,PlotNumber,0),MATCH(B$3,PlotTitles,0)))),"",ISBLANK(INDEX(PlotData,MATCH($A488,PlotNumber,0),MATCH(I$3,PlotTitles,0))),"",(DATEVALUE(INDEX(PlotData,MATCH($A488,PlotNumber,0),MATCH(I$3,PlotTitles,0))&amp;INDEX(PlotData,MATCH($A488,PlotNumber,0),MATCH(J$3,PlotTitles,0))))&lt;DATEVALUE(StartDateMonth&amp;StartDateYear),$AB$15,TRUE,"")</f>
        <v/>
      </c>
      <c r="M488" s="104" t="str" cm="1">
        <f t="array" ref="M488">_xlfn.IFS(OR(ISBLANK(StartDateMonth),ISBLANK(StartDateYear)),"",AND(A488&gt;NumberOfPlots,ISBLANK(INDEX(PlotData,MATCH($A488,PlotNumber,0),MATCH(B$3,PlotTitles,0)))),"",ISBLANK(INDEX(PlotData,MATCH($A488,PlotNumber,0),MATCH(I$3,PlotTitles,0))),"",CompletionMonth="","",(DATEVALUE(INDEX(PlotData,MATCH($A488,PlotNumber,0),MATCH(I$3,PlotTitles,0))&amp;INDEX(PlotData,MATCH($A488,PlotNumber,0),MATCH(J$3,PlotTitles,0))))&gt;(DATEVALUE(CompletionMonth&amp;CompletionYear)),$AB$16,TRUE,"")</f>
        <v/>
      </c>
      <c r="N488" s="104" t="str" cm="1">
        <f t="array" ref="N488">_xlfn.IFS(AND(A488&gt;NumberOfPlots,ISBLANK(INDEX(PlotData,MATCH($A488,PlotNumber,0),MATCH(B$3,PlotTitles,0)))),"",ISBLANK(INDEX(PlotData,MATCH($A488,PlotNumber,0),MATCH(N$3,PlotTitles,0))),$AB$17,TRUE,"")</f>
        <v/>
      </c>
      <c r="O488" s="104" t="str" cm="1">
        <f t="array" ref="O488">_xlfn.IFS(AND(A488&gt;NumberOfPlots,ISBLANK(INDEX(PlotData,MATCH($A488,PlotNumber,0),MATCH(B$3,PlotTitles,0)))),"",ISBLANK(INDEX(PlotData,MATCH($A488,PlotNumber,0),MATCH(O$3,PlotTitles,0))),$AB$18,TRUE,"")</f>
        <v/>
      </c>
      <c r="P488" s="182" t="str">
        <f t="shared" ca="1" si="22"/>
        <v/>
      </c>
      <c r="Q488" s="104" t="str" cm="1">
        <f t="array" ref="Q488">_xlfn.IFS(AND(A488&gt;NumberOfPlots,ISBLANK(INDEX(PlotData,MATCH($A488,PlotNumber,0),MATCH(B$3,PlotTitles,0)))),"",ISBLANK(INDEX(PlotData,MATCH($A488,PlotNumber,0),MATCH(N$3,PlotTitles,0))),"",(DATEVALUE(INDEX(PlotData,MATCH($A488,PlotNumber,0),MATCH(N$3,PlotTitles,0))&amp;INDEX(PlotData,MATCH($A488,PlotNumber,0),MATCH(O$3,PlotTitles,0))))&lt;(DATEVALUE(INDEX(PlotData,MATCH($A488,PlotNumber,0),MATCH(I$3,PlotTitles,0))&amp;INDEX(PlotData,MATCH($A488,PlotNumber,0),MATCH(J$3,PlotTitles,0)))),$AB$20,TRUE,"")</f>
        <v/>
      </c>
      <c r="R488" s="104" t="str" cm="1">
        <f t="array" ref="R488">_xlfn.IFS(OR(ISBLANK(StartDateMonth),ISBLANK(StartDateYear)),"",AND(A488&gt;NumberOfPlots,ISBLANK(INDEX(PlotData,MATCH($A488,PlotNumber,0),MATCH(B$3,PlotTitles,0)))),"",ISBLANK(INDEX(PlotData,MATCH($A488,PlotNumber,0),MATCH(N$3,PlotTitles,0))),"",CompletionMonth="","",(DATEVALUE(INDEX(PlotData,MATCH($A488,PlotNumber,0),MATCH(N$3,PlotTitles,0))&amp;INDEX(PlotData,MATCH($A488,PlotNumber,0),MATCH(O$3,PlotTitles,0))))&gt;(DATEVALUE(CompletionMonth&amp;CompletionYear)),$AB$21,TRUE,"")</f>
        <v/>
      </c>
      <c r="S488" s="104" t="str" cm="1">
        <f t="array" ref="S488">_xlfn.IFS(AND(A488&gt;NumberOfPlots,ISBLANK(INDEX(PlotData,MATCH($A488,PlotNumber,0),MATCH(B$3,PlotTitles,0)))),"",OR(AND(INDEX(PlotData,MATCH($A488,PlotNumber,0),MATCH("Tenure",PlotTitles,0))="Open market housing",INDEX(PlotData,MATCH($A488,PlotNumber,0),MATCH("Tenure detail",PlotTitles,0))="Private rented sector"),INDEX(PlotData,MATCH($A488,PlotNumber,0),MATCH("Tenure",PlotTitles,0))="Affordable rent"),"",ISNUMBER(INDEX(PlotData,MATCH($A488,PlotNumber,0),MATCH(S$3,PlotTitles,0)))=FALSE, $AB$22,TRUE,"")</f>
        <v/>
      </c>
      <c r="T488" s="104" t="str" cm="1">
        <f t="array" ref="T488">_xlfn.IFS(AND(A488&gt;NumberOfPlots,ISBLANK(INDEX(PlotData,MATCH($A488,PlotNumber,0),MATCH(B$3,PlotTitles,0)))),"",OR(AND(INDEX(PlotData,MATCH($A488,PlotNumber,0),MATCH("Tenure",PlotTitles,0))="Open market housing",INDEX(PlotData,MATCH($A488,PlotNumber,0),MATCH("Tenure detail",PlotTitles,0))="Private rented sector"),INDEX(PlotData,MATCH($A488,PlotNumber,0),MATCH("Tenure",PlotTitles,0))="Affordable rent"),"",INDEX(PlotData,MATCH($A488,PlotNumber,0),MATCH(S$3,PlotTitles,0))&lt;10000, $AB$23,TRUE,"")</f>
        <v/>
      </c>
      <c r="U488" s="104" t="str" cm="1">
        <f t="array" ref="U488">_xlfn.IFS(AND(A488&gt;NumberOfPlots,ISBLANK(INDEX(PlotData,MATCH($A488,PlotNumber,0),MATCH(B$3,PlotTitles,0)))),"",NOT(OR(AND(INDEX(PlotData,MATCH($A488,PlotNumber,0),MATCH("Tenure",PlotTitles,0))="Open market housing",INDEX(PlotData,MATCH($A488,PlotNumber,0),MATCH("Tenure detail",PlotTitles,0))="Private rented sector"),INDEX(PlotData,MATCH($A488,PlotNumber,0),MATCH("Tenure",PlotTitles,0))="Affordable rent")),"",NOT(INDEX(PlotData,MATCH($A488,PlotNumber,0),MATCH(S$3,PlotTitles,0))=0), $AB$24,TRUE,"")</f>
        <v/>
      </c>
      <c r="V488" s="114" t="str" cm="1">
        <f t="array" aca="1" ref="V488" ca="1">_xlfn.IFS(ISBLANK(NumberOfPlots),"Enter the number of homes on the 1_SetUp sheet",AND(A488&gt;NumberOfPlots,ISBLANK(INDEX(PlotData,MATCH($A488,PlotNumber,0),MATCH(B$3,PlotTitles,0)))),"No error",NOT(B488=""),B488,NOT(C488=""),C488,NOT(D488=""),D488,NOT(E488=""),E488,NOT(F488=""),F488,NOT(G488=""),G488,NOT(H488=""),H488,NOT(I488=""),I488,NOT(J488=""),J488,NOT(K488=""),K488,NOT(L488=""),L488,NOT(M488=""),M488,NOT(N488=""),N488,NOT(O488=""),O488,NOT(P488=""),P488,NOT(Q488=""),Q488,NOT(R488=""),R488,NOT(S488=""),S488,NOT(T488=""),T488,NOT(U488=""),U488,TRUE,"No error")</f>
        <v>Enter the number of homes on the 1_SetUp sheet</v>
      </c>
      <c r="W488" s="114" t="str">
        <f t="shared" ca="1" si="23"/>
        <v xml:space="preserve">The Borrower has not addressed the following error messages for Home ID 484: </v>
      </c>
    </row>
    <row r="489" spans="1:23">
      <c r="A489" s="123">
        <v>485</v>
      </c>
      <c r="B489" s="104" t="str" cm="1">
        <f t="array" ref="B489">_xlfn.IFS(AND(A489&gt;NumberOfPlots,ISBLANK(INDEX(PlotData,MATCH($A489,PlotNumber,0),MATCH(B$3,PlotTitles,0)))),"",ISNUMBER(INDEX(PlotData,MATCH($A489,PlotNumber,0),MATCH(B$3,PlotTitles,0)))=FALSE, $AB$5,TRUE,"")</f>
        <v/>
      </c>
      <c r="C489" s="104" t="str" cm="1">
        <f t="array" ref="C489">_xlfn.IFS(AND(A489&gt;NumberOfPlots,ISBLANK(INDEX(PlotData,MATCH($A489,PlotNumber,0),MATCH(B$3,PlotTitles,0)))),"",ISBLANK(INDEX(PlotData,MATCH($A489,PlotNumber,0),MATCH(C$3,PlotTitles,0))),$AB$6,TRUE,"")</f>
        <v/>
      </c>
      <c r="D489" s="104" t="str" cm="1">
        <f t="array" ref="D489">_xlfn.IFS(AND(A489&gt;NumberOfPlots,ISBLANK(INDEX(PlotData,MATCH($A489,PlotNumber,0),MATCH(B$3,PlotTitles,0)))),"",ISBLANK(INDEX(PlotData,MATCH($A489,PlotNumber,0),MATCH(D$3,PlotTitles,0))),$AB$7,TRUE,"")</f>
        <v/>
      </c>
      <c r="E489" s="104" t="str" cm="1">
        <f t="array" ref="E489">_xlfn.IFS(AND(A489&gt;NumberOfPlots,ISBLANK(INDEX(PlotData,MATCH($A489,PlotNumber,0),MATCH(B$3,PlotTitles,0)))),"",ISBLANK(INDEX(PlotData,MATCH($A489,PlotNumber,0),MATCH(E$3,PlotTitles,0))),$AB$8,TRUE,"")</f>
        <v/>
      </c>
      <c r="F489" s="104" t="str" cm="1">
        <f t="array" ref="F489">_xlfn.IFS(AND(A489&gt;NumberOfPlots,ISBLANK(INDEX(PlotData,MATCH($A489,PlotNumber,0),MATCH(B$3,PlotTitles,0)))),"",ISBLANK(INDEX(PlotData,MATCH($A489,PlotNumber,0),MATCH(F$3,PlotTitles,0))),$AB$9,TRUE,"")</f>
        <v/>
      </c>
      <c r="G489" s="104" t="str" cm="1">
        <f t="array" ref="G489">_xlfn.IFS(AND(A489&gt;NumberOfPlots,ISBLANK(INDEX(PlotData,MATCH($A489,PlotNumber,0),MATCH(B$3,PlotTitles,0)))),"",ISBLANK(INDEX(PlotData,MATCH($A489,PlotNumber,0),MATCH(G$3,PlotTitles,0))),$AB$10,TRUE,"")</f>
        <v/>
      </c>
      <c r="H489" s="104" t="str" cm="1">
        <f t="array" ref="H489">_xlfn.IFS(AND(A489&gt;NumberOfPlots,ISBLANK(INDEX(PlotData,MATCH($A489,PlotNumber,0),MATCH(B$3,PlotTitles,0)))),"",AND(ISBLANK(INDEX(PlotData,MATCH($A489,PlotNumber,0),MATCH(H$3,PlotTitles,0)))=FALSE,INDEX(PlotData,MATCH($A489,PlotNumber,0),MATCH(H$3,PlotTitles,0))&lt;500), $AB$11,TRUE,"")</f>
        <v/>
      </c>
      <c r="I489" s="104" t="str" cm="1">
        <f t="array" ref="I489">_xlfn.IFS(AND(A489&gt;NumberOfPlots,ISBLANK(INDEX(PlotData,MATCH($A489,PlotNumber,0),MATCH(B$3,PlotTitles,0)))),"",ISBLANK(INDEX(PlotData,MATCH($A489,PlotNumber,0),MATCH(I$3,PlotTitles,0))),$AB$12,TRUE,"")</f>
        <v/>
      </c>
      <c r="J489" s="104" t="str" cm="1">
        <f t="array" ref="J489">_xlfn.IFS(AND(A489&gt;NumberOfPlots,ISBLANK(INDEX(PlotData,MATCH($A489,PlotNumber,0),MATCH(B$3,PlotTitles,0)))),"",ISBLANK(INDEX(PlotData,MATCH($A489,PlotNumber,0),MATCH(J$3,PlotTitles,0))),$AB$13,TRUE,"")</f>
        <v/>
      </c>
      <c r="K489" s="182" t="str">
        <f t="shared" ca="1" si="21"/>
        <v/>
      </c>
      <c r="L489" s="104" t="str" cm="1">
        <f t="array" ref="L489">_xlfn.IFS(OR(ISBLANK(StartDateMonth),ISBLANK(StartDateYear)),"",AND(A489&gt;NumberOfPlots,ISBLANK(INDEX(PlotData,MATCH($A489,PlotNumber,0),MATCH(B$3,PlotTitles,0)))),"",ISBLANK(INDEX(PlotData,MATCH($A489,PlotNumber,0),MATCH(I$3,PlotTitles,0))),"",(DATEVALUE(INDEX(PlotData,MATCH($A489,PlotNumber,0),MATCH(I$3,PlotTitles,0))&amp;INDEX(PlotData,MATCH($A489,PlotNumber,0),MATCH(J$3,PlotTitles,0))))&lt;DATEVALUE(StartDateMonth&amp;StartDateYear),$AB$15,TRUE,"")</f>
        <v/>
      </c>
      <c r="M489" s="104" t="str" cm="1">
        <f t="array" ref="M489">_xlfn.IFS(OR(ISBLANK(StartDateMonth),ISBLANK(StartDateYear)),"",AND(A489&gt;NumberOfPlots,ISBLANK(INDEX(PlotData,MATCH($A489,PlotNumber,0),MATCH(B$3,PlotTitles,0)))),"",ISBLANK(INDEX(PlotData,MATCH($A489,PlotNumber,0),MATCH(I$3,PlotTitles,0))),"",CompletionMonth="","",(DATEVALUE(INDEX(PlotData,MATCH($A489,PlotNumber,0),MATCH(I$3,PlotTitles,0))&amp;INDEX(PlotData,MATCH($A489,PlotNumber,0),MATCH(J$3,PlotTitles,0))))&gt;(DATEVALUE(CompletionMonth&amp;CompletionYear)),$AB$16,TRUE,"")</f>
        <v/>
      </c>
      <c r="N489" s="104" t="str" cm="1">
        <f t="array" ref="N489">_xlfn.IFS(AND(A489&gt;NumberOfPlots,ISBLANK(INDEX(PlotData,MATCH($A489,PlotNumber,0),MATCH(B$3,PlotTitles,0)))),"",ISBLANK(INDEX(PlotData,MATCH($A489,PlotNumber,0),MATCH(N$3,PlotTitles,0))),$AB$17,TRUE,"")</f>
        <v/>
      </c>
      <c r="O489" s="104" t="str" cm="1">
        <f t="array" ref="O489">_xlfn.IFS(AND(A489&gt;NumberOfPlots,ISBLANK(INDEX(PlotData,MATCH($A489,PlotNumber,0),MATCH(B$3,PlotTitles,0)))),"",ISBLANK(INDEX(PlotData,MATCH($A489,PlotNumber,0),MATCH(O$3,PlotTitles,0))),$AB$18,TRUE,"")</f>
        <v/>
      </c>
      <c r="P489" s="182" t="str">
        <f t="shared" ca="1" si="22"/>
        <v/>
      </c>
      <c r="Q489" s="104" t="str" cm="1">
        <f t="array" ref="Q489">_xlfn.IFS(AND(A489&gt;NumberOfPlots,ISBLANK(INDEX(PlotData,MATCH($A489,PlotNumber,0),MATCH(B$3,PlotTitles,0)))),"",ISBLANK(INDEX(PlotData,MATCH($A489,PlotNumber,0),MATCH(N$3,PlotTitles,0))),"",(DATEVALUE(INDEX(PlotData,MATCH($A489,PlotNumber,0),MATCH(N$3,PlotTitles,0))&amp;INDEX(PlotData,MATCH($A489,PlotNumber,0),MATCH(O$3,PlotTitles,0))))&lt;(DATEVALUE(INDEX(PlotData,MATCH($A489,PlotNumber,0),MATCH(I$3,PlotTitles,0))&amp;INDEX(PlotData,MATCH($A489,PlotNumber,0),MATCH(J$3,PlotTitles,0)))),$AB$20,TRUE,"")</f>
        <v/>
      </c>
      <c r="R489" s="104" t="str" cm="1">
        <f t="array" ref="R489">_xlfn.IFS(OR(ISBLANK(StartDateMonth),ISBLANK(StartDateYear)),"",AND(A489&gt;NumberOfPlots,ISBLANK(INDEX(PlotData,MATCH($A489,PlotNumber,0),MATCH(B$3,PlotTitles,0)))),"",ISBLANK(INDEX(PlotData,MATCH($A489,PlotNumber,0),MATCH(N$3,PlotTitles,0))),"",CompletionMonth="","",(DATEVALUE(INDEX(PlotData,MATCH($A489,PlotNumber,0),MATCH(N$3,PlotTitles,0))&amp;INDEX(PlotData,MATCH($A489,PlotNumber,0),MATCH(O$3,PlotTitles,0))))&gt;(DATEVALUE(CompletionMonth&amp;CompletionYear)),$AB$21,TRUE,"")</f>
        <v/>
      </c>
      <c r="S489" s="104" t="str" cm="1">
        <f t="array" ref="S489">_xlfn.IFS(AND(A489&gt;NumberOfPlots,ISBLANK(INDEX(PlotData,MATCH($A489,PlotNumber,0),MATCH(B$3,PlotTitles,0)))),"",OR(AND(INDEX(PlotData,MATCH($A489,PlotNumber,0),MATCH("Tenure",PlotTitles,0))="Open market housing",INDEX(PlotData,MATCH($A489,PlotNumber,0),MATCH("Tenure detail",PlotTitles,0))="Private rented sector"),INDEX(PlotData,MATCH($A489,PlotNumber,0),MATCH("Tenure",PlotTitles,0))="Affordable rent"),"",ISNUMBER(INDEX(PlotData,MATCH($A489,PlotNumber,0),MATCH(S$3,PlotTitles,0)))=FALSE, $AB$22,TRUE,"")</f>
        <v/>
      </c>
      <c r="T489" s="104" t="str" cm="1">
        <f t="array" ref="T489">_xlfn.IFS(AND(A489&gt;NumberOfPlots,ISBLANK(INDEX(PlotData,MATCH($A489,PlotNumber,0),MATCH(B$3,PlotTitles,0)))),"",OR(AND(INDEX(PlotData,MATCH($A489,PlotNumber,0),MATCH("Tenure",PlotTitles,0))="Open market housing",INDEX(PlotData,MATCH($A489,PlotNumber,0),MATCH("Tenure detail",PlotTitles,0))="Private rented sector"),INDEX(PlotData,MATCH($A489,PlotNumber,0),MATCH("Tenure",PlotTitles,0))="Affordable rent"),"",INDEX(PlotData,MATCH($A489,PlotNumber,0),MATCH(S$3,PlotTitles,0))&lt;10000, $AB$23,TRUE,"")</f>
        <v/>
      </c>
      <c r="U489" s="104" t="str" cm="1">
        <f t="array" ref="U489">_xlfn.IFS(AND(A489&gt;NumberOfPlots,ISBLANK(INDEX(PlotData,MATCH($A489,PlotNumber,0),MATCH(B$3,PlotTitles,0)))),"",NOT(OR(AND(INDEX(PlotData,MATCH($A489,PlotNumber,0),MATCH("Tenure",PlotTitles,0))="Open market housing",INDEX(PlotData,MATCH($A489,PlotNumber,0),MATCH("Tenure detail",PlotTitles,0))="Private rented sector"),INDEX(PlotData,MATCH($A489,PlotNumber,0),MATCH("Tenure",PlotTitles,0))="Affordable rent")),"",NOT(INDEX(PlotData,MATCH($A489,PlotNumber,0),MATCH(S$3,PlotTitles,0))=0), $AB$24,TRUE,"")</f>
        <v/>
      </c>
      <c r="V489" s="114" t="str" cm="1">
        <f t="array" aca="1" ref="V489" ca="1">_xlfn.IFS(ISBLANK(NumberOfPlots),"Enter the number of homes on the 1_SetUp sheet",AND(A489&gt;NumberOfPlots,ISBLANK(INDEX(PlotData,MATCH($A489,PlotNumber,0),MATCH(B$3,PlotTitles,0)))),"No error",NOT(B489=""),B489,NOT(C489=""),C489,NOT(D489=""),D489,NOT(E489=""),E489,NOT(F489=""),F489,NOT(G489=""),G489,NOT(H489=""),H489,NOT(I489=""),I489,NOT(J489=""),J489,NOT(K489=""),K489,NOT(L489=""),L489,NOT(M489=""),M489,NOT(N489=""),N489,NOT(O489=""),O489,NOT(P489=""),P489,NOT(Q489=""),Q489,NOT(R489=""),R489,NOT(S489=""),S489,NOT(T489=""),T489,NOT(U489=""),U489,TRUE,"No error")</f>
        <v>Enter the number of homes on the 1_SetUp sheet</v>
      </c>
      <c r="W489" s="114" t="str">
        <f t="shared" ca="1" si="23"/>
        <v xml:space="preserve">The Borrower has not addressed the following error messages for Home ID 485: </v>
      </c>
    </row>
    <row r="490" spans="1:23">
      <c r="A490" s="123">
        <v>486</v>
      </c>
      <c r="B490" s="104" t="str" cm="1">
        <f t="array" ref="B490">_xlfn.IFS(AND(A490&gt;NumberOfPlots,ISBLANK(INDEX(PlotData,MATCH($A490,PlotNumber,0),MATCH(B$3,PlotTitles,0)))),"",ISNUMBER(INDEX(PlotData,MATCH($A490,PlotNumber,0),MATCH(B$3,PlotTitles,0)))=FALSE, $AB$5,TRUE,"")</f>
        <v/>
      </c>
      <c r="C490" s="104" t="str" cm="1">
        <f t="array" ref="C490">_xlfn.IFS(AND(A490&gt;NumberOfPlots,ISBLANK(INDEX(PlotData,MATCH($A490,PlotNumber,0),MATCH(B$3,PlotTitles,0)))),"",ISBLANK(INDEX(PlotData,MATCH($A490,PlotNumber,0),MATCH(C$3,PlotTitles,0))),$AB$6,TRUE,"")</f>
        <v/>
      </c>
      <c r="D490" s="104" t="str" cm="1">
        <f t="array" ref="D490">_xlfn.IFS(AND(A490&gt;NumberOfPlots,ISBLANK(INDEX(PlotData,MATCH($A490,PlotNumber,0),MATCH(B$3,PlotTitles,0)))),"",ISBLANK(INDEX(PlotData,MATCH($A490,PlotNumber,0),MATCH(D$3,PlotTitles,0))),$AB$7,TRUE,"")</f>
        <v/>
      </c>
      <c r="E490" s="104" t="str" cm="1">
        <f t="array" ref="E490">_xlfn.IFS(AND(A490&gt;NumberOfPlots,ISBLANK(INDEX(PlotData,MATCH($A490,PlotNumber,0),MATCH(B$3,PlotTitles,0)))),"",ISBLANK(INDEX(PlotData,MATCH($A490,PlotNumber,0),MATCH(E$3,PlotTitles,0))),$AB$8,TRUE,"")</f>
        <v/>
      </c>
      <c r="F490" s="104" t="str" cm="1">
        <f t="array" ref="F490">_xlfn.IFS(AND(A490&gt;NumberOfPlots,ISBLANK(INDEX(PlotData,MATCH($A490,PlotNumber,0),MATCH(B$3,PlotTitles,0)))),"",ISBLANK(INDEX(PlotData,MATCH($A490,PlotNumber,0),MATCH(F$3,PlotTitles,0))),$AB$9,TRUE,"")</f>
        <v/>
      </c>
      <c r="G490" s="104" t="str" cm="1">
        <f t="array" ref="G490">_xlfn.IFS(AND(A490&gt;NumberOfPlots,ISBLANK(INDEX(PlotData,MATCH($A490,PlotNumber,0),MATCH(B$3,PlotTitles,0)))),"",ISBLANK(INDEX(PlotData,MATCH($A490,PlotNumber,0),MATCH(G$3,PlotTitles,0))),$AB$10,TRUE,"")</f>
        <v/>
      </c>
      <c r="H490" s="104" t="str" cm="1">
        <f t="array" ref="H490">_xlfn.IFS(AND(A490&gt;NumberOfPlots,ISBLANK(INDEX(PlotData,MATCH($A490,PlotNumber,0),MATCH(B$3,PlotTitles,0)))),"",AND(ISBLANK(INDEX(PlotData,MATCH($A490,PlotNumber,0),MATCH(H$3,PlotTitles,0)))=FALSE,INDEX(PlotData,MATCH($A490,PlotNumber,0),MATCH(H$3,PlotTitles,0))&lt;500), $AB$11,TRUE,"")</f>
        <v/>
      </c>
      <c r="I490" s="104" t="str" cm="1">
        <f t="array" ref="I490">_xlfn.IFS(AND(A490&gt;NumberOfPlots,ISBLANK(INDEX(PlotData,MATCH($A490,PlotNumber,0),MATCH(B$3,PlotTitles,0)))),"",ISBLANK(INDEX(PlotData,MATCH($A490,PlotNumber,0),MATCH(I$3,PlotTitles,0))),$AB$12,TRUE,"")</f>
        <v/>
      </c>
      <c r="J490" s="104" t="str" cm="1">
        <f t="array" ref="J490">_xlfn.IFS(AND(A490&gt;NumberOfPlots,ISBLANK(INDEX(PlotData,MATCH($A490,PlotNumber,0),MATCH(B$3,PlotTitles,0)))),"",ISBLANK(INDEX(PlotData,MATCH($A490,PlotNumber,0),MATCH(J$3,PlotTitles,0))),$AB$13,TRUE,"")</f>
        <v/>
      </c>
      <c r="K490" s="182" t="str">
        <f t="shared" ca="1" si="21"/>
        <v/>
      </c>
      <c r="L490" s="104" t="str" cm="1">
        <f t="array" ref="L490">_xlfn.IFS(OR(ISBLANK(StartDateMonth),ISBLANK(StartDateYear)),"",AND(A490&gt;NumberOfPlots,ISBLANK(INDEX(PlotData,MATCH($A490,PlotNumber,0),MATCH(B$3,PlotTitles,0)))),"",ISBLANK(INDEX(PlotData,MATCH($A490,PlotNumber,0),MATCH(I$3,PlotTitles,0))),"",(DATEVALUE(INDEX(PlotData,MATCH($A490,PlotNumber,0),MATCH(I$3,PlotTitles,0))&amp;INDEX(PlotData,MATCH($A490,PlotNumber,0),MATCH(J$3,PlotTitles,0))))&lt;DATEVALUE(StartDateMonth&amp;StartDateYear),$AB$15,TRUE,"")</f>
        <v/>
      </c>
      <c r="M490" s="104" t="str" cm="1">
        <f t="array" ref="M490">_xlfn.IFS(OR(ISBLANK(StartDateMonth),ISBLANK(StartDateYear)),"",AND(A490&gt;NumberOfPlots,ISBLANK(INDEX(PlotData,MATCH($A490,PlotNumber,0),MATCH(B$3,PlotTitles,0)))),"",ISBLANK(INDEX(PlotData,MATCH($A490,PlotNumber,0),MATCH(I$3,PlotTitles,0))),"",CompletionMonth="","",(DATEVALUE(INDEX(PlotData,MATCH($A490,PlotNumber,0),MATCH(I$3,PlotTitles,0))&amp;INDEX(PlotData,MATCH($A490,PlotNumber,0),MATCH(J$3,PlotTitles,0))))&gt;(DATEVALUE(CompletionMonth&amp;CompletionYear)),$AB$16,TRUE,"")</f>
        <v/>
      </c>
      <c r="N490" s="104" t="str" cm="1">
        <f t="array" ref="N490">_xlfn.IFS(AND(A490&gt;NumberOfPlots,ISBLANK(INDEX(PlotData,MATCH($A490,PlotNumber,0),MATCH(B$3,PlotTitles,0)))),"",ISBLANK(INDEX(PlotData,MATCH($A490,PlotNumber,0),MATCH(N$3,PlotTitles,0))),$AB$17,TRUE,"")</f>
        <v/>
      </c>
      <c r="O490" s="104" t="str" cm="1">
        <f t="array" ref="O490">_xlfn.IFS(AND(A490&gt;NumberOfPlots,ISBLANK(INDEX(PlotData,MATCH($A490,PlotNumber,0),MATCH(B$3,PlotTitles,0)))),"",ISBLANK(INDEX(PlotData,MATCH($A490,PlotNumber,0),MATCH(O$3,PlotTitles,0))),$AB$18,TRUE,"")</f>
        <v/>
      </c>
      <c r="P490" s="182" t="str">
        <f t="shared" ca="1" si="22"/>
        <v/>
      </c>
      <c r="Q490" s="104" t="str" cm="1">
        <f t="array" ref="Q490">_xlfn.IFS(AND(A490&gt;NumberOfPlots,ISBLANK(INDEX(PlotData,MATCH($A490,PlotNumber,0),MATCH(B$3,PlotTitles,0)))),"",ISBLANK(INDEX(PlotData,MATCH($A490,PlotNumber,0),MATCH(N$3,PlotTitles,0))),"",(DATEVALUE(INDEX(PlotData,MATCH($A490,PlotNumber,0),MATCH(N$3,PlotTitles,0))&amp;INDEX(PlotData,MATCH($A490,PlotNumber,0),MATCH(O$3,PlotTitles,0))))&lt;(DATEVALUE(INDEX(PlotData,MATCH($A490,PlotNumber,0),MATCH(I$3,PlotTitles,0))&amp;INDEX(PlotData,MATCH($A490,PlotNumber,0),MATCH(J$3,PlotTitles,0)))),$AB$20,TRUE,"")</f>
        <v/>
      </c>
      <c r="R490" s="104" t="str" cm="1">
        <f t="array" ref="R490">_xlfn.IFS(OR(ISBLANK(StartDateMonth),ISBLANK(StartDateYear)),"",AND(A490&gt;NumberOfPlots,ISBLANK(INDEX(PlotData,MATCH($A490,PlotNumber,0),MATCH(B$3,PlotTitles,0)))),"",ISBLANK(INDEX(PlotData,MATCH($A490,PlotNumber,0),MATCH(N$3,PlotTitles,0))),"",CompletionMonth="","",(DATEVALUE(INDEX(PlotData,MATCH($A490,PlotNumber,0),MATCH(N$3,PlotTitles,0))&amp;INDEX(PlotData,MATCH($A490,PlotNumber,0),MATCH(O$3,PlotTitles,0))))&gt;(DATEVALUE(CompletionMonth&amp;CompletionYear)),$AB$21,TRUE,"")</f>
        <v/>
      </c>
      <c r="S490" s="104" t="str" cm="1">
        <f t="array" ref="S490">_xlfn.IFS(AND(A490&gt;NumberOfPlots,ISBLANK(INDEX(PlotData,MATCH($A490,PlotNumber,0),MATCH(B$3,PlotTitles,0)))),"",OR(AND(INDEX(PlotData,MATCH($A490,PlotNumber,0),MATCH("Tenure",PlotTitles,0))="Open market housing",INDEX(PlotData,MATCH($A490,PlotNumber,0),MATCH("Tenure detail",PlotTitles,0))="Private rented sector"),INDEX(PlotData,MATCH($A490,PlotNumber,0),MATCH("Tenure",PlotTitles,0))="Affordable rent"),"",ISNUMBER(INDEX(PlotData,MATCH($A490,PlotNumber,0),MATCH(S$3,PlotTitles,0)))=FALSE, $AB$22,TRUE,"")</f>
        <v/>
      </c>
      <c r="T490" s="104" t="str" cm="1">
        <f t="array" ref="T490">_xlfn.IFS(AND(A490&gt;NumberOfPlots,ISBLANK(INDEX(PlotData,MATCH($A490,PlotNumber,0),MATCH(B$3,PlotTitles,0)))),"",OR(AND(INDEX(PlotData,MATCH($A490,PlotNumber,0),MATCH("Tenure",PlotTitles,0))="Open market housing",INDEX(PlotData,MATCH($A490,PlotNumber,0),MATCH("Tenure detail",PlotTitles,0))="Private rented sector"),INDEX(PlotData,MATCH($A490,PlotNumber,0),MATCH("Tenure",PlotTitles,0))="Affordable rent"),"",INDEX(PlotData,MATCH($A490,PlotNumber,0),MATCH(S$3,PlotTitles,0))&lt;10000, $AB$23,TRUE,"")</f>
        <v/>
      </c>
      <c r="U490" s="104" t="str" cm="1">
        <f t="array" ref="U490">_xlfn.IFS(AND(A490&gt;NumberOfPlots,ISBLANK(INDEX(PlotData,MATCH($A490,PlotNumber,0),MATCH(B$3,PlotTitles,0)))),"",NOT(OR(AND(INDEX(PlotData,MATCH($A490,PlotNumber,0),MATCH("Tenure",PlotTitles,0))="Open market housing",INDEX(PlotData,MATCH($A490,PlotNumber,0),MATCH("Tenure detail",PlotTitles,0))="Private rented sector"),INDEX(PlotData,MATCH($A490,PlotNumber,0),MATCH("Tenure",PlotTitles,0))="Affordable rent")),"",NOT(INDEX(PlotData,MATCH($A490,PlotNumber,0),MATCH(S$3,PlotTitles,0))=0), $AB$24,TRUE,"")</f>
        <v/>
      </c>
      <c r="V490" s="114" t="str" cm="1">
        <f t="array" aca="1" ref="V490" ca="1">_xlfn.IFS(ISBLANK(NumberOfPlots),"Enter the number of homes on the 1_SetUp sheet",AND(A490&gt;NumberOfPlots,ISBLANK(INDEX(PlotData,MATCH($A490,PlotNumber,0),MATCH(B$3,PlotTitles,0)))),"No error",NOT(B490=""),B490,NOT(C490=""),C490,NOT(D490=""),D490,NOT(E490=""),E490,NOT(F490=""),F490,NOT(G490=""),G490,NOT(H490=""),H490,NOT(I490=""),I490,NOT(J490=""),J490,NOT(K490=""),K490,NOT(L490=""),L490,NOT(M490=""),M490,NOT(N490=""),N490,NOT(O490=""),O490,NOT(P490=""),P490,NOT(Q490=""),Q490,NOT(R490=""),R490,NOT(S490=""),S490,NOT(T490=""),T490,NOT(U490=""),U490,TRUE,"No error")</f>
        <v>Enter the number of homes on the 1_SetUp sheet</v>
      </c>
      <c r="W490" s="114" t="str">
        <f t="shared" ca="1" si="23"/>
        <v xml:space="preserve">The Borrower has not addressed the following error messages for Home ID 486: </v>
      </c>
    </row>
    <row r="491" spans="1:23">
      <c r="A491" s="123">
        <v>487</v>
      </c>
      <c r="B491" s="104" t="str" cm="1">
        <f t="array" ref="B491">_xlfn.IFS(AND(A491&gt;NumberOfPlots,ISBLANK(INDEX(PlotData,MATCH($A491,PlotNumber,0),MATCH(B$3,PlotTitles,0)))),"",ISNUMBER(INDEX(PlotData,MATCH($A491,PlotNumber,0),MATCH(B$3,PlotTitles,0)))=FALSE, $AB$5,TRUE,"")</f>
        <v/>
      </c>
      <c r="C491" s="104" t="str" cm="1">
        <f t="array" ref="C491">_xlfn.IFS(AND(A491&gt;NumberOfPlots,ISBLANK(INDEX(PlotData,MATCH($A491,PlotNumber,0),MATCH(B$3,PlotTitles,0)))),"",ISBLANK(INDEX(PlotData,MATCH($A491,PlotNumber,0),MATCH(C$3,PlotTitles,0))),$AB$6,TRUE,"")</f>
        <v/>
      </c>
      <c r="D491" s="104" t="str" cm="1">
        <f t="array" ref="D491">_xlfn.IFS(AND(A491&gt;NumberOfPlots,ISBLANK(INDEX(PlotData,MATCH($A491,PlotNumber,0),MATCH(B$3,PlotTitles,0)))),"",ISBLANK(INDEX(PlotData,MATCH($A491,PlotNumber,0),MATCH(D$3,PlotTitles,0))),$AB$7,TRUE,"")</f>
        <v/>
      </c>
      <c r="E491" s="104" t="str" cm="1">
        <f t="array" ref="E491">_xlfn.IFS(AND(A491&gt;NumberOfPlots,ISBLANK(INDEX(PlotData,MATCH($A491,PlotNumber,0),MATCH(B$3,PlotTitles,0)))),"",ISBLANK(INDEX(PlotData,MATCH($A491,PlotNumber,0),MATCH(E$3,PlotTitles,0))),$AB$8,TRUE,"")</f>
        <v/>
      </c>
      <c r="F491" s="104" t="str" cm="1">
        <f t="array" ref="F491">_xlfn.IFS(AND(A491&gt;NumberOfPlots,ISBLANK(INDEX(PlotData,MATCH($A491,PlotNumber,0),MATCH(B$3,PlotTitles,0)))),"",ISBLANK(INDEX(PlotData,MATCH($A491,PlotNumber,0),MATCH(F$3,PlotTitles,0))),$AB$9,TRUE,"")</f>
        <v/>
      </c>
      <c r="G491" s="104" t="str" cm="1">
        <f t="array" ref="G491">_xlfn.IFS(AND(A491&gt;NumberOfPlots,ISBLANK(INDEX(PlotData,MATCH($A491,PlotNumber,0),MATCH(B$3,PlotTitles,0)))),"",ISBLANK(INDEX(PlotData,MATCH($A491,PlotNumber,0),MATCH(G$3,PlotTitles,0))),$AB$10,TRUE,"")</f>
        <v/>
      </c>
      <c r="H491" s="104" t="str" cm="1">
        <f t="array" ref="H491">_xlfn.IFS(AND(A491&gt;NumberOfPlots,ISBLANK(INDEX(PlotData,MATCH($A491,PlotNumber,0),MATCH(B$3,PlotTitles,0)))),"",AND(ISBLANK(INDEX(PlotData,MATCH($A491,PlotNumber,0),MATCH(H$3,PlotTitles,0)))=FALSE,INDEX(PlotData,MATCH($A491,PlotNumber,0),MATCH(H$3,PlotTitles,0))&lt;500), $AB$11,TRUE,"")</f>
        <v/>
      </c>
      <c r="I491" s="104" t="str" cm="1">
        <f t="array" ref="I491">_xlfn.IFS(AND(A491&gt;NumberOfPlots,ISBLANK(INDEX(PlotData,MATCH($A491,PlotNumber,0),MATCH(B$3,PlotTitles,0)))),"",ISBLANK(INDEX(PlotData,MATCH($A491,PlotNumber,0),MATCH(I$3,PlotTitles,0))),$AB$12,TRUE,"")</f>
        <v/>
      </c>
      <c r="J491" s="104" t="str" cm="1">
        <f t="array" ref="J491">_xlfn.IFS(AND(A491&gt;NumberOfPlots,ISBLANK(INDEX(PlotData,MATCH($A491,PlotNumber,0),MATCH(B$3,PlotTitles,0)))),"",ISBLANK(INDEX(PlotData,MATCH($A491,PlotNumber,0),MATCH(J$3,PlotTitles,0))),$AB$13,TRUE,"")</f>
        <v/>
      </c>
      <c r="K491" s="182" t="str">
        <f t="shared" ca="1" si="21"/>
        <v/>
      </c>
      <c r="L491" s="104" t="str" cm="1">
        <f t="array" ref="L491">_xlfn.IFS(OR(ISBLANK(StartDateMonth),ISBLANK(StartDateYear)),"",AND(A491&gt;NumberOfPlots,ISBLANK(INDEX(PlotData,MATCH($A491,PlotNumber,0),MATCH(B$3,PlotTitles,0)))),"",ISBLANK(INDEX(PlotData,MATCH($A491,PlotNumber,0),MATCH(I$3,PlotTitles,0))),"",(DATEVALUE(INDEX(PlotData,MATCH($A491,PlotNumber,0),MATCH(I$3,PlotTitles,0))&amp;INDEX(PlotData,MATCH($A491,PlotNumber,0),MATCH(J$3,PlotTitles,0))))&lt;DATEVALUE(StartDateMonth&amp;StartDateYear),$AB$15,TRUE,"")</f>
        <v/>
      </c>
      <c r="M491" s="104" t="str" cm="1">
        <f t="array" ref="M491">_xlfn.IFS(OR(ISBLANK(StartDateMonth),ISBLANK(StartDateYear)),"",AND(A491&gt;NumberOfPlots,ISBLANK(INDEX(PlotData,MATCH($A491,PlotNumber,0),MATCH(B$3,PlotTitles,0)))),"",ISBLANK(INDEX(PlotData,MATCH($A491,PlotNumber,0),MATCH(I$3,PlotTitles,0))),"",CompletionMonth="","",(DATEVALUE(INDEX(PlotData,MATCH($A491,PlotNumber,0),MATCH(I$3,PlotTitles,0))&amp;INDEX(PlotData,MATCH($A491,PlotNumber,0),MATCH(J$3,PlotTitles,0))))&gt;(DATEVALUE(CompletionMonth&amp;CompletionYear)),$AB$16,TRUE,"")</f>
        <v/>
      </c>
      <c r="N491" s="104" t="str" cm="1">
        <f t="array" ref="N491">_xlfn.IFS(AND(A491&gt;NumberOfPlots,ISBLANK(INDEX(PlotData,MATCH($A491,PlotNumber,0),MATCH(B$3,PlotTitles,0)))),"",ISBLANK(INDEX(PlotData,MATCH($A491,PlotNumber,0),MATCH(N$3,PlotTitles,0))),$AB$17,TRUE,"")</f>
        <v/>
      </c>
      <c r="O491" s="104" t="str" cm="1">
        <f t="array" ref="O491">_xlfn.IFS(AND(A491&gt;NumberOfPlots,ISBLANK(INDEX(PlotData,MATCH($A491,PlotNumber,0),MATCH(B$3,PlotTitles,0)))),"",ISBLANK(INDEX(PlotData,MATCH($A491,PlotNumber,0),MATCH(O$3,PlotTitles,0))),$AB$18,TRUE,"")</f>
        <v/>
      </c>
      <c r="P491" s="182" t="str">
        <f t="shared" ca="1" si="22"/>
        <v/>
      </c>
      <c r="Q491" s="104" t="str" cm="1">
        <f t="array" ref="Q491">_xlfn.IFS(AND(A491&gt;NumberOfPlots,ISBLANK(INDEX(PlotData,MATCH($A491,PlotNumber,0),MATCH(B$3,PlotTitles,0)))),"",ISBLANK(INDEX(PlotData,MATCH($A491,PlotNumber,0),MATCH(N$3,PlotTitles,0))),"",(DATEVALUE(INDEX(PlotData,MATCH($A491,PlotNumber,0),MATCH(N$3,PlotTitles,0))&amp;INDEX(PlotData,MATCH($A491,PlotNumber,0),MATCH(O$3,PlotTitles,0))))&lt;(DATEVALUE(INDEX(PlotData,MATCH($A491,PlotNumber,0),MATCH(I$3,PlotTitles,0))&amp;INDEX(PlotData,MATCH($A491,PlotNumber,0),MATCH(J$3,PlotTitles,0)))),$AB$20,TRUE,"")</f>
        <v/>
      </c>
      <c r="R491" s="104" t="str" cm="1">
        <f t="array" ref="R491">_xlfn.IFS(OR(ISBLANK(StartDateMonth),ISBLANK(StartDateYear)),"",AND(A491&gt;NumberOfPlots,ISBLANK(INDEX(PlotData,MATCH($A491,PlotNumber,0),MATCH(B$3,PlotTitles,0)))),"",ISBLANK(INDEX(PlotData,MATCH($A491,PlotNumber,0),MATCH(N$3,PlotTitles,0))),"",CompletionMonth="","",(DATEVALUE(INDEX(PlotData,MATCH($A491,PlotNumber,0),MATCH(N$3,PlotTitles,0))&amp;INDEX(PlotData,MATCH($A491,PlotNumber,0),MATCH(O$3,PlotTitles,0))))&gt;(DATEVALUE(CompletionMonth&amp;CompletionYear)),$AB$21,TRUE,"")</f>
        <v/>
      </c>
      <c r="S491" s="104" t="str" cm="1">
        <f t="array" ref="S491">_xlfn.IFS(AND(A491&gt;NumberOfPlots,ISBLANK(INDEX(PlotData,MATCH($A491,PlotNumber,0),MATCH(B$3,PlotTitles,0)))),"",OR(AND(INDEX(PlotData,MATCH($A491,PlotNumber,0),MATCH("Tenure",PlotTitles,0))="Open market housing",INDEX(PlotData,MATCH($A491,PlotNumber,0),MATCH("Tenure detail",PlotTitles,0))="Private rented sector"),INDEX(PlotData,MATCH($A491,PlotNumber,0),MATCH("Tenure",PlotTitles,0))="Affordable rent"),"",ISNUMBER(INDEX(PlotData,MATCH($A491,PlotNumber,0),MATCH(S$3,PlotTitles,0)))=FALSE, $AB$22,TRUE,"")</f>
        <v/>
      </c>
      <c r="T491" s="104" t="str" cm="1">
        <f t="array" ref="T491">_xlfn.IFS(AND(A491&gt;NumberOfPlots,ISBLANK(INDEX(PlotData,MATCH($A491,PlotNumber,0),MATCH(B$3,PlotTitles,0)))),"",OR(AND(INDEX(PlotData,MATCH($A491,PlotNumber,0),MATCH("Tenure",PlotTitles,0))="Open market housing",INDEX(PlotData,MATCH($A491,PlotNumber,0),MATCH("Tenure detail",PlotTitles,0))="Private rented sector"),INDEX(PlotData,MATCH($A491,PlotNumber,0),MATCH("Tenure",PlotTitles,0))="Affordable rent"),"",INDEX(PlotData,MATCH($A491,PlotNumber,0),MATCH(S$3,PlotTitles,0))&lt;10000, $AB$23,TRUE,"")</f>
        <v/>
      </c>
      <c r="U491" s="104" t="str" cm="1">
        <f t="array" ref="U491">_xlfn.IFS(AND(A491&gt;NumberOfPlots,ISBLANK(INDEX(PlotData,MATCH($A491,PlotNumber,0),MATCH(B$3,PlotTitles,0)))),"",NOT(OR(AND(INDEX(PlotData,MATCH($A491,PlotNumber,0),MATCH("Tenure",PlotTitles,0))="Open market housing",INDEX(PlotData,MATCH($A491,PlotNumber,0),MATCH("Tenure detail",PlotTitles,0))="Private rented sector"),INDEX(PlotData,MATCH($A491,PlotNumber,0),MATCH("Tenure",PlotTitles,0))="Affordable rent")),"",NOT(INDEX(PlotData,MATCH($A491,PlotNumber,0),MATCH(S$3,PlotTitles,0))=0), $AB$24,TRUE,"")</f>
        <v/>
      </c>
      <c r="V491" s="114" t="str" cm="1">
        <f t="array" aca="1" ref="V491" ca="1">_xlfn.IFS(ISBLANK(NumberOfPlots),"Enter the number of homes on the 1_SetUp sheet",AND(A491&gt;NumberOfPlots,ISBLANK(INDEX(PlotData,MATCH($A491,PlotNumber,0),MATCH(B$3,PlotTitles,0)))),"No error",NOT(B491=""),B491,NOT(C491=""),C491,NOT(D491=""),D491,NOT(E491=""),E491,NOT(F491=""),F491,NOT(G491=""),G491,NOT(H491=""),H491,NOT(I491=""),I491,NOT(J491=""),J491,NOT(K491=""),K491,NOT(L491=""),L491,NOT(M491=""),M491,NOT(N491=""),N491,NOT(O491=""),O491,NOT(P491=""),P491,NOT(Q491=""),Q491,NOT(R491=""),R491,NOT(S491=""),S491,NOT(T491=""),T491,NOT(U491=""),U491,TRUE,"No error")</f>
        <v>Enter the number of homes on the 1_SetUp sheet</v>
      </c>
      <c r="W491" s="114" t="str">
        <f t="shared" ca="1" si="23"/>
        <v xml:space="preserve">The Borrower has not addressed the following error messages for Home ID 487: </v>
      </c>
    </row>
    <row r="492" spans="1:23">
      <c r="A492" s="123">
        <v>488</v>
      </c>
      <c r="B492" s="104" t="str" cm="1">
        <f t="array" ref="B492">_xlfn.IFS(AND(A492&gt;NumberOfPlots,ISBLANK(INDEX(PlotData,MATCH($A492,PlotNumber,0),MATCH(B$3,PlotTitles,0)))),"",ISNUMBER(INDEX(PlotData,MATCH($A492,PlotNumber,0),MATCH(B$3,PlotTitles,0)))=FALSE, $AB$5,TRUE,"")</f>
        <v/>
      </c>
      <c r="C492" s="104" t="str" cm="1">
        <f t="array" ref="C492">_xlfn.IFS(AND(A492&gt;NumberOfPlots,ISBLANK(INDEX(PlotData,MATCH($A492,PlotNumber,0),MATCH(B$3,PlotTitles,0)))),"",ISBLANK(INDEX(PlotData,MATCH($A492,PlotNumber,0),MATCH(C$3,PlotTitles,0))),$AB$6,TRUE,"")</f>
        <v/>
      </c>
      <c r="D492" s="104" t="str" cm="1">
        <f t="array" ref="D492">_xlfn.IFS(AND(A492&gt;NumberOfPlots,ISBLANK(INDEX(PlotData,MATCH($A492,PlotNumber,0),MATCH(B$3,PlotTitles,0)))),"",ISBLANK(INDEX(PlotData,MATCH($A492,PlotNumber,0),MATCH(D$3,PlotTitles,0))),$AB$7,TRUE,"")</f>
        <v/>
      </c>
      <c r="E492" s="104" t="str" cm="1">
        <f t="array" ref="E492">_xlfn.IFS(AND(A492&gt;NumberOfPlots,ISBLANK(INDEX(PlotData,MATCH($A492,PlotNumber,0),MATCH(B$3,PlotTitles,0)))),"",ISBLANK(INDEX(PlotData,MATCH($A492,PlotNumber,0),MATCH(E$3,PlotTitles,0))),$AB$8,TRUE,"")</f>
        <v/>
      </c>
      <c r="F492" s="104" t="str" cm="1">
        <f t="array" ref="F492">_xlfn.IFS(AND(A492&gt;NumberOfPlots,ISBLANK(INDEX(PlotData,MATCH($A492,PlotNumber,0),MATCH(B$3,PlotTitles,0)))),"",ISBLANK(INDEX(PlotData,MATCH($A492,PlotNumber,0),MATCH(F$3,PlotTitles,0))),$AB$9,TRUE,"")</f>
        <v/>
      </c>
      <c r="G492" s="104" t="str" cm="1">
        <f t="array" ref="G492">_xlfn.IFS(AND(A492&gt;NumberOfPlots,ISBLANK(INDEX(PlotData,MATCH($A492,PlotNumber,0),MATCH(B$3,PlotTitles,0)))),"",ISBLANK(INDEX(PlotData,MATCH($A492,PlotNumber,0),MATCH(G$3,PlotTitles,0))),$AB$10,TRUE,"")</f>
        <v/>
      </c>
      <c r="H492" s="104" t="str" cm="1">
        <f t="array" ref="H492">_xlfn.IFS(AND(A492&gt;NumberOfPlots,ISBLANK(INDEX(PlotData,MATCH($A492,PlotNumber,0),MATCH(B$3,PlotTitles,0)))),"",AND(ISBLANK(INDEX(PlotData,MATCH($A492,PlotNumber,0),MATCH(H$3,PlotTitles,0)))=FALSE,INDEX(PlotData,MATCH($A492,PlotNumber,0),MATCH(H$3,PlotTitles,0))&lt;500), $AB$11,TRUE,"")</f>
        <v/>
      </c>
      <c r="I492" s="104" t="str" cm="1">
        <f t="array" ref="I492">_xlfn.IFS(AND(A492&gt;NumberOfPlots,ISBLANK(INDEX(PlotData,MATCH($A492,PlotNumber,0),MATCH(B$3,PlotTitles,0)))),"",ISBLANK(INDEX(PlotData,MATCH($A492,PlotNumber,0),MATCH(I$3,PlotTitles,0))),$AB$12,TRUE,"")</f>
        <v/>
      </c>
      <c r="J492" s="104" t="str" cm="1">
        <f t="array" ref="J492">_xlfn.IFS(AND(A492&gt;NumberOfPlots,ISBLANK(INDEX(PlotData,MATCH($A492,PlotNumber,0),MATCH(B$3,PlotTitles,0)))),"",ISBLANK(INDEX(PlotData,MATCH($A492,PlotNumber,0),MATCH(J$3,PlotTitles,0))),$AB$13,TRUE,"")</f>
        <v/>
      </c>
      <c r="K492" s="182" t="str">
        <f t="shared" ca="1" si="21"/>
        <v/>
      </c>
      <c r="L492" s="104" t="str" cm="1">
        <f t="array" ref="L492">_xlfn.IFS(OR(ISBLANK(StartDateMonth),ISBLANK(StartDateYear)),"",AND(A492&gt;NumberOfPlots,ISBLANK(INDEX(PlotData,MATCH($A492,PlotNumber,0),MATCH(B$3,PlotTitles,0)))),"",ISBLANK(INDEX(PlotData,MATCH($A492,PlotNumber,0),MATCH(I$3,PlotTitles,0))),"",(DATEVALUE(INDEX(PlotData,MATCH($A492,PlotNumber,0),MATCH(I$3,PlotTitles,0))&amp;INDEX(PlotData,MATCH($A492,PlotNumber,0),MATCH(J$3,PlotTitles,0))))&lt;DATEVALUE(StartDateMonth&amp;StartDateYear),$AB$15,TRUE,"")</f>
        <v/>
      </c>
      <c r="M492" s="104" t="str" cm="1">
        <f t="array" ref="M492">_xlfn.IFS(OR(ISBLANK(StartDateMonth),ISBLANK(StartDateYear)),"",AND(A492&gt;NumberOfPlots,ISBLANK(INDEX(PlotData,MATCH($A492,PlotNumber,0),MATCH(B$3,PlotTitles,0)))),"",ISBLANK(INDEX(PlotData,MATCH($A492,PlotNumber,0),MATCH(I$3,PlotTitles,0))),"",CompletionMonth="","",(DATEVALUE(INDEX(PlotData,MATCH($A492,PlotNumber,0),MATCH(I$3,PlotTitles,0))&amp;INDEX(PlotData,MATCH($A492,PlotNumber,0),MATCH(J$3,PlotTitles,0))))&gt;(DATEVALUE(CompletionMonth&amp;CompletionYear)),$AB$16,TRUE,"")</f>
        <v/>
      </c>
      <c r="N492" s="104" t="str" cm="1">
        <f t="array" ref="N492">_xlfn.IFS(AND(A492&gt;NumberOfPlots,ISBLANK(INDEX(PlotData,MATCH($A492,PlotNumber,0),MATCH(B$3,PlotTitles,0)))),"",ISBLANK(INDEX(PlotData,MATCH($A492,PlotNumber,0),MATCH(N$3,PlotTitles,0))),$AB$17,TRUE,"")</f>
        <v/>
      </c>
      <c r="O492" s="104" t="str" cm="1">
        <f t="array" ref="O492">_xlfn.IFS(AND(A492&gt;NumberOfPlots,ISBLANK(INDEX(PlotData,MATCH($A492,PlotNumber,0),MATCH(B$3,PlotTitles,0)))),"",ISBLANK(INDEX(PlotData,MATCH($A492,PlotNumber,0),MATCH(O$3,PlotTitles,0))),$AB$18,TRUE,"")</f>
        <v/>
      </c>
      <c r="P492" s="182" t="str">
        <f t="shared" ca="1" si="22"/>
        <v/>
      </c>
      <c r="Q492" s="104" t="str" cm="1">
        <f t="array" ref="Q492">_xlfn.IFS(AND(A492&gt;NumberOfPlots,ISBLANK(INDEX(PlotData,MATCH($A492,PlotNumber,0),MATCH(B$3,PlotTitles,0)))),"",ISBLANK(INDEX(PlotData,MATCH($A492,PlotNumber,0),MATCH(N$3,PlotTitles,0))),"",(DATEVALUE(INDEX(PlotData,MATCH($A492,PlotNumber,0),MATCH(N$3,PlotTitles,0))&amp;INDEX(PlotData,MATCH($A492,PlotNumber,0),MATCH(O$3,PlotTitles,0))))&lt;(DATEVALUE(INDEX(PlotData,MATCH($A492,PlotNumber,0),MATCH(I$3,PlotTitles,0))&amp;INDEX(PlotData,MATCH($A492,PlotNumber,0),MATCH(J$3,PlotTitles,0)))),$AB$20,TRUE,"")</f>
        <v/>
      </c>
      <c r="R492" s="104" t="str" cm="1">
        <f t="array" ref="R492">_xlfn.IFS(OR(ISBLANK(StartDateMonth),ISBLANK(StartDateYear)),"",AND(A492&gt;NumberOfPlots,ISBLANK(INDEX(PlotData,MATCH($A492,PlotNumber,0),MATCH(B$3,PlotTitles,0)))),"",ISBLANK(INDEX(PlotData,MATCH($A492,PlotNumber,0),MATCH(N$3,PlotTitles,0))),"",CompletionMonth="","",(DATEVALUE(INDEX(PlotData,MATCH($A492,PlotNumber,0),MATCH(N$3,PlotTitles,0))&amp;INDEX(PlotData,MATCH($A492,PlotNumber,0),MATCH(O$3,PlotTitles,0))))&gt;(DATEVALUE(CompletionMonth&amp;CompletionYear)),$AB$21,TRUE,"")</f>
        <v/>
      </c>
      <c r="S492" s="104" t="str" cm="1">
        <f t="array" ref="S492">_xlfn.IFS(AND(A492&gt;NumberOfPlots,ISBLANK(INDEX(PlotData,MATCH($A492,PlotNumber,0),MATCH(B$3,PlotTitles,0)))),"",OR(AND(INDEX(PlotData,MATCH($A492,PlotNumber,0),MATCH("Tenure",PlotTitles,0))="Open market housing",INDEX(PlotData,MATCH($A492,PlotNumber,0),MATCH("Tenure detail",PlotTitles,0))="Private rented sector"),INDEX(PlotData,MATCH($A492,PlotNumber,0),MATCH("Tenure",PlotTitles,0))="Affordable rent"),"",ISNUMBER(INDEX(PlotData,MATCH($A492,PlotNumber,0),MATCH(S$3,PlotTitles,0)))=FALSE, $AB$22,TRUE,"")</f>
        <v/>
      </c>
      <c r="T492" s="104" t="str" cm="1">
        <f t="array" ref="T492">_xlfn.IFS(AND(A492&gt;NumberOfPlots,ISBLANK(INDEX(PlotData,MATCH($A492,PlotNumber,0),MATCH(B$3,PlotTitles,0)))),"",OR(AND(INDEX(PlotData,MATCH($A492,PlotNumber,0),MATCH("Tenure",PlotTitles,0))="Open market housing",INDEX(PlotData,MATCH($A492,PlotNumber,0),MATCH("Tenure detail",PlotTitles,0))="Private rented sector"),INDEX(PlotData,MATCH($A492,PlotNumber,0),MATCH("Tenure",PlotTitles,0))="Affordable rent"),"",INDEX(PlotData,MATCH($A492,PlotNumber,0),MATCH(S$3,PlotTitles,0))&lt;10000, $AB$23,TRUE,"")</f>
        <v/>
      </c>
      <c r="U492" s="104" t="str" cm="1">
        <f t="array" ref="U492">_xlfn.IFS(AND(A492&gt;NumberOfPlots,ISBLANK(INDEX(PlotData,MATCH($A492,PlotNumber,0),MATCH(B$3,PlotTitles,0)))),"",NOT(OR(AND(INDEX(PlotData,MATCH($A492,PlotNumber,0),MATCH("Tenure",PlotTitles,0))="Open market housing",INDEX(PlotData,MATCH($A492,PlotNumber,0),MATCH("Tenure detail",PlotTitles,0))="Private rented sector"),INDEX(PlotData,MATCH($A492,PlotNumber,0),MATCH("Tenure",PlotTitles,0))="Affordable rent")),"",NOT(INDEX(PlotData,MATCH($A492,PlotNumber,0),MATCH(S$3,PlotTitles,0))=0), $AB$24,TRUE,"")</f>
        <v/>
      </c>
      <c r="V492" s="114" t="str" cm="1">
        <f t="array" aca="1" ref="V492" ca="1">_xlfn.IFS(ISBLANK(NumberOfPlots),"Enter the number of homes on the 1_SetUp sheet",AND(A492&gt;NumberOfPlots,ISBLANK(INDEX(PlotData,MATCH($A492,PlotNumber,0),MATCH(B$3,PlotTitles,0)))),"No error",NOT(B492=""),B492,NOT(C492=""),C492,NOT(D492=""),D492,NOT(E492=""),E492,NOT(F492=""),F492,NOT(G492=""),G492,NOT(H492=""),H492,NOT(I492=""),I492,NOT(J492=""),J492,NOT(K492=""),K492,NOT(L492=""),L492,NOT(M492=""),M492,NOT(N492=""),N492,NOT(O492=""),O492,NOT(P492=""),P492,NOT(Q492=""),Q492,NOT(R492=""),R492,NOT(S492=""),S492,NOT(T492=""),T492,NOT(U492=""),U492,TRUE,"No error")</f>
        <v>Enter the number of homes on the 1_SetUp sheet</v>
      </c>
      <c r="W492" s="114" t="str">
        <f t="shared" ca="1" si="23"/>
        <v xml:space="preserve">The Borrower has not addressed the following error messages for Home ID 488: </v>
      </c>
    </row>
    <row r="493" spans="1:23">
      <c r="A493" s="123">
        <v>489</v>
      </c>
      <c r="B493" s="104" t="str" cm="1">
        <f t="array" ref="B493">_xlfn.IFS(AND(A493&gt;NumberOfPlots,ISBLANK(INDEX(PlotData,MATCH($A493,PlotNumber,0),MATCH(B$3,PlotTitles,0)))),"",ISNUMBER(INDEX(PlotData,MATCH($A493,PlotNumber,0),MATCH(B$3,PlotTitles,0)))=FALSE, $AB$5,TRUE,"")</f>
        <v/>
      </c>
      <c r="C493" s="104" t="str" cm="1">
        <f t="array" ref="C493">_xlfn.IFS(AND(A493&gt;NumberOfPlots,ISBLANK(INDEX(PlotData,MATCH($A493,PlotNumber,0),MATCH(B$3,PlotTitles,0)))),"",ISBLANK(INDEX(PlotData,MATCH($A493,PlotNumber,0),MATCH(C$3,PlotTitles,0))),$AB$6,TRUE,"")</f>
        <v/>
      </c>
      <c r="D493" s="104" t="str" cm="1">
        <f t="array" ref="D493">_xlfn.IFS(AND(A493&gt;NumberOfPlots,ISBLANK(INDEX(PlotData,MATCH($A493,PlotNumber,0),MATCH(B$3,PlotTitles,0)))),"",ISBLANK(INDEX(PlotData,MATCH($A493,PlotNumber,0),MATCH(D$3,PlotTitles,0))),$AB$7,TRUE,"")</f>
        <v/>
      </c>
      <c r="E493" s="104" t="str" cm="1">
        <f t="array" ref="E493">_xlfn.IFS(AND(A493&gt;NumberOfPlots,ISBLANK(INDEX(PlotData,MATCH($A493,PlotNumber,0),MATCH(B$3,PlotTitles,0)))),"",ISBLANK(INDEX(PlotData,MATCH($A493,PlotNumber,0),MATCH(E$3,PlotTitles,0))),$AB$8,TRUE,"")</f>
        <v/>
      </c>
      <c r="F493" s="104" t="str" cm="1">
        <f t="array" ref="F493">_xlfn.IFS(AND(A493&gt;NumberOfPlots,ISBLANK(INDEX(PlotData,MATCH($A493,PlotNumber,0),MATCH(B$3,PlotTitles,0)))),"",ISBLANK(INDEX(PlotData,MATCH($A493,PlotNumber,0),MATCH(F$3,PlotTitles,0))),$AB$9,TRUE,"")</f>
        <v/>
      </c>
      <c r="G493" s="104" t="str" cm="1">
        <f t="array" ref="G493">_xlfn.IFS(AND(A493&gt;NumberOfPlots,ISBLANK(INDEX(PlotData,MATCH($A493,PlotNumber,0),MATCH(B$3,PlotTitles,0)))),"",ISBLANK(INDEX(PlotData,MATCH($A493,PlotNumber,0),MATCH(G$3,PlotTitles,0))),$AB$10,TRUE,"")</f>
        <v/>
      </c>
      <c r="H493" s="104" t="str" cm="1">
        <f t="array" ref="H493">_xlfn.IFS(AND(A493&gt;NumberOfPlots,ISBLANK(INDEX(PlotData,MATCH($A493,PlotNumber,0),MATCH(B$3,PlotTitles,0)))),"",AND(ISBLANK(INDEX(PlotData,MATCH($A493,PlotNumber,0),MATCH(H$3,PlotTitles,0)))=FALSE,INDEX(PlotData,MATCH($A493,PlotNumber,0),MATCH(H$3,PlotTitles,0))&lt;500), $AB$11,TRUE,"")</f>
        <v/>
      </c>
      <c r="I493" s="104" t="str" cm="1">
        <f t="array" ref="I493">_xlfn.IFS(AND(A493&gt;NumberOfPlots,ISBLANK(INDEX(PlotData,MATCH($A493,PlotNumber,0),MATCH(B$3,PlotTitles,0)))),"",ISBLANK(INDEX(PlotData,MATCH($A493,PlotNumber,0),MATCH(I$3,PlotTitles,0))),$AB$12,TRUE,"")</f>
        <v/>
      </c>
      <c r="J493" s="104" t="str" cm="1">
        <f t="array" ref="J493">_xlfn.IFS(AND(A493&gt;NumberOfPlots,ISBLANK(INDEX(PlotData,MATCH($A493,PlotNumber,0),MATCH(B$3,PlotTitles,0)))),"",ISBLANK(INDEX(PlotData,MATCH($A493,PlotNumber,0),MATCH(J$3,PlotTitles,0))),$AB$13,TRUE,"")</f>
        <v/>
      </c>
      <c r="K493" s="182" t="str">
        <f t="shared" ca="1" si="21"/>
        <v/>
      </c>
      <c r="L493" s="104" t="str" cm="1">
        <f t="array" ref="L493">_xlfn.IFS(OR(ISBLANK(StartDateMonth),ISBLANK(StartDateYear)),"",AND(A493&gt;NumberOfPlots,ISBLANK(INDEX(PlotData,MATCH($A493,PlotNumber,0),MATCH(B$3,PlotTitles,0)))),"",ISBLANK(INDEX(PlotData,MATCH($A493,PlotNumber,0),MATCH(I$3,PlotTitles,0))),"",(DATEVALUE(INDEX(PlotData,MATCH($A493,PlotNumber,0),MATCH(I$3,PlotTitles,0))&amp;INDEX(PlotData,MATCH($A493,PlotNumber,0),MATCH(J$3,PlotTitles,0))))&lt;DATEVALUE(StartDateMonth&amp;StartDateYear),$AB$15,TRUE,"")</f>
        <v/>
      </c>
      <c r="M493" s="104" t="str" cm="1">
        <f t="array" ref="M493">_xlfn.IFS(OR(ISBLANK(StartDateMonth),ISBLANK(StartDateYear)),"",AND(A493&gt;NumberOfPlots,ISBLANK(INDEX(PlotData,MATCH($A493,PlotNumber,0),MATCH(B$3,PlotTitles,0)))),"",ISBLANK(INDEX(PlotData,MATCH($A493,PlotNumber,0),MATCH(I$3,PlotTitles,0))),"",CompletionMonth="","",(DATEVALUE(INDEX(PlotData,MATCH($A493,PlotNumber,0),MATCH(I$3,PlotTitles,0))&amp;INDEX(PlotData,MATCH($A493,PlotNumber,0),MATCH(J$3,PlotTitles,0))))&gt;(DATEVALUE(CompletionMonth&amp;CompletionYear)),$AB$16,TRUE,"")</f>
        <v/>
      </c>
      <c r="N493" s="104" t="str" cm="1">
        <f t="array" ref="N493">_xlfn.IFS(AND(A493&gt;NumberOfPlots,ISBLANK(INDEX(PlotData,MATCH($A493,PlotNumber,0),MATCH(B$3,PlotTitles,0)))),"",ISBLANK(INDEX(PlotData,MATCH($A493,PlotNumber,0),MATCH(N$3,PlotTitles,0))),$AB$17,TRUE,"")</f>
        <v/>
      </c>
      <c r="O493" s="104" t="str" cm="1">
        <f t="array" ref="O493">_xlfn.IFS(AND(A493&gt;NumberOfPlots,ISBLANK(INDEX(PlotData,MATCH($A493,PlotNumber,0),MATCH(B$3,PlotTitles,0)))),"",ISBLANK(INDEX(PlotData,MATCH($A493,PlotNumber,0),MATCH(O$3,PlotTitles,0))),$AB$18,TRUE,"")</f>
        <v/>
      </c>
      <c r="P493" s="182" t="str">
        <f t="shared" ca="1" si="22"/>
        <v/>
      </c>
      <c r="Q493" s="104" t="str" cm="1">
        <f t="array" ref="Q493">_xlfn.IFS(AND(A493&gt;NumberOfPlots,ISBLANK(INDEX(PlotData,MATCH($A493,PlotNumber,0),MATCH(B$3,PlotTitles,0)))),"",ISBLANK(INDEX(PlotData,MATCH($A493,PlotNumber,0),MATCH(N$3,PlotTitles,0))),"",(DATEVALUE(INDEX(PlotData,MATCH($A493,PlotNumber,0),MATCH(N$3,PlotTitles,0))&amp;INDEX(PlotData,MATCH($A493,PlotNumber,0),MATCH(O$3,PlotTitles,0))))&lt;(DATEVALUE(INDEX(PlotData,MATCH($A493,PlotNumber,0),MATCH(I$3,PlotTitles,0))&amp;INDEX(PlotData,MATCH($A493,PlotNumber,0),MATCH(J$3,PlotTitles,0)))),$AB$20,TRUE,"")</f>
        <v/>
      </c>
      <c r="R493" s="104" t="str" cm="1">
        <f t="array" ref="R493">_xlfn.IFS(OR(ISBLANK(StartDateMonth),ISBLANK(StartDateYear)),"",AND(A493&gt;NumberOfPlots,ISBLANK(INDEX(PlotData,MATCH($A493,PlotNumber,0),MATCH(B$3,PlotTitles,0)))),"",ISBLANK(INDEX(PlotData,MATCH($A493,PlotNumber,0),MATCH(N$3,PlotTitles,0))),"",CompletionMonth="","",(DATEVALUE(INDEX(PlotData,MATCH($A493,PlotNumber,0),MATCH(N$3,PlotTitles,0))&amp;INDEX(PlotData,MATCH($A493,PlotNumber,0),MATCH(O$3,PlotTitles,0))))&gt;(DATEVALUE(CompletionMonth&amp;CompletionYear)),$AB$21,TRUE,"")</f>
        <v/>
      </c>
      <c r="S493" s="104" t="str" cm="1">
        <f t="array" ref="S493">_xlfn.IFS(AND(A493&gt;NumberOfPlots,ISBLANK(INDEX(PlotData,MATCH($A493,PlotNumber,0),MATCH(B$3,PlotTitles,0)))),"",OR(AND(INDEX(PlotData,MATCH($A493,PlotNumber,0),MATCH("Tenure",PlotTitles,0))="Open market housing",INDEX(PlotData,MATCH($A493,PlotNumber,0),MATCH("Tenure detail",PlotTitles,0))="Private rented sector"),INDEX(PlotData,MATCH($A493,PlotNumber,0),MATCH("Tenure",PlotTitles,0))="Affordable rent"),"",ISNUMBER(INDEX(PlotData,MATCH($A493,PlotNumber,0),MATCH(S$3,PlotTitles,0)))=FALSE, $AB$22,TRUE,"")</f>
        <v/>
      </c>
      <c r="T493" s="104" t="str" cm="1">
        <f t="array" ref="T493">_xlfn.IFS(AND(A493&gt;NumberOfPlots,ISBLANK(INDEX(PlotData,MATCH($A493,PlotNumber,0),MATCH(B$3,PlotTitles,0)))),"",OR(AND(INDEX(PlotData,MATCH($A493,PlotNumber,0),MATCH("Tenure",PlotTitles,0))="Open market housing",INDEX(PlotData,MATCH($A493,PlotNumber,0),MATCH("Tenure detail",PlotTitles,0))="Private rented sector"),INDEX(PlotData,MATCH($A493,PlotNumber,0),MATCH("Tenure",PlotTitles,0))="Affordable rent"),"",INDEX(PlotData,MATCH($A493,PlotNumber,0),MATCH(S$3,PlotTitles,0))&lt;10000, $AB$23,TRUE,"")</f>
        <v/>
      </c>
      <c r="U493" s="104" t="str" cm="1">
        <f t="array" ref="U493">_xlfn.IFS(AND(A493&gt;NumberOfPlots,ISBLANK(INDEX(PlotData,MATCH($A493,PlotNumber,0),MATCH(B$3,PlotTitles,0)))),"",NOT(OR(AND(INDEX(PlotData,MATCH($A493,PlotNumber,0),MATCH("Tenure",PlotTitles,0))="Open market housing",INDEX(PlotData,MATCH($A493,PlotNumber,0),MATCH("Tenure detail",PlotTitles,0))="Private rented sector"),INDEX(PlotData,MATCH($A493,PlotNumber,0),MATCH("Tenure",PlotTitles,0))="Affordable rent")),"",NOT(INDEX(PlotData,MATCH($A493,PlotNumber,0),MATCH(S$3,PlotTitles,0))=0), $AB$24,TRUE,"")</f>
        <v/>
      </c>
      <c r="V493" s="114" t="str" cm="1">
        <f t="array" aca="1" ref="V493" ca="1">_xlfn.IFS(ISBLANK(NumberOfPlots),"Enter the number of homes on the 1_SetUp sheet",AND(A493&gt;NumberOfPlots,ISBLANK(INDEX(PlotData,MATCH($A493,PlotNumber,0),MATCH(B$3,PlotTitles,0)))),"No error",NOT(B493=""),B493,NOT(C493=""),C493,NOT(D493=""),D493,NOT(E493=""),E493,NOT(F493=""),F493,NOT(G493=""),G493,NOT(H493=""),H493,NOT(I493=""),I493,NOT(J493=""),J493,NOT(K493=""),K493,NOT(L493=""),L493,NOT(M493=""),M493,NOT(N493=""),N493,NOT(O493=""),O493,NOT(P493=""),P493,NOT(Q493=""),Q493,NOT(R493=""),R493,NOT(S493=""),S493,NOT(T493=""),T493,NOT(U493=""),U493,TRUE,"No error")</f>
        <v>Enter the number of homes on the 1_SetUp sheet</v>
      </c>
      <c r="W493" s="114" t="str">
        <f t="shared" ca="1" si="23"/>
        <v xml:space="preserve">The Borrower has not addressed the following error messages for Home ID 489: </v>
      </c>
    </row>
    <row r="494" spans="1:23">
      <c r="A494" s="123">
        <v>490</v>
      </c>
      <c r="B494" s="104" t="str" cm="1">
        <f t="array" ref="B494">_xlfn.IFS(AND(A494&gt;NumberOfPlots,ISBLANK(INDEX(PlotData,MATCH($A494,PlotNumber,0),MATCH(B$3,PlotTitles,0)))),"",ISNUMBER(INDEX(PlotData,MATCH($A494,PlotNumber,0),MATCH(B$3,PlotTitles,0)))=FALSE, $AB$5,TRUE,"")</f>
        <v/>
      </c>
      <c r="C494" s="104" t="str" cm="1">
        <f t="array" ref="C494">_xlfn.IFS(AND(A494&gt;NumberOfPlots,ISBLANK(INDEX(PlotData,MATCH($A494,PlotNumber,0),MATCH(B$3,PlotTitles,0)))),"",ISBLANK(INDEX(PlotData,MATCH($A494,PlotNumber,0),MATCH(C$3,PlotTitles,0))),$AB$6,TRUE,"")</f>
        <v/>
      </c>
      <c r="D494" s="104" t="str" cm="1">
        <f t="array" ref="D494">_xlfn.IFS(AND(A494&gt;NumberOfPlots,ISBLANK(INDEX(PlotData,MATCH($A494,PlotNumber,0),MATCH(B$3,PlotTitles,0)))),"",ISBLANK(INDEX(PlotData,MATCH($A494,PlotNumber,0),MATCH(D$3,PlotTitles,0))),$AB$7,TRUE,"")</f>
        <v/>
      </c>
      <c r="E494" s="104" t="str" cm="1">
        <f t="array" ref="E494">_xlfn.IFS(AND(A494&gt;NumberOfPlots,ISBLANK(INDEX(PlotData,MATCH($A494,PlotNumber,0),MATCH(B$3,PlotTitles,0)))),"",ISBLANK(INDEX(PlotData,MATCH($A494,PlotNumber,0),MATCH(E$3,PlotTitles,0))),$AB$8,TRUE,"")</f>
        <v/>
      </c>
      <c r="F494" s="104" t="str" cm="1">
        <f t="array" ref="F494">_xlfn.IFS(AND(A494&gt;NumberOfPlots,ISBLANK(INDEX(PlotData,MATCH($A494,PlotNumber,0),MATCH(B$3,PlotTitles,0)))),"",ISBLANK(INDEX(PlotData,MATCH($A494,PlotNumber,0),MATCH(F$3,PlotTitles,0))),$AB$9,TRUE,"")</f>
        <v/>
      </c>
      <c r="G494" s="104" t="str" cm="1">
        <f t="array" ref="G494">_xlfn.IFS(AND(A494&gt;NumberOfPlots,ISBLANK(INDEX(PlotData,MATCH($A494,PlotNumber,0),MATCH(B$3,PlotTitles,0)))),"",ISBLANK(INDEX(PlotData,MATCH($A494,PlotNumber,0),MATCH(G$3,PlotTitles,0))),$AB$10,TRUE,"")</f>
        <v/>
      </c>
      <c r="H494" s="104" t="str" cm="1">
        <f t="array" ref="H494">_xlfn.IFS(AND(A494&gt;NumberOfPlots,ISBLANK(INDEX(PlotData,MATCH($A494,PlotNumber,0),MATCH(B$3,PlotTitles,0)))),"",AND(ISBLANK(INDEX(PlotData,MATCH($A494,PlotNumber,0),MATCH(H$3,PlotTitles,0)))=FALSE,INDEX(PlotData,MATCH($A494,PlotNumber,0),MATCH(H$3,PlotTitles,0))&lt;500), $AB$11,TRUE,"")</f>
        <v/>
      </c>
      <c r="I494" s="104" t="str" cm="1">
        <f t="array" ref="I494">_xlfn.IFS(AND(A494&gt;NumberOfPlots,ISBLANK(INDEX(PlotData,MATCH($A494,PlotNumber,0),MATCH(B$3,PlotTitles,0)))),"",ISBLANK(INDEX(PlotData,MATCH($A494,PlotNumber,0),MATCH(I$3,PlotTitles,0))),$AB$12,TRUE,"")</f>
        <v/>
      </c>
      <c r="J494" s="104" t="str" cm="1">
        <f t="array" ref="J494">_xlfn.IFS(AND(A494&gt;NumberOfPlots,ISBLANK(INDEX(PlotData,MATCH($A494,PlotNumber,0),MATCH(B$3,PlotTitles,0)))),"",ISBLANK(INDEX(PlotData,MATCH($A494,PlotNumber,0),MATCH(J$3,PlotTitles,0))),$AB$13,TRUE,"")</f>
        <v/>
      </c>
      <c r="K494" s="182" t="str">
        <f t="shared" ca="1" si="21"/>
        <v/>
      </c>
      <c r="L494" s="104" t="str" cm="1">
        <f t="array" ref="L494">_xlfn.IFS(OR(ISBLANK(StartDateMonth),ISBLANK(StartDateYear)),"",AND(A494&gt;NumberOfPlots,ISBLANK(INDEX(PlotData,MATCH($A494,PlotNumber,0),MATCH(B$3,PlotTitles,0)))),"",ISBLANK(INDEX(PlotData,MATCH($A494,PlotNumber,0),MATCH(I$3,PlotTitles,0))),"",(DATEVALUE(INDEX(PlotData,MATCH($A494,PlotNumber,0),MATCH(I$3,PlotTitles,0))&amp;INDEX(PlotData,MATCH($A494,PlotNumber,0),MATCH(J$3,PlotTitles,0))))&lt;DATEVALUE(StartDateMonth&amp;StartDateYear),$AB$15,TRUE,"")</f>
        <v/>
      </c>
      <c r="M494" s="104" t="str" cm="1">
        <f t="array" ref="M494">_xlfn.IFS(OR(ISBLANK(StartDateMonth),ISBLANK(StartDateYear)),"",AND(A494&gt;NumberOfPlots,ISBLANK(INDEX(PlotData,MATCH($A494,PlotNumber,0),MATCH(B$3,PlotTitles,0)))),"",ISBLANK(INDEX(PlotData,MATCH($A494,PlotNumber,0),MATCH(I$3,PlotTitles,0))),"",CompletionMonth="","",(DATEVALUE(INDEX(PlotData,MATCH($A494,PlotNumber,0),MATCH(I$3,PlotTitles,0))&amp;INDEX(PlotData,MATCH($A494,PlotNumber,0),MATCH(J$3,PlotTitles,0))))&gt;(DATEVALUE(CompletionMonth&amp;CompletionYear)),$AB$16,TRUE,"")</f>
        <v/>
      </c>
      <c r="N494" s="104" t="str" cm="1">
        <f t="array" ref="N494">_xlfn.IFS(AND(A494&gt;NumberOfPlots,ISBLANK(INDEX(PlotData,MATCH($A494,PlotNumber,0),MATCH(B$3,PlotTitles,0)))),"",ISBLANK(INDEX(PlotData,MATCH($A494,PlotNumber,0),MATCH(N$3,PlotTitles,0))),$AB$17,TRUE,"")</f>
        <v/>
      </c>
      <c r="O494" s="104" t="str" cm="1">
        <f t="array" ref="O494">_xlfn.IFS(AND(A494&gt;NumberOfPlots,ISBLANK(INDEX(PlotData,MATCH($A494,PlotNumber,0),MATCH(B$3,PlotTitles,0)))),"",ISBLANK(INDEX(PlotData,MATCH($A494,PlotNumber,0),MATCH(O$3,PlotTitles,0))),$AB$18,TRUE,"")</f>
        <v/>
      </c>
      <c r="P494" s="182" t="str">
        <f t="shared" ca="1" si="22"/>
        <v/>
      </c>
      <c r="Q494" s="104" t="str" cm="1">
        <f t="array" ref="Q494">_xlfn.IFS(AND(A494&gt;NumberOfPlots,ISBLANK(INDEX(PlotData,MATCH($A494,PlotNumber,0),MATCH(B$3,PlotTitles,0)))),"",ISBLANK(INDEX(PlotData,MATCH($A494,PlotNumber,0),MATCH(N$3,PlotTitles,0))),"",(DATEVALUE(INDEX(PlotData,MATCH($A494,PlotNumber,0),MATCH(N$3,PlotTitles,0))&amp;INDEX(PlotData,MATCH($A494,PlotNumber,0),MATCH(O$3,PlotTitles,0))))&lt;(DATEVALUE(INDEX(PlotData,MATCH($A494,PlotNumber,0),MATCH(I$3,PlotTitles,0))&amp;INDEX(PlotData,MATCH($A494,PlotNumber,0),MATCH(J$3,PlotTitles,0)))),$AB$20,TRUE,"")</f>
        <v/>
      </c>
      <c r="R494" s="104" t="str" cm="1">
        <f t="array" ref="R494">_xlfn.IFS(OR(ISBLANK(StartDateMonth),ISBLANK(StartDateYear)),"",AND(A494&gt;NumberOfPlots,ISBLANK(INDEX(PlotData,MATCH($A494,PlotNumber,0),MATCH(B$3,PlotTitles,0)))),"",ISBLANK(INDEX(PlotData,MATCH($A494,PlotNumber,0),MATCH(N$3,PlotTitles,0))),"",CompletionMonth="","",(DATEVALUE(INDEX(PlotData,MATCH($A494,PlotNumber,0),MATCH(N$3,PlotTitles,0))&amp;INDEX(PlotData,MATCH($A494,PlotNumber,0),MATCH(O$3,PlotTitles,0))))&gt;(DATEVALUE(CompletionMonth&amp;CompletionYear)),$AB$21,TRUE,"")</f>
        <v/>
      </c>
      <c r="S494" s="104" t="str" cm="1">
        <f t="array" ref="S494">_xlfn.IFS(AND(A494&gt;NumberOfPlots,ISBLANK(INDEX(PlotData,MATCH($A494,PlotNumber,0),MATCH(B$3,PlotTitles,0)))),"",OR(AND(INDEX(PlotData,MATCH($A494,PlotNumber,0),MATCH("Tenure",PlotTitles,0))="Open market housing",INDEX(PlotData,MATCH($A494,PlotNumber,0),MATCH("Tenure detail",PlotTitles,0))="Private rented sector"),INDEX(PlotData,MATCH($A494,PlotNumber,0),MATCH("Tenure",PlotTitles,0))="Affordable rent"),"",ISNUMBER(INDEX(PlotData,MATCH($A494,PlotNumber,0),MATCH(S$3,PlotTitles,0)))=FALSE, $AB$22,TRUE,"")</f>
        <v/>
      </c>
      <c r="T494" s="104" t="str" cm="1">
        <f t="array" ref="T494">_xlfn.IFS(AND(A494&gt;NumberOfPlots,ISBLANK(INDEX(PlotData,MATCH($A494,PlotNumber,0),MATCH(B$3,PlotTitles,0)))),"",OR(AND(INDEX(PlotData,MATCH($A494,PlotNumber,0),MATCH("Tenure",PlotTitles,0))="Open market housing",INDEX(PlotData,MATCH($A494,PlotNumber,0),MATCH("Tenure detail",PlotTitles,0))="Private rented sector"),INDEX(PlotData,MATCH($A494,PlotNumber,0),MATCH("Tenure",PlotTitles,0))="Affordable rent"),"",INDEX(PlotData,MATCH($A494,PlotNumber,0),MATCH(S$3,PlotTitles,0))&lt;10000, $AB$23,TRUE,"")</f>
        <v/>
      </c>
      <c r="U494" s="104" t="str" cm="1">
        <f t="array" ref="U494">_xlfn.IFS(AND(A494&gt;NumberOfPlots,ISBLANK(INDEX(PlotData,MATCH($A494,PlotNumber,0),MATCH(B$3,PlotTitles,0)))),"",NOT(OR(AND(INDEX(PlotData,MATCH($A494,PlotNumber,0),MATCH("Tenure",PlotTitles,0))="Open market housing",INDEX(PlotData,MATCH($A494,PlotNumber,0),MATCH("Tenure detail",PlotTitles,0))="Private rented sector"),INDEX(PlotData,MATCH($A494,PlotNumber,0),MATCH("Tenure",PlotTitles,0))="Affordable rent")),"",NOT(INDEX(PlotData,MATCH($A494,PlotNumber,0),MATCH(S$3,PlotTitles,0))=0), $AB$24,TRUE,"")</f>
        <v/>
      </c>
      <c r="V494" s="114" t="str" cm="1">
        <f t="array" aca="1" ref="V494" ca="1">_xlfn.IFS(ISBLANK(NumberOfPlots),"Enter the number of homes on the 1_SetUp sheet",AND(A494&gt;NumberOfPlots,ISBLANK(INDEX(PlotData,MATCH($A494,PlotNumber,0),MATCH(B$3,PlotTitles,0)))),"No error",NOT(B494=""),B494,NOT(C494=""),C494,NOT(D494=""),D494,NOT(E494=""),E494,NOT(F494=""),F494,NOT(G494=""),G494,NOT(H494=""),H494,NOT(I494=""),I494,NOT(J494=""),J494,NOT(K494=""),K494,NOT(L494=""),L494,NOT(M494=""),M494,NOT(N494=""),N494,NOT(O494=""),O494,NOT(P494=""),P494,NOT(Q494=""),Q494,NOT(R494=""),R494,NOT(S494=""),S494,NOT(T494=""),T494,NOT(U494=""),U494,TRUE,"No error")</f>
        <v>Enter the number of homes on the 1_SetUp sheet</v>
      </c>
      <c r="W494" s="114" t="str">
        <f t="shared" ca="1" si="23"/>
        <v xml:space="preserve">The Borrower has not addressed the following error messages for Home ID 490: </v>
      </c>
    </row>
    <row r="495" spans="1:23">
      <c r="A495" s="123">
        <v>491</v>
      </c>
      <c r="B495" s="104" t="str" cm="1">
        <f t="array" ref="B495">_xlfn.IFS(AND(A495&gt;NumberOfPlots,ISBLANK(INDEX(PlotData,MATCH($A495,PlotNumber,0),MATCH(B$3,PlotTitles,0)))),"",ISNUMBER(INDEX(PlotData,MATCH($A495,PlotNumber,0),MATCH(B$3,PlotTitles,0)))=FALSE, $AB$5,TRUE,"")</f>
        <v/>
      </c>
      <c r="C495" s="104" t="str" cm="1">
        <f t="array" ref="C495">_xlfn.IFS(AND(A495&gt;NumberOfPlots,ISBLANK(INDEX(PlotData,MATCH($A495,PlotNumber,0),MATCH(B$3,PlotTitles,0)))),"",ISBLANK(INDEX(PlotData,MATCH($A495,PlotNumber,0),MATCH(C$3,PlotTitles,0))),$AB$6,TRUE,"")</f>
        <v/>
      </c>
      <c r="D495" s="104" t="str" cm="1">
        <f t="array" ref="D495">_xlfn.IFS(AND(A495&gt;NumberOfPlots,ISBLANK(INDEX(PlotData,MATCH($A495,PlotNumber,0),MATCH(B$3,PlotTitles,0)))),"",ISBLANK(INDEX(PlotData,MATCH($A495,PlotNumber,0),MATCH(D$3,PlotTitles,0))),$AB$7,TRUE,"")</f>
        <v/>
      </c>
      <c r="E495" s="104" t="str" cm="1">
        <f t="array" ref="E495">_xlfn.IFS(AND(A495&gt;NumberOfPlots,ISBLANK(INDEX(PlotData,MATCH($A495,PlotNumber,0),MATCH(B$3,PlotTitles,0)))),"",ISBLANK(INDEX(PlotData,MATCH($A495,PlotNumber,0),MATCH(E$3,PlotTitles,0))),$AB$8,TRUE,"")</f>
        <v/>
      </c>
      <c r="F495" s="104" t="str" cm="1">
        <f t="array" ref="F495">_xlfn.IFS(AND(A495&gt;NumberOfPlots,ISBLANK(INDEX(PlotData,MATCH($A495,PlotNumber,0),MATCH(B$3,PlotTitles,0)))),"",ISBLANK(INDEX(PlotData,MATCH($A495,PlotNumber,0),MATCH(F$3,PlotTitles,0))),$AB$9,TRUE,"")</f>
        <v/>
      </c>
      <c r="G495" s="104" t="str" cm="1">
        <f t="array" ref="G495">_xlfn.IFS(AND(A495&gt;NumberOfPlots,ISBLANK(INDEX(PlotData,MATCH($A495,PlotNumber,0),MATCH(B$3,PlotTitles,0)))),"",ISBLANK(INDEX(PlotData,MATCH($A495,PlotNumber,0),MATCH(G$3,PlotTitles,0))),$AB$10,TRUE,"")</f>
        <v/>
      </c>
      <c r="H495" s="104" t="str" cm="1">
        <f t="array" ref="H495">_xlfn.IFS(AND(A495&gt;NumberOfPlots,ISBLANK(INDEX(PlotData,MATCH($A495,PlotNumber,0),MATCH(B$3,PlotTitles,0)))),"",AND(ISBLANK(INDEX(PlotData,MATCH($A495,PlotNumber,0),MATCH(H$3,PlotTitles,0)))=FALSE,INDEX(PlotData,MATCH($A495,PlotNumber,0),MATCH(H$3,PlotTitles,0))&lt;500), $AB$11,TRUE,"")</f>
        <v/>
      </c>
      <c r="I495" s="104" t="str" cm="1">
        <f t="array" ref="I495">_xlfn.IFS(AND(A495&gt;NumberOfPlots,ISBLANK(INDEX(PlotData,MATCH($A495,PlotNumber,0),MATCH(B$3,PlotTitles,0)))),"",ISBLANK(INDEX(PlotData,MATCH($A495,PlotNumber,0),MATCH(I$3,PlotTitles,0))),$AB$12,TRUE,"")</f>
        <v/>
      </c>
      <c r="J495" s="104" t="str" cm="1">
        <f t="array" ref="J495">_xlfn.IFS(AND(A495&gt;NumberOfPlots,ISBLANK(INDEX(PlotData,MATCH($A495,PlotNumber,0),MATCH(B$3,PlotTitles,0)))),"",ISBLANK(INDEX(PlotData,MATCH($A495,PlotNumber,0),MATCH(J$3,PlotTitles,0))),$AB$13,TRUE,"")</f>
        <v/>
      </c>
      <c r="K495" s="182" t="str">
        <f t="shared" ca="1" si="21"/>
        <v/>
      </c>
      <c r="L495" s="104" t="str" cm="1">
        <f t="array" ref="L495">_xlfn.IFS(OR(ISBLANK(StartDateMonth),ISBLANK(StartDateYear)),"",AND(A495&gt;NumberOfPlots,ISBLANK(INDEX(PlotData,MATCH($A495,PlotNumber,0),MATCH(B$3,PlotTitles,0)))),"",ISBLANK(INDEX(PlotData,MATCH($A495,PlotNumber,0),MATCH(I$3,PlotTitles,0))),"",(DATEVALUE(INDEX(PlotData,MATCH($A495,PlotNumber,0),MATCH(I$3,PlotTitles,0))&amp;INDEX(PlotData,MATCH($A495,PlotNumber,0),MATCH(J$3,PlotTitles,0))))&lt;DATEVALUE(StartDateMonth&amp;StartDateYear),$AB$15,TRUE,"")</f>
        <v/>
      </c>
      <c r="M495" s="104" t="str" cm="1">
        <f t="array" ref="M495">_xlfn.IFS(OR(ISBLANK(StartDateMonth),ISBLANK(StartDateYear)),"",AND(A495&gt;NumberOfPlots,ISBLANK(INDEX(PlotData,MATCH($A495,PlotNumber,0),MATCH(B$3,PlotTitles,0)))),"",ISBLANK(INDEX(PlotData,MATCH($A495,PlotNumber,0),MATCH(I$3,PlotTitles,0))),"",CompletionMonth="","",(DATEVALUE(INDEX(PlotData,MATCH($A495,PlotNumber,0),MATCH(I$3,PlotTitles,0))&amp;INDEX(PlotData,MATCH($A495,PlotNumber,0),MATCH(J$3,PlotTitles,0))))&gt;(DATEVALUE(CompletionMonth&amp;CompletionYear)),$AB$16,TRUE,"")</f>
        <v/>
      </c>
      <c r="N495" s="104" t="str" cm="1">
        <f t="array" ref="N495">_xlfn.IFS(AND(A495&gt;NumberOfPlots,ISBLANK(INDEX(PlotData,MATCH($A495,PlotNumber,0),MATCH(B$3,PlotTitles,0)))),"",ISBLANK(INDEX(PlotData,MATCH($A495,PlotNumber,0),MATCH(N$3,PlotTitles,0))),$AB$17,TRUE,"")</f>
        <v/>
      </c>
      <c r="O495" s="104" t="str" cm="1">
        <f t="array" ref="O495">_xlfn.IFS(AND(A495&gt;NumberOfPlots,ISBLANK(INDEX(PlotData,MATCH($A495,PlotNumber,0),MATCH(B$3,PlotTitles,0)))),"",ISBLANK(INDEX(PlotData,MATCH($A495,PlotNumber,0),MATCH(O$3,PlotTitles,0))),$AB$18,TRUE,"")</f>
        <v/>
      </c>
      <c r="P495" s="182" t="str">
        <f t="shared" ca="1" si="22"/>
        <v/>
      </c>
      <c r="Q495" s="104" t="str" cm="1">
        <f t="array" ref="Q495">_xlfn.IFS(AND(A495&gt;NumberOfPlots,ISBLANK(INDEX(PlotData,MATCH($A495,PlotNumber,0),MATCH(B$3,PlotTitles,0)))),"",ISBLANK(INDEX(PlotData,MATCH($A495,PlotNumber,0),MATCH(N$3,PlotTitles,0))),"",(DATEVALUE(INDEX(PlotData,MATCH($A495,PlotNumber,0),MATCH(N$3,PlotTitles,0))&amp;INDEX(PlotData,MATCH($A495,PlotNumber,0),MATCH(O$3,PlotTitles,0))))&lt;(DATEVALUE(INDEX(PlotData,MATCH($A495,PlotNumber,0),MATCH(I$3,PlotTitles,0))&amp;INDEX(PlotData,MATCH($A495,PlotNumber,0),MATCH(J$3,PlotTitles,0)))),$AB$20,TRUE,"")</f>
        <v/>
      </c>
      <c r="R495" s="104" t="str" cm="1">
        <f t="array" ref="R495">_xlfn.IFS(OR(ISBLANK(StartDateMonth),ISBLANK(StartDateYear)),"",AND(A495&gt;NumberOfPlots,ISBLANK(INDEX(PlotData,MATCH($A495,PlotNumber,0),MATCH(B$3,PlotTitles,0)))),"",ISBLANK(INDEX(PlotData,MATCH($A495,PlotNumber,0),MATCH(N$3,PlotTitles,0))),"",CompletionMonth="","",(DATEVALUE(INDEX(PlotData,MATCH($A495,PlotNumber,0),MATCH(N$3,PlotTitles,0))&amp;INDEX(PlotData,MATCH($A495,PlotNumber,0),MATCH(O$3,PlotTitles,0))))&gt;(DATEVALUE(CompletionMonth&amp;CompletionYear)),$AB$21,TRUE,"")</f>
        <v/>
      </c>
      <c r="S495" s="104" t="str" cm="1">
        <f t="array" ref="S495">_xlfn.IFS(AND(A495&gt;NumberOfPlots,ISBLANK(INDEX(PlotData,MATCH($A495,PlotNumber,0),MATCH(B$3,PlotTitles,0)))),"",OR(AND(INDEX(PlotData,MATCH($A495,PlotNumber,0),MATCH("Tenure",PlotTitles,0))="Open market housing",INDEX(PlotData,MATCH($A495,PlotNumber,0),MATCH("Tenure detail",PlotTitles,0))="Private rented sector"),INDEX(PlotData,MATCH($A495,PlotNumber,0),MATCH("Tenure",PlotTitles,0))="Affordable rent"),"",ISNUMBER(INDEX(PlotData,MATCH($A495,PlotNumber,0),MATCH(S$3,PlotTitles,0)))=FALSE, $AB$22,TRUE,"")</f>
        <v/>
      </c>
      <c r="T495" s="104" t="str" cm="1">
        <f t="array" ref="T495">_xlfn.IFS(AND(A495&gt;NumberOfPlots,ISBLANK(INDEX(PlotData,MATCH($A495,PlotNumber,0),MATCH(B$3,PlotTitles,0)))),"",OR(AND(INDEX(PlotData,MATCH($A495,PlotNumber,0),MATCH("Tenure",PlotTitles,0))="Open market housing",INDEX(PlotData,MATCH($A495,PlotNumber,0),MATCH("Tenure detail",PlotTitles,0))="Private rented sector"),INDEX(PlotData,MATCH($A495,PlotNumber,0),MATCH("Tenure",PlotTitles,0))="Affordable rent"),"",INDEX(PlotData,MATCH($A495,PlotNumber,0),MATCH(S$3,PlotTitles,0))&lt;10000, $AB$23,TRUE,"")</f>
        <v/>
      </c>
      <c r="U495" s="104" t="str" cm="1">
        <f t="array" ref="U495">_xlfn.IFS(AND(A495&gt;NumberOfPlots,ISBLANK(INDEX(PlotData,MATCH($A495,PlotNumber,0),MATCH(B$3,PlotTitles,0)))),"",NOT(OR(AND(INDEX(PlotData,MATCH($A495,PlotNumber,0),MATCH("Tenure",PlotTitles,0))="Open market housing",INDEX(PlotData,MATCH($A495,PlotNumber,0),MATCH("Tenure detail",PlotTitles,0))="Private rented sector"),INDEX(PlotData,MATCH($A495,PlotNumber,0),MATCH("Tenure",PlotTitles,0))="Affordable rent")),"",NOT(INDEX(PlotData,MATCH($A495,PlotNumber,0),MATCH(S$3,PlotTitles,0))=0), $AB$24,TRUE,"")</f>
        <v/>
      </c>
      <c r="V495" s="114" t="str" cm="1">
        <f t="array" aca="1" ref="V495" ca="1">_xlfn.IFS(ISBLANK(NumberOfPlots),"Enter the number of homes on the 1_SetUp sheet",AND(A495&gt;NumberOfPlots,ISBLANK(INDEX(PlotData,MATCH($A495,PlotNumber,0),MATCH(B$3,PlotTitles,0)))),"No error",NOT(B495=""),B495,NOT(C495=""),C495,NOT(D495=""),D495,NOT(E495=""),E495,NOT(F495=""),F495,NOT(G495=""),G495,NOT(H495=""),H495,NOT(I495=""),I495,NOT(J495=""),J495,NOT(K495=""),K495,NOT(L495=""),L495,NOT(M495=""),M495,NOT(N495=""),N495,NOT(O495=""),O495,NOT(P495=""),P495,NOT(Q495=""),Q495,NOT(R495=""),R495,NOT(S495=""),S495,NOT(T495=""),T495,NOT(U495=""),U495,TRUE,"No error")</f>
        <v>Enter the number of homes on the 1_SetUp sheet</v>
      </c>
      <c r="W495" s="114" t="str">
        <f t="shared" ca="1" si="23"/>
        <v xml:space="preserve">The Borrower has not addressed the following error messages for Home ID 491: </v>
      </c>
    </row>
    <row r="496" spans="1:23">
      <c r="A496" s="123">
        <v>492</v>
      </c>
      <c r="B496" s="104" t="str" cm="1">
        <f t="array" ref="B496">_xlfn.IFS(AND(A496&gt;NumberOfPlots,ISBLANK(INDEX(PlotData,MATCH($A496,PlotNumber,0),MATCH(B$3,PlotTitles,0)))),"",ISNUMBER(INDEX(PlotData,MATCH($A496,PlotNumber,0),MATCH(B$3,PlotTitles,0)))=FALSE, $AB$5,TRUE,"")</f>
        <v/>
      </c>
      <c r="C496" s="104" t="str" cm="1">
        <f t="array" ref="C496">_xlfn.IFS(AND(A496&gt;NumberOfPlots,ISBLANK(INDEX(PlotData,MATCH($A496,PlotNumber,0),MATCH(B$3,PlotTitles,0)))),"",ISBLANK(INDEX(PlotData,MATCH($A496,PlotNumber,0),MATCH(C$3,PlotTitles,0))),$AB$6,TRUE,"")</f>
        <v/>
      </c>
      <c r="D496" s="104" t="str" cm="1">
        <f t="array" ref="D496">_xlfn.IFS(AND(A496&gt;NumberOfPlots,ISBLANK(INDEX(PlotData,MATCH($A496,PlotNumber,0),MATCH(B$3,PlotTitles,0)))),"",ISBLANK(INDEX(PlotData,MATCH($A496,PlotNumber,0),MATCH(D$3,PlotTitles,0))),$AB$7,TRUE,"")</f>
        <v/>
      </c>
      <c r="E496" s="104" t="str" cm="1">
        <f t="array" ref="E496">_xlfn.IFS(AND(A496&gt;NumberOfPlots,ISBLANK(INDEX(PlotData,MATCH($A496,PlotNumber,0),MATCH(B$3,PlotTitles,0)))),"",ISBLANK(INDEX(PlotData,MATCH($A496,PlotNumber,0),MATCH(E$3,PlotTitles,0))),$AB$8,TRUE,"")</f>
        <v/>
      </c>
      <c r="F496" s="104" t="str" cm="1">
        <f t="array" ref="F496">_xlfn.IFS(AND(A496&gt;NumberOfPlots,ISBLANK(INDEX(PlotData,MATCH($A496,PlotNumber,0),MATCH(B$3,PlotTitles,0)))),"",ISBLANK(INDEX(PlotData,MATCH($A496,PlotNumber,0),MATCH(F$3,PlotTitles,0))),$AB$9,TRUE,"")</f>
        <v/>
      </c>
      <c r="G496" s="104" t="str" cm="1">
        <f t="array" ref="G496">_xlfn.IFS(AND(A496&gt;NumberOfPlots,ISBLANK(INDEX(PlotData,MATCH($A496,PlotNumber,0),MATCH(B$3,PlotTitles,0)))),"",ISBLANK(INDEX(PlotData,MATCH($A496,PlotNumber,0),MATCH(G$3,PlotTitles,0))),$AB$10,TRUE,"")</f>
        <v/>
      </c>
      <c r="H496" s="104" t="str" cm="1">
        <f t="array" ref="H496">_xlfn.IFS(AND(A496&gt;NumberOfPlots,ISBLANK(INDEX(PlotData,MATCH($A496,PlotNumber,0),MATCH(B$3,PlotTitles,0)))),"",AND(ISBLANK(INDEX(PlotData,MATCH($A496,PlotNumber,0),MATCH(H$3,PlotTitles,0)))=FALSE,INDEX(PlotData,MATCH($A496,PlotNumber,0),MATCH(H$3,PlotTitles,0))&lt;500), $AB$11,TRUE,"")</f>
        <v/>
      </c>
      <c r="I496" s="104" t="str" cm="1">
        <f t="array" ref="I496">_xlfn.IFS(AND(A496&gt;NumberOfPlots,ISBLANK(INDEX(PlotData,MATCH($A496,PlotNumber,0),MATCH(B$3,PlotTitles,0)))),"",ISBLANK(INDEX(PlotData,MATCH($A496,PlotNumber,0),MATCH(I$3,PlotTitles,0))),$AB$12,TRUE,"")</f>
        <v/>
      </c>
      <c r="J496" s="104" t="str" cm="1">
        <f t="array" ref="J496">_xlfn.IFS(AND(A496&gt;NumberOfPlots,ISBLANK(INDEX(PlotData,MATCH($A496,PlotNumber,0),MATCH(B$3,PlotTitles,0)))),"",ISBLANK(INDEX(PlotData,MATCH($A496,PlotNumber,0),MATCH(J$3,PlotTitles,0))),$AB$13,TRUE,"")</f>
        <v/>
      </c>
      <c r="K496" s="182" t="str">
        <f t="shared" ca="1" si="21"/>
        <v/>
      </c>
      <c r="L496" s="104" t="str" cm="1">
        <f t="array" ref="L496">_xlfn.IFS(OR(ISBLANK(StartDateMonth),ISBLANK(StartDateYear)),"",AND(A496&gt;NumberOfPlots,ISBLANK(INDEX(PlotData,MATCH($A496,PlotNumber,0),MATCH(B$3,PlotTitles,0)))),"",ISBLANK(INDEX(PlotData,MATCH($A496,PlotNumber,0),MATCH(I$3,PlotTitles,0))),"",(DATEVALUE(INDEX(PlotData,MATCH($A496,PlotNumber,0),MATCH(I$3,PlotTitles,0))&amp;INDEX(PlotData,MATCH($A496,PlotNumber,0),MATCH(J$3,PlotTitles,0))))&lt;DATEVALUE(StartDateMonth&amp;StartDateYear),$AB$15,TRUE,"")</f>
        <v/>
      </c>
      <c r="M496" s="104" t="str" cm="1">
        <f t="array" ref="M496">_xlfn.IFS(OR(ISBLANK(StartDateMonth),ISBLANK(StartDateYear)),"",AND(A496&gt;NumberOfPlots,ISBLANK(INDEX(PlotData,MATCH($A496,PlotNumber,0),MATCH(B$3,PlotTitles,0)))),"",ISBLANK(INDEX(PlotData,MATCH($A496,PlotNumber,0),MATCH(I$3,PlotTitles,0))),"",CompletionMonth="","",(DATEVALUE(INDEX(PlotData,MATCH($A496,PlotNumber,0),MATCH(I$3,PlotTitles,0))&amp;INDEX(PlotData,MATCH($A496,PlotNumber,0),MATCH(J$3,PlotTitles,0))))&gt;(DATEVALUE(CompletionMonth&amp;CompletionYear)),$AB$16,TRUE,"")</f>
        <v/>
      </c>
      <c r="N496" s="104" t="str" cm="1">
        <f t="array" ref="N496">_xlfn.IFS(AND(A496&gt;NumberOfPlots,ISBLANK(INDEX(PlotData,MATCH($A496,PlotNumber,0),MATCH(B$3,PlotTitles,0)))),"",ISBLANK(INDEX(PlotData,MATCH($A496,PlotNumber,0),MATCH(N$3,PlotTitles,0))),$AB$17,TRUE,"")</f>
        <v/>
      </c>
      <c r="O496" s="104" t="str" cm="1">
        <f t="array" ref="O496">_xlfn.IFS(AND(A496&gt;NumberOfPlots,ISBLANK(INDEX(PlotData,MATCH($A496,PlotNumber,0),MATCH(B$3,PlotTitles,0)))),"",ISBLANK(INDEX(PlotData,MATCH($A496,PlotNumber,0),MATCH(O$3,PlotTitles,0))),$AB$18,TRUE,"")</f>
        <v/>
      </c>
      <c r="P496" s="182" t="str">
        <f t="shared" ca="1" si="22"/>
        <v/>
      </c>
      <c r="Q496" s="104" t="str" cm="1">
        <f t="array" ref="Q496">_xlfn.IFS(AND(A496&gt;NumberOfPlots,ISBLANK(INDEX(PlotData,MATCH($A496,PlotNumber,0),MATCH(B$3,PlotTitles,0)))),"",ISBLANK(INDEX(PlotData,MATCH($A496,PlotNumber,0),MATCH(N$3,PlotTitles,0))),"",(DATEVALUE(INDEX(PlotData,MATCH($A496,PlotNumber,0),MATCH(N$3,PlotTitles,0))&amp;INDEX(PlotData,MATCH($A496,PlotNumber,0),MATCH(O$3,PlotTitles,0))))&lt;(DATEVALUE(INDEX(PlotData,MATCH($A496,PlotNumber,0),MATCH(I$3,PlotTitles,0))&amp;INDEX(PlotData,MATCH($A496,PlotNumber,0),MATCH(J$3,PlotTitles,0)))),$AB$20,TRUE,"")</f>
        <v/>
      </c>
      <c r="R496" s="104" t="str" cm="1">
        <f t="array" ref="R496">_xlfn.IFS(OR(ISBLANK(StartDateMonth),ISBLANK(StartDateYear)),"",AND(A496&gt;NumberOfPlots,ISBLANK(INDEX(PlotData,MATCH($A496,PlotNumber,0),MATCH(B$3,PlotTitles,0)))),"",ISBLANK(INDEX(PlotData,MATCH($A496,PlotNumber,0),MATCH(N$3,PlotTitles,0))),"",CompletionMonth="","",(DATEVALUE(INDEX(PlotData,MATCH($A496,PlotNumber,0),MATCH(N$3,PlotTitles,0))&amp;INDEX(PlotData,MATCH($A496,PlotNumber,0),MATCH(O$3,PlotTitles,0))))&gt;(DATEVALUE(CompletionMonth&amp;CompletionYear)),$AB$21,TRUE,"")</f>
        <v/>
      </c>
      <c r="S496" s="104" t="str" cm="1">
        <f t="array" ref="S496">_xlfn.IFS(AND(A496&gt;NumberOfPlots,ISBLANK(INDEX(PlotData,MATCH($A496,PlotNumber,0),MATCH(B$3,PlotTitles,0)))),"",OR(AND(INDEX(PlotData,MATCH($A496,PlotNumber,0),MATCH("Tenure",PlotTitles,0))="Open market housing",INDEX(PlotData,MATCH($A496,PlotNumber,0),MATCH("Tenure detail",PlotTitles,0))="Private rented sector"),INDEX(PlotData,MATCH($A496,PlotNumber,0),MATCH("Tenure",PlotTitles,0))="Affordable rent"),"",ISNUMBER(INDEX(PlotData,MATCH($A496,PlotNumber,0),MATCH(S$3,PlotTitles,0)))=FALSE, $AB$22,TRUE,"")</f>
        <v/>
      </c>
      <c r="T496" s="104" t="str" cm="1">
        <f t="array" ref="T496">_xlfn.IFS(AND(A496&gt;NumberOfPlots,ISBLANK(INDEX(PlotData,MATCH($A496,PlotNumber,0),MATCH(B$3,PlotTitles,0)))),"",OR(AND(INDEX(PlotData,MATCH($A496,PlotNumber,0),MATCH("Tenure",PlotTitles,0))="Open market housing",INDEX(PlotData,MATCH($A496,PlotNumber,0),MATCH("Tenure detail",PlotTitles,0))="Private rented sector"),INDEX(PlotData,MATCH($A496,PlotNumber,0),MATCH("Tenure",PlotTitles,0))="Affordable rent"),"",INDEX(PlotData,MATCH($A496,PlotNumber,0),MATCH(S$3,PlotTitles,0))&lt;10000, $AB$23,TRUE,"")</f>
        <v/>
      </c>
      <c r="U496" s="104" t="str" cm="1">
        <f t="array" ref="U496">_xlfn.IFS(AND(A496&gt;NumberOfPlots,ISBLANK(INDEX(PlotData,MATCH($A496,PlotNumber,0),MATCH(B$3,PlotTitles,0)))),"",NOT(OR(AND(INDEX(PlotData,MATCH($A496,PlotNumber,0),MATCH("Tenure",PlotTitles,0))="Open market housing",INDEX(PlotData,MATCH($A496,PlotNumber,0),MATCH("Tenure detail",PlotTitles,0))="Private rented sector"),INDEX(PlotData,MATCH($A496,PlotNumber,0),MATCH("Tenure",PlotTitles,0))="Affordable rent")),"",NOT(INDEX(PlotData,MATCH($A496,PlotNumber,0),MATCH(S$3,PlotTitles,0))=0), $AB$24,TRUE,"")</f>
        <v/>
      </c>
      <c r="V496" s="114" t="str" cm="1">
        <f t="array" aca="1" ref="V496" ca="1">_xlfn.IFS(ISBLANK(NumberOfPlots),"Enter the number of homes on the 1_SetUp sheet",AND(A496&gt;NumberOfPlots,ISBLANK(INDEX(PlotData,MATCH($A496,PlotNumber,0),MATCH(B$3,PlotTitles,0)))),"No error",NOT(B496=""),B496,NOT(C496=""),C496,NOT(D496=""),D496,NOT(E496=""),E496,NOT(F496=""),F496,NOT(G496=""),G496,NOT(H496=""),H496,NOT(I496=""),I496,NOT(J496=""),J496,NOT(K496=""),K496,NOT(L496=""),L496,NOT(M496=""),M496,NOT(N496=""),N496,NOT(O496=""),O496,NOT(P496=""),P496,NOT(Q496=""),Q496,NOT(R496=""),R496,NOT(S496=""),S496,NOT(T496=""),T496,NOT(U496=""),U496,TRUE,"No error")</f>
        <v>Enter the number of homes on the 1_SetUp sheet</v>
      </c>
      <c r="W496" s="114" t="str">
        <f t="shared" ca="1" si="23"/>
        <v xml:space="preserve">The Borrower has not addressed the following error messages for Home ID 492: </v>
      </c>
    </row>
    <row r="497" spans="1:23">
      <c r="A497" s="123">
        <v>493</v>
      </c>
      <c r="B497" s="104" t="str" cm="1">
        <f t="array" ref="B497">_xlfn.IFS(AND(A497&gt;NumberOfPlots,ISBLANK(INDEX(PlotData,MATCH($A497,PlotNumber,0),MATCH(B$3,PlotTitles,0)))),"",ISNUMBER(INDEX(PlotData,MATCH($A497,PlotNumber,0),MATCH(B$3,PlotTitles,0)))=FALSE, $AB$5,TRUE,"")</f>
        <v/>
      </c>
      <c r="C497" s="104" t="str" cm="1">
        <f t="array" ref="C497">_xlfn.IFS(AND(A497&gt;NumberOfPlots,ISBLANK(INDEX(PlotData,MATCH($A497,PlotNumber,0),MATCH(B$3,PlotTitles,0)))),"",ISBLANK(INDEX(PlotData,MATCH($A497,PlotNumber,0),MATCH(C$3,PlotTitles,0))),$AB$6,TRUE,"")</f>
        <v/>
      </c>
      <c r="D497" s="104" t="str" cm="1">
        <f t="array" ref="D497">_xlfn.IFS(AND(A497&gt;NumberOfPlots,ISBLANK(INDEX(PlotData,MATCH($A497,PlotNumber,0),MATCH(B$3,PlotTitles,0)))),"",ISBLANK(INDEX(PlotData,MATCH($A497,PlotNumber,0),MATCH(D$3,PlotTitles,0))),$AB$7,TRUE,"")</f>
        <v/>
      </c>
      <c r="E497" s="104" t="str" cm="1">
        <f t="array" ref="E497">_xlfn.IFS(AND(A497&gt;NumberOfPlots,ISBLANK(INDEX(PlotData,MATCH($A497,PlotNumber,0),MATCH(B$3,PlotTitles,0)))),"",ISBLANK(INDEX(PlotData,MATCH($A497,PlotNumber,0),MATCH(E$3,PlotTitles,0))),$AB$8,TRUE,"")</f>
        <v/>
      </c>
      <c r="F497" s="104" t="str" cm="1">
        <f t="array" ref="F497">_xlfn.IFS(AND(A497&gt;NumberOfPlots,ISBLANK(INDEX(PlotData,MATCH($A497,PlotNumber,0),MATCH(B$3,PlotTitles,0)))),"",ISBLANK(INDEX(PlotData,MATCH($A497,PlotNumber,0),MATCH(F$3,PlotTitles,0))),$AB$9,TRUE,"")</f>
        <v/>
      </c>
      <c r="G497" s="104" t="str" cm="1">
        <f t="array" ref="G497">_xlfn.IFS(AND(A497&gt;NumberOfPlots,ISBLANK(INDEX(PlotData,MATCH($A497,PlotNumber,0),MATCH(B$3,PlotTitles,0)))),"",ISBLANK(INDEX(PlotData,MATCH($A497,PlotNumber,0),MATCH(G$3,PlotTitles,0))),$AB$10,TRUE,"")</f>
        <v/>
      </c>
      <c r="H497" s="104" t="str" cm="1">
        <f t="array" ref="H497">_xlfn.IFS(AND(A497&gt;NumberOfPlots,ISBLANK(INDEX(PlotData,MATCH($A497,PlotNumber,0),MATCH(B$3,PlotTitles,0)))),"",AND(ISBLANK(INDEX(PlotData,MATCH($A497,PlotNumber,0),MATCH(H$3,PlotTitles,0)))=FALSE,INDEX(PlotData,MATCH($A497,PlotNumber,0),MATCH(H$3,PlotTitles,0))&lt;500), $AB$11,TRUE,"")</f>
        <v/>
      </c>
      <c r="I497" s="104" t="str" cm="1">
        <f t="array" ref="I497">_xlfn.IFS(AND(A497&gt;NumberOfPlots,ISBLANK(INDEX(PlotData,MATCH($A497,PlotNumber,0),MATCH(B$3,PlotTitles,0)))),"",ISBLANK(INDEX(PlotData,MATCH($A497,PlotNumber,0),MATCH(I$3,PlotTitles,0))),$AB$12,TRUE,"")</f>
        <v/>
      </c>
      <c r="J497" s="104" t="str" cm="1">
        <f t="array" ref="J497">_xlfn.IFS(AND(A497&gt;NumberOfPlots,ISBLANK(INDEX(PlotData,MATCH($A497,PlotNumber,0),MATCH(B$3,PlotTitles,0)))),"",ISBLANK(INDEX(PlotData,MATCH($A497,PlotNumber,0),MATCH(J$3,PlotTitles,0))),$AB$13,TRUE,"")</f>
        <v/>
      </c>
      <c r="K497" s="182" t="str">
        <f t="shared" ca="1" si="21"/>
        <v/>
      </c>
      <c r="L497" s="104" t="str" cm="1">
        <f t="array" ref="L497">_xlfn.IFS(OR(ISBLANK(StartDateMonth),ISBLANK(StartDateYear)),"",AND(A497&gt;NumberOfPlots,ISBLANK(INDEX(PlotData,MATCH($A497,PlotNumber,0),MATCH(B$3,PlotTitles,0)))),"",ISBLANK(INDEX(PlotData,MATCH($A497,PlotNumber,0),MATCH(I$3,PlotTitles,0))),"",(DATEVALUE(INDEX(PlotData,MATCH($A497,PlotNumber,0),MATCH(I$3,PlotTitles,0))&amp;INDEX(PlotData,MATCH($A497,PlotNumber,0),MATCH(J$3,PlotTitles,0))))&lt;DATEVALUE(StartDateMonth&amp;StartDateYear),$AB$15,TRUE,"")</f>
        <v/>
      </c>
      <c r="M497" s="104" t="str" cm="1">
        <f t="array" ref="M497">_xlfn.IFS(OR(ISBLANK(StartDateMonth),ISBLANK(StartDateYear)),"",AND(A497&gt;NumberOfPlots,ISBLANK(INDEX(PlotData,MATCH($A497,PlotNumber,0),MATCH(B$3,PlotTitles,0)))),"",ISBLANK(INDEX(PlotData,MATCH($A497,PlotNumber,0),MATCH(I$3,PlotTitles,0))),"",CompletionMonth="","",(DATEVALUE(INDEX(PlotData,MATCH($A497,PlotNumber,0),MATCH(I$3,PlotTitles,0))&amp;INDEX(PlotData,MATCH($A497,PlotNumber,0),MATCH(J$3,PlotTitles,0))))&gt;(DATEVALUE(CompletionMonth&amp;CompletionYear)),$AB$16,TRUE,"")</f>
        <v/>
      </c>
      <c r="N497" s="104" t="str" cm="1">
        <f t="array" ref="N497">_xlfn.IFS(AND(A497&gt;NumberOfPlots,ISBLANK(INDEX(PlotData,MATCH($A497,PlotNumber,0),MATCH(B$3,PlotTitles,0)))),"",ISBLANK(INDEX(PlotData,MATCH($A497,PlotNumber,0),MATCH(N$3,PlotTitles,0))),$AB$17,TRUE,"")</f>
        <v/>
      </c>
      <c r="O497" s="104" t="str" cm="1">
        <f t="array" ref="O497">_xlfn.IFS(AND(A497&gt;NumberOfPlots,ISBLANK(INDEX(PlotData,MATCH($A497,PlotNumber,0),MATCH(B$3,PlotTitles,0)))),"",ISBLANK(INDEX(PlotData,MATCH($A497,PlotNumber,0),MATCH(O$3,PlotTitles,0))),$AB$18,TRUE,"")</f>
        <v/>
      </c>
      <c r="P497" s="182" t="str">
        <f t="shared" ca="1" si="22"/>
        <v/>
      </c>
      <c r="Q497" s="104" t="str" cm="1">
        <f t="array" ref="Q497">_xlfn.IFS(AND(A497&gt;NumberOfPlots,ISBLANK(INDEX(PlotData,MATCH($A497,PlotNumber,0),MATCH(B$3,PlotTitles,0)))),"",ISBLANK(INDEX(PlotData,MATCH($A497,PlotNumber,0),MATCH(N$3,PlotTitles,0))),"",(DATEVALUE(INDEX(PlotData,MATCH($A497,PlotNumber,0),MATCH(N$3,PlotTitles,0))&amp;INDEX(PlotData,MATCH($A497,PlotNumber,0),MATCH(O$3,PlotTitles,0))))&lt;(DATEVALUE(INDEX(PlotData,MATCH($A497,PlotNumber,0),MATCH(I$3,PlotTitles,0))&amp;INDEX(PlotData,MATCH($A497,PlotNumber,0),MATCH(J$3,PlotTitles,0)))),$AB$20,TRUE,"")</f>
        <v/>
      </c>
      <c r="R497" s="104" t="str" cm="1">
        <f t="array" ref="R497">_xlfn.IFS(OR(ISBLANK(StartDateMonth),ISBLANK(StartDateYear)),"",AND(A497&gt;NumberOfPlots,ISBLANK(INDEX(PlotData,MATCH($A497,PlotNumber,0),MATCH(B$3,PlotTitles,0)))),"",ISBLANK(INDEX(PlotData,MATCH($A497,PlotNumber,0),MATCH(N$3,PlotTitles,0))),"",CompletionMonth="","",(DATEVALUE(INDEX(PlotData,MATCH($A497,PlotNumber,0),MATCH(N$3,PlotTitles,0))&amp;INDEX(PlotData,MATCH($A497,PlotNumber,0),MATCH(O$3,PlotTitles,0))))&gt;(DATEVALUE(CompletionMonth&amp;CompletionYear)),$AB$21,TRUE,"")</f>
        <v/>
      </c>
      <c r="S497" s="104" t="str" cm="1">
        <f t="array" ref="S497">_xlfn.IFS(AND(A497&gt;NumberOfPlots,ISBLANK(INDEX(PlotData,MATCH($A497,PlotNumber,0),MATCH(B$3,PlotTitles,0)))),"",OR(AND(INDEX(PlotData,MATCH($A497,PlotNumber,0),MATCH("Tenure",PlotTitles,0))="Open market housing",INDEX(PlotData,MATCH($A497,PlotNumber,0),MATCH("Tenure detail",PlotTitles,0))="Private rented sector"),INDEX(PlotData,MATCH($A497,PlotNumber,0),MATCH("Tenure",PlotTitles,0))="Affordable rent"),"",ISNUMBER(INDEX(PlotData,MATCH($A497,PlotNumber,0),MATCH(S$3,PlotTitles,0)))=FALSE, $AB$22,TRUE,"")</f>
        <v/>
      </c>
      <c r="T497" s="104" t="str" cm="1">
        <f t="array" ref="T497">_xlfn.IFS(AND(A497&gt;NumberOfPlots,ISBLANK(INDEX(PlotData,MATCH($A497,PlotNumber,0),MATCH(B$3,PlotTitles,0)))),"",OR(AND(INDEX(PlotData,MATCH($A497,PlotNumber,0),MATCH("Tenure",PlotTitles,0))="Open market housing",INDEX(PlotData,MATCH($A497,PlotNumber,0),MATCH("Tenure detail",PlotTitles,0))="Private rented sector"),INDEX(PlotData,MATCH($A497,PlotNumber,0),MATCH("Tenure",PlotTitles,0))="Affordable rent"),"",INDEX(PlotData,MATCH($A497,PlotNumber,0),MATCH(S$3,PlotTitles,0))&lt;10000, $AB$23,TRUE,"")</f>
        <v/>
      </c>
      <c r="U497" s="104" t="str" cm="1">
        <f t="array" ref="U497">_xlfn.IFS(AND(A497&gt;NumberOfPlots,ISBLANK(INDEX(PlotData,MATCH($A497,PlotNumber,0),MATCH(B$3,PlotTitles,0)))),"",NOT(OR(AND(INDEX(PlotData,MATCH($A497,PlotNumber,0),MATCH("Tenure",PlotTitles,0))="Open market housing",INDEX(PlotData,MATCH($A497,PlotNumber,0),MATCH("Tenure detail",PlotTitles,0))="Private rented sector"),INDEX(PlotData,MATCH($A497,PlotNumber,0),MATCH("Tenure",PlotTitles,0))="Affordable rent")),"",NOT(INDEX(PlotData,MATCH($A497,PlotNumber,0),MATCH(S$3,PlotTitles,0))=0), $AB$24,TRUE,"")</f>
        <v/>
      </c>
      <c r="V497" s="114" t="str" cm="1">
        <f t="array" aca="1" ref="V497" ca="1">_xlfn.IFS(ISBLANK(NumberOfPlots),"Enter the number of homes on the 1_SetUp sheet",AND(A497&gt;NumberOfPlots,ISBLANK(INDEX(PlotData,MATCH($A497,PlotNumber,0),MATCH(B$3,PlotTitles,0)))),"No error",NOT(B497=""),B497,NOT(C497=""),C497,NOT(D497=""),D497,NOT(E497=""),E497,NOT(F497=""),F497,NOT(G497=""),G497,NOT(H497=""),H497,NOT(I497=""),I497,NOT(J497=""),J497,NOT(K497=""),K497,NOT(L497=""),L497,NOT(M497=""),M497,NOT(N497=""),N497,NOT(O497=""),O497,NOT(P497=""),P497,NOT(Q497=""),Q497,NOT(R497=""),R497,NOT(S497=""),S497,NOT(T497=""),T497,NOT(U497=""),U497,TRUE,"No error")</f>
        <v>Enter the number of homes on the 1_SetUp sheet</v>
      </c>
      <c r="W497" s="114" t="str">
        <f t="shared" ca="1" si="23"/>
        <v xml:space="preserve">The Borrower has not addressed the following error messages for Home ID 493: </v>
      </c>
    </row>
    <row r="498" spans="1:23">
      <c r="A498" s="123">
        <v>494</v>
      </c>
      <c r="B498" s="104" t="str" cm="1">
        <f t="array" ref="B498">_xlfn.IFS(AND(A498&gt;NumberOfPlots,ISBLANK(INDEX(PlotData,MATCH($A498,PlotNumber,0),MATCH(B$3,PlotTitles,0)))),"",ISNUMBER(INDEX(PlotData,MATCH($A498,PlotNumber,0),MATCH(B$3,PlotTitles,0)))=FALSE, $AB$5,TRUE,"")</f>
        <v/>
      </c>
      <c r="C498" s="104" t="str" cm="1">
        <f t="array" ref="C498">_xlfn.IFS(AND(A498&gt;NumberOfPlots,ISBLANK(INDEX(PlotData,MATCH($A498,PlotNumber,0),MATCH(B$3,PlotTitles,0)))),"",ISBLANK(INDEX(PlotData,MATCH($A498,PlotNumber,0),MATCH(C$3,PlotTitles,0))),$AB$6,TRUE,"")</f>
        <v/>
      </c>
      <c r="D498" s="104" t="str" cm="1">
        <f t="array" ref="D498">_xlfn.IFS(AND(A498&gt;NumberOfPlots,ISBLANK(INDEX(PlotData,MATCH($A498,PlotNumber,0),MATCH(B$3,PlotTitles,0)))),"",ISBLANK(INDEX(PlotData,MATCH($A498,PlotNumber,0),MATCH(D$3,PlotTitles,0))),$AB$7,TRUE,"")</f>
        <v/>
      </c>
      <c r="E498" s="104" t="str" cm="1">
        <f t="array" ref="E498">_xlfn.IFS(AND(A498&gt;NumberOfPlots,ISBLANK(INDEX(PlotData,MATCH($A498,PlotNumber,0),MATCH(B$3,PlotTitles,0)))),"",ISBLANK(INDEX(PlotData,MATCH($A498,PlotNumber,0),MATCH(E$3,PlotTitles,0))),$AB$8,TRUE,"")</f>
        <v/>
      </c>
      <c r="F498" s="104" t="str" cm="1">
        <f t="array" ref="F498">_xlfn.IFS(AND(A498&gt;NumberOfPlots,ISBLANK(INDEX(PlotData,MATCH($A498,PlotNumber,0),MATCH(B$3,PlotTitles,0)))),"",ISBLANK(INDEX(PlotData,MATCH($A498,PlotNumber,0),MATCH(F$3,PlotTitles,0))),$AB$9,TRUE,"")</f>
        <v/>
      </c>
      <c r="G498" s="104" t="str" cm="1">
        <f t="array" ref="G498">_xlfn.IFS(AND(A498&gt;NumberOfPlots,ISBLANK(INDEX(PlotData,MATCH($A498,PlotNumber,0),MATCH(B$3,PlotTitles,0)))),"",ISBLANK(INDEX(PlotData,MATCH($A498,PlotNumber,0),MATCH(G$3,PlotTitles,0))),$AB$10,TRUE,"")</f>
        <v/>
      </c>
      <c r="H498" s="104" t="str" cm="1">
        <f t="array" ref="H498">_xlfn.IFS(AND(A498&gt;NumberOfPlots,ISBLANK(INDEX(PlotData,MATCH($A498,PlotNumber,0),MATCH(B$3,PlotTitles,0)))),"",AND(ISBLANK(INDEX(PlotData,MATCH($A498,PlotNumber,0),MATCH(H$3,PlotTitles,0)))=FALSE,INDEX(PlotData,MATCH($A498,PlotNumber,0),MATCH(H$3,PlotTitles,0))&lt;500), $AB$11,TRUE,"")</f>
        <v/>
      </c>
      <c r="I498" s="104" t="str" cm="1">
        <f t="array" ref="I498">_xlfn.IFS(AND(A498&gt;NumberOfPlots,ISBLANK(INDEX(PlotData,MATCH($A498,PlotNumber,0),MATCH(B$3,PlotTitles,0)))),"",ISBLANK(INDEX(PlotData,MATCH($A498,PlotNumber,0),MATCH(I$3,PlotTitles,0))),$AB$12,TRUE,"")</f>
        <v/>
      </c>
      <c r="J498" s="104" t="str" cm="1">
        <f t="array" ref="J498">_xlfn.IFS(AND(A498&gt;NumberOfPlots,ISBLANK(INDEX(PlotData,MATCH($A498,PlotNumber,0),MATCH(B$3,PlotTitles,0)))),"",ISBLANK(INDEX(PlotData,MATCH($A498,PlotNumber,0),MATCH(J$3,PlotTitles,0))),$AB$13,TRUE,"")</f>
        <v/>
      </c>
      <c r="K498" s="182" t="str">
        <f t="shared" ca="1" si="21"/>
        <v/>
      </c>
      <c r="L498" s="104" t="str" cm="1">
        <f t="array" ref="L498">_xlfn.IFS(OR(ISBLANK(StartDateMonth),ISBLANK(StartDateYear)),"",AND(A498&gt;NumberOfPlots,ISBLANK(INDEX(PlotData,MATCH($A498,PlotNumber,0),MATCH(B$3,PlotTitles,0)))),"",ISBLANK(INDEX(PlotData,MATCH($A498,PlotNumber,0),MATCH(I$3,PlotTitles,0))),"",(DATEVALUE(INDEX(PlotData,MATCH($A498,PlotNumber,0),MATCH(I$3,PlotTitles,0))&amp;INDEX(PlotData,MATCH($A498,PlotNumber,0),MATCH(J$3,PlotTitles,0))))&lt;DATEVALUE(StartDateMonth&amp;StartDateYear),$AB$15,TRUE,"")</f>
        <v/>
      </c>
      <c r="M498" s="104" t="str" cm="1">
        <f t="array" ref="M498">_xlfn.IFS(OR(ISBLANK(StartDateMonth),ISBLANK(StartDateYear)),"",AND(A498&gt;NumberOfPlots,ISBLANK(INDEX(PlotData,MATCH($A498,PlotNumber,0),MATCH(B$3,PlotTitles,0)))),"",ISBLANK(INDEX(PlotData,MATCH($A498,PlotNumber,0),MATCH(I$3,PlotTitles,0))),"",CompletionMonth="","",(DATEVALUE(INDEX(PlotData,MATCH($A498,PlotNumber,0),MATCH(I$3,PlotTitles,0))&amp;INDEX(PlotData,MATCH($A498,PlotNumber,0),MATCH(J$3,PlotTitles,0))))&gt;(DATEVALUE(CompletionMonth&amp;CompletionYear)),$AB$16,TRUE,"")</f>
        <v/>
      </c>
      <c r="N498" s="104" t="str" cm="1">
        <f t="array" ref="N498">_xlfn.IFS(AND(A498&gt;NumberOfPlots,ISBLANK(INDEX(PlotData,MATCH($A498,PlotNumber,0),MATCH(B$3,PlotTitles,0)))),"",ISBLANK(INDEX(PlotData,MATCH($A498,PlotNumber,0),MATCH(N$3,PlotTitles,0))),$AB$17,TRUE,"")</f>
        <v/>
      </c>
      <c r="O498" s="104" t="str" cm="1">
        <f t="array" ref="O498">_xlfn.IFS(AND(A498&gt;NumberOfPlots,ISBLANK(INDEX(PlotData,MATCH($A498,PlotNumber,0),MATCH(B$3,PlotTitles,0)))),"",ISBLANK(INDEX(PlotData,MATCH($A498,PlotNumber,0),MATCH(O$3,PlotTitles,0))),$AB$18,TRUE,"")</f>
        <v/>
      </c>
      <c r="P498" s="182" t="str">
        <f t="shared" ca="1" si="22"/>
        <v/>
      </c>
      <c r="Q498" s="104" t="str" cm="1">
        <f t="array" ref="Q498">_xlfn.IFS(AND(A498&gt;NumberOfPlots,ISBLANK(INDEX(PlotData,MATCH($A498,PlotNumber,0),MATCH(B$3,PlotTitles,0)))),"",ISBLANK(INDEX(PlotData,MATCH($A498,PlotNumber,0),MATCH(N$3,PlotTitles,0))),"",(DATEVALUE(INDEX(PlotData,MATCH($A498,PlotNumber,0),MATCH(N$3,PlotTitles,0))&amp;INDEX(PlotData,MATCH($A498,PlotNumber,0),MATCH(O$3,PlotTitles,0))))&lt;(DATEVALUE(INDEX(PlotData,MATCH($A498,PlotNumber,0),MATCH(I$3,PlotTitles,0))&amp;INDEX(PlotData,MATCH($A498,PlotNumber,0),MATCH(J$3,PlotTitles,0)))),$AB$20,TRUE,"")</f>
        <v/>
      </c>
      <c r="R498" s="104" t="str" cm="1">
        <f t="array" ref="R498">_xlfn.IFS(OR(ISBLANK(StartDateMonth),ISBLANK(StartDateYear)),"",AND(A498&gt;NumberOfPlots,ISBLANK(INDEX(PlotData,MATCH($A498,PlotNumber,0),MATCH(B$3,PlotTitles,0)))),"",ISBLANK(INDEX(PlotData,MATCH($A498,PlotNumber,0),MATCH(N$3,PlotTitles,0))),"",CompletionMonth="","",(DATEVALUE(INDEX(PlotData,MATCH($A498,PlotNumber,0),MATCH(N$3,PlotTitles,0))&amp;INDEX(PlotData,MATCH($A498,PlotNumber,0),MATCH(O$3,PlotTitles,0))))&gt;(DATEVALUE(CompletionMonth&amp;CompletionYear)),$AB$21,TRUE,"")</f>
        <v/>
      </c>
      <c r="S498" s="104" t="str" cm="1">
        <f t="array" ref="S498">_xlfn.IFS(AND(A498&gt;NumberOfPlots,ISBLANK(INDEX(PlotData,MATCH($A498,PlotNumber,0),MATCH(B$3,PlotTitles,0)))),"",OR(AND(INDEX(PlotData,MATCH($A498,PlotNumber,0),MATCH("Tenure",PlotTitles,0))="Open market housing",INDEX(PlotData,MATCH($A498,PlotNumber,0),MATCH("Tenure detail",PlotTitles,0))="Private rented sector"),INDEX(PlotData,MATCH($A498,PlotNumber,0),MATCH("Tenure",PlotTitles,0))="Affordable rent"),"",ISNUMBER(INDEX(PlotData,MATCH($A498,PlotNumber,0),MATCH(S$3,PlotTitles,0)))=FALSE, $AB$22,TRUE,"")</f>
        <v/>
      </c>
      <c r="T498" s="104" t="str" cm="1">
        <f t="array" ref="T498">_xlfn.IFS(AND(A498&gt;NumberOfPlots,ISBLANK(INDEX(PlotData,MATCH($A498,PlotNumber,0),MATCH(B$3,PlotTitles,0)))),"",OR(AND(INDEX(PlotData,MATCH($A498,PlotNumber,0),MATCH("Tenure",PlotTitles,0))="Open market housing",INDEX(PlotData,MATCH($A498,PlotNumber,0),MATCH("Tenure detail",PlotTitles,0))="Private rented sector"),INDEX(PlotData,MATCH($A498,PlotNumber,0),MATCH("Tenure",PlotTitles,0))="Affordable rent"),"",INDEX(PlotData,MATCH($A498,PlotNumber,0),MATCH(S$3,PlotTitles,0))&lt;10000, $AB$23,TRUE,"")</f>
        <v/>
      </c>
      <c r="U498" s="104" t="str" cm="1">
        <f t="array" ref="U498">_xlfn.IFS(AND(A498&gt;NumberOfPlots,ISBLANK(INDEX(PlotData,MATCH($A498,PlotNumber,0),MATCH(B$3,PlotTitles,0)))),"",NOT(OR(AND(INDEX(PlotData,MATCH($A498,PlotNumber,0),MATCH("Tenure",PlotTitles,0))="Open market housing",INDEX(PlotData,MATCH($A498,PlotNumber,0),MATCH("Tenure detail",PlotTitles,0))="Private rented sector"),INDEX(PlotData,MATCH($A498,PlotNumber,0),MATCH("Tenure",PlotTitles,0))="Affordable rent")),"",NOT(INDEX(PlotData,MATCH($A498,PlotNumber,0),MATCH(S$3,PlotTitles,0))=0), $AB$24,TRUE,"")</f>
        <v/>
      </c>
      <c r="V498" s="114" t="str" cm="1">
        <f t="array" aca="1" ref="V498" ca="1">_xlfn.IFS(ISBLANK(NumberOfPlots),"Enter the number of homes on the 1_SetUp sheet",AND(A498&gt;NumberOfPlots,ISBLANK(INDEX(PlotData,MATCH($A498,PlotNumber,0),MATCH(B$3,PlotTitles,0)))),"No error",NOT(B498=""),B498,NOT(C498=""),C498,NOT(D498=""),D498,NOT(E498=""),E498,NOT(F498=""),F498,NOT(G498=""),G498,NOT(H498=""),H498,NOT(I498=""),I498,NOT(J498=""),J498,NOT(K498=""),K498,NOT(L498=""),L498,NOT(M498=""),M498,NOT(N498=""),N498,NOT(O498=""),O498,NOT(P498=""),P498,NOT(Q498=""),Q498,NOT(R498=""),R498,NOT(S498=""),S498,NOT(T498=""),T498,NOT(U498=""),U498,TRUE,"No error")</f>
        <v>Enter the number of homes on the 1_SetUp sheet</v>
      </c>
      <c r="W498" s="114" t="str">
        <f t="shared" ca="1" si="23"/>
        <v xml:space="preserve">The Borrower has not addressed the following error messages for Home ID 494: </v>
      </c>
    </row>
    <row r="499" spans="1:23">
      <c r="A499" s="123">
        <v>495</v>
      </c>
      <c r="B499" s="104" t="str" cm="1">
        <f t="array" ref="B499">_xlfn.IFS(AND(A499&gt;NumberOfPlots,ISBLANK(INDEX(PlotData,MATCH($A499,PlotNumber,0),MATCH(B$3,PlotTitles,0)))),"",ISNUMBER(INDEX(PlotData,MATCH($A499,PlotNumber,0),MATCH(B$3,PlotTitles,0)))=FALSE, $AB$5,TRUE,"")</f>
        <v/>
      </c>
      <c r="C499" s="104" t="str" cm="1">
        <f t="array" ref="C499">_xlfn.IFS(AND(A499&gt;NumberOfPlots,ISBLANK(INDEX(PlotData,MATCH($A499,PlotNumber,0),MATCH(B$3,PlotTitles,0)))),"",ISBLANK(INDEX(PlotData,MATCH($A499,PlotNumber,0),MATCH(C$3,PlotTitles,0))),$AB$6,TRUE,"")</f>
        <v/>
      </c>
      <c r="D499" s="104" t="str" cm="1">
        <f t="array" ref="D499">_xlfn.IFS(AND(A499&gt;NumberOfPlots,ISBLANK(INDEX(PlotData,MATCH($A499,PlotNumber,0),MATCH(B$3,PlotTitles,0)))),"",ISBLANK(INDEX(PlotData,MATCH($A499,PlotNumber,0),MATCH(D$3,PlotTitles,0))),$AB$7,TRUE,"")</f>
        <v/>
      </c>
      <c r="E499" s="104" t="str" cm="1">
        <f t="array" ref="E499">_xlfn.IFS(AND(A499&gt;NumberOfPlots,ISBLANK(INDEX(PlotData,MATCH($A499,PlotNumber,0),MATCH(B$3,PlotTitles,0)))),"",ISBLANK(INDEX(PlotData,MATCH($A499,PlotNumber,0),MATCH(E$3,PlotTitles,0))),$AB$8,TRUE,"")</f>
        <v/>
      </c>
      <c r="F499" s="104" t="str" cm="1">
        <f t="array" ref="F499">_xlfn.IFS(AND(A499&gt;NumberOfPlots,ISBLANK(INDEX(PlotData,MATCH($A499,PlotNumber,0),MATCH(B$3,PlotTitles,0)))),"",ISBLANK(INDEX(PlotData,MATCH($A499,PlotNumber,0),MATCH(F$3,PlotTitles,0))),$AB$9,TRUE,"")</f>
        <v/>
      </c>
      <c r="G499" s="104" t="str" cm="1">
        <f t="array" ref="G499">_xlfn.IFS(AND(A499&gt;NumberOfPlots,ISBLANK(INDEX(PlotData,MATCH($A499,PlotNumber,0),MATCH(B$3,PlotTitles,0)))),"",ISBLANK(INDEX(PlotData,MATCH($A499,PlotNumber,0),MATCH(G$3,PlotTitles,0))),$AB$10,TRUE,"")</f>
        <v/>
      </c>
      <c r="H499" s="104" t="str" cm="1">
        <f t="array" ref="H499">_xlfn.IFS(AND(A499&gt;NumberOfPlots,ISBLANK(INDEX(PlotData,MATCH($A499,PlotNumber,0),MATCH(B$3,PlotTitles,0)))),"",AND(ISBLANK(INDEX(PlotData,MATCH($A499,PlotNumber,0),MATCH(H$3,PlotTitles,0)))=FALSE,INDEX(PlotData,MATCH($A499,PlotNumber,0),MATCH(H$3,PlotTitles,0))&lt;500), $AB$11,TRUE,"")</f>
        <v/>
      </c>
      <c r="I499" s="104" t="str" cm="1">
        <f t="array" ref="I499">_xlfn.IFS(AND(A499&gt;NumberOfPlots,ISBLANK(INDEX(PlotData,MATCH($A499,PlotNumber,0),MATCH(B$3,PlotTitles,0)))),"",ISBLANK(INDEX(PlotData,MATCH($A499,PlotNumber,0),MATCH(I$3,PlotTitles,0))),$AB$12,TRUE,"")</f>
        <v/>
      </c>
      <c r="J499" s="104" t="str" cm="1">
        <f t="array" ref="J499">_xlfn.IFS(AND(A499&gt;NumberOfPlots,ISBLANK(INDEX(PlotData,MATCH($A499,PlotNumber,0),MATCH(B$3,PlotTitles,0)))),"",ISBLANK(INDEX(PlotData,MATCH($A499,PlotNumber,0),MATCH(J$3,PlotTitles,0))),$AB$13,TRUE,"")</f>
        <v/>
      </c>
      <c r="K499" s="182" t="str">
        <f t="shared" ca="1" si="21"/>
        <v/>
      </c>
      <c r="L499" s="104" t="str" cm="1">
        <f t="array" ref="L499">_xlfn.IFS(OR(ISBLANK(StartDateMonth),ISBLANK(StartDateYear)),"",AND(A499&gt;NumberOfPlots,ISBLANK(INDEX(PlotData,MATCH($A499,PlotNumber,0),MATCH(B$3,PlotTitles,0)))),"",ISBLANK(INDEX(PlotData,MATCH($A499,PlotNumber,0),MATCH(I$3,PlotTitles,0))),"",(DATEVALUE(INDEX(PlotData,MATCH($A499,PlotNumber,0),MATCH(I$3,PlotTitles,0))&amp;INDEX(PlotData,MATCH($A499,PlotNumber,0),MATCH(J$3,PlotTitles,0))))&lt;DATEVALUE(StartDateMonth&amp;StartDateYear),$AB$15,TRUE,"")</f>
        <v/>
      </c>
      <c r="M499" s="104" t="str" cm="1">
        <f t="array" ref="M499">_xlfn.IFS(OR(ISBLANK(StartDateMonth),ISBLANK(StartDateYear)),"",AND(A499&gt;NumberOfPlots,ISBLANK(INDEX(PlotData,MATCH($A499,PlotNumber,0),MATCH(B$3,PlotTitles,0)))),"",ISBLANK(INDEX(PlotData,MATCH($A499,PlotNumber,0),MATCH(I$3,PlotTitles,0))),"",CompletionMonth="","",(DATEVALUE(INDEX(PlotData,MATCH($A499,PlotNumber,0),MATCH(I$3,PlotTitles,0))&amp;INDEX(PlotData,MATCH($A499,PlotNumber,0),MATCH(J$3,PlotTitles,0))))&gt;(DATEVALUE(CompletionMonth&amp;CompletionYear)),$AB$16,TRUE,"")</f>
        <v/>
      </c>
      <c r="N499" s="104" t="str" cm="1">
        <f t="array" ref="N499">_xlfn.IFS(AND(A499&gt;NumberOfPlots,ISBLANK(INDEX(PlotData,MATCH($A499,PlotNumber,0),MATCH(B$3,PlotTitles,0)))),"",ISBLANK(INDEX(PlotData,MATCH($A499,PlotNumber,0),MATCH(N$3,PlotTitles,0))),$AB$17,TRUE,"")</f>
        <v/>
      </c>
      <c r="O499" s="104" t="str" cm="1">
        <f t="array" ref="O499">_xlfn.IFS(AND(A499&gt;NumberOfPlots,ISBLANK(INDEX(PlotData,MATCH($A499,PlotNumber,0),MATCH(B$3,PlotTitles,0)))),"",ISBLANK(INDEX(PlotData,MATCH($A499,PlotNumber,0),MATCH(O$3,PlotTitles,0))),$AB$18,TRUE,"")</f>
        <v/>
      </c>
      <c r="P499" s="182" t="str">
        <f t="shared" ca="1" si="22"/>
        <v/>
      </c>
      <c r="Q499" s="104" t="str" cm="1">
        <f t="array" ref="Q499">_xlfn.IFS(AND(A499&gt;NumberOfPlots,ISBLANK(INDEX(PlotData,MATCH($A499,PlotNumber,0),MATCH(B$3,PlotTitles,0)))),"",ISBLANK(INDEX(PlotData,MATCH($A499,PlotNumber,0),MATCH(N$3,PlotTitles,0))),"",(DATEVALUE(INDEX(PlotData,MATCH($A499,PlotNumber,0),MATCH(N$3,PlotTitles,0))&amp;INDEX(PlotData,MATCH($A499,PlotNumber,0),MATCH(O$3,PlotTitles,0))))&lt;(DATEVALUE(INDEX(PlotData,MATCH($A499,PlotNumber,0),MATCH(I$3,PlotTitles,0))&amp;INDEX(PlotData,MATCH($A499,PlotNumber,0),MATCH(J$3,PlotTitles,0)))),$AB$20,TRUE,"")</f>
        <v/>
      </c>
      <c r="R499" s="104" t="str" cm="1">
        <f t="array" ref="R499">_xlfn.IFS(OR(ISBLANK(StartDateMonth),ISBLANK(StartDateYear)),"",AND(A499&gt;NumberOfPlots,ISBLANK(INDEX(PlotData,MATCH($A499,PlotNumber,0),MATCH(B$3,PlotTitles,0)))),"",ISBLANK(INDEX(PlotData,MATCH($A499,PlotNumber,0),MATCH(N$3,PlotTitles,0))),"",CompletionMonth="","",(DATEVALUE(INDEX(PlotData,MATCH($A499,PlotNumber,0),MATCH(N$3,PlotTitles,0))&amp;INDEX(PlotData,MATCH($A499,PlotNumber,0),MATCH(O$3,PlotTitles,0))))&gt;(DATEVALUE(CompletionMonth&amp;CompletionYear)),$AB$21,TRUE,"")</f>
        <v/>
      </c>
      <c r="S499" s="104" t="str" cm="1">
        <f t="array" ref="S499">_xlfn.IFS(AND(A499&gt;NumberOfPlots,ISBLANK(INDEX(PlotData,MATCH($A499,PlotNumber,0),MATCH(B$3,PlotTitles,0)))),"",OR(AND(INDEX(PlotData,MATCH($A499,PlotNumber,0),MATCH("Tenure",PlotTitles,0))="Open market housing",INDEX(PlotData,MATCH($A499,PlotNumber,0),MATCH("Tenure detail",PlotTitles,0))="Private rented sector"),INDEX(PlotData,MATCH($A499,PlotNumber,0),MATCH("Tenure",PlotTitles,0))="Affordable rent"),"",ISNUMBER(INDEX(PlotData,MATCH($A499,PlotNumber,0),MATCH(S$3,PlotTitles,0)))=FALSE, $AB$22,TRUE,"")</f>
        <v/>
      </c>
      <c r="T499" s="104" t="str" cm="1">
        <f t="array" ref="T499">_xlfn.IFS(AND(A499&gt;NumberOfPlots,ISBLANK(INDEX(PlotData,MATCH($A499,PlotNumber,0),MATCH(B$3,PlotTitles,0)))),"",OR(AND(INDEX(PlotData,MATCH($A499,PlotNumber,0),MATCH("Tenure",PlotTitles,0))="Open market housing",INDEX(PlotData,MATCH($A499,PlotNumber,0),MATCH("Tenure detail",PlotTitles,0))="Private rented sector"),INDEX(PlotData,MATCH($A499,PlotNumber,0),MATCH("Tenure",PlotTitles,0))="Affordable rent"),"",INDEX(PlotData,MATCH($A499,PlotNumber,0),MATCH(S$3,PlotTitles,0))&lt;10000, $AB$23,TRUE,"")</f>
        <v/>
      </c>
      <c r="U499" s="104" t="str" cm="1">
        <f t="array" ref="U499">_xlfn.IFS(AND(A499&gt;NumberOfPlots,ISBLANK(INDEX(PlotData,MATCH($A499,PlotNumber,0),MATCH(B$3,PlotTitles,0)))),"",NOT(OR(AND(INDEX(PlotData,MATCH($A499,PlotNumber,0),MATCH("Tenure",PlotTitles,0))="Open market housing",INDEX(PlotData,MATCH($A499,PlotNumber,0),MATCH("Tenure detail",PlotTitles,0))="Private rented sector"),INDEX(PlotData,MATCH($A499,PlotNumber,0),MATCH("Tenure",PlotTitles,0))="Affordable rent")),"",NOT(INDEX(PlotData,MATCH($A499,PlotNumber,0),MATCH(S$3,PlotTitles,0))=0), $AB$24,TRUE,"")</f>
        <v/>
      </c>
      <c r="V499" s="114" t="str" cm="1">
        <f t="array" aca="1" ref="V499" ca="1">_xlfn.IFS(ISBLANK(NumberOfPlots),"Enter the number of homes on the 1_SetUp sheet",AND(A499&gt;NumberOfPlots,ISBLANK(INDEX(PlotData,MATCH($A499,PlotNumber,0),MATCH(B$3,PlotTitles,0)))),"No error",NOT(B499=""),B499,NOT(C499=""),C499,NOT(D499=""),D499,NOT(E499=""),E499,NOT(F499=""),F499,NOT(G499=""),G499,NOT(H499=""),H499,NOT(I499=""),I499,NOT(J499=""),J499,NOT(K499=""),K499,NOT(L499=""),L499,NOT(M499=""),M499,NOT(N499=""),N499,NOT(O499=""),O499,NOT(P499=""),P499,NOT(Q499=""),Q499,NOT(R499=""),R499,NOT(S499=""),S499,NOT(T499=""),T499,NOT(U499=""),U499,TRUE,"No error")</f>
        <v>Enter the number of homes on the 1_SetUp sheet</v>
      </c>
      <c r="W499" s="114" t="str">
        <f t="shared" ca="1" si="23"/>
        <v xml:space="preserve">The Borrower has not addressed the following error messages for Home ID 495: </v>
      </c>
    </row>
    <row r="500" spans="1:23">
      <c r="A500" s="123">
        <v>496</v>
      </c>
      <c r="B500" s="104" t="str" cm="1">
        <f t="array" ref="B500">_xlfn.IFS(AND(A500&gt;NumberOfPlots,ISBLANK(INDEX(PlotData,MATCH($A500,PlotNumber,0),MATCH(B$3,PlotTitles,0)))),"",ISNUMBER(INDEX(PlotData,MATCH($A500,PlotNumber,0),MATCH(B$3,PlotTitles,0)))=FALSE, $AB$5,TRUE,"")</f>
        <v/>
      </c>
      <c r="C500" s="104" t="str" cm="1">
        <f t="array" ref="C500">_xlfn.IFS(AND(A500&gt;NumberOfPlots,ISBLANK(INDEX(PlotData,MATCH($A500,PlotNumber,0),MATCH(B$3,PlotTitles,0)))),"",ISBLANK(INDEX(PlotData,MATCH($A500,PlotNumber,0),MATCH(C$3,PlotTitles,0))),$AB$6,TRUE,"")</f>
        <v/>
      </c>
      <c r="D500" s="104" t="str" cm="1">
        <f t="array" ref="D500">_xlfn.IFS(AND(A500&gt;NumberOfPlots,ISBLANK(INDEX(PlotData,MATCH($A500,PlotNumber,0),MATCH(B$3,PlotTitles,0)))),"",ISBLANK(INDEX(PlotData,MATCH($A500,PlotNumber,0),MATCH(D$3,PlotTitles,0))),$AB$7,TRUE,"")</f>
        <v/>
      </c>
      <c r="E500" s="104" t="str" cm="1">
        <f t="array" ref="E500">_xlfn.IFS(AND(A500&gt;NumberOfPlots,ISBLANK(INDEX(PlotData,MATCH($A500,PlotNumber,0),MATCH(B$3,PlotTitles,0)))),"",ISBLANK(INDEX(PlotData,MATCH($A500,PlotNumber,0),MATCH(E$3,PlotTitles,0))),$AB$8,TRUE,"")</f>
        <v/>
      </c>
      <c r="F500" s="104" t="str" cm="1">
        <f t="array" ref="F500">_xlfn.IFS(AND(A500&gt;NumberOfPlots,ISBLANK(INDEX(PlotData,MATCH($A500,PlotNumber,0),MATCH(B$3,PlotTitles,0)))),"",ISBLANK(INDEX(PlotData,MATCH($A500,PlotNumber,0),MATCH(F$3,PlotTitles,0))),$AB$9,TRUE,"")</f>
        <v/>
      </c>
      <c r="G500" s="104" t="str" cm="1">
        <f t="array" ref="G500">_xlfn.IFS(AND(A500&gt;NumberOfPlots,ISBLANK(INDEX(PlotData,MATCH($A500,PlotNumber,0),MATCH(B$3,PlotTitles,0)))),"",ISBLANK(INDEX(PlotData,MATCH($A500,PlotNumber,0),MATCH(G$3,PlotTitles,0))),$AB$10,TRUE,"")</f>
        <v/>
      </c>
      <c r="H500" s="104" t="str" cm="1">
        <f t="array" ref="H500">_xlfn.IFS(AND(A500&gt;NumberOfPlots,ISBLANK(INDEX(PlotData,MATCH($A500,PlotNumber,0),MATCH(B$3,PlotTitles,0)))),"",AND(ISBLANK(INDEX(PlotData,MATCH($A500,PlotNumber,0),MATCH(H$3,PlotTitles,0)))=FALSE,INDEX(PlotData,MATCH($A500,PlotNumber,0),MATCH(H$3,PlotTitles,0))&lt;500), $AB$11,TRUE,"")</f>
        <v/>
      </c>
      <c r="I500" s="104" t="str" cm="1">
        <f t="array" ref="I500">_xlfn.IFS(AND(A500&gt;NumberOfPlots,ISBLANK(INDEX(PlotData,MATCH($A500,PlotNumber,0),MATCH(B$3,PlotTitles,0)))),"",ISBLANK(INDEX(PlotData,MATCH($A500,PlotNumber,0),MATCH(I$3,PlotTitles,0))),$AB$12,TRUE,"")</f>
        <v/>
      </c>
      <c r="J500" s="104" t="str" cm="1">
        <f t="array" ref="J500">_xlfn.IFS(AND(A500&gt;NumberOfPlots,ISBLANK(INDEX(PlotData,MATCH($A500,PlotNumber,0),MATCH(B$3,PlotTitles,0)))),"",ISBLANK(INDEX(PlotData,MATCH($A500,PlotNumber,0),MATCH(J$3,PlotTitles,0))),$AB$13,TRUE,"")</f>
        <v/>
      </c>
      <c r="K500" s="182" t="str">
        <f t="shared" ca="1" si="21"/>
        <v/>
      </c>
      <c r="L500" s="104" t="str" cm="1">
        <f t="array" ref="L500">_xlfn.IFS(OR(ISBLANK(StartDateMonth),ISBLANK(StartDateYear)),"",AND(A500&gt;NumberOfPlots,ISBLANK(INDEX(PlotData,MATCH($A500,PlotNumber,0),MATCH(B$3,PlotTitles,0)))),"",ISBLANK(INDEX(PlotData,MATCH($A500,PlotNumber,0),MATCH(I$3,PlotTitles,0))),"",(DATEVALUE(INDEX(PlotData,MATCH($A500,PlotNumber,0),MATCH(I$3,PlotTitles,0))&amp;INDEX(PlotData,MATCH($A500,PlotNumber,0),MATCH(J$3,PlotTitles,0))))&lt;DATEVALUE(StartDateMonth&amp;StartDateYear),$AB$15,TRUE,"")</f>
        <v/>
      </c>
      <c r="M500" s="104" t="str" cm="1">
        <f t="array" ref="M500">_xlfn.IFS(OR(ISBLANK(StartDateMonth),ISBLANK(StartDateYear)),"",AND(A500&gt;NumberOfPlots,ISBLANK(INDEX(PlotData,MATCH($A500,PlotNumber,0),MATCH(B$3,PlotTitles,0)))),"",ISBLANK(INDEX(PlotData,MATCH($A500,PlotNumber,0),MATCH(I$3,PlotTitles,0))),"",CompletionMonth="","",(DATEVALUE(INDEX(PlotData,MATCH($A500,PlotNumber,0),MATCH(I$3,PlotTitles,0))&amp;INDEX(PlotData,MATCH($A500,PlotNumber,0),MATCH(J$3,PlotTitles,0))))&gt;(DATEVALUE(CompletionMonth&amp;CompletionYear)),$AB$16,TRUE,"")</f>
        <v/>
      </c>
      <c r="N500" s="104" t="str" cm="1">
        <f t="array" ref="N500">_xlfn.IFS(AND(A500&gt;NumberOfPlots,ISBLANK(INDEX(PlotData,MATCH($A500,PlotNumber,0),MATCH(B$3,PlotTitles,0)))),"",ISBLANK(INDEX(PlotData,MATCH($A500,PlotNumber,0),MATCH(N$3,PlotTitles,0))),$AB$17,TRUE,"")</f>
        <v/>
      </c>
      <c r="O500" s="104" t="str" cm="1">
        <f t="array" ref="O500">_xlfn.IFS(AND(A500&gt;NumberOfPlots,ISBLANK(INDEX(PlotData,MATCH($A500,PlotNumber,0),MATCH(B$3,PlotTitles,0)))),"",ISBLANK(INDEX(PlotData,MATCH($A500,PlotNumber,0),MATCH(O$3,PlotTitles,0))),$AB$18,TRUE,"")</f>
        <v/>
      </c>
      <c r="P500" s="182" t="str">
        <f t="shared" ca="1" si="22"/>
        <v/>
      </c>
      <c r="Q500" s="104" t="str" cm="1">
        <f t="array" ref="Q500">_xlfn.IFS(AND(A500&gt;NumberOfPlots,ISBLANK(INDEX(PlotData,MATCH($A500,PlotNumber,0),MATCH(B$3,PlotTitles,0)))),"",ISBLANK(INDEX(PlotData,MATCH($A500,PlotNumber,0),MATCH(N$3,PlotTitles,0))),"",(DATEVALUE(INDEX(PlotData,MATCH($A500,PlotNumber,0),MATCH(N$3,PlotTitles,0))&amp;INDEX(PlotData,MATCH($A500,PlotNumber,0),MATCH(O$3,PlotTitles,0))))&lt;(DATEVALUE(INDEX(PlotData,MATCH($A500,PlotNumber,0),MATCH(I$3,PlotTitles,0))&amp;INDEX(PlotData,MATCH($A500,PlotNumber,0),MATCH(J$3,PlotTitles,0)))),$AB$20,TRUE,"")</f>
        <v/>
      </c>
      <c r="R500" s="104" t="str" cm="1">
        <f t="array" ref="R500">_xlfn.IFS(OR(ISBLANK(StartDateMonth),ISBLANK(StartDateYear)),"",AND(A500&gt;NumberOfPlots,ISBLANK(INDEX(PlotData,MATCH($A500,PlotNumber,0),MATCH(B$3,PlotTitles,0)))),"",ISBLANK(INDEX(PlotData,MATCH($A500,PlotNumber,0),MATCH(N$3,PlotTitles,0))),"",CompletionMonth="","",(DATEVALUE(INDEX(PlotData,MATCH($A500,PlotNumber,0),MATCH(N$3,PlotTitles,0))&amp;INDEX(PlotData,MATCH($A500,PlotNumber,0),MATCH(O$3,PlotTitles,0))))&gt;(DATEVALUE(CompletionMonth&amp;CompletionYear)),$AB$21,TRUE,"")</f>
        <v/>
      </c>
      <c r="S500" s="104" t="str" cm="1">
        <f t="array" ref="S500">_xlfn.IFS(AND(A500&gt;NumberOfPlots,ISBLANK(INDEX(PlotData,MATCH($A500,PlotNumber,0),MATCH(B$3,PlotTitles,0)))),"",OR(AND(INDEX(PlotData,MATCH($A500,PlotNumber,0),MATCH("Tenure",PlotTitles,0))="Open market housing",INDEX(PlotData,MATCH($A500,PlotNumber,0),MATCH("Tenure detail",PlotTitles,0))="Private rented sector"),INDEX(PlotData,MATCH($A500,PlotNumber,0),MATCH("Tenure",PlotTitles,0))="Affordable rent"),"",ISNUMBER(INDEX(PlotData,MATCH($A500,PlotNumber,0),MATCH(S$3,PlotTitles,0)))=FALSE, $AB$22,TRUE,"")</f>
        <v/>
      </c>
      <c r="T500" s="104" t="str" cm="1">
        <f t="array" ref="T500">_xlfn.IFS(AND(A500&gt;NumberOfPlots,ISBLANK(INDEX(PlotData,MATCH($A500,PlotNumber,0),MATCH(B$3,PlotTitles,0)))),"",OR(AND(INDEX(PlotData,MATCH($A500,PlotNumber,0),MATCH("Tenure",PlotTitles,0))="Open market housing",INDEX(PlotData,MATCH($A500,PlotNumber,0),MATCH("Tenure detail",PlotTitles,0))="Private rented sector"),INDEX(PlotData,MATCH($A500,PlotNumber,0),MATCH("Tenure",PlotTitles,0))="Affordable rent"),"",INDEX(PlotData,MATCH($A500,PlotNumber,0),MATCH(S$3,PlotTitles,0))&lt;10000, $AB$23,TRUE,"")</f>
        <v/>
      </c>
      <c r="U500" s="104" t="str" cm="1">
        <f t="array" ref="U500">_xlfn.IFS(AND(A500&gt;NumberOfPlots,ISBLANK(INDEX(PlotData,MATCH($A500,PlotNumber,0),MATCH(B$3,PlotTitles,0)))),"",NOT(OR(AND(INDEX(PlotData,MATCH($A500,PlotNumber,0),MATCH("Tenure",PlotTitles,0))="Open market housing",INDEX(PlotData,MATCH($A500,PlotNumber,0),MATCH("Tenure detail",PlotTitles,0))="Private rented sector"),INDEX(PlotData,MATCH($A500,PlotNumber,0),MATCH("Tenure",PlotTitles,0))="Affordable rent")),"",NOT(INDEX(PlotData,MATCH($A500,PlotNumber,0),MATCH(S$3,PlotTitles,0))=0), $AB$24,TRUE,"")</f>
        <v/>
      </c>
      <c r="V500" s="114" t="str" cm="1">
        <f t="array" aca="1" ref="V500" ca="1">_xlfn.IFS(ISBLANK(NumberOfPlots),"Enter the number of homes on the 1_SetUp sheet",AND(A500&gt;NumberOfPlots,ISBLANK(INDEX(PlotData,MATCH($A500,PlotNumber,0),MATCH(B$3,PlotTitles,0)))),"No error",NOT(B500=""),B500,NOT(C500=""),C500,NOT(D500=""),D500,NOT(E500=""),E500,NOT(F500=""),F500,NOT(G500=""),G500,NOT(H500=""),H500,NOT(I500=""),I500,NOT(J500=""),J500,NOT(K500=""),K500,NOT(L500=""),L500,NOT(M500=""),M500,NOT(N500=""),N500,NOT(O500=""),O500,NOT(P500=""),P500,NOT(Q500=""),Q500,NOT(R500=""),R500,NOT(S500=""),S500,NOT(T500=""),T500,NOT(U500=""),U500,TRUE,"No error")</f>
        <v>Enter the number of homes on the 1_SetUp sheet</v>
      </c>
      <c r="W500" s="114" t="str">
        <f t="shared" ca="1" si="23"/>
        <v xml:space="preserve">The Borrower has not addressed the following error messages for Home ID 496: </v>
      </c>
    </row>
    <row r="501" spans="1:23">
      <c r="A501" s="123">
        <v>497</v>
      </c>
      <c r="B501" s="104" t="str" cm="1">
        <f t="array" ref="B501">_xlfn.IFS(AND(A501&gt;NumberOfPlots,ISBLANK(INDEX(PlotData,MATCH($A501,PlotNumber,0),MATCH(B$3,PlotTitles,0)))),"",ISNUMBER(INDEX(PlotData,MATCH($A501,PlotNumber,0),MATCH(B$3,PlotTitles,0)))=FALSE, $AB$5,TRUE,"")</f>
        <v/>
      </c>
      <c r="C501" s="104" t="str" cm="1">
        <f t="array" ref="C501">_xlfn.IFS(AND(A501&gt;NumberOfPlots,ISBLANK(INDEX(PlotData,MATCH($A501,PlotNumber,0),MATCH(B$3,PlotTitles,0)))),"",ISBLANK(INDEX(PlotData,MATCH($A501,PlotNumber,0),MATCH(C$3,PlotTitles,0))),$AB$6,TRUE,"")</f>
        <v/>
      </c>
      <c r="D501" s="104" t="str" cm="1">
        <f t="array" ref="D501">_xlfn.IFS(AND(A501&gt;NumberOfPlots,ISBLANK(INDEX(PlotData,MATCH($A501,PlotNumber,0),MATCH(B$3,PlotTitles,0)))),"",ISBLANK(INDEX(PlotData,MATCH($A501,PlotNumber,0),MATCH(D$3,PlotTitles,0))),$AB$7,TRUE,"")</f>
        <v/>
      </c>
      <c r="E501" s="104" t="str" cm="1">
        <f t="array" ref="E501">_xlfn.IFS(AND(A501&gt;NumberOfPlots,ISBLANK(INDEX(PlotData,MATCH($A501,PlotNumber,0),MATCH(B$3,PlotTitles,0)))),"",ISBLANK(INDEX(PlotData,MATCH($A501,PlotNumber,0),MATCH(E$3,PlotTitles,0))),$AB$8,TRUE,"")</f>
        <v/>
      </c>
      <c r="F501" s="104" t="str" cm="1">
        <f t="array" ref="F501">_xlfn.IFS(AND(A501&gt;NumberOfPlots,ISBLANK(INDEX(PlotData,MATCH($A501,PlotNumber,0),MATCH(B$3,PlotTitles,0)))),"",ISBLANK(INDEX(PlotData,MATCH($A501,PlotNumber,0),MATCH(F$3,PlotTitles,0))),$AB$9,TRUE,"")</f>
        <v/>
      </c>
      <c r="G501" s="104" t="str" cm="1">
        <f t="array" ref="G501">_xlfn.IFS(AND(A501&gt;NumberOfPlots,ISBLANK(INDEX(PlotData,MATCH($A501,PlotNumber,0),MATCH(B$3,PlotTitles,0)))),"",ISBLANK(INDEX(PlotData,MATCH($A501,PlotNumber,0),MATCH(G$3,PlotTitles,0))),$AB$10,TRUE,"")</f>
        <v/>
      </c>
      <c r="H501" s="104" t="str" cm="1">
        <f t="array" ref="H501">_xlfn.IFS(AND(A501&gt;NumberOfPlots,ISBLANK(INDEX(PlotData,MATCH($A501,PlotNumber,0),MATCH(B$3,PlotTitles,0)))),"",AND(ISBLANK(INDEX(PlotData,MATCH($A501,PlotNumber,0),MATCH(H$3,PlotTitles,0)))=FALSE,INDEX(PlotData,MATCH($A501,PlotNumber,0),MATCH(H$3,PlotTitles,0))&lt;500), $AB$11,TRUE,"")</f>
        <v/>
      </c>
      <c r="I501" s="104" t="str" cm="1">
        <f t="array" ref="I501">_xlfn.IFS(AND(A501&gt;NumberOfPlots,ISBLANK(INDEX(PlotData,MATCH($A501,PlotNumber,0),MATCH(B$3,PlotTitles,0)))),"",ISBLANK(INDEX(PlotData,MATCH($A501,PlotNumber,0),MATCH(I$3,PlotTitles,0))),$AB$12,TRUE,"")</f>
        <v/>
      </c>
      <c r="J501" s="104" t="str" cm="1">
        <f t="array" ref="J501">_xlfn.IFS(AND(A501&gt;NumberOfPlots,ISBLANK(INDEX(PlotData,MATCH($A501,PlotNumber,0),MATCH(B$3,PlotTitles,0)))),"",ISBLANK(INDEX(PlotData,MATCH($A501,PlotNumber,0),MATCH(J$3,PlotTitles,0))),$AB$13,TRUE,"")</f>
        <v/>
      </c>
      <c r="K501" s="182" t="str">
        <f t="shared" ca="1" si="21"/>
        <v/>
      </c>
      <c r="L501" s="104" t="str" cm="1">
        <f t="array" ref="L501">_xlfn.IFS(OR(ISBLANK(StartDateMonth),ISBLANK(StartDateYear)),"",AND(A501&gt;NumberOfPlots,ISBLANK(INDEX(PlotData,MATCH($A501,PlotNumber,0),MATCH(B$3,PlotTitles,0)))),"",ISBLANK(INDEX(PlotData,MATCH($A501,PlotNumber,0),MATCH(I$3,PlotTitles,0))),"",(DATEVALUE(INDEX(PlotData,MATCH($A501,PlotNumber,0),MATCH(I$3,PlotTitles,0))&amp;INDEX(PlotData,MATCH($A501,PlotNumber,0),MATCH(J$3,PlotTitles,0))))&lt;DATEVALUE(StartDateMonth&amp;StartDateYear),$AB$15,TRUE,"")</f>
        <v/>
      </c>
      <c r="M501" s="104" t="str" cm="1">
        <f t="array" ref="M501">_xlfn.IFS(OR(ISBLANK(StartDateMonth),ISBLANK(StartDateYear)),"",AND(A501&gt;NumberOfPlots,ISBLANK(INDEX(PlotData,MATCH($A501,PlotNumber,0),MATCH(B$3,PlotTitles,0)))),"",ISBLANK(INDEX(PlotData,MATCH($A501,PlotNumber,0),MATCH(I$3,PlotTitles,0))),"",CompletionMonth="","",(DATEVALUE(INDEX(PlotData,MATCH($A501,PlotNumber,0),MATCH(I$3,PlotTitles,0))&amp;INDEX(PlotData,MATCH($A501,PlotNumber,0),MATCH(J$3,PlotTitles,0))))&gt;(DATEVALUE(CompletionMonth&amp;CompletionYear)),$AB$16,TRUE,"")</f>
        <v/>
      </c>
      <c r="N501" s="104" t="str" cm="1">
        <f t="array" ref="N501">_xlfn.IFS(AND(A501&gt;NumberOfPlots,ISBLANK(INDEX(PlotData,MATCH($A501,PlotNumber,0),MATCH(B$3,PlotTitles,0)))),"",ISBLANK(INDEX(PlotData,MATCH($A501,PlotNumber,0),MATCH(N$3,PlotTitles,0))),$AB$17,TRUE,"")</f>
        <v/>
      </c>
      <c r="O501" s="104" t="str" cm="1">
        <f t="array" ref="O501">_xlfn.IFS(AND(A501&gt;NumberOfPlots,ISBLANK(INDEX(PlotData,MATCH($A501,PlotNumber,0),MATCH(B$3,PlotTitles,0)))),"",ISBLANK(INDEX(PlotData,MATCH($A501,PlotNumber,0),MATCH(O$3,PlotTitles,0))),$AB$18,TRUE,"")</f>
        <v/>
      </c>
      <c r="P501" s="182" t="str">
        <f t="shared" ca="1" si="22"/>
        <v/>
      </c>
      <c r="Q501" s="104" t="str" cm="1">
        <f t="array" ref="Q501">_xlfn.IFS(AND(A501&gt;NumberOfPlots,ISBLANK(INDEX(PlotData,MATCH($A501,PlotNumber,0),MATCH(B$3,PlotTitles,0)))),"",ISBLANK(INDEX(PlotData,MATCH($A501,PlotNumber,0),MATCH(N$3,PlotTitles,0))),"",(DATEVALUE(INDEX(PlotData,MATCH($A501,PlotNumber,0),MATCH(N$3,PlotTitles,0))&amp;INDEX(PlotData,MATCH($A501,PlotNumber,0),MATCH(O$3,PlotTitles,0))))&lt;(DATEVALUE(INDEX(PlotData,MATCH($A501,PlotNumber,0),MATCH(I$3,PlotTitles,0))&amp;INDEX(PlotData,MATCH($A501,PlotNumber,0),MATCH(J$3,PlotTitles,0)))),$AB$20,TRUE,"")</f>
        <v/>
      </c>
      <c r="R501" s="104" t="str" cm="1">
        <f t="array" ref="R501">_xlfn.IFS(OR(ISBLANK(StartDateMonth),ISBLANK(StartDateYear)),"",AND(A501&gt;NumberOfPlots,ISBLANK(INDEX(PlotData,MATCH($A501,PlotNumber,0),MATCH(B$3,PlotTitles,0)))),"",ISBLANK(INDEX(PlotData,MATCH($A501,PlotNumber,0),MATCH(N$3,PlotTitles,0))),"",CompletionMonth="","",(DATEVALUE(INDEX(PlotData,MATCH($A501,PlotNumber,0),MATCH(N$3,PlotTitles,0))&amp;INDEX(PlotData,MATCH($A501,PlotNumber,0),MATCH(O$3,PlotTitles,0))))&gt;(DATEVALUE(CompletionMonth&amp;CompletionYear)),$AB$21,TRUE,"")</f>
        <v/>
      </c>
      <c r="S501" s="104" t="str" cm="1">
        <f t="array" ref="S501">_xlfn.IFS(AND(A501&gt;NumberOfPlots,ISBLANK(INDEX(PlotData,MATCH($A501,PlotNumber,0),MATCH(B$3,PlotTitles,0)))),"",OR(AND(INDEX(PlotData,MATCH($A501,PlotNumber,0),MATCH("Tenure",PlotTitles,0))="Open market housing",INDEX(PlotData,MATCH($A501,PlotNumber,0),MATCH("Tenure detail",PlotTitles,0))="Private rented sector"),INDEX(PlotData,MATCH($A501,PlotNumber,0),MATCH("Tenure",PlotTitles,0))="Affordable rent"),"",ISNUMBER(INDEX(PlotData,MATCH($A501,PlotNumber,0),MATCH(S$3,PlotTitles,0)))=FALSE, $AB$22,TRUE,"")</f>
        <v/>
      </c>
      <c r="T501" s="104" t="str" cm="1">
        <f t="array" ref="T501">_xlfn.IFS(AND(A501&gt;NumberOfPlots,ISBLANK(INDEX(PlotData,MATCH($A501,PlotNumber,0),MATCH(B$3,PlotTitles,0)))),"",OR(AND(INDEX(PlotData,MATCH($A501,PlotNumber,0),MATCH("Tenure",PlotTitles,0))="Open market housing",INDEX(PlotData,MATCH($A501,PlotNumber,0),MATCH("Tenure detail",PlotTitles,0))="Private rented sector"),INDEX(PlotData,MATCH($A501,PlotNumber,0),MATCH("Tenure",PlotTitles,0))="Affordable rent"),"",INDEX(PlotData,MATCH($A501,PlotNumber,0),MATCH(S$3,PlotTitles,0))&lt;10000, $AB$23,TRUE,"")</f>
        <v/>
      </c>
      <c r="U501" s="104" t="str" cm="1">
        <f t="array" ref="U501">_xlfn.IFS(AND(A501&gt;NumberOfPlots,ISBLANK(INDEX(PlotData,MATCH($A501,PlotNumber,0),MATCH(B$3,PlotTitles,0)))),"",NOT(OR(AND(INDEX(PlotData,MATCH($A501,PlotNumber,0),MATCH("Tenure",PlotTitles,0))="Open market housing",INDEX(PlotData,MATCH($A501,PlotNumber,0),MATCH("Tenure detail",PlotTitles,0))="Private rented sector"),INDEX(PlotData,MATCH($A501,PlotNumber,0),MATCH("Tenure",PlotTitles,0))="Affordable rent")),"",NOT(INDEX(PlotData,MATCH($A501,PlotNumber,0),MATCH(S$3,PlotTitles,0))=0), $AB$24,TRUE,"")</f>
        <v/>
      </c>
      <c r="V501" s="114" t="str" cm="1">
        <f t="array" aca="1" ref="V501" ca="1">_xlfn.IFS(ISBLANK(NumberOfPlots),"Enter the number of homes on the 1_SetUp sheet",AND(A501&gt;NumberOfPlots,ISBLANK(INDEX(PlotData,MATCH($A501,PlotNumber,0),MATCH(B$3,PlotTitles,0)))),"No error",NOT(B501=""),B501,NOT(C501=""),C501,NOT(D501=""),D501,NOT(E501=""),E501,NOT(F501=""),F501,NOT(G501=""),G501,NOT(H501=""),H501,NOT(I501=""),I501,NOT(J501=""),J501,NOT(K501=""),K501,NOT(L501=""),L501,NOT(M501=""),M501,NOT(N501=""),N501,NOT(O501=""),O501,NOT(P501=""),P501,NOT(Q501=""),Q501,NOT(R501=""),R501,NOT(S501=""),S501,NOT(T501=""),T501,NOT(U501=""),U501,TRUE,"No error")</f>
        <v>Enter the number of homes on the 1_SetUp sheet</v>
      </c>
      <c r="W501" s="114" t="str">
        <f t="shared" ca="1" si="23"/>
        <v xml:space="preserve">The Borrower has not addressed the following error messages for Home ID 497: </v>
      </c>
    </row>
    <row r="502" spans="1:23">
      <c r="A502" s="123">
        <v>498</v>
      </c>
      <c r="B502" s="104" t="str" cm="1">
        <f t="array" ref="B502">_xlfn.IFS(AND(A502&gt;NumberOfPlots,ISBLANK(INDEX(PlotData,MATCH($A502,PlotNumber,0),MATCH(B$3,PlotTitles,0)))),"",ISNUMBER(INDEX(PlotData,MATCH($A502,PlotNumber,0),MATCH(B$3,PlotTitles,0)))=FALSE, $AB$5,TRUE,"")</f>
        <v/>
      </c>
      <c r="C502" s="104" t="str" cm="1">
        <f t="array" ref="C502">_xlfn.IFS(AND(A502&gt;NumberOfPlots,ISBLANK(INDEX(PlotData,MATCH($A502,PlotNumber,0),MATCH(B$3,PlotTitles,0)))),"",ISBLANK(INDEX(PlotData,MATCH($A502,PlotNumber,0),MATCH(C$3,PlotTitles,0))),$AB$6,TRUE,"")</f>
        <v/>
      </c>
      <c r="D502" s="104" t="str" cm="1">
        <f t="array" ref="D502">_xlfn.IFS(AND(A502&gt;NumberOfPlots,ISBLANK(INDEX(PlotData,MATCH($A502,PlotNumber,0),MATCH(B$3,PlotTitles,0)))),"",ISBLANK(INDEX(PlotData,MATCH($A502,PlotNumber,0),MATCH(D$3,PlotTitles,0))),$AB$7,TRUE,"")</f>
        <v/>
      </c>
      <c r="E502" s="104" t="str" cm="1">
        <f t="array" ref="E502">_xlfn.IFS(AND(A502&gt;NumberOfPlots,ISBLANK(INDEX(PlotData,MATCH($A502,PlotNumber,0),MATCH(B$3,PlotTitles,0)))),"",ISBLANK(INDEX(PlotData,MATCH($A502,PlotNumber,0),MATCH(E$3,PlotTitles,0))),$AB$8,TRUE,"")</f>
        <v/>
      </c>
      <c r="F502" s="104" t="str" cm="1">
        <f t="array" ref="F502">_xlfn.IFS(AND(A502&gt;NumberOfPlots,ISBLANK(INDEX(PlotData,MATCH($A502,PlotNumber,0),MATCH(B$3,PlotTitles,0)))),"",ISBLANK(INDEX(PlotData,MATCH($A502,PlotNumber,0),MATCH(F$3,PlotTitles,0))),$AB$9,TRUE,"")</f>
        <v/>
      </c>
      <c r="G502" s="104" t="str" cm="1">
        <f t="array" ref="G502">_xlfn.IFS(AND(A502&gt;NumberOfPlots,ISBLANK(INDEX(PlotData,MATCH($A502,PlotNumber,0),MATCH(B$3,PlotTitles,0)))),"",ISBLANK(INDEX(PlotData,MATCH($A502,PlotNumber,0),MATCH(G$3,PlotTitles,0))),$AB$10,TRUE,"")</f>
        <v/>
      </c>
      <c r="H502" s="104" t="str" cm="1">
        <f t="array" ref="H502">_xlfn.IFS(AND(A502&gt;NumberOfPlots,ISBLANK(INDEX(PlotData,MATCH($A502,PlotNumber,0),MATCH(B$3,PlotTitles,0)))),"",AND(ISBLANK(INDEX(PlotData,MATCH($A502,PlotNumber,0),MATCH(H$3,PlotTitles,0)))=FALSE,INDEX(PlotData,MATCH($A502,PlotNumber,0),MATCH(H$3,PlotTitles,0))&lt;500), $AB$11,TRUE,"")</f>
        <v/>
      </c>
      <c r="I502" s="104" t="str" cm="1">
        <f t="array" ref="I502">_xlfn.IFS(AND(A502&gt;NumberOfPlots,ISBLANK(INDEX(PlotData,MATCH($A502,PlotNumber,0),MATCH(B$3,PlotTitles,0)))),"",ISBLANK(INDEX(PlotData,MATCH($A502,PlotNumber,0),MATCH(I$3,PlotTitles,0))),$AB$12,TRUE,"")</f>
        <v/>
      </c>
      <c r="J502" s="104" t="str" cm="1">
        <f t="array" ref="J502">_xlfn.IFS(AND(A502&gt;NumberOfPlots,ISBLANK(INDEX(PlotData,MATCH($A502,PlotNumber,0),MATCH(B$3,PlotTitles,0)))),"",ISBLANK(INDEX(PlotData,MATCH($A502,PlotNumber,0),MATCH(J$3,PlotTitles,0))),$AB$13,TRUE,"")</f>
        <v/>
      </c>
      <c r="K502" s="182" t="str">
        <f t="shared" ca="1" si="21"/>
        <v/>
      </c>
      <c r="L502" s="104" t="str" cm="1">
        <f t="array" ref="L502">_xlfn.IFS(OR(ISBLANK(StartDateMonth),ISBLANK(StartDateYear)),"",AND(A502&gt;NumberOfPlots,ISBLANK(INDEX(PlotData,MATCH($A502,PlotNumber,0),MATCH(B$3,PlotTitles,0)))),"",ISBLANK(INDEX(PlotData,MATCH($A502,PlotNumber,0),MATCH(I$3,PlotTitles,0))),"",(DATEVALUE(INDEX(PlotData,MATCH($A502,PlotNumber,0),MATCH(I$3,PlotTitles,0))&amp;INDEX(PlotData,MATCH($A502,PlotNumber,0),MATCH(J$3,PlotTitles,0))))&lt;DATEVALUE(StartDateMonth&amp;StartDateYear),$AB$15,TRUE,"")</f>
        <v/>
      </c>
      <c r="M502" s="104" t="str" cm="1">
        <f t="array" ref="M502">_xlfn.IFS(OR(ISBLANK(StartDateMonth),ISBLANK(StartDateYear)),"",AND(A502&gt;NumberOfPlots,ISBLANK(INDEX(PlotData,MATCH($A502,PlotNumber,0),MATCH(B$3,PlotTitles,0)))),"",ISBLANK(INDEX(PlotData,MATCH($A502,PlotNumber,0),MATCH(I$3,PlotTitles,0))),"",CompletionMonth="","",(DATEVALUE(INDEX(PlotData,MATCH($A502,PlotNumber,0),MATCH(I$3,PlotTitles,0))&amp;INDEX(PlotData,MATCH($A502,PlotNumber,0),MATCH(J$3,PlotTitles,0))))&gt;(DATEVALUE(CompletionMonth&amp;CompletionYear)),$AB$16,TRUE,"")</f>
        <v/>
      </c>
      <c r="N502" s="104" t="str" cm="1">
        <f t="array" ref="N502">_xlfn.IFS(AND(A502&gt;NumberOfPlots,ISBLANK(INDEX(PlotData,MATCH($A502,PlotNumber,0),MATCH(B$3,PlotTitles,0)))),"",ISBLANK(INDEX(PlotData,MATCH($A502,PlotNumber,0),MATCH(N$3,PlotTitles,0))),$AB$17,TRUE,"")</f>
        <v/>
      </c>
      <c r="O502" s="104" t="str" cm="1">
        <f t="array" ref="O502">_xlfn.IFS(AND(A502&gt;NumberOfPlots,ISBLANK(INDEX(PlotData,MATCH($A502,PlotNumber,0),MATCH(B$3,PlotTitles,0)))),"",ISBLANK(INDEX(PlotData,MATCH($A502,PlotNumber,0),MATCH(O$3,PlotTitles,0))),$AB$18,TRUE,"")</f>
        <v/>
      </c>
      <c r="P502" s="182" t="str">
        <f t="shared" ca="1" si="22"/>
        <v/>
      </c>
      <c r="Q502" s="104" t="str" cm="1">
        <f t="array" ref="Q502">_xlfn.IFS(AND(A502&gt;NumberOfPlots,ISBLANK(INDEX(PlotData,MATCH($A502,PlotNumber,0),MATCH(B$3,PlotTitles,0)))),"",ISBLANK(INDEX(PlotData,MATCH($A502,PlotNumber,0),MATCH(N$3,PlotTitles,0))),"",(DATEVALUE(INDEX(PlotData,MATCH($A502,PlotNumber,0),MATCH(N$3,PlotTitles,0))&amp;INDEX(PlotData,MATCH($A502,PlotNumber,0),MATCH(O$3,PlotTitles,0))))&lt;(DATEVALUE(INDEX(PlotData,MATCH($A502,PlotNumber,0),MATCH(I$3,PlotTitles,0))&amp;INDEX(PlotData,MATCH($A502,PlotNumber,0),MATCH(J$3,PlotTitles,0)))),$AB$20,TRUE,"")</f>
        <v/>
      </c>
      <c r="R502" s="104" t="str" cm="1">
        <f t="array" ref="R502">_xlfn.IFS(OR(ISBLANK(StartDateMonth),ISBLANK(StartDateYear)),"",AND(A502&gt;NumberOfPlots,ISBLANK(INDEX(PlotData,MATCH($A502,PlotNumber,0),MATCH(B$3,PlotTitles,0)))),"",ISBLANK(INDEX(PlotData,MATCH($A502,PlotNumber,0),MATCH(N$3,PlotTitles,0))),"",CompletionMonth="","",(DATEVALUE(INDEX(PlotData,MATCH($A502,PlotNumber,0),MATCH(N$3,PlotTitles,0))&amp;INDEX(PlotData,MATCH($A502,PlotNumber,0),MATCH(O$3,PlotTitles,0))))&gt;(DATEVALUE(CompletionMonth&amp;CompletionYear)),$AB$21,TRUE,"")</f>
        <v/>
      </c>
      <c r="S502" s="104" t="str" cm="1">
        <f t="array" ref="S502">_xlfn.IFS(AND(A502&gt;NumberOfPlots,ISBLANK(INDEX(PlotData,MATCH($A502,PlotNumber,0),MATCH(B$3,PlotTitles,0)))),"",OR(AND(INDEX(PlotData,MATCH($A502,PlotNumber,0),MATCH("Tenure",PlotTitles,0))="Open market housing",INDEX(PlotData,MATCH($A502,PlotNumber,0),MATCH("Tenure detail",PlotTitles,0))="Private rented sector"),INDEX(PlotData,MATCH($A502,PlotNumber,0),MATCH("Tenure",PlotTitles,0))="Affordable rent"),"",ISNUMBER(INDEX(PlotData,MATCH($A502,PlotNumber,0),MATCH(S$3,PlotTitles,0)))=FALSE, $AB$22,TRUE,"")</f>
        <v/>
      </c>
      <c r="T502" s="104" t="str" cm="1">
        <f t="array" ref="T502">_xlfn.IFS(AND(A502&gt;NumberOfPlots,ISBLANK(INDEX(PlotData,MATCH($A502,PlotNumber,0),MATCH(B$3,PlotTitles,0)))),"",OR(AND(INDEX(PlotData,MATCH($A502,PlotNumber,0),MATCH("Tenure",PlotTitles,0))="Open market housing",INDEX(PlotData,MATCH($A502,PlotNumber,0),MATCH("Tenure detail",PlotTitles,0))="Private rented sector"),INDEX(PlotData,MATCH($A502,PlotNumber,0),MATCH("Tenure",PlotTitles,0))="Affordable rent"),"",INDEX(PlotData,MATCH($A502,PlotNumber,0),MATCH(S$3,PlotTitles,0))&lt;10000, $AB$23,TRUE,"")</f>
        <v/>
      </c>
      <c r="U502" s="104" t="str" cm="1">
        <f t="array" ref="U502">_xlfn.IFS(AND(A502&gt;NumberOfPlots,ISBLANK(INDEX(PlotData,MATCH($A502,PlotNumber,0),MATCH(B$3,PlotTitles,0)))),"",NOT(OR(AND(INDEX(PlotData,MATCH($A502,PlotNumber,0),MATCH("Tenure",PlotTitles,0))="Open market housing",INDEX(PlotData,MATCH($A502,PlotNumber,0),MATCH("Tenure detail",PlotTitles,0))="Private rented sector"),INDEX(PlotData,MATCH($A502,PlotNumber,0),MATCH("Tenure",PlotTitles,0))="Affordable rent")),"",NOT(INDEX(PlotData,MATCH($A502,PlotNumber,0),MATCH(S$3,PlotTitles,0))=0), $AB$24,TRUE,"")</f>
        <v/>
      </c>
      <c r="V502" s="114" t="str" cm="1">
        <f t="array" aca="1" ref="V502" ca="1">_xlfn.IFS(ISBLANK(NumberOfPlots),"Enter the number of homes on the 1_SetUp sheet",AND(A502&gt;NumberOfPlots,ISBLANK(INDEX(PlotData,MATCH($A502,PlotNumber,0),MATCH(B$3,PlotTitles,0)))),"No error",NOT(B502=""),B502,NOT(C502=""),C502,NOT(D502=""),D502,NOT(E502=""),E502,NOT(F502=""),F502,NOT(G502=""),G502,NOT(H502=""),H502,NOT(I502=""),I502,NOT(J502=""),J502,NOT(K502=""),K502,NOT(L502=""),L502,NOT(M502=""),M502,NOT(N502=""),N502,NOT(O502=""),O502,NOT(P502=""),P502,NOT(Q502=""),Q502,NOT(R502=""),R502,NOT(S502=""),S502,NOT(T502=""),T502,NOT(U502=""),U502,TRUE,"No error")</f>
        <v>Enter the number of homes on the 1_SetUp sheet</v>
      </c>
      <c r="W502" s="114" t="str">
        <f t="shared" ca="1" si="23"/>
        <v xml:space="preserve">The Borrower has not addressed the following error messages for Home ID 498: </v>
      </c>
    </row>
    <row r="503" spans="1:23">
      <c r="A503" s="123">
        <v>499</v>
      </c>
      <c r="B503" s="104" t="str" cm="1">
        <f t="array" ref="B503">_xlfn.IFS(AND(A503&gt;NumberOfPlots,ISBLANK(INDEX(PlotData,MATCH($A503,PlotNumber,0),MATCH(B$3,PlotTitles,0)))),"",ISNUMBER(INDEX(PlotData,MATCH($A503,PlotNumber,0),MATCH(B$3,PlotTitles,0)))=FALSE, $AB$5,TRUE,"")</f>
        <v/>
      </c>
      <c r="C503" s="104" t="str" cm="1">
        <f t="array" ref="C503">_xlfn.IFS(AND(A503&gt;NumberOfPlots,ISBLANK(INDEX(PlotData,MATCH($A503,PlotNumber,0),MATCH(B$3,PlotTitles,0)))),"",ISBLANK(INDEX(PlotData,MATCH($A503,PlotNumber,0),MATCH(C$3,PlotTitles,0))),$AB$6,TRUE,"")</f>
        <v/>
      </c>
      <c r="D503" s="104" t="str" cm="1">
        <f t="array" ref="D503">_xlfn.IFS(AND(A503&gt;NumberOfPlots,ISBLANK(INDEX(PlotData,MATCH($A503,PlotNumber,0),MATCH(B$3,PlotTitles,0)))),"",ISBLANK(INDEX(PlotData,MATCH($A503,PlotNumber,0),MATCH(D$3,PlotTitles,0))),$AB$7,TRUE,"")</f>
        <v/>
      </c>
      <c r="E503" s="104" t="str" cm="1">
        <f t="array" ref="E503">_xlfn.IFS(AND(A503&gt;NumberOfPlots,ISBLANK(INDEX(PlotData,MATCH($A503,PlotNumber,0),MATCH(B$3,PlotTitles,0)))),"",ISBLANK(INDEX(PlotData,MATCH($A503,PlotNumber,0),MATCH(E$3,PlotTitles,0))),$AB$8,TRUE,"")</f>
        <v/>
      </c>
      <c r="F503" s="104" t="str" cm="1">
        <f t="array" ref="F503">_xlfn.IFS(AND(A503&gt;NumberOfPlots,ISBLANK(INDEX(PlotData,MATCH($A503,PlotNumber,0),MATCH(B$3,PlotTitles,0)))),"",ISBLANK(INDEX(PlotData,MATCH($A503,PlotNumber,0),MATCH(F$3,PlotTitles,0))),$AB$9,TRUE,"")</f>
        <v/>
      </c>
      <c r="G503" s="104" t="str" cm="1">
        <f t="array" ref="G503">_xlfn.IFS(AND(A503&gt;NumberOfPlots,ISBLANK(INDEX(PlotData,MATCH($A503,PlotNumber,0),MATCH(B$3,PlotTitles,0)))),"",ISBLANK(INDEX(PlotData,MATCH($A503,PlotNumber,0),MATCH(G$3,PlotTitles,0))),$AB$10,TRUE,"")</f>
        <v/>
      </c>
      <c r="H503" s="104" t="str" cm="1">
        <f t="array" ref="H503">_xlfn.IFS(AND(A503&gt;NumberOfPlots,ISBLANK(INDEX(PlotData,MATCH($A503,PlotNumber,0),MATCH(B$3,PlotTitles,0)))),"",AND(ISBLANK(INDEX(PlotData,MATCH($A503,PlotNumber,0),MATCH(H$3,PlotTitles,0)))=FALSE,INDEX(PlotData,MATCH($A503,PlotNumber,0),MATCH(H$3,PlotTitles,0))&lt;500), $AB$11,TRUE,"")</f>
        <v/>
      </c>
      <c r="I503" s="104" t="str" cm="1">
        <f t="array" ref="I503">_xlfn.IFS(AND(A503&gt;NumberOfPlots,ISBLANK(INDEX(PlotData,MATCH($A503,PlotNumber,0),MATCH(B$3,PlotTitles,0)))),"",ISBLANK(INDEX(PlotData,MATCH($A503,PlotNumber,0),MATCH(I$3,PlotTitles,0))),$AB$12,TRUE,"")</f>
        <v/>
      </c>
      <c r="J503" s="104" t="str" cm="1">
        <f t="array" ref="J503">_xlfn.IFS(AND(A503&gt;NumberOfPlots,ISBLANK(INDEX(PlotData,MATCH($A503,PlotNumber,0),MATCH(B$3,PlotTitles,0)))),"",ISBLANK(INDEX(PlotData,MATCH($A503,PlotNumber,0),MATCH(J$3,PlotTitles,0))),$AB$13,TRUE,"")</f>
        <v/>
      </c>
      <c r="K503" s="182" t="str">
        <f t="shared" ca="1" si="21"/>
        <v/>
      </c>
      <c r="L503" s="104" t="str" cm="1">
        <f t="array" ref="L503">_xlfn.IFS(OR(ISBLANK(StartDateMonth),ISBLANK(StartDateYear)),"",AND(A503&gt;NumberOfPlots,ISBLANK(INDEX(PlotData,MATCH($A503,PlotNumber,0),MATCH(B$3,PlotTitles,0)))),"",ISBLANK(INDEX(PlotData,MATCH($A503,PlotNumber,0),MATCH(I$3,PlotTitles,0))),"",(DATEVALUE(INDEX(PlotData,MATCH($A503,PlotNumber,0),MATCH(I$3,PlotTitles,0))&amp;INDEX(PlotData,MATCH($A503,PlotNumber,0),MATCH(J$3,PlotTitles,0))))&lt;DATEVALUE(StartDateMonth&amp;StartDateYear),$AB$15,TRUE,"")</f>
        <v/>
      </c>
      <c r="M503" s="104" t="str" cm="1">
        <f t="array" ref="M503">_xlfn.IFS(OR(ISBLANK(StartDateMonth),ISBLANK(StartDateYear)),"",AND(A503&gt;NumberOfPlots,ISBLANK(INDEX(PlotData,MATCH($A503,PlotNumber,0),MATCH(B$3,PlotTitles,0)))),"",ISBLANK(INDEX(PlotData,MATCH($A503,PlotNumber,0),MATCH(I$3,PlotTitles,0))),"",CompletionMonth="","",(DATEVALUE(INDEX(PlotData,MATCH($A503,PlotNumber,0),MATCH(I$3,PlotTitles,0))&amp;INDEX(PlotData,MATCH($A503,PlotNumber,0),MATCH(J$3,PlotTitles,0))))&gt;(DATEVALUE(CompletionMonth&amp;CompletionYear)),$AB$16,TRUE,"")</f>
        <v/>
      </c>
      <c r="N503" s="104" t="str" cm="1">
        <f t="array" ref="N503">_xlfn.IFS(AND(A503&gt;NumberOfPlots,ISBLANK(INDEX(PlotData,MATCH($A503,PlotNumber,0),MATCH(B$3,PlotTitles,0)))),"",ISBLANK(INDEX(PlotData,MATCH($A503,PlotNumber,0),MATCH(N$3,PlotTitles,0))),$AB$17,TRUE,"")</f>
        <v/>
      </c>
      <c r="O503" s="104" t="str" cm="1">
        <f t="array" ref="O503">_xlfn.IFS(AND(A503&gt;NumberOfPlots,ISBLANK(INDEX(PlotData,MATCH($A503,PlotNumber,0),MATCH(B$3,PlotTitles,0)))),"",ISBLANK(INDEX(PlotData,MATCH($A503,PlotNumber,0),MATCH(O$3,PlotTitles,0))),$AB$18,TRUE,"")</f>
        <v/>
      </c>
      <c r="P503" s="182" t="str">
        <f t="shared" ca="1" si="22"/>
        <v/>
      </c>
      <c r="Q503" s="104" t="str" cm="1">
        <f t="array" ref="Q503">_xlfn.IFS(AND(A503&gt;NumberOfPlots,ISBLANK(INDEX(PlotData,MATCH($A503,PlotNumber,0),MATCH(B$3,PlotTitles,0)))),"",ISBLANK(INDEX(PlotData,MATCH($A503,PlotNumber,0),MATCH(N$3,PlotTitles,0))),"",(DATEVALUE(INDEX(PlotData,MATCH($A503,PlotNumber,0),MATCH(N$3,PlotTitles,0))&amp;INDEX(PlotData,MATCH($A503,PlotNumber,0),MATCH(O$3,PlotTitles,0))))&lt;(DATEVALUE(INDEX(PlotData,MATCH($A503,PlotNumber,0),MATCH(I$3,PlotTitles,0))&amp;INDEX(PlotData,MATCH($A503,PlotNumber,0),MATCH(J$3,PlotTitles,0)))),$AB$20,TRUE,"")</f>
        <v/>
      </c>
      <c r="R503" s="104" t="str" cm="1">
        <f t="array" ref="R503">_xlfn.IFS(OR(ISBLANK(StartDateMonth),ISBLANK(StartDateYear)),"",AND(A503&gt;NumberOfPlots,ISBLANK(INDEX(PlotData,MATCH($A503,PlotNumber,0),MATCH(B$3,PlotTitles,0)))),"",ISBLANK(INDEX(PlotData,MATCH($A503,PlotNumber,0),MATCH(N$3,PlotTitles,0))),"",CompletionMonth="","",(DATEVALUE(INDEX(PlotData,MATCH($A503,PlotNumber,0),MATCH(N$3,PlotTitles,0))&amp;INDEX(PlotData,MATCH($A503,PlotNumber,0),MATCH(O$3,PlotTitles,0))))&gt;(DATEVALUE(CompletionMonth&amp;CompletionYear)),$AB$21,TRUE,"")</f>
        <v/>
      </c>
      <c r="S503" s="104" t="str" cm="1">
        <f t="array" ref="S503">_xlfn.IFS(AND(A503&gt;NumberOfPlots,ISBLANK(INDEX(PlotData,MATCH($A503,PlotNumber,0),MATCH(B$3,PlotTitles,0)))),"",OR(AND(INDEX(PlotData,MATCH($A503,PlotNumber,0),MATCH("Tenure",PlotTitles,0))="Open market housing",INDEX(PlotData,MATCH($A503,PlotNumber,0),MATCH("Tenure detail",PlotTitles,0))="Private rented sector"),INDEX(PlotData,MATCH($A503,PlotNumber,0),MATCH("Tenure",PlotTitles,0))="Affordable rent"),"",ISNUMBER(INDEX(PlotData,MATCH($A503,PlotNumber,0),MATCH(S$3,PlotTitles,0)))=FALSE, $AB$22,TRUE,"")</f>
        <v/>
      </c>
      <c r="T503" s="104" t="str" cm="1">
        <f t="array" ref="T503">_xlfn.IFS(AND(A503&gt;NumberOfPlots,ISBLANK(INDEX(PlotData,MATCH($A503,PlotNumber,0),MATCH(B$3,PlotTitles,0)))),"",OR(AND(INDEX(PlotData,MATCH($A503,PlotNumber,0),MATCH("Tenure",PlotTitles,0))="Open market housing",INDEX(PlotData,MATCH($A503,PlotNumber,0),MATCH("Tenure detail",PlotTitles,0))="Private rented sector"),INDEX(PlotData,MATCH($A503,PlotNumber,0),MATCH("Tenure",PlotTitles,0))="Affordable rent"),"",INDEX(PlotData,MATCH($A503,PlotNumber,0),MATCH(S$3,PlotTitles,0))&lt;10000, $AB$23,TRUE,"")</f>
        <v/>
      </c>
      <c r="U503" s="104" t="str" cm="1">
        <f t="array" ref="U503">_xlfn.IFS(AND(A503&gt;NumberOfPlots,ISBLANK(INDEX(PlotData,MATCH($A503,PlotNumber,0),MATCH(B$3,PlotTitles,0)))),"",NOT(OR(AND(INDEX(PlotData,MATCH($A503,PlotNumber,0),MATCH("Tenure",PlotTitles,0))="Open market housing",INDEX(PlotData,MATCH($A503,PlotNumber,0),MATCH("Tenure detail",PlotTitles,0))="Private rented sector"),INDEX(PlotData,MATCH($A503,PlotNumber,0),MATCH("Tenure",PlotTitles,0))="Affordable rent")),"",NOT(INDEX(PlotData,MATCH($A503,PlotNumber,0),MATCH(S$3,PlotTitles,0))=0), $AB$24,TRUE,"")</f>
        <v/>
      </c>
      <c r="V503" s="114" t="str" cm="1">
        <f t="array" aca="1" ref="V503" ca="1">_xlfn.IFS(ISBLANK(NumberOfPlots),"Enter the number of homes on the 1_SetUp sheet",AND(A503&gt;NumberOfPlots,ISBLANK(INDEX(PlotData,MATCH($A503,PlotNumber,0),MATCH(B$3,PlotTitles,0)))),"No error",NOT(B503=""),B503,NOT(C503=""),C503,NOT(D503=""),D503,NOT(E503=""),E503,NOT(F503=""),F503,NOT(G503=""),G503,NOT(H503=""),H503,NOT(I503=""),I503,NOT(J503=""),J503,NOT(K503=""),K503,NOT(L503=""),L503,NOT(M503=""),M503,NOT(N503=""),N503,NOT(O503=""),O503,NOT(P503=""),P503,NOT(Q503=""),Q503,NOT(R503=""),R503,NOT(S503=""),S503,NOT(T503=""),T503,NOT(U503=""),U503,TRUE,"No error")</f>
        <v>Enter the number of homes on the 1_SetUp sheet</v>
      </c>
      <c r="W503" s="114" t="str">
        <f t="shared" ca="1" si="23"/>
        <v xml:space="preserve">The Borrower has not addressed the following error messages for Home ID 499: </v>
      </c>
    </row>
    <row r="504" spans="1:23">
      <c r="A504" s="123">
        <v>500</v>
      </c>
      <c r="B504" s="104" t="str" cm="1">
        <f t="array" ref="B504">_xlfn.IFS(AND(A504&gt;NumberOfPlots,ISBLANK(INDEX(PlotData,MATCH($A504,PlotNumber,0),MATCH(B$3,PlotTitles,0)))),"",ISNUMBER(INDEX(PlotData,MATCH($A504,PlotNumber,0),MATCH(B$3,PlotTitles,0)))=FALSE, $AB$5,TRUE,"")</f>
        <v/>
      </c>
      <c r="C504" s="104" t="str" cm="1">
        <f t="array" ref="C504">_xlfn.IFS(AND(A504&gt;NumberOfPlots,ISBLANK(INDEX(PlotData,MATCH($A504,PlotNumber,0),MATCH(B$3,PlotTitles,0)))),"",ISBLANK(INDEX(PlotData,MATCH($A504,PlotNumber,0),MATCH(C$3,PlotTitles,0))),$AB$6,TRUE,"")</f>
        <v/>
      </c>
      <c r="D504" s="104" t="str" cm="1">
        <f t="array" ref="D504">_xlfn.IFS(AND(A504&gt;NumberOfPlots,ISBLANK(INDEX(PlotData,MATCH($A504,PlotNumber,0),MATCH(B$3,PlotTitles,0)))),"",ISBLANK(INDEX(PlotData,MATCH($A504,PlotNumber,0),MATCH(D$3,PlotTitles,0))),$AB$7,TRUE,"")</f>
        <v/>
      </c>
      <c r="E504" s="104" t="str" cm="1">
        <f t="array" ref="E504">_xlfn.IFS(AND(A504&gt;NumberOfPlots,ISBLANK(INDEX(PlotData,MATCH($A504,PlotNumber,0),MATCH(B$3,PlotTitles,0)))),"",ISBLANK(INDEX(PlotData,MATCH($A504,PlotNumber,0),MATCH(E$3,PlotTitles,0))),$AB$8,TRUE,"")</f>
        <v/>
      </c>
      <c r="F504" s="104" t="str" cm="1">
        <f t="array" ref="F504">_xlfn.IFS(AND(A504&gt;NumberOfPlots,ISBLANK(INDEX(PlotData,MATCH($A504,PlotNumber,0),MATCH(B$3,PlotTitles,0)))),"",ISBLANK(INDEX(PlotData,MATCH($A504,PlotNumber,0),MATCH(F$3,PlotTitles,0))),$AB$9,TRUE,"")</f>
        <v/>
      </c>
      <c r="G504" s="104" t="str" cm="1">
        <f t="array" ref="G504">_xlfn.IFS(AND(A504&gt;NumberOfPlots,ISBLANK(INDEX(PlotData,MATCH($A504,PlotNumber,0),MATCH(B$3,PlotTitles,0)))),"",ISBLANK(INDEX(PlotData,MATCH($A504,PlotNumber,0),MATCH(G$3,PlotTitles,0))),$AB$10,TRUE,"")</f>
        <v/>
      </c>
      <c r="H504" s="104" t="str" cm="1">
        <f t="array" ref="H504">_xlfn.IFS(AND(A504&gt;NumberOfPlots,ISBLANK(INDEX(PlotData,MATCH($A504,PlotNumber,0),MATCH(B$3,PlotTitles,0)))),"",AND(ISBLANK(INDEX(PlotData,MATCH($A504,PlotNumber,0),MATCH(H$3,PlotTitles,0)))=FALSE,INDEX(PlotData,MATCH($A504,PlotNumber,0),MATCH(H$3,PlotTitles,0))&lt;500), $AB$11,TRUE,"")</f>
        <v/>
      </c>
      <c r="I504" s="104" t="str" cm="1">
        <f t="array" ref="I504">_xlfn.IFS(AND(A504&gt;NumberOfPlots,ISBLANK(INDEX(PlotData,MATCH($A504,PlotNumber,0),MATCH(B$3,PlotTitles,0)))),"",ISBLANK(INDEX(PlotData,MATCH($A504,PlotNumber,0),MATCH(I$3,PlotTitles,0))),$AB$12,TRUE,"")</f>
        <v/>
      </c>
      <c r="J504" s="104" t="str" cm="1">
        <f t="array" ref="J504">_xlfn.IFS(AND(A504&gt;NumberOfPlots,ISBLANK(INDEX(PlotData,MATCH($A504,PlotNumber,0),MATCH(B$3,PlotTitles,0)))),"",ISBLANK(INDEX(PlotData,MATCH($A504,PlotNumber,0),MATCH(J$3,PlotTitles,0))),$AB$13,TRUE,"")</f>
        <v/>
      </c>
      <c r="K504" s="182" t="str">
        <f t="shared" ca="1" si="21"/>
        <v/>
      </c>
      <c r="L504" s="104" t="str" cm="1">
        <f t="array" ref="L504">_xlfn.IFS(OR(ISBLANK(StartDateMonth),ISBLANK(StartDateYear)),"",AND(A504&gt;NumberOfPlots,ISBLANK(INDEX(PlotData,MATCH($A504,PlotNumber,0),MATCH(B$3,PlotTitles,0)))),"",ISBLANK(INDEX(PlotData,MATCH($A504,PlotNumber,0),MATCH(I$3,PlotTitles,0))),"",(DATEVALUE(INDEX(PlotData,MATCH($A504,PlotNumber,0),MATCH(I$3,PlotTitles,0))&amp;INDEX(PlotData,MATCH($A504,PlotNumber,0),MATCH(J$3,PlotTitles,0))))&lt;DATEVALUE(StartDateMonth&amp;StartDateYear),$AB$15,TRUE,"")</f>
        <v/>
      </c>
      <c r="M504" s="104" t="str" cm="1">
        <f t="array" ref="M504">_xlfn.IFS(OR(ISBLANK(StartDateMonth),ISBLANK(StartDateYear)),"",AND(A504&gt;NumberOfPlots,ISBLANK(INDEX(PlotData,MATCH($A504,PlotNumber,0),MATCH(B$3,PlotTitles,0)))),"",ISBLANK(INDEX(PlotData,MATCH($A504,PlotNumber,0),MATCH(I$3,PlotTitles,0))),"",CompletionMonth="","",(DATEVALUE(INDEX(PlotData,MATCH($A504,PlotNumber,0),MATCH(I$3,PlotTitles,0))&amp;INDEX(PlotData,MATCH($A504,PlotNumber,0),MATCH(J$3,PlotTitles,0))))&gt;(DATEVALUE(CompletionMonth&amp;CompletionYear)),$AB$16,TRUE,"")</f>
        <v/>
      </c>
      <c r="N504" s="104" t="str" cm="1">
        <f t="array" ref="N504">_xlfn.IFS(AND(A504&gt;NumberOfPlots,ISBLANK(INDEX(PlotData,MATCH($A504,PlotNumber,0),MATCH(B$3,PlotTitles,0)))),"",ISBLANK(INDEX(PlotData,MATCH($A504,PlotNumber,0),MATCH(N$3,PlotTitles,0))),$AB$17,TRUE,"")</f>
        <v/>
      </c>
      <c r="O504" s="104" t="str" cm="1">
        <f t="array" ref="O504">_xlfn.IFS(AND(A504&gt;NumberOfPlots,ISBLANK(INDEX(PlotData,MATCH($A504,PlotNumber,0),MATCH(B$3,PlotTitles,0)))),"",ISBLANK(INDEX(PlotData,MATCH($A504,PlotNumber,0),MATCH(O$3,PlotTitles,0))),$AB$18,TRUE,"")</f>
        <v/>
      </c>
      <c r="P504" s="182" t="str">
        <f t="shared" ca="1" si="22"/>
        <v/>
      </c>
      <c r="Q504" s="104" t="str" cm="1">
        <f t="array" ref="Q504">_xlfn.IFS(AND(A504&gt;NumberOfPlots,ISBLANK(INDEX(PlotData,MATCH($A504,PlotNumber,0),MATCH(B$3,PlotTitles,0)))),"",ISBLANK(INDEX(PlotData,MATCH($A504,PlotNumber,0),MATCH(N$3,PlotTitles,0))),"",(DATEVALUE(INDEX(PlotData,MATCH($A504,PlotNumber,0),MATCH(N$3,PlotTitles,0))&amp;INDEX(PlotData,MATCH($A504,PlotNumber,0),MATCH(O$3,PlotTitles,0))))&lt;(DATEVALUE(INDEX(PlotData,MATCH($A504,PlotNumber,0),MATCH(I$3,PlotTitles,0))&amp;INDEX(PlotData,MATCH($A504,PlotNumber,0),MATCH(J$3,PlotTitles,0)))),$AB$20,TRUE,"")</f>
        <v/>
      </c>
      <c r="R504" s="104" t="str" cm="1">
        <f t="array" ref="R504">_xlfn.IFS(OR(ISBLANK(StartDateMonth),ISBLANK(StartDateYear)),"",AND(A504&gt;NumberOfPlots,ISBLANK(INDEX(PlotData,MATCH($A504,PlotNumber,0),MATCH(B$3,PlotTitles,0)))),"",ISBLANK(INDEX(PlotData,MATCH($A504,PlotNumber,0),MATCH(N$3,PlotTitles,0))),"",CompletionMonth="","",(DATEVALUE(INDEX(PlotData,MATCH($A504,PlotNumber,0),MATCH(N$3,PlotTitles,0))&amp;INDEX(PlotData,MATCH($A504,PlotNumber,0),MATCH(O$3,PlotTitles,0))))&gt;(DATEVALUE(CompletionMonth&amp;CompletionYear)),$AB$21,TRUE,"")</f>
        <v/>
      </c>
      <c r="S504" s="104" t="str" cm="1">
        <f t="array" ref="S504">_xlfn.IFS(AND(A504&gt;NumberOfPlots,ISBLANK(INDEX(PlotData,MATCH($A504,PlotNumber,0),MATCH(B$3,PlotTitles,0)))),"",OR(AND(INDEX(PlotData,MATCH($A504,PlotNumber,0),MATCH("Tenure",PlotTitles,0))="Open market housing",INDEX(PlotData,MATCH($A504,PlotNumber,0),MATCH("Tenure detail",PlotTitles,0))="Private rented sector"),INDEX(PlotData,MATCH($A504,PlotNumber,0),MATCH("Tenure",PlotTitles,0))="Affordable rent"),"",ISNUMBER(INDEX(PlotData,MATCH($A504,PlotNumber,0),MATCH(S$3,PlotTitles,0)))=FALSE, $AB$22,TRUE,"")</f>
        <v/>
      </c>
      <c r="T504" s="104" t="str" cm="1">
        <f t="array" ref="T504">_xlfn.IFS(AND(A504&gt;NumberOfPlots,ISBLANK(INDEX(PlotData,MATCH($A504,PlotNumber,0),MATCH(B$3,PlotTitles,0)))),"",OR(AND(INDEX(PlotData,MATCH($A504,PlotNumber,0),MATCH("Tenure",PlotTitles,0))="Open market housing",INDEX(PlotData,MATCH($A504,PlotNumber,0),MATCH("Tenure detail",PlotTitles,0))="Private rented sector"),INDEX(PlotData,MATCH($A504,PlotNumber,0),MATCH("Tenure",PlotTitles,0))="Affordable rent"),"",INDEX(PlotData,MATCH($A504,PlotNumber,0),MATCH(S$3,PlotTitles,0))&lt;10000, $AB$23,TRUE,"")</f>
        <v/>
      </c>
      <c r="U504" s="104" t="str" cm="1">
        <f t="array" ref="U504">_xlfn.IFS(AND(A504&gt;NumberOfPlots,ISBLANK(INDEX(PlotData,MATCH($A504,PlotNumber,0),MATCH(B$3,PlotTitles,0)))),"",NOT(OR(AND(INDEX(PlotData,MATCH($A504,PlotNumber,0),MATCH("Tenure",PlotTitles,0))="Open market housing",INDEX(PlotData,MATCH($A504,PlotNumber,0),MATCH("Tenure detail",PlotTitles,0))="Private rented sector"),INDEX(PlotData,MATCH($A504,PlotNumber,0),MATCH("Tenure",PlotTitles,0))="Affordable rent")),"",NOT(INDEX(PlotData,MATCH($A504,PlotNumber,0),MATCH(S$3,PlotTitles,0))=0), $AB$24,TRUE,"")</f>
        <v/>
      </c>
      <c r="V504" s="114" t="str" cm="1">
        <f t="array" aca="1" ref="V504" ca="1">_xlfn.IFS(ISBLANK(NumberOfPlots),"Enter the number of homes on the 1_SetUp sheet",AND(A504&gt;NumberOfPlots,ISBLANK(INDEX(PlotData,MATCH($A504,PlotNumber,0),MATCH(B$3,PlotTitles,0)))),"No error",NOT(B504=""),B504,NOT(C504=""),C504,NOT(D504=""),D504,NOT(E504=""),E504,NOT(F504=""),F504,NOT(G504=""),G504,NOT(H504=""),H504,NOT(I504=""),I504,NOT(J504=""),J504,NOT(K504=""),K504,NOT(L504=""),L504,NOT(M504=""),M504,NOT(N504=""),N504,NOT(O504=""),O504,NOT(P504=""),P504,NOT(Q504=""),Q504,NOT(R504=""),R504,NOT(S504=""),S504,NOT(T504=""),T504,NOT(U504=""),U504,TRUE,"No error")</f>
        <v>Enter the number of homes on the 1_SetUp sheet</v>
      </c>
      <c r="W504" s="114" t="str">
        <f t="shared" ca="1" si="23"/>
        <v xml:space="preserve">The Borrower has not addressed the following error messages for Home ID 500: </v>
      </c>
    </row>
    <row r="505" spans="1:23">
      <c r="A505" s="123">
        <v>501</v>
      </c>
      <c r="B505" s="104" t="str" cm="1">
        <f t="array" ref="B505">_xlfn.IFS(AND(A505&gt;NumberOfPlots,ISBLANK(INDEX(PlotData,MATCH($A505,PlotNumber,0),MATCH(B$3,PlotTitles,0)))),"",ISNUMBER(INDEX(PlotData,MATCH($A505,PlotNumber,0),MATCH(B$3,PlotTitles,0)))=FALSE, $AB$5,TRUE,"")</f>
        <v/>
      </c>
      <c r="C505" s="104" t="str" cm="1">
        <f t="array" ref="C505">_xlfn.IFS(AND(A505&gt;NumberOfPlots,ISBLANK(INDEX(PlotData,MATCH($A505,PlotNumber,0),MATCH(B$3,PlotTitles,0)))),"",ISBLANK(INDEX(PlotData,MATCH($A505,PlotNumber,0),MATCH(C$3,PlotTitles,0))),$AB$6,TRUE,"")</f>
        <v/>
      </c>
      <c r="D505" s="104" t="str" cm="1">
        <f t="array" ref="D505">_xlfn.IFS(AND(A505&gt;NumberOfPlots,ISBLANK(INDEX(PlotData,MATCH($A505,PlotNumber,0),MATCH(B$3,PlotTitles,0)))),"",ISBLANK(INDEX(PlotData,MATCH($A505,PlotNumber,0),MATCH(D$3,PlotTitles,0))),$AB$7,TRUE,"")</f>
        <v/>
      </c>
      <c r="E505" s="104" t="str" cm="1">
        <f t="array" ref="E505">_xlfn.IFS(AND(A505&gt;NumberOfPlots,ISBLANK(INDEX(PlotData,MATCH($A505,PlotNumber,0),MATCH(B$3,PlotTitles,0)))),"",ISBLANK(INDEX(PlotData,MATCH($A505,PlotNumber,0),MATCH(E$3,PlotTitles,0))),$AB$8,TRUE,"")</f>
        <v/>
      </c>
      <c r="F505" s="104" t="str" cm="1">
        <f t="array" ref="F505">_xlfn.IFS(AND(A505&gt;NumberOfPlots,ISBLANK(INDEX(PlotData,MATCH($A505,PlotNumber,0),MATCH(B$3,PlotTitles,0)))),"",ISBLANK(INDEX(PlotData,MATCH($A505,PlotNumber,0),MATCH(F$3,PlotTitles,0))),$AB$9,TRUE,"")</f>
        <v/>
      </c>
      <c r="G505" s="104" t="str" cm="1">
        <f t="array" ref="G505">_xlfn.IFS(AND(A505&gt;NumberOfPlots,ISBLANK(INDEX(PlotData,MATCH($A505,PlotNumber,0),MATCH(B$3,PlotTitles,0)))),"",ISBLANK(INDEX(PlotData,MATCH($A505,PlotNumber,0),MATCH(G$3,PlotTitles,0))),$AB$10,TRUE,"")</f>
        <v/>
      </c>
      <c r="H505" s="104" t="str" cm="1">
        <f t="array" ref="H505">_xlfn.IFS(AND(A505&gt;NumberOfPlots,ISBLANK(INDEX(PlotData,MATCH($A505,PlotNumber,0),MATCH(B$3,PlotTitles,0)))),"",AND(ISBLANK(INDEX(PlotData,MATCH($A505,PlotNumber,0),MATCH(H$3,PlotTitles,0)))=FALSE,INDEX(PlotData,MATCH($A505,PlotNumber,0),MATCH(H$3,PlotTitles,0))&lt;500), $AB$11,TRUE,"")</f>
        <v/>
      </c>
      <c r="I505" s="104" t="str" cm="1">
        <f t="array" ref="I505">_xlfn.IFS(AND(A505&gt;NumberOfPlots,ISBLANK(INDEX(PlotData,MATCH($A505,PlotNumber,0),MATCH(B$3,PlotTitles,0)))),"",ISBLANK(INDEX(PlotData,MATCH($A505,PlotNumber,0),MATCH(I$3,PlotTitles,0))),$AB$12,TRUE,"")</f>
        <v/>
      </c>
      <c r="J505" s="104" t="str" cm="1">
        <f t="array" ref="J505">_xlfn.IFS(AND(A505&gt;NumberOfPlots,ISBLANK(INDEX(PlotData,MATCH($A505,PlotNumber,0),MATCH(B$3,PlotTitles,0)))),"",ISBLANK(INDEX(PlotData,MATCH($A505,PlotNumber,0),MATCH(J$3,PlotTitles,0))),$AB$13,TRUE,"")</f>
        <v/>
      </c>
      <c r="K505" s="182" t="str">
        <f t="shared" ca="1" si="21"/>
        <v/>
      </c>
      <c r="L505" s="104" t="str" cm="1">
        <f t="array" ref="L505">_xlfn.IFS(OR(ISBLANK(StartDateMonth),ISBLANK(StartDateYear)),"",AND(A505&gt;NumberOfPlots,ISBLANK(INDEX(PlotData,MATCH($A505,PlotNumber,0),MATCH(B$3,PlotTitles,0)))),"",ISBLANK(INDEX(PlotData,MATCH($A505,PlotNumber,0),MATCH(I$3,PlotTitles,0))),"",(DATEVALUE(INDEX(PlotData,MATCH($A505,PlotNumber,0),MATCH(I$3,PlotTitles,0))&amp;INDEX(PlotData,MATCH($A505,PlotNumber,0),MATCH(J$3,PlotTitles,0))))&lt;DATEVALUE(StartDateMonth&amp;StartDateYear),$AB$15,TRUE,"")</f>
        <v/>
      </c>
      <c r="M505" s="104" t="str" cm="1">
        <f t="array" ref="M505">_xlfn.IFS(OR(ISBLANK(StartDateMonth),ISBLANK(StartDateYear)),"",AND(A505&gt;NumberOfPlots,ISBLANK(INDEX(PlotData,MATCH($A505,PlotNumber,0),MATCH(B$3,PlotTitles,0)))),"",ISBLANK(INDEX(PlotData,MATCH($A505,PlotNumber,0),MATCH(I$3,PlotTitles,0))),"",CompletionMonth="","",(DATEVALUE(INDEX(PlotData,MATCH($A505,PlotNumber,0),MATCH(I$3,PlotTitles,0))&amp;INDEX(PlotData,MATCH($A505,PlotNumber,0),MATCH(J$3,PlotTitles,0))))&gt;(DATEVALUE(CompletionMonth&amp;CompletionYear)),$AB$16,TRUE,"")</f>
        <v/>
      </c>
      <c r="N505" s="104" t="str" cm="1">
        <f t="array" ref="N505">_xlfn.IFS(AND(A505&gt;NumberOfPlots,ISBLANK(INDEX(PlotData,MATCH($A505,PlotNumber,0),MATCH(B$3,PlotTitles,0)))),"",ISBLANK(INDEX(PlotData,MATCH($A505,PlotNumber,0),MATCH(N$3,PlotTitles,0))),$AB$17,TRUE,"")</f>
        <v/>
      </c>
      <c r="O505" s="104" t="str" cm="1">
        <f t="array" ref="O505">_xlfn.IFS(AND(A505&gt;NumberOfPlots,ISBLANK(INDEX(PlotData,MATCH($A505,PlotNumber,0),MATCH(B$3,PlotTitles,0)))),"",ISBLANK(INDEX(PlotData,MATCH($A505,PlotNumber,0),MATCH(O$3,PlotTitles,0))),$AB$18,TRUE,"")</f>
        <v/>
      </c>
      <c r="P505" s="182" t="str">
        <f t="shared" ca="1" si="22"/>
        <v/>
      </c>
      <c r="Q505" s="104" t="str" cm="1">
        <f t="array" ref="Q505">_xlfn.IFS(AND(A505&gt;NumberOfPlots,ISBLANK(INDEX(PlotData,MATCH($A505,PlotNumber,0),MATCH(B$3,PlotTitles,0)))),"",ISBLANK(INDEX(PlotData,MATCH($A505,PlotNumber,0),MATCH(N$3,PlotTitles,0))),"",(DATEVALUE(INDEX(PlotData,MATCH($A505,PlotNumber,0),MATCH(N$3,PlotTitles,0))&amp;INDEX(PlotData,MATCH($A505,PlotNumber,0),MATCH(O$3,PlotTitles,0))))&lt;(DATEVALUE(INDEX(PlotData,MATCH($A505,PlotNumber,0),MATCH(I$3,PlotTitles,0))&amp;INDEX(PlotData,MATCH($A505,PlotNumber,0),MATCH(J$3,PlotTitles,0)))),$AB$20,TRUE,"")</f>
        <v/>
      </c>
      <c r="R505" s="104" t="str" cm="1">
        <f t="array" ref="R505">_xlfn.IFS(OR(ISBLANK(StartDateMonth),ISBLANK(StartDateYear)),"",AND(A505&gt;NumberOfPlots,ISBLANK(INDEX(PlotData,MATCH($A505,PlotNumber,0),MATCH(B$3,PlotTitles,0)))),"",ISBLANK(INDEX(PlotData,MATCH($A505,PlotNumber,0),MATCH(N$3,PlotTitles,0))),"",CompletionMonth="","",(DATEVALUE(INDEX(PlotData,MATCH($A505,PlotNumber,0),MATCH(N$3,PlotTitles,0))&amp;INDEX(PlotData,MATCH($A505,PlotNumber,0),MATCH(O$3,PlotTitles,0))))&gt;(DATEVALUE(CompletionMonth&amp;CompletionYear)),$AB$21,TRUE,"")</f>
        <v/>
      </c>
      <c r="S505" s="104" t="str" cm="1">
        <f t="array" ref="S505">_xlfn.IFS(AND(A505&gt;NumberOfPlots,ISBLANK(INDEX(PlotData,MATCH($A505,PlotNumber,0),MATCH(B$3,PlotTitles,0)))),"",OR(AND(INDEX(PlotData,MATCH($A505,PlotNumber,0),MATCH("Tenure",PlotTitles,0))="Open market housing",INDEX(PlotData,MATCH($A505,PlotNumber,0),MATCH("Tenure detail",PlotTitles,0))="Private rented sector"),INDEX(PlotData,MATCH($A505,PlotNumber,0),MATCH("Tenure",PlotTitles,0))="Affordable rent"),"",ISNUMBER(INDEX(PlotData,MATCH($A505,PlotNumber,0),MATCH(S$3,PlotTitles,0)))=FALSE, $AB$22,TRUE,"")</f>
        <v/>
      </c>
      <c r="T505" s="104" t="str" cm="1">
        <f t="array" ref="T505">_xlfn.IFS(AND(A505&gt;NumberOfPlots,ISBLANK(INDEX(PlotData,MATCH($A505,PlotNumber,0),MATCH(B$3,PlotTitles,0)))),"",OR(AND(INDEX(PlotData,MATCH($A505,PlotNumber,0),MATCH("Tenure",PlotTitles,0))="Open market housing",INDEX(PlotData,MATCH($A505,PlotNumber,0),MATCH("Tenure detail",PlotTitles,0))="Private rented sector"),INDEX(PlotData,MATCH($A505,PlotNumber,0),MATCH("Tenure",PlotTitles,0))="Affordable rent"),"",INDEX(PlotData,MATCH($A505,PlotNumber,0),MATCH(S$3,PlotTitles,0))&lt;10000, $AB$23,TRUE,"")</f>
        <v/>
      </c>
      <c r="U505" s="104" t="str" cm="1">
        <f t="array" ref="U505">_xlfn.IFS(AND(A505&gt;NumberOfPlots,ISBLANK(INDEX(PlotData,MATCH($A505,PlotNumber,0),MATCH(B$3,PlotTitles,0)))),"",NOT(OR(AND(INDEX(PlotData,MATCH($A505,PlotNumber,0),MATCH("Tenure",PlotTitles,0))="Open market housing",INDEX(PlotData,MATCH($A505,PlotNumber,0),MATCH("Tenure detail",PlotTitles,0))="Private rented sector"),INDEX(PlotData,MATCH($A505,PlotNumber,0),MATCH("Tenure",PlotTitles,0))="Affordable rent")),"",NOT(INDEX(PlotData,MATCH($A505,PlotNumber,0),MATCH(S$3,PlotTitles,0))=0), $AB$24,TRUE,"")</f>
        <v/>
      </c>
      <c r="V505" s="114" t="str" cm="1">
        <f t="array" aca="1" ref="V505" ca="1">_xlfn.IFS(ISBLANK(NumberOfPlots),"Enter the number of homes on the 1_SetUp sheet",AND(A505&gt;NumberOfPlots,ISBLANK(INDEX(PlotData,MATCH($A505,PlotNumber,0),MATCH(B$3,PlotTitles,0)))),"No error",NOT(B505=""),B505,NOT(C505=""),C505,NOT(D505=""),D505,NOT(E505=""),E505,NOT(F505=""),F505,NOT(G505=""),G505,NOT(H505=""),H505,NOT(I505=""),I505,NOT(J505=""),J505,NOT(K505=""),K505,NOT(L505=""),L505,NOT(M505=""),M505,NOT(N505=""),N505,NOT(O505=""),O505,NOT(P505=""),P505,NOT(Q505=""),Q505,NOT(R505=""),R505,NOT(S505=""),S505,NOT(T505=""),T505,NOT(U505=""),U505,TRUE,"No error")</f>
        <v>Enter the number of homes on the 1_SetUp sheet</v>
      </c>
      <c r="W505" s="114" t="str">
        <f t="shared" ca="1" si="23"/>
        <v xml:space="preserve">The Borrower has not addressed the following error messages for Home ID 501: </v>
      </c>
    </row>
    <row r="506" spans="1:23">
      <c r="A506" s="123">
        <v>502</v>
      </c>
      <c r="B506" s="104" t="str" cm="1">
        <f t="array" ref="B506">_xlfn.IFS(AND(A506&gt;NumberOfPlots,ISBLANK(INDEX(PlotData,MATCH($A506,PlotNumber,0),MATCH(B$3,PlotTitles,0)))),"",ISNUMBER(INDEX(PlotData,MATCH($A506,PlotNumber,0),MATCH(B$3,PlotTitles,0)))=FALSE, $AB$5,TRUE,"")</f>
        <v/>
      </c>
      <c r="C506" s="104" t="str" cm="1">
        <f t="array" ref="C506">_xlfn.IFS(AND(A506&gt;NumberOfPlots,ISBLANK(INDEX(PlotData,MATCH($A506,PlotNumber,0),MATCH(B$3,PlotTitles,0)))),"",ISBLANK(INDEX(PlotData,MATCH($A506,PlotNumber,0),MATCH(C$3,PlotTitles,0))),$AB$6,TRUE,"")</f>
        <v/>
      </c>
      <c r="D506" s="104" t="str" cm="1">
        <f t="array" ref="D506">_xlfn.IFS(AND(A506&gt;NumberOfPlots,ISBLANK(INDEX(PlotData,MATCH($A506,PlotNumber,0),MATCH(B$3,PlotTitles,0)))),"",ISBLANK(INDEX(PlotData,MATCH($A506,PlotNumber,0),MATCH(D$3,PlotTitles,0))),$AB$7,TRUE,"")</f>
        <v/>
      </c>
      <c r="E506" s="104" t="str" cm="1">
        <f t="array" ref="E506">_xlfn.IFS(AND(A506&gt;NumberOfPlots,ISBLANK(INDEX(PlotData,MATCH($A506,PlotNumber,0),MATCH(B$3,PlotTitles,0)))),"",ISBLANK(INDEX(PlotData,MATCH($A506,PlotNumber,0),MATCH(E$3,PlotTitles,0))),$AB$8,TRUE,"")</f>
        <v/>
      </c>
      <c r="F506" s="104" t="str" cm="1">
        <f t="array" ref="F506">_xlfn.IFS(AND(A506&gt;NumberOfPlots,ISBLANK(INDEX(PlotData,MATCH($A506,PlotNumber,0),MATCH(B$3,PlotTitles,0)))),"",ISBLANK(INDEX(PlotData,MATCH($A506,PlotNumber,0),MATCH(F$3,PlotTitles,0))),$AB$9,TRUE,"")</f>
        <v/>
      </c>
      <c r="G506" s="104" t="str" cm="1">
        <f t="array" ref="G506">_xlfn.IFS(AND(A506&gt;NumberOfPlots,ISBLANK(INDEX(PlotData,MATCH($A506,PlotNumber,0),MATCH(B$3,PlotTitles,0)))),"",ISBLANK(INDEX(PlotData,MATCH($A506,PlotNumber,0),MATCH(G$3,PlotTitles,0))),$AB$10,TRUE,"")</f>
        <v/>
      </c>
      <c r="H506" s="104" t="str" cm="1">
        <f t="array" ref="H506">_xlfn.IFS(AND(A506&gt;NumberOfPlots,ISBLANK(INDEX(PlotData,MATCH($A506,PlotNumber,0),MATCH(B$3,PlotTitles,0)))),"",AND(ISBLANK(INDEX(PlotData,MATCH($A506,PlotNumber,0),MATCH(H$3,PlotTitles,0)))=FALSE,INDEX(PlotData,MATCH($A506,PlotNumber,0),MATCH(H$3,PlotTitles,0))&lt;500), $AB$11,TRUE,"")</f>
        <v/>
      </c>
      <c r="I506" s="104" t="str" cm="1">
        <f t="array" ref="I506">_xlfn.IFS(AND(A506&gt;NumberOfPlots,ISBLANK(INDEX(PlotData,MATCH($A506,PlotNumber,0),MATCH(B$3,PlotTitles,0)))),"",ISBLANK(INDEX(PlotData,MATCH($A506,PlotNumber,0),MATCH(I$3,PlotTitles,0))),$AB$12,TRUE,"")</f>
        <v/>
      </c>
      <c r="J506" s="104" t="str" cm="1">
        <f t="array" ref="J506">_xlfn.IFS(AND(A506&gt;NumberOfPlots,ISBLANK(INDEX(PlotData,MATCH($A506,PlotNumber,0),MATCH(B$3,PlotTitles,0)))),"",ISBLANK(INDEX(PlotData,MATCH($A506,PlotNumber,0),MATCH(J$3,PlotTitles,0))),$AB$13,TRUE,"")</f>
        <v/>
      </c>
      <c r="K506" s="182" t="str">
        <f t="shared" ca="1" si="21"/>
        <v/>
      </c>
      <c r="L506" s="104" t="str" cm="1">
        <f t="array" ref="L506">_xlfn.IFS(OR(ISBLANK(StartDateMonth),ISBLANK(StartDateYear)),"",AND(A506&gt;NumberOfPlots,ISBLANK(INDEX(PlotData,MATCH($A506,PlotNumber,0),MATCH(B$3,PlotTitles,0)))),"",ISBLANK(INDEX(PlotData,MATCH($A506,PlotNumber,0),MATCH(I$3,PlotTitles,0))),"",(DATEVALUE(INDEX(PlotData,MATCH($A506,PlotNumber,0),MATCH(I$3,PlotTitles,0))&amp;INDEX(PlotData,MATCH($A506,PlotNumber,0),MATCH(J$3,PlotTitles,0))))&lt;DATEVALUE(StartDateMonth&amp;StartDateYear),$AB$15,TRUE,"")</f>
        <v/>
      </c>
      <c r="M506" s="104" t="str" cm="1">
        <f t="array" ref="M506">_xlfn.IFS(OR(ISBLANK(StartDateMonth),ISBLANK(StartDateYear)),"",AND(A506&gt;NumberOfPlots,ISBLANK(INDEX(PlotData,MATCH($A506,PlotNumber,0),MATCH(B$3,PlotTitles,0)))),"",ISBLANK(INDEX(PlotData,MATCH($A506,PlotNumber,0),MATCH(I$3,PlotTitles,0))),"",CompletionMonth="","",(DATEVALUE(INDEX(PlotData,MATCH($A506,PlotNumber,0),MATCH(I$3,PlotTitles,0))&amp;INDEX(PlotData,MATCH($A506,PlotNumber,0),MATCH(J$3,PlotTitles,0))))&gt;(DATEVALUE(CompletionMonth&amp;CompletionYear)),$AB$16,TRUE,"")</f>
        <v/>
      </c>
      <c r="N506" s="104" t="str" cm="1">
        <f t="array" ref="N506">_xlfn.IFS(AND(A506&gt;NumberOfPlots,ISBLANK(INDEX(PlotData,MATCH($A506,PlotNumber,0),MATCH(B$3,PlotTitles,0)))),"",ISBLANK(INDEX(PlotData,MATCH($A506,PlotNumber,0),MATCH(N$3,PlotTitles,0))),$AB$17,TRUE,"")</f>
        <v/>
      </c>
      <c r="O506" s="104" t="str" cm="1">
        <f t="array" ref="O506">_xlfn.IFS(AND(A506&gt;NumberOfPlots,ISBLANK(INDEX(PlotData,MATCH($A506,PlotNumber,0),MATCH(B$3,PlotTitles,0)))),"",ISBLANK(INDEX(PlotData,MATCH($A506,PlotNumber,0),MATCH(O$3,PlotTitles,0))),$AB$18,TRUE,"")</f>
        <v/>
      </c>
      <c r="P506" s="182" t="str">
        <f t="shared" ca="1" si="22"/>
        <v/>
      </c>
      <c r="Q506" s="104" t="str" cm="1">
        <f t="array" ref="Q506">_xlfn.IFS(AND(A506&gt;NumberOfPlots,ISBLANK(INDEX(PlotData,MATCH($A506,PlotNumber,0),MATCH(B$3,PlotTitles,0)))),"",ISBLANK(INDEX(PlotData,MATCH($A506,PlotNumber,0),MATCH(N$3,PlotTitles,0))),"",(DATEVALUE(INDEX(PlotData,MATCH($A506,PlotNumber,0),MATCH(N$3,PlotTitles,0))&amp;INDEX(PlotData,MATCH($A506,PlotNumber,0),MATCH(O$3,PlotTitles,0))))&lt;(DATEVALUE(INDEX(PlotData,MATCH($A506,PlotNumber,0),MATCH(I$3,PlotTitles,0))&amp;INDEX(PlotData,MATCH($A506,PlotNumber,0),MATCH(J$3,PlotTitles,0)))),$AB$20,TRUE,"")</f>
        <v/>
      </c>
      <c r="R506" s="104" t="str" cm="1">
        <f t="array" ref="R506">_xlfn.IFS(OR(ISBLANK(StartDateMonth),ISBLANK(StartDateYear)),"",AND(A506&gt;NumberOfPlots,ISBLANK(INDEX(PlotData,MATCH($A506,PlotNumber,0),MATCH(B$3,PlotTitles,0)))),"",ISBLANK(INDEX(PlotData,MATCH($A506,PlotNumber,0),MATCH(N$3,PlotTitles,0))),"",CompletionMonth="","",(DATEVALUE(INDEX(PlotData,MATCH($A506,PlotNumber,0),MATCH(N$3,PlotTitles,0))&amp;INDEX(PlotData,MATCH($A506,PlotNumber,0),MATCH(O$3,PlotTitles,0))))&gt;(DATEVALUE(CompletionMonth&amp;CompletionYear)),$AB$21,TRUE,"")</f>
        <v/>
      </c>
      <c r="S506" s="104" t="str" cm="1">
        <f t="array" ref="S506">_xlfn.IFS(AND(A506&gt;NumberOfPlots,ISBLANK(INDEX(PlotData,MATCH($A506,PlotNumber,0),MATCH(B$3,PlotTitles,0)))),"",OR(AND(INDEX(PlotData,MATCH($A506,PlotNumber,0),MATCH("Tenure",PlotTitles,0))="Open market housing",INDEX(PlotData,MATCH($A506,PlotNumber,0),MATCH("Tenure detail",PlotTitles,0))="Private rented sector"),INDEX(PlotData,MATCH($A506,PlotNumber,0),MATCH("Tenure",PlotTitles,0))="Affordable rent"),"",ISNUMBER(INDEX(PlotData,MATCH($A506,PlotNumber,0),MATCH(S$3,PlotTitles,0)))=FALSE, $AB$22,TRUE,"")</f>
        <v/>
      </c>
      <c r="T506" s="104" t="str" cm="1">
        <f t="array" ref="T506">_xlfn.IFS(AND(A506&gt;NumberOfPlots,ISBLANK(INDEX(PlotData,MATCH($A506,PlotNumber,0),MATCH(B$3,PlotTitles,0)))),"",OR(AND(INDEX(PlotData,MATCH($A506,PlotNumber,0),MATCH("Tenure",PlotTitles,0))="Open market housing",INDEX(PlotData,MATCH($A506,PlotNumber,0),MATCH("Tenure detail",PlotTitles,0))="Private rented sector"),INDEX(PlotData,MATCH($A506,PlotNumber,0),MATCH("Tenure",PlotTitles,0))="Affordable rent"),"",INDEX(PlotData,MATCH($A506,PlotNumber,0),MATCH(S$3,PlotTitles,0))&lt;10000, $AB$23,TRUE,"")</f>
        <v/>
      </c>
      <c r="U506" s="104" t="str" cm="1">
        <f t="array" ref="U506">_xlfn.IFS(AND(A506&gt;NumberOfPlots,ISBLANK(INDEX(PlotData,MATCH($A506,PlotNumber,0),MATCH(B$3,PlotTitles,0)))),"",NOT(OR(AND(INDEX(PlotData,MATCH($A506,PlotNumber,0),MATCH("Tenure",PlotTitles,0))="Open market housing",INDEX(PlotData,MATCH($A506,PlotNumber,0),MATCH("Tenure detail",PlotTitles,0))="Private rented sector"),INDEX(PlotData,MATCH($A506,PlotNumber,0),MATCH("Tenure",PlotTitles,0))="Affordable rent")),"",NOT(INDEX(PlotData,MATCH($A506,PlotNumber,0),MATCH(S$3,PlotTitles,0))=0), $AB$24,TRUE,"")</f>
        <v/>
      </c>
      <c r="V506" s="114" t="str" cm="1">
        <f t="array" aca="1" ref="V506" ca="1">_xlfn.IFS(ISBLANK(NumberOfPlots),"Enter the number of homes on the 1_SetUp sheet",AND(A506&gt;NumberOfPlots,ISBLANK(INDEX(PlotData,MATCH($A506,PlotNumber,0),MATCH(B$3,PlotTitles,0)))),"No error",NOT(B506=""),B506,NOT(C506=""),C506,NOT(D506=""),D506,NOT(E506=""),E506,NOT(F506=""),F506,NOT(G506=""),G506,NOT(H506=""),H506,NOT(I506=""),I506,NOT(J506=""),J506,NOT(K506=""),K506,NOT(L506=""),L506,NOT(M506=""),M506,NOT(N506=""),N506,NOT(O506=""),O506,NOT(P506=""),P506,NOT(Q506=""),Q506,NOT(R506=""),R506,NOT(S506=""),S506,NOT(T506=""),T506,NOT(U506=""),U506,TRUE,"No error")</f>
        <v>Enter the number of homes on the 1_SetUp sheet</v>
      </c>
      <c r="W506" s="114" t="str">
        <f t="shared" ca="1" si="23"/>
        <v xml:space="preserve">The Borrower has not addressed the following error messages for Home ID 502: </v>
      </c>
    </row>
    <row r="507" spans="1:23">
      <c r="A507" s="123">
        <v>503</v>
      </c>
      <c r="B507" s="104" t="str" cm="1">
        <f t="array" ref="B507">_xlfn.IFS(AND(A507&gt;NumberOfPlots,ISBLANK(INDEX(PlotData,MATCH($A507,PlotNumber,0),MATCH(B$3,PlotTitles,0)))),"",ISNUMBER(INDEX(PlotData,MATCH($A507,PlotNumber,0),MATCH(B$3,PlotTitles,0)))=FALSE, $AB$5,TRUE,"")</f>
        <v/>
      </c>
      <c r="C507" s="104" t="str" cm="1">
        <f t="array" ref="C507">_xlfn.IFS(AND(A507&gt;NumberOfPlots,ISBLANK(INDEX(PlotData,MATCH($A507,PlotNumber,0),MATCH(B$3,PlotTitles,0)))),"",ISBLANK(INDEX(PlotData,MATCH($A507,PlotNumber,0),MATCH(C$3,PlotTitles,0))),$AB$6,TRUE,"")</f>
        <v/>
      </c>
      <c r="D507" s="104" t="str" cm="1">
        <f t="array" ref="D507">_xlfn.IFS(AND(A507&gt;NumberOfPlots,ISBLANK(INDEX(PlotData,MATCH($A507,PlotNumber,0),MATCH(B$3,PlotTitles,0)))),"",ISBLANK(INDEX(PlotData,MATCH($A507,PlotNumber,0),MATCH(D$3,PlotTitles,0))),$AB$7,TRUE,"")</f>
        <v/>
      </c>
      <c r="E507" s="104" t="str" cm="1">
        <f t="array" ref="E507">_xlfn.IFS(AND(A507&gt;NumberOfPlots,ISBLANK(INDEX(PlotData,MATCH($A507,PlotNumber,0),MATCH(B$3,PlotTitles,0)))),"",ISBLANK(INDEX(PlotData,MATCH($A507,PlotNumber,0),MATCH(E$3,PlotTitles,0))),$AB$8,TRUE,"")</f>
        <v/>
      </c>
      <c r="F507" s="104" t="str" cm="1">
        <f t="array" ref="F507">_xlfn.IFS(AND(A507&gt;NumberOfPlots,ISBLANK(INDEX(PlotData,MATCH($A507,PlotNumber,0),MATCH(B$3,PlotTitles,0)))),"",ISBLANK(INDEX(PlotData,MATCH($A507,PlotNumber,0),MATCH(F$3,PlotTitles,0))),$AB$9,TRUE,"")</f>
        <v/>
      </c>
      <c r="G507" s="104" t="str" cm="1">
        <f t="array" ref="G507">_xlfn.IFS(AND(A507&gt;NumberOfPlots,ISBLANK(INDEX(PlotData,MATCH($A507,PlotNumber,0),MATCH(B$3,PlotTitles,0)))),"",ISBLANK(INDEX(PlotData,MATCH($A507,PlotNumber,0),MATCH(G$3,PlotTitles,0))),$AB$10,TRUE,"")</f>
        <v/>
      </c>
      <c r="H507" s="104" t="str" cm="1">
        <f t="array" ref="H507">_xlfn.IFS(AND(A507&gt;NumberOfPlots,ISBLANK(INDEX(PlotData,MATCH($A507,PlotNumber,0),MATCH(B$3,PlotTitles,0)))),"",AND(ISBLANK(INDEX(PlotData,MATCH($A507,PlotNumber,0),MATCH(H$3,PlotTitles,0)))=FALSE,INDEX(PlotData,MATCH($A507,PlotNumber,0),MATCH(H$3,PlotTitles,0))&lt;500), $AB$11,TRUE,"")</f>
        <v/>
      </c>
      <c r="I507" s="104" t="str" cm="1">
        <f t="array" ref="I507">_xlfn.IFS(AND(A507&gt;NumberOfPlots,ISBLANK(INDEX(PlotData,MATCH($A507,PlotNumber,0),MATCH(B$3,PlotTitles,0)))),"",ISBLANK(INDEX(PlotData,MATCH($A507,PlotNumber,0),MATCH(I$3,PlotTitles,0))),$AB$12,TRUE,"")</f>
        <v/>
      </c>
      <c r="J507" s="104" t="str" cm="1">
        <f t="array" ref="J507">_xlfn.IFS(AND(A507&gt;NumberOfPlots,ISBLANK(INDEX(PlotData,MATCH($A507,PlotNumber,0),MATCH(B$3,PlotTitles,0)))),"",ISBLANK(INDEX(PlotData,MATCH($A507,PlotNumber,0),MATCH(J$3,PlotTitles,0))),$AB$13,TRUE,"")</f>
        <v/>
      </c>
      <c r="K507" s="182" t="str">
        <f t="shared" ca="1" si="21"/>
        <v/>
      </c>
      <c r="L507" s="104" t="str" cm="1">
        <f t="array" ref="L507">_xlfn.IFS(OR(ISBLANK(StartDateMonth),ISBLANK(StartDateYear)),"",AND(A507&gt;NumberOfPlots,ISBLANK(INDEX(PlotData,MATCH($A507,PlotNumber,0),MATCH(B$3,PlotTitles,0)))),"",ISBLANK(INDEX(PlotData,MATCH($A507,PlotNumber,0),MATCH(I$3,PlotTitles,0))),"",(DATEVALUE(INDEX(PlotData,MATCH($A507,PlotNumber,0),MATCH(I$3,PlotTitles,0))&amp;INDEX(PlotData,MATCH($A507,PlotNumber,0),MATCH(J$3,PlotTitles,0))))&lt;DATEVALUE(StartDateMonth&amp;StartDateYear),$AB$15,TRUE,"")</f>
        <v/>
      </c>
      <c r="M507" s="104" t="str" cm="1">
        <f t="array" ref="M507">_xlfn.IFS(OR(ISBLANK(StartDateMonth),ISBLANK(StartDateYear)),"",AND(A507&gt;NumberOfPlots,ISBLANK(INDEX(PlotData,MATCH($A507,PlotNumber,0),MATCH(B$3,PlotTitles,0)))),"",ISBLANK(INDEX(PlotData,MATCH($A507,PlotNumber,0),MATCH(I$3,PlotTitles,0))),"",CompletionMonth="","",(DATEVALUE(INDEX(PlotData,MATCH($A507,PlotNumber,0),MATCH(I$3,PlotTitles,0))&amp;INDEX(PlotData,MATCH($A507,PlotNumber,0),MATCH(J$3,PlotTitles,0))))&gt;(DATEVALUE(CompletionMonth&amp;CompletionYear)),$AB$16,TRUE,"")</f>
        <v/>
      </c>
      <c r="N507" s="104" t="str" cm="1">
        <f t="array" ref="N507">_xlfn.IFS(AND(A507&gt;NumberOfPlots,ISBLANK(INDEX(PlotData,MATCH($A507,PlotNumber,0),MATCH(B$3,PlotTitles,0)))),"",ISBLANK(INDEX(PlotData,MATCH($A507,PlotNumber,0),MATCH(N$3,PlotTitles,0))),$AB$17,TRUE,"")</f>
        <v/>
      </c>
      <c r="O507" s="104" t="str" cm="1">
        <f t="array" ref="O507">_xlfn.IFS(AND(A507&gt;NumberOfPlots,ISBLANK(INDEX(PlotData,MATCH($A507,PlotNumber,0),MATCH(B$3,PlotTitles,0)))),"",ISBLANK(INDEX(PlotData,MATCH($A507,PlotNumber,0),MATCH(O$3,PlotTitles,0))),$AB$18,TRUE,"")</f>
        <v/>
      </c>
      <c r="P507" s="182" t="str">
        <f t="shared" ca="1" si="22"/>
        <v/>
      </c>
      <c r="Q507" s="104" t="str" cm="1">
        <f t="array" ref="Q507">_xlfn.IFS(AND(A507&gt;NumberOfPlots,ISBLANK(INDEX(PlotData,MATCH($A507,PlotNumber,0),MATCH(B$3,PlotTitles,0)))),"",ISBLANK(INDEX(PlotData,MATCH($A507,PlotNumber,0),MATCH(N$3,PlotTitles,0))),"",(DATEVALUE(INDEX(PlotData,MATCH($A507,PlotNumber,0),MATCH(N$3,PlotTitles,0))&amp;INDEX(PlotData,MATCH($A507,PlotNumber,0),MATCH(O$3,PlotTitles,0))))&lt;(DATEVALUE(INDEX(PlotData,MATCH($A507,PlotNumber,0),MATCH(I$3,PlotTitles,0))&amp;INDEX(PlotData,MATCH($A507,PlotNumber,0),MATCH(J$3,PlotTitles,0)))),$AB$20,TRUE,"")</f>
        <v/>
      </c>
      <c r="R507" s="104" t="str" cm="1">
        <f t="array" ref="R507">_xlfn.IFS(OR(ISBLANK(StartDateMonth),ISBLANK(StartDateYear)),"",AND(A507&gt;NumberOfPlots,ISBLANK(INDEX(PlotData,MATCH($A507,PlotNumber,0),MATCH(B$3,PlotTitles,0)))),"",ISBLANK(INDEX(PlotData,MATCH($A507,PlotNumber,0),MATCH(N$3,PlotTitles,0))),"",CompletionMonth="","",(DATEVALUE(INDEX(PlotData,MATCH($A507,PlotNumber,0),MATCH(N$3,PlotTitles,0))&amp;INDEX(PlotData,MATCH($A507,PlotNumber,0),MATCH(O$3,PlotTitles,0))))&gt;(DATEVALUE(CompletionMonth&amp;CompletionYear)),$AB$21,TRUE,"")</f>
        <v/>
      </c>
      <c r="S507" s="104" t="str" cm="1">
        <f t="array" ref="S507">_xlfn.IFS(AND(A507&gt;NumberOfPlots,ISBLANK(INDEX(PlotData,MATCH($A507,PlotNumber,0),MATCH(B$3,PlotTitles,0)))),"",OR(AND(INDEX(PlotData,MATCH($A507,PlotNumber,0),MATCH("Tenure",PlotTitles,0))="Open market housing",INDEX(PlotData,MATCH($A507,PlotNumber,0),MATCH("Tenure detail",PlotTitles,0))="Private rented sector"),INDEX(PlotData,MATCH($A507,PlotNumber,0),MATCH("Tenure",PlotTitles,0))="Affordable rent"),"",ISNUMBER(INDEX(PlotData,MATCH($A507,PlotNumber,0),MATCH(S$3,PlotTitles,0)))=FALSE, $AB$22,TRUE,"")</f>
        <v/>
      </c>
      <c r="T507" s="104" t="str" cm="1">
        <f t="array" ref="T507">_xlfn.IFS(AND(A507&gt;NumberOfPlots,ISBLANK(INDEX(PlotData,MATCH($A507,PlotNumber,0),MATCH(B$3,PlotTitles,0)))),"",OR(AND(INDEX(PlotData,MATCH($A507,PlotNumber,0),MATCH("Tenure",PlotTitles,0))="Open market housing",INDEX(PlotData,MATCH($A507,PlotNumber,0),MATCH("Tenure detail",PlotTitles,0))="Private rented sector"),INDEX(PlotData,MATCH($A507,PlotNumber,0),MATCH("Tenure",PlotTitles,0))="Affordable rent"),"",INDEX(PlotData,MATCH($A507,PlotNumber,0),MATCH(S$3,PlotTitles,0))&lt;10000, $AB$23,TRUE,"")</f>
        <v/>
      </c>
      <c r="U507" s="104" t="str" cm="1">
        <f t="array" ref="U507">_xlfn.IFS(AND(A507&gt;NumberOfPlots,ISBLANK(INDEX(PlotData,MATCH($A507,PlotNumber,0),MATCH(B$3,PlotTitles,0)))),"",NOT(OR(AND(INDEX(PlotData,MATCH($A507,PlotNumber,0),MATCH("Tenure",PlotTitles,0))="Open market housing",INDEX(PlotData,MATCH($A507,PlotNumber,0),MATCH("Tenure detail",PlotTitles,0))="Private rented sector"),INDEX(PlotData,MATCH($A507,PlotNumber,0),MATCH("Tenure",PlotTitles,0))="Affordable rent")),"",NOT(INDEX(PlotData,MATCH($A507,PlotNumber,0),MATCH(S$3,PlotTitles,0))=0), $AB$24,TRUE,"")</f>
        <v/>
      </c>
      <c r="V507" s="114" t="str" cm="1">
        <f t="array" aca="1" ref="V507" ca="1">_xlfn.IFS(ISBLANK(NumberOfPlots),"Enter the number of homes on the 1_SetUp sheet",AND(A507&gt;NumberOfPlots,ISBLANK(INDEX(PlotData,MATCH($A507,PlotNumber,0),MATCH(B$3,PlotTitles,0)))),"No error",NOT(B507=""),B507,NOT(C507=""),C507,NOT(D507=""),D507,NOT(E507=""),E507,NOT(F507=""),F507,NOT(G507=""),G507,NOT(H507=""),H507,NOT(I507=""),I507,NOT(J507=""),J507,NOT(K507=""),K507,NOT(L507=""),L507,NOT(M507=""),M507,NOT(N507=""),N507,NOT(O507=""),O507,NOT(P507=""),P507,NOT(Q507=""),Q507,NOT(R507=""),R507,NOT(S507=""),S507,NOT(T507=""),T507,NOT(U507=""),U507,TRUE,"No error")</f>
        <v>Enter the number of homes on the 1_SetUp sheet</v>
      </c>
      <c r="W507" s="114" t="str">
        <f t="shared" ca="1" si="23"/>
        <v xml:space="preserve">The Borrower has not addressed the following error messages for Home ID 503: </v>
      </c>
    </row>
    <row r="508" spans="1:23">
      <c r="A508" s="123">
        <v>504</v>
      </c>
      <c r="B508" s="104" t="str" cm="1">
        <f t="array" ref="B508">_xlfn.IFS(AND(A508&gt;NumberOfPlots,ISBLANK(INDEX(PlotData,MATCH($A508,PlotNumber,0),MATCH(B$3,PlotTitles,0)))),"",ISNUMBER(INDEX(PlotData,MATCH($A508,PlotNumber,0),MATCH(B$3,PlotTitles,0)))=FALSE, $AB$5,TRUE,"")</f>
        <v/>
      </c>
      <c r="C508" s="104" t="str" cm="1">
        <f t="array" ref="C508">_xlfn.IFS(AND(A508&gt;NumberOfPlots,ISBLANK(INDEX(PlotData,MATCH($A508,PlotNumber,0),MATCH(B$3,PlotTitles,0)))),"",ISBLANK(INDEX(PlotData,MATCH($A508,PlotNumber,0),MATCH(C$3,PlotTitles,0))),$AB$6,TRUE,"")</f>
        <v/>
      </c>
      <c r="D508" s="104" t="str" cm="1">
        <f t="array" ref="D508">_xlfn.IFS(AND(A508&gt;NumberOfPlots,ISBLANK(INDEX(PlotData,MATCH($A508,PlotNumber,0),MATCH(B$3,PlotTitles,0)))),"",ISBLANK(INDEX(PlotData,MATCH($A508,PlotNumber,0),MATCH(D$3,PlotTitles,0))),$AB$7,TRUE,"")</f>
        <v/>
      </c>
      <c r="E508" s="104" t="str" cm="1">
        <f t="array" ref="E508">_xlfn.IFS(AND(A508&gt;NumberOfPlots,ISBLANK(INDEX(PlotData,MATCH($A508,PlotNumber,0),MATCH(B$3,PlotTitles,0)))),"",ISBLANK(INDEX(PlotData,MATCH($A508,PlotNumber,0),MATCH(E$3,PlotTitles,0))),$AB$8,TRUE,"")</f>
        <v/>
      </c>
      <c r="F508" s="104" t="str" cm="1">
        <f t="array" ref="F508">_xlfn.IFS(AND(A508&gt;NumberOfPlots,ISBLANK(INDEX(PlotData,MATCH($A508,PlotNumber,0),MATCH(B$3,PlotTitles,0)))),"",ISBLANK(INDEX(PlotData,MATCH($A508,PlotNumber,0),MATCH(F$3,PlotTitles,0))),$AB$9,TRUE,"")</f>
        <v/>
      </c>
      <c r="G508" s="104" t="str" cm="1">
        <f t="array" ref="G508">_xlfn.IFS(AND(A508&gt;NumberOfPlots,ISBLANK(INDEX(PlotData,MATCH($A508,PlotNumber,0),MATCH(B$3,PlotTitles,0)))),"",ISBLANK(INDEX(PlotData,MATCH($A508,PlotNumber,0),MATCH(G$3,PlotTitles,0))),$AB$10,TRUE,"")</f>
        <v/>
      </c>
      <c r="H508" s="104" t="str" cm="1">
        <f t="array" ref="H508">_xlfn.IFS(AND(A508&gt;NumberOfPlots,ISBLANK(INDEX(PlotData,MATCH($A508,PlotNumber,0),MATCH(B$3,PlotTitles,0)))),"",AND(ISBLANK(INDEX(PlotData,MATCH($A508,PlotNumber,0),MATCH(H$3,PlotTitles,0)))=FALSE,INDEX(PlotData,MATCH($A508,PlotNumber,0),MATCH(H$3,PlotTitles,0))&lt;500), $AB$11,TRUE,"")</f>
        <v/>
      </c>
      <c r="I508" s="104" t="str" cm="1">
        <f t="array" ref="I508">_xlfn.IFS(AND(A508&gt;NumberOfPlots,ISBLANK(INDEX(PlotData,MATCH($A508,PlotNumber,0),MATCH(B$3,PlotTitles,0)))),"",ISBLANK(INDEX(PlotData,MATCH($A508,PlotNumber,0),MATCH(I$3,PlotTitles,0))),$AB$12,TRUE,"")</f>
        <v/>
      </c>
      <c r="J508" s="104" t="str" cm="1">
        <f t="array" ref="J508">_xlfn.IFS(AND(A508&gt;NumberOfPlots,ISBLANK(INDEX(PlotData,MATCH($A508,PlotNumber,0),MATCH(B$3,PlotTitles,0)))),"",ISBLANK(INDEX(PlotData,MATCH($A508,PlotNumber,0),MATCH(J$3,PlotTitles,0))),$AB$13,TRUE,"")</f>
        <v/>
      </c>
      <c r="K508" s="182" t="str">
        <f t="shared" ca="1" si="21"/>
        <v/>
      </c>
      <c r="L508" s="104" t="str" cm="1">
        <f t="array" ref="L508">_xlfn.IFS(OR(ISBLANK(StartDateMonth),ISBLANK(StartDateYear)),"",AND(A508&gt;NumberOfPlots,ISBLANK(INDEX(PlotData,MATCH($A508,PlotNumber,0),MATCH(B$3,PlotTitles,0)))),"",ISBLANK(INDEX(PlotData,MATCH($A508,PlotNumber,0),MATCH(I$3,PlotTitles,0))),"",(DATEVALUE(INDEX(PlotData,MATCH($A508,PlotNumber,0),MATCH(I$3,PlotTitles,0))&amp;INDEX(PlotData,MATCH($A508,PlotNumber,0),MATCH(J$3,PlotTitles,0))))&lt;DATEVALUE(StartDateMonth&amp;StartDateYear),$AB$15,TRUE,"")</f>
        <v/>
      </c>
      <c r="M508" s="104" t="str" cm="1">
        <f t="array" ref="M508">_xlfn.IFS(OR(ISBLANK(StartDateMonth),ISBLANK(StartDateYear)),"",AND(A508&gt;NumberOfPlots,ISBLANK(INDEX(PlotData,MATCH($A508,PlotNumber,0),MATCH(B$3,PlotTitles,0)))),"",ISBLANK(INDEX(PlotData,MATCH($A508,PlotNumber,0),MATCH(I$3,PlotTitles,0))),"",CompletionMonth="","",(DATEVALUE(INDEX(PlotData,MATCH($A508,PlotNumber,0),MATCH(I$3,PlotTitles,0))&amp;INDEX(PlotData,MATCH($A508,PlotNumber,0),MATCH(J$3,PlotTitles,0))))&gt;(DATEVALUE(CompletionMonth&amp;CompletionYear)),$AB$16,TRUE,"")</f>
        <v/>
      </c>
      <c r="N508" s="104" t="str" cm="1">
        <f t="array" ref="N508">_xlfn.IFS(AND(A508&gt;NumberOfPlots,ISBLANK(INDEX(PlotData,MATCH($A508,PlotNumber,0),MATCH(B$3,PlotTitles,0)))),"",ISBLANK(INDEX(PlotData,MATCH($A508,PlotNumber,0),MATCH(N$3,PlotTitles,0))),$AB$17,TRUE,"")</f>
        <v/>
      </c>
      <c r="O508" s="104" t="str" cm="1">
        <f t="array" ref="O508">_xlfn.IFS(AND(A508&gt;NumberOfPlots,ISBLANK(INDEX(PlotData,MATCH($A508,PlotNumber,0),MATCH(B$3,PlotTitles,0)))),"",ISBLANK(INDEX(PlotData,MATCH($A508,PlotNumber,0),MATCH(O$3,PlotTitles,0))),$AB$18,TRUE,"")</f>
        <v/>
      </c>
      <c r="P508" s="182" t="str">
        <f t="shared" ca="1" si="22"/>
        <v/>
      </c>
      <c r="Q508" s="104" t="str" cm="1">
        <f t="array" ref="Q508">_xlfn.IFS(AND(A508&gt;NumberOfPlots,ISBLANK(INDEX(PlotData,MATCH($A508,PlotNumber,0),MATCH(B$3,PlotTitles,0)))),"",ISBLANK(INDEX(PlotData,MATCH($A508,PlotNumber,0),MATCH(N$3,PlotTitles,0))),"",(DATEVALUE(INDEX(PlotData,MATCH($A508,PlotNumber,0),MATCH(N$3,PlotTitles,0))&amp;INDEX(PlotData,MATCH($A508,PlotNumber,0),MATCH(O$3,PlotTitles,0))))&lt;(DATEVALUE(INDEX(PlotData,MATCH($A508,PlotNumber,0),MATCH(I$3,PlotTitles,0))&amp;INDEX(PlotData,MATCH($A508,PlotNumber,0),MATCH(J$3,PlotTitles,0)))),$AB$20,TRUE,"")</f>
        <v/>
      </c>
      <c r="R508" s="104" t="str" cm="1">
        <f t="array" ref="R508">_xlfn.IFS(OR(ISBLANK(StartDateMonth),ISBLANK(StartDateYear)),"",AND(A508&gt;NumberOfPlots,ISBLANK(INDEX(PlotData,MATCH($A508,PlotNumber,0),MATCH(B$3,PlotTitles,0)))),"",ISBLANK(INDEX(PlotData,MATCH($A508,PlotNumber,0),MATCH(N$3,PlotTitles,0))),"",CompletionMonth="","",(DATEVALUE(INDEX(PlotData,MATCH($A508,PlotNumber,0),MATCH(N$3,PlotTitles,0))&amp;INDEX(PlotData,MATCH($A508,PlotNumber,0),MATCH(O$3,PlotTitles,0))))&gt;(DATEVALUE(CompletionMonth&amp;CompletionYear)),$AB$21,TRUE,"")</f>
        <v/>
      </c>
      <c r="S508" s="104" t="str" cm="1">
        <f t="array" ref="S508">_xlfn.IFS(AND(A508&gt;NumberOfPlots,ISBLANK(INDEX(PlotData,MATCH($A508,PlotNumber,0),MATCH(B$3,PlotTitles,0)))),"",OR(AND(INDEX(PlotData,MATCH($A508,PlotNumber,0),MATCH("Tenure",PlotTitles,0))="Open market housing",INDEX(PlotData,MATCH($A508,PlotNumber,0),MATCH("Tenure detail",PlotTitles,0))="Private rented sector"),INDEX(PlotData,MATCH($A508,PlotNumber,0),MATCH("Tenure",PlotTitles,0))="Affordable rent"),"",ISNUMBER(INDEX(PlotData,MATCH($A508,PlotNumber,0),MATCH(S$3,PlotTitles,0)))=FALSE, $AB$22,TRUE,"")</f>
        <v/>
      </c>
      <c r="T508" s="104" t="str" cm="1">
        <f t="array" ref="T508">_xlfn.IFS(AND(A508&gt;NumberOfPlots,ISBLANK(INDEX(PlotData,MATCH($A508,PlotNumber,0),MATCH(B$3,PlotTitles,0)))),"",OR(AND(INDEX(PlotData,MATCH($A508,PlotNumber,0),MATCH("Tenure",PlotTitles,0))="Open market housing",INDEX(PlotData,MATCH($A508,PlotNumber,0),MATCH("Tenure detail",PlotTitles,0))="Private rented sector"),INDEX(PlotData,MATCH($A508,PlotNumber,0),MATCH("Tenure",PlotTitles,0))="Affordable rent"),"",INDEX(PlotData,MATCH($A508,PlotNumber,0),MATCH(S$3,PlotTitles,0))&lt;10000, $AB$23,TRUE,"")</f>
        <v/>
      </c>
      <c r="U508" s="104" t="str" cm="1">
        <f t="array" ref="U508">_xlfn.IFS(AND(A508&gt;NumberOfPlots,ISBLANK(INDEX(PlotData,MATCH($A508,PlotNumber,0),MATCH(B$3,PlotTitles,0)))),"",NOT(OR(AND(INDEX(PlotData,MATCH($A508,PlotNumber,0),MATCH("Tenure",PlotTitles,0))="Open market housing",INDEX(PlotData,MATCH($A508,PlotNumber,0),MATCH("Tenure detail",PlotTitles,0))="Private rented sector"),INDEX(PlotData,MATCH($A508,PlotNumber,0),MATCH("Tenure",PlotTitles,0))="Affordable rent")),"",NOT(INDEX(PlotData,MATCH($A508,PlotNumber,0),MATCH(S$3,PlotTitles,0))=0), $AB$24,TRUE,"")</f>
        <v/>
      </c>
      <c r="V508" s="114" t="str" cm="1">
        <f t="array" aca="1" ref="V508" ca="1">_xlfn.IFS(ISBLANK(NumberOfPlots),"Enter the number of homes on the 1_SetUp sheet",AND(A508&gt;NumberOfPlots,ISBLANK(INDEX(PlotData,MATCH($A508,PlotNumber,0),MATCH(B$3,PlotTitles,0)))),"No error",NOT(B508=""),B508,NOT(C508=""),C508,NOT(D508=""),D508,NOT(E508=""),E508,NOT(F508=""),F508,NOT(G508=""),G508,NOT(H508=""),H508,NOT(I508=""),I508,NOT(J508=""),J508,NOT(K508=""),K508,NOT(L508=""),L508,NOT(M508=""),M508,NOT(N508=""),N508,NOT(O508=""),O508,NOT(P508=""),P508,NOT(Q508=""),Q508,NOT(R508=""),R508,NOT(S508=""),S508,NOT(T508=""),T508,NOT(U508=""),U508,TRUE,"No error")</f>
        <v>Enter the number of homes on the 1_SetUp sheet</v>
      </c>
      <c r="W508" s="114" t="str">
        <f t="shared" ca="1" si="23"/>
        <v xml:space="preserve">The Borrower has not addressed the following error messages for Home ID 504: </v>
      </c>
    </row>
    <row r="509" spans="1:23">
      <c r="A509" s="123">
        <v>505</v>
      </c>
      <c r="B509" s="104" t="str" cm="1">
        <f t="array" ref="B509">_xlfn.IFS(AND(A509&gt;NumberOfPlots,ISBLANK(INDEX(PlotData,MATCH($A509,PlotNumber,0),MATCH(B$3,PlotTitles,0)))),"",ISNUMBER(INDEX(PlotData,MATCH($A509,PlotNumber,0),MATCH(B$3,PlotTitles,0)))=FALSE, $AB$5,TRUE,"")</f>
        <v/>
      </c>
      <c r="C509" s="104" t="str" cm="1">
        <f t="array" ref="C509">_xlfn.IFS(AND(A509&gt;NumberOfPlots,ISBLANK(INDEX(PlotData,MATCH($A509,PlotNumber,0),MATCH(B$3,PlotTitles,0)))),"",ISBLANK(INDEX(PlotData,MATCH($A509,PlotNumber,0),MATCH(C$3,PlotTitles,0))),$AB$6,TRUE,"")</f>
        <v/>
      </c>
      <c r="D509" s="104" t="str" cm="1">
        <f t="array" ref="D509">_xlfn.IFS(AND(A509&gt;NumberOfPlots,ISBLANK(INDEX(PlotData,MATCH($A509,PlotNumber,0),MATCH(B$3,PlotTitles,0)))),"",ISBLANK(INDEX(PlotData,MATCH($A509,PlotNumber,0),MATCH(D$3,PlotTitles,0))),$AB$7,TRUE,"")</f>
        <v/>
      </c>
      <c r="E509" s="104" t="str" cm="1">
        <f t="array" ref="E509">_xlfn.IFS(AND(A509&gt;NumberOfPlots,ISBLANK(INDEX(PlotData,MATCH($A509,PlotNumber,0),MATCH(B$3,PlotTitles,0)))),"",ISBLANK(INDEX(PlotData,MATCH($A509,PlotNumber,0),MATCH(E$3,PlotTitles,0))),$AB$8,TRUE,"")</f>
        <v/>
      </c>
      <c r="F509" s="104" t="str" cm="1">
        <f t="array" ref="F509">_xlfn.IFS(AND(A509&gt;NumberOfPlots,ISBLANK(INDEX(PlotData,MATCH($A509,PlotNumber,0),MATCH(B$3,PlotTitles,0)))),"",ISBLANK(INDEX(PlotData,MATCH($A509,PlotNumber,0),MATCH(F$3,PlotTitles,0))),$AB$9,TRUE,"")</f>
        <v/>
      </c>
      <c r="G509" s="104" t="str" cm="1">
        <f t="array" ref="G509">_xlfn.IFS(AND(A509&gt;NumberOfPlots,ISBLANK(INDEX(PlotData,MATCH($A509,PlotNumber,0),MATCH(B$3,PlotTitles,0)))),"",ISBLANK(INDEX(PlotData,MATCH($A509,PlotNumber,0),MATCH(G$3,PlotTitles,0))),$AB$10,TRUE,"")</f>
        <v/>
      </c>
      <c r="H509" s="104" t="str" cm="1">
        <f t="array" ref="H509">_xlfn.IFS(AND(A509&gt;NumberOfPlots,ISBLANK(INDEX(PlotData,MATCH($A509,PlotNumber,0),MATCH(B$3,PlotTitles,0)))),"",AND(ISBLANK(INDEX(PlotData,MATCH($A509,PlotNumber,0),MATCH(H$3,PlotTitles,0)))=FALSE,INDEX(PlotData,MATCH($A509,PlotNumber,0),MATCH(H$3,PlotTitles,0))&lt;500), $AB$11,TRUE,"")</f>
        <v/>
      </c>
      <c r="I509" s="104" t="str" cm="1">
        <f t="array" ref="I509">_xlfn.IFS(AND(A509&gt;NumberOfPlots,ISBLANK(INDEX(PlotData,MATCH($A509,PlotNumber,0),MATCH(B$3,PlotTitles,0)))),"",ISBLANK(INDEX(PlotData,MATCH($A509,PlotNumber,0),MATCH(I$3,PlotTitles,0))),$AB$12,TRUE,"")</f>
        <v/>
      </c>
      <c r="J509" s="104" t="str" cm="1">
        <f t="array" ref="J509">_xlfn.IFS(AND(A509&gt;NumberOfPlots,ISBLANK(INDEX(PlotData,MATCH($A509,PlotNumber,0),MATCH(B$3,PlotTitles,0)))),"",ISBLANK(INDEX(PlotData,MATCH($A509,PlotNumber,0),MATCH(J$3,PlotTitles,0))),$AB$13,TRUE,"")</f>
        <v/>
      </c>
      <c r="K509" s="182" t="str">
        <f t="shared" ca="1" si="21"/>
        <v/>
      </c>
      <c r="L509" s="104" t="str" cm="1">
        <f t="array" ref="L509">_xlfn.IFS(OR(ISBLANK(StartDateMonth),ISBLANK(StartDateYear)),"",AND(A509&gt;NumberOfPlots,ISBLANK(INDEX(PlotData,MATCH($A509,PlotNumber,0),MATCH(B$3,PlotTitles,0)))),"",ISBLANK(INDEX(PlotData,MATCH($A509,PlotNumber,0),MATCH(I$3,PlotTitles,0))),"",(DATEVALUE(INDEX(PlotData,MATCH($A509,PlotNumber,0),MATCH(I$3,PlotTitles,0))&amp;INDEX(PlotData,MATCH($A509,PlotNumber,0),MATCH(J$3,PlotTitles,0))))&lt;DATEVALUE(StartDateMonth&amp;StartDateYear),$AB$15,TRUE,"")</f>
        <v/>
      </c>
      <c r="M509" s="104" t="str" cm="1">
        <f t="array" ref="M509">_xlfn.IFS(OR(ISBLANK(StartDateMonth),ISBLANK(StartDateYear)),"",AND(A509&gt;NumberOfPlots,ISBLANK(INDEX(PlotData,MATCH($A509,PlotNumber,0),MATCH(B$3,PlotTitles,0)))),"",ISBLANK(INDEX(PlotData,MATCH($A509,PlotNumber,0),MATCH(I$3,PlotTitles,0))),"",CompletionMonth="","",(DATEVALUE(INDEX(PlotData,MATCH($A509,PlotNumber,0),MATCH(I$3,PlotTitles,0))&amp;INDEX(PlotData,MATCH($A509,PlotNumber,0),MATCH(J$3,PlotTitles,0))))&gt;(DATEVALUE(CompletionMonth&amp;CompletionYear)),$AB$16,TRUE,"")</f>
        <v/>
      </c>
      <c r="N509" s="104" t="str" cm="1">
        <f t="array" ref="N509">_xlfn.IFS(AND(A509&gt;NumberOfPlots,ISBLANK(INDEX(PlotData,MATCH($A509,PlotNumber,0),MATCH(B$3,PlotTitles,0)))),"",ISBLANK(INDEX(PlotData,MATCH($A509,PlotNumber,0),MATCH(N$3,PlotTitles,0))),$AB$17,TRUE,"")</f>
        <v/>
      </c>
      <c r="O509" s="104" t="str" cm="1">
        <f t="array" ref="O509">_xlfn.IFS(AND(A509&gt;NumberOfPlots,ISBLANK(INDEX(PlotData,MATCH($A509,PlotNumber,0),MATCH(B$3,PlotTitles,0)))),"",ISBLANK(INDEX(PlotData,MATCH($A509,PlotNumber,0),MATCH(O$3,PlotTitles,0))),$AB$18,TRUE,"")</f>
        <v/>
      </c>
      <c r="P509" s="182" t="str">
        <f t="shared" ca="1" si="22"/>
        <v/>
      </c>
      <c r="Q509" s="104" t="str" cm="1">
        <f t="array" ref="Q509">_xlfn.IFS(AND(A509&gt;NumberOfPlots,ISBLANK(INDEX(PlotData,MATCH($A509,PlotNumber,0),MATCH(B$3,PlotTitles,0)))),"",ISBLANK(INDEX(PlotData,MATCH($A509,PlotNumber,0),MATCH(N$3,PlotTitles,0))),"",(DATEVALUE(INDEX(PlotData,MATCH($A509,PlotNumber,0),MATCH(N$3,PlotTitles,0))&amp;INDEX(PlotData,MATCH($A509,PlotNumber,0),MATCH(O$3,PlotTitles,0))))&lt;(DATEVALUE(INDEX(PlotData,MATCH($A509,PlotNumber,0),MATCH(I$3,PlotTitles,0))&amp;INDEX(PlotData,MATCH($A509,PlotNumber,0),MATCH(J$3,PlotTitles,0)))),$AB$20,TRUE,"")</f>
        <v/>
      </c>
      <c r="R509" s="104" t="str" cm="1">
        <f t="array" ref="R509">_xlfn.IFS(OR(ISBLANK(StartDateMonth),ISBLANK(StartDateYear)),"",AND(A509&gt;NumberOfPlots,ISBLANK(INDEX(PlotData,MATCH($A509,PlotNumber,0),MATCH(B$3,PlotTitles,0)))),"",ISBLANK(INDEX(PlotData,MATCH($A509,PlotNumber,0),MATCH(N$3,PlotTitles,0))),"",CompletionMonth="","",(DATEVALUE(INDEX(PlotData,MATCH($A509,PlotNumber,0),MATCH(N$3,PlotTitles,0))&amp;INDEX(PlotData,MATCH($A509,PlotNumber,0),MATCH(O$3,PlotTitles,0))))&gt;(DATEVALUE(CompletionMonth&amp;CompletionYear)),$AB$21,TRUE,"")</f>
        <v/>
      </c>
      <c r="S509" s="104" t="str" cm="1">
        <f t="array" ref="S509">_xlfn.IFS(AND(A509&gt;NumberOfPlots,ISBLANK(INDEX(PlotData,MATCH($A509,PlotNumber,0),MATCH(B$3,PlotTitles,0)))),"",OR(AND(INDEX(PlotData,MATCH($A509,PlotNumber,0),MATCH("Tenure",PlotTitles,0))="Open market housing",INDEX(PlotData,MATCH($A509,PlotNumber,0),MATCH("Tenure detail",PlotTitles,0))="Private rented sector"),INDEX(PlotData,MATCH($A509,PlotNumber,0),MATCH("Tenure",PlotTitles,0))="Affordable rent"),"",ISNUMBER(INDEX(PlotData,MATCH($A509,PlotNumber,0),MATCH(S$3,PlotTitles,0)))=FALSE, $AB$22,TRUE,"")</f>
        <v/>
      </c>
      <c r="T509" s="104" t="str" cm="1">
        <f t="array" ref="T509">_xlfn.IFS(AND(A509&gt;NumberOfPlots,ISBLANK(INDEX(PlotData,MATCH($A509,PlotNumber,0),MATCH(B$3,PlotTitles,0)))),"",OR(AND(INDEX(PlotData,MATCH($A509,PlotNumber,0),MATCH("Tenure",PlotTitles,0))="Open market housing",INDEX(PlotData,MATCH($A509,PlotNumber,0),MATCH("Tenure detail",PlotTitles,0))="Private rented sector"),INDEX(PlotData,MATCH($A509,PlotNumber,0),MATCH("Tenure",PlotTitles,0))="Affordable rent"),"",INDEX(PlotData,MATCH($A509,PlotNumber,0),MATCH(S$3,PlotTitles,0))&lt;10000, $AB$23,TRUE,"")</f>
        <v/>
      </c>
      <c r="U509" s="104" t="str" cm="1">
        <f t="array" ref="U509">_xlfn.IFS(AND(A509&gt;NumberOfPlots,ISBLANK(INDEX(PlotData,MATCH($A509,PlotNumber,0),MATCH(B$3,PlotTitles,0)))),"",NOT(OR(AND(INDEX(PlotData,MATCH($A509,PlotNumber,0),MATCH("Tenure",PlotTitles,0))="Open market housing",INDEX(PlotData,MATCH($A509,PlotNumber,0),MATCH("Tenure detail",PlotTitles,0))="Private rented sector"),INDEX(PlotData,MATCH($A509,PlotNumber,0),MATCH("Tenure",PlotTitles,0))="Affordable rent")),"",NOT(INDEX(PlotData,MATCH($A509,PlotNumber,0),MATCH(S$3,PlotTitles,0))=0), $AB$24,TRUE,"")</f>
        <v/>
      </c>
      <c r="V509" s="114" t="str" cm="1">
        <f t="array" aca="1" ref="V509" ca="1">_xlfn.IFS(ISBLANK(NumberOfPlots),"Enter the number of homes on the 1_SetUp sheet",AND(A509&gt;NumberOfPlots,ISBLANK(INDEX(PlotData,MATCH($A509,PlotNumber,0),MATCH(B$3,PlotTitles,0)))),"No error",NOT(B509=""),B509,NOT(C509=""),C509,NOT(D509=""),D509,NOT(E509=""),E509,NOT(F509=""),F509,NOT(G509=""),G509,NOT(H509=""),H509,NOT(I509=""),I509,NOT(J509=""),J509,NOT(K509=""),K509,NOT(L509=""),L509,NOT(M509=""),M509,NOT(N509=""),N509,NOT(O509=""),O509,NOT(P509=""),P509,NOT(Q509=""),Q509,NOT(R509=""),R509,NOT(S509=""),S509,NOT(T509=""),T509,NOT(U509=""),U509,TRUE,"No error")</f>
        <v>Enter the number of homes on the 1_SetUp sheet</v>
      </c>
      <c r="W509" s="114" t="str">
        <f t="shared" ca="1" si="23"/>
        <v xml:space="preserve">The Borrower has not addressed the following error messages for Home ID 505: </v>
      </c>
    </row>
    <row r="510" spans="1:23">
      <c r="A510" s="123">
        <v>506</v>
      </c>
      <c r="B510" s="104" t="str" cm="1">
        <f t="array" ref="B510">_xlfn.IFS(AND(A510&gt;NumberOfPlots,ISBLANK(INDEX(PlotData,MATCH($A510,PlotNumber,0),MATCH(B$3,PlotTitles,0)))),"",ISNUMBER(INDEX(PlotData,MATCH($A510,PlotNumber,0),MATCH(B$3,PlotTitles,0)))=FALSE, $AB$5,TRUE,"")</f>
        <v/>
      </c>
      <c r="C510" s="104" t="str" cm="1">
        <f t="array" ref="C510">_xlfn.IFS(AND(A510&gt;NumberOfPlots,ISBLANK(INDEX(PlotData,MATCH($A510,PlotNumber,0),MATCH(B$3,PlotTitles,0)))),"",ISBLANK(INDEX(PlotData,MATCH($A510,PlotNumber,0),MATCH(C$3,PlotTitles,0))),$AB$6,TRUE,"")</f>
        <v/>
      </c>
      <c r="D510" s="104" t="str" cm="1">
        <f t="array" ref="D510">_xlfn.IFS(AND(A510&gt;NumberOfPlots,ISBLANK(INDEX(PlotData,MATCH($A510,PlotNumber,0),MATCH(B$3,PlotTitles,0)))),"",ISBLANK(INDEX(PlotData,MATCH($A510,PlotNumber,0),MATCH(D$3,PlotTitles,0))),$AB$7,TRUE,"")</f>
        <v/>
      </c>
      <c r="E510" s="104" t="str" cm="1">
        <f t="array" ref="E510">_xlfn.IFS(AND(A510&gt;NumberOfPlots,ISBLANK(INDEX(PlotData,MATCH($A510,PlotNumber,0),MATCH(B$3,PlotTitles,0)))),"",ISBLANK(INDEX(PlotData,MATCH($A510,PlotNumber,0),MATCH(E$3,PlotTitles,0))),$AB$8,TRUE,"")</f>
        <v/>
      </c>
      <c r="F510" s="104" t="str" cm="1">
        <f t="array" ref="F510">_xlfn.IFS(AND(A510&gt;NumberOfPlots,ISBLANK(INDEX(PlotData,MATCH($A510,PlotNumber,0),MATCH(B$3,PlotTitles,0)))),"",ISBLANK(INDEX(PlotData,MATCH($A510,PlotNumber,0),MATCH(F$3,PlotTitles,0))),$AB$9,TRUE,"")</f>
        <v/>
      </c>
      <c r="G510" s="104" t="str" cm="1">
        <f t="array" ref="G510">_xlfn.IFS(AND(A510&gt;NumberOfPlots,ISBLANK(INDEX(PlotData,MATCH($A510,PlotNumber,0),MATCH(B$3,PlotTitles,0)))),"",ISBLANK(INDEX(PlotData,MATCH($A510,PlotNumber,0),MATCH(G$3,PlotTitles,0))),$AB$10,TRUE,"")</f>
        <v/>
      </c>
      <c r="H510" s="104" t="str" cm="1">
        <f t="array" ref="H510">_xlfn.IFS(AND(A510&gt;NumberOfPlots,ISBLANK(INDEX(PlotData,MATCH($A510,PlotNumber,0),MATCH(B$3,PlotTitles,0)))),"",AND(ISBLANK(INDEX(PlotData,MATCH($A510,PlotNumber,0),MATCH(H$3,PlotTitles,0)))=FALSE,INDEX(PlotData,MATCH($A510,PlotNumber,0),MATCH(H$3,PlotTitles,0))&lt;500), $AB$11,TRUE,"")</f>
        <v/>
      </c>
      <c r="I510" s="104" t="str" cm="1">
        <f t="array" ref="I510">_xlfn.IFS(AND(A510&gt;NumberOfPlots,ISBLANK(INDEX(PlotData,MATCH($A510,PlotNumber,0),MATCH(B$3,PlotTitles,0)))),"",ISBLANK(INDEX(PlotData,MATCH($A510,PlotNumber,0),MATCH(I$3,PlotTitles,0))),$AB$12,TRUE,"")</f>
        <v/>
      </c>
      <c r="J510" s="104" t="str" cm="1">
        <f t="array" ref="J510">_xlfn.IFS(AND(A510&gt;NumberOfPlots,ISBLANK(INDEX(PlotData,MATCH($A510,PlotNumber,0),MATCH(B$3,PlotTitles,0)))),"",ISBLANK(INDEX(PlotData,MATCH($A510,PlotNumber,0),MATCH(J$3,PlotTitles,0))),$AB$13,TRUE,"")</f>
        <v/>
      </c>
      <c r="K510" s="182" t="str">
        <f t="shared" ca="1" si="21"/>
        <v/>
      </c>
      <c r="L510" s="104" t="str" cm="1">
        <f t="array" ref="L510">_xlfn.IFS(OR(ISBLANK(StartDateMonth),ISBLANK(StartDateYear)),"",AND(A510&gt;NumberOfPlots,ISBLANK(INDEX(PlotData,MATCH($A510,PlotNumber,0),MATCH(B$3,PlotTitles,0)))),"",ISBLANK(INDEX(PlotData,MATCH($A510,PlotNumber,0),MATCH(I$3,PlotTitles,0))),"",(DATEVALUE(INDEX(PlotData,MATCH($A510,PlotNumber,0),MATCH(I$3,PlotTitles,0))&amp;INDEX(PlotData,MATCH($A510,PlotNumber,0),MATCH(J$3,PlotTitles,0))))&lt;DATEVALUE(StartDateMonth&amp;StartDateYear),$AB$15,TRUE,"")</f>
        <v/>
      </c>
      <c r="M510" s="104" t="str" cm="1">
        <f t="array" ref="M510">_xlfn.IFS(OR(ISBLANK(StartDateMonth),ISBLANK(StartDateYear)),"",AND(A510&gt;NumberOfPlots,ISBLANK(INDEX(PlotData,MATCH($A510,PlotNumber,0),MATCH(B$3,PlotTitles,0)))),"",ISBLANK(INDEX(PlotData,MATCH($A510,PlotNumber,0),MATCH(I$3,PlotTitles,0))),"",CompletionMonth="","",(DATEVALUE(INDEX(PlotData,MATCH($A510,PlotNumber,0),MATCH(I$3,PlotTitles,0))&amp;INDEX(PlotData,MATCH($A510,PlotNumber,0),MATCH(J$3,PlotTitles,0))))&gt;(DATEVALUE(CompletionMonth&amp;CompletionYear)),$AB$16,TRUE,"")</f>
        <v/>
      </c>
      <c r="N510" s="104" t="str" cm="1">
        <f t="array" ref="N510">_xlfn.IFS(AND(A510&gt;NumberOfPlots,ISBLANK(INDEX(PlotData,MATCH($A510,PlotNumber,0),MATCH(B$3,PlotTitles,0)))),"",ISBLANK(INDEX(PlotData,MATCH($A510,PlotNumber,0),MATCH(N$3,PlotTitles,0))),$AB$17,TRUE,"")</f>
        <v/>
      </c>
      <c r="O510" s="104" t="str" cm="1">
        <f t="array" ref="O510">_xlfn.IFS(AND(A510&gt;NumberOfPlots,ISBLANK(INDEX(PlotData,MATCH($A510,PlotNumber,0),MATCH(B$3,PlotTitles,0)))),"",ISBLANK(INDEX(PlotData,MATCH($A510,PlotNumber,0),MATCH(O$3,PlotTitles,0))),$AB$18,TRUE,"")</f>
        <v/>
      </c>
      <c r="P510" s="182" t="str">
        <f t="shared" ca="1" si="22"/>
        <v/>
      </c>
      <c r="Q510" s="104" t="str" cm="1">
        <f t="array" ref="Q510">_xlfn.IFS(AND(A510&gt;NumberOfPlots,ISBLANK(INDEX(PlotData,MATCH($A510,PlotNumber,0),MATCH(B$3,PlotTitles,0)))),"",ISBLANK(INDEX(PlotData,MATCH($A510,PlotNumber,0),MATCH(N$3,PlotTitles,0))),"",(DATEVALUE(INDEX(PlotData,MATCH($A510,PlotNumber,0),MATCH(N$3,PlotTitles,0))&amp;INDEX(PlotData,MATCH($A510,PlotNumber,0),MATCH(O$3,PlotTitles,0))))&lt;(DATEVALUE(INDEX(PlotData,MATCH($A510,PlotNumber,0),MATCH(I$3,PlotTitles,0))&amp;INDEX(PlotData,MATCH($A510,PlotNumber,0),MATCH(J$3,PlotTitles,0)))),$AB$20,TRUE,"")</f>
        <v/>
      </c>
      <c r="R510" s="104" t="str" cm="1">
        <f t="array" ref="R510">_xlfn.IFS(OR(ISBLANK(StartDateMonth),ISBLANK(StartDateYear)),"",AND(A510&gt;NumberOfPlots,ISBLANK(INDEX(PlotData,MATCH($A510,PlotNumber,0),MATCH(B$3,PlotTitles,0)))),"",ISBLANK(INDEX(PlotData,MATCH($A510,PlotNumber,0),MATCH(N$3,PlotTitles,0))),"",CompletionMonth="","",(DATEVALUE(INDEX(PlotData,MATCH($A510,PlotNumber,0),MATCH(N$3,PlotTitles,0))&amp;INDEX(PlotData,MATCH($A510,PlotNumber,0),MATCH(O$3,PlotTitles,0))))&gt;(DATEVALUE(CompletionMonth&amp;CompletionYear)),$AB$21,TRUE,"")</f>
        <v/>
      </c>
      <c r="S510" s="104" t="str" cm="1">
        <f t="array" ref="S510">_xlfn.IFS(AND(A510&gt;NumberOfPlots,ISBLANK(INDEX(PlotData,MATCH($A510,PlotNumber,0),MATCH(B$3,PlotTitles,0)))),"",OR(AND(INDEX(PlotData,MATCH($A510,PlotNumber,0),MATCH("Tenure",PlotTitles,0))="Open market housing",INDEX(PlotData,MATCH($A510,PlotNumber,0),MATCH("Tenure detail",PlotTitles,0))="Private rented sector"),INDEX(PlotData,MATCH($A510,PlotNumber,0),MATCH("Tenure",PlotTitles,0))="Affordable rent"),"",ISNUMBER(INDEX(PlotData,MATCH($A510,PlotNumber,0),MATCH(S$3,PlotTitles,0)))=FALSE, $AB$22,TRUE,"")</f>
        <v/>
      </c>
      <c r="T510" s="104" t="str" cm="1">
        <f t="array" ref="T510">_xlfn.IFS(AND(A510&gt;NumberOfPlots,ISBLANK(INDEX(PlotData,MATCH($A510,PlotNumber,0),MATCH(B$3,PlotTitles,0)))),"",OR(AND(INDEX(PlotData,MATCH($A510,PlotNumber,0),MATCH("Tenure",PlotTitles,0))="Open market housing",INDEX(PlotData,MATCH($A510,PlotNumber,0),MATCH("Tenure detail",PlotTitles,0))="Private rented sector"),INDEX(PlotData,MATCH($A510,PlotNumber,0),MATCH("Tenure",PlotTitles,0))="Affordable rent"),"",INDEX(PlotData,MATCH($A510,PlotNumber,0),MATCH(S$3,PlotTitles,0))&lt;10000, $AB$23,TRUE,"")</f>
        <v/>
      </c>
      <c r="U510" s="104" t="str" cm="1">
        <f t="array" ref="U510">_xlfn.IFS(AND(A510&gt;NumberOfPlots,ISBLANK(INDEX(PlotData,MATCH($A510,PlotNumber,0),MATCH(B$3,PlotTitles,0)))),"",NOT(OR(AND(INDEX(PlotData,MATCH($A510,PlotNumber,0),MATCH("Tenure",PlotTitles,0))="Open market housing",INDEX(PlotData,MATCH($A510,PlotNumber,0),MATCH("Tenure detail",PlotTitles,0))="Private rented sector"),INDEX(PlotData,MATCH($A510,PlotNumber,0),MATCH("Tenure",PlotTitles,0))="Affordable rent")),"",NOT(INDEX(PlotData,MATCH($A510,PlotNumber,0),MATCH(S$3,PlotTitles,0))=0), $AB$24,TRUE,"")</f>
        <v/>
      </c>
      <c r="V510" s="114" t="str" cm="1">
        <f t="array" aca="1" ref="V510" ca="1">_xlfn.IFS(ISBLANK(NumberOfPlots),"Enter the number of homes on the 1_SetUp sheet",AND(A510&gt;NumberOfPlots,ISBLANK(INDEX(PlotData,MATCH($A510,PlotNumber,0),MATCH(B$3,PlotTitles,0)))),"No error",NOT(B510=""),B510,NOT(C510=""),C510,NOT(D510=""),D510,NOT(E510=""),E510,NOT(F510=""),F510,NOT(G510=""),G510,NOT(H510=""),H510,NOT(I510=""),I510,NOT(J510=""),J510,NOT(K510=""),K510,NOT(L510=""),L510,NOT(M510=""),M510,NOT(N510=""),N510,NOT(O510=""),O510,NOT(P510=""),P510,NOT(Q510=""),Q510,NOT(R510=""),R510,NOT(S510=""),S510,NOT(T510=""),T510,NOT(U510=""),U510,TRUE,"No error")</f>
        <v>Enter the number of homes on the 1_SetUp sheet</v>
      </c>
      <c r="W510" s="114" t="str">
        <f t="shared" ca="1" si="23"/>
        <v xml:space="preserve">The Borrower has not addressed the following error messages for Home ID 506: </v>
      </c>
    </row>
    <row r="511" spans="1:23">
      <c r="A511" s="123">
        <v>507</v>
      </c>
      <c r="B511" s="104" t="str" cm="1">
        <f t="array" ref="B511">_xlfn.IFS(AND(A511&gt;NumberOfPlots,ISBLANK(INDEX(PlotData,MATCH($A511,PlotNumber,0),MATCH(B$3,PlotTitles,0)))),"",ISNUMBER(INDEX(PlotData,MATCH($A511,PlotNumber,0),MATCH(B$3,PlotTitles,0)))=FALSE, $AB$5,TRUE,"")</f>
        <v/>
      </c>
      <c r="C511" s="104" t="str" cm="1">
        <f t="array" ref="C511">_xlfn.IFS(AND(A511&gt;NumberOfPlots,ISBLANK(INDEX(PlotData,MATCH($A511,PlotNumber,0),MATCH(B$3,PlotTitles,0)))),"",ISBLANK(INDEX(PlotData,MATCH($A511,PlotNumber,0),MATCH(C$3,PlotTitles,0))),$AB$6,TRUE,"")</f>
        <v/>
      </c>
      <c r="D511" s="104" t="str" cm="1">
        <f t="array" ref="D511">_xlfn.IFS(AND(A511&gt;NumberOfPlots,ISBLANK(INDEX(PlotData,MATCH($A511,PlotNumber,0),MATCH(B$3,PlotTitles,0)))),"",ISBLANK(INDEX(PlotData,MATCH($A511,PlotNumber,0),MATCH(D$3,PlotTitles,0))),$AB$7,TRUE,"")</f>
        <v/>
      </c>
      <c r="E511" s="104" t="str" cm="1">
        <f t="array" ref="E511">_xlfn.IFS(AND(A511&gt;NumberOfPlots,ISBLANK(INDEX(PlotData,MATCH($A511,PlotNumber,0),MATCH(B$3,PlotTitles,0)))),"",ISBLANK(INDEX(PlotData,MATCH($A511,PlotNumber,0),MATCH(E$3,PlotTitles,0))),$AB$8,TRUE,"")</f>
        <v/>
      </c>
      <c r="F511" s="104" t="str" cm="1">
        <f t="array" ref="F511">_xlfn.IFS(AND(A511&gt;NumberOfPlots,ISBLANK(INDEX(PlotData,MATCH($A511,PlotNumber,0),MATCH(B$3,PlotTitles,0)))),"",ISBLANK(INDEX(PlotData,MATCH($A511,PlotNumber,0),MATCH(F$3,PlotTitles,0))),$AB$9,TRUE,"")</f>
        <v/>
      </c>
      <c r="G511" s="104" t="str" cm="1">
        <f t="array" ref="G511">_xlfn.IFS(AND(A511&gt;NumberOfPlots,ISBLANK(INDEX(PlotData,MATCH($A511,PlotNumber,0),MATCH(B$3,PlotTitles,0)))),"",ISBLANK(INDEX(PlotData,MATCH($A511,PlotNumber,0),MATCH(G$3,PlotTitles,0))),$AB$10,TRUE,"")</f>
        <v/>
      </c>
      <c r="H511" s="104" t="str" cm="1">
        <f t="array" ref="H511">_xlfn.IFS(AND(A511&gt;NumberOfPlots,ISBLANK(INDEX(PlotData,MATCH($A511,PlotNumber,0),MATCH(B$3,PlotTitles,0)))),"",AND(ISBLANK(INDEX(PlotData,MATCH($A511,PlotNumber,0),MATCH(H$3,PlotTitles,0)))=FALSE,INDEX(PlotData,MATCH($A511,PlotNumber,0),MATCH(H$3,PlotTitles,0))&lt;500), $AB$11,TRUE,"")</f>
        <v/>
      </c>
      <c r="I511" s="104" t="str" cm="1">
        <f t="array" ref="I511">_xlfn.IFS(AND(A511&gt;NumberOfPlots,ISBLANK(INDEX(PlotData,MATCH($A511,PlotNumber,0),MATCH(B$3,PlotTitles,0)))),"",ISBLANK(INDEX(PlotData,MATCH($A511,PlotNumber,0),MATCH(I$3,PlotTitles,0))),$AB$12,TRUE,"")</f>
        <v/>
      </c>
      <c r="J511" s="104" t="str" cm="1">
        <f t="array" ref="J511">_xlfn.IFS(AND(A511&gt;NumberOfPlots,ISBLANK(INDEX(PlotData,MATCH($A511,PlotNumber,0),MATCH(B$3,PlotTitles,0)))),"",ISBLANK(INDEX(PlotData,MATCH($A511,PlotNumber,0),MATCH(J$3,PlotTitles,0))),$AB$13,TRUE,"")</f>
        <v/>
      </c>
      <c r="K511" s="182" t="str">
        <f t="shared" ca="1" si="21"/>
        <v/>
      </c>
      <c r="L511" s="104" t="str" cm="1">
        <f t="array" ref="L511">_xlfn.IFS(OR(ISBLANK(StartDateMonth),ISBLANK(StartDateYear)),"",AND(A511&gt;NumberOfPlots,ISBLANK(INDEX(PlotData,MATCH($A511,PlotNumber,0),MATCH(B$3,PlotTitles,0)))),"",ISBLANK(INDEX(PlotData,MATCH($A511,PlotNumber,0),MATCH(I$3,PlotTitles,0))),"",(DATEVALUE(INDEX(PlotData,MATCH($A511,PlotNumber,0),MATCH(I$3,PlotTitles,0))&amp;INDEX(PlotData,MATCH($A511,PlotNumber,0),MATCH(J$3,PlotTitles,0))))&lt;DATEVALUE(StartDateMonth&amp;StartDateYear),$AB$15,TRUE,"")</f>
        <v/>
      </c>
      <c r="M511" s="104" t="str" cm="1">
        <f t="array" ref="M511">_xlfn.IFS(OR(ISBLANK(StartDateMonth),ISBLANK(StartDateYear)),"",AND(A511&gt;NumberOfPlots,ISBLANK(INDEX(PlotData,MATCH($A511,PlotNumber,0),MATCH(B$3,PlotTitles,0)))),"",ISBLANK(INDEX(PlotData,MATCH($A511,PlotNumber,0),MATCH(I$3,PlotTitles,0))),"",CompletionMonth="","",(DATEVALUE(INDEX(PlotData,MATCH($A511,PlotNumber,0),MATCH(I$3,PlotTitles,0))&amp;INDEX(PlotData,MATCH($A511,PlotNumber,0),MATCH(J$3,PlotTitles,0))))&gt;(DATEVALUE(CompletionMonth&amp;CompletionYear)),$AB$16,TRUE,"")</f>
        <v/>
      </c>
      <c r="N511" s="104" t="str" cm="1">
        <f t="array" ref="N511">_xlfn.IFS(AND(A511&gt;NumberOfPlots,ISBLANK(INDEX(PlotData,MATCH($A511,PlotNumber,0),MATCH(B$3,PlotTitles,0)))),"",ISBLANK(INDEX(PlotData,MATCH($A511,PlotNumber,0),MATCH(N$3,PlotTitles,0))),$AB$17,TRUE,"")</f>
        <v/>
      </c>
      <c r="O511" s="104" t="str" cm="1">
        <f t="array" ref="O511">_xlfn.IFS(AND(A511&gt;NumberOfPlots,ISBLANK(INDEX(PlotData,MATCH($A511,PlotNumber,0),MATCH(B$3,PlotTitles,0)))),"",ISBLANK(INDEX(PlotData,MATCH($A511,PlotNumber,0),MATCH(O$3,PlotTitles,0))),$AB$18,TRUE,"")</f>
        <v/>
      </c>
      <c r="P511" s="182" t="str">
        <f t="shared" ca="1" si="22"/>
        <v/>
      </c>
      <c r="Q511" s="104" t="str" cm="1">
        <f t="array" ref="Q511">_xlfn.IFS(AND(A511&gt;NumberOfPlots,ISBLANK(INDEX(PlotData,MATCH($A511,PlotNumber,0),MATCH(B$3,PlotTitles,0)))),"",ISBLANK(INDEX(PlotData,MATCH($A511,PlotNumber,0),MATCH(N$3,PlotTitles,0))),"",(DATEVALUE(INDEX(PlotData,MATCH($A511,PlotNumber,0),MATCH(N$3,PlotTitles,0))&amp;INDEX(PlotData,MATCH($A511,PlotNumber,0),MATCH(O$3,PlotTitles,0))))&lt;(DATEVALUE(INDEX(PlotData,MATCH($A511,PlotNumber,0),MATCH(I$3,PlotTitles,0))&amp;INDEX(PlotData,MATCH($A511,PlotNumber,0),MATCH(J$3,PlotTitles,0)))),$AB$20,TRUE,"")</f>
        <v/>
      </c>
      <c r="R511" s="104" t="str" cm="1">
        <f t="array" ref="R511">_xlfn.IFS(OR(ISBLANK(StartDateMonth),ISBLANK(StartDateYear)),"",AND(A511&gt;NumberOfPlots,ISBLANK(INDEX(PlotData,MATCH($A511,PlotNumber,0),MATCH(B$3,PlotTitles,0)))),"",ISBLANK(INDEX(PlotData,MATCH($A511,PlotNumber,0),MATCH(N$3,PlotTitles,0))),"",CompletionMonth="","",(DATEVALUE(INDEX(PlotData,MATCH($A511,PlotNumber,0),MATCH(N$3,PlotTitles,0))&amp;INDEX(PlotData,MATCH($A511,PlotNumber,0),MATCH(O$3,PlotTitles,0))))&gt;(DATEVALUE(CompletionMonth&amp;CompletionYear)),$AB$21,TRUE,"")</f>
        <v/>
      </c>
      <c r="S511" s="104" t="str" cm="1">
        <f t="array" ref="S511">_xlfn.IFS(AND(A511&gt;NumberOfPlots,ISBLANK(INDEX(PlotData,MATCH($A511,PlotNumber,0),MATCH(B$3,PlotTitles,0)))),"",OR(AND(INDEX(PlotData,MATCH($A511,PlotNumber,0),MATCH("Tenure",PlotTitles,0))="Open market housing",INDEX(PlotData,MATCH($A511,PlotNumber,0),MATCH("Tenure detail",PlotTitles,0))="Private rented sector"),INDEX(PlotData,MATCH($A511,PlotNumber,0),MATCH("Tenure",PlotTitles,0))="Affordable rent"),"",ISNUMBER(INDEX(PlotData,MATCH($A511,PlotNumber,0),MATCH(S$3,PlotTitles,0)))=FALSE, $AB$22,TRUE,"")</f>
        <v/>
      </c>
      <c r="T511" s="104" t="str" cm="1">
        <f t="array" ref="T511">_xlfn.IFS(AND(A511&gt;NumberOfPlots,ISBLANK(INDEX(PlotData,MATCH($A511,PlotNumber,0),MATCH(B$3,PlotTitles,0)))),"",OR(AND(INDEX(PlotData,MATCH($A511,PlotNumber,0),MATCH("Tenure",PlotTitles,0))="Open market housing",INDEX(PlotData,MATCH($A511,PlotNumber,0),MATCH("Tenure detail",PlotTitles,0))="Private rented sector"),INDEX(PlotData,MATCH($A511,PlotNumber,0),MATCH("Tenure",PlotTitles,0))="Affordable rent"),"",INDEX(PlotData,MATCH($A511,PlotNumber,0),MATCH(S$3,PlotTitles,0))&lt;10000, $AB$23,TRUE,"")</f>
        <v/>
      </c>
      <c r="U511" s="104" t="str" cm="1">
        <f t="array" ref="U511">_xlfn.IFS(AND(A511&gt;NumberOfPlots,ISBLANK(INDEX(PlotData,MATCH($A511,PlotNumber,0),MATCH(B$3,PlotTitles,0)))),"",NOT(OR(AND(INDEX(PlotData,MATCH($A511,PlotNumber,0),MATCH("Tenure",PlotTitles,0))="Open market housing",INDEX(PlotData,MATCH($A511,PlotNumber,0),MATCH("Tenure detail",PlotTitles,0))="Private rented sector"),INDEX(PlotData,MATCH($A511,PlotNumber,0),MATCH("Tenure",PlotTitles,0))="Affordable rent")),"",NOT(INDEX(PlotData,MATCH($A511,PlotNumber,0),MATCH(S$3,PlotTitles,0))=0), $AB$24,TRUE,"")</f>
        <v/>
      </c>
      <c r="V511" s="114" t="str" cm="1">
        <f t="array" aca="1" ref="V511" ca="1">_xlfn.IFS(ISBLANK(NumberOfPlots),"Enter the number of homes on the 1_SetUp sheet",AND(A511&gt;NumberOfPlots,ISBLANK(INDEX(PlotData,MATCH($A511,PlotNumber,0),MATCH(B$3,PlotTitles,0)))),"No error",NOT(B511=""),B511,NOT(C511=""),C511,NOT(D511=""),D511,NOT(E511=""),E511,NOT(F511=""),F511,NOT(G511=""),G511,NOT(H511=""),H511,NOT(I511=""),I511,NOT(J511=""),J511,NOT(K511=""),K511,NOT(L511=""),L511,NOT(M511=""),M511,NOT(N511=""),N511,NOT(O511=""),O511,NOT(P511=""),P511,NOT(Q511=""),Q511,NOT(R511=""),R511,NOT(S511=""),S511,NOT(T511=""),T511,NOT(U511=""),U511,TRUE,"No error")</f>
        <v>Enter the number of homes on the 1_SetUp sheet</v>
      </c>
      <c r="W511" s="114" t="str">
        <f t="shared" ca="1" si="23"/>
        <v xml:space="preserve">The Borrower has not addressed the following error messages for Home ID 507: </v>
      </c>
    </row>
    <row r="512" spans="1:23">
      <c r="A512" s="123">
        <v>508</v>
      </c>
      <c r="B512" s="104" t="str" cm="1">
        <f t="array" ref="B512">_xlfn.IFS(AND(A512&gt;NumberOfPlots,ISBLANK(INDEX(PlotData,MATCH($A512,PlotNumber,0),MATCH(B$3,PlotTitles,0)))),"",ISNUMBER(INDEX(PlotData,MATCH($A512,PlotNumber,0),MATCH(B$3,PlotTitles,0)))=FALSE, $AB$5,TRUE,"")</f>
        <v/>
      </c>
      <c r="C512" s="104" t="str" cm="1">
        <f t="array" ref="C512">_xlfn.IFS(AND(A512&gt;NumberOfPlots,ISBLANK(INDEX(PlotData,MATCH($A512,PlotNumber,0),MATCH(B$3,PlotTitles,0)))),"",ISBLANK(INDEX(PlotData,MATCH($A512,PlotNumber,0),MATCH(C$3,PlotTitles,0))),$AB$6,TRUE,"")</f>
        <v/>
      </c>
      <c r="D512" s="104" t="str" cm="1">
        <f t="array" ref="D512">_xlfn.IFS(AND(A512&gt;NumberOfPlots,ISBLANK(INDEX(PlotData,MATCH($A512,PlotNumber,0),MATCH(B$3,PlotTitles,0)))),"",ISBLANK(INDEX(PlotData,MATCH($A512,PlotNumber,0),MATCH(D$3,PlotTitles,0))),$AB$7,TRUE,"")</f>
        <v/>
      </c>
      <c r="E512" s="104" t="str" cm="1">
        <f t="array" ref="E512">_xlfn.IFS(AND(A512&gt;NumberOfPlots,ISBLANK(INDEX(PlotData,MATCH($A512,PlotNumber,0),MATCH(B$3,PlotTitles,0)))),"",ISBLANK(INDEX(PlotData,MATCH($A512,PlotNumber,0),MATCH(E$3,PlotTitles,0))),$AB$8,TRUE,"")</f>
        <v/>
      </c>
      <c r="F512" s="104" t="str" cm="1">
        <f t="array" ref="F512">_xlfn.IFS(AND(A512&gt;NumberOfPlots,ISBLANK(INDEX(PlotData,MATCH($A512,PlotNumber,0),MATCH(B$3,PlotTitles,0)))),"",ISBLANK(INDEX(PlotData,MATCH($A512,PlotNumber,0),MATCH(F$3,PlotTitles,0))),$AB$9,TRUE,"")</f>
        <v/>
      </c>
      <c r="G512" s="104" t="str" cm="1">
        <f t="array" ref="G512">_xlfn.IFS(AND(A512&gt;NumberOfPlots,ISBLANK(INDEX(PlotData,MATCH($A512,PlotNumber,0),MATCH(B$3,PlotTitles,0)))),"",ISBLANK(INDEX(PlotData,MATCH($A512,PlotNumber,0),MATCH(G$3,PlotTitles,0))),$AB$10,TRUE,"")</f>
        <v/>
      </c>
      <c r="H512" s="104" t="str" cm="1">
        <f t="array" ref="H512">_xlfn.IFS(AND(A512&gt;NumberOfPlots,ISBLANK(INDEX(PlotData,MATCH($A512,PlotNumber,0),MATCH(B$3,PlotTitles,0)))),"",AND(ISBLANK(INDEX(PlotData,MATCH($A512,PlotNumber,0),MATCH(H$3,PlotTitles,0)))=FALSE,INDEX(PlotData,MATCH($A512,PlotNumber,0),MATCH(H$3,PlotTitles,0))&lt;500), $AB$11,TRUE,"")</f>
        <v/>
      </c>
      <c r="I512" s="104" t="str" cm="1">
        <f t="array" ref="I512">_xlfn.IFS(AND(A512&gt;NumberOfPlots,ISBLANK(INDEX(PlotData,MATCH($A512,PlotNumber,0),MATCH(B$3,PlotTitles,0)))),"",ISBLANK(INDEX(PlotData,MATCH($A512,PlotNumber,0),MATCH(I$3,PlotTitles,0))),$AB$12,TRUE,"")</f>
        <v/>
      </c>
      <c r="J512" s="104" t="str" cm="1">
        <f t="array" ref="J512">_xlfn.IFS(AND(A512&gt;NumberOfPlots,ISBLANK(INDEX(PlotData,MATCH($A512,PlotNumber,0),MATCH(B$3,PlotTitles,0)))),"",ISBLANK(INDEX(PlotData,MATCH($A512,PlotNumber,0),MATCH(J$3,PlotTitles,0))),$AB$13,TRUE,"")</f>
        <v/>
      </c>
      <c r="K512" s="182" t="str">
        <f t="shared" ca="1" si="21"/>
        <v/>
      </c>
      <c r="L512" s="104" t="str" cm="1">
        <f t="array" ref="L512">_xlfn.IFS(OR(ISBLANK(StartDateMonth),ISBLANK(StartDateYear)),"",AND(A512&gt;NumberOfPlots,ISBLANK(INDEX(PlotData,MATCH($A512,PlotNumber,0),MATCH(B$3,PlotTitles,0)))),"",ISBLANK(INDEX(PlotData,MATCH($A512,PlotNumber,0),MATCH(I$3,PlotTitles,0))),"",(DATEVALUE(INDEX(PlotData,MATCH($A512,PlotNumber,0),MATCH(I$3,PlotTitles,0))&amp;INDEX(PlotData,MATCH($A512,PlotNumber,0),MATCH(J$3,PlotTitles,0))))&lt;DATEVALUE(StartDateMonth&amp;StartDateYear),$AB$15,TRUE,"")</f>
        <v/>
      </c>
      <c r="M512" s="104" t="str" cm="1">
        <f t="array" ref="M512">_xlfn.IFS(OR(ISBLANK(StartDateMonth),ISBLANK(StartDateYear)),"",AND(A512&gt;NumberOfPlots,ISBLANK(INDEX(PlotData,MATCH($A512,PlotNumber,0),MATCH(B$3,PlotTitles,0)))),"",ISBLANK(INDEX(PlotData,MATCH($A512,PlotNumber,0),MATCH(I$3,PlotTitles,0))),"",CompletionMonth="","",(DATEVALUE(INDEX(PlotData,MATCH($A512,PlotNumber,0),MATCH(I$3,PlotTitles,0))&amp;INDEX(PlotData,MATCH($A512,PlotNumber,0),MATCH(J$3,PlotTitles,0))))&gt;(DATEVALUE(CompletionMonth&amp;CompletionYear)),$AB$16,TRUE,"")</f>
        <v/>
      </c>
      <c r="N512" s="104" t="str" cm="1">
        <f t="array" ref="N512">_xlfn.IFS(AND(A512&gt;NumberOfPlots,ISBLANK(INDEX(PlotData,MATCH($A512,PlotNumber,0),MATCH(B$3,PlotTitles,0)))),"",ISBLANK(INDEX(PlotData,MATCH($A512,PlotNumber,0),MATCH(N$3,PlotTitles,0))),$AB$17,TRUE,"")</f>
        <v/>
      </c>
      <c r="O512" s="104" t="str" cm="1">
        <f t="array" ref="O512">_xlfn.IFS(AND(A512&gt;NumberOfPlots,ISBLANK(INDEX(PlotData,MATCH($A512,PlotNumber,0),MATCH(B$3,PlotTitles,0)))),"",ISBLANK(INDEX(PlotData,MATCH($A512,PlotNumber,0),MATCH(O$3,PlotTitles,0))),$AB$18,TRUE,"")</f>
        <v/>
      </c>
      <c r="P512" s="182" t="str">
        <f t="shared" ca="1" si="22"/>
        <v/>
      </c>
      <c r="Q512" s="104" t="str" cm="1">
        <f t="array" ref="Q512">_xlfn.IFS(AND(A512&gt;NumberOfPlots,ISBLANK(INDEX(PlotData,MATCH($A512,PlotNumber,0),MATCH(B$3,PlotTitles,0)))),"",ISBLANK(INDEX(PlotData,MATCH($A512,PlotNumber,0),MATCH(N$3,PlotTitles,0))),"",(DATEVALUE(INDEX(PlotData,MATCH($A512,PlotNumber,0),MATCH(N$3,PlotTitles,0))&amp;INDEX(PlotData,MATCH($A512,PlotNumber,0),MATCH(O$3,PlotTitles,0))))&lt;(DATEVALUE(INDEX(PlotData,MATCH($A512,PlotNumber,0),MATCH(I$3,PlotTitles,0))&amp;INDEX(PlotData,MATCH($A512,PlotNumber,0),MATCH(J$3,PlotTitles,0)))),$AB$20,TRUE,"")</f>
        <v/>
      </c>
      <c r="R512" s="104" t="str" cm="1">
        <f t="array" ref="R512">_xlfn.IFS(OR(ISBLANK(StartDateMonth),ISBLANK(StartDateYear)),"",AND(A512&gt;NumberOfPlots,ISBLANK(INDEX(PlotData,MATCH($A512,PlotNumber,0),MATCH(B$3,PlotTitles,0)))),"",ISBLANK(INDEX(PlotData,MATCH($A512,PlotNumber,0),MATCH(N$3,PlotTitles,0))),"",CompletionMonth="","",(DATEVALUE(INDEX(PlotData,MATCH($A512,PlotNumber,0),MATCH(N$3,PlotTitles,0))&amp;INDEX(PlotData,MATCH($A512,PlotNumber,0),MATCH(O$3,PlotTitles,0))))&gt;(DATEVALUE(CompletionMonth&amp;CompletionYear)),$AB$21,TRUE,"")</f>
        <v/>
      </c>
      <c r="S512" s="104" t="str" cm="1">
        <f t="array" ref="S512">_xlfn.IFS(AND(A512&gt;NumberOfPlots,ISBLANK(INDEX(PlotData,MATCH($A512,PlotNumber,0),MATCH(B$3,PlotTitles,0)))),"",OR(AND(INDEX(PlotData,MATCH($A512,PlotNumber,0),MATCH("Tenure",PlotTitles,0))="Open market housing",INDEX(PlotData,MATCH($A512,PlotNumber,0),MATCH("Tenure detail",PlotTitles,0))="Private rented sector"),INDEX(PlotData,MATCH($A512,PlotNumber,0),MATCH("Tenure",PlotTitles,0))="Affordable rent"),"",ISNUMBER(INDEX(PlotData,MATCH($A512,PlotNumber,0),MATCH(S$3,PlotTitles,0)))=FALSE, $AB$22,TRUE,"")</f>
        <v/>
      </c>
      <c r="T512" s="104" t="str" cm="1">
        <f t="array" ref="T512">_xlfn.IFS(AND(A512&gt;NumberOfPlots,ISBLANK(INDEX(PlotData,MATCH($A512,PlotNumber,0),MATCH(B$3,PlotTitles,0)))),"",OR(AND(INDEX(PlotData,MATCH($A512,PlotNumber,0),MATCH("Tenure",PlotTitles,0))="Open market housing",INDEX(PlotData,MATCH($A512,PlotNumber,0),MATCH("Tenure detail",PlotTitles,0))="Private rented sector"),INDEX(PlotData,MATCH($A512,PlotNumber,0),MATCH("Tenure",PlotTitles,0))="Affordable rent"),"",INDEX(PlotData,MATCH($A512,PlotNumber,0),MATCH(S$3,PlotTitles,0))&lt;10000, $AB$23,TRUE,"")</f>
        <v/>
      </c>
      <c r="U512" s="104" t="str" cm="1">
        <f t="array" ref="U512">_xlfn.IFS(AND(A512&gt;NumberOfPlots,ISBLANK(INDEX(PlotData,MATCH($A512,PlotNumber,0),MATCH(B$3,PlotTitles,0)))),"",NOT(OR(AND(INDEX(PlotData,MATCH($A512,PlotNumber,0),MATCH("Tenure",PlotTitles,0))="Open market housing",INDEX(PlotData,MATCH($A512,PlotNumber,0),MATCH("Tenure detail",PlotTitles,0))="Private rented sector"),INDEX(PlotData,MATCH($A512,PlotNumber,0),MATCH("Tenure",PlotTitles,0))="Affordable rent")),"",NOT(INDEX(PlotData,MATCH($A512,PlotNumber,0),MATCH(S$3,PlotTitles,0))=0), $AB$24,TRUE,"")</f>
        <v/>
      </c>
      <c r="V512" s="114" t="str" cm="1">
        <f t="array" aca="1" ref="V512" ca="1">_xlfn.IFS(ISBLANK(NumberOfPlots),"Enter the number of homes on the 1_SetUp sheet",AND(A512&gt;NumberOfPlots,ISBLANK(INDEX(PlotData,MATCH($A512,PlotNumber,0),MATCH(B$3,PlotTitles,0)))),"No error",NOT(B512=""),B512,NOT(C512=""),C512,NOT(D512=""),D512,NOT(E512=""),E512,NOT(F512=""),F512,NOT(G512=""),G512,NOT(H512=""),H512,NOT(I512=""),I512,NOT(J512=""),J512,NOT(K512=""),K512,NOT(L512=""),L512,NOT(M512=""),M512,NOT(N512=""),N512,NOT(O512=""),O512,NOT(P512=""),P512,NOT(Q512=""),Q512,NOT(R512=""),R512,NOT(S512=""),S512,NOT(T512=""),T512,NOT(U512=""),U512,TRUE,"No error")</f>
        <v>Enter the number of homes on the 1_SetUp sheet</v>
      </c>
      <c r="W512" s="114" t="str">
        <f t="shared" ca="1" si="23"/>
        <v xml:space="preserve">The Borrower has not addressed the following error messages for Home ID 508: </v>
      </c>
    </row>
    <row r="513" spans="1:23">
      <c r="A513" s="123">
        <v>509</v>
      </c>
      <c r="B513" s="104" t="str" cm="1">
        <f t="array" ref="B513">_xlfn.IFS(AND(A513&gt;NumberOfPlots,ISBLANK(INDEX(PlotData,MATCH($A513,PlotNumber,0),MATCH(B$3,PlotTitles,0)))),"",ISNUMBER(INDEX(PlotData,MATCH($A513,PlotNumber,0),MATCH(B$3,PlotTitles,0)))=FALSE, $AB$5,TRUE,"")</f>
        <v/>
      </c>
      <c r="C513" s="104" t="str" cm="1">
        <f t="array" ref="C513">_xlfn.IFS(AND(A513&gt;NumberOfPlots,ISBLANK(INDEX(PlotData,MATCH($A513,PlotNumber,0),MATCH(B$3,PlotTitles,0)))),"",ISBLANK(INDEX(PlotData,MATCH($A513,PlotNumber,0),MATCH(C$3,PlotTitles,0))),$AB$6,TRUE,"")</f>
        <v/>
      </c>
      <c r="D513" s="104" t="str" cm="1">
        <f t="array" ref="D513">_xlfn.IFS(AND(A513&gt;NumberOfPlots,ISBLANK(INDEX(PlotData,MATCH($A513,PlotNumber,0),MATCH(B$3,PlotTitles,0)))),"",ISBLANK(INDEX(PlotData,MATCH($A513,PlotNumber,0),MATCH(D$3,PlotTitles,0))),$AB$7,TRUE,"")</f>
        <v/>
      </c>
      <c r="E513" s="104" t="str" cm="1">
        <f t="array" ref="E513">_xlfn.IFS(AND(A513&gt;NumberOfPlots,ISBLANK(INDEX(PlotData,MATCH($A513,PlotNumber,0),MATCH(B$3,PlotTitles,0)))),"",ISBLANK(INDEX(PlotData,MATCH($A513,PlotNumber,0),MATCH(E$3,PlotTitles,0))),$AB$8,TRUE,"")</f>
        <v/>
      </c>
      <c r="F513" s="104" t="str" cm="1">
        <f t="array" ref="F513">_xlfn.IFS(AND(A513&gt;NumberOfPlots,ISBLANK(INDEX(PlotData,MATCH($A513,PlotNumber,0),MATCH(B$3,PlotTitles,0)))),"",ISBLANK(INDEX(PlotData,MATCH($A513,PlotNumber,0),MATCH(F$3,PlotTitles,0))),$AB$9,TRUE,"")</f>
        <v/>
      </c>
      <c r="G513" s="104" t="str" cm="1">
        <f t="array" ref="G513">_xlfn.IFS(AND(A513&gt;NumberOfPlots,ISBLANK(INDEX(PlotData,MATCH($A513,PlotNumber,0),MATCH(B$3,PlotTitles,0)))),"",ISBLANK(INDEX(PlotData,MATCH($A513,PlotNumber,0),MATCH(G$3,PlotTitles,0))),$AB$10,TRUE,"")</f>
        <v/>
      </c>
      <c r="H513" s="104" t="str" cm="1">
        <f t="array" ref="H513">_xlfn.IFS(AND(A513&gt;NumberOfPlots,ISBLANK(INDEX(PlotData,MATCH($A513,PlotNumber,0),MATCH(B$3,PlotTitles,0)))),"",AND(ISBLANK(INDEX(PlotData,MATCH($A513,PlotNumber,0),MATCH(H$3,PlotTitles,0)))=FALSE,INDEX(PlotData,MATCH($A513,PlotNumber,0),MATCH(H$3,PlotTitles,0))&lt;500), $AB$11,TRUE,"")</f>
        <v/>
      </c>
      <c r="I513" s="104" t="str" cm="1">
        <f t="array" ref="I513">_xlfn.IFS(AND(A513&gt;NumberOfPlots,ISBLANK(INDEX(PlotData,MATCH($A513,PlotNumber,0),MATCH(B$3,PlotTitles,0)))),"",ISBLANK(INDEX(PlotData,MATCH($A513,PlotNumber,0),MATCH(I$3,PlotTitles,0))),$AB$12,TRUE,"")</f>
        <v/>
      </c>
      <c r="J513" s="104" t="str" cm="1">
        <f t="array" ref="J513">_xlfn.IFS(AND(A513&gt;NumberOfPlots,ISBLANK(INDEX(PlotData,MATCH($A513,PlotNumber,0),MATCH(B$3,PlotTitles,0)))),"",ISBLANK(INDEX(PlotData,MATCH($A513,PlotNumber,0),MATCH(J$3,PlotTitles,0))),$AB$13,TRUE,"")</f>
        <v/>
      </c>
      <c r="K513" s="182" t="str">
        <f t="shared" ca="1" si="21"/>
        <v/>
      </c>
      <c r="L513" s="104" t="str" cm="1">
        <f t="array" ref="L513">_xlfn.IFS(OR(ISBLANK(StartDateMonth),ISBLANK(StartDateYear)),"",AND(A513&gt;NumberOfPlots,ISBLANK(INDEX(PlotData,MATCH($A513,PlotNumber,0),MATCH(B$3,PlotTitles,0)))),"",ISBLANK(INDEX(PlotData,MATCH($A513,PlotNumber,0),MATCH(I$3,PlotTitles,0))),"",(DATEVALUE(INDEX(PlotData,MATCH($A513,PlotNumber,0),MATCH(I$3,PlotTitles,0))&amp;INDEX(PlotData,MATCH($A513,PlotNumber,0),MATCH(J$3,PlotTitles,0))))&lt;DATEVALUE(StartDateMonth&amp;StartDateYear),$AB$15,TRUE,"")</f>
        <v/>
      </c>
      <c r="M513" s="104" t="str" cm="1">
        <f t="array" ref="M513">_xlfn.IFS(OR(ISBLANK(StartDateMonth),ISBLANK(StartDateYear)),"",AND(A513&gt;NumberOfPlots,ISBLANK(INDEX(PlotData,MATCH($A513,PlotNumber,0),MATCH(B$3,PlotTitles,0)))),"",ISBLANK(INDEX(PlotData,MATCH($A513,PlotNumber,0),MATCH(I$3,PlotTitles,0))),"",CompletionMonth="","",(DATEVALUE(INDEX(PlotData,MATCH($A513,PlotNumber,0),MATCH(I$3,PlotTitles,0))&amp;INDEX(PlotData,MATCH($A513,PlotNumber,0),MATCH(J$3,PlotTitles,0))))&gt;(DATEVALUE(CompletionMonth&amp;CompletionYear)),$AB$16,TRUE,"")</f>
        <v/>
      </c>
      <c r="N513" s="104" t="str" cm="1">
        <f t="array" ref="N513">_xlfn.IFS(AND(A513&gt;NumberOfPlots,ISBLANK(INDEX(PlotData,MATCH($A513,PlotNumber,0),MATCH(B$3,PlotTitles,0)))),"",ISBLANK(INDEX(PlotData,MATCH($A513,PlotNumber,0),MATCH(N$3,PlotTitles,0))),$AB$17,TRUE,"")</f>
        <v/>
      </c>
      <c r="O513" s="104" t="str" cm="1">
        <f t="array" ref="O513">_xlfn.IFS(AND(A513&gt;NumberOfPlots,ISBLANK(INDEX(PlotData,MATCH($A513,PlotNumber,0),MATCH(B$3,PlotTitles,0)))),"",ISBLANK(INDEX(PlotData,MATCH($A513,PlotNumber,0),MATCH(O$3,PlotTitles,0))),$AB$18,TRUE,"")</f>
        <v/>
      </c>
      <c r="P513" s="182" t="str">
        <f t="shared" ca="1" si="22"/>
        <v/>
      </c>
      <c r="Q513" s="104" t="str" cm="1">
        <f t="array" ref="Q513">_xlfn.IFS(AND(A513&gt;NumberOfPlots,ISBLANK(INDEX(PlotData,MATCH($A513,PlotNumber,0),MATCH(B$3,PlotTitles,0)))),"",ISBLANK(INDEX(PlotData,MATCH($A513,PlotNumber,0),MATCH(N$3,PlotTitles,0))),"",(DATEVALUE(INDEX(PlotData,MATCH($A513,PlotNumber,0),MATCH(N$3,PlotTitles,0))&amp;INDEX(PlotData,MATCH($A513,PlotNumber,0),MATCH(O$3,PlotTitles,0))))&lt;(DATEVALUE(INDEX(PlotData,MATCH($A513,PlotNumber,0),MATCH(I$3,PlotTitles,0))&amp;INDEX(PlotData,MATCH($A513,PlotNumber,0),MATCH(J$3,PlotTitles,0)))),$AB$20,TRUE,"")</f>
        <v/>
      </c>
      <c r="R513" s="104" t="str" cm="1">
        <f t="array" ref="R513">_xlfn.IFS(OR(ISBLANK(StartDateMonth),ISBLANK(StartDateYear)),"",AND(A513&gt;NumberOfPlots,ISBLANK(INDEX(PlotData,MATCH($A513,PlotNumber,0),MATCH(B$3,PlotTitles,0)))),"",ISBLANK(INDEX(PlotData,MATCH($A513,PlotNumber,0),MATCH(N$3,PlotTitles,0))),"",CompletionMonth="","",(DATEVALUE(INDEX(PlotData,MATCH($A513,PlotNumber,0),MATCH(N$3,PlotTitles,0))&amp;INDEX(PlotData,MATCH($A513,PlotNumber,0),MATCH(O$3,PlotTitles,0))))&gt;(DATEVALUE(CompletionMonth&amp;CompletionYear)),$AB$21,TRUE,"")</f>
        <v/>
      </c>
      <c r="S513" s="104" t="str" cm="1">
        <f t="array" ref="S513">_xlfn.IFS(AND(A513&gt;NumberOfPlots,ISBLANK(INDEX(PlotData,MATCH($A513,PlotNumber,0),MATCH(B$3,PlotTitles,0)))),"",OR(AND(INDEX(PlotData,MATCH($A513,PlotNumber,0),MATCH("Tenure",PlotTitles,0))="Open market housing",INDEX(PlotData,MATCH($A513,PlotNumber,0),MATCH("Tenure detail",PlotTitles,0))="Private rented sector"),INDEX(PlotData,MATCH($A513,PlotNumber,0),MATCH("Tenure",PlotTitles,0))="Affordable rent"),"",ISNUMBER(INDEX(PlotData,MATCH($A513,PlotNumber,0),MATCH(S$3,PlotTitles,0)))=FALSE, $AB$22,TRUE,"")</f>
        <v/>
      </c>
      <c r="T513" s="104" t="str" cm="1">
        <f t="array" ref="T513">_xlfn.IFS(AND(A513&gt;NumberOfPlots,ISBLANK(INDEX(PlotData,MATCH($A513,PlotNumber,0),MATCH(B$3,PlotTitles,0)))),"",OR(AND(INDEX(PlotData,MATCH($A513,PlotNumber,0),MATCH("Tenure",PlotTitles,0))="Open market housing",INDEX(PlotData,MATCH($A513,PlotNumber,0),MATCH("Tenure detail",PlotTitles,0))="Private rented sector"),INDEX(PlotData,MATCH($A513,PlotNumber,0),MATCH("Tenure",PlotTitles,0))="Affordable rent"),"",INDEX(PlotData,MATCH($A513,PlotNumber,0),MATCH(S$3,PlotTitles,0))&lt;10000, $AB$23,TRUE,"")</f>
        <v/>
      </c>
      <c r="U513" s="104" t="str" cm="1">
        <f t="array" ref="U513">_xlfn.IFS(AND(A513&gt;NumberOfPlots,ISBLANK(INDEX(PlotData,MATCH($A513,PlotNumber,0),MATCH(B$3,PlotTitles,0)))),"",NOT(OR(AND(INDEX(PlotData,MATCH($A513,PlotNumber,0),MATCH("Tenure",PlotTitles,0))="Open market housing",INDEX(PlotData,MATCH($A513,PlotNumber,0),MATCH("Tenure detail",PlotTitles,0))="Private rented sector"),INDEX(PlotData,MATCH($A513,PlotNumber,0),MATCH("Tenure",PlotTitles,0))="Affordable rent")),"",NOT(INDEX(PlotData,MATCH($A513,PlotNumber,0),MATCH(S$3,PlotTitles,0))=0), $AB$24,TRUE,"")</f>
        <v/>
      </c>
      <c r="V513" s="114" t="str" cm="1">
        <f t="array" aca="1" ref="V513" ca="1">_xlfn.IFS(ISBLANK(NumberOfPlots),"Enter the number of homes on the 1_SetUp sheet",AND(A513&gt;NumberOfPlots,ISBLANK(INDEX(PlotData,MATCH($A513,PlotNumber,0),MATCH(B$3,PlotTitles,0)))),"No error",NOT(B513=""),B513,NOT(C513=""),C513,NOT(D513=""),D513,NOT(E513=""),E513,NOT(F513=""),F513,NOT(G513=""),G513,NOT(H513=""),H513,NOT(I513=""),I513,NOT(J513=""),J513,NOT(K513=""),K513,NOT(L513=""),L513,NOT(M513=""),M513,NOT(N513=""),N513,NOT(O513=""),O513,NOT(P513=""),P513,NOT(Q513=""),Q513,NOT(R513=""),R513,NOT(S513=""),S513,NOT(T513=""),T513,NOT(U513=""),U513,TRUE,"No error")</f>
        <v>Enter the number of homes on the 1_SetUp sheet</v>
      </c>
      <c r="W513" s="114" t="str">
        <f t="shared" ca="1" si="23"/>
        <v xml:space="preserve">The Borrower has not addressed the following error messages for Home ID 509: </v>
      </c>
    </row>
    <row r="514" spans="1:23">
      <c r="A514" s="123">
        <v>510</v>
      </c>
      <c r="B514" s="104" t="str" cm="1">
        <f t="array" ref="B514">_xlfn.IFS(AND(A514&gt;NumberOfPlots,ISBLANK(INDEX(PlotData,MATCH($A514,PlotNumber,0),MATCH(B$3,PlotTitles,0)))),"",ISNUMBER(INDEX(PlotData,MATCH($A514,PlotNumber,0),MATCH(B$3,PlotTitles,0)))=FALSE, $AB$5,TRUE,"")</f>
        <v/>
      </c>
      <c r="C514" s="104" t="str" cm="1">
        <f t="array" ref="C514">_xlfn.IFS(AND(A514&gt;NumberOfPlots,ISBLANK(INDEX(PlotData,MATCH($A514,PlotNumber,0),MATCH(B$3,PlotTitles,0)))),"",ISBLANK(INDEX(PlotData,MATCH($A514,PlotNumber,0),MATCH(C$3,PlotTitles,0))),$AB$6,TRUE,"")</f>
        <v/>
      </c>
      <c r="D514" s="104" t="str" cm="1">
        <f t="array" ref="D514">_xlfn.IFS(AND(A514&gt;NumberOfPlots,ISBLANK(INDEX(PlotData,MATCH($A514,PlotNumber,0),MATCH(B$3,PlotTitles,0)))),"",ISBLANK(INDEX(PlotData,MATCH($A514,PlotNumber,0),MATCH(D$3,PlotTitles,0))),$AB$7,TRUE,"")</f>
        <v/>
      </c>
      <c r="E514" s="104" t="str" cm="1">
        <f t="array" ref="E514">_xlfn.IFS(AND(A514&gt;NumberOfPlots,ISBLANK(INDEX(PlotData,MATCH($A514,PlotNumber,0),MATCH(B$3,PlotTitles,0)))),"",ISBLANK(INDEX(PlotData,MATCH($A514,PlotNumber,0),MATCH(E$3,PlotTitles,0))),$AB$8,TRUE,"")</f>
        <v/>
      </c>
      <c r="F514" s="104" t="str" cm="1">
        <f t="array" ref="F514">_xlfn.IFS(AND(A514&gt;NumberOfPlots,ISBLANK(INDEX(PlotData,MATCH($A514,PlotNumber,0),MATCH(B$3,PlotTitles,0)))),"",ISBLANK(INDEX(PlotData,MATCH($A514,PlotNumber,0),MATCH(F$3,PlotTitles,0))),$AB$9,TRUE,"")</f>
        <v/>
      </c>
      <c r="G514" s="104" t="str" cm="1">
        <f t="array" ref="G514">_xlfn.IFS(AND(A514&gt;NumberOfPlots,ISBLANK(INDEX(PlotData,MATCH($A514,PlotNumber,0),MATCH(B$3,PlotTitles,0)))),"",ISBLANK(INDEX(PlotData,MATCH($A514,PlotNumber,0),MATCH(G$3,PlotTitles,0))),$AB$10,TRUE,"")</f>
        <v/>
      </c>
      <c r="H514" s="104" t="str" cm="1">
        <f t="array" ref="H514">_xlfn.IFS(AND(A514&gt;NumberOfPlots,ISBLANK(INDEX(PlotData,MATCH($A514,PlotNumber,0),MATCH(B$3,PlotTitles,0)))),"",AND(ISBLANK(INDEX(PlotData,MATCH($A514,PlotNumber,0),MATCH(H$3,PlotTitles,0)))=FALSE,INDEX(PlotData,MATCH($A514,PlotNumber,0),MATCH(H$3,PlotTitles,0))&lt;500), $AB$11,TRUE,"")</f>
        <v/>
      </c>
      <c r="I514" s="104" t="str" cm="1">
        <f t="array" ref="I514">_xlfn.IFS(AND(A514&gt;NumberOfPlots,ISBLANK(INDEX(PlotData,MATCH($A514,PlotNumber,0),MATCH(B$3,PlotTitles,0)))),"",ISBLANK(INDEX(PlotData,MATCH($A514,PlotNumber,0),MATCH(I$3,PlotTitles,0))),$AB$12,TRUE,"")</f>
        <v/>
      </c>
      <c r="J514" s="104" t="str" cm="1">
        <f t="array" ref="J514">_xlfn.IFS(AND(A514&gt;NumberOfPlots,ISBLANK(INDEX(PlotData,MATCH($A514,PlotNumber,0),MATCH(B$3,PlotTitles,0)))),"",ISBLANK(INDEX(PlotData,MATCH($A514,PlotNumber,0),MATCH(J$3,PlotTitles,0))),$AB$13,TRUE,"")</f>
        <v/>
      </c>
      <c r="K514" s="182" t="str">
        <f t="shared" ca="1" si="21"/>
        <v/>
      </c>
      <c r="L514" s="104" t="str" cm="1">
        <f t="array" ref="L514">_xlfn.IFS(OR(ISBLANK(StartDateMonth),ISBLANK(StartDateYear)),"",AND(A514&gt;NumberOfPlots,ISBLANK(INDEX(PlotData,MATCH($A514,PlotNumber,0),MATCH(B$3,PlotTitles,0)))),"",ISBLANK(INDEX(PlotData,MATCH($A514,PlotNumber,0),MATCH(I$3,PlotTitles,0))),"",(DATEVALUE(INDEX(PlotData,MATCH($A514,PlotNumber,0),MATCH(I$3,PlotTitles,0))&amp;INDEX(PlotData,MATCH($A514,PlotNumber,0),MATCH(J$3,PlotTitles,0))))&lt;DATEVALUE(StartDateMonth&amp;StartDateYear),$AB$15,TRUE,"")</f>
        <v/>
      </c>
      <c r="M514" s="104" t="str" cm="1">
        <f t="array" ref="M514">_xlfn.IFS(OR(ISBLANK(StartDateMonth),ISBLANK(StartDateYear)),"",AND(A514&gt;NumberOfPlots,ISBLANK(INDEX(PlotData,MATCH($A514,PlotNumber,0),MATCH(B$3,PlotTitles,0)))),"",ISBLANK(INDEX(PlotData,MATCH($A514,PlotNumber,0),MATCH(I$3,PlotTitles,0))),"",CompletionMonth="","",(DATEVALUE(INDEX(PlotData,MATCH($A514,PlotNumber,0),MATCH(I$3,PlotTitles,0))&amp;INDEX(PlotData,MATCH($A514,PlotNumber,0),MATCH(J$3,PlotTitles,0))))&gt;(DATEVALUE(CompletionMonth&amp;CompletionYear)),$AB$16,TRUE,"")</f>
        <v/>
      </c>
      <c r="N514" s="104" t="str" cm="1">
        <f t="array" ref="N514">_xlfn.IFS(AND(A514&gt;NumberOfPlots,ISBLANK(INDEX(PlotData,MATCH($A514,PlotNumber,0),MATCH(B$3,PlotTitles,0)))),"",ISBLANK(INDEX(PlotData,MATCH($A514,PlotNumber,0),MATCH(N$3,PlotTitles,0))),$AB$17,TRUE,"")</f>
        <v/>
      </c>
      <c r="O514" s="104" t="str" cm="1">
        <f t="array" ref="O514">_xlfn.IFS(AND(A514&gt;NumberOfPlots,ISBLANK(INDEX(PlotData,MATCH($A514,PlotNumber,0),MATCH(B$3,PlotTitles,0)))),"",ISBLANK(INDEX(PlotData,MATCH($A514,PlotNumber,0),MATCH(O$3,PlotTitles,0))),$AB$18,TRUE,"")</f>
        <v/>
      </c>
      <c r="P514" s="182" t="str">
        <f t="shared" ca="1" si="22"/>
        <v/>
      </c>
      <c r="Q514" s="104" t="str" cm="1">
        <f t="array" ref="Q514">_xlfn.IFS(AND(A514&gt;NumberOfPlots,ISBLANK(INDEX(PlotData,MATCH($A514,PlotNumber,0),MATCH(B$3,PlotTitles,0)))),"",ISBLANK(INDEX(PlotData,MATCH($A514,PlotNumber,0),MATCH(N$3,PlotTitles,0))),"",(DATEVALUE(INDEX(PlotData,MATCH($A514,PlotNumber,0),MATCH(N$3,PlotTitles,0))&amp;INDEX(PlotData,MATCH($A514,PlotNumber,0),MATCH(O$3,PlotTitles,0))))&lt;(DATEVALUE(INDEX(PlotData,MATCH($A514,PlotNumber,0),MATCH(I$3,PlotTitles,0))&amp;INDEX(PlotData,MATCH($A514,PlotNumber,0),MATCH(J$3,PlotTitles,0)))),$AB$20,TRUE,"")</f>
        <v/>
      </c>
      <c r="R514" s="104" t="str" cm="1">
        <f t="array" ref="R514">_xlfn.IFS(OR(ISBLANK(StartDateMonth),ISBLANK(StartDateYear)),"",AND(A514&gt;NumberOfPlots,ISBLANK(INDEX(PlotData,MATCH($A514,PlotNumber,0),MATCH(B$3,PlotTitles,0)))),"",ISBLANK(INDEX(PlotData,MATCH($A514,PlotNumber,0),MATCH(N$3,PlotTitles,0))),"",CompletionMonth="","",(DATEVALUE(INDEX(PlotData,MATCH($A514,PlotNumber,0),MATCH(N$3,PlotTitles,0))&amp;INDEX(PlotData,MATCH($A514,PlotNumber,0),MATCH(O$3,PlotTitles,0))))&gt;(DATEVALUE(CompletionMonth&amp;CompletionYear)),$AB$21,TRUE,"")</f>
        <v/>
      </c>
      <c r="S514" s="104" t="str" cm="1">
        <f t="array" ref="S514">_xlfn.IFS(AND(A514&gt;NumberOfPlots,ISBLANK(INDEX(PlotData,MATCH($A514,PlotNumber,0),MATCH(B$3,PlotTitles,0)))),"",OR(AND(INDEX(PlotData,MATCH($A514,PlotNumber,0),MATCH("Tenure",PlotTitles,0))="Open market housing",INDEX(PlotData,MATCH($A514,PlotNumber,0),MATCH("Tenure detail",PlotTitles,0))="Private rented sector"),INDEX(PlotData,MATCH($A514,PlotNumber,0),MATCH("Tenure",PlotTitles,0))="Affordable rent"),"",ISNUMBER(INDEX(PlotData,MATCH($A514,PlotNumber,0),MATCH(S$3,PlotTitles,0)))=FALSE, $AB$22,TRUE,"")</f>
        <v/>
      </c>
      <c r="T514" s="104" t="str" cm="1">
        <f t="array" ref="T514">_xlfn.IFS(AND(A514&gt;NumberOfPlots,ISBLANK(INDEX(PlotData,MATCH($A514,PlotNumber,0),MATCH(B$3,PlotTitles,0)))),"",OR(AND(INDEX(PlotData,MATCH($A514,PlotNumber,0),MATCH("Tenure",PlotTitles,0))="Open market housing",INDEX(PlotData,MATCH($A514,PlotNumber,0),MATCH("Tenure detail",PlotTitles,0))="Private rented sector"),INDEX(PlotData,MATCH($A514,PlotNumber,0),MATCH("Tenure",PlotTitles,0))="Affordable rent"),"",INDEX(PlotData,MATCH($A514,PlotNumber,0),MATCH(S$3,PlotTitles,0))&lt;10000, $AB$23,TRUE,"")</f>
        <v/>
      </c>
      <c r="U514" s="104" t="str" cm="1">
        <f t="array" ref="U514">_xlfn.IFS(AND(A514&gt;NumberOfPlots,ISBLANK(INDEX(PlotData,MATCH($A514,PlotNumber,0),MATCH(B$3,PlotTitles,0)))),"",NOT(OR(AND(INDEX(PlotData,MATCH($A514,PlotNumber,0),MATCH("Tenure",PlotTitles,0))="Open market housing",INDEX(PlotData,MATCH($A514,PlotNumber,0),MATCH("Tenure detail",PlotTitles,0))="Private rented sector"),INDEX(PlotData,MATCH($A514,PlotNumber,0),MATCH("Tenure",PlotTitles,0))="Affordable rent")),"",NOT(INDEX(PlotData,MATCH($A514,PlotNumber,0),MATCH(S$3,PlotTitles,0))=0), $AB$24,TRUE,"")</f>
        <v/>
      </c>
      <c r="V514" s="114" t="str" cm="1">
        <f t="array" aca="1" ref="V514" ca="1">_xlfn.IFS(ISBLANK(NumberOfPlots),"Enter the number of homes on the 1_SetUp sheet",AND(A514&gt;NumberOfPlots,ISBLANK(INDEX(PlotData,MATCH($A514,PlotNumber,0),MATCH(B$3,PlotTitles,0)))),"No error",NOT(B514=""),B514,NOT(C514=""),C514,NOT(D514=""),D514,NOT(E514=""),E514,NOT(F514=""),F514,NOT(G514=""),G514,NOT(H514=""),H514,NOT(I514=""),I514,NOT(J514=""),J514,NOT(K514=""),K514,NOT(L514=""),L514,NOT(M514=""),M514,NOT(N514=""),N514,NOT(O514=""),O514,NOT(P514=""),P514,NOT(Q514=""),Q514,NOT(R514=""),R514,NOT(S514=""),S514,NOT(T514=""),T514,NOT(U514=""),U514,TRUE,"No error")</f>
        <v>Enter the number of homes on the 1_SetUp sheet</v>
      </c>
      <c r="W514" s="114" t="str">
        <f t="shared" ca="1" si="23"/>
        <v xml:space="preserve">The Borrower has not addressed the following error messages for Home ID 510: </v>
      </c>
    </row>
    <row r="515" spans="1:23">
      <c r="A515" s="123">
        <v>511</v>
      </c>
      <c r="B515" s="104" t="str" cm="1">
        <f t="array" ref="B515">_xlfn.IFS(AND(A515&gt;NumberOfPlots,ISBLANK(INDEX(PlotData,MATCH($A515,PlotNumber,0),MATCH(B$3,PlotTitles,0)))),"",ISNUMBER(INDEX(PlotData,MATCH($A515,PlotNumber,0),MATCH(B$3,PlotTitles,0)))=FALSE, $AB$5,TRUE,"")</f>
        <v/>
      </c>
      <c r="C515" s="104" t="str" cm="1">
        <f t="array" ref="C515">_xlfn.IFS(AND(A515&gt;NumberOfPlots,ISBLANK(INDEX(PlotData,MATCH($A515,PlotNumber,0),MATCH(B$3,PlotTitles,0)))),"",ISBLANK(INDEX(PlotData,MATCH($A515,PlotNumber,0),MATCH(C$3,PlotTitles,0))),$AB$6,TRUE,"")</f>
        <v/>
      </c>
      <c r="D515" s="104" t="str" cm="1">
        <f t="array" ref="D515">_xlfn.IFS(AND(A515&gt;NumberOfPlots,ISBLANK(INDEX(PlotData,MATCH($A515,PlotNumber,0),MATCH(B$3,PlotTitles,0)))),"",ISBLANK(INDEX(PlotData,MATCH($A515,PlotNumber,0),MATCH(D$3,PlotTitles,0))),$AB$7,TRUE,"")</f>
        <v/>
      </c>
      <c r="E515" s="104" t="str" cm="1">
        <f t="array" ref="E515">_xlfn.IFS(AND(A515&gt;NumberOfPlots,ISBLANK(INDEX(PlotData,MATCH($A515,PlotNumber,0),MATCH(B$3,PlotTitles,0)))),"",ISBLANK(INDEX(PlotData,MATCH($A515,PlotNumber,0),MATCH(E$3,PlotTitles,0))),$AB$8,TRUE,"")</f>
        <v/>
      </c>
      <c r="F515" s="104" t="str" cm="1">
        <f t="array" ref="F515">_xlfn.IFS(AND(A515&gt;NumberOfPlots,ISBLANK(INDEX(PlotData,MATCH($A515,PlotNumber,0),MATCH(B$3,PlotTitles,0)))),"",ISBLANK(INDEX(PlotData,MATCH($A515,PlotNumber,0),MATCH(F$3,PlotTitles,0))),$AB$9,TRUE,"")</f>
        <v/>
      </c>
      <c r="G515" s="104" t="str" cm="1">
        <f t="array" ref="G515">_xlfn.IFS(AND(A515&gt;NumberOfPlots,ISBLANK(INDEX(PlotData,MATCH($A515,PlotNumber,0),MATCH(B$3,PlotTitles,0)))),"",ISBLANK(INDEX(PlotData,MATCH($A515,PlotNumber,0),MATCH(G$3,PlotTitles,0))),$AB$10,TRUE,"")</f>
        <v/>
      </c>
      <c r="H515" s="104" t="str" cm="1">
        <f t="array" ref="H515">_xlfn.IFS(AND(A515&gt;NumberOfPlots,ISBLANK(INDEX(PlotData,MATCH($A515,PlotNumber,0),MATCH(B$3,PlotTitles,0)))),"",AND(ISBLANK(INDEX(PlotData,MATCH($A515,PlotNumber,0),MATCH(H$3,PlotTitles,0)))=FALSE,INDEX(PlotData,MATCH($A515,PlotNumber,0),MATCH(H$3,PlotTitles,0))&lt;500), $AB$11,TRUE,"")</f>
        <v/>
      </c>
      <c r="I515" s="104" t="str" cm="1">
        <f t="array" ref="I515">_xlfn.IFS(AND(A515&gt;NumberOfPlots,ISBLANK(INDEX(PlotData,MATCH($A515,PlotNumber,0),MATCH(B$3,PlotTitles,0)))),"",ISBLANK(INDEX(PlotData,MATCH($A515,PlotNumber,0),MATCH(I$3,PlotTitles,0))),$AB$12,TRUE,"")</f>
        <v/>
      </c>
      <c r="J515" s="104" t="str" cm="1">
        <f t="array" ref="J515">_xlfn.IFS(AND(A515&gt;NumberOfPlots,ISBLANK(INDEX(PlotData,MATCH($A515,PlotNumber,0),MATCH(B$3,PlotTitles,0)))),"",ISBLANK(INDEX(PlotData,MATCH($A515,PlotNumber,0),MATCH(J$3,PlotTitles,0))),$AB$13,TRUE,"")</f>
        <v/>
      </c>
      <c r="K515" s="182" t="str">
        <f t="shared" ca="1" si="21"/>
        <v/>
      </c>
      <c r="L515" s="104" t="str" cm="1">
        <f t="array" ref="L515">_xlfn.IFS(OR(ISBLANK(StartDateMonth),ISBLANK(StartDateYear)),"",AND(A515&gt;NumberOfPlots,ISBLANK(INDEX(PlotData,MATCH($A515,PlotNumber,0),MATCH(B$3,PlotTitles,0)))),"",ISBLANK(INDEX(PlotData,MATCH($A515,PlotNumber,0),MATCH(I$3,PlotTitles,0))),"",(DATEVALUE(INDEX(PlotData,MATCH($A515,PlotNumber,0),MATCH(I$3,PlotTitles,0))&amp;INDEX(PlotData,MATCH($A515,PlotNumber,0),MATCH(J$3,PlotTitles,0))))&lt;DATEVALUE(StartDateMonth&amp;StartDateYear),$AB$15,TRUE,"")</f>
        <v/>
      </c>
      <c r="M515" s="104" t="str" cm="1">
        <f t="array" ref="M515">_xlfn.IFS(OR(ISBLANK(StartDateMonth),ISBLANK(StartDateYear)),"",AND(A515&gt;NumberOfPlots,ISBLANK(INDEX(PlotData,MATCH($A515,PlotNumber,0),MATCH(B$3,PlotTitles,0)))),"",ISBLANK(INDEX(PlotData,MATCH($A515,PlotNumber,0),MATCH(I$3,PlotTitles,0))),"",CompletionMonth="","",(DATEVALUE(INDEX(PlotData,MATCH($A515,PlotNumber,0),MATCH(I$3,PlotTitles,0))&amp;INDEX(PlotData,MATCH($A515,PlotNumber,0),MATCH(J$3,PlotTitles,0))))&gt;(DATEVALUE(CompletionMonth&amp;CompletionYear)),$AB$16,TRUE,"")</f>
        <v/>
      </c>
      <c r="N515" s="104" t="str" cm="1">
        <f t="array" ref="N515">_xlfn.IFS(AND(A515&gt;NumberOfPlots,ISBLANK(INDEX(PlotData,MATCH($A515,PlotNumber,0),MATCH(B$3,PlotTitles,0)))),"",ISBLANK(INDEX(PlotData,MATCH($A515,PlotNumber,0),MATCH(N$3,PlotTitles,0))),$AB$17,TRUE,"")</f>
        <v/>
      </c>
      <c r="O515" s="104" t="str" cm="1">
        <f t="array" ref="O515">_xlfn.IFS(AND(A515&gt;NumberOfPlots,ISBLANK(INDEX(PlotData,MATCH($A515,PlotNumber,0),MATCH(B$3,PlotTitles,0)))),"",ISBLANK(INDEX(PlotData,MATCH($A515,PlotNumber,0),MATCH(O$3,PlotTitles,0))),$AB$18,TRUE,"")</f>
        <v/>
      </c>
      <c r="P515" s="182" t="str">
        <f t="shared" ca="1" si="22"/>
        <v/>
      </c>
      <c r="Q515" s="104" t="str" cm="1">
        <f t="array" ref="Q515">_xlfn.IFS(AND(A515&gt;NumberOfPlots,ISBLANK(INDEX(PlotData,MATCH($A515,PlotNumber,0),MATCH(B$3,PlotTitles,0)))),"",ISBLANK(INDEX(PlotData,MATCH($A515,PlotNumber,0),MATCH(N$3,PlotTitles,0))),"",(DATEVALUE(INDEX(PlotData,MATCH($A515,PlotNumber,0),MATCH(N$3,PlotTitles,0))&amp;INDEX(PlotData,MATCH($A515,PlotNumber,0),MATCH(O$3,PlotTitles,0))))&lt;(DATEVALUE(INDEX(PlotData,MATCH($A515,PlotNumber,0),MATCH(I$3,PlotTitles,0))&amp;INDEX(PlotData,MATCH($A515,PlotNumber,0),MATCH(J$3,PlotTitles,0)))),$AB$20,TRUE,"")</f>
        <v/>
      </c>
      <c r="R515" s="104" t="str" cm="1">
        <f t="array" ref="R515">_xlfn.IFS(OR(ISBLANK(StartDateMonth),ISBLANK(StartDateYear)),"",AND(A515&gt;NumberOfPlots,ISBLANK(INDEX(PlotData,MATCH($A515,PlotNumber,0),MATCH(B$3,PlotTitles,0)))),"",ISBLANK(INDEX(PlotData,MATCH($A515,PlotNumber,0),MATCH(N$3,PlotTitles,0))),"",CompletionMonth="","",(DATEVALUE(INDEX(PlotData,MATCH($A515,PlotNumber,0),MATCH(N$3,PlotTitles,0))&amp;INDEX(PlotData,MATCH($A515,PlotNumber,0),MATCH(O$3,PlotTitles,0))))&gt;(DATEVALUE(CompletionMonth&amp;CompletionYear)),$AB$21,TRUE,"")</f>
        <v/>
      </c>
      <c r="S515" s="104" t="str" cm="1">
        <f t="array" ref="S515">_xlfn.IFS(AND(A515&gt;NumberOfPlots,ISBLANK(INDEX(PlotData,MATCH($A515,PlotNumber,0),MATCH(B$3,PlotTitles,0)))),"",OR(AND(INDEX(PlotData,MATCH($A515,PlotNumber,0),MATCH("Tenure",PlotTitles,0))="Open market housing",INDEX(PlotData,MATCH($A515,PlotNumber,0),MATCH("Tenure detail",PlotTitles,0))="Private rented sector"),INDEX(PlotData,MATCH($A515,PlotNumber,0),MATCH("Tenure",PlotTitles,0))="Affordable rent"),"",ISNUMBER(INDEX(PlotData,MATCH($A515,PlotNumber,0),MATCH(S$3,PlotTitles,0)))=FALSE, $AB$22,TRUE,"")</f>
        <v/>
      </c>
      <c r="T515" s="104" t="str" cm="1">
        <f t="array" ref="T515">_xlfn.IFS(AND(A515&gt;NumberOfPlots,ISBLANK(INDEX(PlotData,MATCH($A515,PlotNumber,0),MATCH(B$3,PlotTitles,0)))),"",OR(AND(INDEX(PlotData,MATCH($A515,PlotNumber,0),MATCH("Tenure",PlotTitles,0))="Open market housing",INDEX(PlotData,MATCH($A515,PlotNumber,0),MATCH("Tenure detail",PlotTitles,0))="Private rented sector"),INDEX(PlotData,MATCH($A515,PlotNumber,0),MATCH("Tenure",PlotTitles,0))="Affordable rent"),"",INDEX(PlotData,MATCH($A515,PlotNumber,0),MATCH(S$3,PlotTitles,0))&lt;10000, $AB$23,TRUE,"")</f>
        <v/>
      </c>
      <c r="U515" s="104" t="str" cm="1">
        <f t="array" ref="U515">_xlfn.IFS(AND(A515&gt;NumberOfPlots,ISBLANK(INDEX(PlotData,MATCH($A515,PlotNumber,0),MATCH(B$3,PlotTitles,0)))),"",NOT(OR(AND(INDEX(PlotData,MATCH($A515,PlotNumber,0),MATCH("Tenure",PlotTitles,0))="Open market housing",INDEX(PlotData,MATCH($A515,PlotNumber,0),MATCH("Tenure detail",PlotTitles,0))="Private rented sector"),INDEX(PlotData,MATCH($A515,PlotNumber,0),MATCH("Tenure",PlotTitles,0))="Affordable rent")),"",NOT(INDEX(PlotData,MATCH($A515,PlotNumber,0),MATCH(S$3,PlotTitles,0))=0), $AB$24,TRUE,"")</f>
        <v/>
      </c>
      <c r="V515" s="114" t="str" cm="1">
        <f t="array" aca="1" ref="V515" ca="1">_xlfn.IFS(ISBLANK(NumberOfPlots),"Enter the number of homes on the 1_SetUp sheet",AND(A515&gt;NumberOfPlots,ISBLANK(INDEX(PlotData,MATCH($A515,PlotNumber,0),MATCH(B$3,PlotTitles,0)))),"No error",NOT(B515=""),B515,NOT(C515=""),C515,NOT(D515=""),D515,NOT(E515=""),E515,NOT(F515=""),F515,NOT(G515=""),G515,NOT(H515=""),H515,NOT(I515=""),I515,NOT(J515=""),J515,NOT(K515=""),K515,NOT(L515=""),L515,NOT(M515=""),M515,NOT(N515=""),N515,NOT(O515=""),O515,NOT(P515=""),P515,NOT(Q515=""),Q515,NOT(R515=""),R515,NOT(S515=""),S515,NOT(T515=""),T515,NOT(U515=""),U515,TRUE,"No error")</f>
        <v>Enter the number of homes on the 1_SetUp sheet</v>
      </c>
      <c r="W515" s="114" t="str">
        <f t="shared" ca="1" si="23"/>
        <v xml:space="preserve">The Borrower has not addressed the following error messages for Home ID 511: </v>
      </c>
    </row>
    <row r="516" spans="1:23">
      <c r="A516" s="123">
        <v>512</v>
      </c>
      <c r="B516" s="104" t="str" cm="1">
        <f t="array" ref="B516">_xlfn.IFS(AND(A516&gt;NumberOfPlots,ISBLANK(INDEX(PlotData,MATCH($A516,PlotNumber,0),MATCH(B$3,PlotTitles,0)))),"",ISNUMBER(INDEX(PlotData,MATCH($A516,PlotNumber,0),MATCH(B$3,PlotTitles,0)))=FALSE, $AB$5,TRUE,"")</f>
        <v/>
      </c>
      <c r="C516" s="104" t="str" cm="1">
        <f t="array" ref="C516">_xlfn.IFS(AND(A516&gt;NumberOfPlots,ISBLANK(INDEX(PlotData,MATCH($A516,PlotNumber,0),MATCH(B$3,PlotTitles,0)))),"",ISBLANK(INDEX(PlotData,MATCH($A516,PlotNumber,0),MATCH(C$3,PlotTitles,0))),$AB$6,TRUE,"")</f>
        <v/>
      </c>
      <c r="D516" s="104" t="str" cm="1">
        <f t="array" ref="D516">_xlfn.IFS(AND(A516&gt;NumberOfPlots,ISBLANK(INDEX(PlotData,MATCH($A516,PlotNumber,0),MATCH(B$3,PlotTitles,0)))),"",ISBLANK(INDEX(PlotData,MATCH($A516,PlotNumber,0),MATCH(D$3,PlotTitles,0))),$AB$7,TRUE,"")</f>
        <v/>
      </c>
      <c r="E516" s="104" t="str" cm="1">
        <f t="array" ref="E516">_xlfn.IFS(AND(A516&gt;NumberOfPlots,ISBLANK(INDEX(PlotData,MATCH($A516,PlotNumber,0),MATCH(B$3,PlotTitles,0)))),"",ISBLANK(INDEX(PlotData,MATCH($A516,PlotNumber,0),MATCH(E$3,PlotTitles,0))),$AB$8,TRUE,"")</f>
        <v/>
      </c>
      <c r="F516" s="104" t="str" cm="1">
        <f t="array" ref="F516">_xlfn.IFS(AND(A516&gt;NumberOfPlots,ISBLANK(INDEX(PlotData,MATCH($A516,PlotNumber,0),MATCH(B$3,PlotTitles,0)))),"",ISBLANK(INDEX(PlotData,MATCH($A516,PlotNumber,0),MATCH(F$3,PlotTitles,0))),$AB$9,TRUE,"")</f>
        <v/>
      </c>
      <c r="G516" s="104" t="str" cm="1">
        <f t="array" ref="G516">_xlfn.IFS(AND(A516&gt;NumberOfPlots,ISBLANK(INDEX(PlotData,MATCH($A516,PlotNumber,0),MATCH(B$3,PlotTitles,0)))),"",ISBLANK(INDEX(PlotData,MATCH($A516,PlotNumber,0),MATCH(G$3,PlotTitles,0))),$AB$10,TRUE,"")</f>
        <v/>
      </c>
      <c r="H516" s="104" t="str" cm="1">
        <f t="array" ref="H516">_xlfn.IFS(AND(A516&gt;NumberOfPlots,ISBLANK(INDEX(PlotData,MATCH($A516,PlotNumber,0),MATCH(B$3,PlotTitles,0)))),"",AND(ISBLANK(INDEX(PlotData,MATCH($A516,PlotNumber,0),MATCH(H$3,PlotTitles,0)))=FALSE,INDEX(PlotData,MATCH($A516,PlotNumber,0),MATCH(H$3,PlotTitles,0))&lt;500), $AB$11,TRUE,"")</f>
        <v/>
      </c>
      <c r="I516" s="104" t="str" cm="1">
        <f t="array" ref="I516">_xlfn.IFS(AND(A516&gt;NumberOfPlots,ISBLANK(INDEX(PlotData,MATCH($A516,PlotNumber,0),MATCH(B$3,PlotTitles,0)))),"",ISBLANK(INDEX(PlotData,MATCH($A516,PlotNumber,0),MATCH(I$3,PlotTitles,0))),$AB$12,TRUE,"")</f>
        <v/>
      </c>
      <c r="J516" s="104" t="str" cm="1">
        <f t="array" ref="J516">_xlfn.IFS(AND(A516&gt;NumberOfPlots,ISBLANK(INDEX(PlotData,MATCH($A516,PlotNumber,0),MATCH(B$3,PlotTitles,0)))),"",ISBLANK(INDEX(PlotData,MATCH($A516,PlotNumber,0),MATCH(J$3,PlotTitles,0))),$AB$13,TRUE,"")</f>
        <v/>
      </c>
      <c r="K516" s="182" t="str">
        <f t="shared" ca="1" si="21"/>
        <v/>
      </c>
      <c r="L516" s="104" t="str" cm="1">
        <f t="array" ref="L516">_xlfn.IFS(OR(ISBLANK(StartDateMonth),ISBLANK(StartDateYear)),"",AND(A516&gt;NumberOfPlots,ISBLANK(INDEX(PlotData,MATCH($A516,PlotNumber,0),MATCH(B$3,PlotTitles,0)))),"",ISBLANK(INDEX(PlotData,MATCH($A516,PlotNumber,0),MATCH(I$3,PlotTitles,0))),"",(DATEVALUE(INDEX(PlotData,MATCH($A516,PlotNumber,0),MATCH(I$3,PlotTitles,0))&amp;INDEX(PlotData,MATCH($A516,PlotNumber,0),MATCH(J$3,PlotTitles,0))))&lt;DATEVALUE(StartDateMonth&amp;StartDateYear),$AB$15,TRUE,"")</f>
        <v/>
      </c>
      <c r="M516" s="104" t="str" cm="1">
        <f t="array" ref="M516">_xlfn.IFS(OR(ISBLANK(StartDateMonth),ISBLANK(StartDateYear)),"",AND(A516&gt;NumberOfPlots,ISBLANK(INDEX(PlotData,MATCH($A516,PlotNumber,0),MATCH(B$3,PlotTitles,0)))),"",ISBLANK(INDEX(PlotData,MATCH($A516,PlotNumber,0),MATCH(I$3,PlotTitles,0))),"",CompletionMonth="","",(DATEVALUE(INDEX(PlotData,MATCH($A516,PlotNumber,0),MATCH(I$3,PlotTitles,0))&amp;INDEX(PlotData,MATCH($A516,PlotNumber,0),MATCH(J$3,PlotTitles,0))))&gt;(DATEVALUE(CompletionMonth&amp;CompletionYear)),$AB$16,TRUE,"")</f>
        <v/>
      </c>
      <c r="N516" s="104" t="str" cm="1">
        <f t="array" ref="N516">_xlfn.IFS(AND(A516&gt;NumberOfPlots,ISBLANK(INDEX(PlotData,MATCH($A516,PlotNumber,0),MATCH(B$3,PlotTitles,0)))),"",ISBLANK(INDEX(PlotData,MATCH($A516,PlotNumber,0),MATCH(N$3,PlotTitles,0))),$AB$17,TRUE,"")</f>
        <v/>
      </c>
      <c r="O516" s="104" t="str" cm="1">
        <f t="array" ref="O516">_xlfn.IFS(AND(A516&gt;NumberOfPlots,ISBLANK(INDEX(PlotData,MATCH($A516,PlotNumber,0),MATCH(B$3,PlotTitles,0)))),"",ISBLANK(INDEX(PlotData,MATCH($A516,PlotNumber,0),MATCH(O$3,PlotTitles,0))),$AB$18,TRUE,"")</f>
        <v/>
      </c>
      <c r="P516" s="182" t="str">
        <f t="shared" ca="1" si="22"/>
        <v/>
      </c>
      <c r="Q516" s="104" t="str" cm="1">
        <f t="array" ref="Q516">_xlfn.IFS(AND(A516&gt;NumberOfPlots,ISBLANK(INDEX(PlotData,MATCH($A516,PlotNumber,0),MATCH(B$3,PlotTitles,0)))),"",ISBLANK(INDEX(PlotData,MATCH($A516,PlotNumber,0),MATCH(N$3,PlotTitles,0))),"",(DATEVALUE(INDEX(PlotData,MATCH($A516,PlotNumber,0),MATCH(N$3,PlotTitles,0))&amp;INDEX(PlotData,MATCH($A516,PlotNumber,0),MATCH(O$3,PlotTitles,0))))&lt;(DATEVALUE(INDEX(PlotData,MATCH($A516,PlotNumber,0),MATCH(I$3,PlotTitles,0))&amp;INDEX(PlotData,MATCH($A516,PlotNumber,0),MATCH(J$3,PlotTitles,0)))),$AB$20,TRUE,"")</f>
        <v/>
      </c>
      <c r="R516" s="104" t="str" cm="1">
        <f t="array" ref="R516">_xlfn.IFS(OR(ISBLANK(StartDateMonth),ISBLANK(StartDateYear)),"",AND(A516&gt;NumberOfPlots,ISBLANK(INDEX(PlotData,MATCH($A516,PlotNumber,0),MATCH(B$3,PlotTitles,0)))),"",ISBLANK(INDEX(PlotData,MATCH($A516,PlotNumber,0),MATCH(N$3,PlotTitles,0))),"",CompletionMonth="","",(DATEVALUE(INDEX(PlotData,MATCH($A516,PlotNumber,0),MATCH(N$3,PlotTitles,0))&amp;INDEX(PlotData,MATCH($A516,PlotNumber,0),MATCH(O$3,PlotTitles,0))))&gt;(DATEVALUE(CompletionMonth&amp;CompletionYear)),$AB$21,TRUE,"")</f>
        <v/>
      </c>
      <c r="S516" s="104" t="str" cm="1">
        <f t="array" ref="S516">_xlfn.IFS(AND(A516&gt;NumberOfPlots,ISBLANK(INDEX(PlotData,MATCH($A516,PlotNumber,0),MATCH(B$3,PlotTitles,0)))),"",OR(AND(INDEX(PlotData,MATCH($A516,PlotNumber,0),MATCH("Tenure",PlotTitles,0))="Open market housing",INDEX(PlotData,MATCH($A516,PlotNumber,0),MATCH("Tenure detail",PlotTitles,0))="Private rented sector"),INDEX(PlotData,MATCH($A516,PlotNumber,0),MATCH("Tenure",PlotTitles,0))="Affordable rent"),"",ISNUMBER(INDEX(PlotData,MATCH($A516,PlotNumber,0),MATCH(S$3,PlotTitles,0)))=FALSE, $AB$22,TRUE,"")</f>
        <v/>
      </c>
      <c r="T516" s="104" t="str" cm="1">
        <f t="array" ref="T516">_xlfn.IFS(AND(A516&gt;NumberOfPlots,ISBLANK(INDEX(PlotData,MATCH($A516,PlotNumber,0),MATCH(B$3,PlotTitles,0)))),"",OR(AND(INDEX(PlotData,MATCH($A516,PlotNumber,0),MATCH("Tenure",PlotTitles,0))="Open market housing",INDEX(PlotData,MATCH($A516,PlotNumber,0),MATCH("Tenure detail",PlotTitles,0))="Private rented sector"),INDEX(PlotData,MATCH($A516,PlotNumber,0),MATCH("Tenure",PlotTitles,0))="Affordable rent"),"",INDEX(PlotData,MATCH($A516,PlotNumber,0),MATCH(S$3,PlotTitles,0))&lt;10000, $AB$23,TRUE,"")</f>
        <v/>
      </c>
      <c r="U516" s="104" t="str" cm="1">
        <f t="array" ref="U516">_xlfn.IFS(AND(A516&gt;NumberOfPlots,ISBLANK(INDEX(PlotData,MATCH($A516,PlotNumber,0),MATCH(B$3,PlotTitles,0)))),"",NOT(OR(AND(INDEX(PlotData,MATCH($A516,PlotNumber,0),MATCH("Tenure",PlotTitles,0))="Open market housing",INDEX(PlotData,MATCH($A516,PlotNumber,0),MATCH("Tenure detail",PlotTitles,0))="Private rented sector"),INDEX(PlotData,MATCH($A516,PlotNumber,0),MATCH("Tenure",PlotTitles,0))="Affordable rent")),"",NOT(INDEX(PlotData,MATCH($A516,PlotNumber,0),MATCH(S$3,PlotTitles,0))=0), $AB$24,TRUE,"")</f>
        <v/>
      </c>
      <c r="V516" s="114" t="str" cm="1">
        <f t="array" aca="1" ref="V516" ca="1">_xlfn.IFS(ISBLANK(NumberOfPlots),"Enter the number of homes on the 1_SetUp sheet",AND(A516&gt;NumberOfPlots,ISBLANK(INDEX(PlotData,MATCH($A516,PlotNumber,0),MATCH(B$3,PlotTitles,0)))),"No error",NOT(B516=""),B516,NOT(C516=""),C516,NOT(D516=""),D516,NOT(E516=""),E516,NOT(F516=""),F516,NOT(G516=""),G516,NOT(H516=""),H516,NOT(I516=""),I516,NOT(J516=""),J516,NOT(K516=""),K516,NOT(L516=""),L516,NOT(M516=""),M516,NOT(N516=""),N516,NOT(O516=""),O516,NOT(P516=""),P516,NOT(Q516=""),Q516,NOT(R516=""),R516,NOT(S516=""),S516,NOT(T516=""),T516,NOT(U516=""),U516,TRUE,"No error")</f>
        <v>Enter the number of homes on the 1_SetUp sheet</v>
      </c>
      <c r="W516" s="114" t="str">
        <f t="shared" ca="1" si="23"/>
        <v xml:space="preserve">The Borrower has not addressed the following error messages for Home ID 512: </v>
      </c>
    </row>
    <row r="517" spans="1:23">
      <c r="A517" s="123">
        <v>513</v>
      </c>
      <c r="B517" s="104" t="str" cm="1">
        <f t="array" ref="B517">_xlfn.IFS(AND(A517&gt;NumberOfPlots,ISBLANK(INDEX(PlotData,MATCH($A517,PlotNumber,0),MATCH(B$3,PlotTitles,0)))),"",ISNUMBER(INDEX(PlotData,MATCH($A517,PlotNumber,0),MATCH(B$3,PlotTitles,0)))=FALSE, $AB$5,TRUE,"")</f>
        <v/>
      </c>
      <c r="C517" s="104" t="str" cm="1">
        <f t="array" ref="C517">_xlfn.IFS(AND(A517&gt;NumberOfPlots,ISBLANK(INDEX(PlotData,MATCH($A517,PlotNumber,0),MATCH(B$3,PlotTitles,0)))),"",ISBLANK(INDEX(PlotData,MATCH($A517,PlotNumber,0),MATCH(C$3,PlotTitles,0))),$AB$6,TRUE,"")</f>
        <v/>
      </c>
      <c r="D517" s="104" t="str" cm="1">
        <f t="array" ref="D517">_xlfn.IFS(AND(A517&gt;NumberOfPlots,ISBLANK(INDEX(PlotData,MATCH($A517,PlotNumber,0),MATCH(B$3,PlotTitles,0)))),"",ISBLANK(INDEX(PlotData,MATCH($A517,PlotNumber,0),MATCH(D$3,PlotTitles,0))),$AB$7,TRUE,"")</f>
        <v/>
      </c>
      <c r="E517" s="104" t="str" cm="1">
        <f t="array" ref="E517">_xlfn.IFS(AND(A517&gt;NumberOfPlots,ISBLANK(INDEX(PlotData,MATCH($A517,PlotNumber,0),MATCH(B$3,PlotTitles,0)))),"",ISBLANK(INDEX(PlotData,MATCH($A517,PlotNumber,0),MATCH(E$3,PlotTitles,0))),$AB$8,TRUE,"")</f>
        <v/>
      </c>
      <c r="F517" s="104" t="str" cm="1">
        <f t="array" ref="F517">_xlfn.IFS(AND(A517&gt;NumberOfPlots,ISBLANK(INDEX(PlotData,MATCH($A517,PlotNumber,0),MATCH(B$3,PlotTitles,0)))),"",ISBLANK(INDEX(PlotData,MATCH($A517,PlotNumber,0),MATCH(F$3,PlotTitles,0))),$AB$9,TRUE,"")</f>
        <v/>
      </c>
      <c r="G517" s="104" t="str" cm="1">
        <f t="array" ref="G517">_xlfn.IFS(AND(A517&gt;NumberOfPlots,ISBLANK(INDEX(PlotData,MATCH($A517,PlotNumber,0),MATCH(B$3,PlotTitles,0)))),"",ISBLANK(INDEX(PlotData,MATCH($A517,PlotNumber,0),MATCH(G$3,PlotTitles,0))),$AB$10,TRUE,"")</f>
        <v/>
      </c>
      <c r="H517" s="104" t="str" cm="1">
        <f t="array" ref="H517">_xlfn.IFS(AND(A517&gt;NumberOfPlots,ISBLANK(INDEX(PlotData,MATCH($A517,PlotNumber,0),MATCH(B$3,PlotTitles,0)))),"",AND(ISBLANK(INDEX(PlotData,MATCH($A517,PlotNumber,0),MATCH(H$3,PlotTitles,0)))=FALSE,INDEX(PlotData,MATCH($A517,PlotNumber,0),MATCH(H$3,PlotTitles,0))&lt;500), $AB$11,TRUE,"")</f>
        <v/>
      </c>
      <c r="I517" s="104" t="str" cm="1">
        <f t="array" ref="I517">_xlfn.IFS(AND(A517&gt;NumberOfPlots,ISBLANK(INDEX(PlotData,MATCH($A517,PlotNumber,0),MATCH(B$3,PlotTitles,0)))),"",ISBLANK(INDEX(PlotData,MATCH($A517,PlotNumber,0),MATCH(I$3,PlotTitles,0))),$AB$12,TRUE,"")</f>
        <v/>
      </c>
      <c r="J517" s="104" t="str" cm="1">
        <f t="array" ref="J517">_xlfn.IFS(AND(A517&gt;NumberOfPlots,ISBLANK(INDEX(PlotData,MATCH($A517,PlotNumber,0),MATCH(B$3,PlotTitles,0)))),"",ISBLANK(INDEX(PlotData,MATCH($A517,PlotNumber,0),MATCH(J$3,PlotTitles,0))),$AB$13,TRUE,"")</f>
        <v/>
      </c>
      <c r="K517" s="182" t="str">
        <f t="shared" ref="K517:K580" ca="1" si="24">IF(AND(A517&gt;NumberOfPlots,ISBLANK(INDEX(PlotData,MATCH($A517,PlotNumber,0),MATCH(B$3,PlotTitles,0)))),"",IF(ISBLANK(INDEX(PlotData,MATCH($A517,PlotNumber,0),MATCH(I$3,PlotTitles,0)))=FALSE,IF(ISBLANK(INDEX(PlotData,MATCH($A517,PlotNumber,0),MATCH(J$3,PlotTitles,0)))=FALSE,IF((DATEVALUE(INDEX(PlotData,MATCH($A517,PlotNumber,0),MATCH(I$3,PlotTitles,0))&amp;INDEX(PlotData,MATCH($A517,PlotNumber,0),MATCH(J$3,PlotTitles,0))))&lt;(DATEVALUE(TEXT(TODAY(),"DD")&amp;"/"&amp;TEXT(TODAY(),"MM")&amp;"/"&amp;TEXT(TODAY(),"YYYY"))),$AB$14,"")),""))</f>
        <v/>
      </c>
      <c r="L517" s="104" t="str" cm="1">
        <f t="array" ref="L517">_xlfn.IFS(OR(ISBLANK(StartDateMonth),ISBLANK(StartDateYear)),"",AND(A517&gt;NumberOfPlots,ISBLANK(INDEX(PlotData,MATCH($A517,PlotNumber,0),MATCH(B$3,PlotTitles,0)))),"",ISBLANK(INDEX(PlotData,MATCH($A517,PlotNumber,0),MATCH(I$3,PlotTitles,0))),"",(DATEVALUE(INDEX(PlotData,MATCH($A517,PlotNumber,0),MATCH(I$3,PlotTitles,0))&amp;INDEX(PlotData,MATCH($A517,PlotNumber,0),MATCH(J$3,PlotTitles,0))))&lt;DATEVALUE(StartDateMonth&amp;StartDateYear),$AB$15,TRUE,"")</f>
        <v/>
      </c>
      <c r="M517" s="104" t="str" cm="1">
        <f t="array" ref="M517">_xlfn.IFS(OR(ISBLANK(StartDateMonth),ISBLANK(StartDateYear)),"",AND(A517&gt;NumberOfPlots,ISBLANK(INDEX(PlotData,MATCH($A517,PlotNumber,0),MATCH(B$3,PlotTitles,0)))),"",ISBLANK(INDEX(PlotData,MATCH($A517,PlotNumber,0),MATCH(I$3,PlotTitles,0))),"",CompletionMonth="","",(DATEVALUE(INDEX(PlotData,MATCH($A517,PlotNumber,0),MATCH(I$3,PlotTitles,0))&amp;INDEX(PlotData,MATCH($A517,PlotNumber,0),MATCH(J$3,PlotTitles,0))))&gt;(DATEVALUE(CompletionMonth&amp;CompletionYear)),$AB$16,TRUE,"")</f>
        <v/>
      </c>
      <c r="N517" s="104" t="str" cm="1">
        <f t="array" ref="N517">_xlfn.IFS(AND(A517&gt;NumberOfPlots,ISBLANK(INDEX(PlotData,MATCH($A517,PlotNumber,0),MATCH(B$3,PlotTitles,0)))),"",ISBLANK(INDEX(PlotData,MATCH($A517,PlotNumber,0),MATCH(N$3,PlotTitles,0))),$AB$17,TRUE,"")</f>
        <v/>
      </c>
      <c r="O517" s="104" t="str" cm="1">
        <f t="array" ref="O517">_xlfn.IFS(AND(A517&gt;NumberOfPlots,ISBLANK(INDEX(PlotData,MATCH($A517,PlotNumber,0),MATCH(B$3,PlotTitles,0)))),"",ISBLANK(INDEX(PlotData,MATCH($A517,PlotNumber,0),MATCH(O$3,PlotTitles,0))),$AB$18,TRUE,"")</f>
        <v/>
      </c>
      <c r="P517" s="182" t="str">
        <f t="shared" ref="P517:P580" ca="1" si="25">IF(AND(A517&gt;NumberOfPlots,ISBLANK(INDEX(PlotData,MATCH($A517,PlotNumber,0),MATCH(B$3,PlotTitles,0)))),"",IF(ISBLANK(INDEX(PlotData,MATCH($A517,PlotNumber,0),MATCH(N$3,PlotTitles,0)))=FALSE,IF(ISBLANK(INDEX(PlotData,MATCH($A517,PlotNumber,0),MATCH(O$3,PlotTitles,0)))=FALSE,IF((DATEVALUE(INDEX(PlotData,MATCH($A517,PlotNumber,0),MATCH(N$3,PlotTitles,0))&amp;INDEX(PlotData,MATCH($A517,PlotNumber,0),MATCH(O$3,PlotTitles,0))))&lt;(DATEVALUE(TEXT(TODAY(),"DD")&amp;"/"&amp;TEXT(TODAY(),"MM")&amp;"/"&amp;TEXT(TODAY(),"YYYY"))),$AB$19,"")),""))</f>
        <v/>
      </c>
      <c r="Q517" s="104" t="str" cm="1">
        <f t="array" ref="Q517">_xlfn.IFS(AND(A517&gt;NumberOfPlots,ISBLANK(INDEX(PlotData,MATCH($A517,PlotNumber,0),MATCH(B$3,PlotTitles,0)))),"",ISBLANK(INDEX(PlotData,MATCH($A517,PlotNumber,0),MATCH(N$3,PlotTitles,0))),"",(DATEVALUE(INDEX(PlotData,MATCH($A517,PlotNumber,0),MATCH(N$3,PlotTitles,0))&amp;INDEX(PlotData,MATCH($A517,PlotNumber,0),MATCH(O$3,PlotTitles,0))))&lt;(DATEVALUE(INDEX(PlotData,MATCH($A517,PlotNumber,0),MATCH(I$3,PlotTitles,0))&amp;INDEX(PlotData,MATCH($A517,PlotNumber,0),MATCH(J$3,PlotTitles,0)))),$AB$20,TRUE,"")</f>
        <v/>
      </c>
      <c r="R517" s="104" t="str" cm="1">
        <f t="array" ref="R517">_xlfn.IFS(OR(ISBLANK(StartDateMonth),ISBLANK(StartDateYear)),"",AND(A517&gt;NumberOfPlots,ISBLANK(INDEX(PlotData,MATCH($A517,PlotNumber,0),MATCH(B$3,PlotTitles,0)))),"",ISBLANK(INDEX(PlotData,MATCH($A517,PlotNumber,0),MATCH(N$3,PlotTitles,0))),"",CompletionMonth="","",(DATEVALUE(INDEX(PlotData,MATCH($A517,PlotNumber,0),MATCH(N$3,PlotTitles,0))&amp;INDEX(PlotData,MATCH($A517,PlotNumber,0),MATCH(O$3,PlotTitles,0))))&gt;(DATEVALUE(CompletionMonth&amp;CompletionYear)),$AB$21,TRUE,"")</f>
        <v/>
      </c>
      <c r="S517" s="104" t="str" cm="1">
        <f t="array" ref="S517">_xlfn.IFS(AND(A517&gt;NumberOfPlots,ISBLANK(INDEX(PlotData,MATCH($A517,PlotNumber,0),MATCH(B$3,PlotTitles,0)))),"",OR(AND(INDEX(PlotData,MATCH($A517,PlotNumber,0),MATCH("Tenure",PlotTitles,0))="Open market housing",INDEX(PlotData,MATCH($A517,PlotNumber,0),MATCH("Tenure detail",PlotTitles,0))="Private rented sector"),INDEX(PlotData,MATCH($A517,PlotNumber,0),MATCH("Tenure",PlotTitles,0))="Affordable rent"),"",ISNUMBER(INDEX(PlotData,MATCH($A517,PlotNumber,0),MATCH(S$3,PlotTitles,0)))=FALSE, $AB$22,TRUE,"")</f>
        <v/>
      </c>
      <c r="T517" s="104" t="str" cm="1">
        <f t="array" ref="T517">_xlfn.IFS(AND(A517&gt;NumberOfPlots,ISBLANK(INDEX(PlotData,MATCH($A517,PlotNumber,0),MATCH(B$3,PlotTitles,0)))),"",OR(AND(INDEX(PlotData,MATCH($A517,PlotNumber,0),MATCH("Tenure",PlotTitles,0))="Open market housing",INDEX(PlotData,MATCH($A517,PlotNumber,0),MATCH("Tenure detail",PlotTitles,0))="Private rented sector"),INDEX(PlotData,MATCH($A517,PlotNumber,0),MATCH("Tenure",PlotTitles,0))="Affordable rent"),"",INDEX(PlotData,MATCH($A517,PlotNumber,0),MATCH(S$3,PlotTitles,0))&lt;10000, $AB$23,TRUE,"")</f>
        <v/>
      </c>
      <c r="U517" s="104" t="str" cm="1">
        <f t="array" ref="U517">_xlfn.IFS(AND(A517&gt;NumberOfPlots,ISBLANK(INDEX(PlotData,MATCH($A517,PlotNumber,0),MATCH(B$3,PlotTitles,0)))),"",NOT(OR(AND(INDEX(PlotData,MATCH($A517,PlotNumber,0),MATCH("Tenure",PlotTitles,0))="Open market housing",INDEX(PlotData,MATCH($A517,PlotNumber,0),MATCH("Tenure detail",PlotTitles,0))="Private rented sector"),INDEX(PlotData,MATCH($A517,PlotNumber,0),MATCH("Tenure",PlotTitles,0))="Affordable rent")),"",NOT(INDEX(PlotData,MATCH($A517,PlotNumber,0),MATCH(S$3,PlotTitles,0))=0), $AB$24,TRUE,"")</f>
        <v/>
      </c>
      <c r="V517" s="114" t="str" cm="1">
        <f t="array" aca="1" ref="V517" ca="1">_xlfn.IFS(ISBLANK(NumberOfPlots),"Enter the number of homes on the 1_SetUp sheet",AND(A517&gt;NumberOfPlots,ISBLANK(INDEX(PlotData,MATCH($A517,PlotNumber,0),MATCH(B$3,PlotTitles,0)))),"No error",NOT(B517=""),B517,NOT(C517=""),C517,NOT(D517=""),D517,NOT(E517=""),E517,NOT(F517=""),F517,NOT(G517=""),G517,NOT(H517=""),H517,NOT(I517=""),I517,NOT(J517=""),J517,NOT(K517=""),K517,NOT(L517=""),L517,NOT(M517=""),M517,NOT(N517=""),N517,NOT(O517=""),O517,NOT(P517=""),P517,NOT(Q517=""),Q517,NOT(R517=""),R517,NOT(S517=""),S517,NOT(T517=""),T517,NOT(U517=""),U517,TRUE,"No error")</f>
        <v>Enter the number of homes on the 1_SetUp sheet</v>
      </c>
      <c r="W517" s="114" t="str">
        <f t="shared" ca="1" si="23"/>
        <v xml:space="preserve">The Borrower has not addressed the following error messages for Home ID 513: </v>
      </c>
    </row>
    <row r="518" spans="1:23">
      <c r="A518" s="123">
        <v>514</v>
      </c>
      <c r="B518" s="104" t="str" cm="1">
        <f t="array" ref="B518">_xlfn.IFS(AND(A518&gt;NumberOfPlots,ISBLANK(INDEX(PlotData,MATCH($A518,PlotNumber,0),MATCH(B$3,PlotTitles,0)))),"",ISNUMBER(INDEX(PlotData,MATCH($A518,PlotNumber,0),MATCH(B$3,PlotTitles,0)))=FALSE, $AB$5,TRUE,"")</f>
        <v/>
      </c>
      <c r="C518" s="104" t="str" cm="1">
        <f t="array" ref="C518">_xlfn.IFS(AND(A518&gt;NumberOfPlots,ISBLANK(INDEX(PlotData,MATCH($A518,PlotNumber,0),MATCH(B$3,PlotTitles,0)))),"",ISBLANK(INDEX(PlotData,MATCH($A518,PlotNumber,0),MATCH(C$3,PlotTitles,0))),$AB$6,TRUE,"")</f>
        <v/>
      </c>
      <c r="D518" s="104" t="str" cm="1">
        <f t="array" ref="D518">_xlfn.IFS(AND(A518&gt;NumberOfPlots,ISBLANK(INDEX(PlotData,MATCH($A518,PlotNumber,0),MATCH(B$3,PlotTitles,0)))),"",ISBLANK(INDEX(PlotData,MATCH($A518,PlotNumber,0),MATCH(D$3,PlotTitles,0))),$AB$7,TRUE,"")</f>
        <v/>
      </c>
      <c r="E518" s="104" t="str" cm="1">
        <f t="array" ref="E518">_xlfn.IFS(AND(A518&gt;NumberOfPlots,ISBLANK(INDEX(PlotData,MATCH($A518,PlotNumber,0),MATCH(B$3,PlotTitles,0)))),"",ISBLANK(INDEX(PlotData,MATCH($A518,PlotNumber,0),MATCH(E$3,PlotTitles,0))),$AB$8,TRUE,"")</f>
        <v/>
      </c>
      <c r="F518" s="104" t="str" cm="1">
        <f t="array" ref="F518">_xlfn.IFS(AND(A518&gt;NumberOfPlots,ISBLANK(INDEX(PlotData,MATCH($A518,PlotNumber,0),MATCH(B$3,PlotTitles,0)))),"",ISBLANK(INDEX(PlotData,MATCH($A518,PlotNumber,0),MATCH(F$3,PlotTitles,0))),$AB$9,TRUE,"")</f>
        <v/>
      </c>
      <c r="G518" s="104" t="str" cm="1">
        <f t="array" ref="G518">_xlfn.IFS(AND(A518&gt;NumberOfPlots,ISBLANK(INDEX(PlotData,MATCH($A518,PlotNumber,0),MATCH(B$3,PlotTitles,0)))),"",ISBLANK(INDEX(PlotData,MATCH($A518,PlotNumber,0),MATCH(G$3,PlotTitles,0))),$AB$10,TRUE,"")</f>
        <v/>
      </c>
      <c r="H518" s="104" t="str" cm="1">
        <f t="array" ref="H518">_xlfn.IFS(AND(A518&gt;NumberOfPlots,ISBLANK(INDEX(PlotData,MATCH($A518,PlotNumber,0),MATCH(B$3,PlotTitles,0)))),"",AND(ISBLANK(INDEX(PlotData,MATCH($A518,PlotNumber,0),MATCH(H$3,PlotTitles,0)))=FALSE,INDEX(PlotData,MATCH($A518,PlotNumber,0),MATCH(H$3,PlotTitles,0))&lt;500), $AB$11,TRUE,"")</f>
        <v/>
      </c>
      <c r="I518" s="104" t="str" cm="1">
        <f t="array" ref="I518">_xlfn.IFS(AND(A518&gt;NumberOfPlots,ISBLANK(INDEX(PlotData,MATCH($A518,PlotNumber,0),MATCH(B$3,PlotTitles,0)))),"",ISBLANK(INDEX(PlotData,MATCH($A518,PlotNumber,0),MATCH(I$3,PlotTitles,0))),$AB$12,TRUE,"")</f>
        <v/>
      </c>
      <c r="J518" s="104" t="str" cm="1">
        <f t="array" ref="J518">_xlfn.IFS(AND(A518&gt;NumberOfPlots,ISBLANK(INDEX(PlotData,MATCH($A518,PlotNumber,0),MATCH(B$3,PlotTitles,0)))),"",ISBLANK(INDEX(PlotData,MATCH($A518,PlotNumber,0),MATCH(J$3,PlotTitles,0))),$AB$13,TRUE,"")</f>
        <v/>
      </c>
      <c r="K518" s="182" t="str">
        <f t="shared" ca="1" si="24"/>
        <v/>
      </c>
      <c r="L518" s="104" t="str" cm="1">
        <f t="array" ref="L518">_xlfn.IFS(OR(ISBLANK(StartDateMonth),ISBLANK(StartDateYear)),"",AND(A518&gt;NumberOfPlots,ISBLANK(INDEX(PlotData,MATCH($A518,PlotNumber,0),MATCH(B$3,PlotTitles,0)))),"",ISBLANK(INDEX(PlotData,MATCH($A518,PlotNumber,0),MATCH(I$3,PlotTitles,0))),"",(DATEVALUE(INDEX(PlotData,MATCH($A518,PlotNumber,0),MATCH(I$3,PlotTitles,0))&amp;INDEX(PlotData,MATCH($A518,PlotNumber,0),MATCH(J$3,PlotTitles,0))))&lt;DATEVALUE(StartDateMonth&amp;StartDateYear),$AB$15,TRUE,"")</f>
        <v/>
      </c>
      <c r="M518" s="104" t="str" cm="1">
        <f t="array" ref="M518">_xlfn.IFS(OR(ISBLANK(StartDateMonth),ISBLANK(StartDateYear)),"",AND(A518&gt;NumberOfPlots,ISBLANK(INDEX(PlotData,MATCH($A518,PlotNumber,0),MATCH(B$3,PlotTitles,0)))),"",ISBLANK(INDEX(PlotData,MATCH($A518,PlotNumber,0),MATCH(I$3,PlotTitles,0))),"",CompletionMonth="","",(DATEVALUE(INDEX(PlotData,MATCH($A518,PlotNumber,0),MATCH(I$3,PlotTitles,0))&amp;INDEX(PlotData,MATCH($A518,PlotNumber,0),MATCH(J$3,PlotTitles,0))))&gt;(DATEVALUE(CompletionMonth&amp;CompletionYear)),$AB$16,TRUE,"")</f>
        <v/>
      </c>
      <c r="N518" s="104" t="str" cm="1">
        <f t="array" ref="N518">_xlfn.IFS(AND(A518&gt;NumberOfPlots,ISBLANK(INDEX(PlotData,MATCH($A518,PlotNumber,0),MATCH(B$3,PlotTitles,0)))),"",ISBLANK(INDEX(PlotData,MATCH($A518,PlotNumber,0),MATCH(N$3,PlotTitles,0))),$AB$17,TRUE,"")</f>
        <v/>
      </c>
      <c r="O518" s="104" t="str" cm="1">
        <f t="array" ref="O518">_xlfn.IFS(AND(A518&gt;NumberOfPlots,ISBLANK(INDEX(PlotData,MATCH($A518,PlotNumber,0),MATCH(B$3,PlotTitles,0)))),"",ISBLANK(INDEX(PlotData,MATCH($A518,PlotNumber,0),MATCH(O$3,PlotTitles,0))),$AB$18,TRUE,"")</f>
        <v/>
      </c>
      <c r="P518" s="182" t="str">
        <f t="shared" ca="1" si="25"/>
        <v/>
      </c>
      <c r="Q518" s="104" t="str" cm="1">
        <f t="array" ref="Q518">_xlfn.IFS(AND(A518&gt;NumberOfPlots,ISBLANK(INDEX(PlotData,MATCH($A518,PlotNumber,0),MATCH(B$3,PlotTitles,0)))),"",ISBLANK(INDEX(PlotData,MATCH($A518,PlotNumber,0),MATCH(N$3,PlotTitles,0))),"",(DATEVALUE(INDEX(PlotData,MATCH($A518,PlotNumber,0),MATCH(N$3,PlotTitles,0))&amp;INDEX(PlotData,MATCH($A518,PlotNumber,0),MATCH(O$3,PlotTitles,0))))&lt;(DATEVALUE(INDEX(PlotData,MATCH($A518,PlotNumber,0),MATCH(I$3,PlotTitles,0))&amp;INDEX(PlotData,MATCH($A518,PlotNumber,0),MATCH(J$3,PlotTitles,0)))),$AB$20,TRUE,"")</f>
        <v/>
      </c>
      <c r="R518" s="104" t="str" cm="1">
        <f t="array" ref="R518">_xlfn.IFS(OR(ISBLANK(StartDateMonth),ISBLANK(StartDateYear)),"",AND(A518&gt;NumberOfPlots,ISBLANK(INDEX(PlotData,MATCH($A518,PlotNumber,0),MATCH(B$3,PlotTitles,0)))),"",ISBLANK(INDEX(PlotData,MATCH($A518,PlotNumber,0),MATCH(N$3,PlotTitles,0))),"",CompletionMonth="","",(DATEVALUE(INDEX(PlotData,MATCH($A518,PlotNumber,0),MATCH(N$3,PlotTitles,0))&amp;INDEX(PlotData,MATCH($A518,PlotNumber,0),MATCH(O$3,PlotTitles,0))))&gt;(DATEVALUE(CompletionMonth&amp;CompletionYear)),$AB$21,TRUE,"")</f>
        <v/>
      </c>
      <c r="S518" s="104" t="str" cm="1">
        <f t="array" ref="S518">_xlfn.IFS(AND(A518&gt;NumberOfPlots,ISBLANK(INDEX(PlotData,MATCH($A518,PlotNumber,0),MATCH(B$3,PlotTitles,0)))),"",OR(AND(INDEX(PlotData,MATCH($A518,PlotNumber,0),MATCH("Tenure",PlotTitles,0))="Open market housing",INDEX(PlotData,MATCH($A518,PlotNumber,0),MATCH("Tenure detail",PlotTitles,0))="Private rented sector"),INDEX(PlotData,MATCH($A518,PlotNumber,0),MATCH("Tenure",PlotTitles,0))="Affordable rent"),"",ISNUMBER(INDEX(PlotData,MATCH($A518,PlotNumber,0),MATCH(S$3,PlotTitles,0)))=FALSE, $AB$22,TRUE,"")</f>
        <v/>
      </c>
      <c r="T518" s="104" t="str" cm="1">
        <f t="array" ref="T518">_xlfn.IFS(AND(A518&gt;NumberOfPlots,ISBLANK(INDEX(PlotData,MATCH($A518,PlotNumber,0),MATCH(B$3,PlotTitles,0)))),"",OR(AND(INDEX(PlotData,MATCH($A518,PlotNumber,0),MATCH("Tenure",PlotTitles,0))="Open market housing",INDEX(PlotData,MATCH($A518,PlotNumber,0),MATCH("Tenure detail",PlotTitles,0))="Private rented sector"),INDEX(PlotData,MATCH($A518,PlotNumber,0),MATCH("Tenure",PlotTitles,0))="Affordable rent"),"",INDEX(PlotData,MATCH($A518,PlotNumber,0),MATCH(S$3,PlotTitles,0))&lt;10000, $AB$23,TRUE,"")</f>
        <v/>
      </c>
      <c r="U518" s="104" t="str" cm="1">
        <f t="array" ref="U518">_xlfn.IFS(AND(A518&gt;NumberOfPlots,ISBLANK(INDEX(PlotData,MATCH($A518,PlotNumber,0),MATCH(B$3,PlotTitles,0)))),"",NOT(OR(AND(INDEX(PlotData,MATCH($A518,PlotNumber,0),MATCH("Tenure",PlotTitles,0))="Open market housing",INDEX(PlotData,MATCH($A518,PlotNumber,0),MATCH("Tenure detail",PlotTitles,0))="Private rented sector"),INDEX(PlotData,MATCH($A518,PlotNumber,0),MATCH("Tenure",PlotTitles,0))="Affordable rent")),"",NOT(INDEX(PlotData,MATCH($A518,PlotNumber,0),MATCH(S$3,PlotTitles,0))=0), $AB$24,TRUE,"")</f>
        <v/>
      </c>
      <c r="V518" s="114" t="str" cm="1">
        <f t="array" aca="1" ref="V518" ca="1">_xlfn.IFS(ISBLANK(NumberOfPlots),"Enter the number of homes on the 1_SetUp sheet",AND(A518&gt;NumberOfPlots,ISBLANK(INDEX(PlotData,MATCH($A518,PlotNumber,0),MATCH(B$3,PlotTitles,0)))),"No error",NOT(B518=""),B518,NOT(C518=""),C518,NOT(D518=""),D518,NOT(E518=""),E518,NOT(F518=""),F518,NOT(G518=""),G518,NOT(H518=""),H518,NOT(I518=""),I518,NOT(J518=""),J518,NOT(K518=""),K518,NOT(L518=""),L518,NOT(M518=""),M518,NOT(N518=""),N518,NOT(O518=""),O518,NOT(P518=""),P518,NOT(Q518=""),Q518,NOT(R518=""),R518,NOT(S518=""),S518,NOT(T518=""),T518,NOT(U518=""),U518,TRUE,"No error")</f>
        <v>Enter the number of homes on the 1_SetUp sheet</v>
      </c>
      <c r="W518" s="114" t="str">
        <f t="shared" ref="W518:W581" ca="1" si="26">IF($V518="No error","","The Borrower has not addressed the following error messages for Home ID "&amp;$A518&amp;": "&amp;_xlfn.TEXTJOIN(". ",TRUE,$B518:$T518))</f>
        <v xml:space="preserve">The Borrower has not addressed the following error messages for Home ID 514: </v>
      </c>
    </row>
    <row r="519" spans="1:23">
      <c r="A519" s="123">
        <v>515</v>
      </c>
      <c r="B519" s="104" t="str" cm="1">
        <f t="array" ref="B519">_xlfn.IFS(AND(A519&gt;NumberOfPlots,ISBLANK(INDEX(PlotData,MATCH($A519,PlotNumber,0),MATCH(B$3,PlotTitles,0)))),"",ISNUMBER(INDEX(PlotData,MATCH($A519,PlotNumber,0),MATCH(B$3,PlotTitles,0)))=FALSE, $AB$5,TRUE,"")</f>
        <v/>
      </c>
      <c r="C519" s="104" t="str" cm="1">
        <f t="array" ref="C519">_xlfn.IFS(AND(A519&gt;NumberOfPlots,ISBLANK(INDEX(PlotData,MATCH($A519,PlotNumber,0),MATCH(B$3,PlotTitles,0)))),"",ISBLANK(INDEX(PlotData,MATCH($A519,PlotNumber,0),MATCH(C$3,PlotTitles,0))),$AB$6,TRUE,"")</f>
        <v/>
      </c>
      <c r="D519" s="104" t="str" cm="1">
        <f t="array" ref="D519">_xlfn.IFS(AND(A519&gt;NumberOfPlots,ISBLANK(INDEX(PlotData,MATCH($A519,PlotNumber,0),MATCH(B$3,PlotTitles,0)))),"",ISBLANK(INDEX(PlotData,MATCH($A519,PlotNumber,0),MATCH(D$3,PlotTitles,0))),$AB$7,TRUE,"")</f>
        <v/>
      </c>
      <c r="E519" s="104" t="str" cm="1">
        <f t="array" ref="E519">_xlfn.IFS(AND(A519&gt;NumberOfPlots,ISBLANK(INDEX(PlotData,MATCH($A519,PlotNumber,0),MATCH(B$3,PlotTitles,0)))),"",ISBLANK(INDEX(PlotData,MATCH($A519,PlotNumber,0),MATCH(E$3,PlotTitles,0))),$AB$8,TRUE,"")</f>
        <v/>
      </c>
      <c r="F519" s="104" t="str" cm="1">
        <f t="array" ref="F519">_xlfn.IFS(AND(A519&gt;NumberOfPlots,ISBLANK(INDEX(PlotData,MATCH($A519,PlotNumber,0),MATCH(B$3,PlotTitles,0)))),"",ISBLANK(INDEX(PlotData,MATCH($A519,PlotNumber,0),MATCH(F$3,PlotTitles,0))),$AB$9,TRUE,"")</f>
        <v/>
      </c>
      <c r="G519" s="104" t="str" cm="1">
        <f t="array" ref="G519">_xlfn.IFS(AND(A519&gt;NumberOfPlots,ISBLANK(INDEX(PlotData,MATCH($A519,PlotNumber,0),MATCH(B$3,PlotTitles,0)))),"",ISBLANK(INDEX(PlotData,MATCH($A519,PlotNumber,0),MATCH(G$3,PlotTitles,0))),$AB$10,TRUE,"")</f>
        <v/>
      </c>
      <c r="H519" s="104" t="str" cm="1">
        <f t="array" ref="H519">_xlfn.IFS(AND(A519&gt;NumberOfPlots,ISBLANK(INDEX(PlotData,MATCH($A519,PlotNumber,0),MATCH(B$3,PlotTitles,0)))),"",AND(ISBLANK(INDEX(PlotData,MATCH($A519,PlotNumber,0),MATCH(H$3,PlotTitles,0)))=FALSE,INDEX(PlotData,MATCH($A519,PlotNumber,0),MATCH(H$3,PlotTitles,0))&lt;500), $AB$11,TRUE,"")</f>
        <v/>
      </c>
      <c r="I519" s="104" t="str" cm="1">
        <f t="array" ref="I519">_xlfn.IFS(AND(A519&gt;NumberOfPlots,ISBLANK(INDEX(PlotData,MATCH($A519,PlotNumber,0),MATCH(B$3,PlotTitles,0)))),"",ISBLANK(INDEX(PlotData,MATCH($A519,PlotNumber,0),MATCH(I$3,PlotTitles,0))),$AB$12,TRUE,"")</f>
        <v/>
      </c>
      <c r="J519" s="104" t="str" cm="1">
        <f t="array" ref="J519">_xlfn.IFS(AND(A519&gt;NumberOfPlots,ISBLANK(INDEX(PlotData,MATCH($A519,PlotNumber,0),MATCH(B$3,PlotTitles,0)))),"",ISBLANK(INDEX(PlotData,MATCH($A519,PlotNumber,0),MATCH(J$3,PlotTitles,0))),$AB$13,TRUE,"")</f>
        <v/>
      </c>
      <c r="K519" s="182" t="str">
        <f t="shared" ca="1" si="24"/>
        <v/>
      </c>
      <c r="L519" s="104" t="str" cm="1">
        <f t="array" ref="L519">_xlfn.IFS(OR(ISBLANK(StartDateMonth),ISBLANK(StartDateYear)),"",AND(A519&gt;NumberOfPlots,ISBLANK(INDEX(PlotData,MATCH($A519,PlotNumber,0),MATCH(B$3,PlotTitles,0)))),"",ISBLANK(INDEX(PlotData,MATCH($A519,PlotNumber,0),MATCH(I$3,PlotTitles,0))),"",(DATEVALUE(INDEX(PlotData,MATCH($A519,PlotNumber,0),MATCH(I$3,PlotTitles,0))&amp;INDEX(PlotData,MATCH($A519,PlotNumber,0),MATCH(J$3,PlotTitles,0))))&lt;DATEVALUE(StartDateMonth&amp;StartDateYear),$AB$15,TRUE,"")</f>
        <v/>
      </c>
      <c r="M519" s="104" t="str" cm="1">
        <f t="array" ref="M519">_xlfn.IFS(OR(ISBLANK(StartDateMonth),ISBLANK(StartDateYear)),"",AND(A519&gt;NumberOfPlots,ISBLANK(INDEX(PlotData,MATCH($A519,PlotNumber,0),MATCH(B$3,PlotTitles,0)))),"",ISBLANK(INDEX(PlotData,MATCH($A519,PlotNumber,0),MATCH(I$3,PlotTitles,0))),"",CompletionMonth="","",(DATEVALUE(INDEX(PlotData,MATCH($A519,PlotNumber,0),MATCH(I$3,PlotTitles,0))&amp;INDEX(PlotData,MATCH($A519,PlotNumber,0),MATCH(J$3,PlotTitles,0))))&gt;(DATEVALUE(CompletionMonth&amp;CompletionYear)),$AB$16,TRUE,"")</f>
        <v/>
      </c>
      <c r="N519" s="104" t="str" cm="1">
        <f t="array" ref="N519">_xlfn.IFS(AND(A519&gt;NumberOfPlots,ISBLANK(INDEX(PlotData,MATCH($A519,PlotNumber,0),MATCH(B$3,PlotTitles,0)))),"",ISBLANK(INDEX(PlotData,MATCH($A519,PlotNumber,0),MATCH(N$3,PlotTitles,0))),$AB$17,TRUE,"")</f>
        <v/>
      </c>
      <c r="O519" s="104" t="str" cm="1">
        <f t="array" ref="O519">_xlfn.IFS(AND(A519&gt;NumberOfPlots,ISBLANK(INDEX(PlotData,MATCH($A519,PlotNumber,0),MATCH(B$3,PlotTitles,0)))),"",ISBLANK(INDEX(PlotData,MATCH($A519,PlotNumber,0),MATCH(O$3,PlotTitles,0))),$AB$18,TRUE,"")</f>
        <v/>
      </c>
      <c r="P519" s="182" t="str">
        <f t="shared" ca="1" si="25"/>
        <v/>
      </c>
      <c r="Q519" s="104" t="str" cm="1">
        <f t="array" ref="Q519">_xlfn.IFS(AND(A519&gt;NumberOfPlots,ISBLANK(INDEX(PlotData,MATCH($A519,PlotNumber,0),MATCH(B$3,PlotTitles,0)))),"",ISBLANK(INDEX(PlotData,MATCH($A519,PlotNumber,0),MATCH(N$3,PlotTitles,0))),"",(DATEVALUE(INDEX(PlotData,MATCH($A519,PlotNumber,0),MATCH(N$3,PlotTitles,0))&amp;INDEX(PlotData,MATCH($A519,PlotNumber,0),MATCH(O$3,PlotTitles,0))))&lt;(DATEVALUE(INDEX(PlotData,MATCH($A519,PlotNumber,0),MATCH(I$3,PlotTitles,0))&amp;INDEX(PlotData,MATCH($A519,PlotNumber,0),MATCH(J$3,PlotTitles,0)))),$AB$20,TRUE,"")</f>
        <v/>
      </c>
      <c r="R519" s="104" t="str" cm="1">
        <f t="array" ref="R519">_xlfn.IFS(OR(ISBLANK(StartDateMonth),ISBLANK(StartDateYear)),"",AND(A519&gt;NumberOfPlots,ISBLANK(INDEX(PlotData,MATCH($A519,PlotNumber,0),MATCH(B$3,PlotTitles,0)))),"",ISBLANK(INDEX(PlotData,MATCH($A519,PlotNumber,0),MATCH(N$3,PlotTitles,0))),"",CompletionMonth="","",(DATEVALUE(INDEX(PlotData,MATCH($A519,PlotNumber,0),MATCH(N$3,PlotTitles,0))&amp;INDEX(PlotData,MATCH($A519,PlotNumber,0),MATCH(O$3,PlotTitles,0))))&gt;(DATEVALUE(CompletionMonth&amp;CompletionYear)),$AB$21,TRUE,"")</f>
        <v/>
      </c>
      <c r="S519" s="104" t="str" cm="1">
        <f t="array" ref="S519">_xlfn.IFS(AND(A519&gt;NumberOfPlots,ISBLANK(INDEX(PlotData,MATCH($A519,PlotNumber,0),MATCH(B$3,PlotTitles,0)))),"",OR(AND(INDEX(PlotData,MATCH($A519,PlotNumber,0),MATCH("Tenure",PlotTitles,0))="Open market housing",INDEX(PlotData,MATCH($A519,PlotNumber,0),MATCH("Tenure detail",PlotTitles,0))="Private rented sector"),INDEX(PlotData,MATCH($A519,PlotNumber,0),MATCH("Tenure",PlotTitles,0))="Affordable rent"),"",ISNUMBER(INDEX(PlotData,MATCH($A519,PlotNumber,0),MATCH(S$3,PlotTitles,0)))=FALSE, $AB$22,TRUE,"")</f>
        <v/>
      </c>
      <c r="T519" s="104" t="str" cm="1">
        <f t="array" ref="T519">_xlfn.IFS(AND(A519&gt;NumberOfPlots,ISBLANK(INDEX(PlotData,MATCH($A519,PlotNumber,0),MATCH(B$3,PlotTitles,0)))),"",OR(AND(INDEX(PlotData,MATCH($A519,PlotNumber,0),MATCH("Tenure",PlotTitles,0))="Open market housing",INDEX(PlotData,MATCH($A519,PlotNumber,0),MATCH("Tenure detail",PlotTitles,0))="Private rented sector"),INDEX(PlotData,MATCH($A519,PlotNumber,0),MATCH("Tenure",PlotTitles,0))="Affordable rent"),"",INDEX(PlotData,MATCH($A519,PlotNumber,0),MATCH(S$3,PlotTitles,0))&lt;10000, $AB$23,TRUE,"")</f>
        <v/>
      </c>
      <c r="U519" s="104" t="str" cm="1">
        <f t="array" ref="U519">_xlfn.IFS(AND(A519&gt;NumberOfPlots,ISBLANK(INDEX(PlotData,MATCH($A519,PlotNumber,0),MATCH(B$3,PlotTitles,0)))),"",NOT(OR(AND(INDEX(PlotData,MATCH($A519,PlotNumber,0),MATCH("Tenure",PlotTitles,0))="Open market housing",INDEX(PlotData,MATCH($A519,PlotNumber,0),MATCH("Tenure detail",PlotTitles,0))="Private rented sector"),INDEX(PlotData,MATCH($A519,PlotNumber,0),MATCH("Tenure",PlotTitles,0))="Affordable rent")),"",NOT(INDEX(PlotData,MATCH($A519,PlotNumber,0),MATCH(S$3,PlotTitles,0))=0), $AB$24,TRUE,"")</f>
        <v/>
      </c>
      <c r="V519" s="114" t="str" cm="1">
        <f t="array" aca="1" ref="V519" ca="1">_xlfn.IFS(ISBLANK(NumberOfPlots),"Enter the number of homes on the 1_SetUp sheet",AND(A519&gt;NumberOfPlots,ISBLANK(INDEX(PlotData,MATCH($A519,PlotNumber,0),MATCH(B$3,PlotTitles,0)))),"No error",NOT(B519=""),B519,NOT(C519=""),C519,NOT(D519=""),D519,NOT(E519=""),E519,NOT(F519=""),F519,NOT(G519=""),G519,NOT(H519=""),H519,NOT(I519=""),I519,NOT(J519=""),J519,NOT(K519=""),K519,NOT(L519=""),L519,NOT(M519=""),M519,NOT(N519=""),N519,NOT(O519=""),O519,NOT(P519=""),P519,NOT(Q519=""),Q519,NOT(R519=""),R519,NOT(S519=""),S519,NOT(T519=""),T519,NOT(U519=""),U519,TRUE,"No error")</f>
        <v>Enter the number of homes on the 1_SetUp sheet</v>
      </c>
      <c r="W519" s="114" t="str">
        <f t="shared" ca="1" si="26"/>
        <v xml:space="preserve">The Borrower has not addressed the following error messages for Home ID 515: </v>
      </c>
    </row>
    <row r="520" spans="1:23">
      <c r="A520" s="123">
        <v>516</v>
      </c>
      <c r="B520" s="104" t="str" cm="1">
        <f t="array" ref="B520">_xlfn.IFS(AND(A520&gt;NumberOfPlots,ISBLANK(INDEX(PlotData,MATCH($A520,PlotNumber,0),MATCH(B$3,PlotTitles,0)))),"",ISNUMBER(INDEX(PlotData,MATCH($A520,PlotNumber,0),MATCH(B$3,PlotTitles,0)))=FALSE, $AB$5,TRUE,"")</f>
        <v/>
      </c>
      <c r="C520" s="104" t="str" cm="1">
        <f t="array" ref="C520">_xlfn.IFS(AND(A520&gt;NumberOfPlots,ISBLANK(INDEX(PlotData,MATCH($A520,PlotNumber,0),MATCH(B$3,PlotTitles,0)))),"",ISBLANK(INDEX(PlotData,MATCH($A520,PlotNumber,0),MATCH(C$3,PlotTitles,0))),$AB$6,TRUE,"")</f>
        <v/>
      </c>
      <c r="D520" s="104" t="str" cm="1">
        <f t="array" ref="D520">_xlfn.IFS(AND(A520&gt;NumberOfPlots,ISBLANK(INDEX(PlotData,MATCH($A520,PlotNumber,0),MATCH(B$3,PlotTitles,0)))),"",ISBLANK(INDEX(PlotData,MATCH($A520,PlotNumber,0),MATCH(D$3,PlotTitles,0))),$AB$7,TRUE,"")</f>
        <v/>
      </c>
      <c r="E520" s="104" t="str" cm="1">
        <f t="array" ref="E520">_xlfn.IFS(AND(A520&gt;NumberOfPlots,ISBLANK(INDEX(PlotData,MATCH($A520,PlotNumber,0),MATCH(B$3,PlotTitles,0)))),"",ISBLANK(INDEX(PlotData,MATCH($A520,PlotNumber,0),MATCH(E$3,PlotTitles,0))),$AB$8,TRUE,"")</f>
        <v/>
      </c>
      <c r="F520" s="104" t="str" cm="1">
        <f t="array" ref="F520">_xlfn.IFS(AND(A520&gt;NumberOfPlots,ISBLANK(INDEX(PlotData,MATCH($A520,PlotNumber,0),MATCH(B$3,PlotTitles,0)))),"",ISBLANK(INDEX(PlotData,MATCH($A520,PlotNumber,0),MATCH(F$3,PlotTitles,0))),$AB$9,TRUE,"")</f>
        <v/>
      </c>
      <c r="G520" s="104" t="str" cm="1">
        <f t="array" ref="G520">_xlfn.IFS(AND(A520&gt;NumberOfPlots,ISBLANK(INDEX(PlotData,MATCH($A520,PlotNumber,0),MATCH(B$3,PlotTitles,0)))),"",ISBLANK(INDEX(PlotData,MATCH($A520,PlotNumber,0),MATCH(G$3,PlotTitles,0))),$AB$10,TRUE,"")</f>
        <v/>
      </c>
      <c r="H520" s="104" t="str" cm="1">
        <f t="array" ref="H520">_xlfn.IFS(AND(A520&gt;NumberOfPlots,ISBLANK(INDEX(PlotData,MATCH($A520,PlotNumber,0),MATCH(B$3,PlotTitles,0)))),"",AND(ISBLANK(INDEX(PlotData,MATCH($A520,PlotNumber,0),MATCH(H$3,PlotTitles,0)))=FALSE,INDEX(PlotData,MATCH($A520,PlotNumber,0),MATCH(H$3,PlotTitles,0))&lt;500), $AB$11,TRUE,"")</f>
        <v/>
      </c>
      <c r="I520" s="104" t="str" cm="1">
        <f t="array" ref="I520">_xlfn.IFS(AND(A520&gt;NumberOfPlots,ISBLANK(INDEX(PlotData,MATCH($A520,PlotNumber,0),MATCH(B$3,PlotTitles,0)))),"",ISBLANK(INDEX(PlotData,MATCH($A520,PlotNumber,0),MATCH(I$3,PlotTitles,0))),$AB$12,TRUE,"")</f>
        <v/>
      </c>
      <c r="J520" s="104" t="str" cm="1">
        <f t="array" ref="J520">_xlfn.IFS(AND(A520&gt;NumberOfPlots,ISBLANK(INDEX(PlotData,MATCH($A520,PlotNumber,0),MATCH(B$3,PlotTitles,0)))),"",ISBLANK(INDEX(PlotData,MATCH($A520,PlotNumber,0),MATCH(J$3,PlotTitles,0))),$AB$13,TRUE,"")</f>
        <v/>
      </c>
      <c r="K520" s="182" t="str">
        <f t="shared" ca="1" si="24"/>
        <v/>
      </c>
      <c r="L520" s="104" t="str" cm="1">
        <f t="array" ref="L520">_xlfn.IFS(OR(ISBLANK(StartDateMonth),ISBLANK(StartDateYear)),"",AND(A520&gt;NumberOfPlots,ISBLANK(INDEX(PlotData,MATCH($A520,PlotNumber,0),MATCH(B$3,PlotTitles,0)))),"",ISBLANK(INDEX(PlotData,MATCH($A520,PlotNumber,0),MATCH(I$3,PlotTitles,0))),"",(DATEVALUE(INDEX(PlotData,MATCH($A520,PlotNumber,0),MATCH(I$3,PlotTitles,0))&amp;INDEX(PlotData,MATCH($A520,PlotNumber,0),MATCH(J$3,PlotTitles,0))))&lt;DATEVALUE(StartDateMonth&amp;StartDateYear),$AB$15,TRUE,"")</f>
        <v/>
      </c>
      <c r="M520" s="104" t="str" cm="1">
        <f t="array" ref="M520">_xlfn.IFS(OR(ISBLANK(StartDateMonth),ISBLANK(StartDateYear)),"",AND(A520&gt;NumberOfPlots,ISBLANK(INDEX(PlotData,MATCH($A520,PlotNumber,0),MATCH(B$3,PlotTitles,0)))),"",ISBLANK(INDEX(PlotData,MATCH($A520,PlotNumber,0),MATCH(I$3,PlotTitles,0))),"",CompletionMonth="","",(DATEVALUE(INDEX(PlotData,MATCH($A520,PlotNumber,0),MATCH(I$3,PlotTitles,0))&amp;INDEX(PlotData,MATCH($A520,PlotNumber,0),MATCH(J$3,PlotTitles,0))))&gt;(DATEVALUE(CompletionMonth&amp;CompletionYear)),$AB$16,TRUE,"")</f>
        <v/>
      </c>
      <c r="N520" s="104" t="str" cm="1">
        <f t="array" ref="N520">_xlfn.IFS(AND(A520&gt;NumberOfPlots,ISBLANK(INDEX(PlotData,MATCH($A520,PlotNumber,0),MATCH(B$3,PlotTitles,0)))),"",ISBLANK(INDEX(PlotData,MATCH($A520,PlotNumber,0),MATCH(N$3,PlotTitles,0))),$AB$17,TRUE,"")</f>
        <v/>
      </c>
      <c r="O520" s="104" t="str" cm="1">
        <f t="array" ref="O520">_xlfn.IFS(AND(A520&gt;NumberOfPlots,ISBLANK(INDEX(PlotData,MATCH($A520,PlotNumber,0),MATCH(B$3,PlotTitles,0)))),"",ISBLANK(INDEX(PlotData,MATCH($A520,PlotNumber,0),MATCH(O$3,PlotTitles,0))),$AB$18,TRUE,"")</f>
        <v/>
      </c>
      <c r="P520" s="182" t="str">
        <f t="shared" ca="1" si="25"/>
        <v/>
      </c>
      <c r="Q520" s="104" t="str" cm="1">
        <f t="array" ref="Q520">_xlfn.IFS(AND(A520&gt;NumberOfPlots,ISBLANK(INDEX(PlotData,MATCH($A520,PlotNumber,0),MATCH(B$3,PlotTitles,0)))),"",ISBLANK(INDEX(PlotData,MATCH($A520,PlotNumber,0),MATCH(N$3,PlotTitles,0))),"",(DATEVALUE(INDEX(PlotData,MATCH($A520,PlotNumber,0),MATCH(N$3,PlotTitles,0))&amp;INDEX(PlotData,MATCH($A520,PlotNumber,0),MATCH(O$3,PlotTitles,0))))&lt;(DATEVALUE(INDEX(PlotData,MATCH($A520,PlotNumber,0),MATCH(I$3,PlotTitles,0))&amp;INDEX(PlotData,MATCH($A520,PlotNumber,0),MATCH(J$3,PlotTitles,0)))),$AB$20,TRUE,"")</f>
        <v/>
      </c>
      <c r="R520" s="104" t="str" cm="1">
        <f t="array" ref="R520">_xlfn.IFS(OR(ISBLANK(StartDateMonth),ISBLANK(StartDateYear)),"",AND(A520&gt;NumberOfPlots,ISBLANK(INDEX(PlotData,MATCH($A520,PlotNumber,0),MATCH(B$3,PlotTitles,0)))),"",ISBLANK(INDEX(PlotData,MATCH($A520,PlotNumber,0),MATCH(N$3,PlotTitles,0))),"",CompletionMonth="","",(DATEVALUE(INDEX(PlotData,MATCH($A520,PlotNumber,0),MATCH(N$3,PlotTitles,0))&amp;INDEX(PlotData,MATCH($A520,PlotNumber,0),MATCH(O$3,PlotTitles,0))))&gt;(DATEVALUE(CompletionMonth&amp;CompletionYear)),$AB$21,TRUE,"")</f>
        <v/>
      </c>
      <c r="S520" s="104" t="str" cm="1">
        <f t="array" ref="S520">_xlfn.IFS(AND(A520&gt;NumberOfPlots,ISBLANK(INDEX(PlotData,MATCH($A520,PlotNumber,0),MATCH(B$3,PlotTitles,0)))),"",OR(AND(INDEX(PlotData,MATCH($A520,PlotNumber,0),MATCH("Tenure",PlotTitles,0))="Open market housing",INDEX(PlotData,MATCH($A520,PlotNumber,0),MATCH("Tenure detail",PlotTitles,0))="Private rented sector"),INDEX(PlotData,MATCH($A520,PlotNumber,0),MATCH("Tenure",PlotTitles,0))="Affordable rent"),"",ISNUMBER(INDEX(PlotData,MATCH($A520,PlotNumber,0),MATCH(S$3,PlotTitles,0)))=FALSE, $AB$22,TRUE,"")</f>
        <v/>
      </c>
      <c r="T520" s="104" t="str" cm="1">
        <f t="array" ref="T520">_xlfn.IFS(AND(A520&gt;NumberOfPlots,ISBLANK(INDEX(PlotData,MATCH($A520,PlotNumber,0),MATCH(B$3,PlotTitles,0)))),"",OR(AND(INDEX(PlotData,MATCH($A520,PlotNumber,0),MATCH("Tenure",PlotTitles,0))="Open market housing",INDEX(PlotData,MATCH($A520,PlotNumber,0),MATCH("Tenure detail",PlotTitles,0))="Private rented sector"),INDEX(PlotData,MATCH($A520,PlotNumber,0),MATCH("Tenure",PlotTitles,0))="Affordable rent"),"",INDEX(PlotData,MATCH($A520,PlotNumber,0),MATCH(S$3,PlotTitles,0))&lt;10000, $AB$23,TRUE,"")</f>
        <v/>
      </c>
      <c r="U520" s="104" t="str" cm="1">
        <f t="array" ref="U520">_xlfn.IFS(AND(A520&gt;NumberOfPlots,ISBLANK(INDEX(PlotData,MATCH($A520,PlotNumber,0),MATCH(B$3,PlotTitles,0)))),"",NOT(OR(AND(INDEX(PlotData,MATCH($A520,PlotNumber,0),MATCH("Tenure",PlotTitles,0))="Open market housing",INDEX(PlotData,MATCH($A520,PlotNumber,0),MATCH("Tenure detail",PlotTitles,0))="Private rented sector"),INDEX(PlotData,MATCH($A520,PlotNumber,0),MATCH("Tenure",PlotTitles,0))="Affordable rent")),"",NOT(INDEX(PlotData,MATCH($A520,PlotNumber,0),MATCH(S$3,PlotTitles,0))=0), $AB$24,TRUE,"")</f>
        <v/>
      </c>
      <c r="V520" s="114" t="str" cm="1">
        <f t="array" aca="1" ref="V520" ca="1">_xlfn.IFS(ISBLANK(NumberOfPlots),"Enter the number of homes on the 1_SetUp sheet",AND(A520&gt;NumberOfPlots,ISBLANK(INDEX(PlotData,MATCH($A520,PlotNumber,0),MATCH(B$3,PlotTitles,0)))),"No error",NOT(B520=""),B520,NOT(C520=""),C520,NOT(D520=""),D520,NOT(E520=""),E520,NOT(F520=""),F520,NOT(G520=""),G520,NOT(H520=""),H520,NOT(I520=""),I520,NOT(J520=""),J520,NOT(K520=""),K520,NOT(L520=""),L520,NOT(M520=""),M520,NOT(N520=""),N520,NOT(O520=""),O520,NOT(P520=""),P520,NOT(Q520=""),Q520,NOT(R520=""),R520,NOT(S520=""),S520,NOT(T520=""),T520,NOT(U520=""),U520,TRUE,"No error")</f>
        <v>Enter the number of homes on the 1_SetUp sheet</v>
      </c>
      <c r="W520" s="114" t="str">
        <f t="shared" ca="1" si="26"/>
        <v xml:space="preserve">The Borrower has not addressed the following error messages for Home ID 516: </v>
      </c>
    </row>
    <row r="521" spans="1:23">
      <c r="A521" s="123">
        <v>517</v>
      </c>
      <c r="B521" s="104" t="str" cm="1">
        <f t="array" ref="B521">_xlfn.IFS(AND(A521&gt;NumberOfPlots,ISBLANK(INDEX(PlotData,MATCH($A521,PlotNumber,0),MATCH(B$3,PlotTitles,0)))),"",ISNUMBER(INDEX(PlotData,MATCH($A521,PlotNumber,0),MATCH(B$3,PlotTitles,0)))=FALSE, $AB$5,TRUE,"")</f>
        <v/>
      </c>
      <c r="C521" s="104" t="str" cm="1">
        <f t="array" ref="C521">_xlfn.IFS(AND(A521&gt;NumberOfPlots,ISBLANK(INDEX(PlotData,MATCH($A521,PlotNumber,0),MATCH(B$3,PlotTitles,0)))),"",ISBLANK(INDEX(PlotData,MATCH($A521,PlotNumber,0),MATCH(C$3,PlotTitles,0))),$AB$6,TRUE,"")</f>
        <v/>
      </c>
      <c r="D521" s="104" t="str" cm="1">
        <f t="array" ref="D521">_xlfn.IFS(AND(A521&gt;NumberOfPlots,ISBLANK(INDEX(PlotData,MATCH($A521,PlotNumber,0),MATCH(B$3,PlotTitles,0)))),"",ISBLANK(INDEX(PlotData,MATCH($A521,PlotNumber,0),MATCH(D$3,PlotTitles,0))),$AB$7,TRUE,"")</f>
        <v/>
      </c>
      <c r="E521" s="104" t="str" cm="1">
        <f t="array" ref="E521">_xlfn.IFS(AND(A521&gt;NumberOfPlots,ISBLANK(INDEX(PlotData,MATCH($A521,PlotNumber,0),MATCH(B$3,PlotTitles,0)))),"",ISBLANK(INDEX(PlotData,MATCH($A521,PlotNumber,0),MATCH(E$3,PlotTitles,0))),$AB$8,TRUE,"")</f>
        <v/>
      </c>
      <c r="F521" s="104" t="str" cm="1">
        <f t="array" ref="F521">_xlfn.IFS(AND(A521&gt;NumberOfPlots,ISBLANK(INDEX(PlotData,MATCH($A521,PlotNumber,0),MATCH(B$3,PlotTitles,0)))),"",ISBLANK(INDEX(PlotData,MATCH($A521,PlotNumber,0),MATCH(F$3,PlotTitles,0))),$AB$9,TRUE,"")</f>
        <v/>
      </c>
      <c r="G521" s="104" t="str" cm="1">
        <f t="array" ref="G521">_xlfn.IFS(AND(A521&gt;NumberOfPlots,ISBLANK(INDEX(PlotData,MATCH($A521,PlotNumber,0),MATCH(B$3,PlotTitles,0)))),"",ISBLANK(INDEX(PlotData,MATCH($A521,PlotNumber,0),MATCH(G$3,PlotTitles,0))),$AB$10,TRUE,"")</f>
        <v/>
      </c>
      <c r="H521" s="104" t="str" cm="1">
        <f t="array" ref="H521">_xlfn.IFS(AND(A521&gt;NumberOfPlots,ISBLANK(INDEX(PlotData,MATCH($A521,PlotNumber,0),MATCH(B$3,PlotTitles,0)))),"",AND(ISBLANK(INDEX(PlotData,MATCH($A521,PlotNumber,0),MATCH(H$3,PlotTitles,0)))=FALSE,INDEX(PlotData,MATCH($A521,PlotNumber,0),MATCH(H$3,PlotTitles,0))&lt;500), $AB$11,TRUE,"")</f>
        <v/>
      </c>
      <c r="I521" s="104" t="str" cm="1">
        <f t="array" ref="I521">_xlfn.IFS(AND(A521&gt;NumberOfPlots,ISBLANK(INDEX(PlotData,MATCH($A521,PlotNumber,0),MATCH(B$3,PlotTitles,0)))),"",ISBLANK(INDEX(PlotData,MATCH($A521,PlotNumber,0),MATCH(I$3,PlotTitles,0))),$AB$12,TRUE,"")</f>
        <v/>
      </c>
      <c r="J521" s="104" t="str" cm="1">
        <f t="array" ref="J521">_xlfn.IFS(AND(A521&gt;NumberOfPlots,ISBLANK(INDEX(PlotData,MATCH($A521,PlotNumber,0),MATCH(B$3,PlotTitles,0)))),"",ISBLANK(INDEX(PlotData,MATCH($A521,PlotNumber,0),MATCH(J$3,PlotTitles,0))),$AB$13,TRUE,"")</f>
        <v/>
      </c>
      <c r="K521" s="182" t="str">
        <f t="shared" ca="1" si="24"/>
        <v/>
      </c>
      <c r="L521" s="104" t="str" cm="1">
        <f t="array" ref="L521">_xlfn.IFS(OR(ISBLANK(StartDateMonth),ISBLANK(StartDateYear)),"",AND(A521&gt;NumberOfPlots,ISBLANK(INDEX(PlotData,MATCH($A521,PlotNumber,0),MATCH(B$3,PlotTitles,0)))),"",ISBLANK(INDEX(PlotData,MATCH($A521,PlotNumber,0),MATCH(I$3,PlotTitles,0))),"",(DATEVALUE(INDEX(PlotData,MATCH($A521,PlotNumber,0),MATCH(I$3,PlotTitles,0))&amp;INDEX(PlotData,MATCH($A521,PlotNumber,0),MATCH(J$3,PlotTitles,0))))&lt;DATEVALUE(StartDateMonth&amp;StartDateYear),$AB$15,TRUE,"")</f>
        <v/>
      </c>
      <c r="M521" s="104" t="str" cm="1">
        <f t="array" ref="M521">_xlfn.IFS(OR(ISBLANK(StartDateMonth),ISBLANK(StartDateYear)),"",AND(A521&gt;NumberOfPlots,ISBLANK(INDEX(PlotData,MATCH($A521,PlotNumber,0),MATCH(B$3,PlotTitles,0)))),"",ISBLANK(INDEX(PlotData,MATCH($A521,PlotNumber,0),MATCH(I$3,PlotTitles,0))),"",CompletionMonth="","",(DATEVALUE(INDEX(PlotData,MATCH($A521,PlotNumber,0),MATCH(I$3,PlotTitles,0))&amp;INDEX(PlotData,MATCH($A521,PlotNumber,0),MATCH(J$3,PlotTitles,0))))&gt;(DATEVALUE(CompletionMonth&amp;CompletionYear)),$AB$16,TRUE,"")</f>
        <v/>
      </c>
      <c r="N521" s="104" t="str" cm="1">
        <f t="array" ref="N521">_xlfn.IFS(AND(A521&gt;NumberOfPlots,ISBLANK(INDEX(PlotData,MATCH($A521,PlotNumber,0),MATCH(B$3,PlotTitles,0)))),"",ISBLANK(INDEX(PlotData,MATCH($A521,PlotNumber,0),MATCH(N$3,PlotTitles,0))),$AB$17,TRUE,"")</f>
        <v/>
      </c>
      <c r="O521" s="104" t="str" cm="1">
        <f t="array" ref="O521">_xlfn.IFS(AND(A521&gt;NumberOfPlots,ISBLANK(INDEX(PlotData,MATCH($A521,PlotNumber,0),MATCH(B$3,PlotTitles,0)))),"",ISBLANK(INDEX(PlotData,MATCH($A521,PlotNumber,0),MATCH(O$3,PlotTitles,0))),$AB$18,TRUE,"")</f>
        <v/>
      </c>
      <c r="P521" s="182" t="str">
        <f t="shared" ca="1" si="25"/>
        <v/>
      </c>
      <c r="Q521" s="104" t="str" cm="1">
        <f t="array" ref="Q521">_xlfn.IFS(AND(A521&gt;NumberOfPlots,ISBLANK(INDEX(PlotData,MATCH($A521,PlotNumber,0),MATCH(B$3,PlotTitles,0)))),"",ISBLANK(INDEX(PlotData,MATCH($A521,PlotNumber,0),MATCH(N$3,PlotTitles,0))),"",(DATEVALUE(INDEX(PlotData,MATCH($A521,PlotNumber,0),MATCH(N$3,PlotTitles,0))&amp;INDEX(PlotData,MATCH($A521,PlotNumber,0),MATCH(O$3,PlotTitles,0))))&lt;(DATEVALUE(INDEX(PlotData,MATCH($A521,PlotNumber,0),MATCH(I$3,PlotTitles,0))&amp;INDEX(PlotData,MATCH($A521,PlotNumber,0),MATCH(J$3,PlotTitles,0)))),$AB$20,TRUE,"")</f>
        <v/>
      </c>
      <c r="R521" s="104" t="str" cm="1">
        <f t="array" ref="R521">_xlfn.IFS(OR(ISBLANK(StartDateMonth),ISBLANK(StartDateYear)),"",AND(A521&gt;NumberOfPlots,ISBLANK(INDEX(PlotData,MATCH($A521,PlotNumber,0),MATCH(B$3,PlotTitles,0)))),"",ISBLANK(INDEX(PlotData,MATCH($A521,PlotNumber,0),MATCH(N$3,PlotTitles,0))),"",CompletionMonth="","",(DATEVALUE(INDEX(PlotData,MATCH($A521,PlotNumber,0),MATCH(N$3,PlotTitles,0))&amp;INDEX(PlotData,MATCH($A521,PlotNumber,0),MATCH(O$3,PlotTitles,0))))&gt;(DATEVALUE(CompletionMonth&amp;CompletionYear)),$AB$21,TRUE,"")</f>
        <v/>
      </c>
      <c r="S521" s="104" t="str" cm="1">
        <f t="array" ref="S521">_xlfn.IFS(AND(A521&gt;NumberOfPlots,ISBLANK(INDEX(PlotData,MATCH($A521,PlotNumber,0),MATCH(B$3,PlotTitles,0)))),"",OR(AND(INDEX(PlotData,MATCH($A521,PlotNumber,0),MATCH("Tenure",PlotTitles,0))="Open market housing",INDEX(PlotData,MATCH($A521,PlotNumber,0),MATCH("Tenure detail",PlotTitles,0))="Private rented sector"),INDEX(PlotData,MATCH($A521,PlotNumber,0),MATCH("Tenure",PlotTitles,0))="Affordable rent"),"",ISNUMBER(INDEX(PlotData,MATCH($A521,PlotNumber,0),MATCH(S$3,PlotTitles,0)))=FALSE, $AB$22,TRUE,"")</f>
        <v/>
      </c>
      <c r="T521" s="104" t="str" cm="1">
        <f t="array" ref="T521">_xlfn.IFS(AND(A521&gt;NumberOfPlots,ISBLANK(INDEX(PlotData,MATCH($A521,PlotNumber,0),MATCH(B$3,PlotTitles,0)))),"",OR(AND(INDEX(PlotData,MATCH($A521,PlotNumber,0),MATCH("Tenure",PlotTitles,0))="Open market housing",INDEX(PlotData,MATCH($A521,PlotNumber,0),MATCH("Tenure detail",PlotTitles,0))="Private rented sector"),INDEX(PlotData,MATCH($A521,PlotNumber,0),MATCH("Tenure",PlotTitles,0))="Affordable rent"),"",INDEX(PlotData,MATCH($A521,PlotNumber,0),MATCH(S$3,PlotTitles,0))&lt;10000, $AB$23,TRUE,"")</f>
        <v/>
      </c>
      <c r="U521" s="104" t="str" cm="1">
        <f t="array" ref="U521">_xlfn.IFS(AND(A521&gt;NumberOfPlots,ISBLANK(INDEX(PlotData,MATCH($A521,PlotNumber,0),MATCH(B$3,PlotTitles,0)))),"",NOT(OR(AND(INDEX(PlotData,MATCH($A521,PlotNumber,0),MATCH("Tenure",PlotTitles,0))="Open market housing",INDEX(PlotData,MATCH($A521,PlotNumber,0),MATCH("Tenure detail",PlotTitles,0))="Private rented sector"),INDEX(PlotData,MATCH($A521,PlotNumber,0),MATCH("Tenure",PlotTitles,0))="Affordable rent")),"",NOT(INDEX(PlotData,MATCH($A521,PlotNumber,0),MATCH(S$3,PlotTitles,0))=0), $AB$24,TRUE,"")</f>
        <v/>
      </c>
      <c r="V521" s="114" t="str" cm="1">
        <f t="array" aca="1" ref="V521" ca="1">_xlfn.IFS(ISBLANK(NumberOfPlots),"Enter the number of homes on the 1_SetUp sheet",AND(A521&gt;NumberOfPlots,ISBLANK(INDEX(PlotData,MATCH($A521,PlotNumber,0),MATCH(B$3,PlotTitles,0)))),"No error",NOT(B521=""),B521,NOT(C521=""),C521,NOT(D521=""),D521,NOT(E521=""),E521,NOT(F521=""),F521,NOT(G521=""),G521,NOT(H521=""),H521,NOT(I521=""),I521,NOT(J521=""),J521,NOT(K521=""),K521,NOT(L521=""),L521,NOT(M521=""),M521,NOT(N521=""),N521,NOT(O521=""),O521,NOT(P521=""),P521,NOT(Q521=""),Q521,NOT(R521=""),R521,NOT(S521=""),S521,NOT(T521=""),T521,NOT(U521=""),U521,TRUE,"No error")</f>
        <v>Enter the number of homes on the 1_SetUp sheet</v>
      </c>
      <c r="W521" s="114" t="str">
        <f t="shared" ca="1" si="26"/>
        <v xml:space="preserve">The Borrower has not addressed the following error messages for Home ID 517: </v>
      </c>
    </row>
    <row r="522" spans="1:23">
      <c r="A522" s="123">
        <v>518</v>
      </c>
      <c r="B522" s="104" t="str" cm="1">
        <f t="array" ref="B522">_xlfn.IFS(AND(A522&gt;NumberOfPlots,ISBLANK(INDEX(PlotData,MATCH($A522,PlotNumber,0),MATCH(B$3,PlotTitles,0)))),"",ISNUMBER(INDEX(PlotData,MATCH($A522,PlotNumber,0),MATCH(B$3,PlotTitles,0)))=FALSE, $AB$5,TRUE,"")</f>
        <v/>
      </c>
      <c r="C522" s="104" t="str" cm="1">
        <f t="array" ref="C522">_xlfn.IFS(AND(A522&gt;NumberOfPlots,ISBLANK(INDEX(PlotData,MATCH($A522,PlotNumber,0),MATCH(B$3,PlotTitles,0)))),"",ISBLANK(INDEX(PlotData,MATCH($A522,PlotNumber,0),MATCH(C$3,PlotTitles,0))),$AB$6,TRUE,"")</f>
        <v/>
      </c>
      <c r="D522" s="104" t="str" cm="1">
        <f t="array" ref="D522">_xlfn.IFS(AND(A522&gt;NumberOfPlots,ISBLANK(INDEX(PlotData,MATCH($A522,PlotNumber,0),MATCH(B$3,PlotTitles,0)))),"",ISBLANK(INDEX(PlotData,MATCH($A522,PlotNumber,0),MATCH(D$3,PlotTitles,0))),$AB$7,TRUE,"")</f>
        <v/>
      </c>
      <c r="E522" s="104" t="str" cm="1">
        <f t="array" ref="E522">_xlfn.IFS(AND(A522&gt;NumberOfPlots,ISBLANK(INDEX(PlotData,MATCH($A522,PlotNumber,0),MATCH(B$3,PlotTitles,0)))),"",ISBLANK(INDEX(PlotData,MATCH($A522,PlotNumber,0),MATCH(E$3,PlotTitles,0))),$AB$8,TRUE,"")</f>
        <v/>
      </c>
      <c r="F522" s="104" t="str" cm="1">
        <f t="array" ref="F522">_xlfn.IFS(AND(A522&gt;NumberOfPlots,ISBLANK(INDEX(PlotData,MATCH($A522,PlotNumber,0),MATCH(B$3,PlotTitles,0)))),"",ISBLANK(INDEX(PlotData,MATCH($A522,PlotNumber,0),MATCH(F$3,PlotTitles,0))),$AB$9,TRUE,"")</f>
        <v/>
      </c>
      <c r="G522" s="104" t="str" cm="1">
        <f t="array" ref="G522">_xlfn.IFS(AND(A522&gt;NumberOfPlots,ISBLANK(INDEX(PlotData,MATCH($A522,PlotNumber,0),MATCH(B$3,PlotTitles,0)))),"",ISBLANK(INDEX(PlotData,MATCH($A522,PlotNumber,0),MATCH(G$3,PlotTitles,0))),$AB$10,TRUE,"")</f>
        <v/>
      </c>
      <c r="H522" s="104" t="str" cm="1">
        <f t="array" ref="H522">_xlfn.IFS(AND(A522&gt;NumberOfPlots,ISBLANK(INDEX(PlotData,MATCH($A522,PlotNumber,0),MATCH(B$3,PlotTitles,0)))),"",AND(ISBLANK(INDEX(PlotData,MATCH($A522,PlotNumber,0),MATCH(H$3,PlotTitles,0)))=FALSE,INDEX(PlotData,MATCH($A522,PlotNumber,0),MATCH(H$3,PlotTitles,0))&lt;500), $AB$11,TRUE,"")</f>
        <v/>
      </c>
      <c r="I522" s="104" t="str" cm="1">
        <f t="array" ref="I522">_xlfn.IFS(AND(A522&gt;NumberOfPlots,ISBLANK(INDEX(PlotData,MATCH($A522,PlotNumber,0),MATCH(B$3,PlotTitles,0)))),"",ISBLANK(INDEX(PlotData,MATCH($A522,PlotNumber,0),MATCH(I$3,PlotTitles,0))),$AB$12,TRUE,"")</f>
        <v/>
      </c>
      <c r="J522" s="104" t="str" cm="1">
        <f t="array" ref="J522">_xlfn.IFS(AND(A522&gt;NumberOfPlots,ISBLANK(INDEX(PlotData,MATCH($A522,PlotNumber,0),MATCH(B$3,PlotTitles,0)))),"",ISBLANK(INDEX(PlotData,MATCH($A522,PlotNumber,0),MATCH(J$3,PlotTitles,0))),$AB$13,TRUE,"")</f>
        <v/>
      </c>
      <c r="K522" s="182" t="str">
        <f t="shared" ca="1" si="24"/>
        <v/>
      </c>
      <c r="L522" s="104" t="str" cm="1">
        <f t="array" ref="L522">_xlfn.IFS(OR(ISBLANK(StartDateMonth),ISBLANK(StartDateYear)),"",AND(A522&gt;NumberOfPlots,ISBLANK(INDEX(PlotData,MATCH($A522,PlotNumber,0),MATCH(B$3,PlotTitles,0)))),"",ISBLANK(INDEX(PlotData,MATCH($A522,PlotNumber,0),MATCH(I$3,PlotTitles,0))),"",(DATEVALUE(INDEX(PlotData,MATCH($A522,PlotNumber,0),MATCH(I$3,PlotTitles,0))&amp;INDEX(PlotData,MATCH($A522,PlotNumber,0),MATCH(J$3,PlotTitles,0))))&lt;DATEVALUE(StartDateMonth&amp;StartDateYear),$AB$15,TRUE,"")</f>
        <v/>
      </c>
      <c r="M522" s="104" t="str" cm="1">
        <f t="array" ref="M522">_xlfn.IFS(OR(ISBLANK(StartDateMonth),ISBLANK(StartDateYear)),"",AND(A522&gt;NumberOfPlots,ISBLANK(INDEX(PlotData,MATCH($A522,PlotNumber,0),MATCH(B$3,PlotTitles,0)))),"",ISBLANK(INDEX(PlotData,MATCH($A522,PlotNumber,0),MATCH(I$3,PlotTitles,0))),"",CompletionMonth="","",(DATEVALUE(INDEX(PlotData,MATCH($A522,PlotNumber,0),MATCH(I$3,PlotTitles,0))&amp;INDEX(PlotData,MATCH($A522,PlotNumber,0),MATCH(J$3,PlotTitles,0))))&gt;(DATEVALUE(CompletionMonth&amp;CompletionYear)),$AB$16,TRUE,"")</f>
        <v/>
      </c>
      <c r="N522" s="104" t="str" cm="1">
        <f t="array" ref="N522">_xlfn.IFS(AND(A522&gt;NumberOfPlots,ISBLANK(INDEX(PlotData,MATCH($A522,PlotNumber,0),MATCH(B$3,PlotTitles,0)))),"",ISBLANK(INDEX(PlotData,MATCH($A522,PlotNumber,0),MATCH(N$3,PlotTitles,0))),$AB$17,TRUE,"")</f>
        <v/>
      </c>
      <c r="O522" s="104" t="str" cm="1">
        <f t="array" ref="O522">_xlfn.IFS(AND(A522&gt;NumberOfPlots,ISBLANK(INDEX(PlotData,MATCH($A522,PlotNumber,0),MATCH(B$3,PlotTitles,0)))),"",ISBLANK(INDEX(PlotData,MATCH($A522,PlotNumber,0),MATCH(O$3,PlotTitles,0))),$AB$18,TRUE,"")</f>
        <v/>
      </c>
      <c r="P522" s="182" t="str">
        <f t="shared" ca="1" si="25"/>
        <v/>
      </c>
      <c r="Q522" s="104" t="str" cm="1">
        <f t="array" ref="Q522">_xlfn.IFS(AND(A522&gt;NumberOfPlots,ISBLANK(INDEX(PlotData,MATCH($A522,PlotNumber,0),MATCH(B$3,PlotTitles,0)))),"",ISBLANK(INDEX(PlotData,MATCH($A522,PlotNumber,0),MATCH(N$3,PlotTitles,0))),"",(DATEVALUE(INDEX(PlotData,MATCH($A522,PlotNumber,0),MATCH(N$3,PlotTitles,0))&amp;INDEX(PlotData,MATCH($A522,PlotNumber,0),MATCH(O$3,PlotTitles,0))))&lt;(DATEVALUE(INDEX(PlotData,MATCH($A522,PlotNumber,0),MATCH(I$3,PlotTitles,0))&amp;INDEX(PlotData,MATCH($A522,PlotNumber,0),MATCH(J$3,PlotTitles,0)))),$AB$20,TRUE,"")</f>
        <v/>
      </c>
      <c r="R522" s="104" t="str" cm="1">
        <f t="array" ref="R522">_xlfn.IFS(OR(ISBLANK(StartDateMonth),ISBLANK(StartDateYear)),"",AND(A522&gt;NumberOfPlots,ISBLANK(INDEX(PlotData,MATCH($A522,PlotNumber,0),MATCH(B$3,PlotTitles,0)))),"",ISBLANK(INDEX(PlotData,MATCH($A522,PlotNumber,0),MATCH(N$3,PlotTitles,0))),"",CompletionMonth="","",(DATEVALUE(INDEX(PlotData,MATCH($A522,PlotNumber,0),MATCH(N$3,PlotTitles,0))&amp;INDEX(PlotData,MATCH($A522,PlotNumber,0),MATCH(O$3,PlotTitles,0))))&gt;(DATEVALUE(CompletionMonth&amp;CompletionYear)),$AB$21,TRUE,"")</f>
        <v/>
      </c>
      <c r="S522" s="104" t="str" cm="1">
        <f t="array" ref="S522">_xlfn.IFS(AND(A522&gt;NumberOfPlots,ISBLANK(INDEX(PlotData,MATCH($A522,PlotNumber,0),MATCH(B$3,PlotTitles,0)))),"",OR(AND(INDEX(PlotData,MATCH($A522,PlotNumber,0),MATCH("Tenure",PlotTitles,0))="Open market housing",INDEX(PlotData,MATCH($A522,PlotNumber,0),MATCH("Tenure detail",PlotTitles,0))="Private rented sector"),INDEX(PlotData,MATCH($A522,PlotNumber,0),MATCH("Tenure",PlotTitles,0))="Affordable rent"),"",ISNUMBER(INDEX(PlotData,MATCH($A522,PlotNumber,0),MATCH(S$3,PlotTitles,0)))=FALSE, $AB$22,TRUE,"")</f>
        <v/>
      </c>
      <c r="T522" s="104" t="str" cm="1">
        <f t="array" ref="T522">_xlfn.IFS(AND(A522&gt;NumberOfPlots,ISBLANK(INDEX(PlotData,MATCH($A522,PlotNumber,0),MATCH(B$3,PlotTitles,0)))),"",OR(AND(INDEX(PlotData,MATCH($A522,PlotNumber,0),MATCH("Tenure",PlotTitles,0))="Open market housing",INDEX(PlotData,MATCH($A522,PlotNumber,0),MATCH("Tenure detail",PlotTitles,0))="Private rented sector"),INDEX(PlotData,MATCH($A522,PlotNumber,0),MATCH("Tenure",PlotTitles,0))="Affordable rent"),"",INDEX(PlotData,MATCH($A522,PlotNumber,0),MATCH(S$3,PlotTitles,0))&lt;10000, $AB$23,TRUE,"")</f>
        <v/>
      </c>
      <c r="U522" s="104" t="str" cm="1">
        <f t="array" ref="U522">_xlfn.IFS(AND(A522&gt;NumberOfPlots,ISBLANK(INDEX(PlotData,MATCH($A522,PlotNumber,0),MATCH(B$3,PlotTitles,0)))),"",NOT(OR(AND(INDEX(PlotData,MATCH($A522,PlotNumber,0),MATCH("Tenure",PlotTitles,0))="Open market housing",INDEX(PlotData,MATCH($A522,PlotNumber,0),MATCH("Tenure detail",PlotTitles,0))="Private rented sector"),INDEX(PlotData,MATCH($A522,PlotNumber,0),MATCH("Tenure",PlotTitles,0))="Affordable rent")),"",NOT(INDEX(PlotData,MATCH($A522,PlotNumber,0),MATCH(S$3,PlotTitles,0))=0), $AB$24,TRUE,"")</f>
        <v/>
      </c>
      <c r="V522" s="114" t="str" cm="1">
        <f t="array" aca="1" ref="V522" ca="1">_xlfn.IFS(ISBLANK(NumberOfPlots),"Enter the number of homes on the 1_SetUp sheet",AND(A522&gt;NumberOfPlots,ISBLANK(INDEX(PlotData,MATCH($A522,PlotNumber,0),MATCH(B$3,PlotTitles,0)))),"No error",NOT(B522=""),B522,NOT(C522=""),C522,NOT(D522=""),D522,NOT(E522=""),E522,NOT(F522=""),F522,NOT(G522=""),G522,NOT(H522=""),H522,NOT(I522=""),I522,NOT(J522=""),J522,NOT(K522=""),K522,NOT(L522=""),L522,NOT(M522=""),M522,NOT(N522=""),N522,NOT(O522=""),O522,NOT(P522=""),P522,NOT(Q522=""),Q522,NOT(R522=""),R522,NOT(S522=""),S522,NOT(T522=""),T522,NOT(U522=""),U522,TRUE,"No error")</f>
        <v>Enter the number of homes on the 1_SetUp sheet</v>
      </c>
      <c r="W522" s="114" t="str">
        <f t="shared" ca="1" si="26"/>
        <v xml:space="preserve">The Borrower has not addressed the following error messages for Home ID 518: </v>
      </c>
    </row>
    <row r="523" spans="1:23">
      <c r="A523" s="123">
        <v>519</v>
      </c>
      <c r="B523" s="104" t="str" cm="1">
        <f t="array" ref="B523">_xlfn.IFS(AND(A523&gt;NumberOfPlots,ISBLANK(INDEX(PlotData,MATCH($A523,PlotNumber,0),MATCH(B$3,PlotTitles,0)))),"",ISNUMBER(INDEX(PlotData,MATCH($A523,PlotNumber,0),MATCH(B$3,PlotTitles,0)))=FALSE, $AB$5,TRUE,"")</f>
        <v/>
      </c>
      <c r="C523" s="104" t="str" cm="1">
        <f t="array" ref="C523">_xlfn.IFS(AND(A523&gt;NumberOfPlots,ISBLANK(INDEX(PlotData,MATCH($A523,PlotNumber,0),MATCH(B$3,PlotTitles,0)))),"",ISBLANK(INDEX(PlotData,MATCH($A523,PlotNumber,0),MATCH(C$3,PlotTitles,0))),$AB$6,TRUE,"")</f>
        <v/>
      </c>
      <c r="D523" s="104" t="str" cm="1">
        <f t="array" ref="D523">_xlfn.IFS(AND(A523&gt;NumberOfPlots,ISBLANK(INDEX(PlotData,MATCH($A523,PlotNumber,0),MATCH(B$3,PlotTitles,0)))),"",ISBLANK(INDEX(PlotData,MATCH($A523,PlotNumber,0),MATCH(D$3,PlotTitles,0))),$AB$7,TRUE,"")</f>
        <v/>
      </c>
      <c r="E523" s="104" t="str" cm="1">
        <f t="array" ref="E523">_xlfn.IFS(AND(A523&gt;NumberOfPlots,ISBLANK(INDEX(PlotData,MATCH($A523,PlotNumber,0),MATCH(B$3,PlotTitles,0)))),"",ISBLANK(INDEX(PlotData,MATCH($A523,PlotNumber,0),MATCH(E$3,PlotTitles,0))),$AB$8,TRUE,"")</f>
        <v/>
      </c>
      <c r="F523" s="104" t="str" cm="1">
        <f t="array" ref="F523">_xlfn.IFS(AND(A523&gt;NumberOfPlots,ISBLANK(INDEX(PlotData,MATCH($A523,PlotNumber,0),MATCH(B$3,PlotTitles,0)))),"",ISBLANK(INDEX(PlotData,MATCH($A523,PlotNumber,0),MATCH(F$3,PlotTitles,0))),$AB$9,TRUE,"")</f>
        <v/>
      </c>
      <c r="G523" s="104" t="str" cm="1">
        <f t="array" ref="G523">_xlfn.IFS(AND(A523&gt;NumberOfPlots,ISBLANK(INDEX(PlotData,MATCH($A523,PlotNumber,0),MATCH(B$3,PlotTitles,0)))),"",ISBLANK(INDEX(PlotData,MATCH($A523,PlotNumber,0),MATCH(G$3,PlotTitles,0))),$AB$10,TRUE,"")</f>
        <v/>
      </c>
      <c r="H523" s="104" t="str" cm="1">
        <f t="array" ref="H523">_xlfn.IFS(AND(A523&gt;NumberOfPlots,ISBLANK(INDEX(PlotData,MATCH($A523,PlotNumber,0),MATCH(B$3,PlotTitles,0)))),"",AND(ISBLANK(INDEX(PlotData,MATCH($A523,PlotNumber,0),MATCH(H$3,PlotTitles,0)))=FALSE,INDEX(PlotData,MATCH($A523,PlotNumber,0),MATCH(H$3,PlotTitles,0))&lt;500), $AB$11,TRUE,"")</f>
        <v/>
      </c>
      <c r="I523" s="104" t="str" cm="1">
        <f t="array" ref="I523">_xlfn.IFS(AND(A523&gt;NumberOfPlots,ISBLANK(INDEX(PlotData,MATCH($A523,PlotNumber,0),MATCH(B$3,PlotTitles,0)))),"",ISBLANK(INDEX(PlotData,MATCH($A523,PlotNumber,0),MATCH(I$3,PlotTitles,0))),$AB$12,TRUE,"")</f>
        <v/>
      </c>
      <c r="J523" s="104" t="str" cm="1">
        <f t="array" ref="J523">_xlfn.IFS(AND(A523&gt;NumberOfPlots,ISBLANK(INDEX(PlotData,MATCH($A523,PlotNumber,0),MATCH(B$3,PlotTitles,0)))),"",ISBLANK(INDEX(PlotData,MATCH($A523,PlotNumber,0),MATCH(J$3,PlotTitles,0))),$AB$13,TRUE,"")</f>
        <v/>
      </c>
      <c r="K523" s="182" t="str">
        <f t="shared" ca="1" si="24"/>
        <v/>
      </c>
      <c r="L523" s="104" t="str" cm="1">
        <f t="array" ref="L523">_xlfn.IFS(OR(ISBLANK(StartDateMonth),ISBLANK(StartDateYear)),"",AND(A523&gt;NumberOfPlots,ISBLANK(INDEX(PlotData,MATCH($A523,PlotNumber,0),MATCH(B$3,PlotTitles,0)))),"",ISBLANK(INDEX(PlotData,MATCH($A523,PlotNumber,0),MATCH(I$3,PlotTitles,0))),"",(DATEVALUE(INDEX(PlotData,MATCH($A523,PlotNumber,0),MATCH(I$3,PlotTitles,0))&amp;INDEX(PlotData,MATCH($A523,PlotNumber,0),MATCH(J$3,PlotTitles,0))))&lt;DATEVALUE(StartDateMonth&amp;StartDateYear),$AB$15,TRUE,"")</f>
        <v/>
      </c>
      <c r="M523" s="104" t="str" cm="1">
        <f t="array" ref="M523">_xlfn.IFS(OR(ISBLANK(StartDateMonth),ISBLANK(StartDateYear)),"",AND(A523&gt;NumberOfPlots,ISBLANK(INDEX(PlotData,MATCH($A523,PlotNumber,0),MATCH(B$3,PlotTitles,0)))),"",ISBLANK(INDEX(PlotData,MATCH($A523,PlotNumber,0),MATCH(I$3,PlotTitles,0))),"",CompletionMonth="","",(DATEVALUE(INDEX(PlotData,MATCH($A523,PlotNumber,0),MATCH(I$3,PlotTitles,0))&amp;INDEX(PlotData,MATCH($A523,PlotNumber,0),MATCH(J$3,PlotTitles,0))))&gt;(DATEVALUE(CompletionMonth&amp;CompletionYear)),$AB$16,TRUE,"")</f>
        <v/>
      </c>
      <c r="N523" s="104" t="str" cm="1">
        <f t="array" ref="N523">_xlfn.IFS(AND(A523&gt;NumberOfPlots,ISBLANK(INDEX(PlotData,MATCH($A523,PlotNumber,0),MATCH(B$3,PlotTitles,0)))),"",ISBLANK(INDEX(PlotData,MATCH($A523,PlotNumber,0),MATCH(N$3,PlotTitles,0))),$AB$17,TRUE,"")</f>
        <v/>
      </c>
      <c r="O523" s="104" t="str" cm="1">
        <f t="array" ref="O523">_xlfn.IFS(AND(A523&gt;NumberOfPlots,ISBLANK(INDEX(PlotData,MATCH($A523,PlotNumber,0),MATCH(B$3,PlotTitles,0)))),"",ISBLANK(INDEX(PlotData,MATCH($A523,PlotNumber,0),MATCH(O$3,PlotTitles,0))),$AB$18,TRUE,"")</f>
        <v/>
      </c>
      <c r="P523" s="182" t="str">
        <f t="shared" ca="1" si="25"/>
        <v/>
      </c>
      <c r="Q523" s="104" t="str" cm="1">
        <f t="array" ref="Q523">_xlfn.IFS(AND(A523&gt;NumberOfPlots,ISBLANK(INDEX(PlotData,MATCH($A523,PlotNumber,0),MATCH(B$3,PlotTitles,0)))),"",ISBLANK(INDEX(PlotData,MATCH($A523,PlotNumber,0),MATCH(N$3,PlotTitles,0))),"",(DATEVALUE(INDEX(PlotData,MATCH($A523,PlotNumber,0),MATCH(N$3,PlotTitles,0))&amp;INDEX(PlotData,MATCH($A523,PlotNumber,0),MATCH(O$3,PlotTitles,0))))&lt;(DATEVALUE(INDEX(PlotData,MATCH($A523,PlotNumber,0),MATCH(I$3,PlotTitles,0))&amp;INDEX(PlotData,MATCH($A523,PlotNumber,0),MATCH(J$3,PlotTitles,0)))),$AB$20,TRUE,"")</f>
        <v/>
      </c>
      <c r="R523" s="104" t="str" cm="1">
        <f t="array" ref="R523">_xlfn.IFS(OR(ISBLANK(StartDateMonth),ISBLANK(StartDateYear)),"",AND(A523&gt;NumberOfPlots,ISBLANK(INDEX(PlotData,MATCH($A523,PlotNumber,0),MATCH(B$3,PlotTitles,0)))),"",ISBLANK(INDEX(PlotData,MATCH($A523,PlotNumber,0),MATCH(N$3,PlotTitles,0))),"",CompletionMonth="","",(DATEVALUE(INDEX(PlotData,MATCH($A523,PlotNumber,0),MATCH(N$3,PlotTitles,0))&amp;INDEX(PlotData,MATCH($A523,PlotNumber,0),MATCH(O$3,PlotTitles,0))))&gt;(DATEVALUE(CompletionMonth&amp;CompletionYear)),$AB$21,TRUE,"")</f>
        <v/>
      </c>
      <c r="S523" s="104" t="str" cm="1">
        <f t="array" ref="S523">_xlfn.IFS(AND(A523&gt;NumberOfPlots,ISBLANK(INDEX(PlotData,MATCH($A523,PlotNumber,0),MATCH(B$3,PlotTitles,0)))),"",OR(AND(INDEX(PlotData,MATCH($A523,PlotNumber,0),MATCH("Tenure",PlotTitles,0))="Open market housing",INDEX(PlotData,MATCH($A523,PlotNumber,0),MATCH("Tenure detail",PlotTitles,0))="Private rented sector"),INDEX(PlotData,MATCH($A523,PlotNumber,0),MATCH("Tenure",PlotTitles,0))="Affordable rent"),"",ISNUMBER(INDEX(PlotData,MATCH($A523,PlotNumber,0),MATCH(S$3,PlotTitles,0)))=FALSE, $AB$22,TRUE,"")</f>
        <v/>
      </c>
      <c r="T523" s="104" t="str" cm="1">
        <f t="array" ref="T523">_xlfn.IFS(AND(A523&gt;NumberOfPlots,ISBLANK(INDEX(PlotData,MATCH($A523,PlotNumber,0),MATCH(B$3,PlotTitles,0)))),"",OR(AND(INDEX(PlotData,MATCH($A523,PlotNumber,0),MATCH("Tenure",PlotTitles,0))="Open market housing",INDEX(PlotData,MATCH($A523,PlotNumber,0),MATCH("Tenure detail",PlotTitles,0))="Private rented sector"),INDEX(PlotData,MATCH($A523,PlotNumber,0),MATCH("Tenure",PlotTitles,0))="Affordable rent"),"",INDEX(PlotData,MATCH($A523,PlotNumber,0),MATCH(S$3,PlotTitles,0))&lt;10000, $AB$23,TRUE,"")</f>
        <v/>
      </c>
      <c r="U523" s="104" t="str" cm="1">
        <f t="array" ref="U523">_xlfn.IFS(AND(A523&gt;NumberOfPlots,ISBLANK(INDEX(PlotData,MATCH($A523,PlotNumber,0),MATCH(B$3,PlotTitles,0)))),"",NOT(OR(AND(INDEX(PlotData,MATCH($A523,PlotNumber,0),MATCH("Tenure",PlotTitles,0))="Open market housing",INDEX(PlotData,MATCH($A523,PlotNumber,0),MATCH("Tenure detail",PlotTitles,0))="Private rented sector"),INDEX(PlotData,MATCH($A523,PlotNumber,0),MATCH("Tenure",PlotTitles,0))="Affordable rent")),"",NOT(INDEX(PlotData,MATCH($A523,PlotNumber,0),MATCH(S$3,PlotTitles,0))=0), $AB$24,TRUE,"")</f>
        <v/>
      </c>
      <c r="V523" s="114" t="str" cm="1">
        <f t="array" aca="1" ref="V523" ca="1">_xlfn.IFS(ISBLANK(NumberOfPlots),"Enter the number of homes on the 1_SetUp sheet",AND(A523&gt;NumberOfPlots,ISBLANK(INDEX(PlotData,MATCH($A523,PlotNumber,0),MATCH(B$3,PlotTitles,0)))),"No error",NOT(B523=""),B523,NOT(C523=""),C523,NOT(D523=""),D523,NOT(E523=""),E523,NOT(F523=""),F523,NOT(G523=""),G523,NOT(H523=""),H523,NOT(I523=""),I523,NOT(J523=""),J523,NOT(K523=""),K523,NOT(L523=""),L523,NOT(M523=""),M523,NOT(N523=""),N523,NOT(O523=""),O523,NOT(P523=""),P523,NOT(Q523=""),Q523,NOT(R523=""),R523,NOT(S523=""),S523,NOT(T523=""),T523,NOT(U523=""),U523,TRUE,"No error")</f>
        <v>Enter the number of homes on the 1_SetUp sheet</v>
      </c>
      <c r="W523" s="114" t="str">
        <f t="shared" ca="1" si="26"/>
        <v xml:space="preserve">The Borrower has not addressed the following error messages for Home ID 519: </v>
      </c>
    </row>
    <row r="524" spans="1:23">
      <c r="A524" s="123">
        <v>520</v>
      </c>
      <c r="B524" s="104" t="str" cm="1">
        <f t="array" ref="B524">_xlfn.IFS(AND(A524&gt;NumberOfPlots,ISBLANK(INDEX(PlotData,MATCH($A524,PlotNumber,0),MATCH(B$3,PlotTitles,0)))),"",ISNUMBER(INDEX(PlotData,MATCH($A524,PlotNumber,0),MATCH(B$3,PlotTitles,0)))=FALSE, $AB$5,TRUE,"")</f>
        <v/>
      </c>
      <c r="C524" s="104" t="str" cm="1">
        <f t="array" ref="C524">_xlfn.IFS(AND(A524&gt;NumberOfPlots,ISBLANK(INDEX(PlotData,MATCH($A524,PlotNumber,0),MATCH(B$3,PlotTitles,0)))),"",ISBLANK(INDEX(PlotData,MATCH($A524,PlotNumber,0),MATCH(C$3,PlotTitles,0))),$AB$6,TRUE,"")</f>
        <v/>
      </c>
      <c r="D524" s="104" t="str" cm="1">
        <f t="array" ref="D524">_xlfn.IFS(AND(A524&gt;NumberOfPlots,ISBLANK(INDEX(PlotData,MATCH($A524,PlotNumber,0),MATCH(B$3,PlotTitles,0)))),"",ISBLANK(INDEX(PlotData,MATCH($A524,PlotNumber,0),MATCH(D$3,PlotTitles,0))),$AB$7,TRUE,"")</f>
        <v/>
      </c>
      <c r="E524" s="104" t="str" cm="1">
        <f t="array" ref="E524">_xlfn.IFS(AND(A524&gt;NumberOfPlots,ISBLANK(INDEX(PlotData,MATCH($A524,PlotNumber,0),MATCH(B$3,PlotTitles,0)))),"",ISBLANK(INDEX(PlotData,MATCH($A524,PlotNumber,0),MATCH(E$3,PlotTitles,0))),$AB$8,TRUE,"")</f>
        <v/>
      </c>
      <c r="F524" s="104" t="str" cm="1">
        <f t="array" ref="F524">_xlfn.IFS(AND(A524&gt;NumberOfPlots,ISBLANK(INDEX(PlotData,MATCH($A524,PlotNumber,0),MATCH(B$3,PlotTitles,0)))),"",ISBLANK(INDEX(PlotData,MATCH($A524,PlotNumber,0),MATCH(F$3,PlotTitles,0))),$AB$9,TRUE,"")</f>
        <v/>
      </c>
      <c r="G524" s="104" t="str" cm="1">
        <f t="array" ref="G524">_xlfn.IFS(AND(A524&gt;NumberOfPlots,ISBLANK(INDEX(PlotData,MATCH($A524,PlotNumber,0),MATCH(B$3,PlotTitles,0)))),"",ISBLANK(INDEX(PlotData,MATCH($A524,PlotNumber,0),MATCH(G$3,PlotTitles,0))),$AB$10,TRUE,"")</f>
        <v/>
      </c>
      <c r="H524" s="104" t="str" cm="1">
        <f t="array" ref="H524">_xlfn.IFS(AND(A524&gt;NumberOfPlots,ISBLANK(INDEX(PlotData,MATCH($A524,PlotNumber,0),MATCH(B$3,PlotTitles,0)))),"",AND(ISBLANK(INDEX(PlotData,MATCH($A524,PlotNumber,0),MATCH(H$3,PlotTitles,0)))=FALSE,INDEX(PlotData,MATCH($A524,PlotNumber,0),MATCH(H$3,PlotTitles,0))&lt;500), $AB$11,TRUE,"")</f>
        <v/>
      </c>
      <c r="I524" s="104" t="str" cm="1">
        <f t="array" ref="I524">_xlfn.IFS(AND(A524&gt;NumberOfPlots,ISBLANK(INDEX(PlotData,MATCH($A524,PlotNumber,0),MATCH(B$3,PlotTitles,0)))),"",ISBLANK(INDEX(PlotData,MATCH($A524,PlotNumber,0),MATCH(I$3,PlotTitles,0))),$AB$12,TRUE,"")</f>
        <v/>
      </c>
      <c r="J524" s="104" t="str" cm="1">
        <f t="array" ref="J524">_xlfn.IFS(AND(A524&gt;NumberOfPlots,ISBLANK(INDEX(PlotData,MATCH($A524,PlotNumber,0),MATCH(B$3,PlotTitles,0)))),"",ISBLANK(INDEX(PlotData,MATCH($A524,PlotNumber,0),MATCH(J$3,PlotTitles,0))),$AB$13,TRUE,"")</f>
        <v/>
      </c>
      <c r="K524" s="182" t="str">
        <f t="shared" ca="1" si="24"/>
        <v/>
      </c>
      <c r="L524" s="104" t="str" cm="1">
        <f t="array" ref="L524">_xlfn.IFS(OR(ISBLANK(StartDateMonth),ISBLANK(StartDateYear)),"",AND(A524&gt;NumberOfPlots,ISBLANK(INDEX(PlotData,MATCH($A524,PlotNumber,0),MATCH(B$3,PlotTitles,0)))),"",ISBLANK(INDEX(PlotData,MATCH($A524,PlotNumber,0),MATCH(I$3,PlotTitles,0))),"",(DATEVALUE(INDEX(PlotData,MATCH($A524,PlotNumber,0),MATCH(I$3,PlotTitles,0))&amp;INDEX(PlotData,MATCH($A524,PlotNumber,0),MATCH(J$3,PlotTitles,0))))&lt;DATEVALUE(StartDateMonth&amp;StartDateYear),$AB$15,TRUE,"")</f>
        <v/>
      </c>
      <c r="M524" s="104" t="str" cm="1">
        <f t="array" ref="M524">_xlfn.IFS(OR(ISBLANK(StartDateMonth),ISBLANK(StartDateYear)),"",AND(A524&gt;NumberOfPlots,ISBLANK(INDEX(PlotData,MATCH($A524,PlotNumber,0),MATCH(B$3,PlotTitles,0)))),"",ISBLANK(INDEX(PlotData,MATCH($A524,PlotNumber,0),MATCH(I$3,PlotTitles,0))),"",CompletionMonth="","",(DATEVALUE(INDEX(PlotData,MATCH($A524,PlotNumber,0),MATCH(I$3,PlotTitles,0))&amp;INDEX(PlotData,MATCH($A524,PlotNumber,0),MATCH(J$3,PlotTitles,0))))&gt;(DATEVALUE(CompletionMonth&amp;CompletionYear)),$AB$16,TRUE,"")</f>
        <v/>
      </c>
      <c r="N524" s="104" t="str" cm="1">
        <f t="array" ref="N524">_xlfn.IFS(AND(A524&gt;NumberOfPlots,ISBLANK(INDEX(PlotData,MATCH($A524,PlotNumber,0),MATCH(B$3,PlotTitles,0)))),"",ISBLANK(INDEX(PlotData,MATCH($A524,PlotNumber,0),MATCH(N$3,PlotTitles,0))),$AB$17,TRUE,"")</f>
        <v/>
      </c>
      <c r="O524" s="104" t="str" cm="1">
        <f t="array" ref="O524">_xlfn.IFS(AND(A524&gt;NumberOfPlots,ISBLANK(INDEX(PlotData,MATCH($A524,PlotNumber,0),MATCH(B$3,PlotTitles,0)))),"",ISBLANK(INDEX(PlotData,MATCH($A524,PlotNumber,0),MATCH(O$3,PlotTitles,0))),$AB$18,TRUE,"")</f>
        <v/>
      </c>
      <c r="P524" s="182" t="str">
        <f t="shared" ca="1" si="25"/>
        <v/>
      </c>
      <c r="Q524" s="104" t="str" cm="1">
        <f t="array" ref="Q524">_xlfn.IFS(AND(A524&gt;NumberOfPlots,ISBLANK(INDEX(PlotData,MATCH($A524,PlotNumber,0),MATCH(B$3,PlotTitles,0)))),"",ISBLANK(INDEX(PlotData,MATCH($A524,PlotNumber,0),MATCH(N$3,PlotTitles,0))),"",(DATEVALUE(INDEX(PlotData,MATCH($A524,PlotNumber,0),MATCH(N$3,PlotTitles,0))&amp;INDEX(PlotData,MATCH($A524,PlotNumber,0),MATCH(O$3,PlotTitles,0))))&lt;(DATEVALUE(INDEX(PlotData,MATCH($A524,PlotNumber,0),MATCH(I$3,PlotTitles,0))&amp;INDEX(PlotData,MATCH($A524,PlotNumber,0),MATCH(J$3,PlotTitles,0)))),$AB$20,TRUE,"")</f>
        <v/>
      </c>
      <c r="R524" s="104" t="str" cm="1">
        <f t="array" ref="R524">_xlfn.IFS(OR(ISBLANK(StartDateMonth),ISBLANK(StartDateYear)),"",AND(A524&gt;NumberOfPlots,ISBLANK(INDEX(PlotData,MATCH($A524,PlotNumber,0),MATCH(B$3,PlotTitles,0)))),"",ISBLANK(INDEX(PlotData,MATCH($A524,PlotNumber,0),MATCH(N$3,PlotTitles,0))),"",CompletionMonth="","",(DATEVALUE(INDEX(PlotData,MATCH($A524,PlotNumber,0),MATCH(N$3,PlotTitles,0))&amp;INDEX(PlotData,MATCH($A524,PlotNumber,0),MATCH(O$3,PlotTitles,0))))&gt;(DATEVALUE(CompletionMonth&amp;CompletionYear)),$AB$21,TRUE,"")</f>
        <v/>
      </c>
      <c r="S524" s="104" t="str" cm="1">
        <f t="array" ref="S524">_xlfn.IFS(AND(A524&gt;NumberOfPlots,ISBLANK(INDEX(PlotData,MATCH($A524,PlotNumber,0),MATCH(B$3,PlotTitles,0)))),"",OR(AND(INDEX(PlotData,MATCH($A524,PlotNumber,0),MATCH("Tenure",PlotTitles,0))="Open market housing",INDEX(PlotData,MATCH($A524,PlotNumber,0),MATCH("Tenure detail",PlotTitles,0))="Private rented sector"),INDEX(PlotData,MATCH($A524,PlotNumber,0),MATCH("Tenure",PlotTitles,0))="Affordable rent"),"",ISNUMBER(INDEX(PlotData,MATCH($A524,PlotNumber,0),MATCH(S$3,PlotTitles,0)))=FALSE, $AB$22,TRUE,"")</f>
        <v/>
      </c>
      <c r="T524" s="104" t="str" cm="1">
        <f t="array" ref="T524">_xlfn.IFS(AND(A524&gt;NumberOfPlots,ISBLANK(INDEX(PlotData,MATCH($A524,PlotNumber,0),MATCH(B$3,PlotTitles,0)))),"",OR(AND(INDEX(PlotData,MATCH($A524,PlotNumber,0),MATCH("Tenure",PlotTitles,0))="Open market housing",INDEX(PlotData,MATCH($A524,PlotNumber,0),MATCH("Tenure detail",PlotTitles,0))="Private rented sector"),INDEX(PlotData,MATCH($A524,PlotNumber,0),MATCH("Tenure",PlotTitles,0))="Affordable rent"),"",INDEX(PlotData,MATCH($A524,PlotNumber,0),MATCH(S$3,PlotTitles,0))&lt;10000, $AB$23,TRUE,"")</f>
        <v/>
      </c>
      <c r="U524" s="104" t="str" cm="1">
        <f t="array" ref="U524">_xlfn.IFS(AND(A524&gt;NumberOfPlots,ISBLANK(INDEX(PlotData,MATCH($A524,PlotNumber,0),MATCH(B$3,PlotTitles,0)))),"",NOT(OR(AND(INDEX(PlotData,MATCH($A524,PlotNumber,0),MATCH("Tenure",PlotTitles,0))="Open market housing",INDEX(PlotData,MATCH($A524,PlotNumber,0),MATCH("Tenure detail",PlotTitles,0))="Private rented sector"),INDEX(PlotData,MATCH($A524,PlotNumber,0),MATCH("Tenure",PlotTitles,0))="Affordable rent")),"",NOT(INDEX(PlotData,MATCH($A524,PlotNumber,0),MATCH(S$3,PlotTitles,0))=0), $AB$24,TRUE,"")</f>
        <v/>
      </c>
      <c r="V524" s="114" t="str" cm="1">
        <f t="array" aca="1" ref="V524" ca="1">_xlfn.IFS(ISBLANK(NumberOfPlots),"Enter the number of homes on the 1_SetUp sheet",AND(A524&gt;NumberOfPlots,ISBLANK(INDEX(PlotData,MATCH($A524,PlotNumber,0),MATCH(B$3,PlotTitles,0)))),"No error",NOT(B524=""),B524,NOT(C524=""),C524,NOT(D524=""),D524,NOT(E524=""),E524,NOT(F524=""),F524,NOT(G524=""),G524,NOT(H524=""),H524,NOT(I524=""),I524,NOT(J524=""),J524,NOT(K524=""),K524,NOT(L524=""),L524,NOT(M524=""),M524,NOT(N524=""),N524,NOT(O524=""),O524,NOT(P524=""),P524,NOT(Q524=""),Q524,NOT(R524=""),R524,NOT(S524=""),S524,NOT(T524=""),T524,NOT(U524=""),U524,TRUE,"No error")</f>
        <v>Enter the number of homes on the 1_SetUp sheet</v>
      </c>
      <c r="W524" s="114" t="str">
        <f t="shared" ca="1" si="26"/>
        <v xml:space="preserve">The Borrower has not addressed the following error messages for Home ID 520: </v>
      </c>
    </row>
    <row r="525" spans="1:23">
      <c r="A525" s="123">
        <v>521</v>
      </c>
      <c r="B525" s="104" t="str" cm="1">
        <f t="array" ref="B525">_xlfn.IFS(AND(A525&gt;NumberOfPlots,ISBLANK(INDEX(PlotData,MATCH($A525,PlotNumber,0),MATCH(B$3,PlotTitles,0)))),"",ISNUMBER(INDEX(PlotData,MATCH($A525,PlotNumber,0),MATCH(B$3,PlotTitles,0)))=FALSE, $AB$5,TRUE,"")</f>
        <v/>
      </c>
      <c r="C525" s="104" t="str" cm="1">
        <f t="array" ref="C525">_xlfn.IFS(AND(A525&gt;NumberOfPlots,ISBLANK(INDEX(PlotData,MATCH($A525,PlotNumber,0),MATCH(B$3,PlotTitles,0)))),"",ISBLANK(INDEX(PlotData,MATCH($A525,PlotNumber,0),MATCH(C$3,PlotTitles,0))),$AB$6,TRUE,"")</f>
        <v/>
      </c>
      <c r="D525" s="104" t="str" cm="1">
        <f t="array" ref="D525">_xlfn.IFS(AND(A525&gt;NumberOfPlots,ISBLANK(INDEX(PlotData,MATCH($A525,PlotNumber,0),MATCH(B$3,PlotTitles,0)))),"",ISBLANK(INDEX(PlotData,MATCH($A525,PlotNumber,0),MATCH(D$3,PlotTitles,0))),$AB$7,TRUE,"")</f>
        <v/>
      </c>
      <c r="E525" s="104" t="str" cm="1">
        <f t="array" ref="E525">_xlfn.IFS(AND(A525&gt;NumberOfPlots,ISBLANK(INDEX(PlotData,MATCH($A525,PlotNumber,0),MATCH(B$3,PlotTitles,0)))),"",ISBLANK(INDEX(PlotData,MATCH($A525,PlotNumber,0),MATCH(E$3,PlotTitles,0))),$AB$8,TRUE,"")</f>
        <v/>
      </c>
      <c r="F525" s="104" t="str" cm="1">
        <f t="array" ref="F525">_xlfn.IFS(AND(A525&gt;NumberOfPlots,ISBLANK(INDEX(PlotData,MATCH($A525,PlotNumber,0),MATCH(B$3,PlotTitles,0)))),"",ISBLANK(INDEX(PlotData,MATCH($A525,PlotNumber,0),MATCH(F$3,PlotTitles,0))),$AB$9,TRUE,"")</f>
        <v/>
      </c>
      <c r="G525" s="104" t="str" cm="1">
        <f t="array" ref="G525">_xlfn.IFS(AND(A525&gt;NumberOfPlots,ISBLANK(INDEX(PlotData,MATCH($A525,PlotNumber,0),MATCH(B$3,PlotTitles,0)))),"",ISBLANK(INDEX(PlotData,MATCH($A525,PlotNumber,0),MATCH(G$3,PlotTitles,0))),$AB$10,TRUE,"")</f>
        <v/>
      </c>
      <c r="H525" s="104" t="str" cm="1">
        <f t="array" ref="H525">_xlfn.IFS(AND(A525&gt;NumberOfPlots,ISBLANK(INDEX(PlotData,MATCH($A525,PlotNumber,0),MATCH(B$3,PlotTitles,0)))),"",AND(ISBLANK(INDEX(PlotData,MATCH($A525,PlotNumber,0),MATCH(H$3,PlotTitles,0)))=FALSE,INDEX(PlotData,MATCH($A525,PlotNumber,0),MATCH(H$3,PlotTitles,0))&lt;500), $AB$11,TRUE,"")</f>
        <v/>
      </c>
      <c r="I525" s="104" t="str" cm="1">
        <f t="array" ref="I525">_xlfn.IFS(AND(A525&gt;NumberOfPlots,ISBLANK(INDEX(PlotData,MATCH($A525,PlotNumber,0),MATCH(B$3,PlotTitles,0)))),"",ISBLANK(INDEX(PlotData,MATCH($A525,PlotNumber,0),MATCH(I$3,PlotTitles,0))),$AB$12,TRUE,"")</f>
        <v/>
      </c>
      <c r="J525" s="104" t="str" cm="1">
        <f t="array" ref="J525">_xlfn.IFS(AND(A525&gt;NumberOfPlots,ISBLANK(INDEX(PlotData,MATCH($A525,PlotNumber,0),MATCH(B$3,PlotTitles,0)))),"",ISBLANK(INDEX(PlotData,MATCH($A525,PlotNumber,0),MATCH(J$3,PlotTitles,0))),$AB$13,TRUE,"")</f>
        <v/>
      </c>
      <c r="K525" s="182" t="str">
        <f t="shared" ca="1" si="24"/>
        <v/>
      </c>
      <c r="L525" s="104" t="str" cm="1">
        <f t="array" ref="L525">_xlfn.IFS(OR(ISBLANK(StartDateMonth),ISBLANK(StartDateYear)),"",AND(A525&gt;NumberOfPlots,ISBLANK(INDEX(PlotData,MATCH($A525,PlotNumber,0),MATCH(B$3,PlotTitles,0)))),"",ISBLANK(INDEX(PlotData,MATCH($A525,PlotNumber,0),MATCH(I$3,PlotTitles,0))),"",(DATEVALUE(INDEX(PlotData,MATCH($A525,PlotNumber,0),MATCH(I$3,PlotTitles,0))&amp;INDEX(PlotData,MATCH($A525,PlotNumber,0),MATCH(J$3,PlotTitles,0))))&lt;DATEVALUE(StartDateMonth&amp;StartDateYear),$AB$15,TRUE,"")</f>
        <v/>
      </c>
      <c r="M525" s="104" t="str" cm="1">
        <f t="array" ref="M525">_xlfn.IFS(OR(ISBLANK(StartDateMonth),ISBLANK(StartDateYear)),"",AND(A525&gt;NumberOfPlots,ISBLANK(INDEX(PlotData,MATCH($A525,PlotNumber,0),MATCH(B$3,PlotTitles,0)))),"",ISBLANK(INDEX(PlotData,MATCH($A525,PlotNumber,0),MATCH(I$3,PlotTitles,0))),"",CompletionMonth="","",(DATEVALUE(INDEX(PlotData,MATCH($A525,PlotNumber,0),MATCH(I$3,PlotTitles,0))&amp;INDEX(PlotData,MATCH($A525,PlotNumber,0),MATCH(J$3,PlotTitles,0))))&gt;(DATEVALUE(CompletionMonth&amp;CompletionYear)),$AB$16,TRUE,"")</f>
        <v/>
      </c>
      <c r="N525" s="104" t="str" cm="1">
        <f t="array" ref="N525">_xlfn.IFS(AND(A525&gt;NumberOfPlots,ISBLANK(INDEX(PlotData,MATCH($A525,PlotNumber,0),MATCH(B$3,PlotTitles,0)))),"",ISBLANK(INDEX(PlotData,MATCH($A525,PlotNumber,0),MATCH(N$3,PlotTitles,0))),$AB$17,TRUE,"")</f>
        <v/>
      </c>
      <c r="O525" s="104" t="str" cm="1">
        <f t="array" ref="O525">_xlfn.IFS(AND(A525&gt;NumberOfPlots,ISBLANK(INDEX(PlotData,MATCH($A525,PlotNumber,0),MATCH(B$3,PlotTitles,0)))),"",ISBLANK(INDEX(PlotData,MATCH($A525,PlotNumber,0),MATCH(O$3,PlotTitles,0))),$AB$18,TRUE,"")</f>
        <v/>
      </c>
      <c r="P525" s="182" t="str">
        <f t="shared" ca="1" si="25"/>
        <v/>
      </c>
      <c r="Q525" s="104" t="str" cm="1">
        <f t="array" ref="Q525">_xlfn.IFS(AND(A525&gt;NumberOfPlots,ISBLANK(INDEX(PlotData,MATCH($A525,PlotNumber,0),MATCH(B$3,PlotTitles,0)))),"",ISBLANK(INDEX(PlotData,MATCH($A525,PlotNumber,0),MATCH(N$3,PlotTitles,0))),"",(DATEVALUE(INDEX(PlotData,MATCH($A525,PlotNumber,0),MATCH(N$3,PlotTitles,0))&amp;INDEX(PlotData,MATCH($A525,PlotNumber,0),MATCH(O$3,PlotTitles,0))))&lt;(DATEVALUE(INDEX(PlotData,MATCH($A525,PlotNumber,0),MATCH(I$3,PlotTitles,0))&amp;INDEX(PlotData,MATCH($A525,PlotNumber,0),MATCH(J$3,PlotTitles,0)))),$AB$20,TRUE,"")</f>
        <v/>
      </c>
      <c r="R525" s="104" t="str" cm="1">
        <f t="array" ref="R525">_xlfn.IFS(OR(ISBLANK(StartDateMonth),ISBLANK(StartDateYear)),"",AND(A525&gt;NumberOfPlots,ISBLANK(INDEX(PlotData,MATCH($A525,PlotNumber,0),MATCH(B$3,PlotTitles,0)))),"",ISBLANK(INDEX(PlotData,MATCH($A525,PlotNumber,0),MATCH(N$3,PlotTitles,0))),"",CompletionMonth="","",(DATEVALUE(INDEX(PlotData,MATCH($A525,PlotNumber,0),MATCH(N$3,PlotTitles,0))&amp;INDEX(PlotData,MATCH($A525,PlotNumber,0),MATCH(O$3,PlotTitles,0))))&gt;(DATEVALUE(CompletionMonth&amp;CompletionYear)),$AB$21,TRUE,"")</f>
        <v/>
      </c>
      <c r="S525" s="104" t="str" cm="1">
        <f t="array" ref="S525">_xlfn.IFS(AND(A525&gt;NumberOfPlots,ISBLANK(INDEX(PlotData,MATCH($A525,PlotNumber,0),MATCH(B$3,PlotTitles,0)))),"",OR(AND(INDEX(PlotData,MATCH($A525,PlotNumber,0),MATCH("Tenure",PlotTitles,0))="Open market housing",INDEX(PlotData,MATCH($A525,PlotNumber,0),MATCH("Tenure detail",PlotTitles,0))="Private rented sector"),INDEX(PlotData,MATCH($A525,PlotNumber,0),MATCH("Tenure",PlotTitles,0))="Affordable rent"),"",ISNUMBER(INDEX(PlotData,MATCH($A525,PlotNumber,0),MATCH(S$3,PlotTitles,0)))=FALSE, $AB$22,TRUE,"")</f>
        <v/>
      </c>
      <c r="T525" s="104" t="str" cm="1">
        <f t="array" ref="T525">_xlfn.IFS(AND(A525&gt;NumberOfPlots,ISBLANK(INDEX(PlotData,MATCH($A525,PlotNumber,0),MATCH(B$3,PlotTitles,0)))),"",OR(AND(INDEX(PlotData,MATCH($A525,PlotNumber,0),MATCH("Tenure",PlotTitles,0))="Open market housing",INDEX(PlotData,MATCH($A525,PlotNumber,0),MATCH("Tenure detail",PlotTitles,0))="Private rented sector"),INDEX(PlotData,MATCH($A525,PlotNumber,0),MATCH("Tenure",PlotTitles,0))="Affordable rent"),"",INDEX(PlotData,MATCH($A525,PlotNumber,0),MATCH(S$3,PlotTitles,0))&lt;10000, $AB$23,TRUE,"")</f>
        <v/>
      </c>
      <c r="U525" s="104" t="str" cm="1">
        <f t="array" ref="U525">_xlfn.IFS(AND(A525&gt;NumberOfPlots,ISBLANK(INDEX(PlotData,MATCH($A525,PlotNumber,0),MATCH(B$3,PlotTitles,0)))),"",NOT(OR(AND(INDEX(PlotData,MATCH($A525,PlotNumber,0),MATCH("Tenure",PlotTitles,0))="Open market housing",INDEX(PlotData,MATCH($A525,PlotNumber,0),MATCH("Tenure detail",PlotTitles,0))="Private rented sector"),INDEX(PlotData,MATCH($A525,PlotNumber,0),MATCH("Tenure",PlotTitles,0))="Affordable rent")),"",NOT(INDEX(PlotData,MATCH($A525,PlotNumber,0),MATCH(S$3,PlotTitles,0))=0), $AB$24,TRUE,"")</f>
        <v/>
      </c>
      <c r="V525" s="114" t="str" cm="1">
        <f t="array" aca="1" ref="V525" ca="1">_xlfn.IFS(ISBLANK(NumberOfPlots),"Enter the number of homes on the 1_SetUp sheet",AND(A525&gt;NumberOfPlots,ISBLANK(INDEX(PlotData,MATCH($A525,PlotNumber,0),MATCH(B$3,PlotTitles,0)))),"No error",NOT(B525=""),B525,NOT(C525=""),C525,NOT(D525=""),D525,NOT(E525=""),E525,NOT(F525=""),F525,NOT(G525=""),G525,NOT(H525=""),H525,NOT(I525=""),I525,NOT(J525=""),J525,NOT(K525=""),K525,NOT(L525=""),L525,NOT(M525=""),M525,NOT(N525=""),N525,NOT(O525=""),O525,NOT(P525=""),P525,NOT(Q525=""),Q525,NOT(R525=""),R525,NOT(S525=""),S525,NOT(T525=""),T525,NOT(U525=""),U525,TRUE,"No error")</f>
        <v>Enter the number of homes on the 1_SetUp sheet</v>
      </c>
      <c r="W525" s="114" t="str">
        <f t="shared" ca="1" si="26"/>
        <v xml:space="preserve">The Borrower has not addressed the following error messages for Home ID 521: </v>
      </c>
    </row>
    <row r="526" spans="1:23">
      <c r="A526" s="123">
        <v>522</v>
      </c>
      <c r="B526" s="104" t="str" cm="1">
        <f t="array" ref="B526">_xlfn.IFS(AND(A526&gt;NumberOfPlots,ISBLANK(INDEX(PlotData,MATCH($A526,PlotNumber,0),MATCH(B$3,PlotTitles,0)))),"",ISNUMBER(INDEX(PlotData,MATCH($A526,PlotNumber,0),MATCH(B$3,PlotTitles,0)))=FALSE, $AB$5,TRUE,"")</f>
        <v/>
      </c>
      <c r="C526" s="104" t="str" cm="1">
        <f t="array" ref="C526">_xlfn.IFS(AND(A526&gt;NumberOfPlots,ISBLANK(INDEX(PlotData,MATCH($A526,PlotNumber,0),MATCH(B$3,PlotTitles,0)))),"",ISBLANK(INDEX(PlotData,MATCH($A526,PlotNumber,0),MATCH(C$3,PlotTitles,0))),$AB$6,TRUE,"")</f>
        <v/>
      </c>
      <c r="D526" s="104" t="str" cm="1">
        <f t="array" ref="D526">_xlfn.IFS(AND(A526&gt;NumberOfPlots,ISBLANK(INDEX(PlotData,MATCH($A526,PlotNumber,0),MATCH(B$3,PlotTitles,0)))),"",ISBLANK(INDEX(PlotData,MATCH($A526,PlotNumber,0),MATCH(D$3,PlotTitles,0))),$AB$7,TRUE,"")</f>
        <v/>
      </c>
      <c r="E526" s="104" t="str" cm="1">
        <f t="array" ref="E526">_xlfn.IFS(AND(A526&gt;NumberOfPlots,ISBLANK(INDEX(PlotData,MATCH($A526,PlotNumber,0),MATCH(B$3,PlotTitles,0)))),"",ISBLANK(INDEX(PlotData,MATCH($A526,PlotNumber,0),MATCH(E$3,PlotTitles,0))),$AB$8,TRUE,"")</f>
        <v/>
      </c>
      <c r="F526" s="104" t="str" cm="1">
        <f t="array" ref="F526">_xlfn.IFS(AND(A526&gt;NumberOfPlots,ISBLANK(INDEX(PlotData,MATCH($A526,PlotNumber,0),MATCH(B$3,PlotTitles,0)))),"",ISBLANK(INDEX(PlotData,MATCH($A526,PlotNumber,0),MATCH(F$3,PlotTitles,0))),$AB$9,TRUE,"")</f>
        <v/>
      </c>
      <c r="G526" s="104" t="str" cm="1">
        <f t="array" ref="G526">_xlfn.IFS(AND(A526&gt;NumberOfPlots,ISBLANK(INDEX(PlotData,MATCH($A526,PlotNumber,0),MATCH(B$3,PlotTitles,0)))),"",ISBLANK(INDEX(PlotData,MATCH($A526,PlotNumber,0),MATCH(G$3,PlotTitles,0))),$AB$10,TRUE,"")</f>
        <v/>
      </c>
      <c r="H526" s="104" t="str" cm="1">
        <f t="array" ref="H526">_xlfn.IFS(AND(A526&gt;NumberOfPlots,ISBLANK(INDEX(PlotData,MATCH($A526,PlotNumber,0),MATCH(B$3,PlotTitles,0)))),"",AND(ISBLANK(INDEX(PlotData,MATCH($A526,PlotNumber,0),MATCH(H$3,PlotTitles,0)))=FALSE,INDEX(PlotData,MATCH($A526,PlotNumber,0),MATCH(H$3,PlotTitles,0))&lt;500), $AB$11,TRUE,"")</f>
        <v/>
      </c>
      <c r="I526" s="104" t="str" cm="1">
        <f t="array" ref="I526">_xlfn.IFS(AND(A526&gt;NumberOfPlots,ISBLANK(INDEX(PlotData,MATCH($A526,PlotNumber,0),MATCH(B$3,PlotTitles,0)))),"",ISBLANK(INDEX(PlotData,MATCH($A526,PlotNumber,0),MATCH(I$3,PlotTitles,0))),$AB$12,TRUE,"")</f>
        <v/>
      </c>
      <c r="J526" s="104" t="str" cm="1">
        <f t="array" ref="J526">_xlfn.IFS(AND(A526&gt;NumberOfPlots,ISBLANK(INDEX(PlotData,MATCH($A526,PlotNumber,0),MATCH(B$3,PlotTitles,0)))),"",ISBLANK(INDEX(PlotData,MATCH($A526,PlotNumber,0),MATCH(J$3,PlotTitles,0))),$AB$13,TRUE,"")</f>
        <v/>
      </c>
      <c r="K526" s="182" t="str">
        <f t="shared" ca="1" si="24"/>
        <v/>
      </c>
      <c r="L526" s="104" t="str" cm="1">
        <f t="array" ref="L526">_xlfn.IFS(OR(ISBLANK(StartDateMonth),ISBLANK(StartDateYear)),"",AND(A526&gt;NumberOfPlots,ISBLANK(INDEX(PlotData,MATCH($A526,PlotNumber,0),MATCH(B$3,PlotTitles,0)))),"",ISBLANK(INDEX(PlotData,MATCH($A526,PlotNumber,0),MATCH(I$3,PlotTitles,0))),"",(DATEVALUE(INDEX(PlotData,MATCH($A526,PlotNumber,0),MATCH(I$3,PlotTitles,0))&amp;INDEX(PlotData,MATCH($A526,PlotNumber,0),MATCH(J$3,PlotTitles,0))))&lt;DATEVALUE(StartDateMonth&amp;StartDateYear),$AB$15,TRUE,"")</f>
        <v/>
      </c>
      <c r="M526" s="104" t="str" cm="1">
        <f t="array" ref="M526">_xlfn.IFS(OR(ISBLANK(StartDateMonth),ISBLANK(StartDateYear)),"",AND(A526&gt;NumberOfPlots,ISBLANK(INDEX(PlotData,MATCH($A526,PlotNumber,0),MATCH(B$3,PlotTitles,0)))),"",ISBLANK(INDEX(PlotData,MATCH($A526,PlotNumber,0),MATCH(I$3,PlotTitles,0))),"",CompletionMonth="","",(DATEVALUE(INDEX(PlotData,MATCH($A526,PlotNumber,0),MATCH(I$3,PlotTitles,0))&amp;INDEX(PlotData,MATCH($A526,PlotNumber,0),MATCH(J$3,PlotTitles,0))))&gt;(DATEVALUE(CompletionMonth&amp;CompletionYear)),$AB$16,TRUE,"")</f>
        <v/>
      </c>
      <c r="N526" s="104" t="str" cm="1">
        <f t="array" ref="N526">_xlfn.IFS(AND(A526&gt;NumberOfPlots,ISBLANK(INDEX(PlotData,MATCH($A526,PlotNumber,0),MATCH(B$3,PlotTitles,0)))),"",ISBLANK(INDEX(PlotData,MATCH($A526,PlotNumber,0),MATCH(N$3,PlotTitles,0))),$AB$17,TRUE,"")</f>
        <v/>
      </c>
      <c r="O526" s="104" t="str" cm="1">
        <f t="array" ref="O526">_xlfn.IFS(AND(A526&gt;NumberOfPlots,ISBLANK(INDEX(PlotData,MATCH($A526,PlotNumber,0),MATCH(B$3,PlotTitles,0)))),"",ISBLANK(INDEX(PlotData,MATCH($A526,PlotNumber,0),MATCH(O$3,PlotTitles,0))),$AB$18,TRUE,"")</f>
        <v/>
      </c>
      <c r="P526" s="182" t="str">
        <f t="shared" ca="1" si="25"/>
        <v/>
      </c>
      <c r="Q526" s="104" t="str" cm="1">
        <f t="array" ref="Q526">_xlfn.IFS(AND(A526&gt;NumberOfPlots,ISBLANK(INDEX(PlotData,MATCH($A526,PlotNumber,0),MATCH(B$3,PlotTitles,0)))),"",ISBLANK(INDEX(PlotData,MATCH($A526,PlotNumber,0),MATCH(N$3,PlotTitles,0))),"",(DATEVALUE(INDEX(PlotData,MATCH($A526,PlotNumber,0),MATCH(N$3,PlotTitles,0))&amp;INDEX(PlotData,MATCH($A526,PlotNumber,0),MATCH(O$3,PlotTitles,0))))&lt;(DATEVALUE(INDEX(PlotData,MATCH($A526,PlotNumber,0),MATCH(I$3,PlotTitles,0))&amp;INDEX(PlotData,MATCH($A526,PlotNumber,0),MATCH(J$3,PlotTitles,0)))),$AB$20,TRUE,"")</f>
        <v/>
      </c>
      <c r="R526" s="104" t="str" cm="1">
        <f t="array" ref="R526">_xlfn.IFS(OR(ISBLANK(StartDateMonth),ISBLANK(StartDateYear)),"",AND(A526&gt;NumberOfPlots,ISBLANK(INDEX(PlotData,MATCH($A526,PlotNumber,0),MATCH(B$3,PlotTitles,0)))),"",ISBLANK(INDEX(PlotData,MATCH($A526,PlotNumber,0),MATCH(N$3,PlotTitles,0))),"",CompletionMonth="","",(DATEVALUE(INDEX(PlotData,MATCH($A526,PlotNumber,0),MATCH(N$3,PlotTitles,0))&amp;INDEX(PlotData,MATCH($A526,PlotNumber,0),MATCH(O$3,PlotTitles,0))))&gt;(DATEVALUE(CompletionMonth&amp;CompletionYear)),$AB$21,TRUE,"")</f>
        <v/>
      </c>
      <c r="S526" s="104" t="str" cm="1">
        <f t="array" ref="S526">_xlfn.IFS(AND(A526&gt;NumberOfPlots,ISBLANK(INDEX(PlotData,MATCH($A526,PlotNumber,0),MATCH(B$3,PlotTitles,0)))),"",OR(AND(INDEX(PlotData,MATCH($A526,PlotNumber,0),MATCH("Tenure",PlotTitles,0))="Open market housing",INDEX(PlotData,MATCH($A526,PlotNumber,0),MATCH("Tenure detail",PlotTitles,0))="Private rented sector"),INDEX(PlotData,MATCH($A526,PlotNumber,0),MATCH("Tenure",PlotTitles,0))="Affordable rent"),"",ISNUMBER(INDEX(PlotData,MATCH($A526,PlotNumber,0),MATCH(S$3,PlotTitles,0)))=FALSE, $AB$22,TRUE,"")</f>
        <v/>
      </c>
      <c r="T526" s="104" t="str" cm="1">
        <f t="array" ref="T526">_xlfn.IFS(AND(A526&gt;NumberOfPlots,ISBLANK(INDEX(PlotData,MATCH($A526,PlotNumber,0),MATCH(B$3,PlotTitles,0)))),"",OR(AND(INDEX(PlotData,MATCH($A526,PlotNumber,0),MATCH("Tenure",PlotTitles,0))="Open market housing",INDEX(PlotData,MATCH($A526,PlotNumber,0),MATCH("Tenure detail",PlotTitles,0))="Private rented sector"),INDEX(PlotData,MATCH($A526,PlotNumber,0),MATCH("Tenure",PlotTitles,0))="Affordable rent"),"",INDEX(PlotData,MATCH($A526,PlotNumber,0),MATCH(S$3,PlotTitles,0))&lt;10000, $AB$23,TRUE,"")</f>
        <v/>
      </c>
      <c r="U526" s="104" t="str" cm="1">
        <f t="array" ref="U526">_xlfn.IFS(AND(A526&gt;NumberOfPlots,ISBLANK(INDEX(PlotData,MATCH($A526,PlotNumber,0),MATCH(B$3,PlotTitles,0)))),"",NOT(OR(AND(INDEX(PlotData,MATCH($A526,PlotNumber,0),MATCH("Tenure",PlotTitles,0))="Open market housing",INDEX(PlotData,MATCH($A526,PlotNumber,0),MATCH("Tenure detail",PlotTitles,0))="Private rented sector"),INDEX(PlotData,MATCH($A526,PlotNumber,0),MATCH("Tenure",PlotTitles,0))="Affordable rent")),"",NOT(INDEX(PlotData,MATCH($A526,PlotNumber,0),MATCH(S$3,PlotTitles,0))=0), $AB$24,TRUE,"")</f>
        <v/>
      </c>
      <c r="V526" s="114" t="str" cm="1">
        <f t="array" aca="1" ref="V526" ca="1">_xlfn.IFS(ISBLANK(NumberOfPlots),"Enter the number of homes on the 1_SetUp sheet",AND(A526&gt;NumberOfPlots,ISBLANK(INDEX(PlotData,MATCH($A526,PlotNumber,0),MATCH(B$3,PlotTitles,0)))),"No error",NOT(B526=""),B526,NOT(C526=""),C526,NOT(D526=""),D526,NOT(E526=""),E526,NOT(F526=""),F526,NOT(G526=""),G526,NOT(H526=""),H526,NOT(I526=""),I526,NOT(J526=""),J526,NOT(K526=""),K526,NOT(L526=""),L526,NOT(M526=""),M526,NOT(N526=""),N526,NOT(O526=""),O526,NOT(P526=""),P526,NOT(Q526=""),Q526,NOT(R526=""),R526,NOT(S526=""),S526,NOT(T526=""),T526,NOT(U526=""),U526,TRUE,"No error")</f>
        <v>Enter the number of homes on the 1_SetUp sheet</v>
      </c>
      <c r="W526" s="114" t="str">
        <f t="shared" ca="1" si="26"/>
        <v xml:space="preserve">The Borrower has not addressed the following error messages for Home ID 522: </v>
      </c>
    </row>
    <row r="527" spans="1:23">
      <c r="A527" s="123">
        <v>523</v>
      </c>
      <c r="B527" s="104" t="str" cm="1">
        <f t="array" ref="B527">_xlfn.IFS(AND(A527&gt;NumberOfPlots,ISBLANK(INDEX(PlotData,MATCH($A527,PlotNumber,0),MATCH(B$3,PlotTitles,0)))),"",ISNUMBER(INDEX(PlotData,MATCH($A527,PlotNumber,0),MATCH(B$3,PlotTitles,0)))=FALSE, $AB$5,TRUE,"")</f>
        <v/>
      </c>
      <c r="C527" s="104" t="str" cm="1">
        <f t="array" ref="C527">_xlfn.IFS(AND(A527&gt;NumberOfPlots,ISBLANK(INDEX(PlotData,MATCH($A527,PlotNumber,0),MATCH(B$3,PlotTitles,0)))),"",ISBLANK(INDEX(PlotData,MATCH($A527,PlotNumber,0),MATCH(C$3,PlotTitles,0))),$AB$6,TRUE,"")</f>
        <v/>
      </c>
      <c r="D527" s="104" t="str" cm="1">
        <f t="array" ref="D527">_xlfn.IFS(AND(A527&gt;NumberOfPlots,ISBLANK(INDEX(PlotData,MATCH($A527,PlotNumber,0),MATCH(B$3,PlotTitles,0)))),"",ISBLANK(INDEX(PlotData,MATCH($A527,PlotNumber,0),MATCH(D$3,PlotTitles,0))),$AB$7,TRUE,"")</f>
        <v/>
      </c>
      <c r="E527" s="104" t="str" cm="1">
        <f t="array" ref="E527">_xlfn.IFS(AND(A527&gt;NumberOfPlots,ISBLANK(INDEX(PlotData,MATCH($A527,PlotNumber,0),MATCH(B$3,PlotTitles,0)))),"",ISBLANK(INDEX(PlotData,MATCH($A527,PlotNumber,0),MATCH(E$3,PlotTitles,0))),$AB$8,TRUE,"")</f>
        <v/>
      </c>
      <c r="F527" s="104" t="str" cm="1">
        <f t="array" ref="F527">_xlfn.IFS(AND(A527&gt;NumberOfPlots,ISBLANK(INDEX(PlotData,MATCH($A527,PlotNumber,0),MATCH(B$3,PlotTitles,0)))),"",ISBLANK(INDEX(PlotData,MATCH($A527,PlotNumber,0),MATCH(F$3,PlotTitles,0))),$AB$9,TRUE,"")</f>
        <v/>
      </c>
      <c r="G527" s="104" t="str" cm="1">
        <f t="array" ref="G527">_xlfn.IFS(AND(A527&gt;NumberOfPlots,ISBLANK(INDEX(PlotData,MATCH($A527,PlotNumber,0),MATCH(B$3,PlotTitles,0)))),"",ISBLANK(INDEX(PlotData,MATCH($A527,PlotNumber,0),MATCH(G$3,PlotTitles,0))),$AB$10,TRUE,"")</f>
        <v/>
      </c>
      <c r="H527" s="104" t="str" cm="1">
        <f t="array" ref="H527">_xlfn.IFS(AND(A527&gt;NumberOfPlots,ISBLANK(INDEX(PlotData,MATCH($A527,PlotNumber,0),MATCH(B$3,PlotTitles,0)))),"",AND(ISBLANK(INDEX(PlotData,MATCH($A527,PlotNumber,0),MATCH(H$3,PlotTitles,0)))=FALSE,INDEX(PlotData,MATCH($A527,PlotNumber,0),MATCH(H$3,PlotTitles,0))&lt;500), $AB$11,TRUE,"")</f>
        <v/>
      </c>
      <c r="I527" s="104" t="str" cm="1">
        <f t="array" ref="I527">_xlfn.IFS(AND(A527&gt;NumberOfPlots,ISBLANK(INDEX(PlotData,MATCH($A527,PlotNumber,0),MATCH(B$3,PlotTitles,0)))),"",ISBLANK(INDEX(PlotData,MATCH($A527,PlotNumber,0),MATCH(I$3,PlotTitles,0))),$AB$12,TRUE,"")</f>
        <v/>
      </c>
      <c r="J527" s="104" t="str" cm="1">
        <f t="array" ref="J527">_xlfn.IFS(AND(A527&gt;NumberOfPlots,ISBLANK(INDEX(PlotData,MATCH($A527,PlotNumber,0),MATCH(B$3,PlotTitles,0)))),"",ISBLANK(INDEX(PlotData,MATCH($A527,PlotNumber,0),MATCH(J$3,PlotTitles,0))),$AB$13,TRUE,"")</f>
        <v/>
      </c>
      <c r="K527" s="182" t="str">
        <f t="shared" ca="1" si="24"/>
        <v/>
      </c>
      <c r="L527" s="104" t="str" cm="1">
        <f t="array" ref="L527">_xlfn.IFS(OR(ISBLANK(StartDateMonth),ISBLANK(StartDateYear)),"",AND(A527&gt;NumberOfPlots,ISBLANK(INDEX(PlotData,MATCH($A527,PlotNumber,0),MATCH(B$3,PlotTitles,0)))),"",ISBLANK(INDEX(PlotData,MATCH($A527,PlotNumber,0),MATCH(I$3,PlotTitles,0))),"",(DATEVALUE(INDEX(PlotData,MATCH($A527,PlotNumber,0),MATCH(I$3,PlotTitles,0))&amp;INDEX(PlotData,MATCH($A527,PlotNumber,0),MATCH(J$3,PlotTitles,0))))&lt;DATEVALUE(StartDateMonth&amp;StartDateYear),$AB$15,TRUE,"")</f>
        <v/>
      </c>
      <c r="M527" s="104" t="str" cm="1">
        <f t="array" ref="M527">_xlfn.IFS(OR(ISBLANK(StartDateMonth),ISBLANK(StartDateYear)),"",AND(A527&gt;NumberOfPlots,ISBLANK(INDEX(PlotData,MATCH($A527,PlotNumber,0),MATCH(B$3,PlotTitles,0)))),"",ISBLANK(INDEX(PlotData,MATCH($A527,PlotNumber,0),MATCH(I$3,PlotTitles,0))),"",CompletionMonth="","",(DATEVALUE(INDEX(PlotData,MATCH($A527,PlotNumber,0),MATCH(I$3,PlotTitles,0))&amp;INDEX(PlotData,MATCH($A527,PlotNumber,0),MATCH(J$3,PlotTitles,0))))&gt;(DATEVALUE(CompletionMonth&amp;CompletionYear)),$AB$16,TRUE,"")</f>
        <v/>
      </c>
      <c r="N527" s="104" t="str" cm="1">
        <f t="array" ref="N527">_xlfn.IFS(AND(A527&gt;NumberOfPlots,ISBLANK(INDEX(PlotData,MATCH($A527,PlotNumber,0),MATCH(B$3,PlotTitles,0)))),"",ISBLANK(INDEX(PlotData,MATCH($A527,PlotNumber,0),MATCH(N$3,PlotTitles,0))),$AB$17,TRUE,"")</f>
        <v/>
      </c>
      <c r="O527" s="104" t="str" cm="1">
        <f t="array" ref="O527">_xlfn.IFS(AND(A527&gt;NumberOfPlots,ISBLANK(INDEX(PlotData,MATCH($A527,PlotNumber,0),MATCH(B$3,PlotTitles,0)))),"",ISBLANK(INDEX(PlotData,MATCH($A527,PlotNumber,0),MATCH(O$3,PlotTitles,0))),$AB$18,TRUE,"")</f>
        <v/>
      </c>
      <c r="P527" s="182" t="str">
        <f t="shared" ca="1" si="25"/>
        <v/>
      </c>
      <c r="Q527" s="104" t="str" cm="1">
        <f t="array" ref="Q527">_xlfn.IFS(AND(A527&gt;NumberOfPlots,ISBLANK(INDEX(PlotData,MATCH($A527,PlotNumber,0),MATCH(B$3,PlotTitles,0)))),"",ISBLANK(INDEX(PlotData,MATCH($A527,PlotNumber,0),MATCH(N$3,PlotTitles,0))),"",(DATEVALUE(INDEX(PlotData,MATCH($A527,PlotNumber,0),MATCH(N$3,PlotTitles,0))&amp;INDEX(PlotData,MATCH($A527,PlotNumber,0),MATCH(O$3,PlotTitles,0))))&lt;(DATEVALUE(INDEX(PlotData,MATCH($A527,PlotNumber,0),MATCH(I$3,PlotTitles,0))&amp;INDEX(PlotData,MATCH($A527,PlotNumber,0),MATCH(J$3,PlotTitles,0)))),$AB$20,TRUE,"")</f>
        <v/>
      </c>
      <c r="R527" s="104" t="str" cm="1">
        <f t="array" ref="R527">_xlfn.IFS(OR(ISBLANK(StartDateMonth),ISBLANK(StartDateYear)),"",AND(A527&gt;NumberOfPlots,ISBLANK(INDEX(PlotData,MATCH($A527,PlotNumber,0),MATCH(B$3,PlotTitles,0)))),"",ISBLANK(INDEX(PlotData,MATCH($A527,PlotNumber,0),MATCH(N$3,PlotTitles,0))),"",CompletionMonth="","",(DATEVALUE(INDEX(PlotData,MATCH($A527,PlotNumber,0),MATCH(N$3,PlotTitles,0))&amp;INDEX(PlotData,MATCH($A527,PlotNumber,0),MATCH(O$3,PlotTitles,0))))&gt;(DATEVALUE(CompletionMonth&amp;CompletionYear)),$AB$21,TRUE,"")</f>
        <v/>
      </c>
      <c r="S527" s="104" t="str" cm="1">
        <f t="array" ref="S527">_xlfn.IFS(AND(A527&gt;NumberOfPlots,ISBLANK(INDEX(PlotData,MATCH($A527,PlotNumber,0),MATCH(B$3,PlotTitles,0)))),"",OR(AND(INDEX(PlotData,MATCH($A527,PlotNumber,0),MATCH("Tenure",PlotTitles,0))="Open market housing",INDEX(PlotData,MATCH($A527,PlotNumber,0),MATCH("Tenure detail",PlotTitles,0))="Private rented sector"),INDEX(PlotData,MATCH($A527,PlotNumber,0),MATCH("Tenure",PlotTitles,0))="Affordable rent"),"",ISNUMBER(INDEX(PlotData,MATCH($A527,PlotNumber,0),MATCH(S$3,PlotTitles,0)))=FALSE, $AB$22,TRUE,"")</f>
        <v/>
      </c>
      <c r="T527" s="104" t="str" cm="1">
        <f t="array" ref="T527">_xlfn.IFS(AND(A527&gt;NumberOfPlots,ISBLANK(INDEX(PlotData,MATCH($A527,PlotNumber,0),MATCH(B$3,PlotTitles,0)))),"",OR(AND(INDEX(PlotData,MATCH($A527,PlotNumber,0),MATCH("Tenure",PlotTitles,0))="Open market housing",INDEX(PlotData,MATCH($A527,PlotNumber,0),MATCH("Tenure detail",PlotTitles,0))="Private rented sector"),INDEX(PlotData,MATCH($A527,PlotNumber,0),MATCH("Tenure",PlotTitles,0))="Affordable rent"),"",INDEX(PlotData,MATCH($A527,PlotNumber,0),MATCH(S$3,PlotTitles,0))&lt;10000, $AB$23,TRUE,"")</f>
        <v/>
      </c>
      <c r="U527" s="104" t="str" cm="1">
        <f t="array" ref="U527">_xlfn.IFS(AND(A527&gt;NumberOfPlots,ISBLANK(INDEX(PlotData,MATCH($A527,PlotNumber,0),MATCH(B$3,PlotTitles,0)))),"",NOT(OR(AND(INDEX(PlotData,MATCH($A527,PlotNumber,0),MATCH("Tenure",PlotTitles,0))="Open market housing",INDEX(PlotData,MATCH($A527,PlotNumber,0),MATCH("Tenure detail",PlotTitles,0))="Private rented sector"),INDEX(PlotData,MATCH($A527,PlotNumber,0),MATCH("Tenure",PlotTitles,0))="Affordable rent")),"",NOT(INDEX(PlotData,MATCH($A527,PlotNumber,0),MATCH(S$3,PlotTitles,0))=0), $AB$24,TRUE,"")</f>
        <v/>
      </c>
      <c r="V527" s="114" t="str" cm="1">
        <f t="array" aca="1" ref="V527" ca="1">_xlfn.IFS(ISBLANK(NumberOfPlots),"Enter the number of homes on the 1_SetUp sheet",AND(A527&gt;NumberOfPlots,ISBLANK(INDEX(PlotData,MATCH($A527,PlotNumber,0),MATCH(B$3,PlotTitles,0)))),"No error",NOT(B527=""),B527,NOT(C527=""),C527,NOT(D527=""),D527,NOT(E527=""),E527,NOT(F527=""),F527,NOT(G527=""),G527,NOT(H527=""),H527,NOT(I527=""),I527,NOT(J527=""),J527,NOT(K527=""),K527,NOT(L527=""),L527,NOT(M527=""),M527,NOT(N527=""),N527,NOT(O527=""),O527,NOT(P527=""),P527,NOT(Q527=""),Q527,NOT(R527=""),R527,NOT(S527=""),S527,NOT(T527=""),T527,NOT(U527=""),U527,TRUE,"No error")</f>
        <v>Enter the number of homes on the 1_SetUp sheet</v>
      </c>
      <c r="W527" s="114" t="str">
        <f t="shared" ca="1" si="26"/>
        <v xml:space="preserve">The Borrower has not addressed the following error messages for Home ID 523: </v>
      </c>
    </row>
    <row r="528" spans="1:23">
      <c r="A528" s="123">
        <v>524</v>
      </c>
      <c r="B528" s="104" t="str" cm="1">
        <f t="array" ref="B528">_xlfn.IFS(AND(A528&gt;NumberOfPlots,ISBLANK(INDEX(PlotData,MATCH($A528,PlotNumber,0),MATCH(B$3,PlotTitles,0)))),"",ISNUMBER(INDEX(PlotData,MATCH($A528,PlotNumber,0),MATCH(B$3,PlotTitles,0)))=FALSE, $AB$5,TRUE,"")</f>
        <v/>
      </c>
      <c r="C528" s="104" t="str" cm="1">
        <f t="array" ref="C528">_xlfn.IFS(AND(A528&gt;NumberOfPlots,ISBLANK(INDEX(PlotData,MATCH($A528,PlotNumber,0),MATCH(B$3,PlotTitles,0)))),"",ISBLANK(INDEX(PlotData,MATCH($A528,PlotNumber,0),MATCH(C$3,PlotTitles,0))),$AB$6,TRUE,"")</f>
        <v/>
      </c>
      <c r="D528" s="104" t="str" cm="1">
        <f t="array" ref="D528">_xlfn.IFS(AND(A528&gt;NumberOfPlots,ISBLANK(INDEX(PlotData,MATCH($A528,PlotNumber,0),MATCH(B$3,PlotTitles,0)))),"",ISBLANK(INDEX(PlotData,MATCH($A528,PlotNumber,0),MATCH(D$3,PlotTitles,0))),$AB$7,TRUE,"")</f>
        <v/>
      </c>
      <c r="E528" s="104" t="str" cm="1">
        <f t="array" ref="E528">_xlfn.IFS(AND(A528&gt;NumberOfPlots,ISBLANK(INDEX(PlotData,MATCH($A528,PlotNumber,0),MATCH(B$3,PlotTitles,0)))),"",ISBLANK(INDEX(PlotData,MATCH($A528,PlotNumber,0),MATCH(E$3,PlotTitles,0))),$AB$8,TRUE,"")</f>
        <v/>
      </c>
      <c r="F528" s="104" t="str" cm="1">
        <f t="array" ref="F528">_xlfn.IFS(AND(A528&gt;NumberOfPlots,ISBLANK(INDEX(PlotData,MATCH($A528,PlotNumber,0),MATCH(B$3,PlotTitles,0)))),"",ISBLANK(INDEX(PlotData,MATCH($A528,PlotNumber,0),MATCH(F$3,PlotTitles,0))),$AB$9,TRUE,"")</f>
        <v/>
      </c>
      <c r="G528" s="104" t="str" cm="1">
        <f t="array" ref="G528">_xlfn.IFS(AND(A528&gt;NumberOfPlots,ISBLANK(INDEX(PlotData,MATCH($A528,PlotNumber,0),MATCH(B$3,PlotTitles,0)))),"",ISBLANK(INDEX(PlotData,MATCH($A528,PlotNumber,0),MATCH(G$3,PlotTitles,0))),$AB$10,TRUE,"")</f>
        <v/>
      </c>
      <c r="H528" s="104" t="str" cm="1">
        <f t="array" ref="H528">_xlfn.IFS(AND(A528&gt;NumberOfPlots,ISBLANK(INDEX(PlotData,MATCH($A528,PlotNumber,0),MATCH(B$3,PlotTitles,0)))),"",AND(ISBLANK(INDEX(PlotData,MATCH($A528,PlotNumber,0),MATCH(H$3,PlotTitles,0)))=FALSE,INDEX(PlotData,MATCH($A528,PlotNumber,0),MATCH(H$3,PlotTitles,0))&lt;500), $AB$11,TRUE,"")</f>
        <v/>
      </c>
      <c r="I528" s="104" t="str" cm="1">
        <f t="array" ref="I528">_xlfn.IFS(AND(A528&gt;NumberOfPlots,ISBLANK(INDEX(PlotData,MATCH($A528,PlotNumber,0),MATCH(B$3,PlotTitles,0)))),"",ISBLANK(INDEX(PlotData,MATCH($A528,PlotNumber,0),MATCH(I$3,PlotTitles,0))),$AB$12,TRUE,"")</f>
        <v/>
      </c>
      <c r="J528" s="104" t="str" cm="1">
        <f t="array" ref="J528">_xlfn.IFS(AND(A528&gt;NumberOfPlots,ISBLANK(INDEX(PlotData,MATCH($A528,PlotNumber,0),MATCH(B$3,PlotTitles,0)))),"",ISBLANK(INDEX(PlotData,MATCH($A528,PlotNumber,0),MATCH(J$3,PlotTitles,0))),$AB$13,TRUE,"")</f>
        <v/>
      </c>
      <c r="K528" s="182" t="str">
        <f t="shared" ca="1" si="24"/>
        <v/>
      </c>
      <c r="L528" s="104" t="str" cm="1">
        <f t="array" ref="L528">_xlfn.IFS(OR(ISBLANK(StartDateMonth),ISBLANK(StartDateYear)),"",AND(A528&gt;NumberOfPlots,ISBLANK(INDEX(PlotData,MATCH($A528,PlotNumber,0),MATCH(B$3,PlotTitles,0)))),"",ISBLANK(INDEX(PlotData,MATCH($A528,PlotNumber,0),MATCH(I$3,PlotTitles,0))),"",(DATEVALUE(INDEX(PlotData,MATCH($A528,PlotNumber,0),MATCH(I$3,PlotTitles,0))&amp;INDEX(PlotData,MATCH($A528,PlotNumber,0),MATCH(J$3,PlotTitles,0))))&lt;DATEVALUE(StartDateMonth&amp;StartDateYear),$AB$15,TRUE,"")</f>
        <v/>
      </c>
      <c r="M528" s="104" t="str" cm="1">
        <f t="array" ref="M528">_xlfn.IFS(OR(ISBLANK(StartDateMonth),ISBLANK(StartDateYear)),"",AND(A528&gt;NumberOfPlots,ISBLANK(INDEX(PlotData,MATCH($A528,PlotNumber,0),MATCH(B$3,PlotTitles,0)))),"",ISBLANK(INDEX(PlotData,MATCH($A528,PlotNumber,0),MATCH(I$3,PlotTitles,0))),"",CompletionMonth="","",(DATEVALUE(INDEX(PlotData,MATCH($A528,PlotNumber,0),MATCH(I$3,PlotTitles,0))&amp;INDEX(PlotData,MATCH($A528,PlotNumber,0),MATCH(J$3,PlotTitles,0))))&gt;(DATEVALUE(CompletionMonth&amp;CompletionYear)),$AB$16,TRUE,"")</f>
        <v/>
      </c>
      <c r="N528" s="104" t="str" cm="1">
        <f t="array" ref="N528">_xlfn.IFS(AND(A528&gt;NumberOfPlots,ISBLANK(INDEX(PlotData,MATCH($A528,PlotNumber,0),MATCH(B$3,PlotTitles,0)))),"",ISBLANK(INDEX(PlotData,MATCH($A528,PlotNumber,0),MATCH(N$3,PlotTitles,0))),$AB$17,TRUE,"")</f>
        <v/>
      </c>
      <c r="O528" s="104" t="str" cm="1">
        <f t="array" ref="O528">_xlfn.IFS(AND(A528&gt;NumberOfPlots,ISBLANK(INDEX(PlotData,MATCH($A528,PlotNumber,0),MATCH(B$3,PlotTitles,0)))),"",ISBLANK(INDEX(PlotData,MATCH($A528,PlotNumber,0),MATCH(O$3,PlotTitles,0))),$AB$18,TRUE,"")</f>
        <v/>
      </c>
      <c r="P528" s="182" t="str">
        <f t="shared" ca="1" si="25"/>
        <v/>
      </c>
      <c r="Q528" s="104" t="str" cm="1">
        <f t="array" ref="Q528">_xlfn.IFS(AND(A528&gt;NumberOfPlots,ISBLANK(INDEX(PlotData,MATCH($A528,PlotNumber,0),MATCH(B$3,PlotTitles,0)))),"",ISBLANK(INDEX(PlotData,MATCH($A528,PlotNumber,0),MATCH(N$3,PlotTitles,0))),"",(DATEVALUE(INDEX(PlotData,MATCH($A528,PlotNumber,0),MATCH(N$3,PlotTitles,0))&amp;INDEX(PlotData,MATCH($A528,PlotNumber,0),MATCH(O$3,PlotTitles,0))))&lt;(DATEVALUE(INDEX(PlotData,MATCH($A528,PlotNumber,0),MATCH(I$3,PlotTitles,0))&amp;INDEX(PlotData,MATCH($A528,PlotNumber,0),MATCH(J$3,PlotTitles,0)))),$AB$20,TRUE,"")</f>
        <v/>
      </c>
      <c r="R528" s="104" t="str" cm="1">
        <f t="array" ref="R528">_xlfn.IFS(OR(ISBLANK(StartDateMonth),ISBLANK(StartDateYear)),"",AND(A528&gt;NumberOfPlots,ISBLANK(INDEX(PlotData,MATCH($A528,PlotNumber,0),MATCH(B$3,PlotTitles,0)))),"",ISBLANK(INDEX(PlotData,MATCH($A528,PlotNumber,0),MATCH(N$3,PlotTitles,0))),"",CompletionMonth="","",(DATEVALUE(INDEX(PlotData,MATCH($A528,PlotNumber,0),MATCH(N$3,PlotTitles,0))&amp;INDEX(PlotData,MATCH($A528,PlotNumber,0),MATCH(O$3,PlotTitles,0))))&gt;(DATEVALUE(CompletionMonth&amp;CompletionYear)),$AB$21,TRUE,"")</f>
        <v/>
      </c>
      <c r="S528" s="104" t="str" cm="1">
        <f t="array" ref="S528">_xlfn.IFS(AND(A528&gt;NumberOfPlots,ISBLANK(INDEX(PlotData,MATCH($A528,PlotNumber,0),MATCH(B$3,PlotTitles,0)))),"",OR(AND(INDEX(PlotData,MATCH($A528,PlotNumber,0),MATCH("Tenure",PlotTitles,0))="Open market housing",INDEX(PlotData,MATCH($A528,PlotNumber,0),MATCH("Tenure detail",PlotTitles,0))="Private rented sector"),INDEX(PlotData,MATCH($A528,PlotNumber,0),MATCH("Tenure",PlotTitles,0))="Affordable rent"),"",ISNUMBER(INDEX(PlotData,MATCH($A528,PlotNumber,0),MATCH(S$3,PlotTitles,0)))=FALSE, $AB$22,TRUE,"")</f>
        <v/>
      </c>
      <c r="T528" s="104" t="str" cm="1">
        <f t="array" ref="T528">_xlfn.IFS(AND(A528&gt;NumberOfPlots,ISBLANK(INDEX(PlotData,MATCH($A528,PlotNumber,0),MATCH(B$3,PlotTitles,0)))),"",OR(AND(INDEX(PlotData,MATCH($A528,PlotNumber,0),MATCH("Tenure",PlotTitles,0))="Open market housing",INDEX(PlotData,MATCH($A528,PlotNumber,0),MATCH("Tenure detail",PlotTitles,0))="Private rented sector"),INDEX(PlotData,MATCH($A528,PlotNumber,0),MATCH("Tenure",PlotTitles,0))="Affordable rent"),"",INDEX(PlotData,MATCH($A528,PlotNumber,0),MATCH(S$3,PlotTitles,0))&lt;10000, $AB$23,TRUE,"")</f>
        <v/>
      </c>
      <c r="U528" s="104" t="str" cm="1">
        <f t="array" ref="U528">_xlfn.IFS(AND(A528&gt;NumberOfPlots,ISBLANK(INDEX(PlotData,MATCH($A528,PlotNumber,0),MATCH(B$3,PlotTitles,0)))),"",NOT(OR(AND(INDEX(PlotData,MATCH($A528,PlotNumber,0),MATCH("Tenure",PlotTitles,0))="Open market housing",INDEX(PlotData,MATCH($A528,PlotNumber,0),MATCH("Tenure detail",PlotTitles,0))="Private rented sector"),INDEX(PlotData,MATCH($A528,PlotNumber,0),MATCH("Tenure",PlotTitles,0))="Affordable rent")),"",NOT(INDEX(PlotData,MATCH($A528,PlotNumber,0),MATCH(S$3,PlotTitles,0))=0), $AB$24,TRUE,"")</f>
        <v/>
      </c>
      <c r="V528" s="114" t="str" cm="1">
        <f t="array" aca="1" ref="V528" ca="1">_xlfn.IFS(ISBLANK(NumberOfPlots),"Enter the number of homes on the 1_SetUp sheet",AND(A528&gt;NumberOfPlots,ISBLANK(INDEX(PlotData,MATCH($A528,PlotNumber,0),MATCH(B$3,PlotTitles,0)))),"No error",NOT(B528=""),B528,NOT(C528=""),C528,NOT(D528=""),D528,NOT(E528=""),E528,NOT(F528=""),F528,NOT(G528=""),G528,NOT(H528=""),H528,NOT(I528=""),I528,NOT(J528=""),J528,NOT(K528=""),K528,NOT(L528=""),L528,NOT(M528=""),M528,NOT(N528=""),N528,NOT(O528=""),O528,NOT(P528=""),P528,NOT(Q528=""),Q528,NOT(R528=""),R528,NOT(S528=""),S528,NOT(T528=""),T528,NOT(U528=""),U528,TRUE,"No error")</f>
        <v>Enter the number of homes on the 1_SetUp sheet</v>
      </c>
      <c r="W528" s="114" t="str">
        <f t="shared" ca="1" si="26"/>
        <v xml:space="preserve">The Borrower has not addressed the following error messages for Home ID 524: </v>
      </c>
    </row>
    <row r="529" spans="1:23">
      <c r="A529" s="123">
        <v>525</v>
      </c>
      <c r="B529" s="104" t="str" cm="1">
        <f t="array" ref="B529">_xlfn.IFS(AND(A529&gt;NumberOfPlots,ISBLANK(INDEX(PlotData,MATCH($A529,PlotNumber,0),MATCH(B$3,PlotTitles,0)))),"",ISNUMBER(INDEX(PlotData,MATCH($A529,PlotNumber,0),MATCH(B$3,PlotTitles,0)))=FALSE, $AB$5,TRUE,"")</f>
        <v/>
      </c>
      <c r="C529" s="104" t="str" cm="1">
        <f t="array" ref="C529">_xlfn.IFS(AND(A529&gt;NumberOfPlots,ISBLANK(INDEX(PlotData,MATCH($A529,PlotNumber,0),MATCH(B$3,PlotTitles,0)))),"",ISBLANK(INDEX(PlotData,MATCH($A529,PlotNumber,0),MATCH(C$3,PlotTitles,0))),$AB$6,TRUE,"")</f>
        <v/>
      </c>
      <c r="D529" s="104" t="str" cm="1">
        <f t="array" ref="D529">_xlfn.IFS(AND(A529&gt;NumberOfPlots,ISBLANK(INDEX(PlotData,MATCH($A529,PlotNumber,0),MATCH(B$3,PlotTitles,0)))),"",ISBLANK(INDEX(PlotData,MATCH($A529,PlotNumber,0),MATCH(D$3,PlotTitles,0))),$AB$7,TRUE,"")</f>
        <v/>
      </c>
      <c r="E529" s="104" t="str" cm="1">
        <f t="array" ref="E529">_xlfn.IFS(AND(A529&gt;NumberOfPlots,ISBLANK(INDEX(PlotData,MATCH($A529,PlotNumber,0),MATCH(B$3,PlotTitles,0)))),"",ISBLANK(INDEX(PlotData,MATCH($A529,PlotNumber,0),MATCH(E$3,PlotTitles,0))),$AB$8,TRUE,"")</f>
        <v/>
      </c>
      <c r="F529" s="104" t="str" cm="1">
        <f t="array" ref="F529">_xlfn.IFS(AND(A529&gt;NumberOfPlots,ISBLANK(INDEX(PlotData,MATCH($A529,PlotNumber,0),MATCH(B$3,PlotTitles,0)))),"",ISBLANK(INDEX(PlotData,MATCH($A529,PlotNumber,0),MATCH(F$3,PlotTitles,0))),$AB$9,TRUE,"")</f>
        <v/>
      </c>
      <c r="G529" s="104" t="str" cm="1">
        <f t="array" ref="G529">_xlfn.IFS(AND(A529&gt;NumberOfPlots,ISBLANK(INDEX(PlotData,MATCH($A529,PlotNumber,0),MATCH(B$3,PlotTitles,0)))),"",ISBLANK(INDEX(PlotData,MATCH($A529,PlotNumber,0),MATCH(G$3,PlotTitles,0))),$AB$10,TRUE,"")</f>
        <v/>
      </c>
      <c r="H529" s="104" t="str" cm="1">
        <f t="array" ref="H529">_xlfn.IFS(AND(A529&gt;NumberOfPlots,ISBLANK(INDEX(PlotData,MATCH($A529,PlotNumber,0),MATCH(B$3,PlotTitles,0)))),"",AND(ISBLANK(INDEX(PlotData,MATCH($A529,PlotNumber,0),MATCH(H$3,PlotTitles,0)))=FALSE,INDEX(PlotData,MATCH($A529,PlotNumber,0),MATCH(H$3,PlotTitles,0))&lt;500), $AB$11,TRUE,"")</f>
        <v/>
      </c>
      <c r="I529" s="104" t="str" cm="1">
        <f t="array" ref="I529">_xlfn.IFS(AND(A529&gt;NumberOfPlots,ISBLANK(INDEX(PlotData,MATCH($A529,PlotNumber,0),MATCH(B$3,PlotTitles,0)))),"",ISBLANK(INDEX(PlotData,MATCH($A529,PlotNumber,0),MATCH(I$3,PlotTitles,0))),$AB$12,TRUE,"")</f>
        <v/>
      </c>
      <c r="J529" s="104" t="str" cm="1">
        <f t="array" ref="J529">_xlfn.IFS(AND(A529&gt;NumberOfPlots,ISBLANK(INDEX(PlotData,MATCH($A529,PlotNumber,0),MATCH(B$3,PlotTitles,0)))),"",ISBLANK(INDEX(PlotData,MATCH($A529,PlotNumber,0),MATCH(J$3,PlotTitles,0))),$AB$13,TRUE,"")</f>
        <v/>
      </c>
      <c r="K529" s="182" t="str">
        <f t="shared" ca="1" si="24"/>
        <v/>
      </c>
      <c r="L529" s="104" t="str" cm="1">
        <f t="array" ref="L529">_xlfn.IFS(OR(ISBLANK(StartDateMonth),ISBLANK(StartDateYear)),"",AND(A529&gt;NumberOfPlots,ISBLANK(INDEX(PlotData,MATCH($A529,PlotNumber,0),MATCH(B$3,PlotTitles,0)))),"",ISBLANK(INDEX(PlotData,MATCH($A529,PlotNumber,0),MATCH(I$3,PlotTitles,0))),"",(DATEVALUE(INDEX(PlotData,MATCH($A529,PlotNumber,0),MATCH(I$3,PlotTitles,0))&amp;INDEX(PlotData,MATCH($A529,PlotNumber,0),MATCH(J$3,PlotTitles,0))))&lt;DATEVALUE(StartDateMonth&amp;StartDateYear),$AB$15,TRUE,"")</f>
        <v/>
      </c>
      <c r="M529" s="104" t="str" cm="1">
        <f t="array" ref="M529">_xlfn.IFS(OR(ISBLANK(StartDateMonth),ISBLANK(StartDateYear)),"",AND(A529&gt;NumberOfPlots,ISBLANK(INDEX(PlotData,MATCH($A529,PlotNumber,0),MATCH(B$3,PlotTitles,0)))),"",ISBLANK(INDEX(PlotData,MATCH($A529,PlotNumber,0),MATCH(I$3,PlotTitles,0))),"",CompletionMonth="","",(DATEVALUE(INDEX(PlotData,MATCH($A529,PlotNumber,0),MATCH(I$3,PlotTitles,0))&amp;INDEX(PlotData,MATCH($A529,PlotNumber,0),MATCH(J$3,PlotTitles,0))))&gt;(DATEVALUE(CompletionMonth&amp;CompletionYear)),$AB$16,TRUE,"")</f>
        <v/>
      </c>
      <c r="N529" s="104" t="str" cm="1">
        <f t="array" ref="N529">_xlfn.IFS(AND(A529&gt;NumberOfPlots,ISBLANK(INDEX(PlotData,MATCH($A529,PlotNumber,0),MATCH(B$3,PlotTitles,0)))),"",ISBLANK(INDEX(PlotData,MATCH($A529,PlotNumber,0),MATCH(N$3,PlotTitles,0))),$AB$17,TRUE,"")</f>
        <v/>
      </c>
      <c r="O529" s="104" t="str" cm="1">
        <f t="array" ref="O529">_xlfn.IFS(AND(A529&gt;NumberOfPlots,ISBLANK(INDEX(PlotData,MATCH($A529,PlotNumber,0),MATCH(B$3,PlotTitles,0)))),"",ISBLANK(INDEX(PlotData,MATCH($A529,PlotNumber,0),MATCH(O$3,PlotTitles,0))),$AB$18,TRUE,"")</f>
        <v/>
      </c>
      <c r="P529" s="182" t="str">
        <f t="shared" ca="1" si="25"/>
        <v/>
      </c>
      <c r="Q529" s="104" t="str" cm="1">
        <f t="array" ref="Q529">_xlfn.IFS(AND(A529&gt;NumberOfPlots,ISBLANK(INDEX(PlotData,MATCH($A529,PlotNumber,0),MATCH(B$3,PlotTitles,0)))),"",ISBLANK(INDEX(PlotData,MATCH($A529,PlotNumber,0),MATCH(N$3,PlotTitles,0))),"",(DATEVALUE(INDEX(PlotData,MATCH($A529,PlotNumber,0),MATCH(N$3,PlotTitles,0))&amp;INDEX(PlotData,MATCH($A529,PlotNumber,0),MATCH(O$3,PlotTitles,0))))&lt;(DATEVALUE(INDEX(PlotData,MATCH($A529,PlotNumber,0),MATCH(I$3,PlotTitles,0))&amp;INDEX(PlotData,MATCH($A529,PlotNumber,0),MATCH(J$3,PlotTitles,0)))),$AB$20,TRUE,"")</f>
        <v/>
      </c>
      <c r="R529" s="104" t="str" cm="1">
        <f t="array" ref="R529">_xlfn.IFS(OR(ISBLANK(StartDateMonth),ISBLANK(StartDateYear)),"",AND(A529&gt;NumberOfPlots,ISBLANK(INDEX(PlotData,MATCH($A529,PlotNumber,0),MATCH(B$3,PlotTitles,0)))),"",ISBLANK(INDEX(PlotData,MATCH($A529,PlotNumber,0),MATCH(N$3,PlotTitles,0))),"",CompletionMonth="","",(DATEVALUE(INDEX(PlotData,MATCH($A529,PlotNumber,0),MATCH(N$3,PlotTitles,0))&amp;INDEX(PlotData,MATCH($A529,PlotNumber,0),MATCH(O$3,PlotTitles,0))))&gt;(DATEVALUE(CompletionMonth&amp;CompletionYear)),$AB$21,TRUE,"")</f>
        <v/>
      </c>
      <c r="S529" s="104" t="str" cm="1">
        <f t="array" ref="S529">_xlfn.IFS(AND(A529&gt;NumberOfPlots,ISBLANK(INDEX(PlotData,MATCH($A529,PlotNumber,0),MATCH(B$3,PlotTitles,0)))),"",OR(AND(INDEX(PlotData,MATCH($A529,PlotNumber,0),MATCH("Tenure",PlotTitles,0))="Open market housing",INDEX(PlotData,MATCH($A529,PlotNumber,0),MATCH("Tenure detail",PlotTitles,0))="Private rented sector"),INDEX(PlotData,MATCH($A529,PlotNumber,0),MATCH("Tenure",PlotTitles,0))="Affordable rent"),"",ISNUMBER(INDEX(PlotData,MATCH($A529,PlotNumber,0),MATCH(S$3,PlotTitles,0)))=FALSE, $AB$22,TRUE,"")</f>
        <v/>
      </c>
      <c r="T529" s="104" t="str" cm="1">
        <f t="array" ref="T529">_xlfn.IFS(AND(A529&gt;NumberOfPlots,ISBLANK(INDEX(PlotData,MATCH($A529,PlotNumber,0),MATCH(B$3,PlotTitles,0)))),"",OR(AND(INDEX(PlotData,MATCH($A529,PlotNumber,0),MATCH("Tenure",PlotTitles,0))="Open market housing",INDEX(PlotData,MATCH($A529,PlotNumber,0),MATCH("Tenure detail",PlotTitles,0))="Private rented sector"),INDEX(PlotData,MATCH($A529,PlotNumber,0),MATCH("Tenure",PlotTitles,0))="Affordable rent"),"",INDEX(PlotData,MATCH($A529,PlotNumber,0),MATCH(S$3,PlotTitles,0))&lt;10000, $AB$23,TRUE,"")</f>
        <v/>
      </c>
      <c r="U529" s="104" t="str" cm="1">
        <f t="array" ref="U529">_xlfn.IFS(AND(A529&gt;NumberOfPlots,ISBLANK(INDEX(PlotData,MATCH($A529,PlotNumber,0),MATCH(B$3,PlotTitles,0)))),"",NOT(OR(AND(INDEX(PlotData,MATCH($A529,PlotNumber,0),MATCH("Tenure",PlotTitles,0))="Open market housing",INDEX(PlotData,MATCH($A529,PlotNumber,0),MATCH("Tenure detail",PlotTitles,0))="Private rented sector"),INDEX(PlotData,MATCH($A529,PlotNumber,0),MATCH("Tenure",PlotTitles,0))="Affordable rent")),"",NOT(INDEX(PlotData,MATCH($A529,PlotNumber,0),MATCH(S$3,PlotTitles,0))=0), $AB$24,TRUE,"")</f>
        <v/>
      </c>
      <c r="V529" s="114" t="str" cm="1">
        <f t="array" aca="1" ref="V529" ca="1">_xlfn.IFS(ISBLANK(NumberOfPlots),"Enter the number of homes on the 1_SetUp sheet",AND(A529&gt;NumberOfPlots,ISBLANK(INDEX(PlotData,MATCH($A529,PlotNumber,0),MATCH(B$3,PlotTitles,0)))),"No error",NOT(B529=""),B529,NOT(C529=""),C529,NOT(D529=""),D529,NOT(E529=""),E529,NOT(F529=""),F529,NOT(G529=""),G529,NOT(H529=""),H529,NOT(I529=""),I529,NOT(J529=""),J529,NOT(K529=""),K529,NOT(L529=""),L529,NOT(M529=""),M529,NOT(N529=""),N529,NOT(O529=""),O529,NOT(P529=""),P529,NOT(Q529=""),Q529,NOT(R529=""),R529,NOT(S529=""),S529,NOT(T529=""),T529,NOT(U529=""),U529,TRUE,"No error")</f>
        <v>Enter the number of homes on the 1_SetUp sheet</v>
      </c>
      <c r="W529" s="114" t="str">
        <f t="shared" ca="1" si="26"/>
        <v xml:space="preserve">The Borrower has not addressed the following error messages for Home ID 525: </v>
      </c>
    </row>
    <row r="530" spans="1:23">
      <c r="A530" s="123">
        <v>526</v>
      </c>
      <c r="B530" s="104" t="str" cm="1">
        <f t="array" ref="B530">_xlfn.IFS(AND(A530&gt;NumberOfPlots,ISBLANK(INDEX(PlotData,MATCH($A530,PlotNumber,0),MATCH(B$3,PlotTitles,0)))),"",ISNUMBER(INDEX(PlotData,MATCH($A530,PlotNumber,0),MATCH(B$3,PlotTitles,0)))=FALSE, $AB$5,TRUE,"")</f>
        <v/>
      </c>
      <c r="C530" s="104" t="str" cm="1">
        <f t="array" ref="C530">_xlfn.IFS(AND(A530&gt;NumberOfPlots,ISBLANK(INDEX(PlotData,MATCH($A530,PlotNumber,0),MATCH(B$3,PlotTitles,0)))),"",ISBLANK(INDEX(PlotData,MATCH($A530,PlotNumber,0),MATCH(C$3,PlotTitles,0))),$AB$6,TRUE,"")</f>
        <v/>
      </c>
      <c r="D530" s="104" t="str" cm="1">
        <f t="array" ref="D530">_xlfn.IFS(AND(A530&gt;NumberOfPlots,ISBLANK(INDEX(PlotData,MATCH($A530,PlotNumber,0),MATCH(B$3,PlotTitles,0)))),"",ISBLANK(INDEX(PlotData,MATCH($A530,PlotNumber,0),MATCH(D$3,PlotTitles,0))),$AB$7,TRUE,"")</f>
        <v/>
      </c>
      <c r="E530" s="104" t="str" cm="1">
        <f t="array" ref="E530">_xlfn.IFS(AND(A530&gt;NumberOfPlots,ISBLANK(INDEX(PlotData,MATCH($A530,PlotNumber,0),MATCH(B$3,PlotTitles,0)))),"",ISBLANK(INDEX(PlotData,MATCH($A530,PlotNumber,0),MATCH(E$3,PlotTitles,0))),$AB$8,TRUE,"")</f>
        <v/>
      </c>
      <c r="F530" s="104" t="str" cm="1">
        <f t="array" ref="F530">_xlfn.IFS(AND(A530&gt;NumberOfPlots,ISBLANK(INDEX(PlotData,MATCH($A530,PlotNumber,0),MATCH(B$3,PlotTitles,0)))),"",ISBLANK(INDEX(PlotData,MATCH($A530,PlotNumber,0),MATCH(F$3,PlotTitles,0))),$AB$9,TRUE,"")</f>
        <v/>
      </c>
      <c r="G530" s="104" t="str" cm="1">
        <f t="array" ref="G530">_xlfn.IFS(AND(A530&gt;NumberOfPlots,ISBLANK(INDEX(PlotData,MATCH($A530,PlotNumber,0),MATCH(B$3,PlotTitles,0)))),"",ISBLANK(INDEX(PlotData,MATCH($A530,PlotNumber,0),MATCH(G$3,PlotTitles,0))),$AB$10,TRUE,"")</f>
        <v/>
      </c>
      <c r="H530" s="104" t="str" cm="1">
        <f t="array" ref="H530">_xlfn.IFS(AND(A530&gt;NumberOfPlots,ISBLANK(INDEX(PlotData,MATCH($A530,PlotNumber,0),MATCH(B$3,PlotTitles,0)))),"",AND(ISBLANK(INDEX(PlotData,MATCH($A530,PlotNumber,0),MATCH(H$3,PlotTitles,0)))=FALSE,INDEX(PlotData,MATCH($A530,PlotNumber,0),MATCH(H$3,PlotTitles,0))&lt;500), $AB$11,TRUE,"")</f>
        <v/>
      </c>
      <c r="I530" s="104" t="str" cm="1">
        <f t="array" ref="I530">_xlfn.IFS(AND(A530&gt;NumberOfPlots,ISBLANK(INDEX(PlotData,MATCH($A530,PlotNumber,0),MATCH(B$3,PlotTitles,0)))),"",ISBLANK(INDEX(PlotData,MATCH($A530,PlotNumber,0),MATCH(I$3,PlotTitles,0))),$AB$12,TRUE,"")</f>
        <v/>
      </c>
      <c r="J530" s="104" t="str" cm="1">
        <f t="array" ref="J530">_xlfn.IFS(AND(A530&gt;NumberOfPlots,ISBLANK(INDEX(PlotData,MATCH($A530,PlotNumber,0),MATCH(B$3,PlotTitles,0)))),"",ISBLANK(INDEX(PlotData,MATCH($A530,PlotNumber,0),MATCH(J$3,PlotTitles,0))),$AB$13,TRUE,"")</f>
        <v/>
      </c>
      <c r="K530" s="182" t="str">
        <f t="shared" ca="1" si="24"/>
        <v/>
      </c>
      <c r="L530" s="104" t="str" cm="1">
        <f t="array" ref="L530">_xlfn.IFS(OR(ISBLANK(StartDateMonth),ISBLANK(StartDateYear)),"",AND(A530&gt;NumberOfPlots,ISBLANK(INDEX(PlotData,MATCH($A530,PlotNumber,0),MATCH(B$3,PlotTitles,0)))),"",ISBLANK(INDEX(PlotData,MATCH($A530,PlotNumber,0),MATCH(I$3,PlotTitles,0))),"",(DATEVALUE(INDEX(PlotData,MATCH($A530,PlotNumber,0),MATCH(I$3,PlotTitles,0))&amp;INDEX(PlotData,MATCH($A530,PlotNumber,0),MATCH(J$3,PlotTitles,0))))&lt;DATEVALUE(StartDateMonth&amp;StartDateYear),$AB$15,TRUE,"")</f>
        <v/>
      </c>
      <c r="M530" s="104" t="str" cm="1">
        <f t="array" ref="M530">_xlfn.IFS(OR(ISBLANK(StartDateMonth),ISBLANK(StartDateYear)),"",AND(A530&gt;NumberOfPlots,ISBLANK(INDEX(PlotData,MATCH($A530,PlotNumber,0),MATCH(B$3,PlotTitles,0)))),"",ISBLANK(INDEX(PlotData,MATCH($A530,PlotNumber,0),MATCH(I$3,PlotTitles,0))),"",CompletionMonth="","",(DATEVALUE(INDEX(PlotData,MATCH($A530,PlotNumber,0),MATCH(I$3,PlotTitles,0))&amp;INDEX(PlotData,MATCH($A530,PlotNumber,0),MATCH(J$3,PlotTitles,0))))&gt;(DATEVALUE(CompletionMonth&amp;CompletionYear)),$AB$16,TRUE,"")</f>
        <v/>
      </c>
      <c r="N530" s="104" t="str" cm="1">
        <f t="array" ref="N530">_xlfn.IFS(AND(A530&gt;NumberOfPlots,ISBLANK(INDEX(PlotData,MATCH($A530,PlotNumber,0),MATCH(B$3,PlotTitles,0)))),"",ISBLANK(INDEX(PlotData,MATCH($A530,PlotNumber,0),MATCH(N$3,PlotTitles,0))),$AB$17,TRUE,"")</f>
        <v/>
      </c>
      <c r="O530" s="104" t="str" cm="1">
        <f t="array" ref="O530">_xlfn.IFS(AND(A530&gt;NumberOfPlots,ISBLANK(INDEX(PlotData,MATCH($A530,PlotNumber,0),MATCH(B$3,PlotTitles,0)))),"",ISBLANK(INDEX(PlotData,MATCH($A530,PlotNumber,0),MATCH(O$3,PlotTitles,0))),$AB$18,TRUE,"")</f>
        <v/>
      </c>
      <c r="P530" s="182" t="str">
        <f t="shared" ca="1" si="25"/>
        <v/>
      </c>
      <c r="Q530" s="104" t="str" cm="1">
        <f t="array" ref="Q530">_xlfn.IFS(AND(A530&gt;NumberOfPlots,ISBLANK(INDEX(PlotData,MATCH($A530,PlotNumber,0),MATCH(B$3,PlotTitles,0)))),"",ISBLANK(INDEX(PlotData,MATCH($A530,PlotNumber,0),MATCH(N$3,PlotTitles,0))),"",(DATEVALUE(INDEX(PlotData,MATCH($A530,PlotNumber,0),MATCH(N$3,PlotTitles,0))&amp;INDEX(PlotData,MATCH($A530,PlotNumber,0),MATCH(O$3,PlotTitles,0))))&lt;(DATEVALUE(INDEX(PlotData,MATCH($A530,PlotNumber,0),MATCH(I$3,PlotTitles,0))&amp;INDEX(PlotData,MATCH($A530,PlotNumber,0),MATCH(J$3,PlotTitles,0)))),$AB$20,TRUE,"")</f>
        <v/>
      </c>
      <c r="R530" s="104" t="str" cm="1">
        <f t="array" ref="R530">_xlfn.IFS(OR(ISBLANK(StartDateMonth),ISBLANK(StartDateYear)),"",AND(A530&gt;NumberOfPlots,ISBLANK(INDEX(PlotData,MATCH($A530,PlotNumber,0),MATCH(B$3,PlotTitles,0)))),"",ISBLANK(INDEX(PlotData,MATCH($A530,PlotNumber,0),MATCH(N$3,PlotTitles,0))),"",CompletionMonth="","",(DATEVALUE(INDEX(PlotData,MATCH($A530,PlotNumber,0),MATCH(N$3,PlotTitles,0))&amp;INDEX(PlotData,MATCH($A530,PlotNumber,0),MATCH(O$3,PlotTitles,0))))&gt;(DATEVALUE(CompletionMonth&amp;CompletionYear)),$AB$21,TRUE,"")</f>
        <v/>
      </c>
      <c r="S530" s="104" t="str" cm="1">
        <f t="array" ref="S530">_xlfn.IFS(AND(A530&gt;NumberOfPlots,ISBLANK(INDEX(PlotData,MATCH($A530,PlotNumber,0),MATCH(B$3,PlotTitles,0)))),"",OR(AND(INDEX(PlotData,MATCH($A530,PlotNumber,0),MATCH("Tenure",PlotTitles,0))="Open market housing",INDEX(PlotData,MATCH($A530,PlotNumber,0),MATCH("Tenure detail",PlotTitles,0))="Private rented sector"),INDEX(PlotData,MATCH($A530,PlotNumber,0),MATCH("Tenure",PlotTitles,0))="Affordable rent"),"",ISNUMBER(INDEX(PlotData,MATCH($A530,PlotNumber,0),MATCH(S$3,PlotTitles,0)))=FALSE, $AB$22,TRUE,"")</f>
        <v/>
      </c>
      <c r="T530" s="104" t="str" cm="1">
        <f t="array" ref="T530">_xlfn.IFS(AND(A530&gt;NumberOfPlots,ISBLANK(INDEX(PlotData,MATCH($A530,PlotNumber,0),MATCH(B$3,PlotTitles,0)))),"",OR(AND(INDEX(PlotData,MATCH($A530,PlotNumber,0),MATCH("Tenure",PlotTitles,0))="Open market housing",INDEX(PlotData,MATCH($A530,PlotNumber,0),MATCH("Tenure detail",PlotTitles,0))="Private rented sector"),INDEX(PlotData,MATCH($A530,PlotNumber,0),MATCH("Tenure",PlotTitles,0))="Affordable rent"),"",INDEX(PlotData,MATCH($A530,PlotNumber,0),MATCH(S$3,PlotTitles,0))&lt;10000, $AB$23,TRUE,"")</f>
        <v/>
      </c>
      <c r="U530" s="104" t="str" cm="1">
        <f t="array" ref="U530">_xlfn.IFS(AND(A530&gt;NumberOfPlots,ISBLANK(INDEX(PlotData,MATCH($A530,PlotNumber,0),MATCH(B$3,PlotTitles,0)))),"",NOT(OR(AND(INDEX(PlotData,MATCH($A530,PlotNumber,0),MATCH("Tenure",PlotTitles,0))="Open market housing",INDEX(PlotData,MATCH($A530,PlotNumber,0),MATCH("Tenure detail",PlotTitles,0))="Private rented sector"),INDEX(PlotData,MATCH($A530,PlotNumber,0),MATCH("Tenure",PlotTitles,0))="Affordable rent")),"",NOT(INDEX(PlotData,MATCH($A530,PlotNumber,0),MATCH(S$3,PlotTitles,0))=0), $AB$24,TRUE,"")</f>
        <v/>
      </c>
      <c r="V530" s="114" t="str" cm="1">
        <f t="array" aca="1" ref="V530" ca="1">_xlfn.IFS(ISBLANK(NumberOfPlots),"Enter the number of homes on the 1_SetUp sheet",AND(A530&gt;NumberOfPlots,ISBLANK(INDEX(PlotData,MATCH($A530,PlotNumber,0),MATCH(B$3,PlotTitles,0)))),"No error",NOT(B530=""),B530,NOT(C530=""),C530,NOT(D530=""),D530,NOT(E530=""),E530,NOT(F530=""),F530,NOT(G530=""),G530,NOT(H530=""),H530,NOT(I530=""),I530,NOT(J530=""),J530,NOT(K530=""),K530,NOT(L530=""),L530,NOT(M530=""),M530,NOT(N530=""),N530,NOT(O530=""),O530,NOT(P530=""),P530,NOT(Q530=""),Q530,NOT(R530=""),R530,NOT(S530=""),S530,NOT(T530=""),T530,NOT(U530=""),U530,TRUE,"No error")</f>
        <v>Enter the number of homes on the 1_SetUp sheet</v>
      </c>
      <c r="W530" s="114" t="str">
        <f t="shared" ca="1" si="26"/>
        <v xml:space="preserve">The Borrower has not addressed the following error messages for Home ID 526: </v>
      </c>
    </row>
    <row r="531" spans="1:23">
      <c r="A531" s="123">
        <v>527</v>
      </c>
      <c r="B531" s="104" t="str" cm="1">
        <f t="array" ref="B531">_xlfn.IFS(AND(A531&gt;NumberOfPlots,ISBLANK(INDEX(PlotData,MATCH($A531,PlotNumber,0),MATCH(B$3,PlotTitles,0)))),"",ISNUMBER(INDEX(PlotData,MATCH($A531,PlotNumber,0),MATCH(B$3,PlotTitles,0)))=FALSE, $AB$5,TRUE,"")</f>
        <v/>
      </c>
      <c r="C531" s="104" t="str" cm="1">
        <f t="array" ref="C531">_xlfn.IFS(AND(A531&gt;NumberOfPlots,ISBLANK(INDEX(PlotData,MATCH($A531,PlotNumber,0),MATCH(B$3,PlotTitles,0)))),"",ISBLANK(INDEX(PlotData,MATCH($A531,PlotNumber,0),MATCH(C$3,PlotTitles,0))),$AB$6,TRUE,"")</f>
        <v/>
      </c>
      <c r="D531" s="104" t="str" cm="1">
        <f t="array" ref="D531">_xlfn.IFS(AND(A531&gt;NumberOfPlots,ISBLANK(INDEX(PlotData,MATCH($A531,PlotNumber,0),MATCH(B$3,PlotTitles,0)))),"",ISBLANK(INDEX(PlotData,MATCH($A531,PlotNumber,0),MATCH(D$3,PlotTitles,0))),$AB$7,TRUE,"")</f>
        <v/>
      </c>
      <c r="E531" s="104" t="str" cm="1">
        <f t="array" ref="E531">_xlfn.IFS(AND(A531&gt;NumberOfPlots,ISBLANK(INDEX(PlotData,MATCH($A531,PlotNumber,0),MATCH(B$3,PlotTitles,0)))),"",ISBLANK(INDEX(PlotData,MATCH($A531,PlotNumber,0),MATCH(E$3,PlotTitles,0))),$AB$8,TRUE,"")</f>
        <v/>
      </c>
      <c r="F531" s="104" t="str" cm="1">
        <f t="array" ref="F531">_xlfn.IFS(AND(A531&gt;NumberOfPlots,ISBLANK(INDEX(PlotData,MATCH($A531,PlotNumber,0),MATCH(B$3,PlotTitles,0)))),"",ISBLANK(INDEX(PlotData,MATCH($A531,PlotNumber,0),MATCH(F$3,PlotTitles,0))),$AB$9,TRUE,"")</f>
        <v/>
      </c>
      <c r="G531" s="104" t="str" cm="1">
        <f t="array" ref="G531">_xlfn.IFS(AND(A531&gt;NumberOfPlots,ISBLANK(INDEX(PlotData,MATCH($A531,PlotNumber,0),MATCH(B$3,PlotTitles,0)))),"",ISBLANK(INDEX(PlotData,MATCH($A531,PlotNumber,0),MATCH(G$3,PlotTitles,0))),$AB$10,TRUE,"")</f>
        <v/>
      </c>
      <c r="H531" s="104" t="str" cm="1">
        <f t="array" ref="H531">_xlfn.IFS(AND(A531&gt;NumberOfPlots,ISBLANK(INDEX(PlotData,MATCH($A531,PlotNumber,0),MATCH(B$3,PlotTitles,0)))),"",AND(ISBLANK(INDEX(PlotData,MATCH($A531,PlotNumber,0),MATCH(H$3,PlotTitles,0)))=FALSE,INDEX(PlotData,MATCH($A531,PlotNumber,0),MATCH(H$3,PlotTitles,0))&lt;500), $AB$11,TRUE,"")</f>
        <v/>
      </c>
      <c r="I531" s="104" t="str" cm="1">
        <f t="array" ref="I531">_xlfn.IFS(AND(A531&gt;NumberOfPlots,ISBLANK(INDEX(PlotData,MATCH($A531,PlotNumber,0),MATCH(B$3,PlotTitles,0)))),"",ISBLANK(INDEX(PlotData,MATCH($A531,PlotNumber,0),MATCH(I$3,PlotTitles,0))),$AB$12,TRUE,"")</f>
        <v/>
      </c>
      <c r="J531" s="104" t="str" cm="1">
        <f t="array" ref="J531">_xlfn.IFS(AND(A531&gt;NumberOfPlots,ISBLANK(INDEX(PlotData,MATCH($A531,PlotNumber,0),MATCH(B$3,PlotTitles,0)))),"",ISBLANK(INDEX(PlotData,MATCH($A531,PlotNumber,0),MATCH(J$3,PlotTitles,0))),$AB$13,TRUE,"")</f>
        <v/>
      </c>
      <c r="K531" s="182" t="str">
        <f t="shared" ca="1" si="24"/>
        <v/>
      </c>
      <c r="L531" s="104" t="str" cm="1">
        <f t="array" ref="L531">_xlfn.IFS(OR(ISBLANK(StartDateMonth),ISBLANK(StartDateYear)),"",AND(A531&gt;NumberOfPlots,ISBLANK(INDEX(PlotData,MATCH($A531,PlotNumber,0),MATCH(B$3,PlotTitles,0)))),"",ISBLANK(INDEX(PlotData,MATCH($A531,PlotNumber,0),MATCH(I$3,PlotTitles,0))),"",(DATEVALUE(INDEX(PlotData,MATCH($A531,PlotNumber,0),MATCH(I$3,PlotTitles,0))&amp;INDEX(PlotData,MATCH($A531,PlotNumber,0),MATCH(J$3,PlotTitles,0))))&lt;DATEVALUE(StartDateMonth&amp;StartDateYear),$AB$15,TRUE,"")</f>
        <v/>
      </c>
      <c r="M531" s="104" t="str" cm="1">
        <f t="array" ref="M531">_xlfn.IFS(OR(ISBLANK(StartDateMonth),ISBLANK(StartDateYear)),"",AND(A531&gt;NumberOfPlots,ISBLANK(INDEX(PlotData,MATCH($A531,PlotNumber,0),MATCH(B$3,PlotTitles,0)))),"",ISBLANK(INDEX(PlotData,MATCH($A531,PlotNumber,0),MATCH(I$3,PlotTitles,0))),"",CompletionMonth="","",(DATEVALUE(INDEX(PlotData,MATCH($A531,PlotNumber,0),MATCH(I$3,PlotTitles,0))&amp;INDEX(PlotData,MATCH($A531,PlotNumber,0),MATCH(J$3,PlotTitles,0))))&gt;(DATEVALUE(CompletionMonth&amp;CompletionYear)),$AB$16,TRUE,"")</f>
        <v/>
      </c>
      <c r="N531" s="104" t="str" cm="1">
        <f t="array" ref="N531">_xlfn.IFS(AND(A531&gt;NumberOfPlots,ISBLANK(INDEX(PlotData,MATCH($A531,PlotNumber,0),MATCH(B$3,PlotTitles,0)))),"",ISBLANK(INDEX(PlotData,MATCH($A531,PlotNumber,0),MATCH(N$3,PlotTitles,0))),$AB$17,TRUE,"")</f>
        <v/>
      </c>
      <c r="O531" s="104" t="str" cm="1">
        <f t="array" ref="O531">_xlfn.IFS(AND(A531&gt;NumberOfPlots,ISBLANK(INDEX(PlotData,MATCH($A531,PlotNumber,0),MATCH(B$3,PlotTitles,0)))),"",ISBLANK(INDEX(PlotData,MATCH($A531,PlotNumber,0),MATCH(O$3,PlotTitles,0))),$AB$18,TRUE,"")</f>
        <v/>
      </c>
      <c r="P531" s="182" t="str">
        <f t="shared" ca="1" si="25"/>
        <v/>
      </c>
      <c r="Q531" s="104" t="str" cm="1">
        <f t="array" ref="Q531">_xlfn.IFS(AND(A531&gt;NumberOfPlots,ISBLANK(INDEX(PlotData,MATCH($A531,PlotNumber,0),MATCH(B$3,PlotTitles,0)))),"",ISBLANK(INDEX(PlotData,MATCH($A531,PlotNumber,0),MATCH(N$3,PlotTitles,0))),"",(DATEVALUE(INDEX(PlotData,MATCH($A531,PlotNumber,0),MATCH(N$3,PlotTitles,0))&amp;INDEX(PlotData,MATCH($A531,PlotNumber,0),MATCH(O$3,PlotTitles,0))))&lt;(DATEVALUE(INDEX(PlotData,MATCH($A531,PlotNumber,0),MATCH(I$3,PlotTitles,0))&amp;INDEX(PlotData,MATCH($A531,PlotNumber,0),MATCH(J$3,PlotTitles,0)))),$AB$20,TRUE,"")</f>
        <v/>
      </c>
      <c r="R531" s="104" t="str" cm="1">
        <f t="array" ref="R531">_xlfn.IFS(OR(ISBLANK(StartDateMonth),ISBLANK(StartDateYear)),"",AND(A531&gt;NumberOfPlots,ISBLANK(INDEX(PlotData,MATCH($A531,PlotNumber,0),MATCH(B$3,PlotTitles,0)))),"",ISBLANK(INDEX(PlotData,MATCH($A531,PlotNumber,0),MATCH(N$3,PlotTitles,0))),"",CompletionMonth="","",(DATEVALUE(INDEX(PlotData,MATCH($A531,PlotNumber,0),MATCH(N$3,PlotTitles,0))&amp;INDEX(PlotData,MATCH($A531,PlotNumber,0),MATCH(O$3,PlotTitles,0))))&gt;(DATEVALUE(CompletionMonth&amp;CompletionYear)),$AB$21,TRUE,"")</f>
        <v/>
      </c>
      <c r="S531" s="104" t="str" cm="1">
        <f t="array" ref="S531">_xlfn.IFS(AND(A531&gt;NumberOfPlots,ISBLANK(INDEX(PlotData,MATCH($A531,PlotNumber,0),MATCH(B$3,PlotTitles,0)))),"",OR(AND(INDEX(PlotData,MATCH($A531,PlotNumber,0),MATCH("Tenure",PlotTitles,0))="Open market housing",INDEX(PlotData,MATCH($A531,PlotNumber,0),MATCH("Tenure detail",PlotTitles,0))="Private rented sector"),INDEX(PlotData,MATCH($A531,PlotNumber,0),MATCH("Tenure",PlotTitles,0))="Affordable rent"),"",ISNUMBER(INDEX(PlotData,MATCH($A531,PlotNumber,0),MATCH(S$3,PlotTitles,0)))=FALSE, $AB$22,TRUE,"")</f>
        <v/>
      </c>
      <c r="T531" s="104" t="str" cm="1">
        <f t="array" ref="T531">_xlfn.IFS(AND(A531&gt;NumberOfPlots,ISBLANK(INDEX(PlotData,MATCH($A531,PlotNumber,0),MATCH(B$3,PlotTitles,0)))),"",OR(AND(INDEX(PlotData,MATCH($A531,PlotNumber,0),MATCH("Tenure",PlotTitles,0))="Open market housing",INDEX(PlotData,MATCH($A531,PlotNumber,0),MATCH("Tenure detail",PlotTitles,0))="Private rented sector"),INDEX(PlotData,MATCH($A531,PlotNumber,0),MATCH("Tenure",PlotTitles,0))="Affordable rent"),"",INDEX(PlotData,MATCH($A531,PlotNumber,0),MATCH(S$3,PlotTitles,0))&lt;10000, $AB$23,TRUE,"")</f>
        <v/>
      </c>
      <c r="U531" s="104" t="str" cm="1">
        <f t="array" ref="U531">_xlfn.IFS(AND(A531&gt;NumberOfPlots,ISBLANK(INDEX(PlotData,MATCH($A531,PlotNumber,0),MATCH(B$3,PlotTitles,0)))),"",NOT(OR(AND(INDEX(PlotData,MATCH($A531,PlotNumber,0),MATCH("Tenure",PlotTitles,0))="Open market housing",INDEX(PlotData,MATCH($A531,PlotNumber,0),MATCH("Tenure detail",PlotTitles,0))="Private rented sector"),INDEX(PlotData,MATCH($A531,PlotNumber,0),MATCH("Tenure",PlotTitles,0))="Affordable rent")),"",NOT(INDEX(PlotData,MATCH($A531,PlotNumber,0),MATCH(S$3,PlotTitles,0))=0), $AB$24,TRUE,"")</f>
        <v/>
      </c>
      <c r="V531" s="114" t="str" cm="1">
        <f t="array" aca="1" ref="V531" ca="1">_xlfn.IFS(ISBLANK(NumberOfPlots),"Enter the number of homes on the 1_SetUp sheet",AND(A531&gt;NumberOfPlots,ISBLANK(INDEX(PlotData,MATCH($A531,PlotNumber,0),MATCH(B$3,PlotTitles,0)))),"No error",NOT(B531=""),B531,NOT(C531=""),C531,NOT(D531=""),D531,NOT(E531=""),E531,NOT(F531=""),F531,NOT(G531=""),G531,NOT(H531=""),H531,NOT(I531=""),I531,NOT(J531=""),J531,NOT(K531=""),K531,NOT(L531=""),L531,NOT(M531=""),M531,NOT(N531=""),N531,NOT(O531=""),O531,NOT(P531=""),P531,NOT(Q531=""),Q531,NOT(R531=""),R531,NOT(S531=""),S531,NOT(T531=""),T531,NOT(U531=""),U531,TRUE,"No error")</f>
        <v>Enter the number of homes on the 1_SetUp sheet</v>
      </c>
      <c r="W531" s="114" t="str">
        <f t="shared" ca="1" si="26"/>
        <v xml:space="preserve">The Borrower has not addressed the following error messages for Home ID 527: </v>
      </c>
    </row>
    <row r="532" spans="1:23">
      <c r="A532" s="123">
        <v>528</v>
      </c>
      <c r="B532" s="104" t="str" cm="1">
        <f t="array" ref="B532">_xlfn.IFS(AND(A532&gt;NumberOfPlots,ISBLANK(INDEX(PlotData,MATCH($A532,PlotNumber,0),MATCH(B$3,PlotTitles,0)))),"",ISNUMBER(INDEX(PlotData,MATCH($A532,PlotNumber,0),MATCH(B$3,PlotTitles,0)))=FALSE, $AB$5,TRUE,"")</f>
        <v/>
      </c>
      <c r="C532" s="104" t="str" cm="1">
        <f t="array" ref="C532">_xlfn.IFS(AND(A532&gt;NumberOfPlots,ISBLANK(INDEX(PlotData,MATCH($A532,PlotNumber,0),MATCH(B$3,PlotTitles,0)))),"",ISBLANK(INDEX(PlotData,MATCH($A532,PlotNumber,0),MATCH(C$3,PlotTitles,0))),$AB$6,TRUE,"")</f>
        <v/>
      </c>
      <c r="D532" s="104" t="str" cm="1">
        <f t="array" ref="D532">_xlfn.IFS(AND(A532&gt;NumberOfPlots,ISBLANK(INDEX(PlotData,MATCH($A532,PlotNumber,0),MATCH(B$3,PlotTitles,0)))),"",ISBLANK(INDEX(PlotData,MATCH($A532,PlotNumber,0),MATCH(D$3,PlotTitles,0))),$AB$7,TRUE,"")</f>
        <v/>
      </c>
      <c r="E532" s="104" t="str" cm="1">
        <f t="array" ref="E532">_xlfn.IFS(AND(A532&gt;NumberOfPlots,ISBLANK(INDEX(PlotData,MATCH($A532,PlotNumber,0),MATCH(B$3,PlotTitles,0)))),"",ISBLANK(INDEX(PlotData,MATCH($A532,PlotNumber,0),MATCH(E$3,PlotTitles,0))),$AB$8,TRUE,"")</f>
        <v/>
      </c>
      <c r="F532" s="104" t="str" cm="1">
        <f t="array" ref="F532">_xlfn.IFS(AND(A532&gt;NumberOfPlots,ISBLANK(INDEX(PlotData,MATCH($A532,PlotNumber,0),MATCH(B$3,PlotTitles,0)))),"",ISBLANK(INDEX(PlotData,MATCH($A532,PlotNumber,0),MATCH(F$3,PlotTitles,0))),$AB$9,TRUE,"")</f>
        <v/>
      </c>
      <c r="G532" s="104" t="str" cm="1">
        <f t="array" ref="G532">_xlfn.IFS(AND(A532&gt;NumberOfPlots,ISBLANK(INDEX(PlotData,MATCH($A532,PlotNumber,0),MATCH(B$3,PlotTitles,0)))),"",ISBLANK(INDEX(PlotData,MATCH($A532,PlotNumber,0),MATCH(G$3,PlotTitles,0))),$AB$10,TRUE,"")</f>
        <v/>
      </c>
      <c r="H532" s="104" t="str" cm="1">
        <f t="array" ref="H532">_xlfn.IFS(AND(A532&gt;NumberOfPlots,ISBLANK(INDEX(PlotData,MATCH($A532,PlotNumber,0),MATCH(B$3,PlotTitles,0)))),"",AND(ISBLANK(INDEX(PlotData,MATCH($A532,PlotNumber,0),MATCH(H$3,PlotTitles,0)))=FALSE,INDEX(PlotData,MATCH($A532,PlotNumber,0),MATCH(H$3,PlotTitles,0))&lt;500), $AB$11,TRUE,"")</f>
        <v/>
      </c>
      <c r="I532" s="104" t="str" cm="1">
        <f t="array" ref="I532">_xlfn.IFS(AND(A532&gt;NumberOfPlots,ISBLANK(INDEX(PlotData,MATCH($A532,PlotNumber,0),MATCH(B$3,PlotTitles,0)))),"",ISBLANK(INDEX(PlotData,MATCH($A532,PlotNumber,0),MATCH(I$3,PlotTitles,0))),$AB$12,TRUE,"")</f>
        <v/>
      </c>
      <c r="J532" s="104" t="str" cm="1">
        <f t="array" ref="J532">_xlfn.IFS(AND(A532&gt;NumberOfPlots,ISBLANK(INDEX(PlotData,MATCH($A532,PlotNumber,0),MATCH(B$3,PlotTitles,0)))),"",ISBLANK(INDEX(PlotData,MATCH($A532,PlotNumber,0),MATCH(J$3,PlotTitles,0))),$AB$13,TRUE,"")</f>
        <v/>
      </c>
      <c r="K532" s="182" t="str">
        <f t="shared" ca="1" si="24"/>
        <v/>
      </c>
      <c r="L532" s="104" t="str" cm="1">
        <f t="array" ref="L532">_xlfn.IFS(OR(ISBLANK(StartDateMonth),ISBLANK(StartDateYear)),"",AND(A532&gt;NumberOfPlots,ISBLANK(INDEX(PlotData,MATCH($A532,PlotNumber,0),MATCH(B$3,PlotTitles,0)))),"",ISBLANK(INDEX(PlotData,MATCH($A532,PlotNumber,0),MATCH(I$3,PlotTitles,0))),"",(DATEVALUE(INDEX(PlotData,MATCH($A532,PlotNumber,0),MATCH(I$3,PlotTitles,0))&amp;INDEX(PlotData,MATCH($A532,PlotNumber,0),MATCH(J$3,PlotTitles,0))))&lt;DATEVALUE(StartDateMonth&amp;StartDateYear),$AB$15,TRUE,"")</f>
        <v/>
      </c>
      <c r="M532" s="104" t="str" cm="1">
        <f t="array" ref="M532">_xlfn.IFS(OR(ISBLANK(StartDateMonth),ISBLANK(StartDateYear)),"",AND(A532&gt;NumberOfPlots,ISBLANK(INDEX(PlotData,MATCH($A532,PlotNumber,0),MATCH(B$3,PlotTitles,0)))),"",ISBLANK(INDEX(PlotData,MATCH($A532,PlotNumber,0),MATCH(I$3,PlotTitles,0))),"",CompletionMonth="","",(DATEVALUE(INDEX(PlotData,MATCH($A532,PlotNumber,0),MATCH(I$3,PlotTitles,0))&amp;INDEX(PlotData,MATCH($A532,PlotNumber,0),MATCH(J$3,PlotTitles,0))))&gt;(DATEVALUE(CompletionMonth&amp;CompletionYear)),$AB$16,TRUE,"")</f>
        <v/>
      </c>
      <c r="N532" s="104" t="str" cm="1">
        <f t="array" ref="N532">_xlfn.IFS(AND(A532&gt;NumberOfPlots,ISBLANK(INDEX(PlotData,MATCH($A532,PlotNumber,0),MATCH(B$3,PlotTitles,0)))),"",ISBLANK(INDEX(PlotData,MATCH($A532,PlotNumber,0),MATCH(N$3,PlotTitles,0))),$AB$17,TRUE,"")</f>
        <v/>
      </c>
      <c r="O532" s="104" t="str" cm="1">
        <f t="array" ref="O532">_xlfn.IFS(AND(A532&gt;NumberOfPlots,ISBLANK(INDEX(PlotData,MATCH($A532,PlotNumber,0),MATCH(B$3,PlotTitles,0)))),"",ISBLANK(INDEX(PlotData,MATCH($A532,PlotNumber,0),MATCH(O$3,PlotTitles,0))),$AB$18,TRUE,"")</f>
        <v/>
      </c>
      <c r="P532" s="182" t="str">
        <f t="shared" ca="1" si="25"/>
        <v/>
      </c>
      <c r="Q532" s="104" t="str" cm="1">
        <f t="array" ref="Q532">_xlfn.IFS(AND(A532&gt;NumberOfPlots,ISBLANK(INDEX(PlotData,MATCH($A532,PlotNumber,0),MATCH(B$3,PlotTitles,0)))),"",ISBLANK(INDEX(PlotData,MATCH($A532,PlotNumber,0),MATCH(N$3,PlotTitles,0))),"",(DATEVALUE(INDEX(PlotData,MATCH($A532,PlotNumber,0),MATCH(N$3,PlotTitles,0))&amp;INDEX(PlotData,MATCH($A532,PlotNumber,0),MATCH(O$3,PlotTitles,0))))&lt;(DATEVALUE(INDEX(PlotData,MATCH($A532,PlotNumber,0),MATCH(I$3,PlotTitles,0))&amp;INDEX(PlotData,MATCH($A532,PlotNumber,0),MATCH(J$3,PlotTitles,0)))),$AB$20,TRUE,"")</f>
        <v/>
      </c>
      <c r="R532" s="104" t="str" cm="1">
        <f t="array" ref="R532">_xlfn.IFS(OR(ISBLANK(StartDateMonth),ISBLANK(StartDateYear)),"",AND(A532&gt;NumberOfPlots,ISBLANK(INDEX(PlotData,MATCH($A532,PlotNumber,0),MATCH(B$3,PlotTitles,0)))),"",ISBLANK(INDEX(PlotData,MATCH($A532,PlotNumber,0),MATCH(N$3,PlotTitles,0))),"",CompletionMonth="","",(DATEVALUE(INDEX(PlotData,MATCH($A532,PlotNumber,0),MATCH(N$3,PlotTitles,0))&amp;INDEX(PlotData,MATCH($A532,PlotNumber,0),MATCH(O$3,PlotTitles,0))))&gt;(DATEVALUE(CompletionMonth&amp;CompletionYear)),$AB$21,TRUE,"")</f>
        <v/>
      </c>
      <c r="S532" s="104" t="str" cm="1">
        <f t="array" ref="S532">_xlfn.IFS(AND(A532&gt;NumberOfPlots,ISBLANK(INDEX(PlotData,MATCH($A532,PlotNumber,0),MATCH(B$3,PlotTitles,0)))),"",OR(AND(INDEX(PlotData,MATCH($A532,PlotNumber,0),MATCH("Tenure",PlotTitles,0))="Open market housing",INDEX(PlotData,MATCH($A532,PlotNumber,0),MATCH("Tenure detail",PlotTitles,0))="Private rented sector"),INDEX(PlotData,MATCH($A532,PlotNumber,0),MATCH("Tenure",PlotTitles,0))="Affordable rent"),"",ISNUMBER(INDEX(PlotData,MATCH($A532,PlotNumber,0),MATCH(S$3,PlotTitles,0)))=FALSE, $AB$22,TRUE,"")</f>
        <v/>
      </c>
      <c r="T532" s="104" t="str" cm="1">
        <f t="array" ref="T532">_xlfn.IFS(AND(A532&gt;NumberOfPlots,ISBLANK(INDEX(PlotData,MATCH($A532,PlotNumber,0),MATCH(B$3,PlotTitles,0)))),"",OR(AND(INDEX(PlotData,MATCH($A532,PlotNumber,0),MATCH("Tenure",PlotTitles,0))="Open market housing",INDEX(PlotData,MATCH($A532,PlotNumber,0),MATCH("Tenure detail",PlotTitles,0))="Private rented sector"),INDEX(PlotData,MATCH($A532,PlotNumber,0),MATCH("Tenure",PlotTitles,0))="Affordable rent"),"",INDEX(PlotData,MATCH($A532,PlotNumber,0),MATCH(S$3,PlotTitles,0))&lt;10000, $AB$23,TRUE,"")</f>
        <v/>
      </c>
      <c r="U532" s="104" t="str" cm="1">
        <f t="array" ref="U532">_xlfn.IFS(AND(A532&gt;NumberOfPlots,ISBLANK(INDEX(PlotData,MATCH($A532,PlotNumber,0),MATCH(B$3,PlotTitles,0)))),"",NOT(OR(AND(INDEX(PlotData,MATCH($A532,PlotNumber,0),MATCH("Tenure",PlotTitles,0))="Open market housing",INDEX(PlotData,MATCH($A532,PlotNumber,0),MATCH("Tenure detail",PlotTitles,0))="Private rented sector"),INDEX(PlotData,MATCH($A532,PlotNumber,0),MATCH("Tenure",PlotTitles,0))="Affordable rent")),"",NOT(INDEX(PlotData,MATCH($A532,PlotNumber,0),MATCH(S$3,PlotTitles,0))=0), $AB$24,TRUE,"")</f>
        <v/>
      </c>
      <c r="V532" s="114" t="str" cm="1">
        <f t="array" aca="1" ref="V532" ca="1">_xlfn.IFS(ISBLANK(NumberOfPlots),"Enter the number of homes on the 1_SetUp sheet",AND(A532&gt;NumberOfPlots,ISBLANK(INDEX(PlotData,MATCH($A532,PlotNumber,0),MATCH(B$3,PlotTitles,0)))),"No error",NOT(B532=""),B532,NOT(C532=""),C532,NOT(D532=""),D532,NOT(E532=""),E532,NOT(F532=""),F532,NOT(G532=""),G532,NOT(H532=""),H532,NOT(I532=""),I532,NOT(J532=""),J532,NOT(K532=""),K532,NOT(L532=""),L532,NOT(M532=""),M532,NOT(N532=""),N532,NOT(O532=""),O532,NOT(P532=""),P532,NOT(Q532=""),Q532,NOT(R532=""),R532,NOT(S532=""),S532,NOT(T532=""),T532,NOT(U532=""),U532,TRUE,"No error")</f>
        <v>Enter the number of homes on the 1_SetUp sheet</v>
      </c>
      <c r="W532" s="114" t="str">
        <f t="shared" ca="1" si="26"/>
        <v xml:space="preserve">The Borrower has not addressed the following error messages for Home ID 528: </v>
      </c>
    </row>
    <row r="533" spans="1:23">
      <c r="A533" s="123">
        <v>529</v>
      </c>
      <c r="B533" s="104" t="str" cm="1">
        <f t="array" ref="B533">_xlfn.IFS(AND(A533&gt;NumberOfPlots,ISBLANK(INDEX(PlotData,MATCH($A533,PlotNumber,0),MATCH(B$3,PlotTitles,0)))),"",ISNUMBER(INDEX(PlotData,MATCH($A533,PlotNumber,0),MATCH(B$3,PlotTitles,0)))=FALSE, $AB$5,TRUE,"")</f>
        <v/>
      </c>
      <c r="C533" s="104" t="str" cm="1">
        <f t="array" ref="C533">_xlfn.IFS(AND(A533&gt;NumberOfPlots,ISBLANK(INDEX(PlotData,MATCH($A533,PlotNumber,0),MATCH(B$3,PlotTitles,0)))),"",ISBLANK(INDEX(PlotData,MATCH($A533,PlotNumber,0),MATCH(C$3,PlotTitles,0))),$AB$6,TRUE,"")</f>
        <v/>
      </c>
      <c r="D533" s="104" t="str" cm="1">
        <f t="array" ref="D533">_xlfn.IFS(AND(A533&gt;NumberOfPlots,ISBLANK(INDEX(PlotData,MATCH($A533,PlotNumber,0),MATCH(B$3,PlotTitles,0)))),"",ISBLANK(INDEX(PlotData,MATCH($A533,PlotNumber,0),MATCH(D$3,PlotTitles,0))),$AB$7,TRUE,"")</f>
        <v/>
      </c>
      <c r="E533" s="104" t="str" cm="1">
        <f t="array" ref="E533">_xlfn.IFS(AND(A533&gt;NumberOfPlots,ISBLANK(INDEX(PlotData,MATCH($A533,PlotNumber,0),MATCH(B$3,PlotTitles,0)))),"",ISBLANK(INDEX(PlotData,MATCH($A533,PlotNumber,0),MATCH(E$3,PlotTitles,0))),$AB$8,TRUE,"")</f>
        <v/>
      </c>
      <c r="F533" s="104" t="str" cm="1">
        <f t="array" ref="F533">_xlfn.IFS(AND(A533&gt;NumberOfPlots,ISBLANK(INDEX(PlotData,MATCH($A533,PlotNumber,0),MATCH(B$3,PlotTitles,0)))),"",ISBLANK(INDEX(PlotData,MATCH($A533,PlotNumber,0),MATCH(F$3,PlotTitles,0))),$AB$9,TRUE,"")</f>
        <v/>
      </c>
      <c r="G533" s="104" t="str" cm="1">
        <f t="array" ref="G533">_xlfn.IFS(AND(A533&gt;NumberOfPlots,ISBLANK(INDEX(PlotData,MATCH($A533,PlotNumber,0),MATCH(B$3,PlotTitles,0)))),"",ISBLANK(INDEX(PlotData,MATCH($A533,PlotNumber,0),MATCH(G$3,PlotTitles,0))),$AB$10,TRUE,"")</f>
        <v/>
      </c>
      <c r="H533" s="104" t="str" cm="1">
        <f t="array" ref="H533">_xlfn.IFS(AND(A533&gt;NumberOfPlots,ISBLANK(INDEX(PlotData,MATCH($A533,PlotNumber,0),MATCH(B$3,PlotTitles,0)))),"",AND(ISBLANK(INDEX(PlotData,MATCH($A533,PlotNumber,0),MATCH(H$3,PlotTitles,0)))=FALSE,INDEX(PlotData,MATCH($A533,PlotNumber,0),MATCH(H$3,PlotTitles,0))&lt;500), $AB$11,TRUE,"")</f>
        <v/>
      </c>
      <c r="I533" s="104" t="str" cm="1">
        <f t="array" ref="I533">_xlfn.IFS(AND(A533&gt;NumberOfPlots,ISBLANK(INDEX(PlotData,MATCH($A533,PlotNumber,0),MATCH(B$3,PlotTitles,0)))),"",ISBLANK(INDEX(PlotData,MATCH($A533,PlotNumber,0),MATCH(I$3,PlotTitles,0))),$AB$12,TRUE,"")</f>
        <v/>
      </c>
      <c r="J533" s="104" t="str" cm="1">
        <f t="array" ref="J533">_xlfn.IFS(AND(A533&gt;NumberOfPlots,ISBLANK(INDEX(PlotData,MATCH($A533,PlotNumber,0),MATCH(B$3,PlotTitles,0)))),"",ISBLANK(INDEX(PlotData,MATCH($A533,PlotNumber,0),MATCH(J$3,PlotTitles,0))),$AB$13,TRUE,"")</f>
        <v/>
      </c>
      <c r="K533" s="182" t="str">
        <f t="shared" ca="1" si="24"/>
        <v/>
      </c>
      <c r="L533" s="104" t="str" cm="1">
        <f t="array" ref="L533">_xlfn.IFS(OR(ISBLANK(StartDateMonth),ISBLANK(StartDateYear)),"",AND(A533&gt;NumberOfPlots,ISBLANK(INDEX(PlotData,MATCH($A533,PlotNumber,0),MATCH(B$3,PlotTitles,0)))),"",ISBLANK(INDEX(PlotData,MATCH($A533,PlotNumber,0),MATCH(I$3,PlotTitles,0))),"",(DATEVALUE(INDEX(PlotData,MATCH($A533,PlotNumber,0),MATCH(I$3,PlotTitles,0))&amp;INDEX(PlotData,MATCH($A533,PlotNumber,0),MATCH(J$3,PlotTitles,0))))&lt;DATEVALUE(StartDateMonth&amp;StartDateYear),$AB$15,TRUE,"")</f>
        <v/>
      </c>
      <c r="M533" s="104" t="str" cm="1">
        <f t="array" ref="M533">_xlfn.IFS(OR(ISBLANK(StartDateMonth),ISBLANK(StartDateYear)),"",AND(A533&gt;NumberOfPlots,ISBLANK(INDEX(PlotData,MATCH($A533,PlotNumber,0),MATCH(B$3,PlotTitles,0)))),"",ISBLANK(INDEX(PlotData,MATCH($A533,PlotNumber,0),MATCH(I$3,PlotTitles,0))),"",CompletionMonth="","",(DATEVALUE(INDEX(PlotData,MATCH($A533,PlotNumber,0),MATCH(I$3,PlotTitles,0))&amp;INDEX(PlotData,MATCH($A533,PlotNumber,0),MATCH(J$3,PlotTitles,0))))&gt;(DATEVALUE(CompletionMonth&amp;CompletionYear)),$AB$16,TRUE,"")</f>
        <v/>
      </c>
      <c r="N533" s="104" t="str" cm="1">
        <f t="array" ref="N533">_xlfn.IFS(AND(A533&gt;NumberOfPlots,ISBLANK(INDEX(PlotData,MATCH($A533,PlotNumber,0),MATCH(B$3,PlotTitles,0)))),"",ISBLANK(INDEX(PlotData,MATCH($A533,PlotNumber,0),MATCH(N$3,PlotTitles,0))),$AB$17,TRUE,"")</f>
        <v/>
      </c>
      <c r="O533" s="104" t="str" cm="1">
        <f t="array" ref="O533">_xlfn.IFS(AND(A533&gt;NumberOfPlots,ISBLANK(INDEX(PlotData,MATCH($A533,PlotNumber,0),MATCH(B$3,PlotTitles,0)))),"",ISBLANK(INDEX(PlotData,MATCH($A533,PlotNumber,0),MATCH(O$3,PlotTitles,0))),$AB$18,TRUE,"")</f>
        <v/>
      </c>
      <c r="P533" s="182" t="str">
        <f t="shared" ca="1" si="25"/>
        <v/>
      </c>
      <c r="Q533" s="104" t="str" cm="1">
        <f t="array" ref="Q533">_xlfn.IFS(AND(A533&gt;NumberOfPlots,ISBLANK(INDEX(PlotData,MATCH($A533,PlotNumber,0),MATCH(B$3,PlotTitles,0)))),"",ISBLANK(INDEX(PlotData,MATCH($A533,PlotNumber,0),MATCH(N$3,PlotTitles,0))),"",(DATEVALUE(INDEX(PlotData,MATCH($A533,PlotNumber,0),MATCH(N$3,PlotTitles,0))&amp;INDEX(PlotData,MATCH($A533,PlotNumber,0),MATCH(O$3,PlotTitles,0))))&lt;(DATEVALUE(INDEX(PlotData,MATCH($A533,PlotNumber,0),MATCH(I$3,PlotTitles,0))&amp;INDEX(PlotData,MATCH($A533,PlotNumber,0),MATCH(J$3,PlotTitles,0)))),$AB$20,TRUE,"")</f>
        <v/>
      </c>
      <c r="R533" s="104" t="str" cm="1">
        <f t="array" ref="R533">_xlfn.IFS(OR(ISBLANK(StartDateMonth),ISBLANK(StartDateYear)),"",AND(A533&gt;NumberOfPlots,ISBLANK(INDEX(PlotData,MATCH($A533,PlotNumber,0),MATCH(B$3,PlotTitles,0)))),"",ISBLANK(INDEX(PlotData,MATCH($A533,PlotNumber,0),MATCH(N$3,PlotTitles,0))),"",CompletionMonth="","",(DATEVALUE(INDEX(PlotData,MATCH($A533,PlotNumber,0),MATCH(N$3,PlotTitles,0))&amp;INDEX(PlotData,MATCH($A533,PlotNumber,0),MATCH(O$3,PlotTitles,0))))&gt;(DATEVALUE(CompletionMonth&amp;CompletionYear)),$AB$21,TRUE,"")</f>
        <v/>
      </c>
      <c r="S533" s="104" t="str" cm="1">
        <f t="array" ref="S533">_xlfn.IFS(AND(A533&gt;NumberOfPlots,ISBLANK(INDEX(PlotData,MATCH($A533,PlotNumber,0),MATCH(B$3,PlotTitles,0)))),"",OR(AND(INDEX(PlotData,MATCH($A533,PlotNumber,0),MATCH("Tenure",PlotTitles,0))="Open market housing",INDEX(PlotData,MATCH($A533,PlotNumber,0),MATCH("Tenure detail",PlotTitles,0))="Private rented sector"),INDEX(PlotData,MATCH($A533,PlotNumber,0),MATCH("Tenure",PlotTitles,0))="Affordable rent"),"",ISNUMBER(INDEX(PlotData,MATCH($A533,PlotNumber,0),MATCH(S$3,PlotTitles,0)))=FALSE, $AB$22,TRUE,"")</f>
        <v/>
      </c>
      <c r="T533" s="104" t="str" cm="1">
        <f t="array" ref="T533">_xlfn.IFS(AND(A533&gt;NumberOfPlots,ISBLANK(INDEX(PlotData,MATCH($A533,PlotNumber,0),MATCH(B$3,PlotTitles,0)))),"",OR(AND(INDEX(PlotData,MATCH($A533,PlotNumber,0),MATCH("Tenure",PlotTitles,0))="Open market housing",INDEX(PlotData,MATCH($A533,PlotNumber,0),MATCH("Tenure detail",PlotTitles,0))="Private rented sector"),INDEX(PlotData,MATCH($A533,PlotNumber,0),MATCH("Tenure",PlotTitles,0))="Affordable rent"),"",INDEX(PlotData,MATCH($A533,PlotNumber,0),MATCH(S$3,PlotTitles,0))&lt;10000, $AB$23,TRUE,"")</f>
        <v/>
      </c>
      <c r="U533" s="104" t="str" cm="1">
        <f t="array" ref="U533">_xlfn.IFS(AND(A533&gt;NumberOfPlots,ISBLANK(INDEX(PlotData,MATCH($A533,PlotNumber,0),MATCH(B$3,PlotTitles,0)))),"",NOT(OR(AND(INDEX(PlotData,MATCH($A533,PlotNumber,0),MATCH("Tenure",PlotTitles,0))="Open market housing",INDEX(PlotData,MATCH($A533,PlotNumber,0),MATCH("Tenure detail",PlotTitles,0))="Private rented sector"),INDEX(PlotData,MATCH($A533,PlotNumber,0),MATCH("Tenure",PlotTitles,0))="Affordable rent")),"",NOT(INDEX(PlotData,MATCH($A533,PlotNumber,0),MATCH(S$3,PlotTitles,0))=0), $AB$24,TRUE,"")</f>
        <v/>
      </c>
      <c r="V533" s="114" t="str" cm="1">
        <f t="array" aca="1" ref="V533" ca="1">_xlfn.IFS(ISBLANK(NumberOfPlots),"Enter the number of homes on the 1_SetUp sheet",AND(A533&gt;NumberOfPlots,ISBLANK(INDEX(PlotData,MATCH($A533,PlotNumber,0),MATCH(B$3,PlotTitles,0)))),"No error",NOT(B533=""),B533,NOT(C533=""),C533,NOT(D533=""),D533,NOT(E533=""),E533,NOT(F533=""),F533,NOT(G533=""),G533,NOT(H533=""),H533,NOT(I533=""),I533,NOT(J533=""),J533,NOT(K533=""),K533,NOT(L533=""),L533,NOT(M533=""),M533,NOT(N533=""),N533,NOT(O533=""),O533,NOT(P533=""),P533,NOT(Q533=""),Q533,NOT(R533=""),R533,NOT(S533=""),S533,NOT(T533=""),T533,NOT(U533=""),U533,TRUE,"No error")</f>
        <v>Enter the number of homes on the 1_SetUp sheet</v>
      </c>
      <c r="W533" s="114" t="str">
        <f t="shared" ca="1" si="26"/>
        <v xml:space="preserve">The Borrower has not addressed the following error messages for Home ID 529: </v>
      </c>
    </row>
    <row r="534" spans="1:23">
      <c r="A534" s="123">
        <v>530</v>
      </c>
      <c r="B534" s="104" t="str" cm="1">
        <f t="array" ref="B534">_xlfn.IFS(AND(A534&gt;NumberOfPlots,ISBLANK(INDEX(PlotData,MATCH($A534,PlotNumber,0),MATCH(B$3,PlotTitles,0)))),"",ISNUMBER(INDEX(PlotData,MATCH($A534,PlotNumber,0),MATCH(B$3,PlotTitles,0)))=FALSE, $AB$5,TRUE,"")</f>
        <v/>
      </c>
      <c r="C534" s="104" t="str" cm="1">
        <f t="array" ref="C534">_xlfn.IFS(AND(A534&gt;NumberOfPlots,ISBLANK(INDEX(PlotData,MATCH($A534,PlotNumber,0),MATCH(B$3,PlotTitles,0)))),"",ISBLANK(INDEX(PlotData,MATCH($A534,PlotNumber,0),MATCH(C$3,PlotTitles,0))),$AB$6,TRUE,"")</f>
        <v/>
      </c>
      <c r="D534" s="104" t="str" cm="1">
        <f t="array" ref="D534">_xlfn.IFS(AND(A534&gt;NumberOfPlots,ISBLANK(INDEX(PlotData,MATCH($A534,PlotNumber,0),MATCH(B$3,PlotTitles,0)))),"",ISBLANK(INDEX(PlotData,MATCH($A534,PlotNumber,0),MATCH(D$3,PlotTitles,0))),$AB$7,TRUE,"")</f>
        <v/>
      </c>
      <c r="E534" s="104" t="str" cm="1">
        <f t="array" ref="E534">_xlfn.IFS(AND(A534&gt;NumberOfPlots,ISBLANK(INDEX(PlotData,MATCH($A534,PlotNumber,0),MATCH(B$3,PlotTitles,0)))),"",ISBLANK(INDEX(PlotData,MATCH($A534,PlotNumber,0),MATCH(E$3,PlotTitles,0))),$AB$8,TRUE,"")</f>
        <v/>
      </c>
      <c r="F534" s="104" t="str" cm="1">
        <f t="array" ref="F534">_xlfn.IFS(AND(A534&gt;NumberOfPlots,ISBLANK(INDEX(PlotData,MATCH($A534,PlotNumber,0),MATCH(B$3,PlotTitles,0)))),"",ISBLANK(INDEX(PlotData,MATCH($A534,PlotNumber,0),MATCH(F$3,PlotTitles,0))),$AB$9,TRUE,"")</f>
        <v/>
      </c>
      <c r="G534" s="104" t="str" cm="1">
        <f t="array" ref="G534">_xlfn.IFS(AND(A534&gt;NumberOfPlots,ISBLANK(INDEX(PlotData,MATCH($A534,PlotNumber,0),MATCH(B$3,PlotTitles,0)))),"",ISBLANK(INDEX(PlotData,MATCH($A534,PlotNumber,0),MATCH(G$3,PlotTitles,0))),$AB$10,TRUE,"")</f>
        <v/>
      </c>
      <c r="H534" s="104" t="str" cm="1">
        <f t="array" ref="H534">_xlfn.IFS(AND(A534&gt;NumberOfPlots,ISBLANK(INDEX(PlotData,MATCH($A534,PlotNumber,0),MATCH(B$3,PlotTitles,0)))),"",AND(ISBLANK(INDEX(PlotData,MATCH($A534,PlotNumber,0),MATCH(H$3,PlotTitles,0)))=FALSE,INDEX(PlotData,MATCH($A534,PlotNumber,0),MATCH(H$3,PlotTitles,0))&lt;500), $AB$11,TRUE,"")</f>
        <v/>
      </c>
      <c r="I534" s="104" t="str" cm="1">
        <f t="array" ref="I534">_xlfn.IFS(AND(A534&gt;NumberOfPlots,ISBLANK(INDEX(PlotData,MATCH($A534,PlotNumber,0),MATCH(B$3,PlotTitles,0)))),"",ISBLANK(INDEX(PlotData,MATCH($A534,PlotNumber,0),MATCH(I$3,PlotTitles,0))),$AB$12,TRUE,"")</f>
        <v/>
      </c>
      <c r="J534" s="104" t="str" cm="1">
        <f t="array" ref="J534">_xlfn.IFS(AND(A534&gt;NumberOfPlots,ISBLANK(INDEX(PlotData,MATCH($A534,PlotNumber,0),MATCH(B$3,PlotTitles,0)))),"",ISBLANK(INDEX(PlotData,MATCH($A534,PlotNumber,0),MATCH(J$3,PlotTitles,0))),$AB$13,TRUE,"")</f>
        <v/>
      </c>
      <c r="K534" s="182" t="str">
        <f t="shared" ca="1" si="24"/>
        <v/>
      </c>
      <c r="L534" s="104" t="str" cm="1">
        <f t="array" ref="L534">_xlfn.IFS(OR(ISBLANK(StartDateMonth),ISBLANK(StartDateYear)),"",AND(A534&gt;NumberOfPlots,ISBLANK(INDEX(PlotData,MATCH($A534,PlotNumber,0),MATCH(B$3,PlotTitles,0)))),"",ISBLANK(INDEX(PlotData,MATCH($A534,PlotNumber,0),MATCH(I$3,PlotTitles,0))),"",(DATEVALUE(INDEX(PlotData,MATCH($A534,PlotNumber,0),MATCH(I$3,PlotTitles,0))&amp;INDEX(PlotData,MATCH($A534,PlotNumber,0),MATCH(J$3,PlotTitles,0))))&lt;DATEVALUE(StartDateMonth&amp;StartDateYear),$AB$15,TRUE,"")</f>
        <v/>
      </c>
      <c r="M534" s="104" t="str" cm="1">
        <f t="array" ref="M534">_xlfn.IFS(OR(ISBLANK(StartDateMonth),ISBLANK(StartDateYear)),"",AND(A534&gt;NumberOfPlots,ISBLANK(INDEX(PlotData,MATCH($A534,PlotNumber,0),MATCH(B$3,PlotTitles,0)))),"",ISBLANK(INDEX(PlotData,MATCH($A534,PlotNumber,0),MATCH(I$3,PlotTitles,0))),"",CompletionMonth="","",(DATEVALUE(INDEX(PlotData,MATCH($A534,PlotNumber,0),MATCH(I$3,PlotTitles,0))&amp;INDEX(PlotData,MATCH($A534,PlotNumber,0),MATCH(J$3,PlotTitles,0))))&gt;(DATEVALUE(CompletionMonth&amp;CompletionYear)),$AB$16,TRUE,"")</f>
        <v/>
      </c>
      <c r="N534" s="104" t="str" cm="1">
        <f t="array" ref="N534">_xlfn.IFS(AND(A534&gt;NumberOfPlots,ISBLANK(INDEX(PlotData,MATCH($A534,PlotNumber,0),MATCH(B$3,PlotTitles,0)))),"",ISBLANK(INDEX(PlotData,MATCH($A534,PlotNumber,0),MATCH(N$3,PlotTitles,0))),$AB$17,TRUE,"")</f>
        <v/>
      </c>
      <c r="O534" s="104" t="str" cm="1">
        <f t="array" ref="O534">_xlfn.IFS(AND(A534&gt;NumberOfPlots,ISBLANK(INDEX(PlotData,MATCH($A534,PlotNumber,0),MATCH(B$3,PlotTitles,0)))),"",ISBLANK(INDEX(PlotData,MATCH($A534,PlotNumber,0),MATCH(O$3,PlotTitles,0))),$AB$18,TRUE,"")</f>
        <v/>
      </c>
      <c r="P534" s="182" t="str">
        <f t="shared" ca="1" si="25"/>
        <v/>
      </c>
      <c r="Q534" s="104" t="str" cm="1">
        <f t="array" ref="Q534">_xlfn.IFS(AND(A534&gt;NumberOfPlots,ISBLANK(INDEX(PlotData,MATCH($A534,PlotNumber,0),MATCH(B$3,PlotTitles,0)))),"",ISBLANK(INDEX(PlotData,MATCH($A534,PlotNumber,0),MATCH(N$3,PlotTitles,0))),"",(DATEVALUE(INDEX(PlotData,MATCH($A534,PlotNumber,0),MATCH(N$3,PlotTitles,0))&amp;INDEX(PlotData,MATCH($A534,PlotNumber,0),MATCH(O$3,PlotTitles,0))))&lt;(DATEVALUE(INDEX(PlotData,MATCH($A534,PlotNumber,0),MATCH(I$3,PlotTitles,0))&amp;INDEX(PlotData,MATCH($A534,PlotNumber,0),MATCH(J$3,PlotTitles,0)))),$AB$20,TRUE,"")</f>
        <v/>
      </c>
      <c r="R534" s="104" t="str" cm="1">
        <f t="array" ref="R534">_xlfn.IFS(OR(ISBLANK(StartDateMonth),ISBLANK(StartDateYear)),"",AND(A534&gt;NumberOfPlots,ISBLANK(INDEX(PlotData,MATCH($A534,PlotNumber,0),MATCH(B$3,PlotTitles,0)))),"",ISBLANK(INDEX(PlotData,MATCH($A534,PlotNumber,0),MATCH(N$3,PlotTitles,0))),"",CompletionMonth="","",(DATEVALUE(INDEX(PlotData,MATCH($A534,PlotNumber,0),MATCH(N$3,PlotTitles,0))&amp;INDEX(PlotData,MATCH($A534,PlotNumber,0),MATCH(O$3,PlotTitles,0))))&gt;(DATEVALUE(CompletionMonth&amp;CompletionYear)),$AB$21,TRUE,"")</f>
        <v/>
      </c>
      <c r="S534" s="104" t="str" cm="1">
        <f t="array" ref="S534">_xlfn.IFS(AND(A534&gt;NumberOfPlots,ISBLANK(INDEX(PlotData,MATCH($A534,PlotNumber,0),MATCH(B$3,PlotTitles,0)))),"",OR(AND(INDEX(PlotData,MATCH($A534,PlotNumber,0),MATCH("Tenure",PlotTitles,0))="Open market housing",INDEX(PlotData,MATCH($A534,PlotNumber,0),MATCH("Tenure detail",PlotTitles,0))="Private rented sector"),INDEX(PlotData,MATCH($A534,PlotNumber,0),MATCH("Tenure",PlotTitles,0))="Affordable rent"),"",ISNUMBER(INDEX(PlotData,MATCH($A534,PlotNumber,0),MATCH(S$3,PlotTitles,0)))=FALSE, $AB$22,TRUE,"")</f>
        <v/>
      </c>
      <c r="T534" s="104" t="str" cm="1">
        <f t="array" ref="T534">_xlfn.IFS(AND(A534&gt;NumberOfPlots,ISBLANK(INDEX(PlotData,MATCH($A534,PlotNumber,0),MATCH(B$3,PlotTitles,0)))),"",OR(AND(INDEX(PlotData,MATCH($A534,PlotNumber,0),MATCH("Tenure",PlotTitles,0))="Open market housing",INDEX(PlotData,MATCH($A534,PlotNumber,0),MATCH("Tenure detail",PlotTitles,0))="Private rented sector"),INDEX(PlotData,MATCH($A534,PlotNumber,0),MATCH("Tenure",PlotTitles,0))="Affordable rent"),"",INDEX(PlotData,MATCH($A534,PlotNumber,0),MATCH(S$3,PlotTitles,0))&lt;10000, $AB$23,TRUE,"")</f>
        <v/>
      </c>
      <c r="U534" s="104" t="str" cm="1">
        <f t="array" ref="U534">_xlfn.IFS(AND(A534&gt;NumberOfPlots,ISBLANK(INDEX(PlotData,MATCH($A534,PlotNumber,0),MATCH(B$3,PlotTitles,0)))),"",NOT(OR(AND(INDEX(PlotData,MATCH($A534,PlotNumber,0),MATCH("Tenure",PlotTitles,0))="Open market housing",INDEX(PlotData,MATCH($A534,PlotNumber,0),MATCH("Tenure detail",PlotTitles,0))="Private rented sector"),INDEX(PlotData,MATCH($A534,PlotNumber,0),MATCH("Tenure",PlotTitles,0))="Affordable rent")),"",NOT(INDEX(PlotData,MATCH($A534,PlotNumber,0),MATCH(S$3,PlotTitles,0))=0), $AB$24,TRUE,"")</f>
        <v/>
      </c>
      <c r="V534" s="114" t="str" cm="1">
        <f t="array" aca="1" ref="V534" ca="1">_xlfn.IFS(ISBLANK(NumberOfPlots),"Enter the number of homes on the 1_SetUp sheet",AND(A534&gt;NumberOfPlots,ISBLANK(INDEX(PlotData,MATCH($A534,PlotNumber,0),MATCH(B$3,PlotTitles,0)))),"No error",NOT(B534=""),B534,NOT(C534=""),C534,NOT(D534=""),D534,NOT(E534=""),E534,NOT(F534=""),F534,NOT(G534=""),G534,NOT(H534=""),H534,NOT(I534=""),I534,NOT(J534=""),J534,NOT(K534=""),K534,NOT(L534=""),L534,NOT(M534=""),M534,NOT(N534=""),N534,NOT(O534=""),O534,NOT(P534=""),P534,NOT(Q534=""),Q534,NOT(R534=""),R534,NOT(S534=""),S534,NOT(T534=""),T534,NOT(U534=""),U534,TRUE,"No error")</f>
        <v>Enter the number of homes on the 1_SetUp sheet</v>
      </c>
      <c r="W534" s="114" t="str">
        <f t="shared" ca="1" si="26"/>
        <v xml:space="preserve">The Borrower has not addressed the following error messages for Home ID 530: </v>
      </c>
    </row>
    <row r="535" spans="1:23">
      <c r="A535" s="123">
        <v>531</v>
      </c>
      <c r="B535" s="104" t="str" cm="1">
        <f t="array" ref="B535">_xlfn.IFS(AND(A535&gt;NumberOfPlots,ISBLANK(INDEX(PlotData,MATCH($A535,PlotNumber,0),MATCH(B$3,PlotTitles,0)))),"",ISNUMBER(INDEX(PlotData,MATCH($A535,PlotNumber,0),MATCH(B$3,PlotTitles,0)))=FALSE, $AB$5,TRUE,"")</f>
        <v/>
      </c>
      <c r="C535" s="104" t="str" cm="1">
        <f t="array" ref="C535">_xlfn.IFS(AND(A535&gt;NumberOfPlots,ISBLANK(INDEX(PlotData,MATCH($A535,PlotNumber,0),MATCH(B$3,PlotTitles,0)))),"",ISBLANK(INDEX(PlotData,MATCH($A535,PlotNumber,0),MATCH(C$3,PlotTitles,0))),$AB$6,TRUE,"")</f>
        <v/>
      </c>
      <c r="D535" s="104" t="str" cm="1">
        <f t="array" ref="D535">_xlfn.IFS(AND(A535&gt;NumberOfPlots,ISBLANK(INDEX(PlotData,MATCH($A535,PlotNumber,0),MATCH(B$3,PlotTitles,0)))),"",ISBLANK(INDEX(PlotData,MATCH($A535,PlotNumber,0),MATCH(D$3,PlotTitles,0))),$AB$7,TRUE,"")</f>
        <v/>
      </c>
      <c r="E535" s="104" t="str" cm="1">
        <f t="array" ref="E535">_xlfn.IFS(AND(A535&gt;NumberOfPlots,ISBLANK(INDEX(PlotData,MATCH($A535,PlotNumber,0),MATCH(B$3,PlotTitles,0)))),"",ISBLANK(INDEX(PlotData,MATCH($A535,PlotNumber,0),MATCH(E$3,PlotTitles,0))),$AB$8,TRUE,"")</f>
        <v/>
      </c>
      <c r="F535" s="104" t="str" cm="1">
        <f t="array" ref="F535">_xlfn.IFS(AND(A535&gt;NumberOfPlots,ISBLANK(INDEX(PlotData,MATCH($A535,PlotNumber,0),MATCH(B$3,PlotTitles,0)))),"",ISBLANK(INDEX(PlotData,MATCH($A535,PlotNumber,0),MATCH(F$3,PlotTitles,0))),$AB$9,TRUE,"")</f>
        <v/>
      </c>
      <c r="G535" s="104" t="str" cm="1">
        <f t="array" ref="G535">_xlfn.IFS(AND(A535&gt;NumberOfPlots,ISBLANK(INDEX(PlotData,MATCH($A535,PlotNumber,0),MATCH(B$3,PlotTitles,0)))),"",ISBLANK(INDEX(PlotData,MATCH($A535,PlotNumber,0),MATCH(G$3,PlotTitles,0))),$AB$10,TRUE,"")</f>
        <v/>
      </c>
      <c r="H535" s="104" t="str" cm="1">
        <f t="array" ref="H535">_xlfn.IFS(AND(A535&gt;NumberOfPlots,ISBLANK(INDEX(PlotData,MATCH($A535,PlotNumber,0),MATCH(B$3,PlotTitles,0)))),"",AND(ISBLANK(INDEX(PlotData,MATCH($A535,PlotNumber,0),MATCH(H$3,PlotTitles,0)))=FALSE,INDEX(PlotData,MATCH($A535,PlotNumber,0),MATCH(H$3,PlotTitles,0))&lt;500), $AB$11,TRUE,"")</f>
        <v/>
      </c>
      <c r="I535" s="104" t="str" cm="1">
        <f t="array" ref="I535">_xlfn.IFS(AND(A535&gt;NumberOfPlots,ISBLANK(INDEX(PlotData,MATCH($A535,PlotNumber,0),MATCH(B$3,PlotTitles,0)))),"",ISBLANK(INDEX(PlotData,MATCH($A535,PlotNumber,0),MATCH(I$3,PlotTitles,0))),$AB$12,TRUE,"")</f>
        <v/>
      </c>
      <c r="J535" s="104" t="str" cm="1">
        <f t="array" ref="J535">_xlfn.IFS(AND(A535&gt;NumberOfPlots,ISBLANK(INDEX(PlotData,MATCH($A535,PlotNumber,0),MATCH(B$3,PlotTitles,0)))),"",ISBLANK(INDEX(PlotData,MATCH($A535,PlotNumber,0),MATCH(J$3,PlotTitles,0))),$AB$13,TRUE,"")</f>
        <v/>
      </c>
      <c r="K535" s="182" t="str">
        <f t="shared" ca="1" si="24"/>
        <v/>
      </c>
      <c r="L535" s="104" t="str" cm="1">
        <f t="array" ref="L535">_xlfn.IFS(OR(ISBLANK(StartDateMonth),ISBLANK(StartDateYear)),"",AND(A535&gt;NumberOfPlots,ISBLANK(INDEX(PlotData,MATCH($A535,PlotNumber,0),MATCH(B$3,PlotTitles,0)))),"",ISBLANK(INDEX(PlotData,MATCH($A535,PlotNumber,0),MATCH(I$3,PlotTitles,0))),"",(DATEVALUE(INDEX(PlotData,MATCH($A535,PlotNumber,0),MATCH(I$3,PlotTitles,0))&amp;INDEX(PlotData,MATCH($A535,PlotNumber,0),MATCH(J$3,PlotTitles,0))))&lt;DATEVALUE(StartDateMonth&amp;StartDateYear),$AB$15,TRUE,"")</f>
        <v/>
      </c>
      <c r="M535" s="104" t="str" cm="1">
        <f t="array" ref="M535">_xlfn.IFS(OR(ISBLANK(StartDateMonth),ISBLANK(StartDateYear)),"",AND(A535&gt;NumberOfPlots,ISBLANK(INDEX(PlotData,MATCH($A535,PlotNumber,0),MATCH(B$3,PlotTitles,0)))),"",ISBLANK(INDEX(PlotData,MATCH($A535,PlotNumber,0),MATCH(I$3,PlotTitles,0))),"",CompletionMonth="","",(DATEVALUE(INDEX(PlotData,MATCH($A535,PlotNumber,0),MATCH(I$3,PlotTitles,0))&amp;INDEX(PlotData,MATCH($A535,PlotNumber,0),MATCH(J$3,PlotTitles,0))))&gt;(DATEVALUE(CompletionMonth&amp;CompletionYear)),$AB$16,TRUE,"")</f>
        <v/>
      </c>
      <c r="N535" s="104" t="str" cm="1">
        <f t="array" ref="N535">_xlfn.IFS(AND(A535&gt;NumberOfPlots,ISBLANK(INDEX(PlotData,MATCH($A535,PlotNumber,0),MATCH(B$3,PlotTitles,0)))),"",ISBLANK(INDEX(PlotData,MATCH($A535,PlotNumber,0),MATCH(N$3,PlotTitles,0))),$AB$17,TRUE,"")</f>
        <v/>
      </c>
      <c r="O535" s="104" t="str" cm="1">
        <f t="array" ref="O535">_xlfn.IFS(AND(A535&gt;NumberOfPlots,ISBLANK(INDEX(PlotData,MATCH($A535,PlotNumber,0),MATCH(B$3,PlotTitles,0)))),"",ISBLANK(INDEX(PlotData,MATCH($A535,PlotNumber,0),MATCH(O$3,PlotTitles,0))),$AB$18,TRUE,"")</f>
        <v/>
      </c>
      <c r="P535" s="182" t="str">
        <f t="shared" ca="1" si="25"/>
        <v/>
      </c>
      <c r="Q535" s="104" t="str" cm="1">
        <f t="array" ref="Q535">_xlfn.IFS(AND(A535&gt;NumberOfPlots,ISBLANK(INDEX(PlotData,MATCH($A535,PlotNumber,0),MATCH(B$3,PlotTitles,0)))),"",ISBLANK(INDEX(PlotData,MATCH($A535,PlotNumber,0),MATCH(N$3,PlotTitles,0))),"",(DATEVALUE(INDEX(PlotData,MATCH($A535,PlotNumber,0),MATCH(N$3,PlotTitles,0))&amp;INDEX(PlotData,MATCH($A535,PlotNumber,0),MATCH(O$3,PlotTitles,0))))&lt;(DATEVALUE(INDEX(PlotData,MATCH($A535,PlotNumber,0),MATCH(I$3,PlotTitles,0))&amp;INDEX(PlotData,MATCH($A535,PlotNumber,0),MATCH(J$3,PlotTitles,0)))),$AB$20,TRUE,"")</f>
        <v/>
      </c>
      <c r="R535" s="104" t="str" cm="1">
        <f t="array" ref="R535">_xlfn.IFS(OR(ISBLANK(StartDateMonth),ISBLANK(StartDateYear)),"",AND(A535&gt;NumberOfPlots,ISBLANK(INDEX(PlotData,MATCH($A535,PlotNumber,0),MATCH(B$3,PlotTitles,0)))),"",ISBLANK(INDEX(PlotData,MATCH($A535,PlotNumber,0),MATCH(N$3,PlotTitles,0))),"",CompletionMonth="","",(DATEVALUE(INDEX(PlotData,MATCH($A535,PlotNumber,0),MATCH(N$3,PlotTitles,0))&amp;INDEX(PlotData,MATCH($A535,PlotNumber,0),MATCH(O$3,PlotTitles,0))))&gt;(DATEVALUE(CompletionMonth&amp;CompletionYear)),$AB$21,TRUE,"")</f>
        <v/>
      </c>
      <c r="S535" s="104" t="str" cm="1">
        <f t="array" ref="S535">_xlfn.IFS(AND(A535&gt;NumberOfPlots,ISBLANK(INDEX(PlotData,MATCH($A535,PlotNumber,0),MATCH(B$3,PlotTitles,0)))),"",OR(AND(INDEX(PlotData,MATCH($A535,PlotNumber,0),MATCH("Tenure",PlotTitles,0))="Open market housing",INDEX(PlotData,MATCH($A535,PlotNumber,0),MATCH("Tenure detail",PlotTitles,0))="Private rented sector"),INDEX(PlotData,MATCH($A535,PlotNumber,0),MATCH("Tenure",PlotTitles,0))="Affordable rent"),"",ISNUMBER(INDEX(PlotData,MATCH($A535,PlotNumber,0),MATCH(S$3,PlotTitles,0)))=FALSE, $AB$22,TRUE,"")</f>
        <v/>
      </c>
      <c r="T535" s="104" t="str" cm="1">
        <f t="array" ref="T535">_xlfn.IFS(AND(A535&gt;NumberOfPlots,ISBLANK(INDEX(PlotData,MATCH($A535,PlotNumber,0),MATCH(B$3,PlotTitles,0)))),"",OR(AND(INDEX(PlotData,MATCH($A535,PlotNumber,0),MATCH("Tenure",PlotTitles,0))="Open market housing",INDEX(PlotData,MATCH($A535,PlotNumber,0),MATCH("Tenure detail",PlotTitles,0))="Private rented sector"),INDEX(PlotData,MATCH($A535,PlotNumber,0),MATCH("Tenure",PlotTitles,0))="Affordable rent"),"",INDEX(PlotData,MATCH($A535,PlotNumber,0),MATCH(S$3,PlotTitles,0))&lt;10000, $AB$23,TRUE,"")</f>
        <v/>
      </c>
      <c r="U535" s="104" t="str" cm="1">
        <f t="array" ref="U535">_xlfn.IFS(AND(A535&gt;NumberOfPlots,ISBLANK(INDEX(PlotData,MATCH($A535,PlotNumber,0),MATCH(B$3,PlotTitles,0)))),"",NOT(OR(AND(INDEX(PlotData,MATCH($A535,PlotNumber,0),MATCH("Tenure",PlotTitles,0))="Open market housing",INDEX(PlotData,MATCH($A535,PlotNumber,0),MATCH("Tenure detail",PlotTitles,0))="Private rented sector"),INDEX(PlotData,MATCH($A535,PlotNumber,0),MATCH("Tenure",PlotTitles,0))="Affordable rent")),"",NOT(INDEX(PlotData,MATCH($A535,PlotNumber,0),MATCH(S$3,PlotTitles,0))=0), $AB$24,TRUE,"")</f>
        <v/>
      </c>
      <c r="V535" s="114" t="str" cm="1">
        <f t="array" aca="1" ref="V535" ca="1">_xlfn.IFS(ISBLANK(NumberOfPlots),"Enter the number of homes on the 1_SetUp sheet",AND(A535&gt;NumberOfPlots,ISBLANK(INDEX(PlotData,MATCH($A535,PlotNumber,0),MATCH(B$3,PlotTitles,0)))),"No error",NOT(B535=""),B535,NOT(C535=""),C535,NOT(D535=""),D535,NOT(E535=""),E535,NOT(F535=""),F535,NOT(G535=""),G535,NOT(H535=""),H535,NOT(I535=""),I535,NOT(J535=""),J535,NOT(K535=""),K535,NOT(L535=""),L535,NOT(M535=""),M535,NOT(N535=""),N535,NOT(O535=""),O535,NOT(P535=""),P535,NOT(Q535=""),Q535,NOT(R535=""),R535,NOT(S535=""),S535,NOT(T535=""),T535,NOT(U535=""),U535,TRUE,"No error")</f>
        <v>Enter the number of homes on the 1_SetUp sheet</v>
      </c>
      <c r="W535" s="114" t="str">
        <f t="shared" ca="1" si="26"/>
        <v xml:space="preserve">The Borrower has not addressed the following error messages for Home ID 531: </v>
      </c>
    </row>
    <row r="536" spans="1:23">
      <c r="A536" s="123">
        <v>532</v>
      </c>
      <c r="B536" s="104" t="str" cm="1">
        <f t="array" ref="B536">_xlfn.IFS(AND(A536&gt;NumberOfPlots,ISBLANK(INDEX(PlotData,MATCH($A536,PlotNumber,0),MATCH(B$3,PlotTitles,0)))),"",ISNUMBER(INDEX(PlotData,MATCH($A536,PlotNumber,0),MATCH(B$3,PlotTitles,0)))=FALSE, $AB$5,TRUE,"")</f>
        <v/>
      </c>
      <c r="C536" s="104" t="str" cm="1">
        <f t="array" ref="C536">_xlfn.IFS(AND(A536&gt;NumberOfPlots,ISBLANK(INDEX(PlotData,MATCH($A536,PlotNumber,0),MATCH(B$3,PlotTitles,0)))),"",ISBLANK(INDEX(PlotData,MATCH($A536,PlotNumber,0),MATCH(C$3,PlotTitles,0))),$AB$6,TRUE,"")</f>
        <v/>
      </c>
      <c r="D536" s="104" t="str" cm="1">
        <f t="array" ref="D536">_xlfn.IFS(AND(A536&gt;NumberOfPlots,ISBLANK(INDEX(PlotData,MATCH($A536,PlotNumber,0),MATCH(B$3,PlotTitles,0)))),"",ISBLANK(INDEX(PlotData,MATCH($A536,PlotNumber,0),MATCH(D$3,PlotTitles,0))),$AB$7,TRUE,"")</f>
        <v/>
      </c>
      <c r="E536" s="104" t="str" cm="1">
        <f t="array" ref="E536">_xlfn.IFS(AND(A536&gt;NumberOfPlots,ISBLANK(INDEX(PlotData,MATCH($A536,PlotNumber,0),MATCH(B$3,PlotTitles,0)))),"",ISBLANK(INDEX(PlotData,MATCH($A536,PlotNumber,0),MATCH(E$3,PlotTitles,0))),$AB$8,TRUE,"")</f>
        <v/>
      </c>
      <c r="F536" s="104" t="str" cm="1">
        <f t="array" ref="F536">_xlfn.IFS(AND(A536&gt;NumberOfPlots,ISBLANK(INDEX(PlotData,MATCH($A536,PlotNumber,0),MATCH(B$3,PlotTitles,0)))),"",ISBLANK(INDEX(PlotData,MATCH($A536,PlotNumber,0),MATCH(F$3,PlotTitles,0))),$AB$9,TRUE,"")</f>
        <v/>
      </c>
      <c r="G536" s="104" t="str" cm="1">
        <f t="array" ref="G536">_xlfn.IFS(AND(A536&gt;NumberOfPlots,ISBLANK(INDEX(PlotData,MATCH($A536,PlotNumber,0),MATCH(B$3,PlotTitles,0)))),"",ISBLANK(INDEX(PlotData,MATCH($A536,PlotNumber,0),MATCH(G$3,PlotTitles,0))),$AB$10,TRUE,"")</f>
        <v/>
      </c>
      <c r="H536" s="104" t="str" cm="1">
        <f t="array" ref="H536">_xlfn.IFS(AND(A536&gt;NumberOfPlots,ISBLANK(INDEX(PlotData,MATCH($A536,PlotNumber,0),MATCH(B$3,PlotTitles,0)))),"",AND(ISBLANK(INDEX(PlotData,MATCH($A536,PlotNumber,0),MATCH(H$3,PlotTitles,0)))=FALSE,INDEX(PlotData,MATCH($A536,PlotNumber,0),MATCH(H$3,PlotTitles,0))&lt;500), $AB$11,TRUE,"")</f>
        <v/>
      </c>
      <c r="I536" s="104" t="str" cm="1">
        <f t="array" ref="I536">_xlfn.IFS(AND(A536&gt;NumberOfPlots,ISBLANK(INDEX(PlotData,MATCH($A536,PlotNumber,0),MATCH(B$3,PlotTitles,0)))),"",ISBLANK(INDEX(PlotData,MATCH($A536,PlotNumber,0),MATCH(I$3,PlotTitles,0))),$AB$12,TRUE,"")</f>
        <v/>
      </c>
      <c r="J536" s="104" t="str" cm="1">
        <f t="array" ref="J536">_xlfn.IFS(AND(A536&gt;NumberOfPlots,ISBLANK(INDEX(PlotData,MATCH($A536,PlotNumber,0),MATCH(B$3,PlotTitles,0)))),"",ISBLANK(INDEX(PlotData,MATCH($A536,PlotNumber,0),MATCH(J$3,PlotTitles,0))),$AB$13,TRUE,"")</f>
        <v/>
      </c>
      <c r="K536" s="182" t="str">
        <f t="shared" ca="1" si="24"/>
        <v/>
      </c>
      <c r="L536" s="104" t="str" cm="1">
        <f t="array" ref="L536">_xlfn.IFS(OR(ISBLANK(StartDateMonth),ISBLANK(StartDateYear)),"",AND(A536&gt;NumberOfPlots,ISBLANK(INDEX(PlotData,MATCH($A536,PlotNumber,0),MATCH(B$3,PlotTitles,0)))),"",ISBLANK(INDEX(PlotData,MATCH($A536,PlotNumber,0),MATCH(I$3,PlotTitles,0))),"",(DATEVALUE(INDEX(PlotData,MATCH($A536,PlotNumber,0),MATCH(I$3,PlotTitles,0))&amp;INDEX(PlotData,MATCH($A536,PlotNumber,0),MATCH(J$3,PlotTitles,0))))&lt;DATEVALUE(StartDateMonth&amp;StartDateYear),$AB$15,TRUE,"")</f>
        <v/>
      </c>
      <c r="M536" s="104" t="str" cm="1">
        <f t="array" ref="M536">_xlfn.IFS(OR(ISBLANK(StartDateMonth),ISBLANK(StartDateYear)),"",AND(A536&gt;NumberOfPlots,ISBLANK(INDEX(PlotData,MATCH($A536,PlotNumber,0),MATCH(B$3,PlotTitles,0)))),"",ISBLANK(INDEX(PlotData,MATCH($A536,PlotNumber,0),MATCH(I$3,PlotTitles,0))),"",CompletionMonth="","",(DATEVALUE(INDEX(PlotData,MATCH($A536,PlotNumber,0),MATCH(I$3,PlotTitles,0))&amp;INDEX(PlotData,MATCH($A536,PlotNumber,0),MATCH(J$3,PlotTitles,0))))&gt;(DATEVALUE(CompletionMonth&amp;CompletionYear)),$AB$16,TRUE,"")</f>
        <v/>
      </c>
      <c r="N536" s="104" t="str" cm="1">
        <f t="array" ref="N536">_xlfn.IFS(AND(A536&gt;NumberOfPlots,ISBLANK(INDEX(PlotData,MATCH($A536,PlotNumber,0),MATCH(B$3,PlotTitles,0)))),"",ISBLANK(INDEX(PlotData,MATCH($A536,PlotNumber,0),MATCH(N$3,PlotTitles,0))),$AB$17,TRUE,"")</f>
        <v/>
      </c>
      <c r="O536" s="104" t="str" cm="1">
        <f t="array" ref="O536">_xlfn.IFS(AND(A536&gt;NumberOfPlots,ISBLANK(INDEX(PlotData,MATCH($A536,PlotNumber,0),MATCH(B$3,PlotTitles,0)))),"",ISBLANK(INDEX(PlotData,MATCH($A536,PlotNumber,0),MATCH(O$3,PlotTitles,0))),$AB$18,TRUE,"")</f>
        <v/>
      </c>
      <c r="P536" s="182" t="str">
        <f t="shared" ca="1" si="25"/>
        <v/>
      </c>
      <c r="Q536" s="104" t="str" cm="1">
        <f t="array" ref="Q536">_xlfn.IFS(AND(A536&gt;NumberOfPlots,ISBLANK(INDEX(PlotData,MATCH($A536,PlotNumber,0),MATCH(B$3,PlotTitles,0)))),"",ISBLANK(INDEX(PlotData,MATCH($A536,PlotNumber,0),MATCH(N$3,PlotTitles,0))),"",(DATEVALUE(INDEX(PlotData,MATCH($A536,PlotNumber,0),MATCH(N$3,PlotTitles,0))&amp;INDEX(PlotData,MATCH($A536,PlotNumber,0),MATCH(O$3,PlotTitles,0))))&lt;(DATEVALUE(INDEX(PlotData,MATCH($A536,PlotNumber,0),MATCH(I$3,PlotTitles,0))&amp;INDEX(PlotData,MATCH($A536,PlotNumber,0),MATCH(J$3,PlotTitles,0)))),$AB$20,TRUE,"")</f>
        <v/>
      </c>
      <c r="R536" s="104" t="str" cm="1">
        <f t="array" ref="R536">_xlfn.IFS(OR(ISBLANK(StartDateMonth),ISBLANK(StartDateYear)),"",AND(A536&gt;NumberOfPlots,ISBLANK(INDEX(PlotData,MATCH($A536,PlotNumber,0),MATCH(B$3,PlotTitles,0)))),"",ISBLANK(INDEX(PlotData,MATCH($A536,PlotNumber,0),MATCH(N$3,PlotTitles,0))),"",CompletionMonth="","",(DATEVALUE(INDEX(PlotData,MATCH($A536,PlotNumber,0),MATCH(N$3,PlotTitles,0))&amp;INDEX(PlotData,MATCH($A536,PlotNumber,0),MATCH(O$3,PlotTitles,0))))&gt;(DATEVALUE(CompletionMonth&amp;CompletionYear)),$AB$21,TRUE,"")</f>
        <v/>
      </c>
      <c r="S536" s="104" t="str" cm="1">
        <f t="array" ref="S536">_xlfn.IFS(AND(A536&gt;NumberOfPlots,ISBLANK(INDEX(PlotData,MATCH($A536,PlotNumber,0),MATCH(B$3,PlotTitles,0)))),"",OR(AND(INDEX(PlotData,MATCH($A536,PlotNumber,0),MATCH("Tenure",PlotTitles,0))="Open market housing",INDEX(PlotData,MATCH($A536,PlotNumber,0),MATCH("Tenure detail",PlotTitles,0))="Private rented sector"),INDEX(PlotData,MATCH($A536,PlotNumber,0),MATCH("Tenure",PlotTitles,0))="Affordable rent"),"",ISNUMBER(INDEX(PlotData,MATCH($A536,PlotNumber,0),MATCH(S$3,PlotTitles,0)))=FALSE, $AB$22,TRUE,"")</f>
        <v/>
      </c>
      <c r="T536" s="104" t="str" cm="1">
        <f t="array" ref="T536">_xlfn.IFS(AND(A536&gt;NumberOfPlots,ISBLANK(INDEX(PlotData,MATCH($A536,PlotNumber,0),MATCH(B$3,PlotTitles,0)))),"",OR(AND(INDEX(PlotData,MATCH($A536,PlotNumber,0),MATCH("Tenure",PlotTitles,0))="Open market housing",INDEX(PlotData,MATCH($A536,PlotNumber,0),MATCH("Tenure detail",PlotTitles,0))="Private rented sector"),INDEX(PlotData,MATCH($A536,PlotNumber,0),MATCH("Tenure",PlotTitles,0))="Affordable rent"),"",INDEX(PlotData,MATCH($A536,PlotNumber,0),MATCH(S$3,PlotTitles,0))&lt;10000, $AB$23,TRUE,"")</f>
        <v/>
      </c>
      <c r="U536" s="104" t="str" cm="1">
        <f t="array" ref="U536">_xlfn.IFS(AND(A536&gt;NumberOfPlots,ISBLANK(INDEX(PlotData,MATCH($A536,PlotNumber,0),MATCH(B$3,PlotTitles,0)))),"",NOT(OR(AND(INDEX(PlotData,MATCH($A536,PlotNumber,0),MATCH("Tenure",PlotTitles,0))="Open market housing",INDEX(PlotData,MATCH($A536,PlotNumber,0),MATCH("Tenure detail",PlotTitles,0))="Private rented sector"),INDEX(PlotData,MATCH($A536,PlotNumber,0),MATCH("Tenure",PlotTitles,0))="Affordable rent")),"",NOT(INDEX(PlotData,MATCH($A536,PlotNumber,0),MATCH(S$3,PlotTitles,0))=0), $AB$24,TRUE,"")</f>
        <v/>
      </c>
      <c r="V536" s="114" t="str" cm="1">
        <f t="array" aca="1" ref="V536" ca="1">_xlfn.IFS(ISBLANK(NumberOfPlots),"Enter the number of homes on the 1_SetUp sheet",AND(A536&gt;NumberOfPlots,ISBLANK(INDEX(PlotData,MATCH($A536,PlotNumber,0),MATCH(B$3,PlotTitles,0)))),"No error",NOT(B536=""),B536,NOT(C536=""),C536,NOT(D536=""),D536,NOT(E536=""),E536,NOT(F536=""),F536,NOT(G536=""),G536,NOT(H536=""),H536,NOT(I536=""),I536,NOT(J536=""),J536,NOT(K536=""),K536,NOT(L536=""),L536,NOT(M536=""),M536,NOT(N536=""),N536,NOT(O536=""),O536,NOT(P536=""),P536,NOT(Q536=""),Q536,NOT(R536=""),R536,NOT(S536=""),S536,NOT(T536=""),T536,NOT(U536=""),U536,TRUE,"No error")</f>
        <v>Enter the number of homes on the 1_SetUp sheet</v>
      </c>
      <c r="W536" s="114" t="str">
        <f t="shared" ca="1" si="26"/>
        <v xml:space="preserve">The Borrower has not addressed the following error messages for Home ID 532: </v>
      </c>
    </row>
    <row r="537" spans="1:23">
      <c r="A537" s="123">
        <v>533</v>
      </c>
      <c r="B537" s="104" t="str" cm="1">
        <f t="array" ref="B537">_xlfn.IFS(AND(A537&gt;NumberOfPlots,ISBLANK(INDEX(PlotData,MATCH($A537,PlotNumber,0),MATCH(B$3,PlotTitles,0)))),"",ISNUMBER(INDEX(PlotData,MATCH($A537,PlotNumber,0),MATCH(B$3,PlotTitles,0)))=FALSE, $AB$5,TRUE,"")</f>
        <v/>
      </c>
      <c r="C537" s="104" t="str" cm="1">
        <f t="array" ref="C537">_xlfn.IFS(AND(A537&gt;NumberOfPlots,ISBLANK(INDEX(PlotData,MATCH($A537,PlotNumber,0),MATCH(B$3,PlotTitles,0)))),"",ISBLANK(INDEX(PlotData,MATCH($A537,PlotNumber,0),MATCH(C$3,PlotTitles,0))),$AB$6,TRUE,"")</f>
        <v/>
      </c>
      <c r="D537" s="104" t="str" cm="1">
        <f t="array" ref="D537">_xlfn.IFS(AND(A537&gt;NumberOfPlots,ISBLANK(INDEX(PlotData,MATCH($A537,PlotNumber,0),MATCH(B$3,PlotTitles,0)))),"",ISBLANK(INDEX(PlotData,MATCH($A537,PlotNumber,0),MATCH(D$3,PlotTitles,0))),$AB$7,TRUE,"")</f>
        <v/>
      </c>
      <c r="E537" s="104" t="str" cm="1">
        <f t="array" ref="E537">_xlfn.IFS(AND(A537&gt;NumberOfPlots,ISBLANK(INDEX(PlotData,MATCH($A537,PlotNumber,0),MATCH(B$3,PlotTitles,0)))),"",ISBLANK(INDEX(PlotData,MATCH($A537,PlotNumber,0),MATCH(E$3,PlotTitles,0))),$AB$8,TRUE,"")</f>
        <v/>
      </c>
      <c r="F537" s="104" t="str" cm="1">
        <f t="array" ref="F537">_xlfn.IFS(AND(A537&gt;NumberOfPlots,ISBLANK(INDEX(PlotData,MATCH($A537,PlotNumber,0),MATCH(B$3,PlotTitles,0)))),"",ISBLANK(INDEX(PlotData,MATCH($A537,PlotNumber,0),MATCH(F$3,PlotTitles,0))),$AB$9,TRUE,"")</f>
        <v/>
      </c>
      <c r="G537" s="104" t="str" cm="1">
        <f t="array" ref="G537">_xlfn.IFS(AND(A537&gt;NumberOfPlots,ISBLANK(INDEX(PlotData,MATCH($A537,PlotNumber,0),MATCH(B$3,PlotTitles,0)))),"",ISBLANK(INDEX(PlotData,MATCH($A537,PlotNumber,0),MATCH(G$3,PlotTitles,0))),$AB$10,TRUE,"")</f>
        <v/>
      </c>
      <c r="H537" s="104" t="str" cm="1">
        <f t="array" ref="H537">_xlfn.IFS(AND(A537&gt;NumberOfPlots,ISBLANK(INDEX(PlotData,MATCH($A537,PlotNumber,0),MATCH(B$3,PlotTitles,0)))),"",AND(ISBLANK(INDEX(PlotData,MATCH($A537,PlotNumber,0),MATCH(H$3,PlotTitles,0)))=FALSE,INDEX(PlotData,MATCH($A537,PlotNumber,0),MATCH(H$3,PlotTitles,0))&lt;500), $AB$11,TRUE,"")</f>
        <v/>
      </c>
      <c r="I537" s="104" t="str" cm="1">
        <f t="array" ref="I537">_xlfn.IFS(AND(A537&gt;NumberOfPlots,ISBLANK(INDEX(PlotData,MATCH($A537,PlotNumber,0),MATCH(B$3,PlotTitles,0)))),"",ISBLANK(INDEX(PlotData,MATCH($A537,PlotNumber,0),MATCH(I$3,PlotTitles,0))),$AB$12,TRUE,"")</f>
        <v/>
      </c>
      <c r="J537" s="104" t="str" cm="1">
        <f t="array" ref="J537">_xlfn.IFS(AND(A537&gt;NumberOfPlots,ISBLANK(INDEX(PlotData,MATCH($A537,PlotNumber,0),MATCH(B$3,PlotTitles,0)))),"",ISBLANK(INDEX(PlotData,MATCH($A537,PlotNumber,0),MATCH(J$3,PlotTitles,0))),$AB$13,TRUE,"")</f>
        <v/>
      </c>
      <c r="K537" s="182" t="str">
        <f t="shared" ca="1" si="24"/>
        <v/>
      </c>
      <c r="L537" s="104" t="str" cm="1">
        <f t="array" ref="L537">_xlfn.IFS(OR(ISBLANK(StartDateMonth),ISBLANK(StartDateYear)),"",AND(A537&gt;NumberOfPlots,ISBLANK(INDEX(PlotData,MATCH($A537,PlotNumber,0),MATCH(B$3,PlotTitles,0)))),"",ISBLANK(INDEX(PlotData,MATCH($A537,PlotNumber,0),MATCH(I$3,PlotTitles,0))),"",(DATEVALUE(INDEX(PlotData,MATCH($A537,PlotNumber,0),MATCH(I$3,PlotTitles,0))&amp;INDEX(PlotData,MATCH($A537,PlotNumber,0),MATCH(J$3,PlotTitles,0))))&lt;DATEVALUE(StartDateMonth&amp;StartDateYear),$AB$15,TRUE,"")</f>
        <v/>
      </c>
      <c r="M537" s="104" t="str" cm="1">
        <f t="array" ref="M537">_xlfn.IFS(OR(ISBLANK(StartDateMonth),ISBLANK(StartDateYear)),"",AND(A537&gt;NumberOfPlots,ISBLANK(INDEX(PlotData,MATCH($A537,PlotNumber,0),MATCH(B$3,PlotTitles,0)))),"",ISBLANK(INDEX(PlotData,MATCH($A537,PlotNumber,0),MATCH(I$3,PlotTitles,0))),"",CompletionMonth="","",(DATEVALUE(INDEX(PlotData,MATCH($A537,PlotNumber,0),MATCH(I$3,PlotTitles,0))&amp;INDEX(PlotData,MATCH($A537,PlotNumber,0),MATCH(J$3,PlotTitles,0))))&gt;(DATEVALUE(CompletionMonth&amp;CompletionYear)),$AB$16,TRUE,"")</f>
        <v/>
      </c>
      <c r="N537" s="104" t="str" cm="1">
        <f t="array" ref="N537">_xlfn.IFS(AND(A537&gt;NumberOfPlots,ISBLANK(INDEX(PlotData,MATCH($A537,PlotNumber,0),MATCH(B$3,PlotTitles,0)))),"",ISBLANK(INDEX(PlotData,MATCH($A537,PlotNumber,0),MATCH(N$3,PlotTitles,0))),$AB$17,TRUE,"")</f>
        <v/>
      </c>
      <c r="O537" s="104" t="str" cm="1">
        <f t="array" ref="O537">_xlfn.IFS(AND(A537&gt;NumberOfPlots,ISBLANK(INDEX(PlotData,MATCH($A537,PlotNumber,0),MATCH(B$3,PlotTitles,0)))),"",ISBLANK(INDEX(PlotData,MATCH($A537,PlotNumber,0),MATCH(O$3,PlotTitles,0))),$AB$18,TRUE,"")</f>
        <v/>
      </c>
      <c r="P537" s="182" t="str">
        <f t="shared" ca="1" si="25"/>
        <v/>
      </c>
      <c r="Q537" s="104" t="str" cm="1">
        <f t="array" ref="Q537">_xlfn.IFS(AND(A537&gt;NumberOfPlots,ISBLANK(INDEX(PlotData,MATCH($A537,PlotNumber,0),MATCH(B$3,PlotTitles,0)))),"",ISBLANK(INDEX(PlotData,MATCH($A537,PlotNumber,0),MATCH(N$3,PlotTitles,0))),"",(DATEVALUE(INDEX(PlotData,MATCH($A537,PlotNumber,0),MATCH(N$3,PlotTitles,0))&amp;INDEX(PlotData,MATCH($A537,PlotNumber,0),MATCH(O$3,PlotTitles,0))))&lt;(DATEVALUE(INDEX(PlotData,MATCH($A537,PlotNumber,0),MATCH(I$3,PlotTitles,0))&amp;INDEX(PlotData,MATCH($A537,PlotNumber,0),MATCH(J$3,PlotTitles,0)))),$AB$20,TRUE,"")</f>
        <v/>
      </c>
      <c r="R537" s="104" t="str" cm="1">
        <f t="array" ref="R537">_xlfn.IFS(OR(ISBLANK(StartDateMonth),ISBLANK(StartDateYear)),"",AND(A537&gt;NumberOfPlots,ISBLANK(INDEX(PlotData,MATCH($A537,PlotNumber,0),MATCH(B$3,PlotTitles,0)))),"",ISBLANK(INDEX(PlotData,MATCH($A537,PlotNumber,0),MATCH(N$3,PlotTitles,0))),"",CompletionMonth="","",(DATEVALUE(INDEX(PlotData,MATCH($A537,PlotNumber,0),MATCH(N$3,PlotTitles,0))&amp;INDEX(PlotData,MATCH($A537,PlotNumber,0),MATCH(O$3,PlotTitles,0))))&gt;(DATEVALUE(CompletionMonth&amp;CompletionYear)),$AB$21,TRUE,"")</f>
        <v/>
      </c>
      <c r="S537" s="104" t="str" cm="1">
        <f t="array" ref="S537">_xlfn.IFS(AND(A537&gt;NumberOfPlots,ISBLANK(INDEX(PlotData,MATCH($A537,PlotNumber,0),MATCH(B$3,PlotTitles,0)))),"",OR(AND(INDEX(PlotData,MATCH($A537,PlotNumber,0),MATCH("Tenure",PlotTitles,0))="Open market housing",INDEX(PlotData,MATCH($A537,PlotNumber,0),MATCH("Tenure detail",PlotTitles,0))="Private rented sector"),INDEX(PlotData,MATCH($A537,PlotNumber,0),MATCH("Tenure",PlotTitles,0))="Affordable rent"),"",ISNUMBER(INDEX(PlotData,MATCH($A537,PlotNumber,0),MATCH(S$3,PlotTitles,0)))=FALSE, $AB$22,TRUE,"")</f>
        <v/>
      </c>
      <c r="T537" s="104" t="str" cm="1">
        <f t="array" ref="T537">_xlfn.IFS(AND(A537&gt;NumberOfPlots,ISBLANK(INDEX(PlotData,MATCH($A537,PlotNumber,0),MATCH(B$3,PlotTitles,0)))),"",OR(AND(INDEX(PlotData,MATCH($A537,PlotNumber,0),MATCH("Tenure",PlotTitles,0))="Open market housing",INDEX(PlotData,MATCH($A537,PlotNumber,0),MATCH("Tenure detail",PlotTitles,0))="Private rented sector"),INDEX(PlotData,MATCH($A537,PlotNumber,0),MATCH("Tenure",PlotTitles,0))="Affordable rent"),"",INDEX(PlotData,MATCH($A537,PlotNumber,0),MATCH(S$3,PlotTitles,0))&lt;10000, $AB$23,TRUE,"")</f>
        <v/>
      </c>
      <c r="U537" s="104" t="str" cm="1">
        <f t="array" ref="U537">_xlfn.IFS(AND(A537&gt;NumberOfPlots,ISBLANK(INDEX(PlotData,MATCH($A537,PlotNumber,0),MATCH(B$3,PlotTitles,0)))),"",NOT(OR(AND(INDEX(PlotData,MATCH($A537,PlotNumber,0),MATCH("Tenure",PlotTitles,0))="Open market housing",INDEX(PlotData,MATCH($A537,PlotNumber,0),MATCH("Tenure detail",PlotTitles,0))="Private rented sector"),INDEX(PlotData,MATCH($A537,PlotNumber,0),MATCH("Tenure",PlotTitles,0))="Affordable rent")),"",NOT(INDEX(PlotData,MATCH($A537,PlotNumber,0),MATCH(S$3,PlotTitles,0))=0), $AB$24,TRUE,"")</f>
        <v/>
      </c>
      <c r="V537" s="114" t="str" cm="1">
        <f t="array" aca="1" ref="V537" ca="1">_xlfn.IFS(ISBLANK(NumberOfPlots),"Enter the number of homes on the 1_SetUp sheet",AND(A537&gt;NumberOfPlots,ISBLANK(INDEX(PlotData,MATCH($A537,PlotNumber,0),MATCH(B$3,PlotTitles,0)))),"No error",NOT(B537=""),B537,NOT(C537=""),C537,NOT(D537=""),D537,NOT(E537=""),E537,NOT(F537=""),F537,NOT(G537=""),G537,NOT(H537=""),H537,NOT(I537=""),I537,NOT(J537=""),J537,NOT(K537=""),K537,NOT(L537=""),L537,NOT(M537=""),M537,NOT(N537=""),N537,NOT(O537=""),O537,NOT(P537=""),P537,NOT(Q537=""),Q537,NOT(R537=""),R537,NOT(S537=""),S537,NOT(T537=""),T537,NOT(U537=""),U537,TRUE,"No error")</f>
        <v>Enter the number of homes on the 1_SetUp sheet</v>
      </c>
      <c r="W537" s="114" t="str">
        <f t="shared" ca="1" si="26"/>
        <v xml:space="preserve">The Borrower has not addressed the following error messages for Home ID 533: </v>
      </c>
    </row>
    <row r="538" spans="1:23">
      <c r="A538" s="123">
        <v>534</v>
      </c>
      <c r="B538" s="104" t="str" cm="1">
        <f t="array" ref="B538">_xlfn.IFS(AND(A538&gt;NumberOfPlots,ISBLANK(INDEX(PlotData,MATCH($A538,PlotNumber,0),MATCH(B$3,PlotTitles,0)))),"",ISNUMBER(INDEX(PlotData,MATCH($A538,PlotNumber,0),MATCH(B$3,PlotTitles,0)))=FALSE, $AB$5,TRUE,"")</f>
        <v/>
      </c>
      <c r="C538" s="104" t="str" cm="1">
        <f t="array" ref="C538">_xlfn.IFS(AND(A538&gt;NumberOfPlots,ISBLANK(INDEX(PlotData,MATCH($A538,PlotNumber,0),MATCH(B$3,PlotTitles,0)))),"",ISBLANK(INDEX(PlotData,MATCH($A538,PlotNumber,0),MATCH(C$3,PlotTitles,0))),$AB$6,TRUE,"")</f>
        <v/>
      </c>
      <c r="D538" s="104" t="str" cm="1">
        <f t="array" ref="D538">_xlfn.IFS(AND(A538&gt;NumberOfPlots,ISBLANK(INDEX(PlotData,MATCH($A538,PlotNumber,0),MATCH(B$3,PlotTitles,0)))),"",ISBLANK(INDEX(PlotData,MATCH($A538,PlotNumber,0),MATCH(D$3,PlotTitles,0))),$AB$7,TRUE,"")</f>
        <v/>
      </c>
      <c r="E538" s="104" t="str" cm="1">
        <f t="array" ref="E538">_xlfn.IFS(AND(A538&gt;NumberOfPlots,ISBLANK(INDEX(PlotData,MATCH($A538,PlotNumber,0),MATCH(B$3,PlotTitles,0)))),"",ISBLANK(INDEX(PlotData,MATCH($A538,PlotNumber,0),MATCH(E$3,PlotTitles,0))),$AB$8,TRUE,"")</f>
        <v/>
      </c>
      <c r="F538" s="104" t="str" cm="1">
        <f t="array" ref="F538">_xlfn.IFS(AND(A538&gt;NumberOfPlots,ISBLANK(INDEX(PlotData,MATCH($A538,PlotNumber,0),MATCH(B$3,PlotTitles,0)))),"",ISBLANK(INDEX(PlotData,MATCH($A538,PlotNumber,0),MATCH(F$3,PlotTitles,0))),$AB$9,TRUE,"")</f>
        <v/>
      </c>
      <c r="G538" s="104" t="str" cm="1">
        <f t="array" ref="G538">_xlfn.IFS(AND(A538&gt;NumberOfPlots,ISBLANK(INDEX(PlotData,MATCH($A538,PlotNumber,0),MATCH(B$3,PlotTitles,0)))),"",ISBLANK(INDEX(PlotData,MATCH($A538,PlotNumber,0),MATCH(G$3,PlotTitles,0))),$AB$10,TRUE,"")</f>
        <v/>
      </c>
      <c r="H538" s="104" t="str" cm="1">
        <f t="array" ref="H538">_xlfn.IFS(AND(A538&gt;NumberOfPlots,ISBLANK(INDEX(PlotData,MATCH($A538,PlotNumber,0),MATCH(B$3,PlotTitles,0)))),"",AND(ISBLANK(INDEX(PlotData,MATCH($A538,PlotNumber,0),MATCH(H$3,PlotTitles,0)))=FALSE,INDEX(PlotData,MATCH($A538,PlotNumber,0),MATCH(H$3,PlotTitles,0))&lt;500), $AB$11,TRUE,"")</f>
        <v/>
      </c>
      <c r="I538" s="104" t="str" cm="1">
        <f t="array" ref="I538">_xlfn.IFS(AND(A538&gt;NumberOfPlots,ISBLANK(INDEX(PlotData,MATCH($A538,PlotNumber,0),MATCH(B$3,PlotTitles,0)))),"",ISBLANK(INDEX(PlotData,MATCH($A538,PlotNumber,0),MATCH(I$3,PlotTitles,0))),$AB$12,TRUE,"")</f>
        <v/>
      </c>
      <c r="J538" s="104" t="str" cm="1">
        <f t="array" ref="J538">_xlfn.IFS(AND(A538&gt;NumberOfPlots,ISBLANK(INDEX(PlotData,MATCH($A538,PlotNumber,0),MATCH(B$3,PlotTitles,0)))),"",ISBLANK(INDEX(PlotData,MATCH($A538,PlotNumber,0),MATCH(J$3,PlotTitles,0))),$AB$13,TRUE,"")</f>
        <v/>
      </c>
      <c r="K538" s="182" t="str">
        <f t="shared" ca="1" si="24"/>
        <v/>
      </c>
      <c r="L538" s="104" t="str" cm="1">
        <f t="array" ref="L538">_xlfn.IFS(OR(ISBLANK(StartDateMonth),ISBLANK(StartDateYear)),"",AND(A538&gt;NumberOfPlots,ISBLANK(INDEX(PlotData,MATCH($A538,PlotNumber,0),MATCH(B$3,PlotTitles,0)))),"",ISBLANK(INDEX(PlotData,MATCH($A538,PlotNumber,0),MATCH(I$3,PlotTitles,0))),"",(DATEVALUE(INDEX(PlotData,MATCH($A538,PlotNumber,0),MATCH(I$3,PlotTitles,0))&amp;INDEX(PlotData,MATCH($A538,PlotNumber,0),MATCH(J$3,PlotTitles,0))))&lt;DATEVALUE(StartDateMonth&amp;StartDateYear),$AB$15,TRUE,"")</f>
        <v/>
      </c>
      <c r="M538" s="104" t="str" cm="1">
        <f t="array" ref="M538">_xlfn.IFS(OR(ISBLANK(StartDateMonth),ISBLANK(StartDateYear)),"",AND(A538&gt;NumberOfPlots,ISBLANK(INDEX(PlotData,MATCH($A538,PlotNumber,0),MATCH(B$3,PlotTitles,0)))),"",ISBLANK(INDEX(PlotData,MATCH($A538,PlotNumber,0),MATCH(I$3,PlotTitles,0))),"",CompletionMonth="","",(DATEVALUE(INDEX(PlotData,MATCH($A538,PlotNumber,0),MATCH(I$3,PlotTitles,0))&amp;INDEX(PlotData,MATCH($A538,PlotNumber,0),MATCH(J$3,PlotTitles,0))))&gt;(DATEVALUE(CompletionMonth&amp;CompletionYear)),$AB$16,TRUE,"")</f>
        <v/>
      </c>
      <c r="N538" s="104" t="str" cm="1">
        <f t="array" ref="N538">_xlfn.IFS(AND(A538&gt;NumberOfPlots,ISBLANK(INDEX(PlotData,MATCH($A538,PlotNumber,0),MATCH(B$3,PlotTitles,0)))),"",ISBLANK(INDEX(PlotData,MATCH($A538,PlotNumber,0),MATCH(N$3,PlotTitles,0))),$AB$17,TRUE,"")</f>
        <v/>
      </c>
      <c r="O538" s="104" t="str" cm="1">
        <f t="array" ref="O538">_xlfn.IFS(AND(A538&gt;NumberOfPlots,ISBLANK(INDEX(PlotData,MATCH($A538,PlotNumber,0),MATCH(B$3,PlotTitles,0)))),"",ISBLANK(INDEX(PlotData,MATCH($A538,PlotNumber,0),MATCH(O$3,PlotTitles,0))),$AB$18,TRUE,"")</f>
        <v/>
      </c>
      <c r="P538" s="182" t="str">
        <f t="shared" ca="1" si="25"/>
        <v/>
      </c>
      <c r="Q538" s="104" t="str" cm="1">
        <f t="array" ref="Q538">_xlfn.IFS(AND(A538&gt;NumberOfPlots,ISBLANK(INDEX(PlotData,MATCH($A538,PlotNumber,0),MATCH(B$3,PlotTitles,0)))),"",ISBLANK(INDEX(PlotData,MATCH($A538,PlotNumber,0),MATCH(N$3,PlotTitles,0))),"",(DATEVALUE(INDEX(PlotData,MATCH($A538,PlotNumber,0),MATCH(N$3,PlotTitles,0))&amp;INDEX(PlotData,MATCH($A538,PlotNumber,0),MATCH(O$3,PlotTitles,0))))&lt;(DATEVALUE(INDEX(PlotData,MATCH($A538,PlotNumber,0),MATCH(I$3,PlotTitles,0))&amp;INDEX(PlotData,MATCH($A538,PlotNumber,0),MATCH(J$3,PlotTitles,0)))),$AB$20,TRUE,"")</f>
        <v/>
      </c>
      <c r="R538" s="104" t="str" cm="1">
        <f t="array" ref="R538">_xlfn.IFS(OR(ISBLANK(StartDateMonth),ISBLANK(StartDateYear)),"",AND(A538&gt;NumberOfPlots,ISBLANK(INDEX(PlotData,MATCH($A538,PlotNumber,0),MATCH(B$3,PlotTitles,0)))),"",ISBLANK(INDEX(PlotData,MATCH($A538,PlotNumber,0),MATCH(N$3,PlotTitles,0))),"",CompletionMonth="","",(DATEVALUE(INDEX(PlotData,MATCH($A538,PlotNumber,0),MATCH(N$3,PlotTitles,0))&amp;INDEX(PlotData,MATCH($A538,PlotNumber,0),MATCH(O$3,PlotTitles,0))))&gt;(DATEVALUE(CompletionMonth&amp;CompletionYear)),$AB$21,TRUE,"")</f>
        <v/>
      </c>
      <c r="S538" s="104" t="str" cm="1">
        <f t="array" ref="S538">_xlfn.IFS(AND(A538&gt;NumberOfPlots,ISBLANK(INDEX(PlotData,MATCH($A538,PlotNumber,0),MATCH(B$3,PlotTitles,0)))),"",OR(AND(INDEX(PlotData,MATCH($A538,PlotNumber,0),MATCH("Tenure",PlotTitles,0))="Open market housing",INDEX(PlotData,MATCH($A538,PlotNumber,0),MATCH("Tenure detail",PlotTitles,0))="Private rented sector"),INDEX(PlotData,MATCH($A538,PlotNumber,0),MATCH("Tenure",PlotTitles,0))="Affordable rent"),"",ISNUMBER(INDEX(PlotData,MATCH($A538,PlotNumber,0),MATCH(S$3,PlotTitles,0)))=FALSE, $AB$22,TRUE,"")</f>
        <v/>
      </c>
      <c r="T538" s="104" t="str" cm="1">
        <f t="array" ref="T538">_xlfn.IFS(AND(A538&gt;NumberOfPlots,ISBLANK(INDEX(PlotData,MATCH($A538,PlotNumber,0),MATCH(B$3,PlotTitles,0)))),"",OR(AND(INDEX(PlotData,MATCH($A538,PlotNumber,0),MATCH("Tenure",PlotTitles,0))="Open market housing",INDEX(PlotData,MATCH($A538,PlotNumber,0),MATCH("Tenure detail",PlotTitles,0))="Private rented sector"),INDEX(PlotData,MATCH($A538,PlotNumber,0),MATCH("Tenure",PlotTitles,0))="Affordable rent"),"",INDEX(PlotData,MATCH($A538,PlotNumber,0),MATCH(S$3,PlotTitles,0))&lt;10000, $AB$23,TRUE,"")</f>
        <v/>
      </c>
      <c r="U538" s="104" t="str" cm="1">
        <f t="array" ref="U538">_xlfn.IFS(AND(A538&gt;NumberOfPlots,ISBLANK(INDEX(PlotData,MATCH($A538,PlotNumber,0),MATCH(B$3,PlotTitles,0)))),"",NOT(OR(AND(INDEX(PlotData,MATCH($A538,PlotNumber,0),MATCH("Tenure",PlotTitles,0))="Open market housing",INDEX(PlotData,MATCH($A538,PlotNumber,0),MATCH("Tenure detail",PlotTitles,0))="Private rented sector"),INDEX(PlotData,MATCH($A538,PlotNumber,0),MATCH("Tenure",PlotTitles,0))="Affordable rent")),"",NOT(INDEX(PlotData,MATCH($A538,PlotNumber,0),MATCH(S$3,PlotTitles,0))=0), $AB$24,TRUE,"")</f>
        <v/>
      </c>
      <c r="V538" s="114" t="str" cm="1">
        <f t="array" aca="1" ref="V538" ca="1">_xlfn.IFS(ISBLANK(NumberOfPlots),"Enter the number of homes on the 1_SetUp sheet",AND(A538&gt;NumberOfPlots,ISBLANK(INDEX(PlotData,MATCH($A538,PlotNumber,0),MATCH(B$3,PlotTitles,0)))),"No error",NOT(B538=""),B538,NOT(C538=""),C538,NOT(D538=""),D538,NOT(E538=""),E538,NOT(F538=""),F538,NOT(G538=""),G538,NOT(H538=""),H538,NOT(I538=""),I538,NOT(J538=""),J538,NOT(K538=""),K538,NOT(L538=""),L538,NOT(M538=""),M538,NOT(N538=""),N538,NOT(O538=""),O538,NOT(P538=""),P538,NOT(Q538=""),Q538,NOT(R538=""),R538,NOT(S538=""),S538,NOT(T538=""),T538,NOT(U538=""),U538,TRUE,"No error")</f>
        <v>Enter the number of homes on the 1_SetUp sheet</v>
      </c>
      <c r="W538" s="114" t="str">
        <f t="shared" ca="1" si="26"/>
        <v xml:space="preserve">The Borrower has not addressed the following error messages for Home ID 534: </v>
      </c>
    </row>
    <row r="539" spans="1:23">
      <c r="A539" s="123">
        <v>535</v>
      </c>
      <c r="B539" s="104" t="str" cm="1">
        <f t="array" ref="B539">_xlfn.IFS(AND(A539&gt;NumberOfPlots,ISBLANK(INDEX(PlotData,MATCH($A539,PlotNumber,0),MATCH(B$3,PlotTitles,0)))),"",ISNUMBER(INDEX(PlotData,MATCH($A539,PlotNumber,0),MATCH(B$3,PlotTitles,0)))=FALSE, $AB$5,TRUE,"")</f>
        <v/>
      </c>
      <c r="C539" s="104" t="str" cm="1">
        <f t="array" ref="C539">_xlfn.IFS(AND(A539&gt;NumberOfPlots,ISBLANK(INDEX(PlotData,MATCH($A539,PlotNumber,0),MATCH(B$3,PlotTitles,0)))),"",ISBLANK(INDEX(PlotData,MATCH($A539,PlotNumber,0),MATCH(C$3,PlotTitles,0))),$AB$6,TRUE,"")</f>
        <v/>
      </c>
      <c r="D539" s="104" t="str" cm="1">
        <f t="array" ref="D539">_xlfn.IFS(AND(A539&gt;NumberOfPlots,ISBLANK(INDEX(PlotData,MATCH($A539,PlotNumber,0),MATCH(B$3,PlotTitles,0)))),"",ISBLANK(INDEX(PlotData,MATCH($A539,PlotNumber,0),MATCH(D$3,PlotTitles,0))),$AB$7,TRUE,"")</f>
        <v/>
      </c>
      <c r="E539" s="104" t="str" cm="1">
        <f t="array" ref="E539">_xlfn.IFS(AND(A539&gt;NumberOfPlots,ISBLANK(INDEX(PlotData,MATCH($A539,PlotNumber,0),MATCH(B$3,PlotTitles,0)))),"",ISBLANK(INDEX(PlotData,MATCH($A539,PlotNumber,0),MATCH(E$3,PlotTitles,0))),$AB$8,TRUE,"")</f>
        <v/>
      </c>
      <c r="F539" s="104" t="str" cm="1">
        <f t="array" ref="F539">_xlfn.IFS(AND(A539&gt;NumberOfPlots,ISBLANK(INDEX(PlotData,MATCH($A539,PlotNumber,0),MATCH(B$3,PlotTitles,0)))),"",ISBLANK(INDEX(PlotData,MATCH($A539,PlotNumber,0),MATCH(F$3,PlotTitles,0))),$AB$9,TRUE,"")</f>
        <v/>
      </c>
      <c r="G539" s="104" t="str" cm="1">
        <f t="array" ref="G539">_xlfn.IFS(AND(A539&gt;NumberOfPlots,ISBLANK(INDEX(PlotData,MATCH($A539,PlotNumber,0),MATCH(B$3,PlotTitles,0)))),"",ISBLANK(INDEX(PlotData,MATCH($A539,PlotNumber,0),MATCH(G$3,PlotTitles,0))),$AB$10,TRUE,"")</f>
        <v/>
      </c>
      <c r="H539" s="104" t="str" cm="1">
        <f t="array" ref="H539">_xlfn.IFS(AND(A539&gt;NumberOfPlots,ISBLANK(INDEX(PlotData,MATCH($A539,PlotNumber,0),MATCH(B$3,PlotTitles,0)))),"",AND(ISBLANK(INDEX(PlotData,MATCH($A539,PlotNumber,0),MATCH(H$3,PlotTitles,0)))=FALSE,INDEX(PlotData,MATCH($A539,PlotNumber,0),MATCH(H$3,PlotTitles,0))&lt;500), $AB$11,TRUE,"")</f>
        <v/>
      </c>
      <c r="I539" s="104" t="str" cm="1">
        <f t="array" ref="I539">_xlfn.IFS(AND(A539&gt;NumberOfPlots,ISBLANK(INDEX(PlotData,MATCH($A539,PlotNumber,0),MATCH(B$3,PlotTitles,0)))),"",ISBLANK(INDEX(PlotData,MATCH($A539,PlotNumber,0),MATCH(I$3,PlotTitles,0))),$AB$12,TRUE,"")</f>
        <v/>
      </c>
      <c r="J539" s="104" t="str" cm="1">
        <f t="array" ref="J539">_xlfn.IFS(AND(A539&gt;NumberOfPlots,ISBLANK(INDEX(PlotData,MATCH($A539,PlotNumber,0),MATCH(B$3,PlotTitles,0)))),"",ISBLANK(INDEX(PlotData,MATCH($A539,PlotNumber,0),MATCH(J$3,PlotTitles,0))),$AB$13,TRUE,"")</f>
        <v/>
      </c>
      <c r="K539" s="182" t="str">
        <f t="shared" ca="1" si="24"/>
        <v/>
      </c>
      <c r="L539" s="104" t="str" cm="1">
        <f t="array" ref="L539">_xlfn.IFS(OR(ISBLANK(StartDateMonth),ISBLANK(StartDateYear)),"",AND(A539&gt;NumberOfPlots,ISBLANK(INDEX(PlotData,MATCH($A539,PlotNumber,0),MATCH(B$3,PlotTitles,0)))),"",ISBLANK(INDEX(PlotData,MATCH($A539,PlotNumber,0),MATCH(I$3,PlotTitles,0))),"",(DATEVALUE(INDEX(PlotData,MATCH($A539,PlotNumber,0),MATCH(I$3,PlotTitles,0))&amp;INDEX(PlotData,MATCH($A539,PlotNumber,0),MATCH(J$3,PlotTitles,0))))&lt;DATEVALUE(StartDateMonth&amp;StartDateYear),$AB$15,TRUE,"")</f>
        <v/>
      </c>
      <c r="M539" s="104" t="str" cm="1">
        <f t="array" ref="M539">_xlfn.IFS(OR(ISBLANK(StartDateMonth),ISBLANK(StartDateYear)),"",AND(A539&gt;NumberOfPlots,ISBLANK(INDEX(PlotData,MATCH($A539,PlotNumber,0),MATCH(B$3,PlotTitles,0)))),"",ISBLANK(INDEX(PlotData,MATCH($A539,PlotNumber,0),MATCH(I$3,PlotTitles,0))),"",CompletionMonth="","",(DATEVALUE(INDEX(PlotData,MATCH($A539,PlotNumber,0),MATCH(I$3,PlotTitles,0))&amp;INDEX(PlotData,MATCH($A539,PlotNumber,0),MATCH(J$3,PlotTitles,0))))&gt;(DATEVALUE(CompletionMonth&amp;CompletionYear)),$AB$16,TRUE,"")</f>
        <v/>
      </c>
      <c r="N539" s="104" t="str" cm="1">
        <f t="array" ref="N539">_xlfn.IFS(AND(A539&gt;NumberOfPlots,ISBLANK(INDEX(PlotData,MATCH($A539,PlotNumber,0),MATCH(B$3,PlotTitles,0)))),"",ISBLANK(INDEX(PlotData,MATCH($A539,PlotNumber,0),MATCH(N$3,PlotTitles,0))),$AB$17,TRUE,"")</f>
        <v/>
      </c>
      <c r="O539" s="104" t="str" cm="1">
        <f t="array" ref="O539">_xlfn.IFS(AND(A539&gt;NumberOfPlots,ISBLANK(INDEX(PlotData,MATCH($A539,PlotNumber,0),MATCH(B$3,PlotTitles,0)))),"",ISBLANK(INDEX(PlotData,MATCH($A539,PlotNumber,0),MATCH(O$3,PlotTitles,0))),$AB$18,TRUE,"")</f>
        <v/>
      </c>
      <c r="P539" s="182" t="str">
        <f t="shared" ca="1" si="25"/>
        <v/>
      </c>
      <c r="Q539" s="104" t="str" cm="1">
        <f t="array" ref="Q539">_xlfn.IFS(AND(A539&gt;NumberOfPlots,ISBLANK(INDEX(PlotData,MATCH($A539,PlotNumber,0),MATCH(B$3,PlotTitles,0)))),"",ISBLANK(INDEX(PlotData,MATCH($A539,PlotNumber,0),MATCH(N$3,PlotTitles,0))),"",(DATEVALUE(INDEX(PlotData,MATCH($A539,PlotNumber,0),MATCH(N$3,PlotTitles,0))&amp;INDEX(PlotData,MATCH($A539,PlotNumber,0),MATCH(O$3,PlotTitles,0))))&lt;(DATEVALUE(INDEX(PlotData,MATCH($A539,PlotNumber,0),MATCH(I$3,PlotTitles,0))&amp;INDEX(PlotData,MATCH($A539,PlotNumber,0),MATCH(J$3,PlotTitles,0)))),$AB$20,TRUE,"")</f>
        <v/>
      </c>
      <c r="R539" s="104" t="str" cm="1">
        <f t="array" ref="R539">_xlfn.IFS(OR(ISBLANK(StartDateMonth),ISBLANK(StartDateYear)),"",AND(A539&gt;NumberOfPlots,ISBLANK(INDEX(PlotData,MATCH($A539,PlotNumber,0),MATCH(B$3,PlotTitles,0)))),"",ISBLANK(INDEX(PlotData,MATCH($A539,PlotNumber,0),MATCH(N$3,PlotTitles,0))),"",CompletionMonth="","",(DATEVALUE(INDEX(PlotData,MATCH($A539,PlotNumber,0),MATCH(N$3,PlotTitles,0))&amp;INDEX(PlotData,MATCH($A539,PlotNumber,0),MATCH(O$3,PlotTitles,0))))&gt;(DATEVALUE(CompletionMonth&amp;CompletionYear)),$AB$21,TRUE,"")</f>
        <v/>
      </c>
      <c r="S539" s="104" t="str" cm="1">
        <f t="array" ref="S539">_xlfn.IFS(AND(A539&gt;NumberOfPlots,ISBLANK(INDEX(PlotData,MATCH($A539,PlotNumber,0),MATCH(B$3,PlotTitles,0)))),"",OR(AND(INDEX(PlotData,MATCH($A539,PlotNumber,0),MATCH("Tenure",PlotTitles,0))="Open market housing",INDEX(PlotData,MATCH($A539,PlotNumber,0),MATCH("Tenure detail",PlotTitles,0))="Private rented sector"),INDEX(PlotData,MATCH($A539,PlotNumber,0),MATCH("Tenure",PlotTitles,0))="Affordable rent"),"",ISNUMBER(INDEX(PlotData,MATCH($A539,PlotNumber,0),MATCH(S$3,PlotTitles,0)))=FALSE, $AB$22,TRUE,"")</f>
        <v/>
      </c>
      <c r="T539" s="104" t="str" cm="1">
        <f t="array" ref="T539">_xlfn.IFS(AND(A539&gt;NumberOfPlots,ISBLANK(INDEX(PlotData,MATCH($A539,PlotNumber,0),MATCH(B$3,PlotTitles,0)))),"",OR(AND(INDEX(PlotData,MATCH($A539,PlotNumber,0),MATCH("Tenure",PlotTitles,0))="Open market housing",INDEX(PlotData,MATCH($A539,PlotNumber,0),MATCH("Tenure detail",PlotTitles,0))="Private rented sector"),INDEX(PlotData,MATCH($A539,PlotNumber,0),MATCH("Tenure",PlotTitles,0))="Affordable rent"),"",INDEX(PlotData,MATCH($A539,PlotNumber,0),MATCH(S$3,PlotTitles,0))&lt;10000, $AB$23,TRUE,"")</f>
        <v/>
      </c>
      <c r="U539" s="104" t="str" cm="1">
        <f t="array" ref="U539">_xlfn.IFS(AND(A539&gt;NumberOfPlots,ISBLANK(INDEX(PlotData,MATCH($A539,PlotNumber,0),MATCH(B$3,PlotTitles,0)))),"",NOT(OR(AND(INDEX(PlotData,MATCH($A539,PlotNumber,0),MATCH("Tenure",PlotTitles,0))="Open market housing",INDEX(PlotData,MATCH($A539,PlotNumber,0),MATCH("Tenure detail",PlotTitles,0))="Private rented sector"),INDEX(PlotData,MATCH($A539,PlotNumber,0),MATCH("Tenure",PlotTitles,0))="Affordable rent")),"",NOT(INDEX(PlotData,MATCH($A539,PlotNumber,0),MATCH(S$3,PlotTitles,0))=0), $AB$24,TRUE,"")</f>
        <v/>
      </c>
      <c r="V539" s="114" t="str" cm="1">
        <f t="array" aca="1" ref="V539" ca="1">_xlfn.IFS(ISBLANK(NumberOfPlots),"Enter the number of homes on the 1_SetUp sheet",AND(A539&gt;NumberOfPlots,ISBLANK(INDEX(PlotData,MATCH($A539,PlotNumber,0),MATCH(B$3,PlotTitles,0)))),"No error",NOT(B539=""),B539,NOT(C539=""),C539,NOT(D539=""),D539,NOT(E539=""),E539,NOT(F539=""),F539,NOT(G539=""),G539,NOT(H539=""),H539,NOT(I539=""),I539,NOT(J539=""),J539,NOT(K539=""),K539,NOT(L539=""),L539,NOT(M539=""),M539,NOT(N539=""),N539,NOT(O539=""),O539,NOT(P539=""),P539,NOT(Q539=""),Q539,NOT(R539=""),R539,NOT(S539=""),S539,NOT(T539=""),T539,NOT(U539=""),U539,TRUE,"No error")</f>
        <v>Enter the number of homes on the 1_SetUp sheet</v>
      </c>
      <c r="W539" s="114" t="str">
        <f t="shared" ca="1" si="26"/>
        <v xml:space="preserve">The Borrower has not addressed the following error messages for Home ID 535: </v>
      </c>
    </row>
    <row r="540" spans="1:23">
      <c r="A540" s="123">
        <v>536</v>
      </c>
      <c r="B540" s="104" t="str" cm="1">
        <f t="array" ref="B540">_xlfn.IFS(AND(A540&gt;NumberOfPlots,ISBLANK(INDEX(PlotData,MATCH($A540,PlotNumber,0),MATCH(B$3,PlotTitles,0)))),"",ISNUMBER(INDEX(PlotData,MATCH($A540,PlotNumber,0),MATCH(B$3,PlotTitles,0)))=FALSE, $AB$5,TRUE,"")</f>
        <v/>
      </c>
      <c r="C540" s="104" t="str" cm="1">
        <f t="array" ref="C540">_xlfn.IFS(AND(A540&gt;NumberOfPlots,ISBLANK(INDEX(PlotData,MATCH($A540,PlotNumber,0),MATCH(B$3,PlotTitles,0)))),"",ISBLANK(INDEX(PlotData,MATCH($A540,PlotNumber,0),MATCH(C$3,PlotTitles,0))),$AB$6,TRUE,"")</f>
        <v/>
      </c>
      <c r="D540" s="104" t="str" cm="1">
        <f t="array" ref="D540">_xlfn.IFS(AND(A540&gt;NumberOfPlots,ISBLANK(INDEX(PlotData,MATCH($A540,PlotNumber,0),MATCH(B$3,PlotTitles,0)))),"",ISBLANK(INDEX(PlotData,MATCH($A540,PlotNumber,0),MATCH(D$3,PlotTitles,0))),$AB$7,TRUE,"")</f>
        <v/>
      </c>
      <c r="E540" s="104" t="str" cm="1">
        <f t="array" ref="E540">_xlfn.IFS(AND(A540&gt;NumberOfPlots,ISBLANK(INDEX(PlotData,MATCH($A540,PlotNumber,0),MATCH(B$3,PlotTitles,0)))),"",ISBLANK(INDEX(PlotData,MATCH($A540,PlotNumber,0),MATCH(E$3,PlotTitles,0))),$AB$8,TRUE,"")</f>
        <v/>
      </c>
      <c r="F540" s="104" t="str" cm="1">
        <f t="array" ref="F540">_xlfn.IFS(AND(A540&gt;NumberOfPlots,ISBLANK(INDEX(PlotData,MATCH($A540,PlotNumber,0),MATCH(B$3,PlotTitles,0)))),"",ISBLANK(INDEX(PlotData,MATCH($A540,PlotNumber,0),MATCH(F$3,PlotTitles,0))),$AB$9,TRUE,"")</f>
        <v/>
      </c>
      <c r="G540" s="104" t="str" cm="1">
        <f t="array" ref="G540">_xlfn.IFS(AND(A540&gt;NumberOfPlots,ISBLANK(INDEX(PlotData,MATCH($A540,PlotNumber,0),MATCH(B$3,PlotTitles,0)))),"",ISBLANK(INDEX(PlotData,MATCH($A540,PlotNumber,0),MATCH(G$3,PlotTitles,0))),$AB$10,TRUE,"")</f>
        <v/>
      </c>
      <c r="H540" s="104" t="str" cm="1">
        <f t="array" ref="H540">_xlfn.IFS(AND(A540&gt;NumberOfPlots,ISBLANK(INDEX(PlotData,MATCH($A540,PlotNumber,0),MATCH(B$3,PlotTitles,0)))),"",AND(ISBLANK(INDEX(PlotData,MATCH($A540,PlotNumber,0),MATCH(H$3,PlotTitles,0)))=FALSE,INDEX(PlotData,MATCH($A540,PlotNumber,0),MATCH(H$3,PlotTitles,0))&lt;500), $AB$11,TRUE,"")</f>
        <v/>
      </c>
      <c r="I540" s="104" t="str" cm="1">
        <f t="array" ref="I540">_xlfn.IFS(AND(A540&gt;NumberOfPlots,ISBLANK(INDEX(PlotData,MATCH($A540,PlotNumber,0),MATCH(B$3,PlotTitles,0)))),"",ISBLANK(INDEX(PlotData,MATCH($A540,PlotNumber,0),MATCH(I$3,PlotTitles,0))),$AB$12,TRUE,"")</f>
        <v/>
      </c>
      <c r="J540" s="104" t="str" cm="1">
        <f t="array" ref="J540">_xlfn.IFS(AND(A540&gt;NumberOfPlots,ISBLANK(INDEX(PlotData,MATCH($A540,PlotNumber,0),MATCH(B$3,PlotTitles,0)))),"",ISBLANK(INDEX(PlotData,MATCH($A540,PlotNumber,0),MATCH(J$3,PlotTitles,0))),$AB$13,TRUE,"")</f>
        <v/>
      </c>
      <c r="K540" s="182" t="str">
        <f t="shared" ca="1" si="24"/>
        <v/>
      </c>
      <c r="L540" s="104" t="str" cm="1">
        <f t="array" ref="L540">_xlfn.IFS(OR(ISBLANK(StartDateMonth),ISBLANK(StartDateYear)),"",AND(A540&gt;NumberOfPlots,ISBLANK(INDEX(PlotData,MATCH($A540,PlotNumber,0),MATCH(B$3,PlotTitles,0)))),"",ISBLANK(INDEX(PlotData,MATCH($A540,PlotNumber,0),MATCH(I$3,PlotTitles,0))),"",(DATEVALUE(INDEX(PlotData,MATCH($A540,PlotNumber,0),MATCH(I$3,PlotTitles,0))&amp;INDEX(PlotData,MATCH($A540,PlotNumber,0),MATCH(J$3,PlotTitles,0))))&lt;DATEVALUE(StartDateMonth&amp;StartDateYear),$AB$15,TRUE,"")</f>
        <v/>
      </c>
      <c r="M540" s="104" t="str" cm="1">
        <f t="array" ref="M540">_xlfn.IFS(OR(ISBLANK(StartDateMonth),ISBLANK(StartDateYear)),"",AND(A540&gt;NumberOfPlots,ISBLANK(INDEX(PlotData,MATCH($A540,PlotNumber,0),MATCH(B$3,PlotTitles,0)))),"",ISBLANK(INDEX(PlotData,MATCH($A540,PlotNumber,0),MATCH(I$3,PlotTitles,0))),"",CompletionMonth="","",(DATEVALUE(INDEX(PlotData,MATCH($A540,PlotNumber,0),MATCH(I$3,PlotTitles,0))&amp;INDEX(PlotData,MATCH($A540,PlotNumber,0),MATCH(J$3,PlotTitles,0))))&gt;(DATEVALUE(CompletionMonth&amp;CompletionYear)),$AB$16,TRUE,"")</f>
        <v/>
      </c>
      <c r="N540" s="104" t="str" cm="1">
        <f t="array" ref="N540">_xlfn.IFS(AND(A540&gt;NumberOfPlots,ISBLANK(INDEX(PlotData,MATCH($A540,PlotNumber,0),MATCH(B$3,PlotTitles,0)))),"",ISBLANK(INDEX(PlotData,MATCH($A540,PlotNumber,0),MATCH(N$3,PlotTitles,0))),$AB$17,TRUE,"")</f>
        <v/>
      </c>
      <c r="O540" s="104" t="str" cm="1">
        <f t="array" ref="O540">_xlfn.IFS(AND(A540&gt;NumberOfPlots,ISBLANK(INDEX(PlotData,MATCH($A540,PlotNumber,0),MATCH(B$3,PlotTitles,0)))),"",ISBLANK(INDEX(PlotData,MATCH($A540,PlotNumber,0),MATCH(O$3,PlotTitles,0))),$AB$18,TRUE,"")</f>
        <v/>
      </c>
      <c r="P540" s="182" t="str">
        <f t="shared" ca="1" si="25"/>
        <v/>
      </c>
      <c r="Q540" s="104" t="str" cm="1">
        <f t="array" ref="Q540">_xlfn.IFS(AND(A540&gt;NumberOfPlots,ISBLANK(INDEX(PlotData,MATCH($A540,PlotNumber,0),MATCH(B$3,PlotTitles,0)))),"",ISBLANK(INDEX(PlotData,MATCH($A540,PlotNumber,0),MATCH(N$3,PlotTitles,0))),"",(DATEVALUE(INDEX(PlotData,MATCH($A540,PlotNumber,0),MATCH(N$3,PlotTitles,0))&amp;INDEX(PlotData,MATCH($A540,PlotNumber,0),MATCH(O$3,PlotTitles,0))))&lt;(DATEVALUE(INDEX(PlotData,MATCH($A540,PlotNumber,0),MATCH(I$3,PlotTitles,0))&amp;INDEX(PlotData,MATCH($A540,PlotNumber,0),MATCH(J$3,PlotTitles,0)))),$AB$20,TRUE,"")</f>
        <v/>
      </c>
      <c r="R540" s="104" t="str" cm="1">
        <f t="array" ref="R540">_xlfn.IFS(OR(ISBLANK(StartDateMonth),ISBLANK(StartDateYear)),"",AND(A540&gt;NumberOfPlots,ISBLANK(INDEX(PlotData,MATCH($A540,PlotNumber,0),MATCH(B$3,PlotTitles,0)))),"",ISBLANK(INDEX(PlotData,MATCH($A540,PlotNumber,0),MATCH(N$3,PlotTitles,0))),"",CompletionMonth="","",(DATEVALUE(INDEX(PlotData,MATCH($A540,PlotNumber,0),MATCH(N$3,PlotTitles,0))&amp;INDEX(PlotData,MATCH($A540,PlotNumber,0),MATCH(O$3,PlotTitles,0))))&gt;(DATEVALUE(CompletionMonth&amp;CompletionYear)),$AB$21,TRUE,"")</f>
        <v/>
      </c>
      <c r="S540" s="104" t="str" cm="1">
        <f t="array" ref="S540">_xlfn.IFS(AND(A540&gt;NumberOfPlots,ISBLANK(INDEX(PlotData,MATCH($A540,PlotNumber,0),MATCH(B$3,PlotTitles,0)))),"",OR(AND(INDEX(PlotData,MATCH($A540,PlotNumber,0),MATCH("Tenure",PlotTitles,0))="Open market housing",INDEX(PlotData,MATCH($A540,PlotNumber,0),MATCH("Tenure detail",PlotTitles,0))="Private rented sector"),INDEX(PlotData,MATCH($A540,PlotNumber,0),MATCH("Tenure",PlotTitles,0))="Affordable rent"),"",ISNUMBER(INDEX(PlotData,MATCH($A540,PlotNumber,0),MATCH(S$3,PlotTitles,0)))=FALSE, $AB$22,TRUE,"")</f>
        <v/>
      </c>
      <c r="T540" s="104" t="str" cm="1">
        <f t="array" ref="T540">_xlfn.IFS(AND(A540&gt;NumberOfPlots,ISBLANK(INDEX(PlotData,MATCH($A540,PlotNumber,0),MATCH(B$3,PlotTitles,0)))),"",OR(AND(INDEX(PlotData,MATCH($A540,PlotNumber,0),MATCH("Tenure",PlotTitles,0))="Open market housing",INDEX(PlotData,MATCH($A540,PlotNumber,0),MATCH("Tenure detail",PlotTitles,0))="Private rented sector"),INDEX(PlotData,MATCH($A540,PlotNumber,0),MATCH("Tenure",PlotTitles,0))="Affordable rent"),"",INDEX(PlotData,MATCH($A540,PlotNumber,0),MATCH(S$3,PlotTitles,0))&lt;10000, $AB$23,TRUE,"")</f>
        <v/>
      </c>
      <c r="U540" s="104" t="str" cm="1">
        <f t="array" ref="U540">_xlfn.IFS(AND(A540&gt;NumberOfPlots,ISBLANK(INDEX(PlotData,MATCH($A540,PlotNumber,0),MATCH(B$3,PlotTitles,0)))),"",NOT(OR(AND(INDEX(PlotData,MATCH($A540,PlotNumber,0),MATCH("Tenure",PlotTitles,0))="Open market housing",INDEX(PlotData,MATCH($A540,PlotNumber,0),MATCH("Tenure detail",PlotTitles,0))="Private rented sector"),INDEX(PlotData,MATCH($A540,PlotNumber,0),MATCH("Tenure",PlotTitles,0))="Affordable rent")),"",NOT(INDEX(PlotData,MATCH($A540,PlotNumber,0),MATCH(S$3,PlotTitles,0))=0), $AB$24,TRUE,"")</f>
        <v/>
      </c>
      <c r="V540" s="114" t="str" cm="1">
        <f t="array" aca="1" ref="V540" ca="1">_xlfn.IFS(ISBLANK(NumberOfPlots),"Enter the number of homes on the 1_SetUp sheet",AND(A540&gt;NumberOfPlots,ISBLANK(INDEX(PlotData,MATCH($A540,PlotNumber,0),MATCH(B$3,PlotTitles,0)))),"No error",NOT(B540=""),B540,NOT(C540=""),C540,NOT(D540=""),D540,NOT(E540=""),E540,NOT(F540=""),F540,NOT(G540=""),G540,NOT(H540=""),H540,NOT(I540=""),I540,NOT(J540=""),J540,NOT(K540=""),K540,NOT(L540=""),L540,NOT(M540=""),M540,NOT(N540=""),N540,NOT(O540=""),O540,NOT(P540=""),P540,NOT(Q540=""),Q540,NOT(R540=""),R540,NOT(S540=""),S540,NOT(T540=""),T540,NOT(U540=""),U540,TRUE,"No error")</f>
        <v>Enter the number of homes on the 1_SetUp sheet</v>
      </c>
      <c r="W540" s="114" t="str">
        <f t="shared" ca="1" si="26"/>
        <v xml:space="preserve">The Borrower has not addressed the following error messages for Home ID 536: </v>
      </c>
    </row>
    <row r="541" spans="1:23">
      <c r="A541" s="123">
        <v>537</v>
      </c>
      <c r="B541" s="104" t="str" cm="1">
        <f t="array" ref="B541">_xlfn.IFS(AND(A541&gt;NumberOfPlots,ISBLANK(INDEX(PlotData,MATCH($A541,PlotNumber,0),MATCH(B$3,PlotTitles,0)))),"",ISNUMBER(INDEX(PlotData,MATCH($A541,PlotNumber,0),MATCH(B$3,PlotTitles,0)))=FALSE, $AB$5,TRUE,"")</f>
        <v/>
      </c>
      <c r="C541" s="104" t="str" cm="1">
        <f t="array" ref="C541">_xlfn.IFS(AND(A541&gt;NumberOfPlots,ISBLANK(INDEX(PlotData,MATCH($A541,PlotNumber,0),MATCH(B$3,PlotTitles,0)))),"",ISBLANK(INDEX(PlotData,MATCH($A541,PlotNumber,0),MATCH(C$3,PlotTitles,0))),$AB$6,TRUE,"")</f>
        <v/>
      </c>
      <c r="D541" s="104" t="str" cm="1">
        <f t="array" ref="D541">_xlfn.IFS(AND(A541&gt;NumberOfPlots,ISBLANK(INDEX(PlotData,MATCH($A541,PlotNumber,0),MATCH(B$3,PlotTitles,0)))),"",ISBLANK(INDEX(PlotData,MATCH($A541,PlotNumber,0),MATCH(D$3,PlotTitles,0))),$AB$7,TRUE,"")</f>
        <v/>
      </c>
      <c r="E541" s="104" t="str" cm="1">
        <f t="array" ref="E541">_xlfn.IFS(AND(A541&gt;NumberOfPlots,ISBLANK(INDEX(PlotData,MATCH($A541,PlotNumber,0),MATCH(B$3,PlotTitles,0)))),"",ISBLANK(INDEX(PlotData,MATCH($A541,PlotNumber,0),MATCH(E$3,PlotTitles,0))),$AB$8,TRUE,"")</f>
        <v/>
      </c>
      <c r="F541" s="104" t="str" cm="1">
        <f t="array" ref="F541">_xlfn.IFS(AND(A541&gt;NumberOfPlots,ISBLANK(INDEX(PlotData,MATCH($A541,PlotNumber,0),MATCH(B$3,PlotTitles,0)))),"",ISBLANK(INDEX(PlotData,MATCH($A541,PlotNumber,0),MATCH(F$3,PlotTitles,0))),$AB$9,TRUE,"")</f>
        <v/>
      </c>
      <c r="G541" s="104" t="str" cm="1">
        <f t="array" ref="G541">_xlfn.IFS(AND(A541&gt;NumberOfPlots,ISBLANK(INDEX(PlotData,MATCH($A541,PlotNumber,0),MATCH(B$3,PlotTitles,0)))),"",ISBLANK(INDEX(PlotData,MATCH($A541,PlotNumber,0),MATCH(G$3,PlotTitles,0))),$AB$10,TRUE,"")</f>
        <v/>
      </c>
      <c r="H541" s="104" t="str" cm="1">
        <f t="array" ref="H541">_xlfn.IFS(AND(A541&gt;NumberOfPlots,ISBLANK(INDEX(PlotData,MATCH($A541,PlotNumber,0),MATCH(B$3,PlotTitles,0)))),"",AND(ISBLANK(INDEX(PlotData,MATCH($A541,PlotNumber,0),MATCH(H$3,PlotTitles,0)))=FALSE,INDEX(PlotData,MATCH($A541,PlotNumber,0),MATCH(H$3,PlotTitles,0))&lt;500), $AB$11,TRUE,"")</f>
        <v/>
      </c>
      <c r="I541" s="104" t="str" cm="1">
        <f t="array" ref="I541">_xlfn.IFS(AND(A541&gt;NumberOfPlots,ISBLANK(INDEX(PlotData,MATCH($A541,PlotNumber,0),MATCH(B$3,PlotTitles,0)))),"",ISBLANK(INDEX(PlotData,MATCH($A541,PlotNumber,0),MATCH(I$3,PlotTitles,0))),$AB$12,TRUE,"")</f>
        <v/>
      </c>
      <c r="J541" s="104" t="str" cm="1">
        <f t="array" ref="J541">_xlfn.IFS(AND(A541&gt;NumberOfPlots,ISBLANK(INDEX(PlotData,MATCH($A541,PlotNumber,0),MATCH(B$3,PlotTitles,0)))),"",ISBLANK(INDEX(PlotData,MATCH($A541,PlotNumber,0),MATCH(J$3,PlotTitles,0))),$AB$13,TRUE,"")</f>
        <v/>
      </c>
      <c r="K541" s="182" t="str">
        <f t="shared" ca="1" si="24"/>
        <v/>
      </c>
      <c r="L541" s="104" t="str" cm="1">
        <f t="array" ref="L541">_xlfn.IFS(OR(ISBLANK(StartDateMonth),ISBLANK(StartDateYear)),"",AND(A541&gt;NumberOfPlots,ISBLANK(INDEX(PlotData,MATCH($A541,PlotNumber,0),MATCH(B$3,PlotTitles,0)))),"",ISBLANK(INDEX(PlotData,MATCH($A541,PlotNumber,0),MATCH(I$3,PlotTitles,0))),"",(DATEVALUE(INDEX(PlotData,MATCH($A541,PlotNumber,0),MATCH(I$3,PlotTitles,0))&amp;INDEX(PlotData,MATCH($A541,PlotNumber,0),MATCH(J$3,PlotTitles,0))))&lt;DATEVALUE(StartDateMonth&amp;StartDateYear),$AB$15,TRUE,"")</f>
        <v/>
      </c>
      <c r="M541" s="104" t="str" cm="1">
        <f t="array" ref="M541">_xlfn.IFS(OR(ISBLANK(StartDateMonth),ISBLANK(StartDateYear)),"",AND(A541&gt;NumberOfPlots,ISBLANK(INDEX(PlotData,MATCH($A541,PlotNumber,0),MATCH(B$3,PlotTitles,0)))),"",ISBLANK(INDEX(PlotData,MATCH($A541,PlotNumber,0),MATCH(I$3,PlotTitles,0))),"",CompletionMonth="","",(DATEVALUE(INDEX(PlotData,MATCH($A541,PlotNumber,0),MATCH(I$3,PlotTitles,0))&amp;INDEX(PlotData,MATCH($A541,PlotNumber,0),MATCH(J$3,PlotTitles,0))))&gt;(DATEVALUE(CompletionMonth&amp;CompletionYear)),$AB$16,TRUE,"")</f>
        <v/>
      </c>
      <c r="N541" s="104" t="str" cm="1">
        <f t="array" ref="N541">_xlfn.IFS(AND(A541&gt;NumberOfPlots,ISBLANK(INDEX(PlotData,MATCH($A541,PlotNumber,0),MATCH(B$3,PlotTitles,0)))),"",ISBLANK(INDEX(PlotData,MATCH($A541,PlotNumber,0),MATCH(N$3,PlotTitles,0))),$AB$17,TRUE,"")</f>
        <v/>
      </c>
      <c r="O541" s="104" t="str" cm="1">
        <f t="array" ref="O541">_xlfn.IFS(AND(A541&gt;NumberOfPlots,ISBLANK(INDEX(PlotData,MATCH($A541,PlotNumber,0),MATCH(B$3,PlotTitles,0)))),"",ISBLANK(INDEX(PlotData,MATCH($A541,PlotNumber,0),MATCH(O$3,PlotTitles,0))),$AB$18,TRUE,"")</f>
        <v/>
      </c>
      <c r="P541" s="182" t="str">
        <f t="shared" ca="1" si="25"/>
        <v/>
      </c>
      <c r="Q541" s="104" t="str" cm="1">
        <f t="array" ref="Q541">_xlfn.IFS(AND(A541&gt;NumberOfPlots,ISBLANK(INDEX(PlotData,MATCH($A541,PlotNumber,0),MATCH(B$3,PlotTitles,0)))),"",ISBLANK(INDEX(PlotData,MATCH($A541,PlotNumber,0),MATCH(N$3,PlotTitles,0))),"",(DATEVALUE(INDEX(PlotData,MATCH($A541,PlotNumber,0),MATCH(N$3,PlotTitles,0))&amp;INDEX(PlotData,MATCH($A541,PlotNumber,0),MATCH(O$3,PlotTitles,0))))&lt;(DATEVALUE(INDEX(PlotData,MATCH($A541,PlotNumber,0),MATCH(I$3,PlotTitles,0))&amp;INDEX(PlotData,MATCH($A541,PlotNumber,0),MATCH(J$3,PlotTitles,0)))),$AB$20,TRUE,"")</f>
        <v/>
      </c>
      <c r="R541" s="104" t="str" cm="1">
        <f t="array" ref="R541">_xlfn.IFS(OR(ISBLANK(StartDateMonth),ISBLANK(StartDateYear)),"",AND(A541&gt;NumberOfPlots,ISBLANK(INDEX(PlotData,MATCH($A541,PlotNumber,0),MATCH(B$3,PlotTitles,0)))),"",ISBLANK(INDEX(PlotData,MATCH($A541,PlotNumber,0),MATCH(N$3,PlotTitles,0))),"",CompletionMonth="","",(DATEVALUE(INDEX(PlotData,MATCH($A541,PlotNumber,0),MATCH(N$3,PlotTitles,0))&amp;INDEX(PlotData,MATCH($A541,PlotNumber,0),MATCH(O$3,PlotTitles,0))))&gt;(DATEVALUE(CompletionMonth&amp;CompletionYear)),$AB$21,TRUE,"")</f>
        <v/>
      </c>
      <c r="S541" s="104" t="str" cm="1">
        <f t="array" ref="S541">_xlfn.IFS(AND(A541&gt;NumberOfPlots,ISBLANK(INDEX(PlotData,MATCH($A541,PlotNumber,0),MATCH(B$3,PlotTitles,0)))),"",OR(AND(INDEX(PlotData,MATCH($A541,PlotNumber,0),MATCH("Tenure",PlotTitles,0))="Open market housing",INDEX(PlotData,MATCH($A541,PlotNumber,0),MATCH("Tenure detail",PlotTitles,0))="Private rented sector"),INDEX(PlotData,MATCH($A541,PlotNumber,0),MATCH("Tenure",PlotTitles,0))="Affordable rent"),"",ISNUMBER(INDEX(PlotData,MATCH($A541,PlotNumber,0),MATCH(S$3,PlotTitles,0)))=FALSE, $AB$22,TRUE,"")</f>
        <v/>
      </c>
      <c r="T541" s="104" t="str" cm="1">
        <f t="array" ref="T541">_xlfn.IFS(AND(A541&gt;NumberOfPlots,ISBLANK(INDEX(PlotData,MATCH($A541,PlotNumber,0),MATCH(B$3,PlotTitles,0)))),"",OR(AND(INDEX(PlotData,MATCH($A541,PlotNumber,0),MATCH("Tenure",PlotTitles,0))="Open market housing",INDEX(PlotData,MATCH($A541,PlotNumber,0),MATCH("Tenure detail",PlotTitles,0))="Private rented sector"),INDEX(PlotData,MATCH($A541,PlotNumber,0),MATCH("Tenure",PlotTitles,0))="Affordable rent"),"",INDEX(PlotData,MATCH($A541,PlotNumber,0),MATCH(S$3,PlotTitles,0))&lt;10000, $AB$23,TRUE,"")</f>
        <v/>
      </c>
      <c r="U541" s="104" t="str" cm="1">
        <f t="array" ref="U541">_xlfn.IFS(AND(A541&gt;NumberOfPlots,ISBLANK(INDEX(PlotData,MATCH($A541,PlotNumber,0),MATCH(B$3,PlotTitles,0)))),"",NOT(OR(AND(INDEX(PlotData,MATCH($A541,PlotNumber,0),MATCH("Tenure",PlotTitles,0))="Open market housing",INDEX(PlotData,MATCH($A541,PlotNumber,0),MATCH("Tenure detail",PlotTitles,0))="Private rented sector"),INDEX(PlotData,MATCH($A541,PlotNumber,0),MATCH("Tenure",PlotTitles,0))="Affordable rent")),"",NOT(INDEX(PlotData,MATCH($A541,PlotNumber,0),MATCH(S$3,PlotTitles,0))=0), $AB$24,TRUE,"")</f>
        <v/>
      </c>
      <c r="V541" s="114" t="str" cm="1">
        <f t="array" aca="1" ref="V541" ca="1">_xlfn.IFS(ISBLANK(NumberOfPlots),"Enter the number of homes on the 1_SetUp sheet",AND(A541&gt;NumberOfPlots,ISBLANK(INDEX(PlotData,MATCH($A541,PlotNumber,0),MATCH(B$3,PlotTitles,0)))),"No error",NOT(B541=""),B541,NOT(C541=""),C541,NOT(D541=""),D541,NOT(E541=""),E541,NOT(F541=""),F541,NOT(G541=""),G541,NOT(H541=""),H541,NOT(I541=""),I541,NOT(J541=""),J541,NOT(K541=""),K541,NOT(L541=""),L541,NOT(M541=""),M541,NOT(N541=""),N541,NOT(O541=""),O541,NOT(P541=""),P541,NOT(Q541=""),Q541,NOT(R541=""),R541,NOT(S541=""),S541,NOT(T541=""),T541,NOT(U541=""),U541,TRUE,"No error")</f>
        <v>Enter the number of homes on the 1_SetUp sheet</v>
      </c>
      <c r="W541" s="114" t="str">
        <f t="shared" ca="1" si="26"/>
        <v xml:space="preserve">The Borrower has not addressed the following error messages for Home ID 537: </v>
      </c>
    </row>
    <row r="542" spans="1:23">
      <c r="A542" s="123">
        <v>538</v>
      </c>
      <c r="B542" s="104" t="str" cm="1">
        <f t="array" ref="B542">_xlfn.IFS(AND(A542&gt;NumberOfPlots,ISBLANK(INDEX(PlotData,MATCH($A542,PlotNumber,0),MATCH(B$3,PlotTitles,0)))),"",ISNUMBER(INDEX(PlotData,MATCH($A542,PlotNumber,0),MATCH(B$3,PlotTitles,0)))=FALSE, $AB$5,TRUE,"")</f>
        <v/>
      </c>
      <c r="C542" s="104" t="str" cm="1">
        <f t="array" ref="C542">_xlfn.IFS(AND(A542&gt;NumberOfPlots,ISBLANK(INDEX(PlotData,MATCH($A542,PlotNumber,0),MATCH(B$3,PlotTitles,0)))),"",ISBLANK(INDEX(PlotData,MATCH($A542,PlotNumber,0),MATCH(C$3,PlotTitles,0))),$AB$6,TRUE,"")</f>
        <v/>
      </c>
      <c r="D542" s="104" t="str" cm="1">
        <f t="array" ref="D542">_xlfn.IFS(AND(A542&gt;NumberOfPlots,ISBLANK(INDEX(PlotData,MATCH($A542,PlotNumber,0),MATCH(B$3,PlotTitles,0)))),"",ISBLANK(INDEX(PlotData,MATCH($A542,PlotNumber,0),MATCH(D$3,PlotTitles,0))),$AB$7,TRUE,"")</f>
        <v/>
      </c>
      <c r="E542" s="104" t="str" cm="1">
        <f t="array" ref="E542">_xlfn.IFS(AND(A542&gt;NumberOfPlots,ISBLANK(INDEX(PlotData,MATCH($A542,PlotNumber,0),MATCH(B$3,PlotTitles,0)))),"",ISBLANK(INDEX(PlotData,MATCH($A542,PlotNumber,0),MATCH(E$3,PlotTitles,0))),$AB$8,TRUE,"")</f>
        <v/>
      </c>
      <c r="F542" s="104" t="str" cm="1">
        <f t="array" ref="F542">_xlfn.IFS(AND(A542&gt;NumberOfPlots,ISBLANK(INDEX(PlotData,MATCH($A542,PlotNumber,0),MATCH(B$3,PlotTitles,0)))),"",ISBLANK(INDEX(PlotData,MATCH($A542,PlotNumber,0),MATCH(F$3,PlotTitles,0))),$AB$9,TRUE,"")</f>
        <v/>
      </c>
      <c r="G542" s="104" t="str" cm="1">
        <f t="array" ref="G542">_xlfn.IFS(AND(A542&gt;NumberOfPlots,ISBLANK(INDEX(PlotData,MATCH($A542,PlotNumber,0),MATCH(B$3,PlotTitles,0)))),"",ISBLANK(INDEX(PlotData,MATCH($A542,PlotNumber,0),MATCH(G$3,PlotTitles,0))),$AB$10,TRUE,"")</f>
        <v/>
      </c>
      <c r="H542" s="104" t="str" cm="1">
        <f t="array" ref="H542">_xlfn.IFS(AND(A542&gt;NumberOfPlots,ISBLANK(INDEX(PlotData,MATCH($A542,PlotNumber,0),MATCH(B$3,PlotTitles,0)))),"",AND(ISBLANK(INDEX(PlotData,MATCH($A542,PlotNumber,0),MATCH(H$3,PlotTitles,0)))=FALSE,INDEX(PlotData,MATCH($A542,PlotNumber,0),MATCH(H$3,PlotTitles,0))&lt;500), $AB$11,TRUE,"")</f>
        <v/>
      </c>
      <c r="I542" s="104" t="str" cm="1">
        <f t="array" ref="I542">_xlfn.IFS(AND(A542&gt;NumberOfPlots,ISBLANK(INDEX(PlotData,MATCH($A542,PlotNumber,0),MATCH(B$3,PlotTitles,0)))),"",ISBLANK(INDEX(PlotData,MATCH($A542,PlotNumber,0),MATCH(I$3,PlotTitles,0))),$AB$12,TRUE,"")</f>
        <v/>
      </c>
      <c r="J542" s="104" t="str" cm="1">
        <f t="array" ref="J542">_xlfn.IFS(AND(A542&gt;NumberOfPlots,ISBLANK(INDEX(PlotData,MATCH($A542,PlotNumber,0),MATCH(B$3,PlotTitles,0)))),"",ISBLANK(INDEX(PlotData,MATCH($A542,PlotNumber,0),MATCH(J$3,PlotTitles,0))),$AB$13,TRUE,"")</f>
        <v/>
      </c>
      <c r="K542" s="182" t="str">
        <f t="shared" ca="1" si="24"/>
        <v/>
      </c>
      <c r="L542" s="104" t="str" cm="1">
        <f t="array" ref="L542">_xlfn.IFS(OR(ISBLANK(StartDateMonth),ISBLANK(StartDateYear)),"",AND(A542&gt;NumberOfPlots,ISBLANK(INDEX(PlotData,MATCH($A542,PlotNumber,0),MATCH(B$3,PlotTitles,0)))),"",ISBLANK(INDEX(PlotData,MATCH($A542,PlotNumber,0),MATCH(I$3,PlotTitles,0))),"",(DATEVALUE(INDEX(PlotData,MATCH($A542,PlotNumber,0),MATCH(I$3,PlotTitles,0))&amp;INDEX(PlotData,MATCH($A542,PlotNumber,0),MATCH(J$3,PlotTitles,0))))&lt;DATEVALUE(StartDateMonth&amp;StartDateYear),$AB$15,TRUE,"")</f>
        <v/>
      </c>
      <c r="M542" s="104" t="str" cm="1">
        <f t="array" ref="M542">_xlfn.IFS(OR(ISBLANK(StartDateMonth),ISBLANK(StartDateYear)),"",AND(A542&gt;NumberOfPlots,ISBLANK(INDEX(PlotData,MATCH($A542,PlotNumber,0),MATCH(B$3,PlotTitles,0)))),"",ISBLANK(INDEX(PlotData,MATCH($A542,PlotNumber,0),MATCH(I$3,PlotTitles,0))),"",CompletionMonth="","",(DATEVALUE(INDEX(PlotData,MATCH($A542,PlotNumber,0),MATCH(I$3,PlotTitles,0))&amp;INDEX(PlotData,MATCH($A542,PlotNumber,0),MATCH(J$3,PlotTitles,0))))&gt;(DATEVALUE(CompletionMonth&amp;CompletionYear)),$AB$16,TRUE,"")</f>
        <v/>
      </c>
      <c r="N542" s="104" t="str" cm="1">
        <f t="array" ref="N542">_xlfn.IFS(AND(A542&gt;NumberOfPlots,ISBLANK(INDEX(PlotData,MATCH($A542,PlotNumber,0),MATCH(B$3,PlotTitles,0)))),"",ISBLANK(INDEX(PlotData,MATCH($A542,PlotNumber,0),MATCH(N$3,PlotTitles,0))),$AB$17,TRUE,"")</f>
        <v/>
      </c>
      <c r="O542" s="104" t="str" cm="1">
        <f t="array" ref="O542">_xlfn.IFS(AND(A542&gt;NumberOfPlots,ISBLANK(INDEX(PlotData,MATCH($A542,PlotNumber,0),MATCH(B$3,PlotTitles,0)))),"",ISBLANK(INDEX(PlotData,MATCH($A542,PlotNumber,0),MATCH(O$3,PlotTitles,0))),$AB$18,TRUE,"")</f>
        <v/>
      </c>
      <c r="P542" s="182" t="str">
        <f t="shared" ca="1" si="25"/>
        <v/>
      </c>
      <c r="Q542" s="104" t="str" cm="1">
        <f t="array" ref="Q542">_xlfn.IFS(AND(A542&gt;NumberOfPlots,ISBLANK(INDEX(PlotData,MATCH($A542,PlotNumber,0),MATCH(B$3,PlotTitles,0)))),"",ISBLANK(INDEX(PlotData,MATCH($A542,PlotNumber,0),MATCH(N$3,PlotTitles,0))),"",(DATEVALUE(INDEX(PlotData,MATCH($A542,PlotNumber,0),MATCH(N$3,PlotTitles,0))&amp;INDEX(PlotData,MATCH($A542,PlotNumber,0),MATCH(O$3,PlotTitles,0))))&lt;(DATEVALUE(INDEX(PlotData,MATCH($A542,PlotNumber,0),MATCH(I$3,PlotTitles,0))&amp;INDEX(PlotData,MATCH($A542,PlotNumber,0),MATCH(J$3,PlotTitles,0)))),$AB$20,TRUE,"")</f>
        <v/>
      </c>
      <c r="R542" s="104" t="str" cm="1">
        <f t="array" ref="R542">_xlfn.IFS(OR(ISBLANK(StartDateMonth),ISBLANK(StartDateYear)),"",AND(A542&gt;NumberOfPlots,ISBLANK(INDEX(PlotData,MATCH($A542,PlotNumber,0),MATCH(B$3,PlotTitles,0)))),"",ISBLANK(INDEX(PlotData,MATCH($A542,PlotNumber,0),MATCH(N$3,PlotTitles,0))),"",CompletionMonth="","",(DATEVALUE(INDEX(PlotData,MATCH($A542,PlotNumber,0),MATCH(N$3,PlotTitles,0))&amp;INDEX(PlotData,MATCH($A542,PlotNumber,0),MATCH(O$3,PlotTitles,0))))&gt;(DATEVALUE(CompletionMonth&amp;CompletionYear)),$AB$21,TRUE,"")</f>
        <v/>
      </c>
      <c r="S542" s="104" t="str" cm="1">
        <f t="array" ref="S542">_xlfn.IFS(AND(A542&gt;NumberOfPlots,ISBLANK(INDEX(PlotData,MATCH($A542,PlotNumber,0),MATCH(B$3,PlotTitles,0)))),"",OR(AND(INDEX(PlotData,MATCH($A542,PlotNumber,0),MATCH("Tenure",PlotTitles,0))="Open market housing",INDEX(PlotData,MATCH($A542,PlotNumber,0),MATCH("Tenure detail",PlotTitles,0))="Private rented sector"),INDEX(PlotData,MATCH($A542,PlotNumber,0),MATCH("Tenure",PlotTitles,0))="Affordable rent"),"",ISNUMBER(INDEX(PlotData,MATCH($A542,PlotNumber,0),MATCH(S$3,PlotTitles,0)))=FALSE, $AB$22,TRUE,"")</f>
        <v/>
      </c>
      <c r="T542" s="104" t="str" cm="1">
        <f t="array" ref="T542">_xlfn.IFS(AND(A542&gt;NumberOfPlots,ISBLANK(INDEX(PlotData,MATCH($A542,PlotNumber,0),MATCH(B$3,PlotTitles,0)))),"",OR(AND(INDEX(PlotData,MATCH($A542,PlotNumber,0),MATCH("Tenure",PlotTitles,0))="Open market housing",INDEX(PlotData,MATCH($A542,PlotNumber,0),MATCH("Tenure detail",PlotTitles,0))="Private rented sector"),INDEX(PlotData,MATCH($A542,PlotNumber,0),MATCH("Tenure",PlotTitles,0))="Affordable rent"),"",INDEX(PlotData,MATCH($A542,PlotNumber,0),MATCH(S$3,PlotTitles,0))&lt;10000, $AB$23,TRUE,"")</f>
        <v/>
      </c>
      <c r="U542" s="104" t="str" cm="1">
        <f t="array" ref="U542">_xlfn.IFS(AND(A542&gt;NumberOfPlots,ISBLANK(INDEX(PlotData,MATCH($A542,PlotNumber,0),MATCH(B$3,PlotTitles,0)))),"",NOT(OR(AND(INDEX(PlotData,MATCH($A542,PlotNumber,0),MATCH("Tenure",PlotTitles,0))="Open market housing",INDEX(PlotData,MATCH($A542,PlotNumber,0),MATCH("Tenure detail",PlotTitles,0))="Private rented sector"),INDEX(PlotData,MATCH($A542,PlotNumber,0),MATCH("Tenure",PlotTitles,0))="Affordable rent")),"",NOT(INDEX(PlotData,MATCH($A542,PlotNumber,0),MATCH(S$3,PlotTitles,0))=0), $AB$24,TRUE,"")</f>
        <v/>
      </c>
      <c r="V542" s="114" t="str" cm="1">
        <f t="array" aca="1" ref="V542" ca="1">_xlfn.IFS(ISBLANK(NumberOfPlots),"Enter the number of homes on the 1_SetUp sheet",AND(A542&gt;NumberOfPlots,ISBLANK(INDEX(PlotData,MATCH($A542,PlotNumber,0),MATCH(B$3,PlotTitles,0)))),"No error",NOT(B542=""),B542,NOT(C542=""),C542,NOT(D542=""),D542,NOT(E542=""),E542,NOT(F542=""),F542,NOT(G542=""),G542,NOT(H542=""),H542,NOT(I542=""),I542,NOT(J542=""),J542,NOT(K542=""),K542,NOT(L542=""),L542,NOT(M542=""),M542,NOT(N542=""),N542,NOT(O542=""),O542,NOT(P542=""),P542,NOT(Q542=""),Q542,NOT(R542=""),R542,NOT(S542=""),S542,NOT(T542=""),T542,NOT(U542=""),U542,TRUE,"No error")</f>
        <v>Enter the number of homes on the 1_SetUp sheet</v>
      </c>
      <c r="W542" s="114" t="str">
        <f t="shared" ca="1" si="26"/>
        <v xml:space="preserve">The Borrower has not addressed the following error messages for Home ID 538: </v>
      </c>
    </row>
    <row r="543" spans="1:23">
      <c r="A543" s="123">
        <v>539</v>
      </c>
      <c r="B543" s="104" t="str" cm="1">
        <f t="array" ref="B543">_xlfn.IFS(AND(A543&gt;NumberOfPlots,ISBLANK(INDEX(PlotData,MATCH($A543,PlotNumber,0),MATCH(B$3,PlotTitles,0)))),"",ISNUMBER(INDEX(PlotData,MATCH($A543,PlotNumber,0),MATCH(B$3,PlotTitles,0)))=FALSE, $AB$5,TRUE,"")</f>
        <v/>
      </c>
      <c r="C543" s="104" t="str" cm="1">
        <f t="array" ref="C543">_xlfn.IFS(AND(A543&gt;NumberOfPlots,ISBLANK(INDEX(PlotData,MATCH($A543,PlotNumber,0),MATCH(B$3,PlotTitles,0)))),"",ISBLANK(INDEX(PlotData,MATCH($A543,PlotNumber,0),MATCH(C$3,PlotTitles,0))),$AB$6,TRUE,"")</f>
        <v/>
      </c>
      <c r="D543" s="104" t="str" cm="1">
        <f t="array" ref="D543">_xlfn.IFS(AND(A543&gt;NumberOfPlots,ISBLANK(INDEX(PlotData,MATCH($A543,PlotNumber,0),MATCH(B$3,PlotTitles,0)))),"",ISBLANK(INDEX(PlotData,MATCH($A543,PlotNumber,0),MATCH(D$3,PlotTitles,0))),$AB$7,TRUE,"")</f>
        <v/>
      </c>
      <c r="E543" s="104" t="str" cm="1">
        <f t="array" ref="E543">_xlfn.IFS(AND(A543&gt;NumberOfPlots,ISBLANK(INDEX(PlotData,MATCH($A543,PlotNumber,0),MATCH(B$3,PlotTitles,0)))),"",ISBLANK(INDEX(PlotData,MATCH($A543,PlotNumber,0),MATCH(E$3,PlotTitles,0))),$AB$8,TRUE,"")</f>
        <v/>
      </c>
      <c r="F543" s="104" t="str" cm="1">
        <f t="array" ref="F543">_xlfn.IFS(AND(A543&gt;NumberOfPlots,ISBLANK(INDEX(PlotData,MATCH($A543,PlotNumber,0),MATCH(B$3,PlotTitles,0)))),"",ISBLANK(INDEX(PlotData,MATCH($A543,PlotNumber,0),MATCH(F$3,PlotTitles,0))),$AB$9,TRUE,"")</f>
        <v/>
      </c>
      <c r="G543" s="104" t="str" cm="1">
        <f t="array" ref="G543">_xlfn.IFS(AND(A543&gt;NumberOfPlots,ISBLANK(INDEX(PlotData,MATCH($A543,PlotNumber,0),MATCH(B$3,PlotTitles,0)))),"",ISBLANK(INDEX(PlotData,MATCH($A543,PlotNumber,0),MATCH(G$3,PlotTitles,0))),$AB$10,TRUE,"")</f>
        <v/>
      </c>
      <c r="H543" s="104" t="str" cm="1">
        <f t="array" ref="H543">_xlfn.IFS(AND(A543&gt;NumberOfPlots,ISBLANK(INDEX(PlotData,MATCH($A543,PlotNumber,0),MATCH(B$3,PlotTitles,0)))),"",AND(ISBLANK(INDEX(PlotData,MATCH($A543,PlotNumber,0),MATCH(H$3,PlotTitles,0)))=FALSE,INDEX(PlotData,MATCH($A543,PlotNumber,0),MATCH(H$3,PlotTitles,0))&lt;500), $AB$11,TRUE,"")</f>
        <v/>
      </c>
      <c r="I543" s="104" t="str" cm="1">
        <f t="array" ref="I543">_xlfn.IFS(AND(A543&gt;NumberOfPlots,ISBLANK(INDEX(PlotData,MATCH($A543,PlotNumber,0),MATCH(B$3,PlotTitles,0)))),"",ISBLANK(INDEX(PlotData,MATCH($A543,PlotNumber,0),MATCH(I$3,PlotTitles,0))),$AB$12,TRUE,"")</f>
        <v/>
      </c>
      <c r="J543" s="104" t="str" cm="1">
        <f t="array" ref="J543">_xlfn.IFS(AND(A543&gt;NumberOfPlots,ISBLANK(INDEX(PlotData,MATCH($A543,PlotNumber,0),MATCH(B$3,PlotTitles,0)))),"",ISBLANK(INDEX(PlotData,MATCH($A543,PlotNumber,0),MATCH(J$3,PlotTitles,0))),$AB$13,TRUE,"")</f>
        <v/>
      </c>
      <c r="K543" s="182" t="str">
        <f t="shared" ca="1" si="24"/>
        <v/>
      </c>
      <c r="L543" s="104" t="str" cm="1">
        <f t="array" ref="L543">_xlfn.IFS(OR(ISBLANK(StartDateMonth),ISBLANK(StartDateYear)),"",AND(A543&gt;NumberOfPlots,ISBLANK(INDEX(PlotData,MATCH($A543,PlotNumber,0),MATCH(B$3,PlotTitles,0)))),"",ISBLANK(INDEX(PlotData,MATCH($A543,PlotNumber,0),MATCH(I$3,PlotTitles,0))),"",(DATEVALUE(INDEX(PlotData,MATCH($A543,PlotNumber,0),MATCH(I$3,PlotTitles,0))&amp;INDEX(PlotData,MATCH($A543,PlotNumber,0),MATCH(J$3,PlotTitles,0))))&lt;DATEVALUE(StartDateMonth&amp;StartDateYear),$AB$15,TRUE,"")</f>
        <v/>
      </c>
      <c r="M543" s="104" t="str" cm="1">
        <f t="array" ref="M543">_xlfn.IFS(OR(ISBLANK(StartDateMonth),ISBLANK(StartDateYear)),"",AND(A543&gt;NumberOfPlots,ISBLANK(INDEX(PlotData,MATCH($A543,PlotNumber,0),MATCH(B$3,PlotTitles,0)))),"",ISBLANK(INDEX(PlotData,MATCH($A543,PlotNumber,0),MATCH(I$3,PlotTitles,0))),"",CompletionMonth="","",(DATEVALUE(INDEX(PlotData,MATCH($A543,PlotNumber,0),MATCH(I$3,PlotTitles,0))&amp;INDEX(PlotData,MATCH($A543,PlotNumber,0),MATCH(J$3,PlotTitles,0))))&gt;(DATEVALUE(CompletionMonth&amp;CompletionYear)),$AB$16,TRUE,"")</f>
        <v/>
      </c>
      <c r="N543" s="104" t="str" cm="1">
        <f t="array" ref="N543">_xlfn.IFS(AND(A543&gt;NumberOfPlots,ISBLANK(INDEX(PlotData,MATCH($A543,PlotNumber,0),MATCH(B$3,PlotTitles,0)))),"",ISBLANK(INDEX(PlotData,MATCH($A543,PlotNumber,0),MATCH(N$3,PlotTitles,0))),$AB$17,TRUE,"")</f>
        <v/>
      </c>
      <c r="O543" s="104" t="str" cm="1">
        <f t="array" ref="O543">_xlfn.IFS(AND(A543&gt;NumberOfPlots,ISBLANK(INDEX(PlotData,MATCH($A543,PlotNumber,0),MATCH(B$3,PlotTitles,0)))),"",ISBLANK(INDEX(PlotData,MATCH($A543,PlotNumber,0),MATCH(O$3,PlotTitles,0))),$AB$18,TRUE,"")</f>
        <v/>
      </c>
      <c r="P543" s="182" t="str">
        <f t="shared" ca="1" si="25"/>
        <v/>
      </c>
      <c r="Q543" s="104" t="str" cm="1">
        <f t="array" ref="Q543">_xlfn.IFS(AND(A543&gt;NumberOfPlots,ISBLANK(INDEX(PlotData,MATCH($A543,PlotNumber,0),MATCH(B$3,PlotTitles,0)))),"",ISBLANK(INDEX(PlotData,MATCH($A543,PlotNumber,0),MATCH(N$3,PlotTitles,0))),"",(DATEVALUE(INDEX(PlotData,MATCH($A543,PlotNumber,0),MATCH(N$3,PlotTitles,0))&amp;INDEX(PlotData,MATCH($A543,PlotNumber,0),MATCH(O$3,PlotTitles,0))))&lt;(DATEVALUE(INDEX(PlotData,MATCH($A543,PlotNumber,0),MATCH(I$3,PlotTitles,0))&amp;INDEX(PlotData,MATCH($A543,PlotNumber,0),MATCH(J$3,PlotTitles,0)))),$AB$20,TRUE,"")</f>
        <v/>
      </c>
      <c r="R543" s="104" t="str" cm="1">
        <f t="array" ref="R543">_xlfn.IFS(OR(ISBLANK(StartDateMonth),ISBLANK(StartDateYear)),"",AND(A543&gt;NumberOfPlots,ISBLANK(INDEX(PlotData,MATCH($A543,PlotNumber,0),MATCH(B$3,PlotTitles,0)))),"",ISBLANK(INDEX(PlotData,MATCH($A543,PlotNumber,0),MATCH(N$3,PlotTitles,0))),"",CompletionMonth="","",(DATEVALUE(INDEX(PlotData,MATCH($A543,PlotNumber,0),MATCH(N$3,PlotTitles,0))&amp;INDEX(PlotData,MATCH($A543,PlotNumber,0),MATCH(O$3,PlotTitles,0))))&gt;(DATEVALUE(CompletionMonth&amp;CompletionYear)),$AB$21,TRUE,"")</f>
        <v/>
      </c>
      <c r="S543" s="104" t="str" cm="1">
        <f t="array" ref="S543">_xlfn.IFS(AND(A543&gt;NumberOfPlots,ISBLANK(INDEX(PlotData,MATCH($A543,PlotNumber,0),MATCH(B$3,PlotTitles,0)))),"",OR(AND(INDEX(PlotData,MATCH($A543,PlotNumber,0),MATCH("Tenure",PlotTitles,0))="Open market housing",INDEX(PlotData,MATCH($A543,PlotNumber,0),MATCH("Tenure detail",PlotTitles,0))="Private rented sector"),INDEX(PlotData,MATCH($A543,PlotNumber,0),MATCH("Tenure",PlotTitles,0))="Affordable rent"),"",ISNUMBER(INDEX(PlotData,MATCH($A543,PlotNumber,0),MATCH(S$3,PlotTitles,0)))=FALSE, $AB$22,TRUE,"")</f>
        <v/>
      </c>
      <c r="T543" s="104" t="str" cm="1">
        <f t="array" ref="T543">_xlfn.IFS(AND(A543&gt;NumberOfPlots,ISBLANK(INDEX(PlotData,MATCH($A543,PlotNumber,0),MATCH(B$3,PlotTitles,0)))),"",OR(AND(INDEX(PlotData,MATCH($A543,PlotNumber,0),MATCH("Tenure",PlotTitles,0))="Open market housing",INDEX(PlotData,MATCH($A543,PlotNumber,0),MATCH("Tenure detail",PlotTitles,0))="Private rented sector"),INDEX(PlotData,MATCH($A543,PlotNumber,0),MATCH("Tenure",PlotTitles,0))="Affordable rent"),"",INDEX(PlotData,MATCH($A543,PlotNumber,0),MATCH(S$3,PlotTitles,0))&lt;10000, $AB$23,TRUE,"")</f>
        <v/>
      </c>
      <c r="U543" s="104" t="str" cm="1">
        <f t="array" ref="U543">_xlfn.IFS(AND(A543&gt;NumberOfPlots,ISBLANK(INDEX(PlotData,MATCH($A543,PlotNumber,0),MATCH(B$3,PlotTitles,0)))),"",NOT(OR(AND(INDEX(PlotData,MATCH($A543,PlotNumber,0),MATCH("Tenure",PlotTitles,0))="Open market housing",INDEX(PlotData,MATCH($A543,PlotNumber,0),MATCH("Tenure detail",PlotTitles,0))="Private rented sector"),INDEX(PlotData,MATCH($A543,PlotNumber,0),MATCH("Tenure",PlotTitles,0))="Affordable rent")),"",NOT(INDEX(PlotData,MATCH($A543,PlotNumber,0),MATCH(S$3,PlotTitles,0))=0), $AB$24,TRUE,"")</f>
        <v/>
      </c>
      <c r="V543" s="114" t="str" cm="1">
        <f t="array" aca="1" ref="V543" ca="1">_xlfn.IFS(ISBLANK(NumberOfPlots),"Enter the number of homes on the 1_SetUp sheet",AND(A543&gt;NumberOfPlots,ISBLANK(INDEX(PlotData,MATCH($A543,PlotNumber,0),MATCH(B$3,PlotTitles,0)))),"No error",NOT(B543=""),B543,NOT(C543=""),C543,NOT(D543=""),D543,NOT(E543=""),E543,NOT(F543=""),F543,NOT(G543=""),G543,NOT(H543=""),H543,NOT(I543=""),I543,NOT(J543=""),J543,NOT(K543=""),K543,NOT(L543=""),L543,NOT(M543=""),M543,NOT(N543=""),N543,NOT(O543=""),O543,NOT(P543=""),P543,NOT(Q543=""),Q543,NOT(R543=""),R543,NOT(S543=""),S543,NOT(T543=""),T543,NOT(U543=""),U543,TRUE,"No error")</f>
        <v>Enter the number of homes on the 1_SetUp sheet</v>
      </c>
      <c r="W543" s="114" t="str">
        <f t="shared" ca="1" si="26"/>
        <v xml:space="preserve">The Borrower has not addressed the following error messages for Home ID 539: </v>
      </c>
    </row>
    <row r="544" spans="1:23">
      <c r="A544" s="123">
        <v>540</v>
      </c>
      <c r="B544" s="104" t="str" cm="1">
        <f t="array" ref="B544">_xlfn.IFS(AND(A544&gt;NumberOfPlots,ISBLANK(INDEX(PlotData,MATCH($A544,PlotNumber,0),MATCH(B$3,PlotTitles,0)))),"",ISNUMBER(INDEX(PlotData,MATCH($A544,PlotNumber,0),MATCH(B$3,PlotTitles,0)))=FALSE, $AB$5,TRUE,"")</f>
        <v/>
      </c>
      <c r="C544" s="104" t="str" cm="1">
        <f t="array" ref="C544">_xlfn.IFS(AND(A544&gt;NumberOfPlots,ISBLANK(INDEX(PlotData,MATCH($A544,PlotNumber,0),MATCH(B$3,PlotTitles,0)))),"",ISBLANK(INDEX(PlotData,MATCH($A544,PlotNumber,0),MATCH(C$3,PlotTitles,0))),$AB$6,TRUE,"")</f>
        <v/>
      </c>
      <c r="D544" s="104" t="str" cm="1">
        <f t="array" ref="D544">_xlfn.IFS(AND(A544&gt;NumberOfPlots,ISBLANK(INDEX(PlotData,MATCH($A544,PlotNumber,0),MATCH(B$3,PlotTitles,0)))),"",ISBLANK(INDEX(PlotData,MATCH($A544,PlotNumber,0),MATCH(D$3,PlotTitles,0))),$AB$7,TRUE,"")</f>
        <v/>
      </c>
      <c r="E544" s="104" t="str" cm="1">
        <f t="array" ref="E544">_xlfn.IFS(AND(A544&gt;NumberOfPlots,ISBLANK(INDEX(PlotData,MATCH($A544,PlotNumber,0),MATCH(B$3,PlotTitles,0)))),"",ISBLANK(INDEX(PlotData,MATCH($A544,PlotNumber,0),MATCH(E$3,PlotTitles,0))),$AB$8,TRUE,"")</f>
        <v/>
      </c>
      <c r="F544" s="104" t="str" cm="1">
        <f t="array" ref="F544">_xlfn.IFS(AND(A544&gt;NumberOfPlots,ISBLANK(INDEX(PlotData,MATCH($A544,PlotNumber,0),MATCH(B$3,PlotTitles,0)))),"",ISBLANK(INDEX(PlotData,MATCH($A544,PlotNumber,0),MATCH(F$3,PlotTitles,0))),$AB$9,TRUE,"")</f>
        <v/>
      </c>
      <c r="G544" s="104" t="str" cm="1">
        <f t="array" ref="G544">_xlfn.IFS(AND(A544&gt;NumberOfPlots,ISBLANK(INDEX(PlotData,MATCH($A544,PlotNumber,0),MATCH(B$3,PlotTitles,0)))),"",ISBLANK(INDEX(PlotData,MATCH($A544,PlotNumber,0),MATCH(G$3,PlotTitles,0))),$AB$10,TRUE,"")</f>
        <v/>
      </c>
      <c r="H544" s="104" t="str" cm="1">
        <f t="array" ref="H544">_xlfn.IFS(AND(A544&gt;NumberOfPlots,ISBLANK(INDEX(PlotData,MATCH($A544,PlotNumber,0),MATCH(B$3,PlotTitles,0)))),"",AND(ISBLANK(INDEX(PlotData,MATCH($A544,PlotNumber,0),MATCH(H$3,PlotTitles,0)))=FALSE,INDEX(PlotData,MATCH($A544,PlotNumber,0),MATCH(H$3,PlotTitles,0))&lt;500), $AB$11,TRUE,"")</f>
        <v/>
      </c>
      <c r="I544" s="104" t="str" cm="1">
        <f t="array" ref="I544">_xlfn.IFS(AND(A544&gt;NumberOfPlots,ISBLANK(INDEX(PlotData,MATCH($A544,PlotNumber,0),MATCH(B$3,PlotTitles,0)))),"",ISBLANK(INDEX(PlotData,MATCH($A544,PlotNumber,0),MATCH(I$3,PlotTitles,0))),$AB$12,TRUE,"")</f>
        <v/>
      </c>
      <c r="J544" s="104" t="str" cm="1">
        <f t="array" ref="J544">_xlfn.IFS(AND(A544&gt;NumberOfPlots,ISBLANK(INDEX(PlotData,MATCH($A544,PlotNumber,0),MATCH(B$3,PlotTitles,0)))),"",ISBLANK(INDEX(PlotData,MATCH($A544,PlotNumber,0),MATCH(J$3,PlotTitles,0))),$AB$13,TRUE,"")</f>
        <v/>
      </c>
      <c r="K544" s="182" t="str">
        <f t="shared" ca="1" si="24"/>
        <v/>
      </c>
      <c r="L544" s="104" t="str" cm="1">
        <f t="array" ref="L544">_xlfn.IFS(OR(ISBLANK(StartDateMonth),ISBLANK(StartDateYear)),"",AND(A544&gt;NumberOfPlots,ISBLANK(INDEX(PlotData,MATCH($A544,PlotNumber,0),MATCH(B$3,PlotTitles,0)))),"",ISBLANK(INDEX(PlotData,MATCH($A544,PlotNumber,0),MATCH(I$3,PlotTitles,0))),"",(DATEVALUE(INDEX(PlotData,MATCH($A544,PlotNumber,0),MATCH(I$3,PlotTitles,0))&amp;INDEX(PlotData,MATCH($A544,PlotNumber,0),MATCH(J$3,PlotTitles,0))))&lt;DATEVALUE(StartDateMonth&amp;StartDateYear),$AB$15,TRUE,"")</f>
        <v/>
      </c>
      <c r="M544" s="104" t="str" cm="1">
        <f t="array" ref="M544">_xlfn.IFS(OR(ISBLANK(StartDateMonth),ISBLANK(StartDateYear)),"",AND(A544&gt;NumberOfPlots,ISBLANK(INDEX(PlotData,MATCH($A544,PlotNumber,0),MATCH(B$3,PlotTitles,0)))),"",ISBLANK(INDEX(PlotData,MATCH($A544,PlotNumber,0),MATCH(I$3,PlotTitles,0))),"",CompletionMonth="","",(DATEVALUE(INDEX(PlotData,MATCH($A544,PlotNumber,0),MATCH(I$3,PlotTitles,0))&amp;INDEX(PlotData,MATCH($A544,PlotNumber,0),MATCH(J$3,PlotTitles,0))))&gt;(DATEVALUE(CompletionMonth&amp;CompletionYear)),$AB$16,TRUE,"")</f>
        <v/>
      </c>
      <c r="N544" s="104" t="str" cm="1">
        <f t="array" ref="N544">_xlfn.IFS(AND(A544&gt;NumberOfPlots,ISBLANK(INDEX(PlotData,MATCH($A544,PlotNumber,0),MATCH(B$3,PlotTitles,0)))),"",ISBLANK(INDEX(PlotData,MATCH($A544,PlotNumber,0),MATCH(N$3,PlotTitles,0))),$AB$17,TRUE,"")</f>
        <v/>
      </c>
      <c r="O544" s="104" t="str" cm="1">
        <f t="array" ref="O544">_xlfn.IFS(AND(A544&gt;NumberOfPlots,ISBLANK(INDEX(PlotData,MATCH($A544,PlotNumber,0),MATCH(B$3,PlotTitles,0)))),"",ISBLANK(INDEX(PlotData,MATCH($A544,PlotNumber,0),MATCH(O$3,PlotTitles,0))),$AB$18,TRUE,"")</f>
        <v/>
      </c>
      <c r="P544" s="182" t="str">
        <f t="shared" ca="1" si="25"/>
        <v/>
      </c>
      <c r="Q544" s="104" t="str" cm="1">
        <f t="array" ref="Q544">_xlfn.IFS(AND(A544&gt;NumberOfPlots,ISBLANK(INDEX(PlotData,MATCH($A544,PlotNumber,0),MATCH(B$3,PlotTitles,0)))),"",ISBLANK(INDEX(PlotData,MATCH($A544,PlotNumber,0),MATCH(N$3,PlotTitles,0))),"",(DATEVALUE(INDEX(PlotData,MATCH($A544,PlotNumber,0),MATCH(N$3,PlotTitles,0))&amp;INDEX(PlotData,MATCH($A544,PlotNumber,0),MATCH(O$3,PlotTitles,0))))&lt;(DATEVALUE(INDEX(PlotData,MATCH($A544,PlotNumber,0),MATCH(I$3,PlotTitles,0))&amp;INDEX(PlotData,MATCH($A544,PlotNumber,0),MATCH(J$3,PlotTitles,0)))),$AB$20,TRUE,"")</f>
        <v/>
      </c>
      <c r="R544" s="104" t="str" cm="1">
        <f t="array" ref="R544">_xlfn.IFS(OR(ISBLANK(StartDateMonth),ISBLANK(StartDateYear)),"",AND(A544&gt;NumberOfPlots,ISBLANK(INDEX(PlotData,MATCH($A544,PlotNumber,0),MATCH(B$3,PlotTitles,0)))),"",ISBLANK(INDEX(PlotData,MATCH($A544,PlotNumber,0),MATCH(N$3,PlotTitles,0))),"",CompletionMonth="","",(DATEVALUE(INDEX(PlotData,MATCH($A544,PlotNumber,0),MATCH(N$3,PlotTitles,0))&amp;INDEX(PlotData,MATCH($A544,PlotNumber,0),MATCH(O$3,PlotTitles,0))))&gt;(DATEVALUE(CompletionMonth&amp;CompletionYear)),$AB$21,TRUE,"")</f>
        <v/>
      </c>
      <c r="S544" s="104" t="str" cm="1">
        <f t="array" ref="S544">_xlfn.IFS(AND(A544&gt;NumberOfPlots,ISBLANK(INDEX(PlotData,MATCH($A544,PlotNumber,0),MATCH(B$3,PlotTitles,0)))),"",OR(AND(INDEX(PlotData,MATCH($A544,PlotNumber,0),MATCH("Tenure",PlotTitles,0))="Open market housing",INDEX(PlotData,MATCH($A544,PlotNumber,0),MATCH("Tenure detail",PlotTitles,0))="Private rented sector"),INDEX(PlotData,MATCH($A544,PlotNumber,0),MATCH("Tenure",PlotTitles,0))="Affordable rent"),"",ISNUMBER(INDEX(PlotData,MATCH($A544,PlotNumber,0),MATCH(S$3,PlotTitles,0)))=FALSE, $AB$22,TRUE,"")</f>
        <v/>
      </c>
      <c r="T544" s="104" t="str" cm="1">
        <f t="array" ref="T544">_xlfn.IFS(AND(A544&gt;NumberOfPlots,ISBLANK(INDEX(PlotData,MATCH($A544,PlotNumber,0),MATCH(B$3,PlotTitles,0)))),"",OR(AND(INDEX(PlotData,MATCH($A544,PlotNumber,0),MATCH("Tenure",PlotTitles,0))="Open market housing",INDEX(PlotData,MATCH($A544,PlotNumber,0),MATCH("Tenure detail",PlotTitles,0))="Private rented sector"),INDEX(PlotData,MATCH($A544,PlotNumber,0),MATCH("Tenure",PlotTitles,0))="Affordable rent"),"",INDEX(PlotData,MATCH($A544,PlotNumber,0),MATCH(S$3,PlotTitles,0))&lt;10000, $AB$23,TRUE,"")</f>
        <v/>
      </c>
      <c r="U544" s="104" t="str" cm="1">
        <f t="array" ref="U544">_xlfn.IFS(AND(A544&gt;NumberOfPlots,ISBLANK(INDEX(PlotData,MATCH($A544,PlotNumber,0),MATCH(B$3,PlotTitles,0)))),"",NOT(OR(AND(INDEX(PlotData,MATCH($A544,PlotNumber,0),MATCH("Tenure",PlotTitles,0))="Open market housing",INDEX(PlotData,MATCH($A544,PlotNumber,0),MATCH("Tenure detail",PlotTitles,0))="Private rented sector"),INDEX(PlotData,MATCH($A544,PlotNumber,0),MATCH("Tenure",PlotTitles,0))="Affordable rent")),"",NOT(INDEX(PlotData,MATCH($A544,PlotNumber,0),MATCH(S$3,PlotTitles,0))=0), $AB$24,TRUE,"")</f>
        <v/>
      </c>
      <c r="V544" s="114" t="str" cm="1">
        <f t="array" aca="1" ref="V544" ca="1">_xlfn.IFS(ISBLANK(NumberOfPlots),"Enter the number of homes on the 1_SetUp sheet",AND(A544&gt;NumberOfPlots,ISBLANK(INDEX(PlotData,MATCH($A544,PlotNumber,0),MATCH(B$3,PlotTitles,0)))),"No error",NOT(B544=""),B544,NOT(C544=""),C544,NOT(D544=""),D544,NOT(E544=""),E544,NOT(F544=""),F544,NOT(G544=""),G544,NOT(H544=""),H544,NOT(I544=""),I544,NOT(J544=""),J544,NOT(K544=""),K544,NOT(L544=""),L544,NOT(M544=""),M544,NOT(N544=""),N544,NOT(O544=""),O544,NOT(P544=""),P544,NOT(Q544=""),Q544,NOT(R544=""),R544,NOT(S544=""),S544,NOT(T544=""),T544,NOT(U544=""),U544,TRUE,"No error")</f>
        <v>Enter the number of homes on the 1_SetUp sheet</v>
      </c>
      <c r="W544" s="114" t="str">
        <f t="shared" ca="1" si="26"/>
        <v xml:space="preserve">The Borrower has not addressed the following error messages for Home ID 540: </v>
      </c>
    </row>
    <row r="545" spans="1:23">
      <c r="A545" s="123">
        <v>541</v>
      </c>
      <c r="B545" s="104" t="str" cm="1">
        <f t="array" ref="B545">_xlfn.IFS(AND(A545&gt;NumberOfPlots,ISBLANK(INDEX(PlotData,MATCH($A545,PlotNumber,0),MATCH(B$3,PlotTitles,0)))),"",ISNUMBER(INDEX(PlotData,MATCH($A545,PlotNumber,0),MATCH(B$3,PlotTitles,0)))=FALSE, $AB$5,TRUE,"")</f>
        <v/>
      </c>
      <c r="C545" s="104" t="str" cm="1">
        <f t="array" ref="C545">_xlfn.IFS(AND(A545&gt;NumberOfPlots,ISBLANK(INDEX(PlotData,MATCH($A545,PlotNumber,0),MATCH(B$3,PlotTitles,0)))),"",ISBLANK(INDEX(PlotData,MATCH($A545,PlotNumber,0),MATCH(C$3,PlotTitles,0))),$AB$6,TRUE,"")</f>
        <v/>
      </c>
      <c r="D545" s="104" t="str" cm="1">
        <f t="array" ref="D545">_xlfn.IFS(AND(A545&gt;NumberOfPlots,ISBLANK(INDEX(PlotData,MATCH($A545,PlotNumber,0),MATCH(B$3,PlotTitles,0)))),"",ISBLANK(INDEX(PlotData,MATCH($A545,PlotNumber,0),MATCH(D$3,PlotTitles,0))),$AB$7,TRUE,"")</f>
        <v/>
      </c>
      <c r="E545" s="104" t="str" cm="1">
        <f t="array" ref="E545">_xlfn.IFS(AND(A545&gt;NumberOfPlots,ISBLANK(INDEX(PlotData,MATCH($A545,PlotNumber,0),MATCH(B$3,PlotTitles,0)))),"",ISBLANK(INDEX(PlotData,MATCH($A545,PlotNumber,0),MATCH(E$3,PlotTitles,0))),$AB$8,TRUE,"")</f>
        <v/>
      </c>
      <c r="F545" s="104" t="str" cm="1">
        <f t="array" ref="F545">_xlfn.IFS(AND(A545&gt;NumberOfPlots,ISBLANK(INDEX(PlotData,MATCH($A545,PlotNumber,0),MATCH(B$3,PlotTitles,0)))),"",ISBLANK(INDEX(PlotData,MATCH($A545,PlotNumber,0),MATCH(F$3,PlotTitles,0))),$AB$9,TRUE,"")</f>
        <v/>
      </c>
      <c r="G545" s="104" t="str" cm="1">
        <f t="array" ref="G545">_xlfn.IFS(AND(A545&gt;NumberOfPlots,ISBLANK(INDEX(PlotData,MATCH($A545,PlotNumber,0),MATCH(B$3,PlotTitles,0)))),"",ISBLANK(INDEX(PlotData,MATCH($A545,PlotNumber,0),MATCH(G$3,PlotTitles,0))),$AB$10,TRUE,"")</f>
        <v/>
      </c>
      <c r="H545" s="104" t="str" cm="1">
        <f t="array" ref="H545">_xlfn.IFS(AND(A545&gt;NumberOfPlots,ISBLANK(INDEX(PlotData,MATCH($A545,PlotNumber,0),MATCH(B$3,PlotTitles,0)))),"",AND(ISBLANK(INDEX(PlotData,MATCH($A545,PlotNumber,0),MATCH(H$3,PlotTitles,0)))=FALSE,INDEX(PlotData,MATCH($A545,PlotNumber,0),MATCH(H$3,PlotTitles,0))&lt;500), $AB$11,TRUE,"")</f>
        <v/>
      </c>
      <c r="I545" s="104" t="str" cm="1">
        <f t="array" ref="I545">_xlfn.IFS(AND(A545&gt;NumberOfPlots,ISBLANK(INDEX(PlotData,MATCH($A545,PlotNumber,0),MATCH(B$3,PlotTitles,0)))),"",ISBLANK(INDEX(PlotData,MATCH($A545,PlotNumber,0),MATCH(I$3,PlotTitles,0))),$AB$12,TRUE,"")</f>
        <v/>
      </c>
      <c r="J545" s="104" t="str" cm="1">
        <f t="array" ref="J545">_xlfn.IFS(AND(A545&gt;NumberOfPlots,ISBLANK(INDEX(PlotData,MATCH($A545,PlotNumber,0),MATCH(B$3,PlotTitles,0)))),"",ISBLANK(INDEX(PlotData,MATCH($A545,PlotNumber,0),MATCH(J$3,PlotTitles,0))),$AB$13,TRUE,"")</f>
        <v/>
      </c>
      <c r="K545" s="182" t="str">
        <f t="shared" ca="1" si="24"/>
        <v/>
      </c>
      <c r="L545" s="104" t="str" cm="1">
        <f t="array" ref="L545">_xlfn.IFS(OR(ISBLANK(StartDateMonth),ISBLANK(StartDateYear)),"",AND(A545&gt;NumberOfPlots,ISBLANK(INDEX(PlotData,MATCH($A545,PlotNumber,0),MATCH(B$3,PlotTitles,0)))),"",ISBLANK(INDEX(PlotData,MATCH($A545,PlotNumber,0),MATCH(I$3,PlotTitles,0))),"",(DATEVALUE(INDEX(PlotData,MATCH($A545,PlotNumber,0),MATCH(I$3,PlotTitles,0))&amp;INDEX(PlotData,MATCH($A545,PlotNumber,0),MATCH(J$3,PlotTitles,0))))&lt;DATEVALUE(StartDateMonth&amp;StartDateYear),$AB$15,TRUE,"")</f>
        <v/>
      </c>
      <c r="M545" s="104" t="str" cm="1">
        <f t="array" ref="M545">_xlfn.IFS(OR(ISBLANK(StartDateMonth),ISBLANK(StartDateYear)),"",AND(A545&gt;NumberOfPlots,ISBLANK(INDEX(PlotData,MATCH($A545,PlotNumber,0),MATCH(B$3,PlotTitles,0)))),"",ISBLANK(INDEX(PlotData,MATCH($A545,PlotNumber,0),MATCH(I$3,PlotTitles,0))),"",CompletionMonth="","",(DATEVALUE(INDEX(PlotData,MATCH($A545,PlotNumber,0),MATCH(I$3,PlotTitles,0))&amp;INDEX(PlotData,MATCH($A545,PlotNumber,0),MATCH(J$3,PlotTitles,0))))&gt;(DATEVALUE(CompletionMonth&amp;CompletionYear)),$AB$16,TRUE,"")</f>
        <v/>
      </c>
      <c r="N545" s="104" t="str" cm="1">
        <f t="array" ref="N545">_xlfn.IFS(AND(A545&gt;NumberOfPlots,ISBLANK(INDEX(PlotData,MATCH($A545,PlotNumber,0),MATCH(B$3,PlotTitles,0)))),"",ISBLANK(INDEX(PlotData,MATCH($A545,PlotNumber,0),MATCH(N$3,PlotTitles,0))),$AB$17,TRUE,"")</f>
        <v/>
      </c>
      <c r="O545" s="104" t="str" cm="1">
        <f t="array" ref="O545">_xlfn.IFS(AND(A545&gt;NumberOfPlots,ISBLANK(INDEX(PlotData,MATCH($A545,PlotNumber,0),MATCH(B$3,PlotTitles,0)))),"",ISBLANK(INDEX(PlotData,MATCH($A545,PlotNumber,0),MATCH(O$3,PlotTitles,0))),$AB$18,TRUE,"")</f>
        <v/>
      </c>
      <c r="P545" s="182" t="str">
        <f t="shared" ca="1" si="25"/>
        <v/>
      </c>
      <c r="Q545" s="104" t="str" cm="1">
        <f t="array" ref="Q545">_xlfn.IFS(AND(A545&gt;NumberOfPlots,ISBLANK(INDEX(PlotData,MATCH($A545,PlotNumber,0),MATCH(B$3,PlotTitles,0)))),"",ISBLANK(INDEX(PlotData,MATCH($A545,PlotNumber,0),MATCH(N$3,PlotTitles,0))),"",(DATEVALUE(INDEX(PlotData,MATCH($A545,PlotNumber,0),MATCH(N$3,PlotTitles,0))&amp;INDEX(PlotData,MATCH($A545,PlotNumber,0),MATCH(O$3,PlotTitles,0))))&lt;(DATEVALUE(INDEX(PlotData,MATCH($A545,PlotNumber,0),MATCH(I$3,PlotTitles,0))&amp;INDEX(PlotData,MATCH($A545,PlotNumber,0),MATCH(J$3,PlotTitles,0)))),$AB$20,TRUE,"")</f>
        <v/>
      </c>
      <c r="R545" s="104" t="str" cm="1">
        <f t="array" ref="R545">_xlfn.IFS(OR(ISBLANK(StartDateMonth),ISBLANK(StartDateYear)),"",AND(A545&gt;NumberOfPlots,ISBLANK(INDEX(PlotData,MATCH($A545,PlotNumber,0),MATCH(B$3,PlotTitles,0)))),"",ISBLANK(INDEX(PlotData,MATCH($A545,PlotNumber,0),MATCH(N$3,PlotTitles,0))),"",CompletionMonth="","",(DATEVALUE(INDEX(PlotData,MATCH($A545,PlotNumber,0),MATCH(N$3,PlotTitles,0))&amp;INDEX(PlotData,MATCH($A545,PlotNumber,0),MATCH(O$3,PlotTitles,0))))&gt;(DATEVALUE(CompletionMonth&amp;CompletionYear)),$AB$21,TRUE,"")</f>
        <v/>
      </c>
      <c r="S545" s="104" t="str" cm="1">
        <f t="array" ref="S545">_xlfn.IFS(AND(A545&gt;NumberOfPlots,ISBLANK(INDEX(PlotData,MATCH($A545,PlotNumber,0),MATCH(B$3,PlotTitles,0)))),"",OR(AND(INDEX(PlotData,MATCH($A545,PlotNumber,0),MATCH("Tenure",PlotTitles,0))="Open market housing",INDEX(PlotData,MATCH($A545,PlotNumber,0),MATCH("Tenure detail",PlotTitles,0))="Private rented sector"),INDEX(PlotData,MATCH($A545,PlotNumber,0),MATCH("Tenure",PlotTitles,0))="Affordable rent"),"",ISNUMBER(INDEX(PlotData,MATCH($A545,PlotNumber,0),MATCH(S$3,PlotTitles,0)))=FALSE, $AB$22,TRUE,"")</f>
        <v/>
      </c>
      <c r="T545" s="104" t="str" cm="1">
        <f t="array" ref="T545">_xlfn.IFS(AND(A545&gt;NumberOfPlots,ISBLANK(INDEX(PlotData,MATCH($A545,PlotNumber,0),MATCH(B$3,PlotTitles,0)))),"",OR(AND(INDEX(PlotData,MATCH($A545,PlotNumber,0),MATCH("Tenure",PlotTitles,0))="Open market housing",INDEX(PlotData,MATCH($A545,PlotNumber,0),MATCH("Tenure detail",PlotTitles,0))="Private rented sector"),INDEX(PlotData,MATCH($A545,PlotNumber,0),MATCH("Tenure",PlotTitles,0))="Affordable rent"),"",INDEX(PlotData,MATCH($A545,PlotNumber,0),MATCH(S$3,PlotTitles,0))&lt;10000, $AB$23,TRUE,"")</f>
        <v/>
      </c>
      <c r="U545" s="104" t="str" cm="1">
        <f t="array" ref="U545">_xlfn.IFS(AND(A545&gt;NumberOfPlots,ISBLANK(INDEX(PlotData,MATCH($A545,PlotNumber,0),MATCH(B$3,PlotTitles,0)))),"",NOT(OR(AND(INDEX(PlotData,MATCH($A545,PlotNumber,0),MATCH("Tenure",PlotTitles,0))="Open market housing",INDEX(PlotData,MATCH($A545,PlotNumber,0),MATCH("Tenure detail",PlotTitles,0))="Private rented sector"),INDEX(PlotData,MATCH($A545,PlotNumber,0),MATCH("Tenure",PlotTitles,0))="Affordable rent")),"",NOT(INDEX(PlotData,MATCH($A545,PlotNumber,0),MATCH(S$3,PlotTitles,0))=0), $AB$24,TRUE,"")</f>
        <v/>
      </c>
      <c r="V545" s="114" t="str" cm="1">
        <f t="array" aca="1" ref="V545" ca="1">_xlfn.IFS(ISBLANK(NumberOfPlots),"Enter the number of homes on the 1_SetUp sheet",AND(A545&gt;NumberOfPlots,ISBLANK(INDEX(PlotData,MATCH($A545,PlotNumber,0),MATCH(B$3,PlotTitles,0)))),"No error",NOT(B545=""),B545,NOT(C545=""),C545,NOT(D545=""),D545,NOT(E545=""),E545,NOT(F545=""),F545,NOT(G545=""),G545,NOT(H545=""),H545,NOT(I545=""),I545,NOT(J545=""),J545,NOT(K545=""),K545,NOT(L545=""),L545,NOT(M545=""),M545,NOT(N545=""),N545,NOT(O545=""),O545,NOT(P545=""),P545,NOT(Q545=""),Q545,NOT(R545=""),R545,NOT(S545=""),S545,NOT(T545=""),T545,NOT(U545=""),U545,TRUE,"No error")</f>
        <v>Enter the number of homes on the 1_SetUp sheet</v>
      </c>
      <c r="W545" s="114" t="str">
        <f t="shared" ca="1" si="26"/>
        <v xml:space="preserve">The Borrower has not addressed the following error messages for Home ID 541: </v>
      </c>
    </row>
    <row r="546" spans="1:23">
      <c r="A546" s="123">
        <v>542</v>
      </c>
      <c r="B546" s="104" t="str" cm="1">
        <f t="array" ref="B546">_xlfn.IFS(AND(A546&gt;NumberOfPlots,ISBLANK(INDEX(PlotData,MATCH($A546,PlotNumber,0),MATCH(B$3,PlotTitles,0)))),"",ISNUMBER(INDEX(PlotData,MATCH($A546,PlotNumber,0),MATCH(B$3,PlotTitles,0)))=FALSE, $AB$5,TRUE,"")</f>
        <v/>
      </c>
      <c r="C546" s="104" t="str" cm="1">
        <f t="array" ref="C546">_xlfn.IFS(AND(A546&gt;NumberOfPlots,ISBLANK(INDEX(PlotData,MATCH($A546,PlotNumber,0),MATCH(B$3,PlotTitles,0)))),"",ISBLANK(INDEX(PlotData,MATCH($A546,PlotNumber,0),MATCH(C$3,PlotTitles,0))),$AB$6,TRUE,"")</f>
        <v/>
      </c>
      <c r="D546" s="104" t="str" cm="1">
        <f t="array" ref="D546">_xlfn.IFS(AND(A546&gt;NumberOfPlots,ISBLANK(INDEX(PlotData,MATCH($A546,PlotNumber,0),MATCH(B$3,PlotTitles,0)))),"",ISBLANK(INDEX(PlotData,MATCH($A546,PlotNumber,0),MATCH(D$3,PlotTitles,0))),$AB$7,TRUE,"")</f>
        <v/>
      </c>
      <c r="E546" s="104" t="str" cm="1">
        <f t="array" ref="E546">_xlfn.IFS(AND(A546&gt;NumberOfPlots,ISBLANK(INDEX(PlotData,MATCH($A546,PlotNumber,0),MATCH(B$3,PlotTitles,0)))),"",ISBLANK(INDEX(PlotData,MATCH($A546,PlotNumber,0),MATCH(E$3,PlotTitles,0))),$AB$8,TRUE,"")</f>
        <v/>
      </c>
      <c r="F546" s="104" t="str" cm="1">
        <f t="array" ref="F546">_xlfn.IFS(AND(A546&gt;NumberOfPlots,ISBLANK(INDEX(PlotData,MATCH($A546,PlotNumber,0),MATCH(B$3,PlotTitles,0)))),"",ISBLANK(INDEX(PlotData,MATCH($A546,PlotNumber,0),MATCH(F$3,PlotTitles,0))),$AB$9,TRUE,"")</f>
        <v/>
      </c>
      <c r="G546" s="104" t="str" cm="1">
        <f t="array" ref="G546">_xlfn.IFS(AND(A546&gt;NumberOfPlots,ISBLANK(INDEX(PlotData,MATCH($A546,PlotNumber,0),MATCH(B$3,PlotTitles,0)))),"",ISBLANK(INDEX(PlotData,MATCH($A546,PlotNumber,0),MATCH(G$3,PlotTitles,0))),$AB$10,TRUE,"")</f>
        <v/>
      </c>
      <c r="H546" s="104" t="str" cm="1">
        <f t="array" ref="H546">_xlfn.IFS(AND(A546&gt;NumberOfPlots,ISBLANK(INDEX(PlotData,MATCH($A546,PlotNumber,0),MATCH(B$3,PlotTitles,0)))),"",AND(ISBLANK(INDEX(PlotData,MATCH($A546,PlotNumber,0),MATCH(H$3,PlotTitles,0)))=FALSE,INDEX(PlotData,MATCH($A546,PlotNumber,0),MATCH(H$3,PlotTitles,0))&lt;500), $AB$11,TRUE,"")</f>
        <v/>
      </c>
      <c r="I546" s="104" t="str" cm="1">
        <f t="array" ref="I546">_xlfn.IFS(AND(A546&gt;NumberOfPlots,ISBLANK(INDEX(PlotData,MATCH($A546,PlotNumber,0),MATCH(B$3,PlotTitles,0)))),"",ISBLANK(INDEX(PlotData,MATCH($A546,PlotNumber,0),MATCH(I$3,PlotTitles,0))),$AB$12,TRUE,"")</f>
        <v/>
      </c>
      <c r="J546" s="104" t="str" cm="1">
        <f t="array" ref="J546">_xlfn.IFS(AND(A546&gt;NumberOfPlots,ISBLANK(INDEX(PlotData,MATCH($A546,PlotNumber,0),MATCH(B$3,PlotTitles,0)))),"",ISBLANK(INDEX(PlotData,MATCH($A546,PlotNumber,0),MATCH(J$3,PlotTitles,0))),$AB$13,TRUE,"")</f>
        <v/>
      </c>
      <c r="K546" s="182" t="str">
        <f t="shared" ca="1" si="24"/>
        <v/>
      </c>
      <c r="L546" s="104" t="str" cm="1">
        <f t="array" ref="L546">_xlfn.IFS(OR(ISBLANK(StartDateMonth),ISBLANK(StartDateYear)),"",AND(A546&gt;NumberOfPlots,ISBLANK(INDEX(PlotData,MATCH($A546,PlotNumber,0),MATCH(B$3,PlotTitles,0)))),"",ISBLANK(INDEX(PlotData,MATCH($A546,PlotNumber,0),MATCH(I$3,PlotTitles,0))),"",(DATEVALUE(INDEX(PlotData,MATCH($A546,PlotNumber,0),MATCH(I$3,PlotTitles,0))&amp;INDEX(PlotData,MATCH($A546,PlotNumber,0),MATCH(J$3,PlotTitles,0))))&lt;DATEVALUE(StartDateMonth&amp;StartDateYear),$AB$15,TRUE,"")</f>
        <v/>
      </c>
      <c r="M546" s="104" t="str" cm="1">
        <f t="array" ref="M546">_xlfn.IFS(OR(ISBLANK(StartDateMonth),ISBLANK(StartDateYear)),"",AND(A546&gt;NumberOfPlots,ISBLANK(INDEX(PlotData,MATCH($A546,PlotNumber,0),MATCH(B$3,PlotTitles,0)))),"",ISBLANK(INDEX(PlotData,MATCH($A546,PlotNumber,0),MATCH(I$3,PlotTitles,0))),"",CompletionMonth="","",(DATEVALUE(INDEX(PlotData,MATCH($A546,PlotNumber,0),MATCH(I$3,PlotTitles,0))&amp;INDEX(PlotData,MATCH($A546,PlotNumber,0),MATCH(J$3,PlotTitles,0))))&gt;(DATEVALUE(CompletionMonth&amp;CompletionYear)),$AB$16,TRUE,"")</f>
        <v/>
      </c>
      <c r="N546" s="104" t="str" cm="1">
        <f t="array" ref="N546">_xlfn.IFS(AND(A546&gt;NumberOfPlots,ISBLANK(INDEX(PlotData,MATCH($A546,PlotNumber,0),MATCH(B$3,PlotTitles,0)))),"",ISBLANK(INDEX(PlotData,MATCH($A546,PlotNumber,0),MATCH(N$3,PlotTitles,0))),$AB$17,TRUE,"")</f>
        <v/>
      </c>
      <c r="O546" s="104" t="str" cm="1">
        <f t="array" ref="O546">_xlfn.IFS(AND(A546&gt;NumberOfPlots,ISBLANK(INDEX(PlotData,MATCH($A546,PlotNumber,0),MATCH(B$3,PlotTitles,0)))),"",ISBLANK(INDEX(PlotData,MATCH($A546,PlotNumber,0),MATCH(O$3,PlotTitles,0))),$AB$18,TRUE,"")</f>
        <v/>
      </c>
      <c r="P546" s="182" t="str">
        <f t="shared" ca="1" si="25"/>
        <v/>
      </c>
      <c r="Q546" s="104" t="str" cm="1">
        <f t="array" ref="Q546">_xlfn.IFS(AND(A546&gt;NumberOfPlots,ISBLANK(INDEX(PlotData,MATCH($A546,PlotNumber,0),MATCH(B$3,PlotTitles,0)))),"",ISBLANK(INDEX(PlotData,MATCH($A546,PlotNumber,0),MATCH(N$3,PlotTitles,0))),"",(DATEVALUE(INDEX(PlotData,MATCH($A546,PlotNumber,0),MATCH(N$3,PlotTitles,0))&amp;INDEX(PlotData,MATCH($A546,PlotNumber,0),MATCH(O$3,PlotTitles,0))))&lt;(DATEVALUE(INDEX(PlotData,MATCH($A546,PlotNumber,0),MATCH(I$3,PlotTitles,0))&amp;INDEX(PlotData,MATCH($A546,PlotNumber,0),MATCH(J$3,PlotTitles,0)))),$AB$20,TRUE,"")</f>
        <v/>
      </c>
      <c r="R546" s="104" t="str" cm="1">
        <f t="array" ref="R546">_xlfn.IFS(OR(ISBLANK(StartDateMonth),ISBLANK(StartDateYear)),"",AND(A546&gt;NumberOfPlots,ISBLANK(INDEX(PlotData,MATCH($A546,PlotNumber,0),MATCH(B$3,PlotTitles,0)))),"",ISBLANK(INDEX(PlotData,MATCH($A546,PlotNumber,0),MATCH(N$3,PlotTitles,0))),"",CompletionMonth="","",(DATEVALUE(INDEX(PlotData,MATCH($A546,PlotNumber,0),MATCH(N$3,PlotTitles,0))&amp;INDEX(PlotData,MATCH($A546,PlotNumber,0),MATCH(O$3,PlotTitles,0))))&gt;(DATEVALUE(CompletionMonth&amp;CompletionYear)),$AB$21,TRUE,"")</f>
        <v/>
      </c>
      <c r="S546" s="104" t="str" cm="1">
        <f t="array" ref="S546">_xlfn.IFS(AND(A546&gt;NumberOfPlots,ISBLANK(INDEX(PlotData,MATCH($A546,PlotNumber,0),MATCH(B$3,PlotTitles,0)))),"",OR(AND(INDEX(PlotData,MATCH($A546,PlotNumber,0),MATCH("Tenure",PlotTitles,0))="Open market housing",INDEX(PlotData,MATCH($A546,PlotNumber,0),MATCH("Tenure detail",PlotTitles,0))="Private rented sector"),INDEX(PlotData,MATCH($A546,PlotNumber,0),MATCH("Tenure",PlotTitles,0))="Affordable rent"),"",ISNUMBER(INDEX(PlotData,MATCH($A546,PlotNumber,0),MATCH(S$3,PlotTitles,0)))=FALSE, $AB$22,TRUE,"")</f>
        <v/>
      </c>
      <c r="T546" s="104" t="str" cm="1">
        <f t="array" ref="T546">_xlfn.IFS(AND(A546&gt;NumberOfPlots,ISBLANK(INDEX(PlotData,MATCH($A546,PlotNumber,0),MATCH(B$3,PlotTitles,0)))),"",OR(AND(INDEX(PlotData,MATCH($A546,PlotNumber,0),MATCH("Tenure",PlotTitles,0))="Open market housing",INDEX(PlotData,MATCH($A546,PlotNumber,0),MATCH("Tenure detail",PlotTitles,0))="Private rented sector"),INDEX(PlotData,MATCH($A546,PlotNumber,0),MATCH("Tenure",PlotTitles,0))="Affordable rent"),"",INDEX(PlotData,MATCH($A546,PlotNumber,0),MATCH(S$3,PlotTitles,0))&lt;10000, $AB$23,TRUE,"")</f>
        <v/>
      </c>
      <c r="U546" s="104" t="str" cm="1">
        <f t="array" ref="U546">_xlfn.IFS(AND(A546&gt;NumberOfPlots,ISBLANK(INDEX(PlotData,MATCH($A546,PlotNumber,0),MATCH(B$3,PlotTitles,0)))),"",NOT(OR(AND(INDEX(PlotData,MATCH($A546,PlotNumber,0),MATCH("Tenure",PlotTitles,0))="Open market housing",INDEX(PlotData,MATCH($A546,PlotNumber,0),MATCH("Tenure detail",PlotTitles,0))="Private rented sector"),INDEX(PlotData,MATCH($A546,PlotNumber,0),MATCH("Tenure",PlotTitles,0))="Affordable rent")),"",NOT(INDEX(PlotData,MATCH($A546,PlotNumber,0),MATCH(S$3,PlotTitles,0))=0), $AB$24,TRUE,"")</f>
        <v/>
      </c>
      <c r="V546" s="114" t="str" cm="1">
        <f t="array" aca="1" ref="V546" ca="1">_xlfn.IFS(ISBLANK(NumberOfPlots),"Enter the number of homes on the 1_SetUp sheet",AND(A546&gt;NumberOfPlots,ISBLANK(INDEX(PlotData,MATCH($A546,PlotNumber,0),MATCH(B$3,PlotTitles,0)))),"No error",NOT(B546=""),B546,NOT(C546=""),C546,NOT(D546=""),D546,NOT(E546=""),E546,NOT(F546=""),F546,NOT(G546=""),G546,NOT(H546=""),H546,NOT(I546=""),I546,NOT(J546=""),J546,NOT(K546=""),K546,NOT(L546=""),L546,NOT(M546=""),M546,NOT(N546=""),N546,NOT(O546=""),O546,NOT(P546=""),P546,NOT(Q546=""),Q546,NOT(R546=""),R546,NOT(S546=""),S546,NOT(T546=""),T546,NOT(U546=""),U546,TRUE,"No error")</f>
        <v>Enter the number of homes on the 1_SetUp sheet</v>
      </c>
      <c r="W546" s="114" t="str">
        <f t="shared" ca="1" si="26"/>
        <v xml:space="preserve">The Borrower has not addressed the following error messages for Home ID 542: </v>
      </c>
    </row>
    <row r="547" spans="1:23">
      <c r="A547" s="123">
        <v>543</v>
      </c>
      <c r="B547" s="104" t="str" cm="1">
        <f t="array" ref="B547">_xlfn.IFS(AND(A547&gt;NumberOfPlots,ISBLANK(INDEX(PlotData,MATCH($A547,PlotNumber,0),MATCH(B$3,PlotTitles,0)))),"",ISNUMBER(INDEX(PlotData,MATCH($A547,PlotNumber,0),MATCH(B$3,PlotTitles,0)))=FALSE, $AB$5,TRUE,"")</f>
        <v/>
      </c>
      <c r="C547" s="104" t="str" cm="1">
        <f t="array" ref="C547">_xlfn.IFS(AND(A547&gt;NumberOfPlots,ISBLANK(INDEX(PlotData,MATCH($A547,PlotNumber,0),MATCH(B$3,PlotTitles,0)))),"",ISBLANK(INDEX(PlotData,MATCH($A547,PlotNumber,0),MATCH(C$3,PlotTitles,0))),$AB$6,TRUE,"")</f>
        <v/>
      </c>
      <c r="D547" s="104" t="str" cm="1">
        <f t="array" ref="D547">_xlfn.IFS(AND(A547&gt;NumberOfPlots,ISBLANK(INDEX(PlotData,MATCH($A547,PlotNumber,0),MATCH(B$3,PlotTitles,0)))),"",ISBLANK(INDEX(PlotData,MATCH($A547,PlotNumber,0),MATCH(D$3,PlotTitles,0))),$AB$7,TRUE,"")</f>
        <v/>
      </c>
      <c r="E547" s="104" t="str" cm="1">
        <f t="array" ref="E547">_xlfn.IFS(AND(A547&gt;NumberOfPlots,ISBLANK(INDEX(PlotData,MATCH($A547,PlotNumber,0),MATCH(B$3,PlotTitles,0)))),"",ISBLANK(INDEX(PlotData,MATCH($A547,PlotNumber,0),MATCH(E$3,PlotTitles,0))),$AB$8,TRUE,"")</f>
        <v/>
      </c>
      <c r="F547" s="104" t="str" cm="1">
        <f t="array" ref="F547">_xlfn.IFS(AND(A547&gt;NumberOfPlots,ISBLANK(INDEX(PlotData,MATCH($A547,PlotNumber,0),MATCH(B$3,PlotTitles,0)))),"",ISBLANK(INDEX(PlotData,MATCH($A547,PlotNumber,0),MATCH(F$3,PlotTitles,0))),$AB$9,TRUE,"")</f>
        <v/>
      </c>
      <c r="G547" s="104" t="str" cm="1">
        <f t="array" ref="G547">_xlfn.IFS(AND(A547&gt;NumberOfPlots,ISBLANK(INDEX(PlotData,MATCH($A547,PlotNumber,0),MATCH(B$3,PlotTitles,0)))),"",ISBLANK(INDEX(PlotData,MATCH($A547,PlotNumber,0),MATCH(G$3,PlotTitles,0))),$AB$10,TRUE,"")</f>
        <v/>
      </c>
      <c r="H547" s="104" t="str" cm="1">
        <f t="array" ref="H547">_xlfn.IFS(AND(A547&gt;NumberOfPlots,ISBLANK(INDEX(PlotData,MATCH($A547,PlotNumber,0),MATCH(B$3,PlotTitles,0)))),"",AND(ISBLANK(INDEX(PlotData,MATCH($A547,PlotNumber,0),MATCH(H$3,PlotTitles,0)))=FALSE,INDEX(PlotData,MATCH($A547,PlotNumber,0),MATCH(H$3,PlotTitles,0))&lt;500), $AB$11,TRUE,"")</f>
        <v/>
      </c>
      <c r="I547" s="104" t="str" cm="1">
        <f t="array" ref="I547">_xlfn.IFS(AND(A547&gt;NumberOfPlots,ISBLANK(INDEX(PlotData,MATCH($A547,PlotNumber,0),MATCH(B$3,PlotTitles,0)))),"",ISBLANK(INDEX(PlotData,MATCH($A547,PlotNumber,0),MATCH(I$3,PlotTitles,0))),$AB$12,TRUE,"")</f>
        <v/>
      </c>
      <c r="J547" s="104" t="str" cm="1">
        <f t="array" ref="J547">_xlfn.IFS(AND(A547&gt;NumberOfPlots,ISBLANK(INDEX(PlotData,MATCH($A547,PlotNumber,0),MATCH(B$3,PlotTitles,0)))),"",ISBLANK(INDEX(PlotData,MATCH($A547,PlotNumber,0),MATCH(J$3,PlotTitles,0))),$AB$13,TRUE,"")</f>
        <v/>
      </c>
      <c r="K547" s="182" t="str">
        <f t="shared" ca="1" si="24"/>
        <v/>
      </c>
      <c r="L547" s="104" t="str" cm="1">
        <f t="array" ref="L547">_xlfn.IFS(OR(ISBLANK(StartDateMonth),ISBLANK(StartDateYear)),"",AND(A547&gt;NumberOfPlots,ISBLANK(INDEX(PlotData,MATCH($A547,PlotNumber,0),MATCH(B$3,PlotTitles,0)))),"",ISBLANK(INDEX(PlotData,MATCH($A547,PlotNumber,0),MATCH(I$3,PlotTitles,0))),"",(DATEVALUE(INDEX(PlotData,MATCH($A547,PlotNumber,0),MATCH(I$3,PlotTitles,0))&amp;INDEX(PlotData,MATCH($A547,PlotNumber,0),MATCH(J$3,PlotTitles,0))))&lt;DATEVALUE(StartDateMonth&amp;StartDateYear),$AB$15,TRUE,"")</f>
        <v/>
      </c>
      <c r="M547" s="104" t="str" cm="1">
        <f t="array" ref="M547">_xlfn.IFS(OR(ISBLANK(StartDateMonth),ISBLANK(StartDateYear)),"",AND(A547&gt;NumberOfPlots,ISBLANK(INDEX(PlotData,MATCH($A547,PlotNumber,0),MATCH(B$3,PlotTitles,0)))),"",ISBLANK(INDEX(PlotData,MATCH($A547,PlotNumber,0),MATCH(I$3,PlotTitles,0))),"",CompletionMonth="","",(DATEVALUE(INDEX(PlotData,MATCH($A547,PlotNumber,0),MATCH(I$3,PlotTitles,0))&amp;INDEX(PlotData,MATCH($A547,PlotNumber,0),MATCH(J$3,PlotTitles,0))))&gt;(DATEVALUE(CompletionMonth&amp;CompletionYear)),$AB$16,TRUE,"")</f>
        <v/>
      </c>
      <c r="N547" s="104" t="str" cm="1">
        <f t="array" ref="N547">_xlfn.IFS(AND(A547&gt;NumberOfPlots,ISBLANK(INDEX(PlotData,MATCH($A547,PlotNumber,0),MATCH(B$3,PlotTitles,0)))),"",ISBLANK(INDEX(PlotData,MATCH($A547,PlotNumber,0),MATCH(N$3,PlotTitles,0))),$AB$17,TRUE,"")</f>
        <v/>
      </c>
      <c r="O547" s="104" t="str" cm="1">
        <f t="array" ref="O547">_xlfn.IFS(AND(A547&gt;NumberOfPlots,ISBLANK(INDEX(PlotData,MATCH($A547,PlotNumber,0),MATCH(B$3,PlotTitles,0)))),"",ISBLANK(INDEX(PlotData,MATCH($A547,PlotNumber,0),MATCH(O$3,PlotTitles,0))),$AB$18,TRUE,"")</f>
        <v/>
      </c>
      <c r="P547" s="182" t="str">
        <f t="shared" ca="1" si="25"/>
        <v/>
      </c>
      <c r="Q547" s="104" t="str" cm="1">
        <f t="array" ref="Q547">_xlfn.IFS(AND(A547&gt;NumberOfPlots,ISBLANK(INDEX(PlotData,MATCH($A547,PlotNumber,0),MATCH(B$3,PlotTitles,0)))),"",ISBLANK(INDEX(PlotData,MATCH($A547,PlotNumber,0),MATCH(N$3,PlotTitles,0))),"",(DATEVALUE(INDEX(PlotData,MATCH($A547,PlotNumber,0),MATCH(N$3,PlotTitles,0))&amp;INDEX(PlotData,MATCH($A547,PlotNumber,0),MATCH(O$3,PlotTitles,0))))&lt;(DATEVALUE(INDEX(PlotData,MATCH($A547,PlotNumber,0),MATCH(I$3,PlotTitles,0))&amp;INDEX(PlotData,MATCH($A547,PlotNumber,0),MATCH(J$3,PlotTitles,0)))),$AB$20,TRUE,"")</f>
        <v/>
      </c>
      <c r="R547" s="104" t="str" cm="1">
        <f t="array" ref="R547">_xlfn.IFS(OR(ISBLANK(StartDateMonth),ISBLANK(StartDateYear)),"",AND(A547&gt;NumberOfPlots,ISBLANK(INDEX(PlotData,MATCH($A547,PlotNumber,0),MATCH(B$3,PlotTitles,0)))),"",ISBLANK(INDEX(PlotData,MATCH($A547,PlotNumber,0),MATCH(N$3,PlotTitles,0))),"",CompletionMonth="","",(DATEVALUE(INDEX(PlotData,MATCH($A547,PlotNumber,0),MATCH(N$3,PlotTitles,0))&amp;INDEX(PlotData,MATCH($A547,PlotNumber,0),MATCH(O$3,PlotTitles,0))))&gt;(DATEVALUE(CompletionMonth&amp;CompletionYear)),$AB$21,TRUE,"")</f>
        <v/>
      </c>
      <c r="S547" s="104" t="str" cm="1">
        <f t="array" ref="S547">_xlfn.IFS(AND(A547&gt;NumberOfPlots,ISBLANK(INDEX(PlotData,MATCH($A547,PlotNumber,0),MATCH(B$3,PlotTitles,0)))),"",OR(AND(INDEX(PlotData,MATCH($A547,PlotNumber,0),MATCH("Tenure",PlotTitles,0))="Open market housing",INDEX(PlotData,MATCH($A547,PlotNumber,0),MATCH("Tenure detail",PlotTitles,0))="Private rented sector"),INDEX(PlotData,MATCH($A547,PlotNumber,0),MATCH("Tenure",PlotTitles,0))="Affordable rent"),"",ISNUMBER(INDEX(PlotData,MATCH($A547,PlotNumber,0),MATCH(S$3,PlotTitles,0)))=FALSE, $AB$22,TRUE,"")</f>
        <v/>
      </c>
      <c r="T547" s="104" t="str" cm="1">
        <f t="array" ref="T547">_xlfn.IFS(AND(A547&gt;NumberOfPlots,ISBLANK(INDEX(PlotData,MATCH($A547,PlotNumber,0),MATCH(B$3,PlotTitles,0)))),"",OR(AND(INDEX(PlotData,MATCH($A547,PlotNumber,0),MATCH("Tenure",PlotTitles,0))="Open market housing",INDEX(PlotData,MATCH($A547,PlotNumber,0),MATCH("Tenure detail",PlotTitles,0))="Private rented sector"),INDEX(PlotData,MATCH($A547,PlotNumber,0),MATCH("Tenure",PlotTitles,0))="Affordable rent"),"",INDEX(PlotData,MATCH($A547,PlotNumber,0),MATCH(S$3,PlotTitles,0))&lt;10000, $AB$23,TRUE,"")</f>
        <v/>
      </c>
      <c r="U547" s="104" t="str" cm="1">
        <f t="array" ref="U547">_xlfn.IFS(AND(A547&gt;NumberOfPlots,ISBLANK(INDEX(PlotData,MATCH($A547,PlotNumber,0),MATCH(B$3,PlotTitles,0)))),"",NOT(OR(AND(INDEX(PlotData,MATCH($A547,PlotNumber,0),MATCH("Tenure",PlotTitles,0))="Open market housing",INDEX(PlotData,MATCH($A547,PlotNumber,0),MATCH("Tenure detail",PlotTitles,0))="Private rented sector"),INDEX(PlotData,MATCH($A547,PlotNumber,0),MATCH("Tenure",PlotTitles,0))="Affordable rent")),"",NOT(INDEX(PlotData,MATCH($A547,PlotNumber,0),MATCH(S$3,PlotTitles,0))=0), $AB$24,TRUE,"")</f>
        <v/>
      </c>
      <c r="V547" s="114" t="str" cm="1">
        <f t="array" aca="1" ref="V547" ca="1">_xlfn.IFS(ISBLANK(NumberOfPlots),"Enter the number of homes on the 1_SetUp sheet",AND(A547&gt;NumberOfPlots,ISBLANK(INDEX(PlotData,MATCH($A547,PlotNumber,0),MATCH(B$3,PlotTitles,0)))),"No error",NOT(B547=""),B547,NOT(C547=""),C547,NOT(D547=""),D547,NOT(E547=""),E547,NOT(F547=""),F547,NOT(G547=""),G547,NOT(H547=""),H547,NOT(I547=""),I547,NOT(J547=""),J547,NOT(K547=""),K547,NOT(L547=""),L547,NOT(M547=""),M547,NOT(N547=""),N547,NOT(O547=""),O547,NOT(P547=""),P547,NOT(Q547=""),Q547,NOT(R547=""),R547,NOT(S547=""),S547,NOT(T547=""),T547,NOT(U547=""),U547,TRUE,"No error")</f>
        <v>Enter the number of homes on the 1_SetUp sheet</v>
      </c>
      <c r="W547" s="114" t="str">
        <f t="shared" ca="1" si="26"/>
        <v xml:space="preserve">The Borrower has not addressed the following error messages for Home ID 543: </v>
      </c>
    </row>
    <row r="548" spans="1:23">
      <c r="A548" s="123">
        <v>544</v>
      </c>
      <c r="B548" s="104" t="str" cm="1">
        <f t="array" ref="B548">_xlfn.IFS(AND(A548&gt;NumberOfPlots,ISBLANK(INDEX(PlotData,MATCH($A548,PlotNumber,0),MATCH(B$3,PlotTitles,0)))),"",ISNUMBER(INDEX(PlotData,MATCH($A548,PlotNumber,0),MATCH(B$3,PlotTitles,0)))=FALSE, $AB$5,TRUE,"")</f>
        <v/>
      </c>
      <c r="C548" s="104" t="str" cm="1">
        <f t="array" ref="C548">_xlfn.IFS(AND(A548&gt;NumberOfPlots,ISBLANK(INDEX(PlotData,MATCH($A548,PlotNumber,0),MATCH(B$3,PlotTitles,0)))),"",ISBLANK(INDEX(PlotData,MATCH($A548,PlotNumber,0),MATCH(C$3,PlotTitles,0))),$AB$6,TRUE,"")</f>
        <v/>
      </c>
      <c r="D548" s="104" t="str" cm="1">
        <f t="array" ref="D548">_xlfn.IFS(AND(A548&gt;NumberOfPlots,ISBLANK(INDEX(PlotData,MATCH($A548,PlotNumber,0),MATCH(B$3,PlotTitles,0)))),"",ISBLANK(INDEX(PlotData,MATCH($A548,PlotNumber,0),MATCH(D$3,PlotTitles,0))),$AB$7,TRUE,"")</f>
        <v/>
      </c>
      <c r="E548" s="104" t="str" cm="1">
        <f t="array" ref="E548">_xlfn.IFS(AND(A548&gt;NumberOfPlots,ISBLANK(INDEX(PlotData,MATCH($A548,PlotNumber,0),MATCH(B$3,PlotTitles,0)))),"",ISBLANK(INDEX(PlotData,MATCH($A548,PlotNumber,0),MATCH(E$3,PlotTitles,0))),$AB$8,TRUE,"")</f>
        <v/>
      </c>
      <c r="F548" s="104" t="str" cm="1">
        <f t="array" ref="F548">_xlfn.IFS(AND(A548&gt;NumberOfPlots,ISBLANK(INDEX(PlotData,MATCH($A548,PlotNumber,0),MATCH(B$3,PlotTitles,0)))),"",ISBLANK(INDEX(PlotData,MATCH($A548,PlotNumber,0),MATCH(F$3,PlotTitles,0))),$AB$9,TRUE,"")</f>
        <v/>
      </c>
      <c r="G548" s="104" t="str" cm="1">
        <f t="array" ref="G548">_xlfn.IFS(AND(A548&gt;NumberOfPlots,ISBLANK(INDEX(PlotData,MATCH($A548,PlotNumber,0),MATCH(B$3,PlotTitles,0)))),"",ISBLANK(INDEX(PlotData,MATCH($A548,PlotNumber,0),MATCH(G$3,PlotTitles,0))),$AB$10,TRUE,"")</f>
        <v/>
      </c>
      <c r="H548" s="104" t="str" cm="1">
        <f t="array" ref="H548">_xlfn.IFS(AND(A548&gt;NumberOfPlots,ISBLANK(INDEX(PlotData,MATCH($A548,PlotNumber,0),MATCH(B$3,PlotTitles,0)))),"",AND(ISBLANK(INDEX(PlotData,MATCH($A548,PlotNumber,0),MATCH(H$3,PlotTitles,0)))=FALSE,INDEX(PlotData,MATCH($A548,PlotNumber,0),MATCH(H$3,PlotTitles,0))&lt;500), $AB$11,TRUE,"")</f>
        <v/>
      </c>
      <c r="I548" s="104" t="str" cm="1">
        <f t="array" ref="I548">_xlfn.IFS(AND(A548&gt;NumberOfPlots,ISBLANK(INDEX(PlotData,MATCH($A548,PlotNumber,0),MATCH(B$3,PlotTitles,0)))),"",ISBLANK(INDEX(PlotData,MATCH($A548,PlotNumber,0),MATCH(I$3,PlotTitles,0))),$AB$12,TRUE,"")</f>
        <v/>
      </c>
      <c r="J548" s="104" t="str" cm="1">
        <f t="array" ref="J548">_xlfn.IFS(AND(A548&gt;NumberOfPlots,ISBLANK(INDEX(PlotData,MATCH($A548,PlotNumber,0),MATCH(B$3,PlotTitles,0)))),"",ISBLANK(INDEX(PlotData,MATCH($A548,PlotNumber,0),MATCH(J$3,PlotTitles,0))),$AB$13,TRUE,"")</f>
        <v/>
      </c>
      <c r="K548" s="182" t="str">
        <f t="shared" ca="1" si="24"/>
        <v/>
      </c>
      <c r="L548" s="104" t="str" cm="1">
        <f t="array" ref="L548">_xlfn.IFS(OR(ISBLANK(StartDateMonth),ISBLANK(StartDateYear)),"",AND(A548&gt;NumberOfPlots,ISBLANK(INDEX(PlotData,MATCH($A548,PlotNumber,0),MATCH(B$3,PlotTitles,0)))),"",ISBLANK(INDEX(PlotData,MATCH($A548,PlotNumber,0),MATCH(I$3,PlotTitles,0))),"",(DATEVALUE(INDEX(PlotData,MATCH($A548,PlotNumber,0),MATCH(I$3,PlotTitles,0))&amp;INDEX(PlotData,MATCH($A548,PlotNumber,0),MATCH(J$3,PlotTitles,0))))&lt;DATEVALUE(StartDateMonth&amp;StartDateYear),$AB$15,TRUE,"")</f>
        <v/>
      </c>
      <c r="M548" s="104" t="str" cm="1">
        <f t="array" ref="M548">_xlfn.IFS(OR(ISBLANK(StartDateMonth),ISBLANK(StartDateYear)),"",AND(A548&gt;NumberOfPlots,ISBLANK(INDEX(PlotData,MATCH($A548,PlotNumber,0),MATCH(B$3,PlotTitles,0)))),"",ISBLANK(INDEX(PlotData,MATCH($A548,PlotNumber,0),MATCH(I$3,PlotTitles,0))),"",CompletionMonth="","",(DATEVALUE(INDEX(PlotData,MATCH($A548,PlotNumber,0),MATCH(I$3,PlotTitles,0))&amp;INDEX(PlotData,MATCH($A548,PlotNumber,0),MATCH(J$3,PlotTitles,0))))&gt;(DATEVALUE(CompletionMonth&amp;CompletionYear)),$AB$16,TRUE,"")</f>
        <v/>
      </c>
      <c r="N548" s="104" t="str" cm="1">
        <f t="array" ref="N548">_xlfn.IFS(AND(A548&gt;NumberOfPlots,ISBLANK(INDEX(PlotData,MATCH($A548,PlotNumber,0),MATCH(B$3,PlotTitles,0)))),"",ISBLANK(INDEX(PlotData,MATCH($A548,PlotNumber,0),MATCH(N$3,PlotTitles,0))),$AB$17,TRUE,"")</f>
        <v/>
      </c>
      <c r="O548" s="104" t="str" cm="1">
        <f t="array" ref="O548">_xlfn.IFS(AND(A548&gt;NumberOfPlots,ISBLANK(INDEX(PlotData,MATCH($A548,PlotNumber,0),MATCH(B$3,PlotTitles,0)))),"",ISBLANK(INDEX(PlotData,MATCH($A548,PlotNumber,0),MATCH(O$3,PlotTitles,0))),$AB$18,TRUE,"")</f>
        <v/>
      </c>
      <c r="P548" s="182" t="str">
        <f t="shared" ca="1" si="25"/>
        <v/>
      </c>
      <c r="Q548" s="104" t="str" cm="1">
        <f t="array" ref="Q548">_xlfn.IFS(AND(A548&gt;NumberOfPlots,ISBLANK(INDEX(PlotData,MATCH($A548,PlotNumber,0),MATCH(B$3,PlotTitles,0)))),"",ISBLANK(INDEX(PlotData,MATCH($A548,PlotNumber,0),MATCH(N$3,PlotTitles,0))),"",(DATEVALUE(INDEX(PlotData,MATCH($A548,PlotNumber,0),MATCH(N$3,PlotTitles,0))&amp;INDEX(PlotData,MATCH($A548,PlotNumber,0),MATCH(O$3,PlotTitles,0))))&lt;(DATEVALUE(INDEX(PlotData,MATCH($A548,PlotNumber,0),MATCH(I$3,PlotTitles,0))&amp;INDEX(PlotData,MATCH($A548,PlotNumber,0),MATCH(J$3,PlotTitles,0)))),$AB$20,TRUE,"")</f>
        <v/>
      </c>
      <c r="R548" s="104" t="str" cm="1">
        <f t="array" ref="R548">_xlfn.IFS(OR(ISBLANK(StartDateMonth),ISBLANK(StartDateYear)),"",AND(A548&gt;NumberOfPlots,ISBLANK(INDEX(PlotData,MATCH($A548,PlotNumber,0),MATCH(B$3,PlotTitles,0)))),"",ISBLANK(INDEX(PlotData,MATCH($A548,PlotNumber,0),MATCH(N$3,PlotTitles,0))),"",CompletionMonth="","",(DATEVALUE(INDEX(PlotData,MATCH($A548,PlotNumber,0),MATCH(N$3,PlotTitles,0))&amp;INDEX(PlotData,MATCH($A548,PlotNumber,0),MATCH(O$3,PlotTitles,0))))&gt;(DATEVALUE(CompletionMonth&amp;CompletionYear)),$AB$21,TRUE,"")</f>
        <v/>
      </c>
      <c r="S548" s="104" t="str" cm="1">
        <f t="array" ref="S548">_xlfn.IFS(AND(A548&gt;NumberOfPlots,ISBLANK(INDEX(PlotData,MATCH($A548,PlotNumber,0),MATCH(B$3,PlotTitles,0)))),"",OR(AND(INDEX(PlotData,MATCH($A548,PlotNumber,0),MATCH("Tenure",PlotTitles,0))="Open market housing",INDEX(PlotData,MATCH($A548,PlotNumber,0),MATCH("Tenure detail",PlotTitles,0))="Private rented sector"),INDEX(PlotData,MATCH($A548,PlotNumber,0),MATCH("Tenure",PlotTitles,0))="Affordable rent"),"",ISNUMBER(INDEX(PlotData,MATCH($A548,PlotNumber,0),MATCH(S$3,PlotTitles,0)))=FALSE, $AB$22,TRUE,"")</f>
        <v/>
      </c>
      <c r="T548" s="104" t="str" cm="1">
        <f t="array" ref="T548">_xlfn.IFS(AND(A548&gt;NumberOfPlots,ISBLANK(INDEX(PlotData,MATCH($A548,PlotNumber,0),MATCH(B$3,PlotTitles,0)))),"",OR(AND(INDEX(PlotData,MATCH($A548,PlotNumber,0),MATCH("Tenure",PlotTitles,0))="Open market housing",INDEX(PlotData,MATCH($A548,PlotNumber,0),MATCH("Tenure detail",PlotTitles,0))="Private rented sector"),INDEX(PlotData,MATCH($A548,PlotNumber,0),MATCH("Tenure",PlotTitles,0))="Affordable rent"),"",INDEX(PlotData,MATCH($A548,PlotNumber,0),MATCH(S$3,PlotTitles,0))&lt;10000, $AB$23,TRUE,"")</f>
        <v/>
      </c>
      <c r="U548" s="104" t="str" cm="1">
        <f t="array" ref="U548">_xlfn.IFS(AND(A548&gt;NumberOfPlots,ISBLANK(INDEX(PlotData,MATCH($A548,PlotNumber,0),MATCH(B$3,PlotTitles,0)))),"",NOT(OR(AND(INDEX(PlotData,MATCH($A548,PlotNumber,0),MATCH("Tenure",PlotTitles,0))="Open market housing",INDEX(PlotData,MATCH($A548,PlotNumber,0),MATCH("Tenure detail",PlotTitles,0))="Private rented sector"),INDEX(PlotData,MATCH($A548,PlotNumber,0),MATCH("Tenure",PlotTitles,0))="Affordable rent")),"",NOT(INDEX(PlotData,MATCH($A548,PlotNumber,0),MATCH(S$3,PlotTitles,0))=0), $AB$24,TRUE,"")</f>
        <v/>
      </c>
      <c r="V548" s="114" t="str" cm="1">
        <f t="array" aca="1" ref="V548" ca="1">_xlfn.IFS(ISBLANK(NumberOfPlots),"Enter the number of homes on the 1_SetUp sheet",AND(A548&gt;NumberOfPlots,ISBLANK(INDEX(PlotData,MATCH($A548,PlotNumber,0),MATCH(B$3,PlotTitles,0)))),"No error",NOT(B548=""),B548,NOT(C548=""),C548,NOT(D548=""),D548,NOT(E548=""),E548,NOT(F548=""),F548,NOT(G548=""),G548,NOT(H548=""),H548,NOT(I548=""),I548,NOT(J548=""),J548,NOT(K548=""),K548,NOT(L548=""),L548,NOT(M548=""),M548,NOT(N548=""),N548,NOT(O548=""),O548,NOT(P548=""),P548,NOT(Q548=""),Q548,NOT(R548=""),R548,NOT(S548=""),S548,NOT(T548=""),T548,NOT(U548=""),U548,TRUE,"No error")</f>
        <v>Enter the number of homes on the 1_SetUp sheet</v>
      </c>
      <c r="W548" s="114" t="str">
        <f t="shared" ca="1" si="26"/>
        <v xml:space="preserve">The Borrower has not addressed the following error messages for Home ID 544: </v>
      </c>
    </row>
    <row r="549" spans="1:23">
      <c r="A549" s="123">
        <v>545</v>
      </c>
      <c r="B549" s="104" t="str" cm="1">
        <f t="array" ref="B549">_xlfn.IFS(AND(A549&gt;NumberOfPlots,ISBLANK(INDEX(PlotData,MATCH($A549,PlotNumber,0),MATCH(B$3,PlotTitles,0)))),"",ISNUMBER(INDEX(PlotData,MATCH($A549,PlotNumber,0),MATCH(B$3,PlotTitles,0)))=FALSE, $AB$5,TRUE,"")</f>
        <v/>
      </c>
      <c r="C549" s="104" t="str" cm="1">
        <f t="array" ref="C549">_xlfn.IFS(AND(A549&gt;NumberOfPlots,ISBLANK(INDEX(PlotData,MATCH($A549,PlotNumber,0),MATCH(B$3,PlotTitles,0)))),"",ISBLANK(INDEX(PlotData,MATCH($A549,PlotNumber,0),MATCH(C$3,PlotTitles,0))),$AB$6,TRUE,"")</f>
        <v/>
      </c>
      <c r="D549" s="104" t="str" cm="1">
        <f t="array" ref="D549">_xlfn.IFS(AND(A549&gt;NumberOfPlots,ISBLANK(INDEX(PlotData,MATCH($A549,PlotNumber,0),MATCH(B$3,PlotTitles,0)))),"",ISBLANK(INDEX(PlotData,MATCH($A549,PlotNumber,0),MATCH(D$3,PlotTitles,0))),$AB$7,TRUE,"")</f>
        <v/>
      </c>
      <c r="E549" s="104" t="str" cm="1">
        <f t="array" ref="E549">_xlfn.IFS(AND(A549&gt;NumberOfPlots,ISBLANK(INDEX(PlotData,MATCH($A549,PlotNumber,0),MATCH(B$3,PlotTitles,0)))),"",ISBLANK(INDEX(PlotData,MATCH($A549,PlotNumber,0),MATCH(E$3,PlotTitles,0))),$AB$8,TRUE,"")</f>
        <v/>
      </c>
      <c r="F549" s="104" t="str" cm="1">
        <f t="array" ref="F549">_xlfn.IFS(AND(A549&gt;NumberOfPlots,ISBLANK(INDEX(PlotData,MATCH($A549,PlotNumber,0),MATCH(B$3,PlotTitles,0)))),"",ISBLANK(INDEX(PlotData,MATCH($A549,PlotNumber,0),MATCH(F$3,PlotTitles,0))),$AB$9,TRUE,"")</f>
        <v/>
      </c>
      <c r="G549" s="104" t="str" cm="1">
        <f t="array" ref="G549">_xlfn.IFS(AND(A549&gt;NumberOfPlots,ISBLANK(INDEX(PlotData,MATCH($A549,PlotNumber,0),MATCH(B$3,PlotTitles,0)))),"",ISBLANK(INDEX(PlotData,MATCH($A549,PlotNumber,0),MATCH(G$3,PlotTitles,0))),$AB$10,TRUE,"")</f>
        <v/>
      </c>
      <c r="H549" s="104" t="str" cm="1">
        <f t="array" ref="H549">_xlfn.IFS(AND(A549&gt;NumberOfPlots,ISBLANK(INDEX(PlotData,MATCH($A549,PlotNumber,0),MATCH(B$3,PlotTitles,0)))),"",AND(ISBLANK(INDEX(PlotData,MATCH($A549,PlotNumber,0),MATCH(H$3,PlotTitles,0)))=FALSE,INDEX(PlotData,MATCH($A549,PlotNumber,0),MATCH(H$3,PlotTitles,0))&lt;500), $AB$11,TRUE,"")</f>
        <v/>
      </c>
      <c r="I549" s="104" t="str" cm="1">
        <f t="array" ref="I549">_xlfn.IFS(AND(A549&gt;NumberOfPlots,ISBLANK(INDEX(PlotData,MATCH($A549,PlotNumber,0),MATCH(B$3,PlotTitles,0)))),"",ISBLANK(INDEX(PlotData,MATCH($A549,PlotNumber,0),MATCH(I$3,PlotTitles,0))),$AB$12,TRUE,"")</f>
        <v/>
      </c>
      <c r="J549" s="104" t="str" cm="1">
        <f t="array" ref="J549">_xlfn.IFS(AND(A549&gt;NumberOfPlots,ISBLANK(INDEX(PlotData,MATCH($A549,PlotNumber,0),MATCH(B$3,PlotTitles,0)))),"",ISBLANK(INDEX(PlotData,MATCH($A549,PlotNumber,0),MATCH(J$3,PlotTitles,0))),$AB$13,TRUE,"")</f>
        <v/>
      </c>
      <c r="K549" s="182" t="str">
        <f t="shared" ca="1" si="24"/>
        <v/>
      </c>
      <c r="L549" s="104" t="str" cm="1">
        <f t="array" ref="L549">_xlfn.IFS(OR(ISBLANK(StartDateMonth),ISBLANK(StartDateYear)),"",AND(A549&gt;NumberOfPlots,ISBLANK(INDEX(PlotData,MATCH($A549,PlotNumber,0),MATCH(B$3,PlotTitles,0)))),"",ISBLANK(INDEX(PlotData,MATCH($A549,PlotNumber,0),MATCH(I$3,PlotTitles,0))),"",(DATEVALUE(INDEX(PlotData,MATCH($A549,PlotNumber,0),MATCH(I$3,PlotTitles,0))&amp;INDEX(PlotData,MATCH($A549,PlotNumber,0),MATCH(J$3,PlotTitles,0))))&lt;DATEVALUE(StartDateMonth&amp;StartDateYear),$AB$15,TRUE,"")</f>
        <v/>
      </c>
      <c r="M549" s="104" t="str" cm="1">
        <f t="array" ref="M549">_xlfn.IFS(OR(ISBLANK(StartDateMonth),ISBLANK(StartDateYear)),"",AND(A549&gt;NumberOfPlots,ISBLANK(INDEX(PlotData,MATCH($A549,PlotNumber,0),MATCH(B$3,PlotTitles,0)))),"",ISBLANK(INDEX(PlotData,MATCH($A549,PlotNumber,0),MATCH(I$3,PlotTitles,0))),"",CompletionMonth="","",(DATEVALUE(INDEX(PlotData,MATCH($A549,PlotNumber,0),MATCH(I$3,PlotTitles,0))&amp;INDEX(PlotData,MATCH($A549,PlotNumber,0),MATCH(J$3,PlotTitles,0))))&gt;(DATEVALUE(CompletionMonth&amp;CompletionYear)),$AB$16,TRUE,"")</f>
        <v/>
      </c>
      <c r="N549" s="104" t="str" cm="1">
        <f t="array" ref="N549">_xlfn.IFS(AND(A549&gt;NumberOfPlots,ISBLANK(INDEX(PlotData,MATCH($A549,PlotNumber,0),MATCH(B$3,PlotTitles,0)))),"",ISBLANK(INDEX(PlotData,MATCH($A549,PlotNumber,0),MATCH(N$3,PlotTitles,0))),$AB$17,TRUE,"")</f>
        <v/>
      </c>
      <c r="O549" s="104" t="str" cm="1">
        <f t="array" ref="O549">_xlfn.IFS(AND(A549&gt;NumberOfPlots,ISBLANK(INDEX(PlotData,MATCH($A549,PlotNumber,0),MATCH(B$3,PlotTitles,0)))),"",ISBLANK(INDEX(PlotData,MATCH($A549,PlotNumber,0),MATCH(O$3,PlotTitles,0))),$AB$18,TRUE,"")</f>
        <v/>
      </c>
      <c r="P549" s="182" t="str">
        <f t="shared" ca="1" si="25"/>
        <v/>
      </c>
      <c r="Q549" s="104" t="str" cm="1">
        <f t="array" ref="Q549">_xlfn.IFS(AND(A549&gt;NumberOfPlots,ISBLANK(INDEX(PlotData,MATCH($A549,PlotNumber,0),MATCH(B$3,PlotTitles,0)))),"",ISBLANK(INDEX(PlotData,MATCH($A549,PlotNumber,0),MATCH(N$3,PlotTitles,0))),"",(DATEVALUE(INDEX(PlotData,MATCH($A549,PlotNumber,0),MATCH(N$3,PlotTitles,0))&amp;INDEX(PlotData,MATCH($A549,PlotNumber,0),MATCH(O$3,PlotTitles,0))))&lt;(DATEVALUE(INDEX(PlotData,MATCH($A549,PlotNumber,0),MATCH(I$3,PlotTitles,0))&amp;INDEX(PlotData,MATCH($A549,PlotNumber,0),MATCH(J$3,PlotTitles,0)))),$AB$20,TRUE,"")</f>
        <v/>
      </c>
      <c r="R549" s="104" t="str" cm="1">
        <f t="array" ref="R549">_xlfn.IFS(OR(ISBLANK(StartDateMonth),ISBLANK(StartDateYear)),"",AND(A549&gt;NumberOfPlots,ISBLANK(INDEX(PlotData,MATCH($A549,PlotNumber,0),MATCH(B$3,PlotTitles,0)))),"",ISBLANK(INDEX(PlotData,MATCH($A549,PlotNumber,0),MATCH(N$3,PlotTitles,0))),"",CompletionMonth="","",(DATEVALUE(INDEX(PlotData,MATCH($A549,PlotNumber,0),MATCH(N$3,PlotTitles,0))&amp;INDEX(PlotData,MATCH($A549,PlotNumber,0),MATCH(O$3,PlotTitles,0))))&gt;(DATEVALUE(CompletionMonth&amp;CompletionYear)),$AB$21,TRUE,"")</f>
        <v/>
      </c>
      <c r="S549" s="104" t="str" cm="1">
        <f t="array" ref="S549">_xlfn.IFS(AND(A549&gt;NumberOfPlots,ISBLANK(INDEX(PlotData,MATCH($A549,PlotNumber,0),MATCH(B$3,PlotTitles,0)))),"",OR(AND(INDEX(PlotData,MATCH($A549,PlotNumber,0),MATCH("Tenure",PlotTitles,0))="Open market housing",INDEX(PlotData,MATCH($A549,PlotNumber,0),MATCH("Tenure detail",PlotTitles,0))="Private rented sector"),INDEX(PlotData,MATCH($A549,PlotNumber,0),MATCH("Tenure",PlotTitles,0))="Affordable rent"),"",ISNUMBER(INDEX(PlotData,MATCH($A549,PlotNumber,0),MATCH(S$3,PlotTitles,0)))=FALSE, $AB$22,TRUE,"")</f>
        <v/>
      </c>
      <c r="T549" s="104" t="str" cm="1">
        <f t="array" ref="T549">_xlfn.IFS(AND(A549&gt;NumberOfPlots,ISBLANK(INDEX(PlotData,MATCH($A549,PlotNumber,0),MATCH(B$3,PlotTitles,0)))),"",OR(AND(INDEX(PlotData,MATCH($A549,PlotNumber,0),MATCH("Tenure",PlotTitles,0))="Open market housing",INDEX(PlotData,MATCH($A549,PlotNumber,0),MATCH("Tenure detail",PlotTitles,0))="Private rented sector"),INDEX(PlotData,MATCH($A549,PlotNumber,0),MATCH("Tenure",PlotTitles,0))="Affordable rent"),"",INDEX(PlotData,MATCH($A549,PlotNumber,0),MATCH(S$3,PlotTitles,0))&lt;10000, $AB$23,TRUE,"")</f>
        <v/>
      </c>
      <c r="U549" s="104" t="str" cm="1">
        <f t="array" ref="U549">_xlfn.IFS(AND(A549&gt;NumberOfPlots,ISBLANK(INDEX(PlotData,MATCH($A549,PlotNumber,0),MATCH(B$3,PlotTitles,0)))),"",NOT(OR(AND(INDEX(PlotData,MATCH($A549,PlotNumber,0),MATCH("Tenure",PlotTitles,0))="Open market housing",INDEX(PlotData,MATCH($A549,PlotNumber,0),MATCH("Tenure detail",PlotTitles,0))="Private rented sector"),INDEX(PlotData,MATCH($A549,PlotNumber,0),MATCH("Tenure",PlotTitles,0))="Affordable rent")),"",NOT(INDEX(PlotData,MATCH($A549,PlotNumber,0),MATCH(S$3,PlotTitles,0))=0), $AB$24,TRUE,"")</f>
        <v/>
      </c>
      <c r="V549" s="114" t="str" cm="1">
        <f t="array" aca="1" ref="V549" ca="1">_xlfn.IFS(ISBLANK(NumberOfPlots),"Enter the number of homes on the 1_SetUp sheet",AND(A549&gt;NumberOfPlots,ISBLANK(INDEX(PlotData,MATCH($A549,PlotNumber,0),MATCH(B$3,PlotTitles,0)))),"No error",NOT(B549=""),B549,NOT(C549=""),C549,NOT(D549=""),D549,NOT(E549=""),E549,NOT(F549=""),F549,NOT(G549=""),G549,NOT(H549=""),H549,NOT(I549=""),I549,NOT(J549=""),J549,NOT(K549=""),K549,NOT(L549=""),L549,NOT(M549=""),M549,NOT(N549=""),N549,NOT(O549=""),O549,NOT(P549=""),P549,NOT(Q549=""),Q549,NOT(R549=""),R549,NOT(S549=""),S549,NOT(T549=""),T549,NOT(U549=""),U549,TRUE,"No error")</f>
        <v>Enter the number of homes on the 1_SetUp sheet</v>
      </c>
      <c r="W549" s="114" t="str">
        <f t="shared" ca="1" si="26"/>
        <v xml:space="preserve">The Borrower has not addressed the following error messages for Home ID 545: </v>
      </c>
    </row>
    <row r="550" spans="1:23">
      <c r="A550" s="123">
        <v>546</v>
      </c>
      <c r="B550" s="104" t="str" cm="1">
        <f t="array" ref="B550">_xlfn.IFS(AND(A550&gt;NumberOfPlots,ISBLANK(INDEX(PlotData,MATCH($A550,PlotNumber,0),MATCH(B$3,PlotTitles,0)))),"",ISNUMBER(INDEX(PlotData,MATCH($A550,PlotNumber,0),MATCH(B$3,PlotTitles,0)))=FALSE, $AB$5,TRUE,"")</f>
        <v/>
      </c>
      <c r="C550" s="104" t="str" cm="1">
        <f t="array" ref="C550">_xlfn.IFS(AND(A550&gt;NumberOfPlots,ISBLANK(INDEX(PlotData,MATCH($A550,PlotNumber,0),MATCH(B$3,PlotTitles,0)))),"",ISBLANK(INDEX(PlotData,MATCH($A550,PlotNumber,0),MATCH(C$3,PlotTitles,0))),$AB$6,TRUE,"")</f>
        <v/>
      </c>
      <c r="D550" s="104" t="str" cm="1">
        <f t="array" ref="D550">_xlfn.IFS(AND(A550&gt;NumberOfPlots,ISBLANK(INDEX(PlotData,MATCH($A550,PlotNumber,0),MATCH(B$3,PlotTitles,0)))),"",ISBLANK(INDEX(PlotData,MATCH($A550,PlotNumber,0),MATCH(D$3,PlotTitles,0))),$AB$7,TRUE,"")</f>
        <v/>
      </c>
      <c r="E550" s="104" t="str" cm="1">
        <f t="array" ref="E550">_xlfn.IFS(AND(A550&gt;NumberOfPlots,ISBLANK(INDEX(PlotData,MATCH($A550,PlotNumber,0),MATCH(B$3,PlotTitles,0)))),"",ISBLANK(INDEX(PlotData,MATCH($A550,PlotNumber,0),MATCH(E$3,PlotTitles,0))),$AB$8,TRUE,"")</f>
        <v/>
      </c>
      <c r="F550" s="104" t="str" cm="1">
        <f t="array" ref="F550">_xlfn.IFS(AND(A550&gt;NumberOfPlots,ISBLANK(INDEX(PlotData,MATCH($A550,PlotNumber,0),MATCH(B$3,PlotTitles,0)))),"",ISBLANK(INDEX(PlotData,MATCH($A550,PlotNumber,0),MATCH(F$3,PlotTitles,0))),$AB$9,TRUE,"")</f>
        <v/>
      </c>
      <c r="G550" s="104" t="str" cm="1">
        <f t="array" ref="G550">_xlfn.IFS(AND(A550&gt;NumberOfPlots,ISBLANK(INDEX(PlotData,MATCH($A550,PlotNumber,0),MATCH(B$3,PlotTitles,0)))),"",ISBLANK(INDEX(PlotData,MATCH($A550,PlotNumber,0),MATCH(G$3,PlotTitles,0))),$AB$10,TRUE,"")</f>
        <v/>
      </c>
      <c r="H550" s="104" t="str" cm="1">
        <f t="array" ref="H550">_xlfn.IFS(AND(A550&gt;NumberOfPlots,ISBLANK(INDEX(PlotData,MATCH($A550,PlotNumber,0),MATCH(B$3,PlotTitles,0)))),"",AND(ISBLANK(INDEX(PlotData,MATCH($A550,PlotNumber,0),MATCH(H$3,PlotTitles,0)))=FALSE,INDEX(PlotData,MATCH($A550,PlotNumber,0),MATCH(H$3,PlotTitles,0))&lt;500), $AB$11,TRUE,"")</f>
        <v/>
      </c>
      <c r="I550" s="104" t="str" cm="1">
        <f t="array" ref="I550">_xlfn.IFS(AND(A550&gt;NumberOfPlots,ISBLANK(INDEX(PlotData,MATCH($A550,PlotNumber,0),MATCH(B$3,PlotTitles,0)))),"",ISBLANK(INDEX(PlotData,MATCH($A550,PlotNumber,0),MATCH(I$3,PlotTitles,0))),$AB$12,TRUE,"")</f>
        <v/>
      </c>
      <c r="J550" s="104" t="str" cm="1">
        <f t="array" ref="J550">_xlfn.IFS(AND(A550&gt;NumberOfPlots,ISBLANK(INDEX(PlotData,MATCH($A550,PlotNumber,0),MATCH(B$3,PlotTitles,0)))),"",ISBLANK(INDEX(PlotData,MATCH($A550,PlotNumber,0),MATCH(J$3,PlotTitles,0))),$AB$13,TRUE,"")</f>
        <v/>
      </c>
      <c r="K550" s="182" t="str">
        <f t="shared" ca="1" si="24"/>
        <v/>
      </c>
      <c r="L550" s="104" t="str" cm="1">
        <f t="array" ref="L550">_xlfn.IFS(OR(ISBLANK(StartDateMonth),ISBLANK(StartDateYear)),"",AND(A550&gt;NumberOfPlots,ISBLANK(INDEX(PlotData,MATCH($A550,PlotNumber,0),MATCH(B$3,PlotTitles,0)))),"",ISBLANK(INDEX(PlotData,MATCH($A550,PlotNumber,0),MATCH(I$3,PlotTitles,0))),"",(DATEVALUE(INDEX(PlotData,MATCH($A550,PlotNumber,0),MATCH(I$3,PlotTitles,0))&amp;INDEX(PlotData,MATCH($A550,PlotNumber,0),MATCH(J$3,PlotTitles,0))))&lt;DATEVALUE(StartDateMonth&amp;StartDateYear),$AB$15,TRUE,"")</f>
        <v/>
      </c>
      <c r="M550" s="104" t="str" cm="1">
        <f t="array" ref="M550">_xlfn.IFS(OR(ISBLANK(StartDateMonth),ISBLANK(StartDateYear)),"",AND(A550&gt;NumberOfPlots,ISBLANK(INDEX(PlotData,MATCH($A550,PlotNumber,0),MATCH(B$3,PlotTitles,0)))),"",ISBLANK(INDEX(PlotData,MATCH($A550,PlotNumber,0),MATCH(I$3,PlotTitles,0))),"",CompletionMonth="","",(DATEVALUE(INDEX(PlotData,MATCH($A550,PlotNumber,0),MATCH(I$3,PlotTitles,0))&amp;INDEX(PlotData,MATCH($A550,PlotNumber,0),MATCH(J$3,PlotTitles,0))))&gt;(DATEVALUE(CompletionMonth&amp;CompletionYear)),$AB$16,TRUE,"")</f>
        <v/>
      </c>
      <c r="N550" s="104" t="str" cm="1">
        <f t="array" ref="N550">_xlfn.IFS(AND(A550&gt;NumberOfPlots,ISBLANK(INDEX(PlotData,MATCH($A550,PlotNumber,0),MATCH(B$3,PlotTitles,0)))),"",ISBLANK(INDEX(PlotData,MATCH($A550,PlotNumber,0),MATCH(N$3,PlotTitles,0))),$AB$17,TRUE,"")</f>
        <v/>
      </c>
      <c r="O550" s="104" t="str" cm="1">
        <f t="array" ref="O550">_xlfn.IFS(AND(A550&gt;NumberOfPlots,ISBLANK(INDEX(PlotData,MATCH($A550,PlotNumber,0),MATCH(B$3,PlotTitles,0)))),"",ISBLANK(INDEX(PlotData,MATCH($A550,PlotNumber,0),MATCH(O$3,PlotTitles,0))),$AB$18,TRUE,"")</f>
        <v/>
      </c>
      <c r="P550" s="182" t="str">
        <f t="shared" ca="1" si="25"/>
        <v/>
      </c>
      <c r="Q550" s="104" t="str" cm="1">
        <f t="array" ref="Q550">_xlfn.IFS(AND(A550&gt;NumberOfPlots,ISBLANK(INDEX(PlotData,MATCH($A550,PlotNumber,0),MATCH(B$3,PlotTitles,0)))),"",ISBLANK(INDEX(PlotData,MATCH($A550,PlotNumber,0),MATCH(N$3,PlotTitles,0))),"",(DATEVALUE(INDEX(PlotData,MATCH($A550,PlotNumber,0),MATCH(N$3,PlotTitles,0))&amp;INDEX(PlotData,MATCH($A550,PlotNumber,0),MATCH(O$3,PlotTitles,0))))&lt;(DATEVALUE(INDEX(PlotData,MATCH($A550,PlotNumber,0),MATCH(I$3,PlotTitles,0))&amp;INDEX(PlotData,MATCH($A550,PlotNumber,0),MATCH(J$3,PlotTitles,0)))),$AB$20,TRUE,"")</f>
        <v/>
      </c>
      <c r="R550" s="104" t="str" cm="1">
        <f t="array" ref="R550">_xlfn.IFS(OR(ISBLANK(StartDateMonth),ISBLANK(StartDateYear)),"",AND(A550&gt;NumberOfPlots,ISBLANK(INDEX(PlotData,MATCH($A550,PlotNumber,0),MATCH(B$3,PlotTitles,0)))),"",ISBLANK(INDEX(PlotData,MATCH($A550,PlotNumber,0),MATCH(N$3,PlotTitles,0))),"",CompletionMonth="","",(DATEVALUE(INDEX(PlotData,MATCH($A550,PlotNumber,0),MATCH(N$3,PlotTitles,0))&amp;INDEX(PlotData,MATCH($A550,PlotNumber,0),MATCH(O$3,PlotTitles,0))))&gt;(DATEVALUE(CompletionMonth&amp;CompletionYear)),$AB$21,TRUE,"")</f>
        <v/>
      </c>
      <c r="S550" s="104" t="str" cm="1">
        <f t="array" ref="S550">_xlfn.IFS(AND(A550&gt;NumberOfPlots,ISBLANK(INDEX(PlotData,MATCH($A550,PlotNumber,0),MATCH(B$3,PlotTitles,0)))),"",OR(AND(INDEX(PlotData,MATCH($A550,PlotNumber,0),MATCH("Tenure",PlotTitles,0))="Open market housing",INDEX(PlotData,MATCH($A550,PlotNumber,0),MATCH("Tenure detail",PlotTitles,0))="Private rented sector"),INDEX(PlotData,MATCH($A550,PlotNumber,0),MATCH("Tenure",PlotTitles,0))="Affordable rent"),"",ISNUMBER(INDEX(PlotData,MATCH($A550,PlotNumber,0),MATCH(S$3,PlotTitles,0)))=FALSE, $AB$22,TRUE,"")</f>
        <v/>
      </c>
      <c r="T550" s="104" t="str" cm="1">
        <f t="array" ref="T550">_xlfn.IFS(AND(A550&gt;NumberOfPlots,ISBLANK(INDEX(PlotData,MATCH($A550,PlotNumber,0),MATCH(B$3,PlotTitles,0)))),"",OR(AND(INDEX(PlotData,MATCH($A550,PlotNumber,0),MATCH("Tenure",PlotTitles,0))="Open market housing",INDEX(PlotData,MATCH($A550,PlotNumber,0),MATCH("Tenure detail",PlotTitles,0))="Private rented sector"),INDEX(PlotData,MATCH($A550,PlotNumber,0),MATCH("Tenure",PlotTitles,0))="Affordable rent"),"",INDEX(PlotData,MATCH($A550,PlotNumber,0),MATCH(S$3,PlotTitles,0))&lt;10000, $AB$23,TRUE,"")</f>
        <v/>
      </c>
      <c r="U550" s="104" t="str" cm="1">
        <f t="array" ref="U550">_xlfn.IFS(AND(A550&gt;NumberOfPlots,ISBLANK(INDEX(PlotData,MATCH($A550,PlotNumber,0),MATCH(B$3,PlotTitles,0)))),"",NOT(OR(AND(INDEX(PlotData,MATCH($A550,PlotNumber,0),MATCH("Tenure",PlotTitles,0))="Open market housing",INDEX(PlotData,MATCH($A550,PlotNumber,0),MATCH("Tenure detail",PlotTitles,0))="Private rented sector"),INDEX(PlotData,MATCH($A550,PlotNumber,0),MATCH("Tenure",PlotTitles,0))="Affordable rent")),"",NOT(INDEX(PlotData,MATCH($A550,PlotNumber,0),MATCH(S$3,PlotTitles,0))=0), $AB$24,TRUE,"")</f>
        <v/>
      </c>
      <c r="V550" s="114" t="str" cm="1">
        <f t="array" aca="1" ref="V550" ca="1">_xlfn.IFS(ISBLANK(NumberOfPlots),"Enter the number of homes on the 1_SetUp sheet",AND(A550&gt;NumberOfPlots,ISBLANK(INDEX(PlotData,MATCH($A550,PlotNumber,0),MATCH(B$3,PlotTitles,0)))),"No error",NOT(B550=""),B550,NOT(C550=""),C550,NOT(D550=""),D550,NOT(E550=""),E550,NOT(F550=""),F550,NOT(G550=""),G550,NOT(H550=""),H550,NOT(I550=""),I550,NOT(J550=""),J550,NOT(K550=""),K550,NOT(L550=""),L550,NOT(M550=""),M550,NOT(N550=""),N550,NOT(O550=""),O550,NOT(P550=""),P550,NOT(Q550=""),Q550,NOT(R550=""),R550,NOT(S550=""),S550,NOT(T550=""),T550,NOT(U550=""),U550,TRUE,"No error")</f>
        <v>Enter the number of homes on the 1_SetUp sheet</v>
      </c>
      <c r="W550" s="114" t="str">
        <f t="shared" ca="1" si="26"/>
        <v xml:space="preserve">The Borrower has not addressed the following error messages for Home ID 546: </v>
      </c>
    </row>
    <row r="551" spans="1:23">
      <c r="A551" s="123">
        <v>547</v>
      </c>
      <c r="B551" s="104" t="str" cm="1">
        <f t="array" ref="B551">_xlfn.IFS(AND(A551&gt;NumberOfPlots,ISBLANK(INDEX(PlotData,MATCH($A551,PlotNumber,0),MATCH(B$3,PlotTitles,0)))),"",ISNUMBER(INDEX(PlotData,MATCH($A551,PlotNumber,0),MATCH(B$3,PlotTitles,0)))=FALSE, $AB$5,TRUE,"")</f>
        <v/>
      </c>
      <c r="C551" s="104" t="str" cm="1">
        <f t="array" ref="C551">_xlfn.IFS(AND(A551&gt;NumberOfPlots,ISBLANK(INDEX(PlotData,MATCH($A551,PlotNumber,0),MATCH(B$3,PlotTitles,0)))),"",ISBLANK(INDEX(PlotData,MATCH($A551,PlotNumber,0),MATCH(C$3,PlotTitles,0))),$AB$6,TRUE,"")</f>
        <v/>
      </c>
      <c r="D551" s="104" t="str" cm="1">
        <f t="array" ref="D551">_xlfn.IFS(AND(A551&gt;NumberOfPlots,ISBLANK(INDEX(PlotData,MATCH($A551,PlotNumber,0),MATCH(B$3,PlotTitles,0)))),"",ISBLANK(INDEX(PlotData,MATCH($A551,PlotNumber,0),MATCH(D$3,PlotTitles,0))),$AB$7,TRUE,"")</f>
        <v/>
      </c>
      <c r="E551" s="104" t="str" cm="1">
        <f t="array" ref="E551">_xlfn.IFS(AND(A551&gt;NumberOfPlots,ISBLANK(INDEX(PlotData,MATCH($A551,PlotNumber,0),MATCH(B$3,PlotTitles,0)))),"",ISBLANK(INDEX(PlotData,MATCH($A551,PlotNumber,0),MATCH(E$3,PlotTitles,0))),$AB$8,TRUE,"")</f>
        <v/>
      </c>
      <c r="F551" s="104" t="str" cm="1">
        <f t="array" ref="F551">_xlfn.IFS(AND(A551&gt;NumberOfPlots,ISBLANK(INDEX(PlotData,MATCH($A551,PlotNumber,0),MATCH(B$3,PlotTitles,0)))),"",ISBLANK(INDEX(PlotData,MATCH($A551,PlotNumber,0),MATCH(F$3,PlotTitles,0))),$AB$9,TRUE,"")</f>
        <v/>
      </c>
      <c r="G551" s="104" t="str" cm="1">
        <f t="array" ref="G551">_xlfn.IFS(AND(A551&gt;NumberOfPlots,ISBLANK(INDEX(PlotData,MATCH($A551,PlotNumber,0),MATCH(B$3,PlotTitles,0)))),"",ISBLANK(INDEX(PlotData,MATCH($A551,PlotNumber,0),MATCH(G$3,PlotTitles,0))),$AB$10,TRUE,"")</f>
        <v/>
      </c>
      <c r="H551" s="104" t="str" cm="1">
        <f t="array" ref="H551">_xlfn.IFS(AND(A551&gt;NumberOfPlots,ISBLANK(INDEX(PlotData,MATCH($A551,PlotNumber,0),MATCH(B$3,PlotTitles,0)))),"",AND(ISBLANK(INDEX(PlotData,MATCH($A551,PlotNumber,0),MATCH(H$3,PlotTitles,0)))=FALSE,INDEX(PlotData,MATCH($A551,PlotNumber,0),MATCH(H$3,PlotTitles,0))&lt;500), $AB$11,TRUE,"")</f>
        <v/>
      </c>
      <c r="I551" s="104" t="str" cm="1">
        <f t="array" ref="I551">_xlfn.IFS(AND(A551&gt;NumberOfPlots,ISBLANK(INDEX(PlotData,MATCH($A551,PlotNumber,0),MATCH(B$3,PlotTitles,0)))),"",ISBLANK(INDEX(PlotData,MATCH($A551,PlotNumber,0),MATCH(I$3,PlotTitles,0))),$AB$12,TRUE,"")</f>
        <v/>
      </c>
      <c r="J551" s="104" t="str" cm="1">
        <f t="array" ref="J551">_xlfn.IFS(AND(A551&gt;NumberOfPlots,ISBLANK(INDEX(PlotData,MATCH($A551,PlotNumber,0),MATCH(B$3,PlotTitles,0)))),"",ISBLANK(INDEX(PlotData,MATCH($A551,PlotNumber,0),MATCH(J$3,PlotTitles,0))),$AB$13,TRUE,"")</f>
        <v/>
      </c>
      <c r="K551" s="182" t="str">
        <f t="shared" ca="1" si="24"/>
        <v/>
      </c>
      <c r="L551" s="104" t="str" cm="1">
        <f t="array" ref="L551">_xlfn.IFS(OR(ISBLANK(StartDateMonth),ISBLANK(StartDateYear)),"",AND(A551&gt;NumberOfPlots,ISBLANK(INDEX(PlotData,MATCH($A551,PlotNumber,0),MATCH(B$3,PlotTitles,0)))),"",ISBLANK(INDEX(PlotData,MATCH($A551,PlotNumber,0),MATCH(I$3,PlotTitles,0))),"",(DATEVALUE(INDEX(PlotData,MATCH($A551,PlotNumber,0),MATCH(I$3,PlotTitles,0))&amp;INDEX(PlotData,MATCH($A551,PlotNumber,0),MATCH(J$3,PlotTitles,0))))&lt;DATEVALUE(StartDateMonth&amp;StartDateYear),$AB$15,TRUE,"")</f>
        <v/>
      </c>
      <c r="M551" s="104" t="str" cm="1">
        <f t="array" ref="M551">_xlfn.IFS(OR(ISBLANK(StartDateMonth),ISBLANK(StartDateYear)),"",AND(A551&gt;NumberOfPlots,ISBLANK(INDEX(PlotData,MATCH($A551,PlotNumber,0),MATCH(B$3,PlotTitles,0)))),"",ISBLANK(INDEX(PlotData,MATCH($A551,PlotNumber,0),MATCH(I$3,PlotTitles,0))),"",CompletionMonth="","",(DATEVALUE(INDEX(PlotData,MATCH($A551,PlotNumber,0),MATCH(I$3,PlotTitles,0))&amp;INDEX(PlotData,MATCH($A551,PlotNumber,0),MATCH(J$3,PlotTitles,0))))&gt;(DATEVALUE(CompletionMonth&amp;CompletionYear)),$AB$16,TRUE,"")</f>
        <v/>
      </c>
      <c r="N551" s="104" t="str" cm="1">
        <f t="array" ref="N551">_xlfn.IFS(AND(A551&gt;NumberOfPlots,ISBLANK(INDEX(PlotData,MATCH($A551,PlotNumber,0),MATCH(B$3,PlotTitles,0)))),"",ISBLANK(INDEX(PlotData,MATCH($A551,PlotNumber,0),MATCH(N$3,PlotTitles,0))),$AB$17,TRUE,"")</f>
        <v/>
      </c>
      <c r="O551" s="104" t="str" cm="1">
        <f t="array" ref="O551">_xlfn.IFS(AND(A551&gt;NumberOfPlots,ISBLANK(INDEX(PlotData,MATCH($A551,PlotNumber,0),MATCH(B$3,PlotTitles,0)))),"",ISBLANK(INDEX(PlotData,MATCH($A551,PlotNumber,0),MATCH(O$3,PlotTitles,0))),$AB$18,TRUE,"")</f>
        <v/>
      </c>
      <c r="P551" s="182" t="str">
        <f t="shared" ca="1" si="25"/>
        <v/>
      </c>
      <c r="Q551" s="104" t="str" cm="1">
        <f t="array" ref="Q551">_xlfn.IFS(AND(A551&gt;NumberOfPlots,ISBLANK(INDEX(PlotData,MATCH($A551,PlotNumber,0),MATCH(B$3,PlotTitles,0)))),"",ISBLANK(INDEX(PlotData,MATCH($A551,PlotNumber,0),MATCH(N$3,PlotTitles,0))),"",(DATEVALUE(INDEX(PlotData,MATCH($A551,PlotNumber,0),MATCH(N$3,PlotTitles,0))&amp;INDEX(PlotData,MATCH($A551,PlotNumber,0),MATCH(O$3,PlotTitles,0))))&lt;(DATEVALUE(INDEX(PlotData,MATCH($A551,PlotNumber,0),MATCH(I$3,PlotTitles,0))&amp;INDEX(PlotData,MATCH($A551,PlotNumber,0),MATCH(J$3,PlotTitles,0)))),$AB$20,TRUE,"")</f>
        <v/>
      </c>
      <c r="R551" s="104" t="str" cm="1">
        <f t="array" ref="R551">_xlfn.IFS(OR(ISBLANK(StartDateMonth),ISBLANK(StartDateYear)),"",AND(A551&gt;NumberOfPlots,ISBLANK(INDEX(PlotData,MATCH($A551,PlotNumber,0),MATCH(B$3,PlotTitles,0)))),"",ISBLANK(INDEX(PlotData,MATCH($A551,PlotNumber,0),MATCH(N$3,PlotTitles,0))),"",CompletionMonth="","",(DATEVALUE(INDEX(PlotData,MATCH($A551,PlotNumber,0),MATCH(N$3,PlotTitles,0))&amp;INDEX(PlotData,MATCH($A551,PlotNumber,0),MATCH(O$3,PlotTitles,0))))&gt;(DATEVALUE(CompletionMonth&amp;CompletionYear)),$AB$21,TRUE,"")</f>
        <v/>
      </c>
      <c r="S551" s="104" t="str" cm="1">
        <f t="array" ref="S551">_xlfn.IFS(AND(A551&gt;NumberOfPlots,ISBLANK(INDEX(PlotData,MATCH($A551,PlotNumber,0),MATCH(B$3,PlotTitles,0)))),"",OR(AND(INDEX(PlotData,MATCH($A551,PlotNumber,0),MATCH("Tenure",PlotTitles,0))="Open market housing",INDEX(PlotData,MATCH($A551,PlotNumber,0),MATCH("Tenure detail",PlotTitles,0))="Private rented sector"),INDEX(PlotData,MATCH($A551,PlotNumber,0),MATCH("Tenure",PlotTitles,0))="Affordable rent"),"",ISNUMBER(INDEX(PlotData,MATCH($A551,PlotNumber,0),MATCH(S$3,PlotTitles,0)))=FALSE, $AB$22,TRUE,"")</f>
        <v/>
      </c>
      <c r="T551" s="104" t="str" cm="1">
        <f t="array" ref="T551">_xlfn.IFS(AND(A551&gt;NumberOfPlots,ISBLANK(INDEX(PlotData,MATCH($A551,PlotNumber,0),MATCH(B$3,PlotTitles,0)))),"",OR(AND(INDEX(PlotData,MATCH($A551,PlotNumber,0),MATCH("Tenure",PlotTitles,0))="Open market housing",INDEX(PlotData,MATCH($A551,PlotNumber,0),MATCH("Tenure detail",PlotTitles,0))="Private rented sector"),INDEX(PlotData,MATCH($A551,PlotNumber,0),MATCH("Tenure",PlotTitles,0))="Affordable rent"),"",INDEX(PlotData,MATCH($A551,PlotNumber,0),MATCH(S$3,PlotTitles,0))&lt;10000, $AB$23,TRUE,"")</f>
        <v/>
      </c>
      <c r="U551" s="104" t="str" cm="1">
        <f t="array" ref="U551">_xlfn.IFS(AND(A551&gt;NumberOfPlots,ISBLANK(INDEX(PlotData,MATCH($A551,PlotNumber,0),MATCH(B$3,PlotTitles,0)))),"",NOT(OR(AND(INDEX(PlotData,MATCH($A551,PlotNumber,0),MATCH("Tenure",PlotTitles,0))="Open market housing",INDEX(PlotData,MATCH($A551,PlotNumber,0),MATCH("Tenure detail",PlotTitles,0))="Private rented sector"),INDEX(PlotData,MATCH($A551,PlotNumber,0),MATCH("Tenure",PlotTitles,0))="Affordable rent")),"",NOT(INDEX(PlotData,MATCH($A551,PlotNumber,0),MATCH(S$3,PlotTitles,0))=0), $AB$24,TRUE,"")</f>
        <v/>
      </c>
      <c r="V551" s="114" t="str" cm="1">
        <f t="array" aca="1" ref="V551" ca="1">_xlfn.IFS(ISBLANK(NumberOfPlots),"Enter the number of homes on the 1_SetUp sheet",AND(A551&gt;NumberOfPlots,ISBLANK(INDEX(PlotData,MATCH($A551,PlotNumber,0),MATCH(B$3,PlotTitles,0)))),"No error",NOT(B551=""),B551,NOT(C551=""),C551,NOT(D551=""),D551,NOT(E551=""),E551,NOT(F551=""),F551,NOT(G551=""),G551,NOT(H551=""),H551,NOT(I551=""),I551,NOT(J551=""),J551,NOT(K551=""),K551,NOT(L551=""),L551,NOT(M551=""),M551,NOT(N551=""),N551,NOT(O551=""),O551,NOT(P551=""),P551,NOT(Q551=""),Q551,NOT(R551=""),R551,NOT(S551=""),S551,NOT(T551=""),T551,NOT(U551=""),U551,TRUE,"No error")</f>
        <v>Enter the number of homes on the 1_SetUp sheet</v>
      </c>
      <c r="W551" s="114" t="str">
        <f t="shared" ca="1" si="26"/>
        <v xml:space="preserve">The Borrower has not addressed the following error messages for Home ID 547: </v>
      </c>
    </row>
    <row r="552" spans="1:23">
      <c r="A552" s="123">
        <v>548</v>
      </c>
      <c r="B552" s="104" t="str" cm="1">
        <f t="array" ref="B552">_xlfn.IFS(AND(A552&gt;NumberOfPlots,ISBLANK(INDEX(PlotData,MATCH($A552,PlotNumber,0),MATCH(B$3,PlotTitles,0)))),"",ISNUMBER(INDEX(PlotData,MATCH($A552,PlotNumber,0),MATCH(B$3,PlotTitles,0)))=FALSE, $AB$5,TRUE,"")</f>
        <v/>
      </c>
      <c r="C552" s="104" t="str" cm="1">
        <f t="array" ref="C552">_xlfn.IFS(AND(A552&gt;NumberOfPlots,ISBLANK(INDEX(PlotData,MATCH($A552,PlotNumber,0),MATCH(B$3,PlotTitles,0)))),"",ISBLANK(INDEX(PlotData,MATCH($A552,PlotNumber,0),MATCH(C$3,PlotTitles,0))),$AB$6,TRUE,"")</f>
        <v/>
      </c>
      <c r="D552" s="104" t="str" cm="1">
        <f t="array" ref="D552">_xlfn.IFS(AND(A552&gt;NumberOfPlots,ISBLANK(INDEX(PlotData,MATCH($A552,PlotNumber,0),MATCH(B$3,PlotTitles,0)))),"",ISBLANK(INDEX(PlotData,MATCH($A552,PlotNumber,0),MATCH(D$3,PlotTitles,0))),$AB$7,TRUE,"")</f>
        <v/>
      </c>
      <c r="E552" s="104" t="str" cm="1">
        <f t="array" ref="E552">_xlfn.IFS(AND(A552&gt;NumberOfPlots,ISBLANK(INDEX(PlotData,MATCH($A552,PlotNumber,0),MATCH(B$3,PlotTitles,0)))),"",ISBLANK(INDEX(PlotData,MATCH($A552,PlotNumber,0),MATCH(E$3,PlotTitles,0))),$AB$8,TRUE,"")</f>
        <v/>
      </c>
      <c r="F552" s="104" t="str" cm="1">
        <f t="array" ref="F552">_xlfn.IFS(AND(A552&gt;NumberOfPlots,ISBLANK(INDEX(PlotData,MATCH($A552,PlotNumber,0),MATCH(B$3,PlotTitles,0)))),"",ISBLANK(INDEX(PlotData,MATCH($A552,PlotNumber,0),MATCH(F$3,PlotTitles,0))),$AB$9,TRUE,"")</f>
        <v/>
      </c>
      <c r="G552" s="104" t="str" cm="1">
        <f t="array" ref="G552">_xlfn.IFS(AND(A552&gt;NumberOfPlots,ISBLANK(INDEX(PlotData,MATCH($A552,PlotNumber,0),MATCH(B$3,PlotTitles,0)))),"",ISBLANK(INDEX(PlotData,MATCH($A552,PlotNumber,0),MATCH(G$3,PlotTitles,0))),$AB$10,TRUE,"")</f>
        <v/>
      </c>
      <c r="H552" s="104" t="str" cm="1">
        <f t="array" ref="H552">_xlfn.IFS(AND(A552&gt;NumberOfPlots,ISBLANK(INDEX(PlotData,MATCH($A552,PlotNumber,0),MATCH(B$3,PlotTitles,0)))),"",AND(ISBLANK(INDEX(PlotData,MATCH($A552,PlotNumber,0),MATCH(H$3,PlotTitles,0)))=FALSE,INDEX(PlotData,MATCH($A552,PlotNumber,0),MATCH(H$3,PlotTitles,0))&lt;500), $AB$11,TRUE,"")</f>
        <v/>
      </c>
      <c r="I552" s="104" t="str" cm="1">
        <f t="array" ref="I552">_xlfn.IFS(AND(A552&gt;NumberOfPlots,ISBLANK(INDEX(PlotData,MATCH($A552,PlotNumber,0),MATCH(B$3,PlotTitles,0)))),"",ISBLANK(INDEX(PlotData,MATCH($A552,PlotNumber,0),MATCH(I$3,PlotTitles,0))),$AB$12,TRUE,"")</f>
        <v/>
      </c>
      <c r="J552" s="104" t="str" cm="1">
        <f t="array" ref="J552">_xlfn.IFS(AND(A552&gt;NumberOfPlots,ISBLANK(INDEX(PlotData,MATCH($A552,PlotNumber,0),MATCH(B$3,PlotTitles,0)))),"",ISBLANK(INDEX(PlotData,MATCH($A552,PlotNumber,0),MATCH(J$3,PlotTitles,0))),$AB$13,TRUE,"")</f>
        <v/>
      </c>
      <c r="K552" s="182" t="str">
        <f t="shared" ca="1" si="24"/>
        <v/>
      </c>
      <c r="L552" s="104" t="str" cm="1">
        <f t="array" ref="L552">_xlfn.IFS(OR(ISBLANK(StartDateMonth),ISBLANK(StartDateYear)),"",AND(A552&gt;NumberOfPlots,ISBLANK(INDEX(PlotData,MATCH($A552,PlotNumber,0),MATCH(B$3,PlotTitles,0)))),"",ISBLANK(INDEX(PlotData,MATCH($A552,PlotNumber,0),MATCH(I$3,PlotTitles,0))),"",(DATEVALUE(INDEX(PlotData,MATCH($A552,PlotNumber,0),MATCH(I$3,PlotTitles,0))&amp;INDEX(PlotData,MATCH($A552,PlotNumber,0),MATCH(J$3,PlotTitles,0))))&lt;DATEVALUE(StartDateMonth&amp;StartDateYear),$AB$15,TRUE,"")</f>
        <v/>
      </c>
      <c r="M552" s="104" t="str" cm="1">
        <f t="array" ref="M552">_xlfn.IFS(OR(ISBLANK(StartDateMonth),ISBLANK(StartDateYear)),"",AND(A552&gt;NumberOfPlots,ISBLANK(INDEX(PlotData,MATCH($A552,PlotNumber,0),MATCH(B$3,PlotTitles,0)))),"",ISBLANK(INDEX(PlotData,MATCH($A552,PlotNumber,0),MATCH(I$3,PlotTitles,0))),"",CompletionMonth="","",(DATEVALUE(INDEX(PlotData,MATCH($A552,PlotNumber,0),MATCH(I$3,PlotTitles,0))&amp;INDEX(PlotData,MATCH($A552,PlotNumber,0),MATCH(J$3,PlotTitles,0))))&gt;(DATEVALUE(CompletionMonth&amp;CompletionYear)),$AB$16,TRUE,"")</f>
        <v/>
      </c>
      <c r="N552" s="104" t="str" cm="1">
        <f t="array" ref="N552">_xlfn.IFS(AND(A552&gt;NumberOfPlots,ISBLANK(INDEX(PlotData,MATCH($A552,PlotNumber,0),MATCH(B$3,PlotTitles,0)))),"",ISBLANK(INDEX(PlotData,MATCH($A552,PlotNumber,0),MATCH(N$3,PlotTitles,0))),$AB$17,TRUE,"")</f>
        <v/>
      </c>
      <c r="O552" s="104" t="str" cm="1">
        <f t="array" ref="O552">_xlfn.IFS(AND(A552&gt;NumberOfPlots,ISBLANK(INDEX(PlotData,MATCH($A552,PlotNumber,0),MATCH(B$3,PlotTitles,0)))),"",ISBLANK(INDEX(PlotData,MATCH($A552,PlotNumber,0),MATCH(O$3,PlotTitles,0))),$AB$18,TRUE,"")</f>
        <v/>
      </c>
      <c r="P552" s="182" t="str">
        <f t="shared" ca="1" si="25"/>
        <v/>
      </c>
      <c r="Q552" s="104" t="str" cm="1">
        <f t="array" ref="Q552">_xlfn.IFS(AND(A552&gt;NumberOfPlots,ISBLANK(INDEX(PlotData,MATCH($A552,PlotNumber,0),MATCH(B$3,PlotTitles,0)))),"",ISBLANK(INDEX(PlotData,MATCH($A552,PlotNumber,0),MATCH(N$3,PlotTitles,0))),"",(DATEVALUE(INDEX(PlotData,MATCH($A552,PlotNumber,0),MATCH(N$3,PlotTitles,0))&amp;INDEX(PlotData,MATCH($A552,PlotNumber,0),MATCH(O$3,PlotTitles,0))))&lt;(DATEVALUE(INDEX(PlotData,MATCH($A552,PlotNumber,0),MATCH(I$3,PlotTitles,0))&amp;INDEX(PlotData,MATCH($A552,PlotNumber,0),MATCH(J$3,PlotTitles,0)))),$AB$20,TRUE,"")</f>
        <v/>
      </c>
      <c r="R552" s="104" t="str" cm="1">
        <f t="array" ref="R552">_xlfn.IFS(OR(ISBLANK(StartDateMonth),ISBLANK(StartDateYear)),"",AND(A552&gt;NumberOfPlots,ISBLANK(INDEX(PlotData,MATCH($A552,PlotNumber,0),MATCH(B$3,PlotTitles,0)))),"",ISBLANK(INDEX(PlotData,MATCH($A552,PlotNumber,0),MATCH(N$3,PlotTitles,0))),"",CompletionMonth="","",(DATEVALUE(INDEX(PlotData,MATCH($A552,PlotNumber,0),MATCH(N$3,PlotTitles,0))&amp;INDEX(PlotData,MATCH($A552,PlotNumber,0),MATCH(O$3,PlotTitles,0))))&gt;(DATEVALUE(CompletionMonth&amp;CompletionYear)),$AB$21,TRUE,"")</f>
        <v/>
      </c>
      <c r="S552" s="104" t="str" cm="1">
        <f t="array" ref="S552">_xlfn.IFS(AND(A552&gt;NumberOfPlots,ISBLANK(INDEX(PlotData,MATCH($A552,PlotNumber,0),MATCH(B$3,PlotTitles,0)))),"",OR(AND(INDEX(PlotData,MATCH($A552,PlotNumber,0),MATCH("Tenure",PlotTitles,0))="Open market housing",INDEX(PlotData,MATCH($A552,PlotNumber,0),MATCH("Tenure detail",PlotTitles,0))="Private rented sector"),INDEX(PlotData,MATCH($A552,PlotNumber,0),MATCH("Tenure",PlotTitles,0))="Affordable rent"),"",ISNUMBER(INDEX(PlotData,MATCH($A552,PlotNumber,0),MATCH(S$3,PlotTitles,0)))=FALSE, $AB$22,TRUE,"")</f>
        <v/>
      </c>
      <c r="T552" s="104" t="str" cm="1">
        <f t="array" ref="T552">_xlfn.IFS(AND(A552&gt;NumberOfPlots,ISBLANK(INDEX(PlotData,MATCH($A552,PlotNumber,0),MATCH(B$3,PlotTitles,0)))),"",OR(AND(INDEX(PlotData,MATCH($A552,PlotNumber,0),MATCH("Tenure",PlotTitles,0))="Open market housing",INDEX(PlotData,MATCH($A552,PlotNumber,0),MATCH("Tenure detail",PlotTitles,0))="Private rented sector"),INDEX(PlotData,MATCH($A552,PlotNumber,0),MATCH("Tenure",PlotTitles,0))="Affordable rent"),"",INDEX(PlotData,MATCH($A552,PlotNumber,0),MATCH(S$3,PlotTitles,0))&lt;10000, $AB$23,TRUE,"")</f>
        <v/>
      </c>
      <c r="U552" s="104" t="str" cm="1">
        <f t="array" ref="U552">_xlfn.IFS(AND(A552&gt;NumberOfPlots,ISBLANK(INDEX(PlotData,MATCH($A552,PlotNumber,0),MATCH(B$3,PlotTitles,0)))),"",NOT(OR(AND(INDEX(PlotData,MATCH($A552,PlotNumber,0),MATCH("Tenure",PlotTitles,0))="Open market housing",INDEX(PlotData,MATCH($A552,PlotNumber,0),MATCH("Tenure detail",PlotTitles,0))="Private rented sector"),INDEX(PlotData,MATCH($A552,PlotNumber,0),MATCH("Tenure",PlotTitles,0))="Affordable rent")),"",NOT(INDEX(PlotData,MATCH($A552,PlotNumber,0),MATCH(S$3,PlotTitles,0))=0), $AB$24,TRUE,"")</f>
        <v/>
      </c>
      <c r="V552" s="114" t="str" cm="1">
        <f t="array" aca="1" ref="V552" ca="1">_xlfn.IFS(ISBLANK(NumberOfPlots),"Enter the number of homes on the 1_SetUp sheet",AND(A552&gt;NumberOfPlots,ISBLANK(INDEX(PlotData,MATCH($A552,PlotNumber,0),MATCH(B$3,PlotTitles,0)))),"No error",NOT(B552=""),B552,NOT(C552=""),C552,NOT(D552=""),D552,NOT(E552=""),E552,NOT(F552=""),F552,NOT(G552=""),G552,NOT(H552=""),H552,NOT(I552=""),I552,NOT(J552=""),J552,NOT(K552=""),K552,NOT(L552=""),L552,NOT(M552=""),M552,NOT(N552=""),N552,NOT(O552=""),O552,NOT(P552=""),P552,NOT(Q552=""),Q552,NOT(R552=""),R552,NOT(S552=""),S552,NOT(T552=""),T552,NOT(U552=""),U552,TRUE,"No error")</f>
        <v>Enter the number of homes on the 1_SetUp sheet</v>
      </c>
      <c r="W552" s="114" t="str">
        <f t="shared" ca="1" si="26"/>
        <v xml:space="preserve">The Borrower has not addressed the following error messages for Home ID 548: </v>
      </c>
    </row>
    <row r="553" spans="1:23">
      <c r="A553" s="123">
        <v>549</v>
      </c>
      <c r="B553" s="104" t="str" cm="1">
        <f t="array" ref="B553">_xlfn.IFS(AND(A553&gt;NumberOfPlots,ISBLANK(INDEX(PlotData,MATCH($A553,PlotNumber,0),MATCH(B$3,PlotTitles,0)))),"",ISNUMBER(INDEX(PlotData,MATCH($A553,PlotNumber,0),MATCH(B$3,PlotTitles,0)))=FALSE, $AB$5,TRUE,"")</f>
        <v/>
      </c>
      <c r="C553" s="104" t="str" cm="1">
        <f t="array" ref="C553">_xlfn.IFS(AND(A553&gt;NumberOfPlots,ISBLANK(INDEX(PlotData,MATCH($A553,PlotNumber,0),MATCH(B$3,PlotTitles,0)))),"",ISBLANK(INDEX(PlotData,MATCH($A553,PlotNumber,0),MATCH(C$3,PlotTitles,0))),$AB$6,TRUE,"")</f>
        <v/>
      </c>
      <c r="D553" s="104" t="str" cm="1">
        <f t="array" ref="D553">_xlfn.IFS(AND(A553&gt;NumberOfPlots,ISBLANK(INDEX(PlotData,MATCH($A553,PlotNumber,0),MATCH(B$3,PlotTitles,0)))),"",ISBLANK(INDEX(PlotData,MATCH($A553,PlotNumber,0),MATCH(D$3,PlotTitles,0))),$AB$7,TRUE,"")</f>
        <v/>
      </c>
      <c r="E553" s="104" t="str" cm="1">
        <f t="array" ref="E553">_xlfn.IFS(AND(A553&gt;NumberOfPlots,ISBLANK(INDEX(PlotData,MATCH($A553,PlotNumber,0),MATCH(B$3,PlotTitles,0)))),"",ISBLANK(INDEX(PlotData,MATCH($A553,PlotNumber,0),MATCH(E$3,PlotTitles,0))),$AB$8,TRUE,"")</f>
        <v/>
      </c>
      <c r="F553" s="104" t="str" cm="1">
        <f t="array" ref="F553">_xlfn.IFS(AND(A553&gt;NumberOfPlots,ISBLANK(INDEX(PlotData,MATCH($A553,PlotNumber,0),MATCH(B$3,PlotTitles,0)))),"",ISBLANK(INDEX(PlotData,MATCH($A553,PlotNumber,0),MATCH(F$3,PlotTitles,0))),$AB$9,TRUE,"")</f>
        <v/>
      </c>
      <c r="G553" s="104" t="str" cm="1">
        <f t="array" ref="G553">_xlfn.IFS(AND(A553&gt;NumberOfPlots,ISBLANK(INDEX(PlotData,MATCH($A553,PlotNumber,0),MATCH(B$3,PlotTitles,0)))),"",ISBLANK(INDEX(PlotData,MATCH($A553,PlotNumber,0),MATCH(G$3,PlotTitles,0))),$AB$10,TRUE,"")</f>
        <v/>
      </c>
      <c r="H553" s="104" t="str" cm="1">
        <f t="array" ref="H553">_xlfn.IFS(AND(A553&gt;NumberOfPlots,ISBLANK(INDEX(PlotData,MATCH($A553,PlotNumber,0),MATCH(B$3,PlotTitles,0)))),"",AND(ISBLANK(INDEX(PlotData,MATCH($A553,PlotNumber,0),MATCH(H$3,PlotTitles,0)))=FALSE,INDEX(PlotData,MATCH($A553,PlotNumber,0),MATCH(H$3,PlotTitles,0))&lt;500), $AB$11,TRUE,"")</f>
        <v/>
      </c>
      <c r="I553" s="104" t="str" cm="1">
        <f t="array" ref="I553">_xlfn.IFS(AND(A553&gt;NumberOfPlots,ISBLANK(INDEX(PlotData,MATCH($A553,PlotNumber,0),MATCH(B$3,PlotTitles,0)))),"",ISBLANK(INDEX(PlotData,MATCH($A553,PlotNumber,0),MATCH(I$3,PlotTitles,0))),$AB$12,TRUE,"")</f>
        <v/>
      </c>
      <c r="J553" s="104" t="str" cm="1">
        <f t="array" ref="J553">_xlfn.IFS(AND(A553&gt;NumberOfPlots,ISBLANK(INDEX(PlotData,MATCH($A553,PlotNumber,0),MATCH(B$3,PlotTitles,0)))),"",ISBLANK(INDEX(PlotData,MATCH($A553,PlotNumber,0),MATCH(J$3,PlotTitles,0))),$AB$13,TRUE,"")</f>
        <v/>
      </c>
      <c r="K553" s="182" t="str">
        <f t="shared" ca="1" si="24"/>
        <v/>
      </c>
      <c r="L553" s="104" t="str" cm="1">
        <f t="array" ref="L553">_xlfn.IFS(OR(ISBLANK(StartDateMonth),ISBLANK(StartDateYear)),"",AND(A553&gt;NumberOfPlots,ISBLANK(INDEX(PlotData,MATCH($A553,PlotNumber,0),MATCH(B$3,PlotTitles,0)))),"",ISBLANK(INDEX(PlotData,MATCH($A553,PlotNumber,0),MATCH(I$3,PlotTitles,0))),"",(DATEVALUE(INDEX(PlotData,MATCH($A553,PlotNumber,0),MATCH(I$3,PlotTitles,0))&amp;INDEX(PlotData,MATCH($A553,PlotNumber,0),MATCH(J$3,PlotTitles,0))))&lt;DATEVALUE(StartDateMonth&amp;StartDateYear),$AB$15,TRUE,"")</f>
        <v/>
      </c>
      <c r="M553" s="104" t="str" cm="1">
        <f t="array" ref="M553">_xlfn.IFS(OR(ISBLANK(StartDateMonth),ISBLANK(StartDateYear)),"",AND(A553&gt;NumberOfPlots,ISBLANK(INDEX(PlotData,MATCH($A553,PlotNumber,0),MATCH(B$3,PlotTitles,0)))),"",ISBLANK(INDEX(PlotData,MATCH($A553,PlotNumber,0),MATCH(I$3,PlotTitles,0))),"",CompletionMonth="","",(DATEVALUE(INDEX(PlotData,MATCH($A553,PlotNumber,0),MATCH(I$3,PlotTitles,0))&amp;INDEX(PlotData,MATCH($A553,PlotNumber,0),MATCH(J$3,PlotTitles,0))))&gt;(DATEVALUE(CompletionMonth&amp;CompletionYear)),$AB$16,TRUE,"")</f>
        <v/>
      </c>
      <c r="N553" s="104" t="str" cm="1">
        <f t="array" ref="N553">_xlfn.IFS(AND(A553&gt;NumberOfPlots,ISBLANK(INDEX(PlotData,MATCH($A553,PlotNumber,0),MATCH(B$3,PlotTitles,0)))),"",ISBLANK(INDEX(PlotData,MATCH($A553,PlotNumber,0),MATCH(N$3,PlotTitles,0))),$AB$17,TRUE,"")</f>
        <v/>
      </c>
      <c r="O553" s="104" t="str" cm="1">
        <f t="array" ref="O553">_xlfn.IFS(AND(A553&gt;NumberOfPlots,ISBLANK(INDEX(PlotData,MATCH($A553,PlotNumber,0),MATCH(B$3,PlotTitles,0)))),"",ISBLANK(INDEX(PlotData,MATCH($A553,PlotNumber,0),MATCH(O$3,PlotTitles,0))),$AB$18,TRUE,"")</f>
        <v/>
      </c>
      <c r="P553" s="182" t="str">
        <f t="shared" ca="1" si="25"/>
        <v/>
      </c>
      <c r="Q553" s="104" t="str" cm="1">
        <f t="array" ref="Q553">_xlfn.IFS(AND(A553&gt;NumberOfPlots,ISBLANK(INDEX(PlotData,MATCH($A553,PlotNumber,0),MATCH(B$3,PlotTitles,0)))),"",ISBLANK(INDEX(PlotData,MATCH($A553,PlotNumber,0),MATCH(N$3,PlotTitles,0))),"",(DATEVALUE(INDEX(PlotData,MATCH($A553,PlotNumber,0),MATCH(N$3,PlotTitles,0))&amp;INDEX(PlotData,MATCH($A553,PlotNumber,0),MATCH(O$3,PlotTitles,0))))&lt;(DATEVALUE(INDEX(PlotData,MATCH($A553,PlotNumber,0),MATCH(I$3,PlotTitles,0))&amp;INDEX(PlotData,MATCH($A553,PlotNumber,0),MATCH(J$3,PlotTitles,0)))),$AB$20,TRUE,"")</f>
        <v/>
      </c>
      <c r="R553" s="104" t="str" cm="1">
        <f t="array" ref="R553">_xlfn.IFS(OR(ISBLANK(StartDateMonth),ISBLANK(StartDateYear)),"",AND(A553&gt;NumberOfPlots,ISBLANK(INDEX(PlotData,MATCH($A553,PlotNumber,0),MATCH(B$3,PlotTitles,0)))),"",ISBLANK(INDEX(PlotData,MATCH($A553,PlotNumber,0),MATCH(N$3,PlotTitles,0))),"",CompletionMonth="","",(DATEVALUE(INDEX(PlotData,MATCH($A553,PlotNumber,0),MATCH(N$3,PlotTitles,0))&amp;INDEX(PlotData,MATCH($A553,PlotNumber,0),MATCH(O$3,PlotTitles,0))))&gt;(DATEVALUE(CompletionMonth&amp;CompletionYear)),$AB$21,TRUE,"")</f>
        <v/>
      </c>
      <c r="S553" s="104" t="str" cm="1">
        <f t="array" ref="S553">_xlfn.IFS(AND(A553&gt;NumberOfPlots,ISBLANK(INDEX(PlotData,MATCH($A553,PlotNumber,0),MATCH(B$3,PlotTitles,0)))),"",OR(AND(INDEX(PlotData,MATCH($A553,PlotNumber,0),MATCH("Tenure",PlotTitles,0))="Open market housing",INDEX(PlotData,MATCH($A553,PlotNumber,0),MATCH("Tenure detail",PlotTitles,0))="Private rented sector"),INDEX(PlotData,MATCH($A553,PlotNumber,0),MATCH("Tenure",PlotTitles,0))="Affordable rent"),"",ISNUMBER(INDEX(PlotData,MATCH($A553,PlotNumber,0),MATCH(S$3,PlotTitles,0)))=FALSE, $AB$22,TRUE,"")</f>
        <v/>
      </c>
      <c r="T553" s="104" t="str" cm="1">
        <f t="array" ref="T553">_xlfn.IFS(AND(A553&gt;NumberOfPlots,ISBLANK(INDEX(PlotData,MATCH($A553,PlotNumber,0),MATCH(B$3,PlotTitles,0)))),"",OR(AND(INDEX(PlotData,MATCH($A553,PlotNumber,0),MATCH("Tenure",PlotTitles,0))="Open market housing",INDEX(PlotData,MATCH($A553,PlotNumber,0),MATCH("Tenure detail",PlotTitles,0))="Private rented sector"),INDEX(PlotData,MATCH($A553,PlotNumber,0),MATCH("Tenure",PlotTitles,0))="Affordable rent"),"",INDEX(PlotData,MATCH($A553,PlotNumber,0),MATCH(S$3,PlotTitles,0))&lt;10000, $AB$23,TRUE,"")</f>
        <v/>
      </c>
      <c r="U553" s="104" t="str" cm="1">
        <f t="array" ref="U553">_xlfn.IFS(AND(A553&gt;NumberOfPlots,ISBLANK(INDEX(PlotData,MATCH($A553,PlotNumber,0),MATCH(B$3,PlotTitles,0)))),"",NOT(OR(AND(INDEX(PlotData,MATCH($A553,PlotNumber,0),MATCH("Tenure",PlotTitles,0))="Open market housing",INDEX(PlotData,MATCH($A553,PlotNumber,0),MATCH("Tenure detail",PlotTitles,0))="Private rented sector"),INDEX(PlotData,MATCH($A553,PlotNumber,0),MATCH("Tenure",PlotTitles,0))="Affordable rent")),"",NOT(INDEX(PlotData,MATCH($A553,PlotNumber,0),MATCH(S$3,PlotTitles,0))=0), $AB$24,TRUE,"")</f>
        <v/>
      </c>
      <c r="V553" s="114" t="str" cm="1">
        <f t="array" aca="1" ref="V553" ca="1">_xlfn.IFS(ISBLANK(NumberOfPlots),"Enter the number of homes on the 1_SetUp sheet",AND(A553&gt;NumberOfPlots,ISBLANK(INDEX(PlotData,MATCH($A553,PlotNumber,0),MATCH(B$3,PlotTitles,0)))),"No error",NOT(B553=""),B553,NOT(C553=""),C553,NOT(D553=""),D553,NOT(E553=""),E553,NOT(F553=""),F553,NOT(G553=""),G553,NOT(H553=""),H553,NOT(I553=""),I553,NOT(J553=""),J553,NOT(K553=""),K553,NOT(L553=""),L553,NOT(M553=""),M553,NOT(N553=""),N553,NOT(O553=""),O553,NOT(P553=""),P553,NOT(Q553=""),Q553,NOT(R553=""),R553,NOT(S553=""),S553,NOT(T553=""),T553,NOT(U553=""),U553,TRUE,"No error")</f>
        <v>Enter the number of homes on the 1_SetUp sheet</v>
      </c>
      <c r="W553" s="114" t="str">
        <f t="shared" ca="1" si="26"/>
        <v xml:space="preserve">The Borrower has not addressed the following error messages for Home ID 549: </v>
      </c>
    </row>
    <row r="554" spans="1:23">
      <c r="A554" s="123">
        <v>550</v>
      </c>
      <c r="B554" s="104" t="str" cm="1">
        <f t="array" ref="B554">_xlfn.IFS(AND(A554&gt;NumberOfPlots,ISBLANK(INDEX(PlotData,MATCH($A554,PlotNumber,0),MATCH(B$3,PlotTitles,0)))),"",ISNUMBER(INDEX(PlotData,MATCH($A554,PlotNumber,0),MATCH(B$3,PlotTitles,0)))=FALSE, $AB$5,TRUE,"")</f>
        <v/>
      </c>
      <c r="C554" s="104" t="str" cm="1">
        <f t="array" ref="C554">_xlfn.IFS(AND(A554&gt;NumberOfPlots,ISBLANK(INDEX(PlotData,MATCH($A554,PlotNumber,0),MATCH(B$3,PlotTitles,0)))),"",ISBLANK(INDEX(PlotData,MATCH($A554,PlotNumber,0),MATCH(C$3,PlotTitles,0))),$AB$6,TRUE,"")</f>
        <v/>
      </c>
      <c r="D554" s="104" t="str" cm="1">
        <f t="array" ref="D554">_xlfn.IFS(AND(A554&gt;NumberOfPlots,ISBLANK(INDEX(PlotData,MATCH($A554,PlotNumber,0),MATCH(B$3,PlotTitles,0)))),"",ISBLANK(INDEX(PlotData,MATCH($A554,PlotNumber,0),MATCH(D$3,PlotTitles,0))),$AB$7,TRUE,"")</f>
        <v/>
      </c>
      <c r="E554" s="104" t="str" cm="1">
        <f t="array" ref="E554">_xlfn.IFS(AND(A554&gt;NumberOfPlots,ISBLANK(INDEX(PlotData,MATCH($A554,PlotNumber,0),MATCH(B$3,PlotTitles,0)))),"",ISBLANK(INDEX(PlotData,MATCH($A554,PlotNumber,0),MATCH(E$3,PlotTitles,0))),$AB$8,TRUE,"")</f>
        <v/>
      </c>
      <c r="F554" s="104" t="str" cm="1">
        <f t="array" ref="F554">_xlfn.IFS(AND(A554&gt;NumberOfPlots,ISBLANK(INDEX(PlotData,MATCH($A554,PlotNumber,0),MATCH(B$3,PlotTitles,0)))),"",ISBLANK(INDEX(PlotData,MATCH($A554,PlotNumber,0),MATCH(F$3,PlotTitles,0))),$AB$9,TRUE,"")</f>
        <v/>
      </c>
      <c r="G554" s="104" t="str" cm="1">
        <f t="array" ref="G554">_xlfn.IFS(AND(A554&gt;NumberOfPlots,ISBLANK(INDEX(PlotData,MATCH($A554,PlotNumber,0),MATCH(B$3,PlotTitles,0)))),"",ISBLANK(INDEX(PlotData,MATCH($A554,PlotNumber,0),MATCH(G$3,PlotTitles,0))),$AB$10,TRUE,"")</f>
        <v/>
      </c>
      <c r="H554" s="104" t="str" cm="1">
        <f t="array" ref="H554">_xlfn.IFS(AND(A554&gt;NumberOfPlots,ISBLANK(INDEX(PlotData,MATCH($A554,PlotNumber,0),MATCH(B$3,PlotTitles,0)))),"",AND(ISBLANK(INDEX(PlotData,MATCH($A554,PlotNumber,0),MATCH(H$3,PlotTitles,0)))=FALSE,INDEX(PlotData,MATCH($A554,PlotNumber,0),MATCH(H$3,PlotTitles,0))&lt;500), $AB$11,TRUE,"")</f>
        <v/>
      </c>
      <c r="I554" s="104" t="str" cm="1">
        <f t="array" ref="I554">_xlfn.IFS(AND(A554&gt;NumberOfPlots,ISBLANK(INDEX(PlotData,MATCH($A554,PlotNumber,0),MATCH(B$3,PlotTitles,0)))),"",ISBLANK(INDEX(PlotData,MATCH($A554,PlotNumber,0),MATCH(I$3,PlotTitles,0))),$AB$12,TRUE,"")</f>
        <v/>
      </c>
      <c r="J554" s="104" t="str" cm="1">
        <f t="array" ref="J554">_xlfn.IFS(AND(A554&gt;NumberOfPlots,ISBLANK(INDEX(PlotData,MATCH($A554,PlotNumber,0),MATCH(B$3,PlotTitles,0)))),"",ISBLANK(INDEX(PlotData,MATCH($A554,PlotNumber,0),MATCH(J$3,PlotTitles,0))),$AB$13,TRUE,"")</f>
        <v/>
      </c>
      <c r="K554" s="182" t="str">
        <f t="shared" ca="1" si="24"/>
        <v/>
      </c>
      <c r="L554" s="104" t="str" cm="1">
        <f t="array" ref="L554">_xlfn.IFS(OR(ISBLANK(StartDateMonth),ISBLANK(StartDateYear)),"",AND(A554&gt;NumberOfPlots,ISBLANK(INDEX(PlotData,MATCH($A554,PlotNumber,0),MATCH(B$3,PlotTitles,0)))),"",ISBLANK(INDEX(PlotData,MATCH($A554,PlotNumber,0),MATCH(I$3,PlotTitles,0))),"",(DATEVALUE(INDEX(PlotData,MATCH($A554,PlotNumber,0),MATCH(I$3,PlotTitles,0))&amp;INDEX(PlotData,MATCH($A554,PlotNumber,0),MATCH(J$3,PlotTitles,0))))&lt;DATEVALUE(StartDateMonth&amp;StartDateYear),$AB$15,TRUE,"")</f>
        <v/>
      </c>
      <c r="M554" s="104" t="str" cm="1">
        <f t="array" ref="M554">_xlfn.IFS(OR(ISBLANK(StartDateMonth),ISBLANK(StartDateYear)),"",AND(A554&gt;NumberOfPlots,ISBLANK(INDEX(PlotData,MATCH($A554,PlotNumber,0),MATCH(B$3,PlotTitles,0)))),"",ISBLANK(INDEX(PlotData,MATCH($A554,PlotNumber,0),MATCH(I$3,PlotTitles,0))),"",CompletionMonth="","",(DATEVALUE(INDEX(PlotData,MATCH($A554,PlotNumber,0),MATCH(I$3,PlotTitles,0))&amp;INDEX(PlotData,MATCH($A554,PlotNumber,0),MATCH(J$3,PlotTitles,0))))&gt;(DATEVALUE(CompletionMonth&amp;CompletionYear)),$AB$16,TRUE,"")</f>
        <v/>
      </c>
      <c r="N554" s="104" t="str" cm="1">
        <f t="array" ref="N554">_xlfn.IFS(AND(A554&gt;NumberOfPlots,ISBLANK(INDEX(PlotData,MATCH($A554,PlotNumber,0),MATCH(B$3,PlotTitles,0)))),"",ISBLANK(INDEX(PlotData,MATCH($A554,PlotNumber,0),MATCH(N$3,PlotTitles,0))),$AB$17,TRUE,"")</f>
        <v/>
      </c>
      <c r="O554" s="104" t="str" cm="1">
        <f t="array" ref="O554">_xlfn.IFS(AND(A554&gt;NumberOfPlots,ISBLANK(INDEX(PlotData,MATCH($A554,PlotNumber,0),MATCH(B$3,PlotTitles,0)))),"",ISBLANK(INDEX(PlotData,MATCH($A554,PlotNumber,0),MATCH(O$3,PlotTitles,0))),$AB$18,TRUE,"")</f>
        <v/>
      </c>
      <c r="P554" s="182" t="str">
        <f t="shared" ca="1" si="25"/>
        <v/>
      </c>
      <c r="Q554" s="104" t="str" cm="1">
        <f t="array" ref="Q554">_xlfn.IFS(AND(A554&gt;NumberOfPlots,ISBLANK(INDEX(PlotData,MATCH($A554,PlotNumber,0),MATCH(B$3,PlotTitles,0)))),"",ISBLANK(INDEX(PlotData,MATCH($A554,PlotNumber,0),MATCH(N$3,PlotTitles,0))),"",(DATEVALUE(INDEX(PlotData,MATCH($A554,PlotNumber,0),MATCH(N$3,PlotTitles,0))&amp;INDEX(PlotData,MATCH($A554,PlotNumber,0),MATCH(O$3,PlotTitles,0))))&lt;(DATEVALUE(INDEX(PlotData,MATCH($A554,PlotNumber,0),MATCH(I$3,PlotTitles,0))&amp;INDEX(PlotData,MATCH($A554,PlotNumber,0),MATCH(J$3,PlotTitles,0)))),$AB$20,TRUE,"")</f>
        <v/>
      </c>
      <c r="R554" s="104" t="str" cm="1">
        <f t="array" ref="R554">_xlfn.IFS(OR(ISBLANK(StartDateMonth),ISBLANK(StartDateYear)),"",AND(A554&gt;NumberOfPlots,ISBLANK(INDEX(PlotData,MATCH($A554,PlotNumber,0),MATCH(B$3,PlotTitles,0)))),"",ISBLANK(INDEX(PlotData,MATCH($A554,PlotNumber,0),MATCH(N$3,PlotTitles,0))),"",CompletionMonth="","",(DATEVALUE(INDEX(PlotData,MATCH($A554,PlotNumber,0),MATCH(N$3,PlotTitles,0))&amp;INDEX(PlotData,MATCH($A554,PlotNumber,0),MATCH(O$3,PlotTitles,0))))&gt;(DATEVALUE(CompletionMonth&amp;CompletionYear)),$AB$21,TRUE,"")</f>
        <v/>
      </c>
      <c r="S554" s="104" t="str" cm="1">
        <f t="array" ref="S554">_xlfn.IFS(AND(A554&gt;NumberOfPlots,ISBLANK(INDEX(PlotData,MATCH($A554,PlotNumber,0),MATCH(B$3,PlotTitles,0)))),"",OR(AND(INDEX(PlotData,MATCH($A554,PlotNumber,0),MATCH("Tenure",PlotTitles,0))="Open market housing",INDEX(PlotData,MATCH($A554,PlotNumber,0),MATCH("Tenure detail",PlotTitles,0))="Private rented sector"),INDEX(PlotData,MATCH($A554,PlotNumber,0),MATCH("Tenure",PlotTitles,0))="Affordable rent"),"",ISNUMBER(INDEX(PlotData,MATCH($A554,PlotNumber,0),MATCH(S$3,PlotTitles,0)))=FALSE, $AB$22,TRUE,"")</f>
        <v/>
      </c>
      <c r="T554" s="104" t="str" cm="1">
        <f t="array" ref="T554">_xlfn.IFS(AND(A554&gt;NumberOfPlots,ISBLANK(INDEX(PlotData,MATCH($A554,PlotNumber,0),MATCH(B$3,PlotTitles,0)))),"",OR(AND(INDEX(PlotData,MATCH($A554,PlotNumber,0),MATCH("Tenure",PlotTitles,0))="Open market housing",INDEX(PlotData,MATCH($A554,PlotNumber,0),MATCH("Tenure detail",PlotTitles,0))="Private rented sector"),INDEX(PlotData,MATCH($A554,PlotNumber,0),MATCH("Tenure",PlotTitles,0))="Affordable rent"),"",INDEX(PlotData,MATCH($A554,PlotNumber,0),MATCH(S$3,PlotTitles,0))&lt;10000, $AB$23,TRUE,"")</f>
        <v/>
      </c>
      <c r="U554" s="104" t="str" cm="1">
        <f t="array" ref="U554">_xlfn.IFS(AND(A554&gt;NumberOfPlots,ISBLANK(INDEX(PlotData,MATCH($A554,PlotNumber,0),MATCH(B$3,PlotTitles,0)))),"",NOT(OR(AND(INDEX(PlotData,MATCH($A554,PlotNumber,0),MATCH("Tenure",PlotTitles,0))="Open market housing",INDEX(PlotData,MATCH($A554,PlotNumber,0),MATCH("Tenure detail",PlotTitles,0))="Private rented sector"),INDEX(PlotData,MATCH($A554,PlotNumber,0),MATCH("Tenure",PlotTitles,0))="Affordable rent")),"",NOT(INDEX(PlotData,MATCH($A554,PlotNumber,0),MATCH(S$3,PlotTitles,0))=0), $AB$24,TRUE,"")</f>
        <v/>
      </c>
      <c r="V554" s="114" t="str" cm="1">
        <f t="array" aca="1" ref="V554" ca="1">_xlfn.IFS(ISBLANK(NumberOfPlots),"Enter the number of homes on the 1_SetUp sheet",AND(A554&gt;NumberOfPlots,ISBLANK(INDEX(PlotData,MATCH($A554,PlotNumber,0),MATCH(B$3,PlotTitles,0)))),"No error",NOT(B554=""),B554,NOT(C554=""),C554,NOT(D554=""),D554,NOT(E554=""),E554,NOT(F554=""),F554,NOT(G554=""),G554,NOT(H554=""),H554,NOT(I554=""),I554,NOT(J554=""),J554,NOT(K554=""),K554,NOT(L554=""),L554,NOT(M554=""),M554,NOT(N554=""),N554,NOT(O554=""),O554,NOT(P554=""),P554,NOT(Q554=""),Q554,NOT(R554=""),R554,NOT(S554=""),S554,NOT(T554=""),T554,NOT(U554=""),U554,TRUE,"No error")</f>
        <v>Enter the number of homes on the 1_SetUp sheet</v>
      </c>
      <c r="W554" s="114" t="str">
        <f t="shared" ca="1" si="26"/>
        <v xml:space="preserve">The Borrower has not addressed the following error messages for Home ID 550: </v>
      </c>
    </row>
    <row r="555" spans="1:23">
      <c r="A555" s="123">
        <v>551</v>
      </c>
      <c r="B555" s="104" t="str" cm="1">
        <f t="array" ref="B555">_xlfn.IFS(AND(A555&gt;NumberOfPlots,ISBLANK(INDEX(PlotData,MATCH($A555,PlotNumber,0),MATCH(B$3,PlotTitles,0)))),"",ISNUMBER(INDEX(PlotData,MATCH($A555,PlotNumber,0),MATCH(B$3,PlotTitles,0)))=FALSE, $AB$5,TRUE,"")</f>
        <v/>
      </c>
      <c r="C555" s="104" t="str" cm="1">
        <f t="array" ref="C555">_xlfn.IFS(AND(A555&gt;NumberOfPlots,ISBLANK(INDEX(PlotData,MATCH($A555,PlotNumber,0),MATCH(B$3,PlotTitles,0)))),"",ISBLANK(INDEX(PlotData,MATCH($A555,PlotNumber,0),MATCH(C$3,PlotTitles,0))),$AB$6,TRUE,"")</f>
        <v/>
      </c>
      <c r="D555" s="104" t="str" cm="1">
        <f t="array" ref="D555">_xlfn.IFS(AND(A555&gt;NumberOfPlots,ISBLANK(INDEX(PlotData,MATCH($A555,PlotNumber,0),MATCH(B$3,PlotTitles,0)))),"",ISBLANK(INDEX(PlotData,MATCH($A555,PlotNumber,0),MATCH(D$3,PlotTitles,0))),$AB$7,TRUE,"")</f>
        <v/>
      </c>
      <c r="E555" s="104" t="str" cm="1">
        <f t="array" ref="E555">_xlfn.IFS(AND(A555&gt;NumberOfPlots,ISBLANK(INDEX(PlotData,MATCH($A555,PlotNumber,0),MATCH(B$3,PlotTitles,0)))),"",ISBLANK(INDEX(PlotData,MATCH($A555,PlotNumber,0),MATCH(E$3,PlotTitles,0))),$AB$8,TRUE,"")</f>
        <v/>
      </c>
      <c r="F555" s="104" t="str" cm="1">
        <f t="array" ref="F555">_xlfn.IFS(AND(A555&gt;NumberOfPlots,ISBLANK(INDEX(PlotData,MATCH($A555,PlotNumber,0),MATCH(B$3,PlotTitles,0)))),"",ISBLANK(INDEX(PlotData,MATCH($A555,PlotNumber,0),MATCH(F$3,PlotTitles,0))),$AB$9,TRUE,"")</f>
        <v/>
      </c>
      <c r="G555" s="104" t="str" cm="1">
        <f t="array" ref="G555">_xlfn.IFS(AND(A555&gt;NumberOfPlots,ISBLANK(INDEX(PlotData,MATCH($A555,PlotNumber,0),MATCH(B$3,PlotTitles,0)))),"",ISBLANK(INDEX(PlotData,MATCH($A555,PlotNumber,0),MATCH(G$3,PlotTitles,0))),$AB$10,TRUE,"")</f>
        <v/>
      </c>
      <c r="H555" s="104" t="str" cm="1">
        <f t="array" ref="H555">_xlfn.IFS(AND(A555&gt;NumberOfPlots,ISBLANK(INDEX(PlotData,MATCH($A555,PlotNumber,0),MATCH(B$3,PlotTitles,0)))),"",AND(ISBLANK(INDEX(PlotData,MATCH($A555,PlotNumber,0),MATCH(H$3,PlotTitles,0)))=FALSE,INDEX(PlotData,MATCH($A555,PlotNumber,0),MATCH(H$3,PlotTitles,0))&lt;500), $AB$11,TRUE,"")</f>
        <v/>
      </c>
      <c r="I555" s="104" t="str" cm="1">
        <f t="array" ref="I555">_xlfn.IFS(AND(A555&gt;NumberOfPlots,ISBLANK(INDEX(PlotData,MATCH($A555,PlotNumber,0),MATCH(B$3,PlotTitles,0)))),"",ISBLANK(INDEX(PlotData,MATCH($A555,PlotNumber,0),MATCH(I$3,PlotTitles,0))),$AB$12,TRUE,"")</f>
        <v/>
      </c>
      <c r="J555" s="104" t="str" cm="1">
        <f t="array" ref="J555">_xlfn.IFS(AND(A555&gt;NumberOfPlots,ISBLANK(INDEX(PlotData,MATCH($A555,PlotNumber,0),MATCH(B$3,PlotTitles,0)))),"",ISBLANK(INDEX(PlotData,MATCH($A555,PlotNumber,0),MATCH(J$3,PlotTitles,0))),$AB$13,TRUE,"")</f>
        <v/>
      </c>
      <c r="K555" s="182" t="str">
        <f t="shared" ca="1" si="24"/>
        <v/>
      </c>
      <c r="L555" s="104" t="str" cm="1">
        <f t="array" ref="L555">_xlfn.IFS(OR(ISBLANK(StartDateMonth),ISBLANK(StartDateYear)),"",AND(A555&gt;NumberOfPlots,ISBLANK(INDEX(PlotData,MATCH($A555,PlotNumber,0),MATCH(B$3,PlotTitles,0)))),"",ISBLANK(INDEX(PlotData,MATCH($A555,PlotNumber,0),MATCH(I$3,PlotTitles,0))),"",(DATEVALUE(INDEX(PlotData,MATCH($A555,PlotNumber,0),MATCH(I$3,PlotTitles,0))&amp;INDEX(PlotData,MATCH($A555,PlotNumber,0),MATCH(J$3,PlotTitles,0))))&lt;DATEVALUE(StartDateMonth&amp;StartDateYear),$AB$15,TRUE,"")</f>
        <v/>
      </c>
      <c r="M555" s="104" t="str" cm="1">
        <f t="array" ref="M555">_xlfn.IFS(OR(ISBLANK(StartDateMonth),ISBLANK(StartDateYear)),"",AND(A555&gt;NumberOfPlots,ISBLANK(INDEX(PlotData,MATCH($A555,PlotNumber,0),MATCH(B$3,PlotTitles,0)))),"",ISBLANK(INDEX(PlotData,MATCH($A555,PlotNumber,0),MATCH(I$3,PlotTitles,0))),"",CompletionMonth="","",(DATEVALUE(INDEX(PlotData,MATCH($A555,PlotNumber,0),MATCH(I$3,PlotTitles,0))&amp;INDEX(PlotData,MATCH($A555,PlotNumber,0),MATCH(J$3,PlotTitles,0))))&gt;(DATEVALUE(CompletionMonth&amp;CompletionYear)),$AB$16,TRUE,"")</f>
        <v/>
      </c>
      <c r="N555" s="104" t="str" cm="1">
        <f t="array" ref="N555">_xlfn.IFS(AND(A555&gt;NumberOfPlots,ISBLANK(INDEX(PlotData,MATCH($A555,PlotNumber,0),MATCH(B$3,PlotTitles,0)))),"",ISBLANK(INDEX(PlotData,MATCH($A555,PlotNumber,0),MATCH(N$3,PlotTitles,0))),$AB$17,TRUE,"")</f>
        <v/>
      </c>
      <c r="O555" s="104" t="str" cm="1">
        <f t="array" ref="O555">_xlfn.IFS(AND(A555&gt;NumberOfPlots,ISBLANK(INDEX(PlotData,MATCH($A555,PlotNumber,0),MATCH(B$3,PlotTitles,0)))),"",ISBLANK(INDEX(PlotData,MATCH($A555,PlotNumber,0),MATCH(O$3,PlotTitles,0))),$AB$18,TRUE,"")</f>
        <v/>
      </c>
      <c r="P555" s="182" t="str">
        <f t="shared" ca="1" si="25"/>
        <v/>
      </c>
      <c r="Q555" s="104" t="str" cm="1">
        <f t="array" ref="Q555">_xlfn.IFS(AND(A555&gt;NumberOfPlots,ISBLANK(INDEX(PlotData,MATCH($A555,PlotNumber,0),MATCH(B$3,PlotTitles,0)))),"",ISBLANK(INDEX(PlotData,MATCH($A555,PlotNumber,0),MATCH(N$3,PlotTitles,0))),"",(DATEVALUE(INDEX(PlotData,MATCH($A555,PlotNumber,0),MATCH(N$3,PlotTitles,0))&amp;INDEX(PlotData,MATCH($A555,PlotNumber,0),MATCH(O$3,PlotTitles,0))))&lt;(DATEVALUE(INDEX(PlotData,MATCH($A555,PlotNumber,0),MATCH(I$3,PlotTitles,0))&amp;INDEX(PlotData,MATCH($A555,PlotNumber,0),MATCH(J$3,PlotTitles,0)))),$AB$20,TRUE,"")</f>
        <v/>
      </c>
      <c r="R555" s="104" t="str" cm="1">
        <f t="array" ref="R555">_xlfn.IFS(OR(ISBLANK(StartDateMonth),ISBLANK(StartDateYear)),"",AND(A555&gt;NumberOfPlots,ISBLANK(INDEX(PlotData,MATCH($A555,PlotNumber,0),MATCH(B$3,PlotTitles,0)))),"",ISBLANK(INDEX(PlotData,MATCH($A555,PlotNumber,0),MATCH(N$3,PlotTitles,0))),"",CompletionMonth="","",(DATEVALUE(INDEX(PlotData,MATCH($A555,PlotNumber,0),MATCH(N$3,PlotTitles,0))&amp;INDEX(PlotData,MATCH($A555,PlotNumber,0),MATCH(O$3,PlotTitles,0))))&gt;(DATEVALUE(CompletionMonth&amp;CompletionYear)),$AB$21,TRUE,"")</f>
        <v/>
      </c>
      <c r="S555" s="104" t="str" cm="1">
        <f t="array" ref="S555">_xlfn.IFS(AND(A555&gt;NumberOfPlots,ISBLANK(INDEX(PlotData,MATCH($A555,PlotNumber,0),MATCH(B$3,PlotTitles,0)))),"",OR(AND(INDEX(PlotData,MATCH($A555,PlotNumber,0),MATCH("Tenure",PlotTitles,0))="Open market housing",INDEX(PlotData,MATCH($A555,PlotNumber,0),MATCH("Tenure detail",PlotTitles,0))="Private rented sector"),INDEX(PlotData,MATCH($A555,PlotNumber,0),MATCH("Tenure",PlotTitles,0))="Affordable rent"),"",ISNUMBER(INDEX(PlotData,MATCH($A555,PlotNumber,0),MATCH(S$3,PlotTitles,0)))=FALSE, $AB$22,TRUE,"")</f>
        <v/>
      </c>
      <c r="T555" s="104" t="str" cm="1">
        <f t="array" ref="T555">_xlfn.IFS(AND(A555&gt;NumberOfPlots,ISBLANK(INDEX(PlotData,MATCH($A555,PlotNumber,0),MATCH(B$3,PlotTitles,0)))),"",OR(AND(INDEX(PlotData,MATCH($A555,PlotNumber,0),MATCH("Tenure",PlotTitles,0))="Open market housing",INDEX(PlotData,MATCH($A555,PlotNumber,0),MATCH("Tenure detail",PlotTitles,0))="Private rented sector"),INDEX(PlotData,MATCH($A555,PlotNumber,0),MATCH("Tenure",PlotTitles,0))="Affordable rent"),"",INDEX(PlotData,MATCH($A555,PlotNumber,0),MATCH(S$3,PlotTitles,0))&lt;10000, $AB$23,TRUE,"")</f>
        <v/>
      </c>
      <c r="U555" s="104" t="str" cm="1">
        <f t="array" ref="U555">_xlfn.IFS(AND(A555&gt;NumberOfPlots,ISBLANK(INDEX(PlotData,MATCH($A555,PlotNumber,0),MATCH(B$3,PlotTitles,0)))),"",NOT(OR(AND(INDEX(PlotData,MATCH($A555,PlotNumber,0),MATCH("Tenure",PlotTitles,0))="Open market housing",INDEX(PlotData,MATCH($A555,PlotNumber,0),MATCH("Tenure detail",PlotTitles,0))="Private rented sector"),INDEX(PlotData,MATCH($A555,PlotNumber,0),MATCH("Tenure",PlotTitles,0))="Affordable rent")),"",NOT(INDEX(PlotData,MATCH($A555,PlotNumber,0),MATCH(S$3,PlotTitles,0))=0), $AB$24,TRUE,"")</f>
        <v/>
      </c>
      <c r="V555" s="114" t="str" cm="1">
        <f t="array" aca="1" ref="V555" ca="1">_xlfn.IFS(ISBLANK(NumberOfPlots),"Enter the number of homes on the 1_SetUp sheet",AND(A555&gt;NumberOfPlots,ISBLANK(INDEX(PlotData,MATCH($A555,PlotNumber,0),MATCH(B$3,PlotTitles,0)))),"No error",NOT(B555=""),B555,NOT(C555=""),C555,NOT(D555=""),D555,NOT(E555=""),E555,NOT(F555=""),F555,NOT(G555=""),G555,NOT(H555=""),H555,NOT(I555=""),I555,NOT(J555=""),J555,NOT(K555=""),K555,NOT(L555=""),L555,NOT(M555=""),M555,NOT(N555=""),N555,NOT(O555=""),O555,NOT(P555=""),P555,NOT(Q555=""),Q555,NOT(R555=""),R555,NOT(S555=""),S555,NOT(T555=""),T555,NOT(U555=""),U555,TRUE,"No error")</f>
        <v>Enter the number of homes on the 1_SetUp sheet</v>
      </c>
      <c r="W555" s="114" t="str">
        <f t="shared" ca="1" si="26"/>
        <v xml:space="preserve">The Borrower has not addressed the following error messages for Home ID 551: </v>
      </c>
    </row>
    <row r="556" spans="1:23">
      <c r="A556" s="123">
        <v>552</v>
      </c>
      <c r="B556" s="104" t="str" cm="1">
        <f t="array" ref="B556">_xlfn.IFS(AND(A556&gt;NumberOfPlots,ISBLANK(INDEX(PlotData,MATCH($A556,PlotNumber,0),MATCH(B$3,PlotTitles,0)))),"",ISNUMBER(INDEX(PlotData,MATCH($A556,PlotNumber,0),MATCH(B$3,PlotTitles,0)))=FALSE, $AB$5,TRUE,"")</f>
        <v/>
      </c>
      <c r="C556" s="104" t="str" cm="1">
        <f t="array" ref="C556">_xlfn.IFS(AND(A556&gt;NumberOfPlots,ISBLANK(INDEX(PlotData,MATCH($A556,PlotNumber,0),MATCH(B$3,PlotTitles,0)))),"",ISBLANK(INDEX(PlotData,MATCH($A556,PlotNumber,0),MATCH(C$3,PlotTitles,0))),$AB$6,TRUE,"")</f>
        <v/>
      </c>
      <c r="D556" s="104" t="str" cm="1">
        <f t="array" ref="D556">_xlfn.IFS(AND(A556&gt;NumberOfPlots,ISBLANK(INDEX(PlotData,MATCH($A556,PlotNumber,0),MATCH(B$3,PlotTitles,0)))),"",ISBLANK(INDEX(PlotData,MATCH($A556,PlotNumber,0),MATCH(D$3,PlotTitles,0))),$AB$7,TRUE,"")</f>
        <v/>
      </c>
      <c r="E556" s="104" t="str" cm="1">
        <f t="array" ref="E556">_xlfn.IFS(AND(A556&gt;NumberOfPlots,ISBLANK(INDEX(PlotData,MATCH($A556,PlotNumber,0),MATCH(B$3,PlotTitles,0)))),"",ISBLANK(INDEX(PlotData,MATCH($A556,PlotNumber,0),MATCH(E$3,PlotTitles,0))),$AB$8,TRUE,"")</f>
        <v/>
      </c>
      <c r="F556" s="104" t="str" cm="1">
        <f t="array" ref="F556">_xlfn.IFS(AND(A556&gt;NumberOfPlots,ISBLANK(INDEX(PlotData,MATCH($A556,PlotNumber,0),MATCH(B$3,PlotTitles,0)))),"",ISBLANK(INDEX(PlotData,MATCH($A556,PlotNumber,0),MATCH(F$3,PlotTitles,0))),$AB$9,TRUE,"")</f>
        <v/>
      </c>
      <c r="G556" s="104" t="str" cm="1">
        <f t="array" ref="G556">_xlfn.IFS(AND(A556&gt;NumberOfPlots,ISBLANK(INDEX(PlotData,MATCH($A556,PlotNumber,0),MATCH(B$3,PlotTitles,0)))),"",ISBLANK(INDEX(PlotData,MATCH($A556,PlotNumber,0),MATCH(G$3,PlotTitles,0))),$AB$10,TRUE,"")</f>
        <v/>
      </c>
      <c r="H556" s="104" t="str" cm="1">
        <f t="array" ref="H556">_xlfn.IFS(AND(A556&gt;NumberOfPlots,ISBLANK(INDEX(PlotData,MATCH($A556,PlotNumber,0),MATCH(B$3,PlotTitles,0)))),"",AND(ISBLANK(INDEX(PlotData,MATCH($A556,PlotNumber,0),MATCH(H$3,PlotTitles,0)))=FALSE,INDEX(PlotData,MATCH($A556,PlotNumber,0),MATCH(H$3,PlotTitles,0))&lt;500), $AB$11,TRUE,"")</f>
        <v/>
      </c>
      <c r="I556" s="104" t="str" cm="1">
        <f t="array" ref="I556">_xlfn.IFS(AND(A556&gt;NumberOfPlots,ISBLANK(INDEX(PlotData,MATCH($A556,PlotNumber,0),MATCH(B$3,PlotTitles,0)))),"",ISBLANK(INDEX(PlotData,MATCH($A556,PlotNumber,0),MATCH(I$3,PlotTitles,0))),$AB$12,TRUE,"")</f>
        <v/>
      </c>
      <c r="J556" s="104" t="str" cm="1">
        <f t="array" ref="J556">_xlfn.IFS(AND(A556&gt;NumberOfPlots,ISBLANK(INDEX(PlotData,MATCH($A556,PlotNumber,0),MATCH(B$3,PlotTitles,0)))),"",ISBLANK(INDEX(PlotData,MATCH($A556,PlotNumber,0),MATCH(J$3,PlotTitles,0))),$AB$13,TRUE,"")</f>
        <v/>
      </c>
      <c r="K556" s="182" t="str">
        <f t="shared" ca="1" si="24"/>
        <v/>
      </c>
      <c r="L556" s="104" t="str" cm="1">
        <f t="array" ref="L556">_xlfn.IFS(OR(ISBLANK(StartDateMonth),ISBLANK(StartDateYear)),"",AND(A556&gt;NumberOfPlots,ISBLANK(INDEX(PlotData,MATCH($A556,PlotNumber,0),MATCH(B$3,PlotTitles,0)))),"",ISBLANK(INDEX(PlotData,MATCH($A556,PlotNumber,0),MATCH(I$3,PlotTitles,0))),"",(DATEVALUE(INDEX(PlotData,MATCH($A556,PlotNumber,0),MATCH(I$3,PlotTitles,0))&amp;INDEX(PlotData,MATCH($A556,PlotNumber,0),MATCH(J$3,PlotTitles,0))))&lt;DATEVALUE(StartDateMonth&amp;StartDateYear),$AB$15,TRUE,"")</f>
        <v/>
      </c>
      <c r="M556" s="104" t="str" cm="1">
        <f t="array" ref="M556">_xlfn.IFS(OR(ISBLANK(StartDateMonth),ISBLANK(StartDateYear)),"",AND(A556&gt;NumberOfPlots,ISBLANK(INDEX(PlotData,MATCH($A556,PlotNumber,0),MATCH(B$3,PlotTitles,0)))),"",ISBLANK(INDEX(PlotData,MATCH($A556,PlotNumber,0),MATCH(I$3,PlotTitles,0))),"",CompletionMonth="","",(DATEVALUE(INDEX(PlotData,MATCH($A556,PlotNumber,0),MATCH(I$3,PlotTitles,0))&amp;INDEX(PlotData,MATCH($A556,PlotNumber,0),MATCH(J$3,PlotTitles,0))))&gt;(DATEVALUE(CompletionMonth&amp;CompletionYear)),$AB$16,TRUE,"")</f>
        <v/>
      </c>
      <c r="N556" s="104" t="str" cm="1">
        <f t="array" ref="N556">_xlfn.IFS(AND(A556&gt;NumberOfPlots,ISBLANK(INDEX(PlotData,MATCH($A556,PlotNumber,0),MATCH(B$3,PlotTitles,0)))),"",ISBLANK(INDEX(PlotData,MATCH($A556,PlotNumber,0),MATCH(N$3,PlotTitles,0))),$AB$17,TRUE,"")</f>
        <v/>
      </c>
      <c r="O556" s="104" t="str" cm="1">
        <f t="array" ref="O556">_xlfn.IFS(AND(A556&gt;NumberOfPlots,ISBLANK(INDEX(PlotData,MATCH($A556,PlotNumber,0),MATCH(B$3,PlotTitles,0)))),"",ISBLANK(INDEX(PlotData,MATCH($A556,PlotNumber,0),MATCH(O$3,PlotTitles,0))),$AB$18,TRUE,"")</f>
        <v/>
      </c>
      <c r="P556" s="182" t="str">
        <f t="shared" ca="1" si="25"/>
        <v/>
      </c>
      <c r="Q556" s="104" t="str" cm="1">
        <f t="array" ref="Q556">_xlfn.IFS(AND(A556&gt;NumberOfPlots,ISBLANK(INDEX(PlotData,MATCH($A556,PlotNumber,0),MATCH(B$3,PlotTitles,0)))),"",ISBLANK(INDEX(PlotData,MATCH($A556,PlotNumber,0),MATCH(N$3,PlotTitles,0))),"",(DATEVALUE(INDEX(PlotData,MATCH($A556,PlotNumber,0),MATCH(N$3,PlotTitles,0))&amp;INDEX(PlotData,MATCH($A556,PlotNumber,0),MATCH(O$3,PlotTitles,0))))&lt;(DATEVALUE(INDEX(PlotData,MATCH($A556,PlotNumber,0),MATCH(I$3,PlotTitles,0))&amp;INDEX(PlotData,MATCH($A556,PlotNumber,0),MATCH(J$3,PlotTitles,0)))),$AB$20,TRUE,"")</f>
        <v/>
      </c>
      <c r="R556" s="104" t="str" cm="1">
        <f t="array" ref="R556">_xlfn.IFS(OR(ISBLANK(StartDateMonth),ISBLANK(StartDateYear)),"",AND(A556&gt;NumberOfPlots,ISBLANK(INDEX(PlotData,MATCH($A556,PlotNumber,0),MATCH(B$3,PlotTitles,0)))),"",ISBLANK(INDEX(PlotData,MATCH($A556,PlotNumber,0),MATCH(N$3,PlotTitles,0))),"",CompletionMonth="","",(DATEVALUE(INDEX(PlotData,MATCH($A556,PlotNumber,0),MATCH(N$3,PlotTitles,0))&amp;INDEX(PlotData,MATCH($A556,PlotNumber,0),MATCH(O$3,PlotTitles,0))))&gt;(DATEVALUE(CompletionMonth&amp;CompletionYear)),$AB$21,TRUE,"")</f>
        <v/>
      </c>
      <c r="S556" s="104" t="str" cm="1">
        <f t="array" ref="S556">_xlfn.IFS(AND(A556&gt;NumberOfPlots,ISBLANK(INDEX(PlotData,MATCH($A556,PlotNumber,0),MATCH(B$3,PlotTitles,0)))),"",OR(AND(INDEX(PlotData,MATCH($A556,PlotNumber,0),MATCH("Tenure",PlotTitles,0))="Open market housing",INDEX(PlotData,MATCH($A556,PlotNumber,0),MATCH("Tenure detail",PlotTitles,0))="Private rented sector"),INDEX(PlotData,MATCH($A556,PlotNumber,0),MATCH("Tenure",PlotTitles,0))="Affordable rent"),"",ISNUMBER(INDEX(PlotData,MATCH($A556,PlotNumber,0),MATCH(S$3,PlotTitles,0)))=FALSE, $AB$22,TRUE,"")</f>
        <v/>
      </c>
      <c r="T556" s="104" t="str" cm="1">
        <f t="array" ref="T556">_xlfn.IFS(AND(A556&gt;NumberOfPlots,ISBLANK(INDEX(PlotData,MATCH($A556,PlotNumber,0),MATCH(B$3,PlotTitles,0)))),"",OR(AND(INDEX(PlotData,MATCH($A556,PlotNumber,0),MATCH("Tenure",PlotTitles,0))="Open market housing",INDEX(PlotData,MATCH($A556,PlotNumber,0),MATCH("Tenure detail",PlotTitles,0))="Private rented sector"),INDEX(PlotData,MATCH($A556,PlotNumber,0),MATCH("Tenure",PlotTitles,0))="Affordable rent"),"",INDEX(PlotData,MATCH($A556,PlotNumber,0),MATCH(S$3,PlotTitles,0))&lt;10000, $AB$23,TRUE,"")</f>
        <v/>
      </c>
      <c r="U556" s="104" t="str" cm="1">
        <f t="array" ref="U556">_xlfn.IFS(AND(A556&gt;NumberOfPlots,ISBLANK(INDEX(PlotData,MATCH($A556,PlotNumber,0),MATCH(B$3,PlotTitles,0)))),"",NOT(OR(AND(INDEX(PlotData,MATCH($A556,PlotNumber,0),MATCH("Tenure",PlotTitles,0))="Open market housing",INDEX(PlotData,MATCH($A556,PlotNumber,0),MATCH("Tenure detail",PlotTitles,0))="Private rented sector"),INDEX(PlotData,MATCH($A556,PlotNumber,0),MATCH("Tenure",PlotTitles,0))="Affordable rent")),"",NOT(INDEX(PlotData,MATCH($A556,PlotNumber,0),MATCH(S$3,PlotTitles,0))=0), $AB$24,TRUE,"")</f>
        <v/>
      </c>
      <c r="V556" s="114" t="str" cm="1">
        <f t="array" aca="1" ref="V556" ca="1">_xlfn.IFS(ISBLANK(NumberOfPlots),"Enter the number of homes on the 1_SetUp sheet",AND(A556&gt;NumberOfPlots,ISBLANK(INDEX(PlotData,MATCH($A556,PlotNumber,0),MATCH(B$3,PlotTitles,0)))),"No error",NOT(B556=""),B556,NOT(C556=""),C556,NOT(D556=""),D556,NOT(E556=""),E556,NOT(F556=""),F556,NOT(G556=""),G556,NOT(H556=""),H556,NOT(I556=""),I556,NOT(J556=""),J556,NOT(K556=""),K556,NOT(L556=""),L556,NOT(M556=""),M556,NOT(N556=""),N556,NOT(O556=""),O556,NOT(P556=""),P556,NOT(Q556=""),Q556,NOT(R556=""),R556,NOT(S556=""),S556,NOT(T556=""),T556,NOT(U556=""),U556,TRUE,"No error")</f>
        <v>Enter the number of homes on the 1_SetUp sheet</v>
      </c>
      <c r="W556" s="114" t="str">
        <f t="shared" ca="1" si="26"/>
        <v xml:space="preserve">The Borrower has not addressed the following error messages for Home ID 552: </v>
      </c>
    </row>
    <row r="557" spans="1:23">
      <c r="A557" s="123">
        <v>553</v>
      </c>
      <c r="B557" s="104" t="str" cm="1">
        <f t="array" ref="B557">_xlfn.IFS(AND(A557&gt;NumberOfPlots,ISBLANK(INDEX(PlotData,MATCH($A557,PlotNumber,0),MATCH(B$3,PlotTitles,0)))),"",ISNUMBER(INDEX(PlotData,MATCH($A557,PlotNumber,0),MATCH(B$3,PlotTitles,0)))=FALSE, $AB$5,TRUE,"")</f>
        <v/>
      </c>
      <c r="C557" s="104" t="str" cm="1">
        <f t="array" ref="C557">_xlfn.IFS(AND(A557&gt;NumberOfPlots,ISBLANK(INDEX(PlotData,MATCH($A557,PlotNumber,0),MATCH(B$3,PlotTitles,0)))),"",ISBLANK(INDEX(PlotData,MATCH($A557,PlotNumber,0),MATCH(C$3,PlotTitles,0))),$AB$6,TRUE,"")</f>
        <v/>
      </c>
      <c r="D557" s="104" t="str" cm="1">
        <f t="array" ref="D557">_xlfn.IFS(AND(A557&gt;NumberOfPlots,ISBLANK(INDEX(PlotData,MATCH($A557,PlotNumber,0),MATCH(B$3,PlotTitles,0)))),"",ISBLANK(INDEX(PlotData,MATCH($A557,PlotNumber,0),MATCH(D$3,PlotTitles,0))),$AB$7,TRUE,"")</f>
        <v/>
      </c>
      <c r="E557" s="104" t="str" cm="1">
        <f t="array" ref="E557">_xlfn.IFS(AND(A557&gt;NumberOfPlots,ISBLANK(INDEX(PlotData,MATCH($A557,PlotNumber,0),MATCH(B$3,PlotTitles,0)))),"",ISBLANK(INDEX(PlotData,MATCH($A557,PlotNumber,0),MATCH(E$3,PlotTitles,0))),$AB$8,TRUE,"")</f>
        <v/>
      </c>
      <c r="F557" s="104" t="str" cm="1">
        <f t="array" ref="F557">_xlfn.IFS(AND(A557&gt;NumberOfPlots,ISBLANK(INDEX(PlotData,MATCH($A557,PlotNumber,0),MATCH(B$3,PlotTitles,0)))),"",ISBLANK(INDEX(PlotData,MATCH($A557,PlotNumber,0),MATCH(F$3,PlotTitles,0))),$AB$9,TRUE,"")</f>
        <v/>
      </c>
      <c r="G557" s="104" t="str" cm="1">
        <f t="array" ref="G557">_xlfn.IFS(AND(A557&gt;NumberOfPlots,ISBLANK(INDEX(PlotData,MATCH($A557,PlotNumber,0),MATCH(B$3,PlotTitles,0)))),"",ISBLANK(INDEX(PlotData,MATCH($A557,PlotNumber,0),MATCH(G$3,PlotTitles,0))),$AB$10,TRUE,"")</f>
        <v/>
      </c>
      <c r="H557" s="104" t="str" cm="1">
        <f t="array" ref="H557">_xlfn.IFS(AND(A557&gt;NumberOfPlots,ISBLANK(INDEX(PlotData,MATCH($A557,PlotNumber,0),MATCH(B$3,PlotTitles,0)))),"",AND(ISBLANK(INDEX(PlotData,MATCH($A557,PlotNumber,0),MATCH(H$3,PlotTitles,0)))=FALSE,INDEX(PlotData,MATCH($A557,PlotNumber,0),MATCH(H$3,PlotTitles,0))&lt;500), $AB$11,TRUE,"")</f>
        <v/>
      </c>
      <c r="I557" s="104" t="str" cm="1">
        <f t="array" ref="I557">_xlfn.IFS(AND(A557&gt;NumberOfPlots,ISBLANK(INDEX(PlotData,MATCH($A557,PlotNumber,0),MATCH(B$3,PlotTitles,0)))),"",ISBLANK(INDEX(PlotData,MATCH($A557,PlotNumber,0),MATCH(I$3,PlotTitles,0))),$AB$12,TRUE,"")</f>
        <v/>
      </c>
      <c r="J557" s="104" t="str" cm="1">
        <f t="array" ref="J557">_xlfn.IFS(AND(A557&gt;NumberOfPlots,ISBLANK(INDEX(PlotData,MATCH($A557,PlotNumber,0),MATCH(B$3,PlotTitles,0)))),"",ISBLANK(INDEX(PlotData,MATCH($A557,PlotNumber,0),MATCH(J$3,PlotTitles,0))),$AB$13,TRUE,"")</f>
        <v/>
      </c>
      <c r="K557" s="182" t="str">
        <f t="shared" ca="1" si="24"/>
        <v/>
      </c>
      <c r="L557" s="104" t="str" cm="1">
        <f t="array" ref="L557">_xlfn.IFS(OR(ISBLANK(StartDateMonth),ISBLANK(StartDateYear)),"",AND(A557&gt;NumberOfPlots,ISBLANK(INDEX(PlotData,MATCH($A557,PlotNumber,0),MATCH(B$3,PlotTitles,0)))),"",ISBLANK(INDEX(PlotData,MATCH($A557,PlotNumber,0),MATCH(I$3,PlotTitles,0))),"",(DATEVALUE(INDEX(PlotData,MATCH($A557,PlotNumber,0),MATCH(I$3,PlotTitles,0))&amp;INDEX(PlotData,MATCH($A557,PlotNumber,0),MATCH(J$3,PlotTitles,0))))&lt;DATEVALUE(StartDateMonth&amp;StartDateYear),$AB$15,TRUE,"")</f>
        <v/>
      </c>
      <c r="M557" s="104" t="str" cm="1">
        <f t="array" ref="M557">_xlfn.IFS(OR(ISBLANK(StartDateMonth),ISBLANK(StartDateYear)),"",AND(A557&gt;NumberOfPlots,ISBLANK(INDEX(PlotData,MATCH($A557,PlotNumber,0),MATCH(B$3,PlotTitles,0)))),"",ISBLANK(INDEX(PlotData,MATCH($A557,PlotNumber,0),MATCH(I$3,PlotTitles,0))),"",CompletionMonth="","",(DATEVALUE(INDEX(PlotData,MATCH($A557,PlotNumber,0),MATCH(I$3,PlotTitles,0))&amp;INDEX(PlotData,MATCH($A557,PlotNumber,0),MATCH(J$3,PlotTitles,0))))&gt;(DATEVALUE(CompletionMonth&amp;CompletionYear)),$AB$16,TRUE,"")</f>
        <v/>
      </c>
      <c r="N557" s="104" t="str" cm="1">
        <f t="array" ref="N557">_xlfn.IFS(AND(A557&gt;NumberOfPlots,ISBLANK(INDEX(PlotData,MATCH($A557,PlotNumber,0),MATCH(B$3,PlotTitles,0)))),"",ISBLANK(INDEX(PlotData,MATCH($A557,PlotNumber,0),MATCH(N$3,PlotTitles,0))),$AB$17,TRUE,"")</f>
        <v/>
      </c>
      <c r="O557" s="104" t="str" cm="1">
        <f t="array" ref="O557">_xlfn.IFS(AND(A557&gt;NumberOfPlots,ISBLANK(INDEX(PlotData,MATCH($A557,PlotNumber,0),MATCH(B$3,PlotTitles,0)))),"",ISBLANK(INDEX(PlotData,MATCH($A557,PlotNumber,0),MATCH(O$3,PlotTitles,0))),$AB$18,TRUE,"")</f>
        <v/>
      </c>
      <c r="P557" s="182" t="str">
        <f t="shared" ca="1" si="25"/>
        <v/>
      </c>
      <c r="Q557" s="104" t="str" cm="1">
        <f t="array" ref="Q557">_xlfn.IFS(AND(A557&gt;NumberOfPlots,ISBLANK(INDEX(PlotData,MATCH($A557,PlotNumber,0),MATCH(B$3,PlotTitles,0)))),"",ISBLANK(INDEX(PlotData,MATCH($A557,PlotNumber,0),MATCH(N$3,PlotTitles,0))),"",(DATEVALUE(INDEX(PlotData,MATCH($A557,PlotNumber,0),MATCH(N$3,PlotTitles,0))&amp;INDEX(PlotData,MATCH($A557,PlotNumber,0),MATCH(O$3,PlotTitles,0))))&lt;(DATEVALUE(INDEX(PlotData,MATCH($A557,PlotNumber,0),MATCH(I$3,PlotTitles,0))&amp;INDEX(PlotData,MATCH($A557,PlotNumber,0),MATCH(J$3,PlotTitles,0)))),$AB$20,TRUE,"")</f>
        <v/>
      </c>
      <c r="R557" s="104" t="str" cm="1">
        <f t="array" ref="R557">_xlfn.IFS(OR(ISBLANK(StartDateMonth),ISBLANK(StartDateYear)),"",AND(A557&gt;NumberOfPlots,ISBLANK(INDEX(PlotData,MATCH($A557,PlotNumber,0),MATCH(B$3,PlotTitles,0)))),"",ISBLANK(INDEX(PlotData,MATCH($A557,PlotNumber,0),MATCH(N$3,PlotTitles,0))),"",CompletionMonth="","",(DATEVALUE(INDEX(PlotData,MATCH($A557,PlotNumber,0),MATCH(N$3,PlotTitles,0))&amp;INDEX(PlotData,MATCH($A557,PlotNumber,0),MATCH(O$3,PlotTitles,0))))&gt;(DATEVALUE(CompletionMonth&amp;CompletionYear)),$AB$21,TRUE,"")</f>
        <v/>
      </c>
      <c r="S557" s="104" t="str" cm="1">
        <f t="array" ref="S557">_xlfn.IFS(AND(A557&gt;NumberOfPlots,ISBLANK(INDEX(PlotData,MATCH($A557,PlotNumber,0),MATCH(B$3,PlotTitles,0)))),"",OR(AND(INDEX(PlotData,MATCH($A557,PlotNumber,0),MATCH("Tenure",PlotTitles,0))="Open market housing",INDEX(PlotData,MATCH($A557,PlotNumber,0),MATCH("Tenure detail",PlotTitles,0))="Private rented sector"),INDEX(PlotData,MATCH($A557,PlotNumber,0),MATCH("Tenure",PlotTitles,0))="Affordable rent"),"",ISNUMBER(INDEX(PlotData,MATCH($A557,PlotNumber,0),MATCH(S$3,PlotTitles,0)))=FALSE, $AB$22,TRUE,"")</f>
        <v/>
      </c>
      <c r="T557" s="104" t="str" cm="1">
        <f t="array" ref="T557">_xlfn.IFS(AND(A557&gt;NumberOfPlots,ISBLANK(INDEX(PlotData,MATCH($A557,PlotNumber,0),MATCH(B$3,PlotTitles,0)))),"",OR(AND(INDEX(PlotData,MATCH($A557,PlotNumber,0),MATCH("Tenure",PlotTitles,0))="Open market housing",INDEX(PlotData,MATCH($A557,PlotNumber,0),MATCH("Tenure detail",PlotTitles,0))="Private rented sector"),INDEX(PlotData,MATCH($A557,PlotNumber,0),MATCH("Tenure",PlotTitles,0))="Affordable rent"),"",INDEX(PlotData,MATCH($A557,PlotNumber,0),MATCH(S$3,PlotTitles,0))&lt;10000, $AB$23,TRUE,"")</f>
        <v/>
      </c>
      <c r="U557" s="104" t="str" cm="1">
        <f t="array" ref="U557">_xlfn.IFS(AND(A557&gt;NumberOfPlots,ISBLANK(INDEX(PlotData,MATCH($A557,PlotNumber,0),MATCH(B$3,PlotTitles,0)))),"",NOT(OR(AND(INDEX(PlotData,MATCH($A557,PlotNumber,0),MATCH("Tenure",PlotTitles,0))="Open market housing",INDEX(PlotData,MATCH($A557,PlotNumber,0),MATCH("Tenure detail",PlotTitles,0))="Private rented sector"),INDEX(PlotData,MATCH($A557,PlotNumber,0),MATCH("Tenure",PlotTitles,0))="Affordable rent")),"",NOT(INDEX(PlotData,MATCH($A557,PlotNumber,0),MATCH(S$3,PlotTitles,0))=0), $AB$24,TRUE,"")</f>
        <v/>
      </c>
      <c r="V557" s="114" t="str" cm="1">
        <f t="array" aca="1" ref="V557" ca="1">_xlfn.IFS(ISBLANK(NumberOfPlots),"Enter the number of homes on the 1_SetUp sheet",AND(A557&gt;NumberOfPlots,ISBLANK(INDEX(PlotData,MATCH($A557,PlotNumber,0),MATCH(B$3,PlotTitles,0)))),"No error",NOT(B557=""),B557,NOT(C557=""),C557,NOT(D557=""),D557,NOT(E557=""),E557,NOT(F557=""),F557,NOT(G557=""),G557,NOT(H557=""),H557,NOT(I557=""),I557,NOT(J557=""),J557,NOT(K557=""),K557,NOT(L557=""),L557,NOT(M557=""),M557,NOT(N557=""),N557,NOT(O557=""),O557,NOT(P557=""),P557,NOT(Q557=""),Q557,NOT(R557=""),R557,NOT(S557=""),S557,NOT(T557=""),T557,NOT(U557=""),U557,TRUE,"No error")</f>
        <v>Enter the number of homes on the 1_SetUp sheet</v>
      </c>
      <c r="W557" s="114" t="str">
        <f t="shared" ca="1" si="26"/>
        <v xml:space="preserve">The Borrower has not addressed the following error messages for Home ID 553: </v>
      </c>
    </row>
    <row r="558" spans="1:23">
      <c r="A558" s="123">
        <v>554</v>
      </c>
      <c r="B558" s="104" t="str" cm="1">
        <f t="array" ref="B558">_xlfn.IFS(AND(A558&gt;NumberOfPlots,ISBLANK(INDEX(PlotData,MATCH($A558,PlotNumber,0),MATCH(B$3,PlotTitles,0)))),"",ISNUMBER(INDEX(PlotData,MATCH($A558,PlotNumber,0),MATCH(B$3,PlotTitles,0)))=FALSE, $AB$5,TRUE,"")</f>
        <v/>
      </c>
      <c r="C558" s="104" t="str" cm="1">
        <f t="array" ref="C558">_xlfn.IFS(AND(A558&gt;NumberOfPlots,ISBLANK(INDEX(PlotData,MATCH($A558,PlotNumber,0),MATCH(B$3,PlotTitles,0)))),"",ISBLANK(INDEX(PlotData,MATCH($A558,PlotNumber,0),MATCH(C$3,PlotTitles,0))),$AB$6,TRUE,"")</f>
        <v/>
      </c>
      <c r="D558" s="104" t="str" cm="1">
        <f t="array" ref="D558">_xlfn.IFS(AND(A558&gt;NumberOfPlots,ISBLANK(INDEX(PlotData,MATCH($A558,PlotNumber,0),MATCH(B$3,PlotTitles,0)))),"",ISBLANK(INDEX(PlotData,MATCH($A558,PlotNumber,0),MATCH(D$3,PlotTitles,0))),$AB$7,TRUE,"")</f>
        <v/>
      </c>
      <c r="E558" s="104" t="str" cm="1">
        <f t="array" ref="E558">_xlfn.IFS(AND(A558&gt;NumberOfPlots,ISBLANK(INDEX(PlotData,MATCH($A558,PlotNumber,0),MATCH(B$3,PlotTitles,0)))),"",ISBLANK(INDEX(PlotData,MATCH($A558,PlotNumber,0),MATCH(E$3,PlotTitles,0))),$AB$8,TRUE,"")</f>
        <v/>
      </c>
      <c r="F558" s="104" t="str" cm="1">
        <f t="array" ref="F558">_xlfn.IFS(AND(A558&gt;NumberOfPlots,ISBLANK(INDEX(PlotData,MATCH($A558,PlotNumber,0),MATCH(B$3,PlotTitles,0)))),"",ISBLANK(INDEX(PlotData,MATCH($A558,PlotNumber,0),MATCH(F$3,PlotTitles,0))),$AB$9,TRUE,"")</f>
        <v/>
      </c>
      <c r="G558" s="104" t="str" cm="1">
        <f t="array" ref="G558">_xlfn.IFS(AND(A558&gt;NumberOfPlots,ISBLANK(INDEX(PlotData,MATCH($A558,PlotNumber,0),MATCH(B$3,PlotTitles,0)))),"",ISBLANK(INDEX(PlotData,MATCH($A558,PlotNumber,0),MATCH(G$3,PlotTitles,0))),$AB$10,TRUE,"")</f>
        <v/>
      </c>
      <c r="H558" s="104" t="str" cm="1">
        <f t="array" ref="H558">_xlfn.IFS(AND(A558&gt;NumberOfPlots,ISBLANK(INDEX(PlotData,MATCH($A558,PlotNumber,0),MATCH(B$3,PlotTitles,0)))),"",AND(ISBLANK(INDEX(PlotData,MATCH($A558,PlotNumber,0),MATCH(H$3,PlotTitles,0)))=FALSE,INDEX(PlotData,MATCH($A558,PlotNumber,0),MATCH(H$3,PlotTitles,0))&lt;500), $AB$11,TRUE,"")</f>
        <v/>
      </c>
      <c r="I558" s="104" t="str" cm="1">
        <f t="array" ref="I558">_xlfn.IFS(AND(A558&gt;NumberOfPlots,ISBLANK(INDEX(PlotData,MATCH($A558,PlotNumber,0),MATCH(B$3,PlotTitles,0)))),"",ISBLANK(INDEX(PlotData,MATCH($A558,PlotNumber,0),MATCH(I$3,PlotTitles,0))),$AB$12,TRUE,"")</f>
        <v/>
      </c>
      <c r="J558" s="104" t="str" cm="1">
        <f t="array" ref="J558">_xlfn.IFS(AND(A558&gt;NumberOfPlots,ISBLANK(INDEX(PlotData,MATCH($A558,PlotNumber,0),MATCH(B$3,PlotTitles,0)))),"",ISBLANK(INDEX(PlotData,MATCH($A558,PlotNumber,0),MATCH(J$3,PlotTitles,0))),$AB$13,TRUE,"")</f>
        <v/>
      </c>
      <c r="K558" s="182" t="str">
        <f t="shared" ca="1" si="24"/>
        <v/>
      </c>
      <c r="L558" s="104" t="str" cm="1">
        <f t="array" ref="L558">_xlfn.IFS(OR(ISBLANK(StartDateMonth),ISBLANK(StartDateYear)),"",AND(A558&gt;NumberOfPlots,ISBLANK(INDEX(PlotData,MATCH($A558,PlotNumber,0),MATCH(B$3,PlotTitles,0)))),"",ISBLANK(INDEX(PlotData,MATCH($A558,PlotNumber,0),MATCH(I$3,PlotTitles,0))),"",(DATEVALUE(INDEX(PlotData,MATCH($A558,PlotNumber,0),MATCH(I$3,PlotTitles,0))&amp;INDEX(PlotData,MATCH($A558,PlotNumber,0),MATCH(J$3,PlotTitles,0))))&lt;DATEVALUE(StartDateMonth&amp;StartDateYear),$AB$15,TRUE,"")</f>
        <v/>
      </c>
      <c r="M558" s="104" t="str" cm="1">
        <f t="array" ref="M558">_xlfn.IFS(OR(ISBLANK(StartDateMonth),ISBLANK(StartDateYear)),"",AND(A558&gt;NumberOfPlots,ISBLANK(INDEX(PlotData,MATCH($A558,PlotNumber,0),MATCH(B$3,PlotTitles,0)))),"",ISBLANK(INDEX(PlotData,MATCH($A558,PlotNumber,0),MATCH(I$3,PlotTitles,0))),"",CompletionMonth="","",(DATEVALUE(INDEX(PlotData,MATCH($A558,PlotNumber,0),MATCH(I$3,PlotTitles,0))&amp;INDEX(PlotData,MATCH($A558,PlotNumber,0),MATCH(J$3,PlotTitles,0))))&gt;(DATEVALUE(CompletionMonth&amp;CompletionYear)),$AB$16,TRUE,"")</f>
        <v/>
      </c>
      <c r="N558" s="104" t="str" cm="1">
        <f t="array" ref="N558">_xlfn.IFS(AND(A558&gt;NumberOfPlots,ISBLANK(INDEX(PlotData,MATCH($A558,PlotNumber,0),MATCH(B$3,PlotTitles,0)))),"",ISBLANK(INDEX(PlotData,MATCH($A558,PlotNumber,0),MATCH(N$3,PlotTitles,0))),$AB$17,TRUE,"")</f>
        <v/>
      </c>
      <c r="O558" s="104" t="str" cm="1">
        <f t="array" ref="O558">_xlfn.IFS(AND(A558&gt;NumberOfPlots,ISBLANK(INDEX(PlotData,MATCH($A558,PlotNumber,0),MATCH(B$3,PlotTitles,0)))),"",ISBLANK(INDEX(PlotData,MATCH($A558,PlotNumber,0),MATCH(O$3,PlotTitles,0))),$AB$18,TRUE,"")</f>
        <v/>
      </c>
      <c r="P558" s="182" t="str">
        <f t="shared" ca="1" si="25"/>
        <v/>
      </c>
      <c r="Q558" s="104" t="str" cm="1">
        <f t="array" ref="Q558">_xlfn.IFS(AND(A558&gt;NumberOfPlots,ISBLANK(INDEX(PlotData,MATCH($A558,PlotNumber,0),MATCH(B$3,PlotTitles,0)))),"",ISBLANK(INDEX(PlotData,MATCH($A558,PlotNumber,0),MATCH(N$3,PlotTitles,0))),"",(DATEVALUE(INDEX(PlotData,MATCH($A558,PlotNumber,0),MATCH(N$3,PlotTitles,0))&amp;INDEX(PlotData,MATCH($A558,PlotNumber,0),MATCH(O$3,PlotTitles,0))))&lt;(DATEVALUE(INDEX(PlotData,MATCH($A558,PlotNumber,0),MATCH(I$3,PlotTitles,0))&amp;INDEX(PlotData,MATCH($A558,PlotNumber,0),MATCH(J$3,PlotTitles,0)))),$AB$20,TRUE,"")</f>
        <v/>
      </c>
      <c r="R558" s="104" t="str" cm="1">
        <f t="array" ref="R558">_xlfn.IFS(OR(ISBLANK(StartDateMonth),ISBLANK(StartDateYear)),"",AND(A558&gt;NumberOfPlots,ISBLANK(INDEX(PlotData,MATCH($A558,PlotNumber,0),MATCH(B$3,PlotTitles,0)))),"",ISBLANK(INDEX(PlotData,MATCH($A558,PlotNumber,0),MATCH(N$3,PlotTitles,0))),"",CompletionMonth="","",(DATEVALUE(INDEX(PlotData,MATCH($A558,PlotNumber,0),MATCH(N$3,PlotTitles,0))&amp;INDEX(PlotData,MATCH($A558,PlotNumber,0),MATCH(O$3,PlotTitles,0))))&gt;(DATEVALUE(CompletionMonth&amp;CompletionYear)),$AB$21,TRUE,"")</f>
        <v/>
      </c>
      <c r="S558" s="104" t="str" cm="1">
        <f t="array" ref="S558">_xlfn.IFS(AND(A558&gt;NumberOfPlots,ISBLANK(INDEX(PlotData,MATCH($A558,PlotNumber,0),MATCH(B$3,PlotTitles,0)))),"",OR(AND(INDEX(PlotData,MATCH($A558,PlotNumber,0),MATCH("Tenure",PlotTitles,0))="Open market housing",INDEX(PlotData,MATCH($A558,PlotNumber,0),MATCH("Tenure detail",PlotTitles,0))="Private rented sector"),INDEX(PlotData,MATCH($A558,PlotNumber,0),MATCH("Tenure",PlotTitles,0))="Affordable rent"),"",ISNUMBER(INDEX(PlotData,MATCH($A558,PlotNumber,0),MATCH(S$3,PlotTitles,0)))=FALSE, $AB$22,TRUE,"")</f>
        <v/>
      </c>
      <c r="T558" s="104" t="str" cm="1">
        <f t="array" ref="T558">_xlfn.IFS(AND(A558&gt;NumberOfPlots,ISBLANK(INDEX(PlotData,MATCH($A558,PlotNumber,0),MATCH(B$3,PlotTitles,0)))),"",OR(AND(INDEX(PlotData,MATCH($A558,PlotNumber,0),MATCH("Tenure",PlotTitles,0))="Open market housing",INDEX(PlotData,MATCH($A558,PlotNumber,0),MATCH("Tenure detail",PlotTitles,0))="Private rented sector"),INDEX(PlotData,MATCH($A558,PlotNumber,0),MATCH("Tenure",PlotTitles,0))="Affordable rent"),"",INDEX(PlotData,MATCH($A558,PlotNumber,0),MATCH(S$3,PlotTitles,0))&lt;10000, $AB$23,TRUE,"")</f>
        <v/>
      </c>
      <c r="U558" s="104" t="str" cm="1">
        <f t="array" ref="U558">_xlfn.IFS(AND(A558&gt;NumberOfPlots,ISBLANK(INDEX(PlotData,MATCH($A558,PlotNumber,0),MATCH(B$3,PlotTitles,0)))),"",NOT(OR(AND(INDEX(PlotData,MATCH($A558,PlotNumber,0),MATCH("Tenure",PlotTitles,0))="Open market housing",INDEX(PlotData,MATCH($A558,PlotNumber,0),MATCH("Tenure detail",PlotTitles,0))="Private rented sector"),INDEX(PlotData,MATCH($A558,PlotNumber,0),MATCH("Tenure",PlotTitles,0))="Affordable rent")),"",NOT(INDEX(PlotData,MATCH($A558,PlotNumber,0),MATCH(S$3,PlotTitles,0))=0), $AB$24,TRUE,"")</f>
        <v/>
      </c>
      <c r="V558" s="114" t="str" cm="1">
        <f t="array" aca="1" ref="V558" ca="1">_xlfn.IFS(ISBLANK(NumberOfPlots),"Enter the number of homes on the 1_SetUp sheet",AND(A558&gt;NumberOfPlots,ISBLANK(INDEX(PlotData,MATCH($A558,PlotNumber,0),MATCH(B$3,PlotTitles,0)))),"No error",NOT(B558=""),B558,NOT(C558=""),C558,NOT(D558=""),D558,NOT(E558=""),E558,NOT(F558=""),F558,NOT(G558=""),G558,NOT(H558=""),H558,NOT(I558=""),I558,NOT(J558=""),J558,NOT(K558=""),K558,NOT(L558=""),L558,NOT(M558=""),M558,NOT(N558=""),N558,NOT(O558=""),O558,NOT(P558=""),P558,NOT(Q558=""),Q558,NOT(R558=""),R558,NOT(S558=""),S558,NOT(T558=""),T558,NOT(U558=""),U558,TRUE,"No error")</f>
        <v>Enter the number of homes on the 1_SetUp sheet</v>
      </c>
      <c r="W558" s="114" t="str">
        <f t="shared" ca="1" si="26"/>
        <v xml:space="preserve">The Borrower has not addressed the following error messages for Home ID 554: </v>
      </c>
    </row>
    <row r="559" spans="1:23">
      <c r="A559" s="123">
        <v>555</v>
      </c>
      <c r="B559" s="104" t="str" cm="1">
        <f t="array" ref="B559">_xlfn.IFS(AND(A559&gt;NumberOfPlots,ISBLANK(INDEX(PlotData,MATCH($A559,PlotNumber,0),MATCH(B$3,PlotTitles,0)))),"",ISNUMBER(INDEX(PlotData,MATCH($A559,PlotNumber,0),MATCH(B$3,PlotTitles,0)))=FALSE, $AB$5,TRUE,"")</f>
        <v/>
      </c>
      <c r="C559" s="104" t="str" cm="1">
        <f t="array" ref="C559">_xlfn.IFS(AND(A559&gt;NumberOfPlots,ISBLANK(INDEX(PlotData,MATCH($A559,PlotNumber,0),MATCH(B$3,PlotTitles,0)))),"",ISBLANK(INDEX(PlotData,MATCH($A559,PlotNumber,0),MATCH(C$3,PlotTitles,0))),$AB$6,TRUE,"")</f>
        <v/>
      </c>
      <c r="D559" s="104" t="str" cm="1">
        <f t="array" ref="D559">_xlfn.IFS(AND(A559&gt;NumberOfPlots,ISBLANK(INDEX(PlotData,MATCH($A559,PlotNumber,0),MATCH(B$3,PlotTitles,0)))),"",ISBLANK(INDEX(PlotData,MATCH($A559,PlotNumber,0),MATCH(D$3,PlotTitles,0))),$AB$7,TRUE,"")</f>
        <v/>
      </c>
      <c r="E559" s="104" t="str" cm="1">
        <f t="array" ref="E559">_xlfn.IFS(AND(A559&gt;NumberOfPlots,ISBLANK(INDEX(PlotData,MATCH($A559,PlotNumber,0),MATCH(B$3,PlotTitles,0)))),"",ISBLANK(INDEX(PlotData,MATCH($A559,PlotNumber,0),MATCH(E$3,PlotTitles,0))),$AB$8,TRUE,"")</f>
        <v/>
      </c>
      <c r="F559" s="104" t="str" cm="1">
        <f t="array" ref="F559">_xlfn.IFS(AND(A559&gt;NumberOfPlots,ISBLANK(INDEX(PlotData,MATCH($A559,PlotNumber,0),MATCH(B$3,PlotTitles,0)))),"",ISBLANK(INDEX(PlotData,MATCH($A559,PlotNumber,0),MATCH(F$3,PlotTitles,0))),$AB$9,TRUE,"")</f>
        <v/>
      </c>
      <c r="G559" s="104" t="str" cm="1">
        <f t="array" ref="G559">_xlfn.IFS(AND(A559&gt;NumberOfPlots,ISBLANK(INDEX(PlotData,MATCH($A559,PlotNumber,0),MATCH(B$3,PlotTitles,0)))),"",ISBLANK(INDEX(PlotData,MATCH($A559,PlotNumber,0),MATCH(G$3,PlotTitles,0))),$AB$10,TRUE,"")</f>
        <v/>
      </c>
      <c r="H559" s="104" t="str" cm="1">
        <f t="array" ref="H559">_xlfn.IFS(AND(A559&gt;NumberOfPlots,ISBLANK(INDEX(PlotData,MATCH($A559,PlotNumber,0),MATCH(B$3,PlotTitles,0)))),"",AND(ISBLANK(INDEX(PlotData,MATCH($A559,PlotNumber,0),MATCH(H$3,PlotTitles,0)))=FALSE,INDEX(PlotData,MATCH($A559,PlotNumber,0),MATCH(H$3,PlotTitles,0))&lt;500), $AB$11,TRUE,"")</f>
        <v/>
      </c>
      <c r="I559" s="104" t="str" cm="1">
        <f t="array" ref="I559">_xlfn.IFS(AND(A559&gt;NumberOfPlots,ISBLANK(INDEX(PlotData,MATCH($A559,PlotNumber,0),MATCH(B$3,PlotTitles,0)))),"",ISBLANK(INDEX(PlotData,MATCH($A559,PlotNumber,0),MATCH(I$3,PlotTitles,0))),$AB$12,TRUE,"")</f>
        <v/>
      </c>
      <c r="J559" s="104" t="str" cm="1">
        <f t="array" ref="J559">_xlfn.IFS(AND(A559&gt;NumberOfPlots,ISBLANK(INDEX(PlotData,MATCH($A559,PlotNumber,0),MATCH(B$3,PlotTitles,0)))),"",ISBLANK(INDEX(PlotData,MATCH($A559,PlotNumber,0),MATCH(J$3,PlotTitles,0))),$AB$13,TRUE,"")</f>
        <v/>
      </c>
      <c r="K559" s="182" t="str">
        <f t="shared" ca="1" si="24"/>
        <v/>
      </c>
      <c r="L559" s="104" t="str" cm="1">
        <f t="array" ref="L559">_xlfn.IFS(OR(ISBLANK(StartDateMonth),ISBLANK(StartDateYear)),"",AND(A559&gt;NumberOfPlots,ISBLANK(INDEX(PlotData,MATCH($A559,PlotNumber,0),MATCH(B$3,PlotTitles,0)))),"",ISBLANK(INDEX(PlotData,MATCH($A559,PlotNumber,0),MATCH(I$3,PlotTitles,0))),"",(DATEVALUE(INDEX(PlotData,MATCH($A559,PlotNumber,0),MATCH(I$3,PlotTitles,0))&amp;INDEX(PlotData,MATCH($A559,PlotNumber,0),MATCH(J$3,PlotTitles,0))))&lt;DATEVALUE(StartDateMonth&amp;StartDateYear),$AB$15,TRUE,"")</f>
        <v/>
      </c>
      <c r="M559" s="104" t="str" cm="1">
        <f t="array" ref="M559">_xlfn.IFS(OR(ISBLANK(StartDateMonth),ISBLANK(StartDateYear)),"",AND(A559&gt;NumberOfPlots,ISBLANK(INDEX(PlotData,MATCH($A559,PlotNumber,0),MATCH(B$3,PlotTitles,0)))),"",ISBLANK(INDEX(PlotData,MATCH($A559,PlotNumber,0),MATCH(I$3,PlotTitles,0))),"",CompletionMonth="","",(DATEVALUE(INDEX(PlotData,MATCH($A559,PlotNumber,0),MATCH(I$3,PlotTitles,0))&amp;INDEX(PlotData,MATCH($A559,PlotNumber,0),MATCH(J$3,PlotTitles,0))))&gt;(DATEVALUE(CompletionMonth&amp;CompletionYear)),$AB$16,TRUE,"")</f>
        <v/>
      </c>
      <c r="N559" s="104" t="str" cm="1">
        <f t="array" ref="N559">_xlfn.IFS(AND(A559&gt;NumberOfPlots,ISBLANK(INDEX(PlotData,MATCH($A559,PlotNumber,0),MATCH(B$3,PlotTitles,0)))),"",ISBLANK(INDEX(PlotData,MATCH($A559,PlotNumber,0),MATCH(N$3,PlotTitles,0))),$AB$17,TRUE,"")</f>
        <v/>
      </c>
      <c r="O559" s="104" t="str" cm="1">
        <f t="array" ref="O559">_xlfn.IFS(AND(A559&gt;NumberOfPlots,ISBLANK(INDEX(PlotData,MATCH($A559,PlotNumber,0),MATCH(B$3,PlotTitles,0)))),"",ISBLANK(INDEX(PlotData,MATCH($A559,PlotNumber,0),MATCH(O$3,PlotTitles,0))),$AB$18,TRUE,"")</f>
        <v/>
      </c>
      <c r="P559" s="182" t="str">
        <f t="shared" ca="1" si="25"/>
        <v/>
      </c>
      <c r="Q559" s="104" t="str" cm="1">
        <f t="array" ref="Q559">_xlfn.IFS(AND(A559&gt;NumberOfPlots,ISBLANK(INDEX(PlotData,MATCH($A559,PlotNumber,0),MATCH(B$3,PlotTitles,0)))),"",ISBLANK(INDEX(PlotData,MATCH($A559,PlotNumber,0),MATCH(N$3,PlotTitles,0))),"",(DATEVALUE(INDEX(PlotData,MATCH($A559,PlotNumber,0),MATCH(N$3,PlotTitles,0))&amp;INDEX(PlotData,MATCH($A559,PlotNumber,0),MATCH(O$3,PlotTitles,0))))&lt;(DATEVALUE(INDEX(PlotData,MATCH($A559,PlotNumber,0),MATCH(I$3,PlotTitles,0))&amp;INDEX(PlotData,MATCH($A559,PlotNumber,0),MATCH(J$3,PlotTitles,0)))),$AB$20,TRUE,"")</f>
        <v/>
      </c>
      <c r="R559" s="104" t="str" cm="1">
        <f t="array" ref="R559">_xlfn.IFS(OR(ISBLANK(StartDateMonth),ISBLANK(StartDateYear)),"",AND(A559&gt;NumberOfPlots,ISBLANK(INDEX(PlotData,MATCH($A559,PlotNumber,0),MATCH(B$3,PlotTitles,0)))),"",ISBLANK(INDEX(PlotData,MATCH($A559,PlotNumber,0),MATCH(N$3,PlotTitles,0))),"",CompletionMonth="","",(DATEVALUE(INDEX(PlotData,MATCH($A559,PlotNumber,0),MATCH(N$3,PlotTitles,0))&amp;INDEX(PlotData,MATCH($A559,PlotNumber,0),MATCH(O$3,PlotTitles,0))))&gt;(DATEVALUE(CompletionMonth&amp;CompletionYear)),$AB$21,TRUE,"")</f>
        <v/>
      </c>
      <c r="S559" s="104" t="str" cm="1">
        <f t="array" ref="S559">_xlfn.IFS(AND(A559&gt;NumberOfPlots,ISBLANK(INDEX(PlotData,MATCH($A559,PlotNumber,0),MATCH(B$3,PlotTitles,0)))),"",OR(AND(INDEX(PlotData,MATCH($A559,PlotNumber,0),MATCH("Tenure",PlotTitles,0))="Open market housing",INDEX(PlotData,MATCH($A559,PlotNumber,0),MATCH("Tenure detail",PlotTitles,0))="Private rented sector"),INDEX(PlotData,MATCH($A559,PlotNumber,0),MATCH("Tenure",PlotTitles,0))="Affordable rent"),"",ISNUMBER(INDEX(PlotData,MATCH($A559,PlotNumber,0),MATCH(S$3,PlotTitles,0)))=FALSE, $AB$22,TRUE,"")</f>
        <v/>
      </c>
      <c r="T559" s="104" t="str" cm="1">
        <f t="array" ref="T559">_xlfn.IFS(AND(A559&gt;NumberOfPlots,ISBLANK(INDEX(PlotData,MATCH($A559,PlotNumber,0),MATCH(B$3,PlotTitles,0)))),"",OR(AND(INDEX(PlotData,MATCH($A559,PlotNumber,0),MATCH("Tenure",PlotTitles,0))="Open market housing",INDEX(PlotData,MATCH($A559,PlotNumber,0),MATCH("Tenure detail",PlotTitles,0))="Private rented sector"),INDEX(PlotData,MATCH($A559,PlotNumber,0),MATCH("Tenure",PlotTitles,0))="Affordable rent"),"",INDEX(PlotData,MATCH($A559,PlotNumber,0),MATCH(S$3,PlotTitles,0))&lt;10000, $AB$23,TRUE,"")</f>
        <v/>
      </c>
      <c r="U559" s="104" t="str" cm="1">
        <f t="array" ref="U559">_xlfn.IFS(AND(A559&gt;NumberOfPlots,ISBLANK(INDEX(PlotData,MATCH($A559,PlotNumber,0),MATCH(B$3,PlotTitles,0)))),"",NOT(OR(AND(INDEX(PlotData,MATCH($A559,PlotNumber,0),MATCH("Tenure",PlotTitles,0))="Open market housing",INDEX(PlotData,MATCH($A559,PlotNumber,0),MATCH("Tenure detail",PlotTitles,0))="Private rented sector"),INDEX(PlotData,MATCH($A559,PlotNumber,0),MATCH("Tenure",PlotTitles,0))="Affordable rent")),"",NOT(INDEX(PlotData,MATCH($A559,PlotNumber,0),MATCH(S$3,PlotTitles,0))=0), $AB$24,TRUE,"")</f>
        <v/>
      </c>
      <c r="V559" s="114" t="str" cm="1">
        <f t="array" aca="1" ref="V559" ca="1">_xlfn.IFS(ISBLANK(NumberOfPlots),"Enter the number of homes on the 1_SetUp sheet",AND(A559&gt;NumberOfPlots,ISBLANK(INDEX(PlotData,MATCH($A559,PlotNumber,0),MATCH(B$3,PlotTitles,0)))),"No error",NOT(B559=""),B559,NOT(C559=""),C559,NOT(D559=""),D559,NOT(E559=""),E559,NOT(F559=""),F559,NOT(G559=""),G559,NOT(H559=""),H559,NOT(I559=""),I559,NOT(J559=""),J559,NOT(K559=""),K559,NOT(L559=""),L559,NOT(M559=""),M559,NOT(N559=""),N559,NOT(O559=""),O559,NOT(P559=""),P559,NOT(Q559=""),Q559,NOT(R559=""),R559,NOT(S559=""),S559,NOT(T559=""),T559,NOT(U559=""),U559,TRUE,"No error")</f>
        <v>Enter the number of homes on the 1_SetUp sheet</v>
      </c>
      <c r="W559" s="114" t="str">
        <f t="shared" ca="1" si="26"/>
        <v xml:space="preserve">The Borrower has not addressed the following error messages for Home ID 555: </v>
      </c>
    </row>
    <row r="560" spans="1:23">
      <c r="A560" s="123">
        <v>556</v>
      </c>
      <c r="B560" s="104" t="str" cm="1">
        <f t="array" ref="B560">_xlfn.IFS(AND(A560&gt;NumberOfPlots,ISBLANK(INDEX(PlotData,MATCH($A560,PlotNumber,0),MATCH(B$3,PlotTitles,0)))),"",ISNUMBER(INDEX(PlotData,MATCH($A560,PlotNumber,0),MATCH(B$3,PlotTitles,0)))=FALSE, $AB$5,TRUE,"")</f>
        <v/>
      </c>
      <c r="C560" s="104" t="str" cm="1">
        <f t="array" ref="C560">_xlfn.IFS(AND(A560&gt;NumberOfPlots,ISBLANK(INDEX(PlotData,MATCH($A560,PlotNumber,0),MATCH(B$3,PlotTitles,0)))),"",ISBLANK(INDEX(PlotData,MATCH($A560,PlotNumber,0),MATCH(C$3,PlotTitles,0))),$AB$6,TRUE,"")</f>
        <v/>
      </c>
      <c r="D560" s="104" t="str" cm="1">
        <f t="array" ref="D560">_xlfn.IFS(AND(A560&gt;NumberOfPlots,ISBLANK(INDEX(PlotData,MATCH($A560,PlotNumber,0),MATCH(B$3,PlotTitles,0)))),"",ISBLANK(INDEX(PlotData,MATCH($A560,PlotNumber,0),MATCH(D$3,PlotTitles,0))),$AB$7,TRUE,"")</f>
        <v/>
      </c>
      <c r="E560" s="104" t="str" cm="1">
        <f t="array" ref="E560">_xlfn.IFS(AND(A560&gt;NumberOfPlots,ISBLANK(INDEX(PlotData,MATCH($A560,PlotNumber,0),MATCH(B$3,PlotTitles,0)))),"",ISBLANK(INDEX(PlotData,MATCH($A560,PlotNumber,0),MATCH(E$3,PlotTitles,0))),$AB$8,TRUE,"")</f>
        <v/>
      </c>
      <c r="F560" s="104" t="str" cm="1">
        <f t="array" ref="F560">_xlfn.IFS(AND(A560&gt;NumberOfPlots,ISBLANK(INDEX(PlotData,MATCH($A560,PlotNumber,0),MATCH(B$3,PlotTitles,0)))),"",ISBLANK(INDEX(PlotData,MATCH($A560,PlotNumber,0),MATCH(F$3,PlotTitles,0))),$AB$9,TRUE,"")</f>
        <v/>
      </c>
      <c r="G560" s="104" t="str" cm="1">
        <f t="array" ref="G560">_xlfn.IFS(AND(A560&gt;NumberOfPlots,ISBLANK(INDEX(PlotData,MATCH($A560,PlotNumber,0),MATCH(B$3,PlotTitles,0)))),"",ISBLANK(INDEX(PlotData,MATCH($A560,PlotNumber,0),MATCH(G$3,PlotTitles,0))),$AB$10,TRUE,"")</f>
        <v/>
      </c>
      <c r="H560" s="104" t="str" cm="1">
        <f t="array" ref="H560">_xlfn.IFS(AND(A560&gt;NumberOfPlots,ISBLANK(INDEX(PlotData,MATCH($A560,PlotNumber,0),MATCH(B$3,PlotTitles,0)))),"",AND(ISBLANK(INDEX(PlotData,MATCH($A560,PlotNumber,0),MATCH(H$3,PlotTitles,0)))=FALSE,INDEX(PlotData,MATCH($A560,PlotNumber,0),MATCH(H$3,PlotTitles,0))&lt;500), $AB$11,TRUE,"")</f>
        <v/>
      </c>
      <c r="I560" s="104" t="str" cm="1">
        <f t="array" ref="I560">_xlfn.IFS(AND(A560&gt;NumberOfPlots,ISBLANK(INDEX(PlotData,MATCH($A560,PlotNumber,0),MATCH(B$3,PlotTitles,0)))),"",ISBLANK(INDEX(PlotData,MATCH($A560,PlotNumber,0),MATCH(I$3,PlotTitles,0))),$AB$12,TRUE,"")</f>
        <v/>
      </c>
      <c r="J560" s="104" t="str" cm="1">
        <f t="array" ref="J560">_xlfn.IFS(AND(A560&gt;NumberOfPlots,ISBLANK(INDEX(PlotData,MATCH($A560,PlotNumber,0),MATCH(B$3,PlotTitles,0)))),"",ISBLANK(INDEX(PlotData,MATCH($A560,PlotNumber,0),MATCH(J$3,PlotTitles,0))),$AB$13,TRUE,"")</f>
        <v/>
      </c>
      <c r="K560" s="182" t="str">
        <f t="shared" ca="1" si="24"/>
        <v/>
      </c>
      <c r="L560" s="104" t="str" cm="1">
        <f t="array" ref="L560">_xlfn.IFS(OR(ISBLANK(StartDateMonth),ISBLANK(StartDateYear)),"",AND(A560&gt;NumberOfPlots,ISBLANK(INDEX(PlotData,MATCH($A560,PlotNumber,0),MATCH(B$3,PlotTitles,0)))),"",ISBLANK(INDEX(PlotData,MATCH($A560,PlotNumber,0),MATCH(I$3,PlotTitles,0))),"",(DATEVALUE(INDEX(PlotData,MATCH($A560,PlotNumber,0),MATCH(I$3,PlotTitles,0))&amp;INDEX(PlotData,MATCH($A560,PlotNumber,0),MATCH(J$3,PlotTitles,0))))&lt;DATEVALUE(StartDateMonth&amp;StartDateYear),$AB$15,TRUE,"")</f>
        <v/>
      </c>
      <c r="M560" s="104" t="str" cm="1">
        <f t="array" ref="M560">_xlfn.IFS(OR(ISBLANK(StartDateMonth),ISBLANK(StartDateYear)),"",AND(A560&gt;NumberOfPlots,ISBLANK(INDEX(PlotData,MATCH($A560,PlotNumber,0),MATCH(B$3,PlotTitles,0)))),"",ISBLANK(INDEX(PlotData,MATCH($A560,PlotNumber,0),MATCH(I$3,PlotTitles,0))),"",CompletionMonth="","",(DATEVALUE(INDEX(PlotData,MATCH($A560,PlotNumber,0),MATCH(I$3,PlotTitles,0))&amp;INDEX(PlotData,MATCH($A560,PlotNumber,0),MATCH(J$3,PlotTitles,0))))&gt;(DATEVALUE(CompletionMonth&amp;CompletionYear)),$AB$16,TRUE,"")</f>
        <v/>
      </c>
      <c r="N560" s="104" t="str" cm="1">
        <f t="array" ref="N560">_xlfn.IFS(AND(A560&gt;NumberOfPlots,ISBLANK(INDEX(PlotData,MATCH($A560,PlotNumber,0),MATCH(B$3,PlotTitles,0)))),"",ISBLANK(INDEX(PlotData,MATCH($A560,PlotNumber,0),MATCH(N$3,PlotTitles,0))),$AB$17,TRUE,"")</f>
        <v/>
      </c>
      <c r="O560" s="104" t="str" cm="1">
        <f t="array" ref="O560">_xlfn.IFS(AND(A560&gt;NumberOfPlots,ISBLANK(INDEX(PlotData,MATCH($A560,PlotNumber,0),MATCH(B$3,PlotTitles,0)))),"",ISBLANK(INDEX(PlotData,MATCH($A560,PlotNumber,0),MATCH(O$3,PlotTitles,0))),$AB$18,TRUE,"")</f>
        <v/>
      </c>
      <c r="P560" s="182" t="str">
        <f t="shared" ca="1" si="25"/>
        <v/>
      </c>
      <c r="Q560" s="104" t="str" cm="1">
        <f t="array" ref="Q560">_xlfn.IFS(AND(A560&gt;NumberOfPlots,ISBLANK(INDEX(PlotData,MATCH($A560,PlotNumber,0),MATCH(B$3,PlotTitles,0)))),"",ISBLANK(INDEX(PlotData,MATCH($A560,PlotNumber,0),MATCH(N$3,PlotTitles,0))),"",(DATEVALUE(INDEX(PlotData,MATCH($A560,PlotNumber,0),MATCH(N$3,PlotTitles,0))&amp;INDEX(PlotData,MATCH($A560,PlotNumber,0),MATCH(O$3,PlotTitles,0))))&lt;(DATEVALUE(INDEX(PlotData,MATCH($A560,PlotNumber,0),MATCH(I$3,PlotTitles,0))&amp;INDEX(PlotData,MATCH($A560,PlotNumber,0),MATCH(J$3,PlotTitles,0)))),$AB$20,TRUE,"")</f>
        <v/>
      </c>
      <c r="R560" s="104" t="str" cm="1">
        <f t="array" ref="R560">_xlfn.IFS(OR(ISBLANK(StartDateMonth),ISBLANK(StartDateYear)),"",AND(A560&gt;NumberOfPlots,ISBLANK(INDEX(PlotData,MATCH($A560,PlotNumber,0),MATCH(B$3,PlotTitles,0)))),"",ISBLANK(INDEX(PlotData,MATCH($A560,PlotNumber,0),MATCH(N$3,PlotTitles,0))),"",CompletionMonth="","",(DATEVALUE(INDEX(PlotData,MATCH($A560,PlotNumber,0),MATCH(N$3,PlotTitles,0))&amp;INDEX(PlotData,MATCH($A560,PlotNumber,0),MATCH(O$3,PlotTitles,0))))&gt;(DATEVALUE(CompletionMonth&amp;CompletionYear)),$AB$21,TRUE,"")</f>
        <v/>
      </c>
      <c r="S560" s="104" t="str" cm="1">
        <f t="array" ref="S560">_xlfn.IFS(AND(A560&gt;NumberOfPlots,ISBLANK(INDEX(PlotData,MATCH($A560,PlotNumber,0),MATCH(B$3,PlotTitles,0)))),"",OR(AND(INDEX(PlotData,MATCH($A560,PlotNumber,0),MATCH("Tenure",PlotTitles,0))="Open market housing",INDEX(PlotData,MATCH($A560,PlotNumber,0),MATCH("Tenure detail",PlotTitles,0))="Private rented sector"),INDEX(PlotData,MATCH($A560,PlotNumber,0),MATCH("Tenure",PlotTitles,0))="Affordable rent"),"",ISNUMBER(INDEX(PlotData,MATCH($A560,PlotNumber,0),MATCH(S$3,PlotTitles,0)))=FALSE, $AB$22,TRUE,"")</f>
        <v/>
      </c>
      <c r="T560" s="104" t="str" cm="1">
        <f t="array" ref="T560">_xlfn.IFS(AND(A560&gt;NumberOfPlots,ISBLANK(INDEX(PlotData,MATCH($A560,PlotNumber,0),MATCH(B$3,PlotTitles,0)))),"",OR(AND(INDEX(PlotData,MATCH($A560,PlotNumber,0),MATCH("Tenure",PlotTitles,0))="Open market housing",INDEX(PlotData,MATCH($A560,PlotNumber,0),MATCH("Tenure detail",PlotTitles,0))="Private rented sector"),INDEX(PlotData,MATCH($A560,PlotNumber,0),MATCH("Tenure",PlotTitles,0))="Affordable rent"),"",INDEX(PlotData,MATCH($A560,PlotNumber,0),MATCH(S$3,PlotTitles,0))&lt;10000, $AB$23,TRUE,"")</f>
        <v/>
      </c>
      <c r="U560" s="104" t="str" cm="1">
        <f t="array" ref="U560">_xlfn.IFS(AND(A560&gt;NumberOfPlots,ISBLANK(INDEX(PlotData,MATCH($A560,PlotNumber,0),MATCH(B$3,PlotTitles,0)))),"",NOT(OR(AND(INDEX(PlotData,MATCH($A560,PlotNumber,0),MATCH("Tenure",PlotTitles,0))="Open market housing",INDEX(PlotData,MATCH($A560,PlotNumber,0),MATCH("Tenure detail",PlotTitles,0))="Private rented sector"),INDEX(PlotData,MATCH($A560,PlotNumber,0),MATCH("Tenure",PlotTitles,0))="Affordable rent")),"",NOT(INDEX(PlotData,MATCH($A560,PlotNumber,0),MATCH(S$3,PlotTitles,0))=0), $AB$24,TRUE,"")</f>
        <v/>
      </c>
      <c r="V560" s="114" t="str" cm="1">
        <f t="array" aca="1" ref="V560" ca="1">_xlfn.IFS(ISBLANK(NumberOfPlots),"Enter the number of homes on the 1_SetUp sheet",AND(A560&gt;NumberOfPlots,ISBLANK(INDEX(PlotData,MATCH($A560,PlotNumber,0),MATCH(B$3,PlotTitles,0)))),"No error",NOT(B560=""),B560,NOT(C560=""),C560,NOT(D560=""),D560,NOT(E560=""),E560,NOT(F560=""),F560,NOT(G560=""),G560,NOT(H560=""),H560,NOT(I560=""),I560,NOT(J560=""),J560,NOT(K560=""),K560,NOT(L560=""),L560,NOT(M560=""),M560,NOT(N560=""),N560,NOT(O560=""),O560,NOT(P560=""),P560,NOT(Q560=""),Q560,NOT(R560=""),R560,NOT(S560=""),S560,NOT(T560=""),T560,NOT(U560=""),U560,TRUE,"No error")</f>
        <v>Enter the number of homes on the 1_SetUp sheet</v>
      </c>
      <c r="W560" s="114" t="str">
        <f t="shared" ca="1" si="26"/>
        <v xml:space="preserve">The Borrower has not addressed the following error messages for Home ID 556: </v>
      </c>
    </row>
    <row r="561" spans="1:23">
      <c r="A561" s="123">
        <v>557</v>
      </c>
      <c r="B561" s="104" t="str" cm="1">
        <f t="array" ref="B561">_xlfn.IFS(AND(A561&gt;NumberOfPlots,ISBLANK(INDEX(PlotData,MATCH($A561,PlotNumber,0),MATCH(B$3,PlotTitles,0)))),"",ISNUMBER(INDEX(PlotData,MATCH($A561,PlotNumber,0),MATCH(B$3,PlotTitles,0)))=FALSE, $AB$5,TRUE,"")</f>
        <v/>
      </c>
      <c r="C561" s="104" t="str" cm="1">
        <f t="array" ref="C561">_xlfn.IFS(AND(A561&gt;NumberOfPlots,ISBLANK(INDEX(PlotData,MATCH($A561,PlotNumber,0),MATCH(B$3,PlotTitles,0)))),"",ISBLANK(INDEX(PlotData,MATCH($A561,PlotNumber,0),MATCH(C$3,PlotTitles,0))),$AB$6,TRUE,"")</f>
        <v/>
      </c>
      <c r="D561" s="104" t="str" cm="1">
        <f t="array" ref="D561">_xlfn.IFS(AND(A561&gt;NumberOfPlots,ISBLANK(INDEX(PlotData,MATCH($A561,PlotNumber,0),MATCH(B$3,PlotTitles,0)))),"",ISBLANK(INDEX(PlotData,MATCH($A561,PlotNumber,0),MATCH(D$3,PlotTitles,0))),$AB$7,TRUE,"")</f>
        <v/>
      </c>
      <c r="E561" s="104" t="str" cm="1">
        <f t="array" ref="E561">_xlfn.IFS(AND(A561&gt;NumberOfPlots,ISBLANK(INDEX(PlotData,MATCH($A561,PlotNumber,0),MATCH(B$3,PlotTitles,0)))),"",ISBLANK(INDEX(PlotData,MATCH($A561,PlotNumber,0),MATCH(E$3,PlotTitles,0))),$AB$8,TRUE,"")</f>
        <v/>
      </c>
      <c r="F561" s="104" t="str" cm="1">
        <f t="array" ref="F561">_xlfn.IFS(AND(A561&gt;NumberOfPlots,ISBLANK(INDEX(PlotData,MATCH($A561,PlotNumber,0),MATCH(B$3,PlotTitles,0)))),"",ISBLANK(INDEX(PlotData,MATCH($A561,PlotNumber,0),MATCH(F$3,PlotTitles,0))),$AB$9,TRUE,"")</f>
        <v/>
      </c>
      <c r="G561" s="104" t="str" cm="1">
        <f t="array" ref="G561">_xlfn.IFS(AND(A561&gt;NumberOfPlots,ISBLANK(INDEX(PlotData,MATCH($A561,PlotNumber,0),MATCH(B$3,PlotTitles,0)))),"",ISBLANK(INDEX(PlotData,MATCH($A561,PlotNumber,0),MATCH(G$3,PlotTitles,0))),$AB$10,TRUE,"")</f>
        <v/>
      </c>
      <c r="H561" s="104" t="str" cm="1">
        <f t="array" ref="H561">_xlfn.IFS(AND(A561&gt;NumberOfPlots,ISBLANK(INDEX(PlotData,MATCH($A561,PlotNumber,0),MATCH(B$3,PlotTitles,0)))),"",AND(ISBLANK(INDEX(PlotData,MATCH($A561,PlotNumber,0),MATCH(H$3,PlotTitles,0)))=FALSE,INDEX(PlotData,MATCH($A561,PlotNumber,0),MATCH(H$3,PlotTitles,0))&lt;500), $AB$11,TRUE,"")</f>
        <v/>
      </c>
      <c r="I561" s="104" t="str" cm="1">
        <f t="array" ref="I561">_xlfn.IFS(AND(A561&gt;NumberOfPlots,ISBLANK(INDEX(PlotData,MATCH($A561,PlotNumber,0),MATCH(B$3,PlotTitles,0)))),"",ISBLANK(INDEX(PlotData,MATCH($A561,PlotNumber,0),MATCH(I$3,PlotTitles,0))),$AB$12,TRUE,"")</f>
        <v/>
      </c>
      <c r="J561" s="104" t="str" cm="1">
        <f t="array" ref="J561">_xlfn.IFS(AND(A561&gt;NumberOfPlots,ISBLANK(INDEX(PlotData,MATCH($A561,PlotNumber,0),MATCH(B$3,PlotTitles,0)))),"",ISBLANK(INDEX(PlotData,MATCH($A561,PlotNumber,0),MATCH(J$3,PlotTitles,0))),$AB$13,TRUE,"")</f>
        <v/>
      </c>
      <c r="K561" s="182" t="str">
        <f t="shared" ca="1" si="24"/>
        <v/>
      </c>
      <c r="L561" s="104" t="str" cm="1">
        <f t="array" ref="L561">_xlfn.IFS(OR(ISBLANK(StartDateMonth),ISBLANK(StartDateYear)),"",AND(A561&gt;NumberOfPlots,ISBLANK(INDEX(PlotData,MATCH($A561,PlotNumber,0),MATCH(B$3,PlotTitles,0)))),"",ISBLANK(INDEX(PlotData,MATCH($A561,PlotNumber,0),MATCH(I$3,PlotTitles,0))),"",(DATEVALUE(INDEX(PlotData,MATCH($A561,PlotNumber,0),MATCH(I$3,PlotTitles,0))&amp;INDEX(PlotData,MATCH($A561,PlotNumber,0),MATCH(J$3,PlotTitles,0))))&lt;DATEVALUE(StartDateMonth&amp;StartDateYear),$AB$15,TRUE,"")</f>
        <v/>
      </c>
      <c r="M561" s="104" t="str" cm="1">
        <f t="array" ref="M561">_xlfn.IFS(OR(ISBLANK(StartDateMonth),ISBLANK(StartDateYear)),"",AND(A561&gt;NumberOfPlots,ISBLANK(INDEX(PlotData,MATCH($A561,PlotNumber,0),MATCH(B$3,PlotTitles,0)))),"",ISBLANK(INDEX(PlotData,MATCH($A561,PlotNumber,0),MATCH(I$3,PlotTitles,0))),"",CompletionMonth="","",(DATEVALUE(INDEX(PlotData,MATCH($A561,PlotNumber,0),MATCH(I$3,PlotTitles,0))&amp;INDEX(PlotData,MATCH($A561,PlotNumber,0),MATCH(J$3,PlotTitles,0))))&gt;(DATEVALUE(CompletionMonth&amp;CompletionYear)),$AB$16,TRUE,"")</f>
        <v/>
      </c>
      <c r="N561" s="104" t="str" cm="1">
        <f t="array" ref="N561">_xlfn.IFS(AND(A561&gt;NumberOfPlots,ISBLANK(INDEX(PlotData,MATCH($A561,PlotNumber,0),MATCH(B$3,PlotTitles,0)))),"",ISBLANK(INDEX(PlotData,MATCH($A561,PlotNumber,0),MATCH(N$3,PlotTitles,0))),$AB$17,TRUE,"")</f>
        <v/>
      </c>
      <c r="O561" s="104" t="str" cm="1">
        <f t="array" ref="O561">_xlfn.IFS(AND(A561&gt;NumberOfPlots,ISBLANK(INDEX(PlotData,MATCH($A561,PlotNumber,0),MATCH(B$3,PlotTitles,0)))),"",ISBLANK(INDEX(PlotData,MATCH($A561,PlotNumber,0),MATCH(O$3,PlotTitles,0))),$AB$18,TRUE,"")</f>
        <v/>
      </c>
      <c r="P561" s="182" t="str">
        <f t="shared" ca="1" si="25"/>
        <v/>
      </c>
      <c r="Q561" s="104" t="str" cm="1">
        <f t="array" ref="Q561">_xlfn.IFS(AND(A561&gt;NumberOfPlots,ISBLANK(INDEX(PlotData,MATCH($A561,PlotNumber,0),MATCH(B$3,PlotTitles,0)))),"",ISBLANK(INDEX(PlotData,MATCH($A561,PlotNumber,0),MATCH(N$3,PlotTitles,0))),"",(DATEVALUE(INDEX(PlotData,MATCH($A561,PlotNumber,0),MATCH(N$3,PlotTitles,0))&amp;INDEX(PlotData,MATCH($A561,PlotNumber,0),MATCH(O$3,PlotTitles,0))))&lt;(DATEVALUE(INDEX(PlotData,MATCH($A561,PlotNumber,0),MATCH(I$3,PlotTitles,0))&amp;INDEX(PlotData,MATCH($A561,PlotNumber,0),MATCH(J$3,PlotTitles,0)))),$AB$20,TRUE,"")</f>
        <v/>
      </c>
      <c r="R561" s="104" t="str" cm="1">
        <f t="array" ref="R561">_xlfn.IFS(OR(ISBLANK(StartDateMonth),ISBLANK(StartDateYear)),"",AND(A561&gt;NumberOfPlots,ISBLANK(INDEX(PlotData,MATCH($A561,PlotNumber,0),MATCH(B$3,PlotTitles,0)))),"",ISBLANK(INDEX(PlotData,MATCH($A561,PlotNumber,0),MATCH(N$3,PlotTitles,0))),"",CompletionMonth="","",(DATEVALUE(INDEX(PlotData,MATCH($A561,PlotNumber,0),MATCH(N$3,PlotTitles,0))&amp;INDEX(PlotData,MATCH($A561,PlotNumber,0),MATCH(O$3,PlotTitles,0))))&gt;(DATEVALUE(CompletionMonth&amp;CompletionYear)),$AB$21,TRUE,"")</f>
        <v/>
      </c>
      <c r="S561" s="104" t="str" cm="1">
        <f t="array" ref="S561">_xlfn.IFS(AND(A561&gt;NumberOfPlots,ISBLANK(INDEX(PlotData,MATCH($A561,PlotNumber,0),MATCH(B$3,PlotTitles,0)))),"",OR(AND(INDEX(PlotData,MATCH($A561,PlotNumber,0),MATCH("Tenure",PlotTitles,0))="Open market housing",INDEX(PlotData,MATCH($A561,PlotNumber,0),MATCH("Tenure detail",PlotTitles,0))="Private rented sector"),INDEX(PlotData,MATCH($A561,PlotNumber,0),MATCH("Tenure",PlotTitles,0))="Affordable rent"),"",ISNUMBER(INDEX(PlotData,MATCH($A561,PlotNumber,0),MATCH(S$3,PlotTitles,0)))=FALSE, $AB$22,TRUE,"")</f>
        <v/>
      </c>
      <c r="T561" s="104" t="str" cm="1">
        <f t="array" ref="T561">_xlfn.IFS(AND(A561&gt;NumberOfPlots,ISBLANK(INDEX(PlotData,MATCH($A561,PlotNumber,0),MATCH(B$3,PlotTitles,0)))),"",OR(AND(INDEX(PlotData,MATCH($A561,PlotNumber,0),MATCH("Tenure",PlotTitles,0))="Open market housing",INDEX(PlotData,MATCH($A561,PlotNumber,0),MATCH("Tenure detail",PlotTitles,0))="Private rented sector"),INDEX(PlotData,MATCH($A561,PlotNumber,0),MATCH("Tenure",PlotTitles,0))="Affordable rent"),"",INDEX(PlotData,MATCH($A561,PlotNumber,0),MATCH(S$3,PlotTitles,0))&lt;10000, $AB$23,TRUE,"")</f>
        <v/>
      </c>
      <c r="U561" s="104" t="str" cm="1">
        <f t="array" ref="U561">_xlfn.IFS(AND(A561&gt;NumberOfPlots,ISBLANK(INDEX(PlotData,MATCH($A561,PlotNumber,0),MATCH(B$3,PlotTitles,0)))),"",NOT(OR(AND(INDEX(PlotData,MATCH($A561,PlotNumber,0),MATCH("Tenure",PlotTitles,0))="Open market housing",INDEX(PlotData,MATCH($A561,PlotNumber,0),MATCH("Tenure detail",PlotTitles,0))="Private rented sector"),INDEX(PlotData,MATCH($A561,PlotNumber,0),MATCH("Tenure",PlotTitles,0))="Affordable rent")),"",NOT(INDEX(PlotData,MATCH($A561,PlotNumber,0),MATCH(S$3,PlotTitles,0))=0), $AB$24,TRUE,"")</f>
        <v/>
      </c>
      <c r="V561" s="114" t="str" cm="1">
        <f t="array" aca="1" ref="V561" ca="1">_xlfn.IFS(ISBLANK(NumberOfPlots),"Enter the number of homes on the 1_SetUp sheet",AND(A561&gt;NumberOfPlots,ISBLANK(INDEX(PlotData,MATCH($A561,PlotNumber,0),MATCH(B$3,PlotTitles,0)))),"No error",NOT(B561=""),B561,NOT(C561=""),C561,NOT(D561=""),D561,NOT(E561=""),E561,NOT(F561=""),F561,NOT(G561=""),G561,NOT(H561=""),H561,NOT(I561=""),I561,NOT(J561=""),J561,NOT(K561=""),K561,NOT(L561=""),L561,NOT(M561=""),M561,NOT(N561=""),N561,NOT(O561=""),O561,NOT(P561=""),P561,NOT(Q561=""),Q561,NOT(R561=""),R561,NOT(S561=""),S561,NOT(T561=""),T561,NOT(U561=""),U561,TRUE,"No error")</f>
        <v>Enter the number of homes on the 1_SetUp sheet</v>
      </c>
      <c r="W561" s="114" t="str">
        <f t="shared" ca="1" si="26"/>
        <v xml:space="preserve">The Borrower has not addressed the following error messages for Home ID 557: </v>
      </c>
    </row>
    <row r="562" spans="1:23">
      <c r="A562" s="123">
        <v>558</v>
      </c>
      <c r="B562" s="104" t="str" cm="1">
        <f t="array" ref="B562">_xlfn.IFS(AND(A562&gt;NumberOfPlots,ISBLANK(INDEX(PlotData,MATCH($A562,PlotNumber,0),MATCH(B$3,PlotTitles,0)))),"",ISNUMBER(INDEX(PlotData,MATCH($A562,PlotNumber,0),MATCH(B$3,PlotTitles,0)))=FALSE, $AB$5,TRUE,"")</f>
        <v/>
      </c>
      <c r="C562" s="104" t="str" cm="1">
        <f t="array" ref="C562">_xlfn.IFS(AND(A562&gt;NumberOfPlots,ISBLANK(INDEX(PlotData,MATCH($A562,PlotNumber,0),MATCH(B$3,PlotTitles,0)))),"",ISBLANK(INDEX(PlotData,MATCH($A562,PlotNumber,0),MATCH(C$3,PlotTitles,0))),$AB$6,TRUE,"")</f>
        <v/>
      </c>
      <c r="D562" s="104" t="str" cm="1">
        <f t="array" ref="D562">_xlfn.IFS(AND(A562&gt;NumberOfPlots,ISBLANK(INDEX(PlotData,MATCH($A562,PlotNumber,0),MATCH(B$3,PlotTitles,0)))),"",ISBLANK(INDEX(PlotData,MATCH($A562,PlotNumber,0),MATCH(D$3,PlotTitles,0))),$AB$7,TRUE,"")</f>
        <v/>
      </c>
      <c r="E562" s="104" t="str" cm="1">
        <f t="array" ref="E562">_xlfn.IFS(AND(A562&gt;NumberOfPlots,ISBLANK(INDEX(PlotData,MATCH($A562,PlotNumber,0),MATCH(B$3,PlotTitles,0)))),"",ISBLANK(INDEX(PlotData,MATCH($A562,PlotNumber,0),MATCH(E$3,PlotTitles,0))),$AB$8,TRUE,"")</f>
        <v/>
      </c>
      <c r="F562" s="104" t="str" cm="1">
        <f t="array" ref="F562">_xlfn.IFS(AND(A562&gt;NumberOfPlots,ISBLANK(INDEX(PlotData,MATCH($A562,PlotNumber,0),MATCH(B$3,PlotTitles,0)))),"",ISBLANK(INDEX(PlotData,MATCH($A562,PlotNumber,0),MATCH(F$3,PlotTitles,0))),$AB$9,TRUE,"")</f>
        <v/>
      </c>
      <c r="G562" s="104" t="str" cm="1">
        <f t="array" ref="G562">_xlfn.IFS(AND(A562&gt;NumberOfPlots,ISBLANK(INDEX(PlotData,MATCH($A562,PlotNumber,0),MATCH(B$3,PlotTitles,0)))),"",ISBLANK(INDEX(PlotData,MATCH($A562,PlotNumber,0),MATCH(G$3,PlotTitles,0))),$AB$10,TRUE,"")</f>
        <v/>
      </c>
      <c r="H562" s="104" t="str" cm="1">
        <f t="array" ref="H562">_xlfn.IFS(AND(A562&gt;NumberOfPlots,ISBLANK(INDEX(PlotData,MATCH($A562,PlotNumber,0),MATCH(B$3,PlotTitles,0)))),"",AND(ISBLANK(INDEX(PlotData,MATCH($A562,PlotNumber,0),MATCH(H$3,PlotTitles,0)))=FALSE,INDEX(PlotData,MATCH($A562,PlotNumber,0),MATCH(H$3,PlotTitles,0))&lt;500), $AB$11,TRUE,"")</f>
        <v/>
      </c>
      <c r="I562" s="104" t="str" cm="1">
        <f t="array" ref="I562">_xlfn.IFS(AND(A562&gt;NumberOfPlots,ISBLANK(INDEX(PlotData,MATCH($A562,PlotNumber,0),MATCH(B$3,PlotTitles,0)))),"",ISBLANK(INDEX(PlotData,MATCH($A562,PlotNumber,0),MATCH(I$3,PlotTitles,0))),$AB$12,TRUE,"")</f>
        <v/>
      </c>
      <c r="J562" s="104" t="str" cm="1">
        <f t="array" ref="J562">_xlfn.IFS(AND(A562&gt;NumberOfPlots,ISBLANK(INDEX(PlotData,MATCH($A562,PlotNumber,0),MATCH(B$3,PlotTitles,0)))),"",ISBLANK(INDEX(PlotData,MATCH($A562,PlotNumber,0),MATCH(J$3,PlotTitles,0))),$AB$13,TRUE,"")</f>
        <v/>
      </c>
      <c r="K562" s="182" t="str">
        <f t="shared" ca="1" si="24"/>
        <v/>
      </c>
      <c r="L562" s="104" t="str" cm="1">
        <f t="array" ref="L562">_xlfn.IFS(OR(ISBLANK(StartDateMonth),ISBLANK(StartDateYear)),"",AND(A562&gt;NumberOfPlots,ISBLANK(INDEX(PlotData,MATCH($A562,PlotNumber,0),MATCH(B$3,PlotTitles,0)))),"",ISBLANK(INDEX(PlotData,MATCH($A562,PlotNumber,0),MATCH(I$3,PlotTitles,0))),"",(DATEVALUE(INDEX(PlotData,MATCH($A562,PlotNumber,0),MATCH(I$3,PlotTitles,0))&amp;INDEX(PlotData,MATCH($A562,PlotNumber,0),MATCH(J$3,PlotTitles,0))))&lt;DATEVALUE(StartDateMonth&amp;StartDateYear),$AB$15,TRUE,"")</f>
        <v/>
      </c>
      <c r="M562" s="104" t="str" cm="1">
        <f t="array" ref="M562">_xlfn.IFS(OR(ISBLANK(StartDateMonth),ISBLANK(StartDateYear)),"",AND(A562&gt;NumberOfPlots,ISBLANK(INDEX(PlotData,MATCH($A562,PlotNumber,0),MATCH(B$3,PlotTitles,0)))),"",ISBLANK(INDEX(PlotData,MATCH($A562,PlotNumber,0),MATCH(I$3,PlotTitles,0))),"",CompletionMonth="","",(DATEVALUE(INDEX(PlotData,MATCH($A562,PlotNumber,0),MATCH(I$3,PlotTitles,0))&amp;INDEX(PlotData,MATCH($A562,PlotNumber,0),MATCH(J$3,PlotTitles,0))))&gt;(DATEVALUE(CompletionMonth&amp;CompletionYear)),$AB$16,TRUE,"")</f>
        <v/>
      </c>
      <c r="N562" s="104" t="str" cm="1">
        <f t="array" ref="N562">_xlfn.IFS(AND(A562&gt;NumberOfPlots,ISBLANK(INDEX(PlotData,MATCH($A562,PlotNumber,0),MATCH(B$3,PlotTitles,0)))),"",ISBLANK(INDEX(PlotData,MATCH($A562,PlotNumber,0),MATCH(N$3,PlotTitles,0))),$AB$17,TRUE,"")</f>
        <v/>
      </c>
      <c r="O562" s="104" t="str" cm="1">
        <f t="array" ref="O562">_xlfn.IFS(AND(A562&gt;NumberOfPlots,ISBLANK(INDEX(PlotData,MATCH($A562,PlotNumber,0),MATCH(B$3,PlotTitles,0)))),"",ISBLANK(INDEX(PlotData,MATCH($A562,PlotNumber,0),MATCH(O$3,PlotTitles,0))),$AB$18,TRUE,"")</f>
        <v/>
      </c>
      <c r="P562" s="182" t="str">
        <f t="shared" ca="1" si="25"/>
        <v/>
      </c>
      <c r="Q562" s="104" t="str" cm="1">
        <f t="array" ref="Q562">_xlfn.IFS(AND(A562&gt;NumberOfPlots,ISBLANK(INDEX(PlotData,MATCH($A562,PlotNumber,0),MATCH(B$3,PlotTitles,0)))),"",ISBLANK(INDEX(PlotData,MATCH($A562,PlotNumber,0),MATCH(N$3,PlotTitles,0))),"",(DATEVALUE(INDEX(PlotData,MATCH($A562,PlotNumber,0),MATCH(N$3,PlotTitles,0))&amp;INDEX(PlotData,MATCH($A562,PlotNumber,0),MATCH(O$3,PlotTitles,0))))&lt;(DATEVALUE(INDEX(PlotData,MATCH($A562,PlotNumber,0),MATCH(I$3,PlotTitles,0))&amp;INDEX(PlotData,MATCH($A562,PlotNumber,0),MATCH(J$3,PlotTitles,0)))),$AB$20,TRUE,"")</f>
        <v/>
      </c>
      <c r="R562" s="104" t="str" cm="1">
        <f t="array" ref="R562">_xlfn.IFS(OR(ISBLANK(StartDateMonth),ISBLANK(StartDateYear)),"",AND(A562&gt;NumberOfPlots,ISBLANK(INDEX(PlotData,MATCH($A562,PlotNumber,0),MATCH(B$3,PlotTitles,0)))),"",ISBLANK(INDEX(PlotData,MATCH($A562,PlotNumber,0),MATCH(N$3,PlotTitles,0))),"",CompletionMonth="","",(DATEVALUE(INDEX(PlotData,MATCH($A562,PlotNumber,0),MATCH(N$3,PlotTitles,0))&amp;INDEX(PlotData,MATCH($A562,PlotNumber,0),MATCH(O$3,PlotTitles,0))))&gt;(DATEVALUE(CompletionMonth&amp;CompletionYear)),$AB$21,TRUE,"")</f>
        <v/>
      </c>
      <c r="S562" s="104" t="str" cm="1">
        <f t="array" ref="S562">_xlfn.IFS(AND(A562&gt;NumberOfPlots,ISBLANK(INDEX(PlotData,MATCH($A562,PlotNumber,0),MATCH(B$3,PlotTitles,0)))),"",OR(AND(INDEX(PlotData,MATCH($A562,PlotNumber,0),MATCH("Tenure",PlotTitles,0))="Open market housing",INDEX(PlotData,MATCH($A562,PlotNumber,0),MATCH("Tenure detail",PlotTitles,0))="Private rented sector"),INDEX(PlotData,MATCH($A562,PlotNumber,0),MATCH("Tenure",PlotTitles,0))="Affordable rent"),"",ISNUMBER(INDEX(PlotData,MATCH($A562,PlotNumber,0),MATCH(S$3,PlotTitles,0)))=FALSE, $AB$22,TRUE,"")</f>
        <v/>
      </c>
      <c r="T562" s="104" t="str" cm="1">
        <f t="array" ref="T562">_xlfn.IFS(AND(A562&gt;NumberOfPlots,ISBLANK(INDEX(PlotData,MATCH($A562,PlotNumber,0),MATCH(B$3,PlotTitles,0)))),"",OR(AND(INDEX(PlotData,MATCH($A562,PlotNumber,0),MATCH("Tenure",PlotTitles,0))="Open market housing",INDEX(PlotData,MATCH($A562,PlotNumber,0),MATCH("Tenure detail",PlotTitles,0))="Private rented sector"),INDEX(PlotData,MATCH($A562,PlotNumber,0),MATCH("Tenure",PlotTitles,0))="Affordable rent"),"",INDEX(PlotData,MATCH($A562,PlotNumber,0),MATCH(S$3,PlotTitles,0))&lt;10000, $AB$23,TRUE,"")</f>
        <v/>
      </c>
      <c r="U562" s="104" t="str" cm="1">
        <f t="array" ref="U562">_xlfn.IFS(AND(A562&gt;NumberOfPlots,ISBLANK(INDEX(PlotData,MATCH($A562,PlotNumber,0),MATCH(B$3,PlotTitles,0)))),"",NOT(OR(AND(INDEX(PlotData,MATCH($A562,PlotNumber,0),MATCH("Tenure",PlotTitles,0))="Open market housing",INDEX(PlotData,MATCH($A562,PlotNumber,0),MATCH("Tenure detail",PlotTitles,0))="Private rented sector"),INDEX(PlotData,MATCH($A562,PlotNumber,0),MATCH("Tenure",PlotTitles,0))="Affordable rent")),"",NOT(INDEX(PlotData,MATCH($A562,PlotNumber,0),MATCH(S$3,PlotTitles,0))=0), $AB$24,TRUE,"")</f>
        <v/>
      </c>
      <c r="V562" s="114" t="str" cm="1">
        <f t="array" aca="1" ref="V562" ca="1">_xlfn.IFS(ISBLANK(NumberOfPlots),"Enter the number of homes on the 1_SetUp sheet",AND(A562&gt;NumberOfPlots,ISBLANK(INDEX(PlotData,MATCH($A562,PlotNumber,0),MATCH(B$3,PlotTitles,0)))),"No error",NOT(B562=""),B562,NOT(C562=""),C562,NOT(D562=""),D562,NOT(E562=""),E562,NOT(F562=""),F562,NOT(G562=""),G562,NOT(H562=""),H562,NOT(I562=""),I562,NOT(J562=""),J562,NOT(K562=""),K562,NOT(L562=""),L562,NOT(M562=""),M562,NOT(N562=""),N562,NOT(O562=""),O562,NOT(P562=""),P562,NOT(Q562=""),Q562,NOT(R562=""),R562,NOT(S562=""),S562,NOT(T562=""),T562,NOT(U562=""),U562,TRUE,"No error")</f>
        <v>Enter the number of homes on the 1_SetUp sheet</v>
      </c>
      <c r="W562" s="114" t="str">
        <f t="shared" ca="1" si="26"/>
        <v xml:space="preserve">The Borrower has not addressed the following error messages for Home ID 558: </v>
      </c>
    </row>
    <row r="563" spans="1:23">
      <c r="A563" s="123">
        <v>559</v>
      </c>
      <c r="B563" s="104" t="str" cm="1">
        <f t="array" ref="B563">_xlfn.IFS(AND(A563&gt;NumberOfPlots,ISBLANK(INDEX(PlotData,MATCH($A563,PlotNumber,0),MATCH(B$3,PlotTitles,0)))),"",ISNUMBER(INDEX(PlotData,MATCH($A563,PlotNumber,0),MATCH(B$3,PlotTitles,0)))=FALSE, $AB$5,TRUE,"")</f>
        <v/>
      </c>
      <c r="C563" s="104" t="str" cm="1">
        <f t="array" ref="C563">_xlfn.IFS(AND(A563&gt;NumberOfPlots,ISBLANK(INDEX(PlotData,MATCH($A563,PlotNumber,0),MATCH(B$3,PlotTitles,0)))),"",ISBLANK(INDEX(PlotData,MATCH($A563,PlotNumber,0),MATCH(C$3,PlotTitles,0))),$AB$6,TRUE,"")</f>
        <v/>
      </c>
      <c r="D563" s="104" t="str" cm="1">
        <f t="array" ref="D563">_xlfn.IFS(AND(A563&gt;NumberOfPlots,ISBLANK(INDEX(PlotData,MATCH($A563,PlotNumber,0),MATCH(B$3,PlotTitles,0)))),"",ISBLANK(INDEX(PlotData,MATCH($A563,PlotNumber,0),MATCH(D$3,PlotTitles,0))),$AB$7,TRUE,"")</f>
        <v/>
      </c>
      <c r="E563" s="104" t="str" cm="1">
        <f t="array" ref="E563">_xlfn.IFS(AND(A563&gt;NumberOfPlots,ISBLANK(INDEX(PlotData,MATCH($A563,PlotNumber,0),MATCH(B$3,PlotTitles,0)))),"",ISBLANK(INDEX(PlotData,MATCH($A563,PlotNumber,0),MATCH(E$3,PlotTitles,0))),$AB$8,TRUE,"")</f>
        <v/>
      </c>
      <c r="F563" s="104" t="str" cm="1">
        <f t="array" ref="F563">_xlfn.IFS(AND(A563&gt;NumberOfPlots,ISBLANK(INDEX(PlotData,MATCH($A563,PlotNumber,0),MATCH(B$3,PlotTitles,0)))),"",ISBLANK(INDEX(PlotData,MATCH($A563,PlotNumber,0),MATCH(F$3,PlotTitles,0))),$AB$9,TRUE,"")</f>
        <v/>
      </c>
      <c r="G563" s="104" t="str" cm="1">
        <f t="array" ref="G563">_xlfn.IFS(AND(A563&gt;NumberOfPlots,ISBLANK(INDEX(PlotData,MATCH($A563,PlotNumber,0),MATCH(B$3,PlotTitles,0)))),"",ISBLANK(INDEX(PlotData,MATCH($A563,PlotNumber,0),MATCH(G$3,PlotTitles,0))),$AB$10,TRUE,"")</f>
        <v/>
      </c>
      <c r="H563" s="104" t="str" cm="1">
        <f t="array" ref="H563">_xlfn.IFS(AND(A563&gt;NumberOfPlots,ISBLANK(INDEX(PlotData,MATCH($A563,PlotNumber,0),MATCH(B$3,PlotTitles,0)))),"",AND(ISBLANK(INDEX(PlotData,MATCH($A563,PlotNumber,0),MATCH(H$3,PlotTitles,0)))=FALSE,INDEX(PlotData,MATCH($A563,PlotNumber,0),MATCH(H$3,PlotTitles,0))&lt;500), $AB$11,TRUE,"")</f>
        <v/>
      </c>
      <c r="I563" s="104" t="str" cm="1">
        <f t="array" ref="I563">_xlfn.IFS(AND(A563&gt;NumberOfPlots,ISBLANK(INDEX(PlotData,MATCH($A563,PlotNumber,0),MATCH(B$3,PlotTitles,0)))),"",ISBLANK(INDEX(PlotData,MATCH($A563,PlotNumber,0),MATCH(I$3,PlotTitles,0))),$AB$12,TRUE,"")</f>
        <v/>
      </c>
      <c r="J563" s="104" t="str" cm="1">
        <f t="array" ref="J563">_xlfn.IFS(AND(A563&gt;NumberOfPlots,ISBLANK(INDEX(PlotData,MATCH($A563,PlotNumber,0),MATCH(B$3,PlotTitles,0)))),"",ISBLANK(INDEX(PlotData,MATCH($A563,PlotNumber,0),MATCH(J$3,PlotTitles,0))),$AB$13,TRUE,"")</f>
        <v/>
      </c>
      <c r="K563" s="182" t="str">
        <f t="shared" ca="1" si="24"/>
        <v/>
      </c>
      <c r="L563" s="104" t="str" cm="1">
        <f t="array" ref="L563">_xlfn.IFS(OR(ISBLANK(StartDateMonth),ISBLANK(StartDateYear)),"",AND(A563&gt;NumberOfPlots,ISBLANK(INDEX(PlotData,MATCH($A563,PlotNumber,0),MATCH(B$3,PlotTitles,0)))),"",ISBLANK(INDEX(PlotData,MATCH($A563,PlotNumber,0),MATCH(I$3,PlotTitles,0))),"",(DATEVALUE(INDEX(PlotData,MATCH($A563,PlotNumber,0),MATCH(I$3,PlotTitles,0))&amp;INDEX(PlotData,MATCH($A563,PlotNumber,0),MATCH(J$3,PlotTitles,0))))&lt;DATEVALUE(StartDateMonth&amp;StartDateYear),$AB$15,TRUE,"")</f>
        <v/>
      </c>
      <c r="M563" s="104" t="str" cm="1">
        <f t="array" ref="M563">_xlfn.IFS(OR(ISBLANK(StartDateMonth),ISBLANK(StartDateYear)),"",AND(A563&gt;NumberOfPlots,ISBLANK(INDEX(PlotData,MATCH($A563,PlotNumber,0),MATCH(B$3,PlotTitles,0)))),"",ISBLANK(INDEX(PlotData,MATCH($A563,PlotNumber,0),MATCH(I$3,PlotTitles,0))),"",CompletionMonth="","",(DATEVALUE(INDEX(PlotData,MATCH($A563,PlotNumber,0),MATCH(I$3,PlotTitles,0))&amp;INDEX(PlotData,MATCH($A563,PlotNumber,0),MATCH(J$3,PlotTitles,0))))&gt;(DATEVALUE(CompletionMonth&amp;CompletionYear)),$AB$16,TRUE,"")</f>
        <v/>
      </c>
      <c r="N563" s="104" t="str" cm="1">
        <f t="array" ref="N563">_xlfn.IFS(AND(A563&gt;NumberOfPlots,ISBLANK(INDEX(PlotData,MATCH($A563,PlotNumber,0),MATCH(B$3,PlotTitles,0)))),"",ISBLANK(INDEX(PlotData,MATCH($A563,PlotNumber,0),MATCH(N$3,PlotTitles,0))),$AB$17,TRUE,"")</f>
        <v/>
      </c>
      <c r="O563" s="104" t="str" cm="1">
        <f t="array" ref="O563">_xlfn.IFS(AND(A563&gt;NumberOfPlots,ISBLANK(INDEX(PlotData,MATCH($A563,PlotNumber,0),MATCH(B$3,PlotTitles,0)))),"",ISBLANK(INDEX(PlotData,MATCH($A563,PlotNumber,0),MATCH(O$3,PlotTitles,0))),$AB$18,TRUE,"")</f>
        <v/>
      </c>
      <c r="P563" s="182" t="str">
        <f t="shared" ca="1" si="25"/>
        <v/>
      </c>
      <c r="Q563" s="104" t="str" cm="1">
        <f t="array" ref="Q563">_xlfn.IFS(AND(A563&gt;NumberOfPlots,ISBLANK(INDEX(PlotData,MATCH($A563,PlotNumber,0),MATCH(B$3,PlotTitles,0)))),"",ISBLANK(INDEX(PlotData,MATCH($A563,PlotNumber,0),MATCH(N$3,PlotTitles,0))),"",(DATEVALUE(INDEX(PlotData,MATCH($A563,PlotNumber,0),MATCH(N$3,PlotTitles,0))&amp;INDEX(PlotData,MATCH($A563,PlotNumber,0),MATCH(O$3,PlotTitles,0))))&lt;(DATEVALUE(INDEX(PlotData,MATCH($A563,PlotNumber,0),MATCH(I$3,PlotTitles,0))&amp;INDEX(PlotData,MATCH($A563,PlotNumber,0),MATCH(J$3,PlotTitles,0)))),$AB$20,TRUE,"")</f>
        <v/>
      </c>
      <c r="R563" s="104" t="str" cm="1">
        <f t="array" ref="R563">_xlfn.IFS(OR(ISBLANK(StartDateMonth),ISBLANK(StartDateYear)),"",AND(A563&gt;NumberOfPlots,ISBLANK(INDEX(PlotData,MATCH($A563,PlotNumber,0),MATCH(B$3,PlotTitles,0)))),"",ISBLANK(INDEX(PlotData,MATCH($A563,PlotNumber,0),MATCH(N$3,PlotTitles,0))),"",CompletionMonth="","",(DATEVALUE(INDEX(PlotData,MATCH($A563,PlotNumber,0),MATCH(N$3,PlotTitles,0))&amp;INDEX(PlotData,MATCH($A563,PlotNumber,0),MATCH(O$3,PlotTitles,0))))&gt;(DATEVALUE(CompletionMonth&amp;CompletionYear)),$AB$21,TRUE,"")</f>
        <v/>
      </c>
      <c r="S563" s="104" t="str" cm="1">
        <f t="array" ref="S563">_xlfn.IFS(AND(A563&gt;NumberOfPlots,ISBLANK(INDEX(PlotData,MATCH($A563,PlotNumber,0),MATCH(B$3,PlotTitles,0)))),"",OR(AND(INDEX(PlotData,MATCH($A563,PlotNumber,0),MATCH("Tenure",PlotTitles,0))="Open market housing",INDEX(PlotData,MATCH($A563,PlotNumber,0),MATCH("Tenure detail",PlotTitles,0))="Private rented sector"),INDEX(PlotData,MATCH($A563,PlotNumber,0),MATCH("Tenure",PlotTitles,0))="Affordable rent"),"",ISNUMBER(INDEX(PlotData,MATCH($A563,PlotNumber,0),MATCH(S$3,PlotTitles,0)))=FALSE, $AB$22,TRUE,"")</f>
        <v/>
      </c>
      <c r="T563" s="104" t="str" cm="1">
        <f t="array" ref="T563">_xlfn.IFS(AND(A563&gt;NumberOfPlots,ISBLANK(INDEX(PlotData,MATCH($A563,PlotNumber,0),MATCH(B$3,PlotTitles,0)))),"",OR(AND(INDEX(PlotData,MATCH($A563,PlotNumber,0),MATCH("Tenure",PlotTitles,0))="Open market housing",INDEX(PlotData,MATCH($A563,PlotNumber,0),MATCH("Tenure detail",PlotTitles,0))="Private rented sector"),INDEX(PlotData,MATCH($A563,PlotNumber,0),MATCH("Tenure",PlotTitles,0))="Affordable rent"),"",INDEX(PlotData,MATCH($A563,PlotNumber,0),MATCH(S$3,PlotTitles,0))&lt;10000, $AB$23,TRUE,"")</f>
        <v/>
      </c>
      <c r="U563" s="104" t="str" cm="1">
        <f t="array" ref="U563">_xlfn.IFS(AND(A563&gt;NumberOfPlots,ISBLANK(INDEX(PlotData,MATCH($A563,PlotNumber,0),MATCH(B$3,PlotTitles,0)))),"",NOT(OR(AND(INDEX(PlotData,MATCH($A563,PlotNumber,0),MATCH("Tenure",PlotTitles,0))="Open market housing",INDEX(PlotData,MATCH($A563,PlotNumber,0),MATCH("Tenure detail",PlotTitles,0))="Private rented sector"),INDEX(PlotData,MATCH($A563,PlotNumber,0),MATCH("Tenure",PlotTitles,0))="Affordable rent")),"",NOT(INDEX(PlotData,MATCH($A563,PlotNumber,0),MATCH(S$3,PlotTitles,0))=0), $AB$24,TRUE,"")</f>
        <v/>
      </c>
      <c r="V563" s="114" t="str" cm="1">
        <f t="array" aca="1" ref="V563" ca="1">_xlfn.IFS(ISBLANK(NumberOfPlots),"Enter the number of homes on the 1_SetUp sheet",AND(A563&gt;NumberOfPlots,ISBLANK(INDEX(PlotData,MATCH($A563,PlotNumber,0),MATCH(B$3,PlotTitles,0)))),"No error",NOT(B563=""),B563,NOT(C563=""),C563,NOT(D563=""),D563,NOT(E563=""),E563,NOT(F563=""),F563,NOT(G563=""),G563,NOT(H563=""),H563,NOT(I563=""),I563,NOT(J563=""),J563,NOT(K563=""),K563,NOT(L563=""),L563,NOT(M563=""),M563,NOT(N563=""),N563,NOT(O563=""),O563,NOT(P563=""),P563,NOT(Q563=""),Q563,NOT(R563=""),R563,NOT(S563=""),S563,NOT(T563=""),T563,NOT(U563=""),U563,TRUE,"No error")</f>
        <v>Enter the number of homes on the 1_SetUp sheet</v>
      </c>
      <c r="W563" s="114" t="str">
        <f t="shared" ca="1" si="26"/>
        <v xml:space="preserve">The Borrower has not addressed the following error messages for Home ID 559: </v>
      </c>
    </row>
    <row r="564" spans="1:23">
      <c r="A564" s="123">
        <v>560</v>
      </c>
      <c r="B564" s="104" t="str" cm="1">
        <f t="array" ref="B564">_xlfn.IFS(AND(A564&gt;NumberOfPlots,ISBLANK(INDEX(PlotData,MATCH($A564,PlotNumber,0),MATCH(B$3,PlotTitles,0)))),"",ISNUMBER(INDEX(PlotData,MATCH($A564,PlotNumber,0),MATCH(B$3,PlotTitles,0)))=FALSE, $AB$5,TRUE,"")</f>
        <v/>
      </c>
      <c r="C564" s="104" t="str" cm="1">
        <f t="array" ref="C564">_xlfn.IFS(AND(A564&gt;NumberOfPlots,ISBLANK(INDEX(PlotData,MATCH($A564,PlotNumber,0),MATCH(B$3,PlotTitles,0)))),"",ISBLANK(INDEX(PlotData,MATCH($A564,PlotNumber,0),MATCH(C$3,PlotTitles,0))),$AB$6,TRUE,"")</f>
        <v/>
      </c>
      <c r="D564" s="104" t="str" cm="1">
        <f t="array" ref="D564">_xlfn.IFS(AND(A564&gt;NumberOfPlots,ISBLANK(INDEX(PlotData,MATCH($A564,PlotNumber,0),MATCH(B$3,PlotTitles,0)))),"",ISBLANK(INDEX(PlotData,MATCH($A564,PlotNumber,0),MATCH(D$3,PlotTitles,0))),$AB$7,TRUE,"")</f>
        <v/>
      </c>
      <c r="E564" s="104" t="str" cm="1">
        <f t="array" ref="E564">_xlfn.IFS(AND(A564&gt;NumberOfPlots,ISBLANK(INDEX(PlotData,MATCH($A564,PlotNumber,0),MATCH(B$3,PlotTitles,0)))),"",ISBLANK(INDEX(PlotData,MATCH($A564,PlotNumber,0),MATCH(E$3,PlotTitles,0))),$AB$8,TRUE,"")</f>
        <v/>
      </c>
      <c r="F564" s="104" t="str" cm="1">
        <f t="array" ref="F564">_xlfn.IFS(AND(A564&gt;NumberOfPlots,ISBLANK(INDEX(PlotData,MATCH($A564,PlotNumber,0),MATCH(B$3,PlotTitles,0)))),"",ISBLANK(INDEX(PlotData,MATCH($A564,PlotNumber,0),MATCH(F$3,PlotTitles,0))),$AB$9,TRUE,"")</f>
        <v/>
      </c>
      <c r="G564" s="104" t="str" cm="1">
        <f t="array" ref="G564">_xlfn.IFS(AND(A564&gt;NumberOfPlots,ISBLANK(INDEX(PlotData,MATCH($A564,PlotNumber,0),MATCH(B$3,PlotTitles,0)))),"",ISBLANK(INDEX(PlotData,MATCH($A564,PlotNumber,0),MATCH(G$3,PlotTitles,0))),$AB$10,TRUE,"")</f>
        <v/>
      </c>
      <c r="H564" s="104" t="str" cm="1">
        <f t="array" ref="H564">_xlfn.IFS(AND(A564&gt;NumberOfPlots,ISBLANK(INDEX(PlotData,MATCH($A564,PlotNumber,0),MATCH(B$3,PlotTitles,0)))),"",AND(ISBLANK(INDEX(PlotData,MATCH($A564,PlotNumber,0),MATCH(H$3,PlotTitles,0)))=FALSE,INDEX(PlotData,MATCH($A564,PlotNumber,0),MATCH(H$3,PlotTitles,0))&lt;500), $AB$11,TRUE,"")</f>
        <v/>
      </c>
      <c r="I564" s="104" t="str" cm="1">
        <f t="array" ref="I564">_xlfn.IFS(AND(A564&gt;NumberOfPlots,ISBLANK(INDEX(PlotData,MATCH($A564,PlotNumber,0),MATCH(B$3,PlotTitles,0)))),"",ISBLANK(INDEX(PlotData,MATCH($A564,PlotNumber,0),MATCH(I$3,PlotTitles,0))),$AB$12,TRUE,"")</f>
        <v/>
      </c>
      <c r="J564" s="104" t="str" cm="1">
        <f t="array" ref="J564">_xlfn.IFS(AND(A564&gt;NumberOfPlots,ISBLANK(INDEX(PlotData,MATCH($A564,PlotNumber,0),MATCH(B$3,PlotTitles,0)))),"",ISBLANK(INDEX(PlotData,MATCH($A564,PlotNumber,0),MATCH(J$3,PlotTitles,0))),$AB$13,TRUE,"")</f>
        <v/>
      </c>
      <c r="K564" s="182" t="str">
        <f t="shared" ca="1" si="24"/>
        <v/>
      </c>
      <c r="L564" s="104" t="str" cm="1">
        <f t="array" ref="L564">_xlfn.IFS(OR(ISBLANK(StartDateMonth),ISBLANK(StartDateYear)),"",AND(A564&gt;NumberOfPlots,ISBLANK(INDEX(PlotData,MATCH($A564,PlotNumber,0),MATCH(B$3,PlotTitles,0)))),"",ISBLANK(INDEX(PlotData,MATCH($A564,PlotNumber,0),MATCH(I$3,PlotTitles,0))),"",(DATEVALUE(INDEX(PlotData,MATCH($A564,PlotNumber,0),MATCH(I$3,PlotTitles,0))&amp;INDEX(PlotData,MATCH($A564,PlotNumber,0),MATCH(J$3,PlotTitles,0))))&lt;DATEVALUE(StartDateMonth&amp;StartDateYear),$AB$15,TRUE,"")</f>
        <v/>
      </c>
      <c r="M564" s="104" t="str" cm="1">
        <f t="array" ref="M564">_xlfn.IFS(OR(ISBLANK(StartDateMonth),ISBLANK(StartDateYear)),"",AND(A564&gt;NumberOfPlots,ISBLANK(INDEX(PlotData,MATCH($A564,PlotNumber,0),MATCH(B$3,PlotTitles,0)))),"",ISBLANK(INDEX(PlotData,MATCH($A564,PlotNumber,0),MATCH(I$3,PlotTitles,0))),"",CompletionMonth="","",(DATEVALUE(INDEX(PlotData,MATCH($A564,PlotNumber,0),MATCH(I$3,PlotTitles,0))&amp;INDEX(PlotData,MATCH($A564,PlotNumber,0),MATCH(J$3,PlotTitles,0))))&gt;(DATEVALUE(CompletionMonth&amp;CompletionYear)),$AB$16,TRUE,"")</f>
        <v/>
      </c>
      <c r="N564" s="104" t="str" cm="1">
        <f t="array" ref="N564">_xlfn.IFS(AND(A564&gt;NumberOfPlots,ISBLANK(INDEX(PlotData,MATCH($A564,PlotNumber,0),MATCH(B$3,PlotTitles,0)))),"",ISBLANK(INDEX(PlotData,MATCH($A564,PlotNumber,0),MATCH(N$3,PlotTitles,0))),$AB$17,TRUE,"")</f>
        <v/>
      </c>
      <c r="O564" s="104" t="str" cm="1">
        <f t="array" ref="O564">_xlfn.IFS(AND(A564&gt;NumberOfPlots,ISBLANK(INDEX(PlotData,MATCH($A564,PlotNumber,0),MATCH(B$3,PlotTitles,0)))),"",ISBLANK(INDEX(PlotData,MATCH($A564,PlotNumber,0),MATCH(O$3,PlotTitles,0))),$AB$18,TRUE,"")</f>
        <v/>
      </c>
      <c r="P564" s="182" t="str">
        <f t="shared" ca="1" si="25"/>
        <v/>
      </c>
      <c r="Q564" s="104" t="str" cm="1">
        <f t="array" ref="Q564">_xlfn.IFS(AND(A564&gt;NumberOfPlots,ISBLANK(INDEX(PlotData,MATCH($A564,PlotNumber,0),MATCH(B$3,PlotTitles,0)))),"",ISBLANK(INDEX(PlotData,MATCH($A564,PlotNumber,0),MATCH(N$3,PlotTitles,0))),"",(DATEVALUE(INDEX(PlotData,MATCH($A564,PlotNumber,0),MATCH(N$3,PlotTitles,0))&amp;INDEX(PlotData,MATCH($A564,PlotNumber,0),MATCH(O$3,PlotTitles,0))))&lt;(DATEVALUE(INDEX(PlotData,MATCH($A564,PlotNumber,0),MATCH(I$3,PlotTitles,0))&amp;INDEX(PlotData,MATCH($A564,PlotNumber,0),MATCH(J$3,PlotTitles,0)))),$AB$20,TRUE,"")</f>
        <v/>
      </c>
      <c r="R564" s="104" t="str" cm="1">
        <f t="array" ref="R564">_xlfn.IFS(OR(ISBLANK(StartDateMonth),ISBLANK(StartDateYear)),"",AND(A564&gt;NumberOfPlots,ISBLANK(INDEX(PlotData,MATCH($A564,PlotNumber,0),MATCH(B$3,PlotTitles,0)))),"",ISBLANK(INDEX(PlotData,MATCH($A564,PlotNumber,0),MATCH(N$3,PlotTitles,0))),"",CompletionMonth="","",(DATEVALUE(INDEX(PlotData,MATCH($A564,PlotNumber,0),MATCH(N$3,PlotTitles,0))&amp;INDEX(PlotData,MATCH($A564,PlotNumber,0),MATCH(O$3,PlotTitles,0))))&gt;(DATEVALUE(CompletionMonth&amp;CompletionYear)),$AB$21,TRUE,"")</f>
        <v/>
      </c>
      <c r="S564" s="104" t="str" cm="1">
        <f t="array" ref="S564">_xlfn.IFS(AND(A564&gt;NumberOfPlots,ISBLANK(INDEX(PlotData,MATCH($A564,PlotNumber,0),MATCH(B$3,PlotTitles,0)))),"",OR(AND(INDEX(PlotData,MATCH($A564,PlotNumber,0),MATCH("Tenure",PlotTitles,0))="Open market housing",INDEX(PlotData,MATCH($A564,PlotNumber,0),MATCH("Tenure detail",PlotTitles,0))="Private rented sector"),INDEX(PlotData,MATCH($A564,PlotNumber,0),MATCH("Tenure",PlotTitles,0))="Affordable rent"),"",ISNUMBER(INDEX(PlotData,MATCH($A564,PlotNumber,0),MATCH(S$3,PlotTitles,0)))=FALSE, $AB$22,TRUE,"")</f>
        <v/>
      </c>
      <c r="T564" s="104" t="str" cm="1">
        <f t="array" ref="T564">_xlfn.IFS(AND(A564&gt;NumberOfPlots,ISBLANK(INDEX(PlotData,MATCH($A564,PlotNumber,0),MATCH(B$3,PlotTitles,0)))),"",OR(AND(INDEX(PlotData,MATCH($A564,PlotNumber,0),MATCH("Tenure",PlotTitles,0))="Open market housing",INDEX(PlotData,MATCH($A564,PlotNumber,0),MATCH("Tenure detail",PlotTitles,0))="Private rented sector"),INDEX(PlotData,MATCH($A564,PlotNumber,0),MATCH("Tenure",PlotTitles,0))="Affordable rent"),"",INDEX(PlotData,MATCH($A564,PlotNumber,0),MATCH(S$3,PlotTitles,0))&lt;10000, $AB$23,TRUE,"")</f>
        <v/>
      </c>
      <c r="U564" s="104" t="str" cm="1">
        <f t="array" ref="U564">_xlfn.IFS(AND(A564&gt;NumberOfPlots,ISBLANK(INDEX(PlotData,MATCH($A564,PlotNumber,0),MATCH(B$3,PlotTitles,0)))),"",NOT(OR(AND(INDEX(PlotData,MATCH($A564,PlotNumber,0),MATCH("Tenure",PlotTitles,0))="Open market housing",INDEX(PlotData,MATCH($A564,PlotNumber,0),MATCH("Tenure detail",PlotTitles,0))="Private rented sector"),INDEX(PlotData,MATCH($A564,PlotNumber,0),MATCH("Tenure",PlotTitles,0))="Affordable rent")),"",NOT(INDEX(PlotData,MATCH($A564,PlotNumber,0),MATCH(S$3,PlotTitles,0))=0), $AB$24,TRUE,"")</f>
        <v/>
      </c>
      <c r="V564" s="114" t="str" cm="1">
        <f t="array" aca="1" ref="V564" ca="1">_xlfn.IFS(ISBLANK(NumberOfPlots),"Enter the number of homes on the 1_SetUp sheet",AND(A564&gt;NumberOfPlots,ISBLANK(INDEX(PlotData,MATCH($A564,PlotNumber,0),MATCH(B$3,PlotTitles,0)))),"No error",NOT(B564=""),B564,NOT(C564=""),C564,NOT(D564=""),D564,NOT(E564=""),E564,NOT(F564=""),F564,NOT(G564=""),G564,NOT(H564=""),H564,NOT(I564=""),I564,NOT(J564=""),J564,NOT(K564=""),K564,NOT(L564=""),L564,NOT(M564=""),M564,NOT(N564=""),N564,NOT(O564=""),O564,NOT(P564=""),P564,NOT(Q564=""),Q564,NOT(R564=""),R564,NOT(S564=""),S564,NOT(T564=""),T564,NOT(U564=""),U564,TRUE,"No error")</f>
        <v>Enter the number of homes on the 1_SetUp sheet</v>
      </c>
      <c r="W564" s="114" t="str">
        <f t="shared" ca="1" si="26"/>
        <v xml:space="preserve">The Borrower has not addressed the following error messages for Home ID 560: </v>
      </c>
    </row>
    <row r="565" spans="1:23">
      <c r="A565" s="123">
        <v>561</v>
      </c>
      <c r="B565" s="104" t="str" cm="1">
        <f t="array" ref="B565">_xlfn.IFS(AND(A565&gt;NumberOfPlots,ISBLANK(INDEX(PlotData,MATCH($A565,PlotNumber,0),MATCH(B$3,PlotTitles,0)))),"",ISNUMBER(INDEX(PlotData,MATCH($A565,PlotNumber,0),MATCH(B$3,PlotTitles,0)))=FALSE, $AB$5,TRUE,"")</f>
        <v/>
      </c>
      <c r="C565" s="104" t="str" cm="1">
        <f t="array" ref="C565">_xlfn.IFS(AND(A565&gt;NumberOfPlots,ISBLANK(INDEX(PlotData,MATCH($A565,PlotNumber,0),MATCH(B$3,PlotTitles,0)))),"",ISBLANK(INDEX(PlotData,MATCH($A565,PlotNumber,0),MATCH(C$3,PlotTitles,0))),$AB$6,TRUE,"")</f>
        <v/>
      </c>
      <c r="D565" s="104" t="str" cm="1">
        <f t="array" ref="D565">_xlfn.IFS(AND(A565&gt;NumberOfPlots,ISBLANK(INDEX(PlotData,MATCH($A565,PlotNumber,0),MATCH(B$3,PlotTitles,0)))),"",ISBLANK(INDEX(PlotData,MATCH($A565,PlotNumber,0),MATCH(D$3,PlotTitles,0))),$AB$7,TRUE,"")</f>
        <v/>
      </c>
      <c r="E565" s="104" t="str" cm="1">
        <f t="array" ref="E565">_xlfn.IFS(AND(A565&gt;NumberOfPlots,ISBLANK(INDEX(PlotData,MATCH($A565,PlotNumber,0),MATCH(B$3,PlotTitles,0)))),"",ISBLANK(INDEX(PlotData,MATCH($A565,PlotNumber,0),MATCH(E$3,PlotTitles,0))),$AB$8,TRUE,"")</f>
        <v/>
      </c>
      <c r="F565" s="104" t="str" cm="1">
        <f t="array" ref="F565">_xlfn.IFS(AND(A565&gt;NumberOfPlots,ISBLANK(INDEX(PlotData,MATCH($A565,PlotNumber,0),MATCH(B$3,PlotTitles,0)))),"",ISBLANK(INDEX(PlotData,MATCH($A565,PlotNumber,0),MATCH(F$3,PlotTitles,0))),$AB$9,TRUE,"")</f>
        <v/>
      </c>
      <c r="G565" s="104" t="str" cm="1">
        <f t="array" ref="G565">_xlfn.IFS(AND(A565&gt;NumberOfPlots,ISBLANK(INDEX(PlotData,MATCH($A565,PlotNumber,0),MATCH(B$3,PlotTitles,0)))),"",ISBLANK(INDEX(PlotData,MATCH($A565,PlotNumber,0),MATCH(G$3,PlotTitles,0))),$AB$10,TRUE,"")</f>
        <v/>
      </c>
      <c r="H565" s="104" t="str" cm="1">
        <f t="array" ref="H565">_xlfn.IFS(AND(A565&gt;NumberOfPlots,ISBLANK(INDEX(PlotData,MATCH($A565,PlotNumber,0),MATCH(B$3,PlotTitles,0)))),"",AND(ISBLANK(INDEX(PlotData,MATCH($A565,PlotNumber,0),MATCH(H$3,PlotTitles,0)))=FALSE,INDEX(PlotData,MATCH($A565,PlotNumber,0),MATCH(H$3,PlotTitles,0))&lt;500), $AB$11,TRUE,"")</f>
        <v/>
      </c>
      <c r="I565" s="104" t="str" cm="1">
        <f t="array" ref="I565">_xlfn.IFS(AND(A565&gt;NumberOfPlots,ISBLANK(INDEX(PlotData,MATCH($A565,PlotNumber,0),MATCH(B$3,PlotTitles,0)))),"",ISBLANK(INDEX(PlotData,MATCH($A565,PlotNumber,0),MATCH(I$3,PlotTitles,0))),$AB$12,TRUE,"")</f>
        <v/>
      </c>
      <c r="J565" s="104" t="str" cm="1">
        <f t="array" ref="J565">_xlfn.IFS(AND(A565&gt;NumberOfPlots,ISBLANK(INDEX(PlotData,MATCH($A565,PlotNumber,0),MATCH(B$3,PlotTitles,0)))),"",ISBLANK(INDEX(PlotData,MATCH($A565,PlotNumber,0),MATCH(J$3,PlotTitles,0))),$AB$13,TRUE,"")</f>
        <v/>
      </c>
      <c r="K565" s="182" t="str">
        <f t="shared" ca="1" si="24"/>
        <v/>
      </c>
      <c r="L565" s="104" t="str" cm="1">
        <f t="array" ref="L565">_xlfn.IFS(OR(ISBLANK(StartDateMonth),ISBLANK(StartDateYear)),"",AND(A565&gt;NumberOfPlots,ISBLANK(INDEX(PlotData,MATCH($A565,PlotNumber,0),MATCH(B$3,PlotTitles,0)))),"",ISBLANK(INDEX(PlotData,MATCH($A565,PlotNumber,0),MATCH(I$3,PlotTitles,0))),"",(DATEVALUE(INDEX(PlotData,MATCH($A565,PlotNumber,0),MATCH(I$3,PlotTitles,0))&amp;INDEX(PlotData,MATCH($A565,PlotNumber,0),MATCH(J$3,PlotTitles,0))))&lt;DATEVALUE(StartDateMonth&amp;StartDateYear),$AB$15,TRUE,"")</f>
        <v/>
      </c>
      <c r="M565" s="104" t="str" cm="1">
        <f t="array" ref="M565">_xlfn.IFS(OR(ISBLANK(StartDateMonth),ISBLANK(StartDateYear)),"",AND(A565&gt;NumberOfPlots,ISBLANK(INDEX(PlotData,MATCH($A565,PlotNumber,0),MATCH(B$3,PlotTitles,0)))),"",ISBLANK(INDEX(PlotData,MATCH($A565,PlotNumber,0),MATCH(I$3,PlotTitles,0))),"",CompletionMonth="","",(DATEVALUE(INDEX(PlotData,MATCH($A565,PlotNumber,0),MATCH(I$3,PlotTitles,0))&amp;INDEX(PlotData,MATCH($A565,PlotNumber,0),MATCH(J$3,PlotTitles,0))))&gt;(DATEVALUE(CompletionMonth&amp;CompletionYear)),$AB$16,TRUE,"")</f>
        <v/>
      </c>
      <c r="N565" s="104" t="str" cm="1">
        <f t="array" ref="N565">_xlfn.IFS(AND(A565&gt;NumberOfPlots,ISBLANK(INDEX(PlotData,MATCH($A565,PlotNumber,0),MATCH(B$3,PlotTitles,0)))),"",ISBLANK(INDEX(PlotData,MATCH($A565,PlotNumber,0),MATCH(N$3,PlotTitles,0))),$AB$17,TRUE,"")</f>
        <v/>
      </c>
      <c r="O565" s="104" t="str" cm="1">
        <f t="array" ref="O565">_xlfn.IFS(AND(A565&gt;NumberOfPlots,ISBLANK(INDEX(PlotData,MATCH($A565,PlotNumber,0),MATCH(B$3,PlotTitles,0)))),"",ISBLANK(INDEX(PlotData,MATCH($A565,PlotNumber,0),MATCH(O$3,PlotTitles,0))),$AB$18,TRUE,"")</f>
        <v/>
      </c>
      <c r="P565" s="182" t="str">
        <f t="shared" ca="1" si="25"/>
        <v/>
      </c>
      <c r="Q565" s="104" t="str" cm="1">
        <f t="array" ref="Q565">_xlfn.IFS(AND(A565&gt;NumberOfPlots,ISBLANK(INDEX(PlotData,MATCH($A565,PlotNumber,0),MATCH(B$3,PlotTitles,0)))),"",ISBLANK(INDEX(PlotData,MATCH($A565,PlotNumber,0),MATCH(N$3,PlotTitles,0))),"",(DATEVALUE(INDEX(PlotData,MATCH($A565,PlotNumber,0),MATCH(N$3,PlotTitles,0))&amp;INDEX(PlotData,MATCH($A565,PlotNumber,0),MATCH(O$3,PlotTitles,0))))&lt;(DATEVALUE(INDEX(PlotData,MATCH($A565,PlotNumber,0),MATCH(I$3,PlotTitles,0))&amp;INDEX(PlotData,MATCH($A565,PlotNumber,0),MATCH(J$3,PlotTitles,0)))),$AB$20,TRUE,"")</f>
        <v/>
      </c>
      <c r="R565" s="104" t="str" cm="1">
        <f t="array" ref="R565">_xlfn.IFS(OR(ISBLANK(StartDateMonth),ISBLANK(StartDateYear)),"",AND(A565&gt;NumberOfPlots,ISBLANK(INDEX(PlotData,MATCH($A565,PlotNumber,0),MATCH(B$3,PlotTitles,0)))),"",ISBLANK(INDEX(PlotData,MATCH($A565,PlotNumber,0),MATCH(N$3,PlotTitles,0))),"",CompletionMonth="","",(DATEVALUE(INDEX(PlotData,MATCH($A565,PlotNumber,0),MATCH(N$3,PlotTitles,0))&amp;INDEX(PlotData,MATCH($A565,PlotNumber,0),MATCH(O$3,PlotTitles,0))))&gt;(DATEVALUE(CompletionMonth&amp;CompletionYear)),$AB$21,TRUE,"")</f>
        <v/>
      </c>
      <c r="S565" s="104" t="str" cm="1">
        <f t="array" ref="S565">_xlfn.IFS(AND(A565&gt;NumberOfPlots,ISBLANK(INDEX(PlotData,MATCH($A565,PlotNumber,0),MATCH(B$3,PlotTitles,0)))),"",OR(AND(INDEX(PlotData,MATCH($A565,PlotNumber,0),MATCH("Tenure",PlotTitles,0))="Open market housing",INDEX(PlotData,MATCH($A565,PlotNumber,0),MATCH("Tenure detail",PlotTitles,0))="Private rented sector"),INDEX(PlotData,MATCH($A565,PlotNumber,0),MATCH("Tenure",PlotTitles,0))="Affordable rent"),"",ISNUMBER(INDEX(PlotData,MATCH($A565,PlotNumber,0),MATCH(S$3,PlotTitles,0)))=FALSE, $AB$22,TRUE,"")</f>
        <v/>
      </c>
      <c r="T565" s="104" t="str" cm="1">
        <f t="array" ref="T565">_xlfn.IFS(AND(A565&gt;NumberOfPlots,ISBLANK(INDEX(PlotData,MATCH($A565,PlotNumber,0),MATCH(B$3,PlotTitles,0)))),"",OR(AND(INDEX(PlotData,MATCH($A565,PlotNumber,0),MATCH("Tenure",PlotTitles,0))="Open market housing",INDEX(PlotData,MATCH($A565,PlotNumber,0),MATCH("Tenure detail",PlotTitles,0))="Private rented sector"),INDEX(PlotData,MATCH($A565,PlotNumber,0),MATCH("Tenure",PlotTitles,0))="Affordable rent"),"",INDEX(PlotData,MATCH($A565,PlotNumber,0),MATCH(S$3,PlotTitles,0))&lt;10000, $AB$23,TRUE,"")</f>
        <v/>
      </c>
      <c r="U565" s="104" t="str" cm="1">
        <f t="array" ref="U565">_xlfn.IFS(AND(A565&gt;NumberOfPlots,ISBLANK(INDEX(PlotData,MATCH($A565,PlotNumber,0),MATCH(B$3,PlotTitles,0)))),"",NOT(OR(AND(INDEX(PlotData,MATCH($A565,PlotNumber,0),MATCH("Tenure",PlotTitles,0))="Open market housing",INDEX(PlotData,MATCH($A565,PlotNumber,0),MATCH("Tenure detail",PlotTitles,0))="Private rented sector"),INDEX(PlotData,MATCH($A565,PlotNumber,0),MATCH("Tenure",PlotTitles,0))="Affordable rent")),"",NOT(INDEX(PlotData,MATCH($A565,PlotNumber,0),MATCH(S$3,PlotTitles,0))=0), $AB$24,TRUE,"")</f>
        <v/>
      </c>
      <c r="V565" s="114" t="str" cm="1">
        <f t="array" aca="1" ref="V565" ca="1">_xlfn.IFS(ISBLANK(NumberOfPlots),"Enter the number of homes on the 1_SetUp sheet",AND(A565&gt;NumberOfPlots,ISBLANK(INDEX(PlotData,MATCH($A565,PlotNumber,0),MATCH(B$3,PlotTitles,0)))),"No error",NOT(B565=""),B565,NOT(C565=""),C565,NOT(D565=""),D565,NOT(E565=""),E565,NOT(F565=""),F565,NOT(G565=""),G565,NOT(H565=""),H565,NOT(I565=""),I565,NOT(J565=""),J565,NOT(K565=""),K565,NOT(L565=""),L565,NOT(M565=""),M565,NOT(N565=""),N565,NOT(O565=""),O565,NOT(P565=""),P565,NOT(Q565=""),Q565,NOT(R565=""),R565,NOT(S565=""),S565,NOT(T565=""),T565,NOT(U565=""),U565,TRUE,"No error")</f>
        <v>Enter the number of homes on the 1_SetUp sheet</v>
      </c>
      <c r="W565" s="114" t="str">
        <f t="shared" ca="1" si="26"/>
        <v xml:space="preserve">The Borrower has not addressed the following error messages for Home ID 561: </v>
      </c>
    </row>
    <row r="566" spans="1:23">
      <c r="A566" s="123">
        <v>562</v>
      </c>
      <c r="B566" s="104" t="str" cm="1">
        <f t="array" ref="B566">_xlfn.IFS(AND(A566&gt;NumberOfPlots,ISBLANK(INDEX(PlotData,MATCH($A566,PlotNumber,0),MATCH(B$3,PlotTitles,0)))),"",ISNUMBER(INDEX(PlotData,MATCH($A566,PlotNumber,0),MATCH(B$3,PlotTitles,0)))=FALSE, $AB$5,TRUE,"")</f>
        <v/>
      </c>
      <c r="C566" s="104" t="str" cm="1">
        <f t="array" ref="C566">_xlfn.IFS(AND(A566&gt;NumberOfPlots,ISBLANK(INDEX(PlotData,MATCH($A566,PlotNumber,0),MATCH(B$3,PlotTitles,0)))),"",ISBLANK(INDEX(PlotData,MATCH($A566,PlotNumber,0),MATCH(C$3,PlotTitles,0))),$AB$6,TRUE,"")</f>
        <v/>
      </c>
      <c r="D566" s="104" t="str" cm="1">
        <f t="array" ref="D566">_xlfn.IFS(AND(A566&gt;NumberOfPlots,ISBLANK(INDEX(PlotData,MATCH($A566,PlotNumber,0),MATCH(B$3,PlotTitles,0)))),"",ISBLANK(INDEX(PlotData,MATCH($A566,PlotNumber,0),MATCH(D$3,PlotTitles,0))),$AB$7,TRUE,"")</f>
        <v/>
      </c>
      <c r="E566" s="104" t="str" cm="1">
        <f t="array" ref="E566">_xlfn.IFS(AND(A566&gt;NumberOfPlots,ISBLANK(INDEX(PlotData,MATCH($A566,PlotNumber,0),MATCH(B$3,PlotTitles,0)))),"",ISBLANK(INDEX(PlotData,MATCH($A566,PlotNumber,0),MATCH(E$3,PlotTitles,0))),$AB$8,TRUE,"")</f>
        <v/>
      </c>
      <c r="F566" s="104" t="str" cm="1">
        <f t="array" ref="F566">_xlfn.IFS(AND(A566&gt;NumberOfPlots,ISBLANK(INDEX(PlotData,MATCH($A566,PlotNumber,0),MATCH(B$3,PlotTitles,0)))),"",ISBLANK(INDEX(PlotData,MATCH($A566,PlotNumber,0),MATCH(F$3,PlotTitles,0))),$AB$9,TRUE,"")</f>
        <v/>
      </c>
      <c r="G566" s="104" t="str" cm="1">
        <f t="array" ref="G566">_xlfn.IFS(AND(A566&gt;NumberOfPlots,ISBLANK(INDEX(PlotData,MATCH($A566,PlotNumber,0),MATCH(B$3,PlotTitles,0)))),"",ISBLANK(INDEX(PlotData,MATCH($A566,PlotNumber,0),MATCH(G$3,PlotTitles,0))),$AB$10,TRUE,"")</f>
        <v/>
      </c>
      <c r="H566" s="104" t="str" cm="1">
        <f t="array" ref="H566">_xlfn.IFS(AND(A566&gt;NumberOfPlots,ISBLANK(INDEX(PlotData,MATCH($A566,PlotNumber,0),MATCH(B$3,PlotTitles,0)))),"",AND(ISBLANK(INDEX(PlotData,MATCH($A566,PlotNumber,0),MATCH(H$3,PlotTitles,0)))=FALSE,INDEX(PlotData,MATCH($A566,PlotNumber,0),MATCH(H$3,PlotTitles,0))&lt;500), $AB$11,TRUE,"")</f>
        <v/>
      </c>
      <c r="I566" s="104" t="str" cm="1">
        <f t="array" ref="I566">_xlfn.IFS(AND(A566&gt;NumberOfPlots,ISBLANK(INDEX(PlotData,MATCH($A566,PlotNumber,0),MATCH(B$3,PlotTitles,0)))),"",ISBLANK(INDEX(PlotData,MATCH($A566,PlotNumber,0),MATCH(I$3,PlotTitles,0))),$AB$12,TRUE,"")</f>
        <v/>
      </c>
      <c r="J566" s="104" t="str" cm="1">
        <f t="array" ref="J566">_xlfn.IFS(AND(A566&gt;NumberOfPlots,ISBLANK(INDEX(PlotData,MATCH($A566,PlotNumber,0),MATCH(B$3,PlotTitles,0)))),"",ISBLANK(INDEX(PlotData,MATCH($A566,PlotNumber,0),MATCH(J$3,PlotTitles,0))),$AB$13,TRUE,"")</f>
        <v/>
      </c>
      <c r="K566" s="182" t="str">
        <f t="shared" ca="1" si="24"/>
        <v/>
      </c>
      <c r="L566" s="104" t="str" cm="1">
        <f t="array" ref="L566">_xlfn.IFS(OR(ISBLANK(StartDateMonth),ISBLANK(StartDateYear)),"",AND(A566&gt;NumberOfPlots,ISBLANK(INDEX(PlotData,MATCH($A566,PlotNumber,0),MATCH(B$3,PlotTitles,0)))),"",ISBLANK(INDEX(PlotData,MATCH($A566,PlotNumber,0),MATCH(I$3,PlotTitles,0))),"",(DATEVALUE(INDEX(PlotData,MATCH($A566,PlotNumber,0),MATCH(I$3,PlotTitles,0))&amp;INDEX(PlotData,MATCH($A566,PlotNumber,0),MATCH(J$3,PlotTitles,0))))&lt;DATEVALUE(StartDateMonth&amp;StartDateYear),$AB$15,TRUE,"")</f>
        <v/>
      </c>
      <c r="M566" s="104" t="str" cm="1">
        <f t="array" ref="M566">_xlfn.IFS(OR(ISBLANK(StartDateMonth),ISBLANK(StartDateYear)),"",AND(A566&gt;NumberOfPlots,ISBLANK(INDEX(PlotData,MATCH($A566,PlotNumber,0),MATCH(B$3,PlotTitles,0)))),"",ISBLANK(INDEX(PlotData,MATCH($A566,PlotNumber,0),MATCH(I$3,PlotTitles,0))),"",CompletionMonth="","",(DATEVALUE(INDEX(PlotData,MATCH($A566,PlotNumber,0),MATCH(I$3,PlotTitles,0))&amp;INDEX(PlotData,MATCH($A566,PlotNumber,0),MATCH(J$3,PlotTitles,0))))&gt;(DATEVALUE(CompletionMonth&amp;CompletionYear)),$AB$16,TRUE,"")</f>
        <v/>
      </c>
      <c r="N566" s="104" t="str" cm="1">
        <f t="array" ref="N566">_xlfn.IFS(AND(A566&gt;NumberOfPlots,ISBLANK(INDEX(PlotData,MATCH($A566,PlotNumber,0),MATCH(B$3,PlotTitles,0)))),"",ISBLANK(INDEX(PlotData,MATCH($A566,PlotNumber,0),MATCH(N$3,PlotTitles,0))),$AB$17,TRUE,"")</f>
        <v/>
      </c>
      <c r="O566" s="104" t="str" cm="1">
        <f t="array" ref="O566">_xlfn.IFS(AND(A566&gt;NumberOfPlots,ISBLANK(INDEX(PlotData,MATCH($A566,PlotNumber,0),MATCH(B$3,PlotTitles,0)))),"",ISBLANK(INDEX(PlotData,MATCH($A566,PlotNumber,0),MATCH(O$3,PlotTitles,0))),$AB$18,TRUE,"")</f>
        <v/>
      </c>
      <c r="P566" s="182" t="str">
        <f t="shared" ca="1" si="25"/>
        <v/>
      </c>
      <c r="Q566" s="104" t="str" cm="1">
        <f t="array" ref="Q566">_xlfn.IFS(AND(A566&gt;NumberOfPlots,ISBLANK(INDEX(PlotData,MATCH($A566,PlotNumber,0),MATCH(B$3,PlotTitles,0)))),"",ISBLANK(INDEX(PlotData,MATCH($A566,PlotNumber,0),MATCH(N$3,PlotTitles,0))),"",(DATEVALUE(INDEX(PlotData,MATCH($A566,PlotNumber,0),MATCH(N$3,PlotTitles,0))&amp;INDEX(PlotData,MATCH($A566,PlotNumber,0),MATCH(O$3,PlotTitles,0))))&lt;(DATEVALUE(INDEX(PlotData,MATCH($A566,PlotNumber,0),MATCH(I$3,PlotTitles,0))&amp;INDEX(PlotData,MATCH($A566,PlotNumber,0),MATCH(J$3,PlotTitles,0)))),$AB$20,TRUE,"")</f>
        <v/>
      </c>
      <c r="R566" s="104" t="str" cm="1">
        <f t="array" ref="R566">_xlfn.IFS(OR(ISBLANK(StartDateMonth),ISBLANK(StartDateYear)),"",AND(A566&gt;NumberOfPlots,ISBLANK(INDEX(PlotData,MATCH($A566,PlotNumber,0),MATCH(B$3,PlotTitles,0)))),"",ISBLANK(INDEX(PlotData,MATCH($A566,PlotNumber,0),MATCH(N$3,PlotTitles,0))),"",CompletionMonth="","",(DATEVALUE(INDEX(PlotData,MATCH($A566,PlotNumber,0),MATCH(N$3,PlotTitles,0))&amp;INDEX(PlotData,MATCH($A566,PlotNumber,0),MATCH(O$3,PlotTitles,0))))&gt;(DATEVALUE(CompletionMonth&amp;CompletionYear)),$AB$21,TRUE,"")</f>
        <v/>
      </c>
      <c r="S566" s="104" t="str" cm="1">
        <f t="array" ref="S566">_xlfn.IFS(AND(A566&gt;NumberOfPlots,ISBLANK(INDEX(PlotData,MATCH($A566,PlotNumber,0),MATCH(B$3,PlotTitles,0)))),"",OR(AND(INDEX(PlotData,MATCH($A566,PlotNumber,0),MATCH("Tenure",PlotTitles,0))="Open market housing",INDEX(PlotData,MATCH($A566,PlotNumber,0),MATCH("Tenure detail",PlotTitles,0))="Private rented sector"),INDEX(PlotData,MATCH($A566,PlotNumber,0),MATCH("Tenure",PlotTitles,0))="Affordable rent"),"",ISNUMBER(INDEX(PlotData,MATCH($A566,PlotNumber,0),MATCH(S$3,PlotTitles,0)))=FALSE, $AB$22,TRUE,"")</f>
        <v/>
      </c>
      <c r="T566" s="104" t="str" cm="1">
        <f t="array" ref="T566">_xlfn.IFS(AND(A566&gt;NumberOfPlots,ISBLANK(INDEX(PlotData,MATCH($A566,PlotNumber,0),MATCH(B$3,PlotTitles,0)))),"",OR(AND(INDEX(PlotData,MATCH($A566,PlotNumber,0),MATCH("Tenure",PlotTitles,0))="Open market housing",INDEX(PlotData,MATCH($A566,PlotNumber,0),MATCH("Tenure detail",PlotTitles,0))="Private rented sector"),INDEX(PlotData,MATCH($A566,PlotNumber,0),MATCH("Tenure",PlotTitles,0))="Affordable rent"),"",INDEX(PlotData,MATCH($A566,PlotNumber,0),MATCH(S$3,PlotTitles,0))&lt;10000, $AB$23,TRUE,"")</f>
        <v/>
      </c>
      <c r="U566" s="104" t="str" cm="1">
        <f t="array" ref="U566">_xlfn.IFS(AND(A566&gt;NumberOfPlots,ISBLANK(INDEX(PlotData,MATCH($A566,PlotNumber,0),MATCH(B$3,PlotTitles,0)))),"",NOT(OR(AND(INDEX(PlotData,MATCH($A566,PlotNumber,0),MATCH("Tenure",PlotTitles,0))="Open market housing",INDEX(PlotData,MATCH($A566,PlotNumber,0),MATCH("Tenure detail",PlotTitles,0))="Private rented sector"),INDEX(PlotData,MATCH($A566,PlotNumber,0),MATCH("Tenure",PlotTitles,0))="Affordable rent")),"",NOT(INDEX(PlotData,MATCH($A566,PlotNumber,0),MATCH(S$3,PlotTitles,0))=0), $AB$24,TRUE,"")</f>
        <v/>
      </c>
      <c r="V566" s="114" t="str" cm="1">
        <f t="array" aca="1" ref="V566" ca="1">_xlfn.IFS(ISBLANK(NumberOfPlots),"Enter the number of homes on the 1_SetUp sheet",AND(A566&gt;NumberOfPlots,ISBLANK(INDEX(PlotData,MATCH($A566,PlotNumber,0),MATCH(B$3,PlotTitles,0)))),"No error",NOT(B566=""),B566,NOT(C566=""),C566,NOT(D566=""),D566,NOT(E566=""),E566,NOT(F566=""),F566,NOT(G566=""),G566,NOT(H566=""),H566,NOT(I566=""),I566,NOT(J566=""),J566,NOT(K566=""),K566,NOT(L566=""),L566,NOT(M566=""),M566,NOT(N566=""),N566,NOT(O566=""),O566,NOT(P566=""),P566,NOT(Q566=""),Q566,NOT(R566=""),R566,NOT(S566=""),S566,NOT(T566=""),T566,NOT(U566=""),U566,TRUE,"No error")</f>
        <v>Enter the number of homes on the 1_SetUp sheet</v>
      </c>
      <c r="W566" s="114" t="str">
        <f t="shared" ca="1" si="26"/>
        <v xml:space="preserve">The Borrower has not addressed the following error messages for Home ID 562: </v>
      </c>
    </row>
    <row r="567" spans="1:23">
      <c r="A567" s="123">
        <v>563</v>
      </c>
      <c r="B567" s="104" t="str" cm="1">
        <f t="array" ref="B567">_xlfn.IFS(AND(A567&gt;NumberOfPlots,ISBLANK(INDEX(PlotData,MATCH($A567,PlotNumber,0),MATCH(B$3,PlotTitles,0)))),"",ISNUMBER(INDEX(PlotData,MATCH($A567,PlotNumber,0),MATCH(B$3,PlotTitles,0)))=FALSE, $AB$5,TRUE,"")</f>
        <v/>
      </c>
      <c r="C567" s="104" t="str" cm="1">
        <f t="array" ref="C567">_xlfn.IFS(AND(A567&gt;NumberOfPlots,ISBLANK(INDEX(PlotData,MATCH($A567,PlotNumber,0),MATCH(B$3,PlotTitles,0)))),"",ISBLANK(INDEX(PlotData,MATCH($A567,PlotNumber,0),MATCH(C$3,PlotTitles,0))),$AB$6,TRUE,"")</f>
        <v/>
      </c>
      <c r="D567" s="104" t="str" cm="1">
        <f t="array" ref="D567">_xlfn.IFS(AND(A567&gt;NumberOfPlots,ISBLANK(INDEX(PlotData,MATCH($A567,PlotNumber,0),MATCH(B$3,PlotTitles,0)))),"",ISBLANK(INDEX(PlotData,MATCH($A567,PlotNumber,0),MATCH(D$3,PlotTitles,0))),$AB$7,TRUE,"")</f>
        <v/>
      </c>
      <c r="E567" s="104" t="str" cm="1">
        <f t="array" ref="E567">_xlfn.IFS(AND(A567&gt;NumberOfPlots,ISBLANK(INDEX(PlotData,MATCH($A567,PlotNumber,0),MATCH(B$3,PlotTitles,0)))),"",ISBLANK(INDEX(PlotData,MATCH($A567,PlotNumber,0),MATCH(E$3,PlotTitles,0))),$AB$8,TRUE,"")</f>
        <v/>
      </c>
      <c r="F567" s="104" t="str" cm="1">
        <f t="array" ref="F567">_xlfn.IFS(AND(A567&gt;NumberOfPlots,ISBLANK(INDEX(PlotData,MATCH($A567,PlotNumber,0),MATCH(B$3,PlotTitles,0)))),"",ISBLANK(INDEX(PlotData,MATCH($A567,PlotNumber,0),MATCH(F$3,PlotTitles,0))),$AB$9,TRUE,"")</f>
        <v/>
      </c>
      <c r="G567" s="104" t="str" cm="1">
        <f t="array" ref="G567">_xlfn.IFS(AND(A567&gt;NumberOfPlots,ISBLANK(INDEX(PlotData,MATCH($A567,PlotNumber,0),MATCH(B$3,PlotTitles,0)))),"",ISBLANK(INDEX(PlotData,MATCH($A567,PlotNumber,0),MATCH(G$3,PlotTitles,0))),$AB$10,TRUE,"")</f>
        <v/>
      </c>
      <c r="H567" s="104" t="str" cm="1">
        <f t="array" ref="H567">_xlfn.IFS(AND(A567&gt;NumberOfPlots,ISBLANK(INDEX(PlotData,MATCH($A567,PlotNumber,0),MATCH(B$3,PlotTitles,0)))),"",AND(ISBLANK(INDEX(PlotData,MATCH($A567,PlotNumber,0),MATCH(H$3,PlotTitles,0)))=FALSE,INDEX(PlotData,MATCH($A567,PlotNumber,0),MATCH(H$3,PlotTitles,0))&lt;500), $AB$11,TRUE,"")</f>
        <v/>
      </c>
      <c r="I567" s="104" t="str" cm="1">
        <f t="array" ref="I567">_xlfn.IFS(AND(A567&gt;NumberOfPlots,ISBLANK(INDEX(PlotData,MATCH($A567,PlotNumber,0),MATCH(B$3,PlotTitles,0)))),"",ISBLANK(INDEX(PlotData,MATCH($A567,PlotNumber,0),MATCH(I$3,PlotTitles,0))),$AB$12,TRUE,"")</f>
        <v/>
      </c>
      <c r="J567" s="104" t="str" cm="1">
        <f t="array" ref="J567">_xlfn.IFS(AND(A567&gt;NumberOfPlots,ISBLANK(INDEX(PlotData,MATCH($A567,PlotNumber,0),MATCH(B$3,PlotTitles,0)))),"",ISBLANK(INDEX(PlotData,MATCH($A567,PlotNumber,0),MATCH(J$3,PlotTitles,0))),$AB$13,TRUE,"")</f>
        <v/>
      </c>
      <c r="K567" s="182" t="str">
        <f t="shared" ca="1" si="24"/>
        <v/>
      </c>
      <c r="L567" s="104" t="str" cm="1">
        <f t="array" ref="L567">_xlfn.IFS(OR(ISBLANK(StartDateMonth),ISBLANK(StartDateYear)),"",AND(A567&gt;NumberOfPlots,ISBLANK(INDEX(PlotData,MATCH($A567,PlotNumber,0),MATCH(B$3,PlotTitles,0)))),"",ISBLANK(INDEX(PlotData,MATCH($A567,PlotNumber,0),MATCH(I$3,PlotTitles,0))),"",(DATEVALUE(INDEX(PlotData,MATCH($A567,PlotNumber,0),MATCH(I$3,PlotTitles,0))&amp;INDEX(PlotData,MATCH($A567,PlotNumber,0),MATCH(J$3,PlotTitles,0))))&lt;DATEVALUE(StartDateMonth&amp;StartDateYear),$AB$15,TRUE,"")</f>
        <v/>
      </c>
      <c r="M567" s="104" t="str" cm="1">
        <f t="array" ref="M567">_xlfn.IFS(OR(ISBLANK(StartDateMonth),ISBLANK(StartDateYear)),"",AND(A567&gt;NumberOfPlots,ISBLANK(INDEX(PlotData,MATCH($A567,PlotNumber,0),MATCH(B$3,PlotTitles,0)))),"",ISBLANK(INDEX(PlotData,MATCH($A567,PlotNumber,0),MATCH(I$3,PlotTitles,0))),"",CompletionMonth="","",(DATEVALUE(INDEX(PlotData,MATCH($A567,PlotNumber,0),MATCH(I$3,PlotTitles,0))&amp;INDEX(PlotData,MATCH($A567,PlotNumber,0),MATCH(J$3,PlotTitles,0))))&gt;(DATEVALUE(CompletionMonth&amp;CompletionYear)),$AB$16,TRUE,"")</f>
        <v/>
      </c>
      <c r="N567" s="104" t="str" cm="1">
        <f t="array" ref="N567">_xlfn.IFS(AND(A567&gt;NumberOfPlots,ISBLANK(INDEX(PlotData,MATCH($A567,PlotNumber,0),MATCH(B$3,PlotTitles,0)))),"",ISBLANK(INDEX(PlotData,MATCH($A567,PlotNumber,0),MATCH(N$3,PlotTitles,0))),$AB$17,TRUE,"")</f>
        <v/>
      </c>
      <c r="O567" s="104" t="str" cm="1">
        <f t="array" ref="O567">_xlfn.IFS(AND(A567&gt;NumberOfPlots,ISBLANK(INDEX(PlotData,MATCH($A567,PlotNumber,0),MATCH(B$3,PlotTitles,0)))),"",ISBLANK(INDEX(PlotData,MATCH($A567,PlotNumber,0),MATCH(O$3,PlotTitles,0))),$AB$18,TRUE,"")</f>
        <v/>
      </c>
      <c r="P567" s="182" t="str">
        <f t="shared" ca="1" si="25"/>
        <v/>
      </c>
      <c r="Q567" s="104" t="str" cm="1">
        <f t="array" ref="Q567">_xlfn.IFS(AND(A567&gt;NumberOfPlots,ISBLANK(INDEX(PlotData,MATCH($A567,PlotNumber,0),MATCH(B$3,PlotTitles,0)))),"",ISBLANK(INDEX(PlotData,MATCH($A567,PlotNumber,0),MATCH(N$3,PlotTitles,0))),"",(DATEVALUE(INDEX(PlotData,MATCH($A567,PlotNumber,0),MATCH(N$3,PlotTitles,0))&amp;INDEX(PlotData,MATCH($A567,PlotNumber,0),MATCH(O$3,PlotTitles,0))))&lt;(DATEVALUE(INDEX(PlotData,MATCH($A567,PlotNumber,0),MATCH(I$3,PlotTitles,0))&amp;INDEX(PlotData,MATCH($A567,PlotNumber,0),MATCH(J$3,PlotTitles,0)))),$AB$20,TRUE,"")</f>
        <v/>
      </c>
      <c r="R567" s="104" t="str" cm="1">
        <f t="array" ref="R567">_xlfn.IFS(OR(ISBLANK(StartDateMonth),ISBLANK(StartDateYear)),"",AND(A567&gt;NumberOfPlots,ISBLANK(INDEX(PlotData,MATCH($A567,PlotNumber,0),MATCH(B$3,PlotTitles,0)))),"",ISBLANK(INDEX(PlotData,MATCH($A567,PlotNumber,0),MATCH(N$3,PlotTitles,0))),"",CompletionMonth="","",(DATEVALUE(INDEX(PlotData,MATCH($A567,PlotNumber,0),MATCH(N$3,PlotTitles,0))&amp;INDEX(PlotData,MATCH($A567,PlotNumber,0),MATCH(O$3,PlotTitles,0))))&gt;(DATEVALUE(CompletionMonth&amp;CompletionYear)),$AB$21,TRUE,"")</f>
        <v/>
      </c>
      <c r="S567" s="104" t="str" cm="1">
        <f t="array" ref="S567">_xlfn.IFS(AND(A567&gt;NumberOfPlots,ISBLANK(INDEX(PlotData,MATCH($A567,PlotNumber,0),MATCH(B$3,PlotTitles,0)))),"",OR(AND(INDEX(PlotData,MATCH($A567,PlotNumber,0),MATCH("Tenure",PlotTitles,0))="Open market housing",INDEX(PlotData,MATCH($A567,PlotNumber,0),MATCH("Tenure detail",PlotTitles,0))="Private rented sector"),INDEX(PlotData,MATCH($A567,PlotNumber,0),MATCH("Tenure",PlotTitles,0))="Affordable rent"),"",ISNUMBER(INDEX(PlotData,MATCH($A567,PlotNumber,0),MATCH(S$3,PlotTitles,0)))=FALSE, $AB$22,TRUE,"")</f>
        <v/>
      </c>
      <c r="T567" s="104" t="str" cm="1">
        <f t="array" ref="T567">_xlfn.IFS(AND(A567&gt;NumberOfPlots,ISBLANK(INDEX(PlotData,MATCH($A567,PlotNumber,0),MATCH(B$3,PlotTitles,0)))),"",OR(AND(INDEX(PlotData,MATCH($A567,PlotNumber,0),MATCH("Tenure",PlotTitles,0))="Open market housing",INDEX(PlotData,MATCH($A567,PlotNumber,0),MATCH("Tenure detail",PlotTitles,0))="Private rented sector"),INDEX(PlotData,MATCH($A567,PlotNumber,0),MATCH("Tenure",PlotTitles,0))="Affordable rent"),"",INDEX(PlotData,MATCH($A567,PlotNumber,0),MATCH(S$3,PlotTitles,0))&lt;10000, $AB$23,TRUE,"")</f>
        <v/>
      </c>
      <c r="U567" s="104" t="str" cm="1">
        <f t="array" ref="U567">_xlfn.IFS(AND(A567&gt;NumberOfPlots,ISBLANK(INDEX(PlotData,MATCH($A567,PlotNumber,0),MATCH(B$3,PlotTitles,0)))),"",NOT(OR(AND(INDEX(PlotData,MATCH($A567,PlotNumber,0),MATCH("Tenure",PlotTitles,0))="Open market housing",INDEX(PlotData,MATCH($A567,PlotNumber,0),MATCH("Tenure detail",PlotTitles,0))="Private rented sector"),INDEX(PlotData,MATCH($A567,PlotNumber,0),MATCH("Tenure",PlotTitles,0))="Affordable rent")),"",NOT(INDEX(PlotData,MATCH($A567,PlotNumber,0),MATCH(S$3,PlotTitles,0))=0), $AB$24,TRUE,"")</f>
        <v/>
      </c>
      <c r="V567" s="114" t="str" cm="1">
        <f t="array" aca="1" ref="V567" ca="1">_xlfn.IFS(ISBLANK(NumberOfPlots),"Enter the number of homes on the 1_SetUp sheet",AND(A567&gt;NumberOfPlots,ISBLANK(INDEX(PlotData,MATCH($A567,PlotNumber,0),MATCH(B$3,PlotTitles,0)))),"No error",NOT(B567=""),B567,NOT(C567=""),C567,NOT(D567=""),D567,NOT(E567=""),E567,NOT(F567=""),F567,NOT(G567=""),G567,NOT(H567=""),H567,NOT(I567=""),I567,NOT(J567=""),J567,NOT(K567=""),K567,NOT(L567=""),L567,NOT(M567=""),M567,NOT(N567=""),N567,NOT(O567=""),O567,NOT(P567=""),P567,NOT(Q567=""),Q567,NOT(R567=""),R567,NOT(S567=""),S567,NOT(T567=""),T567,NOT(U567=""),U567,TRUE,"No error")</f>
        <v>Enter the number of homes on the 1_SetUp sheet</v>
      </c>
      <c r="W567" s="114" t="str">
        <f t="shared" ca="1" si="26"/>
        <v xml:space="preserve">The Borrower has not addressed the following error messages for Home ID 563: </v>
      </c>
    </row>
    <row r="568" spans="1:23">
      <c r="A568" s="123">
        <v>564</v>
      </c>
      <c r="B568" s="104" t="str" cm="1">
        <f t="array" ref="B568">_xlfn.IFS(AND(A568&gt;NumberOfPlots,ISBLANK(INDEX(PlotData,MATCH($A568,PlotNumber,0),MATCH(B$3,PlotTitles,0)))),"",ISNUMBER(INDEX(PlotData,MATCH($A568,PlotNumber,0),MATCH(B$3,PlotTitles,0)))=FALSE, $AB$5,TRUE,"")</f>
        <v/>
      </c>
      <c r="C568" s="104" t="str" cm="1">
        <f t="array" ref="C568">_xlfn.IFS(AND(A568&gt;NumberOfPlots,ISBLANK(INDEX(PlotData,MATCH($A568,PlotNumber,0),MATCH(B$3,PlotTitles,0)))),"",ISBLANK(INDEX(PlotData,MATCH($A568,PlotNumber,0),MATCH(C$3,PlotTitles,0))),$AB$6,TRUE,"")</f>
        <v/>
      </c>
      <c r="D568" s="104" t="str" cm="1">
        <f t="array" ref="D568">_xlfn.IFS(AND(A568&gt;NumberOfPlots,ISBLANK(INDEX(PlotData,MATCH($A568,PlotNumber,0),MATCH(B$3,PlotTitles,0)))),"",ISBLANK(INDEX(PlotData,MATCH($A568,PlotNumber,0),MATCH(D$3,PlotTitles,0))),$AB$7,TRUE,"")</f>
        <v/>
      </c>
      <c r="E568" s="104" t="str" cm="1">
        <f t="array" ref="E568">_xlfn.IFS(AND(A568&gt;NumberOfPlots,ISBLANK(INDEX(PlotData,MATCH($A568,PlotNumber,0),MATCH(B$3,PlotTitles,0)))),"",ISBLANK(INDEX(PlotData,MATCH($A568,PlotNumber,0),MATCH(E$3,PlotTitles,0))),$AB$8,TRUE,"")</f>
        <v/>
      </c>
      <c r="F568" s="104" t="str" cm="1">
        <f t="array" ref="F568">_xlfn.IFS(AND(A568&gt;NumberOfPlots,ISBLANK(INDEX(PlotData,MATCH($A568,PlotNumber,0),MATCH(B$3,PlotTitles,0)))),"",ISBLANK(INDEX(PlotData,MATCH($A568,PlotNumber,0),MATCH(F$3,PlotTitles,0))),$AB$9,TRUE,"")</f>
        <v/>
      </c>
      <c r="G568" s="104" t="str" cm="1">
        <f t="array" ref="G568">_xlfn.IFS(AND(A568&gt;NumberOfPlots,ISBLANK(INDEX(PlotData,MATCH($A568,PlotNumber,0),MATCH(B$3,PlotTitles,0)))),"",ISBLANK(INDEX(PlotData,MATCH($A568,PlotNumber,0),MATCH(G$3,PlotTitles,0))),$AB$10,TRUE,"")</f>
        <v/>
      </c>
      <c r="H568" s="104" t="str" cm="1">
        <f t="array" ref="H568">_xlfn.IFS(AND(A568&gt;NumberOfPlots,ISBLANK(INDEX(PlotData,MATCH($A568,PlotNumber,0),MATCH(B$3,PlotTitles,0)))),"",AND(ISBLANK(INDEX(PlotData,MATCH($A568,PlotNumber,0),MATCH(H$3,PlotTitles,0)))=FALSE,INDEX(PlotData,MATCH($A568,PlotNumber,0),MATCH(H$3,PlotTitles,0))&lt;500), $AB$11,TRUE,"")</f>
        <v/>
      </c>
      <c r="I568" s="104" t="str" cm="1">
        <f t="array" ref="I568">_xlfn.IFS(AND(A568&gt;NumberOfPlots,ISBLANK(INDEX(PlotData,MATCH($A568,PlotNumber,0),MATCH(B$3,PlotTitles,0)))),"",ISBLANK(INDEX(PlotData,MATCH($A568,PlotNumber,0),MATCH(I$3,PlotTitles,0))),$AB$12,TRUE,"")</f>
        <v/>
      </c>
      <c r="J568" s="104" t="str" cm="1">
        <f t="array" ref="J568">_xlfn.IFS(AND(A568&gt;NumberOfPlots,ISBLANK(INDEX(PlotData,MATCH($A568,PlotNumber,0),MATCH(B$3,PlotTitles,0)))),"",ISBLANK(INDEX(PlotData,MATCH($A568,PlotNumber,0),MATCH(J$3,PlotTitles,0))),$AB$13,TRUE,"")</f>
        <v/>
      </c>
      <c r="K568" s="182" t="str">
        <f t="shared" ca="1" si="24"/>
        <v/>
      </c>
      <c r="L568" s="104" t="str" cm="1">
        <f t="array" ref="L568">_xlfn.IFS(OR(ISBLANK(StartDateMonth),ISBLANK(StartDateYear)),"",AND(A568&gt;NumberOfPlots,ISBLANK(INDEX(PlotData,MATCH($A568,PlotNumber,0),MATCH(B$3,PlotTitles,0)))),"",ISBLANK(INDEX(PlotData,MATCH($A568,PlotNumber,0),MATCH(I$3,PlotTitles,0))),"",(DATEVALUE(INDEX(PlotData,MATCH($A568,PlotNumber,0),MATCH(I$3,PlotTitles,0))&amp;INDEX(PlotData,MATCH($A568,PlotNumber,0),MATCH(J$3,PlotTitles,0))))&lt;DATEVALUE(StartDateMonth&amp;StartDateYear),$AB$15,TRUE,"")</f>
        <v/>
      </c>
      <c r="M568" s="104" t="str" cm="1">
        <f t="array" ref="M568">_xlfn.IFS(OR(ISBLANK(StartDateMonth),ISBLANK(StartDateYear)),"",AND(A568&gt;NumberOfPlots,ISBLANK(INDEX(PlotData,MATCH($A568,PlotNumber,0),MATCH(B$3,PlotTitles,0)))),"",ISBLANK(INDEX(PlotData,MATCH($A568,PlotNumber,0),MATCH(I$3,PlotTitles,0))),"",CompletionMonth="","",(DATEVALUE(INDEX(PlotData,MATCH($A568,PlotNumber,0),MATCH(I$3,PlotTitles,0))&amp;INDEX(PlotData,MATCH($A568,PlotNumber,0),MATCH(J$3,PlotTitles,0))))&gt;(DATEVALUE(CompletionMonth&amp;CompletionYear)),$AB$16,TRUE,"")</f>
        <v/>
      </c>
      <c r="N568" s="104" t="str" cm="1">
        <f t="array" ref="N568">_xlfn.IFS(AND(A568&gt;NumberOfPlots,ISBLANK(INDEX(PlotData,MATCH($A568,PlotNumber,0),MATCH(B$3,PlotTitles,0)))),"",ISBLANK(INDEX(PlotData,MATCH($A568,PlotNumber,0),MATCH(N$3,PlotTitles,0))),$AB$17,TRUE,"")</f>
        <v/>
      </c>
      <c r="O568" s="104" t="str" cm="1">
        <f t="array" ref="O568">_xlfn.IFS(AND(A568&gt;NumberOfPlots,ISBLANK(INDEX(PlotData,MATCH($A568,PlotNumber,0),MATCH(B$3,PlotTitles,0)))),"",ISBLANK(INDEX(PlotData,MATCH($A568,PlotNumber,0),MATCH(O$3,PlotTitles,0))),$AB$18,TRUE,"")</f>
        <v/>
      </c>
      <c r="P568" s="182" t="str">
        <f t="shared" ca="1" si="25"/>
        <v/>
      </c>
      <c r="Q568" s="104" t="str" cm="1">
        <f t="array" ref="Q568">_xlfn.IFS(AND(A568&gt;NumberOfPlots,ISBLANK(INDEX(PlotData,MATCH($A568,PlotNumber,0),MATCH(B$3,PlotTitles,0)))),"",ISBLANK(INDEX(PlotData,MATCH($A568,PlotNumber,0),MATCH(N$3,PlotTitles,0))),"",(DATEVALUE(INDEX(PlotData,MATCH($A568,PlotNumber,0),MATCH(N$3,PlotTitles,0))&amp;INDEX(PlotData,MATCH($A568,PlotNumber,0),MATCH(O$3,PlotTitles,0))))&lt;(DATEVALUE(INDEX(PlotData,MATCH($A568,PlotNumber,0),MATCH(I$3,PlotTitles,0))&amp;INDEX(PlotData,MATCH($A568,PlotNumber,0),MATCH(J$3,PlotTitles,0)))),$AB$20,TRUE,"")</f>
        <v/>
      </c>
      <c r="R568" s="104" t="str" cm="1">
        <f t="array" ref="R568">_xlfn.IFS(OR(ISBLANK(StartDateMonth),ISBLANK(StartDateYear)),"",AND(A568&gt;NumberOfPlots,ISBLANK(INDEX(PlotData,MATCH($A568,PlotNumber,0),MATCH(B$3,PlotTitles,0)))),"",ISBLANK(INDEX(PlotData,MATCH($A568,PlotNumber,0),MATCH(N$3,PlotTitles,0))),"",CompletionMonth="","",(DATEVALUE(INDEX(PlotData,MATCH($A568,PlotNumber,0),MATCH(N$3,PlotTitles,0))&amp;INDEX(PlotData,MATCH($A568,PlotNumber,0),MATCH(O$3,PlotTitles,0))))&gt;(DATEVALUE(CompletionMonth&amp;CompletionYear)),$AB$21,TRUE,"")</f>
        <v/>
      </c>
      <c r="S568" s="104" t="str" cm="1">
        <f t="array" ref="S568">_xlfn.IFS(AND(A568&gt;NumberOfPlots,ISBLANK(INDEX(PlotData,MATCH($A568,PlotNumber,0),MATCH(B$3,PlotTitles,0)))),"",OR(AND(INDEX(PlotData,MATCH($A568,PlotNumber,0),MATCH("Tenure",PlotTitles,0))="Open market housing",INDEX(PlotData,MATCH($A568,PlotNumber,0),MATCH("Tenure detail",PlotTitles,0))="Private rented sector"),INDEX(PlotData,MATCH($A568,PlotNumber,0),MATCH("Tenure",PlotTitles,0))="Affordable rent"),"",ISNUMBER(INDEX(PlotData,MATCH($A568,PlotNumber,0),MATCH(S$3,PlotTitles,0)))=FALSE, $AB$22,TRUE,"")</f>
        <v/>
      </c>
      <c r="T568" s="104" t="str" cm="1">
        <f t="array" ref="T568">_xlfn.IFS(AND(A568&gt;NumberOfPlots,ISBLANK(INDEX(PlotData,MATCH($A568,PlotNumber,0),MATCH(B$3,PlotTitles,0)))),"",OR(AND(INDEX(PlotData,MATCH($A568,PlotNumber,0),MATCH("Tenure",PlotTitles,0))="Open market housing",INDEX(PlotData,MATCH($A568,PlotNumber,0),MATCH("Tenure detail",PlotTitles,0))="Private rented sector"),INDEX(PlotData,MATCH($A568,PlotNumber,0),MATCH("Tenure",PlotTitles,0))="Affordable rent"),"",INDEX(PlotData,MATCH($A568,PlotNumber,0),MATCH(S$3,PlotTitles,0))&lt;10000, $AB$23,TRUE,"")</f>
        <v/>
      </c>
      <c r="U568" s="104" t="str" cm="1">
        <f t="array" ref="U568">_xlfn.IFS(AND(A568&gt;NumberOfPlots,ISBLANK(INDEX(PlotData,MATCH($A568,PlotNumber,0),MATCH(B$3,PlotTitles,0)))),"",NOT(OR(AND(INDEX(PlotData,MATCH($A568,PlotNumber,0),MATCH("Tenure",PlotTitles,0))="Open market housing",INDEX(PlotData,MATCH($A568,PlotNumber,0),MATCH("Tenure detail",PlotTitles,0))="Private rented sector"),INDEX(PlotData,MATCH($A568,PlotNumber,0),MATCH("Tenure",PlotTitles,0))="Affordable rent")),"",NOT(INDEX(PlotData,MATCH($A568,PlotNumber,0),MATCH(S$3,PlotTitles,0))=0), $AB$24,TRUE,"")</f>
        <v/>
      </c>
      <c r="V568" s="114" t="str" cm="1">
        <f t="array" aca="1" ref="V568" ca="1">_xlfn.IFS(ISBLANK(NumberOfPlots),"Enter the number of homes on the 1_SetUp sheet",AND(A568&gt;NumberOfPlots,ISBLANK(INDEX(PlotData,MATCH($A568,PlotNumber,0),MATCH(B$3,PlotTitles,0)))),"No error",NOT(B568=""),B568,NOT(C568=""),C568,NOT(D568=""),D568,NOT(E568=""),E568,NOT(F568=""),F568,NOT(G568=""),G568,NOT(H568=""),H568,NOT(I568=""),I568,NOT(J568=""),J568,NOT(K568=""),K568,NOT(L568=""),L568,NOT(M568=""),M568,NOT(N568=""),N568,NOT(O568=""),O568,NOT(P568=""),P568,NOT(Q568=""),Q568,NOT(R568=""),R568,NOT(S568=""),S568,NOT(T568=""),T568,NOT(U568=""),U568,TRUE,"No error")</f>
        <v>Enter the number of homes on the 1_SetUp sheet</v>
      </c>
      <c r="W568" s="114" t="str">
        <f t="shared" ca="1" si="26"/>
        <v xml:space="preserve">The Borrower has not addressed the following error messages for Home ID 564: </v>
      </c>
    </row>
    <row r="569" spans="1:23">
      <c r="A569" s="123">
        <v>565</v>
      </c>
      <c r="B569" s="104" t="str" cm="1">
        <f t="array" ref="B569">_xlfn.IFS(AND(A569&gt;NumberOfPlots,ISBLANK(INDEX(PlotData,MATCH($A569,PlotNumber,0),MATCH(B$3,PlotTitles,0)))),"",ISNUMBER(INDEX(PlotData,MATCH($A569,PlotNumber,0),MATCH(B$3,PlotTitles,0)))=FALSE, $AB$5,TRUE,"")</f>
        <v/>
      </c>
      <c r="C569" s="104" t="str" cm="1">
        <f t="array" ref="C569">_xlfn.IFS(AND(A569&gt;NumberOfPlots,ISBLANK(INDEX(PlotData,MATCH($A569,PlotNumber,0),MATCH(B$3,PlotTitles,0)))),"",ISBLANK(INDEX(PlotData,MATCH($A569,PlotNumber,0),MATCH(C$3,PlotTitles,0))),$AB$6,TRUE,"")</f>
        <v/>
      </c>
      <c r="D569" s="104" t="str" cm="1">
        <f t="array" ref="D569">_xlfn.IFS(AND(A569&gt;NumberOfPlots,ISBLANK(INDEX(PlotData,MATCH($A569,PlotNumber,0),MATCH(B$3,PlotTitles,0)))),"",ISBLANK(INDEX(PlotData,MATCH($A569,PlotNumber,0),MATCH(D$3,PlotTitles,0))),$AB$7,TRUE,"")</f>
        <v/>
      </c>
      <c r="E569" s="104" t="str" cm="1">
        <f t="array" ref="E569">_xlfn.IFS(AND(A569&gt;NumberOfPlots,ISBLANK(INDEX(PlotData,MATCH($A569,PlotNumber,0),MATCH(B$3,PlotTitles,0)))),"",ISBLANK(INDEX(PlotData,MATCH($A569,PlotNumber,0),MATCH(E$3,PlotTitles,0))),$AB$8,TRUE,"")</f>
        <v/>
      </c>
      <c r="F569" s="104" t="str" cm="1">
        <f t="array" ref="F569">_xlfn.IFS(AND(A569&gt;NumberOfPlots,ISBLANK(INDEX(PlotData,MATCH($A569,PlotNumber,0),MATCH(B$3,PlotTitles,0)))),"",ISBLANK(INDEX(PlotData,MATCH($A569,PlotNumber,0),MATCH(F$3,PlotTitles,0))),$AB$9,TRUE,"")</f>
        <v/>
      </c>
      <c r="G569" s="104" t="str" cm="1">
        <f t="array" ref="G569">_xlfn.IFS(AND(A569&gt;NumberOfPlots,ISBLANK(INDEX(PlotData,MATCH($A569,PlotNumber,0),MATCH(B$3,PlotTitles,0)))),"",ISBLANK(INDEX(PlotData,MATCH($A569,PlotNumber,0),MATCH(G$3,PlotTitles,0))),$AB$10,TRUE,"")</f>
        <v/>
      </c>
      <c r="H569" s="104" t="str" cm="1">
        <f t="array" ref="H569">_xlfn.IFS(AND(A569&gt;NumberOfPlots,ISBLANK(INDEX(PlotData,MATCH($A569,PlotNumber,0),MATCH(B$3,PlotTitles,0)))),"",AND(ISBLANK(INDEX(PlotData,MATCH($A569,PlotNumber,0),MATCH(H$3,PlotTitles,0)))=FALSE,INDEX(PlotData,MATCH($A569,PlotNumber,0),MATCH(H$3,PlotTitles,0))&lt;500), $AB$11,TRUE,"")</f>
        <v/>
      </c>
      <c r="I569" s="104" t="str" cm="1">
        <f t="array" ref="I569">_xlfn.IFS(AND(A569&gt;NumberOfPlots,ISBLANK(INDEX(PlotData,MATCH($A569,PlotNumber,0),MATCH(B$3,PlotTitles,0)))),"",ISBLANK(INDEX(PlotData,MATCH($A569,PlotNumber,0),MATCH(I$3,PlotTitles,0))),$AB$12,TRUE,"")</f>
        <v/>
      </c>
      <c r="J569" s="104" t="str" cm="1">
        <f t="array" ref="J569">_xlfn.IFS(AND(A569&gt;NumberOfPlots,ISBLANK(INDEX(PlotData,MATCH($A569,PlotNumber,0),MATCH(B$3,PlotTitles,0)))),"",ISBLANK(INDEX(PlotData,MATCH($A569,PlotNumber,0),MATCH(J$3,PlotTitles,0))),$AB$13,TRUE,"")</f>
        <v/>
      </c>
      <c r="K569" s="182" t="str">
        <f t="shared" ca="1" si="24"/>
        <v/>
      </c>
      <c r="L569" s="104" t="str" cm="1">
        <f t="array" ref="L569">_xlfn.IFS(OR(ISBLANK(StartDateMonth),ISBLANK(StartDateYear)),"",AND(A569&gt;NumberOfPlots,ISBLANK(INDEX(PlotData,MATCH($A569,PlotNumber,0),MATCH(B$3,PlotTitles,0)))),"",ISBLANK(INDEX(PlotData,MATCH($A569,PlotNumber,0),MATCH(I$3,PlotTitles,0))),"",(DATEVALUE(INDEX(PlotData,MATCH($A569,PlotNumber,0),MATCH(I$3,PlotTitles,0))&amp;INDEX(PlotData,MATCH($A569,PlotNumber,0),MATCH(J$3,PlotTitles,0))))&lt;DATEVALUE(StartDateMonth&amp;StartDateYear),$AB$15,TRUE,"")</f>
        <v/>
      </c>
      <c r="M569" s="104" t="str" cm="1">
        <f t="array" ref="M569">_xlfn.IFS(OR(ISBLANK(StartDateMonth),ISBLANK(StartDateYear)),"",AND(A569&gt;NumberOfPlots,ISBLANK(INDEX(PlotData,MATCH($A569,PlotNumber,0),MATCH(B$3,PlotTitles,0)))),"",ISBLANK(INDEX(PlotData,MATCH($A569,PlotNumber,0),MATCH(I$3,PlotTitles,0))),"",CompletionMonth="","",(DATEVALUE(INDEX(PlotData,MATCH($A569,PlotNumber,0),MATCH(I$3,PlotTitles,0))&amp;INDEX(PlotData,MATCH($A569,PlotNumber,0),MATCH(J$3,PlotTitles,0))))&gt;(DATEVALUE(CompletionMonth&amp;CompletionYear)),$AB$16,TRUE,"")</f>
        <v/>
      </c>
      <c r="N569" s="104" t="str" cm="1">
        <f t="array" ref="N569">_xlfn.IFS(AND(A569&gt;NumberOfPlots,ISBLANK(INDEX(PlotData,MATCH($A569,PlotNumber,0),MATCH(B$3,PlotTitles,0)))),"",ISBLANK(INDEX(PlotData,MATCH($A569,PlotNumber,0),MATCH(N$3,PlotTitles,0))),$AB$17,TRUE,"")</f>
        <v/>
      </c>
      <c r="O569" s="104" t="str" cm="1">
        <f t="array" ref="O569">_xlfn.IFS(AND(A569&gt;NumberOfPlots,ISBLANK(INDEX(PlotData,MATCH($A569,PlotNumber,0),MATCH(B$3,PlotTitles,0)))),"",ISBLANK(INDEX(PlotData,MATCH($A569,PlotNumber,0),MATCH(O$3,PlotTitles,0))),$AB$18,TRUE,"")</f>
        <v/>
      </c>
      <c r="P569" s="182" t="str">
        <f t="shared" ca="1" si="25"/>
        <v/>
      </c>
      <c r="Q569" s="104" t="str" cm="1">
        <f t="array" ref="Q569">_xlfn.IFS(AND(A569&gt;NumberOfPlots,ISBLANK(INDEX(PlotData,MATCH($A569,PlotNumber,0),MATCH(B$3,PlotTitles,0)))),"",ISBLANK(INDEX(PlotData,MATCH($A569,PlotNumber,0),MATCH(N$3,PlotTitles,0))),"",(DATEVALUE(INDEX(PlotData,MATCH($A569,PlotNumber,0),MATCH(N$3,PlotTitles,0))&amp;INDEX(PlotData,MATCH($A569,PlotNumber,0),MATCH(O$3,PlotTitles,0))))&lt;(DATEVALUE(INDEX(PlotData,MATCH($A569,PlotNumber,0),MATCH(I$3,PlotTitles,0))&amp;INDEX(PlotData,MATCH($A569,PlotNumber,0),MATCH(J$3,PlotTitles,0)))),$AB$20,TRUE,"")</f>
        <v/>
      </c>
      <c r="R569" s="104" t="str" cm="1">
        <f t="array" ref="R569">_xlfn.IFS(OR(ISBLANK(StartDateMonth),ISBLANK(StartDateYear)),"",AND(A569&gt;NumberOfPlots,ISBLANK(INDEX(PlotData,MATCH($A569,PlotNumber,0),MATCH(B$3,PlotTitles,0)))),"",ISBLANK(INDEX(PlotData,MATCH($A569,PlotNumber,0),MATCH(N$3,PlotTitles,0))),"",CompletionMonth="","",(DATEVALUE(INDEX(PlotData,MATCH($A569,PlotNumber,0),MATCH(N$3,PlotTitles,0))&amp;INDEX(PlotData,MATCH($A569,PlotNumber,0),MATCH(O$3,PlotTitles,0))))&gt;(DATEVALUE(CompletionMonth&amp;CompletionYear)),$AB$21,TRUE,"")</f>
        <v/>
      </c>
      <c r="S569" s="104" t="str" cm="1">
        <f t="array" ref="S569">_xlfn.IFS(AND(A569&gt;NumberOfPlots,ISBLANK(INDEX(PlotData,MATCH($A569,PlotNumber,0),MATCH(B$3,PlotTitles,0)))),"",OR(AND(INDEX(PlotData,MATCH($A569,PlotNumber,0),MATCH("Tenure",PlotTitles,0))="Open market housing",INDEX(PlotData,MATCH($A569,PlotNumber,0),MATCH("Tenure detail",PlotTitles,0))="Private rented sector"),INDEX(PlotData,MATCH($A569,PlotNumber,0),MATCH("Tenure",PlotTitles,0))="Affordable rent"),"",ISNUMBER(INDEX(PlotData,MATCH($A569,PlotNumber,0),MATCH(S$3,PlotTitles,0)))=FALSE, $AB$22,TRUE,"")</f>
        <v/>
      </c>
      <c r="T569" s="104" t="str" cm="1">
        <f t="array" ref="T569">_xlfn.IFS(AND(A569&gt;NumberOfPlots,ISBLANK(INDEX(PlotData,MATCH($A569,PlotNumber,0),MATCH(B$3,PlotTitles,0)))),"",OR(AND(INDEX(PlotData,MATCH($A569,PlotNumber,0),MATCH("Tenure",PlotTitles,0))="Open market housing",INDEX(PlotData,MATCH($A569,PlotNumber,0),MATCH("Tenure detail",PlotTitles,0))="Private rented sector"),INDEX(PlotData,MATCH($A569,PlotNumber,0),MATCH("Tenure",PlotTitles,0))="Affordable rent"),"",INDEX(PlotData,MATCH($A569,PlotNumber,0),MATCH(S$3,PlotTitles,0))&lt;10000, $AB$23,TRUE,"")</f>
        <v/>
      </c>
      <c r="U569" s="104" t="str" cm="1">
        <f t="array" ref="U569">_xlfn.IFS(AND(A569&gt;NumberOfPlots,ISBLANK(INDEX(PlotData,MATCH($A569,PlotNumber,0),MATCH(B$3,PlotTitles,0)))),"",NOT(OR(AND(INDEX(PlotData,MATCH($A569,PlotNumber,0),MATCH("Tenure",PlotTitles,0))="Open market housing",INDEX(PlotData,MATCH($A569,PlotNumber,0),MATCH("Tenure detail",PlotTitles,0))="Private rented sector"),INDEX(PlotData,MATCH($A569,PlotNumber,0),MATCH("Tenure",PlotTitles,0))="Affordable rent")),"",NOT(INDEX(PlotData,MATCH($A569,PlotNumber,0),MATCH(S$3,PlotTitles,0))=0), $AB$24,TRUE,"")</f>
        <v/>
      </c>
      <c r="V569" s="114" t="str" cm="1">
        <f t="array" aca="1" ref="V569" ca="1">_xlfn.IFS(ISBLANK(NumberOfPlots),"Enter the number of homes on the 1_SetUp sheet",AND(A569&gt;NumberOfPlots,ISBLANK(INDEX(PlotData,MATCH($A569,PlotNumber,0),MATCH(B$3,PlotTitles,0)))),"No error",NOT(B569=""),B569,NOT(C569=""),C569,NOT(D569=""),D569,NOT(E569=""),E569,NOT(F569=""),F569,NOT(G569=""),G569,NOT(H569=""),H569,NOT(I569=""),I569,NOT(J569=""),J569,NOT(K569=""),K569,NOT(L569=""),L569,NOT(M569=""),M569,NOT(N569=""),N569,NOT(O569=""),O569,NOT(P569=""),P569,NOT(Q569=""),Q569,NOT(R569=""),R569,NOT(S569=""),S569,NOT(T569=""),T569,NOT(U569=""),U569,TRUE,"No error")</f>
        <v>Enter the number of homes on the 1_SetUp sheet</v>
      </c>
      <c r="W569" s="114" t="str">
        <f t="shared" ca="1" si="26"/>
        <v xml:space="preserve">The Borrower has not addressed the following error messages for Home ID 565: </v>
      </c>
    </row>
    <row r="570" spans="1:23">
      <c r="A570" s="123">
        <v>566</v>
      </c>
      <c r="B570" s="104" t="str" cm="1">
        <f t="array" ref="B570">_xlfn.IFS(AND(A570&gt;NumberOfPlots,ISBLANK(INDEX(PlotData,MATCH($A570,PlotNumber,0),MATCH(B$3,PlotTitles,0)))),"",ISNUMBER(INDEX(PlotData,MATCH($A570,PlotNumber,0),MATCH(B$3,PlotTitles,0)))=FALSE, $AB$5,TRUE,"")</f>
        <v/>
      </c>
      <c r="C570" s="104" t="str" cm="1">
        <f t="array" ref="C570">_xlfn.IFS(AND(A570&gt;NumberOfPlots,ISBLANK(INDEX(PlotData,MATCH($A570,PlotNumber,0),MATCH(B$3,PlotTitles,0)))),"",ISBLANK(INDEX(PlotData,MATCH($A570,PlotNumber,0),MATCH(C$3,PlotTitles,0))),$AB$6,TRUE,"")</f>
        <v/>
      </c>
      <c r="D570" s="104" t="str" cm="1">
        <f t="array" ref="D570">_xlfn.IFS(AND(A570&gt;NumberOfPlots,ISBLANK(INDEX(PlotData,MATCH($A570,PlotNumber,0),MATCH(B$3,PlotTitles,0)))),"",ISBLANK(INDEX(PlotData,MATCH($A570,PlotNumber,0),MATCH(D$3,PlotTitles,0))),$AB$7,TRUE,"")</f>
        <v/>
      </c>
      <c r="E570" s="104" t="str" cm="1">
        <f t="array" ref="E570">_xlfn.IFS(AND(A570&gt;NumberOfPlots,ISBLANK(INDEX(PlotData,MATCH($A570,PlotNumber,0),MATCH(B$3,PlotTitles,0)))),"",ISBLANK(INDEX(PlotData,MATCH($A570,PlotNumber,0),MATCH(E$3,PlotTitles,0))),$AB$8,TRUE,"")</f>
        <v/>
      </c>
      <c r="F570" s="104" t="str" cm="1">
        <f t="array" ref="F570">_xlfn.IFS(AND(A570&gt;NumberOfPlots,ISBLANK(INDEX(PlotData,MATCH($A570,PlotNumber,0),MATCH(B$3,PlotTitles,0)))),"",ISBLANK(INDEX(PlotData,MATCH($A570,PlotNumber,0),MATCH(F$3,PlotTitles,0))),$AB$9,TRUE,"")</f>
        <v/>
      </c>
      <c r="G570" s="104" t="str" cm="1">
        <f t="array" ref="G570">_xlfn.IFS(AND(A570&gt;NumberOfPlots,ISBLANK(INDEX(PlotData,MATCH($A570,PlotNumber,0),MATCH(B$3,PlotTitles,0)))),"",ISBLANK(INDEX(PlotData,MATCH($A570,PlotNumber,0),MATCH(G$3,PlotTitles,0))),$AB$10,TRUE,"")</f>
        <v/>
      </c>
      <c r="H570" s="104" t="str" cm="1">
        <f t="array" ref="H570">_xlfn.IFS(AND(A570&gt;NumberOfPlots,ISBLANK(INDEX(PlotData,MATCH($A570,PlotNumber,0),MATCH(B$3,PlotTitles,0)))),"",AND(ISBLANK(INDEX(PlotData,MATCH($A570,PlotNumber,0),MATCH(H$3,PlotTitles,0)))=FALSE,INDEX(PlotData,MATCH($A570,PlotNumber,0),MATCH(H$3,PlotTitles,0))&lt;500), $AB$11,TRUE,"")</f>
        <v/>
      </c>
      <c r="I570" s="104" t="str" cm="1">
        <f t="array" ref="I570">_xlfn.IFS(AND(A570&gt;NumberOfPlots,ISBLANK(INDEX(PlotData,MATCH($A570,PlotNumber,0),MATCH(B$3,PlotTitles,0)))),"",ISBLANK(INDEX(PlotData,MATCH($A570,PlotNumber,0),MATCH(I$3,PlotTitles,0))),$AB$12,TRUE,"")</f>
        <v/>
      </c>
      <c r="J570" s="104" t="str" cm="1">
        <f t="array" ref="J570">_xlfn.IFS(AND(A570&gt;NumberOfPlots,ISBLANK(INDEX(PlotData,MATCH($A570,PlotNumber,0),MATCH(B$3,PlotTitles,0)))),"",ISBLANK(INDEX(PlotData,MATCH($A570,PlotNumber,0),MATCH(J$3,PlotTitles,0))),$AB$13,TRUE,"")</f>
        <v/>
      </c>
      <c r="K570" s="182" t="str">
        <f t="shared" ca="1" si="24"/>
        <v/>
      </c>
      <c r="L570" s="104" t="str" cm="1">
        <f t="array" ref="L570">_xlfn.IFS(OR(ISBLANK(StartDateMonth),ISBLANK(StartDateYear)),"",AND(A570&gt;NumberOfPlots,ISBLANK(INDEX(PlotData,MATCH($A570,PlotNumber,0),MATCH(B$3,PlotTitles,0)))),"",ISBLANK(INDEX(PlotData,MATCH($A570,PlotNumber,0),MATCH(I$3,PlotTitles,0))),"",(DATEVALUE(INDEX(PlotData,MATCH($A570,PlotNumber,0),MATCH(I$3,PlotTitles,0))&amp;INDEX(PlotData,MATCH($A570,PlotNumber,0),MATCH(J$3,PlotTitles,0))))&lt;DATEVALUE(StartDateMonth&amp;StartDateYear),$AB$15,TRUE,"")</f>
        <v/>
      </c>
      <c r="M570" s="104" t="str" cm="1">
        <f t="array" ref="M570">_xlfn.IFS(OR(ISBLANK(StartDateMonth),ISBLANK(StartDateYear)),"",AND(A570&gt;NumberOfPlots,ISBLANK(INDEX(PlotData,MATCH($A570,PlotNumber,0),MATCH(B$3,PlotTitles,0)))),"",ISBLANK(INDEX(PlotData,MATCH($A570,PlotNumber,0),MATCH(I$3,PlotTitles,0))),"",CompletionMonth="","",(DATEVALUE(INDEX(PlotData,MATCH($A570,PlotNumber,0),MATCH(I$3,PlotTitles,0))&amp;INDEX(PlotData,MATCH($A570,PlotNumber,0),MATCH(J$3,PlotTitles,0))))&gt;(DATEVALUE(CompletionMonth&amp;CompletionYear)),$AB$16,TRUE,"")</f>
        <v/>
      </c>
      <c r="N570" s="104" t="str" cm="1">
        <f t="array" ref="N570">_xlfn.IFS(AND(A570&gt;NumberOfPlots,ISBLANK(INDEX(PlotData,MATCH($A570,PlotNumber,0),MATCH(B$3,PlotTitles,0)))),"",ISBLANK(INDEX(PlotData,MATCH($A570,PlotNumber,0),MATCH(N$3,PlotTitles,0))),$AB$17,TRUE,"")</f>
        <v/>
      </c>
      <c r="O570" s="104" t="str" cm="1">
        <f t="array" ref="O570">_xlfn.IFS(AND(A570&gt;NumberOfPlots,ISBLANK(INDEX(PlotData,MATCH($A570,PlotNumber,0),MATCH(B$3,PlotTitles,0)))),"",ISBLANK(INDEX(PlotData,MATCH($A570,PlotNumber,0),MATCH(O$3,PlotTitles,0))),$AB$18,TRUE,"")</f>
        <v/>
      </c>
      <c r="P570" s="182" t="str">
        <f t="shared" ca="1" si="25"/>
        <v/>
      </c>
      <c r="Q570" s="104" t="str" cm="1">
        <f t="array" ref="Q570">_xlfn.IFS(AND(A570&gt;NumberOfPlots,ISBLANK(INDEX(PlotData,MATCH($A570,PlotNumber,0),MATCH(B$3,PlotTitles,0)))),"",ISBLANK(INDEX(PlotData,MATCH($A570,PlotNumber,0),MATCH(N$3,PlotTitles,0))),"",(DATEVALUE(INDEX(PlotData,MATCH($A570,PlotNumber,0),MATCH(N$3,PlotTitles,0))&amp;INDEX(PlotData,MATCH($A570,PlotNumber,0),MATCH(O$3,PlotTitles,0))))&lt;(DATEVALUE(INDEX(PlotData,MATCH($A570,PlotNumber,0),MATCH(I$3,PlotTitles,0))&amp;INDEX(PlotData,MATCH($A570,PlotNumber,0),MATCH(J$3,PlotTitles,0)))),$AB$20,TRUE,"")</f>
        <v/>
      </c>
      <c r="R570" s="104" t="str" cm="1">
        <f t="array" ref="R570">_xlfn.IFS(OR(ISBLANK(StartDateMonth),ISBLANK(StartDateYear)),"",AND(A570&gt;NumberOfPlots,ISBLANK(INDEX(PlotData,MATCH($A570,PlotNumber,0),MATCH(B$3,PlotTitles,0)))),"",ISBLANK(INDEX(PlotData,MATCH($A570,PlotNumber,0),MATCH(N$3,PlotTitles,0))),"",CompletionMonth="","",(DATEVALUE(INDEX(PlotData,MATCH($A570,PlotNumber,0),MATCH(N$3,PlotTitles,0))&amp;INDEX(PlotData,MATCH($A570,PlotNumber,0),MATCH(O$3,PlotTitles,0))))&gt;(DATEVALUE(CompletionMonth&amp;CompletionYear)),$AB$21,TRUE,"")</f>
        <v/>
      </c>
      <c r="S570" s="104" t="str" cm="1">
        <f t="array" ref="S570">_xlfn.IFS(AND(A570&gt;NumberOfPlots,ISBLANK(INDEX(PlotData,MATCH($A570,PlotNumber,0),MATCH(B$3,PlotTitles,0)))),"",OR(AND(INDEX(PlotData,MATCH($A570,PlotNumber,0),MATCH("Tenure",PlotTitles,0))="Open market housing",INDEX(PlotData,MATCH($A570,PlotNumber,0),MATCH("Tenure detail",PlotTitles,0))="Private rented sector"),INDEX(PlotData,MATCH($A570,PlotNumber,0),MATCH("Tenure",PlotTitles,0))="Affordable rent"),"",ISNUMBER(INDEX(PlotData,MATCH($A570,PlotNumber,0),MATCH(S$3,PlotTitles,0)))=FALSE, $AB$22,TRUE,"")</f>
        <v/>
      </c>
      <c r="T570" s="104" t="str" cm="1">
        <f t="array" ref="T570">_xlfn.IFS(AND(A570&gt;NumberOfPlots,ISBLANK(INDEX(PlotData,MATCH($A570,PlotNumber,0),MATCH(B$3,PlotTitles,0)))),"",OR(AND(INDEX(PlotData,MATCH($A570,PlotNumber,0),MATCH("Tenure",PlotTitles,0))="Open market housing",INDEX(PlotData,MATCH($A570,PlotNumber,0),MATCH("Tenure detail",PlotTitles,0))="Private rented sector"),INDEX(PlotData,MATCH($A570,PlotNumber,0),MATCH("Tenure",PlotTitles,0))="Affordable rent"),"",INDEX(PlotData,MATCH($A570,PlotNumber,0),MATCH(S$3,PlotTitles,0))&lt;10000, $AB$23,TRUE,"")</f>
        <v/>
      </c>
      <c r="U570" s="104" t="str" cm="1">
        <f t="array" ref="U570">_xlfn.IFS(AND(A570&gt;NumberOfPlots,ISBLANK(INDEX(PlotData,MATCH($A570,PlotNumber,0),MATCH(B$3,PlotTitles,0)))),"",NOT(OR(AND(INDEX(PlotData,MATCH($A570,PlotNumber,0),MATCH("Tenure",PlotTitles,0))="Open market housing",INDEX(PlotData,MATCH($A570,PlotNumber,0),MATCH("Tenure detail",PlotTitles,0))="Private rented sector"),INDEX(PlotData,MATCH($A570,PlotNumber,0),MATCH("Tenure",PlotTitles,0))="Affordable rent")),"",NOT(INDEX(PlotData,MATCH($A570,PlotNumber,0),MATCH(S$3,PlotTitles,0))=0), $AB$24,TRUE,"")</f>
        <v/>
      </c>
      <c r="V570" s="114" t="str" cm="1">
        <f t="array" aca="1" ref="V570" ca="1">_xlfn.IFS(ISBLANK(NumberOfPlots),"Enter the number of homes on the 1_SetUp sheet",AND(A570&gt;NumberOfPlots,ISBLANK(INDEX(PlotData,MATCH($A570,PlotNumber,0),MATCH(B$3,PlotTitles,0)))),"No error",NOT(B570=""),B570,NOT(C570=""),C570,NOT(D570=""),D570,NOT(E570=""),E570,NOT(F570=""),F570,NOT(G570=""),G570,NOT(H570=""),H570,NOT(I570=""),I570,NOT(J570=""),J570,NOT(K570=""),K570,NOT(L570=""),L570,NOT(M570=""),M570,NOT(N570=""),N570,NOT(O570=""),O570,NOT(P570=""),P570,NOT(Q570=""),Q570,NOT(R570=""),R570,NOT(S570=""),S570,NOT(T570=""),T570,NOT(U570=""),U570,TRUE,"No error")</f>
        <v>Enter the number of homes on the 1_SetUp sheet</v>
      </c>
      <c r="W570" s="114" t="str">
        <f t="shared" ca="1" si="26"/>
        <v xml:space="preserve">The Borrower has not addressed the following error messages for Home ID 566: </v>
      </c>
    </row>
    <row r="571" spans="1:23">
      <c r="A571" s="123">
        <v>567</v>
      </c>
      <c r="B571" s="104" t="str" cm="1">
        <f t="array" ref="B571">_xlfn.IFS(AND(A571&gt;NumberOfPlots,ISBLANK(INDEX(PlotData,MATCH($A571,PlotNumber,0),MATCH(B$3,PlotTitles,0)))),"",ISNUMBER(INDEX(PlotData,MATCH($A571,PlotNumber,0),MATCH(B$3,PlotTitles,0)))=FALSE, $AB$5,TRUE,"")</f>
        <v/>
      </c>
      <c r="C571" s="104" t="str" cm="1">
        <f t="array" ref="C571">_xlfn.IFS(AND(A571&gt;NumberOfPlots,ISBLANK(INDEX(PlotData,MATCH($A571,PlotNumber,0),MATCH(B$3,PlotTitles,0)))),"",ISBLANK(INDEX(PlotData,MATCH($A571,PlotNumber,0),MATCH(C$3,PlotTitles,0))),$AB$6,TRUE,"")</f>
        <v/>
      </c>
      <c r="D571" s="104" t="str" cm="1">
        <f t="array" ref="D571">_xlfn.IFS(AND(A571&gt;NumberOfPlots,ISBLANK(INDEX(PlotData,MATCH($A571,PlotNumber,0),MATCH(B$3,PlotTitles,0)))),"",ISBLANK(INDEX(PlotData,MATCH($A571,PlotNumber,0),MATCH(D$3,PlotTitles,0))),$AB$7,TRUE,"")</f>
        <v/>
      </c>
      <c r="E571" s="104" t="str" cm="1">
        <f t="array" ref="E571">_xlfn.IFS(AND(A571&gt;NumberOfPlots,ISBLANK(INDEX(PlotData,MATCH($A571,PlotNumber,0),MATCH(B$3,PlotTitles,0)))),"",ISBLANK(INDEX(PlotData,MATCH($A571,PlotNumber,0),MATCH(E$3,PlotTitles,0))),$AB$8,TRUE,"")</f>
        <v/>
      </c>
      <c r="F571" s="104" t="str" cm="1">
        <f t="array" ref="F571">_xlfn.IFS(AND(A571&gt;NumberOfPlots,ISBLANK(INDEX(PlotData,MATCH($A571,PlotNumber,0),MATCH(B$3,PlotTitles,0)))),"",ISBLANK(INDEX(PlotData,MATCH($A571,PlotNumber,0),MATCH(F$3,PlotTitles,0))),$AB$9,TRUE,"")</f>
        <v/>
      </c>
      <c r="G571" s="104" t="str" cm="1">
        <f t="array" ref="G571">_xlfn.IFS(AND(A571&gt;NumberOfPlots,ISBLANK(INDEX(PlotData,MATCH($A571,PlotNumber,0),MATCH(B$3,PlotTitles,0)))),"",ISBLANK(INDEX(PlotData,MATCH($A571,PlotNumber,0),MATCH(G$3,PlotTitles,0))),$AB$10,TRUE,"")</f>
        <v/>
      </c>
      <c r="H571" s="104" t="str" cm="1">
        <f t="array" ref="H571">_xlfn.IFS(AND(A571&gt;NumberOfPlots,ISBLANK(INDEX(PlotData,MATCH($A571,PlotNumber,0),MATCH(B$3,PlotTitles,0)))),"",AND(ISBLANK(INDEX(PlotData,MATCH($A571,PlotNumber,0),MATCH(H$3,PlotTitles,0)))=FALSE,INDEX(PlotData,MATCH($A571,PlotNumber,0),MATCH(H$3,PlotTitles,0))&lt;500), $AB$11,TRUE,"")</f>
        <v/>
      </c>
      <c r="I571" s="104" t="str" cm="1">
        <f t="array" ref="I571">_xlfn.IFS(AND(A571&gt;NumberOfPlots,ISBLANK(INDEX(PlotData,MATCH($A571,PlotNumber,0),MATCH(B$3,PlotTitles,0)))),"",ISBLANK(INDEX(PlotData,MATCH($A571,PlotNumber,0),MATCH(I$3,PlotTitles,0))),$AB$12,TRUE,"")</f>
        <v/>
      </c>
      <c r="J571" s="104" t="str" cm="1">
        <f t="array" ref="J571">_xlfn.IFS(AND(A571&gt;NumberOfPlots,ISBLANK(INDEX(PlotData,MATCH($A571,PlotNumber,0),MATCH(B$3,PlotTitles,0)))),"",ISBLANK(INDEX(PlotData,MATCH($A571,PlotNumber,0),MATCH(J$3,PlotTitles,0))),$AB$13,TRUE,"")</f>
        <v/>
      </c>
      <c r="K571" s="182" t="str">
        <f t="shared" ca="1" si="24"/>
        <v/>
      </c>
      <c r="L571" s="104" t="str" cm="1">
        <f t="array" ref="L571">_xlfn.IFS(OR(ISBLANK(StartDateMonth),ISBLANK(StartDateYear)),"",AND(A571&gt;NumberOfPlots,ISBLANK(INDEX(PlotData,MATCH($A571,PlotNumber,0),MATCH(B$3,PlotTitles,0)))),"",ISBLANK(INDEX(PlotData,MATCH($A571,PlotNumber,0),MATCH(I$3,PlotTitles,0))),"",(DATEVALUE(INDEX(PlotData,MATCH($A571,PlotNumber,0),MATCH(I$3,PlotTitles,0))&amp;INDEX(PlotData,MATCH($A571,PlotNumber,0),MATCH(J$3,PlotTitles,0))))&lt;DATEVALUE(StartDateMonth&amp;StartDateYear),$AB$15,TRUE,"")</f>
        <v/>
      </c>
      <c r="M571" s="104" t="str" cm="1">
        <f t="array" ref="M571">_xlfn.IFS(OR(ISBLANK(StartDateMonth),ISBLANK(StartDateYear)),"",AND(A571&gt;NumberOfPlots,ISBLANK(INDEX(PlotData,MATCH($A571,PlotNumber,0),MATCH(B$3,PlotTitles,0)))),"",ISBLANK(INDEX(PlotData,MATCH($A571,PlotNumber,0),MATCH(I$3,PlotTitles,0))),"",CompletionMonth="","",(DATEVALUE(INDEX(PlotData,MATCH($A571,PlotNumber,0),MATCH(I$3,PlotTitles,0))&amp;INDEX(PlotData,MATCH($A571,PlotNumber,0),MATCH(J$3,PlotTitles,0))))&gt;(DATEVALUE(CompletionMonth&amp;CompletionYear)),$AB$16,TRUE,"")</f>
        <v/>
      </c>
      <c r="N571" s="104" t="str" cm="1">
        <f t="array" ref="N571">_xlfn.IFS(AND(A571&gt;NumberOfPlots,ISBLANK(INDEX(PlotData,MATCH($A571,PlotNumber,0),MATCH(B$3,PlotTitles,0)))),"",ISBLANK(INDEX(PlotData,MATCH($A571,PlotNumber,0),MATCH(N$3,PlotTitles,0))),$AB$17,TRUE,"")</f>
        <v/>
      </c>
      <c r="O571" s="104" t="str" cm="1">
        <f t="array" ref="O571">_xlfn.IFS(AND(A571&gt;NumberOfPlots,ISBLANK(INDEX(PlotData,MATCH($A571,PlotNumber,0),MATCH(B$3,PlotTitles,0)))),"",ISBLANK(INDEX(PlotData,MATCH($A571,PlotNumber,0),MATCH(O$3,PlotTitles,0))),$AB$18,TRUE,"")</f>
        <v/>
      </c>
      <c r="P571" s="182" t="str">
        <f t="shared" ca="1" si="25"/>
        <v/>
      </c>
      <c r="Q571" s="104" t="str" cm="1">
        <f t="array" ref="Q571">_xlfn.IFS(AND(A571&gt;NumberOfPlots,ISBLANK(INDEX(PlotData,MATCH($A571,PlotNumber,0),MATCH(B$3,PlotTitles,0)))),"",ISBLANK(INDEX(PlotData,MATCH($A571,PlotNumber,0),MATCH(N$3,PlotTitles,0))),"",(DATEVALUE(INDEX(PlotData,MATCH($A571,PlotNumber,0),MATCH(N$3,PlotTitles,0))&amp;INDEX(PlotData,MATCH($A571,PlotNumber,0),MATCH(O$3,PlotTitles,0))))&lt;(DATEVALUE(INDEX(PlotData,MATCH($A571,PlotNumber,0),MATCH(I$3,PlotTitles,0))&amp;INDEX(PlotData,MATCH($A571,PlotNumber,0),MATCH(J$3,PlotTitles,0)))),$AB$20,TRUE,"")</f>
        <v/>
      </c>
      <c r="R571" s="104" t="str" cm="1">
        <f t="array" ref="R571">_xlfn.IFS(OR(ISBLANK(StartDateMonth),ISBLANK(StartDateYear)),"",AND(A571&gt;NumberOfPlots,ISBLANK(INDEX(PlotData,MATCH($A571,PlotNumber,0),MATCH(B$3,PlotTitles,0)))),"",ISBLANK(INDEX(PlotData,MATCH($A571,PlotNumber,0),MATCH(N$3,PlotTitles,0))),"",CompletionMonth="","",(DATEVALUE(INDEX(PlotData,MATCH($A571,PlotNumber,0),MATCH(N$3,PlotTitles,0))&amp;INDEX(PlotData,MATCH($A571,PlotNumber,0),MATCH(O$3,PlotTitles,0))))&gt;(DATEVALUE(CompletionMonth&amp;CompletionYear)),$AB$21,TRUE,"")</f>
        <v/>
      </c>
      <c r="S571" s="104" t="str" cm="1">
        <f t="array" ref="S571">_xlfn.IFS(AND(A571&gt;NumberOfPlots,ISBLANK(INDEX(PlotData,MATCH($A571,PlotNumber,0),MATCH(B$3,PlotTitles,0)))),"",OR(AND(INDEX(PlotData,MATCH($A571,PlotNumber,0),MATCH("Tenure",PlotTitles,0))="Open market housing",INDEX(PlotData,MATCH($A571,PlotNumber,0),MATCH("Tenure detail",PlotTitles,0))="Private rented sector"),INDEX(PlotData,MATCH($A571,PlotNumber,0),MATCH("Tenure",PlotTitles,0))="Affordable rent"),"",ISNUMBER(INDEX(PlotData,MATCH($A571,PlotNumber,0),MATCH(S$3,PlotTitles,0)))=FALSE, $AB$22,TRUE,"")</f>
        <v/>
      </c>
      <c r="T571" s="104" t="str" cm="1">
        <f t="array" ref="T571">_xlfn.IFS(AND(A571&gt;NumberOfPlots,ISBLANK(INDEX(PlotData,MATCH($A571,PlotNumber,0),MATCH(B$3,PlotTitles,0)))),"",OR(AND(INDEX(PlotData,MATCH($A571,PlotNumber,0),MATCH("Tenure",PlotTitles,0))="Open market housing",INDEX(PlotData,MATCH($A571,PlotNumber,0),MATCH("Tenure detail",PlotTitles,0))="Private rented sector"),INDEX(PlotData,MATCH($A571,PlotNumber,0),MATCH("Tenure",PlotTitles,0))="Affordable rent"),"",INDEX(PlotData,MATCH($A571,PlotNumber,0),MATCH(S$3,PlotTitles,0))&lt;10000, $AB$23,TRUE,"")</f>
        <v/>
      </c>
      <c r="U571" s="104" t="str" cm="1">
        <f t="array" ref="U571">_xlfn.IFS(AND(A571&gt;NumberOfPlots,ISBLANK(INDEX(PlotData,MATCH($A571,PlotNumber,0),MATCH(B$3,PlotTitles,0)))),"",NOT(OR(AND(INDEX(PlotData,MATCH($A571,PlotNumber,0),MATCH("Tenure",PlotTitles,0))="Open market housing",INDEX(PlotData,MATCH($A571,PlotNumber,0),MATCH("Tenure detail",PlotTitles,0))="Private rented sector"),INDEX(PlotData,MATCH($A571,PlotNumber,0),MATCH("Tenure",PlotTitles,0))="Affordable rent")),"",NOT(INDEX(PlotData,MATCH($A571,PlotNumber,0),MATCH(S$3,PlotTitles,0))=0), $AB$24,TRUE,"")</f>
        <v/>
      </c>
      <c r="V571" s="114" t="str" cm="1">
        <f t="array" aca="1" ref="V571" ca="1">_xlfn.IFS(ISBLANK(NumberOfPlots),"Enter the number of homes on the 1_SetUp sheet",AND(A571&gt;NumberOfPlots,ISBLANK(INDEX(PlotData,MATCH($A571,PlotNumber,0),MATCH(B$3,PlotTitles,0)))),"No error",NOT(B571=""),B571,NOT(C571=""),C571,NOT(D571=""),D571,NOT(E571=""),E571,NOT(F571=""),F571,NOT(G571=""),G571,NOT(H571=""),H571,NOT(I571=""),I571,NOT(J571=""),J571,NOT(K571=""),K571,NOT(L571=""),L571,NOT(M571=""),M571,NOT(N571=""),N571,NOT(O571=""),O571,NOT(P571=""),P571,NOT(Q571=""),Q571,NOT(R571=""),R571,NOT(S571=""),S571,NOT(T571=""),T571,NOT(U571=""),U571,TRUE,"No error")</f>
        <v>Enter the number of homes on the 1_SetUp sheet</v>
      </c>
      <c r="W571" s="114" t="str">
        <f t="shared" ca="1" si="26"/>
        <v xml:space="preserve">The Borrower has not addressed the following error messages for Home ID 567: </v>
      </c>
    </row>
    <row r="572" spans="1:23">
      <c r="A572" s="123">
        <v>568</v>
      </c>
      <c r="B572" s="104" t="str" cm="1">
        <f t="array" ref="B572">_xlfn.IFS(AND(A572&gt;NumberOfPlots,ISBLANK(INDEX(PlotData,MATCH($A572,PlotNumber,0),MATCH(B$3,PlotTitles,0)))),"",ISNUMBER(INDEX(PlotData,MATCH($A572,PlotNumber,0),MATCH(B$3,PlotTitles,0)))=FALSE, $AB$5,TRUE,"")</f>
        <v/>
      </c>
      <c r="C572" s="104" t="str" cm="1">
        <f t="array" ref="C572">_xlfn.IFS(AND(A572&gt;NumberOfPlots,ISBLANK(INDEX(PlotData,MATCH($A572,PlotNumber,0),MATCH(B$3,PlotTitles,0)))),"",ISBLANK(INDEX(PlotData,MATCH($A572,PlotNumber,0),MATCH(C$3,PlotTitles,0))),$AB$6,TRUE,"")</f>
        <v/>
      </c>
      <c r="D572" s="104" t="str" cm="1">
        <f t="array" ref="D572">_xlfn.IFS(AND(A572&gt;NumberOfPlots,ISBLANK(INDEX(PlotData,MATCH($A572,PlotNumber,0),MATCH(B$3,PlotTitles,0)))),"",ISBLANK(INDEX(PlotData,MATCH($A572,PlotNumber,0),MATCH(D$3,PlotTitles,0))),$AB$7,TRUE,"")</f>
        <v/>
      </c>
      <c r="E572" s="104" t="str" cm="1">
        <f t="array" ref="E572">_xlfn.IFS(AND(A572&gt;NumberOfPlots,ISBLANK(INDEX(PlotData,MATCH($A572,PlotNumber,0),MATCH(B$3,PlotTitles,0)))),"",ISBLANK(INDEX(PlotData,MATCH($A572,PlotNumber,0),MATCH(E$3,PlotTitles,0))),$AB$8,TRUE,"")</f>
        <v/>
      </c>
      <c r="F572" s="104" t="str" cm="1">
        <f t="array" ref="F572">_xlfn.IFS(AND(A572&gt;NumberOfPlots,ISBLANK(INDEX(PlotData,MATCH($A572,PlotNumber,0),MATCH(B$3,PlotTitles,0)))),"",ISBLANK(INDEX(PlotData,MATCH($A572,PlotNumber,0),MATCH(F$3,PlotTitles,0))),$AB$9,TRUE,"")</f>
        <v/>
      </c>
      <c r="G572" s="104" t="str" cm="1">
        <f t="array" ref="G572">_xlfn.IFS(AND(A572&gt;NumberOfPlots,ISBLANK(INDEX(PlotData,MATCH($A572,PlotNumber,0),MATCH(B$3,PlotTitles,0)))),"",ISBLANK(INDEX(PlotData,MATCH($A572,PlotNumber,0),MATCH(G$3,PlotTitles,0))),$AB$10,TRUE,"")</f>
        <v/>
      </c>
      <c r="H572" s="104" t="str" cm="1">
        <f t="array" ref="H572">_xlfn.IFS(AND(A572&gt;NumberOfPlots,ISBLANK(INDEX(PlotData,MATCH($A572,PlotNumber,0),MATCH(B$3,PlotTitles,0)))),"",AND(ISBLANK(INDEX(PlotData,MATCH($A572,PlotNumber,0),MATCH(H$3,PlotTitles,0)))=FALSE,INDEX(PlotData,MATCH($A572,PlotNumber,0),MATCH(H$3,PlotTitles,0))&lt;500), $AB$11,TRUE,"")</f>
        <v/>
      </c>
      <c r="I572" s="104" t="str" cm="1">
        <f t="array" ref="I572">_xlfn.IFS(AND(A572&gt;NumberOfPlots,ISBLANK(INDEX(PlotData,MATCH($A572,PlotNumber,0),MATCH(B$3,PlotTitles,0)))),"",ISBLANK(INDEX(PlotData,MATCH($A572,PlotNumber,0),MATCH(I$3,PlotTitles,0))),$AB$12,TRUE,"")</f>
        <v/>
      </c>
      <c r="J572" s="104" t="str" cm="1">
        <f t="array" ref="J572">_xlfn.IFS(AND(A572&gt;NumberOfPlots,ISBLANK(INDEX(PlotData,MATCH($A572,PlotNumber,0),MATCH(B$3,PlotTitles,0)))),"",ISBLANK(INDEX(PlotData,MATCH($A572,PlotNumber,0),MATCH(J$3,PlotTitles,0))),$AB$13,TRUE,"")</f>
        <v/>
      </c>
      <c r="K572" s="182" t="str">
        <f t="shared" ca="1" si="24"/>
        <v/>
      </c>
      <c r="L572" s="104" t="str" cm="1">
        <f t="array" ref="L572">_xlfn.IFS(OR(ISBLANK(StartDateMonth),ISBLANK(StartDateYear)),"",AND(A572&gt;NumberOfPlots,ISBLANK(INDEX(PlotData,MATCH($A572,PlotNumber,0),MATCH(B$3,PlotTitles,0)))),"",ISBLANK(INDEX(PlotData,MATCH($A572,PlotNumber,0),MATCH(I$3,PlotTitles,0))),"",(DATEVALUE(INDEX(PlotData,MATCH($A572,PlotNumber,0),MATCH(I$3,PlotTitles,0))&amp;INDEX(PlotData,MATCH($A572,PlotNumber,0),MATCH(J$3,PlotTitles,0))))&lt;DATEVALUE(StartDateMonth&amp;StartDateYear),$AB$15,TRUE,"")</f>
        <v/>
      </c>
      <c r="M572" s="104" t="str" cm="1">
        <f t="array" ref="M572">_xlfn.IFS(OR(ISBLANK(StartDateMonth),ISBLANK(StartDateYear)),"",AND(A572&gt;NumberOfPlots,ISBLANK(INDEX(PlotData,MATCH($A572,PlotNumber,0),MATCH(B$3,PlotTitles,0)))),"",ISBLANK(INDEX(PlotData,MATCH($A572,PlotNumber,0),MATCH(I$3,PlotTitles,0))),"",CompletionMonth="","",(DATEVALUE(INDEX(PlotData,MATCH($A572,PlotNumber,0),MATCH(I$3,PlotTitles,0))&amp;INDEX(PlotData,MATCH($A572,PlotNumber,0),MATCH(J$3,PlotTitles,0))))&gt;(DATEVALUE(CompletionMonth&amp;CompletionYear)),$AB$16,TRUE,"")</f>
        <v/>
      </c>
      <c r="N572" s="104" t="str" cm="1">
        <f t="array" ref="N572">_xlfn.IFS(AND(A572&gt;NumberOfPlots,ISBLANK(INDEX(PlotData,MATCH($A572,PlotNumber,0),MATCH(B$3,PlotTitles,0)))),"",ISBLANK(INDEX(PlotData,MATCH($A572,PlotNumber,0),MATCH(N$3,PlotTitles,0))),$AB$17,TRUE,"")</f>
        <v/>
      </c>
      <c r="O572" s="104" t="str" cm="1">
        <f t="array" ref="O572">_xlfn.IFS(AND(A572&gt;NumberOfPlots,ISBLANK(INDEX(PlotData,MATCH($A572,PlotNumber,0),MATCH(B$3,PlotTitles,0)))),"",ISBLANK(INDEX(PlotData,MATCH($A572,PlotNumber,0),MATCH(O$3,PlotTitles,0))),$AB$18,TRUE,"")</f>
        <v/>
      </c>
      <c r="P572" s="182" t="str">
        <f t="shared" ca="1" si="25"/>
        <v/>
      </c>
      <c r="Q572" s="104" t="str" cm="1">
        <f t="array" ref="Q572">_xlfn.IFS(AND(A572&gt;NumberOfPlots,ISBLANK(INDEX(PlotData,MATCH($A572,PlotNumber,0),MATCH(B$3,PlotTitles,0)))),"",ISBLANK(INDEX(PlotData,MATCH($A572,PlotNumber,0),MATCH(N$3,PlotTitles,0))),"",(DATEVALUE(INDEX(PlotData,MATCH($A572,PlotNumber,0),MATCH(N$3,PlotTitles,0))&amp;INDEX(PlotData,MATCH($A572,PlotNumber,0),MATCH(O$3,PlotTitles,0))))&lt;(DATEVALUE(INDEX(PlotData,MATCH($A572,PlotNumber,0),MATCH(I$3,PlotTitles,0))&amp;INDEX(PlotData,MATCH($A572,PlotNumber,0),MATCH(J$3,PlotTitles,0)))),$AB$20,TRUE,"")</f>
        <v/>
      </c>
      <c r="R572" s="104" t="str" cm="1">
        <f t="array" ref="R572">_xlfn.IFS(OR(ISBLANK(StartDateMonth),ISBLANK(StartDateYear)),"",AND(A572&gt;NumberOfPlots,ISBLANK(INDEX(PlotData,MATCH($A572,PlotNumber,0),MATCH(B$3,PlotTitles,0)))),"",ISBLANK(INDEX(PlotData,MATCH($A572,PlotNumber,0),MATCH(N$3,PlotTitles,0))),"",CompletionMonth="","",(DATEVALUE(INDEX(PlotData,MATCH($A572,PlotNumber,0),MATCH(N$3,PlotTitles,0))&amp;INDEX(PlotData,MATCH($A572,PlotNumber,0),MATCH(O$3,PlotTitles,0))))&gt;(DATEVALUE(CompletionMonth&amp;CompletionYear)),$AB$21,TRUE,"")</f>
        <v/>
      </c>
      <c r="S572" s="104" t="str" cm="1">
        <f t="array" ref="S572">_xlfn.IFS(AND(A572&gt;NumberOfPlots,ISBLANK(INDEX(PlotData,MATCH($A572,PlotNumber,0),MATCH(B$3,PlotTitles,0)))),"",OR(AND(INDEX(PlotData,MATCH($A572,PlotNumber,0),MATCH("Tenure",PlotTitles,0))="Open market housing",INDEX(PlotData,MATCH($A572,PlotNumber,0),MATCH("Tenure detail",PlotTitles,0))="Private rented sector"),INDEX(PlotData,MATCH($A572,PlotNumber,0),MATCH("Tenure",PlotTitles,0))="Affordable rent"),"",ISNUMBER(INDEX(PlotData,MATCH($A572,PlotNumber,0),MATCH(S$3,PlotTitles,0)))=FALSE, $AB$22,TRUE,"")</f>
        <v/>
      </c>
      <c r="T572" s="104" t="str" cm="1">
        <f t="array" ref="T572">_xlfn.IFS(AND(A572&gt;NumberOfPlots,ISBLANK(INDEX(PlotData,MATCH($A572,PlotNumber,0),MATCH(B$3,PlotTitles,0)))),"",OR(AND(INDEX(PlotData,MATCH($A572,PlotNumber,0),MATCH("Tenure",PlotTitles,0))="Open market housing",INDEX(PlotData,MATCH($A572,PlotNumber,0),MATCH("Tenure detail",PlotTitles,0))="Private rented sector"),INDEX(PlotData,MATCH($A572,PlotNumber,0),MATCH("Tenure",PlotTitles,0))="Affordable rent"),"",INDEX(PlotData,MATCH($A572,PlotNumber,0),MATCH(S$3,PlotTitles,0))&lt;10000, $AB$23,TRUE,"")</f>
        <v/>
      </c>
      <c r="U572" s="104" t="str" cm="1">
        <f t="array" ref="U572">_xlfn.IFS(AND(A572&gt;NumberOfPlots,ISBLANK(INDEX(PlotData,MATCH($A572,PlotNumber,0),MATCH(B$3,PlotTitles,0)))),"",NOT(OR(AND(INDEX(PlotData,MATCH($A572,PlotNumber,0),MATCH("Tenure",PlotTitles,0))="Open market housing",INDEX(PlotData,MATCH($A572,PlotNumber,0),MATCH("Tenure detail",PlotTitles,0))="Private rented sector"),INDEX(PlotData,MATCH($A572,PlotNumber,0),MATCH("Tenure",PlotTitles,0))="Affordable rent")),"",NOT(INDEX(PlotData,MATCH($A572,PlotNumber,0),MATCH(S$3,PlotTitles,0))=0), $AB$24,TRUE,"")</f>
        <v/>
      </c>
      <c r="V572" s="114" t="str" cm="1">
        <f t="array" aca="1" ref="V572" ca="1">_xlfn.IFS(ISBLANK(NumberOfPlots),"Enter the number of homes on the 1_SetUp sheet",AND(A572&gt;NumberOfPlots,ISBLANK(INDEX(PlotData,MATCH($A572,PlotNumber,0),MATCH(B$3,PlotTitles,0)))),"No error",NOT(B572=""),B572,NOT(C572=""),C572,NOT(D572=""),D572,NOT(E572=""),E572,NOT(F572=""),F572,NOT(G572=""),G572,NOT(H572=""),H572,NOT(I572=""),I572,NOT(J572=""),J572,NOT(K572=""),K572,NOT(L572=""),L572,NOT(M572=""),M572,NOT(N572=""),N572,NOT(O572=""),O572,NOT(P572=""),P572,NOT(Q572=""),Q572,NOT(R572=""),R572,NOT(S572=""),S572,NOT(T572=""),T572,NOT(U572=""),U572,TRUE,"No error")</f>
        <v>Enter the number of homes on the 1_SetUp sheet</v>
      </c>
      <c r="W572" s="114" t="str">
        <f t="shared" ca="1" si="26"/>
        <v xml:space="preserve">The Borrower has not addressed the following error messages for Home ID 568: </v>
      </c>
    </row>
    <row r="573" spans="1:23">
      <c r="A573" s="123">
        <v>569</v>
      </c>
      <c r="B573" s="104" t="str" cm="1">
        <f t="array" ref="B573">_xlfn.IFS(AND(A573&gt;NumberOfPlots,ISBLANK(INDEX(PlotData,MATCH($A573,PlotNumber,0),MATCH(B$3,PlotTitles,0)))),"",ISNUMBER(INDEX(PlotData,MATCH($A573,PlotNumber,0),MATCH(B$3,PlotTitles,0)))=FALSE, $AB$5,TRUE,"")</f>
        <v/>
      </c>
      <c r="C573" s="104" t="str" cm="1">
        <f t="array" ref="C573">_xlfn.IFS(AND(A573&gt;NumberOfPlots,ISBLANK(INDEX(PlotData,MATCH($A573,PlotNumber,0),MATCH(B$3,PlotTitles,0)))),"",ISBLANK(INDEX(PlotData,MATCH($A573,PlotNumber,0),MATCH(C$3,PlotTitles,0))),$AB$6,TRUE,"")</f>
        <v/>
      </c>
      <c r="D573" s="104" t="str" cm="1">
        <f t="array" ref="D573">_xlfn.IFS(AND(A573&gt;NumberOfPlots,ISBLANK(INDEX(PlotData,MATCH($A573,PlotNumber,0),MATCH(B$3,PlotTitles,0)))),"",ISBLANK(INDEX(PlotData,MATCH($A573,PlotNumber,0),MATCH(D$3,PlotTitles,0))),$AB$7,TRUE,"")</f>
        <v/>
      </c>
      <c r="E573" s="104" t="str" cm="1">
        <f t="array" ref="E573">_xlfn.IFS(AND(A573&gt;NumberOfPlots,ISBLANK(INDEX(PlotData,MATCH($A573,PlotNumber,0),MATCH(B$3,PlotTitles,0)))),"",ISBLANK(INDEX(PlotData,MATCH($A573,PlotNumber,0),MATCH(E$3,PlotTitles,0))),$AB$8,TRUE,"")</f>
        <v/>
      </c>
      <c r="F573" s="104" t="str" cm="1">
        <f t="array" ref="F573">_xlfn.IFS(AND(A573&gt;NumberOfPlots,ISBLANK(INDEX(PlotData,MATCH($A573,PlotNumber,0),MATCH(B$3,PlotTitles,0)))),"",ISBLANK(INDEX(PlotData,MATCH($A573,PlotNumber,0),MATCH(F$3,PlotTitles,0))),$AB$9,TRUE,"")</f>
        <v/>
      </c>
      <c r="G573" s="104" t="str" cm="1">
        <f t="array" ref="G573">_xlfn.IFS(AND(A573&gt;NumberOfPlots,ISBLANK(INDEX(PlotData,MATCH($A573,PlotNumber,0),MATCH(B$3,PlotTitles,0)))),"",ISBLANK(INDEX(PlotData,MATCH($A573,PlotNumber,0),MATCH(G$3,PlotTitles,0))),$AB$10,TRUE,"")</f>
        <v/>
      </c>
      <c r="H573" s="104" t="str" cm="1">
        <f t="array" ref="H573">_xlfn.IFS(AND(A573&gt;NumberOfPlots,ISBLANK(INDEX(PlotData,MATCH($A573,PlotNumber,0),MATCH(B$3,PlotTitles,0)))),"",AND(ISBLANK(INDEX(PlotData,MATCH($A573,PlotNumber,0),MATCH(H$3,PlotTitles,0)))=FALSE,INDEX(PlotData,MATCH($A573,PlotNumber,0),MATCH(H$3,PlotTitles,0))&lt;500), $AB$11,TRUE,"")</f>
        <v/>
      </c>
      <c r="I573" s="104" t="str" cm="1">
        <f t="array" ref="I573">_xlfn.IFS(AND(A573&gt;NumberOfPlots,ISBLANK(INDEX(PlotData,MATCH($A573,PlotNumber,0),MATCH(B$3,PlotTitles,0)))),"",ISBLANK(INDEX(PlotData,MATCH($A573,PlotNumber,0),MATCH(I$3,PlotTitles,0))),$AB$12,TRUE,"")</f>
        <v/>
      </c>
      <c r="J573" s="104" t="str" cm="1">
        <f t="array" ref="J573">_xlfn.IFS(AND(A573&gt;NumberOfPlots,ISBLANK(INDEX(PlotData,MATCH($A573,PlotNumber,0),MATCH(B$3,PlotTitles,0)))),"",ISBLANK(INDEX(PlotData,MATCH($A573,PlotNumber,0),MATCH(J$3,PlotTitles,0))),$AB$13,TRUE,"")</f>
        <v/>
      </c>
      <c r="K573" s="182" t="str">
        <f t="shared" ca="1" si="24"/>
        <v/>
      </c>
      <c r="L573" s="104" t="str" cm="1">
        <f t="array" ref="L573">_xlfn.IFS(OR(ISBLANK(StartDateMonth),ISBLANK(StartDateYear)),"",AND(A573&gt;NumberOfPlots,ISBLANK(INDEX(PlotData,MATCH($A573,PlotNumber,0),MATCH(B$3,PlotTitles,0)))),"",ISBLANK(INDEX(PlotData,MATCH($A573,PlotNumber,0),MATCH(I$3,PlotTitles,0))),"",(DATEVALUE(INDEX(PlotData,MATCH($A573,PlotNumber,0),MATCH(I$3,PlotTitles,0))&amp;INDEX(PlotData,MATCH($A573,PlotNumber,0),MATCH(J$3,PlotTitles,0))))&lt;DATEVALUE(StartDateMonth&amp;StartDateYear),$AB$15,TRUE,"")</f>
        <v/>
      </c>
      <c r="M573" s="104" t="str" cm="1">
        <f t="array" ref="M573">_xlfn.IFS(OR(ISBLANK(StartDateMonth),ISBLANK(StartDateYear)),"",AND(A573&gt;NumberOfPlots,ISBLANK(INDEX(PlotData,MATCH($A573,PlotNumber,0),MATCH(B$3,PlotTitles,0)))),"",ISBLANK(INDEX(PlotData,MATCH($A573,PlotNumber,0),MATCH(I$3,PlotTitles,0))),"",CompletionMonth="","",(DATEVALUE(INDEX(PlotData,MATCH($A573,PlotNumber,0),MATCH(I$3,PlotTitles,0))&amp;INDEX(PlotData,MATCH($A573,PlotNumber,0),MATCH(J$3,PlotTitles,0))))&gt;(DATEVALUE(CompletionMonth&amp;CompletionYear)),$AB$16,TRUE,"")</f>
        <v/>
      </c>
      <c r="N573" s="104" t="str" cm="1">
        <f t="array" ref="N573">_xlfn.IFS(AND(A573&gt;NumberOfPlots,ISBLANK(INDEX(PlotData,MATCH($A573,PlotNumber,0),MATCH(B$3,PlotTitles,0)))),"",ISBLANK(INDEX(PlotData,MATCH($A573,PlotNumber,0),MATCH(N$3,PlotTitles,0))),$AB$17,TRUE,"")</f>
        <v/>
      </c>
      <c r="O573" s="104" t="str" cm="1">
        <f t="array" ref="O573">_xlfn.IFS(AND(A573&gt;NumberOfPlots,ISBLANK(INDEX(PlotData,MATCH($A573,PlotNumber,0),MATCH(B$3,PlotTitles,0)))),"",ISBLANK(INDEX(PlotData,MATCH($A573,PlotNumber,0),MATCH(O$3,PlotTitles,0))),$AB$18,TRUE,"")</f>
        <v/>
      </c>
      <c r="P573" s="182" t="str">
        <f t="shared" ca="1" si="25"/>
        <v/>
      </c>
      <c r="Q573" s="104" t="str" cm="1">
        <f t="array" ref="Q573">_xlfn.IFS(AND(A573&gt;NumberOfPlots,ISBLANK(INDEX(PlotData,MATCH($A573,PlotNumber,0),MATCH(B$3,PlotTitles,0)))),"",ISBLANK(INDEX(PlotData,MATCH($A573,PlotNumber,0),MATCH(N$3,PlotTitles,0))),"",(DATEVALUE(INDEX(PlotData,MATCH($A573,PlotNumber,0),MATCH(N$3,PlotTitles,0))&amp;INDEX(PlotData,MATCH($A573,PlotNumber,0),MATCH(O$3,PlotTitles,0))))&lt;(DATEVALUE(INDEX(PlotData,MATCH($A573,PlotNumber,0),MATCH(I$3,PlotTitles,0))&amp;INDEX(PlotData,MATCH($A573,PlotNumber,0),MATCH(J$3,PlotTitles,0)))),$AB$20,TRUE,"")</f>
        <v/>
      </c>
      <c r="R573" s="104" t="str" cm="1">
        <f t="array" ref="R573">_xlfn.IFS(OR(ISBLANK(StartDateMonth),ISBLANK(StartDateYear)),"",AND(A573&gt;NumberOfPlots,ISBLANK(INDEX(PlotData,MATCH($A573,PlotNumber,0),MATCH(B$3,PlotTitles,0)))),"",ISBLANK(INDEX(PlotData,MATCH($A573,PlotNumber,0),MATCH(N$3,PlotTitles,0))),"",CompletionMonth="","",(DATEVALUE(INDEX(PlotData,MATCH($A573,PlotNumber,0),MATCH(N$3,PlotTitles,0))&amp;INDEX(PlotData,MATCH($A573,PlotNumber,0),MATCH(O$3,PlotTitles,0))))&gt;(DATEVALUE(CompletionMonth&amp;CompletionYear)),$AB$21,TRUE,"")</f>
        <v/>
      </c>
      <c r="S573" s="104" t="str" cm="1">
        <f t="array" ref="S573">_xlfn.IFS(AND(A573&gt;NumberOfPlots,ISBLANK(INDEX(PlotData,MATCH($A573,PlotNumber,0),MATCH(B$3,PlotTitles,0)))),"",OR(AND(INDEX(PlotData,MATCH($A573,PlotNumber,0),MATCH("Tenure",PlotTitles,0))="Open market housing",INDEX(PlotData,MATCH($A573,PlotNumber,0),MATCH("Tenure detail",PlotTitles,0))="Private rented sector"),INDEX(PlotData,MATCH($A573,PlotNumber,0),MATCH("Tenure",PlotTitles,0))="Affordable rent"),"",ISNUMBER(INDEX(PlotData,MATCH($A573,PlotNumber,0),MATCH(S$3,PlotTitles,0)))=FALSE, $AB$22,TRUE,"")</f>
        <v/>
      </c>
      <c r="T573" s="104" t="str" cm="1">
        <f t="array" ref="T573">_xlfn.IFS(AND(A573&gt;NumberOfPlots,ISBLANK(INDEX(PlotData,MATCH($A573,PlotNumber,0),MATCH(B$3,PlotTitles,0)))),"",OR(AND(INDEX(PlotData,MATCH($A573,PlotNumber,0),MATCH("Tenure",PlotTitles,0))="Open market housing",INDEX(PlotData,MATCH($A573,PlotNumber,0),MATCH("Tenure detail",PlotTitles,0))="Private rented sector"),INDEX(PlotData,MATCH($A573,PlotNumber,0),MATCH("Tenure",PlotTitles,0))="Affordable rent"),"",INDEX(PlotData,MATCH($A573,PlotNumber,0),MATCH(S$3,PlotTitles,0))&lt;10000, $AB$23,TRUE,"")</f>
        <v/>
      </c>
      <c r="U573" s="104" t="str" cm="1">
        <f t="array" ref="U573">_xlfn.IFS(AND(A573&gt;NumberOfPlots,ISBLANK(INDEX(PlotData,MATCH($A573,PlotNumber,0),MATCH(B$3,PlotTitles,0)))),"",NOT(OR(AND(INDEX(PlotData,MATCH($A573,PlotNumber,0),MATCH("Tenure",PlotTitles,0))="Open market housing",INDEX(PlotData,MATCH($A573,PlotNumber,0),MATCH("Tenure detail",PlotTitles,0))="Private rented sector"),INDEX(PlotData,MATCH($A573,PlotNumber,0),MATCH("Tenure",PlotTitles,0))="Affordable rent")),"",NOT(INDEX(PlotData,MATCH($A573,PlotNumber,0),MATCH(S$3,PlotTitles,0))=0), $AB$24,TRUE,"")</f>
        <v/>
      </c>
      <c r="V573" s="114" t="str" cm="1">
        <f t="array" aca="1" ref="V573" ca="1">_xlfn.IFS(ISBLANK(NumberOfPlots),"Enter the number of homes on the 1_SetUp sheet",AND(A573&gt;NumberOfPlots,ISBLANK(INDEX(PlotData,MATCH($A573,PlotNumber,0),MATCH(B$3,PlotTitles,0)))),"No error",NOT(B573=""),B573,NOT(C573=""),C573,NOT(D573=""),D573,NOT(E573=""),E573,NOT(F573=""),F573,NOT(G573=""),G573,NOT(H573=""),H573,NOT(I573=""),I573,NOT(J573=""),J573,NOT(K573=""),K573,NOT(L573=""),L573,NOT(M573=""),M573,NOT(N573=""),N573,NOT(O573=""),O573,NOT(P573=""),P573,NOT(Q573=""),Q573,NOT(R573=""),R573,NOT(S573=""),S573,NOT(T573=""),T573,NOT(U573=""),U573,TRUE,"No error")</f>
        <v>Enter the number of homes on the 1_SetUp sheet</v>
      </c>
      <c r="W573" s="114" t="str">
        <f t="shared" ca="1" si="26"/>
        <v xml:space="preserve">The Borrower has not addressed the following error messages for Home ID 569: </v>
      </c>
    </row>
    <row r="574" spans="1:23">
      <c r="A574" s="123">
        <v>570</v>
      </c>
      <c r="B574" s="104" t="str" cm="1">
        <f t="array" ref="B574">_xlfn.IFS(AND(A574&gt;NumberOfPlots,ISBLANK(INDEX(PlotData,MATCH($A574,PlotNumber,0),MATCH(B$3,PlotTitles,0)))),"",ISNUMBER(INDEX(PlotData,MATCH($A574,PlotNumber,0),MATCH(B$3,PlotTitles,0)))=FALSE, $AB$5,TRUE,"")</f>
        <v/>
      </c>
      <c r="C574" s="104" t="str" cm="1">
        <f t="array" ref="C574">_xlfn.IFS(AND(A574&gt;NumberOfPlots,ISBLANK(INDEX(PlotData,MATCH($A574,PlotNumber,0),MATCH(B$3,PlotTitles,0)))),"",ISBLANK(INDEX(PlotData,MATCH($A574,PlotNumber,0),MATCH(C$3,PlotTitles,0))),$AB$6,TRUE,"")</f>
        <v/>
      </c>
      <c r="D574" s="104" t="str" cm="1">
        <f t="array" ref="D574">_xlfn.IFS(AND(A574&gt;NumberOfPlots,ISBLANK(INDEX(PlotData,MATCH($A574,PlotNumber,0),MATCH(B$3,PlotTitles,0)))),"",ISBLANK(INDEX(PlotData,MATCH($A574,PlotNumber,0),MATCH(D$3,PlotTitles,0))),$AB$7,TRUE,"")</f>
        <v/>
      </c>
      <c r="E574" s="104" t="str" cm="1">
        <f t="array" ref="E574">_xlfn.IFS(AND(A574&gt;NumberOfPlots,ISBLANK(INDEX(PlotData,MATCH($A574,PlotNumber,0),MATCH(B$3,PlotTitles,0)))),"",ISBLANK(INDEX(PlotData,MATCH($A574,PlotNumber,0),MATCH(E$3,PlotTitles,0))),$AB$8,TRUE,"")</f>
        <v/>
      </c>
      <c r="F574" s="104" t="str" cm="1">
        <f t="array" ref="F574">_xlfn.IFS(AND(A574&gt;NumberOfPlots,ISBLANK(INDEX(PlotData,MATCH($A574,PlotNumber,0),MATCH(B$3,PlotTitles,0)))),"",ISBLANK(INDEX(PlotData,MATCH($A574,PlotNumber,0),MATCH(F$3,PlotTitles,0))),$AB$9,TRUE,"")</f>
        <v/>
      </c>
      <c r="G574" s="104" t="str" cm="1">
        <f t="array" ref="G574">_xlfn.IFS(AND(A574&gt;NumberOfPlots,ISBLANK(INDEX(PlotData,MATCH($A574,PlotNumber,0),MATCH(B$3,PlotTitles,0)))),"",ISBLANK(INDEX(PlotData,MATCH($A574,PlotNumber,0),MATCH(G$3,PlotTitles,0))),$AB$10,TRUE,"")</f>
        <v/>
      </c>
      <c r="H574" s="104" t="str" cm="1">
        <f t="array" ref="H574">_xlfn.IFS(AND(A574&gt;NumberOfPlots,ISBLANK(INDEX(PlotData,MATCH($A574,PlotNumber,0),MATCH(B$3,PlotTitles,0)))),"",AND(ISBLANK(INDEX(PlotData,MATCH($A574,PlotNumber,0),MATCH(H$3,PlotTitles,0)))=FALSE,INDEX(PlotData,MATCH($A574,PlotNumber,0),MATCH(H$3,PlotTitles,0))&lt;500), $AB$11,TRUE,"")</f>
        <v/>
      </c>
      <c r="I574" s="104" t="str" cm="1">
        <f t="array" ref="I574">_xlfn.IFS(AND(A574&gt;NumberOfPlots,ISBLANK(INDEX(PlotData,MATCH($A574,PlotNumber,0),MATCH(B$3,PlotTitles,0)))),"",ISBLANK(INDEX(PlotData,MATCH($A574,PlotNumber,0),MATCH(I$3,PlotTitles,0))),$AB$12,TRUE,"")</f>
        <v/>
      </c>
      <c r="J574" s="104" t="str" cm="1">
        <f t="array" ref="J574">_xlfn.IFS(AND(A574&gt;NumberOfPlots,ISBLANK(INDEX(PlotData,MATCH($A574,PlotNumber,0),MATCH(B$3,PlotTitles,0)))),"",ISBLANK(INDEX(PlotData,MATCH($A574,PlotNumber,0),MATCH(J$3,PlotTitles,0))),$AB$13,TRUE,"")</f>
        <v/>
      </c>
      <c r="K574" s="182" t="str">
        <f t="shared" ca="1" si="24"/>
        <v/>
      </c>
      <c r="L574" s="104" t="str" cm="1">
        <f t="array" ref="L574">_xlfn.IFS(OR(ISBLANK(StartDateMonth),ISBLANK(StartDateYear)),"",AND(A574&gt;NumberOfPlots,ISBLANK(INDEX(PlotData,MATCH($A574,PlotNumber,0),MATCH(B$3,PlotTitles,0)))),"",ISBLANK(INDEX(PlotData,MATCH($A574,PlotNumber,0),MATCH(I$3,PlotTitles,0))),"",(DATEVALUE(INDEX(PlotData,MATCH($A574,PlotNumber,0),MATCH(I$3,PlotTitles,0))&amp;INDEX(PlotData,MATCH($A574,PlotNumber,0),MATCH(J$3,PlotTitles,0))))&lt;DATEVALUE(StartDateMonth&amp;StartDateYear),$AB$15,TRUE,"")</f>
        <v/>
      </c>
      <c r="M574" s="104" t="str" cm="1">
        <f t="array" ref="M574">_xlfn.IFS(OR(ISBLANK(StartDateMonth),ISBLANK(StartDateYear)),"",AND(A574&gt;NumberOfPlots,ISBLANK(INDEX(PlotData,MATCH($A574,PlotNumber,0),MATCH(B$3,PlotTitles,0)))),"",ISBLANK(INDEX(PlotData,MATCH($A574,PlotNumber,0),MATCH(I$3,PlotTitles,0))),"",CompletionMonth="","",(DATEVALUE(INDEX(PlotData,MATCH($A574,PlotNumber,0),MATCH(I$3,PlotTitles,0))&amp;INDEX(PlotData,MATCH($A574,PlotNumber,0),MATCH(J$3,PlotTitles,0))))&gt;(DATEVALUE(CompletionMonth&amp;CompletionYear)),$AB$16,TRUE,"")</f>
        <v/>
      </c>
      <c r="N574" s="104" t="str" cm="1">
        <f t="array" ref="N574">_xlfn.IFS(AND(A574&gt;NumberOfPlots,ISBLANK(INDEX(PlotData,MATCH($A574,PlotNumber,0),MATCH(B$3,PlotTitles,0)))),"",ISBLANK(INDEX(PlotData,MATCH($A574,PlotNumber,0),MATCH(N$3,PlotTitles,0))),$AB$17,TRUE,"")</f>
        <v/>
      </c>
      <c r="O574" s="104" t="str" cm="1">
        <f t="array" ref="O574">_xlfn.IFS(AND(A574&gt;NumberOfPlots,ISBLANK(INDEX(PlotData,MATCH($A574,PlotNumber,0),MATCH(B$3,PlotTitles,0)))),"",ISBLANK(INDEX(PlotData,MATCH($A574,PlotNumber,0),MATCH(O$3,PlotTitles,0))),$AB$18,TRUE,"")</f>
        <v/>
      </c>
      <c r="P574" s="182" t="str">
        <f t="shared" ca="1" si="25"/>
        <v/>
      </c>
      <c r="Q574" s="104" t="str" cm="1">
        <f t="array" ref="Q574">_xlfn.IFS(AND(A574&gt;NumberOfPlots,ISBLANK(INDEX(PlotData,MATCH($A574,PlotNumber,0),MATCH(B$3,PlotTitles,0)))),"",ISBLANK(INDEX(PlotData,MATCH($A574,PlotNumber,0),MATCH(N$3,PlotTitles,0))),"",(DATEVALUE(INDEX(PlotData,MATCH($A574,PlotNumber,0),MATCH(N$3,PlotTitles,0))&amp;INDEX(PlotData,MATCH($A574,PlotNumber,0),MATCH(O$3,PlotTitles,0))))&lt;(DATEVALUE(INDEX(PlotData,MATCH($A574,PlotNumber,0),MATCH(I$3,PlotTitles,0))&amp;INDEX(PlotData,MATCH($A574,PlotNumber,0),MATCH(J$3,PlotTitles,0)))),$AB$20,TRUE,"")</f>
        <v/>
      </c>
      <c r="R574" s="104" t="str" cm="1">
        <f t="array" ref="R574">_xlfn.IFS(OR(ISBLANK(StartDateMonth),ISBLANK(StartDateYear)),"",AND(A574&gt;NumberOfPlots,ISBLANK(INDEX(PlotData,MATCH($A574,PlotNumber,0),MATCH(B$3,PlotTitles,0)))),"",ISBLANK(INDEX(PlotData,MATCH($A574,PlotNumber,0),MATCH(N$3,PlotTitles,0))),"",CompletionMonth="","",(DATEVALUE(INDEX(PlotData,MATCH($A574,PlotNumber,0),MATCH(N$3,PlotTitles,0))&amp;INDEX(PlotData,MATCH($A574,PlotNumber,0),MATCH(O$3,PlotTitles,0))))&gt;(DATEVALUE(CompletionMonth&amp;CompletionYear)),$AB$21,TRUE,"")</f>
        <v/>
      </c>
      <c r="S574" s="104" t="str" cm="1">
        <f t="array" ref="S574">_xlfn.IFS(AND(A574&gt;NumberOfPlots,ISBLANK(INDEX(PlotData,MATCH($A574,PlotNumber,0),MATCH(B$3,PlotTitles,0)))),"",OR(AND(INDEX(PlotData,MATCH($A574,PlotNumber,0),MATCH("Tenure",PlotTitles,0))="Open market housing",INDEX(PlotData,MATCH($A574,PlotNumber,0),MATCH("Tenure detail",PlotTitles,0))="Private rented sector"),INDEX(PlotData,MATCH($A574,PlotNumber,0),MATCH("Tenure",PlotTitles,0))="Affordable rent"),"",ISNUMBER(INDEX(PlotData,MATCH($A574,PlotNumber,0),MATCH(S$3,PlotTitles,0)))=FALSE, $AB$22,TRUE,"")</f>
        <v/>
      </c>
      <c r="T574" s="104" t="str" cm="1">
        <f t="array" ref="T574">_xlfn.IFS(AND(A574&gt;NumberOfPlots,ISBLANK(INDEX(PlotData,MATCH($A574,PlotNumber,0),MATCH(B$3,PlotTitles,0)))),"",OR(AND(INDEX(PlotData,MATCH($A574,PlotNumber,0),MATCH("Tenure",PlotTitles,0))="Open market housing",INDEX(PlotData,MATCH($A574,PlotNumber,0),MATCH("Tenure detail",PlotTitles,0))="Private rented sector"),INDEX(PlotData,MATCH($A574,PlotNumber,0),MATCH("Tenure",PlotTitles,0))="Affordable rent"),"",INDEX(PlotData,MATCH($A574,PlotNumber,0),MATCH(S$3,PlotTitles,0))&lt;10000, $AB$23,TRUE,"")</f>
        <v/>
      </c>
      <c r="U574" s="104" t="str" cm="1">
        <f t="array" ref="U574">_xlfn.IFS(AND(A574&gt;NumberOfPlots,ISBLANK(INDEX(PlotData,MATCH($A574,PlotNumber,0),MATCH(B$3,PlotTitles,0)))),"",NOT(OR(AND(INDEX(PlotData,MATCH($A574,PlotNumber,0),MATCH("Tenure",PlotTitles,0))="Open market housing",INDEX(PlotData,MATCH($A574,PlotNumber,0),MATCH("Tenure detail",PlotTitles,0))="Private rented sector"),INDEX(PlotData,MATCH($A574,PlotNumber,0),MATCH("Tenure",PlotTitles,0))="Affordable rent")),"",NOT(INDEX(PlotData,MATCH($A574,PlotNumber,0),MATCH(S$3,PlotTitles,0))=0), $AB$24,TRUE,"")</f>
        <v/>
      </c>
      <c r="V574" s="114" t="str" cm="1">
        <f t="array" aca="1" ref="V574" ca="1">_xlfn.IFS(ISBLANK(NumberOfPlots),"Enter the number of homes on the 1_SetUp sheet",AND(A574&gt;NumberOfPlots,ISBLANK(INDEX(PlotData,MATCH($A574,PlotNumber,0),MATCH(B$3,PlotTitles,0)))),"No error",NOT(B574=""),B574,NOT(C574=""),C574,NOT(D574=""),D574,NOT(E574=""),E574,NOT(F574=""),F574,NOT(G574=""),G574,NOT(H574=""),H574,NOT(I574=""),I574,NOT(J574=""),J574,NOT(K574=""),K574,NOT(L574=""),L574,NOT(M574=""),M574,NOT(N574=""),N574,NOT(O574=""),O574,NOT(P574=""),P574,NOT(Q574=""),Q574,NOT(R574=""),R574,NOT(S574=""),S574,NOT(T574=""),T574,NOT(U574=""),U574,TRUE,"No error")</f>
        <v>Enter the number of homes on the 1_SetUp sheet</v>
      </c>
      <c r="W574" s="114" t="str">
        <f t="shared" ca="1" si="26"/>
        <v xml:space="preserve">The Borrower has not addressed the following error messages for Home ID 570: </v>
      </c>
    </row>
    <row r="575" spans="1:23">
      <c r="A575" s="123">
        <v>571</v>
      </c>
      <c r="B575" s="104" t="str" cm="1">
        <f t="array" ref="B575">_xlfn.IFS(AND(A575&gt;NumberOfPlots,ISBLANK(INDEX(PlotData,MATCH($A575,PlotNumber,0),MATCH(B$3,PlotTitles,0)))),"",ISNUMBER(INDEX(PlotData,MATCH($A575,PlotNumber,0),MATCH(B$3,PlotTitles,0)))=FALSE, $AB$5,TRUE,"")</f>
        <v/>
      </c>
      <c r="C575" s="104" t="str" cm="1">
        <f t="array" ref="C575">_xlfn.IFS(AND(A575&gt;NumberOfPlots,ISBLANK(INDEX(PlotData,MATCH($A575,PlotNumber,0),MATCH(B$3,PlotTitles,0)))),"",ISBLANK(INDEX(PlotData,MATCH($A575,PlotNumber,0),MATCH(C$3,PlotTitles,0))),$AB$6,TRUE,"")</f>
        <v/>
      </c>
      <c r="D575" s="104" t="str" cm="1">
        <f t="array" ref="D575">_xlfn.IFS(AND(A575&gt;NumberOfPlots,ISBLANK(INDEX(PlotData,MATCH($A575,PlotNumber,0),MATCH(B$3,PlotTitles,0)))),"",ISBLANK(INDEX(PlotData,MATCH($A575,PlotNumber,0),MATCH(D$3,PlotTitles,0))),$AB$7,TRUE,"")</f>
        <v/>
      </c>
      <c r="E575" s="104" t="str" cm="1">
        <f t="array" ref="E575">_xlfn.IFS(AND(A575&gt;NumberOfPlots,ISBLANK(INDEX(PlotData,MATCH($A575,PlotNumber,0),MATCH(B$3,PlotTitles,0)))),"",ISBLANK(INDEX(PlotData,MATCH($A575,PlotNumber,0),MATCH(E$3,PlotTitles,0))),$AB$8,TRUE,"")</f>
        <v/>
      </c>
      <c r="F575" s="104" t="str" cm="1">
        <f t="array" ref="F575">_xlfn.IFS(AND(A575&gt;NumberOfPlots,ISBLANK(INDEX(PlotData,MATCH($A575,PlotNumber,0),MATCH(B$3,PlotTitles,0)))),"",ISBLANK(INDEX(PlotData,MATCH($A575,PlotNumber,0),MATCH(F$3,PlotTitles,0))),$AB$9,TRUE,"")</f>
        <v/>
      </c>
      <c r="G575" s="104" t="str" cm="1">
        <f t="array" ref="G575">_xlfn.IFS(AND(A575&gt;NumberOfPlots,ISBLANK(INDEX(PlotData,MATCH($A575,PlotNumber,0),MATCH(B$3,PlotTitles,0)))),"",ISBLANK(INDEX(PlotData,MATCH($A575,PlotNumber,0),MATCH(G$3,PlotTitles,0))),$AB$10,TRUE,"")</f>
        <v/>
      </c>
      <c r="H575" s="104" t="str" cm="1">
        <f t="array" ref="H575">_xlfn.IFS(AND(A575&gt;NumberOfPlots,ISBLANK(INDEX(PlotData,MATCH($A575,PlotNumber,0),MATCH(B$3,PlotTitles,0)))),"",AND(ISBLANK(INDEX(PlotData,MATCH($A575,PlotNumber,0),MATCH(H$3,PlotTitles,0)))=FALSE,INDEX(PlotData,MATCH($A575,PlotNumber,0),MATCH(H$3,PlotTitles,0))&lt;500), $AB$11,TRUE,"")</f>
        <v/>
      </c>
      <c r="I575" s="104" t="str" cm="1">
        <f t="array" ref="I575">_xlfn.IFS(AND(A575&gt;NumberOfPlots,ISBLANK(INDEX(PlotData,MATCH($A575,PlotNumber,0),MATCH(B$3,PlotTitles,0)))),"",ISBLANK(INDEX(PlotData,MATCH($A575,PlotNumber,0),MATCH(I$3,PlotTitles,0))),$AB$12,TRUE,"")</f>
        <v/>
      </c>
      <c r="J575" s="104" t="str" cm="1">
        <f t="array" ref="J575">_xlfn.IFS(AND(A575&gt;NumberOfPlots,ISBLANK(INDEX(PlotData,MATCH($A575,PlotNumber,0),MATCH(B$3,PlotTitles,0)))),"",ISBLANK(INDEX(PlotData,MATCH($A575,PlotNumber,0),MATCH(J$3,PlotTitles,0))),$AB$13,TRUE,"")</f>
        <v/>
      </c>
      <c r="K575" s="182" t="str">
        <f t="shared" ca="1" si="24"/>
        <v/>
      </c>
      <c r="L575" s="104" t="str" cm="1">
        <f t="array" ref="L575">_xlfn.IFS(OR(ISBLANK(StartDateMonth),ISBLANK(StartDateYear)),"",AND(A575&gt;NumberOfPlots,ISBLANK(INDEX(PlotData,MATCH($A575,PlotNumber,0),MATCH(B$3,PlotTitles,0)))),"",ISBLANK(INDEX(PlotData,MATCH($A575,PlotNumber,0),MATCH(I$3,PlotTitles,0))),"",(DATEVALUE(INDEX(PlotData,MATCH($A575,PlotNumber,0),MATCH(I$3,PlotTitles,0))&amp;INDEX(PlotData,MATCH($A575,PlotNumber,0),MATCH(J$3,PlotTitles,0))))&lt;DATEVALUE(StartDateMonth&amp;StartDateYear),$AB$15,TRUE,"")</f>
        <v/>
      </c>
      <c r="M575" s="104" t="str" cm="1">
        <f t="array" ref="M575">_xlfn.IFS(OR(ISBLANK(StartDateMonth),ISBLANK(StartDateYear)),"",AND(A575&gt;NumberOfPlots,ISBLANK(INDEX(PlotData,MATCH($A575,PlotNumber,0),MATCH(B$3,PlotTitles,0)))),"",ISBLANK(INDEX(PlotData,MATCH($A575,PlotNumber,0),MATCH(I$3,PlotTitles,0))),"",CompletionMonth="","",(DATEVALUE(INDEX(PlotData,MATCH($A575,PlotNumber,0),MATCH(I$3,PlotTitles,0))&amp;INDEX(PlotData,MATCH($A575,PlotNumber,0),MATCH(J$3,PlotTitles,0))))&gt;(DATEVALUE(CompletionMonth&amp;CompletionYear)),$AB$16,TRUE,"")</f>
        <v/>
      </c>
      <c r="N575" s="104" t="str" cm="1">
        <f t="array" ref="N575">_xlfn.IFS(AND(A575&gt;NumberOfPlots,ISBLANK(INDEX(PlotData,MATCH($A575,PlotNumber,0),MATCH(B$3,PlotTitles,0)))),"",ISBLANK(INDEX(PlotData,MATCH($A575,PlotNumber,0),MATCH(N$3,PlotTitles,0))),$AB$17,TRUE,"")</f>
        <v/>
      </c>
      <c r="O575" s="104" t="str" cm="1">
        <f t="array" ref="O575">_xlfn.IFS(AND(A575&gt;NumberOfPlots,ISBLANK(INDEX(PlotData,MATCH($A575,PlotNumber,0),MATCH(B$3,PlotTitles,0)))),"",ISBLANK(INDEX(PlotData,MATCH($A575,PlotNumber,0),MATCH(O$3,PlotTitles,0))),$AB$18,TRUE,"")</f>
        <v/>
      </c>
      <c r="P575" s="182" t="str">
        <f t="shared" ca="1" si="25"/>
        <v/>
      </c>
      <c r="Q575" s="104" t="str" cm="1">
        <f t="array" ref="Q575">_xlfn.IFS(AND(A575&gt;NumberOfPlots,ISBLANK(INDEX(PlotData,MATCH($A575,PlotNumber,0),MATCH(B$3,PlotTitles,0)))),"",ISBLANK(INDEX(PlotData,MATCH($A575,PlotNumber,0),MATCH(N$3,PlotTitles,0))),"",(DATEVALUE(INDEX(PlotData,MATCH($A575,PlotNumber,0),MATCH(N$3,PlotTitles,0))&amp;INDEX(PlotData,MATCH($A575,PlotNumber,0),MATCH(O$3,PlotTitles,0))))&lt;(DATEVALUE(INDEX(PlotData,MATCH($A575,PlotNumber,0),MATCH(I$3,PlotTitles,0))&amp;INDEX(PlotData,MATCH($A575,PlotNumber,0),MATCH(J$3,PlotTitles,0)))),$AB$20,TRUE,"")</f>
        <v/>
      </c>
      <c r="R575" s="104" t="str" cm="1">
        <f t="array" ref="R575">_xlfn.IFS(OR(ISBLANK(StartDateMonth),ISBLANK(StartDateYear)),"",AND(A575&gt;NumberOfPlots,ISBLANK(INDEX(PlotData,MATCH($A575,PlotNumber,0),MATCH(B$3,PlotTitles,0)))),"",ISBLANK(INDEX(PlotData,MATCH($A575,PlotNumber,0),MATCH(N$3,PlotTitles,0))),"",CompletionMonth="","",(DATEVALUE(INDEX(PlotData,MATCH($A575,PlotNumber,0),MATCH(N$3,PlotTitles,0))&amp;INDEX(PlotData,MATCH($A575,PlotNumber,0),MATCH(O$3,PlotTitles,0))))&gt;(DATEVALUE(CompletionMonth&amp;CompletionYear)),$AB$21,TRUE,"")</f>
        <v/>
      </c>
      <c r="S575" s="104" t="str" cm="1">
        <f t="array" ref="S575">_xlfn.IFS(AND(A575&gt;NumberOfPlots,ISBLANK(INDEX(PlotData,MATCH($A575,PlotNumber,0),MATCH(B$3,PlotTitles,0)))),"",OR(AND(INDEX(PlotData,MATCH($A575,PlotNumber,0),MATCH("Tenure",PlotTitles,0))="Open market housing",INDEX(PlotData,MATCH($A575,PlotNumber,0),MATCH("Tenure detail",PlotTitles,0))="Private rented sector"),INDEX(PlotData,MATCH($A575,PlotNumber,0),MATCH("Tenure",PlotTitles,0))="Affordable rent"),"",ISNUMBER(INDEX(PlotData,MATCH($A575,PlotNumber,0),MATCH(S$3,PlotTitles,0)))=FALSE, $AB$22,TRUE,"")</f>
        <v/>
      </c>
      <c r="T575" s="104" t="str" cm="1">
        <f t="array" ref="T575">_xlfn.IFS(AND(A575&gt;NumberOfPlots,ISBLANK(INDEX(PlotData,MATCH($A575,PlotNumber,0),MATCH(B$3,PlotTitles,0)))),"",OR(AND(INDEX(PlotData,MATCH($A575,PlotNumber,0),MATCH("Tenure",PlotTitles,0))="Open market housing",INDEX(PlotData,MATCH($A575,PlotNumber,0),MATCH("Tenure detail",PlotTitles,0))="Private rented sector"),INDEX(PlotData,MATCH($A575,PlotNumber,0),MATCH("Tenure",PlotTitles,0))="Affordable rent"),"",INDEX(PlotData,MATCH($A575,PlotNumber,0),MATCH(S$3,PlotTitles,0))&lt;10000, $AB$23,TRUE,"")</f>
        <v/>
      </c>
      <c r="U575" s="104" t="str" cm="1">
        <f t="array" ref="U575">_xlfn.IFS(AND(A575&gt;NumberOfPlots,ISBLANK(INDEX(PlotData,MATCH($A575,PlotNumber,0),MATCH(B$3,PlotTitles,0)))),"",NOT(OR(AND(INDEX(PlotData,MATCH($A575,PlotNumber,0),MATCH("Tenure",PlotTitles,0))="Open market housing",INDEX(PlotData,MATCH($A575,PlotNumber,0),MATCH("Tenure detail",PlotTitles,0))="Private rented sector"),INDEX(PlotData,MATCH($A575,PlotNumber,0),MATCH("Tenure",PlotTitles,0))="Affordable rent")),"",NOT(INDEX(PlotData,MATCH($A575,PlotNumber,0),MATCH(S$3,PlotTitles,0))=0), $AB$24,TRUE,"")</f>
        <v/>
      </c>
      <c r="V575" s="114" t="str" cm="1">
        <f t="array" aca="1" ref="V575" ca="1">_xlfn.IFS(ISBLANK(NumberOfPlots),"Enter the number of homes on the 1_SetUp sheet",AND(A575&gt;NumberOfPlots,ISBLANK(INDEX(PlotData,MATCH($A575,PlotNumber,0),MATCH(B$3,PlotTitles,0)))),"No error",NOT(B575=""),B575,NOT(C575=""),C575,NOT(D575=""),D575,NOT(E575=""),E575,NOT(F575=""),F575,NOT(G575=""),G575,NOT(H575=""),H575,NOT(I575=""),I575,NOT(J575=""),J575,NOT(K575=""),K575,NOT(L575=""),L575,NOT(M575=""),M575,NOT(N575=""),N575,NOT(O575=""),O575,NOT(P575=""),P575,NOT(Q575=""),Q575,NOT(R575=""),R575,NOT(S575=""),S575,NOT(T575=""),T575,NOT(U575=""),U575,TRUE,"No error")</f>
        <v>Enter the number of homes on the 1_SetUp sheet</v>
      </c>
      <c r="W575" s="114" t="str">
        <f t="shared" ca="1" si="26"/>
        <v xml:space="preserve">The Borrower has not addressed the following error messages for Home ID 571: </v>
      </c>
    </row>
    <row r="576" spans="1:23">
      <c r="A576" s="123">
        <v>572</v>
      </c>
      <c r="B576" s="104" t="str" cm="1">
        <f t="array" ref="B576">_xlfn.IFS(AND(A576&gt;NumberOfPlots,ISBLANK(INDEX(PlotData,MATCH($A576,PlotNumber,0),MATCH(B$3,PlotTitles,0)))),"",ISNUMBER(INDEX(PlotData,MATCH($A576,PlotNumber,0),MATCH(B$3,PlotTitles,0)))=FALSE, $AB$5,TRUE,"")</f>
        <v/>
      </c>
      <c r="C576" s="104" t="str" cm="1">
        <f t="array" ref="C576">_xlfn.IFS(AND(A576&gt;NumberOfPlots,ISBLANK(INDEX(PlotData,MATCH($A576,PlotNumber,0),MATCH(B$3,PlotTitles,0)))),"",ISBLANK(INDEX(PlotData,MATCH($A576,PlotNumber,0),MATCH(C$3,PlotTitles,0))),$AB$6,TRUE,"")</f>
        <v/>
      </c>
      <c r="D576" s="104" t="str" cm="1">
        <f t="array" ref="D576">_xlfn.IFS(AND(A576&gt;NumberOfPlots,ISBLANK(INDEX(PlotData,MATCH($A576,PlotNumber,0),MATCH(B$3,PlotTitles,0)))),"",ISBLANK(INDEX(PlotData,MATCH($A576,PlotNumber,0),MATCH(D$3,PlotTitles,0))),$AB$7,TRUE,"")</f>
        <v/>
      </c>
      <c r="E576" s="104" t="str" cm="1">
        <f t="array" ref="E576">_xlfn.IFS(AND(A576&gt;NumberOfPlots,ISBLANK(INDEX(PlotData,MATCH($A576,PlotNumber,0),MATCH(B$3,PlotTitles,0)))),"",ISBLANK(INDEX(PlotData,MATCH($A576,PlotNumber,0),MATCH(E$3,PlotTitles,0))),$AB$8,TRUE,"")</f>
        <v/>
      </c>
      <c r="F576" s="104" t="str" cm="1">
        <f t="array" ref="F576">_xlfn.IFS(AND(A576&gt;NumberOfPlots,ISBLANK(INDEX(PlotData,MATCH($A576,PlotNumber,0),MATCH(B$3,PlotTitles,0)))),"",ISBLANK(INDEX(PlotData,MATCH($A576,PlotNumber,0),MATCH(F$3,PlotTitles,0))),$AB$9,TRUE,"")</f>
        <v/>
      </c>
      <c r="G576" s="104" t="str" cm="1">
        <f t="array" ref="G576">_xlfn.IFS(AND(A576&gt;NumberOfPlots,ISBLANK(INDEX(PlotData,MATCH($A576,PlotNumber,0),MATCH(B$3,PlotTitles,0)))),"",ISBLANK(INDEX(PlotData,MATCH($A576,PlotNumber,0),MATCH(G$3,PlotTitles,0))),$AB$10,TRUE,"")</f>
        <v/>
      </c>
      <c r="H576" s="104" t="str" cm="1">
        <f t="array" ref="H576">_xlfn.IFS(AND(A576&gt;NumberOfPlots,ISBLANK(INDEX(PlotData,MATCH($A576,PlotNumber,0),MATCH(B$3,PlotTitles,0)))),"",AND(ISBLANK(INDEX(PlotData,MATCH($A576,PlotNumber,0),MATCH(H$3,PlotTitles,0)))=FALSE,INDEX(PlotData,MATCH($A576,PlotNumber,0),MATCH(H$3,PlotTitles,0))&lt;500), $AB$11,TRUE,"")</f>
        <v/>
      </c>
      <c r="I576" s="104" t="str" cm="1">
        <f t="array" ref="I576">_xlfn.IFS(AND(A576&gt;NumberOfPlots,ISBLANK(INDEX(PlotData,MATCH($A576,PlotNumber,0),MATCH(B$3,PlotTitles,0)))),"",ISBLANK(INDEX(PlotData,MATCH($A576,PlotNumber,0),MATCH(I$3,PlotTitles,0))),$AB$12,TRUE,"")</f>
        <v/>
      </c>
      <c r="J576" s="104" t="str" cm="1">
        <f t="array" ref="J576">_xlfn.IFS(AND(A576&gt;NumberOfPlots,ISBLANK(INDEX(PlotData,MATCH($A576,PlotNumber,0),MATCH(B$3,PlotTitles,0)))),"",ISBLANK(INDEX(PlotData,MATCH($A576,PlotNumber,0),MATCH(J$3,PlotTitles,0))),$AB$13,TRUE,"")</f>
        <v/>
      </c>
      <c r="K576" s="182" t="str">
        <f t="shared" ca="1" si="24"/>
        <v/>
      </c>
      <c r="L576" s="104" t="str" cm="1">
        <f t="array" ref="L576">_xlfn.IFS(OR(ISBLANK(StartDateMonth),ISBLANK(StartDateYear)),"",AND(A576&gt;NumberOfPlots,ISBLANK(INDEX(PlotData,MATCH($A576,PlotNumber,0),MATCH(B$3,PlotTitles,0)))),"",ISBLANK(INDEX(PlotData,MATCH($A576,PlotNumber,0),MATCH(I$3,PlotTitles,0))),"",(DATEVALUE(INDEX(PlotData,MATCH($A576,PlotNumber,0),MATCH(I$3,PlotTitles,0))&amp;INDEX(PlotData,MATCH($A576,PlotNumber,0),MATCH(J$3,PlotTitles,0))))&lt;DATEVALUE(StartDateMonth&amp;StartDateYear),$AB$15,TRUE,"")</f>
        <v/>
      </c>
      <c r="M576" s="104" t="str" cm="1">
        <f t="array" ref="M576">_xlfn.IFS(OR(ISBLANK(StartDateMonth),ISBLANK(StartDateYear)),"",AND(A576&gt;NumberOfPlots,ISBLANK(INDEX(PlotData,MATCH($A576,PlotNumber,0),MATCH(B$3,PlotTitles,0)))),"",ISBLANK(INDEX(PlotData,MATCH($A576,PlotNumber,0),MATCH(I$3,PlotTitles,0))),"",CompletionMonth="","",(DATEVALUE(INDEX(PlotData,MATCH($A576,PlotNumber,0),MATCH(I$3,PlotTitles,0))&amp;INDEX(PlotData,MATCH($A576,PlotNumber,0),MATCH(J$3,PlotTitles,0))))&gt;(DATEVALUE(CompletionMonth&amp;CompletionYear)),$AB$16,TRUE,"")</f>
        <v/>
      </c>
      <c r="N576" s="104" t="str" cm="1">
        <f t="array" ref="N576">_xlfn.IFS(AND(A576&gt;NumberOfPlots,ISBLANK(INDEX(PlotData,MATCH($A576,PlotNumber,0),MATCH(B$3,PlotTitles,0)))),"",ISBLANK(INDEX(PlotData,MATCH($A576,PlotNumber,0),MATCH(N$3,PlotTitles,0))),$AB$17,TRUE,"")</f>
        <v/>
      </c>
      <c r="O576" s="104" t="str" cm="1">
        <f t="array" ref="O576">_xlfn.IFS(AND(A576&gt;NumberOfPlots,ISBLANK(INDEX(PlotData,MATCH($A576,PlotNumber,0),MATCH(B$3,PlotTitles,0)))),"",ISBLANK(INDEX(PlotData,MATCH($A576,PlotNumber,0),MATCH(O$3,PlotTitles,0))),$AB$18,TRUE,"")</f>
        <v/>
      </c>
      <c r="P576" s="182" t="str">
        <f t="shared" ca="1" si="25"/>
        <v/>
      </c>
      <c r="Q576" s="104" t="str" cm="1">
        <f t="array" ref="Q576">_xlfn.IFS(AND(A576&gt;NumberOfPlots,ISBLANK(INDEX(PlotData,MATCH($A576,PlotNumber,0),MATCH(B$3,PlotTitles,0)))),"",ISBLANK(INDEX(PlotData,MATCH($A576,PlotNumber,0),MATCH(N$3,PlotTitles,0))),"",(DATEVALUE(INDEX(PlotData,MATCH($A576,PlotNumber,0),MATCH(N$3,PlotTitles,0))&amp;INDEX(PlotData,MATCH($A576,PlotNumber,0),MATCH(O$3,PlotTitles,0))))&lt;(DATEVALUE(INDEX(PlotData,MATCH($A576,PlotNumber,0),MATCH(I$3,PlotTitles,0))&amp;INDEX(PlotData,MATCH($A576,PlotNumber,0),MATCH(J$3,PlotTitles,0)))),$AB$20,TRUE,"")</f>
        <v/>
      </c>
      <c r="R576" s="104" t="str" cm="1">
        <f t="array" ref="R576">_xlfn.IFS(OR(ISBLANK(StartDateMonth),ISBLANK(StartDateYear)),"",AND(A576&gt;NumberOfPlots,ISBLANK(INDEX(PlotData,MATCH($A576,PlotNumber,0),MATCH(B$3,PlotTitles,0)))),"",ISBLANK(INDEX(PlotData,MATCH($A576,PlotNumber,0),MATCH(N$3,PlotTitles,0))),"",CompletionMonth="","",(DATEVALUE(INDEX(PlotData,MATCH($A576,PlotNumber,0),MATCH(N$3,PlotTitles,0))&amp;INDEX(PlotData,MATCH($A576,PlotNumber,0),MATCH(O$3,PlotTitles,0))))&gt;(DATEVALUE(CompletionMonth&amp;CompletionYear)),$AB$21,TRUE,"")</f>
        <v/>
      </c>
      <c r="S576" s="104" t="str" cm="1">
        <f t="array" ref="S576">_xlfn.IFS(AND(A576&gt;NumberOfPlots,ISBLANK(INDEX(PlotData,MATCH($A576,PlotNumber,0),MATCH(B$3,PlotTitles,0)))),"",OR(AND(INDEX(PlotData,MATCH($A576,PlotNumber,0),MATCH("Tenure",PlotTitles,0))="Open market housing",INDEX(PlotData,MATCH($A576,PlotNumber,0),MATCH("Tenure detail",PlotTitles,0))="Private rented sector"),INDEX(PlotData,MATCH($A576,PlotNumber,0),MATCH("Tenure",PlotTitles,0))="Affordable rent"),"",ISNUMBER(INDEX(PlotData,MATCH($A576,PlotNumber,0),MATCH(S$3,PlotTitles,0)))=FALSE, $AB$22,TRUE,"")</f>
        <v/>
      </c>
      <c r="T576" s="104" t="str" cm="1">
        <f t="array" ref="T576">_xlfn.IFS(AND(A576&gt;NumberOfPlots,ISBLANK(INDEX(PlotData,MATCH($A576,PlotNumber,0),MATCH(B$3,PlotTitles,0)))),"",OR(AND(INDEX(PlotData,MATCH($A576,PlotNumber,0),MATCH("Tenure",PlotTitles,0))="Open market housing",INDEX(PlotData,MATCH($A576,PlotNumber,0),MATCH("Tenure detail",PlotTitles,0))="Private rented sector"),INDEX(PlotData,MATCH($A576,PlotNumber,0),MATCH("Tenure",PlotTitles,0))="Affordable rent"),"",INDEX(PlotData,MATCH($A576,PlotNumber,0),MATCH(S$3,PlotTitles,0))&lt;10000, $AB$23,TRUE,"")</f>
        <v/>
      </c>
      <c r="U576" s="104" t="str" cm="1">
        <f t="array" ref="U576">_xlfn.IFS(AND(A576&gt;NumberOfPlots,ISBLANK(INDEX(PlotData,MATCH($A576,PlotNumber,0),MATCH(B$3,PlotTitles,0)))),"",NOT(OR(AND(INDEX(PlotData,MATCH($A576,PlotNumber,0),MATCH("Tenure",PlotTitles,0))="Open market housing",INDEX(PlotData,MATCH($A576,PlotNumber,0),MATCH("Tenure detail",PlotTitles,0))="Private rented sector"),INDEX(PlotData,MATCH($A576,PlotNumber,0),MATCH("Tenure",PlotTitles,0))="Affordable rent")),"",NOT(INDEX(PlotData,MATCH($A576,PlotNumber,0),MATCH(S$3,PlotTitles,0))=0), $AB$24,TRUE,"")</f>
        <v/>
      </c>
      <c r="V576" s="114" t="str" cm="1">
        <f t="array" aca="1" ref="V576" ca="1">_xlfn.IFS(ISBLANK(NumberOfPlots),"Enter the number of homes on the 1_SetUp sheet",AND(A576&gt;NumberOfPlots,ISBLANK(INDEX(PlotData,MATCH($A576,PlotNumber,0),MATCH(B$3,PlotTitles,0)))),"No error",NOT(B576=""),B576,NOT(C576=""),C576,NOT(D576=""),D576,NOT(E576=""),E576,NOT(F576=""),F576,NOT(G576=""),G576,NOT(H576=""),H576,NOT(I576=""),I576,NOT(J576=""),J576,NOT(K576=""),K576,NOT(L576=""),L576,NOT(M576=""),M576,NOT(N576=""),N576,NOT(O576=""),O576,NOT(P576=""),P576,NOT(Q576=""),Q576,NOT(R576=""),R576,NOT(S576=""),S576,NOT(T576=""),T576,NOT(U576=""),U576,TRUE,"No error")</f>
        <v>Enter the number of homes on the 1_SetUp sheet</v>
      </c>
      <c r="W576" s="114" t="str">
        <f t="shared" ca="1" si="26"/>
        <v xml:space="preserve">The Borrower has not addressed the following error messages for Home ID 572: </v>
      </c>
    </row>
    <row r="577" spans="1:23">
      <c r="A577" s="123">
        <v>573</v>
      </c>
      <c r="B577" s="104" t="str" cm="1">
        <f t="array" ref="B577">_xlfn.IFS(AND(A577&gt;NumberOfPlots,ISBLANK(INDEX(PlotData,MATCH($A577,PlotNumber,0),MATCH(B$3,PlotTitles,0)))),"",ISNUMBER(INDEX(PlotData,MATCH($A577,PlotNumber,0),MATCH(B$3,PlotTitles,0)))=FALSE, $AB$5,TRUE,"")</f>
        <v/>
      </c>
      <c r="C577" s="104" t="str" cm="1">
        <f t="array" ref="C577">_xlfn.IFS(AND(A577&gt;NumberOfPlots,ISBLANK(INDEX(PlotData,MATCH($A577,PlotNumber,0),MATCH(B$3,PlotTitles,0)))),"",ISBLANK(INDEX(PlotData,MATCH($A577,PlotNumber,0),MATCH(C$3,PlotTitles,0))),$AB$6,TRUE,"")</f>
        <v/>
      </c>
      <c r="D577" s="104" t="str" cm="1">
        <f t="array" ref="D577">_xlfn.IFS(AND(A577&gt;NumberOfPlots,ISBLANK(INDEX(PlotData,MATCH($A577,PlotNumber,0),MATCH(B$3,PlotTitles,0)))),"",ISBLANK(INDEX(PlotData,MATCH($A577,PlotNumber,0),MATCH(D$3,PlotTitles,0))),$AB$7,TRUE,"")</f>
        <v/>
      </c>
      <c r="E577" s="104" t="str" cm="1">
        <f t="array" ref="E577">_xlfn.IFS(AND(A577&gt;NumberOfPlots,ISBLANK(INDEX(PlotData,MATCH($A577,PlotNumber,0),MATCH(B$3,PlotTitles,0)))),"",ISBLANK(INDEX(PlotData,MATCH($A577,PlotNumber,0),MATCH(E$3,PlotTitles,0))),$AB$8,TRUE,"")</f>
        <v/>
      </c>
      <c r="F577" s="104" t="str" cm="1">
        <f t="array" ref="F577">_xlfn.IFS(AND(A577&gt;NumberOfPlots,ISBLANK(INDEX(PlotData,MATCH($A577,PlotNumber,0),MATCH(B$3,PlotTitles,0)))),"",ISBLANK(INDEX(PlotData,MATCH($A577,PlotNumber,0),MATCH(F$3,PlotTitles,0))),$AB$9,TRUE,"")</f>
        <v/>
      </c>
      <c r="G577" s="104" t="str" cm="1">
        <f t="array" ref="G577">_xlfn.IFS(AND(A577&gt;NumberOfPlots,ISBLANK(INDEX(PlotData,MATCH($A577,PlotNumber,0),MATCH(B$3,PlotTitles,0)))),"",ISBLANK(INDEX(PlotData,MATCH($A577,PlotNumber,0),MATCH(G$3,PlotTitles,0))),$AB$10,TRUE,"")</f>
        <v/>
      </c>
      <c r="H577" s="104" t="str" cm="1">
        <f t="array" ref="H577">_xlfn.IFS(AND(A577&gt;NumberOfPlots,ISBLANK(INDEX(PlotData,MATCH($A577,PlotNumber,0),MATCH(B$3,PlotTitles,0)))),"",AND(ISBLANK(INDEX(PlotData,MATCH($A577,PlotNumber,0),MATCH(H$3,PlotTitles,0)))=FALSE,INDEX(PlotData,MATCH($A577,PlotNumber,0),MATCH(H$3,PlotTitles,0))&lt;500), $AB$11,TRUE,"")</f>
        <v/>
      </c>
      <c r="I577" s="104" t="str" cm="1">
        <f t="array" ref="I577">_xlfn.IFS(AND(A577&gt;NumberOfPlots,ISBLANK(INDEX(PlotData,MATCH($A577,PlotNumber,0),MATCH(B$3,PlotTitles,0)))),"",ISBLANK(INDEX(PlotData,MATCH($A577,PlotNumber,0),MATCH(I$3,PlotTitles,0))),$AB$12,TRUE,"")</f>
        <v/>
      </c>
      <c r="J577" s="104" t="str" cm="1">
        <f t="array" ref="J577">_xlfn.IFS(AND(A577&gt;NumberOfPlots,ISBLANK(INDEX(PlotData,MATCH($A577,PlotNumber,0),MATCH(B$3,PlotTitles,0)))),"",ISBLANK(INDEX(PlotData,MATCH($A577,PlotNumber,0),MATCH(J$3,PlotTitles,0))),$AB$13,TRUE,"")</f>
        <v/>
      </c>
      <c r="K577" s="182" t="str">
        <f t="shared" ca="1" si="24"/>
        <v/>
      </c>
      <c r="L577" s="104" t="str" cm="1">
        <f t="array" ref="L577">_xlfn.IFS(OR(ISBLANK(StartDateMonth),ISBLANK(StartDateYear)),"",AND(A577&gt;NumberOfPlots,ISBLANK(INDEX(PlotData,MATCH($A577,PlotNumber,0),MATCH(B$3,PlotTitles,0)))),"",ISBLANK(INDEX(PlotData,MATCH($A577,PlotNumber,0),MATCH(I$3,PlotTitles,0))),"",(DATEVALUE(INDEX(PlotData,MATCH($A577,PlotNumber,0),MATCH(I$3,PlotTitles,0))&amp;INDEX(PlotData,MATCH($A577,PlotNumber,0),MATCH(J$3,PlotTitles,0))))&lt;DATEVALUE(StartDateMonth&amp;StartDateYear),$AB$15,TRUE,"")</f>
        <v/>
      </c>
      <c r="M577" s="104" t="str" cm="1">
        <f t="array" ref="M577">_xlfn.IFS(OR(ISBLANK(StartDateMonth),ISBLANK(StartDateYear)),"",AND(A577&gt;NumberOfPlots,ISBLANK(INDEX(PlotData,MATCH($A577,PlotNumber,0),MATCH(B$3,PlotTitles,0)))),"",ISBLANK(INDEX(PlotData,MATCH($A577,PlotNumber,0),MATCH(I$3,PlotTitles,0))),"",CompletionMonth="","",(DATEVALUE(INDEX(PlotData,MATCH($A577,PlotNumber,0),MATCH(I$3,PlotTitles,0))&amp;INDEX(PlotData,MATCH($A577,PlotNumber,0),MATCH(J$3,PlotTitles,0))))&gt;(DATEVALUE(CompletionMonth&amp;CompletionYear)),$AB$16,TRUE,"")</f>
        <v/>
      </c>
      <c r="N577" s="104" t="str" cm="1">
        <f t="array" ref="N577">_xlfn.IFS(AND(A577&gt;NumberOfPlots,ISBLANK(INDEX(PlotData,MATCH($A577,PlotNumber,0),MATCH(B$3,PlotTitles,0)))),"",ISBLANK(INDEX(PlotData,MATCH($A577,PlotNumber,0),MATCH(N$3,PlotTitles,0))),$AB$17,TRUE,"")</f>
        <v/>
      </c>
      <c r="O577" s="104" t="str" cm="1">
        <f t="array" ref="O577">_xlfn.IFS(AND(A577&gt;NumberOfPlots,ISBLANK(INDEX(PlotData,MATCH($A577,PlotNumber,0),MATCH(B$3,PlotTitles,0)))),"",ISBLANK(INDEX(PlotData,MATCH($A577,PlotNumber,0),MATCH(O$3,PlotTitles,0))),$AB$18,TRUE,"")</f>
        <v/>
      </c>
      <c r="P577" s="182" t="str">
        <f t="shared" ca="1" si="25"/>
        <v/>
      </c>
      <c r="Q577" s="104" t="str" cm="1">
        <f t="array" ref="Q577">_xlfn.IFS(AND(A577&gt;NumberOfPlots,ISBLANK(INDEX(PlotData,MATCH($A577,PlotNumber,0),MATCH(B$3,PlotTitles,0)))),"",ISBLANK(INDEX(PlotData,MATCH($A577,PlotNumber,0),MATCH(N$3,PlotTitles,0))),"",(DATEVALUE(INDEX(PlotData,MATCH($A577,PlotNumber,0),MATCH(N$3,PlotTitles,0))&amp;INDEX(PlotData,MATCH($A577,PlotNumber,0),MATCH(O$3,PlotTitles,0))))&lt;(DATEVALUE(INDEX(PlotData,MATCH($A577,PlotNumber,0),MATCH(I$3,PlotTitles,0))&amp;INDEX(PlotData,MATCH($A577,PlotNumber,0),MATCH(J$3,PlotTitles,0)))),$AB$20,TRUE,"")</f>
        <v/>
      </c>
      <c r="R577" s="104" t="str" cm="1">
        <f t="array" ref="R577">_xlfn.IFS(OR(ISBLANK(StartDateMonth),ISBLANK(StartDateYear)),"",AND(A577&gt;NumberOfPlots,ISBLANK(INDEX(PlotData,MATCH($A577,PlotNumber,0),MATCH(B$3,PlotTitles,0)))),"",ISBLANK(INDEX(PlotData,MATCH($A577,PlotNumber,0),MATCH(N$3,PlotTitles,0))),"",CompletionMonth="","",(DATEVALUE(INDEX(PlotData,MATCH($A577,PlotNumber,0),MATCH(N$3,PlotTitles,0))&amp;INDEX(PlotData,MATCH($A577,PlotNumber,0),MATCH(O$3,PlotTitles,0))))&gt;(DATEVALUE(CompletionMonth&amp;CompletionYear)),$AB$21,TRUE,"")</f>
        <v/>
      </c>
      <c r="S577" s="104" t="str" cm="1">
        <f t="array" ref="S577">_xlfn.IFS(AND(A577&gt;NumberOfPlots,ISBLANK(INDEX(PlotData,MATCH($A577,PlotNumber,0),MATCH(B$3,PlotTitles,0)))),"",OR(AND(INDEX(PlotData,MATCH($A577,PlotNumber,0),MATCH("Tenure",PlotTitles,0))="Open market housing",INDEX(PlotData,MATCH($A577,PlotNumber,0),MATCH("Tenure detail",PlotTitles,0))="Private rented sector"),INDEX(PlotData,MATCH($A577,PlotNumber,0),MATCH("Tenure",PlotTitles,0))="Affordable rent"),"",ISNUMBER(INDEX(PlotData,MATCH($A577,PlotNumber,0),MATCH(S$3,PlotTitles,0)))=FALSE, $AB$22,TRUE,"")</f>
        <v/>
      </c>
      <c r="T577" s="104" t="str" cm="1">
        <f t="array" ref="T577">_xlfn.IFS(AND(A577&gt;NumberOfPlots,ISBLANK(INDEX(PlotData,MATCH($A577,PlotNumber,0),MATCH(B$3,PlotTitles,0)))),"",OR(AND(INDEX(PlotData,MATCH($A577,PlotNumber,0),MATCH("Tenure",PlotTitles,0))="Open market housing",INDEX(PlotData,MATCH($A577,PlotNumber,0),MATCH("Tenure detail",PlotTitles,0))="Private rented sector"),INDEX(PlotData,MATCH($A577,PlotNumber,0),MATCH("Tenure",PlotTitles,0))="Affordable rent"),"",INDEX(PlotData,MATCH($A577,PlotNumber,0),MATCH(S$3,PlotTitles,0))&lt;10000, $AB$23,TRUE,"")</f>
        <v/>
      </c>
      <c r="U577" s="104" t="str" cm="1">
        <f t="array" ref="U577">_xlfn.IFS(AND(A577&gt;NumberOfPlots,ISBLANK(INDEX(PlotData,MATCH($A577,PlotNumber,0),MATCH(B$3,PlotTitles,0)))),"",NOT(OR(AND(INDEX(PlotData,MATCH($A577,PlotNumber,0),MATCH("Tenure",PlotTitles,0))="Open market housing",INDEX(PlotData,MATCH($A577,PlotNumber,0),MATCH("Tenure detail",PlotTitles,0))="Private rented sector"),INDEX(PlotData,MATCH($A577,PlotNumber,0),MATCH("Tenure",PlotTitles,0))="Affordable rent")),"",NOT(INDEX(PlotData,MATCH($A577,PlotNumber,0),MATCH(S$3,PlotTitles,0))=0), $AB$24,TRUE,"")</f>
        <v/>
      </c>
      <c r="V577" s="114" t="str" cm="1">
        <f t="array" aca="1" ref="V577" ca="1">_xlfn.IFS(ISBLANK(NumberOfPlots),"Enter the number of homes on the 1_SetUp sheet",AND(A577&gt;NumberOfPlots,ISBLANK(INDEX(PlotData,MATCH($A577,PlotNumber,0),MATCH(B$3,PlotTitles,0)))),"No error",NOT(B577=""),B577,NOT(C577=""),C577,NOT(D577=""),D577,NOT(E577=""),E577,NOT(F577=""),F577,NOT(G577=""),G577,NOT(H577=""),H577,NOT(I577=""),I577,NOT(J577=""),J577,NOT(K577=""),K577,NOT(L577=""),L577,NOT(M577=""),M577,NOT(N577=""),N577,NOT(O577=""),O577,NOT(P577=""),P577,NOT(Q577=""),Q577,NOT(R577=""),R577,NOT(S577=""),S577,NOT(T577=""),T577,NOT(U577=""),U577,TRUE,"No error")</f>
        <v>Enter the number of homes on the 1_SetUp sheet</v>
      </c>
      <c r="W577" s="114" t="str">
        <f t="shared" ca="1" si="26"/>
        <v xml:space="preserve">The Borrower has not addressed the following error messages for Home ID 573: </v>
      </c>
    </row>
    <row r="578" spans="1:23">
      <c r="A578" s="123">
        <v>574</v>
      </c>
      <c r="B578" s="104" t="str" cm="1">
        <f t="array" ref="B578">_xlfn.IFS(AND(A578&gt;NumberOfPlots,ISBLANK(INDEX(PlotData,MATCH($A578,PlotNumber,0),MATCH(B$3,PlotTitles,0)))),"",ISNUMBER(INDEX(PlotData,MATCH($A578,PlotNumber,0),MATCH(B$3,PlotTitles,0)))=FALSE, $AB$5,TRUE,"")</f>
        <v/>
      </c>
      <c r="C578" s="104" t="str" cm="1">
        <f t="array" ref="C578">_xlfn.IFS(AND(A578&gt;NumberOfPlots,ISBLANK(INDEX(PlotData,MATCH($A578,PlotNumber,0),MATCH(B$3,PlotTitles,0)))),"",ISBLANK(INDEX(PlotData,MATCH($A578,PlotNumber,0),MATCH(C$3,PlotTitles,0))),$AB$6,TRUE,"")</f>
        <v/>
      </c>
      <c r="D578" s="104" t="str" cm="1">
        <f t="array" ref="D578">_xlfn.IFS(AND(A578&gt;NumberOfPlots,ISBLANK(INDEX(PlotData,MATCH($A578,PlotNumber,0),MATCH(B$3,PlotTitles,0)))),"",ISBLANK(INDEX(PlotData,MATCH($A578,PlotNumber,0),MATCH(D$3,PlotTitles,0))),$AB$7,TRUE,"")</f>
        <v/>
      </c>
      <c r="E578" s="104" t="str" cm="1">
        <f t="array" ref="E578">_xlfn.IFS(AND(A578&gt;NumberOfPlots,ISBLANK(INDEX(PlotData,MATCH($A578,PlotNumber,0),MATCH(B$3,PlotTitles,0)))),"",ISBLANK(INDEX(PlotData,MATCH($A578,PlotNumber,0),MATCH(E$3,PlotTitles,0))),$AB$8,TRUE,"")</f>
        <v/>
      </c>
      <c r="F578" s="104" t="str" cm="1">
        <f t="array" ref="F578">_xlfn.IFS(AND(A578&gt;NumberOfPlots,ISBLANK(INDEX(PlotData,MATCH($A578,PlotNumber,0),MATCH(B$3,PlotTitles,0)))),"",ISBLANK(INDEX(PlotData,MATCH($A578,PlotNumber,0),MATCH(F$3,PlotTitles,0))),$AB$9,TRUE,"")</f>
        <v/>
      </c>
      <c r="G578" s="104" t="str" cm="1">
        <f t="array" ref="G578">_xlfn.IFS(AND(A578&gt;NumberOfPlots,ISBLANK(INDEX(PlotData,MATCH($A578,PlotNumber,0),MATCH(B$3,PlotTitles,0)))),"",ISBLANK(INDEX(PlotData,MATCH($A578,PlotNumber,0),MATCH(G$3,PlotTitles,0))),$AB$10,TRUE,"")</f>
        <v/>
      </c>
      <c r="H578" s="104" t="str" cm="1">
        <f t="array" ref="H578">_xlfn.IFS(AND(A578&gt;NumberOfPlots,ISBLANK(INDEX(PlotData,MATCH($A578,PlotNumber,0),MATCH(B$3,PlotTitles,0)))),"",AND(ISBLANK(INDEX(PlotData,MATCH($A578,PlotNumber,0),MATCH(H$3,PlotTitles,0)))=FALSE,INDEX(PlotData,MATCH($A578,PlotNumber,0),MATCH(H$3,PlotTitles,0))&lt;500), $AB$11,TRUE,"")</f>
        <v/>
      </c>
      <c r="I578" s="104" t="str" cm="1">
        <f t="array" ref="I578">_xlfn.IFS(AND(A578&gt;NumberOfPlots,ISBLANK(INDEX(PlotData,MATCH($A578,PlotNumber,0),MATCH(B$3,PlotTitles,0)))),"",ISBLANK(INDEX(PlotData,MATCH($A578,PlotNumber,0),MATCH(I$3,PlotTitles,0))),$AB$12,TRUE,"")</f>
        <v/>
      </c>
      <c r="J578" s="104" t="str" cm="1">
        <f t="array" ref="J578">_xlfn.IFS(AND(A578&gt;NumberOfPlots,ISBLANK(INDEX(PlotData,MATCH($A578,PlotNumber,0),MATCH(B$3,PlotTitles,0)))),"",ISBLANK(INDEX(PlotData,MATCH($A578,PlotNumber,0),MATCH(J$3,PlotTitles,0))),$AB$13,TRUE,"")</f>
        <v/>
      </c>
      <c r="K578" s="182" t="str">
        <f t="shared" ca="1" si="24"/>
        <v/>
      </c>
      <c r="L578" s="104" t="str" cm="1">
        <f t="array" ref="L578">_xlfn.IFS(OR(ISBLANK(StartDateMonth),ISBLANK(StartDateYear)),"",AND(A578&gt;NumberOfPlots,ISBLANK(INDEX(PlotData,MATCH($A578,PlotNumber,0),MATCH(B$3,PlotTitles,0)))),"",ISBLANK(INDEX(PlotData,MATCH($A578,PlotNumber,0),MATCH(I$3,PlotTitles,0))),"",(DATEVALUE(INDEX(PlotData,MATCH($A578,PlotNumber,0),MATCH(I$3,PlotTitles,0))&amp;INDEX(PlotData,MATCH($A578,PlotNumber,0),MATCH(J$3,PlotTitles,0))))&lt;DATEVALUE(StartDateMonth&amp;StartDateYear),$AB$15,TRUE,"")</f>
        <v/>
      </c>
      <c r="M578" s="104" t="str" cm="1">
        <f t="array" ref="M578">_xlfn.IFS(OR(ISBLANK(StartDateMonth),ISBLANK(StartDateYear)),"",AND(A578&gt;NumberOfPlots,ISBLANK(INDEX(PlotData,MATCH($A578,PlotNumber,0),MATCH(B$3,PlotTitles,0)))),"",ISBLANK(INDEX(PlotData,MATCH($A578,PlotNumber,0),MATCH(I$3,PlotTitles,0))),"",CompletionMonth="","",(DATEVALUE(INDEX(PlotData,MATCH($A578,PlotNumber,0),MATCH(I$3,PlotTitles,0))&amp;INDEX(PlotData,MATCH($A578,PlotNumber,0),MATCH(J$3,PlotTitles,0))))&gt;(DATEVALUE(CompletionMonth&amp;CompletionYear)),$AB$16,TRUE,"")</f>
        <v/>
      </c>
      <c r="N578" s="104" t="str" cm="1">
        <f t="array" ref="N578">_xlfn.IFS(AND(A578&gt;NumberOfPlots,ISBLANK(INDEX(PlotData,MATCH($A578,PlotNumber,0),MATCH(B$3,PlotTitles,0)))),"",ISBLANK(INDEX(PlotData,MATCH($A578,PlotNumber,0),MATCH(N$3,PlotTitles,0))),$AB$17,TRUE,"")</f>
        <v/>
      </c>
      <c r="O578" s="104" t="str" cm="1">
        <f t="array" ref="O578">_xlfn.IFS(AND(A578&gt;NumberOfPlots,ISBLANK(INDEX(PlotData,MATCH($A578,PlotNumber,0),MATCH(B$3,PlotTitles,0)))),"",ISBLANK(INDEX(PlotData,MATCH($A578,PlotNumber,0),MATCH(O$3,PlotTitles,0))),$AB$18,TRUE,"")</f>
        <v/>
      </c>
      <c r="P578" s="182" t="str">
        <f t="shared" ca="1" si="25"/>
        <v/>
      </c>
      <c r="Q578" s="104" t="str" cm="1">
        <f t="array" ref="Q578">_xlfn.IFS(AND(A578&gt;NumberOfPlots,ISBLANK(INDEX(PlotData,MATCH($A578,PlotNumber,0),MATCH(B$3,PlotTitles,0)))),"",ISBLANK(INDEX(PlotData,MATCH($A578,PlotNumber,0),MATCH(N$3,PlotTitles,0))),"",(DATEVALUE(INDEX(PlotData,MATCH($A578,PlotNumber,0),MATCH(N$3,PlotTitles,0))&amp;INDEX(PlotData,MATCH($A578,PlotNumber,0),MATCH(O$3,PlotTitles,0))))&lt;(DATEVALUE(INDEX(PlotData,MATCH($A578,PlotNumber,0),MATCH(I$3,PlotTitles,0))&amp;INDEX(PlotData,MATCH($A578,PlotNumber,0),MATCH(J$3,PlotTitles,0)))),$AB$20,TRUE,"")</f>
        <v/>
      </c>
      <c r="R578" s="104" t="str" cm="1">
        <f t="array" ref="R578">_xlfn.IFS(OR(ISBLANK(StartDateMonth),ISBLANK(StartDateYear)),"",AND(A578&gt;NumberOfPlots,ISBLANK(INDEX(PlotData,MATCH($A578,PlotNumber,0),MATCH(B$3,PlotTitles,0)))),"",ISBLANK(INDEX(PlotData,MATCH($A578,PlotNumber,0),MATCH(N$3,PlotTitles,0))),"",CompletionMonth="","",(DATEVALUE(INDEX(PlotData,MATCH($A578,PlotNumber,0),MATCH(N$3,PlotTitles,0))&amp;INDEX(PlotData,MATCH($A578,PlotNumber,0),MATCH(O$3,PlotTitles,0))))&gt;(DATEVALUE(CompletionMonth&amp;CompletionYear)),$AB$21,TRUE,"")</f>
        <v/>
      </c>
      <c r="S578" s="104" t="str" cm="1">
        <f t="array" ref="S578">_xlfn.IFS(AND(A578&gt;NumberOfPlots,ISBLANK(INDEX(PlotData,MATCH($A578,PlotNumber,0),MATCH(B$3,PlotTitles,0)))),"",OR(AND(INDEX(PlotData,MATCH($A578,PlotNumber,0),MATCH("Tenure",PlotTitles,0))="Open market housing",INDEX(PlotData,MATCH($A578,PlotNumber,0),MATCH("Tenure detail",PlotTitles,0))="Private rented sector"),INDEX(PlotData,MATCH($A578,PlotNumber,0),MATCH("Tenure",PlotTitles,0))="Affordable rent"),"",ISNUMBER(INDEX(PlotData,MATCH($A578,PlotNumber,0),MATCH(S$3,PlotTitles,0)))=FALSE, $AB$22,TRUE,"")</f>
        <v/>
      </c>
      <c r="T578" s="104" t="str" cm="1">
        <f t="array" ref="T578">_xlfn.IFS(AND(A578&gt;NumberOfPlots,ISBLANK(INDEX(PlotData,MATCH($A578,PlotNumber,0),MATCH(B$3,PlotTitles,0)))),"",OR(AND(INDEX(PlotData,MATCH($A578,PlotNumber,0),MATCH("Tenure",PlotTitles,0))="Open market housing",INDEX(PlotData,MATCH($A578,PlotNumber,0),MATCH("Tenure detail",PlotTitles,0))="Private rented sector"),INDEX(PlotData,MATCH($A578,PlotNumber,0),MATCH("Tenure",PlotTitles,0))="Affordable rent"),"",INDEX(PlotData,MATCH($A578,PlotNumber,0),MATCH(S$3,PlotTitles,0))&lt;10000, $AB$23,TRUE,"")</f>
        <v/>
      </c>
      <c r="U578" s="104" t="str" cm="1">
        <f t="array" ref="U578">_xlfn.IFS(AND(A578&gt;NumberOfPlots,ISBLANK(INDEX(PlotData,MATCH($A578,PlotNumber,0),MATCH(B$3,PlotTitles,0)))),"",NOT(OR(AND(INDEX(PlotData,MATCH($A578,PlotNumber,0),MATCH("Tenure",PlotTitles,0))="Open market housing",INDEX(PlotData,MATCH($A578,PlotNumber,0),MATCH("Tenure detail",PlotTitles,0))="Private rented sector"),INDEX(PlotData,MATCH($A578,PlotNumber,0),MATCH("Tenure",PlotTitles,0))="Affordable rent")),"",NOT(INDEX(PlotData,MATCH($A578,PlotNumber,0),MATCH(S$3,PlotTitles,0))=0), $AB$24,TRUE,"")</f>
        <v/>
      </c>
      <c r="V578" s="114" t="str" cm="1">
        <f t="array" aca="1" ref="V578" ca="1">_xlfn.IFS(ISBLANK(NumberOfPlots),"Enter the number of homes on the 1_SetUp sheet",AND(A578&gt;NumberOfPlots,ISBLANK(INDEX(PlotData,MATCH($A578,PlotNumber,0),MATCH(B$3,PlotTitles,0)))),"No error",NOT(B578=""),B578,NOT(C578=""),C578,NOT(D578=""),D578,NOT(E578=""),E578,NOT(F578=""),F578,NOT(G578=""),G578,NOT(H578=""),H578,NOT(I578=""),I578,NOT(J578=""),J578,NOT(K578=""),K578,NOT(L578=""),L578,NOT(M578=""),M578,NOT(N578=""),N578,NOT(O578=""),O578,NOT(P578=""),P578,NOT(Q578=""),Q578,NOT(R578=""),R578,NOT(S578=""),S578,NOT(T578=""),T578,NOT(U578=""),U578,TRUE,"No error")</f>
        <v>Enter the number of homes on the 1_SetUp sheet</v>
      </c>
      <c r="W578" s="114" t="str">
        <f t="shared" ca="1" si="26"/>
        <v xml:space="preserve">The Borrower has not addressed the following error messages for Home ID 574: </v>
      </c>
    </row>
    <row r="579" spans="1:23">
      <c r="A579" s="123">
        <v>575</v>
      </c>
      <c r="B579" s="104" t="str" cm="1">
        <f t="array" ref="B579">_xlfn.IFS(AND(A579&gt;NumberOfPlots,ISBLANK(INDEX(PlotData,MATCH($A579,PlotNumber,0),MATCH(B$3,PlotTitles,0)))),"",ISNUMBER(INDEX(PlotData,MATCH($A579,PlotNumber,0),MATCH(B$3,PlotTitles,0)))=FALSE, $AB$5,TRUE,"")</f>
        <v/>
      </c>
      <c r="C579" s="104" t="str" cm="1">
        <f t="array" ref="C579">_xlfn.IFS(AND(A579&gt;NumberOfPlots,ISBLANK(INDEX(PlotData,MATCH($A579,PlotNumber,0),MATCH(B$3,PlotTitles,0)))),"",ISBLANK(INDEX(PlotData,MATCH($A579,PlotNumber,0),MATCH(C$3,PlotTitles,0))),$AB$6,TRUE,"")</f>
        <v/>
      </c>
      <c r="D579" s="104" t="str" cm="1">
        <f t="array" ref="D579">_xlfn.IFS(AND(A579&gt;NumberOfPlots,ISBLANK(INDEX(PlotData,MATCH($A579,PlotNumber,0),MATCH(B$3,PlotTitles,0)))),"",ISBLANK(INDEX(PlotData,MATCH($A579,PlotNumber,0),MATCH(D$3,PlotTitles,0))),$AB$7,TRUE,"")</f>
        <v/>
      </c>
      <c r="E579" s="104" t="str" cm="1">
        <f t="array" ref="E579">_xlfn.IFS(AND(A579&gt;NumberOfPlots,ISBLANK(INDEX(PlotData,MATCH($A579,PlotNumber,0),MATCH(B$3,PlotTitles,0)))),"",ISBLANK(INDEX(PlotData,MATCH($A579,PlotNumber,0),MATCH(E$3,PlotTitles,0))),$AB$8,TRUE,"")</f>
        <v/>
      </c>
      <c r="F579" s="104" t="str" cm="1">
        <f t="array" ref="F579">_xlfn.IFS(AND(A579&gt;NumberOfPlots,ISBLANK(INDEX(PlotData,MATCH($A579,PlotNumber,0),MATCH(B$3,PlotTitles,0)))),"",ISBLANK(INDEX(PlotData,MATCH($A579,PlotNumber,0),MATCH(F$3,PlotTitles,0))),$AB$9,TRUE,"")</f>
        <v/>
      </c>
      <c r="G579" s="104" t="str" cm="1">
        <f t="array" ref="G579">_xlfn.IFS(AND(A579&gt;NumberOfPlots,ISBLANK(INDEX(PlotData,MATCH($A579,PlotNumber,0),MATCH(B$3,PlotTitles,0)))),"",ISBLANK(INDEX(PlotData,MATCH($A579,PlotNumber,0),MATCH(G$3,PlotTitles,0))),$AB$10,TRUE,"")</f>
        <v/>
      </c>
      <c r="H579" s="104" t="str" cm="1">
        <f t="array" ref="H579">_xlfn.IFS(AND(A579&gt;NumberOfPlots,ISBLANK(INDEX(PlotData,MATCH($A579,PlotNumber,0),MATCH(B$3,PlotTitles,0)))),"",AND(ISBLANK(INDEX(PlotData,MATCH($A579,PlotNumber,0),MATCH(H$3,PlotTitles,0)))=FALSE,INDEX(PlotData,MATCH($A579,PlotNumber,0),MATCH(H$3,PlotTitles,0))&lt;500), $AB$11,TRUE,"")</f>
        <v/>
      </c>
      <c r="I579" s="104" t="str" cm="1">
        <f t="array" ref="I579">_xlfn.IFS(AND(A579&gt;NumberOfPlots,ISBLANK(INDEX(PlotData,MATCH($A579,PlotNumber,0),MATCH(B$3,PlotTitles,0)))),"",ISBLANK(INDEX(PlotData,MATCH($A579,PlotNumber,0),MATCH(I$3,PlotTitles,0))),$AB$12,TRUE,"")</f>
        <v/>
      </c>
      <c r="J579" s="104" t="str" cm="1">
        <f t="array" ref="J579">_xlfn.IFS(AND(A579&gt;NumberOfPlots,ISBLANK(INDEX(PlotData,MATCH($A579,PlotNumber,0),MATCH(B$3,PlotTitles,0)))),"",ISBLANK(INDEX(PlotData,MATCH($A579,PlotNumber,0),MATCH(J$3,PlotTitles,0))),$AB$13,TRUE,"")</f>
        <v/>
      </c>
      <c r="K579" s="182" t="str">
        <f t="shared" ca="1" si="24"/>
        <v/>
      </c>
      <c r="L579" s="104" t="str" cm="1">
        <f t="array" ref="L579">_xlfn.IFS(OR(ISBLANK(StartDateMonth),ISBLANK(StartDateYear)),"",AND(A579&gt;NumberOfPlots,ISBLANK(INDEX(PlotData,MATCH($A579,PlotNumber,0),MATCH(B$3,PlotTitles,0)))),"",ISBLANK(INDEX(PlotData,MATCH($A579,PlotNumber,0),MATCH(I$3,PlotTitles,0))),"",(DATEVALUE(INDEX(PlotData,MATCH($A579,PlotNumber,0),MATCH(I$3,PlotTitles,0))&amp;INDEX(PlotData,MATCH($A579,PlotNumber,0),MATCH(J$3,PlotTitles,0))))&lt;DATEVALUE(StartDateMonth&amp;StartDateYear),$AB$15,TRUE,"")</f>
        <v/>
      </c>
      <c r="M579" s="104" t="str" cm="1">
        <f t="array" ref="M579">_xlfn.IFS(OR(ISBLANK(StartDateMonth),ISBLANK(StartDateYear)),"",AND(A579&gt;NumberOfPlots,ISBLANK(INDEX(PlotData,MATCH($A579,PlotNumber,0),MATCH(B$3,PlotTitles,0)))),"",ISBLANK(INDEX(PlotData,MATCH($A579,PlotNumber,0),MATCH(I$3,PlotTitles,0))),"",CompletionMonth="","",(DATEVALUE(INDEX(PlotData,MATCH($A579,PlotNumber,0),MATCH(I$3,PlotTitles,0))&amp;INDEX(PlotData,MATCH($A579,PlotNumber,0),MATCH(J$3,PlotTitles,0))))&gt;(DATEVALUE(CompletionMonth&amp;CompletionYear)),$AB$16,TRUE,"")</f>
        <v/>
      </c>
      <c r="N579" s="104" t="str" cm="1">
        <f t="array" ref="N579">_xlfn.IFS(AND(A579&gt;NumberOfPlots,ISBLANK(INDEX(PlotData,MATCH($A579,PlotNumber,0),MATCH(B$3,PlotTitles,0)))),"",ISBLANK(INDEX(PlotData,MATCH($A579,PlotNumber,0),MATCH(N$3,PlotTitles,0))),$AB$17,TRUE,"")</f>
        <v/>
      </c>
      <c r="O579" s="104" t="str" cm="1">
        <f t="array" ref="O579">_xlfn.IFS(AND(A579&gt;NumberOfPlots,ISBLANK(INDEX(PlotData,MATCH($A579,PlotNumber,0),MATCH(B$3,PlotTitles,0)))),"",ISBLANK(INDEX(PlotData,MATCH($A579,PlotNumber,0),MATCH(O$3,PlotTitles,0))),$AB$18,TRUE,"")</f>
        <v/>
      </c>
      <c r="P579" s="182" t="str">
        <f t="shared" ca="1" si="25"/>
        <v/>
      </c>
      <c r="Q579" s="104" t="str" cm="1">
        <f t="array" ref="Q579">_xlfn.IFS(AND(A579&gt;NumberOfPlots,ISBLANK(INDEX(PlotData,MATCH($A579,PlotNumber,0),MATCH(B$3,PlotTitles,0)))),"",ISBLANK(INDEX(PlotData,MATCH($A579,PlotNumber,0),MATCH(N$3,PlotTitles,0))),"",(DATEVALUE(INDEX(PlotData,MATCH($A579,PlotNumber,0),MATCH(N$3,PlotTitles,0))&amp;INDEX(PlotData,MATCH($A579,PlotNumber,0),MATCH(O$3,PlotTitles,0))))&lt;(DATEVALUE(INDEX(PlotData,MATCH($A579,PlotNumber,0),MATCH(I$3,PlotTitles,0))&amp;INDEX(PlotData,MATCH($A579,PlotNumber,0),MATCH(J$3,PlotTitles,0)))),$AB$20,TRUE,"")</f>
        <v/>
      </c>
      <c r="R579" s="104" t="str" cm="1">
        <f t="array" ref="R579">_xlfn.IFS(OR(ISBLANK(StartDateMonth),ISBLANK(StartDateYear)),"",AND(A579&gt;NumberOfPlots,ISBLANK(INDEX(PlotData,MATCH($A579,PlotNumber,0),MATCH(B$3,PlotTitles,0)))),"",ISBLANK(INDEX(PlotData,MATCH($A579,PlotNumber,0),MATCH(N$3,PlotTitles,0))),"",CompletionMonth="","",(DATEVALUE(INDEX(PlotData,MATCH($A579,PlotNumber,0),MATCH(N$3,PlotTitles,0))&amp;INDEX(PlotData,MATCH($A579,PlotNumber,0),MATCH(O$3,PlotTitles,0))))&gt;(DATEVALUE(CompletionMonth&amp;CompletionYear)),$AB$21,TRUE,"")</f>
        <v/>
      </c>
      <c r="S579" s="104" t="str" cm="1">
        <f t="array" ref="S579">_xlfn.IFS(AND(A579&gt;NumberOfPlots,ISBLANK(INDEX(PlotData,MATCH($A579,PlotNumber,0),MATCH(B$3,PlotTitles,0)))),"",OR(AND(INDEX(PlotData,MATCH($A579,PlotNumber,0),MATCH("Tenure",PlotTitles,0))="Open market housing",INDEX(PlotData,MATCH($A579,PlotNumber,0),MATCH("Tenure detail",PlotTitles,0))="Private rented sector"),INDEX(PlotData,MATCH($A579,PlotNumber,0),MATCH("Tenure",PlotTitles,0))="Affordable rent"),"",ISNUMBER(INDEX(PlotData,MATCH($A579,PlotNumber,0),MATCH(S$3,PlotTitles,0)))=FALSE, $AB$22,TRUE,"")</f>
        <v/>
      </c>
      <c r="T579" s="104" t="str" cm="1">
        <f t="array" ref="T579">_xlfn.IFS(AND(A579&gt;NumberOfPlots,ISBLANK(INDEX(PlotData,MATCH($A579,PlotNumber,0),MATCH(B$3,PlotTitles,0)))),"",OR(AND(INDEX(PlotData,MATCH($A579,PlotNumber,0),MATCH("Tenure",PlotTitles,0))="Open market housing",INDEX(PlotData,MATCH($A579,PlotNumber,0),MATCH("Tenure detail",PlotTitles,0))="Private rented sector"),INDEX(PlotData,MATCH($A579,PlotNumber,0),MATCH("Tenure",PlotTitles,0))="Affordable rent"),"",INDEX(PlotData,MATCH($A579,PlotNumber,0),MATCH(S$3,PlotTitles,0))&lt;10000, $AB$23,TRUE,"")</f>
        <v/>
      </c>
      <c r="U579" s="104" t="str" cm="1">
        <f t="array" ref="U579">_xlfn.IFS(AND(A579&gt;NumberOfPlots,ISBLANK(INDEX(PlotData,MATCH($A579,PlotNumber,0),MATCH(B$3,PlotTitles,0)))),"",NOT(OR(AND(INDEX(PlotData,MATCH($A579,PlotNumber,0),MATCH("Tenure",PlotTitles,0))="Open market housing",INDEX(PlotData,MATCH($A579,PlotNumber,0),MATCH("Tenure detail",PlotTitles,0))="Private rented sector"),INDEX(PlotData,MATCH($A579,PlotNumber,0),MATCH("Tenure",PlotTitles,0))="Affordable rent")),"",NOT(INDEX(PlotData,MATCH($A579,PlotNumber,0),MATCH(S$3,PlotTitles,0))=0), $AB$24,TRUE,"")</f>
        <v/>
      </c>
      <c r="V579" s="114" t="str" cm="1">
        <f t="array" aca="1" ref="V579" ca="1">_xlfn.IFS(ISBLANK(NumberOfPlots),"Enter the number of homes on the 1_SetUp sheet",AND(A579&gt;NumberOfPlots,ISBLANK(INDEX(PlotData,MATCH($A579,PlotNumber,0),MATCH(B$3,PlotTitles,0)))),"No error",NOT(B579=""),B579,NOT(C579=""),C579,NOT(D579=""),D579,NOT(E579=""),E579,NOT(F579=""),F579,NOT(G579=""),G579,NOT(H579=""),H579,NOT(I579=""),I579,NOT(J579=""),J579,NOT(K579=""),K579,NOT(L579=""),L579,NOT(M579=""),M579,NOT(N579=""),N579,NOT(O579=""),O579,NOT(P579=""),P579,NOT(Q579=""),Q579,NOT(R579=""),R579,NOT(S579=""),S579,NOT(T579=""),T579,NOT(U579=""),U579,TRUE,"No error")</f>
        <v>Enter the number of homes on the 1_SetUp sheet</v>
      </c>
      <c r="W579" s="114" t="str">
        <f t="shared" ca="1" si="26"/>
        <v xml:space="preserve">The Borrower has not addressed the following error messages for Home ID 575: </v>
      </c>
    </row>
    <row r="580" spans="1:23">
      <c r="A580" s="123">
        <v>576</v>
      </c>
      <c r="B580" s="104" t="str" cm="1">
        <f t="array" ref="B580">_xlfn.IFS(AND(A580&gt;NumberOfPlots,ISBLANK(INDEX(PlotData,MATCH($A580,PlotNumber,0),MATCH(B$3,PlotTitles,0)))),"",ISNUMBER(INDEX(PlotData,MATCH($A580,PlotNumber,0),MATCH(B$3,PlotTitles,0)))=FALSE, $AB$5,TRUE,"")</f>
        <v/>
      </c>
      <c r="C580" s="104" t="str" cm="1">
        <f t="array" ref="C580">_xlfn.IFS(AND(A580&gt;NumberOfPlots,ISBLANK(INDEX(PlotData,MATCH($A580,PlotNumber,0),MATCH(B$3,PlotTitles,0)))),"",ISBLANK(INDEX(PlotData,MATCH($A580,PlotNumber,0),MATCH(C$3,PlotTitles,0))),$AB$6,TRUE,"")</f>
        <v/>
      </c>
      <c r="D580" s="104" t="str" cm="1">
        <f t="array" ref="D580">_xlfn.IFS(AND(A580&gt;NumberOfPlots,ISBLANK(INDEX(PlotData,MATCH($A580,PlotNumber,0),MATCH(B$3,PlotTitles,0)))),"",ISBLANK(INDEX(PlotData,MATCH($A580,PlotNumber,0),MATCH(D$3,PlotTitles,0))),$AB$7,TRUE,"")</f>
        <v/>
      </c>
      <c r="E580" s="104" t="str" cm="1">
        <f t="array" ref="E580">_xlfn.IFS(AND(A580&gt;NumberOfPlots,ISBLANK(INDEX(PlotData,MATCH($A580,PlotNumber,0),MATCH(B$3,PlotTitles,0)))),"",ISBLANK(INDEX(PlotData,MATCH($A580,PlotNumber,0),MATCH(E$3,PlotTitles,0))),$AB$8,TRUE,"")</f>
        <v/>
      </c>
      <c r="F580" s="104" t="str" cm="1">
        <f t="array" ref="F580">_xlfn.IFS(AND(A580&gt;NumberOfPlots,ISBLANK(INDEX(PlotData,MATCH($A580,PlotNumber,0),MATCH(B$3,PlotTitles,0)))),"",ISBLANK(INDEX(PlotData,MATCH($A580,PlotNumber,0),MATCH(F$3,PlotTitles,0))),$AB$9,TRUE,"")</f>
        <v/>
      </c>
      <c r="G580" s="104" t="str" cm="1">
        <f t="array" ref="G580">_xlfn.IFS(AND(A580&gt;NumberOfPlots,ISBLANK(INDEX(PlotData,MATCH($A580,PlotNumber,0),MATCH(B$3,PlotTitles,0)))),"",ISBLANK(INDEX(PlotData,MATCH($A580,PlotNumber,0),MATCH(G$3,PlotTitles,0))),$AB$10,TRUE,"")</f>
        <v/>
      </c>
      <c r="H580" s="104" t="str" cm="1">
        <f t="array" ref="H580">_xlfn.IFS(AND(A580&gt;NumberOfPlots,ISBLANK(INDEX(PlotData,MATCH($A580,PlotNumber,0),MATCH(B$3,PlotTitles,0)))),"",AND(ISBLANK(INDEX(PlotData,MATCH($A580,PlotNumber,0),MATCH(H$3,PlotTitles,0)))=FALSE,INDEX(PlotData,MATCH($A580,PlotNumber,0),MATCH(H$3,PlotTitles,0))&lt;500), $AB$11,TRUE,"")</f>
        <v/>
      </c>
      <c r="I580" s="104" t="str" cm="1">
        <f t="array" ref="I580">_xlfn.IFS(AND(A580&gt;NumberOfPlots,ISBLANK(INDEX(PlotData,MATCH($A580,PlotNumber,0),MATCH(B$3,PlotTitles,0)))),"",ISBLANK(INDEX(PlotData,MATCH($A580,PlotNumber,0),MATCH(I$3,PlotTitles,0))),$AB$12,TRUE,"")</f>
        <v/>
      </c>
      <c r="J580" s="104" t="str" cm="1">
        <f t="array" ref="J580">_xlfn.IFS(AND(A580&gt;NumberOfPlots,ISBLANK(INDEX(PlotData,MATCH($A580,PlotNumber,0),MATCH(B$3,PlotTitles,0)))),"",ISBLANK(INDEX(PlotData,MATCH($A580,PlotNumber,0),MATCH(J$3,PlotTitles,0))),$AB$13,TRUE,"")</f>
        <v/>
      </c>
      <c r="K580" s="182" t="str">
        <f t="shared" ca="1" si="24"/>
        <v/>
      </c>
      <c r="L580" s="104" t="str" cm="1">
        <f t="array" ref="L580">_xlfn.IFS(OR(ISBLANK(StartDateMonth),ISBLANK(StartDateYear)),"",AND(A580&gt;NumberOfPlots,ISBLANK(INDEX(PlotData,MATCH($A580,PlotNumber,0),MATCH(B$3,PlotTitles,0)))),"",ISBLANK(INDEX(PlotData,MATCH($A580,PlotNumber,0),MATCH(I$3,PlotTitles,0))),"",(DATEVALUE(INDEX(PlotData,MATCH($A580,PlotNumber,0),MATCH(I$3,PlotTitles,0))&amp;INDEX(PlotData,MATCH($A580,PlotNumber,0),MATCH(J$3,PlotTitles,0))))&lt;DATEVALUE(StartDateMonth&amp;StartDateYear),$AB$15,TRUE,"")</f>
        <v/>
      </c>
      <c r="M580" s="104" t="str" cm="1">
        <f t="array" ref="M580">_xlfn.IFS(OR(ISBLANK(StartDateMonth),ISBLANK(StartDateYear)),"",AND(A580&gt;NumberOfPlots,ISBLANK(INDEX(PlotData,MATCH($A580,PlotNumber,0),MATCH(B$3,PlotTitles,0)))),"",ISBLANK(INDEX(PlotData,MATCH($A580,PlotNumber,0),MATCH(I$3,PlotTitles,0))),"",CompletionMonth="","",(DATEVALUE(INDEX(PlotData,MATCH($A580,PlotNumber,0),MATCH(I$3,PlotTitles,0))&amp;INDEX(PlotData,MATCH($A580,PlotNumber,0),MATCH(J$3,PlotTitles,0))))&gt;(DATEVALUE(CompletionMonth&amp;CompletionYear)),$AB$16,TRUE,"")</f>
        <v/>
      </c>
      <c r="N580" s="104" t="str" cm="1">
        <f t="array" ref="N580">_xlfn.IFS(AND(A580&gt;NumberOfPlots,ISBLANK(INDEX(PlotData,MATCH($A580,PlotNumber,0),MATCH(B$3,PlotTitles,0)))),"",ISBLANK(INDEX(PlotData,MATCH($A580,PlotNumber,0),MATCH(N$3,PlotTitles,0))),$AB$17,TRUE,"")</f>
        <v/>
      </c>
      <c r="O580" s="104" t="str" cm="1">
        <f t="array" ref="O580">_xlfn.IFS(AND(A580&gt;NumberOfPlots,ISBLANK(INDEX(PlotData,MATCH($A580,PlotNumber,0),MATCH(B$3,PlotTitles,0)))),"",ISBLANK(INDEX(PlotData,MATCH($A580,PlotNumber,0),MATCH(O$3,PlotTitles,0))),$AB$18,TRUE,"")</f>
        <v/>
      </c>
      <c r="P580" s="182" t="str">
        <f t="shared" ca="1" si="25"/>
        <v/>
      </c>
      <c r="Q580" s="104" t="str" cm="1">
        <f t="array" ref="Q580">_xlfn.IFS(AND(A580&gt;NumberOfPlots,ISBLANK(INDEX(PlotData,MATCH($A580,PlotNumber,0),MATCH(B$3,PlotTitles,0)))),"",ISBLANK(INDEX(PlotData,MATCH($A580,PlotNumber,0),MATCH(N$3,PlotTitles,0))),"",(DATEVALUE(INDEX(PlotData,MATCH($A580,PlotNumber,0),MATCH(N$3,PlotTitles,0))&amp;INDEX(PlotData,MATCH($A580,PlotNumber,0),MATCH(O$3,PlotTitles,0))))&lt;(DATEVALUE(INDEX(PlotData,MATCH($A580,PlotNumber,0),MATCH(I$3,PlotTitles,0))&amp;INDEX(PlotData,MATCH($A580,PlotNumber,0),MATCH(J$3,PlotTitles,0)))),$AB$20,TRUE,"")</f>
        <v/>
      </c>
      <c r="R580" s="104" t="str" cm="1">
        <f t="array" ref="R580">_xlfn.IFS(OR(ISBLANK(StartDateMonth),ISBLANK(StartDateYear)),"",AND(A580&gt;NumberOfPlots,ISBLANK(INDEX(PlotData,MATCH($A580,PlotNumber,0),MATCH(B$3,PlotTitles,0)))),"",ISBLANK(INDEX(PlotData,MATCH($A580,PlotNumber,0),MATCH(N$3,PlotTitles,0))),"",CompletionMonth="","",(DATEVALUE(INDEX(PlotData,MATCH($A580,PlotNumber,0),MATCH(N$3,PlotTitles,0))&amp;INDEX(PlotData,MATCH($A580,PlotNumber,0),MATCH(O$3,PlotTitles,0))))&gt;(DATEVALUE(CompletionMonth&amp;CompletionYear)),$AB$21,TRUE,"")</f>
        <v/>
      </c>
      <c r="S580" s="104" t="str" cm="1">
        <f t="array" ref="S580">_xlfn.IFS(AND(A580&gt;NumberOfPlots,ISBLANK(INDEX(PlotData,MATCH($A580,PlotNumber,0),MATCH(B$3,PlotTitles,0)))),"",OR(AND(INDEX(PlotData,MATCH($A580,PlotNumber,0),MATCH("Tenure",PlotTitles,0))="Open market housing",INDEX(PlotData,MATCH($A580,PlotNumber,0),MATCH("Tenure detail",PlotTitles,0))="Private rented sector"),INDEX(PlotData,MATCH($A580,PlotNumber,0),MATCH("Tenure",PlotTitles,0))="Affordable rent"),"",ISNUMBER(INDEX(PlotData,MATCH($A580,PlotNumber,0),MATCH(S$3,PlotTitles,0)))=FALSE, $AB$22,TRUE,"")</f>
        <v/>
      </c>
      <c r="T580" s="104" t="str" cm="1">
        <f t="array" ref="T580">_xlfn.IFS(AND(A580&gt;NumberOfPlots,ISBLANK(INDEX(PlotData,MATCH($A580,PlotNumber,0),MATCH(B$3,PlotTitles,0)))),"",OR(AND(INDEX(PlotData,MATCH($A580,PlotNumber,0),MATCH("Tenure",PlotTitles,0))="Open market housing",INDEX(PlotData,MATCH($A580,PlotNumber,0),MATCH("Tenure detail",PlotTitles,0))="Private rented sector"),INDEX(PlotData,MATCH($A580,PlotNumber,0),MATCH("Tenure",PlotTitles,0))="Affordable rent"),"",INDEX(PlotData,MATCH($A580,PlotNumber,0),MATCH(S$3,PlotTitles,0))&lt;10000, $AB$23,TRUE,"")</f>
        <v/>
      </c>
      <c r="U580" s="104" t="str" cm="1">
        <f t="array" ref="U580">_xlfn.IFS(AND(A580&gt;NumberOfPlots,ISBLANK(INDEX(PlotData,MATCH($A580,PlotNumber,0),MATCH(B$3,PlotTitles,0)))),"",NOT(OR(AND(INDEX(PlotData,MATCH($A580,PlotNumber,0),MATCH("Tenure",PlotTitles,0))="Open market housing",INDEX(PlotData,MATCH($A580,PlotNumber,0),MATCH("Tenure detail",PlotTitles,0))="Private rented sector"),INDEX(PlotData,MATCH($A580,PlotNumber,0),MATCH("Tenure",PlotTitles,0))="Affordable rent")),"",NOT(INDEX(PlotData,MATCH($A580,PlotNumber,0),MATCH(S$3,PlotTitles,0))=0), $AB$24,TRUE,"")</f>
        <v/>
      </c>
      <c r="V580" s="114" t="str" cm="1">
        <f t="array" aca="1" ref="V580" ca="1">_xlfn.IFS(ISBLANK(NumberOfPlots),"Enter the number of homes on the 1_SetUp sheet",AND(A580&gt;NumberOfPlots,ISBLANK(INDEX(PlotData,MATCH($A580,PlotNumber,0),MATCH(B$3,PlotTitles,0)))),"No error",NOT(B580=""),B580,NOT(C580=""),C580,NOT(D580=""),D580,NOT(E580=""),E580,NOT(F580=""),F580,NOT(G580=""),G580,NOT(H580=""),H580,NOT(I580=""),I580,NOT(J580=""),J580,NOT(K580=""),K580,NOT(L580=""),L580,NOT(M580=""),M580,NOT(N580=""),N580,NOT(O580=""),O580,NOT(P580=""),P580,NOT(Q580=""),Q580,NOT(R580=""),R580,NOT(S580=""),S580,NOT(T580=""),T580,NOT(U580=""),U580,TRUE,"No error")</f>
        <v>Enter the number of homes on the 1_SetUp sheet</v>
      </c>
      <c r="W580" s="114" t="str">
        <f t="shared" ca="1" si="26"/>
        <v xml:space="preserve">The Borrower has not addressed the following error messages for Home ID 576: </v>
      </c>
    </row>
    <row r="581" spans="1:23">
      <c r="A581" s="123">
        <v>577</v>
      </c>
      <c r="B581" s="104" t="str" cm="1">
        <f t="array" ref="B581">_xlfn.IFS(AND(A581&gt;NumberOfPlots,ISBLANK(INDEX(PlotData,MATCH($A581,PlotNumber,0),MATCH(B$3,PlotTitles,0)))),"",ISNUMBER(INDEX(PlotData,MATCH($A581,PlotNumber,0),MATCH(B$3,PlotTitles,0)))=FALSE, $AB$5,TRUE,"")</f>
        <v/>
      </c>
      <c r="C581" s="104" t="str" cm="1">
        <f t="array" ref="C581">_xlfn.IFS(AND(A581&gt;NumberOfPlots,ISBLANK(INDEX(PlotData,MATCH($A581,PlotNumber,0),MATCH(B$3,PlotTitles,0)))),"",ISBLANK(INDEX(PlotData,MATCH($A581,PlotNumber,0),MATCH(C$3,PlotTitles,0))),$AB$6,TRUE,"")</f>
        <v/>
      </c>
      <c r="D581" s="104" t="str" cm="1">
        <f t="array" ref="D581">_xlfn.IFS(AND(A581&gt;NumberOfPlots,ISBLANK(INDEX(PlotData,MATCH($A581,PlotNumber,0),MATCH(B$3,PlotTitles,0)))),"",ISBLANK(INDEX(PlotData,MATCH($A581,PlotNumber,0),MATCH(D$3,PlotTitles,0))),$AB$7,TRUE,"")</f>
        <v/>
      </c>
      <c r="E581" s="104" t="str" cm="1">
        <f t="array" ref="E581">_xlfn.IFS(AND(A581&gt;NumberOfPlots,ISBLANK(INDEX(PlotData,MATCH($A581,PlotNumber,0),MATCH(B$3,PlotTitles,0)))),"",ISBLANK(INDEX(PlotData,MATCH($A581,PlotNumber,0),MATCH(E$3,PlotTitles,0))),$AB$8,TRUE,"")</f>
        <v/>
      </c>
      <c r="F581" s="104" t="str" cm="1">
        <f t="array" ref="F581">_xlfn.IFS(AND(A581&gt;NumberOfPlots,ISBLANK(INDEX(PlotData,MATCH($A581,PlotNumber,0),MATCH(B$3,PlotTitles,0)))),"",ISBLANK(INDEX(PlotData,MATCH($A581,PlotNumber,0),MATCH(F$3,PlotTitles,0))),$AB$9,TRUE,"")</f>
        <v/>
      </c>
      <c r="G581" s="104" t="str" cm="1">
        <f t="array" ref="G581">_xlfn.IFS(AND(A581&gt;NumberOfPlots,ISBLANK(INDEX(PlotData,MATCH($A581,PlotNumber,0),MATCH(B$3,PlotTitles,0)))),"",ISBLANK(INDEX(PlotData,MATCH($A581,PlotNumber,0),MATCH(G$3,PlotTitles,0))),$AB$10,TRUE,"")</f>
        <v/>
      </c>
      <c r="H581" s="104" t="str" cm="1">
        <f t="array" ref="H581">_xlfn.IFS(AND(A581&gt;NumberOfPlots,ISBLANK(INDEX(PlotData,MATCH($A581,PlotNumber,0),MATCH(B$3,PlotTitles,0)))),"",AND(ISBLANK(INDEX(PlotData,MATCH($A581,PlotNumber,0),MATCH(H$3,PlotTitles,0)))=FALSE,INDEX(PlotData,MATCH($A581,PlotNumber,0),MATCH(H$3,PlotTitles,0))&lt;500), $AB$11,TRUE,"")</f>
        <v/>
      </c>
      <c r="I581" s="104" t="str" cm="1">
        <f t="array" ref="I581">_xlfn.IFS(AND(A581&gt;NumberOfPlots,ISBLANK(INDEX(PlotData,MATCH($A581,PlotNumber,0),MATCH(B$3,PlotTitles,0)))),"",ISBLANK(INDEX(PlotData,MATCH($A581,PlotNumber,0),MATCH(I$3,PlotTitles,0))),$AB$12,TRUE,"")</f>
        <v/>
      </c>
      <c r="J581" s="104" t="str" cm="1">
        <f t="array" ref="J581">_xlfn.IFS(AND(A581&gt;NumberOfPlots,ISBLANK(INDEX(PlotData,MATCH($A581,PlotNumber,0),MATCH(B$3,PlotTitles,0)))),"",ISBLANK(INDEX(PlotData,MATCH($A581,PlotNumber,0),MATCH(J$3,PlotTitles,0))),$AB$13,TRUE,"")</f>
        <v/>
      </c>
      <c r="K581" s="182" t="str">
        <f t="shared" ref="K581:K604" ca="1" si="27">IF(AND(A581&gt;NumberOfPlots,ISBLANK(INDEX(PlotData,MATCH($A581,PlotNumber,0),MATCH(B$3,PlotTitles,0)))),"",IF(ISBLANK(INDEX(PlotData,MATCH($A581,PlotNumber,0),MATCH(I$3,PlotTitles,0)))=FALSE,IF(ISBLANK(INDEX(PlotData,MATCH($A581,PlotNumber,0),MATCH(J$3,PlotTitles,0)))=FALSE,IF((DATEVALUE(INDEX(PlotData,MATCH($A581,PlotNumber,0),MATCH(I$3,PlotTitles,0))&amp;INDEX(PlotData,MATCH($A581,PlotNumber,0),MATCH(J$3,PlotTitles,0))))&lt;(DATEVALUE(TEXT(TODAY(),"DD")&amp;"/"&amp;TEXT(TODAY(),"MM")&amp;"/"&amp;TEXT(TODAY(),"YYYY"))),$AB$14,"")),""))</f>
        <v/>
      </c>
      <c r="L581" s="104" t="str" cm="1">
        <f t="array" ref="L581">_xlfn.IFS(OR(ISBLANK(StartDateMonth),ISBLANK(StartDateYear)),"",AND(A581&gt;NumberOfPlots,ISBLANK(INDEX(PlotData,MATCH($A581,PlotNumber,0),MATCH(B$3,PlotTitles,0)))),"",ISBLANK(INDEX(PlotData,MATCH($A581,PlotNumber,0),MATCH(I$3,PlotTitles,0))),"",(DATEVALUE(INDEX(PlotData,MATCH($A581,PlotNumber,0),MATCH(I$3,PlotTitles,0))&amp;INDEX(PlotData,MATCH($A581,PlotNumber,0),MATCH(J$3,PlotTitles,0))))&lt;DATEVALUE(StartDateMonth&amp;StartDateYear),$AB$15,TRUE,"")</f>
        <v/>
      </c>
      <c r="M581" s="104" t="str" cm="1">
        <f t="array" ref="M581">_xlfn.IFS(OR(ISBLANK(StartDateMonth),ISBLANK(StartDateYear)),"",AND(A581&gt;NumberOfPlots,ISBLANK(INDEX(PlotData,MATCH($A581,PlotNumber,0),MATCH(B$3,PlotTitles,0)))),"",ISBLANK(INDEX(PlotData,MATCH($A581,PlotNumber,0),MATCH(I$3,PlotTitles,0))),"",CompletionMonth="","",(DATEVALUE(INDEX(PlotData,MATCH($A581,PlotNumber,0),MATCH(I$3,PlotTitles,0))&amp;INDEX(PlotData,MATCH($A581,PlotNumber,0),MATCH(J$3,PlotTitles,0))))&gt;(DATEVALUE(CompletionMonth&amp;CompletionYear)),$AB$16,TRUE,"")</f>
        <v/>
      </c>
      <c r="N581" s="104" t="str" cm="1">
        <f t="array" ref="N581">_xlfn.IFS(AND(A581&gt;NumberOfPlots,ISBLANK(INDEX(PlotData,MATCH($A581,PlotNumber,0),MATCH(B$3,PlotTitles,0)))),"",ISBLANK(INDEX(PlotData,MATCH($A581,PlotNumber,0),MATCH(N$3,PlotTitles,0))),$AB$17,TRUE,"")</f>
        <v/>
      </c>
      <c r="O581" s="104" t="str" cm="1">
        <f t="array" ref="O581">_xlfn.IFS(AND(A581&gt;NumberOfPlots,ISBLANK(INDEX(PlotData,MATCH($A581,PlotNumber,0),MATCH(B$3,PlotTitles,0)))),"",ISBLANK(INDEX(PlotData,MATCH($A581,PlotNumber,0),MATCH(O$3,PlotTitles,0))),$AB$18,TRUE,"")</f>
        <v/>
      </c>
      <c r="P581" s="182" t="str">
        <f t="shared" ref="P581:P604" ca="1" si="28">IF(AND(A581&gt;NumberOfPlots,ISBLANK(INDEX(PlotData,MATCH($A581,PlotNumber,0),MATCH(B$3,PlotTitles,0)))),"",IF(ISBLANK(INDEX(PlotData,MATCH($A581,PlotNumber,0),MATCH(N$3,PlotTitles,0)))=FALSE,IF(ISBLANK(INDEX(PlotData,MATCH($A581,PlotNumber,0),MATCH(O$3,PlotTitles,0)))=FALSE,IF((DATEVALUE(INDEX(PlotData,MATCH($A581,PlotNumber,0),MATCH(N$3,PlotTitles,0))&amp;INDEX(PlotData,MATCH($A581,PlotNumber,0),MATCH(O$3,PlotTitles,0))))&lt;(DATEVALUE(TEXT(TODAY(),"DD")&amp;"/"&amp;TEXT(TODAY(),"MM")&amp;"/"&amp;TEXT(TODAY(),"YYYY"))),$AB$19,"")),""))</f>
        <v/>
      </c>
      <c r="Q581" s="104" t="str" cm="1">
        <f t="array" ref="Q581">_xlfn.IFS(AND(A581&gt;NumberOfPlots,ISBLANK(INDEX(PlotData,MATCH($A581,PlotNumber,0),MATCH(B$3,PlotTitles,0)))),"",ISBLANK(INDEX(PlotData,MATCH($A581,PlotNumber,0),MATCH(N$3,PlotTitles,0))),"",(DATEVALUE(INDEX(PlotData,MATCH($A581,PlotNumber,0),MATCH(N$3,PlotTitles,0))&amp;INDEX(PlotData,MATCH($A581,PlotNumber,0),MATCH(O$3,PlotTitles,0))))&lt;(DATEVALUE(INDEX(PlotData,MATCH($A581,PlotNumber,0),MATCH(I$3,PlotTitles,0))&amp;INDEX(PlotData,MATCH($A581,PlotNumber,0),MATCH(J$3,PlotTitles,0)))),$AB$20,TRUE,"")</f>
        <v/>
      </c>
      <c r="R581" s="104" t="str" cm="1">
        <f t="array" ref="R581">_xlfn.IFS(OR(ISBLANK(StartDateMonth),ISBLANK(StartDateYear)),"",AND(A581&gt;NumberOfPlots,ISBLANK(INDEX(PlotData,MATCH($A581,PlotNumber,0),MATCH(B$3,PlotTitles,0)))),"",ISBLANK(INDEX(PlotData,MATCH($A581,PlotNumber,0),MATCH(N$3,PlotTitles,0))),"",CompletionMonth="","",(DATEVALUE(INDEX(PlotData,MATCH($A581,PlotNumber,0),MATCH(N$3,PlotTitles,0))&amp;INDEX(PlotData,MATCH($A581,PlotNumber,0),MATCH(O$3,PlotTitles,0))))&gt;(DATEVALUE(CompletionMonth&amp;CompletionYear)),$AB$21,TRUE,"")</f>
        <v/>
      </c>
      <c r="S581" s="104" t="str" cm="1">
        <f t="array" ref="S581">_xlfn.IFS(AND(A581&gt;NumberOfPlots,ISBLANK(INDEX(PlotData,MATCH($A581,PlotNumber,0),MATCH(B$3,PlotTitles,0)))),"",OR(AND(INDEX(PlotData,MATCH($A581,PlotNumber,0),MATCH("Tenure",PlotTitles,0))="Open market housing",INDEX(PlotData,MATCH($A581,PlotNumber,0),MATCH("Tenure detail",PlotTitles,0))="Private rented sector"),INDEX(PlotData,MATCH($A581,PlotNumber,0),MATCH("Tenure",PlotTitles,0))="Affordable rent"),"",ISNUMBER(INDEX(PlotData,MATCH($A581,PlotNumber,0),MATCH(S$3,PlotTitles,0)))=FALSE, $AB$22,TRUE,"")</f>
        <v/>
      </c>
      <c r="T581" s="104" t="str" cm="1">
        <f t="array" ref="T581">_xlfn.IFS(AND(A581&gt;NumberOfPlots,ISBLANK(INDEX(PlotData,MATCH($A581,PlotNumber,0),MATCH(B$3,PlotTitles,0)))),"",OR(AND(INDEX(PlotData,MATCH($A581,PlotNumber,0),MATCH("Tenure",PlotTitles,0))="Open market housing",INDEX(PlotData,MATCH($A581,PlotNumber,0),MATCH("Tenure detail",PlotTitles,0))="Private rented sector"),INDEX(PlotData,MATCH($A581,PlotNumber,0),MATCH("Tenure",PlotTitles,0))="Affordable rent"),"",INDEX(PlotData,MATCH($A581,PlotNumber,0),MATCH(S$3,PlotTitles,0))&lt;10000, $AB$23,TRUE,"")</f>
        <v/>
      </c>
      <c r="U581" s="104" t="str" cm="1">
        <f t="array" ref="U581">_xlfn.IFS(AND(A581&gt;NumberOfPlots,ISBLANK(INDEX(PlotData,MATCH($A581,PlotNumber,0),MATCH(B$3,PlotTitles,0)))),"",NOT(OR(AND(INDEX(PlotData,MATCH($A581,PlotNumber,0),MATCH("Tenure",PlotTitles,0))="Open market housing",INDEX(PlotData,MATCH($A581,PlotNumber,0),MATCH("Tenure detail",PlotTitles,0))="Private rented sector"),INDEX(PlotData,MATCH($A581,PlotNumber,0),MATCH("Tenure",PlotTitles,0))="Affordable rent")),"",NOT(INDEX(PlotData,MATCH($A581,PlotNumber,0),MATCH(S$3,PlotTitles,0))=0), $AB$24,TRUE,"")</f>
        <v/>
      </c>
      <c r="V581" s="114" t="str" cm="1">
        <f t="array" aca="1" ref="V581" ca="1">_xlfn.IFS(ISBLANK(NumberOfPlots),"Enter the number of homes on the 1_SetUp sheet",AND(A581&gt;NumberOfPlots,ISBLANK(INDEX(PlotData,MATCH($A581,PlotNumber,0),MATCH(B$3,PlotTitles,0)))),"No error",NOT(B581=""),B581,NOT(C581=""),C581,NOT(D581=""),D581,NOT(E581=""),E581,NOT(F581=""),F581,NOT(G581=""),G581,NOT(H581=""),H581,NOT(I581=""),I581,NOT(J581=""),J581,NOT(K581=""),K581,NOT(L581=""),L581,NOT(M581=""),M581,NOT(N581=""),N581,NOT(O581=""),O581,NOT(P581=""),P581,NOT(Q581=""),Q581,NOT(R581=""),R581,NOT(S581=""),S581,NOT(T581=""),T581,NOT(U581=""),U581,TRUE,"No error")</f>
        <v>Enter the number of homes on the 1_SetUp sheet</v>
      </c>
      <c r="W581" s="114" t="str">
        <f t="shared" ca="1" si="26"/>
        <v xml:space="preserve">The Borrower has not addressed the following error messages for Home ID 577: </v>
      </c>
    </row>
    <row r="582" spans="1:23">
      <c r="A582" s="123">
        <v>578</v>
      </c>
      <c r="B582" s="104" t="str" cm="1">
        <f t="array" ref="B582">_xlfn.IFS(AND(A582&gt;NumberOfPlots,ISBLANK(INDEX(PlotData,MATCH($A582,PlotNumber,0),MATCH(B$3,PlotTitles,0)))),"",ISNUMBER(INDEX(PlotData,MATCH($A582,PlotNumber,0),MATCH(B$3,PlotTitles,0)))=FALSE, $AB$5,TRUE,"")</f>
        <v/>
      </c>
      <c r="C582" s="104" t="str" cm="1">
        <f t="array" ref="C582">_xlfn.IFS(AND(A582&gt;NumberOfPlots,ISBLANK(INDEX(PlotData,MATCH($A582,PlotNumber,0),MATCH(B$3,PlotTitles,0)))),"",ISBLANK(INDEX(PlotData,MATCH($A582,PlotNumber,0),MATCH(C$3,PlotTitles,0))),$AB$6,TRUE,"")</f>
        <v/>
      </c>
      <c r="D582" s="104" t="str" cm="1">
        <f t="array" ref="D582">_xlfn.IFS(AND(A582&gt;NumberOfPlots,ISBLANK(INDEX(PlotData,MATCH($A582,PlotNumber,0),MATCH(B$3,PlotTitles,0)))),"",ISBLANK(INDEX(PlotData,MATCH($A582,PlotNumber,0),MATCH(D$3,PlotTitles,0))),$AB$7,TRUE,"")</f>
        <v/>
      </c>
      <c r="E582" s="104" t="str" cm="1">
        <f t="array" ref="E582">_xlfn.IFS(AND(A582&gt;NumberOfPlots,ISBLANK(INDEX(PlotData,MATCH($A582,PlotNumber,0),MATCH(B$3,PlotTitles,0)))),"",ISBLANK(INDEX(PlotData,MATCH($A582,PlotNumber,0),MATCH(E$3,PlotTitles,0))),$AB$8,TRUE,"")</f>
        <v/>
      </c>
      <c r="F582" s="104" t="str" cm="1">
        <f t="array" ref="F582">_xlfn.IFS(AND(A582&gt;NumberOfPlots,ISBLANK(INDEX(PlotData,MATCH($A582,PlotNumber,0),MATCH(B$3,PlotTitles,0)))),"",ISBLANK(INDEX(PlotData,MATCH($A582,PlotNumber,0),MATCH(F$3,PlotTitles,0))),$AB$9,TRUE,"")</f>
        <v/>
      </c>
      <c r="G582" s="104" t="str" cm="1">
        <f t="array" ref="G582">_xlfn.IFS(AND(A582&gt;NumberOfPlots,ISBLANK(INDEX(PlotData,MATCH($A582,PlotNumber,0),MATCH(B$3,PlotTitles,0)))),"",ISBLANK(INDEX(PlotData,MATCH($A582,PlotNumber,0),MATCH(G$3,PlotTitles,0))),$AB$10,TRUE,"")</f>
        <v/>
      </c>
      <c r="H582" s="104" t="str" cm="1">
        <f t="array" ref="H582">_xlfn.IFS(AND(A582&gt;NumberOfPlots,ISBLANK(INDEX(PlotData,MATCH($A582,PlotNumber,0),MATCH(B$3,PlotTitles,0)))),"",AND(ISBLANK(INDEX(PlotData,MATCH($A582,PlotNumber,0),MATCH(H$3,PlotTitles,0)))=FALSE,INDEX(PlotData,MATCH($A582,PlotNumber,0),MATCH(H$3,PlotTitles,0))&lt;500), $AB$11,TRUE,"")</f>
        <v/>
      </c>
      <c r="I582" s="104" t="str" cm="1">
        <f t="array" ref="I582">_xlfn.IFS(AND(A582&gt;NumberOfPlots,ISBLANK(INDEX(PlotData,MATCH($A582,PlotNumber,0),MATCH(B$3,PlotTitles,0)))),"",ISBLANK(INDEX(PlotData,MATCH($A582,PlotNumber,0),MATCH(I$3,PlotTitles,0))),$AB$12,TRUE,"")</f>
        <v/>
      </c>
      <c r="J582" s="104" t="str" cm="1">
        <f t="array" ref="J582">_xlfn.IFS(AND(A582&gt;NumberOfPlots,ISBLANK(INDEX(PlotData,MATCH($A582,PlotNumber,0),MATCH(B$3,PlotTitles,0)))),"",ISBLANK(INDEX(PlotData,MATCH($A582,PlotNumber,0),MATCH(J$3,PlotTitles,0))),$AB$13,TRUE,"")</f>
        <v/>
      </c>
      <c r="K582" s="182" t="str">
        <f t="shared" ca="1" si="27"/>
        <v/>
      </c>
      <c r="L582" s="104" t="str" cm="1">
        <f t="array" ref="L582">_xlfn.IFS(OR(ISBLANK(StartDateMonth),ISBLANK(StartDateYear)),"",AND(A582&gt;NumberOfPlots,ISBLANK(INDEX(PlotData,MATCH($A582,PlotNumber,0),MATCH(B$3,PlotTitles,0)))),"",ISBLANK(INDEX(PlotData,MATCH($A582,PlotNumber,0),MATCH(I$3,PlotTitles,0))),"",(DATEVALUE(INDEX(PlotData,MATCH($A582,PlotNumber,0),MATCH(I$3,PlotTitles,0))&amp;INDEX(PlotData,MATCH($A582,PlotNumber,0),MATCH(J$3,PlotTitles,0))))&lt;DATEVALUE(StartDateMonth&amp;StartDateYear),$AB$15,TRUE,"")</f>
        <v/>
      </c>
      <c r="M582" s="104" t="str" cm="1">
        <f t="array" ref="M582">_xlfn.IFS(OR(ISBLANK(StartDateMonth),ISBLANK(StartDateYear)),"",AND(A582&gt;NumberOfPlots,ISBLANK(INDEX(PlotData,MATCH($A582,PlotNumber,0),MATCH(B$3,PlotTitles,0)))),"",ISBLANK(INDEX(PlotData,MATCH($A582,PlotNumber,0),MATCH(I$3,PlotTitles,0))),"",CompletionMonth="","",(DATEVALUE(INDEX(PlotData,MATCH($A582,PlotNumber,0),MATCH(I$3,PlotTitles,0))&amp;INDEX(PlotData,MATCH($A582,PlotNumber,0),MATCH(J$3,PlotTitles,0))))&gt;(DATEVALUE(CompletionMonth&amp;CompletionYear)),$AB$16,TRUE,"")</f>
        <v/>
      </c>
      <c r="N582" s="104" t="str" cm="1">
        <f t="array" ref="N582">_xlfn.IFS(AND(A582&gt;NumberOfPlots,ISBLANK(INDEX(PlotData,MATCH($A582,PlotNumber,0),MATCH(B$3,PlotTitles,0)))),"",ISBLANK(INDEX(PlotData,MATCH($A582,PlotNumber,0),MATCH(N$3,PlotTitles,0))),$AB$17,TRUE,"")</f>
        <v/>
      </c>
      <c r="O582" s="104" t="str" cm="1">
        <f t="array" ref="O582">_xlfn.IFS(AND(A582&gt;NumberOfPlots,ISBLANK(INDEX(PlotData,MATCH($A582,PlotNumber,0),MATCH(B$3,PlotTitles,0)))),"",ISBLANK(INDEX(PlotData,MATCH($A582,PlotNumber,0),MATCH(O$3,PlotTitles,0))),$AB$18,TRUE,"")</f>
        <v/>
      </c>
      <c r="P582" s="182" t="str">
        <f t="shared" ca="1" si="28"/>
        <v/>
      </c>
      <c r="Q582" s="104" t="str" cm="1">
        <f t="array" ref="Q582">_xlfn.IFS(AND(A582&gt;NumberOfPlots,ISBLANK(INDEX(PlotData,MATCH($A582,PlotNumber,0),MATCH(B$3,PlotTitles,0)))),"",ISBLANK(INDEX(PlotData,MATCH($A582,PlotNumber,0),MATCH(N$3,PlotTitles,0))),"",(DATEVALUE(INDEX(PlotData,MATCH($A582,PlotNumber,0),MATCH(N$3,PlotTitles,0))&amp;INDEX(PlotData,MATCH($A582,PlotNumber,0),MATCH(O$3,PlotTitles,0))))&lt;(DATEVALUE(INDEX(PlotData,MATCH($A582,PlotNumber,0),MATCH(I$3,PlotTitles,0))&amp;INDEX(PlotData,MATCH($A582,PlotNumber,0),MATCH(J$3,PlotTitles,0)))),$AB$20,TRUE,"")</f>
        <v/>
      </c>
      <c r="R582" s="104" t="str" cm="1">
        <f t="array" ref="R582">_xlfn.IFS(OR(ISBLANK(StartDateMonth),ISBLANK(StartDateYear)),"",AND(A582&gt;NumberOfPlots,ISBLANK(INDEX(PlotData,MATCH($A582,PlotNumber,0),MATCH(B$3,PlotTitles,0)))),"",ISBLANK(INDEX(PlotData,MATCH($A582,PlotNumber,0),MATCH(N$3,PlotTitles,0))),"",CompletionMonth="","",(DATEVALUE(INDEX(PlotData,MATCH($A582,PlotNumber,0),MATCH(N$3,PlotTitles,0))&amp;INDEX(PlotData,MATCH($A582,PlotNumber,0),MATCH(O$3,PlotTitles,0))))&gt;(DATEVALUE(CompletionMonth&amp;CompletionYear)),$AB$21,TRUE,"")</f>
        <v/>
      </c>
      <c r="S582" s="104" t="str" cm="1">
        <f t="array" ref="S582">_xlfn.IFS(AND(A582&gt;NumberOfPlots,ISBLANK(INDEX(PlotData,MATCH($A582,PlotNumber,0),MATCH(B$3,PlotTitles,0)))),"",OR(AND(INDEX(PlotData,MATCH($A582,PlotNumber,0),MATCH("Tenure",PlotTitles,0))="Open market housing",INDEX(PlotData,MATCH($A582,PlotNumber,0),MATCH("Tenure detail",PlotTitles,0))="Private rented sector"),INDEX(PlotData,MATCH($A582,PlotNumber,0),MATCH("Tenure",PlotTitles,0))="Affordable rent"),"",ISNUMBER(INDEX(PlotData,MATCH($A582,PlotNumber,0),MATCH(S$3,PlotTitles,0)))=FALSE, $AB$22,TRUE,"")</f>
        <v/>
      </c>
      <c r="T582" s="104" t="str" cm="1">
        <f t="array" ref="T582">_xlfn.IFS(AND(A582&gt;NumberOfPlots,ISBLANK(INDEX(PlotData,MATCH($A582,PlotNumber,0),MATCH(B$3,PlotTitles,0)))),"",OR(AND(INDEX(PlotData,MATCH($A582,PlotNumber,0),MATCH("Tenure",PlotTitles,0))="Open market housing",INDEX(PlotData,MATCH($A582,PlotNumber,0),MATCH("Tenure detail",PlotTitles,0))="Private rented sector"),INDEX(PlotData,MATCH($A582,PlotNumber,0),MATCH("Tenure",PlotTitles,0))="Affordable rent"),"",INDEX(PlotData,MATCH($A582,PlotNumber,0),MATCH(S$3,PlotTitles,0))&lt;10000, $AB$23,TRUE,"")</f>
        <v/>
      </c>
      <c r="U582" s="104" t="str" cm="1">
        <f t="array" ref="U582">_xlfn.IFS(AND(A582&gt;NumberOfPlots,ISBLANK(INDEX(PlotData,MATCH($A582,PlotNumber,0),MATCH(B$3,PlotTitles,0)))),"",NOT(OR(AND(INDEX(PlotData,MATCH($A582,PlotNumber,0),MATCH("Tenure",PlotTitles,0))="Open market housing",INDEX(PlotData,MATCH($A582,PlotNumber,0),MATCH("Tenure detail",PlotTitles,0))="Private rented sector"),INDEX(PlotData,MATCH($A582,PlotNumber,0),MATCH("Tenure",PlotTitles,0))="Affordable rent")),"",NOT(INDEX(PlotData,MATCH($A582,PlotNumber,0),MATCH(S$3,PlotTitles,0))=0), $AB$24,TRUE,"")</f>
        <v/>
      </c>
      <c r="V582" s="114" t="str" cm="1">
        <f t="array" aca="1" ref="V582" ca="1">_xlfn.IFS(ISBLANK(NumberOfPlots),"Enter the number of homes on the 1_SetUp sheet",AND(A582&gt;NumberOfPlots,ISBLANK(INDEX(PlotData,MATCH($A582,PlotNumber,0),MATCH(B$3,PlotTitles,0)))),"No error",NOT(B582=""),B582,NOT(C582=""),C582,NOT(D582=""),D582,NOT(E582=""),E582,NOT(F582=""),F582,NOT(G582=""),G582,NOT(H582=""),H582,NOT(I582=""),I582,NOT(J582=""),J582,NOT(K582=""),K582,NOT(L582=""),L582,NOT(M582=""),M582,NOT(N582=""),N582,NOT(O582=""),O582,NOT(P582=""),P582,NOT(Q582=""),Q582,NOT(R582=""),R582,NOT(S582=""),S582,NOT(T582=""),T582,NOT(U582=""),U582,TRUE,"No error")</f>
        <v>Enter the number of homes on the 1_SetUp sheet</v>
      </c>
      <c r="W582" s="114" t="str">
        <f t="shared" ref="W582:W604" ca="1" si="29">IF($V582="No error","","The Borrower has not addressed the following error messages for Home ID "&amp;$A582&amp;": "&amp;_xlfn.TEXTJOIN(". ",TRUE,$B582:$T582))</f>
        <v xml:space="preserve">The Borrower has not addressed the following error messages for Home ID 578: </v>
      </c>
    </row>
    <row r="583" spans="1:23">
      <c r="A583" s="123">
        <v>579</v>
      </c>
      <c r="B583" s="104" t="str" cm="1">
        <f t="array" ref="B583">_xlfn.IFS(AND(A583&gt;NumberOfPlots,ISBLANK(INDEX(PlotData,MATCH($A583,PlotNumber,0),MATCH(B$3,PlotTitles,0)))),"",ISNUMBER(INDEX(PlotData,MATCH($A583,PlotNumber,0),MATCH(B$3,PlotTitles,0)))=FALSE, $AB$5,TRUE,"")</f>
        <v/>
      </c>
      <c r="C583" s="104" t="str" cm="1">
        <f t="array" ref="C583">_xlfn.IFS(AND(A583&gt;NumberOfPlots,ISBLANK(INDEX(PlotData,MATCH($A583,PlotNumber,0),MATCH(B$3,PlotTitles,0)))),"",ISBLANK(INDEX(PlotData,MATCH($A583,PlotNumber,0),MATCH(C$3,PlotTitles,0))),$AB$6,TRUE,"")</f>
        <v/>
      </c>
      <c r="D583" s="104" t="str" cm="1">
        <f t="array" ref="D583">_xlfn.IFS(AND(A583&gt;NumberOfPlots,ISBLANK(INDEX(PlotData,MATCH($A583,PlotNumber,0),MATCH(B$3,PlotTitles,0)))),"",ISBLANK(INDEX(PlotData,MATCH($A583,PlotNumber,0),MATCH(D$3,PlotTitles,0))),$AB$7,TRUE,"")</f>
        <v/>
      </c>
      <c r="E583" s="104" t="str" cm="1">
        <f t="array" ref="E583">_xlfn.IFS(AND(A583&gt;NumberOfPlots,ISBLANK(INDEX(PlotData,MATCH($A583,PlotNumber,0),MATCH(B$3,PlotTitles,0)))),"",ISBLANK(INDEX(PlotData,MATCH($A583,PlotNumber,0),MATCH(E$3,PlotTitles,0))),$AB$8,TRUE,"")</f>
        <v/>
      </c>
      <c r="F583" s="104" t="str" cm="1">
        <f t="array" ref="F583">_xlfn.IFS(AND(A583&gt;NumberOfPlots,ISBLANK(INDEX(PlotData,MATCH($A583,PlotNumber,0),MATCH(B$3,PlotTitles,0)))),"",ISBLANK(INDEX(PlotData,MATCH($A583,PlotNumber,0),MATCH(F$3,PlotTitles,0))),$AB$9,TRUE,"")</f>
        <v/>
      </c>
      <c r="G583" s="104" t="str" cm="1">
        <f t="array" ref="G583">_xlfn.IFS(AND(A583&gt;NumberOfPlots,ISBLANK(INDEX(PlotData,MATCH($A583,PlotNumber,0),MATCH(B$3,PlotTitles,0)))),"",ISBLANK(INDEX(PlotData,MATCH($A583,PlotNumber,0),MATCH(G$3,PlotTitles,0))),$AB$10,TRUE,"")</f>
        <v/>
      </c>
      <c r="H583" s="104" t="str" cm="1">
        <f t="array" ref="H583">_xlfn.IFS(AND(A583&gt;NumberOfPlots,ISBLANK(INDEX(PlotData,MATCH($A583,PlotNumber,0),MATCH(B$3,PlotTitles,0)))),"",AND(ISBLANK(INDEX(PlotData,MATCH($A583,PlotNumber,0),MATCH(H$3,PlotTitles,0)))=FALSE,INDEX(PlotData,MATCH($A583,PlotNumber,0),MATCH(H$3,PlotTitles,0))&lt;500), $AB$11,TRUE,"")</f>
        <v/>
      </c>
      <c r="I583" s="104" t="str" cm="1">
        <f t="array" ref="I583">_xlfn.IFS(AND(A583&gt;NumberOfPlots,ISBLANK(INDEX(PlotData,MATCH($A583,PlotNumber,0),MATCH(B$3,PlotTitles,0)))),"",ISBLANK(INDEX(PlotData,MATCH($A583,PlotNumber,0),MATCH(I$3,PlotTitles,0))),$AB$12,TRUE,"")</f>
        <v/>
      </c>
      <c r="J583" s="104" t="str" cm="1">
        <f t="array" ref="J583">_xlfn.IFS(AND(A583&gt;NumberOfPlots,ISBLANK(INDEX(PlotData,MATCH($A583,PlotNumber,0),MATCH(B$3,PlotTitles,0)))),"",ISBLANK(INDEX(PlotData,MATCH($A583,PlotNumber,0),MATCH(J$3,PlotTitles,0))),$AB$13,TRUE,"")</f>
        <v/>
      </c>
      <c r="K583" s="182" t="str">
        <f t="shared" ca="1" si="27"/>
        <v/>
      </c>
      <c r="L583" s="104" t="str" cm="1">
        <f t="array" ref="L583">_xlfn.IFS(OR(ISBLANK(StartDateMonth),ISBLANK(StartDateYear)),"",AND(A583&gt;NumberOfPlots,ISBLANK(INDEX(PlotData,MATCH($A583,PlotNumber,0),MATCH(B$3,PlotTitles,0)))),"",ISBLANK(INDEX(PlotData,MATCH($A583,PlotNumber,0),MATCH(I$3,PlotTitles,0))),"",(DATEVALUE(INDEX(PlotData,MATCH($A583,PlotNumber,0),MATCH(I$3,PlotTitles,0))&amp;INDEX(PlotData,MATCH($A583,PlotNumber,0),MATCH(J$3,PlotTitles,0))))&lt;DATEVALUE(StartDateMonth&amp;StartDateYear),$AB$15,TRUE,"")</f>
        <v/>
      </c>
      <c r="M583" s="104" t="str" cm="1">
        <f t="array" ref="M583">_xlfn.IFS(OR(ISBLANK(StartDateMonth),ISBLANK(StartDateYear)),"",AND(A583&gt;NumberOfPlots,ISBLANK(INDEX(PlotData,MATCH($A583,PlotNumber,0),MATCH(B$3,PlotTitles,0)))),"",ISBLANK(INDEX(PlotData,MATCH($A583,PlotNumber,0),MATCH(I$3,PlotTitles,0))),"",CompletionMonth="","",(DATEVALUE(INDEX(PlotData,MATCH($A583,PlotNumber,0),MATCH(I$3,PlotTitles,0))&amp;INDEX(PlotData,MATCH($A583,PlotNumber,0),MATCH(J$3,PlotTitles,0))))&gt;(DATEVALUE(CompletionMonth&amp;CompletionYear)),$AB$16,TRUE,"")</f>
        <v/>
      </c>
      <c r="N583" s="104" t="str" cm="1">
        <f t="array" ref="N583">_xlfn.IFS(AND(A583&gt;NumberOfPlots,ISBLANK(INDEX(PlotData,MATCH($A583,PlotNumber,0),MATCH(B$3,PlotTitles,0)))),"",ISBLANK(INDEX(PlotData,MATCH($A583,PlotNumber,0),MATCH(N$3,PlotTitles,0))),$AB$17,TRUE,"")</f>
        <v/>
      </c>
      <c r="O583" s="104" t="str" cm="1">
        <f t="array" ref="O583">_xlfn.IFS(AND(A583&gt;NumberOfPlots,ISBLANK(INDEX(PlotData,MATCH($A583,PlotNumber,0),MATCH(B$3,PlotTitles,0)))),"",ISBLANK(INDEX(PlotData,MATCH($A583,PlotNumber,0),MATCH(O$3,PlotTitles,0))),$AB$18,TRUE,"")</f>
        <v/>
      </c>
      <c r="P583" s="182" t="str">
        <f t="shared" ca="1" si="28"/>
        <v/>
      </c>
      <c r="Q583" s="104" t="str" cm="1">
        <f t="array" ref="Q583">_xlfn.IFS(AND(A583&gt;NumberOfPlots,ISBLANK(INDEX(PlotData,MATCH($A583,PlotNumber,0),MATCH(B$3,PlotTitles,0)))),"",ISBLANK(INDEX(PlotData,MATCH($A583,PlotNumber,0),MATCH(N$3,PlotTitles,0))),"",(DATEVALUE(INDEX(PlotData,MATCH($A583,PlotNumber,0),MATCH(N$3,PlotTitles,0))&amp;INDEX(PlotData,MATCH($A583,PlotNumber,0),MATCH(O$3,PlotTitles,0))))&lt;(DATEVALUE(INDEX(PlotData,MATCH($A583,PlotNumber,0),MATCH(I$3,PlotTitles,0))&amp;INDEX(PlotData,MATCH($A583,PlotNumber,0),MATCH(J$3,PlotTitles,0)))),$AB$20,TRUE,"")</f>
        <v/>
      </c>
      <c r="R583" s="104" t="str" cm="1">
        <f t="array" ref="R583">_xlfn.IFS(OR(ISBLANK(StartDateMonth),ISBLANK(StartDateYear)),"",AND(A583&gt;NumberOfPlots,ISBLANK(INDEX(PlotData,MATCH($A583,PlotNumber,0),MATCH(B$3,PlotTitles,0)))),"",ISBLANK(INDEX(PlotData,MATCH($A583,PlotNumber,0),MATCH(N$3,PlotTitles,0))),"",CompletionMonth="","",(DATEVALUE(INDEX(PlotData,MATCH($A583,PlotNumber,0),MATCH(N$3,PlotTitles,0))&amp;INDEX(PlotData,MATCH($A583,PlotNumber,0),MATCH(O$3,PlotTitles,0))))&gt;(DATEVALUE(CompletionMonth&amp;CompletionYear)),$AB$21,TRUE,"")</f>
        <v/>
      </c>
      <c r="S583" s="104" t="str" cm="1">
        <f t="array" ref="S583">_xlfn.IFS(AND(A583&gt;NumberOfPlots,ISBLANK(INDEX(PlotData,MATCH($A583,PlotNumber,0),MATCH(B$3,PlotTitles,0)))),"",OR(AND(INDEX(PlotData,MATCH($A583,PlotNumber,0),MATCH("Tenure",PlotTitles,0))="Open market housing",INDEX(PlotData,MATCH($A583,PlotNumber,0),MATCH("Tenure detail",PlotTitles,0))="Private rented sector"),INDEX(PlotData,MATCH($A583,PlotNumber,0),MATCH("Tenure",PlotTitles,0))="Affordable rent"),"",ISNUMBER(INDEX(PlotData,MATCH($A583,PlotNumber,0),MATCH(S$3,PlotTitles,0)))=FALSE, $AB$22,TRUE,"")</f>
        <v/>
      </c>
      <c r="T583" s="104" t="str" cm="1">
        <f t="array" ref="T583">_xlfn.IFS(AND(A583&gt;NumberOfPlots,ISBLANK(INDEX(PlotData,MATCH($A583,PlotNumber,0),MATCH(B$3,PlotTitles,0)))),"",OR(AND(INDEX(PlotData,MATCH($A583,PlotNumber,0),MATCH("Tenure",PlotTitles,0))="Open market housing",INDEX(PlotData,MATCH($A583,PlotNumber,0),MATCH("Tenure detail",PlotTitles,0))="Private rented sector"),INDEX(PlotData,MATCH($A583,PlotNumber,0),MATCH("Tenure",PlotTitles,0))="Affordable rent"),"",INDEX(PlotData,MATCH($A583,PlotNumber,0),MATCH(S$3,PlotTitles,0))&lt;10000, $AB$23,TRUE,"")</f>
        <v/>
      </c>
      <c r="U583" s="104" t="str" cm="1">
        <f t="array" ref="U583">_xlfn.IFS(AND(A583&gt;NumberOfPlots,ISBLANK(INDEX(PlotData,MATCH($A583,PlotNumber,0),MATCH(B$3,PlotTitles,0)))),"",NOT(OR(AND(INDEX(PlotData,MATCH($A583,PlotNumber,0),MATCH("Tenure",PlotTitles,0))="Open market housing",INDEX(PlotData,MATCH($A583,PlotNumber,0),MATCH("Tenure detail",PlotTitles,0))="Private rented sector"),INDEX(PlotData,MATCH($A583,PlotNumber,0),MATCH("Tenure",PlotTitles,0))="Affordable rent")),"",NOT(INDEX(PlotData,MATCH($A583,PlotNumber,0),MATCH(S$3,PlotTitles,0))=0), $AB$24,TRUE,"")</f>
        <v/>
      </c>
      <c r="V583" s="114" t="str" cm="1">
        <f t="array" aca="1" ref="V583" ca="1">_xlfn.IFS(ISBLANK(NumberOfPlots),"Enter the number of homes on the 1_SetUp sheet",AND(A583&gt;NumberOfPlots,ISBLANK(INDEX(PlotData,MATCH($A583,PlotNumber,0),MATCH(B$3,PlotTitles,0)))),"No error",NOT(B583=""),B583,NOT(C583=""),C583,NOT(D583=""),D583,NOT(E583=""),E583,NOT(F583=""),F583,NOT(G583=""),G583,NOT(H583=""),H583,NOT(I583=""),I583,NOT(J583=""),J583,NOT(K583=""),K583,NOT(L583=""),L583,NOT(M583=""),M583,NOT(N583=""),N583,NOT(O583=""),O583,NOT(P583=""),P583,NOT(Q583=""),Q583,NOT(R583=""),R583,NOT(S583=""),S583,NOT(T583=""),T583,NOT(U583=""),U583,TRUE,"No error")</f>
        <v>Enter the number of homes on the 1_SetUp sheet</v>
      </c>
      <c r="W583" s="114" t="str">
        <f t="shared" ca="1" si="29"/>
        <v xml:space="preserve">The Borrower has not addressed the following error messages for Home ID 579: </v>
      </c>
    </row>
    <row r="584" spans="1:23">
      <c r="A584" s="123">
        <v>580</v>
      </c>
      <c r="B584" s="104" t="str" cm="1">
        <f t="array" ref="B584">_xlfn.IFS(AND(A584&gt;NumberOfPlots,ISBLANK(INDEX(PlotData,MATCH($A584,PlotNumber,0),MATCH(B$3,PlotTitles,0)))),"",ISNUMBER(INDEX(PlotData,MATCH($A584,PlotNumber,0),MATCH(B$3,PlotTitles,0)))=FALSE, $AB$5,TRUE,"")</f>
        <v/>
      </c>
      <c r="C584" s="104" t="str" cm="1">
        <f t="array" ref="C584">_xlfn.IFS(AND(A584&gt;NumberOfPlots,ISBLANK(INDEX(PlotData,MATCH($A584,PlotNumber,0),MATCH(B$3,PlotTitles,0)))),"",ISBLANK(INDEX(PlotData,MATCH($A584,PlotNumber,0),MATCH(C$3,PlotTitles,0))),$AB$6,TRUE,"")</f>
        <v/>
      </c>
      <c r="D584" s="104" t="str" cm="1">
        <f t="array" ref="D584">_xlfn.IFS(AND(A584&gt;NumberOfPlots,ISBLANK(INDEX(PlotData,MATCH($A584,PlotNumber,0),MATCH(B$3,PlotTitles,0)))),"",ISBLANK(INDEX(PlotData,MATCH($A584,PlotNumber,0),MATCH(D$3,PlotTitles,0))),$AB$7,TRUE,"")</f>
        <v/>
      </c>
      <c r="E584" s="104" t="str" cm="1">
        <f t="array" ref="E584">_xlfn.IFS(AND(A584&gt;NumberOfPlots,ISBLANK(INDEX(PlotData,MATCH($A584,PlotNumber,0),MATCH(B$3,PlotTitles,0)))),"",ISBLANK(INDEX(PlotData,MATCH($A584,PlotNumber,0),MATCH(E$3,PlotTitles,0))),$AB$8,TRUE,"")</f>
        <v/>
      </c>
      <c r="F584" s="104" t="str" cm="1">
        <f t="array" ref="F584">_xlfn.IFS(AND(A584&gt;NumberOfPlots,ISBLANK(INDEX(PlotData,MATCH($A584,PlotNumber,0),MATCH(B$3,PlotTitles,0)))),"",ISBLANK(INDEX(PlotData,MATCH($A584,PlotNumber,0),MATCH(F$3,PlotTitles,0))),$AB$9,TRUE,"")</f>
        <v/>
      </c>
      <c r="G584" s="104" t="str" cm="1">
        <f t="array" ref="G584">_xlfn.IFS(AND(A584&gt;NumberOfPlots,ISBLANK(INDEX(PlotData,MATCH($A584,PlotNumber,0),MATCH(B$3,PlotTitles,0)))),"",ISBLANK(INDEX(PlotData,MATCH($A584,PlotNumber,0),MATCH(G$3,PlotTitles,0))),$AB$10,TRUE,"")</f>
        <v/>
      </c>
      <c r="H584" s="104" t="str" cm="1">
        <f t="array" ref="H584">_xlfn.IFS(AND(A584&gt;NumberOfPlots,ISBLANK(INDEX(PlotData,MATCH($A584,PlotNumber,0),MATCH(B$3,PlotTitles,0)))),"",AND(ISBLANK(INDEX(PlotData,MATCH($A584,PlotNumber,0),MATCH(H$3,PlotTitles,0)))=FALSE,INDEX(PlotData,MATCH($A584,PlotNumber,0),MATCH(H$3,PlotTitles,0))&lt;500), $AB$11,TRUE,"")</f>
        <v/>
      </c>
      <c r="I584" s="104" t="str" cm="1">
        <f t="array" ref="I584">_xlfn.IFS(AND(A584&gt;NumberOfPlots,ISBLANK(INDEX(PlotData,MATCH($A584,PlotNumber,0),MATCH(B$3,PlotTitles,0)))),"",ISBLANK(INDEX(PlotData,MATCH($A584,PlotNumber,0),MATCH(I$3,PlotTitles,0))),$AB$12,TRUE,"")</f>
        <v/>
      </c>
      <c r="J584" s="104" t="str" cm="1">
        <f t="array" ref="J584">_xlfn.IFS(AND(A584&gt;NumberOfPlots,ISBLANK(INDEX(PlotData,MATCH($A584,PlotNumber,0),MATCH(B$3,PlotTitles,0)))),"",ISBLANK(INDEX(PlotData,MATCH($A584,PlotNumber,0),MATCH(J$3,PlotTitles,0))),$AB$13,TRUE,"")</f>
        <v/>
      </c>
      <c r="K584" s="182" t="str">
        <f t="shared" ca="1" si="27"/>
        <v/>
      </c>
      <c r="L584" s="104" t="str" cm="1">
        <f t="array" ref="L584">_xlfn.IFS(OR(ISBLANK(StartDateMonth),ISBLANK(StartDateYear)),"",AND(A584&gt;NumberOfPlots,ISBLANK(INDEX(PlotData,MATCH($A584,PlotNumber,0),MATCH(B$3,PlotTitles,0)))),"",ISBLANK(INDEX(PlotData,MATCH($A584,PlotNumber,0),MATCH(I$3,PlotTitles,0))),"",(DATEVALUE(INDEX(PlotData,MATCH($A584,PlotNumber,0),MATCH(I$3,PlotTitles,0))&amp;INDEX(PlotData,MATCH($A584,PlotNumber,0),MATCH(J$3,PlotTitles,0))))&lt;DATEVALUE(StartDateMonth&amp;StartDateYear),$AB$15,TRUE,"")</f>
        <v/>
      </c>
      <c r="M584" s="104" t="str" cm="1">
        <f t="array" ref="M584">_xlfn.IFS(OR(ISBLANK(StartDateMonth),ISBLANK(StartDateYear)),"",AND(A584&gt;NumberOfPlots,ISBLANK(INDEX(PlotData,MATCH($A584,PlotNumber,0),MATCH(B$3,PlotTitles,0)))),"",ISBLANK(INDEX(PlotData,MATCH($A584,PlotNumber,0),MATCH(I$3,PlotTitles,0))),"",CompletionMonth="","",(DATEVALUE(INDEX(PlotData,MATCH($A584,PlotNumber,0),MATCH(I$3,PlotTitles,0))&amp;INDEX(PlotData,MATCH($A584,PlotNumber,0),MATCH(J$3,PlotTitles,0))))&gt;(DATEVALUE(CompletionMonth&amp;CompletionYear)),$AB$16,TRUE,"")</f>
        <v/>
      </c>
      <c r="N584" s="104" t="str" cm="1">
        <f t="array" ref="N584">_xlfn.IFS(AND(A584&gt;NumberOfPlots,ISBLANK(INDEX(PlotData,MATCH($A584,PlotNumber,0),MATCH(B$3,PlotTitles,0)))),"",ISBLANK(INDEX(PlotData,MATCH($A584,PlotNumber,0),MATCH(N$3,PlotTitles,0))),$AB$17,TRUE,"")</f>
        <v/>
      </c>
      <c r="O584" s="104" t="str" cm="1">
        <f t="array" ref="O584">_xlfn.IFS(AND(A584&gt;NumberOfPlots,ISBLANK(INDEX(PlotData,MATCH($A584,PlotNumber,0),MATCH(B$3,PlotTitles,0)))),"",ISBLANK(INDEX(PlotData,MATCH($A584,PlotNumber,0),MATCH(O$3,PlotTitles,0))),$AB$18,TRUE,"")</f>
        <v/>
      </c>
      <c r="P584" s="182" t="str">
        <f t="shared" ca="1" si="28"/>
        <v/>
      </c>
      <c r="Q584" s="104" t="str" cm="1">
        <f t="array" ref="Q584">_xlfn.IFS(AND(A584&gt;NumberOfPlots,ISBLANK(INDEX(PlotData,MATCH($A584,PlotNumber,0),MATCH(B$3,PlotTitles,0)))),"",ISBLANK(INDEX(PlotData,MATCH($A584,PlotNumber,0),MATCH(N$3,PlotTitles,0))),"",(DATEVALUE(INDEX(PlotData,MATCH($A584,PlotNumber,0),MATCH(N$3,PlotTitles,0))&amp;INDEX(PlotData,MATCH($A584,PlotNumber,0),MATCH(O$3,PlotTitles,0))))&lt;(DATEVALUE(INDEX(PlotData,MATCH($A584,PlotNumber,0),MATCH(I$3,PlotTitles,0))&amp;INDEX(PlotData,MATCH($A584,PlotNumber,0),MATCH(J$3,PlotTitles,0)))),$AB$20,TRUE,"")</f>
        <v/>
      </c>
      <c r="R584" s="104" t="str" cm="1">
        <f t="array" ref="R584">_xlfn.IFS(OR(ISBLANK(StartDateMonth),ISBLANK(StartDateYear)),"",AND(A584&gt;NumberOfPlots,ISBLANK(INDEX(PlotData,MATCH($A584,PlotNumber,0),MATCH(B$3,PlotTitles,0)))),"",ISBLANK(INDEX(PlotData,MATCH($A584,PlotNumber,0),MATCH(N$3,PlotTitles,0))),"",CompletionMonth="","",(DATEVALUE(INDEX(PlotData,MATCH($A584,PlotNumber,0),MATCH(N$3,PlotTitles,0))&amp;INDEX(PlotData,MATCH($A584,PlotNumber,0),MATCH(O$3,PlotTitles,0))))&gt;(DATEVALUE(CompletionMonth&amp;CompletionYear)),$AB$21,TRUE,"")</f>
        <v/>
      </c>
      <c r="S584" s="104" t="str" cm="1">
        <f t="array" ref="S584">_xlfn.IFS(AND(A584&gt;NumberOfPlots,ISBLANK(INDEX(PlotData,MATCH($A584,PlotNumber,0),MATCH(B$3,PlotTitles,0)))),"",OR(AND(INDEX(PlotData,MATCH($A584,PlotNumber,0),MATCH("Tenure",PlotTitles,0))="Open market housing",INDEX(PlotData,MATCH($A584,PlotNumber,0),MATCH("Tenure detail",PlotTitles,0))="Private rented sector"),INDEX(PlotData,MATCH($A584,PlotNumber,0),MATCH("Tenure",PlotTitles,0))="Affordable rent"),"",ISNUMBER(INDEX(PlotData,MATCH($A584,PlotNumber,0),MATCH(S$3,PlotTitles,0)))=FALSE, $AB$22,TRUE,"")</f>
        <v/>
      </c>
      <c r="T584" s="104" t="str" cm="1">
        <f t="array" ref="T584">_xlfn.IFS(AND(A584&gt;NumberOfPlots,ISBLANK(INDEX(PlotData,MATCH($A584,PlotNumber,0),MATCH(B$3,PlotTitles,0)))),"",OR(AND(INDEX(PlotData,MATCH($A584,PlotNumber,0),MATCH("Tenure",PlotTitles,0))="Open market housing",INDEX(PlotData,MATCH($A584,PlotNumber,0),MATCH("Tenure detail",PlotTitles,0))="Private rented sector"),INDEX(PlotData,MATCH($A584,PlotNumber,0),MATCH("Tenure",PlotTitles,0))="Affordable rent"),"",INDEX(PlotData,MATCH($A584,PlotNumber,0),MATCH(S$3,PlotTitles,0))&lt;10000, $AB$23,TRUE,"")</f>
        <v/>
      </c>
      <c r="U584" s="104" t="str" cm="1">
        <f t="array" ref="U584">_xlfn.IFS(AND(A584&gt;NumberOfPlots,ISBLANK(INDEX(PlotData,MATCH($A584,PlotNumber,0),MATCH(B$3,PlotTitles,0)))),"",NOT(OR(AND(INDEX(PlotData,MATCH($A584,PlotNumber,0),MATCH("Tenure",PlotTitles,0))="Open market housing",INDEX(PlotData,MATCH($A584,PlotNumber,0),MATCH("Tenure detail",PlotTitles,0))="Private rented sector"),INDEX(PlotData,MATCH($A584,PlotNumber,0),MATCH("Tenure",PlotTitles,0))="Affordable rent")),"",NOT(INDEX(PlotData,MATCH($A584,PlotNumber,0),MATCH(S$3,PlotTitles,0))=0), $AB$24,TRUE,"")</f>
        <v/>
      </c>
      <c r="V584" s="114" t="str" cm="1">
        <f t="array" aca="1" ref="V584" ca="1">_xlfn.IFS(ISBLANK(NumberOfPlots),"Enter the number of homes on the 1_SetUp sheet",AND(A584&gt;NumberOfPlots,ISBLANK(INDEX(PlotData,MATCH($A584,PlotNumber,0),MATCH(B$3,PlotTitles,0)))),"No error",NOT(B584=""),B584,NOT(C584=""),C584,NOT(D584=""),D584,NOT(E584=""),E584,NOT(F584=""),F584,NOT(G584=""),G584,NOT(H584=""),H584,NOT(I584=""),I584,NOT(J584=""),J584,NOT(K584=""),K584,NOT(L584=""),L584,NOT(M584=""),M584,NOT(N584=""),N584,NOT(O584=""),O584,NOT(P584=""),P584,NOT(Q584=""),Q584,NOT(R584=""),R584,NOT(S584=""),S584,NOT(T584=""),T584,NOT(U584=""),U584,TRUE,"No error")</f>
        <v>Enter the number of homes on the 1_SetUp sheet</v>
      </c>
      <c r="W584" s="114" t="str">
        <f t="shared" ca="1" si="29"/>
        <v xml:space="preserve">The Borrower has not addressed the following error messages for Home ID 580: </v>
      </c>
    </row>
    <row r="585" spans="1:23">
      <c r="A585" s="123">
        <v>581</v>
      </c>
      <c r="B585" s="104" t="str" cm="1">
        <f t="array" ref="B585">_xlfn.IFS(AND(A585&gt;NumberOfPlots,ISBLANK(INDEX(PlotData,MATCH($A585,PlotNumber,0),MATCH(B$3,PlotTitles,0)))),"",ISNUMBER(INDEX(PlotData,MATCH($A585,PlotNumber,0),MATCH(B$3,PlotTitles,0)))=FALSE, $AB$5,TRUE,"")</f>
        <v/>
      </c>
      <c r="C585" s="104" t="str" cm="1">
        <f t="array" ref="C585">_xlfn.IFS(AND(A585&gt;NumberOfPlots,ISBLANK(INDEX(PlotData,MATCH($A585,PlotNumber,0),MATCH(B$3,PlotTitles,0)))),"",ISBLANK(INDEX(PlotData,MATCH($A585,PlotNumber,0),MATCH(C$3,PlotTitles,0))),$AB$6,TRUE,"")</f>
        <v/>
      </c>
      <c r="D585" s="104" t="str" cm="1">
        <f t="array" ref="D585">_xlfn.IFS(AND(A585&gt;NumberOfPlots,ISBLANK(INDEX(PlotData,MATCH($A585,PlotNumber,0),MATCH(B$3,PlotTitles,0)))),"",ISBLANK(INDEX(PlotData,MATCH($A585,PlotNumber,0),MATCH(D$3,PlotTitles,0))),$AB$7,TRUE,"")</f>
        <v/>
      </c>
      <c r="E585" s="104" t="str" cm="1">
        <f t="array" ref="E585">_xlfn.IFS(AND(A585&gt;NumberOfPlots,ISBLANK(INDEX(PlotData,MATCH($A585,PlotNumber,0),MATCH(B$3,PlotTitles,0)))),"",ISBLANK(INDEX(PlotData,MATCH($A585,PlotNumber,0),MATCH(E$3,PlotTitles,0))),$AB$8,TRUE,"")</f>
        <v/>
      </c>
      <c r="F585" s="104" t="str" cm="1">
        <f t="array" ref="F585">_xlfn.IFS(AND(A585&gt;NumberOfPlots,ISBLANK(INDEX(PlotData,MATCH($A585,PlotNumber,0),MATCH(B$3,PlotTitles,0)))),"",ISBLANK(INDEX(PlotData,MATCH($A585,PlotNumber,0),MATCH(F$3,PlotTitles,0))),$AB$9,TRUE,"")</f>
        <v/>
      </c>
      <c r="G585" s="104" t="str" cm="1">
        <f t="array" ref="G585">_xlfn.IFS(AND(A585&gt;NumberOfPlots,ISBLANK(INDEX(PlotData,MATCH($A585,PlotNumber,0),MATCH(B$3,PlotTitles,0)))),"",ISBLANK(INDEX(PlotData,MATCH($A585,PlotNumber,0),MATCH(G$3,PlotTitles,0))),$AB$10,TRUE,"")</f>
        <v/>
      </c>
      <c r="H585" s="104" t="str" cm="1">
        <f t="array" ref="H585">_xlfn.IFS(AND(A585&gt;NumberOfPlots,ISBLANK(INDEX(PlotData,MATCH($A585,PlotNumber,0),MATCH(B$3,PlotTitles,0)))),"",AND(ISBLANK(INDEX(PlotData,MATCH($A585,PlotNumber,0),MATCH(H$3,PlotTitles,0)))=FALSE,INDEX(PlotData,MATCH($A585,PlotNumber,0),MATCH(H$3,PlotTitles,0))&lt;500), $AB$11,TRUE,"")</f>
        <v/>
      </c>
      <c r="I585" s="104" t="str" cm="1">
        <f t="array" ref="I585">_xlfn.IFS(AND(A585&gt;NumberOfPlots,ISBLANK(INDEX(PlotData,MATCH($A585,PlotNumber,0),MATCH(B$3,PlotTitles,0)))),"",ISBLANK(INDEX(PlotData,MATCH($A585,PlotNumber,0),MATCH(I$3,PlotTitles,0))),$AB$12,TRUE,"")</f>
        <v/>
      </c>
      <c r="J585" s="104" t="str" cm="1">
        <f t="array" ref="J585">_xlfn.IFS(AND(A585&gt;NumberOfPlots,ISBLANK(INDEX(PlotData,MATCH($A585,PlotNumber,0),MATCH(B$3,PlotTitles,0)))),"",ISBLANK(INDEX(PlotData,MATCH($A585,PlotNumber,0),MATCH(J$3,PlotTitles,0))),$AB$13,TRUE,"")</f>
        <v/>
      </c>
      <c r="K585" s="182" t="str">
        <f t="shared" ca="1" si="27"/>
        <v/>
      </c>
      <c r="L585" s="104" t="str" cm="1">
        <f t="array" ref="L585">_xlfn.IFS(OR(ISBLANK(StartDateMonth),ISBLANK(StartDateYear)),"",AND(A585&gt;NumberOfPlots,ISBLANK(INDEX(PlotData,MATCH($A585,PlotNumber,0),MATCH(B$3,PlotTitles,0)))),"",ISBLANK(INDEX(PlotData,MATCH($A585,PlotNumber,0),MATCH(I$3,PlotTitles,0))),"",(DATEVALUE(INDEX(PlotData,MATCH($A585,PlotNumber,0),MATCH(I$3,PlotTitles,0))&amp;INDEX(PlotData,MATCH($A585,PlotNumber,0),MATCH(J$3,PlotTitles,0))))&lt;DATEVALUE(StartDateMonth&amp;StartDateYear),$AB$15,TRUE,"")</f>
        <v/>
      </c>
      <c r="M585" s="104" t="str" cm="1">
        <f t="array" ref="M585">_xlfn.IFS(OR(ISBLANK(StartDateMonth),ISBLANK(StartDateYear)),"",AND(A585&gt;NumberOfPlots,ISBLANK(INDEX(PlotData,MATCH($A585,PlotNumber,0),MATCH(B$3,PlotTitles,0)))),"",ISBLANK(INDEX(PlotData,MATCH($A585,PlotNumber,0),MATCH(I$3,PlotTitles,0))),"",CompletionMonth="","",(DATEVALUE(INDEX(PlotData,MATCH($A585,PlotNumber,0),MATCH(I$3,PlotTitles,0))&amp;INDEX(PlotData,MATCH($A585,PlotNumber,0),MATCH(J$3,PlotTitles,0))))&gt;(DATEVALUE(CompletionMonth&amp;CompletionYear)),$AB$16,TRUE,"")</f>
        <v/>
      </c>
      <c r="N585" s="104" t="str" cm="1">
        <f t="array" ref="N585">_xlfn.IFS(AND(A585&gt;NumberOfPlots,ISBLANK(INDEX(PlotData,MATCH($A585,PlotNumber,0),MATCH(B$3,PlotTitles,0)))),"",ISBLANK(INDEX(PlotData,MATCH($A585,PlotNumber,0),MATCH(N$3,PlotTitles,0))),$AB$17,TRUE,"")</f>
        <v/>
      </c>
      <c r="O585" s="104" t="str" cm="1">
        <f t="array" ref="O585">_xlfn.IFS(AND(A585&gt;NumberOfPlots,ISBLANK(INDEX(PlotData,MATCH($A585,PlotNumber,0),MATCH(B$3,PlotTitles,0)))),"",ISBLANK(INDEX(PlotData,MATCH($A585,PlotNumber,0),MATCH(O$3,PlotTitles,0))),$AB$18,TRUE,"")</f>
        <v/>
      </c>
      <c r="P585" s="182" t="str">
        <f t="shared" ca="1" si="28"/>
        <v/>
      </c>
      <c r="Q585" s="104" t="str" cm="1">
        <f t="array" ref="Q585">_xlfn.IFS(AND(A585&gt;NumberOfPlots,ISBLANK(INDEX(PlotData,MATCH($A585,PlotNumber,0),MATCH(B$3,PlotTitles,0)))),"",ISBLANK(INDEX(PlotData,MATCH($A585,PlotNumber,0),MATCH(N$3,PlotTitles,0))),"",(DATEVALUE(INDEX(PlotData,MATCH($A585,PlotNumber,0),MATCH(N$3,PlotTitles,0))&amp;INDEX(PlotData,MATCH($A585,PlotNumber,0),MATCH(O$3,PlotTitles,0))))&lt;(DATEVALUE(INDEX(PlotData,MATCH($A585,PlotNumber,0),MATCH(I$3,PlotTitles,0))&amp;INDEX(PlotData,MATCH($A585,PlotNumber,0),MATCH(J$3,PlotTitles,0)))),$AB$20,TRUE,"")</f>
        <v/>
      </c>
      <c r="R585" s="104" t="str" cm="1">
        <f t="array" ref="R585">_xlfn.IFS(OR(ISBLANK(StartDateMonth),ISBLANK(StartDateYear)),"",AND(A585&gt;NumberOfPlots,ISBLANK(INDEX(PlotData,MATCH($A585,PlotNumber,0),MATCH(B$3,PlotTitles,0)))),"",ISBLANK(INDEX(PlotData,MATCH($A585,PlotNumber,0),MATCH(N$3,PlotTitles,0))),"",CompletionMonth="","",(DATEVALUE(INDEX(PlotData,MATCH($A585,PlotNumber,0),MATCH(N$3,PlotTitles,0))&amp;INDEX(PlotData,MATCH($A585,PlotNumber,0),MATCH(O$3,PlotTitles,0))))&gt;(DATEVALUE(CompletionMonth&amp;CompletionYear)),$AB$21,TRUE,"")</f>
        <v/>
      </c>
      <c r="S585" s="104" t="str" cm="1">
        <f t="array" ref="S585">_xlfn.IFS(AND(A585&gt;NumberOfPlots,ISBLANK(INDEX(PlotData,MATCH($A585,PlotNumber,0),MATCH(B$3,PlotTitles,0)))),"",OR(AND(INDEX(PlotData,MATCH($A585,PlotNumber,0),MATCH("Tenure",PlotTitles,0))="Open market housing",INDEX(PlotData,MATCH($A585,PlotNumber,0),MATCH("Tenure detail",PlotTitles,0))="Private rented sector"),INDEX(PlotData,MATCH($A585,PlotNumber,0),MATCH("Tenure",PlotTitles,0))="Affordable rent"),"",ISNUMBER(INDEX(PlotData,MATCH($A585,PlotNumber,0),MATCH(S$3,PlotTitles,0)))=FALSE, $AB$22,TRUE,"")</f>
        <v/>
      </c>
      <c r="T585" s="104" t="str" cm="1">
        <f t="array" ref="T585">_xlfn.IFS(AND(A585&gt;NumberOfPlots,ISBLANK(INDEX(PlotData,MATCH($A585,PlotNumber,0),MATCH(B$3,PlotTitles,0)))),"",OR(AND(INDEX(PlotData,MATCH($A585,PlotNumber,0),MATCH("Tenure",PlotTitles,0))="Open market housing",INDEX(PlotData,MATCH($A585,PlotNumber,0),MATCH("Tenure detail",PlotTitles,0))="Private rented sector"),INDEX(PlotData,MATCH($A585,PlotNumber,0),MATCH("Tenure",PlotTitles,0))="Affordable rent"),"",INDEX(PlotData,MATCH($A585,PlotNumber,0),MATCH(S$3,PlotTitles,0))&lt;10000, $AB$23,TRUE,"")</f>
        <v/>
      </c>
      <c r="U585" s="104" t="str" cm="1">
        <f t="array" ref="U585">_xlfn.IFS(AND(A585&gt;NumberOfPlots,ISBLANK(INDEX(PlotData,MATCH($A585,PlotNumber,0),MATCH(B$3,PlotTitles,0)))),"",NOT(OR(AND(INDEX(PlotData,MATCH($A585,PlotNumber,0),MATCH("Tenure",PlotTitles,0))="Open market housing",INDEX(PlotData,MATCH($A585,PlotNumber,0),MATCH("Tenure detail",PlotTitles,0))="Private rented sector"),INDEX(PlotData,MATCH($A585,PlotNumber,0),MATCH("Tenure",PlotTitles,0))="Affordable rent")),"",NOT(INDEX(PlotData,MATCH($A585,PlotNumber,0),MATCH(S$3,PlotTitles,0))=0), $AB$24,TRUE,"")</f>
        <v/>
      </c>
      <c r="V585" s="114" t="str" cm="1">
        <f t="array" aca="1" ref="V585" ca="1">_xlfn.IFS(ISBLANK(NumberOfPlots),"Enter the number of homes on the 1_SetUp sheet",AND(A585&gt;NumberOfPlots,ISBLANK(INDEX(PlotData,MATCH($A585,PlotNumber,0),MATCH(B$3,PlotTitles,0)))),"No error",NOT(B585=""),B585,NOT(C585=""),C585,NOT(D585=""),D585,NOT(E585=""),E585,NOT(F585=""),F585,NOT(G585=""),G585,NOT(H585=""),H585,NOT(I585=""),I585,NOT(J585=""),J585,NOT(K585=""),K585,NOT(L585=""),L585,NOT(M585=""),M585,NOT(N585=""),N585,NOT(O585=""),O585,NOT(P585=""),P585,NOT(Q585=""),Q585,NOT(R585=""),R585,NOT(S585=""),S585,NOT(T585=""),T585,NOT(U585=""),U585,TRUE,"No error")</f>
        <v>Enter the number of homes on the 1_SetUp sheet</v>
      </c>
      <c r="W585" s="114" t="str">
        <f t="shared" ca="1" si="29"/>
        <v xml:space="preserve">The Borrower has not addressed the following error messages for Home ID 581: </v>
      </c>
    </row>
    <row r="586" spans="1:23">
      <c r="A586" s="123">
        <v>582</v>
      </c>
      <c r="B586" s="104" t="str" cm="1">
        <f t="array" ref="B586">_xlfn.IFS(AND(A586&gt;NumberOfPlots,ISBLANK(INDEX(PlotData,MATCH($A586,PlotNumber,0),MATCH(B$3,PlotTitles,0)))),"",ISNUMBER(INDEX(PlotData,MATCH($A586,PlotNumber,0),MATCH(B$3,PlotTitles,0)))=FALSE, $AB$5,TRUE,"")</f>
        <v/>
      </c>
      <c r="C586" s="104" t="str" cm="1">
        <f t="array" ref="C586">_xlfn.IFS(AND(A586&gt;NumberOfPlots,ISBLANK(INDEX(PlotData,MATCH($A586,PlotNumber,0),MATCH(B$3,PlotTitles,0)))),"",ISBLANK(INDEX(PlotData,MATCH($A586,PlotNumber,0),MATCH(C$3,PlotTitles,0))),$AB$6,TRUE,"")</f>
        <v/>
      </c>
      <c r="D586" s="104" t="str" cm="1">
        <f t="array" ref="D586">_xlfn.IFS(AND(A586&gt;NumberOfPlots,ISBLANK(INDEX(PlotData,MATCH($A586,PlotNumber,0),MATCH(B$3,PlotTitles,0)))),"",ISBLANK(INDEX(PlotData,MATCH($A586,PlotNumber,0),MATCH(D$3,PlotTitles,0))),$AB$7,TRUE,"")</f>
        <v/>
      </c>
      <c r="E586" s="104" t="str" cm="1">
        <f t="array" ref="E586">_xlfn.IFS(AND(A586&gt;NumberOfPlots,ISBLANK(INDEX(PlotData,MATCH($A586,PlotNumber,0),MATCH(B$3,PlotTitles,0)))),"",ISBLANK(INDEX(PlotData,MATCH($A586,PlotNumber,0),MATCH(E$3,PlotTitles,0))),$AB$8,TRUE,"")</f>
        <v/>
      </c>
      <c r="F586" s="104" t="str" cm="1">
        <f t="array" ref="F586">_xlfn.IFS(AND(A586&gt;NumberOfPlots,ISBLANK(INDEX(PlotData,MATCH($A586,PlotNumber,0),MATCH(B$3,PlotTitles,0)))),"",ISBLANK(INDEX(PlotData,MATCH($A586,PlotNumber,0),MATCH(F$3,PlotTitles,0))),$AB$9,TRUE,"")</f>
        <v/>
      </c>
      <c r="G586" s="104" t="str" cm="1">
        <f t="array" ref="G586">_xlfn.IFS(AND(A586&gt;NumberOfPlots,ISBLANK(INDEX(PlotData,MATCH($A586,PlotNumber,0),MATCH(B$3,PlotTitles,0)))),"",ISBLANK(INDEX(PlotData,MATCH($A586,PlotNumber,0),MATCH(G$3,PlotTitles,0))),$AB$10,TRUE,"")</f>
        <v/>
      </c>
      <c r="H586" s="104" t="str" cm="1">
        <f t="array" ref="H586">_xlfn.IFS(AND(A586&gt;NumberOfPlots,ISBLANK(INDEX(PlotData,MATCH($A586,PlotNumber,0),MATCH(B$3,PlotTitles,0)))),"",AND(ISBLANK(INDEX(PlotData,MATCH($A586,PlotNumber,0),MATCH(H$3,PlotTitles,0)))=FALSE,INDEX(PlotData,MATCH($A586,PlotNumber,0),MATCH(H$3,PlotTitles,0))&lt;500), $AB$11,TRUE,"")</f>
        <v/>
      </c>
      <c r="I586" s="104" t="str" cm="1">
        <f t="array" ref="I586">_xlfn.IFS(AND(A586&gt;NumberOfPlots,ISBLANK(INDEX(PlotData,MATCH($A586,PlotNumber,0),MATCH(B$3,PlotTitles,0)))),"",ISBLANK(INDEX(PlotData,MATCH($A586,PlotNumber,0),MATCH(I$3,PlotTitles,0))),$AB$12,TRUE,"")</f>
        <v/>
      </c>
      <c r="J586" s="104" t="str" cm="1">
        <f t="array" ref="J586">_xlfn.IFS(AND(A586&gt;NumberOfPlots,ISBLANK(INDEX(PlotData,MATCH($A586,PlotNumber,0),MATCH(B$3,PlotTitles,0)))),"",ISBLANK(INDEX(PlotData,MATCH($A586,PlotNumber,0),MATCH(J$3,PlotTitles,0))),$AB$13,TRUE,"")</f>
        <v/>
      </c>
      <c r="K586" s="182" t="str">
        <f t="shared" ca="1" si="27"/>
        <v/>
      </c>
      <c r="L586" s="104" t="str" cm="1">
        <f t="array" ref="L586">_xlfn.IFS(OR(ISBLANK(StartDateMonth),ISBLANK(StartDateYear)),"",AND(A586&gt;NumberOfPlots,ISBLANK(INDEX(PlotData,MATCH($A586,PlotNumber,0),MATCH(B$3,PlotTitles,0)))),"",ISBLANK(INDEX(PlotData,MATCH($A586,PlotNumber,0),MATCH(I$3,PlotTitles,0))),"",(DATEVALUE(INDEX(PlotData,MATCH($A586,PlotNumber,0),MATCH(I$3,PlotTitles,0))&amp;INDEX(PlotData,MATCH($A586,PlotNumber,0),MATCH(J$3,PlotTitles,0))))&lt;DATEVALUE(StartDateMonth&amp;StartDateYear),$AB$15,TRUE,"")</f>
        <v/>
      </c>
      <c r="M586" s="104" t="str" cm="1">
        <f t="array" ref="M586">_xlfn.IFS(OR(ISBLANK(StartDateMonth),ISBLANK(StartDateYear)),"",AND(A586&gt;NumberOfPlots,ISBLANK(INDEX(PlotData,MATCH($A586,PlotNumber,0),MATCH(B$3,PlotTitles,0)))),"",ISBLANK(INDEX(PlotData,MATCH($A586,PlotNumber,0),MATCH(I$3,PlotTitles,0))),"",CompletionMonth="","",(DATEVALUE(INDEX(PlotData,MATCH($A586,PlotNumber,0),MATCH(I$3,PlotTitles,0))&amp;INDEX(PlotData,MATCH($A586,PlotNumber,0),MATCH(J$3,PlotTitles,0))))&gt;(DATEVALUE(CompletionMonth&amp;CompletionYear)),$AB$16,TRUE,"")</f>
        <v/>
      </c>
      <c r="N586" s="104" t="str" cm="1">
        <f t="array" ref="N586">_xlfn.IFS(AND(A586&gt;NumberOfPlots,ISBLANK(INDEX(PlotData,MATCH($A586,PlotNumber,0),MATCH(B$3,PlotTitles,0)))),"",ISBLANK(INDEX(PlotData,MATCH($A586,PlotNumber,0),MATCH(N$3,PlotTitles,0))),$AB$17,TRUE,"")</f>
        <v/>
      </c>
      <c r="O586" s="104" t="str" cm="1">
        <f t="array" ref="O586">_xlfn.IFS(AND(A586&gt;NumberOfPlots,ISBLANK(INDEX(PlotData,MATCH($A586,PlotNumber,0),MATCH(B$3,PlotTitles,0)))),"",ISBLANK(INDEX(PlotData,MATCH($A586,PlotNumber,0),MATCH(O$3,PlotTitles,0))),$AB$18,TRUE,"")</f>
        <v/>
      </c>
      <c r="P586" s="182" t="str">
        <f t="shared" ca="1" si="28"/>
        <v/>
      </c>
      <c r="Q586" s="104" t="str" cm="1">
        <f t="array" ref="Q586">_xlfn.IFS(AND(A586&gt;NumberOfPlots,ISBLANK(INDEX(PlotData,MATCH($A586,PlotNumber,0),MATCH(B$3,PlotTitles,0)))),"",ISBLANK(INDEX(PlotData,MATCH($A586,PlotNumber,0),MATCH(N$3,PlotTitles,0))),"",(DATEVALUE(INDEX(PlotData,MATCH($A586,PlotNumber,0),MATCH(N$3,PlotTitles,0))&amp;INDEX(PlotData,MATCH($A586,PlotNumber,0),MATCH(O$3,PlotTitles,0))))&lt;(DATEVALUE(INDEX(PlotData,MATCH($A586,PlotNumber,0),MATCH(I$3,PlotTitles,0))&amp;INDEX(PlotData,MATCH($A586,PlotNumber,0),MATCH(J$3,PlotTitles,0)))),$AB$20,TRUE,"")</f>
        <v/>
      </c>
      <c r="R586" s="104" t="str" cm="1">
        <f t="array" ref="R586">_xlfn.IFS(OR(ISBLANK(StartDateMonth),ISBLANK(StartDateYear)),"",AND(A586&gt;NumberOfPlots,ISBLANK(INDEX(PlotData,MATCH($A586,PlotNumber,0),MATCH(B$3,PlotTitles,0)))),"",ISBLANK(INDEX(PlotData,MATCH($A586,PlotNumber,0),MATCH(N$3,PlotTitles,0))),"",CompletionMonth="","",(DATEVALUE(INDEX(PlotData,MATCH($A586,PlotNumber,0),MATCH(N$3,PlotTitles,0))&amp;INDEX(PlotData,MATCH($A586,PlotNumber,0),MATCH(O$3,PlotTitles,0))))&gt;(DATEVALUE(CompletionMonth&amp;CompletionYear)),$AB$21,TRUE,"")</f>
        <v/>
      </c>
      <c r="S586" s="104" t="str" cm="1">
        <f t="array" ref="S586">_xlfn.IFS(AND(A586&gt;NumberOfPlots,ISBLANK(INDEX(PlotData,MATCH($A586,PlotNumber,0),MATCH(B$3,PlotTitles,0)))),"",OR(AND(INDEX(PlotData,MATCH($A586,PlotNumber,0),MATCH("Tenure",PlotTitles,0))="Open market housing",INDEX(PlotData,MATCH($A586,PlotNumber,0),MATCH("Tenure detail",PlotTitles,0))="Private rented sector"),INDEX(PlotData,MATCH($A586,PlotNumber,0),MATCH("Tenure",PlotTitles,0))="Affordable rent"),"",ISNUMBER(INDEX(PlotData,MATCH($A586,PlotNumber,0),MATCH(S$3,PlotTitles,0)))=FALSE, $AB$22,TRUE,"")</f>
        <v/>
      </c>
      <c r="T586" s="104" t="str" cm="1">
        <f t="array" ref="T586">_xlfn.IFS(AND(A586&gt;NumberOfPlots,ISBLANK(INDEX(PlotData,MATCH($A586,PlotNumber,0),MATCH(B$3,PlotTitles,0)))),"",OR(AND(INDEX(PlotData,MATCH($A586,PlotNumber,0),MATCH("Tenure",PlotTitles,0))="Open market housing",INDEX(PlotData,MATCH($A586,PlotNumber,0),MATCH("Tenure detail",PlotTitles,0))="Private rented sector"),INDEX(PlotData,MATCH($A586,PlotNumber,0),MATCH("Tenure",PlotTitles,0))="Affordable rent"),"",INDEX(PlotData,MATCH($A586,PlotNumber,0),MATCH(S$3,PlotTitles,0))&lt;10000, $AB$23,TRUE,"")</f>
        <v/>
      </c>
      <c r="U586" s="104" t="str" cm="1">
        <f t="array" ref="U586">_xlfn.IFS(AND(A586&gt;NumberOfPlots,ISBLANK(INDEX(PlotData,MATCH($A586,PlotNumber,0),MATCH(B$3,PlotTitles,0)))),"",NOT(OR(AND(INDEX(PlotData,MATCH($A586,PlotNumber,0),MATCH("Tenure",PlotTitles,0))="Open market housing",INDEX(PlotData,MATCH($A586,PlotNumber,0),MATCH("Tenure detail",PlotTitles,0))="Private rented sector"),INDEX(PlotData,MATCH($A586,PlotNumber,0),MATCH("Tenure",PlotTitles,0))="Affordable rent")),"",NOT(INDEX(PlotData,MATCH($A586,PlotNumber,0),MATCH(S$3,PlotTitles,0))=0), $AB$24,TRUE,"")</f>
        <v/>
      </c>
      <c r="V586" s="114" t="str" cm="1">
        <f t="array" aca="1" ref="V586" ca="1">_xlfn.IFS(ISBLANK(NumberOfPlots),"Enter the number of homes on the 1_SetUp sheet",AND(A586&gt;NumberOfPlots,ISBLANK(INDEX(PlotData,MATCH($A586,PlotNumber,0),MATCH(B$3,PlotTitles,0)))),"No error",NOT(B586=""),B586,NOT(C586=""),C586,NOT(D586=""),D586,NOT(E586=""),E586,NOT(F586=""),F586,NOT(G586=""),G586,NOT(H586=""),H586,NOT(I586=""),I586,NOT(J586=""),J586,NOT(K586=""),K586,NOT(L586=""),L586,NOT(M586=""),M586,NOT(N586=""),N586,NOT(O586=""),O586,NOT(P586=""),P586,NOT(Q586=""),Q586,NOT(R586=""),R586,NOT(S586=""),S586,NOT(T586=""),T586,NOT(U586=""),U586,TRUE,"No error")</f>
        <v>Enter the number of homes on the 1_SetUp sheet</v>
      </c>
      <c r="W586" s="114" t="str">
        <f t="shared" ca="1" si="29"/>
        <v xml:space="preserve">The Borrower has not addressed the following error messages for Home ID 582: </v>
      </c>
    </row>
    <row r="587" spans="1:23">
      <c r="A587" s="123">
        <v>583</v>
      </c>
      <c r="B587" s="104" t="str" cm="1">
        <f t="array" ref="B587">_xlfn.IFS(AND(A587&gt;NumberOfPlots,ISBLANK(INDEX(PlotData,MATCH($A587,PlotNumber,0),MATCH(B$3,PlotTitles,0)))),"",ISNUMBER(INDEX(PlotData,MATCH($A587,PlotNumber,0),MATCH(B$3,PlotTitles,0)))=FALSE, $AB$5,TRUE,"")</f>
        <v/>
      </c>
      <c r="C587" s="104" t="str" cm="1">
        <f t="array" ref="C587">_xlfn.IFS(AND(A587&gt;NumberOfPlots,ISBLANK(INDEX(PlotData,MATCH($A587,PlotNumber,0),MATCH(B$3,PlotTitles,0)))),"",ISBLANK(INDEX(PlotData,MATCH($A587,PlotNumber,0),MATCH(C$3,PlotTitles,0))),$AB$6,TRUE,"")</f>
        <v/>
      </c>
      <c r="D587" s="104" t="str" cm="1">
        <f t="array" ref="D587">_xlfn.IFS(AND(A587&gt;NumberOfPlots,ISBLANK(INDEX(PlotData,MATCH($A587,PlotNumber,0),MATCH(B$3,PlotTitles,0)))),"",ISBLANK(INDEX(PlotData,MATCH($A587,PlotNumber,0),MATCH(D$3,PlotTitles,0))),$AB$7,TRUE,"")</f>
        <v/>
      </c>
      <c r="E587" s="104" t="str" cm="1">
        <f t="array" ref="E587">_xlfn.IFS(AND(A587&gt;NumberOfPlots,ISBLANK(INDEX(PlotData,MATCH($A587,PlotNumber,0),MATCH(B$3,PlotTitles,0)))),"",ISBLANK(INDEX(PlotData,MATCH($A587,PlotNumber,0),MATCH(E$3,PlotTitles,0))),$AB$8,TRUE,"")</f>
        <v/>
      </c>
      <c r="F587" s="104" t="str" cm="1">
        <f t="array" ref="F587">_xlfn.IFS(AND(A587&gt;NumberOfPlots,ISBLANK(INDEX(PlotData,MATCH($A587,PlotNumber,0),MATCH(B$3,PlotTitles,0)))),"",ISBLANK(INDEX(PlotData,MATCH($A587,PlotNumber,0),MATCH(F$3,PlotTitles,0))),$AB$9,TRUE,"")</f>
        <v/>
      </c>
      <c r="G587" s="104" t="str" cm="1">
        <f t="array" ref="G587">_xlfn.IFS(AND(A587&gt;NumberOfPlots,ISBLANK(INDEX(PlotData,MATCH($A587,PlotNumber,0),MATCH(B$3,PlotTitles,0)))),"",ISBLANK(INDEX(PlotData,MATCH($A587,PlotNumber,0),MATCH(G$3,PlotTitles,0))),$AB$10,TRUE,"")</f>
        <v/>
      </c>
      <c r="H587" s="104" t="str" cm="1">
        <f t="array" ref="H587">_xlfn.IFS(AND(A587&gt;NumberOfPlots,ISBLANK(INDEX(PlotData,MATCH($A587,PlotNumber,0),MATCH(B$3,PlotTitles,0)))),"",AND(ISBLANK(INDEX(PlotData,MATCH($A587,PlotNumber,0),MATCH(H$3,PlotTitles,0)))=FALSE,INDEX(PlotData,MATCH($A587,PlotNumber,0),MATCH(H$3,PlotTitles,0))&lt;500), $AB$11,TRUE,"")</f>
        <v/>
      </c>
      <c r="I587" s="104" t="str" cm="1">
        <f t="array" ref="I587">_xlfn.IFS(AND(A587&gt;NumberOfPlots,ISBLANK(INDEX(PlotData,MATCH($A587,PlotNumber,0),MATCH(B$3,PlotTitles,0)))),"",ISBLANK(INDEX(PlotData,MATCH($A587,PlotNumber,0),MATCH(I$3,PlotTitles,0))),$AB$12,TRUE,"")</f>
        <v/>
      </c>
      <c r="J587" s="104" t="str" cm="1">
        <f t="array" ref="J587">_xlfn.IFS(AND(A587&gt;NumberOfPlots,ISBLANK(INDEX(PlotData,MATCH($A587,PlotNumber,0),MATCH(B$3,PlotTitles,0)))),"",ISBLANK(INDEX(PlotData,MATCH($A587,PlotNumber,0),MATCH(J$3,PlotTitles,0))),$AB$13,TRUE,"")</f>
        <v/>
      </c>
      <c r="K587" s="182" t="str">
        <f t="shared" ca="1" si="27"/>
        <v/>
      </c>
      <c r="L587" s="104" t="str" cm="1">
        <f t="array" ref="L587">_xlfn.IFS(OR(ISBLANK(StartDateMonth),ISBLANK(StartDateYear)),"",AND(A587&gt;NumberOfPlots,ISBLANK(INDEX(PlotData,MATCH($A587,PlotNumber,0),MATCH(B$3,PlotTitles,0)))),"",ISBLANK(INDEX(PlotData,MATCH($A587,PlotNumber,0),MATCH(I$3,PlotTitles,0))),"",(DATEVALUE(INDEX(PlotData,MATCH($A587,PlotNumber,0),MATCH(I$3,PlotTitles,0))&amp;INDEX(PlotData,MATCH($A587,PlotNumber,0),MATCH(J$3,PlotTitles,0))))&lt;DATEVALUE(StartDateMonth&amp;StartDateYear),$AB$15,TRUE,"")</f>
        <v/>
      </c>
      <c r="M587" s="104" t="str" cm="1">
        <f t="array" ref="M587">_xlfn.IFS(OR(ISBLANK(StartDateMonth),ISBLANK(StartDateYear)),"",AND(A587&gt;NumberOfPlots,ISBLANK(INDEX(PlotData,MATCH($A587,PlotNumber,0),MATCH(B$3,PlotTitles,0)))),"",ISBLANK(INDEX(PlotData,MATCH($A587,PlotNumber,0),MATCH(I$3,PlotTitles,0))),"",CompletionMonth="","",(DATEVALUE(INDEX(PlotData,MATCH($A587,PlotNumber,0),MATCH(I$3,PlotTitles,0))&amp;INDEX(PlotData,MATCH($A587,PlotNumber,0),MATCH(J$3,PlotTitles,0))))&gt;(DATEVALUE(CompletionMonth&amp;CompletionYear)),$AB$16,TRUE,"")</f>
        <v/>
      </c>
      <c r="N587" s="104" t="str" cm="1">
        <f t="array" ref="N587">_xlfn.IFS(AND(A587&gt;NumberOfPlots,ISBLANK(INDEX(PlotData,MATCH($A587,PlotNumber,0),MATCH(B$3,PlotTitles,0)))),"",ISBLANK(INDEX(PlotData,MATCH($A587,PlotNumber,0),MATCH(N$3,PlotTitles,0))),$AB$17,TRUE,"")</f>
        <v/>
      </c>
      <c r="O587" s="104" t="str" cm="1">
        <f t="array" ref="O587">_xlfn.IFS(AND(A587&gt;NumberOfPlots,ISBLANK(INDEX(PlotData,MATCH($A587,PlotNumber,0),MATCH(B$3,PlotTitles,0)))),"",ISBLANK(INDEX(PlotData,MATCH($A587,PlotNumber,0),MATCH(O$3,PlotTitles,0))),$AB$18,TRUE,"")</f>
        <v/>
      </c>
      <c r="P587" s="182" t="str">
        <f t="shared" ca="1" si="28"/>
        <v/>
      </c>
      <c r="Q587" s="104" t="str" cm="1">
        <f t="array" ref="Q587">_xlfn.IFS(AND(A587&gt;NumberOfPlots,ISBLANK(INDEX(PlotData,MATCH($A587,PlotNumber,0),MATCH(B$3,PlotTitles,0)))),"",ISBLANK(INDEX(PlotData,MATCH($A587,PlotNumber,0),MATCH(N$3,PlotTitles,0))),"",(DATEVALUE(INDEX(PlotData,MATCH($A587,PlotNumber,0),MATCH(N$3,PlotTitles,0))&amp;INDEX(PlotData,MATCH($A587,PlotNumber,0),MATCH(O$3,PlotTitles,0))))&lt;(DATEVALUE(INDEX(PlotData,MATCH($A587,PlotNumber,0),MATCH(I$3,PlotTitles,0))&amp;INDEX(PlotData,MATCH($A587,PlotNumber,0),MATCH(J$3,PlotTitles,0)))),$AB$20,TRUE,"")</f>
        <v/>
      </c>
      <c r="R587" s="104" t="str" cm="1">
        <f t="array" ref="R587">_xlfn.IFS(OR(ISBLANK(StartDateMonth),ISBLANK(StartDateYear)),"",AND(A587&gt;NumberOfPlots,ISBLANK(INDEX(PlotData,MATCH($A587,PlotNumber,0),MATCH(B$3,PlotTitles,0)))),"",ISBLANK(INDEX(PlotData,MATCH($A587,PlotNumber,0),MATCH(N$3,PlotTitles,0))),"",CompletionMonth="","",(DATEVALUE(INDEX(PlotData,MATCH($A587,PlotNumber,0),MATCH(N$3,PlotTitles,0))&amp;INDEX(PlotData,MATCH($A587,PlotNumber,0),MATCH(O$3,PlotTitles,0))))&gt;(DATEVALUE(CompletionMonth&amp;CompletionYear)),$AB$21,TRUE,"")</f>
        <v/>
      </c>
      <c r="S587" s="104" t="str" cm="1">
        <f t="array" ref="S587">_xlfn.IFS(AND(A587&gt;NumberOfPlots,ISBLANK(INDEX(PlotData,MATCH($A587,PlotNumber,0),MATCH(B$3,PlotTitles,0)))),"",OR(AND(INDEX(PlotData,MATCH($A587,PlotNumber,0),MATCH("Tenure",PlotTitles,0))="Open market housing",INDEX(PlotData,MATCH($A587,PlotNumber,0),MATCH("Tenure detail",PlotTitles,0))="Private rented sector"),INDEX(PlotData,MATCH($A587,PlotNumber,0),MATCH("Tenure",PlotTitles,0))="Affordable rent"),"",ISNUMBER(INDEX(PlotData,MATCH($A587,PlotNumber,0),MATCH(S$3,PlotTitles,0)))=FALSE, $AB$22,TRUE,"")</f>
        <v/>
      </c>
      <c r="T587" s="104" t="str" cm="1">
        <f t="array" ref="T587">_xlfn.IFS(AND(A587&gt;NumberOfPlots,ISBLANK(INDEX(PlotData,MATCH($A587,PlotNumber,0),MATCH(B$3,PlotTitles,0)))),"",OR(AND(INDEX(PlotData,MATCH($A587,PlotNumber,0),MATCH("Tenure",PlotTitles,0))="Open market housing",INDEX(PlotData,MATCH($A587,PlotNumber,0),MATCH("Tenure detail",PlotTitles,0))="Private rented sector"),INDEX(PlotData,MATCH($A587,PlotNumber,0),MATCH("Tenure",PlotTitles,0))="Affordable rent"),"",INDEX(PlotData,MATCH($A587,PlotNumber,0),MATCH(S$3,PlotTitles,0))&lt;10000, $AB$23,TRUE,"")</f>
        <v/>
      </c>
      <c r="U587" s="104" t="str" cm="1">
        <f t="array" ref="U587">_xlfn.IFS(AND(A587&gt;NumberOfPlots,ISBLANK(INDEX(PlotData,MATCH($A587,PlotNumber,0),MATCH(B$3,PlotTitles,0)))),"",NOT(OR(AND(INDEX(PlotData,MATCH($A587,PlotNumber,0),MATCH("Tenure",PlotTitles,0))="Open market housing",INDEX(PlotData,MATCH($A587,PlotNumber,0),MATCH("Tenure detail",PlotTitles,0))="Private rented sector"),INDEX(PlotData,MATCH($A587,PlotNumber,0),MATCH("Tenure",PlotTitles,0))="Affordable rent")),"",NOT(INDEX(PlotData,MATCH($A587,PlotNumber,0),MATCH(S$3,PlotTitles,0))=0), $AB$24,TRUE,"")</f>
        <v/>
      </c>
      <c r="V587" s="114" t="str" cm="1">
        <f t="array" aca="1" ref="V587" ca="1">_xlfn.IFS(ISBLANK(NumberOfPlots),"Enter the number of homes on the 1_SetUp sheet",AND(A587&gt;NumberOfPlots,ISBLANK(INDEX(PlotData,MATCH($A587,PlotNumber,0),MATCH(B$3,PlotTitles,0)))),"No error",NOT(B587=""),B587,NOT(C587=""),C587,NOT(D587=""),D587,NOT(E587=""),E587,NOT(F587=""),F587,NOT(G587=""),G587,NOT(H587=""),H587,NOT(I587=""),I587,NOT(J587=""),J587,NOT(K587=""),K587,NOT(L587=""),L587,NOT(M587=""),M587,NOT(N587=""),N587,NOT(O587=""),O587,NOT(P587=""),P587,NOT(Q587=""),Q587,NOT(R587=""),R587,NOT(S587=""),S587,NOT(T587=""),T587,NOT(U587=""),U587,TRUE,"No error")</f>
        <v>Enter the number of homes on the 1_SetUp sheet</v>
      </c>
      <c r="W587" s="114" t="str">
        <f t="shared" ca="1" si="29"/>
        <v xml:space="preserve">The Borrower has not addressed the following error messages for Home ID 583: </v>
      </c>
    </row>
    <row r="588" spans="1:23">
      <c r="A588" s="123">
        <v>584</v>
      </c>
      <c r="B588" s="104" t="str" cm="1">
        <f t="array" ref="B588">_xlfn.IFS(AND(A588&gt;NumberOfPlots,ISBLANK(INDEX(PlotData,MATCH($A588,PlotNumber,0),MATCH(B$3,PlotTitles,0)))),"",ISNUMBER(INDEX(PlotData,MATCH($A588,PlotNumber,0),MATCH(B$3,PlotTitles,0)))=FALSE, $AB$5,TRUE,"")</f>
        <v/>
      </c>
      <c r="C588" s="104" t="str" cm="1">
        <f t="array" ref="C588">_xlfn.IFS(AND(A588&gt;NumberOfPlots,ISBLANK(INDEX(PlotData,MATCH($A588,PlotNumber,0),MATCH(B$3,PlotTitles,0)))),"",ISBLANK(INDEX(PlotData,MATCH($A588,PlotNumber,0),MATCH(C$3,PlotTitles,0))),$AB$6,TRUE,"")</f>
        <v/>
      </c>
      <c r="D588" s="104" t="str" cm="1">
        <f t="array" ref="D588">_xlfn.IFS(AND(A588&gt;NumberOfPlots,ISBLANK(INDEX(PlotData,MATCH($A588,PlotNumber,0),MATCH(B$3,PlotTitles,0)))),"",ISBLANK(INDEX(PlotData,MATCH($A588,PlotNumber,0),MATCH(D$3,PlotTitles,0))),$AB$7,TRUE,"")</f>
        <v/>
      </c>
      <c r="E588" s="104" t="str" cm="1">
        <f t="array" ref="E588">_xlfn.IFS(AND(A588&gt;NumberOfPlots,ISBLANK(INDEX(PlotData,MATCH($A588,PlotNumber,0),MATCH(B$3,PlotTitles,0)))),"",ISBLANK(INDEX(PlotData,MATCH($A588,PlotNumber,0),MATCH(E$3,PlotTitles,0))),$AB$8,TRUE,"")</f>
        <v/>
      </c>
      <c r="F588" s="104" t="str" cm="1">
        <f t="array" ref="F588">_xlfn.IFS(AND(A588&gt;NumberOfPlots,ISBLANK(INDEX(PlotData,MATCH($A588,PlotNumber,0),MATCH(B$3,PlotTitles,0)))),"",ISBLANK(INDEX(PlotData,MATCH($A588,PlotNumber,0),MATCH(F$3,PlotTitles,0))),$AB$9,TRUE,"")</f>
        <v/>
      </c>
      <c r="G588" s="104" t="str" cm="1">
        <f t="array" ref="G588">_xlfn.IFS(AND(A588&gt;NumberOfPlots,ISBLANK(INDEX(PlotData,MATCH($A588,PlotNumber,0),MATCH(B$3,PlotTitles,0)))),"",ISBLANK(INDEX(PlotData,MATCH($A588,PlotNumber,0),MATCH(G$3,PlotTitles,0))),$AB$10,TRUE,"")</f>
        <v/>
      </c>
      <c r="H588" s="104" t="str" cm="1">
        <f t="array" ref="H588">_xlfn.IFS(AND(A588&gt;NumberOfPlots,ISBLANK(INDEX(PlotData,MATCH($A588,PlotNumber,0),MATCH(B$3,PlotTitles,0)))),"",AND(ISBLANK(INDEX(PlotData,MATCH($A588,PlotNumber,0),MATCH(H$3,PlotTitles,0)))=FALSE,INDEX(PlotData,MATCH($A588,PlotNumber,0),MATCH(H$3,PlotTitles,0))&lt;500), $AB$11,TRUE,"")</f>
        <v/>
      </c>
      <c r="I588" s="104" t="str" cm="1">
        <f t="array" ref="I588">_xlfn.IFS(AND(A588&gt;NumberOfPlots,ISBLANK(INDEX(PlotData,MATCH($A588,PlotNumber,0),MATCH(B$3,PlotTitles,0)))),"",ISBLANK(INDEX(PlotData,MATCH($A588,PlotNumber,0),MATCH(I$3,PlotTitles,0))),$AB$12,TRUE,"")</f>
        <v/>
      </c>
      <c r="J588" s="104" t="str" cm="1">
        <f t="array" ref="J588">_xlfn.IFS(AND(A588&gt;NumberOfPlots,ISBLANK(INDEX(PlotData,MATCH($A588,PlotNumber,0),MATCH(B$3,PlotTitles,0)))),"",ISBLANK(INDEX(PlotData,MATCH($A588,PlotNumber,0),MATCH(J$3,PlotTitles,0))),$AB$13,TRUE,"")</f>
        <v/>
      </c>
      <c r="K588" s="182" t="str">
        <f t="shared" ca="1" si="27"/>
        <v/>
      </c>
      <c r="L588" s="104" t="str" cm="1">
        <f t="array" ref="L588">_xlfn.IFS(OR(ISBLANK(StartDateMonth),ISBLANK(StartDateYear)),"",AND(A588&gt;NumberOfPlots,ISBLANK(INDEX(PlotData,MATCH($A588,PlotNumber,0),MATCH(B$3,PlotTitles,0)))),"",ISBLANK(INDEX(PlotData,MATCH($A588,PlotNumber,0),MATCH(I$3,PlotTitles,0))),"",(DATEVALUE(INDEX(PlotData,MATCH($A588,PlotNumber,0),MATCH(I$3,PlotTitles,0))&amp;INDEX(PlotData,MATCH($A588,PlotNumber,0),MATCH(J$3,PlotTitles,0))))&lt;DATEVALUE(StartDateMonth&amp;StartDateYear),$AB$15,TRUE,"")</f>
        <v/>
      </c>
      <c r="M588" s="104" t="str" cm="1">
        <f t="array" ref="M588">_xlfn.IFS(OR(ISBLANK(StartDateMonth),ISBLANK(StartDateYear)),"",AND(A588&gt;NumberOfPlots,ISBLANK(INDEX(PlotData,MATCH($A588,PlotNumber,0),MATCH(B$3,PlotTitles,0)))),"",ISBLANK(INDEX(PlotData,MATCH($A588,PlotNumber,0),MATCH(I$3,PlotTitles,0))),"",CompletionMonth="","",(DATEVALUE(INDEX(PlotData,MATCH($A588,PlotNumber,0),MATCH(I$3,PlotTitles,0))&amp;INDEX(PlotData,MATCH($A588,PlotNumber,0),MATCH(J$3,PlotTitles,0))))&gt;(DATEVALUE(CompletionMonth&amp;CompletionYear)),$AB$16,TRUE,"")</f>
        <v/>
      </c>
      <c r="N588" s="104" t="str" cm="1">
        <f t="array" ref="N588">_xlfn.IFS(AND(A588&gt;NumberOfPlots,ISBLANK(INDEX(PlotData,MATCH($A588,PlotNumber,0),MATCH(B$3,PlotTitles,0)))),"",ISBLANK(INDEX(PlotData,MATCH($A588,PlotNumber,0),MATCH(N$3,PlotTitles,0))),$AB$17,TRUE,"")</f>
        <v/>
      </c>
      <c r="O588" s="104" t="str" cm="1">
        <f t="array" ref="O588">_xlfn.IFS(AND(A588&gt;NumberOfPlots,ISBLANK(INDEX(PlotData,MATCH($A588,PlotNumber,0),MATCH(B$3,PlotTitles,0)))),"",ISBLANK(INDEX(PlotData,MATCH($A588,PlotNumber,0),MATCH(O$3,PlotTitles,0))),$AB$18,TRUE,"")</f>
        <v/>
      </c>
      <c r="P588" s="182" t="str">
        <f t="shared" ca="1" si="28"/>
        <v/>
      </c>
      <c r="Q588" s="104" t="str" cm="1">
        <f t="array" ref="Q588">_xlfn.IFS(AND(A588&gt;NumberOfPlots,ISBLANK(INDEX(PlotData,MATCH($A588,PlotNumber,0),MATCH(B$3,PlotTitles,0)))),"",ISBLANK(INDEX(PlotData,MATCH($A588,PlotNumber,0),MATCH(N$3,PlotTitles,0))),"",(DATEVALUE(INDEX(PlotData,MATCH($A588,PlotNumber,0),MATCH(N$3,PlotTitles,0))&amp;INDEX(PlotData,MATCH($A588,PlotNumber,0),MATCH(O$3,PlotTitles,0))))&lt;(DATEVALUE(INDEX(PlotData,MATCH($A588,PlotNumber,0),MATCH(I$3,PlotTitles,0))&amp;INDEX(PlotData,MATCH($A588,PlotNumber,0),MATCH(J$3,PlotTitles,0)))),$AB$20,TRUE,"")</f>
        <v/>
      </c>
      <c r="R588" s="104" t="str" cm="1">
        <f t="array" ref="R588">_xlfn.IFS(OR(ISBLANK(StartDateMonth),ISBLANK(StartDateYear)),"",AND(A588&gt;NumberOfPlots,ISBLANK(INDEX(PlotData,MATCH($A588,PlotNumber,0),MATCH(B$3,PlotTitles,0)))),"",ISBLANK(INDEX(PlotData,MATCH($A588,PlotNumber,0),MATCH(N$3,PlotTitles,0))),"",CompletionMonth="","",(DATEVALUE(INDEX(PlotData,MATCH($A588,PlotNumber,0),MATCH(N$3,PlotTitles,0))&amp;INDEX(PlotData,MATCH($A588,PlotNumber,0),MATCH(O$3,PlotTitles,0))))&gt;(DATEVALUE(CompletionMonth&amp;CompletionYear)),$AB$21,TRUE,"")</f>
        <v/>
      </c>
      <c r="S588" s="104" t="str" cm="1">
        <f t="array" ref="S588">_xlfn.IFS(AND(A588&gt;NumberOfPlots,ISBLANK(INDEX(PlotData,MATCH($A588,PlotNumber,0),MATCH(B$3,PlotTitles,0)))),"",OR(AND(INDEX(PlotData,MATCH($A588,PlotNumber,0),MATCH("Tenure",PlotTitles,0))="Open market housing",INDEX(PlotData,MATCH($A588,PlotNumber,0),MATCH("Tenure detail",PlotTitles,0))="Private rented sector"),INDEX(PlotData,MATCH($A588,PlotNumber,0),MATCH("Tenure",PlotTitles,0))="Affordable rent"),"",ISNUMBER(INDEX(PlotData,MATCH($A588,PlotNumber,0),MATCH(S$3,PlotTitles,0)))=FALSE, $AB$22,TRUE,"")</f>
        <v/>
      </c>
      <c r="T588" s="104" t="str" cm="1">
        <f t="array" ref="T588">_xlfn.IFS(AND(A588&gt;NumberOfPlots,ISBLANK(INDEX(PlotData,MATCH($A588,PlotNumber,0),MATCH(B$3,PlotTitles,0)))),"",OR(AND(INDEX(PlotData,MATCH($A588,PlotNumber,0),MATCH("Tenure",PlotTitles,0))="Open market housing",INDEX(PlotData,MATCH($A588,PlotNumber,0),MATCH("Tenure detail",PlotTitles,0))="Private rented sector"),INDEX(PlotData,MATCH($A588,PlotNumber,0),MATCH("Tenure",PlotTitles,0))="Affordable rent"),"",INDEX(PlotData,MATCH($A588,PlotNumber,0),MATCH(S$3,PlotTitles,0))&lt;10000, $AB$23,TRUE,"")</f>
        <v/>
      </c>
      <c r="U588" s="104" t="str" cm="1">
        <f t="array" ref="U588">_xlfn.IFS(AND(A588&gt;NumberOfPlots,ISBLANK(INDEX(PlotData,MATCH($A588,PlotNumber,0),MATCH(B$3,PlotTitles,0)))),"",NOT(OR(AND(INDEX(PlotData,MATCH($A588,PlotNumber,0),MATCH("Tenure",PlotTitles,0))="Open market housing",INDEX(PlotData,MATCH($A588,PlotNumber,0),MATCH("Tenure detail",PlotTitles,0))="Private rented sector"),INDEX(PlotData,MATCH($A588,PlotNumber,0),MATCH("Tenure",PlotTitles,0))="Affordable rent")),"",NOT(INDEX(PlotData,MATCH($A588,PlotNumber,0),MATCH(S$3,PlotTitles,0))=0), $AB$24,TRUE,"")</f>
        <v/>
      </c>
      <c r="V588" s="114" t="str" cm="1">
        <f t="array" aca="1" ref="V588" ca="1">_xlfn.IFS(ISBLANK(NumberOfPlots),"Enter the number of homes on the 1_SetUp sheet",AND(A588&gt;NumberOfPlots,ISBLANK(INDEX(PlotData,MATCH($A588,PlotNumber,0),MATCH(B$3,PlotTitles,0)))),"No error",NOT(B588=""),B588,NOT(C588=""),C588,NOT(D588=""),D588,NOT(E588=""),E588,NOT(F588=""),F588,NOT(G588=""),G588,NOT(H588=""),H588,NOT(I588=""),I588,NOT(J588=""),J588,NOT(K588=""),K588,NOT(L588=""),L588,NOT(M588=""),M588,NOT(N588=""),N588,NOT(O588=""),O588,NOT(P588=""),P588,NOT(Q588=""),Q588,NOT(R588=""),R588,NOT(S588=""),S588,NOT(T588=""),T588,NOT(U588=""),U588,TRUE,"No error")</f>
        <v>Enter the number of homes on the 1_SetUp sheet</v>
      </c>
      <c r="W588" s="114" t="str">
        <f t="shared" ca="1" si="29"/>
        <v xml:space="preserve">The Borrower has not addressed the following error messages for Home ID 584: </v>
      </c>
    </row>
    <row r="589" spans="1:23">
      <c r="A589" s="123">
        <v>585</v>
      </c>
      <c r="B589" s="104" t="str" cm="1">
        <f t="array" ref="B589">_xlfn.IFS(AND(A589&gt;NumberOfPlots,ISBLANK(INDEX(PlotData,MATCH($A589,PlotNumber,0),MATCH(B$3,PlotTitles,0)))),"",ISNUMBER(INDEX(PlotData,MATCH($A589,PlotNumber,0),MATCH(B$3,PlotTitles,0)))=FALSE, $AB$5,TRUE,"")</f>
        <v/>
      </c>
      <c r="C589" s="104" t="str" cm="1">
        <f t="array" ref="C589">_xlfn.IFS(AND(A589&gt;NumberOfPlots,ISBLANK(INDEX(PlotData,MATCH($A589,PlotNumber,0),MATCH(B$3,PlotTitles,0)))),"",ISBLANK(INDEX(PlotData,MATCH($A589,PlotNumber,0),MATCH(C$3,PlotTitles,0))),$AB$6,TRUE,"")</f>
        <v/>
      </c>
      <c r="D589" s="104" t="str" cm="1">
        <f t="array" ref="D589">_xlfn.IFS(AND(A589&gt;NumberOfPlots,ISBLANK(INDEX(PlotData,MATCH($A589,PlotNumber,0),MATCH(B$3,PlotTitles,0)))),"",ISBLANK(INDEX(PlotData,MATCH($A589,PlotNumber,0),MATCH(D$3,PlotTitles,0))),$AB$7,TRUE,"")</f>
        <v/>
      </c>
      <c r="E589" s="104" t="str" cm="1">
        <f t="array" ref="E589">_xlfn.IFS(AND(A589&gt;NumberOfPlots,ISBLANK(INDEX(PlotData,MATCH($A589,PlotNumber,0),MATCH(B$3,PlotTitles,0)))),"",ISBLANK(INDEX(PlotData,MATCH($A589,PlotNumber,0),MATCH(E$3,PlotTitles,0))),$AB$8,TRUE,"")</f>
        <v/>
      </c>
      <c r="F589" s="104" t="str" cm="1">
        <f t="array" ref="F589">_xlfn.IFS(AND(A589&gt;NumberOfPlots,ISBLANK(INDEX(PlotData,MATCH($A589,PlotNumber,0),MATCH(B$3,PlotTitles,0)))),"",ISBLANK(INDEX(PlotData,MATCH($A589,PlotNumber,0),MATCH(F$3,PlotTitles,0))),$AB$9,TRUE,"")</f>
        <v/>
      </c>
      <c r="G589" s="104" t="str" cm="1">
        <f t="array" ref="G589">_xlfn.IFS(AND(A589&gt;NumberOfPlots,ISBLANK(INDEX(PlotData,MATCH($A589,PlotNumber,0),MATCH(B$3,PlotTitles,0)))),"",ISBLANK(INDEX(PlotData,MATCH($A589,PlotNumber,0),MATCH(G$3,PlotTitles,0))),$AB$10,TRUE,"")</f>
        <v/>
      </c>
      <c r="H589" s="104" t="str" cm="1">
        <f t="array" ref="H589">_xlfn.IFS(AND(A589&gt;NumberOfPlots,ISBLANK(INDEX(PlotData,MATCH($A589,PlotNumber,0),MATCH(B$3,PlotTitles,0)))),"",AND(ISBLANK(INDEX(PlotData,MATCH($A589,PlotNumber,0),MATCH(H$3,PlotTitles,0)))=FALSE,INDEX(PlotData,MATCH($A589,PlotNumber,0),MATCH(H$3,PlotTitles,0))&lt;500), $AB$11,TRUE,"")</f>
        <v/>
      </c>
      <c r="I589" s="104" t="str" cm="1">
        <f t="array" ref="I589">_xlfn.IFS(AND(A589&gt;NumberOfPlots,ISBLANK(INDEX(PlotData,MATCH($A589,PlotNumber,0),MATCH(B$3,PlotTitles,0)))),"",ISBLANK(INDEX(PlotData,MATCH($A589,PlotNumber,0),MATCH(I$3,PlotTitles,0))),$AB$12,TRUE,"")</f>
        <v/>
      </c>
      <c r="J589" s="104" t="str" cm="1">
        <f t="array" ref="J589">_xlfn.IFS(AND(A589&gt;NumberOfPlots,ISBLANK(INDEX(PlotData,MATCH($A589,PlotNumber,0),MATCH(B$3,PlotTitles,0)))),"",ISBLANK(INDEX(PlotData,MATCH($A589,PlotNumber,0),MATCH(J$3,PlotTitles,0))),$AB$13,TRUE,"")</f>
        <v/>
      </c>
      <c r="K589" s="182" t="str">
        <f t="shared" ca="1" si="27"/>
        <v/>
      </c>
      <c r="L589" s="104" t="str" cm="1">
        <f t="array" ref="L589">_xlfn.IFS(OR(ISBLANK(StartDateMonth),ISBLANK(StartDateYear)),"",AND(A589&gt;NumberOfPlots,ISBLANK(INDEX(PlotData,MATCH($A589,PlotNumber,0),MATCH(B$3,PlotTitles,0)))),"",ISBLANK(INDEX(PlotData,MATCH($A589,PlotNumber,0),MATCH(I$3,PlotTitles,0))),"",(DATEVALUE(INDEX(PlotData,MATCH($A589,PlotNumber,0),MATCH(I$3,PlotTitles,0))&amp;INDEX(PlotData,MATCH($A589,PlotNumber,0),MATCH(J$3,PlotTitles,0))))&lt;DATEVALUE(StartDateMonth&amp;StartDateYear),$AB$15,TRUE,"")</f>
        <v/>
      </c>
      <c r="M589" s="104" t="str" cm="1">
        <f t="array" ref="M589">_xlfn.IFS(OR(ISBLANK(StartDateMonth),ISBLANK(StartDateYear)),"",AND(A589&gt;NumberOfPlots,ISBLANK(INDEX(PlotData,MATCH($A589,PlotNumber,0),MATCH(B$3,PlotTitles,0)))),"",ISBLANK(INDEX(PlotData,MATCH($A589,PlotNumber,0),MATCH(I$3,PlotTitles,0))),"",CompletionMonth="","",(DATEVALUE(INDEX(PlotData,MATCH($A589,PlotNumber,0),MATCH(I$3,PlotTitles,0))&amp;INDEX(PlotData,MATCH($A589,PlotNumber,0),MATCH(J$3,PlotTitles,0))))&gt;(DATEVALUE(CompletionMonth&amp;CompletionYear)),$AB$16,TRUE,"")</f>
        <v/>
      </c>
      <c r="N589" s="104" t="str" cm="1">
        <f t="array" ref="N589">_xlfn.IFS(AND(A589&gt;NumberOfPlots,ISBLANK(INDEX(PlotData,MATCH($A589,PlotNumber,0),MATCH(B$3,PlotTitles,0)))),"",ISBLANK(INDEX(PlotData,MATCH($A589,PlotNumber,0),MATCH(N$3,PlotTitles,0))),$AB$17,TRUE,"")</f>
        <v/>
      </c>
      <c r="O589" s="104" t="str" cm="1">
        <f t="array" ref="O589">_xlfn.IFS(AND(A589&gt;NumberOfPlots,ISBLANK(INDEX(PlotData,MATCH($A589,PlotNumber,0),MATCH(B$3,PlotTitles,0)))),"",ISBLANK(INDEX(PlotData,MATCH($A589,PlotNumber,0),MATCH(O$3,PlotTitles,0))),$AB$18,TRUE,"")</f>
        <v/>
      </c>
      <c r="P589" s="182" t="str">
        <f t="shared" ca="1" si="28"/>
        <v/>
      </c>
      <c r="Q589" s="104" t="str" cm="1">
        <f t="array" ref="Q589">_xlfn.IFS(AND(A589&gt;NumberOfPlots,ISBLANK(INDEX(PlotData,MATCH($A589,PlotNumber,0),MATCH(B$3,PlotTitles,0)))),"",ISBLANK(INDEX(PlotData,MATCH($A589,PlotNumber,0),MATCH(N$3,PlotTitles,0))),"",(DATEVALUE(INDEX(PlotData,MATCH($A589,PlotNumber,0),MATCH(N$3,PlotTitles,0))&amp;INDEX(PlotData,MATCH($A589,PlotNumber,0),MATCH(O$3,PlotTitles,0))))&lt;(DATEVALUE(INDEX(PlotData,MATCH($A589,PlotNumber,0),MATCH(I$3,PlotTitles,0))&amp;INDEX(PlotData,MATCH($A589,PlotNumber,0),MATCH(J$3,PlotTitles,0)))),$AB$20,TRUE,"")</f>
        <v/>
      </c>
      <c r="R589" s="104" t="str" cm="1">
        <f t="array" ref="R589">_xlfn.IFS(OR(ISBLANK(StartDateMonth),ISBLANK(StartDateYear)),"",AND(A589&gt;NumberOfPlots,ISBLANK(INDEX(PlotData,MATCH($A589,PlotNumber,0),MATCH(B$3,PlotTitles,0)))),"",ISBLANK(INDEX(PlotData,MATCH($A589,PlotNumber,0),MATCH(N$3,PlotTitles,0))),"",CompletionMonth="","",(DATEVALUE(INDEX(PlotData,MATCH($A589,PlotNumber,0),MATCH(N$3,PlotTitles,0))&amp;INDEX(PlotData,MATCH($A589,PlotNumber,0),MATCH(O$3,PlotTitles,0))))&gt;(DATEVALUE(CompletionMonth&amp;CompletionYear)),$AB$21,TRUE,"")</f>
        <v/>
      </c>
      <c r="S589" s="104" t="str" cm="1">
        <f t="array" ref="S589">_xlfn.IFS(AND(A589&gt;NumberOfPlots,ISBLANK(INDEX(PlotData,MATCH($A589,PlotNumber,0),MATCH(B$3,PlotTitles,0)))),"",OR(AND(INDEX(PlotData,MATCH($A589,PlotNumber,0),MATCH("Tenure",PlotTitles,0))="Open market housing",INDEX(PlotData,MATCH($A589,PlotNumber,0),MATCH("Tenure detail",PlotTitles,0))="Private rented sector"),INDEX(PlotData,MATCH($A589,PlotNumber,0),MATCH("Tenure",PlotTitles,0))="Affordable rent"),"",ISNUMBER(INDEX(PlotData,MATCH($A589,PlotNumber,0),MATCH(S$3,PlotTitles,0)))=FALSE, $AB$22,TRUE,"")</f>
        <v/>
      </c>
      <c r="T589" s="104" t="str" cm="1">
        <f t="array" ref="T589">_xlfn.IFS(AND(A589&gt;NumberOfPlots,ISBLANK(INDEX(PlotData,MATCH($A589,PlotNumber,0),MATCH(B$3,PlotTitles,0)))),"",OR(AND(INDEX(PlotData,MATCH($A589,PlotNumber,0),MATCH("Tenure",PlotTitles,0))="Open market housing",INDEX(PlotData,MATCH($A589,PlotNumber,0),MATCH("Tenure detail",PlotTitles,0))="Private rented sector"),INDEX(PlotData,MATCH($A589,PlotNumber,0),MATCH("Tenure",PlotTitles,0))="Affordable rent"),"",INDEX(PlotData,MATCH($A589,PlotNumber,0),MATCH(S$3,PlotTitles,0))&lt;10000, $AB$23,TRUE,"")</f>
        <v/>
      </c>
      <c r="U589" s="104" t="str" cm="1">
        <f t="array" ref="U589">_xlfn.IFS(AND(A589&gt;NumberOfPlots,ISBLANK(INDEX(PlotData,MATCH($A589,PlotNumber,0),MATCH(B$3,PlotTitles,0)))),"",NOT(OR(AND(INDEX(PlotData,MATCH($A589,PlotNumber,0),MATCH("Tenure",PlotTitles,0))="Open market housing",INDEX(PlotData,MATCH($A589,PlotNumber,0),MATCH("Tenure detail",PlotTitles,0))="Private rented sector"),INDEX(PlotData,MATCH($A589,PlotNumber,0),MATCH("Tenure",PlotTitles,0))="Affordable rent")),"",NOT(INDEX(PlotData,MATCH($A589,PlotNumber,0),MATCH(S$3,PlotTitles,0))=0), $AB$24,TRUE,"")</f>
        <v/>
      </c>
      <c r="V589" s="114" t="str" cm="1">
        <f t="array" aca="1" ref="V589" ca="1">_xlfn.IFS(ISBLANK(NumberOfPlots),"Enter the number of homes on the 1_SetUp sheet",AND(A589&gt;NumberOfPlots,ISBLANK(INDEX(PlotData,MATCH($A589,PlotNumber,0),MATCH(B$3,PlotTitles,0)))),"No error",NOT(B589=""),B589,NOT(C589=""),C589,NOT(D589=""),D589,NOT(E589=""),E589,NOT(F589=""),F589,NOT(G589=""),G589,NOT(H589=""),H589,NOT(I589=""),I589,NOT(J589=""),J589,NOT(K589=""),K589,NOT(L589=""),L589,NOT(M589=""),M589,NOT(N589=""),N589,NOT(O589=""),O589,NOT(P589=""),P589,NOT(Q589=""),Q589,NOT(R589=""),R589,NOT(S589=""),S589,NOT(T589=""),T589,NOT(U589=""),U589,TRUE,"No error")</f>
        <v>Enter the number of homes on the 1_SetUp sheet</v>
      </c>
      <c r="W589" s="114" t="str">
        <f t="shared" ca="1" si="29"/>
        <v xml:space="preserve">The Borrower has not addressed the following error messages for Home ID 585: </v>
      </c>
    </row>
    <row r="590" spans="1:23">
      <c r="A590" s="123">
        <v>586</v>
      </c>
      <c r="B590" s="104" t="str" cm="1">
        <f t="array" ref="B590">_xlfn.IFS(AND(A590&gt;NumberOfPlots,ISBLANK(INDEX(PlotData,MATCH($A590,PlotNumber,0),MATCH(B$3,PlotTitles,0)))),"",ISNUMBER(INDEX(PlotData,MATCH($A590,PlotNumber,0),MATCH(B$3,PlotTitles,0)))=FALSE, $AB$5,TRUE,"")</f>
        <v/>
      </c>
      <c r="C590" s="104" t="str" cm="1">
        <f t="array" ref="C590">_xlfn.IFS(AND(A590&gt;NumberOfPlots,ISBLANK(INDEX(PlotData,MATCH($A590,PlotNumber,0),MATCH(B$3,PlotTitles,0)))),"",ISBLANK(INDEX(PlotData,MATCH($A590,PlotNumber,0),MATCH(C$3,PlotTitles,0))),$AB$6,TRUE,"")</f>
        <v/>
      </c>
      <c r="D590" s="104" t="str" cm="1">
        <f t="array" ref="D590">_xlfn.IFS(AND(A590&gt;NumberOfPlots,ISBLANK(INDEX(PlotData,MATCH($A590,PlotNumber,0),MATCH(B$3,PlotTitles,0)))),"",ISBLANK(INDEX(PlotData,MATCH($A590,PlotNumber,0),MATCH(D$3,PlotTitles,0))),$AB$7,TRUE,"")</f>
        <v/>
      </c>
      <c r="E590" s="104" t="str" cm="1">
        <f t="array" ref="E590">_xlfn.IFS(AND(A590&gt;NumberOfPlots,ISBLANK(INDEX(PlotData,MATCH($A590,PlotNumber,0),MATCH(B$3,PlotTitles,0)))),"",ISBLANK(INDEX(PlotData,MATCH($A590,PlotNumber,0),MATCH(E$3,PlotTitles,0))),$AB$8,TRUE,"")</f>
        <v/>
      </c>
      <c r="F590" s="104" t="str" cm="1">
        <f t="array" ref="F590">_xlfn.IFS(AND(A590&gt;NumberOfPlots,ISBLANK(INDEX(PlotData,MATCH($A590,PlotNumber,0),MATCH(B$3,PlotTitles,0)))),"",ISBLANK(INDEX(PlotData,MATCH($A590,PlotNumber,0),MATCH(F$3,PlotTitles,0))),$AB$9,TRUE,"")</f>
        <v/>
      </c>
      <c r="G590" s="104" t="str" cm="1">
        <f t="array" ref="G590">_xlfn.IFS(AND(A590&gt;NumberOfPlots,ISBLANK(INDEX(PlotData,MATCH($A590,PlotNumber,0),MATCH(B$3,PlotTitles,0)))),"",ISBLANK(INDEX(PlotData,MATCH($A590,PlotNumber,0),MATCH(G$3,PlotTitles,0))),$AB$10,TRUE,"")</f>
        <v/>
      </c>
      <c r="H590" s="104" t="str" cm="1">
        <f t="array" ref="H590">_xlfn.IFS(AND(A590&gt;NumberOfPlots,ISBLANK(INDEX(PlotData,MATCH($A590,PlotNumber,0),MATCH(B$3,PlotTitles,0)))),"",AND(ISBLANK(INDEX(PlotData,MATCH($A590,PlotNumber,0),MATCH(H$3,PlotTitles,0)))=FALSE,INDEX(PlotData,MATCH($A590,PlotNumber,0),MATCH(H$3,PlotTitles,0))&lt;500), $AB$11,TRUE,"")</f>
        <v/>
      </c>
      <c r="I590" s="104" t="str" cm="1">
        <f t="array" ref="I590">_xlfn.IFS(AND(A590&gt;NumberOfPlots,ISBLANK(INDEX(PlotData,MATCH($A590,PlotNumber,0),MATCH(B$3,PlotTitles,0)))),"",ISBLANK(INDEX(PlotData,MATCH($A590,PlotNumber,0),MATCH(I$3,PlotTitles,0))),$AB$12,TRUE,"")</f>
        <v/>
      </c>
      <c r="J590" s="104" t="str" cm="1">
        <f t="array" ref="J590">_xlfn.IFS(AND(A590&gt;NumberOfPlots,ISBLANK(INDEX(PlotData,MATCH($A590,PlotNumber,0),MATCH(B$3,PlotTitles,0)))),"",ISBLANK(INDEX(PlotData,MATCH($A590,PlotNumber,0),MATCH(J$3,PlotTitles,0))),$AB$13,TRUE,"")</f>
        <v/>
      </c>
      <c r="K590" s="182" t="str">
        <f t="shared" ca="1" si="27"/>
        <v/>
      </c>
      <c r="L590" s="104" t="str" cm="1">
        <f t="array" ref="L590">_xlfn.IFS(OR(ISBLANK(StartDateMonth),ISBLANK(StartDateYear)),"",AND(A590&gt;NumberOfPlots,ISBLANK(INDEX(PlotData,MATCH($A590,PlotNumber,0),MATCH(B$3,PlotTitles,0)))),"",ISBLANK(INDEX(PlotData,MATCH($A590,PlotNumber,0),MATCH(I$3,PlotTitles,0))),"",(DATEVALUE(INDEX(PlotData,MATCH($A590,PlotNumber,0),MATCH(I$3,PlotTitles,0))&amp;INDEX(PlotData,MATCH($A590,PlotNumber,0),MATCH(J$3,PlotTitles,0))))&lt;DATEVALUE(StartDateMonth&amp;StartDateYear),$AB$15,TRUE,"")</f>
        <v/>
      </c>
      <c r="M590" s="104" t="str" cm="1">
        <f t="array" ref="M590">_xlfn.IFS(OR(ISBLANK(StartDateMonth),ISBLANK(StartDateYear)),"",AND(A590&gt;NumberOfPlots,ISBLANK(INDEX(PlotData,MATCH($A590,PlotNumber,0),MATCH(B$3,PlotTitles,0)))),"",ISBLANK(INDEX(PlotData,MATCH($A590,PlotNumber,0),MATCH(I$3,PlotTitles,0))),"",CompletionMonth="","",(DATEVALUE(INDEX(PlotData,MATCH($A590,PlotNumber,0),MATCH(I$3,PlotTitles,0))&amp;INDEX(PlotData,MATCH($A590,PlotNumber,0),MATCH(J$3,PlotTitles,0))))&gt;(DATEVALUE(CompletionMonth&amp;CompletionYear)),$AB$16,TRUE,"")</f>
        <v/>
      </c>
      <c r="N590" s="104" t="str" cm="1">
        <f t="array" ref="N590">_xlfn.IFS(AND(A590&gt;NumberOfPlots,ISBLANK(INDEX(PlotData,MATCH($A590,PlotNumber,0),MATCH(B$3,PlotTitles,0)))),"",ISBLANK(INDEX(PlotData,MATCH($A590,PlotNumber,0),MATCH(N$3,PlotTitles,0))),$AB$17,TRUE,"")</f>
        <v/>
      </c>
      <c r="O590" s="104" t="str" cm="1">
        <f t="array" ref="O590">_xlfn.IFS(AND(A590&gt;NumberOfPlots,ISBLANK(INDEX(PlotData,MATCH($A590,PlotNumber,0),MATCH(B$3,PlotTitles,0)))),"",ISBLANK(INDEX(PlotData,MATCH($A590,PlotNumber,0),MATCH(O$3,PlotTitles,0))),$AB$18,TRUE,"")</f>
        <v/>
      </c>
      <c r="P590" s="182" t="str">
        <f t="shared" ca="1" si="28"/>
        <v/>
      </c>
      <c r="Q590" s="104" t="str" cm="1">
        <f t="array" ref="Q590">_xlfn.IFS(AND(A590&gt;NumberOfPlots,ISBLANK(INDEX(PlotData,MATCH($A590,PlotNumber,0),MATCH(B$3,PlotTitles,0)))),"",ISBLANK(INDEX(PlotData,MATCH($A590,PlotNumber,0),MATCH(N$3,PlotTitles,0))),"",(DATEVALUE(INDEX(PlotData,MATCH($A590,PlotNumber,0),MATCH(N$3,PlotTitles,0))&amp;INDEX(PlotData,MATCH($A590,PlotNumber,0),MATCH(O$3,PlotTitles,0))))&lt;(DATEVALUE(INDEX(PlotData,MATCH($A590,PlotNumber,0),MATCH(I$3,PlotTitles,0))&amp;INDEX(PlotData,MATCH($A590,PlotNumber,0),MATCH(J$3,PlotTitles,0)))),$AB$20,TRUE,"")</f>
        <v/>
      </c>
      <c r="R590" s="104" t="str" cm="1">
        <f t="array" ref="R590">_xlfn.IFS(OR(ISBLANK(StartDateMonth),ISBLANK(StartDateYear)),"",AND(A590&gt;NumberOfPlots,ISBLANK(INDEX(PlotData,MATCH($A590,PlotNumber,0),MATCH(B$3,PlotTitles,0)))),"",ISBLANK(INDEX(PlotData,MATCH($A590,PlotNumber,0),MATCH(N$3,PlotTitles,0))),"",CompletionMonth="","",(DATEVALUE(INDEX(PlotData,MATCH($A590,PlotNumber,0),MATCH(N$3,PlotTitles,0))&amp;INDEX(PlotData,MATCH($A590,PlotNumber,0),MATCH(O$3,PlotTitles,0))))&gt;(DATEVALUE(CompletionMonth&amp;CompletionYear)),$AB$21,TRUE,"")</f>
        <v/>
      </c>
      <c r="S590" s="104" t="str" cm="1">
        <f t="array" ref="S590">_xlfn.IFS(AND(A590&gt;NumberOfPlots,ISBLANK(INDEX(PlotData,MATCH($A590,PlotNumber,0),MATCH(B$3,PlotTitles,0)))),"",OR(AND(INDEX(PlotData,MATCH($A590,PlotNumber,0),MATCH("Tenure",PlotTitles,0))="Open market housing",INDEX(PlotData,MATCH($A590,PlotNumber,0),MATCH("Tenure detail",PlotTitles,0))="Private rented sector"),INDEX(PlotData,MATCH($A590,PlotNumber,0),MATCH("Tenure",PlotTitles,0))="Affordable rent"),"",ISNUMBER(INDEX(PlotData,MATCH($A590,PlotNumber,0),MATCH(S$3,PlotTitles,0)))=FALSE, $AB$22,TRUE,"")</f>
        <v/>
      </c>
      <c r="T590" s="104" t="str" cm="1">
        <f t="array" ref="T590">_xlfn.IFS(AND(A590&gt;NumberOfPlots,ISBLANK(INDEX(PlotData,MATCH($A590,PlotNumber,0),MATCH(B$3,PlotTitles,0)))),"",OR(AND(INDEX(PlotData,MATCH($A590,PlotNumber,0),MATCH("Tenure",PlotTitles,0))="Open market housing",INDEX(PlotData,MATCH($A590,PlotNumber,0),MATCH("Tenure detail",PlotTitles,0))="Private rented sector"),INDEX(PlotData,MATCH($A590,PlotNumber,0),MATCH("Tenure",PlotTitles,0))="Affordable rent"),"",INDEX(PlotData,MATCH($A590,PlotNumber,0),MATCH(S$3,PlotTitles,0))&lt;10000, $AB$23,TRUE,"")</f>
        <v/>
      </c>
      <c r="U590" s="104" t="str" cm="1">
        <f t="array" ref="U590">_xlfn.IFS(AND(A590&gt;NumberOfPlots,ISBLANK(INDEX(PlotData,MATCH($A590,PlotNumber,0),MATCH(B$3,PlotTitles,0)))),"",NOT(OR(AND(INDEX(PlotData,MATCH($A590,PlotNumber,0),MATCH("Tenure",PlotTitles,0))="Open market housing",INDEX(PlotData,MATCH($A590,PlotNumber,0),MATCH("Tenure detail",PlotTitles,0))="Private rented sector"),INDEX(PlotData,MATCH($A590,PlotNumber,0),MATCH("Tenure",PlotTitles,0))="Affordable rent")),"",NOT(INDEX(PlotData,MATCH($A590,PlotNumber,0),MATCH(S$3,PlotTitles,0))=0), $AB$24,TRUE,"")</f>
        <v/>
      </c>
      <c r="V590" s="114" t="str" cm="1">
        <f t="array" aca="1" ref="V590" ca="1">_xlfn.IFS(ISBLANK(NumberOfPlots),"Enter the number of homes on the 1_SetUp sheet",AND(A590&gt;NumberOfPlots,ISBLANK(INDEX(PlotData,MATCH($A590,PlotNumber,0),MATCH(B$3,PlotTitles,0)))),"No error",NOT(B590=""),B590,NOT(C590=""),C590,NOT(D590=""),D590,NOT(E590=""),E590,NOT(F590=""),F590,NOT(G590=""),G590,NOT(H590=""),H590,NOT(I590=""),I590,NOT(J590=""),J590,NOT(K590=""),K590,NOT(L590=""),L590,NOT(M590=""),M590,NOT(N590=""),N590,NOT(O590=""),O590,NOT(P590=""),P590,NOT(Q590=""),Q590,NOT(R590=""),R590,NOT(S590=""),S590,NOT(T590=""),T590,NOT(U590=""),U590,TRUE,"No error")</f>
        <v>Enter the number of homes on the 1_SetUp sheet</v>
      </c>
      <c r="W590" s="114" t="str">
        <f t="shared" ca="1" si="29"/>
        <v xml:space="preserve">The Borrower has not addressed the following error messages for Home ID 586: </v>
      </c>
    </row>
    <row r="591" spans="1:23">
      <c r="A591" s="123">
        <v>587</v>
      </c>
      <c r="B591" s="104" t="str" cm="1">
        <f t="array" ref="B591">_xlfn.IFS(AND(A591&gt;NumberOfPlots,ISBLANK(INDEX(PlotData,MATCH($A591,PlotNumber,0),MATCH(B$3,PlotTitles,0)))),"",ISNUMBER(INDEX(PlotData,MATCH($A591,PlotNumber,0),MATCH(B$3,PlotTitles,0)))=FALSE, $AB$5,TRUE,"")</f>
        <v/>
      </c>
      <c r="C591" s="104" t="str" cm="1">
        <f t="array" ref="C591">_xlfn.IFS(AND(A591&gt;NumberOfPlots,ISBLANK(INDEX(PlotData,MATCH($A591,PlotNumber,0),MATCH(B$3,PlotTitles,0)))),"",ISBLANK(INDEX(PlotData,MATCH($A591,PlotNumber,0),MATCH(C$3,PlotTitles,0))),$AB$6,TRUE,"")</f>
        <v/>
      </c>
      <c r="D591" s="104" t="str" cm="1">
        <f t="array" ref="D591">_xlfn.IFS(AND(A591&gt;NumberOfPlots,ISBLANK(INDEX(PlotData,MATCH($A591,PlotNumber,0),MATCH(B$3,PlotTitles,0)))),"",ISBLANK(INDEX(PlotData,MATCH($A591,PlotNumber,0),MATCH(D$3,PlotTitles,0))),$AB$7,TRUE,"")</f>
        <v/>
      </c>
      <c r="E591" s="104" t="str" cm="1">
        <f t="array" ref="E591">_xlfn.IFS(AND(A591&gt;NumberOfPlots,ISBLANK(INDEX(PlotData,MATCH($A591,PlotNumber,0),MATCH(B$3,PlotTitles,0)))),"",ISBLANK(INDEX(PlotData,MATCH($A591,PlotNumber,0),MATCH(E$3,PlotTitles,0))),$AB$8,TRUE,"")</f>
        <v/>
      </c>
      <c r="F591" s="104" t="str" cm="1">
        <f t="array" ref="F591">_xlfn.IFS(AND(A591&gt;NumberOfPlots,ISBLANK(INDEX(PlotData,MATCH($A591,PlotNumber,0),MATCH(B$3,PlotTitles,0)))),"",ISBLANK(INDEX(PlotData,MATCH($A591,PlotNumber,0),MATCH(F$3,PlotTitles,0))),$AB$9,TRUE,"")</f>
        <v/>
      </c>
      <c r="G591" s="104" t="str" cm="1">
        <f t="array" ref="G591">_xlfn.IFS(AND(A591&gt;NumberOfPlots,ISBLANK(INDEX(PlotData,MATCH($A591,PlotNumber,0),MATCH(B$3,PlotTitles,0)))),"",ISBLANK(INDEX(PlotData,MATCH($A591,PlotNumber,0),MATCH(G$3,PlotTitles,0))),$AB$10,TRUE,"")</f>
        <v/>
      </c>
      <c r="H591" s="104" t="str" cm="1">
        <f t="array" ref="H591">_xlfn.IFS(AND(A591&gt;NumberOfPlots,ISBLANK(INDEX(PlotData,MATCH($A591,PlotNumber,0),MATCH(B$3,PlotTitles,0)))),"",AND(ISBLANK(INDEX(PlotData,MATCH($A591,PlotNumber,0),MATCH(H$3,PlotTitles,0)))=FALSE,INDEX(PlotData,MATCH($A591,PlotNumber,0),MATCH(H$3,PlotTitles,0))&lt;500), $AB$11,TRUE,"")</f>
        <v/>
      </c>
      <c r="I591" s="104" t="str" cm="1">
        <f t="array" ref="I591">_xlfn.IFS(AND(A591&gt;NumberOfPlots,ISBLANK(INDEX(PlotData,MATCH($A591,PlotNumber,0),MATCH(B$3,PlotTitles,0)))),"",ISBLANK(INDEX(PlotData,MATCH($A591,PlotNumber,0),MATCH(I$3,PlotTitles,0))),$AB$12,TRUE,"")</f>
        <v/>
      </c>
      <c r="J591" s="104" t="str" cm="1">
        <f t="array" ref="J591">_xlfn.IFS(AND(A591&gt;NumberOfPlots,ISBLANK(INDEX(PlotData,MATCH($A591,PlotNumber,0),MATCH(B$3,PlotTitles,0)))),"",ISBLANK(INDEX(PlotData,MATCH($A591,PlotNumber,0),MATCH(J$3,PlotTitles,0))),$AB$13,TRUE,"")</f>
        <v/>
      </c>
      <c r="K591" s="182" t="str">
        <f t="shared" ca="1" si="27"/>
        <v/>
      </c>
      <c r="L591" s="104" t="str" cm="1">
        <f t="array" ref="L591">_xlfn.IFS(OR(ISBLANK(StartDateMonth),ISBLANK(StartDateYear)),"",AND(A591&gt;NumberOfPlots,ISBLANK(INDEX(PlotData,MATCH($A591,PlotNumber,0),MATCH(B$3,PlotTitles,0)))),"",ISBLANK(INDEX(PlotData,MATCH($A591,PlotNumber,0),MATCH(I$3,PlotTitles,0))),"",(DATEVALUE(INDEX(PlotData,MATCH($A591,PlotNumber,0),MATCH(I$3,PlotTitles,0))&amp;INDEX(PlotData,MATCH($A591,PlotNumber,0),MATCH(J$3,PlotTitles,0))))&lt;DATEVALUE(StartDateMonth&amp;StartDateYear),$AB$15,TRUE,"")</f>
        <v/>
      </c>
      <c r="M591" s="104" t="str" cm="1">
        <f t="array" ref="M591">_xlfn.IFS(OR(ISBLANK(StartDateMonth),ISBLANK(StartDateYear)),"",AND(A591&gt;NumberOfPlots,ISBLANK(INDEX(PlotData,MATCH($A591,PlotNumber,0),MATCH(B$3,PlotTitles,0)))),"",ISBLANK(INDEX(PlotData,MATCH($A591,PlotNumber,0),MATCH(I$3,PlotTitles,0))),"",CompletionMonth="","",(DATEVALUE(INDEX(PlotData,MATCH($A591,PlotNumber,0),MATCH(I$3,PlotTitles,0))&amp;INDEX(PlotData,MATCH($A591,PlotNumber,0),MATCH(J$3,PlotTitles,0))))&gt;(DATEVALUE(CompletionMonth&amp;CompletionYear)),$AB$16,TRUE,"")</f>
        <v/>
      </c>
      <c r="N591" s="104" t="str" cm="1">
        <f t="array" ref="N591">_xlfn.IFS(AND(A591&gt;NumberOfPlots,ISBLANK(INDEX(PlotData,MATCH($A591,PlotNumber,0),MATCH(B$3,PlotTitles,0)))),"",ISBLANK(INDEX(PlotData,MATCH($A591,PlotNumber,0),MATCH(N$3,PlotTitles,0))),$AB$17,TRUE,"")</f>
        <v/>
      </c>
      <c r="O591" s="104" t="str" cm="1">
        <f t="array" ref="O591">_xlfn.IFS(AND(A591&gt;NumberOfPlots,ISBLANK(INDEX(PlotData,MATCH($A591,PlotNumber,0),MATCH(B$3,PlotTitles,0)))),"",ISBLANK(INDEX(PlotData,MATCH($A591,PlotNumber,0),MATCH(O$3,PlotTitles,0))),$AB$18,TRUE,"")</f>
        <v/>
      </c>
      <c r="P591" s="182" t="str">
        <f t="shared" ca="1" si="28"/>
        <v/>
      </c>
      <c r="Q591" s="104" t="str" cm="1">
        <f t="array" ref="Q591">_xlfn.IFS(AND(A591&gt;NumberOfPlots,ISBLANK(INDEX(PlotData,MATCH($A591,PlotNumber,0),MATCH(B$3,PlotTitles,0)))),"",ISBLANK(INDEX(PlotData,MATCH($A591,PlotNumber,0),MATCH(N$3,PlotTitles,0))),"",(DATEVALUE(INDEX(PlotData,MATCH($A591,PlotNumber,0),MATCH(N$3,PlotTitles,0))&amp;INDEX(PlotData,MATCH($A591,PlotNumber,0),MATCH(O$3,PlotTitles,0))))&lt;(DATEVALUE(INDEX(PlotData,MATCH($A591,PlotNumber,0),MATCH(I$3,PlotTitles,0))&amp;INDEX(PlotData,MATCH($A591,PlotNumber,0),MATCH(J$3,PlotTitles,0)))),$AB$20,TRUE,"")</f>
        <v/>
      </c>
      <c r="R591" s="104" t="str" cm="1">
        <f t="array" ref="R591">_xlfn.IFS(OR(ISBLANK(StartDateMonth),ISBLANK(StartDateYear)),"",AND(A591&gt;NumberOfPlots,ISBLANK(INDEX(PlotData,MATCH($A591,PlotNumber,0),MATCH(B$3,PlotTitles,0)))),"",ISBLANK(INDEX(PlotData,MATCH($A591,PlotNumber,0),MATCH(N$3,PlotTitles,0))),"",CompletionMonth="","",(DATEVALUE(INDEX(PlotData,MATCH($A591,PlotNumber,0),MATCH(N$3,PlotTitles,0))&amp;INDEX(PlotData,MATCH($A591,PlotNumber,0),MATCH(O$3,PlotTitles,0))))&gt;(DATEVALUE(CompletionMonth&amp;CompletionYear)),$AB$21,TRUE,"")</f>
        <v/>
      </c>
      <c r="S591" s="104" t="str" cm="1">
        <f t="array" ref="S591">_xlfn.IFS(AND(A591&gt;NumberOfPlots,ISBLANK(INDEX(PlotData,MATCH($A591,PlotNumber,0),MATCH(B$3,PlotTitles,0)))),"",OR(AND(INDEX(PlotData,MATCH($A591,PlotNumber,0),MATCH("Tenure",PlotTitles,0))="Open market housing",INDEX(PlotData,MATCH($A591,PlotNumber,0),MATCH("Tenure detail",PlotTitles,0))="Private rented sector"),INDEX(PlotData,MATCH($A591,PlotNumber,0),MATCH("Tenure",PlotTitles,0))="Affordable rent"),"",ISNUMBER(INDEX(PlotData,MATCH($A591,PlotNumber,0),MATCH(S$3,PlotTitles,0)))=FALSE, $AB$22,TRUE,"")</f>
        <v/>
      </c>
      <c r="T591" s="104" t="str" cm="1">
        <f t="array" ref="T591">_xlfn.IFS(AND(A591&gt;NumberOfPlots,ISBLANK(INDEX(PlotData,MATCH($A591,PlotNumber,0),MATCH(B$3,PlotTitles,0)))),"",OR(AND(INDEX(PlotData,MATCH($A591,PlotNumber,0),MATCH("Tenure",PlotTitles,0))="Open market housing",INDEX(PlotData,MATCH($A591,PlotNumber,0),MATCH("Tenure detail",PlotTitles,0))="Private rented sector"),INDEX(PlotData,MATCH($A591,PlotNumber,0),MATCH("Tenure",PlotTitles,0))="Affordable rent"),"",INDEX(PlotData,MATCH($A591,PlotNumber,0),MATCH(S$3,PlotTitles,0))&lt;10000, $AB$23,TRUE,"")</f>
        <v/>
      </c>
      <c r="U591" s="104" t="str" cm="1">
        <f t="array" ref="U591">_xlfn.IFS(AND(A591&gt;NumberOfPlots,ISBLANK(INDEX(PlotData,MATCH($A591,PlotNumber,0),MATCH(B$3,PlotTitles,0)))),"",NOT(OR(AND(INDEX(PlotData,MATCH($A591,PlotNumber,0),MATCH("Tenure",PlotTitles,0))="Open market housing",INDEX(PlotData,MATCH($A591,PlotNumber,0),MATCH("Tenure detail",PlotTitles,0))="Private rented sector"),INDEX(PlotData,MATCH($A591,PlotNumber,0),MATCH("Tenure",PlotTitles,0))="Affordable rent")),"",NOT(INDEX(PlotData,MATCH($A591,PlotNumber,0),MATCH(S$3,PlotTitles,0))=0), $AB$24,TRUE,"")</f>
        <v/>
      </c>
      <c r="V591" s="114" t="str" cm="1">
        <f t="array" aca="1" ref="V591" ca="1">_xlfn.IFS(ISBLANK(NumberOfPlots),"Enter the number of homes on the 1_SetUp sheet",AND(A591&gt;NumberOfPlots,ISBLANK(INDEX(PlotData,MATCH($A591,PlotNumber,0),MATCH(B$3,PlotTitles,0)))),"No error",NOT(B591=""),B591,NOT(C591=""),C591,NOT(D591=""),D591,NOT(E591=""),E591,NOT(F591=""),F591,NOT(G591=""),G591,NOT(H591=""),H591,NOT(I591=""),I591,NOT(J591=""),J591,NOT(K591=""),K591,NOT(L591=""),L591,NOT(M591=""),M591,NOT(N591=""),N591,NOT(O591=""),O591,NOT(P591=""),P591,NOT(Q591=""),Q591,NOT(R591=""),R591,NOT(S591=""),S591,NOT(T591=""),T591,NOT(U591=""),U591,TRUE,"No error")</f>
        <v>Enter the number of homes on the 1_SetUp sheet</v>
      </c>
      <c r="W591" s="114" t="str">
        <f t="shared" ca="1" si="29"/>
        <v xml:space="preserve">The Borrower has not addressed the following error messages for Home ID 587: </v>
      </c>
    </row>
    <row r="592" spans="1:23">
      <c r="A592" s="123">
        <v>588</v>
      </c>
      <c r="B592" s="104" t="str" cm="1">
        <f t="array" ref="B592">_xlfn.IFS(AND(A592&gt;NumberOfPlots,ISBLANK(INDEX(PlotData,MATCH($A592,PlotNumber,0),MATCH(B$3,PlotTitles,0)))),"",ISNUMBER(INDEX(PlotData,MATCH($A592,PlotNumber,0),MATCH(B$3,PlotTitles,0)))=FALSE, $AB$5,TRUE,"")</f>
        <v/>
      </c>
      <c r="C592" s="104" t="str" cm="1">
        <f t="array" ref="C592">_xlfn.IFS(AND(A592&gt;NumberOfPlots,ISBLANK(INDEX(PlotData,MATCH($A592,PlotNumber,0),MATCH(B$3,PlotTitles,0)))),"",ISBLANK(INDEX(PlotData,MATCH($A592,PlotNumber,0),MATCH(C$3,PlotTitles,0))),$AB$6,TRUE,"")</f>
        <v/>
      </c>
      <c r="D592" s="104" t="str" cm="1">
        <f t="array" ref="D592">_xlfn.IFS(AND(A592&gt;NumberOfPlots,ISBLANK(INDEX(PlotData,MATCH($A592,PlotNumber,0),MATCH(B$3,PlotTitles,0)))),"",ISBLANK(INDEX(PlotData,MATCH($A592,PlotNumber,0),MATCH(D$3,PlotTitles,0))),$AB$7,TRUE,"")</f>
        <v/>
      </c>
      <c r="E592" s="104" t="str" cm="1">
        <f t="array" ref="E592">_xlfn.IFS(AND(A592&gt;NumberOfPlots,ISBLANK(INDEX(PlotData,MATCH($A592,PlotNumber,0),MATCH(B$3,PlotTitles,0)))),"",ISBLANK(INDEX(PlotData,MATCH($A592,PlotNumber,0),MATCH(E$3,PlotTitles,0))),$AB$8,TRUE,"")</f>
        <v/>
      </c>
      <c r="F592" s="104" t="str" cm="1">
        <f t="array" ref="F592">_xlfn.IFS(AND(A592&gt;NumberOfPlots,ISBLANK(INDEX(PlotData,MATCH($A592,PlotNumber,0),MATCH(B$3,PlotTitles,0)))),"",ISBLANK(INDEX(PlotData,MATCH($A592,PlotNumber,0),MATCH(F$3,PlotTitles,0))),$AB$9,TRUE,"")</f>
        <v/>
      </c>
      <c r="G592" s="104" t="str" cm="1">
        <f t="array" ref="G592">_xlfn.IFS(AND(A592&gt;NumberOfPlots,ISBLANK(INDEX(PlotData,MATCH($A592,PlotNumber,0),MATCH(B$3,PlotTitles,0)))),"",ISBLANK(INDEX(PlotData,MATCH($A592,PlotNumber,0),MATCH(G$3,PlotTitles,0))),$AB$10,TRUE,"")</f>
        <v/>
      </c>
      <c r="H592" s="104" t="str" cm="1">
        <f t="array" ref="H592">_xlfn.IFS(AND(A592&gt;NumberOfPlots,ISBLANK(INDEX(PlotData,MATCH($A592,PlotNumber,0),MATCH(B$3,PlotTitles,0)))),"",AND(ISBLANK(INDEX(PlotData,MATCH($A592,PlotNumber,0),MATCH(H$3,PlotTitles,0)))=FALSE,INDEX(PlotData,MATCH($A592,PlotNumber,0),MATCH(H$3,PlotTitles,0))&lt;500), $AB$11,TRUE,"")</f>
        <v/>
      </c>
      <c r="I592" s="104" t="str" cm="1">
        <f t="array" ref="I592">_xlfn.IFS(AND(A592&gt;NumberOfPlots,ISBLANK(INDEX(PlotData,MATCH($A592,PlotNumber,0),MATCH(B$3,PlotTitles,0)))),"",ISBLANK(INDEX(PlotData,MATCH($A592,PlotNumber,0),MATCH(I$3,PlotTitles,0))),$AB$12,TRUE,"")</f>
        <v/>
      </c>
      <c r="J592" s="104" t="str" cm="1">
        <f t="array" ref="J592">_xlfn.IFS(AND(A592&gt;NumberOfPlots,ISBLANK(INDEX(PlotData,MATCH($A592,PlotNumber,0),MATCH(B$3,PlotTitles,0)))),"",ISBLANK(INDEX(PlotData,MATCH($A592,PlotNumber,0),MATCH(J$3,PlotTitles,0))),$AB$13,TRUE,"")</f>
        <v/>
      </c>
      <c r="K592" s="182" t="str">
        <f t="shared" ca="1" si="27"/>
        <v/>
      </c>
      <c r="L592" s="104" t="str" cm="1">
        <f t="array" ref="L592">_xlfn.IFS(OR(ISBLANK(StartDateMonth),ISBLANK(StartDateYear)),"",AND(A592&gt;NumberOfPlots,ISBLANK(INDEX(PlotData,MATCH($A592,PlotNumber,0),MATCH(B$3,PlotTitles,0)))),"",ISBLANK(INDEX(PlotData,MATCH($A592,PlotNumber,0),MATCH(I$3,PlotTitles,0))),"",(DATEVALUE(INDEX(PlotData,MATCH($A592,PlotNumber,0),MATCH(I$3,PlotTitles,0))&amp;INDEX(PlotData,MATCH($A592,PlotNumber,0),MATCH(J$3,PlotTitles,0))))&lt;DATEVALUE(StartDateMonth&amp;StartDateYear),$AB$15,TRUE,"")</f>
        <v/>
      </c>
      <c r="M592" s="104" t="str" cm="1">
        <f t="array" ref="M592">_xlfn.IFS(OR(ISBLANK(StartDateMonth),ISBLANK(StartDateYear)),"",AND(A592&gt;NumberOfPlots,ISBLANK(INDEX(PlotData,MATCH($A592,PlotNumber,0),MATCH(B$3,PlotTitles,0)))),"",ISBLANK(INDEX(PlotData,MATCH($A592,PlotNumber,0),MATCH(I$3,PlotTitles,0))),"",CompletionMonth="","",(DATEVALUE(INDEX(PlotData,MATCH($A592,PlotNumber,0),MATCH(I$3,PlotTitles,0))&amp;INDEX(PlotData,MATCH($A592,PlotNumber,0),MATCH(J$3,PlotTitles,0))))&gt;(DATEVALUE(CompletionMonth&amp;CompletionYear)),$AB$16,TRUE,"")</f>
        <v/>
      </c>
      <c r="N592" s="104" t="str" cm="1">
        <f t="array" ref="N592">_xlfn.IFS(AND(A592&gt;NumberOfPlots,ISBLANK(INDEX(PlotData,MATCH($A592,PlotNumber,0),MATCH(B$3,PlotTitles,0)))),"",ISBLANK(INDEX(PlotData,MATCH($A592,PlotNumber,0),MATCH(N$3,PlotTitles,0))),$AB$17,TRUE,"")</f>
        <v/>
      </c>
      <c r="O592" s="104" t="str" cm="1">
        <f t="array" ref="O592">_xlfn.IFS(AND(A592&gt;NumberOfPlots,ISBLANK(INDEX(PlotData,MATCH($A592,PlotNumber,0),MATCH(B$3,PlotTitles,0)))),"",ISBLANK(INDEX(PlotData,MATCH($A592,PlotNumber,0),MATCH(O$3,PlotTitles,0))),$AB$18,TRUE,"")</f>
        <v/>
      </c>
      <c r="P592" s="182" t="str">
        <f t="shared" ca="1" si="28"/>
        <v/>
      </c>
      <c r="Q592" s="104" t="str" cm="1">
        <f t="array" ref="Q592">_xlfn.IFS(AND(A592&gt;NumberOfPlots,ISBLANK(INDEX(PlotData,MATCH($A592,PlotNumber,0),MATCH(B$3,PlotTitles,0)))),"",ISBLANK(INDEX(PlotData,MATCH($A592,PlotNumber,0),MATCH(N$3,PlotTitles,0))),"",(DATEVALUE(INDEX(PlotData,MATCH($A592,PlotNumber,0),MATCH(N$3,PlotTitles,0))&amp;INDEX(PlotData,MATCH($A592,PlotNumber,0),MATCH(O$3,PlotTitles,0))))&lt;(DATEVALUE(INDEX(PlotData,MATCH($A592,PlotNumber,0),MATCH(I$3,PlotTitles,0))&amp;INDEX(PlotData,MATCH($A592,PlotNumber,0),MATCH(J$3,PlotTitles,0)))),$AB$20,TRUE,"")</f>
        <v/>
      </c>
      <c r="R592" s="104" t="str" cm="1">
        <f t="array" ref="R592">_xlfn.IFS(OR(ISBLANK(StartDateMonth),ISBLANK(StartDateYear)),"",AND(A592&gt;NumberOfPlots,ISBLANK(INDEX(PlotData,MATCH($A592,PlotNumber,0),MATCH(B$3,PlotTitles,0)))),"",ISBLANK(INDEX(PlotData,MATCH($A592,PlotNumber,0),MATCH(N$3,PlotTitles,0))),"",CompletionMonth="","",(DATEVALUE(INDEX(PlotData,MATCH($A592,PlotNumber,0),MATCH(N$3,PlotTitles,0))&amp;INDEX(PlotData,MATCH($A592,PlotNumber,0),MATCH(O$3,PlotTitles,0))))&gt;(DATEVALUE(CompletionMonth&amp;CompletionYear)),$AB$21,TRUE,"")</f>
        <v/>
      </c>
      <c r="S592" s="104" t="str" cm="1">
        <f t="array" ref="S592">_xlfn.IFS(AND(A592&gt;NumberOfPlots,ISBLANK(INDEX(PlotData,MATCH($A592,PlotNumber,0),MATCH(B$3,PlotTitles,0)))),"",OR(AND(INDEX(PlotData,MATCH($A592,PlotNumber,0),MATCH("Tenure",PlotTitles,0))="Open market housing",INDEX(PlotData,MATCH($A592,PlotNumber,0),MATCH("Tenure detail",PlotTitles,0))="Private rented sector"),INDEX(PlotData,MATCH($A592,PlotNumber,0),MATCH("Tenure",PlotTitles,0))="Affordable rent"),"",ISNUMBER(INDEX(PlotData,MATCH($A592,PlotNumber,0),MATCH(S$3,PlotTitles,0)))=FALSE, $AB$22,TRUE,"")</f>
        <v/>
      </c>
      <c r="T592" s="104" t="str" cm="1">
        <f t="array" ref="T592">_xlfn.IFS(AND(A592&gt;NumberOfPlots,ISBLANK(INDEX(PlotData,MATCH($A592,PlotNumber,0),MATCH(B$3,PlotTitles,0)))),"",OR(AND(INDEX(PlotData,MATCH($A592,PlotNumber,0),MATCH("Tenure",PlotTitles,0))="Open market housing",INDEX(PlotData,MATCH($A592,PlotNumber,0),MATCH("Tenure detail",PlotTitles,0))="Private rented sector"),INDEX(PlotData,MATCH($A592,PlotNumber,0),MATCH("Tenure",PlotTitles,0))="Affordable rent"),"",INDEX(PlotData,MATCH($A592,PlotNumber,0),MATCH(S$3,PlotTitles,0))&lt;10000, $AB$23,TRUE,"")</f>
        <v/>
      </c>
      <c r="U592" s="104" t="str" cm="1">
        <f t="array" ref="U592">_xlfn.IFS(AND(A592&gt;NumberOfPlots,ISBLANK(INDEX(PlotData,MATCH($A592,PlotNumber,0),MATCH(B$3,PlotTitles,0)))),"",NOT(OR(AND(INDEX(PlotData,MATCH($A592,PlotNumber,0),MATCH("Tenure",PlotTitles,0))="Open market housing",INDEX(PlotData,MATCH($A592,PlotNumber,0),MATCH("Tenure detail",PlotTitles,0))="Private rented sector"),INDEX(PlotData,MATCH($A592,PlotNumber,0),MATCH("Tenure",PlotTitles,0))="Affordable rent")),"",NOT(INDEX(PlotData,MATCH($A592,PlotNumber,0),MATCH(S$3,PlotTitles,0))=0), $AB$24,TRUE,"")</f>
        <v/>
      </c>
      <c r="V592" s="114" t="str" cm="1">
        <f t="array" aca="1" ref="V592" ca="1">_xlfn.IFS(ISBLANK(NumberOfPlots),"Enter the number of homes on the 1_SetUp sheet",AND(A592&gt;NumberOfPlots,ISBLANK(INDEX(PlotData,MATCH($A592,PlotNumber,0),MATCH(B$3,PlotTitles,0)))),"No error",NOT(B592=""),B592,NOT(C592=""),C592,NOT(D592=""),D592,NOT(E592=""),E592,NOT(F592=""),F592,NOT(G592=""),G592,NOT(H592=""),H592,NOT(I592=""),I592,NOT(J592=""),J592,NOT(K592=""),K592,NOT(L592=""),L592,NOT(M592=""),M592,NOT(N592=""),N592,NOT(O592=""),O592,NOT(P592=""),P592,NOT(Q592=""),Q592,NOT(R592=""),R592,NOT(S592=""),S592,NOT(T592=""),T592,NOT(U592=""),U592,TRUE,"No error")</f>
        <v>Enter the number of homes on the 1_SetUp sheet</v>
      </c>
      <c r="W592" s="114" t="str">
        <f t="shared" ca="1" si="29"/>
        <v xml:space="preserve">The Borrower has not addressed the following error messages for Home ID 588: </v>
      </c>
    </row>
    <row r="593" spans="1:23">
      <c r="A593" s="123">
        <v>589</v>
      </c>
      <c r="B593" s="104" t="str" cm="1">
        <f t="array" ref="B593">_xlfn.IFS(AND(A593&gt;NumberOfPlots,ISBLANK(INDEX(PlotData,MATCH($A593,PlotNumber,0),MATCH(B$3,PlotTitles,0)))),"",ISNUMBER(INDEX(PlotData,MATCH($A593,PlotNumber,0),MATCH(B$3,PlotTitles,0)))=FALSE, $AB$5,TRUE,"")</f>
        <v/>
      </c>
      <c r="C593" s="104" t="str" cm="1">
        <f t="array" ref="C593">_xlfn.IFS(AND(A593&gt;NumberOfPlots,ISBLANK(INDEX(PlotData,MATCH($A593,PlotNumber,0),MATCH(B$3,PlotTitles,0)))),"",ISBLANK(INDEX(PlotData,MATCH($A593,PlotNumber,0),MATCH(C$3,PlotTitles,0))),$AB$6,TRUE,"")</f>
        <v/>
      </c>
      <c r="D593" s="104" t="str" cm="1">
        <f t="array" ref="D593">_xlfn.IFS(AND(A593&gt;NumberOfPlots,ISBLANK(INDEX(PlotData,MATCH($A593,PlotNumber,0),MATCH(B$3,PlotTitles,0)))),"",ISBLANK(INDEX(PlotData,MATCH($A593,PlotNumber,0),MATCH(D$3,PlotTitles,0))),$AB$7,TRUE,"")</f>
        <v/>
      </c>
      <c r="E593" s="104" t="str" cm="1">
        <f t="array" ref="E593">_xlfn.IFS(AND(A593&gt;NumberOfPlots,ISBLANK(INDEX(PlotData,MATCH($A593,PlotNumber,0),MATCH(B$3,PlotTitles,0)))),"",ISBLANK(INDEX(PlotData,MATCH($A593,PlotNumber,0),MATCH(E$3,PlotTitles,0))),$AB$8,TRUE,"")</f>
        <v/>
      </c>
      <c r="F593" s="104" t="str" cm="1">
        <f t="array" ref="F593">_xlfn.IFS(AND(A593&gt;NumberOfPlots,ISBLANK(INDEX(PlotData,MATCH($A593,PlotNumber,0),MATCH(B$3,PlotTitles,0)))),"",ISBLANK(INDEX(PlotData,MATCH($A593,PlotNumber,0),MATCH(F$3,PlotTitles,0))),$AB$9,TRUE,"")</f>
        <v/>
      </c>
      <c r="G593" s="104" t="str" cm="1">
        <f t="array" ref="G593">_xlfn.IFS(AND(A593&gt;NumberOfPlots,ISBLANK(INDEX(PlotData,MATCH($A593,PlotNumber,0),MATCH(B$3,PlotTitles,0)))),"",ISBLANK(INDEX(PlotData,MATCH($A593,PlotNumber,0),MATCH(G$3,PlotTitles,0))),$AB$10,TRUE,"")</f>
        <v/>
      </c>
      <c r="H593" s="104" t="str" cm="1">
        <f t="array" ref="H593">_xlfn.IFS(AND(A593&gt;NumberOfPlots,ISBLANK(INDEX(PlotData,MATCH($A593,PlotNumber,0),MATCH(B$3,PlotTitles,0)))),"",AND(ISBLANK(INDEX(PlotData,MATCH($A593,PlotNumber,0),MATCH(H$3,PlotTitles,0)))=FALSE,INDEX(PlotData,MATCH($A593,PlotNumber,0),MATCH(H$3,PlotTitles,0))&lt;500), $AB$11,TRUE,"")</f>
        <v/>
      </c>
      <c r="I593" s="104" t="str" cm="1">
        <f t="array" ref="I593">_xlfn.IFS(AND(A593&gt;NumberOfPlots,ISBLANK(INDEX(PlotData,MATCH($A593,PlotNumber,0),MATCH(B$3,PlotTitles,0)))),"",ISBLANK(INDEX(PlotData,MATCH($A593,PlotNumber,0),MATCH(I$3,PlotTitles,0))),$AB$12,TRUE,"")</f>
        <v/>
      </c>
      <c r="J593" s="104" t="str" cm="1">
        <f t="array" ref="J593">_xlfn.IFS(AND(A593&gt;NumberOfPlots,ISBLANK(INDEX(PlotData,MATCH($A593,PlotNumber,0),MATCH(B$3,PlotTitles,0)))),"",ISBLANK(INDEX(PlotData,MATCH($A593,PlotNumber,0),MATCH(J$3,PlotTitles,0))),$AB$13,TRUE,"")</f>
        <v/>
      </c>
      <c r="K593" s="182" t="str">
        <f t="shared" ca="1" si="27"/>
        <v/>
      </c>
      <c r="L593" s="104" t="str" cm="1">
        <f t="array" ref="L593">_xlfn.IFS(OR(ISBLANK(StartDateMonth),ISBLANK(StartDateYear)),"",AND(A593&gt;NumberOfPlots,ISBLANK(INDEX(PlotData,MATCH($A593,PlotNumber,0),MATCH(B$3,PlotTitles,0)))),"",ISBLANK(INDEX(PlotData,MATCH($A593,PlotNumber,0),MATCH(I$3,PlotTitles,0))),"",(DATEVALUE(INDEX(PlotData,MATCH($A593,PlotNumber,0),MATCH(I$3,PlotTitles,0))&amp;INDEX(PlotData,MATCH($A593,PlotNumber,0),MATCH(J$3,PlotTitles,0))))&lt;DATEVALUE(StartDateMonth&amp;StartDateYear),$AB$15,TRUE,"")</f>
        <v/>
      </c>
      <c r="M593" s="104" t="str" cm="1">
        <f t="array" ref="M593">_xlfn.IFS(OR(ISBLANK(StartDateMonth),ISBLANK(StartDateYear)),"",AND(A593&gt;NumberOfPlots,ISBLANK(INDEX(PlotData,MATCH($A593,PlotNumber,0),MATCH(B$3,PlotTitles,0)))),"",ISBLANK(INDEX(PlotData,MATCH($A593,PlotNumber,0),MATCH(I$3,PlotTitles,0))),"",CompletionMonth="","",(DATEVALUE(INDEX(PlotData,MATCH($A593,PlotNumber,0),MATCH(I$3,PlotTitles,0))&amp;INDEX(PlotData,MATCH($A593,PlotNumber,0),MATCH(J$3,PlotTitles,0))))&gt;(DATEVALUE(CompletionMonth&amp;CompletionYear)),$AB$16,TRUE,"")</f>
        <v/>
      </c>
      <c r="N593" s="104" t="str" cm="1">
        <f t="array" ref="N593">_xlfn.IFS(AND(A593&gt;NumberOfPlots,ISBLANK(INDEX(PlotData,MATCH($A593,PlotNumber,0),MATCH(B$3,PlotTitles,0)))),"",ISBLANK(INDEX(PlotData,MATCH($A593,PlotNumber,0),MATCH(N$3,PlotTitles,0))),$AB$17,TRUE,"")</f>
        <v/>
      </c>
      <c r="O593" s="104" t="str" cm="1">
        <f t="array" ref="O593">_xlfn.IFS(AND(A593&gt;NumberOfPlots,ISBLANK(INDEX(PlotData,MATCH($A593,PlotNumber,0),MATCH(B$3,PlotTitles,0)))),"",ISBLANK(INDEX(PlotData,MATCH($A593,PlotNumber,0),MATCH(O$3,PlotTitles,0))),$AB$18,TRUE,"")</f>
        <v/>
      </c>
      <c r="P593" s="182" t="str">
        <f t="shared" ca="1" si="28"/>
        <v/>
      </c>
      <c r="Q593" s="104" t="str" cm="1">
        <f t="array" ref="Q593">_xlfn.IFS(AND(A593&gt;NumberOfPlots,ISBLANK(INDEX(PlotData,MATCH($A593,PlotNumber,0),MATCH(B$3,PlotTitles,0)))),"",ISBLANK(INDEX(PlotData,MATCH($A593,PlotNumber,0),MATCH(N$3,PlotTitles,0))),"",(DATEVALUE(INDEX(PlotData,MATCH($A593,PlotNumber,0),MATCH(N$3,PlotTitles,0))&amp;INDEX(PlotData,MATCH($A593,PlotNumber,0),MATCH(O$3,PlotTitles,0))))&lt;(DATEVALUE(INDEX(PlotData,MATCH($A593,PlotNumber,0),MATCH(I$3,PlotTitles,0))&amp;INDEX(PlotData,MATCH($A593,PlotNumber,0),MATCH(J$3,PlotTitles,0)))),$AB$20,TRUE,"")</f>
        <v/>
      </c>
      <c r="R593" s="104" t="str" cm="1">
        <f t="array" ref="R593">_xlfn.IFS(OR(ISBLANK(StartDateMonth),ISBLANK(StartDateYear)),"",AND(A593&gt;NumberOfPlots,ISBLANK(INDEX(PlotData,MATCH($A593,PlotNumber,0),MATCH(B$3,PlotTitles,0)))),"",ISBLANK(INDEX(PlotData,MATCH($A593,PlotNumber,0),MATCH(N$3,PlotTitles,0))),"",CompletionMonth="","",(DATEVALUE(INDEX(PlotData,MATCH($A593,PlotNumber,0),MATCH(N$3,PlotTitles,0))&amp;INDEX(PlotData,MATCH($A593,PlotNumber,0),MATCH(O$3,PlotTitles,0))))&gt;(DATEVALUE(CompletionMonth&amp;CompletionYear)),$AB$21,TRUE,"")</f>
        <v/>
      </c>
      <c r="S593" s="104" t="str" cm="1">
        <f t="array" ref="S593">_xlfn.IFS(AND(A593&gt;NumberOfPlots,ISBLANK(INDEX(PlotData,MATCH($A593,PlotNumber,0),MATCH(B$3,PlotTitles,0)))),"",OR(AND(INDEX(PlotData,MATCH($A593,PlotNumber,0),MATCH("Tenure",PlotTitles,0))="Open market housing",INDEX(PlotData,MATCH($A593,PlotNumber,0),MATCH("Tenure detail",PlotTitles,0))="Private rented sector"),INDEX(PlotData,MATCH($A593,PlotNumber,0),MATCH("Tenure",PlotTitles,0))="Affordable rent"),"",ISNUMBER(INDEX(PlotData,MATCH($A593,PlotNumber,0),MATCH(S$3,PlotTitles,0)))=FALSE, $AB$22,TRUE,"")</f>
        <v/>
      </c>
      <c r="T593" s="104" t="str" cm="1">
        <f t="array" ref="T593">_xlfn.IFS(AND(A593&gt;NumberOfPlots,ISBLANK(INDEX(PlotData,MATCH($A593,PlotNumber,0),MATCH(B$3,PlotTitles,0)))),"",OR(AND(INDEX(PlotData,MATCH($A593,PlotNumber,0),MATCH("Tenure",PlotTitles,0))="Open market housing",INDEX(PlotData,MATCH($A593,PlotNumber,0),MATCH("Tenure detail",PlotTitles,0))="Private rented sector"),INDEX(PlotData,MATCH($A593,PlotNumber,0),MATCH("Tenure",PlotTitles,0))="Affordable rent"),"",INDEX(PlotData,MATCH($A593,PlotNumber,0),MATCH(S$3,PlotTitles,0))&lt;10000, $AB$23,TRUE,"")</f>
        <v/>
      </c>
      <c r="U593" s="104" t="str" cm="1">
        <f t="array" ref="U593">_xlfn.IFS(AND(A593&gt;NumberOfPlots,ISBLANK(INDEX(PlotData,MATCH($A593,PlotNumber,0),MATCH(B$3,PlotTitles,0)))),"",NOT(OR(AND(INDEX(PlotData,MATCH($A593,PlotNumber,0),MATCH("Tenure",PlotTitles,0))="Open market housing",INDEX(PlotData,MATCH($A593,PlotNumber,0),MATCH("Tenure detail",PlotTitles,0))="Private rented sector"),INDEX(PlotData,MATCH($A593,PlotNumber,0),MATCH("Tenure",PlotTitles,0))="Affordable rent")),"",NOT(INDEX(PlotData,MATCH($A593,PlotNumber,0),MATCH(S$3,PlotTitles,0))=0), $AB$24,TRUE,"")</f>
        <v/>
      </c>
      <c r="V593" s="114" t="str" cm="1">
        <f t="array" aca="1" ref="V593" ca="1">_xlfn.IFS(ISBLANK(NumberOfPlots),"Enter the number of homes on the 1_SetUp sheet",AND(A593&gt;NumberOfPlots,ISBLANK(INDEX(PlotData,MATCH($A593,PlotNumber,0),MATCH(B$3,PlotTitles,0)))),"No error",NOT(B593=""),B593,NOT(C593=""),C593,NOT(D593=""),D593,NOT(E593=""),E593,NOT(F593=""),F593,NOT(G593=""),G593,NOT(H593=""),H593,NOT(I593=""),I593,NOT(J593=""),J593,NOT(K593=""),K593,NOT(L593=""),L593,NOT(M593=""),M593,NOT(N593=""),N593,NOT(O593=""),O593,NOT(P593=""),P593,NOT(Q593=""),Q593,NOT(R593=""),R593,NOT(S593=""),S593,NOT(T593=""),T593,NOT(U593=""),U593,TRUE,"No error")</f>
        <v>Enter the number of homes on the 1_SetUp sheet</v>
      </c>
      <c r="W593" s="114" t="str">
        <f t="shared" ca="1" si="29"/>
        <v xml:space="preserve">The Borrower has not addressed the following error messages for Home ID 589: </v>
      </c>
    </row>
    <row r="594" spans="1:23">
      <c r="A594" s="123">
        <v>590</v>
      </c>
      <c r="B594" s="104" t="str" cm="1">
        <f t="array" ref="B594">_xlfn.IFS(AND(A594&gt;NumberOfPlots,ISBLANK(INDEX(PlotData,MATCH($A594,PlotNumber,0),MATCH(B$3,PlotTitles,0)))),"",ISNUMBER(INDEX(PlotData,MATCH($A594,PlotNumber,0),MATCH(B$3,PlotTitles,0)))=FALSE, $AB$5,TRUE,"")</f>
        <v/>
      </c>
      <c r="C594" s="104" t="str" cm="1">
        <f t="array" ref="C594">_xlfn.IFS(AND(A594&gt;NumberOfPlots,ISBLANK(INDEX(PlotData,MATCH($A594,PlotNumber,0),MATCH(B$3,PlotTitles,0)))),"",ISBLANK(INDEX(PlotData,MATCH($A594,PlotNumber,0),MATCH(C$3,PlotTitles,0))),$AB$6,TRUE,"")</f>
        <v/>
      </c>
      <c r="D594" s="104" t="str" cm="1">
        <f t="array" ref="D594">_xlfn.IFS(AND(A594&gt;NumberOfPlots,ISBLANK(INDEX(PlotData,MATCH($A594,PlotNumber,0),MATCH(B$3,PlotTitles,0)))),"",ISBLANK(INDEX(PlotData,MATCH($A594,PlotNumber,0),MATCH(D$3,PlotTitles,0))),$AB$7,TRUE,"")</f>
        <v/>
      </c>
      <c r="E594" s="104" t="str" cm="1">
        <f t="array" ref="E594">_xlfn.IFS(AND(A594&gt;NumberOfPlots,ISBLANK(INDEX(PlotData,MATCH($A594,PlotNumber,0),MATCH(B$3,PlotTitles,0)))),"",ISBLANK(INDEX(PlotData,MATCH($A594,PlotNumber,0),MATCH(E$3,PlotTitles,0))),$AB$8,TRUE,"")</f>
        <v/>
      </c>
      <c r="F594" s="104" t="str" cm="1">
        <f t="array" ref="F594">_xlfn.IFS(AND(A594&gt;NumberOfPlots,ISBLANK(INDEX(PlotData,MATCH($A594,PlotNumber,0),MATCH(B$3,PlotTitles,0)))),"",ISBLANK(INDEX(PlotData,MATCH($A594,PlotNumber,0),MATCH(F$3,PlotTitles,0))),$AB$9,TRUE,"")</f>
        <v/>
      </c>
      <c r="G594" s="104" t="str" cm="1">
        <f t="array" ref="G594">_xlfn.IFS(AND(A594&gt;NumberOfPlots,ISBLANK(INDEX(PlotData,MATCH($A594,PlotNumber,0),MATCH(B$3,PlotTitles,0)))),"",ISBLANK(INDEX(PlotData,MATCH($A594,PlotNumber,0),MATCH(G$3,PlotTitles,0))),$AB$10,TRUE,"")</f>
        <v/>
      </c>
      <c r="H594" s="104" t="str" cm="1">
        <f t="array" ref="H594">_xlfn.IFS(AND(A594&gt;NumberOfPlots,ISBLANK(INDEX(PlotData,MATCH($A594,PlotNumber,0),MATCH(B$3,PlotTitles,0)))),"",AND(ISBLANK(INDEX(PlotData,MATCH($A594,PlotNumber,0),MATCH(H$3,PlotTitles,0)))=FALSE,INDEX(PlotData,MATCH($A594,PlotNumber,0),MATCH(H$3,PlotTitles,0))&lt;500), $AB$11,TRUE,"")</f>
        <v/>
      </c>
      <c r="I594" s="104" t="str" cm="1">
        <f t="array" ref="I594">_xlfn.IFS(AND(A594&gt;NumberOfPlots,ISBLANK(INDEX(PlotData,MATCH($A594,PlotNumber,0),MATCH(B$3,PlotTitles,0)))),"",ISBLANK(INDEX(PlotData,MATCH($A594,PlotNumber,0),MATCH(I$3,PlotTitles,0))),$AB$12,TRUE,"")</f>
        <v/>
      </c>
      <c r="J594" s="104" t="str" cm="1">
        <f t="array" ref="J594">_xlfn.IFS(AND(A594&gt;NumberOfPlots,ISBLANK(INDEX(PlotData,MATCH($A594,PlotNumber,0),MATCH(B$3,PlotTitles,0)))),"",ISBLANK(INDEX(PlotData,MATCH($A594,PlotNumber,0),MATCH(J$3,PlotTitles,0))),$AB$13,TRUE,"")</f>
        <v/>
      </c>
      <c r="K594" s="182" t="str">
        <f t="shared" ca="1" si="27"/>
        <v/>
      </c>
      <c r="L594" s="104" t="str" cm="1">
        <f t="array" ref="L594">_xlfn.IFS(OR(ISBLANK(StartDateMonth),ISBLANK(StartDateYear)),"",AND(A594&gt;NumberOfPlots,ISBLANK(INDEX(PlotData,MATCH($A594,PlotNumber,0),MATCH(B$3,PlotTitles,0)))),"",ISBLANK(INDEX(PlotData,MATCH($A594,PlotNumber,0),MATCH(I$3,PlotTitles,0))),"",(DATEVALUE(INDEX(PlotData,MATCH($A594,PlotNumber,0),MATCH(I$3,PlotTitles,0))&amp;INDEX(PlotData,MATCH($A594,PlotNumber,0),MATCH(J$3,PlotTitles,0))))&lt;DATEVALUE(StartDateMonth&amp;StartDateYear),$AB$15,TRUE,"")</f>
        <v/>
      </c>
      <c r="M594" s="104" t="str" cm="1">
        <f t="array" ref="M594">_xlfn.IFS(OR(ISBLANK(StartDateMonth),ISBLANK(StartDateYear)),"",AND(A594&gt;NumberOfPlots,ISBLANK(INDEX(PlotData,MATCH($A594,PlotNumber,0),MATCH(B$3,PlotTitles,0)))),"",ISBLANK(INDEX(PlotData,MATCH($A594,PlotNumber,0),MATCH(I$3,PlotTitles,0))),"",CompletionMonth="","",(DATEVALUE(INDEX(PlotData,MATCH($A594,PlotNumber,0),MATCH(I$3,PlotTitles,0))&amp;INDEX(PlotData,MATCH($A594,PlotNumber,0),MATCH(J$3,PlotTitles,0))))&gt;(DATEVALUE(CompletionMonth&amp;CompletionYear)),$AB$16,TRUE,"")</f>
        <v/>
      </c>
      <c r="N594" s="104" t="str" cm="1">
        <f t="array" ref="N594">_xlfn.IFS(AND(A594&gt;NumberOfPlots,ISBLANK(INDEX(PlotData,MATCH($A594,PlotNumber,0),MATCH(B$3,PlotTitles,0)))),"",ISBLANK(INDEX(PlotData,MATCH($A594,PlotNumber,0),MATCH(N$3,PlotTitles,0))),$AB$17,TRUE,"")</f>
        <v/>
      </c>
      <c r="O594" s="104" t="str" cm="1">
        <f t="array" ref="O594">_xlfn.IFS(AND(A594&gt;NumberOfPlots,ISBLANK(INDEX(PlotData,MATCH($A594,PlotNumber,0),MATCH(B$3,PlotTitles,0)))),"",ISBLANK(INDEX(PlotData,MATCH($A594,PlotNumber,0),MATCH(O$3,PlotTitles,0))),$AB$18,TRUE,"")</f>
        <v/>
      </c>
      <c r="P594" s="182" t="str">
        <f t="shared" ca="1" si="28"/>
        <v/>
      </c>
      <c r="Q594" s="104" t="str" cm="1">
        <f t="array" ref="Q594">_xlfn.IFS(AND(A594&gt;NumberOfPlots,ISBLANK(INDEX(PlotData,MATCH($A594,PlotNumber,0),MATCH(B$3,PlotTitles,0)))),"",ISBLANK(INDEX(PlotData,MATCH($A594,PlotNumber,0),MATCH(N$3,PlotTitles,0))),"",(DATEVALUE(INDEX(PlotData,MATCH($A594,PlotNumber,0),MATCH(N$3,PlotTitles,0))&amp;INDEX(PlotData,MATCH($A594,PlotNumber,0),MATCH(O$3,PlotTitles,0))))&lt;(DATEVALUE(INDEX(PlotData,MATCH($A594,PlotNumber,0),MATCH(I$3,PlotTitles,0))&amp;INDEX(PlotData,MATCH($A594,PlotNumber,0),MATCH(J$3,PlotTitles,0)))),$AB$20,TRUE,"")</f>
        <v/>
      </c>
      <c r="R594" s="104" t="str" cm="1">
        <f t="array" ref="R594">_xlfn.IFS(OR(ISBLANK(StartDateMonth),ISBLANK(StartDateYear)),"",AND(A594&gt;NumberOfPlots,ISBLANK(INDEX(PlotData,MATCH($A594,PlotNumber,0),MATCH(B$3,PlotTitles,0)))),"",ISBLANK(INDEX(PlotData,MATCH($A594,PlotNumber,0),MATCH(N$3,PlotTitles,0))),"",CompletionMonth="","",(DATEVALUE(INDEX(PlotData,MATCH($A594,PlotNumber,0),MATCH(N$3,PlotTitles,0))&amp;INDEX(PlotData,MATCH($A594,PlotNumber,0),MATCH(O$3,PlotTitles,0))))&gt;(DATEVALUE(CompletionMonth&amp;CompletionYear)),$AB$21,TRUE,"")</f>
        <v/>
      </c>
      <c r="S594" s="104" t="str" cm="1">
        <f t="array" ref="S594">_xlfn.IFS(AND(A594&gt;NumberOfPlots,ISBLANK(INDEX(PlotData,MATCH($A594,PlotNumber,0),MATCH(B$3,PlotTitles,0)))),"",OR(AND(INDEX(PlotData,MATCH($A594,PlotNumber,0),MATCH("Tenure",PlotTitles,0))="Open market housing",INDEX(PlotData,MATCH($A594,PlotNumber,0),MATCH("Tenure detail",PlotTitles,0))="Private rented sector"),INDEX(PlotData,MATCH($A594,PlotNumber,0),MATCH("Tenure",PlotTitles,0))="Affordable rent"),"",ISNUMBER(INDEX(PlotData,MATCH($A594,PlotNumber,0),MATCH(S$3,PlotTitles,0)))=FALSE, $AB$22,TRUE,"")</f>
        <v/>
      </c>
      <c r="T594" s="104" t="str" cm="1">
        <f t="array" ref="T594">_xlfn.IFS(AND(A594&gt;NumberOfPlots,ISBLANK(INDEX(PlotData,MATCH($A594,PlotNumber,0),MATCH(B$3,PlotTitles,0)))),"",OR(AND(INDEX(PlotData,MATCH($A594,PlotNumber,0),MATCH("Tenure",PlotTitles,0))="Open market housing",INDEX(PlotData,MATCH($A594,PlotNumber,0),MATCH("Tenure detail",PlotTitles,0))="Private rented sector"),INDEX(PlotData,MATCH($A594,PlotNumber,0),MATCH("Tenure",PlotTitles,0))="Affordable rent"),"",INDEX(PlotData,MATCH($A594,PlotNumber,0),MATCH(S$3,PlotTitles,0))&lt;10000, $AB$23,TRUE,"")</f>
        <v/>
      </c>
      <c r="U594" s="104" t="str" cm="1">
        <f t="array" ref="U594">_xlfn.IFS(AND(A594&gt;NumberOfPlots,ISBLANK(INDEX(PlotData,MATCH($A594,PlotNumber,0),MATCH(B$3,PlotTitles,0)))),"",NOT(OR(AND(INDEX(PlotData,MATCH($A594,PlotNumber,0),MATCH("Tenure",PlotTitles,0))="Open market housing",INDEX(PlotData,MATCH($A594,PlotNumber,0),MATCH("Tenure detail",PlotTitles,0))="Private rented sector"),INDEX(PlotData,MATCH($A594,PlotNumber,0),MATCH("Tenure",PlotTitles,0))="Affordable rent")),"",NOT(INDEX(PlotData,MATCH($A594,PlotNumber,0),MATCH(S$3,PlotTitles,0))=0), $AB$24,TRUE,"")</f>
        <v/>
      </c>
      <c r="V594" s="114" t="str" cm="1">
        <f t="array" aca="1" ref="V594" ca="1">_xlfn.IFS(ISBLANK(NumberOfPlots),"Enter the number of homes on the 1_SetUp sheet",AND(A594&gt;NumberOfPlots,ISBLANK(INDEX(PlotData,MATCH($A594,PlotNumber,0),MATCH(B$3,PlotTitles,0)))),"No error",NOT(B594=""),B594,NOT(C594=""),C594,NOT(D594=""),D594,NOT(E594=""),E594,NOT(F594=""),F594,NOT(G594=""),G594,NOT(H594=""),H594,NOT(I594=""),I594,NOT(J594=""),J594,NOT(K594=""),K594,NOT(L594=""),L594,NOT(M594=""),M594,NOT(N594=""),N594,NOT(O594=""),O594,NOT(P594=""),P594,NOT(Q594=""),Q594,NOT(R594=""),R594,NOT(S594=""),S594,NOT(T594=""),T594,NOT(U594=""),U594,TRUE,"No error")</f>
        <v>Enter the number of homes on the 1_SetUp sheet</v>
      </c>
      <c r="W594" s="114" t="str">
        <f t="shared" ca="1" si="29"/>
        <v xml:space="preserve">The Borrower has not addressed the following error messages for Home ID 590: </v>
      </c>
    </row>
    <row r="595" spans="1:23">
      <c r="A595" s="123">
        <v>591</v>
      </c>
      <c r="B595" s="104" t="str" cm="1">
        <f t="array" ref="B595">_xlfn.IFS(AND(A595&gt;NumberOfPlots,ISBLANK(INDEX(PlotData,MATCH($A595,PlotNumber,0),MATCH(B$3,PlotTitles,0)))),"",ISNUMBER(INDEX(PlotData,MATCH($A595,PlotNumber,0),MATCH(B$3,PlotTitles,0)))=FALSE, $AB$5,TRUE,"")</f>
        <v/>
      </c>
      <c r="C595" s="104" t="str" cm="1">
        <f t="array" ref="C595">_xlfn.IFS(AND(A595&gt;NumberOfPlots,ISBLANK(INDEX(PlotData,MATCH($A595,PlotNumber,0),MATCH(B$3,PlotTitles,0)))),"",ISBLANK(INDEX(PlotData,MATCH($A595,PlotNumber,0),MATCH(C$3,PlotTitles,0))),$AB$6,TRUE,"")</f>
        <v/>
      </c>
      <c r="D595" s="104" t="str" cm="1">
        <f t="array" ref="D595">_xlfn.IFS(AND(A595&gt;NumberOfPlots,ISBLANK(INDEX(PlotData,MATCH($A595,PlotNumber,0),MATCH(B$3,PlotTitles,0)))),"",ISBLANK(INDEX(PlotData,MATCH($A595,PlotNumber,0),MATCH(D$3,PlotTitles,0))),$AB$7,TRUE,"")</f>
        <v/>
      </c>
      <c r="E595" s="104" t="str" cm="1">
        <f t="array" ref="E595">_xlfn.IFS(AND(A595&gt;NumberOfPlots,ISBLANK(INDEX(PlotData,MATCH($A595,PlotNumber,0),MATCH(B$3,PlotTitles,0)))),"",ISBLANK(INDEX(PlotData,MATCH($A595,PlotNumber,0),MATCH(E$3,PlotTitles,0))),$AB$8,TRUE,"")</f>
        <v/>
      </c>
      <c r="F595" s="104" t="str" cm="1">
        <f t="array" ref="F595">_xlfn.IFS(AND(A595&gt;NumberOfPlots,ISBLANK(INDEX(PlotData,MATCH($A595,PlotNumber,0),MATCH(B$3,PlotTitles,0)))),"",ISBLANK(INDEX(PlotData,MATCH($A595,PlotNumber,0),MATCH(F$3,PlotTitles,0))),$AB$9,TRUE,"")</f>
        <v/>
      </c>
      <c r="G595" s="104" t="str" cm="1">
        <f t="array" ref="G595">_xlfn.IFS(AND(A595&gt;NumberOfPlots,ISBLANK(INDEX(PlotData,MATCH($A595,PlotNumber,0),MATCH(B$3,PlotTitles,0)))),"",ISBLANK(INDEX(PlotData,MATCH($A595,PlotNumber,0),MATCH(G$3,PlotTitles,0))),$AB$10,TRUE,"")</f>
        <v/>
      </c>
      <c r="H595" s="104" t="str" cm="1">
        <f t="array" ref="H595">_xlfn.IFS(AND(A595&gt;NumberOfPlots,ISBLANK(INDEX(PlotData,MATCH($A595,PlotNumber,0),MATCH(B$3,PlotTitles,0)))),"",AND(ISBLANK(INDEX(PlotData,MATCH($A595,PlotNumber,0),MATCH(H$3,PlotTitles,0)))=FALSE,INDEX(PlotData,MATCH($A595,PlotNumber,0),MATCH(H$3,PlotTitles,0))&lt;500), $AB$11,TRUE,"")</f>
        <v/>
      </c>
      <c r="I595" s="104" t="str" cm="1">
        <f t="array" ref="I595">_xlfn.IFS(AND(A595&gt;NumberOfPlots,ISBLANK(INDEX(PlotData,MATCH($A595,PlotNumber,0),MATCH(B$3,PlotTitles,0)))),"",ISBLANK(INDEX(PlotData,MATCH($A595,PlotNumber,0),MATCH(I$3,PlotTitles,0))),$AB$12,TRUE,"")</f>
        <v/>
      </c>
      <c r="J595" s="104" t="str" cm="1">
        <f t="array" ref="J595">_xlfn.IFS(AND(A595&gt;NumberOfPlots,ISBLANK(INDEX(PlotData,MATCH($A595,PlotNumber,0),MATCH(B$3,PlotTitles,0)))),"",ISBLANK(INDEX(PlotData,MATCH($A595,PlotNumber,0),MATCH(J$3,PlotTitles,0))),$AB$13,TRUE,"")</f>
        <v/>
      </c>
      <c r="K595" s="182" t="str">
        <f t="shared" ca="1" si="27"/>
        <v/>
      </c>
      <c r="L595" s="104" t="str" cm="1">
        <f t="array" ref="L595">_xlfn.IFS(OR(ISBLANK(StartDateMonth),ISBLANK(StartDateYear)),"",AND(A595&gt;NumberOfPlots,ISBLANK(INDEX(PlotData,MATCH($A595,PlotNumber,0),MATCH(B$3,PlotTitles,0)))),"",ISBLANK(INDEX(PlotData,MATCH($A595,PlotNumber,0),MATCH(I$3,PlotTitles,0))),"",(DATEVALUE(INDEX(PlotData,MATCH($A595,PlotNumber,0),MATCH(I$3,PlotTitles,0))&amp;INDEX(PlotData,MATCH($A595,PlotNumber,0),MATCH(J$3,PlotTitles,0))))&lt;DATEVALUE(StartDateMonth&amp;StartDateYear),$AB$15,TRUE,"")</f>
        <v/>
      </c>
      <c r="M595" s="104" t="str" cm="1">
        <f t="array" ref="M595">_xlfn.IFS(OR(ISBLANK(StartDateMonth),ISBLANK(StartDateYear)),"",AND(A595&gt;NumberOfPlots,ISBLANK(INDEX(PlotData,MATCH($A595,PlotNumber,0),MATCH(B$3,PlotTitles,0)))),"",ISBLANK(INDEX(PlotData,MATCH($A595,PlotNumber,0),MATCH(I$3,PlotTitles,0))),"",CompletionMonth="","",(DATEVALUE(INDEX(PlotData,MATCH($A595,PlotNumber,0),MATCH(I$3,PlotTitles,0))&amp;INDEX(PlotData,MATCH($A595,PlotNumber,0),MATCH(J$3,PlotTitles,0))))&gt;(DATEVALUE(CompletionMonth&amp;CompletionYear)),$AB$16,TRUE,"")</f>
        <v/>
      </c>
      <c r="N595" s="104" t="str" cm="1">
        <f t="array" ref="N595">_xlfn.IFS(AND(A595&gt;NumberOfPlots,ISBLANK(INDEX(PlotData,MATCH($A595,PlotNumber,0),MATCH(B$3,PlotTitles,0)))),"",ISBLANK(INDEX(PlotData,MATCH($A595,PlotNumber,0),MATCH(N$3,PlotTitles,0))),$AB$17,TRUE,"")</f>
        <v/>
      </c>
      <c r="O595" s="104" t="str" cm="1">
        <f t="array" ref="O595">_xlfn.IFS(AND(A595&gt;NumberOfPlots,ISBLANK(INDEX(PlotData,MATCH($A595,PlotNumber,0),MATCH(B$3,PlotTitles,0)))),"",ISBLANK(INDEX(PlotData,MATCH($A595,PlotNumber,0),MATCH(O$3,PlotTitles,0))),$AB$18,TRUE,"")</f>
        <v/>
      </c>
      <c r="P595" s="182" t="str">
        <f t="shared" ca="1" si="28"/>
        <v/>
      </c>
      <c r="Q595" s="104" t="str" cm="1">
        <f t="array" ref="Q595">_xlfn.IFS(AND(A595&gt;NumberOfPlots,ISBLANK(INDEX(PlotData,MATCH($A595,PlotNumber,0),MATCH(B$3,PlotTitles,0)))),"",ISBLANK(INDEX(PlotData,MATCH($A595,PlotNumber,0),MATCH(N$3,PlotTitles,0))),"",(DATEVALUE(INDEX(PlotData,MATCH($A595,PlotNumber,0),MATCH(N$3,PlotTitles,0))&amp;INDEX(PlotData,MATCH($A595,PlotNumber,0),MATCH(O$3,PlotTitles,0))))&lt;(DATEVALUE(INDEX(PlotData,MATCH($A595,PlotNumber,0),MATCH(I$3,PlotTitles,0))&amp;INDEX(PlotData,MATCH($A595,PlotNumber,0),MATCH(J$3,PlotTitles,0)))),$AB$20,TRUE,"")</f>
        <v/>
      </c>
      <c r="R595" s="104" t="str" cm="1">
        <f t="array" ref="R595">_xlfn.IFS(OR(ISBLANK(StartDateMonth),ISBLANK(StartDateYear)),"",AND(A595&gt;NumberOfPlots,ISBLANK(INDEX(PlotData,MATCH($A595,PlotNumber,0),MATCH(B$3,PlotTitles,0)))),"",ISBLANK(INDEX(PlotData,MATCH($A595,PlotNumber,0),MATCH(N$3,PlotTitles,0))),"",CompletionMonth="","",(DATEVALUE(INDEX(PlotData,MATCH($A595,PlotNumber,0),MATCH(N$3,PlotTitles,0))&amp;INDEX(PlotData,MATCH($A595,PlotNumber,0),MATCH(O$3,PlotTitles,0))))&gt;(DATEVALUE(CompletionMonth&amp;CompletionYear)),$AB$21,TRUE,"")</f>
        <v/>
      </c>
      <c r="S595" s="104" t="str" cm="1">
        <f t="array" ref="S595">_xlfn.IFS(AND(A595&gt;NumberOfPlots,ISBLANK(INDEX(PlotData,MATCH($A595,PlotNumber,0),MATCH(B$3,PlotTitles,0)))),"",OR(AND(INDEX(PlotData,MATCH($A595,PlotNumber,0),MATCH("Tenure",PlotTitles,0))="Open market housing",INDEX(PlotData,MATCH($A595,PlotNumber,0),MATCH("Tenure detail",PlotTitles,0))="Private rented sector"),INDEX(PlotData,MATCH($A595,PlotNumber,0),MATCH("Tenure",PlotTitles,0))="Affordable rent"),"",ISNUMBER(INDEX(PlotData,MATCH($A595,PlotNumber,0),MATCH(S$3,PlotTitles,0)))=FALSE, $AB$22,TRUE,"")</f>
        <v/>
      </c>
      <c r="T595" s="104" t="str" cm="1">
        <f t="array" ref="T595">_xlfn.IFS(AND(A595&gt;NumberOfPlots,ISBLANK(INDEX(PlotData,MATCH($A595,PlotNumber,0),MATCH(B$3,PlotTitles,0)))),"",OR(AND(INDEX(PlotData,MATCH($A595,PlotNumber,0),MATCH("Tenure",PlotTitles,0))="Open market housing",INDEX(PlotData,MATCH($A595,PlotNumber,0),MATCH("Tenure detail",PlotTitles,0))="Private rented sector"),INDEX(PlotData,MATCH($A595,PlotNumber,0),MATCH("Tenure",PlotTitles,0))="Affordable rent"),"",INDEX(PlotData,MATCH($A595,PlotNumber,0),MATCH(S$3,PlotTitles,0))&lt;10000, $AB$23,TRUE,"")</f>
        <v/>
      </c>
      <c r="U595" s="104" t="str" cm="1">
        <f t="array" ref="U595">_xlfn.IFS(AND(A595&gt;NumberOfPlots,ISBLANK(INDEX(PlotData,MATCH($A595,PlotNumber,0),MATCH(B$3,PlotTitles,0)))),"",NOT(OR(AND(INDEX(PlotData,MATCH($A595,PlotNumber,0),MATCH("Tenure",PlotTitles,0))="Open market housing",INDEX(PlotData,MATCH($A595,PlotNumber,0),MATCH("Tenure detail",PlotTitles,0))="Private rented sector"),INDEX(PlotData,MATCH($A595,PlotNumber,0),MATCH("Tenure",PlotTitles,0))="Affordable rent")),"",NOT(INDEX(PlotData,MATCH($A595,PlotNumber,0),MATCH(S$3,PlotTitles,0))=0), $AB$24,TRUE,"")</f>
        <v/>
      </c>
      <c r="V595" s="114" t="str" cm="1">
        <f t="array" aca="1" ref="V595" ca="1">_xlfn.IFS(ISBLANK(NumberOfPlots),"Enter the number of homes on the 1_SetUp sheet",AND(A595&gt;NumberOfPlots,ISBLANK(INDEX(PlotData,MATCH($A595,PlotNumber,0),MATCH(B$3,PlotTitles,0)))),"No error",NOT(B595=""),B595,NOT(C595=""),C595,NOT(D595=""),D595,NOT(E595=""),E595,NOT(F595=""),F595,NOT(G595=""),G595,NOT(H595=""),H595,NOT(I595=""),I595,NOT(J595=""),J595,NOT(K595=""),K595,NOT(L595=""),L595,NOT(M595=""),M595,NOT(N595=""),N595,NOT(O595=""),O595,NOT(P595=""),P595,NOT(Q595=""),Q595,NOT(R595=""),R595,NOT(S595=""),S595,NOT(T595=""),T595,NOT(U595=""),U595,TRUE,"No error")</f>
        <v>Enter the number of homes on the 1_SetUp sheet</v>
      </c>
      <c r="W595" s="114" t="str">
        <f t="shared" ca="1" si="29"/>
        <v xml:space="preserve">The Borrower has not addressed the following error messages for Home ID 591: </v>
      </c>
    </row>
    <row r="596" spans="1:23">
      <c r="A596" s="123">
        <v>592</v>
      </c>
      <c r="B596" s="104" t="str" cm="1">
        <f t="array" ref="B596">_xlfn.IFS(AND(A596&gt;NumberOfPlots,ISBLANK(INDEX(PlotData,MATCH($A596,PlotNumber,0),MATCH(B$3,PlotTitles,0)))),"",ISNUMBER(INDEX(PlotData,MATCH($A596,PlotNumber,0),MATCH(B$3,PlotTitles,0)))=FALSE, $AB$5,TRUE,"")</f>
        <v/>
      </c>
      <c r="C596" s="104" t="str" cm="1">
        <f t="array" ref="C596">_xlfn.IFS(AND(A596&gt;NumberOfPlots,ISBLANK(INDEX(PlotData,MATCH($A596,PlotNumber,0),MATCH(B$3,PlotTitles,0)))),"",ISBLANK(INDEX(PlotData,MATCH($A596,PlotNumber,0),MATCH(C$3,PlotTitles,0))),$AB$6,TRUE,"")</f>
        <v/>
      </c>
      <c r="D596" s="104" t="str" cm="1">
        <f t="array" ref="D596">_xlfn.IFS(AND(A596&gt;NumberOfPlots,ISBLANK(INDEX(PlotData,MATCH($A596,PlotNumber,0),MATCH(B$3,PlotTitles,0)))),"",ISBLANK(INDEX(PlotData,MATCH($A596,PlotNumber,0),MATCH(D$3,PlotTitles,0))),$AB$7,TRUE,"")</f>
        <v/>
      </c>
      <c r="E596" s="104" t="str" cm="1">
        <f t="array" ref="E596">_xlfn.IFS(AND(A596&gt;NumberOfPlots,ISBLANK(INDEX(PlotData,MATCH($A596,PlotNumber,0),MATCH(B$3,PlotTitles,0)))),"",ISBLANK(INDEX(PlotData,MATCH($A596,PlotNumber,0),MATCH(E$3,PlotTitles,0))),$AB$8,TRUE,"")</f>
        <v/>
      </c>
      <c r="F596" s="104" t="str" cm="1">
        <f t="array" ref="F596">_xlfn.IFS(AND(A596&gt;NumberOfPlots,ISBLANK(INDEX(PlotData,MATCH($A596,PlotNumber,0),MATCH(B$3,PlotTitles,0)))),"",ISBLANK(INDEX(PlotData,MATCH($A596,PlotNumber,0),MATCH(F$3,PlotTitles,0))),$AB$9,TRUE,"")</f>
        <v/>
      </c>
      <c r="G596" s="104" t="str" cm="1">
        <f t="array" ref="G596">_xlfn.IFS(AND(A596&gt;NumberOfPlots,ISBLANK(INDEX(PlotData,MATCH($A596,PlotNumber,0),MATCH(B$3,PlotTitles,0)))),"",ISBLANK(INDEX(PlotData,MATCH($A596,PlotNumber,0),MATCH(G$3,PlotTitles,0))),$AB$10,TRUE,"")</f>
        <v/>
      </c>
      <c r="H596" s="104" t="str" cm="1">
        <f t="array" ref="H596">_xlfn.IFS(AND(A596&gt;NumberOfPlots,ISBLANK(INDEX(PlotData,MATCH($A596,PlotNumber,0),MATCH(B$3,PlotTitles,0)))),"",AND(ISBLANK(INDEX(PlotData,MATCH($A596,PlotNumber,0),MATCH(H$3,PlotTitles,0)))=FALSE,INDEX(PlotData,MATCH($A596,PlotNumber,0),MATCH(H$3,PlotTitles,0))&lt;500), $AB$11,TRUE,"")</f>
        <v/>
      </c>
      <c r="I596" s="104" t="str" cm="1">
        <f t="array" ref="I596">_xlfn.IFS(AND(A596&gt;NumberOfPlots,ISBLANK(INDEX(PlotData,MATCH($A596,PlotNumber,0),MATCH(B$3,PlotTitles,0)))),"",ISBLANK(INDEX(PlotData,MATCH($A596,PlotNumber,0),MATCH(I$3,PlotTitles,0))),$AB$12,TRUE,"")</f>
        <v/>
      </c>
      <c r="J596" s="104" t="str" cm="1">
        <f t="array" ref="J596">_xlfn.IFS(AND(A596&gt;NumberOfPlots,ISBLANK(INDEX(PlotData,MATCH($A596,PlotNumber,0),MATCH(B$3,PlotTitles,0)))),"",ISBLANK(INDEX(PlotData,MATCH($A596,PlotNumber,0),MATCH(J$3,PlotTitles,0))),$AB$13,TRUE,"")</f>
        <v/>
      </c>
      <c r="K596" s="182" t="str">
        <f t="shared" ca="1" si="27"/>
        <v/>
      </c>
      <c r="L596" s="104" t="str" cm="1">
        <f t="array" ref="L596">_xlfn.IFS(OR(ISBLANK(StartDateMonth),ISBLANK(StartDateYear)),"",AND(A596&gt;NumberOfPlots,ISBLANK(INDEX(PlotData,MATCH($A596,PlotNumber,0),MATCH(B$3,PlotTitles,0)))),"",ISBLANK(INDEX(PlotData,MATCH($A596,PlotNumber,0),MATCH(I$3,PlotTitles,0))),"",(DATEVALUE(INDEX(PlotData,MATCH($A596,PlotNumber,0),MATCH(I$3,PlotTitles,0))&amp;INDEX(PlotData,MATCH($A596,PlotNumber,0),MATCH(J$3,PlotTitles,0))))&lt;DATEVALUE(StartDateMonth&amp;StartDateYear),$AB$15,TRUE,"")</f>
        <v/>
      </c>
      <c r="M596" s="104" t="str" cm="1">
        <f t="array" ref="M596">_xlfn.IFS(OR(ISBLANK(StartDateMonth),ISBLANK(StartDateYear)),"",AND(A596&gt;NumberOfPlots,ISBLANK(INDEX(PlotData,MATCH($A596,PlotNumber,0),MATCH(B$3,PlotTitles,0)))),"",ISBLANK(INDEX(PlotData,MATCH($A596,PlotNumber,0),MATCH(I$3,PlotTitles,0))),"",CompletionMonth="","",(DATEVALUE(INDEX(PlotData,MATCH($A596,PlotNumber,0),MATCH(I$3,PlotTitles,0))&amp;INDEX(PlotData,MATCH($A596,PlotNumber,0),MATCH(J$3,PlotTitles,0))))&gt;(DATEVALUE(CompletionMonth&amp;CompletionYear)),$AB$16,TRUE,"")</f>
        <v/>
      </c>
      <c r="N596" s="104" t="str" cm="1">
        <f t="array" ref="N596">_xlfn.IFS(AND(A596&gt;NumberOfPlots,ISBLANK(INDEX(PlotData,MATCH($A596,PlotNumber,0),MATCH(B$3,PlotTitles,0)))),"",ISBLANK(INDEX(PlotData,MATCH($A596,PlotNumber,0),MATCH(N$3,PlotTitles,0))),$AB$17,TRUE,"")</f>
        <v/>
      </c>
      <c r="O596" s="104" t="str" cm="1">
        <f t="array" ref="O596">_xlfn.IFS(AND(A596&gt;NumberOfPlots,ISBLANK(INDEX(PlotData,MATCH($A596,PlotNumber,0),MATCH(B$3,PlotTitles,0)))),"",ISBLANK(INDEX(PlotData,MATCH($A596,PlotNumber,0),MATCH(O$3,PlotTitles,0))),$AB$18,TRUE,"")</f>
        <v/>
      </c>
      <c r="P596" s="182" t="str">
        <f t="shared" ca="1" si="28"/>
        <v/>
      </c>
      <c r="Q596" s="104" t="str" cm="1">
        <f t="array" ref="Q596">_xlfn.IFS(AND(A596&gt;NumberOfPlots,ISBLANK(INDEX(PlotData,MATCH($A596,PlotNumber,0),MATCH(B$3,PlotTitles,0)))),"",ISBLANK(INDEX(PlotData,MATCH($A596,PlotNumber,0),MATCH(N$3,PlotTitles,0))),"",(DATEVALUE(INDEX(PlotData,MATCH($A596,PlotNumber,0),MATCH(N$3,PlotTitles,0))&amp;INDEX(PlotData,MATCH($A596,PlotNumber,0),MATCH(O$3,PlotTitles,0))))&lt;(DATEVALUE(INDEX(PlotData,MATCH($A596,PlotNumber,0),MATCH(I$3,PlotTitles,0))&amp;INDEX(PlotData,MATCH($A596,PlotNumber,0),MATCH(J$3,PlotTitles,0)))),$AB$20,TRUE,"")</f>
        <v/>
      </c>
      <c r="R596" s="104" t="str" cm="1">
        <f t="array" ref="R596">_xlfn.IFS(OR(ISBLANK(StartDateMonth),ISBLANK(StartDateYear)),"",AND(A596&gt;NumberOfPlots,ISBLANK(INDEX(PlotData,MATCH($A596,PlotNumber,0),MATCH(B$3,PlotTitles,0)))),"",ISBLANK(INDEX(PlotData,MATCH($A596,PlotNumber,0),MATCH(N$3,PlotTitles,0))),"",CompletionMonth="","",(DATEVALUE(INDEX(PlotData,MATCH($A596,PlotNumber,0),MATCH(N$3,PlotTitles,0))&amp;INDEX(PlotData,MATCH($A596,PlotNumber,0),MATCH(O$3,PlotTitles,0))))&gt;(DATEVALUE(CompletionMonth&amp;CompletionYear)),$AB$21,TRUE,"")</f>
        <v/>
      </c>
      <c r="S596" s="104" t="str" cm="1">
        <f t="array" ref="S596">_xlfn.IFS(AND(A596&gt;NumberOfPlots,ISBLANK(INDEX(PlotData,MATCH($A596,PlotNumber,0),MATCH(B$3,PlotTitles,0)))),"",OR(AND(INDEX(PlotData,MATCH($A596,PlotNumber,0),MATCH("Tenure",PlotTitles,0))="Open market housing",INDEX(PlotData,MATCH($A596,PlotNumber,0),MATCH("Tenure detail",PlotTitles,0))="Private rented sector"),INDEX(PlotData,MATCH($A596,PlotNumber,0),MATCH("Tenure",PlotTitles,0))="Affordable rent"),"",ISNUMBER(INDEX(PlotData,MATCH($A596,PlotNumber,0),MATCH(S$3,PlotTitles,0)))=FALSE, $AB$22,TRUE,"")</f>
        <v/>
      </c>
      <c r="T596" s="104" t="str" cm="1">
        <f t="array" ref="T596">_xlfn.IFS(AND(A596&gt;NumberOfPlots,ISBLANK(INDEX(PlotData,MATCH($A596,PlotNumber,0),MATCH(B$3,PlotTitles,0)))),"",OR(AND(INDEX(PlotData,MATCH($A596,PlotNumber,0),MATCH("Tenure",PlotTitles,0))="Open market housing",INDEX(PlotData,MATCH($A596,PlotNumber,0),MATCH("Tenure detail",PlotTitles,0))="Private rented sector"),INDEX(PlotData,MATCH($A596,PlotNumber,0),MATCH("Tenure",PlotTitles,0))="Affordable rent"),"",INDEX(PlotData,MATCH($A596,PlotNumber,0),MATCH(S$3,PlotTitles,0))&lt;10000, $AB$23,TRUE,"")</f>
        <v/>
      </c>
      <c r="U596" s="104" t="str" cm="1">
        <f t="array" ref="U596">_xlfn.IFS(AND(A596&gt;NumberOfPlots,ISBLANK(INDEX(PlotData,MATCH($A596,PlotNumber,0),MATCH(B$3,PlotTitles,0)))),"",NOT(OR(AND(INDEX(PlotData,MATCH($A596,PlotNumber,0),MATCH("Tenure",PlotTitles,0))="Open market housing",INDEX(PlotData,MATCH($A596,PlotNumber,0),MATCH("Tenure detail",PlotTitles,0))="Private rented sector"),INDEX(PlotData,MATCH($A596,PlotNumber,0),MATCH("Tenure",PlotTitles,0))="Affordable rent")),"",NOT(INDEX(PlotData,MATCH($A596,PlotNumber,0),MATCH(S$3,PlotTitles,0))=0), $AB$24,TRUE,"")</f>
        <v/>
      </c>
      <c r="V596" s="114" t="str" cm="1">
        <f t="array" aca="1" ref="V596" ca="1">_xlfn.IFS(ISBLANK(NumberOfPlots),"Enter the number of homes on the 1_SetUp sheet",AND(A596&gt;NumberOfPlots,ISBLANK(INDEX(PlotData,MATCH($A596,PlotNumber,0),MATCH(B$3,PlotTitles,0)))),"No error",NOT(B596=""),B596,NOT(C596=""),C596,NOT(D596=""),D596,NOT(E596=""),E596,NOT(F596=""),F596,NOT(G596=""),G596,NOT(H596=""),H596,NOT(I596=""),I596,NOT(J596=""),J596,NOT(K596=""),K596,NOT(L596=""),L596,NOT(M596=""),M596,NOT(N596=""),N596,NOT(O596=""),O596,NOT(P596=""),P596,NOT(Q596=""),Q596,NOT(R596=""),R596,NOT(S596=""),S596,NOT(T596=""),T596,NOT(U596=""),U596,TRUE,"No error")</f>
        <v>Enter the number of homes on the 1_SetUp sheet</v>
      </c>
      <c r="W596" s="114" t="str">
        <f t="shared" ca="1" si="29"/>
        <v xml:space="preserve">The Borrower has not addressed the following error messages for Home ID 592: </v>
      </c>
    </row>
    <row r="597" spans="1:23">
      <c r="A597" s="123">
        <v>593</v>
      </c>
      <c r="B597" s="104" t="str" cm="1">
        <f t="array" ref="B597">_xlfn.IFS(AND(A597&gt;NumberOfPlots,ISBLANK(INDEX(PlotData,MATCH($A597,PlotNumber,0),MATCH(B$3,PlotTitles,0)))),"",ISNUMBER(INDEX(PlotData,MATCH($A597,PlotNumber,0),MATCH(B$3,PlotTitles,0)))=FALSE, $AB$5,TRUE,"")</f>
        <v/>
      </c>
      <c r="C597" s="104" t="str" cm="1">
        <f t="array" ref="C597">_xlfn.IFS(AND(A597&gt;NumberOfPlots,ISBLANK(INDEX(PlotData,MATCH($A597,PlotNumber,0),MATCH(B$3,PlotTitles,0)))),"",ISBLANK(INDEX(PlotData,MATCH($A597,PlotNumber,0),MATCH(C$3,PlotTitles,0))),$AB$6,TRUE,"")</f>
        <v/>
      </c>
      <c r="D597" s="104" t="str" cm="1">
        <f t="array" ref="D597">_xlfn.IFS(AND(A597&gt;NumberOfPlots,ISBLANK(INDEX(PlotData,MATCH($A597,PlotNumber,0),MATCH(B$3,PlotTitles,0)))),"",ISBLANK(INDEX(PlotData,MATCH($A597,PlotNumber,0),MATCH(D$3,PlotTitles,0))),$AB$7,TRUE,"")</f>
        <v/>
      </c>
      <c r="E597" s="104" t="str" cm="1">
        <f t="array" ref="E597">_xlfn.IFS(AND(A597&gt;NumberOfPlots,ISBLANK(INDEX(PlotData,MATCH($A597,PlotNumber,0),MATCH(B$3,PlotTitles,0)))),"",ISBLANK(INDEX(PlotData,MATCH($A597,PlotNumber,0),MATCH(E$3,PlotTitles,0))),$AB$8,TRUE,"")</f>
        <v/>
      </c>
      <c r="F597" s="104" t="str" cm="1">
        <f t="array" ref="F597">_xlfn.IFS(AND(A597&gt;NumberOfPlots,ISBLANK(INDEX(PlotData,MATCH($A597,PlotNumber,0),MATCH(B$3,PlotTitles,0)))),"",ISBLANK(INDEX(PlotData,MATCH($A597,PlotNumber,0),MATCH(F$3,PlotTitles,0))),$AB$9,TRUE,"")</f>
        <v/>
      </c>
      <c r="G597" s="104" t="str" cm="1">
        <f t="array" ref="G597">_xlfn.IFS(AND(A597&gt;NumberOfPlots,ISBLANK(INDEX(PlotData,MATCH($A597,PlotNumber,0),MATCH(B$3,PlotTitles,0)))),"",ISBLANK(INDEX(PlotData,MATCH($A597,PlotNumber,0),MATCH(G$3,PlotTitles,0))),$AB$10,TRUE,"")</f>
        <v/>
      </c>
      <c r="H597" s="104" t="str" cm="1">
        <f t="array" ref="H597">_xlfn.IFS(AND(A597&gt;NumberOfPlots,ISBLANK(INDEX(PlotData,MATCH($A597,PlotNumber,0),MATCH(B$3,PlotTitles,0)))),"",AND(ISBLANK(INDEX(PlotData,MATCH($A597,PlotNumber,0),MATCH(H$3,PlotTitles,0)))=FALSE,INDEX(PlotData,MATCH($A597,PlotNumber,0),MATCH(H$3,PlotTitles,0))&lt;500), $AB$11,TRUE,"")</f>
        <v/>
      </c>
      <c r="I597" s="104" t="str" cm="1">
        <f t="array" ref="I597">_xlfn.IFS(AND(A597&gt;NumberOfPlots,ISBLANK(INDEX(PlotData,MATCH($A597,PlotNumber,0),MATCH(B$3,PlotTitles,0)))),"",ISBLANK(INDEX(PlotData,MATCH($A597,PlotNumber,0),MATCH(I$3,PlotTitles,0))),$AB$12,TRUE,"")</f>
        <v/>
      </c>
      <c r="J597" s="104" t="str" cm="1">
        <f t="array" ref="J597">_xlfn.IFS(AND(A597&gt;NumberOfPlots,ISBLANK(INDEX(PlotData,MATCH($A597,PlotNumber,0),MATCH(B$3,PlotTitles,0)))),"",ISBLANK(INDEX(PlotData,MATCH($A597,PlotNumber,0),MATCH(J$3,PlotTitles,0))),$AB$13,TRUE,"")</f>
        <v/>
      </c>
      <c r="K597" s="182" t="str">
        <f t="shared" ca="1" si="27"/>
        <v/>
      </c>
      <c r="L597" s="104" t="str" cm="1">
        <f t="array" ref="L597">_xlfn.IFS(OR(ISBLANK(StartDateMonth),ISBLANK(StartDateYear)),"",AND(A597&gt;NumberOfPlots,ISBLANK(INDEX(PlotData,MATCH($A597,PlotNumber,0),MATCH(B$3,PlotTitles,0)))),"",ISBLANK(INDEX(PlotData,MATCH($A597,PlotNumber,0),MATCH(I$3,PlotTitles,0))),"",(DATEVALUE(INDEX(PlotData,MATCH($A597,PlotNumber,0),MATCH(I$3,PlotTitles,0))&amp;INDEX(PlotData,MATCH($A597,PlotNumber,0),MATCH(J$3,PlotTitles,0))))&lt;DATEVALUE(StartDateMonth&amp;StartDateYear),$AB$15,TRUE,"")</f>
        <v/>
      </c>
      <c r="M597" s="104" t="str" cm="1">
        <f t="array" ref="M597">_xlfn.IFS(OR(ISBLANK(StartDateMonth),ISBLANK(StartDateYear)),"",AND(A597&gt;NumberOfPlots,ISBLANK(INDEX(PlotData,MATCH($A597,PlotNumber,0),MATCH(B$3,PlotTitles,0)))),"",ISBLANK(INDEX(PlotData,MATCH($A597,PlotNumber,0),MATCH(I$3,PlotTitles,0))),"",CompletionMonth="","",(DATEVALUE(INDEX(PlotData,MATCH($A597,PlotNumber,0),MATCH(I$3,PlotTitles,0))&amp;INDEX(PlotData,MATCH($A597,PlotNumber,0),MATCH(J$3,PlotTitles,0))))&gt;(DATEVALUE(CompletionMonth&amp;CompletionYear)),$AB$16,TRUE,"")</f>
        <v/>
      </c>
      <c r="N597" s="104" t="str" cm="1">
        <f t="array" ref="N597">_xlfn.IFS(AND(A597&gt;NumberOfPlots,ISBLANK(INDEX(PlotData,MATCH($A597,PlotNumber,0),MATCH(B$3,PlotTitles,0)))),"",ISBLANK(INDEX(PlotData,MATCH($A597,PlotNumber,0),MATCH(N$3,PlotTitles,0))),$AB$17,TRUE,"")</f>
        <v/>
      </c>
      <c r="O597" s="104" t="str" cm="1">
        <f t="array" ref="O597">_xlfn.IFS(AND(A597&gt;NumberOfPlots,ISBLANK(INDEX(PlotData,MATCH($A597,PlotNumber,0),MATCH(B$3,PlotTitles,0)))),"",ISBLANK(INDEX(PlotData,MATCH($A597,PlotNumber,0),MATCH(O$3,PlotTitles,0))),$AB$18,TRUE,"")</f>
        <v/>
      </c>
      <c r="P597" s="182" t="str">
        <f t="shared" ca="1" si="28"/>
        <v/>
      </c>
      <c r="Q597" s="104" t="str" cm="1">
        <f t="array" ref="Q597">_xlfn.IFS(AND(A597&gt;NumberOfPlots,ISBLANK(INDEX(PlotData,MATCH($A597,PlotNumber,0),MATCH(B$3,PlotTitles,0)))),"",ISBLANK(INDEX(PlotData,MATCH($A597,PlotNumber,0),MATCH(N$3,PlotTitles,0))),"",(DATEVALUE(INDEX(PlotData,MATCH($A597,PlotNumber,0),MATCH(N$3,PlotTitles,0))&amp;INDEX(PlotData,MATCH($A597,PlotNumber,0),MATCH(O$3,PlotTitles,0))))&lt;(DATEVALUE(INDEX(PlotData,MATCH($A597,PlotNumber,0),MATCH(I$3,PlotTitles,0))&amp;INDEX(PlotData,MATCH($A597,PlotNumber,0),MATCH(J$3,PlotTitles,0)))),$AB$20,TRUE,"")</f>
        <v/>
      </c>
      <c r="R597" s="104" t="str" cm="1">
        <f t="array" ref="R597">_xlfn.IFS(OR(ISBLANK(StartDateMonth),ISBLANK(StartDateYear)),"",AND(A597&gt;NumberOfPlots,ISBLANK(INDEX(PlotData,MATCH($A597,PlotNumber,0),MATCH(B$3,PlotTitles,0)))),"",ISBLANK(INDEX(PlotData,MATCH($A597,PlotNumber,0),MATCH(N$3,PlotTitles,0))),"",CompletionMonth="","",(DATEVALUE(INDEX(PlotData,MATCH($A597,PlotNumber,0),MATCH(N$3,PlotTitles,0))&amp;INDEX(PlotData,MATCH($A597,PlotNumber,0),MATCH(O$3,PlotTitles,0))))&gt;(DATEVALUE(CompletionMonth&amp;CompletionYear)),$AB$21,TRUE,"")</f>
        <v/>
      </c>
      <c r="S597" s="104" t="str" cm="1">
        <f t="array" ref="S597">_xlfn.IFS(AND(A597&gt;NumberOfPlots,ISBLANK(INDEX(PlotData,MATCH($A597,PlotNumber,0),MATCH(B$3,PlotTitles,0)))),"",OR(AND(INDEX(PlotData,MATCH($A597,PlotNumber,0),MATCH("Tenure",PlotTitles,0))="Open market housing",INDEX(PlotData,MATCH($A597,PlotNumber,0),MATCH("Tenure detail",PlotTitles,0))="Private rented sector"),INDEX(PlotData,MATCH($A597,PlotNumber,0),MATCH("Tenure",PlotTitles,0))="Affordable rent"),"",ISNUMBER(INDEX(PlotData,MATCH($A597,PlotNumber,0),MATCH(S$3,PlotTitles,0)))=FALSE, $AB$22,TRUE,"")</f>
        <v/>
      </c>
      <c r="T597" s="104" t="str" cm="1">
        <f t="array" ref="T597">_xlfn.IFS(AND(A597&gt;NumberOfPlots,ISBLANK(INDEX(PlotData,MATCH($A597,PlotNumber,0),MATCH(B$3,PlotTitles,0)))),"",OR(AND(INDEX(PlotData,MATCH($A597,PlotNumber,0),MATCH("Tenure",PlotTitles,0))="Open market housing",INDEX(PlotData,MATCH($A597,PlotNumber,0),MATCH("Tenure detail",PlotTitles,0))="Private rented sector"),INDEX(PlotData,MATCH($A597,PlotNumber,0),MATCH("Tenure",PlotTitles,0))="Affordable rent"),"",INDEX(PlotData,MATCH($A597,PlotNumber,0),MATCH(S$3,PlotTitles,0))&lt;10000, $AB$23,TRUE,"")</f>
        <v/>
      </c>
      <c r="U597" s="104" t="str" cm="1">
        <f t="array" ref="U597">_xlfn.IFS(AND(A597&gt;NumberOfPlots,ISBLANK(INDEX(PlotData,MATCH($A597,PlotNumber,0),MATCH(B$3,PlotTitles,0)))),"",NOT(OR(AND(INDEX(PlotData,MATCH($A597,PlotNumber,0),MATCH("Tenure",PlotTitles,0))="Open market housing",INDEX(PlotData,MATCH($A597,PlotNumber,0),MATCH("Tenure detail",PlotTitles,0))="Private rented sector"),INDEX(PlotData,MATCH($A597,PlotNumber,0),MATCH("Tenure",PlotTitles,0))="Affordable rent")),"",NOT(INDEX(PlotData,MATCH($A597,PlotNumber,0),MATCH(S$3,PlotTitles,0))=0), $AB$24,TRUE,"")</f>
        <v/>
      </c>
      <c r="V597" s="114" t="str" cm="1">
        <f t="array" aca="1" ref="V597" ca="1">_xlfn.IFS(ISBLANK(NumberOfPlots),"Enter the number of homes on the 1_SetUp sheet",AND(A597&gt;NumberOfPlots,ISBLANK(INDEX(PlotData,MATCH($A597,PlotNumber,0),MATCH(B$3,PlotTitles,0)))),"No error",NOT(B597=""),B597,NOT(C597=""),C597,NOT(D597=""),D597,NOT(E597=""),E597,NOT(F597=""),F597,NOT(G597=""),G597,NOT(H597=""),H597,NOT(I597=""),I597,NOT(J597=""),J597,NOT(K597=""),K597,NOT(L597=""),L597,NOT(M597=""),M597,NOT(N597=""),N597,NOT(O597=""),O597,NOT(P597=""),P597,NOT(Q597=""),Q597,NOT(R597=""),R597,NOT(S597=""),S597,NOT(T597=""),T597,NOT(U597=""),U597,TRUE,"No error")</f>
        <v>Enter the number of homes on the 1_SetUp sheet</v>
      </c>
      <c r="W597" s="114" t="str">
        <f t="shared" ca="1" si="29"/>
        <v xml:space="preserve">The Borrower has not addressed the following error messages for Home ID 593: </v>
      </c>
    </row>
    <row r="598" spans="1:23">
      <c r="A598" s="123">
        <v>594</v>
      </c>
      <c r="B598" s="104" t="str" cm="1">
        <f t="array" ref="B598">_xlfn.IFS(AND(A598&gt;NumberOfPlots,ISBLANK(INDEX(PlotData,MATCH($A598,PlotNumber,0),MATCH(B$3,PlotTitles,0)))),"",ISNUMBER(INDEX(PlotData,MATCH($A598,PlotNumber,0),MATCH(B$3,PlotTitles,0)))=FALSE, $AB$5,TRUE,"")</f>
        <v/>
      </c>
      <c r="C598" s="104" t="str" cm="1">
        <f t="array" ref="C598">_xlfn.IFS(AND(A598&gt;NumberOfPlots,ISBLANK(INDEX(PlotData,MATCH($A598,PlotNumber,0),MATCH(B$3,PlotTitles,0)))),"",ISBLANK(INDEX(PlotData,MATCH($A598,PlotNumber,0),MATCH(C$3,PlotTitles,0))),$AB$6,TRUE,"")</f>
        <v/>
      </c>
      <c r="D598" s="104" t="str" cm="1">
        <f t="array" ref="D598">_xlfn.IFS(AND(A598&gt;NumberOfPlots,ISBLANK(INDEX(PlotData,MATCH($A598,PlotNumber,0),MATCH(B$3,PlotTitles,0)))),"",ISBLANK(INDEX(PlotData,MATCH($A598,PlotNumber,0),MATCH(D$3,PlotTitles,0))),$AB$7,TRUE,"")</f>
        <v/>
      </c>
      <c r="E598" s="104" t="str" cm="1">
        <f t="array" ref="E598">_xlfn.IFS(AND(A598&gt;NumberOfPlots,ISBLANK(INDEX(PlotData,MATCH($A598,PlotNumber,0),MATCH(B$3,PlotTitles,0)))),"",ISBLANK(INDEX(PlotData,MATCH($A598,PlotNumber,0),MATCH(E$3,PlotTitles,0))),$AB$8,TRUE,"")</f>
        <v/>
      </c>
      <c r="F598" s="104" t="str" cm="1">
        <f t="array" ref="F598">_xlfn.IFS(AND(A598&gt;NumberOfPlots,ISBLANK(INDEX(PlotData,MATCH($A598,PlotNumber,0),MATCH(B$3,PlotTitles,0)))),"",ISBLANK(INDEX(PlotData,MATCH($A598,PlotNumber,0),MATCH(F$3,PlotTitles,0))),$AB$9,TRUE,"")</f>
        <v/>
      </c>
      <c r="G598" s="104" t="str" cm="1">
        <f t="array" ref="G598">_xlfn.IFS(AND(A598&gt;NumberOfPlots,ISBLANK(INDEX(PlotData,MATCH($A598,PlotNumber,0),MATCH(B$3,PlotTitles,0)))),"",ISBLANK(INDEX(PlotData,MATCH($A598,PlotNumber,0),MATCH(G$3,PlotTitles,0))),$AB$10,TRUE,"")</f>
        <v/>
      </c>
      <c r="H598" s="104" t="str" cm="1">
        <f t="array" ref="H598">_xlfn.IFS(AND(A598&gt;NumberOfPlots,ISBLANK(INDEX(PlotData,MATCH($A598,PlotNumber,0),MATCH(B$3,PlotTitles,0)))),"",AND(ISBLANK(INDEX(PlotData,MATCH($A598,PlotNumber,0),MATCH(H$3,PlotTitles,0)))=FALSE,INDEX(PlotData,MATCH($A598,PlotNumber,0),MATCH(H$3,PlotTitles,0))&lt;500), $AB$11,TRUE,"")</f>
        <v/>
      </c>
      <c r="I598" s="104" t="str" cm="1">
        <f t="array" ref="I598">_xlfn.IFS(AND(A598&gt;NumberOfPlots,ISBLANK(INDEX(PlotData,MATCH($A598,PlotNumber,0),MATCH(B$3,PlotTitles,0)))),"",ISBLANK(INDEX(PlotData,MATCH($A598,PlotNumber,0),MATCH(I$3,PlotTitles,0))),$AB$12,TRUE,"")</f>
        <v/>
      </c>
      <c r="J598" s="104" t="str" cm="1">
        <f t="array" ref="J598">_xlfn.IFS(AND(A598&gt;NumberOfPlots,ISBLANK(INDEX(PlotData,MATCH($A598,PlotNumber,0),MATCH(B$3,PlotTitles,0)))),"",ISBLANK(INDEX(PlotData,MATCH($A598,PlotNumber,0),MATCH(J$3,PlotTitles,0))),$AB$13,TRUE,"")</f>
        <v/>
      </c>
      <c r="K598" s="182" t="str">
        <f t="shared" ca="1" si="27"/>
        <v/>
      </c>
      <c r="L598" s="104" t="str" cm="1">
        <f t="array" ref="L598">_xlfn.IFS(OR(ISBLANK(StartDateMonth),ISBLANK(StartDateYear)),"",AND(A598&gt;NumberOfPlots,ISBLANK(INDEX(PlotData,MATCH($A598,PlotNumber,0),MATCH(B$3,PlotTitles,0)))),"",ISBLANK(INDEX(PlotData,MATCH($A598,PlotNumber,0),MATCH(I$3,PlotTitles,0))),"",(DATEVALUE(INDEX(PlotData,MATCH($A598,PlotNumber,0),MATCH(I$3,PlotTitles,0))&amp;INDEX(PlotData,MATCH($A598,PlotNumber,0),MATCH(J$3,PlotTitles,0))))&lt;DATEVALUE(StartDateMonth&amp;StartDateYear),$AB$15,TRUE,"")</f>
        <v/>
      </c>
      <c r="M598" s="104" t="str" cm="1">
        <f t="array" ref="M598">_xlfn.IFS(OR(ISBLANK(StartDateMonth),ISBLANK(StartDateYear)),"",AND(A598&gt;NumberOfPlots,ISBLANK(INDEX(PlotData,MATCH($A598,PlotNumber,0),MATCH(B$3,PlotTitles,0)))),"",ISBLANK(INDEX(PlotData,MATCH($A598,PlotNumber,0),MATCH(I$3,PlotTitles,0))),"",CompletionMonth="","",(DATEVALUE(INDEX(PlotData,MATCH($A598,PlotNumber,0),MATCH(I$3,PlotTitles,0))&amp;INDEX(PlotData,MATCH($A598,PlotNumber,0),MATCH(J$3,PlotTitles,0))))&gt;(DATEVALUE(CompletionMonth&amp;CompletionYear)),$AB$16,TRUE,"")</f>
        <v/>
      </c>
      <c r="N598" s="104" t="str" cm="1">
        <f t="array" ref="N598">_xlfn.IFS(AND(A598&gt;NumberOfPlots,ISBLANK(INDEX(PlotData,MATCH($A598,PlotNumber,0),MATCH(B$3,PlotTitles,0)))),"",ISBLANK(INDEX(PlotData,MATCH($A598,PlotNumber,0),MATCH(N$3,PlotTitles,0))),$AB$17,TRUE,"")</f>
        <v/>
      </c>
      <c r="O598" s="104" t="str" cm="1">
        <f t="array" ref="O598">_xlfn.IFS(AND(A598&gt;NumberOfPlots,ISBLANK(INDEX(PlotData,MATCH($A598,PlotNumber,0),MATCH(B$3,PlotTitles,0)))),"",ISBLANK(INDEX(PlotData,MATCH($A598,PlotNumber,0),MATCH(O$3,PlotTitles,0))),$AB$18,TRUE,"")</f>
        <v/>
      </c>
      <c r="P598" s="182" t="str">
        <f t="shared" ca="1" si="28"/>
        <v/>
      </c>
      <c r="Q598" s="104" t="str" cm="1">
        <f t="array" ref="Q598">_xlfn.IFS(AND(A598&gt;NumberOfPlots,ISBLANK(INDEX(PlotData,MATCH($A598,PlotNumber,0),MATCH(B$3,PlotTitles,0)))),"",ISBLANK(INDEX(PlotData,MATCH($A598,PlotNumber,0),MATCH(N$3,PlotTitles,0))),"",(DATEVALUE(INDEX(PlotData,MATCH($A598,PlotNumber,0),MATCH(N$3,PlotTitles,0))&amp;INDEX(PlotData,MATCH($A598,PlotNumber,0),MATCH(O$3,PlotTitles,0))))&lt;(DATEVALUE(INDEX(PlotData,MATCH($A598,PlotNumber,0),MATCH(I$3,PlotTitles,0))&amp;INDEX(PlotData,MATCH($A598,PlotNumber,0),MATCH(J$3,PlotTitles,0)))),$AB$20,TRUE,"")</f>
        <v/>
      </c>
      <c r="R598" s="104" t="str" cm="1">
        <f t="array" ref="R598">_xlfn.IFS(OR(ISBLANK(StartDateMonth),ISBLANK(StartDateYear)),"",AND(A598&gt;NumberOfPlots,ISBLANK(INDEX(PlotData,MATCH($A598,PlotNumber,0),MATCH(B$3,PlotTitles,0)))),"",ISBLANK(INDEX(PlotData,MATCH($A598,PlotNumber,0),MATCH(N$3,PlotTitles,0))),"",CompletionMonth="","",(DATEVALUE(INDEX(PlotData,MATCH($A598,PlotNumber,0),MATCH(N$3,PlotTitles,0))&amp;INDEX(PlotData,MATCH($A598,PlotNumber,0),MATCH(O$3,PlotTitles,0))))&gt;(DATEVALUE(CompletionMonth&amp;CompletionYear)),$AB$21,TRUE,"")</f>
        <v/>
      </c>
      <c r="S598" s="104" t="str" cm="1">
        <f t="array" ref="S598">_xlfn.IFS(AND(A598&gt;NumberOfPlots,ISBLANK(INDEX(PlotData,MATCH($A598,PlotNumber,0),MATCH(B$3,PlotTitles,0)))),"",OR(AND(INDEX(PlotData,MATCH($A598,PlotNumber,0),MATCH("Tenure",PlotTitles,0))="Open market housing",INDEX(PlotData,MATCH($A598,PlotNumber,0),MATCH("Tenure detail",PlotTitles,0))="Private rented sector"),INDEX(PlotData,MATCH($A598,PlotNumber,0),MATCH("Tenure",PlotTitles,0))="Affordable rent"),"",ISNUMBER(INDEX(PlotData,MATCH($A598,PlotNumber,0),MATCH(S$3,PlotTitles,0)))=FALSE, $AB$22,TRUE,"")</f>
        <v/>
      </c>
      <c r="T598" s="104" t="str" cm="1">
        <f t="array" ref="T598">_xlfn.IFS(AND(A598&gt;NumberOfPlots,ISBLANK(INDEX(PlotData,MATCH($A598,PlotNumber,0),MATCH(B$3,PlotTitles,0)))),"",OR(AND(INDEX(PlotData,MATCH($A598,PlotNumber,0),MATCH("Tenure",PlotTitles,0))="Open market housing",INDEX(PlotData,MATCH($A598,PlotNumber,0),MATCH("Tenure detail",PlotTitles,0))="Private rented sector"),INDEX(PlotData,MATCH($A598,PlotNumber,0),MATCH("Tenure",PlotTitles,0))="Affordable rent"),"",INDEX(PlotData,MATCH($A598,PlotNumber,0),MATCH(S$3,PlotTitles,0))&lt;10000, $AB$23,TRUE,"")</f>
        <v/>
      </c>
      <c r="U598" s="104" t="str" cm="1">
        <f t="array" ref="U598">_xlfn.IFS(AND(A598&gt;NumberOfPlots,ISBLANK(INDEX(PlotData,MATCH($A598,PlotNumber,0),MATCH(B$3,PlotTitles,0)))),"",NOT(OR(AND(INDEX(PlotData,MATCH($A598,PlotNumber,0),MATCH("Tenure",PlotTitles,0))="Open market housing",INDEX(PlotData,MATCH($A598,PlotNumber,0),MATCH("Tenure detail",PlotTitles,0))="Private rented sector"),INDEX(PlotData,MATCH($A598,PlotNumber,0),MATCH("Tenure",PlotTitles,0))="Affordable rent")),"",NOT(INDEX(PlotData,MATCH($A598,PlotNumber,0),MATCH(S$3,PlotTitles,0))=0), $AB$24,TRUE,"")</f>
        <v/>
      </c>
      <c r="V598" s="114" t="str" cm="1">
        <f t="array" aca="1" ref="V598" ca="1">_xlfn.IFS(ISBLANK(NumberOfPlots),"Enter the number of homes on the 1_SetUp sheet",AND(A598&gt;NumberOfPlots,ISBLANK(INDEX(PlotData,MATCH($A598,PlotNumber,0),MATCH(B$3,PlotTitles,0)))),"No error",NOT(B598=""),B598,NOT(C598=""),C598,NOT(D598=""),D598,NOT(E598=""),E598,NOT(F598=""),F598,NOT(G598=""),G598,NOT(H598=""),H598,NOT(I598=""),I598,NOT(J598=""),J598,NOT(K598=""),K598,NOT(L598=""),L598,NOT(M598=""),M598,NOT(N598=""),N598,NOT(O598=""),O598,NOT(P598=""),P598,NOT(Q598=""),Q598,NOT(R598=""),R598,NOT(S598=""),S598,NOT(T598=""),T598,NOT(U598=""),U598,TRUE,"No error")</f>
        <v>Enter the number of homes on the 1_SetUp sheet</v>
      </c>
      <c r="W598" s="114" t="str">
        <f t="shared" ca="1" si="29"/>
        <v xml:space="preserve">The Borrower has not addressed the following error messages for Home ID 594: </v>
      </c>
    </row>
    <row r="599" spans="1:23">
      <c r="A599" s="123">
        <v>595</v>
      </c>
      <c r="B599" s="104" t="str" cm="1">
        <f t="array" ref="B599">_xlfn.IFS(AND(A599&gt;NumberOfPlots,ISBLANK(INDEX(PlotData,MATCH($A599,PlotNumber,0),MATCH(B$3,PlotTitles,0)))),"",ISNUMBER(INDEX(PlotData,MATCH($A599,PlotNumber,0),MATCH(B$3,PlotTitles,0)))=FALSE, $AB$5,TRUE,"")</f>
        <v/>
      </c>
      <c r="C599" s="104" t="str" cm="1">
        <f t="array" ref="C599">_xlfn.IFS(AND(A599&gt;NumberOfPlots,ISBLANK(INDEX(PlotData,MATCH($A599,PlotNumber,0),MATCH(B$3,PlotTitles,0)))),"",ISBLANK(INDEX(PlotData,MATCH($A599,PlotNumber,0),MATCH(C$3,PlotTitles,0))),$AB$6,TRUE,"")</f>
        <v/>
      </c>
      <c r="D599" s="104" t="str" cm="1">
        <f t="array" ref="D599">_xlfn.IFS(AND(A599&gt;NumberOfPlots,ISBLANK(INDEX(PlotData,MATCH($A599,PlotNumber,0),MATCH(B$3,PlotTitles,0)))),"",ISBLANK(INDEX(PlotData,MATCH($A599,PlotNumber,0),MATCH(D$3,PlotTitles,0))),$AB$7,TRUE,"")</f>
        <v/>
      </c>
      <c r="E599" s="104" t="str" cm="1">
        <f t="array" ref="E599">_xlfn.IFS(AND(A599&gt;NumberOfPlots,ISBLANK(INDEX(PlotData,MATCH($A599,PlotNumber,0),MATCH(B$3,PlotTitles,0)))),"",ISBLANK(INDEX(PlotData,MATCH($A599,PlotNumber,0),MATCH(E$3,PlotTitles,0))),$AB$8,TRUE,"")</f>
        <v/>
      </c>
      <c r="F599" s="104" t="str" cm="1">
        <f t="array" ref="F599">_xlfn.IFS(AND(A599&gt;NumberOfPlots,ISBLANK(INDEX(PlotData,MATCH($A599,PlotNumber,0),MATCH(B$3,PlotTitles,0)))),"",ISBLANK(INDEX(PlotData,MATCH($A599,PlotNumber,0),MATCH(F$3,PlotTitles,0))),$AB$9,TRUE,"")</f>
        <v/>
      </c>
      <c r="G599" s="104" t="str" cm="1">
        <f t="array" ref="G599">_xlfn.IFS(AND(A599&gt;NumberOfPlots,ISBLANK(INDEX(PlotData,MATCH($A599,PlotNumber,0),MATCH(B$3,PlotTitles,0)))),"",ISBLANK(INDEX(PlotData,MATCH($A599,PlotNumber,0),MATCH(G$3,PlotTitles,0))),$AB$10,TRUE,"")</f>
        <v/>
      </c>
      <c r="H599" s="104" t="str" cm="1">
        <f t="array" ref="H599">_xlfn.IFS(AND(A599&gt;NumberOfPlots,ISBLANK(INDEX(PlotData,MATCH($A599,PlotNumber,0),MATCH(B$3,PlotTitles,0)))),"",AND(ISBLANK(INDEX(PlotData,MATCH($A599,PlotNumber,0),MATCH(H$3,PlotTitles,0)))=FALSE,INDEX(PlotData,MATCH($A599,PlotNumber,0),MATCH(H$3,PlotTitles,0))&lt;500), $AB$11,TRUE,"")</f>
        <v/>
      </c>
      <c r="I599" s="104" t="str" cm="1">
        <f t="array" ref="I599">_xlfn.IFS(AND(A599&gt;NumberOfPlots,ISBLANK(INDEX(PlotData,MATCH($A599,PlotNumber,0),MATCH(B$3,PlotTitles,0)))),"",ISBLANK(INDEX(PlotData,MATCH($A599,PlotNumber,0),MATCH(I$3,PlotTitles,0))),$AB$12,TRUE,"")</f>
        <v/>
      </c>
      <c r="J599" s="104" t="str" cm="1">
        <f t="array" ref="J599">_xlfn.IFS(AND(A599&gt;NumberOfPlots,ISBLANK(INDEX(PlotData,MATCH($A599,PlotNumber,0),MATCH(B$3,PlotTitles,0)))),"",ISBLANK(INDEX(PlotData,MATCH($A599,PlotNumber,0),MATCH(J$3,PlotTitles,0))),$AB$13,TRUE,"")</f>
        <v/>
      </c>
      <c r="K599" s="182" t="str">
        <f t="shared" ca="1" si="27"/>
        <v/>
      </c>
      <c r="L599" s="104" t="str" cm="1">
        <f t="array" ref="L599">_xlfn.IFS(OR(ISBLANK(StartDateMonth),ISBLANK(StartDateYear)),"",AND(A599&gt;NumberOfPlots,ISBLANK(INDEX(PlotData,MATCH($A599,PlotNumber,0),MATCH(B$3,PlotTitles,0)))),"",ISBLANK(INDEX(PlotData,MATCH($A599,PlotNumber,0),MATCH(I$3,PlotTitles,0))),"",(DATEVALUE(INDEX(PlotData,MATCH($A599,PlotNumber,0),MATCH(I$3,PlotTitles,0))&amp;INDEX(PlotData,MATCH($A599,PlotNumber,0),MATCH(J$3,PlotTitles,0))))&lt;DATEVALUE(StartDateMonth&amp;StartDateYear),$AB$15,TRUE,"")</f>
        <v/>
      </c>
      <c r="M599" s="104" t="str" cm="1">
        <f t="array" ref="M599">_xlfn.IFS(OR(ISBLANK(StartDateMonth),ISBLANK(StartDateYear)),"",AND(A599&gt;NumberOfPlots,ISBLANK(INDEX(PlotData,MATCH($A599,PlotNumber,0),MATCH(B$3,PlotTitles,0)))),"",ISBLANK(INDEX(PlotData,MATCH($A599,PlotNumber,0),MATCH(I$3,PlotTitles,0))),"",CompletionMonth="","",(DATEVALUE(INDEX(PlotData,MATCH($A599,PlotNumber,0),MATCH(I$3,PlotTitles,0))&amp;INDEX(PlotData,MATCH($A599,PlotNumber,0),MATCH(J$3,PlotTitles,0))))&gt;(DATEVALUE(CompletionMonth&amp;CompletionYear)),$AB$16,TRUE,"")</f>
        <v/>
      </c>
      <c r="N599" s="104" t="str" cm="1">
        <f t="array" ref="N599">_xlfn.IFS(AND(A599&gt;NumberOfPlots,ISBLANK(INDEX(PlotData,MATCH($A599,PlotNumber,0),MATCH(B$3,PlotTitles,0)))),"",ISBLANK(INDEX(PlotData,MATCH($A599,PlotNumber,0),MATCH(N$3,PlotTitles,0))),$AB$17,TRUE,"")</f>
        <v/>
      </c>
      <c r="O599" s="104" t="str" cm="1">
        <f t="array" ref="O599">_xlfn.IFS(AND(A599&gt;NumberOfPlots,ISBLANK(INDEX(PlotData,MATCH($A599,PlotNumber,0),MATCH(B$3,PlotTitles,0)))),"",ISBLANK(INDEX(PlotData,MATCH($A599,PlotNumber,0),MATCH(O$3,PlotTitles,0))),$AB$18,TRUE,"")</f>
        <v/>
      </c>
      <c r="P599" s="182" t="str">
        <f t="shared" ca="1" si="28"/>
        <v/>
      </c>
      <c r="Q599" s="104" t="str" cm="1">
        <f t="array" ref="Q599">_xlfn.IFS(AND(A599&gt;NumberOfPlots,ISBLANK(INDEX(PlotData,MATCH($A599,PlotNumber,0),MATCH(B$3,PlotTitles,0)))),"",ISBLANK(INDEX(PlotData,MATCH($A599,PlotNumber,0),MATCH(N$3,PlotTitles,0))),"",(DATEVALUE(INDEX(PlotData,MATCH($A599,PlotNumber,0),MATCH(N$3,PlotTitles,0))&amp;INDEX(PlotData,MATCH($A599,PlotNumber,0),MATCH(O$3,PlotTitles,0))))&lt;(DATEVALUE(INDEX(PlotData,MATCH($A599,PlotNumber,0),MATCH(I$3,PlotTitles,0))&amp;INDEX(PlotData,MATCH($A599,PlotNumber,0),MATCH(J$3,PlotTitles,0)))),$AB$20,TRUE,"")</f>
        <v/>
      </c>
      <c r="R599" s="104" t="str" cm="1">
        <f t="array" ref="R599">_xlfn.IFS(OR(ISBLANK(StartDateMonth),ISBLANK(StartDateYear)),"",AND(A599&gt;NumberOfPlots,ISBLANK(INDEX(PlotData,MATCH($A599,PlotNumber,0),MATCH(B$3,PlotTitles,0)))),"",ISBLANK(INDEX(PlotData,MATCH($A599,PlotNumber,0),MATCH(N$3,PlotTitles,0))),"",CompletionMonth="","",(DATEVALUE(INDEX(PlotData,MATCH($A599,PlotNumber,0),MATCH(N$3,PlotTitles,0))&amp;INDEX(PlotData,MATCH($A599,PlotNumber,0),MATCH(O$3,PlotTitles,0))))&gt;(DATEVALUE(CompletionMonth&amp;CompletionYear)),$AB$21,TRUE,"")</f>
        <v/>
      </c>
      <c r="S599" s="104" t="str" cm="1">
        <f t="array" ref="S599">_xlfn.IFS(AND(A599&gt;NumberOfPlots,ISBLANK(INDEX(PlotData,MATCH($A599,PlotNumber,0),MATCH(B$3,PlotTitles,0)))),"",OR(AND(INDEX(PlotData,MATCH($A599,PlotNumber,0),MATCH("Tenure",PlotTitles,0))="Open market housing",INDEX(PlotData,MATCH($A599,PlotNumber,0),MATCH("Tenure detail",PlotTitles,0))="Private rented sector"),INDEX(PlotData,MATCH($A599,PlotNumber,0),MATCH("Tenure",PlotTitles,0))="Affordable rent"),"",ISNUMBER(INDEX(PlotData,MATCH($A599,PlotNumber,0),MATCH(S$3,PlotTitles,0)))=FALSE, $AB$22,TRUE,"")</f>
        <v/>
      </c>
      <c r="T599" s="104" t="str" cm="1">
        <f t="array" ref="T599">_xlfn.IFS(AND(A599&gt;NumberOfPlots,ISBLANK(INDEX(PlotData,MATCH($A599,PlotNumber,0),MATCH(B$3,PlotTitles,0)))),"",OR(AND(INDEX(PlotData,MATCH($A599,PlotNumber,0),MATCH("Tenure",PlotTitles,0))="Open market housing",INDEX(PlotData,MATCH($A599,PlotNumber,0),MATCH("Tenure detail",PlotTitles,0))="Private rented sector"),INDEX(PlotData,MATCH($A599,PlotNumber,0),MATCH("Tenure",PlotTitles,0))="Affordable rent"),"",INDEX(PlotData,MATCH($A599,PlotNumber,0),MATCH(S$3,PlotTitles,0))&lt;10000, $AB$23,TRUE,"")</f>
        <v/>
      </c>
      <c r="U599" s="104" t="str" cm="1">
        <f t="array" ref="U599">_xlfn.IFS(AND(A599&gt;NumberOfPlots,ISBLANK(INDEX(PlotData,MATCH($A599,PlotNumber,0),MATCH(B$3,PlotTitles,0)))),"",NOT(OR(AND(INDEX(PlotData,MATCH($A599,PlotNumber,0),MATCH("Tenure",PlotTitles,0))="Open market housing",INDEX(PlotData,MATCH($A599,PlotNumber,0),MATCH("Tenure detail",PlotTitles,0))="Private rented sector"),INDEX(PlotData,MATCH($A599,PlotNumber,0),MATCH("Tenure",PlotTitles,0))="Affordable rent")),"",NOT(INDEX(PlotData,MATCH($A599,PlotNumber,0),MATCH(S$3,PlotTitles,0))=0), $AB$24,TRUE,"")</f>
        <v/>
      </c>
      <c r="V599" s="114" t="str" cm="1">
        <f t="array" aca="1" ref="V599" ca="1">_xlfn.IFS(ISBLANK(NumberOfPlots),"Enter the number of homes on the 1_SetUp sheet",AND(A599&gt;NumberOfPlots,ISBLANK(INDEX(PlotData,MATCH($A599,PlotNumber,0),MATCH(B$3,PlotTitles,0)))),"No error",NOT(B599=""),B599,NOT(C599=""),C599,NOT(D599=""),D599,NOT(E599=""),E599,NOT(F599=""),F599,NOT(G599=""),G599,NOT(H599=""),H599,NOT(I599=""),I599,NOT(J599=""),J599,NOT(K599=""),K599,NOT(L599=""),L599,NOT(M599=""),M599,NOT(N599=""),N599,NOT(O599=""),O599,NOT(P599=""),P599,NOT(Q599=""),Q599,NOT(R599=""),R599,NOT(S599=""),S599,NOT(T599=""),T599,NOT(U599=""),U599,TRUE,"No error")</f>
        <v>Enter the number of homes on the 1_SetUp sheet</v>
      </c>
      <c r="W599" s="114" t="str">
        <f t="shared" ca="1" si="29"/>
        <v xml:space="preserve">The Borrower has not addressed the following error messages for Home ID 595: </v>
      </c>
    </row>
    <row r="600" spans="1:23">
      <c r="A600" s="123">
        <v>596</v>
      </c>
      <c r="B600" s="104" t="str" cm="1">
        <f t="array" ref="B600">_xlfn.IFS(AND(A600&gt;NumberOfPlots,ISBLANK(INDEX(PlotData,MATCH($A600,PlotNumber,0),MATCH(B$3,PlotTitles,0)))),"",ISNUMBER(INDEX(PlotData,MATCH($A600,PlotNumber,0),MATCH(B$3,PlotTitles,0)))=FALSE, $AB$5,TRUE,"")</f>
        <v/>
      </c>
      <c r="C600" s="104" t="str" cm="1">
        <f t="array" ref="C600">_xlfn.IFS(AND(A600&gt;NumberOfPlots,ISBLANK(INDEX(PlotData,MATCH($A600,PlotNumber,0),MATCH(B$3,PlotTitles,0)))),"",ISBLANK(INDEX(PlotData,MATCH($A600,PlotNumber,0),MATCH(C$3,PlotTitles,0))),$AB$6,TRUE,"")</f>
        <v/>
      </c>
      <c r="D600" s="104" t="str" cm="1">
        <f t="array" ref="D600">_xlfn.IFS(AND(A600&gt;NumberOfPlots,ISBLANK(INDEX(PlotData,MATCH($A600,PlotNumber,0),MATCH(B$3,PlotTitles,0)))),"",ISBLANK(INDEX(PlotData,MATCH($A600,PlotNumber,0),MATCH(D$3,PlotTitles,0))),$AB$7,TRUE,"")</f>
        <v/>
      </c>
      <c r="E600" s="104" t="str" cm="1">
        <f t="array" ref="E600">_xlfn.IFS(AND(A600&gt;NumberOfPlots,ISBLANK(INDEX(PlotData,MATCH($A600,PlotNumber,0),MATCH(B$3,PlotTitles,0)))),"",ISBLANK(INDEX(PlotData,MATCH($A600,PlotNumber,0),MATCH(E$3,PlotTitles,0))),$AB$8,TRUE,"")</f>
        <v/>
      </c>
      <c r="F600" s="104" t="str" cm="1">
        <f t="array" ref="F600">_xlfn.IFS(AND(A600&gt;NumberOfPlots,ISBLANK(INDEX(PlotData,MATCH($A600,PlotNumber,0),MATCH(B$3,PlotTitles,0)))),"",ISBLANK(INDEX(PlotData,MATCH($A600,PlotNumber,0),MATCH(F$3,PlotTitles,0))),$AB$9,TRUE,"")</f>
        <v/>
      </c>
      <c r="G600" s="104" t="str" cm="1">
        <f t="array" ref="G600">_xlfn.IFS(AND(A600&gt;NumberOfPlots,ISBLANK(INDEX(PlotData,MATCH($A600,PlotNumber,0),MATCH(B$3,PlotTitles,0)))),"",ISBLANK(INDEX(PlotData,MATCH($A600,PlotNumber,0),MATCH(G$3,PlotTitles,0))),$AB$10,TRUE,"")</f>
        <v/>
      </c>
      <c r="H600" s="104" t="str" cm="1">
        <f t="array" ref="H600">_xlfn.IFS(AND(A600&gt;NumberOfPlots,ISBLANK(INDEX(PlotData,MATCH($A600,PlotNumber,0),MATCH(B$3,PlotTitles,0)))),"",AND(ISBLANK(INDEX(PlotData,MATCH($A600,PlotNumber,0),MATCH(H$3,PlotTitles,0)))=FALSE,INDEX(PlotData,MATCH($A600,PlotNumber,0),MATCH(H$3,PlotTitles,0))&lt;500), $AB$11,TRUE,"")</f>
        <v/>
      </c>
      <c r="I600" s="104" t="str" cm="1">
        <f t="array" ref="I600">_xlfn.IFS(AND(A600&gt;NumberOfPlots,ISBLANK(INDEX(PlotData,MATCH($A600,PlotNumber,0),MATCH(B$3,PlotTitles,0)))),"",ISBLANK(INDEX(PlotData,MATCH($A600,PlotNumber,0),MATCH(I$3,PlotTitles,0))),$AB$12,TRUE,"")</f>
        <v/>
      </c>
      <c r="J600" s="104" t="str" cm="1">
        <f t="array" ref="J600">_xlfn.IFS(AND(A600&gt;NumberOfPlots,ISBLANK(INDEX(PlotData,MATCH($A600,PlotNumber,0),MATCH(B$3,PlotTitles,0)))),"",ISBLANK(INDEX(PlotData,MATCH($A600,PlotNumber,0),MATCH(J$3,PlotTitles,0))),$AB$13,TRUE,"")</f>
        <v/>
      </c>
      <c r="K600" s="182" t="str">
        <f t="shared" ca="1" si="27"/>
        <v/>
      </c>
      <c r="L600" s="104" t="str" cm="1">
        <f t="array" ref="L600">_xlfn.IFS(OR(ISBLANK(StartDateMonth),ISBLANK(StartDateYear)),"",AND(A600&gt;NumberOfPlots,ISBLANK(INDEX(PlotData,MATCH($A600,PlotNumber,0),MATCH(B$3,PlotTitles,0)))),"",ISBLANK(INDEX(PlotData,MATCH($A600,PlotNumber,0),MATCH(I$3,PlotTitles,0))),"",(DATEVALUE(INDEX(PlotData,MATCH($A600,PlotNumber,0),MATCH(I$3,PlotTitles,0))&amp;INDEX(PlotData,MATCH($A600,PlotNumber,0),MATCH(J$3,PlotTitles,0))))&lt;DATEVALUE(StartDateMonth&amp;StartDateYear),$AB$15,TRUE,"")</f>
        <v/>
      </c>
      <c r="M600" s="104" t="str" cm="1">
        <f t="array" ref="M600">_xlfn.IFS(OR(ISBLANK(StartDateMonth),ISBLANK(StartDateYear)),"",AND(A600&gt;NumberOfPlots,ISBLANK(INDEX(PlotData,MATCH($A600,PlotNumber,0),MATCH(B$3,PlotTitles,0)))),"",ISBLANK(INDEX(PlotData,MATCH($A600,PlotNumber,0),MATCH(I$3,PlotTitles,0))),"",CompletionMonth="","",(DATEVALUE(INDEX(PlotData,MATCH($A600,PlotNumber,0),MATCH(I$3,PlotTitles,0))&amp;INDEX(PlotData,MATCH($A600,PlotNumber,0),MATCH(J$3,PlotTitles,0))))&gt;(DATEVALUE(CompletionMonth&amp;CompletionYear)),$AB$16,TRUE,"")</f>
        <v/>
      </c>
      <c r="N600" s="104" t="str" cm="1">
        <f t="array" ref="N600">_xlfn.IFS(AND(A600&gt;NumberOfPlots,ISBLANK(INDEX(PlotData,MATCH($A600,PlotNumber,0),MATCH(B$3,PlotTitles,0)))),"",ISBLANK(INDEX(PlotData,MATCH($A600,PlotNumber,0),MATCH(N$3,PlotTitles,0))),$AB$17,TRUE,"")</f>
        <v/>
      </c>
      <c r="O600" s="104" t="str" cm="1">
        <f t="array" ref="O600">_xlfn.IFS(AND(A600&gt;NumberOfPlots,ISBLANK(INDEX(PlotData,MATCH($A600,PlotNumber,0),MATCH(B$3,PlotTitles,0)))),"",ISBLANK(INDEX(PlotData,MATCH($A600,PlotNumber,0),MATCH(O$3,PlotTitles,0))),$AB$18,TRUE,"")</f>
        <v/>
      </c>
      <c r="P600" s="182" t="str">
        <f t="shared" ca="1" si="28"/>
        <v/>
      </c>
      <c r="Q600" s="104" t="str" cm="1">
        <f t="array" ref="Q600">_xlfn.IFS(AND(A600&gt;NumberOfPlots,ISBLANK(INDEX(PlotData,MATCH($A600,PlotNumber,0),MATCH(B$3,PlotTitles,0)))),"",ISBLANK(INDEX(PlotData,MATCH($A600,PlotNumber,0),MATCH(N$3,PlotTitles,0))),"",(DATEVALUE(INDEX(PlotData,MATCH($A600,PlotNumber,0),MATCH(N$3,PlotTitles,0))&amp;INDEX(PlotData,MATCH($A600,PlotNumber,0),MATCH(O$3,PlotTitles,0))))&lt;(DATEVALUE(INDEX(PlotData,MATCH($A600,PlotNumber,0),MATCH(I$3,PlotTitles,0))&amp;INDEX(PlotData,MATCH($A600,PlotNumber,0),MATCH(J$3,PlotTitles,0)))),$AB$20,TRUE,"")</f>
        <v/>
      </c>
      <c r="R600" s="104" t="str" cm="1">
        <f t="array" ref="R600">_xlfn.IFS(OR(ISBLANK(StartDateMonth),ISBLANK(StartDateYear)),"",AND(A600&gt;NumberOfPlots,ISBLANK(INDEX(PlotData,MATCH($A600,PlotNumber,0),MATCH(B$3,PlotTitles,0)))),"",ISBLANK(INDEX(PlotData,MATCH($A600,PlotNumber,0),MATCH(N$3,PlotTitles,0))),"",CompletionMonth="","",(DATEVALUE(INDEX(PlotData,MATCH($A600,PlotNumber,0),MATCH(N$3,PlotTitles,0))&amp;INDEX(PlotData,MATCH($A600,PlotNumber,0),MATCH(O$3,PlotTitles,0))))&gt;(DATEVALUE(CompletionMonth&amp;CompletionYear)),$AB$21,TRUE,"")</f>
        <v/>
      </c>
      <c r="S600" s="104" t="str" cm="1">
        <f t="array" ref="S600">_xlfn.IFS(AND(A600&gt;NumberOfPlots,ISBLANK(INDEX(PlotData,MATCH($A600,PlotNumber,0),MATCH(B$3,PlotTitles,0)))),"",OR(AND(INDEX(PlotData,MATCH($A600,PlotNumber,0),MATCH("Tenure",PlotTitles,0))="Open market housing",INDEX(PlotData,MATCH($A600,PlotNumber,0),MATCH("Tenure detail",PlotTitles,0))="Private rented sector"),INDEX(PlotData,MATCH($A600,PlotNumber,0),MATCH("Tenure",PlotTitles,0))="Affordable rent"),"",ISNUMBER(INDEX(PlotData,MATCH($A600,PlotNumber,0),MATCH(S$3,PlotTitles,0)))=FALSE, $AB$22,TRUE,"")</f>
        <v/>
      </c>
      <c r="T600" s="104" t="str" cm="1">
        <f t="array" ref="T600">_xlfn.IFS(AND(A600&gt;NumberOfPlots,ISBLANK(INDEX(PlotData,MATCH($A600,PlotNumber,0),MATCH(B$3,PlotTitles,0)))),"",OR(AND(INDEX(PlotData,MATCH($A600,PlotNumber,0),MATCH("Tenure",PlotTitles,0))="Open market housing",INDEX(PlotData,MATCH($A600,PlotNumber,0),MATCH("Tenure detail",PlotTitles,0))="Private rented sector"),INDEX(PlotData,MATCH($A600,PlotNumber,0),MATCH("Tenure",PlotTitles,0))="Affordable rent"),"",INDEX(PlotData,MATCH($A600,PlotNumber,0),MATCH(S$3,PlotTitles,0))&lt;10000, $AB$23,TRUE,"")</f>
        <v/>
      </c>
      <c r="U600" s="104" t="str" cm="1">
        <f t="array" ref="U600">_xlfn.IFS(AND(A600&gt;NumberOfPlots,ISBLANK(INDEX(PlotData,MATCH($A600,PlotNumber,0),MATCH(B$3,PlotTitles,0)))),"",NOT(OR(AND(INDEX(PlotData,MATCH($A600,PlotNumber,0),MATCH("Tenure",PlotTitles,0))="Open market housing",INDEX(PlotData,MATCH($A600,PlotNumber,0),MATCH("Tenure detail",PlotTitles,0))="Private rented sector"),INDEX(PlotData,MATCH($A600,PlotNumber,0),MATCH("Tenure",PlotTitles,0))="Affordable rent")),"",NOT(INDEX(PlotData,MATCH($A600,PlotNumber,0),MATCH(S$3,PlotTitles,0))=0), $AB$24,TRUE,"")</f>
        <v/>
      </c>
      <c r="V600" s="114" t="str" cm="1">
        <f t="array" aca="1" ref="V600" ca="1">_xlfn.IFS(ISBLANK(NumberOfPlots),"Enter the number of homes on the 1_SetUp sheet",AND(A600&gt;NumberOfPlots,ISBLANK(INDEX(PlotData,MATCH($A600,PlotNumber,0),MATCH(B$3,PlotTitles,0)))),"No error",NOT(B600=""),B600,NOT(C600=""),C600,NOT(D600=""),D600,NOT(E600=""),E600,NOT(F600=""),F600,NOT(G600=""),G600,NOT(H600=""),H600,NOT(I600=""),I600,NOT(J600=""),J600,NOT(K600=""),K600,NOT(L600=""),L600,NOT(M600=""),M600,NOT(N600=""),N600,NOT(O600=""),O600,NOT(P600=""),P600,NOT(Q600=""),Q600,NOT(R600=""),R600,NOT(S600=""),S600,NOT(T600=""),T600,NOT(U600=""),U600,TRUE,"No error")</f>
        <v>Enter the number of homes on the 1_SetUp sheet</v>
      </c>
      <c r="W600" s="114" t="str">
        <f t="shared" ca="1" si="29"/>
        <v xml:space="preserve">The Borrower has not addressed the following error messages for Home ID 596: </v>
      </c>
    </row>
    <row r="601" spans="1:23">
      <c r="A601" s="123">
        <v>597</v>
      </c>
      <c r="B601" s="104" t="str" cm="1">
        <f t="array" ref="B601">_xlfn.IFS(AND(A601&gt;NumberOfPlots,ISBLANK(INDEX(PlotData,MATCH($A601,PlotNumber,0),MATCH(B$3,PlotTitles,0)))),"",ISNUMBER(INDEX(PlotData,MATCH($A601,PlotNumber,0),MATCH(B$3,PlotTitles,0)))=FALSE, $AB$5,TRUE,"")</f>
        <v/>
      </c>
      <c r="C601" s="104" t="str" cm="1">
        <f t="array" ref="C601">_xlfn.IFS(AND(A601&gt;NumberOfPlots,ISBLANK(INDEX(PlotData,MATCH($A601,PlotNumber,0),MATCH(B$3,PlotTitles,0)))),"",ISBLANK(INDEX(PlotData,MATCH($A601,PlotNumber,0),MATCH(C$3,PlotTitles,0))),$AB$6,TRUE,"")</f>
        <v/>
      </c>
      <c r="D601" s="104" t="str" cm="1">
        <f t="array" ref="D601">_xlfn.IFS(AND(A601&gt;NumberOfPlots,ISBLANK(INDEX(PlotData,MATCH($A601,PlotNumber,0),MATCH(B$3,PlotTitles,0)))),"",ISBLANK(INDEX(PlotData,MATCH($A601,PlotNumber,0),MATCH(D$3,PlotTitles,0))),$AB$7,TRUE,"")</f>
        <v/>
      </c>
      <c r="E601" s="104" t="str" cm="1">
        <f t="array" ref="E601">_xlfn.IFS(AND(A601&gt;NumberOfPlots,ISBLANK(INDEX(PlotData,MATCH($A601,PlotNumber,0),MATCH(B$3,PlotTitles,0)))),"",ISBLANK(INDEX(PlotData,MATCH($A601,PlotNumber,0),MATCH(E$3,PlotTitles,0))),$AB$8,TRUE,"")</f>
        <v/>
      </c>
      <c r="F601" s="104" t="str" cm="1">
        <f t="array" ref="F601">_xlfn.IFS(AND(A601&gt;NumberOfPlots,ISBLANK(INDEX(PlotData,MATCH($A601,PlotNumber,0),MATCH(B$3,PlotTitles,0)))),"",ISBLANK(INDEX(PlotData,MATCH($A601,PlotNumber,0),MATCH(F$3,PlotTitles,0))),$AB$9,TRUE,"")</f>
        <v/>
      </c>
      <c r="G601" s="104" t="str" cm="1">
        <f t="array" ref="G601">_xlfn.IFS(AND(A601&gt;NumberOfPlots,ISBLANK(INDEX(PlotData,MATCH($A601,PlotNumber,0),MATCH(B$3,PlotTitles,0)))),"",ISBLANK(INDEX(PlotData,MATCH($A601,PlotNumber,0),MATCH(G$3,PlotTitles,0))),$AB$10,TRUE,"")</f>
        <v/>
      </c>
      <c r="H601" s="104" t="str" cm="1">
        <f t="array" ref="H601">_xlfn.IFS(AND(A601&gt;NumberOfPlots,ISBLANK(INDEX(PlotData,MATCH($A601,PlotNumber,0),MATCH(B$3,PlotTitles,0)))),"",AND(ISBLANK(INDEX(PlotData,MATCH($A601,PlotNumber,0),MATCH(H$3,PlotTitles,0)))=FALSE,INDEX(PlotData,MATCH($A601,PlotNumber,0),MATCH(H$3,PlotTitles,0))&lt;500), $AB$11,TRUE,"")</f>
        <v/>
      </c>
      <c r="I601" s="104" t="str" cm="1">
        <f t="array" ref="I601">_xlfn.IFS(AND(A601&gt;NumberOfPlots,ISBLANK(INDEX(PlotData,MATCH($A601,PlotNumber,0),MATCH(B$3,PlotTitles,0)))),"",ISBLANK(INDEX(PlotData,MATCH($A601,PlotNumber,0),MATCH(I$3,PlotTitles,0))),$AB$12,TRUE,"")</f>
        <v/>
      </c>
      <c r="J601" s="104" t="str" cm="1">
        <f t="array" ref="J601">_xlfn.IFS(AND(A601&gt;NumberOfPlots,ISBLANK(INDEX(PlotData,MATCH($A601,PlotNumber,0),MATCH(B$3,PlotTitles,0)))),"",ISBLANK(INDEX(PlotData,MATCH($A601,PlotNumber,0),MATCH(J$3,PlotTitles,0))),$AB$13,TRUE,"")</f>
        <v/>
      </c>
      <c r="K601" s="182" t="str">
        <f t="shared" ca="1" si="27"/>
        <v/>
      </c>
      <c r="L601" s="104" t="str" cm="1">
        <f t="array" ref="L601">_xlfn.IFS(OR(ISBLANK(StartDateMonth),ISBLANK(StartDateYear)),"",AND(A601&gt;NumberOfPlots,ISBLANK(INDEX(PlotData,MATCH($A601,PlotNumber,0),MATCH(B$3,PlotTitles,0)))),"",ISBLANK(INDEX(PlotData,MATCH($A601,PlotNumber,0),MATCH(I$3,PlotTitles,0))),"",(DATEVALUE(INDEX(PlotData,MATCH($A601,PlotNumber,0),MATCH(I$3,PlotTitles,0))&amp;INDEX(PlotData,MATCH($A601,PlotNumber,0),MATCH(J$3,PlotTitles,0))))&lt;DATEVALUE(StartDateMonth&amp;StartDateYear),$AB$15,TRUE,"")</f>
        <v/>
      </c>
      <c r="M601" s="104" t="str" cm="1">
        <f t="array" ref="M601">_xlfn.IFS(OR(ISBLANK(StartDateMonth),ISBLANK(StartDateYear)),"",AND(A601&gt;NumberOfPlots,ISBLANK(INDEX(PlotData,MATCH($A601,PlotNumber,0),MATCH(B$3,PlotTitles,0)))),"",ISBLANK(INDEX(PlotData,MATCH($A601,PlotNumber,0),MATCH(I$3,PlotTitles,0))),"",CompletionMonth="","",(DATEVALUE(INDEX(PlotData,MATCH($A601,PlotNumber,0),MATCH(I$3,PlotTitles,0))&amp;INDEX(PlotData,MATCH($A601,PlotNumber,0),MATCH(J$3,PlotTitles,0))))&gt;(DATEVALUE(CompletionMonth&amp;CompletionYear)),$AB$16,TRUE,"")</f>
        <v/>
      </c>
      <c r="N601" s="104" t="str" cm="1">
        <f t="array" ref="N601">_xlfn.IFS(AND(A601&gt;NumberOfPlots,ISBLANK(INDEX(PlotData,MATCH($A601,PlotNumber,0),MATCH(B$3,PlotTitles,0)))),"",ISBLANK(INDEX(PlotData,MATCH($A601,PlotNumber,0),MATCH(N$3,PlotTitles,0))),$AB$17,TRUE,"")</f>
        <v/>
      </c>
      <c r="O601" s="104" t="str" cm="1">
        <f t="array" ref="O601">_xlfn.IFS(AND(A601&gt;NumberOfPlots,ISBLANK(INDEX(PlotData,MATCH($A601,PlotNumber,0),MATCH(B$3,PlotTitles,0)))),"",ISBLANK(INDEX(PlotData,MATCH($A601,PlotNumber,0),MATCH(O$3,PlotTitles,0))),$AB$18,TRUE,"")</f>
        <v/>
      </c>
      <c r="P601" s="182" t="str">
        <f t="shared" ca="1" si="28"/>
        <v/>
      </c>
      <c r="Q601" s="104" t="str" cm="1">
        <f t="array" ref="Q601">_xlfn.IFS(AND(A601&gt;NumberOfPlots,ISBLANK(INDEX(PlotData,MATCH($A601,PlotNumber,0),MATCH(B$3,PlotTitles,0)))),"",ISBLANK(INDEX(PlotData,MATCH($A601,PlotNumber,0),MATCH(N$3,PlotTitles,0))),"",(DATEVALUE(INDEX(PlotData,MATCH($A601,PlotNumber,0),MATCH(N$3,PlotTitles,0))&amp;INDEX(PlotData,MATCH($A601,PlotNumber,0),MATCH(O$3,PlotTitles,0))))&lt;(DATEVALUE(INDEX(PlotData,MATCH($A601,PlotNumber,0),MATCH(I$3,PlotTitles,0))&amp;INDEX(PlotData,MATCH($A601,PlotNumber,0),MATCH(J$3,PlotTitles,0)))),$AB$20,TRUE,"")</f>
        <v/>
      </c>
      <c r="R601" s="104" t="str" cm="1">
        <f t="array" ref="R601">_xlfn.IFS(OR(ISBLANK(StartDateMonth),ISBLANK(StartDateYear)),"",AND(A601&gt;NumberOfPlots,ISBLANK(INDEX(PlotData,MATCH($A601,PlotNumber,0),MATCH(B$3,PlotTitles,0)))),"",ISBLANK(INDEX(PlotData,MATCH($A601,PlotNumber,0),MATCH(N$3,PlotTitles,0))),"",CompletionMonth="","",(DATEVALUE(INDEX(PlotData,MATCH($A601,PlotNumber,0),MATCH(N$3,PlotTitles,0))&amp;INDEX(PlotData,MATCH($A601,PlotNumber,0),MATCH(O$3,PlotTitles,0))))&gt;(DATEVALUE(CompletionMonth&amp;CompletionYear)),$AB$21,TRUE,"")</f>
        <v/>
      </c>
      <c r="S601" s="104" t="str" cm="1">
        <f t="array" ref="S601">_xlfn.IFS(AND(A601&gt;NumberOfPlots,ISBLANK(INDEX(PlotData,MATCH($A601,PlotNumber,0),MATCH(B$3,PlotTitles,0)))),"",OR(AND(INDEX(PlotData,MATCH($A601,PlotNumber,0),MATCH("Tenure",PlotTitles,0))="Open market housing",INDEX(PlotData,MATCH($A601,PlotNumber,0),MATCH("Tenure detail",PlotTitles,0))="Private rented sector"),INDEX(PlotData,MATCH($A601,PlotNumber,0),MATCH("Tenure",PlotTitles,0))="Affordable rent"),"",ISNUMBER(INDEX(PlotData,MATCH($A601,PlotNumber,0),MATCH(S$3,PlotTitles,0)))=FALSE, $AB$22,TRUE,"")</f>
        <v/>
      </c>
      <c r="T601" s="104" t="str" cm="1">
        <f t="array" ref="T601">_xlfn.IFS(AND(A601&gt;NumberOfPlots,ISBLANK(INDEX(PlotData,MATCH($A601,PlotNumber,0),MATCH(B$3,PlotTitles,0)))),"",OR(AND(INDEX(PlotData,MATCH($A601,PlotNumber,0),MATCH("Tenure",PlotTitles,0))="Open market housing",INDEX(PlotData,MATCH($A601,PlotNumber,0),MATCH("Tenure detail",PlotTitles,0))="Private rented sector"),INDEX(PlotData,MATCH($A601,PlotNumber,0),MATCH("Tenure",PlotTitles,0))="Affordable rent"),"",INDEX(PlotData,MATCH($A601,PlotNumber,0),MATCH(S$3,PlotTitles,0))&lt;10000, $AB$23,TRUE,"")</f>
        <v/>
      </c>
      <c r="U601" s="104" t="str" cm="1">
        <f t="array" ref="U601">_xlfn.IFS(AND(A601&gt;NumberOfPlots,ISBLANK(INDEX(PlotData,MATCH($A601,PlotNumber,0),MATCH(B$3,PlotTitles,0)))),"",NOT(OR(AND(INDEX(PlotData,MATCH($A601,PlotNumber,0),MATCH("Tenure",PlotTitles,0))="Open market housing",INDEX(PlotData,MATCH($A601,PlotNumber,0),MATCH("Tenure detail",PlotTitles,0))="Private rented sector"),INDEX(PlotData,MATCH($A601,PlotNumber,0),MATCH("Tenure",PlotTitles,0))="Affordable rent")),"",NOT(INDEX(PlotData,MATCH($A601,PlotNumber,0),MATCH(S$3,PlotTitles,0))=0), $AB$24,TRUE,"")</f>
        <v/>
      </c>
      <c r="V601" s="114" t="str" cm="1">
        <f t="array" aca="1" ref="V601" ca="1">_xlfn.IFS(ISBLANK(NumberOfPlots),"Enter the number of homes on the 1_SetUp sheet",AND(A601&gt;NumberOfPlots,ISBLANK(INDEX(PlotData,MATCH($A601,PlotNumber,0),MATCH(B$3,PlotTitles,0)))),"No error",NOT(B601=""),B601,NOT(C601=""),C601,NOT(D601=""),D601,NOT(E601=""),E601,NOT(F601=""),F601,NOT(G601=""),G601,NOT(H601=""),H601,NOT(I601=""),I601,NOT(J601=""),J601,NOT(K601=""),K601,NOT(L601=""),L601,NOT(M601=""),M601,NOT(N601=""),N601,NOT(O601=""),O601,NOT(P601=""),P601,NOT(Q601=""),Q601,NOT(R601=""),R601,NOT(S601=""),S601,NOT(T601=""),T601,NOT(U601=""),U601,TRUE,"No error")</f>
        <v>Enter the number of homes on the 1_SetUp sheet</v>
      </c>
      <c r="W601" s="114" t="str">
        <f t="shared" ca="1" si="29"/>
        <v xml:space="preserve">The Borrower has not addressed the following error messages for Home ID 597: </v>
      </c>
    </row>
    <row r="602" spans="1:23">
      <c r="A602" s="123">
        <v>598</v>
      </c>
      <c r="B602" s="104" t="str" cm="1">
        <f t="array" ref="B602">_xlfn.IFS(AND(A602&gt;NumberOfPlots,ISBLANK(INDEX(PlotData,MATCH($A602,PlotNumber,0),MATCH(B$3,PlotTitles,0)))),"",ISNUMBER(INDEX(PlotData,MATCH($A602,PlotNumber,0),MATCH(B$3,PlotTitles,0)))=FALSE, $AB$5,TRUE,"")</f>
        <v/>
      </c>
      <c r="C602" s="104" t="str" cm="1">
        <f t="array" ref="C602">_xlfn.IFS(AND(A602&gt;NumberOfPlots,ISBLANK(INDEX(PlotData,MATCH($A602,PlotNumber,0),MATCH(B$3,PlotTitles,0)))),"",ISBLANK(INDEX(PlotData,MATCH($A602,PlotNumber,0),MATCH(C$3,PlotTitles,0))),$AB$6,TRUE,"")</f>
        <v/>
      </c>
      <c r="D602" s="104" t="str" cm="1">
        <f t="array" ref="D602">_xlfn.IFS(AND(A602&gt;NumberOfPlots,ISBLANK(INDEX(PlotData,MATCH($A602,PlotNumber,0),MATCH(B$3,PlotTitles,0)))),"",ISBLANK(INDEX(PlotData,MATCH($A602,PlotNumber,0),MATCH(D$3,PlotTitles,0))),$AB$7,TRUE,"")</f>
        <v/>
      </c>
      <c r="E602" s="104" t="str" cm="1">
        <f t="array" ref="E602">_xlfn.IFS(AND(A602&gt;NumberOfPlots,ISBLANK(INDEX(PlotData,MATCH($A602,PlotNumber,0),MATCH(B$3,PlotTitles,0)))),"",ISBLANK(INDEX(PlotData,MATCH($A602,PlotNumber,0),MATCH(E$3,PlotTitles,0))),$AB$8,TRUE,"")</f>
        <v/>
      </c>
      <c r="F602" s="104" t="str" cm="1">
        <f t="array" ref="F602">_xlfn.IFS(AND(A602&gt;NumberOfPlots,ISBLANK(INDEX(PlotData,MATCH($A602,PlotNumber,0),MATCH(B$3,PlotTitles,0)))),"",ISBLANK(INDEX(PlotData,MATCH($A602,PlotNumber,0),MATCH(F$3,PlotTitles,0))),$AB$9,TRUE,"")</f>
        <v/>
      </c>
      <c r="G602" s="104" t="str" cm="1">
        <f t="array" ref="G602">_xlfn.IFS(AND(A602&gt;NumberOfPlots,ISBLANK(INDEX(PlotData,MATCH($A602,PlotNumber,0),MATCH(B$3,PlotTitles,0)))),"",ISBLANK(INDEX(PlotData,MATCH($A602,PlotNumber,0),MATCH(G$3,PlotTitles,0))),$AB$10,TRUE,"")</f>
        <v/>
      </c>
      <c r="H602" s="104" t="str" cm="1">
        <f t="array" ref="H602">_xlfn.IFS(AND(A602&gt;NumberOfPlots,ISBLANK(INDEX(PlotData,MATCH($A602,PlotNumber,0),MATCH(B$3,PlotTitles,0)))),"",AND(ISBLANK(INDEX(PlotData,MATCH($A602,PlotNumber,0),MATCH(H$3,PlotTitles,0)))=FALSE,INDEX(PlotData,MATCH($A602,PlotNumber,0),MATCH(H$3,PlotTitles,0))&lt;500), $AB$11,TRUE,"")</f>
        <v/>
      </c>
      <c r="I602" s="104" t="str" cm="1">
        <f t="array" ref="I602">_xlfn.IFS(AND(A602&gt;NumberOfPlots,ISBLANK(INDEX(PlotData,MATCH($A602,PlotNumber,0),MATCH(B$3,PlotTitles,0)))),"",ISBLANK(INDEX(PlotData,MATCH($A602,PlotNumber,0),MATCH(I$3,PlotTitles,0))),$AB$12,TRUE,"")</f>
        <v/>
      </c>
      <c r="J602" s="104" t="str" cm="1">
        <f t="array" ref="J602">_xlfn.IFS(AND(A602&gt;NumberOfPlots,ISBLANK(INDEX(PlotData,MATCH($A602,PlotNumber,0),MATCH(B$3,PlotTitles,0)))),"",ISBLANK(INDEX(PlotData,MATCH($A602,PlotNumber,0),MATCH(J$3,PlotTitles,0))),$AB$13,TRUE,"")</f>
        <v/>
      </c>
      <c r="K602" s="182" t="str">
        <f t="shared" ca="1" si="27"/>
        <v/>
      </c>
      <c r="L602" s="104" t="str" cm="1">
        <f t="array" ref="L602">_xlfn.IFS(OR(ISBLANK(StartDateMonth),ISBLANK(StartDateYear)),"",AND(A602&gt;NumberOfPlots,ISBLANK(INDEX(PlotData,MATCH($A602,PlotNumber,0),MATCH(B$3,PlotTitles,0)))),"",ISBLANK(INDEX(PlotData,MATCH($A602,PlotNumber,0),MATCH(I$3,PlotTitles,0))),"",(DATEVALUE(INDEX(PlotData,MATCH($A602,PlotNumber,0),MATCH(I$3,PlotTitles,0))&amp;INDEX(PlotData,MATCH($A602,PlotNumber,0),MATCH(J$3,PlotTitles,0))))&lt;DATEVALUE(StartDateMonth&amp;StartDateYear),$AB$15,TRUE,"")</f>
        <v/>
      </c>
      <c r="M602" s="104" t="str" cm="1">
        <f t="array" ref="M602">_xlfn.IFS(OR(ISBLANK(StartDateMonth),ISBLANK(StartDateYear)),"",AND(A602&gt;NumberOfPlots,ISBLANK(INDEX(PlotData,MATCH($A602,PlotNumber,0),MATCH(B$3,PlotTitles,0)))),"",ISBLANK(INDEX(PlotData,MATCH($A602,PlotNumber,0),MATCH(I$3,PlotTitles,0))),"",CompletionMonth="","",(DATEVALUE(INDEX(PlotData,MATCH($A602,PlotNumber,0),MATCH(I$3,PlotTitles,0))&amp;INDEX(PlotData,MATCH($A602,PlotNumber,0),MATCH(J$3,PlotTitles,0))))&gt;(DATEVALUE(CompletionMonth&amp;CompletionYear)),$AB$16,TRUE,"")</f>
        <v/>
      </c>
      <c r="N602" s="104" t="str" cm="1">
        <f t="array" ref="N602">_xlfn.IFS(AND(A602&gt;NumberOfPlots,ISBLANK(INDEX(PlotData,MATCH($A602,PlotNumber,0),MATCH(B$3,PlotTitles,0)))),"",ISBLANK(INDEX(PlotData,MATCH($A602,PlotNumber,0),MATCH(N$3,PlotTitles,0))),$AB$17,TRUE,"")</f>
        <v/>
      </c>
      <c r="O602" s="104" t="str" cm="1">
        <f t="array" ref="O602">_xlfn.IFS(AND(A602&gt;NumberOfPlots,ISBLANK(INDEX(PlotData,MATCH($A602,PlotNumber,0),MATCH(B$3,PlotTitles,0)))),"",ISBLANK(INDEX(PlotData,MATCH($A602,PlotNumber,0),MATCH(O$3,PlotTitles,0))),$AB$18,TRUE,"")</f>
        <v/>
      </c>
      <c r="P602" s="182" t="str">
        <f t="shared" ca="1" si="28"/>
        <v/>
      </c>
      <c r="Q602" s="104" t="str" cm="1">
        <f t="array" ref="Q602">_xlfn.IFS(AND(A602&gt;NumberOfPlots,ISBLANK(INDEX(PlotData,MATCH($A602,PlotNumber,0),MATCH(B$3,PlotTitles,0)))),"",ISBLANK(INDEX(PlotData,MATCH($A602,PlotNumber,0),MATCH(N$3,PlotTitles,0))),"",(DATEVALUE(INDEX(PlotData,MATCH($A602,PlotNumber,0),MATCH(N$3,PlotTitles,0))&amp;INDEX(PlotData,MATCH($A602,PlotNumber,0),MATCH(O$3,PlotTitles,0))))&lt;(DATEVALUE(INDEX(PlotData,MATCH($A602,PlotNumber,0),MATCH(I$3,PlotTitles,0))&amp;INDEX(PlotData,MATCH($A602,PlotNumber,0),MATCH(J$3,PlotTitles,0)))),$AB$20,TRUE,"")</f>
        <v/>
      </c>
      <c r="R602" s="104" t="str" cm="1">
        <f t="array" ref="R602">_xlfn.IFS(OR(ISBLANK(StartDateMonth),ISBLANK(StartDateYear)),"",AND(A602&gt;NumberOfPlots,ISBLANK(INDEX(PlotData,MATCH($A602,PlotNumber,0),MATCH(B$3,PlotTitles,0)))),"",ISBLANK(INDEX(PlotData,MATCH($A602,PlotNumber,0),MATCH(N$3,PlotTitles,0))),"",CompletionMonth="","",(DATEVALUE(INDEX(PlotData,MATCH($A602,PlotNumber,0),MATCH(N$3,PlotTitles,0))&amp;INDEX(PlotData,MATCH($A602,PlotNumber,0),MATCH(O$3,PlotTitles,0))))&gt;(DATEVALUE(CompletionMonth&amp;CompletionYear)),$AB$21,TRUE,"")</f>
        <v/>
      </c>
      <c r="S602" s="104" t="str" cm="1">
        <f t="array" ref="S602">_xlfn.IFS(AND(A602&gt;NumberOfPlots,ISBLANK(INDEX(PlotData,MATCH($A602,PlotNumber,0),MATCH(B$3,PlotTitles,0)))),"",OR(AND(INDEX(PlotData,MATCH($A602,PlotNumber,0),MATCH("Tenure",PlotTitles,0))="Open market housing",INDEX(PlotData,MATCH($A602,PlotNumber,0),MATCH("Tenure detail",PlotTitles,0))="Private rented sector"),INDEX(PlotData,MATCH($A602,PlotNumber,0),MATCH("Tenure",PlotTitles,0))="Affordable rent"),"",ISNUMBER(INDEX(PlotData,MATCH($A602,PlotNumber,0),MATCH(S$3,PlotTitles,0)))=FALSE, $AB$22,TRUE,"")</f>
        <v/>
      </c>
      <c r="T602" s="104" t="str" cm="1">
        <f t="array" ref="T602">_xlfn.IFS(AND(A602&gt;NumberOfPlots,ISBLANK(INDEX(PlotData,MATCH($A602,PlotNumber,0),MATCH(B$3,PlotTitles,0)))),"",OR(AND(INDEX(PlotData,MATCH($A602,PlotNumber,0),MATCH("Tenure",PlotTitles,0))="Open market housing",INDEX(PlotData,MATCH($A602,PlotNumber,0),MATCH("Tenure detail",PlotTitles,0))="Private rented sector"),INDEX(PlotData,MATCH($A602,PlotNumber,0),MATCH("Tenure",PlotTitles,0))="Affordable rent"),"",INDEX(PlotData,MATCH($A602,PlotNumber,0),MATCH(S$3,PlotTitles,0))&lt;10000, $AB$23,TRUE,"")</f>
        <v/>
      </c>
      <c r="U602" s="104" t="str" cm="1">
        <f t="array" ref="U602">_xlfn.IFS(AND(A602&gt;NumberOfPlots,ISBLANK(INDEX(PlotData,MATCH($A602,PlotNumber,0),MATCH(B$3,PlotTitles,0)))),"",NOT(OR(AND(INDEX(PlotData,MATCH($A602,PlotNumber,0),MATCH("Tenure",PlotTitles,0))="Open market housing",INDEX(PlotData,MATCH($A602,PlotNumber,0),MATCH("Tenure detail",PlotTitles,0))="Private rented sector"),INDEX(PlotData,MATCH($A602,PlotNumber,0),MATCH("Tenure",PlotTitles,0))="Affordable rent")),"",NOT(INDEX(PlotData,MATCH($A602,PlotNumber,0),MATCH(S$3,PlotTitles,0))=0), $AB$24,TRUE,"")</f>
        <v/>
      </c>
      <c r="V602" s="114" t="str" cm="1">
        <f t="array" aca="1" ref="V602" ca="1">_xlfn.IFS(ISBLANK(NumberOfPlots),"Enter the number of homes on the 1_SetUp sheet",AND(A602&gt;NumberOfPlots,ISBLANK(INDEX(PlotData,MATCH($A602,PlotNumber,0),MATCH(B$3,PlotTitles,0)))),"No error",NOT(B602=""),B602,NOT(C602=""),C602,NOT(D602=""),D602,NOT(E602=""),E602,NOT(F602=""),F602,NOT(G602=""),G602,NOT(H602=""),H602,NOT(I602=""),I602,NOT(J602=""),J602,NOT(K602=""),K602,NOT(L602=""),L602,NOT(M602=""),M602,NOT(N602=""),N602,NOT(O602=""),O602,NOT(P602=""),P602,NOT(Q602=""),Q602,NOT(R602=""),R602,NOT(S602=""),S602,NOT(T602=""),T602,NOT(U602=""),U602,TRUE,"No error")</f>
        <v>Enter the number of homes on the 1_SetUp sheet</v>
      </c>
      <c r="W602" s="114" t="str">
        <f t="shared" ca="1" si="29"/>
        <v xml:space="preserve">The Borrower has not addressed the following error messages for Home ID 598: </v>
      </c>
    </row>
    <row r="603" spans="1:23">
      <c r="A603" s="123">
        <v>599</v>
      </c>
      <c r="B603" s="104" t="str" cm="1">
        <f t="array" ref="B603">_xlfn.IFS(AND(A603&gt;NumberOfPlots,ISBLANK(INDEX(PlotData,MATCH($A603,PlotNumber,0),MATCH(B$3,PlotTitles,0)))),"",ISNUMBER(INDEX(PlotData,MATCH($A603,PlotNumber,0),MATCH(B$3,PlotTitles,0)))=FALSE, $AB$5,TRUE,"")</f>
        <v/>
      </c>
      <c r="C603" s="104" t="str" cm="1">
        <f t="array" ref="C603">_xlfn.IFS(AND(A603&gt;NumberOfPlots,ISBLANK(INDEX(PlotData,MATCH($A603,PlotNumber,0),MATCH(B$3,PlotTitles,0)))),"",ISBLANK(INDEX(PlotData,MATCH($A603,PlotNumber,0),MATCH(C$3,PlotTitles,0))),$AB$6,TRUE,"")</f>
        <v/>
      </c>
      <c r="D603" s="104" t="str" cm="1">
        <f t="array" ref="D603">_xlfn.IFS(AND(A603&gt;NumberOfPlots,ISBLANK(INDEX(PlotData,MATCH($A603,PlotNumber,0),MATCH(B$3,PlotTitles,0)))),"",ISBLANK(INDEX(PlotData,MATCH($A603,PlotNumber,0),MATCH(D$3,PlotTitles,0))),$AB$7,TRUE,"")</f>
        <v/>
      </c>
      <c r="E603" s="104" t="str" cm="1">
        <f t="array" ref="E603">_xlfn.IFS(AND(A603&gt;NumberOfPlots,ISBLANK(INDEX(PlotData,MATCH($A603,PlotNumber,0),MATCH(B$3,PlotTitles,0)))),"",ISBLANK(INDEX(PlotData,MATCH($A603,PlotNumber,0),MATCH(E$3,PlotTitles,0))),$AB$8,TRUE,"")</f>
        <v/>
      </c>
      <c r="F603" s="104" t="str" cm="1">
        <f t="array" ref="F603">_xlfn.IFS(AND(A603&gt;NumberOfPlots,ISBLANK(INDEX(PlotData,MATCH($A603,PlotNumber,0),MATCH(B$3,PlotTitles,0)))),"",ISBLANK(INDEX(PlotData,MATCH($A603,PlotNumber,0),MATCH(F$3,PlotTitles,0))),$AB$9,TRUE,"")</f>
        <v/>
      </c>
      <c r="G603" s="104" t="str" cm="1">
        <f t="array" ref="G603">_xlfn.IFS(AND(A603&gt;NumberOfPlots,ISBLANK(INDEX(PlotData,MATCH($A603,PlotNumber,0),MATCH(B$3,PlotTitles,0)))),"",ISBLANK(INDEX(PlotData,MATCH($A603,PlotNumber,0),MATCH(G$3,PlotTitles,0))),$AB$10,TRUE,"")</f>
        <v/>
      </c>
      <c r="H603" s="104" t="str" cm="1">
        <f t="array" ref="H603">_xlfn.IFS(AND(A603&gt;NumberOfPlots,ISBLANK(INDEX(PlotData,MATCH($A603,PlotNumber,0),MATCH(B$3,PlotTitles,0)))),"",AND(ISBLANK(INDEX(PlotData,MATCH($A603,PlotNumber,0),MATCH(H$3,PlotTitles,0)))=FALSE,INDEX(PlotData,MATCH($A603,PlotNumber,0),MATCH(H$3,PlotTitles,0))&lt;500), $AB$11,TRUE,"")</f>
        <v/>
      </c>
      <c r="I603" s="104" t="str" cm="1">
        <f t="array" ref="I603">_xlfn.IFS(AND(A603&gt;NumberOfPlots,ISBLANK(INDEX(PlotData,MATCH($A603,PlotNumber,0),MATCH(B$3,PlotTitles,0)))),"",ISBLANK(INDEX(PlotData,MATCH($A603,PlotNumber,0),MATCH(I$3,PlotTitles,0))),$AB$12,TRUE,"")</f>
        <v/>
      </c>
      <c r="J603" s="104" t="str" cm="1">
        <f t="array" ref="J603">_xlfn.IFS(AND(A603&gt;NumberOfPlots,ISBLANK(INDEX(PlotData,MATCH($A603,PlotNumber,0),MATCH(B$3,PlotTitles,0)))),"",ISBLANK(INDEX(PlotData,MATCH($A603,PlotNumber,0),MATCH(J$3,PlotTitles,0))),$AB$13,TRUE,"")</f>
        <v/>
      </c>
      <c r="K603" s="182" t="str">
        <f t="shared" ca="1" si="27"/>
        <v/>
      </c>
      <c r="L603" s="104" t="str" cm="1">
        <f t="array" ref="L603">_xlfn.IFS(OR(ISBLANK(StartDateMonth),ISBLANK(StartDateYear)),"",AND(A603&gt;NumberOfPlots,ISBLANK(INDEX(PlotData,MATCH($A603,PlotNumber,0),MATCH(B$3,PlotTitles,0)))),"",ISBLANK(INDEX(PlotData,MATCH($A603,PlotNumber,0),MATCH(I$3,PlotTitles,0))),"",(DATEVALUE(INDEX(PlotData,MATCH($A603,PlotNumber,0),MATCH(I$3,PlotTitles,0))&amp;INDEX(PlotData,MATCH($A603,PlotNumber,0),MATCH(J$3,PlotTitles,0))))&lt;DATEVALUE(StartDateMonth&amp;StartDateYear),$AB$15,TRUE,"")</f>
        <v/>
      </c>
      <c r="M603" s="104" t="str" cm="1">
        <f t="array" ref="M603">_xlfn.IFS(OR(ISBLANK(StartDateMonth),ISBLANK(StartDateYear)),"",AND(A603&gt;NumberOfPlots,ISBLANK(INDEX(PlotData,MATCH($A603,PlotNumber,0),MATCH(B$3,PlotTitles,0)))),"",ISBLANK(INDEX(PlotData,MATCH($A603,PlotNumber,0),MATCH(I$3,PlotTitles,0))),"",CompletionMonth="","",(DATEVALUE(INDEX(PlotData,MATCH($A603,PlotNumber,0),MATCH(I$3,PlotTitles,0))&amp;INDEX(PlotData,MATCH($A603,PlotNumber,0),MATCH(J$3,PlotTitles,0))))&gt;(DATEVALUE(CompletionMonth&amp;CompletionYear)),$AB$16,TRUE,"")</f>
        <v/>
      </c>
      <c r="N603" s="104" t="str" cm="1">
        <f t="array" ref="N603">_xlfn.IFS(AND(A603&gt;NumberOfPlots,ISBLANK(INDEX(PlotData,MATCH($A603,PlotNumber,0),MATCH(B$3,PlotTitles,0)))),"",ISBLANK(INDEX(PlotData,MATCH($A603,PlotNumber,0),MATCH(N$3,PlotTitles,0))),$AB$17,TRUE,"")</f>
        <v/>
      </c>
      <c r="O603" s="104" t="str" cm="1">
        <f t="array" ref="O603">_xlfn.IFS(AND(A603&gt;NumberOfPlots,ISBLANK(INDEX(PlotData,MATCH($A603,PlotNumber,0),MATCH(B$3,PlotTitles,0)))),"",ISBLANK(INDEX(PlotData,MATCH($A603,PlotNumber,0),MATCH(O$3,PlotTitles,0))),$AB$18,TRUE,"")</f>
        <v/>
      </c>
      <c r="P603" s="182" t="str">
        <f t="shared" ca="1" si="28"/>
        <v/>
      </c>
      <c r="Q603" s="104" t="str" cm="1">
        <f t="array" ref="Q603">_xlfn.IFS(AND(A603&gt;NumberOfPlots,ISBLANK(INDEX(PlotData,MATCH($A603,PlotNumber,0),MATCH(B$3,PlotTitles,0)))),"",ISBLANK(INDEX(PlotData,MATCH($A603,PlotNumber,0),MATCH(N$3,PlotTitles,0))),"",(DATEVALUE(INDEX(PlotData,MATCH($A603,PlotNumber,0),MATCH(N$3,PlotTitles,0))&amp;INDEX(PlotData,MATCH($A603,PlotNumber,0),MATCH(O$3,PlotTitles,0))))&lt;(DATEVALUE(INDEX(PlotData,MATCH($A603,PlotNumber,0),MATCH(I$3,PlotTitles,0))&amp;INDEX(PlotData,MATCH($A603,PlotNumber,0),MATCH(J$3,PlotTitles,0)))),$AB$20,TRUE,"")</f>
        <v/>
      </c>
      <c r="R603" s="104" t="str" cm="1">
        <f t="array" ref="R603">_xlfn.IFS(OR(ISBLANK(StartDateMonth),ISBLANK(StartDateYear)),"",AND(A603&gt;NumberOfPlots,ISBLANK(INDEX(PlotData,MATCH($A603,PlotNumber,0),MATCH(B$3,PlotTitles,0)))),"",ISBLANK(INDEX(PlotData,MATCH($A603,PlotNumber,0),MATCH(N$3,PlotTitles,0))),"",CompletionMonth="","",(DATEVALUE(INDEX(PlotData,MATCH($A603,PlotNumber,0),MATCH(N$3,PlotTitles,0))&amp;INDEX(PlotData,MATCH($A603,PlotNumber,0),MATCH(O$3,PlotTitles,0))))&gt;(DATEVALUE(CompletionMonth&amp;CompletionYear)),$AB$21,TRUE,"")</f>
        <v/>
      </c>
      <c r="S603" s="104" t="str" cm="1">
        <f t="array" ref="S603">_xlfn.IFS(AND(A603&gt;NumberOfPlots,ISBLANK(INDEX(PlotData,MATCH($A603,PlotNumber,0),MATCH(B$3,PlotTitles,0)))),"",OR(AND(INDEX(PlotData,MATCH($A603,PlotNumber,0),MATCH("Tenure",PlotTitles,0))="Open market housing",INDEX(PlotData,MATCH($A603,PlotNumber,0),MATCH("Tenure detail",PlotTitles,0))="Private rented sector"),INDEX(PlotData,MATCH($A603,PlotNumber,0),MATCH("Tenure",PlotTitles,0))="Affordable rent"),"",ISNUMBER(INDEX(PlotData,MATCH($A603,PlotNumber,0),MATCH(S$3,PlotTitles,0)))=FALSE, $AB$22,TRUE,"")</f>
        <v/>
      </c>
      <c r="T603" s="104" t="str" cm="1">
        <f t="array" ref="T603">_xlfn.IFS(AND(A603&gt;NumberOfPlots,ISBLANK(INDEX(PlotData,MATCH($A603,PlotNumber,0),MATCH(B$3,PlotTitles,0)))),"",OR(AND(INDEX(PlotData,MATCH($A603,PlotNumber,0),MATCH("Tenure",PlotTitles,0))="Open market housing",INDEX(PlotData,MATCH($A603,PlotNumber,0),MATCH("Tenure detail",PlotTitles,0))="Private rented sector"),INDEX(PlotData,MATCH($A603,PlotNumber,0),MATCH("Tenure",PlotTitles,0))="Affordable rent"),"",INDEX(PlotData,MATCH($A603,PlotNumber,0),MATCH(S$3,PlotTitles,0))&lt;10000, $AB$23,TRUE,"")</f>
        <v/>
      </c>
      <c r="U603" s="104" t="str" cm="1">
        <f t="array" ref="U603">_xlfn.IFS(AND(A603&gt;NumberOfPlots,ISBLANK(INDEX(PlotData,MATCH($A603,PlotNumber,0),MATCH(B$3,PlotTitles,0)))),"",NOT(OR(AND(INDEX(PlotData,MATCH($A603,PlotNumber,0),MATCH("Tenure",PlotTitles,0))="Open market housing",INDEX(PlotData,MATCH($A603,PlotNumber,0),MATCH("Tenure detail",PlotTitles,0))="Private rented sector"),INDEX(PlotData,MATCH($A603,PlotNumber,0),MATCH("Tenure",PlotTitles,0))="Affordable rent")),"",NOT(INDEX(PlotData,MATCH($A603,PlotNumber,0),MATCH(S$3,PlotTitles,0))=0), $AB$24,TRUE,"")</f>
        <v/>
      </c>
      <c r="V603" s="114" t="str" cm="1">
        <f t="array" aca="1" ref="V603" ca="1">_xlfn.IFS(ISBLANK(NumberOfPlots),"Enter the number of homes on the 1_SetUp sheet",AND(A603&gt;NumberOfPlots,ISBLANK(INDEX(PlotData,MATCH($A603,PlotNumber,0),MATCH(B$3,PlotTitles,0)))),"No error",NOT(B603=""),B603,NOT(C603=""),C603,NOT(D603=""),D603,NOT(E603=""),E603,NOT(F603=""),F603,NOT(G603=""),G603,NOT(H603=""),H603,NOT(I603=""),I603,NOT(J603=""),J603,NOT(K603=""),K603,NOT(L603=""),L603,NOT(M603=""),M603,NOT(N603=""),N603,NOT(O603=""),O603,NOT(P603=""),P603,NOT(Q603=""),Q603,NOT(R603=""),R603,NOT(S603=""),S603,NOT(T603=""),T603,NOT(U603=""),U603,TRUE,"No error")</f>
        <v>Enter the number of homes on the 1_SetUp sheet</v>
      </c>
      <c r="W603" s="114" t="str">
        <f t="shared" ca="1" si="29"/>
        <v xml:space="preserve">The Borrower has not addressed the following error messages for Home ID 599: </v>
      </c>
    </row>
    <row r="604" spans="1:23">
      <c r="A604" s="123">
        <v>600</v>
      </c>
      <c r="B604" s="104" t="str" cm="1">
        <f t="array" ref="B604">_xlfn.IFS(AND(A604&gt;NumberOfPlots,ISBLANK(INDEX(PlotData,MATCH($A604,PlotNumber,0),MATCH(B$3,PlotTitles,0)))),"",ISNUMBER(INDEX(PlotData,MATCH($A604,PlotNumber,0),MATCH(B$3,PlotTitles,0)))=FALSE, $AB$5,TRUE,"")</f>
        <v/>
      </c>
      <c r="C604" s="104" t="str" cm="1">
        <f t="array" ref="C604">_xlfn.IFS(AND(A604&gt;NumberOfPlots,ISBLANK(INDEX(PlotData,MATCH($A604,PlotNumber,0),MATCH(B$3,PlotTitles,0)))),"",ISBLANK(INDEX(PlotData,MATCH($A604,PlotNumber,0),MATCH(C$3,PlotTitles,0))),$AB$6,TRUE,"")</f>
        <v/>
      </c>
      <c r="D604" s="104" t="str" cm="1">
        <f t="array" ref="D604">_xlfn.IFS(AND(A604&gt;NumberOfPlots,ISBLANK(INDEX(PlotData,MATCH($A604,PlotNumber,0),MATCH(B$3,PlotTitles,0)))),"",ISBLANK(INDEX(PlotData,MATCH($A604,PlotNumber,0),MATCH(D$3,PlotTitles,0))),$AB$7,TRUE,"")</f>
        <v/>
      </c>
      <c r="E604" s="104" t="str" cm="1">
        <f t="array" ref="E604">_xlfn.IFS(AND(A604&gt;NumberOfPlots,ISBLANK(INDEX(PlotData,MATCH($A604,PlotNumber,0),MATCH(B$3,PlotTitles,0)))),"",ISBLANK(INDEX(PlotData,MATCH($A604,PlotNumber,0),MATCH(E$3,PlotTitles,0))),$AB$8,TRUE,"")</f>
        <v/>
      </c>
      <c r="F604" s="104" t="str" cm="1">
        <f t="array" ref="F604">_xlfn.IFS(AND(A604&gt;NumberOfPlots,ISBLANK(INDEX(PlotData,MATCH($A604,PlotNumber,0),MATCH(B$3,PlotTitles,0)))),"",ISBLANK(INDEX(PlotData,MATCH($A604,PlotNumber,0),MATCH(F$3,PlotTitles,0))),$AB$9,TRUE,"")</f>
        <v/>
      </c>
      <c r="G604" s="104" t="str" cm="1">
        <f t="array" ref="G604">_xlfn.IFS(AND(A604&gt;NumberOfPlots,ISBLANK(INDEX(PlotData,MATCH($A604,PlotNumber,0),MATCH(B$3,PlotTitles,0)))),"",ISBLANK(INDEX(PlotData,MATCH($A604,PlotNumber,0),MATCH(G$3,PlotTitles,0))),$AB$10,TRUE,"")</f>
        <v/>
      </c>
      <c r="H604" s="104" t="str" cm="1">
        <f t="array" ref="H604">_xlfn.IFS(AND(A604&gt;NumberOfPlots,ISBLANK(INDEX(PlotData,MATCH($A604,PlotNumber,0),MATCH(B$3,PlotTitles,0)))),"",AND(ISBLANK(INDEX(PlotData,MATCH($A604,PlotNumber,0),MATCH(H$3,PlotTitles,0)))=FALSE,INDEX(PlotData,MATCH($A604,PlotNumber,0),MATCH(H$3,PlotTitles,0))&lt;500), $AB$11,TRUE,"")</f>
        <v/>
      </c>
      <c r="I604" s="104" t="str" cm="1">
        <f t="array" ref="I604">_xlfn.IFS(AND(A604&gt;NumberOfPlots,ISBLANK(INDEX(PlotData,MATCH($A604,PlotNumber,0),MATCH(B$3,PlotTitles,0)))),"",ISBLANK(INDEX(PlotData,MATCH($A604,PlotNumber,0),MATCH(I$3,PlotTitles,0))),$AB$12,TRUE,"")</f>
        <v/>
      </c>
      <c r="J604" s="104" t="str" cm="1">
        <f t="array" ref="J604">_xlfn.IFS(AND(A604&gt;NumberOfPlots,ISBLANK(INDEX(PlotData,MATCH($A604,PlotNumber,0),MATCH(B$3,PlotTitles,0)))),"",ISBLANK(INDEX(PlotData,MATCH($A604,PlotNumber,0),MATCH(J$3,PlotTitles,0))),$AB$13,TRUE,"")</f>
        <v/>
      </c>
      <c r="K604" s="182" t="str">
        <f t="shared" ca="1" si="27"/>
        <v/>
      </c>
      <c r="L604" s="104" t="str" cm="1">
        <f t="array" ref="L604">_xlfn.IFS(OR(ISBLANK(StartDateMonth),ISBLANK(StartDateYear)),"",AND(A604&gt;NumberOfPlots,ISBLANK(INDEX(PlotData,MATCH($A604,PlotNumber,0),MATCH(B$3,PlotTitles,0)))),"",ISBLANK(INDEX(PlotData,MATCH($A604,PlotNumber,0),MATCH(I$3,PlotTitles,0))),"",(DATEVALUE(INDEX(PlotData,MATCH($A604,PlotNumber,0),MATCH(I$3,PlotTitles,0))&amp;INDEX(PlotData,MATCH($A604,PlotNumber,0),MATCH(J$3,PlotTitles,0))))&lt;DATEVALUE(StartDateMonth&amp;StartDateYear),$AB$15,TRUE,"")</f>
        <v/>
      </c>
      <c r="M604" s="104" t="str" cm="1">
        <f t="array" ref="M604">_xlfn.IFS(OR(ISBLANK(StartDateMonth),ISBLANK(StartDateYear)),"",AND(A604&gt;NumberOfPlots,ISBLANK(INDEX(PlotData,MATCH($A604,PlotNumber,0),MATCH(B$3,PlotTitles,0)))),"",ISBLANK(INDEX(PlotData,MATCH($A604,PlotNumber,0),MATCH(I$3,PlotTitles,0))),"",CompletionMonth="","",(DATEVALUE(INDEX(PlotData,MATCH($A604,PlotNumber,0),MATCH(I$3,PlotTitles,0))&amp;INDEX(PlotData,MATCH($A604,PlotNumber,0),MATCH(J$3,PlotTitles,0))))&gt;(DATEVALUE(CompletionMonth&amp;CompletionYear)),$AB$16,TRUE,"")</f>
        <v/>
      </c>
      <c r="N604" s="104" t="str" cm="1">
        <f t="array" ref="N604">_xlfn.IFS(AND(A604&gt;NumberOfPlots,ISBLANK(INDEX(PlotData,MATCH($A604,PlotNumber,0),MATCH(B$3,PlotTitles,0)))),"",ISBLANK(INDEX(PlotData,MATCH($A604,PlotNumber,0),MATCH(N$3,PlotTitles,0))),$AB$17,TRUE,"")</f>
        <v/>
      </c>
      <c r="O604" s="104" t="str" cm="1">
        <f t="array" ref="O604">_xlfn.IFS(AND(A604&gt;NumberOfPlots,ISBLANK(INDEX(PlotData,MATCH($A604,PlotNumber,0),MATCH(B$3,PlotTitles,0)))),"",ISBLANK(INDEX(PlotData,MATCH($A604,PlotNumber,0),MATCH(O$3,PlotTitles,0))),$AB$18,TRUE,"")</f>
        <v/>
      </c>
      <c r="P604" s="182" t="str">
        <f t="shared" ca="1" si="28"/>
        <v/>
      </c>
      <c r="Q604" s="104" t="str" cm="1">
        <f t="array" ref="Q604">_xlfn.IFS(AND(A604&gt;NumberOfPlots,ISBLANK(INDEX(PlotData,MATCH($A604,PlotNumber,0),MATCH(B$3,PlotTitles,0)))),"",ISBLANK(INDEX(PlotData,MATCH($A604,PlotNumber,0),MATCH(N$3,PlotTitles,0))),"",(DATEVALUE(INDEX(PlotData,MATCH($A604,PlotNumber,0),MATCH(N$3,PlotTitles,0))&amp;INDEX(PlotData,MATCH($A604,PlotNumber,0),MATCH(O$3,PlotTitles,0))))&lt;(DATEVALUE(INDEX(PlotData,MATCH($A604,PlotNumber,0),MATCH(I$3,PlotTitles,0))&amp;INDEX(PlotData,MATCH($A604,PlotNumber,0),MATCH(J$3,PlotTitles,0)))),$AB$20,TRUE,"")</f>
        <v/>
      </c>
      <c r="R604" s="104" t="str" cm="1">
        <f t="array" ref="R604">_xlfn.IFS(OR(ISBLANK(StartDateMonth),ISBLANK(StartDateYear)),"",AND(A604&gt;NumberOfPlots,ISBLANK(INDEX(PlotData,MATCH($A604,PlotNumber,0),MATCH(B$3,PlotTitles,0)))),"",ISBLANK(INDEX(PlotData,MATCH($A604,PlotNumber,0),MATCH(N$3,PlotTitles,0))),"",CompletionMonth="","",(DATEVALUE(INDEX(PlotData,MATCH($A604,PlotNumber,0),MATCH(N$3,PlotTitles,0))&amp;INDEX(PlotData,MATCH($A604,PlotNumber,0),MATCH(O$3,PlotTitles,0))))&gt;(DATEVALUE(CompletionMonth&amp;CompletionYear)),$AB$21,TRUE,"")</f>
        <v/>
      </c>
      <c r="S604" s="104" t="str" cm="1">
        <f t="array" ref="S604">_xlfn.IFS(AND(A604&gt;NumberOfPlots,ISBLANK(INDEX(PlotData,MATCH($A604,PlotNumber,0),MATCH(B$3,PlotTitles,0)))),"",OR(AND(INDEX(PlotData,MATCH($A604,PlotNumber,0),MATCH("Tenure",PlotTitles,0))="Open market housing",INDEX(PlotData,MATCH($A604,PlotNumber,0),MATCH("Tenure detail",PlotTitles,0))="Private rented sector"),INDEX(PlotData,MATCH($A604,PlotNumber,0),MATCH("Tenure",PlotTitles,0))="Affordable rent"),"",ISNUMBER(INDEX(PlotData,MATCH($A604,PlotNumber,0),MATCH(S$3,PlotTitles,0)))=FALSE, $AB$22,TRUE,"")</f>
        <v/>
      </c>
      <c r="T604" s="104" t="str" cm="1">
        <f t="array" ref="T604">_xlfn.IFS(AND(A604&gt;NumberOfPlots,ISBLANK(INDEX(PlotData,MATCH($A604,PlotNumber,0),MATCH(B$3,PlotTitles,0)))),"",OR(AND(INDEX(PlotData,MATCH($A604,PlotNumber,0),MATCH("Tenure",PlotTitles,0))="Open market housing",INDEX(PlotData,MATCH($A604,PlotNumber,0),MATCH("Tenure detail",PlotTitles,0))="Private rented sector"),INDEX(PlotData,MATCH($A604,PlotNumber,0),MATCH("Tenure",PlotTitles,0))="Affordable rent"),"",INDEX(PlotData,MATCH($A604,PlotNumber,0),MATCH(S$3,PlotTitles,0))&lt;10000, $AB$23,TRUE,"")</f>
        <v/>
      </c>
      <c r="U604" s="104" t="str" cm="1">
        <f t="array" ref="U604">_xlfn.IFS(AND(A604&gt;NumberOfPlots,ISBLANK(INDEX(PlotData,MATCH($A604,PlotNumber,0),MATCH(B$3,PlotTitles,0)))),"",NOT(OR(AND(INDEX(PlotData,MATCH($A604,PlotNumber,0),MATCH("Tenure",PlotTitles,0))="Open market housing",INDEX(PlotData,MATCH($A604,PlotNumber,0),MATCH("Tenure detail",PlotTitles,0))="Private rented sector"),INDEX(PlotData,MATCH($A604,PlotNumber,0),MATCH("Tenure",PlotTitles,0))="Affordable rent")),"",NOT(INDEX(PlotData,MATCH($A604,PlotNumber,0),MATCH(S$3,PlotTitles,0))=0), $AB$24,TRUE,"")</f>
        <v/>
      </c>
      <c r="V604" s="114" t="str" cm="1">
        <f t="array" aca="1" ref="V604" ca="1">_xlfn.IFS(ISBLANK(NumberOfPlots),"Enter the number of homes on the 1_SetUp sheet",AND(A604&gt;NumberOfPlots,ISBLANK(INDEX(PlotData,MATCH($A604,PlotNumber,0),MATCH(B$3,PlotTitles,0)))),"No error",NOT(B604=""),B604,NOT(C604=""),C604,NOT(D604=""),D604,NOT(E604=""),E604,NOT(F604=""),F604,NOT(G604=""),G604,NOT(H604=""),H604,NOT(I604=""),I604,NOT(J604=""),J604,NOT(K604=""),K604,NOT(L604=""),L604,NOT(M604=""),M604,NOT(N604=""),N604,NOT(O604=""),O604,NOT(P604=""),P604,NOT(Q604=""),Q604,NOT(R604=""),R604,NOT(S604=""),S604,NOT(T604=""),T604,NOT(U604=""),U604,TRUE,"No error")</f>
        <v>Enter the number of homes on the 1_SetUp sheet</v>
      </c>
      <c r="W604" s="114" t="str">
        <f t="shared" ca="1" si="29"/>
        <v xml:space="preserve">The Borrower has not addressed the following error messages for Home ID 600: </v>
      </c>
    </row>
  </sheetData>
  <mergeCells count="2">
    <mergeCell ref="Z3:AB3"/>
    <mergeCell ref="S3:U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79DF-9A44-4A01-AECE-24EC94A62D47}">
  <sheetPr codeName="Sheet12">
    <tabColor rgb="FFFF0000"/>
  </sheetPr>
  <dimension ref="A1:H631"/>
  <sheetViews>
    <sheetView zoomScale="98" zoomScaleNormal="98" workbookViewId="0"/>
  </sheetViews>
  <sheetFormatPr defaultRowHeight="14.5"/>
  <cols>
    <col min="1" max="1" width="16" bestFit="1" customWidth="1"/>
    <col min="2" max="2" width="16" customWidth="1"/>
    <col min="3" max="3" width="75" bestFit="1" customWidth="1"/>
    <col min="4" max="4" width="33.81640625" customWidth="1"/>
    <col min="5" max="5" width="143" customWidth="1"/>
    <col min="6" max="6" width="22.453125" bestFit="1" customWidth="1"/>
    <col min="7" max="7" width="23.81640625" customWidth="1"/>
    <col min="8" max="8" width="10.1796875" customWidth="1"/>
  </cols>
  <sheetData>
    <row r="1" spans="1:8" ht="21">
      <c r="A1" s="83" t="s">
        <v>413</v>
      </c>
      <c r="B1" s="83"/>
    </row>
    <row r="2" spans="1:8" ht="21">
      <c r="A2" s="83"/>
      <c r="B2" s="83"/>
    </row>
    <row r="3" spans="1:8">
      <c r="A3" t="s">
        <v>260</v>
      </c>
      <c r="B3" t="s">
        <v>464</v>
      </c>
      <c r="C3" t="s">
        <v>469</v>
      </c>
    </row>
    <row r="4" spans="1:8">
      <c r="A4" t="s">
        <v>234</v>
      </c>
      <c r="B4">
        <f>SUM($A$7:$A$631)</f>
        <v>8</v>
      </c>
      <c r="C4" t="str" cm="1">
        <f t="array" aca="1" ref="C4" ca="1">_xlfn.IFS(SUM(TotalBuild)=0,"Unknown",SUM(SumAffordableHousing)=0,"No",SUM(SumAffordableHousing)/SUM(TotalBuild)&gt;=0.5,"Yes",TRUE,"No")</f>
        <v>No</v>
      </c>
    </row>
    <row r="5" spans="1:8">
      <c r="E5" t="s">
        <v>470</v>
      </c>
      <c r="G5" t="s">
        <v>427</v>
      </c>
      <c r="H5" t="s">
        <v>465</v>
      </c>
    </row>
    <row r="6" spans="1:8">
      <c r="A6" s="170" t="s">
        <v>290</v>
      </c>
      <c r="B6" s="170" t="s">
        <v>418</v>
      </c>
      <c r="C6" s="170" t="s">
        <v>432</v>
      </c>
      <c r="D6" s="170" t="s">
        <v>417</v>
      </c>
      <c r="E6" s="170" t="s">
        <v>416</v>
      </c>
      <c r="F6" s="170" t="s">
        <v>414</v>
      </c>
      <c r="G6" s="170" t="s">
        <v>415</v>
      </c>
      <c r="H6" s="170" t="s">
        <v>465</v>
      </c>
    </row>
    <row r="7" spans="1:8">
      <c r="A7">
        <f>IF(D7="Yes",1,0)</f>
        <v>1</v>
      </c>
      <c r="B7" t="s">
        <v>419</v>
      </c>
      <c r="C7" t="s">
        <v>420</v>
      </c>
      <c r="D7" t="str">
        <f>IF(COUNTIF(SetUpErrorChecks,$C7)&gt;0,"Yes","No")</f>
        <v>Yes</v>
      </c>
      <c r="E7" s="171" t="s">
        <v>422</v>
      </c>
      <c r="F7" t="s">
        <v>426</v>
      </c>
      <c r="G7">
        <f t="shared" ref="G7:G70" si="0">INDEX(IssueType,MATCH($F7,IssueTypeName,0),2)</f>
        <v>391930001</v>
      </c>
    </row>
    <row r="8" spans="1:8">
      <c r="A8">
        <f t="shared" ref="A8:A16" si="1">IF(D8="Yes",1,0)</f>
        <v>1</v>
      </c>
      <c r="B8" t="s">
        <v>419</v>
      </c>
      <c r="C8" t="s">
        <v>421</v>
      </c>
      <c r="D8" t="str">
        <f>IF(COUNTIF(SetUpErrorChecks,$C8)&gt;0,"Yes","No")</f>
        <v>Yes</v>
      </c>
      <c r="E8" s="171" t="s">
        <v>423</v>
      </c>
      <c r="F8" t="s">
        <v>426</v>
      </c>
      <c r="G8">
        <f t="shared" si="0"/>
        <v>391930001</v>
      </c>
    </row>
    <row r="9" spans="1:8">
      <c r="A9">
        <f t="shared" si="1"/>
        <v>1</v>
      </c>
      <c r="B9" t="s">
        <v>419</v>
      </c>
      <c r="C9" t="s">
        <v>424</v>
      </c>
      <c r="D9" t="str">
        <f>IF(COUNTIF(SetUpErrorChecks,$C9)&gt;0,"Yes","No")</f>
        <v>Yes</v>
      </c>
      <c r="E9" s="171" t="s">
        <v>425</v>
      </c>
      <c r="F9" t="s">
        <v>426</v>
      </c>
      <c r="G9">
        <f t="shared" si="0"/>
        <v>391930001</v>
      </c>
    </row>
    <row r="10" spans="1:8">
      <c r="A10">
        <f t="shared" si="1"/>
        <v>0</v>
      </c>
      <c r="B10" t="s">
        <v>419</v>
      </c>
      <c r="C10" t="s">
        <v>430</v>
      </c>
      <c r="D10" t="str">
        <f>IF(COUNTIF(SetUpErrorChecks,$C10)&gt;0,"Yes","No")</f>
        <v>No</v>
      </c>
      <c r="E10" s="171" t="s">
        <v>431</v>
      </c>
      <c r="F10" t="s">
        <v>426</v>
      </c>
      <c r="G10">
        <f t="shared" si="0"/>
        <v>391930001</v>
      </c>
    </row>
    <row r="11" spans="1:8">
      <c r="A11">
        <f t="shared" ref="A11" si="2">IF(D11="Yes",1,0)</f>
        <v>1</v>
      </c>
      <c r="B11" t="s">
        <v>419</v>
      </c>
      <c r="C11" t="s">
        <v>467</v>
      </c>
      <c r="D11" t="str">
        <f>IF(ISBLANK(NumberOfPlots),"Yes","No")</f>
        <v>Yes</v>
      </c>
      <c r="E11" s="171" t="s">
        <v>468</v>
      </c>
      <c r="F11" t="s">
        <v>426</v>
      </c>
      <c r="G11">
        <f t="shared" si="0"/>
        <v>391930001</v>
      </c>
    </row>
    <row r="12" spans="1:8" ht="15.5">
      <c r="A12">
        <f>IF(D12="Yes",1,0)</f>
        <v>1</v>
      </c>
      <c r="B12" t="s">
        <v>419</v>
      </c>
      <c r="C12" s="206" t="b">
        <f>SUM(HomesImports)=NumberOfPlots</f>
        <v>1</v>
      </c>
      <c r="D12" t="str">
        <f>IF(E12="", "No", "Yes")</f>
        <v>Yes</v>
      </c>
      <c r="E12" s="171" t="s">
        <v>482</v>
      </c>
      <c r="F12" t="s">
        <v>428</v>
      </c>
      <c r="G12">
        <f>INDEX(IssueType,MATCH($F12,IssueTypeName,0),2)</f>
        <v>391930000</v>
      </c>
      <c r="H12" s="123"/>
    </row>
    <row r="13" spans="1:8">
      <c r="A13">
        <f t="shared" si="1"/>
        <v>0</v>
      </c>
      <c r="B13" t="s">
        <v>433</v>
      </c>
      <c r="C13" t="s">
        <v>434</v>
      </c>
      <c r="D13" t="str">
        <f>IF(COUNTIF(FundingErrorChecks,$C13)&gt;0,"Yes","No")</f>
        <v>No</v>
      </c>
      <c r="E13" s="171" t="s">
        <v>443</v>
      </c>
      <c r="F13" t="s">
        <v>445</v>
      </c>
      <c r="G13">
        <f t="shared" si="0"/>
        <v>391930003</v>
      </c>
    </row>
    <row r="14" spans="1:8">
      <c r="A14">
        <f t="shared" si="1"/>
        <v>1</v>
      </c>
      <c r="B14" t="s">
        <v>433</v>
      </c>
      <c r="C14" t="s">
        <v>435</v>
      </c>
      <c r="D14" t="str">
        <f>IF(COUNTIF(FundingErrorChecks,$C14)&gt;0,"Yes","No")</f>
        <v>Yes</v>
      </c>
      <c r="E14" s="171" t="s">
        <v>444</v>
      </c>
      <c r="F14" t="s">
        <v>445</v>
      </c>
      <c r="G14">
        <f t="shared" si="0"/>
        <v>391930003</v>
      </c>
    </row>
    <row r="15" spans="1:8">
      <c r="A15">
        <f t="shared" si="1"/>
        <v>1</v>
      </c>
      <c r="B15" t="s">
        <v>433</v>
      </c>
      <c r="C15" t="s">
        <v>436</v>
      </c>
      <c r="D15" t="str">
        <f>IF(COUNTIF(FundingErrorChecks,$C15)&gt;1,"Yes","No")</f>
        <v>Yes</v>
      </c>
      <c r="E15" s="171" t="s">
        <v>446</v>
      </c>
      <c r="F15" t="s">
        <v>445</v>
      </c>
      <c r="G15">
        <f t="shared" si="0"/>
        <v>391930003</v>
      </c>
    </row>
    <row r="16" spans="1:8">
      <c r="A16">
        <f t="shared" si="1"/>
        <v>1</v>
      </c>
      <c r="B16" t="s">
        <v>433</v>
      </c>
      <c r="C16" t="s">
        <v>437</v>
      </c>
      <c r="D16" t="str">
        <f>IF(COUNTIF(FundingErrorChecks,$C16)&gt;0,"Yes","No")</f>
        <v>Yes</v>
      </c>
      <c r="E16" s="171" t="s">
        <v>447</v>
      </c>
      <c r="F16" t="s">
        <v>445</v>
      </c>
      <c r="G16">
        <f t="shared" si="0"/>
        <v>391930003</v>
      </c>
    </row>
    <row r="17" spans="1:8">
      <c r="A17">
        <f t="shared" ref="A17:A21" si="3">IF(D17="Yes",1,0)</f>
        <v>0</v>
      </c>
      <c r="B17" t="s">
        <v>433</v>
      </c>
      <c r="C17" t="s">
        <v>438</v>
      </c>
      <c r="D17" t="str">
        <f>IF(COUNTIF(OtherLoansErrorCheck1,$C17)&gt;0,"Yes","No")</f>
        <v>No</v>
      </c>
      <c r="E17" s="171" t="s">
        <v>448</v>
      </c>
      <c r="F17" t="s">
        <v>445</v>
      </c>
      <c r="G17">
        <f t="shared" si="0"/>
        <v>391930003</v>
      </c>
    </row>
    <row r="18" spans="1:8">
      <c r="A18">
        <f t="shared" si="3"/>
        <v>0</v>
      </c>
      <c r="B18" t="s">
        <v>433</v>
      </c>
      <c r="C18" t="s">
        <v>439</v>
      </c>
      <c r="D18" t="str">
        <f>IF(COUNTIF(OtherLoansErrorCheck1,$C18)&gt;0,"Yes","No")</f>
        <v>No</v>
      </c>
      <c r="E18" s="171" t="s">
        <v>450</v>
      </c>
      <c r="F18" t="s">
        <v>445</v>
      </c>
      <c r="G18">
        <f t="shared" si="0"/>
        <v>391930003</v>
      </c>
    </row>
    <row r="19" spans="1:8">
      <c r="A19">
        <f t="shared" si="3"/>
        <v>0</v>
      </c>
      <c r="B19" t="s">
        <v>433</v>
      </c>
      <c r="C19" t="s">
        <v>440</v>
      </c>
      <c r="D19" t="str">
        <f>IF(COUNTIF(OtherLoansErrorCheck1,$C19)&gt;0,"Yes","No")</f>
        <v>No</v>
      </c>
      <c r="E19" s="171" t="s">
        <v>451</v>
      </c>
      <c r="F19" t="s">
        <v>445</v>
      </c>
      <c r="G19">
        <f t="shared" si="0"/>
        <v>391930003</v>
      </c>
    </row>
    <row r="20" spans="1:8">
      <c r="A20">
        <f t="shared" si="3"/>
        <v>0</v>
      </c>
      <c r="B20" t="s">
        <v>433</v>
      </c>
      <c r="C20" t="s">
        <v>441</v>
      </c>
      <c r="D20" t="str">
        <f>IF(COUNTIF(OtherLoansErrorCheck1,$C20)&gt;0,"Yes","No")</f>
        <v>No</v>
      </c>
      <c r="E20" s="171" t="s">
        <v>454</v>
      </c>
      <c r="F20" t="s">
        <v>445</v>
      </c>
      <c r="G20">
        <f t="shared" si="0"/>
        <v>391930003</v>
      </c>
    </row>
    <row r="21" spans="1:8">
      <c r="A21">
        <f t="shared" si="3"/>
        <v>0</v>
      </c>
      <c r="B21" t="s">
        <v>433</v>
      </c>
      <c r="C21" t="s">
        <v>442</v>
      </c>
      <c r="D21" t="str">
        <f>IF(COUNTIF(OtherLoansErrorCheck1,$C21)&gt;0,"Yes","No")</f>
        <v>No</v>
      </c>
      <c r="E21" s="171" t="s">
        <v>455</v>
      </c>
      <c r="F21" t="s">
        <v>445</v>
      </c>
      <c r="G21">
        <f t="shared" si="0"/>
        <v>391930003</v>
      </c>
    </row>
    <row r="22" spans="1:8">
      <c r="A22">
        <f t="shared" ref="A22" si="4">IF(D22="Yes",1,0)</f>
        <v>0</v>
      </c>
      <c r="B22" t="s">
        <v>433</v>
      </c>
      <c r="C22" t="s">
        <v>438</v>
      </c>
      <c r="D22" t="str">
        <f>IF(COUNTIF(OtherLoansErrorCheck2,$C22)&gt;0,"Yes","No")</f>
        <v>No</v>
      </c>
      <c r="E22" s="171" t="s">
        <v>449</v>
      </c>
      <c r="F22" t="s">
        <v>445</v>
      </c>
      <c r="G22">
        <f t="shared" si="0"/>
        <v>391930003</v>
      </c>
    </row>
    <row r="23" spans="1:8">
      <c r="A23">
        <f t="shared" ref="A23:A31" si="5">IF(D23="Yes",1,0)</f>
        <v>0</v>
      </c>
      <c r="B23" t="s">
        <v>433</v>
      </c>
      <c r="C23" t="s">
        <v>439</v>
      </c>
      <c r="D23" t="str">
        <f>IF(COUNTIF(OtherLoansErrorCheck2,$C23)&gt;0,"Yes","No")</f>
        <v>No</v>
      </c>
      <c r="E23" s="171" t="s">
        <v>452</v>
      </c>
      <c r="F23" t="s">
        <v>445</v>
      </c>
      <c r="G23">
        <f t="shared" si="0"/>
        <v>391930003</v>
      </c>
    </row>
    <row r="24" spans="1:8">
      <c r="A24">
        <f t="shared" si="5"/>
        <v>0</v>
      </c>
      <c r="B24" t="s">
        <v>433</v>
      </c>
      <c r="C24" t="s">
        <v>440</v>
      </c>
      <c r="D24" t="str">
        <f>IF(COUNTIF(OtherLoansErrorCheck2,$C24)&gt;0,"Yes","No")</f>
        <v>No</v>
      </c>
      <c r="E24" s="171" t="s">
        <v>453</v>
      </c>
      <c r="F24" t="s">
        <v>445</v>
      </c>
      <c r="G24">
        <f t="shared" si="0"/>
        <v>391930003</v>
      </c>
    </row>
    <row r="25" spans="1:8">
      <c r="A25">
        <f t="shared" si="5"/>
        <v>0</v>
      </c>
      <c r="B25" t="s">
        <v>433</v>
      </c>
      <c r="C25" t="s">
        <v>441</v>
      </c>
      <c r="D25" t="str">
        <f>IF(COUNTIF(OtherLoansErrorCheck2,$C25)&gt;0,"Yes","No")</f>
        <v>No</v>
      </c>
      <c r="E25" s="171" t="s">
        <v>456</v>
      </c>
      <c r="F25" t="s">
        <v>445</v>
      </c>
      <c r="G25">
        <f t="shared" si="0"/>
        <v>391930003</v>
      </c>
    </row>
    <row r="26" spans="1:8">
      <c r="A26">
        <f t="shared" si="5"/>
        <v>0</v>
      </c>
      <c r="B26" t="s">
        <v>433</v>
      </c>
      <c r="C26" t="s">
        <v>442</v>
      </c>
      <c r="D26" t="str">
        <f>IF(COUNTIF(OtherLoansErrorCheck2,$C26)&gt;0,"Yes","No")</f>
        <v>No</v>
      </c>
      <c r="E26" s="171" t="s">
        <v>457</v>
      </c>
      <c r="F26" t="s">
        <v>445</v>
      </c>
      <c r="G26">
        <f t="shared" si="0"/>
        <v>391930003</v>
      </c>
    </row>
    <row r="27" spans="1:8">
      <c r="A27">
        <f t="shared" si="5"/>
        <v>0</v>
      </c>
      <c r="B27" t="s">
        <v>433</v>
      </c>
      <c r="C27" t="s">
        <v>438</v>
      </c>
      <c r="D27" t="str">
        <f>IF(COUNTIF(OtherLoansErrorCheck3,$C27)&gt;0,"Yes","No")</f>
        <v>No</v>
      </c>
      <c r="E27" s="171" t="s">
        <v>458</v>
      </c>
      <c r="F27" t="s">
        <v>445</v>
      </c>
      <c r="G27">
        <f t="shared" si="0"/>
        <v>391930003</v>
      </c>
    </row>
    <row r="28" spans="1:8">
      <c r="A28">
        <f t="shared" si="5"/>
        <v>0</v>
      </c>
      <c r="B28" t="s">
        <v>433</v>
      </c>
      <c r="C28" t="s">
        <v>439</v>
      </c>
      <c r="D28" t="str">
        <f>IF(COUNTIF(OtherLoansErrorCheck3,$C28)&gt;0,"Yes","No")</f>
        <v>No</v>
      </c>
      <c r="E28" s="171" t="s">
        <v>459</v>
      </c>
      <c r="F28" t="s">
        <v>445</v>
      </c>
      <c r="G28">
        <f t="shared" si="0"/>
        <v>391930003</v>
      </c>
    </row>
    <row r="29" spans="1:8">
      <c r="A29">
        <f t="shared" si="5"/>
        <v>0</v>
      </c>
      <c r="B29" t="s">
        <v>433</v>
      </c>
      <c r="C29" t="s">
        <v>440</v>
      </c>
      <c r="D29" t="str">
        <f>IF(COUNTIF(OtherLoansErrorCheck3,$C29)&gt;0,"Yes","No")</f>
        <v>No</v>
      </c>
      <c r="E29" s="171" t="s">
        <v>460</v>
      </c>
      <c r="F29" t="s">
        <v>445</v>
      </c>
      <c r="G29">
        <f t="shared" si="0"/>
        <v>391930003</v>
      </c>
    </row>
    <row r="30" spans="1:8">
      <c r="A30">
        <f t="shared" si="5"/>
        <v>0</v>
      </c>
      <c r="B30" t="s">
        <v>433</v>
      </c>
      <c r="C30" t="s">
        <v>441</v>
      </c>
      <c r="D30" t="str">
        <f>IF(COUNTIF(OtherLoansErrorCheck3,$C30)&gt;0,"Yes","No")</f>
        <v>No</v>
      </c>
      <c r="E30" s="171" t="s">
        <v>461</v>
      </c>
      <c r="F30" t="s">
        <v>445</v>
      </c>
      <c r="G30">
        <f t="shared" si="0"/>
        <v>391930003</v>
      </c>
    </row>
    <row r="31" spans="1:8">
      <c r="A31">
        <f t="shared" si="5"/>
        <v>0</v>
      </c>
      <c r="B31" t="s">
        <v>433</v>
      </c>
      <c r="C31" t="s">
        <v>442</v>
      </c>
      <c r="D31" t="str">
        <f>IF(COUNTIF(OtherLoansErrorCheck3,$C31)&gt;0,"Yes","No")</f>
        <v>No</v>
      </c>
      <c r="E31" s="171" t="s">
        <v>462</v>
      </c>
      <c r="F31" t="s">
        <v>445</v>
      </c>
      <c r="G31">
        <f t="shared" si="0"/>
        <v>391930003</v>
      </c>
    </row>
    <row r="32" spans="1:8" ht="15.5">
      <c r="A32">
        <f>IF(D32="Yes",1,0)</f>
        <v>0</v>
      </c>
      <c r="B32" t="s">
        <v>463</v>
      </c>
      <c r="C32" t="s">
        <v>466</v>
      </c>
      <c r="D32" t="str">
        <f>IF(E32="", "No", "Yes")</f>
        <v>No</v>
      </c>
      <c r="E32" t="str">
        <f>IF($D$11="Yes","",INDEX(ErrorCheck,MATCH($H32,ErrorCheckPlotNumber,0),MATCH($C32,ErrorCheckTitle,0)))</f>
        <v/>
      </c>
      <c r="F32" t="s">
        <v>429</v>
      </c>
      <c r="G32">
        <f t="shared" si="0"/>
        <v>391930002</v>
      </c>
      <c r="H32" s="123">
        <v>1</v>
      </c>
    </row>
    <row r="33" spans="1:8" ht="15.5">
      <c r="A33">
        <f>IF(D33="Yes",1,0)</f>
        <v>0</v>
      </c>
      <c r="B33" t="s">
        <v>463</v>
      </c>
      <c r="C33" t="s">
        <v>466</v>
      </c>
      <c r="D33" t="str">
        <f t="shared" ref="D33:D96" si="6">IF(E33="", "No", "Yes")</f>
        <v>No</v>
      </c>
      <c r="E33" t="str">
        <f t="shared" ref="E33:E95" si="7">IF($D$11="Yes","",INDEX(ErrorCheck,MATCH($H33,ErrorCheckPlotNumber,0),MATCH($C33,ErrorCheckTitle,0)))</f>
        <v/>
      </c>
      <c r="F33" t="s">
        <v>429</v>
      </c>
      <c r="G33">
        <f t="shared" si="0"/>
        <v>391930002</v>
      </c>
      <c r="H33" s="123">
        <v>2</v>
      </c>
    </row>
    <row r="34" spans="1:8" ht="15.5">
      <c r="A34">
        <f t="shared" ref="A34:A51" si="8">IF(D34="Yes",1,0)</f>
        <v>0</v>
      </c>
      <c r="B34" t="s">
        <v>463</v>
      </c>
      <c r="C34" t="s">
        <v>466</v>
      </c>
      <c r="D34" t="str">
        <f t="shared" si="6"/>
        <v>No</v>
      </c>
      <c r="E34" t="str">
        <f t="shared" si="7"/>
        <v/>
      </c>
      <c r="F34" t="s">
        <v>429</v>
      </c>
      <c r="G34">
        <f t="shared" si="0"/>
        <v>391930002</v>
      </c>
      <c r="H34" s="123">
        <v>3</v>
      </c>
    </row>
    <row r="35" spans="1:8" ht="15.5">
      <c r="A35">
        <f t="shared" si="8"/>
        <v>0</v>
      </c>
      <c r="B35" t="s">
        <v>463</v>
      </c>
      <c r="C35" t="s">
        <v>466</v>
      </c>
      <c r="D35" t="str">
        <f t="shared" si="6"/>
        <v>No</v>
      </c>
      <c r="E35" t="str">
        <f t="shared" si="7"/>
        <v/>
      </c>
      <c r="F35" t="s">
        <v>429</v>
      </c>
      <c r="G35">
        <f t="shared" si="0"/>
        <v>391930002</v>
      </c>
      <c r="H35" s="123">
        <v>4</v>
      </c>
    </row>
    <row r="36" spans="1:8" ht="15.5">
      <c r="A36">
        <f t="shared" si="8"/>
        <v>0</v>
      </c>
      <c r="B36" t="s">
        <v>463</v>
      </c>
      <c r="C36" t="s">
        <v>466</v>
      </c>
      <c r="D36" t="str">
        <f t="shared" si="6"/>
        <v>No</v>
      </c>
      <c r="E36" t="str">
        <f t="shared" si="7"/>
        <v/>
      </c>
      <c r="F36" t="s">
        <v>429</v>
      </c>
      <c r="G36">
        <f t="shared" si="0"/>
        <v>391930002</v>
      </c>
      <c r="H36" s="123">
        <v>5</v>
      </c>
    </row>
    <row r="37" spans="1:8" ht="15.5">
      <c r="A37">
        <f t="shared" si="8"/>
        <v>0</v>
      </c>
      <c r="B37" t="s">
        <v>463</v>
      </c>
      <c r="C37" t="s">
        <v>466</v>
      </c>
      <c r="D37" t="str">
        <f t="shared" si="6"/>
        <v>No</v>
      </c>
      <c r="E37" t="str">
        <f t="shared" si="7"/>
        <v/>
      </c>
      <c r="F37" t="s">
        <v>429</v>
      </c>
      <c r="G37">
        <f t="shared" si="0"/>
        <v>391930002</v>
      </c>
      <c r="H37" s="123">
        <v>6</v>
      </c>
    </row>
    <row r="38" spans="1:8" ht="15.5">
      <c r="A38">
        <f t="shared" si="8"/>
        <v>0</v>
      </c>
      <c r="B38" t="s">
        <v>463</v>
      </c>
      <c r="C38" t="s">
        <v>466</v>
      </c>
      <c r="D38" t="str">
        <f t="shared" si="6"/>
        <v>No</v>
      </c>
      <c r="E38" t="str">
        <f t="shared" si="7"/>
        <v/>
      </c>
      <c r="F38" t="s">
        <v>429</v>
      </c>
      <c r="G38">
        <f t="shared" si="0"/>
        <v>391930002</v>
      </c>
      <c r="H38" s="123">
        <v>7</v>
      </c>
    </row>
    <row r="39" spans="1:8" ht="15.5">
      <c r="A39">
        <f t="shared" si="8"/>
        <v>0</v>
      </c>
      <c r="B39" t="s">
        <v>463</v>
      </c>
      <c r="C39" t="s">
        <v>466</v>
      </c>
      <c r="D39" t="str">
        <f t="shared" si="6"/>
        <v>No</v>
      </c>
      <c r="E39" t="str">
        <f t="shared" si="7"/>
        <v/>
      </c>
      <c r="F39" t="s">
        <v>429</v>
      </c>
      <c r="G39">
        <f t="shared" si="0"/>
        <v>391930002</v>
      </c>
      <c r="H39" s="123">
        <v>8</v>
      </c>
    </row>
    <row r="40" spans="1:8" ht="15.5">
      <c r="A40">
        <f t="shared" si="8"/>
        <v>0</v>
      </c>
      <c r="B40" t="s">
        <v>463</v>
      </c>
      <c r="C40" t="s">
        <v>466</v>
      </c>
      <c r="D40" t="str">
        <f t="shared" si="6"/>
        <v>No</v>
      </c>
      <c r="E40" t="str">
        <f t="shared" si="7"/>
        <v/>
      </c>
      <c r="F40" t="s">
        <v>429</v>
      </c>
      <c r="G40">
        <f t="shared" si="0"/>
        <v>391930002</v>
      </c>
      <c r="H40" s="123">
        <v>9</v>
      </c>
    </row>
    <row r="41" spans="1:8" ht="15.5">
      <c r="A41">
        <f t="shared" si="8"/>
        <v>0</v>
      </c>
      <c r="B41" t="s">
        <v>463</v>
      </c>
      <c r="C41" t="s">
        <v>466</v>
      </c>
      <c r="D41" t="str">
        <f t="shared" si="6"/>
        <v>No</v>
      </c>
      <c r="E41" t="str">
        <f t="shared" si="7"/>
        <v/>
      </c>
      <c r="F41" t="s">
        <v>429</v>
      </c>
      <c r="G41">
        <f t="shared" si="0"/>
        <v>391930002</v>
      </c>
      <c r="H41" s="123">
        <v>10</v>
      </c>
    </row>
    <row r="42" spans="1:8" ht="15.5">
      <c r="A42">
        <f t="shared" si="8"/>
        <v>0</v>
      </c>
      <c r="B42" t="s">
        <v>463</v>
      </c>
      <c r="C42" t="s">
        <v>466</v>
      </c>
      <c r="D42" t="str">
        <f t="shared" si="6"/>
        <v>No</v>
      </c>
      <c r="E42" t="str">
        <f t="shared" si="7"/>
        <v/>
      </c>
      <c r="F42" t="s">
        <v>429</v>
      </c>
      <c r="G42">
        <f t="shared" si="0"/>
        <v>391930002</v>
      </c>
      <c r="H42" s="123">
        <v>11</v>
      </c>
    </row>
    <row r="43" spans="1:8" ht="15.5">
      <c r="A43">
        <f t="shared" si="8"/>
        <v>0</v>
      </c>
      <c r="B43" t="s">
        <v>463</v>
      </c>
      <c r="C43" t="s">
        <v>466</v>
      </c>
      <c r="D43" t="str">
        <f t="shared" si="6"/>
        <v>No</v>
      </c>
      <c r="E43" t="str">
        <f t="shared" si="7"/>
        <v/>
      </c>
      <c r="F43" t="s">
        <v>429</v>
      </c>
      <c r="G43">
        <f t="shared" si="0"/>
        <v>391930002</v>
      </c>
      <c r="H43" s="123">
        <v>12</v>
      </c>
    </row>
    <row r="44" spans="1:8" ht="15.5">
      <c r="A44">
        <f t="shared" si="8"/>
        <v>0</v>
      </c>
      <c r="B44" t="s">
        <v>463</v>
      </c>
      <c r="C44" t="s">
        <v>466</v>
      </c>
      <c r="D44" t="str">
        <f t="shared" si="6"/>
        <v>No</v>
      </c>
      <c r="E44" t="str">
        <f t="shared" si="7"/>
        <v/>
      </c>
      <c r="F44" t="s">
        <v>429</v>
      </c>
      <c r="G44">
        <f t="shared" si="0"/>
        <v>391930002</v>
      </c>
      <c r="H44" s="123">
        <v>13</v>
      </c>
    </row>
    <row r="45" spans="1:8" ht="15.5">
      <c r="A45">
        <f t="shared" si="8"/>
        <v>0</v>
      </c>
      <c r="B45" t="s">
        <v>463</v>
      </c>
      <c r="C45" t="s">
        <v>466</v>
      </c>
      <c r="D45" t="str">
        <f t="shared" si="6"/>
        <v>No</v>
      </c>
      <c r="E45" t="str">
        <f t="shared" si="7"/>
        <v/>
      </c>
      <c r="F45" t="s">
        <v>429</v>
      </c>
      <c r="G45">
        <f t="shared" si="0"/>
        <v>391930002</v>
      </c>
      <c r="H45" s="123">
        <v>14</v>
      </c>
    </row>
    <row r="46" spans="1:8" ht="15.5">
      <c r="A46">
        <f t="shared" si="8"/>
        <v>0</v>
      </c>
      <c r="B46" t="s">
        <v>463</v>
      </c>
      <c r="C46" t="s">
        <v>466</v>
      </c>
      <c r="D46" t="str">
        <f t="shared" si="6"/>
        <v>No</v>
      </c>
      <c r="E46" t="str">
        <f t="shared" si="7"/>
        <v/>
      </c>
      <c r="F46" t="s">
        <v>429</v>
      </c>
      <c r="G46">
        <f t="shared" si="0"/>
        <v>391930002</v>
      </c>
      <c r="H46" s="123">
        <v>15</v>
      </c>
    </row>
    <row r="47" spans="1:8" ht="15.5">
      <c r="A47">
        <f t="shared" si="8"/>
        <v>0</v>
      </c>
      <c r="B47" t="s">
        <v>463</v>
      </c>
      <c r="C47" t="s">
        <v>466</v>
      </c>
      <c r="D47" t="str">
        <f t="shared" si="6"/>
        <v>No</v>
      </c>
      <c r="E47" t="str">
        <f t="shared" si="7"/>
        <v/>
      </c>
      <c r="F47" t="s">
        <v>429</v>
      </c>
      <c r="G47">
        <f t="shared" si="0"/>
        <v>391930002</v>
      </c>
      <c r="H47" s="123">
        <v>16</v>
      </c>
    </row>
    <row r="48" spans="1:8" ht="15.5">
      <c r="A48">
        <f t="shared" si="8"/>
        <v>0</v>
      </c>
      <c r="B48" t="s">
        <v>463</v>
      </c>
      <c r="C48" t="s">
        <v>466</v>
      </c>
      <c r="D48" t="str">
        <f t="shared" si="6"/>
        <v>No</v>
      </c>
      <c r="E48" t="str">
        <f t="shared" si="7"/>
        <v/>
      </c>
      <c r="F48" t="s">
        <v>429</v>
      </c>
      <c r="G48">
        <f t="shared" si="0"/>
        <v>391930002</v>
      </c>
      <c r="H48" s="123">
        <v>17</v>
      </c>
    </row>
    <row r="49" spans="1:8" ht="15.5">
      <c r="A49">
        <f t="shared" si="8"/>
        <v>0</v>
      </c>
      <c r="B49" t="s">
        <v>463</v>
      </c>
      <c r="C49" t="s">
        <v>466</v>
      </c>
      <c r="D49" t="str">
        <f t="shared" si="6"/>
        <v>No</v>
      </c>
      <c r="E49" t="str">
        <f t="shared" si="7"/>
        <v/>
      </c>
      <c r="F49" t="s">
        <v>429</v>
      </c>
      <c r="G49">
        <f t="shared" si="0"/>
        <v>391930002</v>
      </c>
      <c r="H49" s="123">
        <v>18</v>
      </c>
    </row>
    <row r="50" spans="1:8" ht="15.5">
      <c r="A50">
        <f t="shared" si="8"/>
        <v>0</v>
      </c>
      <c r="B50" t="s">
        <v>463</v>
      </c>
      <c r="C50" t="s">
        <v>466</v>
      </c>
      <c r="D50" t="str">
        <f t="shared" si="6"/>
        <v>No</v>
      </c>
      <c r="E50" t="str">
        <f t="shared" si="7"/>
        <v/>
      </c>
      <c r="F50" t="s">
        <v>429</v>
      </c>
      <c r="G50">
        <f t="shared" si="0"/>
        <v>391930002</v>
      </c>
      <c r="H50" s="123">
        <v>19</v>
      </c>
    </row>
    <row r="51" spans="1:8" ht="15.5">
      <c r="A51">
        <f t="shared" si="8"/>
        <v>0</v>
      </c>
      <c r="B51" t="s">
        <v>463</v>
      </c>
      <c r="C51" t="s">
        <v>466</v>
      </c>
      <c r="D51" t="str">
        <f t="shared" si="6"/>
        <v>No</v>
      </c>
      <c r="E51" t="str">
        <f t="shared" si="7"/>
        <v/>
      </c>
      <c r="F51" t="s">
        <v>429</v>
      </c>
      <c r="G51">
        <f t="shared" si="0"/>
        <v>391930002</v>
      </c>
      <c r="H51" s="123">
        <v>20</v>
      </c>
    </row>
    <row r="52" spans="1:8" ht="15.5">
      <c r="A52">
        <f t="shared" ref="A52:A88" si="9">IF(D52="Yes",1,0)</f>
        <v>0</v>
      </c>
      <c r="B52" t="s">
        <v>463</v>
      </c>
      <c r="C52" t="s">
        <v>466</v>
      </c>
      <c r="D52" t="str">
        <f t="shared" si="6"/>
        <v>No</v>
      </c>
      <c r="E52" t="str">
        <f t="shared" si="7"/>
        <v/>
      </c>
      <c r="F52" t="s">
        <v>429</v>
      </c>
      <c r="G52">
        <f t="shared" si="0"/>
        <v>391930002</v>
      </c>
      <c r="H52" s="123">
        <v>21</v>
      </c>
    </row>
    <row r="53" spans="1:8" ht="15.5">
      <c r="A53">
        <f t="shared" si="9"/>
        <v>0</v>
      </c>
      <c r="B53" t="s">
        <v>463</v>
      </c>
      <c r="C53" t="s">
        <v>466</v>
      </c>
      <c r="D53" t="str">
        <f t="shared" si="6"/>
        <v>No</v>
      </c>
      <c r="E53" t="str">
        <f t="shared" si="7"/>
        <v/>
      </c>
      <c r="F53" t="s">
        <v>429</v>
      </c>
      <c r="G53">
        <f t="shared" si="0"/>
        <v>391930002</v>
      </c>
      <c r="H53" s="123">
        <v>22</v>
      </c>
    </row>
    <row r="54" spans="1:8" ht="15.5">
      <c r="A54">
        <f t="shared" si="9"/>
        <v>0</v>
      </c>
      <c r="B54" t="s">
        <v>463</v>
      </c>
      <c r="C54" t="s">
        <v>466</v>
      </c>
      <c r="D54" t="str">
        <f t="shared" si="6"/>
        <v>No</v>
      </c>
      <c r="E54" t="str">
        <f t="shared" si="7"/>
        <v/>
      </c>
      <c r="F54" t="s">
        <v>429</v>
      </c>
      <c r="G54">
        <f t="shared" si="0"/>
        <v>391930002</v>
      </c>
      <c r="H54" s="123">
        <v>23</v>
      </c>
    </row>
    <row r="55" spans="1:8" ht="15.5">
      <c r="A55">
        <f t="shared" si="9"/>
        <v>0</v>
      </c>
      <c r="B55" t="s">
        <v>463</v>
      </c>
      <c r="C55" t="s">
        <v>466</v>
      </c>
      <c r="D55" t="str">
        <f t="shared" si="6"/>
        <v>No</v>
      </c>
      <c r="E55" t="str">
        <f t="shared" si="7"/>
        <v/>
      </c>
      <c r="F55" t="s">
        <v>429</v>
      </c>
      <c r="G55">
        <f t="shared" si="0"/>
        <v>391930002</v>
      </c>
      <c r="H55" s="123">
        <v>24</v>
      </c>
    </row>
    <row r="56" spans="1:8" ht="15.5">
      <c r="A56">
        <f t="shared" si="9"/>
        <v>0</v>
      </c>
      <c r="B56" t="s">
        <v>463</v>
      </c>
      <c r="C56" t="s">
        <v>466</v>
      </c>
      <c r="D56" t="str">
        <f t="shared" si="6"/>
        <v>No</v>
      </c>
      <c r="E56" t="str">
        <f t="shared" si="7"/>
        <v/>
      </c>
      <c r="F56" t="s">
        <v>429</v>
      </c>
      <c r="G56">
        <f t="shared" si="0"/>
        <v>391930002</v>
      </c>
      <c r="H56" s="123">
        <v>25</v>
      </c>
    </row>
    <row r="57" spans="1:8" ht="15.5">
      <c r="A57">
        <f t="shared" si="9"/>
        <v>0</v>
      </c>
      <c r="B57" t="s">
        <v>463</v>
      </c>
      <c r="C57" t="s">
        <v>466</v>
      </c>
      <c r="D57" t="str">
        <f t="shared" si="6"/>
        <v>No</v>
      </c>
      <c r="E57" t="str">
        <f t="shared" si="7"/>
        <v/>
      </c>
      <c r="F57" t="s">
        <v>429</v>
      </c>
      <c r="G57">
        <f t="shared" si="0"/>
        <v>391930002</v>
      </c>
      <c r="H57" s="123">
        <v>26</v>
      </c>
    </row>
    <row r="58" spans="1:8" ht="15.5">
      <c r="A58">
        <f t="shared" si="9"/>
        <v>0</v>
      </c>
      <c r="B58" t="s">
        <v>463</v>
      </c>
      <c r="C58" t="s">
        <v>466</v>
      </c>
      <c r="D58" t="str">
        <f t="shared" si="6"/>
        <v>No</v>
      </c>
      <c r="E58" t="str">
        <f t="shared" si="7"/>
        <v/>
      </c>
      <c r="F58" t="s">
        <v>429</v>
      </c>
      <c r="G58">
        <f t="shared" si="0"/>
        <v>391930002</v>
      </c>
      <c r="H58" s="123">
        <v>27</v>
      </c>
    </row>
    <row r="59" spans="1:8" ht="15.5">
      <c r="A59">
        <f t="shared" si="9"/>
        <v>0</v>
      </c>
      <c r="B59" t="s">
        <v>463</v>
      </c>
      <c r="C59" t="s">
        <v>466</v>
      </c>
      <c r="D59" t="str">
        <f t="shared" si="6"/>
        <v>No</v>
      </c>
      <c r="E59" t="str">
        <f t="shared" si="7"/>
        <v/>
      </c>
      <c r="F59" t="s">
        <v>429</v>
      </c>
      <c r="G59">
        <f t="shared" si="0"/>
        <v>391930002</v>
      </c>
      <c r="H59" s="123">
        <v>28</v>
      </c>
    </row>
    <row r="60" spans="1:8" ht="15.5">
      <c r="A60">
        <f t="shared" si="9"/>
        <v>0</v>
      </c>
      <c r="B60" t="s">
        <v>463</v>
      </c>
      <c r="C60" t="s">
        <v>466</v>
      </c>
      <c r="D60" t="str">
        <f t="shared" si="6"/>
        <v>No</v>
      </c>
      <c r="E60" t="str">
        <f t="shared" si="7"/>
        <v/>
      </c>
      <c r="F60" t="s">
        <v>429</v>
      </c>
      <c r="G60">
        <f t="shared" si="0"/>
        <v>391930002</v>
      </c>
      <c r="H60" s="123">
        <v>29</v>
      </c>
    </row>
    <row r="61" spans="1:8" ht="15.5">
      <c r="A61">
        <f t="shared" si="9"/>
        <v>0</v>
      </c>
      <c r="B61" t="s">
        <v>463</v>
      </c>
      <c r="C61" t="s">
        <v>466</v>
      </c>
      <c r="D61" t="str">
        <f t="shared" si="6"/>
        <v>No</v>
      </c>
      <c r="E61" t="str">
        <f t="shared" si="7"/>
        <v/>
      </c>
      <c r="F61" t="s">
        <v>429</v>
      </c>
      <c r="G61">
        <f t="shared" si="0"/>
        <v>391930002</v>
      </c>
      <c r="H61" s="123">
        <v>30</v>
      </c>
    </row>
    <row r="62" spans="1:8" ht="15.5">
      <c r="A62">
        <f t="shared" si="9"/>
        <v>0</v>
      </c>
      <c r="B62" t="s">
        <v>463</v>
      </c>
      <c r="C62" t="s">
        <v>466</v>
      </c>
      <c r="D62" t="str">
        <f t="shared" si="6"/>
        <v>No</v>
      </c>
      <c r="E62" t="str">
        <f t="shared" si="7"/>
        <v/>
      </c>
      <c r="F62" t="s">
        <v>429</v>
      </c>
      <c r="G62">
        <f t="shared" si="0"/>
        <v>391930002</v>
      </c>
      <c r="H62" s="123">
        <v>31</v>
      </c>
    </row>
    <row r="63" spans="1:8" ht="15.5">
      <c r="A63">
        <f t="shared" si="9"/>
        <v>0</v>
      </c>
      <c r="B63" t="s">
        <v>463</v>
      </c>
      <c r="C63" t="s">
        <v>466</v>
      </c>
      <c r="D63" t="str">
        <f t="shared" si="6"/>
        <v>No</v>
      </c>
      <c r="E63" t="str">
        <f t="shared" si="7"/>
        <v/>
      </c>
      <c r="F63" t="s">
        <v>429</v>
      </c>
      <c r="G63">
        <f t="shared" si="0"/>
        <v>391930002</v>
      </c>
      <c r="H63" s="123">
        <v>32</v>
      </c>
    </row>
    <row r="64" spans="1:8" ht="15.5">
      <c r="A64">
        <f t="shared" si="9"/>
        <v>0</v>
      </c>
      <c r="B64" t="s">
        <v>463</v>
      </c>
      <c r="C64" t="s">
        <v>466</v>
      </c>
      <c r="D64" t="str">
        <f t="shared" si="6"/>
        <v>No</v>
      </c>
      <c r="E64" t="str">
        <f t="shared" si="7"/>
        <v/>
      </c>
      <c r="F64" t="s">
        <v>429</v>
      </c>
      <c r="G64">
        <f t="shared" si="0"/>
        <v>391930002</v>
      </c>
      <c r="H64" s="123">
        <v>33</v>
      </c>
    </row>
    <row r="65" spans="1:8" ht="15.5">
      <c r="A65">
        <f t="shared" si="9"/>
        <v>0</v>
      </c>
      <c r="B65" t="s">
        <v>463</v>
      </c>
      <c r="C65" t="s">
        <v>466</v>
      </c>
      <c r="D65" t="str">
        <f t="shared" si="6"/>
        <v>No</v>
      </c>
      <c r="E65" t="str">
        <f t="shared" si="7"/>
        <v/>
      </c>
      <c r="F65" t="s">
        <v>429</v>
      </c>
      <c r="G65">
        <f t="shared" si="0"/>
        <v>391930002</v>
      </c>
      <c r="H65" s="123">
        <v>34</v>
      </c>
    </row>
    <row r="66" spans="1:8" ht="15.5">
      <c r="A66">
        <f t="shared" si="9"/>
        <v>0</v>
      </c>
      <c r="B66" t="s">
        <v>463</v>
      </c>
      <c r="C66" t="s">
        <v>466</v>
      </c>
      <c r="D66" t="str">
        <f t="shared" si="6"/>
        <v>No</v>
      </c>
      <c r="E66" t="str">
        <f t="shared" si="7"/>
        <v/>
      </c>
      <c r="F66" t="s">
        <v>429</v>
      </c>
      <c r="G66">
        <f t="shared" si="0"/>
        <v>391930002</v>
      </c>
      <c r="H66" s="123">
        <v>35</v>
      </c>
    </row>
    <row r="67" spans="1:8" ht="15.5">
      <c r="A67">
        <f t="shared" si="9"/>
        <v>0</v>
      </c>
      <c r="B67" t="s">
        <v>463</v>
      </c>
      <c r="C67" t="s">
        <v>466</v>
      </c>
      <c r="D67" t="str">
        <f t="shared" si="6"/>
        <v>No</v>
      </c>
      <c r="E67" t="str">
        <f t="shared" si="7"/>
        <v/>
      </c>
      <c r="F67" t="s">
        <v>429</v>
      </c>
      <c r="G67">
        <f t="shared" si="0"/>
        <v>391930002</v>
      </c>
      <c r="H67" s="123">
        <v>36</v>
      </c>
    </row>
    <row r="68" spans="1:8" ht="15.5">
      <c r="A68">
        <f t="shared" si="9"/>
        <v>0</v>
      </c>
      <c r="B68" t="s">
        <v>463</v>
      </c>
      <c r="C68" t="s">
        <v>466</v>
      </c>
      <c r="D68" t="str">
        <f t="shared" si="6"/>
        <v>No</v>
      </c>
      <c r="E68" t="str">
        <f t="shared" si="7"/>
        <v/>
      </c>
      <c r="F68" t="s">
        <v>429</v>
      </c>
      <c r="G68">
        <f t="shared" si="0"/>
        <v>391930002</v>
      </c>
      <c r="H68" s="123">
        <v>37</v>
      </c>
    </row>
    <row r="69" spans="1:8" ht="15.5">
      <c r="A69">
        <f t="shared" si="9"/>
        <v>0</v>
      </c>
      <c r="B69" t="s">
        <v>463</v>
      </c>
      <c r="C69" t="s">
        <v>466</v>
      </c>
      <c r="D69" t="str">
        <f t="shared" si="6"/>
        <v>No</v>
      </c>
      <c r="E69" t="str">
        <f t="shared" si="7"/>
        <v/>
      </c>
      <c r="F69" t="s">
        <v>429</v>
      </c>
      <c r="G69">
        <f t="shared" si="0"/>
        <v>391930002</v>
      </c>
      <c r="H69" s="123">
        <v>38</v>
      </c>
    </row>
    <row r="70" spans="1:8" ht="15.5">
      <c r="A70">
        <f t="shared" si="9"/>
        <v>0</v>
      </c>
      <c r="B70" t="s">
        <v>463</v>
      </c>
      <c r="C70" t="s">
        <v>466</v>
      </c>
      <c r="D70" t="str">
        <f t="shared" si="6"/>
        <v>No</v>
      </c>
      <c r="E70" t="str">
        <f t="shared" si="7"/>
        <v/>
      </c>
      <c r="F70" t="s">
        <v>429</v>
      </c>
      <c r="G70">
        <f t="shared" si="0"/>
        <v>391930002</v>
      </c>
      <c r="H70" s="123">
        <v>39</v>
      </c>
    </row>
    <row r="71" spans="1:8" ht="15.5">
      <c r="A71">
        <f t="shared" si="9"/>
        <v>0</v>
      </c>
      <c r="B71" t="s">
        <v>463</v>
      </c>
      <c r="C71" t="s">
        <v>466</v>
      </c>
      <c r="D71" t="str">
        <f t="shared" si="6"/>
        <v>No</v>
      </c>
      <c r="E71" t="str">
        <f t="shared" si="7"/>
        <v/>
      </c>
      <c r="F71" t="s">
        <v>429</v>
      </c>
      <c r="G71">
        <f t="shared" ref="G71:G134" si="10">INDEX(IssueType,MATCH($F71,IssueTypeName,0),2)</f>
        <v>391930002</v>
      </c>
      <c r="H71" s="123">
        <v>40</v>
      </c>
    </row>
    <row r="72" spans="1:8" ht="15.5">
      <c r="A72">
        <f t="shared" si="9"/>
        <v>0</v>
      </c>
      <c r="B72" t="s">
        <v>463</v>
      </c>
      <c r="C72" t="s">
        <v>466</v>
      </c>
      <c r="D72" t="str">
        <f t="shared" si="6"/>
        <v>No</v>
      </c>
      <c r="E72" t="str">
        <f t="shared" si="7"/>
        <v/>
      </c>
      <c r="F72" t="s">
        <v>429</v>
      </c>
      <c r="G72">
        <f t="shared" si="10"/>
        <v>391930002</v>
      </c>
      <c r="H72" s="123">
        <v>41</v>
      </c>
    </row>
    <row r="73" spans="1:8" ht="15.5">
      <c r="A73">
        <f t="shared" si="9"/>
        <v>0</v>
      </c>
      <c r="B73" t="s">
        <v>463</v>
      </c>
      <c r="C73" t="s">
        <v>466</v>
      </c>
      <c r="D73" t="str">
        <f t="shared" si="6"/>
        <v>No</v>
      </c>
      <c r="E73" t="str">
        <f t="shared" si="7"/>
        <v/>
      </c>
      <c r="F73" t="s">
        <v>429</v>
      </c>
      <c r="G73">
        <f t="shared" si="10"/>
        <v>391930002</v>
      </c>
      <c r="H73" s="123">
        <v>42</v>
      </c>
    </row>
    <row r="74" spans="1:8" ht="15.5">
      <c r="A74">
        <f t="shared" si="9"/>
        <v>0</v>
      </c>
      <c r="B74" t="s">
        <v>463</v>
      </c>
      <c r="C74" t="s">
        <v>466</v>
      </c>
      <c r="D74" t="str">
        <f t="shared" si="6"/>
        <v>No</v>
      </c>
      <c r="E74" t="str">
        <f t="shared" si="7"/>
        <v/>
      </c>
      <c r="F74" t="s">
        <v>429</v>
      </c>
      <c r="G74">
        <f t="shared" si="10"/>
        <v>391930002</v>
      </c>
      <c r="H74" s="123">
        <v>43</v>
      </c>
    </row>
    <row r="75" spans="1:8" ht="15.5">
      <c r="A75">
        <f t="shared" si="9"/>
        <v>0</v>
      </c>
      <c r="B75" t="s">
        <v>463</v>
      </c>
      <c r="C75" t="s">
        <v>466</v>
      </c>
      <c r="D75" t="str">
        <f t="shared" si="6"/>
        <v>No</v>
      </c>
      <c r="E75" t="str">
        <f t="shared" si="7"/>
        <v/>
      </c>
      <c r="F75" t="s">
        <v>429</v>
      </c>
      <c r="G75">
        <f t="shared" si="10"/>
        <v>391930002</v>
      </c>
      <c r="H75" s="123">
        <v>44</v>
      </c>
    </row>
    <row r="76" spans="1:8" ht="15.5">
      <c r="A76">
        <f t="shared" si="9"/>
        <v>0</v>
      </c>
      <c r="B76" t="s">
        <v>463</v>
      </c>
      <c r="C76" t="s">
        <v>466</v>
      </c>
      <c r="D76" t="str">
        <f t="shared" si="6"/>
        <v>No</v>
      </c>
      <c r="E76" t="str">
        <f t="shared" si="7"/>
        <v/>
      </c>
      <c r="F76" t="s">
        <v>429</v>
      </c>
      <c r="G76">
        <f t="shared" si="10"/>
        <v>391930002</v>
      </c>
      <c r="H76" s="123">
        <v>45</v>
      </c>
    </row>
    <row r="77" spans="1:8" ht="15.5">
      <c r="A77">
        <f t="shared" si="9"/>
        <v>0</v>
      </c>
      <c r="B77" t="s">
        <v>463</v>
      </c>
      <c r="C77" t="s">
        <v>466</v>
      </c>
      <c r="D77" t="str">
        <f t="shared" si="6"/>
        <v>No</v>
      </c>
      <c r="E77" t="str">
        <f t="shared" si="7"/>
        <v/>
      </c>
      <c r="F77" t="s">
        <v>429</v>
      </c>
      <c r="G77">
        <f t="shared" si="10"/>
        <v>391930002</v>
      </c>
      <c r="H77" s="123">
        <v>46</v>
      </c>
    </row>
    <row r="78" spans="1:8" ht="15.5">
      <c r="A78">
        <f t="shared" si="9"/>
        <v>0</v>
      </c>
      <c r="B78" t="s">
        <v>463</v>
      </c>
      <c r="C78" t="s">
        <v>466</v>
      </c>
      <c r="D78" t="str">
        <f t="shared" si="6"/>
        <v>No</v>
      </c>
      <c r="E78" t="str">
        <f t="shared" si="7"/>
        <v/>
      </c>
      <c r="F78" t="s">
        <v>429</v>
      </c>
      <c r="G78">
        <f t="shared" si="10"/>
        <v>391930002</v>
      </c>
      <c r="H78" s="123">
        <v>47</v>
      </c>
    </row>
    <row r="79" spans="1:8" ht="15.5">
      <c r="A79">
        <f t="shared" si="9"/>
        <v>0</v>
      </c>
      <c r="B79" t="s">
        <v>463</v>
      </c>
      <c r="C79" t="s">
        <v>466</v>
      </c>
      <c r="D79" t="str">
        <f t="shared" si="6"/>
        <v>No</v>
      </c>
      <c r="E79" t="str">
        <f t="shared" si="7"/>
        <v/>
      </c>
      <c r="F79" t="s">
        <v>429</v>
      </c>
      <c r="G79">
        <f t="shared" si="10"/>
        <v>391930002</v>
      </c>
      <c r="H79" s="123">
        <v>48</v>
      </c>
    </row>
    <row r="80" spans="1:8" ht="15.5">
      <c r="A80">
        <f t="shared" si="9"/>
        <v>0</v>
      </c>
      <c r="B80" t="s">
        <v>463</v>
      </c>
      <c r="C80" t="s">
        <v>466</v>
      </c>
      <c r="D80" t="str">
        <f t="shared" si="6"/>
        <v>No</v>
      </c>
      <c r="E80" t="str">
        <f t="shared" si="7"/>
        <v/>
      </c>
      <c r="F80" t="s">
        <v>429</v>
      </c>
      <c r="G80">
        <f t="shared" si="10"/>
        <v>391930002</v>
      </c>
      <c r="H80" s="123">
        <v>49</v>
      </c>
    </row>
    <row r="81" spans="1:8" ht="15.5">
      <c r="A81">
        <f t="shared" si="9"/>
        <v>0</v>
      </c>
      <c r="B81" t="s">
        <v>463</v>
      </c>
      <c r="C81" t="s">
        <v>466</v>
      </c>
      <c r="D81" t="str">
        <f t="shared" si="6"/>
        <v>No</v>
      </c>
      <c r="E81" t="str">
        <f t="shared" si="7"/>
        <v/>
      </c>
      <c r="F81" t="s">
        <v>429</v>
      </c>
      <c r="G81">
        <f t="shared" si="10"/>
        <v>391930002</v>
      </c>
      <c r="H81" s="123">
        <v>50</v>
      </c>
    </row>
    <row r="82" spans="1:8" ht="15.5">
      <c r="A82">
        <f t="shared" si="9"/>
        <v>0</v>
      </c>
      <c r="B82" t="s">
        <v>463</v>
      </c>
      <c r="C82" t="s">
        <v>466</v>
      </c>
      <c r="D82" t="str">
        <f t="shared" si="6"/>
        <v>No</v>
      </c>
      <c r="E82" t="str">
        <f t="shared" si="7"/>
        <v/>
      </c>
      <c r="F82" t="s">
        <v>429</v>
      </c>
      <c r="G82">
        <f t="shared" si="10"/>
        <v>391930002</v>
      </c>
      <c r="H82" s="123">
        <v>51</v>
      </c>
    </row>
    <row r="83" spans="1:8" ht="15.5">
      <c r="A83">
        <f t="shared" si="9"/>
        <v>0</v>
      </c>
      <c r="B83" t="s">
        <v>463</v>
      </c>
      <c r="C83" t="s">
        <v>466</v>
      </c>
      <c r="D83" t="str">
        <f t="shared" si="6"/>
        <v>No</v>
      </c>
      <c r="E83" t="str">
        <f t="shared" si="7"/>
        <v/>
      </c>
      <c r="F83" t="s">
        <v>429</v>
      </c>
      <c r="G83">
        <f t="shared" si="10"/>
        <v>391930002</v>
      </c>
      <c r="H83" s="123">
        <v>52</v>
      </c>
    </row>
    <row r="84" spans="1:8" ht="15.5">
      <c r="A84">
        <f t="shared" si="9"/>
        <v>0</v>
      </c>
      <c r="B84" t="s">
        <v>463</v>
      </c>
      <c r="C84" t="s">
        <v>466</v>
      </c>
      <c r="D84" t="str">
        <f t="shared" si="6"/>
        <v>No</v>
      </c>
      <c r="E84" t="str">
        <f t="shared" si="7"/>
        <v/>
      </c>
      <c r="F84" t="s">
        <v>429</v>
      </c>
      <c r="G84">
        <f t="shared" si="10"/>
        <v>391930002</v>
      </c>
      <c r="H84" s="123">
        <v>53</v>
      </c>
    </row>
    <row r="85" spans="1:8" ht="15.5">
      <c r="A85">
        <f t="shared" si="9"/>
        <v>0</v>
      </c>
      <c r="B85" t="s">
        <v>463</v>
      </c>
      <c r="C85" t="s">
        <v>466</v>
      </c>
      <c r="D85" t="str">
        <f t="shared" si="6"/>
        <v>No</v>
      </c>
      <c r="E85" t="str">
        <f t="shared" si="7"/>
        <v/>
      </c>
      <c r="F85" t="s">
        <v>429</v>
      </c>
      <c r="G85">
        <f t="shared" si="10"/>
        <v>391930002</v>
      </c>
      <c r="H85" s="123">
        <v>54</v>
      </c>
    </row>
    <row r="86" spans="1:8" ht="15.5">
      <c r="A86">
        <f t="shared" si="9"/>
        <v>0</v>
      </c>
      <c r="B86" t="s">
        <v>463</v>
      </c>
      <c r="C86" t="s">
        <v>466</v>
      </c>
      <c r="D86" t="str">
        <f t="shared" si="6"/>
        <v>No</v>
      </c>
      <c r="E86" t="str">
        <f t="shared" si="7"/>
        <v/>
      </c>
      <c r="F86" t="s">
        <v>429</v>
      </c>
      <c r="G86">
        <f t="shared" si="10"/>
        <v>391930002</v>
      </c>
      <c r="H86" s="123">
        <v>55</v>
      </c>
    </row>
    <row r="87" spans="1:8" ht="15.5">
      <c r="A87">
        <f t="shared" si="9"/>
        <v>0</v>
      </c>
      <c r="B87" t="s">
        <v>463</v>
      </c>
      <c r="C87" t="s">
        <v>466</v>
      </c>
      <c r="D87" t="str">
        <f t="shared" si="6"/>
        <v>No</v>
      </c>
      <c r="E87" t="str">
        <f t="shared" si="7"/>
        <v/>
      </c>
      <c r="F87" t="s">
        <v>429</v>
      </c>
      <c r="G87">
        <f t="shared" si="10"/>
        <v>391930002</v>
      </c>
      <c r="H87" s="123">
        <v>56</v>
      </c>
    </row>
    <row r="88" spans="1:8" ht="15.5">
      <c r="A88">
        <f t="shared" si="9"/>
        <v>0</v>
      </c>
      <c r="B88" t="s">
        <v>463</v>
      </c>
      <c r="C88" t="s">
        <v>466</v>
      </c>
      <c r="D88" t="str">
        <f t="shared" si="6"/>
        <v>No</v>
      </c>
      <c r="E88" t="str">
        <f t="shared" si="7"/>
        <v/>
      </c>
      <c r="F88" t="s">
        <v>429</v>
      </c>
      <c r="G88">
        <f t="shared" si="10"/>
        <v>391930002</v>
      </c>
      <c r="H88" s="123">
        <v>57</v>
      </c>
    </row>
    <row r="89" spans="1:8" ht="15.5">
      <c r="A89">
        <f t="shared" ref="A89:A152" si="11">IF(D89="Yes",1,0)</f>
        <v>0</v>
      </c>
      <c r="B89" t="s">
        <v>463</v>
      </c>
      <c r="C89" t="s">
        <v>466</v>
      </c>
      <c r="D89" t="str">
        <f t="shared" si="6"/>
        <v>No</v>
      </c>
      <c r="E89" t="str">
        <f t="shared" si="7"/>
        <v/>
      </c>
      <c r="F89" t="s">
        <v>429</v>
      </c>
      <c r="G89">
        <f t="shared" si="10"/>
        <v>391930002</v>
      </c>
      <c r="H89" s="123">
        <v>58</v>
      </c>
    </row>
    <row r="90" spans="1:8" ht="15.5">
      <c r="A90">
        <f t="shared" si="11"/>
        <v>0</v>
      </c>
      <c r="B90" t="s">
        <v>463</v>
      </c>
      <c r="C90" t="s">
        <v>466</v>
      </c>
      <c r="D90" t="str">
        <f t="shared" si="6"/>
        <v>No</v>
      </c>
      <c r="E90" t="str">
        <f t="shared" si="7"/>
        <v/>
      </c>
      <c r="F90" t="s">
        <v>429</v>
      </c>
      <c r="G90">
        <f t="shared" si="10"/>
        <v>391930002</v>
      </c>
      <c r="H90" s="123">
        <v>59</v>
      </c>
    </row>
    <row r="91" spans="1:8" ht="15.5">
      <c r="A91">
        <f t="shared" si="11"/>
        <v>0</v>
      </c>
      <c r="B91" t="s">
        <v>463</v>
      </c>
      <c r="C91" t="s">
        <v>466</v>
      </c>
      <c r="D91" t="str">
        <f t="shared" si="6"/>
        <v>No</v>
      </c>
      <c r="E91" t="str">
        <f t="shared" si="7"/>
        <v/>
      </c>
      <c r="F91" t="s">
        <v>429</v>
      </c>
      <c r="G91">
        <f t="shared" si="10"/>
        <v>391930002</v>
      </c>
      <c r="H91" s="123">
        <v>60</v>
      </c>
    </row>
    <row r="92" spans="1:8" ht="15.5">
      <c r="A92">
        <f t="shared" si="11"/>
        <v>0</v>
      </c>
      <c r="B92" t="s">
        <v>463</v>
      </c>
      <c r="C92" t="s">
        <v>466</v>
      </c>
      <c r="D92" t="str">
        <f t="shared" si="6"/>
        <v>No</v>
      </c>
      <c r="E92" t="str">
        <f t="shared" si="7"/>
        <v/>
      </c>
      <c r="F92" t="s">
        <v>429</v>
      </c>
      <c r="G92">
        <f t="shared" si="10"/>
        <v>391930002</v>
      </c>
      <c r="H92" s="123">
        <v>61</v>
      </c>
    </row>
    <row r="93" spans="1:8" ht="15.5">
      <c r="A93">
        <f t="shared" si="11"/>
        <v>0</v>
      </c>
      <c r="B93" t="s">
        <v>463</v>
      </c>
      <c r="C93" t="s">
        <v>466</v>
      </c>
      <c r="D93" t="str">
        <f t="shared" si="6"/>
        <v>No</v>
      </c>
      <c r="E93" t="str">
        <f t="shared" si="7"/>
        <v/>
      </c>
      <c r="F93" t="s">
        <v>429</v>
      </c>
      <c r="G93">
        <f t="shared" si="10"/>
        <v>391930002</v>
      </c>
      <c r="H93" s="123">
        <v>62</v>
      </c>
    </row>
    <row r="94" spans="1:8" ht="15.5">
      <c r="A94">
        <f t="shared" si="11"/>
        <v>0</v>
      </c>
      <c r="B94" t="s">
        <v>463</v>
      </c>
      <c r="C94" t="s">
        <v>466</v>
      </c>
      <c r="D94" t="str">
        <f t="shared" si="6"/>
        <v>No</v>
      </c>
      <c r="E94" t="str">
        <f t="shared" si="7"/>
        <v/>
      </c>
      <c r="F94" t="s">
        <v>429</v>
      </c>
      <c r="G94">
        <f t="shared" si="10"/>
        <v>391930002</v>
      </c>
      <c r="H94" s="123">
        <v>63</v>
      </c>
    </row>
    <row r="95" spans="1:8" ht="15.5">
      <c r="A95">
        <f t="shared" si="11"/>
        <v>0</v>
      </c>
      <c r="B95" t="s">
        <v>463</v>
      </c>
      <c r="C95" t="s">
        <v>466</v>
      </c>
      <c r="D95" t="str">
        <f t="shared" si="6"/>
        <v>No</v>
      </c>
      <c r="E95" t="str">
        <f t="shared" si="7"/>
        <v/>
      </c>
      <c r="F95" t="s">
        <v>429</v>
      </c>
      <c r="G95">
        <f t="shared" si="10"/>
        <v>391930002</v>
      </c>
      <c r="H95" s="123">
        <v>64</v>
      </c>
    </row>
    <row r="96" spans="1:8" ht="15.5">
      <c r="A96">
        <f t="shared" si="11"/>
        <v>0</v>
      </c>
      <c r="B96" t="s">
        <v>463</v>
      </c>
      <c r="C96" t="s">
        <v>466</v>
      </c>
      <c r="D96" t="str">
        <f t="shared" si="6"/>
        <v>No</v>
      </c>
      <c r="E96" t="str">
        <f t="shared" ref="E96:E159" si="12">IF($D$11="Yes","",INDEX(ErrorCheck,MATCH($H96,ErrorCheckPlotNumber,0),MATCH($C96,ErrorCheckTitle,0)))</f>
        <v/>
      </c>
      <c r="F96" t="s">
        <v>429</v>
      </c>
      <c r="G96">
        <f t="shared" si="10"/>
        <v>391930002</v>
      </c>
      <c r="H96" s="123">
        <v>65</v>
      </c>
    </row>
    <row r="97" spans="1:8" ht="15.5">
      <c r="A97">
        <f t="shared" si="11"/>
        <v>0</v>
      </c>
      <c r="B97" t="s">
        <v>463</v>
      </c>
      <c r="C97" t="s">
        <v>466</v>
      </c>
      <c r="D97" t="str">
        <f t="shared" ref="D97:D160" si="13">IF(E97="", "No", "Yes")</f>
        <v>No</v>
      </c>
      <c r="E97" t="str">
        <f t="shared" si="12"/>
        <v/>
      </c>
      <c r="F97" t="s">
        <v>429</v>
      </c>
      <c r="G97">
        <f t="shared" si="10"/>
        <v>391930002</v>
      </c>
      <c r="H97" s="123">
        <v>66</v>
      </c>
    </row>
    <row r="98" spans="1:8" ht="15.5">
      <c r="A98">
        <f t="shared" si="11"/>
        <v>0</v>
      </c>
      <c r="B98" t="s">
        <v>463</v>
      </c>
      <c r="C98" t="s">
        <v>466</v>
      </c>
      <c r="D98" t="str">
        <f t="shared" si="13"/>
        <v>No</v>
      </c>
      <c r="E98" t="str">
        <f t="shared" si="12"/>
        <v/>
      </c>
      <c r="F98" t="s">
        <v>429</v>
      </c>
      <c r="G98">
        <f t="shared" si="10"/>
        <v>391930002</v>
      </c>
      <c r="H98" s="123">
        <v>67</v>
      </c>
    </row>
    <row r="99" spans="1:8" ht="15.5">
      <c r="A99">
        <f t="shared" si="11"/>
        <v>0</v>
      </c>
      <c r="B99" t="s">
        <v>463</v>
      </c>
      <c r="C99" t="s">
        <v>466</v>
      </c>
      <c r="D99" t="str">
        <f t="shared" si="13"/>
        <v>No</v>
      </c>
      <c r="E99" t="str">
        <f t="shared" si="12"/>
        <v/>
      </c>
      <c r="F99" t="s">
        <v>429</v>
      </c>
      <c r="G99">
        <f t="shared" si="10"/>
        <v>391930002</v>
      </c>
      <c r="H99" s="123">
        <v>68</v>
      </c>
    </row>
    <row r="100" spans="1:8" ht="15.5">
      <c r="A100">
        <f t="shared" si="11"/>
        <v>0</v>
      </c>
      <c r="B100" t="s">
        <v>463</v>
      </c>
      <c r="C100" t="s">
        <v>466</v>
      </c>
      <c r="D100" t="str">
        <f t="shared" si="13"/>
        <v>No</v>
      </c>
      <c r="E100" t="str">
        <f t="shared" si="12"/>
        <v/>
      </c>
      <c r="F100" t="s">
        <v>429</v>
      </c>
      <c r="G100">
        <f t="shared" si="10"/>
        <v>391930002</v>
      </c>
      <c r="H100" s="123">
        <v>69</v>
      </c>
    </row>
    <row r="101" spans="1:8" ht="15.5">
      <c r="A101">
        <f t="shared" si="11"/>
        <v>0</v>
      </c>
      <c r="B101" t="s">
        <v>463</v>
      </c>
      <c r="C101" t="s">
        <v>466</v>
      </c>
      <c r="D101" t="str">
        <f t="shared" si="13"/>
        <v>No</v>
      </c>
      <c r="E101" t="str">
        <f t="shared" si="12"/>
        <v/>
      </c>
      <c r="F101" t="s">
        <v>429</v>
      </c>
      <c r="G101">
        <f t="shared" si="10"/>
        <v>391930002</v>
      </c>
      <c r="H101" s="123">
        <v>70</v>
      </c>
    </row>
    <row r="102" spans="1:8" ht="15.5">
      <c r="A102">
        <f t="shared" si="11"/>
        <v>0</v>
      </c>
      <c r="B102" t="s">
        <v>463</v>
      </c>
      <c r="C102" t="s">
        <v>466</v>
      </c>
      <c r="D102" t="str">
        <f t="shared" si="13"/>
        <v>No</v>
      </c>
      <c r="E102" t="str">
        <f t="shared" si="12"/>
        <v/>
      </c>
      <c r="F102" t="s">
        <v>429</v>
      </c>
      <c r="G102">
        <f t="shared" si="10"/>
        <v>391930002</v>
      </c>
      <c r="H102" s="123">
        <v>71</v>
      </c>
    </row>
    <row r="103" spans="1:8" ht="15.5">
      <c r="A103">
        <f t="shared" si="11"/>
        <v>0</v>
      </c>
      <c r="B103" t="s">
        <v>463</v>
      </c>
      <c r="C103" t="s">
        <v>466</v>
      </c>
      <c r="D103" t="str">
        <f t="shared" si="13"/>
        <v>No</v>
      </c>
      <c r="E103" t="str">
        <f t="shared" si="12"/>
        <v/>
      </c>
      <c r="F103" t="s">
        <v>429</v>
      </c>
      <c r="G103">
        <f t="shared" si="10"/>
        <v>391930002</v>
      </c>
      <c r="H103" s="123">
        <v>72</v>
      </c>
    </row>
    <row r="104" spans="1:8" ht="15.5">
      <c r="A104">
        <f t="shared" si="11"/>
        <v>0</v>
      </c>
      <c r="B104" t="s">
        <v>463</v>
      </c>
      <c r="C104" t="s">
        <v>466</v>
      </c>
      <c r="D104" t="str">
        <f t="shared" si="13"/>
        <v>No</v>
      </c>
      <c r="E104" t="str">
        <f t="shared" si="12"/>
        <v/>
      </c>
      <c r="F104" t="s">
        <v>429</v>
      </c>
      <c r="G104">
        <f t="shared" si="10"/>
        <v>391930002</v>
      </c>
      <c r="H104" s="123">
        <v>73</v>
      </c>
    </row>
    <row r="105" spans="1:8" ht="15.5">
      <c r="A105">
        <f t="shared" si="11"/>
        <v>0</v>
      </c>
      <c r="B105" t="s">
        <v>463</v>
      </c>
      <c r="C105" t="s">
        <v>466</v>
      </c>
      <c r="D105" t="str">
        <f t="shared" si="13"/>
        <v>No</v>
      </c>
      <c r="E105" t="str">
        <f t="shared" si="12"/>
        <v/>
      </c>
      <c r="F105" t="s">
        <v>429</v>
      </c>
      <c r="G105">
        <f t="shared" si="10"/>
        <v>391930002</v>
      </c>
      <c r="H105" s="123">
        <v>74</v>
      </c>
    </row>
    <row r="106" spans="1:8" ht="15.5">
      <c r="A106">
        <f t="shared" si="11"/>
        <v>0</v>
      </c>
      <c r="B106" t="s">
        <v>463</v>
      </c>
      <c r="C106" t="s">
        <v>466</v>
      </c>
      <c r="D106" t="str">
        <f t="shared" si="13"/>
        <v>No</v>
      </c>
      <c r="E106" t="str">
        <f t="shared" si="12"/>
        <v/>
      </c>
      <c r="F106" t="s">
        <v>429</v>
      </c>
      <c r="G106">
        <f t="shared" si="10"/>
        <v>391930002</v>
      </c>
      <c r="H106" s="123">
        <v>75</v>
      </c>
    </row>
    <row r="107" spans="1:8" ht="15.5">
      <c r="A107">
        <f t="shared" si="11"/>
        <v>0</v>
      </c>
      <c r="B107" t="s">
        <v>463</v>
      </c>
      <c r="C107" t="s">
        <v>466</v>
      </c>
      <c r="D107" t="str">
        <f t="shared" si="13"/>
        <v>No</v>
      </c>
      <c r="E107" t="str">
        <f t="shared" si="12"/>
        <v/>
      </c>
      <c r="F107" t="s">
        <v>429</v>
      </c>
      <c r="G107">
        <f t="shared" si="10"/>
        <v>391930002</v>
      </c>
      <c r="H107" s="123">
        <v>76</v>
      </c>
    </row>
    <row r="108" spans="1:8" ht="15.5">
      <c r="A108">
        <f t="shared" si="11"/>
        <v>0</v>
      </c>
      <c r="B108" t="s">
        <v>463</v>
      </c>
      <c r="C108" t="s">
        <v>466</v>
      </c>
      <c r="D108" t="str">
        <f t="shared" si="13"/>
        <v>No</v>
      </c>
      <c r="E108" t="str">
        <f t="shared" si="12"/>
        <v/>
      </c>
      <c r="F108" t="s">
        <v>429</v>
      </c>
      <c r="G108">
        <f t="shared" si="10"/>
        <v>391930002</v>
      </c>
      <c r="H108" s="123">
        <v>77</v>
      </c>
    </row>
    <row r="109" spans="1:8" ht="15.5">
      <c r="A109">
        <f t="shared" si="11"/>
        <v>0</v>
      </c>
      <c r="B109" t="s">
        <v>463</v>
      </c>
      <c r="C109" t="s">
        <v>466</v>
      </c>
      <c r="D109" t="str">
        <f t="shared" si="13"/>
        <v>No</v>
      </c>
      <c r="E109" t="str">
        <f t="shared" si="12"/>
        <v/>
      </c>
      <c r="F109" t="s">
        <v>429</v>
      </c>
      <c r="G109">
        <f t="shared" si="10"/>
        <v>391930002</v>
      </c>
      <c r="H109" s="123">
        <v>78</v>
      </c>
    </row>
    <row r="110" spans="1:8" ht="15.5">
      <c r="A110">
        <f t="shared" si="11"/>
        <v>0</v>
      </c>
      <c r="B110" t="s">
        <v>463</v>
      </c>
      <c r="C110" t="s">
        <v>466</v>
      </c>
      <c r="D110" t="str">
        <f t="shared" si="13"/>
        <v>No</v>
      </c>
      <c r="E110" t="str">
        <f t="shared" si="12"/>
        <v/>
      </c>
      <c r="F110" t="s">
        <v>429</v>
      </c>
      <c r="G110">
        <f t="shared" si="10"/>
        <v>391930002</v>
      </c>
      <c r="H110" s="123">
        <v>79</v>
      </c>
    </row>
    <row r="111" spans="1:8" ht="15.5">
      <c r="A111">
        <f t="shared" si="11"/>
        <v>0</v>
      </c>
      <c r="B111" t="s">
        <v>463</v>
      </c>
      <c r="C111" t="s">
        <v>466</v>
      </c>
      <c r="D111" t="str">
        <f t="shared" si="13"/>
        <v>No</v>
      </c>
      <c r="E111" t="str">
        <f t="shared" si="12"/>
        <v/>
      </c>
      <c r="F111" t="s">
        <v>429</v>
      </c>
      <c r="G111">
        <f t="shared" si="10"/>
        <v>391930002</v>
      </c>
      <c r="H111" s="123">
        <v>80</v>
      </c>
    </row>
    <row r="112" spans="1:8" ht="15.5">
      <c r="A112">
        <f t="shared" si="11"/>
        <v>0</v>
      </c>
      <c r="B112" t="s">
        <v>463</v>
      </c>
      <c r="C112" t="s">
        <v>466</v>
      </c>
      <c r="D112" t="str">
        <f t="shared" si="13"/>
        <v>No</v>
      </c>
      <c r="E112" t="str">
        <f t="shared" si="12"/>
        <v/>
      </c>
      <c r="F112" t="s">
        <v>429</v>
      </c>
      <c r="G112">
        <f t="shared" si="10"/>
        <v>391930002</v>
      </c>
      <c r="H112" s="123">
        <v>81</v>
      </c>
    </row>
    <row r="113" spans="1:8" ht="15.5">
      <c r="A113">
        <f t="shared" si="11"/>
        <v>0</v>
      </c>
      <c r="B113" t="s">
        <v>463</v>
      </c>
      <c r="C113" t="s">
        <v>466</v>
      </c>
      <c r="D113" t="str">
        <f t="shared" si="13"/>
        <v>No</v>
      </c>
      <c r="E113" t="str">
        <f t="shared" si="12"/>
        <v/>
      </c>
      <c r="F113" t="s">
        <v>429</v>
      </c>
      <c r="G113">
        <f t="shared" si="10"/>
        <v>391930002</v>
      </c>
      <c r="H113" s="123">
        <v>82</v>
      </c>
    </row>
    <row r="114" spans="1:8" ht="15.5">
      <c r="A114">
        <f t="shared" si="11"/>
        <v>0</v>
      </c>
      <c r="B114" t="s">
        <v>463</v>
      </c>
      <c r="C114" t="s">
        <v>466</v>
      </c>
      <c r="D114" t="str">
        <f t="shared" si="13"/>
        <v>No</v>
      </c>
      <c r="E114" t="str">
        <f t="shared" si="12"/>
        <v/>
      </c>
      <c r="F114" t="s">
        <v>429</v>
      </c>
      <c r="G114">
        <f t="shared" si="10"/>
        <v>391930002</v>
      </c>
      <c r="H114" s="123">
        <v>83</v>
      </c>
    </row>
    <row r="115" spans="1:8" ht="15.5">
      <c r="A115">
        <f t="shared" si="11"/>
        <v>0</v>
      </c>
      <c r="B115" t="s">
        <v>463</v>
      </c>
      <c r="C115" t="s">
        <v>466</v>
      </c>
      <c r="D115" t="str">
        <f t="shared" si="13"/>
        <v>No</v>
      </c>
      <c r="E115" t="str">
        <f t="shared" si="12"/>
        <v/>
      </c>
      <c r="F115" t="s">
        <v>429</v>
      </c>
      <c r="G115">
        <f t="shared" si="10"/>
        <v>391930002</v>
      </c>
      <c r="H115" s="123">
        <v>84</v>
      </c>
    </row>
    <row r="116" spans="1:8" ht="15.5">
      <c r="A116">
        <f t="shared" si="11"/>
        <v>0</v>
      </c>
      <c r="B116" t="s">
        <v>463</v>
      </c>
      <c r="C116" t="s">
        <v>466</v>
      </c>
      <c r="D116" t="str">
        <f t="shared" si="13"/>
        <v>No</v>
      </c>
      <c r="E116" t="str">
        <f t="shared" si="12"/>
        <v/>
      </c>
      <c r="F116" t="s">
        <v>429</v>
      </c>
      <c r="G116">
        <f t="shared" si="10"/>
        <v>391930002</v>
      </c>
      <c r="H116" s="123">
        <v>85</v>
      </c>
    </row>
    <row r="117" spans="1:8" ht="15.5">
      <c r="A117">
        <f t="shared" si="11"/>
        <v>0</v>
      </c>
      <c r="B117" t="s">
        <v>463</v>
      </c>
      <c r="C117" t="s">
        <v>466</v>
      </c>
      <c r="D117" t="str">
        <f t="shared" si="13"/>
        <v>No</v>
      </c>
      <c r="E117" t="str">
        <f t="shared" si="12"/>
        <v/>
      </c>
      <c r="F117" t="s">
        <v>429</v>
      </c>
      <c r="G117">
        <f t="shared" si="10"/>
        <v>391930002</v>
      </c>
      <c r="H117" s="123">
        <v>86</v>
      </c>
    </row>
    <row r="118" spans="1:8" ht="15.5">
      <c r="A118">
        <f t="shared" si="11"/>
        <v>0</v>
      </c>
      <c r="B118" t="s">
        <v>463</v>
      </c>
      <c r="C118" t="s">
        <v>466</v>
      </c>
      <c r="D118" t="str">
        <f t="shared" si="13"/>
        <v>No</v>
      </c>
      <c r="E118" t="str">
        <f t="shared" si="12"/>
        <v/>
      </c>
      <c r="F118" t="s">
        <v>429</v>
      </c>
      <c r="G118">
        <f t="shared" si="10"/>
        <v>391930002</v>
      </c>
      <c r="H118" s="123">
        <v>87</v>
      </c>
    </row>
    <row r="119" spans="1:8" ht="15.5">
      <c r="A119">
        <f t="shared" si="11"/>
        <v>0</v>
      </c>
      <c r="B119" t="s">
        <v>463</v>
      </c>
      <c r="C119" t="s">
        <v>466</v>
      </c>
      <c r="D119" t="str">
        <f t="shared" si="13"/>
        <v>No</v>
      </c>
      <c r="E119" t="str">
        <f t="shared" si="12"/>
        <v/>
      </c>
      <c r="F119" t="s">
        <v>429</v>
      </c>
      <c r="G119">
        <f t="shared" si="10"/>
        <v>391930002</v>
      </c>
      <c r="H119" s="123">
        <v>88</v>
      </c>
    </row>
    <row r="120" spans="1:8" ht="15.5">
      <c r="A120">
        <f t="shared" si="11"/>
        <v>0</v>
      </c>
      <c r="B120" t="s">
        <v>463</v>
      </c>
      <c r="C120" t="s">
        <v>466</v>
      </c>
      <c r="D120" t="str">
        <f t="shared" si="13"/>
        <v>No</v>
      </c>
      <c r="E120" t="str">
        <f t="shared" si="12"/>
        <v/>
      </c>
      <c r="F120" t="s">
        <v>429</v>
      </c>
      <c r="G120">
        <f t="shared" si="10"/>
        <v>391930002</v>
      </c>
      <c r="H120" s="123">
        <v>89</v>
      </c>
    </row>
    <row r="121" spans="1:8" ht="15.5">
      <c r="A121">
        <f t="shared" si="11"/>
        <v>0</v>
      </c>
      <c r="B121" t="s">
        <v>463</v>
      </c>
      <c r="C121" t="s">
        <v>466</v>
      </c>
      <c r="D121" t="str">
        <f t="shared" si="13"/>
        <v>No</v>
      </c>
      <c r="E121" t="str">
        <f t="shared" si="12"/>
        <v/>
      </c>
      <c r="F121" t="s">
        <v>429</v>
      </c>
      <c r="G121">
        <f t="shared" si="10"/>
        <v>391930002</v>
      </c>
      <c r="H121" s="123">
        <v>90</v>
      </c>
    </row>
    <row r="122" spans="1:8" ht="15.5">
      <c r="A122">
        <f t="shared" si="11"/>
        <v>0</v>
      </c>
      <c r="B122" t="s">
        <v>463</v>
      </c>
      <c r="C122" t="s">
        <v>466</v>
      </c>
      <c r="D122" t="str">
        <f t="shared" si="13"/>
        <v>No</v>
      </c>
      <c r="E122" t="str">
        <f t="shared" si="12"/>
        <v/>
      </c>
      <c r="F122" t="s">
        <v>429</v>
      </c>
      <c r="G122">
        <f t="shared" si="10"/>
        <v>391930002</v>
      </c>
      <c r="H122" s="123">
        <v>91</v>
      </c>
    </row>
    <row r="123" spans="1:8" ht="15.5">
      <c r="A123">
        <f t="shared" si="11"/>
        <v>0</v>
      </c>
      <c r="B123" t="s">
        <v>463</v>
      </c>
      <c r="C123" t="s">
        <v>466</v>
      </c>
      <c r="D123" t="str">
        <f t="shared" si="13"/>
        <v>No</v>
      </c>
      <c r="E123" t="str">
        <f t="shared" si="12"/>
        <v/>
      </c>
      <c r="F123" t="s">
        <v>429</v>
      </c>
      <c r="G123">
        <f t="shared" si="10"/>
        <v>391930002</v>
      </c>
      <c r="H123" s="123">
        <v>92</v>
      </c>
    </row>
    <row r="124" spans="1:8" ht="15.5">
      <c r="A124">
        <f t="shared" si="11"/>
        <v>0</v>
      </c>
      <c r="B124" t="s">
        <v>463</v>
      </c>
      <c r="C124" t="s">
        <v>466</v>
      </c>
      <c r="D124" t="str">
        <f t="shared" si="13"/>
        <v>No</v>
      </c>
      <c r="E124" t="str">
        <f t="shared" si="12"/>
        <v/>
      </c>
      <c r="F124" t="s">
        <v>429</v>
      </c>
      <c r="G124">
        <f t="shared" si="10"/>
        <v>391930002</v>
      </c>
      <c r="H124" s="123">
        <v>93</v>
      </c>
    </row>
    <row r="125" spans="1:8" ht="15.5">
      <c r="A125">
        <f t="shared" si="11"/>
        <v>0</v>
      </c>
      <c r="B125" t="s">
        <v>463</v>
      </c>
      <c r="C125" t="s">
        <v>466</v>
      </c>
      <c r="D125" t="str">
        <f t="shared" si="13"/>
        <v>No</v>
      </c>
      <c r="E125" t="str">
        <f t="shared" si="12"/>
        <v/>
      </c>
      <c r="F125" t="s">
        <v>429</v>
      </c>
      <c r="G125">
        <f t="shared" si="10"/>
        <v>391930002</v>
      </c>
      <c r="H125" s="123">
        <v>94</v>
      </c>
    </row>
    <row r="126" spans="1:8" ht="15.5">
      <c r="A126">
        <f t="shared" si="11"/>
        <v>0</v>
      </c>
      <c r="B126" t="s">
        <v>463</v>
      </c>
      <c r="C126" t="s">
        <v>466</v>
      </c>
      <c r="D126" t="str">
        <f t="shared" si="13"/>
        <v>No</v>
      </c>
      <c r="E126" t="str">
        <f t="shared" si="12"/>
        <v/>
      </c>
      <c r="F126" t="s">
        <v>429</v>
      </c>
      <c r="G126">
        <f t="shared" si="10"/>
        <v>391930002</v>
      </c>
      <c r="H126" s="123">
        <v>95</v>
      </c>
    </row>
    <row r="127" spans="1:8" ht="15.5">
      <c r="A127">
        <f t="shared" si="11"/>
        <v>0</v>
      </c>
      <c r="B127" t="s">
        <v>463</v>
      </c>
      <c r="C127" t="s">
        <v>466</v>
      </c>
      <c r="D127" t="str">
        <f t="shared" si="13"/>
        <v>No</v>
      </c>
      <c r="E127" t="str">
        <f t="shared" si="12"/>
        <v/>
      </c>
      <c r="F127" t="s">
        <v>429</v>
      </c>
      <c r="G127">
        <f t="shared" si="10"/>
        <v>391930002</v>
      </c>
      <c r="H127" s="123">
        <v>96</v>
      </c>
    </row>
    <row r="128" spans="1:8" ht="15.5">
      <c r="A128">
        <f t="shared" si="11"/>
        <v>0</v>
      </c>
      <c r="B128" t="s">
        <v>463</v>
      </c>
      <c r="C128" t="s">
        <v>466</v>
      </c>
      <c r="D128" t="str">
        <f t="shared" si="13"/>
        <v>No</v>
      </c>
      <c r="E128" t="str">
        <f t="shared" si="12"/>
        <v/>
      </c>
      <c r="F128" t="s">
        <v>429</v>
      </c>
      <c r="G128">
        <f t="shared" si="10"/>
        <v>391930002</v>
      </c>
      <c r="H128" s="123">
        <v>97</v>
      </c>
    </row>
    <row r="129" spans="1:8" ht="15.5">
      <c r="A129">
        <f t="shared" si="11"/>
        <v>0</v>
      </c>
      <c r="B129" t="s">
        <v>463</v>
      </c>
      <c r="C129" t="s">
        <v>466</v>
      </c>
      <c r="D129" t="str">
        <f t="shared" si="13"/>
        <v>No</v>
      </c>
      <c r="E129" t="str">
        <f t="shared" si="12"/>
        <v/>
      </c>
      <c r="F129" t="s">
        <v>429</v>
      </c>
      <c r="G129">
        <f t="shared" si="10"/>
        <v>391930002</v>
      </c>
      <c r="H129" s="123">
        <v>98</v>
      </c>
    </row>
    <row r="130" spans="1:8" ht="15.5">
      <c r="A130">
        <f t="shared" si="11"/>
        <v>0</v>
      </c>
      <c r="B130" t="s">
        <v>463</v>
      </c>
      <c r="C130" t="s">
        <v>466</v>
      </c>
      <c r="D130" t="str">
        <f t="shared" si="13"/>
        <v>No</v>
      </c>
      <c r="E130" t="str">
        <f t="shared" si="12"/>
        <v/>
      </c>
      <c r="F130" t="s">
        <v>429</v>
      </c>
      <c r="G130">
        <f t="shared" si="10"/>
        <v>391930002</v>
      </c>
      <c r="H130" s="123">
        <v>99</v>
      </c>
    </row>
    <row r="131" spans="1:8" ht="15.5">
      <c r="A131">
        <f t="shared" si="11"/>
        <v>0</v>
      </c>
      <c r="B131" t="s">
        <v>463</v>
      </c>
      <c r="C131" t="s">
        <v>466</v>
      </c>
      <c r="D131" t="str">
        <f t="shared" si="13"/>
        <v>No</v>
      </c>
      <c r="E131" t="str">
        <f t="shared" si="12"/>
        <v/>
      </c>
      <c r="F131" t="s">
        <v>429</v>
      </c>
      <c r="G131">
        <f t="shared" si="10"/>
        <v>391930002</v>
      </c>
      <c r="H131" s="123">
        <v>100</v>
      </c>
    </row>
    <row r="132" spans="1:8" ht="15.5">
      <c r="A132">
        <f t="shared" si="11"/>
        <v>0</v>
      </c>
      <c r="B132" t="s">
        <v>463</v>
      </c>
      <c r="C132" t="s">
        <v>466</v>
      </c>
      <c r="D132" t="str">
        <f t="shared" si="13"/>
        <v>No</v>
      </c>
      <c r="E132" t="str">
        <f t="shared" si="12"/>
        <v/>
      </c>
      <c r="F132" t="s">
        <v>429</v>
      </c>
      <c r="G132">
        <f t="shared" si="10"/>
        <v>391930002</v>
      </c>
      <c r="H132" s="123">
        <v>101</v>
      </c>
    </row>
    <row r="133" spans="1:8" ht="15.5">
      <c r="A133">
        <f t="shared" si="11"/>
        <v>0</v>
      </c>
      <c r="B133" t="s">
        <v>463</v>
      </c>
      <c r="C133" t="s">
        <v>466</v>
      </c>
      <c r="D133" t="str">
        <f t="shared" si="13"/>
        <v>No</v>
      </c>
      <c r="E133" t="str">
        <f t="shared" si="12"/>
        <v/>
      </c>
      <c r="F133" t="s">
        <v>429</v>
      </c>
      <c r="G133">
        <f t="shared" si="10"/>
        <v>391930002</v>
      </c>
      <c r="H133" s="123">
        <v>102</v>
      </c>
    </row>
    <row r="134" spans="1:8" ht="15.5">
      <c r="A134">
        <f t="shared" si="11"/>
        <v>0</v>
      </c>
      <c r="B134" t="s">
        <v>463</v>
      </c>
      <c r="C134" t="s">
        <v>466</v>
      </c>
      <c r="D134" t="str">
        <f t="shared" si="13"/>
        <v>No</v>
      </c>
      <c r="E134" t="str">
        <f t="shared" si="12"/>
        <v/>
      </c>
      <c r="F134" t="s">
        <v>429</v>
      </c>
      <c r="G134">
        <f t="shared" si="10"/>
        <v>391930002</v>
      </c>
      <c r="H134" s="123">
        <v>103</v>
      </c>
    </row>
    <row r="135" spans="1:8" ht="15.5">
      <c r="A135">
        <f t="shared" si="11"/>
        <v>0</v>
      </c>
      <c r="B135" t="s">
        <v>463</v>
      </c>
      <c r="C135" t="s">
        <v>466</v>
      </c>
      <c r="D135" t="str">
        <f t="shared" si="13"/>
        <v>No</v>
      </c>
      <c r="E135" t="str">
        <f t="shared" si="12"/>
        <v/>
      </c>
      <c r="F135" t="s">
        <v>429</v>
      </c>
      <c r="G135">
        <f t="shared" ref="G135:G198" si="14">INDEX(IssueType,MATCH($F135,IssueTypeName,0),2)</f>
        <v>391930002</v>
      </c>
      <c r="H135" s="123">
        <v>104</v>
      </c>
    </row>
    <row r="136" spans="1:8" ht="15.5">
      <c r="A136">
        <f t="shared" si="11"/>
        <v>0</v>
      </c>
      <c r="B136" t="s">
        <v>463</v>
      </c>
      <c r="C136" t="s">
        <v>466</v>
      </c>
      <c r="D136" t="str">
        <f t="shared" si="13"/>
        <v>No</v>
      </c>
      <c r="E136" t="str">
        <f t="shared" si="12"/>
        <v/>
      </c>
      <c r="F136" t="s">
        <v>429</v>
      </c>
      <c r="G136">
        <f t="shared" si="14"/>
        <v>391930002</v>
      </c>
      <c r="H136" s="123">
        <v>105</v>
      </c>
    </row>
    <row r="137" spans="1:8" ht="15.5">
      <c r="A137">
        <f t="shared" si="11"/>
        <v>0</v>
      </c>
      <c r="B137" t="s">
        <v>463</v>
      </c>
      <c r="C137" t="s">
        <v>466</v>
      </c>
      <c r="D137" t="str">
        <f t="shared" si="13"/>
        <v>No</v>
      </c>
      <c r="E137" t="str">
        <f t="shared" si="12"/>
        <v/>
      </c>
      <c r="F137" t="s">
        <v>429</v>
      </c>
      <c r="G137">
        <f t="shared" si="14"/>
        <v>391930002</v>
      </c>
      <c r="H137" s="123">
        <v>106</v>
      </c>
    </row>
    <row r="138" spans="1:8" ht="15.5">
      <c r="A138">
        <f t="shared" si="11"/>
        <v>0</v>
      </c>
      <c r="B138" t="s">
        <v>463</v>
      </c>
      <c r="C138" t="s">
        <v>466</v>
      </c>
      <c r="D138" t="str">
        <f t="shared" si="13"/>
        <v>No</v>
      </c>
      <c r="E138" t="str">
        <f t="shared" si="12"/>
        <v/>
      </c>
      <c r="F138" t="s">
        <v>429</v>
      </c>
      <c r="G138">
        <f t="shared" si="14"/>
        <v>391930002</v>
      </c>
      <c r="H138" s="123">
        <v>107</v>
      </c>
    </row>
    <row r="139" spans="1:8" ht="15.5">
      <c r="A139">
        <f t="shared" si="11"/>
        <v>0</v>
      </c>
      <c r="B139" t="s">
        <v>463</v>
      </c>
      <c r="C139" t="s">
        <v>466</v>
      </c>
      <c r="D139" t="str">
        <f t="shared" si="13"/>
        <v>No</v>
      </c>
      <c r="E139" t="str">
        <f t="shared" si="12"/>
        <v/>
      </c>
      <c r="F139" t="s">
        <v>429</v>
      </c>
      <c r="G139">
        <f t="shared" si="14"/>
        <v>391930002</v>
      </c>
      <c r="H139" s="123">
        <v>108</v>
      </c>
    </row>
    <row r="140" spans="1:8" ht="15.5">
      <c r="A140">
        <f t="shared" si="11"/>
        <v>0</v>
      </c>
      <c r="B140" t="s">
        <v>463</v>
      </c>
      <c r="C140" t="s">
        <v>466</v>
      </c>
      <c r="D140" t="str">
        <f t="shared" si="13"/>
        <v>No</v>
      </c>
      <c r="E140" t="str">
        <f t="shared" si="12"/>
        <v/>
      </c>
      <c r="F140" t="s">
        <v>429</v>
      </c>
      <c r="G140">
        <f t="shared" si="14"/>
        <v>391930002</v>
      </c>
      <c r="H140" s="123">
        <v>109</v>
      </c>
    </row>
    <row r="141" spans="1:8" ht="15.5">
      <c r="A141">
        <f t="shared" si="11"/>
        <v>0</v>
      </c>
      <c r="B141" t="s">
        <v>463</v>
      </c>
      <c r="C141" t="s">
        <v>466</v>
      </c>
      <c r="D141" t="str">
        <f t="shared" si="13"/>
        <v>No</v>
      </c>
      <c r="E141" t="str">
        <f t="shared" si="12"/>
        <v/>
      </c>
      <c r="F141" t="s">
        <v>429</v>
      </c>
      <c r="G141">
        <f t="shared" si="14"/>
        <v>391930002</v>
      </c>
      <c r="H141" s="123">
        <v>110</v>
      </c>
    </row>
    <row r="142" spans="1:8" ht="15.5">
      <c r="A142">
        <f t="shared" si="11"/>
        <v>0</v>
      </c>
      <c r="B142" t="s">
        <v>463</v>
      </c>
      <c r="C142" t="s">
        <v>466</v>
      </c>
      <c r="D142" t="str">
        <f t="shared" si="13"/>
        <v>No</v>
      </c>
      <c r="E142" t="str">
        <f t="shared" si="12"/>
        <v/>
      </c>
      <c r="F142" t="s">
        <v>429</v>
      </c>
      <c r="G142">
        <f t="shared" si="14"/>
        <v>391930002</v>
      </c>
      <c r="H142" s="123">
        <v>111</v>
      </c>
    </row>
    <row r="143" spans="1:8" ht="15.5">
      <c r="A143">
        <f t="shared" si="11"/>
        <v>0</v>
      </c>
      <c r="B143" t="s">
        <v>463</v>
      </c>
      <c r="C143" t="s">
        <v>466</v>
      </c>
      <c r="D143" t="str">
        <f t="shared" si="13"/>
        <v>No</v>
      </c>
      <c r="E143" t="str">
        <f t="shared" si="12"/>
        <v/>
      </c>
      <c r="F143" t="s">
        <v>429</v>
      </c>
      <c r="G143">
        <f t="shared" si="14"/>
        <v>391930002</v>
      </c>
      <c r="H143" s="123">
        <v>112</v>
      </c>
    </row>
    <row r="144" spans="1:8" ht="15.5">
      <c r="A144">
        <f t="shared" si="11"/>
        <v>0</v>
      </c>
      <c r="B144" t="s">
        <v>463</v>
      </c>
      <c r="C144" t="s">
        <v>466</v>
      </c>
      <c r="D144" t="str">
        <f t="shared" si="13"/>
        <v>No</v>
      </c>
      <c r="E144" t="str">
        <f t="shared" si="12"/>
        <v/>
      </c>
      <c r="F144" t="s">
        <v>429</v>
      </c>
      <c r="G144">
        <f t="shared" si="14"/>
        <v>391930002</v>
      </c>
      <c r="H144" s="123">
        <v>113</v>
      </c>
    </row>
    <row r="145" spans="1:8" ht="15.5">
      <c r="A145">
        <f t="shared" si="11"/>
        <v>0</v>
      </c>
      <c r="B145" t="s">
        <v>463</v>
      </c>
      <c r="C145" t="s">
        <v>466</v>
      </c>
      <c r="D145" t="str">
        <f t="shared" si="13"/>
        <v>No</v>
      </c>
      <c r="E145" t="str">
        <f t="shared" si="12"/>
        <v/>
      </c>
      <c r="F145" t="s">
        <v>429</v>
      </c>
      <c r="G145">
        <f t="shared" si="14"/>
        <v>391930002</v>
      </c>
      <c r="H145" s="123">
        <v>114</v>
      </c>
    </row>
    <row r="146" spans="1:8" ht="15.5">
      <c r="A146">
        <f t="shared" si="11"/>
        <v>0</v>
      </c>
      <c r="B146" t="s">
        <v>463</v>
      </c>
      <c r="C146" t="s">
        <v>466</v>
      </c>
      <c r="D146" t="str">
        <f t="shared" si="13"/>
        <v>No</v>
      </c>
      <c r="E146" t="str">
        <f t="shared" si="12"/>
        <v/>
      </c>
      <c r="F146" t="s">
        <v>429</v>
      </c>
      <c r="G146">
        <f t="shared" si="14"/>
        <v>391930002</v>
      </c>
      <c r="H146" s="123">
        <v>115</v>
      </c>
    </row>
    <row r="147" spans="1:8" ht="15.5">
      <c r="A147">
        <f t="shared" si="11"/>
        <v>0</v>
      </c>
      <c r="B147" t="s">
        <v>463</v>
      </c>
      <c r="C147" t="s">
        <v>466</v>
      </c>
      <c r="D147" t="str">
        <f t="shared" si="13"/>
        <v>No</v>
      </c>
      <c r="E147" t="str">
        <f t="shared" si="12"/>
        <v/>
      </c>
      <c r="F147" t="s">
        <v>429</v>
      </c>
      <c r="G147">
        <f t="shared" si="14"/>
        <v>391930002</v>
      </c>
      <c r="H147" s="123">
        <v>116</v>
      </c>
    </row>
    <row r="148" spans="1:8" ht="15.5">
      <c r="A148">
        <f t="shared" si="11"/>
        <v>0</v>
      </c>
      <c r="B148" t="s">
        <v>463</v>
      </c>
      <c r="C148" t="s">
        <v>466</v>
      </c>
      <c r="D148" t="str">
        <f t="shared" si="13"/>
        <v>No</v>
      </c>
      <c r="E148" t="str">
        <f t="shared" si="12"/>
        <v/>
      </c>
      <c r="F148" t="s">
        <v>429</v>
      </c>
      <c r="G148">
        <f t="shared" si="14"/>
        <v>391930002</v>
      </c>
      <c r="H148" s="123">
        <v>117</v>
      </c>
    </row>
    <row r="149" spans="1:8" ht="15.5">
      <c r="A149">
        <f t="shared" si="11"/>
        <v>0</v>
      </c>
      <c r="B149" t="s">
        <v>463</v>
      </c>
      <c r="C149" t="s">
        <v>466</v>
      </c>
      <c r="D149" t="str">
        <f t="shared" si="13"/>
        <v>No</v>
      </c>
      <c r="E149" t="str">
        <f t="shared" si="12"/>
        <v/>
      </c>
      <c r="F149" t="s">
        <v>429</v>
      </c>
      <c r="G149">
        <f t="shared" si="14"/>
        <v>391930002</v>
      </c>
      <c r="H149" s="123">
        <v>118</v>
      </c>
    </row>
    <row r="150" spans="1:8" ht="15.5">
      <c r="A150">
        <f t="shared" si="11"/>
        <v>0</v>
      </c>
      <c r="B150" t="s">
        <v>463</v>
      </c>
      <c r="C150" t="s">
        <v>466</v>
      </c>
      <c r="D150" t="str">
        <f t="shared" si="13"/>
        <v>No</v>
      </c>
      <c r="E150" t="str">
        <f t="shared" si="12"/>
        <v/>
      </c>
      <c r="F150" t="s">
        <v>429</v>
      </c>
      <c r="G150">
        <f t="shared" si="14"/>
        <v>391930002</v>
      </c>
      <c r="H150" s="123">
        <v>119</v>
      </c>
    </row>
    <row r="151" spans="1:8" ht="15.5">
      <c r="A151">
        <f t="shared" si="11"/>
        <v>0</v>
      </c>
      <c r="B151" t="s">
        <v>463</v>
      </c>
      <c r="C151" t="s">
        <v>466</v>
      </c>
      <c r="D151" t="str">
        <f t="shared" si="13"/>
        <v>No</v>
      </c>
      <c r="E151" t="str">
        <f t="shared" si="12"/>
        <v/>
      </c>
      <c r="F151" t="s">
        <v>429</v>
      </c>
      <c r="G151">
        <f t="shared" si="14"/>
        <v>391930002</v>
      </c>
      <c r="H151" s="123">
        <v>120</v>
      </c>
    </row>
    <row r="152" spans="1:8" ht="15.5">
      <c r="A152">
        <f t="shared" si="11"/>
        <v>0</v>
      </c>
      <c r="B152" t="s">
        <v>463</v>
      </c>
      <c r="C152" t="s">
        <v>466</v>
      </c>
      <c r="D152" t="str">
        <f t="shared" si="13"/>
        <v>No</v>
      </c>
      <c r="E152" t="str">
        <f t="shared" si="12"/>
        <v/>
      </c>
      <c r="F152" t="s">
        <v>429</v>
      </c>
      <c r="G152">
        <f t="shared" si="14"/>
        <v>391930002</v>
      </c>
      <c r="H152" s="123">
        <v>121</v>
      </c>
    </row>
    <row r="153" spans="1:8" ht="15.5">
      <c r="A153">
        <f t="shared" ref="A153:A216" si="15">IF(D153="Yes",1,0)</f>
        <v>0</v>
      </c>
      <c r="B153" t="s">
        <v>463</v>
      </c>
      <c r="C153" t="s">
        <v>466</v>
      </c>
      <c r="D153" t="str">
        <f t="shared" si="13"/>
        <v>No</v>
      </c>
      <c r="E153" t="str">
        <f t="shared" si="12"/>
        <v/>
      </c>
      <c r="F153" t="s">
        <v>429</v>
      </c>
      <c r="G153">
        <f t="shared" si="14"/>
        <v>391930002</v>
      </c>
      <c r="H153" s="123">
        <v>122</v>
      </c>
    </row>
    <row r="154" spans="1:8" ht="15.5">
      <c r="A154">
        <f t="shared" si="15"/>
        <v>0</v>
      </c>
      <c r="B154" t="s">
        <v>463</v>
      </c>
      <c r="C154" t="s">
        <v>466</v>
      </c>
      <c r="D154" t="str">
        <f t="shared" si="13"/>
        <v>No</v>
      </c>
      <c r="E154" t="str">
        <f t="shared" si="12"/>
        <v/>
      </c>
      <c r="F154" t="s">
        <v>429</v>
      </c>
      <c r="G154">
        <f t="shared" si="14"/>
        <v>391930002</v>
      </c>
      <c r="H154" s="123">
        <v>123</v>
      </c>
    </row>
    <row r="155" spans="1:8" ht="15.5">
      <c r="A155">
        <f t="shared" si="15"/>
        <v>0</v>
      </c>
      <c r="B155" t="s">
        <v>463</v>
      </c>
      <c r="C155" t="s">
        <v>466</v>
      </c>
      <c r="D155" t="str">
        <f t="shared" si="13"/>
        <v>No</v>
      </c>
      <c r="E155" t="str">
        <f t="shared" si="12"/>
        <v/>
      </c>
      <c r="F155" t="s">
        <v>429</v>
      </c>
      <c r="G155">
        <f t="shared" si="14"/>
        <v>391930002</v>
      </c>
      <c r="H155" s="123">
        <v>124</v>
      </c>
    </row>
    <row r="156" spans="1:8" ht="15.5">
      <c r="A156">
        <f t="shared" si="15"/>
        <v>0</v>
      </c>
      <c r="B156" t="s">
        <v>463</v>
      </c>
      <c r="C156" t="s">
        <v>466</v>
      </c>
      <c r="D156" t="str">
        <f t="shared" si="13"/>
        <v>No</v>
      </c>
      <c r="E156" t="str">
        <f t="shared" si="12"/>
        <v/>
      </c>
      <c r="F156" t="s">
        <v>429</v>
      </c>
      <c r="G156">
        <f t="shared" si="14"/>
        <v>391930002</v>
      </c>
      <c r="H156" s="123">
        <v>125</v>
      </c>
    </row>
    <row r="157" spans="1:8" ht="15.5">
      <c r="A157">
        <f t="shared" si="15"/>
        <v>0</v>
      </c>
      <c r="B157" t="s">
        <v>463</v>
      </c>
      <c r="C157" t="s">
        <v>466</v>
      </c>
      <c r="D157" t="str">
        <f t="shared" si="13"/>
        <v>No</v>
      </c>
      <c r="E157" t="str">
        <f t="shared" si="12"/>
        <v/>
      </c>
      <c r="F157" t="s">
        <v>429</v>
      </c>
      <c r="G157">
        <f t="shared" si="14"/>
        <v>391930002</v>
      </c>
      <c r="H157" s="123">
        <v>126</v>
      </c>
    </row>
    <row r="158" spans="1:8" ht="15.5">
      <c r="A158">
        <f t="shared" si="15"/>
        <v>0</v>
      </c>
      <c r="B158" t="s">
        <v>463</v>
      </c>
      <c r="C158" t="s">
        <v>466</v>
      </c>
      <c r="D158" t="str">
        <f t="shared" si="13"/>
        <v>No</v>
      </c>
      <c r="E158" t="str">
        <f t="shared" si="12"/>
        <v/>
      </c>
      <c r="F158" t="s">
        <v>429</v>
      </c>
      <c r="G158">
        <f t="shared" si="14"/>
        <v>391930002</v>
      </c>
      <c r="H158" s="123">
        <v>127</v>
      </c>
    </row>
    <row r="159" spans="1:8" ht="15.5">
      <c r="A159">
        <f t="shared" si="15"/>
        <v>0</v>
      </c>
      <c r="B159" t="s">
        <v>463</v>
      </c>
      <c r="C159" t="s">
        <v>466</v>
      </c>
      <c r="D159" t="str">
        <f t="shared" si="13"/>
        <v>No</v>
      </c>
      <c r="E159" t="str">
        <f t="shared" si="12"/>
        <v/>
      </c>
      <c r="F159" t="s">
        <v>429</v>
      </c>
      <c r="G159">
        <f t="shared" si="14"/>
        <v>391930002</v>
      </c>
      <c r="H159" s="123">
        <v>128</v>
      </c>
    </row>
    <row r="160" spans="1:8" ht="15.5">
      <c r="A160">
        <f t="shared" si="15"/>
        <v>0</v>
      </c>
      <c r="B160" t="s">
        <v>463</v>
      </c>
      <c r="C160" t="s">
        <v>466</v>
      </c>
      <c r="D160" t="str">
        <f t="shared" si="13"/>
        <v>No</v>
      </c>
      <c r="E160" t="str">
        <f t="shared" ref="E160:E223" si="16">IF($D$11="Yes","",INDEX(ErrorCheck,MATCH($H160,ErrorCheckPlotNumber,0),MATCH($C160,ErrorCheckTitle,0)))</f>
        <v/>
      </c>
      <c r="F160" t="s">
        <v>429</v>
      </c>
      <c r="G160">
        <f t="shared" si="14"/>
        <v>391930002</v>
      </c>
      <c r="H160" s="123">
        <v>129</v>
      </c>
    </row>
    <row r="161" spans="1:8" ht="15.5">
      <c r="A161">
        <f t="shared" si="15"/>
        <v>0</v>
      </c>
      <c r="B161" t="s">
        <v>463</v>
      </c>
      <c r="C161" t="s">
        <v>466</v>
      </c>
      <c r="D161" t="str">
        <f t="shared" ref="D161:D224" si="17">IF(E161="", "No", "Yes")</f>
        <v>No</v>
      </c>
      <c r="E161" t="str">
        <f t="shared" si="16"/>
        <v/>
      </c>
      <c r="F161" t="s">
        <v>429</v>
      </c>
      <c r="G161">
        <f t="shared" si="14"/>
        <v>391930002</v>
      </c>
      <c r="H161" s="123">
        <v>130</v>
      </c>
    </row>
    <row r="162" spans="1:8" ht="15.5">
      <c r="A162">
        <f t="shared" si="15"/>
        <v>0</v>
      </c>
      <c r="B162" t="s">
        <v>463</v>
      </c>
      <c r="C162" t="s">
        <v>466</v>
      </c>
      <c r="D162" t="str">
        <f t="shared" si="17"/>
        <v>No</v>
      </c>
      <c r="E162" t="str">
        <f t="shared" si="16"/>
        <v/>
      </c>
      <c r="F162" t="s">
        <v>429</v>
      </c>
      <c r="G162">
        <f t="shared" si="14"/>
        <v>391930002</v>
      </c>
      <c r="H162" s="123">
        <v>131</v>
      </c>
    </row>
    <row r="163" spans="1:8" ht="15.5">
      <c r="A163">
        <f t="shared" si="15"/>
        <v>0</v>
      </c>
      <c r="B163" t="s">
        <v>463</v>
      </c>
      <c r="C163" t="s">
        <v>466</v>
      </c>
      <c r="D163" t="str">
        <f t="shared" si="17"/>
        <v>No</v>
      </c>
      <c r="E163" t="str">
        <f t="shared" si="16"/>
        <v/>
      </c>
      <c r="F163" t="s">
        <v>429</v>
      </c>
      <c r="G163">
        <f t="shared" si="14"/>
        <v>391930002</v>
      </c>
      <c r="H163" s="123">
        <v>132</v>
      </c>
    </row>
    <row r="164" spans="1:8" ht="15.5">
      <c r="A164">
        <f t="shared" si="15"/>
        <v>0</v>
      </c>
      <c r="B164" t="s">
        <v>463</v>
      </c>
      <c r="C164" t="s">
        <v>466</v>
      </c>
      <c r="D164" t="str">
        <f t="shared" si="17"/>
        <v>No</v>
      </c>
      <c r="E164" t="str">
        <f t="shared" si="16"/>
        <v/>
      </c>
      <c r="F164" t="s">
        <v>429</v>
      </c>
      <c r="G164">
        <f t="shared" si="14"/>
        <v>391930002</v>
      </c>
      <c r="H164" s="123">
        <v>133</v>
      </c>
    </row>
    <row r="165" spans="1:8" ht="15.5">
      <c r="A165">
        <f t="shared" si="15"/>
        <v>0</v>
      </c>
      <c r="B165" t="s">
        <v>463</v>
      </c>
      <c r="C165" t="s">
        <v>466</v>
      </c>
      <c r="D165" t="str">
        <f t="shared" si="17"/>
        <v>No</v>
      </c>
      <c r="E165" t="str">
        <f t="shared" si="16"/>
        <v/>
      </c>
      <c r="F165" t="s">
        <v>429</v>
      </c>
      <c r="G165">
        <f t="shared" si="14"/>
        <v>391930002</v>
      </c>
      <c r="H165" s="123">
        <v>134</v>
      </c>
    </row>
    <row r="166" spans="1:8" ht="15.5">
      <c r="A166">
        <f t="shared" si="15"/>
        <v>0</v>
      </c>
      <c r="B166" t="s">
        <v>463</v>
      </c>
      <c r="C166" t="s">
        <v>466</v>
      </c>
      <c r="D166" t="str">
        <f t="shared" si="17"/>
        <v>No</v>
      </c>
      <c r="E166" t="str">
        <f t="shared" si="16"/>
        <v/>
      </c>
      <c r="F166" t="s">
        <v>429</v>
      </c>
      <c r="G166">
        <f t="shared" si="14"/>
        <v>391930002</v>
      </c>
      <c r="H166" s="123">
        <v>135</v>
      </c>
    </row>
    <row r="167" spans="1:8" ht="15.5">
      <c r="A167">
        <f t="shared" si="15"/>
        <v>0</v>
      </c>
      <c r="B167" t="s">
        <v>463</v>
      </c>
      <c r="C167" t="s">
        <v>466</v>
      </c>
      <c r="D167" t="str">
        <f t="shared" si="17"/>
        <v>No</v>
      </c>
      <c r="E167" t="str">
        <f t="shared" si="16"/>
        <v/>
      </c>
      <c r="F167" t="s">
        <v>429</v>
      </c>
      <c r="G167">
        <f t="shared" si="14"/>
        <v>391930002</v>
      </c>
      <c r="H167" s="123">
        <v>136</v>
      </c>
    </row>
    <row r="168" spans="1:8" ht="15.5">
      <c r="A168">
        <f t="shared" si="15"/>
        <v>0</v>
      </c>
      <c r="B168" t="s">
        <v>463</v>
      </c>
      <c r="C168" t="s">
        <v>466</v>
      </c>
      <c r="D168" t="str">
        <f t="shared" si="17"/>
        <v>No</v>
      </c>
      <c r="E168" t="str">
        <f t="shared" si="16"/>
        <v/>
      </c>
      <c r="F168" t="s">
        <v>429</v>
      </c>
      <c r="G168">
        <f t="shared" si="14"/>
        <v>391930002</v>
      </c>
      <c r="H168" s="123">
        <v>137</v>
      </c>
    </row>
    <row r="169" spans="1:8" ht="15.5">
      <c r="A169">
        <f t="shared" si="15"/>
        <v>0</v>
      </c>
      <c r="B169" t="s">
        <v>463</v>
      </c>
      <c r="C169" t="s">
        <v>466</v>
      </c>
      <c r="D169" t="str">
        <f t="shared" si="17"/>
        <v>No</v>
      </c>
      <c r="E169" t="str">
        <f t="shared" si="16"/>
        <v/>
      </c>
      <c r="F169" t="s">
        <v>429</v>
      </c>
      <c r="G169">
        <f t="shared" si="14"/>
        <v>391930002</v>
      </c>
      <c r="H169" s="123">
        <v>138</v>
      </c>
    </row>
    <row r="170" spans="1:8" ht="15.5">
      <c r="A170">
        <f t="shared" si="15"/>
        <v>0</v>
      </c>
      <c r="B170" t="s">
        <v>463</v>
      </c>
      <c r="C170" t="s">
        <v>466</v>
      </c>
      <c r="D170" t="str">
        <f t="shared" si="17"/>
        <v>No</v>
      </c>
      <c r="E170" t="str">
        <f t="shared" si="16"/>
        <v/>
      </c>
      <c r="F170" t="s">
        <v>429</v>
      </c>
      <c r="G170">
        <f t="shared" si="14"/>
        <v>391930002</v>
      </c>
      <c r="H170" s="123">
        <v>139</v>
      </c>
    </row>
    <row r="171" spans="1:8" ht="15.5">
      <c r="A171">
        <f t="shared" si="15"/>
        <v>0</v>
      </c>
      <c r="B171" t="s">
        <v>463</v>
      </c>
      <c r="C171" t="s">
        <v>466</v>
      </c>
      <c r="D171" t="str">
        <f t="shared" si="17"/>
        <v>No</v>
      </c>
      <c r="E171" t="str">
        <f t="shared" si="16"/>
        <v/>
      </c>
      <c r="F171" t="s">
        <v>429</v>
      </c>
      <c r="G171">
        <f t="shared" si="14"/>
        <v>391930002</v>
      </c>
      <c r="H171" s="123">
        <v>140</v>
      </c>
    </row>
    <row r="172" spans="1:8" ht="15.5">
      <c r="A172">
        <f t="shared" si="15"/>
        <v>0</v>
      </c>
      <c r="B172" t="s">
        <v>463</v>
      </c>
      <c r="C172" t="s">
        <v>466</v>
      </c>
      <c r="D172" t="str">
        <f t="shared" si="17"/>
        <v>No</v>
      </c>
      <c r="E172" t="str">
        <f t="shared" si="16"/>
        <v/>
      </c>
      <c r="F172" t="s">
        <v>429</v>
      </c>
      <c r="G172">
        <f t="shared" si="14"/>
        <v>391930002</v>
      </c>
      <c r="H172" s="123">
        <v>141</v>
      </c>
    </row>
    <row r="173" spans="1:8" ht="15.5">
      <c r="A173">
        <f t="shared" si="15"/>
        <v>0</v>
      </c>
      <c r="B173" t="s">
        <v>463</v>
      </c>
      <c r="C173" t="s">
        <v>466</v>
      </c>
      <c r="D173" t="str">
        <f t="shared" si="17"/>
        <v>No</v>
      </c>
      <c r="E173" t="str">
        <f t="shared" si="16"/>
        <v/>
      </c>
      <c r="F173" t="s">
        <v>429</v>
      </c>
      <c r="G173">
        <f t="shared" si="14"/>
        <v>391930002</v>
      </c>
      <c r="H173" s="123">
        <v>142</v>
      </c>
    </row>
    <row r="174" spans="1:8" ht="15.5">
      <c r="A174">
        <f t="shared" si="15"/>
        <v>0</v>
      </c>
      <c r="B174" t="s">
        <v>463</v>
      </c>
      <c r="C174" t="s">
        <v>466</v>
      </c>
      <c r="D174" t="str">
        <f t="shared" si="17"/>
        <v>No</v>
      </c>
      <c r="E174" t="str">
        <f t="shared" si="16"/>
        <v/>
      </c>
      <c r="F174" t="s">
        <v>429</v>
      </c>
      <c r="G174">
        <f t="shared" si="14"/>
        <v>391930002</v>
      </c>
      <c r="H174" s="123">
        <v>143</v>
      </c>
    </row>
    <row r="175" spans="1:8" ht="15.5">
      <c r="A175">
        <f t="shared" si="15"/>
        <v>0</v>
      </c>
      <c r="B175" t="s">
        <v>463</v>
      </c>
      <c r="C175" t="s">
        <v>466</v>
      </c>
      <c r="D175" t="str">
        <f t="shared" si="17"/>
        <v>No</v>
      </c>
      <c r="E175" t="str">
        <f t="shared" si="16"/>
        <v/>
      </c>
      <c r="F175" t="s">
        <v>429</v>
      </c>
      <c r="G175">
        <f t="shared" si="14"/>
        <v>391930002</v>
      </c>
      <c r="H175" s="123">
        <v>144</v>
      </c>
    </row>
    <row r="176" spans="1:8" ht="15.5">
      <c r="A176">
        <f t="shared" si="15"/>
        <v>0</v>
      </c>
      <c r="B176" t="s">
        <v>463</v>
      </c>
      <c r="C176" t="s">
        <v>466</v>
      </c>
      <c r="D176" t="str">
        <f t="shared" si="17"/>
        <v>No</v>
      </c>
      <c r="E176" t="str">
        <f t="shared" si="16"/>
        <v/>
      </c>
      <c r="F176" t="s">
        <v>429</v>
      </c>
      <c r="G176">
        <f t="shared" si="14"/>
        <v>391930002</v>
      </c>
      <c r="H176" s="123">
        <v>145</v>
      </c>
    </row>
    <row r="177" spans="1:8" ht="15.5">
      <c r="A177">
        <f t="shared" si="15"/>
        <v>0</v>
      </c>
      <c r="B177" t="s">
        <v>463</v>
      </c>
      <c r="C177" t="s">
        <v>466</v>
      </c>
      <c r="D177" t="str">
        <f t="shared" si="17"/>
        <v>No</v>
      </c>
      <c r="E177" t="str">
        <f t="shared" si="16"/>
        <v/>
      </c>
      <c r="F177" t="s">
        <v>429</v>
      </c>
      <c r="G177">
        <f t="shared" si="14"/>
        <v>391930002</v>
      </c>
      <c r="H177" s="123">
        <v>146</v>
      </c>
    </row>
    <row r="178" spans="1:8" ht="15.5">
      <c r="A178">
        <f t="shared" si="15"/>
        <v>0</v>
      </c>
      <c r="B178" t="s">
        <v>463</v>
      </c>
      <c r="C178" t="s">
        <v>466</v>
      </c>
      <c r="D178" t="str">
        <f t="shared" si="17"/>
        <v>No</v>
      </c>
      <c r="E178" t="str">
        <f t="shared" si="16"/>
        <v/>
      </c>
      <c r="F178" t="s">
        <v>429</v>
      </c>
      <c r="G178">
        <f t="shared" si="14"/>
        <v>391930002</v>
      </c>
      <c r="H178" s="123">
        <v>147</v>
      </c>
    </row>
    <row r="179" spans="1:8" ht="15.5">
      <c r="A179">
        <f t="shared" si="15"/>
        <v>0</v>
      </c>
      <c r="B179" t="s">
        <v>463</v>
      </c>
      <c r="C179" t="s">
        <v>466</v>
      </c>
      <c r="D179" t="str">
        <f t="shared" si="17"/>
        <v>No</v>
      </c>
      <c r="E179" t="str">
        <f t="shared" si="16"/>
        <v/>
      </c>
      <c r="F179" t="s">
        <v>429</v>
      </c>
      <c r="G179">
        <f t="shared" si="14"/>
        <v>391930002</v>
      </c>
      <c r="H179" s="123">
        <v>148</v>
      </c>
    </row>
    <row r="180" spans="1:8" ht="15.5">
      <c r="A180">
        <f t="shared" si="15"/>
        <v>0</v>
      </c>
      <c r="B180" t="s">
        <v>463</v>
      </c>
      <c r="C180" t="s">
        <v>466</v>
      </c>
      <c r="D180" t="str">
        <f t="shared" si="17"/>
        <v>No</v>
      </c>
      <c r="E180" t="str">
        <f t="shared" si="16"/>
        <v/>
      </c>
      <c r="F180" t="s">
        <v>429</v>
      </c>
      <c r="G180">
        <f t="shared" si="14"/>
        <v>391930002</v>
      </c>
      <c r="H180" s="123">
        <v>149</v>
      </c>
    </row>
    <row r="181" spans="1:8" ht="15.5">
      <c r="A181">
        <f t="shared" si="15"/>
        <v>0</v>
      </c>
      <c r="B181" t="s">
        <v>463</v>
      </c>
      <c r="C181" t="s">
        <v>466</v>
      </c>
      <c r="D181" t="str">
        <f t="shared" si="17"/>
        <v>No</v>
      </c>
      <c r="E181" t="str">
        <f t="shared" si="16"/>
        <v/>
      </c>
      <c r="F181" t="s">
        <v>429</v>
      </c>
      <c r="G181">
        <f t="shared" si="14"/>
        <v>391930002</v>
      </c>
      <c r="H181" s="123">
        <v>150</v>
      </c>
    </row>
    <row r="182" spans="1:8" ht="15.5">
      <c r="A182">
        <f t="shared" si="15"/>
        <v>0</v>
      </c>
      <c r="B182" t="s">
        <v>463</v>
      </c>
      <c r="C182" t="s">
        <v>466</v>
      </c>
      <c r="D182" t="str">
        <f t="shared" si="17"/>
        <v>No</v>
      </c>
      <c r="E182" t="str">
        <f t="shared" si="16"/>
        <v/>
      </c>
      <c r="F182" t="s">
        <v>429</v>
      </c>
      <c r="G182">
        <f t="shared" si="14"/>
        <v>391930002</v>
      </c>
      <c r="H182" s="123">
        <v>151</v>
      </c>
    </row>
    <row r="183" spans="1:8" ht="15.5">
      <c r="A183">
        <f t="shared" si="15"/>
        <v>0</v>
      </c>
      <c r="B183" t="s">
        <v>463</v>
      </c>
      <c r="C183" t="s">
        <v>466</v>
      </c>
      <c r="D183" t="str">
        <f t="shared" si="17"/>
        <v>No</v>
      </c>
      <c r="E183" t="str">
        <f t="shared" si="16"/>
        <v/>
      </c>
      <c r="F183" t="s">
        <v>429</v>
      </c>
      <c r="G183">
        <f t="shared" si="14"/>
        <v>391930002</v>
      </c>
      <c r="H183" s="123">
        <v>152</v>
      </c>
    </row>
    <row r="184" spans="1:8" ht="15.5">
      <c r="A184">
        <f t="shared" si="15"/>
        <v>0</v>
      </c>
      <c r="B184" t="s">
        <v>463</v>
      </c>
      <c r="C184" t="s">
        <v>466</v>
      </c>
      <c r="D184" t="str">
        <f t="shared" si="17"/>
        <v>No</v>
      </c>
      <c r="E184" t="str">
        <f t="shared" si="16"/>
        <v/>
      </c>
      <c r="F184" t="s">
        <v>429</v>
      </c>
      <c r="G184">
        <f t="shared" si="14"/>
        <v>391930002</v>
      </c>
      <c r="H184" s="123">
        <v>153</v>
      </c>
    </row>
    <row r="185" spans="1:8" ht="15.5">
      <c r="A185">
        <f t="shared" si="15"/>
        <v>0</v>
      </c>
      <c r="B185" t="s">
        <v>463</v>
      </c>
      <c r="C185" t="s">
        <v>466</v>
      </c>
      <c r="D185" t="str">
        <f t="shared" si="17"/>
        <v>No</v>
      </c>
      <c r="E185" t="str">
        <f t="shared" si="16"/>
        <v/>
      </c>
      <c r="F185" t="s">
        <v>429</v>
      </c>
      <c r="G185">
        <f t="shared" si="14"/>
        <v>391930002</v>
      </c>
      <c r="H185" s="123">
        <v>154</v>
      </c>
    </row>
    <row r="186" spans="1:8" ht="15.5">
      <c r="A186">
        <f t="shared" si="15"/>
        <v>0</v>
      </c>
      <c r="B186" t="s">
        <v>463</v>
      </c>
      <c r="C186" t="s">
        <v>466</v>
      </c>
      <c r="D186" t="str">
        <f t="shared" si="17"/>
        <v>No</v>
      </c>
      <c r="E186" t="str">
        <f t="shared" si="16"/>
        <v/>
      </c>
      <c r="F186" t="s">
        <v>429</v>
      </c>
      <c r="G186">
        <f t="shared" si="14"/>
        <v>391930002</v>
      </c>
      <c r="H186" s="123">
        <v>155</v>
      </c>
    </row>
    <row r="187" spans="1:8" ht="15.5">
      <c r="A187">
        <f t="shared" si="15"/>
        <v>0</v>
      </c>
      <c r="B187" t="s">
        <v>463</v>
      </c>
      <c r="C187" t="s">
        <v>466</v>
      </c>
      <c r="D187" t="str">
        <f t="shared" si="17"/>
        <v>No</v>
      </c>
      <c r="E187" t="str">
        <f t="shared" si="16"/>
        <v/>
      </c>
      <c r="F187" t="s">
        <v>429</v>
      </c>
      <c r="G187">
        <f t="shared" si="14"/>
        <v>391930002</v>
      </c>
      <c r="H187" s="123">
        <v>156</v>
      </c>
    </row>
    <row r="188" spans="1:8" ht="15.5">
      <c r="A188">
        <f t="shared" si="15"/>
        <v>0</v>
      </c>
      <c r="B188" t="s">
        <v>463</v>
      </c>
      <c r="C188" t="s">
        <v>466</v>
      </c>
      <c r="D188" t="str">
        <f t="shared" si="17"/>
        <v>No</v>
      </c>
      <c r="E188" t="str">
        <f t="shared" si="16"/>
        <v/>
      </c>
      <c r="F188" t="s">
        <v>429</v>
      </c>
      <c r="G188">
        <f t="shared" si="14"/>
        <v>391930002</v>
      </c>
      <c r="H188" s="123">
        <v>157</v>
      </c>
    </row>
    <row r="189" spans="1:8" ht="15.5">
      <c r="A189">
        <f t="shared" si="15"/>
        <v>0</v>
      </c>
      <c r="B189" t="s">
        <v>463</v>
      </c>
      <c r="C189" t="s">
        <v>466</v>
      </c>
      <c r="D189" t="str">
        <f t="shared" si="17"/>
        <v>No</v>
      </c>
      <c r="E189" t="str">
        <f t="shared" si="16"/>
        <v/>
      </c>
      <c r="F189" t="s">
        <v>429</v>
      </c>
      <c r="G189">
        <f t="shared" si="14"/>
        <v>391930002</v>
      </c>
      <c r="H189" s="123">
        <v>158</v>
      </c>
    </row>
    <row r="190" spans="1:8" ht="15.5">
      <c r="A190">
        <f t="shared" si="15"/>
        <v>0</v>
      </c>
      <c r="B190" t="s">
        <v>463</v>
      </c>
      <c r="C190" t="s">
        <v>466</v>
      </c>
      <c r="D190" t="str">
        <f t="shared" si="17"/>
        <v>No</v>
      </c>
      <c r="E190" t="str">
        <f t="shared" si="16"/>
        <v/>
      </c>
      <c r="F190" t="s">
        <v>429</v>
      </c>
      <c r="G190">
        <f t="shared" si="14"/>
        <v>391930002</v>
      </c>
      <c r="H190" s="123">
        <v>159</v>
      </c>
    </row>
    <row r="191" spans="1:8" ht="15.5">
      <c r="A191">
        <f t="shared" si="15"/>
        <v>0</v>
      </c>
      <c r="B191" t="s">
        <v>463</v>
      </c>
      <c r="C191" t="s">
        <v>466</v>
      </c>
      <c r="D191" t="str">
        <f t="shared" si="17"/>
        <v>No</v>
      </c>
      <c r="E191" t="str">
        <f t="shared" si="16"/>
        <v/>
      </c>
      <c r="F191" t="s">
        <v>429</v>
      </c>
      <c r="G191">
        <f t="shared" si="14"/>
        <v>391930002</v>
      </c>
      <c r="H191" s="123">
        <v>160</v>
      </c>
    </row>
    <row r="192" spans="1:8" ht="15.5">
      <c r="A192">
        <f t="shared" si="15"/>
        <v>0</v>
      </c>
      <c r="B192" t="s">
        <v>463</v>
      </c>
      <c r="C192" t="s">
        <v>466</v>
      </c>
      <c r="D192" t="str">
        <f t="shared" si="17"/>
        <v>No</v>
      </c>
      <c r="E192" t="str">
        <f t="shared" si="16"/>
        <v/>
      </c>
      <c r="F192" t="s">
        <v>429</v>
      </c>
      <c r="G192">
        <f t="shared" si="14"/>
        <v>391930002</v>
      </c>
      <c r="H192" s="123">
        <v>161</v>
      </c>
    </row>
    <row r="193" spans="1:8" ht="15.5">
      <c r="A193">
        <f t="shared" si="15"/>
        <v>0</v>
      </c>
      <c r="B193" t="s">
        <v>463</v>
      </c>
      <c r="C193" t="s">
        <v>466</v>
      </c>
      <c r="D193" t="str">
        <f t="shared" si="17"/>
        <v>No</v>
      </c>
      <c r="E193" t="str">
        <f t="shared" si="16"/>
        <v/>
      </c>
      <c r="F193" t="s">
        <v>429</v>
      </c>
      <c r="G193">
        <f t="shared" si="14"/>
        <v>391930002</v>
      </c>
      <c r="H193" s="123">
        <v>162</v>
      </c>
    </row>
    <row r="194" spans="1:8" ht="15.5">
      <c r="A194">
        <f t="shared" si="15"/>
        <v>0</v>
      </c>
      <c r="B194" t="s">
        <v>463</v>
      </c>
      <c r="C194" t="s">
        <v>466</v>
      </c>
      <c r="D194" t="str">
        <f t="shared" si="17"/>
        <v>No</v>
      </c>
      <c r="E194" t="str">
        <f t="shared" si="16"/>
        <v/>
      </c>
      <c r="F194" t="s">
        <v>429</v>
      </c>
      <c r="G194">
        <f t="shared" si="14"/>
        <v>391930002</v>
      </c>
      <c r="H194" s="123">
        <v>163</v>
      </c>
    </row>
    <row r="195" spans="1:8" ht="15.5">
      <c r="A195">
        <f t="shared" si="15"/>
        <v>0</v>
      </c>
      <c r="B195" t="s">
        <v>463</v>
      </c>
      <c r="C195" t="s">
        <v>466</v>
      </c>
      <c r="D195" t="str">
        <f t="shared" si="17"/>
        <v>No</v>
      </c>
      <c r="E195" t="str">
        <f t="shared" si="16"/>
        <v/>
      </c>
      <c r="F195" t="s">
        <v>429</v>
      </c>
      <c r="G195">
        <f t="shared" si="14"/>
        <v>391930002</v>
      </c>
      <c r="H195" s="123">
        <v>164</v>
      </c>
    </row>
    <row r="196" spans="1:8" ht="15.5">
      <c r="A196">
        <f t="shared" si="15"/>
        <v>0</v>
      </c>
      <c r="B196" t="s">
        <v>463</v>
      </c>
      <c r="C196" t="s">
        <v>466</v>
      </c>
      <c r="D196" t="str">
        <f t="shared" si="17"/>
        <v>No</v>
      </c>
      <c r="E196" t="str">
        <f t="shared" si="16"/>
        <v/>
      </c>
      <c r="F196" t="s">
        <v>429</v>
      </c>
      <c r="G196">
        <f t="shared" si="14"/>
        <v>391930002</v>
      </c>
      <c r="H196" s="123">
        <v>165</v>
      </c>
    </row>
    <row r="197" spans="1:8" ht="15.5">
      <c r="A197">
        <f t="shared" si="15"/>
        <v>0</v>
      </c>
      <c r="B197" t="s">
        <v>463</v>
      </c>
      <c r="C197" t="s">
        <v>466</v>
      </c>
      <c r="D197" t="str">
        <f t="shared" si="17"/>
        <v>No</v>
      </c>
      <c r="E197" t="str">
        <f t="shared" si="16"/>
        <v/>
      </c>
      <c r="F197" t="s">
        <v>429</v>
      </c>
      <c r="G197">
        <f t="shared" si="14"/>
        <v>391930002</v>
      </c>
      <c r="H197" s="123">
        <v>166</v>
      </c>
    </row>
    <row r="198" spans="1:8" ht="15.5">
      <c r="A198">
        <f t="shared" si="15"/>
        <v>0</v>
      </c>
      <c r="B198" t="s">
        <v>463</v>
      </c>
      <c r="C198" t="s">
        <v>466</v>
      </c>
      <c r="D198" t="str">
        <f t="shared" si="17"/>
        <v>No</v>
      </c>
      <c r="E198" t="str">
        <f t="shared" si="16"/>
        <v/>
      </c>
      <c r="F198" t="s">
        <v>429</v>
      </c>
      <c r="G198">
        <f t="shared" si="14"/>
        <v>391930002</v>
      </c>
      <c r="H198" s="123">
        <v>167</v>
      </c>
    </row>
    <row r="199" spans="1:8" ht="15.5">
      <c r="A199">
        <f t="shared" si="15"/>
        <v>0</v>
      </c>
      <c r="B199" t="s">
        <v>463</v>
      </c>
      <c r="C199" t="s">
        <v>466</v>
      </c>
      <c r="D199" t="str">
        <f t="shared" si="17"/>
        <v>No</v>
      </c>
      <c r="E199" t="str">
        <f t="shared" si="16"/>
        <v/>
      </c>
      <c r="F199" t="s">
        <v>429</v>
      </c>
      <c r="G199">
        <f t="shared" ref="G199:G262" si="18">INDEX(IssueType,MATCH($F199,IssueTypeName,0),2)</f>
        <v>391930002</v>
      </c>
      <c r="H199" s="123">
        <v>168</v>
      </c>
    </row>
    <row r="200" spans="1:8" ht="15.5">
      <c r="A200">
        <f t="shared" si="15"/>
        <v>0</v>
      </c>
      <c r="B200" t="s">
        <v>463</v>
      </c>
      <c r="C200" t="s">
        <v>466</v>
      </c>
      <c r="D200" t="str">
        <f t="shared" si="17"/>
        <v>No</v>
      </c>
      <c r="E200" t="str">
        <f t="shared" si="16"/>
        <v/>
      </c>
      <c r="F200" t="s">
        <v>429</v>
      </c>
      <c r="G200">
        <f t="shared" si="18"/>
        <v>391930002</v>
      </c>
      <c r="H200" s="123">
        <v>169</v>
      </c>
    </row>
    <row r="201" spans="1:8" ht="15.5">
      <c r="A201">
        <f t="shared" si="15"/>
        <v>0</v>
      </c>
      <c r="B201" t="s">
        <v>463</v>
      </c>
      <c r="C201" t="s">
        <v>466</v>
      </c>
      <c r="D201" t="str">
        <f t="shared" si="17"/>
        <v>No</v>
      </c>
      <c r="E201" t="str">
        <f t="shared" si="16"/>
        <v/>
      </c>
      <c r="F201" t="s">
        <v>429</v>
      </c>
      <c r="G201">
        <f t="shared" si="18"/>
        <v>391930002</v>
      </c>
      <c r="H201" s="123">
        <v>170</v>
      </c>
    </row>
    <row r="202" spans="1:8" ht="15.5">
      <c r="A202">
        <f t="shared" si="15"/>
        <v>0</v>
      </c>
      <c r="B202" t="s">
        <v>463</v>
      </c>
      <c r="C202" t="s">
        <v>466</v>
      </c>
      <c r="D202" t="str">
        <f t="shared" si="17"/>
        <v>No</v>
      </c>
      <c r="E202" t="str">
        <f t="shared" si="16"/>
        <v/>
      </c>
      <c r="F202" t="s">
        <v>429</v>
      </c>
      <c r="G202">
        <f t="shared" si="18"/>
        <v>391930002</v>
      </c>
      <c r="H202" s="123">
        <v>171</v>
      </c>
    </row>
    <row r="203" spans="1:8" ht="15.5">
      <c r="A203">
        <f t="shared" si="15"/>
        <v>0</v>
      </c>
      <c r="B203" t="s">
        <v>463</v>
      </c>
      <c r="C203" t="s">
        <v>466</v>
      </c>
      <c r="D203" t="str">
        <f t="shared" si="17"/>
        <v>No</v>
      </c>
      <c r="E203" t="str">
        <f t="shared" si="16"/>
        <v/>
      </c>
      <c r="F203" t="s">
        <v>429</v>
      </c>
      <c r="G203">
        <f t="shared" si="18"/>
        <v>391930002</v>
      </c>
      <c r="H203" s="123">
        <v>172</v>
      </c>
    </row>
    <row r="204" spans="1:8" ht="15.5">
      <c r="A204">
        <f t="shared" si="15"/>
        <v>0</v>
      </c>
      <c r="B204" t="s">
        <v>463</v>
      </c>
      <c r="C204" t="s">
        <v>466</v>
      </c>
      <c r="D204" t="str">
        <f t="shared" si="17"/>
        <v>No</v>
      </c>
      <c r="E204" t="str">
        <f t="shared" si="16"/>
        <v/>
      </c>
      <c r="F204" t="s">
        <v>429</v>
      </c>
      <c r="G204">
        <f t="shared" si="18"/>
        <v>391930002</v>
      </c>
      <c r="H204" s="123">
        <v>173</v>
      </c>
    </row>
    <row r="205" spans="1:8" ht="15.5">
      <c r="A205">
        <f t="shared" si="15"/>
        <v>0</v>
      </c>
      <c r="B205" t="s">
        <v>463</v>
      </c>
      <c r="C205" t="s">
        <v>466</v>
      </c>
      <c r="D205" t="str">
        <f t="shared" si="17"/>
        <v>No</v>
      </c>
      <c r="E205" t="str">
        <f t="shared" si="16"/>
        <v/>
      </c>
      <c r="F205" t="s">
        <v>429</v>
      </c>
      <c r="G205">
        <f t="shared" si="18"/>
        <v>391930002</v>
      </c>
      <c r="H205" s="123">
        <v>174</v>
      </c>
    </row>
    <row r="206" spans="1:8" ht="15.5">
      <c r="A206">
        <f t="shared" si="15"/>
        <v>0</v>
      </c>
      <c r="B206" t="s">
        <v>463</v>
      </c>
      <c r="C206" t="s">
        <v>466</v>
      </c>
      <c r="D206" t="str">
        <f t="shared" si="17"/>
        <v>No</v>
      </c>
      <c r="E206" t="str">
        <f t="shared" si="16"/>
        <v/>
      </c>
      <c r="F206" t="s">
        <v>429</v>
      </c>
      <c r="G206">
        <f t="shared" si="18"/>
        <v>391930002</v>
      </c>
      <c r="H206" s="123">
        <v>175</v>
      </c>
    </row>
    <row r="207" spans="1:8" ht="15.5">
      <c r="A207">
        <f t="shared" si="15"/>
        <v>0</v>
      </c>
      <c r="B207" t="s">
        <v>463</v>
      </c>
      <c r="C207" t="s">
        <v>466</v>
      </c>
      <c r="D207" t="str">
        <f t="shared" si="17"/>
        <v>No</v>
      </c>
      <c r="E207" t="str">
        <f t="shared" si="16"/>
        <v/>
      </c>
      <c r="F207" t="s">
        <v>429</v>
      </c>
      <c r="G207">
        <f t="shared" si="18"/>
        <v>391930002</v>
      </c>
      <c r="H207" s="123">
        <v>176</v>
      </c>
    </row>
    <row r="208" spans="1:8" ht="15.5">
      <c r="A208">
        <f t="shared" si="15"/>
        <v>0</v>
      </c>
      <c r="B208" t="s">
        <v>463</v>
      </c>
      <c r="C208" t="s">
        <v>466</v>
      </c>
      <c r="D208" t="str">
        <f t="shared" si="17"/>
        <v>No</v>
      </c>
      <c r="E208" t="str">
        <f t="shared" si="16"/>
        <v/>
      </c>
      <c r="F208" t="s">
        <v>429</v>
      </c>
      <c r="G208">
        <f t="shared" si="18"/>
        <v>391930002</v>
      </c>
      <c r="H208" s="123">
        <v>177</v>
      </c>
    </row>
    <row r="209" spans="1:8" ht="15.5">
      <c r="A209">
        <f t="shared" si="15"/>
        <v>0</v>
      </c>
      <c r="B209" t="s">
        <v>463</v>
      </c>
      <c r="C209" t="s">
        <v>466</v>
      </c>
      <c r="D209" t="str">
        <f t="shared" si="17"/>
        <v>No</v>
      </c>
      <c r="E209" t="str">
        <f t="shared" si="16"/>
        <v/>
      </c>
      <c r="F209" t="s">
        <v>429</v>
      </c>
      <c r="G209">
        <f t="shared" si="18"/>
        <v>391930002</v>
      </c>
      <c r="H209" s="123">
        <v>178</v>
      </c>
    </row>
    <row r="210" spans="1:8" ht="15.5">
      <c r="A210">
        <f t="shared" si="15"/>
        <v>0</v>
      </c>
      <c r="B210" t="s">
        <v>463</v>
      </c>
      <c r="C210" t="s">
        <v>466</v>
      </c>
      <c r="D210" t="str">
        <f t="shared" si="17"/>
        <v>No</v>
      </c>
      <c r="E210" t="str">
        <f t="shared" si="16"/>
        <v/>
      </c>
      <c r="F210" t="s">
        <v>429</v>
      </c>
      <c r="G210">
        <f t="shared" si="18"/>
        <v>391930002</v>
      </c>
      <c r="H210" s="123">
        <v>179</v>
      </c>
    </row>
    <row r="211" spans="1:8" ht="15.5">
      <c r="A211">
        <f t="shared" si="15"/>
        <v>0</v>
      </c>
      <c r="B211" t="s">
        <v>463</v>
      </c>
      <c r="C211" t="s">
        <v>466</v>
      </c>
      <c r="D211" t="str">
        <f t="shared" si="17"/>
        <v>No</v>
      </c>
      <c r="E211" t="str">
        <f t="shared" si="16"/>
        <v/>
      </c>
      <c r="F211" t="s">
        <v>429</v>
      </c>
      <c r="G211">
        <f t="shared" si="18"/>
        <v>391930002</v>
      </c>
      <c r="H211" s="123">
        <v>180</v>
      </c>
    </row>
    <row r="212" spans="1:8" ht="15.5">
      <c r="A212">
        <f t="shared" si="15"/>
        <v>0</v>
      </c>
      <c r="B212" t="s">
        <v>463</v>
      </c>
      <c r="C212" t="s">
        <v>466</v>
      </c>
      <c r="D212" t="str">
        <f t="shared" si="17"/>
        <v>No</v>
      </c>
      <c r="E212" t="str">
        <f t="shared" si="16"/>
        <v/>
      </c>
      <c r="F212" t="s">
        <v>429</v>
      </c>
      <c r="G212">
        <f t="shared" si="18"/>
        <v>391930002</v>
      </c>
      <c r="H212" s="123">
        <v>181</v>
      </c>
    </row>
    <row r="213" spans="1:8" ht="15.5">
      <c r="A213">
        <f t="shared" si="15"/>
        <v>0</v>
      </c>
      <c r="B213" t="s">
        <v>463</v>
      </c>
      <c r="C213" t="s">
        <v>466</v>
      </c>
      <c r="D213" t="str">
        <f t="shared" si="17"/>
        <v>No</v>
      </c>
      <c r="E213" t="str">
        <f t="shared" si="16"/>
        <v/>
      </c>
      <c r="F213" t="s">
        <v>429</v>
      </c>
      <c r="G213">
        <f t="shared" si="18"/>
        <v>391930002</v>
      </c>
      <c r="H213" s="123">
        <v>182</v>
      </c>
    </row>
    <row r="214" spans="1:8" ht="15.5">
      <c r="A214">
        <f t="shared" si="15"/>
        <v>0</v>
      </c>
      <c r="B214" t="s">
        <v>463</v>
      </c>
      <c r="C214" t="s">
        <v>466</v>
      </c>
      <c r="D214" t="str">
        <f t="shared" si="17"/>
        <v>No</v>
      </c>
      <c r="E214" t="str">
        <f t="shared" si="16"/>
        <v/>
      </c>
      <c r="F214" t="s">
        <v>429</v>
      </c>
      <c r="G214">
        <f t="shared" si="18"/>
        <v>391930002</v>
      </c>
      <c r="H214" s="123">
        <v>183</v>
      </c>
    </row>
    <row r="215" spans="1:8" ht="15.5">
      <c r="A215">
        <f t="shared" si="15"/>
        <v>0</v>
      </c>
      <c r="B215" t="s">
        <v>463</v>
      </c>
      <c r="C215" t="s">
        <v>466</v>
      </c>
      <c r="D215" t="str">
        <f t="shared" si="17"/>
        <v>No</v>
      </c>
      <c r="E215" t="str">
        <f t="shared" si="16"/>
        <v/>
      </c>
      <c r="F215" t="s">
        <v>429</v>
      </c>
      <c r="G215">
        <f t="shared" si="18"/>
        <v>391930002</v>
      </c>
      <c r="H215" s="123">
        <v>184</v>
      </c>
    </row>
    <row r="216" spans="1:8" ht="15.5">
      <c r="A216">
        <f t="shared" si="15"/>
        <v>0</v>
      </c>
      <c r="B216" t="s">
        <v>463</v>
      </c>
      <c r="C216" t="s">
        <v>466</v>
      </c>
      <c r="D216" t="str">
        <f t="shared" si="17"/>
        <v>No</v>
      </c>
      <c r="E216" t="str">
        <f t="shared" si="16"/>
        <v/>
      </c>
      <c r="F216" t="s">
        <v>429</v>
      </c>
      <c r="G216">
        <f t="shared" si="18"/>
        <v>391930002</v>
      </c>
      <c r="H216" s="123">
        <v>185</v>
      </c>
    </row>
    <row r="217" spans="1:8" ht="15.5">
      <c r="A217">
        <f t="shared" ref="A217:A280" si="19">IF(D217="Yes",1,0)</f>
        <v>0</v>
      </c>
      <c r="B217" t="s">
        <v>463</v>
      </c>
      <c r="C217" t="s">
        <v>466</v>
      </c>
      <c r="D217" t="str">
        <f t="shared" si="17"/>
        <v>No</v>
      </c>
      <c r="E217" t="str">
        <f t="shared" si="16"/>
        <v/>
      </c>
      <c r="F217" t="s">
        <v>429</v>
      </c>
      <c r="G217">
        <f t="shared" si="18"/>
        <v>391930002</v>
      </c>
      <c r="H217" s="123">
        <v>186</v>
      </c>
    </row>
    <row r="218" spans="1:8" ht="15.5">
      <c r="A218">
        <f t="shared" si="19"/>
        <v>0</v>
      </c>
      <c r="B218" t="s">
        <v>463</v>
      </c>
      <c r="C218" t="s">
        <v>466</v>
      </c>
      <c r="D218" t="str">
        <f t="shared" si="17"/>
        <v>No</v>
      </c>
      <c r="E218" t="str">
        <f t="shared" si="16"/>
        <v/>
      </c>
      <c r="F218" t="s">
        <v>429</v>
      </c>
      <c r="G218">
        <f t="shared" si="18"/>
        <v>391930002</v>
      </c>
      <c r="H218" s="123">
        <v>187</v>
      </c>
    </row>
    <row r="219" spans="1:8" ht="15.5">
      <c r="A219">
        <f t="shared" si="19"/>
        <v>0</v>
      </c>
      <c r="B219" t="s">
        <v>463</v>
      </c>
      <c r="C219" t="s">
        <v>466</v>
      </c>
      <c r="D219" t="str">
        <f t="shared" si="17"/>
        <v>No</v>
      </c>
      <c r="E219" t="str">
        <f t="shared" si="16"/>
        <v/>
      </c>
      <c r="F219" t="s">
        <v>429</v>
      </c>
      <c r="G219">
        <f t="shared" si="18"/>
        <v>391930002</v>
      </c>
      <c r="H219" s="123">
        <v>188</v>
      </c>
    </row>
    <row r="220" spans="1:8" ht="15.5">
      <c r="A220">
        <f t="shared" si="19"/>
        <v>0</v>
      </c>
      <c r="B220" t="s">
        <v>463</v>
      </c>
      <c r="C220" t="s">
        <v>466</v>
      </c>
      <c r="D220" t="str">
        <f t="shared" si="17"/>
        <v>No</v>
      </c>
      <c r="E220" t="str">
        <f t="shared" si="16"/>
        <v/>
      </c>
      <c r="F220" t="s">
        <v>429</v>
      </c>
      <c r="G220">
        <f t="shared" si="18"/>
        <v>391930002</v>
      </c>
      <c r="H220" s="123">
        <v>189</v>
      </c>
    </row>
    <row r="221" spans="1:8" ht="15.5">
      <c r="A221">
        <f t="shared" si="19"/>
        <v>0</v>
      </c>
      <c r="B221" t="s">
        <v>463</v>
      </c>
      <c r="C221" t="s">
        <v>466</v>
      </c>
      <c r="D221" t="str">
        <f t="shared" si="17"/>
        <v>No</v>
      </c>
      <c r="E221" t="str">
        <f t="shared" si="16"/>
        <v/>
      </c>
      <c r="F221" t="s">
        <v>429</v>
      </c>
      <c r="G221">
        <f t="shared" si="18"/>
        <v>391930002</v>
      </c>
      <c r="H221" s="123">
        <v>190</v>
      </c>
    </row>
    <row r="222" spans="1:8" ht="15.5">
      <c r="A222">
        <f t="shared" si="19"/>
        <v>0</v>
      </c>
      <c r="B222" t="s">
        <v>463</v>
      </c>
      <c r="C222" t="s">
        <v>466</v>
      </c>
      <c r="D222" t="str">
        <f t="shared" si="17"/>
        <v>No</v>
      </c>
      <c r="E222" t="str">
        <f t="shared" si="16"/>
        <v/>
      </c>
      <c r="F222" t="s">
        <v>429</v>
      </c>
      <c r="G222">
        <f t="shared" si="18"/>
        <v>391930002</v>
      </c>
      <c r="H222" s="123">
        <v>191</v>
      </c>
    </row>
    <row r="223" spans="1:8" ht="15.5">
      <c r="A223">
        <f t="shared" si="19"/>
        <v>0</v>
      </c>
      <c r="B223" t="s">
        <v>463</v>
      </c>
      <c r="C223" t="s">
        <v>466</v>
      </c>
      <c r="D223" t="str">
        <f t="shared" si="17"/>
        <v>No</v>
      </c>
      <c r="E223" t="str">
        <f t="shared" si="16"/>
        <v/>
      </c>
      <c r="F223" t="s">
        <v>429</v>
      </c>
      <c r="G223">
        <f t="shared" si="18"/>
        <v>391930002</v>
      </c>
      <c r="H223" s="123">
        <v>192</v>
      </c>
    </row>
    <row r="224" spans="1:8" ht="15.5">
      <c r="A224">
        <f t="shared" si="19"/>
        <v>0</v>
      </c>
      <c r="B224" t="s">
        <v>463</v>
      </c>
      <c r="C224" t="s">
        <v>466</v>
      </c>
      <c r="D224" t="str">
        <f t="shared" si="17"/>
        <v>No</v>
      </c>
      <c r="E224" t="str">
        <f t="shared" ref="E224:E287" si="20">IF($D$11="Yes","",INDEX(ErrorCheck,MATCH($H224,ErrorCheckPlotNumber,0),MATCH($C224,ErrorCheckTitle,0)))</f>
        <v/>
      </c>
      <c r="F224" t="s">
        <v>429</v>
      </c>
      <c r="G224">
        <f t="shared" si="18"/>
        <v>391930002</v>
      </c>
      <c r="H224" s="123">
        <v>193</v>
      </c>
    </row>
    <row r="225" spans="1:8" ht="15.5">
      <c r="A225">
        <f t="shared" si="19"/>
        <v>0</v>
      </c>
      <c r="B225" t="s">
        <v>463</v>
      </c>
      <c r="C225" t="s">
        <v>466</v>
      </c>
      <c r="D225" t="str">
        <f t="shared" ref="D225:D288" si="21">IF(E225="", "No", "Yes")</f>
        <v>No</v>
      </c>
      <c r="E225" t="str">
        <f t="shared" si="20"/>
        <v/>
      </c>
      <c r="F225" t="s">
        <v>429</v>
      </c>
      <c r="G225">
        <f t="shared" si="18"/>
        <v>391930002</v>
      </c>
      <c r="H225" s="123">
        <v>194</v>
      </c>
    </row>
    <row r="226" spans="1:8" ht="15.5">
      <c r="A226">
        <f t="shared" si="19"/>
        <v>0</v>
      </c>
      <c r="B226" t="s">
        <v>463</v>
      </c>
      <c r="C226" t="s">
        <v>466</v>
      </c>
      <c r="D226" t="str">
        <f t="shared" si="21"/>
        <v>No</v>
      </c>
      <c r="E226" t="str">
        <f t="shared" si="20"/>
        <v/>
      </c>
      <c r="F226" t="s">
        <v>429</v>
      </c>
      <c r="G226">
        <f t="shared" si="18"/>
        <v>391930002</v>
      </c>
      <c r="H226" s="123">
        <v>195</v>
      </c>
    </row>
    <row r="227" spans="1:8" ht="15.5">
      <c r="A227">
        <f t="shared" si="19"/>
        <v>0</v>
      </c>
      <c r="B227" t="s">
        <v>463</v>
      </c>
      <c r="C227" t="s">
        <v>466</v>
      </c>
      <c r="D227" t="str">
        <f t="shared" si="21"/>
        <v>No</v>
      </c>
      <c r="E227" t="str">
        <f t="shared" si="20"/>
        <v/>
      </c>
      <c r="F227" t="s">
        <v>429</v>
      </c>
      <c r="G227">
        <f t="shared" si="18"/>
        <v>391930002</v>
      </c>
      <c r="H227" s="123">
        <v>196</v>
      </c>
    </row>
    <row r="228" spans="1:8" ht="15.5">
      <c r="A228">
        <f t="shared" si="19"/>
        <v>0</v>
      </c>
      <c r="B228" t="s">
        <v>463</v>
      </c>
      <c r="C228" t="s">
        <v>466</v>
      </c>
      <c r="D228" t="str">
        <f t="shared" si="21"/>
        <v>No</v>
      </c>
      <c r="E228" t="str">
        <f t="shared" si="20"/>
        <v/>
      </c>
      <c r="F228" t="s">
        <v>429</v>
      </c>
      <c r="G228">
        <f t="shared" si="18"/>
        <v>391930002</v>
      </c>
      <c r="H228" s="123">
        <v>197</v>
      </c>
    </row>
    <row r="229" spans="1:8" ht="15.5">
      <c r="A229">
        <f t="shared" si="19"/>
        <v>0</v>
      </c>
      <c r="B229" t="s">
        <v>463</v>
      </c>
      <c r="C229" t="s">
        <v>466</v>
      </c>
      <c r="D229" t="str">
        <f t="shared" si="21"/>
        <v>No</v>
      </c>
      <c r="E229" t="str">
        <f t="shared" si="20"/>
        <v/>
      </c>
      <c r="F229" t="s">
        <v>429</v>
      </c>
      <c r="G229">
        <f t="shared" si="18"/>
        <v>391930002</v>
      </c>
      <c r="H229" s="123">
        <v>198</v>
      </c>
    </row>
    <row r="230" spans="1:8" ht="15.5">
      <c r="A230">
        <f t="shared" si="19"/>
        <v>0</v>
      </c>
      <c r="B230" t="s">
        <v>463</v>
      </c>
      <c r="C230" t="s">
        <v>466</v>
      </c>
      <c r="D230" t="str">
        <f t="shared" si="21"/>
        <v>No</v>
      </c>
      <c r="E230" t="str">
        <f t="shared" si="20"/>
        <v/>
      </c>
      <c r="F230" t="s">
        <v>429</v>
      </c>
      <c r="G230">
        <f t="shared" si="18"/>
        <v>391930002</v>
      </c>
      <c r="H230" s="123">
        <v>199</v>
      </c>
    </row>
    <row r="231" spans="1:8" ht="15.5">
      <c r="A231">
        <f t="shared" si="19"/>
        <v>0</v>
      </c>
      <c r="B231" t="s">
        <v>463</v>
      </c>
      <c r="C231" t="s">
        <v>466</v>
      </c>
      <c r="D231" t="str">
        <f t="shared" si="21"/>
        <v>No</v>
      </c>
      <c r="E231" t="str">
        <f t="shared" si="20"/>
        <v/>
      </c>
      <c r="F231" t="s">
        <v>429</v>
      </c>
      <c r="G231">
        <f t="shared" si="18"/>
        <v>391930002</v>
      </c>
      <c r="H231" s="123">
        <v>200</v>
      </c>
    </row>
    <row r="232" spans="1:8" ht="15.5">
      <c r="A232">
        <f t="shared" si="19"/>
        <v>0</v>
      </c>
      <c r="B232" t="s">
        <v>463</v>
      </c>
      <c r="C232" t="s">
        <v>466</v>
      </c>
      <c r="D232" t="str">
        <f t="shared" si="21"/>
        <v>No</v>
      </c>
      <c r="E232" t="str">
        <f t="shared" si="20"/>
        <v/>
      </c>
      <c r="F232" t="s">
        <v>429</v>
      </c>
      <c r="G232">
        <f t="shared" si="18"/>
        <v>391930002</v>
      </c>
      <c r="H232" s="123">
        <v>201</v>
      </c>
    </row>
    <row r="233" spans="1:8" ht="15.5">
      <c r="A233">
        <f t="shared" si="19"/>
        <v>0</v>
      </c>
      <c r="B233" t="s">
        <v>463</v>
      </c>
      <c r="C233" t="s">
        <v>466</v>
      </c>
      <c r="D233" t="str">
        <f t="shared" si="21"/>
        <v>No</v>
      </c>
      <c r="E233" t="str">
        <f t="shared" si="20"/>
        <v/>
      </c>
      <c r="F233" t="s">
        <v>429</v>
      </c>
      <c r="G233">
        <f t="shared" si="18"/>
        <v>391930002</v>
      </c>
      <c r="H233" s="123">
        <v>202</v>
      </c>
    </row>
    <row r="234" spans="1:8" ht="15.5">
      <c r="A234">
        <f t="shared" si="19"/>
        <v>0</v>
      </c>
      <c r="B234" t="s">
        <v>463</v>
      </c>
      <c r="C234" t="s">
        <v>466</v>
      </c>
      <c r="D234" t="str">
        <f t="shared" si="21"/>
        <v>No</v>
      </c>
      <c r="E234" t="str">
        <f t="shared" si="20"/>
        <v/>
      </c>
      <c r="F234" t="s">
        <v>429</v>
      </c>
      <c r="G234">
        <f t="shared" si="18"/>
        <v>391930002</v>
      </c>
      <c r="H234" s="123">
        <v>203</v>
      </c>
    </row>
    <row r="235" spans="1:8" ht="15.5">
      <c r="A235">
        <f t="shared" si="19"/>
        <v>0</v>
      </c>
      <c r="B235" t="s">
        <v>463</v>
      </c>
      <c r="C235" t="s">
        <v>466</v>
      </c>
      <c r="D235" t="str">
        <f t="shared" si="21"/>
        <v>No</v>
      </c>
      <c r="E235" t="str">
        <f t="shared" si="20"/>
        <v/>
      </c>
      <c r="F235" t="s">
        <v>429</v>
      </c>
      <c r="G235">
        <f t="shared" si="18"/>
        <v>391930002</v>
      </c>
      <c r="H235" s="123">
        <v>204</v>
      </c>
    </row>
    <row r="236" spans="1:8" ht="15.5">
      <c r="A236">
        <f t="shared" si="19"/>
        <v>0</v>
      </c>
      <c r="B236" t="s">
        <v>463</v>
      </c>
      <c r="C236" t="s">
        <v>466</v>
      </c>
      <c r="D236" t="str">
        <f t="shared" si="21"/>
        <v>No</v>
      </c>
      <c r="E236" t="str">
        <f t="shared" si="20"/>
        <v/>
      </c>
      <c r="F236" t="s">
        <v>429</v>
      </c>
      <c r="G236">
        <f t="shared" si="18"/>
        <v>391930002</v>
      </c>
      <c r="H236" s="123">
        <v>205</v>
      </c>
    </row>
    <row r="237" spans="1:8" ht="15.5">
      <c r="A237">
        <f t="shared" si="19"/>
        <v>0</v>
      </c>
      <c r="B237" t="s">
        <v>463</v>
      </c>
      <c r="C237" t="s">
        <v>466</v>
      </c>
      <c r="D237" t="str">
        <f t="shared" si="21"/>
        <v>No</v>
      </c>
      <c r="E237" t="str">
        <f t="shared" si="20"/>
        <v/>
      </c>
      <c r="F237" t="s">
        <v>429</v>
      </c>
      <c r="G237">
        <f t="shared" si="18"/>
        <v>391930002</v>
      </c>
      <c r="H237" s="123">
        <v>206</v>
      </c>
    </row>
    <row r="238" spans="1:8" ht="15.5">
      <c r="A238">
        <f t="shared" si="19"/>
        <v>0</v>
      </c>
      <c r="B238" t="s">
        <v>463</v>
      </c>
      <c r="C238" t="s">
        <v>466</v>
      </c>
      <c r="D238" t="str">
        <f t="shared" si="21"/>
        <v>No</v>
      </c>
      <c r="E238" t="str">
        <f t="shared" si="20"/>
        <v/>
      </c>
      <c r="F238" t="s">
        <v>429</v>
      </c>
      <c r="G238">
        <f t="shared" si="18"/>
        <v>391930002</v>
      </c>
      <c r="H238" s="123">
        <v>207</v>
      </c>
    </row>
    <row r="239" spans="1:8" ht="15.5">
      <c r="A239">
        <f t="shared" si="19"/>
        <v>0</v>
      </c>
      <c r="B239" t="s">
        <v>463</v>
      </c>
      <c r="C239" t="s">
        <v>466</v>
      </c>
      <c r="D239" t="str">
        <f t="shared" si="21"/>
        <v>No</v>
      </c>
      <c r="E239" t="str">
        <f t="shared" si="20"/>
        <v/>
      </c>
      <c r="F239" t="s">
        <v>429</v>
      </c>
      <c r="G239">
        <f t="shared" si="18"/>
        <v>391930002</v>
      </c>
      <c r="H239" s="123">
        <v>208</v>
      </c>
    </row>
    <row r="240" spans="1:8" ht="15.5">
      <c r="A240">
        <f t="shared" si="19"/>
        <v>0</v>
      </c>
      <c r="B240" t="s">
        <v>463</v>
      </c>
      <c r="C240" t="s">
        <v>466</v>
      </c>
      <c r="D240" t="str">
        <f t="shared" si="21"/>
        <v>No</v>
      </c>
      <c r="E240" t="str">
        <f t="shared" si="20"/>
        <v/>
      </c>
      <c r="F240" t="s">
        <v>429</v>
      </c>
      <c r="G240">
        <f t="shared" si="18"/>
        <v>391930002</v>
      </c>
      <c r="H240" s="123">
        <v>209</v>
      </c>
    </row>
    <row r="241" spans="1:8" ht="15.5">
      <c r="A241">
        <f t="shared" si="19"/>
        <v>0</v>
      </c>
      <c r="B241" t="s">
        <v>463</v>
      </c>
      <c r="C241" t="s">
        <v>466</v>
      </c>
      <c r="D241" t="str">
        <f t="shared" si="21"/>
        <v>No</v>
      </c>
      <c r="E241" t="str">
        <f t="shared" si="20"/>
        <v/>
      </c>
      <c r="F241" t="s">
        <v>429</v>
      </c>
      <c r="G241">
        <f t="shared" si="18"/>
        <v>391930002</v>
      </c>
      <c r="H241" s="123">
        <v>210</v>
      </c>
    </row>
    <row r="242" spans="1:8" ht="15.5">
      <c r="A242">
        <f t="shared" si="19"/>
        <v>0</v>
      </c>
      <c r="B242" t="s">
        <v>463</v>
      </c>
      <c r="C242" t="s">
        <v>466</v>
      </c>
      <c r="D242" t="str">
        <f t="shared" si="21"/>
        <v>No</v>
      </c>
      <c r="E242" t="str">
        <f t="shared" si="20"/>
        <v/>
      </c>
      <c r="F242" t="s">
        <v>429</v>
      </c>
      <c r="G242">
        <f t="shared" si="18"/>
        <v>391930002</v>
      </c>
      <c r="H242" s="123">
        <v>211</v>
      </c>
    </row>
    <row r="243" spans="1:8" ht="15.5">
      <c r="A243">
        <f t="shared" si="19"/>
        <v>0</v>
      </c>
      <c r="B243" t="s">
        <v>463</v>
      </c>
      <c r="C243" t="s">
        <v>466</v>
      </c>
      <c r="D243" t="str">
        <f t="shared" si="21"/>
        <v>No</v>
      </c>
      <c r="E243" t="str">
        <f t="shared" si="20"/>
        <v/>
      </c>
      <c r="F243" t="s">
        <v>429</v>
      </c>
      <c r="G243">
        <f t="shared" si="18"/>
        <v>391930002</v>
      </c>
      <c r="H243" s="123">
        <v>212</v>
      </c>
    </row>
    <row r="244" spans="1:8" ht="15.5">
      <c r="A244">
        <f t="shared" si="19"/>
        <v>0</v>
      </c>
      <c r="B244" t="s">
        <v>463</v>
      </c>
      <c r="C244" t="s">
        <v>466</v>
      </c>
      <c r="D244" t="str">
        <f t="shared" si="21"/>
        <v>No</v>
      </c>
      <c r="E244" t="str">
        <f t="shared" si="20"/>
        <v/>
      </c>
      <c r="F244" t="s">
        <v>429</v>
      </c>
      <c r="G244">
        <f t="shared" si="18"/>
        <v>391930002</v>
      </c>
      <c r="H244" s="123">
        <v>213</v>
      </c>
    </row>
    <row r="245" spans="1:8" ht="15.5">
      <c r="A245">
        <f t="shared" si="19"/>
        <v>0</v>
      </c>
      <c r="B245" t="s">
        <v>463</v>
      </c>
      <c r="C245" t="s">
        <v>466</v>
      </c>
      <c r="D245" t="str">
        <f t="shared" si="21"/>
        <v>No</v>
      </c>
      <c r="E245" t="str">
        <f t="shared" si="20"/>
        <v/>
      </c>
      <c r="F245" t="s">
        <v>429</v>
      </c>
      <c r="G245">
        <f t="shared" si="18"/>
        <v>391930002</v>
      </c>
      <c r="H245" s="123">
        <v>214</v>
      </c>
    </row>
    <row r="246" spans="1:8" ht="15.5">
      <c r="A246">
        <f t="shared" si="19"/>
        <v>0</v>
      </c>
      <c r="B246" t="s">
        <v>463</v>
      </c>
      <c r="C246" t="s">
        <v>466</v>
      </c>
      <c r="D246" t="str">
        <f t="shared" si="21"/>
        <v>No</v>
      </c>
      <c r="E246" t="str">
        <f t="shared" si="20"/>
        <v/>
      </c>
      <c r="F246" t="s">
        <v>429</v>
      </c>
      <c r="G246">
        <f t="shared" si="18"/>
        <v>391930002</v>
      </c>
      <c r="H246" s="123">
        <v>215</v>
      </c>
    </row>
    <row r="247" spans="1:8" ht="15.5">
      <c r="A247">
        <f t="shared" si="19"/>
        <v>0</v>
      </c>
      <c r="B247" t="s">
        <v>463</v>
      </c>
      <c r="C247" t="s">
        <v>466</v>
      </c>
      <c r="D247" t="str">
        <f t="shared" si="21"/>
        <v>No</v>
      </c>
      <c r="E247" t="str">
        <f t="shared" si="20"/>
        <v/>
      </c>
      <c r="F247" t="s">
        <v>429</v>
      </c>
      <c r="G247">
        <f t="shared" si="18"/>
        <v>391930002</v>
      </c>
      <c r="H247" s="123">
        <v>216</v>
      </c>
    </row>
    <row r="248" spans="1:8" ht="15.5">
      <c r="A248">
        <f t="shared" si="19"/>
        <v>0</v>
      </c>
      <c r="B248" t="s">
        <v>463</v>
      </c>
      <c r="C248" t="s">
        <v>466</v>
      </c>
      <c r="D248" t="str">
        <f t="shared" si="21"/>
        <v>No</v>
      </c>
      <c r="E248" t="str">
        <f t="shared" si="20"/>
        <v/>
      </c>
      <c r="F248" t="s">
        <v>429</v>
      </c>
      <c r="G248">
        <f t="shared" si="18"/>
        <v>391930002</v>
      </c>
      <c r="H248" s="123">
        <v>217</v>
      </c>
    </row>
    <row r="249" spans="1:8" ht="15.5">
      <c r="A249">
        <f t="shared" si="19"/>
        <v>0</v>
      </c>
      <c r="B249" t="s">
        <v>463</v>
      </c>
      <c r="C249" t="s">
        <v>466</v>
      </c>
      <c r="D249" t="str">
        <f t="shared" si="21"/>
        <v>No</v>
      </c>
      <c r="E249" t="str">
        <f t="shared" si="20"/>
        <v/>
      </c>
      <c r="F249" t="s">
        <v>429</v>
      </c>
      <c r="G249">
        <f t="shared" si="18"/>
        <v>391930002</v>
      </c>
      <c r="H249" s="123">
        <v>218</v>
      </c>
    </row>
    <row r="250" spans="1:8" ht="15.5">
      <c r="A250">
        <f t="shared" si="19"/>
        <v>0</v>
      </c>
      <c r="B250" t="s">
        <v>463</v>
      </c>
      <c r="C250" t="s">
        <v>466</v>
      </c>
      <c r="D250" t="str">
        <f t="shared" si="21"/>
        <v>No</v>
      </c>
      <c r="E250" t="str">
        <f t="shared" si="20"/>
        <v/>
      </c>
      <c r="F250" t="s">
        <v>429</v>
      </c>
      <c r="G250">
        <f t="shared" si="18"/>
        <v>391930002</v>
      </c>
      <c r="H250" s="123">
        <v>219</v>
      </c>
    </row>
    <row r="251" spans="1:8" ht="15.5">
      <c r="A251">
        <f t="shared" si="19"/>
        <v>0</v>
      </c>
      <c r="B251" t="s">
        <v>463</v>
      </c>
      <c r="C251" t="s">
        <v>466</v>
      </c>
      <c r="D251" t="str">
        <f t="shared" si="21"/>
        <v>No</v>
      </c>
      <c r="E251" t="str">
        <f t="shared" si="20"/>
        <v/>
      </c>
      <c r="F251" t="s">
        <v>429</v>
      </c>
      <c r="G251">
        <f t="shared" si="18"/>
        <v>391930002</v>
      </c>
      <c r="H251" s="123">
        <v>220</v>
      </c>
    </row>
    <row r="252" spans="1:8" ht="15.5">
      <c r="A252">
        <f t="shared" si="19"/>
        <v>0</v>
      </c>
      <c r="B252" t="s">
        <v>463</v>
      </c>
      <c r="C252" t="s">
        <v>466</v>
      </c>
      <c r="D252" t="str">
        <f t="shared" si="21"/>
        <v>No</v>
      </c>
      <c r="E252" t="str">
        <f t="shared" si="20"/>
        <v/>
      </c>
      <c r="F252" t="s">
        <v>429</v>
      </c>
      <c r="G252">
        <f t="shared" si="18"/>
        <v>391930002</v>
      </c>
      <c r="H252" s="123">
        <v>221</v>
      </c>
    </row>
    <row r="253" spans="1:8" ht="15.5">
      <c r="A253">
        <f t="shared" si="19"/>
        <v>0</v>
      </c>
      <c r="B253" t="s">
        <v>463</v>
      </c>
      <c r="C253" t="s">
        <v>466</v>
      </c>
      <c r="D253" t="str">
        <f t="shared" si="21"/>
        <v>No</v>
      </c>
      <c r="E253" t="str">
        <f t="shared" si="20"/>
        <v/>
      </c>
      <c r="F253" t="s">
        <v>429</v>
      </c>
      <c r="G253">
        <f t="shared" si="18"/>
        <v>391930002</v>
      </c>
      <c r="H253" s="123">
        <v>222</v>
      </c>
    </row>
    <row r="254" spans="1:8" ht="15.5">
      <c r="A254">
        <f t="shared" si="19"/>
        <v>0</v>
      </c>
      <c r="B254" t="s">
        <v>463</v>
      </c>
      <c r="C254" t="s">
        <v>466</v>
      </c>
      <c r="D254" t="str">
        <f t="shared" si="21"/>
        <v>No</v>
      </c>
      <c r="E254" t="str">
        <f t="shared" si="20"/>
        <v/>
      </c>
      <c r="F254" t="s">
        <v>429</v>
      </c>
      <c r="G254">
        <f t="shared" si="18"/>
        <v>391930002</v>
      </c>
      <c r="H254" s="123">
        <v>223</v>
      </c>
    </row>
    <row r="255" spans="1:8" ht="15.5">
      <c r="A255">
        <f t="shared" si="19"/>
        <v>0</v>
      </c>
      <c r="B255" t="s">
        <v>463</v>
      </c>
      <c r="C255" t="s">
        <v>466</v>
      </c>
      <c r="D255" t="str">
        <f t="shared" si="21"/>
        <v>No</v>
      </c>
      <c r="E255" t="str">
        <f t="shared" si="20"/>
        <v/>
      </c>
      <c r="F255" t="s">
        <v>429</v>
      </c>
      <c r="G255">
        <f t="shared" si="18"/>
        <v>391930002</v>
      </c>
      <c r="H255" s="123">
        <v>224</v>
      </c>
    </row>
    <row r="256" spans="1:8" ht="15.5">
      <c r="A256">
        <f t="shared" si="19"/>
        <v>0</v>
      </c>
      <c r="B256" t="s">
        <v>463</v>
      </c>
      <c r="C256" t="s">
        <v>466</v>
      </c>
      <c r="D256" t="str">
        <f t="shared" si="21"/>
        <v>No</v>
      </c>
      <c r="E256" t="str">
        <f t="shared" si="20"/>
        <v/>
      </c>
      <c r="F256" t="s">
        <v>429</v>
      </c>
      <c r="G256">
        <f t="shared" si="18"/>
        <v>391930002</v>
      </c>
      <c r="H256" s="123">
        <v>225</v>
      </c>
    </row>
    <row r="257" spans="1:8" ht="15.5">
      <c r="A257">
        <f t="shared" si="19"/>
        <v>0</v>
      </c>
      <c r="B257" t="s">
        <v>463</v>
      </c>
      <c r="C257" t="s">
        <v>466</v>
      </c>
      <c r="D257" t="str">
        <f t="shared" si="21"/>
        <v>No</v>
      </c>
      <c r="E257" t="str">
        <f t="shared" si="20"/>
        <v/>
      </c>
      <c r="F257" t="s">
        <v>429</v>
      </c>
      <c r="G257">
        <f t="shared" si="18"/>
        <v>391930002</v>
      </c>
      <c r="H257" s="123">
        <v>226</v>
      </c>
    </row>
    <row r="258" spans="1:8" ht="15.5">
      <c r="A258">
        <f t="shared" si="19"/>
        <v>0</v>
      </c>
      <c r="B258" t="s">
        <v>463</v>
      </c>
      <c r="C258" t="s">
        <v>466</v>
      </c>
      <c r="D258" t="str">
        <f t="shared" si="21"/>
        <v>No</v>
      </c>
      <c r="E258" t="str">
        <f t="shared" si="20"/>
        <v/>
      </c>
      <c r="F258" t="s">
        <v>429</v>
      </c>
      <c r="G258">
        <f t="shared" si="18"/>
        <v>391930002</v>
      </c>
      <c r="H258" s="123">
        <v>227</v>
      </c>
    </row>
    <row r="259" spans="1:8" ht="15.5">
      <c r="A259">
        <f t="shared" si="19"/>
        <v>0</v>
      </c>
      <c r="B259" t="s">
        <v>463</v>
      </c>
      <c r="C259" t="s">
        <v>466</v>
      </c>
      <c r="D259" t="str">
        <f t="shared" si="21"/>
        <v>No</v>
      </c>
      <c r="E259" t="str">
        <f t="shared" si="20"/>
        <v/>
      </c>
      <c r="F259" t="s">
        <v>429</v>
      </c>
      <c r="G259">
        <f t="shared" si="18"/>
        <v>391930002</v>
      </c>
      <c r="H259" s="123">
        <v>228</v>
      </c>
    </row>
    <row r="260" spans="1:8" ht="15.5">
      <c r="A260">
        <f t="shared" si="19"/>
        <v>0</v>
      </c>
      <c r="B260" t="s">
        <v>463</v>
      </c>
      <c r="C260" t="s">
        <v>466</v>
      </c>
      <c r="D260" t="str">
        <f t="shared" si="21"/>
        <v>No</v>
      </c>
      <c r="E260" t="str">
        <f t="shared" si="20"/>
        <v/>
      </c>
      <c r="F260" t="s">
        <v>429</v>
      </c>
      <c r="G260">
        <f t="shared" si="18"/>
        <v>391930002</v>
      </c>
      <c r="H260" s="123">
        <v>229</v>
      </c>
    </row>
    <row r="261" spans="1:8" ht="15.5">
      <c r="A261">
        <f t="shared" si="19"/>
        <v>0</v>
      </c>
      <c r="B261" t="s">
        <v>463</v>
      </c>
      <c r="C261" t="s">
        <v>466</v>
      </c>
      <c r="D261" t="str">
        <f t="shared" si="21"/>
        <v>No</v>
      </c>
      <c r="E261" t="str">
        <f t="shared" si="20"/>
        <v/>
      </c>
      <c r="F261" t="s">
        <v>429</v>
      </c>
      <c r="G261">
        <f t="shared" si="18"/>
        <v>391930002</v>
      </c>
      <c r="H261" s="123">
        <v>230</v>
      </c>
    </row>
    <row r="262" spans="1:8" ht="15.5">
      <c r="A262">
        <f t="shared" si="19"/>
        <v>0</v>
      </c>
      <c r="B262" t="s">
        <v>463</v>
      </c>
      <c r="C262" t="s">
        <v>466</v>
      </c>
      <c r="D262" t="str">
        <f t="shared" si="21"/>
        <v>No</v>
      </c>
      <c r="E262" t="str">
        <f t="shared" si="20"/>
        <v/>
      </c>
      <c r="F262" t="s">
        <v>429</v>
      </c>
      <c r="G262">
        <f t="shared" si="18"/>
        <v>391930002</v>
      </c>
      <c r="H262" s="123">
        <v>231</v>
      </c>
    </row>
    <row r="263" spans="1:8" ht="15.5">
      <c r="A263">
        <f t="shared" si="19"/>
        <v>0</v>
      </c>
      <c r="B263" t="s">
        <v>463</v>
      </c>
      <c r="C263" t="s">
        <v>466</v>
      </c>
      <c r="D263" t="str">
        <f t="shared" si="21"/>
        <v>No</v>
      </c>
      <c r="E263" t="str">
        <f t="shared" si="20"/>
        <v/>
      </c>
      <c r="F263" t="s">
        <v>429</v>
      </c>
      <c r="G263">
        <f t="shared" ref="G263:G326" si="22">INDEX(IssueType,MATCH($F263,IssueTypeName,0),2)</f>
        <v>391930002</v>
      </c>
      <c r="H263" s="123">
        <v>232</v>
      </c>
    </row>
    <row r="264" spans="1:8" ht="15.5">
      <c r="A264">
        <f t="shared" si="19"/>
        <v>0</v>
      </c>
      <c r="B264" t="s">
        <v>463</v>
      </c>
      <c r="C264" t="s">
        <v>466</v>
      </c>
      <c r="D264" t="str">
        <f t="shared" si="21"/>
        <v>No</v>
      </c>
      <c r="E264" t="str">
        <f t="shared" si="20"/>
        <v/>
      </c>
      <c r="F264" t="s">
        <v>429</v>
      </c>
      <c r="G264">
        <f t="shared" si="22"/>
        <v>391930002</v>
      </c>
      <c r="H264" s="123">
        <v>233</v>
      </c>
    </row>
    <row r="265" spans="1:8" ht="15.5">
      <c r="A265">
        <f t="shared" si="19"/>
        <v>0</v>
      </c>
      <c r="B265" t="s">
        <v>463</v>
      </c>
      <c r="C265" t="s">
        <v>466</v>
      </c>
      <c r="D265" t="str">
        <f t="shared" si="21"/>
        <v>No</v>
      </c>
      <c r="E265" t="str">
        <f t="shared" si="20"/>
        <v/>
      </c>
      <c r="F265" t="s">
        <v>429</v>
      </c>
      <c r="G265">
        <f t="shared" si="22"/>
        <v>391930002</v>
      </c>
      <c r="H265" s="123">
        <v>234</v>
      </c>
    </row>
    <row r="266" spans="1:8" ht="15.5">
      <c r="A266">
        <f t="shared" si="19"/>
        <v>0</v>
      </c>
      <c r="B266" t="s">
        <v>463</v>
      </c>
      <c r="C266" t="s">
        <v>466</v>
      </c>
      <c r="D266" t="str">
        <f t="shared" si="21"/>
        <v>No</v>
      </c>
      <c r="E266" t="str">
        <f t="shared" si="20"/>
        <v/>
      </c>
      <c r="F266" t="s">
        <v>429</v>
      </c>
      <c r="G266">
        <f t="shared" si="22"/>
        <v>391930002</v>
      </c>
      <c r="H266" s="123">
        <v>235</v>
      </c>
    </row>
    <row r="267" spans="1:8" ht="15.5">
      <c r="A267">
        <f t="shared" si="19"/>
        <v>0</v>
      </c>
      <c r="B267" t="s">
        <v>463</v>
      </c>
      <c r="C267" t="s">
        <v>466</v>
      </c>
      <c r="D267" t="str">
        <f t="shared" si="21"/>
        <v>No</v>
      </c>
      <c r="E267" t="str">
        <f t="shared" si="20"/>
        <v/>
      </c>
      <c r="F267" t="s">
        <v>429</v>
      </c>
      <c r="G267">
        <f t="shared" si="22"/>
        <v>391930002</v>
      </c>
      <c r="H267" s="123">
        <v>236</v>
      </c>
    </row>
    <row r="268" spans="1:8" ht="15.5">
      <c r="A268">
        <f t="shared" si="19"/>
        <v>0</v>
      </c>
      <c r="B268" t="s">
        <v>463</v>
      </c>
      <c r="C268" t="s">
        <v>466</v>
      </c>
      <c r="D268" t="str">
        <f t="shared" si="21"/>
        <v>No</v>
      </c>
      <c r="E268" t="str">
        <f t="shared" si="20"/>
        <v/>
      </c>
      <c r="F268" t="s">
        <v>429</v>
      </c>
      <c r="G268">
        <f t="shared" si="22"/>
        <v>391930002</v>
      </c>
      <c r="H268" s="123">
        <v>237</v>
      </c>
    </row>
    <row r="269" spans="1:8" ht="15.5">
      <c r="A269">
        <f t="shared" si="19"/>
        <v>0</v>
      </c>
      <c r="B269" t="s">
        <v>463</v>
      </c>
      <c r="C269" t="s">
        <v>466</v>
      </c>
      <c r="D269" t="str">
        <f t="shared" si="21"/>
        <v>No</v>
      </c>
      <c r="E269" t="str">
        <f t="shared" si="20"/>
        <v/>
      </c>
      <c r="F269" t="s">
        <v>429</v>
      </c>
      <c r="G269">
        <f t="shared" si="22"/>
        <v>391930002</v>
      </c>
      <c r="H269" s="123">
        <v>238</v>
      </c>
    </row>
    <row r="270" spans="1:8" ht="15.5">
      <c r="A270">
        <f t="shared" si="19"/>
        <v>0</v>
      </c>
      <c r="B270" t="s">
        <v>463</v>
      </c>
      <c r="C270" t="s">
        <v>466</v>
      </c>
      <c r="D270" t="str">
        <f t="shared" si="21"/>
        <v>No</v>
      </c>
      <c r="E270" t="str">
        <f t="shared" si="20"/>
        <v/>
      </c>
      <c r="F270" t="s">
        <v>429</v>
      </c>
      <c r="G270">
        <f t="shared" si="22"/>
        <v>391930002</v>
      </c>
      <c r="H270" s="123">
        <v>239</v>
      </c>
    </row>
    <row r="271" spans="1:8" ht="15.5">
      <c r="A271">
        <f t="shared" si="19"/>
        <v>0</v>
      </c>
      <c r="B271" t="s">
        <v>463</v>
      </c>
      <c r="C271" t="s">
        <v>466</v>
      </c>
      <c r="D271" t="str">
        <f t="shared" si="21"/>
        <v>No</v>
      </c>
      <c r="E271" t="str">
        <f t="shared" si="20"/>
        <v/>
      </c>
      <c r="F271" t="s">
        <v>429</v>
      </c>
      <c r="G271">
        <f t="shared" si="22"/>
        <v>391930002</v>
      </c>
      <c r="H271" s="123">
        <v>240</v>
      </c>
    </row>
    <row r="272" spans="1:8" ht="15.5">
      <c r="A272">
        <f t="shared" si="19"/>
        <v>0</v>
      </c>
      <c r="B272" t="s">
        <v>463</v>
      </c>
      <c r="C272" t="s">
        <v>466</v>
      </c>
      <c r="D272" t="str">
        <f t="shared" si="21"/>
        <v>No</v>
      </c>
      <c r="E272" t="str">
        <f t="shared" si="20"/>
        <v/>
      </c>
      <c r="F272" t="s">
        <v>429</v>
      </c>
      <c r="G272">
        <f t="shared" si="22"/>
        <v>391930002</v>
      </c>
      <c r="H272" s="123">
        <v>241</v>
      </c>
    </row>
    <row r="273" spans="1:8" ht="15.5">
      <c r="A273">
        <f t="shared" si="19"/>
        <v>0</v>
      </c>
      <c r="B273" t="s">
        <v>463</v>
      </c>
      <c r="C273" t="s">
        <v>466</v>
      </c>
      <c r="D273" t="str">
        <f t="shared" si="21"/>
        <v>No</v>
      </c>
      <c r="E273" t="str">
        <f t="shared" si="20"/>
        <v/>
      </c>
      <c r="F273" t="s">
        <v>429</v>
      </c>
      <c r="G273">
        <f t="shared" si="22"/>
        <v>391930002</v>
      </c>
      <c r="H273" s="123">
        <v>242</v>
      </c>
    </row>
    <row r="274" spans="1:8" ht="15.5">
      <c r="A274">
        <f t="shared" si="19"/>
        <v>0</v>
      </c>
      <c r="B274" t="s">
        <v>463</v>
      </c>
      <c r="C274" t="s">
        <v>466</v>
      </c>
      <c r="D274" t="str">
        <f t="shared" si="21"/>
        <v>No</v>
      </c>
      <c r="E274" t="str">
        <f t="shared" si="20"/>
        <v/>
      </c>
      <c r="F274" t="s">
        <v>429</v>
      </c>
      <c r="G274">
        <f t="shared" si="22"/>
        <v>391930002</v>
      </c>
      <c r="H274" s="123">
        <v>243</v>
      </c>
    </row>
    <row r="275" spans="1:8" ht="15.5">
      <c r="A275">
        <f t="shared" si="19"/>
        <v>0</v>
      </c>
      <c r="B275" t="s">
        <v>463</v>
      </c>
      <c r="C275" t="s">
        <v>466</v>
      </c>
      <c r="D275" t="str">
        <f t="shared" si="21"/>
        <v>No</v>
      </c>
      <c r="E275" t="str">
        <f t="shared" si="20"/>
        <v/>
      </c>
      <c r="F275" t="s">
        <v>429</v>
      </c>
      <c r="G275">
        <f t="shared" si="22"/>
        <v>391930002</v>
      </c>
      <c r="H275" s="123">
        <v>244</v>
      </c>
    </row>
    <row r="276" spans="1:8" ht="15.5">
      <c r="A276">
        <f t="shared" si="19"/>
        <v>0</v>
      </c>
      <c r="B276" t="s">
        <v>463</v>
      </c>
      <c r="C276" t="s">
        <v>466</v>
      </c>
      <c r="D276" t="str">
        <f t="shared" si="21"/>
        <v>No</v>
      </c>
      <c r="E276" t="str">
        <f t="shared" si="20"/>
        <v/>
      </c>
      <c r="F276" t="s">
        <v>429</v>
      </c>
      <c r="G276">
        <f t="shared" si="22"/>
        <v>391930002</v>
      </c>
      <c r="H276" s="123">
        <v>245</v>
      </c>
    </row>
    <row r="277" spans="1:8" ht="15.5">
      <c r="A277">
        <f t="shared" si="19"/>
        <v>0</v>
      </c>
      <c r="B277" t="s">
        <v>463</v>
      </c>
      <c r="C277" t="s">
        <v>466</v>
      </c>
      <c r="D277" t="str">
        <f t="shared" si="21"/>
        <v>No</v>
      </c>
      <c r="E277" t="str">
        <f t="shared" si="20"/>
        <v/>
      </c>
      <c r="F277" t="s">
        <v>429</v>
      </c>
      <c r="G277">
        <f t="shared" si="22"/>
        <v>391930002</v>
      </c>
      <c r="H277" s="123">
        <v>246</v>
      </c>
    </row>
    <row r="278" spans="1:8" ht="15.5">
      <c r="A278">
        <f t="shared" si="19"/>
        <v>0</v>
      </c>
      <c r="B278" t="s">
        <v>463</v>
      </c>
      <c r="C278" t="s">
        <v>466</v>
      </c>
      <c r="D278" t="str">
        <f t="shared" si="21"/>
        <v>No</v>
      </c>
      <c r="E278" t="str">
        <f t="shared" si="20"/>
        <v/>
      </c>
      <c r="F278" t="s">
        <v>429</v>
      </c>
      <c r="G278">
        <f t="shared" si="22"/>
        <v>391930002</v>
      </c>
      <c r="H278" s="123">
        <v>247</v>
      </c>
    </row>
    <row r="279" spans="1:8" ht="15.5">
      <c r="A279">
        <f t="shared" si="19"/>
        <v>0</v>
      </c>
      <c r="B279" t="s">
        <v>463</v>
      </c>
      <c r="C279" t="s">
        <v>466</v>
      </c>
      <c r="D279" t="str">
        <f t="shared" si="21"/>
        <v>No</v>
      </c>
      <c r="E279" t="str">
        <f t="shared" si="20"/>
        <v/>
      </c>
      <c r="F279" t="s">
        <v>429</v>
      </c>
      <c r="G279">
        <f t="shared" si="22"/>
        <v>391930002</v>
      </c>
      <c r="H279" s="123">
        <v>248</v>
      </c>
    </row>
    <row r="280" spans="1:8" ht="15.5">
      <c r="A280">
        <f t="shared" si="19"/>
        <v>0</v>
      </c>
      <c r="B280" t="s">
        <v>463</v>
      </c>
      <c r="C280" t="s">
        <v>466</v>
      </c>
      <c r="D280" t="str">
        <f t="shared" si="21"/>
        <v>No</v>
      </c>
      <c r="E280" t="str">
        <f t="shared" si="20"/>
        <v/>
      </c>
      <c r="F280" t="s">
        <v>429</v>
      </c>
      <c r="G280">
        <f t="shared" si="22"/>
        <v>391930002</v>
      </c>
      <c r="H280" s="123">
        <v>249</v>
      </c>
    </row>
    <row r="281" spans="1:8" ht="15.5">
      <c r="A281">
        <f t="shared" ref="A281:A344" si="23">IF(D281="Yes",1,0)</f>
        <v>0</v>
      </c>
      <c r="B281" t="s">
        <v>463</v>
      </c>
      <c r="C281" t="s">
        <v>466</v>
      </c>
      <c r="D281" t="str">
        <f t="shared" si="21"/>
        <v>No</v>
      </c>
      <c r="E281" t="str">
        <f t="shared" si="20"/>
        <v/>
      </c>
      <c r="F281" t="s">
        <v>429</v>
      </c>
      <c r="G281">
        <f t="shared" si="22"/>
        <v>391930002</v>
      </c>
      <c r="H281" s="123">
        <v>250</v>
      </c>
    </row>
    <row r="282" spans="1:8" ht="15.5">
      <c r="A282">
        <f t="shared" si="23"/>
        <v>0</v>
      </c>
      <c r="B282" t="s">
        <v>463</v>
      </c>
      <c r="C282" t="s">
        <v>466</v>
      </c>
      <c r="D282" t="str">
        <f t="shared" si="21"/>
        <v>No</v>
      </c>
      <c r="E282" t="str">
        <f t="shared" si="20"/>
        <v/>
      </c>
      <c r="F282" t="s">
        <v>429</v>
      </c>
      <c r="G282">
        <f t="shared" si="22"/>
        <v>391930002</v>
      </c>
      <c r="H282" s="123">
        <v>251</v>
      </c>
    </row>
    <row r="283" spans="1:8" ht="15.5">
      <c r="A283">
        <f t="shared" si="23"/>
        <v>0</v>
      </c>
      <c r="B283" t="s">
        <v>463</v>
      </c>
      <c r="C283" t="s">
        <v>466</v>
      </c>
      <c r="D283" t="str">
        <f t="shared" si="21"/>
        <v>No</v>
      </c>
      <c r="E283" t="str">
        <f t="shared" si="20"/>
        <v/>
      </c>
      <c r="F283" t="s">
        <v>429</v>
      </c>
      <c r="G283">
        <f t="shared" si="22"/>
        <v>391930002</v>
      </c>
      <c r="H283" s="123">
        <v>252</v>
      </c>
    </row>
    <row r="284" spans="1:8" ht="15.5">
      <c r="A284">
        <f t="shared" si="23"/>
        <v>0</v>
      </c>
      <c r="B284" t="s">
        <v>463</v>
      </c>
      <c r="C284" t="s">
        <v>466</v>
      </c>
      <c r="D284" t="str">
        <f t="shared" si="21"/>
        <v>No</v>
      </c>
      <c r="E284" t="str">
        <f t="shared" si="20"/>
        <v/>
      </c>
      <c r="F284" t="s">
        <v>429</v>
      </c>
      <c r="G284">
        <f t="shared" si="22"/>
        <v>391930002</v>
      </c>
      <c r="H284" s="123">
        <v>253</v>
      </c>
    </row>
    <row r="285" spans="1:8" ht="15.5">
      <c r="A285">
        <f t="shared" si="23"/>
        <v>0</v>
      </c>
      <c r="B285" t="s">
        <v>463</v>
      </c>
      <c r="C285" t="s">
        <v>466</v>
      </c>
      <c r="D285" t="str">
        <f t="shared" si="21"/>
        <v>No</v>
      </c>
      <c r="E285" t="str">
        <f t="shared" si="20"/>
        <v/>
      </c>
      <c r="F285" t="s">
        <v>429</v>
      </c>
      <c r="G285">
        <f t="shared" si="22"/>
        <v>391930002</v>
      </c>
      <c r="H285" s="123">
        <v>254</v>
      </c>
    </row>
    <row r="286" spans="1:8" ht="15.5">
      <c r="A286">
        <f t="shared" si="23"/>
        <v>0</v>
      </c>
      <c r="B286" t="s">
        <v>463</v>
      </c>
      <c r="C286" t="s">
        <v>466</v>
      </c>
      <c r="D286" t="str">
        <f t="shared" si="21"/>
        <v>No</v>
      </c>
      <c r="E286" t="str">
        <f t="shared" si="20"/>
        <v/>
      </c>
      <c r="F286" t="s">
        <v>429</v>
      </c>
      <c r="G286">
        <f t="shared" si="22"/>
        <v>391930002</v>
      </c>
      <c r="H286" s="123">
        <v>255</v>
      </c>
    </row>
    <row r="287" spans="1:8" ht="15.5">
      <c r="A287">
        <f t="shared" si="23"/>
        <v>0</v>
      </c>
      <c r="B287" t="s">
        <v>463</v>
      </c>
      <c r="C287" t="s">
        <v>466</v>
      </c>
      <c r="D287" t="str">
        <f t="shared" si="21"/>
        <v>No</v>
      </c>
      <c r="E287" t="str">
        <f t="shared" si="20"/>
        <v/>
      </c>
      <c r="F287" t="s">
        <v>429</v>
      </c>
      <c r="G287">
        <f t="shared" si="22"/>
        <v>391930002</v>
      </c>
      <c r="H287" s="123">
        <v>256</v>
      </c>
    </row>
    <row r="288" spans="1:8" ht="15.5">
      <c r="A288">
        <f t="shared" si="23"/>
        <v>0</v>
      </c>
      <c r="B288" t="s">
        <v>463</v>
      </c>
      <c r="C288" t="s">
        <v>466</v>
      </c>
      <c r="D288" t="str">
        <f t="shared" si="21"/>
        <v>No</v>
      </c>
      <c r="E288" t="str">
        <f t="shared" ref="E288:E351" si="24">IF($D$11="Yes","",INDEX(ErrorCheck,MATCH($H288,ErrorCheckPlotNumber,0),MATCH($C288,ErrorCheckTitle,0)))</f>
        <v/>
      </c>
      <c r="F288" t="s">
        <v>429</v>
      </c>
      <c r="G288">
        <f t="shared" si="22"/>
        <v>391930002</v>
      </c>
      <c r="H288" s="123">
        <v>257</v>
      </c>
    </row>
    <row r="289" spans="1:8" ht="15.5">
      <c r="A289">
        <f t="shared" si="23"/>
        <v>0</v>
      </c>
      <c r="B289" t="s">
        <v>463</v>
      </c>
      <c r="C289" t="s">
        <v>466</v>
      </c>
      <c r="D289" t="str">
        <f t="shared" ref="D289:D352" si="25">IF(E289="", "No", "Yes")</f>
        <v>No</v>
      </c>
      <c r="E289" t="str">
        <f t="shared" si="24"/>
        <v/>
      </c>
      <c r="F289" t="s">
        <v>429</v>
      </c>
      <c r="G289">
        <f t="shared" si="22"/>
        <v>391930002</v>
      </c>
      <c r="H289" s="123">
        <v>258</v>
      </c>
    </row>
    <row r="290" spans="1:8" ht="15.5">
      <c r="A290">
        <f t="shared" si="23"/>
        <v>0</v>
      </c>
      <c r="B290" t="s">
        <v>463</v>
      </c>
      <c r="C290" t="s">
        <v>466</v>
      </c>
      <c r="D290" t="str">
        <f t="shared" si="25"/>
        <v>No</v>
      </c>
      <c r="E290" t="str">
        <f t="shared" si="24"/>
        <v/>
      </c>
      <c r="F290" t="s">
        <v>429</v>
      </c>
      <c r="G290">
        <f t="shared" si="22"/>
        <v>391930002</v>
      </c>
      <c r="H290" s="123">
        <v>259</v>
      </c>
    </row>
    <row r="291" spans="1:8" ht="15.5">
      <c r="A291">
        <f t="shared" si="23"/>
        <v>0</v>
      </c>
      <c r="B291" t="s">
        <v>463</v>
      </c>
      <c r="C291" t="s">
        <v>466</v>
      </c>
      <c r="D291" t="str">
        <f t="shared" si="25"/>
        <v>No</v>
      </c>
      <c r="E291" t="str">
        <f t="shared" si="24"/>
        <v/>
      </c>
      <c r="F291" t="s">
        <v>429</v>
      </c>
      <c r="G291">
        <f t="shared" si="22"/>
        <v>391930002</v>
      </c>
      <c r="H291" s="123">
        <v>260</v>
      </c>
    </row>
    <row r="292" spans="1:8" ht="15.5">
      <c r="A292">
        <f t="shared" si="23"/>
        <v>0</v>
      </c>
      <c r="B292" t="s">
        <v>463</v>
      </c>
      <c r="C292" t="s">
        <v>466</v>
      </c>
      <c r="D292" t="str">
        <f t="shared" si="25"/>
        <v>No</v>
      </c>
      <c r="E292" t="str">
        <f t="shared" si="24"/>
        <v/>
      </c>
      <c r="F292" t="s">
        <v>429</v>
      </c>
      <c r="G292">
        <f t="shared" si="22"/>
        <v>391930002</v>
      </c>
      <c r="H292" s="123">
        <v>261</v>
      </c>
    </row>
    <row r="293" spans="1:8" ht="15.5">
      <c r="A293">
        <f t="shared" si="23"/>
        <v>0</v>
      </c>
      <c r="B293" t="s">
        <v>463</v>
      </c>
      <c r="C293" t="s">
        <v>466</v>
      </c>
      <c r="D293" t="str">
        <f t="shared" si="25"/>
        <v>No</v>
      </c>
      <c r="E293" t="str">
        <f t="shared" si="24"/>
        <v/>
      </c>
      <c r="F293" t="s">
        <v>429</v>
      </c>
      <c r="G293">
        <f t="shared" si="22"/>
        <v>391930002</v>
      </c>
      <c r="H293" s="123">
        <v>262</v>
      </c>
    </row>
    <row r="294" spans="1:8" ht="15.5">
      <c r="A294">
        <f t="shared" si="23"/>
        <v>0</v>
      </c>
      <c r="B294" t="s">
        <v>463</v>
      </c>
      <c r="C294" t="s">
        <v>466</v>
      </c>
      <c r="D294" t="str">
        <f t="shared" si="25"/>
        <v>No</v>
      </c>
      <c r="E294" t="str">
        <f t="shared" si="24"/>
        <v/>
      </c>
      <c r="F294" t="s">
        <v>429</v>
      </c>
      <c r="G294">
        <f t="shared" si="22"/>
        <v>391930002</v>
      </c>
      <c r="H294" s="123">
        <v>263</v>
      </c>
    </row>
    <row r="295" spans="1:8" ht="15.5">
      <c r="A295">
        <f t="shared" si="23"/>
        <v>0</v>
      </c>
      <c r="B295" t="s">
        <v>463</v>
      </c>
      <c r="C295" t="s">
        <v>466</v>
      </c>
      <c r="D295" t="str">
        <f t="shared" si="25"/>
        <v>No</v>
      </c>
      <c r="E295" t="str">
        <f t="shared" si="24"/>
        <v/>
      </c>
      <c r="F295" t="s">
        <v>429</v>
      </c>
      <c r="G295">
        <f t="shared" si="22"/>
        <v>391930002</v>
      </c>
      <c r="H295" s="123">
        <v>264</v>
      </c>
    </row>
    <row r="296" spans="1:8" ht="15.5">
      <c r="A296">
        <f t="shared" si="23"/>
        <v>0</v>
      </c>
      <c r="B296" t="s">
        <v>463</v>
      </c>
      <c r="C296" t="s">
        <v>466</v>
      </c>
      <c r="D296" t="str">
        <f t="shared" si="25"/>
        <v>No</v>
      </c>
      <c r="E296" t="str">
        <f t="shared" si="24"/>
        <v/>
      </c>
      <c r="F296" t="s">
        <v>429</v>
      </c>
      <c r="G296">
        <f t="shared" si="22"/>
        <v>391930002</v>
      </c>
      <c r="H296" s="123">
        <v>265</v>
      </c>
    </row>
    <row r="297" spans="1:8" ht="15.5">
      <c r="A297">
        <f t="shared" si="23"/>
        <v>0</v>
      </c>
      <c r="B297" t="s">
        <v>463</v>
      </c>
      <c r="C297" t="s">
        <v>466</v>
      </c>
      <c r="D297" t="str">
        <f t="shared" si="25"/>
        <v>No</v>
      </c>
      <c r="E297" t="str">
        <f t="shared" si="24"/>
        <v/>
      </c>
      <c r="F297" t="s">
        <v>429</v>
      </c>
      <c r="G297">
        <f t="shared" si="22"/>
        <v>391930002</v>
      </c>
      <c r="H297" s="123">
        <v>266</v>
      </c>
    </row>
    <row r="298" spans="1:8" ht="15.5">
      <c r="A298">
        <f t="shared" si="23"/>
        <v>0</v>
      </c>
      <c r="B298" t="s">
        <v>463</v>
      </c>
      <c r="C298" t="s">
        <v>466</v>
      </c>
      <c r="D298" t="str">
        <f t="shared" si="25"/>
        <v>No</v>
      </c>
      <c r="E298" t="str">
        <f t="shared" si="24"/>
        <v/>
      </c>
      <c r="F298" t="s">
        <v>429</v>
      </c>
      <c r="G298">
        <f t="shared" si="22"/>
        <v>391930002</v>
      </c>
      <c r="H298" s="123">
        <v>267</v>
      </c>
    </row>
    <row r="299" spans="1:8" ht="15.5">
      <c r="A299">
        <f t="shared" si="23"/>
        <v>0</v>
      </c>
      <c r="B299" t="s">
        <v>463</v>
      </c>
      <c r="C299" t="s">
        <v>466</v>
      </c>
      <c r="D299" t="str">
        <f t="shared" si="25"/>
        <v>No</v>
      </c>
      <c r="E299" t="str">
        <f t="shared" si="24"/>
        <v/>
      </c>
      <c r="F299" t="s">
        <v>429</v>
      </c>
      <c r="G299">
        <f t="shared" si="22"/>
        <v>391930002</v>
      </c>
      <c r="H299" s="123">
        <v>268</v>
      </c>
    </row>
    <row r="300" spans="1:8" ht="15.5">
      <c r="A300">
        <f t="shared" si="23"/>
        <v>0</v>
      </c>
      <c r="B300" t="s">
        <v>463</v>
      </c>
      <c r="C300" t="s">
        <v>466</v>
      </c>
      <c r="D300" t="str">
        <f t="shared" si="25"/>
        <v>No</v>
      </c>
      <c r="E300" t="str">
        <f t="shared" si="24"/>
        <v/>
      </c>
      <c r="F300" t="s">
        <v>429</v>
      </c>
      <c r="G300">
        <f t="shared" si="22"/>
        <v>391930002</v>
      </c>
      <c r="H300" s="123">
        <v>269</v>
      </c>
    </row>
    <row r="301" spans="1:8" ht="15.5">
      <c r="A301">
        <f t="shared" si="23"/>
        <v>0</v>
      </c>
      <c r="B301" t="s">
        <v>463</v>
      </c>
      <c r="C301" t="s">
        <v>466</v>
      </c>
      <c r="D301" t="str">
        <f t="shared" si="25"/>
        <v>No</v>
      </c>
      <c r="E301" t="str">
        <f t="shared" si="24"/>
        <v/>
      </c>
      <c r="F301" t="s">
        <v>429</v>
      </c>
      <c r="G301">
        <f t="shared" si="22"/>
        <v>391930002</v>
      </c>
      <c r="H301" s="123">
        <v>270</v>
      </c>
    </row>
    <row r="302" spans="1:8" ht="15.5">
      <c r="A302">
        <f t="shared" si="23"/>
        <v>0</v>
      </c>
      <c r="B302" t="s">
        <v>463</v>
      </c>
      <c r="C302" t="s">
        <v>466</v>
      </c>
      <c r="D302" t="str">
        <f t="shared" si="25"/>
        <v>No</v>
      </c>
      <c r="E302" t="str">
        <f t="shared" si="24"/>
        <v/>
      </c>
      <c r="F302" t="s">
        <v>429</v>
      </c>
      <c r="G302">
        <f t="shared" si="22"/>
        <v>391930002</v>
      </c>
      <c r="H302" s="123">
        <v>271</v>
      </c>
    </row>
    <row r="303" spans="1:8" ht="15.5">
      <c r="A303">
        <f t="shared" si="23"/>
        <v>0</v>
      </c>
      <c r="B303" t="s">
        <v>463</v>
      </c>
      <c r="C303" t="s">
        <v>466</v>
      </c>
      <c r="D303" t="str">
        <f t="shared" si="25"/>
        <v>No</v>
      </c>
      <c r="E303" t="str">
        <f t="shared" si="24"/>
        <v/>
      </c>
      <c r="F303" t="s">
        <v>429</v>
      </c>
      <c r="G303">
        <f t="shared" si="22"/>
        <v>391930002</v>
      </c>
      <c r="H303" s="123">
        <v>272</v>
      </c>
    </row>
    <row r="304" spans="1:8" ht="15.5">
      <c r="A304">
        <f t="shared" si="23"/>
        <v>0</v>
      </c>
      <c r="B304" t="s">
        <v>463</v>
      </c>
      <c r="C304" t="s">
        <v>466</v>
      </c>
      <c r="D304" t="str">
        <f t="shared" si="25"/>
        <v>No</v>
      </c>
      <c r="E304" t="str">
        <f t="shared" si="24"/>
        <v/>
      </c>
      <c r="F304" t="s">
        <v>429</v>
      </c>
      <c r="G304">
        <f t="shared" si="22"/>
        <v>391930002</v>
      </c>
      <c r="H304" s="123">
        <v>273</v>
      </c>
    </row>
    <row r="305" spans="1:8" ht="15.5">
      <c r="A305">
        <f t="shared" si="23"/>
        <v>0</v>
      </c>
      <c r="B305" t="s">
        <v>463</v>
      </c>
      <c r="C305" t="s">
        <v>466</v>
      </c>
      <c r="D305" t="str">
        <f t="shared" si="25"/>
        <v>No</v>
      </c>
      <c r="E305" t="str">
        <f t="shared" si="24"/>
        <v/>
      </c>
      <c r="F305" t="s">
        <v>429</v>
      </c>
      <c r="G305">
        <f t="shared" si="22"/>
        <v>391930002</v>
      </c>
      <c r="H305" s="123">
        <v>274</v>
      </c>
    </row>
    <row r="306" spans="1:8" ht="15.5">
      <c r="A306">
        <f t="shared" si="23"/>
        <v>0</v>
      </c>
      <c r="B306" t="s">
        <v>463</v>
      </c>
      <c r="C306" t="s">
        <v>466</v>
      </c>
      <c r="D306" t="str">
        <f t="shared" si="25"/>
        <v>No</v>
      </c>
      <c r="E306" t="str">
        <f t="shared" si="24"/>
        <v/>
      </c>
      <c r="F306" t="s">
        <v>429</v>
      </c>
      <c r="G306">
        <f t="shared" si="22"/>
        <v>391930002</v>
      </c>
      <c r="H306" s="123">
        <v>275</v>
      </c>
    </row>
    <row r="307" spans="1:8" ht="15.5">
      <c r="A307">
        <f t="shared" si="23"/>
        <v>0</v>
      </c>
      <c r="B307" t="s">
        <v>463</v>
      </c>
      <c r="C307" t="s">
        <v>466</v>
      </c>
      <c r="D307" t="str">
        <f t="shared" si="25"/>
        <v>No</v>
      </c>
      <c r="E307" t="str">
        <f t="shared" si="24"/>
        <v/>
      </c>
      <c r="F307" t="s">
        <v>429</v>
      </c>
      <c r="G307">
        <f t="shared" si="22"/>
        <v>391930002</v>
      </c>
      <c r="H307" s="123">
        <v>276</v>
      </c>
    </row>
    <row r="308" spans="1:8" ht="15.5">
      <c r="A308">
        <f t="shared" si="23"/>
        <v>0</v>
      </c>
      <c r="B308" t="s">
        <v>463</v>
      </c>
      <c r="C308" t="s">
        <v>466</v>
      </c>
      <c r="D308" t="str">
        <f t="shared" si="25"/>
        <v>No</v>
      </c>
      <c r="E308" t="str">
        <f t="shared" si="24"/>
        <v/>
      </c>
      <c r="F308" t="s">
        <v>429</v>
      </c>
      <c r="G308">
        <f t="shared" si="22"/>
        <v>391930002</v>
      </c>
      <c r="H308" s="123">
        <v>277</v>
      </c>
    </row>
    <row r="309" spans="1:8" ht="15.5">
      <c r="A309">
        <f t="shared" si="23"/>
        <v>0</v>
      </c>
      <c r="B309" t="s">
        <v>463</v>
      </c>
      <c r="C309" t="s">
        <v>466</v>
      </c>
      <c r="D309" t="str">
        <f t="shared" si="25"/>
        <v>No</v>
      </c>
      <c r="E309" t="str">
        <f t="shared" si="24"/>
        <v/>
      </c>
      <c r="F309" t="s">
        <v>429</v>
      </c>
      <c r="G309">
        <f t="shared" si="22"/>
        <v>391930002</v>
      </c>
      <c r="H309" s="123">
        <v>278</v>
      </c>
    </row>
    <row r="310" spans="1:8" ht="15.5">
      <c r="A310">
        <f t="shared" si="23"/>
        <v>0</v>
      </c>
      <c r="B310" t="s">
        <v>463</v>
      </c>
      <c r="C310" t="s">
        <v>466</v>
      </c>
      <c r="D310" t="str">
        <f t="shared" si="25"/>
        <v>No</v>
      </c>
      <c r="E310" t="str">
        <f t="shared" si="24"/>
        <v/>
      </c>
      <c r="F310" t="s">
        <v>429</v>
      </c>
      <c r="G310">
        <f t="shared" si="22"/>
        <v>391930002</v>
      </c>
      <c r="H310" s="123">
        <v>279</v>
      </c>
    </row>
    <row r="311" spans="1:8" ht="15.5">
      <c r="A311">
        <f t="shared" si="23"/>
        <v>0</v>
      </c>
      <c r="B311" t="s">
        <v>463</v>
      </c>
      <c r="C311" t="s">
        <v>466</v>
      </c>
      <c r="D311" t="str">
        <f t="shared" si="25"/>
        <v>No</v>
      </c>
      <c r="E311" t="str">
        <f t="shared" si="24"/>
        <v/>
      </c>
      <c r="F311" t="s">
        <v>429</v>
      </c>
      <c r="G311">
        <f t="shared" si="22"/>
        <v>391930002</v>
      </c>
      <c r="H311" s="123">
        <v>280</v>
      </c>
    </row>
    <row r="312" spans="1:8" ht="15.5">
      <c r="A312">
        <f t="shared" si="23"/>
        <v>0</v>
      </c>
      <c r="B312" t="s">
        <v>463</v>
      </c>
      <c r="C312" t="s">
        <v>466</v>
      </c>
      <c r="D312" t="str">
        <f t="shared" si="25"/>
        <v>No</v>
      </c>
      <c r="E312" t="str">
        <f t="shared" si="24"/>
        <v/>
      </c>
      <c r="F312" t="s">
        <v>429</v>
      </c>
      <c r="G312">
        <f t="shared" si="22"/>
        <v>391930002</v>
      </c>
      <c r="H312" s="123">
        <v>281</v>
      </c>
    </row>
    <row r="313" spans="1:8" ht="15.5">
      <c r="A313">
        <f t="shared" si="23"/>
        <v>0</v>
      </c>
      <c r="B313" t="s">
        <v>463</v>
      </c>
      <c r="C313" t="s">
        <v>466</v>
      </c>
      <c r="D313" t="str">
        <f t="shared" si="25"/>
        <v>No</v>
      </c>
      <c r="E313" t="str">
        <f t="shared" si="24"/>
        <v/>
      </c>
      <c r="F313" t="s">
        <v>429</v>
      </c>
      <c r="G313">
        <f t="shared" si="22"/>
        <v>391930002</v>
      </c>
      <c r="H313" s="123">
        <v>282</v>
      </c>
    </row>
    <row r="314" spans="1:8" ht="15.5">
      <c r="A314">
        <f t="shared" si="23"/>
        <v>0</v>
      </c>
      <c r="B314" t="s">
        <v>463</v>
      </c>
      <c r="C314" t="s">
        <v>466</v>
      </c>
      <c r="D314" t="str">
        <f t="shared" si="25"/>
        <v>No</v>
      </c>
      <c r="E314" t="str">
        <f t="shared" si="24"/>
        <v/>
      </c>
      <c r="F314" t="s">
        <v>429</v>
      </c>
      <c r="G314">
        <f t="shared" si="22"/>
        <v>391930002</v>
      </c>
      <c r="H314" s="123">
        <v>283</v>
      </c>
    </row>
    <row r="315" spans="1:8" ht="15.5">
      <c r="A315">
        <f t="shared" si="23"/>
        <v>0</v>
      </c>
      <c r="B315" t="s">
        <v>463</v>
      </c>
      <c r="C315" t="s">
        <v>466</v>
      </c>
      <c r="D315" t="str">
        <f t="shared" si="25"/>
        <v>No</v>
      </c>
      <c r="E315" t="str">
        <f t="shared" si="24"/>
        <v/>
      </c>
      <c r="F315" t="s">
        <v>429</v>
      </c>
      <c r="G315">
        <f t="shared" si="22"/>
        <v>391930002</v>
      </c>
      <c r="H315" s="123">
        <v>284</v>
      </c>
    </row>
    <row r="316" spans="1:8" ht="15.5">
      <c r="A316">
        <f t="shared" si="23"/>
        <v>0</v>
      </c>
      <c r="B316" t="s">
        <v>463</v>
      </c>
      <c r="C316" t="s">
        <v>466</v>
      </c>
      <c r="D316" t="str">
        <f t="shared" si="25"/>
        <v>No</v>
      </c>
      <c r="E316" t="str">
        <f t="shared" si="24"/>
        <v/>
      </c>
      <c r="F316" t="s">
        <v>429</v>
      </c>
      <c r="G316">
        <f t="shared" si="22"/>
        <v>391930002</v>
      </c>
      <c r="H316" s="123">
        <v>285</v>
      </c>
    </row>
    <row r="317" spans="1:8" ht="15.5">
      <c r="A317">
        <f t="shared" si="23"/>
        <v>0</v>
      </c>
      <c r="B317" t="s">
        <v>463</v>
      </c>
      <c r="C317" t="s">
        <v>466</v>
      </c>
      <c r="D317" t="str">
        <f t="shared" si="25"/>
        <v>No</v>
      </c>
      <c r="E317" t="str">
        <f t="shared" si="24"/>
        <v/>
      </c>
      <c r="F317" t="s">
        <v>429</v>
      </c>
      <c r="G317">
        <f t="shared" si="22"/>
        <v>391930002</v>
      </c>
      <c r="H317" s="123">
        <v>286</v>
      </c>
    </row>
    <row r="318" spans="1:8" ht="15.5">
      <c r="A318">
        <f t="shared" si="23"/>
        <v>0</v>
      </c>
      <c r="B318" t="s">
        <v>463</v>
      </c>
      <c r="C318" t="s">
        <v>466</v>
      </c>
      <c r="D318" t="str">
        <f t="shared" si="25"/>
        <v>No</v>
      </c>
      <c r="E318" t="str">
        <f t="shared" si="24"/>
        <v/>
      </c>
      <c r="F318" t="s">
        <v>429</v>
      </c>
      <c r="G318">
        <f t="shared" si="22"/>
        <v>391930002</v>
      </c>
      <c r="H318" s="123">
        <v>287</v>
      </c>
    </row>
    <row r="319" spans="1:8" ht="15.5">
      <c r="A319">
        <f t="shared" si="23"/>
        <v>0</v>
      </c>
      <c r="B319" t="s">
        <v>463</v>
      </c>
      <c r="C319" t="s">
        <v>466</v>
      </c>
      <c r="D319" t="str">
        <f t="shared" si="25"/>
        <v>No</v>
      </c>
      <c r="E319" t="str">
        <f t="shared" si="24"/>
        <v/>
      </c>
      <c r="F319" t="s">
        <v>429</v>
      </c>
      <c r="G319">
        <f t="shared" si="22"/>
        <v>391930002</v>
      </c>
      <c r="H319" s="123">
        <v>288</v>
      </c>
    </row>
    <row r="320" spans="1:8" ht="15.5">
      <c r="A320">
        <f t="shared" si="23"/>
        <v>0</v>
      </c>
      <c r="B320" t="s">
        <v>463</v>
      </c>
      <c r="C320" t="s">
        <v>466</v>
      </c>
      <c r="D320" t="str">
        <f t="shared" si="25"/>
        <v>No</v>
      </c>
      <c r="E320" t="str">
        <f t="shared" si="24"/>
        <v/>
      </c>
      <c r="F320" t="s">
        <v>429</v>
      </c>
      <c r="G320">
        <f t="shared" si="22"/>
        <v>391930002</v>
      </c>
      <c r="H320" s="123">
        <v>289</v>
      </c>
    </row>
    <row r="321" spans="1:8" ht="15.5">
      <c r="A321">
        <f t="shared" si="23"/>
        <v>0</v>
      </c>
      <c r="B321" t="s">
        <v>463</v>
      </c>
      <c r="C321" t="s">
        <v>466</v>
      </c>
      <c r="D321" t="str">
        <f t="shared" si="25"/>
        <v>No</v>
      </c>
      <c r="E321" t="str">
        <f t="shared" si="24"/>
        <v/>
      </c>
      <c r="F321" t="s">
        <v>429</v>
      </c>
      <c r="G321">
        <f t="shared" si="22"/>
        <v>391930002</v>
      </c>
      <c r="H321" s="123">
        <v>290</v>
      </c>
    </row>
    <row r="322" spans="1:8" ht="15.5">
      <c r="A322">
        <f t="shared" si="23"/>
        <v>0</v>
      </c>
      <c r="B322" t="s">
        <v>463</v>
      </c>
      <c r="C322" t="s">
        <v>466</v>
      </c>
      <c r="D322" t="str">
        <f t="shared" si="25"/>
        <v>No</v>
      </c>
      <c r="E322" t="str">
        <f t="shared" si="24"/>
        <v/>
      </c>
      <c r="F322" t="s">
        <v>429</v>
      </c>
      <c r="G322">
        <f t="shared" si="22"/>
        <v>391930002</v>
      </c>
      <c r="H322" s="123">
        <v>291</v>
      </c>
    </row>
    <row r="323" spans="1:8" ht="15.5">
      <c r="A323">
        <f t="shared" si="23"/>
        <v>0</v>
      </c>
      <c r="B323" t="s">
        <v>463</v>
      </c>
      <c r="C323" t="s">
        <v>466</v>
      </c>
      <c r="D323" t="str">
        <f t="shared" si="25"/>
        <v>No</v>
      </c>
      <c r="E323" t="str">
        <f t="shared" si="24"/>
        <v/>
      </c>
      <c r="F323" t="s">
        <v>429</v>
      </c>
      <c r="G323">
        <f t="shared" si="22"/>
        <v>391930002</v>
      </c>
      <c r="H323" s="123">
        <v>292</v>
      </c>
    </row>
    <row r="324" spans="1:8" ht="15.5">
      <c r="A324">
        <f t="shared" si="23"/>
        <v>0</v>
      </c>
      <c r="B324" t="s">
        <v>463</v>
      </c>
      <c r="C324" t="s">
        <v>466</v>
      </c>
      <c r="D324" t="str">
        <f t="shared" si="25"/>
        <v>No</v>
      </c>
      <c r="E324" t="str">
        <f t="shared" si="24"/>
        <v/>
      </c>
      <c r="F324" t="s">
        <v>429</v>
      </c>
      <c r="G324">
        <f t="shared" si="22"/>
        <v>391930002</v>
      </c>
      <c r="H324" s="123">
        <v>293</v>
      </c>
    </row>
    <row r="325" spans="1:8" ht="15.5">
      <c r="A325">
        <f t="shared" si="23"/>
        <v>0</v>
      </c>
      <c r="B325" t="s">
        <v>463</v>
      </c>
      <c r="C325" t="s">
        <v>466</v>
      </c>
      <c r="D325" t="str">
        <f t="shared" si="25"/>
        <v>No</v>
      </c>
      <c r="E325" t="str">
        <f t="shared" si="24"/>
        <v/>
      </c>
      <c r="F325" t="s">
        <v>429</v>
      </c>
      <c r="G325">
        <f t="shared" si="22"/>
        <v>391930002</v>
      </c>
      <c r="H325" s="123">
        <v>294</v>
      </c>
    </row>
    <row r="326" spans="1:8" ht="15.5">
      <c r="A326">
        <f t="shared" si="23"/>
        <v>0</v>
      </c>
      <c r="B326" t="s">
        <v>463</v>
      </c>
      <c r="C326" t="s">
        <v>466</v>
      </c>
      <c r="D326" t="str">
        <f t="shared" si="25"/>
        <v>No</v>
      </c>
      <c r="E326" t="str">
        <f t="shared" si="24"/>
        <v/>
      </c>
      <c r="F326" t="s">
        <v>429</v>
      </c>
      <c r="G326">
        <f t="shared" si="22"/>
        <v>391930002</v>
      </c>
      <c r="H326" s="123">
        <v>295</v>
      </c>
    </row>
    <row r="327" spans="1:8" ht="15.5">
      <c r="A327">
        <f t="shared" si="23"/>
        <v>0</v>
      </c>
      <c r="B327" t="s">
        <v>463</v>
      </c>
      <c r="C327" t="s">
        <v>466</v>
      </c>
      <c r="D327" t="str">
        <f t="shared" si="25"/>
        <v>No</v>
      </c>
      <c r="E327" t="str">
        <f t="shared" si="24"/>
        <v/>
      </c>
      <c r="F327" t="s">
        <v>429</v>
      </c>
      <c r="G327">
        <f t="shared" ref="G327:G390" si="26">INDEX(IssueType,MATCH($F327,IssueTypeName,0),2)</f>
        <v>391930002</v>
      </c>
      <c r="H327" s="123">
        <v>296</v>
      </c>
    </row>
    <row r="328" spans="1:8" ht="15.5">
      <c r="A328">
        <f t="shared" si="23"/>
        <v>0</v>
      </c>
      <c r="B328" t="s">
        <v>463</v>
      </c>
      <c r="C328" t="s">
        <v>466</v>
      </c>
      <c r="D328" t="str">
        <f t="shared" si="25"/>
        <v>No</v>
      </c>
      <c r="E328" t="str">
        <f t="shared" si="24"/>
        <v/>
      </c>
      <c r="F328" t="s">
        <v>429</v>
      </c>
      <c r="G328">
        <f t="shared" si="26"/>
        <v>391930002</v>
      </c>
      <c r="H328" s="123">
        <v>297</v>
      </c>
    </row>
    <row r="329" spans="1:8" ht="15.5">
      <c r="A329">
        <f t="shared" si="23"/>
        <v>0</v>
      </c>
      <c r="B329" t="s">
        <v>463</v>
      </c>
      <c r="C329" t="s">
        <v>466</v>
      </c>
      <c r="D329" t="str">
        <f t="shared" si="25"/>
        <v>No</v>
      </c>
      <c r="E329" t="str">
        <f t="shared" si="24"/>
        <v/>
      </c>
      <c r="F329" t="s">
        <v>429</v>
      </c>
      <c r="G329">
        <f t="shared" si="26"/>
        <v>391930002</v>
      </c>
      <c r="H329" s="123">
        <v>298</v>
      </c>
    </row>
    <row r="330" spans="1:8" ht="15.5">
      <c r="A330">
        <f t="shared" si="23"/>
        <v>0</v>
      </c>
      <c r="B330" t="s">
        <v>463</v>
      </c>
      <c r="C330" t="s">
        <v>466</v>
      </c>
      <c r="D330" t="str">
        <f t="shared" si="25"/>
        <v>No</v>
      </c>
      <c r="E330" t="str">
        <f t="shared" si="24"/>
        <v/>
      </c>
      <c r="F330" t="s">
        <v>429</v>
      </c>
      <c r="G330">
        <f t="shared" si="26"/>
        <v>391930002</v>
      </c>
      <c r="H330" s="123">
        <v>299</v>
      </c>
    </row>
    <row r="331" spans="1:8" ht="15.5">
      <c r="A331">
        <f t="shared" si="23"/>
        <v>0</v>
      </c>
      <c r="B331" t="s">
        <v>463</v>
      </c>
      <c r="C331" t="s">
        <v>466</v>
      </c>
      <c r="D331" t="str">
        <f t="shared" si="25"/>
        <v>No</v>
      </c>
      <c r="E331" t="str">
        <f t="shared" si="24"/>
        <v/>
      </c>
      <c r="F331" t="s">
        <v>429</v>
      </c>
      <c r="G331">
        <f t="shared" si="26"/>
        <v>391930002</v>
      </c>
      <c r="H331" s="123">
        <v>300</v>
      </c>
    </row>
    <row r="332" spans="1:8" ht="15.5">
      <c r="A332">
        <f t="shared" si="23"/>
        <v>0</v>
      </c>
      <c r="B332" t="s">
        <v>463</v>
      </c>
      <c r="C332" t="s">
        <v>466</v>
      </c>
      <c r="D332" t="str">
        <f t="shared" si="25"/>
        <v>No</v>
      </c>
      <c r="E332" t="str">
        <f t="shared" si="24"/>
        <v/>
      </c>
      <c r="F332" t="s">
        <v>429</v>
      </c>
      <c r="G332">
        <f t="shared" si="26"/>
        <v>391930002</v>
      </c>
      <c r="H332" s="123">
        <v>301</v>
      </c>
    </row>
    <row r="333" spans="1:8" ht="15.5">
      <c r="A333">
        <f t="shared" si="23"/>
        <v>0</v>
      </c>
      <c r="B333" t="s">
        <v>463</v>
      </c>
      <c r="C333" t="s">
        <v>466</v>
      </c>
      <c r="D333" t="str">
        <f t="shared" si="25"/>
        <v>No</v>
      </c>
      <c r="E333" t="str">
        <f t="shared" si="24"/>
        <v/>
      </c>
      <c r="F333" t="s">
        <v>429</v>
      </c>
      <c r="G333">
        <f t="shared" si="26"/>
        <v>391930002</v>
      </c>
      <c r="H333" s="123">
        <v>302</v>
      </c>
    </row>
    <row r="334" spans="1:8" ht="15.5">
      <c r="A334">
        <f t="shared" si="23"/>
        <v>0</v>
      </c>
      <c r="B334" t="s">
        <v>463</v>
      </c>
      <c r="C334" t="s">
        <v>466</v>
      </c>
      <c r="D334" t="str">
        <f t="shared" si="25"/>
        <v>No</v>
      </c>
      <c r="E334" t="str">
        <f t="shared" si="24"/>
        <v/>
      </c>
      <c r="F334" t="s">
        <v>429</v>
      </c>
      <c r="G334">
        <f t="shared" si="26"/>
        <v>391930002</v>
      </c>
      <c r="H334" s="123">
        <v>303</v>
      </c>
    </row>
    <row r="335" spans="1:8" ht="15.5">
      <c r="A335">
        <f t="shared" si="23"/>
        <v>0</v>
      </c>
      <c r="B335" t="s">
        <v>463</v>
      </c>
      <c r="C335" t="s">
        <v>466</v>
      </c>
      <c r="D335" t="str">
        <f t="shared" si="25"/>
        <v>No</v>
      </c>
      <c r="E335" t="str">
        <f t="shared" si="24"/>
        <v/>
      </c>
      <c r="F335" t="s">
        <v>429</v>
      </c>
      <c r="G335">
        <f t="shared" si="26"/>
        <v>391930002</v>
      </c>
      <c r="H335" s="123">
        <v>304</v>
      </c>
    </row>
    <row r="336" spans="1:8" ht="15.5">
      <c r="A336">
        <f t="shared" si="23"/>
        <v>0</v>
      </c>
      <c r="B336" t="s">
        <v>463</v>
      </c>
      <c r="C336" t="s">
        <v>466</v>
      </c>
      <c r="D336" t="str">
        <f t="shared" si="25"/>
        <v>No</v>
      </c>
      <c r="E336" t="str">
        <f t="shared" si="24"/>
        <v/>
      </c>
      <c r="F336" t="s">
        <v>429</v>
      </c>
      <c r="G336">
        <f t="shared" si="26"/>
        <v>391930002</v>
      </c>
      <c r="H336" s="123">
        <v>305</v>
      </c>
    </row>
    <row r="337" spans="1:8" ht="15.5">
      <c r="A337">
        <f t="shared" si="23"/>
        <v>0</v>
      </c>
      <c r="B337" t="s">
        <v>463</v>
      </c>
      <c r="C337" t="s">
        <v>466</v>
      </c>
      <c r="D337" t="str">
        <f t="shared" si="25"/>
        <v>No</v>
      </c>
      <c r="E337" t="str">
        <f t="shared" si="24"/>
        <v/>
      </c>
      <c r="F337" t="s">
        <v>429</v>
      </c>
      <c r="G337">
        <f t="shared" si="26"/>
        <v>391930002</v>
      </c>
      <c r="H337" s="123">
        <v>306</v>
      </c>
    </row>
    <row r="338" spans="1:8" ht="15.5">
      <c r="A338">
        <f t="shared" si="23"/>
        <v>0</v>
      </c>
      <c r="B338" t="s">
        <v>463</v>
      </c>
      <c r="C338" t="s">
        <v>466</v>
      </c>
      <c r="D338" t="str">
        <f t="shared" si="25"/>
        <v>No</v>
      </c>
      <c r="E338" t="str">
        <f t="shared" si="24"/>
        <v/>
      </c>
      <c r="F338" t="s">
        <v>429</v>
      </c>
      <c r="G338">
        <f t="shared" si="26"/>
        <v>391930002</v>
      </c>
      <c r="H338" s="123">
        <v>307</v>
      </c>
    </row>
    <row r="339" spans="1:8" ht="15.5">
      <c r="A339">
        <f t="shared" si="23"/>
        <v>0</v>
      </c>
      <c r="B339" t="s">
        <v>463</v>
      </c>
      <c r="C339" t="s">
        <v>466</v>
      </c>
      <c r="D339" t="str">
        <f t="shared" si="25"/>
        <v>No</v>
      </c>
      <c r="E339" t="str">
        <f t="shared" si="24"/>
        <v/>
      </c>
      <c r="F339" t="s">
        <v>429</v>
      </c>
      <c r="G339">
        <f t="shared" si="26"/>
        <v>391930002</v>
      </c>
      <c r="H339" s="123">
        <v>308</v>
      </c>
    </row>
    <row r="340" spans="1:8" ht="15.5">
      <c r="A340">
        <f t="shared" si="23"/>
        <v>0</v>
      </c>
      <c r="B340" t="s">
        <v>463</v>
      </c>
      <c r="C340" t="s">
        <v>466</v>
      </c>
      <c r="D340" t="str">
        <f t="shared" si="25"/>
        <v>No</v>
      </c>
      <c r="E340" t="str">
        <f t="shared" si="24"/>
        <v/>
      </c>
      <c r="F340" t="s">
        <v>429</v>
      </c>
      <c r="G340">
        <f t="shared" si="26"/>
        <v>391930002</v>
      </c>
      <c r="H340" s="123">
        <v>309</v>
      </c>
    </row>
    <row r="341" spans="1:8" ht="15.5">
      <c r="A341">
        <f t="shared" si="23"/>
        <v>0</v>
      </c>
      <c r="B341" t="s">
        <v>463</v>
      </c>
      <c r="C341" t="s">
        <v>466</v>
      </c>
      <c r="D341" t="str">
        <f t="shared" si="25"/>
        <v>No</v>
      </c>
      <c r="E341" t="str">
        <f t="shared" si="24"/>
        <v/>
      </c>
      <c r="F341" t="s">
        <v>429</v>
      </c>
      <c r="G341">
        <f t="shared" si="26"/>
        <v>391930002</v>
      </c>
      <c r="H341" s="123">
        <v>310</v>
      </c>
    </row>
    <row r="342" spans="1:8" ht="15.5">
      <c r="A342">
        <f t="shared" si="23"/>
        <v>0</v>
      </c>
      <c r="B342" t="s">
        <v>463</v>
      </c>
      <c r="C342" t="s">
        <v>466</v>
      </c>
      <c r="D342" t="str">
        <f t="shared" si="25"/>
        <v>No</v>
      </c>
      <c r="E342" t="str">
        <f t="shared" si="24"/>
        <v/>
      </c>
      <c r="F342" t="s">
        <v>429</v>
      </c>
      <c r="G342">
        <f t="shared" si="26"/>
        <v>391930002</v>
      </c>
      <c r="H342" s="123">
        <v>311</v>
      </c>
    </row>
    <row r="343" spans="1:8" ht="15.5">
      <c r="A343">
        <f t="shared" si="23"/>
        <v>0</v>
      </c>
      <c r="B343" t="s">
        <v>463</v>
      </c>
      <c r="C343" t="s">
        <v>466</v>
      </c>
      <c r="D343" t="str">
        <f t="shared" si="25"/>
        <v>No</v>
      </c>
      <c r="E343" t="str">
        <f t="shared" si="24"/>
        <v/>
      </c>
      <c r="F343" t="s">
        <v>429</v>
      </c>
      <c r="G343">
        <f t="shared" si="26"/>
        <v>391930002</v>
      </c>
      <c r="H343" s="123">
        <v>312</v>
      </c>
    </row>
    <row r="344" spans="1:8" ht="15.5">
      <c r="A344">
        <f t="shared" si="23"/>
        <v>0</v>
      </c>
      <c r="B344" t="s">
        <v>463</v>
      </c>
      <c r="C344" t="s">
        <v>466</v>
      </c>
      <c r="D344" t="str">
        <f t="shared" si="25"/>
        <v>No</v>
      </c>
      <c r="E344" t="str">
        <f t="shared" si="24"/>
        <v/>
      </c>
      <c r="F344" t="s">
        <v>429</v>
      </c>
      <c r="G344">
        <f t="shared" si="26"/>
        <v>391930002</v>
      </c>
      <c r="H344" s="123">
        <v>313</v>
      </c>
    </row>
    <row r="345" spans="1:8" ht="15.5">
      <c r="A345">
        <f t="shared" ref="A345:A408" si="27">IF(D345="Yes",1,0)</f>
        <v>0</v>
      </c>
      <c r="B345" t="s">
        <v>463</v>
      </c>
      <c r="C345" t="s">
        <v>466</v>
      </c>
      <c r="D345" t="str">
        <f t="shared" si="25"/>
        <v>No</v>
      </c>
      <c r="E345" t="str">
        <f t="shared" si="24"/>
        <v/>
      </c>
      <c r="F345" t="s">
        <v>429</v>
      </c>
      <c r="G345">
        <f t="shared" si="26"/>
        <v>391930002</v>
      </c>
      <c r="H345" s="123">
        <v>314</v>
      </c>
    </row>
    <row r="346" spans="1:8" ht="15.5">
      <c r="A346">
        <f t="shared" si="27"/>
        <v>0</v>
      </c>
      <c r="B346" t="s">
        <v>463</v>
      </c>
      <c r="C346" t="s">
        <v>466</v>
      </c>
      <c r="D346" t="str">
        <f t="shared" si="25"/>
        <v>No</v>
      </c>
      <c r="E346" t="str">
        <f t="shared" si="24"/>
        <v/>
      </c>
      <c r="F346" t="s">
        <v>429</v>
      </c>
      <c r="G346">
        <f t="shared" si="26"/>
        <v>391930002</v>
      </c>
      <c r="H346" s="123">
        <v>315</v>
      </c>
    </row>
    <row r="347" spans="1:8" ht="15.5">
      <c r="A347">
        <f t="shared" si="27"/>
        <v>0</v>
      </c>
      <c r="B347" t="s">
        <v>463</v>
      </c>
      <c r="C347" t="s">
        <v>466</v>
      </c>
      <c r="D347" t="str">
        <f t="shared" si="25"/>
        <v>No</v>
      </c>
      <c r="E347" t="str">
        <f t="shared" si="24"/>
        <v/>
      </c>
      <c r="F347" t="s">
        <v>429</v>
      </c>
      <c r="G347">
        <f t="shared" si="26"/>
        <v>391930002</v>
      </c>
      <c r="H347" s="123">
        <v>316</v>
      </c>
    </row>
    <row r="348" spans="1:8" ht="15.5">
      <c r="A348">
        <f t="shared" si="27"/>
        <v>0</v>
      </c>
      <c r="B348" t="s">
        <v>463</v>
      </c>
      <c r="C348" t="s">
        <v>466</v>
      </c>
      <c r="D348" t="str">
        <f t="shared" si="25"/>
        <v>No</v>
      </c>
      <c r="E348" t="str">
        <f t="shared" si="24"/>
        <v/>
      </c>
      <c r="F348" t="s">
        <v>429</v>
      </c>
      <c r="G348">
        <f t="shared" si="26"/>
        <v>391930002</v>
      </c>
      <c r="H348" s="123">
        <v>317</v>
      </c>
    </row>
    <row r="349" spans="1:8" ht="15.5">
      <c r="A349">
        <f t="shared" si="27"/>
        <v>0</v>
      </c>
      <c r="B349" t="s">
        <v>463</v>
      </c>
      <c r="C349" t="s">
        <v>466</v>
      </c>
      <c r="D349" t="str">
        <f t="shared" si="25"/>
        <v>No</v>
      </c>
      <c r="E349" t="str">
        <f t="shared" si="24"/>
        <v/>
      </c>
      <c r="F349" t="s">
        <v>429</v>
      </c>
      <c r="G349">
        <f t="shared" si="26"/>
        <v>391930002</v>
      </c>
      <c r="H349" s="123">
        <v>318</v>
      </c>
    </row>
    <row r="350" spans="1:8" ht="15.5">
      <c r="A350">
        <f t="shared" si="27"/>
        <v>0</v>
      </c>
      <c r="B350" t="s">
        <v>463</v>
      </c>
      <c r="C350" t="s">
        <v>466</v>
      </c>
      <c r="D350" t="str">
        <f t="shared" si="25"/>
        <v>No</v>
      </c>
      <c r="E350" t="str">
        <f t="shared" si="24"/>
        <v/>
      </c>
      <c r="F350" t="s">
        <v>429</v>
      </c>
      <c r="G350">
        <f t="shared" si="26"/>
        <v>391930002</v>
      </c>
      <c r="H350" s="123">
        <v>319</v>
      </c>
    </row>
    <row r="351" spans="1:8" ht="15.5">
      <c r="A351">
        <f t="shared" si="27"/>
        <v>0</v>
      </c>
      <c r="B351" t="s">
        <v>463</v>
      </c>
      <c r="C351" t="s">
        <v>466</v>
      </c>
      <c r="D351" t="str">
        <f t="shared" si="25"/>
        <v>No</v>
      </c>
      <c r="E351" t="str">
        <f t="shared" si="24"/>
        <v/>
      </c>
      <c r="F351" t="s">
        <v>429</v>
      </c>
      <c r="G351">
        <f t="shared" si="26"/>
        <v>391930002</v>
      </c>
      <c r="H351" s="123">
        <v>320</v>
      </c>
    </row>
    <row r="352" spans="1:8" ht="15.5">
      <c r="A352">
        <f t="shared" si="27"/>
        <v>0</v>
      </c>
      <c r="B352" t="s">
        <v>463</v>
      </c>
      <c r="C352" t="s">
        <v>466</v>
      </c>
      <c r="D352" t="str">
        <f t="shared" si="25"/>
        <v>No</v>
      </c>
      <c r="E352" t="str">
        <f t="shared" ref="E352:E415" si="28">IF($D$11="Yes","",INDEX(ErrorCheck,MATCH($H352,ErrorCheckPlotNumber,0),MATCH($C352,ErrorCheckTitle,0)))</f>
        <v/>
      </c>
      <c r="F352" t="s">
        <v>429</v>
      </c>
      <c r="G352">
        <f t="shared" si="26"/>
        <v>391930002</v>
      </c>
      <c r="H352" s="123">
        <v>321</v>
      </c>
    </row>
    <row r="353" spans="1:8" ht="15.5">
      <c r="A353">
        <f t="shared" si="27"/>
        <v>0</v>
      </c>
      <c r="B353" t="s">
        <v>463</v>
      </c>
      <c r="C353" t="s">
        <v>466</v>
      </c>
      <c r="D353" t="str">
        <f t="shared" ref="D353:D416" si="29">IF(E353="", "No", "Yes")</f>
        <v>No</v>
      </c>
      <c r="E353" t="str">
        <f t="shared" si="28"/>
        <v/>
      </c>
      <c r="F353" t="s">
        <v>429</v>
      </c>
      <c r="G353">
        <f t="shared" si="26"/>
        <v>391930002</v>
      </c>
      <c r="H353" s="123">
        <v>322</v>
      </c>
    </row>
    <row r="354" spans="1:8" ht="15.5">
      <c r="A354">
        <f t="shared" si="27"/>
        <v>0</v>
      </c>
      <c r="B354" t="s">
        <v>463</v>
      </c>
      <c r="C354" t="s">
        <v>466</v>
      </c>
      <c r="D354" t="str">
        <f t="shared" si="29"/>
        <v>No</v>
      </c>
      <c r="E354" t="str">
        <f t="shared" si="28"/>
        <v/>
      </c>
      <c r="F354" t="s">
        <v>429</v>
      </c>
      <c r="G354">
        <f t="shared" si="26"/>
        <v>391930002</v>
      </c>
      <c r="H354" s="123">
        <v>323</v>
      </c>
    </row>
    <row r="355" spans="1:8" ht="15.5">
      <c r="A355">
        <f t="shared" si="27"/>
        <v>0</v>
      </c>
      <c r="B355" t="s">
        <v>463</v>
      </c>
      <c r="C355" t="s">
        <v>466</v>
      </c>
      <c r="D355" t="str">
        <f t="shared" si="29"/>
        <v>No</v>
      </c>
      <c r="E355" t="str">
        <f t="shared" si="28"/>
        <v/>
      </c>
      <c r="F355" t="s">
        <v>429</v>
      </c>
      <c r="G355">
        <f t="shared" si="26"/>
        <v>391930002</v>
      </c>
      <c r="H355" s="123">
        <v>324</v>
      </c>
    </row>
    <row r="356" spans="1:8" ht="15.5">
      <c r="A356">
        <f t="shared" si="27"/>
        <v>0</v>
      </c>
      <c r="B356" t="s">
        <v>463</v>
      </c>
      <c r="C356" t="s">
        <v>466</v>
      </c>
      <c r="D356" t="str">
        <f t="shared" si="29"/>
        <v>No</v>
      </c>
      <c r="E356" t="str">
        <f t="shared" si="28"/>
        <v/>
      </c>
      <c r="F356" t="s">
        <v>429</v>
      </c>
      <c r="G356">
        <f t="shared" si="26"/>
        <v>391930002</v>
      </c>
      <c r="H356" s="123">
        <v>325</v>
      </c>
    </row>
    <row r="357" spans="1:8" ht="15.5">
      <c r="A357">
        <f t="shared" si="27"/>
        <v>0</v>
      </c>
      <c r="B357" t="s">
        <v>463</v>
      </c>
      <c r="C357" t="s">
        <v>466</v>
      </c>
      <c r="D357" t="str">
        <f t="shared" si="29"/>
        <v>No</v>
      </c>
      <c r="E357" t="str">
        <f t="shared" si="28"/>
        <v/>
      </c>
      <c r="F357" t="s">
        <v>429</v>
      </c>
      <c r="G357">
        <f t="shared" si="26"/>
        <v>391930002</v>
      </c>
      <c r="H357" s="123">
        <v>326</v>
      </c>
    </row>
    <row r="358" spans="1:8" ht="15.5">
      <c r="A358">
        <f t="shared" si="27"/>
        <v>0</v>
      </c>
      <c r="B358" t="s">
        <v>463</v>
      </c>
      <c r="C358" t="s">
        <v>466</v>
      </c>
      <c r="D358" t="str">
        <f t="shared" si="29"/>
        <v>No</v>
      </c>
      <c r="E358" t="str">
        <f t="shared" si="28"/>
        <v/>
      </c>
      <c r="F358" t="s">
        <v>429</v>
      </c>
      <c r="G358">
        <f t="shared" si="26"/>
        <v>391930002</v>
      </c>
      <c r="H358" s="123">
        <v>327</v>
      </c>
    </row>
    <row r="359" spans="1:8" ht="15.5">
      <c r="A359">
        <f t="shared" si="27"/>
        <v>0</v>
      </c>
      <c r="B359" t="s">
        <v>463</v>
      </c>
      <c r="C359" t="s">
        <v>466</v>
      </c>
      <c r="D359" t="str">
        <f t="shared" si="29"/>
        <v>No</v>
      </c>
      <c r="E359" t="str">
        <f t="shared" si="28"/>
        <v/>
      </c>
      <c r="F359" t="s">
        <v>429</v>
      </c>
      <c r="G359">
        <f t="shared" si="26"/>
        <v>391930002</v>
      </c>
      <c r="H359" s="123">
        <v>328</v>
      </c>
    </row>
    <row r="360" spans="1:8" ht="15.5">
      <c r="A360">
        <f t="shared" si="27"/>
        <v>0</v>
      </c>
      <c r="B360" t="s">
        <v>463</v>
      </c>
      <c r="C360" t="s">
        <v>466</v>
      </c>
      <c r="D360" t="str">
        <f t="shared" si="29"/>
        <v>No</v>
      </c>
      <c r="E360" t="str">
        <f t="shared" si="28"/>
        <v/>
      </c>
      <c r="F360" t="s">
        <v>429</v>
      </c>
      <c r="G360">
        <f t="shared" si="26"/>
        <v>391930002</v>
      </c>
      <c r="H360" s="123">
        <v>329</v>
      </c>
    </row>
    <row r="361" spans="1:8" ht="15.5">
      <c r="A361">
        <f t="shared" si="27"/>
        <v>0</v>
      </c>
      <c r="B361" t="s">
        <v>463</v>
      </c>
      <c r="C361" t="s">
        <v>466</v>
      </c>
      <c r="D361" t="str">
        <f t="shared" si="29"/>
        <v>No</v>
      </c>
      <c r="E361" t="str">
        <f t="shared" si="28"/>
        <v/>
      </c>
      <c r="F361" t="s">
        <v>429</v>
      </c>
      <c r="G361">
        <f t="shared" si="26"/>
        <v>391930002</v>
      </c>
      <c r="H361" s="123">
        <v>330</v>
      </c>
    </row>
    <row r="362" spans="1:8" ht="15.5">
      <c r="A362">
        <f t="shared" si="27"/>
        <v>0</v>
      </c>
      <c r="B362" t="s">
        <v>463</v>
      </c>
      <c r="C362" t="s">
        <v>466</v>
      </c>
      <c r="D362" t="str">
        <f t="shared" si="29"/>
        <v>No</v>
      </c>
      <c r="E362" t="str">
        <f t="shared" si="28"/>
        <v/>
      </c>
      <c r="F362" t="s">
        <v>429</v>
      </c>
      <c r="G362">
        <f t="shared" si="26"/>
        <v>391930002</v>
      </c>
      <c r="H362" s="123">
        <v>331</v>
      </c>
    </row>
    <row r="363" spans="1:8" ht="15.5">
      <c r="A363">
        <f t="shared" si="27"/>
        <v>0</v>
      </c>
      <c r="B363" t="s">
        <v>463</v>
      </c>
      <c r="C363" t="s">
        <v>466</v>
      </c>
      <c r="D363" t="str">
        <f t="shared" si="29"/>
        <v>No</v>
      </c>
      <c r="E363" t="str">
        <f t="shared" si="28"/>
        <v/>
      </c>
      <c r="F363" t="s">
        <v>429</v>
      </c>
      <c r="G363">
        <f t="shared" si="26"/>
        <v>391930002</v>
      </c>
      <c r="H363" s="123">
        <v>332</v>
      </c>
    </row>
    <row r="364" spans="1:8" ht="15.5">
      <c r="A364">
        <f t="shared" si="27"/>
        <v>0</v>
      </c>
      <c r="B364" t="s">
        <v>463</v>
      </c>
      <c r="C364" t="s">
        <v>466</v>
      </c>
      <c r="D364" t="str">
        <f t="shared" si="29"/>
        <v>No</v>
      </c>
      <c r="E364" t="str">
        <f t="shared" si="28"/>
        <v/>
      </c>
      <c r="F364" t="s">
        <v>429</v>
      </c>
      <c r="G364">
        <f t="shared" si="26"/>
        <v>391930002</v>
      </c>
      <c r="H364" s="123">
        <v>333</v>
      </c>
    </row>
    <row r="365" spans="1:8" ht="15.5">
      <c r="A365">
        <f t="shared" si="27"/>
        <v>0</v>
      </c>
      <c r="B365" t="s">
        <v>463</v>
      </c>
      <c r="C365" t="s">
        <v>466</v>
      </c>
      <c r="D365" t="str">
        <f t="shared" si="29"/>
        <v>No</v>
      </c>
      <c r="E365" t="str">
        <f t="shared" si="28"/>
        <v/>
      </c>
      <c r="F365" t="s">
        <v>429</v>
      </c>
      <c r="G365">
        <f t="shared" si="26"/>
        <v>391930002</v>
      </c>
      <c r="H365" s="123">
        <v>334</v>
      </c>
    </row>
    <row r="366" spans="1:8" ht="15.5">
      <c r="A366">
        <f t="shared" si="27"/>
        <v>0</v>
      </c>
      <c r="B366" t="s">
        <v>463</v>
      </c>
      <c r="C366" t="s">
        <v>466</v>
      </c>
      <c r="D366" t="str">
        <f t="shared" si="29"/>
        <v>No</v>
      </c>
      <c r="E366" t="str">
        <f t="shared" si="28"/>
        <v/>
      </c>
      <c r="F366" t="s">
        <v>429</v>
      </c>
      <c r="G366">
        <f t="shared" si="26"/>
        <v>391930002</v>
      </c>
      <c r="H366" s="123">
        <v>335</v>
      </c>
    </row>
    <row r="367" spans="1:8" ht="15.5">
      <c r="A367">
        <f t="shared" si="27"/>
        <v>0</v>
      </c>
      <c r="B367" t="s">
        <v>463</v>
      </c>
      <c r="C367" t="s">
        <v>466</v>
      </c>
      <c r="D367" t="str">
        <f t="shared" si="29"/>
        <v>No</v>
      </c>
      <c r="E367" t="str">
        <f t="shared" si="28"/>
        <v/>
      </c>
      <c r="F367" t="s">
        <v>429</v>
      </c>
      <c r="G367">
        <f t="shared" si="26"/>
        <v>391930002</v>
      </c>
      <c r="H367" s="123">
        <v>336</v>
      </c>
    </row>
    <row r="368" spans="1:8" ht="15.5">
      <c r="A368">
        <f t="shared" si="27"/>
        <v>0</v>
      </c>
      <c r="B368" t="s">
        <v>463</v>
      </c>
      <c r="C368" t="s">
        <v>466</v>
      </c>
      <c r="D368" t="str">
        <f t="shared" si="29"/>
        <v>No</v>
      </c>
      <c r="E368" t="str">
        <f t="shared" si="28"/>
        <v/>
      </c>
      <c r="F368" t="s">
        <v>429</v>
      </c>
      <c r="G368">
        <f t="shared" si="26"/>
        <v>391930002</v>
      </c>
      <c r="H368" s="123">
        <v>337</v>
      </c>
    </row>
    <row r="369" spans="1:8" ht="15.5">
      <c r="A369">
        <f t="shared" si="27"/>
        <v>0</v>
      </c>
      <c r="B369" t="s">
        <v>463</v>
      </c>
      <c r="C369" t="s">
        <v>466</v>
      </c>
      <c r="D369" t="str">
        <f t="shared" si="29"/>
        <v>No</v>
      </c>
      <c r="E369" t="str">
        <f t="shared" si="28"/>
        <v/>
      </c>
      <c r="F369" t="s">
        <v>429</v>
      </c>
      <c r="G369">
        <f t="shared" si="26"/>
        <v>391930002</v>
      </c>
      <c r="H369" s="123">
        <v>338</v>
      </c>
    </row>
    <row r="370" spans="1:8" ht="15.5">
      <c r="A370">
        <f t="shared" si="27"/>
        <v>0</v>
      </c>
      <c r="B370" t="s">
        <v>463</v>
      </c>
      <c r="C370" t="s">
        <v>466</v>
      </c>
      <c r="D370" t="str">
        <f t="shared" si="29"/>
        <v>No</v>
      </c>
      <c r="E370" t="str">
        <f t="shared" si="28"/>
        <v/>
      </c>
      <c r="F370" t="s">
        <v>429</v>
      </c>
      <c r="G370">
        <f t="shared" si="26"/>
        <v>391930002</v>
      </c>
      <c r="H370" s="123">
        <v>339</v>
      </c>
    </row>
    <row r="371" spans="1:8" ht="15.5">
      <c r="A371">
        <f t="shared" si="27"/>
        <v>0</v>
      </c>
      <c r="B371" t="s">
        <v>463</v>
      </c>
      <c r="C371" t="s">
        <v>466</v>
      </c>
      <c r="D371" t="str">
        <f t="shared" si="29"/>
        <v>No</v>
      </c>
      <c r="E371" t="str">
        <f t="shared" si="28"/>
        <v/>
      </c>
      <c r="F371" t="s">
        <v>429</v>
      </c>
      <c r="G371">
        <f t="shared" si="26"/>
        <v>391930002</v>
      </c>
      <c r="H371" s="123">
        <v>340</v>
      </c>
    </row>
    <row r="372" spans="1:8" ht="15.5">
      <c r="A372">
        <f t="shared" si="27"/>
        <v>0</v>
      </c>
      <c r="B372" t="s">
        <v>463</v>
      </c>
      <c r="C372" t="s">
        <v>466</v>
      </c>
      <c r="D372" t="str">
        <f t="shared" si="29"/>
        <v>No</v>
      </c>
      <c r="E372" t="str">
        <f t="shared" si="28"/>
        <v/>
      </c>
      <c r="F372" t="s">
        <v>429</v>
      </c>
      <c r="G372">
        <f t="shared" si="26"/>
        <v>391930002</v>
      </c>
      <c r="H372" s="123">
        <v>341</v>
      </c>
    </row>
    <row r="373" spans="1:8" ht="15.5">
      <c r="A373">
        <f t="shared" si="27"/>
        <v>0</v>
      </c>
      <c r="B373" t="s">
        <v>463</v>
      </c>
      <c r="C373" t="s">
        <v>466</v>
      </c>
      <c r="D373" t="str">
        <f t="shared" si="29"/>
        <v>No</v>
      </c>
      <c r="E373" t="str">
        <f t="shared" si="28"/>
        <v/>
      </c>
      <c r="F373" t="s">
        <v>429</v>
      </c>
      <c r="G373">
        <f t="shared" si="26"/>
        <v>391930002</v>
      </c>
      <c r="H373" s="123">
        <v>342</v>
      </c>
    </row>
    <row r="374" spans="1:8" ht="15.5">
      <c r="A374">
        <f t="shared" si="27"/>
        <v>0</v>
      </c>
      <c r="B374" t="s">
        <v>463</v>
      </c>
      <c r="C374" t="s">
        <v>466</v>
      </c>
      <c r="D374" t="str">
        <f t="shared" si="29"/>
        <v>No</v>
      </c>
      <c r="E374" t="str">
        <f t="shared" si="28"/>
        <v/>
      </c>
      <c r="F374" t="s">
        <v>429</v>
      </c>
      <c r="G374">
        <f t="shared" si="26"/>
        <v>391930002</v>
      </c>
      <c r="H374" s="123">
        <v>343</v>
      </c>
    </row>
    <row r="375" spans="1:8" ht="15.5">
      <c r="A375">
        <f t="shared" si="27"/>
        <v>0</v>
      </c>
      <c r="B375" t="s">
        <v>463</v>
      </c>
      <c r="C375" t="s">
        <v>466</v>
      </c>
      <c r="D375" t="str">
        <f t="shared" si="29"/>
        <v>No</v>
      </c>
      <c r="E375" t="str">
        <f t="shared" si="28"/>
        <v/>
      </c>
      <c r="F375" t="s">
        <v>429</v>
      </c>
      <c r="G375">
        <f t="shared" si="26"/>
        <v>391930002</v>
      </c>
      <c r="H375" s="123">
        <v>344</v>
      </c>
    </row>
    <row r="376" spans="1:8" ht="15.5">
      <c r="A376">
        <f t="shared" si="27"/>
        <v>0</v>
      </c>
      <c r="B376" t="s">
        <v>463</v>
      </c>
      <c r="C376" t="s">
        <v>466</v>
      </c>
      <c r="D376" t="str">
        <f t="shared" si="29"/>
        <v>No</v>
      </c>
      <c r="E376" t="str">
        <f t="shared" si="28"/>
        <v/>
      </c>
      <c r="F376" t="s">
        <v>429</v>
      </c>
      <c r="G376">
        <f t="shared" si="26"/>
        <v>391930002</v>
      </c>
      <c r="H376" s="123">
        <v>345</v>
      </c>
    </row>
    <row r="377" spans="1:8" ht="15.5">
      <c r="A377">
        <f t="shared" si="27"/>
        <v>0</v>
      </c>
      <c r="B377" t="s">
        <v>463</v>
      </c>
      <c r="C377" t="s">
        <v>466</v>
      </c>
      <c r="D377" t="str">
        <f t="shared" si="29"/>
        <v>No</v>
      </c>
      <c r="E377" t="str">
        <f t="shared" si="28"/>
        <v/>
      </c>
      <c r="F377" t="s">
        <v>429</v>
      </c>
      <c r="G377">
        <f t="shared" si="26"/>
        <v>391930002</v>
      </c>
      <c r="H377" s="123">
        <v>346</v>
      </c>
    </row>
    <row r="378" spans="1:8" ht="15.5">
      <c r="A378">
        <f t="shared" si="27"/>
        <v>0</v>
      </c>
      <c r="B378" t="s">
        <v>463</v>
      </c>
      <c r="C378" t="s">
        <v>466</v>
      </c>
      <c r="D378" t="str">
        <f t="shared" si="29"/>
        <v>No</v>
      </c>
      <c r="E378" t="str">
        <f t="shared" si="28"/>
        <v/>
      </c>
      <c r="F378" t="s">
        <v>429</v>
      </c>
      <c r="G378">
        <f t="shared" si="26"/>
        <v>391930002</v>
      </c>
      <c r="H378" s="123">
        <v>347</v>
      </c>
    </row>
    <row r="379" spans="1:8" ht="15.5">
      <c r="A379">
        <f t="shared" si="27"/>
        <v>0</v>
      </c>
      <c r="B379" t="s">
        <v>463</v>
      </c>
      <c r="C379" t="s">
        <v>466</v>
      </c>
      <c r="D379" t="str">
        <f t="shared" si="29"/>
        <v>No</v>
      </c>
      <c r="E379" t="str">
        <f t="shared" si="28"/>
        <v/>
      </c>
      <c r="F379" t="s">
        <v>429</v>
      </c>
      <c r="G379">
        <f t="shared" si="26"/>
        <v>391930002</v>
      </c>
      <c r="H379" s="123">
        <v>348</v>
      </c>
    </row>
    <row r="380" spans="1:8" ht="15.5">
      <c r="A380">
        <f t="shared" si="27"/>
        <v>0</v>
      </c>
      <c r="B380" t="s">
        <v>463</v>
      </c>
      <c r="C380" t="s">
        <v>466</v>
      </c>
      <c r="D380" t="str">
        <f t="shared" si="29"/>
        <v>No</v>
      </c>
      <c r="E380" t="str">
        <f t="shared" si="28"/>
        <v/>
      </c>
      <c r="F380" t="s">
        <v>429</v>
      </c>
      <c r="G380">
        <f t="shared" si="26"/>
        <v>391930002</v>
      </c>
      <c r="H380" s="123">
        <v>349</v>
      </c>
    </row>
    <row r="381" spans="1:8" ht="15.5">
      <c r="A381">
        <f t="shared" si="27"/>
        <v>0</v>
      </c>
      <c r="B381" t="s">
        <v>463</v>
      </c>
      <c r="C381" t="s">
        <v>466</v>
      </c>
      <c r="D381" t="str">
        <f t="shared" si="29"/>
        <v>No</v>
      </c>
      <c r="E381" t="str">
        <f t="shared" si="28"/>
        <v/>
      </c>
      <c r="F381" t="s">
        <v>429</v>
      </c>
      <c r="G381">
        <f t="shared" si="26"/>
        <v>391930002</v>
      </c>
      <c r="H381" s="123">
        <v>350</v>
      </c>
    </row>
    <row r="382" spans="1:8" ht="15.5">
      <c r="A382">
        <f t="shared" si="27"/>
        <v>0</v>
      </c>
      <c r="B382" t="s">
        <v>463</v>
      </c>
      <c r="C382" t="s">
        <v>466</v>
      </c>
      <c r="D382" t="str">
        <f t="shared" si="29"/>
        <v>No</v>
      </c>
      <c r="E382" t="str">
        <f t="shared" si="28"/>
        <v/>
      </c>
      <c r="F382" t="s">
        <v>429</v>
      </c>
      <c r="G382">
        <f t="shared" si="26"/>
        <v>391930002</v>
      </c>
      <c r="H382" s="123">
        <v>351</v>
      </c>
    </row>
    <row r="383" spans="1:8" ht="15.5">
      <c r="A383">
        <f t="shared" si="27"/>
        <v>0</v>
      </c>
      <c r="B383" t="s">
        <v>463</v>
      </c>
      <c r="C383" t="s">
        <v>466</v>
      </c>
      <c r="D383" t="str">
        <f t="shared" si="29"/>
        <v>No</v>
      </c>
      <c r="E383" t="str">
        <f t="shared" si="28"/>
        <v/>
      </c>
      <c r="F383" t="s">
        <v>429</v>
      </c>
      <c r="G383">
        <f t="shared" si="26"/>
        <v>391930002</v>
      </c>
      <c r="H383" s="123">
        <v>352</v>
      </c>
    </row>
    <row r="384" spans="1:8" ht="15.5">
      <c r="A384">
        <f t="shared" si="27"/>
        <v>0</v>
      </c>
      <c r="B384" t="s">
        <v>463</v>
      </c>
      <c r="C384" t="s">
        <v>466</v>
      </c>
      <c r="D384" t="str">
        <f t="shared" si="29"/>
        <v>No</v>
      </c>
      <c r="E384" t="str">
        <f t="shared" si="28"/>
        <v/>
      </c>
      <c r="F384" t="s">
        <v>429</v>
      </c>
      <c r="G384">
        <f t="shared" si="26"/>
        <v>391930002</v>
      </c>
      <c r="H384" s="123">
        <v>353</v>
      </c>
    </row>
    <row r="385" spans="1:8" ht="15.5">
      <c r="A385">
        <f t="shared" si="27"/>
        <v>0</v>
      </c>
      <c r="B385" t="s">
        <v>463</v>
      </c>
      <c r="C385" t="s">
        <v>466</v>
      </c>
      <c r="D385" t="str">
        <f t="shared" si="29"/>
        <v>No</v>
      </c>
      <c r="E385" t="str">
        <f t="shared" si="28"/>
        <v/>
      </c>
      <c r="F385" t="s">
        <v>429</v>
      </c>
      <c r="G385">
        <f t="shared" si="26"/>
        <v>391930002</v>
      </c>
      <c r="H385" s="123">
        <v>354</v>
      </c>
    </row>
    <row r="386" spans="1:8" ht="15.5">
      <c r="A386">
        <f t="shared" si="27"/>
        <v>0</v>
      </c>
      <c r="B386" t="s">
        <v>463</v>
      </c>
      <c r="C386" t="s">
        <v>466</v>
      </c>
      <c r="D386" t="str">
        <f t="shared" si="29"/>
        <v>No</v>
      </c>
      <c r="E386" t="str">
        <f t="shared" si="28"/>
        <v/>
      </c>
      <c r="F386" t="s">
        <v>429</v>
      </c>
      <c r="G386">
        <f t="shared" si="26"/>
        <v>391930002</v>
      </c>
      <c r="H386" s="123">
        <v>355</v>
      </c>
    </row>
    <row r="387" spans="1:8" ht="15.5">
      <c r="A387">
        <f t="shared" si="27"/>
        <v>0</v>
      </c>
      <c r="B387" t="s">
        <v>463</v>
      </c>
      <c r="C387" t="s">
        <v>466</v>
      </c>
      <c r="D387" t="str">
        <f t="shared" si="29"/>
        <v>No</v>
      </c>
      <c r="E387" t="str">
        <f t="shared" si="28"/>
        <v/>
      </c>
      <c r="F387" t="s">
        <v>429</v>
      </c>
      <c r="G387">
        <f t="shared" si="26"/>
        <v>391930002</v>
      </c>
      <c r="H387" s="123">
        <v>356</v>
      </c>
    </row>
    <row r="388" spans="1:8" ht="15.5">
      <c r="A388">
        <f t="shared" si="27"/>
        <v>0</v>
      </c>
      <c r="B388" t="s">
        <v>463</v>
      </c>
      <c r="C388" t="s">
        <v>466</v>
      </c>
      <c r="D388" t="str">
        <f t="shared" si="29"/>
        <v>No</v>
      </c>
      <c r="E388" t="str">
        <f t="shared" si="28"/>
        <v/>
      </c>
      <c r="F388" t="s">
        <v>429</v>
      </c>
      <c r="G388">
        <f t="shared" si="26"/>
        <v>391930002</v>
      </c>
      <c r="H388" s="123">
        <v>357</v>
      </c>
    </row>
    <row r="389" spans="1:8" ht="15.5">
      <c r="A389">
        <f t="shared" si="27"/>
        <v>0</v>
      </c>
      <c r="B389" t="s">
        <v>463</v>
      </c>
      <c r="C389" t="s">
        <v>466</v>
      </c>
      <c r="D389" t="str">
        <f t="shared" si="29"/>
        <v>No</v>
      </c>
      <c r="E389" t="str">
        <f t="shared" si="28"/>
        <v/>
      </c>
      <c r="F389" t="s">
        <v>429</v>
      </c>
      <c r="G389">
        <f t="shared" si="26"/>
        <v>391930002</v>
      </c>
      <c r="H389" s="123">
        <v>358</v>
      </c>
    </row>
    <row r="390" spans="1:8" ht="15.5">
      <c r="A390">
        <f t="shared" si="27"/>
        <v>0</v>
      </c>
      <c r="B390" t="s">
        <v>463</v>
      </c>
      <c r="C390" t="s">
        <v>466</v>
      </c>
      <c r="D390" t="str">
        <f t="shared" si="29"/>
        <v>No</v>
      </c>
      <c r="E390" t="str">
        <f t="shared" si="28"/>
        <v/>
      </c>
      <c r="F390" t="s">
        <v>429</v>
      </c>
      <c r="G390">
        <f t="shared" si="26"/>
        <v>391930002</v>
      </c>
      <c r="H390" s="123">
        <v>359</v>
      </c>
    </row>
    <row r="391" spans="1:8" ht="15.5">
      <c r="A391">
        <f t="shared" si="27"/>
        <v>0</v>
      </c>
      <c r="B391" t="s">
        <v>463</v>
      </c>
      <c r="C391" t="s">
        <v>466</v>
      </c>
      <c r="D391" t="str">
        <f t="shared" si="29"/>
        <v>No</v>
      </c>
      <c r="E391" t="str">
        <f t="shared" si="28"/>
        <v/>
      </c>
      <c r="F391" t="s">
        <v>429</v>
      </c>
      <c r="G391">
        <f t="shared" ref="G391:G454" si="30">INDEX(IssueType,MATCH($F391,IssueTypeName,0),2)</f>
        <v>391930002</v>
      </c>
      <c r="H391" s="123">
        <v>360</v>
      </c>
    </row>
    <row r="392" spans="1:8" ht="15.5">
      <c r="A392">
        <f t="shared" si="27"/>
        <v>0</v>
      </c>
      <c r="B392" t="s">
        <v>463</v>
      </c>
      <c r="C392" t="s">
        <v>466</v>
      </c>
      <c r="D392" t="str">
        <f t="shared" si="29"/>
        <v>No</v>
      </c>
      <c r="E392" t="str">
        <f t="shared" si="28"/>
        <v/>
      </c>
      <c r="F392" t="s">
        <v>429</v>
      </c>
      <c r="G392">
        <f t="shared" si="30"/>
        <v>391930002</v>
      </c>
      <c r="H392" s="123">
        <v>361</v>
      </c>
    </row>
    <row r="393" spans="1:8" ht="15.5">
      <c r="A393">
        <f t="shared" si="27"/>
        <v>0</v>
      </c>
      <c r="B393" t="s">
        <v>463</v>
      </c>
      <c r="C393" t="s">
        <v>466</v>
      </c>
      <c r="D393" t="str">
        <f t="shared" si="29"/>
        <v>No</v>
      </c>
      <c r="E393" t="str">
        <f t="shared" si="28"/>
        <v/>
      </c>
      <c r="F393" t="s">
        <v>429</v>
      </c>
      <c r="G393">
        <f t="shared" si="30"/>
        <v>391930002</v>
      </c>
      <c r="H393" s="123">
        <v>362</v>
      </c>
    </row>
    <row r="394" spans="1:8" ht="15.5">
      <c r="A394">
        <f t="shared" si="27"/>
        <v>0</v>
      </c>
      <c r="B394" t="s">
        <v>463</v>
      </c>
      <c r="C394" t="s">
        <v>466</v>
      </c>
      <c r="D394" t="str">
        <f t="shared" si="29"/>
        <v>No</v>
      </c>
      <c r="E394" t="str">
        <f t="shared" si="28"/>
        <v/>
      </c>
      <c r="F394" t="s">
        <v>429</v>
      </c>
      <c r="G394">
        <f t="shared" si="30"/>
        <v>391930002</v>
      </c>
      <c r="H394" s="123">
        <v>363</v>
      </c>
    </row>
    <row r="395" spans="1:8" ht="15.5">
      <c r="A395">
        <f t="shared" si="27"/>
        <v>0</v>
      </c>
      <c r="B395" t="s">
        <v>463</v>
      </c>
      <c r="C395" t="s">
        <v>466</v>
      </c>
      <c r="D395" t="str">
        <f t="shared" si="29"/>
        <v>No</v>
      </c>
      <c r="E395" t="str">
        <f t="shared" si="28"/>
        <v/>
      </c>
      <c r="F395" t="s">
        <v>429</v>
      </c>
      <c r="G395">
        <f t="shared" si="30"/>
        <v>391930002</v>
      </c>
      <c r="H395" s="123">
        <v>364</v>
      </c>
    </row>
    <row r="396" spans="1:8" ht="15.5">
      <c r="A396">
        <f t="shared" si="27"/>
        <v>0</v>
      </c>
      <c r="B396" t="s">
        <v>463</v>
      </c>
      <c r="C396" t="s">
        <v>466</v>
      </c>
      <c r="D396" t="str">
        <f t="shared" si="29"/>
        <v>No</v>
      </c>
      <c r="E396" t="str">
        <f t="shared" si="28"/>
        <v/>
      </c>
      <c r="F396" t="s">
        <v>429</v>
      </c>
      <c r="G396">
        <f t="shared" si="30"/>
        <v>391930002</v>
      </c>
      <c r="H396" s="123">
        <v>365</v>
      </c>
    </row>
    <row r="397" spans="1:8" ht="15.5">
      <c r="A397">
        <f t="shared" si="27"/>
        <v>0</v>
      </c>
      <c r="B397" t="s">
        <v>463</v>
      </c>
      <c r="C397" t="s">
        <v>466</v>
      </c>
      <c r="D397" t="str">
        <f t="shared" si="29"/>
        <v>No</v>
      </c>
      <c r="E397" t="str">
        <f t="shared" si="28"/>
        <v/>
      </c>
      <c r="F397" t="s">
        <v>429</v>
      </c>
      <c r="G397">
        <f t="shared" si="30"/>
        <v>391930002</v>
      </c>
      <c r="H397" s="123">
        <v>366</v>
      </c>
    </row>
    <row r="398" spans="1:8" ht="15.5">
      <c r="A398">
        <f t="shared" si="27"/>
        <v>0</v>
      </c>
      <c r="B398" t="s">
        <v>463</v>
      </c>
      <c r="C398" t="s">
        <v>466</v>
      </c>
      <c r="D398" t="str">
        <f t="shared" si="29"/>
        <v>No</v>
      </c>
      <c r="E398" t="str">
        <f t="shared" si="28"/>
        <v/>
      </c>
      <c r="F398" t="s">
        <v>429</v>
      </c>
      <c r="G398">
        <f t="shared" si="30"/>
        <v>391930002</v>
      </c>
      <c r="H398" s="123">
        <v>367</v>
      </c>
    </row>
    <row r="399" spans="1:8" ht="15.5">
      <c r="A399">
        <f t="shared" si="27"/>
        <v>0</v>
      </c>
      <c r="B399" t="s">
        <v>463</v>
      </c>
      <c r="C399" t="s">
        <v>466</v>
      </c>
      <c r="D399" t="str">
        <f t="shared" si="29"/>
        <v>No</v>
      </c>
      <c r="E399" t="str">
        <f t="shared" si="28"/>
        <v/>
      </c>
      <c r="F399" t="s">
        <v>429</v>
      </c>
      <c r="G399">
        <f t="shared" si="30"/>
        <v>391930002</v>
      </c>
      <c r="H399" s="123">
        <v>368</v>
      </c>
    </row>
    <row r="400" spans="1:8" ht="15.5">
      <c r="A400">
        <f t="shared" si="27"/>
        <v>0</v>
      </c>
      <c r="B400" t="s">
        <v>463</v>
      </c>
      <c r="C400" t="s">
        <v>466</v>
      </c>
      <c r="D400" t="str">
        <f t="shared" si="29"/>
        <v>No</v>
      </c>
      <c r="E400" t="str">
        <f t="shared" si="28"/>
        <v/>
      </c>
      <c r="F400" t="s">
        <v>429</v>
      </c>
      <c r="G400">
        <f t="shared" si="30"/>
        <v>391930002</v>
      </c>
      <c r="H400" s="123">
        <v>369</v>
      </c>
    </row>
    <row r="401" spans="1:8" ht="15.5">
      <c r="A401">
        <f t="shared" si="27"/>
        <v>0</v>
      </c>
      <c r="B401" t="s">
        <v>463</v>
      </c>
      <c r="C401" t="s">
        <v>466</v>
      </c>
      <c r="D401" t="str">
        <f t="shared" si="29"/>
        <v>No</v>
      </c>
      <c r="E401" t="str">
        <f t="shared" si="28"/>
        <v/>
      </c>
      <c r="F401" t="s">
        <v>429</v>
      </c>
      <c r="G401">
        <f t="shared" si="30"/>
        <v>391930002</v>
      </c>
      <c r="H401" s="123">
        <v>370</v>
      </c>
    </row>
    <row r="402" spans="1:8" ht="15.5">
      <c r="A402">
        <f t="shared" si="27"/>
        <v>0</v>
      </c>
      <c r="B402" t="s">
        <v>463</v>
      </c>
      <c r="C402" t="s">
        <v>466</v>
      </c>
      <c r="D402" t="str">
        <f t="shared" si="29"/>
        <v>No</v>
      </c>
      <c r="E402" t="str">
        <f t="shared" si="28"/>
        <v/>
      </c>
      <c r="F402" t="s">
        <v>429</v>
      </c>
      <c r="G402">
        <f t="shared" si="30"/>
        <v>391930002</v>
      </c>
      <c r="H402" s="123">
        <v>371</v>
      </c>
    </row>
    <row r="403" spans="1:8" ht="15.5">
      <c r="A403">
        <f t="shared" si="27"/>
        <v>0</v>
      </c>
      <c r="B403" t="s">
        <v>463</v>
      </c>
      <c r="C403" t="s">
        <v>466</v>
      </c>
      <c r="D403" t="str">
        <f t="shared" si="29"/>
        <v>No</v>
      </c>
      <c r="E403" t="str">
        <f t="shared" si="28"/>
        <v/>
      </c>
      <c r="F403" t="s">
        <v>429</v>
      </c>
      <c r="G403">
        <f t="shared" si="30"/>
        <v>391930002</v>
      </c>
      <c r="H403" s="123">
        <v>372</v>
      </c>
    </row>
    <row r="404" spans="1:8" ht="15.5">
      <c r="A404">
        <f t="shared" si="27"/>
        <v>0</v>
      </c>
      <c r="B404" t="s">
        <v>463</v>
      </c>
      <c r="C404" t="s">
        <v>466</v>
      </c>
      <c r="D404" t="str">
        <f t="shared" si="29"/>
        <v>No</v>
      </c>
      <c r="E404" t="str">
        <f t="shared" si="28"/>
        <v/>
      </c>
      <c r="F404" t="s">
        <v>429</v>
      </c>
      <c r="G404">
        <f t="shared" si="30"/>
        <v>391930002</v>
      </c>
      <c r="H404" s="123">
        <v>373</v>
      </c>
    </row>
    <row r="405" spans="1:8" ht="15.5">
      <c r="A405">
        <f t="shared" si="27"/>
        <v>0</v>
      </c>
      <c r="B405" t="s">
        <v>463</v>
      </c>
      <c r="C405" t="s">
        <v>466</v>
      </c>
      <c r="D405" t="str">
        <f t="shared" si="29"/>
        <v>No</v>
      </c>
      <c r="E405" t="str">
        <f t="shared" si="28"/>
        <v/>
      </c>
      <c r="F405" t="s">
        <v>429</v>
      </c>
      <c r="G405">
        <f t="shared" si="30"/>
        <v>391930002</v>
      </c>
      <c r="H405" s="123">
        <v>374</v>
      </c>
    </row>
    <row r="406" spans="1:8" ht="15.5">
      <c r="A406">
        <f t="shared" si="27"/>
        <v>0</v>
      </c>
      <c r="B406" t="s">
        <v>463</v>
      </c>
      <c r="C406" t="s">
        <v>466</v>
      </c>
      <c r="D406" t="str">
        <f t="shared" si="29"/>
        <v>No</v>
      </c>
      <c r="E406" t="str">
        <f t="shared" si="28"/>
        <v/>
      </c>
      <c r="F406" t="s">
        <v>429</v>
      </c>
      <c r="G406">
        <f t="shared" si="30"/>
        <v>391930002</v>
      </c>
      <c r="H406" s="123">
        <v>375</v>
      </c>
    </row>
    <row r="407" spans="1:8" ht="15.5">
      <c r="A407">
        <f t="shared" si="27"/>
        <v>0</v>
      </c>
      <c r="B407" t="s">
        <v>463</v>
      </c>
      <c r="C407" t="s">
        <v>466</v>
      </c>
      <c r="D407" t="str">
        <f t="shared" si="29"/>
        <v>No</v>
      </c>
      <c r="E407" t="str">
        <f t="shared" si="28"/>
        <v/>
      </c>
      <c r="F407" t="s">
        <v>429</v>
      </c>
      <c r="G407">
        <f t="shared" si="30"/>
        <v>391930002</v>
      </c>
      <c r="H407" s="123">
        <v>376</v>
      </c>
    </row>
    <row r="408" spans="1:8" ht="15.5">
      <c r="A408">
        <f t="shared" si="27"/>
        <v>0</v>
      </c>
      <c r="B408" t="s">
        <v>463</v>
      </c>
      <c r="C408" t="s">
        <v>466</v>
      </c>
      <c r="D408" t="str">
        <f t="shared" si="29"/>
        <v>No</v>
      </c>
      <c r="E408" t="str">
        <f t="shared" si="28"/>
        <v/>
      </c>
      <c r="F408" t="s">
        <v>429</v>
      </c>
      <c r="G408">
        <f t="shared" si="30"/>
        <v>391930002</v>
      </c>
      <c r="H408" s="123">
        <v>377</v>
      </c>
    </row>
    <row r="409" spans="1:8" ht="15.5">
      <c r="A409">
        <f t="shared" ref="A409:A472" si="31">IF(D409="Yes",1,0)</f>
        <v>0</v>
      </c>
      <c r="B409" t="s">
        <v>463</v>
      </c>
      <c r="C409" t="s">
        <v>466</v>
      </c>
      <c r="D409" t="str">
        <f t="shared" si="29"/>
        <v>No</v>
      </c>
      <c r="E409" t="str">
        <f t="shared" si="28"/>
        <v/>
      </c>
      <c r="F409" t="s">
        <v>429</v>
      </c>
      <c r="G409">
        <f t="shared" si="30"/>
        <v>391930002</v>
      </c>
      <c r="H409" s="123">
        <v>378</v>
      </c>
    </row>
    <row r="410" spans="1:8" ht="15.5">
      <c r="A410">
        <f t="shared" si="31"/>
        <v>0</v>
      </c>
      <c r="B410" t="s">
        <v>463</v>
      </c>
      <c r="C410" t="s">
        <v>466</v>
      </c>
      <c r="D410" t="str">
        <f t="shared" si="29"/>
        <v>No</v>
      </c>
      <c r="E410" t="str">
        <f t="shared" si="28"/>
        <v/>
      </c>
      <c r="F410" t="s">
        <v>429</v>
      </c>
      <c r="G410">
        <f t="shared" si="30"/>
        <v>391930002</v>
      </c>
      <c r="H410" s="123">
        <v>379</v>
      </c>
    </row>
    <row r="411" spans="1:8" ht="15.5">
      <c r="A411">
        <f t="shared" si="31"/>
        <v>0</v>
      </c>
      <c r="B411" t="s">
        <v>463</v>
      </c>
      <c r="C411" t="s">
        <v>466</v>
      </c>
      <c r="D411" t="str">
        <f t="shared" si="29"/>
        <v>No</v>
      </c>
      <c r="E411" t="str">
        <f t="shared" si="28"/>
        <v/>
      </c>
      <c r="F411" t="s">
        <v>429</v>
      </c>
      <c r="G411">
        <f t="shared" si="30"/>
        <v>391930002</v>
      </c>
      <c r="H411" s="123">
        <v>380</v>
      </c>
    </row>
    <row r="412" spans="1:8" ht="15.5">
      <c r="A412">
        <f t="shared" si="31"/>
        <v>0</v>
      </c>
      <c r="B412" t="s">
        <v>463</v>
      </c>
      <c r="C412" t="s">
        <v>466</v>
      </c>
      <c r="D412" t="str">
        <f t="shared" si="29"/>
        <v>No</v>
      </c>
      <c r="E412" t="str">
        <f t="shared" si="28"/>
        <v/>
      </c>
      <c r="F412" t="s">
        <v>429</v>
      </c>
      <c r="G412">
        <f t="shared" si="30"/>
        <v>391930002</v>
      </c>
      <c r="H412" s="123">
        <v>381</v>
      </c>
    </row>
    <row r="413" spans="1:8" ht="15.5">
      <c r="A413">
        <f t="shared" si="31"/>
        <v>0</v>
      </c>
      <c r="B413" t="s">
        <v>463</v>
      </c>
      <c r="C413" t="s">
        <v>466</v>
      </c>
      <c r="D413" t="str">
        <f t="shared" si="29"/>
        <v>No</v>
      </c>
      <c r="E413" t="str">
        <f t="shared" si="28"/>
        <v/>
      </c>
      <c r="F413" t="s">
        <v>429</v>
      </c>
      <c r="G413">
        <f t="shared" si="30"/>
        <v>391930002</v>
      </c>
      <c r="H413" s="123">
        <v>382</v>
      </c>
    </row>
    <row r="414" spans="1:8" ht="15.5">
      <c r="A414">
        <f t="shared" si="31"/>
        <v>0</v>
      </c>
      <c r="B414" t="s">
        <v>463</v>
      </c>
      <c r="C414" t="s">
        <v>466</v>
      </c>
      <c r="D414" t="str">
        <f t="shared" si="29"/>
        <v>No</v>
      </c>
      <c r="E414" t="str">
        <f t="shared" si="28"/>
        <v/>
      </c>
      <c r="F414" t="s">
        <v>429</v>
      </c>
      <c r="G414">
        <f t="shared" si="30"/>
        <v>391930002</v>
      </c>
      <c r="H414" s="123">
        <v>383</v>
      </c>
    </row>
    <row r="415" spans="1:8" ht="15.5">
      <c r="A415">
        <f t="shared" si="31"/>
        <v>0</v>
      </c>
      <c r="B415" t="s">
        <v>463</v>
      </c>
      <c r="C415" t="s">
        <v>466</v>
      </c>
      <c r="D415" t="str">
        <f t="shared" si="29"/>
        <v>No</v>
      </c>
      <c r="E415" t="str">
        <f t="shared" si="28"/>
        <v/>
      </c>
      <c r="F415" t="s">
        <v>429</v>
      </c>
      <c r="G415">
        <f t="shared" si="30"/>
        <v>391930002</v>
      </c>
      <c r="H415" s="123">
        <v>384</v>
      </c>
    </row>
    <row r="416" spans="1:8" ht="15.5">
      <c r="A416">
        <f t="shared" si="31"/>
        <v>0</v>
      </c>
      <c r="B416" t="s">
        <v>463</v>
      </c>
      <c r="C416" t="s">
        <v>466</v>
      </c>
      <c r="D416" t="str">
        <f t="shared" si="29"/>
        <v>No</v>
      </c>
      <c r="E416" t="str">
        <f t="shared" ref="E416:E479" si="32">IF($D$11="Yes","",INDEX(ErrorCheck,MATCH($H416,ErrorCheckPlotNumber,0),MATCH($C416,ErrorCheckTitle,0)))</f>
        <v/>
      </c>
      <c r="F416" t="s">
        <v>429</v>
      </c>
      <c r="G416">
        <f t="shared" si="30"/>
        <v>391930002</v>
      </c>
      <c r="H416" s="123">
        <v>385</v>
      </c>
    </row>
    <row r="417" spans="1:8" ht="15.5">
      <c r="A417">
        <f t="shared" si="31"/>
        <v>0</v>
      </c>
      <c r="B417" t="s">
        <v>463</v>
      </c>
      <c r="C417" t="s">
        <v>466</v>
      </c>
      <c r="D417" t="str">
        <f t="shared" ref="D417:D480" si="33">IF(E417="", "No", "Yes")</f>
        <v>No</v>
      </c>
      <c r="E417" t="str">
        <f t="shared" si="32"/>
        <v/>
      </c>
      <c r="F417" t="s">
        <v>429</v>
      </c>
      <c r="G417">
        <f t="shared" si="30"/>
        <v>391930002</v>
      </c>
      <c r="H417" s="123">
        <v>386</v>
      </c>
    </row>
    <row r="418" spans="1:8" ht="15.5">
      <c r="A418">
        <f t="shared" si="31"/>
        <v>0</v>
      </c>
      <c r="B418" t="s">
        <v>463</v>
      </c>
      <c r="C418" t="s">
        <v>466</v>
      </c>
      <c r="D418" t="str">
        <f t="shared" si="33"/>
        <v>No</v>
      </c>
      <c r="E418" t="str">
        <f t="shared" si="32"/>
        <v/>
      </c>
      <c r="F418" t="s">
        <v>429</v>
      </c>
      <c r="G418">
        <f t="shared" si="30"/>
        <v>391930002</v>
      </c>
      <c r="H418" s="123">
        <v>387</v>
      </c>
    </row>
    <row r="419" spans="1:8" ht="15.5">
      <c r="A419">
        <f t="shared" si="31"/>
        <v>0</v>
      </c>
      <c r="B419" t="s">
        <v>463</v>
      </c>
      <c r="C419" t="s">
        <v>466</v>
      </c>
      <c r="D419" t="str">
        <f t="shared" si="33"/>
        <v>No</v>
      </c>
      <c r="E419" t="str">
        <f t="shared" si="32"/>
        <v/>
      </c>
      <c r="F419" t="s">
        <v>429</v>
      </c>
      <c r="G419">
        <f t="shared" si="30"/>
        <v>391930002</v>
      </c>
      <c r="H419" s="123">
        <v>388</v>
      </c>
    </row>
    <row r="420" spans="1:8" ht="15.5">
      <c r="A420">
        <f t="shared" si="31"/>
        <v>0</v>
      </c>
      <c r="B420" t="s">
        <v>463</v>
      </c>
      <c r="C420" t="s">
        <v>466</v>
      </c>
      <c r="D420" t="str">
        <f t="shared" si="33"/>
        <v>No</v>
      </c>
      <c r="E420" t="str">
        <f t="shared" si="32"/>
        <v/>
      </c>
      <c r="F420" t="s">
        <v>429</v>
      </c>
      <c r="G420">
        <f t="shared" si="30"/>
        <v>391930002</v>
      </c>
      <c r="H420" s="123">
        <v>389</v>
      </c>
    </row>
    <row r="421" spans="1:8" ht="15.5">
      <c r="A421">
        <f t="shared" si="31"/>
        <v>0</v>
      </c>
      <c r="B421" t="s">
        <v>463</v>
      </c>
      <c r="C421" t="s">
        <v>466</v>
      </c>
      <c r="D421" t="str">
        <f t="shared" si="33"/>
        <v>No</v>
      </c>
      <c r="E421" t="str">
        <f t="shared" si="32"/>
        <v/>
      </c>
      <c r="F421" t="s">
        <v>429</v>
      </c>
      <c r="G421">
        <f t="shared" si="30"/>
        <v>391930002</v>
      </c>
      <c r="H421" s="123">
        <v>390</v>
      </c>
    </row>
    <row r="422" spans="1:8" ht="15.5">
      <c r="A422">
        <f t="shared" si="31"/>
        <v>0</v>
      </c>
      <c r="B422" t="s">
        <v>463</v>
      </c>
      <c r="C422" t="s">
        <v>466</v>
      </c>
      <c r="D422" t="str">
        <f t="shared" si="33"/>
        <v>No</v>
      </c>
      <c r="E422" t="str">
        <f t="shared" si="32"/>
        <v/>
      </c>
      <c r="F422" t="s">
        <v>429</v>
      </c>
      <c r="G422">
        <f t="shared" si="30"/>
        <v>391930002</v>
      </c>
      <c r="H422" s="123">
        <v>391</v>
      </c>
    </row>
    <row r="423" spans="1:8" ht="15.5">
      <c r="A423">
        <f t="shared" si="31"/>
        <v>0</v>
      </c>
      <c r="B423" t="s">
        <v>463</v>
      </c>
      <c r="C423" t="s">
        <v>466</v>
      </c>
      <c r="D423" t="str">
        <f t="shared" si="33"/>
        <v>No</v>
      </c>
      <c r="E423" t="str">
        <f t="shared" si="32"/>
        <v/>
      </c>
      <c r="F423" t="s">
        <v>429</v>
      </c>
      <c r="G423">
        <f t="shared" si="30"/>
        <v>391930002</v>
      </c>
      <c r="H423" s="123">
        <v>392</v>
      </c>
    </row>
    <row r="424" spans="1:8" ht="15.5">
      <c r="A424">
        <f t="shared" si="31"/>
        <v>0</v>
      </c>
      <c r="B424" t="s">
        <v>463</v>
      </c>
      <c r="C424" t="s">
        <v>466</v>
      </c>
      <c r="D424" t="str">
        <f t="shared" si="33"/>
        <v>No</v>
      </c>
      <c r="E424" t="str">
        <f t="shared" si="32"/>
        <v/>
      </c>
      <c r="F424" t="s">
        <v>429</v>
      </c>
      <c r="G424">
        <f t="shared" si="30"/>
        <v>391930002</v>
      </c>
      <c r="H424" s="123">
        <v>393</v>
      </c>
    </row>
    <row r="425" spans="1:8" ht="15.5">
      <c r="A425">
        <f t="shared" si="31"/>
        <v>0</v>
      </c>
      <c r="B425" t="s">
        <v>463</v>
      </c>
      <c r="C425" t="s">
        <v>466</v>
      </c>
      <c r="D425" t="str">
        <f t="shared" si="33"/>
        <v>No</v>
      </c>
      <c r="E425" t="str">
        <f t="shared" si="32"/>
        <v/>
      </c>
      <c r="F425" t="s">
        <v>429</v>
      </c>
      <c r="G425">
        <f t="shared" si="30"/>
        <v>391930002</v>
      </c>
      <c r="H425" s="123">
        <v>394</v>
      </c>
    </row>
    <row r="426" spans="1:8" ht="15.5">
      <c r="A426">
        <f t="shared" si="31"/>
        <v>0</v>
      </c>
      <c r="B426" t="s">
        <v>463</v>
      </c>
      <c r="C426" t="s">
        <v>466</v>
      </c>
      <c r="D426" t="str">
        <f t="shared" si="33"/>
        <v>No</v>
      </c>
      <c r="E426" t="str">
        <f t="shared" si="32"/>
        <v/>
      </c>
      <c r="F426" t="s">
        <v>429</v>
      </c>
      <c r="G426">
        <f t="shared" si="30"/>
        <v>391930002</v>
      </c>
      <c r="H426" s="123">
        <v>395</v>
      </c>
    </row>
    <row r="427" spans="1:8" ht="15.5">
      <c r="A427">
        <f t="shared" si="31"/>
        <v>0</v>
      </c>
      <c r="B427" t="s">
        <v>463</v>
      </c>
      <c r="C427" t="s">
        <v>466</v>
      </c>
      <c r="D427" t="str">
        <f t="shared" si="33"/>
        <v>No</v>
      </c>
      <c r="E427" t="str">
        <f t="shared" si="32"/>
        <v/>
      </c>
      <c r="F427" t="s">
        <v>429</v>
      </c>
      <c r="G427">
        <f t="shared" si="30"/>
        <v>391930002</v>
      </c>
      <c r="H427" s="123">
        <v>396</v>
      </c>
    </row>
    <row r="428" spans="1:8" ht="15.5">
      <c r="A428">
        <f t="shared" si="31"/>
        <v>0</v>
      </c>
      <c r="B428" t="s">
        <v>463</v>
      </c>
      <c r="C428" t="s">
        <v>466</v>
      </c>
      <c r="D428" t="str">
        <f t="shared" si="33"/>
        <v>No</v>
      </c>
      <c r="E428" t="str">
        <f t="shared" si="32"/>
        <v/>
      </c>
      <c r="F428" t="s">
        <v>429</v>
      </c>
      <c r="G428">
        <f t="shared" si="30"/>
        <v>391930002</v>
      </c>
      <c r="H428" s="123">
        <v>397</v>
      </c>
    </row>
    <row r="429" spans="1:8" ht="15.5">
      <c r="A429">
        <f t="shared" si="31"/>
        <v>0</v>
      </c>
      <c r="B429" t="s">
        <v>463</v>
      </c>
      <c r="C429" t="s">
        <v>466</v>
      </c>
      <c r="D429" t="str">
        <f t="shared" si="33"/>
        <v>No</v>
      </c>
      <c r="E429" t="str">
        <f t="shared" si="32"/>
        <v/>
      </c>
      <c r="F429" t="s">
        <v>429</v>
      </c>
      <c r="G429">
        <f t="shared" si="30"/>
        <v>391930002</v>
      </c>
      <c r="H429" s="123">
        <v>398</v>
      </c>
    </row>
    <row r="430" spans="1:8" ht="15.5">
      <c r="A430">
        <f t="shared" si="31"/>
        <v>0</v>
      </c>
      <c r="B430" t="s">
        <v>463</v>
      </c>
      <c r="C430" t="s">
        <v>466</v>
      </c>
      <c r="D430" t="str">
        <f t="shared" si="33"/>
        <v>No</v>
      </c>
      <c r="E430" t="str">
        <f t="shared" si="32"/>
        <v/>
      </c>
      <c r="F430" t="s">
        <v>429</v>
      </c>
      <c r="G430">
        <f t="shared" si="30"/>
        <v>391930002</v>
      </c>
      <c r="H430" s="123">
        <v>399</v>
      </c>
    </row>
    <row r="431" spans="1:8" ht="15.5">
      <c r="A431">
        <f t="shared" si="31"/>
        <v>0</v>
      </c>
      <c r="B431" t="s">
        <v>463</v>
      </c>
      <c r="C431" t="s">
        <v>466</v>
      </c>
      <c r="D431" t="str">
        <f t="shared" si="33"/>
        <v>No</v>
      </c>
      <c r="E431" t="str">
        <f t="shared" si="32"/>
        <v/>
      </c>
      <c r="F431" t="s">
        <v>429</v>
      </c>
      <c r="G431">
        <f t="shared" si="30"/>
        <v>391930002</v>
      </c>
      <c r="H431" s="123">
        <v>400</v>
      </c>
    </row>
    <row r="432" spans="1:8" ht="15.5">
      <c r="A432">
        <f t="shared" si="31"/>
        <v>0</v>
      </c>
      <c r="B432" t="s">
        <v>463</v>
      </c>
      <c r="C432" t="s">
        <v>466</v>
      </c>
      <c r="D432" t="str">
        <f t="shared" si="33"/>
        <v>No</v>
      </c>
      <c r="E432" t="str">
        <f t="shared" si="32"/>
        <v/>
      </c>
      <c r="F432" t="s">
        <v>429</v>
      </c>
      <c r="G432">
        <f t="shared" si="30"/>
        <v>391930002</v>
      </c>
      <c r="H432" s="123">
        <v>401</v>
      </c>
    </row>
    <row r="433" spans="1:8" ht="15.5">
      <c r="A433">
        <f t="shared" si="31"/>
        <v>0</v>
      </c>
      <c r="B433" t="s">
        <v>463</v>
      </c>
      <c r="C433" t="s">
        <v>466</v>
      </c>
      <c r="D433" t="str">
        <f t="shared" si="33"/>
        <v>No</v>
      </c>
      <c r="E433" t="str">
        <f t="shared" si="32"/>
        <v/>
      </c>
      <c r="F433" t="s">
        <v>429</v>
      </c>
      <c r="G433">
        <f t="shared" si="30"/>
        <v>391930002</v>
      </c>
      <c r="H433" s="123">
        <v>402</v>
      </c>
    </row>
    <row r="434" spans="1:8" ht="15.5">
      <c r="A434">
        <f t="shared" si="31"/>
        <v>0</v>
      </c>
      <c r="B434" t="s">
        <v>463</v>
      </c>
      <c r="C434" t="s">
        <v>466</v>
      </c>
      <c r="D434" t="str">
        <f t="shared" si="33"/>
        <v>No</v>
      </c>
      <c r="E434" t="str">
        <f t="shared" si="32"/>
        <v/>
      </c>
      <c r="F434" t="s">
        <v>429</v>
      </c>
      <c r="G434">
        <f t="shared" si="30"/>
        <v>391930002</v>
      </c>
      <c r="H434" s="123">
        <v>403</v>
      </c>
    </row>
    <row r="435" spans="1:8" ht="15.5">
      <c r="A435">
        <f t="shared" si="31"/>
        <v>0</v>
      </c>
      <c r="B435" t="s">
        <v>463</v>
      </c>
      <c r="C435" t="s">
        <v>466</v>
      </c>
      <c r="D435" t="str">
        <f t="shared" si="33"/>
        <v>No</v>
      </c>
      <c r="E435" t="str">
        <f t="shared" si="32"/>
        <v/>
      </c>
      <c r="F435" t="s">
        <v>429</v>
      </c>
      <c r="G435">
        <f t="shared" si="30"/>
        <v>391930002</v>
      </c>
      <c r="H435" s="123">
        <v>404</v>
      </c>
    </row>
    <row r="436" spans="1:8" ht="15.5">
      <c r="A436">
        <f t="shared" si="31"/>
        <v>0</v>
      </c>
      <c r="B436" t="s">
        <v>463</v>
      </c>
      <c r="C436" t="s">
        <v>466</v>
      </c>
      <c r="D436" t="str">
        <f t="shared" si="33"/>
        <v>No</v>
      </c>
      <c r="E436" t="str">
        <f t="shared" si="32"/>
        <v/>
      </c>
      <c r="F436" t="s">
        <v>429</v>
      </c>
      <c r="G436">
        <f t="shared" si="30"/>
        <v>391930002</v>
      </c>
      <c r="H436" s="123">
        <v>405</v>
      </c>
    </row>
    <row r="437" spans="1:8" ht="15.5">
      <c r="A437">
        <f t="shared" si="31"/>
        <v>0</v>
      </c>
      <c r="B437" t="s">
        <v>463</v>
      </c>
      <c r="C437" t="s">
        <v>466</v>
      </c>
      <c r="D437" t="str">
        <f t="shared" si="33"/>
        <v>No</v>
      </c>
      <c r="E437" t="str">
        <f t="shared" si="32"/>
        <v/>
      </c>
      <c r="F437" t="s">
        <v>429</v>
      </c>
      <c r="G437">
        <f t="shared" si="30"/>
        <v>391930002</v>
      </c>
      <c r="H437" s="123">
        <v>406</v>
      </c>
    </row>
    <row r="438" spans="1:8" ht="15.5">
      <c r="A438">
        <f t="shared" si="31"/>
        <v>0</v>
      </c>
      <c r="B438" t="s">
        <v>463</v>
      </c>
      <c r="C438" t="s">
        <v>466</v>
      </c>
      <c r="D438" t="str">
        <f t="shared" si="33"/>
        <v>No</v>
      </c>
      <c r="E438" t="str">
        <f t="shared" si="32"/>
        <v/>
      </c>
      <c r="F438" t="s">
        <v>429</v>
      </c>
      <c r="G438">
        <f t="shared" si="30"/>
        <v>391930002</v>
      </c>
      <c r="H438" s="123">
        <v>407</v>
      </c>
    </row>
    <row r="439" spans="1:8" ht="15.5">
      <c r="A439">
        <f t="shared" si="31"/>
        <v>0</v>
      </c>
      <c r="B439" t="s">
        <v>463</v>
      </c>
      <c r="C439" t="s">
        <v>466</v>
      </c>
      <c r="D439" t="str">
        <f t="shared" si="33"/>
        <v>No</v>
      </c>
      <c r="E439" t="str">
        <f t="shared" si="32"/>
        <v/>
      </c>
      <c r="F439" t="s">
        <v>429</v>
      </c>
      <c r="G439">
        <f t="shared" si="30"/>
        <v>391930002</v>
      </c>
      <c r="H439" s="123">
        <v>408</v>
      </c>
    </row>
    <row r="440" spans="1:8" ht="15.5">
      <c r="A440">
        <f t="shared" si="31"/>
        <v>0</v>
      </c>
      <c r="B440" t="s">
        <v>463</v>
      </c>
      <c r="C440" t="s">
        <v>466</v>
      </c>
      <c r="D440" t="str">
        <f t="shared" si="33"/>
        <v>No</v>
      </c>
      <c r="E440" t="str">
        <f t="shared" si="32"/>
        <v/>
      </c>
      <c r="F440" t="s">
        <v>429</v>
      </c>
      <c r="G440">
        <f t="shared" si="30"/>
        <v>391930002</v>
      </c>
      <c r="H440" s="123">
        <v>409</v>
      </c>
    </row>
    <row r="441" spans="1:8" ht="15.5">
      <c r="A441">
        <f t="shared" si="31"/>
        <v>0</v>
      </c>
      <c r="B441" t="s">
        <v>463</v>
      </c>
      <c r="C441" t="s">
        <v>466</v>
      </c>
      <c r="D441" t="str">
        <f t="shared" si="33"/>
        <v>No</v>
      </c>
      <c r="E441" t="str">
        <f t="shared" si="32"/>
        <v/>
      </c>
      <c r="F441" t="s">
        <v>429</v>
      </c>
      <c r="G441">
        <f t="shared" si="30"/>
        <v>391930002</v>
      </c>
      <c r="H441" s="123">
        <v>410</v>
      </c>
    </row>
    <row r="442" spans="1:8" ht="15.5">
      <c r="A442">
        <f t="shared" si="31"/>
        <v>0</v>
      </c>
      <c r="B442" t="s">
        <v>463</v>
      </c>
      <c r="C442" t="s">
        <v>466</v>
      </c>
      <c r="D442" t="str">
        <f t="shared" si="33"/>
        <v>No</v>
      </c>
      <c r="E442" t="str">
        <f t="shared" si="32"/>
        <v/>
      </c>
      <c r="F442" t="s">
        <v>429</v>
      </c>
      <c r="G442">
        <f t="shared" si="30"/>
        <v>391930002</v>
      </c>
      <c r="H442" s="123">
        <v>411</v>
      </c>
    </row>
    <row r="443" spans="1:8" ht="15.5">
      <c r="A443">
        <f t="shared" si="31"/>
        <v>0</v>
      </c>
      <c r="B443" t="s">
        <v>463</v>
      </c>
      <c r="C443" t="s">
        <v>466</v>
      </c>
      <c r="D443" t="str">
        <f t="shared" si="33"/>
        <v>No</v>
      </c>
      <c r="E443" t="str">
        <f t="shared" si="32"/>
        <v/>
      </c>
      <c r="F443" t="s">
        <v>429</v>
      </c>
      <c r="G443">
        <f t="shared" si="30"/>
        <v>391930002</v>
      </c>
      <c r="H443" s="123">
        <v>412</v>
      </c>
    </row>
    <row r="444" spans="1:8" ht="15.5">
      <c r="A444">
        <f t="shared" si="31"/>
        <v>0</v>
      </c>
      <c r="B444" t="s">
        <v>463</v>
      </c>
      <c r="C444" t="s">
        <v>466</v>
      </c>
      <c r="D444" t="str">
        <f t="shared" si="33"/>
        <v>No</v>
      </c>
      <c r="E444" t="str">
        <f t="shared" si="32"/>
        <v/>
      </c>
      <c r="F444" t="s">
        <v>429</v>
      </c>
      <c r="G444">
        <f t="shared" si="30"/>
        <v>391930002</v>
      </c>
      <c r="H444" s="123">
        <v>413</v>
      </c>
    </row>
    <row r="445" spans="1:8" ht="15.5">
      <c r="A445">
        <f t="shared" si="31"/>
        <v>0</v>
      </c>
      <c r="B445" t="s">
        <v>463</v>
      </c>
      <c r="C445" t="s">
        <v>466</v>
      </c>
      <c r="D445" t="str">
        <f t="shared" si="33"/>
        <v>No</v>
      </c>
      <c r="E445" t="str">
        <f t="shared" si="32"/>
        <v/>
      </c>
      <c r="F445" t="s">
        <v>429</v>
      </c>
      <c r="G445">
        <f t="shared" si="30"/>
        <v>391930002</v>
      </c>
      <c r="H445" s="123">
        <v>414</v>
      </c>
    </row>
    <row r="446" spans="1:8" ht="15.5">
      <c r="A446">
        <f t="shared" si="31"/>
        <v>0</v>
      </c>
      <c r="B446" t="s">
        <v>463</v>
      </c>
      <c r="C446" t="s">
        <v>466</v>
      </c>
      <c r="D446" t="str">
        <f t="shared" si="33"/>
        <v>No</v>
      </c>
      <c r="E446" t="str">
        <f t="shared" si="32"/>
        <v/>
      </c>
      <c r="F446" t="s">
        <v>429</v>
      </c>
      <c r="G446">
        <f t="shared" si="30"/>
        <v>391930002</v>
      </c>
      <c r="H446" s="123">
        <v>415</v>
      </c>
    </row>
    <row r="447" spans="1:8" ht="15.5">
      <c r="A447">
        <f t="shared" si="31"/>
        <v>0</v>
      </c>
      <c r="B447" t="s">
        <v>463</v>
      </c>
      <c r="C447" t="s">
        <v>466</v>
      </c>
      <c r="D447" t="str">
        <f t="shared" si="33"/>
        <v>No</v>
      </c>
      <c r="E447" t="str">
        <f t="shared" si="32"/>
        <v/>
      </c>
      <c r="F447" t="s">
        <v>429</v>
      </c>
      <c r="G447">
        <f t="shared" si="30"/>
        <v>391930002</v>
      </c>
      <c r="H447" s="123">
        <v>416</v>
      </c>
    </row>
    <row r="448" spans="1:8" ht="15.5">
      <c r="A448">
        <f t="shared" si="31"/>
        <v>0</v>
      </c>
      <c r="B448" t="s">
        <v>463</v>
      </c>
      <c r="C448" t="s">
        <v>466</v>
      </c>
      <c r="D448" t="str">
        <f t="shared" si="33"/>
        <v>No</v>
      </c>
      <c r="E448" t="str">
        <f t="shared" si="32"/>
        <v/>
      </c>
      <c r="F448" t="s">
        <v>429</v>
      </c>
      <c r="G448">
        <f t="shared" si="30"/>
        <v>391930002</v>
      </c>
      <c r="H448" s="123">
        <v>417</v>
      </c>
    </row>
    <row r="449" spans="1:8" ht="15.5">
      <c r="A449">
        <f t="shared" si="31"/>
        <v>0</v>
      </c>
      <c r="B449" t="s">
        <v>463</v>
      </c>
      <c r="C449" t="s">
        <v>466</v>
      </c>
      <c r="D449" t="str">
        <f t="shared" si="33"/>
        <v>No</v>
      </c>
      <c r="E449" t="str">
        <f t="shared" si="32"/>
        <v/>
      </c>
      <c r="F449" t="s">
        <v>429</v>
      </c>
      <c r="G449">
        <f t="shared" si="30"/>
        <v>391930002</v>
      </c>
      <c r="H449" s="123">
        <v>418</v>
      </c>
    </row>
    <row r="450" spans="1:8" ht="15.5">
      <c r="A450">
        <f t="shared" si="31"/>
        <v>0</v>
      </c>
      <c r="B450" t="s">
        <v>463</v>
      </c>
      <c r="C450" t="s">
        <v>466</v>
      </c>
      <c r="D450" t="str">
        <f t="shared" si="33"/>
        <v>No</v>
      </c>
      <c r="E450" t="str">
        <f t="shared" si="32"/>
        <v/>
      </c>
      <c r="F450" t="s">
        <v>429</v>
      </c>
      <c r="G450">
        <f t="shared" si="30"/>
        <v>391930002</v>
      </c>
      <c r="H450" s="123">
        <v>419</v>
      </c>
    </row>
    <row r="451" spans="1:8" ht="15.5">
      <c r="A451">
        <f t="shared" si="31"/>
        <v>0</v>
      </c>
      <c r="B451" t="s">
        <v>463</v>
      </c>
      <c r="C451" t="s">
        <v>466</v>
      </c>
      <c r="D451" t="str">
        <f t="shared" si="33"/>
        <v>No</v>
      </c>
      <c r="E451" t="str">
        <f t="shared" si="32"/>
        <v/>
      </c>
      <c r="F451" t="s">
        <v>429</v>
      </c>
      <c r="G451">
        <f t="shared" si="30"/>
        <v>391930002</v>
      </c>
      <c r="H451" s="123">
        <v>420</v>
      </c>
    </row>
    <row r="452" spans="1:8" ht="15.5">
      <c r="A452">
        <f t="shared" si="31"/>
        <v>0</v>
      </c>
      <c r="B452" t="s">
        <v>463</v>
      </c>
      <c r="C452" t="s">
        <v>466</v>
      </c>
      <c r="D452" t="str">
        <f t="shared" si="33"/>
        <v>No</v>
      </c>
      <c r="E452" t="str">
        <f t="shared" si="32"/>
        <v/>
      </c>
      <c r="F452" t="s">
        <v>429</v>
      </c>
      <c r="G452">
        <f t="shared" si="30"/>
        <v>391930002</v>
      </c>
      <c r="H452" s="123">
        <v>421</v>
      </c>
    </row>
    <row r="453" spans="1:8" ht="15.5">
      <c r="A453">
        <f t="shared" si="31"/>
        <v>0</v>
      </c>
      <c r="B453" t="s">
        <v>463</v>
      </c>
      <c r="C453" t="s">
        <v>466</v>
      </c>
      <c r="D453" t="str">
        <f t="shared" si="33"/>
        <v>No</v>
      </c>
      <c r="E453" t="str">
        <f t="shared" si="32"/>
        <v/>
      </c>
      <c r="F453" t="s">
        <v>429</v>
      </c>
      <c r="G453">
        <f t="shared" si="30"/>
        <v>391930002</v>
      </c>
      <c r="H453" s="123">
        <v>422</v>
      </c>
    </row>
    <row r="454" spans="1:8" ht="15.5">
      <c r="A454">
        <f t="shared" si="31"/>
        <v>0</v>
      </c>
      <c r="B454" t="s">
        <v>463</v>
      </c>
      <c r="C454" t="s">
        <v>466</v>
      </c>
      <c r="D454" t="str">
        <f t="shared" si="33"/>
        <v>No</v>
      </c>
      <c r="E454" t="str">
        <f t="shared" si="32"/>
        <v/>
      </c>
      <c r="F454" t="s">
        <v>429</v>
      </c>
      <c r="G454">
        <f t="shared" si="30"/>
        <v>391930002</v>
      </c>
      <c r="H454" s="123">
        <v>423</v>
      </c>
    </row>
    <row r="455" spans="1:8" ht="15.5">
      <c r="A455">
        <f t="shared" si="31"/>
        <v>0</v>
      </c>
      <c r="B455" t="s">
        <v>463</v>
      </c>
      <c r="C455" t="s">
        <v>466</v>
      </c>
      <c r="D455" t="str">
        <f t="shared" si="33"/>
        <v>No</v>
      </c>
      <c r="E455" t="str">
        <f t="shared" si="32"/>
        <v/>
      </c>
      <c r="F455" t="s">
        <v>429</v>
      </c>
      <c r="G455">
        <f t="shared" ref="G455:G518" si="34">INDEX(IssueType,MATCH($F455,IssueTypeName,0),2)</f>
        <v>391930002</v>
      </c>
      <c r="H455" s="123">
        <v>424</v>
      </c>
    </row>
    <row r="456" spans="1:8" ht="15.5">
      <c r="A456">
        <f t="shared" si="31"/>
        <v>0</v>
      </c>
      <c r="B456" t="s">
        <v>463</v>
      </c>
      <c r="C456" t="s">
        <v>466</v>
      </c>
      <c r="D456" t="str">
        <f t="shared" si="33"/>
        <v>No</v>
      </c>
      <c r="E456" t="str">
        <f t="shared" si="32"/>
        <v/>
      </c>
      <c r="F456" t="s">
        <v>429</v>
      </c>
      <c r="G456">
        <f t="shared" si="34"/>
        <v>391930002</v>
      </c>
      <c r="H456" s="123">
        <v>425</v>
      </c>
    </row>
    <row r="457" spans="1:8" ht="15.5">
      <c r="A457">
        <f t="shared" si="31"/>
        <v>0</v>
      </c>
      <c r="B457" t="s">
        <v>463</v>
      </c>
      <c r="C457" t="s">
        <v>466</v>
      </c>
      <c r="D457" t="str">
        <f t="shared" si="33"/>
        <v>No</v>
      </c>
      <c r="E457" t="str">
        <f t="shared" si="32"/>
        <v/>
      </c>
      <c r="F457" t="s">
        <v>429</v>
      </c>
      <c r="G457">
        <f t="shared" si="34"/>
        <v>391930002</v>
      </c>
      <c r="H457" s="123">
        <v>426</v>
      </c>
    </row>
    <row r="458" spans="1:8" ht="15.5">
      <c r="A458">
        <f t="shared" si="31"/>
        <v>0</v>
      </c>
      <c r="B458" t="s">
        <v>463</v>
      </c>
      <c r="C458" t="s">
        <v>466</v>
      </c>
      <c r="D458" t="str">
        <f t="shared" si="33"/>
        <v>No</v>
      </c>
      <c r="E458" t="str">
        <f t="shared" si="32"/>
        <v/>
      </c>
      <c r="F458" t="s">
        <v>429</v>
      </c>
      <c r="G458">
        <f t="shared" si="34"/>
        <v>391930002</v>
      </c>
      <c r="H458" s="123">
        <v>427</v>
      </c>
    </row>
    <row r="459" spans="1:8" ht="15.5">
      <c r="A459">
        <f t="shared" si="31"/>
        <v>0</v>
      </c>
      <c r="B459" t="s">
        <v>463</v>
      </c>
      <c r="C459" t="s">
        <v>466</v>
      </c>
      <c r="D459" t="str">
        <f t="shared" si="33"/>
        <v>No</v>
      </c>
      <c r="E459" t="str">
        <f t="shared" si="32"/>
        <v/>
      </c>
      <c r="F459" t="s">
        <v>429</v>
      </c>
      <c r="G459">
        <f t="shared" si="34"/>
        <v>391930002</v>
      </c>
      <c r="H459" s="123">
        <v>428</v>
      </c>
    </row>
    <row r="460" spans="1:8" ht="15.5">
      <c r="A460">
        <f t="shared" si="31"/>
        <v>0</v>
      </c>
      <c r="B460" t="s">
        <v>463</v>
      </c>
      <c r="C460" t="s">
        <v>466</v>
      </c>
      <c r="D460" t="str">
        <f t="shared" si="33"/>
        <v>No</v>
      </c>
      <c r="E460" t="str">
        <f t="shared" si="32"/>
        <v/>
      </c>
      <c r="F460" t="s">
        <v>429</v>
      </c>
      <c r="G460">
        <f t="shared" si="34"/>
        <v>391930002</v>
      </c>
      <c r="H460" s="123">
        <v>429</v>
      </c>
    </row>
    <row r="461" spans="1:8" ht="15.5">
      <c r="A461">
        <f t="shared" si="31"/>
        <v>0</v>
      </c>
      <c r="B461" t="s">
        <v>463</v>
      </c>
      <c r="C461" t="s">
        <v>466</v>
      </c>
      <c r="D461" t="str">
        <f t="shared" si="33"/>
        <v>No</v>
      </c>
      <c r="E461" t="str">
        <f t="shared" si="32"/>
        <v/>
      </c>
      <c r="F461" t="s">
        <v>429</v>
      </c>
      <c r="G461">
        <f t="shared" si="34"/>
        <v>391930002</v>
      </c>
      <c r="H461" s="123">
        <v>430</v>
      </c>
    </row>
    <row r="462" spans="1:8" ht="15.5">
      <c r="A462">
        <f t="shared" si="31"/>
        <v>0</v>
      </c>
      <c r="B462" t="s">
        <v>463</v>
      </c>
      <c r="C462" t="s">
        <v>466</v>
      </c>
      <c r="D462" t="str">
        <f t="shared" si="33"/>
        <v>No</v>
      </c>
      <c r="E462" t="str">
        <f t="shared" si="32"/>
        <v/>
      </c>
      <c r="F462" t="s">
        <v>429</v>
      </c>
      <c r="G462">
        <f t="shared" si="34"/>
        <v>391930002</v>
      </c>
      <c r="H462" s="123">
        <v>431</v>
      </c>
    </row>
    <row r="463" spans="1:8" ht="15.5">
      <c r="A463">
        <f t="shared" si="31"/>
        <v>0</v>
      </c>
      <c r="B463" t="s">
        <v>463</v>
      </c>
      <c r="C463" t="s">
        <v>466</v>
      </c>
      <c r="D463" t="str">
        <f t="shared" si="33"/>
        <v>No</v>
      </c>
      <c r="E463" t="str">
        <f t="shared" si="32"/>
        <v/>
      </c>
      <c r="F463" t="s">
        <v>429</v>
      </c>
      <c r="G463">
        <f t="shared" si="34"/>
        <v>391930002</v>
      </c>
      <c r="H463" s="123">
        <v>432</v>
      </c>
    </row>
    <row r="464" spans="1:8" ht="15.5">
      <c r="A464">
        <f t="shared" si="31"/>
        <v>0</v>
      </c>
      <c r="B464" t="s">
        <v>463</v>
      </c>
      <c r="C464" t="s">
        <v>466</v>
      </c>
      <c r="D464" t="str">
        <f t="shared" si="33"/>
        <v>No</v>
      </c>
      <c r="E464" t="str">
        <f t="shared" si="32"/>
        <v/>
      </c>
      <c r="F464" t="s">
        <v>429</v>
      </c>
      <c r="G464">
        <f t="shared" si="34"/>
        <v>391930002</v>
      </c>
      <c r="H464" s="123">
        <v>433</v>
      </c>
    </row>
    <row r="465" spans="1:8" ht="15.5">
      <c r="A465">
        <f t="shared" si="31"/>
        <v>0</v>
      </c>
      <c r="B465" t="s">
        <v>463</v>
      </c>
      <c r="C465" t="s">
        <v>466</v>
      </c>
      <c r="D465" t="str">
        <f t="shared" si="33"/>
        <v>No</v>
      </c>
      <c r="E465" t="str">
        <f t="shared" si="32"/>
        <v/>
      </c>
      <c r="F465" t="s">
        <v>429</v>
      </c>
      <c r="G465">
        <f t="shared" si="34"/>
        <v>391930002</v>
      </c>
      <c r="H465" s="123">
        <v>434</v>
      </c>
    </row>
    <row r="466" spans="1:8" ht="15.5">
      <c r="A466">
        <f t="shared" si="31"/>
        <v>0</v>
      </c>
      <c r="B466" t="s">
        <v>463</v>
      </c>
      <c r="C466" t="s">
        <v>466</v>
      </c>
      <c r="D466" t="str">
        <f t="shared" si="33"/>
        <v>No</v>
      </c>
      <c r="E466" t="str">
        <f t="shared" si="32"/>
        <v/>
      </c>
      <c r="F466" t="s">
        <v>429</v>
      </c>
      <c r="G466">
        <f t="shared" si="34"/>
        <v>391930002</v>
      </c>
      <c r="H466" s="123">
        <v>435</v>
      </c>
    </row>
    <row r="467" spans="1:8" ht="15.5">
      <c r="A467">
        <f t="shared" si="31"/>
        <v>0</v>
      </c>
      <c r="B467" t="s">
        <v>463</v>
      </c>
      <c r="C467" t="s">
        <v>466</v>
      </c>
      <c r="D467" t="str">
        <f t="shared" si="33"/>
        <v>No</v>
      </c>
      <c r="E467" t="str">
        <f t="shared" si="32"/>
        <v/>
      </c>
      <c r="F467" t="s">
        <v>429</v>
      </c>
      <c r="G467">
        <f t="shared" si="34"/>
        <v>391930002</v>
      </c>
      <c r="H467" s="123">
        <v>436</v>
      </c>
    </row>
    <row r="468" spans="1:8" ht="15.5">
      <c r="A468">
        <f t="shared" si="31"/>
        <v>0</v>
      </c>
      <c r="B468" t="s">
        <v>463</v>
      </c>
      <c r="C468" t="s">
        <v>466</v>
      </c>
      <c r="D468" t="str">
        <f t="shared" si="33"/>
        <v>No</v>
      </c>
      <c r="E468" t="str">
        <f t="shared" si="32"/>
        <v/>
      </c>
      <c r="F468" t="s">
        <v>429</v>
      </c>
      <c r="G468">
        <f t="shared" si="34"/>
        <v>391930002</v>
      </c>
      <c r="H468" s="123">
        <v>437</v>
      </c>
    </row>
    <row r="469" spans="1:8" ht="15.5">
      <c r="A469">
        <f t="shared" si="31"/>
        <v>0</v>
      </c>
      <c r="B469" t="s">
        <v>463</v>
      </c>
      <c r="C469" t="s">
        <v>466</v>
      </c>
      <c r="D469" t="str">
        <f t="shared" si="33"/>
        <v>No</v>
      </c>
      <c r="E469" t="str">
        <f t="shared" si="32"/>
        <v/>
      </c>
      <c r="F469" t="s">
        <v>429</v>
      </c>
      <c r="G469">
        <f t="shared" si="34"/>
        <v>391930002</v>
      </c>
      <c r="H469" s="123">
        <v>438</v>
      </c>
    </row>
    <row r="470" spans="1:8" ht="15.5">
      <c r="A470">
        <f t="shared" si="31"/>
        <v>0</v>
      </c>
      <c r="B470" t="s">
        <v>463</v>
      </c>
      <c r="C470" t="s">
        <v>466</v>
      </c>
      <c r="D470" t="str">
        <f t="shared" si="33"/>
        <v>No</v>
      </c>
      <c r="E470" t="str">
        <f t="shared" si="32"/>
        <v/>
      </c>
      <c r="F470" t="s">
        <v>429</v>
      </c>
      <c r="G470">
        <f t="shared" si="34"/>
        <v>391930002</v>
      </c>
      <c r="H470" s="123">
        <v>439</v>
      </c>
    </row>
    <row r="471" spans="1:8" ht="15.5">
      <c r="A471">
        <f t="shared" si="31"/>
        <v>0</v>
      </c>
      <c r="B471" t="s">
        <v>463</v>
      </c>
      <c r="C471" t="s">
        <v>466</v>
      </c>
      <c r="D471" t="str">
        <f t="shared" si="33"/>
        <v>No</v>
      </c>
      <c r="E471" t="str">
        <f t="shared" si="32"/>
        <v/>
      </c>
      <c r="F471" t="s">
        <v>429</v>
      </c>
      <c r="G471">
        <f t="shared" si="34"/>
        <v>391930002</v>
      </c>
      <c r="H471" s="123">
        <v>440</v>
      </c>
    </row>
    <row r="472" spans="1:8" ht="15.5">
      <c r="A472">
        <f t="shared" si="31"/>
        <v>0</v>
      </c>
      <c r="B472" t="s">
        <v>463</v>
      </c>
      <c r="C472" t="s">
        <v>466</v>
      </c>
      <c r="D472" t="str">
        <f t="shared" si="33"/>
        <v>No</v>
      </c>
      <c r="E472" t="str">
        <f t="shared" si="32"/>
        <v/>
      </c>
      <c r="F472" t="s">
        <v>429</v>
      </c>
      <c r="G472">
        <f t="shared" si="34"/>
        <v>391930002</v>
      </c>
      <c r="H472" s="123">
        <v>441</v>
      </c>
    </row>
    <row r="473" spans="1:8" ht="15.5">
      <c r="A473">
        <f t="shared" ref="A473:A536" si="35">IF(D473="Yes",1,0)</f>
        <v>0</v>
      </c>
      <c r="B473" t="s">
        <v>463</v>
      </c>
      <c r="C473" t="s">
        <v>466</v>
      </c>
      <c r="D473" t="str">
        <f t="shared" si="33"/>
        <v>No</v>
      </c>
      <c r="E473" t="str">
        <f t="shared" si="32"/>
        <v/>
      </c>
      <c r="F473" t="s">
        <v>429</v>
      </c>
      <c r="G473">
        <f t="shared" si="34"/>
        <v>391930002</v>
      </c>
      <c r="H473" s="123">
        <v>442</v>
      </c>
    </row>
    <row r="474" spans="1:8" ht="15.5">
      <c r="A474">
        <f t="shared" si="35"/>
        <v>0</v>
      </c>
      <c r="B474" t="s">
        <v>463</v>
      </c>
      <c r="C474" t="s">
        <v>466</v>
      </c>
      <c r="D474" t="str">
        <f t="shared" si="33"/>
        <v>No</v>
      </c>
      <c r="E474" t="str">
        <f t="shared" si="32"/>
        <v/>
      </c>
      <c r="F474" t="s">
        <v>429</v>
      </c>
      <c r="G474">
        <f t="shared" si="34"/>
        <v>391930002</v>
      </c>
      <c r="H474" s="123">
        <v>443</v>
      </c>
    </row>
    <row r="475" spans="1:8" ht="15.5">
      <c r="A475">
        <f t="shared" si="35"/>
        <v>0</v>
      </c>
      <c r="B475" t="s">
        <v>463</v>
      </c>
      <c r="C475" t="s">
        <v>466</v>
      </c>
      <c r="D475" t="str">
        <f t="shared" si="33"/>
        <v>No</v>
      </c>
      <c r="E475" t="str">
        <f t="shared" si="32"/>
        <v/>
      </c>
      <c r="F475" t="s">
        <v>429</v>
      </c>
      <c r="G475">
        <f t="shared" si="34"/>
        <v>391930002</v>
      </c>
      <c r="H475" s="123">
        <v>444</v>
      </c>
    </row>
    <row r="476" spans="1:8" ht="15.5">
      <c r="A476">
        <f t="shared" si="35"/>
        <v>0</v>
      </c>
      <c r="B476" t="s">
        <v>463</v>
      </c>
      <c r="C476" t="s">
        <v>466</v>
      </c>
      <c r="D476" t="str">
        <f t="shared" si="33"/>
        <v>No</v>
      </c>
      <c r="E476" t="str">
        <f t="shared" si="32"/>
        <v/>
      </c>
      <c r="F476" t="s">
        <v>429</v>
      </c>
      <c r="G476">
        <f t="shared" si="34"/>
        <v>391930002</v>
      </c>
      <c r="H476" s="123">
        <v>445</v>
      </c>
    </row>
    <row r="477" spans="1:8" ht="15.5">
      <c r="A477">
        <f t="shared" si="35"/>
        <v>0</v>
      </c>
      <c r="B477" t="s">
        <v>463</v>
      </c>
      <c r="C477" t="s">
        <v>466</v>
      </c>
      <c r="D477" t="str">
        <f t="shared" si="33"/>
        <v>No</v>
      </c>
      <c r="E477" t="str">
        <f t="shared" si="32"/>
        <v/>
      </c>
      <c r="F477" t="s">
        <v>429</v>
      </c>
      <c r="G477">
        <f t="shared" si="34"/>
        <v>391930002</v>
      </c>
      <c r="H477" s="123">
        <v>446</v>
      </c>
    </row>
    <row r="478" spans="1:8" ht="15.5">
      <c r="A478">
        <f t="shared" si="35"/>
        <v>0</v>
      </c>
      <c r="B478" t="s">
        <v>463</v>
      </c>
      <c r="C478" t="s">
        <v>466</v>
      </c>
      <c r="D478" t="str">
        <f t="shared" si="33"/>
        <v>No</v>
      </c>
      <c r="E478" t="str">
        <f t="shared" si="32"/>
        <v/>
      </c>
      <c r="F478" t="s">
        <v>429</v>
      </c>
      <c r="G478">
        <f t="shared" si="34"/>
        <v>391930002</v>
      </c>
      <c r="H478" s="123">
        <v>447</v>
      </c>
    </row>
    <row r="479" spans="1:8" ht="15.5">
      <c r="A479">
        <f t="shared" si="35"/>
        <v>0</v>
      </c>
      <c r="B479" t="s">
        <v>463</v>
      </c>
      <c r="C479" t="s">
        <v>466</v>
      </c>
      <c r="D479" t="str">
        <f t="shared" si="33"/>
        <v>No</v>
      </c>
      <c r="E479" t="str">
        <f t="shared" si="32"/>
        <v/>
      </c>
      <c r="F479" t="s">
        <v>429</v>
      </c>
      <c r="G479">
        <f t="shared" si="34"/>
        <v>391930002</v>
      </c>
      <c r="H479" s="123">
        <v>448</v>
      </c>
    </row>
    <row r="480" spans="1:8" ht="15.5">
      <c r="A480">
        <f t="shared" si="35"/>
        <v>0</v>
      </c>
      <c r="B480" t="s">
        <v>463</v>
      </c>
      <c r="C480" t="s">
        <v>466</v>
      </c>
      <c r="D480" t="str">
        <f t="shared" si="33"/>
        <v>No</v>
      </c>
      <c r="E480" t="str">
        <f t="shared" ref="E480:E543" si="36">IF($D$11="Yes","",INDEX(ErrorCheck,MATCH($H480,ErrorCheckPlotNumber,0),MATCH($C480,ErrorCheckTitle,0)))</f>
        <v/>
      </c>
      <c r="F480" t="s">
        <v>429</v>
      </c>
      <c r="G480">
        <f t="shared" si="34"/>
        <v>391930002</v>
      </c>
      <c r="H480" s="123">
        <v>449</v>
      </c>
    </row>
    <row r="481" spans="1:8" ht="15.5">
      <c r="A481">
        <f t="shared" si="35"/>
        <v>0</v>
      </c>
      <c r="B481" t="s">
        <v>463</v>
      </c>
      <c r="C481" t="s">
        <v>466</v>
      </c>
      <c r="D481" t="str">
        <f t="shared" ref="D481:D544" si="37">IF(E481="", "No", "Yes")</f>
        <v>No</v>
      </c>
      <c r="E481" t="str">
        <f t="shared" si="36"/>
        <v/>
      </c>
      <c r="F481" t="s">
        <v>429</v>
      </c>
      <c r="G481">
        <f t="shared" si="34"/>
        <v>391930002</v>
      </c>
      <c r="H481" s="123">
        <v>450</v>
      </c>
    </row>
    <row r="482" spans="1:8" ht="15.5">
      <c r="A482">
        <f t="shared" si="35"/>
        <v>0</v>
      </c>
      <c r="B482" t="s">
        <v>463</v>
      </c>
      <c r="C482" t="s">
        <v>466</v>
      </c>
      <c r="D482" t="str">
        <f t="shared" si="37"/>
        <v>No</v>
      </c>
      <c r="E482" t="str">
        <f t="shared" si="36"/>
        <v/>
      </c>
      <c r="F482" t="s">
        <v>429</v>
      </c>
      <c r="G482">
        <f t="shared" si="34"/>
        <v>391930002</v>
      </c>
      <c r="H482" s="123">
        <v>451</v>
      </c>
    </row>
    <row r="483" spans="1:8" ht="15.5">
      <c r="A483">
        <f t="shared" si="35"/>
        <v>0</v>
      </c>
      <c r="B483" t="s">
        <v>463</v>
      </c>
      <c r="C483" t="s">
        <v>466</v>
      </c>
      <c r="D483" t="str">
        <f t="shared" si="37"/>
        <v>No</v>
      </c>
      <c r="E483" t="str">
        <f t="shared" si="36"/>
        <v/>
      </c>
      <c r="F483" t="s">
        <v>429</v>
      </c>
      <c r="G483">
        <f t="shared" si="34"/>
        <v>391930002</v>
      </c>
      <c r="H483" s="123">
        <v>452</v>
      </c>
    </row>
    <row r="484" spans="1:8" ht="15.5">
      <c r="A484">
        <f t="shared" si="35"/>
        <v>0</v>
      </c>
      <c r="B484" t="s">
        <v>463</v>
      </c>
      <c r="C484" t="s">
        <v>466</v>
      </c>
      <c r="D484" t="str">
        <f t="shared" si="37"/>
        <v>No</v>
      </c>
      <c r="E484" t="str">
        <f t="shared" si="36"/>
        <v/>
      </c>
      <c r="F484" t="s">
        <v>429</v>
      </c>
      <c r="G484">
        <f t="shared" si="34"/>
        <v>391930002</v>
      </c>
      <c r="H484" s="123">
        <v>453</v>
      </c>
    </row>
    <row r="485" spans="1:8" ht="15.5">
      <c r="A485">
        <f t="shared" si="35"/>
        <v>0</v>
      </c>
      <c r="B485" t="s">
        <v>463</v>
      </c>
      <c r="C485" t="s">
        <v>466</v>
      </c>
      <c r="D485" t="str">
        <f t="shared" si="37"/>
        <v>No</v>
      </c>
      <c r="E485" t="str">
        <f t="shared" si="36"/>
        <v/>
      </c>
      <c r="F485" t="s">
        <v>429</v>
      </c>
      <c r="G485">
        <f t="shared" si="34"/>
        <v>391930002</v>
      </c>
      <c r="H485" s="123">
        <v>454</v>
      </c>
    </row>
    <row r="486" spans="1:8" ht="15.5">
      <c r="A486">
        <f t="shared" si="35"/>
        <v>0</v>
      </c>
      <c r="B486" t="s">
        <v>463</v>
      </c>
      <c r="C486" t="s">
        <v>466</v>
      </c>
      <c r="D486" t="str">
        <f t="shared" si="37"/>
        <v>No</v>
      </c>
      <c r="E486" t="str">
        <f t="shared" si="36"/>
        <v/>
      </c>
      <c r="F486" t="s">
        <v>429</v>
      </c>
      <c r="G486">
        <f t="shared" si="34"/>
        <v>391930002</v>
      </c>
      <c r="H486" s="123">
        <v>455</v>
      </c>
    </row>
    <row r="487" spans="1:8" ht="15.5">
      <c r="A487">
        <f t="shared" si="35"/>
        <v>0</v>
      </c>
      <c r="B487" t="s">
        <v>463</v>
      </c>
      <c r="C487" t="s">
        <v>466</v>
      </c>
      <c r="D487" t="str">
        <f t="shared" si="37"/>
        <v>No</v>
      </c>
      <c r="E487" t="str">
        <f t="shared" si="36"/>
        <v/>
      </c>
      <c r="F487" t="s">
        <v>429</v>
      </c>
      <c r="G487">
        <f t="shared" si="34"/>
        <v>391930002</v>
      </c>
      <c r="H487" s="123">
        <v>456</v>
      </c>
    </row>
    <row r="488" spans="1:8" ht="15.5">
      <c r="A488">
        <f t="shared" si="35"/>
        <v>0</v>
      </c>
      <c r="B488" t="s">
        <v>463</v>
      </c>
      <c r="C488" t="s">
        <v>466</v>
      </c>
      <c r="D488" t="str">
        <f t="shared" si="37"/>
        <v>No</v>
      </c>
      <c r="E488" t="str">
        <f t="shared" si="36"/>
        <v/>
      </c>
      <c r="F488" t="s">
        <v>429</v>
      </c>
      <c r="G488">
        <f t="shared" si="34"/>
        <v>391930002</v>
      </c>
      <c r="H488" s="123">
        <v>457</v>
      </c>
    </row>
    <row r="489" spans="1:8" ht="15.5">
      <c r="A489">
        <f t="shared" si="35"/>
        <v>0</v>
      </c>
      <c r="B489" t="s">
        <v>463</v>
      </c>
      <c r="C489" t="s">
        <v>466</v>
      </c>
      <c r="D489" t="str">
        <f t="shared" si="37"/>
        <v>No</v>
      </c>
      <c r="E489" t="str">
        <f t="shared" si="36"/>
        <v/>
      </c>
      <c r="F489" t="s">
        <v>429</v>
      </c>
      <c r="G489">
        <f t="shared" si="34"/>
        <v>391930002</v>
      </c>
      <c r="H489" s="123">
        <v>458</v>
      </c>
    </row>
    <row r="490" spans="1:8" ht="15.5">
      <c r="A490">
        <f t="shared" si="35"/>
        <v>0</v>
      </c>
      <c r="B490" t="s">
        <v>463</v>
      </c>
      <c r="C490" t="s">
        <v>466</v>
      </c>
      <c r="D490" t="str">
        <f t="shared" si="37"/>
        <v>No</v>
      </c>
      <c r="E490" t="str">
        <f t="shared" si="36"/>
        <v/>
      </c>
      <c r="F490" t="s">
        <v>429</v>
      </c>
      <c r="G490">
        <f t="shared" si="34"/>
        <v>391930002</v>
      </c>
      <c r="H490" s="123">
        <v>459</v>
      </c>
    </row>
    <row r="491" spans="1:8" ht="15.5">
      <c r="A491">
        <f t="shared" si="35"/>
        <v>0</v>
      </c>
      <c r="B491" t="s">
        <v>463</v>
      </c>
      <c r="C491" t="s">
        <v>466</v>
      </c>
      <c r="D491" t="str">
        <f t="shared" si="37"/>
        <v>No</v>
      </c>
      <c r="E491" t="str">
        <f t="shared" si="36"/>
        <v/>
      </c>
      <c r="F491" t="s">
        <v>429</v>
      </c>
      <c r="G491">
        <f t="shared" si="34"/>
        <v>391930002</v>
      </c>
      <c r="H491" s="123">
        <v>460</v>
      </c>
    </row>
    <row r="492" spans="1:8" ht="15.5">
      <c r="A492">
        <f t="shared" si="35"/>
        <v>0</v>
      </c>
      <c r="B492" t="s">
        <v>463</v>
      </c>
      <c r="C492" t="s">
        <v>466</v>
      </c>
      <c r="D492" t="str">
        <f t="shared" si="37"/>
        <v>No</v>
      </c>
      <c r="E492" t="str">
        <f t="shared" si="36"/>
        <v/>
      </c>
      <c r="F492" t="s">
        <v>429</v>
      </c>
      <c r="G492">
        <f t="shared" si="34"/>
        <v>391930002</v>
      </c>
      <c r="H492" s="123">
        <v>461</v>
      </c>
    </row>
    <row r="493" spans="1:8" ht="15.5">
      <c r="A493">
        <f t="shared" si="35"/>
        <v>0</v>
      </c>
      <c r="B493" t="s">
        <v>463</v>
      </c>
      <c r="C493" t="s">
        <v>466</v>
      </c>
      <c r="D493" t="str">
        <f t="shared" si="37"/>
        <v>No</v>
      </c>
      <c r="E493" t="str">
        <f t="shared" si="36"/>
        <v/>
      </c>
      <c r="F493" t="s">
        <v>429</v>
      </c>
      <c r="G493">
        <f t="shared" si="34"/>
        <v>391930002</v>
      </c>
      <c r="H493" s="123">
        <v>462</v>
      </c>
    </row>
    <row r="494" spans="1:8" ht="15.5">
      <c r="A494">
        <f t="shared" si="35"/>
        <v>0</v>
      </c>
      <c r="B494" t="s">
        <v>463</v>
      </c>
      <c r="C494" t="s">
        <v>466</v>
      </c>
      <c r="D494" t="str">
        <f t="shared" si="37"/>
        <v>No</v>
      </c>
      <c r="E494" t="str">
        <f t="shared" si="36"/>
        <v/>
      </c>
      <c r="F494" t="s">
        <v>429</v>
      </c>
      <c r="G494">
        <f t="shared" si="34"/>
        <v>391930002</v>
      </c>
      <c r="H494" s="123">
        <v>463</v>
      </c>
    </row>
    <row r="495" spans="1:8" ht="15.5">
      <c r="A495">
        <f t="shared" si="35"/>
        <v>0</v>
      </c>
      <c r="B495" t="s">
        <v>463</v>
      </c>
      <c r="C495" t="s">
        <v>466</v>
      </c>
      <c r="D495" t="str">
        <f t="shared" si="37"/>
        <v>No</v>
      </c>
      <c r="E495" t="str">
        <f t="shared" si="36"/>
        <v/>
      </c>
      <c r="F495" t="s">
        <v>429</v>
      </c>
      <c r="G495">
        <f t="shared" si="34"/>
        <v>391930002</v>
      </c>
      <c r="H495" s="123">
        <v>464</v>
      </c>
    </row>
    <row r="496" spans="1:8" ht="15.5">
      <c r="A496">
        <f t="shared" si="35"/>
        <v>0</v>
      </c>
      <c r="B496" t="s">
        <v>463</v>
      </c>
      <c r="C496" t="s">
        <v>466</v>
      </c>
      <c r="D496" t="str">
        <f t="shared" si="37"/>
        <v>No</v>
      </c>
      <c r="E496" t="str">
        <f t="shared" si="36"/>
        <v/>
      </c>
      <c r="F496" t="s">
        <v>429</v>
      </c>
      <c r="G496">
        <f t="shared" si="34"/>
        <v>391930002</v>
      </c>
      <c r="H496" s="123">
        <v>465</v>
      </c>
    </row>
    <row r="497" spans="1:8" ht="15.5">
      <c r="A497">
        <f t="shared" si="35"/>
        <v>0</v>
      </c>
      <c r="B497" t="s">
        <v>463</v>
      </c>
      <c r="C497" t="s">
        <v>466</v>
      </c>
      <c r="D497" t="str">
        <f t="shared" si="37"/>
        <v>No</v>
      </c>
      <c r="E497" t="str">
        <f t="shared" si="36"/>
        <v/>
      </c>
      <c r="F497" t="s">
        <v>429</v>
      </c>
      <c r="G497">
        <f t="shared" si="34"/>
        <v>391930002</v>
      </c>
      <c r="H497" s="123">
        <v>466</v>
      </c>
    </row>
    <row r="498" spans="1:8" ht="15.5">
      <c r="A498">
        <f t="shared" si="35"/>
        <v>0</v>
      </c>
      <c r="B498" t="s">
        <v>463</v>
      </c>
      <c r="C498" t="s">
        <v>466</v>
      </c>
      <c r="D498" t="str">
        <f t="shared" si="37"/>
        <v>No</v>
      </c>
      <c r="E498" t="str">
        <f t="shared" si="36"/>
        <v/>
      </c>
      <c r="F498" t="s">
        <v>429</v>
      </c>
      <c r="G498">
        <f t="shared" si="34"/>
        <v>391930002</v>
      </c>
      <c r="H498" s="123">
        <v>467</v>
      </c>
    </row>
    <row r="499" spans="1:8" ht="15.5">
      <c r="A499">
        <f t="shared" si="35"/>
        <v>0</v>
      </c>
      <c r="B499" t="s">
        <v>463</v>
      </c>
      <c r="C499" t="s">
        <v>466</v>
      </c>
      <c r="D499" t="str">
        <f t="shared" si="37"/>
        <v>No</v>
      </c>
      <c r="E499" t="str">
        <f t="shared" si="36"/>
        <v/>
      </c>
      <c r="F499" t="s">
        <v>429</v>
      </c>
      <c r="G499">
        <f t="shared" si="34"/>
        <v>391930002</v>
      </c>
      <c r="H499" s="123">
        <v>468</v>
      </c>
    </row>
    <row r="500" spans="1:8" ht="15.5">
      <c r="A500">
        <f t="shared" si="35"/>
        <v>0</v>
      </c>
      <c r="B500" t="s">
        <v>463</v>
      </c>
      <c r="C500" t="s">
        <v>466</v>
      </c>
      <c r="D500" t="str">
        <f t="shared" si="37"/>
        <v>No</v>
      </c>
      <c r="E500" t="str">
        <f t="shared" si="36"/>
        <v/>
      </c>
      <c r="F500" t="s">
        <v>429</v>
      </c>
      <c r="G500">
        <f t="shared" si="34"/>
        <v>391930002</v>
      </c>
      <c r="H500" s="123">
        <v>469</v>
      </c>
    </row>
    <row r="501" spans="1:8" ht="15.5">
      <c r="A501">
        <f t="shared" si="35"/>
        <v>0</v>
      </c>
      <c r="B501" t="s">
        <v>463</v>
      </c>
      <c r="C501" t="s">
        <v>466</v>
      </c>
      <c r="D501" t="str">
        <f t="shared" si="37"/>
        <v>No</v>
      </c>
      <c r="E501" t="str">
        <f t="shared" si="36"/>
        <v/>
      </c>
      <c r="F501" t="s">
        <v>429</v>
      </c>
      <c r="G501">
        <f t="shared" si="34"/>
        <v>391930002</v>
      </c>
      <c r="H501" s="123">
        <v>470</v>
      </c>
    </row>
    <row r="502" spans="1:8" ht="15.5">
      <c r="A502">
        <f t="shared" si="35"/>
        <v>0</v>
      </c>
      <c r="B502" t="s">
        <v>463</v>
      </c>
      <c r="C502" t="s">
        <v>466</v>
      </c>
      <c r="D502" t="str">
        <f t="shared" si="37"/>
        <v>No</v>
      </c>
      <c r="E502" t="str">
        <f t="shared" si="36"/>
        <v/>
      </c>
      <c r="F502" t="s">
        <v>429</v>
      </c>
      <c r="G502">
        <f t="shared" si="34"/>
        <v>391930002</v>
      </c>
      <c r="H502" s="123">
        <v>471</v>
      </c>
    </row>
    <row r="503" spans="1:8" ht="15.5">
      <c r="A503">
        <f t="shared" si="35"/>
        <v>0</v>
      </c>
      <c r="B503" t="s">
        <v>463</v>
      </c>
      <c r="C503" t="s">
        <v>466</v>
      </c>
      <c r="D503" t="str">
        <f t="shared" si="37"/>
        <v>No</v>
      </c>
      <c r="E503" t="str">
        <f t="shared" si="36"/>
        <v/>
      </c>
      <c r="F503" t="s">
        <v>429</v>
      </c>
      <c r="G503">
        <f t="shared" si="34"/>
        <v>391930002</v>
      </c>
      <c r="H503" s="123">
        <v>472</v>
      </c>
    </row>
    <row r="504" spans="1:8" ht="15.5">
      <c r="A504">
        <f t="shared" si="35"/>
        <v>0</v>
      </c>
      <c r="B504" t="s">
        <v>463</v>
      </c>
      <c r="C504" t="s">
        <v>466</v>
      </c>
      <c r="D504" t="str">
        <f t="shared" si="37"/>
        <v>No</v>
      </c>
      <c r="E504" t="str">
        <f t="shared" si="36"/>
        <v/>
      </c>
      <c r="F504" t="s">
        <v>429</v>
      </c>
      <c r="G504">
        <f t="shared" si="34"/>
        <v>391930002</v>
      </c>
      <c r="H504" s="123">
        <v>473</v>
      </c>
    </row>
    <row r="505" spans="1:8" ht="15.5">
      <c r="A505">
        <f t="shared" si="35"/>
        <v>0</v>
      </c>
      <c r="B505" t="s">
        <v>463</v>
      </c>
      <c r="C505" t="s">
        <v>466</v>
      </c>
      <c r="D505" t="str">
        <f t="shared" si="37"/>
        <v>No</v>
      </c>
      <c r="E505" t="str">
        <f t="shared" si="36"/>
        <v/>
      </c>
      <c r="F505" t="s">
        <v>429</v>
      </c>
      <c r="G505">
        <f t="shared" si="34"/>
        <v>391930002</v>
      </c>
      <c r="H505" s="123">
        <v>474</v>
      </c>
    </row>
    <row r="506" spans="1:8" ht="15.5">
      <c r="A506">
        <f t="shared" si="35"/>
        <v>0</v>
      </c>
      <c r="B506" t="s">
        <v>463</v>
      </c>
      <c r="C506" t="s">
        <v>466</v>
      </c>
      <c r="D506" t="str">
        <f t="shared" si="37"/>
        <v>No</v>
      </c>
      <c r="E506" t="str">
        <f t="shared" si="36"/>
        <v/>
      </c>
      <c r="F506" t="s">
        <v>429</v>
      </c>
      <c r="G506">
        <f t="shared" si="34"/>
        <v>391930002</v>
      </c>
      <c r="H506" s="123">
        <v>475</v>
      </c>
    </row>
    <row r="507" spans="1:8" ht="15.5">
      <c r="A507">
        <f t="shared" si="35"/>
        <v>0</v>
      </c>
      <c r="B507" t="s">
        <v>463</v>
      </c>
      <c r="C507" t="s">
        <v>466</v>
      </c>
      <c r="D507" t="str">
        <f t="shared" si="37"/>
        <v>No</v>
      </c>
      <c r="E507" t="str">
        <f t="shared" si="36"/>
        <v/>
      </c>
      <c r="F507" t="s">
        <v>429</v>
      </c>
      <c r="G507">
        <f t="shared" si="34"/>
        <v>391930002</v>
      </c>
      <c r="H507" s="123">
        <v>476</v>
      </c>
    </row>
    <row r="508" spans="1:8" ht="15.5">
      <c r="A508">
        <f t="shared" si="35"/>
        <v>0</v>
      </c>
      <c r="B508" t="s">
        <v>463</v>
      </c>
      <c r="C508" t="s">
        <v>466</v>
      </c>
      <c r="D508" t="str">
        <f t="shared" si="37"/>
        <v>No</v>
      </c>
      <c r="E508" t="str">
        <f t="shared" si="36"/>
        <v/>
      </c>
      <c r="F508" t="s">
        <v>429</v>
      </c>
      <c r="G508">
        <f t="shared" si="34"/>
        <v>391930002</v>
      </c>
      <c r="H508" s="123">
        <v>477</v>
      </c>
    </row>
    <row r="509" spans="1:8" ht="15.5">
      <c r="A509">
        <f t="shared" si="35"/>
        <v>0</v>
      </c>
      <c r="B509" t="s">
        <v>463</v>
      </c>
      <c r="C509" t="s">
        <v>466</v>
      </c>
      <c r="D509" t="str">
        <f t="shared" si="37"/>
        <v>No</v>
      </c>
      <c r="E509" t="str">
        <f t="shared" si="36"/>
        <v/>
      </c>
      <c r="F509" t="s">
        <v>429</v>
      </c>
      <c r="G509">
        <f t="shared" si="34"/>
        <v>391930002</v>
      </c>
      <c r="H509" s="123">
        <v>478</v>
      </c>
    </row>
    <row r="510" spans="1:8" ht="15.5">
      <c r="A510">
        <f t="shared" si="35"/>
        <v>0</v>
      </c>
      <c r="B510" t="s">
        <v>463</v>
      </c>
      <c r="C510" t="s">
        <v>466</v>
      </c>
      <c r="D510" t="str">
        <f t="shared" si="37"/>
        <v>No</v>
      </c>
      <c r="E510" t="str">
        <f t="shared" si="36"/>
        <v/>
      </c>
      <c r="F510" t="s">
        <v>429</v>
      </c>
      <c r="G510">
        <f t="shared" si="34"/>
        <v>391930002</v>
      </c>
      <c r="H510" s="123">
        <v>479</v>
      </c>
    </row>
    <row r="511" spans="1:8" ht="15.5">
      <c r="A511">
        <f t="shared" si="35"/>
        <v>0</v>
      </c>
      <c r="B511" t="s">
        <v>463</v>
      </c>
      <c r="C511" t="s">
        <v>466</v>
      </c>
      <c r="D511" t="str">
        <f t="shared" si="37"/>
        <v>No</v>
      </c>
      <c r="E511" t="str">
        <f t="shared" si="36"/>
        <v/>
      </c>
      <c r="F511" t="s">
        <v>429</v>
      </c>
      <c r="G511">
        <f t="shared" si="34"/>
        <v>391930002</v>
      </c>
      <c r="H511" s="123">
        <v>480</v>
      </c>
    </row>
    <row r="512" spans="1:8" ht="15.5">
      <c r="A512">
        <f t="shared" si="35"/>
        <v>0</v>
      </c>
      <c r="B512" t="s">
        <v>463</v>
      </c>
      <c r="C512" t="s">
        <v>466</v>
      </c>
      <c r="D512" t="str">
        <f t="shared" si="37"/>
        <v>No</v>
      </c>
      <c r="E512" t="str">
        <f t="shared" si="36"/>
        <v/>
      </c>
      <c r="F512" t="s">
        <v>429</v>
      </c>
      <c r="G512">
        <f t="shared" si="34"/>
        <v>391930002</v>
      </c>
      <c r="H512" s="123">
        <v>481</v>
      </c>
    </row>
    <row r="513" spans="1:8" ht="15.5">
      <c r="A513">
        <f t="shared" si="35"/>
        <v>0</v>
      </c>
      <c r="B513" t="s">
        <v>463</v>
      </c>
      <c r="C513" t="s">
        <v>466</v>
      </c>
      <c r="D513" t="str">
        <f t="shared" si="37"/>
        <v>No</v>
      </c>
      <c r="E513" t="str">
        <f t="shared" si="36"/>
        <v/>
      </c>
      <c r="F513" t="s">
        <v>429</v>
      </c>
      <c r="G513">
        <f t="shared" si="34"/>
        <v>391930002</v>
      </c>
      <c r="H513" s="123">
        <v>482</v>
      </c>
    </row>
    <row r="514" spans="1:8" ht="15.5">
      <c r="A514">
        <f t="shared" si="35"/>
        <v>0</v>
      </c>
      <c r="B514" t="s">
        <v>463</v>
      </c>
      <c r="C514" t="s">
        <v>466</v>
      </c>
      <c r="D514" t="str">
        <f t="shared" si="37"/>
        <v>No</v>
      </c>
      <c r="E514" t="str">
        <f t="shared" si="36"/>
        <v/>
      </c>
      <c r="F514" t="s">
        <v>429</v>
      </c>
      <c r="G514">
        <f t="shared" si="34"/>
        <v>391930002</v>
      </c>
      <c r="H514" s="123">
        <v>483</v>
      </c>
    </row>
    <row r="515" spans="1:8" ht="15.5">
      <c r="A515">
        <f t="shared" si="35"/>
        <v>0</v>
      </c>
      <c r="B515" t="s">
        <v>463</v>
      </c>
      <c r="C515" t="s">
        <v>466</v>
      </c>
      <c r="D515" t="str">
        <f t="shared" si="37"/>
        <v>No</v>
      </c>
      <c r="E515" t="str">
        <f t="shared" si="36"/>
        <v/>
      </c>
      <c r="F515" t="s">
        <v>429</v>
      </c>
      <c r="G515">
        <f t="shared" si="34"/>
        <v>391930002</v>
      </c>
      <c r="H515" s="123">
        <v>484</v>
      </c>
    </row>
    <row r="516" spans="1:8" ht="15.5">
      <c r="A516">
        <f t="shared" si="35"/>
        <v>0</v>
      </c>
      <c r="B516" t="s">
        <v>463</v>
      </c>
      <c r="C516" t="s">
        <v>466</v>
      </c>
      <c r="D516" t="str">
        <f t="shared" si="37"/>
        <v>No</v>
      </c>
      <c r="E516" t="str">
        <f t="shared" si="36"/>
        <v/>
      </c>
      <c r="F516" t="s">
        <v>429</v>
      </c>
      <c r="G516">
        <f t="shared" si="34"/>
        <v>391930002</v>
      </c>
      <c r="H516" s="123">
        <v>485</v>
      </c>
    </row>
    <row r="517" spans="1:8" ht="15.5">
      <c r="A517">
        <f t="shared" si="35"/>
        <v>0</v>
      </c>
      <c r="B517" t="s">
        <v>463</v>
      </c>
      <c r="C517" t="s">
        <v>466</v>
      </c>
      <c r="D517" t="str">
        <f t="shared" si="37"/>
        <v>No</v>
      </c>
      <c r="E517" t="str">
        <f t="shared" si="36"/>
        <v/>
      </c>
      <c r="F517" t="s">
        <v>429</v>
      </c>
      <c r="G517">
        <f t="shared" si="34"/>
        <v>391930002</v>
      </c>
      <c r="H517" s="123">
        <v>486</v>
      </c>
    </row>
    <row r="518" spans="1:8" ht="15.5">
      <c r="A518">
        <f t="shared" si="35"/>
        <v>0</v>
      </c>
      <c r="B518" t="s">
        <v>463</v>
      </c>
      <c r="C518" t="s">
        <v>466</v>
      </c>
      <c r="D518" t="str">
        <f t="shared" si="37"/>
        <v>No</v>
      </c>
      <c r="E518" t="str">
        <f t="shared" si="36"/>
        <v/>
      </c>
      <c r="F518" t="s">
        <v>429</v>
      </c>
      <c r="G518">
        <f t="shared" si="34"/>
        <v>391930002</v>
      </c>
      <c r="H518" s="123">
        <v>487</v>
      </c>
    </row>
    <row r="519" spans="1:8" ht="15.5">
      <c r="A519">
        <f t="shared" si="35"/>
        <v>0</v>
      </c>
      <c r="B519" t="s">
        <v>463</v>
      </c>
      <c r="C519" t="s">
        <v>466</v>
      </c>
      <c r="D519" t="str">
        <f t="shared" si="37"/>
        <v>No</v>
      </c>
      <c r="E519" t="str">
        <f t="shared" si="36"/>
        <v/>
      </c>
      <c r="F519" t="s">
        <v>429</v>
      </c>
      <c r="G519">
        <f t="shared" ref="G519:G582" si="38">INDEX(IssueType,MATCH($F519,IssueTypeName,0),2)</f>
        <v>391930002</v>
      </c>
      <c r="H519" s="123">
        <v>488</v>
      </c>
    </row>
    <row r="520" spans="1:8" ht="15.5">
      <c r="A520">
        <f t="shared" si="35"/>
        <v>0</v>
      </c>
      <c r="B520" t="s">
        <v>463</v>
      </c>
      <c r="C520" t="s">
        <v>466</v>
      </c>
      <c r="D520" t="str">
        <f t="shared" si="37"/>
        <v>No</v>
      </c>
      <c r="E520" t="str">
        <f t="shared" si="36"/>
        <v/>
      </c>
      <c r="F520" t="s">
        <v>429</v>
      </c>
      <c r="G520">
        <f t="shared" si="38"/>
        <v>391930002</v>
      </c>
      <c r="H520" s="123">
        <v>489</v>
      </c>
    </row>
    <row r="521" spans="1:8" ht="15.5">
      <c r="A521">
        <f t="shared" si="35"/>
        <v>0</v>
      </c>
      <c r="B521" t="s">
        <v>463</v>
      </c>
      <c r="C521" t="s">
        <v>466</v>
      </c>
      <c r="D521" t="str">
        <f t="shared" si="37"/>
        <v>No</v>
      </c>
      <c r="E521" t="str">
        <f t="shared" si="36"/>
        <v/>
      </c>
      <c r="F521" t="s">
        <v>429</v>
      </c>
      <c r="G521">
        <f t="shared" si="38"/>
        <v>391930002</v>
      </c>
      <c r="H521" s="123">
        <v>490</v>
      </c>
    </row>
    <row r="522" spans="1:8" ht="15.5">
      <c r="A522">
        <f t="shared" si="35"/>
        <v>0</v>
      </c>
      <c r="B522" t="s">
        <v>463</v>
      </c>
      <c r="C522" t="s">
        <v>466</v>
      </c>
      <c r="D522" t="str">
        <f t="shared" si="37"/>
        <v>No</v>
      </c>
      <c r="E522" t="str">
        <f t="shared" si="36"/>
        <v/>
      </c>
      <c r="F522" t="s">
        <v>429</v>
      </c>
      <c r="G522">
        <f t="shared" si="38"/>
        <v>391930002</v>
      </c>
      <c r="H522" s="123">
        <v>491</v>
      </c>
    </row>
    <row r="523" spans="1:8" ht="15.5">
      <c r="A523">
        <f t="shared" si="35"/>
        <v>0</v>
      </c>
      <c r="B523" t="s">
        <v>463</v>
      </c>
      <c r="C523" t="s">
        <v>466</v>
      </c>
      <c r="D523" t="str">
        <f t="shared" si="37"/>
        <v>No</v>
      </c>
      <c r="E523" t="str">
        <f t="shared" si="36"/>
        <v/>
      </c>
      <c r="F523" t="s">
        <v>429</v>
      </c>
      <c r="G523">
        <f t="shared" si="38"/>
        <v>391930002</v>
      </c>
      <c r="H523" s="123">
        <v>492</v>
      </c>
    </row>
    <row r="524" spans="1:8" ht="15.5">
      <c r="A524">
        <f t="shared" si="35"/>
        <v>0</v>
      </c>
      <c r="B524" t="s">
        <v>463</v>
      </c>
      <c r="C524" t="s">
        <v>466</v>
      </c>
      <c r="D524" t="str">
        <f t="shared" si="37"/>
        <v>No</v>
      </c>
      <c r="E524" t="str">
        <f t="shared" si="36"/>
        <v/>
      </c>
      <c r="F524" t="s">
        <v>429</v>
      </c>
      <c r="G524">
        <f t="shared" si="38"/>
        <v>391930002</v>
      </c>
      <c r="H524" s="123">
        <v>493</v>
      </c>
    </row>
    <row r="525" spans="1:8" ht="15.5">
      <c r="A525">
        <f t="shared" si="35"/>
        <v>0</v>
      </c>
      <c r="B525" t="s">
        <v>463</v>
      </c>
      <c r="C525" t="s">
        <v>466</v>
      </c>
      <c r="D525" t="str">
        <f t="shared" si="37"/>
        <v>No</v>
      </c>
      <c r="E525" t="str">
        <f t="shared" si="36"/>
        <v/>
      </c>
      <c r="F525" t="s">
        <v>429</v>
      </c>
      <c r="G525">
        <f t="shared" si="38"/>
        <v>391930002</v>
      </c>
      <c r="H525" s="123">
        <v>494</v>
      </c>
    </row>
    <row r="526" spans="1:8" ht="15.5">
      <c r="A526">
        <f t="shared" si="35"/>
        <v>0</v>
      </c>
      <c r="B526" t="s">
        <v>463</v>
      </c>
      <c r="C526" t="s">
        <v>466</v>
      </c>
      <c r="D526" t="str">
        <f t="shared" si="37"/>
        <v>No</v>
      </c>
      <c r="E526" t="str">
        <f t="shared" si="36"/>
        <v/>
      </c>
      <c r="F526" t="s">
        <v>429</v>
      </c>
      <c r="G526">
        <f t="shared" si="38"/>
        <v>391930002</v>
      </c>
      <c r="H526" s="123">
        <v>495</v>
      </c>
    </row>
    <row r="527" spans="1:8" ht="15.5">
      <c r="A527">
        <f t="shared" si="35"/>
        <v>0</v>
      </c>
      <c r="B527" t="s">
        <v>463</v>
      </c>
      <c r="C527" t="s">
        <v>466</v>
      </c>
      <c r="D527" t="str">
        <f t="shared" si="37"/>
        <v>No</v>
      </c>
      <c r="E527" t="str">
        <f t="shared" si="36"/>
        <v/>
      </c>
      <c r="F527" t="s">
        <v>429</v>
      </c>
      <c r="G527">
        <f t="shared" si="38"/>
        <v>391930002</v>
      </c>
      <c r="H527" s="123">
        <v>496</v>
      </c>
    </row>
    <row r="528" spans="1:8" ht="15.5">
      <c r="A528">
        <f t="shared" si="35"/>
        <v>0</v>
      </c>
      <c r="B528" t="s">
        <v>463</v>
      </c>
      <c r="C528" t="s">
        <v>466</v>
      </c>
      <c r="D528" t="str">
        <f t="shared" si="37"/>
        <v>No</v>
      </c>
      <c r="E528" t="str">
        <f t="shared" si="36"/>
        <v/>
      </c>
      <c r="F528" t="s">
        <v>429</v>
      </c>
      <c r="G528">
        <f t="shared" si="38"/>
        <v>391930002</v>
      </c>
      <c r="H528" s="123">
        <v>497</v>
      </c>
    </row>
    <row r="529" spans="1:8" ht="15.5">
      <c r="A529">
        <f t="shared" si="35"/>
        <v>0</v>
      </c>
      <c r="B529" t="s">
        <v>463</v>
      </c>
      <c r="C529" t="s">
        <v>466</v>
      </c>
      <c r="D529" t="str">
        <f t="shared" si="37"/>
        <v>No</v>
      </c>
      <c r="E529" t="str">
        <f t="shared" si="36"/>
        <v/>
      </c>
      <c r="F529" t="s">
        <v>429</v>
      </c>
      <c r="G529">
        <f t="shared" si="38"/>
        <v>391930002</v>
      </c>
      <c r="H529" s="123">
        <v>498</v>
      </c>
    </row>
    <row r="530" spans="1:8" ht="15.5">
      <c r="A530">
        <f t="shared" si="35"/>
        <v>0</v>
      </c>
      <c r="B530" t="s">
        <v>463</v>
      </c>
      <c r="C530" t="s">
        <v>466</v>
      </c>
      <c r="D530" t="str">
        <f t="shared" si="37"/>
        <v>No</v>
      </c>
      <c r="E530" t="str">
        <f t="shared" si="36"/>
        <v/>
      </c>
      <c r="F530" t="s">
        <v>429</v>
      </c>
      <c r="G530">
        <f t="shared" si="38"/>
        <v>391930002</v>
      </c>
      <c r="H530" s="123">
        <v>499</v>
      </c>
    </row>
    <row r="531" spans="1:8" ht="15.5">
      <c r="A531">
        <f t="shared" si="35"/>
        <v>0</v>
      </c>
      <c r="B531" t="s">
        <v>463</v>
      </c>
      <c r="C531" t="s">
        <v>466</v>
      </c>
      <c r="D531" t="str">
        <f t="shared" si="37"/>
        <v>No</v>
      </c>
      <c r="E531" t="str">
        <f t="shared" si="36"/>
        <v/>
      </c>
      <c r="F531" t="s">
        <v>429</v>
      </c>
      <c r="G531">
        <f t="shared" si="38"/>
        <v>391930002</v>
      </c>
      <c r="H531" s="123">
        <v>500</v>
      </c>
    </row>
    <row r="532" spans="1:8" ht="15.5">
      <c r="A532">
        <f t="shared" si="35"/>
        <v>0</v>
      </c>
      <c r="B532" t="s">
        <v>463</v>
      </c>
      <c r="C532" t="s">
        <v>466</v>
      </c>
      <c r="D532" t="str">
        <f t="shared" si="37"/>
        <v>No</v>
      </c>
      <c r="E532" t="str">
        <f t="shared" si="36"/>
        <v/>
      </c>
      <c r="F532" t="s">
        <v>429</v>
      </c>
      <c r="G532">
        <f t="shared" si="38"/>
        <v>391930002</v>
      </c>
      <c r="H532" s="123">
        <v>501</v>
      </c>
    </row>
    <row r="533" spans="1:8" ht="15.5">
      <c r="A533">
        <f t="shared" si="35"/>
        <v>0</v>
      </c>
      <c r="B533" t="s">
        <v>463</v>
      </c>
      <c r="C533" t="s">
        <v>466</v>
      </c>
      <c r="D533" t="str">
        <f t="shared" si="37"/>
        <v>No</v>
      </c>
      <c r="E533" t="str">
        <f t="shared" si="36"/>
        <v/>
      </c>
      <c r="F533" t="s">
        <v>429</v>
      </c>
      <c r="G533">
        <f t="shared" si="38"/>
        <v>391930002</v>
      </c>
      <c r="H533" s="123">
        <v>502</v>
      </c>
    </row>
    <row r="534" spans="1:8" ht="15.5">
      <c r="A534">
        <f t="shared" si="35"/>
        <v>0</v>
      </c>
      <c r="B534" t="s">
        <v>463</v>
      </c>
      <c r="C534" t="s">
        <v>466</v>
      </c>
      <c r="D534" t="str">
        <f t="shared" si="37"/>
        <v>No</v>
      </c>
      <c r="E534" t="str">
        <f t="shared" si="36"/>
        <v/>
      </c>
      <c r="F534" t="s">
        <v>429</v>
      </c>
      <c r="G534">
        <f t="shared" si="38"/>
        <v>391930002</v>
      </c>
      <c r="H534" s="123">
        <v>503</v>
      </c>
    </row>
    <row r="535" spans="1:8" ht="15.5">
      <c r="A535">
        <f t="shared" si="35"/>
        <v>0</v>
      </c>
      <c r="B535" t="s">
        <v>463</v>
      </c>
      <c r="C535" t="s">
        <v>466</v>
      </c>
      <c r="D535" t="str">
        <f t="shared" si="37"/>
        <v>No</v>
      </c>
      <c r="E535" t="str">
        <f t="shared" si="36"/>
        <v/>
      </c>
      <c r="F535" t="s">
        <v>429</v>
      </c>
      <c r="G535">
        <f t="shared" si="38"/>
        <v>391930002</v>
      </c>
      <c r="H535" s="123">
        <v>504</v>
      </c>
    </row>
    <row r="536" spans="1:8" ht="15.5">
      <c r="A536">
        <f t="shared" si="35"/>
        <v>0</v>
      </c>
      <c r="B536" t="s">
        <v>463</v>
      </c>
      <c r="C536" t="s">
        <v>466</v>
      </c>
      <c r="D536" t="str">
        <f t="shared" si="37"/>
        <v>No</v>
      </c>
      <c r="E536" t="str">
        <f t="shared" si="36"/>
        <v/>
      </c>
      <c r="F536" t="s">
        <v>429</v>
      </c>
      <c r="G536">
        <f t="shared" si="38"/>
        <v>391930002</v>
      </c>
      <c r="H536" s="123">
        <v>505</v>
      </c>
    </row>
    <row r="537" spans="1:8" ht="15.5">
      <c r="A537">
        <f t="shared" ref="A537:A600" si="39">IF(D537="Yes",1,0)</f>
        <v>0</v>
      </c>
      <c r="B537" t="s">
        <v>463</v>
      </c>
      <c r="C537" t="s">
        <v>466</v>
      </c>
      <c r="D537" t="str">
        <f t="shared" si="37"/>
        <v>No</v>
      </c>
      <c r="E537" t="str">
        <f t="shared" si="36"/>
        <v/>
      </c>
      <c r="F537" t="s">
        <v>429</v>
      </c>
      <c r="G537">
        <f t="shared" si="38"/>
        <v>391930002</v>
      </c>
      <c r="H537" s="123">
        <v>506</v>
      </c>
    </row>
    <row r="538" spans="1:8" ht="15.5">
      <c r="A538">
        <f t="shared" si="39"/>
        <v>0</v>
      </c>
      <c r="B538" t="s">
        <v>463</v>
      </c>
      <c r="C538" t="s">
        <v>466</v>
      </c>
      <c r="D538" t="str">
        <f t="shared" si="37"/>
        <v>No</v>
      </c>
      <c r="E538" t="str">
        <f t="shared" si="36"/>
        <v/>
      </c>
      <c r="F538" t="s">
        <v>429</v>
      </c>
      <c r="G538">
        <f t="shared" si="38"/>
        <v>391930002</v>
      </c>
      <c r="H538" s="123">
        <v>507</v>
      </c>
    </row>
    <row r="539" spans="1:8" ht="15.5">
      <c r="A539">
        <f t="shared" si="39"/>
        <v>0</v>
      </c>
      <c r="B539" t="s">
        <v>463</v>
      </c>
      <c r="C539" t="s">
        <v>466</v>
      </c>
      <c r="D539" t="str">
        <f t="shared" si="37"/>
        <v>No</v>
      </c>
      <c r="E539" t="str">
        <f t="shared" si="36"/>
        <v/>
      </c>
      <c r="F539" t="s">
        <v>429</v>
      </c>
      <c r="G539">
        <f t="shared" si="38"/>
        <v>391930002</v>
      </c>
      <c r="H539" s="123">
        <v>508</v>
      </c>
    </row>
    <row r="540" spans="1:8" ht="15.5">
      <c r="A540">
        <f t="shared" si="39"/>
        <v>0</v>
      </c>
      <c r="B540" t="s">
        <v>463</v>
      </c>
      <c r="C540" t="s">
        <v>466</v>
      </c>
      <c r="D540" t="str">
        <f t="shared" si="37"/>
        <v>No</v>
      </c>
      <c r="E540" t="str">
        <f t="shared" si="36"/>
        <v/>
      </c>
      <c r="F540" t="s">
        <v>429</v>
      </c>
      <c r="G540">
        <f t="shared" si="38"/>
        <v>391930002</v>
      </c>
      <c r="H540" s="123">
        <v>509</v>
      </c>
    </row>
    <row r="541" spans="1:8" ht="15.5">
      <c r="A541">
        <f t="shared" si="39"/>
        <v>0</v>
      </c>
      <c r="B541" t="s">
        <v>463</v>
      </c>
      <c r="C541" t="s">
        <v>466</v>
      </c>
      <c r="D541" t="str">
        <f t="shared" si="37"/>
        <v>No</v>
      </c>
      <c r="E541" t="str">
        <f t="shared" si="36"/>
        <v/>
      </c>
      <c r="F541" t="s">
        <v>429</v>
      </c>
      <c r="G541">
        <f t="shared" si="38"/>
        <v>391930002</v>
      </c>
      <c r="H541" s="123">
        <v>510</v>
      </c>
    </row>
    <row r="542" spans="1:8" ht="15.5">
      <c r="A542">
        <f t="shared" si="39"/>
        <v>0</v>
      </c>
      <c r="B542" t="s">
        <v>463</v>
      </c>
      <c r="C542" t="s">
        <v>466</v>
      </c>
      <c r="D542" t="str">
        <f t="shared" si="37"/>
        <v>No</v>
      </c>
      <c r="E542" t="str">
        <f t="shared" si="36"/>
        <v/>
      </c>
      <c r="F542" t="s">
        <v>429</v>
      </c>
      <c r="G542">
        <f t="shared" si="38"/>
        <v>391930002</v>
      </c>
      <c r="H542" s="123">
        <v>511</v>
      </c>
    </row>
    <row r="543" spans="1:8" ht="15.5">
      <c r="A543">
        <f t="shared" si="39"/>
        <v>0</v>
      </c>
      <c r="B543" t="s">
        <v>463</v>
      </c>
      <c r="C543" t="s">
        <v>466</v>
      </c>
      <c r="D543" t="str">
        <f t="shared" si="37"/>
        <v>No</v>
      </c>
      <c r="E543" t="str">
        <f t="shared" si="36"/>
        <v/>
      </c>
      <c r="F543" t="s">
        <v>429</v>
      </c>
      <c r="G543">
        <f t="shared" si="38"/>
        <v>391930002</v>
      </c>
      <c r="H543" s="123">
        <v>512</v>
      </c>
    </row>
    <row r="544" spans="1:8" ht="15.5">
      <c r="A544">
        <f t="shared" si="39"/>
        <v>0</v>
      </c>
      <c r="B544" t="s">
        <v>463</v>
      </c>
      <c r="C544" t="s">
        <v>466</v>
      </c>
      <c r="D544" t="str">
        <f t="shared" si="37"/>
        <v>No</v>
      </c>
      <c r="E544" t="str">
        <f t="shared" ref="E544:E607" si="40">IF($D$11="Yes","",INDEX(ErrorCheck,MATCH($H544,ErrorCheckPlotNumber,0),MATCH($C544,ErrorCheckTitle,0)))</f>
        <v/>
      </c>
      <c r="F544" t="s">
        <v>429</v>
      </c>
      <c r="G544">
        <f t="shared" si="38"/>
        <v>391930002</v>
      </c>
      <c r="H544" s="123">
        <v>513</v>
      </c>
    </row>
    <row r="545" spans="1:8" ht="15.5">
      <c r="A545">
        <f t="shared" si="39"/>
        <v>0</v>
      </c>
      <c r="B545" t="s">
        <v>463</v>
      </c>
      <c r="C545" t="s">
        <v>466</v>
      </c>
      <c r="D545" t="str">
        <f t="shared" ref="D545:D608" si="41">IF(E545="", "No", "Yes")</f>
        <v>No</v>
      </c>
      <c r="E545" t="str">
        <f t="shared" si="40"/>
        <v/>
      </c>
      <c r="F545" t="s">
        <v>429</v>
      </c>
      <c r="G545">
        <f t="shared" si="38"/>
        <v>391930002</v>
      </c>
      <c r="H545" s="123">
        <v>514</v>
      </c>
    </row>
    <row r="546" spans="1:8" ht="15.5">
      <c r="A546">
        <f t="shared" si="39"/>
        <v>0</v>
      </c>
      <c r="B546" t="s">
        <v>463</v>
      </c>
      <c r="C546" t="s">
        <v>466</v>
      </c>
      <c r="D546" t="str">
        <f t="shared" si="41"/>
        <v>No</v>
      </c>
      <c r="E546" t="str">
        <f t="shared" si="40"/>
        <v/>
      </c>
      <c r="F546" t="s">
        <v>429</v>
      </c>
      <c r="G546">
        <f t="shared" si="38"/>
        <v>391930002</v>
      </c>
      <c r="H546" s="123">
        <v>515</v>
      </c>
    </row>
    <row r="547" spans="1:8" ht="15.5">
      <c r="A547">
        <f t="shared" si="39"/>
        <v>0</v>
      </c>
      <c r="B547" t="s">
        <v>463</v>
      </c>
      <c r="C547" t="s">
        <v>466</v>
      </c>
      <c r="D547" t="str">
        <f t="shared" si="41"/>
        <v>No</v>
      </c>
      <c r="E547" t="str">
        <f t="shared" si="40"/>
        <v/>
      </c>
      <c r="F547" t="s">
        <v>429</v>
      </c>
      <c r="G547">
        <f t="shared" si="38"/>
        <v>391930002</v>
      </c>
      <c r="H547" s="123">
        <v>516</v>
      </c>
    </row>
    <row r="548" spans="1:8" ht="15.5">
      <c r="A548">
        <f t="shared" si="39"/>
        <v>0</v>
      </c>
      <c r="B548" t="s">
        <v>463</v>
      </c>
      <c r="C548" t="s">
        <v>466</v>
      </c>
      <c r="D548" t="str">
        <f t="shared" si="41"/>
        <v>No</v>
      </c>
      <c r="E548" t="str">
        <f t="shared" si="40"/>
        <v/>
      </c>
      <c r="F548" t="s">
        <v>429</v>
      </c>
      <c r="G548">
        <f t="shared" si="38"/>
        <v>391930002</v>
      </c>
      <c r="H548" s="123">
        <v>517</v>
      </c>
    </row>
    <row r="549" spans="1:8" ht="15.5">
      <c r="A549">
        <f t="shared" si="39"/>
        <v>0</v>
      </c>
      <c r="B549" t="s">
        <v>463</v>
      </c>
      <c r="C549" t="s">
        <v>466</v>
      </c>
      <c r="D549" t="str">
        <f t="shared" si="41"/>
        <v>No</v>
      </c>
      <c r="E549" t="str">
        <f t="shared" si="40"/>
        <v/>
      </c>
      <c r="F549" t="s">
        <v>429</v>
      </c>
      <c r="G549">
        <f t="shared" si="38"/>
        <v>391930002</v>
      </c>
      <c r="H549" s="123">
        <v>518</v>
      </c>
    </row>
    <row r="550" spans="1:8" ht="15.5">
      <c r="A550">
        <f t="shared" si="39"/>
        <v>0</v>
      </c>
      <c r="B550" t="s">
        <v>463</v>
      </c>
      <c r="C550" t="s">
        <v>466</v>
      </c>
      <c r="D550" t="str">
        <f t="shared" si="41"/>
        <v>No</v>
      </c>
      <c r="E550" t="str">
        <f t="shared" si="40"/>
        <v/>
      </c>
      <c r="F550" t="s">
        <v>429</v>
      </c>
      <c r="G550">
        <f t="shared" si="38"/>
        <v>391930002</v>
      </c>
      <c r="H550" s="123">
        <v>519</v>
      </c>
    </row>
    <row r="551" spans="1:8" ht="15.5">
      <c r="A551">
        <f t="shared" si="39"/>
        <v>0</v>
      </c>
      <c r="B551" t="s">
        <v>463</v>
      </c>
      <c r="C551" t="s">
        <v>466</v>
      </c>
      <c r="D551" t="str">
        <f t="shared" si="41"/>
        <v>No</v>
      </c>
      <c r="E551" t="str">
        <f t="shared" si="40"/>
        <v/>
      </c>
      <c r="F551" t="s">
        <v>429</v>
      </c>
      <c r="G551">
        <f t="shared" si="38"/>
        <v>391930002</v>
      </c>
      <c r="H551" s="123">
        <v>520</v>
      </c>
    </row>
    <row r="552" spans="1:8" ht="15.5">
      <c r="A552">
        <f t="shared" si="39"/>
        <v>0</v>
      </c>
      <c r="B552" t="s">
        <v>463</v>
      </c>
      <c r="C552" t="s">
        <v>466</v>
      </c>
      <c r="D552" t="str">
        <f t="shared" si="41"/>
        <v>No</v>
      </c>
      <c r="E552" t="str">
        <f t="shared" si="40"/>
        <v/>
      </c>
      <c r="F552" t="s">
        <v>429</v>
      </c>
      <c r="G552">
        <f t="shared" si="38"/>
        <v>391930002</v>
      </c>
      <c r="H552" s="123">
        <v>521</v>
      </c>
    </row>
    <row r="553" spans="1:8" ht="15.5">
      <c r="A553">
        <f t="shared" si="39"/>
        <v>0</v>
      </c>
      <c r="B553" t="s">
        <v>463</v>
      </c>
      <c r="C553" t="s">
        <v>466</v>
      </c>
      <c r="D553" t="str">
        <f t="shared" si="41"/>
        <v>No</v>
      </c>
      <c r="E553" t="str">
        <f t="shared" si="40"/>
        <v/>
      </c>
      <c r="F553" t="s">
        <v>429</v>
      </c>
      <c r="G553">
        <f t="shared" si="38"/>
        <v>391930002</v>
      </c>
      <c r="H553" s="123">
        <v>522</v>
      </c>
    </row>
    <row r="554" spans="1:8" ht="15.5">
      <c r="A554">
        <f t="shared" si="39"/>
        <v>0</v>
      </c>
      <c r="B554" t="s">
        <v>463</v>
      </c>
      <c r="C554" t="s">
        <v>466</v>
      </c>
      <c r="D554" t="str">
        <f t="shared" si="41"/>
        <v>No</v>
      </c>
      <c r="E554" t="str">
        <f t="shared" si="40"/>
        <v/>
      </c>
      <c r="F554" t="s">
        <v>429</v>
      </c>
      <c r="G554">
        <f t="shared" si="38"/>
        <v>391930002</v>
      </c>
      <c r="H554" s="123">
        <v>523</v>
      </c>
    </row>
    <row r="555" spans="1:8" ht="15.5">
      <c r="A555">
        <f t="shared" si="39"/>
        <v>0</v>
      </c>
      <c r="B555" t="s">
        <v>463</v>
      </c>
      <c r="C555" t="s">
        <v>466</v>
      </c>
      <c r="D555" t="str">
        <f t="shared" si="41"/>
        <v>No</v>
      </c>
      <c r="E555" t="str">
        <f t="shared" si="40"/>
        <v/>
      </c>
      <c r="F555" t="s">
        <v>429</v>
      </c>
      <c r="G555">
        <f t="shared" si="38"/>
        <v>391930002</v>
      </c>
      <c r="H555" s="123">
        <v>524</v>
      </c>
    </row>
    <row r="556" spans="1:8" ht="15.5">
      <c r="A556">
        <f t="shared" si="39"/>
        <v>0</v>
      </c>
      <c r="B556" t="s">
        <v>463</v>
      </c>
      <c r="C556" t="s">
        <v>466</v>
      </c>
      <c r="D556" t="str">
        <f t="shared" si="41"/>
        <v>No</v>
      </c>
      <c r="E556" t="str">
        <f t="shared" si="40"/>
        <v/>
      </c>
      <c r="F556" t="s">
        <v>429</v>
      </c>
      <c r="G556">
        <f t="shared" si="38"/>
        <v>391930002</v>
      </c>
      <c r="H556" s="123">
        <v>525</v>
      </c>
    </row>
    <row r="557" spans="1:8" ht="15.5">
      <c r="A557">
        <f t="shared" si="39"/>
        <v>0</v>
      </c>
      <c r="B557" t="s">
        <v>463</v>
      </c>
      <c r="C557" t="s">
        <v>466</v>
      </c>
      <c r="D557" t="str">
        <f t="shared" si="41"/>
        <v>No</v>
      </c>
      <c r="E557" t="str">
        <f t="shared" si="40"/>
        <v/>
      </c>
      <c r="F557" t="s">
        <v>429</v>
      </c>
      <c r="G557">
        <f t="shared" si="38"/>
        <v>391930002</v>
      </c>
      <c r="H557" s="123">
        <v>526</v>
      </c>
    </row>
    <row r="558" spans="1:8" ht="15.5">
      <c r="A558">
        <f t="shared" si="39"/>
        <v>0</v>
      </c>
      <c r="B558" t="s">
        <v>463</v>
      </c>
      <c r="C558" t="s">
        <v>466</v>
      </c>
      <c r="D558" t="str">
        <f t="shared" si="41"/>
        <v>No</v>
      </c>
      <c r="E558" t="str">
        <f t="shared" si="40"/>
        <v/>
      </c>
      <c r="F558" t="s">
        <v>429</v>
      </c>
      <c r="G558">
        <f t="shared" si="38"/>
        <v>391930002</v>
      </c>
      <c r="H558" s="123">
        <v>527</v>
      </c>
    </row>
    <row r="559" spans="1:8" ht="15.5">
      <c r="A559">
        <f t="shared" si="39"/>
        <v>0</v>
      </c>
      <c r="B559" t="s">
        <v>463</v>
      </c>
      <c r="C559" t="s">
        <v>466</v>
      </c>
      <c r="D559" t="str">
        <f t="shared" si="41"/>
        <v>No</v>
      </c>
      <c r="E559" t="str">
        <f t="shared" si="40"/>
        <v/>
      </c>
      <c r="F559" t="s">
        <v>429</v>
      </c>
      <c r="G559">
        <f t="shared" si="38"/>
        <v>391930002</v>
      </c>
      <c r="H559" s="123">
        <v>528</v>
      </c>
    </row>
    <row r="560" spans="1:8" ht="15.5">
      <c r="A560">
        <f t="shared" si="39"/>
        <v>0</v>
      </c>
      <c r="B560" t="s">
        <v>463</v>
      </c>
      <c r="C560" t="s">
        <v>466</v>
      </c>
      <c r="D560" t="str">
        <f t="shared" si="41"/>
        <v>No</v>
      </c>
      <c r="E560" t="str">
        <f t="shared" si="40"/>
        <v/>
      </c>
      <c r="F560" t="s">
        <v>429</v>
      </c>
      <c r="G560">
        <f t="shared" si="38"/>
        <v>391930002</v>
      </c>
      <c r="H560" s="123">
        <v>529</v>
      </c>
    </row>
    <row r="561" spans="1:8" ht="15.5">
      <c r="A561">
        <f t="shared" si="39"/>
        <v>0</v>
      </c>
      <c r="B561" t="s">
        <v>463</v>
      </c>
      <c r="C561" t="s">
        <v>466</v>
      </c>
      <c r="D561" t="str">
        <f t="shared" si="41"/>
        <v>No</v>
      </c>
      <c r="E561" t="str">
        <f t="shared" si="40"/>
        <v/>
      </c>
      <c r="F561" t="s">
        <v>429</v>
      </c>
      <c r="G561">
        <f t="shared" si="38"/>
        <v>391930002</v>
      </c>
      <c r="H561" s="123">
        <v>530</v>
      </c>
    </row>
    <row r="562" spans="1:8" ht="15.5">
      <c r="A562">
        <f t="shared" si="39"/>
        <v>0</v>
      </c>
      <c r="B562" t="s">
        <v>463</v>
      </c>
      <c r="C562" t="s">
        <v>466</v>
      </c>
      <c r="D562" t="str">
        <f t="shared" si="41"/>
        <v>No</v>
      </c>
      <c r="E562" t="str">
        <f t="shared" si="40"/>
        <v/>
      </c>
      <c r="F562" t="s">
        <v>429</v>
      </c>
      <c r="G562">
        <f t="shared" si="38"/>
        <v>391930002</v>
      </c>
      <c r="H562" s="123">
        <v>531</v>
      </c>
    </row>
    <row r="563" spans="1:8" ht="15.5">
      <c r="A563">
        <f t="shared" si="39"/>
        <v>0</v>
      </c>
      <c r="B563" t="s">
        <v>463</v>
      </c>
      <c r="C563" t="s">
        <v>466</v>
      </c>
      <c r="D563" t="str">
        <f t="shared" si="41"/>
        <v>No</v>
      </c>
      <c r="E563" t="str">
        <f t="shared" si="40"/>
        <v/>
      </c>
      <c r="F563" t="s">
        <v>429</v>
      </c>
      <c r="G563">
        <f t="shared" si="38"/>
        <v>391930002</v>
      </c>
      <c r="H563" s="123">
        <v>532</v>
      </c>
    </row>
    <row r="564" spans="1:8" ht="15.5">
      <c r="A564">
        <f t="shared" si="39"/>
        <v>0</v>
      </c>
      <c r="B564" t="s">
        <v>463</v>
      </c>
      <c r="C564" t="s">
        <v>466</v>
      </c>
      <c r="D564" t="str">
        <f t="shared" si="41"/>
        <v>No</v>
      </c>
      <c r="E564" t="str">
        <f t="shared" si="40"/>
        <v/>
      </c>
      <c r="F564" t="s">
        <v>429</v>
      </c>
      <c r="G564">
        <f t="shared" si="38"/>
        <v>391930002</v>
      </c>
      <c r="H564" s="123">
        <v>533</v>
      </c>
    </row>
    <row r="565" spans="1:8" ht="15.5">
      <c r="A565">
        <f t="shared" si="39"/>
        <v>0</v>
      </c>
      <c r="B565" t="s">
        <v>463</v>
      </c>
      <c r="C565" t="s">
        <v>466</v>
      </c>
      <c r="D565" t="str">
        <f t="shared" si="41"/>
        <v>No</v>
      </c>
      <c r="E565" t="str">
        <f t="shared" si="40"/>
        <v/>
      </c>
      <c r="F565" t="s">
        <v>429</v>
      </c>
      <c r="G565">
        <f t="shared" si="38"/>
        <v>391930002</v>
      </c>
      <c r="H565" s="123">
        <v>534</v>
      </c>
    </row>
    <row r="566" spans="1:8" ht="15.5">
      <c r="A566">
        <f t="shared" si="39"/>
        <v>0</v>
      </c>
      <c r="B566" t="s">
        <v>463</v>
      </c>
      <c r="C566" t="s">
        <v>466</v>
      </c>
      <c r="D566" t="str">
        <f t="shared" si="41"/>
        <v>No</v>
      </c>
      <c r="E566" t="str">
        <f t="shared" si="40"/>
        <v/>
      </c>
      <c r="F566" t="s">
        <v>429</v>
      </c>
      <c r="G566">
        <f t="shared" si="38"/>
        <v>391930002</v>
      </c>
      <c r="H566" s="123">
        <v>535</v>
      </c>
    </row>
    <row r="567" spans="1:8" ht="15.5">
      <c r="A567">
        <f t="shared" si="39"/>
        <v>0</v>
      </c>
      <c r="B567" t="s">
        <v>463</v>
      </c>
      <c r="C567" t="s">
        <v>466</v>
      </c>
      <c r="D567" t="str">
        <f t="shared" si="41"/>
        <v>No</v>
      </c>
      <c r="E567" t="str">
        <f t="shared" si="40"/>
        <v/>
      </c>
      <c r="F567" t="s">
        <v>429</v>
      </c>
      <c r="G567">
        <f t="shared" si="38"/>
        <v>391930002</v>
      </c>
      <c r="H567" s="123">
        <v>536</v>
      </c>
    </row>
    <row r="568" spans="1:8" ht="15.5">
      <c r="A568">
        <f t="shared" si="39"/>
        <v>0</v>
      </c>
      <c r="B568" t="s">
        <v>463</v>
      </c>
      <c r="C568" t="s">
        <v>466</v>
      </c>
      <c r="D568" t="str">
        <f t="shared" si="41"/>
        <v>No</v>
      </c>
      <c r="E568" t="str">
        <f t="shared" si="40"/>
        <v/>
      </c>
      <c r="F568" t="s">
        <v>429</v>
      </c>
      <c r="G568">
        <f t="shared" si="38"/>
        <v>391930002</v>
      </c>
      <c r="H568" s="123">
        <v>537</v>
      </c>
    </row>
    <row r="569" spans="1:8" ht="15.5">
      <c r="A569">
        <f t="shared" si="39"/>
        <v>0</v>
      </c>
      <c r="B569" t="s">
        <v>463</v>
      </c>
      <c r="C569" t="s">
        <v>466</v>
      </c>
      <c r="D569" t="str">
        <f t="shared" si="41"/>
        <v>No</v>
      </c>
      <c r="E569" t="str">
        <f t="shared" si="40"/>
        <v/>
      </c>
      <c r="F569" t="s">
        <v>429</v>
      </c>
      <c r="G569">
        <f t="shared" si="38"/>
        <v>391930002</v>
      </c>
      <c r="H569" s="123">
        <v>538</v>
      </c>
    </row>
    <row r="570" spans="1:8" ht="15.5">
      <c r="A570">
        <f t="shared" si="39"/>
        <v>0</v>
      </c>
      <c r="B570" t="s">
        <v>463</v>
      </c>
      <c r="C570" t="s">
        <v>466</v>
      </c>
      <c r="D570" t="str">
        <f t="shared" si="41"/>
        <v>No</v>
      </c>
      <c r="E570" t="str">
        <f t="shared" si="40"/>
        <v/>
      </c>
      <c r="F570" t="s">
        <v>429</v>
      </c>
      <c r="G570">
        <f t="shared" si="38"/>
        <v>391930002</v>
      </c>
      <c r="H570" s="123">
        <v>539</v>
      </c>
    </row>
    <row r="571" spans="1:8" ht="15.5">
      <c r="A571">
        <f t="shared" si="39"/>
        <v>0</v>
      </c>
      <c r="B571" t="s">
        <v>463</v>
      </c>
      <c r="C571" t="s">
        <v>466</v>
      </c>
      <c r="D571" t="str">
        <f t="shared" si="41"/>
        <v>No</v>
      </c>
      <c r="E571" t="str">
        <f t="shared" si="40"/>
        <v/>
      </c>
      <c r="F571" t="s">
        <v>429</v>
      </c>
      <c r="G571">
        <f t="shared" si="38"/>
        <v>391930002</v>
      </c>
      <c r="H571" s="123">
        <v>540</v>
      </c>
    </row>
    <row r="572" spans="1:8" ht="15.5">
      <c r="A572">
        <f t="shared" si="39"/>
        <v>0</v>
      </c>
      <c r="B572" t="s">
        <v>463</v>
      </c>
      <c r="C572" t="s">
        <v>466</v>
      </c>
      <c r="D572" t="str">
        <f t="shared" si="41"/>
        <v>No</v>
      </c>
      <c r="E572" t="str">
        <f t="shared" si="40"/>
        <v/>
      </c>
      <c r="F572" t="s">
        <v>429</v>
      </c>
      <c r="G572">
        <f t="shared" si="38"/>
        <v>391930002</v>
      </c>
      <c r="H572" s="123">
        <v>541</v>
      </c>
    </row>
    <row r="573" spans="1:8" ht="15.5">
      <c r="A573">
        <f t="shared" si="39"/>
        <v>0</v>
      </c>
      <c r="B573" t="s">
        <v>463</v>
      </c>
      <c r="C573" t="s">
        <v>466</v>
      </c>
      <c r="D573" t="str">
        <f t="shared" si="41"/>
        <v>No</v>
      </c>
      <c r="E573" t="str">
        <f t="shared" si="40"/>
        <v/>
      </c>
      <c r="F573" t="s">
        <v>429</v>
      </c>
      <c r="G573">
        <f t="shared" si="38"/>
        <v>391930002</v>
      </c>
      <c r="H573" s="123">
        <v>542</v>
      </c>
    </row>
    <row r="574" spans="1:8" ht="15.5">
      <c r="A574">
        <f t="shared" si="39"/>
        <v>0</v>
      </c>
      <c r="B574" t="s">
        <v>463</v>
      </c>
      <c r="C574" t="s">
        <v>466</v>
      </c>
      <c r="D574" t="str">
        <f t="shared" si="41"/>
        <v>No</v>
      </c>
      <c r="E574" t="str">
        <f t="shared" si="40"/>
        <v/>
      </c>
      <c r="F574" t="s">
        <v>429</v>
      </c>
      <c r="G574">
        <f t="shared" si="38"/>
        <v>391930002</v>
      </c>
      <c r="H574" s="123">
        <v>543</v>
      </c>
    </row>
    <row r="575" spans="1:8" ht="15.5">
      <c r="A575">
        <f t="shared" si="39"/>
        <v>0</v>
      </c>
      <c r="B575" t="s">
        <v>463</v>
      </c>
      <c r="C575" t="s">
        <v>466</v>
      </c>
      <c r="D575" t="str">
        <f t="shared" si="41"/>
        <v>No</v>
      </c>
      <c r="E575" t="str">
        <f t="shared" si="40"/>
        <v/>
      </c>
      <c r="F575" t="s">
        <v>429</v>
      </c>
      <c r="G575">
        <f t="shared" si="38"/>
        <v>391930002</v>
      </c>
      <c r="H575" s="123">
        <v>544</v>
      </c>
    </row>
    <row r="576" spans="1:8" ht="15.5">
      <c r="A576">
        <f t="shared" si="39"/>
        <v>0</v>
      </c>
      <c r="B576" t="s">
        <v>463</v>
      </c>
      <c r="C576" t="s">
        <v>466</v>
      </c>
      <c r="D576" t="str">
        <f t="shared" si="41"/>
        <v>No</v>
      </c>
      <c r="E576" t="str">
        <f t="shared" si="40"/>
        <v/>
      </c>
      <c r="F576" t="s">
        <v>429</v>
      </c>
      <c r="G576">
        <f t="shared" si="38"/>
        <v>391930002</v>
      </c>
      <c r="H576" s="123">
        <v>545</v>
      </c>
    </row>
    <row r="577" spans="1:8" ht="15.5">
      <c r="A577">
        <f t="shared" si="39"/>
        <v>0</v>
      </c>
      <c r="B577" t="s">
        <v>463</v>
      </c>
      <c r="C577" t="s">
        <v>466</v>
      </c>
      <c r="D577" t="str">
        <f t="shared" si="41"/>
        <v>No</v>
      </c>
      <c r="E577" t="str">
        <f t="shared" si="40"/>
        <v/>
      </c>
      <c r="F577" t="s">
        <v>429</v>
      </c>
      <c r="G577">
        <f t="shared" si="38"/>
        <v>391930002</v>
      </c>
      <c r="H577" s="123">
        <v>546</v>
      </c>
    </row>
    <row r="578" spans="1:8" ht="15.5">
      <c r="A578">
        <f t="shared" si="39"/>
        <v>0</v>
      </c>
      <c r="B578" t="s">
        <v>463</v>
      </c>
      <c r="C578" t="s">
        <v>466</v>
      </c>
      <c r="D578" t="str">
        <f t="shared" si="41"/>
        <v>No</v>
      </c>
      <c r="E578" t="str">
        <f t="shared" si="40"/>
        <v/>
      </c>
      <c r="F578" t="s">
        <v>429</v>
      </c>
      <c r="G578">
        <f t="shared" si="38"/>
        <v>391930002</v>
      </c>
      <c r="H578" s="123">
        <v>547</v>
      </c>
    </row>
    <row r="579" spans="1:8" ht="15.5">
      <c r="A579">
        <f t="shared" si="39"/>
        <v>0</v>
      </c>
      <c r="B579" t="s">
        <v>463</v>
      </c>
      <c r="C579" t="s">
        <v>466</v>
      </c>
      <c r="D579" t="str">
        <f t="shared" si="41"/>
        <v>No</v>
      </c>
      <c r="E579" t="str">
        <f t="shared" si="40"/>
        <v/>
      </c>
      <c r="F579" t="s">
        <v>429</v>
      </c>
      <c r="G579">
        <f t="shared" si="38"/>
        <v>391930002</v>
      </c>
      <c r="H579" s="123">
        <v>548</v>
      </c>
    </row>
    <row r="580" spans="1:8" ht="15.5">
      <c r="A580">
        <f t="shared" si="39"/>
        <v>0</v>
      </c>
      <c r="B580" t="s">
        <v>463</v>
      </c>
      <c r="C580" t="s">
        <v>466</v>
      </c>
      <c r="D580" t="str">
        <f t="shared" si="41"/>
        <v>No</v>
      </c>
      <c r="E580" t="str">
        <f t="shared" si="40"/>
        <v/>
      </c>
      <c r="F580" t="s">
        <v>429</v>
      </c>
      <c r="G580">
        <f t="shared" si="38"/>
        <v>391930002</v>
      </c>
      <c r="H580" s="123">
        <v>549</v>
      </c>
    </row>
    <row r="581" spans="1:8" ht="15.5">
      <c r="A581">
        <f t="shared" si="39"/>
        <v>0</v>
      </c>
      <c r="B581" t="s">
        <v>463</v>
      </c>
      <c r="C581" t="s">
        <v>466</v>
      </c>
      <c r="D581" t="str">
        <f t="shared" si="41"/>
        <v>No</v>
      </c>
      <c r="E581" t="str">
        <f t="shared" si="40"/>
        <v/>
      </c>
      <c r="F581" t="s">
        <v>429</v>
      </c>
      <c r="G581">
        <f t="shared" si="38"/>
        <v>391930002</v>
      </c>
      <c r="H581" s="123">
        <v>550</v>
      </c>
    </row>
    <row r="582" spans="1:8" ht="15.5">
      <c r="A582">
        <f t="shared" si="39"/>
        <v>0</v>
      </c>
      <c r="B582" t="s">
        <v>463</v>
      </c>
      <c r="C582" t="s">
        <v>466</v>
      </c>
      <c r="D582" t="str">
        <f t="shared" si="41"/>
        <v>No</v>
      </c>
      <c r="E582" t="str">
        <f t="shared" si="40"/>
        <v/>
      </c>
      <c r="F582" t="s">
        <v>429</v>
      </c>
      <c r="G582">
        <f t="shared" si="38"/>
        <v>391930002</v>
      </c>
      <c r="H582" s="123">
        <v>551</v>
      </c>
    </row>
    <row r="583" spans="1:8" ht="15.5">
      <c r="A583">
        <f t="shared" si="39"/>
        <v>0</v>
      </c>
      <c r="B583" t="s">
        <v>463</v>
      </c>
      <c r="C583" t="s">
        <v>466</v>
      </c>
      <c r="D583" t="str">
        <f t="shared" si="41"/>
        <v>No</v>
      </c>
      <c r="E583" t="str">
        <f t="shared" si="40"/>
        <v/>
      </c>
      <c r="F583" t="s">
        <v>429</v>
      </c>
      <c r="G583">
        <f t="shared" ref="G583:G631" si="42">INDEX(IssueType,MATCH($F583,IssueTypeName,0),2)</f>
        <v>391930002</v>
      </c>
      <c r="H583" s="123">
        <v>552</v>
      </c>
    </row>
    <row r="584" spans="1:8" ht="15.5">
      <c r="A584">
        <f t="shared" si="39"/>
        <v>0</v>
      </c>
      <c r="B584" t="s">
        <v>463</v>
      </c>
      <c r="C584" t="s">
        <v>466</v>
      </c>
      <c r="D584" t="str">
        <f t="shared" si="41"/>
        <v>No</v>
      </c>
      <c r="E584" t="str">
        <f t="shared" si="40"/>
        <v/>
      </c>
      <c r="F584" t="s">
        <v>429</v>
      </c>
      <c r="G584">
        <f t="shared" si="42"/>
        <v>391930002</v>
      </c>
      <c r="H584" s="123">
        <v>553</v>
      </c>
    </row>
    <row r="585" spans="1:8" ht="15.5">
      <c r="A585">
        <f t="shared" si="39"/>
        <v>0</v>
      </c>
      <c r="B585" t="s">
        <v>463</v>
      </c>
      <c r="C585" t="s">
        <v>466</v>
      </c>
      <c r="D585" t="str">
        <f t="shared" si="41"/>
        <v>No</v>
      </c>
      <c r="E585" t="str">
        <f t="shared" si="40"/>
        <v/>
      </c>
      <c r="F585" t="s">
        <v>429</v>
      </c>
      <c r="G585">
        <f t="shared" si="42"/>
        <v>391930002</v>
      </c>
      <c r="H585" s="123">
        <v>554</v>
      </c>
    </row>
    <row r="586" spans="1:8" ht="15.5">
      <c r="A586">
        <f t="shared" si="39"/>
        <v>0</v>
      </c>
      <c r="B586" t="s">
        <v>463</v>
      </c>
      <c r="C586" t="s">
        <v>466</v>
      </c>
      <c r="D586" t="str">
        <f t="shared" si="41"/>
        <v>No</v>
      </c>
      <c r="E586" t="str">
        <f t="shared" si="40"/>
        <v/>
      </c>
      <c r="F586" t="s">
        <v>429</v>
      </c>
      <c r="G586">
        <f t="shared" si="42"/>
        <v>391930002</v>
      </c>
      <c r="H586" s="123">
        <v>555</v>
      </c>
    </row>
    <row r="587" spans="1:8" ht="15.5">
      <c r="A587">
        <f t="shared" si="39"/>
        <v>0</v>
      </c>
      <c r="B587" t="s">
        <v>463</v>
      </c>
      <c r="C587" t="s">
        <v>466</v>
      </c>
      <c r="D587" t="str">
        <f t="shared" si="41"/>
        <v>No</v>
      </c>
      <c r="E587" t="str">
        <f t="shared" si="40"/>
        <v/>
      </c>
      <c r="F587" t="s">
        <v>429</v>
      </c>
      <c r="G587">
        <f t="shared" si="42"/>
        <v>391930002</v>
      </c>
      <c r="H587" s="123">
        <v>556</v>
      </c>
    </row>
    <row r="588" spans="1:8" ht="15.5">
      <c r="A588">
        <f t="shared" si="39"/>
        <v>0</v>
      </c>
      <c r="B588" t="s">
        <v>463</v>
      </c>
      <c r="C588" t="s">
        <v>466</v>
      </c>
      <c r="D588" t="str">
        <f t="shared" si="41"/>
        <v>No</v>
      </c>
      <c r="E588" t="str">
        <f t="shared" si="40"/>
        <v/>
      </c>
      <c r="F588" t="s">
        <v>429</v>
      </c>
      <c r="G588">
        <f t="shared" si="42"/>
        <v>391930002</v>
      </c>
      <c r="H588" s="123">
        <v>557</v>
      </c>
    </row>
    <row r="589" spans="1:8" ht="15.5">
      <c r="A589">
        <f t="shared" si="39"/>
        <v>0</v>
      </c>
      <c r="B589" t="s">
        <v>463</v>
      </c>
      <c r="C589" t="s">
        <v>466</v>
      </c>
      <c r="D589" t="str">
        <f t="shared" si="41"/>
        <v>No</v>
      </c>
      <c r="E589" t="str">
        <f t="shared" si="40"/>
        <v/>
      </c>
      <c r="F589" t="s">
        <v>429</v>
      </c>
      <c r="G589">
        <f t="shared" si="42"/>
        <v>391930002</v>
      </c>
      <c r="H589" s="123">
        <v>558</v>
      </c>
    </row>
    <row r="590" spans="1:8" ht="15.5">
      <c r="A590">
        <f t="shared" si="39"/>
        <v>0</v>
      </c>
      <c r="B590" t="s">
        <v>463</v>
      </c>
      <c r="C590" t="s">
        <v>466</v>
      </c>
      <c r="D590" t="str">
        <f t="shared" si="41"/>
        <v>No</v>
      </c>
      <c r="E590" t="str">
        <f t="shared" si="40"/>
        <v/>
      </c>
      <c r="F590" t="s">
        <v>429</v>
      </c>
      <c r="G590">
        <f t="shared" si="42"/>
        <v>391930002</v>
      </c>
      <c r="H590" s="123">
        <v>559</v>
      </c>
    </row>
    <row r="591" spans="1:8" ht="15.5">
      <c r="A591">
        <f t="shared" si="39"/>
        <v>0</v>
      </c>
      <c r="B591" t="s">
        <v>463</v>
      </c>
      <c r="C591" t="s">
        <v>466</v>
      </c>
      <c r="D591" t="str">
        <f t="shared" si="41"/>
        <v>No</v>
      </c>
      <c r="E591" t="str">
        <f t="shared" si="40"/>
        <v/>
      </c>
      <c r="F591" t="s">
        <v>429</v>
      </c>
      <c r="G591">
        <f t="shared" si="42"/>
        <v>391930002</v>
      </c>
      <c r="H591" s="123">
        <v>560</v>
      </c>
    </row>
    <row r="592" spans="1:8" ht="15.5">
      <c r="A592">
        <f t="shared" si="39"/>
        <v>0</v>
      </c>
      <c r="B592" t="s">
        <v>463</v>
      </c>
      <c r="C592" t="s">
        <v>466</v>
      </c>
      <c r="D592" t="str">
        <f t="shared" si="41"/>
        <v>No</v>
      </c>
      <c r="E592" t="str">
        <f t="shared" si="40"/>
        <v/>
      </c>
      <c r="F592" t="s">
        <v>429</v>
      </c>
      <c r="G592">
        <f t="shared" si="42"/>
        <v>391930002</v>
      </c>
      <c r="H592" s="123">
        <v>561</v>
      </c>
    </row>
    <row r="593" spans="1:8" ht="15.5">
      <c r="A593">
        <f t="shared" si="39"/>
        <v>0</v>
      </c>
      <c r="B593" t="s">
        <v>463</v>
      </c>
      <c r="C593" t="s">
        <v>466</v>
      </c>
      <c r="D593" t="str">
        <f t="shared" si="41"/>
        <v>No</v>
      </c>
      <c r="E593" t="str">
        <f t="shared" si="40"/>
        <v/>
      </c>
      <c r="F593" t="s">
        <v>429</v>
      </c>
      <c r="G593">
        <f t="shared" si="42"/>
        <v>391930002</v>
      </c>
      <c r="H593" s="123">
        <v>562</v>
      </c>
    </row>
    <row r="594" spans="1:8" ht="15.5">
      <c r="A594">
        <f t="shared" si="39"/>
        <v>0</v>
      </c>
      <c r="B594" t="s">
        <v>463</v>
      </c>
      <c r="C594" t="s">
        <v>466</v>
      </c>
      <c r="D594" t="str">
        <f t="shared" si="41"/>
        <v>No</v>
      </c>
      <c r="E594" t="str">
        <f t="shared" si="40"/>
        <v/>
      </c>
      <c r="F594" t="s">
        <v>429</v>
      </c>
      <c r="G594">
        <f t="shared" si="42"/>
        <v>391930002</v>
      </c>
      <c r="H594" s="123">
        <v>563</v>
      </c>
    </row>
    <row r="595" spans="1:8" ht="15.5">
      <c r="A595">
        <f t="shared" si="39"/>
        <v>0</v>
      </c>
      <c r="B595" t="s">
        <v>463</v>
      </c>
      <c r="C595" t="s">
        <v>466</v>
      </c>
      <c r="D595" t="str">
        <f t="shared" si="41"/>
        <v>No</v>
      </c>
      <c r="E595" t="str">
        <f t="shared" si="40"/>
        <v/>
      </c>
      <c r="F595" t="s">
        <v>429</v>
      </c>
      <c r="G595">
        <f t="shared" si="42"/>
        <v>391930002</v>
      </c>
      <c r="H595" s="123">
        <v>564</v>
      </c>
    </row>
    <row r="596" spans="1:8" ht="15.5">
      <c r="A596">
        <f t="shared" si="39"/>
        <v>0</v>
      </c>
      <c r="B596" t="s">
        <v>463</v>
      </c>
      <c r="C596" t="s">
        <v>466</v>
      </c>
      <c r="D596" t="str">
        <f t="shared" si="41"/>
        <v>No</v>
      </c>
      <c r="E596" t="str">
        <f t="shared" si="40"/>
        <v/>
      </c>
      <c r="F596" t="s">
        <v>429</v>
      </c>
      <c r="G596">
        <f t="shared" si="42"/>
        <v>391930002</v>
      </c>
      <c r="H596" s="123">
        <v>565</v>
      </c>
    </row>
    <row r="597" spans="1:8" ht="15.5">
      <c r="A597">
        <f t="shared" si="39"/>
        <v>0</v>
      </c>
      <c r="B597" t="s">
        <v>463</v>
      </c>
      <c r="C597" t="s">
        <v>466</v>
      </c>
      <c r="D597" t="str">
        <f t="shared" si="41"/>
        <v>No</v>
      </c>
      <c r="E597" t="str">
        <f t="shared" si="40"/>
        <v/>
      </c>
      <c r="F597" t="s">
        <v>429</v>
      </c>
      <c r="G597">
        <f t="shared" si="42"/>
        <v>391930002</v>
      </c>
      <c r="H597" s="123">
        <v>566</v>
      </c>
    </row>
    <row r="598" spans="1:8" ht="15.5">
      <c r="A598">
        <f t="shared" si="39"/>
        <v>0</v>
      </c>
      <c r="B598" t="s">
        <v>463</v>
      </c>
      <c r="C598" t="s">
        <v>466</v>
      </c>
      <c r="D598" t="str">
        <f t="shared" si="41"/>
        <v>No</v>
      </c>
      <c r="E598" t="str">
        <f t="shared" si="40"/>
        <v/>
      </c>
      <c r="F598" t="s">
        <v>429</v>
      </c>
      <c r="G598">
        <f t="shared" si="42"/>
        <v>391930002</v>
      </c>
      <c r="H598" s="123">
        <v>567</v>
      </c>
    </row>
    <row r="599" spans="1:8" ht="15.5">
      <c r="A599">
        <f t="shared" si="39"/>
        <v>0</v>
      </c>
      <c r="B599" t="s">
        <v>463</v>
      </c>
      <c r="C599" t="s">
        <v>466</v>
      </c>
      <c r="D599" t="str">
        <f t="shared" si="41"/>
        <v>No</v>
      </c>
      <c r="E599" t="str">
        <f t="shared" si="40"/>
        <v/>
      </c>
      <c r="F599" t="s">
        <v>429</v>
      </c>
      <c r="G599">
        <f t="shared" si="42"/>
        <v>391930002</v>
      </c>
      <c r="H599" s="123">
        <v>568</v>
      </c>
    </row>
    <row r="600" spans="1:8" ht="15.5">
      <c r="A600">
        <f t="shared" si="39"/>
        <v>0</v>
      </c>
      <c r="B600" t="s">
        <v>463</v>
      </c>
      <c r="C600" t="s">
        <v>466</v>
      </c>
      <c r="D600" t="str">
        <f t="shared" si="41"/>
        <v>No</v>
      </c>
      <c r="E600" t="str">
        <f t="shared" si="40"/>
        <v/>
      </c>
      <c r="F600" t="s">
        <v>429</v>
      </c>
      <c r="G600">
        <f t="shared" si="42"/>
        <v>391930002</v>
      </c>
      <c r="H600" s="123">
        <v>569</v>
      </c>
    </row>
    <row r="601" spans="1:8" ht="15.5">
      <c r="A601">
        <f t="shared" ref="A601:A631" si="43">IF(D601="Yes",1,0)</f>
        <v>0</v>
      </c>
      <c r="B601" t="s">
        <v>463</v>
      </c>
      <c r="C601" t="s">
        <v>466</v>
      </c>
      <c r="D601" t="str">
        <f t="shared" si="41"/>
        <v>No</v>
      </c>
      <c r="E601" t="str">
        <f t="shared" si="40"/>
        <v/>
      </c>
      <c r="F601" t="s">
        <v>429</v>
      </c>
      <c r="G601">
        <f t="shared" si="42"/>
        <v>391930002</v>
      </c>
      <c r="H601" s="123">
        <v>570</v>
      </c>
    </row>
    <row r="602" spans="1:8" ht="15.5">
      <c r="A602">
        <f t="shared" si="43"/>
        <v>0</v>
      </c>
      <c r="B602" t="s">
        <v>463</v>
      </c>
      <c r="C602" t="s">
        <v>466</v>
      </c>
      <c r="D602" t="str">
        <f t="shared" si="41"/>
        <v>No</v>
      </c>
      <c r="E602" t="str">
        <f t="shared" si="40"/>
        <v/>
      </c>
      <c r="F602" t="s">
        <v>429</v>
      </c>
      <c r="G602">
        <f t="shared" si="42"/>
        <v>391930002</v>
      </c>
      <c r="H602" s="123">
        <v>571</v>
      </c>
    </row>
    <row r="603" spans="1:8" ht="15.5">
      <c r="A603">
        <f t="shared" si="43"/>
        <v>0</v>
      </c>
      <c r="B603" t="s">
        <v>463</v>
      </c>
      <c r="C603" t="s">
        <v>466</v>
      </c>
      <c r="D603" t="str">
        <f t="shared" si="41"/>
        <v>No</v>
      </c>
      <c r="E603" t="str">
        <f t="shared" si="40"/>
        <v/>
      </c>
      <c r="F603" t="s">
        <v>429</v>
      </c>
      <c r="G603">
        <f t="shared" si="42"/>
        <v>391930002</v>
      </c>
      <c r="H603" s="123">
        <v>572</v>
      </c>
    </row>
    <row r="604" spans="1:8" ht="15.5">
      <c r="A604">
        <f t="shared" si="43"/>
        <v>0</v>
      </c>
      <c r="B604" t="s">
        <v>463</v>
      </c>
      <c r="C604" t="s">
        <v>466</v>
      </c>
      <c r="D604" t="str">
        <f t="shared" si="41"/>
        <v>No</v>
      </c>
      <c r="E604" t="str">
        <f t="shared" si="40"/>
        <v/>
      </c>
      <c r="F604" t="s">
        <v>429</v>
      </c>
      <c r="G604">
        <f t="shared" si="42"/>
        <v>391930002</v>
      </c>
      <c r="H604" s="123">
        <v>573</v>
      </c>
    </row>
    <row r="605" spans="1:8" ht="15.5">
      <c r="A605">
        <f t="shared" si="43"/>
        <v>0</v>
      </c>
      <c r="B605" t="s">
        <v>463</v>
      </c>
      <c r="C605" t="s">
        <v>466</v>
      </c>
      <c r="D605" t="str">
        <f t="shared" si="41"/>
        <v>No</v>
      </c>
      <c r="E605" t="str">
        <f t="shared" si="40"/>
        <v/>
      </c>
      <c r="F605" t="s">
        <v>429</v>
      </c>
      <c r="G605">
        <f t="shared" si="42"/>
        <v>391930002</v>
      </c>
      <c r="H605" s="123">
        <v>574</v>
      </c>
    </row>
    <row r="606" spans="1:8" ht="15.5">
      <c r="A606">
        <f t="shared" si="43"/>
        <v>0</v>
      </c>
      <c r="B606" t="s">
        <v>463</v>
      </c>
      <c r="C606" t="s">
        <v>466</v>
      </c>
      <c r="D606" t="str">
        <f t="shared" si="41"/>
        <v>No</v>
      </c>
      <c r="E606" t="str">
        <f t="shared" si="40"/>
        <v/>
      </c>
      <c r="F606" t="s">
        <v>429</v>
      </c>
      <c r="G606">
        <f t="shared" si="42"/>
        <v>391930002</v>
      </c>
      <c r="H606" s="123">
        <v>575</v>
      </c>
    </row>
    <row r="607" spans="1:8" ht="15.5">
      <c r="A607">
        <f t="shared" si="43"/>
        <v>0</v>
      </c>
      <c r="B607" t="s">
        <v>463</v>
      </c>
      <c r="C607" t="s">
        <v>466</v>
      </c>
      <c r="D607" t="str">
        <f t="shared" si="41"/>
        <v>No</v>
      </c>
      <c r="E607" t="str">
        <f t="shared" si="40"/>
        <v/>
      </c>
      <c r="F607" t="s">
        <v>429</v>
      </c>
      <c r="G607">
        <f t="shared" si="42"/>
        <v>391930002</v>
      </c>
      <c r="H607" s="123">
        <v>576</v>
      </c>
    </row>
    <row r="608" spans="1:8" ht="15.5">
      <c r="A608">
        <f t="shared" si="43"/>
        <v>0</v>
      </c>
      <c r="B608" t="s">
        <v>463</v>
      </c>
      <c r="C608" t="s">
        <v>466</v>
      </c>
      <c r="D608" t="str">
        <f t="shared" si="41"/>
        <v>No</v>
      </c>
      <c r="E608" t="str">
        <f t="shared" ref="E608:E631" si="44">IF($D$11="Yes","",INDEX(ErrorCheck,MATCH($H608,ErrorCheckPlotNumber,0),MATCH($C608,ErrorCheckTitle,0)))</f>
        <v/>
      </c>
      <c r="F608" t="s">
        <v>429</v>
      </c>
      <c r="G608">
        <f t="shared" si="42"/>
        <v>391930002</v>
      </c>
      <c r="H608" s="123">
        <v>577</v>
      </c>
    </row>
    <row r="609" spans="1:8" ht="15.5">
      <c r="A609">
        <f t="shared" si="43"/>
        <v>0</v>
      </c>
      <c r="B609" t="s">
        <v>463</v>
      </c>
      <c r="C609" t="s">
        <v>466</v>
      </c>
      <c r="D609" t="str">
        <f t="shared" ref="D609:D631" si="45">IF(E609="", "No", "Yes")</f>
        <v>No</v>
      </c>
      <c r="E609" t="str">
        <f t="shared" si="44"/>
        <v/>
      </c>
      <c r="F609" t="s">
        <v>429</v>
      </c>
      <c r="G609">
        <f t="shared" si="42"/>
        <v>391930002</v>
      </c>
      <c r="H609" s="123">
        <v>578</v>
      </c>
    </row>
    <row r="610" spans="1:8" ht="15.5">
      <c r="A610">
        <f t="shared" si="43"/>
        <v>0</v>
      </c>
      <c r="B610" t="s">
        <v>463</v>
      </c>
      <c r="C610" t="s">
        <v>466</v>
      </c>
      <c r="D610" t="str">
        <f t="shared" si="45"/>
        <v>No</v>
      </c>
      <c r="E610" t="str">
        <f t="shared" si="44"/>
        <v/>
      </c>
      <c r="F610" t="s">
        <v>429</v>
      </c>
      <c r="G610">
        <f t="shared" si="42"/>
        <v>391930002</v>
      </c>
      <c r="H610" s="123">
        <v>579</v>
      </c>
    </row>
    <row r="611" spans="1:8" ht="15.5">
      <c r="A611">
        <f t="shared" si="43"/>
        <v>0</v>
      </c>
      <c r="B611" t="s">
        <v>463</v>
      </c>
      <c r="C611" t="s">
        <v>466</v>
      </c>
      <c r="D611" t="str">
        <f t="shared" si="45"/>
        <v>No</v>
      </c>
      <c r="E611" t="str">
        <f t="shared" si="44"/>
        <v/>
      </c>
      <c r="F611" t="s">
        <v>429</v>
      </c>
      <c r="G611">
        <f t="shared" si="42"/>
        <v>391930002</v>
      </c>
      <c r="H611" s="123">
        <v>580</v>
      </c>
    </row>
    <row r="612" spans="1:8" ht="15.5">
      <c r="A612">
        <f t="shared" si="43"/>
        <v>0</v>
      </c>
      <c r="B612" t="s">
        <v>463</v>
      </c>
      <c r="C612" t="s">
        <v>466</v>
      </c>
      <c r="D612" t="str">
        <f t="shared" si="45"/>
        <v>No</v>
      </c>
      <c r="E612" t="str">
        <f t="shared" si="44"/>
        <v/>
      </c>
      <c r="F612" t="s">
        <v>429</v>
      </c>
      <c r="G612">
        <f t="shared" si="42"/>
        <v>391930002</v>
      </c>
      <c r="H612" s="123">
        <v>581</v>
      </c>
    </row>
    <row r="613" spans="1:8" ht="15.5">
      <c r="A613">
        <f t="shared" si="43"/>
        <v>0</v>
      </c>
      <c r="B613" t="s">
        <v>463</v>
      </c>
      <c r="C613" t="s">
        <v>466</v>
      </c>
      <c r="D613" t="str">
        <f t="shared" si="45"/>
        <v>No</v>
      </c>
      <c r="E613" t="str">
        <f t="shared" si="44"/>
        <v/>
      </c>
      <c r="F613" t="s">
        <v>429</v>
      </c>
      <c r="G613">
        <f t="shared" si="42"/>
        <v>391930002</v>
      </c>
      <c r="H613" s="123">
        <v>582</v>
      </c>
    </row>
    <row r="614" spans="1:8" ht="15.5">
      <c r="A614">
        <f t="shared" si="43"/>
        <v>0</v>
      </c>
      <c r="B614" t="s">
        <v>463</v>
      </c>
      <c r="C614" t="s">
        <v>466</v>
      </c>
      <c r="D614" t="str">
        <f t="shared" si="45"/>
        <v>No</v>
      </c>
      <c r="E614" t="str">
        <f t="shared" si="44"/>
        <v/>
      </c>
      <c r="F614" t="s">
        <v>429</v>
      </c>
      <c r="G614">
        <f t="shared" si="42"/>
        <v>391930002</v>
      </c>
      <c r="H614" s="123">
        <v>583</v>
      </c>
    </row>
    <row r="615" spans="1:8" ht="15.5">
      <c r="A615">
        <f t="shared" si="43"/>
        <v>0</v>
      </c>
      <c r="B615" t="s">
        <v>463</v>
      </c>
      <c r="C615" t="s">
        <v>466</v>
      </c>
      <c r="D615" t="str">
        <f t="shared" si="45"/>
        <v>No</v>
      </c>
      <c r="E615" t="str">
        <f t="shared" si="44"/>
        <v/>
      </c>
      <c r="F615" t="s">
        <v>429</v>
      </c>
      <c r="G615">
        <f t="shared" si="42"/>
        <v>391930002</v>
      </c>
      <c r="H615" s="123">
        <v>584</v>
      </c>
    </row>
    <row r="616" spans="1:8" ht="15.5">
      <c r="A616">
        <f t="shared" si="43"/>
        <v>0</v>
      </c>
      <c r="B616" t="s">
        <v>463</v>
      </c>
      <c r="C616" t="s">
        <v>466</v>
      </c>
      <c r="D616" t="str">
        <f t="shared" si="45"/>
        <v>No</v>
      </c>
      <c r="E616" t="str">
        <f t="shared" si="44"/>
        <v/>
      </c>
      <c r="F616" t="s">
        <v>429</v>
      </c>
      <c r="G616">
        <f t="shared" si="42"/>
        <v>391930002</v>
      </c>
      <c r="H616" s="123">
        <v>585</v>
      </c>
    </row>
    <row r="617" spans="1:8" ht="15.5">
      <c r="A617">
        <f t="shared" si="43"/>
        <v>0</v>
      </c>
      <c r="B617" t="s">
        <v>463</v>
      </c>
      <c r="C617" t="s">
        <v>466</v>
      </c>
      <c r="D617" t="str">
        <f t="shared" si="45"/>
        <v>No</v>
      </c>
      <c r="E617" t="str">
        <f t="shared" si="44"/>
        <v/>
      </c>
      <c r="F617" t="s">
        <v>429</v>
      </c>
      <c r="G617">
        <f t="shared" si="42"/>
        <v>391930002</v>
      </c>
      <c r="H617" s="123">
        <v>586</v>
      </c>
    </row>
    <row r="618" spans="1:8" ht="15.5">
      <c r="A618">
        <f t="shared" si="43"/>
        <v>0</v>
      </c>
      <c r="B618" t="s">
        <v>463</v>
      </c>
      <c r="C618" t="s">
        <v>466</v>
      </c>
      <c r="D618" t="str">
        <f t="shared" si="45"/>
        <v>No</v>
      </c>
      <c r="E618" t="str">
        <f t="shared" si="44"/>
        <v/>
      </c>
      <c r="F618" t="s">
        <v>429</v>
      </c>
      <c r="G618">
        <f t="shared" si="42"/>
        <v>391930002</v>
      </c>
      <c r="H618" s="123">
        <v>587</v>
      </c>
    </row>
    <row r="619" spans="1:8" ht="15.5">
      <c r="A619">
        <f t="shared" si="43"/>
        <v>0</v>
      </c>
      <c r="B619" t="s">
        <v>463</v>
      </c>
      <c r="C619" t="s">
        <v>466</v>
      </c>
      <c r="D619" t="str">
        <f t="shared" si="45"/>
        <v>No</v>
      </c>
      <c r="E619" t="str">
        <f t="shared" si="44"/>
        <v/>
      </c>
      <c r="F619" t="s">
        <v>429</v>
      </c>
      <c r="G619">
        <f t="shared" si="42"/>
        <v>391930002</v>
      </c>
      <c r="H619" s="123">
        <v>588</v>
      </c>
    </row>
    <row r="620" spans="1:8" ht="15.5">
      <c r="A620">
        <f t="shared" si="43"/>
        <v>0</v>
      </c>
      <c r="B620" t="s">
        <v>463</v>
      </c>
      <c r="C620" t="s">
        <v>466</v>
      </c>
      <c r="D620" t="str">
        <f t="shared" si="45"/>
        <v>No</v>
      </c>
      <c r="E620" t="str">
        <f t="shared" si="44"/>
        <v/>
      </c>
      <c r="F620" t="s">
        <v>429</v>
      </c>
      <c r="G620">
        <f t="shared" si="42"/>
        <v>391930002</v>
      </c>
      <c r="H620" s="123">
        <v>589</v>
      </c>
    </row>
    <row r="621" spans="1:8" ht="15.5">
      <c r="A621">
        <f t="shared" si="43"/>
        <v>0</v>
      </c>
      <c r="B621" t="s">
        <v>463</v>
      </c>
      <c r="C621" t="s">
        <v>466</v>
      </c>
      <c r="D621" t="str">
        <f t="shared" si="45"/>
        <v>No</v>
      </c>
      <c r="E621" t="str">
        <f t="shared" si="44"/>
        <v/>
      </c>
      <c r="F621" t="s">
        <v>429</v>
      </c>
      <c r="G621">
        <f t="shared" si="42"/>
        <v>391930002</v>
      </c>
      <c r="H621" s="123">
        <v>590</v>
      </c>
    </row>
    <row r="622" spans="1:8" ht="15.5">
      <c r="A622">
        <f t="shared" si="43"/>
        <v>0</v>
      </c>
      <c r="B622" t="s">
        <v>463</v>
      </c>
      <c r="C622" t="s">
        <v>466</v>
      </c>
      <c r="D622" t="str">
        <f t="shared" si="45"/>
        <v>No</v>
      </c>
      <c r="E622" t="str">
        <f t="shared" si="44"/>
        <v/>
      </c>
      <c r="F622" t="s">
        <v>429</v>
      </c>
      <c r="G622">
        <f t="shared" si="42"/>
        <v>391930002</v>
      </c>
      <c r="H622" s="123">
        <v>591</v>
      </c>
    </row>
    <row r="623" spans="1:8" ht="15.5">
      <c r="A623">
        <f t="shared" si="43"/>
        <v>0</v>
      </c>
      <c r="B623" t="s">
        <v>463</v>
      </c>
      <c r="C623" t="s">
        <v>466</v>
      </c>
      <c r="D623" t="str">
        <f t="shared" si="45"/>
        <v>No</v>
      </c>
      <c r="E623" t="str">
        <f t="shared" si="44"/>
        <v/>
      </c>
      <c r="F623" t="s">
        <v>429</v>
      </c>
      <c r="G623">
        <f t="shared" si="42"/>
        <v>391930002</v>
      </c>
      <c r="H623" s="123">
        <v>592</v>
      </c>
    </row>
    <row r="624" spans="1:8" ht="15.5">
      <c r="A624">
        <f t="shared" si="43"/>
        <v>0</v>
      </c>
      <c r="B624" t="s">
        <v>463</v>
      </c>
      <c r="C624" t="s">
        <v>466</v>
      </c>
      <c r="D624" t="str">
        <f t="shared" si="45"/>
        <v>No</v>
      </c>
      <c r="E624" t="str">
        <f t="shared" si="44"/>
        <v/>
      </c>
      <c r="F624" t="s">
        <v>429</v>
      </c>
      <c r="G624">
        <f t="shared" si="42"/>
        <v>391930002</v>
      </c>
      <c r="H624" s="123">
        <v>593</v>
      </c>
    </row>
    <row r="625" spans="1:8" ht="15.5">
      <c r="A625">
        <f t="shared" si="43"/>
        <v>0</v>
      </c>
      <c r="B625" t="s">
        <v>463</v>
      </c>
      <c r="C625" t="s">
        <v>466</v>
      </c>
      <c r="D625" t="str">
        <f t="shared" si="45"/>
        <v>No</v>
      </c>
      <c r="E625" t="str">
        <f t="shared" si="44"/>
        <v/>
      </c>
      <c r="F625" t="s">
        <v>429</v>
      </c>
      <c r="G625">
        <f t="shared" si="42"/>
        <v>391930002</v>
      </c>
      <c r="H625" s="123">
        <v>594</v>
      </c>
    </row>
    <row r="626" spans="1:8" ht="15.5">
      <c r="A626">
        <f t="shared" si="43"/>
        <v>0</v>
      </c>
      <c r="B626" t="s">
        <v>463</v>
      </c>
      <c r="C626" t="s">
        <v>466</v>
      </c>
      <c r="D626" t="str">
        <f t="shared" si="45"/>
        <v>No</v>
      </c>
      <c r="E626" t="str">
        <f t="shared" si="44"/>
        <v/>
      </c>
      <c r="F626" t="s">
        <v>429</v>
      </c>
      <c r="G626">
        <f t="shared" si="42"/>
        <v>391930002</v>
      </c>
      <c r="H626" s="123">
        <v>595</v>
      </c>
    </row>
    <row r="627" spans="1:8" ht="15.5">
      <c r="A627">
        <f t="shared" si="43"/>
        <v>0</v>
      </c>
      <c r="B627" t="s">
        <v>463</v>
      </c>
      <c r="C627" t="s">
        <v>466</v>
      </c>
      <c r="D627" t="str">
        <f t="shared" si="45"/>
        <v>No</v>
      </c>
      <c r="E627" t="str">
        <f t="shared" si="44"/>
        <v/>
      </c>
      <c r="F627" t="s">
        <v>429</v>
      </c>
      <c r="G627">
        <f t="shared" si="42"/>
        <v>391930002</v>
      </c>
      <c r="H627" s="123">
        <v>596</v>
      </c>
    </row>
    <row r="628" spans="1:8" ht="15.5">
      <c r="A628">
        <f t="shared" si="43"/>
        <v>0</v>
      </c>
      <c r="B628" t="s">
        <v>463</v>
      </c>
      <c r="C628" t="s">
        <v>466</v>
      </c>
      <c r="D628" t="str">
        <f t="shared" si="45"/>
        <v>No</v>
      </c>
      <c r="E628" t="str">
        <f t="shared" si="44"/>
        <v/>
      </c>
      <c r="F628" t="s">
        <v>429</v>
      </c>
      <c r="G628">
        <f t="shared" si="42"/>
        <v>391930002</v>
      </c>
      <c r="H628" s="123">
        <v>597</v>
      </c>
    </row>
    <row r="629" spans="1:8" ht="15.5">
      <c r="A629">
        <f t="shared" si="43"/>
        <v>0</v>
      </c>
      <c r="B629" t="s">
        <v>463</v>
      </c>
      <c r="C629" t="s">
        <v>466</v>
      </c>
      <c r="D629" t="str">
        <f t="shared" si="45"/>
        <v>No</v>
      </c>
      <c r="E629" t="str">
        <f t="shared" si="44"/>
        <v/>
      </c>
      <c r="F629" t="s">
        <v>429</v>
      </c>
      <c r="G629">
        <f t="shared" si="42"/>
        <v>391930002</v>
      </c>
      <c r="H629" s="123">
        <v>598</v>
      </c>
    </row>
    <row r="630" spans="1:8" ht="15.5">
      <c r="A630">
        <f t="shared" si="43"/>
        <v>0</v>
      </c>
      <c r="B630" t="s">
        <v>463</v>
      </c>
      <c r="C630" t="s">
        <v>466</v>
      </c>
      <c r="D630" t="str">
        <f t="shared" si="45"/>
        <v>No</v>
      </c>
      <c r="E630" t="str">
        <f t="shared" si="44"/>
        <v/>
      </c>
      <c r="F630" t="s">
        <v>429</v>
      </c>
      <c r="G630">
        <f t="shared" si="42"/>
        <v>391930002</v>
      </c>
      <c r="H630" s="123">
        <v>599</v>
      </c>
    </row>
    <row r="631" spans="1:8" ht="15.5">
      <c r="A631">
        <f t="shared" si="43"/>
        <v>0</v>
      </c>
      <c r="B631" t="s">
        <v>463</v>
      </c>
      <c r="C631" t="s">
        <v>466</v>
      </c>
      <c r="D631" t="str">
        <f t="shared" si="45"/>
        <v>No</v>
      </c>
      <c r="E631" t="str">
        <f t="shared" si="44"/>
        <v/>
      </c>
      <c r="F631" t="s">
        <v>429</v>
      </c>
      <c r="G631">
        <f t="shared" si="42"/>
        <v>391930002</v>
      </c>
      <c r="H631" s="123">
        <v>600</v>
      </c>
    </row>
  </sheetData>
  <pageMargins left="0.7" right="0.7" top="0.75" bottom="0.75" header="0.3" footer="0.3"/>
  <pageSetup paperSize="9"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5245-A2EB-4511-AEC4-1E335AED906C}">
  <sheetPr codeName="Sheet8">
    <tabColor rgb="FFFF0000"/>
  </sheetPr>
  <dimension ref="A1:T15"/>
  <sheetViews>
    <sheetView workbookViewId="0"/>
  </sheetViews>
  <sheetFormatPr defaultColWidth="8.81640625" defaultRowHeight="15.5"/>
  <cols>
    <col min="1" max="1" width="18" style="35" customWidth="1"/>
    <col min="2" max="2" width="26.54296875" style="35" customWidth="1"/>
    <col min="3" max="3" width="31" style="35" customWidth="1"/>
    <col min="4" max="4" width="29.81640625" style="35" customWidth="1"/>
    <col min="5" max="5" width="41.81640625" style="35" customWidth="1"/>
    <col min="6" max="6" width="30.453125" style="35" customWidth="1"/>
    <col min="7" max="7" width="16.453125" style="35" bestFit="1" customWidth="1"/>
    <col min="8" max="8" width="23.453125" style="35" bestFit="1" customWidth="1"/>
    <col min="9" max="9" width="26.81640625" style="35" customWidth="1"/>
    <col min="10" max="10" width="18.453125" style="35" customWidth="1"/>
    <col min="11" max="11" width="20.26953125" style="35" customWidth="1"/>
    <col min="12" max="12" width="19.453125" style="35" bestFit="1" customWidth="1"/>
    <col min="13" max="13" width="16" style="35" bestFit="1" customWidth="1"/>
    <col min="14" max="14" width="17.1796875" style="35" customWidth="1"/>
    <col min="15" max="18" width="15.453125" style="35" customWidth="1"/>
    <col min="19" max="19" width="19.54296875" style="35" customWidth="1"/>
    <col min="20" max="20" width="15.453125" style="35" customWidth="1"/>
    <col min="21" max="21" width="13.453125" style="35" bestFit="1" customWidth="1"/>
    <col min="22" max="16384" width="8.81640625" style="35"/>
  </cols>
  <sheetData>
    <row r="1" spans="1:20" ht="21">
      <c r="A1" s="86" t="s">
        <v>301</v>
      </c>
    </row>
    <row r="3" spans="1:20">
      <c r="A3" s="89" t="s">
        <v>302</v>
      </c>
      <c r="B3" s="191" t="s">
        <v>303</v>
      </c>
      <c r="C3" s="191" t="s">
        <v>304</v>
      </c>
      <c r="D3" s="191" t="s">
        <v>305</v>
      </c>
      <c r="E3" s="191" t="s">
        <v>306</v>
      </c>
      <c r="F3" s="191" t="s">
        <v>307</v>
      </c>
    </row>
    <row r="4" spans="1:20">
      <c r="A4" s="34" t="s">
        <v>308</v>
      </c>
      <c r="B4" s="192" t="str">
        <f>CustomCost1</f>
        <v>Enter your first additional cost name here</v>
      </c>
      <c r="C4" s="192" t="str">
        <f>CustomCost2</f>
        <v>Enter your second additional cost name here</v>
      </c>
      <c r="D4" s="192" t="str">
        <f>CustomCost3</f>
        <v>Enter your third additional cost name here</v>
      </c>
      <c r="E4" s="192" t="str">
        <f>CustomCost4</f>
        <v>Enter your fourth additional cost name here</v>
      </c>
      <c r="F4" s="192" t="str">
        <f>CustomCost5</f>
        <v>Enter your fifth additional cost name here</v>
      </c>
    </row>
    <row r="5" spans="1:20">
      <c r="A5" s="36"/>
      <c r="B5" s="37"/>
      <c r="C5" s="37"/>
      <c r="D5" s="37"/>
      <c r="E5" s="37"/>
      <c r="F5" s="37"/>
    </row>
    <row r="6" spans="1:20" ht="31">
      <c r="A6" s="89" t="s">
        <v>260</v>
      </c>
      <c r="B6" s="191" t="s">
        <v>190</v>
      </c>
      <c r="C6" s="191" t="s">
        <v>191</v>
      </c>
      <c r="D6" s="193" t="s">
        <v>192</v>
      </c>
      <c r="E6" s="193" t="s">
        <v>193</v>
      </c>
      <c r="F6" s="193" t="s">
        <v>194</v>
      </c>
      <c r="G6" s="193" t="s">
        <v>195</v>
      </c>
      <c r="H6" s="193" t="s">
        <v>196</v>
      </c>
      <c r="I6" s="193" t="s">
        <v>197</v>
      </c>
      <c r="J6" s="193" t="s">
        <v>198</v>
      </c>
      <c r="K6" s="193" t="s">
        <v>199</v>
      </c>
      <c r="L6" s="193" t="s">
        <v>200</v>
      </c>
      <c r="M6" s="193" t="s">
        <v>303</v>
      </c>
      <c r="N6" s="193" t="s">
        <v>304</v>
      </c>
      <c r="O6" s="193" t="s">
        <v>305</v>
      </c>
      <c r="P6" s="193" t="s">
        <v>306</v>
      </c>
      <c r="Q6" s="193" t="s">
        <v>307</v>
      </c>
      <c r="R6" s="193" t="s">
        <v>309</v>
      </c>
      <c r="S6" s="193" t="s">
        <v>474</v>
      </c>
      <c r="T6" s="193" t="s">
        <v>310</v>
      </c>
    </row>
    <row r="7" spans="1:20">
      <c r="A7" s="36" t="s">
        <v>234</v>
      </c>
      <c r="B7" s="192">
        <f t="shared" ref="B7:P7" ca="1" si="0">SUMIF(Import,1,INDEX(ImportCosts,,MATCH(B$6,ImportTitles,0)))</f>
        <v>0</v>
      </c>
      <c r="C7" s="192">
        <f t="shared" ca="1" si="0"/>
        <v>0</v>
      </c>
      <c r="D7" s="192">
        <f t="shared" ca="1" si="0"/>
        <v>0</v>
      </c>
      <c r="E7" s="192">
        <f t="shared" ca="1" si="0"/>
        <v>0</v>
      </c>
      <c r="F7" s="192">
        <f t="shared" ca="1" si="0"/>
        <v>0</v>
      </c>
      <c r="G7" s="192">
        <f t="shared" ca="1" si="0"/>
        <v>0</v>
      </c>
      <c r="H7" s="192">
        <f t="shared" ca="1" si="0"/>
        <v>0</v>
      </c>
      <c r="I7" s="192">
        <f t="shared" ca="1" si="0"/>
        <v>0</v>
      </c>
      <c r="J7" s="192">
        <f t="shared" ca="1" si="0"/>
        <v>0</v>
      </c>
      <c r="K7" s="192">
        <f t="shared" ca="1" si="0"/>
        <v>0</v>
      </c>
      <c r="L7" s="192">
        <f t="shared" ca="1" si="0"/>
        <v>0</v>
      </c>
      <c r="M7" s="192">
        <f t="shared" ca="1" si="0"/>
        <v>0</v>
      </c>
      <c r="N7" s="192">
        <f t="shared" ca="1" si="0"/>
        <v>0</v>
      </c>
      <c r="O7" s="192">
        <f t="shared" ca="1" si="0"/>
        <v>0</v>
      </c>
      <c r="P7" s="192">
        <f t="shared" ca="1" si="0"/>
        <v>0</v>
      </c>
      <c r="Q7" s="192">
        <f ca="1">SUMIF(Import,1,INDEX(ImportCosts,,MATCH(Q$6,ImportTitles,0)))</f>
        <v>0</v>
      </c>
      <c r="R7" s="192">
        <f ca="1">SUM($B$7:$L$7)+SUM($M$7:$Q$7)</f>
        <v>0</v>
      </c>
      <c r="S7" s="202">
        <f ca="1">ROUND($T$7*100,0)</f>
        <v>0</v>
      </c>
      <c r="T7" s="194">
        <f ca="1">IF(OR(SUM($F$7,$G$7,$I$7)=0,$L$7=0),0,$L$7/SUM($F$7,$G$7,$I$7))</f>
        <v>0</v>
      </c>
    </row>
    <row r="9" spans="1:20" ht="31">
      <c r="A9" s="36" t="s">
        <v>260</v>
      </c>
      <c r="B9" s="193" t="s">
        <v>311</v>
      </c>
      <c r="C9" s="193" t="s">
        <v>312</v>
      </c>
      <c r="D9" s="193" t="s">
        <v>479</v>
      </c>
      <c r="E9" s="193" t="s">
        <v>313</v>
      </c>
      <c r="F9" s="193" t="s">
        <v>314</v>
      </c>
      <c r="G9" s="193" t="s">
        <v>315</v>
      </c>
      <c r="H9" s="193" t="s">
        <v>316</v>
      </c>
      <c r="I9" s="193" t="s">
        <v>317</v>
      </c>
      <c r="J9" s="193" t="s">
        <v>318</v>
      </c>
      <c r="K9" s="193" t="s">
        <v>319</v>
      </c>
      <c r="L9" s="193" t="s">
        <v>320</v>
      </c>
      <c r="M9" s="193" t="s">
        <v>471</v>
      </c>
      <c r="N9" s="193" t="s">
        <v>321</v>
      </c>
    </row>
    <row r="10" spans="1:20">
      <c r="A10" s="36" t="s">
        <v>234</v>
      </c>
      <c r="B10" s="35" t="str">
        <f>IF(ISBLANK(DevelopmentName),"",DevelopmentName)</f>
        <v/>
      </c>
      <c r="C10" s="173" t="str">
        <f>IF(OR(ISBLANK(StartDateMonth),ISBLANK(StartDateYear)),"",DATEVALUE(StartDateMonth&amp;StartDateYear))</f>
        <v/>
      </c>
      <c r="D10" s="177">
        <f>IF(C10="",0,1)</f>
        <v>0</v>
      </c>
      <c r="E10" s="35">
        <f>IF(ISBLANK(ProjectDuration),0,ProjectDuration)</f>
        <v>0</v>
      </c>
      <c r="F10" s="195" t="str">
        <f>IF(OR(CompletionMonth="",CompletionYear=""),"",MAX(EDATE(DATEVALUE(CompletionMonth&amp;CompletionYear),1),$G$10))</f>
        <v/>
      </c>
      <c r="G10" s="195">
        <f>MAX(HomeCompletionDate)</f>
        <v>0</v>
      </c>
      <c r="H10" s="195">
        <f>MAX(SaleCompletionDate)</f>
        <v>0</v>
      </c>
      <c r="I10" s="195">
        <f>IF(SUM(HomeCompletionDate)=0,0,SMALL(HomeCompletionDate,COUNTIF(HomeCompletionDate,0)+2))</f>
        <v>0</v>
      </c>
      <c r="J10" s="195">
        <f>IF(SUM(SaleCompletionDate)=0,0,SMALL(SaleCompletionDate,COUNTIF(SaleCompletionDate,0)+2))</f>
        <v>0</v>
      </c>
      <c r="K10" s="195" t="str">
        <f>IF((COUNTIF(BuildTypeCategoryCode,"391930001")+COUNTIF(BuildTypeCategoryCode,"391930002"))&gt;0,"Yes","No")</f>
        <v>No</v>
      </c>
      <c r="L10" s="177">
        <f>INDEX(MMCYesNo,MATCH($K$10,MMCYesNoLookUp,0),2)</f>
        <v>391930001</v>
      </c>
      <c r="M10" s="177">
        <f>NumberOfPlots</f>
        <v>0</v>
      </c>
      <c r="N10" s="35">
        <f>SUM(HomesImports)</f>
        <v>0</v>
      </c>
    </row>
    <row r="11" spans="1:20">
      <c r="A11" s="36"/>
      <c r="C11" s="173"/>
      <c r="E11" s="195"/>
      <c r="F11" s="195"/>
      <c r="G11" s="195"/>
      <c r="H11" s="195"/>
      <c r="I11" s="195"/>
      <c r="J11" s="195"/>
      <c r="K11" s="177"/>
    </row>
    <row r="12" spans="1:20">
      <c r="A12" s="36" t="s">
        <v>260</v>
      </c>
      <c r="B12" s="196" t="s">
        <v>235</v>
      </c>
      <c r="C12" s="196" t="s">
        <v>237</v>
      </c>
      <c r="D12" s="196" t="s">
        <v>236</v>
      </c>
      <c r="E12" s="35" t="s">
        <v>239</v>
      </c>
      <c r="F12" s="35" t="s">
        <v>473</v>
      </c>
      <c r="G12" s="35" t="s">
        <v>240</v>
      </c>
    </row>
    <row r="13" spans="1:20">
      <c r="A13" s="36" t="s">
        <v>234</v>
      </c>
      <c r="B13" s="192">
        <f>INDEX(ProjectMetrics,MATCH(B$12,ProjectMetricsTitles,0),2)</f>
        <v>0</v>
      </c>
      <c r="C13" s="192" t="str">
        <f>INDEX(ProjectMetrics,MATCH(C$12,ProjectMetricsTitles,0),2)</f>
        <v/>
      </c>
      <c r="D13" s="192" t="str">
        <f>INDEX(ProjectMetrics,MATCH(D$12,ProjectMetricsTitles,0),2)</f>
        <v/>
      </c>
      <c r="E13" s="192" t="str">
        <f>INDEX(ProfitSummaryTable,MATCH(E$12,ProfitSummaryTitles,0),2)</f>
        <v/>
      </c>
      <c r="F13" s="202">
        <f>IF($G$13="",0,ROUND($G$13*100,0))</f>
        <v>0</v>
      </c>
      <c r="G13" s="201" t="str">
        <f>INDEX(ProfitSummaryTable,MATCH(G$12,ProfitSummaryTitles,0),2)</f>
        <v/>
      </c>
      <c r="L13" s="174"/>
    </row>
    <row r="14" spans="1:20">
      <c r="I14" s="195"/>
    </row>
    <row r="15" spans="1:20">
      <c r="E15" s="174"/>
    </row>
  </sheetData>
  <sheetProtection selectLockedCells="1" selectUnlockedCells="1"/>
  <phoneticPr fontId="4" type="noConversion"/>
  <pageMargins left="0.7" right="0.7" top="0.75" bottom="0.75" header="0.3" footer="0.3"/>
  <pageSetup paperSize="9" orientation="portrait" r:id="rId1"/>
  <tableParts count="4">
    <tablePart r:id="rId2"/>
    <tablePart r:id="rId3"/>
    <tablePart r:id="rId4"/>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2F178-62DA-466C-B800-DA542A0EE279}">
  <sheetPr codeName="Sheet10">
    <tabColor rgb="FFFF0000"/>
  </sheetPr>
  <dimension ref="A1:Y604"/>
  <sheetViews>
    <sheetView zoomScaleNormal="100" workbookViewId="0"/>
  </sheetViews>
  <sheetFormatPr defaultColWidth="8.81640625" defaultRowHeight="15" customHeight="1"/>
  <cols>
    <col min="1" max="1" width="15.81640625" style="3" bestFit="1" customWidth="1"/>
    <col min="2" max="2" width="11.453125" style="3" customWidth="1"/>
    <col min="3" max="3" width="18.1796875" style="4" bestFit="1" customWidth="1"/>
    <col min="4" max="4" width="24.453125" style="3" bestFit="1" customWidth="1"/>
    <col min="5" max="6" width="24.453125" style="3" customWidth="1"/>
    <col min="7" max="7" width="59.1796875" style="3" bestFit="1" customWidth="1"/>
    <col min="8" max="8" width="24.453125" style="3" customWidth="1"/>
    <col min="9" max="9" width="26.453125" style="3" bestFit="1" customWidth="1"/>
    <col min="10" max="10" width="41.1796875" style="3" customWidth="1"/>
    <col min="11" max="11" width="30.7265625" style="3" bestFit="1" customWidth="1"/>
    <col min="12" max="12" width="37.453125" style="3" customWidth="1"/>
    <col min="13" max="13" width="14.453125" style="3" bestFit="1" customWidth="1"/>
    <col min="14" max="14" width="24.453125" style="3" bestFit="1" customWidth="1"/>
    <col min="15" max="15" width="40.453125" style="5" customWidth="1"/>
    <col min="16" max="16" width="42.453125" style="7" customWidth="1"/>
    <col min="17" max="17" width="40" style="7" customWidth="1"/>
    <col min="18" max="18" width="41.453125" style="7" customWidth="1"/>
    <col min="19" max="19" width="40.453125" style="5" customWidth="1"/>
    <col min="20" max="20" width="25.453125" style="3" customWidth="1"/>
    <col min="21" max="21" width="23" style="3" customWidth="1"/>
    <col min="22" max="22" width="37.453125" style="3" customWidth="1"/>
    <col min="23" max="23" width="27.453125" style="6" customWidth="1"/>
    <col min="24" max="24" width="8.81640625" style="3"/>
    <col min="25" max="25" width="12" style="3" bestFit="1" customWidth="1"/>
    <col min="26" max="29" width="8.81640625" style="3"/>
    <col min="30" max="30" width="60.453125" style="3" customWidth="1"/>
    <col min="31" max="31" width="26.1796875" style="3" customWidth="1"/>
    <col min="32" max="16384" width="8.81640625" style="3"/>
  </cols>
  <sheetData>
    <row r="1" spans="1:25" s="13" customFormat="1" ht="20.25" customHeight="1">
      <c r="A1" s="84" t="s">
        <v>289</v>
      </c>
      <c r="G1" s="126"/>
      <c r="O1" s="15"/>
      <c r="P1" s="16"/>
      <c r="Q1" s="16"/>
      <c r="R1" s="16"/>
      <c r="S1" s="15"/>
      <c r="W1" s="17"/>
    </row>
    <row r="3" spans="1:25" s="2" customFormat="1" ht="15.5">
      <c r="A3" s="127" t="s">
        <v>290</v>
      </c>
      <c r="B3" s="128" t="s">
        <v>41</v>
      </c>
      <c r="C3" s="129" t="s">
        <v>42</v>
      </c>
      <c r="D3" s="128" t="s">
        <v>43</v>
      </c>
      <c r="E3" s="128" t="s">
        <v>44</v>
      </c>
      <c r="F3" s="128" t="s">
        <v>291</v>
      </c>
      <c r="G3" s="128" t="s">
        <v>45</v>
      </c>
      <c r="H3" s="128" t="s">
        <v>292</v>
      </c>
      <c r="I3" s="128" t="s">
        <v>293</v>
      </c>
      <c r="J3" s="128" t="s">
        <v>294</v>
      </c>
      <c r="K3" s="128" t="s">
        <v>47</v>
      </c>
      <c r="L3" s="128" t="s">
        <v>295</v>
      </c>
      <c r="M3" s="128" t="s">
        <v>48</v>
      </c>
      <c r="N3" s="128" t="s">
        <v>296</v>
      </c>
      <c r="O3" s="130" t="s">
        <v>297</v>
      </c>
      <c r="P3" s="127" t="s">
        <v>242</v>
      </c>
      <c r="Q3" s="127" t="s">
        <v>243</v>
      </c>
      <c r="R3" s="127" t="s">
        <v>298</v>
      </c>
      <c r="S3" s="130" t="s">
        <v>299</v>
      </c>
      <c r="T3" s="127" t="s">
        <v>51</v>
      </c>
      <c r="U3" s="127" t="s">
        <v>52</v>
      </c>
      <c r="V3" s="127" t="s">
        <v>300</v>
      </c>
      <c r="W3" s="131" t="s">
        <v>53</v>
      </c>
    </row>
    <row r="4" spans="1:25" ht="15.5">
      <c r="A4" s="132">
        <f t="shared" ref="A4:A67" si="0">IF((SUM($C4:$W4)-$H4-$J4)=0,0,1)</f>
        <v>0</v>
      </c>
      <c r="B4" s="133">
        <v>1</v>
      </c>
      <c r="C4" s="132" t="str">
        <f t="shared" ref="C4:C67" si="1">IF(INDEX(PlotData,MATCH($B4,PlotNumber,0),MATCH(C$3,PlotTitles,0))=0,"",INDEX(PlotData,MATCH($B4,PlotNumber,0),MATCH(C$3,PlotTitles,0)))</f>
        <v/>
      </c>
      <c r="D4" s="132">
        <f>INDEX(PlotData,MATCH($B4,PlotNumber,0),MATCH(D$3,PlotTitles,0))</f>
        <v>0</v>
      </c>
      <c r="E4" s="132">
        <f>INDEX(PlotData,MATCH($B4,PlotNumber,0),MATCH(E$3,PlotTitles,0))</f>
        <v>0</v>
      </c>
      <c r="F4" s="132">
        <f t="shared" ref="F4:F67" si="2">_xlfn.IFNA(INDEX(PropertyTypeRef,MATCH(E4,PropertyType,0),2),0)</f>
        <v>0</v>
      </c>
      <c r="G4" s="132" t="str">
        <f>INDEX(PlotData,MATCH($B4,PlotNumber,0),MATCH(G$3,PlotTitles,0))</f>
        <v>Open market housing</v>
      </c>
      <c r="H4" s="132">
        <f t="shared" ref="H4:H67" si="3">_xlfn.IFNA(INDEX(TenureRef,MATCH(G4,PlotCategory,0),2),0)</f>
        <v>896440000</v>
      </c>
      <c r="I4" s="132" t="str">
        <f>INDEX(PlotData,MATCH($B4,PlotNumber,0),MATCH(I$3,PlotTitles,0))</f>
        <v>New build</v>
      </c>
      <c r="J4" s="132">
        <f t="shared" ref="J4:J67" si="4">_xlfn.IFNA(INDEX(TenureDetailRef,MATCH(I4,TenureDetail,0),2),0)</f>
        <v>391930000</v>
      </c>
      <c r="K4" s="132">
        <f>INDEX(PlotData,MATCH($B4,PlotNumber,0),MATCH(K$3,PlotTitles,0))</f>
        <v>0</v>
      </c>
      <c r="L4" s="132">
        <f t="shared" ref="L4:L67" si="5">_xlfn.IFNA(INDEX(BuildTypeRef,MATCH(K4,BuildType,0),2),0)</f>
        <v>0</v>
      </c>
      <c r="M4" s="132">
        <f>INDEX(PlotData,MATCH($B4,PlotNumber,0),MATCH(M$3,PlotTitles,0))</f>
        <v>0</v>
      </c>
      <c r="N4" s="134">
        <f t="shared" ref="N4:N67" si="6">IF($M4=0,0,$M4*0.09290304)</f>
        <v>0</v>
      </c>
      <c r="O4" s="135">
        <f>IF(OR($P4="",$Q4=""),0,(DATEVALUE($P4&amp;$Q4)))</f>
        <v>0</v>
      </c>
      <c r="P4" s="132" t="str">
        <f>IF(INDEX(PlotData,MATCH($B4,PlotNumber,0),MATCH(P$3,PlotTitles,0))=0,"",INDEX(PlotData,MATCH($B4,PlotNumber,0),MATCH(P$3,PlotTitles,0)))</f>
        <v/>
      </c>
      <c r="Q4" s="132" t="str">
        <f>IF(INDEX(PlotData,MATCH($B4,PlotNumber,0),MATCH(Q$3,PlotTitles,0))=0,"",INDEX(PlotData,MATCH($B4,PlotNumber,0),MATCH(Q$3,PlotTitles,0)))</f>
        <v/>
      </c>
      <c r="R4" s="132" t="str">
        <f>IF(ISNUMBER(SEARCH("AHO",Import2[[#This Row],[Tenure]])),"AHO",Import2[[#This Row],[Tenure]])&amp;Import2[[#This Row],[Expected Physical Completion Year]]&amp;Import2[[#This Row],[Expected Physical Completion Month]]</f>
        <v>Open market housing</v>
      </c>
      <c r="S4" s="135">
        <f>IF(OR($T4="",$U4=""),0,(DATEVALUE($T4&amp;$U4)))</f>
        <v>0</v>
      </c>
      <c r="T4" s="132" t="str">
        <f t="shared" ref="T4:U23" si="7">IF(INDEX(PlotData,MATCH($B4,PlotNumber,0),MATCH(T$3,PlotTitles,0))=0,"",INDEX(PlotData,MATCH($B4,PlotNumber,0),MATCH(T$3,PlotTitles,0)))</f>
        <v/>
      </c>
      <c r="U4" s="132" t="str">
        <f t="shared" si="7"/>
        <v/>
      </c>
      <c r="V4" s="132" t="str">
        <f>IF(ISNUMBER(SEARCH("AHO",Import2[[#This Row],[Tenure]])),"AHO",Import2[[#This Row],[Tenure]])&amp;Import2[[#This Row],[Expected sale completion year]]&amp;Import2[[#This Row],[Expected sale completion month]]</f>
        <v>Open market housing</v>
      </c>
      <c r="W4" s="178">
        <f>INDEX(PlotData,MATCH($B4,PlotNumber,0),MATCH(W$3,PlotTitles,0))</f>
        <v>0</v>
      </c>
      <c r="X4" s="132"/>
      <c r="Y4" s="132"/>
    </row>
    <row r="5" spans="1:25" ht="15.5">
      <c r="A5" s="132">
        <f t="shared" si="0"/>
        <v>0</v>
      </c>
      <c r="B5" s="133">
        <v>2</v>
      </c>
      <c r="C5" s="132" t="str">
        <f t="shared" si="1"/>
        <v/>
      </c>
      <c r="D5" s="132">
        <f t="shared" ref="D5:G23" si="8">INDEX(PlotData,MATCH($B5,PlotNumber,0),MATCH(D$3,PlotTitles,0))</f>
        <v>0</v>
      </c>
      <c r="E5" s="132">
        <f t="shared" ref="E5:E68" si="9">INDEX(PlotData,MATCH($B5,PlotNumber,0),MATCH(E$3,PlotTitles,0))</f>
        <v>0</v>
      </c>
      <c r="F5" s="132">
        <f t="shared" si="2"/>
        <v>0</v>
      </c>
      <c r="G5" s="132" t="str">
        <f t="shared" si="8"/>
        <v>Open market housing</v>
      </c>
      <c r="H5" s="132">
        <f t="shared" si="3"/>
        <v>896440000</v>
      </c>
      <c r="I5" s="132" t="str">
        <f>INDEX(PlotData,MATCH($B5,PlotNumber,0),MATCH(I$3,PlotTitles,0))</f>
        <v>New build</v>
      </c>
      <c r="J5" s="132">
        <f t="shared" si="4"/>
        <v>391930000</v>
      </c>
      <c r="K5" s="132">
        <f t="shared" ref="K5:K35" si="10">INDEX(PlotData,MATCH($B5,PlotNumber,0),MATCH(K$3,PlotTitles,0))</f>
        <v>0</v>
      </c>
      <c r="L5" s="132">
        <f t="shared" si="5"/>
        <v>0</v>
      </c>
      <c r="M5" s="132">
        <f t="shared" ref="M5:M23" si="11">INDEX(PlotData,MATCH($B5,PlotNumber,0),MATCH(M$3,PlotTitles,0))</f>
        <v>0</v>
      </c>
      <c r="N5" s="134">
        <f t="shared" si="6"/>
        <v>0</v>
      </c>
      <c r="O5" s="135">
        <f t="shared" ref="O5:O67" si="12">IF(OR($P5="",$Q5=""),0,(DATEVALUE($P5&amp;$Q5)))</f>
        <v>0</v>
      </c>
      <c r="P5" s="132" t="str">
        <f>IF(INDEX(PlotData,MATCH($B5,PlotNumber,0),MATCH(P$3,PlotTitles,0))=0,"",INDEX(PlotData,MATCH($B5,PlotNumber,0),MATCH(P$3,PlotTitles,0)))</f>
        <v/>
      </c>
      <c r="Q5" s="132" t="str">
        <f>IF(INDEX(PlotData,MATCH($B5,PlotNumber,0),MATCH(Q$3,PlotTitles,0))=0,"",INDEX(PlotData,MATCH($B5,PlotNumber,0),MATCH(Q$3,PlotTitles,0)))</f>
        <v/>
      </c>
      <c r="R5" s="132" t="str">
        <f>IF(ISNUMBER(SEARCH("AHO",Import2[[#This Row],[Tenure]])),"AHO",Import2[[#This Row],[Tenure]])&amp;Import2[[#This Row],[Expected Physical Completion Year]]&amp;Import2[[#This Row],[Expected Physical Completion Month]]</f>
        <v>Open market housing</v>
      </c>
      <c r="S5" s="135">
        <f t="shared" ref="S5:S67" si="13">IF(OR($T5="",$U5=""),0,(DATEVALUE($T5&amp;$U5)))</f>
        <v>0</v>
      </c>
      <c r="T5" s="132" t="str">
        <f t="shared" si="7"/>
        <v/>
      </c>
      <c r="U5" s="132" t="str">
        <f t="shared" si="7"/>
        <v/>
      </c>
      <c r="V5" s="132" t="str">
        <f>IF(ISNUMBER(SEARCH("AHO",Import2[[#This Row],[Tenure]])),"AHO",Import2[[#This Row],[Tenure]])&amp;Import2[[#This Row],[Expected sale completion year]]&amp;Import2[[#This Row],[Expected sale completion month]]</f>
        <v>Open market housing</v>
      </c>
      <c r="W5" s="178">
        <f t="shared" ref="W5:W35" si="14">INDEX(PlotData,MATCH($B5,PlotNumber,0),MATCH(W$3,PlotTitles,0))</f>
        <v>0</v>
      </c>
      <c r="X5" s="132"/>
      <c r="Y5" s="132"/>
    </row>
    <row r="6" spans="1:25" ht="15.5">
      <c r="A6" s="132">
        <f t="shared" si="0"/>
        <v>0</v>
      </c>
      <c r="B6" s="133">
        <v>3</v>
      </c>
      <c r="C6" s="132" t="str">
        <f t="shared" si="1"/>
        <v/>
      </c>
      <c r="D6" s="132">
        <f t="shared" si="8"/>
        <v>0</v>
      </c>
      <c r="E6" s="132">
        <f t="shared" si="9"/>
        <v>0</v>
      </c>
      <c r="F6" s="132">
        <f t="shared" si="2"/>
        <v>0</v>
      </c>
      <c r="G6" s="132" t="str">
        <f t="shared" si="8"/>
        <v>Open market housing</v>
      </c>
      <c r="H6" s="132">
        <f t="shared" si="3"/>
        <v>896440000</v>
      </c>
      <c r="I6" s="132" t="str">
        <f t="shared" ref="I6:I35" si="15">INDEX(PlotData,MATCH($B6,PlotNumber,0),MATCH(I$3,PlotTitles,0))</f>
        <v>New build</v>
      </c>
      <c r="J6" s="132">
        <f t="shared" si="4"/>
        <v>391930000</v>
      </c>
      <c r="K6" s="132">
        <f t="shared" si="10"/>
        <v>0</v>
      </c>
      <c r="L6" s="132">
        <f t="shared" si="5"/>
        <v>0</v>
      </c>
      <c r="M6" s="132">
        <f t="shared" si="11"/>
        <v>0</v>
      </c>
      <c r="N6" s="134">
        <f t="shared" si="6"/>
        <v>0</v>
      </c>
      <c r="O6" s="135">
        <f t="shared" si="12"/>
        <v>0</v>
      </c>
      <c r="P6" s="132" t="str">
        <f t="shared" ref="P6:P35" si="16">IF(INDEX(PlotData,MATCH($B6,PlotNumber,0),MATCH(P$3,PlotTitles,0))=0,"",INDEX(PlotData,MATCH($B6,PlotNumber,0),MATCH(P$3,PlotTitles,0)))</f>
        <v/>
      </c>
      <c r="Q6" s="132" t="str">
        <f t="shared" ref="Q6:Q69" si="17">IF(INDEX(PlotData,MATCH($B6,PlotNumber,0),MATCH(Q$3,PlotTitles,0))=0,"",INDEX(PlotData,MATCH($B6,PlotNumber,0),MATCH(Q$3,PlotTitles,0)))</f>
        <v/>
      </c>
      <c r="R6" s="132" t="str">
        <f>IF(ISNUMBER(SEARCH("AHO",Import2[[#This Row],[Tenure]])),"AHO",Import2[[#This Row],[Tenure]])&amp;Import2[[#This Row],[Expected Physical Completion Year]]&amp;Import2[[#This Row],[Expected Physical Completion Month]]</f>
        <v>Open market housing</v>
      </c>
      <c r="S6" s="135">
        <f t="shared" si="13"/>
        <v>0</v>
      </c>
      <c r="T6" s="132" t="str">
        <f t="shared" si="7"/>
        <v/>
      </c>
      <c r="U6" s="132" t="str">
        <f t="shared" si="7"/>
        <v/>
      </c>
      <c r="V6" s="132" t="str">
        <f>IF(ISNUMBER(SEARCH("AHO",Import2[[#This Row],[Tenure]])),"AHO",Import2[[#This Row],[Tenure]])&amp;Import2[[#This Row],[Expected sale completion year]]&amp;Import2[[#This Row],[Expected sale completion month]]</f>
        <v>Open market housing</v>
      </c>
      <c r="W6" s="178">
        <f t="shared" si="14"/>
        <v>0</v>
      </c>
      <c r="X6" s="132"/>
      <c r="Y6" s="132"/>
    </row>
    <row r="7" spans="1:25" ht="15.5">
      <c r="A7" s="132">
        <f t="shared" si="0"/>
        <v>0</v>
      </c>
      <c r="B7" s="133">
        <v>4</v>
      </c>
      <c r="C7" s="132" t="str">
        <f t="shared" si="1"/>
        <v/>
      </c>
      <c r="D7" s="132">
        <f t="shared" si="8"/>
        <v>0</v>
      </c>
      <c r="E7" s="132">
        <f t="shared" si="9"/>
        <v>0</v>
      </c>
      <c r="F7" s="132">
        <f t="shared" si="2"/>
        <v>0</v>
      </c>
      <c r="G7" s="132" t="str">
        <f t="shared" si="8"/>
        <v>Open market housing</v>
      </c>
      <c r="H7" s="132">
        <f t="shared" si="3"/>
        <v>896440000</v>
      </c>
      <c r="I7" s="132" t="str">
        <f t="shared" si="15"/>
        <v>New build</v>
      </c>
      <c r="J7" s="132">
        <f t="shared" si="4"/>
        <v>391930000</v>
      </c>
      <c r="K7" s="132">
        <f t="shared" si="10"/>
        <v>0</v>
      </c>
      <c r="L7" s="132">
        <f t="shared" si="5"/>
        <v>0</v>
      </c>
      <c r="M7" s="132">
        <f t="shared" si="11"/>
        <v>0</v>
      </c>
      <c r="N7" s="134">
        <f t="shared" si="6"/>
        <v>0</v>
      </c>
      <c r="O7" s="135">
        <f t="shared" si="12"/>
        <v>0</v>
      </c>
      <c r="P7" s="132" t="str">
        <f t="shared" si="16"/>
        <v/>
      </c>
      <c r="Q7" s="132" t="str">
        <f t="shared" si="17"/>
        <v/>
      </c>
      <c r="R7" s="132" t="str">
        <f>IF(ISNUMBER(SEARCH("AHO",Import2[[#This Row],[Tenure]])),"AHO",Import2[[#This Row],[Tenure]])&amp;Import2[[#This Row],[Expected Physical Completion Year]]&amp;Import2[[#This Row],[Expected Physical Completion Month]]</f>
        <v>Open market housing</v>
      </c>
      <c r="S7" s="135">
        <f t="shared" si="13"/>
        <v>0</v>
      </c>
      <c r="T7" s="132" t="str">
        <f t="shared" si="7"/>
        <v/>
      </c>
      <c r="U7" s="132" t="str">
        <f t="shared" si="7"/>
        <v/>
      </c>
      <c r="V7" s="132" t="str">
        <f>IF(ISNUMBER(SEARCH("AHO",Import2[[#This Row],[Tenure]])),"AHO",Import2[[#This Row],[Tenure]])&amp;Import2[[#This Row],[Expected sale completion year]]&amp;Import2[[#This Row],[Expected sale completion month]]</f>
        <v>Open market housing</v>
      </c>
      <c r="W7" s="178">
        <f t="shared" si="14"/>
        <v>0</v>
      </c>
      <c r="X7" s="132"/>
      <c r="Y7" s="132"/>
    </row>
    <row r="8" spans="1:25" ht="15.5">
      <c r="A8" s="132">
        <f t="shared" si="0"/>
        <v>0</v>
      </c>
      <c r="B8" s="133">
        <v>5</v>
      </c>
      <c r="C8" s="132" t="str">
        <f t="shared" si="1"/>
        <v/>
      </c>
      <c r="D8" s="132">
        <f t="shared" si="8"/>
        <v>0</v>
      </c>
      <c r="E8" s="132">
        <f t="shared" si="9"/>
        <v>0</v>
      </c>
      <c r="F8" s="132">
        <f t="shared" si="2"/>
        <v>0</v>
      </c>
      <c r="G8" s="132" t="str">
        <f t="shared" si="8"/>
        <v>Open market housing</v>
      </c>
      <c r="H8" s="132">
        <f t="shared" si="3"/>
        <v>896440000</v>
      </c>
      <c r="I8" s="132" t="str">
        <f t="shared" si="15"/>
        <v>New build</v>
      </c>
      <c r="J8" s="132">
        <f t="shared" si="4"/>
        <v>391930000</v>
      </c>
      <c r="K8" s="132">
        <f t="shared" si="10"/>
        <v>0</v>
      </c>
      <c r="L8" s="132">
        <f t="shared" si="5"/>
        <v>0</v>
      </c>
      <c r="M8" s="132">
        <f t="shared" si="11"/>
        <v>0</v>
      </c>
      <c r="N8" s="134">
        <f t="shared" si="6"/>
        <v>0</v>
      </c>
      <c r="O8" s="135">
        <f t="shared" si="12"/>
        <v>0</v>
      </c>
      <c r="P8" s="132" t="str">
        <f t="shared" si="16"/>
        <v/>
      </c>
      <c r="Q8" s="132" t="str">
        <f t="shared" si="17"/>
        <v/>
      </c>
      <c r="R8" s="132" t="str">
        <f>IF(ISNUMBER(SEARCH("AHO",Import2[[#This Row],[Tenure]])),"AHO",Import2[[#This Row],[Tenure]])&amp;Import2[[#This Row],[Expected Physical Completion Year]]&amp;Import2[[#This Row],[Expected Physical Completion Month]]</f>
        <v>Open market housing</v>
      </c>
      <c r="S8" s="135">
        <f t="shared" si="13"/>
        <v>0</v>
      </c>
      <c r="T8" s="132" t="str">
        <f t="shared" si="7"/>
        <v/>
      </c>
      <c r="U8" s="132" t="str">
        <f t="shared" si="7"/>
        <v/>
      </c>
      <c r="V8" s="132" t="str">
        <f>IF(ISNUMBER(SEARCH("AHO",Import2[[#This Row],[Tenure]])),"AHO",Import2[[#This Row],[Tenure]])&amp;Import2[[#This Row],[Expected sale completion year]]&amp;Import2[[#This Row],[Expected sale completion month]]</f>
        <v>Open market housing</v>
      </c>
      <c r="W8" s="178">
        <f t="shared" si="14"/>
        <v>0</v>
      </c>
      <c r="X8" s="132"/>
      <c r="Y8" s="132"/>
    </row>
    <row r="9" spans="1:25" ht="15.5">
      <c r="A9" s="132">
        <f t="shared" si="0"/>
        <v>0</v>
      </c>
      <c r="B9" s="133">
        <v>6</v>
      </c>
      <c r="C9" s="132" t="str">
        <f t="shared" si="1"/>
        <v/>
      </c>
      <c r="D9" s="132">
        <f t="shared" si="8"/>
        <v>0</v>
      </c>
      <c r="E9" s="132">
        <f t="shared" si="9"/>
        <v>0</v>
      </c>
      <c r="F9" s="132">
        <f t="shared" si="2"/>
        <v>0</v>
      </c>
      <c r="G9" s="132" t="str">
        <f t="shared" si="8"/>
        <v>Open market housing</v>
      </c>
      <c r="H9" s="132">
        <f t="shared" si="3"/>
        <v>896440000</v>
      </c>
      <c r="I9" s="132" t="str">
        <f t="shared" si="15"/>
        <v>New build</v>
      </c>
      <c r="J9" s="132">
        <f t="shared" si="4"/>
        <v>391930000</v>
      </c>
      <c r="K9" s="132">
        <f t="shared" si="10"/>
        <v>0</v>
      </c>
      <c r="L9" s="132">
        <f t="shared" si="5"/>
        <v>0</v>
      </c>
      <c r="M9" s="132">
        <f t="shared" si="11"/>
        <v>0</v>
      </c>
      <c r="N9" s="134">
        <f t="shared" si="6"/>
        <v>0</v>
      </c>
      <c r="O9" s="135">
        <f t="shared" si="12"/>
        <v>0</v>
      </c>
      <c r="P9" s="132" t="str">
        <f t="shared" si="16"/>
        <v/>
      </c>
      <c r="Q9" s="132" t="str">
        <f t="shared" si="17"/>
        <v/>
      </c>
      <c r="R9" s="132" t="str">
        <f>IF(ISNUMBER(SEARCH("AHO",Import2[[#This Row],[Tenure]])),"AHO",Import2[[#This Row],[Tenure]])&amp;Import2[[#This Row],[Expected Physical Completion Year]]&amp;Import2[[#This Row],[Expected Physical Completion Month]]</f>
        <v>Open market housing</v>
      </c>
      <c r="S9" s="135">
        <f t="shared" si="13"/>
        <v>0</v>
      </c>
      <c r="T9" s="132" t="str">
        <f t="shared" si="7"/>
        <v/>
      </c>
      <c r="U9" s="132" t="str">
        <f t="shared" si="7"/>
        <v/>
      </c>
      <c r="V9" s="132" t="str">
        <f>IF(ISNUMBER(SEARCH("AHO",Import2[[#This Row],[Tenure]])),"AHO",Import2[[#This Row],[Tenure]])&amp;Import2[[#This Row],[Expected sale completion year]]&amp;Import2[[#This Row],[Expected sale completion month]]</f>
        <v>Open market housing</v>
      </c>
      <c r="W9" s="178">
        <f t="shared" si="14"/>
        <v>0</v>
      </c>
      <c r="X9" s="132"/>
      <c r="Y9" s="132"/>
    </row>
    <row r="10" spans="1:25" ht="15.5">
      <c r="A10" s="132">
        <f t="shared" si="0"/>
        <v>0</v>
      </c>
      <c r="B10" s="133">
        <v>7</v>
      </c>
      <c r="C10" s="132" t="str">
        <f t="shared" si="1"/>
        <v/>
      </c>
      <c r="D10" s="132">
        <f t="shared" si="8"/>
        <v>0</v>
      </c>
      <c r="E10" s="132">
        <f t="shared" si="9"/>
        <v>0</v>
      </c>
      <c r="F10" s="132">
        <f t="shared" si="2"/>
        <v>0</v>
      </c>
      <c r="G10" s="132" t="str">
        <f t="shared" si="8"/>
        <v>Open market housing</v>
      </c>
      <c r="H10" s="132">
        <f t="shared" si="3"/>
        <v>896440000</v>
      </c>
      <c r="I10" s="132" t="str">
        <f t="shared" si="15"/>
        <v>New build</v>
      </c>
      <c r="J10" s="132">
        <f t="shared" si="4"/>
        <v>391930000</v>
      </c>
      <c r="K10" s="132">
        <f t="shared" si="10"/>
        <v>0</v>
      </c>
      <c r="L10" s="132">
        <f t="shared" si="5"/>
        <v>0</v>
      </c>
      <c r="M10" s="132">
        <f t="shared" si="11"/>
        <v>0</v>
      </c>
      <c r="N10" s="134">
        <f t="shared" si="6"/>
        <v>0</v>
      </c>
      <c r="O10" s="135">
        <f t="shared" si="12"/>
        <v>0</v>
      </c>
      <c r="P10" s="132" t="str">
        <f t="shared" si="16"/>
        <v/>
      </c>
      <c r="Q10" s="132" t="str">
        <f t="shared" si="17"/>
        <v/>
      </c>
      <c r="R10" s="132" t="str">
        <f>IF(ISNUMBER(SEARCH("AHO",Import2[[#This Row],[Tenure]])),"AHO",Import2[[#This Row],[Tenure]])&amp;Import2[[#This Row],[Expected Physical Completion Year]]&amp;Import2[[#This Row],[Expected Physical Completion Month]]</f>
        <v>Open market housing</v>
      </c>
      <c r="S10" s="135">
        <f t="shared" si="13"/>
        <v>0</v>
      </c>
      <c r="T10" s="132" t="str">
        <f t="shared" si="7"/>
        <v/>
      </c>
      <c r="U10" s="132" t="str">
        <f t="shared" si="7"/>
        <v/>
      </c>
      <c r="V10" s="132" t="str">
        <f>IF(ISNUMBER(SEARCH("AHO",Import2[[#This Row],[Tenure]])),"AHO",Import2[[#This Row],[Tenure]])&amp;Import2[[#This Row],[Expected sale completion year]]&amp;Import2[[#This Row],[Expected sale completion month]]</f>
        <v>Open market housing</v>
      </c>
      <c r="W10" s="178">
        <f t="shared" si="14"/>
        <v>0</v>
      </c>
      <c r="X10" s="132"/>
      <c r="Y10" s="132"/>
    </row>
    <row r="11" spans="1:25" ht="15.5">
      <c r="A11" s="132">
        <f t="shared" si="0"/>
        <v>0</v>
      </c>
      <c r="B11" s="133">
        <v>8</v>
      </c>
      <c r="C11" s="132" t="str">
        <f t="shared" si="1"/>
        <v/>
      </c>
      <c r="D11" s="132">
        <f t="shared" si="8"/>
        <v>0</v>
      </c>
      <c r="E11" s="132">
        <f t="shared" si="9"/>
        <v>0</v>
      </c>
      <c r="F11" s="132">
        <f t="shared" si="2"/>
        <v>0</v>
      </c>
      <c r="G11" s="132" t="str">
        <f t="shared" si="8"/>
        <v>Open market housing</v>
      </c>
      <c r="H11" s="132">
        <f t="shared" si="3"/>
        <v>896440000</v>
      </c>
      <c r="I11" s="132" t="str">
        <f t="shared" si="15"/>
        <v>New build</v>
      </c>
      <c r="J11" s="132">
        <f t="shared" si="4"/>
        <v>391930000</v>
      </c>
      <c r="K11" s="132">
        <f t="shared" si="10"/>
        <v>0</v>
      </c>
      <c r="L11" s="132">
        <f t="shared" si="5"/>
        <v>0</v>
      </c>
      <c r="M11" s="132">
        <f t="shared" si="11"/>
        <v>0</v>
      </c>
      <c r="N11" s="134">
        <f t="shared" si="6"/>
        <v>0</v>
      </c>
      <c r="O11" s="135">
        <f t="shared" si="12"/>
        <v>0</v>
      </c>
      <c r="P11" s="132" t="str">
        <f t="shared" si="16"/>
        <v/>
      </c>
      <c r="Q11" s="132" t="str">
        <f t="shared" si="17"/>
        <v/>
      </c>
      <c r="R11" s="132" t="str">
        <f>IF(ISNUMBER(SEARCH("AHO",Import2[[#This Row],[Tenure]])),"AHO",Import2[[#This Row],[Tenure]])&amp;Import2[[#This Row],[Expected Physical Completion Year]]&amp;Import2[[#This Row],[Expected Physical Completion Month]]</f>
        <v>Open market housing</v>
      </c>
      <c r="S11" s="135">
        <f t="shared" si="13"/>
        <v>0</v>
      </c>
      <c r="T11" s="132" t="str">
        <f t="shared" si="7"/>
        <v/>
      </c>
      <c r="U11" s="132" t="str">
        <f t="shared" si="7"/>
        <v/>
      </c>
      <c r="V11" s="132" t="str">
        <f>IF(ISNUMBER(SEARCH("AHO",Import2[[#This Row],[Tenure]])),"AHO",Import2[[#This Row],[Tenure]])&amp;Import2[[#This Row],[Expected sale completion year]]&amp;Import2[[#This Row],[Expected sale completion month]]</f>
        <v>Open market housing</v>
      </c>
      <c r="W11" s="178">
        <f t="shared" si="14"/>
        <v>0</v>
      </c>
      <c r="X11" s="132"/>
      <c r="Y11" s="132"/>
    </row>
    <row r="12" spans="1:25" ht="15.5">
      <c r="A12" s="132">
        <f t="shared" si="0"/>
        <v>0</v>
      </c>
      <c r="B12" s="133">
        <v>9</v>
      </c>
      <c r="C12" s="132" t="str">
        <f t="shared" si="1"/>
        <v/>
      </c>
      <c r="D12" s="132">
        <f t="shared" si="8"/>
        <v>0</v>
      </c>
      <c r="E12" s="132">
        <f t="shared" si="9"/>
        <v>0</v>
      </c>
      <c r="F12" s="132">
        <f t="shared" si="2"/>
        <v>0</v>
      </c>
      <c r="G12" s="132" t="str">
        <f t="shared" si="8"/>
        <v>Open market housing</v>
      </c>
      <c r="H12" s="132">
        <f t="shared" si="3"/>
        <v>896440000</v>
      </c>
      <c r="I12" s="132" t="str">
        <f t="shared" si="15"/>
        <v>New build</v>
      </c>
      <c r="J12" s="132">
        <f t="shared" si="4"/>
        <v>391930000</v>
      </c>
      <c r="K12" s="132">
        <f t="shared" si="10"/>
        <v>0</v>
      </c>
      <c r="L12" s="132">
        <f t="shared" si="5"/>
        <v>0</v>
      </c>
      <c r="M12" s="132">
        <f t="shared" si="11"/>
        <v>0</v>
      </c>
      <c r="N12" s="134">
        <f t="shared" si="6"/>
        <v>0</v>
      </c>
      <c r="O12" s="135">
        <f t="shared" si="12"/>
        <v>0</v>
      </c>
      <c r="P12" s="132" t="str">
        <f t="shared" si="16"/>
        <v/>
      </c>
      <c r="Q12" s="132" t="str">
        <f t="shared" si="17"/>
        <v/>
      </c>
      <c r="R12" s="132" t="str">
        <f>IF(ISNUMBER(SEARCH("AHO",Import2[[#This Row],[Tenure]])),"AHO",Import2[[#This Row],[Tenure]])&amp;Import2[[#This Row],[Expected Physical Completion Year]]&amp;Import2[[#This Row],[Expected Physical Completion Month]]</f>
        <v>Open market housing</v>
      </c>
      <c r="S12" s="135">
        <f t="shared" si="13"/>
        <v>0</v>
      </c>
      <c r="T12" s="132" t="str">
        <f t="shared" si="7"/>
        <v/>
      </c>
      <c r="U12" s="132" t="str">
        <f t="shared" si="7"/>
        <v/>
      </c>
      <c r="V12" s="132" t="str">
        <f>IF(ISNUMBER(SEARCH("AHO",Import2[[#This Row],[Tenure]])),"AHO",Import2[[#This Row],[Tenure]])&amp;Import2[[#This Row],[Expected sale completion year]]&amp;Import2[[#This Row],[Expected sale completion month]]</f>
        <v>Open market housing</v>
      </c>
      <c r="W12" s="178">
        <f t="shared" si="14"/>
        <v>0</v>
      </c>
      <c r="X12" s="132"/>
      <c r="Y12" s="132"/>
    </row>
    <row r="13" spans="1:25" ht="15.5">
      <c r="A13" s="132">
        <f t="shared" si="0"/>
        <v>0</v>
      </c>
      <c r="B13" s="133">
        <v>10</v>
      </c>
      <c r="C13" s="132" t="str">
        <f t="shared" si="1"/>
        <v/>
      </c>
      <c r="D13" s="132">
        <f t="shared" si="8"/>
        <v>0</v>
      </c>
      <c r="E13" s="132">
        <f t="shared" si="9"/>
        <v>0</v>
      </c>
      <c r="F13" s="132">
        <f t="shared" si="2"/>
        <v>0</v>
      </c>
      <c r="G13" s="132" t="str">
        <f t="shared" si="8"/>
        <v>Open market housing</v>
      </c>
      <c r="H13" s="132">
        <f t="shared" si="3"/>
        <v>896440000</v>
      </c>
      <c r="I13" s="132" t="str">
        <f t="shared" si="15"/>
        <v>New build</v>
      </c>
      <c r="J13" s="132">
        <f t="shared" si="4"/>
        <v>391930000</v>
      </c>
      <c r="K13" s="132">
        <f t="shared" si="10"/>
        <v>0</v>
      </c>
      <c r="L13" s="132">
        <f t="shared" si="5"/>
        <v>0</v>
      </c>
      <c r="M13" s="132">
        <f t="shared" si="11"/>
        <v>0</v>
      </c>
      <c r="N13" s="134">
        <f t="shared" si="6"/>
        <v>0</v>
      </c>
      <c r="O13" s="135">
        <f t="shared" si="12"/>
        <v>0</v>
      </c>
      <c r="P13" s="132" t="str">
        <f t="shared" si="16"/>
        <v/>
      </c>
      <c r="Q13" s="132" t="str">
        <f t="shared" si="17"/>
        <v/>
      </c>
      <c r="R13" s="132" t="str">
        <f>IF(ISNUMBER(SEARCH("AHO",Import2[[#This Row],[Tenure]])),"AHO",Import2[[#This Row],[Tenure]])&amp;Import2[[#This Row],[Expected Physical Completion Year]]&amp;Import2[[#This Row],[Expected Physical Completion Month]]</f>
        <v>Open market housing</v>
      </c>
      <c r="S13" s="135">
        <f t="shared" si="13"/>
        <v>0</v>
      </c>
      <c r="T13" s="132" t="str">
        <f t="shared" si="7"/>
        <v/>
      </c>
      <c r="U13" s="132" t="str">
        <f t="shared" si="7"/>
        <v/>
      </c>
      <c r="V13" s="132" t="str">
        <f>IF(ISNUMBER(SEARCH("AHO",Import2[[#This Row],[Tenure]])),"AHO",Import2[[#This Row],[Tenure]])&amp;Import2[[#This Row],[Expected sale completion year]]&amp;Import2[[#This Row],[Expected sale completion month]]</f>
        <v>Open market housing</v>
      </c>
      <c r="W13" s="178">
        <f t="shared" si="14"/>
        <v>0</v>
      </c>
      <c r="X13" s="132"/>
      <c r="Y13" s="132"/>
    </row>
    <row r="14" spans="1:25" ht="15.5">
      <c r="A14" s="132">
        <f t="shared" si="0"/>
        <v>0</v>
      </c>
      <c r="B14" s="133">
        <v>11</v>
      </c>
      <c r="C14" s="132" t="str">
        <f t="shared" si="1"/>
        <v/>
      </c>
      <c r="D14" s="132">
        <f t="shared" si="8"/>
        <v>0</v>
      </c>
      <c r="E14" s="132">
        <f t="shared" si="9"/>
        <v>0</v>
      </c>
      <c r="F14" s="132">
        <f t="shared" si="2"/>
        <v>0</v>
      </c>
      <c r="G14" s="132" t="str">
        <f t="shared" si="8"/>
        <v>Open market housing</v>
      </c>
      <c r="H14" s="132">
        <f t="shared" si="3"/>
        <v>896440000</v>
      </c>
      <c r="I14" s="132" t="str">
        <f t="shared" si="15"/>
        <v>New build</v>
      </c>
      <c r="J14" s="132">
        <f t="shared" si="4"/>
        <v>391930000</v>
      </c>
      <c r="K14" s="132">
        <f t="shared" si="10"/>
        <v>0</v>
      </c>
      <c r="L14" s="132">
        <f t="shared" si="5"/>
        <v>0</v>
      </c>
      <c r="M14" s="132">
        <f t="shared" si="11"/>
        <v>0</v>
      </c>
      <c r="N14" s="134">
        <f t="shared" si="6"/>
        <v>0</v>
      </c>
      <c r="O14" s="135">
        <f t="shared" si="12"/>
        <v>0</v>
      </c>
      <c r="P14" s="132" t="str">
        <f t="shared" si="16"/>
        <v/>
      </c>
      <c r="Q14" s="132" t="str">
        <f t="shared" si="17"/>
        <v/>
      </c>
      <c r="R14" s="132" t="str">
        <f>IF(ISNUMBER(SEARCH("AHO",Import2[[#This Row],[Tenure]])),"AHO",Import2[[#This Row],[Tenure]])&amp;Import2[[#This Row],[Expected Physical Completion Year]]&amp;Import2[[#This Row],[Expected Physical Completion Month]]</f>
        <v>Open market housing</v>
      </c>
      <c r="S14" s="135">
        <f t="shared" si="13"/>
        <v>0</v>
      </c>
      <c r="T14" s="132" t="str">
        <f t="shared" si="7"/>
        <v/>
      </c>
      <c r="U14" s="132" t="str">
        <f t="shared" si="7"/>
        <v/>
      </c>
      <c r="V14" s="132" t="str">
        <f>IF(ISNUMBER(SEARCH("AHO",Import2[[#This Row],[Tenure]])),"AHO",Import2[[#This Row],[Tenure]])&amp;Import2[[#This Row],[Expected sale completion year]]&amp;Import2[[#This Row],[Expected sale completion month]]</f>
        <v>Open market housing</v>
      </c>
      <c r="W14" s="178">
        <f t="shared" si="14"/>
        <v>0</v>
      </c>
      <c r="X14" s="132"/>
      <c r="Y14" s="132"/>
    </row>
    <row r="15" spans="1:25" ht="15.5">
      <c r="A15" s="132">
        <f t="shared" si="0"/>
        <v>0</v>
      </c>
      <c r="B15" s="133">
        <v>12</v>
      </c>
      <c r="C15" s="132" t="str">
        <f t="shared" si="1"/>
        <v/>
      </c>
      <c r="D15" s="132">
        <f t="shared" si="8"/>
        <v>0</v>
      </c>
      <c r="E15" s="132">
        <f t="shared" si="9"/>
        <v>0</v>
      </c>
      <c r="F15" s="132">
        <f t="shared" si="2"/>
        <v>0</v>
      </c>
      <c r="G15" s="132" t="str">
        <f t="shared" si="8"/>
        <v>Open market housing</v>
      </c>
      <c r="H15" s="132">
        <f t="shared" si="3"/>
        <v>896440000</v>
      </c>
      <c r="I15" s="132" t="str">
        <f t="shared" si="15"/>
        <v>New build</v>
      </c>
      <c r="J15" s="132">
        <f t="shared" si="4"/>
        <v>391930000</v>
      </c>
      <c r="K15" s="132">
        <f t="shared" si="10"/>
        <v>0</v>
      </c>
      <c r="L15" s="132">
        <f t="shared" si="5"/>
        <v>0</v>
      </c>
      <c r="M15" s="132">
        <f t="shared" si="11"/>
        <v>0</v>
      </c>
      <c r="N15" s="134">
        <f t="shared" si="6"/>
        <v>0</v>
      </c>
      <c r="O15" s="135">
        <f t="shared" si="12"/>
        <v>0</v>
      </c>
      <c r="P15" s="132" t="str">
        <f t="shared" si="16"/>
        <v/>
      </c>
      <c r="Q15" s="132" t="str">
        <f t="shared" si="17"/>
        <v/>
      </c>
      <c r="R15" s="132" t="str">
        <f>IF(ISNUMBER(SEARCH("AHO",Import2[[#This Row],[Tenure]])),"AHO",Import2[[#This Row],[Tenure]])&amp;Import2[[#This Row],[Expected Physical Completion Year]]&amp;Import2[[#This Row],[Expected Physical Completion Month]]</f>
        <v>Open market housing</v>
      </c>
      <c r="S15" s="135">
        <f t="shared" si="13"/>
        <v>0</v>
      </c>
      <c r="T15" s="132" t="str">
        <f t="shared" si="7"/>
        <v/>
      </c>
      <c r="U15" s="132" t="str">
        <f t="shared" si="7"/>
        <v/>
      </c>
      <c r="V15" s="132" t="str">
        <f>IF(ISNUMBER(SEARCH("AHO",Import2[[#This Row],[Tenure]])),"AHO",Import2[[#This Row],[Tenure]])&amp;Import2[[#This Row],[Expected sale completion year]]&amp;Import2[[#This Row],[Expected sale completion month]]</f>
        <v>Open market housing</v>
      </c>
      <c r="W15" s="178">
        <f t="shared" si="14"/>
        <v>0</v>
      </c>
      <c r="X15" s="132"/>
      <c r="Y15" s="132"/>
    </row>
    <row r="16" spans="1:25" ht="15.5">
      <c r="A16" s="132">
        <f t="shared" si="0"/>
        <v>0</v>
      </c>
      <c r="B16" s="133">
        <v>13</v>
      </c>
      <c r="C16" s="132" t="str">
        <f t="shared" si="1"/>
        <v/>
      </c>
      <c r="D16" s="132">
        <f t="shared" si="8"/>
        <v>0</v>
      </c>
      <c r="E16" s="132">
        <f t="shared" si="9"/>
        <v>0</v>
      </c>
      <c r="F16" s="132">
        <f t="shared" si="2"/>
        <v>0</v>
      </c>
      <c r="G16" s="132" t="str">
        <f t="shared" si="8"/>
        <v>Open market housing</v>
      </c>
      <c r="H16" s="132">
        <f t="shared" si="3"/>
        <v>896440000</v>
      </c>
      <c r="I16" s="132" t="str">
        <f t="shared" si="15"/>
        <v>New build</v>
      </c>
      <c r="J16" s="132">
        <f t="shared" si="4"/>
        <v>391930000</v>
      </c>
      <c r="K16" s="132">
        <f t="shared" si="10"/>
        <v>0</v>
      </c>
      <c r="L16" s="132">
        <f t="shared" si="5"/>
        <v>0</v>
      </c>
      <c r="M16" s="132">
        <f t="shared" si="11"/>
        <v>0</v>
      </c>
      <c r="N16" s="134">
        <f t="shared" si="6"/>
        <v>0</v>
      </c>
      <c r="O16" s="135">
        <f t="shared" si="12"/>
        <v>0</v>
      </c>
      <c r="P16" s="132" t="str">
        <f t="shared" si="16"/>
        <v/>
      </c>
      <c r="Q16" s="132" t="str">
        <f t="shared" si="17"/>
        <v/>
      </c>
      <c r="R16" s="132" t="str">
        <f>IF(ISNUMBER(SEARCH("AHO",Import2[[#This Row],[Tenure]])),"AHO",Import2[[#This Row],[Tenure]])&amp;Import2[[#This Row],[Expected Physical Completion Year]]&amp;Import2[[#This Row],[Expected Physical Completion Month]]</f>
        <v>Open market housing</v>
      </c>
      <c r="S16" s="135">
        <f t="shared" si="13"/>
        <v>0</v>
      </c>
      <c r="T16" s="132" t="str">
        <f t="shared" si="7"/>
        <v/>
      </c>
      <c r="U16" s="132" t="str">
        <f t="shared" si="7"/>
        <v/>
      </c>
      <c r="V16" s="132" t="str">
        <f>IF(ISNUMBER(SEARCH("AHO",Import2[[#This Row],[Tenure]])),"AHO",Import2[[#This Row],[Tenure]])&amp;Import2[[#This Row],[Expected sale completion year]]&amp;Import2[[#This Row],[Expected sale completion month]]</f>
        <v>Open market housing</v>
      </c>
      <c r="W16" s="178">
        <f t="shared" si="14"/>
        <v>0</v>
      </c>
      <c r="X16" s="132"/>
      <c r="Y16" s="132"/>
    </row>
    <row r="17" spans="1:25" ht="15.5">
      <c r="A17" s="132">
        <f t="shared" si="0"/>
        <v>0</v>
      </c>
      <c r="B17" s="133">
        <v>14</v>
      </c>
      <c r="C17" s="132" t="str">
        <f t="shared" si="1"/>
        <v/>
      </c>
      <c r="D17" s="132">
        <f t="shared" si="8"/>
        <v>0</v>
      </c>
      <c r="E17" s="132">
        <f t="shared" si="9"/>
        <v>0</v>
      </c>
      <c r="F17" s="132">
        <f t="shared" si="2"/>
        <v>0</v>
      </c>
      <c r="G17" s="132" t="str">
        <f t="shared" si="8"/>
        <v>Open market housing</v>
      </c>
      <c r="H17" s="132">
        <f t="shared" si="3"/>
        <v>896440000</v>
      </c>
      <c r="I17" s="132" t="str">
        <f t="shared" si="15"/>
        <v>New build</v>
      </c>
      <c r="J17" s="132">
        <f t="shared" si="4"/>
        <v>391930000</v>
      </c>
      <c r="K17" s="132">
        <f t="shared" si="10"/>
        <v>0</v>
      </c>
      <c r="L17" s="132">
        <f t="shared" si="5"/>
        <v>0</v>
      </c>
      <c r="M17" s="132">
        <f t="shared" si="11"/>
        <v>0</v>
      </c>
      <c r="N17" s="134">
        <f t="shared" si="6"/>
        <v>0</v>
      </c>
      <c r="O17" s="135">
        <f t="shared" si="12"/>
        <v>0</v>
      </c>
      <c r="P17" s="132" t="str">
        <f t="shared" si="16"/>
        <v/>
      </c>
      <c r="Q17" s="132" t="str">
        <f t="shared" si="17"/>
        <v/>
      </c>
      <c r="R17" s="132" t="str">
        <f>IF(ISNUMBER(SEARCH("AHO",Import2[[#This Row],[Tenure]])),"AHO",Import2[[#This Row],[Tenure]])&amp;Import2[[#This Row],[Expected Physical Completion Year]]&amp;Import2[[#This Row],[Expected Physical Completion Month]]</f>
        <v>Open market housing</v>
      </c>
      <c r="S17" s="135">
        <f t="shared" si="13"/>
        <v>0</v>
      </c>
      <c r="T17" s="132" t="str">
        <f t="shared" si="7"/>
        <v/>
      </c>
      <c r="U17" s="132" t="str">
        <f t="shared" si="7"/>
        <v/>
      </c>
      <c r="V17" s="132" t="str">
        <f>IF(ISNUMBER(SEARCH("AHO",Import2[[#This Row],[Tenure]])),"AHO",Import2[[#This Row],[Tenure]])&amp;Import2[[#This Row],[Expected sale completion year]]&amp;Import2[[#This Row],[Expected sale completion month]]</f>
        <v>Open market housing</v>
      </c>
      <c r="W17" s="178">
        <f t="shared" si="14"/>
        <v>0</v>
      </c>
      <c r="X17" s="132"/>
      <c r="Y17" s="132"/>
    </row>
    <row r="18" spans="1:25" ht="15.5">
      <c r="A18" s="132">
        <f t="shared" si="0"/>
        <v>0</v>
      </c>
      <c r="B18" s="133">
        <v>15</v>
      </c>
      <c r="C18" s="132" t="str">
        <f t="shared" si="1"/>
        <v/>
      </c>
      <c r="D18" s="132">
        <f t="shared" si="8"/>
        <v>0</v>
      </c>
      <c r="E18" s="132">
        <f t="shared" si="9"/>
        <v>0</v>
      </c>
      <c r="F18" s="132">
        <f t="shared" si="2"/>
        <v>0</v>
      </c>
      <c r="G18" s="132" t="str">
        <f t="shared" si="8"/>
        <v>Open market housing</v>
      </c>
      <c r="H18" s="132">
        <f t="shared" si="3"/>
        <v>896440000</v>
      </c>
      <c r="I18" s="132" t="str">
        <f t="shared" si="15"/>
        <v>New build</v>
      </c>
      <c r="J18" s="132">
        <f t="shared" si="4"/>
        <v>391930000</v>
      </c>
      <c r="K18" s="132">
        <f t="shared" si="10"/>
        <v>0</v>
      </c>
      <c r="L18" s="132">
        <f t="shared" si="5"/>
        <v>0</v>
      </c>
      <c r="M18" s="132">
        <f t="shared" si="11"/>
        <v>0</v>
      </c>
      <c r="N18" s="134">
        <f t="shared" si="6"/>
        <v>0</v>
      </c>
      <c r="O18" s="135">
        <f t="shared" si="12"/>
        <v>0</v>
      </c>
      <c r="P18" s="132" t="str">
        <f t="shared" si="16"/>
        <v/>
      </c>
      <c r="Q18" s="132" t="str">
        <f t="shared" si="17"/>
        <v/>
      </c>
      <c r="R18" s="132" t="str">
        <f>IF(ISNUMBER(SEARCH("AHO",Import2[[#This Row],[Tenure]])),"AHO",Import2[[#This Row],[Tenure]])&amp;Import2[[#This Row],[Expected Physical Completion Year]]&amp;Import2[[#This Row],[Expected Physical Completion Month]]</f>
        <v>Open market housing</v>
      </c>
      <c r="S18" s="135">
        <f t="shared" si="13"/>
        <v>0</v>
      </c>
      <c r="T18" s="132" t="str">
        <f t="shared" si="7"/>
        <v/>
      </c>
      <c r="U18" s="132" t="str">
        <f t="shared" si="7"/>
        <v/>
      </c>
      <c r="V18" s="132" t="str">
        <f>IF(ISNUMBER(SEARCH("AHO",Import2[[#This Row],[Tenure]])),"AHO",Import2[[#This Row],[Tenure]])&amp;Import2[[#This Row],[Expected sale completion year]]&amp;Import2[[#This Row],[Expected sale completion month]]</f>
        <v>Open market housing</v>
      </c>
      <c r="W18" s="178">
        <f t="shared" si="14"/>
        <v>0</v>
      </c>
      <c r="X18" s="132"/>
      <c r="Y18" s="132"/>
    </row>
    <row r="19" spans="1:25" ht="15.5">
      <c r="A19" s="132">
        <f t="shared" si="0"/>
        <v>0</v>
      </c>
      <c r="B19" s="133">
        <v>16</v>
      </c>
      <c r="C19" s="132" t="str">
        <f t="shared" si="1"/>
        <v/>
      </c>
      <c r="D19" s="132">
        <f t="shared" si="8"/>
        <v>0</v>
      </c>
      <c r="E19" s="132">
        <f t="shared" si="9"/>
        <v>0</v>
      </c>
      <c r="F19" s="132">
        <f t="shared" si="2"/>
        <v>0</v>
      </c>
      <c r="G19" s="132" t="str">
        <f t="shared" si="8"/>
        <v>Open market housing</v>
      </c>
      <c r="H19" s="132">
        <f t="shared" si="3"/>
        <v>896440000</v>
      </c>
      <c r="I19" s="132" t="str">
        <f t="shared" si="15"/>
        <v>New build</v>
      </c>
      <c r="J19" s="132">
        <f t="shared" si="4"/>
        <v>391930000</v>
      </c>
      <c r="K19" s="132">
        <f t="shared" si="10"/>
        <v>0</v>
      </c>
      <c r="L19" s="132">
        <f t="shared" si="5"/>
        <v>0</v>
      </c>
      <c r="M19" s="132">
        <f t="shared" si="11"/>
        <v>0</v>
      </c>
      <c r="N19" s="134">
        <f t="shared" si="6"/>
        <v>0</v>
      </c>
      <c r="O19" s="135">
        <f t="shared" si="12"/>
        <v>0</v>
      </c>
      <c r="P19" s="132" t="str">
        <f t="shared" si="16"/>
        <v/>
      </c>
      <c r="Q19" s="132" t="str">
        <f t="shared" si="17"/>
        <v/>
      </c>
      <c r="R19" s="132" t="str">
        <f>IF(ISNUMBER(SEARCH("AHO",Import2[[#This Row],[Tenure]])),"AHO",Import2[[#This Row],[Tenure]])&amp;Import2[[#This Row],[Expected Physical Completion Year]]&amp;Import2[[#This Row],[Expected Physical Completion Month]]</f>
        <v>Open market housing</v>
      </c>
      <c r="S19" s="135">
        <f t="shared" si="13"/>
        <v>0</v>
      </c>
      <c r="T19" s="132" t="str">
        <f t="shared" si="7"/>
        <v/>
      </c>
      <c r="U19" s="132" t="str">
        <f t="shared" si="7"/>
        <v/>
      </c>
      <c r="V19" s="132" t="str">
        <f>IF(ISNUMBER(SEARCH("AHO",Import2[[#This Row],[Tenure]])),"AHO",Import2[[#This Row],[Tenure]])&amp;Import2[[#This Row],[Expected sale completion year]]&amp;Import2[[#This Row],[Expected sale completion month]]</f>
        <v>Open market housing</v>
      </c>
      <c r="W19" s="178">
        <f t="shared" si="14"/>
        <v>0</v>
      </c>
      <c r="X19" s="132"/>
      <c r="Y19" s="132"/>
    </row>
    <row r="20" spans="1:25" ht="15.5">
      <c r="A20" s="132">
        <f t="shared" si="0"/>
        <v>0</v>
      </c>
      <c r="B20" s="133">
        <v>17</v>
      </c>
      <c r="C20" s="132" t="str">
        <f t="shared" si="1"/>
        <v/>
      </c>
      <c r="D20" s="132">
        <f t="shared" si="8"/>
        <v>0</v>
      </c>
      <c r="E20" s="132">
        <f t="shared" si="9"/>
        <v>0</v>
      </c>
      <c r="F20" s="132">
        <f t="shared" si="2"/>
        <v>0</v>
      </c>
      <c r="G20" s="132" t="str">
        <f t="shared" si="8"/>
        <v>Open market housing</v>
      </c>
      <c r="H20" s="132">
        <f t="shared" si="3"/>
        <v>896440000</v>
      </c>
      <c r="I20" s="132" t="str">
        <f t="shared" si="15"/>
        <v>New build</v>
      </c>
      <c r="J20" s="132">
        <f t="shared" si="4"/>
        <v>391930000</v>
      </c>
      <c r="K20" s="132">
        <f t="shared" si="10"/>
        <v>0</v>
      </c>
      <c r="L20" s="132">
        <f t="shared" si="5"/>
        <v>0</v>
      </c>
      <c r="M20" s="132">
        <f t="shared" si="11"/>
        <v>0</v>
      </c>
      <c r="N20" s="134">
        <f t="shared" si="6"/>
        <v>0</v>
      </c>
      <c r="O20" s="135">
        <f t="shared" si="12"/>
        <v>0</v>
      </c>
      <c r="P20" s="132" t="str">
        <f t="shared" si="16"/>
        <v/>
      </c>
      <c r="Q20" s="132" t="str">
        <f t="shared" si="17"/>
        <v/>
      </c>
      <c r="R20" s="132" t="str">
        <f>IF(ISNUMBER(SEARCH("AHO",Import2[[#This Row],[Tenure]])),"AHO",Import2[[#This Row],[Tenure]])&amp;Import2[[#This Row],[Expected Physical Completion Year]]&amp;Import2[[#This Row],[Expected Physical Completion Month]]</f>
        <v>Open market housing</v>
      </c>
      <c r="S20" s="135">
        <f t="shared" si="13"/>
        <v>0</v>
      </c>
      <c r="T20" s="132" t="str">
        <f t="shared" si="7"/>
        <v/>
      </c>
      <c r="U20" s="132" t="str">
        <f t="shared" si="7"/>
        <v/>
      </c>
      <c r="V20" s="132" t="str">
        <f>IF(ISNUMBER(SEARCH("AHO",Import2[[#This Row],[Tenure]])),"AHO",Import2[[#This Row],[Tenure]])&amp;Import2[[#This Row],[Expected sale completion year]]&amp;Import2[[#This Row],[Expected sale completion month]]</f>
        <v>Open market housing</v>
      </c>
      <c r="W20" s="178">
        <f t="shared" si="14"/>
        <v>0</v>
      </c>
      <c r="X20" s="132"/>
      <c r="Y20" s="132"/>
    </row>
    <row r="21" spans="1:25" ht="15.5">
      <c r="A21" s="132">
        <f t="shared" si="0"/>
        <v>0</v>
      </c>
      <c r="B21" s="133">
        <v>18</v>
      </c>
      <c r="C21" s="132" t="str">
        <f t="shared" si="1"/>
        <v/>
      </c>
      <c r="D21" s="132">
        <f t="shared" si="8"/>
        <v>0</v>
      </c>
      <c r="E21" s="132">
        <f t="shared" si="9"/>
        <v>0</v>
      </c>
      <c r="F21" s="132">
        <f t="shared" si="2"/>
        <v>0</v>
      </c>
      <c r="G21" s="132" t="str">
        <f t="shared" si="8"/>
        <v>Open market housing</v>
      </c>
      <c r="H21" s="132">
        <f t="shared" si="3"/>
        <v>896440000</v>
      </c>
      <c r="I21" s="132" t="str">
        <f t="shared" si="15"/>
        <v>New build</v>
      </c>
      <c r="J21" s="132">
        <f t="shared" si="4"/>
        <v>391930000</v>
      </c>
      <c r="K21" s="132">
        <f t="shared" si="10"/>
        <v>0</v>
      </c>
      <c r="L21" s="132">
        <f t="shared" si="5"/>
        <v>0</v>
      </c>
      <c r="M21" s="132">
        <f t="shared" si="11"/>
        <v>0</v>
      </c>
      <c r="N21" s="134">
        <f t="shared" si="6"/>
        <v>0</v>
      </c>
      <c r="O21" s="135">
        <f t="shared" si="12"/>
        <v>0</v>
      </c>
      <c r="P21" s="132" t="str">
        <f t="shared" si="16"/>
        <v/>
      </c>
      <c r="Q21" s="132" t="str">
        <f t="shared" si="17"/>
        <v/>
      </c>
      <c r="R21" s="132" t="str">
        <f>IF(ISNUMBER(SEARCH("AHO",Import2[[#This Row],[Tenure]])),"AHO",Import2[[#This Row],[Tenure]])&amp;Import2[[#This Row],[Expected Physical Completion Year]]&amp;Import2[[#This Row],[Expected Physical Completion Month]]</f>
        <v>Open market housing</v>
      </c>
      <c r="S21" s="135">
        <f t="shared" si="13"/>
        <v>0</v>
      </c>
      <c r="T21" s="132" t="str">
        <f t="shared" si="7"/>
        <v/>
      </c>
      <c r="U21" s="132" t="str">
        <f t="shared" si="7"/>
        <v/>
      </c>
      <c r="V21" s="132" t="str">
        <f>IF(ISNUMBER(SEARCH("AHO",Import2[[#This Row],[Tenure]])),"AHO",Import2[[#This Row],[Tenure]])&amp;Import2[[#This Row],[Expected sale completion year]]&amp;Import2[[#This Row],[Expected sale completion month]]</f>
        <v>Open market housing</v>
      </c>
      <c r="W21" s="178">
        <f t="shared" si="14"/>
        <v>0</v>
      </c>
      <c r="X21" s="132"/>
      <c r="Y21" s="132"/>
    </row>
    <row r="22" spans="1:25" ht="15.5">
      <c r="A22" s="132">
        <f t="shared" si="0"/>
        <v>0</v>
      </c>
      <c r="B22" s="133">
        <v>19</v>
      </c>
      <c r="C22" s="132" t="str">
        <f t="shared" si="1"/>
        <v/>
      </c>
      <c r="D22" s="132">
        <f t="shared" si="8"/>
        <v>0</v>
      </c>
      <c r="E22" s="132">
        <f t="shared" si="9"/>
        <v>0</v>
      </c>
      <c r="F22" s="132">
        <f t="shared" si="2"/>
        <v>0</v>
      </c>
      <c r="G22" s="132" t="str">
        <f t="shared" si="8"/>
        <v>Open market housing</v>
      </c>
      <c r="H22" s="132">
        <f t="shared" si="3"/>
        <v>896440000</v>
      </c>
      <c r="I22" s="132" t="str">
        <f t="shared" si="15"/>
        <v>New build</v>
      </c>
      <c r="J22" s="132">
        <f t="shared" si="4"/>
        <v>391930000</v>
      </c>
      <c r="K22" s="132">
        <f t="shared" si="10"/>
        <v>0</v>
      </c>
      <c r="L22" s="132">
        <f t="shared" si="5"/>
        <v>0</v>
      </c>
      <c r="M22" s="132">
        <f t="shared" si="11"/>
        <v>0</v>
      </c>
      <c r="N22" s="134">
        <f t="shared" si="6"/>
        <v>0</v>
      </c>
      <c r="O22" s="135">
        <f t="shared" si="12"/>
        <v>0</v>
      </c>
      <c r="P22" s="132" t="str">
        <f t="shared" si="16"/>
        <v/>
      </c>
      <c r="Q22" s="132" t="str">
        <f t="shared" si="17"/>
        <v/>
      </c>
      <c r="R22" s="132" t="str">
        <f>IF(ISNUMBER(SEARCH("AHO",Import2[[#This Row],[Tenure]])),"AHO",Import2[[#This Row],[Tenure]])&amp;Import2[[#This Row],[Expected Physical Completion Year]]&amp;Import2[[#This Row],[Expected Physical Completion Month]]</f>
        <v>Open market housing</v>
      </c>
      <c r="S22" s="135">
        <f t="shared" si="13"/>
        <v>0</v>
      </c>
      <c r="T22" s="132" t="str">
        <f t="shared" si="7"/>
        <v/>
      </c>
      <c r="U22" s="132" t="str">
        <f t="shared" si="7"/>
        <v/>
      </c>
      <c r="V22" s="132" t="str">
        <f>IF(ISNUMBER(SEARCH("AHO",Import2[[#This Row],[Tenure]])),"AHO",Import2[[#This Row],[Tenure]])&amp;Import2[[#This Row],[Expected sale completion year]]&amp;Import2[[#This Row],[Expected sale completion month]]</f>
        <v>Open market housing</v>
      </c>
      <c r="W22" s="178">
        <f t="shared" si="14"/>
        <v>0</v>
      </c>
      <c r="X22" s="132"/>
      <c r="Y22" s="132"/>
    </row>
    <row r="23" spans="1:25" ht="15.5">
      <c r="A23" s="132">
        <f t="shared" si="0"/>
        <v>0</v>
      </c>
      <c r="B23" s="133">
        <v>20</v>
      </c>
      <c r="C23" s="132" t="str">
        <f t="shared" si="1"/>
        <v/>
      </c>
      <c r="D23" s="132">
        <f t="shared" si="8"/>
        <v>0</v>
      </c>
      <c r="E23" s="132">
        <f t="shared" si="9"/>
        <v>0</v>
      </c>
      <c r="F23" s="132">
        <f t="shared" si="2"/>
        <v>0</v>
      </c>
      <c r="G23" s="132" t="str">
        <f t="shared" si="8"/>
        <v>Open market housing</v>
      </c>
      <c r="H23" s="132">
        <f t="shared" si="3"/>
        <v>896440000</v>
      </c>
      <c r="I23" s="132" t="str">
        <f t="shared" si="15"/>
        <v>New build</v>
      </c>
      <c r="J23" s="132">
        <f t="shared" si="4"/>
        <v>391930000</v>
      </c>
      <c r="K23" s="132">
        <f t="shared" si="10"/>
        <v>0</v>
      </c>
      <c r="L23" s="132">
        <f t="shared" si="5"/>
        <v>0</v>
      </c>
      <c r="M23" s="132">
        <f t="shared" si="11"/>
        <v>0</v>
      </c>
      <c r="N23" s="134">
        <f t="shared" si="6"/>
        <v>0</v>
      </c>
      <c r="O23" s="135">
        <f t="shared" si="12"/>
        <v>0</v>
      </c>
      <c r="P23" s="132" t="str">
        <f t="shared" si="16"/>
        <v/>
      </c>
      <c r="Q23" s="132" t="str">
        <f t="shared" si="17"/>
        <v/>
      </c>
      <c r="R23" s="132" t="str">
        <f>IF(ISNUMBER(SEARCH("AHO",Import2[[#This Row],[Tenure]])),"AHO",Import2[[#This Row],[Tenure]])&amp;Import2[[#This Row],[Expected Physical Completion Year]]&amp;Import2[[#This Row],[Expected Physical Completion Month]]</f>
        <v>Open market housing</v>
      </c>
      <c r="S23" s="135">
        <f t="shared" si="13"/>
        <v>0</v>
      </c>
      <c r="T23" s="132" t="str">
        <f t="shared" si="7"/>
        <v/>
      </c>
      <c r="U23" s="132" t="str">
        <f t="shared" si="7"/>
        <v/>
      </c>
      <c r="V23" s="132" t="str">
        <f>IF(ISNUMBER(SEARCH("AHO",Import2[[#This Row],[Tenure]])),"AHO",Import2[[#This Row],[Tenure]])&amp;Import2[[#This Row],[Expected sale completion year]]&amp;Import2[[#This Row],[Expected sale completion month]]</f>
        <v>Open market housing</v>
      </c>
      <c r="W23" s="178">
        <f t="shared" si="14"/>
        <v>0</v>
      </c>
      <c r="X23" s="132"/>
      <c r="Y23" s="132"/>
    </row>
    <row r="24" spans="1:25" ht="15.5">
      <c r="A24" s="132">
        <f t="shared" si="0"/>
        <v>0</v>
      </c>
      <c r="B24" s="133">
        <v>21</v>
      </c>
      <c r="C24" s="132" t="str">
        <f t="shared" si="1"/>
        <v/>
      </c>
      <c r="D24" s="132">
        <f t="shared" ref="D24:G43" si="18">INDEX(PlotData,MATCH($B24,PlotNumber,0),MATCH(D$3,PlotTitles,0))</f>
        <v>0</v>
      </c>
      <c r="E24" s="132">
        <f t="shared" si="9"/>
        <v>0</v>
      </c>
      <c r="F24" s="132">
        <f t="shared" si="2"/>
        <v>0</v>
      </c>
      <c r="G24" s="132" t="str">
        <f t="shared" si="18"/>
        <v>Open market housing</v>
      </c>
      <c r="H24" s="132">
        <f t="shared" si="3"/>
        <v>896440000</v>
      </c>
      <c r="I24" s="132" t="str">
        <f t="shared" si="15"/>
        <v>New build</v>
      </c>
      <c r="J24" s="132">
        <f t="shared" si="4"/>
        <v>391930000</v>
      </c>
      <c r="K24" s="132">
        <f t="shared" si="10"/>
        <v>0</v>
      </c>
      <c r="L24" s="132">
        <f t="shared" si="5"/>
        <v>0</v>
      </c>
      <c r="M24" s="132">
        <f t="shared" ref="M24:M43" si="19">INDEX(PlotData,MATCH($B24,PlotNumber,0),MATCH(M$3,PlotTitles,0))</f>
        <v>0</v>
      </c>
      <c r="N24" s="134">
        <f t="shared" si="6"/>
        <v>0</v>
      </c>
      <c r="O24" s="135">
        <f t="shared" si="12"/>
        <v>0</v>
      </c>
      <c r="P24" s="132" t="str">
        <f t="shared" si="16"/>
        <v/>
      </c>
      <c r="Q24" s="132" t="str">
        <f t="shared" si="17"/>
        <v/>
      </c>
      <c r="R24" s="132" t="str">
        <f>IF(ISNUMBER(SEARCH("AHO",Import2[[#This Row],[Tenure]])),"AHO",Import2[[#This Row],[Tenure]])&amp;Import2[[#This Row],[Expected Physical Completion Year]]&amp;Import2[[#This Row],[Expected Physical Completion Month]]</f>
        <v>Open market housing</v>
      </c>
      <c r="S24" s="135">
        <f t="shared" si="13"/>
        <v>0</v>
      </c>
      <c r="T24" s="132" t="str">
        <f t="shared" ref="T24:U43" si="20">IF(INDEX(PlotData,MATCH($B24,PlotNumber,0),MATCH(T$3,PlotTitles,0))=0,"",INDEX(PlotData,MATCH($B24,PlotNumber,0),MATCH(T$3,PlotTitles,0)))</f>
        <v/>
      </c>
      <c r="U24" s="132" t="str">
        <f t="shared" si="20"/>
        <v/>
      </c>
      <c r="V24" s="132" t="str">
        <f>IF(ISNUMBER(SEARCH("AHO",Import2[[#This Row],[Tenure]])),"AHO",Import2[[#This Row],[Tenure]])&amp;Import2[[#This Row],[Expected sale completion year]]&amp;Import2[[#This Row],[Expected sale completion month]]</f>
        <v>Open market housing</v>
      </c>
      <c r="W24" s="178">
        <f t="shared" si="14"/>
        <v>0</v>
      </c>
      <c r="X24" s="132"/>
      <c r="Y24" s="132"/>
    </row>
    <row r="25" spans="1:25" ht="15.5">
      <c r="A25" s="132">
        <f t="shared" si="0"/>
        <v>0</v>
      </c>
      <c r="B25" s="133">
        <v>22</v>
      </c>
      <c r="C25" s="132" t="str">
        <f t="shared" si="1"/>
        <v/>
      </c>
      <c r="D25" s="132">
        <f t="shared" si="18"/>
        <v>0</v>
      </c>
      <c r="E25" s="132">
        <f t="shared" si="9"/>
        <v>0</v>
      </c>
      <c r="F25" s="132">
        <f t="shared" si="2"/>
        <v>0</v>
      </c>
      <c r="G25" s="132" t="str">
        <f t="shared" si="18"/>
        <v>Open market housing</v>
      </c>
      <c r="H25" s="132">
        <f t="shared" si="3"/>
        <v>896440000</v>
      </c>
      <c r="I25" s="132" t="str">
        <f t="shared" si="15"/>
        <v>New build</v>
      </c>
      <c r="J25" s="132">
        <f t="shared" si="4"/>
        <v>391930000</v>
      </c>
      <c r="K25" s="132">
        <f t="shared" si="10"/>
        <v>0</v>
      </c>
      <c r="L25" s="132">
        <f t="shared" si="5"/>
        <v>0</v>
      </c>
      <c r="M25" s="132">
        <f t="shared" si="19"/>
        <v>0</v>
      </c>
      <c r="N25" s="134">
        <f t="shared" si="6"/>
        <v>0</v>
      </c>
      <c r="O25" s="135">
        <f t="shared" si="12"/>
        <v>0</v>
      </c>
      <c r="P25" s="132" t="str">
        <f t="shared" si="16"/>
        <v/>
      </c>
      <c r="Q25" s="132" t="str">
        <f t="shared" si="17"/>
        <v/>
      </c>
      <c r="R25" s="132" t="str">
        <f>IF(ISNUMBER(SEARCH("AHO",Import2[[#This Row],[Tenure]])),"AHO",Import2[[#This Row],[Tenure]])&amp;Import2[[#This Row],[Expected Physical Completion Year]]&amp;Import2[[#This Row],[Expected Physical Completion Month]]</f>
        <v>Open market housing</v>
      </c>
      <c r="S25" s="135">
        <f t="shared" si="13"/>
        <v>0</v>
      </c>
      <c r="T25" s="132" t="str">
        <f t="shared" si="20"/>
        <v/>
      </c>
      <c r="U25" s="132" t="str">
        <f t="shared" si="20"/>
        <v/>
      </c>
      <c r="V25" s="132" t="str">
        <f>IF(ISNUMBER(SEARCH("AHO",Import2[[#This Row],[Tenure]])),"AHO",Import2[[#This Row],[Tenure]])&amp;Import2[[#This Row],[Expected sale completion year]]&amp;Import2[[#This Row],[Expected sale completion month]]</f>
        <v>Open market housing</v>
      </c>
      <c r="W25" s="178">
        <f t="shared" si="14"/>
        <v>0</v>
      </c>
      <c r="X25" s="132"/>
      <c r="Y25" s="132"/>
    </row>
    <row r="26" spans="1:25" ht="15.5">
      <c r="A26" s="132">
        <f t="shared" si="0"/>
        <v>0</v>
      </c>
      <c r="B26" s="133">
        <v>23</v>
      </c>
      <c r="C26" s="132" t="str">
        <f t="shared" si="1"/>
        <v/>
      </c>
      <c r="D26" s="132">
        <f t="shared" si="18"/>
        <v>0</v>
      </c>
      <c r="E26" s="132">
        <f t="shared" si="9"/>
        <v>0</v>
      </c>
      <c r="F26" s="132">
        <f t="shared" si="2"/>
        <v>0</v>
      </c>
      <c r="G26" s="132" t="str">
        <f t="shared" si="18"/>
        <v>Open market housing</v>
      </c>
      <c r="H26" s="132">
        <f t="shared" si="3"/>
        <v>896440000</v>
      </c>
      <c r="I26" s="132" t="str">
        <f t="shared" si="15"/>
        <v>New build</v>
      </c>
      <c r="J26" s="132">
        <f t="shared" si="4"/>
        <v>391930000</v>
      </c>
      <c r="K26" s="132">
        <f t="shared" si="10"/>
        <v>0</v>
      </c>
      <c r="L26" s="132">
        <f t="shared" si="5"/>
        <v>0</v>
      </c>
      <c r="M26" s="132">
        <f t="shared" si="19"/>
        <v>0</v>
      </c>
      <c r="N26" s="134">
        <f t="shared" si="6"/>
        <v>0</v>
      </c>
      <c r="O26" s="135">
        <f t="shared" si="12"/>
        <v>0</v>
      </c>
      <c r="P26" s="132" t="str">
        <f t="shared" si="16"/>
        <v/>
      </c>
      <c r="Q26" s="132" t="str">
        <f t="shared" si="17"/>
        <v/>
      </c>
      <c r="R26" s="132" t="str">
        <f>IF(ISNUMBER(SEARCH("AHO",Import2[[#This Row],[Tenure]])),"AHO",Import2[[#This Row],[Tenure]])&amp;Import2[[#This Row],[Expected Physical Completion Year]]&amp;Import2[[#This Row],[Expected Physical Completion Month]]</f>
        <v>Open market housing</v>
      </c>
      <c r="S26" s="135">
        <f t="shared" si="13"/>
        <v>0</v>
      </c>
      <c r="T26" s="132" t="str">
        <f t="shared" si="20"/>
        <v/>
      </c>
      <c r="U26" s="132" t="str">
        <f t="shared" si="20"/>
        <v/>
      </c>
      <c r="V26" s="132" t="str">
        <f>IF(ISNUMBER(SEARCH("AHO",Import2[[#This Row],[Tenure]])),"AHO",Import2[[#This Row],[Tenure]])&amp;Import2[[#This Row],[Expected sale completion year]]&amp;Import2[[#This Row],[Expected sale completion month]]</f>
        <v>Open market housing</v>
      </c>
      <c r="W26" s="178">
        <f t="shared" si="14"/>
        <v>0</v>
      </c>
      <c r="X26" s="132"/>
      <c r="Y26" s="132"/>
    </row>
    <row r="27" spans="1:25" ht="15.5">
      <c r="A27" s="132">
        <f t="shared" si="0"/>
        <v>0</v>
      </c>
      <c r="B27" s="133">
        <v>24</v>
      </c>
      <c r="C27" s="132" t="str">
        <f t="shared" si="1"/>
        <v/>
      </c>
      <c r="D27" s="132">
        <f t="shared" si="18"/>
        <v>0</v>
      </c>
      <c r="E27" s="132">
        <f t="shared" si="9"/>
        <v>0</v>
      </c>
      <c r="F27" s="132">
        <f t="shared" si="2"/>
        <v>0</v>
      </c>
      <c r="G27" s="132" t="str">
        <f t="shared" si="18"/>
        <v>Open market housing</v>
      </c>
      <c r="H27" s="132">
        <f t="shared" si="3"/>
        <v>896440000</v>
      </c>
      <c r="I27" s="132" t="str">
        <f t="shared" si="15"/>
        <v>New build</v>
      </c>
      <c r="J27" s="132">
        <f t="shared" si="4"/>
        <v>391930000</v>
      </c>
      <c r="K27" s="132">
        <f t="shared" si="10"/>
        <v>0</v>
      </c>
      <c r="L27" s="132">
        <f t="shared" si="5"/>
        <v>0</v>
      </c>
      <c r="M27" s="132">
        <f t="shared" si="19"/>
        <v>0</v>
      </c>
      <c r="N27" s="134">
        <f t="shared" si="6"/>
        <v>0</v>
      </c>
      <c r="O27" s="135">
        <f t="shared" si="12"/>
        <v>0</v>
      </c>
      <c r="P27" s="132" t="str">
        <f t="shared" si="16"/>
        <v/>
      </c>
      <c r="Q27" s="132" t="str">
        <f t="shared" si="17"/>
        <v/>
      </c>
      <c r="R27" s="132" t="str">
        <f>IF(ISNUMBER(SEARCH("AHO",Import2[[#This Row],[Tenure]])),"AHO",Import2[[#This Row],[Tenure]])&amp;Import2[[#This Row],[Expected Physical Completion Year]]&amp;Import2[[#This Row],[Expected Physical Completion Month]]</f>
        <v>Open market housing</v>
      </c>
      <c r="S27" s="135">
        <f t="shared" si="13"/>
        <v>0</v>
      </c>
      <c r="T27" s="132" t="str">
        <f t="shared" si="20"/>
        <v/>
      </c>
      <c r="U27" s="132" t="str">
        <f t="shared" si="20"/>
        <v/>
      </c>
      <c r="V27" s="132" t="str">
        <f>IF(ISNUMBER(SEARCH("AHO",Import2[[#This Row],[Tenure]])),"AHO",Import2[[#This Row],[Tenure]])&amp;Import2[[#This Row],[Expected sale completion year]]&amp;Import2[[#This Row],[Expected sale completion month]]</f>
        <v>Open market housing</v>
      </c>
      <c r="W27" s="178">
        <f t="shared" si="14"/>
        <v>0</v>
      </c>
      <c r="X27" s="132"/>
      <c r="Y27" s="132"/>
    </row>
    <row r="28" spans="1:25" ht="15.5">
      <c r="A28" s="132">
        <f t="shared" si="0"/>
        <v>0</v>
      </c>
      <c r="B28" s="133">
        <v>25</v>
      </c>
      <c r="C28" s="132" t="str">
        <f t="shared" si="1"/>
        <v/>
      </c>
      <c r="D28" s="132">
        <f t="shared" si="18"/>
        <v>0</v>
      </c>
      <c r="E28" s="132">
        <f t="shared" si="9"/>
        <v>0</v>
      </c>
      <c r="F28" s="132">
        <f t="shared" si="2"/>
        <v>0</v>
      </c>
      <c r="G28" s="132" t="str">
        <f t="shared" si="18"/>
        <v>Open market housing</v>
      </c>
      <c r="H28" s="132">
        <f t="shared" si="3"/>
        <v>896440000</v>
      </c>
      <c r="I28" s="132" t="str">
        <f t="shared" si="15"/>
        <v>New build</v>
      </c>
      <c r="J28" s="132">
        <f t="shared" si="4"/>
        <v>391930000</v>
      </c>
      <c r="K28" s="132">
        <f t="shared" si="10"/>
        <v>0</v>
      </c>
      <c r="L28" s="132">
        <f t="shared" si="5"/>
        <v>0</v>
      </c>
      <c r="M28" s="132">
        <f t="shared" si="19"/>
        <v>0</v>
      </c>
      <c r="N28" s="134">
        <f t="shared" si="6"/>
        <v>0</v>
      </c>
      <c r="O28" s="135">
        <f t="shared" si="12"/>
        <v>0</v>
      </c>
      <c r="P28" s="132" t="str">
        <f t="shared" si="16"/>
        <v/>
      </c>
      <c r="Q28" s="132" t="str">
        <f t="shared" si="17"/>
        <v/>
      </c>
      <c r="R28" s="132" t="str">
        <f>IF(ISNUMBER(SEARCH("AHO",Import2[[#This Row],[Tenure]])),"AHO",Import2[[#This Row],[Tenure]])&amp;Import2[[#This Row],[Expected Physical Completion Year]]&amp;Import2[[#This Row],[Expected Physical Completion Month]]</f>
        <v>Open market housing</v>
      </c>
      <c r="S28" s="135">
        <f t="shared" si="13"/>
        <v>0</v>
      </c>
      <c r="T28" s="132" t="str">
        <f t="shared" si="20"/>
        <v/>
      </c>
      <c r="U28" s="132" t="str">
        <f t="shared" si="20"/>
        <v/>
      </c>
      <c r="V28" s="132" t="str">
        <f>IF(ISNUMBER(SEARCH("AHO",Import2[[#This Row],[Tenure]])),"AHO",Import2[[#This Row],[Tenure]])&amp;Import2[[#This Row],[Expected sale completion year]]&amp;Import2[[#This Row],[Expected sale completion month]]</f>
        <v>Open market housing</v>
      </c>
      <c r="W28" s="178">
        <f t="shared" si="14"/>
        <v>0</v>
      </c>
      <c r="X28" s="132"/>
      <c r="Y28" s="132"/>
    </row>
    <row r="29" spans="1:25" ht="15.5">
      <c r="A29" s="132">
        <f t="shared" si="0"/>
        <v>0</v>
      </c>
      <c r="B29" s="133">
        <v>26</v>
      </c>
      <c r="C29" s="132" t="str">
        <f t="shared" si="1"/>
        <v/>
      </c>
      <c r="D29" s="132">
        <f t="shared" si="18"/>
        <v>0</v>
      </c>
      <c r="E29" s="132">
        <f t="shared" si="9"/>
        <v>0</v>
      </c>
      <c r="F29" s="132">
        <f t="shared" si="2"/>
        <v>0</v>
      </c>
      <c r="G29" s="132" t="str">
        <f t="shared" si="18"/>
        <v>Open market housing</v>
      </c>
      <c r="H29" s="132">
        <f t="shared" si="3"/>
        <v>896440000</v>
      </c>
      <c r="I29" s="132" t="str">
        <f t="shared" si="15"/>
        <v>New build</v>
      </c>
      <c r="J29" s="132">
        <f t="shared" si="4"/>
        <v>391930000</v>
      </c>
      <c r="K29" s="132">
        <f t="shared" si="10"/>
        <v>0</v>
      </c>
      <c r="L29" s="132">
        <f t="shared" si="5"/>
        <v>0</v>
      </c>
      <c r="M29" s="132">
        <f t="shared" si="19"/>
        <v>0</v>
      </c>
      <c r="N29" s="134">
        <f t="shared" si="6"/>
        <v>0</v>
      </c>
      <c r="O29" s="135">
        <f t="shared" si="12"/>
        <v>0</v>
      </c>
      <c r="P29" s="132" t="str">
        <f t="shared" si="16"/>
        <v/>
      </c>
      <c r="Q29" s="132" t="str">
        <f t="shared" si="17"/>
        <v/>
      </c>
      <c r="R29" s="132" t="str">
        <f>IF(ISNUMBER(SEARCH("AHO",Import2[[#This Row],[Tenure]])),"AHO",Import2[[#This Row],[Tenure]])&amp;Import2[[#This Row],[Expected Physical Completion Year]]&amp;Import2[[#This Row],[Expected Physical Completion Month]]</f>
        <v>Open market housing</v>
      </c>
      <c r="S29" s="135">
        <f t="shared" si="13"/>
        <v>0</v>
      </c>
      <c r="T29" s="132" t="str">
        <f t="shared" si="20"/>
        <v/>
      </c>
      <c r="U29" s="132" t="str">
        <f t="shared" si="20"/>
        <v/>
      </c>
      <c r="V29" s="132" t="str">
        <f>IF(ISNUMBER(SEARCH("AHO",Import2[[#This Row],[Tenure]])),"AHO",Import2[[#This Row],[Tenure]])&amp;Import2[[#This Row],[Expected sale completion year]]&amp;Import2[[#This Row],[Expected sale completion month]]</f>
        <v>Open market housing</v>
      </c>
      <c r="W29" s="178">
        <f t="shared" si="14"/>
        <v>0</v>
      </c>
      <c r="X29" s="132"/>
      <c r="Y29" s="132"/>
    </row>
    <row r="30" spans="1:25" ht="15.5">
      <c r="A30" s="132">
        <f t="shared" si="0"/>
        <v>0</v>
      </c>
      <c r="B30" s="133">
        <v>27</v>
      </c>
      <c r="C30" s="132" t="str">
        <f t="shared" si="1"/>
        <v/>
      </c>
      <c r="D30" s="132">
        <f t="shared" si="18"/>
        <v>0</v>
      </c>
      <c r="E30" s="132">
        <f t="shared" si="9"/>
        <v>0</v>
      </c>
      <c r="F30" s="132">
        <f t="shared" si="2"/>
        <v>0</v>
      </c>
      <c r="G30" s="132" t="str">
        <f t="shared" si="18"/>
        <v>Open market housing</v>
      </c>
      <c r="H30" s="132">
        <f t="shared" si="3"/>
        <v>896440000</v>
      </c>
      <c r="I30" s="132" t="str">
        <f t="shared" si="15"/>
        <v>New build</v>
      </c>
      <c r="J30" s="132">
        <f t="shared" si="4"/>
        <v>391930000</v>
      </c>
      <c r="K30" s="132">
        <f t="shared" si="10"/>
        <v>0</v>
      </c>
      <c r="L30" s="132">
        <f t="shared" si="5"/>
        <v>0</v>
      </c>
      <c r="M30" s="132">
        <f t="shared" si="19"/>
        <v>0</v>
      </c>
      <c r="N30" s="134">
        <f t="shared" si="6"/>
        <v>0</v>
      </c>
      <c r="O30" s="135">
        <f t="shared" si="12"/>
        <v>0</v>
      </c>
      <c r="P30" s="132" t="str">
        <f t="shared" si="16"/>
        <v/>
      </c>
      <c r="Q30" s="132" t="str">
        <f t="shared" si="17"/>
        <v/>
      </c>
      <c r="R30" s="132" t="str">
        <f>IF(ISNUMBER(SEARCH("AHO",Import2[[#This Row],[Tenure]])),"AHO",Import2[[#This Row],[Tenure]])&amp;Import2[[#This Row],[Expected Physical Completion Year]]&amp;Import2[[#This Row],[Expected Physical Completion Month]]</f>
        <v>Open market housing</v>
      </c>
      <c r="S30" s="135">
        <f t="shared" si="13"/>
        <v>0</v>
      </c>
      <c r="T30" s="132" t="str">
        <f t="shared" si="20"/>
        <v/>
      </c>
      <c r="U30" s="132" t="str">
        <f t="shared" si="20"/>
        <v/>
      </c>
      <c r="V30" s="132" t="str">
        <f>IF(ISNUMBER(SEARCH("AHO",Import2[[#This Row],[Tenure]])),"AHO",Import2[[#This Row],[Tenure]])&amp;Import2[[#This Row],[Expected sale completion year]]&amp;Import2[[#This Row],[Expected sale completion month]]</f>
        <v>Open market housing</v>
      </c>
      <c r="W30" s="178">
        <f t="shared" si="14"/>
        <v>0</v>
      </c>
      <c r="X30" s="132"/>
      <c r="Y30" s="132"/>
    </row>
    <row r="31" spans="1:25" ht="15.5">
      <c r="A31" s="132">
        <f t="shared" si="0"/>
        <v>0</v>
      </c>
      <c r="B31" s="133">
        <v>28</v>
      </c>
      <c r="C31" s="132" t="str">
        <f t="shared" si="1"/>
        <v/>
      </c>
      <c r="D31" s="132">
        <f t="shared" si="18"/>
        <v>0</v>
      </c>
      <c r="E31" s="132">
        <f t="shared" si="9"/>
        <v>0</v>
      </c>
      <c r="F31" s="132">
        <f t="shared" si="2"/>
        <v>0</v>
      </c>
      <c r="G31" s="132" t="str">
        <f t="shared" si="18"/>
        <v>Open market housing</v>
      </c>
      <c r="H31" s="132">
        <f t="shared" si="3"/>
        <v>896440000</v>
      </c>
      <c r="I31" s="132" t="str">
        <f t="shared" si="15"/>
        <v>New build</v>
      </c>
      <c r="J31" s="132">
        <f t="shared" si="4"/>
        <v>391930000</v>
      </c>
      <c r="K31" s="132">
        <f t="shared" si="10"/>
        <v>0</v>
      </c>
      <c r="L31" s="132">
        <f t="shared" si="5"/>
        <v>0</v>
      </c>
      <c r="M31" s="132">
        <f t="shared" si="19"/>
        <v>0</v>
      </c>
      <c r="N31" s="134">
        <f t="shared" si="6"/>
        <v>0</v>
      </c>
      <c r="O31" s="135">
        <f t="shared" si="12"/>
        <v>0</v>
      </c>
      <c r="P31" s="132" t="str">
        <f t="shared" si="16"/>
        <v/>
      </c>
      <c r="Q31" s="132" t="str">
        <f t="shared" si="17"/>
        <v/>
      </c>
      <c r="R31" s="132" t="str">
        <f>IF(ISNUMBER(SEARCH("AHO",Import2[[#This Row],[Tenure]])),"AHO",Import2[[#This Row],[Tenure]])&amp;Import2[[#This Row],[Expected Physical Completion Year]]&amp;Import2[[#This Row],[Expected Physical Completion Month]]</f>
        <v>Open market housing</v>
      </c>
      <c r="S31" s="135">
        <f t="shared" si="13"/>
        <v>0</v>
      </c>
      <c r="T31" s="132" t="str">
        <f t="shared" si="20"/>
        <v/>
      </c>
      <c r="U31" s="132" t="str">
        <f t="shared" si="20"/>
        <v/>
      </c>
      <c r="V31" s="132" t="str">
        <f>IF(ISNUMBER(SEARCH("AHO",Import2[[#This Row],[Tenure]])),"AHO",Import2[[#This Row],[Tenure]])&amp;Import2[[#This Row],[Expected sale completion year]]&amp;Import2[[#This Row],[Expected sale completion month]]</f>
        <v>Open market housing</v>
      </c>
      <c r="W31" s="178">
        <f t="shared" si="14"/>
        <v>0</v>
      </c>
      <c r="X31" s="132"/>
      <c r="Y31" s="132"/>
    </row>
    <row r="32" spans="1:25" ht="15.5">
      <c r="A32" s="132">
        <f t="shared" si="0"/>
        <v>0</v>
      </c>
      <c r="B32" s="133">
        <v>29</v>
      </c>
      <c r="C32" s="132" t="str">
        <f t="shared" si="1"/>
        <v/>
      </c>
      <c r="D32" s="132">
        <f t="shared" si="18"/>
        <v>0</v>
      </c>
      <c r="E32" s="132">
        <f t="shared" si="9"/>
        <v>0</v>
      </c>
      <c r="F32" s="132">
        <f t="shared" si="2"/>
        <v>0</v>
      </c>
      <c r="G32" s="132" t="str">
        <f t="shared" si="18"/>
        <v>Open market housing</v>
      </c>
      <c r="H32" s="132">
        <f t="shared" si="3"/>
        <v>896440000</v>
      </c>
      <c r="I32" s="132" t="str">
        <f t="shared" si="15"/>
        <v>New build</v>
      </c>
      <c r="J32" s="132">
        <f t="shared" si="4"/>
        <v>391930000</v>
      </c>
      <c r="K32" s="132">
        <f t="shared" si="10"/>
        <v>0</v>
      </c>
      <c r="L32" s="132">
        <f t="shared" si="5"/>
        <v>0</v>
      </c>
      <c r="M32" s="132">
        <f t="shared" si="19"/>
        <v>0</v>
      </c>
      <c r="N32" s="134">
        <f t="shared" si="6"/>
        <v>0</v>
      </c>
      <c r="O32" s="135">
        <f t="shared" si="12"/>
        <v>0</v>
      </c>
      <c r="P32" s="132" t="str">
        <f t="shared" si="16"/>
        <v/>
      </c>
      <c r="Q32" s="132" t="str">
        <f t="shared" si="17"/>
        <v/>
      </c>
      <c r="R32" s="132" t="str">
        <f>IF(ISNUMBER(SEARCH("AHO",Import2[[#This Row],[Tenure]])),"AHO",Import2[[#This Row],[Tenure]])&amp;Import2[[#This Row],[Expected Physical Completion Year]]&amp;Import2[[#This Row],[Expected Physical Completion Month]]</f>
        <v>Open market housing</v>
      </c>
      <c r="S32" s="135">
        <f t="shared" si="13"/>
        <v>0</v>
      </c>
      <c r="T32" s="132" t="str">
        <f t="shared" si="20"/>
        <v/>
      </c>
      <c r="U32" s="132" t="str">
        <f t="shared" si="20"/>
        <v/>
      </c>
      <c r="V32" s="132" t="str">
        <f>IF(ISNUMBER(SEARCH("AHO",Import2[[#This Row],[Tenure]])),"AHO",Import2[[#This Row],[Tenure]])&amp;Import2[[#This Row],[Expected sale completion year]]&amp;Import2[[#This Row],[Expected sale completion month]]</f>
        <v>Open market housing</v>
      </c>
      <c r="W32" s="178">
        <f t="shared" si="14"/>
        <v>0</v>
      </c>
      <c r="X32" s="132"/>
      <c r="Y32" s="132"/>
    </row>
    <row r="33" spans="1:23" ht="15.5">
      <c r="A33" s="132">
        <f t="shared" si="0"/>
        <v>0</v>
      </c>
      <c r="B33" s="133">
        <v>30</v>
      </c>
      <c r="C33" s="132" t="str">
        <f t="shared" si="1"/>
        <v/>
      </c>
      <c r="D33" s="132">
        <f t="shared" si="18"/>
        <v>0</v>
      </c>
      <c r="E33" s="132">
        <f t="shared" si="9"/>
        <v>0</v>
      </c>
      <c r="F33" s="132">
        <f t="shared" si="2"/>
        <v>0</v>
      </c>
      <c r="G33" s="132" t="str">
        <f t="shared" si="18"/>
        <v>Open market housing</v>
      </c>
      <c r="H33" s="132">
        <f t="shared" si="3"/>
        <v>896440000</v>
      </c>
      <c r="I33" s="132" t="str">
        <f t="shared" si="15"/>
        <v>New build</v>
      </c>
      <c r="J33" s="132">
        <f t="shared" si="4"/>
        <v>391930000</v>
      </c>
      <c r="K33" s="132">
        <f t="shared" si="10"/>
        <v>0</v>
      </c>
      <c r="L33" s="132">
        <f t="shared" si="5"/>
        <v>0</v>
      </c>
      <c r="M33" s="132">
        <f t="shared" si="19"/>
        <v>0</v>
      </c>
      <c r="N33" s="134">
        <f t="shared" si="6"/>
        <v>0</v>
      </c>
      <c r="O33" s="135">
        <f t="shared" si="12"/>
        <v>0</v>
      </c>
      <c r="P33" s="132" t="str">
        <f t="shared" si="16"/>
        <v/>
      </c>
      <c r="Q33" s="132" t="str">
        <f t="shared" si="17"/>
        <v/>
      </c>
      <c r="R33" s="132" t="str">
        <f>IF(ISNUMBER(SEARCH("AHO",Import2[[#This Row],[Tenure]])),"AHO",Import2[[#This Row],[Tenure]])&amp;Import2[[#This Row],[Expected Physical Completion Year]]&amp;Import2[[#This Row],[Expected Physical Completion Month]]</f>
        <v>Open market housing</v>
      </c>
      <c r="S33" s="135">
        <f t="shared" si="13"/>
        <v>0</v>
      </c>
      <c r="T33" s="132" t="str">
        <f t="shared" si="20"/>
        <v/>
      </c>
      <c r="U33" s="132" t="str">
        <f t="shared" si="20"/>
        <v/>
      </c>
      <c r="V33" s="132" t="str">
        <f>IF(ISNUMBER(SEARCH("AHO",Import2[[#This Row],[Tenure]])),"AHO",Import2[[#This Row],[Tenure]])&amp;Import2[[#This Row],[Expected sale completion year]]&amp;Import2[[#This Row],[Expected sale completion month]]</f>
        <v>Open market housing</v>
      </c>
      <c r="W33" s="178">
        <f t="shared" si="14"/>
        <v>0</v>
      </c>
    </row>
    <row r="34" spans="1:23" ht="15.5">
      <c r="A34" s="132">
        <f t="shared" si="0"/>
        <v>0</v>
      </c>
      <c r="B34" s="133">
        <v>31</v>
      </c>
      <c r="C34" s="132" t="str">
        <f t="shared" si="1"/>
        <v/>
      </c>
      <c r="D34" s="132">
        <f t="shared" si="18"/>
        <v>0</v>
      </c>
      <c r="E34" s="132">
        <f t="shared" si="9"/>
        <v>0</v>
      </c>
      <c r="F34" s="132">
        <f t="shared" si="2"/>
        <v>0</v>
      </c>
      <c r="G34" s="132" t="str">
        <f t="shared" si="18"/>
        <v>Open market housing</v>
      </c>
      <c r="H34" s="132">
        <f t="shared" si="3"/>
        <v>896440000</v>
      </c>
      <c r="I34" s="132" t="str">
        <f t="shared" si="15"/>
        <v>New build</v>
      </c>
      <c r="J34" s="132">
        <f t="shared" si="4"/>
        <v>391930000</v>
      </c>
      <c r="K34" s="132">
        <f t="shared" si="10"/>
        <v>0</v>
      </c>
      <c r="L34" s="132">
        <f t="shared" si="5"/>
        <v>0</v>
      </c>
      <c r="M34" s="132">
        <f t="shared" si="19"/>
        <v>0</v>
      </c>
      <c r="N34" s="134">
        <f t="shared" si="6"/>
        <v>0</v>
      </c>
      <c r="O34" s="135">
        <f t="shared" si="12"/>
        <v>0</v>
      </c>
      <c r="P34" s="132" t="str">
        <f t="shared" si="16"/>
        <v/>
      </c>
      <c r="Q34" s="132" t="str">
        <f t="shared" si="17"/>
        <v/>
      </c>
      <c r="R34" s="132" t="str">
        <f>IF(ISNUMBER(SEARCH("AHO",Import2[[#This Row],[Tenure]])),"AHO",Import2[[#This Row],[Tenure]])&amp;Import2[[#This Row],[Expected Physical Completion Year]]&amp;Import2[[#This Row],[Expected Physical Completion Month]]</f>
        <v>Open market housing</v>
      </c>
      <c r="S34" s="135">
        <f t="shared" si="13"/>
        <v>0</v>
      </c>
      <c r="T34" s="132" t="str">
        <f t="shared" si="20"/>
        <v/>
      </c>
      <c r="U34" s="132" t="str">
        <f t="shared" si="20"/>
        <v/>
      </c>
      <c r="V34" s="132" t="str">
        <f>IF(ISNUMBER(SEARCH("AHO",Import2[[#This Row],[Tenure]])),"AHO",Import2[[#This Row],[Tenure]])&amp;Import2[[#This Row],[Expected sale completion year]]&amp;Import2[[#This Row],[Expected sale completion month]]</f>
        <v>Open market housing</v>
      </c>
      <c r="W34" s="178">
        <f t="shared" si="14"/>
        <v>0</v>
      </c>
    </row>
    <row r="35" spans="1:23" ht="15.5">
      <c r="A35" s="132">
        <f t="shared" si="0"/>
        <v>0</v>
      </c>
      <c r="B35" s="133">
        <v>32</v>
      </c>
      <c r="C35" s="132" t="str">
        <f t="shared" si="1"/>
        <v/>
      </c>
      <c r="D35" s="132">
        <f t="shared" si="18"/>
        <v>0</v>
      </c>
      <c r="E35" s="132">
        <f t="shared" si="9"/>
        <v>0</v>
      </c>
      <c r="F35" s="132">
        <f t="shared" si="2"/>
        <v>0</v>
      </c>
      <c r="G35" s="132" t="str">
        <f t="shared" si="18"/>
        <v>Open market housing</v>
      </c>
      <c r="H35" s="132">
        <f t="shared" si="3"/>
        <v>896440000</v>
      </c>
      <c r="I35" s="132" t="str">
        <f t="shared" si="15"/>
        <v>New build</v>
      </c>
      <c r="J35" s="132">
        <f t="shared" si="4"/>
        <v>391930000</v>
      </c>
      <c r="K35" s="132">
        <f t="shared" si="10"/>
        <v>0</v>
      </c>
      <c r="L35" s="132">
        <f t="shared" si="5"/>
        <v>0</v>
      </c>
      <c r="M35" s="132">
        <f t="shared" si="19"/>
        <v>0</v>
      </c>
      <c r="N35" s="134">
        <f t="shared" si="6"/>
        <v>0</v>
      </c>
      <c r="O35" s="135">
        <f t="shared" si="12"/>
        <v>0</v>
      </c>
      <c r="P35" s="132" t="str">
        <f t="shared" si="16"/>
        <v/>
      </c>
      <c r="Q35" s="132" t="str">
        <f t="shared" si="17"/>
        <v/>
      </c>
      <c r="R35" s="132" t="str">
        <f>IF(ISNUMBER(SEARCH("AHO",Import2[[#This Row],[Tenure]])),"AHO",Import2[[#This Row],[Tenure]])&amp;Import2[[#This Row],[Expected Physical Completion Year]]&amp;Import2[[#This Row],[Expected Physical Completion Month]]</f>
        <v>Open market housing</v>
      </c>
      <c r="S35" s="135">
        <f t="shared" si="13"/>
        <v>0</v>
      </c>
      <c r="T35" s="132" t="str">
        <f t="shared" si="20"/>
        <v/>
      </c>
      <c r="U35" s="132" t="str">
        <f t="shared" si="20"/>
        <v/>
      </c>
      <c r="V35" s="132" t="str">
        <f>IF(ISNUMBER(SEARCH("AHO",Import2[[#This Row],[Tenure]])),"AHO",Import2[[#This Row],[Tenure]])&amp;Import2[[#This Row],[Expected sale completion year]]&amp;Import2[[#This Row],[Expected sale completion month]]</f>
        <v>Open market housing</v>
      </c>
      <c r="W35" s="178">
        <f t="shared" si="14"/>
        <v>0</v>
      </c>
    </row>
    <row r="36" spans="1:23" ht="15.5">
      <c r="A36" s="132">
        <f t="shared" si="0"/>
        <v>0</v>
      </c>
      <c r="B36" s="133">
        <v>33</v>
      </c>
      <c r="C36" s="132" t="str">
        <f t="shared" si="1"/>
        <v/>
      </c>
      <c r="D36" s="132">
        <f t="shared" si="18"/>
        <v>0</v>
      </c>
      <c r="E36" s="132">
        <f t="shared" si="9"/>
        <v>0</v>
      </c>
      <c r="F36" s="132">
        <f t="shared" si="2"/>
        <v>0</v>
      </c>
      <c r="G36" s="132" t="str">
        <f t="shared" si="18"/>
        <v>Open market housing</v>
      </c>
      <c r="H36" s="132">
        <f t="shared" si="3"/>
        <v>896440000</v>
      </c>
      <c r="I36" s="132" t="str">
        <f t="shared" ref="I36:I67" si="21">INDEX(PlotData,MATCH($B36,PlotNumber,0),MATCH(I$3,PlotTitles,0))</f>
        <v>New build</v>
      </c>
      <c r="J36" s="132">
        <f t="shared" si="4"/>
        <v>391930000</v>
      </c>
      <c r="K36" s="132">
        <f t="shared" ref="K36:K67" si="22">INDEX(PlotData,MATCH($B36,PlotNumber,0),MATCH(K$3,PlotTitles,0))</f>
        <v>0</v>
      </c>
      <c r="L36" s="132">
        <f t="shared" si="5"/>
        <v>0</v>
      </c>
      <c r="M36" s="132">
        <f t="shared" si="19"/>
        <v>0</v>
      </c>
      <c r="N36" s="134">
        <f t="shared" si="6"/>
        <v>0</v>
      </c>
      <c r="O36" s="135">
        <f t="shared" si="12"/>
        <v>0</v>
      </c>
      <c r="P36" s="132" t="str">
        <f t="shared" ref="P36:P67" si="23">IF(INDEX(PlotData,MATCH($B36,PlotNumber,0),MATCH(P$3,PlotTitles,0))=0,"",INDEX(PlotData,MATCH($B36,PlotNumber,0),MATCH(P$3,PlotTitles,0)))</f>
        <v/>
      </c>
      <c r="Q36" s="132" t="str">
        <f t="shared" si="17"/>
        <v/>
      </c>
      <c r="R36" s="132" t="str">
        <f>IF(ISNUMBER(SEARCH("AHO",Import2[[#This Row],[Tenure]])),"AHO",Import2[[#This Row],[Tenure]])&amp;Import2[[#This Row],[Expected Physical Completion Year]]&amp;Import2[[#This Row],[Expected Physical Completion Month]]</f>
        <v>Open market housing</v>
      </c>
      <c r="S36" s="135">
        <f t="shared" si="13"/>
        <v>0</v>
      </c>
      <c r="T36" s="132" t="str">
        <f t="shared" si="20"/>
        <v/>
      </c>
      <c r="U36" s="132" t="str">
        <f t="shared" si="20"/>
        <v/>
      </c>
      <c r="V36" s="132" t="str">
        <f>IF(ISNUMBER(SEARCH("AHO",Import2[[#This Row],[Tenure]])),"AHO",Import2[[#This Row],[Tenure]])&amp;Import2[[#This Row],[Expected sale completion year]]&amp;Import2[[#This Row],[Expected sale completion month]]</f>
        <v>Open market housing</v>
      </c>
      <c r="W36" s="178">
        <f t="shared" ref="W36:W67" si="24">INDEX(PlotData,MATCH($B36,PlotNumber,0),MATCH(W$3,PlotTitles,0))</f>
        <v>0</v>
      </c>
    </row>
    <row r="37" spans="1:23" ht="15.5">
      <c r="A37" s="132">
        <f t="shared" si="0"/>
        <v>0</v>
      </c>
      <c r="B37" s="133">
        <v>34</v>
      </c>
      <c r="C37" s="132" t="str">
        <f t="shared" si="1"/>
        <v/>
      </c>
      <c r="D37" s="132">
        <f t="shared" si="18"/>
        <v>0</v>
      </c>
      <c r="E37" s="132">
        <f t="shared" si="9"/>
        <v>0</v>
      </c>
      <c r="F37" s="132">
        <f t="shared" si="2"/>
        <v>0</v>
      </c>
      <c r="G37" s="132" t="str">
        <f t="shared" si="18"/>
        <v>Open market housing</v>
      </c>
      <c r="H37" s="132">
        <f t="shared" si="3"/>
        <v>896440000</v>
      </c>
      <c r="I37" s="132" t="str">
        <f t="shared" si="21"/>
        <v>New build</v>
      </c>
      <c r="J37" s="132">
        <f t="shared" si="4"/>
        <v>391930000</v>
      </c>
      <c r="K37" s="132">
        <f t="shared" si="22"/>
        <v>0</v>
      </c>
      <c r="L37" s="132">
        <f t="shared" si="5"/>
        <v>0</v>
      </c>
      <c r="M37" s="132">
        <f t="shared" si="19"/>
        <v>0</v>
      </c>
      <c r="N37" s="134">
        <f t="shared" si="6"/>
        <v>0</v>
      </c>
      <c r="O37" s="135">
        <f t="shared" si="12"/>
        <v>0</v>
      </c>
      <c r="P37" s="132" t="str">
        <f t="shared" si="23"/>
        <v/>
      </c>
      <c r="Q37" s="132" t="str">
        <f t="shared" si="17"/>
        <v/>
      </c>
      <c r="R37" s="132" t="str">
        <f>IF(ISNUMBER(SEARCH("AHO",Import2[[#This Row],[Tenure]])),"AHO",Import2[[#This Row],[Tenure]])&amp;Import2[[#This Row],[Expected Physical Completion Year]]&amp;Import2[[#This Row],[Expected Physical Completion Month]]</f>
        <v>Open market housing</v>
      </c>
      <c r="S37" s="135">
        <f t="shared" si="13"/>
        <v>0</v>
      </c>
      <c r="T37" s="132" t="str">
        <f t="shared" si="20"/>
        <v/>
      </c>
      <c r="U37" s="132" t="str">
        <f t="shared" si="20"/>
        <v/>
      </c>
      <c r="V37" s="132" t="str">
        <f>IF(ISNUMBER(SEARCH("AHO",Import2[[#This Row],[Tenure]])),"AHO",Import2[[#This Row],[Tenure]])&amp;Import2[[#This Row],[Expected sale completion year]]&amp;Import2[[#This Row],[Expected sale completion month]]</f>
        <v>Open market housing</v>
      </c>
      <c r="W37" s="178">
        <f t="shared" si="24"/>
        <v>0</v>
      </c>
    </row>
    <row r="38" spans="1:23" ht="15.5">
      <c r="A38" s="132">
        <f t="shared" si="0"/>
        <v>0</v>
      </c>
      <c r="B38" s="133">
        <v>35</v>
      </c>
      <c r="C38" s="132" t="str">
        <f t="shared" si="1"/>
        <v/>
      </c>
      <c r="D38" s="132">
        <f t="shared" si="18"/>
        <v>0</v>
      </c>
      <c r="E38" s="132">
        <f t="shared" si="9"/>
        <v>0</v>
      </c>
      <c r="F38" s="132">
        <f t="shared" si="2"/>
        <v>0</v>
      </c>
      <c r="G38" s="132" t="str">
        <f t="shared" si="18"/>
        <v>Open market housing</v>
      </c>
      <c r="H38" s="132">
        <f t="shared" si="3"/>
        <v>896440000</v>
      </c>
      <c r="I38" s="132" t="str">
        <f t="shared" si="21"/>
        <v>New build</v>
      </c>
      <c r="J38" s="132">
        <f t="shared" si="4"/>
        <v>391930000</v>
      </c>
      <c r="K38" s="132">
        <f t="shared" si="22"/>
        <v>0</v>
      </c>
      <c r="L38" s="132">
        <f t="shared" si="5"/>
        <v>0</v>
      </c>
      <c r="M38" s="132">
        <f t="shared" si="19"/>
        <v>0</v>
      </c>
      <c r="N38" s="134">
        <f t="shared" si="6"/>
        <v>0</v>
      </c>
      <c r="O38" s="135">
        <f t="shared" si="12"/>
        <v>0</v>
      </c>
      <c r="P38" s="132" t="str">
        <f t="shared" si="23"/>
        <v/>
      </c>
      <c r="Q38" s="132" t="str">
        <f t="shared" si="17"/>
        <v/>
      </c>
      <c r="R38" s="132" t="str">
        <f>IF(ISNUMBER(SEARCH("AHO",Import2[[#This Row],[Tenure]])),"AHO",Import2[[#This Row],[Tenure]])&amp;Import2[[#This Row],[Expected Physical Completion Year]]&amp;Import2[[#This Row],[Expected Physical Completion Month]]</f>
        <v>Open market housing</v>
      </c>
      <c r="S38" s="135">
        <f t="shared" si="13"/>
        <v>0</v>
      </c>
      <c r="T38" s="132" t="str">
        <f t="shared" si="20"/>
        <v/>
      </c>
      <c r="U38" s="132" t="str">
        <f t="shared" si="20"/>
        <v/>
      </c>
      <c r="V38" s="132" t="str">
        <f>IF(ISNUMBER(SEARCH("AHO",Import2[[#This Row],[Tenure]])),"AHO",Import2[[#This Row],[Tenure]])&amp;Import2[[#This Row],[Expected sale completion year]]&amp;Import2[[#This Row],[Expected sale completion month]]</f>
        <v>Open market housing</v>
      </c>
      <c r="W38" s="178">
        <f t="shared" si="24"/>
        <v>0</v>
      </c>
    </row>
    <row r="39" spans="1:23" ht="15.5">
      <c r="A39" s="132">
        <f t="shared" si="0"/>
        <v>0</v>
      </c>
      <c r="B39" s="133">
        <v>36</v>
      </c>
      <c r="C39" s="132" t="str">
        <f t="shared" si="1"/>
        <v/>
      </c>
      <c r="D39" s="132">
        <f t="shared" si="18"/>
        <v>0</v>
      </c>
      <c r="E39" s="132">
        <f t="shared" si="9"/>
        <v>0</v>
      </c>
      <c r="F39" s="132">
        <f t="shared" si="2"/>
        <v>0</v>
      </c>
      <c r="G39" s="132" t="str">
        <f t="shared" si="18"/>
        <v>Open market housing</v>
      </c>
      <c r="H39" s="132">
        <f t="shared" si="3"/>
        <v>896440000</v>
      </c>
      <c r="I39" s="132" t="str">
        <f t="shared" si="21"/>
        <v>New build</v>
      </c>
      <c r="J39" s="132">
        <f t="shared" si="4"/>
        <v>391930000</v>
      </c>
      <c r="K39" s="132">
        <f t="shared" si="22"/>
        <v>0</v>
      </c>
      <c r="L39" s="132">
        <f t="shared" si="5"/>
        <v>0</v>
      </c>
      <c r="M39" s="132">
        <f t="shared" si="19"/>
        <v>0</v>
      </c>
      <c r="N39" s="134">
        <f t="shared" si="6"/>
        <v>0</v>
      </c>
      <c r="O39" s="135">
        <f t="shared" si="12"/>
        <v>0</v>
      </c>
      <c r="P39" s="132" t="str">
        <f t="shared" si="23"/>
        <v/>
      </c>
      <c r="Q39" s="132" t="str">
        <f t="shared" si="17"/>
        <v/>
      </c>
      <c r="R39" s="132" t="str">
        <f>IF(ISNUMBER(SEARCH("AHO",Import2[[#This Row],[Tenure]])),"AHO",Import2[[#This Row],[Tenure]])&amp;Import2[[#This Row],[Expected Physical Completion Year]]&amp;Import2[[#This Row],[Expected Physical Completion Month]]</f>
        <v>Open market housing</v>
      </c>
      <c r="S39" s="135">
        <f t="shared" si="13"/>
        <v>0</v>
      </c>
      <c r="T39" s="132" t="str">
        <f t="shared" si="20"/>
        <v/>
      </c>
      <c r="U39" s="132" t="str">
        <f t="shared" si="20"/>
        <v/>
      </c>
      <c r="V39" s="132" t="str">
        <f>IF(ISNUMBER(SEARCH("AHO",Import2[[#This Row],[Tenure]])),"AHO",Import2[[#This Row],[Tenure]])&amp;Import2[[#This Row],[Expected sale completion year]]&amp;Import2[[#This Row],[Expected sale completion month]]</f>
        <v>Open market housing</v>
      </c>
      <c r="W39" s="178">
        <f t="shared" si="24"/>
        <v>0</v>
      </c>
    </row>
    <row r="40" spans="1:23" ht="15.5">
      <c r="A40" s="132">
        <f t="shared" si="0"/>
        <v>0</v>
      </c>
      <c r="B40" s="133">
        <v>37</v>
      </c>
      <c r="C40" s="132" t="str">
        <f t="shared" si="1"/>
        <v/>
      </c>
      <c r="D40" s="132">
        <f t="shared" si="18"/>
        <v>0</v>
      </c>
      <c r="E40" s="132">
        <f t="shared" si="9"/>
        <v>0</v>
      </c>
      <c r="F40" s="132">
        <f t="shared" si="2"/>
        <v>0</v>
      </c>
      <c r="G40" s="132" t="str">
        <f t="shared" si="18"/>
        <v>Open market housing</v>
      </c>
      <c r="H40" s="132">
        <f t="shared" si="3"/>
        <v>896440000</v>
      </c>
      <c r="I40" s="132" t="str">
        <f t="shared" si="21"/>
        <v>New build</v>
      </c>
      <c r="J40" s="132">
        <f t="shared" si="4"/>
        <v>391930000</v>
      </c>
      <c r="K40" s="132">
        <f t="shared" si="22"/>
        <v>0</v>
      </c>
      <c r="L40" s="132">
        <f t="shared" si="5"/>
        <v>0</v>
      </c>
      <c r="M40" s="132">
        <f t="shared" si="19"/>
        <v>0</v>
      </c>
      <c r="N40" s="134">
        <f t="shared" si="6"/>
        <v>0</v>
      </c>
      <c r="O40" s="135">
        <f t="shared" si="12"/>
        <v>0</v>
      </c>
      <c r="P40" s="132" t="str">
        <f t="shared" si="23"/>
        <v/>
      </c>
      <c r="Q40" s="132" t="str">
        <f t="shared" si="17"/>
        <v/>
      </c>
      <c r="R40" s="132" t="str">
        <f>IF(ISNUMBER(SEARCH("AHO",Import2[[#This Row],[Tenure]])),"AHO",Import2[[#This Row],[Tenure]])&amp;Import2[[#This Row],[Expected Physical Completion Year]]&amp;Import2[[#This Row],[Expected Physical Completion Month]]</f>
        <v>Open market housing</v>
      </c>
      <c r="S40" s="135">
        <f t="shared" si="13"/>
        <v>0</v>
      </c>
      <c r="T40" s="132" t="str">
        <f t="shared" si="20"/>
        <v/>
      </c>
      <c r="U40" s="132" t="str">
        <f t="shared" si="20"/>
        <v/>
      </c>
      <c r="V40" s="132" t="str">
        <f>IF(ISNUMBER(SEARCH("AHO",Import2[[#This Row],[Tenure]])),"AHO",Import2[[#This Row],[Tenure]])&amp;Import2[[#This Row],[Expected sale completion year]]&amp;Import2[[#This Row],[Expected sale completion month]]</f>
        <v>Open market housing</v>
      </c>
      <c r="W40" s="178">
        <f t="shared" si="24"/>
        <v>0</v>
      </c>
    </row>
    <row r="41" spans="1:23" ht="15.5">
      <c r="A41" s="132">
        <f t="shared" si="0"/>
        <v>0</v>
      </c>
      <c r="B41" s="133">
        <v>38</v>
      </c>
      <c r="C41" s="132" t="str">
        <f t="shared" si="1"/>
        <v/>
      </c>
      <c r="D41" s="132">
        <f t="shared" si="18"/>
        <v>0</v>
      </c>
      <c r="E41" s="132">
        <f t="shared" si="9"/>
        <v>0</v>
      </c>
      <c r="F41" s="132">
        <f t="shared" si="2"/>
        <v>0</v>
      </c>
      <c r="G41" s="132" t="str">
        <f t="shared" si="18"/>
        <v>Open market housing</v>
      </c>
      <c r="H41" s="132">
        <f t="shared" si="3"/>
        <v>896440000</v>
      </c>
      <c r="I41" s="132" t="str">
        <f t="shared" si="21"/>
        <v>New build</v>
      </c>
      <c r="J41" s="132">
        <f t="shared" si="4"/>
        <v>391930000</v>
      </c>
      <c r="K41" s="132">
        <f t="shared" si="22"/>
        <v>0</v>
      </c>
      <c r="L41" s="132">
        <f t="shared" si="5"/>
        <v>0</v>
      </c>
      <c r="M41" s="132">
        <f t="shared" si="19"/>
        <v>0</v>
      </c>
      <c r="N41" s="134">
        <f t="shared" si="6"/>
        <v>0</v>
      </c>
      <c r="O41" s="135">
        <f t="shared" si="12"/>
        <v>0</v>
      </c>
      <c r="P41" s="132" t="str">
        <f t="shared" si="23"/>
        <v/>
      </c>
      <c r="Q41" s="132" t="str">
        <f t="shared" si="17"/>
        <v/>
      </c>
      <c r="R41" s="132" t="str">
        <f>IF(ISNUMBER(SEARCH("AHO",Import2[[#This Row],[Tenure]])),"AHO",Import2[[#This Row],[Tenure]])&amp;Import2[[#This Row],[Expected Physical Completion Year]]&amp;Import2[[#This Row],[Expected Physical Completion Month]]</f>
        <v>Open market housing</v>
      </c>
      <c r="S41" s="135">
        <f t="shared" si="13"/>
        <v>0</v>
      </c>
      <c r="T41" s="132" t="str">
        <f t="shared" si="20"/>
        <v/>
      </c>
      <c r="U41" s="132" t="str">
        <f t="shared" si="20"/>
        <v/>
      </c>
      <c r="V41" s="132" t="str">
        <f>IF(ISNUMBER(SEARCH("AHO",Import2[[#This Row],[Tenure]])),"AHO",Import2[[#This Row],[Tenure]])&amp;Import2[[#This Row],[Expected sale completion year]]&amp;Import2[[#This Row],[Expected sale completion month]]</f>
        <v>Open market housing</v>
      </c>
      <c r="W41" s="178">
        <f t="shared" si="24"/>
        <v>0</v>
      </c>
    </row>
    <row r="42" spans="1:23" ht="15.5">
      <c r="A42" s="132">
        <f t="shared" si="0"/>
        <v>0</v>
      </c>
      <c r="B42" s="133">
        <v>39</v>
      </c>
      <c r="C42" s="132" t="str">
        <f t="shared" si="1"/>
        <v/>
      </c>
      <c r="D42" s="132">
        <f t="shared" si="18"/>
        <v>0</v>
      </c>
      <c r="E42" s="132">
        <f t="shared" si="9"/>
        <v>0</v>
      </c>
      <c r="F42" s="132">
        <f t="shared" si="2"/>
        <v>0</v>
      </c>
      <c r="G42" s="132" t="str">
        <f t="shared" si="18"/>
        <v>Open market housing</v>
      </c>
      <c r="H42" s="132">
        <f t="shared" si="3"/>
        <v>896440000</v>
      </c>
      <c r="I42" s="132" t="str">
        <f t="shared" si="21"/>
        <v>New build</v>
      </c>
      <c r="J42" s="132">
        <f t="shared" si="4"/>
        <v>391930000</v>
      </c>
      <c r="K42" s="132">
        <f t="shared" si="22"/>
        <v>0</v>
      </c>
      <c r="L42" s="132">
        <f t="shared" si="5"/>
        <v>0</v>
      </c>
      <c r="M42" s="132">
        <f t="shared" si="19"/>
        <v>0</v>
      </c>
      <c r="N42" s="134">
        <f t="shared" si="6"/>
        <v>0</v>
      </c>
      <c r="O42" s="135">
        <f t="shared" si="12"/>
        <v>0</v>
      </c>
      <c r="P42" s="132" t="str">
        <f t="shared" si="23"/>
        <v/>
      </c>
      <c r="Q42" s="132" t="str">
        <f t="shared" si="17"/>
        <v/>
      </c>
      <c r="R42" s="132" t="str">
        <f>IF(ISNUMBER(SEARCH("AHO",Import2[[#This Row],[Tenure]])),"AHO",Import2[[#This Row],[Tenure]])&amp;Import2[[#This Row],[Expected Physical Completion Year]]&amp;Import2[[#This Row],[Expected Physical Completion Month]]</f>
        <v>Open market housing</v>
      </c>
      <c r="S42" s="135">
        <f t="shared" si="13"/>
        <v>0</v>
      </c>
      <c r="T42" s="132" t="str">
        <f t="shared" si="20"/>
        <v/>
      </c>
      <c r="U42" s="132" t="str">
        <f t="shared" si="20"/>
        <v/>
      </c>
      <c r="V42" s="132" t="str">
        <f>IF(ISNUMBER(SEARCH("AHO",Import2[[#This Row],[Tenure]])),"AHO",Import2[[#This Row],[Tenure]])&amp;Import2[[#This Row],[Expected sale completion year]]&amp;Import2[[#This Row],[Expected sale completion month]]</f>
        <v>Open market housing</v>
      </c>
      <c r="W42" s="178">
        <f t="shared" si="24"/>
        <v>0</v>
      </c>
    </row>
    <row r="43" spans="1:23" ht="15.5">
      <c r="A43" s="132">
        <f t="shared" si="0"/>
        <v>0</v>
      </c>
      <c r="B43" s="133">
        <v>40</v>
      </c>
      <c r="C43" s="132" t="str">
        <f t="shared" si="1"/>
        <v/>
      </c>
      <c r="D43" s="132">
        <f t="shared" si="18"/>
        <v>0</v>
      </c>
      <c r="E43" s="132">
        <f t="shared" si="9"/>
        <v>0</v>
      </c>
      <c r="F43" s="132">
        <f t="shared" si="2"/>
        <v>0</v>
      </c>
      <c r="G43" s="132" t="str">
        <f t="shared" si="18"/>
        <v>Open market housing</v>
      </c>
      <c r="H43" s="132">
        <f t="shared" si="3"/>
        <v>896440000</v>
      </c>
      <c r="I43" s="132" t="str">
        <f t="shared" si="21"/>
        <v>New build</v>
      </c>
      <c r="J43" s="132">
        <f t="shared" si="4"/>
        <v>391930000</v>
      </c>
      <c r="K43" s="132">
        <f t="shared" si="22"/>
        <v>0</v>
      </c>
      <c r="L43" s="132">
        <f t="shared" si="5"/>
        <v>0</v>
      </c>
      <c r="M43" s="132">
        <f t="shared" si="19"/>
        <v>0</v>
      </c>
      <c r="N43" s="134">
        <f t="shared" si="6"/>
        <v>0</v>
      </c>
      <c r="O43" s="135">
        <f t="shared" si="12"/>
        <v>0</v>
      </c>
      <c r="P43" s="132" t="str">
        <f t="shared" si="23"/>
        <v/>
      </c>
      <c r="Q43" s="132" t="str">
        <f t="shared" si="17"/>
        <v/>
      </c>
      <c r="R43" s="132" t="str">
        <f>IF(ISNUMBER(SEARCH("AHO",Import2[[#This Row],[Tenure]])),"AHO",Import2[[#This Row],[Tenure]])&amp;Import2[[#This Row],[Expected Physical Completion Year]]&amp;Import2[[#This Row],[Expected Physical Completion Month]]</f>
        <v>Open market housing</v>
      </c>
      <c r="S43" s="135">
        <f t="shared" si="13"/>
        <v>0</v>
      </c>
      <c r="T43" s="132" t="str">
        <f t="shared" si="20"/>
        <v/>
      </c>
      <c r="U43" s="132" t="str">
        <f t="shared" si="20"/>
        <v/>
      </c>
      <c r="V43" s="132" t="str">
        <f>IF(ISNUMBER(SEARCH("AHO",Import2[[#This Row],[Tenure]])),"AHO",Import2[[#This Row],[Tenure]])&amp;Import2[[#This Row],[Expected sale completion year]]&amp;Import2[[#This Row],[Expected sale completion month]]</f>
        <v>Open market housing</v>
      </c>
      <c r="W43" s="178">
        <f t="shared" si="24"/>
        <v>0</v>
      </c>
    </row>
    <row r="44" spans="1:23" ht="15.5">
      <c r="A44" s="132">
        <f t="shared" si="0"/>
        <v>0</v>
      </c>
      <c r="B44" s="133">
        <v>41</v>
      </c>
      <c r="C44" s="132" t="str">
        <f t="shared" si="1"/>
        <v/>
      </c>
      <c r="D44" s="132">
        <f t="shared" ref="D44:G63" si="25">INDEX(PlotData,MATCH($B44,PlotNumber,0),MATCH(D$3,PlotTitles,0))</f>
        <v>0</v>
      </c>
      <c r="E44" s="132">
        <f t="shared" si="9"/>
        <v>0</v>
      </c>
      <c r="F44" s="132">
        <f t="shared" si="2"/>
        <v>0</v>
      </c>
      <c r="G44" s="132" t="str">
        <f t="shared" si="25"/>
        <v>Open market housing</v>
      </c>
      <c r="H44" s="132">
        <f t="shared" si="3"/>
        <v>896440000</v>
      </c>
      <c r="I44" s="132" t="str">
        <f t="shared" si="21"/>
        <v>New build</v>
      </c>
      <c r="J44" s="132">
        <f t="shared" si="4"/>
        <v>391930000</v>
      </c>
      <c r="K44" s="132">
        <f t="shared" si="22"/>
        <v>0</v>
      </c>
      <c r="L44" s="132">
        <f t="shared" si="5"/>
        <v>0</v>
      </c>
      <c r="M44" s="132">
        <f t="shared" ref="M44:M63" si="26">INDEX(PlotData,MATCH($B44,PlotNumber,0),MATCH(M$3,PlotTitles,0))</f>
        <v>0</v>
      </c>
      <c r="N44" s="134">
        <f t="shared" si="6"/>
        <v>0</v>
      </c>
      <c r="O44" s="135">
        <f t="shared" si="12"/>
        <v>0</v>
      </c>
      <c r="P44" s="132" t="str">
        <f t="shared" si="23"/>
        <v/>
      </c>
      <c r="Q44" s="132" t="str">
        <f t="shared" si="17"/>
        <v/>
      </c>
      <c r="R44" s="132" t="str">
        <f>IF(ISNUMBER(SEARCH("AHO",Import2[[#This Row],[Tenure]])),"AHO",Import2[[#This Row],[Tenure]])&amp;Import2[[#This Row],[Expected Physical Completion Year]]&amp;Import2[[#This Row],[Expected Physical Completion Month]]</f>
        <v>Open market housing</v>
      </c>
      <c r="S44" s="135">
        <f t="shared" si="13"/>
        <v>0</v>
      </c>
      <c r="T44" s="132" t="str">
        <f t="shared" ref="T44:U63" si="27">IF(INDEX(PlotData,MATCH($B44,PlotNumber,0),MATCH(T$3,PlotTitles,0))=0,"",INDEX(PlotData,MATCH($B44,PlotNumber,0),MATCH(T$3,PlotTitles,0)))</f>
        <v/>
      </c>
      <c r="U44" s="132" t="str">
        <f t="shared" si="27"/>
        <v/>
      </c>
      <c r="V44" s="132" t="str">
        <f>IF(ISNUMBER(SEARCH("AHO",Import2[[#This Row],[Tenure]])),"AHO",Import2[[#This Row],[Tenure]])&amp;Import2[[#This Row],[Expected sale completion year]]&amp;Import2[[#This Row],[Expected sale completion month]]</f>
        <v>Open market housing</v>
      </c>
      <c r="W44" s="178">
        <f t="shared" si="24"/>
        <v>0</v>
      </c>
    </row>
    <row r="45" spans="1:23" ht="15.5">
      <c r="A45" s="132">
        <f t="shared" si="0"/>
        <v>0</v>
      </c>
      <c r="B45" s="133">
        <v>42</v>
      </c>
      <c r="C45" s="132" t="str">
        <f t="shared" si="1"/>
        <v/>
      </c>
      <c r="D45" s="132">
        <f t="shared" si="25"/>
        <v>0</v>
      </c>
      <c r="E45" s="132">
        <f t="shared" si="9"/>
        <v>0</v>
      </c>
      <c r="F45" s="132">
        <f t="shared" si="2"/>
        <v>0</v>
      </c>
      <c r="G45" s="132" t="str">
        <f t="shared" si="25"/>
        <v>Open market housing</v>
      </c>
      <c r="H45" s="132">
        <f t="shared" si="3"/>
        <v>896440000</v>
      </c>
      <c r="I45" s="132" t="str">
        <f t="shared" si="21"/>
        <v>New build</v>
      </c>
      <c r="J45" s="132">
        <f t="shared" si="4"/>
        <v>391930000</v>
      </c>
      <c r="K45" s="132">
        <f t="shared" si="22"/>
        <v>0</v>
      </c>
      <c r="L45" s="132">
        <f t="shared" si="5"/>
        <v>0</v>
      </c>
      <c r="M45" s="132">
        <f t="shared" si="26"/>
        <v>0</v>
      </c>
      <c r="N45" s="134">
        <f t="shared" si="6"/>
        <v>0</v>
      </c>
      <c r="O45" s="135">
        <f t="shared" si="12"/>
        <v>0</v>
      </c>
      <c r="P45" s="132" t="str">
        <f t="shared" si="23"/>
        <v/>
      </c>
      <c r="Q45" s="132" t="str">
        <f t="shared" si="17"/>
        <v/>
      </c>
      <c r="R45" s="132" t="str">
        <f>IF(ISNUMBER(SEARCH("AHO",Import2[[#This Row],[Tenure]])),"AHO",Import2[[#This Row],[Tenure]])&amp;Import2[[#This Row],[Expected Physical Completion Year]]&amp;Import2[[#This Row],[Expected Physical Completion Month]]</f>
        <v>Open market housing</v>
      </c>
      <c r="S45" s="135">
        <f t="shared" si="13"/>
        <v>0</v>
      </c>
      <c r="T45" s="132" t="str">
        <f t="shared" si="27"/>
        <v/>
      </c>
      <c r="U45" s="132" t="str">
        <f t="shared" si="27"/>
        <v/>
      </c>
      <c r="V45" s="132" t="str">
        <f>IF(ISNUMBER(SEARCH("AHO",Import2[[#This Row],[Tenure]])),"AHO",Import2[[#This Row],[Tenure]])&amp;Import2[[#This Row],[Expected sale completion year]]&amp;Import2[[#This Row],[Expected sale completion month]]</f>
        <v>Open market housing</v>
      </c>
      <c r="W45" s="178">
        <f t="shared" si="24"/>
        <v>0</v>
      </c>
    </row>
    <row r="46" spans="1:23" ht="15.5">
      <c r="A46" s="132">
        <f t="shared" si="0"/>
        <v>0</v>
      </c>
      <c r="B46" s="133">
        <v>43</v>
      </c>
      <c r="C46" s="132" t="str">
        <f t="shared" si="1"/>
        <v/>
      </c>
      <c r="D46" s="132">
        <f t="shared" si="25"/>
        <v>0</v>
      </c>
      <c r="E46" s="132">
        <f t="shared" si="9"/>
        <v>0</v>
      </c>
      <c r="F46" s="132">
        <f t="shared" si="2"/>
        <v>0</v>
      </c>
      <c r="G46" s="132" t="str">
        <f t="shared" si="25"/>
        <v>Open market housing</v>
      </c>
      <c r="H46" s="132">
        <f t="shared" si="3"/>
        <v>896440000</v>
      </c>
      <c r="I46" s="132" t="str">
        <f t="shared" si="21"/>
        <v>New build</v>
      </c>
      <c r="J46" s="132">
        <f t="shared" si="4"/>
        <v>391930000</v>
      </c>
      <c r="K46" s="132">
        <f t="shared" si="22"/>
        <v>0</v>
      </c>
      <c r="L46" s="132">
        <f t="shared" si="5"/>
        <v>0</v>
      </c>
      <c r="M46" s="132">
        <f t="shared" si="26"/>
        <v>0</v>
      </c>
      <c r="N46" s="134">
        <f t="shared" si="6"/>
        <v>0</v>
      </c>
      <c r="O46" s="135">
        <f t="shared" si="12"/>
        <v>0</v>
      </c>
      <c r="P46" s="132" t="str">
        <f t="shared" si="23"/>
        <v/>
      </c>
      <c r="Q46" s="132" t="str">
        <f t="shared" si="17"/>
        <v/>
      </c>
      <c r="R46" s="132" t="str">
        <f>IF(ISNUMBER(SEARCH("AHO",Import2[[#This Row],[Tenure]])),"AHO",Import2[[#This Row],[Tenure]])&amp;Import2[[#This Row],[Expected Physical Completion Year]]&amp;Import2[[#This Row],[Expected Physical Completion Month]]</f>
        <v>Open market housing</v>
      </c>
      <c r="S46" s="135">
        <f t="shared" si="13"/>
        <v>0</v>
      </c>
      <c r="T46" s="132" t="str">
        <f t="shared" si="27"/>
        <v/>
      </c>
      <c r="U46" s="132" t="str">
        <f t="shared" si="27"/>
        <v/>
      </c>
      <c r="V46" s="132" t="str">
        <f>IF(ISNUMBER(SEARCH("AHO",Import2[[#This Row],[Tenure]])),"AHO",Import2[[#This Row],[Tenure]])&amp;Import2[[#This Row],[Expected sale completion year]]&amp;Import2[[#This Row],[Expected sale completion month]]</f>
        <v>Open market housing</v>
      </c>
      <c r="W46" s="178">
        <f t="shared" si="24"/>
        <v>0</v>
      </c>
    </row>
    <row r="47" spans="1:23" ht="15.5">
      <c r="A47" s="132">
        <f t="shared" si="0"/>
        <v>0</v>
      </c>
      <c r="B47" s="133">
        <v>44</v>
      </c>
      <c r="C47" s="132" t="str">
        <f t="shared" si="1"/>
        <v/>
      </c>
      <c r="D47" s="132">
        <f t="shared" si="25"/>
        <v>0</v>
      </c>
      <c r="E47" s="132">
        <f t="shared" si="9"/>
        <v>0</v>
      </c>
      <c r="F47" s="132">
        <f t="shared" si="2"/>
        <v>0</v>
      </c>
      <c r="G47" s="132" t="str">
        <f t="shared" si="25"/>
        <v>Open market housing</v>
      </c>
      <c r="H47" s="132">
        <f t="shared" si="3"/>
        <v>896440000</v>
      </c>
      <c r="I47" s="132" t="str">
        <f t="shared" si="21"/>
        <v>New build</v>
      </c>
      <c r="J47" s="132">
        <f t="shared" si="4"/>
        <v>391930000</v>
      </c>
      <c r="K47" s="132">
        <f t="shared" si="22"/>
        <v>0</v>
      </c>
      <c r="L47" s="132">
        <f t="shared" si="5"/>
        <v>0</v>
      </c>
      <c r="M47" s="132">
        <f t="shared" si="26"/>
        <v>0</v>
      </c>
      <c r="N47" s="134">
        <f t="shared" si="6"/>
        <v>0</v>
      </c>
      <c r="O47" s="135">
        <f t="shared" si="12"/>
        <v>0</v>
      </c>
      <c r="P47" s="132" t="str">
        <f t="shared" si="23"/>
        <v/>
      </c>
      <c r="Q47" s="132" t="str">
        <f t="shared" si="17"/>
        <v/>
      </c>
      <c r="R47" s="132" t="str">
        <f>IF(ISNUMBER(SEARCH("AHO",Import2[[#This Row],[Tenure]])),"AHO",Import2[[#This Row],[Tenure]])&amp;Import2[[#This Row],[Expected Physical Completion Year]]&amp;Import2[[#This Row],[Expected Physical Completion Month]]</f>
        <v>Open market housing</v>
      </c>
      <c r="S47" s="135">
        <f t="shared" si="13"/>
        <v>0</v>
      </c>
      <c r="T47" s="132" t="str">
        <f t="shared" si="27"/>
        <v/>
      </c>
      <c r="U47" s="132" t="str">
        <f t="shared" si="27"/>
        <v/>
      </c>
      <c r="V47" s="132" t="str">
        <f>IF(ISNUMBER(SEARCH("AHO",Import2[[#This Row],[Tenure]])),"AHO",Import2[[#This Row],[Tenure]])&amp;Import2[[#This Row],[Expected sale completion year]]&amp;Import2[[#This Row],[Expected sale completion month]]</f>
        <v>Open market housing</v>
      </c>
      <c r="W47" s="178">
        <f t="shared" si="24"/>
        <v>0</v>
      </c>
    </row>
    <row r="48" spans="1:23" ht="15.5">
      <c r="A48" s="132">
        <f t="shared" si="0"/>
        <v>0</v>
      </c>
      <c r="B48" s="133">
        <v>45</v>
      </c>
      <c r="C48" s="132" t="str">
        <f t="shared" si="1"/>
        <v/>
      </c>
      <c r="D48" s="132">
        <f t="shared" si="25"/>
        <v>0</v>
      </c>
      <c r="E48" s="132">
        <f t="shared" si="9"/>
        <v>0</v>
      </c>
      <c r="F48" s="132">
        <f t="shared" si="2"/>
        <v>0</v>
      </c>
      <c r="G48" s="132" t="str">
        <f t="shared" si="25"/>
        <v>Open market housing</v>
      </c>
      <c r="H48" s="132">
        <f t="shared" si="3"/>
        <v>896440000</v>
      </c>
      <c r="I48" s="132" t="str">
        <f t="shared" si="21"/>
        <v>New build</v>
      </c>
      <c r="J48" s="132">
        <f t="shared" si="4"/>
        <v>391930000</v>
      </c>
      <c r="K48" s="132">
        <f t="shared" si="22"/>
        <v>0</v>
      </c>
      <c r="L48" s="132">
        <f t="shared" si="5"/>
        <v>0</v>
      </c>
      <c r="M48" s="132">
        <f t="shared" si="26"/>
        <v>0</v>
      </c>
      <c r="N48" s="134">
        <f t="shared" si="6"/>
        <v>0</v>
      </c>
      <c r="O48" s="135">
        <f t="shared" si="12"/>
        <v>0</v>
      </c>
      <c r="P48" s="132" t="str">
        <f t="shared" si="23"/>
        <v/>
      </c>
      <c r="Q48" s="132" t="str">
        <f t="shared" si="17"/>
        <v/>
      </c>
      <c r="R48" s="132" t="str">
        <f>IF(ISNUMBER(SEARCH("AHO",Import2[[#This Row],[Tenure]])),"AHO",Import2[[#This Row],[Tenure]])&amp;Import2[[#This Row],[Expected Physical Completion Year]]&amp;Import2[[#This Row],[Expected Physical Completion Month]]</f>
        <v>Open market housing</v>
      </c>
      <c r="S48" s="135">
        <f t="shared" si="13"/>
        <v>0</v>
      </c>
      <c r="T48" s="132" t="str">
        <f t="shared" si="27"/>
        <v/>
      </c>
      <c r="U48" s="132" t="str">
        <f t="shared" si="27"/>
        <v/>
      </c>
      <c r="V48" s="132" t="str">
        <f>IF(ISNUMBER(SEARCH("AHO",Import2[[#This Row],[Tenure]])),"AHO",Import2[[#This Row],[Tenure]])&amp;Import2[[#This Row],[Expected sale completion year]]&amp;Import2[[#This Row],[Expected sale completion month]]</f>
        <v>Open market housing</v>
      </c>
      <c r="W48" s="178">
        <f t="shared" si="24"/>
        <v>0</v>
      </c>
    </row>
    <row r="49" spans="1:23" ht="15.5">
      <c r="A49" s="132">
        <f t="shared" si="0"/>
        <v>0</v>
      </c>
      <c r="B49" s="133">
        <v>46</v>
      </c>
      <c r="C49" s="132" t="str">
        <f t="shared" si="1"/>
        <v/>
      </c>
      <c r="D49" s="132">
        <f t="shared" si="25"/>
        <v>0</v>
      </c>
      <c r="E49" s="132">
        <f t="shared" si="9"/>
        <v>0</v>
      </c>
      <c r="F49" s="132">
        <f t="shared" si="2"/>
        <v>0</v>
      </c>
      <c r="G49" s="132" t="str">
        <f t="shared" si="25"/>
        <v>Open market housing</v>
      </c>
      <c r="H49" s="132">
        <f t="shared" si="3"/>
        <v>896440000</v>
      </c>
      <c r="I49" s="132" t="str">
        <f t="shared" si="21"/>
        <v>New build</v>
      </c>
      <c r="J49" s="132">
        <f t="shared" si="4"/>
        <v>391930000</v>
      </c>
      <c r="K49" s="132">
        <f t="shared" si="22"/>
        <v>0</v>
      </c>
      <c r="L49" s="132">
        <f t="shared" si="5"/>
        <v>0</v>
      </c>
      <c r="M49" s="132">
        <f t="shared" si="26"/>
        <v>0</v>
      </c>
      <c r="N49" s="134">
        <f t="shared" si="6"/>
        <v>0</v>
      </c>
      <c r="O49" s="135">
        <f t="shared" si="12"/>
        <v>0</v>
      </c>
      <c r="P49" s="132" t="str">
        <f t="shared" si="23"/>
        <v/>
      </c>
      <c r="Q49" s="132" t="str">
        <f t="shared" si="17"/>
        <v/>
      </c>
      <c r="R49" s="132" t="str">
        <f>IF(ISNUMBER(SEARCH("AHO",Import2[[#This Row],[Tenure]])),"AHO",Import2[[#This Row],[Tenure]])&amp;Import2[[#This Row],[Expected Physical Completion Year]]&amp;Import2[[#This Row],[Expected Physical Completion Month]]</f>
        <v>Open market housing</v>
      </c>
      <c r="S49" s="135">
        <f t="shared" si="13"/>
        <v>0</v>
      </c>
      <c r="T49" s="132" t="str">
        <f t="shared" si="27"/>
        <v/>
      </c>
      <c r="U49" s="132" t="str">
        <f t="shared" si="27"/>
        <v/>
      </c>
      <c r="V49" s="132" t="str">
        <f>IF(ISNUMBER(SEARCH("AHO",Import2[[#This Row],[Tenure]])),"AHO",Import2[[#This Row],[Tenure]])&amp;Import2[[#This Row],[Expected sale completion year]]&amp;Import2[[#This Row],[Expected sale completion month]]</f>
        <v>Open market housing</v>
      </c>
      <c r="W49" s="178">
        <f t="shared" si="24"/>
        <v>0</v>
      </c>
    </row>
    <row r="50" spans="1:23" ht="15.5">
      <c r="A50" s="132">
        <f t="shared" si="0"/>
        <v>0</v>
      </c>
      <c r="B50" s="133">
        <v>47</v>
      </c>
      <c r="C50" s="132" t="str">
        <f t="shared" si="1"/>
        <v/>
      </c>
      <c r="D50" s="132">
        <f t="shared" si="25"/>
        <v>0</v>
      </c>
      <c r="E50" s="132">
        <f t="shared" si="9"/>
        <v>0</v>
      </c>
      <c r="F50" s="132">
        <f t="shared" si="2"/>
        <v>0</v>
      </c>
      <c r="G50" s="132" t="str">
        <f t="shared" si="25"/>
        <v>Open market housing</v>
      </c>
      <c r="H50" s="132">
        <f t="shared" si="3"/>
        <v>896440000</v>
      </c>
      <c r="I50" s="132" t="str">
        <f t="shared" si="21"/>
        <v>New build</v>
      </c>
      <c r="J50" s="132">
        <f t="shared" si="4"/>
        <v>391930000</v>
      </c>
      <c r="K50" s="132">
        <f t="shared" si="22"/>
        <v>0</v>
      </c>
      <c r="L50" s="132">
        <f t="shared" si="5"/>
        <v>0</v>
      </c>
      <c r="M50" s="132">
        <f t="shared" si="26"/>
        <v>0</v>
      </c>
      <c r="N50" s="134">
        <f t="shared" si="6"/>
        <v>0</v>
      </c>
      <c r="O50" s="135">
        <f t="shared" si="12"/>
        <v>0</v>
      </c>
      <c r="P50" s="132" t="str">
        <f t="shared" si="23"/>
        <v/>
      </c>
      <c r="Q50" s="132" t="str">
        <f t="shared" si="17"/>
        <v/>
      </c>
      <c r="R50" s="132" t="str">
        <f>IF(ISNUMBER(SEARCH("AHO",Import2[[#This Row],[Tenure]])),"AHO",Import2[[#This Row],[Tenure]])&amp;Import2[[#This Row],[Expected Physical Completion Year]]&amp;Import2[[#This Row],[Expected Physical Completion Month]]</f>
        <v>Open market housing</v>
      </c>
      <c r="S50" s="135">
        <f t="shared" si="13"/>
        <v>0</v>
      </c>
      <c r="T50" s="132" t="str">
        <f t="shared" si="27"/>
        <v/>
      </c>
      <c r="U50" s="132" t="str">
        <f t="shared" si="27"/>
        <v/>
      </c>
      <c r="V50" s="132" t="str">
        <f>IF(ISNUMBER(SEARCH("AHO",Import2[[#This Row],[Tenure]])),"AHO",Import2[[#This Row],[Tenure]])&amp;Import2[[#This Row],[Expected sale completion year]]&amp;Import2[[#This Row],[Expected sale completion month]]</f>
        <v>Open market housing</v>
      </c>
      <c r="W50" s="178">
        <f t="shared" si="24"/>
        <v>0</v>
      </c>
    </row>
    <row r="51" spans="1:23" ht="15.5">
      <c r="A51" s="132">
        <f t="shared" si="0"/>
        <v>0</v>
      </c>
      <c r="B51" s="133">
        <v>48</v>
      </c>
      <c r="C51" s="132" t="str">
        <f t="shared" si="1"/>
        <v/>
      </c>
      <c r="D51" s="132">
        <f t="shared" si="25"/>
        <v>0</v>
      </c>
      <c r="E51" s="132">
        <f t="shared" si="9"/>
        <v>0</v>
      </c>
      <c r="F51" s="132">
        <f t="shared" si="2"/>
        <v>0</v>
      </c>
      <c r="G51" s="132" t="str">
        <f t="shared" si="25"/>
        <v>Open market housing</v>
      </c>
      <c r="H51" s="132">
        <f t="shared" si="3"/>
        <v>896440000</v>
      </c>
      <c r="I51" s="132" t="str">
        <f t="shared" si="21"/>
        <v>New build</v>
      </c>
      <c r="J51" s="132">
        <f t="shared" si="4"/>
        <v>391930000</v>
      </c>
      <c r="K51" s="132">
        <f t="shared" si="22"/>
        <v>0</v>
      </c>
      <c r="L51" s="132">
        <f t="shared" si="5"/>
        <v>0</v>
      </c>
      <c r="M51" s="132">
        <f t="shared" si="26"/>
        <v>0</v>
      </c>
      <c r="N51" s="134">
        <f t="shared" si="6"/>
        <v>0</v>
      </c>
      <c r="O51" s="135">
        <f t="shared" si="12"/>
        <v>0</v>
      </c>
      <c r="P51" s="132" t="str">
        <f t="shared" si="23"/>
        <v/>
      </c>
      <c r="Q51" s="132" t="str">
        <f t="shared" si="17"/>
        <v/>
      </c>
      <c r="R51" s="132" t="str">
        <f>IF(ISNUMBER(SEARCH("AHO",Import2[[#This Row],[Tenure]])),"AHO",Import2[[#This Row],[Tenure]])&amp;Import2[[#This Row],[Expected Physical Completion Year]]&amp;Import2[[#This Row],[Expected Physical Completion Month]]</f>
        <v>Open market housing</v>
      </c>
      <c r="S51" s="135">
        <f t="shared" si="13"/>
        <v>0</v>
      </c>
      <c r="T51" s="132" t="str">
        <f t="shared" si="27"/>
        <v/>
      </c>
      <c r="U51" s="132" t="str">
        <f t="shared" si="27"/>
        <v/>
      </c>
      <c r="V51" s="132" t="str">
        <f>IF(ISNUMBER(SEARCH("AHO",Import2[[#This Row],[Tenure]])),"AHO",Import2[[#This Row],[Tenure]])&amp;Import2[[#This Row],[Expected sale completion year]]&amp;Import2[[#This Row],[Expected sale completion month]]</f>
        <v>Open market housing</v>
      </c>
      <c r="W51" s="178">
        <f t="shared" si="24"/>
        <v>0</v>
      </c>
    </row>
    <row r="52" spans="1:23" ht="15.5">
      <c r="A52" s="132">
        <f t="shared" si="0"/>
        <v>0</v>
      </c>
      <c r="B52" s="133">
        <v>49</v>
      </c>
      <c r="C52" s="132" t="str">
        <f t="shared" si="1"/>
        <v/>
      </c>
      <c r="D52" s="132">
        <f t="shared" si="25"/>
        <v>0</v>
      </c>
      <c r="E52" s="132">
        <f t="shared" si="9"/>
        <v>0</v>
      </c>
      <c r="F52" s="132">
        <f t="shared" si="2"/>
        <v>0</v>
      </c>
      <c r="G52" s="132" t="str">
        <f t="shared" si="25"/>
        <v>Open market housing</v>
      </c>
      <c r="H52" s="132">
        <f t="shared" si="3"/>
        <v>896440000</v>
      </c>
      <c r="I52" s="132" t="str">
        <f t="shared" si="21"/>
        <v>New build</v>
      </c>
      <c r="J52" s="132">
        <f t="shared" si="4"/>
        <v>391930000</v>
      </c>
      <c r="K52" s="132">
        <f t="shared" si="22"/>
        <v>0</v>
      </c>
      <c r="L52" s="132">
        <f t="shared" si="5"/>
        <v>0</v>
      </c>
      <c r="M52" s="132">
        <f t="shared" si="26"/>
        <v>0</v>
      </c>
      <c r="N52" s="134">
        <f t="shared" si="6"/>
        <v>0</v>
      </c>
      <c r="O52" s="135">
        <f t="shared" si="12"/>
        <v>0</v>
      </c>
      <c r="P52" s="132" t="str">
        <f t="shared" si="23"/>
        <v/>
      </c>
      <c r="Q52" s="132" t="str">
        <f t="shared" si="17"/>
        <v/>
      </c>
      <c r="R52" s="132" t="str">
        <f>IF(ISNUMBER(SEARCH("AHO",Import2[[#This Row],[Tenure]])),"AHO",Import2[[#This Row],[Tenure]])&amp;Import2[[#This Row],[Expected Physical Completion Year]]&amp;Import2[[#This Row],[Expected Physical Completion Month]]</f>
        <v>Open market housing</v>
      </c>
      <c r="S52" s="135">
        <f t="shared" si="13"/>
        <v>0</v>
      </c>
      <c r="T52" s="132" t="str">
        <f t="shared" si="27"/>
        <v/>
      </c>
      <c r="U52" s="132" t="str">
        <f t="shared" si="27"/>
        <v/>
      </c>
      <c r="V52" s="132" t="str">
        <f>IF(ISNUMBER(SEARCH("AHO",Import2[[#This Row],[Tenure]])),"AHO",Import2[[#This Row],[Tenure]])&amp;Import2[[#This Row],[Expected sale completion year]]&amp;Import2[[#This Row],[Expected sale completion month]]</f>
        <v>Open market housing</v>
      </c>
      <c r="W52" s="178">
        <f t="shared" si="24"/>
        <v>0</v>
      </c>
    </row>
    <row r="53" spans="1:23" ht="15.5">
      <c r="A53" s="132">
        <f t="shared" si="0"/>
        <v>0</v>
      </c>
      <c r="B53" s="133">
        <v>50</v>
      </c>
      <c r="C53" s="132" t="str">
        <f t="shared" si="1"/>
        <v/>
      </c>
      <c r="D53" s="132">
        <f t="shared" si="25"/>
        <v>0</v>
      </c>
      <c r="E53" s="132">
        <f t="shared" si="9"/>
        <v>0</v>
      </c>
      <c r="F53" s="132">
        <f t="shared" si="2"/>
        <v>0</v>
      </c>
      <c r="G53" s="132" t="str">
        <f t="shared" si="25"/>
        <v>Open market housing</v>
      </c>
      <c r="H53" s="132">
        <f t="shared" si="3"/>
        <v>896440000</v>
      </c>
      <c r="I53" s="132" t="str">
        <f t="shared" si="21"/>
        <v>New build</v>
      </c>
      <c r="J53" s="132">
        <f t="shared" si="4"/>
        <v>391930000</v>
      </c>
      <c r="K53" s="132">
        <f t="shared" si="22"/>
        <v>0</v>
      </c>
      <c r="L53" s="132">
        <f t="shared" si="5"/>
        <v>0</v>
      </c>
      <c r="M53" s="132">
        <f t="shared" si="26"/>
        <v>0</v>
      </c>
      <c r="N53" s="134">
        <f t="shared" si="6"/>
        <v>0</v>
      </c>
      <c r="O53" s="135">
        <f t="shared" si="12"/>
        <v>0</v>
      </c>
      <c r="P53" s="132" t="str">
        <f t="shared" si="23"/>
        <v/>
      </c>
      <c r="Q53" s="132" t="str">
        <f t="shared" si="17"/>
        <v/>
      </c>
      <c r="R53" s="132" t="str">
        <f>IF(ISNUMBER(SEARCH("AHO",Import2[[#This Row],[Tenure]])),"AHO",Import2[[#This Row],[Tenure]])&amp;Import2[[#This Row],[Expected Physical Completion Year]]&amp;Import2[[#This Row],[Expected Physical Completion Month]]</f>
        <v>Open market housing</v>
      </c>
      <c r="S53" s="135">
        <f t="shared" si="13"/>
        <v>0</v>
      </c>
      <c r="T53" s="132" t="str">
        <f t="shared" si="27"/>
        <v/>
      </c>
      <c r="U53" s="132" t="str">
        <f t="shared" si="27"/>
        <v/>
      </c>
      <c r="V53" s="132" t="str">
        <f>IF(ISNUMBER(SEARCH("AHO",Import2[[#This Row],[Tenure]])),"AHO",Import2[[#This Row],[Tenure]])&amp;Import2[[#This Row],[Expected sale completion year]]&amp;Import2[[#This Row],[Expected sale completion month]]</f>
        <v>Open market housing</v>
      </c>
      <c r="W53" s="178">
        <f t="shared" si="24"/>
        <v>0</v>
      </c>
    </row>
    <row r="54" spans="1:23" ht="15.5">
      <c r="A54" s="132">
        <f t="shared" si="0"/>
        <v>0</v>
      </c>
      <c r="B54" s="133">
        <v>51</v>
      </c>
      <c r="C54" s="132" t="str">
        <f t="shared" si="1"/>
        <v/>
      </c>
      <c r="D54" s="132">
        <f t="shared" si="25"/>
        <v>0</v>
      </c>
      <c r="E54" s="132">
        <f t="shared" si="9"/>
        <v>0</v>
      </c>
      <c r="F54" s="132">
        <f t="shared" si="2"/>
        <v>0</v>
      </c>
      <c r="G54" s="132" t="str">
        <f t="shared" si="25"/>
        <v>Open market housing</v>
      </c>
      <c r="H54" s="132">
        <f t="shared" si="3"/>
        <v>896440000</v>
      </c>
      <c r="I54" s="132" t="str">
        <f t="shared" si="21"/>
        <v>New build</v>
      </c>
      <c r="J54" s="132">
        <f t="shared" si="4"/>
        <v>391930000</v>
      </c>
      <c r="K54" s="132">
        <f t="shared" si="22"/>
        <v>0</v>
      </c>
      <c r="L54" s="132">
        <f t="shared" si="5"/>
        <v>0</v>
      </c>
      <c r="M54" s="132">
        <f t="shared" si="26"/>
        <v>0</v>
      </c>
      <c r="N54" s="134">
        <f t="shared" si="6"/>
        <v>0</v>
      </c>
      <c r="O54" s="135">
        <f t="shared" si="12"/>
        <v>0</v>
      </c>
      <c r="P54" s="132" t="str">
        <f t="shared" si="23"/>
        <v/>
      </c>
      <c r="Q54" s="132" t="str">
        <f t="shared" si="17"/>
        <v/>
      </c>
      <c r="R54" s="132" t="str">
        <f>IF(ISNUMBER(SEARCH("AHO",Import2[[#This Row],[Tenure]])),"AHO",Import2[[#This Row],[Tenure]])&amp;Import2[[#This Row],[Expected Physical Completion Year]]&amp;Import2[[#This Row],[Expected Physical Completion Month]]</f>
        <v>Open market housing</v>
      </c>
      <c r="S54" s="135">
        <f t="shared" si="13"/>
        <v>0</v>
      </c>
      <c r="T54" s="132" t="str">
        <f t="shared" si="27"/>
        <v/>
      </c>
      <c r="U54" s="132" t="str">
        <f t="shared" si="27"/>
        <v/>
      </c>
      <c r="V54" s="132" t="str">
        <f>IF(ISNUMBER(SEARCH("AHO",Import2[[#This Row],[Tenure]])),"AHO",Import2[[#This Row],[Tenure]])&amp;Import2[[#This Row],[Expected sale completion year]]&amp;Import2[[#This Row],[Expected sale completion month]]</f>
        <v>Open market housing</v>
      </c>
      <c r="W54" s="178">
        <f t="shared" si="24"/>
        <v>0</v>
      </c>
    </row>
    <row r="55" spans="1:23" ht="15.5">
      <c r="A55" s="132">
        <f t="shared" si="0"/>
        <v>0</v>
      </c>
      <c r="B55" s="133">
        <v>52</v>
      </c>
      <c r="C55" s="132" t="str">
        <f t="shared" si="1"/>
        <v/>
      </c>
      <c r="D55" s="132">
        <f t="shared" si="25"/>
        <v>0</v>
      </c>
      <c r="E55" s="132">
        <f t="shared" si="9"/>
        <v>0</v>
      </c>
      <c r="F55" s="132">
        <f t="shared" si="2"/>
        <v>0</v>
      </c>
      <c r="G55" s="132" t="str">
        <f t="shared" si="25"/>
        <v>Open market housing</v>
      </c>
      <c r="H55" s="132">
        <f t="shared" si="3"/>
        <v>896440000</v>
      </c>
      <c r="I55" s="132" t="str">
        <f t="shared" si="21"/>
        <v>New build</v>
      </c>
      <c r="J55" s="132">
        <f t="shared" si="4"/>
        <v>391930000</v>
      </c>
      <c r="K55" s="132">
        <f t="shared" si="22"/>
        <v>0</v>
      </c>
      <c r="L55" s="132">
        <f t="shared" si="5"/>
        <v>0</v>
      </c>
      <c r="M55" s="132">
        <f t="shared" si="26"/>
        <v>0</v>
      </c>
      <c r="N55" s="134">
        <f t="shared" si="6"/>
        <v>0</v>
      </c>
      <c r="O55" s="135">
        <f t="shared" si="12"/>
        <v>0</v>
      </c>
      <c r="P55" s="132" t="str">
        <f t="shared" si="23"/>
        <v/>
      </c>
      <c r="Q55" s="132" t="str">
        <f t="shared" si="17"/>
        <v/>
      </c>
      <c r="R55" s="132" t="str">
        <f>IF(ISNUMBER(SEARCH("AHO",Import2[[#This Row],[Tenure]])),"AHO",Import2[[#This Row],[Tenure]])&amp;Import2[[#This Row],[Expected Physical Completion Year]]&amp;Import2[[#This Row],[Expected Physical Completion Month]]</f>
        <v>Open market housing</v>
      </c>
      <c r="S55" s="135">
        <f t="shared" si="13"/>
        <v>0</v>
      </c>
      <c r="T55" s="132" t="str">
        <f t="shared" si="27"/>
        <v/>
      </c>
      <c r="U55" s="132" t="str">
        <f t="shared" si="27"/>
        <v/>
      </c>
      <c r="V55" s="132" t="str">
        <f>IF(ISNUMBER(SEARCH("AHO",Import2[[#This Row],[Tenure]])),"AHO",Import2[[#This Row],[Tenure]])&amp;Import2[[#This Row],[Expected sale completion year]]&amp;Import2[[#This Row],[Expected sale completion month]]</f>
        <v>Open market housing</v>
      </c>
      <c r="W55" s="178">
        <f t="shared" si="24"/>
        <v>0</v>
      </c>
    </row>
    <row r="56" spans="1:23" ht="15.5">
      <c r="A56" s="132">
        <f t="shared" si="0"/>
        <v>0</v>
      </c>
      <c r="B56" s="133">
        <v>53</v>
      </c>
      <c r="C56" s="132" t="str">
        <f t="shared" si="1"/>
        <v/>
      </c>
      <c r="D56" s="132">
        <f t="shared" si="25"/>
        <v>0</v>
      </c>
      <c r="E56" s="132">
        <f t="shared" si="9"/>
        <v>0</v>
      </c>
      <c r="F56" s="132">
        <f t="shared" si="2"/>
        <v>0</v>
      </c>
      <c r="G56" s="132" t="str">
        <f t="shared" si="25"/>
        <v>Open market housing</v>
      </c>
      <c r="H56" s="132">
        <f t="shared" si="3"/>
        <v>896440000</v>
      </c>
      <c r="I56" s="132" t="str">
        <f t="shared" si="21"/>
        <v>New build</v>
      </c>
      <c r="J56" s="132">
        <f t="shared" si="4"/>
        <v>391930000</v>
      </c>
      <c r="K56" s="132">
        <f t="shared" si="22"/>
        <v>0</v>
      </c>
      <c r="L56" s="132">
        <f t="shared" si="5"/>
        <v>0</v>
      </c>
      <c r="M56" s="132">
        <f t="shared" si="26"/>
        <v>0</v>
      </c>
      <c r="N56" s="134">
        <f t="shared" si="6"/>
        <v>0</v>
      </c>
      <c r="O56" s="135">
        <f t="shared" si="12"/>
        <v>0</v>
      </c>
      <c r="P56" s="132" t="str">
        <f t="shared" si="23"/>
        <v/>
      </c>
      <c r="Q56" s="132" t="str">
        <f t="shared" si="17"/>
        <v/>
      </c>
      <c r="R56" s="132" t="str">
        <f>IF(ISNUMBER(SEARCH("AHO",Import2[[#This Row],[Tenure]])),"AHO",Import2[[#This Row],[Tenure]])&amp;Import2[[#This Row],[Expected Physical Completion Year]]&amp;Import2[[#This Row],[Expected Physical Completion Month]]</f>
        <v>Open market housing</v>
      </c>
      <c r="S56" s="135">
        <f t="shared" si="13"/>
        <v>0</v>
      </c>
      <c r="T56" s="132" t="str">
        <f t="shared" si="27"/>
        <v/>
      </c>
      <c r="U56" s="132" t="str">
        <f t="shared" si="27"/>
        <v/>
      </c>
      <c r="V56" s="132" t="str">
        <f>IF(ISNUMBER(SEARCH("AHO",Import2[[#This Row],[Tenure]])),"AHO",Import2[[#This Row],[Tenure]])&amp;Import2[[#This Row],[Expected sale completion year]]&amp;Import2[[#This Row],[Expected sale completion month]]</f>
        <v>Open market housing</v>
      </c>
      <c r="W56" s="178">
        <f t="shared" si="24"/>
        <v>0</v>
      </c>
    </row>
    <row r="57" spans="1:23" ht="15.5">
      <c r="A57" s="132">
        <f t="shared" si="0"/>
        <v>0</v>
      </c>
      <c r="B57" s="133">
        <v>54</v>
      </c>
      <c r="C57" s="132" t="str">
        <f t="shared" si="1"/>
        <v/>
      </c>
      <c r="D57" s="132">
        <f t="shared" si="25"/>
        <v>0</v>
      </c>
      <c r="E57" s="132">
        <f t="shared" si="9"/>
        <v>0</v>
      </c>
      <c r="F57" s="132">
        <f t="shared" si="2"/>
        <v>0</v>
      </c>
      <c r="G57" s="132" t="str">
        <f t="shared" si="25"/>
        <v>Open market housing</v>
      </c>
      <c r="H57" s="132">
        <f t="shared" si="3"/>
        <v>896440000</v>
      </c>
      <c r="I57" s="132" t="str">
        <f t="shared" si="21"/>
        <v>New build</v>
      </c>
      <c r="J57" s="132">
        <f t="shared" si="4"/>
        <v>391930000</v>
      </c>
      <c r="K57" s="132">
        <f t="shared" si="22"/>
        <v>0</v>
      </c>
      <c r="L57" s="132">
        <f t="shared" si="5"/>
        <v>0</v>
      </c>
      <c r="M57" s="132">
        <f t="shared" si="26"/>
        <v>0</v>
      </c>
      <c r="N57" s="134">
        <f t="shared" si="6"/>
        <v>0</v>
      </c>
      <c r="O57" s="135">
        <f t="shared" si="12"/>
        <v>0</v>
      </c>
      <c r="P57" s="132" t="str">
        <f t="shared" si="23"/>
        <v/>
      </c>
      <c r="Q57" s="132" t="str">
        <f t="shared" si="17"/>
        <v/>
      </c>
      <c r="R57" s="132" t="str">
        <f>IF(ISNUMBER(SEARCH("AHO",Import2[[#This Row],[Tenure]])),"AHO",Import2[[#This Row],[Tenure]])&amp;Import2[[#This Row],[Expected Physical Completion Year]]&amp;Import2[[#This Row],[Expected Physical Completion Month]]</f>
        <v>Open market housing</v>
      </c>
      <c r="S57" s="135">
        <f t="shared" si="13"/>
        <v>0</v>
      </c>
      <c r="T57" s="132" t="str">
        <f t="shared" si="27"/>
        <v/>
      </c>
      <c r="U57" s="132" t="str">
        <f t="shared" si="27"/>
        <v/>
      </c>
      <c r="V57" s="132" t="str">
        <f>IF(ISNUMBER(SEARCH("AHO",Import2[[#This Row],[Tenure]])),"AHO",Import2[[#This Row],[Tenure]])&amp;Import2[[#This Row],[Expected sale completion year]]&amp;Import2[[#This Row],[Expected sale completion month]]</f>
        <v>Open market housing</v>
      </c>
      <c r="W57" s="178">
        <f t="shared" si="24"/>
        <v>0</v>
      </c>
    </row>
    <row r="58" spans="1:23" ht="15.5">
      <c r="A58" s="132">
        <f t="shared" si="0"/>
        <v>0</v>
      </c>
      <c r="B58" s="133">
        <v>55</v>
      </c>
      <c r="C58" s="132" t="str">
        <f t="shared" si="1"/>
        <v/>
      </c>
      <c r="D58" s="132">
        <f t="shared" si="25"/>
        <v>0</v>
      </c>
      <c r="E58" s="132">
        <f t="shared" si="9"/>
        <v>0</v>
      </c>
      <c r="F58" s="132">
        <f t="shared" si="2"/>
        <v>0</v>
      </c>
      <c r="G58" s="132" t="str">
        <f t="shared" si="25"/>
        <v>Open market housing</v>
      </c>
      <c r="H58" s="132">
        <f t="shared" si="3"/>
        <v>896440000</v>
      </c>
      <c r="I58" s="132" t="str">
        <f t="shared" si="21"/>
        <v>New build</v>
      </c>
      <c r="J58" s="132">
        <f t="shared" si="4"/>
        <v>391930000</v>
      </c>
      <c r="K58" s="132">
        <f t="shared" si="22"/>
        <v>0</v>
      </c>
      <c r="L58" s="132">
        <f t="shared" si="5"/>
        <v>0</v>
      </c>
      <c r="M58" s="132">
        <f t="shared" si="26"/>
        <v>0</v>
      </c>
      <c r="N58" s="134">
        <f t="shared" si="6"/>
        <v>0</v>
      </c>
      <c r="O58" s="135">
        <f t="shared" si="12"/>
        <v>0</v>
      </c>
      <c r="P58" s="132" t="str">
        <f t="shared" si="23"/>
        <v/>
      </c>
      <c r="Q58" s="132" t="str">
        <f t="shared" si="17"/>
        <v/>
      </c>
      <c r="R58" s="132" t="str">
        <f>IF(ISNUMBER(SEARCH("AHO",Import2[[#This Row],[Tenure]])),"AHO",Import2[[#This Row],[Tenure]])&amp;Import2[[#This Row],[Expected Physical Completion Year]]&amp;Import2[[#This Row],[Expected Physical Completion Month]]</f>
        <v>Open market housing</v>
      </c>
      <c r="S58" s="135">
        <f t="shared" si="13"/>
        <v>0</v>
      </c>
      <c r="T58" s="132" t="str">
        <f t="shared" si="27"/>
        <v/>
      </c>
      <c r="U58" s="132" t="str">
        <f t="shared" si="27"/>
        <v/>
      </c>
      <c r="V58" s="132" t="str">
        <f>IF(ISNUMBER(SEARCH("AHO",Import2[[#This Row],[Tenure]])),"AHO",Import2[[#This Row],[Tenure]])&amp;Import2[[#This Row],[Expected sale completion year]]&amp;Import2[[#This Row],[Expected sale completion month]]</f>
        <v>Open market housing</v>
      </c>
      <c r="W58" s="178">
        <f t="shared" si="24"/>
        <v>0</v>
      </c>
    </row>
    <row r="59" spans="1:23" ht="15.5">
      <c r="A59" s="132">
        <f t="shared" si="0"/>
        <v>0</v>
      </c>
      <c r="B59" s="133">
        <v>56</v>
      </c>
      <c r="C59" s="132" t="str">
        <f t="shared" si="1"/>
        <v/>
      </c>
      <c r="D59" s="132">
        <f t="shared" si="25"/>
        <v>0</v>
      </c>
      <c r="E59" s="132">
        <f t="shared" si="9"/>
        <v>0</v>
      </c>
      <c r="F59" s="132">
        <f t="shared" si="2"/>
        <v>0</v>
      </c>
      <c r="G59" s="132" t="str">
        <f t="shared" si="25"/>
        <v>Open market housing</v>
      </c>
      <c r="H59" s="132">
        <f t="shared" si="3"/>
        <v>896440000</v>
      </c>
      <c r="I59" s="132" t="str">
        <f t="shared" si="21"/>
        <v>New build</v>
      </c>
      <c r="J59" s="132">
        <f t="shared" si="4"/>
        <v>391930000</v>
      </c>
      <c r="K59" s="132">
        <f t="shared" si="22"/>
        <v>0</v>
      </c>
      <c r="L59" s="132">
        <f t="shared" si="5"/>
        <v>0</v>
      </c>
      <c r="M59" s="132">
        <f t="shared" si="26"/>
        <v>0</v>
      </c>
      <c r="N59" s="134">
        <f t="shared" si="6"/>
        <v>0</v>
      </c>
      <c r="O59" s="135">
        <f t="shared" si="12"/>
        <v>0</v>
      </c>
      <c r="P59" s="132" t="str">
        <f t="shared" si="23"/>
        <v/>
      </c>
      <c r="Q59" s="132" t="str">
        <f t="shared" si="17"/>
        <v/>
      </c>
      <c r="R59" s="132" t="str">
        <f>IF(ISNUMBER(SEARCH("AHO",Import2[[#This Row],[Tenure]])),"AHO",Import2[[#This Row],[Tenure]])&amp;Import2[[#This Row],[Expected Physical Completion Year]]&amp;Import2[[#This Row],[Expected Physical Completion Month]]</f>
        <v>Open market housing</v>
      </c>
      <c r="S59" s="135">
        <f t="shared" si="13"/>
        <v>0</v>
      </c>
      <c r="T59" s="132" t="str">
        <f t="shared" si="27"/>
        <v/>
      </c>
      <c r="U59" s="132" t="str">
        <f t="shared" si="27"/>
        <v/>
      </c>
      <c r="V59" s="132" t="str">
        <f>IF(ISNUMBER(SEARCH("AHO",Import2[[#This Row],[Tenure]])),"AHO",Import2[[#This Row],[Tenure]])&amp;Import2[[#This Row],[Expected sale completion year]]&amp;Import2[[#This Row],[Expected sale completion month]]</f>
        <v>Open market housing</v>
      </c>
      <c r="W59" s="178">
        <f t="shared" si="24"/>
        <v>0</v>
      </c>
    </row>
    <row r="60" spans="1:23" ht="15.5">
      <c r="A60" s="132">
        <f t="shared" si="0"/>
        <v>0</v>
      </c>
      <c r="B60" s="133">
        <v>57</v>
      </c>
      <c r="C60" s="132" t="str">
        <f t="shared" si="1"/>
        <v/>
      </c>
      <c r="D60" s="132">
        <f t="shared" si="25"/>
        <v>0</v>
      </c>
      <c r="E60" s="132">
        <f t="shared" si="9"/>
        <v>0</v>
      </c>
      <c r="F60" s="132">
        <f t="shared" si="2"/>
        <v>0</v>
      </c>
      <c r="G60" s="132" t="str">
        <f t="shared" si="25"/>
        <v>Open market housing</v>
      </c>
      <c r="H60" s="132">
        <f t="shared" si="3"/>
        <v>896440000</v>
      </c>
      <c r="I60" s="132" t="str">
        <f t="shared" si="21"/>
        <v>New build</v>
      </c>
      <c r="J60" s="132">
        <f t="shared" si="4"/>
        <v>391930000</v>
      </c>
      <c r="K60" s="132">
        <f t="shared" si="22"/>
        <v>0</v>
      </c>
      <c r="L60" s="132">
        <f t="shared" si="5"/>
        <v>0</v>
      </c>
      <c r="M60" s="132">
        <f t="shared" si="26"/>
        <v>0</v>
      </c>
      <c r="N60" s="134">
        <f t="shared" si="6"/>
        <v>0</v>
      </c>
      <c r="O60" s="135">
        <f t="shared" si="12"/>
        <v>0</v>
      </c>
      <c r="P60" s="132" t="str">
        <f t="shared" si="23"/>
        <v/>
      </c>
      <c r="Q60" s="132" t="str">
        <f t="shared" si="17"/>
        <v/>
      </c>
      <c r="R60" s="132" t="str">
        <f>IF(ISNUMBER(SEARCH("AHO",Import2[[#This Row],[Tenure]])),"AHO",Import2[[#This Row],[Tenure]])&amp;Import2[[#This Row],[Expected Physical Completion Year]]&amp;Import2[[#This Row],[Expected Physical Completion Month]]</f>
        <v>Open market housing</v>
      </c>
      <c r="S60" s="135">
        <f t="shared" si="13"/>
        <v>0</v>
      </c>
      <c r="T60" s="132" t="str">
        <f t="shared" si="27"/>
        <v/>
      </c>
      <c r="U60" s="132" t="str">
        <f t="shared" si="27"/>
        <v/>
      </c>
      <c r="V60" s="132" t="str">
        <f>IF(ISNUMBER(SEARCH("AHO",Import2[[#This Row],[Tenure]])),"AHO",Import2[[#This Row],[Tenure]])&amp;Import2[[#This Row],[Expected sale completion year]]&amp;Import2[[#This Row],[Expected sale completion month]]</f>
        <v>Open market housing</v>
      </c>
      <c r="W60" s="178">
        <f t="shared" si="24"/>
        <v>0</v>
      </c>
    </row>
    <row r="61" spans="1:23" ht="15.5">
      <c r="A61" s="132">
        <f t="shared" si="0"/>
        <v>0</v>
      </c>
      <c r="B61" s="133">
        <v>58</v>
      </c>
      <c r="C61" s="132" t="str">
        <f t="shared" si="1"/>
        <v/>
      </c>
      <c r="D61" s="132">
        <f t="shared" si="25"/>
        <v>0</v>
      </c>
      <c r="E61" s="132">
        <f t="shared" si="9"/>
        <v>0</v>
      </c>
      <c r="F61" s="132">
        <f t="shared" si="2"/>
        <v>0</v>
      </c>
      <c r="G61" s="132" t="str">
        <f t="shared" si="25"/>
        <v>Open market housing</v>
      </c>
      <c r="H61" s="132">
        <f t="shared" si="3"/>
        <v>896440000</v>
      </c>
      <c r="I61" s="132" t="str">
        <f t="shared" si="21"/>
        <v>New build</v>
      </c>
      <c r="J61" s="132">
        <f t="shared" si="4"/>
        <v>391930000</v>
      </c>
      <c r="K61" s="132">
        <f t="shared" si="22"/>
        <v>0</v>
      </c>
      <c r="L61" s="132">
        <f t="shared" si="5"/>
        <v>0</v>
      </c>
      <c r="M61" s="132">
        <f t="shared" si="26"/>
        <v>0</v>
      </c>
      <c r="N61" s="134">
        <f t="shared" si="6"/>
        <v>0</v>
      </c>
      <c r="O61" s="135">
        <f t="shared" si="12"/>
        <v>0</v>
      </c>
      <c r="P61" s="132" t="str">
        <f t="shared" si="23"/>
        <v/>
      </c>
      <c r="Q61" s="132" t="str">
        <f t="shared" si="17"/>
        <v/>
      </c>
      <c r="R61" s="132" t="str">
        <f>IF(ISNUMBER(SEARCH("AHO",Import2[[#This Row],[Tenure]])),"AHO",Import2[[#This Row],[Tenure]])&amp;Import2[[#This Row],[Expected Physical Completion Year]]&amp;Import2[[#This Row],[Expected Physical Completion Month]]</f>
        <v>Open market housing</v>
      </c>
      <c r="S61" s="135">
        <f t="shared" si="13"/>
        <v>0</v>
      </c>
      <c r="T61" s="132" t="str">
        <f t="shared" si="27"/>
        <v/>
      </c>
      <c r="U61" s="132" t="str">
        <f t="shared" si="27"/>
        <v/>
      </c>
      <c r="V61" s="132" t="str">
        <f>IF(ISNUMBER(SEARCH("AHO",Import2[[#This Row],[Tenure]])),"AHO",Import2[[#This Row],[Tenure]])&amp;Import2[[#This Row],[Expected sale completion year]]&amp;Import2[[#This Row],[Expected sale completion month]]</f>
        <v>Open market housing</v>
      </c>
      <c r="W61" s="178">
        <f t="shared" si="24"/>
        <v>0</v>
      </c>
    </row>
    <row r="62" spans="1:23" ht="15.5">
      <c r="A62" s="132">
        <f t="shared" si="0"/>
        <v>0</v>
      </c>
      <c r="B62" s="133">
        <v>59</v>
      </c>
      <c r="C62" s="132" t="str">
        <f t="shared" si="1"/>
        <v/>
      </c>
      <c r="D62" s="132">
        <f t="shared" si="25"/>
        <v>0</v>
      </c>
      <c r="E62" s="132">
        <f t="shared" si="9"/>
        <v>0</v>
      </c>
      <c r="F62" s="132">
        <f t="shared" si="2"/>
        <v>0</v>
      </c>
      <c r="G62" s="132" t="str">
        <f t="shared" si="25"/>
        <v>Open market housing</v>
      </c>
      <c r="H62" s="132">
        <f t="shared" si="3"/>
        <v>896440000</v>
      </c>
      <c r="I62" s="132" t="str">
        <f t="shared" si="21"/>
        <v>New build</v>
      </c>
      <c r="J62" s="132">
        <f t="shared" si="4"/>
        <v>391930000</v>
      </c>
      <c r="K62" s="132">
        <f t="shared" si="22"/>
        <v>0</v>
      </c>
      <c r="L62" s="132">
        <f t="shared" si="5"/>
        <v>0</v>
      </c>
      <c r="M62" s="132">
        <f t="shared" si="26"/>
        <v>0</v>
      </c>
      <c r="N62" s="134">
        <f t="shared" si="6"/>
        <v>0</v>
      </c>
      <c r="O62" s="135">
        <f t="shared" si="12"/>
        <v>0</v>
      </c>
      <c r="P62" s="132" t="str">
        <f t="shared" si="23"/>
        <v/>
      </c>
      <c r="Q62" s="132" t="str">
        <f t="shared" si="17"/>
        <v/>
      </c>
      <c r="R62" s="132" t="str">
        <f>IF(ISNUMBER(SEARCH("AHO",Import2[[#This Row],[Tenure]])),"AHO",Import2[[#This Row],[Tenure]])&amp;Import2[[#This Row],[Expected Physical Completion Year]]&amp;Import2[[#This Row],[Expected Physical Completion Month]]</f>
        <v>Open market housing</v>
      </c>
      <c r="S62" s="135">
        <f t="shared" si="13"/>
        <v>0</v>
      </c>
      <c r="T62" s="132" t="str">
        <f t="shared" si="27"/>
        <v/>
      </c>
      <c r="U62" s="132" t="str">
        <f t="shared" si="27"/>
        <v/>
      </c>
      <c r="V62" s="132" t="str">
        <f>IF(ISNUMBER(SEARCH("AHO",Import2[[#This Row],[Tenure]])),"AHO",Import2[[#This Row],[Tenure]])&amp;Import2[[#This Row],[Expected sale completion year]]&amp;Import2[[#This Row],[Expected sale completion month]]</f>
        <v>Open market housing</v>
      </c>
      <c r="W62" s="178">
        <f t="shared" si="24"/>
        <v>0</v>
      </c>
    </row>
    <row r="63" spans="1:23" ht="15.5">
      <c r="A63" s="132">
        <f t="shared" si="0"/>
        <v>0</v>
      </c>
      <c r="B63" s="133">
        <v>60</v>
      </c>
      <c r="C63" s="132" t="str">
        <f t="shared" si="1"/>
        <v/>
      </c>
      <c r="D63" s="132">
        <f t="shared" si="25"/>
        <v>0</v>
      </c>
      <c r="E63" s="132">
        <f t="shared" si="9"/>
        <v>0</v>
      </c>
      <c r="F63" s="132">
        <f t="shared" si="2"/>
        <v>0</v>
      </c>
      <c r="G63" s="132" t="str">
        <f t="shared" si="25"/>
        <v>Open market housing</v>
      </c>
      <c r="H63" s="132">
        <f t="shared" si="3"/>
        <v>896440000</v>
      </c>
      <c r="I63" s="132" t="str">
        <f t="shared" si="21"/>
        <v>New build</v>
      </c>
      <c r="J63" s="132">
        <f t="shared" si="4"/>
        <v>391930000</v>
      </c>
      <c r="K63" s="132">
        <f t="shared" si="22"/>
        <v>0</v>
      </c>
      <c r="L63" s="132">
        <f t="shared" si="5"/>
        <v>0</v>
      </c>
      <c r="M63" s="132">
        <f t="shared" si="26"/>
        <v>0</v>
      </c>
      <c r="N63" s="134">
        <f t="shared" si="6"/>
        <v>0</v>
      </c>
      <c r="O63" s="135">
        <f t="shared" si="12"/>
        <v>0</v>
      </c>
      <c r="P63" s="132" t="str">
        <f t="shared" si="23"/>
        <v/>
      </c>
      <c r="Q63" s="132" t="str">
        <f t="shared" si="17"/>
        <v/>
      </c>
      <c r="R63" s="132" t="str">
        <f>IF(ISNUMBER(SEARCH("AHO",Import2[[#This Row],[Tenure]])),"AHO",Import2[[#This Row],[Tenure]])&amp;Import2[[#This Row],[Expected Physical Completion Year]]&amp;Import2[[#This Row],[Expected Physical Completion Month]]</f>
        <v>Open market housing</v>
      </c>
      <c r="S63" s="135">
        <f t="shared" si="13"/>
        <v>0</v>
      </c>
      <c r="T63" s="132" t="str">
        <f t="shared" si="27"/>
        <v/>
      </c>
      <c r="U63" s="132" t="str">
        <f t="shared" si="27"/>
        <v/>
      </c>
      <c r="V63" s="132" t="str">
        <f>IF(ISNUMBER(SEARCH("AHO",Import2[[#This Row],[Tenure]])),"AHO",Import2[[#This Row],[Tenure]])&amp;Import2[[#This Row],[Expected sale completion year]]&amp;Import2[[#This Row],[Expected sale completion month]]</f>
        <v>Open market housing</v>
      </c>
      <c r="W63" s="178">
        <f t="shared" si="24"/>
        <v>0</v>
      </c>
    </row>
    <row r="64" spans="1:23" ht="15.5">
      <c r="A64" s="132">
        <f t="shared" si="0"/>
        <v>0</v>
      </c>
      <c r="B64" s="133">
        <v>61</v>
      </c>
      <c r="C64" s="132" t="str">
        <f t="shared" si="1"/>
        <v/>
      </c>
      <c r="D64" s="132">
        <f t="shared" ref="D64:G83" si="28">INDEX(PlotData,MATCH($B64,PlotNumber,0),MATCH(D$3,PlotTitles,0))</f>
        <v>0</v>
      </c>
      <c r="E64" s="132">
        <f t="shared" si="9"/>
        <v>0</v>
      </c>
      <c r="F64" s="132">
        <f t="shared" si="2"/>
        <v>0</v>
      </c>
      <c r="G64" s="132" t="str">
        <f t="shared" si="28"/>
        <v>Open market housing</v>
      </c>
      <c r="H64" s="132">
        <f t="shared" si="3"/>
        <v>896440000</v>
      </c>
      <c r="I64" s="132" t="str">
        <f t="shared" si="21"/>
        <v>New build</v>
      </c>
      <c r="J64" s="132">
        <f t="shared" si="4"/>
        <v>391930000</v>
      </c>
      <c r="K64" s="132">
        <f t="shared" si="22"/>
        <v>0</v>
      </c>
      <c r="L64" s="132">
        <f t="shared" si="5"/>
        <v>0</v>
      </c>
      <c r="M64" s="132">
        <f t="shared" ref="M64:M83" si="29">INDEX(PlotData,MATCH($B64,PlotNumber,0),MATCH(M$3,PlotTitles,0))</f>
        <v>0</v>
      </c>
      <c r="N64" s="134">
        <f t="shared" si="6"/>
        <v>0</v>
      </c>
      <c r="O64" s="135">
        <f t="shared" si="12"/>
        <v>0</v>
      </c>
      <c r="P64" s="132" t="str">
        <f t="shared" si="23"/>
        <v/>
      </c>
      <c r="Q64" s="132" t="str">
        <f t="shared" si="17"/>
        <v/>
      </c>
      <c r="R64" s="132" t="str">
        <f>IF(ISNUMBER(SEARCH("AHO",Import2[[#This Row],[Tenure]])),"AHO",Import2[[#This Row],[Tenure]])&amp;Import2[[#This Row],[Expected Physical Completion Year]]&amp;Import2[[#This Row],[Expected Physical Completion Month]]</f>
        <v>Open market housing</v>
      </c>
      <c r="S64" s="135">
        <f t="shared" si="13"/>
        <v>0</v>
      </c>
      <c r="T64" s="132" t="str">
        <f t="shared" ref="T64:U83" si="30">IF(INDEX(PlotData,MATCH($B64,PlotNumber,0),MATCH(T$3,PlotTitles,0))=0,"",INDEX(PlotData,MATCH($B64,PlotNumber,0),MATCH(T$3,PlotTitles,0)))</f>
        <v/>
      </c>
      <c r="U64" s="132" t="str">
        <f t="shared" si="30"/>
        <v/>
      </c>
      <c r="V64" s="132" t="str">
        <f>IF(ISNUMBER(SEARCH("AHO",Import2[[#This Row],[Tenure]])),"AHO",Import2[[#This Row],[Tenure]])&amp;Import2[[#This Row],[Expected sale completion year]]&amp;Import2[[#This Row],[Expected sale completion month]]</f>
        <v>Open market housing</v>
      </c>
      <c r="W64" s="178">
        <f t="shared" si="24"/>
        <v>0</v>
      </c>
    </row>
    <row r="65" spans="1:23" ht="15.5">
      <c r="A65" s="132">
        <f t="shared" si="0"/>
        <v>0</v>
      </c>
      <c r="B65" s="133">
        <v>62</v>
      </c>
      <c r="C65" s="132" t="str">
        <f t="shared" si="1"/>
        <v/>
      </c>
      <c r="D65" s="132">
        <f t="shared" si="28"/>
        <v>0</v>
      </c>
      <c r="E65" s="132">
        <f t="shared" si="9"/>
        <v>0</v>
      </c>
      <c r="F65" s="132">
        <f t="shared" si="2"/>
        <v>0</v>
      </c>
      <c r="G65" s="132" t="str">
        <f t="shared" si="28"/>
        <v>Open market housing</v>
      </c>
      <c r="H65" s="132">
        <f t="shared" si="3"/>
        <v>896440000</v>
      </c>
      <c r="I65" s="132" t="str">
        <f t="shared" si="21"/>
        <v>New build</v>
      </c>
      <c r="J65" s="132">
        <f t="shared" si="4"/>
        <v>391930000</v>
      </c>
      <c r="K65" s="132">
        <f t="shared" si="22"/>
        <v>0</v>
      </c>
      <c r="L65" s="132">
        <f t="shared" si="5"/>
        <v>0</v>
      </c>
      <c r="M65" s="132">
        <f t="shared" si="29"/>
        <v>0</v>
      </c>
      <c r="N65" s="134">
        <f t="shared" si="6"/>
        <v>0</v>
      </c>
      <c r="O65" s="135">
        <f t="shared" si="12"/>
        <v>0</v>
      </c>
      <c r="P65" s="132" t="str">
        <f t="shared" si="23"/>
        <v/>
      </c>
      <c r="Q65" s="132" t="str">
        <f t="shared" si="17"/>
        <v/>
      </c>
      <c r="R65" s="132" t="str">
        <f>IF(ISNUMBER(SEARCH("AHO",Import2[[#This Row],[Tenure]])),"AHO",Import2[[#This Row],[Tenure]])&amp;Import2[[#This Row],[Expected Physical Completion Year]]&amp;Import2[[#This Row],[Expected Physical Completion Month]]</f>
        <v>Open market housing</v>
      </c>
      <c r="S65" s="135">
        <f t="shared" si="13"/>
        <v>0</v>
      </c>
      <c r="T65" s="132" t="str">
        <f t="shared" si="30"/>
        <v/>
      </c>
      <c r="U65" s="132" t="str">
        <f t="shared" si="30"/>
        <v/>
      </c>
      <c r="V65" s="132" t="str">
        <f>IF(ISNUMBER(SEARCH("AHO",Import2[[#This Row],[Tenure]])),"AHO",Import2[[#This Row],[Tenure]])&amp;Import2[[#This Row],[Expected sale completion year]]&amp;Import2[[#This Row],[Expected sale completion month]]</f>
        <v>Open market housing</v>
      </c>
      <c r="W65" s="178">
        <f t="shared" si="24"/>
        <v>0</v>
      </c>
    </row>
    <row r="66" spans="1:23" ht="15.5">
      <c r="A66" s="132">
        <f t="shared" si="0"/>
        <v>0</v>
      </c>
      <c r="B66" s="133">
        <v>63</v>
      </c>
      <c r="C66" s="132" t="str">
        <f t="shared" si="1"/>
        <v/>
      </c>
      <c r="D66" s="132">
        <f t="shared" si="28"/>
        <v>0</v>
      </c>
      <c r="E66" s="132">
        <f t="shared" si="9"/>
        <v>0</v>
      </c>
      <c r="F66" s="132">
        <f t="shared" si="2"/>
        <v>0</v>
      </c>
      <c r="G66" s="132" t="str">
        <f t="shared" si="28"/>
        <v>Open market housing</v>
      </c>
      <c r="H66" s="132">
        <f t="shared" si="3"/>
        <v>896440000</v>
      </c>
      <c r="I66" s="132" t="str">
        <f t="shared" si="21"/>
        <v>New build</v>
      </c>
      <c r="J66" s="132">
        <f t="shared" si="4"/>
        <v>391930000</v>
      </c>
      <c r="K66" s="132">
        <f t="shared" si="22"/>
        <v>0</v>
      </c>
      <c r="L66" s="132">
        <f t="shared" si="5"/>
        <v>0</v>
      </c>
      <c r="M66" s="132">
        <f t="shared" si="29"/>
        <v>0</v>
      </c>
      <c r="N66" s="134">
        <f t="shared" si="6"/>
        <v>0</v>
      </c>
      <c r="O66" s="135">
        <f t="shared" si="12"/>
        <v>0</v>
      </c>
      <c r="P66" s="132" t="str">
        <f t="shared" si="23"/>
        <v/>
      </c>
      <c r="Q66" s="132" t="str">
        <f t="shared" si="17"/>
        <v/>
      </c>
      <c r="R66" s="132" t="str">
        <f>IF(ISNUMBER(SEARCH("AHO",Import2[[#This Row],[Tenure]])),"AHO",Import2[[#This Row],[Tenure]])&amp;Import2[[#This Row],[Expected Physical Completion Year]]&amp;Import2[[#This Row],[Expected Physical Completion Month]]</f>
        <v>Open market housing</v>
      </c>
      <c r="S66" s="135">
        <f t="shared" si="13"/>
        <v>0</v>
      </c>
      <c r="T66" s="132" t="str">
        <f t="shared" si="30"/>
        <v/>
      </c>
      <c r="U66" s="132" t="str">
        <f t="shared" si="30"/>
        <v/>
      </c>
      <c r="V66" s="132" t="str">
        <f>IF(ISNUMBER(SEARCH("AHO",Import2[[#This Row],[Tenure]])),"AHO",Import2[[#This Row],[Tenure]])&amp;Import2[[#This Row],[Expected sale completion year]]&amp;Import2[[#This Row],[Expected sale completion month]]</f>
        <v>Open market housing</v>
      </c>
      <c r="W66" s="178">
        <f t="shared" si="24"/>
        <v>0</v>
      </c>
    </row>
    <row r="67" spans="1:23" ht="15.5">
      <c r="A67" s="132">
        <f t="shared" si="0"/>
        <v>0</v>
      </c>
      <c r="B67" s="133">
        <v>64</v>
      </c>
      <c r="C67" s="132" t="str">
        <f t="shared" si="1"/>
        <v/>
      </c>
      <c r="D67" s="132">
        <f t="shared" si="28"/>
        <v>0</v>
      </c>
      <c r="E67" s="132">
        <f t="shared" si="9"/>
        <v>0</v>
      </c>
      <c r="F67" s="132">
        <f t="shared" si="2"/>
        <v>0</v>
      </c>
      <c r="G67" s="132" t="str">
        <f t="shared" si="28"/>
        <v>Open market housing</v>
      </c>
      <c r="H67" s="132">
        <f t="shared" si="3"/>
        <v>896440000</v>
      </c>
      <c r="I67" s="132" t="str">
        <f t="shared" si="21"/>
        <v>New build</v>
      </c>
      <c r="J67" s="132">
        <f t="shared" si="4"/>
        <v>391930000</v>
      </c>
      <c r="K67" s="132">
        <f t="shared" si="22"/>
        <v>0</v>
      </c>
      <c r="L67" s="132">
        <f t="shared" si="5"/>
        <v>0</v>
      </c>
      <c r="M67" s="132">
        <f t="shared" si="29"/>
        <v>0</v>
      </c>
      <c r="N67" s="134">
        <f t="shared" si="6"/>
        <v>0</v>
      </c>
      <c r="O67" s="135">
        <f t="shared" si="12"/>
        <v>0</v>
      </c>
      <c r="P67" s="132" t="str">
        <f t="shared" si="23"/>
        <v/>
      </c>
      <c r="Q67" s="132" t="str">
        <f t="shared" si="17"/>
        <v/>
      </c>
      <c r="R67" s="132" t="str">
        <f>IF(ISNUMBER(SEARCH("AHO",Import2[[#This Row],[Tenure]])),"AHO",Import2[[#This Row],[Tenure]])&amp;Import2[[#This Row],[Expected Physical Completion Year]]&amp;Import2[[#This Row],[Expected Physical Completion Month]]</f>
        <v>Open market housing</v>
      </c>
      <c r="S67" s="135">
        <f t="shared" si="13"/>
        <v>0</v>
      </c>
      <c r="T67" s="132" t="str">
        <f t="shared" si="30"/>
        <v/>
      </c>
      <c r="U67" s="132" t="str">
        <f t="shared" si="30"/>
        <v/>
      </c>
      <c r="V67" s="132" t="str">
        <f>IF(ISNUMBER(SEARCH("AHO",Import2[[#This Row],[Tenure]])),"AHO",Import2[[#This Row],[Tenure]])&amp;Import2[[#This Row],[Expected sale completion year]]&amp;Import2[[#This Row],[Expected sale completion month]]</f>
        <v>Open market housing</v>
      </c>
      <c r="W67" s="178">
        <f t="shared" si="24"/>
        <v>0</v>
      </c>
    </row>
    <row r="68" spans="1:23" ht="15.5">
      <c r="A68" s="132">
        <f t="shared" ref="A68:A131" si="31">IF((SUM($C68:$W68)-$H68-$J68)=0,0,1)</f>
        <v>0</v>
      </c>
      <c r="B68" s="133">
        <v>65</v>
      </c>
      <c r="C68" s="132" t="str">
        <f t="shared" ref="C68:C131" si="32">IF(INDEX(PlotData,MATCH($B68,PlotNumber,0),MATCH(C$3,PlotTitles,0))=0,"",INDEX(PlotData,MATCH($B68,PlotNumber,0),MATCH(C$3,PlotTitles,0)))</f>
        <v/>
      </c>
      <c r="D68" s="132">
        <f t="shared" si="28"/>
        <v>0</v>
      </c>
      <c r="E68" s="132">
        <f t="shared" si="9"/>
        <v>0</v>
      </c>
      <c r="F68" s="132">
        <f t="shared" ref="F68:F131" si="33">_xlfn.IFNA(INDEX(PropertyTypeRef,MATCH(E68,PropertyType,0),2),0)</f>
        <v>0</v>
      </c>
      <c r="G68" s="132" t="str">
        <f t="shared" si="28"/>
        <v>Open market housing</v>
      </c>
      <c r="H68" s="132">
        <f t="shared" ref="H68:H131" si="34">_xlfn.IFNA(INDEX(TenureRef,MATCH(G68,PlotCategory,0),2),0)</f>
        <v>896440000</v>
      </c>
      <c r="I68" s="132" t="str">
        <f t="shared" ref="I68:I103" si="35">INDEX(PlotData,MATCH($B68,PlotNumber,0),MATCH(I$3,PlotTitles,0))</f>
        <v>New build</v>
      </c>
      <c r="J68" s="132">
        <f t="shared" ref="J68:J131" si="36">_xlfn.IFNA(INDEX(TenureDetailRef,MATCH(I68,TenureDetail,0),2),0)</f>
        <v>391930000</v>
      </c>
      <c r="K68" s="132">
        <f t="shared" ref="K68:K103" si="37">INDEX(PlotData,MATCH($B68,PlotNumber,0),MATCH(K$3,PlotTitles,0))</f>
        <v>0</v>
      </c>
      <c r="L68" s="132">
        <f t="shared" ref="L68:L131" si="38">_xlfn.IFNA(INDEX(BuildTypeRef,MATCH(K68,BuildType,0),2),0)</f>
        <v>0</v>
      </c>
      <c r="M68" s="132">
        <f t="shared" si="29"/>
        <v>0</v>
      </c>
      <c r="N68" s="134">
        <f t="shared" ref="N68:N131" si="39">IF($M68=0,0,$M68*0.09290304)</f>
        <v>0</v>
      </c>
      <c r="O68" s="135">
        <f t="shared" ref="O68:O131" si="40">IF(OR($P68="",$Q68=""),0,(DATEVALUE($P68&amp;$Q68)))</f>
        <v>0</v>
      </c>
      <c r="P68" s="132" t="str">
        <f t="shared" ref="P68:P103" si="41">IF(INDEX(PlotData,MATCH($B68,PlotNumber,0),MATCH(P$3,PlotTitles,0))=0,"",INDEX(PlotData,MATCH($B68,PlotNumber,0),MATCH(P$3,PlotTitles,0)))</f>
        <v/>
      </c>
      <c r="Q68" s="132" t="str">
        <f t="shared" si="17"/>
        <v/>
      </c>
      <c r="R68" s="132" t="str">
        <f>IF(ISNUMBER(SEARCH("AHO",Import2[[#This Row],[Tenure]])),"AHO",Import2[[#This Row],[Tenure]])&amp;Import2[[#This Row],[Expected Physical Completion Year]]&amp;Import2[[#This Row],[Expected Physical Completion Month]]</f>
        <v>Open market housing</v>
      </c>
      <c r="S68" s="135">
        <f t="shared" ref="S68:S131" si="42">IF(OR($T68="",$U68=""),0,(DATEVALUE($T68&amp;$U68)))</f>
        <v>0</v>
      </c>
      <c r="T68" s="132" t="str">
        <f t="shared" si="30"/>
        <v/>
      </c>
      <c r="U68" s="132" t="str">
        <f t="shared" si="30"/>
        <v/>
      </c>
      <c r="V68" s="132" t="str">
        <f>IF(ISNUMBER(SEARCH("AHO",Import2[[#This Row],[Tenure]])),"AHO",Import2[[#This Row],[Tenure]])&amp;Import2[[#This Row],[Expected sale completion year]]&amp;Import2[[#This Row],[Expected sale completion month]]</f>
        <v>Open market housing</v>
      </c>
      <c r="W68" s="178">
        <f t="shared" ref="W68:W103" si="43">INDEX(PlotData,MATCH($B68,PlotNumber,0),MATCH(W$3,PlotTitles,0))</f>
        <v>0</v>
      </c>
    </row>
    <row r="69" spans="1:23" ht="15.5">
      <c r="A69" s="132">
        <f t="shared" si="31"/>
        <v>0</v>
      </c>
      <c r="B69" s="133">
        <v>66</v>
      </c>
      <c r="C69" s="132" t="str">
        <f t="shared" si="32"/>
        <v/>
      </c>
      <c r="D69" s="132">
        <f t="shared" si="28"/>
        <v>0</v>
      </c>
      <c r="E69" s="132">
        <f t="shared" si="28"/>
        <v>0</v>
      </c>
      <c r="F69" s="132">
        <f t="shared" si="33"/>
        <v>0</v>
      </c>
      <c r="G69" s="132" t="str">
        <f t="shared" si="28"/>
        <v>Open market housing</v>
      </c>
      <c r="H69" s="132">
        <f t="shared" si="34"/>
        <v>896440000</v>
      </c>
      <c r="I69" s="132" t="str">
        <f t="shared" si="35"/>
        <v>New build</v>
      </c>
      <c r="J69" s="132">
        <f t="shared" si="36"/>
        <v>391930000</v>
      </c>
      <c r="K69" s="132">
        <f t="shared" si="37"/>
        <v>0</v>
      </c>
      <c r="L69" s="132">
        <f t="shared" si="38"/>
        <v>0</v>
      </c>
      <c r="M69" s="132">
        <f t="shared" si="29"/>
        <v>0</v>
      </c>
      <c r="N69" s="134">
        <f t="shared" si="39"/>
        <v>0</v>
      </c>
      <c r="O69" s="135">
        <f t="shared" si="40"/>
        <v>0</v>
      </c>
      <c r="P69" s="132" t="str">
        <f t="shared" si="41"/>
        <v/>
      </c>
      <c r="Q69" s="132" t="str">
        <f t="shared" si="17"/>
        <v/>
      </c>
      <c r="R69" s="132" t="str">
        <f>IF(ISNUMBER(SEARCH("AHO",Import2[[#This Row],[Tenure]])),"AHO",Import2[[#This Row],[Tenure]])&amp;Import2[[#This Row],[Expected Physical Completion Year]]&amp;Import2[[#This Row],[Expected Physical Completion Month]]</f>
        <v>Open market housing</v>
      </c>
      <c r="S69" s="135">
        <f t="shared" si="42"/>
        <v>0</v>
      </c>
      <c r="T69" s="132" t="str">
        <f t="shared" si="30"/>
        <v/>
      </c>
      <c r="U69" s="132" t="str">
        <f t="shared" si="30"/>
        <v/>
      </c>
      <c r="V69" s="132" t="str">
        <f>IF(ISNUMBER(SEARCH("AHO",Import2[[#This Row],[Tenure]])),"AHO",Import2[[#This Row],[Tenure]])&amp;Import2[[#This Row],[Expected sale completion year]]&amp;Import2[[#This Row],[Expected sale completion month]]</f>
        <v>Open market housing</v>
      </c>
      <c r="W69" s="178">
        <f t="shared" si="43"/>
        <v>0</v>
      </c>
    </row>
    <row r="70" spans="1:23" ht="15.5">
      <c r="A70" s="132">
        <f t="shared" si="31"/>
        <v>0</v>
      </c>
      <c r="B70" s="133">
        <v>67</v>
      </c>
      <c r="C70" s="132" t="str">
        <f t="shared" si="32"/>
        <v/>
      </c>
      <c r="D70" s="132">
        <f t="shared" si="28"/>
        <v>0</v>
      </c>
      <c r="E70" s="132">
        <f t="shared" si="28"/>
        <v>0</v>
      </c>
      <c r="F70" s="132">
        <f t="shared" si="33"/>
        <v>0</v>
      </c>
      <c r="G70" s="132" t="str">
        <f t="shared" si="28"/>
        <v>Open market housing</v>
      </c>
      <c r="H70" s="132">
        <f t="shared" si="34"/>
        <v>896440000</v>
      </c>
      <c r="I70" s="132" t="str">
        <f t="shared" si="35"/>
        <v>New build</v>
      </c>
      <c r="J70" s="132">
        <f t="shared" si="36"/>
        <v>391930000</v>
      </c>
      <c r="K70" s="132">
        <f t="shared" si="37"/>
        <v>0</v>
      </c>
      <c r="L70" s="132">
        <f t="shared" si="38"/>
        <v>0</v>
      </c>
      <c r="M70" s="132">
        <f t="shared" si="29"/>
        <v>0</v>
      </c>
      <c r="N70" s="134">
        <f t="shared" si="39"/>
        <v>0</v>
      </c>
      <c r="O70" s="135">
        <f t="shared" si="40"/>
        <v>0</v>
      </c>
      <c r="P70" s="132" t="str">
        <f t="shared" si="41"/>
        <v/>
      </c>
      <c r="Q70" s="132" t="str">
        <f t="shared" ref="Q70:Q133" si="44">IF(INDEX(PlotData,MATCH($B70,PlotNumber,0),MATCH(Q$3,PlotTitles,0))=0,"",INDEX(PlotData,MATCH($B70,PlotNumber,0),MATCH(Q$3,PlotTitles,0)))</f>
        <v/>
      </c>
      <c r="R70" s="132" t="str">
        <f>IF(ISNUMBER(SEARCH("AHO",Import2[[#This Row],[Tenure]])),"AHO",Import2[[#This Row],[Tenure]])&amp;Import2[[#This Row],[Expected Physical Completion Year]]&amp;Import2[[#This Row],[Expected Physical Completion Month]]</f>
        <v>Open market housing</v>
      </c>
      <c r="S70" s="135">
        <f t="shared" si="42"/>
        <v>0</v>
      </c>
      <c r="T70" s="132" t="str">
        <f t="shared" si="30"/>
        <v/>
      </c>
      <c r="U70" s="132" t="str">
        <f t="shared" si="30"/>
        <v/>
      </c>
      <c r="V70" s="132" t="str">
        <f>IF(ISNUMBER(SEARCH("AHO",Import2[[#This Row],[Tenure]])),"AHO",Import2[[#This Row],[Tenure]])&amp;Import2[[#This Row],[Expected sale completion year]]&amp;Import2[[#This Row],[Expected sale completion month]]</f>
        <v>Open market housing</v>
      </c>
      <c r="W70" s="178">
        <f t="shared" si="43"/>
        <v>0</v>
      </c>
    </row>
    <row r="71" spans="1:23" ht="15.5">
      <c r="A71" s="132">
        <f t="shared" si="31"/>
        <v>0</v>
      </c>
      <c r="B71" s="133">
        <v>68</v>
      </c>
      <c r="C71" s="132" t="str">
        <f t="shared" si="32"/>
        <v/>
      </c>
      <c r="D71" s="132">
        <f t="shared" si="28"/>
        <v>0</v>
      </c>
      <c r="E71" s="132">
        <f t="shared" si="28"/>
        <v>0</v>
      </c>
      <c r="F71" s="132">
        <f t="shared" si="33"/>
        <v>0</v>
      </c>
      <c r="G71" s="132" t="str">
        <f t="shared" si="28"/>
        <v>Open market housing</v>
      </c>
      <c r="H71" s="132">
        <f t="shared" si="34"/>
        <v>896440000</v>
      </c>
      <c r="I71" s="132" t="str">
        <f t="shared" si="35"/>
        <v>New build</v>
      </c>
      <c r="J71" s="132">
        <f t="shared" si="36"/>
        <v>391930000</v>
      </c>
      <c r="K71" s="132">
        <f t="shared" si="37"/>
        <v>0</v>
      </c>
      <c r="L71" s="132">
        <f t="shared" si="38"/>
        <v>0</v>
      </c>
      <c r="M71" s="132">
        <f t="shared" si="29"/>
        <v>0</v>
      </c>
      <c r="N71" s="134">
        <f t="shared" si="39"/>
        <v>0</v>
      </c>
      <c r="O71" s="135">
        <f t="shared" si="40"/>
        <v>0</v>
      </c>
      <c r="P71" s="132" t="str">
        <f t="shared" si="41"/>
        <v/>
      </c>
      <c r="Q71" s="132" t="str">
        <f t="shared" si="44"/>
        <v/>
      </c>
      <c r="R71" s="132" t="str">
        <f>IF(ISNUMBER(SEARCH("AHO",Import2[[#This Row],[Tenure]])),"AHO",Import2[[#This Row],[Tenure]])&amp;Import2[[#This Row],[Expected Physical Completion Year]]&amp;Import2[[#This Row],[Expected Physical Completion Month]]</f>
        <v>Open market housing</v>
      </c>
      <c r="S71" s="135">
        <f t="shared" si="42"/>
        <v>0</v>
      </c>
      <c r="T71" s="132" t="str">
        <f t="shared" si="30"/>
        <v/>
      </c>
      <c r="U71" s="132" t="str">
        <f t="shared" si="30"/>
        <v/>
      </c>
      <c r="V71" s="132" t="str">
        <f>IF(ISNUMBER(SEARCH("AHO",Import2[[#This Row],[Tenure]])),"AHO",Import2[[#This Row],[Tenure]])&amp;Import2[[#This Row],[Expected sale completion year]]&amp;Import2[[#This Row],[Expected sale completion month]]</f>
        <v>Open market housing</v>
      </c>
      <c r="W71" s="178">
        <f t="shared" si="43"/>
        <v>0</v>
      </c>
    </row>
    <row r="72" spans="1:23" ht="15.5">
      <c r="A72" s="132">
        <f t="shared" si="31"/>
        <v>0</v>
      </c>
      <c r="B72" s="133">
        <v>69</v>
      </c>
      <c r="C72" s="132" t="str">
        <f t="shared" si="32"/>
        <v/>
      </c>
      <c r="D72" s="132">
        <f t="shared" si="28"/>
        <v>0</v>
      </c>
      <c r="E72" s="132">
        <f t="shared" si="28"/>
        <v>0</v>
      </c>
      <c r="F72" s="132">
        <f t="shared" si="33"/>
        <v>0</v>
      </c>
      <c r="G72" s="132" t="str">
        <f t="shared" si="28"/>
        <v>Open market housing</v>
      </c>
      <c r="H72" s="132">
        <f t="shared" si="34"/>
        <v>896440000</v>
      </c>
      <c r="I72" s="132" t="str">
        <f t="shared" si="35"/>
        <v>New build</v>
      </c>
      <c r="J72" s="132">
        <f t="shared" si="36"/>
        <v>391930000</v>
      </c>
      <c r="K72" s="132">
        <f t="shared" si="37"/>
        <v>0</v>
      </c>
      <c r="L72" s="132">
        <f t="shared" si="38"/>
        <v>0</v>
      </c>
      <c r="M72" s="132">
        <f t="shared" si="29"/>
        <v>0</v>
      </c>
      <c r="N72" s="134">
        <f t="shared" si="39"/>
        <v>0</v>
      </c>
      <c r="O72" s="135">
        <f t="shared" si="40"/>
        <v>0</v>
      </c>
      <c r="P72" s="132" t="str">
        <f t="shared" si="41"/>
        <v/>
      </c>
      <c r="Q72" s="132" t="str">
        <f t="shared" si="44"/>
        <v/>
      </c>
      <c r="R72" s="132" t="str">
        <f>IF(ISNUMBER(SEARCH("AHO",Import2[[#This Row],[Tenure]])),"AHO",Import2[[#This Row],[Tenure]])&amp;Import2[[#This Row],[Expected Physical Completion Year]]&amp;Import2[[#This Row],[Expected Physical Completion Month]]</f>
        <v>Open market housing</v>
      </c>
      <c r="S72" s="135">
        <f t="shared" si="42"/>
        <v>0</v>
      </c>
      <c r="T72" s="132" t="str">
        <f t="shared" si="30"/>
        <v/>
      </c>
      <c r="U72" s="132" t="str">
        <f t="shared" si="30"/>
        <v/>
      </c>
      <c r="V72" s="132" t="str">
        <f>IF(ISNUMBER(SEARCH("AHO",Import2[[#This Row],[Tenure]])),"AHO",Import2[[#This Row],[Tenure]])&amp;Import2[[#This Row],[Expected sale completion year]]&amp;Import2[[#This Row],[Expected sale completion month]]</f>
        <v>Open market housing</v>
      </c>
      <c r="W72" s="178">
        <f t="shared" si="43"/>
        <v>0</v>
      </c>
    </row>
    <row r="73" spans="1:23" ht="15.5">
      <c r="A73" s="132">
        <f t="shared" si="31"/>
        <v>0</v>
      </c>
      <c r="B73" s="133">
        <v>70</v>
      </c>
      <c r="C73" s="132" t="str">
        <f t="shared" si="32"/>
        <v/>
      </c>
      <c r="D73" s="132">
        <f t="shared" si="28"/>
        <v>0</v>
      </c>
      <c r="E73" s="132">
        <f t="shared" si="28"/>
        <v>0</v>
      </c>
      <c r="F73" s="132">
        <f t="shared" si="33"/>
        <v>0</v>
      </c>
      <c r="G73" s="132" t="str">
        <f t="shared" si="28"/>
        <v>Open market housing</v>
      </c>
      <c r="H73" s="132">
        <f t="shared" si="34"/>
        <v>896440000</v>
      </c>
      <c r="I73" s="132" t="str">
        <f t="shared" si="35"/>
        <v>New build</v>
      </c>
      <c r="J73" s="132">
        <f t="shared" si="36"/>
        <v>391930000</v>
      </c>
      <c r="K73" s="132">
        <f t="shared" si="37"/>
        <v>0</v>
      </c>
      <c r="L73" s="132">
        <f t="shared" si="38"/>
        <v>0</v>
      </c>
      <c r="M73" s="132">
        <f t="shared" si="29"/>
        <v>0</v>
      </c>
      <c r="N73" s="134">
        <f t="shared" si="39"/>
        <v>0</v>
      </c>
      <c r="O73" s="135">
        <f t="shared" si="40"/>
        <v>0</v>
      </c>
      <c r="P73" s="132" t="str">
        <f t="shared" si="41"/>
        <v/>
      </c>
      <c r="Q73" s="132" t="str">
        <f t="shared" si="44"/>
        <v/>
      </c>
      <c r="R73" s="132" t="str">
        <f>IF(ISNUMBER(SEARCH("AHO",Import2[[#This Row],[Tenure]])),"AHO",Import2[[#This Row],[Tenure]])&amp;Import2[[#This Row],[Expected Physical Completion Year]]&amp;Import2[[#This Row],[Expected Physical Completion Month]]</f>
        <v>Open market housing</v>
      </c>
      <c r="S73" s="135">
        <f t="shared" si="42"/>
        <v>0</v>
      </c>
      <c r="T73" s="132" t="str">
        <f t="shared" si="30"/>
        <v/>
      </c>
      <c r="U73" s="132" t="str">
        <f t="shared" si="30"/>
        <v/>
      </c>
      <c r="V73" s="132" t="str">
        <f>IF(ISNUMBER(SEARCH("AHO",Import2[[#This Row],[Tenure]])),"AHO",Import2[[#This Row],[Tenure]])&amp;Import2[[#This Row],[Expected sale completion year]]&amp;Import2[[#This Row],[Expected sale completion month]]</f>
        <v>Open market housing</v>
      </c>
      <c r="W73" s="178">
        <f t="shared" si="43"/>
        <v>0</v>
      </c>
    </row>
    <row r="74" spans="1:23" ht="15.5">
      <c r="A74" s="132">
        <f t="shared" si="31"/>
        <v>0</v>
      </c>
      <c r="B74" s="133">
        <v>71</v>
      </c>
      <c r="C74" s="132" t="str">
        <f t="shared" si="32"/>
        <v/>
      </c>
      <c r="D74" s="132">
        <f t="shared" si="28"/>
        <v>0</v>
      </c>
      <c r="E74" s="132">
        <f t="shared" si="28"/>
        <v>0</v>
      </c>
      <c r="F74" s="132">
        <f t="shared" si="33"/>
        <v>0</v>
      </c>
      <c r="G74" s="132" t="str">
        <f t="shared" si="28"/>
        <v>Open market housing</v>
      </c>
      <c r="H74" s="132">
        <f t="shared" si="34"/>
        <v>896440000</v>
      </c>
      <c r="I74" s="132" t="str">
        <f t="shared" si="35"/>
        <v>New build</v>
      </c>
      <c r="J74" s="132">
        <f t="shared" si="36"/>
        <v>391930000</v>
      </c>
      <c r="K74" s="132">
        <f t="shared" si="37"/>
        <v>0</v>
      </c>
      <c r="L74" s="132">
        <f t="shared" si="38"/>
        <v>0</v>
      </c>
      <c r="M74" s="132">
        <f t="shared" si="29"/>
        <v>0</v>
      </c>
      <c r="N74" s="134">
        <f t="shared" si="39"/>
        <v>0</v>
      </c>
      <c r="O74" s="135">
        <f t="shared" si="40"/>
        <v>0</v>
      </c>
      <c r="P74" s="132" t="str">
        <f t="shared" si="41"/>
        <v/>
      </c>
      <c r="Q74" s="132" t="str">
        <f t="shared" si="44"/>
        <v/>
      </c>
      <c r="R74" s="132" t="str">
        <f>IF(ISNUMBER(SEARCH("AHO",Import2[[#This Row],[Tenure]])),"AHO",Import2[[#This Row],[Tenure]])&amp;Import2[[#This Row],[Expected Physical Completion Year]]&amp;Import2[[#This Row],[Expected Physical Completion Month]]</f>
        <v>Open market housing</v>
      </c>
      <c r="S74" s="135">
        <f t="shared" si="42"/>
        <v>0</v>
      </c>
      <c r="T74" s="132" t="str">
        <f t="shared" si="30"/>
        <v/>
      </c>
      <c r="U74" s="132" t="str">
        <f t="shared" si="30"/>
        <v/>
      </c>
      <c r="V74" s="132" t="str">
        <f>IF(ISNUMBER(SEARCH("AHO",Import2[[#This Row],[Tenure]])),"AHO",Import2[[#This Row],[Tenure]])&amp;Import2[[#This Row],[Expected sale completion year]]&amp;Import2[[#This Row],[Expected sale completion month]]</f>
        <v>Open market housing</v>
      </c>
      <c r="W74" s="178">
        <f t="shared" si="43"/>
        <v>0</v>
      </c>
    </row>
    <row r="75" spans="1:23" ht="15.5">
      <c r="A75" s="132">
        <f t="shared" si="31"/>
        <v>0</v>
      </c>
      <c r="B75" s="133">
        <v>72</v>
      </c>
      <c r="C75" s="132" t="str">
        <f t="shared" si="32"/>
        <v/>
      </c>
      <c r="D75" s="132">
        <f t="shared" si="28"/>
        <v>0</v>
      </c>
      <c r="E75" s="132">
        <f t="shared" si="28"/>
        <v>0</v>
      </c>
      <c r="F75" s="132">
        <f t="shared" si="33"/>
        <v>0</v>
      </c>
      <c r="G75" s="132" t="str">
        <f t="shared" si="28"/>
        <v>Open market housing</v>
      </c>
      <c r="H75" s="132">
        <f t="shared" si="34"/>
        <v>896440000</v>
      </c>
      <c r="I75" s="132" t="str">
        <f t="shared" si="35"/>
        <v>New build</v>
      </c>
      <c r="J75" s="132">
        <f t="shared" si="36"/>
        <v>391930000</v>
      </c>
      <c r="K75" s="132">
        <f t="shared" si="37"/>
        <v>0</v>
      </c>
      <c r="L75" s="132">
        <f t="shared" si="38"/>
        <v>0</v>
      </c>
      <c r="M75" s="132">
        <f t="shared" si="29"/>
        <v>0</v>
      </c>
      <c r="N75" s="134">
        <f t="shared" si="39"/>
        <v>0</v>
      </c>
      <c r="O75" s="135">
        <f t="shared" si="40"/>
        <v>0</v>
      </c>
      <c r="P75" s="132" t="str">
        <f t="shared" si="41"/>
        <v/>
      </c>
      <c r="Q75" s="132" t="str">
        <f t="shared" si="44"/>
        <v/>
      </c>
      <c r="R75" s="132" t="str">
        <f>IF(ISNUMBER(SEARCH("AHO",Import2[[#This Row],[Tenure]])),"AHO",Import2[[#This Row],[Tenure]])&amp;Import2[[#This Row],[Expected Physical Completion Year]]&amp;Import2[[#This Row],[Expected Physical Completion Month]]</f>
        <v>Open market housing</v>
      </c>
      <c r="S75" s="135">
        <f t="shared" si="42"/>
        <v>0</v>
      </c>
      <c r="T75" s="132" t="str">
        <f t="shared" si="30"/>
        <v/>
      </c>
      <c r="U75" s="132" t="str">
        <f t="shared" si="30"/>
        <v/>
      </c>
      <c r="V75" s="132" t="str">
        <f>IF(ISNUMBER(SEARCH("AHO",Import2[[#This Row],[Tenure]])),"AHO",Import2[[#This Row],[Tenure]])&amp;Import2[[#This Row],[Expected sale completion year]]&amp;Import2[[#This Row],[Expected sale completion month]]</f>
        <v>Open market housing</v>
      </c>
      <c r="W75" s="178">
        <f t="shared" si="43"/>
        <v>0</v>
      </c>
    </row>
    <row r="76" spans="1:23" ht="15.5">
      <c r="A76" s="132">
        <f t="shared" si="31"/>
        <v>0</v>
      </c>
      <c r="B76" s="133">
        <v>73</v>
      </c>
      <c r="C76" s="132" t="str">
        <f t="shared" si="32"/>
        <v/>
      </c>
      <c r="D76" s="132">
        <f t="shared" si="28"/>
        <v>0</v>
      </c>
      <c r="E76" s="132">
        <f t="shared" si="28"/>
        <v>0</v>
      </c>
      <c r="F76" s="132">
        <f t="shared" si="33"/>
        <v>0</v>
      </c>
      <c r="G76" s="132" t="str">
        <f t="shared" si="28"/>
        <v>Open market housing</v>
      </c>
      <c r="H76" s="132">
        <f t="shared" si="34"/>
        <v>896440000</v>
      </c>
      <c r="I76" s="132" t="str">
        <f t="shared" si="35"/>
        <v>New build</v>
      </c>
      <c r="J76" s="132">
        <f t="shared" si="36"/>
        <v>391930000</v>
      </c>
      <c r="K76" s="132">
        <f t="shared" si="37"/>
        <v>0</v>
      </c>
      <c r="L76" s="132">
        <f t="shared" si="38"/>
        <v>0</v>
      </c>
      <c r="M76" s="132">
        <f t="shared" si="29"/>
        <v>0</v>
      </c>
      <c r="N76" s="134">
        <f t="shared" si="39"/>
        <v>0</v>
      </c>
      <c r="O76" s="135">
        <f t="shared" si="40"/>
        <v>0</v>
      </c>
      <c r="P76" s="132" t="str">
        <f t="shared" si="41"/>
        <v/>
      </c>
      <c r="Q76" s="132" t="str">
        <f t="shared" si="44"/>
        <v/>
      </c>
      <c r="R76" s="132" t="str">
        <f>IF(ISNUMBER(SEARCH("AHO",Import2[[#This Row],[Tenure]])),"AHO",Import2[[#This Row],[Tenure]])&amp;Import2[[#This Row],[Expected Physical Completion Year]]&amp;Import2[[#This Row],[Expected Physical Completion Month]]</f>
        <v>Open market housing</v>
      </c>
      <c r="S76" s="135">
        <f t="shared" si="42"/>
        <v>0</v>
      </c>
      <c r="T76" s="132" t="str">
        <f t="shared" si="30"/>
        <v/>
      </c>
      <c r="U76" s="132" t="str">
        <f t="shared" si="30"/>
        <v/>
      </c>
      <c r="V76" s="132" t="str">
        <f>IF(ISNUMBER(SEARCH("AHO",Import2[[#This Row],[Tenure]])),"AHO",Import2[[#This Row],[Tenure]])&amp;Import2[[#This Row],[Expected sale completion year]]&amp;Import2[[#This Row],[Expected sale completion month]]</f>
        <v>Open market housing</v>
      </c>
      <c r="W76" s="178">
        <f t="shared" si="43"/>
        <v>0</v>
      </c>
    </row>
    <row r="77" spans="1:23" ht="15.5">
      <c r="A77" s="132">
        <f t="shared" si="31"/>
        <v>0</v>
      </c>
      <c r="B77" s="133">
        <v>74</v>
      </c>
      <c r="C77" s="132" t="str">
        <f t="shared" si="32"/>
        <v/>
      </c>
      <c r="D77" s="132">
        <f t="shared" si="28"/>
        <v>0</v>
      </c>
      <c r="E77" s="132">
        <f t="shared" si="28"/>
        <v>0</v>
      </c>
      <c r="F77" s="132">
        <f t="shared" si="33"/>
        <v>0</v>
      </c>
      <c r="G77" s="132" t="str">
        <f t="shared" si="28"/>
        <v>Open market housing</v>
      </c>
      <c r="H77" s="132">
        <f t="shared" si="34"/>
        <v>896440000</v>
      </c>
      <c r="I77" s="132" t="str">
        <f t="shared" si="35"/>
        <v>New build</v>
      </c>
      <c r="J77" s="132">
        <f t="shared" si="36"/>
        <v>391930000</v>
      </c>
      <c r="K77" s="132">
        <f t="shared" si="37"/>
        <v>0</v>
      </c>
      <c r="L77" s="132">
        <f t="shared" si="38"/>
        <v>0</v>
      </c>
      <c r="M77" s="132">
        <f t="shared" si="29"/>
        <v>0</v>
      </c>
      <c r="N77" s="134">
        <f t="shared" si="39"/>
        <v>0</v>
      </c>
      <c r="O77" s="135">
        <f t="shared" si="40"/>
        <v>0</v>
      </c>
      <c r="P77" s="132" t="str">
        <f t="shared" si="41"/>
        <v/>
      </c>
      <c r="Q77" s="132" t="str">
        <f t="shared" si="44"/>
        <v/>
      </c>
      <c r="R77" s="132" t="str">
        <f>IF(ISNUMBER(SEARCH("AHO",Import2[[#This Row],[Tenure]])),"AHO",Import2[[#This Row],[Tenure]])&amp;Import2[[#This Row],[Expected Physical Completion Year]]&amp;Import2[[#This Row],[Expected Physical Completion Month]]</f>
        <v>Open market housing</v>
      </c>
      <c r="S77" s="135">
        <f t="shared" si="42"/>
        <v>0</v>
      </c>
      <c r="T77" s="132" t="str">
        <f t="shared" si="30"/>
        <v/>
      </c>
      <c r="U77" s="132" t="str">
        <f t="shared" si="30"/>
        <v/>
      </c>
      <c r="V77" s="132" t="str">
        <f>IF(ISNUMBER(SEARCH("AHO",Import2[[#This Row],[Tenure]])),"AHO",Import2[[#This Row],[Tenure]])&amp;Import2[[#This Row],[Expected sale completion year]]&amp;Import2[[#This Row],[Expected sale completion month]]</f>
        <v>Open market housing</v>
      </c>
      <c r="W77" s="178">
        <f t="shared" si="43"/>
        <v>0</v>
      </c>
    </row>
    <row r="78" spans="1:23" ht="15.5">
      <c r="A78" s="132">
        <f t="shared" si="31"/>
        <v>0</v>
      </c>
      <c r="B78" s="133">
        <v>75</v>
      </c>
      <c r="C78" s="132" t="str">
        <f t="shared" si="32"/>
        <v/>
      </c>
      <c r="D78" s="132">
        <f t="shared" si="28"/>
        <v>0</v>
      </c>
      <c r="E78" s="132">
        <f t="shared" si="28"/>
        <v>0</v>
      </c>
      <c r="F78" s="132">
        <f t="shared" si="33"/>
        <v>0</v>
      </c>
      <c r="G78" s="132" t="str">
        <f t="shared" si="28"/>
        <v>Open market housing</v>
      </c>
      <c r="H78" s="132">
        <f t="shared" si="34"/>
        <v>896440000</v>
      </c>
      <c r="I78" s="132" t="str">
        <f t="shared" si="35"/>
        <v>New build</v>
      </c>
      <c r="J78" s="132">
        <f t="shared" si="36"/>
        <v>391930000</v>
      </c>
      <c r="K78" s="132">
        <f t="shared" si="37"/>
        <v>0</v>
      </c>
      <c r="L78" s="132">
        <f t="shared" si="38"/>
        <v>0</v>
      </c>
      <c r="M78" s="132">
        <f t="shared" si="29"/>
        <v>0</v>
      </c>
      <c r="N78" s="134">
        <f t="shared" si="39"/>
        <v>0</v>
      </c>
      <c r="O78" s="135">
        <f t="shared" si="40"/>
        <v>0</v>
      </c>
      <c r="P78" s="132" t="str">
        <f t="shared" si="41"/>
        <v/>
      </c>
      <c r="Q78" s="132" t="str">
        <f t="shared" si="44"/>
        <v/>
      </c>
      <c r="R78" s="132" t="str">
        <f>IF(ISNUMBER(SEARCH("AHO",Import2[[#This Row],[Tenure]])),"AHO",Import2[[#This Row],[Tenure]])&amp;Import2[[#This Row],[Expected Physical Completion Year]]&amp;Import2[[#This Row],[Expected Physical Completion Month]]</f>
        <v>Open market housing</v>
      </c>
      <c r="S78" s="135">
        <f t="shared" si="42"/>
        <v>0</v>
      </c>
      <c r="T78" s="132" t="str">
        <f t="shared" si="30"/>
        <v/>
      </c>
      <c r="U78" s="132" t="str">
        <f t="shared" si="30"/>
        <v/>
      </c>
      <c r="V78" s="132" t="str">
        <f>IF(ISNUMBER(SEARCH("AHO",Import2[[#This Row],[Tenure]])),"AHO",Import2[[#This Row],[Tenure]])&amp;Import2[[#This Row],[Expected sale completion year]]&amp;Import2[[#This Row],[Expected sale completion month]]</f>
        <v>Open market housing</v>
      </c>
      <c r="W78" s="178">
        <f t="shared" si="43"/>
        <v>0</v>
      </c>
    </row>
    <row r="79" spans="1:23" ht="15.5">
      <c r="A79" s="132">
        <f t="shared" si="31"/>
        <v>0</v>
      </c>
      <c r="B79" s="133">
        <v>76</v>
      </c>
      <c r="C79" s="132" t="str">
        <f t="shared" si="32"/>
        <v/>
      </c>
      <c r="D79" s="132">
        <f t="shared" si="28"/>
        <v>0</v>
      </c>
      <c r="E79" s="132">
        <f t="shared" si="28"/>
        <v>0</v>
      </c>
      <c r="F79" s="132">
        <f t="shared" si="33"/>
        <v>0</v>
      </c>
      <c r="G79" s="132" t="str">
        <f t="shared" si="28"/>
        <v>Open market housing</v>
      </c>
      <c r="H79" s="132">
        <f t="shared" si="34"/>
        <v>896440000</v>
      </c>
      <c r="I79" s="132" t="str">
        <f t="shared" si="35"/>
        <v>New build</v>
      </c>
      <c r="J79" s="132">
        <f t="shared" si="36"/>
        <v>391930000</v>
      </c>
      <c r="K79" s="132">
        <f t="shared" si="37"/>
        <v>0</v>
      </c>
      <c r="L79" s="132">
        <f t="shared" si="38"/>
        <v>0</v>
      </c>
      <c r="M79" s="132">
        <f t="shared" si="29"/>
        <v>0</v>
      </c>
      <c r="N79" s="134">
        <f t="shared" si="39"/>
        <v>0</v>
      </c>
      <c r="O79" s="135">
        <f t="shared" si="40"/>
        <v>0</v>
      </c>
      <c r="P79" s="132" t="str">
        <f t="shared" si="41"/>
        <v/>
      </c>
      <c r="Q79" s="132" t="str">
        <f t="shared" si="44"/>
        <v/>
      </c>
      <c r="R79" s="132" t="str">
        <f>IF(ISNUMBER(SEARCH("AHO",Import2[[#This Row],[Tenure]])),"AHO",Import2[[#This Row],[Tenure]])&amp;Import2[[#This Row],[Expected Physical Completion Year]]&amp;Import2[[#This Row],[Expected Physical Completion Month]]</f>
        <v>Open market housing</v>
      </c>
      <c r="S79" s="135">
        <f t="shared" si="42"/>
        <v>0</v>
      </c>
      <c r="T79" s="132" t="str">
        <f t="shared" si="30"/>
        <v/>
      </c>
      <c r="U79" s="132" t="str">
        <f t="shared" si="30"/>
        <v/>
      </c>
      <c r="V79" s="132" t="str">
        <f>IF(ISNUMBER(SEARCH("AHO",Import2[[#This Row],[Tenure]])),"AHO",Import2[[#This Row],[Tenure]])&amp;Import2[[#This Row],[Expected sale completion year]]&amp;Import2[[#This Row],[Expected sale completion month]]</f>
        <v>Open market housing</v>
      </c>
      <c r="W79" s="178">
        <f t="shared" si="43"/>
        <v>0</v>
      </c>
    </row>
    <row r="80" spans="1:23" ht="15.5">
      <c r="A80" s="132">
        <f t="shared" si="31"/>
        <v>0</v>
      </c>
      <c r="B80" s="133">
        <v>77</v>
      </c>
      <c r="C80" s="132" t="str">
        <f t="shared" si="32"/>
        <v/>
      </c>
      <c r="D80" s="132">
        <f t="shared" si="28"/>
        <v>0</v>
      </c>
      <c r="E80" s="132">
        <f t="shared" si="28"/>
        <v>0</v>
      </c>
      <c r="F80" s="132">
        <f t="shared" si="33"/>
        <v>0</v>
      </c>
      <c r="G80" s="132" t="str">
        <f t="shared" si="28"/>
        <v>Open market housing</v>
      </c>
      <c r="H80" s="132">
        <f t="shared" si="34"/>
        <v>896440000</v>
      </c>
      <c r="I80" s="132" t="str">
        <f t="shared" si="35"/>
        <v>New build</v>
      </c>
      <c r="J80" s="132">
        <f t="shared" si="36"/>
        <v>391930000</v>
      </c>
      <c r="K80" s="132">
        <f t="shared" si="37"/>
        <v>0</v>
      </c>
      <c r="L80" s="132">
        <f t="shared" si="38"/>
        <v>0</v>
      </c>
      <c r="M80" s="132">
        <f t="shared" si="29"/>
        <v>0</v>
      </c>
      <c r="N80" s="134">
        <f t="shared" si="39"/>
        <v>0</v>
      </c>
      <c r="O80" s="135">
        <f t="shared" si="40"/>
        <v>0</v>
      </c>
      <c r="P80" s="132" t="str">
        <f t="shared" si="41"/>
        <v/>
      </c>
      <c r="Q80" s="132" t="str">
        <f t="shared" si="44"/>
        <v/>
      </c>
      <c r="R80" s="132" t="str">
        <f>IF(ISNUMBER(SEARCH("AHO",Import2[[#This Row],[Tenure]])),"AHO",Import2[[#This Row],[Tenure]])&amp;Import2[[#This Row],[Expected Physical Completion Year]]&amp;Import2[[#This Row],[Expected Physical Completion Month]]</f>
        <v>Open market housing</v>
      </c>
      <c r="S80" s="135">
        <f t="shared" si="42"/>
        <v>0</v>
      </c>
      <c r="T80" s="132" t="str">
        <f t="shared" si="30"/>
        <v/>
      </c>
      <c r="U80" s="132" t="str">
        <f t="shared" si="30"/>
        <v/>
      </c>
      <c r="V80" s="132" t="str">
        <f>IF(ISNUMBER(SEARCH("AHO",Import2[[#This Row],[Tenure]])),"AHO",Import2[[#This Row],[Tenure]])&amp;Import2[[#This Row],[Expected sale completion year]]&amp;Import2[[#This Row],[Expected sale completion month]]</f>
        <v>Open market housing</v>
      </c>
      <c r="W80" s="178">
        <f t="shared" si="43"/>
        <v>0</v>
      </c>
    </row>
    <row r="81" spans="1:23" ht="15.5">
      <c r="A81" s="132">
        <f t="shared" si="31"/>
        <v>0</v>
      </c>
      <c r="B81" s="133">
        <v>78</v>
      </c>
      <c r="C81" s="132" t="str">
        <f t="shared" si="32"/>
        <v/>
      </c>
      <c r="D81" s="132">
        <f t="shared" si="28"/>
        <v>0</v>
      </c>
      <c r="E81" s="132">
        <f t="shared" si="28"/>
        <v>0</v>
      </c>
      <c r="F81" s="132">
        <f t="shared" si="33"/>
        <v>0</v>
      </c>
      <c r="G81" s="132" t="str">
        <f t="shared" si="28"/>
        <v>Open market housing</v>
      </c>
      <c r="H81" s="132">
        <f t="shared" si="34"/>
        <v>896440000</v>
      </c>
      <c r="I81" s="132" t="str">
        <f t="shared" si="35"/>
        <v>New build</v>
      </c>
      <c r="J81" s="132">
        <f t="shared" si="36"/>
        <v>391930000</v>
      </c>
      <c r="K81" s="132">
        <f t="shared" si="37"/>
        <v>0</v>
      </c>
      <c r="L81" s="132">
        <f t="shared" si="38"/>
        <v>0</v>
      </c>
      <c r="M81" s="132">
        <f t="shared" si="29"/>
        <v>0</v>
      </c>
      <c r="N81" s="134">
        <f t="shared" si="39"/>
        <v>0</v>
      </c>
      <c r="O81" s="135">
        <f t="shared" si="40"/>
        <v>0</v>
      </c>
      <c r="P81" s="132" t="str">
        <f t="shared" si="41"/>
        <v/>
      </c>
      <c r="Q81" s="132" t="str">
        <f t="shared" si="44"/>
        <v/>
      </c>
      <c r="R81" s="132" t="str">
        <f>IF(ISNUMBER(SEARCH("AHO",Import2[[#This Row],[Tenure]])),"AHO",Import2[[#This Row],[Tenure]])&amp;Import2[[#This Row],[Expected Physical Completion Year]]&amp;Import2[[#This Row],[Expected Physical Completion Month]]</f>
        <v>Open market housing</v>
      </c>
      <c r="S81" s="135">
        <f t="shared" si="42"/>
        <v>0</v>
      </c>
      <c r="T81" s="132" t="str">
        <f t="shared" si="30"/>
        <v/>
      </c>
      <c r="U81" s="132" t="str">
        <f t="shared" si="30"/>
        <v/>
      </c>
      <c r="V81" s="132" t="str">
        <f>IF(ISNUMBER(SEARCH("AHO",Import2[[#This Row],[Tenure]])),"AHO",Import2[[#This Row],[Tenure]])&amp;Import2[[#This Row],[Expected sale completion year]]&amp;Import2[[#This Row],[Expected sale completion month]]</f>
        <v>Open market housing</v>
      </c>
      <c r="W81" s="178">
        <f t="shared" si="43"/>
        <v>0</v>
      </c>
    </row>
    <row r="82" spans="1:23" ht="15.5">
      <c r="A82" s="132">
        <f t="shared" si="31"/>
        <v>0</v>
      </c>
      <c r="B82" s="133">
        <v>79</v>
      </c>
      <c r="C82" s="132" t="str">
        <f t="shared" si="32"/>
        <v/>
      </c>
      <c r="D82" s="132">
        <f t="shared" si="28"/>
        <v>0</v>
      </c>
      <c r="E82" s="132">
        <f t="shared" si="28"/>
        <v>0</v>
      </c>
      <c r="F82" s="132">
        <f t="shared" si="33"/>
        <v>0</v>
      </c>
      <c r="G82" s="132" t="str">
        <f t="shared" si="28"/>
        <v>Open market housing</v>
      </c>
      <c r="H82" s="132">
        <f t="shared" si="34"/>
        <v>896440000</v>
      </c>
      <c r="I82" s="132" t="str">
        <f t="shared" si="35"/>
        <v>New build</v>
      </c>
      <c r="J82" s="132">
        <f t="shared" si="36"/>
        <v>391930000</v>
      </c>
      <c r="K82" s="132">
        <f t="shared" si="37"/>
        <v>0</v>
      </c>
      <c r="L82" s="132">
        <f t="shared" si="38"/>
        <v>0</v>
      </c>
      <c r="M82" s="132">
        <f t="shared" si="29"/>
        <v>0</v>
      </c>
      <c r="N82" s="134">
        <f t="shared" si="39"/>
        <v>0</v>
      </c>
      <c r="O82" s="135">
        <f t="shared" si="40"/>
        <v>0</v>
      </c>
      <c r="P82" s="132" t="str">
        <f t="shared" si="41"/>
        <v/>
      </c>
      <c r="Q82" s="132" t="str">
        <f t="shared" si="44"/>
        <v/>
      </c>
      <c r="R82" s="132" t="str">
        <f>IF(ISNUMBER(SEARCH("AHO",Import2[[#This Row],[Tenure]])),"AHO",Import2[[#This Row],[Tenure]])&amp;Import2[[#This Row],[Expected Physical Completion Year]]&amp;Import2[[#This Row],[Expected Physical Completion Month]]</f>
        <v>Open market housing</v>
      </c>
      <c r="S82" s="135">
        <f t="shared" si="42"/>
        <v>0</v>
      </c>
      <c r="T82" s="132" t="str">
        <f t="shared" si="30"/>
        <v/>
      </c>
      <c r="U82" s="132" t="str">
        <f t="shared" si="30"/>
        <v/>
      </c>
      <c r="V82" s="132" t="str">
        <f>IF(ISNUMBER(SEARCH("AHO",Import2[[#This Row],[Tenure]])),"AHO",Import2[[#This Row],[Tenure]])&amp;Import2[[#This Row],[Expected sale completion year]]&amp;Import2[[#This Row],[Expected sale completion month]]</f>
        <v>Open market housing</v>
      </c>
      <c r="W82" s="178">
        <f t="shared" si="43"/>
        <v>0</v>
      </c>
    </row>
    <row r="83" spans="1:23" ht="15.5">
      <c r="A83" s="132">
        <f t="shared" si="31"/>
        <v>0</v>
      </c>
      <c r="B83" s="133">
        <v>80</v>
      </c>
      <c r="C83" s="132" t="str">
        <f t="shared" si="32"/>
        <v/>
      </c>
      <c r="D83" s="132">
        <f t="shared" si="28"/>
        <v>0</v>
      </c>
      <c r="E83" s="132">
        <f t="shared" si="28"/>
        <v>0</v>
      </c>
      <c r="F83" s="132">
        <f t="shared" si="33"/>
        <v>0</v>
      </c>
      <c r="G83" s="132" t="str">
        <f t="shared" si="28"/>
        <v>Open market housing</v>
      </c>
      <c r="H83" s="132">
        <f t="shared" si="34"/>
        <v>896440000</v>
      </c>
      <c r="I83" s="132" t="str">
        <f t="shared" si="35"/>
        <v>New build</v>
      </c>
      <c r="J83" s="132">
        <f t="shared" si="36"/>
        <v>391930000</v>
      </c>
      <c r="K83" s="132">
        <f t="shared" si="37"/>
        <v>0</v>
      </c>
      <c r="L83" s="132">
        <f t="shared" si="38"/>
        <v>0</v>
      </c>
      <c r="M83" s="132">
        <f t="shared" si="29"/>
        <v>0</v>
      </c>
      <c r="N83" s="134">
        <f t="shared" si="39"/>
        <v>0</v>
      </c>
      <c r="O83" s="135">
        <f t="shared" si="40"/>
        <v>0</v>
      </c>
      <c r="P83" s="132" t="str">
        <f t="shared" si="41"/>
        <v/>
      </c>
      <c r="Q83" s="132" t="str">
        <f t="shared" si="44"/>
        <v/>
      </c>
      <c r="R83" s="132" t="str">
        <f>IF(ISNUMBER(SEARCH("AHO",Import2[[#This Row],[Tenure]])),"AHO",Import2[[#This Row],[Tenure]])&amp;Import2[[#This Row],[Expected Physical Completion Year]]&amp;Import2[[#This Row],[Expected Physical Completion Month]]</f>
        <v>Open market housing</v>
      </c>
      <c r="S83" s="135">
        <f t="shared" si="42"/>
        <v>0</v>
      </c>
      <c r="T83" s="132" t="str">
        <f t="shared" si="30"/>
        <v/>
      </c>
      <c r="U83" s="132" t="str">
        <f t="shared" si="30"/>
        <v/>
      </c>
      <c r="V83" s="132" t="str">
        <f>IF(ISNUMBER(SEARCH("AHO",Import2[[#This Row],[Tenure]])),"AHO",Import2[[#This Row],[Tenure]])&amp;Import2[[#This Row],[Expected sale completion year]]&amp;Import2[[#This Row],[Expected sale completion month]]</f>
        <v>Open market housing</v>
      </c>
      <c r="W83" s="178">
        <f t="shared" si="43"/>
        <v>0</v>
      </c>
    </row>
    <row r="84" spans="1:23" ht="15.5">
      <c r="A84" s="132">
        <f t="shared" si="31"/>
        <v>0</v>
      </c>
      <c r="B84" s="133">
        <v>81</v>
      </c>
      <c r="C84" s="132" t="str">
        <f t="shared" si="32"/>
        <v/>
      </c>
      <c r="D84" s="132">
        <f t="shared" ref="D84:G103" si="45">INDEX(PlotData,MATCH($B84,PlotNumber,0),MATCH(D$3,PlotTitles,0))</f>
        <v>0</v>
      </c>
      <c r="E84" s="132">
        <f t="shared" si="45"/>
        <v>0</v>
      </c>
      <c r="F84" s="132">
        <f t="shared" si="33"/>
        <v>0</v>
      </c>
      <c r="G84" s="132" t="str">
        <f t="shared" si="45"/>
        <v>Open market housing</v>
      </c>
      <c r="H84" s="132">
        <f t="shared" si="34"/>
        <v>896440000</v>
      </c>
      <c r="I84" s="132" t="str">
        <f t="shared" si="35"/>
        <v>New build</v>
      </c>
      <c r="J84" s="132">
        <f t="shared" si="36"/>
        <v>391930000</v>
      </c>
      <c r="K84" s="132">
        <f t="shared" si="37"/>
        <v>0</v>
      </c>
      <c r="L84" s="132">
        <f t="shared" si="38"/>
        <v>0</v>
      </c>
      <c r="M84" s="132">
        <f t="shared" ref="M84:M103" si="46">INDEX(PlotData,MATCH($B84,PlotNumber,0),MATCH(M$3,PlotTitles,0))</f>
        <v>0</v>
      </c>
      <c r="N84" s="134">
        <f t="shared" si="39"/>
        <v>0</v>
      </c>
      <c r="O84" s="135">
        <f t="shared" si="40"/>
        <v>0</v>
      </c>
      <c r="P84" s="132" t="str">
        <f t="shared" si="41"/>
        <v/>
      </c>
      <c r="Q84" s="132" t="str">
        <f t="shared" si="44"/>
        <v/>
      </c>
      <c r="R84" s="132" t="str">
        <f>IF(ISNUMBER(SEARCH("AHO",Import2[[#This Row],[Tenure]])),"AHO",Import2[[#This Row],[Tenure]])&amp;Import2[[#This Row],[Expected Physical Completion Year]]&amp;Import2[[#This Row],[Expected Physical Completion Month]]</f>
        <v>Open market housing</v>
      </c>
      <c r="S84" s="135">
        <f t="shared" si="42"/>
        <v>0</v>
      </c>
      <c r="T84" s="132" t="str">
        <f t="shared" ref="T84:U103" si="47">IF(INDEX(PlotData,MATCH($B84,PlotNumber,0),MATCH(T$3,PlotTitles,0))=0,"",INDEX(PlotData,MATCH($B84,PlotNumber,0),MATCH(T$3,PlotTitles,0)))</f>
        <v/>
      </c>
      <c r="U84" s="132" t="str">
        <f t="shared" si="47"/>
        <v/>
      </c>
      <c r="V84" s="132" t="str">
        <f>IF(ISNUMBER(SEARCH("AHO",Import2[[#This Row],[Tenure]])),"AHO",Import2[[#This Row],[Tenure]])&amp;Import2[[#This Row],[Expected sale completion year]]&amp;Import2[[#This Row],[Expected sale completion month]]</f>
        <v>Open market housing</v>
      </c>
      <c r="W84" s="178">
        <f t="shared" si="43"/>
        <v>0</v>
      </c>
    </row>
    <row r="85" spans="1:23" ht="15.5">
      <c r="A85" s="132">
        <f t="shared" si="31"/>
        <v>0</v>
      </c>
      <c r="B85" s="133">
        <v>82</v>
      </c>
      <c r="C85" s="132" t="str">
        <f t="shared" si="32"/>
        <v/>
      </c>
      <c r="D85" s="132">
        <f t="shared" si="45"/>
        <v>0</v>
      </c>
      <c r="E85" s="132">
        <f t="shared" si="45"/>
        <v>0</v>
      </c>
      <c r="F85" s="132">
        <f t="shared" si="33"/>
        <v>0</v>
      </c>
      <c r="G85" s="132" t="str">
        <f t="shared" si="45"/>
        <v>Open market housing</v>
      </c>
      <c r="H85" s="132">
        <f t="shared" si="34"/>
        <v>896440000</v>
      </c>
      <c r="I85" s="132" t="str">
        <f t="shared" si="35"/>
        <v>New build</v>
      </c>
      <c r="J85" s="132">
        <f t="shared" si="36"/>
        <v>391930000</v>
      </c>
      <c r="K85" s="132">
        <f t="shared" si="37"/>
        <v>0</v>
      </c>
      <c r="L85" s="132">
        <f t="shared" si="38"/>
        <v>0</v>
      </c>
      <c r="M85" s="132">
        <f t="shared" si="46"/>
        <v>0</v>
      </c>
      <c r="N85" s="134">
        <f t="shared" si="39"/>
        <v>0</v>
      </c>
      <c r="O85" s="135">
        <f t="shared" si="40"/>
        <v>0</v>
      </c>
      <c r="P85" s="132" t="str">
        <f t="shared" si="41"/>
        <v/>
      </c>
      <c r="Q85" s="132" t="str">
        <f t="shared" si="44"/>
        <v/>
      </c>
      <c r="R85" s="132" t="str">
        <f>IF(ISNUMBER(SEARCH("AHO",Import2[[#This Row],[Tenure]])),"AHO",Import2[[#This Row],[Tenure]])&amp;Import2[[#This Row],[Expected Physical Completion Year]]&amp;Import2[[#This Row],[Expected Physical Completion Month]]</f>
        <v>Open market housing</v>
      </c>
      <c r="S85" s="135">
        <f t="shared" si="42"/>
        <v>0</v>
      </c>
      <c r="T85" s="132" t="str">
        <f t="shared" si="47"/>
        <v/>
      </c>
      <c r="U85" s="132" t="str">
        <f t="shared" si="47"/>
        <v/>
      </c>
      <c r="V85" s="132" t="str">
        <f>IF(ISNUMBER(SEARCH("AHO",Import2[[#This Row],[Tenure]])),"AHO",Import2[[#This Row],[Tenure]])&amp;Import2[[#This Row],[Expected sale completion year]]&amp;Import2[[#This Row],[Expected sale completion month]]</f>
        <v>Open market housing</v>
      </c>
      <c r="W85" s="178">
        <f t="shared" si="43"/>
        <v>0</v>
      </c>
    </row>
    <row r="86" spans="1:23" ht="15.5">
      <c r="A86" s="132">
        <f t="shared" si="31"/>
        <v>0</v>
      </c>
      <c r="B86" s="133">
        <v>83</v>
      </c>
      <c r="C86" s="132" t="str">
        <f t="shared" si="32"/>
        <v/>
      </c>
      <c r="D86" s="132">
        <f t="shared" si="45"/>
        <v>0</v>
      </c>
      <c r="E86" s="132">
        <f t="shared" si="45"/>
        <v>0</v>
      </c>
      <c r="F86" s="132">
        <f t="shared" si="33"/>
        <v>0</v>
      </c>
      <c r="G86" s="132" t="str">
        <f t="shared" si="45"/>
        <v>Open market housing</v>
      </c>
      <c r="H86" s="132">
        <f t="shared" si="34"/>
        <v>896440000</v>
      </c>
      <c r="I86" s="132" t="str">
        <f t="shared" si="35"/>
        <v>New build</v>
      </c>
      <c r="J86" s="132">
        <f t="shared" si="36"/>
        <v>391930000</v>
      </c>
      <c r="K86" s="132">
        <f t="shared" si="37"/>
        <v>0</v>
      </c>
      <c r="L86" s="132">
        <f t="shared" si="38"/>
        <v>0</v>
      </c>
      <c r="M86" s="132">
        <f t="shared" si="46"/>
        <v>0</v>
      </c>
      <c r="N86" s="134">
        <f t="shared" si="39"/>
        <v>0</v>
      </c>
      <c r="O86" s="135">
        <f t="shared" si="40"/>
        <v>0</v>
      </c>
      <c r="P86" s="132" t="str">
        <f t="shared" si="41"/>
        <v/>
      </c>
      <c r="Q86" s="132" t="str">
        <f t="shared" si="44"/>
        <v/>
      </c>
      <c r="R86" s="132" t="str">
        <f>IF(ISNUMBER(SEARCH("AHO",Import2[[#This Row],[Tenure]])),"AHO",Import2[[#This Row],[Tenure]])&amp;Import2[[#This Row],[Expected Physical Completion Year]]&amp;Import2[[#This Row],[Expected Physical Completion Month]]</f>
        <v>Open market housing</v>
      </c>
      <c r="S86" s="135">
        <f t="shared" si="42"/>
        <v>0</v>
      </c>
      <c r="T86" s="132" t="str">
        <f t="shared" si="47"/>
        <v/>
      </c>
      <c r="U86" s="132" t="str">
        <f t="shared" si="47"/>
        <v/>
      </c>
      <c r="V86" s="132" t="str">
        <f>IF(ISNUMBER(SEARCH("AHO",Import2[[#This Row],[Tenure]])),"AHO",Import2[[#This Row],[Tenure]])&amp;Import2[[#This Row],[Expected sale completion year]]&amp;Import2[[#This Row],[Expected sale completion month]]</f>
        <v>Open market housing</v>
      </c>
      <c r="W86" s="178">
        <f t="shared" si="43"/>
        <v>0</v>
      </c>
    </row>
    <row r="87" spans="1:23" ht="15.5">
      <c r="A87" s="132">
        <f t="shared" si="31"/>
        <v>0</v>
      </c>
      <c r="B87" s="133">
        <v>84</v>
      </c>
      <c r="C87" s="132" t="str">
        <f t="shared" si="32"/>
        <v/>
      </c>
      <c r="D87" s="132">
        <f t="shared" si="45"/>
        <v>0</v>
      </c>
      <c r="E87" s="132">
        <f t="shared" si="45"/>
        <v>0</v>
      </c>
      <c r="F87" s="132">
        <f t="shared" si="33"/>
        <v>0</v>
      </c>
      <c r="G87" s="132" t="str">
        <f t="shared" si="45"/>
        <v>Open market housing</v>
      </c>
      <c r="H87" s="132">
        <f t="shared" si="34"/>
        <v>896440000</v>
      </c>
      <c r="I87" s="132" t="str">
        <f t="shared" si="35"/>
        <v>New build</v>
      </c>
      <c r="J87" s="132">
        <f t="shared" si="36"/>
        <v>391930000</v>
      </c>
      <c r="K87" s="132">
        <f t="shared" si="37"/>
        <v>0</v>
      </c>
      <c r="L87" s="132">
        <f t="shared" si="38"/>
        <v>0</v>
      </c>
      <c r="M87" s="132">
        <f t="shared" si="46"/>
        <v>0</v>
      </c>
      <c r="N87" s="134">
        <f t="shared" si="39"/>
        <v>0</v>
      </c>
      <c r="O87" s="135">
        <f t="shared" si="40"/>
        <v>0</v>
      </c>
      <c r="P87" s="132" t="str">
        <f t="shared" si="41"/>
        <v/>
      </c>
      <c r="Q87" s="132" t="str">
        <f t="shared" si="44"/>
        <v/>
      </c>
      <c r="R87" s="132" t="str">
        <f>IF(ISNUMBER(SEARCH("AHO",Import2[[#This Row],[Tenure]])),"AHO",Import2[[#This Row],[Tenure]])&amp;Import2[[#This Row],[Expected Physical Completion Year]]&amp;Import2[[#This Row],[Expected Physical Completion Month]]</f>
        <v>Open market housing</v>
      </c>
      <c r="S87" s="135">
        <f t="shared" si="42"/>
        <v>0</v>
      </c>
      <c r="T87" s="132" t="str">
        <f t="shared" si="47"/>
        <v/>
      </c>
      <c r="U87" s="132" t="str">
        <f t="shared" si="47"/>
        <v/>
      </c>
      <c r="V87" s="132" t="str">
        <f>IF(ISNUMBER(SEARCH("AHO",Import2[[#This Row],[Tenure]])),"AHO",Import2[[#This Row],[Tenure]])&amp;Import2[[#This Row],[Expected sale completion year]]&amp;Import2[[#This Row],[Expected sale completion month]]</f>
        <v>Open market housing</v>
      </c>
      <c r="W87" s="178">
        <f t="shared" si="43"/>
        <v>0</v>
      </c>
    </row>
    <row r="88" spans="1:23" ht="15.5">
      <c r="A88" s="132">
        <f t="shared" si="31"/>
        <v>0</v>
      </c>
      <c r="B88" s="133">
        <v>85</v>
      </c>
      <c r="C88" s="132" t="str">
        <f t="shared" si="32"/>
        <v/>
      </c>
      <c r="D88" s="132">
        <f t="shared" si="45"/>
        <v>0</v>
      </c>
      <c r="E88" s="132">
        <f t="shared" si="45"/>
        <v>0</v>
      </c>
      <c r="F88" s="132">
        <f t="shared" si="33"/>
        <v>0</v>
      </c>
      <c r="G88" s="132" t="str">
        <f t="shared" si="45"/>
        <v>Open market housing</v>
      </c>
      <c r="H88" s="132">
        <f t="shared" si="34"/>
        <v>896440000</v>
      </c>
      <c r="I88" s="132" t="str">
        <f t="shared" si="35"/>
        <v>New build</v>
      </c>
      <c r="J88" s="132">
        <f t="shared" si="36"/>
        <v>391930000</v>
      </c>
      <c r="K88" s="132">
        <f t="shared" si="37"/>
        <v>0</v>
      </c>
      <c r="L88" s="132">
        <f t="shared" si="38"/>
        <v>0</v>
      </c>
      <c r="M88" s="132">
        <f t="shared" si="46"/>
        <v>0</v>
      </c>
      <c r="N88" s="134">
        <f t="shared" si="39"/>
        <v>0</v>
      </c>
      <c r="O88" s="135">
        <f t="shared" si="40"/>
        <v>0</v>
      </c>
      <c r="P88" s="132" t="str">
        <f t="shared" si="41"/>
        <v/>
      </c>
      <c r="Q88" s="132" t="str">
        <f t="shared" si="44"/>
        <v/>
      </c>
      <c r="R88" s="132" t="str">
        <f>IF(ISNUMBER(SEARCH("AHO",Import2[[#This Row],[Tenure]])),"AHO",Import2[[#This Row],[Tenure]])&amp;Import2[[#This Row],[Expected Physical Completion Year]]&amp;Import2[[#This Row],[Expected Physical Completion Month]]</f>
        <v>Open market housing</v>
      </c>
      <c r="S88" s="135">
        <f t="shared" si="42"/>
        <v>0</v>
      </c>
      <c r="T88" s="132" t="str">
        <f t="shared" si="47"/>
        <v/>
      </c>
      <c r="U88" s="132" t="str">
        <f t="shared" si="47"/>
        <v/>
      </c>
      <c r="V88" s="132" t="str">
        <f>IF(ISNUMBER(SEARCH("AHO",Import2[[#This Row],[Tenure]])),"AHO",Import2[[#This Row],[Tenure]])&amp;Import2[[#This Row],[Expected sale completion year]]&amp;Import2[[#This Row],[Expected sale completion month]]</f>
        <v>Open market housing</v>
      </c>
      <c r="W88" s="178">
        <f t="shared" si="43"/>
        <v>0</v>
      </c>
    </row>
    <row r="89" spans="1:23" ht="15.5">
      <c r="A89" s="132">
        <f t="shared" si="31"/>
        <v>0</v>
      </c>
      <c r="B89" s="133">
        <v>86</v>
      </c>
      <c r="C89" s="132" t="str">
        <f t="shared" si="32"/>
        <v/>
      </c>
      <c r="D89" s="132">
        <f t="shared" si="45"/>
        <v>0</v>
      </c>
      <c r="E89" s="132">
        <f t="shared" si="45"/>
        <v>0</v>
      </c>
      <c r="F89" s="132">
        <f t="shared" si="33"/>
        <v>0</v>
      </c>
      <c r="G89" s="132" t="str">
        <f t="shared" si="45"/>
        <v>Open market housing</v>
      </c>
      <c r="H89" s="132">
        <f t="shared" si="34"/>
        <v>896440000</v>
      </c>
      <c r="I89" s="132" t="str">
        <f t="shared" si="35"/>
        <v>New build</v>
      </c>
      <c r="J89" s="132">
        <f t="shared" si="36"/>
        <v>391930000</v>
      </c>
      <c r="K89" s="132">
        <f t="shared" si="37"/>
        <v>0</v>
      </c>
      <c r="L89" s="132">
        <f t="shared" si="38"/>
        <v>0</v>
      </c>
      <c r="M89" s="132">
        <f t="shared" si="46"/>
        <v>0</v>
      </c>
      <c r="N89" s="134">
        <f t="shared" si="39"/>
        <v>0</v>
      </c>
      <c r="O89" s="135">
        <f t="shared" si="40"/>
        <v>0</v>
      </c>
      <c r="P89" s="132" t="str">
        <f t="shared" si="41"/>
        <v/>
      </c>
      <c r="Q89" s="132" t="str">
        <f t="shared" si="44"/>
        <v/>
      </c>
      <c r="R89" s="132" t="str">
        <f>IF(ISNUMBER(SEARCH("AHO",Import2[[#This Row],[Tenure]])),"AHO",Import2[[#This Row],[Tenure]])&amp;Import2[[#This Row],[Expected Physical Completion Year]]&amp;Import2[[#This Row],[Expected Physical Completion Month]]</f>
        <v>Open market housing</v>
      </c>
      <c r="S89" s="135">
        <f t="shared" si="42"/>
        <v>0</v>
      </c>
      <c r="T89" s="132" t="str">
        <f t="shared" si="47"/>
        <v/>
      </c>
      <c r="U89" s="132" t="str">
        <f t="shared" si="47"/>
        <v/>
      </c>
      <c r="V89" s="132" t="str">
        <f>IF(ISNUMBER(SEARCH("AHO",Import2[[#This Row],[Tenure]])),"AHO",Import2[[#This Row],[Tenure]])&amp;Import2[[#This Row],[Expected sale completion year]]&amp;Import2[[#This Row],[Expected sale completion month]]</f>
        <v>Open market housing</v>
      </c>
      <c r="W89" s="178">
        <f t="shared" si="43"/>
        <v>0</v>
      </c>
    </row>
    <row r="90" spans="1:23" ht="15.5">
      <c r="A90" s="132">
        <f t="shared" si="31"/>
        <v>0</v>
      </c>
      <c r="B90" s="133">
        <v>87</v>
      </c>
      <c r="C90" s="132" t="str">
        <f t="shared" si="32"/>
        <v/>
      </c>
      <c r="D90" s="132">
        <f t="shared" si="45"/>
        <v>0</v>
      </c>
      <c r="E90" s="132">
        <f t="shared" si="45"/>
        <v>0</v>
      </c>
      <c r="F90" s="132">
        <f t="shared" si="33"/>
        <v>0</v>
      </c>
      <c r="G90" s="132" t="str">
        <f t="shared" si="45"/>
        <v>Open market housing</v>
      </c>
      <c r="H90" s="132">
        <f t="shared" si="34"/>
        <v>896440000</v>
      </c>
      <c r="I90" s="132" t="str">
        <f t="shared" si="35"/>
        <v>New build</v>
      </c>
      <c r="J90" s="132">
        <f t="shared" si="36"/>
        <v>391930000</v>
      </c>
      <c r="K90" s="132">
        <f t="shared" si="37"/>
        <v>0</v>
      </c>
      <c r="L90" s="132">
        <f t="shared" si="38"/>
        <v>0</v>
      </c>
      <c r="M90" s="132">
        <f t="shared" si="46"/>
        <v>0</v>
      </c>
      <c r="N90" s="134">
        <f t="shared" si="39"/>
        <v>0</v>
      </c>
      <c r="O90" s="135">
        <f t="shared" si="40"/>
        <v>0</v>
      </c>
      <c r="P90" s="132" t="str">
        <f t="shared" si="41"/>
        <v/>
      </c>
      <c r="Q90" s="132" t="str">
        <f t="shared" si="44"/>
        <v/>
      </c>
      <c r="R90" s="132" t="str">
        <f>IF(ISNUMBER(SEARCH("AHO",Import2[[#This Row],[Tenure]])),"AHO",Import2[[#This Row],[Tenure]])&amp;Import2[[#This Row],[Expected Physical Completion Year]]&amp;Import2[[#This Row],[Expected Physical Completion Month]]</f>
        <v>Open market housing</v>
      </c>
      <c r="S90" s="135">
        <f t="shared" si="42"/>
        <v>0</v>
      </c>
      <c r="T90" s="132" t="str">
        <f t="shared" si="47"/>
        <v/>
      </c>
      <c r="U90" s="132" t="str">
        <f t="shared" si="47"/>
        <v/>
      </c>
      <c r="V90" s="132" t="str">
        <f>IF(ISNUMBER(SEARCH("AHO",Import2[[#This Row],[Tenure]])),"AHO",Import2[[#This Row],[Tenure]])&amp;Import2[[#This Row],[Expected sale completion year]]&amp;Import2[[#This Row],[Expected sale completion month]]</f>
        <v>Open market housing</v>
      </c>
      <c r="W90" s="178">
        <f t="shared" si="43"/>
        <v>0</v>
      </c>
    </row>
    <row r="91" spans="1:23" ht="15.5">
      <c r="A91" s="132">
        <f t="shared" si="31"/>
        <v>0</v>
      </c>
      <c r="B91" s="133">
        <v>88</v>
      </c>
      <c r="C91" s="132" t="str">
        <f t="shared" si="32"/>
        <v/>
      </c>
      <c r="D91" s="132">
        <f t="shared" si="45"/>
        <v>0</v>
      </c>
      <c r="E91" s="132">
        <f t="shared" si="45"/>
        <v>0</v>
      </c>
      <c r="F91" s="132">
        <f t="shared" si="33"/>
        <v>0</v>
      </c>
      <c r="G91" s="132" t="str">
        <f t="shared" si="45"/>
        <v>Open market housing</v>
      </c>
      <c r="H91" s="132">
        <f t="shared" si="34"/>
        <v>896440000</v>
      </c>
      <c r="I91" s="132" t="str">
        <f t="shared" si="35"/>
        <v>New build</v>
      </c>
      <c r="J91" s="132">
        <f t="shared" si="36"/>
        <v>391930000</v>
      </c>
      <c r="K91" s="132">
        <f t="shared" si="37"/>
        <v>0</v>
      </c>
      <c r="L91" s="132">
        <f t="shared" si="38"/>
        <v>0</v>
      </c>
      <c r="M91" s="132">
        <f t="shared" si="46"/>
        <v>0</v>
      </c>
      <c r="N91" s="134">
        <f t="shared" si="39"/>
        <v>0</v>
      </c>
      <c r="O91" s="135">
        <f t="shared" si="40"/>
        <v>0</v>
      </c>
      <c r="P91" s="132" t="str">
        <f t="shared" si="41"/>
        <v/>
      </c>
      <c r="Q91" s="132" t="str">
        <f t="shared" si="44"/>
        <v/>
      </c>
      <c r="R91" s="132" t="str">
        <f>IF(ISNUMBER(SEARCH("AHO",Import2[[#This Row],[Tenure]])),"AHO",Import2[[#This Row],[Tenure]])&amp;Import2[[#This Row],[Expected Physical Completion Year]]&amp;Import2[[#This Row],[Expected Physical Completion Month]]</f>
        <v>Open market housing</v>
      </c>
      <c r="S91" s="135">
        <f t="shared" si="42"/>
        <v>0</v>
      </c>
      <c r="T91" s="132" t="str">
        <f t="shared" si="47"/>
        <v/>
      </c>
      <c r="U91" s="132" t="str">
        <f t="shared" si="47"/>
        <v/>
      </c>
      <c r="V91" s="132" t="str">
        <f>IF(ISNUMBER(SEARCH("AHO",Import2[[#This Row],[Tenure]])),"AHO",Import2[[#This Row],[Tenure]])&amp;Import2[[#This Row],[Expected sale completion year]]&amp;Import2[[#This Row],[Expected sale completion month]]</f>
        <v>Open market housing</v>
      </c>
      <c r="W91" s="178">
        <f t="shared" si="43"/>
        <v>0</v>
      </c>
    </row>
    <row r="92" spans="1:23" ht="15.5">
      <c r="A92" s="132">
        <f t="shared" si="31"/>
        <v>0</v>
      </c>
      <c r="B92" s="133">
        <v>89</v>
      </c>
      <c r="C92" s="132" t="str">
        <f t="shared" si="32"/>
        <v/>
      </c>
      <c r="D92" s="132">
        <f t="shared" si="45"/>
        <v>0</v>
      </c>
      <c r="E92" s="132">
        <f t="shared" si="45"/>
        <v>0</v>
      </c>
      <c r="F92" s="132">
        <f t="shared" si="33"/>
        <v>0</v>
      </c>
      <c r="G92" s="132" t="str">
        <f t="shared" si="45"/>
        <v>Open market housing</v>
      </c>
      <c r="H92" s="132">
        <f t="shared" si="34"/>
        <v>896440000</v>
      </c>
      <c r="I92" s="132" t="str">
        <f t="shared" si="35"/>
        <v>New build</v>
      </c>
      <c r="J92" s="132">
        <f t="shared" si="36"/>
        <v>391930000</v>
      </c>
      <c r="K92" s="132">
        <f t="shared" si="37"/>
        <v>0</v>
      </c>
      <c r="L92" s="132">
        <f t="shared" si="38"/>
        <v>0</v>
      </c>
      <c r="M92" s="132">
        <f t="shared" si="46"/>
        <v>0</v>
      </c>
      <c r="N92" s="134">
        <f t="shared" si="39"/>
        <v>0</v>
      </c>
      <c r="O92" s="135">
        <f t="shared" si="40"/>
        <v>0</v>
      </c>
      <c r="P92" s="132" t="str">
        <f t="shared" si="41"/>
        <v/>
      </c>
      <c r="Q92" s="132" t="str">
        <f t="shared" si="44"/>
        <v/>
      </c>
      <c r="R92" s="132" t="str">
        <f>IF(ISNUMBER(SEARCH("AHO",Import2[[#This Row],[Tenure]])),"AHO",Import2[[#This Row],[Tenure]])&amp;Import2[[#This Row],[Expected Physical Completion Year]]&amp;Import2[[#This Row],[Expected Physical Completion Month]]</f>
        <v>Open market housing</v>
      </c>
      <c r="S92" s="135">
        <f t="shared" si="42"/>
        <v>0</v>
      </c>
      <c r="T92" s="132" t="str">
        <f t="shared" si="47"/>
        <v/>
      </c>
      <c r="U92" s="132" t="str">
        <f t="shared" si="47"/>
        <v/>
      </c>
      <c r="V92" s="132" t="str">
        <f>IF(ISNUMBER(SEARCH("AHO",Import2[[#This Row],[Tenure]])),"AHO",Import2[[#This Row],[Tenure]])&amp;Import2[[#This Row],[Expected sale completion year]]&amp;Import2[[#This Row],[Expected sale completion month]]</f>
        <v>Open market housing</v>
      </c>
      <c r="W92" s="178">
        <f t="shared" si="43"/>
        <v>0</v>
      </c>
    </row>
    <row r="93" spans="1:23" ht="15.5">
      <c r="A93" s="132">
        <f t="shared" si="31"/>
        <v>0</v>
      </c>
      <c r="B93" s="133">
        <v>90</v>
      </c>
      <c r="C93" s="132" t="str">
        <f t="shared" si="32"/>
        <v/>
      </c>
      <c r="D93" s="132">
        <f t="shared" si="45"/>
        <v>0</v>
      </c>
      <c r="E93" s="132">
        <f t="shared" si="45"/>
        <v>0</v>
      </c>
      <c r="F93" s="132">
        <f t="shared" si="33"/>
        <v>0</v>
      </c>
      <c r="G93" s="132" t="str">
        <f t="shared" si="45"/>
        <v>Open market housing</v>
      </c>
      <c r="H93" s="132">
        <f t="shared" si="34"/>
        <v>896440000</v>
      </c>
      <c r="I93" s="132" t="str">
        <f t="shared" si="35"/>
        <v>New build</v>
      </c>
      <c r="J93" s="132">
        <f t="shared" si="36"/>
        <v>391930000</v>
      </c>
      <c r="K93" s="132">
        <f t="shared" si="37"/>
        <v>0</v>
      </c>
      <c r="L93" s="132">
        <f t="shared" si="38"/>
        <v>0</v>
      </c>
      <c r="M93" s="132">
        <f t="shared" si="46"/>
        <v>0</v>
      </c>
      <c r="N93" s="134">
        <f t="shared" si="39"/>
        <v>0</v>
      </c>
      <c r="O93" s="135">
        <f t="shared" si="40"/>
        <v>0</v>
      </c>
      <c r="P93" s="132" t="str">
        <f t="shared" si="41"/>
        <v/>
      </c>
      <c r="Q93" s="132" t="str">
        <f t="shared" si="44"/>
        <v/>
      </c>
      <c r="R93" s="132" t="str">
        <f>IF(ISNUMBER(SEARCH("AHO",Import2[[#This Row],[Tenure]])),"AHO",Import2[[#This Row],[Tenure]])&amp;Import2[[#This Row],[Expected Physical Completion Year]]&amp;Import2[[#This Row],[Expected Physical Completion Month]]</f>
        <v>Open market housing</v>
      </c>
      <c r="S93" s="135">
        <f t="shared" si="42"/>
        <v>0</v>
      </c>
      <c r="T93" s="132" t="str">
        <f t="shared" si="47"/>
        <v/>
      </c>
      <c r="U93" s="132" t="str">
        <f t="shared" si="47"/>
        <v/>
      </c>
      <c r="V93" s="132" t="str">
        <f>IF(ISNUMBER(SEARCH("AHO",Import2[[#This Row],[Tenure]])),"AHO",Import2[[#This Row],[Tenure]])&amp;Import2[[#This Row],[Expected sale completion year]]&amp;Import2[[#This Row],[Expected sale completion month]]</f>
        <v>Open market housing</v>
      </c>
      <c r="W93" s="178">
        <f t="shared" si="43"/>
        <v>0</v>
      </c>
    </row>
    <row r="94" spans="1:23" ht="15.5">
      <c r="A94" s="132">
        <f t="shared" si="31"/>
        <v>0</v>
      </c>
      <c r="B94" s="133">
        <v>91</v>
      </c>
      <c r="C94" s="132" t="str">
        <f t="shared" si="32"/>
        <v/>
      </c>
      <c r="D94" s="132">
        <f t="shared" si="45"/>
        <v>0</v>
      </c>
      <c r="E94" s="132">
        <f t="shared" si="45"/>
        <v>0</v>
      </c>
      <c r="F94" s="132">
        <f t="shared" si="33"/>
        <v>0</v>
      </c>
      <c r="G94" s="132" t="str">
        <f t="shared" si="45"/>
        <v>Open market housing</v>
      </c>
      <c r="H94" s="132">
        <f t="shared" si="34"/>
        <v>896440000</v>
      </c>
      <c r="I94" s="132" t="str">
        <f t="shared" si="35"/>
        <v>New build</v>
      </c>
      <c r="J94" s="132">
        <f t="shared" si="36"/>
        <v>391930000</v>
      </c>
      <c r="K94" s="132">
        <f t="shared" si="37"/>
        <v>0</v>
      </c>
      <c r="L94" s="132">
        <f t="shared" si="38"/>
        <v>0</v>
      </c>
      <c r="M94" s="132">
        <f t="shared" si="46"/>
        <v>0</v>
      </c>
      <c r="N94" s="134">
        <f t="shared" si="39"/>
        <v>0</v>
      </c>
      <c r="O94" s="135">
        <f t="shared" si="40"/>
        <v>0</v>
      </c>
      <c r="P94" s="132" t="str">
        <f t="shared" si="41"/>
        <v/>
      </c>
      <c r="Q94" s="132" t="str">
        <f t="shared" si="44"/>
        <v/>
      </c>
      <c r="R94" s="132" t="str">
        <f>IF(ISNUMBER(SEARCH("AHO",Import2[[#This Row],[Tenure]])),"AHO",Import2[[#This Row],[Tenure]])&amp;Import2[[#This Row],[Expected Physical Completion Year]]&amp;Import2[[#This Row],[Expected Physical Completion Month]]</f>
        <v>Open market housing</v>
      </c>
      <c r="S94" s="135">
        <f t="shared" si="42"/>
        <v>0</v>
      </c>
      <c r="T94" s="132" t="str">
        <f t="shared" si="47"/>
        <v/>
      </c>
      <c r="U94" s="132" t="str">
        <f t="shared" si="47"/>
        <v/>
      </c>
      <c r="V94" s="132" t="str">
        <f>IF(ISNUMBER(SEARCH("AHO",Import2[[#This Row],[Tenure]])),"AHO",Import2[[#This Row],[Tenure]])&amp;Import2[[#This Row],[Expected sale completion year]]&amp;Import2[[#This Row],[Expected sale completion month]]</f>
        <v>Open market housing</v>
      </c>
      <c r="W94" s="178">
        <f t="shared" si="43"/>
        <v>0</v>
      </c>
    </row>
    <row r="95" spans="1:23" ht="15.5">
      <c r="A95" s="132">
        <f t="shared" si="31"/>
        <v>0</v>
      </c>
      <c r="B95" s="133">
        <v>92</v>
      </c>
      <c r="C95" s="132" t="str">
        <f t="shared" si="32"/>
        <v/>
      </c>
      <c r="D95" s="132">
        <f t="shared" si="45"/>
        <v>0</v>
      </c>
      <c r="E95" s="132">
        <f t="shared" si="45"/>
        <v>0</v>
      </c>
      <c r="F95" s="132">
        <f t="shared" si="33"/>
        <v>0</v>
      </c>
      <c r="G95" s="132" t="str">
        <f t="shared" si="45"/>
        <v>Open market housing</v>
      </c>
      <c r="H95" s="132">
        <f t="shared" si="34"/>
        <v>896440000</v>
      </c>
      <c r="I95" s="132" t="str">
        <f t="shared" si="35"/>
        <v>New build</v>
      </c>
      <c r="J95" s="132">
        <f t="shared" si="36"/>
        <v>391930000</v>
      </c>
      <c r="K95" s="132">
        <f t="shared" si="37"/>
        <v>0</v>
      </c>
      <c r="L95" s="132">
        <f t="shared" si="38"/>
        <v>0</v>
      </c>
      <c r="M95" s="132">
        <f t="shared" si="46"/>
        <v>0</v>
      </c>
      <c r="N95" s="134">
        <f t="shared" si="39"/>
        <v>0</v>
      </c>
      <c r="O95" s="135">
        <f t="shared" si="40"/>
        <v>0</v>
      </c>
      <c r="P95" s="132" t="str">
        <f t="shared" si="41"/>
        <v/>
      </c>
      <c r="Q95" s="132" t="str">
        <f t="shared" si="44"/>
        <v/>
      </c>
      <c r="R95" s="132" t="str">
        <f>IF(ISNUMBER(SEARCH("AHO",Import2[[#This Row],[Tenure]])),"AHO",Import2[[#This Row],[Tenure]])&amp;Import2[[#This Row],[Expected Physical Completion Year]]&amp;Import2[[#This Row],[Expected Physical Completion Month]]</f>
        <v>Open market housing</v>
      </c>
      <c r="S95" s="135">
        <f t="shared" si="42"/>
        <v>0</v>
      </c>
      <c r="T95" s="132" t="str">
        <f t="shared" si="47"/>
        <v/>
      </c>
      <c r="U95" s="132" t="str">
        <f t="shared" si="47"/>
        <v/>
      </c>
      <c r="V95" s="132" t="str">
        <f>IF(ISNUMBER(SEARCH("AHO",Import2[[#This Row],[Tenure]])),"AHO",Import2[[#This Row],[Tenure]])&amp;Import2[[#This Row],[Expected sale completion year]]&amp;Import2[[#This Row],[Expected sale completion month]]</f>
        <v>Open market housing</v>
      </c>
      <c r="W95" s="178">
        <f t="shared" si="43"/>
        <v>0</v>
      </c>
    </row>
    <row r="96" spans="1:23" ht="15.5">
      <c r="A96" s="132">
        <f t="shared" si="31"/>
        <v>0</v>
      </c>
      <c r="B96" s="133">
        <v>93</v>
      </c>
      <c r="C96" s="132" t="str">
        <f t="shared" si="32"/>
        <v/>
      </c>
      <c r="D96" s="132">
        <f t="shared" si="45"/>
        <v>0</v>
      </c>
      <c r="E96" s="132">
        <f t="shared" si="45"/>
        <v>0</v>
      </c>
      <c r="F96" s="132">
        <f t="shared" si="33"/>
        <v>0</v>
      </c>
      <c r="G96" s="132" t="str">
        <f t="shared" si="45"/>
        <v>Open market housing</v>
      </c>
      <c r="H96" s="132">
        <f t="shared" si="34"/>
        <v>896440000</v>
      </c>
      <c r="I96" s="132" t="str">
        <f t="shared" si="35"/>
        <v>New build</v>
      </c>
      <c r="J96" s="132">
        <f t="shared" si="36"/>
        <v>391930000</v>
      </c>
      <c r="K96" s="132">
        <f t="shared" si="37"/>
        <v>0</v>
      </c>
      <c r="L96" s="132">
        <f t="shared" si="38"/>
        <v>0</v>
      </c>
      <c r="M96" s="132">
        <f t="shared" si="46"/>
        <v>0</v>
      </c>
      <c r="N96" s="134">
        <f t="shared" si="39"/>
        <v>0</v>
      </c>
      <c r="O96" s="135">
        <f t="shared" si="40"/>
        <v>0</v>
      </c>
      <c r="P96" s="132" t="str">
        <f t="shared" si="41"/>
        <v/>
      </c>
      <c r="Q96" s="132" t="str">
        <f t="shared" si="44"/>
        <v/>
      </c>
      <c r="R96" s="132" t="str">
        <f>IF(ISNUMBER(SEARCH("AHO",Import2[[#This Row],[Tenure]])),"AHO",Import2[[#This Row],[Tenure]])&amp;Import2[[#This Row],[Expected Physical Completion Year]]&amp;Import2[[#This Row],[Expected Physical Completion Month]]</f>
        <v>Open market housing</v>
      </c>
      <c r="S96" s="135">
        <f t="shared" si="42"/>
        <v>0</v>
      </c>
      <c r="T96" s="132" t="str">
        <f t="shared" si="47"/>
        <v/>
      </c>
      <c r="U96" s="132" t="str">
        <f t="shared" si="47"/>
        <v/>
      </c>
      <c r="V96" s="132" t="str">
        <f>IF(ISNUMBER(SEARCH("AHO",Import2[[#This Row],[Tenure]])),"AHO",Import2[[#This Row],[Tenure]])&amp;Import2[[#This Row],[Expected sale completion year]]&amp;Import2[[#This Row],[Expected sale completion month]]</f>
        <v>Open market housing</v>
      </c>
      <c r="W96" s="178">
        <f t="shared" si="43"/>
        <v>0</v>
      </c>
    </row>
    <row r="97" spans="1:23" ht="15.5">
      <c r="A97" s="132">
        <f t="shared" si="31"/>
        <v>0</v>
      </c>
      <c r="B97" s="133">
        <v>94</v>
      </c>
      <c r="C97" s="132" t="str">
        <f t="shared" si="32"/>
        <v/>
      </c>
      <c r="D97" s="132">
        <f t="shared" si="45"/>
        <v>0</v>
      </c>
      <c r="E97" s="132">
        <f t="shared" si="45"/>
        <v>0</v>
      </c>
      <c r="F97" s="132">
        <f t="shared" si="33"/>
        <v>0</v>
      </c>
      <c r="G97" s="132" t="str">
        <f t="shared" si="45"/>
        <v>Open market housing</v>
      </c>
      <c r="H97" s="132">
        <f t="shared" si="34"/>
        <v>896440000</v>
      </c>
      <c r="I97" s="132" t="str">
        <f t="shared" si="35"/>
        <v>New build</v>
      </c>
      <c r="J97" s="132">
        <f t="shared" si="36"/>
        <v>391930000</v>
      </c>
      <c r="K97" s="132">
        <f t="shared" si="37"/>
        <v>0</v>
      </c>
      <c r="L97" s="132">
        <f t="shared" si="38"/>
        <v>0</v>
      </c>
      <c r="M97" s="132">
        <f t="shared" si="46"/>
        <v>0</v>
      </c>
      <c r="N97" s="134">
        <f t="shared" si="39"/>
        <v>0</v>
      </c>
      <c r="O97" s="135">
        <f t="shared" si="40"/>
        <v>0</v>
      </c>
      <c r="P97" s="132" t="str">
        <f t="shared" si="41"/>
        <v/>
      </c>
      <c r="Q97" s="132" t="str">
        <f t="shared" si="44"/>
        <v/>
      </c>
      <c r="R97" s="132" t="str">
        <f>IF(ISNUMBER(SEARCH("AHO",Import2[[#This Row],[Tenure]])),"AHO",Import2[[#This Row],[Tenure]])&amp;Import2[[#This Row],[Expected Physical Completion Year]]&amp;Import2[[#This Row],[Expected Physical Completion Month]]</f>
        <v>Open market housing</v>
      </c>
      <c r="S97" s="135">
        <f t="shared" si="42"/>
        <v>0</v>
      </c>
      <c r="T97" s="132" t="str">
        <f t="shared" si="47"/>
        <v/>
      </c>
      <c r="U97" s="132" t="str">
        <f t="shared" si="47"/>
        <v/>
      </c>
      <c r="V97" s="132" t="str">
        <f>IF(ISNUMBER(SEARCH("AHO",Import2[[#This Row],[Tenure]])),"AHO",Import2[[#This Row],[Tenure]])&amp;Import2[[#This Row],[Expected sale completion year]]&amp;Import2[[#This Row],[Expected sale completion month]]</f>
        <v>Open market housing</v>
      </c>
      <c r="W97" s="178">
        <f t="shared" si="43"/>
        <v>0</v>
      </c>
    </row>
    <row r="98" spans="1:23" ht="15.5">
      <c r="A98" s="132">
        <f t="shared" si="31"/>
        <v>0</v>
      </c>
      <c r="B98" s="133">
        <v>95</v>
      </c>
      <c r="C98" s="132" t="str">
        <f t="shared" si="32"/>
        <v/>
      </c>
      <c r="D98" s="132">
        <f t="shared" si="45"/>
        <v>0</v>
      </c>
      <c r="E98" s="132">
        <f t="shared" si="45"/>
        <v>0</v>
      </c>
      <c r="F98" s="132">
        <f t="shared" si="33"/>
        <v>0</v>
      </c>
      <c r="G98" s="132" t="str">
        <f t="shared" si="45"/>
        <v>Open market housing</v>
      </c>
      <c r="H98" s="132">
        <f t="shared" si="34"/>
        <v>896440000</v>
      </c>
      <c r="I98" s="132" t="str">
        <f t="shared" si="35"/>
        <v>New build</v>
      </c>
      <c r="J98" s="132">
        <f t="shared" si="36"/>
        <v>391930000</v>
      </c>
      <c r="K98" s="132">
        <f t="shared" si="37"/>
        <v>0</v>
      </c>
      <c r="L98" s="132">
        <f t="shared" si="38"/>
        <v>0</v>
      </c>
      <c r="M98" s="132">
        <f t="shared" si="46"/>
        <v>0</v>
      </c>
      <c r="N98" s="134">
        <f t="shared" si="39"/>
        <v>0</v>
      </c>
      <c r="O98" s="135">
        <f t="shared" si="40"/>
        <v>0</v>
      </c>
      <c r="P98" s="132" t="str">
        <f t="shared" si="41"/>
        <v/>
      </c>
      <c r="Q98" s="132" t="str">
        <f t="shared" si="44"/>
        <v/>
      </c>
      <c r="R98" s="132" t="str">
        <f>IF(ISNUMBER(SEARCH("AHO",Import2[[#This Row],[Tenure]])),"AHO",Import2[[#This Row],[Tenure]])&amp;Import2[[#This Row],[Expected Physical Completion Year]]&amp;Import2[[#This Row],[Expected Physical Completion Month]]</f>
        <v>Open market housing</v>
      </c>
      <c r="S98" s="135">
        <f t="shared" si="42"/>
        <v>0</v>
      </c>
      <c r="T98" s="132" t="str">
        <f t="shared" si="47"/>
        <v/>
      </c>
      <c r="U98" s="132" t="str">
        <f t="shared" si="47"/>
        <v/>
      </c>
      <c r="V98" s="132" t="str">
        <f>IF(ISNUMBER(SEARCH("AHO",Import2[[#This Row],[Tenure]])),"AHO",Import2[[#This Row],[Tenure]])&amp;Import2[[#This Row],[Expected sale completion year]]&amp;Import2[[#This Row],[Expected sale completion month]]</f>
        <v>Open market housing</v>
      </c>
      <c r="W98" s="178">
        <f t="shared" si="43"/>
        <v>0</v>
      </c>
    </row>
    <row r="99" spans="1:23" ht="15.5">
      <c r="A99" s="132">
        <f t="shared" si="31"/>
        <v>0</v>
      </c>
      <c r="B99" s="133">
        <v>96</v>
      </c>
      <c r="C99" s="132" t="str">
        <f t="shared" si="32"/>
        <v/>
      </c>
      <c r="D99" s="132">
        <f t="shared" si="45"/>
        <v>0</v>
      </c>
      <c r="E99" s="132">
        <f t="shared" si="45"/>
        <v>0</v>
      </c>
      <c r="F99" s="132">
        <f t="shared" si="33"/>
        <v>0</v>
      </c>
      <c r="G99" s="132" t="str">
        <f t="shared" si="45"/>
        <v>Open market housing</v>
      </c>
      <c r="H99" s="132">
        <f t="shared" si="34"/>
        <v>896440000</v>
      </c>
      <c r="I99" s="132" t="str">
        <f t="shared" si="35"/>
        <v>New build</v>
      </c>
      <c r="J99" s="132">
        <f t="shared" si="36"/>
        <v>391930000</v>
      </c>
      <c r="K99" s="132">
        <f t="shared" si="37"/>
        <v>0</v>
      </c>
      <c r="L99" s="132">
        <f t="shared" si="38"/>
        <v>0</v>
      </c>
      <c r="M99" s="132">
        <f t="shared" si="46"/>
        <v>0</v>
      </c>
      <c r="N99" s="134">
        <f t="shared" si="39"/>
        <v>0</v>
      </c>
      <c r="O99" s="135">
        <f t="shared" si="40"/>
        <v>0</v>
      </c>
      <c r="P99" s="132" t="str">
        <f t="shared" si="41"/>
        <v/>
      </c>
      <c r="Q99" s="132" t="str">
        <f t="shared" si="44"/>
        <v/>
      </c>
      <c r="R99" s="132" t="str">
        <f>IF(ISNUMBER(SEARCH("AHO",Import2[[#This Row],[Tenure]])),"AHO",Import2[[#This Row],[Tenure]])&amp;Import2[[#This Row],[Expected Physical Completion Year]]&amp;Import2[[#This Row],[Expected Physical Completion Month]]</f>
        <v>Open market housing</v>
      </c>
      <c r="S99" s="135">
        <f t="shared" si="42"/>
        <v>0</v>
      </c>
      <c r="T99" s="132" t="str">
        <f t="shared" si="47"/>
        <v/>
      </c>
      <c r="U99" s="132" t="str">
        <f t="shared" si="47"/>
        <v/>
      </c>
      <c r="V99" s="132" t="str">
        <f>IF(ISNUMBER(SEARCH("AHO",Import2[[#This Row],[Tenure]])),"AHO",Import2[[#This Row],[Tenure]])&amp;Import2[[#This Row],[Expected sale completion year]]&amp;Import2[[#This Row],[Expected sale completion month]]</f>
        <v>Open market housing</v>
      </c>
      <c r="W99" s="178">
        <f t="shared" si="43"/>
        <v>0</v>
      </c>
    </row>
    <row r="100" spans="1:23" ht="15.5">
      <c r="A100" s="132">
        <f t="shared" si="31"/>
        <v>0</v>
      </c>
      <c r="B100" s="133">
        <v>97</v>
      </c>
      <c r="C100" s="132" t="str">
        <f t="shared" si="32"/>
        <v/>
      </c>
      <c r="D100" s="132">
        <f t="shared" si="45"/>
        <v>0</v>
      </c>
      <c r="E100" s="132">
        <f t="shared" si="45"/>
        <v>0</v>
      </c>
      <c r="F100" s="132">
        <f t="shared" si="33"/>
        <v>0</v>
      </c>
      <c r="G100" s="132" t="str">
        <f t="shared" si="45"/>
        <v>Open market housing</v>
      </c>
      <c r="H100" s="132">
        <f t="shared" si="34"/>
        <v>896440000</v>
      </c>
      <c r="I100" s="132" t="str">
        <f t="shared" si="35"/>
        <v>New build</v>
      </c>
      <c r="J100" s="132">
        <f t="shared" si="36"/>
        <v>391930000</v>
      </c>
      <c r="K100" s="132">
        <f t="shared" si="37"/>
        <v>0</v>
      </c>
      <c r="L100" s="132">
        <f t="shared" si="38"/>
        <v>0</v>
      </c>
      <c r="M100" s="132">
        <f t="shared" si="46"/>
        <v>0</v>
      </c>
      <c r="N100" s="134">
        <f t="shared" si="39"/>
        <v>0</v>
      </c>
      <c r="O100" s="135">
        <f t="shared" si="40"/>
        <v>0</v>
      </c>
      <c r="P100" s="132" t="str">
        <f t="shared" si="41"/>
        <v/>
      </c>
      <c r="Q100" s="132" t="str">
        <f t="shared" si="44"/>
        <v/>
      </c>
      <c r="R100" s="132" t="str">
        <f>IF(ISNUMBER(SEARCH("AHO",Import2[[#This Row],[Tenure]])),"AHO",Import2[[#This Row],[Tenure]])&amp;Import2[[#This Row],[Expected Physical Completion Year]]&amp;Import2[[#This Row],[Expected Physical Completion Month]]</f>
        <v>Open market housing</v>
      </c>
      <c r="S100" s="135">
        <f t="shared" si="42"/>
        <v>0</v>
      </c>
      <c r="T100" s="132" t="str">
        <f t="shared" si="47"/>
        <v/>
      </c>
      <c r="U100" s="132" t="str">
        <f t="shared" si="47"/>
        <v/>
      </c>
      <c r="V100" s="132" t="str">
        <f>IF(ISNUMBER(SEARCH("AHO",Import2[[#This Row],[Tenure]])),"AHO",Import2[[#This Row],[Tenure]])&amp;Import2[[#This Row],[Expected sale completion year]]&amp;Import2[[#This Row],[Expected sale completion month]]</f>
        <v>Open market housing</v>
      </c>
      <c r="W100" s="178">
        <f t="shared" si="43"/>
        <v>0</v>
      </c>
    </row>
    <row r="101" spans="1:23" ht="15.5">
      <c r="A101" s="132">
        <f t="shared" si="31"/>
        <v>0</v>
      </c>
      <c r="B101" s="133">
        <v>98</v>
      </c>
      <c r="C101" s="132" t="str">
        <f t="shared" si="32"/>
        <v/>
      </c>
      <c r="D101" s="132">
        <f t="shared" si="45"/>
        <v>0</v>
      </c>
      <c r="E101" s="132">
        <f t="shared" si="45"/>
        <v>0</v>
      </c>
      <c r="F101" s="132">
        <f t="shared" si="33"/>
        <v>0</v>
      </c>
      <c r="G101" s="132" t="str">
        <f t="shared" si="45"/>
        <v>Open market housing</v>
      </c>
      <c r="H101" s="132">
        <f t="shared" si="34"/>
        <v>896440000</v>
      </c>
      <c r="I101" s="132" t="str">
        <f t="shared" si="35"/>
        <v>New build</v>
      </c>
      <c r="J101" s="132">
        <f t="shared" si="36"/>
        <v>391930000</v>
      </c>
      <c r="K101" s="132">
        <f t="shared" si="37"/>
        <v>0</v>
      </c>
      <c r="L101" s="132">
        <f t="shared" si="38"/>
        <v>0</v>
      </c>
      <c r="M101" s="132">
        <f t="shared" si="46"/>
        <v>0</v>
      </c>
      <c r="N101" s="134">
        <f t="shared" si="39"/>
        <v>0</v>
      </c>
      <c r="O101" s="135">
        <f t="shared" si="40"/>
        <v>0</v>
      </c>
      <c r="P101" s="132" t="str">
        <f t="shared" si="41"/>
        <v/>
      </c>
      <c r="Q101" s="132" t="str">
        <f t="shared" si="44"/>
        <v/>
      </c>
      <c r="R101" s="132" t="str">
        <f>IF(ISNUMBER(SEARCH("AHO",Import2[[#This Row],[Tenure]])),"AHO",Import2[[#This Row],[Tenure]])&amp;Import2[[#This Row],[Expected Physical Completion Year]]&amp;Import2[[#This Row],[Expected Physical Completion Month]]</f>
        <v>Open market housing</v>
      </c>
      <c r="S101" s="135">
        <f t="shared" si="42"/>
        <v>0</v>
      </c>
      <c r="T101" s="132" t="str">
        <f t="shared" si="47"/>
        <v/>
      </c>
      <c r="U101" s="132" t="str">
        <f t="shared" si="47"/>
        <v/>
      </c>
      <c r="V101" s="132" t="str">
        <f>IF(ISNUMBER(SEARCH("AHO",Import2[[#This Row],[Tenure]])),"AHO",Import2[[#This Row],[Tenure]])&amp;Import2[[#This Row],[Expected sale completion year]]&amp;Import2[[#This Row],[Expected sale completion month]]</f>
        <v>Open market housing</v>
      </c>
      <c r="W101" s="178">
        <f t="shared" si="43"/>
        <v>0</v>
      </c>
    </row>
    <row r="102" spans="1:23" ht="15.5">
      <c r="A102" s="132">
        <f t="shared" si="31"/>
        <v>0</v>
      </c>
      <c r="B102" s="133">
        <v>99</v>
      </c>
      <c r="C102" s="132" t="str">
        <f t="shared" si="32"/>
        <v/>
      </c>
      <c r="D102" s="132">
        <f t="shared" si="45"/>
        <v>0</v>
      </c>
      <c r="E102" s="132">
        <f t="shared" si="45"/>
        <v>0</v>
      </c>
      <c r="F102" s="132">
        <f t="shared" si="33"/>
        <v>0</v>
      </c>
      <c r="G102" s="132" t="str">
        <f t="shared" si="45"/>
        <v>Open market housing</v>
      </c>
      <c r="H102" s="132">
        <f t="shared" si="34"/>
        <v>896440000</v>
      </c>
      <c r="I102" s="132" t="str">
        <f t="shared" si="35"/>
        <v>New build</v>
      </c>
      <c r="J102" s="132">
        <f t="shared" si="36"/>
        <v>391930000</v>
      </c>
      <c r="K102" s="132">
        <f t="shared" si="37"/>
        <v>0</v>
      </c>
      <c r="L102" s="132">
        <f t="shared" si="38"/>
        <v>0</v>
      </c>
      <c r="M102" s="132">
        <f t="shared" si="46"/>
        <v>0</v>
      </c>
      <c r="N102" s="134">
        <f t="shared" si="39"/>
        <v>0</v>
      </c>
      <c r="O102" s="135">
        <f t="shared" si="40"/>
        <v>0</v>
      </c>
      <c r="P102" s="132" t="str">
        <f t="shared" si="41"/>
        <v/>
      </c>
      <c r="Q102" s="132" t="str">
        <f t="shared" si="44"/>
        <v/>
      </c>
      <c r="R102" s="132" t="str">
        <f>IF(ISNUMBER(SEARCH("AHO",Import2[[#This Row],[Tenure]])),"AHO",Import2[[#This Row],[Tenure]])&amp;Import2[[#This Row],[Expected Physical Completion Year]]&amp;Import2[[#This Row],[Expected Physical Completion Month]]</f>
        <v>Open market housing</v>
      </c>
      <c r="S102" s="135">
        <f t="shared" si="42"/>
        <v>0</v>
      </c>
      <c r="T102" s="132" t="str">
        <f t="shared" si="47"/>
        <v/>
      </c>
      <c r="U102" s="132" t="str">
        <f t="shared" si="47"/>
        <v/>
      </c>
      <c r="V102" s="132" t="str">
        <f>IF(ISNUMBER(SEARCH("AHO",Import2[[#This Row],[Tenure]])),"AHO",Import2[[#This Row],[Tenure]])&amp;Import2[[#This Row],[Expected sale completion year]]&amp;Import2[[#This Row],[Expected sale completion month]]</f>
        <v>Open market housing</v>
      </c>
      <c r="W102" s="178">
        <f t="shared" si="43"/>
        <v>0</v>
      </c>
    </row>
    <row r="103" spans="1:23" ht="15.5">
      <c r="A103" s="132">
        <f t="shared" si="31"/>
        <v>0</v>
      </c>
      <c r="B103" s="133">
        <v>100</v>
      </c>
      <c r="C103" s="132" t="str">
        <f t="shared" si="32"/>
        <v/>
      </c>
      <c r="D103" s="132">
        <f t="shared" si="45"/>
        <v>0</v>
      </c>
      <c r="E103" s="132">
        <f t="shared" si="45"/>
        <v>0</v>
      </c>
      <c r="F103" s="132">
        <f t="shared" si="33"/>
        <v>0</v>
      </c>
      <c r="G103" s="132" t="str">
        <f t="shared" si="45"/>
        <v>Open market housing</v>
      </c>
      <c r="H103" s="132">
        <f t="shared" si="34"/>
        <v>896440000</v>
      </c>
      <c r="I103" s="132" t="str">
        <f t="shared" si="35"/>
        <v>New build</v>
      </c>
      <c r="J103" s="132">
        <f t="shared" si="36"/>
        <v>391930000</v>
      </c>
      <c r="K103" s="132">
        <f t="shared" si="37"/>
        <v>0</v>
      </c>
      <c r="L103" s="132">
        <f t="shared" si="38"/>
        <v>0</v>
      </c>
      <c r="M103" s="132">
        <f t="shared" si="46"/>
        <v>0</v>
      </c>
      <c r="N103" s="134">
        <f t="shared" si="39"/>
        <v>0</v>
      </c>
      <c r="O103" s="135">
        <f t="shared" si="40"/>
        <v>0</v>
      </c>
      <c r="P103" s="132" t="str">
        <f t="shared" si="41"/>
        <v/>
      </c>
      <c r="Q103" s="132" t="str">
        <f t="shared" si="44"/>
        <v/>
      </c>
      <c r="R103" s="132" t="str">
        <f>IF(ISNUMBER(SEARCH("AHO",Import2[[#This Row],[Tenure]])),"AHO",Import2[[#This Row],[Tenure]])&amp;Import2[[#This Row],[Expected Physical Completion Year]]&amp;Import2[[#This Row],[Expected Physical Completion Month]]</f>
        <v>Open market housing</v>
      </c>
      <c r="S103" s="135">
        <f t="shared" si="42"/>
        <v>0</v>
      </c>
      <c r="T103" s="132" t="str">
        <f t="shared" si="47"/>
        <v/>
      </c>
      <c r="U103" s="132" t="str">
        <f t="shared" si="47"/>
        <v/>
      </c>
      <c r="V103" s="132" t="str">
        <f>IF(ISNUMBER(SEARCH("AHO",Import2[[#This Row],[Tenure]])),"AHO",Import2[[#This Row],[Tenure]])&amp;Import2[[#This Row],[Expected sale completion year]]&amp;Import2[[#This Row],[Expected sale completion month]]</f>
        <v>Open market housing</v>
      </c>
      <c r="W103" s="178">
        <f t="shared" si="43"/>
        <v>0</v>
      </c>
    </row>
    <row r="104" spans="1:23" ht="15.5">
      <c r="A104" s="132">
        <f t="shared" si="31"/>
        <v>0</v>
      </c>
      <c r="B104" s="133">
        <v>101</v>
      </c>
      <c r="C104" s="132" t="str">
        <f t="shared" si="32"/>
        <v/>
      </c>
      <c r="D104" s="132">
        <f t="shared" ref="D104:G123" si="48">INDEX(PlotData,MATCH($B104,PlotNumber,0),MATCH(D$3,PlotTitles,0))</f>
        <v>0</v>
      </c>
      <c r="E104" s="132">
        <f t="shared" si="48"/>
        <v>0</v>
      </c>
      <c r="F104" s="132">
        <f t="shared" si="33"/>
        <v>0</v>
      </c>
      <c r="G104" s="132" t="str">
        <f t="shared" si="48"/>
        <v>Open market housing</v>
      </c>
      <c r="H104" s="132">
        <f t="shared" si="34"/>
        <v>896440000</v>
      </c>
      <c r="I104" s="132" t="str">
        <f t="shared" ref="I104:I167" si="49">INDEX(PlotData,MATCH($B104,PlotNumber,0),MATCH(I$3,PlotTitles,0))</f>
        <v>New build</v>
      </c>
      <c r="J104" s="132">
        <f t="shared" si="36"/>
        <v>391930000</v>
      </c>
      <c r="K104" s="132">
        <f t="shared" ref="K104:K167" si="50">INDEX(PlotData,MATCH($B104,PlotNumber,0),MATCH(K$3,PlotTitles,0))</f>
        <v>0</v>
      </c>
      <c r="L104" s="132">
        <f t="shared" si="38"/>
        <v>0</v>
      </c>
      <c r="M104" s="132">
        <f t="shared" ref="M104:M123" si="51">INDEX(PlotData,MATCH($B104,PlotNumber,0),MATCH(M$3,PlotTitles,0))</f>
        <v>0</v>
      </c>
      <c r="N104" s="134">
        <f t="shared" si="39"/>
        <v>0</v>
      </c>
      <c r="O104" s="135">
        <f t="shared" si="40"/>
        <v>0</v>
      </c>
      <c r="P104" s="132" t="str">
        <f t="shared" ref="P104:P167" si="52">IF(INDEX(PlotData,MATCH($B104,PlotNumber,0),MATCH(P$3,PlotTitles,0))=0,"",INDEX(PlotData,MATCH($B104,PlotNumber,0),MATCH(P$3,PlotTitles,0)))</f>
        <v/>
      </c>
      <c r="Q104" s="132" t="str">
        <f t="shared" si="44"/>
        <v/>
      </c>
      <c r="R104" s="132" t="str">
        <f>IF(ISNUMBER(SEARCH("AHO",Import2[[#This Row],[Tenure]])),"AHO",Import2[[#This Row],[Tenure]])&amp;Import2[[#This Row],[Expected Physical Completion Year]]&amp;Import2[[#This Row],[Expected Physical Completion Month]]</f>
        <v>Open market housing</v>
      </c>
      <c r="S104" s="135">
        <f t="shared" si="42"/>
        <v>0</v>
      </c>
      <c r="T104" s="132" t="str">
        <f t="shared" ref="T104:U123" si="53">IF(INDEX(PlotData,MATCH($B104,PlotNumber,0),MATCH(T$3,PlotTitles,0))=0,"",INDEX(PlotData,MATCH($B104,PlotNumber,0),MATCH(T$3,PlotTitles,0)))</f>
        <v/>
      </c>
      <c r="U104" s="132" t="str">
        <f t="shared" si="53"/>
        <v/>
      </c>
      <c r="V104" s="132" t="str">
        <f>IF(ISNUMBER(SEARCH("AHO",Import2[[#This Row],[Tenure]])),"AHO",Import2[[#This Row],[Tenure]])&amp;Import2[[#This Row],[Expected sale completion year]]&amp;Import2[[#This Row],[Expected sale completion month]]</f>
        <v>Open market housing</v>
      </c>
      <c r="W104" s="178">
        <f t="shared" ref="W104:W167" si="54">INDEX(PlotData,MATCH($B104,PlotNumber,0),MATCH(W$3,PlotTitles,0))</f>
        <v>0</v>
      </c>
    </row>
    <row r="105" spans="1:23" ht="15" customHeight="1">
      <c r="A105" s="132">
        <f t="shared" si="31"/>
        <v>0</v>
      </c>
      <c r="B105" s="133">
        <v>102</v>
      </c>
      <c r="C105" s="132" t="str">
        <f t="shared" si="32"/>
        <v/>
      </c>
      <c r="D105" s="132">
        <f t="shared" si="48"/>
        <v>0</v>
      </c>
      <c r="E105" s="132">
        <f t="shared" si="48"/>
        <v>0</v>
      </c>
      <c r="F105" s="132">
        <f t="shared" si="33"/>
        <v>0</v>
      </c>
      <c r="G105" s="132" t="str">
        <f t="shared" si="48"/>
        <v>Open market housing</v>
      </c>
      <c r="H105" s="132">
        <f t="shared" si="34"/>
        <v>896440000</v>
      </c>
      <c r="I105" s="132" t="str">
        <f t="shared" si="49"/>
        <v>New build</v>
      </c>
      <c r="J105" s="132">
        <f t="shared" si="36"/>
        <v>391930000</v>
      </c>
      <c r="K105" s="132">
        <f t="shared" si="50"/>
        <v>0</v>
      </c>
      <c r="L105" s="132">
        <f t="shared" si="38"/>
        <v>0</v>
      </c>
      <c r="M105" s="132">
        <f t="shared" si="51"/>
        <v>0</v>
      </c>
      <c r="N105" s="134">
        <f t="shared" si="39"/>
        <v>0</v>
      </c>
      <c r="O105" s="135">
        <f t="shared" si="40"/>
        <v>0</v>
      </c>
      <c r="P105" s="132" t="str">
        <f t="shared" si="52"/>
        <v/>
      </c>
      <c r="Q105" s="132" t="str">
        <f t="shared" si="44"/>
        <v/>
      </c>
      <c r="R105" s="132" t="str">
        <f>IF(ISNUMBER(SEARCH("AHO",Import2[[#This Row],[Tenure]])),"AHO",Import2[[#This Row],[Tenure]])&amp;Import2[[#This Row],[Expected Physical Completion Year]]&amp;Import2[[#This Row],[Expected Physical Completion Month]]</f>
        <v>Open market housing</v>
      </c>
      <c r="S105" s="135">
        <f t="shared" si="42"/>
        <v>0</v>
      </c>
      <c r="T105" s="132" t="str">
        <f t="shared" si="53"/>
        <v/>
      </c>
      <c r="U105" s="132" t="str">
        <f t="shared" si="53"/>
        <v/>
      </c>
      <c r="V105" s="132" t="str">
        <f>IF(ISNUMBER(SEARCH("AHO",Import2[[#This Row],[Tenure]])),"AHO",Import2[[#This Row],[Tenure]])&amp;Import2[[#This Row],[Expected sale completion year]]&amp;Import2[[#This Row],[Expected sale completion month]]</f>
        <v>Open market housing</v>
      </c>
      <c r="W105" s="178">
        <f t="shared" si="54"/>
        <v>0</v>
      </c>
    </row>
    <row r="106" spans="1:23" ht="15" customHeight="1">
      <c r="A106" s="132">
        <f t="shared" si="31"/>
        <v>0</v>
      </c>
      <c r="B106" s="133">
        <v>103</v>
      </c>
      <c r="C106" s="132" t="str">
        <f t="shared" si="32"/>
        <v/>
      </c>
      <c r="D106" s="132">
        <f t="shared" si="48"/>
        <v>0</v>
      </c>
      <c r="E106" s="132">
        <f t="shared" si="48"/>
        <v>0</v>
      </c>
      <c r="F106" s="132">
        <f t="shared" si="33"/>
        <v>0</v>
      </c>
      <c r="G106" s="132" t="str">
        <f t="shared" si="48"/>
        <v>Open market housing</v>
      </c>
      <c r="H106" s="132">
        <f t="shared" si="34"/>
        <v>896440000</v>
      </c>
      <c r="I106" s="132" t="str">
        <f t="shared" si="49"/>
        <v>New build</v>
      </c>
      <c r="J106" s="132">
        <f t="shared" si="36"/>
        <v>391930000</v>
      </c>
      <c r="K106" s="132">
        <f t="shared" si="50"/>
        <v>0</v>
      </c>
      <c r="L106" s="132">
        <f t="shared" si="38"/>
        <v>0</v>
      </c>
      <c r="M106" s="132">
        <f t="shared" si="51"/>
        <v>0</v>
      </c>
      <c r="N106" s="134">
        <f t="shared" si="39"/>
        <v>0</v>
      </c>
      <c r="O106" s="135">
        <f t="shared" si="40"/>
        <v>0</v>
      </c>
      <c r="P106" s="132" t="str">
        <f t="shared" si="52"/>
        <v/>
      </c>
      <c r="Q106" s="132" t="str">
        <f t="shared" si="44"/>
        <v/>
      </c>
      <c r="R106" s="132" t="str">
        <f>IF(ISNUMBER(SEARCH("AHO",Import2[[#This Row],[Tenure]])),"AHO",Import2[[#This Row],[Tenure]])&amp;Import2[[#This Row],[Expected Physical Completion Year]]&amp;Import2[[#This Row],[Expected Physical Completion Month]]</f>
        <v>Open market housing</v>
      </c>
      <c r="S106" s="135">
        <f t="shared" si="42"/>
        <v>0</v>
      </c>
      <c r="T106" s="132" t="str">
        <f t="shared" si="53"/>
        <v/>
      </c>
      <c r="U106" s="132" t="str">
        <f t="shared" si="53"/>
        <v/>
      </c>
      <c r="V106" s="132" t="str">
        <f>IF(ISNUMBER(SEARCH("AHO",Import2[[#This Row],[Tenure]])),"AHO",Import2[[#This Row],[Tenure]])&amp;Import2[[#This Row],[Expected sale completion year]]&amp;Import2[[#This Row],[Expected sale completion month]]</f>
        <v>Open market housing</v>
      </c>
      <c r="W106" s="178">
        <f t="shared" si="54"/>
        <v>0</v>
      </c>
    </row>
    <row r="107" spans="1:23" ht="15" customHeight="1">
      <c r="A107" s="132">
        <f t="shared" si="31"/>
        <v>0</v>
      </c>
      <c r="B107" s="133">
        <v>104</v>
      </c>
      <c r="C107" s="132" t="str">
        <f t="shared" si="32"/>
        <v/>
      </c>
      <c r="D107" s="132">
        <f t="shared" si="48"/>
        <v>0</v>
      </c>
      <c r="E107" s="132">
        <f t="shared" si="48"/>
        <v>0</v>
      </c>
      <c r="F107" s="132">
        <f t="shared" si="33"/>
        <v>0</v>
      </c>
      <c r="G107" s="132" t="str">
        <f t="shared" si="48"/>
        <v>Open market housing</v>
      </c>
      <c r="H107" s="132">
        <f t="shared" si="34"/>
        <v>896440000</v>
      </c>
      <c r="I107" s="132" t="str">
        <f t="shared" si="49"/>
        <v>New build</v>
      </c>
      <c r="J107" s="132">
        <f t="shared" si="36"/>
        <v>391930000</v>
      </c>
      <c r="K107" s="132">
        <f t="shared" si="50"/>
        <v>0</v>
      </c>
      <c r="L107" s="132">
        <f t="shared" si="38"/>
        <v>0</v>
      </c>
      <c r="M107" s="132">
        <f t="shared" si="51"/>
        <v>0</v>
      </c>
      <c r="N107" s="134">
        <f t="shared" si="39"/>
        <v>0</v>
      </c>
      <c r="O107" s="135">
        <f t="shared" si="40"/>
        <v>0</v>
      </c>
      <c r="P107" s="132" t="str">
        <f t="shared" si="52"/>
        <v/>
      </c>
      <c r="Q107" s="132" t="str">
        <f t="shared" si="44"/>
        <v/>
      </c>
      <c r="R107" s="132" t="str">
        <f>IF(ISNUMBER(SEARCH("AHO",Import2[[#This Row],[Tenure]])),"AHO",Import2[[#This Row],[Tenure]])&amp;Import2[[#This Row],[Expected Physical Completion Year]]&amp;Import2[[#This Row],[Expected Physical Completion Month]]</f>
        <v>Open market housing</v>
      </c>
      <c r="S107" s="135">
        <f t="shared" si="42"/>
        <v>0</v>
      </c>
      <c r="T107" s="132" t="str">
        <f t="shared" si="53"/>
        <v/>
      </c>
      <c r="U107" s="132" t="str">
        <f t="shared" si="53"/>
        <v/>
      </c>
      <c r="V107" s="132" t="str">
        <f>IF(ISNUMBER(SEARCH("AHO",Import2[[#This Row],[Tenure]])),"AHO",Import2[[#This Row],[Tenure]])&amp;Import2[[#This Row],[Expected sale completion year]]&amp;Import2[[#This Row],[Expected sale completion month]]</f>
        <v>Open market housing</v>
      </c>
      <c r="W107" s="178">
        <f t="shared" si="54"/>
        <v>0</v>
      </c>
    </row>
    <row r="108" spans="1:23" ht="15" customHeight="1">
      <c r="A108" s="132">
        <f t="shared" si="31"/>
        <v>0</v>
      </c>
      <c r="B108" s="133">
        <v>105</v>
      </c>
      <c r="C108" s="132" t="str">
        <f t="shared" si="32"/>
        <v/>
      </c>
      <c r="D108" s="132">
        <f t="shared" si="48"/>
        <v>0</v>
      </c>
      <c r="E108" s="132">
        <f t="shared" si="48"/>
        <v>0</v>
      </c>
      <c r="F108" s="132">
        <f t="shared" si="33"/>
        <v>0</v>
      </c>
      <c r="G108" s="132" t="str">
        <f t="shared" si="48"/>
        <v>Open market housing</v>
      </c>
      <c r="H108" s="132">
        <f t="shared" si="34"/>
        <v>896440000</v>
      </c>
      <c r="I108" s="132" t="str">
        <f t="shared" si="49"/>
        <v>New build</v>
      </c>
      <c r="J108" s="132">
        <f t="shared" si="36"/>
        <v>391930000</v>
      </c>
      <c r="K108" s="132">
        <f t="shared" si="50"/>
        <v>0</v>
      </c>
      <c r="L108" s="132">
        <f t="shared" si="38"/>
        <v>0</v>
      </c>
      <c r="M108" s="132">
        <f t="shared" si="51"/>
        <v>0</v>
      </c>
      <c r="N108" s="134">
        <f t="shared" si="39"/>
        <v>0</v>
      </c>
      <c r="O108" s="135">
        <f t="shared" si="40"/>
        <v>0</v>
      </c>
      <c r="P108" s="132" t="str">
        <f t="shared" si="52"/>
        <v/>
      </c>
      <c r="Q108" s="132" t="str">
        <f t="shared" si="44"/>
        <v/>
      </c>
      <c r="R108" s="132" t="str">
        <f>IF(ISNUMBER(SEARCH("AHO",Import2[[#This Row],[Tenure]])),"AHO",Import2[[#This Row],[Tenure]])&amp;Import2[[#This Row],[Expected Physical Completion Year]]&amp;Import2[[#This Row],[Expected Physical Completion Month]]</f>
        <v>Open market housing</v>
      </c>
      <c r="S108" s="135">
        <f t="shared" si="42"/>
        <v>0</v>
      </c>
      <c r="T108" s="132" t="str">
        <f t="shared" si="53"/>
        <v/>
      </c>
      <c r="U108" s="132" t="str">
        <f t="shared" si="53"/>
        <v/>
      </c>
      <c r="V108" s="132" t="str">
        <f>IF(ISNUMBER(SEARCH("AHO",Import2[[#This Row],[Tenure]])),"AHO",Import2[[#This Row],[Tenure]])&amp;Import2[[#This Row],[Expected sale completion year]]&amp;Import2[[#This Row],[Expected sale completion month]]</f>
        <v>Open market housing</v>
      </c>
      <c r="W108" s="178">
        <f t="shared" si="54"/>
        <v>0</v>
      </c>
    </row>
    <row r="109" spans="1:23" ht="15" customHeight="1">
      <c r="A109" s="132">
        <f t="shared" si="31"/>
        <v>0</v>
      </c>
      <c r="B109" s="133">
        <v>106</v>
      </c>
      <c r="C109" s="132" t="str">
        <f t="shared" si="32"/>
        <v/>
      </c>
      <c r="D109" s="132">
        <f t="shared" si="48"/>
        <v>0</v>
      </c>
      <c r="E109" s="132">
        <f t="shared" si="48"/>
        <v>0</v>
      </c>
      <c r="F109" s="132">
        <f t="shared" si="33"/>
        <v>0</v>
      </c>
      <c r="G109" s="132" t="str">
        <f t="shared" si="48"/>
        <v>Open market housing</v>
      </c>
      <c r="H109" s="132">
        <f t="shared" si="34"/>
        <v>896440000</v>
      </c>
      <c r="I109" s="132" t="str">
        <f t="shared" si="49"/>
        <v>New build</v>
      </c>
      <c r="J109" s="132">
        <f t="shared" si="36"/>
        <v>391930000</v>
      </c>
      <c r="K109" s="132">
        <f t="shared" si="50"/>
        <v>0</v>
      </c>
      <c r="L109" s="132">
        <f t="shared" si="38"/>
        <v>0</v>
      </c>
      <c r="M109" s="132">
        <f t="shared" si="51"/>
        <v>0</v>
      </c>
      <c r="N109" s="134">
        <f t="shared" si="39"/>
        <v>0</v>
      </c>
      <c r="O109" s="135">
        <f t="shared" si="40"/>
        <v>0</v>
      </c>
      <c r="P109" s="132" t="str">
        <f t="shared" si="52"/>
        <v/>
      </c>
      <c r="Q109" s="132" t="str">
        <f t="shared" si="44"/>
        <v/>
      </c>
      <c r="R109" s="132" t="str">
        <f>IF(ISNUMBER(SEARCH("AHO",Import2[[#This Row],[Tenure]])),"AHO",Import2[[#This Row],[Tenure]])&amp;Import2[[#This Row],[Expected Physical Completion Year]]&amp;Import2[[#This Row],[Expected Physical Completion Month]]</f>
        <v>Open market housing</v>
      </c>
      <c r="S109" s="135">
        <f t="shared" si="42"/>
        <v>0</v>
      </c>
      <c r="T109" s="132" t="str">
        <f t="shared" si="53"/>
        <v/>
      </c>
      <c r="U109" s="132" t="str">
        <f t="shared" si="53"/>
        <v/>
      </c>
      <c r="V109" s="132" t="str">
        <f>IF(ISNUMBER(SEARCH("AHO",Import2[[#This Row],[Tenure]])),"AHO",Import2[[#This Row],[Tenure]])&amp;Import2[[#This Row],[Expected sale completion year]]&amp;Import2[[#This Row],[Expected sale completion month]]</f>
        <v>Open market housing</v>
      </c>
      <c r="W109" s="178">
        <f t="shared" si="54"/>
        <v>0</v>
      </c>
    </row>
    <row r="110" spans="1:23" ht="15" customHeight="1">
      <c r="A110" s="132">
        <f t="shared" si="31"/>
        <v>0</v>
      </c>
      <c r="B110" s="133">
        <v>107</v>
      </c>
      <c r="C110" s="132" t="str">
        <f t="shared" si="32"/>
        <v/>
      </c>
      <c r="D110" s="132">
        <f t="shared" si="48"/>
        <v>0</v>
      </c>
      <c r="E110" s="132">
        <f t="shared" si="48"/>
        <v>0</v>
      </c>
      <c r="F110" s="132">
        <f t="shared" si="33"/>
        <v>0</v>
      </c>
      <c r="G110" s="132" t="str">
        <f t="shared" si="48"/>
        <v>Open market housing</v>
      </c>
      <c r="H110" s="132">
        <f t="shared" si="34"/>
        <v>896440000</v>
      </c>
      <c r="I110" s="132" t="str">
        <f t="shared" si="49"/>
        <v>New build</v>
      </c>
      <c r="J110" s="132">
        <f t="shared" si="36"/>
        <v>391930000</v>
      </c>
      <c r="K110" s="132">
        <f t="shared" si="50"/>
        <v>0</v>
      </c>
      <c r="L110" s="132">
        <f t="shared" si="38"/>
        <v>0</v>
      </c>
      <c r="M110" s="132">
        <f t="shared" si="51"/>
        <v>0</v>
      </c>
      <c r="N110" s="134">
        <f t="shared" si="39"/>
        <v>0</v>
      </c>
      <c r="O110" s="135">
        <f t="shared" si="40"/>
        <v>0</v>
      </c>
      <c r="P110" s="132" t="str">
        <f t="shared" si="52"/>
        <v/>
      </c>
      <c r="Q110" s="132" t="str">
        <f t="shared" si="44"/>
        <v/>
      </c>
      <c r="R110" s="132" t="str">
        <f>IF(ISNUMBER(SEARCH("AHO",Import2[[#This Row],[Tenure]])),"AHO",Import2[[#This Row],[Tenure]])&amp;Import2[[#This Row],[Expected Physical Completion Year]]&amp;Import2[[#This Row],[Expected Physical Completion Month]]</f>
        <v>Open market housing</v>
      </c>
      <c r="S110" s="135">
        <f t="shared" si="42"/>
        <v>0</v>
      </c>
      <c r="T110" s="132" t="str">
        <f t="shared" si="53"/>
        <v/>
      </c>
      <c r="U110" s="132" t="str">
        <f t="shared" si="53"/>
        <v/>
      </c>
      <c r="V110" s="132" t="str">
        <f>IF(ISNUMBER(SEARCH("AHO",Import2[[#This Row],[Tenure]])),"AHO",Import2[[#This Row],[Tenure]])&amp;Import2[[#This Row],[Expected sale completion year]]&amp;Import2[[#This Row],[Expected sale completion month]]</f>
        <v>Open market housing</v>
      </c>
      <c r="W110" s="178">
        <f t="shared" si="54"/>
        <v>0</v>
      </c>
    </row>
    <row r="111" spans="1:23" ht="15" customHeight="1">
      <c r="A111" s="132">
        <f t="shared" si="31"/>
        <v>0</v>
      </c>
      <c r="B111" s="133">
        <v>108</v>
      </c>
      <c r="C111" s="132" t="str">
        <f t="shared" si="32"/>
        <v/>
      </c>
      <c r="D111" s="132">
        <f t="shared" si="48"/>
        <v>0</v>
      </c>
      <c r="E111" s="132">
        <f t="shared" si="48"/>
        <v>0</v>
      </c>
      <c r="F111" s="132">
        <f t="shared" si="33"/>
        <v>0</v>
      </c>
      <c r="G111" s="132" t="str">
        <f t="shared" si="48"/>
        <v>Open market housing</v>
      </c>
      <c r="H111" s="132">
        <f t="shared" si="34"/>
        <v>896440000</v>
      </c>
      <c r="I111" s="132" t="str">
        <f t="shared" si="49"/>
        <v>New build</v>
      </c>
      <c r="J111" s="132">
        <f t="shared" si="36"/>
        <v>391930000</v>
      </c>
      <c r="K111" s="132">
        <f t="shared" si="50"/>
        <v>0</v>
      </c>
      <c r="L111" s="132">
        <f t="shared" si="38"/>
        <v>0</v>
      </c>
      <c r="M111" s="132">
        <f t="shared" si="51"/>
        <v>0</v>
      </c>
      <c r="N111" s="134">
        <f t="shared" si="39"/>
        <v>0</v>
      </c>
      <c r="O111" s="135">
        <f t="shared" si="40"/>
        <v>0</v>
      </c>
      <c r="P111" s="132" t="str">
        <f t="shared" si="52"/>
        <v/>
      </c>
      <c r="Q111" s="132" t="str">
        <f t="shared" si="44"/>
        <v/>
      </c>
      <c r="R111" s="132" t="str">
        <f>IF(ISNUMBER(SEARCH("AHO",Import2[[#This Row],[Tenure]])),"AHO",Import2[[#This Row],[Tenure]])&amp;Import2[[#This Row],[Expected Physical Completion Year]]&amp;Import2[[#This Row],[Expected Physical Completion Month]]</f>
        <v>Open market housing</v>
      </c>
      <c r="S111" s="135">
        <f t="shared" si="42"/>
        <v>0</v>
      </c>
      <c r="T111" s="132" t="str">
        <f t="shared" si="53"/>
        <v/>
      </c>
      <c r="U111" s="132" t="str">
        <f t="shared" si="53"/>
        <v/>
      </c>
      <c r="V111" s="132" t="str">
        <f>IF(ISNUMBER(SEARCH("AHO",Import2[[#This Row],[Tenure]])),"AHO",Import2[[#This Row],[Tenure]])&amp;Import2[[#This Row],[Expected sale completion year]]&amp;Import2[[#This Row],[Expected sale completion month]]</f>
        <v>Open market housing</v>
      </c>
      <c r="W111" s="178">
        <f t="shared" si="54"/>
        <v>0</v>
      </c>
    </row>
    <row r="112" spans="1:23" ht="15" customHeight="1">
      <c r="A112" s="132">
        <f t="shared" si="31"/>
        <v>0</v>
      </c>
      <c r="B112" s="133">
        <v>109</v>
      </c>
      <c r="C112" s="132" t="str">
        <f t="shared" si="32"/>
        <v/>
      </c>
      <c r="D112" s="132">
        <f t="shared" si="48"/>
        <v>0</v>
      </c>
      <c r="E112" s="132">
        <f t="shared" si="48"/>
        <v>0</v>
      </c>
      <c r="F112" s="132">
        <f t="shared" si="33"/>
        <v>0</v>
      </c>
      <c r="G112" s="132" t="str">
        <f t="shared" si="48"/>
        <v>Open market housing</v>
      </c>
      <c r="H112" s="132">
        <f t="shared" si="34"/>
        <v>896440000</v>
      </c>
      <c r="I112" s="132" t="str">
        <f t="shared" si="49"/>
        <v>New build</v>
      </c>
      <c r="J112" s="132">
        <f t="shared" si="36"/>
        <v>391930000</v>
      </c>
      <c r="K112" s="132">
        <f t="shared" si="50"/>
        <v>0</v>
      </c>
      <c r="L112" s="132">
        <f t="shared" si="38"/>
        <v>0</v>
      </c>
      <c r="M112" s="132">
        <f t="shared" si="51"/>
        <v>0</v>
      </c>
      <c r="N112" s="134">
        <f t="shared" si="39"/>
        <v>0</v>
      </c>
      <c r="O112" s="135">
        <f t="shared" si="40"/>
        <v>0</v>
      </c>
      <c r="P112" s="132" t="str">
        <f t="shared" si="52"/>
        <v/>
      </c>
      <c r="Q112" s="132" t="str">
        <f t="shared" si="44"/>
        <v/>
      </c>
      <c r="R112" s="132" t="str">
        <f>IF(ISNUMBER(SEARCH("AHO",Import2[[#This Row],[Tenure]])),"AHO",Import2[[#This Row],[Tenure]])&amp;Import2[[#This Row],[Expected Physical Completion Year]]&amp;Import2[[#This Row],[Expected Physical Completion Month]]</f>
        <v>Open market housing</v>
      </c>
      <c r="S112" s="135">
        <f t="shared" si="42"/>
        <v>0</v>
      </c>
      <c r="T112" s="132" t="str">
        <f t="shared" si="53"/>
        <v/>
      </c>
      <c r="U112" s="132" t="str">
        <f t="shared" si="53"/>
        <v/>
      </c>
      <c r="V112" s="132" t="str">
        <f>IF(ISNUMBER(SEARCH("AHO",Import2[[#This Row],[Tenure]])),"AHO",Import2[[#This Row],[Tenure]])&amp;Import2[[#This Row],[Expected sale completion year]]&amp;Import2[[#This Row],[Expected sale completion month]]</f>
        <v>Open market housing</v>
      </c>
      <c r="W112" s="178">
        <f t="shared" si="54"/>
        <v>0</v>
      </c>
    </row>
    <row r="113" spans="1:23" ht="15" customHeight="1">
      <c r="A113" s="132">
        <f t="shared" si="31"/>
        <v>0</v>
      </c>
      <c r="B113" s="133">
        <v>110</v>
      </c>
      <c r="C113" s="132" t="str">
        <f t="shared" si="32"/>
        <v/>
      </c>
      <c r="D113" s="132">
        <f t="shared" si="48"/>
        <v>0</v>
      </c>
      <c r="E113" s="132">
        <f t="shared" si="48"/>
        <v>0</v>
      </c>
      <c r="F113" s="132">
        <f t="shared" si="33"/>
        <v>0</v>
      </c>
      <c r="G113" s="132" t="str">
        <f t="shared" si="48"/>
        <v>Open market housing</v>
      </c>
      <c r="H113" s="132">
        <f t="shared" si="34"/>
        <v>896440000</v>
      </c>
      <c r="I113" s="132" t="str">
        <f t="shared" si="49"/>
        <v>New build</v>
      </c>
      <c r="J113" s="132">
        <f t="shared" si="36"/>
        <v>391930000</v>
      </c>
      <c r="K113" s="132">
        <f t="shared" si="50"/>
        <v>0</v>
      </c>
      <c r="L113" s="132">
        <f t="shared" si="38"/>
        <v>0</v>
      </c>
      <c r="M113" s="132">
        <f t="shared" si="51"/>
        <v>0</v>
      </c>
      <c r="N113" s="134">
        <f t="shared" si="39"/>
        <v>0</v>
      </c>
      <c r="O113" s="135">
        <f t="shared" si="40"/>
        <v>0</v>
      </c>
      <c r="P113" s="132" t="str">
        <f t="shared" si="52"/>
        <v/>
      </c>
      <c r="Q113" s="132" t="str">
        <f t="shared" si="44"/>
        <v/>
      </c>
      <c r="R113" s="132" t="str">
        <f>IF(ISNUMBER(SEARCH("AHO",Import2[[#This Row],[Tenure]])),"AHO",Import2[[#This Row],[Tenure]])&amp;Import2[[#This Row],[Expected Physical Completion Year]]&amp;Import2[[#This Row],[Expected Physical Completion Month]]</f>
        <v>Open market housing</v>
      </c>
      <c r="S113" s="135">
        <f t="shared" si="42"/>
        <v>0</v>
      </c>
      <c r="T113" s="132" t="str">
        <f t="shared" si="53"/>
        <v/>
      </c>
      <c r="U113" s="132" t="str">
        <f t="shared" si="53"/>
        <v/>
      </c>
      <c r="V113" s="132" t="str">
        <f>IF(ISNUMBER(SEARCH("AHO",Import2[[#This Row],[Tenure]])),"AHO",Import2[[#This Row],[Tenure]])&amp;Import2[[#This Row],[Expected sale completion year]]&amp;Import2[[#This Row],[Expected sale completion month]]</f>
        <v>Open market housing</v>
      </c>
      <c r="W113" s="178">
        <f t="shared" si="54"/>
        <v>0</v>
      </c>
    </row>
    <row r="114" spans="1:23" ht="15" customHeight="1">
      <c r="A114" s="132">
        <f t="shared" si="31"/>
        <v>0</v>
      </c>
      <c r="B114" s="133">
        <v>111</v>
      </c>
      <c r="C114" s="132" t="str">
        <f t="shared" si="32"/>
        <v/>
      </c>
      <c r="D114" s="132">
        <f t="shared" si="48"/>
        <v>0</v>
      </c>
      <c r="E114" s="132">
        <f t="shared" si="48"/>
        <v>0</v>
      </c>
      <c r="F114" s="132">
        <f t="shared" si="33"/>
        <v>0</v>
      </c>
      <c r="G114" s="132" t="str">
        <f t="shared" si="48"/>
        <v>Open market housing</v>
      </c>
      <c r="H114" s="132">
        <f t="shared" si="34"/>
        <v>896440000</v>
      </c>
      <c r="I114" s="132" t="str">
        <f t="shared" si="49"/>
        <v>New build</v>
      </c>
      <c r="J114" s="132">
        <f t="shared" si="36"/>
        <v>391930000</v>
      </c>
      <c r="K114" s="132">
        <f t="shared" si="50"/>
        <v>0</v>
      </c>
      <c r="L114" s="132">
        <f t="shared" si="38"/>
        <v>0</v>
      </c>
      <c r="M114" s="132">
        <f t="shared" si="51"/>
        <v>0</v>
      </c>
      <c r="N114" s="134">
        <f t="shared" si="39"/>
        <v>0</v>
      </c>
      <c r="O114" s="135">
        <f t="shared" si="40"/>
        <v>0</v>
      </c>
      <c r="P114" s="132" t="str">
        <f t="shared" si="52"/>
        <v/>
      </c>
      <c r="Q114" s="132" t="str">
        <f t="shared" si="44"/>
        <v/>
      </c>
      <c r="R114" s="132" t="str">
        <f>IF(ISNUMBER(SEARCH("AHO",Import2[[#This Row],[Tenure]])),"AHO",Import2[[#This Row],[Tenure]])&amp;Import2[[#This Row],[Expected Physical Completion Year]]&amp;Import2[[#This Row],[Expected Physical Completion Month]]</f>
        <v>Open market housing</v>
      </c>
      <c r="S114" s="135">
        <f t="shared" si="42"/>
        <v>0</v>
      </c>
      <c r="T114" s="132" t="str">
        <f t="shared" si="53"/>
        <v/>
      </c>
      <c r="U114" s="132" t="str">
        <f t="shared" si="53"/>
        <v/>
      </c>
      <c r="V114" s="132" t="str">
        <f>IF(ISNUMBER(SEARCH("AHO",Import2[[#This Row],[Tenure]])),"AHO",Import2[[#This Row],[Tenure]])&amp;Import2[[#This Row],[Expected sale completion year]]&amp;Import2[[#This Row],[Expected sale completion month]]</f>
        <v>Open market housing</v>
      </c>
      <c r="W114" s="178">
        <f t="shared" si="54"/>
        <v>0</v>
      </c>
    </row>
    <row r="115" spans="1:23" ht="15" customHeight="1">
      <c r="A115" s="132">
        <f t="shared" si="31"/>
        <v>0</v>
      </c>
      <c r="B115" s="133">
        <v>112</v>
      </c>
      <c r="C115" s="132" t="str">
        <f t="shared" si="32"/>
        <v/>
      </c>
      <c r="D115" s="132">
        <f t="shared" si="48"/>
        <v>0</v>
      </c>
      <c r="E115" s="132">
        <f t="shared" si="48"/>
        <v>0</v>
      </c>
      <c r="F115" s="132">
        <f t="shared" si="33"/>
        <v>0</v>
      </c>
      <c r="G115" s="132" t="str">
        <f t="shared" si="48"/>
        <v>Open market housing</v>
      </c>
      <c r="H115" s="132">
        <f t="shared" si="34"/>
        <v>896440000</v>
      </c>
      <c r="I115" s="132" t="str">
        <f t="shared" si="49"/>
        <v>New build</v>
      </c>
      <c r="J115" s="132">
        <f t="shared" si="36"/>
        <v>391930000</v>
      </c>
      <c r="K115" s="132">
        <f t="shared" si="50"/>
        <v>0</v>
      </c>
      <c r="L115" s="132">
        <f t="shared" si="38"/>
        <v>0</v>
      </c>
      <c r="M115" s="132">
        <f t="shared" si="51"/>
        <v>0</v>
      </c>
      <c r="N115" s="134">
        <f t="shared" si="39"/>
        <v>0</v>
      </c>
      <c r="O115" s="135">
        <f t="shared" si="40"/>
        <v>0</v>
      </c>
      <c r="P115" s="132" t="str">
        <f t="shared" si="52"/>
        <v/>
      </c>
      <c r="Q115" s="132" t="str">
        <f t="shared" si="44"/>
        <v/>
      </c>
      <c r="R115" s="132" t="str">
        <f>IF(ISNUMBER(SEARCH("AHO",Import2[[#This Row],[Tenure]])),"AHO",Import2[[#This Row],[Tenure]])&amp;Import2[[#This Row],[Expected Physical Completion Year]]&amp;Import2[[#This Row],[Expected Physical Completion Month]]</f>
        <v>Open market housing</v>
      </c>
      <c r="S115" s="135">
        <f t="shared" si="42"/>
        <v>0</v>
      </c>
      <c r="T115" s="132" t="str">
        <f t="shared" si="53"/>
        <v/>
      </c>
      <c r="U115" s="132" t="str">
        <f t="shared" si="53"/>
        <v/>
      </c>
      <c r="V115" s="132" t="str">
        <f>IF(ISNUMBER(SEARCH("AHO",Import2[[#This Row],[Tenure]])),"AHO",Import2[[#This Row],[Tenure]])&amp;Import2[[#This Row],[Expected sale completion year]]&amp;Import2[[#This Row],[Expected sale completion month]]</f>
        <v>Open market housing</v>
      </c>
      <c r="W115" s="178">
        <f t="shared" si="54"/>
        <v>0</v>
      </c>
    </row>
    <row r="116" spans="1:23" ht="15" customHeight="1">
      <c r="A116" s="132">
        <f t="shared" si="31"/>
        <v>0</v>
      </c>
      <c r="B116" s="133">
        <v>113</v>
      </c>
      <c r="C116" s="132" t="str">
        <f t="shared" si="32"/>
        <v/>
      </c>
      <c r="D116" s="132">
        <f t="shared" si="48"/>
        <v>0</v>
      </c>
      <c r="E116" s="132">
        <f t="shared" si="48"/>
        <v>0</v>
      </c>
      <c r="F116" s="132">
        <f t="shared" si="33"/>
        <v>0</v>
      </c>
      <c r="G116" s="132" t="str">
        <f t="shared" si="48"/>
        <v>Open market housing</v>
      </c>
      <c r="H116" s="132">
        <f t="shared" si="34"/>
        <v>896440000</v>
      </c>
      <c r="I116" s="132" t="str">
        <f t="shared" si="49"/>
        <v>New build</v>
      </c>
      <c r="J116" s="132">
        <f t="shared" si="36"/>
        <v>391930000</v>
      </c>
      <c r="K116" s="132">
        <f t="shared" si="50"/>
        <v>0</v>
      </c>
      <c r="L116" s="132">
        <f t="shared" si="38"/>
        <v>0</v>
      </c>
      <c r="M116" s="132">
        <f t="shared" si="51"/>
        <v>0</v>
      </c>
      <c r="N116" s="134">
        <f t="shared" si="39"/>
        <v>0</v>
      </c>
      <c r="O116" s="135">
        <f t="shared" si="40"/>
        <v>0</v>
      </c>
      <c r="P116" s="132" t="str">
        <f t="shared" si="52"/>
        <v/>
      </c>
      <c r="Q116" s="132" t="str">
        <f t="shared" si="44"/>
        <v/>
      </c>
      <c r="R116" s="132" t="str">
        <f>IF(ISNUMBER(SEARCH("AHO",Import2[[#This Row],[Tenure]])),"AHO",Import2[[#This Row],[Tenure]])&amp;Import2[[#This Row],[Expected Physical Completion Year]]&amp;Import2[[#This Row],[Expected Physical Completion Month]]</f>
        <v>Open market housing</v>
      </c>
      <c r="S116" s="135">
        <f t="shared" si="42"/>
        <v>0</v>
      </c>
      <c r="T116" s="132" t="str">
        <f t="shared" si="53"/>
        <v/>
      </c>
      <c r="U116" s="132" t="str">
        <f t="shared" si="53"/>
        <v/>
      </c>
      <c r="V116" s="132" t="str">
        <f>IF(ISNUMBER(SEARCH("AHO",Import2[[#This Row],[Tenure]])),"AHO",Import2[[#This Row],[Tenure]])&amp;Import2[[#This Row],[Expected sale completion year]]&amp;Import2[[#This Row],[Expected sale completion month]]</f>
        <v>Open market housing</v>
      </c>
      <c r="W116" s="178">
        <f t="shared" si="54"/>
        <v>0</v>
      </c>
    </row>
    <row r="117" spans="1:23" ht="15" customHeight="1">
      <c r="A117" s="132">
        <f t="shared" si="31"/>
        <v>0</v>
      </c>
      <c r="B117" s="133">
        <v>114</v>
      </c>
      <c r="C117" s="132" t="str">
        <f t="shared" si="32"/>
        <v/>
      </c>
      <c r="D117" s="132">
        <f t="shared" si="48"/>
        <v>0</v>
      </c>
      <c r="E117" s="132">
        <f t="shared" si="48"/>
        <v>0</v>
      </c>
      <c r="F117" s="132">
        <f t="shared" si="33"/>
        <v>0</v>
      </c>
      <c r="G117" s="132" t="str">
        <f t="shared" si="48"/>
        <v>Open market housing</v>
      </c>
      <c r="H117" s="132">
        <f t="shared" si="34"/>
        <v>896440000</v>
      </c>
      <c r="I117" s="132" t="str">
        <f t="shared" si="49"/>
        <v>New build</v>
      </c>
      <c r="J117" s="132">
        <f t="shared" si="36"/>
        <v>391930000</v>
      </c>
      <c r="K117" s="132">
        <f t="shared" si="50"/>
        <v>0</v>
      </c>
      <c r="L117" s="132">
        <f t="shared" si="38"/>
        <v>0</v>
      </c>
      <c r="M117" s="132">
        <f t="shared" si="51"/>
        <v>0</v>
      </c>
      <c r="N117" s="134">
        <f t="shared" si="39"/>
        <v>0</v>
      </c>
      <c r="O117" s="135">
        <f t="shared" si="40"/>
        <v>0</v>
      </c>
      <c r="P117" s="132" t="str">
        <f t="shared" si="52"/>
        <v/>
      </c>
      <c r="Q117" s="132" t="str">
        <f t="shared" si="44"/>
        <v/>
      </c>
      <c r="R117" s="132" t="str">
        <f>IF(ISNUMBER(SEARCH("AHO",Import2[[#This Row],[Tenure]])),"AHO",Import2[[#This Row],[Tenure]])&amp;Import2[[#This Row],[Expected Physical Completion Year]]&amp;Import2[[#This Row],[Expected Physical Completion Month]]</f>
        <v>Open market housing</v>
      </c>
      <c r="S117" s="135">
        <f t="shared" si="42"/>
        <v>0</v>
      </c>
      <c r="T117" s="132" t="str">
        <f t="shared" si="53"/>
        <v/>
      </c>
      <c r="U117" s="132" t="str">
        <f t="shared" si="53"/>
        <v/>
      </c>
      <c r="V117" s="132" t="str">
        <f>IF(ISNUMBER(SEARCH("AHO",Import2[[#This Row],[Tenure]])),"AHO",Import2[[#This Row],[Tenure]])&amp;Import2[[#This Row],[Expected sale completion year]]&amp;Import2[[#This Row],[Expected sale completion month]]</f>
        <v>Open market housing</v>
      </c>
      <c r="W117" s="178">
        <f t="shared" si="54"/>
        <v>0</v>
      </c>
    </row>
    <row r="118" spans="1:23" ht="15" customHeight="1">
      <c r="A118" s="132">
        <f t="shared" si="31"/>
        <v>0</v>
      </c>
      <c r="B118" s="133">
        <v>115</v>
      </c>
      <c r="C118" s="132" t="str">
        <f t="shared" si="32"/>
        <v/>
      </c>
      <c r="D118" s="132">
        <f t="shared" si="48"/>
        <v>0</v>
      </c>
      <c r="E118" s="132">
        <f t="shared" si="48"/>
        <v>0</v>
      </c>
      <c r="F118" s="132">
        <f t="shared" si="33"/>
        <v>0</v>
      </c>
      <c r="G118" s="132" t="str">
        <f t="shared" si="48"/>
        <v>Open market housing</v>
      </c>
      <c r="H118" s="132">
        <f t="shared" si="34"/>
        <v>896440000</v>
      </c>
      <c r="I118" s="132" t="str">
        <f t="shared" si="49"/>
        <v>New build</v>
      </c>
      <c r="J118" s="132">
        <f t="shared" si="36"/>
        <v>391930000</v>
      </c>
      <c r="K118" s="132">
        <f t="shared" si="50"/>
        <v>0</v>
      </c>
      <c r="L118" s="132">
        <f t="shared" si="38"/>
        <v>0</v>
      </c>
      <c r="M118" s="132">
        <f t="shared" si="51"/>
        <v>0</v>
      </c>
      <c r="N118" s="134">
        <f t="shared" si="39"/>
        <v>0</v>
      </c>
      <c r="O118" s="135">
        <f t="shared" si="40"/>
        <v>0</v>
      </c>
      <c r="P118" s="132" t="str">
        <f t="shared" si="52"/>
        <v/>
      </c>
      <c r="Q118" s="132" t="str">
        <f t="shared" si="44"/>
        <v/>
      </c>
      <c r="R118" s="132" t="str">
        <f>IF(ISNUMBER(SEARCH("AHO",Import2[[#This Row],[Tenure]])),"AHO",Import2[[#This Row],[Tenure]])&amp;Import2[[#This Row],[Expected Physical Completion Year]]&amp;Import2[[#This Row],[Expected Physical Completion Month]]</f>
        <v>Open market housing</v>
      </c>
      <c r="S118" s="135">
        <f t="shared" si="42"/>
        <v>0</v>
      </c>
      <c r="T118" s="132" t="str">
        <f t="shared" si="53"/>
        <v/>
      </c>
      <c r="U118" s="132" t="str">
        <f t="shared" si="53"/>
        <v/>
      </c>
      <c r="V118" s="132" t="str">
        <f>IF(ISNUMBER(SEARCH("AHO",Import2[[#This Row],[Tenure]])),"AHO",Import2[[#This Row],[Tenure]])&amp;Import2[[#This Row],[Expected sale completion year]]&amp;Import2[[#This Row],[Expected sale completion month]]</f>
        <v>Open market housing</v>
      </c>
      <c r="W118" s="178">
        <f t="shared" si="54"/>
        <v>0</v>
      </c>
    </row>
    <row r="119" spans="1:23" ht="15" customHeight="1">
      <c r="A119" s="132">
        <f t="shared" si="31"/>
        <v>0</v>
      </c>
      <c r="B119" s="133">
        <v>116</v>
      </c>
      <c r="C119" s="132" t="str">
        <f t="shared" si="32"/>
        <v/>
      </c>
      <c r="D119" s="132">
        <f t="shared" si="48"/>
        <v>0</v>
      </c>
      <c r="E119" s="132">
        <f t="shared" si="48"/>
        <v>0</v>
      </c>
      <c r="F119" s="132">
        <f t="shared" si="33"/>
        <v>0</v>
      </c>
      <c r="G119" s="132" t="str">
        <f t="shared" si="48"/>
        <v>Open market housing</v>
      </c>
      <c r="H119" s="132">
        <f t="shared" si="34"/>
        <v>896440000</v>
      </c>
      <c r="I119" s="132" t="str">
        <f t="shared" si="49"/>
        <v>New build</v>
      </c>
      <c r="J119" s="132">
        <f t="shared" si="36"/>
        <v>391930000</v>
      </c>
      <c r="K119" s="132">
        <f t="shared" si="50"/>
        <v>0</v>
      </c>
      <c r="L119" s="132">
        <f t="shared" si="38"/>
        <v>0</v>
      </c>
      <c r="M119" s="132">
        <f t="shared" si="51"/>
        <v>0</v>
      </c>
      <c r="N119" s="134">
        <f t="shared" si="39"/>
        <v>0</v>
      </c>
      <c r="O119" s="135">
        <f t="shared" si="40"/>
        <v>0</v>
      </c>
      <c r="P119" s="132" t="str">
        <f t="shared" si="52"/>
        <v/>
      </c>
      <c r="Q119" s="132" t="str">
        <f t="shared" si="44"/>
        <v/>
      </c>
      <c r="R119" s="132" t="str">
        <f>IF(ISNUMBER(SEARCH("AHO",Import2[[#This Row],[Tenure]])),"AHO",Import2[[#This Row],[Tenure]])&amp;Import2[[#This Row],[Expected Physical Completion Year]]&amp;Import2[[#This Row],[Expected Physical Completion Month]]</f>
        <v>Open market housing</v>
      </c>
      <c r="S119" s="135">
        <f t="shared" si="42"/>
        <v>0</v>
      </c>
      <c r="T119" s="132" t="str">
        <f t="shared" si="53"/>
        <v/>
      </c>
      <c r="U119" s="132" t="str">
        <f t="shared" si="53"/>
        <v/>
      </c>
      <c r="V119" s="132" t="str">
        <f>IF(ISNUMBER(SEARCH("AHO",Import2[[#This Row],[Tenure]])),"AHO",Import2[[#This Row],[Tenure]])&amp;Import2[[#This Row],[Expected sale completion year]]&amp;Import2[[#This Row],[Expected sale completion month]]</f>
        <v>Open market housing</v>
      </c>
      <c r="W119" s="178">
        <f t="shared" si="54"/>
        <v>0</v>
      </c>
    </row>
    <row r="120" spans="1:23" ht="15" customHeight="1">
      <c r="A120" s="132">
        <f t="shared" si="31"/>
        <v>0</v>
      </c>
      <c r="B120" s="133">
        <v>117</v>
      </c>
      <c r="C120" s="132" t="str">
        <f t="shared" si="32"/>
        <v/>
      </c>
      <c r="D120" s="132">
        <f t="shared" si="48"/>
        <v>0</v>
      </c>
      <c r="E120" s="132">
        <f t="shared" si="48"/>
        <v>0</v>
      </c>
      <c r="F120" s="132">
        <f t="shared" si="33"/>
        <v>0</v>
      </c>
      <c r="G120" s="132" t="str">
        <f t="shared" si="48"/>
        <v>Open market housing</v>
      </c>
      <c r="H120" s="132">
        <f t="shared" si="34"/>
        <v>896440000</v>
      </c>
      <c r="I120" s="132" t="str">
        <f t="shared" si="49"/>
        <v>New build</v>
      </c>
      <c r="J120" s="132">
        <f t="shared" si="36"/>
        <v>391930000</v>
      </c>
      <c r="K120" s="132">
        <f t="shared" si="50"/>
        <v>0</v>
      </c>
      <c r="L120" s="132">
        <f t="shared" si="38"/>
        <v>0</v>
      </c>
      <c r="M120" s="132">
        <f t="shared" si="51"/>
        <v>0</v>
      </c>
      <c r="N120" s="134">
        <f t="shared" si="39"/>
        <v>0</v>
      </c>
      <c r="O120" s="135">
        <f t="shared" si="40"/>
        <v>0</v>
      </c>
      <c r="P120" s="132" t="str">
        <f t="shared" si="52"/>
        <v/>
      </c>
      <c r="Q120" s="132" t="str">
        <f t="shared" si="44"/>
        <v/>
      </c>
      <c r="R120" s="132" t="str">
        <f>IF(ISNUMBER(SEARCH("AHO",Import2[[#This Row],[Tenure]])),"AHO",Import2[[#This Row],[Tenure]])&amp;Import2[[#This Row],[Expected Physical Completion Year]]&amp;Import2[[#This Row],[Expected Physical Completion Month]]</f>
        <v>Open market housing</v>
      </c>
      <c r="S120" s="135">
        <f t="shared" si="42"/>
        <v>0</v>
      </c>
      <c r="T120" s="132" t="str">
        <f t="shared" si="53"/>
        <v/>
      </c>
      <c r="U120" s="132" t="str">
        <f t="shared" si="53"/>
        <v/>
      </c>
      <c r="V120" s="132" t="str">
        <f>IF(ISNUMBER(SEARCH("AHO",Import2[[#This Row],[Tenure]])),"AHO",Import2[[#This Row],[Tenure]])&amp;Import2[[#This Row],[Expected sale completion year]]&amp;Import2[[#This Row],[Expected sale completion month]]</f>
        <v>Open market housing</v>
      </c>
      <c r="W120" s="178">
        <f t="shared" si="54"/>
        <v>0</v>
      </c>
    </row>
    <row r="121" spans="1:23" ht="15" customHeight="1">
      <c r="A121" s="132">
        <f t="shared" si="31"/>
        <v>0</v>
      </c>
      <c r="B121" s="133">
        <v>118</v>
      </c>
      <c r="C121" s="132" t="str">
        <f t="shared" si="32"/>
        <v/>
      </c>
      <c r="D121" s="132">
        <f t="shared" si="48"/>
        <v>0</v>
      </c>
      <c r="E121" s="132">
        <f t="shared" si="48"/>
        <v>0</v>
      </c>
      <c r="F121" s="132">
        <f t="shared" si="33"/>
        <v>0</v>
      </c>
      <c r="G121" s="132" t="str">
        <f t="shared" si="48"/>
        <v>Open market housing</v>
      </c>
      <c r="H121" s="132">
        <f t="shared" si="34"/>
        <v>896440000</v>
      </c>
      <c r="I121" s="132" t="str">
        <f t="shared" si="49"/>
        <v>New build</v>
      </c>
      <c r="J121" s="132">
        <f t="shared" si="36"/>
        <v>391930000</v>
      </c>
      <c r="K121" s="132">
        <f t="shared" si="50"/>
        <v>0</v>
      </c>
      <c r="L121" s="132">
        <f t="shared" si="38"/>
        <v>0</v>
      </c>
      <c r="M121" s="132">
        <f t="shared" si="51"/>
        <v>0</v>
      </c>
      <c r="N121" s="134">
        <f t="shared" si="39"/>
        <v>0</v>
      </c>
      <c r="O121" s="135">
        <f t="shared" si="40"/>
        <v>0</v>
      </c>
      <c r="P121" s="132" t="str">
        <f t="shared" si="52"/>
        <v/>
      </c>
      <c r="Q121" s="132" t="str">
        <f t="shared" si="44"/>
        <v/>
      </c>
      <c r="R121" s="132" t="str">
        <f>IF(ISNUMBER(SEARCH("AHO",Import2[[#This Row],[Tenure]])),"AHO",Import2[[#This Row],[Tenure]])&amp;Import2[[#This Row],[Expected Physical Completion Year]]&amp;Import2[[#This Row],[Expected Physical Completion Month]]</f>
        <v>Open market housing</v>
      </c>
      <c r="S121" s="135">
        <f t="shared" si="42"/>
        <v>0</v>
      </c>
      <c r="T121" s="132" t="str">
        <f t="shared" si="53"/>
        <v/>
      </c>
      <c r="U121" s="132" t="str">
        <f t="shared" si="53"/>
        <v/>
      </c>
      <c r="V121" s="132" t="str">
        <f>IF(ISNUMBER(SEARCH("AHO",Import2[[#This Row],[Tenure]])),"AHO",Import2[[#This Row],[Tenure]])&amp;Import2[[#This Row],[Expected sale completion year]]&amp;Import2[[#This Row],[Expected sale completion month]]</f>
        <v>Open market housing</v>
      </c>
      <c r="W121" s="178">
        <f t="shared" si="54"/>
        <v>0</v>
      </c>
    </row>
    <row r="122" spans="1:23" ht="15" customHeight="1">
      <c r="A122" s="132">
        <f t="shared" si="31"/>
        <v>0</v>
      </c>
      <c r="B122" s="133">
        <v>119</v>
      </c>
      <c r="C122" s="132" t="str">
        <f t="shared" si="32"/>
        <v/>
      </c>
      <c r="D122" s="132">
        <f t="shared" si="48"/>
        <v>0</v>
      </c>
      <c r="E122" s="132">
        <f t="shared" si="48"/>
        <v>0</v>
      </c>
      <c r="F122" s="132">
        <f t="shared" si="33"/>
        <v>0</v>
      </c>
      <c r="G122" s="132" t="str">
        <f t="shared" si="48"/>
        <v>Open market housing</v>
      </c>
      <c r="H122" s="132">
        <f t="shared" si="34"/>
        <v>896440000</v>
      </c>
      <c r="I122" s="132" t="str">
        <f t="shared" si="49"/>
        <v>New build</v>
      </c>
      <c r="J122" s="132">
        <f t="shared" si="36"/>
        <v>391930000</v>
      </c>
      <c r="K122" s="132">
        <f t="shared" si="50"/>
        <v>0</v>
      </c>
      <c r="L122" s="132">
        <f t="shared" si="38"/>
        <v>0</v>
      </c>
      <c r="M122" s="132">
        <f t="shared" si="51"/>
        <v>0</v>
      </c>
      <c r="N122" s="134">
        <f t="shared" si="39"/>
        <v>0</v>
      </c>
      <c r="O122" s="135">
        <f t="shared" si="40"/>
        <v>0</v>
      </c>
      <c r="P122" s="132" t="str">
        <f t="shared" si="52"/>
        <v/>
      </c>
      <c r="Q122" s="132" t="str">
        <f t="shared" si="44"/>
        <v/>
      </c>
      <c r="R122" s="132" t="str">
        <f>IF(ISNUMBER(SEARCH("AHO",Import2[[#This Row],[Tenure]])),"AHO",Import2[[#This Row],[Tenure]])&amp;Import2[[#This Row],[Expected Physical Completion Year]]&amp;Import2[[#This Row],[Expected Physical Completion Month]]</f>
        <v>Open market housing</v>
      </c>
      <c r="S122" s="135">
        <f t="shared" si="42"/>
        <v>0</v>
      </c>
      <c r="T122" s="132" t="str">
        <f t="shared" si="53"/>
        <v/>
      </c>
      <c r="U122" s="132" t="str">
        <f t="shared" si="53"/>
        <v/>
      </c>
      <c r="V122" s="132" t="str">
        <f>IF(ISNUMBER(SEARCH("AHO",Import2[[#This Row],[Tenure]])),"AHO",Import2[[#This Row],[Tenure]])&amp;Import2[[#This Row],[Expected sale completion year]]&amp;Import2[[#This Row],[Expected sale completion month]]</f>
        <v>Open market housing</v>
      </c>
      <c r="W122" s="178">
        <f t="shared" si="54"/>
        <v>0</v>
      </c>
    </row>
    <row r="123" spans="1:23" ht="15" customHeight="1">
      <c r="A123" s="132">
        <f t="shared" si="31"/>
        <v>0</v>
      </c>
      <c r="B123" s="133">
        <v>120</v>
      </c>
      <c r="C123" s="132" t="str">
        <f t="shared" si="32"/>
        <v/>
      </c>
      <c r="D123" s="132">
        <f t="shared" si="48"/>
        <v>0</v>
      </c>
      <c r="E123" s="132">
        <f t="shared" si="48"/>
        <v>0</v>
      </c>
      <c r="F123" s="132">
        <f t="shared" si="33"/>
        <v>0</v>
      </c>
      <c r="G123" s="132" t="str">
        <f t="shared" si="48"/>
        <v>Open market housing</v>
      </c>
      <c r="H123" s="132">
        <f t="shared" si="34"/>
        <v>896440000</v>
      </c>
      <c r="I123" s="132" t="str">
        <f t="shared" si="49"/>
        <v>New build</v>
      </c>
      <c r="J123" s="132">
        <f t="shared" si="36"/>
        <v>391930000</v>
      </c>
      <c r="K123" s="132">
        <f t="shared" si="50"/>
        <v>0</v>
      </c>
      <c r="L123" s="132">
        <f t="shared" si="38"/>
        <v>0</v>
      </c>
      <c r="M123" s="132">
        <f t="shared" si="51"/>
        <v>0</v>
      </c>
      <c r="N123" s="134">
        <f t="shared" si="39"/>
        <v>0</v>
      </c>
      <c r="O123" s="135">
        <f t="shared" si="40"/>
        <v>0</v>
      </c>
      <c r="P123" s="132" t="str">
        <f t="shared" si="52"/>
        <v/>
      </c>
      <c r="Q123" s="132" t="str">
        <f t="shared" si="44"/>
        <v/>
      </c>
      <c r="R123" s="132" t="str">
        <f>IF(ISNUMBER(SEARCH("AHO",Import2[[#This Row],[Tenure]])),"AHO",Import2[[#This Row],[Tenure]])&amp;Import2[[#This Row],[Expected Physical Completion Year]]&amp;Import2[[#This Row],[Expected Physical Completion Month]]</f>
        <v>Open market housing</v>
      </c>
      <c r="S123" s="135">
        <f t="shared" si="42"/>
        <v>0</v>
      </c>
      <c r="T123" s="132" t="str">
        <f t="shared" si="53"/>
        <v/>
      </c>
      <c r="U123" s="132" t="str">
        <f t="shared" si="53"/>
        <v/>
      </c>
      <c r="V123" s="132" t="str">
        <f>IF(ISNUMBER(SEARCH("AHO",Import2[[#This Row],[Tenure]])),"AHO",Import2[[#This Row],[Tenure]])&amp;Import2[[#This Row],[Expected sale completion year]]&amp;Import2[[#This Row],[Expected sale completion month]]</f>
        <v>Open market housing</v>
      </c>
      <c r="W123" s="178">
        <f t="shared" si="54"/>
        <v>0</v>
      </c>
    </row>
    <row r="124" spans="1:23" ht="15" customHeight="1">
      <c r="A124" s="132">
        <f t="shared" si="31"/>
        <v>0</v>
      </c>
      <c r="B124" s="133">
        <v>121</v>
      </c>
      <c r="C124" s="132" t="str">
        <f t="shared" si="32"/>
        <v/>
      </c>
      <c r="D124" s="132">
        <f t="shared" ref="D124:G143" si="55">INDEX(PlotData,MATCH($B124,PlotNumber,0),MATCH(D$3,PlotTitles,0))</f>
        <v>0</v>
      </c>
      <c r="E124" s="132">
        <f t="shared" si="55"/>
        <v>0</v>
      </c>
      <c r="F124" s="132">
        <f t="shared" si="33"/>
        <v>0</v>
      </c>
      <c r="G124" s="132" t="str">
        <f t="shared" si="55"/>
        <v>Open market housing</v>
      </c>
      <c r="H124" s="132">
        <f t="shared" si="34"/>
        <v>896440000</v>
      </c>
      <c r="I124" s="132" t="str">
        <f t="shared" si="49"/>
        <v>New build</v>
      </c>
      <c r="J124" s="132">
        <f t="shared" si="36"/>
        <v>391930000</v>
      </c>
      <c r="K124" s="132">
        <f t="shared" si="50"/>
        <v>0</v>
      </c>
      <c r="L124" s="132">
        <f t="shared" si="38"/>
        <v>0</v>
      </c>
      <c r="M124" s="132">
        <f t="shared" ref="M124:M143" si="56">INDEX(PlotData,MATCH($B124,PlotNumber,0),MATCH(M$3,PlotTitles,0))</f>
        <v>0</v>
      </c>
      <c r="N124" s="134">
        <f t="shared" si="39"/>
        <v>0</v>
      </c>
      <c r="O124" s="135">
        <f t="shared" si="40"/>
        <v>0</v>
      </c>
      <c r="P124" s="132" t="str">
        <f t="shared" si="52"/>
        <v/>
      </c>
      <c r="Q124" s="132" t="str">
        <f t="shared" si="44"/>
        <v/>
      </c>
      <c r="R124" s="132" t="str">
        <f>IF(ISNUMBER(SEARCH("AHO",Import2[[#This Row],[Tenure]])),"AHO",Import2[[#This Row],[Tenure]])&amp;Import2[[#This Row],[Expected Physical Completion Year]]&amp;Import2[[#This Row],[Expected Physical Completion Month]]</f>
        <v>Open market housing</v>
      </c>
      <c r="S124" s="135">
        <f t="shared" si="42"/>
        <v>0</v>
      </c>
      <c r="T124" s="132" t="str">
        <f t="shared" ref="T124:U143" si="57">IF(INDEX(PlotData,MATCH($B124,PlotNumber,0),MATCH(T$3,PlotTitles,0))=0,"",INDEX(PlotData,MATCH($B124,PlotNumber,0),MATCH(T$3,PlotTitles,0)))</f>
        <v/>
      </c>
      <c r="U124" s="132" t="str">
        <f t="shared" si="57"/>
        <v/>
      </c>
      <c r="V124" s="132" t="str">
        <f>IF(ISNUMBER(SEARCH("AHO",Import2[[#This Row],[Tenure]])),"AHO",Import2[[#This Row],[Tenure]])&amp;Import2[[#This Row],[Expected sale completion year]]&amp;Import2[[#This Row],[Expected sale completion month]]</f>
        <v>Open market housing</v>
      </c>
      <c r="W124" s="178">
        <f t="shared" si="54"/>
        <v>0</v>
      </c>
    </row>
    <row r="125" spans="1:23" ht="15" customHeight="1">
      <c r="A125" s="132">
        <f t="shared" si="31"/>
        <v>0</v>
      </c>
      <c r="B125" s="133">
        <v>122</v>
      </c>
      <c r="C125" s="132" t="str">
        <f t="shared" si="32"/>
        <v/>
      </c>
      <c r="D125" s="132">
        <f t="shared" si="55"/>
        <v>0</v>
      </c>
      <c r="E125" s="132">
        <f t="shared" si="55"/>
        <v>0</v>
      </c>
      <c r="F125" s="132">
        <f t="shared" si="33"/>
        <v>0</v>
      </c>
      <c r="G125" s="132" t="str">
        <f t="shared" si="55"/>
        <v>Open market housing</v>
      </c>
      <c r="H125" s="132">
        <f t="shared" si="34"/>
        <v>896440000</v>
      </c>
      <c r="I125" s="132" t="str">
        <f t="shared" si="49"/>
        <v>New build</v>
      </c>
      <c r="J125" s="132">
        <f t="shared" si="36"/>
        <v>391930000</v>
      </c>
      <c r="K125" s="132">
        <f t="shared" si="50"/>
        <v>0</v>
      </c>
      <c r="L125" s="132">
        <f t="shared" si="38"/>
        <v>0</v>
      </c>
      <c r="M125" s="132">
        <f t="shared" si="56"/>
        <v>0</v>
      </c>
      <c r="N125" s="134">
        <f t="shared" si="39"/>
        <v>0</v>
      </c>
      <c r="O125" s="135">
        <f t="shared" si="40"/>
        <v>0</v>
      </c>
      <c r="P125" s="132" t="str">
        <f t="shared" si="52"/>
        <v/>
      </c>
      <c r="Q125" s="132" t="str">
        <f t="shared" si="44"/>
        <v/>
      </c>
      <c r="R125" s="132" t="str">
        <f>IF(ISNUMBER(SEARCH("AHO",Import2[[#This Row],[Tenure]])),"AHO",Import2[[#This Row],[Tenure]])&amp;Import2[[#This Row],[Expected Physical Completion Year]]&amp;Import2[[#This Row],[Expected Physical Completion Month]]</f>
        <v>Open market housing</v>
      </c>
      <c r="S125" s="135">
        <f t="shared" si="42"/>
        <v>0</v>
      </c>
      <c r="T125" s="132" t="str">
        <f t="shared" si="57"/>
        <v/>
      </c>
      <c r="U125" s="132" t="str">
        <f t="shared" si="57"/>
        <v/>
      </c>
      <c r="V125" s="132" t="str">
        <f>IF(ISNUMBER(SEARCH("AHO",Import2[[#This Row],[Tenure]])),"AHO",Import2[[#This Row],[Tenure]])&amp;Import2[[#This Row],[Expected sale completion year]]&amp;Import2[[#This Row],[Expected sale completion month]]</f>
        <v>Open market housing</v>
      </c>
      <c r="W125" s="178">
        <f t="shared" si="54"/>
        <v>0</v>
      </c>
    </row>
    <row r="126" spans="1:23" ht="15" customHeight="1">
      <c r="A126" s="132">
        <f t="shared" si="31"/>
        <v>0</v>
      </c>
      <c r="B126" s="133">
        <v>123</v>
      </c>
      <c r="C126" s="132" t="str">
        <f t="shared" si="32"/>
        <v/>
      </c>
      <c r="D126" s="132">
        <f t="shared" si="55"/>
        <v>0</v>
      </c>
      <c r="E126" s="132">
        <f t="shared" si="55"/>
        <v>0</v>
      </c>
      <c r="F126" s="132">
        <f t="shared" si="33"/>
        <v>0</v>
      </c>
      <c r="G126" s="132" t="str">
        <f t="shared" si="55"/>
        <v>Open market housing</v>
      </c>
      <c r="H126" s="132">
        <f t="shared" si="34"/>
        <v>896440000</v>
      </c>
      <c r="I126" s="132" t="str">
        <f t="shared" si="49"/>
        <v>New build</v>
      </c>
      <c r="J126" s="132">
        <f t="shared" si="36"/>
        <v>391930000</v>
      </c>
      <c r="K126" s="132">
        <f t="shared" si="50"/>
        <v>0</v>
      </c>
      <c r="L126" s="132">
        <f t="shared" si="38"/>
        <v>0</v>
      </c>
      <c r="M126" s="132">
        <f t="shared" si="56"/>
        <v>0</v>
      </c>
      <c r="N126" s="134">
        <f t="shared" si="39"/>
        <v>0</v>
      </c>
      <c r="O126" s="135">
        <f t="shared" si="40"/>
        <v>0</v>
      </c>
      <c r="P126" s="132" t="str">
        <f t="shared" si="52"/>
        <v/>
      </c>
      <c r="Q126" s="132" t="str">
        <f t="shared" si="44"/>
        <v/>
      </c>
      <c r="R126" s="132" t="str">
        <f>IF(ISNUMBER(SEARCH("AHO",Import2[[#This Row],[Tenure]])),"AHO",Import2[[#This Row],[Tenure]])&amp;Import2[[#This Row],[Expected Physical Completion Year]]&amp;Import2[[#This Row],[Expected Physical Completion Month]]</f>
        <v>Open market housing</v>
      </c>
      <c r="S126" s="135">
        <f t="shared" si="42"/>
        <v>0</v>
      </c>
      <c r="T126" s="132" t="str">
        <f t="shared" si="57"/>
        <v/>
      </c>
      <c r="U126" s="132" t="str">
        <f t="shared" si="57"/>
        <v/>
      </c>
      <c r="V126" s="132" t="str">
        <f>IF(ISNUMBER(SEARCH("AHO",Import2[[#This Row],[Tenure]])),"AHO",Import2[[#This Row],[Tenure]])&amp;Import2[[#This Row],[Expected sale completion year]]&amp;Import2[[#This Row],[Expected sale completion month]]</f>
        <v>Open market housing</v>
      </c>
      <c r="W126" s="178">
        <f t="shared" si="54"/>
        <v>0</v>
      </c>
    </row>
    <row r="127" spans="1:23" ht="15" customHeight="1">
      <c r="A127" s="132">
        <f t="shared" si="31"/>
        <v>0</v>
      </c>
      <c r="B127" s="133">
        <v>124</v>
      </c>
      <c r="C127" s="132" t="str">
        <f t="shared" si="32"/>
        <v/>
      </c>
      <c r="D127" s="132">
        <f t="shared" si="55"/>
        <v>0</v>
      </c>
      <c r="E127" s="132">
        <f t="shared" si="55"/>
        <v>0</v>
      </c>
      <c r="F127" s="132">
        <f t="shared" si="33"/>
        <v>0</v>
      </c>
      <c r="G127" s="132" t="str">
        <f t="shared" si="55"/>
        <v>Open market housing</v>
      </c>
      <c r="H127" s="132">
        <f t="shared" si="34"/>
        <v>896440000</v>
      </c>
      <c r="I127" s="132" t="str">
        <f t="shared" si="49"/>
        <v>New build</v>
      </c>
      <c r="J127" s="132">
        <f t="shared" si="36"/>
        <v>391930000</v>
      </c>
      <c r="K127" s="132">
        <f t="shared" si="50"/>
        <v>0</v>
      </c>
      <c r="L127" s="132">
        <f t="shared" si="38"/>
        <v>0</v>
      </c>
      <c r="M127" s="132">
        <f t="shared" si="56"/>
        <v>0</v>
      </c>
      <c r="N127" s="134">
        <f t="shared" si="39"/>
        <v>0</v>
      </c>
      <c r="O127" s="135">
        <f t="shared" si="40"/>
        <v>0</v>
      </c>
      <c r="P127" s="132" t="str">
        <f t="shared" si="52"/>
        <v/>
      </c>
      <c r="Q127" s="132" t="str">
        <f t="shared" si="44"/>
        <v/>
      </c>
      <c r="R127" s="132" t="str">
        <f>IF(ISNUMBER(SEARCH("AHO",Import2[[#This Row],[Tenure]])),"AHO",Import2[[#This Row],[Tenure]])&amp;Import2[[#This Row],[Expected Physical Completion Year]]&amp;Import2[[#This Row],[Expected Physical Completion Month]]</f>
        <v>Open market housing</v>
      </c>
      <c r="S127" s="135">
        <f t="shared" si="42"/>
        <v>0</v>
      </c>
      <c r="T127" s="132" t="str">
        <f t="shared" si="57"/>
        <v/>
      </c>
      <c r="U127" s="132" t="str">
        <f t="shared" si="57"/>
        <v/>
      </c>
      <c r="V127" s="132" t="str">
        <f>IF(ISNUMBER(SEARCH("AHO",Import2[[#This Row],[Tenure]])),"AHO",Import2[[#This Row],[Tenure]])&amp;Import2[[#This Row],[Expected sale completion year]]&amp;Import2[[#This Row],[Expected sale completion month]]</f>
        <v>Open market housing</v>
      </c>
      <c r="W127" s="178">
        <f t="shared" si="54"/>
        <v>0</v>
      </c>
    </row>
    <row r="128" spans="1:23" ht="15" customHeight="1">
      <c r="A128" s="132">
        <f t="shared" si="31"/>
        <v>0</v>
      </c>
      <c r="B128" s="133">
        <v>125</v>
      </c>
      <c r="C128" s="132" t="str">
        <f t="shared" si="32"/>
        <v/>
      </c>
      <c r="D128" s="132">
        <f t="shared" si="55"/>
        <v>0</v>
      </c>
      <c r="E128" s="132">
        <f t="shared" si="55"/>
        <v>0</v>
      </c>
      <c r="F128" s="132">
        <f t="shared" si="33"/>
        <v>0</v>
      </c>
      <c r="G128" s="132" t="str">
        <f t="shared" si="55"/>
        <v>Open market housing</v>
      </c>
      <c r="H128" s="132">
        <f t="shared" si="34"/>
        <v>896440000</v>
      </c>
      <c r="I128" s="132" t="str">
        <f t="shared" si="49"/>
        <v>New build</v>
      </c>
      <c r="J128" s="132">
        <f t="shared" si="36"/>
        <v>391930000</v>
      </c>
      <c r="K128" s="132">
        <f t="shared" si="50"/>
        <v>0</v>
      </c>
      <c r="L128" s="132">
        <f t="shared" si="38"/>
        <v>0</v>
      </c>
      <c r="M128" s="132">
        <f t="shared" si="56"/>
        <v>0</v>
      </c>
      <c r="N128" s="134">
        <f t="shared" si="39"/>
        <v>0</v>
      </c>
      <c r="O128" s="135">
        <f t="shared" si="40"/>
        <v>0</v>
      </c>
      <c r="P128" s="132" t="str">
        <f t="shared" si="52"/>
        <v/>
      </c>
      <c r="Q128" s="132" t="str">
        <f t="shared" si="44"/>
        <v/>
      </c>
      <c r="R128" s="132" t="str">
        <f>IF(ISNUMBER(SEARCH("AHO",Import2[[#This Row],[Tenure]])),"AHO",Import2[[#This Row],[Tenure]])&amp;Import2[[#This Row],[Expected Physical Completion Year]]&amp;Import2[[#This Row],[Expected Physical Completion Month]]</f>
        <v>Open market housing</v>
      </c>
      <c r="S128" s="135">
        <f t="shared" si="42"/>
        <v>0</v>
      </c>
      <c r="T128" s="132" t="str">
        <f t="shared" si="57"/>
        <v/>
      </c>
      <c r="U128" s="132" t="str">
        <f t="shared" si="57"/>
        <v/>
      </c>
      <c r="V128" s="132" t="str">
        <f>IF(ISNUMBER(SEARCH("AHO",Import2[[#This Row],[Tenure]])),"AHO",Import2[[#This Row],[Tenure]])&amp;Import2[[#This Row],[Expected sale completion year]]&amp;Import2[[#This Row],[Expected sale completion month]]</f>
        <v>Open market housing</v>
      </c>
      <c r="W128" s="178">
        <f t="shared" si="54"/>
        <v>0</v>
      </c>
    </row>
    <row r="129" spans="1:23" ht="15" customHeight="1">
      <c r="A129" s="132">
        <f t="shared" si="31"/>
        <v>0</v>
      </c>
      <c r="B129" s="133">
        <v>126</v>
      </c>
      <c r="C129" s="132" t="str">
        <f t="shared" si="32"/>
        <v/>
      </c>
      <c r="D129" s="132">
        <f t="shared" si="55"/>
        <v>0</v>
      </c>
      <c r="E129" s="132">
        <f t="shared" si="55"/>
        <v>0</v>
      </c>
      <c r="F129" s="132">
        <f t="shared" si="33"/>
        <v>0</v>
      </c>
      <c r="G129" s="132" t="str">
        <f t="shared" si="55"/>
        <v>Open market housing</v>
      </c>
      <c r="H129" s="132">
        <f t="shared" si="34"/>
        <v>896440000</v>
      </c>
      <c r="I129" s="132" t="str">
        <f t="shared" si="49"/>
        <v>New build</v>
      </c>
      <c r="J129" s="132">
        <f t="shared" si="36"/>
        <v>391930000</v>
      </c>
      <c r="K129" s="132">
        <f t="shared" si="50"/>
        <v>0</v>
      </c>
      <c r="L129" s="132">
        <f t="shared" si="38"/>
        <v>0</v>
      </c>
      <c r="M129" s="132">
        <f t="shared" si="56"/>
        <v>0</v>
      </c>
      <c r="N129" s="134">
        <f t="shared" si="39"/>
        <v>0</v>
      </c>
      <c r="O129" s="135">
        <f t="shared" si="40"/>
        <v>0</v>
      </c>
      <c r="P129" s="132" t="str">
        <f t="shared" si="52"/>
        <v/>
      </c>
      <c r="Q129" s="132" t="str">
        <f t="shared" si="44"/>
        <v/>
      </c>
      <c r="R129" s="132" t="str">
        <f>IF(ISNUMBER(SEARCH("AHO",Import2[[#This Row],[Tenure]])),"AHO",Import2[[#This Row],[Tenure]])&amp;Import2[[#This Row],[Expected Physical Completion Year]]&amp;Import2[[#This Row],[Expected Physical Completion Month]]</f>
        <v>Open market housing</v>
      </c>
      <c r="S129" s="135">
        <f t="shared" si="42"/>
        <v>0</v>
      </c>
      <c r="T129" s="132" t="str">
        <f t="shared" si="57"/>
        <v/>
      </c>
      <c r="U129" s="132" t="str">
        <f t="shared" si="57"/>
        <v/>
      </c>
      <c r="V129" s="132" t="str">
        <f>IF(ISNUMBER(SEARCH("AHO",Import2[[#This Row],[Tenure]])),"AHO",Import2[[#This Row],[Tenure]])&amp;Import2[[#This Row],[Expected sale completion year]]&amp;Import2[[#This Row],[Expected sale completion month]]</f>
        <v>Open market housing</v>
      </c>
      <c r="W129" s="178">
        <f t="shared" si="54"/>
        <v>0</v>
      </c>
    </row>
    <row r="130" spans="1:23" ht="15" customHeight="1">
      <c r="A130" s="132">
        <f t="shared" si="31"/>
        <v>0</v>
      </c>
      <c r="B130" s="133">
        <v>127</v>
      </c>
      <c r="C130" s="132" t="str">
        <f t="shared" si="32"/>
        <v/>
      </c>
      <c r="D130" s="132">
        <f t="shared" si="55"/>
        <v>0</v>
      </c>
      <c r="E130" s="132">
        <f t="shared" si="55"/>
        <v>0</v>
      </c>
      <c r="F130" s="132">
        <f t="shared" si="33"/>
        <v>0</v>
      </c>
      <c r="G130" s="132" t="str">
        <f t="shared" si="55"/>
        <v>Open market housing</v>
      </c>
      <c r="H130" s="132">
        <f t="shared" si="34"/>
        <v>896440000</v>
      </c>
      <c r="I130" s="132" t="str">
        <f t="shared" si="49"/>
        <v>New build</v>
      </c>
      <c r="J130" s="132">
        <f t="shared" si="36"/>
        <v>391930000</v>
      </c>
      <c r="K130" s="132">
        <f t="shared" si="50"/>
        <v>0</v>
      </c>
      <c r="L130" s="132">
        <f t="shared" si="38"/>
        <v>0</v>
      </c>
      <c r="M130" s="132">
        <f t="shared" si="56"/>
        <v>0</v>
      </c>
      <c r="N130" s="134">
        <f t="shared" si="39"/>
        <v>0</v>
      </c>
      <c r="O130" s="135">
        <f t="shared" si="40"/>
        <v>0</v>
      </c>
      <c r="P130" s="132" t="str">
        <f t="shared" si="52"/>
        <v/>
      </c>
      <c r="Q130" s="132" t="str">
        <f t="shared" si="44"/>
        <v/>
      </c>
      <c r="R130" s="132" t="str">
        <f>IF(ISNUMBER(SEARCH("AHO",Import2[[#This Row],[Tenure]])),"AHO",Import2[[#This Row],[Tenure]])&amp;Import2[[#This Row],[Expected Physical Completion Year]]&amp;Import2[[#This Row],[Expected Physical Completion Month]]</f>
        <v>Open market housing</v>
      </c>
      <c r="S130" s="135">
        <f t="shared" si="42"/>
        <v>0</v>
      </c>
      <c r="T130" s="132" t="str">
        <f t="shared" si="57"/>
        <v/>
      </c>
      <c r="U130" s="132" t="str">
        <f t="shared" si="57"/>
        <v/>
      </c>
      <c r="V130" s="132" t="str">
        <f>IF(ISNUMBER(SEARCH("AHO",Import2[[#This Row],[Tenure]])),"AHO",Import2[[#This Row],[Tenure]])&amp;Import2[[#This Row],[Expected sale completion year]]&amp;Import2[[#This Row],[Expected sale completion month]]</f>
        <v>Open market housing</v>
      </c>
      <c r="W130" s="178">
        <f t="shared" si="54"/>
        <v>0</v>
      </c>
    </row>
    <row r="131" spans="1:23" ht="15" customHeight="1">
      <c r="A131" s="132">
        <f t="shared" si="31"/>
        <v>0</v>
      </c>
      <c r="B131" s="133">
        <v>128</v>
      </c>
      <c r="C131" s="132" t="str">
        <f t="shared" si="32"/>
        <v/>
      </c>
      <c r="D131" s="132">
        <f t="shared" si="55"/>
        <v>0</v>
      </c>
      <c r="E131" s="132">
        <f t="shared" si="55"/>
        <v>0</v>
      </c>
      <c r="F131" s="132">
        <f t="shared" si="33"/>
        <v>0</v>
      </c>
      <c r="G131" s="132" t="str">
        <f t="shared" si="55"/>
        <v>Open market housing</v>
      </c>
      <c r="H131" s="132">
        <f t="shared" si="34"/>
        <v>896440000</v>
      </c>
      <c r="I131" s="132" t="str">
        <f t="shared" si="49"/>
        <v>New build</v>
      </c>
      <c r="J131" s="132">
        <f t="shared" si="36"/>
        <v>391930000</v>
      </c>
      <c r="K131" s="132">
        <f t="shared" si="50"/>
        <v>0</v>
      </c>
      <c r="L131" s="132">
        <f t="shared" si="38"/>
        <v>0</v>
      </c>
      <c r="M131" s="132">
        <f t="shared" si="56"/>
        <v>0</v>
      </c>
      <c r="N131" s="134">
        <f t="shared" si="39"/>
        <v>0</v>
      </c>
      <c r="O131" s="135">
        <f t="shared" si="40"/>
        <v>0</v>
      </c>
      <c r="P131" s="132" t="str">
        <f t="shared" si="52"/>
        <v/>
      </c>
      <c r="Q131" s="132" t="str">
        <f t="shared" si="44"/>
        <v/>
      </c>
      <c r="R131" s="132" t="str">
        <f>IF(ISNUMBER(SEARCH("AHO",Import2[[#This Row],[Tenure]])),"AHO",Import2[[#This Row],[Tenure]])&amp;Import2[[#This Row],[Expected Physical Completion Year]]&amp;Import2[[#This Row],[Expected Physical Completion Month]]</f>
        <v>Open market housing</v>
      </c>
      <c r="S131" s="135">
        <f t="shared" si="42"/>
        <v>0</v>
      </c>
      <c r="T131" s="132" t="str">
        <f t="shared" si="57"/>
        <v/>
      </c>
      <c r="U131" s="132" t="str">
        <f t="shared" si="57"/>
        <v/>
      </c>
      <c r="V131" s="132" t="str">
        <f>IF(ISNUMBER(SEARCH("AHO",Import2[[#This Row],[Tenure]])),"AHO",Import2[[#This Row],[Tenure]])&amp;Import2[[#This Row],[Expected sale completion year]]&amp;Import2[[#This Row],[Expected sale completion month]]</f>
        <v>Open market housing</v>
      </c>
      <c r="W131" s="178">
        <f t="shared" si="54"/>
        <v>0</v>
      </c>
    </row>
    <row r="132" spans="1:23" ht="15" customHeight="1">
      <c r="A132" s="132">
        <f t="shared" ref="A132:A195" si="58">IF((SUM($C132:$W132)-$H132-$J132)=0,0,1)</f>
        <v>0</v>
      </c>
      <c r="B132" s="133">
        <v>129</v>
      </c>
      <c r="C132" s="132" t="str">
        <f t="shared" ref="C132:C195" si="59">IF(INDEX(PlotData,MATCH($B132,PlotNumber,0),MATCH(C$3,PlotTitles,0))=0,"",INDEX(PlotData,MATCH($B132,PlotNumber,0),MATCH(C$3,PlotTitles,0)))</f>
        <v/>
      </c>
      <c r="D132" s="132">
        <f t="shared" si="55"/>
        <v>0</v>
      </c>
      <c r="E132" s="132">
        <f t="shared" si="55"/>
        <v>0</v>
      </c>
      <c r="F132" s="132">
        <f t="shared" ref="F132:F195" si="60">_xlfn.IFNA(INDEX(PropertyTypeRef,MATCH(E132,PropertyType,0),2),0)</f>
        <v>0</v>
      </c>
      <c r="G132" s="132" t="str">
        <f t="shared" si="55"/>
        <v>Open market housing</v>
      </c>
      <c r="H132" s="132">
        <f t="shared" ref="H132:H195" si="61">_xlfn.IFNA(INDEX(TenureRef,MATCH(G132,PlotCategory,0),2),0)</f>
        <v>896440000</v>
      </c>
      <c r="I132" s="132" t="str">
        <f t="shared" si="49"/>
        <v>New build</v>
      </c>
      <c r="J132" s="132">
        <f t="shared" ref="J132:J195" si="62">_xlfn.IFNA(INDEX(TenureDetailRef,MATCH(I132,TenureDetail,0),2),0)</f>
        <v>391930000</v>
      </c>
      <c r="K132" s="132">
        <f t="shared" si="50"/>
        <v>0</v>
      </c>
      <c r="L132" s="132">
        <f t="shared" ref="L132:L195" si="63">_xlfn.IFNA(INDEX(BuildTypeRef,MATCH(K132,BuildType,0),2),0)</f>
        <v>0</v>
      </c>
      <c r="M132" s="132">
        <f t="shared" si="56"/>
        <v>0</v>
      </c>
      <c r="N132" s="134">
        <f t="shared" ref="N132:N195" si="64">IF($M132=0,0,$M132*0.09290304)</f>
        <v>0</v>
      </c>
      <c r="O132" s="135">
        <f t="shared" ref="O132:O195" si="65">IF(OR($P132="",$Q132=""),0,(DATEVALUE($P132&amp;$Q132)))</f>
        <v>0</v>
      </c>
      <c r="P132" s="132" t="str">
        <f t="shared" si="52"/>
        <v/>
      </c>
      <c r="Q132" s="132" t="str">
        <f t="shared" si="44"/>
        <v/>
      </c>
      <c r="R132" s="132" t="str">
        <f>IF(ISNUMBER(SEARCH("AHO",Import2[[#This Row],[Tenure]])),"AHO",Import2[[#This Row],[Tenure]])&amp;Import2[[#This Row],[Expected Physical Completion Year]]&amp;Import2[[#This Row],[Expected Physical Completion Month]]</f>
        <v>Open market housing</v>
      </c>
      <c r="S132" s="135">
        <f t="shared" ref="S132:S195" si="66">IF(OR($T132="",$U132=""),0,(DATEVALUE($T132&amp;$U132)))</f>
        <v>0</v>
      </c>
      <c r="T132" s="132" t="str">
        <f t="shared" si="57"/>
        <v/>
      </c>
      <c r="U132" s="132" t="str">
        <f t="shared" si="57"/>
        <v/>
      </c>
      <c r="V132" s="132" t="str">
        <f>IF(ISNUMBER(SEARCH("AHO",Import2[[#This Row],[Tenure]])),"AHO",Import2[[#This Row],[Tenure]])&amp;Import2[[#This Row],[Expected sale completion year]]&amp;Import2[[#This Row],[Expected sale completion month]]</f>
        <v>Open market housing</v>
      </c>
      <c r="W132" s="178">
        <f t="shared" si="54"/>
        <v>0</v>
      </c>
    </row>
    <row r="133" spans="1:23" ht="15" customHeight="1">
      <c r="A133" s="132">
        <f t="shared" si="58"/>
        <v>0</v>
      </c>
      <c r="B133" s="133">
        <v>130</v>
      </c>
      <c r="C133" s="132" t="str">
        <f t="shared" si="59"/>
        <v/>
      </c>
      <c r="D133" s="132">
        <f t="shared" si="55"/>
        <v>0</v>
      </c>
      <c r="E133" s="132">
        <f t="shared" si="55"/>
        <v>0</v>
      </c>
      <c r="F133" s="132">
        <f t="shared" si="60"/>
        <v>0</v>
      </c>
      <c r="G133" s="132" t="str">
        <f t="shared" si="55"/>
        <v>Open market housing</v>
      </c>
      <c r="H133" s="132">
        <f t="shared" si="61"/>
        <v>896440000</v>
      </c>
      <c r="I133" s="132" t="str">
        <f t="shared" si="49"/>
        <v>New build</v>
      </c>
      <c r="J133" s="132">
        <f t="shared" si="62"/>
        <v>391930000</v>
      </c>
      <c r="K133" s="132">
        <f t="shared" si="50"/>
        <v>0</v>
      </c>
      <c r="L133" s="132">
        <f t="shared" si="63"/>
        <v>0</v>
      </c>
      <c r="M133" s="132">
        <f t="shared" si="56"/>
        <v>0</v>
      </c>
      <c r="N133" s="134">
        <f t="shared" si="64"/>
        <v>0</v>
      </c>
      <c r="O133" s="135">
        <f t="shared" si="65"/>
        <v>0</v>
      </c>
      <c r="P133" s="132" t="str">
        <f t="shared" si="52"/>
        <v/>
      </c>
      <c r="Q133" s="132" t="str">
        <f t="shared" si="44"/>
        <v/>
      </c>
      <c r="R133" s="132" t="str">
        <f>IF(ISNUMBER(SEARCH("AHO",Import2[[#This Row],[Tenure]])),"AHO",Import2[[#This Row],[Tenure]])&amp;Import2[[#This Row],[Expected Physical Completion Year]]&amp;Import2[[#This Row],[Expected Physical Completion Month]]</f>
        <v>Open market housing</v>
      </c>
      <c r="S133" s="135">
        <f t="shared" si="66"/>
        <v>0</v>
      </c>
      <c r="T133" s="132" t="str">
        <f t="shared" si="57"/>
        <v/>
      </c>
      <c r="U133" s="132" t="str">
        <f t="shared" si="57"/>
        <v/>
      </c>
      <c r="V133" s="132" t="str">
        <f>IF(ISNUMBER(SEARCH("AHO",Import2[[#This Row],[Tenure]])),"AHO",Import2[[#This Row],[Tenure]])&amp;Import2[[#This Row],[Expected sale completion year]]&amp;Import2[[#This Row],[Expected sale completion month]]</f>
        <v>Open market housing</v>
      </c>
      <c r="W133" s="178">
        <f t="shared" si="54"/>
        <v>0</v>
      </c>
    </row>
    <row r="134" spans="1:23" ht="15" customHeight="1">
      <c r="A134" s="132">
        <f t="shared" si="58"/>
        <v>0</v>
      </c>
      <c r="B134" s="133">
        <v>131</v>
      </c>
      <c r="C134" s="132" t="str">
        <f t="shared" si="59"/>
        <v/>
      </c>
      <c r="D134" s="132">
        <f t="shared" si="55"/>
        <v>0</v>
      </c>
      <c r="E134" s="132">
        <f t="shared" si="55"/>
        <v>0</v>
      </c>
      <c r="F134" s="132">
        <f t="shared" si="60"/>
        <v>0</v>
      </c>
      <c r="G134" s="132" t="str">
        <f t="shared" si="55"/>
        <v>Open market housing</v>
      </c>
      <c r="H134" s="132">
        <f t="shared" si="61"/>
        <v>896440000</v>
      </c>
      <c r="I134" s="132" t="str">
        <f t="shared" si="49"/>
        <v>New build</v>
      </c>
      <c r="J134" s="132">
        <f t="shared" si="62"/>
        <v>391930000</v>
      </c>
      <c r="K134" s="132">
        <f t="shared" si="50"/>
        <v>0</v>
      </c>
      <c r="L134" s="132">
        <f t="shared" si="63"/>
        <v>0</v>
      </c>
      <c r="M134" s="132">
        <f t="shared" si="56"/>
        <v>0</v>
      </c>
      <c r="N134" s="134">
        <f t="shared" si="64"/>
        <v>0</v>
      </c>
      <c r="O134" s="135">
        <f t="shared" si="65"/>
        <v>0</v>
      </c>
      <c r="P134" s="132" t="str">
        <f t="shared" si="52"/>
        <v/>
      </c>
      <c r="Q134" s="132" t="str">
        <f t="shared" ref="Q134:Q197" si="67">IF(INDEX(PlotData,MATCH($B134,PlotNumber,0),MATCH(Q$3,PlotTitles,0))=0,"",INDEX(PlotData,MATCH($B134,PlotNumber,0),MATCH(Q$3,PlotTitles,0)))</f>
        <v/>
      </c>
      <c r="R134" s="132" t="str">
        <f>IF(ISNUMBER(SEARCH("AHO",Import2[[#This Row],[Tenure]])),"AHO",Import2[[#This Row],[Tenure]])&amp;Import2[[#This Row],[Expected Physical Completion Year]]&amp;Import2[[#This Row],[Expected Physical Completion Month]]</f>
        <v>Open market housing</v>
      </c>
      <c r="S134" s="135">
        <f t="shared" si="66"/>
        <v>0</v>
      </c>
      <c r="T134" s="132" t="str">
        <f t="shared" si="57"/>
        <v/>
      </c>
      <c r="U134" s="132" t="str">
        <f t="shared" si="57"/>
        <v/>
      </c>
      <c r="V134" s="132" t="str">
        <f>IF(ISNUMBER(SEARCH("AHO",Import2[[#This Row],[Tenure]])),"AHO",Import2[[#This Row],[Tenure]])&amp;Import2[[#This Row],[Expected sale completion year]]&amp;Import2[[#This Row],[Expected sale completion month]]</f>
        <v>Open market housing</v>
      </c>
      <c r="W134" s="178">
        <f t="shared" si="54"/>
        <v>0</v>
      </c>
    </row>
    <row r="135" spans="1:23" ht="15" customHeight="1">
      <c r="A135" s="132">
        <f t="shared" si="58"/>
        <v>0</v>
      </c>
      <c r="B135" s="133">
        <v>132</v>
      </c>
      <c r="C135" s="132" t="str">
        <f t="shared" si="59"/>
        <v/>
      </c>
      <c r="D135" s="132">
        <f t="shared" si="55"/>
        <v>0</v>
      </c>
      <c r="E135" s="132">
        <f t="shared" si="55"/>
        <v>0</v>
      </c>
      <c r="F135" s="132">
        <f t="shared" si="60"/>
        <v>0</v>
      </c>
      <c r="G135" s="132" t="str">
        <f t="shared" si="55"/>
        <v>Open market housing</v>
      </c>
      <c r="H135" s="132">
        <f t="shared" si="61"/>
        <v>896440000</v>
      </c>
      <c r="I135" s="132" t="str">
        <f t="shared" si="49"/>
        <v>New build</v>
      </c>
      <c r="J135" s="132">
        <f t="shared" si="62"/>
        <v>391930000</v>
      </c>
      <c r="K135" s="132">
        <f t="shared" si="50"/>
        <v>0</v>
      </c>
      <c r="L135" s="132">
        <f t="shared" si="63"/>
        <v>0</v>
      </c>
      <c r="M135" s="132">
        <f t="shared" si="56"/>
        <v>0</v>
      </c>
      <c r="N135" s="134">
        <f t="shared" si="64"/>
        <v>0</v>
      </c>
      <c r="O135" s="135">
        <f t="shared" si="65"/>
        <v>0</v>
      </c>
      <c r="P135" s="132" t="str">
        <f t="shared" si="52"/>
        <v/>
      </c>
      <c r="Q135" s="132" t="str">
        <f t="shared" si="67"/>
        <v/>
      </c>
      <c r="R135" s="132" t="str">
        <f>IF(ISNUMBER(SEARCH("AHO",Import2[[#This Row],[Tenure]])),"AHO",Import2[[#This Row],[Tenure]])&amp;Import2[[#This Row],[Expected Physical Completion Year]]&amp;Import2[[#This Row],[Expected Physical Completion Month]]</f>
        <v>Open market housing</v>
      </c>
      <c r="S135" s="135">
        <f t="shared" si="66"/>
        <v>0</v>
      </c>
      <c r="T135" s="132" t="str">
        <f t="shared" si="57"/>
        <v/>
      </c>
      <c r="U135" s="132" t="str">
        <f t="shared" si="57"/>
        <v/>
      </c>
      <c r="V135" s="132" t="str">
        <f>IF(ISNUMBER(SEARCH("AHO",Import2[[#This Row],[Tenure]])),"AHO",Import2[[#This Row],[Tenure]])&amp;Import2[[#This Row],[Expected sale completion year]]&amp;Import2[[#This Row],[Expected sale completion month]]</f>
        <v>Open market housing</v>
      </c>
      <c r="W135" s="178">
        <f t="shared" si="54"/>
        <v>0</v>
      </c>
    </row>
    <row r="136" spans="1:23" ht="15" customHeight="1">
      <c r="A136" s="132">
        <f t="shared" si="58"/>
        <v>0</v>
      </c>
      <c r="B136" s="133">
        <v>133</v>
      </c>
      <c r="C136" s="132" t="str">
        <f t="shared" si="59"/>
        <v/>
      </c>
      <c r="D136" s="132">
        <f t="shared" si="55"/>
        <v>0</v>
      </c>
      <c r="E136" s="132">
        <f t="shared" si="55"/>
        <v>0</v>
      </c>
      <c r="F136" s="132">
        <f t="shared" si="60"/>
        <v>0</v>
      </c>
      <c r="G136" s="132" t="str">
        <f t="shared" si="55"/>
        <v>Open market housing</v>
      </c>
      <c r="H136" s="132">
        <f t="shared" si="61"/>
        <v>896440000</v>
      </c>
      <c r="I136" s="132" t="str">
        <f t="shared" si="49"/>
        <v>New build</v>
      </c>
      <c r="J136" s="132">
        <f t="shared" si="62"/>
        <v>391930000</v>
      </c>
      <c r="K136" s="132">
        <f t="shared" si="50"/>
        <v>0</v>
      </c>
      <c r="L136" s="132">
        <f t="shared" si="63"/>
        <v>0</v>
      </c>
      <c r="M136" s="132">
        <f t="shared" si="56"/>
        <v>0</v>
      </c>
      <c r="N136" s="134">
        <f t="shared" si="64"/>
        <v>0</v>
      </c>
      <c r="O136" s="135">
        <f t="shared" si="65"/>
        <v>0</v>
      </c>
      <c r="P136" s="132" t="str">
        <f t="shared" si="52"/>
        <v/>
      </c>
      <c r="Q136" s="132" t="str">
        <f t="shared" si="67"/>
        <v/>
      </c>
      <c r="R136" s="132" t="str">
        <f>IF(ISNUMBER(SEARCH("AHO",Import2[[#This Row],[Tenure]])),"AHO",Import2[[#This Row],[Tenure]])&amp;Import2[[#This Row],[Expected Physical Completion Year]]&amp;Import2[[#This Row],[Expected Physical Completion Month]]</f>
        <v>Open market housing</v>
      </c>
      <c r="S136" s="135">
        <f t="shared" si="66"/>
        <v>0</v>
      </c>
      <c r="T136" s="132" t="str">
        <f t="shared" si="57"/>
        <v/>
      </c>
      <c r="U136" s="132" t="str">
        <f t="shared" si="57"/>
        <v/>
      </c>
      <c r="V136" s="132" t="str">
        <f>IF(ISNUMBER(SEARCH("AHO",Import2[[#This Row],[Tenure]])),"AHO",Import2[[#This Row],[Tenure]])&amp;Import2[[#This Row],[Expected sale completion year]]&amp;Import2[[#This Row],[Expected sale completion month]]</f>
        <v>Open market housing</v>
      </c>
      <c r="W136" s="178">
        <f t="shared" si="54"/>
        <v>0</v>
      </c>
    </row>
    <row r="137" spans="1:23" ht="15" customHeight="1">
      <c r="A137" s="132">
        <f t="shared" si="58"/>
        <v>0</v>
      </c>
      <c r="B137" s="133">
        <v>134</v>
      </c>
      <c r="C137" s="132" t="str">
        <f t="shared" si="59"/>
        <v/>
      </c>
      <c r="D137" s="132">
        <f t="shared" si="55"/>
        <v>0</v>
      </c>
      <c r="E137" s="132">
        <f t="shared" si="55"/>
        <v>0</v>
      </c>
      <c r="F137" s="132">
        <f t="shared" si="60"/>
        <v>0</v>
      </c>
      <c r="G137" s="132" t="str">
        <f t="shared" si="55"/>
        <v>Open market housing</v>
      </c>
      <c r="H137" s="132">
        <f t="shared" si="61"/>
        <v>896440000</v>
      </c>
      <c r="I137" s="132" t="str">
        <f t="shared" si="49"/>
        <v>New build</v>
      </c>
      <c r="J137" s="132">
        <f t="shared" si="62"/>
        <v>391930000</v>
      </c>
      <c r="K137" s="132">
        <f t="shared" si="50"/>
        <v>0</v>
      </c>
      <c r="L137" s="132">
        <f t="shared" si="63"/>
        <v>0</v>
      </c>
      <c r="M137" s="132">
        <f t="shared" si="56"/>
        <v>0</v>
      </c>
      <c r="N137" s="134">
        <f t="shared" si="64"/>
        <v>0</v>
      </c>
      <c r="O137" s="135">
        <f t="shared" si="65"/>
        <v>0</v>
      </c>
      <c r="P137" s="132" t="str">
        <f t="shared" si="52"/>
        <v/>
      </c>
      <c r="Q137" s="132" t="str">
        <f t="shared" si="67"/>
        <v/>
      </c>
      <c r="R137" s="132" t="str">
        <f>IF(ISNUMBER(SEARCH("AHO",Import2[[#This Row],[Tenure]])),"AHO",Import2[[#This Row],[Tenure]])&amp;Import2[[#This Row],[Expected Physical Completion Year]]&amp;Import2[[#This Row],[Expected Physical Completion Month]]</f>
        <v>Open market housing</v>
      </c>
      <c r="S137" s="135">
        <f t="shared" si="66"/>
        <v>0</v>
      </c>
      <c r="T137" s="132" t="str">
        <f t="shared" si="57"/>
        <v/>
      </c>
      <c r="U137" s="132" t="str">
        <f t="shared" si="57"/>
        <v/>
      </c>
      <c r="V137" s="132" t="str">
        <f>IF(ISNUMBER(SEARCH("AHO",Import2[[#This Row],[Tenure]])),"AHO",Import2[[#This Row],[Tenure]])&amp;Import2[[#This Row],[Expected sale completion year]]&amp;Import2[[#This Row],[Expected sale completion month]]</f>
        <v>Open market housing</v>
      </c>
      <c r="W137" s="178">
        <f t="shared" si="54"/>
        <v>0</v>
      </c>
    </row>
    <row r="138" spans="1:23" ht="15" customHeight="1">
      <c r="A138" s="132">
        <f t="shared" si="58"/>
        <v>0</v>
      </c>
      <c r="B138" s="133">
        <v>135</v>
      </c>
      <c r="C138" s="132" t="str">
        <f t="shared" si="59"/>
        <v/>
      </c>
      <c r="D138" s="132">
        <f t="shared" si="55"/>
        <v>0</v>
      </c>
      <c r="E138" s="132">
        <f t="shared" si="55"/>
        <v>0</v>
      </c>
      <c r="F138" s="132">
        <f t="shared" si="60"/>
        <v>0</v>
      </c>
      <c r="G138" s="132" t="str">
        <f t="shared" si="55"/>
        <v>Open market housing</v>
      </c>
      <c r="H138" s="132">
        <f t="shared" si="61"/>
        <v>896440000</v>
      </c>
      <c r="I138" s="132" t="str">
        <f t="shared" si="49"/>
        <v>New build</v>
      </c>
      <c r="J138" s="132">
        <f t="shared" si="62"/>
        <v>391930000</v>
      </c>
      <c r="K138" s="132">
        <f t="shared" si="50"/>
        <v>0</v>
      </c>
      <c r="L138" s="132">
        <f t="shared" si="63"/>
        <v>0</v>
      </c>
      <c r="M138" s="132">
        <f t="shared" si="56"/>
        <v>0</v>
      </c>
      <c r="N138" s="134">
        <f t="shared" si="64"/>
        <v>0</v>
      </c>
      <c r="O138" s="135">
        <f t="shared" si="65"/>
        <v>0</v>
      </c>
      <c r="P138" s="132" t="str">
        <f t="shared" si="52"/>
        <v/>
      </c>
      <c r="Q138" s="132" t="str">
        <f t="shared" si="67"/>
        <v/>
      </c>
      <c r="R138" s="132" t="str">
        <f>IF(ISNUMBER(SEARCH("AHO",Import2[[#This Row],[Tenure]])),"AHO",Import2[[#This Row],[Tenure]])&amp;Import2[[#This Row],[Expected Physical Completion Year]]&amp;Import2[[#This Row],[Expected Physical Completion Month]]</f>
        <v>Open market housing</v>
      </c>
      <c r="S138" s="135">
        <f t="shared" si="66"/>
        <v>0</v>
      </c>
      <c r="T138" s="132" t="str">
        <f t="shared" si="57"/>
        <v/>
      </c>
      <c r="U138" s="132" t="str">
        <f t="shared" si="57"/>
        <v/>
      </c>
      <c r="V138" s="132" t="str">
        <f>IF(ISNUMBER(SEARCH("AHO",Import2[[#This Row],[Tenure]])),"AHO",Import2[[#This Row],[Tenure]])&amp;Import2[[#This Row],[Expected sale completion year]]&amp;Import2[[#This Row],[Expected sale completion month]]</f>
        <v>Open market housing</v>
      </c>
      <c r="W138" s="178">
        <f t="shared" si="54"/>
        <v>0</v>
      </c>
    </row>
    <row r="139" spans="1:23" ht="15" customHeight="1">
      <c r="A139" s="132">
        <f t="shared" si="58"/>
        <v>0</v>
      </c>
      <c r="B139" s="133">
        <v>136</v>
      </c>
      <c r="C139" s="132" t="str">
        <f t="shared" si="59"/>
        <v/>
      </c>
      <c r="D139" s="132">
        <f t="shared" si="55"/>
        <v>0</v>
      </c>
      <c r="E139" s="132">
        <f t="shared" si="55"/>
        <v>0</v>
      </c>
      <c r="F139" s="132">
        <f t="shared" si="60"/>
        <v>0</v>
      </c>
      <c r="G139" s="132" t="str">
        <f t="shared" si="55"/>
        <v>Open market housing</v>
      </c>
      <c r="H139" s="132">
        <f t="shared" si="61"/>
        <v>896440000</v>
      </c>
      <c r="I139" s="132" t="str">
        <f t="shared" si="49"/>
        <v>New build</v>
      </c>
      <c r="J139" s="132">
        <f t="shared" si="62"/>
        <v>391930000</v>
      </c>
      <c r="K139" s="132">
        <f t="shared" si="50"/>
        <v>0</v>
      </c>
      <c r="L139" s="132">
        <f t="shared" si="63"/>
        <v>0</v>
      </c>
      <c r="M139" s="132">
        <f t="shared" si="56"/>
        <v>0</v>
      </c>
      <c r="N139" s="134">
        <f t="shared" si="64"/>
        <v>0</v>
      </c>
      <c r="O139" s="135">
        <f t="shared" si="65"/>
        <v>0</v>
      </c>
      <c r="P139" s="132" t="str">
        <f t="shared" si="52"/>
        <v/>
      </c>
      <c r="Q139" s="132" t="str">
        <f t="shared" si="67"/>
        <v/>
      </c>
      <c r="R139" s="132" t="str">
        <f>IF(ISNUMBER(SEARCH("AHO",Import2[[#This Row],[Tenure]])),"AHO",Import2[[#This Row],[Tenure]])&amp;Import2[[#This Row],[Expected Physical Completion Year]]&amp;Import2[[#This Row],[Expected Physical Completion Month]]</f>
        <v>Open market housing</v>
      </c>
      <c r="S139" s="135">
        <f t="shared" si="66"/>
        <v>0</v>
      </c>
      <c r="T139" s="132" t="str">
        <f t="shared" si="57"/>
        <v/>
      </c>
      <c r="U139" s="132" t="str">
        <f t="shared" si="57"/>
        <v/>
      </c>
      <c r="V139" s="132" t="str">
        <f>IF(ISNUMBER(SEARCH("AHO",Import2[[#This Row],[Tenure]])),"AHO",Import2[[#This Row],[Tenure]])&amp;Import2[[#This Row],[Expected sale completion year]]&amp;Import2[[#This Row],[Expected sale completion month]]</f>
        <v>Open market housing</v>
      </c>
      <c r="W139" s="178">
        <f t="shared" si="54"/>
        <v>0</v>
      </c>
    </row>
    <row r="140" spans="1:23" ht="15" customHeight="1">
      <c r="A140" s="132">
        <f t="shared" si="58"/>
        <v>0</v>
      </c>
      <c r="B140" s="133">
        <v>137</v>
      </c>
      <c r="C140" s="132" t="str">
        <f t="shared" si="59"/>
        <v/>
      </c>
      <c r="D140" s="132">
        <f t="shared" si="55"/>
        <v>0</v>
      </c>
      <c r="E140" s="132">
        <f t="shared" si="55"/>
        <v>0</v>
      </c>
      <c r="F140" s="132">
        <f t="shared" si="60"/>
        <v>0</v>
      </c>
      <c r="G140" s="132" t="str">
        <f t="shared" si="55"/>
        <v>Open market housing</v>
      </c>
      <c r="H140" s="132">
        <f t="shared" si="61"/>
        <v>896440000</v>
      </c>
      <c r="I140" s="132" t="str">
        <f t="shared" si="49"/>
        <v>New build</v>
      </c>
      <c r="J140" s="132">
        <f t="shared" si="62"/>
        <v>391930000</v>
      </c>
      <c r="K140" s="132">
        <f t="shared" si="50"/>
        <v>0</v>
      </c>
      <c r="L140" s="132">
        <f t="shared" si="63"/>
        <v>0</v>
      </c>
      <c r="M140" s="132">
        <f t="shared" si="56"/>
        <v>0</v>
      </c>
      <c r="N140" s="134">
        <f t="shared" si="64"/>
        <v>0</v>
      </c>
      <c r="O140" s="135">
        <f t="shared" si="65"/>
        <v>0</v>
      </c>
      <c r="P140" s="132" t="str">
        <f t="shared" si="52"/>
        <v/>
      </c>
      <c r="Q140" s="132" t="str">
        <f t="shared" si="67"/>
        <v/>
      </c>
      <c r="R140" s="132" t="str">
        <f>IF(ISNUMBER(SEARCH("AHO",Import2[[#This Row],[Tenure]])),"AHO",Import2[[#This Row],[Tenure]])&amp;Import2[[#This Row],[Expected Physical Completion Year]]&amp;Import2[[#This Row],[Expected Physical Completion Month]]</f>
        <v>Open market housing</v>
      </c>
      <c r="S140" s="135">
        <f t="shared" si="66"/>
        <v>0</v>
      </c>
      <c r="T140" s="132" t="str">
        <f t="shared" si="57"/>
        <v/>
      </c>
      <c r="U140" s="132" t="str">
        <f t="shared" si="57"/>
        <v/>
      </c>
      <c r="V140" s="132" t="str">
        <f>IF(ISNUMBER(SEARCH("AHO",Import2[[#This Row],[Tenure]])),"AHO",Import2[[#This Row],[Tenure]])&amp;Import2[[#This Row],[Expected sale completion year]]&amp;Import2[[#This Row],[Expected sale completion month]]</f>
        <v>Open market housing</v>
      </c>
      <c r="W140" s="178">
        <f t="shared" si="54"/>
        <v>0</v>
      </c>
    </row>
    <row r="141" spans="1:23" ht="15" customHeight="1">
      <c r="A141" s="132">
        <f t="shared" si="58"/>
        <v>0</v>
      </c>
      <c r="B141" s="133">
        <v>138</v>
      </c>
      <c r="C141" s="132" t="str">
        <f t="shared" si="59"/>
        <v/>
      </c>
      <c r="D141" s="132">
        <f t="shared" si="55"/>
        <v>0</v>
      </c>
      <c r="E141" s="132">
        <f t="shared" si="55"/>
        <v>0</v>
      </c>
      <c r="F141" s="132">
        <f t="shared" si="60"/>
        <v>0</v>
      </c>
      <c r="G141" s="132" t="str">
        <f t="shared" si="55"/>
        <v>Open market housing</v>
      </c>
      <c r="H141" s="132">
        <f t="shared" si="61"/>
        <v>896440000</v>
      </c>
      <c r="I141" s="132" t="str">
        <f t="shared" si="49"/>
        <v>New build</v>
      </c>
      <c r="J141" s="132">
        <f t="shared" si="62"/>
        <v>391930000</v>
      </c>
      <c r="K141" s="132">
        <f t="shared" si="50"/>
        <v>0</v>
      </c>
      <c r="L141" s="132">
        <f t="shared" si="63"/>
        <v>0</v>
      </c>
      <c r="M141" s="132">
        <f t="shared" si="56"/>
        <v>0</v>
      </c>
      <c r="N141" s="134">
        <f t="shared" si="64"/>
        <v>0</v>
      </c>
      <c r="O141" s="135">
        <f t="shared" si="65"/>
        <v>0</v>
      </c>
      <c r="P141" s="132" t="str">
        <f t="shared" si="52"/>
        <v/>
      </c>
      <c r="Q141" s="132" t="str">
        <f t="shared" si="67"/>
        <v/>
      </c>
      <c r="R141" s="132" t="str">
        <f>IF(ISNUMBER(SEARCH("AHO",Import2[[#This Row],[Tenure]])),"AHO",Import2[[#This Row],[Tenure]])&amp;Import2[[#This Row],[Expected Physical Completion Year]]&amp;Import2[[#This Row],[Expected Physical Completion Month]]</f>
        <v>Open market housing</v>
      </c>
      <c r="S141" s="135">
        <f t="shared" si="66"/>
        <v>0</v>
      </c>
      <c r="T141" s="132" t="str">
        <f t="shared" si="57"/>
        <v/>
      </c>
      <c r="U141" s="132" t="str">
        <f t="shared" si="57"/>
        <v/>
      </c>
      <c r="V141" s="132" t="str">
        <f>IF(ISNUMBER(SEARCH("AHO",Import2[[#This Row],[Tenure]])),"AHO",Import2[[#This Row],[Tenure]])&amp;Import2[[#This Row],[Expected sale completion year]]&amp;Import2[[#This Row],[Expected sale completion month]]</f>
        <v>Open market housing</v>
      </c>
      <c r="W141" s="178">
        <f t="shared" si="54"/>
        <v>0</v>
      </c>
    </row>
    <row r="142" spans="1:23" ht="15" customHeight="1">
      <c r="A142" s="132">
        <f t="shared" si="58"/>
        <v>0</v>
      </c>
      <c r="B142" s="133">
        <v>139</v>
      </c>
      <c r="C142" s="132" t="str">
        <f t="shared" si="59"/>
        <v/>
      </c>
      <c r="D142" s="132">
        <f t="shared" si="55"/>
        <v>0</v>
      </c>
      <c r="E142" s="132">
        <f t="shared" si="55"/>
        <v>0</v>
      </c>
      <c r="F142" s="132">
        <f t="shared" si="60"/>
        <v>0</v>
      </c>
      <c r="G142" s="132" t="str">
        <f t="shared" si="55"/>
        <v>Open market housing</v>
      </c>
      <c r="H142" s="132">
        <f t="shared" si="61"/>
        <v>896440000</v>
      </c>
      <c r="I142" s="132" t="str">
        <f t="shared" si="49"/>
        <v>New build</v>
      </c>
      <c r="J142" s="132">
        <f t="shared" si="62"/>
        <v>391930000</v>
      </c>
      <c r="K142" s="132">
        <f t="shared" si="50"/>
        <v>0</v>
      </c>
      <c r="L142" s="132">
        <f t="shared" si="63"/>
        <v>0</v>
      </c>
      <c r="M142" s="132">
        <f t="shared" si="56"/>
        <v>0</v>
      </c>
      <c r="N142" s="134">
        <f t="shared" si="64"/>
        <v>0</v>
      </c>
      <c r="O142" s="135">
        <f t="shared" si="65"/>
        <v>0</v>
      </c>
      <c r="P142" s="132" t="str">
        <f t="shared" si="52"/>
        <v/>
      </c>
      <c r="Q142" s="132" t="str">
        <f t="shared" si="67"/>
        <v/>
      </c>
      <c r="R142" s="132" t="str">
        <f>IF(ISNUMBER(SEARCH("AHO",Import2[[#This Row],[Tenure]])),"AHO",Import2[[#This Row],[Tenure]])&amp;Import2[[#This Row],[Expected Physical Completion Year]]&amp;Import2[[#This Row],[Expected Physical Completion Month]]</f>
        <v>Open market housing</v>
      </c>
      <c r="S142" s="135">
        <f t="shared" si="66"/>
        <v>0</v>
      </c>
      <c r="T142" s="132" t="str">
        <f t="shared" si="57"/>
        <v/>
      </c>
      <c r="U142" s="132" t="str">
        <f t="shared" si="57"/>
        <v/>
      </c>
      <c r="V142" s="132" t="str">
        <f>IF(ISNUMBER(SEARCH("AHO",Import2[[#This Row],[Tenure]])),"AHO",Import2[[#This Row],[Tenure]])&amp;Import2[[#This Row],[Expected sale completion year]]&amp;Import2[[#This Row],[Expected sale completion month]]</f>
        <v>Open market housing</v>
      </c>
      <c r="W142" s="178">
        <f t="shared" si="54"/>
        <v>0</v>
      </c>
    </row>
    <row r="143" spans="1:23" ht="15" customHeight="1">
      <c r="A143" s="132">
        <f t="shared" si="58"/>
        <v>0</v>
      </c>
      <c r="B143" s="133">
        <v>140</v>
      </c>
      <c r="C143" s="132" t="str">
        <f t="shared" si="59"/>
        <v/>
      </c>
      <c r="D143" s="132">
        <f t="shared" si="55"/>
        <v>0</v>
      </c>
      <c r="E143" s="132">
        <f t="shared" si="55"/>
        <v>0</v>
      </c>
      <c r="F143" s="132">
        <f t="shared" si="60"/>
        <v>0</v>
      </c>
      <c r="G143" s="132" t="str">
        <f t="shared" si="55"/>
        <v>Open market housing</v>
      </c>
      <c r="H143" s="132">
        <f t="shared" si="61"/>
        <v>896440000</v>
      </c>
      <c r="I143" s="132" t="str">
        <f t="shared" si="49"/>
        <v>New build</v>
      </c>
      <c r="J143" s="132">
        <f t="shared" si="62"/>
        <v>391930000</v>
      </c>
      <c r="K143" s="132">
        <f t="shared" si="50"/>
        <v>0</v>
      </c>
      <c r="L143" s="132">
        <f t="shared" si="63"/>
        <v>0</v>
      </c>
      <c r="M143" s="132">
        <f t="shared" si="56"/>
        <v>0</v>
      </c>
      <c r="N143" s="134">
        <f t="shared" si="64"/>
        <v>0</v>
      </c>
      <c r="O143" s="135">
        <f t="shared" si="65"/>
        <v>0</v>
      </c>
      <c r="P143" s="132" t="str">
        <f t="shared" si="52"/>
        <v/>
      </c>
      <c r="Q143" s="132" t="str">
        <f t="shared" si="67"/>
        <v/>
      </c>
      <c r="R143" s="132" t="str">
        <f>IF(ISNUMBER(SEARCH("AHO",Import2[[#This Row],[Tenure]])),"AHO",Import2[[#This Row],[Tenure]])&amp;Import2[[#This Row],[Expected Physical Completion Year]]&amp;Import2[[#This Row],[Expected Physical Completion Month]]</f>
        <v>Open market housing</v>
      </c>
      <c r="S143" s="135">
        <f t="shared" si="66"/>
        <v>0</v>
      </c>
      <c r="T143" s="132" t="str">
        <f t="shared" si="57"/>
        <v/>
      </c>
      <c r="U143" s="132" t="str">
        <f t="shared" si="57"/>
        <v/>
      </c>
      <c r="V143" s="132" t="str">
        <f>IF(ISNUMBER(SEARCH("AHO",Import2[[#This Row],[Tenure]])),"AHO",Import2[[#This Row],[Tenure]])&amp;Import2[[#This Row],[Expected sale completion year]]&amp;Import2[[#This Row],[Expected sale completion month]]</f>
        <v>Open market housing</v>
      </c>
      <c r="W143" s="178">
        <f t="shared" si="54"/>
        <v>0</v>
      </c>
    </row>
    <row r="144" spans="1:23" ht="15" customHeight="1">
      <c r="A144" s="132">
        <f t="shared" si="58"/>
        <v>0</v>
      </c>
      <c r="B144" s="133">
        <v>141</v>
      </c>
      <c r="C144" s="132" t="str">
        <f t="shared" si="59"/>
        <v/>
      </c>
      <c r="D144" s="132">
        <f t="shared" ref="D144:G163" si="68">INDEX(PlotData,MATCH($B144,PlotNumber,0),MATCH(D$3,PlotTitles,0))</f>
        <v>0</v>
      </c>
      <c r="E144" s="132">
        <f t="shared" si="68"/>
        <v>0</v>
      </c>
      <c r="F144" s="132">
        <f t="shared" si="60"/>
        <v>0</v>
      </c>
      <c r="G144" s="132" t="str">
        <f t="shared" si="68"/>
        <v>Open market housing</v>
      </c>
      <c r="H144" s="132">
        <f t="shared" si="61"/>
        <v>896440000</v>
      </c>
      <c r="I144" s="132" t="str">
        <f t="shared" si="49"/>
        <v>New build</v>
      </c>
      <c r="J144" s="132">
        <f t="shared" si="62"/>
        <v>391930000</v>
      </c>
      <c r="K144" s="132">
        <f t="shared" si="50"/>
        <v>0</v>
      </c>
      <c r="L144" s="132">
        <f t="shared" si="63"/>
        <v>0</v>
      </c>
      <c r="M144" s="132">
        <f t="shared" ref="M144:M163" si="69">INDEX(PlotData,MATCH($B144,PlotNumber,0),MATCH(M$3,PlotTitles,0))</f>
        <v>0</v>
      </c>
      <c r="N144" s="134">
        <f t="shared" si="64"/>
        <v>0</v>
      </c>
      <c r="O144" s="135">
        <f t="shared" si="65"/>
        <v>0</v>
      </c>
      <c r="P144" s="132" t="str">
        <f t="shared" si="52"/>
        <v/>
      </c>
      <c r="Q144" s="132" t="str">
        <f t="shared" si="67"/>
        <v/>
      </c>
      <c r="R144" s="132" t="str">
        <f>IF(ISNUMBER(SEARCH("AHO",Import2[[#This Row],[Tenure]])),"AHO",Import2[[#This Row],[Tenure]])&amp;Import2[[#This Row],[Expected Physical Completion Year]]&amp;Import2[[#This Row],[Expected Physical Completion Month]]</f>
        <v>Open market housing</v>
      </c>
      <c r="S144" s="135">
        <f t="shared" si="66"/>
        <v>0</v>
      </c>
      <c r="T144" s="132" t="str">
        <f t="shared" ref="T144:U163" si="70">IF(INDEX(PlotData,MATCH($B144,PlotNumber,0),MATCH(T$3,PlotTitles,0))=0,"",INDEX(PlotData,MATCH($B144,PlotNumber,0),MATCH(T$3,PlotTitles,0)))</f>
        <v/>
      </c>
      <c r="U144" s="132" t="str">
        <f t="shared" si="70"/>
        <v/>
      </c>
      <c r="V144" s="132" t="str">
        <f>IF(ISNUMBER(SEARCH("AHO",Import2[[#This Row],[Tenure]])),"AHO",Import2[[#This Row],[Tenure]])&amp;Import2[[#This Row],[Expected sale completion year]]&amp;Import2[[#This Row],[Expected sale completion month]]</f>
        <v>Open market housing</v>
      </c>
      <c r="W144" s="178">
        <f t="shared" si="54"/>
        <v>0</v>
      </c>
    </row>
    <row r="145" spans="1:23" ht="15" customHeight="1">
      <c r="A145" s="132">
        <f t="shared" si="58"/>
        <v>0</v>
      </c>
      <c r="B145" s="133">
        <v>142</v>
      </c>
      <c r="C145" s="132" t="str">
        <f t="shared" si="59"/>
        <v/>
      </c>
      <c r="D145" s="132">
        <f t="shared" si="68"/>
        <v>0</v>
      </c>
      <c r="E145" s="132">
        <f t="shared" si="68"/>
        <v>0</v>
      </c>
      <c r="F145" s="132">
        <f t="shared" si="60"/>
        <v>0</v>
      </c>
      <c r="G145" s="132" t="str">
        <f t="shared" si="68"/>
        <v>Open market housing</v>
      </c>
      <c r="H145" s="132">
        <f t="shared" si="61"/>
        <v>896440000</v>
      </c>
      <c r="I145" s="132" t="str">
        <f t="shared" si="49"/>
        <v>New build</v>
      </c>
      <c r="J145" s="132">
        <f t="shared" si="62"/>
        <v>391930000</v>
      </c>
      <c r="K145" s="132">
        <f t="shared" si="50"/>
        <v>0</v>
      </c>
      <c r="L145" s="132">
        <f t="shared" si="63"/>
        <v>0</v>
      </c>
      <c r="M145" s="132">
        <f t="shared" si="69"/>
        <v>0</v>
      </c>
      <c r="N145" s="134">
        <f t="shared" si="64"/>
        <v>0</v>
      </c>
      <c r="O145" s="135">
        <f t="shared" si="65"/>
        <v>0</v>
      </c>
      <c r="P145" s="132" t="str">
        <f t="shared" si="52"/>
        <v/>
      </c>
      <c r="Q145" s="132" t="str">
        <f t="shared" si="67"/>
        <v/>
      </c>
      <c r="R145" s="132" t="str">
        <f>IF(ISNUMBER(SEARCH("AHO",Import2[[#This Row],[Tenure]])),"AHO",Import2[[#This Row],[Tenure]])&amp;Import2[[#This Row],[Expected Physical Completion Year]]&amp;Import2[[#This Row],[Expected Physical Completion Month]]</f>
        <v>Open market housing</v>
      </c>
      <c r="S145" s="135">
        <f t="shared" si="66"/>
        <v>0</v>
      </c>
      <c r="T145" s="132" t="str">
        <f t="shared" si="70"/>
        <v/>
      </c>
      <c r="U145" s="132" t="str">
        <f t="shared" si="70"/>
        <v/>
      </c>
      <c r="V145" s="132" t="str">
        <f>IF(ISNUMBER(SEARCH("AHO",Import2[[#This Row],[Tenure]])),"AHO",Import2[[#This Row],[Tenure]])&amp;Import2[[#This Row],[Expected sale completion year]]&amp;Import2[[#This Row],[Expected sale completion month]]</f>
        <v>Open market housing</v>
      </c>
      <c r="W145" s="178">
        <f t="shared" si="54"/>
        <v>0</v>
      </c>
    </row>
    <row r="146" spans="1:23" ht="15" customHeight="1">
      <c r="A146" s="132">
        <f t="shared" si="58"/>
        <v>0</v>
      </c>
      <c r="B146" s="133">
        <v>143</v>
      </c>
      <c r="C146" s="132" t="str">
        <f t="shared" si="59"/>
        <v/>
      </c>
      <c r="D146" s="132">
        <f t="shared" si="68"/>
        <v>0</v>
      </c>
      <c r="E146" s="132">
        <f t="shared" si="68"/>
        <v>0</v>
      </c>
      <c r="F146" s="132">
        <f t="shared" si="60"/>
        <v>0</v>
      </c>
      <c r="G146" s="132" t="str">
        <f t="shared" si="68"/>
        <v>Open market housing</v>
      </c>
      <c r="H146" s="132">
        <f t="shared" si="61"/>
        <v>896440000</v>
      </c>
      <c r="I146" s="132" t="str">
        <f t="shared" si="49"/>
        <v>New build</v>
      </c>
      <c r="J146" s="132">
        <f t="shared" si="62"/>
        <v>391930000</v>
      </c>
      <c r="K146" s="132">
        <f t="shared" si="50"/>
        <v>0</v>
      </c>
      <c r="L146" s="132">
        <f t="shared" si="63"/>
        <v>0</v>
      </c>
      <c r="M146" s="132">
        <f t="shared" si="69"/>
        <v>0</v>
      </c>
      <c r="N146" s="134">
        <f t="shared" si="64"/>
        <v>0</v>
      </c>
      <c r="O146" s="135">
        <f t="shared" si="65"/>
        <v>0</v>
      </c>
      <c r="P146" s="132" t="str">
        <f t="shared" si="52"/>
        <v/>
      </c>
      <c r="Q146" s="132" t="str">
        <f t="shared" si="67"/>
        <v/>
      </c>
      <c r="R146" s="132" t="str">
        <f>IF(ISNUMBER(SEARCH("AHO",Import2[[#This Row],[Tenure]])),"AHO",Import2[[#This Row],[Tenure]])&amp;Import2[[#This Row],[Expected Physical Completion Year]]&amp;Import2[[#This Row],[Expected Physical Completion Month]]</f>
        <v>Open market housing</v>
      </c>
      <c r="S146" s="135">
        <f t="shared" si="66"/>
        <v>0</v>
      </c>
      <c r="T146" s="132" t="str">
        <f t="shared" si="70"/>
        <v/>
      </c>
      <c r="U146" s="132" t="str">
        <f t="shared" si="70"/>
        <v/>
      </c>
      <c r="V146" s="132" t="str">
        <f>IF(ISNUMBER(SEARCH("AHO",Import2[[#This Row],[Tenure]])),"AHO",Import2[[#This Row],[Tenure]])&amp;Import2[[#This Row],[Expected sale completion year]]&amp;Import2[[#This Row],[Expected sale completion month]]</f>
        <v>Open market housing</v>
      </c>
      <c r="W146" s="178">
        <f t="shared" si="54"/>
        <v>0</v>
      </c>
    </row>
    <row r="147" spans="1:23" ht="15" customHeight="1">
      <c r="A147" s="132">
        <f t="shared" si="58"/>
        <v>0</v>
      </c>
      <c r="B147" s="133">
        <v>144</v>
      </c>
      <c r="C147" s="132" t="str">
        <f t="shared" si="59"/>
        <v/>
      </c>
      <c r="D147" s="132">
        <f t="shared" si="68"/>
        <v>0</v>
      </c>
      <c r="E147" s="132">
        <f t="shared" si="68"/>
        <v>0</v>
      </c>
      <c r="F147" s="132">
        <f t="shared" si="60"/>
        <v>0</v>
      </c>
      <c r="G147" s="132" t="str">
        <f t="shared" si="68"/>
        <v>Open market housing</v>
      </c>
      <c r="H147" s="132">
        <f t="shared" si="61"/>
        <v>896440000</v>
      </c>
      <c r="I147" s="132" t="str">
        <f t="shared" si="49"/>
        <v>New build</v>
      </c>
      <c r="J147" s="132">
        <f t="shared" si="62"/>
        <v>391930000</v>
      </c>
      <c r="K147" s="132">
        <f t="shared" si="50"/>
        <v>0</v>
      </c>
      <c r="L147" s="132">
        <f t="shared" si="63"/>
        <v>0</v>
      </c>
      <c r="M147" s="132">
        <f t="shared" si="69"/>
        <v>0</v>
      </c>
      <c r="N147" s="134">
        <f t="shared" si="64"/>
        <v>0</v>
      </c>
      <c r="O147" s="135">
        <f t="shared" si="65"/>
        <v>0</v>
      </c>
      <c r="P147" s="132" t="str">
        <f t="shared" si="52"/>
        <v/>
      </c>
      <c r="Q147" s="132" t="str">
        <f t="shared" si="67"/>
        <v/>
      </c>
      <c r="R147" s="132" t="str">
        <f>IF(ISNUMBER(SEARCH("AHO",Import2[[#This Row],[Tenure]])),"AHO",Import2[[#This Row],[Tenure]])&amp;Import2[[#This Row],[Expected Physical Completion Year]]&amp;Import2[[#This Row],[Expected Physical Completion Month]]</f>
        <v>Open market housing</v>
      </c>
      <c r="S147" s="135">
        <f t="shared" si="66"/>
        <v>0</v>
      </c>
      <c r="T147" s="132" t="str">
        <f t="shared" si="70"/>
        <v/>
      </c>
      <c r="U147" s="132" t="str">
        <f t="shared" si="70"/>
        <v/>
      </c>
      <c r="V147" s="132" t="str">
        <f>IF(ISNUMBER(SEARCH("AHO",Import2[[#This Row],[Tenure]])),"AHO",Import2[[#This Row],[Tenure]])&amp;Import2[[#This Row],[Expected sale completion year]]&amp;Import2[[#This Row],[Expected sale completion month]]</f>
        <v>Open market housing</v>
      </c>
      <c r="W147" s="178">
        <f t="shared" si="54"/>
        <v>0</v>
      </c>
    </row>
    <row r="148" spans="1:23" ht="15" customHeight="1">
      <c r="A148" s="132">
        <f t="shared" si="58"/>
        <v>0</v>
      </c>
      <c r="B148" s="133">
        <v>145</v>
      </c>
      <c r="C148" s="132" t="str">
        <f t="shared" si="59"/>
        <v/>
      </c>
      <c r="D148" s="132">
        <f t="shared" si="68"/>
        <v>0</v>
      </c>
      <c r="E148" s="132">
        <f t="shared" si="68"/>
        <v>0</v>
      </c>
      <c r="F148" s="132">
        <f t="shared" si="60"/>
        <v>0</v>
      </c>
      <c r="G148" s="132" t="str">
        <f t="shared" si="68"/>
        <v>Open market housing</v>
      </c>
      <c r="H148" s="132">
        <f t="shared" si="61"/>
        <v>896440000</v>
      </c>
      <c r="I148" s="132" t="str">
        <f t="shared" si="49"/>
        <v>New build</v>
      </c>
      <c r="J148" s="132">
        <f t="shared" si="62"/>
        <v>391930000</v>
      </c>
      <c r="K148" s="132">
        <f t="shared" si="50"/>
        <v>0</v>
      </c>
      <c r="L148" s="132">
        <f t="shared" si="63"/>
        <v>0</v>
      </c>
      <c r="M148" s="132">
        <f t="shared" si="69"/>
        <v>0</v>
      </c>
      <c r="N148" s="134">
        <f t="shared" si="64"/>
        <v>0</v>
      </c>
      <c r="O148" s="135">
        <f t="shared" si="65"/>
        <v>0</v>
      </c>
      <c r="P148" s="132" t="str">
        <f t="shared" si="52"/>
        <v/>
      </c>
      <c r="Q148" s="132" t="str">
        <f t="shared" si="67"/>
        <v/>
      </c>
      <c r="R148" s="132" t="str">
        <f>IF(ISNUMBER(SEARCH("AHO",Import2[[#This Row],[Tenure]])),"AHO",Import2[[#This Row],[Tenure]])&amp;Import2[[#This Row],[Expected Physical Completion Year]]&amp;Import2[[#This Row],[Expected Physical Completion Month]]</f>
        <v>Open market housing</v>
      </c>
      <c r="S148" s="135">
        <f t="shared" si="66"/>
        <v>0</v>
      </c>
      <c r="T148" s="132" t="str">
        <f t="shared" si="70"/>
        <v/>
      </c>
      <c r="U148" s="132" t="str">
        <f t="shared" si="70"/>
        <v/>
      </c>
      <c r="V148" s="132" t="str">
        <f>IF(ISNUMBER(SEARCH("AHO",Import2[[#This Row],[Tenure]])),"AHO",Import2[[#This Row],[Tenure]])&amp;Import2[[#This Row],[Expected sale completion year]]&amp;Import2[[#This Row],[Expected sale completion month]]</f>
        <v>Open market housing</v>
      </c>
      <c r="W148" s="178">
        <f t="shared" si="54"/>
        <v>0</v>
      </c>
    </row>
    <row r="149" spans="1:23" ht="15" customHeight="1">
      <c r="A149" s="132">
        <f t="shared" si="58"/>
        <v>0</v>
      </c>
      <c r="B149" s="133">
        <v>146</v>
      </c>
      <c r="C149" s="132" t="str">
        <f t="shared" si="59"/>
        <v/>
      </c>
      <c r="D149" s="132">
        <f t="shared" si="68"/>
        <v>0</v>
      </c>
      <c r="E149" s="132">
        <f t="shared" si="68"/>
        <v>0</v>
      </c>
      <c r="F149" s="132">
        <f t="shared" si="60"/>
        <v>0</v>
      </c>
      <c r="G149" s="132" t="str">
        <f t="shared" si="68"/>
        <v>Open market housing</v>
      </c>
      <c r="H149" s="132">
        <f t="shared" si="61"/>
        <v>896440000</v>
      </c>
      <c r="I149" s="132" t="str">
        <f t="shared" si="49"/>
        <v>New build</v>
      </c>
      <c r="J149" s="132">
        <f t="shared" si="62"/>
        <v>391930000</v>
      </c>
      <c r="K149" s="132">
        <f t="shared" si="50"/>
        <v>0</v>
      </c>
      <c r="L149" s="132">
        <f t="shared" si="63"/>
        <v>0</v>
      </c>
      <c r="M149" s="132">
        <f t="shared" si="69"/>
        <v>0</v>
      </c>
      <c r="N149" s="134">
        <f t="shared" si="64"/>
        <v>0</v>
      </c>
      <c r="O149" s="135">
        <f t="shared" si="65"/>
        <v>0</v>
      </c>
      <c r="P149" s="132" t="str">
        <f t="shared" si="52"/>
        <v/>
      </c>
      <c r="Q149" s="132" t="str">
        <f t="shared" si="67"/>
        <v/>
      </c>
      <c r="R149" s="132" t="str">
        <f>IF(ISNUMBER(SEARCH("AHO",Import2[[#This Row],[Tenure]])),"AHO",Import2[[#This Row],[Tenure]])&amp;Import2[[#This Row],[Expected Physical Completion Year]]&amp;Import2[[#This Row],[Expected Physical Completion Month]]</f>
        <v>Open market housing</v>
      </c>
      <c r="S149" s="135">
        <f t="shared" si="66"/>
        <v>0</v>
      </c>
      <c r="T149" s="132" t="str">
        <f t="shared" si="70"/>
        <v/>
      </c>
      <c r="U149" s="132" t="str">
        <f t="shared" si="70"/>
        <v/>
      </c>
      <c r="V149" s="132" t="str">
        <f>IF(ISNUMBER(SEARCH("AHO",Import2[[#This Row],[Tenure]])),"AHO",Import2[[#This Row],[Tenure]])&amp;Import2[[#This Row],[Expected sale completion year]]&amp;Import2[[#This Row],[Expected sale completion month]]</f>
        <v>Open market housing</v>
      </c>
      <c r="W149" s="178">
        <f t="shared" si="54"/>
        <v>0</v>
      </c>
    </row>
    <row r="150" spans="1:23" ht="15" customHeight="1">
      <c r="A150" s="132">
        <f t="shared" si="58"/>
        <v>0</v>
      </c>
      <c r="B150" s="133">
        <v>147</v>
      </c>
      <c r="C150" s="132" t="str">
        <f t="shared" si="59"/>
        <v/>
      </c>
      <c r="D150" s="132">
        <f t="shared" si="68"/>
        <v>0</v>
      </c>
      <c r="E150" s="132">
        <f t="shared" si="68"/>
        <v>0</v>
      </c>
      <c r="F150" s="132">
        <f t="shared" si="60"/>
        <v>0</v>
      </c>
      <c r="G150" s="132" t="str">
        <f t="shared" si="68"/>
        <v>Open market housing</v>
      </c>
      <c r="H150" s="132">
        <f t="shared" si="61"/>
        <v>896440000</v>
      </c>
      <c r="I150" s="132" t="str">
        <f t="shared" si="49"/>
        <v>New build</v>
      </c>
      <c r="J150" s="132">
        <f t="shared" si="62"/>
        <v>391930000</v>
      </c>
      <c r="K150" s="132">
        <f t="shared" si="50"/>
        <v>0</v>
      </c>
      <c r="L150" s="132">
        <f t="shared" si="63"/>
        <v>0</v>
      </c>
      <c r="M150" s="132">
        <f t="shared" si="69"/>
        <v>0</v>
      </c>
      <c r="N150" s="134">
        <f t="shared" si="64"/>
        <v>0</v>
      </c>
      <c r="O150" s="135">
        <f t="shared" si="65"/>
        <v>0</v>
      </c>
      <c r="P150" s="132" t="str">
        <f t="shared" si="52"/>
        <v/>
      </c>
      <c r="Q150" s="132" t="str">
        <f t="shared" si="67"/>
        <v/>
      </c>
      <c r="R150" s="132" t="str">
        <f>IF(ISNUMBER(SEARCH("AHO",Import2[[#This Row],[Tenure]])),"AHO",Import2[[#This Row],[Tenure]])&amp;Import2[[#This Row],[Expected Physical Completion Year]]&amp;Import2[[#This Row],[Expected Physical Completion Month]]</f>
        <v>Open market housing</v>
      </c>
      <c r="S150" s="135">
        <f t="shared" si="66"/>
        <v>0</v>
      </c>
      <c r="T150" s="132" t="str">
        <f t="shared" si="70"/>
        <v/>
      </c>
      <c r="U150" s="132" t="str">
        <f t="shared" si="70"/>
        <v/>
      </c>
      <c r="V150" s="132" t="str">
        <f>IF(ISNUMBER(SEARCH("AHO",Import2[[#This Row],[Tenure]])),"AHO",Import2[[#This Row],[Tenure]])&amp;Import2[[#This Row],[Expected sale completion year]]&amp;Import2[[#This Row],[Expected sale completion month]]</f>
        <v>Open market housing</v>
      </c>
      <c r="W150" s="178">
        <f t="shared" si="54"/>
        <v>0</v>
      </c>
    </row>
    <row r="151" spans="1:23" ht="15" customHeight="1">
      <c r="A151" s="132">
        <f t="shared" si="58"/>
        <v>0</v>
      </c>
      <c r="B151" s="133">
        <v>148</v>
      </c>
      <c r="C151" s="132" t="str">
        <f t="shared" si="59"/>
        <v/>
      </c>
      <c r="D151" s="132">
        <f t="shared" si="68"/>
        <v>0</v>
      </c>
      <c r="E151" s="132">
        <f t="shared" si="68"/>
        <v>0</v>
      </c>
      <c r="F151" s="132">
        <f t="shared" si="60"/>
        <v>0</v>
      </c>
      <c r="G151" s="132" t="str">
        <f t="shared" si="68"/>
        <v>Open market housing</v>
      </c>
      <c r="H151" s="132">
        <f t="shared" si="61"/>
        <v>896440000</v>
      </c>
      <c r="I151" s="132" t="str">
        <f t="shared" si="49"/>
        <v>New build</v>
      </c>
      <c r="J151" s="132">
        <f t="shared" si="62"/>
        <v>391930000</v>
      </c>
      <c r="K151" s="132">
        <f t="shared" si="50"/>
        <v>0</v>
      </c>
      <c r="L151" s="132">
        <f t="shared" si="63"/>
        <v>0</v>
      </c>
      <c r="M151" s="132">
        <f t="shared" si="69"/>
        <v>0</v>
      </c>
      <c r="N151" s="134">
        <f t="shared" si="64"/>
        <v>0</v>
      </c>
      <c r="O151" s="135">
        <f t="shared" si="65"/>
        <v>0</v>
      </c>
      <c r="P151" s="132" t="str">
        <f t="shared" si="52"/>
        <v/>
      </c>
      <c r="Q151" s="132" t="str">
        <f t="shared" si="67"/>
        <v/>
      </c>
      <c r="R151" s="132" t="str">
        <f>IF(ISNUMBER(SEARCH("AHO",Import2[[#This Row],[Tenure]])),"AHO",Import2[[#This Row],[Tenure]])&amp;Import2[[#This Row],[Expected Physical Completion Year]]&amp;Import2[[#This Row],[Expected Physical Completion Month]]</f>
        <v>Open market housing</v>
      </c>
      <c r="S151" s="135">
        <f t="shared" si="66"/>
        <v>0</v>
      </c>
      <c r="T151" s="132" t="str">
        <f t="shared" si="70"/>
        <v/>
      </c>
      <c r="U151" s="132" t="str">
        <f t="shared" si="70"/>
        <v/>
      </c>
      <c r="V151" s="132" t="str">
        <f>IF(ISNUMBER(SEARCH("AHO",Import2[[#This Row],[Tenure]])),"AHO",Import2[[#This Row],[Tenure]])&amp;Import2[[#This Row],[Expected sale completion year]]&amp;Import2[[#This Row],[Expected sale completion month]]</f>
        <v>Open market housing</v>
      </c>
      <c r="W151" s="178">
        <f t="shared" si="54"/>
        <v>0</v>
      </c>
    </row>
    <row r="152" spans="1:23" ht="15" customHeight="1">
      <c r="A152" s="132">
        <f t="shared" si="58"/>
        <v>0</v>
      </c>
      <c r="B152" s="133">
        <v>149</v>
      </c>
      <c r="C152" s="132" t="str">
        <f t="shared" si="59"/>
        <v/>
      </c>
      <c r="D152" s="132">
        <f t="shared" si="68"/>
        <v>0</v>
      </c>
      <c r="E152" s="132">
        <f t="shared" si="68"/>
        <v>0</v>
      </c>
      <c r="F152" s="132">
        <f t="shared" si="60"/>
        <v>0</v>
      </c>
      <c r="G152" s="132" t="str">
        <f t="shared" si="68"/>
        <v>Open market housing</v>
      </c>
      <c r="H152" s="132">
        <f t="shared" si="61"/>
        <v>896440000</v>
      </c>
      <c r="I152" s="132" t="str">
        <f t="shared" si="49"/>
        <v>New build</v>
      </c>
      <c r="J152" s="132">
        <f t="shared" si="62"/>
        <v>391930000</v>
      </c>
      <c r="K152" s="132">
        <f t="shared" si="50"/>
        <v>0</v>
      </c>
      <c r="L152" s="132">
        <f t="shared" si="63"/>
        <v>0</v>
      </c>
      <c r="M152" s="132">
        <f t="shared" si="69"/>
        <v>0</v>
      </c>
      <c r="N152" s="134">
        <f t="shared" si="64"/>
        <v>0</v>
      </c>
      <c r="O152" s="135">
        <f t="shared" si="65"/>
        <v>0</v>
      </c>
      <c r="P152" s="132" t="str">
        <f t="shared" si="52"/>
        <v/>
      </c>
      <c r="Q152" s="132" t="str">
        <f t="shared" si="67"/>
        <v/>
      </c>
      <c r="R152" s="132" t="str">
        <f>IF(ISNUMBER(SEARCH("AHO",Import2[[#This Row],[Tenure]])),"AHO",Import2[[#This Row],[Tenure]])&amp;Import2[[#This Row],[Expected Physical Completion Year]]&amp;Import2[[#This Row],[Expected Physical Completion Month]]</f>
        <v>Open market housing</v>
      </c>
      <c r="S152" s="135">
        <f t="shared" si="66"/>
        <v>0</v>
      </c>
      <c r="T152" s="132" t="str">
        <f t="shared" si="70"/>
        <v/>
      </c>
      <c r="U152" s="132" t="str">
        <f t="shared" si="70"/>
        <v/>
      </c>
      <c r="V152" s="132" t="str">
        <f>IF(ISNUMBER(SEARCH("AHO",Import2[[#This Row],[Tenure]])),"AHO",Import2[[#This Row],[Tenure]])&amp;Import2[[#This Row],[Expected sale completion year]]&amp;Import2[[#This Row],[Expected sale completion month]]</f>
        <v>Open market housing</v>
      </c>
      <c r="W152" s="178">
        <f t="shared" si="54"/>
        <v>0</v>
      </c>
    </row>
    <row r="153" spans="1:23" ht="15" customHeight="1">
      <c r="A153" s="132">
        <f t="shared" si="58"/>
        <v>0</v>
      </c>
      <c r="B153" s="133">
        <v>150</v>
      </c>
      <c r="C153" s="132" t="str">
        <f t="shared" si="59"/>
        <v/>
      </c>
      <c r="D153" s="132">
        <f t="shared" si="68"/>
        <v>0</v>
      </c>
      <c r="E153" s="132">
        <f t="shared" si="68"/>
        <v>0</v>
      </c>
      <c r="F153" s="132">
        <f t="shared" si="60"/>
        <v>0</v>
      </c>
      <c r="G153" s="132" t="str">
        <f t="shared" si="68"/>
        <v>Open market housing</v>
      </c>
      <c r="H153" s="132">
        <f t="shared" si="61"/>
        <v>896440000</v>
      </c>
      <c r="I153" s="132" t="str">
        <f t="shared" si="49"/>
        <v>New build</v>
      </c>
      <c r="J153" s="132">
        <f t="shared" si="62"/>
        <v>391930000</v>
      </c>
      <c r="K153" s="132">
        <f t="shared" si="50"/>
        <v>0</v>
      </c>
      <c r="L153" s="132">
        <f t="shared" si="63"/>
        <v>0</v>
      </c>
      <c r="M153" s="132">
        <f t="shared" si="69"/>
        <v>0</v>
      </c>
      <c r="N153" s="134">
        <f t="shared" si="64"/>
        <v>0</v>
      </c>
      <c r="O153" s="135">
        <f t="shared" si="65"/>
        <v>0</v>
      </c>
      <c r="P153" s="132" t="str">
        <f t="shared" si="52"/>
        <v/>
      </c>
      <c r="Q153" s="132" t="str">
        <f t="shared" si="67"/>
        <v/>
      </c>
      <c r="R153" s="132" t="str">
        <f>IF(ISNUMBER(SEARCH("AHO",Import2[[#This Row],[Tenure]])),"AHO",Import2[[#This Row],[Tenure]])&amp;Import2[[#This Row],[Expected Physical Completion Year]]&amp;Import2[[#This Row],[Expected Physical Completion Month]]</f>
        <v>Open market housing</v>
      </c>
      <c r="S153" s="135">
        <f t="shared" si="66"/>
        <v>0</v>
      </c>
      <c r="T153" s="132" t="str">
        <f t="shared" si="70"/>
        <v/>
      </c>
      <c r="U153" s="132" t="str">
        <f t="shared" si="70"/>
        <v/>
      </c>
      <c r="V153" s="132" t="str">
        <f>IF(ISNUMBER(SEARCH("AHO",Import2[[#This Row],[Tenure]])),"AHO",Import2[[#This Row],[Tenure]])&amp;Import2[[#This Row],[Expected sale completion year]]&amp;Import2[[#This Row],[Expected sale completion month]]</f>
        <v>Open market housing</v>
      </c>
      <c r="W153" s="178">
        <f t="shared" si="54"/>
        <v>0</v>
      </c>
    </row>
    <row r="154" spans="1:23" ht="15" customHeight="1">
      <c r="A154" s="132">
        <f t="shared" si="58"/>
        <v>0</v>
      </c>
      <c r="B154" s="133">
        <v>151</v>
      </c>
      <c r="C154" s="132" t="str">
        <f t="shared" si="59"/>
        <v/>
      </c>
      <c r="D154" s="132">
        <f t="shared" si="68"/>
        <v>0</v>
      </c>
      <c r="E154" s="132">
        <f t="shared" si="68"/>
        <v>0</v>
      </c>
      <c r="F154" s="132">
        <f t="shared" si="60"/>
        <v>0</v>
      </c>
      <c r="G154" s="132" t="str">
        <f t="shared" si="68"/>
        <v>Open market housing</v>
      </c>
      <c r="H154" s="132">
        <f t="shared" si="61"/>
        <v>896440000</v>
      </c>
      <c r="I154" s="132" t="str">
        <f t="shared" si="49"/>
        <v>New build</v>
      </c>
      <c r="J154" s="132">
        <f t="shared" si="62"/>
        <v>391930000</v>
      </c>
      <c r="K154" s="132">
        <f t="shared" si="50"/>
        <v>0</v>
      </c>
      <c r="L154" s="132">
        <f t="shared" si="63"/>
        <v>0</v>
      </c>
      <c r="M154" s="132">
        <f t="shared" si="69"/>
        <v>0</v>
      </c>
      <c r="N154" s="134">
        <f t="shared" si="64"/>
        <v>0</v>
      </c>
      <c r="O154" s="135">
        <f t="shared" si="65"/>
        <v>0</v>
      </c>
      <c r="P154" s="132" t="str">
        <f t="shared" si="52"/>
        <v/>
      </c>
      <c r="Q154" s="132" t="str">
        <f t="shared" si="67"/>
        <v/>
      </c>
      <c r="R154" s="132" t="str">
        <f>IF(ISNUMBER(SEARCH("AHO",Import2[[#This Row],[Tenure]])),"AHO",Import2[[#This Row],[Tenure]])&amp;Import2[[#This Row],[Expected Physical Completion Year]]&amp;Import2[[#This Row],[Expected Physical Completion Month]]</f>
        <v>Open market housing</v>
      </c>
      <c r="S154" s="135">
        <f t="shared" si="66"/>
        <v>0</v>
      </c>
      <c r="T154" s="132" t="str">
        <f t="shared" si="70"/>
        <v/>
      </c>
      <c r="U154" s="132" t="str">
        <f t="shared" si="70"/>
        <v/>
      </c>
      <c r="V154" s="132" t="str">
        <f>IF(ISNUMBER(SEARCH("AHO",Import2[[#This Row],[Tenure]])),"AHO",Import2[[#This Row],[Tenure]])&amp;Import2[[#This Row],[Expected sale completion year]]&amp;Import2[[#This Row],[Expected sale completion month]]</f>
        <v>Open market housing</v>
      </c>
      <c r="W154" s="178">
        <f t="shared" si="54"/>
        <v>0</v>
      </c>
    </row>
    <row r="155" spans="1:23" ht="15" customHeight="1">
      <c r="A155" s="132">
        <f t="shared" si="58"/>
        <v>0</v>
      </c>
      <c r="B155" s="133">
        <v>152</v>
      </c>
      <c r="C155" s="132" t="str">
        <f t="shared" si="59"/>
        <v/>
      </c>
      <c r="D155" s="132">
        <f t="shared" si="68"/>
        <v>0</v>
      </c>
      <c r="E155" s="132">
        <f t="shared" si="68"/>
        <v>0</v>
      </c>
      <c r="F155" s="132">
        <f t="shared" si="60"/>
        <v>0</v>
      </c>
      <c r="G155" s="132" t="str">
        <f t="shared" si="68"/>
        <v>Open market housing</v>
      </c>
      <c r="H155" s="132">
        <f t="shared" si="61"/>
        <v>896440000</v>
      </c>
      <c r="I155" s="132" t="str">
        <f t="shared" si="49"/>
        <v>New build</v>
      </c>
      <c r="J155" s="132">
        <f t="shared" si="62"/>
        <v>391930000</v>
      </c>
      <c r="K155" s="132">
        <f t="shared" si="50"/>
        <v>0</v>
      </c>
      <c r="L155" s="132">
        <f t="shared" si="63"/>
        <v>0</v>
      </c>
      <c r="M155" s="132">
        <f t="shared" si="69"/>
        <v>0</v>
      </c>
      <c r="N155" s="134">
        <f t="shared" si="64"/>
        <v>0</v>
      </c>
      <c r="O155" s="135">
        <f t="shared" si="65"/>
        <v>0</v>
      </c>
      <c r="P155" s="132" t="str">
        <f t="shared" si="52"/>
        <v/>
      </c>
      <c r="Q155" s="132" t="str">
        <f t="shared" si="67"/>
        <v/>
      </c>
      <c r="R155" s="132" t="str">
        <f>IF(ISNUMBER(SEARCH("AHO",Import2[[#This Row],[Tenure]])),"AHO",Import2[[#This Row],[Tenure]])&amp;Import2[[#This Row],[Expected Physical Completion Year]]&amp;Import2[[#This Row],[Expected Physical Completion Month]]</f>
        <v>Open market housing</v>
      </c>
      <c r="S155" s="135">
        <f t="shared" si="66"/>
        <v>0</v>
      </c>
      <c r="T155" s="132" t="str">
        <f t="shared" si="70"/>
        <v/>
      </c>
      <c r="U155" s="132" t="str">
        <f t="shared" si="70"/>
        <v/>
      </c>
      <c r="V155" s="132" t="str">
        <f>IF(ISNUMBER(SEARCH("AHO",Import2[[#This Row],[Tenure]])),"AHO",Import2[[#This Row],[Tenure]])&amp;Import2[[#This Row],[Expected sale completion year]]&amp;Import2[[#This Row],[Expected sale completion month]]</f>
        <v>Open market housing</v>
      </c>
      <c r="W155" s="178">
        <f t="shared" si="54"/>
        <v>0</v>
      </c>
    </row>
    <row r="156" spans="1:23" ht="15" customHeight="1">
      <c r="A156" s="132">
        <f t="shared" si="58"/>
        <v>0</v>
      </c>
      <c r="B156" s="133">
        <v>153</v>
      </c>
      <c r="C156" s="132" t="str">
        <f t="shared" si="59"/>
        <v/>
      </c>
      <c r="D156" s="132">
        <f t="shared" si="68"/>
        <v>0</v>
      </c>
      <c r="E156" s="132">
        <f t="shared" si="68"/>
        <v>0</v>
      </c>
      <c r="F156" s="132">
        <f t="shared" si="60"/>
        <v>0</v>
      </c>
      <c r="G156" s="132" t="str">
        <f t="shared" si="68"/>
        <v>Open market housing</v>
      </c>
      <c r="H156" s="132">
        <f t="shared" si="61"/>
        <v>896440000</v>
      </c>
      <c r="I156" s="132" t="str">
        <f t="shared" si="49"/>
        <v>New build</v>
      </c>
      <c r="J156" s="132">
        <f t="shared" si="62"/>
        <v>391930000</v>
      </c>
      <c r="K156" s="132">
        <f t="shared" si="50"/>
        <v>0</v>
      </c>
      <c r="L156" s="132">
        <f t="shared" si="63"/>
        <v>0</v>
      </c>
      <c r="M156" s="132">
        <f t="shared" si="69"/>
        <v>0</v>
      </c>
      <c r="N156" s="134">
        <f t="shared" si="64"/>
        <v>0</v>
      </c>
      <c r="O156" s="135">
        <f t="shared" si="65"/>
        <v>0</v>
      </c>
      <c r="P156" s="132" t="str">
        <f t="shared" si="52"/>
        <v/>
      </c>
      <c r="Q156" s="132" t="str">
        <f t="shared" si="67"/>
        <v/>
      </c>
      <c r="R156" s="132" t="str">
        <f>IF(ISNUMBER(SEARCH("AHO",Import2[[#This Row],[Tenure]])),"AHO",Import2[[#This Row],[Tenure]])&amp;Import2[[#This Row],[Expected Physical Completion Year]]&amp;Import2[[#This Row],[Expected Physical Completion Month]]</f>
        <v>Open market housing</v>
      </c>
      <c r="S156" s="135">
        <f t="shared" si="66"/>
        <v>0</v>
      </c>
      <c r="T156" s="132" t="str">
        <f t="shared" si="70"/>
        <v/>
      </c>
      <c r="U156" s="132" t="str">
        <f t="shared" si="70"/>
        <v/>
      </c>
      <c r="V156" s="132" t="str">
        <f>IF(ISNUMBER(SEARCH("AHO",Import2[[#This Row],[Tenure]])),"AHO",Import2[[#This Row],[Tenure]])&amp;Import2[[#This Row],[Expected sale completion year]]&amp;Import2[[#This Row],[Expected sale completion month]]</f>
        <v>Open market housing</v>
      </c>
      <c r="W156" s="178">
        <f t="shared" si="54"/>
        <v>0</v>
      </c>
    </row>
    <row r="157" spans="1:23" ht="15" customHeight="1">
      <c r="A157" s="132">
        <f t="shared" si="58"/>
        <v>0</v>
      </c>
      <c r="B157" s="133">
        <v>154</v>
      </c>
      <c r="C157" s="132" t="str">
        <f t="shared" si="59"/>
        <v/>
      </c>
      <c r="D157" s="132">
        <f t="shared" si="68"/>
        <v>0</v>
      </c>
      <c r="E157" s="132">
        <f t="shared" si="68"/>
        <v>0</v>
      </c>
      <c r="F157" s="132">
        <f t="shared" si="60"/>
        <v>0</v>
      </c>
      <c r="G157" s="132" t="str">
        <f t="shared" si="68"/>
        <v>Open market housing</v>
      </c>
      <c r="H157" s="132">
        <f t="shared" si="61"/>
        <v>896440000</v>
      </c>
      <c r="I157" s="132" t="str">
        <f t="shared" si="49"/>
        <v>New build</v>
      </c>
      <c r="J157" s="132">
        <f t="shared" si="62"/>
        <v>391930000</v>
      </c>
      <c r="K157" s="132">
        <f t="shared" si="50"/>
        <v>0</v>
      </c>
      <c r="L157" s="132">
        <f t="shared" si="63"/>
        <v>0</v>
      </c>
      <c r="M157" s="132">
        <f t="shared" si="69"/>
        <v>0</v>
      </c>
      <c r="N157" s="134">
        <f t="shared" si="64"/>
        <v>0</v>
      </c>
      <c r="O157" s="135">
        <f t="shared" si="65"/>
        <v>0</v>
      </c>
      <c r="P157" s="132" t="str">
        <f t="shared" si="52"/>
        <v/>
      </c>
      <c r="Q157" s="132" t="str">
        <f t="shared" si="67"/>
        <v/>
      </c>
      <c r="R157" s="132" t="str">
        <f>IF(ISNUMBER(SEARCH("AHO",Import2[[#This Row],[Tenure]])),"AHO",Import2[[#This Row],[Tenure]])&amp;Import2[[#This Row],[Expected Physical Completion Year]]&amp;Import2[[#This Row],[Expected Physical Completion Month]]</f>
        <v>Open market housing</v>
      </c>
      <c r="S157" s="135">
        <f t="shared" si="66"/>
        <v>0</v>
      </c>
      <c r="T157" s="132" t="str">
        <f t="shared" si="70"/>
        <v/>
      </c>
      <c r="U157" s="132" t="str">
        <f t="shared" si="70"/>
        <v/>
      </c>
      <c r="V157" s="132" t="str">
        <f>IF(ISNUMBER(SEARCH("AHO",Import2[[#This Row],[Tenure]])),"AHO",Import2[[#This Row],[Tenure]])&amp;Import2[[#This Row],[Expected sale completion year]]&amp;Import2[[#This Row],[Expected sale completion month]]</f>
        <v>Open market housing</v>
      </c>
      <c r="W157" s="178">
        <f t="shared" si="54"/>
        <v>0</v>
      </c>
    </row>
    <row r="158" spans="1:23" ht="15" customHeight="1">
      <c r="A158" s="132">
        <f t="shared" si="58"/>
        <v>0</v>
      </c>
      <c r="B158" s="133">
        <v>155</v>
      </c>
      <c r="C158" s="132" t="str">
        <f t="shared" si="59"/>
        <v/>
      </c>
      <c r="D158" s="132">
        <f t="shared" si="68"/>
        <v>0</v>
      </c>
      <c r="E158" s="132">
        <f t="shared" si="68"/>
        <v>0</v>
      </c>
      <c r="F158" s="132">
        <f t="shared" si="60"/>
        <v>0</v>
      </c>
      <c r="G158" s="132" t="str">
        <f t="shared" si="68"/>
        <v>Open market housing</v>
      </c>
      <c r="H158" s="132">
        <f t="shared" si="61"/>
        <v>896440000</v>
      </c>
      <c r="I158" s="132" t="str">
        <f t="shared" si="49"/>
        <v>New build</v>
      </c>
      <c r="J158" s="132">
        <f t="shared" si="62"/>
        <v>391930000</v>
      </c>
      <c r="K158" s="132">
        <f t="shared" si="50"/>
        <v>0</v>
      </c>
      <c r="L158" s="132">
        <f t="shared" si="63"/>
        <v>0</v>
      </c>
      <c r="M158" s="132">
        <f t="shared" si="69"/>
        <v>0</v>
      </c>
      <c r="N158" s="134">
        <f t="shared" si="64"/>
        <v>0</v>
      </c>
      <c r="O158" s="135">
        <f t="shared" si="65"/>
        <v>0</v>
      </c>
      <c r="P158" s="132" t="str">
        <f t="shared" si="52"/>
        <v/>
      </c>
      <c r="Q158" s="132" t="str">
        <f t="shared" si="67"/>
        <v/>
      </c>
      <c r="R158" s="132" t="str">
        <f>IF(ISNUMBER(SEARCH("AHO",Import2[[#This Row],[Tenure]])),"AHO",Import2[[#This Row],[Tenure]])&amp;Import2[[#This Row],[Expected Physical Completion Year]]&amp;Import2[[#This Row],[Expected Physical Completion Month]]</f>
        <v>Open market housing</v>
      </c>
      <c r="S158" s="135">
        <f t="shared" si="66"/>
        <v>0</v>
      </c>
      <c r="T158" s="132" t="str">
        <f t="shared" si="70"/>
        <v/>
      </c>
      <c r="U158" s="132" t="str">
        <f t="shared" si="70"/>
        <v/>
      </c>
      <c r="V158" s="132" t="str">
        <f>IF(ISNUMBER(SEARCH("AHO",Import2[[#This Row],[Tenure]])),"AHO",Import2[[#This Row],[Tenure]])&amp;Import2[[#This Row],[Expected sale completion year]]&amp;Import2[[#This Row],[Expected sale completion month]]</f>
        <v>Open market housing</v>
      </c>
      <c r="W158" s="178">
        <f t="shared" si="54"/>
        <v>0</v>
      </c>
    </row>
    <row r="159" spans="1:23" ht="15" customHeight="1">
      <c r="A159" s="132">
        <f t="shared" si="58"/>
        <v>0</v>
      </c>
      <c r="B159" s="133">
        <v>156</v>
      </c>
      <c r="C159" s="132" t="str">
        <f t="shared" si="59"/>
        <v/>
      </c>
      <c r="D159" s="132">
        <f t="shared" si="68"/>
        <v>0</v>
      </c>
      <c r="E159" s="132">
        <f t="shared" si="68"/>
        <v>0</v>
      </c>
      <c r="F159" s="132">
        <f t="shared" si="60"/>
        <v>0</v>
      </c>
      <c r="G159" s="132" t="str">
        <f t="shared" si="68"/>
        <v>Open market housing</v>
      </c>
      <c r="H159" s="132">
        <f t="shared" si="61"/>
        <v>896440000</v>
      </c>
      <c r="I159" s="132" t="str">
        <f t="shared" si="49"/>
        <v>New build</v>
      </c>
      <c r="J159" s="132">
        <f t="shared" si="62"/>
        <v>391930000</v>
      </c>
      <c r="K159" s="132">
        <f t="shared" si="50"/>
        <v>0</v>
      </c>
      <c r="L159" s="132">
        <f t="shared" si="63"/>
        <v>0</v>
      </c>
      <c r="M159" s="132">
        <f t="shared" si="69"/>
        <v>0</v>
      </c>
      <c r="N159" s="134">
        <f t="shared" si="64"/>
        <v>0</v>
      </c>
      <c r="O159" s="135">
        <f t="shared" si="65"/>
        <v>0</v>
      </c>
      <c r="P159" s="132" t="str">
        <f t="shared" si="52"/>
        <v/>
      </c>
      <c r="Q159" s="132" t="str">
        <f t="shared" si="67"/>
        <v/>
      </c>
      <c r="R159" s="132" t="str">
        <f>IF(ISNUMBER(SEARCH("AHO",Import2[[#This Row],[Tenure]])),"AHO",Import2[[#This Row],[Tenure]])&amp;Import2[[#This Row],[Expected Physical Completion Year]]&amp;Import2[[#This Row],[Expected Physical Completion Month]]</f>
        <v>Open market housing</v>
      </c>
      <c r="S159" s="135">
        <f t="shared" si="66"/>
        <v>0</v>
      </c>
      <c r="T159" s="132" t="str">
        <f t="shared" si="70"/>
        <v/>
      </c>
      <c r="U159" s="132" t="str">
        <f t="shared" si="70"/>
        <v/>
      </c>
      <c r="V159" s="132" t="str">
        <f>IF(ISNUMBER(SEARCH("AHO",Import2[[#This Row],[Tenure]])),"AHO",Import2[[#This Row],[Tenure]])&amp;Import2[[#This Row],[Expected sale completion year]]&amp;Import2[[#This Row],[Expected sale completion month]]</f>
        <v>Open market housing</v>
      </c>
      <c r="W159" s="178">
        <f t="shared" si="54"/>
        <v>0</v>
      </c>
    </row>
    <row r="160" spans="1:23" ht="15" customHeight="1">
      <c r="A160" s="132">
        <f t="shared" si="58"/>
        <v>0</v>
      </c>
      <c r="B160" s="133">
        <v>157</v>
      </c>
      <c r="C160" s="132" t="str">
        <f t="shared" si="59"/>
        <v/>
      </c>
      <c r="D160" s="132">
        <f t="shared" si="68"/>
        <v>0</v>
      </c>
      <c r="E160" s="132">
        <f t="shared" si="68"/>
        <v>0</v>
      </c>
      <c r="F160" s="132">
        <f t="shared" si="60"/>
        <v>0</v>
      </c>
      <c r="G160" s="132" t="str">
        <f t="shared" si="68"/>
        <v>Open market housing</v>
      </c>
      <c r="H160" s="132">
        <f t="shared" si="61"/>
        <v>896440000</v>
      </c>
      <c r="I160" s="132" t="str">
        <f t="shared" si="49"/>
        <v>New build</v>
      </c>
      <c r="J160" s="132">
        <f t="shared" si="62"/>
        <v>391930000</v>
      </c>
      <c r="K160" s="132">
        <f t="shared" si="50"/>
        <v>0</v>
      </c>
      <c r="L160" s="132">
        <f t="shared" si="63"/>
        <v>0</v>
      </c>
      <c r="M160" s="132">
        <f t="shared" si="69"/>
        <v>0</v>
      </c>
      <c r="N160" s="134">
        <f t="shared" si="64"/>
        <v>0</v>
      </c>
      <c r="O160" s="135">
        <f t="shared" si="65"/>
        <v>0</v>
      </c>
      <c r="P160" s="132" t="str">
        <f t="shared" si="52"/>
        <v/>
      </c>
      <c r="Q160" s="132" t="str">
        <f t="shared" si="67"/>
        <v/>
      </c>
      <c r="R160" s="132" t="str">
        <f>IF(ISNUMBER(SEARCH("AHO",Import2[[#This Row],[Tenure]])),"AHO",Import2[[#This Row],[Tenure]])&amp;Import2[[#This Row],[Expected Physical Completion Year]]&amp;Import2[[#This Row],[Expected Physical Completion Month]]</f>
        <v>Open market housing</v>
      </c>
      <c r="S160" s="135">
        <f t="shared" si="66"/>
        <v>0</v>
      </c>
      <c r="T160" s="132" t="str">
        <f t="shared" si="70"/>
        <v/>
      </c>
      <c r="U160" s="132" t="str">
        <f t="shared" si="70"/>
        <v/>
      </c>
      <c r="V160" s="132" t="str">
        <f>IF(ISNUMBER(SEARCH("AHO",Import2[[#This Row],[Tenure]])),"AHO",Import2[[#This Row],[Tenure]])&amp;Import2[[#This Row],[Expected sale completion year]]&amp;Import2[[#This Row],[Expected sale completion month]]</f>
        <v>Open market housing</v>
      </c>
      <c r="W160" s="178">
        <f t="shared" si="54"/>
        <v>0</v>
      </c>
    </row>
    <row r="161" spans="1:23" ht="15" customHeight="1">
      <c r="A161" s="132">
        <f t="shared" si="58"/>
        <v>0</v>
      </c>
      <c r="B161" s="133">
        <v>158</v>
      </c>
      <c r="C161" s="132" t="str">
        <f t="shared" si="59"/>
        <v/>
      </c>
      <c r="D161" s="132">
        <f t="shared" si="68"/>
        <v>0</v>
      </c>
      <c r="E161" s="132">
        <f t="shared" si="68"/>
        <v>0</v>
      </c>
      <c r="F161" s="132">
        <f t="shared" si="60"/>
        <v>0</v>
      </c>
      <c r="G161" s="132" t="str">
        <f t="shared" si="68"/>
        <v>Open market housing</v>
      </c>
      <c r="H161" s="132">
        <f t="shared" si="61"/>
        <v>896440000</v>
      </c>
      <c r="I161" s="132" t="str">
        <f t="shared" si="49"/>
        <v>New build</v>
      </c>
      <c r="J161" s="132">
        <f t="shared" si="62"/>
        <v>391930000</v>
      </c>
      <c r="K161" s="132">
        <f t="shared" si="50"/>
        <v>0</v>
      </c>
      <c r="L161" s="132">
        <f t="shared" si="63"/>
        <v>0</v>
      </c>
      <c r="M161" s="132">
        <f t="shared" si="69"/>
        <v>0</v>
      </c>
      <c r="N161" s="134">
        <f t="shared" si="64"/>
        <v>0</v>
      </c>
      <c r="O161" s="135">
        <f t="shared" si="65"/>
        <v>0</v>
      </c>
      <c r="P161" s="132" t="str">
        <f t="shared" si="52"/>
        <v/>
      </c>
      <c r="Q161" s="132" t="str">
        <f t="shared" si="67"/>
        <v/>
      </c>
      <c r="R161" s="132" t="str">
        <f>IF(ISNUMBER(SEARCH("AHO",Import2[[#This Row],[Tenure]])),"AHO",Import2[[#This Row],[Tenure]])&amp;Import2[[#This Row],[Expected Physical Completion Year]]&amp;Import2[[#This Row],[Expected Physical Completion Month]]</f>
        <v>Open market housing</v>
      </c>
      <c r="S161" s="135">
        <f t="shared" si="66"/>
        <v>0</v>
      </c>
      <c r="T161" s="132" t="str">
        <f t="shared" si="70"/>
        <v/>
      </c>
      <c r="U161" s="132" t="str">
        <f t="shared" si="70"/>
        <v/>
      </c>
      <c r="V161" s="132" t="str">
        <f>IF(ISNUMBER(SEARCH("AHO",Import2[[#This Row],[Tenure]])),"AHO",Import2[[#This Row],[Tenure]])&amp;Import2[[#This Row],[Expected sale completion year]]&amp;Import2[[#This Row],[Expected sale completion month]]</f>
        <v>Open market housing</v>
      </c>
      <c r="W161" s="178">
        <f t="shared" si="54"/>
        <v>0</v>
      </c>
    </row>
    <row r="162" spans="1:23" ht="15" customHeight="1">
      <c r="A162" s="132">
        <f t="shared" si="58"/>
        <v>0</v>
      </c>
      <c r="B162" s="133">
        <v>159</v>
      </c>
      <c r="C162" s="132" t="str">
        <f t="shared" si="59"/>
        <v/>
      </c>
      <c r="D162" s="132">
        <f t="shared" si="68"/>
        <v>0</v>
      </c>
      <c r="E162" s="132">
        <f t="shared" si="68"/>
        <v>0</v>
      </c>
      <c r="F162" s="132">
        <f t="shared" si="60"/>
        <v>0</v>
      </c>
      <c r="G162" s="132" t="str">
        <f t="shared" si="68"/>
        <v>Open market housing</v>
      </c>
      <c r="H162" s="132">
        <f t="shared" si="61"/>
        <v>896440000</v>
      </c>
      <c r="I162" s="132" t="str">
        <f t="shared" si="49"/>
        <v>New build</v>
      </c>
      <c r="J162" s="132">
        <f t="shared" si="62"/>
        <v>391930000</v>
      </c>
      <c r="K162" s="132">
        <f t="shared" si="50"/>
        <v>0</v>
      </c>
      <c r="L162" s="132">
        <f t="shared" si="63"/>
        <v>0</v>
      </c>
      <c r="M162" s="132">
        <f t="shared" si="69"/>
        <v>0</v>
      </c>
      <c r="N162" s="134">
        <f t="shared" si="64"/>
        <v>0</v>
      </c>
      <c r="O162" s="135">
        <f t="shared" si="65"/>
        <v>0</v>
      </c>
      <c r="P162" s="132" t="str">
        <f t="shared" si="52"/>
        <v/>
      </c>
      <c r="Q162" s="132" t="str">
        <f t="shared" si="67"/>
        <v/>
      </c>
      <c r="R162" s="132" t="str">
        <f>IF(ISNUMBER(SEARCH("AHO",Import2[[#This Row],[Tenure]])),"AHO",Import2[[#This Row],[Tenure]])&amp;Import2[[#This Row],[Expected Physical Completion Year]]&amp;Import2[[#This Row],[Expected Physical Completion Month]]</f>
        <v>Open market housing</v>
      </c>
      <c r="S162" s="135">
        <f t="shared" si="66"/>
        <v>0</v>
      </c>
      <c r="T162" s="132" t="str">
        <f t="shared" si="70"/>
        <v/>
      </c>
      <c r="U162" s="132" t="str">
        <f t="shared" si="70"/>
        <v/>
      </c>
      <c r="V162" s="132" t="str">
        <f>IF(ISNUMBER(SEARCH("AHO",Import2[[#This Row],[Tenure]])),"AHO",Import2[[#This Row],[Tenure]])&amp;Import2[[#This Row],[Expected sale completion year]]&amp;Import2[[#This Row],[Expected sale completion month]]</f>
        <v>Open market housing</v>
      </c>
      <c r="W162" s="178">
        <f t="shared" si="54"/>
        <v>0</v>
      </c>
    </row>
    <row r="163" spans="1:23" ht="15" customHeight="1">
      <c r="A163" s="132">
        <f t="shared" si="58"/>
        <v>0</v>
      </c>
      <c r="B163" s="133">
        <v>160</v>
      </c>
      <c r="C163" s="132" t="str">
        <f t="shared" si="59"/>
        <v/>
      </c>
      <c r="D163" s="132">
        <f t="shared" si="68"/>
        <v>0</v>
      </c>
      <c r="E163" s="132">
        <f t="shared" si="68"/>
        <v>0</v>
      </c>
      <c r="F163" s="132">
        <f t="shared" si="60"/>
        <v>0</v>
      </c>
      <c r="G163" s="132" t="str">
        <f t="shared" si="68"/>
        <v>Open market housing</v>
      </c>
      <c r="H163" s="132">
        <f t="shared" si="61"/>
        <v>896440000</v>
      </c>
      <c r="I163" s="132" t="str">
        <f t="shared" si="49"/>
        <v>New build</v>
      </c>
      <c r="J163" s="132">
        <f t="shared" si="62"/>
        <v>391930000</v>
      </c>
      <c r="K163" s="132">
        <f t="shared" si="50"/>
        <v>0</v>
      </c>
      <c r="L163" s="132">
        <f t="shared" si="63"/>
        <v>0</v>
      </c>
      <c r="M163" s="132">
        <f t="shared" si="69"/>
        <v>0</v>
      </c>
      <c r="N163" s="134">
        <f t="shared" si="64"/>
        <v>0</v>
      </c>
      <c r="O163" s="135">
        <f t="shared" si="65"/>
        <v>0</v>
      </c>
      <c r="P163" s="132" t="str">
        <f t="shared" si="52"/>
        <v/>
      </c>
      <c r="Q163" s="132" t="str">
        <f t="shared" si="67"/>
        <v/>
      </c>
      <c r="R163" s="132" t="str">
        <f>IF(ISNUMBER(SEARCH("AHO",Import2[[#This Row],[Tenure]])),"AHO",Import2[[#This Row],[Tenure]])&amp;Import2[[#This Row],[Expected Physical Completion Year]]&amp;Import2[[#This Row],[Expected Physical Completion Month]]</f>
        <v>Open market housing</v>
      </c>
      <c r="S163" s="135">
        <f t="shared" si="66"/>
        <v>0</v>
      </c>
      <c r="T163" s="132" t="str">
        <f t="shared" si="70"/>
        <v/>
      </c>
      <c r="U163" s="132" t="str">
        <f t="shared" si="70"/>
        <v/>
      </c>
      <c r="V163" s="132" t="str">
        <f>IF(ISNUMBER(SEARCH("AHO",Import2[[#This Row],[Tenure]])),"AHO",Import2[[#This Row],[Tenure]])&amp;Import2[[#This Row],[Expected sale completion year]]&amp;Import2[[#This Row],[Expected sale completion month]]</f>
        <v>Open market housing</v>
      </c>
      <c r="W163" s="178">
        <f t="shared" si="54"/>
        <v>0</v>
      </c>
    </row>
    <row r="164" spans="1:23" ht="15" customHeight="1">
      <c r="A164" s="132">
        <f t="shared" si="58"/>
        <v>0</v>
      </c>
      <c r="B164" s="133">
        <v>161</v>
      </c>
      <c r="C164" s="132" t="str">
        <f t="shared" si="59"/>
        <v/>
      </c>
      <c r="D164" s="132">
        <f t="shared" ref="D164:G183" si="71">INDEX(PlotData,MATCH($B164,PlotNumber,0),MATCH(D$3,PlotTitles,0))</f>
        <v>0</v>
      </c>
      <c r="E164" s="132">
        <f t="shared" si="71"/>
        <v>0</v>
      </c>
      <c r="F164" s="132">
        <f t="shared" si="60"/>
        <v>0</v>
      </c>
      <c r="G164" s="132" t="str">
        <f t="shared" si="71"/>
        <v>Open market housing</v>
      </c>
      <c r="H164" s="132">
        <f t="shared" si="61"/>
        <v>896440000</v>
      </c>
      <c r="I164" s="132" t="str">
        <f t="shared" si="49"/>
        <v>New build</v>
      </c>
      <c r="J164" s="132">
        <f t="shared" si="62"/>
        <v>391930000</v>
      </c>
      <c r="K164" s="132">
        <f t="shared" si="50"/>
        <v>0</v>
      </c>
      <c r="L164" s="132">
        <f t="shared" si="63"/>
        <v>0</v>
      </c>
      <c r="M164" s="132">
        <f t="shared" ref="M164:M183" si="72">INDEX(PlotData,MATCH($B164,PlotNumber,0),MATCH(M$3,PlotTitles,0))</f>
        <v>0</v>
      </c>
      <c r="N164" s="134">
        <f t="shared" si="64"/>
        <v>0</v>
      </c>
      <c r="O164" s="135">
        <f t="shared" si="65"/>
        <v>0</v>
      </c>
      <c r="P164" s="132" t="str">
        <f t="shared" si="52"/>
        <v/>
      </c>
      <c r="Q164" s="132" t="str">
        <f t="shared" si="67"/>
        <v/>
      </c>
      <c r="R164" s="132" t="str">
        <f>IF(ISNUMBER(SEARCH("AHO",Import2[[#This Row],[Tenure]])),"AHO",Import2[[#This Row],[Tenure]])&amp;Import2[[#This Row],[Expected Physical Completion Year]]&amp;Import2[[#This Row],[Expected Physical Completion Month]]</f>
        <v>Open market housing</v>
      </c>
      <c r="S164" s="135">
        <f t="shared" si="66"/>
        <v>0</v>
      </c>
      <c r="T164" s="132" t="str">
        <f t="shared" ref="T164:U183" si="73">IF(INDEX(PlotData,MATCH($B164,PlotNumber,0),MATCH(T$3,PlotTitles,0))=0,"",INDEX(PlotData,MATCH($B164,PlotNumber,0),MATCH(T$3,PlotTitles,0)))</f>
        <v/>
      </c>
      <c r="U164" s="132" t="str">
        <f t="shared" si="73"/>
        <v/>
      </c>
      <c r="V164" s="132" t="str">
        <f>IF(ISNUMBER(SEARCH("AHO",Import2[[#This Row],[Tenure]])),"AHO",Import2[[#This Row],[Tenure]])&amp;Import2[[#This Row],[Expected sale completion year]]&amp;Import2[[#This Row],[Expected sale completion month]]</f>
        <v>Open market housing</v>
      </c>
      <c r="W164" s="178">
        <f t="shared" si="54"/>
        <v>0</v>
      </c>
    </row>
    <row r="165" spans="1:23" ht="15" customHeight="1">
      <c r="A165" s="132">
        <f t="shared" si="58"/>
        <v>0</v>
      </c>
      <c r="B165" s="133">
        <v>162</v>
      </c>
      <c r="C165" s="132" t="str">
        <f t="shared" si="59"/>
        <v/>
      </c>
      <c r="D165" s="132">
        <f t="shared" si="71"/>
        <v>0</v>
      </c>
      <c r="E165" s="132">
        <f t="shared" si="71"/>
        <v>0</v>
      </c>
      <c r="F165" s="132">
        <f t="shared" si="60"/>
        <v>0</v>
      </c>
      <c r="G165" s="132" t="str">
        <f t="shared" si="71"/>
        <v>Open market housing</v>
      </c>
      <c r="H165" s="132">
        <f t="shared" si="61"/>
        <v>896440000</v>
      </c>
      <c r="I165" s="132" t="str">
        <f t="shared" si="49"/>
        <v>New build</v>
      </c>
      <c r="J165" s="132">
        <f t="shared" si="62"/>
        <v>391930000</v>
      </c>
      <c r="K165" s="132">
        <f t="shared" si="50"/>
        <v>0</v>
      </c>
      <c r="L165" s="132">
        <f t="shared" si="63"/>
        <v>0</v>
      </c>
      <c r="M165" s="132">
        <f t="shared" si="72"/>
        <v>0</v>
      </c>
      <c r="N165" s="134">
        <f t="shared" si="64"/>
        <v>0</v>
      </c>
      <c r="O165" s="135">
        <f t="shared" si="65"/>
        <v>0</v>
      </c>
      <c r="P165" s="132" t="str">
        <f t="shared" si="52"/>
        <v/>
      </c>
      <c r="Q165" s="132" t="str">
        <f t="shared" si="67"/>
        <v/>
      </c>
      <c r="R165" s="132" t="str">
        <f>IF(ISNUMBER(SEARCH("AHO",Import2[[#This Row],[Tenure]])),"AHO",Import2[[#This Row],[Tenure]])&amp;Import2[[#This Row],[Expected Physical Completion Year]]&amp;Import2[[#This Row],[Expected Physical Completion Month]]</f>
        <v>Open market housing</v>
      </c>
      <c r="S165" s="135">
        <f t="shared" si="66"/>
        <v>0</v>
      </c>
      <c r="T165" s="132" t="str">
        <f t="shared" si="73"/>
        <v/>
      </c>
      <c r="U165" s="132" t="str">
        <f t="shared" si="73"/>
        <v/>
      </c>
      <c r="V165" s="132" t="str">
        <f>IF(ISNUMBER(SEARCH("AHO",Import2[[#This Row],[Tenure]])),"AHO",Import2[[#This Row],[Tenure]])&amp;Import2[[#This Row],[Expected sale completion year]]&amp;Import2[[#This Row],[Expected sale completion month]]</f>
        <v>Open market housing</v>
      </c>
      <c r="W165" s="178">
        <f t="shared" si="54"/>
        <v>0</v>
      </c>
    </row>
    <row r="166" spans="1:23" ht="15" customHeight="1">
      <c r="A166" s="132">
        <f t="shared" si="58"/>
        <v>0</v>
      </c>
      <c r="B166" s="133">
        <v>163</v>
      </c>
      <c r="C166" s="132" t="str">
        <f t="shared" si="59"/>
        <v/>
      </c>
      <c r="D166" s="132">
        <f t="shared" si="71"/>
        <v>0</v>
      </c>
      <c r="E166" s="132">
        <f t="shared" si="71"/>
        <v>0</v>
      </c>
      <c r="F166" s="132">
        <f t="shared" si="60"/>
        <v>0</v>
      </c>
      <c r="G166" s="132" t="str">
        <f t="shared" si="71"/>
        <v>Open market housing</v>
      </c>
      <c r="H166" s="132">
        <f t="shared" si="61"/>
        <v>896440000</v>
      </c>
      <c r="I166" s="132" t="str">
        <f t="shared" si="49"/>
        <v>New build</v>
      </c>
      <c r="J166" s="132">
        <f t="shared" si="62"/>
        <v>391930000</v>
      </c>
      <c r="K166" s="132">
        <f t="shared" si="50"/>
        <v>0</v>
      </c>
      <c r="L166" s="132">
        <f t="shared" si="63"/>
        <v>0</v>
      </c>
      <c r="M166" s="132">
        <f t="shared" si="72"/>
        <v>0</v>
      </c>
      <c r="N166" s="134">
        <f t="shared" si="64"/>
        <v>0</v>
      </c>
      <c r="O166" s="135">
        <f t="shared" si="65"/>
        <v>0</v>
      </c>
      <c r="P166" s="132" t="str">
        <f t="shared" si="52"/>
        <v/>
      </c>
      <c r="Q166" s="132" t="str">
        <f t="shared" si="67"/>
        <v/>
      </c>
      <c r="R166" s="132" t="str">
        <f>IF(ISNUMBER(SEARCH("AHO",Import2[[#This Row],[Tenure]])),"AHO",Import2[[#This Row],[Tenure]])&amp;Import2[[#This Row],[Expected Physical Completion Year]]&amp;Import2[[#This Row],[Expected Physical Completion Month]]</f>
        <v>Open market housing</v>
      </c>
      <c r="S166" s="135">
        <f t="shared" si="66"/>
        <v>0</v>
      </c>
      <c r="T166" s="132" t="str">
        <f t="shared" si="73"/>
        <v/>
      </c>
      <c r="U166" s="132" t="str">
        <f t="shared" si="73"/>
        <v/>
      </c>
      <c r="V166" s="132" t="str">
        <f>IF(ISNUMBER(SEARCH("AHO",Import2[[#This Row],[Tenure]])),"AHO",Import2[[#This Row],[Tenure]])&amp;Import2[[#This Row],[Expected sale completion year]]&amp;Import2[[#This Row],[Expected sale completion month]]</f>
        <v>Open market housing</v>
      </c>
      <c r="W166" s="178">
        <f t="shared" si="54"/>
        <v>0</v>
      </c>
    </row>
    <row r="167" spans="1:23" ht="15" customHeight="1">
      <c r="A167" s="132">
        <f t="shared" si="58"/>
        <v>0</v>
      </c>
      <c r="B167" s="133">
        <v>164</v>
      </c>
      <c r="C167" s="132" t="str">
        <f t="shared" si="59"/>
        <v/>
      </c>
      <c r="D167" s="132">
        <f t="shared" si="71"/>
        <v>0</v>
      </c>
      <c r="E167" s="132">
        <f t="shared" si="71"/>
        <v>0</v>
      </c>
      <c r="F167" s="132">
        <f t="shared" si="60"/>
        <v>0</v>
      </c>
      <c r="G167" s="132" t="str">
        <f t="shared" si="71"/>
        <v>Open market housing</v>
      </c>
      <c r="H167" s="132">
        <f t="shared" si="61"/>
        <v>896440000</v>
      </c>
      <c r="I167" s="132" t="str">
        <f t="shared" si="49"/>
        <v>New build</v>
      </c>
      <c r="J167" s="132">
        <f t="shared" si="62"/>
        <v>391930000</v>
      </c>
      <c r="K167" s="132">
        <f t="shared" si="50"/>
        <v>0</v>
      </c>
      <c r="L167" s="132">
        <f t="shared" si="63"/>
        <v>0</v>
      </c>
      <c r="M167" s="132">
        <f t="shared" si="72"/>
        <v>0</v>
      </c>
      <c r="N167" s="134">
        <f t="shared" si="64"/>
        <v>0</v>
      </c>
      <c r="O167" s="135">
        <f t="shared" si="65"/>
        <v>0</v>
      </c>
      <c r="P167" s="132" t="str">
        <f t="shared" si="52"/>
        <v/>
      </c>
      <c r="Q167" s="132" t="str">
        <f t="shared" si="67"/>
        <v/>
      </c>
      <c r="R167" s="132" t="str">
        <f>IF(ISNUMBER(SEARCH("AHO",Import2[[#This Row],[Tenure]])),"AHO",Import2[[#This Row],[Tenure]])&amp;Import2[[#This Row],[Expected Physical Completion Year]]&amp;Import2[[#This Row],[Expected Physical Completion Month]]</f>
        <v>Open market housing</v>
      </c>
      <c r="S167" s="135">
        <f t="shared" si="66"/>
        <v>0</v>
      </c>
      <c r="T167" s="132" t="str">
        <f t="shared" si="73"/>
        <v/>
      </c>
      <c r="U167" s="132" t="str">
        <f t="shared" si="73"/>
        <v/>
      </c>
      <c r="V167" s="132" t="str">
        <f>IF(ISNUMBER(SEARCH("AHO",Import2[[#This Row],[Tenure]])),"AHO",Import2[[#This Row],[Tenure]])&amp;Import2[[#This Row],[Expected sale completion year]]&amp;Import2[[#This Row],[Expected sale completion month]]</f>
        <v>Open market housing</v>
      </c>
      <c r="W167" s="178">
        <f t="shared" si="54"/>
        <v>0</v>
      </c>
    </row>
    <row r="168" spans="1:23" ht="15" customHeight="1">
      <c r="A168" s="132">
        <f t="shared" si="58"/>
        <v>0</v>
      </c>
      <c r="B168" s="133">
        <v>165</v>
      </c>
      <c r="C168" s="132" t="str">
        <f t="shared" si="59"/>
        <v/>
      </c>
      <c r="D168" s="132">
        <f t="shared" si="71"/>
        <v>0</v>
      </c>
      <c r="E168" s="132">
        <f t="shared" si="71"/>
        <v>0</v>
      </c>
      <c r="F168" s="132">
        <f t="shared" si="60"/>
        <v>0</v>
      </c>
      <c r="G168" s="132" t="str">
        <f t="shared" si="71"/>
        <v>Open market housing</v>
      </c>
      <c r="H168" s="132">
        <f t="shared" si="61"/>
        <v>896440000</v>
      </c>
      <c r="I168" s="132" t="str">
        <f t="shared" ref="I168:I231" si="74">INDEX(PlotData,MATCH($B168,PlotNumber,0),MATCH(I$3,PlotTitles,0))</f>
        <v>New build</v>
      </c>
      <c r="J168" s="132">
        <f t="shared" si="62"/>
        <v>391930000</v>
      </c>
      <c r="K168" s="132">
        <f t="shared" ref="K168:K231" si="75">INDEX(PlotData,MATCH($B168,PlotNumber,0),MATCH(K$3,PlotTitles,0))</f>
        <v>0</v>
      </c>
      <c r="L168" s="132">
        <f t="shared" si="63"/>
        <v>0</v>
      </c>
      <c r="M168" s="132">
        <f t="shared" si="72"/>
        <v>0</v>
      </c>
      <c r="N168" s="134">
        <f t="shared" si="64"/>
        <v>0</v>
      </c>
      <c r="O168" s="135">
        <f t="shared" si="65"/>
        <v>0</v>
      </c>
      <c r="P168" s="132" t="str">
        <f t="shared" ref="P168:P231" si="76">IF(INDEX(PlotData,MATCH($B168,PlotNumber,0),MATCH(P$3,PlotTitles,0))=0,"",INDEX(PlotData,MATCH($B168,PlotNumber,0),MATCH(P$3,PlotTitles,0)))</f>
        <v/>
      </c>
      <c r="Q168" s="132" t="str">
        <f t="shared" si="67"/>
        <v/>
      </c>
      <c r="R168" s="132" t="str">
        <f>IF(ISNUMBER(SEARCH("AHO",Import2[[#This Row],[Tenure]])),"AHO",Import2[[#This Row],[Tenure]])&amp;Import2[[#This Row],[Expected Physical Completion Year]]&amp;Import2[[#This Row],[Expected Physical Completion Month]]</f>
        <v>Open market housing</v>
      </c>
      <c r="S168" s="135">
        <f t="shared" si="66"/>
        <v>0</v>
      </c>
      <c r="T168" s="132" t="str">
        <f t="shared" si="73"/>
        <v/>
      </c>
      <c r="U168" s="132" t="str">
        <f t="shared" si="73"/>
        <v/>
      </c>
      <c r="V168" s="132" t="str">
        <f>IF(ISNUMBER(SEARCH("AHO",Import2[[#This Row],[Tenure]])),"AHO",Import2[[#This Row],[Tenure]])&amp;Import2[[#This Row],[Expected sale completion year]]&amp;Import2[[#This Row],[Expected sale completion month]]</f>
        <v>Open market housing</v>
      </c>
      <c r="W168" s="178">
        <f t="shared" ref="W168:W231" si="77">INDEX(PlotData,MATCH($B168,PlotNumber,0),MATCH(W$3,PlotTitles,0))</f>
        <v>0</v>
      </c>
    </row>
    <row r="169" spans="1:23" ht="15" customHeight="1">
      <c r="A169" s="132">
        <f t="shared" si="58"/>
        <v>0</v>
      </c>
      <c r="B169" s="133">
        <v>166</v>
      </c>
      <c r="C169" s="132" t="str">
        <f t="shared" si="59"/>
        <v/>
      </c>
      <c r="D169" s="132">
        <f t="shared" si="71"/>
        <v>0</v>
      </c>
      <c r="E169" s="132">
        <f t="shared" si="71"/>
        <v>0</v>
      </c>
      <c r="F169" s="132">
        <f t="shared" si="60"/>
        <v>0</v>
      </c>
      <c r="G169" s="132" t="str">
        <f t="shared" si="71"/>
        <v>Open market housing</v>
      </c>
      <c r="H169" s="132">
        <f t="shared" si="61"/>
        <v>896440000</v>
      </c>
      <c r="I169" s="132" t="str">
        <f t="shared" si="74"/>
        <v>New build</v>
      </c>
      <c r="J169" s="132">
        <f t="shared" si="62"/>
        <v>391930000</v>
      </c>
      <c r="K169" s="132">
        <f t="shared" si="75"/>
        <v>0</v>
      </c>
      <c r="L169" s="132">
        <f t="shared" si="63"/>
        <v>0</v>
      </c>
      <c r="M169" s="132">
        <f t="shared" si="72"/>
        <v>0</v>
      </c>
      <c r="N169" s="134">
        <f t="shared" si="64"/>
        <v>0</v>
      </c>
      <c r="O169" s="135">
        <f t="shared" si="65"/>
        <v>0</v>
      </c>
      <c r="P169" s="132" t="str">
        <f t="shared" si="76"/>
        <v/>
      </c>
      <c r="Q169" s="132" t="str">
        <f t="shared" si="67"/>
        <v/>
      </c>
      <c r="R169" s="132" t="str">
        <f>IF(ISNUMBER(SEARCH("AHO",Import2[[#This Row],[Tenure]])),"AHO",Import2[[#This Row],[Tenure]])&amp;Import2[[#This Row],[Expected Physical Completion Year]]&amp;Import2[[#This Row],[Expected Physical Completion Month]]</f>
        <v>Open market housing</v>
      </c>
      <c r="S169" s="135">
        <f t="shared" si="66"/>
        <v>0</v>
      </c>
      <c r="T169" s="132" t="str">
        <f t="shared" si="73"/>
        <v/>
      </c>
      <c r="U169" s="132" t="str">
        <f t="shared" si="73"/>
        <v/>
      </c>
      <c r="V169" s="132" t="str">
        <f>IF(ISNUMBER(SEARCH("AHO",Import2[[#This Row],[Tenure]])),"AHO",Import2[[#This Row],[Tenure]])&amp;Import2[[#This Row],[Expected sale completion year]]&amp;Import2[[#This Row],[Expected sale completion month]]</f>
        <v>Open market housing</v>
      </c>
      <c r="W169" s="178">
        <f t="shared" si="77"/>
        <v>0</v>
      </c>
    </row>
    <row r="170" spans="1:23" ht="15" customHeight="1">
      <c r="A170" s="132">
        <f t="shared" si="58"/>
        <v>0</v>
      </c>
      <c r="B170" s="133">
        <v>167</v>
      </c>
      <c r="C170" s="132" t="str">
        <f t="shared" si="59"/>
        <v/>
      </c>
      <c r="D170" s="132">
        <f t="shared" si="71"/>
        <v>0</v>
      </c>
      <c r="E170" s="132">
        <f t="shared" si="71"/>
        <v>0</v>
      </c>
      <c r="F170" s="132">
        <f t="shared" si="60"/>
        <v>0</v>
      </c>
      <c r="G170" s="132" t="str">
        <f t="shared" si="71"/>
        <v>Open market housing</v>
      </c>
      <c r="H170" s="132">
        <f t="shared" si="61"/>
        <v>896440000</v>
      </c>
      <c r="I170" s="132" t="str">
        <f t="shared" si="74"/>
        <v>New build</v>
      </c>
      <c r="J170" s="132">
        <f t="shared" si="62"/>
        <v>391930000</v>
      </c>
      <c r="K170" s="132">
        <f t="shared" si="75"/>
        <v>0</v>
      </c>
      <c r="L170" s="132">
        <f t="shared" si="63"/>
        <v>0</v>
      </c>
      <c r="M170" s="132">
        <f t="shared" si="72"/>
        <v>0</v>
      </c>
      <c r="N170" s="134">
        <f t="shared" si="64"/>
        <v>0</v>
      </c>
      <c r="O170" s="135">
        <f t="shared" si="65"/>
        <v>0</v>
      </c>
      <c r="P170" s="132" t="str">
        <f t="shared" si="76"/>
        <v/>
      </c>
      <c r="Q170" s="132" t="str">
        <f t="shared" si="67"/>
        <v/>
      </c>
      <c r="R170" s="132" t="str">
        <f>IF(ISNUMBER(SEARCH("AHO",Import2[[#This Row],[Tenure]])),"AHO",Import2[[#This Row],[Tenure]])&amp;Import2[[#This Row],[Expected Physical Completion Year]]&amp;Import2[[#This Row],[Expected Physical Completion Month]]</f>
        <v>Open market housing</v>
      </c>
      <c r="S170" s="135">
        <f t="shared" si="66"/>
        <v>0</v>
      </c>
      <c r="T170" s="132" t="str">
        <f t="shared" si="73"/>
        <v/>
      </c>
      <c r="U170" s="132" t="str">
        <f t="shared" si="73"/>
        <v/>
      </c>
      <c r="V170" s="132" t="str">
        <f>IF(ISNUMBER(SEARCH("AHO",Import2[[#This Row],[Tenure]])),"AHO",Import2[[#This Row],[Tenure]])&amp;Import2[[#This Row],[Expected sale completion year]]&amp;Import2[[#This Row],[Expected sale completion month]]</f>
        <v>Open market housing</v>
      </c>
      <c r="W170" s="178">
        <f t="shared" si="77"/>
        <v>0</v>
      </c>
    </row>
    <row r="171" spans="1:23" ht="15" customHeight="1">
      <c r="A171" s="132">
        <f t="shared" si="58"/>
        <v>0</v>
      </c>
      <c r="B171" s="133">
        <v>168</v>
      </c>
      <c r="C171" s="132" t="str">
        <f t="shared" si="59"/>
        <v/>
      </c>
      <c r="D171" s="132">
        <f t="shared" si="71"/>
        <v>0</v>
      </c>
      <c r="E171" s="132">
        <f t="shared" si="71"/>
        <v>0</v>
      </c>
      <c r="F171" s="132">
        <f t="shared" si="60"/>
        <v>0</v>
      </c>
      <c r="G171" s="132" t="str">
        <f t="shared" si="71"/>
        <v>Open market housing</v>
      </c>
      <c r="H171" s="132">
        <f t="shared" si="61"/>
        <v>896440000</v>
      </c>
      <c r="I171" s="132" t="str">
        <f t="shared" si="74"/>
        <v>New build</v>
      </c>
      <c r="J171" s="132">
        <f t="shared" si="62"/>
        <v>391930000</v>
      </c>
      <c r="K171" s="132">
        <f t="shared" si="75"/>
        <v>0</v>
      </c>
      <c r="L171" s="132">
        <f t="shared" si="63"/>
        <v>0</v>
      </c>
      <c r="M171" s="132">
        <f t="shared" si="72"/>
        <v>0</v>
      </c>
      <c r="N171" s="134">
        <f t="shared" si="64"/>
        <v>0</v>
      </c>
      <c r="O171" s="135">
        <f t="shared" si="65"/>
        <v>0</v>
      </c>
      <c r="P171" s="132" t="str">
        <f t="shared" si="76"/>
        <v/>
      </c>
      <c r="Q171" s="132" t="str">
        <f t="shared" si="67"/>
        <v/>
      </c>
      <c r="R171" s="132" t="str">
        <f>IF(ISNUMBER(SEARCH("AHO",Import2[[#This Row],[Tenure]])),"AHO",Import2[[#This Row],[Tenure]])&amp;Import2[[#This Row],[Expected Physical Completion Year]]&amp;Import2[[#This Row],[Expected Physical Completion Month]]</f>
        <v>Open market housing</v>
      </c>
      <c r="S171" s="135">
        <f t="shared" si="66"/>
        <v>0</v>
      </c>
      <c r="T171" s="132" t="str">
        <f t="shared" si="73"/>
        <v/>
      </c>
      <c r="U171" s="132" t="str">
        <f t="shared" si="73"/>
        <v/>
      </c>
      <c r="V171" s="132" t="str">
        <f>IF(ISNUMBER(SEARCH("AHO",Import2[[#This Row],[Tenure]])),"AHO",Import2[[#This Row],[Tenure]])&amp;Import2[[#This Row],[Expected sale completion year]]&amp;Import2[[#This Row],[Expected sale completion month]]</f>
        <v>Open market housing</v>
      </c>
      <c r="W171" s="178">
        <f t="shared" si="77"/>
        <v>0</v>
      </c>
    </row>
    <row r="172" spans="1:23" ht="15" customHeight="1">
      <c r="A172" s="132">
        <f t="shared" si="58"/>
        <v>0</v>
      </c>
      <c r="B172" s="133">
        <v>169</v>
      </c>
      <c r="C172" s="132" t="str">
        <f t="shared" si="59"/>
        <v/>
      </c>
      <c r="D172" s="132">
        <f t="shared" si="71"/>
        <v>0</v>
      </c>
      <c r="E172" s="132">
        <f t="shared" si="71"/>
        <v>0</v>
      </c>
      <c r="F172" s="132">
        <f t="shared" si="60"/>
        <v>0</v>
      </c>
      <c r="G172" s="132" t="str">
        <f t="shared" si="71"/>
        <v>Open market housing</v>
      </c>
      <c r="H172" s="132">
        <f t="shared" si="61"/>
        <v>896440000</v>
      </c>
      <c r="I172" s="132" t="str">
        <f t="shared" si="74"/>
        <v>New build</v>
      </c>
      <c r="J172" s="132">
        <f t="shared" si="62"/>
        <v>391930000</v>
      </c>
      <c r="K172" s="132">
        <f t="shared" si="75"/>
        <v>0</v>
      </c>
      <c r="L172" s="132">
        <f t="shared" si="63"/>
        <v>0</v>
      </c>
      <c r="M172" s="132">
        <f t="shared" si="72"/>
        <v>0</v>
      </c>
      <c r="N172" s="134">
        <f t="shared" si="64"/>
        <v>0</v>
      </c>
      <c r="O172" s="135">
        <f t="shared" si="65"/>
        <v>0</v>
      </c>
      <c r="P172" s="132" t="str">
        <f t="shared" si="76"/>
        <v/>
      </c>
      <c r="Q172" s="132" t="str">
        <f t="shared" si="67"/>
        <v/>
      </c>
      <c r="R172" s="132" t="str">
        <f>IF(ISNUMBER(SEARCH("AHO",Import2[[#This Row],[Tenure]])),"AHO",Import2[[#This Row],[Tenure]])&amp;Import2[[#This Row],[Expected Physical Completion Year]]&amp;Import2[[#This Row],[Expected Physical Completion Month]]</f>
        <v>Open market housing</v>
      </c>
      <c r="S172" s="135">
        <f t="shared" si="66"/>
        <v>0</v>
      </c>
      <c r="T172" s="132" t="str">
        <f t="shared" si="73"/>
        <v/>
      </c>
      <c r="U172" s="132" t="str">
        <f t="shared" si="73"/>
        <v/>
      </c>
      <c r="V172" s="132" t="str">
        <f>IF(ISNUMBER(SEARCH("AHO",Import2[[#This Row],[Tenure]])),"AHO",Import2[[#This Row],[Tenure]])&amp;Import2[[#This Row],[Expected sale completion year]]&amp;Import2[[#This Row],[Expected sale completion month]]</f>
        <v>Open market housing</v>
      </c>
      <c r="W172" s="178">
        <f t="shared" si="77"/>
        <v>0</v>
      </c>
    </row>
    <row r="173" spans="1:23" ht="15" customHeight="1">
      <c r="A173" s="132">
        <f t="shared" si="58"/>
        <v>0</v>
      </c>
      <c r="B173" s="133">
        <v>170</v>
      </c>
      <c r="C173" s="132" t="str">
        <f t="shared" si="59"/>
        <v/>
      </c>
      <c r="D173" s="132">
        <f t="shared" si="71"/>
        <v>0</v>
      </c>
      <c r="E173" s="132">
        <f t="shared" si="71"/>
        <v>0</v>
      </c>
      <c r="F173" s="132">
        <f t="shared" si="60"/>
        <v>0</v>
      </c>
      <c r="G173" s="132" t="str">
        <f t="shared" si="71"/>
        <v>Open market housing</v>
      </c>
      <c r="H173" s="132">
        <f t="shared" si="61"/>
        <v>896440000</v>
      </c>
      <c r="I173" s="132" t="str">
        <f t="shared" si="74"/>
        <v>New build</v>
      </c>
      <c r="J173" s="132">
        <f t="shared" si="62"/>
        <v>391930000</v>
      </c>
      <c r="K173" s="132">
        <f t="shared" si="75"/>
        <v>0</v>
      </c>
      <c r="L173" s="132">
        <f t="shared" si="63"/>
        <v>0</v>
      </c>
      <c r="M173" s="132">
        <f t="shared" si="72"/>
        <v>0</v>
      </c>
      <c r="N173" s="134">
        <f t="shared" si="64"/>
        <v>0</v>
      </c>
      <c r="O173" s="135">
        <f t="shared" si="65"/>
        <v>0</v>
      </c>
      <c r="P173" s="132" t="str">
        <f t="shared" si="76"/>
        <v/>
      </c>
      <c r="Q173" s="132" t="str">
        <f t="shared" si="67"/>
        <v/>
      </c>
      <c r="R173" s="132" t="str">
        <f>IF(ISNUMBER(SEARCH("AHO",Import2[[#This Row],[Tenure]])),"AHO",Import2[[#This Row],[Tenure]])&amp;Import2[[#This Row],[Expected Physical Completion Year]]&amp;Import2[[#This Row],[Expected Physical Completion Month]]</f>
        <v>Open market housing</v>
      </c>
      <c r="S173" s="135">
        <f t="shared" si="66"/>
        <v>0</v>
      </c>
      <c r="T173" s="132" t="str">
        <f t="shared" si="73"/>
        <v/>
      </c>
      <c r="U173" s="132" t="str">
        <f t="shared" si="73"/>
        <v/>
      </c>
      <c r="V173" s="132" t="str">
        <f>IF(ISNUMBER(SEARCH("AHO",Import2[[#This Row],[Tenure]])),"AHO",Import2[[#This Row],[Tenure]])&amp;Import2[[#This Row],[Expected sale completion year]]&amp;Import2[[#This Row],[Expected sale completion month]]</f>
        <v>Open market housing</v>
      </c>
      <c r="W173" s="178">
        <f t="shared" si="77"/>
        <v>0</v>
      </c>
    </row>
    <row r="174" spans="1:23" ht="15" customHeight="1">
      <c r="A174" s="132">
        <f t="shared" si="58"/>
        <v>0</v>
      </c>
      <c r="B174" s="133">
        <v>171</v>
      </c>
      <c r="C174" s="132" t="str">
        <f t="shared" si="59"/>
        <v/>
      </c>
      <c r="D174" s="132">
        <f t="shared" si="71"/>
        <v>0</v>
      </c>
      <c r="E174" s="132">
        <f t="shared" si="71"/>
        <v>0</v>
      </c>
      <c r="F174" s="132">
        <f t="shared" si="60"/>
        <v>0</v>
      </c>
      <c r="G174" s="132" t="str">
        <f t="shared" si="71"/>
        <v>Open market housing</v>
      </c>
      <c r="H174" s="132">
        <f t="shared" si="61"/>
        <v>896440000</v>
      </c>
      <c r="I174" s="132" t="str">
        <f t="shared" si="74"/>
        <v>New build</v>
      </c>
      <c r="J174" s="132">
        <f t="shared" si="62"/>
        <v>391930000</v>
      </c>
      <c r="K174" s="132">
        <f t="shared" si="75"/>
        <v>0</v>
      </c>
      <c r="L174" s="132">
        <f t="shared" si="63"/>
        <v>0</v>
      </c>
      <c r="M174" s="132">
        <f t="shared" si="72"/>
        <v>0</v>
      </c>
      <c r="N174" s="134">
        <f t="shared" si="64"/>
        <v>0</v>
      </c>
      <c r="O174" s="135">
        <f t="shared" si="65"/>
        <v>0</v>
      </c>
      <c r="P174" s="132" t="str">
        <f t="shared" si="76"/>
        <v/>
      </c>
      <c r="Q174" s="132" t="str">
        <f t="shared" si="67"/>
        <v/>
      </c>
      <c r="R174" s="132" t="str">
        <f>IF(ISNUMBER(SEARCH("AHO",Import2[[#This Row],[Tenure]])),"AHO",Import2[[#This Row],[Tenure]])&amp;Import2[[#This Row],[Expected Physical Completion Year]]&amp;Import2[[#This Row],[Expected Physical Completion Month]]</f>
        <v>Open market housing</v>
      </c>
      <c r="S174" s="135">
        <f t="shared" si="66"/>
        <v>0</v>
      </c>
      <c r="T174" s="132" t="str">
        <f t="shared" si="73"/>
        <v/>
      </c>
      <c r="U174" s="132" t="str">
        <f t="shared" si="73"/>
        <v/>
      </c>
      <c r="V174" s="132" t="str">
        <f>IF(ISNUMBER(SEARCH("AHO",Import2[[#This Row],[Tenure]])),"AHO",Import2[[#This Row],[Tenure]])&amp;Import2[[#This Row],[Expected sale completion year]]&amp;Import2[[#This Row],[Expected sale completion month]]</f>
        <v>Open market housing</v>
      </c>
      <c r="W174" s="178">
        <f t="shared" si="77"/>
        <v>0</v>
      </c>
    </row>
    <row r="175" spans="1:23" ht="15" customHeight="1">
      <c r="A175" s="132">
        <f t="shared" si="58"/>
        <v>0</v>
      </c>
      <c r="B175" s="133">
        <v>172</v>
      </c>
      <c r="C175" s="132" t="str">
        <f t="shared" si="59"/>
        <v/>
      </c>
      <c r="D175" s="132">
        <f t="shared" si="71"/>
        <v>0</v>
      </c>
      <c r="E175" s="132">
        <f t="shared" si="71"/>
        <v>0</v>
      </c>
      <c r="F175" s="132">
        <f t="shared" si="60"/>
        <v>0</v>
      </c>
      <c r="G175" s="132" t="str">
        <f t="shared" si="71"/>
        <v>Open market housing</v>
      </c>
      <c r="H175" s="132">
        <f t="shared" si="61"/>
        <v>896440000</v>
      </c>
      <c r="I175" s="132" t="str">
        <f t="shared" si="74"/>
        <v>New build</v>
      </c>
      <c r="J175" s="132">
        <f t="shared" si="62"/>
        <v>391930000</v>
      </c>
      <c r="K175" s="132">
        <f t="shared" si="75"/>
        <v>0</v>
      </c>
      <c r="L175" s="132">
        <f t="shared" si="63"/>
        <v>0</v>
      </c>
      <c r="M175" s="132">
        <f t="shared" si="72"/>
        <v>0</v>
      </c>
      <c r="N175" s="134">
        <f t="shared" si="64"/>
        <v>0</v>
      </c>
      <c r="O175" s="135">
        <f t="shared" si="65"/>
        <v>0</v>
      </c>
      <c r="P175" s="132" t="str">
        <f t="shared" si="76"/>
        <v/>
      </c>
      <c r="Q175" s="132" t="str">
        <f t="shared" si="67"/>
        <v/>
      </c>
      <c r="R175" s="132" t="str">
        <f>IF(ISNUMBER(SEARCH("AHO",Import2[[#This Row],[Tenure]])),"AHO",Import2[[#This Row],[Tenure]])&amp;Import2[[#This Row],[Expected Physical Completion Year]]&amp;Import2[[#This Row],[Expected Physical Completion Month]]</f>
        <v>Open market housing</v>
      </c>
      <c r="S175" s="135">
        <f t="shared" si="66"/>
        <v>0</v>
      </c>
      <c r="T175" s="132" t="str">
        <f t="shared" si="73"/>
        <v/>
      </c>
      <c r="U175" s="132" t="str">
        <f t="shared" si="73"/>
        <v/>
      </c>
      <c r="V175" s="132" t="str">
        <f>IF(ISNUMBER(SEARCH("AHO",Import2[[#This Row],[Tenure]])),"AHO",Import2[[#This Row],[Tenure]])&amp;Import2[[#This Row],[Expected sale completion year]]&amp;Import2[[#This Row],[Expected sale completion month]]</f>
        <v>Open market housing</v>
      </c>
      <c r="W175" s="178">
        <f t="shared" si="77"/>
        <v>0</v>
      </c>
    </row>
    <row r="176" spans="1:23" ht="15" customHeight="1">
      <c r="A176" s="132">
        <f t="shared" si="58"/>
        <v>0</v>
      </c>
      <c r="B176" s="133">
        <v>173</v>
      </c>
      <c r="C176" s="132" t="str">
        <f t="shared" si="59"/>
        <v/>
      </c>
      <c r="D176" s="132">
        <f t="shared" si="71"/>
        <v>0</v>
      </c>
      <c r="E176" s="132">
        <f t="shared" si="71"/>
        <v>0</v>
      </c>
      <c r="F176" s="132">
        <f t="shared" si="60"/>
        <v>0</v>
      </c>
      <c r="G176" s="132" t="str">
        <f t="shared" si="71"/>
        <v>Open market housing</v>
      </c>
      <c r="H176" s="132">
        <f t="shared" si="61"/>
        <v>896440000</v>
      </c>
      <c r="I176" s="132" t="str">
        <f t="shared" si="74"/>
        <v>New build</v>
      </c>
      <c r="J176" s="132">
        <f t="shared" si="62"/>
        <v>391930000</v>
      </c>
      <c r="K176" s="132">
        <f t="shared" si="75"/>
        <v>0</v>
      </c>
      <c r="L176" s="132">
        <f t="shared" si="63"/>
        <v>0</v>
      </c>
      <c r="M176" s="132">
        <f t="shared" si="72"/>
        <v>0</v>
      </c>
      <c r="N176" s="134">
        <f t="shared" si="64"/>
        <v>0</v>
      </c>
      <c r="O176" s="135">
        <f t="shared" si="65"/>
        <v>0</v>
      </c>
      <c r="P176" s="132" t="str">
        <f t="shared" si="76"/>
        <v/>
      </c>
      <c r="Q176" s="132" t="str">
        <f t="shared" si="67"/>
        <v/>
      </c>
      <c r="R176" s="132" t="str">
        <f>IF(ISNUMBER(SEARCH("AHO",Import2[[#This Row],[Tenure]])),"AHO",Import2[[#This Row],[Tenure]])&amp;Import2[[#This Row],[Expected Physical Completion Year]]&amp;Import2[[#This Row],[Expected Physical Completion Month]]</f>
        <v>Open market housing</v>
      </c>
      <c r="S176" s="135">
        <f t="shared" si="66"/>
        <v>0</v>
      </c>
      <c r="T176" s="132" t="str">
        <f t="shared" si="73"/>
        <v/>
      </c>
      <c r="U176" s="132" t="str">
        <f t="shared" si="73"/>
        <v/>
      </c>
      <c r="V176" s="132" t="str">
        <f>IF(ISNUMBER(SEARCH("AHO",Import2[[#This Row],[Tenure]])),"AHO",Import2[[#This Row],[Tenure]])&amp;Import2[[#This Row],[Expected sale completion year]]&amp;Import2[[#This Row],[Expected sale completion month]]</f>
        <v>Open market housing</v>
      </c>
      <c r="W176" s="178">
        <f t="shared" si="77"/>
        <v>0</v>
      </c>
    </row>
    <row r="177" spans="1:23" ht="15" customHeight="1">
      <c r="A177" s="132">
        <f t="shared" si="58"/>
        <v>0</v>
      </c>
      <c r="B177" s="133">
        <v>174</v>
      </c>
      <c r="C177" s="132" t="str">
        <f t="shared" si="59"/>
        <v/>
      </c>
      <c r="D177" s="132">
        <f t="shared" si="71"/>
        <v>0</v>
      </c>
      <c r="E177" s="132">
        <f t="shared" si="71"/>
        <v>0</v>
      </c>
      <c r="F177" s="132">
        <f t="shared" si="60"/>
        <v>0</v>
      </c>
      <c r="G177" s="132" t="str">
        <f t="shared" si="71"/>
        <v>Open market housing</v>
      </c>
      <c r="H177" s="132">
        <f t="shared" si="61"/>
        <v>896440000</v>
      </c>
      <c r="I177" s="132" t="str">
        <f t="shared" si="74"/>
        <v>New build</v>
      </c>
      <c r="J177" s="132">
        <f t="shared" si="62"/>
        <v>391930000</v>
      </c>
      <c r="K177" s="132">
        <f t="shared" si="75"/>
        <v>0</v>
      </c>
      <c r="L177" s="132">
        <f t="shared" si="63"/>
        <v>0</v>
      </c>
      <c r="M177" s="132">
        <f t="shared" si="72"/>
        <v>0</v>
      </c>
      <c r="N177" s="134">
        <f t="shared" si="64"/>
        <v>0</v>
      </c>
      <c r="O177" s="135">
        <f t="shared" si="65"/>
        <v>0</v>
      </c>
      <c r="P177" s="132" t="str">
        <f t="shared" si="76"/>
        <v/>
      </c>
      <c r="Q177" s="132" t="str">
        <f t="shared" si="67"/>
        <v/>
      </c>
      <c r="R177" s="132" t="str">
        <f>IF(ISNUMBER(SEARCH("AHO",Import2[[#This Row],[Tenure]])),"AHO",Import2[[#This Row],[Tenure]])&amp;Import2[[#This Row],[Expected Physical Completion Year]]&amp;Import2[[#This Row],[Expected Physical Completion Month]]</f>
        <v>Open market housing</v>
      </c>
      <c r="S177" s="135">
        <f t="shared" si="66"/>
        <v>0</v>
      </c>
      <c r="T177" s="132" t="str">
        <f t="shared" si="73"/>
        <v/>
      </c>
      <c r="U177" s="132" t="str">
        <f t="shared" si="73"/>
        <v/>
      </c>
      <c r="V177" s="132" t="str">
        <f>IF(ISNUMBER(SEARCH("AHO",Import2[[#This Row],[Tenure]])),"AHO",Import2[[#This Row],[Tenure]])&amp;Import2[[#This Row],[Expected sale completion year]]&amp;Import2[[#This Row],[Expected sale completion month]]</f>
        <v>Open market housing</v>
      </c>
      <c r="W177" s="178">
        <f t="shared" si="77"/>
        <v>0</v>
      </c>
    </row>
    <row r="178" spans="1:23" ht="15" customHeight="1">
      <c r="A178" s="132">
        <f t="shared" si="58"/>
        <v>0</v>
      </c>
      <c r="B178" s="133">
        <v>175</v>
      </c>
      <c r="C178" s="132" t="str">
        <f t="shared" si="59"/>
        <v/>
      </c>
      <c r="D178" s="132">
        <f t="shared" si="71"/>
        <v>0</v>
      </c>
      <c r="E178" s="132">
        <f t="shared" si="71"/>
        <v>0</v>
      </c>
      <c r="F178" s="132">
        <f t="shared" si="60"/>
        <v>0</v>
      </c>
      <c r="G178" s="132" t="str">
        <f t="shared" si="71"/>
        <v>Open market housing</v>
      </c>
      <c r="H178" s="132">
        <f t="shared" si="61"/>
        <v>896440000</v>
      </c>
      <c r="I178" s="132" t="str">
        <f t="shared" si="74"/>
        <v>New build</v>
      </c>
      <c r="J178" s="132">
        <f t="shared" si="62"/>
        <v>391930000</v>
      </c>
      <c r="K178" s="132">
        <f t="shared" si="75"/>
        <v>0</v>
      </c>
      <c r="L178" s="132">
        <f t="shared" si="63"/>
        <v>0</v>
      </c>
      <c r="M178" s="132">
        <f t="shared" si="72"/>
        <v>0</v>
      </c>
      <c r="N178" s="134">
        <f t="shared" si="64"/>
        <v>0</v>
      </c>
      <c r="O178" s="135">
        <f t="shared" si="65"/>
        <v>0</v>
      </c>
      <c r="P178" s="132" t="str">
        <f t="shared" si="76"/>
        <v/>
      </c>
      <c r="Q178" s="132" t="str">
        <f t="shared" si="67"/>
        <v/>
      </c>
      <c r="R178" s="132" t="str">
        <f>IF(ISNUMBER(SEARCH("AHO",Import2[[#This Row],[Tenure]])),"AHO",Import2[[#This Row],[Tenure]])&amp;Import2[[#This Row],[Expected Physical Completion Year]]&amp;Import2[[#This Row],[Expected Physical Completion Month]]</f>
        <v>Open market housing</v>
      </c>
      <c r="S178" s="135">
        <f t="shared" si="66"/>
        <v>0</v>
      </c>
      <c r="T178" s="132" t="str">
        <f t="shared" si="73"/>
        <v/>
      </c>
      <c r="U178" s="132" t="str">
        <f t="shared" si="73"/>
        <v/>
      </c>
      <c r="V178" s="132" t="str">
        <f>IF(ISNUMBER(SEARCH("AHO",Import2[[#This Row],[Tenure]])),"AHO",Import2[[#This Row],[Tenure]])&amp;Import2[[#This Row],[Expected sale completion year]]&amp;Import2[[#This Row],[Expected sale completion month]]</f>
        <v>Open market housing</v>
      </c>
      <c r="W178" s="178">
        <f t="shared" si="77"/>
        <v>0</v>
      </c>
    </row>
    <row r="179" spans="1:23" ht="15" customHeight="1">
      <c r="A179" s="132">
        <f t="shared" si="58"/>
        <v>0</v>
      </c>
      <c r="B179" s="133">
        <v>176</v>
      </c>
      <c r="C179" s="132" t="str">
        <f t="shared" si="59"/>
        <v/>
      </c>
      <c r="D179" s="132">
        <f t="shared" si="71"/>
        <v>0</v>
      </c>
      <c r="E179" s="132">
        <f t="shared" si="71"/>
        <v>0</v>
      </c>
      <c r="F179" s="132">
        <f t="shared" si="60"/>
        <v>0</v>
      </c>
      <c r="G179" s="132" t="str">
        <f t="shared" si="71"/>
        <v>Open market housing</v>
      </c>
      <c r="H179" s="132">
        <f t="shared" si="61"/>
        <v>896440000</v>
      </c>
      <c r="I179" s="132" t="str">
        <f t="shared" si="74"/>
        <v>New build</v>
      </c>
      <c r="J179" s="132">
        <f t="shared" si="62"/>
        <v>391930000</v>
      </c>
      <c r="K179" s="132">
        <f t="shared" si="75"/>
        <v>0</v>
      </c>
      <c r="L179" s="132">
        <f t="shared" si="63"/>
        <v>0</v>
      </c>
      <c r="M179" s="132">
        <f t="shared" si="72"/>
        <v>0</v>
      </c>
      <c r="N179" s="134">
        <f t="shared" si="64"/>
        <v>0</v>
      </c>
      <c r="O179" s="135">
        <f t="shared" si="65"/>
        <v>0</v>
      </c>
      <c r="P179" s="132" t="str">
        <f t="shared" si="76"/>
        <v/>
      </c>
      <c r="Q179" s="132" t="str">
        <f t="shared" si="67"/>
        <v/>
      </c>
      <c r="R179" s="132" t="str">
        <f>IF(ISNUMBER(SEARCH("AHO",Import2[[#This Row],[Tenure]])),"AHO",Import2[[#This Row],[Tenure]])&amp;Import2[[#This Row],[Expected Physical Completion Year]]&amp;Import2[[#This Row],[Expected Physical Completion Month]]</f>
        <v>Open market housing</v>
      </c>
      <c r="S179" s="135">
        <f t="shared" si="66"/>
        <v>0</v>
      </c>
      <c r="T179" s="132" t="str">
        <f t="shared" si="73"/>
        <v/>
      </c>
      <c r="U179" s="132" t="str">
        <f t="shared" si="73"/>
        <v/>
      </c>
      <c r="V179" s="132" t="str">
        <f>IF(ISNUMBER(SEARCH("AHO",Import2[[#This Row],[Tenure]])),"AHO",Import2[[#This Row],[Tenure]])&amp;Import2[[#This Row],[Expected sale completion year]]&amp;Import2[[#This Row],[Expected sale completion month]]</f>
        <v>Open market housing</v>
      </c>
      <c r="W179" s="178">
        <f t="shared" si="77"/>
        <v>0</v>
      </c>
    </row>
    <row r="180" spans="1:23" ht="15" customHeight="1">
      <c r="A180" s="132">
        <f t="shared" si="58"/>
        <v>0</v>
      </c>
      <c r="B180" s="133">
        <v>177</v>
      </c>
      <c r="C180" s="132" t="str">
        <f t="shared" si="59"/>
        <v/>
      </c>
      <c r="D180" s="132">
        <f t="shared" si="71"/>
        <v>0</v>
      </c>
      <c r="E180" s="132">
        <f t="shared" si="71"/>
        <v>0</v>
      </c>
      <c r="F180" s="132">
        <f t="shared" si="60"/>
        <v>0</v>
      </c>
      <c r="G180" s="132" t="str">
        <f t="shared" si="71"/>
        <v>Open market housing</v>
      </c>
      <c r="H180" s="132">
        <f t="shared" si="61"/>
        <v>896440000</v>
      </c>
      <c r="I180" s="132" t="str">
        <f t="shared" si="74"/>
        <v>New build</v>
      </c>
      <c r="J180" s="132">
        <f t="shared" si="62"/>
        <v>391930000</v>
      </c>
      <c r="K180" s="132">
        <f t="shared" si="75"/>
        <v>0</v>
      </c>
      <c r="L180" s="132">
        <f t="shared" si="63"/>
        <v>0</v>
      </c>
      <c r="M180" s="132">
        <f t="shared" si="72"/>
        <v>0</v>
      </c>
      <c r="N180" s="134">
        <f t="shared" si="64"/>
        <v>0</v>
      </c>
      <c r="O180" s="135">
        <f t="shared" si="65"/>
        <v>0</v>
      </c>
      <c r="P180" s="132" t="str">
        <f t="shared" si="76"/>
        <v/>
      </c>
      <c r="Q180" s="132" t="str">
        <f t="shared" si="67"/>
        <v/>
      </c>
      <c r="R180" s="132" t="str">
        <f>IF(ISNUMBER(SEARCH("AHO",Import2[[#This Row],[Tenure]])),"AHO",Import2[[#This Row],[Tenure]])&amp;Import2[[#This Row],[Expected Physical Completion Year]]&amp;Import2[[#This Row],[Expected Physical Completion Month]]</f>
        <v>Open market housing</v>
      </c>
      <c r="S180" s="135">
        <f t="shared" si="66"/>
        <v>0</v>
      </c>
      <c r="T180" s="132" t="str">
        <f t="shared" si="73"/>
        <v/>
      </c>
      <c r="U180" s="132" t="str">
        <f t="shared" si="73"/>
        <v/>
      </c>
      <c r="V180" s="132" t="str">
        <f>IF(ISNUMBER(SEARCH("AHO",Import2[[#This Row],[Tenure]])),"AHO",Import2[[#This Row],[Tenure]])&amp;Import2[[#This Row],[Expected sale completion year]]&amp;Import2[[#This Row],[Expected sale completion month]]</f>
        <v>Open market housing</v>
      </c>
      <c r="W180" s="178">
        <f t="shared" si="77"/>
        <v>0</v>
      </c>
    </row>
    <row r="181" spans="1:23" ht="15" customHeight="1">
      <c r="A181" s="132">
        <f t="shared" si="58"/>
        <v>0</v>
      </c>
      <c r="B181" s="133">
        <v>178</v>
      </c>
      <c r="C181" s="132" t="str">
        <f t="shared" si="59"/>
        <v/>
      </c>
      <c r="D181" s="132">
        <f t="shared" si="71"/>
        <v>0</v>
      </c>
      <c r="E181" s="132">
        <f t="shared" si="71"/>
        <v>0</v>
      </c>
      <c r="F181" s="132">
        <f t="shared" si="60"/>
        <v>0</v>
      </c>
      <c r="G181" s="132" t="str">
        <f t="shared" si="71"/>
        <v>Open market housing</v>
      </c>
      <c r="H181" s="132">
        <f t="shared" si="61"/>
        <v>896440000</v>
      </c>
      <c r="I181" s="132" t="str">
        <f t="shared" si="74"/>
        <v>New build</v>
      </c>
      <c r="J181" s="132">
        <f t="shared" si="62"/>
        <v>391930000</v>
      </c>
      <c r="K181" s="132">
        <f t="shared" si="75"/>
        <v>0</v>
      </c>
      <c r="L181" s="132">
        <f t="shared" si="63"/>
        <v>0</v>
      </c>
      <c r="M181" s="132">
        <f t="shared" si="72"/>
        <v>0</v>
      </c>
      <c r="N181" s="134">
        <f t="shared" si="64"/>
        <v>0</v>
      </c>
      <c r="O181" s="135">
        <f t="shared" si="65"/>
        <v>0</v>
      </c>
      <c r="P181" s="132" t="str">
        <f t="shared" si="76"/>
        <v/>
      </c>
      <c r="Q181" s="132" t="str">
        <f t="shared" si="67"/>
        <v/>
      </c>
      <c r="R181" s="132" t="str">
        <f>IF(ISNUMBER(SEARCH("AHO",Import2[[#This Row],[Tenure]])),"AHO",Import2[[#This Row],[Tenure]])&amp;Import2[[#This Row],[Expected Physical Completion Year]]&amp;Import2[[#This Row],[Expected Physical Completion Month]]</f>
        <v>Open market housing</v>
      </c>
      <c r="S181" s="135">
        <f t="shared" si="66"/>
        <v>0</v>
      </c>
      <c r="T181" s="132" t="str">
        <f t="shared" si="73"/>
        <v/>
      </c>
      <c r="U181" s="132" t="str">
        <f t="shared" si="73"/>
        <v/>
      </c>
      <c r="V181" s="132" t="str">
        <f>IF(ISNUMBER(SEARCH("AHO",Import2[[#This Row],[Tenure]])),"AHO",Import2[[#This Row],[Tenure]])&amp;Import2[[#This Row],[Expected sale completion year]]&amp;Import2[[#This Row],[Expected sale completion month]]</f>
        <v>Open market housing</v>
      </c>
      <c r="W181" s="178">
        <f t="shared" si="77"/>
        <v>0</v>
      </c>
    </row>
    <row r="182" spans="1:23" ht="15" customHeight="1">
      <c r="A182" s="132">
        <f t="shared" si="58"/>
        <v>0</v>
      </c>
      <c r="B182" s="133">
        <v>179</v>
      </c>
      <c r="C182" s="132" t="str">
        <f t="shared" si="59"/>
        <v/>
      </c>
      <c r="D182" s="132">
        <f t="shared" si="71"/>
        <v>0</v>
      </c>
      <c r="E182" s="132">
        <f t="shared" si="71"/>
        <v>0</v>
      </c>
      <c r="F182" s="132">
        <f t="shared" si="60"/>
        <v>0</v>
      </c>
      <c r="G182" s="132" t="str">
        <f t="shared" si="71"/>
        <v>Open market housing</v>
      </c>
      <c r="H182" s="132">
        <f t="shared" si="61"/>
        <v>896440000</v>
      </c>
      <c r="I182" s="132" t="str">
        <f t="shared" si="74"/>
        <v>New build</v>
      </c>
      <c r="J182" s="132">
        <f t="shared" si="62"/>
        <v>391930000</v>
      </c>
      <c r="K182" s="132">
        <f t="shared" si="75"/>
        <v>0</v>
      </c>
      <c r="L182" s="132">
        <f t="shared" si="63"/>
        <v>0</v>
      </c>
      <c r="M182" s="132">
        <f t="shared" si="72"/>
        <v>0</v>
      </c>
      <c r="N182" s="134">
        <f t="shared" si="64"/>
        <v>0</v>
      </c>
      <c r="O182" s="135">
        <f t="shared" si="65"/>
        <v>0</v>
      </c>
      <c r="P182" s="132" t="str">
        <f t="shared" si="76"/>
        <v/>
      </c>
      <c r="Q182" s="132" t="str">
        <f t="shared" si="67"/>
        <v/>
      </c>
      <c r="R182" s="132" t="str">
        <f>IF(ISNUMBER(SEARCH("AHO",Import2[[#This Row],[Tenure]])),"AHO",Import2[[#This Row],[Tenure]])&amp;Import2[[#This Row],[Expected Physical Completion Year]]&amp;Import2[[#This Row],[Expected Physical Completion Month]]</f>
        <v>Open market housing</v>
      </c>
      <c r="S182" s="135">
        <f t="shared" si="66"/>
        <v>0</v>
      </c>
      <c r="T182" s="132" t="str">
        <f t="shared" si="73"/>
        <v/>
      </c>
      <c r="U182" s="132" t="str">
        <f t="shared" si="73"/>
        <v/>
      </c>
      <c r="V182" s="132" t="str">
        <f>IF(ISNUMBER(SEARCH("AHO",Import2[[#This Row],[Tenure]])),"AHO",Import2[[#This Row],[Tenure]])&amp;Import2[[#This Row],[Expected sale completion year]]&amp;Import2[[#This Row],[Expected sale completion month]]</f>
        <v>Open market housing</v>
      </c>
      <c r="W182" s="178">
        <f t="shared" si="77"/>
        <v>0</v>
      </c>
    </row>
    <row r="183" spans="1:23" ht="15" customHeight="1">
      <c r="A183" s="132">
        <f t="shared" si="58"/>
        <v>0</v>
      </c>
      <c r="B183" s="133">
        <v>180</v>
      </c>
      <c r="C183" s="132" t="str">
        <f t="shared" si="59"/>
        <v/>
      </c>
      <c r="D183" s="132">
        <f t="shared" si="71"/>
        <v>0</v>
      </c>
      <c r="E183" s="132">
        <f t="shared" si="71"/>
        <v>0</v>
      </c>
      <c r="F183" s="132">
        <f t="shared" si="60"/>
        <v>0</v>
      </c>
      <c r="G183" s="132" t="str">
        <f t="shared" si="71"/>
        <v>Open market housing</v>
      </c>
      <c r="H183" s="132">
        <f t="shared" si="61"/>
        <v>896440000</v>
      </c>
      <c r="I183" s="132" t="str">
        <f t="shared" si="74"/>
        <v>New build</v>
      </c>
      <c r="J183" s="132">
        <f t="shared" si="62"/>
        <v>391930000</v>
      </c>
      <c r="K183" s="132">
        <f t="shared" si="75"/>
        <v>0</v>
      </c>
      <c r="L183" s="132">
        <f t="shared" si="63"/>
        <v>0</v>
      </c>
      <c r="M183" s="132">
        <f t="shared" si="72"/>
        <v>0</v>
      </c>
      <c r="N183" s="134">
        <f t="shared" si="64"/>
        <v>0</v>
      </c>
      <c r="O183" s="135">
        <f t="shared" si="65"/>
        <v>0</v>
      </c>
      <c r="P183" s="132" t="str">
        <f t="shared" si="76"/>
        <v/>
      </c>
      <c r="Q183" s="132" t="str">
        <f t="shared" si="67"/>
        <v/>
      </c>
      <c r="R183" s="132" t="str">
        <f>IF(ISNUMBER(SEARCH("AHO",Import2[[#This Row],[Tenure]])),"AHO",Import2[[#This Row],[Tenure]])&amp;Import2[[#This Row],[Expected Physical Completion Year]]&amp;Import2[[#This Row],[Expected Physical Completion Month]]</f>
        <v>Open market housing</v>
      </c>
      <c r="S183" s="135">
        <f t="shared" si="66"/>
        <v>0</v>
      </c>
      <c r="T183" s="132" t="str">
        <f t="shared" si="73"/>
        <v/>
      </c>
      <c r="U183" s="132" t="str">
        <f t="shared" si="73"/>
        <v/>
      </c>
      <c r="V183" s="132" t="str">
        <f>IF(ISNUMBER(SEARCH("AHO",Import2[[#This Row],[Tenure]])),"AHO",Import2[[#This Row],[Tenure]])&amp;Import2[[#This Row],[Expected sale completion year]]&amp;Import2[[#This Row],[Expected sale completion month]]</f>
        <v>Open market housing</v>
      </c>
      <c r="W183" s="178">
        <f t="shared" si="77"/>
        <v>0</v>
      </c>
    </row>
    <row r="184" spans="1:23" ht="15" customHeight="1">
      <c r="A184" s="132">
        <f t="shared" si="58"/>
        <v>0</v>
      </c>
      <c r="B184" s="133">
        <v>181</v>
      </c>
      <c r="C184" s="132" t="str">
        <f t="shared" si="59"/>
        <v/>
      </c>
      <c r="D184" s="132">
        <f t="shared" ref="D184:G203" si="78">INDEX(PlotData,MATCH($B184,PlotNumber,0),MATCH(D$3,PlotTitles,0))</f>
        <v>0</v>
      </c>
      <c r="E184" s="132">
        <f t="shared" si="78"/>
        <v>0</v>
      </c>
      <c r="F184" s="132">
        <f t="shared" si="60"/>
        <v>0</v>
      </c>
      <c r="G184" s="132" t="str">
        <f t="shared" si="78"/>
        <v>Open market housing</v>
      </c>
      <c r="H184" s="132">
        <f t="shared" si="61"/>
        <v>896440000</v>
      </c>
      <c r="I184" s="132" t="str">
        <f t="shared" si="74"/>
        <v>New build</v>
      </c>
      <c r="J184" s="132">
        <f t="shared" si="62"/>
        <v>391930000</v>
      </c>
      <c r="K184" s="132">
        <f t="shared" si="75"/>
        <v>0</v>
      </c>
      <c r="L184" s="132">
        <f t="shared" si="63"/>
        <v>0</v>
      </c>
      <c r="M184" s="132">
        <f t="shared" ref="M184:M203" si="79">INDEX(PlotData,MATCH($B184,PlotNumber,0),MATCH(M$3,PlotTitles,0))</f>
        <v>0</v>
      </c>
      <c r="N184" s="134">
        <f t="shared" si="64"/>
        <v>0</v>
      </c>
      <c r="O184" s="135">
        <f t="shared" si="65"/>
        <v>0</v>
      </c>
      <c r="P184" s="132" t="str">
        <f t="shared" si="76"/>
        <v/>
      </c>
      <c r="Q184" s="132" t="str">
        <f t="shared" si="67"/>
        <v/>
      </c>
      <c r="R184" s="132" t="str">
        <f>IF(ISNUMBER(SEARCH("AHO",Import2[[#This Row],[Tenure]])),"AHO",Import2[[#This Row],[Tenure]])&amp;Import2[[#This Row],[Expected Physical Completion Year]]&amp;Import2[[#This Row],[Expected Physical Completion Month]]</f>
        <v>Open market housing</v>
      </c>
      <c r="S184" s="135">
        <f t="shared" si="66"/>
        <v>0</v>
      </c>
      <c r="T184" s="132" t="str">
        <f t="shared" ref="T184:U203" si="80">IF(INDEX(PlotData,MATCH($B184,PlotNumber,0),MATCH(T$3,PlotTitles,0))=0,"",INDEX(PlotData,MATCH($B184,PlotNumber,0),MATCH(T$3,PlotTitles,0)))</f>
        <v/>
      </c>
      <c r="U184" s="132" t="str">
        <f t="shared" si="80"/>
        <v/>
      </c>
      <c r="V184" s="132" t="str">
        <f>IF(ISNUMBER(SEARCH("AHO",Import2[[#This Row],[Tenure]])),"AHO",Import2[[#This Row],[Tenure]])&amp;Import2[[#This Row],[Expected sale completion year]]&amp;Import2[[#This Row],[Expected sale completion month]]</f>
        <v>Open market housing</v>
      </c>
      <c r="W184" s="178">
        <f t="shared" si="77"/>
        <v>0</v>
      </c>
    </row>
    <row r="185" spans="1:23" ht="15" customHeight="1">
      <c r="A185" s="132">
        <f t="shared" si="58"/>
        <v>0</v>
      </c>
      <c r="B185" s="133">
        <v>182</v>
      </c>
      <c r="C185" s="132" t="str">
        <f t="shared" si="59"/>
        <v/>
      </c>
      <c r="D185" s="132">
        <f t="shared" si="78"/>
        <v>0</v>
      </c>
      <c r="E185" s="132">
        <f t="shared" si="78"/>
        <v>0</v>
      </c>
      <c r="F185" s="132">
        <f t="shared" si="60"/>
        <v>0</v>
      </c>
      <c r="G185" s="132" t="str">
        <f t="shared" si="78"/>
        <v>Open market housing</v>
      </c>
      <c r="H185" s="132">
        <f t="shared" si="61"/>
        <v>896440000</v>
      </c>
      <c r="I185" s="132" t="str">
        <f t="shared" si="74"/>
        <v>New build</v>
      </c>
      <c r="J185" s="132">
        <f t="shared" si="62"/>
        <v>391930000</v>
      </c>
      <c r="K185" s="132">
        <f t="shared" si="75"/>
        <v>0</v>
      </c>
      <c r="L185" s="132">
        <f t="shared" si="63"/>
        <v>0</v>
      </c>
      <c r="M185" s="132">
        <f t="shared" si="79"/>
        <v>0</v>
      </c>
      <c r="N185" s="134">
        <f t="shared" si="64"/>
        <v>0</v>
      </c>
      <c r="O185" s="135">
        <f t="shared" si="65"/>
        <v>0</v>
      </c>
      <c r="P185" s="132" t="str">
        <f t="shared" si="76"/>
        <v/>
      </c>
      <c r="Q185" s="132" t="str">
        <f t="shared" si="67"/>
        <v/>
      </c>
      <c r="R185" s="132" t="str">
        <f>IF(ISNUMBER(SEARCH("AHO",Import2[[#This Row],[Tenure]])),"AHO",Import2[[#This Row],[Tenure]])&amp;Import2[[#This Row],[Expected Physical Completion Year]]&amp;Import2[[#This Row],[Expected Physical Completion Month]]</f>
        <v>Open market housing</v>
      </c>
      <c r="S185" s="135">
        <f t="shared" si="66"/>
        <v>0</v>
      </c>
      <c r="T185" s="132" t="str">
        <f t="shared" si="80"/>
        <v/>
      </c>
      <c r="U185" s="132" t="str">
        <f t="shared" si="80"/>
        <v/>
      </c>
      <c r="V185" s="132" t="str">
        <f>IF(ISNUMBER(SEARCH("AHO",Import2[[#This Row],[Tenure]])),"AHO",Import2[[#This Row],[Tenure]])&amp;Import2[[#This Row],[Expected sale completion year]]&amp;Import2[[#This Row],[Expected sale completion month]]</f>
        <v>Open market housing</v>
      </c>
      <c r="W185" s="178">
        <f t="shared" si="77"/>
        <v>0</v>
      </c>
    </row>
    <row r="186" spans="1:23" ht="15" customHeight="1">
      <c r="A186" s="132">
        <f t="shared" si="58"/>
        <v>0</v>
      </c>
      <c r="B186" s="133">
        <v>183</v>
      </c>
      <c r="C186" s="132" t="str">
        <f t="shared" si="59"/>
        <v/>
      </c>
      <c r="D186" s="132">
        <f t="shared" si="78"/>
        <v>0</v>
      </c>
      <c r="E186" s="132">
        <f t="shared" si="78"/>
        <v>0</v>
      </c>
      <c r="F186" s="132">
        <f t="shared" si="60"/>
        <v>0</v>
      </c>
      <c r="G186" s="132" t="str">
        <f t="shared" si="78"/>
        <v>Open market housing</v>
      </c>
      <c r="H186" s="132">
        <f t="shared" si="61"/>
        <v>896440000</v>
      </c>
      <c r="I186" s="132" t="str">
        <f t="shared" si="74"/>
        <v>New build</v>
      </c>
      <c r="J186" s="132">
        <f t="shared" si="62"/>
        <v>391930000</v>
      </c>
      <c r="K186" s="132">
        <f t="shared" si="75"/>
        <v>0</v>
      </c>
      <c r="L186" s="132">
        <f t="shared" si="63"/>
        <v>0</v>
      </c>
      <c r="M186" s="132">
        <f t="shared" si="79"/>
        <v>0</v>
      </c>
      <c r="N186" s="134">
        <f t="shared" si="64"/>
        <v>0</v>
      </c>
      <c r="O186" s="135">
        <f t="shared" si="65"/>
        <v>0</v>
      </c>
      <c r="P186" s="132" t="str">
        <f t="shared" si="76"/>
        <v/>
      </c>
      <c r="Q186" s="132" t="str">
        <f t="shared" si="67"/>
        <v/>
      </c>
      <c r="R186" s="132" t="str">
        <f>IF(ISNUMBER(SEARCH("AHO",Import2[[#This Row],[Tenure]])),"AHO",Import2[[#This Row],[Tenure]])&amp;Import2[[#This Row],[Expected Physical Completion Year]]&amp;Import2[[#This Row],[Expected Physical Completion Month]]</f>
        <v>Open market housing</v>
      </c>
      <c r="S186" s="135">
        <f t="shared" si="66"/>
        <v>0</v>
      </c>
      <c r="T186" s="132" t="str">
        <f t="shared" si="80"/>
        <v/>
      </c>
      <c r="U186" s="132" t="str">
        <f t="shared" si="80"/>
        <v/>
      </c>
      <c r="V186" s="132" t="str">
        <f>IF(ISNUMBER(SEARCH("AHO",Import2[[#This Row],[Tenure]])),"AHO",Import2[[#This Row],[Tenure]])&amp;Import2[[#This Row],[Expected sale completion year]]&amp;Import2[[#This Row],[Expected sale completion month]]</f>
        <v>Open market housing</v>
      </c>
      <c r="W186" s="178">
        <f t="shared" si="77"/>
        <v>0</v>
      </c>
    </row>
    <row r="187" spans="1:23" ht="15" customHeight="1">
      <c r="A187" s="132">
        <f t="shared" si="58"/>
        <v>0</v>
      </c>
      <c r="B187" s="133">
        <v>184</v>
      </c>
      <c r="C187" s="132" t="str">
        <f t="shared" si="59"/>
        <v/>
      </c>
      <c r="D187" s="132">
        <f t="shared" si="78"/>
        <v>0</v>
      </c>
      <c r="E187" s="132">
        <f t="shared" si="78"/>
        <v>0</v>
      </c>
      <c r="F187" s="132">
        <f t="shared" si="60"/>
        <v>0</v>
      </c>
      <c r="G187" s="132" t="str">
        <f t="shared" si="78"/>
        <v>Open market housing</v>
      </c>
      <c r="H187" s="132">
        <f t="shared" si="61"/>
        <v>896440000</v>
      </c>
      <c r="I187" s="132" t="str">
        <f t="shared" si="74"/>
        <v>New build</v>
      </c>
      <c r="J187" s="132">
        <f t="shared" si="62"/>
        <v>391930000</v>
      </c>
      <c r="K187" s="132">
        <f t="shared" si="75"/>
        <v>0</v>
      </c>
      <c r="L187" s="132">
        <f t="shared" si="63"/>
        <v>0</v>
      </c>
      <c r="M187" s="132">
        <f t="shared" si="79"/>
        <v>0</v>
      </c>
      <c r="N187" s="134">
        <f t="shared" si="64"/>
        <v>0</v>
      </c>
      <c r="O187" s="135">
        <f t="shared" si="65"/>
        <v>0</v>
      </c>
      <c r="P187" s="132" t="str">
        <f t="shared" si="76"/>
        <v/>
      </c>
      <c r="Q187" s="132" t="str">
        <f t="shared" si="67"/>
        <v/>
      </c>
      <c r="R187" s="132" t="str">
        <f>IF(ISNUMBER(SEARCH("AHO",Import2[[#This Row],[Tenure]])),"AHO",Import2[[#This Row],[Tenure]])&amp;Import2[[#This Row],[Expected Physical Completion Year]]&amp;Import2[[#This Row],[Expected Physical Completion Month]]</f>
        <v>Open market housing</v>
      </c>
      <c r="S187" s="135">
        <f t="shared" si="66"/>
        <v>0</v>
      </c>
      <c r="T187" s="132" t="str">
        <f t="shared" si="80"/>
        <v/>
      </c>
      <c r="U187" s="132" t="str">
        <f t="shared" si="80"/>
        <v/>
      </c>
      <c r="V187" s="132" t="str">
        <f>IF(ISNUMBER(SEARCH("AHO",Import2[[#This Row],[Tenure]])),"AHO",Import2[[#This Row],[Tenure]])&amp;Import2[[#This Row],[Expected sale completion year]]&amp;Import2[[#This Row],[Expected sale completion month]]</f>
        <v>Open market housing</v>
      </c>
      <c r="W187" s="178">
        <f t="shared" si="77"/>
        <v>0</v>
      </c>
    </row>
    <row r="188" spans="1:23" ht="15" customHeight="1">
      <c r="A188" s="132">
        <f t="shared" si="58"/>
        <v>0</v>
      </c>
      <c r="B188" s="133">
        <v>185</v>
      </c>
      <c r="C188" s="132" t="str">
        <f t="shared" si="59"/>
        <v/>
      </c>
      <c r="D188" s="132">
        <f t="shared" si="78"/>
        <v>0</v>
      </c>
      <c r="E188" s="132">
        <f t="shared" si="78"/>
        <v>0</v>
      </c>
      <c r="F188" s="132">
        <f t="shared" si="60"/>
        <v>0</v>
      </c>
      <c r="G188" s="132" t="str">
        <f t="shared" si="78"/>
        <v>Open market housing</v>
      </c>
      <c r="H188" s="132">
        <f t="shared" si="61"/>
        <v>896440000</v>
      </c>
      <c r="I188" s="132" t="str">
        <f t="shared" si="74"/>
        <v>New build</v>
      </c>
      <c r="J188" s="132">
        <f t="shared" si="62"/>
        <v>391930000</v>
      </c>
      <c r="K188" s="132">
        <f t="shared" si="75"/>
        <v>0</v>
      </c>
      <c r="L188" s="132">
        <f t="shared" si="63"/>
        <v>0</v>
      </c>
      <c r="M188" s="132">
        <f t="shared" si="79"/>
        <v>0</v>
      </c>
      <c r="N188" s="134">
        <f t="shared" si="64"/>
        <v>0</v>
      </c>
      <c r="O188" s="135">
        <f t="shared" si="65"/>
        <v>0</v>
      </c>
      <c r="P188" s="132" t="str">
        <f t="shared" si="76"/>
        <v/>
      </c>
      <c r="Q188" s="132" t="str">
        <f t="shared" si="67"/>
        <v/>
      </c>
      <c r="R188" s="132" t="str">
        <f>IF(ISNUMBER(SEARCH("AHO",Import2[[#This Row],[Tenure]])),"AHO",Import2[[#This Row],[Tenure]])&amp;Import2[[#This Row],[Expected Physical Completion Year]]&amp;Import2[[#This Row],[Expected Physical Completion Month]]</f>
        <v>Open market housing</v>
      </c>
      <c r="S188" s="135">
        <f t="shared" si="66"/>
        <v>0</v>
      </c>
      <c r="T188" s="132" t="str">
        <f t="shared" si="80"/>
        <v/>
      </c>
      <c r="U188" s="132" t="str">
        <f t="shared" si="80"/>
        <v/>
      </c>
      <c r="V188" s="132" t="str">
        <f>IF(ISNUMBER(SEARCH("AHO",Import2[[#This Row],[Tenure]])),"AHO",Import2[[#This Row],[Tenure]])&amp;Import2[[#This Row],[Expected sale completion year]]&amp;Import2[[#This Row],[Expected sale completion month]]</f>
        <v>Open market housing</v>
      </c>
      <c r="W188" s="178">
        <f t="shared" si="77"/>
        <v>0</v>
      </c>
    </row>
    <row r="189" spans="1:23" ht="15" customHeight="1">
      <c r="A189" s="132">
        <f t="shared" si="58"/>
        <v>0</v>
      </c>
      <c r="B189" s="133">
        <v>186</v>
      </c>
      <c r="C189" s="132" t="str">
        <f t="shared" si="59"/>
        <v/>
      </c>
      <c r="D189" s="132">
        <f t="shared" si="78"/>
        <v>0</v>
      </c>
      <c r="E189" s="132">
        <f t="shared" si="78"/>
        <v>0</v>
      </c>
      <c r="F189" s="132">
        <f t="shared" si="60"/>
        <v>0</v>
      </c>
      <c r="G189" s="132" t="str">
        <f t="shared" si="78"/>
        <v>Open market housing</v>
      </c>
      <c r="H189" s="132">
        <f t="shared" si="61"/>
        <v>896440000</v>
      </c>
      <c r="I189" s="132" t="str">
        <f t="shared" si="74"/>
        <v>New build</v>
      </c>
      <c r="J189" s="132">
        <f t="shared" si="62"/>
        <v>391930000</v>
      </c>
      <c r="K189" s="132">
        <f t="shared" si="75"/>
        <v>0</v>
      </c>
      <c r="L189" s="132">
        <f t="shared" si="63"/>
        <v>0</v>
      </c>
      <c r="M189" s="132">
        <f t="shared" si="79"/>
        <v>0</v>
      </c>
      <c r="N189" s="134">
        <f t="shared" si="64"/>
        <v>0</v>
      </c>
      <c r="O189" s="135">
        <f t="shared" si="65"/>
        <v>0</v>
      </c>
      <c r="P189" s="132" t="str">
        <f t="shared" si="76"/>
        <v/>
      </c>
      <c r="Q189" s="132" t="str">
        <f t="shared" si="67"/>
        <v/>
      </c>
      <c r="R189" s="132" t="str">
        <f>IF(ISNUMBER(SEARCH("AHO",Import2[[#This Row],[Tenure]])),"AHO",Import2[[#This Row],[Tenure]])&amp;Import2[[#This Row],[Expected Physical Completion Year]]&amp;Import2[[#This Row],[Expected Physical Completion Month]]</f>
        <v>Open market housing</v>
      </c>
      <c r="S189" s="135">
        <f t="shared" si="66"/>
        <v>0</v>
      </c>
      <c r="T189" s="132" t="str">
        <f t="shared" si="80"/>
        <v/>
      </c>
      <c r="U189" s="132" t="str">
        <f t="shared" si="80"/>
        <v/>
      </c>
      <c r="V189" s="132" t="str">
        <f>IF(ISNUMBER(SEARCH("AHO",Import2[[#This Row],[Tenure]])),"AHO",Import2[[#This Row],[Tenure]])&amp;Import2[[#This Row],[Expected sale completion year]]&amp;Import2[[#This Row],[Expected sale completion month]]</f>
        <v>Open market housing</v>
      </c>
      <c r="W189" s="178">
        <f t="shared" si="77"/>
        <v>0</v>
      </c>
    </row>
    <row r="190" spans="1:23" ht="15" customHeight="1">
      <c r="A190" s="132">
        <f t="shared" si="58"/>
        <v>0</v>
      </c>
      <c r="B190" s="133">
        <v>187</v>
      </c>
      <c r="C190" s="132" t="str">
        <f t="shared" si="59"/>
        <v/>
      </c>
      <c r="D190" s="132">
        <f t="shared" si="78"/>
        <v>0</v>
      </c>
      <c r="E190" s="132">
        <f t="shared" si="78"/>
        <v>0</v>
      </c>
      <c r="F190" s="132">
        <f t="shared" si="60"/>
        <v>0</v>
      </c>
      <c r="G190" s="132" t="str">
        <f t="shared" si="78"/>
        <v>Open market housing</v>
      </c>
      <c r="H190" s="132">
        <f t="shared" si="61"/>
        <v>896440000</v>
      </c>
      <c r="I190" s="132" t="str">
        <f t="shared" si="74"/>
        <v>New build</v>
      </c>
      <c r="J190" s="132">
        <f t="shared" si="62"/>
        <v>391930000</v>
      </c>
      <c r="K190" s="132">
        <f t="shared" si="75"/>
        <v>0</v>
      </c>
      <c r="L190" s="132">
        <f t="shared" si="63"/>
        <v>0</v>
      </c>
      <c r="M190" s="132">
        <f t="shared" si="79"/>
        <v>0</v>
      </c>
      <c r="N190" s="134">
        <f t="shared" si="64"/>
        <v>0</v>
      </c>
      <c r="O190" s="135">
        <f t="shared" si="65"/>
        <v>0</v>
      </c>
      <c r="P190" s="132" t="str">
        <f t="shared" si="76"/>
        <v/>
      </c>
      <c r="Q190" s="132" t="str">
        <f t="shared" si="67"/>
        <v/>
      </c>
      <c r="R190" s="132" t="str">
        <f>IF(ISNUMBER(SEARCH("AHO",Import2[[#This Row],[Tenure]])),"AHO",Import2[[#This Row],[Tenure]])&amp;Import2[[#This Row],[Expected Physical Completion Year]]&amp;Import2[[#This Row],[Expected Physical Completion Month]]</f>
        <v>Open market housing</v>
      </c>
      <c r="S190" s="135">
        <f t="shared" si="66"/>
        <v>0</v>
      </c>
      <c r="T190" s="132" t="str">
        <f t="shared" si="80"/>
        <v/>
      </c>
      <c r="U190" s="132" t="str">
        <f t="shared" si="80"/>
        <v/>
      </c>
      <c r="V190" s="132" t="str">
        <f>IF(ISNUMBER(SEARCH("AHO",Import2[[#This Row],[Tenure]])),"AHO",Import2[[#This Row],[Tenure]])&amp;Import2[[#This Row],[Expected sale completion year]]&amp;Import2[[#This Row],[Expected sale completion month]]</f>
        <v>Open market housing</v>
      </c>
      <c r="W190" s="178">
        <f t="shared" si="77"/>
        <v>0</v>
      </c>
    </row>
    <row r="191" spans="1:23" ht="15" customHeight="1">
      <c r="A191" s="132">
        <f t="shared" si="58"/>
        <v>0</v>
      </c>
      <c r="B191" s="133">
        <v>188</v>
      </c>
      <c r="C191" s="132" t="str">
        <f t="shared" si="59"/>
        <v/>
      </c>
      <c r="D191" s="132">
        <f t="shared" si="78"/>
        <v>0</v>
      </c>
      <c r="E191" s="132">
        <f t="shared" si="78"/>
        <v>0</v>
      </c>
      <c r="F191" s="132">
        <f t="shared" si="60"/>
        <v>0</v>
      </c>
      <c r="G191" s="132" t="str">
        <f t="shared" si="78"/>
        <v>Open market housing</v>
      </c>
      <c r="H191" s="132">
        <f t="shared" si="61"/>
        <v>896440000</v>
      </c>
      <c r="I191" s="132" t="str">
        <f t="shared" si="74"/>
        <v>New build</v>
      </c>
      <c r="J191" s="132">
        <f t="shared" si="62"/>
        <v>391930000</v>
      </c>
      <c r="K191" s="132">
        <f t="shared" si="75"/>
        <v>0</v>
      </c>
      <c r="L191" s="132">
        <f t="shared" si="63"/>
        <v>0</v>
      </c>
      <c r="M191" s="132">
        <f t="shared" si="79"/>
        <v>0</v>
      </c>
      <c r="N191" s="134">
        <f t="shared" si="64"/>
        <v>0</v>
      </c>
      <c r="O191" s="135">
        <f t="shared" si="65"/>
        <v>0</v>
      </c>
      <c r="P191" s="132" t="str">
        <f t="shared" si="76"/>
        <v/>
      </c>
      <c r="Q191" s="132" t="str">
        <f t="shared" si="67"/>
        <v/>
      </c>
      <c r="R191" s="132" t="str">
        <f>IF(ISNUMBER(SEARCH("AHO",Import2[[#This Row],[Tenure]])),"AHO",Import2[[#This Row],[Tenure]])&amp;Import2[[#This Row],[Expected Physical Completion Year]]&amp;Import2[[#This Row],[Expected Physical Completion Month]]</f>
        <v>Open market housing</v>
      </c>
      <c r="S191" s="135">
        <f t="shared" si="66"/>
        <v>0</v>
      </c>
      <c r="T191" s="132" t="str">
        <f t="shared" si="80"/>
        <v/>
      </c>
      <c r="U191" s="132" t="str">
        <f t="shared" si="80"/>
        <v/>
      </c>
      <c r="V191" s="132" t="str">
        <f>IF(ISNUMBER(SEARCH("AHO",Import2[[#This Row],[Tenure]])),"AHO",Import2[[#This Row],[Tenure]])&amp;Import2[[#This Row],[Expected sale completion year]]&amp;Import2[[#This Row],[Expected sale completion month]]</f>
        <v>Open market housing</v>
      </c>
      <c r="W191" s="178">
        <f t="shared" si="77"/>
        <v>0</v>
      </c>
    </row>
    <row r="192" spans="1:23" ht="15" customHeight="1">
      <c r="A192" s="132">
        <f t="shared" si="58"/>
        <v>0</v>
      </c>
      <c r="B192" s="133">
        <v>189</v>
      </c>
      <c r="C192" s="132" t="str">
        <f t="shared" si="59"/>
        <v/>
      </c>
      <c r="D192" s="132">
        <f t="shared" si="78"/>
        <v>0</v>
      </c>
      <c r="E192" s="132">
        <f t="shared" si="78"/>
        <v>0</v>
      </c>
      <c r="F192" s="132">
        <f t="shared" si="60"/>
        <v>0</v>
      </c>
      <c r="G192" s="132" t="str">
        <f t="shared" si="78"/>
        <v>Open market housing</v>
      </c>
      <c r="H192" s="132">
        <f t="shared" si="61"/>
        <v>896440000</v>
      </c>
      <c r="I192" s="132" t="str">
        <f t="shared" si="74"/>
        <v>New build</v>
      </c>
      <c r="J192" s="132">
        <f t="shared" si="62"/>
        <v>391930000</v>
      </c>
      <c r="K192" s="132">
        <f t="shared" si="75"/>
        <v>0</v>
      </c>
      <c r="L192" s="132">
        <f t="shared" si="63"/>
        <v>0</v>
      </c>
      <c r="M192" s="132">
        <f t="shared" si="79"/>
        <v>0</v>
      </c>
      <c r="N192" s="134">
        <f t="shared" si="64"/>
        <v>0</v>
      </c>
      <c r="O192" s="135">
        <f t="shared" si="65"/>
        <v>0</v>
      </c>
      <c r="P192" s="132" t="str">
        <f t="shared" si="76"/>
        <v/>
      </c>
      <c r="Q192" s="132" t="str">
        <f t="shared" si="67"/>
        <v/>
      </c>
      <c r="R192" s="132" t="str">
        <f>IF(ISNUMBER(SEARCH("AHO",Import2[[#This Row],[Tenure]])),"AHO",Import2[[#This Row],[Tenure]])&amp;Import2[[#This Row],[Expected Physical Completion Year]]&amp;Import2[[#This Row],[Expected Physical Completion Month]]</f>
        <v>Open market housing</v>
      </c>
      <c r="S192" s="135">
        <f t="shared" si="66"/>
        <v>0</v>
      </c>
      <c r="T192" s="132" t="str">
        <f t="shared" si="80"/>
        <v/>
      </c>
      <c r="U192" s="132" t="str">
        <f t="shared" si="80"/>
        <v/>
      </c>
      <c r="V192" s="132" t="str">
        <f>IF(ISNUMBER(SEARCH("AHO",Import2[[#This Row],[Tenure]])),"AHO",Import2[[#This Row],[Tenure]])&amp;Import2[[#This Row],[Expected sale completion year]]&amp;Import2[[#This Row],[Expected sale completion month]]</f>
        <v>Open market housing</v>
      </c>
      <c r="W192" s="178">
        <f t="shared" si="77"/>
        <v>0</v>
      </c>
    </row>
    <row r="193" spans="1:23" ht="15" customHeight="1">
      <c r="A193" s="132">
        <f t="shared" si="58"/>
        <v>0</v>
      </c>
      <c r="B193" s="133">
        <v>190</v>
      </c>
      <c r="C193" s="132" t="str">
        <f t="shared" si="59"/>
        <v/>
      </c>
      <c r="D193" s="132">
        <f t="shared" si="78"/>
        <v>0</v>
      </c>
      <c r="E193" s="132">
        <f t="shared" si="78"/>
        <v>0</v>
      </c>
      <c r="F193" s="132">
        <f t="shared" si="60"/>
        <v>0</v>
      </c>
      <c r="G193" s="132" t="str">
        <f t="shared" si="78"/>
        <v>Open market housing</v>
      </c>
      <c r="H193" s="132">
        <f t="shared" si="61"/>
        <v>896440000</v>
      </c>
      <c r="I193" s="132" t="str">
        <f t="shared" si="74"/>
        <v>New build</v>
      </c>
      <c r="J193" s="132">
        <f t="shared" si="62"/>
        <v>391930000</v>
      </c>
      <c r="K193" s="132">
        <f t="shared" si="75"/>
        <v>0</v>
      </c>
      <c r="L193" s="132">
        <f t="shared" si="63"/>
        <v>0</v>
      </c>
      <c r="M193" s="132">
        <f t="shared" si="79"/>
        <v>0</v>
      </c>
      <c r="N193" s="134">
        <f t="shared" si="64"/>
        <v>0</v>
      </c>
      <c r="O193" s="135">
        <f t="shared" si="65"/>
        <v>0</v>
      </c>
      <c r="P193" s="132" t="str">
        <f t="shared" si="76"/>
        <v/>
      </c>
      <c r="Q193" s="132" t="str">
        <f t="shared" si="67"/>
        <v/>
      </c>
      <c r="R193" s="132" t="str">
        <f>IF(ISNUMBER(SEARCH("AHO",Import2[[#This Row],[Tenure]])),"AHO",Import2[[#This Row],[Tenure]])&amp;Import2[[#This Row],[Expected Physical Completion Year]]&amp;Import2[[#This Row],[Expected Physical Completion Month]]</f>
        <v>Open market housing</v>
      </c>
      <c r="S193" s="135">
        <f t="shared" si="66"/>
        <v>0</v>
      </c>
      <c r="T193" s="132" t="str">
        <f t="shared" si="80"/>
        <v/>
      </c>
      <c r="U193" s="132" t="str">
        <f t="shared" si="80"/>
        <v/>
      </c>
      <c r="V193" s="132" t="str">
        <f>IF(ISNUMBER(SEARCH("AHO",Import2[[#This Row],[Tenure]])),"AHO",Import2[[#This Row],[Tenure]])&amp;Import2[[#This Row],[Expected sale completion year]]&amp;Import2[[#This Row],[Expected sale completion month]]</f>
        <v>Open market housing</v>
      </c>
      <c r="W193" s="178">
        <f t="shared" si="77"/>
        <v>0</v>
      </c>
    </row>
    <row r="194" spans="1:23" ht="15" customHeight="1">
      <c r="A194" s="132">
        <f t="shared" si="58"/>
        <v>0</v>
      </c>
      <c r="B194" s="133">
        <v>191</v>
      </c>
      <c r="C194" s="132" t="str">
        <f t="shared" si="59"/>
        <v/>
      </c>
      <c r="D194" s="132">
        <f t="shared" si="78"/>
        <v>0</v>
      </c>
      <c r="E194" s="132">
        <f t="shared" si="78"/>
        <v>0</v>
      </c>
      <c r="F194" s="132">
        <f t="shared" si="60"/>
        <v>0</v>
      </c>
      <c r="G194" s="132" t="str">
        <f t="shared" si="78"/>
        <v>Open market housing</v>
      </c>
      <c r="H194" s="132">
        <f t="shared" si="61"/>
        <v>896440000</v>
      </c>
      <c r="I194" s="132" t="str">
        <f t="shared" si="74"/>
        <v>New build</v>
      </c>
      <c r="J194" s="132">
        <f t="shared" si="62"/>
        <v>391930000</v>
      </c>
      <c r="K194" s="132">
        <f t="shared" si="75"/>
        <v>0</v>
      </c>
      <c r="L194" s="132">
        <f t="shared" si="63"/>
        <v>0</v>
      </c>
      <c r="M194" s="132">
        <f t="shared" si="79"/>
        <v>0</v>
      </c>
      <c r="N194" s="134">
        <f t="shared" si="64"/>
        <v>0</v>
      </c>
      <c r="O194" s="135">
        <f t="shared" si="65"/>
        <v>0</v>
      </c>
      <c r="P194" s="132" t="str">
        <f t="shared" si="76"/>
        <v/>
      </c>
      <c r="Q194" s="132" t="str">
        <f t="shared" si="67"/>
        <v/>
      </c>
      <c r="R194" s="132" t="str">
        <f>IF(ISNUMBER(SEARCH("AHO",Import2[[#This Row],[Tenure]])),"AHO",Import2[[#This Row],[Tenure]])&amp;Import2[[#This Row],[Expected Physical Completion Year]]&amp;Import2[[#This Row],[Expected Physical Completion Month]]</f>
        <v>Open market housing</v>
      </c>
      <c r="S194" s="135">
        <f t="shared" si="66"/>
        <v>0</v>
      </c>
      <c r="T194" s="132" t="str">
        <f t="shared" si="80"/>
        <v/>
      </c>
      <c r="U194" s="132" t="str">
        <f t="shared" si="80"/>
        <v/>
      </c>
      <c r="V194" s="132" t="str">
        <f>IF(ISNUMBER(SEARCH("AHO",Import2[[#This Row],[Tenure]])),"AHO",Import2[[#This Row],[Tenure]])&amp;Import2[[#This Row],[Expected sale completion year]]&amp;Import2[[#This Row],[Expected sale completion month]]</f>
        <v>Open market housing</v>
      </c>
      <c r="W194" s="178">
        <f t="shared" si="77"/>
        <v>0</v>
      </c>
    </row>
    <row r="195" spans="1:23" ht="15" customHeight="1">
      <c r="A195" s="132">
        <f t="shared" si="58"/>
        <v>0</v>
      </c>
      <c r="B195" s="133">
        <v>192</v>
      </c>
      <c r="C195" s="132" t="str">
        <f t="shared" si="59"/>
        <v/>
      </c>
      <c r="D195" s="132">
        <f t="shared" si="78"/>
        <v>0</v>
      </c>
      <c r="E195" s="132">
        <f t="shared" si="78"/>
        <v>0</v>
      </c>
      <c r="F195" s="132">
        <f t="shared" si="60"/>
        <v>0</v>
      </c>
      <c r="G195" s="132" t="str">
        <f t="shared" si="78"/>
        <v>Open market housing</v>
      </c>
      <c r="H195" s="132">
        <f t="shared" si="61"/>
        <v>896440000</v>
      </c>
      <c r="I195" s="132" t="str">
        <f t="shared" si="74"/>
        <v>New build</v>
      </c>
      <c r="J195" s="132">
        <f t="shared" si="62"/>
        <v>391930000</v>
      </c>
      <c r="K195" s="132">
        <f t="shared" si="75"/>
        <v>0</v>
      </c>
      <c r="L195" s="132">
        <f t="shared" si="63"/>
        <v>0</v>
      </c>
      <c r="M195" s="132">
        <f t="shared" si="79"/>
        <v>0</v>
      </c>
      <c r="N195" s="134">
        <f t="shared" si="64"/>
        <v>0</v>
      </c>
      <c r="O195" s="135">
        <f t="shared" si="65"/>
        <v>0</v>
      </c>
      <c r="P195" s="132" t="str">
        <f t="shared" si="76"/>
        <v/>
      </c>
      <c r="Q195" s="132" t="str">
        <f t="shared" si="67"/>
        <v/>
      </c>
      <c r="R195" s="132" t="str">
        <f>IF(ISNUMBER(SEARCH("AHO",Import2[[#This Row],[Tenure]])),"AHO",Import2[[#This Row],[Tenure]])&amp;Import2[[#This Row],[Expected Physical Completion Year]]&amp;Import2[[#This Row],[Expected Physical Completion Month]]</f>
        <v>Open market housing</v>
      </c>
      <c r="S195" s="135">
        <f t="shared" si="66"/>
        <v>0</v>
      </c>
      <c r="T195" s="132" t="str">
        <f t="shared" si="80"/>
        <v/>
      </c>
      <c r="U195" s="132" t="str">
        <f t="shared" si="80"/>
        <v/>
      </c>
      <c r="V195" s="132" t="str">
        <f>IF(ISNUMBER(SEARCH("AHO",Import2[[#This Row],[Tenure]])),"AHO",Import2[[#This Row],[Tenure]])&amp;Import2[[#This Row],[Expected sale completion year]]&amp;Import2[[#This Row],[Expected sale completion month]]</f>
        <v>Open market housing</v>
      </c>
      <c r="W195" s="178">
        <f t="shared" si="77"/>
        <v>0</v>
      </c>
    </row>
    <row r="196" spans="1:23" ht="15" customHeight="1">
      <c r="A196" s="132">
        <f t="shared" ref="A196:A259" si="81">IF((SUM($C196:$W196)-$H196-$J196)=0,0,1)</f>
        <v>0</v>
      </c>
      <c r="B196" s="133">
        <v>193</v>
      </c>
      <c r="C196" s="132" t="str">
        <f t="shared" ref="C196:C259" si="82">IF(INDEX(PlotData,MATCH($B196,PlotNumber,0),MATCH(C$3,PlotTitles,0))=0,"",INDEX(PlotData,MATCH($B196,PlotNumber,0),MATCH(C$3,PlotTitles,0)))</f>
        <v/>
      </c>
      <c r="D196" s="132">
        <f t="shared" si="78"/>
        <v>0</v>
      </c>
      <c r="E196" s="132">
        <f t="shared" si="78"/>
        <v>0</v>
      </c>
      <c r="F196" s="132">
        <f t="shared" ref="F196:F259" si="83">_xlfn.IFNA(INDEX(PropertyTypeRef,MATCH(E196,PropertyType,0),2),0)</f>
        <v>0</v>
      </c>
      <c r="G196" s="132" t="str">
        <f t="shared" si="78"/>
        <v>Open market housing</v>
      </c>
      <c r="H196" s="132">
        <f t="shared" ref="H196:H259" si="84">_xlfn.IFNA(INDEX(TenureRef,MATCH(G196,PlotCategory,0),2),0)</f>
        <v>896440000</v>
      </c>
      <c r="I196" s="132" t="str">
        <f t="shared" si="74"/>
        <v>New build</v>
      </c>
      <c r="J196" s="132">
        <f t="shared" ref="J196:J259" si="85">_xlfn.IFNA(INDEX(TenureDetailRef,MATCH(I196,TenureDetail,0),2),0)</f>
        <v>391930000</v>
      </c>
      <c r="K196" s="132">
        <f t="shared" si="75"/>
        <v>0</v>
      </c>
      <c r="L196" s="132">
        <f t="shared" ref="L196:L259" si="86">_xlfn.IFNA(INDEX(BuildTypeRef,MATCH(K196,BuildType,0),2),0)</f>
        <v>0</v>
      </c>
      <c r="M196" s="132">
        <f t="shared" si="79"/>
        <v>0</v>
      </c>
      <c r="N196" s="134">
        <f t="shared" ref="N196:N259" si="87">IF($M196=0,0,$M196*0.09290304)</f>
        <v>0</v>
      </c>
      <c r="O196" s="135">
        <f t="shared" ref="O196:O259" si="88">IF(OR($P196="",$Q196=""),0,(DATEVALUE($P196&amp;$Q196)))</f>
        <v>0</v>
      </c>
      <c r="P196" s="132" t="str">
        <f t="shared" si="76"/>
        <v/>
      </c>
      <c r="Q196" s="132" t="str">
        <f t="shared" si="67"/>
        <v/>
      </c>
      <c r="R196" s="132" t="str">
        <f>IF(ISNUMBER(SEARCH("AHO",Import2[[#This Row],[Tenure]])),"AHO",Import2[[#This Row],[Tenure]])&amp;Import2[[#This Row],[Expected Physical Completion Year]]&amp;Import2[[#This Row],[Expected Physical Completion Month]]</f>
        <v>Open market housing</v>
      </c>
      <c r="S196" s="135">
        <f t="shared" ref="S196:S259" si="89">IF(OR($T196="",$U196=""),0,(DATEVALUE($T196&amp;$U196)))</f>
        <v>0</v>
      </c>
      <c r="T196" s="132" t="str">
        <f t="shared" si="80"/>
        <v/>
      </c>
      <c r="U196" s="132" t="str">
        <f t="shared" si="80"/>
        <v/>
      </c>
      <c r="V196" s="132" t="str">
        <f>IF(ISNUMBER(SEARCH("AHO",Import2[[#This Row],[Tenure]])),"AHO",Import2[[#This Row],[Tenure]])&amp;Import2[[#This Row],[Expected sale completion year]]&amp;Import2[[#This Row],[Expected sale completion month]]</f>
        <v>Open market housing</v>
      </c>
      <c r="W196" s="178">
        <f t="shared" si="77"/>
        <v>0</v>
      </c>
    </row>
    <row r="197" spans="1:23" ht="15" customHeight="1">
      <c r="A197" s="132">
        <f t="shared" si="81"/>
        <v>0</v>
      </c>
      <c r="B197" s="133">
        <v>194</v>
      </c>
      <c r="C197" s="132" t="str">
        <f t="shared" si="82"/>
        <v/>
      </c>
      <c r="D197" s="132">
        <f t="shared" si="78"/>
        <v>0</v>
      </c>
      <c r="E197" s="132">
        <f t="shared" si="78"/>
        <v>0</v>
      </c>
      <c r="F197" s="132">
        <f t="shared" si="83"/>
        <v>0</v>
      </c>
      <c r="G197" s="132" t="str">
        <f t="shared" si="78"/>
        <v>Open market housing</v>
      </c>
      <c r="H197" s="132">
        <f t="shared" si="84"/>
        <v>896440000</v>
      </c>
      <c r="I197" s="132" t="str">
        <f t="shared" si="74"/>
        <v>New build</v>
      </c>
      <c r="J197" s="132">
        <f t="shared" si="85"/>
        <v>391930000</v>
      </c>
      <c r="K197" s="132">
        <f t="shared" si="75"/>
        <v>0</v>
      </c>
      <c r="L197" s="132">
        <f t="shared" si="86"/>
        <v>0</v>
      </c>
      <c r="M197" s="132">
        <f t="shared" si="79"/>
        <v>0</v>
      </c>
      <c r="N197" s="134">
        <f t="shared" si="87"/>
        <v>0</v>
      </c>
      <c r="O197" s="135">
        <f t="shared" si="88"/>
        <v>0</v>
      </c>
      <c r="P197" s="132" t="str">
        <f t="shared" si="76"/>
        <v/>
      </c>
      <c r="Q197" s="132" t="str">
        <f t="shared" si="67"/>
        <v/>
      </c>
      <c r="R197" s="132" t="str">
        <f>IF(ISNUMBER(SEARCH("AHO",Import2[[#This Row],[Tenure]])),"AHO",Import2[[#This Row],[Tenure]])&amp;Import2[[#This Row],[Expected Physical Completion Year]]&amp;Import2[[#This Row],[Expected Physical Completion Month]]</f>
        <v>Open market housing</v>
      </c>
      <c r="S197" s="135">
        <f t="shared" si="89"/>
        <v>0</v>
      </c>
      <c r="T197" s="132" t="str">
        <f t="shared" si="80"/>
        <v/>
      </c>
      <c r="U197" s="132" t="str">
        <f t="shared" si="80"/>
        <v/>
      </c>
      <c r="V197" s="132" t="str">
        <f>IF(ISNUMBER(SEARCH("AHO",Import2[[#This Row],[Tenure]])),"AHO",Import2[[#This Row],[Tenure]])&amp;Import2[[#This Row],[Expected sale completion year]]&amp;Import2[[#This Row],[Expected sale completion month]]</f>
        <v>Open market housing</v>
      </c>
      <c r="W197" s="178">
        <f t="shared" si="77"/>
        <v>0</v>
      </c>
    </row>
    <row r="198" spans="1:23" ht="15" customHeight="1">
      <c r="A198" s="132">
        <f t="shared" si="81"/>
        <v>0</v>
      </c>
      <c r="B198" s="133">
        <v>195</v>
      </c>
      <c r="C198" s="132" t="str">
        <f t="shared" si="82"/>
        <v/>
      </c>
      <c r="D198" s="132">
        <f t="shared" si="78"/>
        <v>0</v>
      </c>
      <c r="E198" s="132">
        <f t="shared" si="78"/>
        <v>0</v>
      </c>
      <c r="F198" s="132">
        <f t="shared" si="83"/>
        <v>0</v>
      </c>
      <c r="G198" s="132" t="str">
        <f t="shared" si="78"/>
        <v>Open market housing</v>
      </c>
      <c r="H198" s="132">
        <f t="shared" si="84"/>
        <v>896440000</v>
      </c>
      <c r="I198" s="132" t="str">
        <f t="shared" si="74"/>
        <v>New build</v>
      </c>
      <c r="J198" s="132">
        <f t="shared" si="85"/>
        <v>391930000</v>
      </c>
      <c r="K198" s="132">
        <f t="shared" si="75"/>
        <v>0</v>
      </c>
      <c r="L198" s="132">
        <f t="shared" si="86"/>
        <v>0</v>
      </c>
      <c r="M198" s="132">
        <f t="shared" si="79"/>
        <v>0</v>
      </c>
      <c r="N198" s="134">
        <f t="shared" si="87"/>
        <v>0</v>
      </c>
      <c r="O198" s="135">
        <f t="shared" si="88"/>
        <v>0</v>
      </c>
      <c r="P198" s="132" t="str">
        <f t="shared" si="76"/>
        <v/>
      </c>
      <c r="Q198" s="132" t="str">
        <f t="shared" ref="Q198:Q261" si="90">IF(INDEX(PlotData,MATCH($B198,PlotNumber,0),MATCH(Q$3,PlotTitles,0))=0,"",INDEX(PlotData,MATCH($B198,PlotNumber,0),MATCH(Q$3,PlotTitles,0)))</f>
        <v/>
      </c>
      <c r="R198" s="132" t="str">
        <f>IF(ISNUMBER(SEARCH("AHO",Import2[[#This Row],[Tenure]])),"AHO",Import2[[#This Row],[Tenure]])&amp;Import2[[#This Row],[Expected Physical Completion Year]]&amp;Import2[[#This Row],[Expected Physical Completion Month]]</f>
        <v>Open market housing</v>
      </c>
      <c r="S198" s="135">
        <f t="shared" si="89"/>
        <v>0</v>
      </c>
      <c r="T198" s="132" t="str">
        <f t="shared" si="80"/>
        <v/>
      </c>
      <c r="U198" s="132" t="str">
        <f t="shared" si="80"/>
        <v/>
      </c>
      <c r="V198" s="132" t="str">
        <f>IF(ISNUMBER(SEARCH("AHO",Import2[[#This Row],[Tenure]])),"AHO",Import2[[#This Row],[Tenure]])&amp;Import2[[#This Row],[Expected sale completion year]]&amp;Import2[[#This Row],[Expected sale completion month]]</f>
        <v>Open market housing</v>
      </c>
      <c r="W198" s="178">
        <f t="shared" si="77"/>
        <v>0</v>
      </c>
    </row>
    <row r="199" spans="1:23" ht="15" customHeight="1">
      <c r="A199" s="132">
        <f t="shared" si="81"/>
        <v>0</v>
      </c>
      <c r="B199" s="133">
        <v>196</v>
      </c>
      <c r="C199" s="132" t="str">
        <f t="shared" si="82"/>
        <v/>
      </c>
      <c r="D199" s="132">
        <f t="shared" si="78"/>
        <v>0</v>
      </c>
      <c r="E199" s="132">
        <f t="shared" si="78"/>
        <v>0</v>
      </c>
      <c r="F199" s="132">
        <f t="shared" si="83"/>
        <v>0</v>
      </c>
      <c r="G199" s="132" t="str">
        <f t="shared" si="78"/>
        <v>Open market housing</v>
      </c>
      <c r="H199" s="132">
        <f t="shared" si="84"/>
        <v>896440000</v>
      </c>
      <c r="I199" s="132" t="str">
        <f t="shared" si="74"/>
        <v>New build</v>
      </c>
      <c r="J199" s="132">
        <f t="shared" si="85"/>
        <v>391930000</v>
      </c>
      <c r="K199" s="132">
        <f t="shared" si="75"/>
        <v>0</v>
      </c>
      <c r="L199" s="132">
        <f t="shared" si="86"/>
        <v>0</v>
      </c>
      <c r="M199" s="132">
        <f t="shared" si="79"/>
        <v>0</v>
      </c>
      <c r="N199" s="134">
        <f t="shared" si="87"/>
        <v>0</v>
      </c>
      <c r="O199" s="135">
        <f t="shared" si="88"/>
        <v>0</v>
      </c>
      <c r="P199" s="132" t="str">
        <f t="shared" si="76"/>
        <v/>
      </c>
      <c r="Q199" s="132" t="str">
        <f t="shared" si="90"/>
        <v/>
      </c>
      <c r="R199" s="132" t="str">
        <f>IF(ISNUMBER(SEARCH("AHO",Import2[[#This Row],[Tenure]])),"AHO",Import2[[#This Row],[Tenure]])&amp;Import2[[#This Row],[Expected Physical Completion Year]]&amp;Import2[[#This Row],[Expected Physical Completion Month]]</f>
        <v>Open market housing</v>
      </c>
      <c r="S199" s="135">
        <f t="shared" si="89"/>
        <v>0</v>
      </c>
      <c r="T199" s="132" t="str">
        <f t="shared" si="80"/>
        <v/>
      </c>
      <c r="U199" s="132" t="str">
        <f t="shared" si="80"/>
        <v/>
      </c>
      <c r="V199" s="132" t="str">
        <f>IF(ISNUMBER(SEARCH("AHO",Import2[[#This Row],[Tenure]])),"AHO",Import2[[#This Row],[Tenure]])&amp;Import2[[#This Row],[Expected sale completion year]]&amp;Import2[[#This Row],[Expected sale completion month]]</f>
        <v>Open market housing</v>
      </c>
      <c r="W199" s="178">
        <f t="shared" si="77"/>
        <v>0</v>
      </c>
    </row>
    <row r="200" spans="1:23" ht="15" customHeight="1">
      <c r="A200" s="132">
        <f t="shared" si="81"/>
        <v>0</v>
      </c>
      <c r="B200" s="133">
        <v>197</v>
      </c>
      <c r="C200" s="132" t="str">
        <f t="shared" si="82"/>
        <v/>
      </c>
      <c r="D200" s="132">
        <f t="shared" si="78"/>
        <v>0</v>
      </c>
      <c r="E200" s="132">
        <f t="shared" si="78"/>
        <v>0</v>
      </c>
      <c r="F200" s="132">
        <f t="shared" si="83"/>
        <v>0</v>
      </c>
      <c r="G200" s="132" t="str">
        <f t="shared" si="78"/>
        <v>Open market housing</v>
      </c>
      <c r="H200" s="132">
        <f t="shared" si="84"/>
        <v>896440000</v>
      </c>
      <c r="I200" s="132" t="str">
        <f t="shared" si="74"/>
        <v>New build</v>
      </c>
      <c r="J200" s="132">
        <f t="shared" si="85"/>
        <v>391930000</v>
      </c>
      <c r="K200" s="132">
        <f t="shared" si="75"/>
        <v>0</v>
      </c>
      <c r="L200" s="132">
        <f t="shared" si="86"/>
        <v>0</v>
      </c>
      <c r="M200" s="132">
        <f t="shared" si="79"/>
        <v>0</v>
      </c>
      <c r="N200" s="134">
        <f t="shared" si="87"/>
        <v>0</v>
      </c>
      <c r="O200" s="135">
        <f t="shared" si="88"/>
        <v>0</v>
      </c>
      <c r="P200" s="132" t="str">
        <f t="shared" si="76"/>
        <v/>
      </c>
      <c r="Q200" s="132" t="str">
        <f t="shared" si="90"/>
        <v/>
      </c>
      <c r="R200" s="132" t="str">
        <f>IF(ISNUMBER(SEARCH("AHO",Import2[[#This Row],[Tenure]])),"AHO",Import2[[#This Row],[Tenure]])&amp;Import2[[#This Row],[Expected Physical Completion Year]]&amp;Import2[[#This Row],[Expected Physical Completion Month]]</f>
        <v>Open market housing</v>
      </c>
      <c r="S200" s="135">
        <f t="shared" si="89"/>
        <v>0</v>
      </c>
      <c r="T200" s="132" t="str">
        <f t="shared" si="80"/>
        <v/>
      </c>
      <c r="U200" s="132" t="str">
        <f t="shared" si="80"/>
        <v/>
      </c>
      <c r="V200" s="132" t="str">
        <f>IF(ISNUMBER(SEARCH("AHO",Import2[[#This Row],[Tenure]])),"AHO",Import2[[#This Row],[Tenure]])&amp;Import2[[#This Row],[Expected sale completion year]]&amp;Import2[[#This Row],[Expected sale completion month]]</f>
        <v>Open market housing</v>
      </c>
      <c r="W200" s="178">
        <f t="shared" si="77"/>
        <v>0</v>
      </c>
    </row>
    <row r="201" spans="1:23" ht="15" customHeight="1">
      <c r="A201" s="132">
        <f t="shared" si="81"/>
        <v>0</v>
      </c>
      <c r="B201" s="133">
        <v>198</v>
      </c>
      <c r="C201" s="132" t="str">
        <f t="shared" si="82"/>
        <v/>
      </c>
      <c r="D201" s="132">
        <f t="shared" si="78"/>
        <v>0</v>
      </c>
      <c r="E201" s="132">
        <f t="shared" si="78"/>
        <v>0</v>
      </c>
      <c r="F201" s="132">
        <f t="shared" si="83"/>
        <v>0</v>
      </c>
      <c r="G201" s="132" t="str">
        <f t="shared" si="78"/>
        <v>Open market housing</v>
      </c>
      <c r="H201" s="132">
        <f t="shared" si="84"/>
        <v>896440000</v>
      </c>
      <c r="I201" s="132" t="str">
        <f t="shared" si="74"/>
        <v>New build</v>
      </c>
      <c r="J201" s="132">
        <f t="shared" si="85"/>
        <v>391930000</v>
      </c>
      <c r="K201" s="132">
        <f t="shared" si="75"/>
        <v>0</v>
      </c>
      <c r="L201" s="132">
        <f t="shared" si="86"/>
        <v>0</v>
      </c>
      <c r="M201" s="132">
        <f t="shared" si="79"/>
        <v>0</v>
      </c>
      <c r="N201" s="134">
        <f t="shared" si="87"/>
        <v>0</v>
      </c>
      <c r="O201" s="135">
        <f t="shared" si="88"/>
        <v>0</v>
      </c>
      <c r="P201" s="132" t="str">
        <f t="shared" si="76"/>
        <v/>
      </c>
      <c r="Q201" s="132" t="str">
        <f t="shared" si="90"/>
        <v/>
      </c>
      <c r="R201" s="132" t="str">
        <f>IF(ISNUMBER(SEARCH("AHO",Import2[[#This Row],[Tenure]])),"AHO",Import2[[#This Row],[Tenure]])&amp;Import2[[#This Row],[Expected Physical Completion Year]]&amp;Import2[[#This Row],[Expected Physical Completion Month]]</f>
        <v>Open market housing</v>
      </c>
      <c r="S201" s="135">
        <f t="shared" si="89"/>
        <v>0</v>
      </c>
      <c r="T201" s="132" t="str">
        <f t="shared" si="80"/>
        <v/>
      </c>
      <c r="U201" s="132" t="str">
        <f t="shared" si="80"/>
        <v/>
      </c>
      <c r="V201" s="132" t="str">
        <f>IF(ISNUMBER(SEARCH("AHO",Import2[[#This Row],[Tenure]])),"AHO",Import2[[#This Row],[Tenure]])&amp;Import2[[#This Row],[Expected sale completion year]]&amp;Import2[[#This Row],[Expected sale completion month]]</f>
        <v>Open market housing</v>
      </c>
      <c r="W201" s="178">
        <f t="shared" si="77"/>
        <v>0</v>
      </c>
    </row>
    <row r="202" spans="1:23" ht="15" customHeight="1">
      <c r="A202" s="132">
        <f t="shared" si="81"/>
        <v>0</v>
      </c>
      <c r="B202" s="133">
        <v>199</v>
      </c>
      <c r="C202" s="132" t="str">
        <f t="shared" si="82"/>
        <v/>
      </c>
      <c r="D202" s="132">
        <f t="shared" si="78"/>
        <v>0</v>
      </c>
      <c r="E202" s="132">
        <f t="shared" si="78"/>
        <v>0</v>
      </c>
      <c r="F202" s="132">
        <f t="shared" si="83"/>
        <v>0</v>
      </c>
      <c r="G202" s="132" t="str">
        <f t="shared" si="78"/>
        <v>Open market housing</v>
      </c>
      <c r="H202" s="132">
        <f t="shared" si="84"/>
        <v>896440000</v>
      </c>
      <c r="I202" s="132" t="str">
        <f t="shared" si="74"/>
        <v>New build</v>
      </c>
      <c r="J202" s="132">
        <f t="shared" si="85"/>
        <v>391930000</v>
      </c>
      <c r="K202" s="132">
        <f t="shared" si="75"/>
        <v>0</v>
      </c>
      <c r="L202" s="132">
        <f t="shared" si="86"/>
        <v>0</v>
      </c>
      <c r="M202" s="132">
        <f t="shared" si="79"/>
        <v>0</v>
      </c>
      <c r="N202" s="134">
        <f t="shared" si="87"/>
        <v>0</v>
      </c>
      <c r="O202" s="135">
        <f t="shared" si="88"/>
        <v>0</v>
      </c>
      <c r="P202" s="132" t="str">
        <f t="shared" si="76"/>
        <v/>
      </c>
      <c r="Q202" s="132" t="str">
        <f t="shared" si="90"/>
        <v/>
      </c>
      <c r="R202" s="132" t="str">
        <f>IF(ISNUMBER(SEARCH("AHO",Import2[[#This Row],[Tenure]])),"AHO",Import2[[#This Row],[Tenure]])&amp;Import2[[#This Row],[Expected Physical Completion Year]]&amp;Import2[[#This Row],[Expected Physical Completion Month]]</f>
        <v>Open market housing</v>
      </c>
      <c r="S202" s="135">
        <f t="shared" si="89"/>
        <v>0</v>
      </c>
      <c r="T202" s="132" t="str">
        <f t="shared" si="80"/>
        <v/>
      </c>
      <c r="U202" s="132" t="str">
        <f t="shared" si="80"/>
        <v/>
      </c>
      <c r="V202" s="132" t="str">
        <f>IF(ISNUMBER(SEARCH("AHO",Import2[[#This Row],[Tenure]])),"AHO",Import2[[#This Row],[Tenure]])&amp;Import2[[#This Row],[Expected sale completion year]]&amp;Import2[[#This Row],[Expected sale completion month]]</f>
        <v>Open market housing</v>
      </c>
      <c r="W202" s="178">
        <f t="shared" si="77"/>
        <v>0</v>
      </c>
    </row>
    <row r="203" spans="1:23" ht="15" customHeight="1">
      <c r="A203" s="132">
        <f t="shared" si="81"/>
        <v>0</v>
      </c>
      <c r="B203" s="133">
        <v>200</v>
      </c>
      <c r="C203" s="132" t="str">
        <f t="shared" si="82"/>
        <v/>
      </c>
      <c r="D203" s="132">
        <f t="shared" si="78"/>
        <v>0</v>
      </c>
      <c r="E203" s="132">
        <f t="shared" si="78"/>
        <v>0</v>
      </c>
      <c r="F203" s="132">
        <f t="shared" si="83"/>
        <v>0</v>
      </c>
      <c r="G203" s="132" t="str">
        <f t="shared" si="78"/>
        <v>Open market housing</v>
      </c>
      <c r="H203" s="132">
        <f t="shared" si="84"/>
        <v>896440000</v>
      </c>
      <c r="I203" s="132" t="str">
        <f t="shared" si="74"/>
        <v>New build</v>
      </c>
      <c r="J203" s="132">
        <f t="shared" si="85"/>
        <v>391930000</v>
      </c>
      <c r="K203" s="132">
        <f t="shared" si="75"/>
        <v>0</v>
      </c>
      <c r="L203" s="132">
        <f t="shared" si="86"/>
        <v>0</v>
      </c>
      <c r="M203" s="132">
        <f t="shared" si="79"/>
        <v>0</v>
      </c>
      <c r="N203" s="134">
        <f t="shared" si="87"/>
        <v>0</v>
      </c>
      <c r="O203" s="135">
        <f t="shared" si="88"/>
        <v>0</v>
      </c>
      <c r="P203" s="132" t="str">
        <f t="shared" si="76"/>
        <v/>
      </c>
      <c r="Q203" s="132" t="str">
        <f t="shared" si="90"/>
        <v/>
      </c>
      <c r="R203" s="132" t="str">
        <f>IF(ISNUMBER(SEARCH("AHO",Import2[[#This Row],[Tenure]])),"AHO",Import2[[#This Row],[Tenure]])&amp;Import2[[#This Row],[Expected Physical Completion Year]]&amp;Import2[[#This Row],[Expected Physical Completion Month]]</f>
        <v>Open market housing</v>
      </c>
      <c r="S203" s="135">
        <f t="shared" si="89"/>
        <v>0</v>
      </c>
      <c r="T203" s="132" t="str">
        <f t="shared" si="80"/>
        <v/>
      </c>
      <c r="U203" s="132" t="str">
        <f t="shared" si="80"/>
        <v/>
      </c>
      <c r="V203" s="132" t="str">
        <f>IF(ISNUMBER(SEARCH("AHO",Import2[[#This Row],[Tenure]])),"AHO",Import2[[#This Row],[Tenure]])&amp;Import2[[#This Row],[Expected sale completion year]]&amp;Import2[[#This Row],[Expected sale completion month]]</f>
        <v>Open market housing</v>
      </c>
      <c r="W203" s="178">
        <f t="shared" si="77"/>
        <v>0</v>
      </c>
    </row>
    <row r="204" spans="1:23" ht="15" customHeight="1">
      <c r="A204" s="132">
        <f t="shared" si="81"/>
        <v>0</v>
      </c>
      <c r="B204" s="133">
        <v>201</v>
      </c>
      <c r="C204" s="132" t="str">
        <f t="shared" si="82"/>
        <v/>
      </c>
      <c r="D204" s="132">
        <f t="shared" ref="D204:G223" si="91">INDEX(PlotData,MATCH($B204,PlotNumber,0),MATCH(D$3,PlotTitles,0))</f>
        <v>0</v>
      </c>
      <c r="E204" s="132">
        <f t="shared" si="91"/>
        <v>0</v>
      </c>
      <c r="F204" s="132">
        <f t="shared" si="83"/>
        <v>0</v>
      </c>
      <c r="G204" s="132" t="str">
        <f t="shared" si="91"/>
        <v>Open market housing</v>
      </c>
      <c r="H204" s="132">
        <f t="shared" si="84"/>
        <v>896440000</v>
      </c>
      <c r="I204" s="132" t="str">
        <f t="shared" si="74"/>
        <v>New build</v>
      </c>
      <c r="J204" s="132">
        <f t="shared" si="85"/>
        <v>391930000</v>
      </c>
      <c r="K204" s="132">
        <f t="shared" si="75"/>
        <v>0</v>
      </c>
      <c r="L204" s="132">
        <f t="shared" si="86"/>
        <v>0</v>
      </c>
      <c r="M204" s="132">
        <f t="shared" ref="M204:M223" si="92">INDEX(PlotData,MATCH($B204,PlotNumber,0),MATCH(M$3,PlotTitles,0))</f>
        <v>0</v>
      </c>
      <c r="N204" s="134">
        <f t="shared" si="87"/>
        <v>0</v>
      </c>
      <c r="O204" s="135">
        <f t="shared" si="88"/>
        <v>0</v>
      </c>
      <c r="P204" s="132" t="str">
        <f t="shared" si="76"/>
        <v/>
      </c>
      <c r="Q204" s="132" t="str">
        <f t="shared" si="90"/>
        <v/>
      </c>
      <c r="R204" s="132" t="str">
        <f>IF(ISNUMBER(SEARCH("AHO",Import2[[#This Row],[Tenure]])),"AHO",Import2[[#This Row],[Tenure]])&amp;Import2[[#This Row],[Expected Physical Completion Year]]&amp;Import2[[#This Row],[Expected Physical Completion Month]]</f>
        <v>Open market housing</v>
      </c>
      <c r="S204" s="135">
        <f t="shared" si="89"/>
        <v>0</v>
      </c>
      <c r="T204" s="132" t="str">
        <f t="shared" ref="T204:U223" si="93">IF(INDEX(PlotData,MATCH($B204,PlotNumber,0),MATCH(T$3,PlotTitles,0))=0,"",INDEX(PlotData,MATCH($B204,PlotNumber,0),MATCH(T$3,PlotTitles,0)))</f>
        <v/>
      </c>
      <c r="U204" s="132" t="str">
        <f t="shared" si="93"/>
        <v/>
      </c>
      <c r="V204" s="132" t="str">
        <f>IF(ISNUMBER(SEARCH("AHO",Import2[[#This Row],[Tenure]])),"AHO",Import2[[#This Row],[Tenure]])&amp;Import2[[#This Row],[Expected sale completion year]]&amp;Import2[[#This Row],[Expected sale completion month]]</f>
        <v>Open market housing</v>
      </c>
      <c r="W204" s="178">
        <f t="shared" si="77"/>
        <v>0</v>
      </c>
    </row>
    <row r="205" spans="1:23" ht="15" customHeight="1">
      <c r="A205" s="132">
        <f t="shared" si="81"/>
        <v>0</v>
      </c>
      <c r="B205" s="133">
        <v>202</v>
      </c>
      <c r="C205" s="132" t="str">
        <f t="shared" si="82"/>
        <v/>
      </c>
      <c r="D205" s="132">
        <f t="shared" si="91"/>
        <v>0</v>
      </c>
      <c r="E205" s="132">
        <f t="shared" si="91"/>
        <v>0</v>
      </c>
      <c r="F205" s="132">
        <f t="shared" si="83"/>
        <v>0</v>
      </c>
      <c r="G205" s="132" t="str">
        <f t="shared" si="91"/>
        <v>Open market housing</v>
      </c>
      <c r="H205" s="132">
        <f t="shared" si="84"/>
        <v>896440000</v>
      </c>
      <c r="I205" s="132" t="str">
        <f t="shared" si="74"/>
        <v>New build</v>
      </c>
      <c r="J205" s="132">
        <f t="shared" si="85"/>
        <v>391930000</v>
      </c>
      <c r="K205" s="132">
        <f t="shared" si="75"/>
        <v>0</v>
      </c>
      <c r="L205" s="132">
        <f t="shared" si="86"/>
        <v>0</v>
      </c>
      <c r="M205" s="132">
        <f t="shared" si="92"/>
        <v>0</v>
      </c>
      <c r="N205" s="134">
        <f t="shared" si="87"/>
        <v>0</v>
      </c>
      <c r="O205" s="135">
        <f t="shared" si="88"/>
        <v>0</v>
      </c>
      <c r="P205" s="132" t="str">
        <f t="shared" si="76"/>
        <v/>
      </c>
      <c r="Q205" s="132" t="str">
        <f t="shared" si="90"/>
        <v/>
      </c>
      <c r="R205" s="132" t="str">
        <f>IF(ISNUMBER(SEARCH("AHO",Import2[[#This Row],[Tenure]])),"AHO",Import2[[#This Row],[Tenure]])&amp;Import2[[#This Row],[Expected Physical Completion Year]]&amp;Import2[[#This Row],[Expected Physical Completion Month]]</f>
        <v>Open market housing</v>
      </c>
      <c r="S205" s="135">
        <f t="shared" si="89"/>
        <v>0</v>
      </c>
      <c r="T205" s="132" t="str">
        <f t="shared" si="93"/>
        <v/>
      </c>
      <c r="U205" s="132" t="str">
        <f t="shared" si="93"/>
        <v/>
      </c>
      <c r="V205" s="132" t="str">
        <f>IF(ISNUMBER(SEARCH("AHO",Import2[[#This Row],[Tenure]])),"AHO",Import2[[#This Row],[Tenure]])&amp;Import2[[#This Row],[Expected sale completion year]]&amp;Import2[[#This Row],[Expected sale completion month]]</f>
        <v>Open market housing</v>
      </c>
      <c r="W205" s="178">
        <f t="shared" si="77"/>
        <v>0</v>
      </c>
    </row>
    <row r="206" spans="1:23" ht="15" customHeight="1">
      <c r="A206" s="132">
        <f t="shared" si="81"/>
        <v>0</v>
      </c>
      <c r="B206" s="133">
        <v>203</v>
      </c>
      <c r="C206" s="132" t="str">
        <f t="shared" si="82"/>
        <v/>
      </c>
      <c r="D206" s="132">
        <f t="shared" si="91"/>
        <v>0</v>
      </c>
      <c r="E206" s="132">
        <f t="shared" si="91"/>
        <v>0</v>
      </c>
      <c r="F206" s="132">
        <f t="shared" si="83"/>
        <v>0</v>
      </c>
      <c r="G206" s="132" t="str">
        <f t="shared" si="91"/>
        <v>Open market housing</v>
      </c>
      <c r="H206" s="132">
        <f t="shared" si="84"/>
        <v>896440000</v>
      </c>
      <c r="I206" s="132" t="str">
        <f t="shared" si="74"/>
        <v>New build</v>
      </c>
      <c r="J206" s="132">
        <f t="shared" si="85"/>
        <v>391930000</v>
      </c>
      <c r="K206" s="132">
        <f t="shared" si="75"/>
        <v>0</v>
      </c>
      <c r="L206" s="132">
        <f t="shared" si="86"/>
        <v>0</v>
      </c>
      <c r="M206" s="132">
        <f t="shared" si="92"/>
        <v>0</v>
      </c>
      <c r="N206" s="134">
        <f t="shared" si="87"/>
        <v>0</v>
      </c>
      <c r="O206" s="135">
        <f t="shared" si="88"/>
        <v>0</v>
      </c>
      <c r="P206" s="132" t="str">
        <f t="shared" si="76"/>
        <v/>
      </c>
      <c r="Q206" s="132" t="str">
        <f t="shared" si="90"/>
        <v/>
      </c>
      <c r="R206" s="132" t="str">
        <f>IF(ISNUMBER(SEARCH("AHO",Import2[[#This Row],[Tenure]])),"AHO",Import2[[#This Row],[Tenure]])&amp;Import2[[#This Row],[Expected Physical Completion Year]]&amp;Import2[[#This Row],[Expected Physical Completion Month]]</f>
        <v>Open market housing</v>
      </c>
      <c r="S206" s="135">
        <f t="shared" si="89"/>
        <v>0</v>
      </c>
      <c r="T206" s="132" t="str">
        <f t="shared" si="93"/>
        <v/>
      </c>
      <c r="U206" s="132" t="str">
        <f t="shared" si="93"/>
        <v/>
      </c>
      <c r="V206" s="132" t="str">
        <f>IF(ISNUMBER(SEARCH("AHO",Import2[[#This Row],[Tenure]])),"AHO",Import2[[#This Row],[Tenure]])&amp;Import2[[#This Row],[Expected sale completion year]]&amp;Import2[[#This Row],[Expected sale completion month]]</f>
        <v>Open market housing</v>
      </c>
      <c r="W206" s="178">
        <f t="shared" si="77"/>
        <v>0</v>
      </c>
    </row>
    <row r="207" spans="1:23" ht="15" customHeight="1">
      <c r="A207" s="132">
        <f t="shared" si="81"/>
        <v>0</v>
      </c>
      <c r="B207" s="133">
        <v>204</v>
      </c>
      <c r="C207" s="132" t="str">
        <f t="shared" si="82"/>
        <v/>
      </c>
      <c r="D207" s="132">
        <f t="shared" si="91"/>
        <v>0</v>
      </c>
      <c r="E207" s="132">
        <f t="shared" si="91"/>
        <v>0</v>
      </c>
      <c r="F207" s="132">
        <f t="shared" si="83"/>
        <v>0</v>
      </c>
      <c r="G207" s="132" t="str">
        <f t="shared" si="91"/>
        <v>Open market housing</v>
      </c>
      <c r="H207" s="132">
        <f t="shared" si="84"/>
        <v>896440000</v>
      </c>
      <c r="I207" s="132" t="str">
        <f t="shared" si="74"/>
        <v>New build</v>
      </c>
      <c r="J207" s="132">
        <f t="shared" si="85"/>
        <v>391930000</v>
      </c>
      <c r="K207" s="132">
        <f t="shared" si="75"/>
        <v>0</v>
      </c>
      <c r="L207" s="132">
        <f t="shared" si="86"/>
        <v>0</v>
      </c>
      <c r="M207" s="132">
        <f t="shared" si="92"/>
        <v>0</v>
      </c>
      <c r="N207" s="134">
        <f t="shared" si="87"/>
        <v>0</v>
      </c>
      <c r="O207" s="135">
        <f t="shared" si="88"/>
        <v>0</v>
      </c>
      <c r="P207" s="132" t="str">
        <f t="shared" si="76"/>
        <v/>
      </c>
      <c r="Q207" s="132" t="str">
        <f t="shared" si="90"/>
        <v/>
      </c>
      <c r="R207" s="132" t="str">
        <f>IF(ISNUMBER(SEARCH("AHO",Import2[[#This Row],[Tenure]])),"AHO",Import2[[#This Row],[Tenure]])&amp;Import2[[#This Row],[Expected Physical Completion Year]]&amp;Import2[[#This Row],[Expected Physical Completion Month]]</f>
        <v>Open market housing</v>
      </c>
      <c r="S207" s="135">
        <f t="shared" si="89"/>
        <v>0</v>
      </c>
      <c r="T207" s="132" t="str">
        <f t="shared" si="93"/>
        <v/>
      </c>
      <c r="U207" s="132" t="str">
        <f t="shared" si="93"/>
        <v/>
      </c>
      <c r="V207" s="132" t="str">
        <f>IF(ISNUMBER(SEARCH("AHO",Import2[[#This Row],[Tenure]])),"AHO",Import2[[#This Row],[Tenure]])&amp;Import2[[#This Row],[Expected sale completion year]]&amp;Import2[[#This Row],[Expected sale completion month]]</f>
        <v>Open market housing</v>
      </c>
      <c r="W207" s="178">
        <f t="shared" si="77"/>
        <v>0</v>
      </c>
    </row>
    <row r="208" spans="1:23" ht="15" customHeight="1">
      <c r="A208" s="132">
        <f t="shared" si="81"/>
        <v>0</v>
      </c>
      <c r="B208" s="133">
        <v>205</v>
      </c>
      <c r="C208" s="132" t="str">
        <f t="shared" si="82"/>
        <v/>
      </c>
      <c r="D208" s="132">
        <f t="shared" si="91"/>
        <v>0</v>
      </c>
      <c r="E208" s="132">
        <f t="shared" si="91"/>
        <v>0</v>
      </c>
      <c r="F208" s="132">
        <f t="shared" si="83"/>
        <v>0</v>
      </c>
      <c r="G208" s="132" t="str">
        <f t="shared" si="91"/>
        <v>Open market housing</v>
      </c>
      <c r="H208" s="132">
        <f t="shared" si="84"/>
        <v>896440000</v>
      </c>
      <c r="I208" s="132" t="str">
        <f t="shared" si="74"/>
        <v>New build</v>
      </c>
      <c r="J208" s="132">
        <f t="shared" si="85"/>
        <v>391930000</v>
      </c>
      <c r="K208" s="132">
        <f t="shared" si="75"/>
        <v>0</v>
      </c>
      <c r="L208" s="132">
        <f t="shared" si="86"/>
        <v>0</v>
      </c>
      <c r="M208" s="132">
        <f t="shared" si="92"/>
        <v>0</v>
      </c>
      <c r="N208" s="134">
        <f t="shared" si="87"/>
        <v>0</v>
      </c>
      <c r="O208" s="135">
        <f t="shared" si="88"/>
        <v>0</v>
      </c>
      <c r="P208" s="132" t="str">
        <f t="shared" si="76"/>
        <v/>
      </c>
      <c r="Q208" s="132" t="str">
        <f t="shared" si="90"/>
        <v/>
      </c>
      <c r="R208" s="132" t="str">
        <f>IF(ISNUMBER(SEARCH("AHO",Import2[[#This Row],[Tenure]])),"AHO",Import2[[#This Row],[Tenure]])&amp;Import2[[#This Row],[Expected Physical Completion Year]]&amp;Import2[[#This Row],[Expected Physical Completion Month]]</f>
        <v>Open market housing</v>
      </c>
      <c r="S208" s="135">
        <f t="shared" si="89"/>
        <v>0</v>
      </c>
      <c r="T208" s="132" t="str">
        <f t="shared" si="93"/>
        <v/>
      </c>
      <c r="U208" s="132" t="str">
        <f t="shared" si="93"/>
        <v/>
      </c>
      <c r="V208" s="132" t="str">
        <f>IF(ISNUMBER(SEARCH("AHO",Import2[[#This Row],[Tenure]])),"AHO",Import2[[#This Row],[Tenure]])&amp;Import2[[#This Row],[Expected sale completion year]]&amp;Import2[[#This Row],[Expected sale completion month]]</f>
        <v>Open market housing</v>
      </c>
      <c r="W208" s="178">
        <f t="shared" si="77"/>
        <v>0</v>
      </c>
    </row>
    <row r="209" spans="1:23" ht="15" customHeight="1">
      <c r="A209" s="132">
        <f t="shared" si="81"/>
        <v>0</v>
      </c>
      <c r="B209" s="133">
        <v>206</v>
      </c>
      <c r="C209" s="132" t="str">
        <f t="shared" si="82"/>
        <v/>
      </c>
      <c r="D209" s="132">
        <f t="shared" si="91"/>
        <v>0</v>
      </c>
      <c r="E209" s="132">
        <f t="shared" si="91"/>
        <v>0</v>
      </c>
      <c r="F209" s="132">
        <f t="shared" si="83"/>
        <v>0</v>
      </c>
      <c r="G209" s="132" t="str">
        <f t="shared" si="91"/>
        <v>Open market housing</v>
      </c>
      <c r="H209" s="132">
        <f t="shared" si="84"/>
        <v>896440000</v>
      </c>
      <c r="I209" s="132" t="str">
        <f t="shared" si="74"/>
        <v>New build</v>
      </c>
      <c r="J209" s="132">
        <f t="shared" si="85"/>
        <v>391930000</v>
      </c>
      <c r="K209" s="132">
        <f t="shared" si="75"/>
        <v>0</v>
      </c>
      <c r="L209" s="132">
        <f t="shared" si="86"/>
        <v>0</v>
      </c>
      <c r="M209" s="132">
        <f t="shared" si="92"/>
        <v>0</v>
      </c>
      <c r="N209" s="134">
        <f t="shared" si="87"/>
        <v>0</v>
      </c>
      <c r="O209" s="135">
        <f t="shared" si="88"/>
        <v>0</v>
      </c>
      <c r="P209" s="132" t="str">
        <f t="shared" si="76"/>
        <v/>
      </c>
      <c r="Q209" s="132" t="str">
        <f t="shared" si="90"/>
        <v/>
      </c>
      <c r="R209" s="132" t="str">
        <f>IF(ISNUMBER(SEARCH("AHO",Import2[[#This Row],[Tenure]])),"AHO",Import2[[#This Row],[Tenure]])&amp;Import2[[#This Row],[Expected Physical Completion Year]]&amp;Import2[[#This Row],[Expected Physical Completion Month]]</f>
        <v>Open market housing</v>
      </c>
      <c r="S209" s="135">
        <f t="shared" si="89"/>
        <v>0</v>
      </c>
      <c r="T209" s="132" t="str">
        <f t="shared" si="93"/>
        <v/>
      </c>
      <c r="U209" s="132" t="str">
        <f t="shared" si="93"/>
        <v/>
      </c>
      <c r="V209" s="132" t="str">
        <f>IF(ISNUMBER(SEARCH("AHO",Import2[[#This Row],[Tenure]])),"AHO",Import2[[#This Row],[Tenure]])&amp;Import2[[#This Row],[Expected sale completion year]]&amp;Import2[[#This Row],[Expected sale completion month]]</f>
        <v>Open market housing</v>
      </c>
      <c r="W209" s="178">
        <f t="shared" si="77"/>
        <v>0</v>
      </c>
    </row>
    <row r="210" spans="1:23" ht="15" customHeight="1">
      <c r="A210" s="132">
        <f t="shared" si="81"/>
        <v>0</v>
      </c>
      <c r="B210" s="133">
        <v>207</v>
      </c>
      <c r="C210" s="132" t="str">
        <f t="shared" si="82"/>
        <v/>
      </c>
      <c r="D210" s="132">
        <f t="shared" si="91"/>
        <v>0</v>
      </c>
      <c r="E210" s="132">
        <f t="shared" si="91"/>
        <v>0</v>
      </c>
      <c r="F210" s="132">
        <f t="shared" si="83"/>
        <v>0</v>
      </c>
      <c r="G210" s="132" t="str">
        <f t="shared" si="91"/>
        <v>Open market housing</v>
      </c>
      <c r="H210" s="132">
        <f t="shared" si="84"/>
        <v>896440000</v>
      </c>
      <c r="I210" s="132" t="str">
        <f t="shared" si="74"/>
        <v>New build</v>
      </c>
      <c r="J210" s="132">
        <f t="shared" si="85"/>
        <v>391930000</v>
      </c>
      <c r="K210" s="132">
        <f t="shared" si="75"/>
        <v>0</v>
      </c>
      <c r="L210" s="132">
        <f t="shared" si="86"/>
        <v>0</v>
      </c>
      <c r="M210" s="132">
        <f t="shared" si="92"/>
        <v>0</v>
      </c>
      <c r="N210" s="134">
        <f t="shared" si="87"/>
        <v>0</v>
      </c>
      <c r="O210" s="135">
        <f t="shared" si="88"/>
        <v>0</v>
      </c>
      <c r="P210" s="132" t="str">
        <f t="shared" si="76"/>
        <v/>
      </c>
      <c r="Q210" s="132" t="str">
        <f t="shared" si="90"/>
        <v/>
      </c>
      <c r="R210" s="132" t="str">
        <f>IF(ISNUMBER(SEARCH("AHO",Import2[[#This Row],[Tenure]])),"AHO",Import2[[#This Row],[Tenure]])&amp;Import2[[#This Row],[Expected Physical Completion Year]]&amp;Import2[[#This Row],[Expected Physical Completion Month]]</f>
        <v>Open market housing</v>
      </c>
      <c r="S210" s="135">
        <f t="shared" si="89"/>
        <v>0</v>
      </c>
      <c r="T210" s="132" t="str">
        <f t="shared" si="93"/>
        <v/>
      </c>
      <c r="U210" s="132" t="str">
        <f t="shared" si="93"/>
        <v/>
      </c>
      <c r="V210" s="132" t="str">
        <f>IF(ISNUMBER(SEARCH("AHO",Import2[[#This Row],[Tenure]])),"AHO",Import2[[#This Row],[Tenure]])&amp;Import2[[#This Row],[Expected sale completion year]]&amp;Import2[[#This Row],[Expected sale completion month]]</f>
        <v>Open market housing</v>
      </c>
      <c r="W210" s="178">
        <f t="shared" si="77"/>
        <v>0</v>
      </c>
    </row>
    <row r="211" spans="1:23" ht="15" customHeight="1">
      <c r="A211" s="132">
        <f t="shared" si="81"/>
        <v>0</v>
      </c>
      <c r="B211" s="133">
        <v>208</v>
      </c>
      <c r="C211" s="132" t="str">
        <f t="shared" si="82"/>
        <v/>
      </c>
      <c r="D211" s="132">
        <f t="shared" si="91"/>
        <v>0</v>
      </c>
      <c r="E211" s="132">
        <f t="shared" si="91"/>
        <v>0</v>
      </c>
      <c r="F211" s="132">
        <f t="shared" si="83"/>
        <v>0</v>
      </c>
      <c r="G211" s="132" t="str">
        <f t="shared" si="91"/>
        <v>Open market housing</v>
      </c>
      <c r="H211" s="132">
        <f t="shared" si="84"/>
        <v>896440000</v>
      </c>
      <c r="I211" s="132" t="str">
        <f t="shared" si="74"/>
        <v>New build</v>
      </c>
      <c r="J211" s="132">
        <f t="shared" si="85"/>
        <v>391930000</v>
      </c>
      <c r="K211" s="132">
        <f t="shared" si="75"/>
        <v>0</v>
      </c>
      <c r="L211" s="132">
        <f t="shared" si="86"/>
        <v>0</v>
      </c>
      <c r="M211" s="132">
        <f t="shared" si="92"/>
        <v>0</v>
      </c>
      <c r="N211" s="134">
        <f t="shared" si="87"/>
        <v>0</v>
      </c>
      <c r="O211" s="135">
        <f t="shared" si="88"/>
        <v>0</v>
      </c>
      <c r="P211" s="132" t="str">
        <f t="shared" si="76"/>
        <v/>
      </c>
      <c r="Q211" s="132" t="str">
        <f t="shared" si="90"/>
        <v/>
      </c>
      <c r="R211" s="132" t="str">
        <f>IF(ISNUMBER(SEARCH("AHO",Import2[[#This Row],[Tenure]])),"AHO",Import2[[#This Row],[Tenure]])&amp;Import2[[#This Row],[Expected Physical Completion Year]]&amp;Import2[[#This Row],[Expected Physical Completion Month]]</f>
        <v>Open market housing</v>
      </c>
      <c r="S211" s="135">
        <f t="shared" si="89"/>
        <v>0</v>
      </c>
      <c r="T211" s="132" t="str">
        <f t="shared" si="93"/>
        <v/>
      </c>
      <c r="U211" s="132" t="str">
        <f t="shared" si="93"/>
        <v/>
      </c>
      <c r="V211" s="132" t="str">
        <f>IF(ISNUMBER(SEARCH("AHO",Import2[[#This Row],[Tenure]])),"AHO",Import2[[#This Row],[Tenure]])&amp;Import2[[#This Row],[Expected sale completion year]]&amp;Import2[[#This Row],[Expected sale completion month]]</f>
        <v>Open market housing</v>
      </c>
      <c r="W211" s="178">
        <f t="shared" si="77"/>
        <v>0</v>
      </c>
    </row>
    <row r="212" spans="1:23" ht="15" customHeight="1">
      <c r="A212" s="132">
        <f t="shared" si="81"/>
        <v>0</v>
      </c>
      <c r="B212" s="133">
        <v>209</v>
      </c>
      <c r="C212" s="132" t="str">
        <f t="shared" si="82"/>
        <v/>
      </c>
      <c r="D212" s="132">
        <f t="shared" si="91"/>
        <v>0</v>
      </c>
      <c r="E212" s="132">
        <f t="shared" si="91"/>
        <v>0</v>
      </c>
      <c r="F212" s="132">
        <f t="shared" si="83"/>
        <v>0</v>
      </c>
      <c r="G212" s="132" t="str">
        <f t="shared" si="91"/>
        <v>Open market housing</v>
      </c>
      <c r="H212" s="132">
        <f t="shared" si="84"/>
        <v>896440000</v>
      </c>
      <c r="I212" s="132" t="str">
        <f t="shared" si="74"/>
        <v>New build</v>
      </c>
      <c r="J212" s="132">
        <f t="shared" si="85"/>
        <v>391930000</v>
      </c>
      <c r="K212" s="132">
        <f t="shared" si="75"/>
        <v>0</v>
      </c>
      <c r="L212" s="132">
        <f t="shared" si="86"/>
        <v>0</v>
      </c>
      <c r="M212" s="132">
        <f t="shared" si="92"/>
        <v>0</v>
      </c>
      <c r="N212" s="134">
        <f t="shared" si="87"/>
        <v>0</v>
      </c>
      <c r="O212" s="135">
        <f t="shared" si="88"/>
        <v>0</v>
      </c>
      <c r="P212" s="132" t="str">
        <f t="shared" si="76"/>
        <v/>
      </c>
      <c r="Q212" s="132" t="str">
        <f t="shared" si="90"/>
        <v/>
      </c>
      <c r="R212" s="132" t="str">
        <f>IF(ISNUMBER(SEARCH("AHO",Import2[[#This Row],[Tenure]])),"AHO",Import2[[#This Row],[Tenure]])&amp;Import2[[#This Row],[Expected Physical Completion Year]]&amp;Import2[[#This Row],[Expected Physical Completion Month]]</f>
        <v>Open market housing</v>
      </c>
      <c r="S212" s="135">
        <f t="shared" si="89"/>
        <v>0</v>
      </c>
      <c r="T212" s="132" t="str">
        <f t="shared" si="93"/>
        <v/>
      </c>
      <c r="U212" s="132" t="str">
        <f t="shared" si="93"/>
        <v/>
      </c>
      <c r="V212" s="132" t="str">
        <f>IF(ISNUMBER(SEARCH("AHO",Import2[[#This Row],[Tenure]])),"AHO",Import2[[#This Row],[Tenure]])&amp;Import2[[#This Row],[Expected sale completion year]]&amp;Import2[[#This Row],[Expected sale completion month]]</f>
        <v>Open market housing</v>
      </c>
      <c r="W212" s="178">
        <f t="shared" si="77"/>
        <v>0</v>
      </c>
    </row>
    <row r="213" spans="1:23" ht="15" customHeight="1">
      <c r="A213" s="132">
        <f t="shared" si="81"/>
        <v>0</v>
      </c>
      <c r="B213" s="133">
        <v>210</v>
      </c>
      <c r="C213" s="132" t="str">
        <f t="shared" si="82"/>
        <v/>
      </c>
      <c r="D213" s="132">
        <f t="shared" si="91"/>
        <v>0</v>
      </c>
      <c r="E213" s="132">
        <f t="shared" si="91"/>
        <v>0</v>
      </c>
      <c r="F213" s="132">
        <f t="shared" si="83"/>
        <v>0</v>
      </c>
      <c r="G213" s="132" t="str">
        <f t="shared" si="91"/>
        <v>Open market housing</v>
      </c>
      <c r="H213" s="132">
        <f t="shared" si="84"/>
        <v>896440000</v>
      </c>
      <c r="I213" s="132" t="str">
        <f t="shared" si="74"/>
        <v>New build</v>
      </c>
      <c r="J213" s="132">
        <f t="shared" si="85"/>
        <v>391930000</v>
      </c>
      <c r="K213" s="132">
        <f t="shared" si="75"/>
        <v>0</v>
      </c>
      <c r="L213" s="132">
        <f t="shared" si="86"/>
        <v>0</v>
      </c>
      <c r="M213" s="132">
        <f t="shared" si="92"/>
        <v>0</v>
      </c>
      <c r="N213" s="134">
        <f t="shared" si="87"/>
        <v>0</v>
      </c>
      <c r="O213" s="135">
        <f t="shared" si="88"/>
        <v>0</v>
      </c>
      <c r="P213" s="132" t="str">
        <f t="shared" si="76"/>
        <v/>
      </c>
      <c r="Q213" s="132" t="str">
        <f t="shared" si="90"/>
        <v/>
      </c>
      <c r="R213" s="132" t="str">
        <f>IF(ISNUMBER(SEARCH("AHO",Import2[[#This Row],[Tenure]])),"AHO",Import2[[#This Row],[Tenure]])&amp;Import2[[#This Row],[Expected Physical Completion Year]]&amp;Import2[[#This Row],[Expected Physical Completion Month]]</f>
        <v>Open market housing</v>
      </c>
      <c r="S213" s="135">
        <f t="shared" si="89"/>
        <v>0</v>
      </c>
      <c r="T213" s="132" t="str">
        <f t="shared" si="93"/>
        <v/>
      </c>
      <c r="U213" s="132" t="str">
        <f t="shared" si="93"/>
        <v/>
      </c>
      <c r="V213" s="132" t="str">
        <f>IF(ISNUMBER(SEARCH("AHO",Import2[[#This Row],[Tenure]])),"AHO",Import2[[#This Row],[Tenure]])&amp;Import2[[#This Row],[Expected sale completion year]]&amp;Import2[[#This Row],[Expected sale completion month]]</f>
        <v>Open market housing</v>
      </c>
      <c r="W213" s="178">
        <f t="shared" si="77"/>
        <v>0</v>
      </c>
    </row>
    <row r="214" spans="1:23" ht="15" customHeight="1">
      <c r="A214" s="132">
        <f t="shared" si="81"/>
        <v>0</v>
      </c>
      <c r="B214" s="133">
        <v>211</v>
      </c>
      <c r="C214" s="132" t="str">
        <f t="shared" si="82"/>
        <v/>
      </c>
      <c r="D214" s="132">
        <f t="shared" si="91"/>
        <v>0</v>
      </c>
      <c r="E214" s="132">
        <f t="shared" si="91"/>
        <v>0</v>
      </c>
      <c r="F214" s="132">
        <f t="shared" si="83"/>
        <v>0</v>
      </c>
      <c r="G214" s="132" t="str">
        <f t="shared" si="91"/>
        <v>Open market housing</v>
      </c>
      <c r="H214" s="132">
        <f t="shared" si="84"/>
        <v>896440000</v>
      </c>
      <c r="I214" s="132" t="str">
        <f t="shared" si="74"/>
        <v>New build</v>
      </c>
      <c r="J214" s="132">
        <f t="shared" si="85"/>
        <v>391930000</v>
      </c>
      <c r="K214" s="132">
        <f t="shared" si="75"/>
        <v>0</v>
      </c>
      <c r="L214" s="132">
        <f t="shared" si="86"/>
        <v>0</v>
      </c>
      <c r="M214" s="132">
        <f t="shared" si="92"/>
        <v>0</v>
      </c>
      <c r="N214" s="134">
        <f t="shared" si="87"/>
        <v>0</v>
      </c>
      <c r="O214" s="135">
        <f t="shared" si="88"/>
        <v>0</v>
      </c>
      <c r="P214" s="132" t="str">
        <f t="shared" si="76"/>
        <v/>
      </c>
      <c r="Q214" s="132" t="str">
        <f t="shared" si="90"/>
        <v/>
      </c>
      <c r="R214" s="132" t="str">
        <f>IF(ISNUMBER(SEARCH("AHO",Import2[[#This Row],[Tenure]])),"AHO",Import2[[#This Row],[Tenure]])&amp;Import2[[#This Row],[Expected Physical Completion Year]]&amp;Import2[[#This Row],[Expected Physical Completion Month]]</f>
        <v>Open market housing</v>
      </c>
      <c r="S214" s="135">
        <f t="shared" si="89"/>
        <v>0</v>
      </c>
      <c r="T214" s="132" t="str">
        <f t="shared" si="93"/>
        <v/>
      </c>
      <c r="U214" s="132" t="str">
        <f t="shared" si="93"/>
        <v/>
      </c>
      <c r="V214" s="132" t="str">
        <f>IF(ISNUMBER(SEARCH("AHO",Import2[[#This Row],[Tenure]])),"AHO",Import2[[#This Row],[Tenure]])&amp;Import2[[#This Row],[Expected sale completion year]]&amp;Import2[[#This Row],[Expected sale completion month]]</f>
        <v>Open market housing</v>
      </c>
      <c r="W214" s="178">
        <f t="shared" si="77"/>
        <v>0</v>
      </c>
    </row>
    <row r="215" spans="1:23" ht="15" customHeight="1">
      <c r="A215" s="132">
        <f t="shared" si="81"/>
        <v>0</v>
      </c>
      <c r="B215" s="133">
        <v>212</v>
      </c>
      <c r="C215" s="132" t="str">
        <f t="shared" si="82"/>
        <v/>
      </c>
      <c r="D215" s="132">
        <f t="shared" si="91"/>
        <v>0</v>
      </c>
      <c r="E215" s="132">
        <f t="shared" si="91"/>
        <v>0</v>
      </c>
      <c r="F215" s="132">
        <f t="shared" si="83"/>
        <v>0</v>
      </c>
      <c r="G215" s="132" t="str">
        <f t="shared" si="91"/>
        <v>Open market housing</v>
      </c>
      <c r="H215" s="132">
        <f t="shared" si="84"/>
        <v>896440000</v>
      </c>
      <c r="I215" s="132" t="str">
        <f t="shared" si="74"/>
        <v>New build</v>
      </c>
      <c r="J215" s="132">
        <f t="shared" si="85"/>
        <v>391930000</v>
      </c>
      <c r="K215" s="132">
        <f t="shared" si="75"/>
        <v>0</v>
      </c>
      <c r="L215" s="132">
        <f t="shared" si="86"/>
        <v>0</v>
      </c>
      <c r="M215" s="132">
        <f t="shared" si="92"/>
        <v>0</v>
      </c>
      <c r="N215" s="134">
        <f t="shared" si="87"/>
        <v>0</v>
      </c>
      <c r="O215" s="135">
        <f t="shared" si="88"/>
        <v>0</v>
      </c>
      <c r="P215" s="132" t="str">
        <f t="shared" si="76"/>
        <v/>
      </c>
      <c r="Q215" s="132" t="str">
        <f t="shared" si="90"/>
        <v/>
      </c>
      <c r="R215" s="132" t="str">
        <f>IF(ISNUMBER(SEARCH("AHO",Import2[[#This Row],[Tenure]])),"AHO",Import2[[#This Row],[Tenure]])&amp;Import2[[#This Row],[Expected Physical Completion Year]]&amp;Import2[[#This Row],[Expected Physical Completion Month]]</f>
        <v>Open market housing</v>
      </c>
      <c r="S215" s="135">
        <f t="shared" si="89"/>
        <v>0</v>
      </c>
      <c r="T215" s="132" t="str">
        <f t="shared" si="93"/>
        <v/>
      </c>
      <c r="U215" s="132" t="str">
        <f t="shared" si="93"/>
        <v/>
      </c>
      <c r="V215" s="132" t="str">
        <f>IF(ISNUMBER(SEARCH("AHO",Import2[[#This Row],[Tenure]])),"AHO",Import2[[#This Row],[Tenure]])&amp;Import2[[#This Row],[Expected sale completion year]]&amp;Import2[[#This Row],[Expected sale completion month]]</f>
        <v>Open market housing</v>
      </c>
      <c r="W215" s="178">
        <f t="shared" si="77"/>
        <v>0</v>
      </c>
    </row>
    <row r="216" spans="1:23" ht="15" customHeight="1">
      <c r="A216" s="132">
        <f t="shared" si="81"/>
        <v>0</v>
      </c>
      <c r="B216" s="133">
        <v>213</v>
      </c>
      <c r="C216" s="132" t="str">
        <f t="shared" si="82"/>
        <v/>
      </c>
      <c r="D216" s="132">
        <f t="shared" si="91"/>
        <v>0</v>
      </c>
      <c r="E216" s="132">
        <f t="shared" si="91"/>
        <v>0</v>
      </c>
      <c r="F216" s="132">
        <f t="shared" si="83"/>
        <v>0</v>
      </c>
      <c r="G216" s="132" t="str">
        <f t="shared" si="91"/>
        <v>Open market housing</v>
      </c>
      <c r="H216" s="132">
        <f t="shared" si="84"/>
        <v>896440000</v>
      </c>
      <c r="I216" s="132" t="str">
        <f t="shared" si="74"/>
        <v>New build</v>
      </c>
      <c r="J216" s="132">
        <f t="shared" si="85"/>
        <v>391930000</v>
      </c>
      <c r="K216" s="132">
        <f t="shared" si="75"/>
        <v>0</v>
      </c>
      <c r="L216" s="132">
        <f t="shared" si="86"/>
        <v>0</v>
      </c>
      <c r="M216" s="132">
        <f t="shared" si="92"/>
        <v>0</v>
      </c>
      <c r="N216" s="134">
        <f t="shared" si="87"/>
        <v>0</v>
      </c>
      <c r="O216" s="135">
        <f t="shared" si="88"/>
        <v>0</v>
      </c>
      <c r="P216" s="132" t="str">
        <f t="shared" si="76"/>
        <v/>
      </c>
      <c r="Q216" s="132" t="str">
        <f t="shared" si="90"/>
        <v/>
      </c>
      <c r="R216" s="132" t="str">
        <f>IF(ISNUMBER(SEARCH("AHO",Import2[[#This Row],[Tenure]])),"AHO",Import2[[#This Row],[Tenure]])&amp;Import2[[#This Row],[Expected Physical Completion Year]]&amp;Import2[[#This Row],[Expected Physical Completion Month]]</f>
        <v>Open market housing</v>
      </c>
      <c r="S216" s="135">
        <f t="shared" si="89"/>
        <v>0</v>
      </c>
      <c r="T216" s="132" t="str">
        <f t="shared" si="93"/>
        <v/>
      </c>
      <c r="U216" s="132" t="str">
        <f t="shared" si="93"/>
        <v/>
      </c>
      <c r="V216" s="132" t="str">
        <f>IF(ISNUMBER(SEARCH("AHO",Import2[[#This Row],[Tenure]])),"AHO",Import2[[#This Row],[Tenure]])&amp;Import2[[#This Row],[Expected sale completion year]]&amp;Import2[[#This Row],[Expected sale completion month]]</f>
        <v>Open market housing</v>
      </c>
      <c r="W216" s="178">
        <f t="shared" si="77"/>
        <v>0</v>
      </c>
    </row>
    <row r="217" spans="1:23" ht="15" customHeight="1">
      <c r="A217" s="132">
        <f t="shared" si="81"/>
        <v>0</v>
      </c>
      <c r="B217" s="133">
        <v>214</v>
      </c>
      <c r="C217" s="132" t="str">
        <f t="shared" si="82"/>
        <v/>
      </c>
      <c r="D217" s="132">
        <f t="shared" si="91"/>
        <v>0</v>
      </c>
      <c r="E217" s="132">
        <f t="shared" si="91"/>
        <v>0</v>
      </c>
      <c r="F217" s="132">
        <f t="shared" si="83"/>
        <v>0</v>
      </c>
      <c r="G217" s="132" t="str">
        <f t="shared" si="91"/>
        <v>Open market housing</v>
      </c>
      <c r="H217" s="132">
        <f t="shared" si="84"/>
        <v>896440000</v>
      </c>
      <c r="I217" s="132" t="str">
        <f t="shared" si="74"/>
        <v>New build</v>
      </c>
      <c r="J217" s="132">
        <f t="shared" si="85"/>
        <v>391930000</v>
      </c>
      <c r="K217" s="132">
        <f t="shared" si="75"/>
        <v>0</v>
      </c>
      <c r="L217" s="132">
        <f t="shared" si="86"/>
        <v>0</v>
      </c>
      <c r="M217" s="132">
        <f t="shared" si="92"/>
        <v>0</v>
      </c>
      <c r="N217" s="134">
        <f t="shared" si="87"/>
        <v>0</v>
      </c>
      <c r="O217" s="135">
        <f t="shared" si="88"/>
        <v>0</v>
      </c>
      <c r="P217" s="132" t="str">
        <f t="shared" si="76"/>
        <v/>
      </c>
      <c r="Q217" s="132" t="str">
        <f t="shared" si="90"/>
        <v/>
      </c>
      <c r="R217" s="132" t="str">
        <f>IF(ISNUMBER(SEARCH("AHO",Import2[[#This Row],[Tenure]])),"AHO",Import2[[#This Row],[Tenure]])&amp;Import2[[#This Row],[Expected Physical Completion Year]]&amp;Import2[[#This Row],[Expected Physical Completion Month]]</f>
        <v>Open market housing</v>
      </c>
      <c r="S217" s="135">
        <f t="shared" si="89"/>
        <v>0</v>
      </c>
      <c r="T217" s="132" t="str">
        <f t="shared" si="93"/>
        <v/>
      </c>
      <c r="U217" s="132" t="str">
        <f t="shared" si="93"/>
        <v/>
      </c>
      <c r="V217" s="132" t="str">
        <f>IF(ISNUMBER(SEARCH("AHO",Import2[[#This Row],[Tenure]])),"AHO",Import2[[#This Row],[Tenure]])&amp;Import2[[#This Row],[Expected sale completion year]]&amp;Import2[[#This Row],[Expected sale completion month]]</f>
        <v>Open market housing</v>
      </c>
      <c r="W217" s="178">
        <f t="shared" si="77"/>
        <v>0</v>
      </c>
    </row>
    <row r="218" spans="1:23" ht="15" customHeight="1">
      <c r="A218" s="132">
        <f t="shared" si="81"/>
        <v>0</v>
      </c>
      <c r="B218" s="133">
        <v>215</v>
      </c>
      <c r="C218" s="132" t="str">
        <f t="shared" si="82"/>
        <v/>
      </c>
      <c r="D218" s="132">
        <f t="shared" si="91"/>
        <v>0</v>
      </c>
      <c r="E218" s="132">
        <f t="shared" si="91"/>
        <v>0</v>
      </c>
      <c r="F218" s="132">
        <f t="shared" si="83"/>
        <v>0</v>
      </c>
      <c r="G218" s="132" t="str">
        <f t="shared" si="91"/>
        <v>Open market housing</v>
      </c>
      <c r="H218" s="132">
        <f t="shared" si="84"/>
        <v>896440000</v>
      </c>
      <c r="I218" s="132" t="str">
        <f t="shared" si="74"/>
        <v>New build</v>
      </c>
      <c r="J218" s="132">
        <f t="shared" si="85"/>
        <v>391930000</v>
      </c>
      <c r="K218" s="132">
        <f t="shared" si="75"/>
        <v>0</v>
      </c>
      <c r="L218" s="132">
        <f t="shared" si="86"/>
        <v>0</v>
      </c>
      <c r="M218" s="132">
        <f t="shared" si="92"/>
        <v>0</v>
      </c>
      <c r="N218" s="134">
        <f t="shared" si="87"/>
        <v>0</v>
      </c>
      <c r="O218" s="135">
        <f t="shared" si="88"/>
        <v>0</v>
      </c>
      <c r="P218" s="132" t="str">
        <f t="shared" si="76"/>
        <v/>
      </c>
      <c r="Q218" s="132" t="str">
        <f t="shared" si="90"/>
        <v/>
      </c>
      <c r="R218" s="132" t="str">
        <f>IF(ISNUMBER(SEARCH("AHO",Import2[[#This Row],[Tenure]])),"AHO",Import2[[#This Row],[Tenure]])&amp;Import2[[#This Row],[Expected Physical Completion Year]]&amp;Import2[[#This Row],[Expected Physical Completion Month]]</f>
        <v>Open market housing</v>
      </c>
      <c r="S218" s="135">
        <f t="shared" si="89"/>
        <v>0</v>
      </c>
      <c r="T218" s="132" t="str">
        <f t="shared" si="93"/>
        <v/>
      </c>
      <c r="U218" s="132" t="str">
        <f t="shared" si="93"/>
        <v/>
      </c>
      <c r="V218" s="132" t="str">
        <f>IF(ISNUMBER(SEARCH("AHO",Import2[[#This Row],[Tenure]])),"AHO",Import2[[#This Row],[Tenure]])&amp;Import2[[#This Row],[Expected sale completion year]]&amp;Import2[[#This Row],[Expected sale completion month]]</f>
        <v>Open market housing</v>
      </c>
      <c r="W218" s="178">
        <f t="shared" si="77"/>
        <v>0</v>
      </c>
    </row>
    <row r="219" spans="1:23" ht="15" customHeight="1">
      <c r="A219" s="132">
        <f t="shared" si="81"/>
        <v>0</v>
      </c>
      <c r="B219" s="133">
        <v>216</v>
      </c>
      <c r="C219" s="132" t="str">
        <f t="shared" si="82"/>
        <v/>
      </c>
      <c r="D219" s="132">
        <f t="shared" si="91"/>
        <v>0</v>
      </c>
      <c r="E219" s="132">
        <f t="shared" si="91"/>
        <v>0</v>
      </c>
      <c r="F219" s="132">
        <f t="shared" si="83"/>
        <v>0</v>
      </c>
      <c r="G219" s="132" t="str">
        <f t="shared" si="91"/>
        <v>Open market housing</v>
      </c>
      <c r="H219" s="132">
        <f t="shared" si="84"/>
        <v>896440000</v>
      </c>
      <c r="I219" s="132" t="str">
        <f t="shared" si="74"/>
        <v>New build</v>
      </c>
      <c r="J219" s="132">
        <f t="shared" si="85"/>
        <v>391930000</v>
      </c>
      <c r="K219" s="132">
        <f t="shared" si="75"/>
        <v>0</v>
      </c>
      <c r="L219" s="132">
        <f t="shared" si="86"/>
        <v>0</v>
      </c>
      <c r="M219" s="132">
        <f t="shared" si="92"/>
        <v>0</v>
      </c>
      <c r="N219" s="134">
        <f t="shared" si="87"/>
        <v>0</v>
      </c>
      <c r="O219" s="135">
        <f t="shared" si="88"/>
        <v>0</v>
      </c>
      <c r="P219" s="132" t="str">
        <f t="shared" si="76"/>
        <v/>
      </c>
      <c r="Q219" s="132" t="str">
        <f t="shared" si="90"/>
        <v/>
      </c>
      <c r="R219" s="132" t="str">
        <f>IF(ISNUMBER(SEARCH("AHO",Import2[[#This Row],[Tenure]])),"AHO",Import2[[#This Row],[Tenure]])&amp;Import2[[#This Row],[Expected Physical Completion Year]]&amp;Import2[[#This Row],[Expected Physical Completion Month]]</f>
        <v>Open market housing</v>
      </c>
      <c r="S219" s="135">
        <f t="shared" si="89"/>
        <v>0</v>
      </c>
      <c r="T219" s="132" t="str">
        <f t="shared" si="93"/>
        <v/>
      </c>
      <c r="U219" s="132" t="str">
        <f t="shared" si="93"/>
        <v/>
      </c>
      <c r="V219" s="132" t="str">
        <f>IF(ISNUMBER(SEARCH("AHO",Import2[[#This Row],[Tenure]])),"AHO",Import2[[#This Row],[Tenure]])&amp;Import2[[#This Row],[Expected sale completion year]]&amp;Import2[[#This Row],[Expected sale completion month]]</f>
        <v>Open market housing</v>
      </c>
      <c r="W219" s="178">
        <f t="shared" si="77"/>
        <v>0</v>
      </c>
    </row>
    <row r="220" spans="1:23" ht="15" customHeight="1">
      <c r="A220" s="132">
        <f t="shared" si="81"/>
        <v>0</v>
      </c>
      <c r="B220" s="133">
        <v>217</v>
      </c>
      <c r="C220" s="132" t="str">
        <f t="shared" si="82"/>
        <v/>
      </c>
      <c r="D220" s="132">
        <f t="shared" si="91"/>
        <v>0</v>
      </c>
      <c r="E220" s="132">
        <f t="shared" si="91"/>
        <v>0</v>
      </c>
      <c r="F220" s="132">
        <f t="shared" si="83"/>
        <v>0</v>
      </c>
      <c r="G220" s="132" t="str">
        <f t="shared" si="91"/>
        <v>Open market housing</v>
      </c>
      <c r="H220" s="132">
        <f t="shared" si="84"/>
        <v>896440000</v>
      </c>
      <c r="I220" s="132" t="str">
        <f t="shared" si="74"/>
        <v>New build</v>
      </c>
      <c r="J220" s="132">
        <f t="shared" si="85"/>
        <v>391930000</v>
      </c>
      <c r="K220" s="132">
        <f t="shared" si="75"/>
        <v>0</v>
      </c>
      <c r="L220" s="132">
        <f t="shared" si="86"/>
        <v>0</v>
      </c>
      <c r="M220" s="132">
        <f t="shared" si="92"/>
        <v>0</v>
      </c>
      <c r="N220" s="134">
        <f t="shared" si="87"/>
        <v>0</v>
      </c>
      <c r="O220" s="135">
        <f t="shared" si="88"/>
        <v>0</v>
      </c>
      <c r="P220" s="132" t="str">
        <f t="shared" si="76"/>
        <v/>
      </c>
      <c r="Q220" s="132" t="str">
        <f t="shared" si="90"/>
        <v/>
      </c>
      <c r="R220" s="132" t="str">
        <f>IF(ISNUMBER(SEARCH("AHO",Import2[[#This Row],[Tenure]])),"AHO",Import2[[#This Row],[Tenure]])&amp;Import2[[#This Row],[Expected Physical Completion Year]]&amp;Import2[[#This Row],[Expected Physical Completion Month]]</f>
        <v>Open market housing</v>
      </c>
      <c r="S220" s="135">
        <f t="shared" si="89"/>
        <v>0</v>
      </c>
      <c r="T220" s="132" t="str">
        <f t="shared" si="93"/>
        <v/>
      </c>
      <c r="U220" s="132" t="str">
        <f t="shared" si="93"/>
        <v/>
      </c>
      <c r="V220" s="132" t="str">
        <f>IF(ISNUMBER(SEARCH("AHO",Import2[[#This Row],[Tenure]])),"AHO",Import2[[#This Row],[Tenure]])&amp;Import2[[#This Row],[Expected sale completion year]]&amp;Import2[[#This Row],[Expected sale completion month]]</f>
        <v>Open market housing</v>
      </c>
      <c r="W220" s="178">
        <f t="shared" si="77"/>
        <v>0</v>
      </c>
    </row>
    <row r="221" spans="1:23" ht="15" customHeight="1">
      <c r="A221" s="132">
        <f t="shared" si="81"/>
        <v>0</v>
      </c>
      <c r="B221" s="133">
        <v>218</v>
      </c>
      <c r="C221" s="132" t="str">
        <f t="shared" si="82"/>
        <v/>
      </c>
      <c r="D221" s="132">
        <f t="shared" si="91"/>
        <v>0</v>
      </c>
      <c r="E221" s="132">
        <f t="shared" si="91"/>
        <v>0</v>
      </c>
      <c r="F221" s="132">
        <f t="shared" si="83"/>
        <v>0</v>
      </c>
      <c r="G221" s="132" t="str">
        <f t="shared" si="91"/>
        <v>Open market housing</v>
      </c>
      <c r="H221" s="132">
        <f t="shared" si="84"/>
        <v>896440000</v>
      </c>
      <c r="I221" s="132" t="str">
        <f t="shared" si="74"/>
        <v>New build</v>
      </c>
      <c r="J221" s="132">
        <f t="shared" si="85"/>
        <v>391930000</v>
      </c>
      <c r="K221" s="132">
        <f t="shared" si="75"/>
        <v>0</v>
      </c>
      <c r="L221" s="132">
        <f t="shared" si="86"/>
        <v>0</v>
      </c>
      <c r="M221" s="132">
        <f t="shared" si="92"/>
        <v>0</v>
      </c>
      <c r="N221" s="134">
        <f t="shared" si="87"/>
        <v>0</v>
      </c>
      <c r="O221" s="135">
        <f t="shared" si="88"/>
        <v>0</v>
      </c>
      <c r="P221" s="132" t="str">
        <f t="shared" si="76"/>
        <v/>
      </c>
      <c r="Q221" s="132" t="str">
        <f t="shared" si="90"/>
        <v/>
      </c>
      <c r="R221" s="132" t="str">
        <f>IF(ISNUMBER(SEARCH("AHO",Import2[[#This Row],[Tenure]])),"AHO",Import2[[#This Row],[Tenure]])&amp;Import2[[#This Row],[Expected Physical Completion Year]]&amp;Import2[[#This Row],[Expected Physical Completion Month]]</f>
        <v>Open market housing</v>
      </c>
      <c r="S221" s="135">
        <f t="shared" si="89"/>
        <v>0</v>
      </c>
      <c r="T221" s="132" t="str">
        <f t="shared" si="93"/>
        <v/>
      </c>
      <c r="U221" s="132" t="str">
        <f t="shared" si="93"/>
        <v/>
      </c>
      <c r="V221" s="132" t="str">
        <f>IF(ISNUMBER(SEARCH("AHO",Import2[[#This Row],[Tenure]])),"AHO",Import2[[#This Row],[Tenure]])&amp;Import2[[#This Row],[Expected sale completion year]]&amp;Import2[[#This Row],[Expected sale completion month]]</f>
        <v>Open market housing</v>
      </c>
      <c r="W221" s="178">
        <f t="shared" si="77"/>
        <v>0</v>
      </c>
    </row>
    <row r="222" spans="1:23" ht="15" customHeight="1">
      <c r="A222" s="132">
        <f t="shared" si="81"/>
        <v>0</v>
      </c>
      <c r="B222" s="133">
        <v>219</v>
      </c>
      <c r="C222" s="132" t="str">
        <f t="shared" si="82"/>
        <v/>
      </c>
      <c r="D222" s="132">
        <f t="shared" si="91"/>
        <v>0</v>
      </c>
      <c r="E222" s="132">
        <f t="shared" si="91"/>
        <v>0</v>
      </c>
      <c r="F222" s="132">
        <f t="shared" si="83"/>
        <v>0</v>
      </c>
      <c r="G222" s="132" t="str">
        <f t="shared" si="91"/>
        <v>Open market housing</v>
      </c>
      <c r="H222" s="132">
        <f t="shared" si="84"/>
        <v>896440000</v>
      </c>
      <c r="I222" s="132" t="str">
        <f t="shared" si="74"/>
        <v>New build</v>
      </c>
      <c r="J222" s="132">
        <f t="shared" si="85"/>
        <v>391930000</v>
      </c>
      <c r="K222" s="132">
        <f t="shared" si="75"/>
        <v>0</v>
      </c>
      <c r="L222" s="132">
        <f t="shared" si="86"/>
        <v>0</v>
      </c>
      <c r="M222" s="132">
        <f t="shared" si="92"/>
        <v>0</v>
      </c>
      <c r="N222" s="134">
        <f t="shared" si="87"/>
        <v>0</v>
      </c>
      <c r="O222" s="135">
        <f t="shared" si="88"/>
        <v>0</v>
      </c>
      <c r="P222" s="132" t="str">
        <f t="shared" si="76"/>
        <v/>
      </c>
      <c r="Q222" s="132" t="str">
        <f t="shared" si="90"/>
        <v/>
      </c>
      <c r="R222" s="132" t="str">
        <f>IF(ISNUMBER(SEARCH("AHO",Import2[[#This Row],[Tenure]])),"AHO",Import2[[#This Row],[Tenure]])&amp;Import2[[#This Row],[Expected Physical Completion Year]]&amp;Import2[[#This Row],[Expected Physical Completion Month]]</f>
        <v>Open market housing</v>
      </c>
      <c r="S222" s="135">
        <f t="shared" si="89"/>
        <v>0</v>
      </c>
      <c r="T222" s="132" t="str">
        <f t="shared" si="93"/>
        <v/>
      </c>
      <c r="U222" s="132" t="str">
        <f t="shared" si="93"/>
        <v/>
      </c>
      <c r="V222" s="132" t="str">
        <f>IF(ISNUMBER(SEARCH("AHO",Import2[[#This Row],[Tenure]])),"AHO",Import2[[#This Row],[Tenure]])&amp;Import2[[#This Row],[Expected sale completion year]]&amp;Import2[[#This Row],[Expected sale completion month]]</f>
        <v>Open market housing</v>
      </c>
      <c r="W222" s="178">
        <f t="shared" si="77"/>
        <v>0</v>
      </c>
    </row>
    <row r="223" spans="1:23" ht="15" customHeight="1">
      <c r="A223" s="132">
        <f t="shared" si="81"/>
        <v>0</v>
      </c>
      <c r="B223" s="133">
        <v>220</v>
      </c>
      <c r="C223" s="132" t="str">
        <f t="shared" si="82"/>
        <v/>
      </c>
      <c r="D223" s="132">
        <f t="shared" si="91"/>
        <v>0</v>
      </c>
      <c r="E223" s="132">
        <f t="shared" si="91"/>
        <v>0</v>
      </c>
      <c r="F223" s="132">
        <f t="shared" si="83"/>
        <v>0</v>
      </c>
      <c r="G223" s="132" t="str">
        <f t="shared" si="91"/>
        <v>Open market housing</v>
      </c>
      <c r="H223" s="132">
        <f t="shared" si="84"/>
        <v>896440000</v>
      </c>
      <c r="I223" s="132" t="str">
        <f t="shared" si="74"/>
        <v>New build</v>
      </c>
      <c r="J223" s="132">
        <f t="shared" si="85"/>
        <v>391930000</v>
      </c>
      <c r="K223" s="132">
        <f t="shared" si="75"/>
        <v>0</v>
      </c>
      <c r="L223" s="132">
        <f t="shared" si="86"/>
        <v>0</v>
      </c>
      <c r="M223" s="132">
        <f t="shared" si="92"/>
        <v>0</v>
      </c>
      <c r="N223" s="134">
        <f t="shared" si="87"/>
        <v>0</v>
      </c>
      <c r="O223" s="135">
        <f t="shared" si="88"/>
        <v>0</v>
      </c>
      <c r="P223" s="132" t="str">
        <f t="shared" si="76"/>
        <v/>
      </c>
      <c r="Q223" s="132" t="str">
        <f t="shared" si="90"/>
        <v/>
      </c>
      <c r="R223" s="132" t="str">
        <f>IF(ISNUMBER(SEARCH("AHO",Import2[[#This Row],[Tenure]])),"AHO",Import2[[#This Row],[Tenure]])&amp;Import2[[#This Row],[Expected Physical Completion Year]]&amp;Import2[[#This Row],[Expected Physical Completion Month]]</f>
        <v>Open market housing</v>
      </c>
      <c r="S223" s="135">
        <f t="shared" si="89"/>
        <v>0</v>
      </c>
      <c r="T223" s="132" t="str">
        <f t="shared" si="93"/>
        <v/>
      </c>
      <c r="U223" s="132" t="str">
        <f t="shared" si="93"/>
        <v/>
      </c>
      <c r="V223" s="132" t="str">
        <f>IF(ISNUMBER(SEARCH("AHO",Import2[[#This Row],[Tenure]])),"AHO",Import2[[#This Row],[Tenure]])&amp;Import2[[#This Row],[Expected sale completion year]]&amp;Import2[[#This Row],[Expected sale completion month]]</f>
        <v>Open market housing</v>
      </c>
      <c r="W223" s="178">
        <f t="shared" si="77"/>
        <v>0</v>
      </c>
    </row>
    <row r="224" spans="1:23" ht="15" customHeight="1">
      <c r="A224" s="132">
        <f t="shared" si="81"/>
        <v>0</v>
      </c>
      <c r="B224" s="133">
        <v>221</v>
      </c>
      <c r="C224" s="132" t="str">
        <f t="shared" si="82"/>
        <v/>
      </c>
      <c r="D224" s="132">
        <f t="shared" ref="D224:G243" si="94">INDEX(PlotData,MATCH($B224,PlotNumber,0),MATCH(D$3,PlotTitles,0))</f>
        <v>0</v>
      </c>
      <c r="E224" s="132">
        <f t="shared" si="94"/>
        <v>0</v>
      </c>
      <c r="F224" s="132">
        <f t="shared" si="83"/>
        <v>0</v>
      </c>
      <c r="G224" s="132" t="str">
        <f t="shared" si="94"/>
        <v>Open market housing</v>
      </c>
      <c r="H224" s="132">
        <f t="shared" si="84"/>
        <v>896440000</v>
      </c>
      <c r="I224" s="132" t="str">
        <f t="shared" si="74"/>
        <v>New build</v>
      </c>
      <c r="J224" s="132">
        <f t="shared" si="85"/>
        <v>391930000</v>
      </c>
      <c r="K224" s="132">
        <f t="shared" si="75"/>
        <v>0</v>
      </c>
      <c r="L224" s="132">
        <f t="shared" si="86"/>
        <v>0</v>
      </c>
      <c r="M224" s="132">
        <f t="shared" ref="M224:M243" si="95">INDEX(PlotData,MATCH($B224,PlotNumber,0),MATCH(M$3,PlotTitles,0))</f>
        <v>0</v>
      </c>
      <c r="N224" s="134">
        <f t="shared" si="87"/>
        <v>0</v>
      </c>
      <c r="O224" s="135">
        <f t="shared" si="88"/>
        <v>0</v>
      </c>
      <c r="P224" s="132" t="str">
        <f t="shared" si="76"/>
        <v/>
      </c>
      <c r="Q224" s="132" t="str">
        <f t="shared" si="90"/>
        <v/>
      </c>
      <c r="R224" s="132" t="str">
        <f>IF(ISNUMBER(SEARCH("AHO",Import2[[#This Row],[Tenure]])),"AHO",Import2[[#This Row],[Tenure]])&amp;Import2[[#This Row],[Expected Physical Completion Year]]&amp;Import2[[#This Row],[Expected Physical Completion Month]]</f>
        <v>Open market housing</v>
      </c>
      <c r="S224" s="135">
        <f t="shared" si="89"/>
        <v>0</v>
      </c>
      <c r="T224" s="132" t="str">
        <f t="shared" ref="T224:U243" si="96">IF(INDEX(PlotData,MATCH($B224,PlotNumber,0),MATCH(T$3,PlotTitles,0))=0,"",INDEX(PlotData,MATCH($B224,PlotNumber,0),MATCH(T$3,PlotTitles,0)))</f>
        <v/>
      </c>
      <c r="U224" s="132" t="str">
        <f t="shared" si="96"/>
        <v/>
      </c>
      <c r="V224" s="132" t="str">
        <f>IF(ISNUMBER(SEARCH("AHO",Import2[[#This Row],[Tenure]])),"AHO",Import2[[#This Row],[Tenure]])&amp;Import2[[#This Row],[Expected sale completion year]]&amp;Import2[[#This Row],[Expected sale completion month]]</f>
        <v>Open market housing</v>
      </c>
      <c r="W224" s="178">
        <f t="shared" si="77"/>
        <v>0</v>
      </c>
    </row>
    <row r="225" spans="1:23" ht="15" customHeight="1">
      <c r="A225" s="132">
        <f t="shared" si="81"/>
        <v>0</v>
      </c>
      <c r="B225" s="133">
        <v>222</v>
      </c>
      <c r="C225" s="132" t="str">
        <f t="shared" si="82"/>
        <v/>
      </c>
      <c r="D225" s="132">
        <f t="shared" si="94"/>
        <v>0</v>
      </c>
      <c r="E225" s="132">
        <f t="shared" si="94"/>
        <v>0</v>
      </c>
      <c r="F225" s="132">
        <f t="shared" si="83"/>
        <v>0</v>
      </c>
      <c r="G225" s="132" t="str">
        <f t="shared" si="94"/>
        <v>Open market housing</v>
      </c>
      <c r="H225" s="132">
        <f t="shared" si="84"/>
        <v>896440000</v>
      </c>
      <c r="I225" s="132" t="str">
        <f t="shared" si="74"/>
        <v>New build</v>
      </c>
      <c r="J225" s="132">
        <f t="shared" si="85"/>
        <v>391930000</v>
      </c>
      <c r="K225" s="132">
        <f t="shared" si="75"/>
        <v>0</v>
      </c>
      <c r="L225" s="132">
        <f t="shared" si="86"/>
        <v>0</v>
      </c>
      <c r="M225" s="132">
        <f t="shared" si="95"/>
        <v>0</v>
      </c>
      <c r="N225" s="134">
        <f t="shared" si="87"/>
        <v>0</v>
      </c>
      <c r="O225" s="135">
        <f t="shared" si="88"/>
        <v>0</v>
      </c>
      <c r="P225" s="132" t="str">
        <f t="shared" si="76"/>
        <v/>
      </c>
      <c r="Q225" s="132" t="str">
        <f t="shared" si="90"/>
        <v/>
      </c>
      <c r="R225" s="132" t="str">
        <f>IF(ISNUMBER(SEARCH("AHO",Import2[[#This Row],[Tenure]])),"AHO",Import2[[#This Row],[Tenure]])&amp;Import2[[#This Row],[Expected Physical Completion Year]]&amp;Import2[[#This Row],[Expected Physical Completion Month]]</f>
        <v>Open market housing</v>
      </c>
      <c r="S225" s="135">
        <f t="shared" si="89"/>
        <v>0</v>
      </c>
      <c r="T225" s="132" t="str">
        <f t="shared" si="96"/>
        <v/>
      </c>
      <c r="U225" s="132" t="str">
        <f t="shared" si="96"/>
        <v/>
      </c>
      <c r="V225" s="132" t="str">
        <f>IF(ISNUMBER(SEARCH("AHO",Import2[[#This Row],[Tenure]])),"AHO",Import2[[#This Row],[Tenure]])&amp;Import2[[#This Row],[Expected sale completion year]]&amp;Import2[[#This Row],[Expected sale completion month]]</f>
        <v>Open market housing</v>
      </c>
      <c r="W225" s="178">
        <f t="shared" si="77"/>
        <v>0</v>
      </c>
    </row>
    <row r="226" spans="1:23" ht="15" customHeight="1">
      <c r="A226" s="132">
        <f t="shared" si="81"/>
        <v>0</v>
      </c>
      <c r="B226" s="133">
        <v>223</v>
      </c>
      <c r="C226" s="132" t="str">
        <f t="shared" si="82"/>
        <v/>
      </c>
      <c r="D226" s="132">
        <f t="shared" si="94"/>
        <v>0</v>
      </c>
      <c r="E226" s="132">
        <f t="shared" si="94"/>
        <v>0</v>
      </c>
      <c r="F226" s="132">
        <f t="shared" si="83"/>
        <v>0</v>
      </c>
      <c r="G226" s="132" t="str">
        <f t="shared" si="94"/>
        <v>Open market housing</v>
      </c>
      <c r="H226" s="132">
        <f t="shared" si="84"/>
        <v>896440000</v>
      </c>
      <c r="I226" s="132" t="str">
        <f t="shared" si="74"/>
        <v>New build</v>
      </c>
      <c r="J226" s="132">
        <f t="shared" si="85"/>
        <v>391930000</v>
      </c>
      <c r="K226" s="132">
        <f t="shared" si="75"/>
        <v>0</v>
      </c>
      <c r="L226" s="132">
        <f t="shared" si="86"/>
        <v>0</v>
      </c>
      <c r="M226" s="132">
        <f t="shared" si="95"/>
        <v>0</v>
      </c>
      <c r="N226" s="134">
        <f t="shared" si="87"/>
        <v>0</v>
      </c>
      <c r="O226" s="135">
        <f t="shared" si="88"/>
        <v>0</v>
      </c>
      <c r="P226" s="132" t="str">
        <f t="shared" si="76"/>
        <v/>
      </c>
      <c r="Q226" s="132" t="str">
        <f t="shared" si="90"/>
        <v/>
      </c>
      <c r="R226" s="132" t="str">
        <f>IF(ISNUMBER(SEARCH("AHO",Import2[[#This Row],[Tenure]])),"AHO",Import2[[#This Row],[Tenure]])&amp;Import2[[#This Row],[Expected Physical Completion Year]]&amp;Import2[[#This Row],[Expected Physical Completion Month]]</f>
        <v>Open market housing</v>
      </c>
      <c r="S226" s="135">
        <f t="shared" si="89"/>
        <v>0</v>
      </c>
      <c r="T226" s="132" t="str">
        <f t="shared" si="96"/>
        <v/>
      </c>
      <c r="U226" s="132" t="str">
        <f t="shared" si="96"/>
        <v/>
      </c>
      <c r="V226" s="132" t="str">
        <f>IF(ISNUMBER(SEARCH("AHO",Import2[[#This Row],[Tenure]])),"AHO",Import2[[#This Row],[Tenure]])&amp;Import2[[#This Row],[Expected sale completion year]]&amp;Import2[[#This Row],[Expected sale completion month]]</f>
        <v>Open market housing</v>
      </c>
      <c r="W226" s="178">
        <f t="shared" si="77"/>
        <v>0</v>
      </c>
    </row>
    <row r="227" spans="1:23" ht="15" customHeight="1">
      <c r="A227" s="132">
        <f t="shared" si="81"/>
        <v>0</v>
      </c>
      <c r="B227" s="133">
        <v>224</v>
      </c>
      <c r="C227" s="132" t="str">
        <f t="shared" si="82"/>
        <v/>
      </c>
      <c r="D227" s="132">
        <f t="shared" si="94"/>
        <v>0</v>
      </c>
      <c r="E227" s="132">
        <f t="shared" si="94"/>
        <v>0</v>
      </c>
      <c r="F227" s="132">
        <f t="shared" si="83"/>
        <v>0</v>
      </c>
      <c r="G227" s="132" t="str">
        <f t="shared" si="94"/>
        <v>Open market housing</v>
      </c>
      <c r="H227" s="132">
        <f t="shared" si="84"/>
        <v>896440000</v>
      </c>
      <c r="I227" s="132" t="str">
        <f t="shared" si="74"/>
        <v>New build</v>
      </c>
      <c r="J227" s="132">
        <f t="shared" si="85"/>
        <v>391930000</v>
      </c>
      <c r="K227" s="132">
        <f t="shared" si="75"/>
        <v>0</v>
      </c>
      <c r="L227" s="132">
        <f t="shared" si="86"/>
        <v>0</v>
      </c>
      <c r="M227" s="132">
        <f t="shared" si="95"/>
        <v>0</v>
      </c>
      <c r="N227" s="134">
        <f t="shared" si="87"/>
        <v>0</v>
      </c>
      <c r="O227" s="135">
        <f t="shared" si="88"/>
        <v>0</v>
      </c>
      <c r="P227" s="132" t="str">
        <f t="shared" si="76"/>
        <v/>
      </c>
      <c r="Q227" s="132" t="str">
        <f t="shared" si="90"/>
        <v/>
      </c>
      <c r="R227" s="132" t="str">
        <f>IF(ISNUMBER(SEARCH("AHO",Import2[[#This Row],[Tenure]])),"AHO",Import2[[#This Row],[Tenure]])&amp;Import2[[#This Row],[Expected Physical Completion Year]]&amp;Import2[[#This Row],[Expected Physical Completion Month]]</f>
        <v>Open market housing</v>
      </c>
      <c r="S227" s="135">
        <f t="shared" si="89"/>
        <v>0</v>
      </c>
      <c r="T227" s="132" t="str">
        <f t="shared" si="96"/>
        <v/>
      </c>
      <c r="U227" s="132" t="str">
        <f t="shared" si="96"/>
        <v/>
      </c>
      <c r="V227" s="132" t="str">
        <f>IF(ISNUMBER(SEARCH("AHO",Import2[[#This Row],[Tenure]])),"AHO",Import2[[#This Row],[Tenure]])&amp;Import2[[#This Row],[Expected sale completion year]]&amp;Import2[[#This Row],[Expected sale completion month]]</f>
        <v>Open market housing</v>
      </c>
      <c r="W227" s="178">
        <f t="shared" si="77"/>
        <v>0</v>
      </c>
    </row>
    <row r="228" spans="1:23" ht="15" customHeight="1">
      <c r="A228" s="132">
        <f t="shared" si="81"/>
        <v>0</v>
      </c>
      <c r="B228" s="133">
        <v>225</v>
      </c>
      <c r="C228" s="132" t="str">
        <f t="shared" si="82"/>
        <v/>
      </c>
      <c r="D228" s="132">
        <f t="shared" si="94"/>
        <v>0</v>
      </c>
      <c r="E228" s="132">
        <f t="shared" si="94"/>
        <v>0</v>
      </c>
      <c r="F228" s="132">
        <f t="shared" si="83"/>
        <v>0</v>
      </c>
      <c r="G228" s="132" t="str">
        <f t="shared" si="94"/>
        <v>Open market housing</v>
      </c>
      <c r="H228" s="132">
        <f t="shared" si="84"/>
        <v>896440000</v>
      </c>
      <c r="I228" s="132" t="str">
        <f t="shared" si="74"/>
        <v>New build</v>
      </c>
      <c r="J228" s="132">
        <f t="shared" si="85"/>
        <v>391930000</v>
      </c>
      <c r="K228" s="132">
        <f t="shared" si="75"/>
        <v>0</v>
      </c>
      <c r="L228" s="132">
        <f t="shared" si="86"/>
        <v>0</v>
      </c>
      <c r="M228" s="132">
        <f t="shared" si="95"/>
        <v>0</v>
      </c>
      <c r="N228" s="134">
        <f t="shared" si="87"/>
        <v>0</v>
      </c>
      <c r="O228" s="135">
        <f t="shared" si="88"/>
        <v>0</v>
      </c>
      <c r="P228" s="132" t="str">
        <f t="shared" si="76"/>
        <v/>
      </c>
      <c r="Q228" s="132" t="str">
        <f t="shared" si="90"/>
        <v/>
      </c>
      <c r="R228" s="132" t="str">
        <f>IF(ISNUMBER(SEARCH("AHO",Import2[[#This Row],[Tenure]])),"AHO",Import2[[#This Row],[Tenure]])&amp;Import2[[#This Row],[Expected Physical Completion Year]]&amp;Import2[[#This Row],[Expected Physical Completion Month]]</f>
        <v>Open market housing</v>
      </c>
      <c r="S228" s="135">
        <f t="shared" si="89"/>
        <v>0</v>
      </c>
      <c r="T228" s="132" t="str">
        <f t="shared" si="96"/>
        <v/>
      </c>
      <c r="U228" s="132" t="str">
        <f t="shared" si="96"/>
        <v/>
      </c>
      <c r="V228" s="132" t="str">
        <f>IF(ISNUMBER(SEARCH("AHO",Import2[[#This Row],[Tenure]])),"AHO",Import2[[#This Row],[Tenure]])&amp;Import2[[#This Row],[Expected sale completion year]]&amp;Import2[[#This Row],[Expected sale completion month]]</f>
        <v>Open market housing</v>
      </c>
      <c r="W228" s="178">
        <f t="shared" si="77"/>
        <v>0</v>
      </c>
    </row>
    <row r="229" spans="1:23" ht="15" customHeight="1">
      <c r="A229" s="132">
        <f t="shared" si="81"/>
        <v>0</v>
      </c>
      <c r="B229" s="133">
        <v>226</v>
      </c>
      <c r="C229" s="132" t="str">
        <f t="shared" si="82"/>
        <v/>
      </c>
      <c r="D229" s="132">
        <f t="shared" si="94"/>
        <v>0</v>
      </c>
      <c r="E229" s="132">
        <f t="shared" si="94"/>
        <v>0</v>
      </c>
      <c r="F229" s="132">
        <f t="shared" si="83"/>
        <v>0</v>
      </c>
      <c r="G229" s="132" t="str">
        <f t="shared" si="94"/>
        <v>Open market housing</v>
      </c>
      <c r="H229" s="132">
        <f t="shared" si="84"/>
        <v>896440000</v>
      </c>
      <c r="I229" s="132" t="str">
        <f t="shared" si="74"/>
        <v>New build</v>
      </c>
      <c r="J229" s="132">
        <f t="shared" si="85"/>
        <v>391930000</v>
      </c>
      <c r="K229" s="132">
        <f t="shared" si="75"/>
        <v>0</v>
      </c>
      <c r="L229" s="132">
        <f t="shared" si="86"/>
        <v>0</v>
      </c>
      <c r="M229" s="132">
        <f t="shared" si="95"/>
        <v>0</v>
      </c>
      <c r="N229" s="134">
        <f t="shared" si="87"/>
        <v>0</v>
      </c>
      <c r="O229" s="135">
        <f t="shared" si="88"/>
        <v>0</v>
      </c>
      <c r="P229" s="132" t="str">
        <f t="shared" si="76"/>
        <v/>
      </c>
      <c r="Q229" s="132" t="str">
        <f t="shared" si="90"/>
        <v/>
      </c>
      <c r="R229" s="132" t="str">
        <f>IF(ISNUMBER(SEARCH("AHO",Import2[[#This Row],[Tenure]])),"AHO",Import2[[#This Row],[Tenure]])&amp;Import2[[#This Row],[Expected Physical Completion Year]]&amp;Import2[[#This Row],[Expected Physical Completion Month]]</f>
        <v>Open market housing</v>
      </c>
      <c r="S229" s="135">
        <f t="shared" si="89"/>
        <v>0</v>
      </c>
      <c r="T229" s="132" t="str">
        <f t="shared" si="96"/>
        <v/>
      </c>
      <c r="U229" s="132" t="str">
        <f t="shared" si="96"/>
        <v/>
      </c>
      <c r="V229" s="132" t="str">
        <f>IF(ISNUMBER(SEARCH("AHO",Import2[[#This Row],[Tenure]])),"AHO",Import2[[#This Row],[Tenure]])&amp;Import2[[#This Row],[Expected sale completion year]]&amp;Import2[[#This Row],[Expected sale completion month]]</f>
        <v>Open market housing</v>
      </c>
      <c r="W229" s="178">
        <f t="shared" si="77"/>
        <v>0</v>
      </c>
    </row>
    <row r="230" spans="1:23" ht="15" customHeight="1">
      <c r="A230" s="132">
        <f t="shared" si="81"/>
        <v>0</v>
      </c>
      <c r="B230" s="133">
        <v>227</v>
      </c>
      <c r="C230" s="132" t="str">
        <f t="shared" si="82"/>
        <v/>
      </c>
      <c r="D230" s="132">
        <f t="shared" si="94"/>
        <v>0</v>
      </c>
      <c r="E230" s="132">
        <f t="shared" si="94"/>
        <v>0</v>
      </c>
      <c r="F230" s="132">
        <f t="shared" si="83"/>
        <v>0</v>
      </c>
      <c r="G230" s="132" t="str">
        <f t="shared" si="94"/>
        <v>Open market housing</v>
      </c>
      <c r="H230" s="132">
        <f t="shared" si="84"/>
        <v>896440000</v>
      </c>
      <c r="I230" s="132" t="str">
        <f t="shared" si="74"/>
        <v>New build</v>
      </c>
      <c r="J230" s="132">
        <f t="shared" si="85"/>
        <v>391930000</v>
      </c>
      <c r="K230" s="132">
        <f t="shared" si="75"/>
        <v>0</v>
      </c>
      <c r="L230" s="132">
        <f t="shared" si="86"/>
        <v>0</v>
      </c>
      <c r="M230" s="132">
        <f t="shared" si="95"/>
        <v>0</v>
      </c>
      <c r="N230" s="134">
        <f t="shared" si="87"/>
        <v>0</v>
      </c>
      <c r="O230" s="135">
        <f t="shared" si="88"/>
        <v>0</v>
      </c>
      <c r="P230" s="132" t="str">
        <f t="shared" si="76"/>
        <v/>
      </c>
      <c r="Q230" s="132" t="str">
        <f t="shared" si="90"/>
        <v/>
      </c>
      <c r="R230" s="132" t="str">
        <f>IF(ISNUMBER(SEARCH("AHO",Import2[[#This Row],[Tenure]])),"AHO",Import2[[#This Row],[Tenure]])&amp;Import2[[#This Row],[Expected Physical Completion Year]]&amp;Import2[[#This Row],[Expected Physical Completion Month]]</f>
        <v>Open market housing</v>
      </c>
      <c r="S230" s="135">
        <f t="shared" si="89"/>
        <v>0</v>
      </c>
      <c r="T230" s="132" t="str">
        <f t="shared" si="96"/>
        <v/>
      </c>
      <c r="U230" s="132" t="str">
        <f t="shared" si="96"/>
        <v/>
      </c>
      <c r="V230" s="132" t="str">
        <f>IF(ISNUMBER(SEARCH("AHO",Import2[[#This Row],[Tenure]])),"AHO",Import2[[#This Row],[Tenure]])&amp;Import2[[#This Row],[Expected sale completion year]]&amp;Import2[[#This Row],[Expected sale completion month]]</f>
        <v>Open market housing</v>
      </c>
      <c r="W230" s="178">
        <f t="shared" si="77"/>
        <v>0</v>
      </c>
    </row>
    <row r="231" spans="1:23" ht="15" customHeight="1">
      <c r="A231" s="132">
        <f t="shared" si="81"/>
        <v>0</v>
      </c>
      <c r="B231" s="133">
        <v>228</v>
      </c>
      <c r="C231" s="132" t="str">
        <f t="shared" si="82"/>
        <v/>
      </c>
      <c r="D231" s="132">
        <f t="shared" si="94"/>
        <v>0</v>
      </c>
      <c r="E231" s="132">
        <f t="shared" si="94"/>
        <v>0</v>
      </c>
      <c r="F231" s="132">
        <f t="shared" si="83"/>
        <v>0</v>
      </c>
      <c r="G231" s="132" t="str">
        <f t="shared" si="94"/>
        <v>Open market housing</v>
      </c>
      <c r="H231" s="132">
        <f t="shared" si="84"/>
        <v>896440000</v>
      </c>
      <c r="I231" s="132" t="str">
        <f t="shared" si="74"/>
        <v>New build</v>
      </c>
      <c r="J231" s="132">
        <f t="shared" si="85"/>
        <v>391930000</v>
      </c>
      <c r="K231" s="132">
        <f t="shared" si="75"/>
        <v>0</v>
      </c>
      <c r="L231" s="132">
        <f t="shared" si="86"/>
        <v>0</v>
      </c>
      <c r="M231" s="132">
        <f t="shared" si="95"/>
        <v>0</v>
      </c>
      <c r="N231" s="134">
        <f t="shared" si="87"/>
        <v>0</v>
      </c>
      <c r="O231" s="135">
        <f t="shared" si="88"/>
        <v>0</v>
      </c>
      <c r="P231" s="132" t="str">
        <f t="shared" si="76"/>
        <v/>
      </c>
      <c r="Q231" s="132" t="str">
        <f t="shared" si="90"/>
        <v/>
      </c>
      <c r="R231" s="132" t="str">
        <f>IF(ISNUMBER(SEARCH("AHO",Import2[[#This Row],[Tenure]])),"AHO",Import2[[#This Row],[Tenure]])&amp;Import2[[#This Row],[Expected Physical Completion Year]]&amp;Import2[[#This Row],[Expected Physical Completion Month]]</f>
        <v>Open market housing</v>
      </c>
      <c r="S231" s="135">
        <f t="shared" si="89"/>
        <v>0</v>
      </c>
      <c r="T231" s="132" t="str">
        <f t="shared" si="96"/>
        <v/>
      </c>
      <c r="U231" s="132" t="str">
        <f t="shared" si="96"/>
        <v/>
      </c>
      <c r="V231" s="132" t="str">
        <f>IF(ISNUMBER(SEARCH("AHO",Import2[[#This Row],[Tenure]])),"AHO",Import2[[#This Row],[Tenure]])&amp;Import2[[#This Row],[Expected sale completion year]]&amp;Import2[[#This Row],[Expected sale completion month]]</f>
        <v>Open market housing</v>
      </c>
      <c r="W231" s="178">
        <f t="shared" si="77"/>
        <v>0</v>
      </c>
    </row>
    <row r="232" spans="1:23" ht="15" customHeight="1">
      <c r="A232" s="132">
        <f t="shared" si="81"/>
        <v>0</v>
      </c>
      <c r="B232" s="133">
        <v>229</v>
      </c>
      <c r="C232" s="132" t="str">
        <f t="shared" si="82"/>
        <v/>
      </c>
      <c r="D232" s="132">
        <f t="shared" si="94"/>
        <v>0</v>
      </c>
      <c r="E232" s="132">
        <f t="shared" si="94"/>
        <v>0</v>
      </c>
      <c r="F232" s="132">
        <f t="shared" si="83"/>
        <v>0</v>
      </c>
      <c r="G232" s="132" t="str">
        <f t="shared" si="94"/>
        <v>Open market housing</v>
      </c>
      <c r="H232" s="132">
        <f t="shared" si="84"/>
        <v>896440000</v>
      </c>
      <c r="I232" s="132" t="str">
        <f t="shared" ref="I232:I295" si="97">INDEX(PlotData,MATCH($B232,PlotNumber,0),MATCH(I$3,PlotTitles,0))</f>
        <v>New build</v>
      </c>
      <c r="J232" s="132">
        <f t="shared" si="85"/>
        <v>391930000</v>
      </c>
      <c r="K232" s="132">
        <f t="shared" ref="K232:K295" si="98">INDEX(PlotData,MATCH($B232,PlotNumber,0),MATCH(K$3,PlotTitles,0))</f>
        <v>0</v>
      </c>
      <c r="L232" s="132">
        <f t="shared" si="86"/>
        <v>0</v>
      </c>
      <c r="M232" s="132">
        <f t="shared" si="95"/>
        <v>0</v>
      </c>
      <c r="N232" s="134">
        <f t="shared" si="87"/>
        <v>0</v>
      </c>
      <c r="O232" s="135">
        <f t="shared" si="88"/>
        <v>0</v>
      </c>
      <c r="P232" s="132" t="str">
        <f t="shared" ref="P232:P295" si="99">IF(INDEX(PlotData,MATCH($B232,PlotNumber,0),MATCH(P$3,PlotTitles,0))=0,"",INDEX(PlotData,MATCH($B232,PlotNumber,0),MATCH(P$3,PlotTitles,0)))</f>
        <v/>
      </c>
      <c r="Q232" s="132" t="str">
        <f t="shared" si="90"/>
        <v/>
      </c>
      <c r="R232" s="132" t="str">
        <f>IF(ISNUMBER(SEARCH("AHO",Import2[[#This Row],[Tenure]])),"AHO",Import2[[#This Row],[Tenure]])&amp;Import2[[#This Row],[Expected Physical Completion Year]]&amp;Import2[[#This Row],[Expected Physical Completion Month]]</f>
        <v>Open market housing</v>
      </c>
      <c r="S232" s="135">
        <f t="shared" si="89"/>
        <v>0</v>
      </c>
      <c r="T232" s="132" t="str">
        <f t="shared" si="96"/>
        <v/>
      </c>
      <c r="U232" s="132" t="str">
        <f t="shared" si="96"/>
        <v/>
      </c>
      <c r="V232" s="132" t="str">
        <f>IF(ISNUMBER(SEARCH("AHO",Import2[[#This Row],[Tenure]])),"AHO",Import2[[#This Row],[Tenure]])&amp;Import2[[#This Row],[Expected sale completion year]]&amp;Import2[[#This Row],[Expected sale completion month]]</f>
        <v>Open market housing</v>
      </c>
      <c r="W232" s="178">
        <f t="shared" ref="W232:W295" si="100">INDEX(PlotData,MATCH($B232,PlotNumber,0),MATCH(W$3,PlotTitles,0))</f>
        <v>0</v>
      </c>
    </row>
    <row r="233" spans="1:23" ht="15" customHeight="1">
      <c r="A233" s="132">
        <f t="shared" si="81"/>
        <v>0</v>
      </c>
      <c r="B233" s="133">
        <v>230</v>
      </c>
      <c r="C233" s="132" t="str">
        <f t="shared" si="82"/>
        <v/>
      </c>
      <c r="D233" s="132">
        <f t="shared" si="94"/>
        <v>0</v>
      </c>
      <c r="E233" s="132">
        <f t="shared" si="94"/>
        <v>0</v>
      </c>
      <c r="F233" s="132">
        <f t="shared" si="83"/>
        <v>0</v>
      </c>
      <c r="G233" s="132" t="str">
        <f t="shared" si="94"/>
        <v>Open market housing</v>
      </c>
      <c r="H233" s="132">
        <f t="shared" si="84"/>
        <v>896440000</v>
      </c>
      <c r="I233" s="132" t="str">
        <f t="shared" si="97"/>
        <v>New build</v>
      </c>
      <c r="J233" s="132">
        <f t="shared" si="85"/>
        <v>391930000</v>
      </c>
      <c r="K233" s="132">
        <f t="shared" si="98"/>
        <v>0</v>
      </c>
      <c r="L233" s="132">
        <f t="shared" si="86"/>
        <v>0</v>
      </c>
      <c r="M233" s="132">
        <f t="shared" si="95"/>
        <v>0</v>
      </c>
      <c r="N233" s="134">
        <f t="shared" si="87"/>
        <v>0</v>
      </c>
      <c r="O233" s="135">
        <f t="shared" si="88"/>
        <v>0</v>
      </c>
      <c r="P233" s="132" t="str">
        <f t="shared" si="99"/>
        <v/>
      </c>
      <c r="Q233" s="132" t="str">
        <f t="shared" si="90"/>
        <v/>
      </c>
      <c r="R233" s="132" t="str">
        <f>IF(ISNUMBER(SEARCH("AHO",Import2[[#This Row],[Tenure]])),"AHO",Import2[[#This Row],[Tenure]])&amp;Import2[[#This Row],[Expected Physical Completion Year]]&amp;Import2[[#This Row],[Expected Physical Completion Month]]</f>
        <v>Open market housing</v>
      </c>
      <c r="S233" s="135">
        <f t="shared" si="89"/>
        <v>0</v>
      </c>
      <c r="T233" s="132" t="str">
        <f t="shared" si="96"/>
        <v/>
      </c>
      <c r="U233" s="132" t="str">
        <f t="shared" si="96"/>
        <v/>
      </c>
      <c r="V233" s="132" t="str">
        <f>IF(ISNUMBER(SEARCH("AHO",Import2[[#This Row],[Tenure]])),"AHO",Import2[[#This Row],[Tenure]])&amp;Import2[[#This Row],[Expected sale completion year]]&amp;Import2[[#This Row],[Expected sale completion month]]</f>
        <v>Open market housing</v>
      </c>
      <c r="W233" s="178">
        <f t="shared" si="100"/>
        <v>0</v>
      </c>
    </row>
    <row r="234" spans="1:23" ht="15" customHeight="1">
      <c r="A234" s="132">
        <f t="shared" si="81"/>
        <v>0</v>
      </c>
      <c r="B234" s="133">
        <v>231</v>
      </c>
      <c r="C234" s="132" t="str">
        <f t="shared" si="82"/>
        <v/>
      </c>
      <c r="D234" s="132">
        <f t="shared" si="94"/>
        <v>0</v>
      </c>
      <c r="E234" s="132">
        <f t="shared" si="94"/>
        <v>0</v>
      </c>
      <c r="F234" s="132">
        <f t="shared" si="83"/>
        <v>0</v>
      </c>
      <c r="G234" s="132" t="str">
        <f t="shared" si="94"/>
        <v>Open market housing</v>
      </c>
      <c r="H234" s="132">
        <f t="shared" si="84"/>
        <v>896440000</v>
      </c>
      <c r="I234" s="132" t="str">
        <f t="shared" si="97"/>
        <v>New build</v>
      </c>
      <c r="J234" s="132">
        <f t="shared" si="85"/>
        <v>391930000</v>
      </c>
      <c r="K234" s="132">
        <f t="shared" si="98"/>
        <v>0</v>
      </c>
      <c r="L234" s="132">
        <f t="shared" si="86"/>
        <v>0</v>
      </c>
      <c r="M234" s="132">
        <f t="shared" si="95"/>
        <v>0</v>
      </c>
      <c r="N234" s="134">
        <f t="shared" si="87"/>
        <v>0</v>
      </c>
      <c r="O234" s="135">
        <f t="shared" si="88"/>
        <v>0</v>
      </c>
      <c r="P234" s="132" t="str">
        <f t="shared" si="99"/>
        <v/>
      </c>
      <c r="Q234" s="132" t="str">
        <f t="shared" si="90"/>
        <v/>
      </c>
      <c r="R234" s="132" t="str">
        <f>IF(ISNUMBER(SEARCH("AHO",Import2[[#This Row],[Tenure]])),"AHO",Import2[[#This Row],[Tenure]])&amp;Import2[[#This Row],[Expected Physical Completion Year]]&amp;Import2[[#This Row],[Expected Physical Completion Month]]</f>
        <v>Open market housing</v>
      </c>
      <c r="S234" s="135">
        <f t="shared" si="89"/>
        <v>0</v>
      </c>
      <c r="T234" s="132" t="str">
        <f t="shared" si="96"/>
        <v/>
      </c>
      <c r="U234" s="132" t="str">
        <f t="shared" si="96"/>
        <v/>
      </c>
      <c r="V234" s="132" t="str">
        <f>IF(ISNUMBER(SEARCH("AHO",Import2[[#This Row],[Tenure]])),"AHO",Import2[[#This Row],[Tenure]])&amp;Import2[[#This Row],[Expected sale completion year]]&amp;Import2[[#This Row],[Expected sale completion month]]</f>
        <v>Open market housing</v>
      </c>
      <c r="W234" s="178">
        <f t="shared" si="100"/>
        <v>0</v>
      </c>
    </row>
    <row r="235" spans="1:23" ht="15" customHeight="1">
      <c r="A235" s="132">
        <f t="shared" si="81"/>
        <v>0</v>
      </c>
      <c r="B235" s="133">
        <v>232</v>
      </c>
      <c r="C235" s="132" t="str">
        <f t="shared" si="82"/>
        <v/>
      </c>
      <c r="D235" s="132">
        <f t="shared" si="94"/>
        <v>0</v>
      </c>
      <c r="E235" s="132">
        <f t="shared" si="94"/>
        <v>0</v>
      </c>
      <c r="F235" s="132">
        <f t="shared" si="83"/>
        <v>0</v>
      </c>
      <c r="G235" s="132" t="str">
        <f t="shared" si="94"/>
        <v>Open market housing</v>
      </c>
      <c r="H235" s="132">
        <f t="shared" si="84"/>
        <v>896440000</v>
      </c>
      <c r="I235" s="132" t="str">
        <f t="shared" si="97"/>
        <v>New build</v>
      </c>
      <c r="J235" s="132">
        <f t="shared" si="85"/>
        <v>391930000</v>
      </c>
      <c r="K235" s="132">
        <f t="shared" si="98"/>
        <v>0</v>
      </c>
      <c r="L235" s="132">
        <f t="shared" si="86"/>
        <v>0</v>
      </c>
      <c r="M235" s="132">
        <f t="shared" si="95"/>
        <v>0</v>
      </c>
      <c r="N235" s="134">
        <f t="shared" si="87"/>
        <v>0</v>
      </c>
      <c r="O235" s="135">
        <f t="shared" si="88"/>
        <v>0</v>
      </c>
      <c r="P235" s="132" t="str">
        <f t="shared" si="99"/>
        <v/>
      </c>
      <c r="Q235" s="132" t="str">
        <f t="shared" si="90"/>
        <v/>
      </c>
      <c r="R235" s="132" t="str">
        <f>IF(ISNUMBER(SEARCH("AHO",Import2[[#This Row],[Tenure]])),"AHO",Import2[[#This Row],[Tenure]])&amp;Import2[[#This Row],[Expected Physical Completion Year]]&amp;Import2[[#This Row],[Expected Physical Completion Month]]</f>
        <v>Open market housing</v>
      </c>
      <c r="S235" s="135">
        <f t="shared" si="89"/>
        <v>0</v>
      </c>
      <c r="T235" s="132" t="str">
        <f t="shared" si="96"/>
        <v/>
      </c>
      <c r="U235" s="132" t="str">
        <f t="shared" si="96"/>
        <v/>
      </c>
      <c r="V235" s="132" t="str">
        <f>IF(ISNUMBER(SEARCH("AHO",Import2[[#This Row],[Tenure]])),"AHO",Import2[[#This Row],[Tenure]])&amp;Import2[[#This Row],[Expected sale completion year]]&amp;Import2[[#This Row],[Expected sale completion month]]</f>
        <v>Open market housing</v>
      </c>
      <c r="W235" s="178">
        <f t="shared" si="100"/>
        <v>0</v>
      </c>
    </row>
    <row r="236" spans="1:23" ht="15" customHeight="1">
      <c r="A236" s="132">
        <f t="shared" si="81"/>
        <v>0</v>
      </c>
      <c r="B236" s="133">
        <v>233</v>
      </c>
      <c r="C236" s="132" t="str">
        <f t="shared" si="82"/>
        <v/>
      </c>
      <c r="D236" s="132">
        <f t="shared" si="94"/>
        <v>0</v>
      </c>
      <c r="E236" s="132">
        <f t="shared" si="94"/>
        <v>0</v>
      </c>
      <c r="F236" s="132">
        <f t="shared" si="83"/>
        <v>0</v>
      </c>
      <c r="G236" s="132" t="str">
        <f t="shared" si="94"/>
        <v>Open market housing</v>
      </c>
      <c r="H236" s="132">
        <f t="shared" si="84"/>
        <v>896440000</v>
      </c>
      <c r="I236" s="132" t="str">
        <f t="shared" si="97"/>
        <v>New build</v>
      </c>
      <c r="J236" s="132">
        <f t="shared" si="85"/>
        <v>391930000</v>
      </c>
      <c r="K236" s="132">
        <f t="shared" si="98"/>
        <v>0</v>
      </c>
      <c r="L236" s="132">
        <f t="shared" si="86"/>
        <v>0</v>
      </c>
      <c r="M236" s="132">
        <f t="shared" si="95"/>
        <v>0</v>
      </c>
      <c r="N236" s="134">
        <f t="shared" si="87"/>
        <v>0</v>
      </c>
      <c r="O236" s="135">
        <f t="shared" si="88"/>
        <v>0</v>
      </c>
      <c r="P236" s="132" t="str">
        <f t="shared" si="99"/>
        <v/>
      </c>
      <c r="Q236" s="132" t="str">
        <f t="shared" si="90"/>
        <v/>
      </c>
      <c r="R236" s="132" t="str">
        <f>IF(ISNUMBER(SEARCH("AHO",Import2[[#This Row],[Tenure]])),"AHO",Import2[[#This Row],[Tenure]])&amp;Import2[[#This Row],[Expected Physical Completion Year]]&amp;Import2[[#This Row],[Expected Physical Completion Month]]</f>
        <v>Open market housing</v>
      </c>
      <c r="S236" s="135">
        <f t="shared" si="89"/>
        <v>0</v>
      </c>
      <c r="T236" s="132" t="str">
        <f t="shared" si="96"/>
        <v/>
      </c>
      <c r="U236" s="132" t="str">
        <f t="shared" si="96"/>
        <v/>
      </c>
      <c r="V236" s="132" t="str">
        <f>IF(ISNUMBER(SEARCH("AHO",Import2[[#This Row],[Tenure]])),"AHO",Import2[[#This Row],[Tenure]])&amp;Import2[[#This Row],[Expected sale completion year]]&amp;Import2[[#This Row],[Expected sale completion month]]</f>
        <v>Open market housing</v>
      </c>
      <c r="W236" s="178">
        <f t="shared" si="100"/>
        <v>0</v>
      </c>
    </row>
    <row r="237" spans="1:23" ht="15" customHeight="1">
      <c r="A237" s="132">
        <f t="shared" si="81"/>
        <v>0</v>
      </c>
      <c r="B237" s="133">
        <v>234</v>
      </c>
      <c r="C237" s="132" t="str">
        <f t="shared" si="82"/>
        <v/>
      </c>
      <c r="D237" s="132">
        <f t="shared" si="94"/>
        <v>0</v>
      </c>
      <c r="E237" s="132">
        <f t="shared" si="94"/>
        <v>0</v>
      </c>
      <c r="F237" s="132">
        <f t="shared" si="83"/>
        <v>0</v>
      </c>
      <c r="G237" s="132" t="str">
        <f t="shared" si="94"/>
        <v>Open market housing</v>
      </c>
      <c r="H237" s="132">
        <f t="shared" si="84"/>
        <v>896440000</v>
      </c>
      <c r="I237" s="132" t="str">
        <f t="shared" si="97"/>
        <v>New build</v>
      </c>
      <c r="J237" s="132">
        <f t="shared" si="85"/>
        <v>391930000</v>
      </c>
      <c r="K237" s="132">
        <f t="shared" si="98"/>
        <v>0</v>
      </c>
      <c r="L237" s="132">
        <f t="shared" si="86"/>
        <v>0</v>
      </c>
      <c r="M237" s="132">
        <f t="shared" si="95"/>
        <v>0</v>
      </c>
      <c r="N237" s="134">
        <f t="shared" si="87"/>
        <v>0</v>
      </c>
      <c r="O237" s="135">
        <f t="shared" si="88"/>
        <v>0</v>
      </c>
      <c r="P237" s="132" t="str">
        <f t="shared" si="99"/>
        <v/>
      </c>
      <c r="Q237" s="132" t="str">
        <f t="shared" si="90"/>
        <v/>
      </c>
      <c r="R237" s="132" t="str">
        <f>IF(ISNUMBER(SEARCH("AHO",Import2[[#This Row],[Tenure]])),"AHO",Import2[[#This Row],[Tenure]])&amp;Import2[[#This Row],[Expected Physical Completion Year]]&amp;Import2[[#This Row],[Expected Physical Completion Month]]</f>
        <v>Open market housing</v>
      </c>
      <c r="S237" s="135">
        <f t="shared" si="89"/>
        <v>0</v>
      </c>
      <c r="T237" s="132" t="str">
        <f t="shared" si="96"/>
        <v/>
      </c>
      <c r="U237" s="132" t="str">
        <f t="shared" si="96"/>
        <v/>
      </c>
      <c r="V237" s="132" t="str">
        <f>IF(ISNUMBER(SEARCH("AHO",Import2[[#This Row],[Tenure]])),"AHO",Import2[[#This Row],[Tenure]])&amp;Import2[[#This Row],[Expected sale completion year]]&amp;Import2[[#This Row],[Expected sale completion month]]</f>
        <v>Open market housing</v>
      </c>
      <c r="W237" s="178">
        <f t="shared" si="100"/>
        <v>0</v>
      </c>
    </row>
    <row r="238" spans="1:23" ht="15" customHeight="1">
      <c r="A238" s="132">
        <f t="shared" si="81"/>
        <v>0</v>
      </c>
      <c r="B238" s="133">
        <v>235</v>
      </c>
      <c r="C238" s="132" t="str">
        <f t="shared" si="82"/>
        <v/>
      </c>
      <c r="D238" s="132">
        <f t="shared" si="94"/>
        <v>0</v>
      </c>
      <c r="E238" s="132">
        <f t="shared" si="94"/>
        <v>0</v>
      </c>
      <c r="F238" s="132">
        <f t="shared" si="83"/>
        <v>0</v>
      </c>
      <c r="G238" s="132" t="str">
        <f t="shared" si="94"/>
        <v>Open market housing</v>
      </c>
      <c r="H238" s="132">
        <f t="shared" si="84"/>
        <v>896440000</v>
      </c>
      <c r="I238" s="132" t="str">
        <f t="shared" si="97"/>
        <v>New build</v>
      </c>
      <c r="J238" s="132">
        <f t="shared" si="85"/>
        <v>391930000</v>
      </c>
      <c r="K238" s="132">
        <f t="shared" si="98"/>
        <v>0</v>
      </c>
      <c r="L238" s="132">
        <f t="shared" si="86"/>
        <v>0</v>
      </c>
      <c r="M238" s="132">
        <f t="shared" si="95"/>
        <v>0</v>
      </c>
      <c r="N238" s="134">
        <f t="shared" si="87"/>
        <v>0</v>
      </c>
      <c r="O238" s="135">
        <f t="shared" si="88"/>
        <v>0</v>
      </c>
      <c r="P238" s="132" t="str">
        <f t="shared" si="99"/>
        <v/>
      </c>
      <c r="Q238" s="132" t="str">
        <f t="shared" si="90"/>
        <v/>
      </c>
      <c r="R238" s="132" t="str">
        <f>IF(ISNUMBER(SEARCH("AHO",Import2[[#This Row],[Tenure]])),"AHO",Import2[[#This Row],[Tenure]])&amp;Import2[[#This Row],[Expected Physical Completion Year]]&amp;Import2[[#This Row],[Expected Physical Completion Month]]</f>
        <v>Open market housing</v>
      </c>
      <c r="S238" s="135">
        <f t="shared" si="89"/>
        <v>0</v>
      </c>
      <c r="T238" s="132" t="str">
        <f t="shared" si="96"/>
        <v/>
      </c>
      <c r="U238" s="132" t="str">
        <f t="shared" si="96"/>
        <v/>
      </c>
      <c r="V238" s="132" t="str">
        <f>IF(ISNUMBER(SEARCH("AHO",Import2[[#This Row],[Tenure]])),"AHO",Import2[[#This Row],[Tenure]])&amp;Import2[[#This Row],[Expected sale completion year]]&amp;Import2[[#This Row],[Expected sale completion month]]</f>
        <v>Open market housing</v>
      </c>
      <c r="W238" s="178">
        <f t="shared" si="100"/>
        <v>0</v>
      </c>
    </row>
    <row r="239" spans="1:23" ht="15" customHeight="1">
      <c r="A239" s="132">
        <f t="shared" si="81"/>
        <v>0</v>
      </c>
      <c r="B239" s="133">
        <v>236</v>
      </c>
      <c r="C239" s="132" t="str">
        <f t="shared" si="82"/>
        <v/>
      </c>
      <c r="D239" s="132">
        <f t="shared" si="94"/>
        <v>0</v>
      </c>
      <c r="E239" s="132">
        <f t="shared" si="94"/>
        <v>0</v>
      </c>
      <c r="F239" s="132">
        <f t="shared" si="83"/>
        <v>0</v>
      </c>
      <c r="G239" s="132" t="str">
        <f t="shared" si="94"/>
        <v>Open market housing</v>
      </c>
      <c r="H239" s="132">
        <f t="shared" si="84"/>
        <v>896440000</v>
      </c>
      <c r="I239" s="132" t="str">
        <f t="shared" si="97"/>
        <v>New build</v>
      </c>
      <c r="J239" s="132">
        <f t="shared" si="85"/>
        <v>391930000</v>
      </c>
      <c r="K239" s="132">
        <f t="shared" si="98"/>
        <v>0</v>
      </c>
      <c r="L239" s="132">
        <f t="shared" si="86"/>
        <v>0</v>
      </c>
      <c r="M239" s="132">
        <f t="shared" si="95"/>
        <v>0</v>
      </c>
      <c r="N239" s="134">
        <f t="shared" si="87"/>
        <v>0</v>
      </c>
      <c r="O239" s="135">
        <f t="shared" si="88"/>
        <v>0</v>
      </c>
      <c r="P239" s="132" t="str">
        <f t="shared" si="99"/>
        <v/>
      </c>
      <c r="Q239" s="132" t="str">
        <f t="shared" si="90"/>
        <v/>
      </c>
      <c r="R239" s="132" t="str">
        <f>IF(ISNUMBER(SEARCH("AHO",Import2[[#This Row],[Tenure]])),"AHO",Import2[[#This Row],[Tenure]])&amp;Import2[[#This Row],[Expected Physical Completion Year]]&amp;Import2[[#This Row],[Expected Physical Completion Month]]</f>
        <v>Open market housing</v>
      </c>
      <c r="S239" s="135">
        <f t="shared" si="89"/>
        <v>0</v>
      </c>
      <c r="T239" s="132" t="str">
        <f t="shared" si="96"/>
        <v/>
      </c>
      <c r="U239" s="132" t="str">
        <f t="shared" si="96"/>
        <v/>
      </c>
      <c r="V239" s="132" t="str">
        <f>IF(ISNUMBER(SEARCH("AHO",Import2[[#This Row],[Tenure]])),"AHO",Import2[[#This Row],[Tenure]])&amp;Import2[[#This Row],[Expected sale completion year]]&amp;Import2[[#This Row],[Expected sale completion month]]</f>
        <v>Open market housing</v>
      </c>
      <c r="W239" s="178">
        <f t="shared" si="100"/>
        <v>0</v>
      </c>
    </row>
    <row r="240" spans="1:23" ht="15" customHeight="1">
      <c r="A240" s="132">
        <f t="shared" si="81"/>
        <v>0</v>
      </c>
      <c r="B240" s="133">
        <v>237</v>
      </c>
      <c r="C240" s="132" t="str">
        <f t="shared" si="82"/>
        <v/>
      </c>
      <c r="D240" s="132">
        <f t="shared" si="94"/>
        <v>0</v>
      </c>
      <c r="E240" s="132">
        <f t="shared" si="94"/>
        <v>0</v>
      </c>
      <c r="F240" s="132">
        <f t="shared" si="83"/>
        <v>0</v>
      </c>
      <c r="G240" s="132" t="str">
        <f t="shared" si="94"/>
        <v>Open market housing</v>
      </c>
      <c r="H240" s="132">
        <f t="shared" si="84"/>
        <v>896440000</v>
      </c>
      <c r="I240" s="132" t="str">
        <f t="shared" si="97"/>
        <v>New build</v>
      </c>
      <c r="J240" s="132">
        <f t="shared" si="85"/>
        <v>391930000</v>
      </c>
      <c r="K240" s="132">
        <f t="shared" si="98"/>
        <v>0</v>
      </c>
      <c r="L240" s="132">
        <f t="shared" si="86"/>
        <v>0</v>
      </c>
      <c r="M240" s="132">
        <f t="shared" si="95"/>
        <v>0</v>
      </c>
      <c r="N240" s="134">
        <f t="shared" si="87"/>
        <v>0</v>
      </c>
      <c r="O240" s="135">
        <f t="shared" si="88"/>
        <v>0</v>
      </c>
      <c r="P240" s="132" t="str">
        <f t="shared" si="99"/>
        <v/>
      </c>
      <c r="Q240" s="132" t="str">
        <f t="shared" si="90"/>
        <v/>
      </c>
      <c r="R240" s="132" t="str">
        <f>IF(ISNUMBER(SEARCH("AHO",Import2[[#This Row],[Tenure]])),"AHO",Import2[[#This Row],[Tenure]])&amp;Import2[[#This Row],[Expected Physical Completion Year]]&amp;Import2[[#This Row],[Expected Physical Completion Month]]</f>
        <v>Open market housing</v>
      </c>
      <c r="S240" s="135">
        <f t="shared" si="89"/>
        <v>0</v>
      </c>
      <c r="T240" s="132" t="str">
        <f t="shared" si="96"/>
        <v/>
      </c>
      <c r="U240" s="132" t="str">
        <f t="shared" si="96"/>
        <v/>
      </c>
      <c r="V240" s="132" t="str">
        <f>IF(ISNUMBER(SEARCH("AHO",Import2[[#This Row],[Tenure]])),"AHO",Import2[[#This Row],[Tenure]])&amp;Import2[[#This Row],[Expected sale completion year]]&amp;Import2[[#This Row],[Expected sale completion month]]</f>
        <v>Open market housing</v>
      </c>
      <c r="W240" s="178">
        <f t="shared" si="100"/>
        <v>0</v>
      </c>
    </row>
    <row r="241" spans="1:23" ht="15" customHeight="1">
      <c r="A241" s="132">
        <f t="shared" si="81"/>
        <v>0</v>
      </c>
      <c r="B241" s="133">
        <v>238</v>
      </c>
      <c r="C241" s="132" t="str">
        <f t="shared" si="82"/>
        <v/>
      </c>
      <c r="D241" s="132">
        <f t="shared" si="94"/>
        <v>0</v>
      </c>
      <c r="E241" s="132">
        <f t="shared" si="94"/>
        <v>0</v>
      </c>
      <c r="F241" s="132">
        <f t="shared" si="83"/>
        <v>0</v>
      </c>
      <c r="G241" s="132" t="str">
        <f t="shared" si="94"/>
        <v>Open market housing</v>
      </c>
      <c r="H241" s="132">
        <f t="shared" si="84"/>
        <v>896440000</v>
      </c>
      <c r="I241" s="132" t="str">
        <f t="shared" si="97"/>
        <v>New build</v>
      </c>
      <c r="J241" s="132">
        <f t="shared" si="85"/>
        <v>391930000</v>
      </c>
      <c r="K241" s="132">
        <f t="shared" si="98"/>
        <v>0</v>
      </c>
      <c r="L241" s="132">
        <f t="shared" si="86"/>
        <v>0</v>
      </c>
      <c r="M241" s="132">
        <f t="shared" si="95"/>
        <v>0</v>
      </c>
      <c r="N241" s="134">
        <f t="shared" si="87"/>
        <v>0</v>
      </c>
      <c r="O241" s="135">
        <f t="shared" si="88"/>
        <v>0</v>
      </c>
      <c r="P241" s="132" t="str">
        <f t="shared" si="99"/>
        <v/>
      </c>
      <c r="Q241" s="132" t="str">
        <f t="shared" si="90"/>
        <v/>
      </c>
      <c r="R241" s="132" t="str">
        <f>IF(ISNUMBER(SEARCH("AHO",Import2[[#This Row],[Tenure]])),"AHO",Import2[[#This Row],[Tenure]])&amp;Import2[[#This Row],[Expected Physical Completion Year]]&amp;Import2[[#This Row],[Expected Physical Completion Month]]</f>
        <v>Open market housing</v>
      </c>
      <c r="S241" s="135">
        <f t="shared" si="89"/>
        <v>0</v>
      </c>
      <c r="T241" s="132" t="str">
        <f t="shared" si="96"/>
        <v/>
      </c>
      <c r="U241" s="132" t="str">
        <f t="shared" si="96"/>
        <v/>
      </c>
      <c r="V241" s="132" t="str">
        <f>IF(ISNUMBER(SEARCH("AHO",Import2[[#This Row],[Tenure]])),"AHO",Import2[[#This Row],[Tenure]])&amp;Import2[[#This Row],[Expected sale completion year]]&amp;Import2[[#This Row],[Expected sale completion month]]</f>
        <v>Open market housing</v>
      </c>
      <c r="W241" s="178">
        <f t="shared" si="100"/>
        <v>0</v>
      </c>
    </row>
    <row r="242" spans="1:23" ht="15" customHeight="1">
      <c r="A242" s="132">
        <f t="shared" si="81"/>
        <v>0</v>
      </c>
      <c r="B242" s="133">
        <v>239</v>
      </c>
      <c r="C242" s="132" t="str">
        <f t="shared" si="82"/>
        <v/>
      </c>
      <c r="D242" s="132">
        <f t="shared" si="94"/>
        <v>0</v>
      </c>
      <c r="E242" s="132">
        <f t="shared" si="94"/>
        <v>0</v>
      </c>
      <c r="F242" s="132">
        <f t="shared" si="83"/>
        <v>0</v>
      </c>
      <c r="G242" s="132" t="str">
        <f t="shared" si="94"/>
        <v>Open market housing</v>
      </c>
      <c r="H242" s="132">
        <f t="shared" si="84"/>
        <v>896440000</v>
      </c>
      <c r="I242" s="132" t="str">
        <f t="shared" si="97"/>
        <v>New build</v>
      </c>
      <c r="J242" s="132">
        <f t="shared" si="85"/>
        <v>391930000</v>
      </c>
      <c r="K242" s="132">
        <f t="shared" si="98"/>
        <v>0</v>
      </c>
      <c r="L242" s="132">
        <f t="shared" si="86"/>
        <v>0</v>
      </c>
      <c r="M242" s="132">
        <f t="shared" si="95"/>
        <v>0</v>
      </c>
      <c r="N242" s="134">
        <f t="shared" si="87"/>
        <v>0</v>
      </c>
      <c r="O242" s="135">
        <f t="shared" si="88"/>
        <v>0</v>
      </c>
      <c r="P242" s="132" t="str">
        <f t="shared" si="99"/>
        <v/>
      </c>
      <c r="Q242" s="132" t="str">
        <f t="shared" si="90"/>
        <v/>
      </c>
      <c r="R242" s="132" t="str">
        <f>IF(ISNUMBER(SEARCH("AHO",Import2[[#This Row],[Tenure]])),"AHO",Import2[[#This Row],[Tenure]])&amp;Import2[[#This Row],[Expected Physical Completion Year]]&amp;Import2[[#This Row],[Expected Physical Completion Month]]</f>
        <v>Open market housing</v>
      </c>
      <c r="S242" s="135">
        <f t="shared" si="89"/>
        <v>0</v>
      </c>
      <c r="T242" s="132" t="str">
        <f t="shared" si="96"/>
        <v/>
      </c>
      <c r="U242" s="132" t="str">
        <f t="shared" si="96"/>
        <v/>
      </c>
      <c r="V242" s="132" t="str">
        <f>IF(ISNUMBER(SEARCH("AHO",Import2[[#This Row],[Tenure]])),"AHO",Import2[[#This Row],[Tenure]])&amp;Import2[[#This Row],[Expected sale completion year]]&amp;Import2[[#This Row],[Expected sale completion month]]</f>
        <v>Open market housing</v>
      </c>
      <c r="W242" s="178">
        <f t="shared" si="100"/>
        <v>0</v>
      </c>
    </row>
    <row r="243" spans="1:23" ht="15" customHeight="1">
      <c r="A243" s="132">
        <f t="shared" si="81"/>
        <v>0</v>
      </c>
      <c r="B243" s="133">
        <v>240</v>
      </c>
      <c r="C243" s="132" t="str">
        <f t="shared" si="82"/>
        <v/>
      </c>
      <c r="D243" s="132">
        <f t="shared" si="94"/>
        <v>0</v>
      </c>
      <c r="E243" s="132">
        <f t="shared" si="94"/>
        <v>0</v>
      </c>
      <c r="F243" s="132">
        <f t="shared" si="83"/>
        <v>0</v>
      </c>
      <c r="G243" s="132" t="str">
        <f t="shared" si="94"/>
        <v>Open market housing</v>
      </c>
      <c r="H243" s="132">
        <f t="shared" si="84"/>
        <v>896440000</v>
      </c>
      <c r="I243" s="132" t="str">
        <f t="shared" si="97"/>
        <v>New build</v>
      </c>
      <c r="J243" s="132">
        <f t="shared" si="85"/>
        <v>391930000</v>
      </c>
      <c r="K243" s="132">
        <f t="shared" si="98"/>
        <v>0</v>
      </c>
      <c r="L243" s="132">
        <f t="shared" si="86"/>
        <v>0</v>
      </c>
      <c r="M243" s="132">
        <f t="shared" si="95"/>
        <v>0</v>
      </c>
      <c r="N243" s="134">
        <f t="shared" si="87"/>
        <v>0</v>
      </c>
      <c r="O243" s="135">
        <f t="shared" si="88"/>
        <v>0</v>
      </c>
      <c r="P243" s="132" t="str">
        <f t="shared" si="99"/>
        <v/>
      </c>
      <c r="Q243" s="132" t="str">
        <f t="shared" si="90"/>
        <v/>
      </c>
      <c r="R243" s="132" t="str">
        <f>IF(ISNUMBER(SEARCH("AHO",Import2[[#This Row],[Tenure]])),"AHO",Import2[[#This Row],[Tenure]])&amp;Import2[[#This Row],[Expected Physical Completion Year]]&amp;Import2[[#This Row],[Expected Physical Completion Month]]</f>
        <v>Open market housing</v>
      </c>
      <c r="S243" s="135">
        <f t="shared" si="89"/>
        <v>0</v>
      </c>
      <c r="T243" s="132" t="str">
        <f t="shared" si="96"/>
        <v/>
      </c>
      <c r="U243" s="132" t="str">
        <f t="shared" si="96"/>
        <v/>
      </c>
      <c r="V243" s="132" t="str">
        <f>IF(ISNUMBER(SEARCH("AHO",Import2[[#This Row],[Tenure]])),"AHO",Import2[[#This Row],[Tenure]])&amp;Import2[[#This Row],[Expected sale completion year]]&amp;Import2[[#This Row],[Expected sale completion month]]</f>
        <v>Open market housing</v>
      </c>
      <c r="W243" s="178">
        <f t="shared" si="100"/>
        <v>0</v>
      </c>
    </row>
    <row r="244" spans="1:23" ht="15" customHeight="1">
      <c r="A244" s="132">
        <f t="shared" si="81"/>
        <v>0</v>
      </c>
      <c r="B244" s="133">
        <v>241</v>
      </c>
      <c r="C244" s="132" t="str">
        <f t="shared" si="82"/>
        <v/>
      </c>
      <c r="D244" s="132">
        <f t="shared" ref="D244:G263" si="101">INDEX(PlotData,MATCH($B244,PlotNumber,0),MATCH(D$3,PlotTitles,0))</f>
        <v>0</v>
      </c>
      <c r="E244" s="132">
        <f t="shared" si="101"/>
        <v>0</v>
      </c>
      <c r="F244" s="132">
        <f t="shared" si="83"/>
        <v>0</v>
      </c>
      <c r="G244" s="132" t="str">
        <f t="shared" si="101"/>
        <v>Open market housing</v>
      </c>
      <c r="H244" s="132">
        <f t="shared" si="84"/>
        <v>896440000</v>
      </c>
      <c r="I244" s="132" t="str">
        <f t="shared" si="97"/>
        <v>New build</v>
      </c>
      <c r="J244" s="132">
        <f t="shared" si="85"/>
        <v>391930000</v>
      </c>
      <c r="K244" s="132">
        <f t="shared" si="98"/>
        <v>0</v>
      </c>
      <c r="L244" s="132">
        <f t="shared" si="86"/>
        <v>0</v>
      </c>
      <c r="M244" s="132">
        <f t="shared" ref="M244:M263" si="102">INDEX(PlotData,MATCH($B244,PlotNumber,0),MATCH(M$3,PlotTitles,0))</f>
        <v>0</v>
      </c>
      <c r="N244" s="134">
        <f t="shared" si="87"/>
        <v>0</v>
      </c>
      <c r="O244" s="135">
        <f t="shared" si="88"/>
        <v>0</v>
      </c>
      <c r="P244" s="132" t="str">
        <f t="shared" si="99"/>
        <v/>
      </c>
      <c r="Q244" s="132" t="str">
        <f t="shared" si="90"/>
        <v/>
      </c>
      <c r="R244" s="132" t="str">
        <f>IF(ISNUMBER(SEARCH("AHO",Import2[[#This Row],[Tenure]])),"AHO",Import2[[#This Row],[Tenure]])&amp;Import2[[#This Row],[Expected Physical Completion Year]]&amp;Import2[[#This Row],[Expected Physical Completion Month]]</f>
        <v>Open market housing</v>
      </c>
      <c r="S244" s="135">
        <f t="shared" si="89"/>
        <v>0</v>
      </c>
      <c r="T244" s="132" t="str">
        <f t="shared" ref="T244:U263" si="103">IF(INDEX(PlotData,MATCH($B244,PlotNumber,0),MATCH(T$3,PlotTitles,0))=0,"",INDEX(PlotData,MATCH($B244,PlotNumber,0),MATCH(T$3,PlotTitles,0)))</f>
        <v/>
      </c>
      <c r="U244" s="132" t="str">
        <f t="shared" si="103"/>
        <v/>
      </c>
      <c r="V244" s="132" t="str">
        <f>IF(ISNUMBER(SEARCH("AHO",Import2[[#This Row],[Tenure]])),"AHO",Import2[[#This Row],[Tenure]])&amp;Import2[[#This Row],[Expected sale completion year]]&amp;Import2[[#This Row],[Expected sale completion month]]</f>
        <v>Open market housing</v>
      </c>
      <c r="W244" s="178">
        <f t="shared" si="100"/>
        <v>0</v>
      </c>
    </row>
    <row r="245" spans="1:23" ht="15" customHeight="1">
      <c r="A245" s="132">
        <f t="shared" si="81"/>
        <v>0</v>
      </c>
      <c r="B245" s="133">
        <v>242</v>
      </c>
      <c r="C245" s="132" t="str">
        <f t="shared" si="82"/>
        <v/>
      </c>
      <c r="D245" s="132">
        <f t="shared" si="101"/>
        <v>0</v>
      </c>
      <c r="E245" s="132">
        <f t="shared" si="101"/>
        <v>0</v>
      </c>
      <c r="F245" s="132">
        <f t="shared" si="83"/>
        <v>0</v>
      </c>
      <c r="G245" s="132" t="str">
        <f t="shared" si="101"/>
        <v>Open market housing</v>
      </c>
      <c r="H245" s="132">
        <f t="shared" si="84"/>
        <v>896440000</v>
      </c>
      <c r="I245" s="132" t="str">
        <f t="shared" si="97"/>
        <v>New build</v>
      </c>
      <c r="J245" s="132">
        <f t="shared" si="85"/>
        <v>391930000</v>
      </c>
      <c r="K245" s="132">
        <f t="shared" si="98"/>
        <v>0</v>
      </c>
      <c r="L245" s="132">
        <f t="shared" si="86"/>
        <v>0</v>
      </c>
      <c r="M245" s="132">
        <f t="shared" si="102"/>
        <v>0</v>
      </c>
      <c r="N245" s="134">
        <f t="shared" si="87"/>
        <v>0</v>
      </c>
      <c r="O245" s="135">
        <f t="shared" si="88"/>
        <v>0</v>
      </c>
      <c r="P245" s="132" t="str">
        <f t="shared" si="99"/>
        <v/>
      </c>
      <c r="Q245" s="132" t="str">
        <f t="shared" si="90"/>
        <v/>
      </c>
      <c r="R245" s="132" t="str">
        <f>IF(ISNUMBER(SEARCH("AHO",Import2[[#This Row],[Tenure]])),"AHO",Import2[[#This Row],[Tenure]])&amp;Import2[[#This Row],[Expected Physical Completion Year]]&amp;Import2[[#This Row],[Expected Physical Completion Month]]</f>
        <v>Open market housing</v>
      </c>
      <c r="S245" s="135">
        <f t="shared" si="89"/>
        <v>0</v>
      </c>
      <c r="T245" s="132" t="str">
        <f t="shared" si="103"/>
        <v/>
      </c>
      <c r="U245" s="132" t="str">
        <f t="shared" si="103"/>
        <v/>
      </c>
      <c r="V245" s="132" t="str">
        <f>IF(ISNUMBER(SEARCH("AHO",Import2[[#This Row],[Tenure]])),"AHO",Import2[[#This Row],[Tenure]])&amp;Import2[[#This Row],[Expected sale completion year]]&amp;Import2[[#This Row],[Expected sale completion month]]</f>
        <v>Open market housing</v>
      </c>
      <c r="W245" s="178">
        <f t="shared" si="100"/>
        <v>0</v>
      </c>
    </row>
    <row r="246" spans="1:23" ht="15" customHeight="1">
      <c r="A246" s="132">
        <f t="shared" si="81"/>
        <v>0</v>
      </c>
      <c r="B246" s="133">
        <v>243</v>
      </c>
      <c r="C246" s="132" t="str">
        <f t="shared" si="82"/>
        <v/>
      </c>
      <c r="D246" s="132">
        <f t="shared" si="101"/>
        <v>0</v>
      </c>
      <c r="E246" s="132">
        <f t="shared" si="101"/>
        <v>0</v>
      </c>
      <c r="F246" s="132">
        <f t="shared" si="83"/>
        <v>0</v>
      </c>
      <c r="G246" s="132" t="str">
        <f t="shared" si="101"/>
        <v>Open market housing</v>
      </c>
      <c r="H246" s="132">
        <f t="shared" si="84"/>
        <v>896440000</v>
      </c>
      <c r="I246" s="132" t="str">
        <f t="shared" si="97"/>
        <v>New build</v>
      </c>
      <c r="J246" s="132">
        <f t="shared" si="85"/>
        <v>391930000</v>
      </c>
      <c r="K246" s="132">
        <f t="shared" si="98"/>
        <v>0</v>
      </c>
      <c r="L246" s="132">
        <f t="shared" si="86"/>
        <v>0</v>
      </c>
      <c r="M246" s="132">
        <f t="shared" si="102"/>
        <v>0</v>
      </c>
      <c r="N246" s="134">
        <f t="shared" si="87"/>
        <v>0</v>
      </c>
      <c r="O246" s="135">
        <f t="shared" si="88"/>
        <v>0</v>
      </c>
      <c r="P246" s="132" t="str">
        <f t="shared" si="99"/>
        <v/>
      </c>
      <c r="Q246" s="132" t="str">
        <f t="shared" si="90"/>
        <v/>
      </c>
      <c r="R246" s="132" t="str">
        <f>IF(ISNUMBER(SEARCH("AHO",Import2[[#This Row],[Tenure]])),"AHO",Import2[[#This Row],[Tenure]])&amp;Import2[[#This Row],[Expected Physical Completion Year]]&amp;Import2[[#This Row],[Expected Physical Completion Month]]</f>
        <v>Open market housing</v>
      </c>
      <c r="S246" s="135">
        <f t="shared" si="89"/>
        <v>0</v>
      </c>
      <c r="T246" s="132" t="str">
        <f t="shared" si="103"/>
        <v/>
      </c>
      <c r="U246" s="132" t="str">
        <f t="shared" si="103"/>
        <v/>
      </c>
      <c r="V246" s="132" t="str">
        <f>IF(ISNUMBER(SEARCH("AHO",Import2[[#This Row],[Tenure]])),"AHO",Import2[[#This Row],[Tenure]])&amp;Import2[[#This Row],[Expected sale completion year]]&amp;Import2[[#This Row],[Expected sale completion month]]</f>
        <v>Open market housing</v>
      </c>
      <c r="W246" s="178">
        <f t="shared" si="100"/>
        <v>0</v>
      </c>
    </row>
    <row r="247" spans="1:23" ht="15" customHeight="1">
      <c r="A247" s="132">
        <f t="shared" si="81"/>
        <v>0</v>
      </c>
      <c r="B247" s="133">
        <v>244</v>
      </c>
      <c r="C247" s="132" t="str">
        <f t="shared" si="82"/>
        <v/>
      </c>
      <c r="D247" s="132">
        <f t="shared" si="101"/>
        <v>0</v>
      </c>
      <c r="E247" s="132">
        <f t="shared" si="101"/>
        <v>0</v>
      </c>
      <c r="F247" s="132">
        <f t="shared" si="83"/>
        <v>0</v>
      </c>
      <c r="G247" s="132" t="str">
        <f t="shared" si="101"/>
        <v>Open market housing</v>
      </c>
      <c r="H247" s="132">
        <f t="shared" si="84"/>
        <v>896440000</v>
      </c>
      <c r="I247" s="132" t="str">
        <f t="shared" si="97"/>
        <v>New build</v>
      </c>
      <c r="J247" s="132">
        <f t="shared" si="85"/>
        <v>391930000</v>
      </c>
      <c r="K247" s="132">
        <f t="shared" si="98"/>
        <v>0</v>
      </c>
      <c r="L247" s="132">
        <f t="shared" si="86"/>
        <v>0</v>
      </c>
      <c r="M247" s="132">
        <f t="shared" si="102"/>
        <v>0</v>
      </c>
      <c r="N247" s="134">
        <f t="shared" si="87"/>
        <v>0</v>
      </c>
      <c r="O247" s="135">
        <f t="shared" si="88"/>
        <v>0</v>
      </c>
      <c r="P247" s="132" t="str">
        <f t="shared" si="99"/>
        <v/>
      </c>
      <c r="Q247" s="132" t="str">
        <f t="shared" si="90"/>
        <v/>
      </c>
      <c r="R247" s="132" t="str">
        <f>IF(ISNUMBER(SEARCH("AHO",Import2[[#This Row],[Tenure]])),"AHO",Import2[[#This Row],[Tenure]])&amp;Import2[[#This Row],[Expected Physical Completion Year]]&amp;Import2[[#This Row],[Expected Physical Completion Month]]</f>
        <v>Open market housing</v>
      </c>
      <c r="S247" s="135">
        <f t="shared" si="89"/>
        <v>0</v>
      </c>
      <c r="T247" s="132" t="str">
        <f t="shared" si="103"/>
        <v/>
      </c>
      <c r="U247" s="132" t="str">
        <f t="shared" si="103"/>
        <v/>
      </c>
      <c r="V247" s="132" t="str">
        <f>IF(ISNUMBER(SEARCH("AHO",Import2[[#This Row],[Tenure]])),"AHO",Import2[[#This Row],[Tenure]])&amp;Import2[[#This Row],[Expected sale completion year]]&amp;Import2[[#This Row],[Expected sale completion month]]</f>
        <v>Open market housing</v>
      </c>
      <c r="W247" s="178">
        <f t="shared" si="100"/>
        <v>0</v>
      </c>
    </row>
    <row r="248" spans="1:23" ht="15" customHeight="1">
      <c r="A248" s="132">
        <f t="shared" si="81"/>
        <v>0</v>
      </c>
      <c r="B248" s="133">
        <v>245</v>
      </c>
      <c r="C248" s="132" t="str">
        <f t="shared" si="82"/>
        <v/>
      </c>
      <c r="D248" s="132">
        <f t="shared" si="101"/>
        <v>0</v>
      </c>
      <c r="E248" s="132">
        <f t="shared" si="101"/>
        <v>0</v>
      </c>
      <c r="F248" s="132">
        <f t="shared" si="83"/>
        <v>0</v>
      </c>
      <c r="G248" s="132" t="str">
        <f t="shared" si="101"/>
        <v>Open market housing</v>
      </c>
      <c r="H248" s="132">
        <f t="shared" si="84"/>
        <v>896440000</v>
      </c>
      <c r="I248" s="132" t="str">
        <f t="shared" si="97"/>
        <v>New build</v>
      </c>
      <c r="J248" s="132">
        <f t="shared" si="85"/>
        <v>391930000</v>
      </c>
      <c r="K248" s="132">
        <f t="shared" si="98"/>
        <v>0</v>
      </c>
      <c r="L248" s="132">
        <f t="shared" si="86"/>
        <v>0</v>
      </c>
      <c r="M248" s="132">
        <f t="shared" si="102"/>
        <v>0</v>
      </c>
      <c r="N248" s="134">
        <f t="shared" si="87"/>
        <v>0</v>
      </c>
      <c r="O248" s="135">
        <f t="shared" si="88"/>
        <v>0</v>
      </c>
      <c r="P248" s="132" t="str">
        <f t="shared" si="99"/>
        <v/>
      </c>
      <c r="Q248" s="132" t="str">
        <f t="shared" si="90"/>
        <v/>
      </c>
      <c r="R248" s="132" t="str">
        <f>IF(ISNUMBER(SEARCH("AHO",Import2[[#This Row],[Tenure]])),"AHO",Import2[[#This Row],[Tenure]])&amp;Import2[[#This Row],[Expected Physical Completion Year]]&amp;Import2[[#This Row],[Expected Physical Completion Month]]</f>
        <v>Open market housing</v>
      </c>
      <c r="S248" s="135">
        <f t="shared" si="89"/>
        <v>0</v>
      </c>
      <c r="T248" s="132" t="str">
        <f t="shared" si="103"/>
        <v/>
      </c>
      <c r="U248" s="132" t="str">
        <f t="shared" si="103"/>
        <v/>
      </c>
      <c r="V248" s="132" t="str">
        <f>IF(ISNUMBER(SEARCH("AHO",Import2[[#This Row],[Tenure]])),"AHO",Import2[[#This Row],[Tenure]])&amp;Import2[[#This Row],[Expected sale completion year]]&amp;Import2[[#This Row],[Expected sale completion month]]</f>
        <v>Open market housing</v>
      </c>
      <c r="W248" s="178">
        <f t="shared" si="100"/>
        <v>0</v>
      </c>
    </row>
    <row r="249" spans="1:23" ht="15" customHeight="1">
      <c r="A249" s="132">
        <f t="shared" si="81"/>
        <v>0</v>
      </c>
      <c r="B249" s="133">
        <v>246</v>
      </c>
      <c r="C249" s="132" t="str">
        <f t="shared" si="82"/>
        <v/>
      </c>
      <c r="D249" s="132">
        <f t="shared" si="101"/>
        <v>0</v>
      </c>
      <c r="E249" s="132">
        <f t="shared" si="101"/>
        <v>0</v>
      </c>
      <c r="F249" s="132">
        <f t="shared" si="83"/>
        <v>0</v>
      </c>
      <c r="G249" s="132" t="str">
        <f t="shared" si="101"/>
        <v>Open market housing</v>
      </c>
      <c r="H249" s="132">
        <f t="shared" si="84"/>
        <v>896440000</v>
      </c>
      <c r="I249" s="132" t="str">
        <f t="shared" si="97"/>
        <v>New build</v>
      </c>
      <c r="J249" s="132">
        <f t="shared" si="85"/>
        <v>391930000</v>
      </c>
      <c r="K249" s="132">
        <f t="shared" si="98"/>
        <v>0</v>
      </c>
      <c r="L249" s="132">
        <f t="shared" si="86"/>
        <v>0</v>
      </c>
      <c r="M249" s="132">
        <f t="shared" si="102"/>
        <v>0</v>
      </c>
      <c r="N249" s="134">
        <f t="shared" si="87"/>
        <v>0</v>
      </c>
      <c r="O249" s="135">
        <f t="shared" si="88"/>
        <v>0</v>
      </c>
      <c r="P249" s="132" t="str">
        <f t="shared" si="99"/>
        <v/>
      </c>
      <c r="Q249" s="132" t="str">
        <f t="shared" si="90"/>
        <v/>
      </c>
      <c r="R249" s="132" t="str">
        <f>IF(ISNUMBER(SEARCH("AHO",Import2[[#This Row],[Tenure]])),"AHO",Import2[[#This Row],[Tenure]])&amp;Import2[[#This Row],[Expected Physical Completion Year]]&amp;Import2[[#This Row],[Expected Physical Completion Month]]</f>
        <v>Open market housing</v>
      </c>
      <c r="S249" s="135">
        <f t="shared" si="89"/>
        <v>0</v>
      </c>
      <c r="T249" s="132" t="str">
        <f t="shared" si="103"/>
        <v/>
      </c>
      <c r="U249" s="132" t="str">
        <f t="shared" si="103"/>
        <v/>
      </c>
      <c r="V249" s="132" t="str">
        <f>IF(ISNUMBER(SEARCH("AHO",Import2[[#This Row],[Tenure]])),"AHO",Import2[[#This Row],[Tenure]])&amp;Import2[[#This Row],[Expected sale completion year]]&amp;Import2[[#This Row],[Expected sale completion month]]</f>
        <v>Open market housing</v>
      </c>
      <c r="W249" s="178">
        <f t="shared" si="100"/>
        <v>0</v>
      </c>
    </row>
    <row r="250" spans="1:23" ht="15" customHeight="1">
      <c r="A250" s="132">
        <f t="shared" si="81"/>
        <v>0</v>
      </c>
      <c r="B250" s="133">
        <v>247</v>
      </c>
      <c r="C250" s="132" t="str">
        <f t="shared" si="82"/>
        <v/>
      </c>
      <c r="D250" s="132">
        <f t="shared" si="101"/>
        <v>0</v>
      </c>
      <c r="E250" s="132">
        <f t="shared" si="101"/>
        <v>0</v>
      </c>
      <c r="F250" s="132">
        <f t="shared" si="83"/>
        <v>0</v>
      </c>
      <c r="G250" s="132" t="str">
        <f t="shared" si="101"/>
        <v>Open market housing</v>
      </c>
      <c r="H250" s="132">
        <f t="shared" si="84"/>
        <v>896440000</v>
      </c>
      <c r="I250" s="132" t="str">
        <f t="shared" si="97"/>
        <v>New build</v>
      </c>
      <c r="J250" s="132">
        <f t="shared" si="85"/>
        <v>391930000</v>
      </c>
      <c r="K250" s="132">
        <f t="shared" si="98"/>
        <v>0</v>
      </c>
      <c r="L250" s="132">
        <f t="shared" si="86"/>
        <v>0</v>
      </c>
      <c r="M250" s="132">
        <f t="shared" si="102"/>
        <v>0</v>
      </c>
      <c r="N250" s="134">
        <f t="shared" si="87"/>
        <v>0</v>
      </c>
      <c r="O250" s="135">
        <f t="shared" si="88"/>
        <v>0</v>
      </c>
      <c r="P250" s="132" t="str">
        <f t="shared" si="99"/>
        <v/>
      </c>
      <c r="Q250" s="132" t="str">
        <f t="shared" si="90"/>
        <v/>
      </c>
      <c r="R250" s="132" t="str">
        <f>IF(ISNUMBER(SEARCH("AHO",Import2[[#This Row],[Tenure]])),"AHO",Import2[[#This Row],[Tenure]])&amp;Import2[[#This Row],[Expected Physical Completion Year]]&amp;Import2[[#This Row],[Expected Physical Completion Month]]</f>
        <v>Open market housing</v>
      </c>
      <c r="S250" s="135">
        <f t="shared" si="89"/>
        <v>0</v>
      </c>
      <c r="T250" s="132" t="str">
        <f t="shared" si="103"/>
        <v/>
      </c>
      <c r="U250" s="132" t="str">
        <f t="shared" si="103"/>
        <v/>
      </c>
      <c r="V250" s="132" t="str">
        <f>IF(ISNUMBER(SEARCH("AHO",Import2[[#This Row],[Tenure]])),"AHO",Import2[[#This Row],[Tenure]])&amp;Import2[[#This Row],[Expected sale completion year]]&amp;Import2[[#This Row],[Expected sale completion month]]</f>
        <v>Open market housing</v>
      </c>
      <c r="W250" s="178">
        <f t="shared" si="100"/>
        <v>0</v>
      </c>
    </row>
    <row r="251" spans="1:23" ht="15" customHeight="1">
      <c r="A251" s="132">
        <f t="shared" si="81"/>
        <v>0</v>
      </c>
      <c r="B251" s="133">
        <v>248</v>
      </c>
      <c r="C251" s="132" t="str">
        <f t="shared" si="82"/>
        <v/>
      </c>
      <c r="D251" s="132">
        <f t="shared" si="101"/>
        <v>0</v>
      </c>
      <c r="E251" s="132">
        <f t="shared" si="101"/>
        <v>0</v>
      </c>
      <c r="F251" s="132">
        <f t="shared" si="83"/>
        <v>0</v>
      </c>
      <c r="G251" s="132" t="str">
        <f t="shared" si="101"/>
        <v>Open market housing</v>
      </c>
      <c r="H251" s="132">
        <f t="shared" si="84"/>
        <v>896440000</v>
      </c>
      <c r="I251" s="132" t="str">
        <f t="shared" si="97"/>
        <v>New build</v>
      </c>
      <c r="J251" s="132">
        <f t="shared" si="85"/>
        <v>391930000</v>
      </c>
      <c r="K251" s="132">
        <f t="shared" si="98"/>
        <v>0</v>
      </c>
      <c r="L251" s="132">
        <f t="shared" si="86"/>
        <v>0</v>
      </c>
      <c r="M251" s="132">
        <f t="shared" si="102"/>
        <v>0</v>
      </c>
      <c r="N251" s="134">
        <f t="shared" si="87"/>
        <v>0</v>
      </c>
      <c r="O251" s="135">
        <f t="shared" si="88"/>
        <v>0</v>
      </c>
      <c r="P251" s="132" t="str">
        <f t="shared" si="99"/>
        <v/>
      </c>
      <c r="Q251" s="132" t="str">
        <f t="shared" si="90"/>
        <v/>
      </c>
      <c r="R251" s="132" t="str">
        <f>IF(ISNUMBER(SEARCH("AHO",Import2[[#This Row],[Tenure]])),"AHO",Import2[[#This Row],[Tenure]])&amp;Import2[[#This Row],[Expected Physical Completion Year]]&amp;Import2[[#This Row],[Expected Physical Completion Month]]</f>
        <v>Open market housing</v>
      </c>
      <c r="S251" s="135">
        <f t="shared" si="89"/>
        <v>0</v>
      </c>
      <c r="T251" s="132" t="str">
        <f t="shared" si="103"/>
        <v/>
      </c>
      <c r="U251" s="132" t="str">
        <f t="shared" si="103"/>
        <v/>
      </c>
      <c r="V251" s="132" t="str">
        <f>IF(ISNUMBER(SEARCH("AHO",Import2[[#This Row],[Tenure]])),"AHO",Import2[[#This Row],[Tenure]])&amp;Import2[[#This Row],[Expected sale completion year]]&amp;Import2[[#This Row],[Expected sale completion month]]</f>
        <v>Open market housing</v>
      </c>
      <c r="W251" s="178">
        <f t="shared" si="100"/>
        <v>0</v>
      </c>
    </row>
    <row r="252" spans="1:23" ht="15" customHeight="1">
      <c r="A252" s="132">
        <f t="shared" si="81"/>
        <v>0</v>
      </c>
      <c r="B252" s="133">
        <v>249</v>
      </c>
      <c r="C252" s="132" t="str">
        <f t="shared" si="82"/>
        <v/>
      </c>
      <c r="D252" s="132">
        <f t="shared" si="101"/>
        <v>0</v>
      </c>
      <c r="E252" s="132">
        <f t="shared" si="101"/>
        <v>0</v>
      </c>
      <c r="F252" s="132">
        <f t="shared" si="83"/>
        <v>0</v>
      </c>
      <c r="G252" s="132" t="str">
        <f t="shared" si="101"/>
        <v>Open market housing</v>
      </c>
      <c r="H252" s="132">
        <f t="shared" si="84"/>
        <v>896440000</v>
      </c>
      <c r="I252" s="132" t="str">
        <f t="shared" si="97"/>
        <v>New build</v>
      </c>
      <c r="J252" s="132">
        <f t="shared" si="85"/>
        <v>391930000</v>
      </c>
      <c r="K252" s="132">
        <f t="shared" si="98"/>
        <v>0</v>
      </c>
      <c r="L252" s="132">
        <f t="shared" si="86"/>
        <v>0</v>
      </c>
      <c r="M252" s="132">
        <f t="shared" si="102"/>
        <v>0</v>
      </c>
      <c r="N252" s="134">
        <f t="shared" si="87"/>
        <v>0</v>
      </c>
      <c r="O252" s="135">
        <f t="shared" si="88"/>
        <v>0</v>
      </c>
      <c r="P252" s="132" t="str">
        <f t="shared" si="99"/>
        <v/>
      </c>
      <c r="Q252" s="132" t="str">
        <f t="shared" si="90"/>
        <v/>
      </c>
      <c r="R252" s="132" t="str">
        <f>IF(ISNUMBER(SEARCH("AHO",Import2[[#This Row],[Tenure]])),"AHO",Import2[[#This Row],[Tenure]])&amp;Import2[[#This Row],[Expected Physical Completion Year]]&amp;Import2[[#This Row],[Expected Physical Completion Month]]</f>
        <v>Open market housing</v>
      </c>
      <c r="S252" s="135">
        <f t="shared" si="89"/>
        <v>0</v>
      </c>
      <c r="T252" s="132" t="str">
        <f t="shared" si="103"/>
        <v/>
      </c>
      <c r="U252" s="132" t="str">
        <f t="shared" si="103"/>
        <v/>
      </c>
      <c r="V252" s="132" t="str">
        <f>IF(ISNUMBER(SEARCH("AHO",Import2[[#This Row],[Tenure]])),"AHO",Import2[[#This Row],[Tenure]])&amp;Import2[[#This Row],[Expected sale completion year]]&amp;Import2[[#This Row],[Expected sale completion month]]</f>
        <v>Open market housing</v>
      </c>
      <c r="W252" s="178">
        <f t="shared" si="100"/>
        <v>0</v>
      </c>
    </row>
    <row r="253" spans="1:23" ht="15" customHeight="1">
      <c r="A253" s="132">
        <f t="shared" si="81"/>
        <v>0</v>
      </c>
      <c r="B253" s="133">
        <v>250</v>
      </c>
      <c r="C253" s="132" t="str">
        <f t="shared" si="82"/>
        <v/>
      </c>
      <c r="D253" s="132">
        <f t="shared" si="101"/>
        <v>0</v>
      </c>
      <c r="E253" s="132">
        <f t="shared" si="101"/>
        <v>0</v>
      </c>
      <c r="F253" s="132">
        <f t="shared" si="83"/>
        <v>0</v>
      </c>
      <c r="G253" s="132" t="str">
        <f t="shared" si="101"/>
        <v>Open market housing</v>
      </c>
      <c r="H253" s="132">
        <f t="shared" si="84"/>
        <v>896440000</v>
      </c>
      <c r="I253" s="132" t="str">
        <f t="shared" si="97"/>
        <v>New build</v>
      </c>
      <c r="J253" s="132">
        <f t="shared" si="85"/>
        <v>391930000</v>
      </c>
      <c r="K253" s="132">
        <f t="shared" si="98"/>
        <v>0</v>
      </c>
      <c r="L253" s="132">
        <f t="shared" si="86"/>
        <v>0</v>
      </c>
      <c r="M253" s="132">
        <f t="shared" si="102"/>
        <v>0</v>
      </c>
      <c r="N253" s="134">
        <f t="shared" si="87"/>
        <v>0</v>
      </c>
      <c r="O253" s="135">
        <f t="shared" si="88"/>
        <v>0</v>
      </c>
      <c r="P253" s="132" t="str">
        <f t="shared" si="99"/>
        <v/>
      </c>
      <c r="Q253" s="132" t="str">
        <f t="shared" si="90"/>
        <v/>
      </c>
      <c r="R253" s="132" t="str">
        <f>IF(ISNUMBER(SEARCH("AHO",Import2[[#This Row],[Tenure]])),"AHO",Import2[[#This Row],[Tenure]])&amp;Import2[[#This Row],[Expected Physical Completion Year]]&amp;Import2[[#This Row],[Expected Physical Completion Month]]</f>
        <v>Open market housing</v>
      </c>
      <c r="S253" s="135">
        <f t="shared" si="89"/>
        <v>0</v>
      </c>
      <c r="T253" s="132" t="str">
        <f t="shared" si="103"/>
        <v/>
      </c>
      <c r="U253" s="132" t="str">
        <f t="shared" si="103"/>
        <v/>
      </c>
      <c r="V253" s="132" t="str">
        <f>IF(ISNUMBER(SEARCH("AHO",Import2[[#This Row],[Tenure]])),"AHO",Import2[[#This Row],[Tenure]])&amp;Import2[[#This Row],[Expected sale completion year]]&amp;Import2[[#This Row],[Expected sale completion month]]</f>
        <v>Open market housing</v>
      </c>
      <c r="W253" s="178">
        <f t="shared" si="100"/>
        <v>0</v>
      </c>
    </row>
    <row r="254" spans="1:23" ht="15" customHeight="1">
      <c r="A254" s="132">
        <f t="shared" si="81"/>
        <v>0</v>
      </c>
      <c r="B254" s="133">
        <v>251</v>
      </c>
      <c r="C254" s="132" t="str">
        <f t="shared" si="82"/>
        <v/>
      </c>
      <c r="D254" s="132">
        <f t="shared" si="101"/>
        <v>0</v>
      </c>
      <c r="E254" s="132">
        <f t="shared" si="101"/>
        <v>0</v>
      </c>
      <c r="F254" s="132">
        <f t="shared" si="83"/>
        <v>0</v>
      </c>
      <c r="G254" s="132" t="str">
        <f t="shared" si="101"/>
        <v>Open market housing</v>
      </c>
      <c r="H254" s="132">
        <f t="shared" si="84"/>
        <v>896440000</v>
      </c>
      <c r="I254" s="132" t="str">
        <f t="shared" si="97"/>
        <v>New build</v>
      </c>
      <c r="J254" s="132">
        <f t="shared" si="85"/>
        <v>391930000</v>
      </c>
      <c r="K254" s="132">
        <f t="shared" si="98"/>
        <v>0</v>
      </c>
      <c r="L254" s="132">
        <f t="shared" si="86"/>
        <v>0</v>
      </c>
      <c r="M254" s="132">
        <f t="shared" si="102"/>
        <v>0</v>
      </c>
      <c r="N254" s="134">
        <f t="shared" si="87"/>
        <v>0</v>
      </c>
      <c r="O254" s="135">
        <f t="shared" si="88"/>
        <v>0</v>
      </c>
      <c r="P254" s="132" t="str">
        <f t="shared" si="99"/>
        <v/>
      </c>
      <c r="Q254" s="132" t="str">
        <f t="shared" si="90"/>
        <v/>
      </c>
      <c r="R254" s="132" t="str">
        <f>IF(ISNUMBER(SEARCH("AHO",Import2[[#This Row],[Tenure]])),"AHO",Import2[[#This Row],[Tenure]])&amp;Import2[[#This Row],[Expected Physical Completion Year]]&amp;Import2[[#This Row],[Expected Physical Completion Month]]</f>
        <v>Open market housing</v>
      </c>
      <c r="S254" s="135">
        <f t="shared" si="89"/>
        <v>0</v>
      </c>
      <c r="T254" s="132" t="str">
        <f t="shared" si="103"/>
        <v/>
      </c>
      <c r="U254" s="132" t="str">
        <f t="shared" si="103"/>
        <v/>
      </c>
      <c r="V254" s="132" t="str">
        <f>IF(ISNUMBER(SEARCH("AHO",Import2[[#This Row],[Tenure]])),"AHO",Import2[[#This Row],[Tenure]])&amp;Import2[[#This Row],[Expected sale completion year]]&amp;Import2[[#This Row],[Expected sale completion month]]</f>
        <v>Open market housing</v>
      </c>
      <c r="W254" s="178">
        <f t="shared" si="100"/>
        <v>0</v>
      </c>
    </row>
    <row r="255" spans="1:23" ht="15" customHeight="1">
      <c r="A255" s="132">
        <f t="shared" si="81"/>
        <v>0</v>
      </c>
      <c r="B255" s="133">
        <v>252</v>
      </c>
      <c r="C255" s="132" t="str">
        <f t="shared" si="82"/>
        <v/>
      </c>
      <c r="D255" s="132">
        <f t="shared" si="101"/>
        <v>0</v>
      </c>
      <c r="E255" s="132">
        <f t="shared" si="101"/>
        <v>0</v>
      </c>
      <c r="F255" s="132">
        <f t="shared" si="83"/>
        <v>0</v>
      </c>
      <c r="G255" s="132" t="str">
        <f t="shared" si="101"/>
        <v>Open market housing</v>
      </c>
      <c r="H255" s="132">
        <f t="shared" si="84"/>
        <v>896440000</v>
      </c>
      <c r="I255" s="132" t="str">
        <f t="shared" si="97"/>
        <v>New build</v>
      </c>
      <c r="J255" s="132">
        <f t="shared" si="85"/>
        <v>391930000</v>
      </c>
      <c r="K255" s="132">
        <f t="shared" si="98"/>
        <v>0</v>
      </c>
      <c r="L255" s="132">
        <f t="shared" si="86"/>
        <v>0</v>
      </c>
      <c r="M255" s="132">
        <f t="shared" si="102"/>
        <v>0</v>
      </c>
      <c r="N255" s="134">
        <f t="shared" si="87"/>
        <v>0</v>
      </c>
      <c r="O255" s="135">
        <f t="shared" si="88"/>
        <v>0</v>
      </c>
      <c r="P255" s="132" t="str">
        <f t="shared" si="99"/>
        <v/>
      </c>
      <c r="Q255" s="132" t="str">
        <f t="shared" si="90"/>
        <v/>
      </c>
      <c r="R255" s="132" t="str">
        <f>IF(ISNUMBER(SEARCH("AHO",Import2[[#This Row],[Tenure]])),"AHO",Import2[[#This Row],[Tenure]])&amp;Import2[[#This Row],[Expected Physical Completion Year]]&amp;Import2[[#This Row],[Expected Physical Completion Month]]</f>
        <v>Open market housing</v>
      </c>
      <c r="S255" s="135">
        <f t="shared" si="89"/>
        <v>0</v>
      </c>
      <c r="T255" s="132" t="str">
        <f t="shared" si="103"/>
        <v/>
      </c>
      <c r="U255" s="132" t="str">
        <f t="shared" si="103"/>
        <v/>
      </c>
      <c r="V255" s="132" t="str">
        <f>IF(ISNUMBER(SEARCH("AHO",Import2[[#This Row],[Tenure]])),"AHO",Import2[[#This Row],[Tenure]])&amp;Import2[[#This Row],[Expected sale completion year]]&amp;Import2[[#This Row],[Expected sale completion month]]</f>
        <v>Open market housing</v>
      </c>
      <c r="W255" s="178">
        <f t="shared" si="100"/>
        <v>0</v>
      </c>
    </row>
    <row r="256" spans="1:23" ht="15" customHeight="1">
      <c r="A256" s="132">
        <f t="shared" si="81"/>
        <v>0</v>
      </c>
      <c r="B256" s="133">
        <v>253</v>
      </c>
      <c r="C256" s="132" t="str">
        <f t="shared" si="82"/>
        <v/>
      </c>
      <c r="D256" s="132">
        <f t="shared" si="101"/>
        <v>0</v>
      </c>
      <c r="E256" s="132">
        <f t="shared" si="101"/>
        <v>0</v>
      </c>
      <c r="F256" s="132">
        <f t="shared" si="83"/>
        <v>0</v>
      </c>
      <c r="G256" s="132" t="str">
        <f t="shared" si="101"/>
        <v>Open market housing</v>
      </c>
      <c r="H256" s="132">
        <f t="shared" si="84"/>
        <v>896440000</v>
      </c>
      <c r="I256" s="132" t="str">
        <f t="shared" si="97"/>
        <v>New build</v>
      </c>
      <c r="J256" s="132">
        <f t="shared" si="85"/>
        <v>391930000</v>
      </c>
      <c r="K256" s="132">
        <f t="shared" si="98"/>
        <v>0</v>
      </c>
      <c r="L256" s="132">
        <f t="shared" si="86"/>
        <v>0</v>
      </c>
      <c r="M256" s="132">
        <f t="shared" si="102"/>
        <v>0</v>
      </c>
      <c r="N256" s="134">
        <f t="shared" si="87"/>
        <v>0</v>
      </c>
      <c r="O256" s="135">
        <f t="shared" si="88"/>
        <v>0</v>
      </c>
      <c r="P256" s="132" t="str">
        <f t="shared" si="99"/>
        <v/>
      </c>
      <c r="Q256" s="132" t="str">
        <f t="shared" si="90"/>
        <v/>
      </c>
      <c r="R256" s="132" t="str">
        <f>IF(ISNUMBER(SEARCH("AHO",Import2[[#This Row],[Tenure]])),"AHO",Import2[[#This Row],[Tenure]])&amp;Import2[[#This Row],[Expected Physical Completion Year]]&amp;Import2[[#This Row],[Expected Physical Completion Month]]</f>
        <v>Open market housing</v>
      </c>
      <c r="S256" s="135">
        <f t="shared" si="89"/>
        <v>0</v>
      </c>
      <c r="T256" s="132" t="str">
        <f t="shared" si="103"/>
        <v/>
      </c>
      <c r="U256" s="132" t="str">
        <f t="shared" si="103"/>
        <v/>
      </c>
      <c r="V256" s="132" t="str">
        <f>IF(ISNUMBER(SEARCH("AHO",Import2[[#This Row],[Tenure]])),"AHO",Import2[[#This Row],[Tenure]])&amp;Import2[[#This Row],[Expected sale completion year]]&amp;Import2[[#This Row],[Expected sale completion month]]</f>
        <v>Open market housing</v>
      </c>
      <c r="W256" s="178">
        <f t="shared" si="100"/>
        <v>0</v>
      </c>
    </row>
    <row r="257" spans="1:23" ht="15" customHeight="1">
      <c r="A257" s="132">
        <f t="shared" si="81"/>
        <v>0</v>
      </c>
      <c r="B257" s="133">
        <v>254</v>
      </c>
      <c r="C257" s="132" t="str">
        <f t="shared" si="82"/>
        <v/>
      </c>
      <c r="D257" s="132">
        <f t="shared" si="101"/>
        <v>0</v>
      </c>
      <c r="E257" s="132">
        <f t="shared" si="101"/>
        <v>0</v>
      </c>
      <c r="F257" s="132">
        <f t="shared" si="83"/>
        <v>0</v>
      </c>
      <c r="G257" s="132" t="str">
        <f t="shared" si="101"/>
        <v>Open market housing</v>
      </c>
      <c r="H257" s="132">
        <f t="shared" si="84"/>
        <v>896440000</v>
      </c>
      <c r="I257" s="132" t="str">
        <f t="shared" si="97"/>
        <v>New build</v>
      </c>
      <c r="J257" s="132">
        <f t="shared" si="85"/>
        <v>391930000</v>
      </c>
      <c r="K257" s="132">
        <f t="shared" si="98"/>
        <v>0</v>
      </c>
      <c r="L257" s="132">
        <f t="shared" si="86"/>
        <v>0</v>
      </c>
      <c r="M257" s="132">
        <f t="shared" si="102"/>
        <v>0</v>
      </c>
      <c r="N257" s="134">
        <f t="shared" si="87"/>
        <v>0</v>
      </c>
      <c r="O257" s="135">
        <f t="shared" si="88"/>
        <v>0</v>
      </c>
      <c r="P257" s="132" t="str">
        <f t="shared" si="99"/>
        <v/>
      </c>
      <c r="Q257" s="132" t="str">
        <f t="shared" si="90"/>
        <v/>
      </c>
      <c r="R257" s="132" t="str">
        <f>IF(ISNUMBER(SEARCH("AHO",Import2[[#This Row],[Tenure]])),"AHO",Import2[[#This Row],[Tenure]])&amp;Import2[[#This Row],[Expected Physical Completion Year]]&amp;Import2[[#This Row],[Expected Physical Completion Month]]</f>
        <v>Open market housing</v>
      </c>
      <c r="S257" s="135">
        <f t="shared" si="89"/>
        <v>0</v>
      </c>
      <c r="T257" s="132" t="str">
        <f t="shared" si="103"/>
        <v/>
      </c>
      <c r="U257" s="132" t="str">
        <f t="shared" si="103"/>
        <v/>
      </c>
      <c r="V257" s="132" t="str">
        <f>IF(ISNUMBER(SEARCH("AHO",Import2[[#This Row],[Tenure]])),"AHO",Import2[[#This Row],[Tenure]])&amp;Import2[[#This Row],[Expected sale completion year]]&amp;Import2[[#This Row],[Expected sale completion month]]</f>
        <v>Open market housing</v>
      </c>
      <c r="W257" s="178">
        <f t="shared" si="100"/>
        <v>0</v>
      </c>
    </row>
    <row r="258" spans="1:23" ht="15" customHeight="1">
      <c r="A258" s="132">
        <f t="shared" si="81"/>
        <v>0</v>
      </c>
      <c r="B258" s="133">
        <v>255</v>
      </c>
      <c r="C258" s="132" t="str">
        <f t="shared" si="82"/>
        <v/>
      </c>
      <c r="D258" s="132">
        <f t="shared" si="101"/>
        <v>0</v>
      </c>
      <c r="E258" s="132">
        <f t="shared" si="101"/>
        <v>0</v>
      </c>
      <c r="F258" s="132">
        <f t="shared" si="83"/>
        <v>0</v>
      </c>
      <c r="G258" s="132" t="str">
        <f t="shared" si="101"/>
        <v>Open market housing</v>
      </c>
      <c r="H258" s="132">
        <f t="shared" si="84"/>
        <v>896440000</v>
      </c>
      <c r="I258" s="132" t="str">
        <f t="shared" si="97"/>
        <v>New build</v>
      </c>
      <c r="J258" s="132">
        <f t="shared" si="85"/>
        <v>391930000</v>
      </c>
      <c r="K258" s="132">
        <f t="shared" si="98"/>
        <v>0</v>
      </c>
      <c r="L258" s="132">
        <f t="shared" si="86"/>
        <v>0</v>
      </c>
      <c r="M258" s="132">
        <f t="shared" si="102"/>
        <v>0</v>
      </c>
      <c r="N258" s="134">
        <f t="shared" si="87"/>
        <v>0</v>
      </c>
      <c r="O258" s="135">
        <f t="shared" si="88"/>
        <v>0</v>
      </c>
      <c r="P258" s="132" t="str">
        <f t="shared" si="99"/>
        <v/>
      </c>
      <c r="Q258" s="132" t="str">
        <f t="shared" si="90"/>
        <v/>
      </c>
      <c r="R258" s="132" t="str">
        <f>IF(ISNUMBER(SEARCH("AHO",Import2[[#This Row],[Tenure]])),"AHO",Import2[[#This Row],[Tenure]])&amp;Import2[[#This Row],[Expected Physical Completion Year]]&amp;Import2[[#This Row],[Expected Physical Completion Month]]</f>
        <v>Open market housing</v>
      </c>
      <c r="S258" s="135">
        <f t="shared" si="89"/>
        <v>0</v>
      </c>
      <c r="T258" s="132" t="str">
        <f t="shared" si="103"/>
        <v/>
      </c>
      <c r="U258" s="132" t="str">
        <f t="shared" si="103"/>
        <v/>
      </c>
      <c r="V258" s="132" t="str">
        <f>IF(ISNUMBER(SEARCH("AHO",Import2[[#This Row],[Tenure]])),"AHO",Import2[[#This Row],[Tenure]])&amp;Import2[[#This Row],[Expected sale completion year]]&amp;Import2[[#This Row],[Expected sale completion month]]</f>
        <v>Open market housing</v>
      </c>
      <c r="W258" s="178">
        <f t="shared" si="100"/>
        <v>0</v>
      </c>
    </row>
    <row r="259" spans="1:23" ht="15" customHeight="1">
      <c r="A259" s="132">
        <f t="shared" si="81"/>
        <v>0</v>
      </c>
      <c r="B259" s="133">
        <v>256</v>
      </c>
      <c r="C259" s="132" t="str">
        <f t="shared" si="82"/>
        <v/>
      </c>
      <c r="D259" s="132">
        <f t="shared" si="101"/>
        <v>0</v>
      </c>
      <c r="E259" s="132">
        <f t="shared" si="101"/>
        <v>0</v>
      </c>
      <c r="F259" s="132">
        <f t="shared" si="83"/>
        <v>0</v>
      </c>
      <c r="G259" s="132" t="str">
        <f t="shared" si="101"/>
        <v>Open market housing</v>
      </c>
      <c r="H259" s="132">
        <f t="shared" si="84"/>
        <v>896440000</v>
      </c>
      <c r="I259" s="132" t="str">
        <f t="shared" si="97"/>
        <v>New build</v>
      </c>
      <c r="J259" s="132">
        <f t="shared" si="85"/>
        <v>391930000</v>
      </c>
      <c r="K259" s="132">
        <f t="shared" si="98"/>
        <v>0</v>
      </c>
      <c r="L259" s="132">
        <f t="shared" si="86"/>
        <v>0</v>
      </c>
      <c r="M259" s="132">
        <f t="shared" si="102"/>
        <v>0</v>
      </c>
      <c r="N259" s="134">
        <f t="shared" si="87"/>
        <v>0</v>
      </c>
      <c r="O259" s="135">
        <f t="shared" si="88"/>
        <v>0</v>
      </c>
      <c r="P259" s="132" t="str">
        <f t="shared" si="99"/>
        <v/>
      </c>
      <c r="Q259" s="132" t="str">
        <f t="shared" si="90"/>
        <v/>
      </c>
      <c r="R259" s="132" t="str">
        <f>IF(ISNUMBER(SEARCH("AHO",Import2[[#This Row],[Tenure]])),"AHO",Import2[[#This Row],[Tenure]])&amp;Import2[[#This Row],[Expected Physical Completion Year]]&amp;Import2[[#This Row],[Expected Physical Completion Month]]</f>
        <v>Open market housing</v>
      </c>
      <c r="S259" s="135">
        <f t="shared" si="89"/>
        <v>0</v>
      </c>
      <c r="T259" s="132" t="str">
        <f t="shared" si="103"/>
        <v/>
      </c>
      <c r="U259" s="132" t="str">
        <f t="shared" si="103"/>
        <v/>
      </c>
      <c r="V259" s="132" t="str">
        <f>IF(ISNUMBER(SEARCH("AHO",Import2[[#This Row],[Tenure]])),"AHO",Import2[[#This Row],[Tenure]])&amp;Import2[[#This Row],[Expected sale completion year]]&amp;Import2[[#This Row],[Expected sale completion month]]</f>
        <v>Open market housing</v>
      </c>
      <c r="W259" s="178">
        <f t="shared" si="100"/>
        <v>0</v>
      </c>
    </row>
    <row r="260" spans="1:23" ht="15" customHeight="1">
      <c r="A260" s="132">
        <f t="shared" ref="A260:A323" si="104">IF((SUM($C260:$W260)-$H260-$J260)=0,0,1)</f>
        <v>0</v>
      </c>
      <c r="B260" s="133">
        <v>257</v>
      </c>
      <c r="C260" s="132" t="str">
        <f t="shared" ref="C260:C323" si="105">IF(INDEX(PlotData,MATCH($B260,PlotNumber,0),MATCH(C$3,PlotTitles,0))=0,"",INDEX(PlotData,MATCH($B260,PlotNumber,0),MATCH(C$3,PlotTitles,0)))</f>
        <v/>
      </c>
      <c r="D260" s="132">
        <f t="shared" si="101"/>
        <v>0</v>
      </c>
      <c r="E260" s="132">
        <f t="shared" si="101"/>
        <v>0</v>
      </c>
      <c r="F260" s="132">
        <f t="shared" ref="F260:F323" si="106">_xlfn.IFNA(INDEX(PropertyTypeRef,MATCH(E260,PropertyType,0),2),0)</f>
        <v>0</v>
      </c>
      <c r="G260" s="132" t="str">
        <f t="shared" si="101"/>
        <v>Open market housing</v>
      </c>
      <c r="H260" s="132">
        <f t="shared" ref="H260:H323" si="107">_xlfn.IFNA(INDEX(TenureRef,MATCH(G260,PlotCategory,0),2),0)</f>
        <v>896440000</v>
      </c>
      <c r="I260" s="132" t="str">
        <f t="shared" si="97"/>
        <v>New build</v>
      </c>
      <c r="J260" s="132">
        <f t="shared" ref="J260:J323" si="108">_xlfn.IFNA(INDEX(TenureDetailRef,MATCH(I260,TenureDetail,0),2),0)</f>
        <v>391930000</v>
      </c>
      <c r="K260" s="132">
        <f t="shared" si="98"/>
        <v>0</v>
      </c>
      <c r="L260" s="132">
        <f t="shared" ref="L260:L323" si="109">_xlfn.IFNA(INDEX(BuildTypeRef,MATCH(K260,BuildType,0),2),0)</f>
        <v>0</v>
      </c>
      <c r="M260" s="132">
        <f t="shared" si="102"/>
        <v>0</v>
      </c>
      <c r="N260" s="134">
        <f t="shared" ref="N260:N323" si="110">IF($M260=0,0,$M260*0.09290304)</f>
        <v>0</v>
      </c>
      <c r="O260" s="135">
        <f t="shared" ref="O260:O323" si="111">IF(OR($P260="",$Q260=""),0,(DATEVALUE($P260&amp;$Q260)))</f>
        <v>0</v>
      </c>
      <c r="P260" s="132" t="str">
        <f t="shared" si="99"/>
        <v/>
      </c>
      <c r="Q260" s="132" t="str">
        <f t="shared" si="90"/>
        <v/>
      </c>
      <c r="R260" s="132" t="str">
        <f>IF(ISNUMBER(SEARCH("AHO",Import2[[#This Row],[Tenure]])),"AHO",Import2[[#This Row],[Tenure]])&amp;Import2[[#This Row],[Expected Physical Completion Year]]&amp;Import2[[#This Row],[Expected Physical Completion Month]]</f>
        <v>Open market housing</v>
      </c>
      <c r="S260" s="135">
        <f t="shared" ref="S260:S323" si="112">IF(OR($T260="",$U260=""),0,(DATEVALUE($T260&amp;$U260)))</f>
        <v>0</v>
      </c>
      <c r="T260" s="132" t="str">
        <f t="shared" si="103"/>
        <v/>
      </c>
      <c r="U260" s="132" t="str">
        <f t="shared" si="103"/>
        <v/>
      </c>
      <c r="V260" s="132" t="str">
        <f>IF(ISNUMBER(SEARCH("AHO",Import2[[#This Row],[Tenure]])),"AHO",Import2[[#This Row],[Tenure]])&amp;Import2[[#This Row],[Expected sale completion year]]&amp;Import2[[#This Row],[Expected sale completion month]]</f>
        <v>Open market housing</v>
      </c>
      <c r="W260" s="178">
        <f t="shared" si="100"/>
        <v>0</v>
      </c>
    </row>
    <row r="261" spans="1:23" ht="15" customHeight="1">
      <c r="A261" s="132">
        <f t="shared" si="104"/>
        <v>0</v>
      </c>
      <c r="B261" s="133">
        <v>258</v>
      </c>
      <c r="C261" s="132" t="str">
        <f t="shared" si="105"/>
        <v/>
      </c>
      <c r="D261" s="132">
        <f t="shared" si="101"/>
        <v>0</v>
      </c>
      <c r="E261" s="132">
        <f t="shared" si="101"/>
        <v>0</v>
      </c>
      <c r="F261" s="132">
        <f t="shared" si="106"/>
        <v>0</v>
      </c>
      <c r="G261" s="132" t="str">
        <f t="shared" si="101"/>
        <v>Open market housing</v>
      </c>
      <c r="H261" s="132">
        <f t="shared" si="107"/>
        <v>896440000</v>
      </c>
      <c r="I261" s="132" t="str">
        <f t="shared" si="97"/>
        <v>New build</v>
      </c>
      <c r="J261" s="132">
        <f t="shared" si="108"/>
        <v>391930000</v>
      </c>
      <c r="K261" s="132">
        <f t="shared" si="98"/>
        <v>0</v>
      </c>
      <c r="L261" s="132">
        <f t="shared" si="109"/>
        <v>0</v>
      </c>
      <c r="M261" s="132">
        <f t="shared" si="102"/>
        <v>0</v>
      </c>
      <c r="N261" s="134">
        <f t="shared" si="110"/>
        <v>0</v>
      </c>
      <c r="O261" s="135">
        <f t="shared" si="111"/>
        <v>0</v>
      </c>
      <c r="P261" s="132" t="str">
        <f t="shared" si="99"/>
        <v/>
      </c>
      <c r="Q261" s="132" t="str">
        <f t="shared" si="90"/>
        <v/>
      </c>
      <c r="R261" s="132" t="str">
        <f>IF(ISNUMBER(SEARCH("AHO",Import2[[#This Row],[Tenure]])),"AHO",Import2[[#This Row],[Tenure]])&amp;Import2[[#This Row],[Expected Physical Completion Year]]&amp;Import2[[#This Row],[Expected Physical Completion Month]]</f>
        <v>Open market housing</v>
      </c>
      <c r="S261" s="135">
        <f t="shared" si="112"/>
        <v>0</v>
      </c>
      <c r="T261" s="132" t="str">
        <f t="shared" si="103"/>
        <v/>
      </c>
      <c r="U261" s="132" t="str">
        <f t="shared" si="103"/>
        <v/>
      </c>
      <c r="V261" s="132" t="str">
        <f>IF(ISNUMBER(SEARCH("AHO",Import2[[#This Row],[Tenure]])),"AHO",Import2[[#This Row],[Tenure]])&amp;Import2[[#This Row],[Expected sale completion year]]&amp;Import2[[#This Row],[Expected sale completion month]]</f>
        <v>Open market housing</v>
      </c>
      <c r="W261" s="178">
        <f t="shared" si="100"/>
        <v>0</v>
      </c>
    </row>
    <row r="262" spans="1:23" ht="15" customHeight="1">
      <c r="A262" s="132">
        <f t="shared" si="104"/>
        <v>0</v>
      </c>
      <c r="B262" s="133">
        <v>259</v>
      </c>
      <c r="C262" s="132" t="str">
        <f t="shared" si="105"/>
        <v/>
      </c>
      <c r="D262" s="132">
        <f t="shared" si="101"/>
        <v>0</v>
      </c>
      <c r="E262" s="132">
        <f t="shared" si="101"/>
        <v>0</v>
      </c>
      <c r="F262" s="132">
        <f t="shared" si="106"/>
        <v>0</v>
      </c>
      <c r="G262" s="132" t="str">
        <f t="shared" si="101"/>
        <v>Open market housing</v>
      </c>
      <c r="H262" s="132">
        <f t="shared" si="107"/>
        <v>896440000</v>
      </c>
      <c r="I262" s="132" t="str">
        <f t="shared" si="97"/>
        <v>New build</v>
      </c>
      <c r="J262" s="132">
        <f t="shared" si="108"/>
        <v>391930000</v>
      </c>
      <c r="K262" s="132">
        <f t="shared" si="98"/>
        <v>0</v>
      </c>
      <c r="L262" s="132">
        <f t="shared" si="109"/>
        <v>0</v>
      </c>
      <c r="M262" s="132">
        <f t="shared" si="102"/>
        <v>0</v>
      </c>
      <c r="N262" s="134">
        <f t="shared" si="110"/>
        <v>0</v>
      </c>
      <c r="O262" s="135">
        <f t="shared" si="111"/>
        <v>0</v>
      </c>
      <c r="P262" s="132" t="str">
        <f t="shared" si="99"/>
        <v/>
      </c>
      <c r="Q262" s="132" t="str">
        <f t="shared" ref="Q262:Q325" si="113">IF(INDEX(PlotData,MATCH($B262,PlotNumber,0),MATCH(Q$3,PlotTitles,0))=0,"",INDEX(PlotData,MATCH($B262,PlotNumber,0),MATCH(Q$3,PlotTitles,0)))</f>
        <v/>
      </c>
      <c r="R262" s="132" t="str">
        <f>IF(ISNUMBER(SEARCH("AHO",Import2[[#This Row],[Tenure]])),"AHO",Import2[[#This Row],[Tenure]])&amp;Import2[[#This Row],[Expected Physical Completion Year]]&amp;Import2[[#This Row],[Expected Physical Completion Month]]</f>
        <v>Open market housing</v>
      </c>
      <c r="S262" s="135">
        <f t="shared" si="112"/>
        <v>0</v>
      </c>
      <c r="T262" s="132" t="str">
        <f t="shared" si="103"/>
        <v/>
      </c>
      <c r="U262" s="132" t="str">
        <f t="shared" si="103"/>
        <v/>
      </c>
      <c r="V262" s="132" t="str">
        <f>IF(ISNUMBER(SEARCH("AHO",Import2[[#This Row],[Tenure]])),"AHO",Import2[[#This Row],[Tenure]])&amp;Import2[[#This Row],[Expected sale completion year]]&amp;Import2[[#This Row],[Expected sale completion month]]</f>
        <v>Open market housing</v>
      </c>
      <c r="W262" s="178">
        <f t="shared" si="100"/>
        <v>0</v>
      </c>
    </row>
    <row r="263" spans="1:23" ht="15" customHeight="1">
      <c r="A263" s="132">
        <f t="shared" si="104"/>
        <v>0</v>
      </c>
      <c r="B263" s="133">
        <v>260</v>
      </c>
      <c r="C263" s="132" t="str">
        <f t="shared" si="105"/>
        <v/>
      </c>
      <c r="D263" s="132">
        <f t="shared" si="101"/>
        <v>0</v>
      </c>
      <c r="E263" s="132">
        <f t="shared" si="101"/>
        <v>0</v>
      </c>
      <c r="F263" s="132">
        <f t="shared" si="106"/>
        <v>0</v>
      </c>
      <c r="G263" s="132" t="str">
        <f t="shared" si="101"/>
        <v>Open market housing</v>
      </c>
      <c r="H263" s="132">
        <f t="shared" si="107"/>
        <v>896440000</v>
      </c>
      <c r="I263" s="132" t="str">
        <f t="shared" si="97"/>
        <v>New build</v>
      </c>
      <c r="J263" s="132">
        <f t="shared" si="108"/>
        <v>391930000</v>
      </c>
      <c r="K263" s="132">
        <f t="shared" si="98"/>
        <v>0</v>
      </c>
      <c r="L263" s="132">
        <f t="shared" si="109"/>
        <v>0</v>
      </c>
      <c r="M263" s="132">
        <f t="shared" si="102"/>
        <v>0</v>
      </c>
      <c r="N263" s="134">
        <f t="shared" si="110"/>
        <v>0</v>
      </c>
      <c r="O263" s="135">
        <f t="shared" si="111"/>
        <v>0</v>
      </c>
      <c r="P263" s="132" t="str">
        <f t="shared" si="99"/>
        <v/>
      </c>
      <c r="Q263" s="132" t="str">
        <f t="shared" si="113"/>
        <v/>
      </c>
      <c r="R263" s="132" t="str">
        <f>IF(ISNUMBER(SEARCH("AHO",Import2[[#This Row],[Tenure]])),"AHO",Import2[[#This Row],[Tenure]])&amp;Import2[[#This Row],[Expected Physical Completion Year]]&amp;Import2[[#This Row],[Expected Physical Completion Month]]</f>
        <v>Open market housing</v>
      </c>
      <c r="S263" s="135">
        <f t="shared" si="112"/>
        <v>0</v>
      </c>
      <c r="T263" s="132" t="str">
        <f t="shared" si="103"/>
        <v/>
      </c>
      <c r="U263" s="132" t="str">
        <f t="shared" si="103"/>
        <v/>
      </c>
      <c r="V263" s="132" t="str">
        <f>IF(ISNUMBER(SEARCH("AHO",Import2[[#This Row],[Tenure]])),"AHO",Import2[[#This Row],[Tenure]])&amp;Import2[[#This Row],[Expected sale completion year]]&amp;Import2[[#This Row],[Expected sale completion month]]</f>
        <v>Open market housing</v>
      </c>
      <c r="W263" s="178">
        <f t="shared" si="100"/>
        <v>0</v>
      </c>
    </row>
    <row r="264" spans="1:23" ht="15" customHeight="1">
      <c r="A264" s="132">
        <f t="shared" si="104"/>
        <v>0</v>
      </c>
      <c r="B264" s="133">
        <v>261</v>
      </c>
      <c r="C264" s="132" t="str">
        <f t="shared" si="105"/>
        <v/>
      </c>
      <c r="D264" s="132">
        <f t="shared" ref="D264:G283" si="114">INDEX(PlotData,MATCH($B264,PlotNumber,0),MATCH(D$3,PlotTitles,0))</f>
        <v>0</v>
      </c>
      <c r="E264" s="132">
        <f t="shared" si="114"/>
        <v>0</v>
      </c>
      <c r="F264" s="132">
        <f t="shared" si="106"/>
        <v>0</v>
      </c>
      <c r="G264" s="132" t="str">
        <f t="shared" si="114"/>
        <v>Open market housing</v>
      </c>
      <c r="H264" s="132">
        <f t="shared" si="107"/>
        <v>896440000</v>
      </c>
      <c r="I264" s="132" t="str">
        <f t="shared" si="97"/>
        <v>New build</v>
      </c>
      <c r="J264" s="132">
        <f t="shared" si="108"/>
        <v>391930000</v>
      </c>
      <c r="K264" s="132">
        <f t="shared" si="98"/>
        <v>0</v>
      </c>
      <c r="L264" s="132">
        <f t="shared" si="109"/>
        <v>0</v>
      </c>
      <c r="M264" s="132">
        <f t="shared" ref="M264:M283" si="115">INDEX(PlotData,MATCH($B264,PlotNumber,0),MATCH(M$3,PlotTitles,0))</f>
        <v>0</v>
      </c>
      <c r="N264" s="134">
        <f t="shared" si="110"/>
        <v>0</v>
      </c>
      <c r="O264" s="135">
        <f t="shared" si="111"/>
        <v>0</v>
      </c>
      <c r="P264" s="132" t="str">
        <f t="shared" si="99"/>
        <v/>
      </c>
      <c r="Q264" s="132" t="str">
        <f t="shared" si="113"/>
        <v/>
      </c>
      <c r="R264" s="132" t="str">
        <f>IF(ISNUMBER(SEARCH("AHO",Import2[[#This Row],[Tenure]])),"AHO",Import2[[#This Row],[Tenure]])&amp;Import2[[#This Row],[Expected Physical Completion Year]]&amp;Import2[[#This Row],[Expected Physical Completion Month]]</f>
        <v>Open market housing</v>
      </c>
      <c r="S264" s="135">
        <f t="shared" si="112"/>
        <v>0</v>
      </c>
      <c r="T264" s="132" t="str">
        <f t="shared" ref="T264:U283" si="116">IF(INDEX(PlotData,MATCH($B264,PlotNumber,0),MATCH(T$3,PlotTitles,0))=0,"",INDEX(PlotData,MATCH($B264,PlotNumber,0),MATCH(T$3,PlotTitles,0)))</f>
        <v/>
      </c>
      <c r="U264" s="132" t="str">
        <f t="shared" si="116"/>
        <v/>
      </c>
      <c r="V264" s="132" t="str">
        <f>IF(ISNUMBER(SEARCH("AHO",Import2[[#This Row],[Tenure]])),"AHO",Import2[[#This Row],[Tenure]])&amp;Import2[[#This Row],[Expected sale completion year]]&amp;Import2[[#This Row],[Expected sale completion month]]</f>
        <v>Open market housing</v>
      </c>
      <c r="W264" s="178">
        <f t="shared" si="100"/>
        <v>0</v>
      </c>
    </row>
    <row r="265" spans="1:23" ht="15" customHeight="1">
      <c r="A265" s="132">
        <f t="shared" si="104"/>
        <v>0</v>
      </c>
      <c r="B265" s="133">
        <v>262</v>
      </c>
      <c r="C265" s="132" t="str">
        <f t="shared" si="105"/>
        <v/>
      </c>
      <c r="D265" s="132">
        <f t="shared" si="114"/>
        <v>0</v>
      </c>
      <c r="E265" s="132">
        <f t="shared" si="114"/>
        <v>0</v>
      </c>
      <c r="F265" s="132">
        <f t="shared" si="106"/>
        <v>0</v>
      </c>
      <c r="G265" s="132" t="str">
        <f t="shared" si="114"/>
        <v>Open market housing</v>
      </c>
      <c r="H265" s="132">
        <f t="shared" si="107"/>
        <v>896440000</v>
      </c>
      <c r="I265" s="132" t="str">
        <f t="shared" si="97"/>
        <v>New build</v>
      </c>
      <c r="J265" s="132">
        <f t="shared" si="108"/>
        <v>391930000</v>
      </c>
      <c r="K265" s="132">
        <f t="shared" si="98"/>
        <v>0</v>
      </c>
      <c r="L265" s="132">
        <f t="shared" si="109"/>
        <v>0</v>
      </c>
      <c r="M265" s="132">
        <f t="shared" si="115"/>
        <v>0</v>
      </c>
      <c r="N265" s="134">
        <f t="shared" si="110"/>
        <v>0</v>
      </c>
      <c r="O265" s="135">
        <f t="shared" si="111"/>
        <v>0</v>
      </c>
      <c r="P265" s="132" t="str">
        <f t="shared" si="99"/>
        <v/>
      </c>
      <c r="Q265" s="132" t="str">
        <f t="shared" si="113"/>
        <v/>
      </c>
      <c r="R265" s="132" t="str">
        <f>IF(ISNUMBER(SEARCH("AHO",Import2[[#This Row],[Tenure]])),"AHO",Import2[[#This Row],[Tenure]])&amp;Import2[[#This Row],[Expected Physical Completion Year]]&amp;Import2[[#This Row],[Expected Physical Completion Month]]</f>
        <v>Open market housing</v>
      </c>
      <c r="S265" s="135">
        <f t="shared" si="112"/>
        <v>0</v>
      </c>
      <c r="T265" s="132" t="str">
        <f t="shared" si="116"/>
        <v/>
      </c>
      <c r="U265" s="132" t="str">
        <f t="shared" si="116"/>
        <v/>
      </c>
      <c r="V265" s="132" t="str">
        <f>IF(ISNUMBER(SEARCH("AHO",Import2[[#This Row],[Tenure]])),"AHO",Import2[[#This Row],[Tenure]])&amp;Import2[[#This Row],[Expected sale completion year]]&amp;Import2[[#This Row],[Expected sale completion month]]</f>
        <v>Open market housing</v>
      </c>
      <c r="W265" s="178">
        <f t="shared" si="100"/>
        <v>0</v>
      </c>
    </row>
    <row r="266" spans="1:23" ht="15" customHeight="1">
      <c r="A266" s="132">
        <f t="shared" si="104"/>
        <v>0</v>
      </c>
      <c r="B266" s="133">
        <v>263</v>
      </c>
      <c r="C266" s="132" t="str">
        <f t="shared" si="105"/>
        <v/>
      </c>
      <c r="D266" s="132">
        <f t="shared" si="114"/>
        <v>0</v>
      </c>
      <c r="E266" s="132">
        <f t="shared" si="114"/>
        <v>0</v>
      </c>
      <c r="F266" s="132">
        <f t="shared" si="106"/>
        <v>0</v>
      </c>
      <c r="G266" s="132" t="str">
        <f t="shared" si="114"/>
        <v>Open market housing</v>
      </c>
      <c r="H266" s="132">
        <f t="shared" si="107"/>
        <v>896440000</v>
      </c>
      <c r="I266" s="132" t="str">
        <f t="shared" si="97"/>
        <v>New build</v>
      </c>
      <c r="J266" s="132">
        <f t="shared" si="108"/>
        <v>391930000</v>
      </c>
      <c r="K266" s="132">
        <f t="shared" si="98"/>
        <v>0</v>
      </c>
      <c r="L266" s="132">
        <f t="shared" si="109"/>
        <v>0</v>
      </c>
      <c r="M266" s="132">
        <f t="shared" si="115"/>
        <v>0</v>
      </c>
      <c r="N266" s="134">
        <f t="shared" si="110"/>
        <v>0</v>
      </c>
      <c r="O266" s="135">
        <f t="shared" si="111"/>
        <v>0</v>
      </c>
      <c r="P266" s="132" t="str">
        <f t="shared" si="99"/>
        <v/>
      </c>
      <c r="Q266" s="132" t="str">
        <f t="shared" si="113"/>
        <v/>
      </c>
      <c r="R266" s="132" t="str">
        <f>IF(ISNUMBER(SEARCH("AHO",Import2[[#This Row],[Tenure]])),"AHO",Import2[[#This Row],[Tenure]])&amp;Import2[[#This Row],[Expected Physical Completion Year]]&amp;Import2[[#This Row],[Expected Physical Completion Month]]</f>
        <v>Open market housing</v>
      </c>
      <c r="S266" s="135">
        <f t="shared" si="112"/>
        <v>0</v>
      </c>
      <c r="T266" s="132" t="str">
        <f t="shared" si="116"/>
        <v/>
      </c>
      <c r="U266" s="132" t="str">
        <f t="shared" si="116"/>
        <v/>
      </c>
      <c r="V266" s="132" t="str">
        <f>IF(ISNUMBER(SEARCH("AHO",Import2[[#This Row],[Tenure]])),"AHO",Import2[[#This Row],[Tenure]])&amp;Import2[[#This Row],[Expected sale completion year]]&amp;Import2[[#This Row],[Expected sale completion month]]</f>
        <v>Open market housing</v>
      </c>
      <c r="W266" s="178">
        <f t="shared" si="100"/>
        <v>0</v>
      </c>
    </row>
    <row r="267" spans="1:23" ht="15" customHeight="1">
      <c r="A267" s="132">
        <f t="shared" si="104"/>
        <v>0</v>
      </c>
      <c r="B267" s="133">
        <v>264</v>
      </c>
      <c r="C267" s="132" t="str">
        <f t="shared" si="105"/>
        <v/>
      </c>
      <c r="D267" s="132">
        <f t="shared" si="114"/>
        <v>0</v>
      </c>
      <c r="E267" s="132">
        <f t="shared" si="114"/>
        <v>0</v>
      </c>
      <c r="F267" s="132">
        <f t="shared" si="106"/>
        <v>0</v>
      </c>
      <c r="G267" s="132" t="str">
        <f t="shared" si="114"/>
        <v>Open market housing</v>
      </c>
      <c r="H267" s="132">
        <f t="shared" si="107"/>
        <v>896440000</v>
      </c>
      <c r="I267" s="132" t="str">
        <f t="shared" si="97"/>
        <v>New build</v>
      </c>
      <c r="J267" s="132">
        <f t="shared" si="108"/>
        <v>391930000</v>
      </c>
      <c r="K267" s="132">
        <f t="shared" si="98"/>
        <v>0</v>
      </c>
      <c r="L267" s="132">
        <f t="shared" si="109"/>
        <v>0</v>
      </c>
      <c r="M267" s="132">
        <f t="shared" si="115"/>
        <v>0</v>
      </c>
      <c r="N267" s="134">
        <f t="shared" si="110"/>
        <v>0</v>
      </c>
      <c r="O267" s="135">
        <f t="shared" si="111"/>
        <v>0</v>
      </c>
      <c r="P267" s="132" t="str">
        <f t="shared" si="99"/>
        <v/>
      </c>
      <c r="Q267" s="132" t="str">
        <f t="shared" si="113"/>
        <v/>
      </c>
      <c r="R267" s="132" t="str">
        <f>IF(ISNUMBER(SEARCH("AHO",Import2[[#This Row],[Tenure]])),"AHO",Import2[[#This Row],[Tenure]])&amp;Import2[[#This Row],[Expected Physical Completion Year]]&amp;Import2[[#This Row],[Expected Physical Completion Month]]</f>
        <v>Open market housing</v>
      </c>
      <c r="S267" s="135">
        <f t="shared" si="112"/>
        <v>0</v>
      </c>
      <c r="T267" s="132" t="str">
        <f t="shared" si="116"/>
        <v/>
      </c>
      <c r="U267" s="132" t="str">
        <f t="shared" si="116"/>
        <v/>
      </c>
      <c r="V267" s="132" t="str">
        <f>IF(ISNUMBER(SEARCH("AHO",Import2[[#This Row],[Tenure]])),"AHO",Import2[[#This Row],[Tenure]])&amp;Import2[[#This Row],[Expected sale completion year]]&amp;Import2[[#This Row],[Expected sale completion month]]</f>
        <v>Open market housing</v>
      </c>
      <c r="W267" s="178">
        <f t="shared" si="100"/>
        <v>0</v>
      </c>
    </row>
    <row r="268" spans="1:23" ht="15" customHeight="1">
      <c r="A268" s="132">
        <f t="shared" si="104"/>
        <v>0</v>
      </c>
      <c r="B268" s="133">
        <v>265</v>
      </c>
      <c r="C268" s="132" t="str">
        <f t="shared" si="105"/>
        <v/>
      </c>
      <c r="D268" s="132">
        <f t="shared" si="114"/>
        <v>0</v>
      </c>
      <c r="E268" s="132">
        <f t="shared" si="114"/>
        <v>0</v>
      </c>
      <c r="F268" s="132">
        <f t="shared" si="106"/>
        <v>0</v>
      </c>
      <c r="G268" s="132" t="str">
        <f t="shared" si="114"/>
        <v>Open market housing</v>
      </c>
      <c r="H268" s="132">
        <f t="shared" si="107"/>
        <v>896440000</v>
      </c>
      <c r="I268" s="132" t="str">
        <f t="shared" si="97"/>
        <v>New build</v>
      </c>
      <c r="J268" s="132">
        <f t="shared" si="108"/>
        <v>391930000</v>
      </c>
      <c r="K268" s="132">
        <f t="shared" si="98"/>
        <v>0</v>
      </c>
      <c r="L268" s="132">
        <f t="shared" si="109"/>
        <v>0</v>
      </c>
      <c r="M268" s="132">
        <f t="shared" si="115"/>
        <v>0</v>
      </c>
      <c r="N268" s="134">
        <f t="shared" si="110"/>
        <v>0</v>
      </c>
      <c r="O268" s="135">
        <f t="shared" si="111"/>
        <v>0</v>
      </c>
      <c r="P268" s="132" t="str">
        <f t="shared" si="99"/>
        <v/>
      </c>
      <c r="Q268" s="132" t="str">
        <f t="shared" si="113"/>
        <v/>
      </c>
      <c r="R268" s="132" t="str">
        <f>IF(ISNUMBER(SEARCH("AHO",Import2[[#This Row],[Tenure]])),"AHO",Import2[[#This Row],[Tenure]])&amp;Import2[[#This Row],[Expected Physical Completion Year]]&amp;Import2[[#This Row],[Expected Physical Completion Month]]</f>
        <v>Open market housing</v>
      </c>
      <c r="S268" s="135">
        <f t="shared" si="112"/>
        <v>0</v>
      </c>
      <c r="T268" s="132" t="str">
        <f t="shared" si="116"/>
        <v/>
      </c>
      <c r="U268" s="132" t="str">
        <f t="shared" si="116"/>
        <v/>
      </c>
      <c r="V268" s="132" t="str">
        <f>IF(ISNUMBER(SEARCH("AHO",Import2[[#This Row],[Tenure]])),"AHO",Import2[[#This Row],[Tenure]])&amp;Import2[[#This Row],[Expected sale completion year]]&amp;Import2[[#This Row],[Expected sale completion month]]</f>
        <v>Open market housing</v>
      </c>
      <c r="W268" s="178">
        <f t="shared" si="100"/>
        <v>0</v>
      </c>
    </row>
    <row r="269" spans="1:23" ht="15" customHeight="1">
      <c r="A269" s="132">
        <f t="shared" si="104"/>
        <v>0</v>
      </c>
      <c r="B269" s="133">
        <v>266</v>
      </c>
      <c r="C269" s="132" t="str">
        <f t="shared" si="105"/>
        <v/>
      </c>
      <c r="D269" s="132">
        <f t="shared" si="114"/>
        <v>0</v>
      </c>
      <c r="E269" s="132">
        <f t="shared" si="114"/>
        <v>0</v>
      </c>
      <c r="F269" s="132">
        <f t="shared" si="106"/>
        <v>0</v>
      </c>
      <c r="G269" s="132" t="str">
        <f t="shared" si="114"/>
        <v>Open market housing</v>
      </c>
      <c r="H269" s="132">
        <f t="shared" si="107"/>
        <v>896440000</v>
      </c>
      <c r="I269" s="132" t="str">
        <f t="shared" si="97"/>
        <v>New build</v>
      </c>
      <c r="J269" s="132">
        <f t="shared" si="108"/>
        <v>391930000</v>
      </c>
      <c r="K269" s="132">
        <f t="shared" si="98"/>
        <v>0</v>
      </c>
      <c r="L269" s="132">
        <f t="shared" si="109"/>
        <v>0</v>
      </c>
      <c r="M269" s="132">
        <f t="shared" si="115"/>
        <v>0</v>
      </c>
      <c r="N269" s="134">
        <f t="shared" si="110"/>
        <v>0</v>
      </c>
      <c r="O269" s="135">
        <f t="shared" si="111"/>
        <v>0</v>
      </c>
      <c r="P269" s="132" t="str">
        <f t="shared" si="99"/>
        <v/>
      </c>
      <c r="Q269" s="132" t="str">
        <f t="shared" si="113"/>
        <v/>
      </c>
      <c r="R269" s="132" t="str">
        <f>IF(ISNUMBER(SEARCH("AHO",Import2[[#This Row],[Tenure]])),"AHO",Import2[[#This Row],[Tenure]])&amp;Import2[[#This Row],[Expected Physical Completion Year]]&amp;Import2[[#This Row],[Expected Physical Completion Month]]</f>
        <v>Open market housing</v>
      </c>
      <c r="S269" s="135">
        <f t="shared" si="112"/>
        <v>0</v>
      </c>
      <c r="T269" s="132" t="str">
        <f t="shared" si="116"/>
        <v/>
      </c>
      <c r="U269" s="132" t="str">
        <f t="shared" si="116"/>
        <v/>
      </c>
      <c r="V269" s="132" t="str">
        <f>IF(ISNUMBER(SEARCH("AHO",Import2[[#This Row],[Tenure]])),"AHO",Import2[[#This Row],[Tenure]])&amp;Import2[[#This Row],[Expected sale completion year]]&amp;Import2[[#This Row],[Expected sale completion month]]</f>
        <v>Open market housing</v>
      </c>
      <c r="W269" s="178">
        <f t="shared" si="100"/>
        <v>0</v>
      </c>
    </row>
    <row r="270" spans="1:23" ht="15" customHeight="1">
      <c r="A270" s="132">
        <f t="shared" si="104"/>
        <v>0</v>
      </c>
      <c r="B270" s="133">
        <v>267</v>
      </c>
      <c r="C270" s="132" t="str">
        <f t="shared" si="105"/>
        <v/>
      </c>
      <c r="D270" s="132">
        <f t="shared" si="114"/>
        <v>0</v>
      </c>
      <c r="E270" s="132">
        <f t="shared" si="114"/>
        <v>0</v>
      </c>
      <c r="F270" s="132">
        <f t="shared" si="106"/>
        <v>0</v>
      </c>
      <c r="G270" s="132" t="str">
        <f t="shared" si="114"/>
        <v>Open market housing</v>
      </c>
      <c r="H270" s="132">
        <f t="shared" si="107"/>
        <v>896440000</v>
      </c>
      <c r="I270" s="132" t="str">
        <f t="shared" si="97"/>
        <v>New build</v>
      </c>
      <c r="J270" s="132">
        <f t="shared" si="108"/>
        <v>391930000</v>
      </c>
      <c r="K270" s="132">
        <f t="shared" si="98"/>
        <v>0</v>
      </c>
      <c r="L270" s="132">
        <f t="shared" si="109"/>
        <v>0</v>
      </c>
      <c r="M270" s="132">
        <f t="shared" si="115"/>
        <v>0</v>
      </c>
      <c r="N270" s="134">
        <f t="shared" si="110"/>
        <v>0</v>
      </c>
      <c r="O270" s="135">
        <f t="shared" si="111"/>
        <v>0</v>
      </c>
      <c r="P270" s="132" t="str">
        <f t="shared" si="99"/>
        <v/>
      </c>
      <c r="Q270" s="132" t="str">
        <f t="shared" si="113"/>
        <v/>
      </c>
      <c r="R270" s="132" t="str">
        <f>IF(ISNUMBER(SEARCH("AHO",Import2[[#This Row],[Tenure]])),"AHO",Import2[[#This Row],[Tenure]])&amp;Import2[[#This Row],[Expected Physical Completion Year]]&amp;Import2[[#This Row],[Expected Physical Completion Month]]</f>
        <v>Open market housing</v>
      </c>
      <c r="S270" s="135">
        <f t="shared" si="112"/>
        <v>0</v>
      </c>
      <c r="T270" s="132" t="str">
        <f t="shared" si="116"/>
        <v/>
      </c>
      <c r="U270" s="132" t="str">
        <f t="shared" si="116"/>
        <v/>
      </c>
      <c r="V270" s="132" t="str">
        <f>IF(ISNUMBER(SEARCH("AHO",Import2[[#This Row],[Tenure]])),"AHO",Import2[[#This Row],[Tenure]])&amp;Import2[[#This Row],[Expected sale completion year]]&amp;Import2[[#This Row],[Expected sale completion month]]</f>
        <v>Open market housing</v>
      </c>
      <c r="W270" s="178">
        <f t="shared" si="100"/>
        <v>0</v>
      </c>
    </row>
    <row r="271" spans="1:23" ht="15" customHeight="1">
      <c r="A271" s="132">
        <f t="shared" si="104"/>
        <v>0</v>
      </c>
      <c r="B271" s="133">
        <v>268</v>
      </c>
      <c r="C271" s="132" t="str">
        <f t="shared" si="105"/>
        <v/>
      </c>
      <c r="D271" s="132">
        <f t="shared" si="114"/>
        <v>0</v>
      </c>
      <c r="E271" s="132">
        <f t="shared" si="114"/>
        <v>0</v>
      </c>
      <c r="F271" s="132">
        <f t="shared" si="106"/>
        <v>0</v>
      </c>
      <c r="G271" s="132" t="str">
        <f t="shared" si="114"/>
        <v>Open market housing</v>
      </c>
      <c r="H271" s="132">
        <f t="shared" si="107"/>
        <v>896440000</v>
      </c>
      <c r="I271" s="132" t="str">
        <f t="shared" si="97"/>
        <v>New build</v>
      </c>
      <c r="J271" s="132">
        <f t="shared" si="108"/>
        <v>391930000</v>
      </c>
      <c r="K271" s="132">
        <f t="shared" si="98"/>
        <v>0</v>
      </c>
      <c r="L271" s="132">
        <f t="shared" si="109"/>
        <v>0</v>
      </c>
      <c r="M271" s="132">
        <f t="shared" si="115"/>
        <v>0</v>
      </c>
      <c r="N271" s="134">
        <f t="shared" si="110"/>
        <v>0</v>
      </c>
      <c r="O271" s="135">
        <f t="shared" si="111"/>
        <v>0</v>
      </c>
      <c r="P271" s="132" t="str">
        <f t="shared" si="99"/>
        <v/>
      </c>
      <c r="Q271" s="132" t="str">
        <f t="shared" si="113"/>
        <v/>
      </c>
      <c r="R271" s="132" t="str">
        <f>IF(ISNUMBER(SEARCH("AHO",Import2[[#This Row],[Tenure]])),"AHO",Import2[[#This Row],[Tenure]])&amp;Import2[[#This Row],[Expected Physical Completion Year]]&amp;Import2[[#This Row],[Expected Physical Completion Month]]</f>
        <v>Open market housing</v>
      </c>
      <c r="S271" s="135">
        <f t="shared" si="112"/>
        <v>0</v>
      </c>
      <c r="T271" s="132" t="str">
        <f t="shared" si="116"/>
        <v/>
      </c>
      <c r="U271" s="132" t="str">
        <f t="shared" si="116"/>
        <v/>
      </c>
      <c r="V271" s="132" t="str">
        <f>IF(ISNUMBER(SEARCH("AHO",Import2[[#This Row],[Tenure]])),"AHO",Import2[[#This Row],[Tenure]])&amp;Import2[[#This Row],[Expected sale completion year]]&amp;Import2[[#This Row],[Expected sale completion month]]</f>
        <v>Open market housing</v>
      </c>
      <c r="W271" s="178">
        <f t="shared" si="100"/>
        <v>0</v>
      </c>
    </row>
    <row r="272" spans="1:23" ht="15" customHeight="1">
      <c r="A272" s="132">
        <f t="shared" si="104"/>
        <v>0</v>
      </c>
      <c r="B272" s="133">
        <v>269</v>
      </c>
      <c r="C272" s="132" t="str">
        <f t="shared" si="105"/>
        <v/>
      </c>
      <c r="D272" s="132">
        <f t="shared" si="114"/>
        <v>0</v>
      </c>
      <c r="E272" s="132">
        <f t="shared" si="114"/>
        <v>0</v>
      </c>
      <c r="F272" s="132">
        <f t="shared" si="106"/>
        <v>0</v>
      </c>
      <c r="G272" s="132" t="str">
        <f t="shared" si="114"/>
        <v>Open market housing</v>
      </c>
      <c r="H272" s="132">
        <f t="shared" si="107"/>
        <v>896440000</v>
      </c>
      <c r="I272" s="132" t="str">
        <f t="shared" si="97"/>
        <v>New build</v>
      </c>
      <c r="J272" s="132">
        <f t="shared" si="108"/>
        <v>391930000</v>
      </c>
      <c r="K272" s="132">
        <f t="shared" si="98"/>
        <v>0</v>
      </c>
      <c r="L272" s="132">
        <f t="shared" si="109"/>
        <v>0</v>
      </c>
      <c r="M272" s="132">
        <f t="shared" si="115"/>
        <v>0</v>
      </c>
      <c r="N272" s="134">
        <f t="shared" si="110"/>
        <v>0</v>
      </c>
      <c r="O272" s="135">
        <f t="shared" si="111"/>
        <v>0</v>
      </c>
      <c r="P272" s="132" t="str">
        <f t="shared" si="99"/>
        <v/>
      </c>
      <c r="Q272" s="132" t="str">
        <f t="shared" si="113"/>
        <v/>
      </c>
      <c r="R272" s="132" t="str">
        <f>IF(ISNUMBER(SEARCH("AHO",Import2[[#This Row],[Tenure]])),"AHO",Import2[[#This Row],[Tenure]])&amp;Import2[[#This Row],[Expected Physical Completion Year]]&amp;Import2[[#This Row],[Expected Physical Completion Month]]</f>
        <v>Open market housing</v>
      </c>
      <c r="S272" s="135">
        <f t="shared" si="112"/>
        <v>0</v>
      </c>
      <c r="T272" s="132" t="str">
        <f t="shared" si="116"/>
        <v/>
      </c>
      <c r="U272" s="132" t="str">
        <f t="shared" si="116"/>
        <v/>
      </c>
      <c r="V272" s="132" t="str">
        <f>IF(ISNUMBER(SEARCH("AHO",Import2[[#This Row],[Tenure]])),"AHO",Import2[[#This Row],[Tenure]])&amp;Import2[[#This Row],[Expected sale completion year]]&amp;Import2[[#This Row],[Expected sale completion month]]</f>
        <v>Open market housing</v>
      </c>
      <c r="W272" s="178">
        <f t="shared" si="100"/>
        <v>0</v>
      </c>
    </row>
    <row r="273" spans="1:23" ht="15" customHeight="1">
      <c r="A273" s="132">
        <f t="shared" si="104"/>
        <v>0</v>
      </c>
      <c r="B273" s="133">
        <v>270</v>
      </c>
      <c r="C273" s="132" t="str">
        <f t="shared" si="105"/>
        <v/>
      </c>
      <c r="D273" s="132">
        <f t="shared" si="114"/>
        <v>0</v>
      </c>
      <c r="E273" s="132">
        <f t="shared" si="114"/>
        <v>0</v>
      </c>
      <c r="F273" s="132">
        <f t="shared" si="106"/>
        <v>0</v>
      </c>
      <c r="G273" s="132" t="str">
        <f t="shared" si="114"/>
        <v>Open market housing</v>
      </c>
      <c r="H273" s="132">
        <f t="shared" si="107"/>
        <v>896440000</v>
      </c>
      <c r="I273" s="132" t="str">
        <f t="shared" si="97"/>
        <v>New build</v>
      </c>
      <c r="J273" s="132">
        <f t="shared" si="108"/>
        <v>391930000</v>
      </c>
      <c r="K273" s="132">
        <f t="shared" si="98"/>
        <v>0</v>
      </c>
      <c r="L273" s="132">
        <f t="shared" si="109"/>
        <v>0</v>
      </c>
      <c r="M273" s="132">
        <f t="shared" si="115"/>
        <v>0</v>
      </c>
      <c r="N273" s="134">
        <f t="shared" si="110"/>
        <v>0</v>
      </c>
      <c r="O273" s="135">
        <f t="shared" si="111"/>
        <v>0</v>
      </c>
      <c r="P273" s="132" t="str">
        <f t="shared" si="99"/>
        <v/>
      </c>
      <c r="Q273" s="132" t="str">
        <f t="shared" si="113"/>
        <v/>
      </c>
      <c r="R273" s="132" t="str">
        <f>IF(ISNUMBER(SEARCH("AHO",Import2[[#This Row],[Tenure]])),"AHO",Import2[[#This Row],[Tenure]])&amp;Import2[[#This Row],[Expected Physical Completion Year]]&amp;Import2[[#This Row],[Expected Physical Completion Month]]</f>
        <v>Open market housing</v>
      </c>
      <c r="S273" s="135">
        <f t="shared" si="112"/>
        <v>0</v>
      </c>
      <c r="T273" s="132" t="str">
        <f t="shared" si="116"/>
        <v/>
      </c>
      <c r="U273" s="132" t="str">
        <f t="shared" si="116"/>
        <v/>
      </c>
      <c r="V273" s="132" t="str">
        <f>IF(ISNUMBER(SEARCH("AHO",Import2[[#This Row],[Tenure]])),"AHO",Import2[[#This Row],[Tenure]])&amp;Import2[[#This Row],[Expected sale completion year]]&amp;Import2[[#This Row],[Expected sale completion month]]</f>
        <v>Open market housing</v>
      </c>
      <c r="W273" s="178">
        <f t="shared" si="100"/>
        <v>0</v>
      </c>
    </row>
    <row r="274" spans="1:23" ht="15" customHeight="1">
      <c r="A274" s="132">
        <f t="shared" si="104"/>
        <v>0</v>
      </c>
      <c r="B274" s="133">
        <v>271</v>
      </c>
      <c r="C274" s="132" t="str">
        <f t="shared" si="105"/>
        <v/>
      </c>
      <c r="D274" s="132">
        <f t="shared" si="114"/>
        <v>0</v>
      </c>
      <c r="E274" s="132">
        <f t="shared" si="114"/>
        <v>0</v>
      </c>
      <c r="F274" s="132">
        <f t="shared" si="106"/>
        <v>0</v>
      </c>
      <c r="G274" s="132" t="str">
        <f t="shared" si="114"/>
        <v>Open market housing</v>
      </c>
      <c r="H274" s="132">
        <f t="shared" si="107"/>
        <v>896440000</v>
      </c>
      <c r="I274" s="132" t="str">
        <f t="shared" si="97"/>
        <v>New build</v>
      </c>
      <c r="J274" s="132">
        <f t="shared" si="108"/>
        <v>391930000</v>
      </c>
      <c r="K274" s="132">
        <f t="shared" si="98"/>
        <v>0</v>
      </c>
      <c r="L274" s="132">
        <f t="shared" si="109"/>
        <v>0</v>
      </c>
      <c r="M274" s="132">
        <f t="shared" si="115"/>
        <v>0</v>
      </c>
      <c r="N274" s="134">
        <f t="shared" si="110"/>
        <v>0</v>
      </c>
      <c r="O274" s="135">
        <f t="shared" si="111"/>
        <v>0</v>
      </c>
      <c r="P274" s="132" t="str">
        <f t="shared" si="99"/>
        <v/>
      </c>
      <c r="Q274" s="132" t="str">
        <f t="shared" si="113"/>
        <v/>
      </c>
      <c r="R274" s="132" t="str">
        <f>IF(ISNUMBER(SEARCH("AHO",Import2[[#This Row],[Tenure]])),"AHO",Import2[[#This Row],[Tenure]])&amp;Import2[[#This Row],[Expected Physical Completion Year]]&amp;Import2[[#This Row],[Expected Physical Completion Month]]</f>
        <v>Open market housing</v>
      </c>
      <c r="S274" s="135">
        <f t="shared" si="112"/>
        <v>0</v>
      </c>
      <c r="T274" s="132" t="str">
        <f t="shared" si="116"/>
        <v/>
      </c>
      <c r="U274" s="132" t="str">
        <f t="shared" si="116"/>
        <v/>
      </c>
      <c r="V274" s="132" t="str">
        <f>IF(ISNUMBER(SEARCH("AHO",Import2[[#This Row],[Tenure]])),"AHO",Import2[[#This Row],[Tenure]])&amp;Import2[[#This Row],[Expected sale completion year]]&amp;Import2[[#This Row],[Expected sale completion month]]</f>
        <v>Open market housing</v>
      </c>
      <c r="W274" s="178">
        <f t="shared" si="100"/>
        <v>0</v>
      </c>
    </row>
    <row r="275" spans="1:23" ht="15" customHeight="1">
      <c r="A275" s="132">
        <f t="shared" si="104"/>
        <v>0</v>
      </c>
      <c r="B275" s="133">
        <v>272</v>
      </c>
      <c r="C275" s="132" t="str">
        <f t="shared" si="105"/>
        <v/>
      </c>
      <c r="D275" s="132">
        <f t="shared" si="114"/>
        <v>0</v>
      </c>
      <c r="E275" s="132">
        <f t="shared" si="114"/>
        <v>0</v>
      </c>
      <c r="F275" s="132">
        <f t="shared" si="106"/>
        <v>0</v>
      </c>
      <c r="G275" s="132" t="str">
        <f t="shared" si="114"/>
        <v>Open market housing</v>
      </c>
      <c r="H275" s="132">
        <f t="shared" si="107"/>
        <v>896440000</v>
      </c>
      <c r="I275" s="132" t="str">
        <f t="shared" si="97"/>
        <v>New build</v>
      </c>
      <c r="J275" s="132">
        <f t="shared" si="108"/>
        <v>391930000</v>
      </c>
      <c r="K275" s="132">
        <f t="shared" si="98"/>
        <v>0</v>
      </c>
      <c r="L275" s="132">
        <f t="shared" si="109"/>
        <v>0</v>
      </c>
      <c r="M275" s="132">
        <f t="shared" si="115"/>
        <v>0</v>
      </c>
      <c r="N275" s="134">
        <f t="shared" si="110"/>
        <v>0</v>
      </c>
      <c r="O275" s="135">
        <f t="shared" si="111"/>
        <v>0</v>
      </c>
      <c r="P275" s="132" t="str">
        <f t="shared" si="99"/>
        <v/>
      </c>
      <c r="Q275" s="132" t="str">
        <f t="shared" si="113"/>
        <v/>
      </c>
      <c r="R275" s="132" t="str">
        <f>IF(ISNUMBER(SEARCH("AHO",Import2[[#This Row],[Tenure]])),"AHO",Import2[[#This Row],[Tenure]])&amp;Import2[[#This Row],[Expected Physical Completion Year]]&amp;Import2[[#This Row],[Expected Physical Completion Month]]</f>
        <v>Open market housing</v>
      </c>
      <c r="S275" s="135">
        <f t="shared" si="112"/>
        <v>0</v>
      </c>
      <c r="T275" s="132" t="str">
        <f t="shared" si="116"/>
        <v/>
      </c>
      <c r="U275" s="132" t="str">
        <f t="shared" si="116"/>
        <v/>
      </c>
      <c r="V275" s="132" t="str">
        <f>IF(ISNUMBER(SEARCH("AHO",Import2[[#This Row],[Tenure]])),"AHO",Import2[[#This Row],[Tenure]])&amp;Import2[[#This Row],[Expected sale completion year]]&amp;Import2[[#This Row],[Expected sale completion month]]</f>
        <v>Open market housing</v>
      </c>
      <c r="W275" s="178">
        <f t="shared" si="100"/>
        <v>0</v>
      </c>
    </row>
    <row r="276" spans="1:23" ht="15" customHeight="1">
      <c r="A276" s="132">
        <f t="shared" si="104"/>
        <v>0</v>
      </c>
      <c r="B276" s="133">
        <v>273</v>
      </c>
      <c r="C276" s="132" t="str">
        <f t="shared" si="105"/>
        <v/>
      </c>
      <c r="D276" s="132">
        <f t="shared" si="114"/>
        <v>0</v>
      </c>
      <c r="E276" s="132">
        <f t="shared" si="114"/>
        <v>0</v>
      </c>
      <c r="F276" s="132">
        <f t="shared" si="106"/>
        <v>0</v>
      </c>
      <c r="G276" s="132" t="str">
        <f t="shared" si="114"/>
        <v>Open market housing</v>
      </c>
      <c r="H276" s="132">
        <f t="shared" si="107"/>
        <v>896440000</v>
      </c>
      <c r="I276" s="132" t="str">
        <f t="shared" si="97"/>
        <v>New build</v>
      </c>
      <c r="J276" s="132">
        <f t="shared" si="108"/>
        <v>391930000</v>
      </c>
      <c r="K276" s="132">
        <f t="shared" si="98"/>
        <v>0</v>
      </c>
      <c r="L276" s="132">
        <f t="shared" si="109"/>
        <v>0</v>
      </c>
      <c r="M276" s="132">
        <f t="shared" si="115"/>
        <v>0</v>
      </c>
      <c r="N276" s="134">
        <f t="shared" si="110"/>
        <v>0</v>
      </c>
      <c r="O276" s="135">
        <f t="shared" si="111"/>
        <v>0</v>
      </c>
      <c r="P276" s="132" t="str">
        <f t="shared" si="99"/>
        <v/>
      </c>
      <c r="Q276" s="132" t="str">
        <f t="shared" si="113"/>
        <v/>
      </c>
      <c r="R276" s="132" t="str">
        <f>IF(ISNUMBER(SEARCH("AHO",Import2[[#This Row],[Tenure]])),"AHO",Import2[[#This Row],[Tenure]])&amp;Import2[[#This Row],[Expected Physical Completion Year]]&amp;Import2[[#This Row],[Expected Physical Completion Month]]</f>
        <v>Open market housing</v>
      </c>
      <c r="S276" s="135">
        <f t="shared" si="112"/>
        <v>0</v>
      </c>
      <c r="T276" s="132" t="str">
        <f t="shared" si="116"/>
        <v/>
      </c>
      <c r="U276" s="132" t="str">
        <f t="shared" si="116"/>
        <v/>
      </c>
      <c r="V276" s="132" t="str">
        <f>IF(ISNUMBER(SEARCH("AHO",Import2[[#This Row],[Tenure]])),"AHO",Import2[[#This Row],[Tenure]])&amp;Import2[[#This Row],[Expected sale completion year]]&amp;Import2[[#This Row],[Expected sale completion month]]</f>
        <v>Open market housing</v>
      </c>
      <c r="W276" s="178">
        <f t="shared" si="100"/>
        <v>0</v>
      </c>
    </row>
    <row r="277" spans="1:23" ht="15" customHeight="1">
      <c r="A277" s="132">
        <f t="shared" si="104"/>
        <v>0</v>
      </c>
      <c r="B277" s="133">
        <v>274</v>
      </c>
      <c r="C277" s="132" t="str">
        <f t="shared" si="105"/>
        <v/>
      </c>
      <c r="D277" s="132">
        <f t="shared" si="114"/>
        <v>0</v>
      </c>
      <c r="E277" s="132">
        <f t="shared" si="114"/>
        <v>0</v>
      </c>
      <c r="F277" s="132">
        <f t="shared" si="106"/>
        <v>0</v>
      </c>
      <c r="G277" s="132" t="str">
        <f t="shared" si="114"/>
        <v>Open market housing</v>
      </c>
      <c r="H277" s="132">
        <f t="shared" si="107"/>
        <v>896440000</v>
      </c>
      <c r="I277" s="132" t="str">
        <f t="shared" si="97"/>
        <v>New build</v>
      </c>
      <c r="J277" s="132">
        <f t="shared" si="108"/>
        <v>391930000</v>
      </c>
      <c r="K277" s="132">
        <f t="shared" si="98"/>
        <v>0</v>
      </c>
      <c r="L277" s="132">
        <f t="shared" si="109"/>
        <v>0</v>
      </c>
      <c r="M277" s="132">
        <f t="shared" si="115"/>
        <v>0</v>
      </c>
      <c r="N277" s="134">
        <f t="shared" si="110"/>
        <v>0</v>
      </c>
      <c r="O277" s="135">
        <f t="shared" si="111"/>
        <v>0</v>
      </c>
      <c r="P277" s="132" t="str">
        <f t="shared" si="99"/>
        <v/>
      </c>
      <c r="Q277" s="132" t="str">
        <f t="shared" si="113"/>
        <v/>
      </c>
      <c r="R277" s="132" t="str">
        <f>IF(ISNUMBER(SEARCH("AHO",Import2[[#This Row],[Tenure]])),"AHO",Import2[[#This Row],[Tenure]])&amp;Import2[[#This Row],[Expected Physical Completion Year]]&amp;Import2[[#This Row],[Expected Physical Completion Month]]</f>
        <v>Open market housing</v>
      </c>
      <c r="S277" s="135">
        <f t="shared" si="112"/>
        <v>0</v>
      </c>
      <c r="T277" s="132" t="str">
        <f t="shared" si="116"/>
        <v/>
      </c>
      <c r="U277" s="132" t="str">
        <f t="shared" si="116"/>
        <v/>
      </c>
      <c r="V277" s="132" t="str">
        <f>IF(ISNUMBER(SEARCH("AHO",Import2[[#This Row],[Tenure]])),"AHO",Import2[[#This Row],[Tenure]])&amp;Import2[[#This Row],[Expected sale completion year]]&amp;Import2[[#This Row],[Expected sale completion month]]</f>
        <v>Open market housing</v>
      </c>
      <c r="W277" s="178">
        <f t="shared" si="100"/>
        <v>0</v>
      </c>
    </row>
    <row r="278" spans="1:23" ht="15" customHeight="1">
      <c r="A278" s="132">
        <f t="shared" si="104"/>
        <v>0</v>
      </c>
      <c r="B278" s="133">
        <v>275</v>
      </c>
      <c r="C278" s="132" t="str">
        <f t="shared" si="105"/>
        <v/>
      </c>
      <c r="D278" s="132">
        <f t="shared" si="114"/>
        <v>0</v>
      </c>
      <c r="E278" s="132">
        <f t="shared" si="114"/>
        <v>0</v>
      </c>
      <c r="F278" s="132">
        <f t="shared" si="106"/>
        <v>0</v>
      </c>
      <c r="G278" s="132" t="str">
        <f t="shared" si="114"/>
        <v>Open market housing</v>
      </c>
      <c r="H278" s="132">
        <f t="shared" si="107"/>
        <v>896440000</v>
      </c>
      <c r="I278" s="132" t="str">
        <f t="shared" si="97"/>
        <v>New build</v>
      </c>
      <c r="J278" s="132">
        <f t="shared" si="108"/>
        <v>391930000</v>
      </c>
      <c r="K278" s="132">
        <f t="shared" si="98"/>
        <v>0</v>
      </c>
      <c r="L278" s="132">
        <f t="shared" si="109"/>
        <v>0</v>
      </c>
      <c r="M278" s="132">
        <f t="shared" si="115"/>
        <v>0</v>
      </c>
      <c r="N278" s="134">
        <f t="shared" si="110"/>
        <v>0</v>
      </c>
      <c r="O278" s="135">
        <f t="shared" si="111"/>
        <v>0</v>
      </c>
      <c r="P278" s="132" t="str">
        <f t="shared" si="99"/>
        <v/>
      </c>
      <c r="Q278" s="132" t="str">
        <f t="shared" si="113"/>
        <v/>
      </c>
      <c r="R278" s="132" t="str">
        <f>IF(ISNUMBER(SEARCH("AHO",Import2[[#This Row],[Tenure]])),"AHO",Import2[[#This Row],[Tenure]])&amp;Import2[[#This Row],[Expected Physical Completion Year]]&amp;Import2[[#This Row],[Expected Physical Completion Month]]</f>
        <v>Open market housing</v>
      </c>
      <c r="S278" s="135">
        <f t="shared" si="112"/>
        <v>0</v>
      </c>
      <c r="T278" s="132" t="str">
        <f t="shared" si="116"/>
        <v/>
      </c>
      <c r="U278" s="132" t="str">
        <f t="shared" si="116"/>
        <v/>
      </c>
      <c r="V278" s="132" t="str">
        <f>IF(ISNUMBER(SEARCH("AHO",Import2[[#This Row],[Tenure]])),"AHO",Import2[[#This Row],[Tenure]])&amp;Import2[[#This Row],[Expected sale completion year]]&amp;Import2[[#This Row],[Expected sale completion month]]</f>
        <v>Open market housing</v>
      </c>
      <c r="W278" s="178">
        <f t="shared" si="100"/>
        <v>0</v>
      </c>
    </row>
    <row r="279" spans="1:23" ht="15" customHeight="1">
      <c r="A279" s="132">
        <f t="shared" si="104"/>
        <v>0</v>
      </c>
      <c r="B279" s="133">
        <v>276</v>
      </c>
      <c r="C279" s="132" t="str">
        <f t="shared" si="105"/>
        <v/>
      </c>
      <c r="D279" s="132">
        <f t="shared" si="114"/>
        <v>0</v>
      </c>
      <c r="E279" s="132">
        <f t="shared" si="114"/>
        <v>0</v>
      </c>
      <c r="F279" s="132">
        <f t="shared" si="106"/>
        <v>0</v>
      </c>
      <c r="G279" s="132" t="str">
        <f t="shared" si="114"/>
        <v>Open market housing</v>
      </c>
      <c r="H279" s="132">
        <f t="shared" si="107"/>
        <v>896440000</v>
      </c>
      <c r="I279" s="132" t="str">
        <f t="shared" si="97"/>
        <v>New build</v>
      </c>
      <c r="J279" s="132">
        <f t="shared" si="108"/>
        <v>391930000</v>
      </c>
      <c r="K279" s="132">
        <f t="shared" si="98"/>
        <v>0</v>
      </c>
      <c r="L279" s="132">
        <f t="shared" si="109"/>
        <v>0</v>
      </c>
      <c r="M279" s="132">
        <f t="shared" si="115"/>
        <v>0</v>
      </c>
      <c r="N279" s="134">
        <f t="shared" si="110"/>
        <v>0</v>
      </c>
      <c r="O279" s="135">
        <f t="shared" si="111"/>
        <v>0</v>
      </c>
      <c r="P279" s="132" t="str">
        <f t="shared" si="99"/>
        <v/>
      </c>
      <c r="Q279" s="132" t="str">
        <f t="shared" si="113"/>
        <v/>
      </c>
      <c r="R279" s="132" t="str">
        <f>IF(ISNUMBER(SEARCH("AHO",Import2[[#This Row],[Tenure]])),"AHO",Import2[[#This Row],[Tenure]])&amp;Import2[[#This Row],[Expected Physical Completion Year]]&amp;Import2[[#This Row],[Expected Physical Completion Month]]</f>
        <v>Open market housing</v>
      </c>
      <c r="S279" s="135">
        <f t="shared" si="112"/>
        <v>0</v>
      </c>
      <c r="T279" s="132" t="str">
        <f t="shared" si="116"/>
        <v/>
      </c>
      <c r="U279" s="132" t="str">
        <f t="shared" si="116"/>
        <v/>
      </c>
      <c r="V279" s="132" t="str">
        <f>IF(ISNUMBER(SEARCH("AHO",Import2[[#This Row],[Tenure]])),"AHO",Import2[[#This Row],[Tenure]])&amp;Import2[[#This Row],[Expected sale completion year]]&amp;Import2[[#This Row],[Expected sale completion month]]</f>
        <v>Open market housing</v>
      </c>
      <c r="W279" s="178">
        <f t="shared" si="100"/>
        <v>0</v>
      </c>
    </row>
    <row r="280" spans="1:23" ht="15" customHeight="1">
      <c r="A280" s="132">
        <f t="shared" si="104"/>
        <v>0</v>
      </c>
      <c r="B280" s="133">
        <v>277</v>
      </c>
      <c r="C280" s="132" t="str">
        <f t="shared" si="105"/>
        <v/>
      </c>
      <c r="D280" s="132">
        <f t="shared" si="114"/>
        <v>0</v>
      </c>
      <c r="E280" s="132">
        <f t="shared" si="114"/>
        <v>0</v>
      </c>
      <c r="F280" s="132">
        <f t="shared" si="106"/>
        <v>0</v>
      </c>
      <c r="G280" s="132" t="str">
        <f t="shared" si="114"/>
        <v>Open market housing</v>
      </c>
      <c r="H280" s="132">
        <f t="shared" si="107"/>
        <v>896440000</v>
      </c>
      <c r="I280" s="132" t="str">
        <f t="shared" si="97"/>
        <v>New build</v>
      </c>
      <c r="J280" s="132">
        <f t="shared" si="108"/>
        <v>391930000</v>
      </c>
      <c r="K280" s="132">
        <f t="shared" si="98"/>
        <v>0</v>
      </c>
      <c r="L280" s="132">
        <f t="shared" si="109"/>
        <v>0</v>
      </c>
      <c r="M280" s="132">
        <f t="shared" si="115"/>
        <v>0</v>
      </c>
      <c r="N280" s="134">
        <f t="shared" si="110"/>
        <v>0</v>
      </c>
      <c r="O280" s="135">
        <f t="shared" si="111"/>
        <v>0</v>
      </c>
      <c r="P280" s="132" t="str">
        <f t="shared" si="99"/>
        <v/>
      </c>
      <c r="Q280" s="132" t="str">
        <f t="shared" si="113"/>
        <v/>
      </c>
      <c r="R280" s="132" t="str">
        <f>IF(ISNUMBER(SEARCH("AHO",Import2[[#This Row],[Tenure]])),"AHO",Import2[[#This Row],[Tenure]])&amp;Import2[[#This Row],[Expected Physical Completion Year]]&amp;Import2[[#This Row],[Expected Physical Completion Month]]</f>
        <v>Open market housing</v>
      </c>
      <c r="S280" s="135">
        <f t="shared" si="112"/>
        <v>0</v>
      </c>
      <c r="T280" s="132" t="str">
        <f t="shared" si="116"/>
        <v/>
      </c>
      <c r="U280" s="132" t="str">
        <f t="shared" si="116"/>
        <v/>
      </c>
      <c r="V280" s="132" t="str">
        <f>IF(ISNUMBER(SEARCH("AHO",Import2[[#This Row],[Tenure]])),"AHO",Import2[[#This Row],[Tenure]])&amp;Import2[[#This Row],[Expected sale completion year]]&amp;Import2[[#This Row],[Expected sale completion month]]</f>
        <v>Open market housing</v>
      </c>
      <c r="W280" s="178">
        <f t="shared" si="100"/>
        <v>0</v>
      </c>
    </row>
    <row r="281" spans="1:23" ht="15" customHeight="1">
      <c r="A281" s="132">
        <f t="shared" si="104"/>
        <v>0</v>
      </c>
      <c r="B281" s="133">
        <v>278</v>
      </c>
      <c r="C281" s="132" t="str">
        <f t="shared" si="105"/>
        <v/>
      </c>
      <c r="D281" s="132">
        <f t="shared" si="114"/>
        <v>0</v>
      </c>
      <c r="E281" s="132">
        <f t="shared" si="114"/>
        <v>0</v>
      </c>
      <c r="F281" s="132">
        <f t="shared" si="106"/>
        <v>0</v>
      </c>
      <c r="G281" s="132" t="str">
        <f t="shared" si="114"/>
        <v>Open market housing</v>
      </c>
      <c r="H281" s="132">
        <f t="shared" si="107"/>
        <v>896440000</v>
      </c>
      <c r="I281" s="132" t="str">
        <f t="shared" si="97"/>
        <v>New build</v>
      </c>
      <c r="J281" s="132">
        <f t="shared" si="108"/>
        <v>391930000</v>
      </c>
      <c r="K281" s="132">
        <f t="shared" si="98"/>
        <v>0</v>
      </c>
      <c r="L281" s="132">
        <f t="shared" si="109"/>
        <v>0</v>
      </c>
      <c r="M281" s="132">
        <f t="shared" si="115"/>
        <v>0</v>
      </c>
      <c r="N281" s="134">
        <f t="shared" si="110"/>
        <v>0</v>
      </c>
      <c r="O281" s="135">
        <f t="shared" si="111"/>
        <v>0</v>
      </c>
      <c r="P281" s="132" t="str">
        <f t="shared" si="99"/>
        <v/>
      </c>
      <c r="Q281" s="132" t="str">
        <f t="shared" si="113"/>
        <v/>
      </c>
      <c r="R281" s="132" t="str">
        <f>IF(ISNUMBER(SEARCH("AHO",Import2[[#This Row],[Tenure]])),"AHO",Import2[[#This Row],[Tenure]])&amp;Import2[[#This Row],[Expected Physical Completion Year]]&amp;Import2[[#This Row],[Expected Physical Completion Month]]</f>
        <v>Open market housing</v>
      </c>
      <c r="S281" s="135">
        <f t="shared" si="112"/>
        <v>0</v>
      </c>
      <c r="T281" s="132" t="str">
        <f t="shared" si="116"/>
        <v/>
      </c>
      <c r="U281" s="132" t="str">
        <f t="shared" si="116"/>
        <v/>
      </c>
      <c r="V281" s="132" t="str">
        <f>IF(ISNUMBER(SEARCH("AHO",Import2[[#This Row],[Tenure]])),"AHO",Import2[[#This Row],[Tenure]])&amp;Import2[[#This Row],[Expected sale completion year]]&amp;Import2[[#This Row],[Expected sale completion month]]</f>
        <v>Open market housing</v>
      </c>
      <c r="W281" s="178">
        <f t="shared" si="100"/>
        <v>0</v>
      </c>
    </row>
    <row r="282" spans="1:23" ht="15" customHeight="1">
      <c r="A282" s="132">
        <f t="shared" si="104"/>
        <v>0</v>
      </c>
      <c r="B282" s="133">
        <v>279</v>
      </c>
      <c r="C282" s="132" t="str">
        <f t="shared" si="105"/>
        <v/>
      </c>
      <c r="D282" s="132">
        <f t="shared" si="114"/>
        <v>0</v>
      </c>
      <c r="E282" s="132">
        <f t="shared" si="114"/>
        <v>0</v>
      </c>
      <c r="F282" s="132">
        <f t="shared" si="106"/>
        <v>0</v>
      </c>
      <c r="G282" s="132" t="str">
        <f t="shared" si="114"/>
        <v>Open market housing</v>
      </c>
      <c r="H282" s="132">
        <f t="shared" si="107"/>
        <v>896440000</v>
      </c>
      <c r="I282" s="132" t="str">
        <f t="shared" si="97"/>
        <v>New build</v>
      </c>
      <c r="J282" s="132">
        <f t="shared" si="108"/>
        <v>391930000</v>
      </c>
      <c r="K282" s="132">
        <f t="shared" si="98"/>
        <v>0</v>
      </c>
      <c r="L282" s="132">
        <f t="shared" si="109"/>
        <v>0</v>
      </c>
      <c r="M282" s="132">
        <f t="shared" si="115"/>
        <v>0</v>
      </c>
      <c r="N282" s="134">
        <f t="shared" si="110"/>
        <v>0</v>
      </c>
      <c r="O282" s="135">
        <f t="shared" si="111"/>
        <v>0</v>
      </c>
      <c r="P282" s="132" t="str">
        <f t="shared" si="99"/>
        <v/>
      </c>
      <c r="Q282" s="132" t="str">
        <f t="shared" si="113"/>
        <v/>
      </c>
      <c r="R282" s="132" t="str">
        <f>IF(ISNUMBER(SEARCH("AHO",Import2[[#This Row],[Tenure]])),"AHO",Import2[[#This Row],[Tenure]])&amp;Import2[[#This Row],[Expected Physical Completion Year]]&amp;Import2[[#This Row],[Expected Physical Completion Month]]</f>
        <v>Open market housing</v>
      </c>
      <c r="S282" s="135">
        <f t="shared" si="112"/>
        <v>0</v>
      </c>
      <c r="T282" s="132" t="str">
        <f t="shared" si="116"/>
        <v/>
      </c>
      <c r="U282" s="132" t="str">
        <f t="shared" si="116"/>
        <v/>
      </c>
      <c r="V282" s="132" t="str">
        <f>IF(ISNUMBER(SEARCH("AHO",Import2[[#This Row],[Tenure]])),"AHO",Import2[[#This Row],[Tenure]])&amp;Import2[[#This Row],[Expected sale completion year]]&amp;Import2[[#This Row],[Expected sale completion month]]</f>
        <v>Open market housing</v>
      </c>
      <c r="W282" s="178">
        <f t="shared" si="100"/>
        <v>0</v>
      </c>
    </row>
    <row r="283" spans="1:23" ht="15" customHeight="1">
      <c r="A283" s="132">
        <f t="shared" si="104"/>
        <v>0</v>
      </c>
      <c r="B283" s="133">
        <v>280</v>
      </c>
      <c r="C283" s="132" t="str">
        <f t="shared" si="105"/>
        <v/>
      </c>
      <c r="D283" s="132">
        <f t="shared" si="114"/>
        <v>0</v>
      </c>
      <c r="E283" s="132">
        <f t="shared" si="114"/>
        <v>0</v>
      </c>
      <c r="F283" s="132">
        <f t="shared" si="106"/>
        <v>0</v>
      </c>
      <c r="G283" s="132" t="str">
        <f t="shared" si="114"/>
        <v>Open market housing</v>
      </c>
      <c r="H283" s="132">
        <f t="shared" si="107"/>
        <v>896440000</v>
      </c>
      <c r="I283" s="132" t="str">
        <f t="shared" si="97"/>
        <v>New build</v>
      </c>
      <c r="J283" s="132">
        <f t="shared" si="108"/>
        <v>391930000</v>
      </c>
      <c r="K283" s="132">
        <f t="shared" si="98"/>
        <v>0</v>
      </c>
      <c r="L283" s="132">
        <f t="shared" si="109"/>
        <v>0</v>
      </c>
      <c r="M283" s="132">
        <f t="shared" si="115"/>
        <v>0</v>
      </c>
      <c r="N283" s="134">
        <f t="shared" si="110"/>
        <v>0</v>
      </c>
      <c r="O283" s="135">
        <f t="shared" si="111"/>
        <v>0</v>
      </c>
      <c r="P283" s="132" t="str">
        <f t="shared" si="99"/>
        <v/>
      </c>
      <c r="Q283" s="132" t="str">
        <f t="shared" si="113"/>
        <v/>
      </c>
      <c r="R283" s="132" t="str">
        <f>IF(ISNUMBER(SEARCH("AHO",Import2[[#This Row],[Tenure]])),"AHO",Import2[[#This Row],[Tenure]])&amp;Import2[[#This Row],[Expected Physical Completion Year]]&amp;Import2[[#This Row],[Expected Physical Completion Month]]</f>
        <v>Open market housing</v>
      </c>
      <c r="S283" s="135">
        <f t="shared" si="112"/>
        <v>0</v>
      </c>
      <c r="T283" s="132" t="str">
        <f t="shared" si="116"/>
        <v/>
      </c>
      <c r="U283" s="132" t="str">
        <f t="shared" si="116"/>
        <v/>
      </c>
      <c r="V283" s="132" t="str">
        <f>IF(ISNUMBER(SEARCH("AHO",Import2[[#This Row],[Tenure]])),"AHO",Import2[[#This Row],[Tenure]])&amp;Import2[[#This Row],[Expected sale completion year]]&amp;Import2[[#This Row],[Expected sale completion month]]</f>
        <v>Open market housing</v>
      </c>
      <c r="W283" s="178">
        <f t="shared" si="100"/>
        <v>0</v>
      </c>
    </row>
    <row r="284" spans="1:23" ht="15" customHeight="1">
      <c r="A284" s="132">
        <f t="shared" si="104"/>
        <v>0</v>
      </c>
      <c r="B284" s="133">
        <v>281</v>
      </c>
      <c r="C284" s="132" t="str">
        <f t="shared" si="105"/>
        <v/>
      </c>
      <c r="D284" s="132">
        <f t="shared" ref="D284:G303" si="117">INDEX(PlotData,MATCH($B284,PlotNumber,0),MATCH(D$3,PlotTitles,0))</f>
        <v>0</v>
      </c>
      <c r="E284" s="132">
        <f t="shared" si="117"/>
        <v>0</v>
      </c>
      <c r="F284" s="132">
        <f t="shared" si="106"/>
        <v>0</v>
      </c>
      <c r="G284" s="132" t="str">
        <f t="shared" si="117"/>
        <v>Open market housing</v>
      </c>
      <c r="H284" s="132">
        <f t="shared" si="107"/>
        <v>896440000</v>
      </c>
      <c r="I284" s="132" t="str">
        <f t="shared" si="97"/>
        <v>New build</v>
      </c>
      <c r="J284" s="132">
        <f t="shared" si="108"/>
        <v>391930000</v>
      </c>
      <c r="K284" s="132">
        <f t="shared" si="98"/>
        <v>0</v>
      </c>
      <c r="L284" s="132">
        <f t="shared" si="109"/>
        <v>0</v>
      </c>
      <c r="M284" s="132">
        <f t="shared" ref="M284:M303" si="118">INDEX(PlotData,MATCH($B284,PlotNumber,0),MATCH(M$3,PlotTitles,0))</f>
        <v>0</v>
      </c>
      <c r="N284" s="134">
        <f t="shared" si="110"/>
        <v>0</v>
      </c>
      <c r="O284" s="135">
        <f t="shared" si="111"/>
        <v>0</v>
      </c>
      <c r="P284" s="132" t="str">
        <f t="shared" si="99"/>
        <v/>
      </c>
      <c r="Q284" s="132" t="str">
        <f t="shared" si="113"/>
        <v/>
      </c>
      <c r="R284" s="132" t="str">
        <f>IF(ISNUMBER(SEARCH("AHO",Import2[[#This Row],[Tenure]])),"AHO",Import2[[#This Row],[Tenure]])&amp;Import2[[#This Row],[Expected Physical Completion Year]]&amp;Import2[[#This Row],[Expected Physical Completion Month]]</f>
        <v>Open market housing</v>
      </c>
      <c r="S284" s="135">
        <f t="shared" si="112"/>
        <v>0</v>
      </c>
      <c r="T284" s="132" t="str">
        <f t="shared" ref="T284:U303" si="119">IF(INDEX(PlotData,MATCH($B284,PlotNumber,0),MATCH(T$3,PlotTitles,0))=0,"",INDEX(PlotData,MATCH($B284,PlotNumber,0),MATCH(T$3,PlotTitles,0)))</f>
        <v/>
      </c>
      <c r="U284" s="132" t="str">
        <f t="shared" si="119"/>
        <v/>
      </c>
      <c r="V284" s="132" t="str">
        <f>IF(ISNUMBER(SEARCH("AHO",Import2[[#This Row],[Tenure]])),"AHO",Import2[[#This Row],[Tenure]])&amp;Import2[[#This Row],[Expected sale completion year]]&amp;Import2[[#This Row],[Expected sale completion month]]</f>
        <v>Open market housing</v>
      </c>
      <c r="W284" s="178">
        <f t="shared" si="100"/>
        <v>0</v>
      </c>
    </row>
    <row r="285" spans="1:23" ht="15" customHeight="1">
      <c r="A285" s="132">
        <f t="shared" si="104"/>
        <v>0</v>
      </c>
      <c r="B285" s="133">
        <v>282</v>
      </c>
      <c r="C285" s="132" t="str">
        <f t="shared" si="105"/>
        <v/>
      </c>
      <c r="D285" s="132">
        <f t="shared" si="117"/>
        <v>0</v>
      </c>
      <c r="E285" s="132">
        <f t="shared" si="117"/>
        <v>0</v>
      </c>
      <c r="F285" s="132">
        <f t="shared" si="106"/>
        <v>0</v>
      </c>
      <c r="G285" s="132" t="str">
        <f t="shared" si="117"/>
        <v>Open market housing</v>
      </c>
      <c r="H285" s="132">
        <f t="shared" si="107"/>
        <v>896440000</v>
      </c>
      <c r="I285" s="132" t="str">
        <f t="shared" si="97"/>
        <v>New build</v>
      </c>
      <c r="J285" s="132">
        <f t="shared" si="108"/>
        <v>391930000</v>
      </c>
      <c r="K285" s="132">
        <f t="shared" si="98"/>
        <v>0</v>
      </c>
      <c r="L285" s="132">
        <f t="shared" si="109"/>
        <v>0</v>
      </c>
      <c r="M285" s="132">
        <f t="shared" si="118"/>
        <v>0</v>
      </c>
      <c r="N285" s="134">
        <f t="shared" si="110"/>
        <v>0</v>
      </c>
      <c r="O285" s="135">
        <f t="shared" si="111"/>
        <v>0</v>
      </c>
      <c r="P285" s="132" t="str">
        <f t="shared" si="99"/>
        <v/>
      </c>
      <c r="Q285" s="132" t="str">
        <f t="shared" si="113"/>
        <v/>
      </c>
      <c r="R285" s="132" t="str">
        <f>IF(ISNUMBER(SEARCH("AHO",Import2[[#This Row],[Tenure]])),"AHO",Import2[[#This Row],[Tenure]])&amp;Import2[[#This Row],[Expected Physical Completion Year]]&amp;Import2[[#This Row],[Expected Physical Completion Month]]</f>
        <v>Open market housing</v>
      </c>
      <c r="S285" s="135">
        <f t="shared" si="112"/>
        <v>0</v>
      </c>
      <c r="T285" s="132" t="str">
        <f t="shared" si="119"/>
        <v/>
      </c>
      <c r="U285" s="132" t="str">
        <f t="shared" si="119"/>
        <v/>
      </c>
      <c r="V285" s="132" t="str">
        <f>IF(ISNUMBER(SEARCH("AHO",Import2[[#This Row],[Tenure]])),"AHO",Import2[[#This Row],[Tenure]])&amp;Import2[[#This Row],[Expected sale completion year]]&amp;Import2[[#This Row],[Expected sale completion month]]</f>
        <v>Open market housing</v>
      </c>
      <c r="W285" s="178">
        <f t="shared" si="100"/>
        <v>0</v>
      </c>
    </row>
    <row r="286" spans="1:23" ht="15" customHeight="1">
      <c r="A286" s="132">
        <f t="shared" si="104"/>
        <v>0</v>
      </c>
      <c r="B286" s="133">
        <v>283</v>
      </c>
      <c r="C286" s="132" t="str">
        <f t="shared" si="105"/>
        <v/>
      </c>
      <c r="D286" s="132">
        <f t="shared" si="117"/>
        <v>0</v>
      </c>
      <c r="E286" s="132">
        <f t="shared" si="117"/>
        <v>0</v>
      </c>
      <c r="F286" s="132">
        <f t="shared" si="106"/>
        <v>0</v>
      </c>
      <c r="G286" s="132" t="str">
        <f t="shared" si="117"/>
        <v>Open market housing</v>
      </c>
      <c r="H286" s="132">
        <f t="shared" si="107"/>
        <v>896440000</v>
      </c>
      <c r="I286" s="132" t="str">
        <f t="shared" si="97"/>
        <v>New build</v>
      </c>
      <c r="J286" s="132">
        <f t="shared" si="108"/>
        <v>391930000</v>
      </c>
      <c r="K286" s="132">
        <f t="shared" si="98"/>
        <v>0</v>
      </c>
      <c r="L286" s="132">
        <f t="shared" si="109"/>
        <v>0</v>
      </c>
      <c r="M286" s="132">
        <f t="shared" si="118"/>
        <v>0</v>
      </c>
      <c r="N286" s="134">
        <f t="shared" si="110"/>
        <v>0</v>
      </c>
      <c r="O286" s="135">
        <f t="shared" si="111"/>
        <v>0</v>
      </c>
      <c r="P286" s="132" t="str">
        <f t="shared" si="99"/>
        <v/>
      </c>
      <c r="Q286" s="132" t="str">
        <f t="shared" si="113"/>
        <v/>
      </c>
      <c r="R286" s="132" t="str">
        <f>IF(ISNUMBER(SEARCH("AHO",Import2[[#This Row],[Tenure]])),"AHO",Import2[[#This Row],[Tenure]])&amp;Import2[[#This Row],[Expected Physical Completion Year]]&amp;Import2[[#This Row],[Expected Physical Completion Month]]</f>
        <v>Open market housing</v>
      </c>
      <c r="S286" s="135">
        <f t="shared" si="112"/>
        <v>0</v>
      </c>
      <c r="T286" s="132" t="str">
        <f t="shared" si="119"/>
        <v/>
      </c>
      <c r="U286" s="132" t="str">
        <f t="shared" si="119"/>
        <v/>
      </c>
      <c r="V286" s="132" t="str">
        <f>IF(ISNUMBER(SEARCH("AHO",Import2[[#This Row],[Tenure]])),"AHO",Import2[[#This Row],[Tenure]])&amp;Import2[[#This Row],[Expected sale completion year]]&amp;Import2[[#This Row],[Expected sale completion month]]</f>
        <v>Open market housing</v>
      </c>
      <c r="W286" s="178">
        <f t="shared" si="100"/>
        <v>0</v>
      </c>
    </row>
    <row r="287" spans="1:23" ht="15" customHeight="1">
      <c r="A287" s="132">
        <f t="shared" si="104"/>
        <v>0</v>
      </c>
      <c r="B287" s="133">
        <v>284</v>
      </c>
      <c r="C287" s="132" t="str">
        <f t="shared" si="105"/>
        <v/>
      </c>
      <c r="D287" s="132">
        <f t="shared" si="117"/>
        <v>0</v>
      </c>
      <c r="E287" s="132">
        <f t="shared" si="117"/>
        <v>0</v>
      </c>
      <c r="F287" s="132">
        <f t="shared" si="106"/>
        <v>0</v>
      </c>
      <c r="G287" s="132" t="str">
        <f t="shared" si="117"/>
        <v>Open market housing</v>
      </c>
      <c r="H287" s="132">
        <f t="shared" si="107"/>
        <v>896440000</v>
      </c>
      <c r="I287" s="132" t="str">
        <f t="shared" si="97"/>
        <v>New build</v>
      </c>
      <c r="J287" s="132">
        <f t="shared" si="108"/>
        <v>391930000</v>
      </c>
      <c r="K287" s="132">
        <f t="shared" si="98"/>
        <v>0</v>
      </c>
      <c r="L287" s="132">
        <f t="shared" si="109"/>
        <v>0</v>
      </c>
      <c r="M287" s="132">
        <f t="shared" si="118"/>
        <v>0</v>
      </c>
      <c r="N287" s="134">
        <f t="shared" si="110"/>
        <v>0</v>
      </c>
      <c r="O287" s="135">
        <f t="shared" si="111"/>
        <v>0</v>
      </c>
      <c r="P287" s="132" t="str">
        <f t="shared" si="99"/>
        <v/>
      </c>
      <c r="Q287" s="132" t="str">
        <f t="shared" si="113"/>
        <v/>
      </c>
      <c r="R287" s="132" t="str">
        <f>IF(ISNUMBER(SEARCH("AHO",Import2[[#This Row],[Tenure]])),"AHO",Import2[[#This Row],[Tenure]])&amp;Import2[[#This Row],[Expected Physical Completion Year]]&amp;Import2[[#This Row],[Expected Physical Completion Month]]</f>
        <v>Open market housing</v>
      </c>
      <c r="S287" s="135">
        <f t="shared" si="112"/>
        <v>0</v>
      </c>
      <c r="T287" s="132" t="str">
        <f t="shared" si="119"/>
        <v/>
      </c>
      <c r="U287" s="132" t="str">
        <f t="shared" si="119"/>
        <v/>
      </c>
      <c r="V287" s="132" t="str">
        <f>IF(ISNUMBER(SEARCH("AHO",Import2[[#This Row],[Tenure]])),"AHO",Import2[[#This Row],[Tenure]])&amp;Import2[[#This Row],[Expected sale completion year]]&amp;Import2[[#This Row],[Expected sale completion month]]</f>
        <v>Open market housing</v>
      </c>
      <c r="W287" s="178">
        <f t="shared" si="100"/>
        <v>0</v>
      </c>
    </row>
    <row r="288" spans="1:23" ht="15" customHeight="1">
      <c r="A288" s="132">
        <f t="shared" si="104"/>
        <v>0</v>
      </c>
      <c r="B288" s="133">
        <v>285</v>
      </c>
      <c r="C288" s="132" t="str">
        <f t="shared" si="105"/>
        <v/>
      </c>
      <c r="D288" s="132">
        <f t="shared" si="117"/>
        <v>0</v>
      </c>
      <c r="E288" s="132">
        <f t="shared" si="117"/>
        <v>0</v>
      </c>
      <c r="F288" s="132">
        <f t="shared" si="106"/>
        <v>0</v>
      </c>
      <c r="G288" s="132" t="str">
        <f t="shared" si="117"/>
        <v>Open market housing</v>
      </c>
      <c r="H288" s="132">
        <f t="shared" si="107"/>
        <v>896440000</v>
      </c>
      <c r="I288" s="132" t="str">
        <f t="shared" si="97"/>
        <v>New build</v>
      </c>
      <c r="J288" s="132">
        <f t="shared" si="108"/>
        <v>391930000</v>
      </c>
      <c r="K288" s="132">
        <f t="shared" si="98"/>
        <v>0</v>
      </c>
      <c r="L288" s="132">
        <f t="shared" si="109"/>
        <v>0</v>
      </c>
      <c r="M288" s="132">
        <f t="shared" si="118"/>
        <v>0</v>
      </c>
      <c r="N288" s="134">
        <f t="shared" si="110"/>
        <v>0</v>
      </c>
      <c r="O288" s="135">
        <f t="shared" si="111"/>
        <v>0</v>
      </c>
      <c r="P288" s="132" t="str">
        <f t="shared" si="99"/>
        <v/>
      </c>
      <c r="Q288" s="132" t="str">
        <f t="shared" si="113"/>
        <v/>
      </c>
      <c r="R288" s="132" t="str">
        <f>IF(ISNUMBER(SEARCH("AHO",Import2[[#This Row],[Tenure]])),"AHO",Import2[[#This Row],[Tenure]])&amp;Import2[[#This Row],[Expected Physical Completion Year]]&amp;Import2[[#This Row],[Expected Physical Completion Month]]</f>
        <v>Open market housing</v>
      </c>
      <c r="S288" s="135">
        <f t="shared" si="112"/>
        <v>0</v>
      </c>
      <c r="T288" s="132" t="str">
        <f t="shared" si="119"/>
        <v/>
      </c>
      <c r="U288" s="132" t="str">
        <f t="shared" si="119"/>
        <v/>
      </c>
      <c r="V288" s="132" t="str">
        <f>IF(ISNUMBER(SEARCH("AHO",Import2[[#This Row],[Tenure]])),"AHO",Import2[[#This Row],[Tenure]])&amp;Import2[[#This Row],[Expected sale completion year]]&amp;Import2[[#This Row],[Expected sale completion month]]</f>
        <v>Open market housing</v>
      </c>
      <c r="W288" s="178">
        <f t="shared" si="100"/>
        <v>0</v>
      </c>
    </row>
    <row r="289" spans="1:23" ht="15" customHeight="1">
      <c r="A289" s="132">
        <f t="shared" si="104"/>
        <v>0</v>
      </c>
      <c r="B289" s="133">
        <v>286</v>
      </c>
      <c r="C289" s="132" t="str">
        <f t="shared" si="105"/>
        <v/>
      </c>
      <c r="D289" s="132">
        <f t="shared" si="117"/>
        <v>0</v>
      </c>
      <c r="E289" s="132">
        <f t="shared" si="117"/>
        <v>0</v>
      </c>
      <c r="F289" s="132">
        <f t="shared" si="106"/>
        <v>0</v>
      </c>
      <c r="G289" s="132" t="str">
        <f t="shared" si="117"/>
        <v>Open market housing</v>
      </c>
      <c r="H289" s="132">
        <f t="shared" si="107"/>
        <v>896440000</v>
      </c>
      <c r="I289" s="132" t="str">
        <f t="shared" si="97"/>
        <v>New build</v>
      </c>
      <c r="J289" s="132">
        <f t="shared" si="108"/>
        <v>391930000</v>
      </c>
      <c r="K289" s="132">
        <f t="shared" si="98"/>
        <v>0</v>
      </c>
      <c r="L289" s="132">
        <f t="shared" si="109"/>
        <v>0</v>
      </c>
      <c r="M289" s="132">
        <f t="shared" si="118"/>
        <v>0</v>
      </c>
      <c r="N289" s="134">
        <f t="shared" si="110"/>
        <v>0</v>
      </c>
      <c r="O289" s="135">
        <f t="shared" si="111"/>
        <v>0</v>
      </c>
      <c r="P289" s="132" t="str">
        <f t="shared" si="99"/>
        <v/>
      </c>
      <c r="Q289" s="132" t="str">
        <f t="shared" si="113"/>
        <v/>
      </c>
      <c r="R289" s="132" t="str">
        <f>IF(ISNUMBER(SEARCH("AHO",Import2[[#This Row],[Tenure]])),"AHO",Import2[[#This Row],[Tenure]])&amp;Import2[[#This Row],[Expected Physical Completion Year]]&amp;Import2[[#This Row],[Expected Physical Completion Month]]</f>
        <v>Open market housing</v>
      </c>
      <c r="S289" s="135">
        <f t="shared" si="112"/>
        <v>0</v>
      </c>
      <c r="T289" s="132" t="str">
        <f t="shared" si="119"/>
        <v/>
      </c>
      <c r="U289" s="132" t="str">
        <f t="shared" si="119"/>
        <v/>
      </c>
      <c r="V289" s="132" t="str">
        <f>IF(ISNUMBER(SEARCH("AHO",Import2[[#This Row],[Tenure]])),"AHO",Import2[[#This Row],[Tenure]])&amp;Import2[[#This Row],[Expected sale completion year]]&amp;Import2[[#This Row],[Expected sale completion month]]</f>
        <v>Open market housing</v>
      </c>
      <c r="W289" s="178">
        <f t="shared" si="100"/>
        <v>0</v>
      </c>
    </row>
    <row r="290" spans="1:23" ht="15" customHeight="1">
      <c r="A290" s="132">
        <f t="shared" si="104"/>
        <v>0</v>
      </c>
      <c r="B290" s="133">
        <v>287</v>
      </c>
      <c r="C290" s="132" t="str">
        <f t="shared" si="105"/>
        <v/>
      </c>
      <c r="D290" s="132">
        <f t="shared" si="117"/>
        <v>0</v>
      </c>
      <c r="E290" s="132">
        <f t="shared" si="117"/>
        <v>0</v>
      </c>
      <c r="F290" s="132">
        <f t="shared" si="106"/>
        <v>0</v>
      </c>
      <c r="G290" s="132" t="str">
        <f t="shared" si="117"/>
        <v>Open market housing</v>
      </c>
      <c r="H290" s="132">
        <f t="shared" si="107"/>
        <v>896440000</v>
      </c>
      <c r="I290" s="132" t="str">
        <f t="shared" si="97"/>
        <v>New build</v>
      </c>
      <c r="J290" s="132">
        <f t="shared" si="108"/>
        <v>391930000</v>
      </c>
      <c r="K290" s="132">
        <f t="shared" si="98"/>
        <v>0</v>
      </c>
      <c r="L290" s="132">
        <f t="shared" si="109"/>
        <v>0</v>
      </c>
      <c r="M290" s="132">
        <f t="shared" si="118"/>
        <v>0</v>
      </c>
      <c r="N290" s="134">
        <f t="shared" si="110"/>
        <v>0</v>
      </c>
      <c r="O290" s="135">
        <f t="shared" si="111"/>
        <v>0</v>
      </c>
      <c r="P290" s="132" t="str">
        <f t="shared" si="99"/>
        <v/>
      </c>
      <c r="Q290" s="132" t="str">
        <f t="shared" si="113"/>
        <v/>
      </c>
      <c r="R290" s="132" t="str">
        <f>IF(ISNUMBER(SEARCH("AHO",Import2[[#This Row],[Tenure]])),"AHO",Import2[[#This Row],[Tenure]])&amp;Import2[[#This Row],[Expected Physical Completion Year]]&amp;Import2[[#This Row],[Expected Physical Completion Month]]</f>
        <v>Open market housing</v>
      </c>
      <c r="S290" s="135">
        <f t="shared" si="112"/>
        <v>0</v>
      </c>
      <c r="T290" s="132" t="str">
        <f t="shared" si="119"/>
        <v/>
      </c>
      <c r="U290" s="132" t="str">
        <f t="shared" si="119"/>
        <v/>
      </c>
      <c r="V290" s="132" t="str">
        <f>IF(ISNUMBER(SEARCH("AHO",Import2[[#This Row],[Tenure]])),"AHO",Import2[[#This Row],[Tenure]])&amp;Import2[[#This Row],[Expected sale completion year]]&amp;Import2[[#This Row],[Expected sale completion month]]</f>
        <v>Open market housing</v>
      </c>
      <c r="W290" s="178">
        <f t="shared" si="100"/>
        <v>0</v>
      </c>
    </row>
    <row r="291" spans="1:23" ht="15" customHeight="1">
      <c r="A291" s="132">
        <f t="shared" si="104"/>
        <v>0</v>
      </c>
      <c r="B291" s="133">
        <v>288</v>
      </c>
      <c r="C291" s="132" t="str">
        <f t="shared" si="105"/>
        <v/>
      </c>
      <c r="D291" s="132">
        <f t="shared" si="117"/>
        <v>0</v>
      </c>
      <c r="E291" s="132">
        <f t="shared" si="117"/>
        <v>0</v>
      </c>
      <c r="F291" s="132">
        <f t="shared" si="106"/>
        <v>0</v>
      </c>
      <c r="G291" s="132" t="str">
        <f t="shared" si="117"/>
        <v>Open market housing</v>
      </c>
      <c r="H291" s="132">
        <f t="shared" si="107"/>
        <v>896440000</v>
      </c>
      <c r="I291" s="132" t="str">
        <f t="shared" si="97"/>
        <v>New build</v>
      </c>
      <c r="J291" s="132">
        <f t="shared" si="108"/>
        <v>391930000</v>
      </c>
      <c r="K291" s="132">
        <f t="shared" si="98"/>
        <v>0</v>
      </c>
      <c r="L291" s="132">
        <f t="shared" si="109"/>
        <v>0</v>
      </c>
      <c r="M291" s="132">
        <f t="shared" si="118"/>
        <v>0</v>
      </c>
      <c r="N291" s="134">
        <f t="shared" si="110"/>
        <v>0</v>
      </c>
      <c r="O291" s="135">
        <f t="shared" si="111"/>
        <v>0</v>
      </c>
      <c r="P291" s="132" t="str">
        <f t="shared" si="99"/>
        <v/>
      </c>
      <c r="Q291" s="132" t="str">
        <f t="shared" si="113"/>
        <v/>
      </c>
      <c r="R291" s="132" t="str">
        <f>IF(ISNUMBER(SEARCH("AHO",Import2[[#This Row],[Tenure]])),"AHO",Import2[[#This Row],[Tenure]])&amp;Import2[[#This Row],[Expected Physical Completion Year]]&amp;Import2[[#This Row],[Expected Physical Completion Month]]</f>
        <v>Open market housing</v>
      </c>
      <c r="S291" s="135">
        <f t="shared" si="112"/>
        <v>0</v>
      </c>
      <c r="T291" s="132" t="str">
        <f t="shared" si="119"/>
        <v/>
      </c>
      <c r="U291" s="132" t="str">
        <f t="shared" si="119"/>
        <v/>
      </c>
      <c r="V291" s="132" t="str">
        <f>IF(ISNUMBER(SEARCH("AHO",Import2[[#This Row],[Tenure]])),"AHO",Import2[[#This Row],[Tenure]])&amp;Import2[[#This Row],[Expected sale completion year]]&amp;Import2[[#This Row],[Expected sale completion month]]</f>
        <v>Open market housing</v>
      </c>
      <c r="W291" s="178">
        <f t="shared" si="100"/>
        <v>0</v>
      </c>
    </row>
    <row r="292" spans="1:23" ht="15" customHeight="1">
      <c r="A292" s="132">
        <f t="shared" si="104"/>
        <v>0</v>
      </c>
      <c r="B292" s="133">
        <v>289</v>
      </c>
      <c r="C292" s="132" t="str">
        <f t="shared" si="105"/>
        <v/>
      </c>
      <c r="D292" s="132">
        <f t="shared" si="117"/>
        <v>0</v>
      </c>
      <c r="E292" s="132">
        <f t="shared" si="117"/>
        <v>0</v>
      </c>
      <c r="F292" s="132">
        <f t="shared" si="106"/>
        <v>0</v>
      </c>
      <c r="G292" s="132" t="str">
        <f t="shared" si="117"/>
        <v>Open market housing</v>
      </c>
      <c r="H292" s="132">
        <f t="shared" si="107"/>
        <v>896440000</v>
      </c>
      <c r="I292" s="132" t="str">
        <f t="shared" si="97"/>
        <v>New build</v>
      </c>
      <c r="J292" s="132">
        <f t="shared" si="108"/>
        <v>391930000</v>
      </c>
      <c r="K292" s="132">
        <f t="shared" si="98"/>
        <v>0</v>
      </c>
      <c r="L292" s="132">
        <f t="shared" si="109"/>
        <v>0</v>
      </c>
      <c r="M292" s="132">
        <f t="shared" si="118"/>
        <v>0</v>
      </c>
      <c r="N292" s="134">
        <f t="shared" si="110"/>
        <v>0</v>
      </c>
      <c r="O292" s="135">
        <f t="shared" si="111"/>
        <v>0</v>
      </c>
      <c r="P292" s="132" t="str">
        <f t="shared" si="99"/>
        <v/>
      </c>
      <c r="Q292" s="132" t="str">
        <f t="shared" si="113"/>
        <v/>
      </c>
      <c r="R292" s="132" t="str">
        <f>IF(ISNUMBER(SEARCH("AHO",Import2[[#This Row],[Tenure]])),"AHO",Import2[[#This Row],[Tenure]])&amp;Import2[[#This Row],[Expected Physical Completion Year]]&amp;Import2[[#This Row],[Expected Physical Completion Month]]</f>
        <v>Open market housing</v>
      </c>
      <c r="S292" s="135">
        <f t="shared" si="112"/>
        <v>0</v>
      </c>
      <c r="T292" s="132" t="str">
        <f t="shared" si="119"/>
        <v/>
      </c>
      <c r="U292" s="132" t="str">
        <f t="shared" si="119"/>
        <v/>
      </c>
      <c r="V292" s="132" t="str">
        <f>IF(ISNUMBER(SEARCH("AHO",Import2[[#This Row],[Tenure]])),"AHO",Import2[[#This Row],[Tenure]])&amp;Import2[[#This Row],[Expected sale completion year]]&amp;Import2[[#This Row],[Expected sale completion month]]</f>
        <v>Open market housing</v>
      </c>
      <c r="W292" s="178">
        <f t="shared" si="100"/>
        <v>0</v>
      </c>
    </row>
    <row r="293" spans="1:23" ht="15" customHeight="1">
      <c r="A293" s="132">
        <f t="shared" si="104"/>
        <v>0</v>
      </c>
      <c r="B293" s="133">
        <v>290</v>
      </c>
      <c r="C293" s="132" t="str">
        <f t="shared" si="105"/>
        <v/>
      </c>
      <c r="D293" s="132">
        <f t="shared" si="117"/>
        <v>0</v>
      </c>
      <c r="E293" s="132">
        <f t="shared" si="117"/>
        <v>0</v>
      </c>
      <c r="F293" s="132">
        <f t="shared" si="106"/>
        <v>0</v>
      </c>
      <c r="G293" s="132" t="str">
        <f t="shared" si="117"/>
        <v>Open market housing</v>
      </c>
      <c r="H293" s="132">
        <f t="shared" si="107"/>
        <v>896440000</v>
      </c>
      <c r="I293" s="132" t="str">
        <f t="shared" si="97"/>
        <v>New build</v>
      </c>
      <c r="J293" s="132">
        <f t="shared" si="108"/>
        <v>391930000</v>
      </c>
      <c r="K293" s="132">
        <f t="shared" si="98"/>
        <v>0</v>
      </c>
      <c r="L293" s="132">
        <f t="shared" si="109"/>
        <v>0</v>
      </c>
      <c r="M293" s="132">
        <f t="shared" si="118"/>
        <v>0</v>
      </c>
      <c r="N293" s="134">
        <f t="shared" si="110"/>
        <v>0</v>
      </c>
      <c r="O293" s="135">
        <f t="shared" si="111"/>
        <v>0</v>
      </c>
      <c r="P293" s="132" t="str">
        <f t="shared" si="99"/>
        <v/>
      </c>
      <c r="Q293" s="132" t="str">
        <f t="shared" si="113"/>
        <v/>
      </c>
      <c r="R293" s="132" t="str">
        <f>IF(ISNUMBER(SEARCH("AHO",Import2[[#This Row],[Tenure]])),"AHO",Import2[[#This Row],[Tenure]])&amp;Import2[[#This Row],[Expected Physical Completion Year]]&amp;Import2[[#This Row],[Expected Physical Completion Month]]</f>
        <v>Open market housing</v>
      </c>
      <c r="S293" s="135">
        <f t="shared" si="112"/>
        <v>0</v>
      </c>
      <c r="T293" s="132" t="str">
        <f t="shared" si="119"/>
        <v/>
      </c>
      <c r="U293" s="132" t="str">
        <f t="shared" si="119"/>
        <v/>
      </c>
      <c r="V293" s="132" t="str">
        <f>IF(ISNUMBER(SEARCH("AHO",Import2[[#This Row],[Tenure]])),"AHO",Import2[[#This Row],[Tenure]])&amp;Import2[[#This Row],[Expected sale completion year]]&amp;Import2[[#This Row],[Expected sale completion month]]</f>
        <v>Open market housing</v>
      </c>
      <c r="W293" s="178">
        <f t="shared" si="100"/>
        <v>0</v>
      </c>
    </row>
    <row r="294" spans="1:23" ht="15" customHeight="1">
      <c r="A294" s="132">
        <f t="shared" si="104"/>
        <v>0</v>
      </c>
      <c r="B294" s="133">
        <v>291</v>
      </c>
      <c r="C294" s="132" t="str">
        <f t="shared" si="105"/>
        <v/>
      </c>
      <c r="D294" s="132">
        <f t="shared" si="117"/>
        <v>0</v>
      </c>
      <c r="E294" s="132">
        <f t="shared" si="117"/>
        <v>0</v>
      </c>
      <c r="F294" s="132">
        <f t="shared" si="106"/>
        <v>0</v>
      </c>
      <c r="G294" s="132" t="str">
        <f t="shared" si="117"/>
        <v>Open market housing</v>
      </c>
      <c r="H294" s="132">
        <f t="shared" si="107"/>
        <v>896440000</v>
      </c>
      <c r="I294" s="132" t="str">
        <f t="shared" si="97"/>
        <v>New build</v>
      </c>
      <c r="J294" s="132">
        <f t="shared" si="108"/>
        <v>391930000</v>
      </c>
      <c r="K294" s="132">
        <f t="shared" si="98"/>
        <v>0</v>
      </c>
      <c r="L294" s="132">
        <f t="shared" si="109"/>
        <v>0</v>
      </c>
      <c r="M294" s="132">
        <f t="shared" si="118"/>
        <v>0</v>
      </c>
      <c r="N294" s="134">
        <f t="shared" si="110"/>
        <v>0</v>
      </c>
      <c r="O294" s="135">
        <f t="shared" si="111"/>
        <v>0</v>
      </c>
      <c r="P294" s="132" t="str">
        <f t="shared" si="99"/>
        <v/>
      </c>
      <c r="Q294" s="132" t="str">
        <f t="shared" si="113"/>
        <v/>
      </c>
      <c r="R294" s="132" t="str">
        <f>IF(ISNUMBER(SEARCH("AHO",Import2[[#This Row],[Tenure]])),"AHO",Import2[[#This Row],[Tenure]])&amp;Import2[[#This Row],[Expected Physical Completion Year]]&amp;Import2[[#This Row],[Expected Physical Completion Month]]</f>
        <v>Open market housing</v>
      </c>
      <c r="S294" s="135">
        <f t="shared" si="112"/>
        <v>0</v>
      </c>
      <c r="T294" s="132" t="str">
        <f t="shared" si="119"/>
        <v/>
      </c>
      <c r="U294" s="132" t="str">
        <f t="shared" si="119"/>
        <v/>
      </c>
      <c r="V294" s="132" t="str">
        <f>IF(ISNUMBER(SEARCH("AHO",Import2[[#This Row],[Tenure]])),"AHO",Import2[[#This Row],[Tenure]])&amp;Import2[[#This Row],[Expected sale completion year]]&amp;Import2[[#This Row],[Expected sale completion month]]</f>
        <v>Open market housing</v>
      </c>
      <c r="W294" s="178">
        <f t="shared" si="100"/>
        <v>0</v>
      </c>
    </row>
    <row r="295" spans="1:23" ht="15" customHeight="1">
      <c r="A295" s="132">
        <f t="shared" si="104"/>
        <v>0</v>
      </c>
      <c r="B295" s="133">
        <v>292</v>
      </c>
      <c r="C295" s="132" t="str">
        <f t="shared" si="105"/>
        <v/>
      </c>
      <c r="D295" s="132">
        <f t="shared" si="117"/>
        <v>0</v>
      </c>
      <c r="E295" s="132">
        <f t="shared" si="117"/>
        <v>0</v>
      </c>
      <c r="F295" s="132">
        <f t="shared" si="106"/>
        <v>0</v>
      </c>
      <c r="G295" s="132" t="str">
        <f t="shared" si="117"/>
        <v>Open market housing</v>
      </c>
      <c r="H295" s="132">
        <f t="shared" si="107"/>
        <v>896440000</v>
      </c>
      <c r="I295" s="132" t="str">
        <f t="shared" si="97"/>
        <v>New build</v>
      </c>
      <c r="J295" s="132">
        <f t="shared" si="108"/>
        <v>391930000</v>
      </c>
      <c r="K295" s="132">
        <f t="shared" si="98"/>
        <v>0</v>
      </c>
      <c r="L295" s="132">
        <f t="shared" si="109"/>
        <v>0</v>
      </c>
      <c r="M295" s="132">
        <f t="shared" si="118"/>
        <v>0</v>
      </c>
      <c r="N295" s="134">
        <f t="shared" si="110"/>
        <v>0</v>
      </c>
      <c r="O295" s="135">
        <f t="shared" si="111"/>
        <v>0</v>
      </c>
      <c r="P295" s="132" t="str">
        <f t="shared" si="99"/>
        <v/>
      </c>
      <c r="Q295" s="132" t="str">
        <f t="shared" si="113"/>
        <v/>
      </c>
      <c r="R295" s="132" t="str">
        <f>IF(ISNUMBER(SEARCH("AHO",Import2[[#This Row],[Tenure]])),"AHO",Import2[[#This Row],[Tenure]])&amp;Import2[[#This Row],[Expected Physical Completion Year]]&amp;Import2[[#This Row],[Expected Physical Completion Month]]</f>
        <v>Open market housing</v>
      </c>
      <c r="S295" s="135">
        <f t="shared" si="112"/>
        <v>0</v>
      </c>
      <c r="T295" s="132" t="str">
        <f t="shared" si="119"/>
        <v/>
      </c>
      <c r="U295" s="132" t="str">
        <f t="shared" si="119"/>
        <v/>
      </c>
      <c r="V295" s="132" t="str">
        <f>IF(ISNUMBER(SEARCH("AHO",Import2[[#This Row],[Tenure]])),"AHO",Import2[[#This Row],[Tenure]])&amp;Import2[[#This Row],[Expected sale completion year]]&amp;Import2[[#This Row],[Expected sale completion month]]</f>
        <v>Open market housing</v>
      </c>
      <c r="W295" s="178">
        <f t="shared" si="100"/>
        <v>0</v>
      </c>
    </row>
    <row r="296" spans="1:23" ht="15" customHeight="1">
      <c r="A296" s="132">
        <f t="shared" si="104"/>
        <v>0</v>
      </c>
      <c r="B296" s="133">
        <v>293</v>
      </c>
      <c r="C296" s="132" t="str">
        <f t="shared" si="105"/>
        <v/>
      </c>
      <c r="D296" s="132">
        <f t="shared" si="117"/>
        <v>0</v>
      </c>
      <c r="E296" s="132">
        <f t="shared" si="117"/>
        <v>0</v>
      </c>
      <c r="F296" s="132">
        <f t="shared" si="106"/>
        <v>0</v>
      </c>
      <c r="G296" s="132" t="str">
        <f t="shared" si="117"/>
        <v>Open market housing</v>
      </c>
      <c r="H296" s="132">
        <f t="shared" si="107"/>
        <v>896440000</v>
      </c>
      <c r="I296" s="132" t="str">
        <f t="shared" ref="I296:I359" si="120">INDEX(PlotData,MATCH($B296,PlotNumber,0),MATCH(I$3,PlotTitles,0))</f>
        <v>New build</v>
      </c>
      <c r="J296" s="132">
        <f t="shared" si="108"/>
        <v>391930000</v>
      </c>
      <c r="K296" s="132">
        <f t="shared" ref="K296:K359" si="121">INDEX(PlotData,MATCH($B296,PlotNumber,0),MATCH(K$3,PlotTitles,0))</f>
        <v>0</v>
      </c>
      <c r="L296" s="132">
        <f t="shared" si="109"/>
        <v>0</v>
      </c>
      <c r="M296" s="132">
        <f t="shared" si="118"/>
        <v>0</v>
      </c>
      <c r="N296" s="134">
        <f t="shared" si="110"/>
        <v>0</v>
      </c>
      <c r="O296" s="135">
        <f t="shared" si="111"/>
        <v>0</v>
      </c>
      <c r="P296" s="132" t="str">
        <f t="shared" ref="P296:P359" si="122">IF(INDEX(PlotData,MATCH($B296,PlotNumber,0),MATCH(P$3,PlotTitles,0))=0,"",INDEX(PlotData,MATCH($B296,PlotNumber,0),MATCH(P$3,PlotTitles,0)))</f>
        <v/>
      </c>
      <c r="Q296" s="132" t="str">
        <f t="shared" si="113"/>
        <v/>
      </c>
      <c r="R296" s="132" t="str">
        <f>IF(ISNUMBER(SEARCH("AHO",Import2[[#This Row],[Tenure]])),"AHO",Import2[[#This Row],[Tenure]])&amp;Import2[[#This Row],[Expected Physical Completion Year]]&amp;Import2[[#This Row],[Expected Physical Completion Month]]</f>
        <v>Open market housing</v>
      </c>
      <c r="S296" s="135">
        <f t="shared" si="112"/>
        <v>0</v>
      </c>
      <c r="T296" s="132" t="str">
        <f t="shared" si="119"/>
        <v/>
      </c>
      <c r="U296" s="132" t="str">
        <f t="shared" si="119"/>
        <v/>
      </c>
      <c r="V296" s="132" t="str">
        <f>IF(ISNUMBER(SEARCH("AHO",Import2[[#This Row],[Tenure]])),"AHO",Import2[[#This Row],[Tenure]])&amp;Import2[[#This Row],[Expected sale completion year]]&amp;Import2[[#This Row],[Expected sale completion month]]</f>
        <v>Open market housing</v>
      </c>
      <c r="W296" s="178">
        <f t="shared" ref="W296:W359" si="123">INDEX(PlotData,MATCH($B296,PlotNumber,0),MATCH(W$3,PlotTitles,0))</f>
        <v>0</v>
      </c>
    </row>
    <row r="297" spans="1:23" ht="15" customHeight="1">
      <c r="A297" s="132">
        <f t="shared" si="104"/>
        <v>0</v>
      </c>
      <c r="B297" s="133">
        <v>294</v>
      </c>
      <c r="C297" s="132" t="str">
        <f t="shared" si="105"/>
        <v/>
      </c>
      <c r="D297" s="132">
        <f t="shared" si="117"/>
        <v>0</v>
      </c>
      <c r="E297" s="132">
        <f t="shared" si="117"/>
        <v>0</v>
      </c>
      <c r="F297" s="132">
        <f t="shared" si="106"/>
        <v>0</v>
      </c>
      <c r="G297" s="132" t="str">
        <f t="shared" si="117"/>
        <v>Open market housing</v>
      </c>
      <c r="H297" s="132">
        <f t="shared" si="107"/>
        <v>896440000</v>
      </c>
      <c r="I297" s="132" t="str">
        <f t="shared" si="120"/>
        <v>New build</v>
      </c>
      <c r="J297" s="132">
        <f t="shared" si="108"/>
        <v>391930000</v>
      </c>
      <c r="K297" s="132">
        <f t="shared" si="121"/>
        <v>0</v>
      </c>
      <c r="L297" s="132">
        <f t="shared" si="109"/>
        <v>0</v>
      </c>
      <c r="M297" s="132">
        <f t="shared" si="118"/>
        <v>0</v>
      </c>
      <c r="N297" s="134">
        <f t="shared" si="110"/>
        <v>0</v>
      </c>
      <c r="O297" s="135">
        <f t="shared" si="111"/>
        <v>0</v>
      </c>
      <c r="P297" s="132" t="str">
        <f t="shared" si="122"/>
        <v/>
      </c>
      <c r="Q297" s="132" t="str">
        <f t="shared" si="113"/>
        <v/>
      </c>
      <c r="R297" s="132" t="str">
        <f>IF(ISNUMBER(SEARCH("AHO",Import2[[#This Row],[Tenure]])),"AHO",Import2[[#This Row],[Tenure]])&amp;Import2[[#This Row],[Expected Physical Completion Year]]&amp;Import2[[#This Row],[Expected Physical Completion Month]]</f>
        <v>Open market housing</v>
      </c>
      <c r="S297" s="135">
        <f t="shared" si="112"/>
        <v>0</v>
      </c>
      <c r="T297" s="132" t="str">
        <f t="shared" si="119"/>
        <v/>
      </c>
      <c r="U297" s="132" t="str">
        <f t="shared" si="119"/>
        <v/>
      </c>
      <c r="V297" s="132" t="str">
        <f>IF(ISNUMBER(SEARCH("AHO",Import2[[#This Row],[Tenure]])),"AHO",Import2[[#This Row],[Tenure]])&amp;Import2[[#This Row],[Expected sale completion year]]&amp;Import2[[#This Row],[Expected sale completion month]]</f>
        <v>Open market housing</v>
      </c>
      <c r="W297" s="178">
        <f t="shared" si="123"/>
        <v>0</v>
      </c>
    </row>
    <row r="298" spans="1:23" ht="15" customHeight="1">
      <c r="A298" s="132">
        <f t="shared" si="104"/>
        <v>0</v>
      </c>
      <c r="B298" s="133">
        <v>295</v>
      </c>
      <c r="C298" s="132" t="str">
        <f t="shared" si="105"/>
        <v/>
      </c>
      <c r="D298" s="132">
        <f t="shared" si="117"/>
        <v>0</v>
      </c>
      <c r="E298" s="132">
        <f t="shared" si="117"/>
        <v>0</v>
      </c>
      <c r="F298" s="132">
        <f t="shared" si="106"/>
        <v>0</v>
      </c>
      <c r="G298" s="132" t="str">
        <f t="shared" si="117"/>
        <v>Open market housing</v>
      </c>
      <c r="H298" s="132">
        <f t="shared" si="107"/>
        <v>896440000</v>
      </c>
      <c r="I298" s="132" t="str">
        <f t="shared" si="120"/>
        <v>New build</v>
      </c>
      <c r="J298" s="132">
        <f t="shared" si="108"/>
        <v>391930000</v>
      </c>
      <c r="K298" s="132">
        <f t="shared" si="121"/>
        <v>0</v>
      </c>
      <c r="L298" s="132">
        <f t="shared" si="109"/>
        <v>0</v>
      </c>
      <c r="M298" s="132">
        <f t="shared" si="118"/>
        <v>0</v>
      </c>
      <c r="N298" s="134">
        <f t="shared" si="110"/>
        <v>0</v>
      </c>
      <c r="O298" s="135">
        <f t="shared" si="111"/>
        <v>0</v>
      </c>
      <c r="P298" s="132" t="str">
        <f t="shared" si="122"/>
        <v/>
      </c>
      <c r="Q298" s="132" t="str">
        <f t="shared" si="113"/>
        <v/>
      </c>
      <c r="R298" s="132" t="str">
        <f>IF(ISNUMBER(SEARCH("AHO",Import2[[#This Row],[Tenure]])),"AHO",Import2[[#This Row],[Tenure]])&amp;Import2[[#This Row],[Expected Physical Completion Year]]&amp;Import2[[#This Row],[Expected Physical Completion Month]]</f>
        <v>Open market housing</v>
      </c>
      <c r="S298" s="135">
        <f t="shared" si="112"/>
        <v>0</v>
      </c>
      <c r="T298" s="132" t="str">
        <f t="shared" si="119"/>
        <v/>
      </c>
      <c r="U298" s="132" t="str">
        <f t="shared" si="119"/>
        <v/>
      </c>
      <c r="V298" s="132" t="str">
        <f>IF(ISNUMBER(SEARCH("AHO",Import2[[#This Row],[Tenure]])),"AHO",Import2[[#This Row],[Tenure]])&amp;Import2[[#This Row],[Expected sale completion year]]&amp;Import2[[#This Row],[Expected sale completion month]]</f>
        <v>Open market housing</v>
      </c>
      <c r="W298" s="178">
        <f t="shared" si="123"/>
        <v>0</v>
      </c>
    </row>
    <row r="299" spans="1:23" ht="15" customHeight="1">
      <c r="A299" s="132">
        <f t="shared" si="104"/>
        <v>0</v>
      </c>
      <c r="B299" s="133">
        <v>296</v>
      </c>
      <c r="C299" s="132" t="str">
        <f t="shared" si="105"/>
        <v/>
      </c>
      <c r="D299" s="132">
        <f t="shared" si="117"/>
        <v>0</v>
      </c>
      <c r="E299" s="132">
        <f t="shared" si="117"/>
        <v>0</v>
      </c>
      <c r="F299" s="132">
        <f t="shared" si="106"/>
        <v>0</v>
      </c>
      <c r="G299" s="132" t="str">
        <f t="shared" si="117"/>
        <v>Open market housing</v>
      </c>
      <c r="H299" s="132">
        <f t="shared" si="107"/>
        <v>896440000</v>
      </c>
      <c r="I299" s="132" t="str">
        <f t="shared" si="120"/>
        <v>New build</v>
      </c>
      <c r="J299" s="132">
        <f t="shared" si="108"/>
        <v>391930000</v>
      </c>
      <c r="K299" s="132">
        <f t="shared" si="121"/>
        <v>0</v>
      </c>
      <c r="L299" s="132">
        <f t="shared" si="109"/>
        <v>0</v>
      </c>
      <c r="M299" s="132">
        <f t="shared" si="118"/>
        <v>0</v>
      </c>
      <c r="N299" s="134">
        <f t="shared" si="110"/>
        <v>0</v>
      </c>
      <c r="O299" s="135">
        <f t="shared" si="111"/>
        <v>0</v>
      </c>
      <c r="P299" s="132" t="str">
        <f t="shared" si="122"/>
        <v/>
      </c>
      <c r="Q299" s="132" t="str">
        <f t="shared" si="113"/>
        <v/>
      </c>
      <c r="R299" s="132" t="str">
        <f>IF(ISNUMBER(SEARCH("AHO",Import2[[#This Row],[Tenure]])),"AHO",Import2[[#This Row],[Tenure]])&amp;Import2[[#This Row],[Expected Physical Completion Year]]&amp;Import2[[#This Row],[Expected Physical Completion Month]]</f>
        <v>Open market housing</v>
      </c>
      <c r="S299" s="135">
        <f t="shared" si="112"/>
        <v>0</v>
      </c>
      <c r="T299" s="132" t="str">
        <f t="shared" si="119"/>
        <v/>
      </c>
      <c r="U299" s="132" t="str">
        <f t="shared" si="119"/>
        <v/>
      </c>
      <c r="V299" s="132" t="str">
        <f>IF(ISNUMBER(SEARCH("AHO",Import2[[#This Row],[Tenure]])),"AHO",Import2[[#This Row],[Tenure]])&amp;Import2[[#This Row],[Expected sale completion year]]&amp;Import2[[#This Row],[Expected sale completion month]]</f>
        <v>Open market housing</v>
      </c>
      <c r="W299" s="178">
        <f t="shared" si="123"/>
        <v>0</v>
      </c>
    </row>
    <row r="300" spans="1:23" ht="15" customHeight="1">
      <c r="A300" s="132">
        <f t="shared" si="104"/>
        <v>0</v>
      </c>
      <c r="B300" s="133">
        <v>297</v>
      </c>
      <c r="C300" s="132" t="str">
        <f t="shared" si="105"/>
        <v/>
      </c>
      <c r="D300" s="132">
        <f t="shared" si="117"/>
        <v>0</v>
      </c>
      <c r="E300" s="132">
        <f t="shared" si="117"/>
        <v>0</v>
      </c>
      <c r="F300" s="132">
        <f t="shared" si="106"/>
        <v>0</v>
      </c>
      <c r="G300" s="132" t="str">
        <f t="shared" si="117"/>
        <v>Open market housing</v>
      </c>
      <c r="H300" s="132">
        <f t="shared" si="107"/>
        <v>896440000</v>
      </c>
      <c r="I300" s="132" t="str">
        <f t="shared" si="120"/>
        <v>New build</v>
      </c>
      <c r="J300" s="132">
        <f t="shared" si="108"/>
        <v>391930000</v>
      </c>
      <c r="K300" s="132">
        <f t="shared" si="121"/>
        <v>0</v>
      </c>
      <c r="L300" s="132">
        <f t="shared" si="109"/>
        <v>0</v>
      </c>
      <c r="M300" s="132">
        <f t="shared" si="118"/>
        <v>0</v>
      </c>
      <c r="N300" s="134">
        <f t="shared" si="110"/>
        <v>0</v>
      </c>
      <c r="O300" s="135">
        <f t="shared" si="111"/>
        <v>0</v>
      </c>
      <c r="P300" s="132" t="str">
        <f t="shared" si="122"/>
        <v/>
      </c>
      <c r="Q300" s="132" t="str">
        <f t="shared" si="113"/>
        <v/>
      </c>
      <c r="R300" s="132" t="str">
        <f>IF(ISNUMBER(SEARCH("AHO",Import2[[#This Row],[Tenure]])),"AHO",Import2[[#This Row],[Tenure]])&amp;Import2[[#This Row],[Expected Physical Completion Year]]&amp;Import2[[#This Row],[Expected Physical Completion Month]]</f>
        <v>Open market housing</v>
      </c>
      <c r="S300" s="135">
        <f t="shared" si="112"/>
        <v>0</v>
      </c>
      <c r="T300" s="132" t="str">
        <f t="shared" si="119"/>
        <v/>
      </c>
      <c r="U300" s="132" t="str">
        <f t="shared" si="119"/>
        <v/>
      </c>
      <c r="V300" s="132" t="str">
        <f>IF(ISNUMBER(SEARCH("AHO",Import2[[#This Row],[Tenure]])),"AHO",Import2[[#This Row],[Tenure]])&amp;Import2[[#This Row],[Expected sale completion year]]&amp;Import2[[#This Row],[Expected sale completion month]]</f>
        <v>Open market housing</v>
      </c>
      <c r="W300" s="178">
        <f t="shared" si="123"/>
        <v>0</v>
      </c>
    </row>
    <row r="301" spans="1:23" ht="15" customHeight="1">
      <c r="A301" s="132">
        <f t="shared" si="104"/>
        <v>0</v>
      </c>
      <c r="B301" s="133">
        <v>298</v>
      </c>
      <c r="C301" s="132" t="str">
        <f t="shared" si="105"/>
        <v/>
      </c>
      <c r="D301" s="132">
        <f t="shared" si="117"/>
        <v>0</v>
      </c>
      <c r="E301" s="132">
        <f t="shared" si="117"/>
        <v>0</v>
      </c>
      <c r="F301" s="132">
        <f t="shared" si="106"/>
        <v>0</v>
      </c>
      <c r="G301" s="132" t="str">
        <f t="shared" si="117"/>
        <v>Open market housing</v>
      </c>
      <c r="H301" s="132">
        <f t="shared" si="107"/>
        <v>896440000</v>
      </c>
      <c r="I301" s="132" t="str">
        <f t="shared" si="120"/>
        <v>New build</v>
      </c>
      <c r="J301" s="132">
        <f t="shared" si="108"/>
        <v>391930000</v>
      </c>
      <c r="K301" s="132">
        <f t="shared" si="121"/>
        <v>0</v>
      </c>
      <c r="L301" s="132">
        <f t="shared" si="109"/>
        <v>0</v>
      </c>
      <c r="M301" s="132">
        <f t="shared" si="118"/>
        <v>0</v>
      </c>
      <c r="N301" s="134">
        <f t="shared" si="110"/>
        <v>0</v>
      </c>
      <c r="O301" s="135">
        <f t="shared" si="111"/>
        <v>0</v>
      </c>
      <c r="P301" s="132" t="str">
        <f t="shared" si="122"/>
        <v/>
      </c>
      <c r="Q301" s="132" t="str">
        <f t="shared" si="113"/>
        <v/>
      </c>
      <c r="R301" s="132" t="str">
        <f>IF(ISNUMBER(SEARCH("AHO",Import2[[#This Row],[Tenure]])),"AHO",Import2[[#This Row],[Tenure]])&amp;Import2[[#This Row],[Expected Physical Completion Year]]&amp;Import2[[#This Row],[Expected Physical Completion Month]]</f>
        <v>Open market housing</v>
      </c>
      <c r="S301" s="135">
        <f t="shared" si="112"/>
        <v>0</v>
      </c>
      <c r="T301" s="132" t="str">
        <f t="shared" si="119"/>
        <v/>
      </c>
      <c r="U301" s="132" t="str">
        <f t="shared" si="119"/>
        <v/>
      </c>
      <c r="V301" s="132" t="str">
        <f>IF(ISNUMBER(SEARCH("AHO",Import2[[#This Row],[Tenure]])),"AHO",Import2[[#This Row],[Tenure]])&amp;Import2[[#This Row],[Expected sale completion year]]&amp;Import2[[#This Row],[Expected sale completion month]]</f>
        <v>Open market housing</v>
      </c>
      <c r="W301" s="178">
        <f t="shared" si="123"/>
        <v>0</v>
      </c>
    </row>
    <row r="302" spans="1:23" ht="15" customHeight="1">
      <c r="A302" s="132">
        <f t="shared" si="104"/>
        <v>0</v>
      </c>
      <c r="B302" s="133">
        <v>299</v>
      </c>
      <c r="C302" s="132" t="str">
        <f t="shared" si="105"/>
        <v/>
      </c>
      <c r="D302" s="132">
        <f t="shared" si="117"/>
        <v>0</v>
      </c>
      <c r="E302" s="132">
        <f t="shared" si="117"/>
        <v>0</v>
      </c>
      <c r="F302" s="132">
        <f t="shared" si="106"/>
        <v>0</v>
      </c>
      <c r="G302" s="132" t="str">
        <f t="shared" si="117"/>
        <v>Open market housing</v>
      </c>
      <c r="H302" s="132">
        <f t="shared" si="107"/>
        <v>896440000</v>
      </c>
      <c r="I302" s="132" t="str">
        <f t="shared" si="120"/>
        <v>New build</v>
      </c>
      <c r="J302" s="132">
        <f t="shared" si="108"/>
        <v>391930000</v>
      </c>
      <c r="K302" s="132">
        <f t="shared" si="121"/>
        <v>0</v>
      </c>
      <c r="L302" s="132">
        <f t="shared" si="109"/>
        <v>0</v>
      </c>
      <c r="M302" s="132">
        <f t="shared" si="118"/>
        <v>0</v>
      </c>
      <c r="N302" s="134">
        <f t="shared" si="110"/>
        <v>0</v>
      </c>
      <c r="O302" s="135">
        <f t="shared" si="111"/>
        <v>0</v>
      </c>
      <c r="P302" s="132" t="str">
        <f t="shared" si="122"/>
        <v/>
      </c>
      <c r="Q302" s="132" t="str">
        <f t="shared" si="113"/>
        <v/>
      </c>
      <c r="R302" s="132" t="str">
        <f>IF(ISNUMBER(SEARCH("AHO",Import2[[#This Row],[Tenure]])),"AHO",Import2[[#This Row],[Tenure]])&amp;Import2[[#This Row],[Expected Physical Completion Year]]&amp;Import2[[#This Row],[Expected Physical Completion Month]]</f>
        <v>Open market housing</v>
      </c>
      <c r="S302" s="135">
        <f t="shared" si="112"/>
        <v>0</v>
      </c>
      <c r="T302" s="132" t="str">
        <f t="shared" si="119"/>
        <v/>
      </c>
      <c r="U302" s="132" t="str">
        <f t="shared" si="119"/>
        <v/>
      </c>
      <c r="V302" s="132" t="str">
        <f>IF(ISNUMBER(SEARCH("AHO",Import2[[#This Row],[Tenure]])),"AHO",Import2[[#This Row],[Tenure]])&amp;Import2[[#This Row],[Expected sale completion year]]&amp;Import2[[#This Row],[Expected sale completion month]]</f>
        <v>Open market housing</v>
      </c>
      <c r="W302" s="178">
        <f t="shared" si="123"/>
        <v>0</v>
      </c>
    </row>
    <row r="303" spans="1:23" ht="15" customHeight="1">
      <c r="A303" s="132">
        <f t="shared" si="104"/>
        <v>0</v>
      </c>
      <c r="B303" s="133">
        <v>300</v>
      </c>
      <c r="C303" s="132" t="str">
        <f t="shared" si="105"/>
        <v/>
      </c>
      <c r="D303" s="132">
        <f t="shared" si="117"/>
        <v>0</v>
      </c>
      <c r="E303" s="132">
        <f t="shared" si="117"/>
        <v>0</v>
      </c>
      <c r="F303" s="132">
        <f t="shared" si="106"/>
        <v>0</v>
      </c>
      <c r="G303" s="132" t="str">
        <f t="shared" si="117"/>
        <v>Open market housing</v>
      </c>
      <c r="H303" s="132">
        <f t="shared" si="107"/>
        <v>896440000</v>
      </c>
      <c r="I303" s="132" t="str">
        <f t="shared" si="120"/>
        <v>New build</v>
      </c>
      <c r="J303" s="132">
        <f t="shared" si="108"/>
        <v>391930000</v>
      </c>
      <c r="K303" s="132">
        <f t="shared" si="121"/>
        <v>0</v>
      </c>
      <c r="L303" s="132">
        <f t="shared" si="109"/>
        <v>0</v>
      </c>
      <c r="M303" s="132">
        <f t="shared" si="118"/>
        <v>0</v>
      </c>
      <c r="N303" s="134">
        <f t="shared" si="110"/>
        <v>0</v>
      </c>
      <c r="O303" s="135">
        <f t="shared" si="111"/>
        <v>0</v>
      </c>
      <c r="P303" s="132" t="str">
        <f t="shared" si="122"/>
        <v/>
      </c>
      <c r="Q303" s="132" t="str">
        <f t="shared" si="113"/>
        <v/>
      </c>
      <c r="R303" s="132" t="str">
        <f>IF(ISNUMBER(SEARCH("AHO",Import2[[#This Row],[Tenure]])),"AHO",Import2[[#This Row],[Tenure]])&amp;Import2[[#This Row],[Expected Physical Completion Year]]&amp;Import2[[#This Row],[Expected Physical Completion Month]]</f>
        <v>Open market housing</v>
      </c>
      <c r="S303" s="135">
        <f t="shared" si="112"/>
        <v>0</v>
      </c>
      <c r="T303" s="132" t="str">
        <f t="shared" si="119"/>
        <v/>
      </c>
      <c r="U303" s="132" t="str">
        <f t="shared" si="119"/>
        <v/>
      </c>
      <c r="V303" s="132" t="str">
        <f>IF(ISNUMBER(SEARCH("AHO",Import2[[#This Row],[Tenure]])),"AHO",Import2[[#This Row],[Tenure]])&amp;Import2[[#This Row],[Expected sale completion year]]&amp;Import2[[#This Row],[Expected sale completion month]]</f>
        <v>Open market housing</v>
      </c>
      <c r="W303" s="178">
        <f t="shared" si="123"/>
        <v>0</v>
      </c>
    </row>
    <row r="304" spans="1:23" ht="15" customHeight="1">
      <c r="A304" s="132">
        <f t="shared" si="104"/>
        <v>0</v>
      </c>
      <c r="B304" s="133">
        <v>301</v>
      </c>
      <c r="C304" s="132" t="str">
        <f t="shared" si="105"/>
        <v/>
      </c>
      <c r="D304" s="132">
        <f t="shared" ref="D304:G323" si="124">INDEX(PlotData,MATCH($B304,PlotNumber,0),MATCH(D$3,PlotTitles,0))</f>
        <v>0</v>
      </c>
      <c r="E304" s="132">
        <f t="shared" si="124"/>
        <v>0</v>
      </c>
      <c r="F304" s="132">
        <f t="shared" si="106"/>
        <v>0</v>
      </c>
      <c r="G304" s="132" t="str">
        <f t="shared" si="124"/>
        <v>Open market housing</v>
      </c>
      <c r="H304" s="132">
        <f t="shared" si="107"/>
        <v>896440000</v>
      </c>
      <c r="I304" s="132" t="str">
        <f t="shared" si="120"/>
        <v>New build</v>
      </c>
      <c r="J304" s="132">
        <f t="shared" si="108"/>
        <v>391930000</v>
      </c>
      <c r="K304" s="132">
        <f t="shared" si="121"/>
        <v>0</v>
      </c>
      <c r="L304" s="132">
        <f t="shared" si="109"/>
        <v>0</v>
      </c>
      <c r="M304" s="132">
        <f t="shared" ref="M304:M323" si="125">INDEX(PlotData,MATCH($B304,PlotNumber,0),MATCH(M$3,PlotTitles,0))</f>
        <v>0</v>
      </c>
      <c r="N304" s="134">
        <f t="shared" si="110"/>
        <v>0</v>
      </c>
      <c r="O304" s="135">
        <f t="shared" si="111"/>
        <v>0</v>
      </c>
      <c r="P304" s="132" t="str">
        <f t="shared" si="122"/>
        <v/>
      </c>
      <c r="Q304" s="132" t="str">
        <f t="shared" si="113"/>
        <v/>
      </c>
      <c r="R304" s="132" t="str">
        <f>IF(ISNUMBER(SEARCH("AHO",Import2[[#This Row],[Tenure]])),"AHO",Import2[[#This Row],[Tenure]])&amp;Import2[[#This Row],[Expected Physical Completion Year]]&amp;Import2[[#This Row],[Expected Physical Completion Month]]</f>
        <v>Open market housing</v>
      </c>
      <c r="S304" s="135">
        <f t="shared" si="112"/>
        <v>0</v>
      </c>
      <c r="T304" s="132" t="str">
        <f t="shared" ref="T304:U323" si="126">IF(INDEX(PlotData,MATCH($B304,PlotNumber,0),MATCH(T$3,PlotTitles,0))=0,"",INDEX(PlotData,MATCH($B304,PlotNumber,0),MATCH(T$3,PlotTitles,0)))</f>
        <v/>
      </c>
      <c r="U304" s="132" t="str">
        <f t="shared" si="126"/>
        <v/>
      </c>
      <c r="V304" s="132" t="str">
        <f>IF(ISNUMBER(SEARCH("AHO",Import2[[#This Row],[Tenure]])),"AHO",Import2[[#This Row],[Tenure]])&amp;Import2[[#This Row],[Expected sale completion year]]&amp;Import2[[#This Row],[Expected sale completion month]]</f>
        <v>Open market housing</v>
      </c>
      <c r="W304" s="178">
        <f t="shared" si="123"/>
        <v>0</v>
      </c>
    </row>
    <row r="305" spans="1:23" ht="15" customHeight="1">
      <c r="A305" s="132">
        <f t="shared" si="104"/>
        <v>0</v>
      </c>
      <c r="B305" s="133">
        <v>302</v>
      </c>
      <c r="C305" s="132" t="str">
        <f t="shared" si="105"/>
        <v/>
      </c>
      <c r="D305" s="132">
        <f t="shared" si="124"/>
        <v>0</v>
      </c>
      <c r="E305" s="132">
        <f t="shared" si="124"/>
        <v>0</v>
      </c>
      <c r="F305" s="132">
        <f t="shared" si="106"/>
        <v>0</v>
      </c>
      <c r="G305" s="132" t="str">
        <f t="shared" si="124"/>
        <v>Open market housing</v>
      </c>
      <c r="H305" s="132">
        <f t="shared" si="107"/>
        <v>896440000</v>
      </c>
      <c r="I305" s="132" t="str">
        <f t="shared" si="120"/>
        <v>New build</v>
      </c>
      <c r="J305" s="132">
        <f t="shared" si="108"/>
        <v>391930000</v>
      </c>
      <c r="K305" s="132">
        <f t="shared" si="121"/>
        <v>0</v>
      </c>
      <c r="L305" s="132">
        <f t="shared" si="109"/>
        <v>0</v>
      </c>
      <c r="M305" s="132">
        <f t="shared" si="125"/>
        <v>0</v>
      </c>
      <c r="N305" s="134">
        <f t="shared" si="110"/>
        <v>0</v>
      </c>
      <c r="O305" s="135">
        <f t="shared" si="111"/>
        <v>0</v>
      </c>
      <c r="P305" s="132" t="str">
        <f t="shared" si="122"/>
        <v/>
      </c>
      <c r="Q305" s="132" t="str">
        <f t="shared" si="113"/>
        <v/>
      </c>
      <c r="R305" s="132" t="str">
        <f>IF(ISNUMBER(SEARCH("AHO",Import2[[#This Row],[Tenure]])),"AHO",Import2[[#This Row],[Tenure]])&amp;Import2[[#This Row],[Expected Physical Completion Year]]&amp;Import2[[#This Row],[Expected Physical Completion Month]]</f>
        <v>Open market housing</v>
      </c>
      <c r="S305" s="135">
        <f t="shared" si="112"/>
        <v>0</v>
      </c>
      <c r="T305" s="132" t="str">
        <f t="shared" si="126"/>
        <v/>
      </c>
      <c r="U305" s="132" t="str">
        <f t="shared" si="126"/>
        <v/>
      </c>
      <c r="V305" s="132" t="str">
        <f>IF(ISNUMBER(SEARCH("AHO",Import2[[#This Row],[Tenure]])),"AHO",Import2[[#This Row],[Tenure]])&amp;Import2[[#This Row],[Expected sale completion year]]&amp;Import2[[#This Row],[Expected sale completion month]]</f>
        <v>Open market housing</v>
      </c>
      <c r="W305" s="178">
        <f t="shared" si="123"/>
        <v>0</v>
      </c>
    </row>
    <row r="306" spans="1:23" ht="15" customHeight="1">
      <c r="A306" s="132">
        <f t="shared" si="104"/>
        <v>0</v>
      </c>
      <c r="B306" s="133">
        <v>303</v>
      </c>
      <c r="C306" s="132" t="str">
        <f t="shared" si="105"/>
        <v/>
      </c>
      <c r="D306" s="132">
        <f t="shared" si="124"/>
        <v>0</v>
      </c>
      <c r="E306" s="132">
        <f t="shared" si="124"/>
        <v>0</v>
      </c>
      <c r="F306" s="132">
        <f t="shared" si="106"/>
        <v>0</v>
      </c>
      <c r="G306" s="132" t="str">
        <f t="shared" si="124"/>
        <v>Open market housing</v>
      </c>
      <c r="H306" s="132">
        <f t="shared" si="107"/>
        <v>896440000</v>
      </c>
      <c r="I306" s="132" t="str">
        <f t="shared" si="120"/>
        <v>New build</v>
      </c>
      <c r="J306" s="132">
        <f t="shared" si="108"/>
        <v>391930000</v>
      </c>
      <c r="K306" s="132">
        <f t="shared" si="121"/>
        <v>0</v>
      </c>
      <c r="L306" s="132">
        <f t="shared" si="109"/>
        <v>0</v>
      </c>
      <c r="M306" s="132">
        <f t="shared" si="125"/>
        <v>0</v>
      </c>
      <c r="N306" s="134">
        <f t="shared" si="110"/>
        <v>0</v>
      </c>
      <c r="O306" s="135">
        <f t="shared" si="111"/>
        <v>0</v>
      </c>
      <c r="P306" s="132" t="str">
        <f t="shared" si="122"/>
        <v/>
      </c>
      <c r="Q306" s="132" t="str">
        <f t="shared" si="113"/>
        <v/>
      </c>
      <c r="R306" s="132" t="str">
        <f>IF(ISNUMBER(SEARCH("AHO",Import2[[#This Row],[Tenure]])),"AHO",Import2[[#This Row],[Tenure]])&amp;Import2[[#This Row],[Expected Physical Completion Year]]&amp;Import2[[#This Row],[Expected Physical Completion Month]]</f>
        <v>Open market housing</v>
      </c>
      <c r="S306" s="135">
        <f t="shared" si="112"/>
        <v>0</v>
      </c>
      <c r="T306" s="132" t="str">
        <f t="shared" si="126"/>
        <v/>
      </c>
      <c r="U306" s="132" t="str">
        <f t="shared" si="126"/>
        <v/>
      </c>
      <c r="V306" s="132" t="str">
        <f>IF(ISNUMBER(SEARCH("AHO",Import2[[#This Row],[Tenure]])),"AHO",Import2[[#This Row],[Tenure]])&amp;Import2[[#This Row],[Expected sale completion year]]&amp;Import2[[#This Row],[Expected sale completion month]]</f>
        <v>Open market housing</v>
      </c>
      <c r="W306" s="178">
        <f t="shared" si="123"/>
        <v>0</v>
      </c>
    </row>
    <row r="307" spans="1:23" ht="15" customHeight="1">
      <c r="A307" s="132">
        <f t="shared" si="104"/>
        <v>0</v>
      </c>
      <c r="B307" s="133">
        <v>304</v>
      </c>
      <c r="C307" s="132" t="str">
        <f t="shared" si="105"/>
        <v/>
      </c>
      <c r="D307" s="132">
        <f t="shared" si="124"/>
        <v>0</v>
      </c>
      <c r="E307" s="132">
        <f t="shared" si="124"/>
        <v>0</v>
      </c>
      <c r="F307" s="132">
        <f t="shared" si="106"/>
        <v>0</v>
      </c>
      <c r="G307" s="132" t="str">
        <f t="shared" si="124"/>
        <v>Open market housing</v>
      </c>
      <c r="H307" s="132">
        <f t="shared" si="107"/>
        <v>896440000</v>
      </c>
      <c r="I307" s="132" t="str">
        <f t="shared" si="120"/>
        <v>New build</v>
      </c>
      <c r="J307" s="132">
        <f t="shared" si="108"/>
        <v>391930000</v>
      </c>
      <c r="K307" s="132">
        <f t="shared" si="121"/>
        <v>0</v>
      </c>
      <c r="L307" s="132">
        <f t="shared" si="109"/>
        <v>0</v>
      </c>
      <c r="M307" s="132">
        <f t="shared" si="125"/>
        <v>0</v>
      </c>
      <c r="N307" s="134">
        <f t="shared" si="110"/>
        <v>0</v>
      </c>
      <c r="O307" s="135">
        <f t="shared" si="111"/>
        <v>0</v>
      </c>
      <c r="P307" s="132" t="str">
        <f t="shared" si="122"/>
        <v/>
      </c>
      <c r="Q307" s="132" t="str">
        <f t="shared" si="113"/>
        <v/>
      </c>
      <c r="R307" s="132" t="str">
        <f>IF(ISNUMBER(SEARCH("AHO",Import2[[#This Row],[Tenure]])),"AHO",Import2[[#This Row],[Tenure]])&amp;Import2[[#This Row],[Expected Physical Completion Year]]&amp;Import2[[#This Row],[Expected Physical Completion Month]]</f>
        <v>Open market housing</v>
      </c>
      <c r="S307" s="135">
        <f t="shared" si="112"/>
        <v>0</v>
      </c>
      <c r="T307" s="132" t="str">
        <f t="shared" si="126"/>
        <v/>
      </c>
      <c r="U307" s="132" t="str">
        <f t="shared" si="126"/>
        <v/>
      </c>
      <c r="V307" s="132" t="str">
        <f>IF(ISNUMBER(SEARCH("AHO",Import2[[#This Row],[Tenure]])),"AHO",Import2[[#This Row],[Tenure]])&amp;Import2[[#This Row],[Expected sale completion year]]&amp;Import2[[#This Row],[Expected sale completion month]]</f>
        <v>Open market housing</v>
      </c>
      <c r="W307" s="178">
        <f t="shared" si="123"/>
        <v>0</v>
      </c>
    </row>
    <row r="308" spans="1:23" ht="15" customHeight="1">
      <c r="A308" s="132">
        <f t="shared" si="104"/>
        <v>0</v>
      </c>
      <c r="B308" s="133">
        <v>305</v>
      </c>
      <c r="C308" s="132" t="str">
        <f t="shared" si="105"/>
        <v/>
      </c>
      <c r="D308" s="132">
        <f t="shared" si="124"/>
        <v>0</v>
      </c>
      <c r="E308" s="132">
        <f t="shared" si="124"/>
        <v>0</v>
      </c>
      <c r="F308" s="132">
        <f t="shared" si="106"/>
        <v>0</v>
      </c>
      <c r="G308" s="132" t="str">
        <f t="shared" si="124"/>
        <v>Open market housing</v>
      </c>
      <c r="H308" s="132">
        <f t="shared" si="107"/>
        <v>896440000</v>
      </c>
      <c r="I308" s="132" t="str">
        <f t="shared" si="120"/>
        <v>New build</v>
      </c>
      <c r="J308" s="132">
        <f t="shared" si="108"/>
        <v>391930000</v>
      </c>
      <c r="K308" s="132">
        <f t="shared" si="121"/>
        <v>0</v>
      </c>
      <c r="L308" s="132">
        <f t="shared" si="109"/>
        <v>0</v>
      </c>
      <c r="M308" s="132">
        <f t="shared" si="125"/>
        <v>0</v>
      </c>
      <c r="N308" s="134">
        <f t="shared" si="110"/>
        <v>0</v>
      </c>
      <c r="O308" s="135">
        <f t="shared" si="111"/>
        <v>0</v>
      </c>
      <c r="P308" s="132" t="str">
        <f t="shared" si="122"/>
        <v/>
      </c>
      <c r="Q308" s="132" t="str">
        <f t="shared" si="113"/>
        <v/>
      </c>
      <c r="R308" s="132" t="str">
        <f>IF(ISNUMBER(SEARCH("AHO",Import2[[#This Row],[Tenure]])),"AHO",Import2[[#This Row],[Tenure]])&amp;Import2[[#This Row],[Expected Physical Completion Year]]&amp;Import2[[#This Row],[Expected Physical Completion Month]]</f>
        <v>Open market housing</v>
      </c>
      <c r="S308" s="135">
        <f t="shared" si="112"/>
        <v>0</v>
      </c>
      <c r="T308" s="132" t="str">
        <f t="shared" si="126"/>
        <v/>
      </c>
      <c r="U308" s="132" t="str">
        <f t="shared" si="126"/>
        <v/>
      </c>
      <c r="V308" s="132" t="str">
        <f>IF(ISNUMBER(SEARCH("AHO",Import2[[#This Row],[Tenure]])),"AHO",Import2[[#This Row],[Tenure]])&amp;Import2[[#This Row],[Expected sale completion year]]&amp;Import2[[#This Row],[Expected sale completion month]]</f>
        <v>Open market housing</v>
      </c>
      <c r="W308" s="178">
        <f t="shared" si="123"/>
        <v>0</v>
      </c>
    </row>
    <row r="309" spans="1:23" ht="15" customHeight="1">
      <c r="A309" s="132">
        <f t="shared" si="104"/>
        <v>0</v>
      </c>
      <c r="B309" s="133">
        <v>306</v>
      </c>
      <c r="C309" s="132" t="str">
        <f t="shared" si="105"/>
        <v/>
      </c>
      <c r="D309" s="132">
        <f t="shared" si="124"/>
        <v>0</v>
      </c>
      <c r="E309" s="132">
        <f t="shared" si="124"/>
        <v>0</v>
      </c>
      <c r="F309" s="132">
        <f t="shared" si="106"/>
        <v>0</v>
      </c>
      <c r="G309" s="132" t="str">
        <f t="shared" si="124"/>
        <v>Open market housing</v>
      </c>
      <c r="H309" s="132">
        <f t="shared" si="107"/>
        <v>896440000</v>
      </c>
      <c r="I309" s="132" t="str">
        <f t="shared" si="120"/>
        <v>New build</v>
      </c>
      <c r="J309" s="132">
        <f t="shared" si="108"/>
        <v>391930000</v>
      </c>
      <c r="K309" s="132">
        <f t="shared" si="121"/>
        <v>0</v>
      </c>
      <c r="L309" s="132">
        <f t="shared" si="109"/>
        <v>0</v>
      </c>
      <c r="M309" s="132">
        <f t="shared" si="125"/>
        <v>0</v>
      </c>
      <c r="N309" s="134">
        <f t="shared" si="110"/>
        <v>0</v>
      </c>
      <c r="O309" s="135">
        <f t="shared" si="111"/>
        <v>0</v>
      </c>
      <c r="P309" s="132" t="str">
        <f t="shared" si="122"/>
        <v/>
      </c>
      <c r="Q309" s="132" t="str">
        <f t="shared" si="113"/>
        <v/>
      </c>
      <c r="R309" s="132" t="str">
        <f>IF(ISNUMBER(SEARCH("AHO",Import2[[#This Row],[Tenure]])),"AHO",Import2[[#This Row],[Tenure]])&amp;Import2[[#This Row],[Expected Physical Completion Year]]&amp;Import2[[#This Row],[Expected Physical Completion Month]]</f>
        <v>Open market housing</v>
      </c>
      <c r="S309" s="135">
        <f t="shared" si="112"/>
        <v>0</v>
      </c>
      <c r="T309" s="132" t="str">
        <f t="shared" si="126"/>
        <v/>
      </c>
      <c r="U309" s="132" t="str">
        <f t="shared" si="126"/>
        <v/>
      </c>
      <c r="V309" s="132" t="str">
        <f>IF(ISNUMBER(SEARCH("AHO",Import2[[#This Row],[Tenure]])),"AHO",Import2[[#This Row],[Tenure]])&amp;Import2[[#This Row],[Expected sale completion year]]&amp;Import2[[#This Row],[Expected sale completion month]]</f>
        <v>Open market housing</v>
      </c>
      <c r="W309" s="178">
        <f t="shared" si="123"/>
        <v>0</v>
      </c>
    </row>
    <row r="310" spans="1:23" ht="15" customHeight="1">
      <c r="A310" s="132">
        <f t="shared" si="104"/>
        <v>0</v>
      </c>
      <c r="B310" s="133">
        <v>307</v>
      </c>
      <c r="C310" s="132" t="str">
        <f t="shared" si="105"/>
        <v/>
      </c>
      <c r="D310" s="132">
        <f t="shared" si="124"/>
        <v>0</v>
      </c>
      <c r="E310" s="132">
        <f t="shared" si="124"/>
        <v>0</v>
      </c>
      <c r="F310" s="132">
        <f t="shared" si="106"/>
        <v>0</v>
      </c>
      <c r="G310" s="132" t="str">
        <f t="shared" si="124"/>
        <v>Open market housing</v>
      </c>
      <c r="H310" s="132">
        <f t="shared" si="107"/>
        <v>896440000</v>
      </c>
      <c r="I310" s="132" t="str">
        <f t="shared" si="120"/>
        <v>New build</v>
      </c>
      <c r="J310" s="132">
        <f t="shared" si="108"/>
        <v>391930000</v>
      </c>
      <c r="K310" s="132">
        <f t="shared" si="121"/>
        <v>0</v>
      </c>
      <c r="L310" s="132">
        <f t="shared" si="109"/>
        <v>0</v>
      </c>
      <c r="M310" s="132">
        <f t="shared" si="125"/>
        <v>0</v>
      </c>
      <c r="N310" s="134">
        <f t="shared" si="110"/>
        <v>0</v>
      </c>
      <c r="O310" s="135">
        <f t="shared" si="111"/>
        <v>0</v>
      </c>
      <c r="P310" s="132" t="str">
        <f t="shared" si="122"/>
        <v/>
      </c>
      <c r="Q310" s="132" t="str">
        <f t="shared" si="113"/>
        <v/>
      </c>
      <c r="R310" s="132" t="str">
        <f>IF(ISNUMBER(SEARCH("AHO",Import2[[#This Row],[Tenure]])),"AHO",Import2[[#This Row],[Tenure]])&amp;Import2[[#This Row],[Expected Physical Completion Year]]&amp;Import2[[#This Row],[Expected Physical Completion Month]]</f>
        <v>Open market housing</v>
      </c>
      <c r="S310" s="135">
        <f t="shared" si="112"/>
        <v>0</v>
      </c>
      <c r="T310" s="132" t="str">
        <f t="shared" si="126"/>
        <v/>
      </c>
      <c r="U310" s="132" t="str">
        <f t="shared" si="126"/>
        <v/>
      </c>
      <c r="V310" s="132" t="str">
        <f>IF(ISNUMBER(SEARCH("AHO",Import2[[#This Row],[Tenure]])),"AHO",Import2[[#This Row],[Tenure]])&amp;Import2[[#This Row],[Expected sale completion year]]&amp;Import2[[#This Row],[Expected sale completion month]]</f>
        <v>Open market housing</v>
      </c>
      <c r="W310" s="178">
        <f t="shared" si="123"/>
        <v>0</v>
      </c>
    </row>
    <row r="311" spans="1:23" ht="15" customHeight="1">
      <c r="A311" s="132">
        <f t="shared" si="104"/>
        <v>0</v>
      </c>
      <c r="B311" s="133">
        <v>308</v>
      </c>
      <c r="C311" s="132" t="str">
        <f t="shared" si="105"/>
        <v/>
      </c>
      <c r="D311" s="132">
        <f t="shared" si="124"/>
        <v>0</v>
      </c>
      <c r="E311" s="132">
        <f t="shared" si="124"/>
        <v>0</v>
      </c>
      <c r="F311" s="132">
        <f t="shared" si="106"/>
        <v>0</v>
      </c>
      <c r="G311" s="132" t="str">
        <f t="shared" si="124"/>
        <v>Open market housing</v>
      </c>
      <c r="H311" s="132">
        <f t="shared" si="107"/>
        <v>896440000</v>
      </c>
      <c r="I311" s="132" t="str">
        <f t="shared" si="120"/>
        <v>New build</v>
      </c>
      <c r="J311" s="132">
        <f t="shared" si="108"/>
        <v>391930000</v>
      </c>
      <c r="K311" s="132">
        <f t="shared" si="121"/>
        <v>0</v>
      </c>
      <c r="L311" s="132">
        <f t="shared" si="109"/>
        <v>0</v>
      </c>
      <c r="M311" s="132">
        <f t="shared" si="125"/>
        <v>0</v>
      </c>
      <c r="N311" s="134">
        <f t="shared" si="110"/>
        <v>0</v>
      </c>
      <c r="O311" s="135">
        <f t="shared" si="111"/>
        <v>0</v>
      </c>
      <c r="P311" s="132" t="str">
        <f t="shared" si="122"/>
        <v/>
      </c>
      <c r="Q311" s="132" t="str">
        <f t="shared" si="113"/>
        <v/>
      </c>
      <c r="R311" s="132" t="str">
        <f>IF(ISNUMBER(SEARCH("AHO",Import2[[#This Row],[Tenure]])),"AHO",Import2[[#This Row],[Tenure]])&amp;Import2[[#This Row],[Expected Physical Completion Year]]&amp;Import2[[#This Row],[Expected Physical Completion Month]]</f>
        <v>Open market housing</v>
      </c>
      <c r="S311" s="135">
        <f t="shared" si="112"/>
        <v>0</v>
      </c>
      <c r="T311" s="132" t="str">
        <f t="shared" si="126"/>
        <v/>
      </c>
      <c r="U311" s="132" t="str">
        <f t="shared" si="126"/>
        <v/>
      </c>
      <c r="V311" s="132" t="str">
        <f>IF(ISNUMBER(SEARCH("AHO",Import2[[#This Row],[Tenure]])),"AHO",Import2[[#This Row],[Tenure]])&amp;Import2[[#This Row],[Expected sale completion year]]&amp;Import2[[#This Row],[Expected sale completion month]]</f>
        <v>Open market housing</v>
      </c>
      <c r="W311" s="178">
        <f t="shared" si="123"/>
        <v>0</v>
      </c>
    </row>
    <row r="312" spans="1:23" ht="15" customHeight="1">
      <c r="A312" s="132">
        <f t="shared" si="104"/>
        <v>0</v>
      </c>
      <c r="B312" s="133">
        <v>309</v>
      </c>
      <c r="C312" s="132" t="str">
        <f t="shared" si="105"/>
        <v/>
      </c>
      <c r="D312" s="132">
        <f t="shared" si="124"/>
        <v>0</v>
      </c>
      <c r="E312" s="132">
        <f t="shared" si="124"/>
        <v>0</v>
      </c>
      <c r="F312" s="132">
        <f t="shared" si="106"/>
        <v>0</v>
      </c>
      <c r="G312" s="132" t="str">
        <f t="shared" si="124"/>
        <v>Open market housing</v>
      </c>
      <c r="H312" s="132">
        <f t="shared" si="107"/>
        <v>896440000</v>
      </c>
      <c r="I312" s="132" t="str">
        <f t="shared" si="120"/>
        <v>New build</v>
      </c>
      <c r="J312" s="132">
        <f t="shared" si="108"/>
        <v>391930000</v>
      </c>
      <c r="K312" s="132">
        <f t="shared" si="121"/>
        <v>0</v>
      </c>
      <c r="L312" s="132">
        <f t="shared" si="109"/>
        <v>0</v>
      </c>
      <c r="M312" s="132">
        <f t="shared" si="125"/>
        <v>0</v>
      </c>
      <c r="N312" s="134">
        <f t="shared" si="110"/>
        <v>0</v>
      </c>
      <c r="O312" s="135">
        <f t="shared" si="111"/>
        <v>0</v>
      </c>
      <c r="P312" s="132" t="str">
        <f t="shared" si="122"/>
        <v/>
      </c>
      <c r="Q312" s="132" t="str">
        <f t="shared" si="113"/>
        <v/>
      </c>
      <c r="R312" s="132" t="str">
        <f>IF(ISNUMBER(SEARCH("AHO",Import2[[#This Row],[Tenure]])),"AHO",Import2[[#This Row],[Tenure]])&amp;Import2[[#This Row],[Expected Physical Completion Year]]&amp;Import2[[#This Row],[Expected Physical Completion Month]]</f>
        <v>Open market housing</v>
      </c>
      <c r="S312" s="135">
        <f t="shared" si="112"/>
        <v>0</v>
      </c>
      <c r="T312" s="132" t="str">
        <f t="shared" si="126"/>
        <v/>
      </c>
      <c r="U312" s="132" t="str">
        <f t="shared" si="126"/>
        <v/>
      </c>
      <c r="V312" s="132" t="str">
        <f>IF(ISNUMBER(SEARCH("AHO",Import2[[#This Row],[Tenure]])),"AHO",Import2[[#This Row],[Tenure]])&amp;Import2[[#This Row],[Expected sale completion year]]&amp;Import2[[#This Row],[Expected sale completion month]]</f>
        <v>Open market housing</v>
      </c>
      <c r="W312" s="178">
        <f t="shared" si="123"/>
        <v>0</v>
      </c>
    </row>
    <row r="313" spans="1:23" ht="15" customHeight="1">
      <c r="A313" s="132">
        <f t="shared" si="104"/>
        <v>0</v>
      </c>
      <c r="B313" s="133">
        <v>310</v>
      </c>
      <c r="C313" s="132" t="str">
        <f t="shared" si="105"/>
        <v/>
      </c>
      <c r="D313" s="132">
        <f t="shared" si="124"/>
        <v>0</v>
      </c>
      <c r="E313" s="132">
        <f t="shared" si="124"/>
        <v>0</v>
      </c>
      <c r="F313" s="132">
        <f t="shared" si="106"/>
        <v>0</v>
      </c>
      <c r="G313" s="132" t="str">
        <f t="shared" si="124"/>
        <v>Open market housing</v>
      </c>
      <c r="H313" s="132">
        <f t="shared" si="107"/>
        <v>896440000</v>
      </c>
      <c r="I313" s="132" t="str">
        <f t="shared" si="120"/>
        <v>New build</v>
      </c>
      <c r="J313" s="132">
        <f t="shared" si="108"/>
        <v>391930000</v>
      </c>
      <c r="K313" s="132">
        <f t="shared" si="121"/>
        <v>0</v>
      </c>
      <c r="L313" s="132">
        <f t="shared" si="109"/>
        <v>0</v>
      </c>
      <c r="M313" s="132">
        <f t="shared" si="125"/>
        <v>0</v>
      </c>
      <c r="N313" s="134">
        <f t="shared" si="110"/>
        <v>0</v>
      </c>
      <c r="O313" s="135">
        <f t="shared" si="111"/>
        <v>0</v>
      </c>
      <c r="P313" s="132" t="str">
        <f t="shared" si="122"/>
        <v/>
      </c>
      <c r="Q313" s="132" t="str">
        <f t="shared" si="113"/>
        <v/>
      </c>
      <c r="R313" s="132" t="str">
        <f>IF(ISNUMBER(SEARCH("AHO",Import2[[#This Row],[Tenure]])),"AHO",Import2[[#This Row],[Tenure]])&amp;Import2[[#This Row],[Expected Physical Completion Year]]&amp;Import2[[#This Row],[Expected Physical Completion Month]]</f>
        <v>Open market housing</v>
      </c>
      <c r="S313" s="135">
        <f t="shared" si="112"/>
        <v>0</v>
      </c>
      <c r="T313" s="132" t="str">
        <f t="shared" si="126"/>
        <v/>
      </c>
      <c r="U313" s="132" t="str">
        <f t="shared" si="126"/>
        <v/>
      </c>
      <c r="V313" s="132" t="str">
        <f>IF(ISNUMBER(SEARCH("AHO",Import2[[#This Row],[Tenure]])),"AHO",Import2[[#This Row],[Tenure]])&amp;Import2[[#This Row],[Expected sale completion year]]&amp;Import2[[#This Row],[Expected sale completion month]]</f>
        <v>Open market housing</v>
      </c>
      <c r="W313" s="178">
        <f t="shared" si="123"/>
        <v>0</v>
      </c>
    </row>
    <row r="314" spans="1:23" ht="15" customHeight="1">
      <c r="A314" s="132">
        <f t="shared" si="104"/>
        <v>0</v>
      </c>
      <c r="B314" s="133">
        <v>311</v>
      </c>
      <c r="C314" s="132" t="str">
        <f t="shared" si="105"/>
        <v/>
      </c>
      <c r="D314" s="132">
        <f t="shared" si="124"/>
        <v>0</v>
      </c>
      <c r="E314" s="132">
        <f t="shared" si="124"/>
        <v>0</v>
      </c>
      <c r="F314" s="132">
        <f t="shared" si="106"/>
        <v>0</v>
      </c>
      <c r="G314" s="132" t="str">
        <f t="shared" si="124"/>
        <v>Open market housing</v>
      </c>
      <c r="H314" s="132">
        <f t="shared" si="107"/>
        <v>896440000</v>
      </c>
      <c r="I314" s="132" t="str">
        <f t="shared" si="120"/>
        <v>New build</v>
      </c>
      <c r="J314" s="132">
        <f t="shared" si="108"/>
        <v>391930000</v>
      </c>
      <c r="K314" s="132">
        <f t="shared" si="121"/>
        <v>0</v>
      </c>
      <c r="L314" s="132">
        <f t="shared" si="109"/>
        <v>0</v>
      </c>
      <c r="M314" s="132">
        <f t="shared" si="125"/>
        <v>0</v>
      </c>
      <c r="N314" s="134">
        <f t="shared" si="110"/>
        <v>0</v>
      </c>
      <c r="O314" s="135">
        <f t="shared" si="111"/>
        <v>0</v>
      </c>
      <c r="P314" s="132" t="str">
        <f t="shared" si="122"/>
        <v/>
      </c>
      <c r="Q314" s="132" t="str">
        <f t="shared" si="113"/>
        <v/>
      </c>
      <c r="R314" s="132" t="str">
        <f>IF(ISNUMBER(SEARCH("AHO",Import2[[#This Row],[Tenure]])),"AHO",Import2[[#This Row],[Tenure]])&amp;Import2[[#This Row],[Expected Physical Completion Year]]&amp;Import2[[#This Row],[Expected Physical Completion Month]]</f>
        <v>Open market housing</v>
      </c>
      <c r="S314" s="135">
        <f t="shared" si="112"/>
        <v>0</v>
      </c>
      <c r="T314" s="132" t="str">
        <f t="shared" si="126"/>
        <v/>
      </c>
      <c r="U314" s="132" t="str">
        <f t="shared" si="126"/>
        <v/>
      </c>
      <c r="V314" s="132" t="str">
        <f>IF(ISNUMBER(SEARCH("AHO",Import2[[#This Row],[Tenure]])),"AHO",Import2[[#This Row],[Tenure]])&amp;Import2[[#This Row],[Expected sale completion year]]&amp;Import2[[#This Row],[Expected sale completion month]]</f>
        <v>Open market housing</v>
      </c>
      <c r="W314" s="178">
        <f t="shared" si="123"/>
        <v>0</v>
      </c>
    </row>
    <row r="315" spans="1:23" ht="15" customHeight="1">
      <c r="A315" s="132">
        <f t="shared" si="104"/>
        <v>0</v>
      </c>
      <c r="B315" s="133">
        <v>312</v>
      </c>
      <c r="C315" s="132" t="str">
        <f t="shared" si="105"/>
        <v/>
      </c>
      <c r="D315" s="132">
        <f t="shared" si="124"/>
        <v>0</v>
      </c>
      <c r="E315" s="132">
        <f t="shared" si="124"/>
        <v>0</v>
      </c>
      <c r="F315" s="132">
        <f t="shared" si="106"/>
        <v>0</v>
      </c>
      <c r="G315" s="132" t="str">
        <f t="shared" si="124"/>
        <v>Open market housing</v>
      </c>
      <c r="H315" s="132">
        <f t="shared" si="107"/>
        <v>896440000</v>
      </c>
      <c r="I315" s="132" t="str">
        <f t="shared" si="120"/>
        <v>New build</v>
      </c>
      <c r="J315" s="132">
        <f t="shared" si="108"/>
        <v>391930000</v>
      </c>
      <c r="K315" s="132">
        <f t="shared" si="121"/>
        <v>0</v>
      </c>
      <c r="L315" s="132">
        <f t="shared" si="109"/>
        <v>0</v>
      </c>
      <c r="M315" s="132">
        <f t="shared" si="125"/>
        <v>0</v>
      </c>
      <c r="N315" s="134">
        <f t="shared" si="110"/>
        <v>0</v>
      </c>
      <c r="O315" s="135">
        <f t="shared" si="111"/>
        <v>0</v>
      </c>
      <c r="P315" s="132" t="str">
        <f t="shared" si="122"/>
        <v/>
      </c>
      <c r="Q315" s="132" t="str">
        <f t="shared" si="113"/>
        <v/>
      </c>
      <c r="R315" s="132" t="str">
        <f>IF(ISNUMBER(SEARCH("AHO",Import2[[#This Row],[Tenure]])),"AHO",Import2[[#This Row],[Tenure]])&amp;Import2[[#This Row],[Expected Physical Completion Year]]&amp;Import2[[#This Row],[Expected Physical Completion Month]]</f>
        <v>Open market housing</v>
      </c>
      <c r="S315" s="135">
        <f t="shared" si="112"/>
        <v>0</v>
      </c>
      <c r="T315" s="132" t="str">
        <f t="shared" si="126"/>
        <v/>
      </c>
      <c r="U315" s="132" t="str">
        <f t="shared" si="126"/>
        <v/>
      </c>
      <c r="V315" s="132" t="str">
        <f>IF(ISNUMBER(SEARCH("AHO",Import2[[#This Row],[Tenure]])),"AHO",Import2[[#This Row],[Tenure]])&amp;Import2[[#This Row],[Expected sale completion year]]&amp;Import2[[#This Row],[Expected sale completion month]]</f>
        <v>Open market housing</v>
      </c>
      <c r="W315" s="178">
        <f t="shared" si="123"/>
        <v>0</v>
      </c>
    </row>
    <row r="316" spans="1:23" ht="15" customHeight="1">
      <c r="A316" s="132">
        <f t="shared" si="104"/>
        <v>0</v>
      </c>
      <c r="B316" s="133">
        <v>313</v>
      </c>
      <c r="C316" s="132" t="str">
        <f t="shared" si="105"/>
        <v/>
      </c>
      <c r="D316" s="132">
        <f t="shared" si="124"/>
        <v>0</v>
      </c>
      <c r="E316" s="132">
        <f t="shared" si="124"/>
        <v>0</v>
      </c>
      <c r="F316" s="132">
        <f t="shared" si="106"/>
        <v>0</v>
      </c>
      <c r="G316" s="132" t="str">
        <f t="shared" si="124"/>
        <v>Open market housing</v>
      </c>
      <c r="H316" s="132">
        <f t="shared" si="107"/>
        <v>896440000</v>
      </c>
      <c r="I316" s="132" t="str">
        <f t="shared" si="120"/>
        <v>New build</v>
      </c>
      <c r="J316" s="132">
        <f t="shared" si="108"/>
        <v>391930000</v>
      </c>
      <c r="K316" s="132">
        <f t="shared" si="121"/>
        <v>0</v>
      </c>
      <c r="L316" s="132">
        <f t="shared" si="109"/>
        <v>0</v>
      </c>
      <c r="M316" s="132">
        <f t="shared" si="125"/>
        <v>0</v>
      </c>
      <c r="N316" s="134">
        <f t="shared" si="110"/>
        <v>0</v>
      </c>
      <c r="O316" s="135">
        <f t="shared" si="111"/>
        <v>0</v>
      </c>
      <c r="P316" s="132" t="str">
        <f t="shared" si="122"/>
        <v/>
      </c>
      <c r="Q316" s="132" t="str">
        <f t="shared" si="113"/>
        <v/>
      </c>
      <c r="R316" s="132" t="str">
        <f>IF(ISNUMBER(SEARCH("AHO",Import2[[#This Row],[Tenure]])),"AHO",Import2[[#This Row],[Tenure]])&amp;Import2[[#This Row],[Expected Physical Completion Year]]&amp;Import2[[#This Row],[Expected Physical Completion Month]]</f>
        <v>Open market housing</v>
      </c>
      <c r="S316" s="135">
        <f t="shared" si="112"/>
        <v>0</v>
      </c>
      <c r="T316" s="132" t="str">
        <f t="shared" si="126"/>
        <v/>
      </c>
      <c r="U316" s="132" t="str">
        <f t="shared" si="126"/>
        <v/>
      </c>
      <c r="V316" s="132" t="str">
        <f>IF(ISNUMBER(SEARCH("AHO",Import2[[#This Row],[Tenure]])),"AHO",Import2[[#This Row],[Tenure]])&amp;Import2[[#This Row],[Expected sale completion year]]&amp;Import2[[#This Row],[Expected sale completion month]]</f>
        <v>Open market housing</v>
      </c>
      <c r="W316" s="178">
        <f t="shared" si="123"/>
        <v>0</v>
      </c>
    </row>
    <row r="317" spans="1:23" ht="15" customHeight="1">
      <c r="A317" s="132">
        <f t="shared" si="104"/>
        <v>0</v>
      </c>
      <c r="B317" s="133">
        <v>314</v>
      </c>
      <c r="C317" s="132" t="str">
        <f t="shared" si="105"/>
        <v/>
      </c>
      <c r="D317" s="132">
        <f t="shared" si="124"/>
        <v>0</v>
      </c>
      <c r="E317" s="132">
        <f t="shared" si="124"/>
        <v>0</v>
      </c>
      <c r="F317" s="132">
        <f t="shared" si="106"/>
        <v>0</v>
      </c>
      <c r="G317" s="132" t="str">
        <f t="shared" si="124"/>
        <v>Open market housing</v>
      </c>
      <c r="H317" s="132">
        <f t="shared" si="107"/>
        <v>896440000</v>
      </c>
      <c r="I317" s="132" t="str">
        <f t="shared" si="120"/>
        <v>New build</v>
      </c>
      <c r="J317" s="132">
        <f t="shared" si="108"/>
        <v>391930000</v>
      </c>
      <c r="K317" s="132">
        <f t="shared" si="121"/>
        <v>0</v>
      </c>
      <c r="L317" s="132">
        <f t="shared" si="109"/>
        <v>0</v>
      </c>
      <c r="M317" s="132">
        <f t="shared" si="125"/>
        <v>0</v>
      </c>
      <c r="N317" s="134">
        <f t="shared" si="110"/>
        <v>0</v>
      </c>
      <c r="O317" s="135">
        <f t="shared" si="111"/>
        <v>0</v>
      </c>
      <c r="P317" s="132" t="str">
        <f t="shared" si="122"/>
        <v/>
      </c>
      <c r="Q317" s="132" t="str">
        <f t="shared" si="113"/>
        <v/>
      </c>
      <c r="R317" s="132" t="str">
        <f>IF(ISNUMBER(SEARCH("AHO",Import2[[#This Row],[Tenure]])),"AHO",Import2[[#This Row],[Tenure]])&amp;Import2[[#This Row],[Expected Physical Completion Year]]&amp;Import2[[#This Row],[Expected Physical Completion Month]]</f>
        <v>Open market housing</v>
      </c>
      <c r="S317" s="135">
        <f t="shared" si="112"/>
        <v>0</v>
      </c>
      <c r="T317" s="132" t="str">
        <f t="shared" si="126"/>
        <v/>
      </c>
      <c r="U317" s="132" t="str">
        <f t="shared" si="126"/>
        <v/>
      </c>
      <c r="V317" s="132" t="str">
        <f>IF(ISNUMBER(SEARCH("AHO",Import2[[#This Row],[Tenure]])),"AHO",Import2[[#This Row],[Tenure]])&amp;Import2[[#This Row],[Expected sale completion year]]&amp;Import2[[#This Row],[Expected sale completion month]]</f>
        <v>Open market housing</v>
      </c>
      <c r="W317" s="178">
        <f t="shared" si="123"/>
        <v>0</v>
      </c>
    </row>
    <row r="318" spans="1:23" ht="15" customHeight="1">
      <c r="A318" s="132">
        <f t="shared" si="104"/>
        <v>0</v>
      </c>
      <c r="B318" s="133">
        <v>315</v>
      </c>
      <c r="C318" s="132" t="str">
        <f t="shared" si="105"/>
        <v/>
      </c>
      <c r="D318" s="132">
        <f t="shared" si="124"/>
        <v>0</v>
      </c>
      <c r="E318" s="132">
        <f t="shared" si="124"/>
        <v>0</v>
      </c>
      <c r="F318" s="132">
        <f t="shared" si="106"/>
        <v>0</v>
      </c>
      <c r="G318" s="132" t="str">
        <f t="shared" si="124"/>
        <v>Open market housing</v>
      </c>
      <c r="H318" s="132">
        <f t="shared" si="107"/>
        <v>896440000</v>
      </c>
      <c r="I318" s="132" t="str">
        <f t="shared" si="120"/>
        <v>New build</v>
      </c>
      <c r="J318" s="132">
        <f t="shared" si="108"/>
        <v>391930000</v>
      </c>
      <c r="K318" s="132">
        <f t="shared" si="121"/>
        <v>0</v>
      </c>
      <c r="L318" s="132">
        <f t="shared" si="109"/>
        <v>0</v>
      </c>
      <c r="M318" s="132">
        <f t="shared" si="125"/>
        <v>0</v>
      </c>
      <c r="N318" s="134">
        <f t="shared" si="110"/>
        <v>0</v>
      </c>
      <c r="O318" s="135">
        <f t="shared" si="111"/>
        <v>0</v>
      </c>
      <c r="P318" s="132" t="str">
        <f t="shared" si="122"/>
        <v/>
      </c>
      <c r="Q318" s="132" t="str">
        <f t="shared" si="113"/>
        <v/>
      </c>
      <c r="R318" s="132" t="str">
        <f>IF(ISNUMBER(SEARCH("AHO",Import2[[#This Row],[Tenure]])),"AHO",Import2[[#This Row],[Tenure]])&amp;Import2[[#This Row],[Expected Physical Completion Year]]&amp;Import2[[#This Row],[Expected Physical Completion Month]]</f>
        <v>Open market housing</v>
      </c>
      <c r="S318" s="135">
        <f t="shared" si="112"/>
        <v>0</v>
      </c>
      <c r="T318" s="132" t="str">
        <f t="shared" si="126"/>
        <v/>
      </c>
      <c r="U318" s="132" t="str">
        <f t="shared" si="126"/>
        <v/>
      </c>
      <c r="V318" s="132" t="str">
        <f>IF(ISNUMBER(SEARCH("AHO",Import2[[#This Row],[Tenure]])),"AHO",Import2[[#This Row],[Tenure]])&amp;Import2[[#This Row],[Expected sale completion year]]&amp;Import2[[#This Row],[Expected sale completion month]]</f>
        <v>Open market housing</v>
      </c>
      <c r="W318" s="178">
        <f t="shared" si="123"/>
        <v>0</v>
      </c>
    </row>
    <row r="319" spans="1:23" ht="15" customHeight="1">
      <c r="A319" s="132">
        <f t="shared" si="104"/>
        <v>0</v>
      </c>
      <c r="B319" s="133">
        <v>316</v>
      </c>
      <c r="C319" s="132" t="str">
        <f t="shared" si="105"/>
        <v/>
      </c>
      <c r="D319" s="132">
        <f t="shared" si="124"/>
        <v>0</v>
      </c>
      <c r="E319" s="132">
        <f t="shared" si="124"/>
        <v>0</v>
      </c>
      <c r="F319" s="132">
        <f t="shared" si="106"/>
        <v>0</v>
      </c>
      <c r="G319" s="132" t="str">
        <f t="shared" si="124"/>
        <v>Open market housing</v>
      </c>
      <c r="H319" s="132">
        <f t="shared" si="107"/>
        <v>896440000</v>
      </c>
      <c r="I319" s="132" t="str">
        <f t="shared" si="120"/>
        <v>New build</v>
      </c>
      <c r="J319" s="132">
        <f t="shared" si="108"/>
        <v>391930000</v>
      </c>
      <c r="K319" s="132">
        <f t="shared" si="121"/>
        <v>0</v>
      </c>
      <c r="L319" s="132">
        <f t="shared" si="109"/>
        <v>0</v>
      </c>
      <c r="M319" s="132">
        <f t="shared" si="125"/>
        <v>0</v>
      </c>
      <c r="N319" s="134">
        <f t="shared" si="110"/>
        <v>0</v>
      </c>
      <c r="O319" s="135">
        <f t="shared" si="111"/>
        <v>0</v>
      </c>
      <c r="P319" s="132" t="str">
        <f t="shared" si="122"/>
        <v/>
      </c>
      <c r="Q319" s="132" t="str">
        <f t="shared" si="113"/>
        <v/>
      </c>
      <c r="R319" s="132" t="str">
        <f>IF(ISNUMBER(SEARCH("AHO",Import2[[#This Row],[Tenure]])),"AHO",Import2[[#This Row],[Tenure]])&amp;Import2[[#This Row],[Expected Physical Completion Year]]&amp;Import2[[#This Row],[Expected Physical Completion Month]]</f>
        <v>Open market housing</v>
      </c>
      <c r="S319" s="135">
        <f t="shared" si="112"/>
        <v>0</v>
      </c>
      <c r="T319" s="132" t="str">
        <f t="shared" si="126"/>
        <v/>
      </c>
      <c r="U319" s="132" t="str">
        <f t="shared" si="126"/>
        <v/>
      </c>
      <c r="V319" s="132" t="str">
        <f>IF(ISNUMBER(SEARCH("AHO",Import2[[#This Row],[Tenure]])),"AHO",Import2[[#This Row],[Tenure]])&amp;Import2[[#This Row],[Expected sale completion year]]&amp;Import2[[#This Row],[Expected sale completion month]]</f>
        <v>Open market housing</v>
      </c>
      <c r="W319" s="178">
        <f t="shared" si="123"/>
        <v>0</v>
      </c>
    </row>
    <row r="320" spans="1:23" ht="15" customHeight="1">
      <c r="A320" s="132">
        <f t="shared" si="104"/>
        <v>0</v>
      </c>
      <c r="B320" s="133">
        <v>317</v>
      </c>
      <c r="C320" s="132" t="str">
        <f t="shared" si="105"/>
        <v/>
      </c>
      <c r="D320" s="132">
        <f t="shared" si="124"/>
        <v>0</v>
      </c>
      <c r="E320" s="132">
        <f t="shared" si="124"/>
        <v>0</v>
      </c>
      <c r="F320" s="132">
        <f t="shared" si="106"/>
        <v>0</v>
      </c>
      <c r="G320" s="132" t="str">
        <f t="shared" si="124"/>
        <v>Open market housing</v>
      </c>
      <c r="H320" s="132">
        <f t="shared" si="107"/>
        <v>896440000</v>
      </c>
      <c r="I320" s="132" t="str">
        <f t="shared" si="120"/>
        <v>New build</v>
      </c>
      <c r="J320" s="132">
        <f t="shared" si="108"/>
        <v>391930000</v>
      </c>
      <c r="K320" s="132">
        <f t="shared" si="121"/>
        <v>0</v>
      </c>
      <c r="L320" s="132">
        <f t="shared" si="109"/>
        <v>0</v>
      </c>
      <c r="M320" s="132">
        <f t="shared" si="125"/>
        <v>0</v>
      </c>
      <c r="N320" s="134">
        <f t="shared" si="110"/>
        <v>0</v>
      </c>
      <c r="O320" s="135">
        <f t="shared" si="111"/>
        <v>0</v>
      </c>
      <c r="P320" s="132" t="str">
        <f t="shared" si="122"/>
        <v/>
      </c>
      <c r="Q320" s="132" t="str">
        <f t="shared" si="113"/>
        <v/>
      </c>
      <c r="R320" s="132" t="str">
        <f>IF(ISNUMBER(SEARCH("AHO",Import2[[#This Row],[Tenure]])),"AHO",Import2[[#This Row],[Tenure]])&amp;Import2[[#This Row],[Expected Physical Completion Year]]&amp;Import2[[#This Row],[Expected Physical Completion Month]]</f>
        <v>Open market housing</v>
      </c>
      <c r="S320" s="135">
        <f t="shared" si="112"/>
        <v>0</v>
      </c>
      <c r="T320" s="132" t="str">
        <f t="shared" si="126"/>
        <v/>
      </c>
      <c r="U320" s="132" t="str">
        <f t="shared" si="126"/>
        <v/>
      </c>
      <c r="V320" s="132" t="str">
        <f>IF(ISNUMBER(SEARCH("AHO",Import2[[#This Row],[Tenure]])),"AHO",Import2[[#This Row],[Tenure]])&amp;Import2[[#This Row],[Expected sale completion year]]&amp;Import2[[#This Row],[Expected sale completion month]]</f>
        <v>Open market housing</v>
      </c>
      <c r="W320" s="178">
        <f t="shared" si="123"/>
        <v>0</v>
      </c>
    </row>
    <row r="321" spans="1:23" ht="15" customHeight="1">
      <c r="A321" s="132">
        <f t="shared" si="104"/>
        <v>0</v>
      </c>
      <c r="B321" s="133">
        <v>318</v>
      </c>
      <c r="C321" s="132" t="str">
        <f t="shared" si="105"/>
        <v/>
      </c>
      <c r="D321" s="132">
        <f t="shared" si="124"/>
        <v>0</v>
      </c>
      <c r="E321" s="132">
        <f t="shared" si="124"/>
        <v>0</v>
      </c>
      <c r="F321" s="132">
        <f t="shared" si="106"/>
        <v>0</v>
      </c>
      <c r="G321" s="132" t="str">
        <f t="shared" si="124"/>
        <v>Open market housing</v>
      </c>
      <c r="H321" s="132">
        <f t="shared" si="107"/>
        <v>896440000</v>
      </c>
      <c r="I321" s="132" t="str">
        <f t="shared" si="120"/>
        <v>New build</v>
      </c>
      <c r="J321" s="132">
        <f t="shared" si="108"/>
        <v>391930000</v>
      </c>
      <c r="K321" s="132">
        <f t="shared" si="121"/>
        <v>0</v>
      </c>
      <c r="L321" s="132">
        <f t="shared" si="109"/>
        <v>0</v>
      </c>
      <c r="M321" s="132">
        <f t="shared" si="125"/>
        <v>0</v>
      </c>
      <c r="N321" s="134">
        <f t="shared" si="110"/>
        <v>0</v>
      </c>
      <c r="O321" s="135">
        <f t="shared" si="111"/>
        <v>0</v>
      </c>
      <c r="P321" s="132" t="str">
        <f t="shared" si="122"/>
        <v/>
      </c>
      <c r="Q321" s="132" t="str">
        <f t="shared" si="113"/>
        <v/>
      </c>
      <c r="R321" s="132" t="str">
        <f>IF(ISNUMBER(SEARCH("AHO",Import2[[#This Row],[Tenure]])),"AHO",Import2[[#This Row],[Tenure]])&amp;Import2[[#This Row],[Expected Physical Completion Year]]&amp;Import2[[#This Row],[Expected Physical Completion Month]]</f>
        <v>Open market housing</v>
      </c>
      <c r="S321" s="135">
        <f t="shared" si="112"/>
        <v>0</v>
      </c>
      <c r="T321" s="132" t="str">
        <f t="shared" si="126"/>
        <v/>
      </c>
      <c r="U321" s="132" t="str">
        <f t="shared" si="126"/>
        <v/>
      </c>
      <c r="V321" s="132" t="str">
        <f>IF(ISNUMBER(SEARCH("AHO",Import2[[#This Row],[Tenure]])),"AHO",Import2[[#This Row],[Tenure]])&amp;Import2[[#This Row],[Expected sale completion year]]&amp;Import2[[#This Row],[Expected sale completion month]]</f>
        <v>Open market housing</v>
      </c>
      <c r="W321" s="178">
        <f t="shared" si="123"/>
        <v>0</v>
      </c>
    </row>
    <row r="322" spans="1:23" ht="15" customHeight="1">
      <c r="A322" s="132">
        <f t="shared" si="104"/>
        <v>0</v>
      </c>
      <c r="B322" s="133">
        <v>319</v>
      </c>
      <c r="C322" s="132" t="str">
        <f t="shared" si="105"/>
        <v/>
      </c>
      <c r="D322" s="132">
        <f t="shared" si="124"/>
        <v>0</v>
      </c>
      <c r="E322" s="132">
        <f t="shared" si="124"/>
        <v>0</v>
      </c>
      <c r="F322" s="132">
        <f t="shared" si="106"/>
        <v>0</v>
      </c>
      <c r="G322" s="132" t="str">
        <f t="shared" si="124"/>
        <v>Open market housing</v>
      </c>
      <c r="H322" s="132">
        <f t="shared" si="107"/>
        <v>896440000</v>
      </c>
      <c r="I322" s="132" t="str">
        <f t="shared" si="120"/>
        <v>New build</v>
      </c>
      <c r="J322" s="132">
        <f t="shared" si="108"/>
        <v>391930000</v>
      </c>
      <c r="K322" s="132">
        <f t="shared" si="121"/>
        <v>0</v>
      </c>
      <c r="L322" s="132">
        <f t="shared" si="109"/>
        <v>0</v>
      </c>
      <c r="M322" s="132">
        <f t="shared" si="125"/>
        <v>0</v>
      </c>
      <c r="N322" s="134">
        <f t="shared" si="110"/>
        <v>0</v>
      </c>
      <c r="O322" s="135">
        <f t="shared" si="111"/>
        <v>0</v>
      </c>
      <c r="P322" s="132" t="str">
        <f t="shared" si="122"/>
        <v/>
      </c>
      <c r="Q322" s="132" t="str">
        <f t="shared" si="113"/>
        <v/>
      </c>
      <c r="R322" s="132" t="str">
        <f>IF(ISNUMBER(SEARCH("AHO",Import2[[#This Row],[Tenure]])),"AHO",Import2[[#This Row],[Tenure]])&amp;Import2[[#This Row],[Expected Physical Completion Year]]&amp;Import2[[#This Row],[Expected Physical Completion Month]]</f>
        <v>Open market housing</v>
      </c>
      <c r="S322" s="135">
        <f t="shared" si="112"/>
        <v>0</v>
      </c>
      <c r="T322" s="132" t="str">
        <f t="shared" si="126"/>
        <v/>
      </c>
      <c r="U322" s="132" t="str">
        <f t="shared" si="126"/>
        <v/>
      </c>
      <c r="V322" s="132" t="str">
        <f>IF(ISNUMBER(SEARCH("AHO",Import2[[#This Row],[Tenure]])),"AHO",Import2[[#This Row],[Tenure]])&amp;Import2[[#This Row],[Expected sale completion year]]&amp;Import2[[#This Row],[Expected sale completion month]]</f>
        <v>Open market housing</v>
      </c>
      <c r="W322" s="178">
        <f t="shared" si="123"/>
        <v>0</v>
      </c>
    </row>
    <row r="323" spans="1:23" ht="15" customHeight="1">
      <c r="A323" s="132">
        <f t="shared" si="104"/>
        <v>0</v>
      </c>
      <c r="B323" s="133">
        <v>320</v>
      </c>
      <c r="C323" s="132" t="str">
        <f t="shared" si="105"/>
        <v/>
      </c>
      <c r="D323" s="132">
        <f t="shared" si="124"/>
        <v>0</v>
      </c>
      <c r="E323" s="132">
        <f t="shared" si="124"/>
        <v>0</v>
      </c>
      <c r="F323" s="132">
        <f t="shared" si="106"/>
        <v>0</v>
      </c>
      <c r="G323" s="132" t="str">
        <f t="shared" si="124"/>
        <v>Open market housing</v>
      </c>
      <c r="H323" s="132">
        <f t="shared" si="107"/>
        <v>896440000</v>
      </c>
      <c r="I323" s="132" t="str">
        <f t="shared" si="120"/>
        <v>New build</v>
      </c>
      <c r="J323" s="132">
        <f t="shared" si="108"/>
        <v>391930000</v>
      </c>
      <c r="K323" s="132">
        <f t="shared" si="121"/>
        <v>0</v>
      </c>
      <c r="L323" s="132">
        <f t="shared" si="109"/>
        <v>0</v>
      </c>
      <c r="M323" s="132">
        <f t="shared" si="125"/>
        <v>0</v>
      </c>
      <c r="N323" s="134">
        <f t="shared" si="110"/>
        <v>0</v>
      </c>
      <c r="O323" s="135">
        <f t="shared" si="111"/>
        <v>0</v>
      </c>
      <c r="P323" s="132" t="str">
        <f t="shared" si="122"/>
        <v/>
      </c>
      <c r="Q323" s="132" t="str">
        <f t="shared" si="113"/>
        <v/>
      </c>
      <c r="R323" s="132" t="str">
        <f>IF(ISNUMBER(SEARCH("AHO",Import2[[#This Row],[Tenure]])),"AHO",Import2[[#This Row],[Tenure]])&amp;Import2[[#This Row],[Expected Physical Completion Year]]&amp;Import2[[#This Row],[Expected Physical Completion Month]]</f>
        <v>Open market housing</v>
      </c>
      <c r="S323" s="135">
        <f t="shared" si="112"/>
        <v>0</v>
      </c>
      <c r="T323" s="132" t="str">
        <f t="shared" si="126"/>
        <v/>
      </c>
      <c r="U323" s="132" t="str">
        <f t="shared" si="126"/>
        <v/>
      </c>
      <c r="V323" s="132" t="str">
        <f>IF(ISNUMBER(SEARCH("AHO",Import2[[#This Row],[Tenure]])),"AHO",Import2[[#This Row],[Tenure]])&amp;Import2[[#This Row],[Expected sale completion year]]&amp;Import2[[#This Row],[Expected sale completion month]]</f>
        <v>Open market housing</v>
      </c>
      <c r="W323" s="178">
        <f t="shared" si="123"/>
        <v>0</v>
      </c>
    </row>
    <row r="324" spans="1:23" ht="15" customHeight="1">
      <c r="A324" s="132">
        <f t="shared" ref="A324:A387" si="127">IF((SUM($C324:$W324)-$H324-$J324)=0,0,1)</f>
        <v>0</v>
      </c>
      <c r="B324" s="133">
        <v>321</v>
      </c>
      <c r="C324" s="132" t="str">
        <f t="shared" ref="C324:C387" si="128">IF(INDEX(PlotData,MATCH($B324,PlotNumber,0),MATCH(C$3,PlotTitles,0))=0,"",INDEX(PlotData,MATCH($B324,PlotNumber,0),MATCH(C$3,PlotTitles,0)))</f>
        <v/>
      </c>
      <c r="D324" s="132">
        <f t="shared" ref="D324:G343" si="129">INDEX(PlotData,MATCH($B324,PlotNumber,0),MATCH(D$3,PlotTitles,0))</f>
        <v>0</v>
      </c>
      <c r="E324" s="132">
        <f t="shared" si="129"/>
        <v>0</v>
      </c>
      <c r="F324" s="132">
        <f t="shared" ref="F324:F387" si="130">_xlfn.IFNA(INDEX(PropertyTypeRef,MATCH(E324,PropertyType,0),2),0)</f>
        <v>0</v>
      </c>
      <c r="G324" s="132" t="str">
        <f t="shared" si="129"/>
        <v>Open market housing</v>
      </c>
      <c r="H324" s="132">
        <f t="shared" ref="H324:H387" si="131">_xlfn.IFNA(INDEX(TenureRef,MATCH(G324,PlotCategory,0),2),0)</f>
        <v>896440000</v>
      </c>
      <c r="I324" s="132" t="str">
        <f t="shared" si="120"/>
        <v>New build</v>
      </c>
      <c r="J324" s="132">
        <f t="shared" ref="J324:J387" si="132">_xlfn.IFNA(INDEX(TenureDetailRef,MATCH(I324,TenureDetail,0),2),0)</f>
        <v>391930000</v>
      </c>
      <c r="K324" s="132">
        <f t="shared" si="121"/>
        <v>0</v>
      </c>
      <c r="L324" s="132">
        <f t="shared" ref="L324:L387" si="133">_xlfn.IFNA(INDEX(BuildTypeRef,MATCH(K324,BuildType,0),2),0)</f>
        <v>0</v>
      </c>
      <c r="M324" s="132">
        <f t="shared" ref="M324:M343" si="134">INDEX(PlotData,MATCH($B324,PlotNumber,0),MATCH(M$3,PlotTitles,0))</f>
        <v>0</v>
      </c>
      <c r="N324" s="134">
        <f t="shared" ref="N324:N387" si="135">IF($M324=0,0,$M324*0.09290304)</f>
        <v>0</v>
      </c>
      <c r="O324" s="135">
        <f t="shared" ref="O324:O387" si="136">IF(OR($P324="",$Q324=""),0,(DATEVALUE($P324&amp;$Q324)))</f>
        <v>0</v>
      </c>
      <c r="P324" s="132" t="str">
        <f t="shared" si="122"/>
        <v/>
      </c>
      <c r="Q324" s="132" t="str">
        <f t="shared" si="113"/>
        <v/>
      </c>
      <c r="R324" s="132" t="str">
        <f>IF(ISNUMBER(SEARCH("AHO",Import2[[#This Row],[Tenure]])),"AHO",Import2[[#This Row],[Tenure]])&amp;Import2[[#This Row],[Expected Physical Completion Year]]&amp;Import2[[#This Row],[Expected Physical Completion Month]]</f>
        <v>Open market housing</v>
      </c>
      <c r="S324" s="135">
        <f t="shared" ref="S324:S387" si="137">IF(OR($T324="",$U324=""),0,(DATEVALUE($T324&amp;$U324)))</f>
        <v>0</v>
      </c>
      <c r="T324" s="132" t="str">
        <f t="shared" ref="T324:U343" si="138">IF(INDEX(PlotData,MATCH($B324,PlotNumber,0),MATCH(T$3,PlotTitles,0))=0,"",INDEX(PlotData,MATCH($B324,PlotNumber,0),MATCH(T$3,PlotTitles,0)))</f>
        <v/>
      </c>
      <c r="U324" s="132" t="str">
        <f t="shared" si="138"/>
        <v/>
      </c>
      <c r="V324" s="132" t="str">
        <f>IF(ISNUMBER(SEARCH("AHO",Import2[[#This Row],[Tenure]])),"AHO",Import2[[#This Row],[Tenure]])&amp;Import2[[#This Row],[Expected sale completion year]]&amp;Import2[[#This Row],[Expected sale completion month]]</f>
        <v>Open market housing</v>
      </c>
      <c r="W324" s="178">
        <f t="shared" si="123"/>
        <v>0</v>
      </c>
    </row>
    <row r="325" spans="1:23" ht="15" customHeight="1">
      <c r="A325" s="132">
        <f t="shared" si="127"/>
        <v>0</v>
      </c>
      <c r="B325" s="133">
        <v>322</v>
      </c>
      <c r="C325" s="132" t="str">
        <f t="shared" si="128"/>
        <v/>
      </c>
      <c r="D325" s="132">
        <f t="shared" si="129"/>
        <v>0</v>
      </c>
      <c r="E325" s="132">
        <f t="shared" si="129"/>
        <v>0</v>
      </c>
      <c r="F325" s="132">
        <f t="shared" si="130"/>
        <v>0</v>
      </c>
      <c r="G325" s="132" t="str">
        <f t="shared" si="129"/>
        <v>Open market housing</v>
      </c>
      <c r="H325" s="132">
        <f t="shared" si="131"/>
        <v>896440000</v>
      </c>
      <c r="I325" s="132" t="str">
        <f t="shared" si="120"/>
        <v>New build</v>
      </c>
      <c r="J325" s="132">
        <f t="shared" si="132"/>
        <v>391930000</v>
      </c>
      <c r="K325" s="132">
        <f t="shared" si="121"/>
        <v>0</v>
      </c>
      <c r="L325" s="132">
        <f t="shared" si="133"/>
        <v>0</v>
      </c>
      <c r="M325" s="132">
        <f t="shared" si="134"/>
        <v>0</v>
      </c>
      <c r="N325" s="134">
        <f t="shared" si="135"/>
        <v>0</v>
      </c>
      <c r="O325" s="135">
        <f t="shared" si="136"/>
        <v>0</v>
      </c>
      <c r="P325" s="132" t="str">
        <f t="shared" si="122"/>
        <v/>
      </c>
      <c r="Q325" s="132" t="str">
        <f t="shared" si="113"/>
        <v/>
      </c>
      <c r="R325" s="132" t="str">
        <f>IF(ISNUMBER(SEARCH("AHO",Import2[[#This Row],[Tenure]])),"AHO",Import2[[#This Row],[Tenure]])&amp;Import2[[#This Row],[Expected Physical Completion Year]]&amp;Import2[[#This Row],[Expected Physical Completion Month]]</f>
        <v>Open market housing</v>
      </c>
      <c r="S325" s="135">
        <f t="shared" si="137"/>
        <v>0</v>
      </c>
      <c r="T325" s="132" t="str">
        <f t="shared" si="138"/>
        <v/>
      </c>
      <c r="U325" s="132" t="str">
        <f t="shared" si="138"/>
        <v/>
      </c>
      <c r="V325" s="132" t="str">
        <f>IF(ISNUMBER(SEARCH("AHO",Import2[[#This Row],[Tenure]])),"AHO",Import2[[#This Row],[Tenure]])&amp;Import2[[#This Row],[Expected sale completion year]]&amp;Import2[[#This Row],[Expected sale completion month]]</f>
        <v>Open market housing</v>
      </c>
      <c r="W325" s="178">
        <f t="shared" si="123"/>
        <v>0</v>
      </c>
    </row>
    <row r="326" spans="1:23" ht="15" customHeight="1">
      <c r="A326" s="132">
        <f t="shared" si="127"/>
        <v>0</v>
      </c>
      <c r="B326" s="133">
        <v>323</v>
      </c>
      <c r="C326" s="132" t="str">
        <f t="shared" si="128"/>
        <v/>
      </c>
      <c r="D326" s="132">
        <f t="shared" si="129"/>
        <v>0</v>
      </c>
      <c r="E326" s="132">
        <f t="shared" si="129"/>
        <v>0</v>
      </c>
      <c r="F326" s="132">
        <f t="shared" si="130"/>
        <v>0</v>
      </c>
      <c r="G326" s="132" t="str">
        <f t="shared" si="129"/>
        <v>Open market housing</v>
      </c>
      <c r="H326" s="132">
        <f t="shared" si="131"/>
        <v>896440000</v>
      </c>
      <c r="I326" s="132" t="str">
        <f t="shared" si="120"/>
        <v>New build</v>
      </c>
      <c r="J326" s="132">
        <f t="shared" si="132"/>
        <v>391930000</v>
      </c>
      <c r="K326" s="132">
        <f t="shared" si="121"/>
        <v>0</v>
      </c>
      <c r="L326" s="132">
        <f t="shared" si="133"/>
        <v>0</v>
      </c>
      <c r="M326" s="132">
        <f t="shared" si="134"/>
        <v>0</v>
      </c>
      <c r="N326" s="134">
        <f t="shared" si="135"/>
        <v>0</v>
      </c>
      <c r="O326" s="135">
        <f t="shared" si="136"/>
        <v>0</v>
      </c>
      <c r="P326" s="132" t="str">
        <f t="shared" si="122"/>
        <v/>
      </c>
      <c r="Q326" s="132" t="str">
        <f t="shared" ref="Q326:Q389" si="139">IF(INDEX(PlotData,MATCH($B326,PlotNumber,0),MATCH(Q$3,PlotTitles,0))=0,"",INDEX(PlotData,MATCH($B326,PlotNumber,0),MATCH(Q$3,PlotTitles,0)))</f>
        <v/>
      </c>
      <c r="R326" s="132" t="str">
        <f>IF(ISNUMBER(SEARCH("AHO",Import2[[#This Row],[Tenure]])),"AHO",Import2[[#This Row],[Tenure]])&amp;Import2[[#This Row],[Expected Physical Completion Year]]&amp;Import2[[#This Row],[Expected Physical Completion Month]]</f>
        <v>Open market housing</v>
      </c>
      <c r="S326" s="135">
        <f t="shared" si="137"/>
        <v>0</v>
      </c>
      <c r="T326" s="132" t="str">
        <f t="shared" si="138"/>
        <v/>
      </c>
      <c r="U326" s="132" t="str">
        <f t="shared" si="138"/>
        <v/>
      </c>
      <c r="V326" s="132" t="str">
        <f>IF(ISNUMBER(SEARCH("AHO",Import2[[#This Row],[Tenure]])),"AHO",Import2[[#This Row],[Tenure]])&amp;Import2[[#This Row],[Expected sale completion year]]&amp;Import2[[#This Row],[Expected sale completion month]]</f>
        <v>Open market housing</v>
      </c>
      <c r="W326" s="178">
        <f t="shared" si="123"/>
        <v>0</v>
      </c>
    </row>
    <row r="327" spans="1:23" ht="15" customHeight="1">
      <c r="A327" s="132">
        <f t="shared" si="127"/>
        <v>0</v>
      </c>
      <c r="B327" s="133">
        <v>324</v>
      </c>
      <c r="C327" s="132" t="str">
        <f t="shared" si="128"/>
        <v/>
      </c>
      <c r="D327" s="132">
        <f t="shared" si="129"/>
        <v>0</v>
      </c>
      <c r="E327" s="132">
        <f t="shared" si="129"/>
        <v>0</v>
      </c>
      <c r="F327" s="132">
        <f t="shared" si="130"/>
        <v>0</v>
      </c>
      <c r="G327" s="132" t="str">
        <f t="shared" si="129"/>
        <v>Open market housing</v>
      </c>
      <c r="H327" s="132">
        <f t="shared" si="131"/>
        <v>896440000</v>
      </c>
      <c r="I327" s="132" t="str">
        <f t="shared" si="120"/>
        <v>New build</v>
      </c>
      <c r="J327" s="132">
        <f t="shared" si="132"/>
        <v>391930000</v>
      </c>
      <c r="K327" s="132">
        <f t="shared" si="121"/>
        <v>0</v>
      </c>
      <c r="L327" s="132">
        <f t="shared" si="133"/>
        <v>0</v>
      </c>
      <c r="M327" s="132">
        <f t="shared" si="134"/>
        <v>0</v>
      </c>
      <c r="N327" s="134">
        <f t="shared" si="135"/>
        <v>0</v>
      </c>
      <c r="O327" s="135">
        <f t="shared" si="136"/>
        <v>0</v>
      </c>
      <c r="P327" s="132" t="str">
        <f t="shared" si="122"/>
        <v/>
      </c>
      <c r="Q327" s="132" t="str">
        <f t="shared" si="139"/>
        <v/>
      </c>
      <c r="R327" s="132" t="str">
        <f>IF(ISNUMBER(SEARCH("AHO",Import2[[#This Row],[Tenure]])),"AHO",Import2[[#This Row],[Tenure]])&amp;Import2[[#This Row],[Expected Physical Completion Year]]&amp;Import2[[#This Row],[Expected Physical Completion Month]]</f>
        <v>Open market housing</v>
      </c>
      <c r="S327" s="135">
        <f t="shared" si="137"/>
        <v>0</v>
      </c>
      <c r="T327" s="132" t="str">
        <f t="shared" si="138"/>
        <v/>
      </c>
      <c r="U327" s="132" t="str">
        <f t="shared" si="138"/>
        <v/>
      </c>
      <c r="V327" s="132" t="str">
        <f>IF(ISNUMBER(SEARCH("AHO",Import2[[#This Row],[Tenure]])),"AHO",Import2[[#This Row],[Tenure]])&amp;Import2[[#This Row],[Expected sale completion year]]&amp;Import2[[#This Row],[Expected sale completion month]]</f>
        <v>Open market housing</v>
      </c>
      <c r="W327" s="178">
        <f t="shared" si="123"/>
        <v>0</v>
      </c>
    </row>
    <row r="328" spans="1:23" ht="15" customHeight="1">
      <c r="A328" s="132">
        <f t="shared" si="127"/>
        <v>0</v>
      </c>
      <c r="B328" s="133">
        <v>325</v>
      </c>
      <c r="C328" s="132" t="str">
        <f t="shared" si="128"/>
        <v/>
      </c>
      <c r="D328" s="132">
        <f t="shared" si="129"/>
        <v>0</v>
      </c>
      <c r="E328" s="132">
        <f t="shared" si="129"/>
        <v>0</v>
      </c>
      <c r="F328" s="132">
        <f t="shared" si="130"/>
        <v>0</v>
      </c>
      <c r="G328" s="132" t="str">
        <f t="shared" si="129"/>
        <v>Open market housing</v>
      </c>
      <c r="H328" s="132">
        <f t="shared" si="131"/>
        <v>896440000</v>
      </c>
      <c r="I328" s="132" t="str">
        <f t="shared" si="120"/>
        <v>New build</v>
      </c>
      <c r="J328" s="132">
        <f t="shared" si="132"/>
        <v>391930000</v>
      </c>
      <c r="K328" s="132">
        <f t="shared" si="121"/>
        <v>0</v>
      </c>
      <c r="L328" s="132">
        <f t="shared" si="133"/>
        <v>0</v>
      </c>
      <c r="M328" s="132">
        <f t="shared" si="134"/>
        <v>0</v>
      </c>
      <c r="N328" s="134">
        <f t="shared" si="135"/>
        <v>0</v>
      </c>
      <c r="O328" s="135">
        <f t="shared" si="136"/>
        <v>0</v>
      </c>
      <c r="P328" s="132" t="str">
        <f t="shared" si="122"/>
        <v/>
      </c>
      <c r="Q328" s="132" t="str">
        <f t="shared" si="139"/>
        <v/>
      </c>
      <c r="R328" s="132" t="str">
        <f>IF(ISNUMBER(SEARCH("AHO",Import2[[#This Row],[Tenure]])),"AHO",Import2[[#This Row],[Tenure]])&amp;Import2[[#This Row],[Expected Physical Completion Year]]&amp;Import2[[#This Row],[Expected Physical Completion Month]]</f>
        <v>Open market housing</v>
      </c>
      <c r="S328" s="135">
        <f t="shared" si="137"/>
        <v>0</v>
      </c>
      <c r="T328" s="132" t="str">
        <f t="shared" si="138"/>
        <v/>
      </c>
      <c r="U328" s="132" t="str">
        <f t="shared" si="138"/>
        <v/>
      </c>
      <c r="V328" s="132" t="str">
        <f>IF(ISNUMBER(SEARCH("AHO",Import2[[#This Row],[Tenure]])),"AHO",Import2[[#This Row],[Tenure]])&amp;Import2[[#This Row],[Expected sale completion year]]&amp;Import2[[#This Row],[Expected sale completion month]]</f>
        <v>Open market housing</v>
      </c>
      <c r="W328" s="178">
        <f t="shared" si="123"/>
        <v>0</v>
      </c>
    </row>
    <row r="329" spans="1:23" ht="15" customHeight="1">
      <c r="A329" s="132">
        <f t="shared" si="127"/>
        <v>0</v>
      </c>
      <c r="B329" s="133">
        <v>326</v>
      </c>
      <c r="C329" s="132" t="str">
        <f t="shared" si="128"/>
        <v/>
      </c>
      <c r="D329" s="132">
        <f t="shared" si="129"/>
        <v>0</v>
      </c>
      <c r="E329" s="132">
        <f t="shared" si="129"/>
        <v>0</v>
      </c>
      <c r="F329" s="132">
        <f t="shared" si="130"/>
        <v>0</v>
      </c>
      <c r="G329" s="132" t="str">
        <f t="shared" si="129"/>
        <v>Open market housing</v>
      </c>
      <c r="H329" s="132">
        <f t="shared" si="131"/>
        <v>896440000</v>
      </c>
      <c r="I329" s="132" t="str">
        <f t="shared" si="120"/>
        <v>New build</v>
      </c>
      <c r="J329" s="132">
        <f t="shared" si="132"/>
        <v>391930000</v>
      </c>
      <c r="K329" s="132">
        <f t="shared" si="121"/>
        <v>0</v>
      </c>
      <c r="L329" s="132">
        <f t="shared" si="133"/>
        <v>0</v>
      </c>
      <c r="M329" s="132">
        <f t="shared" si="134"/>
        <v>0</v>
      </c>
      <c r="N329" s="134">
        <f t="shared" si="135"/>
        <v>0</v>
      </c>
      <c r="O329" s="135">
        <f t="shared" si="136"/>
        <v>0</v>
      </c>
      <c r="P329" s="132" t="str">
        <f t="shared" si="122"/>
        <v/>
      </c>
      <c r="Q329" s="132" t="str">
        <f t="shared" si="139"/>
        <v/>
      </c>
      <c r="R329" s="132" t="str">
        <f>IF(ISNUMBER(SEARCH("AHO",Import2[[#This Row],[Tenure]])),"AHO",Import2[[#This Row],[Tenure]])&amp;Import2[[#This Row],[Expected Physical Completion Year]]&amp;Import2[[#This Row],[Expected Physical Completion Month]]</f>
        <v>Open market housing</v>
      </c>
      <c r="S329" s="135">
        <f t="shared" si="137"/>
        <v>0</v>
      </c>
      <c r="T329" s="132" t="str">
        <f t="shared" si="138"/>
        <v/>
      </c>
      <c r="U329" s="132" t="str">
        <f t="shared" si="138"/>
        <v/>
      </c>
      <c r="V329" s="132" t="str">
        <f>IF(ISNUMBER(SEARCH("AHO",Import2[[#This Row],[Tenure]])),"AHO",Import2[[#This Row],[Tenure]])&amp;Import2[[#This Row],[Expected sale completion year]]&amp;Import2[[#This Row],[Expected sale completion month]]</f>
        <v>Open market housing</v>
      </c>
      <c r="W329" s="178">
        <f t="shared" si="123"/>
        <v>0</v>
      </c>
    </row>
    <row r="330" spans="1:23" ht="15" customHeight="1">
      <c r="A330" s="132">
        <f t="shared" si="127"/>
        <v>0</v>
      </c>
      <c r="B330" s="133">
        <v>327</v>
      </c>
      <c r="C330" s="132" t="str">
        <f t="shared" si="128"/>
        <v/>
      </c>
      <c r="D330" s="132">
        <f t="shared" si="129"/>
        <v>0</v>
      </c>
      <c r="E330" s="132">
        <f t="shared" si="129"/>
        <v>0</v>
      </c>
      <c r="F330" s="132">
        <f t="shared" si="130"/>
        <v>0</v>
      </c>
      <c r="G330" s="132" t="str">
        <f t="shared" si="129"/>
        <v>Open market housing</v>
      </c>
      <c r="H330" s="132">
        <f t="shared" si="131"/>
        <v>896440000</v>
      </c>
      <c r="I330" s="132" t="str">
        <f t="shared" si="120"/>
        <v>New build</v>
      </c>
      <c r="J330" s="132">
        <f t="shared" si="132"/>
        <v>391930000</v>
      </c>
      <c r="K330" s="132">
        <f t="shared" si="121"/>
        <v>0</v>
      </c>
      <c r="L330" s="132">
        <f t="shared" si="133"/>
        <v>0</v>
      </c>
      <c r="M330" s="132">
        <f t="shared" si="134"/>
        <v>0</v>
      </c>
      <c r="N330" s="134">
        <f t="shared" si="135"/>
        <v>0</v>
      </c>
      <c r="O330" s="135">
        <f t="shared" si="136"/>
        <v>0</v>
      </c>
      <c r="P330" s="132" t="str">
        <f t="shared" si="122"/>
        <v/>
      </c>
      <c r="Q330" s="132" t="str">
        <f t="shared" si="139"/>
        <v/>
      </c>
      <c r="R330" s="132" t="str">
        <f>IF(ISNUMBER(SEARCH("AHO",Import2[[#This Row],[Tenure]])),"AHO",Import2[[#This Row],[Tenure]])&amp;Import2[[#This Row],[Expected Physical Completion Year]]&amp;Import2[[#This Row],[Expected Physical Completion Month]]</f>
        <v>Open market housing</v>
      </c>
      <c r="S330" s="135">
        <f t="shared" si="137"/>
        <v>0</v>
      </c>
      <c r="T330" s="132" t="str">
        <f t="shared" si="138"/>
        <v/>
      </c>
      <c r="U330" s="132" t="str">
        <f t="shared" si="138"/>
        <v/>
      </c>
      <c r="V330" s="132" t="str">
        <f>IF(ISNUMBER(SEARCH("AHO",Import2[[#This Row],[Tenure]])),"AHO",Import2[[#This Row],[Tenure]])&amp;Import2[[#This Row],[Expected sale completion year]]&amp;Import2[[#This Row],[Expected sale completion month]]</f>
        <v>Open market housing</v>
      </c>
      <c r="W330" s="178">
        <f t="shared" si="123"/>
        <v>0</v>
      </c>
    </row>
    <row r="331" spans="1:23" ht="15" customHeight="1">
      <c r="A331" s="132">
        <f t="shared" si="127"/>
        <v>0</v>
      </c>
      <c r="B331" s="133">
        <v>328</v>
      </c>
      <c r="C331" s="132" t="str">
        <f t="shared" si="128"/>
        <v/>
      </c>
      <c r="D331" s="132">
        <f t="shared" si="129"/>
        <v>0</v>
      </c>
      <c r="E331" s="132">
        <f t="shared" si="129"/>
        <v>0</v>
      </c>
      <c r="F331" s="132">
        <f t="shared" si="130"/>
        <v>0</v>
      </c>
      <c r="G331" s="132" t="str">
        <f t="shared" si="129"/>
        <v>Open market housing</v>
      </c>
      <c r="H331" s="132">
        <f t="shared" si="131"/>
        <v>896440000</v>
      </c>
      <c r="I331" s="132" t="str">
        <f t="shared" si="120"/>
        <v>New build</v>
      </c>
      <c r="J331" s="132">
        <f t="shared" si="132"/>
        <v>391930000</v>
      </c>
      <c r="K331" s="132">
        <f t="shared" si="121"/>
        <v>0</v>
      </c>
      <c r="L331" s="132">
        <f t="shared" si="133"/>
        <v>0</v>
      </c>
      <c r="M331" s="132">
        <f t="shared" si="134"/>
        <v>0</v>
      </c>
      <c r="N331" s="134">
        <f t="shared" si="135"/>
        <v>0</v>
      </c>
      <c r="O331" s="135">
        <f t="shared" si="136"/>
        <v>0</v>
      </c>
      <c r="P331" s="132" t="str">
        <f t="shared" si="122"/>
        <v/>
      </c>
      <c r="Q331" s="132" t="str">
        <f t="shared" si="139"/>
        <v/>
      </c>
      <c r="R331" s="132" t="str">
        <f>IF(ISNUMBER(SEARCH("AHO",Import2[[#This Row],[Tenure]])),"AHO",Import2[[#This Row],[Tenure]])&amp;Import2[[#This Row],[Expected Physical Completion Year]]&amp;Import2[[#This Row],[Expected Physical Completion Month]]</f>
        <v>Open market housing</v>
      </c>
      <c r="S331" s="135">
        <f t="shared" si="137"/>
        <v>0</v>
      </c>
      <c r="T331" s="132" t="str">
        <f t="shared" si="138"/>
        <v/>
      </c>
      <c r="U331" s="132" t="str">
        <f t="shared" si="138"/>
        <v/>
      </c>
      <c r="V331" s="132" t="str">
        <f>IF(ISNUMBER(SEARCH("AHO",Import2[[#This Row],[Tenure]])),"AHO",Import2[[#This Row],[Tenure]])&amp;Import2[[#This Row],[Expected sale completion year]]&amp;Import2[[#This Row],[Expected sale completion month]]</f>
        <v>Open market housing</v>
      </c>
      <c r="W331" s="178">
        <f t="shared" si="123"/>
        <v>0</v>
      </c>
    </row>
    <row r="332" spans="1:23" ht="15" customHeight="1">
      <c r="A332" s="132">
        <f t="shared" si="127"/>
        <v>0</v>
      </c>
      <c r="B332" s="133">
        <v>329</v>
      </c>
      <c r="C332" s="132" t="str">
        <f t="shared" si="128"/>
        <v/>
      </c>
      <c r="D332" s="132">
        <f t="shared" si="129"/>
        <v>0</v>
      </c>
      <c r="E332" s="132">
        <f t="shared" si="129"/>
        <v>0</v>
      </c>
      <c r="F332" s="132">
        <f t="shared" si="130"/>
        <v>0</v>
      </c>
      <c r="G332" s="132" t="str">
        <f t="shared" si="129"/>
        <v>Open market housing</v>
      </c>
      <c r="H332" s="132">
        <f t="shared" si="131"/>
        <v>896440000</v>
      </c>
      <c r="I332" s="132" t="str">
        <f t="shared" si="120"/>
        <v>New build</v>
      </c>
      <c r="J332" s="132">
        <f t="shared" si="132"/>
        <v>391930000</v>
      </c>
      <c r="K332" s="132">
        <f t="shared" si="121"/>
        <v>0</v>
      </c>
      <c r="L332" s="132">
        <f t="shared" si="133"/>
        <v>0</v>
      </c>
      <c r="M332" s="132">
        <f t="shared" si="134"/>
        <v>0</v>
      </c>
      <c r="N332" s="134">
        <f t="shared" si="135"/>
        <v>0</v>
      </c>
      <c r="O332" s="135">
        <f t="shared" si="136"/>
        <v>0</v>
      </c>
      <c r="P332" s="132" t="str">
        <f t="shared" si="122"/>
        <v/>
      </c>
      <c r="Q332" s="132" t="str">
        <f t="shared" si="139"/>
        <v/>
      </c>
      <c r="R332" s="132" t="str">
        <f>IF(ISNUMBER(SEARCH("AHO",Import2[[#This Row],[Tenure]])),"AHO",Import2[[#This Row],[Tenure]])&amp;Import2[[#This Row],[Expected Physical Completion Year]]&amp;Import2[[#This Row],[Expected Physical Completion Month]]</f>
        <v>Open market housing</v>
      </c>
      <c r="S332" s="135">
        <f t="shared" si="137"/>
        <v>0</v>
      </c>
      <c r="T332" s="132" t="str">
        <f t="shared" si="138"/>
        <v/>
      </c>
      <c r="U332" s="132" t="str">
        <f t="shared" si="138"/>
        <v/>
      </c>
      <c r="V332" s="132" t="str">
        <f>IF(ISNUMBER(SEARCH("AHO",Import2[[#This Row],[Tenure]])),"AHO",Import2[[#This Row],[Tenure]])&amp;Import2[[#This Row],[Expected sale completion year]]&amp;Import2[[#This Row],[Expected sale completion month]]</f>
        <v>Open market housing</v>
      </c>
      <c r="W332" s="178">
        <f t="shared" si="123"/>
        <v>0</v>
      </c>
    </row>
    <row r="333" spans="1:23" ht="15" customHeight="1">
      <c r="A333" s="132">
        <f t="shared" si="127"/>
        <v>0</v>
      </c>
      <c r="B333" s="133">
        <v>330</v>
      </c>
      <c r="C333" s="132" t="str">
        <f t="shared" si="128"/>
        <v/>
      </c>
      <c r="D333" s="132">
        <f t="shared" si="129"/>
        <v>0</v>
      </c>
      <c r="E333" s="132">
        <f t="shared" si="129"/>
        <v>0</v>
      </c>
      <c r="F333" s="132">
        <f t="shared" si="130"/>
        <v>0</v>
      </c>
      <c r="G333" s="132" t="str">
        <f t="shared" si="129"/>
        <v>Open market housing</v>
      </c>
      <c r="H333" s="132">
        <f t="shared" si="131"/>
        <v>896440000</v>
      </c>
      <c r="I333" s="132" t="str">
        <f t="shared" si="120"/>
        <v>New build</v>
      </c>
      <c r="J333" s="132">
        <f t="shared" si="132"/>
        <v>391930000</v>
      </c>
      <c r="K333" s="132">
        <f t="shared" si="121"/>
        <v>0</v>
      </c>
      <c r="L333" s="132">
        <f t="shared" si="133"/>
        <v>0</v>
      </c>
      <c r="M333" s="132">
        <f t="shared" si="134"/>
        <v>0</v>
      </c>
      <c r="N333" s="134">
        <f t="shared" si="135"/>
        <v>0</v>
      </c>
      <c r="O333" s="135">
        <f t="shared" si="136"/>
        <v>0</v>
      </c>
      <c r="P333" s="132" t="str">
        <f t="shared" si="122"/>
        <v/>
      </c>
      <c r="Q333" s="132" t="str">
        <f t="shared" si="139"/>
        <v/>
      </c>
      <c r="R333" s="132" t="str">
        <f>IF(ISNUMBER(SEARCH("AHO",Import2[[#This Row],[Tenure]])),"AHO",Import2[[#This Row],[Tenure]])&amp;Import2[[#This Row],[Expected Physical Completion Year]]&amp;Import2[[#This Row],[Expected Physical Completion Month]]</f>
        <v>Open market housing</v>
      </c>
      <c r="S333" s="135">
        <f t="shared" si="137"/>
        <v>0</v>
      </c>
      <c r="T333" s="132" t="str">
        <f t="shared" si="138"/>
        <v/>
      </c>
      <c r="U333" s="132" t="str">
        <f t="shared" si="138"/>
        <v/>
      </c>
      <c r="V333" s="132" t="str">
        <f>IF(ISNUMBER(SEARCH("AHO",Import2[[#This Row],[Tenure]])),"AHO",Import2[[#This Row],[Tenure]])&amp;Import2[[#This Row],[Expected sale completion year]]&amp;Import2[[#This Row],[Expected sale completion month]]</f>
        <v>Open market housing</v>
      </c>
      <c r="W333" s="178">
        <f t="shared" si="123"/>
        <v>0</v>
      </c>
    </row>
    <row r="334" spans="1:23" ht="15" customHeight="1">
      <c r="A334" s="132">
        <f t="shared" si="127"/>
        <v>0</v>
      </c>
      <c r="B334" s="133">
        <v>331</v>
      </c>
      <c r="C334" s="132" t="str">
        <f t="shared" si="128"/>
        <v/>
      </c>
      <c r="D334" s="132">
        <f t="shared" si="129"/>
        <v>0</v>
      </c>
      <c r="E334" s="132">
        <f t="shared" si="129"/>
        <v>0</v>
      </c>
      <c r="F334" s="132">
        <f t="shared" si="130"/>
        <v>0</v>
      </c>
      <c r="G334" s="132" t="str">
        <f t="shared" si="129"/>
        <v>Open market housing</v>
      </c>
      <c r="H334" s="132">
        <f t="shared" si="131"/>
        <v>896440000</v>
      </c>
      <c r="I334" s="132" t="str">
        <f t="shared" si="120"/>
        <v>New build</v>
      </c>
      <c r="J334" s="132">
        <f t="shared" si="132"/>
        <v>391930000</v>
      </c>
      <c r="K334" s="132">
        <f t="shared" si="121"/>
        <v>0</v>
      </c>
      <c r="L334" s="132">
        <f t="shared" si="133"/>
        <v>0</v>
      </c>
      <c r="M334" s="132">
        <f t="shared" si="134"/>
        <v>0</v>
      </c>
      <c r="N334" s="134">
        <f t="shared" si="135"/>
        <v>0</v>
      </c>
      <c r="O334" s="135">
        <f t="shared" si="136"/>
        <v>0</v>
      </c>
      <c r="P334" s="132" t="str">
        <f t="shared" si="122"/>
        <v/>
      </c>
      <c r="Q334" s="132" t="str">
        <f t="shared" si="139"/>
        <v/>
      </c>
      <c r="R334" s="132" t="str">
        <f>IF(ISNUMBER(SEARCH("AHO",Import2[[#This Row],[Tenure]])),"AHO",Import2[[#This Row],[Tenure]])&amp;Import2[[#This Row],[Expected Physical Completion Year]]&amp;Import2[[#This Row],[Expected Physical Completion Month]]</f>
        <v>Open market housing</v>
      </c>
      <c r="S334" s="135">
        <f t="shared" si="137"/>
        <v>0</v>
      </c>
      <c r="T334" s="132" t="str">
        <f t="shared" si="138"/>
        <v/>
      </c>
      <c r="U334" s="132" t="str">
        <f t="shared" si="138"/>
        <v/>
      </c>
      <c r="V334" s="132" t="str">
        <f>IF(ISNUMBER(SEARCH("AHO",Import2[[#This Row],[Tenure]])),"AHO",Import2[[#This Row],[Tenure]])&amp;Import2[[#This Row],[Expected sale completion year]]&amp;Import2[[#This Row],[Expected sale completion month]]</f>
        <v>Open market housing</v>
      </c>
      <c r="W334" s="178">
        <f t="shared" si="123"/>
        <v>0</v>
      </c>
    </row>
    <row r="335" spans="1:23" ht="15" customHeight="1">
      <c r="A335" s="132">
        <f t="shared" si="127"/>
        <v>0</v>
      </c>
      <c r="B335" s="133">
        <v>332</v>
      </c>
      <c r="C335" s="132" t="str">
        <f t="shared" si="128"/>
        <v/>
      </c>
      <c r="D335" s="132">
        <f t="shared" si="129"/>
        <v>0</v>
      </c>
      <c r="E335" s="132">
        <f t="shared" si="129"/>
        <v>0</v>
      </c>
      <c r="F335" s="132">
        <f t="shared" si="130"/>
        <v>0</v>
      </c>
      <c r="G335" s="132" t="str">
        <f t="shared" si="129"/>
        <v>Open market housing</v>
      </c>
      <c r="H335" s="132">
        <f t="shared" si="131"/>
        <v>896440000</v>
      </c>
      <c r="I335" s="132" t="str">
        <f t="shared" si="120"/>
        <v>New build</v>
      </c>
      <c r="J335" s="132">
        <f t="shared" si="132"/>
        <v>391930000</v>
      </c>
      <c r="K335" s="132">
        <f t="shared" si="121"/>
        <v>0</v>
      </c>
      <c r="L335" s="132">
        <f t="shared" si="133"/>
        <v>0</v>
      </c>
      <c r="M335" s="132">
        <f t="shared" si="134"/>
        <v>0</v>
      </c>
      <c r="N335" s="134">
        <f t="shared" si="135"/>
        <v>0</v>
      </c>
      <c r="O335" s="135">
        <f t="shared" si="136"/>
        <v>0</v>
      </c>
      <c r="P335" s="132" t="str">
        <f t="shared" si="122"/>
        <v/>
      </c>
      <c r="Q335" s="132" t="str">
        <f t="shared" si="139"/>
        <v/>
      </c>
      <c r="R335" s="132" t="str">
        <f>IF(ISNUMBER(SEARCH("AHO",Import2[[#This Row],[Tenure]])),"AHO",Import2[[#This Row],[Tenure]])&amp;Import2[[#This Row],[Expected Physical Completion Year]]&amp;Import2[[#This Row],[Expected Physical Completion Month]]</f>
        <v>Open market housing</v>
      </c>
      <c r="S335" s="135">
        <f t="shared" si="137"/>
        <v>0</v>
      </c>
      <c r="T335" s="132" t="str">
        <f t="shared" si="138"/>
        <v/>
      </c>
      <c r="U335" s="132" t="str">
        <f t="shared" si="138"/>
        <v/>
      </c>
      <c r="V335" s="132" t="str">
        <f>IF(ISNUMBER(SEARCH("AHO",Import2[[#This Row],[Tenure]])),"AHO",Import2[[#This Row],[Tenure]])&amp;Import2[[#This Row],[Expected sale completion year]]&amp;Import2[[#This Row],[Expected sale completion month]]</f>
        <v>Open market housing</v>
      </c>
      <c r="W335" s="178">
        <f t="shared" si="123"/>
        <v>0</v>
      </c>
    </row>
    <row r="336" spans="1:23" ht="15" customHeight="1">
      <c r="A336" s="132">
        <f t="shared" si="127"/>
        <v>0</v>
      </c>
      <c r="B336" s="133">
        <v>333</v>
      </c>
      <c r="C336" s="132" t="str">
        <f t="shared" si="128"/>
        <v/>
      </c>
      <c r="D336" s="132">
        <f t="shared" si="129"/>
        <v>0</v>
      </c>
      <c r="E336" s="132">
        <f t="shared" si="129"/>
        <v>0</v>
      </c>
      <c r="F336" s="132">
        <f t="shared" si="130"/>
        <v>0</v>
      </c>
      <c r="G336" s="132" t="str">
        <f t="shared" si="129"/>
        <v>Open market housing</v>
      </c>
      <c r="H336" s="132">
        <f t="shared" si="131"/>
        <v>896440000</v>
      </c>
      <c r="I336" s="132" t="str">
        <f t="shared" si="120"/>
        <v>New build</v>
      </c>
      <c r="J336" s="132">
        <f t="shared" si="132"/>
        <v>391930000</v>
      </c>
      <c r="K336" s="132">
        <f t="shared" si="121"/>
        <v>0</v>
      </c>
      <c r="L336" s="132">
        <f t="shared" si="133"/>
        <v>0</v>
      </c>
      <c r="M336" s="132">
        <f t="shared" si="134"/>
        <v>0</v>
      </c>
      <c r="N336" s="134">
        <f t="shared" si="135"/>
        <v>0</v>
      </c>
      <c r="O336" s="135">
        <f t="shared" si="136"/>
        <v>0</v>
      </c>
      <c r="P336" s="132" t="str">
        <f t="shared" si="122"/>
        <v/>
      </c>
      <c r="Q336" s="132" t="str">
        <f t="shared" si="139"/>
        <v/>
      </c>
      <c r="R336" s="132" t="str">
        <f>IF(ISNUMBER(SEARCH("AHO",Import2[[#This Row],[Tenure]])),"AHO",Import2[[#This Row],[Tenure]])&amp;Import2[[#This Row],[Expected Physical Completion Year]]&amp;Import2[[#This Row],[Expected Physical Completion Month]]</f>
        <v>Open market housing</v>
      </c>
      <c r="S336" s="135">
        <f t="shared" si="137"/>
        <v>0</v>
      </c>
      <c r="T336" s="132" t="str">
        <f t="shared" si="138"/>
        <v/>
      </c>
      <c r="U336" s="132" t="str">
        <f t="shared" si="138"/>
        <v/>
      </c>
      <c r="V336" s="132" t="str">
        <f>IF(ISNUMBER(SEARCH("AHO",Import2[[#This Row],[Tenure]])),"AHO",Import2[[#This Row],[Tenure]])&amp;Import2[[#This Row],[Expected sale completion year]]&amp;Import2[[#This Row],[Expected sale completion month]]</f>
        <v>Open market housing</v>
      </c>
      <c r="W336" s="178">
        <f t="shared" si="123"/>
        <v>0</v>
      </c>
    </row>
    <row r="337" spans="1:23" ht="15" customHeight="1">
      <c r="A337" s="132">
        <f t="shared" si="127"/>
        <v>0</v>
      </c>
      <c r="B337" s="133">
        <v>334</v>
      </c>
      <c r="C337" s="132" t="str">
        <f t="shared" si="128"/>
        <v/>
      </c>
      <c r="D337" s="132">
        <f t="shared" si="129"/>
        <v>0</v>
      </c>
      <c r="E337" s="132">
        <f t="shared" si="129"/>
        <v>0</v>
      </c>
      <c r="F337" s="132">
        <f t="shared" si="130"/>
        <v>0</v>
      </c>
      <c r="G337" s="132" t="str">
        <f t="shared" si="129"/>
        <v>Open market housing</v>
      </c>
      <c r="H337" s="132">
        <f t="shared" si="131"/>
        <v>896440000</v>
      </c>
      <c r="I337" s="132" t="str">
        <f t="shared" si="120"/>
        <v>New build</v>
      </c>
      <c r="J337" s="132">
        <f t="shared" si="132"/>
        <v>391930000</v>
      </c>
      <c r="K337" s="132">
        <f t="shared" si="121"/>
        <v>0</v>
      </c>
      <c r="L337" s="132">
        <f t="shared" si="133"/>
        <v>0</v>
      </c>
      <c r="M337" s="132">
        <f t="shared" si="134"/>
        <v>0</v>
      </c>
      <c r="N337" s="134">
        <f t="shared" si="135"/>
        <v>0</v>
      </c>
      <c r="O337" s="135">
        <f t="shared" si="136"/>
        <v>0</v>
      </c>
      <c r="P337" s="132" t="str">
        <f t="shared" si="122"/>
        <v/>
      </c>
      <c r="Q337" s="132" t="str">
        <f t="shared" si="139"/>
        <v/>
      </c>
      <c r="R337" s="132" t="str">
        <f>IF(ISNUMBER(SEARCH("AHO",Import2[[#This Row],[Tenure]])),"AHO",Import2[[#This Row],[Tenure]])&amp;Import2[[#This Row],[Expected Physical Completion Year]]&amp;Import2[[#This Row],[Expected Physical Completion Month]]</f>
        <v>Open market housing</v>
      </c>
      <c r="S337" s="135">
        <f t="shared" si="137"/>
        <v>0</v>
      </c>
      <c r="T337" s="132" t="str">
        <f t="shared" si="138"/>
        <v/>
      </c>
      <c r="U337" s="132" t="str">
        <f t="shared" si="138"/>
        <v/>
      </c>
      <c r="V337" s="132" t="str">
        <f>IF(ISNUMBER(SEARCH("AHO",Import2[[#This Row],[Tenure]])),"AHO",Import2[[#This Row],[Tenure]])&amp;Import2[[#This Row],[Expected sale completion year]]&amp;Import2[[#This Row],[Expected sale completion month]]</f>
        <v>Open market housing</v>
      </c>
      <c r="W337" s="178">
        <f t="shared" si="123"/>
        <v>0</v>
      </c>
    </row>
    <row r="338" spans="1:23" ht="15" customHeight="1">
      <c r="A338" s="132">
        <f t="shared" si="127"/>
        <v>0</v>
      </c>
      <c r="B338" s="133">
        <v>335</v>
      </c>
      <c r="C338" s="132" t="str">
        <f t="shared" si="128"/>
        <v/>
      </c>
      <c r="D338" s="132">
        <f t="shared" si="129"/>
        <v>0</v>
      </c>
      <c r="E338" s="132">
        <f t="shared" si="129"/>
        <v>0</v>
      </c>
      <c r="F338" s="132">
        <f t="shared" si="130"/>
        <v>0</v>
      </c>
      <c r="G338" s="132" t="str">
        <f t="shared" si="129"/>
        <v>Open market housing</v>
      </c>
      <c r="H338" s="132">
        <f t="shared" si="131"/>
        <v>896440000</v>
      </c>
      <c r="I338" s="132" t="str">
        <f t="shared" si="120"/>
        <v>New build</v>
      </c>
      <c r="J338" s="132">
        <f t="shared" si="132"/>
        <v>391930000</v>
      </c>
      <c r="K338" s="132">
        <f t="shared" si="121"/>
        <v>0</v>
      </c>
      <c r="L338" s="132">
        <f t="shared" si="133"/>
        <v>0</v>
      </c>
      <c r="M338" s="132">
        <f t="shared" si="134"/>
        <v>0</v>
      </c>
      <c r="N338" s="134">
        <f t="shared" si="135"/>
        <v>0</v>
      </c>
      <c r="O338" s="135">
        <f t="shared" si="136"/>
        <v>0</v>
      </c>
      <c r="P338" s="132" t="str">
        <f t="shared" si="122"/>
        <v/>
      </c>
      <c r="Q338" s="132" t="str">
        <f t="shared" si="139"/>
        <v/>
      </c>
      <c r="R338" s="132" t="str">
        <f>IF(ISNUMBER(SEARCH("AHO",Import2[[#This Row],[Tenure]])),"AHO",Import2[[#This Row],[Tenure]])&amp;Import2[[#This Row],[Expected Physical Completion Year]]&amp;Import2[[#This Row],[Expected Physical Completion Month]]</f>
        <v>Open market housing</v>
      </c>
      <c r="S338" s="135">
        <f t="shared" si="137"/>
        <v>0</v>
      </c>
      <c r="T338" s="132" t="str">
        <f t="shared" si="138"/>
        <v/>
      </c>
      <c r="U338" s="132" t="str">
        <f t="shared" si="138"/>
        <v/>
      </c>
      <c r="V338" s="132" t="str">
        <f>IF(ISNUMBER(SEARCH("AHO",Import2[[#This Row],[Tenure]])),"AHO",Import2[[#This Row],[Tenure]])&amp;Import2[[#This Row],[Expected sale completion year]]&amp;Import2[[#This Row],[Expected sale completion month]]</f>
        <v>Open market housing</v>
      </c>
      <c r="W338" s="178">
        <f t="shared" si="123"/>
        <v>0</v>
      </c>
    </row>
    <row r="339" spans="1:23" ht="15" customHeight="1">
      <c r="A339" s="132">
        <f t="shared" si="127"/>
        <v>0</v>
      </c>
      <c r="B339" s="133">
        <v>336</v>
      </c>
      <c r="C339" s="132" t="str">
        <f t="shared" si="128"/>
        <v/>
      </c>
      <c r="D339" s="132">
        <f t="shared" si="129"/>
        <v>0</v>
      </c>
      <c r="E339" s="132">
        <f t="shared" si="129"/>
        <v>0</v>
      </c>
      <c r="F339" s="132">
        <f t="shared" si="130"/>
        <v>0</v>
      </c>
      <c r="G339" s="132" t="str">
        <f t="shared" si="129"/>
        <v>Open market housing</v>
      </c>
      <c r="H339" s="132">
        <f t="shared" si="131"/>
        <v>896440000</v>
      </c>
      <c r="I339" s="132" t="str">
        <f t="shared" si="120"/>
        <v>New build</v>
      </c>
      <c r="J339" s="132">
        <f t="shared" si="132"/>
        <v>391930000</v>
      </c>
      <c r="K339" s="132">
        <f t="shared" si="121"/>
        <v>0</v>
      </c>
      <c r="L339" s="132">
        <f t="shared" si="133"/>
        <v>0</v>
      </c>
      <c r="M339" s="132">
        <f t="shared" si="134"/>
        <v>0</v>
      </c>
      <c r="N339" s="134">
        <f t="shared" si="135"/>
        <v>0</v>
      </c>
      <c r="O339" s="135">
        <f t="shared" si="136"/>
        <v>0</v>
      </c>
      <c r="P339" s="132" t="str">
        <f t="shared" si="122"/>
        <v/>
      </c>
      <c r="Q339" s="132" t="str">
        <f t="shared" si="139"/>
        <v/>
      </c>
      <c r="R339" s="132" t="str">
        <f>IF(ISNUMBER(SEARCH("AHO",Import2[[#This Row],[Tenure]])),"AHO",Import2[[#This Row],[Tenure]])&amp;Import2[[#This Row],[Expected Physical Completion Year]]&amp;Import2[[#This Row],[Expected Physical Completion Month]]</f>
        <v>Open market housing</v>
      </c>
      <c r="S339" s="135">
        <f t="shared" si="137"/>
        <v>0</v>
      </c>
      <c r="T339" s="132" t="str">
        <f t="shared" si="138"/>
        <v/>
      </c>
      <c r="U339" s="132" t="str">
        <f t="shared" si="138"/>
        <v/>
      </c>
      <c r="V339" s="132" t="str">
        <f>IF(ISNUMBER(SEARCH("AHO",Import2[[#This Row],[Tenure]])),"AHO",Import2[[#This Row],[Tenure]])&amp;Import2[[#This Row],[Expected sale completion year]]&amp;Import2[[#This Row],[Expected sale completion month]]</f>
        <v>Open market housing</v>
      </c>
      <c r="W339" s="178">
        <f t="shared" si="123"/>
        <v>0</v>
      </c>
    </row>
    <row r="340" spans="1:23" ht="15" customHeight="1">
      <c r="A340" s="132">
        <f t="shared" si="127"/>
        <v>0</v>
      </c>
      <c r="B340" s="133">
        <v>337</v>
      </c>
      <c r="C340" s="132" t="str">
        <f t="shared" si="128"/>
        <v/>
      </c>
      <c r="D340" s="132">
        <f t="shared" si="129"/>
        <v>0</v>
      </c>
      <c r="E340" s="132">
        <f t="shared" si="129"/>
        <v>0</v>
      </c>
      <c r="F340" s="132">
        <f t="shared" si="130"/>
        <v>0</v>
      </c>
      <c r="G340" s="132" t="str">
        <f t="shared" si="129"/>
        <v>Open market housing</v>
      </c>
      <c r="H340" s="132">
        <f t="shared" si="131"/>
        <v>896440000</v>
      </c>
      <c r="I340" s="132" t="str">
        <f t="shared" si="120"/>
        <v>New build</v>
      </c>
      <c r="J340" s="132">
        <f t="shared" si="132"/>
        <v>391930000</v>
      </c>
      <c r="K340" s="132">
        <f t="shared" si="121"/>
        <v>0</v>
      </c>
      <c r="L340" s="132">
        <f t="shared" si="133"/>
        <v>0</v>
      </c>
      <c r="M340" s="132">
        <f t="shared" si="134"/>
        <v>0</v>
      </c>
      <c r="N340" s="134">
        <f t="shared" si="135"/>
        <v>0</v>
      </c>
      <c r="O340" s="135">
        <f t="shared" si="136"/>
        <v>0</v>
      </c>
      <c r="P340" s="132" t="str">
        <f t="shared" si="122"/>
        <v/>
      </c>
      <c r="Q340" s="132" t="str">
        <f t="shared" si="139"/>
        <v/>
      </c>
      <c r="R340" s="132" t="str">
        <f>IF(ISNUMBER(SEARCH("AHO",Import2[[#This Row],[Tenure]])),"AHO",Import2[[#This Row],[Tenure]])&amp;Import2[[#This Row],[Expected Physical Completion Year]]&amp;Import2[[#This Row],[Expected Physical Completion Month]]</f>
        <v>Open market housing</v>
      </c>
      <c r="S340" s="135">
        <f t="shared" si="137"/>
        <v>0</v>
      </c>
      <c r="T340" s="132" t="str">
        <f t="shared" si="138"/>
        <v/>
      </c>
      <c r="U340" s="132" t="str">
        <f t="shared" si="138"/>
        <v/>
      </c>
      <c r="V340" s="132" t="str">
        <f>IF(ISNUMBER(SEARCH("AHO",Import2[[#This Row],[Tenure]])),"AHO",Import2[[#This Row],[Tenure]])&amp;Import2[[#This Row],[Expected sale completion year]]&amp;Import2[[#This Row],[Expected sale completion month]]</f>
        <v>Open market housing</v>
      </c>
      <c r="W340" s="178">
        <f t="shared" si="123"/>
        <v>0</v>
      </c>
    </row>
    <row r="341" spans="1:23" ht="15" customHeight="1">
      <c r="A341" s="132">
        <f t="shared" si="127"/>
        <v>0</v>
      </c>
      <c r="B341" s="133">
        <v>338</v>
      </c>
      <c r="C341" s="132" t="str">
        <f t="shared" si="128"/>
        <v/>
      </c>
      <c r="D341" s="132">
        <f t="shared" si="129"/>
        <v>0</v>
      </c>
      <c r="E341" s="132">
        <f t="shared" si="129"/>
        <v>0</v>
      </c>
      <c r="F341" s="132">
        <f t="shared" si="130"/>
        <v>0</v>
      </c>
      <c r="G341" s="132" t="str">
        <f t="shared" si="129"/>
        <v>Open market housing</v>
      </c>
      <c r="H341" s="132">
        <f t="shared" si="131"/>
        <v>896440000</v>
      </c>
      <c r="I341" s="132" t="str">
        <f t="shared" si="120"/>
        <v>New build</v>
      </c>
      <c r="J341" s="132">
        <f t="shared" si="132"/>
        <v>391930000</v>
      </c>
      <c r="K341" s="132">
        <f t="shared" si="121"/>
        <v>0</v>
      </c>
      <c r="L341" s="132">
        <f t="shared" si="133"/>
        <v>0</v>
      </c>
      <c r="M341" s="132">
        <f t="shared" si="134"/>
        <v>0</v>
      </c>
      <c r="N341" s="134">
        <f t="shared" si="135"/>
        <v>0</v>
      </c>
      <c r="O341" s="135">
        <f t="shared" si="136"/>
        <v>0</v>
      </c>
      <c r="P341" s="132" t="str">
        <f t="shared" si="122"/>
        <v/>
      </c>
      <c r="Q341" s="132" t="str">
        <f t="shared" si="139"/>
        <v/>
      </c>
      <c r="R341" s="132" t="str">
        <f>IF(ISNUMBER(SEARCH("AHO",Import2[[#This Row],[Tenure]])),"AHO",Import2[[#This Row],[Tenure]])&amp;Import2[[#This Row],[Expected Physical Completion Year]]&amp;Import2[[#This Row],[Expected Physical Completion Month]]</f>
        <v>Open market housing</v>
      </c>
      <c r="S341" s="135">
        <f t="shared" si="137"/>
        <v>0</v>
      </c>
      <c r="T341" s="132" t="str">
        <f t="shared" si="138"/>
        <v/>
      </c>
      <c r="U341" s="132" t="str">
        <f t="shared" si="138"/>
        <v/>
      </c>
      <c r="V341" s="132" t="str">
        <f>IF(ISNUMBER(SEARCH("AHO",Import2[[#This Row],[Tenure]])),"AHO",Import2[[#This Row],[Tenure]])&amp;Import2[[#This Row],[Expected sale completion year]]&amp;Import2[[#This Row],[Expected sale completion month]]</f>
        <v>Open market housing</v>
      </c>
      <c r="W341" s="178">
        <f t="shared" si="123"/>
        <v>0</v>
      </c>
    </row>
    <row r="342" spans="1:23" ht="15" customHeight="1">
      <c r="A342" s="132">
        <f t="shared" si="127"/>
        <v>0</v>
      </c>
      <c r="B342" s="133">
        <v>339</v>
      </c>
      <c r="C342" s="132" t="str">
        <f t="shared" si="128"/>
        <v/>
      </c>
      <c r="D342" s="132">
        <f t="shared" si="129"/>
        <v>0</v>
      </c>
      <c r="E342" s="132">
        <f t="shared" si="129"/>
        <v>0</v>
      </c>
      <c r="F342" s="132">
        <f t="shared" si="130"/>
        <v>0</v>
      </c>
      <c r="G342" s="132" t="str">
        <f t="shared" si="129"/>
        <v>Open market housing</v>
      </c>
      <c r="H342" s="132">
        <f t="shared" si="131"/>
        <v>896440000</v>
      </c>
      <c r="I342" s="132" t="str">
        <f t="shared" si="120"/>
        <v>New build</v>
      </c>
      <c r="J342" s="132">
        <f t="shared" si="132"/>
        <v>391930000</v>
      </c>
      <c r="K342" s="132">
        <f t="shared" si="121"/>
        <v>0</v>
      </c>
      <c r="L342" s="132">
        <f t="shared" si="133"/>
        <v>0</v>
      </c>
      <c r="M342" s="132">
        <f t="shared" si="134"/>
        <v>0</v>
      </c>
      <c r="N342" s="134">
        <f t="shared" si="135"/>
        <v>0</v>
      </c>
      <c r="O342" s="135">
        <f t="shared" si="136"/>
        <v>0</v>
      </c>
      <c r="P342" s="132" t="str">
        <f t="shared" si="122"/>
        <v/>
      </c>
      <c r="Q342" s="132" t="str">
        <f t="shared" si="139"/>
        <v/>
      </c>
      <c r="R342" s="132" t="str">
        <f>IF(ISNUMBER(SEARCH("AHO",Import2[[#This Row],[Tenure]])),"AHO",Import2[[#This Row],[Tenure]])&amp;Import2[[#This Row],[Expected Physical Completion Year]]&amp;Import2[[#This Row],[Expected Physical Completion Month]]</f>
        <v>Open market housing</v>
      </c>
      <c r="S342" s="135">
        <f t="shared" si="137"/>
        <v>0</v>
      </c>
      <c r="T342" s="132" t="str">
        <f t="shared" si="138"/>
        <v/>
      </c>
      <c r="U342" s="132" t="str">
        <f t="shared" si="138"/>
        <v/>
      </c>
      <c r="V342" s="132" t="str">
        <f>IF(ISNUMBER(SEARCH("AHO",Import2[[#This Row],[Tenure]])),"AHO",Import2[[#This Row],[Tenure]])&amp;Import2[[#This Row],[Expected sale completion year]]&amp;Import2[[#This Row],[Expected sale completion month]]</f>
        <v>Open market housing</v>
      </c>
      <c r="W342" s="178">
        <f t="shared" si="123"/>
        <v>0</v>
      </c>
    </row>
    <row r="343" spans="1:23" ht="15" customHeight="1">
      <c r="A343" s="132">
        <f t="shared" si="127"/>
        <v>0</v>
      </c>
      <c r="B343" s="133">
        <v>340</v>
      </c>
      <c r="C343" s="132" t="str">
        <f t="shared" si="128"/>
        <v/>
      </c>
      <c r="D343" s="132">
        <f t="shared" si="129"/>
        <v>0</v>
      </c>
      <c r="E343" s="132">
        <f t="shared" si="129"/>
        <v>0</v>
      </c>
      <c r="F343" s="132">
        <f t="shared" si="130"/>
        <v>0</v>
      </c>
      <c r="G343" s="132" t="str">
        <f t="shared" si="129"/>
        <v>Open market housing</v>
      </c>
      <c r="H343" s="132">
        <f t="shared" si="131"/>
        <v>896440000</v>
      </c>
      <c r="I343" s="132" t="str">
        <f t="shared" si="120"/>
        <v>New build</v>
      </c>
      <c r="J343" s="132">
        <f t="shared" si="132"/>
        <v>391930000</v>
      </c>
      <c r="K343" s="132">
        <f t="shared" si="121"/>
        <v>0</v>
      </c>
      <c r="L343" s="132">
        <f t="shared" si="133"/>
        <v>0</v>
      </c>
      <c r="M343" s="132">
        <f t="shared" si="134"/>
        <v>0</v>
      </c>
      <c r="N343" s="134">
        <f t="shared" si="135"/>
        <v>0</v>
      </c>
      <c r="O343" s="135">
        <f t="shared" si="136"/>
        <v>0</v>
      </c>
      <c r="P343" s="132" t="str">
        <f t="shared" si="122"/>
        <v/>
      </c>
      <c r="Q343" s="132" t="str">
        <f t="shared" si="139"/>
        <v/>
      </c>
      <c r="R343" s="132" t="str">
        <f>IF(ISNUMBER(SEARCH("AHO",Import2[[#This Row],[Tenure]])),"AHO",Import2[[#This Row],[Tenure]])&amp;Import2[[#This Row],[Expected Physical Completion Year]]&amp;Import2[[#This Row],[Expected Physical Completion Month]]</f>
        <v>Open market housing</v>
      </c>
      <c r="S343" s="135">
        <f t="shared" si="137"/>
        <v>0</v>
      </c>
      <c r="T343" s="132" t="str">
        <f t="shared" si="138"/>
        <v/>
      </c>
      <c r="U343" s="132" t="str">
        <f t="shared" si="138"/>
        <v/>
      </c>
      <c r="V343" s="132" t="str">
        <f>IF(ISNUMBER(SEARCH("AHO",Import2[[#This Row],[Tenure]])),"AHO",Import2[[#This Row],[Tenure]])&amp;Import2[[#This Row],[Expected sale completion year]]&amp;Import2[[#This Row],[Expected sale completion month]]</f>
        <v>Open market housing</v>
      </c>
      <c r="W343" s="178">
        <f t="shared" si="123"/>
        <v>0</v>
      </c>
    </row>
    <row r="344" spans="1:23" ht="15" customHeight="1">
      <c r="A344" s="132">
        <f t="shared" si="127"/>
        <v>0</v>
      </c>
      <c r="B344" s="133">
        <v>341</v>
      </c>
      <c r="C344" s="132" t="str">
        <f t="shared" si="128"/>
        <v/>
      </c>
      <c r="D344" s="132">
        <f t="shared" ref="D344:G363" si="140">INDEX(PlotData,MATCH($B344,PlotNumber,0),MATCH(D$3,PlotTitles,0))</f>
        <v>0</v>
      </c>
      <c r="E344" s="132">
        <f t="shared" si="140"/>
        <v>0</v>
      </c>
      <c r="F344" s="132">
        <f t="shared" si="130"/>
        <v>0</v>
      </c>
      <c r="G344" s="132" t="str">
        <f t="shared" si="140"/>
        <v>Open market housing</v>
      </c>
      <c r="H344" s="132">
        <f t="shared" si="131"/>
        <v>896440000</v>
      </c>
      <c r="I344" s="132" t="str">
        <f t="shared" si="120"/>
        <v>New build</v>
      </c>
      <c r="J344" s="132">
        <f t="shared" si="132"/>
        <v>391930000</v>
      </c>
      <c r="K344" s="132">
        <f t="shared" si="121"/>
        <v>0</v>
      </c>
      <c r="L344" s="132">
        <f t="shared" si="133"/>
        <v>0</v>
      </c>
      <c r="M344" s="132">
        <f t="shared" ref="M344:M363" si="141">INDEX(PlotData,MATCH($B344,PlotNumber,0),MATCH(M$3,PlotTitles,0))</f>
        <v>0</v>
      </c>
      <c r="N344" s="134">
        <f t="shared" si="135"/>
        <v>0</v>
      </c>
      <c r="O344" s="135">
        <f t="shared" si="136"/>
        <v>0</v>
      </c>
      <c r="P344" s="132" t="str">
        <f t="shared" si="122"/>
        <v/>
      </c>
      <c r="Q344" s="132" t="str">
        <f t="shared" si="139"/>
        <v/>
      </c>
      <c r="R344" s="132" t="str">
        <f>IF(ISNUMBER(SEARCH("AHO",Import2[[#This Row],[Tenure]])),"AHO",Import2[[#This Row],[Tenure]])&amp;Import2[[#This Row],[Expected Physical Completion Year]]&amp;Import2[[#This Row],[Expected Physical Completion Month]]</f>
        <v>Open market housing</v>
      </c>
      <c r="S344" s="135">
        <f t="shared" si="137"/>
        <v>0</v>
      </c>
      <c r="T344" s="132" t="str">
        <f t="shared" ref="T344:U363" si="142">IF(INDEX(PlotData,MATCH($B344,PlotNumber,0),MATCH(T$3,PlotTitles,0))=0,"",INDEX(PlotData,MATCH($B344,PlotNumber,0),MATCH(T$3,PlotTitles,0)))</f>
        <v/>
      </c>
      <c r="U344" s="132" t="str">
        <f t="shared" si="142"/>
        <v/>
      </c>
      <c r="V344" s="132" t="str">
        <f>IF(ISNUMBER(SEARCH("AHO",Import2[[#This Row],[Tenure]])),"AHO",Import2[[#This Row],[Tenure]])&amp;Import2[[#This Row],[Expected sale completion year]]&amp;Import2[[#This Row],[Expected sale completion month]]</f>
        <v>Open market housing</v>
      </c>
      <c r="W344" s="178">
        <f t="shared" si="123"/>
        <v>0</v>
      </c>
    </row>
    <row r="345" spans="1:23" ht="15" customHeight="1">
      <c r="A345" s="132">
        <f t="shared" si="127"/>
        <v>0</v>
      </c>
      <c r="B345" s="133">
        <v>342</v>
      </c>
      <c r="C345" s="132" t="str">
        <f t="shared" si="128"/>
        <v/>
      </c>
      <c r="D345" s="132">
        <f t="shared" si="140"/>
        <v>0</v>
      </c>
      <c r="E345" s="132">
        <f t="shared" si="140"/>
        <v>0</v>
      </c>
      <c r="F345" s="132">
        <f t="shared" si="130"/>
        <v>0</v>
      </c>
      <c r="G345" s="132" t="str">
        <f t="shared" si="140"/>
        <v>Open market housing</v>
      </c>
      <c r="H345" s="132">
        <f t="shared" si="131"/>
        <v>896440000</v>
      </c>
      <c r="I345" s="132" t="str">
        <f t="shared" si="120"/>
        <v>New build</v>
      </c>
      <c r="J345" s="132">
        <f t="shared" si="132"/>
        <v>391930000</v>
      </c>
      <c r="K345" s="132">
        <f t="shared" si="121"/>
        <v>0</v>
      </c>
      <c r="L345" s="132">
        <f t="shared" si="133"/>
        <v>0</v>
      </c>
      <c r="M345" s="132">
        <f t="shared" si="141"/>
        <v>0</v>
      </c>
      <c r="N345" s="134">
        <f t="shared" si="135"/>
        <v>0</v>
      </c>
      <c r="O345" s="135">
        <f t="shared" si="136"/>
        <v>0</v>
      </c>
      <c r="P345" s="132" t="str">
        <f t="shared" si="122"/>
        <v/>
      </c>
      <c r="Q345" s="132" t="str">
        <f t="shared" si="139"/>
        <v/>
      </c>
      <c r="R345" s="132" t="str">
        <f>IF(ISNUMBER(SEARCH("AHO",Import2[[#This Row],[Tenure]])),"AHO",Import2[[#This Row],[Tenure]])&amp;Import2[[#This Row],[Expected Physical Completion Year]]&amp;Import2[[#This Row],[Expected Physical Completion Month]]</f>
        <v>Open market housing</v>
      </c>
      <c r="S345" s="135">
        <f t="shared" si="137"/>
        <v>0</v>
      </c>
      <c r="T345" s="132" t="str">
        <f t="shared" si="142"/>
        <v/>
      </c>
      <c r="U345" s="132" t="str">
        <f t="shared" si="142"/>
        <v/>
      </c>
      <c r="V345" s="132" t="str">
        <f>IF(ISNUMBER(SEARCH("AHO",Import2[[#This Row],[Tenure]])),"AHO",Import2[[#This Row],[Tenure]])&amp;Import2[[#This Row],[Expected sale completion year]]&amp;Import2[[#This Row],[Expected sale completion month]]</f>
        <v>Open market housing</v>
      </c>
      <c r="W345" s="178">
        <f t="shared" si="123"/>
        <v>0</v>
      </c>
    </row>
    <row r="346" spans="1:23" ht="15" customHeight="1">
      <c r="A346" s="132">
        <f t="shared" si="127"/>
        <v>0</v>
      </c>
      <c r="B346" s="133">
        <v>343</v>
      </c>
      <c r="C346" s="132" t="str">
        <f t="shared" si="128"/>
        <v/>
      </c>
      <c r="D346" s="132">
        <f t="shared" si="140"/>
        <v>0</v>
      </c>
      <c r="E346" s="132">
        <f t="shared" si="140"/>
        <v>0</v>
      </c>
      <c r="F346" s="132">
        <f t="shared" si="130"/>
        <v>0</v>
      </c>
      <c r="G346" s="132" t="str">
        <f t="shared" si="140"/>
        <v>Open market housing</v>
      </c>
      <c r="H346" s="132">
        <f t="shared" si="131"/>
        <v>896440000</v>
      </c>
      <c r="I346" s="132" t="str">
        <f t="shared" si="120"/>
        <v>New build</v>
      </c>
      <c r="J346" s="132">
        <f t="shared" si="132"/>
        <v>391930000</v>
      </c>
      <c r="K346" s="132">
        <f t="shared" si="121"/>
        <v>0</v>
      </c>
      <c r="L346" s="132">
        <f t="shared" si="133"/>
        <v>0</v>
      </c>
      <c r="M346" s="132">
        <f t="shared" si="141"/>
        <v>0</v>
      </c>
      <c r="N346" s="134">
        <f t="shared" si="135"/>
        <v>0</v>
      </c>
      <c r="O346" s="135">
        <f t="shared" si="136"/>
        <v>0</v>
      </c>
      <c r="P346" s="132" t="str">
        <f t="shared" si="122"/>
        <v/>
      </c>
      <c r="Q346" s="132" t="str">
        <f t="shared" si="139"/>
        <v/>
      </c>
      <c r="R346" s="132" t="str">
        <f>IF(ISNUMBER(SEARCH("AHO",Import2[[#This Row],[Tenure]])),"AHO",Import2[[#This Row],[Tenure]])&amp;Import2[[#This Row],[Expected Physical Completion Year]]&amp;Import2[[#This Row],[Expected Physical Completion Month]]</f>
        <v>Open market housing</v>
      </c>
      <c r="S346" s="135">
        <f t="shared" si="137"/>
        <v>0</v>
      </c>
      <c r="T346" s="132" t="str">
        <f t="shared" si="142"/>
        <v/>
      </c>
      <c r="U346" s="132" t="str">
        <f t="shared" si="142"/>
        <v/>
      </c>
      <c r="V346" s="132" t="str">
        <f>IF(ISNUMBER(SEARCH("AHO",Import2[[#This Row],[Tenure]])),"AHO",Import2[[#This Row],[Tenure]])&amp;Import2[[#This Row],[Expected sale completion year]]&amp;Import2[[#This Row],[Expected sale completion month]]</f>
        <v>Open market housing</v>
      </c>
      <c r="W346" s="178">
        <f t="shared" si="123"/>
        <v>0</v>
      </c>
    </row>
    <row r="347" spans="1:23" ht="15" customHeight="1">
      <c r="A347" s="132">
        <f t="shared" si="127"/>
        <v>0</v>
      </c>
      <c r="B347" s="133">
        <v>344</v>
      </c>
      <c r="C347" s="132" t="str">
        <f t="shared" si="128"/>
        <v/>
      </c>
      <c r="D347" s="132">
        <f t="shared" si="140"/>
        <v>0</v>
      </c>
      <c r="E347" s="132">
        <f t="shared" si="140"/>
        <v>0</v>
      </c>
      <c r="F347" s="132">
        <f t="shared" si="130"/>
        <v>0</v>
      </c>
      <c r="G347" s="132" t="str">
        <f t="shared" si="140"/>
        <v>Open market housing</v>
      </c>
      <c r="H347" s="132">
        <f t="shared" si="131"/>
        <v>896440000</v>
      </c>
      <c r="I347" s="132" t="str">
        <f t="shared" si="120"/>
        <v>New build</v>
      </c>
      <c r="J347" s="132">
        <f t="shared" si="132"/>
        <v>391930000</v>
      </c>
      <c r="K347" s="132">
        <f t="shared" si="121"/>
        <v>0</v>
      </c>
      <c r="L347" s="132">
        <f t="shared" si="133"/>
        <v>0</v>
      </c>
      <c r="M347" s="132">
        <f t="shared" si="141"/>
        <v>0</v>
      </c>
      <c r="N347" s="134">
        <f t="shared" si="135"/>
        <v>0</v>
      </c>
      <c r="O347" s="135">
        <f t="shared" si="136"/>
        <v>0</v>
      </c>
      <c r="P347" s="132" t="str">
        <f t="shared" si="122"/>
        <v/>
      </c>
      <c r="Q347" s="132" t="str">
        <f t="shared" si="139"/>
        <v/>
      </c>
      <c r="R347" s="132" t="str">
        <f>IF(ISNUMBER(SEARCH("AHO",Import2[[#This Row],[Tenure]])),"AHO",Import2[[#This Row],[Tenure]])&amp;Import2[[#This Row],[Expected Physical Completion Year]]&amp;Import2[[#This Row],[Expected Physical Completion Month]]</f>
        <v>Open market housing</v>
      </c>
      <c r="S347" s="135">
        <f t="shared" si="137"/>
        <v>0</v>
      </c>
      <c r="T347" s="132" t="str">
        <f t="shared" si="142"/>
        <v/>
      </c>
      <c r="U347" s="132" t="str">
        <f t="shared" si="142"/>
        <v/>
      </c>
      <c r="V347" s="132" t="str">
        <f>IF(ISNUMBER(SEARCH("AHO",Import2[[#This Row],[Tenure]])),"AHO",Import2[[#This Row],[Tenure]])&amp;Import2[[#This Row],[Expected sale completion year]]&amp;Import2[[#This Row],[Expected sale completion month]]</f>
        <v>Open market housing</v>
      </c>
      <c r="W347" s="178">
        <f t="shared" si="123"/>
        <v>0</v>
      </c>
    </row>
    <row r="348" spans="1:23" ht="15" customHeight="1">
      <c r="A348" s="132">
        <f t="shared" si="127"/>
        <v>0</v>
      </c>
      <c r="B348" s="133">
        <v>345</v>
      </c>
      <c r="C348" s="132" t="str">
        <f t="shared" si="128"/>
        <v/>
      </c>
      <c r="D348" s="132">
        <f t="shared" si="140"/>
        <v>0</v>
      </c>
      <c r="E348" s="132">
        <f t="shared" si="140"/>
        <v>0</v>
      </c>
      <c r="F348" s="132">
        <f t="shared" si="130"/>
        <v>0</v>
      </c>
      <c r="G348" s="132" t="str">
        <f t="shared" si="140"/>
        <v>Open market housing</v>
      </c>
      <c r="H348" s="132">
        <f t="shared" si="131"/>
        <v>896440000</v>
      </c>
      <c r="I348" s="132" t="str">
        <f t="shared" si="120"/>
        <v>New build</v>
      </c>
      <c r="J348" s="132">
        <f t="shared" si="132"/>
        <v>391930000</v>
      </c>
      <c r="K348" s="132">
        <f t="shared" si="121"/>
        <v>0</v>
      </c>
      <c r="L348" s="132">
        <f t="shared" si="133"/>
        <v>0</v>
      </c>
      <c r="M348" s="132">
        <f t="shared" si="141"/>
        <v>0</v>
      </c>
      <c r="N348" s="134">
        <f t="shared" si="135"/>
        <v>0</v>
      </c>
      <c r="O348" s="135">
        <f t="shared" si="136"/>
        <v>0</v>
      </c>
      <c r="P348" s="132" t="str">
        <f t="shared" si="122"/>
        <v/>
      </c>
      <c r="Q348" s="132" t="str">
        <f t="shared" si="139"/>
        <v/>
      </c>
      <c r="R348" s="132" t="str">
        <f>IF(ISNUMBER(SEARCH("AHO",Import2[[#This Row],[Tenure]])),"AHO",Import2[[#This Row],[Tenure]])&amp;Import2[[#This Row],[Expected Physical Completion Year]]&amp;Import2[[#This Row],[Expected Physical Completion Month]]</f>
        <v>Open market housing</v>
      </c>
      <c r="S348" s="135">
        <f t="shared" si="137"/>
        <v>0</v>
      </c>
      <c r="T348" s="132" t="str">
        <f t="shared" si="142"/>
        <v/>
      </c>
      <c r="U348" s="132" t="str">
        <f t="shared" si="142"/>
        <v/>
      </c>
      <c r="V348" s="132" t="str">
        <f>IF(ISNUMBER(SEARCH("AHO",Import2[[#This Row],[Tenure]])),"AHO",Import2[[#This Row],[Tenure]])&amp;Import2[[#This Row],[Expected sale completion year]]&amp;Import2[[#This Row],[Expected sale completion month]]</f>
        <v>Open market housing</v>
      </c>
      <c r="W348" s="178">
        <f t="shared" si="123"/>
        <v>0</v>
      </c>
    </row>
    <row r="349" spans="1:23" ht="15" customHeight="1">
      <c r="A349" s="132">
        <f t="shared" si="127"/>
        <v>0</v>
      </c>
      <c r="B349" s="133">
        <v>346</v>
      </c>
      <c r="C349" s="132" t="str">
        <f t="shared" si="128"/>
        <v/>
      </c>
      <c r="D349" s="132">
        <f t="shared" si="140"/>
        <v>0</v>
      </c>
      <c r="E349" s="132">
        <f t="shared" si="140"/>
        <v>0</v>
      </c>
      <c r="F349" s="132">
        <f t="shared" si="130"/>
        <v>0</v>
      </c>
      <c r="G349" s="132" t="str">
        <f t="shared" si="140"/>
        <v>Open market housing</v>
      </c>
      <c r="H349" s="132">
        <f t="shared" si="131"/>
        <v>896440000</v>
      </c>
      <c r="I349" s="132" t="str">
        <f t="shared" si="120"/>
        <v>New build</v>
      </c>
      <c r="J349" s="132">
        <f t="shared" si="132"/>
        <v>391930000</v>
      </c>
      <c r="K349" s="132">
        <f t="shared" si="121"/>
        <v>0</v>
      </c>
      <c r="L349" s="132">
        <f t="shared" si="133"/>
        <v>0</v>
      </c>
      <c r="M349" s="132">
        <f t="shared" si="141"/>
        <v>0</v>
      </c>
      <c r="N349" s="134">
        <f t="shared" si="135"/>
        <v>0</v>
      </c>
      <c r="O349" s="135">
        <f t="shared" si="136"/>
        <v>0</v>
      </c>
      <c r="P349" s="132" t="str">
        <f t="shared" si="122"/>
        <v/>
      </c>
      <c r="Q349" s="132" t="str">
        <f t="shared" si="139"/>
        <v/>
      </c>
      <c r="R349" s="132" t="str">
        <f>IF(ISNUMBER(SEARCH("AHO",Import2[[#This Row],[Tenure]])),"AHO",Import2[[#This Row],[Tenure]])&amp;Import2[[#This Row],[Expected Physical Completion Year]]&amp;Import2[[#This Row],[Expected Physical Completion Month]]</f>
        <v>Open market housing</v>
      </c>
      <c r="S349" s="135">
        <f t="shared" si="137"/>
        <v>0</v>
      </c>
      <c r="T349" s="132" t="str">
        <f t="shared" si="142"/>
        <v/>
      </c>
      <c r="U349" s="132" t="str">
        <f t="shared" si="142"/>
        <v/>
      </c>
      <c r="V349" s="132" t="str">
        <f>IF(ISNUMBER(SEARCH("AHO",Import2[[#This Row],[Tenure]])),"AHO",Import2[[#This Row],[Tenure]])&amp;Import2[[#This Row],[Expected sale completion year]]&amp;Import2[[#This Row],[Expected sale completion month]]</f>
        <v>Open market housing</v>
      </c>
      <c r="W349" s="178">
        <f t="shared" si="123"/>
        <v>0</v>
      </c>
    </row>
    <row r="350" spans="1:23" ht="15" customHeight="1">
      <c r="A350" s="132">
        <f t="shared" si="127"/>
        <v>0</v>
      </c>
      <c r="B350" s="133">
        <v>347</v>
      </c>
      <c r="C350" s="132" t="str">
        <f t="shared" si="128"/>
        <v/>
      </c>
      <c r="D350" s="132">
        <f t="shared" si="140"/>
        <v>0</v>
      </c>
      <c r="E350" s="132">
        <f t="shared" si="140"/>
        <v>0</v>
      </c>
      <c r="F350" s="132">
        <f t="shared" si="130"/>
        <v>0</v>
      </c>
      <c r="G350" s="132" t="str">
        <f t="shared" si="140"/>
        <v>Open market housing</v>
      </c>
      <c r="H350" s="132">
        <f t="shared" si="131"/>
        <v>896440000</v>
      </c>
      <c r="I350" s="132" t="str">
        <f t="shared" si="120"/>
        <v>New build</v>
      </c>
      <c r="J350" s="132">
        <f t="shared" si="132"/>
        <v>391930000</v>
      </c>
      <c r="K350" s="132">
        <f t="shared" si="121"/>
        <v>0</v>
      </c>
      <c r="L350" s="132">
        <f t="shared" si="133"/>
        <v>0</v>
      </c>
      <c r="M350" s="132">
        <f t="shared" si="141"/>
        <v>0</v>
      </c>
      <c r="N350" s="134">
        <f t="shared" si="135"/>
        <v>0</v>
      </c>
      <c r="O350" s="135">
        <f t="shared" si="136"/>
        <v>0</v>
      </c>
      <c r="P350" s="132" t="str">
        <f t="shared" si="122"/>
        <v/>
      </c>
      <c r="Q350" s="132" t="str">
        <f t="shared" si="139"/>
        <v/>
      </c>
      <c r="R350" s="132" t="str">
        <f>IF(ISNUMBER(SEARCH("AHO",Import2[[#This Row],[Tenure]])),"AHO",Import2[[#This Row],[Tenure]])&amp;Import2[[#This Row],[Expected Physical Completion Year]]&amp;Import2[[#This Row],[Expected Physical Completion Month]]</f>
        <v>Open market housing</v>
      </c>
      <c r="S350" s="135">
        <f t="shared" si="137"/>
        <v>0</v>
      </c>
      <c r="T350" s="132" t="str">
        <f t="shared" si="142"/>
        <v/>
      </c>
      <c r="U350" s="132" t="str">
        <f t="shared" si="142"/>
        <v/>
      </c>
      <c r="V350" s="132" t="str">
        <f>IF(ISNUMBER(SEARCH("AHO",Import2[[#This Row],[Tenure]])),"AHO",Import2[[#This Row],[Tenure]])&amp;Import2[[#This Row],[Expected sale completion year]]&amp;Import2[[#This Row],[Expected sale completion month]]</f>
        <v>Open market housing</v>
      </c>
      <c r="W350" s="178">
        <f t="shared" si="123"/>
        <v>0</v>
      </c>
    </row>
    <row r="351" spans="1:23" ht="15" customHeight="1">
      <c r="A351" s="132">
        <f t="shared" si="127"/>
        <v>0</v>
      </c>
      <c r="B351" s="133">
        <v>348</v>
      </c>
      <c r="C351" s="132" t="str">
        <f t="shared" si="128"/>
        <v/>
      </c>
      <c r="D351" s="132">
        <f t="shared" si="140"/>
        <v>0</v>
      </c>
      <c r="E351" s="132">
        <f t="shared" si="140"/>
        <v>0</v>
      </c>
      <c r="F351" s="132">
        <f t="shared" si="130"/>
        <v>0</v>
      </c>
      <c r="G351" s="132" t="str">
        <f t="shared" si="140"/>
        <v>Open market housing</v>
      </c>
      <c r="H351" s="132">
        <f t="shared" si="131"/>
        <v>896440000</v>
      </c>
      <c r="I351" s="132" t="str">
        <f t="shared" si="120"/>
        <v>New build</v>
      </c>
      <c r="J351" s="132">
        <f t="shared" si="132"/>
        <v>391930000</v>
      </c>
      <c r="K351" s="132">
        <f t="shared" si="121"/>
        <v>0</v>
      </c>
      <c r="L351" s="132">
        <f t="shared" si="133"/>
        <v>0</v>
      </c>
      <c r="M351" s="132">
        <f t="shared" si="141"/>
        <v>0</v>
      </c>
      <c r="N351" s="134">
        <f t="shared" si="135"/>
        <v>0</v>
      </c>
      <c r="O351" s="135">
        <f t="shared" si="136"/>
        <v>0</v>
      </c>
      <c r="P351" s="132" t="str">
        <f t="shared" si="122"/>
        <v/>
      </c>
      <c r="Q351" s="132" t="str">
        <f t="shared" si="139"/>
        <v/>
      </c>
      <c r="R351" s="132" t="str">
        <f>IF(ISNUMBER(SEARCH("AHO",Import2[[#This Row],[Tenure]])),"AHO",Import2[[#This Row],[Tenure]])&amp;Import2[[#This Row],[Expected Physical Completion Year]]&amp;Import2[[#This Row],[Expected Physical Completion Month]]</f>
        <v>Open market housing</v>
      </c>
      <c r="S351" s="135">
        <f t="shared" si="137"/>
        <v>0</v>
      </c>
      <c r="T351" s="132" t="str">
        <f t="shared" si="142"/>
        <v/>
      </c>
      <c r="U351" s="132" t="str">
        <f t="shared" si="142"/>
        <v/>
      </c>
      <c r="V351" s="132" t="str">
        <f>IF(ISNUMBER(SEARCH("AHO",Import2[[#This Row],[Tenure]])),"AHO",Import2[[#This Row],[Tenure]])&amp;Import2[[#This Row],[Expected sale completion year]]&amp;Import2[[#This Row],[Expected sale completion month]]</f>
        <v>Open market housing</v>
      </c>
      <c r="W351" s="178">
        <f t="shared" si="123"/>
        <v>0</v>
      </c>
    </row>
    <row r="352" spans="1:23" ht="15" customHeight="1">
      <c r="A352" s="132">
        <f t="shared" si="127"/>
        <v>0</v>
      </c>
      <c r="B352" s="133">
        <v>349</v>
      </c>
      <c r="C352" s="132" t="str">
        <f t="shared" si="128"/>
        <v/>
      </c>
      <c r="D352" s="132">
        <f t="shared" si="140"/>
        <v>0</v>
      </c>
      <c r="E352" s="132">
        <f t="shared" si="140"/>
        <v>0</v>
      </c>
      <c r="F352" s="132">
        <f t="shared" si="130"/>
        <v>0</v>
      </c>
      <c r="G352" s="132" t="str">
        <f t="shared" si="140"/>
        <v>Open market housing</v>
      </c>
      <c r="H352" s="132">
        <f t="shared" si="131"/>
        <v>896440000</v>
      </c>
      <c r="I352" s="132" t="str">
        <f t="shared" si="120"/>
        <v>New build</v>
      </c>
      <c r="J352" s="132">
        <f t="shared" si="132"/>
        <v>391930000</v>
      </c>
      <c r="K352" s="132">
        <f t="shared" si="121"/>
        <v>0</v>
      </c>
      <c r="L352" s="132">
        <f t="shared" si="133"/>
        <v>0</v>
      </c>
      <c r="M352" s="132">
        <f t="shared" si="141"/>
        <v>0</v>
      </c>
      <c r="N352" s="134">
        <f t="shared" si="135"/>
        <v>0</v>
      </c>
      <c r="O352" s="135">
        <f t="shared" si="136"/>
        <v>0</v>
      </c>
      <c r="P352" s="132" t="str">
        <f t="shared" si="122"/>
        <v/>
      </c>
      <c r="Q352" s="132" t="str">
        <f t="shared" si="139"/>
        <v/>
      </c>
      <c r="R352" s="132" t="str">
        <f>IF(ISNUMBER(SEARCH("AHO",Import2[[#This Row],[Tenure]])),"AHO",Import2[[#This Row],[Tenure]])&amp;Import2[[#This Row],[Expected Physical Completion Year]]&amp;Import2[[#This Row],[Expected Physical Completion Month]]</f>
        <v>Open market housing</v>
      </c>
      <c r="S352" s="135">
        <f t="shared" si="137"/>
        <v>0</v>
      </c>
      <c r="T352" s="132" t="str">
        <f t="shared" si="142"/>
        <v/>
      </c>
      <c r="U352" s="132" t="str">
        <f t="shared" si="142"/>
        <v/>
      </c>
      <c r="V352" s="132" t="str">
        <f>IF(ISNUMBER(SEARCH("AHO",Import2[[#This Row],[Tenure]])),"AHO",Import2[[#This Row],[Tenure]])&amp;Import2[[#This Row],[Expected sale completion year]]&amp;Import2[[#This Row],[Expected sale completion month]]</f>
        <v>Open market housing</v>
      </c>
      <c r="W352" s="178">
        <f t="shared" si="123"/>
        <v>0</v>
      </c>
    </row>
    <row r="353" spans="1:23" ht="15" customHeight="1">
      <c r="A353" s="132">
        <f t="shared" si="127"/>
        <v>0</v>
      </c>
      <c r="B353" s="133">
        <v>350</v>
      </c>
      <c r="C353" s="132" t="str">
        <f t="shared" si="128"/>
        <v/>
      </c>
      <c r="D353" s="132">
        <f t="shared" si="140"/>
        <v>0</v>
      </c>
      <c r="E353" s="132">
        <f t="shared" si="140"/>
        <v>0</v>
      </c>
      <c r="F353" s="132">
        <f t="shared" si="130"/>
        <v>0</v>
      </c>
      <c r="G353" s="132" t="str">
        <f t="shared" si="140"/>
        <v>Open market housing</v>
      </c>
      <c r="H353" s="132">
        <f t="shared" si="131"/>
        <v>896440000</v>
      </c>
      <c r="I353" s="132" t="str">
        <f t="shared" si="120"/>
        <v>New build</v>
      </c>
      <c r="J353" s="132">
        <f t="shared" si="132"/>
        <v>391930000</v>
      </c>
      <c r="K353" s="132">
        <f t="shared" si="121"/>
        <v>0</v>
      </c>
      <c r="L353" s="132">
        <f t="shared" si="133"/>
        <v>0</v>
      </c>
      <c r="M353" s="132">
        <f t="shared" si="141"/>
        <v>0</v>
      </c>
      <c r="N353" s="134">
        <f t="shared" si="135"/>
        <v>0</v>
      </c>
      <c r="O353" s="135">
        <f t="shared" si="136"/>
        <v>0</v>
      </c>
      <c r="P353" s="132" t="str">
        <f t="shared" si="122"/>
        <v/>
      </c>
      <c r="Q353" s="132" t="str">
        <f t="shared" si="139"/>
        <v/>
      </c>
      <c r="R353" s="132" t="str">
        <f>IF(ISNUMBER(SEARCH("AHO",Import2[[#This Row],[Tenure]])),"AHO",Import2[[#This Row],[Tenure]])&amp;Import2[[#This Row],[Expected Physical Completion Year]]&amp;Import2[[#This Row],[Expected Physical Completion Month]]</f>
        <v>Open market housing</v>
      </c>
      <c r="S353" s="135">
        <f t="shared" si="137"/>
        <v>0</v>
      </c>
      <c r="T353" s="132" t="str">
        <f t="shared" si="142"/>
        <v/>
      </c>
      <c r="U353" s="132" t="str">
        <f t="shared" si="142"/>
        <v/>
      </c>
      <c r="V353" s="132" t="str">
        <f>IF(ISNUMBER(SEARCH("AHO",Import2[[#This Row],[Tenure]])),"AHO",Import2[[#This Row],[Tenure]])&amp;Import2[[#This Row],[Expected sale completion year]]&amp;Import2[[#This Row],[Expected sale completion month]]</f>
        <v>Open market housing</v>
      </c>
      <c r="W353" s="178">
        <f t="shared" si="123"/>
        <v>0</v>
      </c>
    </row>
    <row r="354" spans="1:23" ht="15" customHeight="1">
      <c r="A354" s="132">
        <f t="shared" si="127"/>
        <v>0</v>
      </c>
      <c r="B354" s="133">
        <v>351</v>
      </c>
      <c r="C354" s="132" t="str">
        <f t="shared" si="128"/>
        <v/>
      </c>
      <c r="D354" s="132">
        <f t="shared" si="140"/>
        <v>0</v>
      </c>
      <c r="E354" s="132">
        <f t="shared" si="140"/>
        <v>0</v>
      </c>
      <c r="F354" s="132">
        <f t="shared" si="130"/>
        <v>0</v>
      </c>
      <c r="G354" s="132" t="str">
        <f t="shared" si="140"/>
        <v>Open market housing</v>
      </c>
      <c r="H354" s="132">
        <f t="shared" si="131"/>
        <v>896440000</v>
      </c>
      <c r="I354" s="132" t="str">
        <f t="shared" si="120"/>
        <v>New build</v>
      </c>
      <c r="J354" s="132">
        <f t="shared" si="132"/>
        <v>391930000</v>
      </c>
      <c r="K354" s="132">
        <f t="shared" si="121"/>
        <v>0</v>
      </c>
      <c r="L354" s="132">
        <f t="shared" si="133"/>
        <v>0</v>
      </c>
      <c r="M354" s="132">
        <f t="shared" si="141"/>
        <v>0</v>
      </c>
      <c r="N354" s="134">
        <f t="shared" si="135"/>
        <v>0</v>
      </c>
      <c r="O354" s="135">
        <f t="shared" si="136"/>
        <v>0</v>
      </c>
      <c r="P354" s="132" t="str">
        <f t="shared" si="122"/>
        <v/>
      </c>
      <c r="Q354" s="132" t="str">
        <f t="shared" si="139"/>
        <v/>
      </c>
      <c r="R354" s="132" t="str">
        <f>IF(ISNUMBER(SEARCH("AHO",Import2[[#This Row],[Tenure]])),"AHO",Import2[[#This Row],[Tenure]])&amp;Import2[[#This Row],[Expected Physical Completion Year]]&amp;Import2[[#This Row],[Expected Physical Completion Month]]</f>
        <v>Open market housing</v>
      </c>
      <c r="S354" s="135">
        <f t="shared" si="137"/>
        <v>0</v>
      </c>
      <c r="T354" s="132" t="str">
        <f t="shared" si="142"/>
        <v/>
      </c>
      <c r="U354" s="132" t="str">
        <f t="shared" si="142"/>
        <v/>
      </c>
      <c r="V354" s="132" t="str">
        <f>IF(ISNUMBER(SEARCH("AHO",Import2[[#This Row],[Tenure]])),"AHO",Import2[[#This Row],[Tenure]])&amp;Import2[[#This Row],[Expected sale completion year]]&amp;Import2[[#This Row],[Expected sale completion month]]</f>
        <v>Open market housing</v>
      </c>
      <c r="W354" s="178">
        <f t="shared" si="123"/>
        <v>0</v>
      </c>
    </row>
    <row r="355" spans="1:23" ht="15" customHeight="1">
      <c r="A355" s="132">
        <f t="shared" si="127"/>
        <v>0</v>
      </c>
      <c r="B355" s="133">
        <v>352</v>
      </c>
      <c r="C355" s="132" t="str">
        <f t="shared" si="128"/>
        <v/>
      </c>
      <c r="D355" s="132">
        <f t="shared" si="140"/>
        <v>0</v>
      </c>
      <c r="E355" s="132">
        <f t="shared" si="140"/>
        <v>0</v>
      </c>
      <c r="F355" s="132">
        <f t="shared" si="130"/>
        <v>0</v>
      </c>
      <c r="G355" s="132" t="str">
        <f t="shared" si="140"/>
        <v>Open market housing</v>
      </c>
      <c r="H355" s="132">
        <f t="shared" si="131"/>
        <v>896440000</v>
      </c>
      <c r="I355" s="132" t="str">
        <f t="shared" si="120"/>
        <v>New build</v>
      </c>
      <c r="J355" s="132">
        <f t="shared" si="132"/>
        <v>391930000</v>
      </c>
      <c r="K355" s="132">
        <f t="shared" si="121"/>
        <v>0</v>
      </c>
      <c r="L355" s="132">
        <f t="shared" si="133"/>
        <v>0</v>
      </c>
      <c r="M355" s="132">
        <f t="shared" si="141"/>
        <v>0</v>
      </c>
      <c r="N355" s="134">
        <f t="shared" si="135"/>
        <v>0</v>
      </c>
      <c r="O355" s="135">
        <f t="shared" si="136"/>
        <v>0</v>
      </c>
      <c r="P355" s="132" t="str">
        <f t="shared" si="122"/>
        <v/>
      </c>
      <c r="Q355" s="132" t="str">
        <f t="shared" si="139"/>
        <v/>
      </c>
      <c r="R355" s="132" t="str">
        <f>IF(ISNUMBER(SEARCH("AHO",Import2[[#This Row],[Tenure]])),"AHO",Import2[[#This Row],[Tenure]])&amp;Import2[[#This Row],[Expected Physical Completion Year]]&amp;Import2[[#This Row],[Expected Physical Completion Month]]</f>
        <v>Open market housing</v>
      </c>
      <c r="S355" s="135">
        <f t="shared" si="137"/>
        <v>0</v>
      </c>
      <c r="T355" s="132" t="str">
        <f t="shared" si="142"/>
        <v/>
      </c>
      <c r="U355" s="132" t="str">
        <f t="shared" si="142"/>
        <v/>
      </c>
      <c r="V355" s="132" t="str">
        <f>IF(ISNUMBER(SEARCH("AHO",Import2[[#This Row],[Tenure]])),"AHO",Import2[[#This Row],[Tenure]])&amp;Import2[[#This Row],[Expected sale completion year]]&amp;Import2[[#This Row],[Expected sale completion month]]</f>
        <v>Open market housing</v>
      </c>
      <c r="W355" s="178">
        <f t="shared" si="123"/>
        <v>0</v>
      </c>
    </row>
    <row r="356" spans="1:23" ht="15" customHeight="1">
      <c r="A356" s="132">
        <f t="shared" si="127"/>
        <v>0</v>
      </c>
      <c r="B356" s="133">
        <v>353</v>
      </c>
      <c r="C356" s="132" t="str">
        <f t="shared" si="128"/>
        <v/>
      </c>
      <c r="D356" s="132">
        <f t="shared" si="140"/>
        <v>0</v>
      </c>
      <c r="E356" s="132">
        <f t="shared" si="140"/>
        <v>0</v>
      </c>
      <c r="F356" s="132">
        <f t="shared" si="130"/>
        <v>0</v>
      </c>
      <c r="G356" s="132" t="str">
        <f t="shared" si="140"/>
        <v>Open market housing</v>
      </c>
      <c r="H356" s="132">
        <f t="shared" si="131"/>
        <v>896440000</v>
      </c>
      <c r="I356" s="132" t="str">
        <f t="shared" si="120"/>
        <v>New build</v>
      </c>
      <c r="J356" s="132">
        <f t="shared" si="132"/>
        <v>391930000</v>
      </c>
      <c r="K356" s="132">
        <f t="shared" si="121"/>
        <v>0</v>
      </c>
      <c r="L356" s="132">
        <f t="shared" si="133"/>
        <v>0</v>
      </c>
      <c r="M356" s="132">
        <f t="shared" si="141"/>
        <v>0</v>
      </c>
      <c r="N356" s="134">
        <f t="shared" si="135"/>
        <v>0</v>
      </c>
      <c r="O356" s="135">
        <f t="shared" si="136"/>
        <v>0</v>
      </c>
      <c r="P356" s="132" t="str">
        <f t="shared" si="122"/>
        <v/>
      </c>
      <c r="Q356" s="132" t="str">
        <f t="shared" si="139"/>
        <v/>
      </c>
      <c r="R356" s="132" t="str">
        <f>IF(ISNUMBER(SEARCH("AHO",Import2[[#This Row],[Tenure]])),"AHO",Import2[[#This Row],[Tenure]])&amp;Import2[[#This Row],[Expected Physical Completion Year]]&amp;Import2[[#This Row],[Expected Physical Completion Month]]</f>
        <v>Open market housing</v>
      </c>
      <c r="S356" s="135">
        <f t="shared" si="137"/>
        <v>0</v>
      </c>
      <c r="T356" s="132" t="str">
        <f t="shared" si="142"/>
        <v/>
      </c>
      <c r="U356" s="132" t="str">
        <f t="shared" si="142"/>
        <v/>
      </c>
      <c r="V356" s="132" t="str">
        <f>IF(ISNUMBER(SEARCH("AHO",Import2[[#This Row],[Tenure]])),"AHO",Import2[[#This Row],[Tenure]])&amp;Import2[[#This Row],[Expected sale completion year]]&amp;Import2[[#This Row],[Expected sale completion month]]</f>
        <v>Open market housing</v>
      </c>
      <c r="W356" s="178">
        <f t="shared" si="123"/>
        <v>0</v>
      </c>
    </row>
    <row r="357" spans="1:23" ht="15" customHeight="1">
      <c r="A357" s="132">
        <f t="shared" si="127"/>
        <v>0</v>
      </c>
      <c r="B357" s="133">
        <v>354</v>
      </c>
      <c r="C357" s="132" t="str">
        <f t="shared" si="128"/>
        <v/>
      </c>
      <c r="D357" s="132">
        <f t="shared" si="140"/>
        <v>0</v>
      </c>
      <c r="E357" s="132">
        <f t="shared" si="140"/>
        <v>0</v>
      </c>
      <c r="F357" s="132">
        <f t="shared" si="130"/>
        <v>0</v>
      </c>
      <c r="G357" s="132" t="str">
        <f t="shared" si="140"/>
        <v>Open market housing</v>
      </c>
      <c r="H357" s="132">
        <f t="shared" si="131"/>
        <v>896440000</v>
      </c>
      <c r="I357" s="132" t="str">
        <f t="shared" si="120"/>
        <v>New build</v>
      </c>
      <c r="J357" s="132">
        <f t="shared" si="132"/>
        <v>391930000</v>
      </c>
      <c r="K357" s="132">
        <f t="shared" si="121"/>
        <v>0</v>
      </c>
      <c r="L357" s="132">
        <f t="shared" si="133"/>
        <v>0</v>
      </c>
      <c r="M357" s="132">
        <f t="shared" si="141"/>
        <v>0</v>
      </c>
      <c r="N357" s="134">
        <f t="shared" si="135"/>
        <v>0</v>
      </c>
      <c r="O357" s="135">
        <f t="shared" si="136"/>
        <v>0</v>
      </c>
      <c r="P357" s="132" t="str">
        <f t="shared" si="122"/>
        <v/>
      </c>
      <c r="Q357" s="132" t="str">
        <f t="shared" si="139"/>
        <v/>
      </c>
      <c r="R357" s="132" t="str">
        <f>IF(ISNUMBER(SEARCH("AHO",Import2[[#This Row],[Tenure]])),"AHO",Import2[[#This Row],[Tenure]])&amp;Import2[[#This Row],[Expected Physical Completion Year]]&amp;Import2[[#This Row],[Expected Physical Completion Month]]</f>
        <v>Open market housing</v>
      </c>
      <c r="S357" s="135">
        <f t="shared" si="137"/>
        <v>0</v>
      </c>
      <c r="T357" s="132" t="str">
        <f t="shared" si="142"/>
        <v/>
      </c>
      <c r="U357" s="132" t="str">
        <f t="shared" si="142"/>
        <v/>
      </c>
      <c r="V357" s="132" t="str">
        <f>IF(ISNUMBER(SEARCH("AHO",Import2[[#This Row],[Tenure]])),"AHO",Import2[[#This Row],[Tenure]])&amp;Import2[[#This Row],[Expected sale completion year]]&amp;Import2[[#This Row],[Expected sale completion month]]</f>
        <v>Open market housing</v>
      </c>
      <c r="W357" s="178">
        <f t="shared" si="123"/>
        <v>0</v>
      </c>
    </row>
    <row r="358" spans="1:23" ht="15" customHeight="1">
      <c r="A358" s="132">
        <f t="shared" si="127"/>
        <v>0</v>
      </c>
      <c r="B358" s="133">
        <v>355</v>
      </c>
      <c r="C358" s="132" t="str">
        <f t="shared" si="128"/>
        <v/>
      </c>
      <c r="D358" s="132">
        <f t="shared" si="140"/>
        <v>0</v>
      </c>
      <c r="E358" s="132">
        <f t="shared" si="140"/>
        <v>0</v>
      </c>
      <c r="F358" s="132">
        <f t="shared" si="130"/>
        <v>0</v>
      </c>
      <c r="G358" s="132" t="str">
        <f t="shared" si="140"/>
        <v>Open market housing</v>
      </c>
      <c r="H358" s="132">
        <f t="shared" si="131"/>
        <v>896440000</v>
      </c>
      <c r="I358" s="132" t="str">
        <f t="shared" si="120"/>
        <v>New build</v>
      </c>
      <c r="J358" s="132">
        <f t="shared" si="132"/>
        <v>391930000</v>
      </c>
      <c r="K358" s="132">
        <f t="shared" si="121"/>
        <v>0</v>
      </c>
      <c r="L358" s="132">
        <f t="shared" si="133"/>
        <v>0</v>
      </c>
      <c r="M358" s="132">
        <f t="shared" si="141"/>
        <v>0</v>
      </c>
      <c r="N358" s="134">
        <f t="shared" si="135"/>
        <v>0</v>
      </c>
      <c r="O358" s="135">
        <f t="shared" si="136"/>
        <v>0</v>
      </c>
      <c r="P358" s="132" t="str">
        <f t="shared" si="122"/>
        <v/>
      </c>
      <c r="Q358" s="132" t="str">
        <f t="shared" si="139"/>
        <v/>
      </c>
      <c r="R358" s="132" t="str">
        <f>IF(ISNUMBER(SEARCH("AHO",Import2[[#This Row],[Tenure]])),"AHO",Import2[[#This Row],[Tenure]])&amp;Import2[[#This Row],[Expected Physical Completion Year]]&amp;Import2[[#This Row],[Expected Physical Completion Month]]</f>
        <v>Open market housing</v>
      </c>
      <c r="S358" s="135">
        <f t="shared" si="137"/>
        <v>0</v>
      </c>
      <c r="T358" s="132" t="str">
        <f t="shared" si="142"/>
        <v/>
      </c>
      <c r="U358" s="132" t="str">
        <f t="shared" si="142"/>
        <v/>
      </c>
      <c r="V358" s="132" t="str">
        <f>IF(ISNUMBER(SEARCH("AHO",Import2[[#This Row],[Tenure]])),"AHO",Import2[[#This Row],[Tenure]])&amp;Import2[[#This Row],[Expected sale completion year]]&amp;Import2[[#This Row],[Expected sale completion month]]</f>
        <v>Open market housing</v>
      </c>
      <c r="W358" s="178">
        <f t="shared" si="123"/>
        <v>0</v>
      </c>
    </row>
    <row r="359" spans="1:23" ht="15" customHeight="1">
      <c r="A359" s="132">
        <f t="shared" si="127"/>
        <v>0</v>
      </c>
      <c r="B359" s="133">
        <v>356</v>
      </c>
      <c r="C359" s="132" t="str">
        <f t="shared" si="128"/>
        <v/>
      </c>
      <c r="D359" s="132">
        <f t="shared" si="140"/>
        <v>0</v>
      </c>
      <c r="E359" s="132">
        <f t="shared" si="140"/>
        <v>0</v>
      </c>
      <c r="F359" s="132">
        <f t="shared" si="130"/>
        <v>0</v>
      </c>
      <c r="G359" s="132" t="str">
        <f t="shared" si="140"/>
        <v>Open market housing</v>
      </c>
      <c r="H359" s="132">
        <f t="shared" si="131"/>
        <v>896440000</v>
      </c>
      <c r="I359" s="132" t="str">
        <f t="shared" si="120"/>
        <v>New build</v>
      </c>
      <c r="J359" s="132">
        <f t="shared" si="132"/>
        <v>391930000</v>
      </c>
      <c r="K359" s="132">
        <f t="shared" si="121"/>
        <v>0</v>
      </c>
      <c r="L359" s="132">
        <f t="shared" si="133"/>
        <v>0</v>
      </c>
      <c r="M359" s="132">
        <f t="shared" si="141"/>
        <v>0</v>
      </c>
      <c r="N359" s="134">
        <f t="shared" si="135"/>
        <v>0</v>
      </c>
      <c r="O359" s="135">
        <f t="shared" si="136"/>
        <v>0</v>
      </c>
      <c r="P359" s="132" t="str">
        <f t="shared" si="122"/>
        <v/>
      </c>
      <c r="Q359" s="132" t="str">
        <f t="shared" si="139"/>
        <v/>
      </c>
      <c r="R359" s="132" t="str">
        <f>IF(ISNUMBER(SEARCH("AHO",Import2[[#This Row],[Tenure]])),"AHO",Import2[[#This Row],[Tenure]])&amp;Import2[[#This Row],[Expected Physical Completion Year]]&amp;Import2[[#This Row],[Expected Physical Completion Month]]</f>
        <v>Open market housing</v>
      </c>
      <c r="S359" s="135">
        <f t="shared" si="137"/>
        <v>0</v>
      </c>
      <c r="T359" s="132" t="str">
        <f t="shared" si="142"/>
        <v/>
      </c>
      <c r="U359" s="132" t="str">
        <f t="shared" si="142"/>
        <v/>
      </c>
      <c r="V359" s="132" t="str">
        <f>IF(ISNUMBER(SEARCH("AHO",Import2[[#This Row],[Tenure]])),"AHO",Import2[[#This Row],[Tenure]])&amp;Import2[[#This Row],[Expected sale completion year]]&amp;Import2[[#This Row],[Expected sale completion month]]</f>
        <v>Open market housing</v>
      </c>
      <c r="W359" s="178">
        <f t="shared" si="123"/>
        <v>0</v>
      </c>
    </row>
    <row r="360" spans="1:23" ht="15" customHeight="1">
      <c r="A360" s="132">
        <f t="shared" si="127"/>
        <v>0</v>
      </c>
      <c r="B360" s="133">
        <v>357</v>
      </c>
      <c r="C360" s="132" t="str">
        <f t="shared" si="128"/>
        <v/>
      </c>
      <c r="D360" s="132">
        <f t="shared" si="140"/>
        <v>0</v>
      </c>
      <c r="E360" s="132">
        <f t="shared" si="140"/>
        <v>0</v>
      </c>
      <c r="F360" s="132">
        <f t="shared" si="130"/>
        <v>0</v>
      </c>
      <c r="G360" s="132" t="str">
        <f t="shared" si="140"/>
        <v>Open market housing</v>
      </c>
      <c r="H360" s="132">
        <f t="shared" si="131"/>
        <v>896440000</v>
      </c>
      <c r="I360" s="132" t="str">
        <f t="shared" ref="I360:I423" si="143">INDEX(PlotData,MATCH($B360,PlotNumber,0),MATCH(I$3,PlotTitles,0))</f>
        <v>New build</v>
      </c>
      <c r="J360" s="132">
        <f t="shared" si="132"/>
        <v>391930000</v>
      </c>
      <c r="K360" s="132">
        <f t="shared" ref="K360:K423" si="144">INDEX(PlotData,MATCH($B360,PlotNumber,0),MATCH(K$3,PlotTitles,0))</f>
        <v>0</v>
      </c>
      <c r="L360" s="132">
        <f t="shared" si="133"/>
        <v>0</v>
      </c>
      <c r="M360" s="132">
        <f t="shared" si="141"/>
        <v>0</v>
      </c>
      <c r="N360" s="134">
        <f t="shared" si="135"/>
        <v>0</v>
      </c>
      <c r="O360" s="135">
        <f t="shared" si="136"/>
        <v>0</v>
      </c>
      <c r="P360" s="132" t="str">
        <f t="shared" ref="P360:P423" si="145">IF(INDEX(PlotData,MATCH($B360,PlotNumber,0),MATCH(P$3,PlotTitles,0))=0,"",INDEX(PlotData,MATCH($B360,PlotNumber,0),MATCH(P$3,PlotTitles,0)))</f>
        <v/>
      </c>
      <c r="Q360" s="132" t="str">
        <f t="shared" si="139"/>
        <v/>
      </c>
      <c r="R360" s="132" t="str">
        <f>IF(ISNUMBER(SEARCH("AHO",Import2[[#This Row],[Tenure]])),"AHO",Import2[[#This Row],[Tenure]])&amp;Import2[[#This Row],[Expected Physical Completion Year]]&amp;Import2[[#This Row],[Expected Physical Completion Month]]</f>
        <v>Open market housing</v>
      </c>
      <c r="S360" s="135">
        <f t="shared" si="137"/>
        <v>0</v>
      </c>
      <c r="T360" s="132" t="str">
        <f t="shared" si="142"/>
        <v/>
      </c>
      <c r="U360" s="132" t="str">
        <f t="shared" si="142"/>
        <v/>
      </c>
      <c r="V360" s="132" t="str">
        <f>IF(ISNUMBER(SEARCH("AHO",Import2[[#This Row],[Tenure]])),"AHO",Import2[[#This Row],[Tenure]])&amp;Import2[[#This Row],[Expected sale completion year]]&amp;Import2[[#This Row],[Expected sale completion month]]</f>
        <v>Open market housing</v>
      </c>
      <c r="W360" s="178">
        <f t="shared" ref="W360:W423" si="146">INDEX(PlotData,MATCH($B360,PlotNumber,0),MATCH(W$3,PlotTitles,0))</f>
        <v>0</v>
      </c>
    </row>
    <row r="361" spans="1:23" ht="15" customHeight="1">
      <c r="A361" s="132">
        <f t="shared" si="127"/>
        <v>0</v>
      </c>
      <c r="B361" s="133">
        <v>358</v>
      </c>
      <c r="C361" s="132" t="str">
        <f t="shared" si="128"/>
        <v/>
      </c>
      <c r="D361" s="132">
        <f t="shared" si="140"/>
        <v>0</v>
      </c>
      <c r="E361" s="132">
        <f t="shared" si="140"/>
        <v>0</v>
      </c>
      <c r="F361" s="132">
        <f t="shared" si="130"/>
        <v>0</v>
      </c>
      <c r="G361" s="132" t="str">
        <f t="shared" si="140"/>
        <v>Open market housing</v>
      </c>
      <c r="H361" s="132">
        <f t="shared" si="131"/>
        <v>896440000</v>
      </c>
      <c r="I361" s="132" t="str">
        <f t="shared" si="143"/>
        <v>New build</v>
      </c>
      <c r="J361" s="132">
        <f t="shared" si="132"/>
        <v>391930000</v>
      </c>
      <c r="K361" s="132">
        <f t="shared" si="144"/>
        <v>0</v>
      </c>
      <c r="L361" s="132">
        <f t="shared" si="133"/>
        <v>0</v>
      </c>
      <c r="M361" s="132">
        <f t="shared" si="141"/>
        <v>0</v>
      </c>
      <c r="N361" s="134">
        <f t="shared" si="135"/>
        <v>0</v>
      </c>
      <c r="O361" s="135">
        <f t="shared" si="136"/>
        <v>0</v>
      </c>
      <c r="P361" s="132" t="str">
        <f t="shared" si="145"/>
        <v/>
      </c>
      <c r="Q361" s="132" t="str">
        <f t="shared" si="139"/>
        <v/>
      </c>
      <c r="R361" s="132" t="str">
        <f>IF(ISNUMBER(SEARCH("AHO",Import2[[#This Row],[Tenure]])),"AHO",Import2[[#This Row],[Tenure]])&amp;Import2[[#This Row],[Expected Physical Completion Year]]&amp;Import2[[#This Row],[Expected Physical Completion Month]]</f>
        <v>Open market housing</v>
      </c>
      <c r="S361" s="135">
        <f t="shared" si="137"/>
        <v>0</v>
      </c>
      <c r="T361" s="132" t="str">
        <f t="shared" si="142"/>
        <v/>
      </c>
      <c r="U361" s="132" t="str">
        <f t="shared" si="142"/>
        <v/>
      </c>
      <c r="V361" s="132" t="str">
        <f>IF(ISNUMBER(SEARCH("AHO",Import2[[#This Row],[Tenure]])),"AHO",Import2[[#This Row],[Tenure]])&amp;Import2[[#This Row],[Expected sale completion year]]&amp;Import2[[#This Row],[Expected sale completion month]]</f>
        <v>Open market housing</v>
      </c>
      <c r="W361" s="178">
        <f t="shared" si="146"/>
        <v>0</v>
      </c>
    </row>
    <row r="362" spans="1:23" ht="15" customHeight="1">
      <c r="A362" s="132">
        <f t="shared" si="127"/>
        <v>0</v>
      </c>
      <c r="B362" s="133">
        <v>359</v>
      </c>
      <c r="C362" s="132" t="str">
        <f t="shared" si="128"/>
        <v/>
      </c>
      <c r="D362" s="132">
        <f t="shared" si="140"/>
        <v>0</v>
      </c>
      <c r="E362" s="132">
        <f t="shared" si="140"/>
        <v>0</v>
      </c>
      <c r="F362" s="132">
        <f t="shared" si="130"/>
        <v>0</v>
      </c>
      <c r="G362" s="132" t="str">
        <f t="shared" si="140"/>
        <v>Open market housing</v>
      </c>
      <c r="H362" s="132">
        <f t="shared" si="131"/>
        <v>896440000</v>
      </c>
      <c r="I362" s="132" t="str">
        <f t="shared" si="143"/>
        <v>New build</v>
      </c>
      <c r="J362" s="132">
        <f t="shared" si="132"/>
        <v>391930000</v>
      </c>
      <c r="K362" s="132">
        <f t="shared" si="144"/>
        <v>0</v>
      </c>
      <c r="L362" s="132">
        <f t="shared" si="133"/>
        <v>0</v>
      </c>
      <c r="M362" s="132">
        <f t="shared" si="141"/>
        <v>0</v>
      </c>
      <c r="N362" s="134">
        <f t="shared" si="135"/>
        <v>0</v>
      </c>
      <c r="O362" s="135">
        <f t="shared" si="136"/>
        <v>0</v>
      </c>
      <c r="P362" s="132" t="str">
        <f t="shared" si="145"/>
        <v/>
      </c>
      <c r="Q362" s="132" t="str">
        <f t="shared" si="139"/>
        <v/>
      </c>
      <c r="R362" s="132" t="str">
        <f>IF(ISNUMBER(SEARCH("AHO",Import2[[#This Row],[Tenure]])),"AHO",Import2[[#This Row],[Tenure]])&amp;Import2[[#This Row],[Expected Physical Completion Year]]&amp;Import2[[#This Row],[Expected Physical Completion Month]]</f>
        <v>Open market housing</v>
      </c>
      <c r="S362" s="135">
        <f t="shared" si="137"/>
        <v>0</v>
      </c>
      <c r="T362" s="132" t="str">
        <f t="shared" si="142"/>
        <v/>
      </c>
      <c r="U362" s="132" t="str">
        <f t="shared" si="142"/>
        <v/>
      </c>
      <c r="V362" s="132" t="str">
        <f>IF(ISNUMBER(SEARCH("AHO",Import2[[#This Row],[Tenure]])),"AHO",Import2[[#This Row],[Tenure]])&amp;Import2[[#This Row],[Expected sale completion year]]&amp;Import2[[#This Row],[Expected sale completion month]]</f>
        <v>Open market housing</v>
      </c>
      <c r="W362" s="178">
        <f t="shared" si="146"/>
        <v>0</v>
      </c>
    </row>
    <row r="363" spans="1:23" ht="15" customHeight="1">
      <c r="A363" s="132">
        <f t="shared" si="127"/>
        <v>0</v>
      </c>
      <c r="B363" s="133">
        <v>360</v>
      </c>
      <c r="C363" s="132" t="str">
        <f t="shared" si="128"/>
        <v/>
      </c>
      <c r="D363" s="132">
        <f t="shared" si="140"/>
        <v>0</v>
      </c>
      <c r="E363" s="132">
        <f t="shared" si="140"/>
        <v>0</v>
      </c>
      <c r="F363" s="132">
        <f t="shared" si="130"/>
        <v>0</v>
      </c>
      <c r="G363" s="132" t="str">
        <f t="shared" si="140"/>
        <v>Open market housing</v>
      </c>
      <c r="H363" s="132">
        <f t="shared" si="131"/>
        <v>896440000</v>
      </c>
      <c r="I363" s="132" t="str">
        <f t="shared" si="143"/>
        <v>New build</v>
      </c>
      <c r="J363" s="132">
        <f t="shared" si="132"/>
        <v>391930000</v>
      </c>
      <c r="K363" s="132">
        <f t="shared" si="144"/>
        <v>0</v>
      </c>
      <c r="L363" s="132">
        <f t="shared" si="133"/>
        <v>0</v>
      </c>
      <c r="M363" s="132">
        <f t="shared" si="141"/>
        <v>0</v>
      </c>
      <c r="N363" s="134">
        <f t="shared" si="135"/>
        <v>0</v>
      </c>
      <c r="O363" s="135">
        <f t="shared" si="136"/>
        <v>0</v>
      </c>
      <c r="P363" s="132" t="str">
        <f t="shared" si="145"/>
        <v/>
      </c>
      <c r="Q363" s="132" t="str">
        <f t="shared" si="139"/>
        <v/>
      </c>
      <c r="R363" s="132" t="str">
        <f>IF(ISNUMBER(SEARCH("AHO",Import2[[#This Row],[Tenure]])),"AHO",Import2[[#This Row],[Tenure]])&amp;Import2[[#This Row],[Expected Physical Completion Year]]&amp;Import2[[#This Row],[Expected Physical Completion Month]]</f>
        <v>Open market housing</v>
      </c>
      <c r="S363" s="135">
        <f t="shared" si="137"/>
        <v>0</v>
      </c>
      <c r="T363" s="132" t="str">
        <f t="shared" si="142"/>
        <v/>
      </c>
      <c r="U363" s="132" t="str">
        <f t="shared" si="142"/>
        <v/>
      </c>
      <c r="V363" s="132" t="str">
        <f>IF(ISNUMBER(SEARCH("AHO",Import2[[#This Row],[Tenure]])),"AHO",Import2[[#This Row],[Tenure]])&amp;Import2[[#This Row],[Expected sale completion year]]&amp;Import2[[#This Row],[Expected sale completion month]]</f>
        <v>Open market housing</v>
      </c>
      <c r="W363" s="178">
        <f t="shared" si="146"/>
        <v>0</v>
      </c>
    </row>
    <row r="364" spans="1:23" ht="15" customHeight="1">
      <c r="A364" s="132">
        <f t="shared" si="127"/>
        <v>0</v>
      </c>
      <c r="B364" s="133">
        <v>361</v>
      </c>
      <c r="C364" s="132" t="str">
        <f t="shared" si="128"/>
        <v/>
      </c>
      <c r="D364" s="132">
        <f t="shared" ref="D364:G383" si="147">INDEX(PlotData,MATCH($B364,PlotNumber,0),MATCH(D$3,PlotTitles,0))</f>
        <v>0</v>
      </c>
      <c r="E364" s="132">
        <f t="shared" si="147"/>
        <v>0</v>
      </c>
      <c r="F364" s="132">
        <f t="shared" si="130"/>
        <v>0</v>
      </c>
      <c r="G364" s="132" t="str">
        <f t="shared" si="147"/>
        <v>Open market housing</v>
      </c>
      <c r="H364" s="132">
        <f t="shared" si="131"/>
        <v>896440000</v>
      </c>
      <c r="I364" s="132" t="str">
        <f t="shared" si="143"/>
        <v>New build</v>
      </c>
      <c r="J364" s="132">
        <f t="shared" si="132"/>
        <v>391930000</v>
      </c>
      <c r="K364" s="132">
        <f t="shared" si="144"/>
        <v>0</v>
      </c>
      <c r="L364" s="132">
        <f t="shared" si="133"/>
        <v>0</v>
      </c>
      <c r="M364" s="132">
        <f t="shared" ref="M364:M383" si="148">INDEX(PlotData,MATCH($B364,PlotNumber,0),MATCH(M$3,PlotTitles,0))</f>
        <v>0</v>
      </c>
      <c r="N364" s="134">
        <f t="shared" si="135"/>
        <v>0</v>
      </c>
      <c r="O364" s="135">
        <f t="shared" si="136"/>
        <v>0</v>
      </c>
      <c r="P364" s="132" t="str">
        <f t="shared" si="145"/>
        <v/>
      </c>
      <c r="Q364" s="132" t="str">
        <f t="shared" si="139"/>
        <v/>
      </c>
      <c r="R364" s="132" t="str">
        <f>IF(ISNUMBER(SEARCH("AHO",Import2[[#This Row],[Tenure]])),"AHO",Import2[[#This Row],[Tenure]])&amp;Import2[[#This Row],[Expected Physical Completion Year]]&amp;Import2[[#This Row],[Expected Physical Completion Month]]</f>
        <v>Open market housing</v>
      </c>
      <c r="S364" s="135">
        <f t="shared" si="137"/>
        <v>0</v>
      </c>
      <c r="T364" s="132" t="str">
        <f t="shared" ref="T364:U383" si="149">IF(INDEX(PlotData,MATCH($B364,PlotNumber,0),MATCH(T$3,PlotTitles,0))=0,"",INDEX(PlotData,MATCH($B364,PlotNumber,0),MATCH(T$3,PlotTitles,0)))</f>
        <v/>
      </c>
      <c r="U364" s="132" t="str">
        <f t="shared" si="149"/>
        <v/>
      </c>
      <c r="V364" s="132" t="str">
        <f>IF(ISNUMBER(SEARCH("AHO",Import2[[#This Row],[Tenure]])),"AHO",Import2[[#This Row],[Tenure]])&amp;Import2[[#This Row],[Expected sale completion year]]&amp;Import2[[#This Row],[Expected sale completion month]]</f>
        <v>Open market housing</v>
      </c>
      <c r="W364" s="178">
        <f t="shared" si="146"/>
        <v>0</v>
      </c>
    </row>
    <row r="365" spans="1:23" ht="15" customHeight="1">
      <c r="A365" s="132">
        <f t="shared" si="127"/>
        <v>0</v>
      </c>
      <c r="B365" s="133">
        <v>362</v>
      </c>
      <c r="C365" s="132" t="str">
        <f t="shared" si="128"/>
        <v/>
      </c>
      <c r="D365" s="132">
        <f t="shared" si="147"/>
        <v>0</v>
      </c>
      <c r="E365" s="132">
        <f t="shared" si="147"/>
        <v>0</v>
      </c>
      <c r="F365" s="132">
        <f t="shared" si="130"/>
        <v>0</v>
      </c>
      <c r="G365" s="132" t="str">
        <f t="shared" si="147"/>
        <v>Open market housing</v>
      </c>
      <c r="H365" s="132">
        <f t="shared" si="131"/>
        <v>896440000</v>
      </c>
      <c r="I365" s="132" t="str">
        <f t="shared" si="143"/>
        <v>New build</v>
      </c>
      <c r="J365" s="132">
        <f t="shared" si="132"/>
        <v>391930000</v>
      </c>
      <c r="K365" s="132">
        <f t="shared" si="144"/>
        <v>0</v>
      </c>
      <c r="L365" s="132">
        <f t="shared" si="133"/>
        <v>0</v>
      </c>
      <c r="M365" s="132">
        <f t="shared" si="148"/>
        <v>0</v>
      </c>
      <c r="N365" s="134">
        <f t="shared" si="135"/>
        <v>0</v>
      </c>
      <c r="O365" s="135">
        <f t="shared" si="136"/>
        <v>0</v>
      </c>
      <c r="P365" s="132" t="str">
        <f t="shared" si="145"/>
        <v/>
      </c>
      <c r="Q365" s="132" t="str">
        <f t="shared" si="139"/>
        <v/>
      </c>
      <c r="R365" s="132" t="str">
        <f>IF(ISNUMBER(SEARCH("AHO",Import2[[#This Row],[Tenure]])),"AHO",Import2[[#This Row],[Tenure]])&amp;Import2[[#This Row],[Expected Physical Completion Year]]&amp;Import2[[#This Row],[Expected Physical Completion Month]]</f>
        <v>Open market housing</v>
      </c>
      <c r="S365" s="135">
        <f t="shared" si="137"/>
        <v>0</v>
      </c>
      <c r="T365" s="132" t="str">
        <f t="shared" si="149"/>
        <v/>
      </c>
      <c r="U365" s="132" t="str">
        <f t="shared" si="149"/>
        <v/>
      </c>
      <c r="V365" s="132" t="str">
        <f>IF(ISNUMBER(SEARCH("AHO",Import2[[#This Row],[Tenure]])),"AHO",Import2[[#This Row],[Tenure]])&amp;Import2[[#This Row],[Expected sale completion year]]&amp;Import2[[#This Row],[Expected sale completion month]]</f>
        <v>Open market housing</v>
      </c>
      <c r="W365" s="178">
        <f t="shared" si="146"/>
        <v>0</v>
      </c>
    </row>
    <row r="366" spans="1:23" ht="15" customHeight="1">
      <c r="A366" s="132">
        <f t="shared" si="127"/>
        <v>0</v>
      </c>
      <c r="B366" s="133">
        <v>363</v>
      </c>
      <c r="C366" s="132" t="str">
        <f t="shared" si="128"/>
        <v/>
      </c>
      <c r="D366" s="132">
        <f t="shared" si="147"/>
        <v>0</v>
      </c>
      <c r="E366" s="132">
        <f t="shared" si="147"/>
        <v>0</v>
      </c>
      <c r="F366" s="132">
        <f t="shared" si="130"/>
        <v>0</v>
      </c>
      <c r="G366" s="132" t="str">
        <f t="shared" si="147"/>
        <v>Open market housing</v>
      </c>
      <c r="H366" s="132">
        <f t="shared" si="131"/>
        <v>896440000</v>
      </c>
      <c r="I366" s="132" t="str">
        <f t="shared" si="143"/>
        <v>New build</v>
      </c>
      <c r="J366" s="132">
        <f t="shared" si="132"/>
        <v>391930000</v>
      </c>
      <c r="K366" s="132">
        <f t="shared" si="144"/>
        <v>0</v>
      </c>
      <c r="L366" s="132">
        <f t="shared" si="133"/>
        <v>0</v>
      </c>
      <c r="M366" s="132">
        <f t="shared" si="148"/>
        <v>0</v>
      </c>
      <c r="N366" s="134">
        <f t="shared" si="135"/>
        <v>0</v>
      </c>
      <c r="O366" s="135">
        <f t="shared" si="136"/>
        <v>0</v>
      </c>
      <c r="P366" s="132" t="str">
        <f t="shared" si="145"/>
        <v/>
      </c>
      <c r="Q366" s="132" t="str">
        <f t="shared" si="139"/>
        <v/>
      </c>
      <c r="R366" s="132" t="str">
        <f>IF(ISNUMBER(SEARCH("AHO",Import2[[#This Row],[Tenure]])),"AHO",Import2[[#This Row],[Tenure]])&amp;Import2[[#This Row],[Expected Physical Completion Year]]&amp;Import2[[#This Row],[Expected Physical Completion Month]]</f>
        <v>Open market housing</v>
      </c>
      <c r="S366" s="135">
        <f t="shared" si="137"/>
        <v>0</v>
      </c>
      <c r="T366" s="132" t="str">
        <f t="shared" si="149"/>
        <v/>
      </c>
      <c r="U366" s="132" t="str">
        <f t="shared" si="149"/>
        <v/>
      </c>
      <c r="V366" s="132" t="str">
        <f>IF(ISNUMBER(SEARCH("AHO",Import2[[#This Row],[Tenure]])),"AHO",Import2[[#This Row],[Tenure]])&amp;Import2[[#This Row],[Expected sale completion year]]&amp;Import2[[#This Row],[Expected sale completion month]]</f>
        <v>Open market housing</v>
      </c>
      <c r="W366" s="178">
        <f t="shared" si="146"/>
        <v>0</v>
      </c>
    </row>
    <row r="367" spans="1:23" ht="15" customHeight="1">
      <c r="A367" s="132">
        <f t="shared" si="127"/>
        <v>0</v>
      </c>
      <c r="B367" s="133">
        <v>364</v>
      </c>
      <c r="C367" s="132" t="str">
        <f t="shared" si="128"/>
        <v/>
      </c>
      <c r="D367" s="132">
        <f t="shared" si="147"/>
        <v>0</v>
      </c>
      <c r="E367" s="132">
        <f t="shared" si="147"/>
        <v>0</v>
      </c>
      <c r="F367" s="132">
        <f t="shared" si="130"/>
        <v>0</v>
      </c>
      <c r="G367" s="132" t="str">
        <f t="shared" si="147"/>
        <v>Open market housing</v>
      </c>
      <c r="H367" s="132">
        <f t="shared" si="131"/>
        <v>896440000</v>
      </c>
      <c r="I367" s="132" t="str">
        <f t="shared" si="143"/>
        <v>New build</v>
      </c>
      <c r="J367" s="132">
        <f t="shared" si="132"/>
        <v>391930000</v>
      </c>
      <c r="K367" s="132">
        <f t="shared" si="144"/>
        <v>0</v>
      </c>
      <c r="L367" s="132">
        <f t="shared" si="133"/>
        <v>0</v>
      </c>
      <c r="M367" s="132">
        <f t="shared" si="148"/>
        <v>0</v>
      </c>
      <c r="N367" s="134">
        <f t="shared" si="135"/>
        <v>0</v>
      </c>
      <c r="O367" s="135">
        <f t="shared" si="136"/>
        <v>0</v>
      </c>
      <c r="P367" s="132" t="str">
        <f t="shared" si="145"/>
        <v/>
      </c>
      <c r="Q367" s="132" t="str">
        <f t="shared" si="139"/>
        <v/>
      </c>
      <c r="R367" s="132" t="str">
        <f>IF(ISNUMBER(SEARCH("AHO",Import2[[#This Row],[Tenure]])),"AHO",Import2[[#This Row],[Tenure]])&amp;Import2[[#This Row],[Expected Physical Completion Year]]&amp;Import2[[#This Row],[Expected Physical Completion Month]]</f>
        <v>Open market housing</v>
      </c>
      <c r="S367" s="135">
        <f t="shared" si="137"/>
        <v>0</v>
      </c>
      <c r="T367" s="132" t="str">
        <f t="shared" si="149"/>
        <v/>
      </c>
      <c r="U367" s="132" t="str">
        <f t="shared" si="149"/>
        <v/>
      </c>
      <c r="V367" s="132" t="str">
        <f>IF(ISNUMBER(SEARCH("AHO",Import2[[#This Row],[Tenure]])),"AHO",Import2[[#This Row],[Tenure]])&amp;Import2[[#This Row],[Expected sale completion year]]&amp;Import2[[#This Row],[Expected sale completion month]]</f>
        <v>Open market housing</v>
      </c>
      <c r="W367" s="178">
        <f t="shared" si="146"/>
        <v>0</v>
      </c>
    </row>
    <row r="368" spans="1:23" ht="15" customHeight="1">
      <c r="A368" s="132">
        <f t="shared" si="127"/>
        <v>0</v>
      </c>
      <c r="B368" s="133">
        <v>365</v>
      </c>
      <c r="C368" s="132" t="str">
        <f t="shared" si="128"/>
        <v/>
      </c>
      <c r="D368" s="132">
        <f t="shared" si="147"/>
        <v>0</v>
      </c>
      <c r="E368" s="132">
        <f t="shared" si="147"/>
        <v>0</v>
      </c>
      <c r="F368" s="132">
        <f t="shared" si="130"/>
        <v>0</v>
      </c>
      <c r="G368" s="132" t="str">
        <f t="shared" si="147"/>
        <v>Open market housing</v>
      </c>
      <c r="H368" s="132">
        <f t="shared" si="131"/>
        <v>896440000</v>
      </c>
      <c r="I368" s="132" t="str">
        <f t="shared" si="143"/>
        <v>New build</v>
      </c>
      <c r="J368" s="132">
        <f t="shared" si="132"/>
        <v>391930000</v>
      </c>
      <c r="K368" s="132">
        <f t="shared" si="144"/>
        <v>0</v>
      </c>
      <c r="L368" s="132">
        <f t="shared" si="133"/>
        <v>0</v>
      </c>
      <c r="M368" s="132">
        <f t="shared" si="148"/>
        <v>0</v>
      </c>
      <c r="N368" s="134">
        <f t="shared" si="135"/>
        <v>0</v>
      </c>
      <c r="O368" s="135">
        <f t="shared" si="136"/>
        <v>0</v>
      </c>
      <c r="P368" s="132" t="str">
        <f t="shared" si="145"/>
        <v/>
      </c>
      <c r="Q368" s="132" t="str">
        <f t="shared" si="139"/>
        <v/>
      </c>
      <c r="R368" s="132" t="str">
        <f>IF(ISNUMBER(SEARCH("AHO",Import2[[#This Row],[Tenure]])),"AHO",Import2[[#This Row],[Tenure]])&amp;Import2[[#This Row],[Expected Physical Completion Year]]&amp;Import2[[#This Row],[Expected Physical Completion Month]]</f>
        <v>Open market housing</v>
      </c>
      <c r="S368" s="135">
        <f t="shared" si="137"/>
        <v>0</v>
      </c>
      <c r="T368" s="132" t="str">
        <f t="shared" si="149"/>
        <v/>
      </c>
      <c r="U368" s="132" t="str">
        <f t="shared" si="149"/>
        <v/>
      </c>
      <c r="V368" s="132" t="str">
        <f>IF(ISNUMBER(SEARCH("AHO",Import2[[#This Row],[Tenure]])),"AHO",Import2[[#This Row],[Tenure]])&amp;Import2[[#This Row],[Expected sale completion year]]&amp;Import2[[#This Row],[Expected sale completion month]]</f>
        <v>Open market housing</v>
      </c>
      <c r="W368" s="178">
        <f t="shared" si="146"/>
        <v>0</v>
      </c>
    </row>
    <row r="369" spans="1:23" ht="15" customHeight="1">
      <c r="A369" s="132">
        <f t="shared" si="127"/>
        <v>0</v>
      </c>
      <c r="B369" s="133">
        <v>366</v>
      </c>
      <c r="C369" s="132" t="str">
        <f t="shared" si="128"/>
        <v/>
      </c>
      <c r="D369" s="132">
        <f t="shared" si="147"/>
        <v>0</v>
      </c>
      <c r="E369" s="132">
        <f t="shared" si="147"/>
        <v>0</v>
      </c>
      <c r="F369" s="132">
        <f t="shared" si="130"/>
        <v>0</v>
      </c>
      <c r="G369" s="132" t="str">
        <f t="shared" si="147"/>
        <v>Open market housing</v>
      </c>
      <c r="H369" s="132">
        <f t="shared" si="131"/>
        <v>896440000</v>
      </c>
      <c r="I369" s="132" t="str">
        <f t="shared" si="143"/>
        <v>New build</v>
      </c>
      <c r="J369" s="132">
        <f t="shared" si="132"/>
        <v>391930000</v>
      </c>
      <c r="K369" s="132">
        <f t="shared" si="144"/>
        <v>0</v>
      </c>
      <c r="L369" s="132">
        <f t="shared" si="133"/>
        <v>0</v>
      </c>
      <c r="M369" s="132">
        <f t="shared" si="148"/>
        <v>0</v>
      </c>
      <c r="N369" s="134">
        <f t="shared" si="135"/>
        <v>0</v>
      </c>
      <c r="O369" s="135">
        <f t="shared" si="136"/>
        <v>0</v>
      </c>
      <c r="P369" s="132" t="str">
        <f t="shared" si="145"/>
        <v/>
      </c>
      <c r="Q369" s="132" t="str">
        <f t="shared" si="139"/>
        <v/>
      </c>
      <c r="R369" s="132" t="str">
        <f>IF(ISNUMBER(SEARCH("AHO",Import2[[#This Row],[Tenure]])),"AHO",Import2[[#This Row],[Tenure]])&amp;Import2[[#This Row],[Expected Physical Completion Year]]&amp;Import2[[#This Row],[Expected Physical Completion Month]]</f>
        <v>Open market housing</v>
      </c>
      <c r="S369" s="135">
        <f t="shared" si="137"/>
        <v>0</v>
      </c>
      <c r="T369" s="132" t="str">
        <f t="shared" si="149"/>
        <v/>
      </c>
      <c r="U369" s="132" t="str">
        <f t="shared" si="149"/>
        <v/>
      </c>
      <c r="V369" s="132" t="str">
        <f>IF(ISNUMBER(SEARCH("AHO",Import2[[#This Row],[Tenure]])),"AHO",Import2[[#This Row],[Tenure]])&amp;Import2[[#This Row],[Expected sale completion year]]&amp;Import2[[#This Row],[Expected sale completion month]]</f>
        <v>Open market housing</v>
      </c>
      <c r="W369" s="178">
        <f t="shared" si="146"/>
        <v>0</v>
      </c>
    </row>
    <row r="370" spans="1:23" ht="15" customHeight="1">
      <c r="A370" s="132">
        <f t="shared" si="127"/>
        <v>0</v>
      </c>
      <c r="B370" s="133">
        <v>367</v>
      </c>
      <c r="C370" s="132" t="str">
        <f t="shared" si="128"/>
        <v/>
      </c>
      <c r="D370" s="132">
        <f t="shared" si="147"/>
        <v>0</v>
      </c>
      <c r="E370" s="132">
        <f t="shared" si="147"/>
        <v>0</v>
      </c>
      <c r="F370" s="132">
        <f t="shared" si="130"/>
        <v>0</v>
      </c>
      <c r="G370" s="132" t="str">
        <f t="shared" si="147"/>
        <v>Open market housing</v>
      </c>
      <c r="H370" s="132">
        <f t="shared" si="131"/>
        <v>896440000</v>
      </c>
      <c r="I370" s="132" t="str">
        <f t="shared" si="143"/>
        <v>New build</v>
      </c>
      <c r="J370" s="132">
        <f t="shared" si="132"/>
        <v>391930000</v>
      </c>
      <c r="K370" s="132">
        <f t="shared" si="144"/>
        <v>0</v>
      </c>
      <c r="L370" s="132">
        <f t="shared" si="133"/>
        <v>0</v>
      </c>
      <c r="M370" s="132">
        <f t="shared" si="148"/>
        <v>0</v>
      </c>
      <c r="N370" s="134">
        <f t="shared" si="135"/>
        <v>0</v>
      </c>
      <c r="O370" s="135">
        <f t="shared" si="136"/>
        <v>0</v>
      </c>
      <c r="P370" s="132" t="str">
        <f t="shared" si="145"/>
        <v/>
      </c>
      <c r="Q370" s="132" t="str">
        <f t="shared" si="139"/>
        <v/>
      </c>
      <c r="R370" s="132" t="str">
        <f>IF(ISNUMBER(SEARCH("AHO",Import2[[#This Row],[Tenure]])),"AHO",Import2[[#This Row],[Tenure]])&amp;Import2[[#This Row],[Expected Physical Completion Year]]&amp;Import2[[#This Row],[Expected Physical Completion Month]]</f>
        <v>Open market housing</v>
      </c>
      <c r="S370" s="135">
        <f t="shared" si="137"/>
        <v>0</v>
      </c>
      <c r="T370" s="132" t="str">
        <f t="shared" si="149"/>
        <v/>
      </c>
      <c r="U370" s="132" t="str">
        <f t="shared" si="149"/>
        <v/>
      </c>
      <c r="V370" s="132" t="str">
        <f>IF(ISNUMBER(SEARCH("AHO",Import2[[#This Row],[Tenure]])),"AHO",Import2[[#This Row],[Tenure]])&amp;Import2[[#This Row],[Expected sale completion year]]&amp;Import2[[#This Row],[Expected sale completion month]]</f>
        <v>Open market housing</v>
      </c>
      <c r="W370" s="178">
        <f t="shared" si="146"/>
        <v>0</v>
      </c>
    </row>
    <row r="371" spans="1:23" ht="15" customHeight="1">
      <c r="A371" s="132">
        <f t="shared" si="127"/>
        <v>0</v>
      </c>
      <c r="B371" s="133">
        <v>368</v>
      </c>
      <c r="C371" s="132" t="str">
        <f t="shared" si="128"/>
        <v/>
      </c>
      <c r="D371" s="132">
        <f t="shared" si="147"/>
        <v>0</v>
      </c>
      <c r="E371" s="132">
        <f t="shared" si="147"/>
        <v>0</v>
      </c>
      <c r="F371" s="132">
        <f t="shared" si="130"/>
        <v>0</v>
      </c>
      <c r="G371" s="132" t="str">
        <f t="shared" si="147"/>
        <v>Open market housing</v>
      </c>
      <c r="H371" s="132">
        <f t="shared" si="131"/>
        <v>896440000</v>
      </c>
      <c r="I371" s="132" t="str">
        <f t="shared" si="143"/>
        <v>New build</v>
      </c>
      <c r="J371" s="132">
        <f t="shared" si="132"/>
        <v>391930000</v>
      </c>
      <c r="K371" s="132">
        <f t="shared" si="144"/>
        <v>0</v>
      </c>
      <c r="L371" s="132">
        <f t="shared" si="133"/>
        <v>0</v>
      </c>
      <c r="M371" s="132">
        <f t="shared" si="148"/>
        <v>0</v>
      </c>
      <c r="N371" s="134">
        <f t="shared" si="135"/>
        <v>0</v>
      </c>
      <c r="O371" s="135">
        <f t="shared" si="136"/>
        <v>0</v>
      </c>
      <c r="P371" s="132" t="str">
        <f t="shared" si="145"/>
        <v/>
      </c>
      <c r="Q371" s="132" t="str">
        <f t="shared" si="139"/>
        <v/>
      </c>
      <c r="R371" s="132" t="str">
        <f>IF(ISNUMBER(SEARCH("AHO",Import2[[#This Row],[Tenure]])),"AHO",Import2[[#This Row],[Tenure]])&amp;Import2[[#This Row],[Expected Physical Completion Year]]&amp;Import2[[#This Row],[Expected Physical Completion Month]]</f>
        <v>Open market housing</v>
      </c>
      <c r="S371" s="135">
        <f t="shared" si="137"/>
        <v>0</v>
      </c>
      <c r="T371" s="132" t="str">
        <f t="shared" si="149"/>
        <v/>
      </c>
      <c r="U371" s="132" t="str">
        <f t="shared" si="149"/>
        <v/>
      </c>
      <c r="V371" s="132" t="str">
        <f>IF(ISNUMBER(SEARCH("AHO",Import2[[#This Row],[Tenure]])),"AHO",Import2[[#This Row],[Tenure]])&amp;Import2[[#This Row],[Expected sale completion year]]&amp;Import2[[#This Row],[Expected sale completion month]]</f>
        <v>Open market housing</v>
      </c>
      <c r="W371" s="178">
        <f t="shared" si="146"/>
        <v>0</v>
      </c>
    </row>
    <row r="372" spans="1:23" ht="15" customHeight="1">
      <c r="A372" s="132">
        <f t="shared" si="127"/>
        <v>0</v>
      </c>
      <c r="B372" s="133">
        <v>369</v>
      </c>
      <c r="C372" s="132" t="str">
        <f t="shared" si="128"/>
        <v/>
      </c>
      <c r="D372" s="132">
        <f t="shared" si="147"/>
        <v>0</v>
      </c>
      <c r="E372" s="132">
        <f t="shared" si="147"/>
        <v>0</v>
      </c>
      <c r="F372" s="132">
        <f t="shared" si="130"/>
        <v>0</v>
      </c>
      <c r="G372" s="132" t="str">
        <f t="shared" si="147"/>
        <v>Open market housing</v>
      </c>
      <c r="H372" s="132">
        <f t="shared" si="131"/>
        <v>896440000</v>
      </c>
      <c r="I372" s="132" t="str">
        <f t="shared" si="143"/>
        <v>New build</v>
      </c>
      <c r="J372" s="132">
        <f t="shared" si="132"/>
        <v>391930000</v>
      </c>
      <c r="K372" s="132">
        <f t="shared" si="144"/>
        <v>0</v>
      </c>
      <c r="L372" s="132">
        <f t="shared" si="133"/>
        <v>0</v>
      </c>
      <c r="M372" s="132">
        <f t="shared" si="148"/>
        <v>0</v>
      </c>
      <c r="N372" s="134">
        <f t="shared" si="135"/>
        <v>0</v>
      </c>
      <c r="O372" s="135">
        <f t="shared" si="136"/>
        <v>0</v>
      </c>
      <c r="P372" s="132" t="str">
        <f t="shared" si="145"/>
        <v/>
      </c>
      <c r="Q372" s="132" t="str">
        <f t="shared" si="139"/>
        <v/>
      </c>
      <c r="R372" s="132" t="str">
        <f>IF(ISNUMBER(SEARCH("AHO",Import2[[#This Row],[Tenure]])),"AHO",Import2[[#This Row],[Tenure]])&amp;Import2[[#This Row],[Expected Physical Completion Year]]&amp;Import2[[#This Row],[Expected Physical Completion Month]]</f>
        <v>Open market housing</v>
      </c>
      <c r="S372" s="135">
        <f t="shared" si="137"/>
        <v>0</v>
      </c>
      <c r="T372" s="132" t="str">
        <f t="shared" si="149"/>
        <v/>
      </c>
      <c r="U372" s="132" t="str">
        <f t="shared" si="149"/>
        <v/>
      </c>
      <c r="V372" s="132" t="str">
        <f>IF(ISNUMBER(SEARCH("AHO",Import2[[#This Row],[Tenure]])),"AHO",Import2[[#This Row],[Tenure]])&amp;Import2[[#This Row],[Expected sale completion year]]&amp;Import2[[#This Row],[Expected sale completion month]]</f>
        <v>Open market housing</v>
      </c>
      <c r="W372" s="178">
        <f t="shared" si="146"/>
        <v>0</v>
      </c>
    </row>
    <row r="373" spans="1:23" ht="15" customHeight="1">
      <c r="A373" s="132">
        <f t="shared" si="127"/>
        <v>0</v>
      </c>
      <c r="B373" s="133">
        <v>370</v>
      </c>
      <c r="C373" s="132" t="str">
        <f t="shared" si="128"/>
        <v/>
      </c>
      <c r="D373" s="132">
        <f t="shared" si="147"/>
        <v>0</v>
      </c>
      <c r="E373" s="132">
        <f t="shared" si="147"/>
        <v>0</v>
      </c>
      <c r="F373" s="132">
        <f t="shared" si="130"/>
        <v>0</v>
      </c>
      <c r="G373" s="132" t="str">
        <f t="shared" si="147"/>
        <v>Open market housing</v>
      </c>
      <c r="H373" s="132">
        <f t="shared" si="131"/>
        <v>896440000</v>
      </c>
      <c r="I373" s="132" t="str">
        <f t="shared" si="143"/>
        <v>New build</v>
      </c>
      <c r="J373" s="132">
        <f t="shared" si="132"/>
        <v>391930000</v>
      </c>
      <c r="K373" s="132">
        <f t="shared" si="144"/>
        <v>0</v>
      </c>
      <c r="L373" s="132">
        <f t="shared" si="133"/>
        <v>0</v>
      </c>
      <c r="M373" s="132">
        <f t="shared" si="148"/>
        <v>0</v>
      </c>
      <c r="N373" s="134">
        <f t="shared" si="135"/>
        <v>0</v>
      </c>
      <c r="O373" s="135">
        <f t="shared" si="136"/>
        <v>0</v>
      </c>
      <c r="P373" s="132" t="str">
        <f t="shared" si="145"/>
        <v/>
      </c>
      <c r="Q373" s="132" t="str">
        <f t="shared" si="139"/>
        <v/>
      </c>
      <c r="R373" s="132" t="str">
        <f>IF(ISNUMBER(SEARCH("AHO",Import2[[#This Row],[Tenure]])),"AHO",Import2[[#This Row],[Tenure]])&amp;Import2[[#This Row],[Expected Physical Completion Year]]&amp;Import2[[#This Row],[Expected Physical Completion Month]]</f>
        <v>Open market housing</v>
      </c>
      <c r="S373" s="135">
        <f t="shared" si="137"/>
        <v>0</v>
      </c>
      <c r="T373" s="132" t="str">
        <f t="shared" si="149"/>
        <v/>
      </c>
      <c r="U373" s="132" t="str">
        <f t="shared" si="149"/>
        <v/>
      </c>
      <c r="V373" s="132" t="str">
        <f>IF(ISNUMBER(SEARCH("AHO",Import2[[#This Row],[Tenure]])),"AHO",Import2[[#This Row],[Tenure]])&amp;Import2[[#This Row],[Expected sale completion year]]&amp;Import2[[#This Row],[Expected sale completion month]]</f>
        <v>Open market housing</v>
      </c>
      <c r="W373" s="178">
        <f t="shared" si="146"/>
        <v>0</v>
      </c>
    </row>
    <row r="374" spans="1:23" ht="15" customHeight="1">
      <c r="A374" s="132">
        <f t="shared" si="127"/>
        <v>0</v>
      </c>
      <c r="B374" s="133">
        <v>371</v>
      </c>
      <c r="C374" s="132" t="str">
        <f t="shared" si="128"/>
        <v/>
      </c>
      <c r="D374" s="132">
        <f t="shared" si="147"/>
        <v>0</v>
      </c>
      <c r="E374" s="132">
        <f t="shared" si="147"/>
        <v>0</v>
      </c>
      <c r="F374" s="132">
        <f t="shared" si="130"/>
        <v>0</v>
      </c>
      <c r="G374" s="132" t="str">
        <f t="shared" si="147"/>
        <v>Open market housing</v>
      </c>
      <c r="H374" s="132">
        <f t="shared" si="131"/>
        <v>896440000</v>
      </c>
      <c r="I374" s="132" t="str">
        <f t="shared" si="143"/>
        <v>New build</v>
      </c>
      <c r="J374" s="132">
        <f t="shared" si="132"/>
        <v>391930000</v>
      </c>
      <c r="K374" s="132">
        <f t="shared" si="144"/>
        <v>0</v>
      </c>
      <c r="L374" s="132">
        <f t="shared" si="133"/>
        <v>0</v>
      </c>
      <c r="M374" s="132">
        <f t="shared" si="148"/>
        <v>0</v>
      </c>
      <c r="N374" s="134">
        <f t="shared" si="135"/>
        <v>0</v>
      </c>
      <c r="O374" s="135">
        <f t="shared" si="136"/>
        <v>0</v>
      </c>
      <c r="P374" s="132" t="str">
        <f t="shared" si="145"/>
        <v/>
      </c>
      <c r="Q374" s="132" t="str">
        <f t="shared" si="139"/>
        <v/>
      </c>
      <c r="R374" s="132" t="str">
        <f>IF(ISNUMBER(SEARCH("AHO",Import2[[#This Row],[Tenure]])),"AHO",Import2[[#This Row],[Tenure]])&amp;Import2[[#This Row],[Expected Physical Completion Year]]&amp;Import2[[#This Row],[Expected Physical Completion Month]]</f>
        <v>Open market housing</v>
      </c>
      <c r="S374" s="135">
        <f t="shared" si="137"/>
        <v>0</v>
      </c>
      <c r="T374" s="132" t="str">
        <f t="shared" si="149"/>
        <v/>
      </c>
      <c r="U374" s="132" t="str">
        <f t="shared" si="149"/>
        <v/>
      </c>
      <c r="V374" s="132" t="str">
        <f>IF(ISNUMBER(SEARCH("AHO",Import2[[#This Row],[Tenure]])),"AHO",Import2[[#This Row],[Tenure]])&amp;Import2[[#This Row],[Expected sale completion year]]&amp;Import2[[#This Row],[Expected sale completion month]]</f>
        <v>Open market housing</v>
      </c>
      <c r="W374" s="178">
        <f t="shared" si="146"/>
        <v>0</v>
      </c>
    </row>
    <row r="375" spans="1:23" ht="15" customHeight="1">
      <c r="A375" s="132">
        <f t="shared" si="127"/>
        <v>0</v>
      </c>
      <c r="B375" s="133">
        <v>372</v>
      </c>
      <c r="C375" s="132" t="str">
        <f t="shared" si="128"/>
        <v/>
      </c>
      <c r="D375" s="132">
        <f t="shared" si="147"/>
        <v>0</v>
      </c>
      <c r="E375" s="132">
        <f t="shared" si="147"/>
        <v>0</v>
      </c>
      <c r="F375" s="132">
        <f t="shared" si="130"/>
        <v>0</v>
      </c>
      <c r="G375" s="132" t="str">
        <f t="shared" si="147"/>
        <v>Open market housing</v>
      </c>
      <c r="H375" s="132">
        <f t="shared" si="131"/>
        <v>896440000</v>
      </c>
      <c r="I375" s="132" t="str">
        <f t="shared" si="143"/>
        <v>New build</v>
      </c>
      <c r="J375" s="132">
        <f t="shared" si="132"/>
        <v>391930000</v>
      </c>
      <c r="K375" s="132">
        <f t="shared" si="144"/>
        <v>0</v>
      </c>
      <c r="L375" s="132">
        <f t="shared" si="133"/>
        <v>0</v>
      </c>
      <c r="M375" s="132">
        <f t="shared" si="148"/>
        <v>0</v>
      </c>
      <c r="N375" s="134">
        <f t="shared" si="135"/>
        <v>0</v>
      </c>
      <c r="O375" s="135">
        <f t="shared" si="136"/>
        <v>0</v>
      </c>
      <c r="P375" s="132" t="str">
        <f t="shared" si="145"/>
        <v/>
      </c>
      <c r="Q375" s="132" t="str">
        <f t="shared" si="139"/>
        <v/>
      </c>
      <c r="R375" s="132" t="str">
        <f>IF(ISNUMBER(SEARCH("AHO",Import2[[#This Row],[Tenure]])),"AHO",Import2[[#This Row],[Tenure]])&amp;Import2[[#This Row],[Expected Physical Completion Year]]&amp;Import2[[#This Row],[Expected Physical Completion Month]]</f>
        <v>Open market housing</v>
      </c>
      <c r="S375" s="135">
        <f t="shared" si="137"/>
        <v>0</v>
      </c>
      <c r="T375" s="132" t="str">
        <f t="shared" si="149"/>
        <v/>
      </c>
      <c r="U375" s="132" t="str">
        <f t="shared" si="149"/>
        <v/>
      </c>
      <c r="V375" s="132" t="str">
        <f>IF(ISNUMBER(SEARCH("AHO",Import2[[#This Row],[Tenure]])),"AHO",Import2[[#This Row],[Tenure]])&amp;Import2[[#This Row],[Expected sale completion year]]&amp;Import2[[#This Row],[Expected sale completion month]]</f>
        <v>Open market housing</v>
      </c>
      <c r="W375" s="178">
        <f t="shared" si="146"/>
        <v>0</v>
      </c>
    </row>
    <row r="376" spans="1:23" ht="15" customHeight="1">
      <c r="A376" s="132">
        <f t="shared" si="127"/>
        <v>0</v>
      </c>
      <c r="B376" s="133">
        <v>373</v>
      </c>
      <c r="C376" s="132" t="str">
        <f t="shared" si="128"/>
        <v/>
      </c>
      <c r="D376" s="132">
        <f t="shared" si="147"/>
        <v>0</v>
      </c>
      <c r="E376" s="132">
        <f t="shared" si="147"/>
        <v>0</v>
      </c>
      <c r="F376" s="132">
        <f t="shared" si="130"/>
        <v>0</v>
      </c>
      <c r="G376" s="132" t="str">
        <f t="shared" si="147"/>
        <v>Open market housing</v>
      </c>
      <c r="H376" s="132">
        <f t="shared" si="131"/>
        <v>896440000</v>
      </c>
      <c r="I376" s="132" t="str">
        <f t="shared" si="143"/>
        <v>New build</v>
      </c>
      <c r="J376" s="132">
        <f t="shared" si="132"/>
        <v>391930000</v>
      </c>
      <c r="K376" s="132">
        <f t="shared" si="144"/>
        <v>0</v>
      </c>
      <c r="L376" s="132">
        <f t="shared" si="133"/>
        <v>0</v>
      </c>
      <c r="M376" s="132">
        <f t="shared" si="148"/>
        <v>0</v>
      </c>
      <c r="N376" s="134">
        <f t="shared" si="135"/>
        <v>0</v>
      </c>
      <c r="O376" s="135">
        <f t="shared" si="136"/>
        <v>0</v>
      </c>
      <c r="P376" s="132" t="str">
        <f t="shared" si="145"/>
        <v/>
      </c>
      <c r="Q376" s="132" t="str">
        <f t="shared" si="139"/>
        <v/>
      </c>
      <c r="R376" s="132" t="str">
        <f>IF(ISNUMBER(SEARCH("AHO",Import2[[#This Row],[Tenure]])),"AHO",Import2[[#This Row],[Tenure]])&amp;Import2[[#This Row],[Expected Physical Completion Year]]&amp;Import2[[#This Row],[Expected Physical Completion Month]]</f>
        <v>Open market housing</v>
      </c>
      <c r="S376" s="135">
        <f t="shared" si="137"/>
        <v>0</v>
      </c>
      <c r="T376" s="132" t="str">
        <f t="shared" si="149"/>
        <v/>
      </c>
      <c r="U376" s="132" t="str">
        <f t="shared" si="149"/>
        <v/>
      </c>
      <c r="V376" s="132" t="str">
        <f>IF(ISNUMBER(SEARCH("AHO",Import2[[#This Row],[Tenure]])),"AHO",Import2[[#This Row],[Tenure]])&amp;Import2[[#This Row],[Expected sale completion year]]&amp;Import2[[#This Row],[Expected sale completion month]]</f>
        <v>Open market housing</v>
      </c>
      <c r="W376" s="178">
        <f t="shared" si="146"/>
        <v>0</v>
      </c>
    </row>
    <row r="377" spans="1:23" ht="15" customHeight="1">
      <c r="A377" s="132">
        <f t="shared" si="127"/>
        <v>0</v>
      </c>
      <c r="B377" s="133">
        <v>374</v>
      </c>
      <c r="C377" s="132" t="str">
        <f t="shared" si="128"/>
        <v/>
      </c>
      <c r="D377" s="132">
        <f t="shared" si="147"/>
        <v>0</v>
      </c>
      <c r="E377" s="132">
        <f t="shared" si="147"/>
        <v>0</v>
      </c>
      <c r="F377" s="132">
        <f t="shared" si="130"/>
        <v>0</v>
      </c>
      <c r="G377" s="132" t="str">
        <f t="shared" si="147"/>
        <v>Open market housing</v>
      </c>
      <c r="H377" s="132">
        <f t="shared" si="131"/>
        <v>896440000</v>
      </c>
      <c r="I377" s="132" t="str">
        <f t="shared" si="143"/>
        <v>New build</v>
      </c>
      <c r="J377" s="132">
        <f t="shared" si="132"/>
        <v>391930000</v>
      </c>
      <c r="K377" s="132">
        <f t="shared" si="144"/>
        <v>0</v>
      </c>
      <c r="L377" s="132">
        <f t="shared" si="133"/>
        <v>0</v>
      </c>
      <c r="M377" s="132">
        <f t="shared" si="148"/>
        <v>0</v>
      </c>
      <c r="N377" s="134">
        <f t="shared" si="135"/>
        <v>0</v>
      </c>
      <c r="O377" s="135">
        <f t="shared" si="136"/>
        <v>0</v>
      </c>
      <c r="P377" s="132" t="str">
        <f t="shared" si="145"/>
        <v/>
      </c>
      <c r="Q377" s="132" t="str">
        <f t="shared" si="139"/>
        <v/>
      </c>
      <c r="R377" s="132" t="str">
        <f>IF(ISNUMBER(SEARCH("AHO",Import2[[#This Row],[Tenure]])),"AHO",Import2[[#This Row],[Tenure]])&amp;Import2[[#This Row],[Expected Physical Completion Year]]&amp;Import2[[#This Row],[Expected Physical Completion Month]]</f>
        <v>Open market housing</v>
      </c>
      <c r="S377" s="135">
        <f t="shared" si="137"/>
        <v>0</v>
      </c>
      <c r="T377" s="132" t="str">
        <f t="shared" si="149"/>
        <v/>
      </c>
      <c r="U377" s="132" t="str">
        <f t="shared" si="149"/>
        <v/>
      </c>
      <c r="V377" s="132" t="str">
        <f>IF(ISNUMBER(SEARCH("AHO",Import2[[#This Row],[Tenure]])),"AHO",Import2[[#This Row],[Tenure]])&amp;Import2[[#This Row],[Expected sale completion year]]&amp;Import2[[#This Row],[Expected sale completion month]]</f>
        <v>Open market housing</v>
      </c>
      <c r="W377" s="178">
        <f t="shared" si="146"/>
        <v>0</v>
      </c>
    </row>
    <row r="378" spans="1:23" ht="15" customHeight="1">
      <c r="A378" s="132">
        <f t="shared" si="127"/>
        <v>0</v>
      </c>
      <c r="B378" s="133">
        <v>375</v>
      </c>
      <c r="C378" s="132" t="str">
        <f t="shared" si="128"/>
        <v/>
      </c>
      <c r="D378" s="132">
        <f t="shared" si="147"/>
        <v>0</v>
      </c>
      <c r="E378" s="132">
        <f t="shared" si="147"/>
        <v>0</v>
      </c>
      <c r="F378" s="132">
        <f t="shared" si="130"/>
        <v>0</v>
      </c>
      <c r="G378" s="132" t="str">
        <f t="shared" si="147"/>
        <v>Open market housing</v>
      </c>
      <c r="H378" s="132">
        <f t="shared" si="131"/>
        <v>896440000</v>
      </c>
      <c r="I378" s="132" t="str">
        <f t="shared" si="143"/>
        <v>New build</v>
      </c>
      <c r="J378" s="132">
        <f t="shared" si="132"/>
        <v>391930000</v>
      </c>
      <c r="K378" s="132">
        <f t="shared" si="144"/>
        <v>0</v>
      </c>
      <c r="L378" s="132">
        <f t="shared" si="133"/>
        <v>0</v>
      </c>
      <c r="M378" s="132">
        <f t="shared" si="148"/>
        <v>0</v>
      </c>
      <c r="N378" s="134">
        <f t="shared" si="135"/>
        <v>0</v>
      </c>
      <c r="O378" s="135">
        <f t="shared" si="136"/>
        <v>0</v>
      </c>
      <c r="P378" s="132" t="str">
        <f t="shared" si="145"/>
        <v/>
      </c>
      <c r="Q378" s="132" t="str">
        <f t="shared" si="139"/>
        <v/>
      </c>
      <c r="R378" s="132" t="str">
        <f>IF(ISNUMBER(SEARCH("AHO",Import2[[#This Row],[Tenure]])),"AHO",Import2[[#This Row],[Tenure]])&amp;Import2[[#This Row],[Expected Physical Completion Year]]&amp;Import2[[#This Row],[Expected Physical Completion Month]]</f>
        <v>Open market housing</v>
      </c>
      <c r="S378" s="135">
        <f t="shared" si="137"/>
        <v>0</v>
      </c>
      <c r="T378" s="132" t="str">
        <f t="shared" si="149"/>
        <v/>
      </c>
      <c r="U378" s="132" t="str">
        <f t="shared" si="149"/>
        <v/>
      </c>
      <c r="V378" s="132" t="str">
        <f>IF(ISNUMBER(SEARCH("AHO",Import2[[#This Row],[Tenure]])),"AHO",Import2[[#This Row],[Tenure]])&amp;Import2[[#This Row],[Expected sale completion year]]&amp;Import2[[#This Row],[Expected sale completion month]]</f>
        <v>Open market housing</v>
      </c>
      <c r="W378" s="178">
        <f t="shared" si="146"/>
        <v>0</v>
      </c>
    </row>
    <row r="379" spans="1:23" ht="15" customHeight="1">
      <c r="A379" s="132">
        <f t="shared" si="127"/>
        <v>0</v>
      </c>
      <c r="B379" s="133">
        <v>376</v>
      </c>
      <c r="C379" s="132" t="str">
        <f t="shared" si="128"/>
        <v/>
      </c>
      <c r="D379" s="132">
        <f t="shared" si="147"/>
        <v>0</v>
      </c>
      <c r="E379" s="132">
        <f t="shared" si="147"/>
        <v>0</v>
      </c>
      <c r="F379" s="132">
        <f t="shared" si="130"/>
        <v>0</v>
      </c>
      <c r="G379" s="132" t="str">
        <f t="shared" si="147"/>
        <v>Open market housing</v>
      </c>
      <c r="H379" s="132">
        <f t="shared" si="131"/>
        <v>896440000</v>
      </c>
      <c r="I379" s="132" t="str">
        <f t="shared" si="143"/>
        <v>New build</v>
      </c>
      <c r="J379" s="132">
        <f t="shared" si="132"/>
        <v>391930000</v>
      </c>
      <c r="K379" s="132">
        <f t="shared" si="144"/>
        <v>0</v>
      </c>
      <c r="L379" s="132">
        <f t="shared" si="133"/>
        <v>0</v>
      </c>
      <c r="M379" s="132">
        <f t="shared" si="148"/>
        <v>0</v>
      </c>
      <c r="N379" s="134">
        <f t="shared" si="135"/>
        <v>0</v>
      </c>
      <c r="O379" s="135">
        <f t="shared" si="136"/>
        <v>0</v>
      </c>
      <c r="P379" s="132" t="str">
        <f t="shared" si="145"/>
        <v/>
      </c>
      <c r="Q379" s="132" t="str">
        <f t="shared" si="139"/>
        <v/>
      </c>
      <c r="R379" s="132" t="str">
        <f>IF(ISNUMBER(SEARCH("AHO",Import2[[#This Row],[Tenure]])),"AHO",Import2[[#This Row],[Tenure]])&amp;Import2[[#This Row],[Expected Physical Completion Year]]&amp;Import2[[#This Row],[Expected Physical Completion Month]]</f>
        <v>Open market housing</v>
      </c>
      <c r="S379" s="135">
        <f t="shared" si="137"/>
        <v>0</v>
      </c>
      <c r="T379" s="132" t="str">
        <f t="shared" si="149"/>
        <v/>
      </c>
      <c r="U379" s="132" t="str">
        <f t="shared" si="149"/>
        <v/>
      </c>
      <c r="V379" s="132" t="str">
        <f>IF(ISNUMBER(SEARCH("AHO",Import2[[#This Row],[Tenure]])),"AHO",Import2[[#This Row],[Tenure]])&amp;Import2[[#This Row],[Expected sale completion year]]&amp;Import2[[#This Row],[Expected sale completion month]]</f>
        <v>Open market housing</v>
      </c>
      <c r="W379" s="178">
        <f t="shared" si="146"/>
        <v>0</v>
      </c>
    </row>
    <row r="380" spans="1:23" ht="15" customHeight="1">
      <c r="A380" s="132">
        <f t="shared" si="127"/>
        <v>0</v>
      </c>
      <c r="B380" s="133">
        <v>377</v>
      </c>
      <c r="C380" s="132" t="str">
        <f t="shared" si="128"/>
        <v/>
      </c>
      <c r="D380" s="132">
        <f t="shared" si="147"/>
        <v>0</v>
      </c>
      <c r="E380" s="132">
        <f t="shared" si="147"/>
        <v>0</v>
      </c>
      <c r="F380" s="132">
        <f t="shared" si="130"/>
        <v>0</v>
      </c>
      <c r="G380" s="132" t="str">
        <f t="shared" si="147"/>
        <v>Open market housing</v>
      </c>
      <c r="H380" s="132">
        <f t="shared" si="131"/>
        <v>896440000</v>
      </c>
      <c r="I380" s="132" t="str">
        <f t="shared" si="143"/>
        <v>New build</v>
      </c>
      <c r="J380" s="132">
        <f t="shared" si="132"/>
        <v>391930000</v>
      </c>
      <c r="K380" s="132">
        <f t="shared" si="144"/>
        <v>0</v>
      </c>
      <c r="L380" s="132">
        <f t="shared" si="133"/>
        <v>0</v>
      </c>
      <c r="M380" s="132">
        <f t="shared" si="148"/>
        <v>0</v>
      </c>
      <c r="N380" s="134">
        <f t="shared" si="135"/>
        <v>0</v>
      </c>
      <c r="O380" s="135">
        <f t="shared" si="136"/>
        <v>0</v>
      </c>
      <c r="P380" s="132" t="str">
        <f t="shared" si="145"/>
        <v/>
      </c>
      <c r="Q380" s="132" t="str">
        <f t="shared" si="139"/>
        <v/>
      </c>
      <c r="R380" s="132" t="str">
        <f>IF(ISNUMBER(SEARCH("AHO",Import2[[#This Row],[Tenure]])),"AHO",Import2[[#This Row],[Tenure]])&amp;Import2[[#This Row],[Expected Physical Completion Year]]&amp;Import2[[#This Row],[Expected Physical Completion Month]]</f>
        <v>Open market housing</v>
      </c>
      <c r="S380" s="135">
        <f t="shared" si="137"/>
        <v>0</v>
      </c>
      <c r="T380" s="132" t="str">
        <f t="shared" si="149"/>
        <v/>
      </c>
      <c r="U380" s="132" t="str">
        <f t="shared" si="149"/>
        <v/>
      </c>
      <c r="V380" s="132" t="str">
        <f>IF(ISNUMBER(SEARCH("AHO",Import2[[#This Row],[Tenure]])),"AHO",Import2[[#This Row],[Tenure]])&amp;Import2[[#This Row],[Expected sale completion year]]&amp;Import2[[#This Row],[Expected sale completion month]]</f>
        <v>Open market housing</v>
      </c>
      <c r="W380" s="178">
        <f t="shared" si="146"/>
        <v>0</v>
      </c>
    </row>
    <row r="381" spans="1:23" ht="15" customHeight="1">
      <c r="A381" s="132">
        <f t="shared" si="127"/>
        <v>0</v>
      </c>
      <c r="B381" s="133">
        <v>378</v>
      </c>
      <c r="C381" s="132" t="str">
        <f t="shared" si="128"/>
        <v/>
      </c>
      <c r="D381" s="132">
        <f t="shared" si="147"/>
        <v>0</v>
      </c>
      <c r="E381" s="132">
        <f t="shared" si="147"/>
        <v>0</v>
      </c>
      <c r="F381" s="132">
        <f t="shared" si="130"/>
        <v>0</v>
      </c>
      <c r="G381" s="132" t="str">
        <f t="shared" si="147"/>
        <v>Open market housing</v>
      </c>
      <c r="H381" s="132">
        <f t="shared" si="131"/>
        <v>896440000</v>
      </c>
      <c r="I381" s="132" t="str">
        <f t="shared" si="143"/>
        <v>New build</v>
      </c>
      <c r="J381" s="132">
        <f t="shared" si="132"/>
        <v>391930000</v>
      </c>
      <c r="K381" s="132">
        <f t="shared" si="144"/>
        <v>0</v>
      </c>
      <c r="L381" s="132">
        <f t="shared" si="133"/>
        <v>0</v>
      </c>
      <c r="M381" s="132">
        <f t="shared" si="148"/>
        <v>0</v>
      </c>
      <c r="N381" s="134">
        <f t="shared" si="135"/>
        <v>0</v>
      </c>
      <c r="O381" s="135">
        <f t="shared" si="136"/>
        <v>0</v>
      </c>
      <c r="P381" s="132" t="str">
        <f t="shared" si="145"/>
        <v/>
      </c>
      <c r="Q381" s="132" t="str">
        <f t="shared" si="139"/>
        <v/>
      </c>
      <c r="R381" s="132" t="str">
        <f>IF(ISNUMBER(SEARCH("AHO",Import2[[#This Row],[Tenure]])),"AHO",Import2[[#This Row],[Tenure]])&amp;Import2[[#This Row],[Expected Physical Completion Year]]&amp;Import2[[#This Row],[Expected Physical Completion Month]]</f>
        <v>Open market housing</v>
      </c>
      <c r="S381" s="135">
        <f t="shared" si="137"/>
        <v>0</v>
      </c>
      <c r="T381" s="132" t="str">
        <f t="shared" si="149"/>
        <v/>
      </c>
      <c r="U381" s="132" t="str">
        <f t="shared" si="149"/>
        <v/>
      </c>
      <c r="V381" s="132" t="str">
        <f>IF(ISNUMBER(SEARCH("AHO",Import2[[#This Row],[Tenure]])),"AHO",Import2[[#This Row],[Tenure]])&amp;Import2[[#This Row],[Expected sale completion year]]&amp;Import2[[#This Row],[Expected sale completion month]]</f>
        <v>Open market housing</v>
      </c>
      <c r="W381" s="178">
        <f t="shared" si="146"/>
        <v>0</v>
      </c>
    </row>
    <row r="382" spans="1:23" ht="15" customHeight="1">
      <c r="A382" s="132">
        <f t="shared" si="127"/>
        <v>0</v>
      </c>
      <c r="B382" s="133">
        <v>379</v>
      </c>
      <c r="C382" s="132" t="str">
        <f t="shared" si="128"/>
        <v/>
      </c>
      <c r="D382" s="132">
        <f t="shared" si="147"/>
        <v>0</v>
      </c>
      <c r="E382" s="132">
        <f t="shared" si="147"/>
        <v>0</v>
      </c>
      <c r="F382" s="132">
        <f t="shared" si="130"/>
        <v>0</v>
      </c>
      <c r="G382" s="132" t="str">
        <f t="shared" si="147"/>
        <v>Open market housing</v>
      </c>
      <c r="H382" s="132">
        <f t="shared" si="131"/>
        <v>896440000</v>
      </c>
      <c r="I382" s="132" t="str">
        <f t="shared" si="143"/>
        <v>New build</v>
      </c>
      <c r="J382" s="132">
        <f t="shared" si="132"/>
        <v>391930000</v>
      </c>
      <c r="K382" s="132">
        <f t="shared" si="144"/>
        <v>0</v>
      </c>
      <c r="L382" s="132">
        <f t="shared" si="133"/>
        <v>0</v>
      </c>
      <c r="M382" s="132">
        <f t="shared" si="148"/>
        <v>0</v>
      </c>
      <c r="N382" s="134">
        <f t="shared" si="135"/>
        <v>0</v>
      </c>
      <c r="O382" s="135">
        <f t="shared" si="136"/>
        <v>0</v>
      </c>
      <c r="P382" s="132" t="str">
        <f t="shared" si="145"/>
        <v/>
      </c>
      <c r="Q382" s="132" t="str">
        <f t="shared" si="139"/>
        <v/>
      </c>
      <c r="R382" s="132" t="str">
        <f>IF(ISNUMBER(SEARCH("AHO",Import2[[#This Row],[Tenure]])),"AHO",Import2[[#This Row],[Tenure]])&amp;Import2[[#This Row],[Expected Physical Completion Year]]&amp;Import2[[#This Row],[Expected Physical Completion Month]]</f>
        <v>Open market housing</v>
      </c>
      <c r="S382" s="135">
        <f t="shared" si="137"/>
        <v>0</v>
      </c>
      <c r="T382" s="132" t="str">
        <f t="shared" si="149"/>
        <v/>
      </c>
      <c r="U382" s="132" t="str">
        <f t="shared" si="149"/>
        <v/>
      </c>
      <c r="V382" s="132" t="str">
        <f>IF(ISNUMBER(SEARCH("AHO",Import2[[#This Row],[Tenure]])),"AHO",Import2[[#This Row],[Tenure]])&amp;Import2[[#This Row],[Expected sale completion year]]&amp;Import2[[#This Row],[Expected sale completion month]]</f>
        <v>Open market housing</v>
      </c>
      <c r="W382" s="178">
        <f t="shared" si="146"/>
        <v>0</v>
      </c>
    </row>
    <row r="383" spans="1:23" ht="15" customHeight="1">
      <c r="A383" s="132">
        <f t="shared" si="127"/>
        <v>0</v>
      </c>
      <c r="B383" s="133">
        <v>380</v>
      </c>
      <c r="C383" s="132" t="str">
        <f t="shared" si="128"/>
        <v/>
      </c>
      <c r="D383" s="132">
        <f t="shared" si="147"/>
        <v>0</v>
      </c>
      <c r="E383" s="132">
        <f t="shared" si="147"/>
        <v>0</v>
      </c>
      <c r="F383" s="132">
        <f t="shared" si="130"/>
        <v>0</v>
      </c>
      <c r="G383" s="132" t="str">
        <f t="shared" si="147"/>
        <v>Open market housing</v>
      </c>
      <c r="H383" s="132">
        <f t="shared" si="131"/>
        <v>896440000</v>
      </c>
      <c r="I383" s="132" t="str">
        <f t="shared" si="143"/>
        <v>New build</v>
      </c>
      <c r="J383" s="132">
        <f t="shared" si="132"/>
        <v>391930000</v>
      </c>
      <c r="K383" s="132">
        <f t="shared" si="144"/>
        <v>0</v>
      </c>
      <c r="L383" s="132">
        <f t="shared" si="133"/>
        <v>0</v>
      </c>
      <c r="M383" s="132">
        <f t="shared" si="148"/>
        <v>0</v>
      </c>
      <c r="N383" s="134">
        <f t="shared" si="135"/>
        <v>0</v>
      </c>
      <c r="O383" s="135">
        <f t="shared" si="136"/>
        <v>0</v>
      </c>
      <c r="P383" s="132" t="str">
        <f t="shared" si="145"/>
        <v/>
      </c>
      <c r="Q383" s="132" t="str">
        <f t="shared" si="139"/>
        <v/>
      </c>
      <c r="R383" s="132" t="str">
        <f>IF(ISNUMBER(SEARCH("AHO",Import2[[#This Row],[Tenure]])),"AHO",Import2[[#This Row],[Tenure]])&amp;Import2[[#This Row],[Expected Physical Completion Year]]&amp;Import2[[#This Row],[Expected Physical Completion Month]]</f>
        <v>Open market housing</v>
      </c>
      <c r="S383" s="135">
        <f t="shared" si="137"/>
        <v>0</v>
      </c>
      <c r="T383" s="132" t="str">
        <f t="shared" si="149"/>
        <v/>
      </c>
      <c r="U383" s="132" t="str">
        <f t="shared" si="149"/>
        <v/>
      </c>
      <c r="V383" s="132" t="str">
        <f>IF(ISNUMBER(SEARCH("AHO",Import2[[#This Row],[Tenure]])),"AHO",Import2[[#This Row],[Tenure]])&amp;Import2[[#This Row],[Expected sale completion year]]&amp;Import2[[#This Row],[Expected sale completion month]]</f>
        <v>Open market housing</v>
      </c>
      <c r="W383" s="178">
        <f t="shared" si="146"/>
        <v>0</v>
      </c>
    </row>
    <row r="384" spans="1:23" ht="15" customHeight="1">
      <c r="A384" s="132">
        <f t="shared" si="127"/>
        <v>0</v>
      </c>
      <c r="B384" s="133">
        <v>381</v>
      </c>
      <c r="C384" s="132" t="str">
        <f t="shared" si="128"/>
        <v/>
      </c>
      <c r="D384" s="132">
        <f t="shared" ref="D384:G403" si="150">INDEX(PlotData,MATCH($B384,PlotNumber,0),MATCH(D$3,PlotTitles,0))</f>
        <v>0</v>
      </c>
      <c r="E384" s="132">
        <f t="shared" si="150"/>
        <v>0</v>
      </c>
      <c r="F384" s="132">
        <f t="shared" si="130"/>
        <v>0</v>
      </c>
      <c r="G384" s="132" t="str">
        <f t="shared" si="150"/>
        <v>Open market housing</v>
      </c>
      <c r="H384" s="132">
        <f t="shared" si="131"/>
        <v>896440000</v>
      </c>
      <c r="I384" s="132" t="str">
        <f t="shared" si="143"/>
        <v>New build</v>
      </c>
      <c r="J384" s="132">
        <f t="shared" si="132"/>
        <v>391930000</v>
      </c>
      <c r="K384" s="132">
        <f t="shared" si="144"/>
        <v>0</v>
      </c>
      <c r="L384" s="132">
        <f t="shared" si="133"/>
        <v>0</v>
      </c>
      <c r="M384" s="132">
        <f t="shared" ref="M384:M403" si="151">INDEX(PlotData,MATCH($B384,PlotNumber,0),MATCH(M$3,PlotTitles,0))</f>
        <v>0</v>
      </c>
      <c r="N384" s="134">
        <f t="shared" si="135"/>
        <v>0</v>
      </c>
      <c r="O384" s="135">
        <f t="shared" si="136"/>
        <v>0</v>
      </c>
      <c r="P384" s="132" t="str">
        <f t="shared" si="145"/>
        <v/>
      </c>
      <c r="Q384" s="132" t="str">
        <f t="shared" si="139"/>
        <v/>
      </c>
      <c r="R384" s="132" t="str">
        <f>IF(ISNUMBER(SEARCH("AHO",Import2[[#This Row],[Tenure]])),"AHO",Import2[[#This Row],[Tenure]])&amp;Import2[[#This Row],[Expected Physical Completion Year]]&amp;Import2[[#This Row],[Expected Physical Completion Month]]</f>
        <v>Open market housing</v>
      </c>
      <c r="S384" s="135">
        <f t="shared" si="137"/>
        <v>0</v>
      </c>
      <c r="T384" s="132" t="str">
        <f t="shared" ref="T384:U403" si="152">IF(INDEX(PlotData,MATCH($B384,PlotNumber,0),MATCH(T$3,PlotTitles,0))=0,"",INDEX(PlotData,MATCH($B384,PlotNumber,0),MATCH(T$3,PlotTitles,0)))</f>
        <v/>
      </c>
      <c r="U384" s="132" t="str">
        <f t="shared" si="152"/>
        <v/>
      </c>
      <c r="V384" s="132" t="str">
        <f>IF(ISNUMBER(SEARCH("AHO",Import2[[#This Row],[Tenure]])),"AHO",Import2[[#This Row],[Tenure]])&amp;Import2[[#This Row],[Expected sale completion year]]&amp;Import2[[#This Row],[Expected sale completion month]]</f>
        <v>Open market housing</v>
      </c>
      <c r="W384" s="178">
        <f t="shared" si="146"/>
        <v>0</v>
      </c>
    </row>
    <row r="385" spans="1:23" ht="15" customHeight="1">
      <c r="A385" s="132">
        <f t="shared" si="127"/>
        <v>0</v>
      </c>
      <c r="B385" s="133">
        <v>382</v>
      </c>
      <c r="C385" s="132" t="str">
        <f t="shared" si="128"/>
        <v/>
      </c>
      <c r="D385" s="132">
        <f t="shared" si="150"/>
        <v>0</v>
      </c>
      <c r="E385" s="132">
        <f t="shared" si="150"/>
        <v>0</v>
      </c>
      <c r="F385" s="132">
        <f t="shared" si="130"/>
        <v>0</v>
      </c>
      <c r="G385" s="132" t="str">
        <f t="shared" si="150"/>
        <v>Open market housing</v>
      </c>
      <c r="H385" s="132">
        <f t="shared" si="131"/>
        <v>896440000</v>
      </c>
      <c r="I385" s="132" t="str">
        <f t="shared" si="143"/>
        <v>New build</v>
      </c>
      <c r="J385" s="132">
        <f t="shared" si="132"/>
        <v>391930000</v>
      </c>
      <c r="K385" s="132">
        <f t="shared" si="144"/>
        <v>0</v>
      </c>
      <c r="L385" s="132">
        <f t="shared" si="133"/>
        <v>0</v>
      </c>
      <c r="M385" s="132">
        <f t="shared" si="151"/>
        <v>0</v>
      </c>
      <c r="N385" s="134">
        <f t="shared" si="135"/>
        <v>0</v>
      </c>
      <c r="O385" s="135">
        <f t="shared" si="136"/>
        <v>0</v>
      </c>
      <c r="P385" s="132" t="str">
        <f t="shared" si="145"/>
        <v/>
      </c>
      <c r="Q385" s="132" t="str">
        <f t="shared" si="139"/>
        <v/>
      </c>
      <c r="R385" s="132" t="str">
        <f>IF(ISNUMBER(SEARCH("AHO",Import2[[#This Row],[Tenure]])),"AHO",Import2[[#This Row],[Tenure]])&amp;Import2[[#This Row],[Expected Physical Completion Year]]&amp;Import2[[#This Row],[Expected Physical Completion Month]]</f>
        <v>Open market housing</v>
      </c>
      <c r="S385" s="135">
        <f t="shared" si="137"/>
        <v>0</v>
      </c>
      <c r="T385" s="132" t="str">
        <f t="shared" si="152"/>
        <v/>
      </c>
      <c r="U385" s="132" t="str">
        <f t="shared" si="152"/>
        <v/>
      </c>
      <c r="V385" s="132" t="str">
        <f>IF(ISNUMBER(SEARCH("AHO",Import2[[#This Row],[Tenure]])),"AHO",Import2[[#This Row],[Tenure]])&amp;Import2[[#This Row],[Expected sale completion year]]&amp;Import2[[#This Row],[Expected sale completion month]]</f>
        <v>Open market housing</v>
      </c>
      <c r="W385" s="178">
        <f t="shared" si="146"/>
        <v>0</v>
      </c>
    </row>
    <row r="386" spans="1:23" ht="15" customHeight="1">
      <c r="A386" s="132">
        <f t="shared" si="127"/>
        <v>0</v>
      </c>
      <c r="B386" s="133">
        <v>383</v>
      </c>
      <c r="C386" s="132" t="str">
        <f t="shared" si="128"/>
        <v/>
      </c>
      <c r="D386" s="132">
        <f t="shared" si="150"/>
        <v>0</v>
      </c>
      <c r="E386" s="132">
        <f t="shared" si="150"/>
        <v>0</v>
      </c>
      <c r="F386" s="132">
        <f t="shared" si="130"/>
        <v>0</v>
      </c>
      <c r="G386" s="132" t="str">
        <f t="shared" si="150"/>
        <v>Open market housing</v>
      </c>
      <c r="H386" s="132">
        <f t="shared" si="131"/>
        <v>896440000</v>
      </c>
      <c r="I386" s="132" t="str">
        <f t="shared" si="143"/>
        <v>New build</v>
      </c>
      <c r="J386" s="132">
        <f t="shared" si="132"/>
        <v>391930000</v>
      </c>
      <c r="K386" s="132">
        <f t="shared" si="144"/>
        <v>0</v>
      </c>
      <c r="L386" s="132">
        <f t="shared" si="133"/>
        <v>0</v>
      </c>
      <c r="M386" s="132">
        <f t="shared" si="151"/>
        <v>0</v>
      </c>
      <c r="N386" s="134">
        <f t="shared" si="135"/>
        <v>0</v>
      </c>
      <c r="O386" s="135">
        <f t="shared" si="136"/>
        <v>0</v>
      </c>
      <c r="P386" s="132" t="str">
        <f t="shared" si="145"/>
        <v/>
      </c>
      <c r="Q386" s="132" t="str">
        <f t="shared" si="139"/>
        <v/>
      </c>
      <c r="R386" s="132" t="str">
        <f>IF(ISNUMBER(SEARCH("AHO",Import2[[#This Row],[Tenure]])),"AHO",Import2[[#This Row],[Tenure]])&amp;Import2[[#This Row],[Expected Physical Completion Year]]&amp;Import2[[#This Row],[Expected Physical Completion Month]]</f>
        <v>Open market housing</v>
      </c>
      <c r="S386" s="135">
        <f t="shared" si="137"/>
        <v>0</v>
      </c>
      <c r="T386" s="132" t="str">
        <f t="shared" si="152"/>
        <v/>
      </c>
      <c r="U386" s="132" t="str">
        <f t="shared" si="152"/>
        <v/>
      </c>
      <c r="V386" s="132" t="str">
        <f>IF(ISNUMBER(SEARCH("AHO",Import2[[#This Row],[Tenure]])),"AHO",Import2[[#This Row],[Tenure]])&amp;Import2[[#This Row],[Expected sale completion year]]&amp;Import2[[#This Row],[Expected sale completion month]]</f>
        <v>Open market housing</v>
      </c>
      <c r="W386" s="178">
        <f t="shared" si="146"/>
        <v>0</v>
      </c>
    </row>
    <row r="387" spans="1:23" ht="15" customHeight="1">
      <c r="A387" s="132">
        <f t="shared" si="127"/>
        <v>0</v>
      </c>
      <c r="B387" s="133">
        <v>384</v>
      </c>
      <c r="C387" s="132" t="str">
        <f t="shared" si="128"/>
        <v/>
      </c>
      <c r="D387" s="132">
        <f t="shared" si="150"/>
        <v>0</v>
      </c>
      <c r="E387" s="132">
        <f t="shared" si="150"/>
        <v>0</v>
      </c>
      <c r="F387" s="132">
        <f t="shared" si="130"/>
        <v>0</v>
      </c>
      <c r="G387" s="132" t="str">
        <f t="shared" si="150"/>
        <v>Open market housing</v>
      </c>
      <c r="H387" s="132">
        <f t="shared" si="131"/>
        <v>896440000</v>
      </c>
      <c r="I387" s="132" t="str">
        <f t="shared" si="143"/>
        <v>New build</v>
      </c>
      <c r="J387" s="132">
        <f t="shared" si="132"/>
        <v>391930000</v>
      </c>
      <c r="K387" s="132">
        <f t="shared" si="144"/>
        <v>0</v>
      </c>
      <c r="L387" s="132">
        <f t="shared" si="133"/>
        <v>0</v>
      </c>
      <c r="M387" s="132">
        <f t="shared" si="151"/>
        <v>0</v>
      </c>
      <c r="N387" s="134">
        <f t="shared" si="135"/>
        <v>0</v>
      </c>
      <c r="O387" s="135">
        <f t="shared" si="136"/>
        <v>0</v>
      </c>
      <c r="P387" s="132" t="str">
        <f t="shared" si="145"/>
        <v/>
      </c>
      <c r="Q387" s="132" t="str">
        <f t="shared" si="139"/>
        <v/>
      </c>
      <c r="R387" s="132" t="str">
        <f>IF(ISNUMBER(SEARCH("AHO",Import2[[#This Row],[Tenure]])),"AHO",Import2[[#This Row],[Tenure]])&amp;Import2[[#This Row],[Expected Physical Completion Year]]&amp;Import2[[#This Row],[Expected Physical Completion Month]]</f>
        <v>Open market housing</v>
      </c>
      <c r="S387" s="135">
        <f t="shared" si="137"/>
        <v>0</v>
      </c>
      <c r="T387" s="132" t="str">
        <f t="shared" si="152"/>
        <v/>
      </c>
      <c r="U387" s="132" t="str">
        <f t="shared" si="152"/>
        <v/>
      </c>
      <c r="V387" s="132" t="str">
        <f>IF(ISNUMBER(SEARCH("AHO",Import2[[#This Row],[Tenure]])),"AHO",Import2[[#This Row],[Tenure]])&amp;Import2[[#This Row],[Expected sale completion year]]&amp;Import2[[#This Row],[Expected sale completion month]]</f>
        <v>Open market housing</v>
      </c>
      <c r="W387" s="178">
        <f t="shared" si="146"/>
        <v>0</v>
      </c>
    </row>
    <row r="388" spans="1:23" ht="15" customHeight="1">
      <c r="A388" s="132">
        <f t="shared" ref="A388:A451" si="153">IF((SUM($C388:$W388)-$H388-$J388)=0,0,1)</f>
        <v>0</v>
      </c>
      <c r="B388" s="133">
        <v>385</v>
      </c>
      <c r="C388" s="132" t="str">
        <f t="shared" ref="C388:C451" si="154">IF(INDEX(PlotData,MATCH($B388,PlotNumber,0),MATCH(C$3,PlotTitles,0))=0,"",INDEX(PlotData,MATCH($B388,PlotNumber,0),MATCH(C$3,PlotTitles,0)))</f>
        <v/>
      </c>
      <c r="D388" s="132">
        <f t="shared" si="150"/>
        <v>0</v>
      </c>
      <c r="E388" s="132">
        <f t="shared" si="150"/>
        <v>0</v>
      </c>
      <c r="F388" s="132">
        <f t="shared" ref="F388:F451" si="155">_xlfn.IFNA(INDEX(PropertyTypeRef,MATCH(E388,PropertyType,0),2),0)</f>
        <v>0</v>
      </c>
      <c r="G388" s="132" t="str">
        <f t="shared" si="150"/>
        <v>Open market housing</v>
      </c>
      <c r="H388" s="132">
        <f t="shared" ref="H388:H451" si="156">_xlfn.IFNA(INDEX(TenureRef,MATCH(G388,PlotCategory,0),2),0)</f>
        <v>896440000</v>
      </c>
      <c r="I388" s="132" t="str">
        <f t="shared" si="143"/>
        <v>New build</v>
      </c>
      <c r="J388" s="132">
        <f t="shared" ref="J388:J451" si="157">_xlfn.IFNA(INDEX(TenureDetailRef,MATCH(I388,TenureDetail,0),2),0)</f>
        <v>391930000</v>
      </c>
      <c r="K388" s="132">
        <f t="shared" si="144"/>
        <v>0</v>
      </c>
      <c r="L388" s="132">
        <f t="shared" ref="L388:L451" si="158">_xlfn.IFNA(INDEX(BuildTypeRef,MATCH(K388,BuildType,0),2),0)</f>
        <v>0</v>
      </c>
      <c r="M388" s="132">
        <f t="shared" si="151"/>
        <v>0</v>
      </c>
      <c r="N388" s="134">
        <f t="shared" ref="N388:N451" si="159">IF($M388=0,0,$M388*0.09290304)</f>
        <v>0</v>
      </c>
      <c r="O388" s="135">
        <f t="shared" ref="O388:O451" si="160">IF(OR($P388="",$Q388=""),0,(DATEVALUE($P388&amp;$Q388)))</f>
        <v>0</v>
      </c>
      <c r="P388" s="132" t="str">
        <f t="shared" si="145"/>
        <v/>
      </c>
      <c r="Q388" s="132" t="str">
        <f t="shared" si="139"/>
        <v/>
      </c>
      <c r="R388" s="132" t="str">
        <f>IF(ISNUMBER(SEARCH("AHO",Import2[[#This Row],[Tenure]])),"AHO",Import2[[#This Row],[Tenure]])&amp;Import2[[#This Row],[Expected Physical Completion Year]]&amp;Import2[[#This Row],[Expected Physical Completion Month]]</f>
        <v>Open market housing</v>
      </c>
      <c r="S388" s="135">
        <f t="shared" ref="S388:S451" si="161">IF(OR($T388="",$U388=""),0,(DATEVALUE($T388&amp;$U388)))</f>
        <v>0</v>
      </c>
      <c r="T388" s="132" t="str">
        <f t="shared" si="152"/>
        <v/>
      </c>
      <c r="U388" s="132" t="str">
        <f t="shared" si="152"/>
        <v/>
      </c>
      <c r="V388" s="132" t="str">
        <f>IF(ISNUMBER(SEARCH("AHO",Import2[[#This Row],[Tenure]])),"AHO",Import2[[#This Row],[Tenure]])&amp;Import2[[#This Row],[Expected sale completion year]]&amp;Import2[[#This Row],[Expected sale completion month]]</f>
        <v>Open market housing</v>
      </c>
      <c r="W388" s="178">
        <f t="shared" si="146"/>
        <v>0</v>
      </c>
    </row>
    <row r="389" spans="1:23" ht="15" customHeight="1">
      <c r="A389" s="132">
        <f t="shared" si="153"/>
        <v>0</v>
      </c>
      <c r="B389" s="133">
        <v>386</v>
      </c>
      <c r="C389" s="132" t="str">
        <f t="shared" si="154"/>
        <v/>
      </c>
      <c r="D389" s="132">
        <f t="shared" si="150"/>
        <v>0</v>
      </c>
      <c r="E389" s="132">
        <f t="shared" si="150"/>
        <v>0</v>
      </c>
      <c r="F389" s="132">
        <f t="shared" si="155"/>
        <v>0</v>
      </c>
      <c r="G389" s="132" t="str">
        <f t="shared" si="150"/>
        <v>Open market housing</v>
      </c>
      <c r="H389" s="132">
        <f t="shared" si="156"/>
        <v>896440000</v>
      </c>
      <c r="I389" s="132" t="str">
        <f t="shared" si="143"/>
        <v>New build</v>
      </c>
      <c r="J389" s="132">
        <f t="shared" si="157"/>
        <v>391930000</v>
      </c>
      <c r="K389" s="132">
        <f t="shared" si="144"/>
        <v>0</v>
      </c>
      <c r="L389" s="132">
        <f t="shared" si="158"/>
        <v>0</v>
      </c>
      <c r="M389" s="132">
        <f t="shared" si="151"/>
        <v>0</v>
      </c>
      <c r="N389" s="134">
        <f t="shared" si="159"/>
        <v>0</v>
      </c>
      <c r="O389" s="135">
        <f t="shared" si="160"/>
        <v>0</v>
      </c>
      <c r="P389" s="132" t="str">
        <f t="shared" si="145"/>
        <v/>
      </c>
      <c r="Q389" s="132" t="str">
        <f t="shared" si="139"/>
        <v/>
      </c>
      <c r="R389" s="132" t="str">
        <f>IF(ISNUMBER(SEARCH("AHO",Import2[[#This Row],[Tenure]])),"AHO",Import2[[#This Row],[Tenure]])&amp;Import2[[#This Row],[Expected Physical Completion Year]]&amp;Import2[[#This Row],[Expected Physical Completion Month]]</f>
        <v>Open market housing</v>
      </c>
      <c r="S389" s="135">
        <f t="shared" si="161"/>
        <v>0</v>
      </c>
      <c r="T389" s="132" t="str">
        <f t="shared" si="152"/>
        <v/>
      </c>
      <c r="U389" s="132" t="str">
        <f t="shared" si="152"/>
        <v/>
      </c>
      <c r="V389" s="132" t="str">
        <f>IF(ISNUMBER(SEARCH("AHO",Import2[[#This Row],[Tenure]])),"AHO",Import2[[#This Row],[Tenure]])&amp;Import2[[#This Row],[Expected sale completion year]]&amp;Import2[[#This Row],[Expected sale completion month]]</f>
        <v>Open market housing</v>
      </c>
      <c r="W389" s="178">
        <f t="shared" si="146"/>
        <v>0</v>
      </c>
    </row>
    <row r="390" spans="1:23" ht="15" customHeight="1">
      <c r="A390" s="132">
        <f t="shared" si="153"/>
        <v>0</v>
      </c>
      <c r="B390" s="133">
        <v>387</v>
      </c>
      <c r="C390" s="132" t="str">
        <f t="shared" si="154"/>
        <v/>
      </c>
      <c r="D390" s="132">
        <f t="shared" si="150"/>
        <v>0</v>
      </c>
      <c r="E390" s="132">
        <f t="shared" si="150"/>
        <v>0</v>
      </c>
      <c r="F390" s="132">
        <f t="shared" si="155"/>
        <v>0</v>
      </c>
      <c r="G390" s="132" t="str">
        <f t="shared" si="150"/>
        <v>Open market housing</v>
      </c>
      <c r="H390" s="132">
        <f t="shared" si="156"/>
        <v>896440000</v>
      </c>
      <c r="I390" s="132" t="str">
        <f t="shared" si="143"/>
        <v>New build</v>
      </c>
      <c r="J390" s="132">
        <f t="shared" si="157"/>
        <v>391930000</v>
      </c>
      <c r="K390" s="132">
        <f t="shared" si="144"/>
        <v>0</v>
      </c>
      <c r="L390" s="132">
        <f t="shared" si="158"/>
        <v>0</v>
      </c>
      <c r="M390" s="132">
        <f t="shared" si="151"/>
        <v>0</v>
      </c>
      <c r="N390" s="134">
        <f t="shared" si="159"/>
        <v>0</v>
      </c>
      <c r="O390" s="135">
        <f t="shared" si="160"/>
        <v>0</v>
      </c>
      <c r="P390" s="132" t="str">
        <f t="shared" si="145"/>
        <v/>
      </c>
      <c r="Q390" s="132" t="str">
        <f t="shared" ref="Q390:Q453" si="162">IF(INDEX(PlotData,MATCH($B390,PlotNumber,0),MATCH(Q$3,PlotTitles,0))=0,"",INDEX(PlotData,MATCH($B390,PlotNumber,0),MATCH(Q$3,PlotTitles,0)))</f>
        <v/>
      </c>
      <c r="R390" s="132" t="str">
        <f>IF(ISNUMBER(SEARCH("AHO",Import2[[#This Row],[Tenure]])),"AHO",Import2[[#This Row],[Tenure]])&amp;Import2[[#This Row],[Expected Physical Completion Year]]&amp;Import2[[#This Row],[Expected Physical Completion Month]]</f>
        <v>Open market housing</v>
      </c>
      <c r="S390" s="135">
        <f t="shared" si="161"/>
        <v>0</v>
      </c>
      <c r="T390" s="132" t="str">
        <f t="shared" si="152"/>
        <v/>
      </c>
      <c r="U390" s="132" t="str">
        <f t="shared" si="152"/>
        <v/>
      </c>
      <c r="V390" s="132" t="str">
        <f>IF(ISNUMBER(SEARCH("AHO",Import2[[#This Row],[Tenure]])),"AHO",Import2[[#This Row],[Tenure]])&amp;Import2[[#This Row],[Expected sale completion year]]&amp;Import2[[#This Row],[Expected sale completion month]]</f>
        <v>Open market housing</v>
      </c>
      <c r="W390" s="178">
        <f t="shared" si="146"/>
        <v>0</v>
      </c>
    </row>
    <row r="391" spans="1:23" ht="15" customHeight="1">
      <c r="A391" s="132">
        <f t="shared" si="153"/>
        <v>0</v>
      </c>
      <c r="B391" s="133">
        <v>388</v>
      </c>
      <c r="C391" s="132" t="str">
        <f t="shared" si="154"/>
        <v/>
      </c>
      <c r="D391" s="132">
        <f t="shared" si="150"/>
        <v>0</v>
      </c>
      <c r="E391" s="132">
        <f t="shared" si="150"/>
        <v>0</v>
      </c>
      <c r="F391" s="132">
        <f t="shared" si="155"/>
        <v>0</v>
      </c>
      <c r="G391" s="132" t="str">
        <f t="shared" si="150"/>
        <v>Open market housing</v>
      </c>
      <c r="H391" s="132">
        <f t="shared" si="156"/>
        <v>896440000</v>
      </c>
      <c r="I391" s="132" t="str">
        <f t="shared" si="143"/>
        <v>New build</v>
      </c>
      <c r="J391" s="132">
        <f t="shared" si="157"/>
        <v>391930000</v>
      </c>
      <c r="K391" s="132">
        <f t="shared" si="144"/>
        <v>0</v>
      </c>
      <c r="L391" s="132">
        <f t="shared" si="158"/>
        <v>0</v>
      </c>
      <c r="M391" s="132">
        <f t="shared" si="151"/>
        <v>0</v>
      </c>
      <c r="N391" s="134">
        <f t="shared" si="159"/>
        <v>0</v>
      </c>
      <c r="O391" s="135">
        <f t="shared" si="160"/>
        <v>0</v>
      </c>
      <c r="P391" s="132" t="str">
        <f t="shared" si="145"/>
        <v/>
      </c>
      <c r="Q391" s="132" t="str">
        <f t="shared" si="162"/>
        <v/>
      </c>
      <c r="R391" s="132" t="str">
        <f>IF(ISNUMBER(SEARCH("AHO",Import2[[#This Row],[Tenure]])),"AHO",Import2[[#This Row],[Tenure]])&amp;Import2[[#This Row],[Expected Physical Completion Year]]&amp;Import2[[#This Row],[Expected Physical Completion Month]]</f>
        <v>Open market housing</v>
      </c>
      <c r="S391" s="135">
        <f t="shared" si="161"/>
        <v>0</v>
      </c>
      <c r="T391" s="132" t="str">
        <f t="shared" si="152"/>
        <v/>
      </c>
      <c r="U391" s="132" t="str">
        <f t="shared" si="152"/>
        <v/>
      </c>
      <c r="V391" s="132" t="str">
        <f>IF(ISNUMBER(SEARCH("AHO",Import2[[#This Row],[Tenure]])),"AHO",Import2[[#This Row],[Tenure]])&amp;Import2[[#This Row],[Expected sale completion year]]&amp;Import2[[#This Row],[Expected sale completion month]]</f>
        <v>Open market housing</v>
      </c>
      <c r="W391" s="178">
        <f t="shared" si="146"/>
        <v>0</v>
      </c>
    </row>
    <row r="392" spans="1:23" ht="15" customHeight="1">
      <c r="A392" s="132">
        <f t="shared" si="153"/>
        <v>0</v>
      </c>
      <c r="B392" s="133">
        <v>389</v>
      </c>
      <c r="C392" s="132" t="str">
        <f t="shared" si="154"/>
        <v/>
      </c>
      <c r="D392" s="132">
        <f t="shared" si="150"/>
        <v>0</v>
      </c>
      <c r="E392" s="132">
        <f t="shared" si="150"/>
        <v>0</v>
      </c>
      <c r="F392" s="132">
        <f t="shared" si="155"/>
        <v>0</v>
      </c>
      <c r="G392" s="132" t="str">
        <f t="shared" si="150"/>
        <v>Open market housing</v>
      </c>
      <c r="H392" s="132">
        <f t="shared" si="156"/>
        <v>896440000</v>
      </c>
      <c r="I392" s="132" t="str">
        <f t="shared" si="143"/>
        <v>New build</v>
      </c>
      <c r="J392" s="132">
        <f t="shared" si="157"/>
        <v>391930000</v>
      </c>
      <c r="K392" s="132">
        <f t="shared" si="144"/>
        <v>0</v>
      </c>
      <c r="L392" s="132">
        <f t="shared" si="158"/>
        <v>0</v>
      </c>
      <c r="M392" s="132">
        <f t="shared" si="151"/>
        <v>0</v>
      </c>
      <c r="N392" s="134">
        <f t="shared" si="159"/>
        <v>0</v>
      </c>
      <c r="O392" s="135">
        <f t="shared" si="160"/>
        <v>0</v>
      </c>
      <c r="P392" s="132" t="str">
        <f t="shared" si="145"/>
        <v/>
      </c>
      <c r="Q392" s="132" t="str">
        <f t="shared" si="162"/>
        <v/>
      </c>
      <c r="R392" s="132" t="str">
        <f>IF(ISNUMBER(SEARCH("AHO",Import2[[#This Row],[Tenure]])),"AHO",Import2[[#This Row],[Tenure]])&amp;Import2[[#This Row],[Expected Physical Completion Year]]&amp;Import2[[#This Row],[Expected Physical Completion Month]]</f>
        <v>Open market housing</v>
      </c>
      <c r="S392" s="135">
        <f t="shared" si="161"/>
        <v>0</v>
      </c>
      <c r="T392" s="132" t="str">
        <f t="shared" si="152"/>
        <v/>
      </c>
      <c r="U392" s="132" t="str">
        <f t="shared" si="152"/>
        <v/>
      </c>
      <c r="V392" s="132" t="str">
        <f>IF(ISNUMBER(SEARCH("AHO",Import2[[#This Row],[Tenure]])),"AHO",Import2[[#This Row],[Tenure]])&amp;Import2[[#This Row],[Expected sale completion year]]&amp;Import2[[#This Row],[Expected sale completion month]]</f>
        <v>Open market housing</v>
      </c>
      <c r="W392" s="178">
        <f t="shared" si="146"/>
        <v>0</v>
      </c>
    </row>
    <row r="393" spans="1:23" ht="15" customHeight="1">
      <c r="A393" s="132">
        <f t="shared" si="153"/>
        <v>0</v>
      </c>
      <c r="B393" s="133">
        <v>390</v>
      </c>
      <c r="C393" s="132" t="str">
        <f t="shared" si="154"/>
        <v/>
      </c>
      <c r="D393" s="132">
        <f t="shared" si="150"/>
        <v>0</v>
      </c>
      <c r="E393" s="132">
        <f t="shared" si="150"/>
        <v>0</v>
      </c>
      <c r="F393" s="132">
        <f t="shared" si="155"/>
        <v>0</v>
      </c>
      <c r="G393" s="132" t="str">
        <f t="shared" si="150"/>
        <v>Open market housing</v>
      </c>
      <c r="H393" s="132">
        <f t="shared" si="156"/>
        <v>896440000</v>
      </c>
      <c r="I393" s="132" t="str">
        <f t="shared" si="143"/>
        <v>New build</v>
      </c>
      <c r="J393" s="132">
        <f t="shared" si="157"/>
        <v>391930000</v>
      </c>
      <c r="K393" s="132">
        <f t="shared" si="144"/>
        <v>0</v>
      </c>
      <c r="L393" s="132">
        <f t="shared" si="158"/>
        <v>0</v>
      </c>
      <c r="M393" s="132">
        <f t="shared" si="151"/>
        <v>0</v>
      </c>
      <c r="N393" s="134">
        <f t="shared" si="159"/>
        <v>0</v>
      </c>
      <c r="O393" s="135">
        <f t="shared" si="160"/>
        <v>0</v>
      </c>
      <c r="P393" s="132" t="str">
        <f t="shared" si="145"/>
        <v/>
      </c>
      <c r="Q393" s="132" t="str">
        <f t="shared" si="162"/>
        <v/>
      </c>
      <c r="R393" s="132" t="str">
        <f>IF(ISNUMBER(SEARCH("AHO",Import2[[#This Row],[Tenure]])),"AHO",Import2[[#This Row],[Tenure]])&amp;Import2[[#This Row],[Expected Physical Completion Year]]&amp;Import2[[#This Row],[Expected Physical Completion Month]]</f>
        <v>Open market housing</v>
      </c>
      <c r="S393" s="135">
        <f t="shared" si="161"/>
        <v>0</v>
      </c>
      <c r="T393" s="132" t="str">
        <f t="shared" si="152"/>
        <v/>
      </c>
      <c r="U393" s="132" t="str">
        <f t="shared" si="152"/>
        <v/>
      </c>
      <c r="V393" s="132" t="str">
        <f>IF(ISNUMBER(SEARCH("AHO",Import2[[#This Row],[Tenure]])),"AHO",Import2[[#This Row],[Tenure]])&amp;Import2[[#This Row],[Expected sale completion year]]&amp;Import2[[#This Row],[Expected sale completion month]]</f>
        <v>Open market housing</v>
      </c>
      <c r="W393" s="178">
        <f t="shared" si="146"/>
        <v>0</v>
      </c>
    </row>
    <row r="394" spans="1:23" ht="15" customHeight="1">
      <c r="A394" s="132">
        <f t="shared" si="153"/>
        <v>0</v>
      </c>
      <c r="B394" s="133">
        <v>391</v>
      </c>
      <c r="C394" s="132" t="str">
        <f t="shared" si="154"/>
        <v/>
      </c>
      <c r="D394" s="132">
        <f t="shared" si="150"/>
        <v>0</v>
      </c>
      <c r="E394" s="132">
        <f t="shared" si="150"/>
        <v>0</v>
      </c>
      <c r="F394" s="132">
        <f t="shared" si="155"/>
        <v>0</v>
      </c>
      <c r="G394" s="132" t="str">
        <f t="shared" si="150"/>
        <v>Open market housing</v>
      </c>
      <c r="H394" s="132">
        <f t="shared" si="156"/>
        <v>896440000</v>
      </c>
      <c r="I394" s="132" t="str">
        <f t="shared" si="143"/>
        <v>New build</v>
      </c>
      <c r="J394" s="132">
        <f t="shared" si="157"/>
        <v>391930000</v>
      </c>
      <c r="K394" s="132">
        <f t="shared" si="144"/>
        <v>0</v>
      </c>
      <c r="L394" s="132">
        <f t="shared" si="158"/>
        <v>0</v>
      </c>
      <c r="M394" s="132">
        <f t="shared" si="151"/>
        <v>0</v>
      </c>
      <c r="N394" s="134">
        <f t="shared" si="159"/>
        <v>0</v>
      </c>
      <c r="O394" s="135">
        <f t="shared" si="160"/>
        <v>0</v>
      </c>
      <c r="P394" s="132" t="str">
        <f t="shared" si="145"/>
        <v/>
      </c>
      <c r="Q394" s="132" t="str">
        <f t="shared" si="162"/>
        <v/>
      </c>
      <c r="R394" s="132" t="str">
        <f>IF(ISNUMBER(SEARCH("AHO",Import2[[#This Row],[Tenure]])),"AHO",Import2[[#This Row],[Tenure]])&amp;Import2[[#This Row],[Expected Physical Completion Year]]&amp;Import2[[#This Row],[Expected Physical Completion Month]]</f>
        <v>Open market housing</v>
      </c>
      <c r="S394" s="135">
        <f t="shared" si="161"/>
        <v>0</v>
      </c>
      <c r="T394" s="132" t="str">
        <f t="shared" si="152"/>
        <v/>
      </c>
      <c r="U394" s="132" t="str">
        <f t="shared" si="152"/>
        <v/>
      </c>
      <c r="V394" s="132" t="str">
        <f>IF(ISNUMBER(SEARCH("AHO",Import2[[#This Row],[Tenure]])),"AHO",Import2[[#This Row],[Tenure]])&amp;Import2[[#This Row],[Expected sale completion year]]&amp;Import2[[#This Row],[Expected sale completion month]]</f>
        <v>Open market housing</v>
      </c>
      <c r="W394" s="178">
        <f t="shared" si="146"/>
        <v>0</v>
      </c>
    </row>
    <row r="395" spans="1:23" ht="15" customHeight="1">
      <c r="A395" s="132">
        <f t="shared" si="153"/>
        <v>0</v>
      </c>
      <c r="B395" s="133">
        <v>392</v>
      </c>
      <c r="C395" s="132" t="str">
        <f t="shared" si="154"/>
        <v/>
      </c>
      <c r="D395" s="132">
        <f t="shared" si="150"/>
        <v>0</v>
      </c>
      <c r="E395" s="132">
        <f t="shared" si="150"/>
        <v>0</v>
      </c>
      <c r="F395" s="132">
        <f t="shared" si="155"/>
        <v>0</v>
      </c>
      <c r="G395" s="132" t="str">
        <f t="shared" si="150"/>
        <v>Open market housing</v>
      </c>
      <c r="H395" s="132">
        <f t="shared" si="156"/>
        <v>896440000</v>
      </c>
      <c r="I395" s="132" t="str">
        <f t="shared" si="143"/>
        <v>New build</v>
      </c>
      <c r="J395" s="132">
        <f t="shared" si="157"/>
        <v>391930000</v>
      </c>
      <c r="K395" s="132">
        <f t="shared" si="144"/>
        <v>0</v>
      </c>
      <c r="L395" s="132">
        <f t="shared" si="158"/>
        <v>0</v>
      </c>
      <c r="M395" s="132">
        <f t="shared" si="151"/>
        <v>0</v>
      </c>
      <c r="N395" s="134">
        <f t="shared" si="159"/>
        <v>0</v>
      </c>
      <c r="O395" s="135">
        <f t="shared" si="160"/>
        <v>0</v>
      </c>
      <c r="P395" s="132" t="str">
        <f t="shared" si="145"/>
        <v/>
      </c>
      <c r="Q395" s="132" t="str">
        <f t="shared" si="162"/>
        <v/>
      </c>
      <c r="R395" s="132" t="str">
        <f>IF(ISNUMBER(SEARCH("AHO",Import2[[#This Row],[Tenure]])),"AHO",Import2[[#This Row],[Tenure]])&amp;Import2[[#This Row],[Expected Physical Completion Year]]&amp;Import2[[#This Row],[Expected Physical Completion Month]]</f>
        <v>Open market housing</v>
      </c>
      <c r="S395" s="135">
        <f t="shared" si="161"/>
        <v>0</v>
      </c>
      <c r="T395" s="132" t="str">
        <f t="shared" si="152"/>
        <v/>
      </c>
      <c r="U395" s="132" t="str">
        <f t="shared" si="152"/>
        <v/>
      </c>
      <c r="V395" s="132" t="str">
        <f>IF(ISNUMBER(SEARCH("AHO",Import2[[#This Row],[Tenure]])),"AHO",Import2[[#This Row],[Tenure]])&amp;Import2[[#This Row],[Expected sale completion year]]&amp;Import2[[#This Row],[Expected sale completion month]]</f>
        <v>Open market housing</v>
      </c>
      <c r="W395" s="178">
        <f t="shared" si="146"/>
        <v>0</v>
      </c>
    </row>
    <row r="396" spans="1:23" ht="15" customHeight="1">
      <c r="A396" s="132">
        <f t="shared" si="153"/>
        <v>0</v>
      </c>
      <c r="B396" s="133">
        <v>393</v>
      </c>
      <c r="C396" s="132" t="str">
        <f t="shared" si="154"/>
        <v/>
      </c>
      <c r="D396" s="132">
        <f t="shared" si="150"/>
        <v>0</v>
      </c>
      <c r="E396" s="132">
        <f t="shared" si="150"/>
        <v>0</v>
      </c>
      <c r="F396" s="132">
        <f t="shared" si="155"/>
        <v>0</v>
      </c>
      <c r="G396" s="132" t="str">
        <f t="shared" si="150"/>
        <v>Open market housing</v>
      </c>
      <c r="H396" s="132">
        <f t="shared" si="156"/>
        <v>896440000</v>
      </c>
      <c r="I396" s="132" t="str">
        <f t="shared" si="143"/>
        <v>New build</v>
      </c>
      <c r="J396" s="132">
        <f t="shared" si="157"/>
        <v>391930000</v>
      </c>
      <c r="K396" s="132">
        <f t="shared" si="144"/>
        <v>0</v>
      </c>
      <c r="L396" s="132">
        <f t="shared" si="158"/>
        <v>0</v>
      </c>
      <c r="M396" s="132">
        <f t="shared" si="151"/>
        <v>0</v>
      </c>
      <c r="N396" s="134">
        <f t="shared" si="159"/>
        <v>0</v>
      </c>
      <c r="O396" s="135">
        <f t="shared" si="160"/>
        <v>0</v>
      </c>
      <c r="P396" s="132" t="str">
        <f t="shared" si="145"/>
        <v/>
      </c>
      <c r="Q396" s="132" t="str">
        <f t="shared" si="162"/>
        <v/>
      </c>
      <c r="R396" s="132" t="str">
        <f>IF(ISNUMBER(SEARCH("AHO",Import2[[#This Row],[Tenure]])),"AHO",Import2[[#This Row],[Tenure]])&amp;Import2[[#This Row],[Expected Physical Completion Year]]&amp;Import2[[#This Row],[Expected Physical Completion Month]]</f>
        <v>Open market housing</v>
      </c>
      <c r="S396" s="135">
        <f t="shared" si="161"/>
        <v>0</v>
      </c>
      <c r="T396" s="132" t="str">
        <f t="shared" si="152"/>
        <v/>
      </c>
      <c r="U396" s="132" t="str">
        <f t="shared" si="152"/>
        <v/>
      </c>
      <c r="V396" s="132" t="str">
        <f>IF(ISNUMBER(SEARCH("AHO",Import2[[#This Row],[Tenure]])),"AHO",Import2[[#This Row],[Tenure]])&amp;Import2[[#This Row],[Expected sale completion year]]&amp;Import2[[#This Row],[Expected sale completion month]]</f>
        <v>Open market housing</v>
      </c>
      <c r="W396" s="178">
        <f t="shared" si="146"/>
        <v>0</v>
      </c>
    </row>
    <row r="397" spans="1:23" ht="15" customHeight="1">
      <c r="A397" s="132">
        <f t="shared" si="153"/>
        <v>0</v>
      </c>
      <c r="B397" s="133">
        <v>394</v>
      </c>
      <c r="C397" s="132" t="str">
        <f t="shared" si="154"/>
        <v/>
      </c>
      <c r="D397" s="132">
        <f t="shared" si="150"/>
        <v>0</v>
      </c>
      <c r="E397" s="132">
        <f t="shared" si="150"/>
        <v>0</v>
      </c>
      <c r="F397" s="132">
        <f t="shared" si="155"/>
        <v>0</v>
      </c>
      <c r="G397" s="132" t="str">
        <f t="shared" si="150"/>
        <v>Open market housing</v>
      </c>
      <c r="H397" s="132">
        <f t="shared" si="156"/>
        <v>896440000</v>
      </c>
      <c r="I397" s="132" t="str">
        <f t="shared" si="143"/>
        <v>New build</v>
      </c>
      <c r="J397" s="132">
        <f t="shared" si="157"/>
        <v>391930000</v>
      </c>
      <c r="K397" s="132">
        <f t="shared" si="144"/>
        <v>0</v>
      </c>
      <c r="L397" s="132">
        <f t="shared" si="158"/>
        <v>0</v>
      </c>
      <c r="M397" s="132">
        <f t="shared" si="151"/>
        <v>0</v>
      </c>
      <c r="N397" s="134">
        <f t="shared" si="159"/>
        <v>0</v>
      </c>
      <c r="O397" s="135">
        <f t="shared" si="160"/>
        <v>0</v>
      </c>
      <c r="P397" s="132" t="str">
        <f t="shared" si="145"/>
        <v/>
      </c>
      <c r="Q397" s="132" t="str">
        <f t="shared" si="162"/>
        <v/>
      </c>
      <c r="R397" s="132" t="str">
        <f>IF(ISNUMBER(SEARCH("AHO",Import2[[#This Row],[Tenure]])),"AHO",Import2[[#This Row],[Tenure]])&amp;Import2[[#This Row],[Expected Physical Completion Year]]&amp;Import2[[#This Row],[Expected Physical Completion Month]]</f>
        <v>Open market housing</v>
      </c>
      <c r="S397" s="135">
        <f t="shared" si="161"/>
        <v>0</v>
      </c>
      <c r="T397" s="132" t="str">
        <f t="shared" si="152"/>
        <v/>
      </c>
      <c r="U397" s="132" t="str">
        <f t="shared" si="152"/>
        <v/>
      </c>
      <c r="V397" s="132" t="str">
        <f>IF(ISNUMBER(SEARCH("AHO",Import2[[#This Row],[Tenure]])),"AHO",Import2[[#This Row],[Tenure]])&amp;Import2[[#This Row],[Expected sale completion year]]&amp;Import2[[#This Row],[Expected sale completion month]]</f>
        <v>Open market housing</v>
      </c>
      <c r="W397" s="178">
        <f t="shared" si="146"/>
        <v>0</v>
      </c>
    </row>
    <row r="398" spans="1:23" ht="15" customHeight="1">
      <c r="A398" s="132">
        <f t="shared" si="153"/>
        <v>0</v>
      </c>
      <c r="B398" s="133">
        <v>395</v>
      </c>
      <c r="C398" s="132" t="str">
        <f t="shared" si="154"/>
        <v/>
      </c>
      <c r="D398" s="132">
        <f t="shared" si="150"/>
        <v>0</v>
      </c>
      <c r="E398" s="132">
        <f t="shared" si="150"/>
        <v>0</v>
      </c>
      <c r="F398" s="132">
        <f t="shared" si="155"/>
        <v>0</v>
      </c>
      <c r="G398" s="132" t="str">
        <f t="shared" si="150"/>
        <v>Open market housing</v>
      </c>
      <c r="H398" s="132">
        <f t="shared" si="156"/>
        <v>896440000</v>
      </c>
      <c r="I398" s="132" t="str">
        <f t="shared" si="143"/>
        <v>New build</v>
      </c>
      <c r="J398" s="132">
        <f t="shared" si="157"/>
        <v>391930000</v>
      </c>
      <c r="K398" s="132">
        <f t="shared" si="144"/>
        <v>0</v>
      </c>
      <c r="L398" s="132">
        <f t="shared" si="158"/>
        <v>0</v>
      </c>
      <c r="M398" s="132">
        <f t="shared" si="151"/>
        <v>0</v>
      </c>
      <c r="N398" s="134">
        <f t="shared" si="159"/>
        <v>0</v>
      </c>
      <c r="O398" s="135">
        <f t="shared" si="160"/>
        <v>0</v>
      </c>
      <c r="P398" s="132" t="str">
        <f t="shared" si="145"/>
        <v/>
      </c>
      <c r="Q398" s="132" t="str">
        <f t="shared" si="162"/>
        <v/>
      </c>
      <c r="R398" s="132" t="str">
        <f>IF(ISNUMBER(SEARCH("AHO",Import2[[#This Row],[Tenure]])),"AHO",Import2[[#This Row],[Tenure]])&amp;Import2[[#This Row],[Expected Physical Completion Year]]&amp;Import2[[#This Row],[Expected Physical Completion Month]]</f>
        <v>Open market housing</v>
      </c>
      <c r="S398" s="135">
        <f t="shared" si="161"/>
        <v>0</v>
      </c>
      <c r="T398" s="132" t="str">
        <f t="shared" si="152"/>
        <v/>
      </c>
      <c r="U398" s="132" t="str">
        <f t="shared" si="152"/>
        <v/>
      </c>
      <c r="V398" s="132" t="str">
        <f>IF(ISNUMBER(SEARCH("AHO",Import2[[#This Row],[Tenure]])),"AHO",Import2[[#This Row],[Tenure]])&amp;Import2[[#This Row],[Expected sale completion year]]&amp;Import2[[#This Row],[Expected sale completion month]]</f>
        <v>Open market housing</v>
      </c>
      <c r="W398" s="178">
        <f t="shared" si="146"/>
        <v>0</v>
      </c>
    </row>
    <row r="399" spans="1:23" ht="15" customHeight="1">
      <c r="A399" s="132">
        <f t="shared" si="153"/>
        <v>0</v>
      </c>
      <c r="B399" s="133">
        <v>396</v>
      </c>
      <c r="C399" s="132" t="str">
        <f t="shared" si="154"/>
        <v/>
      </c>
      <c r="D399" s="132">
        <f t="shared" si="150"/>
        <v>0</v>
      </c>
      <c r="E399" s="132">
        <f t="shared" si="150"/>
        <v>0</v>
      </c>
      <c r="F399" s="132">
        <f t="shared" si="155"/>
        <v>0</v>
      </c>
      <c r="G399" s="132" t="str">
        <f t="shared" si="150"/>
        <v>Open market housing</v>
      </c>
      <c r="H399" s="132">
        <f t="shared" si="156"/>
        <v>896440000</v>
      </c>
      <c r="I399" s="132" t="str">
        <f t="shared" si="143"/>
        <v>New build</v>
      </c>
      <c r="J399" s="132">
        <f t="shared" si="157"/>
        <v>391930000</v>
      </c>
      <c r="K399" s="132">
        <f t="shared" si="144"/>
        <v>0</v>
      </c>
      <c r="L399" s="132">
        <f t="shared" si="158"/>
        <v>0</v>
      </c>
      <c r="M399" s="132">
        <f t="shared" si="151"/>
        <v>0</v>
      </c>
      <c r="N399" s="134">
        <f t="shared" si="159"/>
        <v>0</v>
      </c>
      <c r="O399" s="135">
        <f t="shared" si="160"/>
        <v>0</v>
      </c>
      <c r="P399" s="132" t="str">
        <f t="shared" si="145"/>
        <v/>
      </c>
      <c r="Q399" s="132" t="str">
        <f t="shared" si="162"/>
        <v/>
      </c>
      <c r="R399" s="132" t="str">
        <f>IF(ISNUMBER(SEARCH("AHO",Import2[[#This Row],[Tenure]])),"AHO",Import2[[#This Row],[Tenure]])&amp;Import2[[#This Row],[Expected Physical Completion Year]]&amp;Import2[[#This Row],[Expected Physical Completion Month]]</f>
        <v>Open market housing</v>
      </c>
      <c r="S399" s="135">
        <f t="shared" si="161"/>
        <v>0</v>
      </c>
      <c r="T399" s="132" t="str">
        <f t="shared" si="152"/>
        <v/>
      </c>
      <c r="U399" s="132" t="str">
        <f t="shared" si="152"/>
        <v/>
      </c>
      <c r="V399" s="132" t="str">
        <f>IF(ISNUMBER(SEARCH("AHO",Import2[[#This Row],[Tenure]])),"AHO",Import2[[#This Row],[Tenure]])&amp;Import2[[#This Row],[Expected sale completion year]]&amp;Import2[[#This Row],[Expected sale completion month]]</f>
        <v>Open market housing</v>
      </c>
      <c r="W399" s="178">
        <f t="shared" si="146"/>
        <v>0</v>
      </c>
    </row>
    <row r="400" spans="1:23" ht="15" customHeight="1">
      <c r="A400" s="132">
        <f t="shared" si="153"/>
        <v>0</v>
      </c>
      <c r="B400" s="133">
        <v>397</v>
      </c>
      <c r="C400" s="132" t="str">
        <f t="shared" si="154"/>
        <v/>
      </c>
      <c r="D400" s="132">
        <f t="shared" si="150"/>
        <v>0</v>
      </c>
      <c r="E400" s="132">
        <f t="shared" si="150"/>
        <v>0</v>
      </c>
      <c r="F400" s="132">
        <f t="shared" si="155"/>
        <v>0</v>
      </c>
      <c r="G400" s="132" t="str">
        <f t="shared" si="150"/>
        <v>Open market housing</v>
      </c>
      <c r="H400" s="132">
        <f t="shared" si="156"/>
        <v>896440000</v>
      </c>
      <c r="I400" s="132" t="str">
        <f t="shared" si="143"/>
        <v>New build</v>
      </c>
      <c r="J400" s="132">
        <f t="shared" si="157"/>
        <v>391930000</v>
      </c>
      <c r="K400" s="132">
        <f t="shared" si="144"/>
        <v>0</v>
      </c>
      <c r="L400" s="132">
        <f t="shared" si="158"/>
        <v>0</v>
      </c>
      <c r="M400" s="132">
        <f t="shared" si="151"/>
        <v>0</v>
      </c>
      <c r="N400" s="134">
        <f t="shared" si="159"/>
        <v>0</v>
      </c>
      <c r="O400" s="135">
        <f t="shared" si="160"/>
        <v>0</v>
      </c>
      <c r="P400" s="132" t="str">
        <f t="shared" si="145"/>
        <v/>
      </c>
      <c r="Q400" s="132" t="str">
        <f t="shared" si="162"/>
        <v/>
      </c>
      <c r="R400" s="132" t="str">
        <f>IF(ISNUMBER(SEARCH("AHO",Import2[[#This Row],[Tenure]])),"AHO",Import2[[#This Row],[Tenure]])&amp;Import2[[#This Row],[Expected Physical Completion Year]]&amp;Import2[[#This Row],[Expected Physical Completion Month]]</f>
        <v>Open market housing</v>
      </c>
      <c r="S400" s="135">
        <f t="shared" si="161"/>
        <v>0</v>
      </c>
      <c r="T400" s="132" t="str">
        <f t="shared" si="152"/>
        <v/>
      </c>
      <c r="U400" s="132" t="str">
        <f t="shared" si="152"/>
        <v/>
      </c>
      <c r="V400" s="132" t="str">
        <f>IF(ISNUMBER(SEARCH("AHO",Import2[[#This Row],[Tenure]])),"AHO",Import2[[#This Row],[Tenure]])&amp;Import2[[#This Row],[Expected sale completion year]]&amp;Import2[[#This Row],[Expected sale completion month]]</f>
        <v>Open market housing</v>
      </c>
      <c r="W400" s="178">
        <f t="shared" si="146"/>
        <v>0</v>
      </c>
    </row>
    <row r="401" spans="1:23" ht="15" customHeight="1">
      <c r="A401" s="132">
        <f t="shared" si="153"/>
        <v>0</v>
      </c>
      <c r="B401" s="133">
        <v>398</v>
      </c>
      <c r="C401" s="132" t="str">
        <f t="shared" si="154"/>
        <v/>
      </c>
      <c r="D401" s="132">
        <f t="shared" si="150"/>
        <v>0</v>
      </c>
      <c r="E401" s="132">
        <f t="shared" si="150"/>
        <v>0</v>
      </c>
      <c r="F401" s="132">
        <f t="shared" si="155"/>
        <v>0</v>
      </c>
      <c r="G401" s="132" t="str">
        <f t="shared" si="150"/>
        <v>Open market housing</v>
      </c>
      <c r="H401" s="132">
        <f t="shared" si="156"/>
        <v>896440000</v>
      </c>
      <c r="I401" s="132" t="str">
        <f t="shared" si="143"/>
        <v>New build</v>
      </c>
      <c r="J401" s="132">
        <f t="shared" si="157"/>
        <v>391930000</v>
      </c>
      <c r="K401" s="132">
        <f t="shared" si="144"/>
        <v>0</v>
      </c>
      <c r="L401" s="132">
        <f t="shared" si="158"/>
        <v>0</v>
      </c>
      <c r="M401" s="132">
        <f t="shared" si="151"/>
        <v>0</v>
      </c>
      <c r="N401" s="134">
        <f t="shared" si="159"/>
        <v>0</v>
      </c>
      <c r="O401" s="135">
        <f t="shared" si="160"/>
        <v>0</v>
      </c>
      <c r="P401" s="132" t="str">
        <f t="shared" si="145"/>
        <v/>
      </c>
      <c r="Q401" s="132" t="str">
        <f t="shared" si="162"/>
        <v/>
      </c>
      <c r="R401" s="132" t="str">
        <f>IF(ISNUMBER(SEARCH("AHO",Import2[[#This Row],[Tenure]])),"AHO",Import2[[#This Row],[Tenure]])&amp;Import2[[#This Row],[Expected Physical Completion Year]]&amp;Import2[[#This Row],[Expected Physical Completion Month]]</f>
        <v>Open market housing</v>
      </c>
      <c r="S401" s="135">
        <f t="shared" si="161"/>
        <v>0</v>
      </c>
      <c r="T401" s="132" t="str">
        <f t="shared" si="152"/>
        <v/>
      </c>
      <c r="U401" s="132" t="str">
        <f t="shared" si="152"/>
        <v/>
      </c>
      <c r="V401" s="132" t="str">
        <f>IF(ISNUMBER(SEARCH("AHO",Import2[[#This Row],[Tenure]])),"AHO",Import2[[#This Row],[Tenure]])&amp;Import2[[#This Row],[Expected sale completion year]]&amp;Import2[[#This Row],[Expected sale completion month]]</f>
        <v>Open market housing</v>
      </c>
      <c r="W401" s="178">
        <f t="shared" si="146"/>
        <v>0</v>
      </c>
    </row>
    <row r="402" spans="1:23" ht="15" customHeight="1">
      <c r="A402" s="132">
        <f t="shared" si="153"/>
        <v>0</v>
      </c>
      <c r="B402" s="133">
        <v>399</v>
      </c>
      <c r="C402" s="132" t="str">
        <f t="shared" si="154"/>
        <v/>
      </c>
      <c r="D402" s="132">
        <f t="shared" si="150"/>
        <v>0</v>
      </c>
      <c r="E402" s="132">
        <f t="shared" si="150"/>
        <v>0</v>
      </c>
      <c r="F402" s="132">
        <f t="shared" si="155"/>
        <v>0</v>
      </c>
      <c r="G402" s="132" t="str">
        <f t="shared" si="150"/>
        <v>Open market housing</v>
      </c>
      <c r="H402" s="132">
        <f t="shared" si="156"/>
        <v>896440000</v>
      </c>
      <c r="I402" s="132" t="str">
        <f t="shared" si="143"/>
        <v>New build</v>
      </c>
      <c r="J402" s="132">
        <f t="shared" si="157"/>
        <v>391930000</v>
      </c>
      <c r="K402" s="132">
        <f t="shared" si="144"/>
        <v>0</v>
      </c>
      <c r="L402" s="132">
        <f t="shared" si="158"/>
        <v>0</v>
      </c>
      <c r="M402" s="132">
        <f t="shared" si="151"/>
        <v>0</v>
      </c>
      <c r="N402" s="134">
        <f t="shared" si="159"/>
        <v>0</v>
      </c>
      <c r="O402" s="135">
        <f t="shared" si="160"/>
        <v>0</v>
      </c>
      <c r="P402" s="132" t="str">
        <f t="shared" si="145"/>
        <v/>
      </c>
      <c r="Q402" s="132" t="str">
        <f t="shared" si="162"/>
        <v/>
      </c>
      <c r="R402" s="132" t="str">
        <f>IF(ISNUMBER(SEARCH("AHO",Import2[[#This Row],[Tenure]])),"AHO",Import2[[#This Row],[Tenure]])&amp;Import2[[#This Row],[Expected Physical Completion Year]]&amp;Import2[[#This Row],[Expected Physical Completion Month]]</f>
        <v>Open market housing</v>
      </c>
      <c r="S402" s="135">
        <f t="shared" si="161"/>
        <v>0</v>
      </c>
      <c r="T402" s="132" t="str">
        <f t="shared" si="152"/>
        <v/>
      </c>
      <c r="U402" s="132" t="str">
        <f t="shared" si="152"/>
        <v/>
      </c>
      <c r="V402" s="132" t="str">
        <f>IF(ISNUMBER(SEARCH("AHO",Import2[[#This Row],[Tenure]])),"AHO",Import2[[#This Row],[Tenure]])&amp;Import2[[#This Row],[Expected sale completion year]]&amp;Import2[[#This Row],[Expected sale completion month]]</f>
        <v>Open market housing</v>
      </c>
      <c r="W402" s="178">
        <f t="shared" si="146"/>
        <v>0</v>
      </c>
    </row>
    <row r="403" spans="1:23" ht="15" customHeight="1">
      <c r="A403" s="132">
        <f t="shared" si="153"/>
        <v>0</v>
      </c>
      <c r="B403" s="133">
        <v>400</v>
      </c>
      <c r="C403" s="132" t="str">
        <f t="shared" si="154"/>
        <v/>
      </c>
      <c r="D403" s="132">
        <f t="shared" si="150"/>
        <v>0</v>
      </c>
      <c r="E403" s="132">
        <f t="shared" si="150"/>
        <v>0</v>
      </c>
      <c r="F403" s="132">
        <f t="shared" si="155"/>
        <v>0</v>
      </c>
      <c r="G403" s="132" t="str">
        <f t="shared" si="150"/>
        <v>Open market housing</v>
      </c>
      <c r="H403" s="132">
        <f t="shared" si="156"/>
        <v>896440000</v>
      </c>
      <c r="I403" s="132" t="str">
        <f t="shared" si="143"/>
        <v>New build</v>
      </c>
      <c r="J403" s="132">
        <f t="shared" si="157"/>
        <v>391930000</v>
      </c>
      <c r="K403" s="132">
        <f t="shared" si="144"/>
        <v>0</v>
      </c>
      <c r="L403" s="132">
        <f t="shared" si="158"/>
        <v>0</v>
      </c>
      <c r="M403" s="132">
        <f t="shared" si="151"/>
        <v>0</v>
      </c>
      <c r="N403" s="134">
        <f t="shared" si="159"/>
        <v>0</v>
      </c>
      <c r="O403" s="135">
        <f t="shared" si="160"/>
        <v>0</v>
      </c>
      <c r="P403" s="132" t="str">
        <f t="shared" si="145"/>
        <v/>
      </c>
      <c r="Q403" s="132" t="str">
        <f t="shared" si="162"/>
        <v/>
      </c>
      <c r="R403" s="132" t="str">
        <f>IF(ISNUMBER(SEARCH("AHO",Import2[[#This Row],[Tenure]])),"AHO",Import2[[#This Row],[Tenure]])&amp;Import2[[#This Row],[Expected Physical Completion Year]]&amp;Import2[[#This Row],[Expected Physical Completion Month]]</f>
        <v>Open market housing</v>
      </c>
      <c r="S403" s="135">
        <f t="shared" si="161"/>
        <v>0</v>
      </c>
      <c r="T403" s="132" t="str">
        <f t="shared" si="152"/>
        <v/>
      </c>
      <c r="U403" s="132" t="str">
        <f t="shared" si="152"/>
        <v/>
      </c>
      <c r="V403" s="132" t="str">
        <f>IF(ISNUMBER(SEARCH("AHO",Import2[[#This Row],[Tenure]])),"AHO",Import2[[#This Row],[Tenure]])&amp;Import2[[#This Row],[Expected sale completion year]]&amp;Import2[[#This Row],[Expected sale completion month]]</f>
        <v>Open market housing</v>
      </c>
      <c r="W403" s="178">
        <f t="shared" si="146"/>
        <v>0</v>
      </c>
    </row>
    <row r="404" spans="1:23" ht="15" customHeight="1">
      <c r="A404" s="132">
        <f t="shared" si="153"/>
        <v>0</v>
      </c>
      <c r="B404" s="133">
        <v>401</v>
      </c>
      <c r="C404" s="132" t="str">
        <f t="shared" si="154"/>
        <v/>
      </c>
      <c r="D404" s="132">
        <f t="shared" ref="D404:G423" si="163">INDEX(PlotData,MATCH($B404,PlotNumber,0),MATCH(D$3,PlotTitles,0))</f>
        <v>0</v>
      </c>
      <c r="E404" s="132">
        <f t="shared" si="163"/>
        <v>0</v>
      </c>
      <c r="F404" s="132">
        <f t="shared" si="155"/>
        <v>0</v>
      </c>
      <c r="G404" s="132" t="str">
        <f t="shared" si="163"/>
        <v>Open market housing</v>
      </c>
      <c r="H404" s="132">
        <f t="shared" si="156"/>
        <v>896440000</v>
      </c>
      <c r="I404" s="132" t="str">
        <f t="shared" si="143"/>
        <v>New build</v>
      </c>
      <c r="J404" s="132">
        <f t="shared" si="157"/>
        <v>391930000</v>
      </c>
      <c r="K404" s="132">
        <f t="shared" si="144"/>
        <v>0</v>
      </c>
      <c r="L404" s="132">
        <f t="shared" si="158"/>
        <v>0</v>
      </c>
      <c r="M404" s="132">
        <f t="shared" ref="M404:M423" si="164">INDEX(PlotData,MATCH($B404,PlotNumber,0),MATCH(M$3,PlotTitles,0))</f>
        <v>0</v>
      </c>
      <c r="N404" s="134">
        <f t="shared" si="159"/>
        <v>0</v>
      </c>
      <c r="O404" s="135">
        <f t="shared" si="160"/>
        <v>0</v>
      </c>
      <c r="P404" s="132" t="str">
        <f t="shared" si="145"/>
        <v/>
      </c>
      <c r="Q404" s="132" t="str">
        <f t="shared" si="162"/>
        <v/>
      </c>
      <c r="R404" s="132" t="str">
        <f>IF(ISNUMBER(SEARCH("AHO",Import2[[#This Row],[Tenure]])),"AHO",Import2[[#This Row],[Tenure]])&amp;Import2[[#This Row],[Expected Physical Completion Year]]&amp;Import2[[#This Row],[Expected Physical Completion Month]]</f>
        <v>Open market housing</v>
      </c>
      <c r="S404" s="135">
        <f t="shared" si="161"/>
        <v>0</v>
      </c>
      <c r="T404" s="132" t="str">
        <f t="shared" ref="T404:U423" si="165">IF(INDEX(PlotData,MATCH($B404,PlotNumber,0),MATCH(T$3,PlotTitles,0))=0,"",INDEX(PlotData,MATCH($B404,PlotNumber,0),MATCH(T$3,PlotTitles,0)))</f>
        <v/>
      </c>
      <c r="U404" s="132" t="str">
        <f t="shared" si="165"/>
        <v/>
      </c>
      <c r="V404" s="132" t="str">
        <f>IF(ISNUMBER(SEARCH("AHO",Import2[[#This Row],[Tenure]])),"AHO",Import2[[#This Row],[Tenure]])&amp;Import2[[#This Row],[Expected sale completion year]]&amp;Import2[[#This Row],[Expected sale completion month]]</f>
        <v>Open market housing</v>
      </c>
      <c r="W404" s="178">
        <f t="shared" si="146"/>
        <v>0</v>
      </c>
    </row>
    <row r="405" spans="1:23" ht="15" customHeight="1">
      <c r="A405" s="132">
        <f t="shared" si="153"/>
        <v>0</v>
      </c>
      <c r="B405" s="133">
        <v>402</v>
      </c>
      <c r="C405" s="132" t="str">
        <f t="shared" si="154"/>
        <v/>
      </c>
      <c r="D405" s="132">
        <f t="shared" si="163"/>
        <v>0</v>
      </c>
      <c r="E405" s="132">
        <f t="shared" si="163"/>
        <v>0</v>
      </c>
      <c r="F405" s="132">
        <f t="shared" si="155"/>
        <v>0</v>
      </c>
      <c r="G405" s="132" t="str">
        <f t="shared" si="163"/>
        <v>Open market housing</v>
      </c>
      <c r="H405" s="132">
        <f t="shared" si="156"/>
        <v>896440000</v>
      </c>
      <c r="I405" s="132" t="str">
        <f t="shared" si="143"/>
        <v>New build</v>
      </c>
      <c r="J405" s="132">
        <f t="shared" si="157"/>
        <v>391930000</v>
      </c>
      <c r="K405" s="132">
        <f t="shared" si="144"/>
        <v>0</v>
      </c>
      <c r="L405" s="132">
        <f t="shared" si="158"/>
        <v>0</v>
      </c>
      <c r="M405" s="132">
        <f t="shared" si="164"/>
        <v>0</v>
      </c>
      <c r="N405" s="134">
        <f t="shared" si="159"/>
        <v>0</v>
      </c>
      <c r="O405" s="135">
        <f t="shared" si="160"/>
        <v>0</v>
      </c>
      <c r="P405" s="132" t="str">
        <f t="shared" si="145"/>
        <v/>
      </c>
      <c r="Q405" s="132" t="str">
        <f t="shared" si="162"/>
        <v/>
      </c>
      <c r="R405" s="132" t="str">
        <f>IF(ISNUMBER(SEARCH("AHO",Import2[[#This Row],[Tenure]])),"AHO",Import2[[#This Row],[Tenure]])&amp;Import2[[#This Row],[Expected Physical Completion Year]]&amp;Import2[[#This Row],[Expected Physical Completion Month]]</f>
        <v>Open market housing</v>
      </c>
      <c r="S405" s="135">
        <f t="shared" si="161"/>
        <v>0</v>
      </c>
      <c r="T405" s="132" t="str">
        <f t="shared" si="165"/>
        <v/>
      </c>
      <c r="U405" s="132" t="str">
        <f t="shared" si="165"/>
        <v/>
      </c>
      <c r="V405" s="132" t="str">
        <f>IF(ISNUMBER(SEARCH("AHO",Import2[[#This Row],[Tenure]])),"AHO",Import2[[#This Row],[Tenure]])&amp;Import2[[#This Row],[Expected sale completion year]]&amp;Import2[[#This Row],[Expected sale completion month]]</f>
        <v>Open market housing</v>
      </c>
      <c r="W405" s="178">
        <f t="shared" si="146"/>
        <v>0</v>
      </c>
    </row>
    <row r="406" spans="1:23" ht="15" customHeight="1">
      <c r="A406" s="132">
        <f t="shared" si="153"/>
        <v>0</v>
      </c>
      <c r="B406" s="133">
        <v>403</v>
      </c>
      <c r="C406" s="132" t="str">
        <f t="shared" si="154"/>
        <v/>
      </c>
      <c r="D406" s="132">
        <f t="shared" si="163"/>
        <v>0</v>
      </c>
      <c r="E406" s="132">
        <f t="shared" si="163"/>
        <v>0</v>
      </c>
      <c r="F406" s="132">
        <f t="shared" si="155"/>
        <v>0</v>
      </c>
      <c r="G406" s="132" t="str">
        <f t="shared" si="163"/>
        <v>Open market housing</v>
      </c>
      <c r="H406" s="132">
        <f t="shared" si="156"/>
        <v>896440000</v>
      </c>
      <c r="I406" s="132" t="str">
        <f t="shared" si="143"/>
        <v>New build</v>
      </c>
      <c r="J406" s="132">
        <f t="shared" si="157"/>
        <v>391930000</v>
      </c>
      <c r="K406" s="132">
        <f t="shared" si="144"/>
        <v>0</v>
      </c>
      <c r="L406" s="132">
        <f t="shared" si="158"/>
        <v>0</v>
      </c>
      <c r="M406" s="132">
        <f t="shared" si="164"/>
        <v>0</v>
      </c>
      <c r="N406" s="134">
        <f t="shared" si="159"/>
        <v>0</v>
      </c>
      <c r="O406" s="135">
        <f t="shared" si="160"/>
        <v>0</v>
      </c>
      <c r="P406" s="132" t="str">
        <f t="shared" si="145"/>
        <v/>
      </c>
      <c r="Q406" s="132" t="str">
        <f t="shared" si="162"/>
        <v/>
      </c>
      <c r="R406" s="132" t="str">
        <f>IF(ISNUMBER(SEARCH("AHO",Import2[[#This Row],[Tenure]])),"AHO",Import2[[#This Row],[Tenure]])&amp;Import2[[#This Row],[Expected Physical Completion Year]]&amp;Import2[[#This Row],[Expected Physical Completion Month]]</f>
        <v>Open market housing</v>
      </c>
      <c r="S406" s="135">
        <f t="shared" si="161"/>
        <v>0</v>
      </c>
      <c r="T406" s="132" t="str">
        <f t="shared" si="165"/>
        <v/>
      </c>
      <c r="U406" s="132" t="str">
        <f t="shared" si="165"/>
        <v/>
      </c>
      <c r="V406" s="132" t="str">
        <f>IF(ISNUMBER(SEARCH("AHO",Import2[[#This Row],[Tenure]])),"AHO",Import2[[#This Row],[Tenure]])&amp;Import2[[#This Row],[Expected sale completion year]]&amp;Import2[[#This Row],[Expected sale completion month]]</f>
        <v>Open market housing</v>
      </c>
      <c r="W406" s="178">
        <f t="shared" si="146"/>
        <v>0</v>
      </c>
    </row>
    <row r="407" spans="1:23" ht="15" customHeight="1">
      <c r="A407" s="132">
        <f t="shared" si="153"/>
        <v>0</v>
      </c>
      <c r="B407" s="133">
        <v>404</v>
      </c>
      <c r="C407" s="132" t="str">
        <f t="shared" si="154"/>
        <v/>
      </c>
      <c r="D407" s="132">
        <f t="shared" si="163"/>
        <v>0</v>
      </c>
      <c r="E407" s="132">
        <f t="shared" si="163"/>
        <v>0</v>
      </c>
      <c r="F407" s="132">
        <f t="shared" si="155"/>
        <v>0</v>
      </c>
      <c r="G407" s="132" t="str">
        <f t="shared" si="163"/>
        <v>Open market housing</v>
      </c>
      <c r="H407" s="132">
        <f t="shared" si="156"/>
        <v>896440000</v>
      </c>
      <c r="I407" s="132" t="str">
        <f t="shared" si="143"/>
        <v>New build</v>
      </c>
      <c r="J407" s="132">
        <f t="shared" si="157"/>
        <v>391930000</v>
      </c>
      <c r="K407" s="132">
        <f t="shared" si="144"/>
        <v>0</v>
      </c>
      <c r="L407" s="132">
        <f t="shared" si="158"/>
        <v>0</v>
      </c>
      <c r="M407" s="132">
        <f t="shared" si="164"/>
        <v>0</v>
      </c>
      <c r="N407" s="134">
        <f t="shared" si="159"/>
        <v>0</v>
      </c>
      <c r="O407" s="135">
        <f t="shared" si="160"/>
        <v>0</v>
      </c>
      <c r="P407" s="132" t="str">
        <f t="shared" si="145"/>
        <v/>
      </c>
      <c r="Q407" s="132" t="str">
        <f t="shared" si="162"/>
        <v/>
      </c>
      <c r="R407" s="132" t="str">
        <f>IF(ISNUMBER(SEARCH("AHO",Import2[[#This Row],[Tenure]])),"AHO",Import2[[#This Row],[Tenure]])&amp;Import2[[#This Row],[Expected Physical Completion Year]]&amp;Import2[[#This Row],[Expected Physical Completion Month]]</f>
        <v>Open market housing</v>
      </c>
      <c r="S407" s="135">
        <f t="shared" si="161"/>
        <v>0</v>
      </c>
      <c r="T407" s="132" t="str">
        <f t="shared" si="165"/>
        <v/>
      </c>
      <c r="U407" s="132" t="str">
        <f t="shared" si="165"/>
        <v/>
      </c>
      <c r="V407" s="132" t="str">
        <f>IF(ISNUMBER(SEARCH("AHO",Import2[[#This Row],[Tenure]])),"AHO",Import2[[#This Row],[Tenure]])&amp;Import2[[#This Row],[Expected sale completion year]]&amp;Import2[[#This Row],[Expected sale completion month]]</f>
        <v>Open market housing</v>
      </c>
      <c r="W407" s="178">
        <f t="shared" si="146"/>
        <v>0</v>
      </c>
    </row>
    <row r="408" spans="1:23" ht="15" customHeight="1">
      <c r="A408" s="132">
        <f t="shared" si="153"/>
        <v>0</v>
      </c>
      <c r="B408" s="133">
        <v>405</v>
      </c>
      <c r="C408" s="132" t="str">
        <f t="shared" si="154"/>
        <v/>
      </c>
      <c r="D408" s="132">
        <f t="shared" si="163"/>
        <v>0</v>
      </c>
      <c r="E408" s="132">
        <f t="shared" si="163"/>
        <v>0</v>
      </c>
      <c r="F408" s="132">
        <f t="shared" si="155"/>
        <v>0</v>
      </c>
      <c r="G408" s="132" t="str">
        <f t="shared" si="163"/>
        <v>Open market housing</v>
      </c>
      <c r="H408" s="132">
        <f t="shared" si="156"/>
        <v>896440000</v>
      </c>
      <c r="I408" s="132" t="str">
        <f t="shared" si="143"/>
        <v>New build</v>
      </c>
      <c r="J408" s="132">
        <f t="shared" si="157"/>
        <v>391930000</v>
      </c>
      <c r="K408" s="132">
        <f t="shared" si="144"/>
        <v>0</v>
      </c>
      <c r="L408" s="132">
        <f t="shared" si="158"/>
        <v>0</v>
      </c>
      <c r="M408" s="132">
        <f t="shared" si="164"/>
        <v>0</v>
      </c>
      <c r="N408" s="134">
        <f t="shared" si="159"/>
        <v>0</v>
      </c>
      <c r="O408" s="135">
        <f t="shared" si="160"/>
        <v>0</v>
      </c>
      <c r="P408" s="132" t="str">
        <f t="shared" si="145"/>
        <v/>
      </c>
      <c r="Q408" s="132" t="str">
        <f t="shared" si="162"/>
        <v/>
      </c>
      <c r="R408" s="132" t="str">
        <f>IF(ISNUMBER(SEARCH("AHO",Import2[[#This Row],[Tenure]])),"AHO",Import2[[#This Row],[Tenure]])&amp;Import2[[#This Row],[Expected Physical Completion Year]]&amp;Import2[[#This Row],[Expected Physical Completion Month]]</f>
        <v>Open market housing</v>
      </c>
      <c r="S408" s="135">
        <f t="shared" si="161"/>
        <v>0</v>
      </c>
      <c r="T408" s="132" t="str">
        <f t="shared" si="165"/>
        <v/>
      </c>
      <c r="U408" s="132" t="str">
        <f t="shared" si="165"/>
        <v/>
      </c>
      <c r="V408" s="132" t="str">
        <f>IF(ISNUMBER(SEARCH("AHO",Import2[[#This Row],[Tenure]])),"AHO",Import2[[#This Row],[Tenure]])&amp;Import2[[#This Row],[Expected sale completion year]]&amp;Import2[[#This Row],[Expected sale completion month]]</f>
        <v>Open market housing</v>
      </c>
      <c r="W408" s="178">
        <f t="shared" si="146"/>
        <v>0</v>
      </c>
    </row>
    <row r="409" spans="1:23" ht="15" customHeight="1">
      <c r="A409" s="132">
        <f t="shared" si="153"/>
        <v>0</v>
      </c>
      <c r="B409" s="133">
        <v>406</v>
      </c>
      <c r="C409" s="132" t="str">
        <f t="shared" si="154"/>
        <v/>
      </c>
      <c r="D409" s="132">
        <f t="shared" si="163"/>
        <v>0</v>
      </c>
      <c r="E409" s="132">
        <f t="shared" si="163"/>
        <v>0</v>
      </c>
      <c r="F409" s="132">
        <f t="shared" si="155"/>
        <v>0</v>
      </c>
      <c r="G409" s="132" t="str">
        <f t="shared" si="163"/>
        <v>Open market housing</v>
      </c>
      <c r="H409" s="132">
        <f t="shared" si="156"/>
        <v>896440000</v>
      </c>
      <c r="I409" s="132" t="str">
        <f t="shared" si="143"/>
        <v>New build</v>
      </c>
      <c r="J409" s="132">
        <f t="shared" si="157"/>
        <v>391930000</v>
      </c>
      <c r="K409" s="132">
        <f t="shared" si="144"/>
        <v>0</v>
      </c>
      <c r="L409" s="132">
        <f t="shared" si="158"/>
        <v>0</v>
      </c>
      <c r="M409" s="132">
        <f t="shared" si="164"/>
        <v>0</v>
      </c>
      <c r="N409" s="134">
        <f t="shared" si="159"/>
        <v>0</v>
      </c>
      <c r="O409" s="135">
        <f t="shared" si="160"/>
        <v>0</v>
      </c>
      <c r="P409" s="132" t="str">
        <f t="shared" si="145"/>
        <v/>
      </c>
      <c r="Q409" s="132" t="str">
        <f t="shared" si="162"/>
        <v/>
      </c>
      <c r="R409" s="132" t="str">
        <f>IF(ISNUMBER(SEARCH("AHO",Import2[[#This Row],[Tenure]])),"AHO",Import2[[#This Row],[Tenure]])&amp;Import2[[#This Row],[Expected Physical Completion Year]]&amp;Import2[[#This Row],[Expected Physical Completion Month]]</f>
        <v>Open market housing</v>
      </c>
      <c r="S409" s="135">
        <f t="shared" si="161"/>
        <v>0</v>
      </c>
      <c r="T409" s="132" t="str">
        <f t="shared" si="165"/>
        <v/>
      </c>
      <c r="U409" s="132" t="str">
        <f t="shared" si="165"/>
        <v/>
      </c>
      <c r="V409" s="132" t="str">
        <f>IF(ISNUMBER(SEARCH("AHO",Import2[[#This Row],[Tenure]])),"AHO",Import2[[#This Row],[Tenure]])&amp;Import2[[#This Row],[Expected sale completion year]]&amp;Import2[[#This Row],[Expected sale completion month]]</f>
        <v>Open market housing</v>
      </c>
      <c r="W409" s="178">
        <f t="shared" si="146"/>
        <v>0</v>
      </c>
    </row>
    <row r="410" spans="1:23" ht="15" customHeight="1">
      <c r="A410" s="132">
        <f t="shared" si="153"/>
        <v>0</v>
      </c>
      <c r="B410" s="133">
        <v>407</v>
      </c>
      <c r="C410" s="132" t="str">
        <f t="shared" si="154"/>
        <v/>
      </c>
      <c r="D410" s="132">
        <f t="shared" si="163"/>
        <v>0</v>
      </c>
      <c r="E410" s="132">
        <f t="shared" si="163"/>
        <v>0</v>
      </c>
      <c r="F410" s="132">
        <f t="shared" si="155"/>
        <v>0</v>
      </c>
      <c r="G410" s="132" t="str">
        <f t="shared" si="163"/>
        <v>Open market housing</v>
      </c>
      <c r="H410" s="132">
        <f t="shared" si="156"/>
        <v>896440000</v>
      </c>
      <c r="I410" s="132" t="str">
        <f t="shared" si="143"/>
        <v>New build</v>
      </c>
      <c r="J410" s="132">
        <f t="shared" si="157"/>
        <v>391930000</v>
      </c>
      <c r="K410" s="132">
        <f t="shared" si="144"/>
        <v>0</v>
      </c>
      <c r="L410" s="132">
        <f t="shared" si="158"/>
        <v>0</v>
      </c>
      <c r="M410" s="132">
        <f t="shared" si="164"/>
        <v>0</v>
      </c>
      <c r="N410" s="134">
        <f t="shared" si="159"/>
        <v>0</v>
      </c>
      <c r="O410" s="135">
        <f t="shared" si="160"/>
        <v>0</v>
      </c>
      <c r="P410" s="132" t="str">
        <f t="shared" si="145"/>
        <v/>
      </c>
      <c r="Q410" s="132" t="str">
        <f t="shared" si="162"/>
        <v/>
      </c>
      <c r="R410" s="132" t="str">
        <f>IF(ISNUMBER(SEARCH("AHO",Import2[[#This Row],[Tenure]])),"AHO",Import2[[#This Row],[Tenure]])&amp;Import2[[#This Row],[Expected Physical Completion Year]]&amp;Import2[[#This Row],[Expected Physical Completion Month]]</f>
        <v>Open market housing</v>
      </c>
      <c r="S410" s="135">
        <f t="shared" si="161"/>
        <v>0</v>
      </c>
      <c r="T410" s="132" t="str">
        <f t="shared" si="165"/>
        <v/>
      </c>
      <c r="U410" s="132" t="str">
        <f t="shared" si="165"/>
        <v/>
      </c>
      <c r="V410" s="132" t="str">
        <f>IF(ISNUMBER(SEARCH("AHO",Import2[[#This Row],[Tenure]])),"AHO",Import2[[#This Row],[Tenure]])&amp;Import2[[#This Row],[Expected sale completion year]]&amp;Import2[[#This Row],[Expected sale completion month]]</f>
        <v>Open market housing</v>
      </c>
      <c r="W410" s="178">
        <f t="shared" si="146"/>
        <v>0</v>
      </c>
    </row>
    <row r="411" spans="1:23" ht="15" customHeight="1">
      <c r="A411" s="132">
        <f t="shared" si="153"/>
        <v>0</v>
      </c>
      <c r="B411" s="133">
        <v>408</v>
      </c>
      <c r="C411" s="132" t="str">
        <f t="shared" si="154"/>
        <v/>
      </c>
      <c r="D411" s="132">
        <f t="shared" si="163"/>
        <v>0</v>
      </c>
      <c r="E411" s="132">
        <f t="shared" si="163"/>
        <v>0</v>
      </c>
      <c r="F411" s="132">
        <f t="shared" si="155"/>
        <v>0</v>
      </c>
      <c r="G411" s="132" t="str">
        <f t="shared" si="163"/>
        <v>Open market housing</v>
      </c>
      <c r="H411" s="132">
        <f t="shared" si="156"/>
        <v>896440000</v>
      </c>
      <c r="I411" s="132" t="str">
        <f t="shared" si="143"/>
        <v>New build</v>
      </c>
      <c r="J411" s="132">
        <f t="shared" si="157"/>
        <v>391930000</v>
      </c>
      <c r="K411" s="132">
        <f t="shared" si="144"/>
        <v>0</v>
      </c>
      <c r="L411" s="132">
        <f t="shared" si="158"/>
        <v>0</v>
      </c>
      <c r="M411" s="132">
        <f t="shared" si="164"/>
        <v>0</v>
      </c>
      <c r="N411" s="134">
        <f t="shared" si="159"/>
        <v>0</v>
      </c>
      <c r="O411" s="135">
        <f t="shared" si="160"/>
        <v>0</v>
      </c>
      <c r="P411" s="132" t="str">
        <f t="shared" si="145"/>
        <v/>
      </c>
      <c r="Q411" s="132" t="str">
        <f t="shared" si="162"/>
        <v/>
      </c>
      <c r="R411" s="132" t="str">
        <f>IF(ISNUMBER(SEARCH("AHO",Import2[[#This Row],[Tenure]])),"AHO",Import2[[#This Row],[Tenure]])&amp;Import2[[#This Row],[Expected Physical Completion Year]]&amp;Import2[[#This Row],[Expected Physical Completion Month]]</f>
        <v>Open market housing</v>
      </c>
      <c r="S411" s="135">
        <f t="shared" si="161"/>
        <v>0</v>
      </c>
      <c r="T411" s="132" t="str">
        <f t="shared" si="165"/>
        <v/>
      </c>
      <c r="U411" s="132" t="str">
        <f t="shared" si="165"/>
        <v/>
      </c>
      <c r="V411" s="132" t="str">
        <f>IF(ISNUMBER(SEARCH("AHO",Import2[[#This Row],[Tenure]])),"AHO",Import2[[#This Row],[Tenure]])&amp;Import2[[#This Row],[Expected sale completion year]]&amp;Import2[[#This Row],[Expected sale completion month]]</f>
        <v>Open market housing</v>
      </c>
      <c r="W411" s="178">
        <f t="shared" si="146"/>
        <v>0</v>
      </c>
    </row>
    <row r="412" spans="1:23" ht="15" customHeight="1">
      <c r="A412" s="132">
        <f t="shared" si="153"/>
        <v>0</v>
      </c>
      <c r="B412" s="133">
        <v>409</v>
      </c>
      <c r="C412" s="132" t="str">
        <f t="shared" si="154"/>
        <v/>
      </c>
      <c r="D412" s="132">
        <f t="shared" si="163"/>
        <v>0</v>
      </c>
      <c r="E412" s="132">
        <f t="shared" si="163"/>
        <v>0</v>
      </c>
      <c r="F412" s="132">
        <f t="shared" si="155"/>
        <v>0</v>
      </c>
      <c r="G412" s="132" t="str">
        <f t="shared" si="163"/>
        <v>Open market housing</v>
      </c>
      <c r="H412" s="132">
        <f t="shared" si="156"/>
        <v>896440000</v>
      </c>
      <c r="I412" s="132" t="str">
        <f t="shared" si="143"/>
        <v>New build</v>
      </c>
      <c r="J412" s="132">
        <f t="shared" si="157"/>
        <v>391930000</v>
      </c>
      <c r="K412" s="132">
        <f t="shared" si="144"/>
        <v>0</v>
      </c>
      <c r="L412" s="132">
        <f t="shared" si="158"/>
        <v>0</v>
      </c>
      <c r="M412" s="132">
        <f t="shared" si="164"/>
        <v>0</v>
      </c>
      <c r="N412" s="134">
        <f t="shared" si="159"/>
        <v>0</v>
      </c>
      <c r="O412" s="135">
        <f t="shared" si="160"/>
        <v>0</v>
      </c>
      <c r="P412" s="132" t="str">
        <f t="shared" si="145"/>
        <v/>
      </c>
      <c r="Q412" s="132" t="str">
        <f t="shared" si="162"/>
        <v/>
      </c>
      <c r="R412" s="132" t="str">
        <f>IF(ISNUMBER(SEARCH("AHO",Import2[[#This Row],[Tenure]])),"AHO",Import2[[#This Row],[Tenure]])&amp;Import2[[#This Row],[Expected Physical Completion Year]]&amp;Import2[[#This Row],[Expected Physical Completion Month]]</f>
        <v>Open market housing</v>
      </c>
      <c r="S412" s="135">
        <f t="shared" si="161"/>
        <v>0</v>
      </c>
      <c r="T412" s="132" t="str">
        <f t="shared" si="165"/>
        <v/>
      </c>
      <c r="U412" s="132" t="str">
        <f t="shared" si="165"/>
        <v/>
      </c>
      <c r="V412" s="132" t="str">
        <f>IF(ISNUMBER(SEARCH("AHO",Import2[[#This Row],[Tenure]])),"AHO",Import2[[#This Row],[Tenure]])&amp;Import2[[#This Row],[Expected sale completion year]]&amp;Import2[[#This Row],[Expected sale completion month]]</f>
        <v>Open market housing</v>
      </c>
      <c r="W412" s="178">
        <f t="shared" si="146"/>
        <v>0</v>
      </c>
    </row>
    <row r="413" spans="1:23" ht="15" customHeight="1">
      <c r="A413" s="132">
        <f t="shared" si="153"/>
        <v>0</v>
      </c>
      <c r="B413" s="133">
        <v>410</v>
      </c>
      <c r="C413" s="132" t="str">
        <f t="shared" si="154"/>
        <v/>
      </c>
      <c r="D413" s="132">
        <f t="shared" si="163"/>
        <v>0</v>
      </c>
      <c r="E413" s="132">
        <f t="shared" si="163"/>
        <v>0</v>
      </c>
      <c r="F413" s="132">
        <f t="shared" si="155"/>
        <v>0</v>
      </c>
      <c r="G413" s="132" t="str">
        <f t="shared" si="163"/>
        <v>Open market housing</v>
      </c>
      <c r="H413" s="132">
        <f t="shared" si="156"/>
        <v>896440000</v>
      </c>
      <c r="I413" s="132" t="str">
        <f t="shared" si="143"/>
        <v>New build</v>
      </c>
      <c r="J413" s="132">
        <f t="shared" si="157"/>
        <v>391930000</v>
      </c>
      <c r="K413" s="132">
        <f t="shared" si="144"/>
        <v>0</v>
      </c>
      <c r="L413" s="132">
        <f t="shared" si="158"/>
        <v>0</v>
      </c>
      <c r="M413" s="132">
        <f t="shared" si="164"/>
        <v>0</v>
      </c>
      <c r="N413" s="134">
        <f t="shared" si="159"/>
        <v>0</v>
      </c>
      <c r="O413" s="135">
        <f t="shared" si="160"/>
        <v>0</v>
      </c>
      <c r="P413" s="132" t="str">
        <f t="shared" si="145"/>
        <v/>
      </c>
      <c r="Q413" s="132" t="str">
        <f t="shared" si="162"/>
        <v/>
      </c>
      <c r="R413" s="132" t="str">
        <f>IF(ISNUMBER(SEARCH("AHO",Import2[[#This Row],[Tenure]])),"AHO",Import2[[#This Row],[Tenure]])&amp;Import2[[#This Row],[Expected Physical Completion Year]]&amp;Import2[[#This Row],[Expected Physical Completion Month]]</f>
        <v>Open market housing</v>
      </c>
      <c r="S413" s="135">
        <f t="shared" si="161"/>
        <v>0</v>
      </c>
      <c r="T413" s="132" t="str">
        <f t="shared" si="165"/>
        <v/>
      </c>
      <c r="U413" s="132" t="str">
        <f t="shared" si="165"/>
        <v/>
      </c>
      <c r="V413" s="132" t="str">
        <f>IF(ISNUMBER(SEARCH("AHO",Import2[[#This Row],[Tenure]])),"AHO",Import2[[#This Row],[Tenure]])&amp;Import2[[#This Row],[Expected sale completion year]]&amp;Import2[[#This Row],[Expected sale completion month]]</f>
        <v>Open market housing</v>
      </c>
      <c r="W413" s="178">
        <f t="shared" si="146"/>
        <v>0</v>
      </c>
    </row>
    <row r="414" spans="1:23" ht="15" customHeight="1">
      <c r="A414" s="132">
        <f t="shared" si="153"/>
        <v>0</v>
      </c>
      <c r="B414" s="133">
        <v>411</v>
      </c>
      <c r="C414" s="132" t="str">
        <f t="shared" si="154"/>
        <v/>
      </c>
      <c r="D414" s="132">
        <f t="shared" si="163"/>
        <v>0</v>
      </c>
      <c r="E414" s="132">
        <f t="shared" si="163"/>
        <v>0</v>
      </c>
      <c r="F414" s="132">
        <f t="shared" si="155"/>
        <v>0</v>
      </c>
      <c r="G414" s="132" t="str">
        <f t="shared" si="163"/>
        <v>Open market housing</v>
      </c>
      <c r="H414" s="132">
        <f t="shared" si="156"/>
        <v>896440000</v>
      </c>
      <c r="I414" s="132" t="str">
        <f t="shared" si="143"/>
        <v>New build</v>
      </c>
      <c r="J414" s="132">
        <f t="shared" si="157"/>
        <v>391930000</v>
      </c>
      <c r="K414" s="132">
        <f t="shared" si="144"/>
        <v>0</v>
      </c>
      <c r="L414" s="132">
        <f t="shared" si="158"/>
        <v>0</v>
      </c>
      <c r="M414" s="132">
        <f t="shared" si="164"/>
        <v>0</v>
      </c>
      <c r="N414" s="134">
        <f t="shared" si="159"/>
        <v>0</v>
      </c>
      <c r="O414" s="135">
        <f t="shared" si="160"/>
        <v>0</v>
      </c>
      <c r="P414" s="132" t="str">
        <f t="shared" si="145"/>
        <v/>
      </c>
      <c r="Q414" s="132" t="str">
        <f t="shared" si="162"/>
        <v/>
      </c>
      <c r="R414" s="132" t="str">
        <f>IF(ISNUMBER(SEARCH("AHO",Import2[[#This Row],[Tenure]])),"AHO",Import2[[#This Row],[Tenure]])&amp;Import2[[#This Row],[Expected Physical Completion Year]]&amp;Import2[[#This Row],[Expected Physical Completion Month]]</f>
        <v>Open market housing</v>
      </c>
      <c r="S414" s="135">
        <f t="shared" si="161"/>
        <v>0</v>
      </c>
      <c r="T414" s="132" t="str">
        <f t="shared" si="165"/>
        <v/>
      </c>
      <c r="U414" s="132" t="str">
        <f t="shared" si="165"/>
        <v/>
      </c>
      <c r="V414" s="132" t="str">
        <f>IF(ISNUMBER(SEARCH("AHO",Import2[[#This Row],[Tenure]])),"AHO",Import2[[#This Row],[Tenure]])&amp;Import2[[#This Row],[Expected sale completion year]]&amp;Import2[[#This Row],[Expected sale completion month]]</f>
        <v>Open market housing</v>
      </c>
      <c r="W414" s="178">
        <f t="shared" si="146"/>
        <v>0</v>
      </c>
    </row>
    <row r="415" spans="1:23" ht="15" customHeight="1">
      <c r="A415" s="132">
        <f t="shared" si="153"/>
        <v>0</v>
      </c>
      <c r="B415" s="133">
        <v>412</v>
      </c>
      <c r="C415" s="132" t="str">
        <f t="shared" si="154"/>
        <v/>
      </c>
      <c r="D415" s="132">
        <f t="shared" si="163"/>
        <v>0</v>
      </c>
      <c r="E415" s="132">
        <f t="shared" si="163"/>
        <v>0</v>
      </c>
      <c r="F415" s="132">
        <f t="shared" si="155"/>
        <v>0</v>
      </c>
      <c r="G415" s="132" t="str">
        <f t="shared" si="163"/>
        <v>Open market housing</v>
      </c>
      <c r="H415" s="132">
        <f t="shared" si="156"/>
        <v>896440000</v>
      </c>
      <c r="I415" s="132" t="str">
        <f t="shared" si="143"/>
        <v>New build</v>
      </c>
      <c r="J415" s="132">
        <f t="shared" si="157"/>
        <v>391930000</v>
      </c>
      <c r="K415" s="132">
        <f t="shared" si="144"/>
        <v>0</v>
      </c>
      <c r="L415" s="132">
        <f t="shared" si="158"/>
        <v>0</v>
      </c>
      <c r="M415" s="132">
        <f t="shared" si="164"/>
        <v>0</v>
      </c>
      <c r="N415" s="134">
        <f t="shared" si="159"/>
        <v>0</v>
      </c>
      <c r="O415" s="135">
        <f t="shared" si="160"/>
        <v>0</v>
      </c>
      <c r="P415" s="132" t="str">
        <f t="shared" si="145"/>
        <v/>
      </c>
      <c r="Q415" s="132" t="str">
        <f t="shared" si="162"/>
        <v/>
      </c>
      <c r="R415" s="132" t="str">
        <f>IF(ISNUMBER(SEARCH("AHO",Import2[[#This Row],[Tenure]])),"AHO",Import2[[#This Row],[Tenure]])&amp;Import2[[#This Row],[Expected Physical Completion Year]]&amp;Import2[[#This Row],[Expected Physical Completion Month]]</f>
        <v>Open market housing</v>
      </c>
      <c r="S415" s="135">
        <f t="shared" si="161"/>
        <v>0</v>
      </c>
      <c r="T415" s="132" t="str">
        <f t="shared" si="165"/>
        <v/>
      </c>
      <c r="U415" s="132" t="str">
        <f t="shared" si="165"/>
        <v/>
      </c>
      <c r="V415" s="132" t="str">
        <f>IF(ISNUMBER(SEARCH("AHO",Import2[[#This Row],[Tenure]])),"AHO",Import2[[#This Row],[Tenure]])&amp;Import2[[#This Row],[Expected sale completion year]]&amp;Import2[[#This Row],[Expected sale completion month]]</f>
        <v>Open market housing</v>
      </c>
      <c r="W415" s="178">
        <f t="shared" si="146"/>
        <v>0</v>
      </c>
    </row>
    <row r="416" spans="1:23" ht="15" customHeight="1">
      <c r="A416" s="132">
        <f t="shared" si="153"/>
        <v>0</v>
      </c>
      <c r="B416" s="133">
        <v>413</v>
      </c>
      <c r="C416" s="132" t="str">
        <f t="shared" si="154"/>
        <v/>
      </c>
      <c r="D416" s="132">
        <f t="shared" si="163"/>
        <v>0</v>
      </c>
      <c r="E416" s="132">
        <f t="shared" si="163"/>
        <v>0</v>
      </c>
      <c r="F416" s="132">
        <f t="shared" si="155"/>
        <v>0</v>
      </c>
      <c r="G416" s="132" t="str">
        <f t="shared" si="163"/>
        <v>Open market housing</v>
      </c>
      <c r="H416" s="132">
        <f t="shared" si="156"/>
        <v>896440000</v>
      </c>
      <c r="I416" s="132" t="str">
        <f t="shared" si="143"/>
        <v>New build</v>
      </c>
      <c r="J416" s="132">
        <f t="shared" si="157"/>
        <v>391930000</v>
      </c>
      <c r="K416" s="132">
        <f t="shared" si="144"/>
        <v>0</v>
      </c>
      <c r="L416" s="132">
        <f t="shared" si="158"/>
        <v>0</v>
      </c>
      <c r="M416" s="132">
        <f t="shared" si="164"/>
        <v>0</v>
      </c>
      <c r="N416" s="134">
        <f t="shared" si="159"/>
        <v>0</v>
      </c>
      <c r="O416" s="135">
        <f t="shared" si="160"/>
        <v>0</v>
      </c>
      <c r="P416" s="132" t="str">
        <f t="shared" si="145"/>
        <v/>
      </c>
      <c r="Q416" s="132" t="str">
        <f t="shared" si="162"/>
        <v/>
      </c>
      <c r="R416" s="132" t="str">
        <f>IF(ISNUMBER(SEARCH("AHO",Import2[[#This Row],[Tenure]])),"AHO",Import2[[#This Row],[Tenure]])&amp;Import2[[#This Row],[Expected Physical Completion Year]]&amp;Import2[[#This Row],[Expected Physical Completion Month]]</f>
        <v>Open market housing</v>
      </c>
      <c r="S416" s="135">
        <f t="shared" si="161"/>
        <v>0</v>
      </c>
      <c r="T416" s="132" t="str">
        <f t="shared" si="165"/>
        <v/>
      </c>
      <c r="U416" s="132" t="str">
        <f t="shared" si="165"/>
        <v/>
      </c>
      <c r="V416" s="132" t="str">
        <f>IF(ISNUMBER(SEARCH("AHO",Import2[[#This Row],[Tenure]])),"AHO",Import2[[#This Row],[Tenure]])&amp;Import2[[#This Row],[Expected sale completion year]]&amp;Import2[[#This Row],[Expected sale completion month]]</f>
        <v>Open market housing</v>
      </c>
      <c r="W416" s="178">
        <f t="shared" si="146"/>
        <v>0</v>
      </c>
    </row>
    <row r="417" spans="1:23" ht="15" customHeight="1">
      <c r="A417" s="132">
        <f t="shared" si="153"/>
        <v>0</v>
      </c>
      <c r="B417" s="133">
        <v>414</v>
      </c>
      <c r="C417" s="132" t="str">
        <f t="shared" si="154"/>
        <v/>
      </c>
      <c r="D417" s="132">
        <f t="shared" si="163"/>
        <v>0</v>
      </c>
      <c r="E417" s="132">
        <f t="shared" si="163"/>
        <v>0</v>
      </c>
      <c r="F417" s="132">
        <f t="shared" si="155"/>
        <v>0</v>
      </c>
      <c r="G417" s="132" t="str">
        <f t="shared" si="163"/>
        <v>Open market housing</v>
      </c>
      <c r="H417" s="132">
        <f t="shared" si="156"/>
        <v>896440000</v>
      </c>
      <c r="I417" s="132" t="str">
        <f t="shared" si="143"/>
        <v>New build</v>
      </c>
      <c r="J417" s="132">
        <f t="shared" si="157"/>
        <v>391930000</v>
      </c>
      <c r="K417" s="132">
        <f t="shared" si="144"/>
        <v>0</v>
      </c>
      <c r="L417" s="132">
        <f t="shared" si="158"/>
        <v>0</v>
      </c>
      <c r="M417" s="132">
        <f t="shared" si="164"/>
        <v>0</v>
      </c>
      <c r="N417" s="134">
        <f t="shared" si="159"/>
        <v>0</v>
      </c>
      <c r="O417" s="135">
        <f t="shared" si="160"/>
        <v>0</v>
      </c>
      <c r="P417" s="132" t="str">
        <f t="shared" si="145"/>
        <v/>
      </c>
      <c r="Q417" s="132" t="str">
        <f t="shared" si="162"/>
        <v/>
      </c>
      <c r="R417" s="132" t="str">
        <f>IF(ISNUMBER(SEARCH("AHO",Import2[[#This Row],[Tenure]])),"AHO",Import2[[#This Row],[Tenure]])&amp;Import2[[#This Row],[Expected Physical Completion Year]]&amp;Import2[[#This Row],[Expected Physical Completion Month]]</f>
        <v>Open market housing</v>
      </c>
      <c r="S417" s="135">
        <f t="shared" si="161"/>
        <v>0</v>
      </c>
      <c r="T417" s="132" t="str">
        <f t="shared" si="165"/>
        <v/>
      </c>
      <c r="U417" s="132" t="str">
        <f t="shared" si="165"/>
        <v/>
      </c>
      <c r="V417" s="132" t="str">
        <f>IF(ISNUMBER(SEARCH("AHO",Import2[[#This Row],[Tenure]])),"AHO",Import2[[#This Row],[Tenure]])&amp;Import2[[#This Row],[Expected sale completion year]]&amp;Import2[[#This Row],[Expected sale completion month]]</f>
        <v>Open market housing</v>
      </c>
      <c r="W417" s="178">
        <f t="shared" si="146"/>
        <v>0</v>
      </c>
    </row>
    <row r="418" spans="1:23" ht="15" customHeight="1">
      <c r="A418" s="132">
        <f t="shared" si="153"/>
        <v>0</v>
      </c>
      <c r="B418" s="133">
        <v>415</v>
      </c>
      <c r="C418" s="132" t="str">
        <f t="shared" si="154"/>
        <v/>
      </c>
      <c r="D418" s="132">
        <f t="shared" si="163"/>
        <v>0</v>
      </c>
      <c r="E418" s="132">
        <f t="shared" si="163"/>
        <v>0</v>
      </c>
      <c r="F418" s="132">
        <f t="shared" si="155"/>
        <v>0</v>
      </c>
      <c r="G418" s="132" t="str">
        <f t="shared" si="163"/>
        <v>Open market housing</v>
      </c>
      <c r="H418" s="132">
        <f t="shared" si="156"/>
        <v>896440000</v>
      </c>
      <c r="I418" s="132" t="str">
        <f t="shared" si="143"/>
        <v>New build</v>
      </c>
      <c r="J418" s="132">
        <f t="shared" si="157"/>
        <v>391930000</v>
      </c>
      <c r="K418" s="132">
        <f t="shared" si="144"/>
        <v>0</v>
      </c>
      <c r="L418" s="132">
        <f t="shared" si="158"/>
        <v>0</v>
      </c>
      <c r="M418" s="132">
        <f t="shared" si="164"/>
        <v>0</v>
      </c>
      <c r="N418" s="134">
        <f t="shared" si="159"/>
        <v>0</v>
      </c>
      <c r="O418" s="135">
        <f t="shared" si="160"/>
        <v>0</v>
      </c>
      <c r="P418" s="132" t="str">
        <f t="shared" si="145"/>
        <v/>
      </c>
      <c r="Q418" s="132" t="str">
        <f t="shared" si="162"/>
        <v/>
      </c>
      <c r="R418" s="132" t="str">
        <f>IF(ISNUMBER(SEARCH("AHO",Import2[[#This Row],[Tenure]])),"AHO",Import2[[#This Row],[Tenure]])&amp;Import2[[#This Row],[Expected Physical Completion Year]]&amp;Import2[[#This Row],[Expected Physical Completion Month]]</f>
        <v>Open market housing</v>
      </c>
      <c r="S418" s="135">
        <f t="shared" si="161"/>
        <v>0</v>
      </c>
      <c r="T418" s="132" t="str">
        <f t="shared" si="165"/>
        <v/>
      </c>
      <c r="U418" s="132" t="str">
        <f t="shared" si="165"/>
        <v/>
      </c>
      <c r="V418" s="132" t="str">
        <f>IF(ISNUMBER(SEARCH("AHO",Import2[[#This Row],[Tenure]])),"AHO",Import2[[#This Row],[Tenure]])&amp;Import2[[#This Row],[Expected sale completion year]]&amp;Import2[[#This Row],[Expected sale completion month]]</f>
        <v>Open market housing</v>
      </c>
      <c r="W418" s="178">
        <f t="shared" si="146"/>
        <v>0</v>
      </c>
    </row>
    <row r="419" spans="1:23" ht="15" customHeight="1">
      <c r="A419" s="132">
        <f t="shared" si="153"/>
        <v>0</v>
      </c>
      <c r="B419" s="133">
        <v>416</v>
      </c>
      <c r="C419" s="132" t="str">
        <f t="shared" si="154"/>
        <v/>
      </c>
      <c r="D419" s="132">
        <f t="shared" si="163"/>
        <v>0</v>
      </c>
      <c r="E419" s="132">
        <f t="shared" si="163"/>
        <v>0</v>
      </c>
      <c r="F419" s="132">
        <f t="shared" si="155"/>
        <v>0</v>
      </c>
      <c r="G419" s="132" t="str">
        <f t="shared" si="163"/>
        <v>Open market housing</v>
      </c>
      <c r="H419" s="132">
        <f t="shared" si="156"/>
        <v>896440000</v>
      </c>
      <c r="I419" s="132" t="str">
        <f t="shared" si="143"/>
        <v>New build</v>
      </c>
      <c r="J419" s="132">
        <f t="shared" si="157"/>
        <v>391930000</v>
      </c>
      <c r="K419" s="132">
        <f t="shared" si="144"/>
        <v>0</v>
      </c>
      <c r="L419" s="132">
        <f t="shared" si="158"/>
        <v>0</v>
      </c>
      <c r="M419" s="132">
        <f t="shared" si="164"/>
        <v>0</v>
      </c>
      <c r="N419" s="134">
        <f t="shared" si="159"/>
        <v>0</v>
      </c>
      <c r="O419" s="135">
        <f t="shared" si="160"/>
        <v>0</v>
      </c>
      <c r="P419" s="132" t="str">
        <f t="shared" si="145"/>
        <v/>
      </c>
      <c r="Q419" s="132" t="str">
        <f t="shared" si="162"/>
        <v/>
      </c>
      <c r="R419" s="132" t="str">
        <f>IF(ISNUMBER(SEARCH("AHO",Import2[[#This Row],[Tenure]])),"AHO",Import2[[#This Row],[Tenure]])&amp;Import2[[#This Row],[Expected Physical Completion Year]]&amp;Import2[[#This Row],[Expected Physical Completion Month]]</f>
        <v>Open market housing</v>
      </c>
      <c r="S419" s="135">
        <f t="shared" si="161"/>
        <v>0</v>
      </c>
      <c r="T419" s="132" t="str">
        <f t="shared" si="165"/>
        <v/>
      </c>
      <c r="U419" s="132" t="str">
        <f t="shared" si="165"/>
        <v/>
      </c>
      <c r="V419" s="132" t="str">
        <f>IF(ISNUMBER(SEARCH("AHO",Import2[[#This Row],[Tenure]])),"AHO",Import2[[#This Row],[Tenure]])&amp;Import2[[#This Row],[Expected sale completion year]]&amp;Import2[[#This Row],[Expected sale completion month]]</f>
        <v>Open market housing</v>
      </c>
      <c r="W419" s="178">
        <f t="shared" si="146"/>
        <v>0</v>
      </c>
    </row>
    <row r="420" spans="1:23" ht="15" customHeight="1">
      <c r="A420" s="132">
        <f t="shared" si="153"/>
        <v>0</v>
      </c>
      <c r="B420" s="133">
        <v>417</v>
      </c>
      <c r="C420" s="132" t="str">
        <f t="shared" si="154"/>
        <v/>
      </c>
      <c r="D420" s="132">
        <f t="shared" si="163"/>
        <v>0</v>
      </c>
      <c r="E420" s="132">
        <f t="shared" si="163"/>
        <v>0</v>
      </c>
      <c r="F420" s="132">
        <f t="shared" si="155"/>
        <v>0</v>
      </c>
      <c r="G420" s="132" t="str">
        <f t="shared" si="163"/>
        <v>Open market housing</v>
      </c>
      <c r="H420" s="132">
        <f t="shared" si="156"/>
        <v>896440000</v>
      </c>
      <c r="I420" s="132" t="str">
        <f t="shared" si="143"/>
        <v>New build</v>
      </c>
      <c r="J420" s="132">
        <f t="shared" si="157"/>
        <v>391930000</v>
      </c>
      <c r="K420" s="132">
        <f t="shared" si="144"/>
        <v>0</v>
      </c>
      <c r="L420" s="132">
        <f t="shared" si="158"/>
        <v>0</v>
      </c>
      <c r="M420" s="132">
        <f t="shared" si="164"/>
        <v>0</v>
      </c>
      <c r="N420" s="134">
        <f t="shared" si="159"/>
        <v>0</v>
      </c>
      <c r="O420" s="135">
        <f t="shared" si="160"/>
        <v>0</v>
      </c>
      <c r="P420" s="132" t="str">
        <f t="shared" si="145"/>
        <v/>
      </c>
      <c r="Q420" s="132" t="str">
        <f t="shared" si="162"/>
        <v/>
      </c>
      <c r="R420" s="132" t="str">
        <f>IF(ISNUMBER(SEARCH("AHO",Import2[[#This Row],[Tenure]])),"AHO",Import2[[#This Row],[Tenure]])&amp;Import2[[#This Row],[Expected Physical Completion Year]]&amp;Import2[[#This Row],[Expected Physical Completion Month]]</f>
        <v>Open market housing</v>
      </c>
      <c r="S420" s="135">
        <f t="shared" si="161"/>
        <v>0</v>
      </c>
      <c r="T420" s="132" t="str">
        <f t="shared" si="165"/>
        <v/>
      </c>
      <c r="U420" s="132" t="str">
        <f t="shared" si="165"/>
        <v/>
      </c>
      <c r="V420" s="132" t="str">
        <f>IF(ISNUMBER(SEARCH("AHO",Import2[[#This Row],[Tenure]])),"AHO",Import2[[#This Row],[Tenure]])&amp;Import2[[#This Row],[Expected sale completion year]]&amp;Import2[[#This Row],[Expected sale completion month]]</f>
        <v>Open market housing</v>
      </c>
      <c r="W420" s="178">
        <f t="shared" si="146"/>
        <v>0</v>
      </c>
    </row>
    <row r="421" spans="1:23" ht="15" customHeight="1">
      <c r="A421" s="132">
        <f t="shared" si="153"/>
        <v>0</v>
      </c>
      <c r="B421" s="133">
        <v>418</v>
      </c>
      <c r="C421" s="132" t="str">
        <f t="shared" si="154"/>
        <v/>
      </c>
      <c r="D421" s="132">
        <f t="shared" si="163"/>
        <v>0</v>
      </c>
      <c r="E421" s="132">
        <f t="shared" si="163"/>
        <v>0</v>
      </c>
      <c r="F421" s="132">
        <f t="shared" si="155"/>
        <v>0</v>
      </c>
      <c r="G421" s="132" t="str">
        <f t="shared" si="163"/>
        <v>Open market housing</v>
      </c>
      <c r="H421" s="132">
        <f t="shared" si="156"/>
        <v>896440000</v>
      </c>
      <c r="I421" s="132" t="str">
        <f t="shared" si="143"/>
        <v>New build</v>
      </c>
      <c r="J421" s="132">
        <f t="shared" si="157"/>
        <v>391930000</v>
      </c>
      <c r="K421" s="132">
        <f t="shared" si="144"/>
        <v>0</v>
      </c>
      <c r="L421" s="132">
        <f t="shared" si="158"/>
        <v>0</v>
      </c>
      <c r="M421" s="132">
        <f t="shared" si="164"/>
        <v>0</v>
      </c>
      <c r="N421" s="134">
        <f t="shared" si="159"/>
        <v>0</v>
      </c>
      <c r="O421" s="135">
        <f t="shared" si="160"/>
        <v>0</v>
      </c>
      <c r="P421" s="132" t="str">
        <f t="shared" si="145"/>
        <v/>
      </c>
      <c r="Q421" s="132" t="str">
        <f t="shared" si="162"/>
        <v/>
      </c>
      <c r="R421" s="132" t="str">
        <f>IF(ISNUMBER(SEARCH("AHO",Import2[[#This Row],[Tenure]])),"AHO",Import2[[#This Row],[Tenure]])&amp;Import2[[#This Row],[Expected Physical Completion Year]]&amp;Import2[[#This Row],[Expected Physical Completion Month]]</f>
        <v>Open market housing</v>
      </c>
      <c r="S421" s="135">
        <f t="shared" si="161"/>
        <v>0</v>
      </c>
      <c r="T421" s="132" t="str">
        <f t="shared" si="165"/>
        <v/>
      </c>
      <c r="U421" s="132" t="str">
        <f t="shared" si="165"/>
        <v/>
      </c>
      <c r="V421" s="132" t="str">
        <f>IF(ISNUMBER(SEARCH("AHO",Import2[[#This Row],[Tenure]])),"AHO",Import2[[#This Row],[Tenure]])&amp;Import2[[#This Row],[Expected sale completion year]]&amp;Import2[[#This Row],[Expected sale completion month]]</f>
        <v>Open market housing</v>
      </c>
      <c r="W421" s="178">
        <f t="shared" si="146"/>
        <v>0</v>
      </c>
    </row>
    <row r="422" spans="1:23" ht="15" customHeight="1">
      <c r="A422" s="132">
        <f t="shared" si="153"/>
        <v>0</v>
      </c>
      <c r="B422" s="133">
        <v>419</v>
      </c>
      <c r="C422" s="132" t="str">
        <f t="shared" si="154"/>
        <v/>
      </c>
      <c r="D422" s="132">
        <f t="shared" si="163"/>
        <v>0</v>
      </c>
      <c r="E422" s="132">
        <f t="shared" si="163"/>
        <v>0</v>
      </c>
      <c r="F422" s="132">
        <f t="shared" si="155"/>
        <v>0</v>
      </c>
      <c r="G422" s="132" t="str">
        <f t="shared" si="163"/>
        <v>Open market housing</v>
      </c>
      <c r="H422" s="132">
        <f t="shared" si="156"/>
        <v>896440000</v>
      </c>
      <c r="I422" s="132" t="str">
        <f t="shared" si="143"/>
        <v>New build</v>
      </c>
      <c r="J422" s="132">
        <f t="shared" si="157"/>
        <v>391930000</v>
      </c>
      <c r="K422" s="132">
        <f t="shared" si="144"/>
        <v>0</v>
      </c>
      <c r="L422" s="132">
        <f t="shared" si="158"/>
        <v>0</v>
      </c>
      <c r="M422" s="132">
        <f t="shared" si="164"/>
        <v>0</v>
      </c>
      <c r="N422" s="134">
        <f t="shared" si="159"/>
        <v>0</v>
      </c>
      <c r="O422" s="135">
        <f t="shared" si="160"/>
        <v>0</v>
      </c>
      <c r="P422" s="132" t="str">
        <f t="shared" si="145"/>
        <v/>
      </c>
      <c r="Q422" s="132" t="str">
        <f t="shared" si="162"/>
        <v/>
      </c>
      <c r="R422" s="132" t="str">
        <f>IF(ISNUMBER(SEARCH("AHO",Import2[[#This Row],[Tenure]])),"AHO",Import2[[#This Row],[Tenure]])&amp;Import2[[#This Row],[Expected Physical Completion Year]]&amp;Import2[[#This Row],[Expected Physical Completion Month]]</f>
        <v>Open market housing</v>
      </c>
      <c r="S422" s="135">
        <f t="shared" si="161"/>
        <v>0</v>
      </c>
      <c r="T422" s="132" t="str">
        <f t="shared" si="165"/>
        <v/>
      </c>
      <c r="U422" s="132" t="str">
        <f t="shared" si="165"/>
        <v/>
      </c>
      <c r="V422" s="132" t="str">
        <f>IF(ISNUMBER(SEARCH("AHO",Import2[[#This Row],[Tenure]])),"AHO",Import2[[#This Row],[Tenure]])&amp;Import2[[#This Row],[Expected sale completion year]]&amp;Import2[[#This Row],[Expected sale completion month]]</f>
        <v>Open market housing</v>
      </c>
      <c r="W422" s="178">
        <f t="shared" si="146"/>
        <v>0</v>
      </c>
    </row>
    <row r="423" spans="1:23" ht="15" customHeight="1">
      <c r="A423" s="132">
        <f t="shared" si="153"/>
        <v>0</v>
      </c>
      <c r="B423" s="133">
        <v>420</v>
      </c>
      <c r="C423" s="132" t="str">
        <f t="shared" si="154"/>
        <v/>
      </c>
      <c r="D423" s="132">
        <f t="shared" si="163"/>
        <v>0</v>
      </c>
      <c r="E423" s="132">
        <f t="shared" si="163"/>
        <v>0</v>
      </c>
      <c r="F423" s="132">
        <f t="shared" si="155"/>
        <v>0</v>
      </c>
      <c r="G423" s="132" t="str">
        <f t="shared" si="163"/>
        <v>Open market housing</v>
      </c>
      <c r="H423" s="132">
        <f t="shared" si="156"/>
        <v>896440000</v>
      </c>
      <c r="I423" s="132" t="str">
        <f t="shared" si="143"/>
        <v>New build</v>
      </c>
      <c r="J423" s="132">
        <f t="shared" si="157"/>
        <v>391930000</v>
      </c>
      <c r="K423" s="132">
        <f t="shared" si="144"/>
        <v>0</v>
      </c>
      <c r="L423" s="132">
        <f t="shared" si="158"/>
        <v>0</v>
      </c>
      <c r="M423" s="132">
        <f t="shared" si="164"/>
        <v>0</v>
      </c>
      <c r="N423" s="134">
        <f t="shared" si="159"/>
        <v>0</v>
      </c>
      <c r="O423" s="135">
        <f t="shared" si="160"/>
        <v>0</v>
      </c>
      <c r="P423" s="132" t="str">
        <f t="shared" si="145"/>
        <v/>
      </c>
      <c r="Q423" s="132" t="str">
        <f t="shared" si="162"/>
        <v/>
      </c>
      <c r="R423" s="132" t="str">
        <f>IF(ISNUMBER(SEARCH("AHO",Import2[[#This Row],[Tenure]])),"AHO",Import2[[#This Row],[Tenure]])&amp;Import2[[#This Row],[Expected Physical Completion Year]]&amp;Import2[[#This Row],[Expected Physical Completion Month]]</f>
        <v>Open market housing</v>
      </c>
      <c r="S423" s="135">
        <f t="shared" si="161"/>
        <v>0</v>
      </c>
      <c r="T423" s="132" t="str">
        <f t="shared" si="165"/>
        <v/>
      </c>
      <c r="U423" s="132" t="str">
        <f t="shared" si="165"/>
        <v/>
      </c>
      <c r="V423" s="132" t="str">
        <f>IF(ISNUMBER(SEARCH("AHO",Import2[[#This Row],[Tenure]])),"AHO",Import2[[#This Row],[Tenure]])&amp;Import2[[#This Row],[Expected sale completion year]]&amp;Import2[[#This Row],[Expected sale completion month]]</f>
        <v>Open market housing</v>
      </c>
      <c r="W423" s="178">
        <f t="shared" si="146"/>
        <v>0</v>
      </c>
    </row>
    <row r="424" spans="1:23" ht="15" customHeight="1">
      <c r="A424" s="132">
        <f t="shared" si="153"/>
        <v>0</v>
      </c>
      <c r="B424" s="133">
        <v>421</v>
      </c>
      <c r="C424" s="132" t="str">
        <f t="shared" si="154"/>
        <v/>
      </c>
      <c r="D424" s="132">
        <f t="shared" ref="D424:G443" si="166">INDEX(PlotData,MATCH($B424,PlotNumber,0),MATCH(D$3,PlotTitles,0))</f>
        <v>0</v>
      </c>
      <c r="E424" s="132">
        <f t="shared" si="166"/>
        <v>0</v>
      </c>
      <c r="F424" s="132">
        <f t="shared" si="155"/>
        <v>0</v>
      </c>
      <c r="G424" s="132" t="str">
        <f t="shared" si="166"/>
        <v>Open market housing</v>
      </c>
      <c r="H424" s="132">
        <f t="shared" si="156"/>
        <v>896440000</v>
      </c>
      <c r="I424" s="132" t="str">
        <f t="shared" ref="I424:I487" si="167">INDEX(PlotData,MATCH($B424,PlotNumber,0),MATCH(I$3,PlotTitles,0))</f>
        <v>New build</v>
      </c>
      <c r="J424" s="132">
        <f t="shared" si="157"/>
        <v>391930000</v>
      </c>
      <c r="K424" s="132">
        <f t="shared" ref="K424:K487" si="168">INDEX(PlotData,MATCH($B424,PlotNumber,0),MATCH(K$3,PlotTitles,0))</f>
        <v>0</v>
      </c>
      <c r="L424" s="132">
        <f t="shared" si="158"/>
        <v>0</v>
      </c>
      <c r="M424" s="132">
        <f t="shared" ref="M424:M443" si="169">INDEX(PlotData,MATCH($B424,PlotNumber,0),MATCH(M$3,PlotTitles,0))</f>
        <v>0</v>
      </c>
      <c r="N424" s="134">
        <f t="shared" si="159"/>
        <v>0</v>
      </c>
      <c r="O424" s="135">
        <f t="shared" si="160"/>
        <v>0</v>
      </c>
      <c r="P424" s="132" t="str">
        <f t="shared" ref="P424:P487" si="170">IF(INDEX(PlotData,MATCH($B424,PlotNumber,0),MATCH(P$3,PlotTitles,0))=0,"",INDEX(PlotData,MATCH($B424,PlotNumber,0),MATCH(P$3,PlotTitles,0)))</f>
        <v/>
      </c>
      <c r="Q424" s="132" t="str">
        <f t="shared" si="162"/>
        <v/>
      </c>
      <c r="R424" s="132" t="str">
        <f>IF(ISNUMBER(SEARCH("AHO",Import2[[#This Row],[Tenure]])),"AHO",Import2[[#This Row],[Tenure]])&amp;Import2[[#This Row],[Expected Physical Completion Year]]&amp;Import2[[#This Row],[Expected Physical Completion Month]]</f>
        <v>Open market housing</v>
      </c>
      <c r="S424" s="135">
        <f t="shared" si="161"/>
        <v>0</v>
      </c>
      <c r="T424" s="132" t="str">
        <f t="shared" ref="T424:U443" si="171">IF(INDEX(PlotData,MATCH($B424,PlotNumber,0),MATCH(T$3,PlotTitles,0))=0,"",INDEX(PlotData,MATCH($B424,PlotNumber,0),MATCH(T$3,PlotTitles,0)))</f>
        <v/>
      </c>
      <c r="U424" s="132" t="str">
        <f t="shared" si="171"/>
        <v/>
      </c>
      <c r="V424" s="132" t="str">
        <f>IF(ISNUMBER(SEARCH("AHO",Import2[[#This Row],[Tenure]])),"AHO",Import2[[#This Row],[Tenure]])&amp;Import2[[#This Row],[Expected sale completion year]]&amp;Import2[[#This Row],[Expected sale completion month]]</f>
        <v>Open market housing</v>
      </c>
      <c r="W424" s="178">
        <f t="shared" ref="W424:W487" si="172">INDEX(PlotData,MATCH($B424,PlotNumber,0),MATCH(W$3,PlotTitles,0))</f>
        <v>0</v>
      </c>
    </row>
    <row r="425" spans="1:23" ht="15" customHeight="1">
      <c r="A425" s="132">
        <f t="shared" si="153"/>
        <v>0</v>
      </c>
      <c r="B425" s="133">
        <v>422</v>
      </c>
      <c r="C425" s="132" t="str">
        <f t="shared" si="154"/>
        <v/>
      </c>
      <c r="D425" s="132">
        <f t="shared" si="166"/>
        <v>0</v>
      </c>
      <c r="E425" s="132">
        <f t="shared" si="166"/>
        <v>0</v>
      </c>
      <c r="F425" s="132">
        <f t="shared" si="155"/>
        <v>0</v>
      </c>
      <c r="G425" s="132" t="str">
        <f t="shared" si="166"/>
        <v>Open market housing</v>
      </c>
      <c r="H425" s="132">
        <f t="shared" si="156"/>
        <v>896440000</v>
      </c>
      <c r="I425" s="132" t="str">
        <f t="shared" si="167"/>
        <v>New build</v>
      </c>
      <c r="J425" s="132">
        <f t="shared" si="157"/>
        <v>391930000</v>
      </c>
      <c r="K425" s="132">
        <f t="shared" si="168"/>
        <v>0</v>
      </c>
      <c r="L425" s="132">
        <f t="shared" si="158"/>
        <v>0</v>
      </c>
      <c r="M425" s="132">
        <f t="shared" si="169"/>
        <v>0</v>
      </c>
      <c r="N425" s="134">
        <f t="shared" si="159"/>
        <v>0</v>
      </c>
      <c r="O425" s="135">
        <f t="shared" si="160"/>
        <v>0</v>
      </c>
      <c r="P425" s="132" t="str">
        <f t="shared" si="170"/>
        <v/>
      </c>
      <c r="Q425" s="132" t="str">
        <f t="shared" si="162"/>
        <v/>
      </c>
      <c r="R425" s="132" t="str">
        <f>IF(ISNUMBER(SEARCH("AHO",Import2[[#This Row],[Tenure]])),"AHO",Import2[[#This Row],[Tenure]])&amp;Import2[[#This Row],[Expected Physical Completion Year]]&amp;Import2[[#This Row],[Expected Physical Completion Month]]</f>
        <v>Open market housing</v>
      </c>
      <c r="S425" s="135">
        <f t="shared" si="161"/>
        <v>0</v>
      </c>
      <c r="T425" s="132" t="str">
        <f t="shared" si="171"/>
        <v/>
      </c>
      <c r="U425" s="132" t="str">
        <f t="shared" si="171"/>
        <v/>
      </c>
      <c r="V425" s="132" t="str">
        <f>IF(ISNUMBER(SEARCH("AHO",Import2[[#This Row],[Tenure]])),"AHO",Import2[[#This Row],[Tenure]])&amp;Import2[[#This Row],[Expected sale completion year]]&amp;Import2[[#This Row],[Expected sale completion month]]</f>
        <v>Open market housing</v>
      </c>
      <c r="W425" s="178">
        <f t="shared" si="172"/>
        <v>0</v>
      </c>
    </row>
    <row r="426" spans="1:23" ht="15" customHeight="1">
      <c r="A426" s="132">
        <f t="shared" si="153"/>
        <v>0</v>
      </c>
      <c r="B426" s="133">
        <v>423</v>
      </c>
      <c r="C426" s="132" t="str">
        <f t="shared" si="154"/>
        <v/>
      </c>
      <c r="D426" s="132">
        <f t="shared" si="166"/>
        <v>0</v>
      </c>
      <c r="E426" s="132">
        <f t="shared" si="166"/>
        <v>0</v>
      </c>
      <c r="F426" s="132">
        <f t="shared" si="155"/>
        <v>0</v>
      </c>
      <c r="G426" s="132" t="str">
        <f t="shared" si="166"/>
        <v>Open market housing</v>
      </c>
      <c r="H426" s="132">
        <f t="shared" si="156"/>
        <v>896440000</v>
      </c>
      <c r="I426" s="132" t="str">
        <f t="shared" si="167"/>
        <v>New build</v>
      </c>
      <c r="J426" s="132">
        <f t="shared" si="157"/>
        <v>391930000</v>
      </c>
      <c r="K426" s="132">
        <f t="shared" si="168"/>
        <v>0</v>
      </c>
      <c r="L426" s="132">
        <f t="shared" si="158"/>
        <v>0</v>
      </c>
      <c r="M426" s="132">
        <f t="shared" si="169"/>
        <v>0</v>
      </c>
      <c r="N426" s="134">
        <f t="shared" si="159"/>
        <v>0</v>
      </c>
      <c r="O426" s="135">
        <f t="shared" si="160"/>
        <v>0</v>
      </c>
      <c r="P426" s="132" t="str">
        <f t="shared" si="170"/>
        <v/>
      </c>
      <c r="Q426" s="132" t="str">
        <f t="shared" si="162"/>
        <v/>
      </c>
      <c r="R426" s="132" t="str">
        <f>IF(ISNUMBER(SEARCH("AHO",Import2[[#This Row],[Tenure]])),"AHO",Import2[[#This Row],[Tenure]])&amp;Import2[[#This Row],[Expected Physical Completion Year]]&amp;Import2[[#This Row],[Expected Physical Completion Month]]</f>
        <v>Open market housing</v>
      </c>
      <c r="S426" s="135">
        <f t="shared" si="161"/>
        <v>0</v>
      </c>
      <c r="T426" s="132" t="str">
        <f t="shared" si="171"/>
        <v/>
      </c>
      <c r="U426" s="132" t="str">
        <f t="shared" si="171"/>
        <v/>
      </c>
      <c r="V426" s="132" t="str">
        <f>IF(ISNUMBER(SEARCH("AHO",Import2[[#This Row],[Tenure]])),"AHO",Import2[[#This Row],[Tenure]])&amp;Import2[[#This Row],[Expected sale completion year]]&amp;Import2[[#This Row],[Expected sale completion month]]</f>
        <v>Open market housing</v>
      </c>
      <c r="W426" s="178">
        <f t="shared" si="172"/>
        <v>0</v>
      </c>
    </row>
    <row r="427" spans="1:23" ht="15" customHeight="1">
      <c r="A427" s="132">
        <f t="shared" si="153"/>
        <v>0</v>
      </c>
      <c r="B427" s="133">
        <v>424</v>
      </c>
      <c r="C427" s="132" t="str">
        <f t="shared" si="154"/>
        <v/>
      </c>
      <c r="D427" s="132">
        <f t="shared" si="166"/>
        <v>0</v>
      </c>
      <c r="E427" s="132">
        <f t="shared" si="166"/>
        <v>0</v>
      </c>
      <c r="F427" s="132">
        <f t="shared" si="155"/>
        <v>0</v>
      </c>
      <c r="G427" s="132" t="str">
        <f t="shared" si="166"/>
        <v>Open market housing</v>
      </c>
      <c r="H427" s="132">
        <f t="shared" si="156"/>
        <v>896440000</v>
      </c>
      <c r="I427" s="132" t="str">
        <f t="shared" si="167"/>
        <v>New build</v>
      </c>
      <c r="J427" s="132">
        <f t="shared" si="157"/>
        <v>391930000</v>
      </c>
      <c r="K427" s="132">
        <f t="shared" si="168"/>
        <v>0</v>
      </c>
      <c r="L427" s="132">
        <f t="shared" si="158"/>
        <v>0</v>
      </c>
      <c r="M427" s="132">
        <f t="shared" si="169"/>
        <v>0</v>
      </c>
      <c r="N427" s="134">
        <f t="shared" si="159"/>
        <v>0</v>
      </c>
      <c r="O427" s="135">
        <f t="shared" si="160"/>
        <v>0</v>
      </c>
      <c r="P427" s="132" t="str">
        <f t="shared" si="170"/>
        <v/>
      </c>
      <c r="Q427" s="132" t="str">
        <f t="shared" si="162"/>
        <v/>
      </c>
      <c r="R427" s="132" t="str">
        <f>IF(ISNUMBER(SEARCH("AHO",Import2[[#This Row],[Tenure]])),"AHO",Import2[[#This Row],[Tenure]])&amp;Import2[[#This Row],[Expected Physical Completion Year]]&amp;Import2[[#This Row],[Expected Physical Completion Month]]</f>
        <v>Open market housing</v>
      </c>
      <c r="S427" s="135">
        <f t="shared" si="161"/>
        <v>0</v>
      </c>
      <c r="T427" s="132" t="str">
        <f t="shared" si="171"/>
        <v/>
      </c>
      <c r="U427" s="132" t="str">
        <f t="shared" si="171"/>
        <v/>
      </c>
      <c r="V427" s="132" t="str">
        <f>IF(ISNUMBER(SEARCH("AHO",Import2[[#This Row],[Tenure]])),"AHO",Import2[[#This Row],[Tenure]])&amp;Import2[[#This Row],[Expected sale completion year]]&amp;Import2[[#This Row],[Expected sale completion month]]</f>
        <v>Open market housing</v>
      </c>
      <c r="W427" s="178">
        <f t="shared" si="172"/>
        <v>0</v>
      </c>
    </row>
    <row r="428" spans="1:23" ht="15" customHeight="1">
      <c r="A428" s="132">
        <f t="shared" si="153"/>
        <v>0</v>
      </c>
      <c r="B428" s="133">
        <v>425</v>
      </c>
      <c r="C428" s="132" t="str">
        <f t="shared" si="154"/>
        <v/>
      </c>
      <c r="D428" s="132">
        <f t="shared" si="166"/>
        <v>0</v>
      </c>
      <c r="E428" s="132">
        <f t="shared" si="166"/>
        <v>0</v>
      </c>
      <c r="F428" s="132">
        <f t="shared" si="155"/>
        <v>0</v>
      </c>
      <c r="G428" s="132" t="str">
        <f t="shared" si="166"/>
        <v>Open market housing</v>
      </c>
      <c r="H428" s="132">
        <f t="shared" si="156"/>
        <v>896440000</v>
      </c>
      <c r="I428" s="132" t="str">
        <f t="shared" si="167"/>
        <v>New build</v>
      </c>
      <c r="J428" s="132">
        <f t="shared" si="157"/>
        <v>391930000</v>
      </c>
      <c r="K428" s="132">
        <f t="shared" si="168"/>
        <v>0</v>
      </c>
      <c r="L428" s="132">
        <f t="shared" si="158"/>
        <v>0</v>
      </c>
      <c r="M428" s="132">
        <f t="shared" si="169"/>
        <v>0</v>
      </c>
      <c r="N428" s="134">
        <f t="shared" si="159"/>
        <v>0</v>
      </c>
      <c r="O428" s="135">
        <f t="shared" si="160"/>
        <v>0</v>
      </c>
      <c r="P428" s="132" t="str">
        <f t="shared" si="170"/>
        <v/>
      </c>
      <c r="Q428" s="132" t="str">
        <f t="shared" si="162"/>
        <v/>
      </c>
      <c r="R428" s="132" t="str">
        <f>IF(ISNUMBER(SEARCH("AHO",Import2[[#This Row],[Tenure]])),"AHO",Import2[[#This Row],[Tenure]])&amp;Import2[[#This Row],[Expected Physical Completion Year]]&amp;Import2[[#This Row],[Expected Physical Completion Month]]</f>
        <v>Open market housing</v>
      </c>
      <c r="S428" s="135">
        <f t="shared" si="161"/>
        <v>0</v>
      </c>
      <c r="T428" s="132" t="str">
        <f t="shared" si="171"/>
        <v/>
      </c>
      <c r="U428" s="132" t="str">
        <f t="shared" si="171"/>
        <v/>
      </c>
      <c r="V428" s="132" t="str">
        <f>IF(ISNUMBER(SEARCH("AHO",Import2[[#This Row],[Tenure]])),"AHO",Import2[[#This Row],[Tenure]])&amp;Import2[[#This Row],[Expected sale completion year]]&amp;Import2[[#This Row],[Expected sale completion month]]</f>
        <v>Open market housing</v>
      </c>
      <c r="W428" s="178">
        <f t="shared" si="172"/>
        <v>0</v>
      </c>
    </row>
    <row r="429" spans="1:23" ht="15" customHeight="1">
      <c r="A429" s="132">
        <f t="shared" si="153"/>
        <v>0</v>
      </c>
      <c r="B429" s="133">
        <v>426</v>
      </c>
      <c r="C429" s="132" t="str">
        <f t="shared" si="154"/>
        <v/>
      </c>
      <c r="D429" s="132">
        <f t="shared" si="166"/>
        <v>0</v>
      </c>
      <c r="E429" s="132">
        <f t="shared" si="166"/>
        <v>0</v>
      </c>
      <c r="F429" s="132">
        <f t="shared" si="155"/>
        <v>0</v>
      </c>
      <c r="G429" s="132" t="str">
        <f t="shared" si="166"/>
        <v>Open market housing</v>
      </c>
      <c r="H429" s="132">
        <f t="shared" si="156"/>
        <v>896440000</v>
      </c>
      <c r="I429" s="132" t="str">
        <f t="shared" si="167"/>
        <v>New build</v>
      </c>
      <c r="J429" s="132">
        <f t="shared" si="157"/>
        <v>391930000</v>
      </c>
      <c r="K429" s="132">
        <f t="shared" si="168"/>
        <v>0</v>
      </c>
      <c r="L429" s="132">
        <f t="shared" si="158"/>
        <v>0</v>
      </c>
      <c r="M429" s="132">
        <f t="shared" si="169"/>
        <v>0</v>
      </c>
      <c r="N429" s="134">
        <f t="shared" si="159"/>
        <v>0</v>
      </c>
      <c r="O429" s="135">
        <f t="shared" si="160"/>
        <v>0</v>
      </c>
      <c r="P429" s="132" t="str">
        <f t="shared" si="170"/>
        <v/>
      </c>
      <c r="Q429" s="132" t="str">
        <f t="shared" si="162"/>
        <v/>
      </c>
      <c r="R429" s="132" t="str">
        <f>IF(ISNUMBER(SEARCH("AHO",Import2[[#This Row],[Tenure]])),"AHO",Import2[[#This Row],[Tenure]])&amp;Import2[[#This Row],[Expected Physical Completion Year]]&amp;Import2[[#This Row],[Expected Physical Completion Month]]</f>
        <v>Open market housing</v>
      </c>
      <c r="S429" s="135">
        <f t="shared" si="161"/>
        <v>0</v>
      </c>
      <c r="T429" s="132" t="str">
        <f t="shared" si="171"/>
        <v/>
      </c>
      <c r="U429" s="132" t="str">
        <f t="shared" si="171"/>
        <v/>
      </c>
      <c r="V429" s="132" t="str">
        <f>IF(ISNUMBER(SEARCH("AHO",Import2[[#This Row],[Tenure]])),"AHO",Import2[[#This Row],[Tenure]])&amp;Import2[[#This Row],[Expected sale completion year]]&amp;Import2[[#This Row],[Expected sale completion month]]</f>
        <v>Open market housing</v>
      </c>
      <c r="W429" s="178">
        <f t="shared" si="172"/>
        <v>0</v>
      </c>
    </row>
    <row r="430" spans="1:23" ht="15" customHeight="1">
      <c r="A430" s="132">
        <f t="shared" si="153"/>
        <v>0</v>
      </c>
      <c r="B430" s="133">
        <v>427</v>
      </c>
      <c r="C430" s="132" t="str">
        <f t="shared" si="154"/>
        <v/>
      </c>
      <c r="D430" s="132">
        <f t="shared" si="166"/>
        <v>0</v>
      </c>
      <c r="E430" s="132">
        <f t="shared" si="166"/>
        <v>0</v>
      </c>
      <c r="F430" s="132">
        <f t="shared" si="155"/>
        <v>0</v>
      </c>
      <c r="G430" s="132" t="str">
        <f t="shared" si="166"/>
        <v>Open market housing</v>
      </c>
      <c r="H430" s="132">
        <f t="shared" si="156"/>
        <v>896440000</v>
      </c>
      <c r="I430" s="132" t="str">
        <f t="shared" si="167"/>
        <v>New build</v>
      </c>
      <c r="J430" s="132">
        <f t="shared" si="157"/>
        <v>391930000</v>
      </c>
      <c r="K430" s="132">
        <f t="shared" si="168"/>
        <v>0</v>
      </c>
      <c r="L430" s="132">
        <f t="shared" si="158"/>
        <v>0</v>
      </c>
      <c r="M430" s="132">
        <f t="shared" si="169"/>
        <v>0</v>
      </c>
      <c r="N430" s="134">
        <f t="shared" si="159"/>
        <v>0</v>
      </c>
      <c r="O430" s="135">
        <f t="shared" si="160"/>
        <v>0</v>
      </c>
      <c r="P430" s="132" t="str">
        <f t="shared" si="170"/>
        <v/>
      </c>
      <c r="Q430" s="132" t="str">
        <f t="shared" si="162"/>
        <v/>
      </c>
      <c r="R430" s="132" t="str">
        <f>IF(ISNUMBER(SEARCH("AHO",Import2[[#This Row],[Tenure]])),"AHO",Import2[[#This Row],[Tenure]])&amp;Import2[[#This Row],[Expected Physical Completion Year]]&amp;Import2[[#This Row],[Expected Physical Completion Month]]</f>
        <v>Open market housing</v>
      </c>
      <c r="S430" s="135">
        <f t="shared" si="161"/>
        <v>0</v>
      </c>
      <c r="T430" s="132" t="str">
        <f t="shared" si="171"/>
        <v/>
      </c>
      <c r="U430" s="132" t="str">
        <f t="shared" si="171"/>
        <v/>
      </c>
      <c r="V430" s="132" t="str">
        <f>IF(ISNUMBER(SEARCH("AHO",Import2[[#This Row],[Tenure]])),"AHO",Import2[[#This Row],[Tenure]])&amp;Import2[[#This Row],[Expected sale completion year]]&amp;Import2[[#This Row],[Expected sale completion month]]</f>
        <v>Open market housing</v>
      </c>
      <c r="W430" s="178">
        <f t="shared" si="172"/>
        <v>0</v>
      </c>
    </row>
    <row r="431" spans="1:23" ht="15" customHeight="1">
      <c r="A431" s="132">
        <f t="shared" si="153"/>
        <v>0</v>
      </c>
      <c r="B431" s="133">
        <v>428</v>
      </c>
      <c r="C431" s="132" t="str">
        <f t="shared" si="154"/>
        <v/>
      </c>
      <c r="D431" s="132">
        <f t="shared" si="166"/>
        <v>0</v>
      </c>
      <c r="E431" s="132">
        <f t="shared" si="166"/>
        <v>0</v>
      </c>
      <c r="F431" s="132">
        <f t="shared" si="155"/>
        <v>0</v>
      </c>
      <c r="G431" s="132" t="str">
        <f t="shared" si="166"/>
        <v>Open market housing</v>
      </c>
      <c r="H431" s="132">
        <f t="shared" si="156"/>
        <v>896440000</v>
      </c>
      <c r="I431" s="132" t="str">
        <f t="shared" si="167"/>
        <v>New build</v>
      </c>
      <c r="J431" s="132">
        <f t="shared" si="157"/>
        <v>391930000</v>
      </c>
      <c r="K431" s="132">
        <f t="shared" si="168"/>
        <v>0</v>
      </c>
      <c r="L431" s="132">
        <f t="shared" si="158"/>
        <v>0</v>
      </c>
      <c r="M431" s="132">
        <f t="shared" si="169"/>
        <v>0</v>
      </c>
      <c r="N431" s="134">
        <f t="shared" si="159"/>
        <v>0</v>
      </c>
      <c r="O431" s="135">
        <f t="shared" si="160"/>
        <v>0</v>
      </c>
      <c r="P431" s="132" t="str">
        <f t="shared" si="170"/>
        <v/>
      </c>
      <c r="Q431" s="132" t="str">
        <f t="shared" si="162"/>
        <v/>
      </c>
      <c r="R431" s="132" t="str">
        <f>IF(ISNUMBER(SEARCH("AHO",Import2[[#This Row],[Tenure]])),"AHO",Import2[[#This Row],[Tenure]])&amp;Import2[[#This Row],[Expected Physical Completion Year]]&amp;Import2[[#This Row],[Expected Physical Completion Month]]</f>
        <v>Open market housing</v>
      </c>
      <c r="S431" s="135">
        <f t="shared" si="161"/>
        <v>0</v>
      </c>
      <c r="T431" s="132" t="str">
        <f t="shared" si="171"/>
        <v/>
      </c>
      <c r="U431" s="132" t="str">
        <f t="shared" si="171"/>
        <v/>
      </c>
      <c r="V431" s="132" t="str">
        <f>IF(ISNUMBER(SEARCH("AHO",Import2[[#This Row],[Tenure]])),"AHO",Import2[[#This Row],[Tenure]])&amp;Import2[[#This Row],[Expected sale completion year]]&amp;Import2[[#This Row],[Expected sale completion month]]</f>
        <v>Open market housing</v>
      </c>
      <c r="W431" s="178">
        <f t="shared" si="172"/>
        <v>0</v>
      </c>
    </row>
    <row r="432" spans="1:23" ht="15" customHeight="1">
      <c r="A432" s="132">
        <f t="shared" si="153"/>
        <v>0</v>
      </c>
      <c r="B432" s="133">
        <v>429</v>
      </c>
      <c r="C432" s="132" t="str">
        <f t="shared" si="154"/>
        <v/>
      </c>
      <c r="D432" s="132">
        <f t="shared" si="166"/>
        <v>0</v>
      </c>
      <c r="E432" s="132">
        <f t="shared" si="166"/>
        <v>0</v>
      </c>
      <c r="F432" s="132">
        <f t="shared" si="155"/>
        <v>0</v>
      </c>
      <c r="G432" s="132" t="str">
        <f t="shared" si="166"/>
        <v>Open market housing</v>
      </c>
      <c r="H432" s="132">
        <f t="shared" si="156"/>
        <v>896440000</v>
      </c>
      <c r="I432" s="132" t="str">
        <f t="shared" si="167"/>
        <v>New build</v>
      </c>
      <c r="J432" s="132">
        <f t="shared" si="157"/>
        <v>391930000</v>
      </c>
      <c r="K432" s="132">
        <f t="shared" si="168"/>
        <v>0</v>
      </c>
      <c r="L432" s="132">
        <f t="shared" si="158"/>
        <v>0</v>
      </c>
      <c r="M432" s="132">
        <f t="shared" si="169"/>
        <v>0</v>
      </c>
      <c r="N432" s="134">
        <f t="shared" si="159"/>
        <v>0</v>
      </c>
      <c r="O432" s="135">
        <f t="shared" si="160"/>
        <v>0</v>
      </c>
      <c r="P432" s="132" t="str">
        <f t="shared" si="170"/>
        <v/>
      </c>
      <c r="Q432" s="132" t="str">
        <f t="shared" si="162"/>
        <v/>
      </c>
      <c r="R432" s="132" t="str">
        <f>IF(ISNUMBER(SEARCH("AHO",Import2[[#This Row],[Tenure]])),"AHO",Import2[[#This Row],[Tenure]])&amp;Import2[[#This Row],[Expected Physical Completion Year]]&amp;Import2[[#This Row],[Expected Physical Completion Month]]</f>
        <v>Open market housing</v>
      </c>
      <c r="S432" s="135">
        <f t="shared" si="161"/>
        <v>0</v>
      </c>
      <c r="T432" s="132" t="str">
        <f t="shared" si="171"/>
        <v/>
      </c>
      <c r="U432" s="132" t="str">
        <f t="shared" si="171"/>
        <v/>
      </c>
      <c r="V432" s="132" t="str">
        <f>IF(ISNUMBER(SEARCH("AHO",Import2[[#This Row],[Tenure]])),"AHO",Import2[[#This Row],[Tenure]])&amp;Import2[[#This Row],[Expected sale completion year]]&amp;Import2[[#This Row],[Expected sale completion month]]</f>
        <v>Open market housing</v>
      </c>
      <c r="W432" s="178">
        <f t="shared" si="172"/>
        <v>0</v>
      </c>
    </row>
    <row r="433" spans="1:23" ht="15" customHeight="1">
      <c r="A433" s="132">
        <f t="shared" si="153"/>
        <v>0</v>
      </c>
      <c r="B433" s="133">
        <v>430</v>
      </c>
      <c r="C433" s="132" t="str">
        <f t="shared" si="154"/>
        <v/>
      </c>
      <c r="D433" s="132">
        <f t="shared" si="166"/>
        <v>0</v>
      </c>
      <c r="E433" s="132">
        <f t="shared" si="166"/>
        <v>0</v>
      </c>
      <c r="F433" s="132">
        <f t="shared" si="155"/>
        <v>0</v>
      </c>
      <c r="G433" s="132" t="str">
        <f t="shared" si="166"/>
        <v>Open market housing</v>
      </c>
      <c r="H433" s="132">
        <f t="shared" si="156"/>
        <v>896440000</v>
      </c>
      <c r="I433" s="132" t="str">
        <f t="shared" si="167"/>
        <v>New build</v>
      </c>
      <c r="J433" s="132">
        <f t="shared" si="157"/>
        <v>391930000</v>
      </c>
      <c r="K433" s="132">
        <f t="shared" si="168"/>
        <v>0</v>
      </c>
      <c r="L433" s="132">
        <f t="shared" si="158"/>
        <v>0</v>
      </c>
      <c r="M433" s="132">
        <f t="shared" si="169"/>
        <v>0</v>
      </c>
      <c r="N433" s="134">
        <f t="shared" si="159"/>
        <v>0</v>
      </c>
      <c r="O433" s="135">
        <f t="shared" si="160"/>
        <v>0</v>
      </c>
      <c r="P433" s="132" t="str">
        <f t="shared" si="170"/>
        <v/>
      </c>
      <c r="Q433" s="132" t="str">
        <f t="shared" si="162"/>
        <v/>
      </c>
      <c r="R433" s="132" t="str">
        <f>IF(ISNUMBER(SEARCH("AHO",Import2[[#This Row],[Tenure]])),"AHO",Import2[[#This Row],[Tenure]])&amp;Import2[[#This Row],[Expected Physical Completion Year]]&amp;Import2[[#This Row],[Expected Physical Completion Month]]</f>
        <v>Open market housing</v>
      </c>
      <c r="S433" s="135">
        <f t="shared" si="161"/>
        <v>0</v>
      </c>
      <c r="T433" s="132" t="str">
        <f t="shared" si="171"/>
        <v/>
      </c>
      <c r="U433" s="132" t="str">
        <f t="shared" si="171"/>
        <v/>
      </c>
      <c r="V433" s="132" t="str">
        <f>IF(ISNUMBER(SEARCH("AHO",Import2[[#This Row],[Tenure]])),"AHO",Import2[[#This Row],[Tenure]])&amp;Import2[[#This Row],[Expected sale completion year]]&amp;Import2[[#This Row],[Expected sale completion month]]</f>
        <v>Open market housing</v>
      </c>
      <c r="W433" s="178">
        <f t="shared" si="172"/>
        <v>0</v>
      </c>
    </row>
    <row r="434" spans="1:23" ht="15" customHeight="1">
      <c r="A434" s="132">
        <f t="shared" si="153"/>
        <v>0</v>
      </c>
      <c r="B434" s="133">
        <v>431</v>
      </c>
      <c r="C434" s="132" t="str">
        <f t="shared" si="154"/>
        <v/>
      </c>
      <c r="D434" s="132">
        <f t="shared" si="166"/>
        <v>0</v>
      </c>
      <c r="E434" s="132">
        <f t="shared" si="166"/>
        <v>0</v>
      </c>
      <c r="F434" s="132">
        <f t="shared" si="155"/>
        <v>0</v>
      </c>
      <c r="G434" s="132" t="str">
        <f t="shared" si="166"/>
        <v>Open market housing</v>
      </c>
      <c r="H434" s="132">
        <f t="shared" si="156"/>
        <v>896440000</v>
      </c>
      <c r="I434" s="132" t="str">
        <f t="shared" si="167"/>
        <v>New build</v>
      </c>
      <c r="J434" s="132">
        <f t="shared" si="157"/>
        <v>391930000</v>
      </c>
      <c r="K434" s="132">
        <f t="shared" si="168"/>
        <v>0</v>
      </c>
      <c r="L434" s="132">
        <f t="shared" si="158"/>
        <v>0</v>
      </c>
      <c r="M434" s="132">
        <f t="shared" si="169"/>
        <v>0</v>
      </c>
      <c r="N434" s="134">
        <f t="shared" si="159"/>
        <v>0</v>
      </c>
      <c r="O434" s="135">
        <f t="shared" si="160"/>
        <v>0</v>
      </c>
      <c r="P434" s="132" t="str">
        <f t="shared" si="170"/>
        <v/>
      </c>
      <c r="Q434" s="132" t="str">
        <f t="shared" si="162"/>
        <v/>
      </c>
      <c r="R434" s="132" t="str">
        <f>IF(ISNUMBER(SEARCH("AHO",Import2[[#This Row],[Tenure]])),"AHO",Import2[[#This Row],[Tenure]])&amp;Import2[[#This Row],[Expected Physical Completion Year]]&amp;Import2[[#This Row],[Expected Physical Completion Month]]</f>
        <v>Open market housing</v>
      </c>
      <c r="S434" s="135">
        <f t="shared" si="161"/>
        <v>0</v>
      </c>
      <c r="T434" s="132" t="str">
        <f t="shared" si="171"/>
        <v/>
      </c>
      <c r="U434" s="132" t="str">
        <f t="shared" si="171"/>
        <v/>
      </c>
      <c r="V434" s="132" t="str">
        <f>IF(ISNUMBER(SEARCH("AHO",Import2[[#This Row],[Tenure]])),"AHO",Import2[[#This Row],[Tenure]])&amp;Import2[[#This Row],[Expected sale completion year]]&amp;Import2[[#This Row],[Expected sale completion month]]</f>
        <v>Open market housing</v>
      </c>
      <c r="W434" s="178">
        <f t="shared" si="172"/>
        <v>0</v>
      </c>
    </row>
    <row r="435" spans="1:23" ht="15" customHeight="1">
      <c r="A435" s="132">
        <f t="shared" si="153"/>
        <v>0</v>
      </c>
      <c r="B435" s="133">
        <v>432</v>
      </c>
      <c r="C435" s="132" t="str">
        <f t="shared" si="154"/>
        <v/>
      </c>
      <c r="D435" s="132">
        <f t="shared" si="166"/>
        <v>0</v>
      </c>
      <c r="E435" s="132">
        <f t="shared" si="166"/>
        <v>0</v>
      </c>
      <c r="F435" s="132">
        <f t="shared" si="155"/>
        <v>0</v>
      </c>
      <c r="G435" s="132" t="str">
        <f t="shared" si="166"/>
        <v>Open market housing</v>
      </c>
      <c r="H435" s="132">
        <f t="shared" si="156"/>
        <v>896440000</v>
      </c>
      <c r="I435" s="132" t="str">
        <f t="shared" si="167"/>
        <v>New build</v>
      </c>
      <c r="J435" s="132">
        <f t="shared" si="157"/>
        <v>391930000</v>
      </c>
      <c r="K435" s="132">
        <f t="shared" si="168"/>
        <v>0</v>
      </c>
      <c r="L435" s="132">
        <f t="shared" si="158"/>
        <v>0</v>
      </c>
      <c r="M435" s="132">
        <f t="shared" si="169"/>
        <v>0</v>
      </c>
      <c r="N435" s="134">
        <f t="shared" si="159"/>
        <v>0</v>
      </c>
      <c r="O435" s="135">
        <f t="shared" si="160"/>
        <v>0</v>
      </c>
      <c r="P435" s="132" t="str">
        <f t="shared" si="170"/>
        <v/>
      </c>
      <c r="Q435" s="132" t="str">
        <f t="shared" si="162"/>
        <v/>
      </c>
      <c r="R435" s="132" t="str">
        <f>IF(ISNUMBER(SEARCH("AHO",Import2[[#This Row],[Tenure]])),"AHO",Import2[[#This Row],[Tenure]])&amp;Import2[[#This Row],[Expected Physical Completion Year]]&amp;Import2[[#This Row],[Expected Physical Completion Month]]</f>
        <v>Open market housing</v>
      </c>
      <c r="S435" s="135">
        <f t="shared" si="161"/>
        <v>0</v>
      </c>
      <c r="T435" s="132" t="str">
        <f t="shared" si="171"/>
        <v/>
      </c>
      <c r="U435" s="132" t="str">
        <f t="shared" si="171"/>
        <v/>
      </c>
      <c r="V435" s="132" t="str">
        <f>IF(ISNUMBER(SEARCH("AHO",Import2[[#This Row],[Tenure]])),"AHO",Import2[[#This Row],[Tenure]])&amp;Import2[[#This Row],[Expected sale completion year]]&amp;Import2[[#This Row],[Expected sale completion month]]</f>
        <v>Open market housing</v>
      </c>
      <c r="W435" s="178">
        <f t="shared" si="172"/>
        <v>0</v>
      </c>
    </row>
    <row r="436" spans="1:23" ht="15" customHeight="1">
      <c r="A436" s="132">
        <f t="shared" si="153"/>
        <v>0</v>
      </c>
      <c r="B436" s="133">
        <v>433</v>
      </c>
      <c r="C436" s="132" t="str">
        <f t="shared" si="154"/>
        <v/>
      </c>
      <c r="D436" s="132">
        <f t="shared" si="166"/>
        <v>0</v>
      </c>
      <c r="E436" s="132">
        <f t="shared" si="166"/>
        <v>0</v>
      </c>
      <c r="F436" s="132">
        <f t="shared" si="155"/>
        <v>0</v>
      </c>
      <c r="G436" s="132" t="str">
        <f t="shared" si="166"/>
        <v>Open market housing</v>
      </c>
      <c r="H436" s="132">
        <f t="shared" si="156"/>
        <v>896440000</v>
      </c>
      <c r="I436" s="132" t="str">
        <f t="shared" si="167"/>
        <v>New build</v>
      </c>
      <c r="J436" s="132">
        <f t="shared" si="157"/>
        <v>391930000</v>
      </c>
      <c r="K436" s="132">
        <f t="shared" si="168"/>
        <v>0</v>
      </c>
      <c r="L436" s="132">
        <f t="shared" si="158"/>
        <v>0</v>
      </c>
      <c r="M436" s="132">
        <f t="shared" si="169"/>
        <v>0</v>
      </c>
      <c r="N436" s="134">
        <f t="shared" si="159"/>
        <v>0</v>
      </c>
      <c r="O436" s="135">
        <f t="shared" si="160"/>
        <v>0</v>
      </c>
      <c r="P436" s="132" t="str">
        <f t="shared" si="170"/>
        <v/>
      </c>
      <c r="Q436" s="132" t="str">
        <f t="shared" si="162"/>
        <v/>
      </c>
      <c r="R436" s="132" t="str">
        <f>IF(ISNUMBER(SEARCH("AHO",Import2[[#This Row],[Tenure]])),"AHO",Import2[[#This Row],[Tenure]])&amp;Import2[[#This Row],[Expected Physical Completion Year]]&amp;Import2[[#This Row],[Expected Physical Completion Month]]</f>
        <v>Open market housing</v>
      </c>
      <c r="S436" s="135">
        <f t="shared" si="161"/>
        <v>0</v>
      </c>
      <c r="T436" s="132" t="str">
        <f t="shared" si="171"/>
        <v/>
      </c>
      <c r="U436" s="132" t="str">
        <f t="shared" si="171"/>
        <v/>
      </c>
      <c r="V436" s="132" t="str">
        <f>IF(ISNUMBER(SEARCH("AHO",Import2[[#This Row],[Tenure]])),"AHO",Import2[[#This Row],[Tenure]])&amp;Import2[[#This Row],[Expected sale completion year]]&amp;Import2[[#This Row],[Expected sale completion month]]</f>
        <v>Open market housing</v>
      </c>
      <c r="W436" s="178">
        <f t="shared" si="172"/>
        <v>0</v>
      </c>
    </row>
    <row r="437" spans="1:23" ht="15" customHeight="1">
      <c r="A437" s="132">
        <f t="shared" si="153"/>
        <v>0</v>
      </c>
      <c r="B437" s="133">
        <v>434</v>
      </c>
      <c r="C437" s="132" t="str">
        <f t="shared" si="154"/>
        <v/>
      </c>
      <c r="D437" s="132">
        <f t="shared" si="166"/>
        <v>0</v>
      </c>
      <c r="E437" s="132">
        <f t="shared" si="166"/>
        <v>0</v>
      </c>
      <c r="F437" s="132">
        <f t="shared" si="155"/>
        <v>0</v>
      </c>
      <c r="G437" s="132" t="str">
        <f t="shared" si="166"/>
        <v>Open market housing</v>
      </c>
      <c r="H437" s="132">
        <f t="shared" si="156"/>
        <v>896440000</v>
      </c>
      <c r="I437" s="132" t="str">
        <f t="shared" si="167"/>
        <v>New build</v>
      </c>
      <c r="J437" s="132">
        <f t="shared" si="157"/>
        <v>391930000</v>
      </c>
      <c r="K437" s="132">
        <f t="shared" si="168"/>
        <v>0</v>
      </c>
      <c r="L437" s="132">
        <f t="shared" si="158"/>
        <v>0</v>
      </c>
      <c r="M437" s="132">
        <f t="shared" si="169"/>
        <v>0</v>
      </c>
      <c r="N437" s="134">
        <f t="shared" si="159"/>
        <v>0</v>
      </c>
      <c r="O437" s="135">
        <f t="shared" si="160"/>
        <v>0</v>
      </c>
      <c r="P437" s="132" t="str">
        <f t="shared" si="170"/>
        <v/>
      </c>
      <c r="Q437" s="132" t="str">
        <f t="shared" si="162"/>
        <v/>
      </c>
      <c r="R437" s="132" t="str">
        <f>IF(ISNUMBER(SEARCH("AHO",Import2[[#This Row],[Tenure]])),"AHO",Import2[[#This Row],[Tenure]])&amp;Import2[[#This Row],[Expected Physical Completion Year]]&amp;Import2[[#This Row],[Expected Physical Completion Month]]</f>
        <v>Open market housing</v>
      </c>
      <c r="S437" s="135">
        <f t="shared" si="161"/>
        <v>0</v>
      </c>
      <c r="T437" s="132" t="str">
        <f t="shared" si="171"/>
        <v/>
      </c>
      <c r="U437" s="132" t="str">
        <f t="shared" si="171"/>
        <v/>
      </c>
      <c r="V437" s="132" t="str">
        <f>IF(ISNUMBER(SEARCH("AHO",Import2[[#This Row],[Tenure]])),"AHO",Import2[[#This Row],[Tenure]])&amp;Import2[[#This Row],[Expected sale completion year]]&amp;Import2[[#This Row],[Expected sale completion month]]</f>
        <v>Open market housing</v>
      </c>
      <c r="W437" s="178">
        <f t="shared" si="172"/>
        <v>0</v>
      </c>
    </row>
    <row r="438" spans="1:23" ht="15" customHeight="1">
      <c r="A438" s="132">
        <f t="shared" si="153"/>
        <v>0</v>
      </c>
      <c r="B438" s="133">
        <v>435</v>
      </c>
      <c r="C438" s="132" t="str">
        <f t="shared" si="154"/>
        <v/>
      </c>
      <c r="D438" s="132">
        <f t="shared" si="166"/>
        <v>0</v>
      </c>
      <c r="E438" s="132">
        <f t="shared" si="166"/>
        <v>0</v>
      </c>
      <c r="F438" s="132">
        <f t="shared" si="155"/>
        <v>0</v>
      </c>
      <c r="G438" s="132" t="str">
        <f t="shared" si="166"/>
        <v>Open market housing</v>
      </c>
      <c r="H438" s="132">
        <f t="shared" si="156"/>
        <v>896440000</v>
      </c>
      <c r="I438" s="132" t="str">
        <f t="shared" si="167"/>
        <v>New build</v>
      </c>
      <c r="J438" s="132">
        <f t="shared" si="157"/>
        <v>391930000</v>
      </c>
      <c r="K438" s="132">
        <f t="shared" si="168"/>
        <v>0</v>
      </c>
      <c r="L438" s="132">
        <f t="shared" si="158"/>
        <v>0</v>
      </c>
      <c r="M438" s="132">
        <f t="shared" si="169"/>
        <v>0</v>
      </c>
      <c r="N438" s="134">
        <f t="shared" si="159"/>
        <v>0</v>
      </c>
      <c r="O438" s="135">
        <f t="shared" si="160"/>
        <v>0</v>
      </c>
      <c r="P438" s="132" t="str">
        <f t="shared" si="170"/>
        <v/>
      </c>
      <c r="Q438" s="132" t="str">
        <f t="shared" si="162"/>
        <v/>
      </c>
      <c r="R438" s="132" t="str">
        <f>IF(ISNUMBER(SEARCH("AHO",Import2[[#This Row],[Tenure]])),"AHO",Import2[[#This Row],[Tenure]])&amp;Import2[[#This Row],[Expected Physical Completion Year]]&amp;Import2[[#This Row],[Expected Physical Completion Month]]</f>
        <v>Open market housing</v>
      </c>
      <c r="S438" s="135">
        <f t="shared" si="161"/>
        <v>0</v>
      </c>
      <c r="T438" s="132" t="str">
        <f t="shared" si="171"/>
        <v/>
      </c>
      <c r="U438" s="132" t="str">
        <f t="shared" si="171"/>
        <v/>
      </c>
      <c r="V438" s="132" t="str">
        <f>IF(ISNUMBER(SEARCH("AHO",Import2[[#This Row],[Tenure]])),"AHO",Import2[[#This Row],[Tenure]])&amp;Import2[[#This Row],[Expected sale completion year]]&amp;Import2[[#This Row],[Expected sale completion month]]</f>
        <v>Open market housing</v>
      </c>
      <c r="W438" s="178">
        <f t="shared" si="172"/>
        <v>0</v>
      </c>
    </row>
    <row r="439" spans="1:23" ht="15" customHeight="1">
      <c r="A439" s="132">
        <f t="shared" si="153"/>
        <v>0</v>
      </c>
      <c r="B439" s="133">
        <v>436</v>
      </c>
      <c r="C439" s="132" t="str">
        <f t="shared" si="154"/>
        <v/>
      </c>
      <c r="D439" s="132">
        <f t="shared" si="166"/>
        <v>0</v>
      </c>
      <c r="E439" s="132">
        <f t="shared" si="166"/>
        <v>0</v>
      </c>
      <c r="F439" s="132">
        <f t="shared" si="155"/>
        <v>0</v>
      </c>
      <c r="G439" s="132" t="str">
        <f t="shared" si="166"/>
        <v>Open market housing</v>
      </c>
      <c r="H439" s="132">
        <f t="shared" si="156"/>
        <v>896440000</v>
      </c>
      <c r="I439" s="132" t="str">
        <f t="shared" si="167"/>
        <v>New build</v>
      </c>
      <c r="J439" s="132">
        <f t="shared" si="157"/>
        <v>391930000</v>
      </c>
      <c r="K439" s="132">
        <f t="shared" si="168"/>
        <v>0</v>
      </c>
      <c r="L439" s="132">
        <f t="shared" si="158"/>
        <v>0</v>
      </c>
      <c r="M439" s="132">
        <f t="shared" si="169"/>
        <v>0</v>
      </c>
      <c r="N439" s="134">
        <f t="shared" si="159"/>
        <v>0</v>
      </c>
      <c r="O439" s="135">
        <f t="shared" si="160"/>
        <v>0</v>
      </c>
      <c r="P439" s="132" t="str">
        <f t="shared" si="170"/>
        <v/>
      </c>
      <c r="Q439" s="132" t="str">
        <f t="shared" si="162"/>
        <v/>
      </c>
      <c r="R439" s="132" t="str">
        <f>IF(ISNUMBER(SEARCH("AHO",Import2[[#This Row],[Tenure]])),"AHO",Import2[[#This Row],[Tenure]])&amp;Import2[[#This Row],[Expected Physical Completion Year]]&amp;Import2[[#This Row],[Expected Physical Completion Month]]</f>
        <v>Open market housing</v>
      </c>
      <c r="S439" s="135">
        <f t="shared" si="161"/>
        <v>0</v>
      </c>
      <c r="T439" s="132" t="str">
        <f t="shared" si="171"/>
        <v/>
      </c>
      <c r="U439" s="132" t="str">
        <f t="shared" si="171"/>
        <v/>
      </c>
      <c r="V439" s="132" t="str">
        <f>IF(ISNUMBER(SEARCH("AHO",Import2[[#This Row],[Tenure]])),"AHO",Import2[[#This Row],[Tenure]])&amp;Import2[[#This Row],[Expected sale completion year]]&amp;Import2[[#This Row],[Expected sale completion month]]</f>
        <v>Open market housing</v>
      </c>
      <c r="W439" s="178">
        <f t="shared" si="172"/>
        <v>0</v>
      </c>
    </row>
    <row r="440" spans="1:23" ht="15" customHeight="1">
      <c r="A440" s="132">
        <f t="shared" si="153"/>
        <v>0</v>
      </c>
      <c r="B440" s="133">
        <v>437</v>
      </c>
      <c r="C440" s="132" t="str">
        <f t="shared" si="154"/>
        <v/>
      </c>
      <c r="D440" s="132">
        <f t="shared" si="166"/>
        <v>0</v>
      </c>
      <c r="E440" s="132">
        <f t="shared" si="166"/>
        <v>0</v>
      </c>
      <c r="F440" s="132">
        <f t="shared" si="155"/>
        <v>0</v>
      </c>
      <c r="G440" s="132" t="str">
        <f t="shared" si="166"/>
        <v>Open market housing</v>
      </c>
      <c r="H440" s="132">
        <f t="shared" si="156"/>
        <v>896440000</v>
      </c>
      <c r="I440" s="132" t="str">
        <f t="shared" si="167"/>
        <v>New build</v>
      </c>
      <c r="J440" s="132">
        <f t="shared" si="157"/>
        <v>391930000</v>
      </c>
      <c r="K440" s="132">
        <f t="shared" si="168"/>
        <v>0</v>
      </c>
      <c r="L440" s="132">
        <f t="shared" si="158"/>
        <v>0</v>
      </c>
      <c r="M440" s="132">
        <f t="shared" si="169"/>
        <v>0</v>
      </c>
      <c r="N440" s="134">
        <f t="shared" si="159"/>
        <v>0</v>
      </c>
      <c r="O440" s="135">
        <f t="shared" si="160"/>
        <v>0</v>
      </c>
      <c r="P440" s="132" t="str">
        <f t="shared" si="170"/>
        <v/>
      </c>
      <c r="Q440" s="132" t="str">
        <f t="shared" si="162"/>
        <v/>
      </c>
      <c r="R440" s="132" t="str">
        <f>IF(ISNUMBER(SEARCH("AHO",Import2[[#This Row],[Tenure]])),"AHO",Import2[[#This Row],[Tenure]])&amp;Import2[[#This Row],[Expected Physical Completion Year]]&amp;Import2[[#This Row],[Expected Physical Completion Month]]</f>
        <v>Open market housing</v>
      </c>
      <c r="S440" s="135">
        <f t="shared" si="161"/>
        <v>0</v>
      </c>
      <c r="T440" s="132" t="str">
        <f t="shared" si="171"/>
        <v/>
      </c>
      <c r="U440" s="132" t="str">
        <f t="shared" si="171"/>
        <v/>
      </c>
      <c r="V440" s="132" t="str">
        <f>IF(ISNUMBER(SEARCH("AHO",Import2[[#This Row],[Tenure]])),"AHO",Import2[[#This Row],[Tenure]])&amp;Import2[[#This Row],[Expected sale completion year]]&amp;Import2[[#This Row],[Expected sale completion month]]</f>
        <v>Open market housing</v>
      </c>
      <c r="W440" s="178">
        <f t="shared" si="172"/>
        <v>0</v>
      </c>
    </row>
    <row r="441" spans="1:23" ht="15" customHeight="1">
      <c r="A441" s="132">
        <f t="shared" si="153"/>
        <v>0</v>
      </c>
      <c r="B441" s="133">
        <v>438</v>
      </c>
      <c r="C441" s="132" t="str">
        <f t="shared" si="154"/>
        <v/>
      </c>
      <c r="D441" s="132">
        <f t="shared" si="166"/>
        <v>0</v>
      </c>
      <c r="E441" s="132">
        <f t="shared" si="166"/>
        <v>0</v>
      </c>
      <c r="F441" s="132">
        <f t="shared" si="155"/>
        <v>0</v>
      </c>
      <c r="G441" s="132" t="str">
        <f t="shared" si="166"/>
        <v>Open market housing</v>
      </c>
      <c r="H441" s="132">
        <f t="shared" si="156"/>
        <v>896440000</v>
      </c>
      <c r="I441" s="132" t="str">
        <f t="shared" si="167"/>
        <v>New build</v>
      </c>
      <c r="J441" s="132">
        <f t="shared" si="157"/>
        <v>391930000</v>
      </c>
      <c r="K441" s="132">
        <f t="shared" si="168"/>
        <v>0</v>
      </c>
      <c r="L441" s="132">
        <f t="shared" si="158"/>
        <v>0</v>
      </c>
      <c r="M441" s="132">
        <f t="shared" si="169"/>
        <v>0</v>
      </c>
      <c r="N441" s="134">
        <f t="shared" si="159"/>
        <v>0</v>
      </c>
      <c r="O441" s="135">
        <f t="shared" si="160"/>
        <v>0</v>
      </c>
      <c r="P441" s="132" t="str">
        <f t="shared" si="170"/>
        <v/>
      </c>
      <c r="Q441" s="132" t="str">
        <f t="shared" si="162"/>
        <v/>
      </c>
      <c r="R441" s="132" t="str">
        <f>IF(ISNUMBER(SEARCH("AHO",Import2[[#This Row],[Tenure]])),"AHO",Import2[[#This Row],[Tenure]])&amp;Import2[[#This Row],[Expected Physical Completion Year]]&amp;Import2[[#This Row],[Expected Physical Completion Month]]</f>
        <v>Open market housing</v>
      </c>
      <c r="S441" s="135">
        <f t="shared" si="161"/>
        <v>0</v>
      </c>
      <c r="T441" s="132" t="str">
        <f t="shared" si="171"/>
        <v/>
      </c>
      <c r="U441" s="132" t="str">
        <f t="shared" si="171"/>
        <v/>
      </c>
      <c r="V441" s="132" t="str">
        <f>IF(ISNUMBER(SEARCH("AHO",Import2[[#This Row],[Tenure]])),"AHO",Import2[[#This Row],[Tenure]])&amp;Import2[[#This Row],[Expected sale completion year]]&amp;Import2[[#This Row],[Expected sale completion month]]</f>
        <v>Open market housing</v>
      </c>
      <c r="W441" s="178">
        <f t="shared" si="172"/>
        <v>0</v>
      </c>
    </row>
    <row r="442" spans="1:23" ht="15" customHeight="1">
      <c r="A442" s="132">
        <f t="shared" si="153"/>
        <v>0</v>
      </c>
      <c r="B442" s="133">
        <v>439</v>
      </c>
      <c r="C442" s="132" t="str">
        <f t="shared" si="154"/>
        <v/>
      </c>
      <c r="D442" s="132">
        <f t="shared" si="166"/>
        <v>0</v>
      </c>
      <c r="E442" s="132">
        <f t="shared" si="166"/>
        <v>0</v>
      </c>
      <c r="F442" s="132">
        <f t="shared" si="155"/>
        <v>0</v>
      </c>
      <c r="G442" s="132" t="str">
        <f t="shared" si="166"/>
        <v>Open market housing</v>
      </c>
      <c r="H442" s="132">
        <f t="shared" si="156"/>
        <v>896440000</v>
      </c>
      <c r="I442" s="132" t="str">
        <f t="shared" si="167"/>
        <v>New build</v>
      </c>
      <c r="J442" s="132">
        <f t="shared" si="157"/>
        <v>391930000</v>
      </c>
      <c r="K442" s="132">
        <f t="shared" si="168"/>
        <v>0</v>
      </c>
      <c r="L442" s="132">
        <f t="shared" si="158"/>
        <v>0</v>
      </c>
      <c r="M442" s="132">
        <f t="shared" si="169"/>
        <v>0</v>
      </c>
      <c r="N442" s="134">
        <f t="shared" si="159"/>
        <v>0</v>
      </c>
      <c r="O442" s="135">
        <f t="shared" si="160"/>
        <v>0</v>
      </c>
      <c r="P442" s="132" t="str">
        <f t="shared" si="170"/>
        <v/>
      </c>
      <c r="Q442" s="132" t="str">
        <f t="shared" si="162"/>
        <v/>
      </c>
      <c r="R442" s="132" t="str">
        <f>IF(ISNUMBER(SEARCH("AHO",Import2[[#This Row],[Tenure]])),"AHO",Import2[[#This Row],[Tenure]])&amp;Import2[[#This Row],[Expected Physical Completion Year]]&amp;Import2[[#This Row],[Expected Physical Completion Month]]</f>
        <v>Open market housing</v>
      </c>
      <c r="S442" s="135">
        <f t="shared" si="161"/>
        <v>0</v>
      </c>
      <c r="T442" s="132" t="str">
        <f t="shared" si="171"/>
        <v/>
      </c>
      <c r="U442" s="132" t="str">
        <f t="shared" si="171"/>
        <v/>
      </c>
      <c r="V442" s="132" t="str">
        <f>IF(ISNUMBER(SEARCH("AHO",Import2[[#This Row],[Tenure]])),"AHO",Import2[[#This Row],[Tenure]])&amp;Import2[[#This Row],[Expected sale completion year]]&amp;Import2[[#This Row],[Expected sale completion month]]</f>
        <v>Open market housing</v>
      </c>
      <c r="W442" s="178">
        <f t="shared" si="172"/>
        <v>0</v>
      </c>
    </row>
    <row r="443" spans="1:23" ht="15" customHeight="1">
      <c r="A443" s="132">
        <f t="shared" si="153"/>
        <v>0</v>
      </c>
      <c r="B443" s="133">
        <v>440</v>
      </c>
      <c r="C443" s="132" t="str">
        <f t="shared" si="154"/>
        <v/>
      </c>
      <c r="D443" s="132">
        <f t="shared" si="166"/>
        <v>0</v>
      </c>
      <c r="E443" s="132">
        <f t="shared" si="166"/>
        <v>0</v>
      </c>
      <c r="F443" s="132">
        <f t="shared" si="155"/>
        <v>0</v>
      </c>
      <c r="G443" s="132" t="str">
        <f t="shared" si="166"/>
        <v>Open market housing</v>
      </c>
      <c r="H443" s="132">
        <f t="shared" si="156"/>
        <v>896440000</v>
      </c>
      <c r="I443" s="132" t="str">
        <f t="shared" si="167"/>
        <v>New build</v>
      </c>
      <c r="J443" s="132">
        <f t="shared" si="157"/>
        <v>391930000</v>
      </c>
      <c r="K443" s="132">
        <f t="shared" si="168"/>
        <v>0</v>
      </c>
      <c r="L443" s="132">
        <f t="shared" si="158"/>
        <v>0</v>
      </c>
      <c r="M443" s="132">
        <f t="shared" si="169"/>
        <v>0</v>
      </c>
      <c r="N443" s="134">
        <f t="shared" si="159"/>
        <v>0</v>
      </c>
      <c r="O443" s="135">
        <f t="shared" si="160"/>
        <v>0</v>
      </c>
      <c r="P443" s="132" t="str">
        <f t="shared" si="170"/>
        <v/>
      </c>
      <c r="Q443" s="132" t="str">
        <f t="shared" si="162"/>
        <v/>
      </c>
      <c r="R443" s="132" t="str">
        <f>IF(ISNUMBER(SEARCH("AHO",Import2[[#This Row],[Tenure]])),"AHO",Import2[[#This Row],[Tenure]])&amp;Import2[[#This Row],[Expected Physical Completion Year]]&amp;Import2[[#This Row],[Expected Physical Completion Month]]</f>
        <v>Open market housing</v>
      </c>
      <c r="S443" s="135">
        <f t="shared" si="161"/>
        <v>0</v>
      </c>
      <c r="T443" s="132" t="str">
        <f t="shared" si="171"/>
        <v/>
      </c>
      <c r="U443" s="132" t="str">
        <f t="shared" si="171"/>
        <v/>
      </c>
      <c r="V443" s="132" t="str">
        <f>IF(ISNUMBER(SEARCH("AHO",Import2[[#This Row],[Tenure]])),"AHO",Import2[[#This Row],[Tenure]])&amp;Import2[[#This Row],[Expected sale completion year]]&amp;Import2[[#This Row],[Expected sale completion month]]</f>
        <v>Open market housing</v>
      </c>
      <c r="W443" s="178">
        <f t="shared" si="172"/>
        <v>0</v>
      </c>
    </row>
    <row r="444" spans="1:23" ht="15" customHeight="1">
      <c r="A444" s="132">
        <f t="shared" si="153"/>
        <v>0</v>
      </c>
      <c r="B444" s="133">
        <v>441</v>
      </c>
      <c r="C444" s="132" t="str">
        <f t="shared" si="154"/>
        <v/>
      </c>
      <c r="D444" s="132">
        <f t="shared" ref="D444:G463" si="173">INDEX(PlotData,MATCH($B444,PlotNumber,0),MATCH(D$3,PlotTitles,0))</f>
        <v>0</v>
      </c>
      <c r="E444" s="132">
        <f t="shared" si="173"/>
        <v>0</v>
      </c>
      <c r="F444" s="132">
        <f t="shared" si="155"/>
        <v>0</v>
      </c>
      <c r="G444" s="132" t="str">
        <f t="shared" si="173"/>
        <v>Open market housing</v>
      </c>
      <c r="H444" s="132">
        <f t="shared" si="156"/>
        <v>896440000</v>
      </c>
      <c r="I444" s="132" t="str">
        <f t="shared" si="167"/>
        <v>New build</v>
      </c>
      <c r="J444" s="132">
        <f t="shared" si="157"/>
        <v>391930000</v>
      </c>
      <c r="K444" s="132">
        <f t="shared" si="168"/>
        <v>0</v>
      </c>
      <c r="L444" s="132">
        <f t="shared" si="158"/>
        <v>0</v>
      </c>
      <c r="M444" s="132">
        <f t="shared" ref="M444:M463" si="174">INDEX(PlotData,MATCH($B444,PlotNumber,0),MATCH(M$3,PlotTitles,0))</f>
        <v>0</v>
      </c>
      <c r="N444" s="134">
        <f t="shared" si="159"/>
        <v>0</v>
      </c>
      <c r="O444" s="135">
        <f t="shared" si="160"/>
        <v>0</v>
      </c>
      <c r="P444" s="132" t="str">
        <f t="shared" si="170"/>
        <v/>
      </c>
      <c r="Q444" s="132" t="str">
        <f t="shared" si="162"/>
        <v/>
      </c>
      <c r="R444" s="132" t="str">
        <f>IF(ISNUMBER(SEARCH("AHO",Import2[[#This Row],[Tenure]])),"AHO",Import2[[#This Row],[Tenure]])&amp;Import2[[#This Row],[Expected Physical Completion Year]]&amp;Import2[[#This Row],[Expected Physical Completion Month]]</f>
        <v>Open market housing</v>
      </c>
      <c r="S444" s="135">
        <f t="shared" si="161"/>
        <v>0</v>
      </c>
      <c r="T444" s="132" t="str">
        <f t="shared" ref="T444:U463" si="175">IF(INDEX(PlotData,MATCH($B444,PlotNumber,0),MATCH(T$3,PlotTitles,0))=0,"",INDEX(PlotData,MATCH($B444,PlotNumber,0),MATCH(T$3,PlotTitles,0)))</f>
        <v/>
      </c>
      <c r="U444" s="132" t="str">
        <f t="shared" si="175"/>
        <v/>
      </c>
      <c r="V444" s="132" t="str">
        <f>IF(ISNUMBER(SEARCH("AHO",Import2[[#This Row],[Tenure]])),"AHO",Import2[[#This Row],[Tenure]])&amp;Import2[[#This Row],[Expected sale completion year]]&amp;Import2[[#This Row],[Expected sale completion month]]</f>
        <v>Open market housing</v>
      </c>
      <c r="W444" s="178">
        <f t="shared" si="172"/>
        <v>0</v>
      </c>
    </row>
    <row r="445" spans="1:23" ht="15" customHeight="1">
      <c r="A445" s="132">
        <f t="shared" si="153"/>
        <v>0</v>
      </c>
      <c r="B445" s="133">
        <v>442</v>
      </c>
      <c r="C445" s="132" t="str">
        <f t="shared" si="154"/>
        <v/>
      </c>
      <c r="D445" s="132">
        <f t="shared" si="173"/>
        <v>0</v>
      </c>
      <c r="E445" s="132">
        <f t="shared" si="173"/>
        <v>0</v>
      </c>
      <c r="F445" s="132">
        <f t="shared" si="155"/>
        <v>0</v>
      </c>
      <c r="G445" s="132" t="str">
        <f t="shared" si="173"/>
        <v>Open market housing</v>
      </c>
      <c r="H445" s="132">
        <f t="shared" si="156"/>
        <v>896440000</v>
      </c>
      <c r="I445" s="132" t="str">
        <f t="shared" si="167"/>
        <v>New build</v>
      </c>
      <c r="J445" s="132">
        <f t="shared" si="157"/>
        <v>391930000</v>
      </c>
      <c r="K445" s="132">
        <f t="shared" si="168"/>
        <v>0</v>
      </c>
      <c r="L445" s="132">
        <f t="shared" si="158"/>
        <v>0</v>
      </c>
      <c r="M445" s="132">
        <f t="shared" si="174"/>
        <v>0</v>
      </c>
      <c r="N445" s="134">
        <f t="shared" si="159"/>
        <v>0</v>
      </c>
      <c r="O445" s="135">
        <f t="shared" si="160"/>
        <v>0</v>
      </c>
      <c r="P445" s="132" t="str">
        <f t="shared" si="170"/>
        <v/>
      </c>
      <c r="Q445" s="132" t="str">
        <f t="shared" si="162"/>
        <v/>
      </c>
      <c r="R445" s="132" t="str">
        <f>IF(ISNUMBER(SEARCH("AHO",Import2[[#This Row],[Tenure]])),"AHO",Import2[[#This Row],[Tenure]])&amp;Import2[[#This Row],[Expected Physical Completion Year]]&amp;Import2[[#This Row],[Expected Physical Completion Month]]</f>
        <v>Open market housing</v>
      </c>
      <c r="S445" s="135">
        <f t="shared" si="161"/>
        <v>0</v>
      </c>
      <c r="T445" s="132" t="str">
        <f t="shared" si="175"/>
        <v/>
      </c>
      <c r="U445" s="132" t="str">
        <f t="shared" si="175"/>
        <v/>
      </c>
      <c r="V445" s="132" t="str">
        <f>IF(ISNUMBER(SEARCH("AHO",Import2[[#This Row],[Tenure]])),"AHO",Import2[[#This Row],[Tenure]])&amp;Import2[[#This Row],[Expected sale completion year]]&amp;Import2[[#This Row],[Expected sale completion month]]</f>
        <v>Open market housing</v>
      </c>
      <c r="W445" s="178">
        <f t="shared" si="172"/>
        <v>0</v>
      </c>
    </row>
    <row r="446" spans="1:23" ht="15" customHeight="1">
      <c r="A446" s="132">
        <f t="shared" si="153"/>
        <v>0</v>
      </c>
      <c r="B446" s="133">
        <v>443</v>
      </c>
      <c r="C446" s="132" t="str">
        <f t="shared" si="154"/>
        <v/>
      </c>
      <c r="D446" s="132">
        <f t="shared" si="173"/>
        <v>0</v>
      </c>
      <c r="E446" s="132">
        <f t="shared" si="173"/>
        <v>0</v>
      </c>
      <c r="F446" s="132">
        <f t="shared" si="155"/>
        <v>0</v>
      </c>
      <c r="G446" s="132" t="str">
        <f t="shared" si="173"/>
        <v>Open market housing</v>
      </c>
      <c r="H446" s="132">
        <f t="shared" si="156"/>
        <v>896440000</v>
      </c>
      <c r="I446" s="132" t="str">
        <f t="shared" si="167"/>
        <v>New build</v>
      </c>
      <c r="J446" s="132">
        <f t="shared" si="157"/>
        <v>391930000</v>
      </c>
      <c r="K446" s="132">
        <f t="shared" si="168"/>
        <v>0</v>
      </c>
      <c r="L446" s="132">
        <f t="shared" si="158"/>
        <v>0</v>
      </c>
      <c r="M446" s="132">
        <f t="shared" si="174"/>
        <v>0</v>
      </c>
      <c r="N446" s="134">
        <f t="shared" si="159"/>
        <v>0</v>
      </c>
      <c r="O446" s="135">
        <f t="shared" si="160"/>
        <v>0</v>
      </c>
      <c r="P446" s="132" t="str">
        <f t="shared" si="170"/>
        <v/>
      </c>
      <c r="Q446" s="132" t="str">
        <f t="shared" si="162"/>
        <v/>
      </c>
      <c r="R446" s="132" t="str">
        <f>IF(ISNUMBER(SEARCH("AHO",Import2[[#This Row],[Tenure]])),"AHO",Import2[[#This Row],[Tenure]])&amp;Import2[[#This Row],[Expected Physical Completion Year]]&amp;Import2[[#This Row],[Expected Physical Completion Month]]</f>
        <v>Open market housing</v>
      </c>
      <c r="S446" s="135">
        <f t="shared" si="161"/>
        <v>0</v>
      </c>
      <c r="T446" s="132" t="str">
        <f t="shared" si="175"/>
        <v/>
      </c>
      <c r="U446" s="132" t="str">
        <f t="shared" si="175"/>
        <v/>
      </c>
      <c r="V446" s="132" t="str">
        <f>IF(ISNUMBER(SEARCH("AHO",Import2[[#This Row],[Tenure]])),"AHO",Import2[[#This Row],[Tenure]])&amp;Import2[[#This Row],[Expected sale completion year]]&amp;Import2[[#This Row],[Expected sale completion month]]</f>
        <v>Open market housing</v>
      </c>
      <c r="W446" s="178">
        <f t="shared" si="172"/>
        <v>0</v>
      </c>
    </row>
    <row r="447" spans="1:23" ht="15" customHeight="1">
      <c r="A447" s="132">
        <f t="shared" si="153"/>
        <v>0</v>
      </c>
      <c r="B447" s="133">
        <v>444</v>
      </c>
      <c r="C447" s="132" t="str">
        <f t="shared" si="154"/>
        <v/>
      </c>
      <c r="D447" s="132">
        <f t="shared" si="173"/>
        <v>0</v>
      </c>
      <c r="E447" s="132">
        <f t="shared" si="173"/>
        <v>0</v>
      </c>
      <c r="F447" s="132">
        <f t="shared" si="155"/>
        <v>0</v>
      </c>
      <c r="G447" s="132" t="str">
        <f t="shared" si="173"/>
        <v>Open market housing</v>
      </c>
      <c r="H447" s="132">
        <f t="shared" si="156"/>
        <v>896440000</v>
      </c>
      <c r="I447" s="132" t="str">
        <f t="shared" si="167"/>
        <v>New build</v>
      </c>
      <c r="J447" s="132">
        <f t="shared" si="157"/>
        <v>391930000</v>
      </c>
      <c r="K447" s="132">
        <f t="shared" si="168"/>
        <v>0</v>
      </c>
      <c r="L447" s="132">
        <f t="shared" si="158"/>
        <v>0</v>
      </c>
      <c r="M447" s="132">
        <f t="shared" si="174"/>
        <v>0</v>
      </c>
      <c r="N447" s="134">
        <f t="shared" si="159"/>
        <v>0</v>
      </c>
      <c r="O447" s="135">
        <f t="shared" si="160"/>
        <v>0</v>
      </c>
      <c r="P447" s="132" t="str">
        <f t="shared" si="170"/>
        <v/>
      </c>
      <c r="Q447" s="132" t="str">
        <f t="shared" si="162"/>
        <v/>
      </c>
      <c r="R447" s="132" t="str">
        <f>IF(ISNUMBER(SEARCH("AHO",Import2[[#This Row],[Tenure]])),"AHO",Import2[[#This Row],[Tenure]])&amp;Import2[[#This Row],[Expected Physical Completion Year]]&amp;Import2[[#This Row],[Expected Physical Completion Month]]</f>
        <v>Open market housing</v>
      </c>
      <c r="S447" s="135">
        <f t="shared" si="161"/>
        <v>0</v>
      </c>
      <c r="T447" s="132" t="str">
        <f t="shared" si="175"/>
        <v/>
      </c>
      <c r="U447" s="132" t="str">
        <f t="shared" si="175"/>
        <v/>
      </c>
      <c r="V447" s="132" t="str">
        <f>IF(ISNUMBER(SEARCH("AHO",Import2[[#This Row],[Tenure]])),"AHO",Import2[[#This Row],[Tenure]])&amp;Import2[[#This Row],[Expected sale completion year]]&amp;Import2[[#This Row],[Expected sale completion month]]</f>
        <v>Open market housing</v>
      </c>
      <c r="W447" s="178">
        <f t="shared" si="172"/>
        <v>0</v>
      </c>
    </row>
    <row r="448" spans="1:23" ht="15" customHeight="1">
      <c r="A448" s="132">
        <f t="shared" si="153"/>
        <v>0</v>
      </c>
      <c r="B448" s="133">
        <v>445</v>
      </c>
      <c r="C448" s="132" t="str">
        <f t="shared" si="154"/>
        <v/>
      </c>
      <c r="D448" s="132">
        <f t="shared" si="173"/>
        <v>0</v>
      </c>
      <c r="E448" s="132">
        <f t="shared" si="173"/>
        <v>0</v>
      </c>
      <c r="F448" s="132">
        <f t="shared" si="155"/>
        <v>0</v>
      </c>
      <c r="G448" s="132" t="str">
        <f t="shared" si="173"/>
        <v>Open market housing</v>
      </c>
      <c r="H448" s="132">
        <f t="shared" si="156"/>
        <v>896440000</v>
      </c>
      <c r="I448" s="132" t="str">
        <f t="shared" si="167"/>
        <v>New build</v>
      </c>
      <c r="J448" s="132">
        <f t="shared" si="157"/>
        <v>391930000</v>
      </c>
      <c r="K448" s="132">
        <f t="shared" si="168"/>
        <v>0</v>
      </c>
      <c r="L448" s="132">
        <f t="shared" si="158"/>
        <v>0</v>
      </c>
      <c r="M448" s="132">
        <f t="shared" si="174"/>
        <v>0</v>
      </c>
      <c r="N448" s="134">
        <f t="shared" si="159"/>
        <v>0</v>
      </c>
      <c r="O448" s="135">
        <f t="shared" si="160"/>
        <v>0</v>
      </c>
      <c r="P448" s="132" t="str">
        <f t="shared" si="170"/>
        <v/>
      </c>
      <c r="Q448" s="132" t="str">
        <f t="shared" si="162"/>
        <v/>
      </c>
      <c r="R448" s="132" t="str">
        <f>IF(ISNUMBER(SEARCH("AHO",Import2[[#This Row],[Tenure]])),"AHO",Import2[[#This Row],[Tenure]])&amp;Import2[[#This Row],[Expected Physical Completion Year]]&amp;Import2[[#This Row],[Expected Physical Completion Month]]</f>
        <v>Open market housing</v>
      </c>
      <c r="S448" s="135">
        <f t="shared" si="161"/>
        <v>0</v>
      </c>
      <c r="T448" s="132" t="str">
        <f t="shared" si="175"/>
        <v/>
      </c>
      <c r="U448" s="132" t="str">
        <f t="shared" si="175"/>
        <v/>
      </c>
      <c r="V448" s="132" t="str">
        <f>IF(ISNUMBER(SEARCH("AHO",Import2[[#This Row],[Tenure]])),"AHO",Import2[[#This Row],[Tenure]])&amp;Import2[[#This Row],[Expected sale completion year]]&amp;Import2[[#This Row],[Expected sale completion month]]</f>
        <v>Open market housing</v>
      </c>
      <c r="W448" s="178">
        <f t="shared" si="172"/>
        <v>0</v>
      </c>
    </row>
    <row r="449" spans="1:23" ht="15" customHeight="1">
      <c r="A449" s="132">
        <f t="shared" si="153"/>
        <v>0</v>
      </c>
      <c r="B449" s="133">
        <v>446</v>
      </c>
      <c r="C449" s="132" t="str">
        <f t="shared" si="154"/>
        <v/>
      </c>
      <c r="D449" s="132">
        <f t="shared" si="173"/>
        <v>0</v>
      </c>
      <c r="E449" s="132">
        <f t="shared" si="173"/>
        <v>0</v>
      </c>
      <c r="F449" s="132">
        <f t="shared" si="155"/>
        <v>0</v>
      </c>
      <c r="G449" s="132" t="str">
        <f t="shared" si="173"/>
        <v>Open market housing</v>
      </c>
      <c r="H449" s="132">
        <f t="shared" si="156"/>
        <v>896440000</v>
      </c>
      <c r="I449" s="132" t="str">
        <f t="shared" si="167"/>
        <v>New build</v>
      </c>
      <c r="J449" s="132">
        <f t="shared" si="157"/>
        <v>391930000</v>
      </c>
      <c r="K449" s="132">
        <f t="shared" si="168"/>
        <v>0</v>
      </c>
      <c r="L449" s="132">
        <f t="shared" si="158"/>
        <v>0</v>
      </c>
      <c r="M449" s="132">
        <f t="shared" si="174"/>
        <v>0</v>
      </c>
      <c r="N449" s="134">
        <f t="shared" si="159"/>
        <v>0</v>
      </c>
      <c r="O449" s="135">
        <f t="shared" si="160"/>
        <v>0</v>
      </c>
      <c r="P449" s="132" t="str">
        <f t="shared" si="170"/>
        <v/>
      </c>
      <c r="Q449" s="132" t="str">
        <f t="shared" si="162"/>
        <v/>
      </c>
      <c r="R449" s="132" t="str">
        <f>IF(ISNUMBER(SEARCH("AHO",Import2[[#This Row],[Tenure]])),"AHO",Import2[[#This Row],[Tenure]])&amp;Import2[[#This Row],[Expected Physical Completion Year]]&amp;Import2[[#This Row],[Expected Physical Completion Month]]</f>
        <v>Open market housing</v>
      </c>
      <c r="S449" s="135">
        <f t="shared" si="161"/>
        <v>0</v>
      </c>
      <c r="T449" s="132" t="str">
        <f t="shared" si="175"/>
        <v/>
      </c>
      <c r="U449" s="132" t="str">
        <f t="shared" si="175"/>
        <v/>
      </c>
      <c r="V449" s="132" t="str">
        <f>IF(ISNUMBER(SEARCH("AHO",Import2[[#This Row],[Tenure]])),"AHO",Import2[[#This Row],[Tenure]])&amp;Import2[[#This Row],[Expected sale completion year]]&amp;Import2[[#This Row],[Expected sale completion month]]</f>
        <v>Open market housing</v>
      </c>
      <c r="W449" s="178">
        <f t="shared" si="172"/>
        <v>0</v>
      </c>
    </row>
    <row r="450" spans="1:23" ht="15" customHeight="1">
      <c r="A450" s="132">
        <f t="shared" si="153"/>
        <v>0</v>
      </c>
      <c r="B450" s="133">
        <v>447</v>
      </c>
      <c r="C450" s="132" t="str">
        <f t="shared" si="154"/>
        <v/>
      </c>
      <c r="D450" s="132">
        <f t="shared" si="173"/>
        <v>0</v>
      </c>
      <c r="E450" s="132">
        <f t="shared" si="173"/>
        <v>0</v>
      </c>
      <c r="F450" s="132">
        <f t="shared" si="155"/>
        <v>0</v>
      </c>
      <c r="G450" s="132" t="str">
        <f t="shared" si="173"/>
        <v>Open market housing</v>
      </c>
      <c r="H450" s="132">
        <f t="shared" si="156"/>
        <v>896440000</v>
      </c>
      <c r="I450" s="132" t="str">
        <f t="shared" si="167"/>
        <v>New build</v>
      </c>
      <c r="J450" s="132">
        <f t="shared" si="157"/>
        <v>391930000</v>
      </c>
      <c r="K450" s="132">
        <f t="shared" si="168"/>
        <v>0</v>
      </c>
      <c r="L450" s="132">
        <f t="shared" si="158"/>
        <v>0</v>
      </c>
      <c r="M450" s="132">
        <f t="shared" si="174"/>
        <v>0</v>
      </c>
      <c r="N450" s="134">
        <f t="shared" si="159"/>
        <v>0</v>
      </c>
      <c r="O450" s="135">
        <f t="shared" si="160"/>
        <v>0</v>
      </c>
      <c r="P450" s="132" t="str">
        <f t="shared" si="170"/>
        <v/>
      </c>
      <c r="Q450" s="132" t="str">
        <f t="shared" si="162"/>
        <v/>
      </c>
      <c r="R450" s="132" t="str">
        <f>IF(ISNUMBER(SEARCH("AHO",Import2[[#This Row],[Tenure]])),"AHO",Import2[[#This Row],[Tenure]])&amp;Import2[[#This Row],[Expected Physical Completion Year]]&amp;Import2[[#This Row],[Expected Physical Completion Month]]</f>
        <v>Open market housing</v>
      </c>
      <c r="S450" s="135">
        <f t="shared" si="161"/>
        <v>0</v>
      </c>
      <c r="T450" s="132" t="str">
        <f t="shared" si="175"/>
        <v/>
      </c>
      <c r="U450" s="132" t="str">
        <f t="shared" si="175"/>
        <v/>
      </c>
      <c r="V450" s="132" t="str">
        <f>IF(ISNUMBER(SEARCH("AHO",Import2[[#This Row],[Tenure]])),"AHO",Import2[[#This Row],[Tenure]])&amp;Import2[[#This Row],[Expected sale completion year]]&amp;Import2[[#This Row],[Expected sale completion month]]</f>
        <v>Open market housing</v>
      </c>
      <c r="W450" s="178">
        <f t="shared" si="172"/>
        <v>0</v>
      </c>
    </row>
    <row r="451" spans="1:23" ht="15" customHeight="1">
      <c r="A451" s="132">
        <f t="shared" si="153"/>
        <v>0</v>
      </c>
      <c r="B451" s="133">
        <v>448</v>
      </c>
      <c r="C451" s="132" t="str">
        <f t="shared" si="154"/>
        <v/>
      </c>
      <c r="D451" s="132">
        <f t="shared" si="173"/>
        <v>0</v>
      </c>
      <c r="E451" s="132">
        <f t="shared" si="173"/>
        <v>0</v>
      </c>
      <c r="F451" s="132">
        <f t="shared" si="155"/>
        <v>0</v>
      </c>
      <c r="G451" s="132" t="str">
        <f t="shared" si="173"/>
        <v>Open market housing</v>
      </c>
      <c r="H451" s="132">
        <f t="shared" si="156"/>
        <v>896440000</v>
      </c>
      <c r="I451" s="132" t="str">
        <f t="shared" si="167"/>
        <v>New build</v>
      </c>
      <c r="J451" s="132">
        <f t="shared" si="157"/>
        <v>391930000</v>
      </c>
      <c r="K451" s="132">
        <f t="shared" si="168"/>
        <v>0</v>
      </c>
      <c r="L451" s="132">
        <f t="shared" si="158"/>
        <v>0</v>
      </c>
      <c r="M451" s="132">
        <f t="shared" si="174"/>
        <v>0</v>
      </c>
      <c r="N451" s="134">
        <f t="shared" si="159"/>
        <v>0</v>
      </c>
      <c r="O451" s="135">
        <f t="shared" si="160"/>
        <v>0</v>
      </c>
      <c r="P451" s="132" t="str">
        <f t="shared" si="170"/>
        <v/>
      </c>
      <c r="Q451" s="132" t="str">
        <f t="shared" si="162"/>
        <v/>
      </c>
      <c r="R451" s="132" t="str">
        <f>IF(ISNUMBER(SEARCH("AHO",Import2[[#This Row],[Tenure]])),"AHO",Import2[[#This Row],[Tenure]])&amp;Import2[[#This Row],[Expected Physical Completion Year]]&amp;Import2[[#This Row],[Expected Physical Completion Month]]</f>
        <v>Open market housing</v>
      </c>
      <c r="S451" s="135">
        <f t="shared" si="161"/>
        <v>0</v>
      </c>
      <c r="T451" s="132" t="str">
        <f t="shared" si="175"/>
        <v/>
      </c>
      <c r="U451" s="132" t="str">
        <f t="shared" si="175"/>
        <v/>
      </c>
      <c r="V451" s="132" t="str">
        <f>IF(ISNUMBER(SEARCH("AHO",Import2[[#This Row],[Tenure]])),"AHO",Import2[[#This Row],[Tenure]])&amp;Import2[[#This Row],[Expected sale completion year]]&amp;Import2[[#This Row],[Expected sale completion month]]</f>
        <v>Open market housing</v>
      </c>
      <c r="W451" s="178">
        <f t="shared" si="172"/>
        <v>0</v>
      </c>
    </row>
    <row r="452" spans="1:23" ht="15" customHeight="1">
      <c r="A452" s="132">
        <f t="shared" ref="A452:A515" si="176">IF((SUM($C452:$W452)-$H452-$J452)=0,0,1)</f>
        <v>0</v>
      </c>
      <c r="B452" s="133">
        <v>449</v>
      </c>
      <c r="C452" s="132" t="str">
        <f t="shared" ref="C452:C515" si="177">IF(INDEX(PlotData,MATCH($B452,PlotNumber,0),MATCH(C$3,PlotTitles,0))=0,"",INDEX(PlotData,MATCH($B452,PlotNumber,0),MATCH(C$3,PlotTitles,0)))</f>
        <v/>
      </c>
      <c r="D452" s="132">
        <f t="shared" si="173"/>
        <v>0</v>
      </c>
      <c r="E452" s="132">
        <f t="shared" si="173"/>
        <v>0</v>
      </c>
      <c r="F452" s="132">
        <f t="shared" ref="F452:F515" si="178">_xlfn.IFNA(INDEX(PropertyTypeRef,MATCH(E452,PropertyType,0),2),0)</f>
        <v>0</v>
      </c>
      <c r="G452" s="132" t="str">
        <f t="shared" si="173"/>
        <v>Open market housing</v>
      </c>
      <c r="H452" s="132">
        <f t="shared" ref="H452:H515" si="179">_xlfn.IFNA(INDEX(TenureRef,MATCH(G452,PlotCategory,0),2),0)</f>
        <v>896440000</v>
      </c>
      <c r="I452" s="132" t="str">
        <f t="shared" si="167"/>
        <v>New build</v>
      </c>
      <c r="J452" s="132">
        <f t="shared" ref="J452:J515" si="180">_xlfn.IFNA(INDEX(TenureDetailRef,MATCH(I452,TenureDetail,0),2),0)</f>
        <v>391930000</v>
      </c>
      <c r="K452" s="132">
        <f t="shared" si="168"/>
        <v>0</v>
      </c>
      <c r="L452" s="132">
        <f t="shared" ref="L452:L515" si="181">_xlfn.IFNA(INDEX(BuildTypeRef,MATCH(K452,BuildType,0),2),0)</f>
        <v>0</v>
      </c>
      <c r="M452" s="132">
        <f t="shared" si="174"/>
        <v>0</v>
      </c>
      <c r="N452" s="134">
        <f t="shared" ref="N452:N515" si="182">IF($M452=0,0,$M452*0.09290304)</f>
        <v>0</v>
      </c>
      <c r="O452" s="135">
        <f t="shared" ref="O452:O515" si="183">IF(OR($P452="",$Q452=""),0,(DATEVALUE($P452&amp;$Q452)))</f>
        <v>0</v>
      </c>
      <c r="P452" s="132" t="str">
        <f t="shared" si="170"/>
        <v/>
      </c>
      <c r="Q452" s="132" t="str">
        <f t="shared" si="162"/>
        <v/>
      </c>
      <c r="R452" s="132" t="str">
        <f>IF(ISNUMBER(SEARCH("AHO",Import2[[#This Row],[Tenure]])),"AHO",Import2[[#This Row],[Tenure]])&amp;Import2[[#This Row],[Expected Physical Completion Year]]&amp;Import2[[#This Row],[Expected Physical Completion Month]]</f>
        <v>Open market housing</v>
      </c>
      <c r="S452" s="135">
        <f t="shared" ref="S452:S515" si="184">IF(OR($T452="",$U452=""),0,(DATEVALUE($T452&amp;$U452)))</f>
        <v>0</v>
      </c>
      <c r="T452" s="132" t="str">
        <f t="shared" si="175"/>
        <v/>
      </c>
      <c r="U452" s="132" t="str">
        <f t="shared" si="175"/>
        <v/>
      </c>
      <c r="V452" s="132" t="str">
        <f>IF(ISNUMBER(SEARCH("AHO",Import2[[#This Row],[Tenure]])),"AHO",Import2[[#This Row],[Tenure]])&amp;Import2[[#This Row],[Expected sale completion year]]&amp;Import2[[#This Row],[Expected sale completion month]]</f>
        <v>Open market housing</v>
      </c>
      <c r="W452" s="178">
        <f t="shared" si="172"/>
        <v>0</v>
      </c>
    </row>
    <row r="453" spans="1:23" ht="15" customHeight="1">
      <c r="A453" s="132">
        <f t="shared" si="176"/>
        <v>0</v>
      </c>
      <c r="B453" s="133">
        <v>450</v>
      </c>
      <c r="C453" s="132" t="str">
        <f t="shared" si="177"/>
        <v/>
      </c>
      <c r="D453" s="132">
        <f t="shared" si="173"/>
        <v>0</v>
      </c>
      <c r="E453" s="132">
        <f t="shared" si="173"/>
        <v>0</v>
      </c>
      <c r="F453" s="132">
        <f t="shared" si="178"/>
        <v>0</v>
      </c>
      <c r="G453" s="132" t="str">
        <f t="shared" si="173"/>
        <v>Open market housing</v>
      </c>
      <c r="H453" s="132">
        <f t="shared" si="179"/>
        <v>896440000</v>
      </c>
      <c r="I453" s="132" t="str">
        <f t="shared" si="167"/>
        <v>New build</v>
      </c>
      <c r="J453" s="132">
        <f t="shared" si="180"/>
        <v>391930000</v>
      </c>
      <c r="K453" s="132">
        <f t="shared" si="168"/>
        <v>0</v>
      </c>
      <c r="L453" s="132">
        <f t="shared" si="181"/>
        <v>0</v>
      </c>
      <c r="M453" s="132">
        <f t="shared" si="174"/>
        <v>0</v>
      </c>
      <c r="N453" s="134">
        <f t="shared" si="182"/>
        <v>0</v>
      </c>
      <c r="O453" s="135">
        <f t="shared" si="183"/>
        <v>0</v>
      </c>
      <c r="P453" s="132" t="str">
        <f t="shared" si="170"/>
        <v/>
      </c>
      <c r="Q453" s="132" t="str">
        <f t="shared" si="162"/>
        <v/>
      </c>
      <c r="R453" s="132" t="str">
        <f>IF(ISNUMBER(SEARCH("AHO",Import2[[#This Row],[Tenure]])),"AHO",Import2[[#This Row],[Tenure]])&amp;Import2[[#This Row],[Expected Physical Completion Year]]&amp;Import2[[#This Row],[Expected Physical Completion Month]]</f>
        <v>Open market housing</v>
      </c>
      <c r="S453" s="135">
        <f t="shared" si="184"/>
        <v>0</v>
      </c>
      <c r="T453" s="132" t="str">
        <f t="shared" si="175"/>
        <v/>
      </c>
      <c r="U453" s="132" t="str">
        <f t="shared" si="175"/>
        <v/>
      </c>
      <c r="V453" s="132" t="str">
        <f>IF(ISNUMBER(SEARCH("AHO",Import2[[#This Row],[Tenure]])),"AHO",Import2[[#This Row],[Tenure]])&amp;Import2[[#This Row],[Expected sale completion year]]&amp;Import2[[#This Row],[Expected sale completion month]]</f>
        <v>Open market housing</v>
      </c>
      <c r="W453" s="178">
        <f t="shared" si="172"/>
        <v>0</v>
      </c>
    </row>
    <row r="454" spans="1:23" ht="15" customHeight="1">
      <c r="A454" s="132">
        <f t="shared" si="176"/>
        <v>0</v>
      </c>
      <c r="B454" s="133">
        <v>451</v>
      </c>
      <c r="C454" s="132" t="str">
        <f t="shared" si="177"/>
        <v/>
      </c>
      <c r="D454" s="132">
        <f t="shared" si="173"/>
        <v>0</v>
      </c>
      <c r="E454" s="132">
        <f t="shared" si="173"/>
        <v>0</v>
      </c>
      <c r="F454" s="132">
        <f t="shared" si="178"/>
        <v>0</v>
      </c>
      <c r="G454" s="132" t="str">
        <f t="shared" si="173"/>
        <v>Open market housing</v>
      </c>
      <c r="H454" s="132">
        <f t="shared" si="179"/>
        <v>896440000</v>
      </c>
      <c r="I454" s="132" t="str">
        <f t="shared" si="167"/>
        <v>New build</v>
      </c>
      <c r="J454" s="132">
        <f t="shared" si="180"/>
        <v>391930000</v>
      </c>
      <c r="K454" s="132">
        <f t="shared" si="168"/>
        <v>0</v>
      </c>
      <c r="L454" s="132">
        <f t="shared" si="181"/>
        <v>0</v>
      </c>
      <c r="M454" s="132">
        <f t="shared" si="174"/>
        <v>0</v>
      </c>
      <c r="N454" s="134">
        <f t="shared" si="182"/>
        <v>0</v>
      </c>
      <c r="O454" s="135">
        <f t="shared" si="183"/>
        <v>0</v>
      </c>
      <c r="P454" s="132" t="str">
        <f t="shared" si="170"/>
        <v/>
      </c>
      <c r="Q454" s="132" t="str">
        <f t="shared" ref="Q454:Q517" si="185">IF(INDEX(PlotData,MATCH($B454,PlotNumber,0),MATCH(Q$3,PlotTitles,0))=0,"",INDEX(PlotData,MATCH($B454,PlotNumber,0),MATCH(Q$3,PlotTitles,0)))</f>
        <v/>
      </c>
      <c r="R454" s="132" t="str">
        <f>IF(ISNUMBER(SEARCH("AHO",Import2[[#This Row],[Tenure]])),"AHO",Import2[[#This Row],[Tenure]])&amp;Import2[[#This Row],[Expected Physical Completion Year]]&amp;Import2[[#This Row],[Expected Physical Completion Month]]</f>
        <v>Open market housing</v>
      </c>
      <c r="S454" s="135">
        <f t="shared" si="184"/>
        <v>0</v>
      </c>
      <c r="T454" s="132" t="str">
        <f t="shared" si="175"/>
        <v/>
      </c>
      <c r="U454" s="132" t="str">
        <f t="shared" si="175"/>
        <v/>
      </c>
      <c r="V454" s="132" t="str">
        <f>IF(ISNUMBER(SEARCH("AHO",Import2[[#This Row],[Tenure]])),"AHO",Import2[[#This Row],[Tenure]])&amp;Import2[[#This Row],[Expected sale completion year]]&amp;Import2[[#This Row],[Expected sale completion month]]</f>
        <v>Open market housing</v>
      </c>
      <c r="W454" s="178">
        <f t="shared" si="172"/>
        <v>0</v>
      </c>
    </row>
    <row r="455" spans="1:23" ht="15" customHeight="1">
      <c r="A455" s="132">
        <f t="shared" si="176"/>
        <v>0</v>
      </c>
      <c r="B455" s="133">
        <v>452</v>
      </c>
      <c r="C455" s="132" t="str">
        <f t="shared" si="177"/>
        <v/>
      </c>
      <c r="D455" s="132">
        <f t="shared" si="173"/>
        <v>0</v>
      </c>
      <c r="E455" s="132">
        <f t="shared" si="173"/>
        <v>0</v>
      </c>
      <c r="F455" s="132">
        <f t="shared" si="178"/>
        <v>0</v>
      </c>
      <c r="G455" s="132" t="str">
        <f t="shared" si="173"/>
        <v>Open market housing</v>
      </c>
      <c r="H455" s="132">
        <f t="shared" si="179"/>
        <v>896440000</v>
      </c>
      <c r="I455" s="132" t="str">
        <f t="shared" si="167"/>
        <v>New build</v>
      </c>
      <c r="J455" s="132">
        <f t="shared" si="180"/>
        <v>391930000</v>
      </c>
      <c r="K455" s="132">
        <f t="shared" si="168"/>
        <v>0</v>
      </c>
      <c r="L455" s="132">
        <f t="shared" si="181"/>
        <v>0</v>
      </c>
      <c r="M455" s="132">
        <f t="shared" si="174"/>
        <v>0</v>
      </c>
      <c r="N455" s="134">
        <f t="shared" si="182"/>
        <v>0</v>
      </c>
      <c r="O455" s="135">
        <f t="shared" si="183"/>
        <v>0</v>
      </c>
      <c r="P455" s="132" t="str">
        <f t="shared" si="170"/>
        <v/>
      </c>
      <c r="Q455" s="132" t="str">
        <f t="shared" si="185"/>
        <v/>
      </c>
      <c r="R455" s="132" t="str">
        <f>IF(ISNUMBER(SEARCH("AHO",Import2[[#This Row],[Tenure]])),"AHO",Import2[[#This Row],[Tenure]])&amp;Import2[[#This Row],[Expected Physical Completion Year]]&amp;Import2[[#This Row],[Expected Physical Completion Month]]</f>
        <v>Open market housing</v>
      </c>
      <c r="S455" s="135">
        <f t="shared" si="184"/>
        <v>0</v>
      </c>
      <c r="T455" s="132" t="str">
        <f t="shared" si="175"/>
        <v/>
      </c>
      <c r="U455" s="132" t="str">
        <f t="shared" si="175"/>
        <v/>
      </c>
      <c r="V455" s="132" t="str">
        <f>IF(ISNUMBER(SEARCH("AHO",Import2[[#This Row],[Tenure]])),"AHO",Import2[[#This Row],[Tenure]])&amp;Import2[[#This Row],[Expected sale completion year]]&amp;Import2[[#This Row],[Expected sale completion month]]</f>
        <v>Open market housing</v>
      </c>
      <c r="W455" s="178">
        <f t="shared" si="172"/>
        <v>0</v>
      </c>
    </row>
    <row r="456" spans="1:23" ht="15" customHeight="1">
      <c r="A456" s="132">
        <f t="shared" si="176"/>
        <v>0</v>
      </c>
      <c r="B456" s="133">
        <v>453</v>
      </c>
      <c r="C456" s="132" t="str">
        <f t="shared" si="177"/>
        <v/>
      </c>
      <c r="D456" s="132">
        <f t="shared" si="173"/>
        <v>0</v>
      </c>
      <c r="E456" s="132">
        <f t="shared" si="173"/>
        <v>0</v>
      </c>
      <c r="F456" s="132">
        <f t="shared" si="178"/>
        <v>0</v>
      </c>
      <c r="G456" s="132" t="str">
        <f t="shared" si="173"/>
        <v>Open market housing</v>
      </c>
      <c r="H456" s="132">
        <f t="shared" si="179"/>
        <v>896440000</v>
      </c>
      <c r="I456" s="132" t="str">
        <f t="shared" si="167"/>
        <v>New build</v>
      </c>
      <c r="J456" s="132">
        <f t="shared" si="180"/>
        <v>391930000</v>
      </c>
      <c r="K456" s="132">
        <f t="shared" si="168"/>
        <v>0</v>
      </c>
      <c r="L456" s="132">
        <f t="shared" si="181"/>
        <v>0</v>
      </c>
      <c r="M456" s="132">
        <f t="shared" si="174"/>
        <v>0</v>
      </c>
      <c r="N456" s="134">
        <f t="shared" si="182"/>
        <v>0</v>
      </c>
      <c r="O456" s="135">
        <f t="shared" si="183"/>
        <v>0</v>
      </c>
      <c r="P456" s="132" t="str">
        <f t="shared" si="170"/>
        <v/>
      </c>
      <c r="Q456" s="132" t="str">
        <f t="shared" si="185"/>
        <v/>
      </c>
      <c r="R456" s="132" t="str">
        <f>IF(ISNUMBER(SEARCH("AHO",Import2[[#This Row],[Tenure]])),"AHO",Import2[[#This Row],[Tenure]])&amp;Import2[[#This Row],[Expected Physical Completion Year]]&amp;Import2[[#This Row],[Expected Physical Completion Month]]</f>
        <v>Open market housing</v>
      </c>
      <c r="S456" s="135">
        <f t="shared" si="184"/>
        <v>0</v>
      </c>
      <c r="T456" s="132" t="str">
        <f t="shared" si="175"/>
        <v/>
      </c>
      <c r="U456" s="132" t="str">
        <f t="shared" si="175"/>
        <v/>
      </c>
      <c r="V456" s="132" t="str">
        <f>IF(ISNUMBER(SEARCH("AHO",Import2[[#This Row],[Tenure]])),"AHO",Import2[[#This Row],[Tenure]])&amp;Import2[[#This Row],[Expected sale completion year]]&amp;Import2[[#This Row],[Expected sale completion month]]</f>
        <v>Open market housing</v>
      </c>
      <c r="W456" s="178">
        <f t="shared" si="172"/>
        <v>0</v>
      </c>
    </row>
    <row r="457" spans="1:23" ht="15" customHeight="1">
      <c r="A457" s="132">
        <f t="shared" si="176"/>
        <v>0</v>
      </c>
      <c r="B457" s="133">
        <v>454</v>
      </c>
      <c r="C457" s="132" t="str">
        <f t="shared" si="177"/>
        <v/>
      </c>
      <c r="D457" s="132">
        <f t="shared" si="173"/>
        <v>0</v>
      </c>
      <c r="E457" s="132">
        <f t="shared" si="173"/>
        <v>0</v>
      </c>
      <c r="F457" s="132">
        <f t="shared" si="178"/>
        <v>0</v>
      </c>
      <c r="G457" s="132" t="str">
        <f t="shared" si="173"/>
        <v>Open market housing</v>
      </c>
      <c r="H457" s="132">
        <f t="shared" si="179"/>
        <v>896440000</v>
      </c>
      <c r="I457" s="132" t="str">
        <f t="shared" si="167"/>
        <v>New build</v>
      </c>
      <c r="J457" s="132">
        <f t="shared" si="180"/>
        <v>391930000</v>
      </c>
      <c r="K457" s="132">
        <f t="shared" si="168"/>
        <v>0</v>
      </c>
      <c r="L457" s="132">
        <f t="shared" si="181"/>
        <v>0</v>
      </c>
      <c r="M457" s="132">
        <f t="shared" si="174"/>
        <v>0</v>
      </c>
      <c r="N457" s="134">
        <f t="shared" si="182"/>
        <v>0</v>
      </c>
      <c r="O457" s="135">
        <f t="shared" si="183"/>
        <v>0</v>
      </c>
      <c r="P457" s="132" t="str">
        <f t="shared" si="170"/>
        <v/>
      </c>
      <c r="Q457" s="132" t="str">
        <f t="shared" si="185"/>
        <v/>
      </c>
      <c r="R457" s="132" t="str">
        <f>IF(ISNUMBER(SEARCH("AHO",Import2[[#This Row],[Tenure]])),"AHO",Import2[[#This Row],[Tenure]])&amp;Import2[[#This Row],[Expected Physical Completion Year]]&amp;Import2[[#This Row],[Expected Physical Completion Month]]</f>
        <v>Open market housing</v>
      </c>
      <c r="S457" s="135">
        <f t="shared" si="184"/>
        <v>0</v>
      </c>
      <c r="T457" s="132" t="str">
        <f t="shared" si="175"/>
        <v/>
      </c>
      <c r="U457" s="132" t="str">
        <f t="shared" si="175"/>
        <v/>
      </c>
      <c r="V457" s="132" t="str">
        <f>IF(ISNUMBER(SEARCH("AHO",Import2[[#This Row],[Tenure]])),"AHO",Import2[[#This Row],[Tenure]])&amp;Import2[[#This Row],[Expected sale completion year]]&amp;Import2[[#This Row],[Expected sale completion month]]</f>
        <v>Open market housing</v>
      </c>
      <c r="W457" s="178">
        <f t="shared" si="172"/>
        <v>0</v>
      </c>
    </row>
    <row r="458" spans="1:23" ht="15" customHeight="1">
      <c r="A458" s="132">
        <f t="shared" si="176"/>
        <v>0</v>
      </c>
      <c r="B458" s="133">
        <v>455</v>
      </c>
      <c r="C458" s="132" t="str">
        <f t="shared" si="177"/>
        <v/>
      </c>
      <c r="D458" s="132">
        <f t="shared" si="173"/>
        <v>0</v>
      </c>
      <c r="E458" s="132">
        <f t="shared" si="173"/>
        <v>0</v>
      </c>
      <c r="F458" s="132">
        <f t="shared" si="178"/>
        <v>0</v>
      </c>
      <c r="G458" s="132" t="str">
        <f t="shared" si="173"/>
        <v>Open market housing</v>
      </c>
      <c r="H458" s="132">
        <f t="shared" si="179"/>
        <v>896440000</v>
      </c>
      <c r="I458" s="132" t="str">
        <f t="shared" si="167"/>
        <v>New build</v>
      </c>
      <c r="J458" s="132">
        <f t="shared" si="180"/>
        <v>391930000</v>
      </c>
      <c r="K458" s="132">
        <f t="shared" si="168"/>
        <v>0</v>
      </c>
      <c r="L458" s="132">
        <f t="shared" si="181"/>
        <v>0</v>
      </c>
      <c r="M458" s="132">
        <f t="shared" si="174"/>
        <v>0</v>
      </c>
      <c r="N458" s="134">
        <f t="shared" si="182"/>
        <v>0</v>
      </c>
      <c r="O458" s="135">
        <f t="shared" si="183"/>
        <v>0</v>
      </c>
      <c r="P458" s="132" t="str">
        <f t="shared" si="170"/>
        <v/>
      </c>
      <c r="Q458" s="132" t="str">
        <f t="shared" si="185"/>
        <v/>
      </c>
      <c r="R458" s="132" t="str">
        <f>IF(ISNUMBER(SEARCH("AHO",Import2[[#This Row],[Tenure]])),"AHO",Import2[[#This Row],[Tenure]])&amp;Import2[[#This Row],[Expected Physical Completion Year]]&amp;Import2[[#This Row],[Expected Physical Completion Month]]</f>
        <v>Open market housing</v>
      </c>
      <c r="S458" s="135">
        <f t="shared" si="184"/>
        <v>0</v>
      </c>
      <c r="T458" s="132" t="str">
        <f t="shared" si="175"/>
        <v/>
      </c>
      <c r="U458" s="132" t="str">
        <f t="shared" si="175"/>
        <v/>
      </c>
      <c r="V458" s="132" t="str">
        <f>IF(ISNUMBER(SEARCH("AHO",Import2[[#This Row],[Tenure]])),"AHO",Import2[[#This Row],[Tenure]])&amp;Import2[[#This Row],[Expected sale completion year]]&amp;Import2[[#This Row],[Expected sale completion month]]</f>
        <v>Open market housing</v>
      </c>
      <c r="W458" s="178">
        <f t="shared" si="172"/>
        <v>0</v>
      </c>
    </row>
    <row r="459" spans="1:23" ht="15" customHeight="1">
      <c r="A459" s="132">
        <f t="shared" si="176"/>
        <v>0</v>
      </c>
      <c r="B459" s="133">
        <v>456</v>
      </c>
      <c r="C459" s="132" t="str">
        <f t="shared" si="177"/>
        <v/>
      </c>
      <c r="D459" s="132">
        <f t="shared" si="173"/>
        <v>0</v>
      </c>
      <c r="E459" s="132">
        <f t="shared" si="173"/>
        <v>0</v>
      </c>
      <c r="F459" s="132">
        <f t="shared" si="178"/>
        <v>0</v>
      </c>
      <c r="G459" s="132" t="str">
        <f t="shared" si="173"/>
        <v>Open market housing</v>
      </c>
      <c r="H459" s="132">
        <f t="shared" si="179"/>
        <v>896440000</v>
      </c>
      <c r="I459" s="132" t="str">
        <f t="shared" si="167"/>
        <v>New build</v>
      </c>
      <c r="J459" s="132">
        <f t="shared" si="180"/>
        <v>391930000</v>
      </c>
      <c r="K459" s="132">
        <f t="shared" si="168"/>
        <v>0</v>
      </c>
      <c r="L459" s="132">
        <f t="shared" si="181"/>
        <v>0</v>
      </c>
      <c r="M459" s="132">
        <f t="shared" si="174"/>
        <v>0</v>
      </c>
      <c r="N459" s="134">
        <f t="shared" si="182"/>
        <v>0</v>
      </c>
      <c r="O459" s="135">
        <f t="shared" si="183"/>
        <v>0</v>
      </c>
      <c r="P459" s="132" t="str">
        <f t="shared" si="170"/>
        <v/>
      </c>
      <c r="Q459" s="132" t="str">
        <f t="shared" si="185"/>
        <v/>
      </c>
      <c r="R459" s="132" t="str">
        <f>IF(ISNUMBER(SEARCH("AHO",Import2[[#This Row],[Tenure]])),"AHO",Import2[[#This Row],[Tenure]])&amp;Import2[[#This Row],[Expected Physical Completion Year]]&amp;Import2[[#This Row],[Expected Physical Completion Month]]</f>
        <v>Open market housing</v>
      </c>
      <c r="S459" s="135">
        <f t="shared" si="184"/>
        <v>0</v>
      </c>
      <c r="T459" s="132" t="str">
        <f t="shared" si="175"/>
        <v/>
      </c>
      <c r="U459" s="132" t="str">
        <f t="shared" si="175"/>
        <v/>
      </c>
      <c r="V459" s="132" t="str">
        <f>IF(ISNUMBER(SEARCH("AHO",Import2[[#This Row],[Tenure]])),"AHO",Import2[[#This Row],[Tenure]])&amp;Import2[[#This Row],[Expected sale completion year]]&amp;Import2[[#This Row],[Expected sale completion month]]</f>
        <v>Open market housing</v>
      </c>
      <c r="W459" s="178">
        <f t="shared" si="172"/>
        <v>0</v>
      </c>
    </row>
    <row r="460" spans="1:23" ht="15" customHeight="1">
      <c r="A460" s="132">
        <f t="shared" si="176"/>
        <v>0</v>
      </c>
      <c r="B460" s="133">
        <v>457</v>
      </c>
      <c r="C460" s="132" t="str">
        <f t="shared" si="177"/>
        <v/>
      </c>
      <c r="D460" s="132">
        <f t="shared" si="173"/>
        <v>0</v>
      </c>
      <c r="E460" s="132">
        <f t="shared" si="173"/>
        <v>0</v>
      </c>
      <c r="F460" s="132">
        <f t="shared" si="178"/>
        <v>0</v>
      </c>
      <c r="G460" s="132" t="str">
        <f t="shared" si="173"/>
        <v>Open market housing</v>
      </c>
      <c r="H460" s="132">
        <f t="shared" si="179"/>
        <v>896440000</v>
      </c>
      <c r="I460" s="132" t="str">
        <f t="shared" si="167"/>
        <v>New build</v>
      </c>
      <c r="J460" s="132">
        <f t="shared" si="180"/>
        <v>391930000</v>
      </c>
      <c r="K460" s="132">
        <f t="shared" si="168"/>
        <v>0</v>
      </c>
      <c r="L460" s="132">
        <f t="shared" si="181"/>
        <v>0</v>
      </c>
      <c r="M460" s="132">
        <f t="shared" si="174"/>
        <v>0</v>
      </c>
      <c r="N460" s="134">
        <f t="shared" si="182"/>
        <v>0</v>
      </c>
      <c r="O460" s="135">
        <f t="shared" si="183"/>
        <v>0</v>
      </c>
      <c r="P460" s="132" t="str">
        <f t="shared" si="170"/>
        <v/>
      </c>
      <c r="Q460" s="132" t="str">
        <f t="shared" si="185"/>
        <v/>
      </c>
      <c r="R460" s="132" t="str">
        <f>IF(ISNUMBER(SEARCH("AHO",Import2[[#This Row],[Tenure]])),"AHO",Import2[[#This Row],[Tenure]])&amp;Import2[[#This Row],[Expected Physical Completion Year]]&amp;Import2[[#This Row],[Expected Physical Completion Month]]</f>
        <v>Open market housing</v>
      </c>
      <c r="S460" s="135">
        <f t="shared" si="184"/>
        <v>0</v>
      </c>
      <c r="T460" s="132" t="str">
        <f t="shared" si="175"/>
        <v/>
      </c>
      <c r="U460" s="132" t="str">
        <f t="shared" si="175"/>
        <v/>
      </c>
      <c r="V460" s="132" t="str">
        <f>IF(ISNUMBER(SEARCH("AHO",Import2[[#This Row],[Tenure]])),"AHO",Import2[[#This Row],[Tenure]])&amp;Import2[[#This Row],[Expected sale completion year]]&amp;Import2[[#This Row],[Expected sale completion month]]</f>
        <v>Open market housing</v>
      </c>
      <c r="W460" s="178">
        <f t="shared" si="172"/>
        <v>0</v>
      </c>
    </row>
    <row r="461" spans="1:23" ht="15" customHeight="1">
      <c r="A461" s="132">
        <f t="shared" si="176"/>
        <v>0</v>
      </c>
      <c r="B461" s="133">
        <v>458</v>
      </c>
      <c r="C461" s="132" t="str">
        <f t="shared" si="177"/>
        <v/>
      </c>
      <c r="D461" s="132">
        <f t="shared" si="173"/>
        <v>0</v>
      </c>
      <c r="E461" s="132">
        <f t="shared" si="173"/>
        <v>0</v>
      </c>
      <c r="F461" s="132">
        <f t="shared" si="178"/>
        <v>0</v>
      </c>
      <c r="G461" s="132" t="str">
        <f t="shared" si="173"/>
        <v>Open market housing</v>
      </c>
      <c r="H461" s="132">
        <f t="shared" si="179"/>
        <v>896440000</v>
      </c>
      <c r="I461" s="132" t="str">
        <f t="shared" si="167"/>
        <v>New build</v>
      </c>
      <c r="J461" s="132">
        <f t="shared" si="180"/>
        <v>391930000</v>
      </c>
      <c r="K461" s="132">
        <f t="shared" si="168"/>
        <v>0</v>
      </c>
      <c r="L461" s="132">
        <f t="shared" si="181"/>
        <v>0</v>
      </c>
      <c r="M461" s="132">
        <f t="shared" si="174"/>
        <v>0</v>
      </c>
      <c r="N461" s="134">
        <f t="shared" si="182"/>
        <v>0</v>
      </c>
      <c r="O461" s="135">
        <f t="shared" si="183"/>
        <v>0</v>
      </c>
      <c r="P461" s="132" t="str">
        <f t="shared" si="170"/>
        <v/>
      </c>
      <c r="Q461" s="132" t="str">
        <f t="shared" si="185"/>
        <v/>
      </c>
      <c r="R461" s="132" t="str">
        <f>IF(ISNUMBER(SEARCH("AHO",Import2[[#This Row],[Tenure]])),"AHO",Import2[[#This Row],[Tenure]])&amp;Import2[[#This Row],[Expected Physical Completion Year]]&amp;Import2[[#This Row],[Expected Physical Completion Month]]</f>
        <v>Open market housing</v>
      </c>
      <c r="S461" s="135">
        <f t="shared" si="184"/>
        <v>0</v>
      </c>
      <c r="T461" s="132" t="str">
        <f t="shared" si="175"/>
        <v/>
      </c>
      <c r="U461" s="132" t="str">
        <f t="shared" si="175"/>
        <v/>
      </c>
      <c r="V461" s="132" t="str">
        <f>IF(ISNUMBER(SEARCH("AHO",Import2[[#This Row],[Tenure]])),"AHO",Import2[[#This Row],[Tenure]])&amp;Import2[[#This Row],[Expected sale completion year]]&amp;Import2[[#This Row],[Expected sale completion month]]</f>
        <v>Open market housing</v>
      </c>
      <c r="W461" s="178">
        <f t="shared" si="172"/>
        <v>0</v>
      </c>
    </row>
    <row r="462" spans="1:23" ht="15" customHeight="1">
      <c r="A462" s="132">
        <f t="shared" si="176"/>
        <v>0</v>
      </c>
      <c r="B462" s="133">
        <v>459</v>
      </c>
      <c r="C462" s="132" t="str">
        <f t="shared" si="177"/>
        <v/>
      </c>
      <c r="D462" s="132">
        <f t="shared" si="173"/>
        <v>0</v>
      </c>
      <c r="E462" s="132">
        <f t="shared" si="173"/>
        <v>0</v>
      </c>
      <c r="F462" s="132">
        <f t="shared" si="178"/>
        <v>0</v>
      </c>
      <c r="G462" s="132" t="str">
        <f t="shared" si="173"/>
        <v>Open market housing</v>
      </c>
      <c r="H462" s="132">
        <f t="shared" si="179"/>
        <v>896440000</v>
      </c>
      <c r="I462" s="132" t="str">
        <f t="shared" si="167"/>
        <v>New build</v>
      </c>
      <c r="J462" s="132">
        <f t="shared" si="180"/>
        <v>391930000</v>
      </c>
      <c r="K462" s="132">
        <f t="shared" si="168"/>
        <v>0</v>
      </c>
      <c r="L462" s="132">
        <f t="shared" si="181"/>
        <v>0</v>
      </c>
      <c r="M462" s="132">
        <f t="shared" si="174"/>
        <v>0</v>
      </c>
      <c r="N462" s="134">
        <f t="shared" si="182"/>
        <v>0</v>
      </c>
      <c r="O462" s="135">
        <f t="shared" si="183"/>
        <v>0</v>
      </c>
      <c r="P462" s="132" t="str">
        <f t="shared" si="170"/>
        <v/>
      </c>
      <c r="Q462" s="132" t="str">
        <f t="shared" si="185"/>
        <v/>
      </c>
      <c r="R462" s="132" t="str">
        <f>IF(ISNUMBER(SEARCH("AHO",Import2[[#This Row],[Tenure]])),"AHO",Import2[[#This Row],[Tenure]])&amp;Import2[[#This Row],[Expected Physical Completion Year]]&amp;Import2[[#This Row],[Expected Physical Completion Month]]</f>
        <v>Open market housing</v>
      </c>
      <c r="S462" s="135">
        <f t="shared" si="184"/>
        <v>0</v>
      </c>
      <c r="T462" s="132" t="str">
        <f t="shared" si="175"/>
        <v/>
      </c>
      <c r="U462" s="132" t="str">
        <f t="shared" si="175"/>
        <v/>
      </c>
      <c r="V462" s="132" t="str">
        <f>IF(ISNUMBER(SEARCH("AHO",Import2[[#This Row],[Tenure]])),"AHO",Import2[[#This Row],[Tenure]])&amp;Import2[[#This Row],[Expected sale completion year]]&amp;Import2[[#This Row],[Expected sale completion month]]</f>
        <v>Open market housing</v>
      </c>
      <c r="W462" s="178">
        <f t="shared" si="172"/>
        <v>0</v>
      </c>
    </row>
    <row r="463" spans="1:23" ht="15" customHeight="1">
      <c r="A463" s="132">
        <f t="shared" si="176"/>
        <v>0</v>
      </c>
      <c r="B463" s="133">
        <v>460</v>
      </c>
      <c r="C463" s="132" t="str">
        <f t="shared" si="177"/>
        <v/>
      </c>
      <c r="D463" s="132">
        <f t="shared" si="173"/>
        <v>0</v>
      </c>
      <c r="E463" s="132">
        <f t="shared" si="173"/>
        <v>0</v>
      </c>
      <c r="F463" s="132">
        <f t="shared" si="178"/>
        <v>0</v>
      </c>
      <c r="G463" s="132" t="str">
        <f t="shared" si="173"/>
        <v>Open market housing</v>
      </c>
      <c r="H463" s="132">
        <f t="shared" si="179"/>
        <v>896440000</v>
      </c>
      <c r="I463" s="132" t="str">
        <f t="shared" si="167"/>
        <v>New build</v>
      </c>
      <c r="J463" s="132">
        <f t="shared" si="180"/>
        <v>391930000</v>
      </c>
      <c r="K463" s="132">
        <f t="shared" si="168"/>
        <v>0</v>
      </c>
      <c r="L463" s="132">
        <f t="shared" si="181"/>
        <v>0</v>
      </c>
      <c r="M463" s="132">
        <f t="shared" si="174"/>
        <v>0</v>
      </c>
      <c r="N463" s="134">
        <f t="shared" si="182"/>
        <v>0</v>
      </c>
      <c r="O463" s="135">
        <f t="shared" si="183"/>
        <v>0</v>
      </c>
      <c r="P463" s="132" t="str">
        <f t="shared" si="170"/>
        <v/>
      </c>
      <c r="Q463" s="132" t="str">
        <f t="shared" si="185"/>
        <v/>
      </c>
      <c r="R463" s="132" t="str">
        <f>IF(ISNUMBER(SEARCH("AHO",Import2[[#This Row],[Tenure]])),"AHO",Import2[[#This Row],[Tenure]])&amp;Import2[[#This Row],[Expected Physical Completion Year]]&amp;Import2[[#This Row],[Expected Physical Completion Month]]</f>
        <v>Open market housing</v>
      </c>
      <c r="S463" s="135">
        <f t="shared" si="184"/>
        <v>0</v>
      </c>
      <c r="T463" s="132" t="str">
        <f t="shared" si="175"/>
        <v/>
      </c>
      <c r="U463" s="132" t="str">
        <f t="shared" si="175"/>
        <v/>
      </c>
      <c r="V463" s="132" t="str">
        <f>IF(ISNUMBER(SEARCH("AHO",Import2[[#This Row],[Tenure]])),"AHO",Import2[[#This Row],[Tenure]])&amp;Import2[[#This Row],[Expected sale completion year]]&amp;Import2[[#This Row],[Expected sale completion month]]</f>
        <v>Open market housing</v>
      </c>
      <c r="W463" s="178">
        <f t="shared" si="172"/>
        <v>0</v>
      </c>
    </row>
    <row r="464" spans="1:23" ht="15" customHeight="1">
      <c r="A464" s="132">
        <f t="shared" si="176"/>
        <v>0</v>
      </c>
      <c r="B464" s="133">
        <v>461</v>
      </c>
      <c r="C464" s="132" t="str">
        <f t="shared" si="177"/>
        <v/>
      </c>
      <c r="D464" s="132">
        <f t="shared" ref="D464:G483" si="186">INDEX(PlotData,MATCH($B464,PlotNumber,0),MATCH(D$3,PlotTitles,0))</f>
        <v>0</v>
      </c>
      <c r="E464" s="132">
        <f t="shared" si="186"/>
        <v>0</v>
      </c>
      <c r="F464" s="132">
        <f t="shared" si="178"/>
        <v>0</v>
      </c>
      <c r="G464" s="132" t="str">
        <f t="shared" si="186"/>
        <v>Open market housing</v>
      </c>
      <c r="H464" s="132">
        <f t="shared" si="179"/>
        <v>896440000</v>
      </c>
      <c r="I464" s="132" t="str">
        <f t="shared" si="167"/>
        <v>New build</v>
      </c>
      <c r="J464" s="132">
        <f t="shared" si="180"/>
        <v>391930000</v>
      </c>
      <c r="K464" s="132">
        <f t="shared" si="168"/>
        <v>0</v>
      </c>
      <c r="L464" s="132">
        <f t="shared" si="181"/>
        <v>0</v>
      </c>
      <c r="M464" s="132">
        <f t="shared" ref="M464:M483" si="187">INDEX(PlotData,MATCH($B464,PlotNumber,0),MATCH(M$3,PlotTitles,0))</f>
        <v>0</v>
      </c>
      <c r="N464" s="134">
        <f t="shared" si="182"/>
        <v>0</v>
      </c>
      <c r="O464" s="135">
        <f t="shared" si="183"/>
        <v>0</v>
      </c>
      <c r="P464" s="132" t="str">
        <f t="shared" si="170"/>
        <v/>
      </c>
      <c r="Q464" s="132" t="str">
        <f t="shared" si="185"/>
        <v/>
      </c>
      <c r="R464" s="132" t="str">
        <f>IF(ISNUMBER(SEARCH("AHO",Import2[[#This Row],[Tenure]])),"AHO",Import2[[#This Row],[Tenure]])&amp;Import2[[#This Row],[Expected Physical Completion Year]]&amp;Import2[[#This Row],[Expected Physical Completion Month]]</f>
        <v>Open market housing</v>
      </c>
      <c r="S464" s="135">
        <f t="shared" si="184"/>
        <v>0</v>
      </c>
      <c r="T464" s="132" t="str">
        <f t="shared" ref="T464:U483" si="188">IF(INDEX(PlotData,MATCH($B464,PlotNumber,0),MATCH(T$3,PlotTitles,0))=0,"",INDEX(PlotData,MATCH($B464,PlotNumber,0),MATCH(T$3,PlotTitles,0)))</f>
        <v/>
      </c>
      <c r="U464" s="132" t="str">
        <f t="shared" si="188"/>
        <v/>
      </c>
      <c r="V464" s="132" t="str">
        <f>IF(ISNUMBER(SEARCH("AHO",Import2[[#This Row],[Tenure]])),"AHO",Import2[[#This Row],[Tenure]])&amp;Import2[[#This Row],[Expected sale completion year]]&amp;Import2[[#This Row],[Expected sale completion month]]</f>
        <v>Open market housing</v>
      </c>
      <c r="W464" s="178">
        <f t="shared" si="172"/>
        <v>0</v>
      </c>
    </row>
    <row r="465" spans="1:23" ht="15" customHeight="1">
      <c r="A465" s="132">
        <f t="shared" si="176"/>
        <v>0</v>
      </c>
      <c r="B465" s="133">
        <v>462</v>
      </c>
      <c r="C465" s="132" t="str">
        <f t="shared" si="177"/>
        <v/>
      </c>
      <c r="D465" s="132">
        <f t="shared" si="186"/>
        <v>0</v>
      </c>
      <c r="E465" s="132">
        <f t="shared" si="186"/>
        <v>0</v>
      </c>
      <c r="F465" s="132">
        <f t="shared" si="178"/>
        <v>0</v>
      </c>
      <c r="G465" s="132" t="str">
        <f t="shared" si="186"/>
        <v>Open market housing</v>
      </c>
      <c r="H465" s="132">
        <f t="shared" si="179"/>
        <v>896440000</v>
      </c>
      <c r="I465" s="132" t="str">
        <f t="shared" si="167"/>
        <v>New build</v>
      </c>
      <c r="J465" s="132">
        <f t="shared" si="180"/>
        <v>391930000</v>
      </c>
      <c r="K465" s="132">
        <f t="shared" si="168"/>
        <v>0</v>
      </c>
      <c r="L465" s="132">
        <f t="shared" si="181"/>
        <v>0</v>
      </c>
      <c r="M465" s="132">
        <f t="shared" si="187"/>
        <v>0</v>
      </c>
      <c r="N465" s="134">
        <f t="shared" si="182"/>
        <v>0</v>
      </c>
      <c r="O465" s="135">
        <f t="shared" si="183"/>
        <v>0</v>
      </c>
      <c r="P465" s="132" t="str">
        <f t="shared" si="170"/>
        <v/>
      </c>
      <c r="Q465" s="132" t="str">
        <f t="shared" si="185"/>
        <v/>
      </c>
      <c r="R465" s="132" t="str">
        <f>IF(ISNUMBER(SEARCH("AHO",Import2[[#This Row],[Tenure]])),"AHO",Import2[[#This Row],[Tenure]])&amp;Import2[[#This Row],[Expected Physical Completion Year]]&amp;Import2[[#This Row],[Expected Physical Completion Month]]</f>
        <v>Open market housing</v>
      </c>
      <c r="S465" s="135">
        <f t="shared" si="184"/>
        <v>0</v>
      </c>
      <c r="T465" s="132" t="str">
        <f t="shared" si="188"/>
        <v/>
      </c>
      <c r="U465" s="132" t="str">
        <f t="shared" si="188"/>
        <v/>
      </c>
      <c r="V465" s="132" t="str">
        <f>IF(ISNUMBER(SEARCH("AHO",Import2[[#This Row],[Tenure]])),"AHO",Import2[[#This Row],[Tenure]])&amp;Import2[[#This Row],[Expected sale completion year]]&amp;Import2[[#This Row],[Expected sale completion month]]</f>
        <v>Open market housing</v>
      </c>
      <c r="W465" s="178">
        <f t="shared" si="172"/>
        <v>0</v>
      </c>
    </row>
    <row r="466" spans="1:23" ht="15" customHeight="1">
      <c r="A466" s="132">
        <f t="shared" si="176"/>
        <v>0</v>
      </c>
      <c r="B466" s="133">
        <v>463</v>
      </c>
      <c r="C466" s="132" t="str">
        <f t="shared" si="177"/>
        <v/>
      </c>
      <c r="D466" s="132">
        <f t="shared" si="186"/>
        <v>0</v>
      </c>
      <c r="E466" s="132">
        <f t="shared" si="186"/>
        <v>0</v>
      </c>
      <c r="F466" s="132">
        <f t="shared" si="178"/>
        <v>0</v>
      </c>
      <c r="G466" s="132" t="str">
        <f t="shared" si="186"/>
        <v>Open market housing</v>
      </c>
      <c r="H466" s="132">
        <f t="shared" si="179"/>
        <v>896440000</v>
      </c>
      <c r="I466" s="132" t="str">
        <f t="shared" si="167"/>
        <v>New build</v>
      </c>
      <c r="J466" s="132">
        <f t="shared" si="180"/>
        <v>391930000</v>
      </c>
      <c r="K466" s="132">
        <f t="shared" si="168"/>
        <v>0</v>
      </c>
      <c r="L466" s="132">
        <f t="shared" si="181"/>
        <v>0</v>
      </c>
      <c r="M466" s="132">
        <f t="shared" si="187"/>
        <v>0</v>
      </c>
      <c r="N466" s="134">
        <f t="shared" si="182"/>
        <v>0</v>
      </c>
      <c r="O466" s="135">
        <f t="shared" si="183"/>
        <v>0</v>
      </c>
      <c r="P466" s="132" t="str">
        <f t="shared" si="170"/>
        <v/>
      </c>
      <c r="Q466" s="132" t="str">
        <f t="shared" si="185"/>
        <v/>
      </c>
      <c r="R466" s="132" t="str">
        <f>IF(ISNUMBER(SEARCH("AHO",Import2[[#This Row],[Tenure]])),"AHO",Import2[[#This Row],[Tenure]])&amp;Import2[[#This Row],[Expected Physical Completion Year]]&amp;Import2[[#This Row],[Expected Physical Completion Month]]</f>
        <v>Open market housing</v>
      </c>
      <c r="S466" s="135">
        <f t="shared" si="184"/>
        <v>0</v>
      </c>
      <c r="T466" s="132" t="str">
        <f t="shared" si="188"/>
        <v/>
      </c>
      <c r="U466" s="132" t="str">
        <f t="shared" si="188"/>
        <v/>
      </c>
      <c r="V466" s="132" t="str">
        <f>IF(ISNUMBER(SEARCH("AHO",Import2[[#This Row],[Tenure]])),"AHO",Import2[[#This Row],[Tenure]])&amp;Import2[[#This Row],[Expected sale completion year]]&amp;Import2[[#This Row],[Expected sale completion month]]</f>
        <v>Open market housing</v>
      </c>
      <c r="W466" s="178">
        <f t="shared" si="172"/>
        <v>0</v>
      </c>
    </row>
    <row r="467" spans="1:23" ht="15" customHeight="1">
      <c r="A467" s="132">
        <f t="shared" si="176"/>
        <v>0</v>
      </c>
      <c r="B467" s="133">
        <v>464</v>
      </c>
      <c r="C467" s="132" t="str">
        <f t="shared" si="177"/>
        <v/>
      </c>
      <c r="D467" s="132">
        <f t="shared" si="186"/>
        <v>0</v>
      </c>
      <c r="E467" s="132">
        <f t="shared" si="186"/>
        <v>0</v>
      </c>
      <c r="F467" s="132">
        <f t="shared" si="178"/>
        <v>0</v>
      </c>
      <c r="G467" s="132" t="str">
        <f t="shared" si="186"/>
        <v>Open market housing</v>
      </c>
      <c r="H467" s="132">
        <f t="shared" si="179"/>
        <v>896440000</v>
      </c>
      <c r="I467" s="132" t="str">
        <f t="shared" si="167"/>
        <v>New build</v>
      </c>
      <c r="J467" s="132">
        <f t="shared" si="180"/>
        <v>391930000</v>
      </c>
      <c r="K467" s="132">
        <f t="shared" si="168"/>
        <v>0</v>
      </c>
      <c r="L467" s="132">
        <f t="shared" si="181"/>
        <v>0</v>
      </c>
      <c r="M467" s="132">
        <f t="shared" si="187"/>
        <v>0</v>
      </c>
      <c r="N467" s="134">
        <f t="shared" si="182"/>
        <v>0</v>
      </c>
      <c r="O467" s="135">
        <f t="shared" si="183"/>
        <v>0</v>
      </c>
      <c r="P467" s="132" t="str">
        <f t="shared" si="170"/>
        <v/>
      </c>
      <c r="Q467" s="132" t="str">
        <f t="shared" si="185"/>
        <v/>
      </c>
      <c r="R467" s="132" t="str">
        <f>IF(ISNUMBER(SEARCH("AHO",Import2[[#This Row],[Tenure]])),"AHO",Import2[[#This Row],[Tenure]])&amp;Import2[[#This Row],[Expected Physical Completion Year]]&amp;Import2[[#This Row],[Expected Physical Completion Month]]</f>
        <v>Open market housing</v>
      </c>
      <c r="S467" s="135">
        <f t="shared" si="184"/>
        <v>0</v>
      </c>
      <c r="T467" s="132" t="str">
        <f t="shared" si="188"/>
        <v/>
      </c>
      <c r="U467" s="132" t="str">
        <f t="shared" si="188"/>
        <v/>
      </c>
      <c r="V467" s="132" t="str">
        <f>IF(ISNUMBER(SEARCH("AHO",Import2[[#This Row],[Tenure]])),"AHO",Import2[[#This Row],[Tenure]])&amp;Import2[[#This Row],[Expected sale completion year]]&amp;Import2[[#This Row],[Expected sale completion month]]</f>
        <v>Open market housing</v>
      </c>
      <c r="W467" s="178">
        <f t="shared" si="172"/>
        <v>0</v>
      </c>
    </row>
    <row r="468" spans="1:23" ht="15" customHeight="1">
      <c r="A468" s="132">
        <f t="shared" si="176"/>
        <v>0</v>
      </c>
      <c r="B468" s="133">
        <v>465</v>
      </c>
      <c r="C468" s="132" t="str">
        <f t="shared" si="177"/>
        <v/>
      </c>
      <c r="D468" s="132">
        <f t="shared" si="186"/>
        <v>0</v>
      </c>
      <c r="E468" s="132">
        <f t="shared" si="186"/>
        <v>0</v>
      </c>
      <c r="F468" s="132">
        <f t="shared" si="178"/>
        <v>0</v>
      </c>
      <c r="G468" s="132" t="str">
        <f t="shared" si="186"/>
        <v>Open market housing</v>
      </c>
      <c r="H468" s="132">
        <f t="shared" si="179"/>
        <v>896440000</v>
      </c>
      <c r="I468" s="132" t="str">
        <f t="shared" si="167"/>
        <v>New build</v>
      </c>
      <c r="J468" s="132">
        <f t="shared" si="180"/>
        <v>391930000</v>
      </c>
      <c r="K468" s="132">
        <f t="shared" si="168"/>
        <v>0</v>
      </c>
      <c r="L468" s="132">
        <f t="shared" si="181"/>
        <v>0</v>
      </c>
      <c r="M468" s="132">
        <f t="shared" si="187"/>
        <v>0</v>
      </c>
      <c r="N468" s="134">
        <f t="shared" si="182"/>
        <v>0</v>
      </c>
      <c r="O468" s="135">
        <f t="shared" si="183"/>
        <v>0</v>
      </c>
      <c r="P468" s="132" t="str">
        <f t="shared" si="170"/>
        <v/>
      </c>
      <c r="Q468" s="132" t="str">
        <f t="shared" si="185"/>
        <v/>
      </c>
      <c r="R468" s="132" t="str">
        <f>IF(ISNUMBER(SEARCH("AHO",Import2[[#This Row],[Tenure]])),"AHO",Import2[[#This Row],[Tenure]])&amp;Import2[[#This Row],[Expected Physical Completion Year]]&amp;Import2[[#This Row],[Expected Physical Completion Month]]</f>
        <v>Open market housing</v>
      </c>
      <c r="S468" s="135">
        <f t="shared" si="184"/>
        <v>0</v>
      </c>
      <c r="T468" s="132" t="str">
        <f t="shared" si="188"/>
        <v/>
      </c>
      <c r="U468" s="132" t="str">
        <f t="shared" si="188"/>
        <v/>
      </c>
      <c r="V468" s="132" t="str">
        <f>IF(ISNUMBER(SEARCH("AHO",Import2[[#This Row],[Tenure]])),"AHO",Import2[[#This Row],[Tenure]])&amp;Import2[[#This Row],[Expected sale completion year]]&amp;Import2[[#This Row],[Expected sale completion month]]</f>
        <v>Open market housing</v>
      </c>
      <c r="W468" s="178">
        <f t="shared" si="172"/>
        <v>0</v>
      </c>
    </row>
    <row r="469" spans="1:23" ht="15" customHeight="1">
      <c r="A469" s="132">
        <f t="shared" si="176"/>
        <v>0</v>
      </c>
      <c r="B469" s="133">
        <v>466</v>
      </c>
      <c r="C469" s="132" t="str">
        <f t="shared" si="177"/>
        <v/>
      </c>
      <c r="D469" s="132">
        <f t="shared" si="186"/>
        <v>0</v>
      </c>
      <c r="E469" s="132">
        <f t="shared" si="186"/>
        <v>0</v>
      </c>
      <c r="F469" s="132">
        <f t="shared" si="178"/>
        <v>0</v>
      </c>
      <c r="G469" s="132" t="str">
        <f t="shared" si="186"/>
        <v>Open market housing</v>
      </c>
      <c r="H469" s="132">
        <f t="shared" si="179"/>
        <v>896440000</v>
      </c>
      <c r="I469" s="132" t="str">
        <f t="shared" si="167"/>
        <v>New build</v>
      </c>
      <c r="J469" s="132">
        <f t="shared" si="180"/>
        <v>391930000</v>
      </c>
      <c r="K469" s="132">
        <f t="shared" si="168"/>
        <v>0</v>
      </c>
      <c r="L469" s="132">
        <f t="shared" si="181"/>
        <v>0</v>
      </c>
      <c r="M469" s="132">
        <f t="shared" si="187"/>
        <v>0</v>
      </c>
      <c r="N469" s="134">
        <f t="shared" si="182"/>
        <v>0</v>
      </c>
      <c r="O469" s="135">
        <f t="shared" si="183"/>
        <v>0</v>
      </c>
      <c r="P469" s="132" t="str">
        <f t="shared" si="170"/>
        <v/>
      </c>
      <c r="Q469" s="132" t="str">
        <f t="shared" si="185"/>
        <v/>
      </c>
      <c r="R469" s="132" t="str">
        <f>IF(ISNUMBER(SEARCH("AHO",Import2[[#This Row],[Tenure]])),"AHO",Import2[[#This Row],[Tenure]])&amp;Import2[[#This Row],[Expected Physical Completion Year]]&amp;Import2[[#This Row],[Expected Physical Completion Month]]</f>
        <v>Open market housing</v>
      </c>
      <c r="S469" s="135">
        <f t="shared" si="184"/>
        <v>0</v>
      </c>
      <c r="T469" s="132" t="str">
        <f t="shared" si="188"/>
        <v/>
      </c>
      <c r="U469" s="132" t="str">
        <f t="shared" si="188"/>
        <v/>
      </c>
      <c r="V469" s="132" t="str">
        <f>IF(ISNUMBER(SEARCH("AHO",Import2[[#This Row],[Tenure]])),"AHO",Import2[[#This Row],[Tenure]])&amp;Import2[[#This Row],[Expected sale completion year]]&amp;Import2[[#This Row],[Expected sale completion month]]</f>
        <v>Open market housing</v>
      </c>
      <c r="W469" s="178">
        <f t="shared" si="172"/>
        <v>0</v>
      </c>
    </row>
    <row r="470" spans="1:23" ht="15" customHeight="1">
      <c r="A470" s="132">
        <f t="shared" si="176"/>
        <v>0</v>
      </c>
      <c r="B470" s="133">
        <v>467</v>
      </c>
      <c r="C470" s="132" t="str">
        <f t="shared" si="177"/>
        <v/>
      </c>
      <c r="D470" s="132">
        <f t="shared" si="186"/>
        <v>0</v>
      </c>
      <c r="E470" s="132">
        <f t="shared" si="186"/>
        <v>0</v>
      </c>
      <c r="F470" s="132">
        <f t="shared" si="178"/>
        <v>0</v>
      </c>
      <c r="G470" s="132" t="str">
        <f t="shared" si="186"/>
        <v>Open market housing</v>
      </c>
      <c r="H470" s="132">
        <f t="shared" si="179"/>
        <v>896440000</v>
      </c>
      <c r="I470" s="132" t="str">
        <f t="shared" si="167"/>
        <v>New build</v>
      </c>
      <c r="J470" s="132">
        <f t="shared" si="180"/>
        <v>391930000</v>
      </c>
      <c r="K470" s="132">
        <f t="shared" si="168"/>
        <v>0</v>
      </c>
      <c r="L470" s="132">
        <f t="shared" si="181"/>
        <v>0</v>
      </c>
      <c r="M470" s="132">
        <f t="shared" si="187"/>
        <v>0</v>
      </c>
      <c r="N470" s="134">
        <f t="shared" si="182"/>
        <v>0</v>
      </c>
      <c r="O470" s="135">
        <f t="shared" si="183"/>
        <v>0</v>
      </c>
      <c r="P470" s="132" t="str">
        <f t="shared" si="170"/>
        <v/>
      </c>
      <c r="Q470" s="132" t="str">
        <f t="shared" si="185"/>
        <v/>
      </c>
      <c r="R470" s="132" t="str">
        <f>IF(ISNUMBER(SEARCH("AHO",Import2[[#This Row],[Tenure]])),"AHO",Import2[[#This Row],[Tenure]])&amp;Import2[[#This Row],[Expected Physical Completion Year]]&amp;Import2[[#This Row],[Expected Physical Completion Month]]</f>
        <v>Open market housing</v>
      </c>
      <c r="S470" s="135">
        <f t="shared" si="184"/>
        <v>0</v>
      </c>
      <c r="T470" s="132" t="str">
        <f t="shared" si="188"/>
        <v/>
      </c>
      <c r="U470" s="132" t="str">
        <f t="shared" si="188"/>
        <v/>
      </c>
      <c r="V470" s="132" t="str">
        <f>IF(ISNUMBER(SEARCH("AHO",Import2[[#This Row],[Tenure]])),"AHO",Import2[[#This Row],[Tenure]])&amp;Import2[[#This Row],[Expected sale completion year]]&amp;Import2[[#This Row],[Expected sale completion month]]</f>
        <v>Open market housing</v>
      </c>
      <c r="W470" s="178">
        <f t="shared" si="172"/>
        <v>0</v>
      </c>
    </row>
    <row r="471" spans="1:23" ht="15" customHeight="1">
      <c r="A471" s="132">
        <f t="shared" si="176"/>
        <v>0</v>
      </c>
      <c r="B471" s="133">
        <v>468</v>
      </c>
      <c r="C471" s="132" t="str">
        <f t="shared" si="177"/>
        <v/>
      </c>
      <c r="D471" s="132">
        <f t="shared" si="186"/>
        <v>0</v>
      </c>
      <c r="E471" s="132">
        <f t="shared" si="186"/>
        <v>0</v>
      </c>
      <c r="F471" s="132">
        <f t="shared" si="178"/>
        <v>0</v>
      </c>
      <c r="G471" s="132" t="str">
        <f t="shared" si="186"/>
        <v>Open market housing</v>
      </c>
      <c r="H471" s="132">
        <f t="shared" si="179"/>
        <v>896440000</v>
      </c>
      <c r="I471" s="132" t="str">
        <f t="shared" si="167"/>
        <v>New build</v>
      </c>
      <c r="J471" s="132">
        <f t="shared" si="180"/>
        <v>391930000</v>
      </c>
      <c r="K471" s="132">
        <f t="shared" si="168"/>
        <v>0</v>
      </c>
      <c r="L471" s="132">
        <f t="shared" si="181"/>
        <v>0</v>
      </c>
      <c r="M471" s="132">
        <f t="shared" si="187"/>
        <v>0</v>
      </c>
      <c r="N471" s="134">
        <f t="shared" si="182"/>
        <v>0</v>
      </c>
      <c r="O471" s="135">
        <f t="shared" si="183"/>
        <v>0</v>
      </c>
      <c r="P471" s="132" t="str">
        <f t="shared" si="170"/>
        <v/>
      </c>
      <c r="Q471" s="132" t="str">
        <f t="shared" si="185"/>
        <v/>
      </c>
      <c r="R471" s="132" t="str">
        <f>IF(ISNUMBER(SEARCH("AHO",Import2[[#This Row],[Tenure]])),"AHO",Import2[[#This Row],[Tenure]])&amp;Import2[[#This Row],[Expected Physical Completion Year]]&amp;Import2[[#This Row],[Expected Physical Completion Month]]</f>
        <v>Open market housing</v>
      </c>
      <c r="S471" s="135">
        <f t="shared" si="184"/>
        <v>0</v>
      </c>
      <c r="T471" s="132" t="str">
        <f t="shared" si="188"/>
        <v/>
      </c>
      <c r="U471" s="132" t="str">
        <f t="shared" si="188"/>
        <v/>
      </c>
      <c r="V471" s="132" t="str">
        <f>IF(ISNUMBER(SEARCH("AHO",Import2[[#This Row],[Tenure]])),"AHO",Import2[[#This Row],[Tenure]])&amp;Import2[[#This Row],[Expected sale completion year]]&amp;Import2[[#This Row],[Expected sale completion month]]</f>
        <v>Open market housing</v>
      </c>
      <c r="W471" s="178">
        <f t="shared" si="172"/>
        <v>0</v>
      </c>
    </row>
    <row r="472" spans="1:23" ht="15" customHeight="1">
      <c r="A472" s="132">
        <f t="shared" si="176"/>
        <v>0</v>
      </c>
      <c r="B472" s="133">
        <v>469</v>
      </c>
      <c r="C472" s="132" t="str">
        <f t="shared" si="177"/>
        <v/>
      </c>
      <c r="D472" s="132">
        <f t="shared" si="186"/>
        <v>0</v>
      </c>
      <c r="E472" s="132">
        <f t="shared" si="186"/>
        <v>0</v>
      </c>
      <c r="F472" s="132">
        <f t="shared" si="178"/>
        <v>0</v>
      </c>
      <c r="G472" s="132" t="str">
        <f t="shared" si="186"/>
        <v>Open market housing</v>
      </c>
      <c r="H472" s="132">
        <f t="shared" si="179"/>
        <v>896440000</v>
      </c>
      <c r="I472" s="132" t="str">
        <f t="shared" si="167"/>
        <v>New build</v>
      </c>
      <c r="J472" s="132">
        <f t="shared" si="180"/>
        <v>391930000</v>
      </c>
      <c r="K472" s="132">
        <f t="shared" si="168"/>
        <v>0</v>
      </c>
      <c r="L472" s="132">
        <f t="shared" si="181"/>
        <v>0</v>
      </c>
      <c r="M472" s="132">
        <f t="shared" si="187"/>
        <v>0</v>
      </c>
      <c r="N472" s="134">
        <f t="shared" si="182"/>
        <v>0</v>
      </c>
      <c r="O472" s="135">
        <f t="shared" si="183"/>
        <v>0</v>
      </c>
      <c r="P472" s="132" t="str">
        <f t="shared" si="170"/>
        <v/>
      </c>
      <c r="Q472" s="132" t="str">
        <f t="shared" si="185"/>
        <v/>
      </c>
      <c r="R472" s="132" t="str">
        <f>IF(ISNUMBER(SEARCH("AHO",Import2[[#This Row],[Tenure]])),"AHO",Import2[[#This Row],[Tenure]])&amp;Import2[[#This Row],[Expected Physical Completion Year]]&amp;Import2[[#This Row],[Expected Physical Completion Month]]</f>
        <v>Open market housing</v>
      </c>
      <c r="S472" s="135">
        <f t="shared" si="184"/>
        <v>0</v>
      </c>
      <c r="T472" s="132" t="str">
        <f t="shared" si="188"/>
        <v/>
      </c>
      <c r="U472" s="132" t="str">
        <f t="shared" si="188"/>
        <v/>
      </c>
      <c r="V472" s="132" t="str">
        <f>IF(ISNUMBER(SEARCH("AHO",Import2[[#This Row],[Tenure]])),"AHO",Import2[[#This Row],[Tenure]])&amp;Import2[[#This Row],[Expected sale completion year]]&amp;Import2[[#This Row],[Expected sale completion month]]</f>
        <v>Open market housing</v>
      </c>
      <c r="W472" s="178">
        <f t="shared" si="172"/>
        <v>0</v>
      </c>
    </row>
    <row r="473" spans="1:23" ht="15" customHeight="1">
      <c r="A473" s="132">
        <f t="shared" si="176"/>
        <v>0</v>
      </c>
      <c r="B473" s="133">
        <v>470</v>
      </c>
      <c r="C473" s="132" t="str">
        <f t="shared" si="177"/>
        <v/>
      </c>
      <c r="D473" s="132">
        <f t="shared" si="186"/>
        <v>0</v>
      </c>
      <c r="E473" s="132">
        <f t="shared" si="186"/>
        <v>0</v>
      </c>
      <c r="F473" s="132">
        <f t="shared" si="178"/>
        <v>0</v>
      </c>
      <c r="G473" s="132" t="str">
        <f t="shared" si="186"/>
        <v>Open market housing</v>
      </c>
      <c r="H473" s="132">
        <f t="shared" si="179"/>
        <v>896440000</v>
      </c>
      <c r="I473" s="132" t="str">
        <f t="shared" si="167"/>
        <v>New build</v>
      </c>
      <c r="J473" s="132">
        <f t="shared" si="180"/>
        <v>391930000</v>
      </c>
      <c r="K473" s="132">
        <f t="shared" si="168"/>
        <v>0</v>
      </c>
      <c r="L473" s="132">
        <f t="shared" si="181"/>
        <v>0</v>
      </c>
      <c r="M473" s="132">
        <f t="shared" si="187"/>
        <v>0</v>
      </c>
      <c r="N473" s="134">
        <f t="shared" si="182"/>
        <v>0</v>
      </c>
      <c r="O473" s="135">
        <f t="shared" si="183"/>
        <v>0</v>
      </c>
      <c r="P473" s="132" t="str">
        <f t="shared" si="170"/>
        <v/>
      </c>
      <c r="Q473" s="132" t="str">
        <f t="shared" si="185"/>
        <v/>
      </c>
      <c r="R473" s="132" t="str">
        <f>IF(ISNUMBER(SEARCH("AHO",Import2[[#This Row],[Tenure]])),"AHO",Import2[[#This Row],[Tenure]])&amp;Import2[[#This Row],[Expected Physical Completion Year]]&amp;Import2[[#This Row],[Expected Physical Completion Month]]</f>
        <v>Open market housing</v>
      </c>
      <c r="S473" s="135">
        <f t="shared" si="184"/>
        <v>0</v>
      </c>
      <c r="T473" s="132" t="str">
        <f t="shared" si="188"/>
        <v/>
      </c>
      <c r="U473" s="132" t="str">
        <f t="shared" si="188"/>
        <v/>
      </c>
      <c r="V473" s="132" t="str">
        <f>IF(ISNUMBER(SEARCH("AHO",Import2[[#This Row],[Tenure]])),"AHO",Import2[[#This Row],[Tenure]])&amp;Import2[[#This Row],[Expected sale completion year]]&amp;Import2[[#This Row],[Expected sale completion month]]</f>
        <v>Open market housing</v>
      </c>
      <c r="W473" s="178">
        <f t="shared" si="172"/>
        <v>0</v>
      </c>
    </row>
    <row r="474" spans="1:23" ht="15" customHeight="1">
      <c r="A474" s="132">
        <f t="shared" si="176"/>
        <v>0</v>
      </c>
      <c r="B474" s="133">
        <v>471</v>
      </c>
      <c r="C474" s="132" t="str">
        <f t="shared" si="177"/>
        <v/>
      </c>
      <c r="D474" s="132">
        <f t="shared" si="186"/>
        <v>0</v>
      </c>
      <c r="E474" s="132">
        <f t="shared" si="186"/>
        <v>0</v>
      </c>
      <c r="F474" s="132">
        <f t="shared" si="178"/>
        <v>0</v>
      </c>
      <c r="G474" s="132" t="str">
        <f t="shared" si="186"/>
        <v>Open market housing</v>
      </c>
      <c r="H474" s="132">
        <f t="shared" si="179"/>
        <v>896440000</v>
      </c>
      <c r="I474" s="132" t="str">
        <f t="shared" si="167"/>
        <v>New build</v>
      </c>
      <c r="J474" s="132">
        <f t="shared" si="180"/>
        <v>391930000</v>
      </c>
      <c r="K474" s="132">
        <f t="shared" si="168"/>
        <v>0</v>
      </c>
      <c r="L474" s="132">
        <f t="shared" si="181"/>
        <v>0</v>
      </c>
      <c r="M474" s="132">
        <f t="shared" si="187"/>
        <v>0</v>
      </c>
      <c r="N474" s="134">
        <f t="shared" si="182"/>
        <v>0</v>
      </c>
      <c r="O474" s="135">
        <f t="shared" si="183"/>
        <v>0</v>
      </c>
      <c r="P474" s="132" t="str">
        <f t="shared" si="170"/>
        <v/>
      </c>
      <c r="Q474" s="132" t="str">
        <f t="shared" si="185"/>
        <v/>
      </c>
      <c r="R474" s="132" t="str">
        <f>IF(ISNUMBER(SEARCH("AHO",Import2[[#This Row],[Tenure]])),"AHO",Import2[[#This Row],[Tenure]])&amp;Import2[[#This Row],[Expected Physical Completion Year]]&amp;Import2[[#This Row],[Expected Physical Completion Month]]</f>
        <v>Open market housing</v>
      </c>
      <c r="S474" s="135">
        <f t="shared" si="184"/>
        <v>0</v>
      </c>
      <c r="T474" s="132" t="str">
        <f t="shared" si="188"/>
        <v/>
      </c>
      <c r="U474" s="132" t="str">
        <f t="shared" si="188"/>
        <v/>
      </c>
      <c r="V474" s="132" t="str">
        <f>IF(ISNUMBER(SEARCH("AHO",Import2[[#This Row],[Tenure]])),"AHO",Import2[[#This Row],[Tenure]])&amp;Import2[[#This Row],[Expected sale completion year]]&amp;Import2[[#This Row],[Expected sale completion month]]</f>
        <v>Open market housing</v>
      </c>
      <c r="W474" s="178">
        <f t="shared" si="172"/>
        <v>0</v>
      </c>
    </row>
    <row r="475" spans="1:23" ht="15" customHeight="1">
      <c r="A475" s="132">
        <f t="shared" si="176"/>
        <v>0</v>
      </c>
      <c r="B475" s="133">
        <v>472</v>
      </c>
      <c r="C475" s="132" t="str">
        <f t="shared" si="177"/>
        <v/>
      </c>
      <c r="D475" s="132">
        <f t="shared" si="186"/>
        <v>0</v>
      </c>
      <c r="E475" s="132">
        <f t="shared" si="186"/>
        <v>0</v>
      </c>
      <c r="F475" s="132">
        <f t="shared" si="178"/>
        <v>0</v>
      </c>
      <c r="G475" s="132" t="str">
        <f t="shared" si="186"/>
        <v>Open market housing</v>
      </c>
      <c r="H475" s="132">
        <f t="shared" si="179"/>
        <v>896440000</v>
      </c>
      <c r="I475" s="132" t="str">
        <f t="shared" si="167"/>
        <v>New build</v>
      </c>
      <c r="J475" s="132">
        <f t="shared" si="180"/>
        <v>391930000</v>
      </c>
      <c r="K475" s="132">
        <f t="shared" si="168"/>
        <v>0</v>
      </c>
      <c r="L475" s="132">
        <f t="shared" si="181"/>
        <v>0</v>
      </c>
      <c r="M475" s="132">
        <f t="shared" si="187"/>
        <v>0</v>
      </c>
      <c r="N475" s="134">
        <f t="shared" si="182"/>
        <v>0</v>
      </c>
      <c r="O475" s="135">
        <f t="shared" si="183"/>
        <v>0</v>
      </c>
      <c r="P475" s="132" t="str">
        <f t="shared" si="170"/>
        <v/>
      </c>
      <c r="Q475" s="132" t="str">
        <f t="shared" si="185"/>
        <v/>
      </c>
      <c r="R475" s="132" t="str">
        <f>IF(ISNUMBER(SEARCH("AHO",Import2[[#This Row],[Tenure]])),"AHO",Import2[[#This Row],[Tenure]])&amp;Import2[[#This Row],[Expected Physical Completion Year]]&amp;Import2[[#This Row],[Expected Physical Completion Month]]</f>
        <v>Open market housing</v>
      </c>
      <c r="S475" s="135">
        <f t="shared" si="184"/>
        <v>0</v>
      </c>
      <c r="T475" s="132" t="str">
        <f t="shared" si="188"/>
        <v/>
      </c>
      <c r="U475" s="132" t="str">
        <f t="shared" si="188"/>
        <v/>
      </c>
      <c r="V475" s="132" t="str">
        <f>IF(ISNUMBER(SEARCH("AHO",Import2[[#This Row],[Tenure]])),"AHO",Import2[[#This Row],[Tenure]])&amp;Import2[[#This Row],[Expected sale completion year]]&amp;Import2[[#This Row],[Expected sale completion month]]</f>
        <v>Open market housing</v>
      </c>
      <c r="W475" s="178">
        <f t="shared" si="172"/>
        <v>0</v>
      </c>
    </row>
    <row r="476" spans="1:23" ht="15" customHeight="1">
      <c r="A476" s="132">
        <f t="shared" si="176"/>
        <v>0</v>
      </c>
      <c r="B476" s="133">
        <v>473</v>
      </c>
      <c r="C476" s="132" t="str">
        <f t="shared" si="177"/>
        <v/>
      </c>
      <c r="D476" s="132">
        <f t="shared" si="186"/>
        <v>0</v>
      </c>
      <c r="E476" s="132">
        <f t="shared" si="186"/>
        <v>0</v>
      </c>
      <c r="F476" s="132">
        <f t="shared" si="178"/>
        <v>0</v>
      </c>
      <c r="G476" s="132" t="str">
        <f t="shared" si="186"/>
        <v>Open market housing</v>
      </c>
      <c r="H476" s="132">
        <f t="shared" si="179"/>
        <v>896440000</v>
      </c>
      <c r="I476" s="132" t="str">
        <f t="shared" si="167"/>
        <v>New build</v>
      </c>
      <c r="J476" s="132">
        <f t="shared" si="180"/>
        <v>391930000</v>
      </c>
      <c r="K476" s="132">
        <f t="shared" si="168"/>
        <v>0</v>
      </c>
      <c r="L476" s="132">
        <f t="shared" si="181"/>
        <v>0</v>
      </c>
      <c r="M476" s="132">
        <f t="shared" si="187"/>
        <v>0</v>
      </c>
      <c r="N476" s="134">
        <f t="shared" si="182"/>
        <v>0</v>
      </c>
      <c r="O476" s="135">
        <f t="shared" si="183"/>
        <v>0</v>
      </c>
      <c r="P476" s="132" t="str">
        <f t="shared" si="170"/>
        <v/>
      </c>
      <c r="Q476" s="132" t="str">
        <f t="shared" si="185"/>
        <v/>
      </c>
      <c r="R476" s="132" t="str">
        <f>IF(ISNUMBER(SEARCH("AHO",Import2[[#This Row],[Tenure]])),"AHO",Import2[[#This Row],[Tenure]])&amp;Import2[[#This Row],[Expected Physical Completion Year]]&amp;Import2[[#This Row],[Expected Physical Completion Month]]</f>
        <v>Open market housing</v>
      </c>
      <c r="S476" s="135">
        <f t="shared" si="184"/>
        <v>0</v>
      </c>
      <c r="T476" s="132" t="str">
        <f t="shared" si="188"/>
        <v/>
      </c>
      <c r="U476" s="132" t="str">
        <f t="shared" si="188"/>
        <v/>
      </c>
      <c r="V476" s="132" t="str">
        <f>IF(ISNUMBER(SEARCH("AHO",Import2[[#This Row],[Tenure]])),"AHO",Import2[[#This Row],[Tenure]])&amp;Import2[[#This Row],[Expected sale completion year]]&amp;Import2[[#This Row],[Expected sale completion month]]</f>
        <v>Open market housing</v>
      </c>
      <c r="W476" s="178">
        <f t="shared" si="172"/>
        <v>0</v>
      </c>
    </row>
    <row r="477" spans="1:23" ht="15" customHeight="1">
      <c r="A477" s="132">
        <f t="shared" si="176"/>
        <v>0</v>
      </c>
      <c r="B477" s="133">
        <v>474</v>
      </c>
      <c r="C477" s="132" t="str">
        <f t="shared" si="177"/>
        <v/>
      </c>
      <c r="D477" s="132">
        <f t="shared" si="186"/>
        <v>0</v>
      </c>
      <c r="E477" s="132">
        <f t="shared" si="186"/>
        <v>0</v>
      </c>
      <c r="F477" s="132">
        <f t="shared" si="178"/>
        <v>0</v>
      </c>
      <c r="G477" s="132" t="str">
        <f t="shared" si="186"/>
        <v>Open market housing</v>
      </c>
      <c r="H477" s="132">
        <f t="shared" si="179"/>
        <v>896440000</v>
      </c>
      <c r="I477" s="132" t="str">
        <f t="shared" si="167"/>
        <v>New build</v>
      </c>
      <c r="J477" s="132">
        <f t="shared" si="180"/>
        <v>391930000</v>
      </c>
      <c r="K477" s="132">
        <f t="shared" si="168"/>
        <v>0</v>
      </c>
      <c r="L477" s="132">
        <f t="shared" si="181"/>
        <v>0</v>
      </c>
      <c r="M477" s="132">
        <f t="shared" si="187"/>
        <v>0</v>
      </c>
      <c r="N477" s="134">
        <f t="shared" si="182"/>
        <v>0</v>
      </c>
      <c r="O477" s="135">
        <f t="shared" si="183"/>
        <v>0</v>
      </c>
      <c r="P477" s="132" t="str">
        <f t="shared" si="170"/>
        <v/>
      </c>
      <c r="Q477" s="132" t="str">
        <f t="shared" si="185"/>
        <v/>
      </c>
      <c r="R477" s="132" t="str">
        <f>IF(ISNUMBER(SEARCH("AHO",Import2[[#This Row],[Tenure]])),"AHO",Import2[[#This Row],[Tenure]])&amp;Import2[[#This Row],[Expected Physical Completion Year]]&amp;Import2[[#This Row],[Expected Physical Completion Month]]</f>
        <v>Open market housing</v>
      </c>
      <c r="S477" s="135">
        <f t="shared" si="184"/>
        <v>0</v>
      </c>
      <c r="T477" s="132" t="str">
        <f t="shared" si="188"/>
        <v/>
      </c>
      <c r="U477" s="132" t="str">
        <f t="shared" si="188"/>
        <v/>
      </c>
      <c r="V477" s="132" t="str">
        <f>IF(ISNUMBER(SEARCH("AHO",Import2[[#This Row],[Tenure]])),"AHO",Import2[[#This Row],[Tenure]])&amp;Import2[[#This Row],[Expected sale completion year]]&amp;Import2[[#This Row],[Expected sale completion month]]</f>
        <v>Open market housing</v>
      </c>
      <c r="W477" s="178">
        <f t="shared" si="172"/>
        <v>0</v>
      </c>
    </row>
    <row r="478" spans="1:23" ht="15" customHeight="1">
      <c r="A478" s="132">
        <f t="shared" si="176"/>
        <v>0</v>
      </c>
      <c r="B478" s="133">
        <v>475</v>
      </c>
      <c r="C478" s="132" t="str">
        <f t="shared" si="177"/>
        <v/>
      </c>
      <c r="D478" s="132">
        <f t="shared" si="186"/>
        <v>0</v>
      </c>
      <c r="E478" s="132">
        <f t="shared" si="186"/>
        <v>0</v>
      </c>
      <c r="F478" s="132">
        <f t="shared" si="178"/>
        <v>0</v>
      </c>
      <c r="G478" s="132" t="str">
        <f t="shared" si="186"/>
        <v>Open market housing</v>
      </c>
      <c r="H478" s="132">
        <f t="shared" si="179"/>
        <v>896440000</v>
      </c>
      <c r="I478" s="132" t="str">
        <f t="shared" si="167"/>
        <v>New build</v>
      </c>
      <c r="J478" s="132">
        <f t="shared" si="180"/>
        <v>391930000</v>
      </c>
      <c r="K478" s="132">
        <f t="shared" si="168"/>
        <v>0</v>
      </c>
      <c r="L478" s="132">
        <f t="shared" si="181"/>
        <v>0</v>
      </c>
      <c r="M478" s="132">
        <f t="shared" si="187"/>
        <v>0</v>
      </c>
      <c r="N478" s="134">
        <f t="shared" si="182"/>
        <v>0</v>
      </c>
      <c r="O478" s="135">
        <f t="shared" si="183"/>
        <v>0</v>
      </c>
      <c r="P478" s="132" t="str">
        <f t="shared" si="170"/>
        <v/>
      </c>
      <c r="Q478" s="132" t="str">
        <f t="shared" si="185"/>
        <v/>
      </c>
      <c r="R478" s="132" t="str">
        <f>IF(ISNUMBER(SEARCH("AHO",Import2[[#This Row],[Tenure]])),"AHO",Import2[[#This Row],[Tenure]])&amp;Import2[[#This Row],[Expected Physical Completion Year]]&amp;Import2[[#This Row],[Expected Physical Completion Month]]</f>
        <v>Open market housing</v>
      </c>
      <c r="S478" s="135">
        <f t="shared" si="184"/>
        <v>0</v>
      </c>
      <c r="T478" s="132" t="str">
        <f t="shared" si="188"/>
        <v/>
      </c>
      <c r="U478" s="132" t="str">
        <f t="shared" si="188"/>
        <v/>
      </c>
      <c r="V478" s="132" t="str">
        <f>IF(ISNUMBER(SEARCH("AHO",Import2[[#This Row],[Tenure]])),"AHO",Import2[[#This Row],[Tenure]])&amp;Import2[[#This Row],[Expected sale completion year]]&amp;Import2[[#This Row],[Expected sale completion month]]</f>
        <v>Open market housing</v>
      </c>
      <c r="W478" s="178">
        <f t="shared" si="172"/>
        <v>0</v>
      </c>
    </row>
    <row r="479" spans="1:23" ht="15" customHeight="1">
      <c r="A479" s="132">
        <f t="shared" si="176"/>
        <v>0</v>
      </c>
      <c r="B479" s="133">
        <v>476</v>
      </c>
      <c r="C479" s="132" t="str">
        <f t="shared" si="177"/>
        <v/>
      </c>
      <c r="D479" s="132">
        <f t="shared" si="186"/>
        <v>0</v>
      </c>
      <c r="E479" s="132">
        <f t="shared" si="186"/>
        <v>0</v>
      </c>
      <c r="F479" s="132">
        <f t="shared" si="178"/>
        <v>0</v>
      </c>
      <c r="G479" s="132" t="str">
        <f t="shared" si="186"/>
        <v>Open market housing</v>
      </c>
      <c r="H479" s="132">
        <f t="shared" si="179"/>
        <v>896440000</v>
      </c>
      <c r="I479" s="132" t="str">
        <f t="shared" si="167"/>
        <v>New build</v>
      </c>
      <c r="J479" s="132">
        <f t="shared" si="180"/>
        <v>391930000</v>
      </c>
      <c r="K479" s="132">
        <f t="shared" si="168"/>
        <v>0</v>
      </c>
      <c r="L479" s="132">
        <f t="shared" si="181"/>
        <v>0</v>
      </c>
      <c r="M479" s="132">
        <f t="shared" si="187"/>
        <v>0</v>
      </c>
      <c r="N479" s="134">
        <f t="shared" si="182"/>
        <v>0</v>
      </c>
      <c r="O479" s="135">
        <f t="shared" si="183"/>
        <v>0</v>
      </c>
      <c r="P479" s="132" t="str">
        <f t="shared" si="170"/>
        <v/>
      </c>
      <c r="Q479" s="132" t="str">
        <f t="shared" si="185"/>
        <v/>
      </c>
      <c r="R479" s="132" t="str">
        <f>IF(ISNUMBER(SEARCH("AHO",Import2[[#This Row],[Tenure]])),"AHO",Import2[[#This Row],[Tenure]])&amp;Import2[[#This Row],[Expected Physical Completion Year]]&amp;Import2[[#This Row],[Expected Physical Completion Month]]</f>
        <v>Open market housing</v>
      </c>
      <c r="S479" s="135">
        <f t="shared" si="184"/>
        <v>0</v>
      </c>
      <c r="T479" s="132" t="str">
        <f t="shared" si="188"/>
        <v/>
      </c>
      <c r="U479" s="132" t="str">
        <f t="shared" si="188"/>
        <v/>
      </c>
      <c r="V479" s="132" t="str">
        <f>IF(ISNUMBER(SEARCH("AHO",Import2[[#This Row],[Tenure]])),"AHO",Import2[[#This Row],[Tenure]])&amp;Import2[[#This Row],[Expected sale completion year]]&amp;Import2[[#This Row],[Expected sale completion month]]</f>
        <v>Open market housing</v>
      </c>
      <c r="W479" s="178">
        <f t="shared" si="172"/>
        <v>0</v>
      </c>
    </row>
    <row r="480" spans="1:23" ht="15" customHeight="1">
      <c r="A480" s="132">
        <f t="shared" si="176"/>
        <v>0</v>
      </c>
      <c r="B480" s="133">
        <v>477</v>
      </c>
      <c r="C480" s="132" t="str">
        <f t="shared" si="177"/>
        <v/>
      </c>
      <c r="D480" s="132">
        <f t="shared" si="186"/>
        <v>0</v>
      </c>
      <c r="E480" s="132">
        <f t="shared" si="186"/>
        <v>0</v>
      </c>
      <c r="F480" s="132">
        <f t="shared" si="178"/>
        <v>0</v>
      </c>
      <c r="G480" s="132" t="str">
        <f t="shared" si="186"/>
        <v>Open market housing</v>
      </c>
      <c r="H480" s="132">
        <f t="shared" si="179"/>
        <v>896440000</v>
      </c>
      <c r="I480" s="132" t="str">
        <f t="shared" si="167"/>
        <v>New build</v>
      </c>
      <c r="J480" s="132">
        <f t="shared" si="180"/>
        <v>391930000</v>
      </c>
      <c r="K480" s="132">
        <f t="shared" si="168"/>
        <v>0</v>
      </c>
      <c r="L480" s="132">
        <f t="shared" si="181"/>
        <v>0</v>
      </c>
      <c r="M480" s="132">
        <f t="shared" si="187"/>
        <v>0</v>
      </c>
      <c r="N480" s="134">
        <f t="shared" si="182"/>
        <v>0</v>
      </c>
      <c r="O480" s="135">
        <f t="shared" si="183"/>
        <v>0</v>
      </c>
      <c r="P480" s="132" t="str">
        <f t="shared" si="170"/>
        <v/>
      </c>
      <c r="Q480" s="132" t="str">
        <f t="shared" si="185"/>
        <v/>
      </c>
      <c r="R480" s="132" t="str">
        <f>IF(ISNUMBER(SEARCH("AHO",Import2[[#This Row],[Tenure]])),"AHO",Import2[[#This Row],[Tenure]])&amp;Import2[[#This Row],[Expected Physical Completion Year]]&amp;Import2[[#This Row],[Expected Physical Completion Month]]</f>
        <v>Open market housing</v>
      </c>
      <c r="S480" s="135">
        <f t="shared" si="184"/>
        <v>0</v>
      </c>
      <c r="T480" s="132" t="str">
        <f t="shared" si="188"/>
        <v/>
      </c>
      <c r="U480" s="132" t="str">
        <f t="shared" si="188"/>
        <v/>
      </c>
      <c r="V480" s="132" t="str">
        <f>IF(ISNUMBER(SEARCH("AHO",Import2[[#This Row],[Tenure]])),"AHO",Import2[[#This Row],[Tenure]])&amp;Import2[[#This Row],[Expected sale completion year]]&amp;Import2[[#This Row],[Expected sale completion month]]</f>
        <v>Open market housing</v>
      </c>
      <c r="W480" s="178">
        <f t="shared" si="172"/>
        <v>0</v>
      </c>
    </row>
    <row r="481" spans="1:23" ht="15" customHeight="1">
      <c r="A481" s="132">
        <f t="shared" si="176"/>
        <v>0</v>
      </c>
      <c r="B481" s="133">
        <v>478</v>
      </c>
      <c r="C481" s="132" t="str">
        <f t="shared" si="177"/>
        <v/>
      </c>
      <c r="D481" s="132">
        <f t="shared" si="186"/>
        <v>0</v>
      </c>
      <c r="E481" s="132">
        <f t="shared" si="186"/>
        <v>0</v>
      </c>
      <c r="F481" s="132">
        <f t="shared" si="178"/>
        <v>0</v>
      </c>
      <c r="G481" s="132" t="str">
        <f t="shared" si="186"/>
        <v>Open market housing</v>
      </c>
      <c r="H481" s="132">
        <f t="shared" si="179"/>
        <v>896440000</v>
      </c>
      <c r="I481" s="132" t="str">
        <f t="shared" si="167"/>
        <v>New build</v>
      </c>
      <c r="J481" s="132">
        <f t="shared" si="180"/>
        <v>391930000</v>
      </c>
      <c r="K481" s="132">
        <f t="shared" si="168"/>
        <v>0</v>
      </c>
      <c r="L481" s="132">
        <f t="shared" si="181"/>
        <v>0</v>
      </c>
      <c r="M481" s="132">
        <f t="shared" si="187"/>
        <v>0</v>
      </c>
      <c r="N481" s="134">
        <f t="shared" si="182"/>
        <v>0</v>
      </c>
      <c r="O481" s="135">
        <f t="shared" si="183"/>
        <v>0</v>
      </c>
      <c r="P481" s="132" t="str">
        <f t="shared" si="170"/>
        <v/>
      </c>
      <c r="Q481" s="132" t="str">
        <f t="shared" si="185"/>
        <v/>
      </c>
      <c r="R481" s="132" t="str">
        <f>IF(ISNUMBER(SEARCH("AHO",Import2[[#This Row],[Tenure]])),"AHO",Import2[[#This Row],[Tenure]])&amp;Import2[[#This Row],[Expected Physical Completion Year]]&amp;Import2[[#This Row],[Expected Physical Completion Month]]</f>
        <v>Open market housing</v>
      </c>
      <c r="S481" s="135">
        <f t="shared" si="184"/>
        <v>0</v>
      </c>
      <c r="T481" s="132" t="str">
        <f t="shared" si="188"/>
        <v/>
      </c>
      <c r="U481" s="132" t="str">
        <f t="shared" si="188"/>
        <v/>
      </c>
      <c r="V481" s="132" t="str">
        <f>IF(ISNUMBER(SEARCH("AHO",Import2[[#This Row],[Tenure]])),"AHO",Import2[[#This Row],[Tenure]])&amp;Import2[[#This Row],[Expected sale completion year]]&amp;Import2[[#This Row],[Expected sale completion month]]</f>
        <v>Open market housing</v>
      </c>
      <c r="W481" s="178">
        <f t="shared" si="172"/>
        <v>0</v>
      </c>
    </row>
    <row r="482" spans="1:23" ht="15" customHeight="1">
      <c r="A482" s="132">
        <f t="shared" si="176"/>
        <v>0</v>
      </c>
      <c r="B482" s="133">
        <v>479</v>
      </c>
      <c r="C482" s="132" t="str">
        <f t="shared" si="177"/>
        <v/>
      </c>
      <c r="D482" s="132">
        <f t="shared" si="186"/>
        <v>0</v>
      </c>
      <c r="E482" s="132">
        <f t="shared" si="186"/>
        <v>0</v>
      </c>
      <c r="F482" s="132">
        <f t="shared" si="178"/>
        <v>0</v>
      </c>
      <c r="G482" s="132" t="str">
        <f t="shared" si="186"/>
        <v>Open market housing</v>
      </c>
      <c r="H482" s="132">
        <f t="shared" si="179"/>
        <v>896440000</v>
      </c>
      <c r="I482" s="132" t="str">
        <f t="shared" si="167"/>
        <v>New build</v>
      </c>
      <c r="J482" s="132">
        <f t="shared" si="180"/>
        <v>391930000</v>
      </c>
      <c r="K482" s="132">
        <f t="shared" si="168"/>
        <v>0</v>
      </c>
      <c r="L482" s="132">
        <f t="shared" si="181"/>
        <v>0</v>
      </c>
      <c r="M482" s="132">
        <f t="shared" si="187"/>
        <v>0</v>
      </c>
      <c r="N482" s="134">
        <f t="shared" si="182"/>
        <v>0</v>
      </c>
      <c r="O482" s="135">
        <f t="shared" si="183"/>
        <v>0</v>
      </c>
      <c r="P482" s="132" t="str">
        <f t="shared" si="170"/>
        <v/>
      </c>
      <c r="Q482" s="132" t="str">
        <f t="shared" si="185"/>
        <v/>
      </c>
      <c r="R482" s="132" t="str">
        <f>IF(ISNUMBER(SEARCH("AHO",Import2[[#This Row],[Tenure]])),"AHO",Import2[[#This Row],[Tenure]])&amp;Import2[[#This Row],[Expected Physical Completion Year]]&amp;Import2[[#This Row],[Expected Physical Completion Month]]</f>
        <v>Open market housing</v>
      </c>
      <c r="S482" s="135">
        <f t="shared" si="184"/>
        <v>0</v>
      </c>
      <c r="T482" s="132" t="str">
        <f t="shared" si="188"/>
        <v/>
      </c>
      <c r="U482" s="132" t="str">
        <f t="shared" si="188"/>
        <v/>
      </c>
      <c r="V482" s="132" t="str">
        <f>IF(ISNUMBER(SEARCH("AHO",Import2[[#This Row],[Tenure]])),"AHO",Import2[[#This Row],[Tenure]])&amp;Import2[[#This Row],[Expected sale completion year]]&amp;Import2[[#This Row],[Expected sale completion month]]</f>
        <v>Open market housing</v>
      </c>
      <c r="W482" s="178">
        <f t="shared" si="172"/>
        <v>0</v>
      </c>
    </row>
    <row r="483" spans="1:23" ht="15" customHeight="1">
      <c r="A483" s="132">
        <f t="shared" si="176"/>
        <v>0</v>
      </c>
      <c r="B483" s="133">
        <v>480</v>
      </c>
      <c r="C483" s="132" t="str">
        <f t="shared" si="177"/>
        <v/>
      </c>
      <c r="D483" s="132">
        <f t="shared" si="186"/>
        <v>0</v>
      </c>
      <c r="E483" s="132">
        <f t="shared" si="186"/>
        <v>0</v>
      </c>
      <c r="F483" s="132">
        <f t="shared" si="178"/>
        <v>0</v>
      </c>
      <c r="G483" s="132" t="str">
        <f t="shared" si="186"/>
        <v>Open market housing</v>
      </c>
      <c r="H483" s="132">
        <f t="shared" si="179"/>
        <v>896440000</v>
      </c>
      <c r="I483" s="132" t="str">
        <f t="shared" si="167"/>
        <v>New build</v>
      </c>
      <c r="J483" s="132">
        <f t="shared" si="180"/>
        <v>391930000</v>
      </c>
      <c r="K483" s="132">
        <f t="shared" si="168"/>
        <v>0</v>
      </c>
      <c r="L483" s="132">
        <f t="shared" si="181"/>
        <v>0</v>
      </c>
      <c r="M483" s="132">
        <f t="shared" si="187"/>
        <v>0</v>
      </c>
      <c r="N483" s="134">
        <f t="shared" si="182"/>
        <v>0</v>
      </c>
      <c r="O483" s="135">
        <f t="shared" si="183"/>
        <v>0</v>
      </c>
      <c r="P483" s="132" t="str">
        <f t="shared" si="170"/>
        <v/>
      </c>
      <c r="Q483" s="132" t="str">
        <f t="shared" si="185"/>
        <v/>
      </c>
      <c r="R483" s="132" t="str">
        <f>IF(ISNUMBER(SEARCH("AHO",Import2[[#This Row],[Tenure]])),"AHO",Import2[[#This Row],[Tenure]])&amp;Import2[[#This Row],[Expected Physical Completion Year]]&amp;Import2[[#This Row],[Expected Physical Completion Month]]</f>
        <v>Open market housing</v>
      </c>
      <c r="S483" s="135">
        <f t="shared" si="184"/>
        <v>0</v>
      </c>
      <c r="T483" s="132" t="str">
        <f t="shared" si="188"/>
        <v/>
      </c>
      <c r="U483" s="132" t="str">
        <f t="shared" si="188"/>
        <v/>
      </c>
      <c r="V483" s="132" t="str">
        <f>IF(ISNUMBER(SEARCH("AHO",Import2[[#This Row],[Tenure]])),"AHO",Import2[[#This Row],[Tenure]])&amp;Import2[[#This Row],[Expected sale completion year]]&amp;Import2[[#This Row],[Expected sale completion month]]</f>
        <v>Open market housing</v>
      </c>
      <c r="W483" s="178">
        <f t="shared" si="172"/>
        <v>0</v>
      </c>
    </row>
    <row r="484" spans="1:23" ht="15" customHeight="1">
      <c r="A484" s="132">
        <f t="shared" si="176"/>
        <v>0</v>
      </c>
      <c r="B484" s="133">
        <v>481</v>
      </c>
      <c r="C484" s="132" t="str">
        <f t="shared" si="177"/>
        <v/>
      </c>
      <c r="D484" s="132">
        <f t="shared" ref="D484:G503" si="189">INDEX(PlotData,MATCH($B484,PlotNumber,0),MATCH(D$3,PlotTitles,0))</f>
        <v>0</v>
      </c>
      <c r="E484" s="132">
        <f t="shared" si="189"/>
        <v>0</v>
      </c>
      <c r="F484" s="132">
        <f t="shared" si="178"/>
        <v>0</v>
      </c>
      <c r="G484" s="132" t="str">
        <f t="shared" si="189"/>
        <v>Open market housing</v>
      </c>
      <c r="H484" s="132">
        <f t="shared" si="179"/>
        <v>896440000</v>
      </c>
      <c r="I484" s="132" t="str">
        <f t="shared" si="167"/>
        <v>New build</v>
      </c>
      <c r="J484" s="132">
        <f t="shared" si="180"/>
        <v>391930000</v>
      </c>
      <c r="K484" s="132">
        <f t="shared" si="168"/>
        <v>0</v>
      </c>
      <c r="L484" s="132">
        <f t="shared" si="181"/>
        <v>0</v>
      </c>
      <c r="M484" s="132">
        <f t="shared" ref="M484:M503" si="190">INDEX(PlotData,MATCH($B484,PlotNumber,0),MATCH(M$3,PlotTitles,0))</f>
        <v>0</v>
      </c>
      <c r="N484" s="134">
        <f t="shared" si="182"/>
        <v>0</v>
      </c>
      <c r="O484" s="135">
        <f t="shared" si="183"/>
        <v>0</v>
      </c>
      <c r="P484" s="132" t="str">
        <f t="shared" si="170"/>
        <v/>
      </c>
      <c r="Q484" s="132" t="str">
        <f t="shared" si="185"/>
        <v/>
      </c>
      <c r="R484" s="132" t="str">
        <f>IF(ISNUMBER(SEARCH("AHO",Import2[[#This Row],[Tenure]])),"AHO",Import2[[#This Row],[Tenure]])&amp;Import2[[#This Row],[Expected Physical Completion Year]]&amp;Import2[[#This Row],[Expected Physical Completion Month]]</f>
        <v>Open market housing</v>
      </c>
      <c r="S484" s="135">
        <f t="shared" si="184"/>
        <v>0</v>
      </c>
      <c r="T484" s="132" t="str">
        <f t="shared" ref="T484:U503" si="191">IF(INDEX(PlotData,MATCH($B484,PlotNumber,0),MATCH(T$3,PlotTitles,0))=0,"",INDEX(PlotData,MATCH($B484,PlotNumber,0),MATCH(T$3,PlotTitles,0)))</f>
        <v/>
      </c>
      <c r="U484" s="132" t="str">
        <f t="shared" si="191"/>
        <v/>
      </c>
      <c r="V484" s="132" t="str">
        <f>IF(ISNUMBER(SEARCH("AHO",Import2[[#This Row],[Tenure]])),"AHO",Import2[[#This Row],[Tenure]])&amp;Import2[[#This Row],[Expected sale completion year]]&amp;Import2[[#This Row],[Expected sale completion month]]</f>
        <v>Open market housing</v>
      </c>
      <c r="W484" s="178">
        <f t="shared" si="172"/>
        <v>0</v>
      </c>
    </row>
    <row r="485" spans="1:23" ht="15" customHeight="1">
      <c r="A485" s="132">
        <f t="shared" si="176"/>
        <v>0</v>
      </c>
      <c r="B485" s="133">
        <v>482</v>
      </c>
      <c r="C485" s="132" t="str">
        <f t="shared" si="177"/>
        <v/>
      </c>
      <c r="D485" s="132">
        <f t="shared" si="189"/>
        <v>0</v>
      </c>
      <c r="E485" s="132">
        <f t="shared" si="189"/>
        <v>0</v>
      </c>
      <c r="F485" s="132">
        <f t="shared" si="178"/>
        <v>0</v>
      </c>
      <c r="G485" s="132" t="str">
        <f t="shared" si="189"/>
        <v>Open market housing</v>
      </c>
      <c r="H485" s="132">
        <f t="shared" si="179"/>
        <v>896440000</v>
      </c>
      <c r="I485" s="132" t="str">
        <f t="shared" si="167"/>
        <v>New build</v>
      </c>
      <c r="J485" s="132">
        <f t="shared" si="180"/>
        <v>391930000</v>
      </c>
      <c r="K485" s="132">
        <f t="shared" si="168"/>
        <v>0</v>
      </c>
      <c r="L485" s="132">
        <f t="shared" si="181"/>
        <v>0</v>
      </c>
      <c r="M485" s="132">
        <f t="shared" si="190"/>
        <v>0</v>
      </c>
      <c r="N485" s="134">
        <f t="shared" si="182"/>
        <v>0</v>
      </c>
      <c r="O485" s="135">
        <f t="shared" si="183"/>
        <v>0</v>
      </c>
      <c r="P485" s="132" t="str">
        <f t="shared" si="170"/>
        <v/>
      </c>
      <c r="Q485" s="132" t="str">
        <f t="shared" si="185"/>
        <v/>
      </c>
      <c r="R485" s="132" t="str">
        <f>IF(ISNUMBER(SEARCH("AHO",Import2[[#This Row],[Tenure]])),"AHO",Import2[[#This Row],[Tenure]])&amp;Import2[[#This Row],[Expected Physical Completion Year]]&amp;Import2[[#This Row],[Expected Physical Completion Month]]</f>
        <v>Open market housing</v>
      </c>
      <c r="S485" s="135">
        <f t="shared" si="184"/>
        <v>0</v>
      </c>
      <c r="T485" s="132" t="str">
        <f t="shared" si="191"/>
        <v/>
      </c>
      <c r="U485" s="132" t="str">
        <f t="shared" si="191"/>
        <v/>
      </c>
      <c r="V485" s="132" t="str">
        <f>IF(ISNUMBER(SEARCH("AHO",Import2[[#This Row],[Tenure]])),"AHO",Import2[[#This Row],[Tenure]])&amp;Import2[[#This Row],[Expected sale completion year]]&amp;Import2[[#This Row],[Expected sale completion month]]</f>
        <v>Open market housing</v>
      </c>
      <c r="W485" s="178">
        <f t="shared" si="172"/>
        <v>0</v>
      </c>
    </row>
    <row r="486" spans="1:23" ht="15" customHeight="1">
      <c r="A486" s="132">
        <f t="shared" si="176"/>
        <v>0</v>
      </c>
      <c r="B486" s="133">
        <v>483</v>
      </c>
      <c r="C486" s="132" t="str">
        <f t="shared" si="177"/>
        <v/>
      </c>
      <c r="D486" s="132">
        <f t="shared" si="189"/>
        <v>0</v>
      </c>
      <c r="E486" s="132">
        <f t="shared" si="189"/>
        <v>0</v>
      </c>
      <c r="F486" s="132">
        <f t="shared" si="178"/>
        <v>0</v>
      </c>
      <c r="G486" s="132" t="str">
        <f t="shared" si="189"/>
        <v>Open market housing</v>
      </c>
      <c r="H486" s="132">
        <f t="shared" si="179"/>
        <v>896440000</v>
      </c>
      <c r="I486" s="132" t="str">
        <f t="shared" si="167"/>
        <v>New build</v>
      </c>
      <c r="J486" s="132">
        <f t="shared" si="180"/>
        <v>391930000</v>
      </c>
      <c r="K486" s="132">
        <f t="shared" si="168"/>
        <v>0</v>
      </c>
      <c r="L486" s="132">
        <f t="shared" si="181"/>
        <v>0</v>
      </c>
      <c r="M486" s="132">
        <f t="shared" si="190"/>
        <v>0</v>
      </c>
      <c r="N486" s="134">
        <f t="shared" si="182"/>
        <v>0</v>
      </c>
      <c r="O486" s="135">
        <f t="shared" si="183"/>
        <v>0</v>
      </c>
      <c r="P486" s="132" t="str">
        <f t="shared" si="170"/>
        <v/>
      </c>
      <c r="Q486" s="132" t="str">
        <f t="shared" si="185"/>
        <v/>
      </c>
      <c r="R486" s="132" t="str">
        <f>IF(ISNUMBER(SEARCH("AHO",Import2[[#This Row],[Tenure]])),"AHO",Import2[[#This Row],[Tenure]])&amp;Import2[[#This Row],[Expected Physical Completion Year]]&amp;Import2[[#This Row],[Expected Physical Completion Month]]</f>
        <v>Open market housing</v>
      </c>
      <c r="S486" s="135">
        <f t="shared" si="184"/>
        <v>0</v>
      </c>
      <c r="T486" s="132" t="str">
        <f t="shared" si="191"/>
        <v/>
      </c>
      <c r="U486" s="132" t="str">
        <f t="shared" si="191"/>
        <v/>
      </c>
      <c r="V486" s="132" t="str">
        <f>IF(ISNUMBER(SEARCH("AHO",Import2[[#This Row],[Tenure]])),"AHO",Import2[[#This Row],[Tenure]])&amp;Import2[[#This Row],[Expected sale completion year]]&amp;Import2[[#This Row],[Expected sale completion month]]</f>
        <v>Open market housing</v>
      </c>
      <c r="W486" s="178">
        <f t="shared" si="172"/>
        <v>0</v>
      </c>
    </row>
    <row r="487" spans="1:23" ht="15" customHeight="1">
      <c r="A487" s="132">
        <f t="shared" si="176"/>
        <v>0</v>
      </c>
      <c r="B487" s="133">
        <v>484</v>
      </c>
      <c r="C487" s="132" t="str">
        <f t="shared" si="177"/>
        <v/>
      </c>
      <c r="D487" s="132">
        <f t="shared" si="189"/>
        <v>0</v>
      </c>
      <c r="E487" s="132">
        <f t="shared" si="189"/>
        <v>0</v>
      </c>
      <c r="F487" s="132">
        <f t="shared" si="178"/>
        <v>0</v>
      </c>
      <c r="G487" s="132" t="str">
        <f t="shared" si="189"/>
        <v>Open market housing</v>
      </c>
      <c r="H487" s="132">
        <f t="shared" si="179"/>
        <v>896440000</v>
      </c>
      <c r="I487" s="132" t="str">
        <f t="shared" si="167"/>
        <v>New build</v>
      </c>
      <c r="J487" s="132">
        <f t="shared" si="180"/>
        <v>391930000</v>
      </c>
      <c r="K487" s="132">
        <f t="shared" si="168"/>
        <v>0</v>
      </c>
      <c r="L487" s="132">
        <f t="shared" si="181"/>
        <v>0</v>
      </c>
      <c r="M487" s="132">
        <f t="shared" si="190"/>
        <v>0</v>
      </c>
      <c r="N487" s="134">
        <f t="shared" si="182"/>
        <v>0</v>
      </c>
      <c r="O487" s="135">
        <f t="shared" si="183"/>
        <v>0</v>
      </c>
      <c r="P487" s="132" t="str">
        <f t="shared" si="170"/>
        <v/>
      </c>
      <c r="Q487" s="132" t="str">
        <f t="shared" si="185"/>
        <v/>
      </c>
      <c r="R487" s="132" t="str">
        <f>IF(ISNUMBER(SEARCH("AHO",Import2[[#This Row],[Tenure]])),"AHO",Import2[[#This Row],[Tenure]])&amp;Import2[[#This Row],[Expected Physical Completion Year]]&amp;Import2[[#This Row],[Expected Physical Completion Month]]</f>
        <v>Open market housing</v>
      </c>
      <c r="S487" s="135">
        <f t="shared" si="184"/>
        <v>0</v>
      </c>
      <c r="T487" s="132" t="str">
        <f t="shared" si="191"/>
        <v/>
      </c>
      <c r="U487" s="132" t="str">
        <f t="shared" si="191"/>
        <v/>
      </c>
      <c r="V487" s="132" t="str">
        <f>IF(ISNUMBER(SEARCH("AHO",Import2[[#This Row],[Tenure]])),"AHO",Import2[[#This Row],[Tenure]])&amp;Import2[[#This Row],[Expected sale completion year]]&amp;Import2[[#This Row],[Expected sale completion month]]</f>
        <v>Open market housing</v>
      </c>
      <c r="W487" s="178">
        <f t="shared" si="172"/>
        <v>0</v>
      </c>
    </row>
    <row r="488" spans="1:23" ht="15" customHeight="1">
      <c r="A488" s="132">
        <f t="shared" si="176"/>
        <v>0</v>
      </c>
      <c r="B488" s="133">
        <v>485</v>
      </c>
      <c r="C488" s="132" t="str">
        <f t="shared" si="177"/>
        <v/>
      </c>
      <c r="D488" s="132">
        <f t="shared" si="189"/>
        <v>0</v>
      </c>
      <c r="E488" s="132">
        <f t="shared" si="189"/>
        <v>0</v>
      </c>
      <c r="F488" s="132">
        <f t="shared" si="178"/>
        <v>0</v>
      </c>
      <c r="G488" s="132" t="str">
        <f t="shared" si="189"/>
        <v>Open market housing</v>
      </c>
      <c r="H488" s="132">
        <f t="shared" si="179"/>
        <v>896440000</v>
      </c>
      <c r="I488" s="132" t="str">
        <f t="shared" ref="I488:I551" si="192">INDEX(PlotData,MATCH($B488,PlotNumber,0),MATCH(I$3,PlotTitles,0))</f>
        <v>New build</v>
      </c>
      <c r="J488" s="132">
        <f t="shared" si="180"/>
        <v>391930000</v>
      </c>
      <c r="K488" s="132">
        <f t="shared" ref="K488:K551" si="193">INDEX(PlotData,MATCH($B488,PlotNumber,0),MATCH(K$3,PlotTitles,0))</f>
        <v>0</v>
      </c>
      <c r="L488" s="132">
        <f t="shared" si="181"/>
        <v>0</v>
      </c>
      <c r="M488" s="132">
        <f t="shared" si="190"/>
        <v>0</v>
      </c>
      <c r="N488" s="134">
        <f t="shared" si="182"/>
        <v>0</v>
      </c>
      <c r="O488" s="135">
        <f t="shared" si="183"/>
        <v>0</v>
      </c>
      <c r="P488" s="132" t="str">
        <f t="shared" ref="P488:P551" si="194">IF(INDEX(PlotData,MATCH($B488,PlotNumber,0),MATCH(P$3,PlotTitles,0))=0,"",INDEX(PlotData,MATCH($B488,PlotNumber,0),MATCH(P$3,PlotTitles,0)))</f>
        <v/>
      </c>
      <c r="Q488" s="132" t="str">
        <f t="shared" si="185"/>
        <v/>
      </c>
      <c r="R488" s="132" t="str">
        <f>IF(ISNUMBER(SEARCH("AHO",Import2[[#This Row],[Tenure]])),"AHO",Import2[[#This Row],[Tenure]])&amp;Import2[[#This Row],[Expected Physical Completion Year]]&amp;Import2[[#This Row],[Expected Physical Completion Month]]</f>
        <v>Open market housing</v>
      </c>
      <c r="S488" s="135">
        <f t="shared" si="184"/>
        <v>0</v>
      </c>
      <c r="T488" s="132" t="str">
        <f t="shared" si="191"/>
        <v/>
      </c>
      <c r="U488" s="132" t="str">
        <f t="shared" si="191"/>
        <v/>
      </c>
      <c r="V488" s="132" t="str">
        <f>IF(ISNUMBER(SEARCH("AHO",Import2[[#This Row],[Tenure]])),"AHO",Import2[[#This Row],[Tenure]])&amp;Import2[[#This Row],[Expected sale completion year]]&amp;Import2[[#This Row],[Expected sale completion month]]</f>
        <v>Open market housing</v>
      </c>
      <c r="W488" s="178">
        <f t="shared" ref="W488:W551" si="195">INDEX(PlotData,MATCH($B488,PlotNumber,0),MATCH(W$3,PlotTitles,0))</f>
        <v>0</v>
      </c>
    </row>
    <row r="489" spans="1:23" ht="15" customHeight="1">
      <c r="A489" s="132">
        <f t="shared" si="176"/>
        <v>0</v>
      </c>
      <c r="B489" s="133">
        <v>486</v>
      </c>
      <c r="C489" s="132" t="str">
        <f t="shared" si="177"/>
        <v/>
      </c>
      <c r="D489" s="132">
        <f t="shared" si="189"/>
        <v>0</v>
      </c>
      <c r="E489" s="132">
        <f t="shared" si="189"/>
        <v>0</v>
      </c>
      <c r="F489" s="132">
        <f t="shared" si="178"/>
        <v>0</v>
      </c>
      <c r="G489" s="132" t="str">
        <f t="shared" si="189"/>
        <v>Open market housing</v>
      </c>
      <c r="H489" s="132">
        <f t="shared" si="179"/>
        <v>896440000</v>
      </c>
      <c r="I489" s="132" t="str">
        <f t="shared" si="192"/>
        <v>New build</v>
      </c>
      <c r="J489" s="132">
        <f t="shared" si="180"/>
        <v>391930000</v>
      </c>
      <c r="K489" s="132">
        <f t="shared" si="193"/>
        <v>0</v>
      </c>
      <c r="L489" s="132">
        <f t="shared" si="181"/>
        <v>0</v>
      </c>
      <c r="M489" s="132">
        <f t="shared" si="190"/>
        <v>0</v>
      </c>
      <c r="N489" s="134">
        <f t="shared" si="182"/>
        <v>0</v>
      </c>
      <c r="O489" s="135">
        <f t="shared" si="183"/>
        <v>0</v>
      </c>
      <c r="P489" s="132" t="str">
        <f t="shared" si="194"/>
        <v/>
      </c>
      <c r="Q489" s="132" t="str">
        <f t="shared" si="185"/>
        <v/>
      </c>
      <c r="R489" s="132" t="str">
        <f>IF(ISNUMBER(SEARCH("AHO",Import2[[#This Row],[Tenure]])),"AHO",Import2[[#This Row],[Tenure]])&amp;Import2[[#This Row],[Expected Physical Completion Year]]&amp;Import2[[#This Row],[Expected Physical Completion Month]]</f>
        <v>Open market housing</v>
      </c>
      <c r="S489" s="135">
        <f t="shared" si="184"/>
        <v>0</v>
      </c>
      <c r="T489" s="132" t="str">
        <f t="shared" si="191"/>
        <v/>
      </c>
      <c r="U489" s="132" t="str">
        <f t="shared" si="191"/>
        <v/>
      </c>
      <c r="V489" s="132" t="str">
        <f>IF(ISNUMBER(SEARCH("AHO",Import2[[#This Row],[Tenure]])),"AHO",Import2[[#This Row],[Tenure]])&amp;Import2[[#This Row],[Expected sale completion year]]&amp;Import2[[#This Row],[Expected sale completion month]]</f>
        <v>Open market housing</v>
      </c>
      <c r="W489" s="178">
        <f t="shared" si="195"/>
        <v>0</v>
      </c>
    </row>
    <row r="490" spans="1:23" ht="15" customHeight="1">
      <c r="A490" s="132">
        <f t="shared" si="176"/>
        <v>0</v>
      </c>
      <c r="B490" s="133">
        <v>487</v>
      </c>
      <c r="C490" s="132" t="str">
        <f t="shared" si="177"/>
        <v/>
      </c>
      <c r="D490" s="132">
        <f t="shared" si="189"/>
        <v>0</v>
      </c>
      <c r="E490" s="132">
        <f t="shared" si="189"/>
        <v>0</v>
      </c>
      <c r="F490" s="132">
        <f t="shared" si="178"/>
        <v>0</v>
      </c>
      <c r="G490" s="132" t="str">
        <f t="shared" si="189"/>
        <v>Open market housing</v>
      </c>
      <c r="H490" s="132">
        <f t="shared" si="179"/>
        <v>896440000</v>
      </c>
      <c r="I490" s="132" t="str">
        <f t="shared" si="192"/>
        <v>New build</v>
      </c>
      <c r="J490" s="132">
        <f t="shared" si="180"/>
        <v>391930000</v>
      </c>
      <c r="K490" s="132">
        <f t="shared" si="193"/>
        <v>0</v>
      </c>
      <c r="L490" s="132">
        <f t="shared" si="181"/>
        <v>0</v>
      </c>
      <c r="M490" s="132">
        <f t="shared" si="190"/>
        <v>0</v>
      </c>
      <c r="N490" s="134">
        <f t="shared" si="182"/>
        <v>0</v>
      </c>
      <c r="O490" s="135">
        <f t="shared" si="183"/>
        <v>0</v>
      </c>
      <c r="P490" s="132" t="str">
        <f t="shared" si="194"/>
        <v/>
      </c>
      <c r="Q490" s="132" t="str">
        <f t="shared" si="185"/>
        <v/>
      </c>
      <c r="R490" s="132" t="str">
        <f>IF(ISNUMBER(SEARCH("AHO",Import2[[#This Row],[Tenure]])),"AHO",Import2[[#This Row],[Tenure]])&amp;Import2[[#This Row],[Expected Physical Completion Year]]&amp;Import2[[#This Row],[Expected Physical Completion Month]]</f>
        <v>Open market housing</v>
      </c>
      <c r="S490" s="135">
        <f t="shared" si="184"/>
        <v>0</v>
      </c>
      <c r="T490" s="132" t="str">
        <f t="shared" si="191"/>
        <v/>
      </c>
      <c r="U490" s="132" t="str">
        <f t="shared" si="191"/>
        <v/>
      </c>
      <c r="V490" s="132" t="str">
        <f>IF(ISNUMBER(SEARCH("AHO",Import2[[#This Row],[Tenure]])),"AHO",Import2[[#This Row],[Tenure]])&amp;Import2[[#This Row],[Expected sale completion year]]&amp;Import2[[#This Row],[Expected sale completion month]]</f>
        <v>Open market housing</v>
      </c>
      <c r="W490" s="178">
        <f t="shared" si="195"/>
        <v>0</v>
      </c>
    </row>
    <row r="491" spans="1:23" ht="15" customHeight="1">
      <c r="A491" s="132">
        <f t="shared" si="176"/>
        <v>0</v>
      </c>
      <c r="B491" s="133">
        <v>488</v>
      </c>
      <c r="C491" s="132" t="str">
        <f t="shared" si="177"/>
        <v/>
      </c>
      <c r="D491" s="132">
        <f t="shared" si="189"/>
        <v>0</v>
      </c>
      <c r="E491" s="132">
        <f t="shared" si="189"/>
        <v>0</v>
      </c>
      <c r="F491" s="132">
        <f t="shared" si="178"/>
        <v>0</v>
      </c>
      <c r="G491" s="132" t="str">
        <f t="shared" si="189"/>
        <v>Open market housing</v>
      </c>
      <c r="H491" s="132">
        <f t="shared" si="179"/>
        <v>896440000</v>
      </c>
      <c r="I491" s="132" t="str">
        <f t="shared" si="192"/>
        <v>New build</v>
      </c>
      <c r="J491" s="132">
        <f t="shared" si="180"/>
        <v>391930000</v>
      </c>
      <c r="K491" s="132">
        <f t="shared" si="193"/>
        <v>0</v>
      </c>
      <c r="L491" s="132">
        <f t="shared" si="181"/>
        <v>0</v>
      </c>
      <c r="M491" s="132">
        <f t="shared" si="190"/>
        <v>0</v>
      </c>
      <c r="N491" s="134">
        <f t="shared" si="182"/>
        <v>0</v>
      </c>
      <c r="O491" s="135">
        <f t="shared" si="183"/>
        <v>0</v>
      </c>
      <c r="P491" s="132" t="str">
        <f t="shared" si="194"/>
        <v/>
      </c>
      <c r="Q491" s="132" t="str">
        <f t="shared" si="185"/>
        <v/>
      </c>
      <c r="R491" s="132" t="str">
        <f>IF(ISNUMBER(SEARCH("AHO",Import2[[#This Row],[Tenure]])),"AHO",Import2[[#This Row],[Tenure]])&amp;Import2[[#This Row],[Expected Physical Completion Year]]&amp;Import2[[#This Row],[Expected Physical Completion Month]]</f>
        <v>Open market housing</v>
      </c>
      <c r="S491" s="135">
        <f t="shared" si="184"/>
        <v>0</v>
      </c>
      <c r="T491" s="132" t="str">
        <f t="shared" si="191"/>
        <v/>
      </c>
      <c r="U491" s="132" t="str">
        <f t="shared" si="191"/>
        <v/>
      </c>
      <c r="V491" s="132" t="str">
        <f>IF(ISNUMBER(SEARCH("AHO",Import2[[#This Row],[Tenure]])),"AHO",Import2[[#This Row],[Tenure]])&amp;Import2[[#This Row],[Expected sale completion year]]&amp;Import2[[#This Row],[Expected sale completion month]]</f>
        <v>Open market housing</v>
      </c>
      <c r="W491" s="178">
        <f t="shared" si="195"/>
        <v>0</v>
      </c>
    </row>
    <row r="492" spans="1:23" ht="15" customHeight="1">
      <c r="A492" s="132">
        <f t="shared" si="176"/>
        <v>0</v>
      </c>
      <c r="B492" s="133">
        <v>489</v>
      </c>
      <c r="C492" s="132" t="str">
        <f t="shared" si="177"/>
        <v/>
      </c>
      <c r="D492" s="132">
        <f t="shared" si="189"/>
        <v>0</v>
      </c>
      <c r="E492" s="132">
        <f t="shared" si="189"/>
        <v>0</v>
      </c>
      <c r="F492" s="132">
        <f t="shared" si="178"/>
        <v>0</v>
      </c>
      <c r="G492" s="132" t="str">
        <f t="shared" si="189"/>
        <v>Open market housing</v>
      </c>
      <c r="H492" s="132">
        <f t="shared" si="179"/>
        <v>896440000</v>
      </c>
      <c r="I492" s="132" t="str">
        <f t="shared" si="192"/>
        <v>New build</v>
      </c>
      <c r="J492" s="132">
        <f t="shared" si="180"/>
        <v>391930000</v>
      </c>
      <c r="K492" s="132">
        <f t="shared" si="193"/>
        <v>0</v>
      </c>
      <c r="L492" s="132">
        <f t="shared" si="181"/>
        <v>0</v>
      </c>
      <c r="M492" s="132">
        <f t="shared" si="190"/>
        <v>0</v>
      </c>
      <c r="N492" s="134">
        <f t="shared" si="182"/>
        <v>0</v>
      </c>
      <c r="O492" s="135">
        <f t="shared" si="183"/>
        <v>0</v>
      </c>
      <c r="P492" s="132" t="str">
        <f t="shared" si="194"/>
        <v/>
      </c>
      <c r="Q492" s="132" t="str">
        <f t="shared" si="185"/>
        <v/>
      </c>
      <c r="R492" s="132" t="str">
        <f>IF(ISNUMBER(SEARCH("AHO",Import2[[#This Row],[Tenure]])),"AHO",Import2[[#This Row],[Tenure]])&amp;Import2[[#This Row],[Expected Physical Completion Year]]&amp;Import2[[#This Row],[Expected Physical Completion Month]]</f>
        <v>Open market housing</v>
      </c>
      <c r="S492" s="135">
        <f t="shared" si="184"/>
        <v>0</v>
      </c>
      <c r="T492" s="132" t="str">
        <f t="shared" si="191"/>
        <v/>
      </c>
      <c r="U492" s="132" t="str">
        <f t="shared" si="191"/>
        <v/>
      </c>
      <c r="V492" s="132" t="str">
        <f>IF(ISNUMBER(SEARCH("AHO",Import2[[#This Row],[Tenure]])),"AHO",Import2[[#This Row],[Tenure]])&amp;Import2[[#This Row],[Expected sale completion year]]&amp;Import2[[#This Row],[Expected sale completion month]]</f>
        <v>Open market housing</v>
      </c>
      <c r="W492" s="178">
        <f t="shared" si="195"/>
        <v>0</v>
      </c>
    </row>
    <row r="493" spans="1:23" ht="15" customHeight="1">
      <c r="A493" s="132">
        <f t="shared" si="176"/>
        <v>0</v>
      </c>
      <c r="B493" s="133">
        <v>490</v>
      </c>
      <c r="C493" s="132" t="str">
        <f t="shared" si="177"/>
        <v/>
      </c>
      <c r="D493" s="132">
        <f t="shared" si="189"/>
        <v>0</v>
      </c>
      <c r="E493" s="132">
        <f t="shared" si="189"/>
        <v>0</v>
      </c>
      <c r="F493" s="132">
        <f t="shared" si="178"/>
        <v>0</v>
      </c>
      <c r="G493" s="132" t="str">
        <f t="shared" si="189"/>
        <v>Open market housing</v>
      </c>
      <c r="H493" s="132">
        <f t="shared" si="179"/>
        <v>896440000</v>
      </c>
      <c r="I493" s="132" t="str">
        <f t="shared" si="192"/>
        <v>New build</v>
      </c>
      <c r="J493" s="132">
        <f t="shared" si="180"/>
        <v>391930000</v>
      </c>
      <c r="K493" s="132">
        <f t="shared" si="193"/>
        <v>0</v>
      </c>
      <c r="L493" s="132">
        <f t="shared" si="181"/>
        <v>0</v>
      </c>
      <c r="M493" s="132">
        <f t="shared" si="190"/>
        <v>0</v>
      </c>
      <c r="N493" s="134">
        <f t="shared" si="182"/>
        <v>0</v>
      </c>
      <c r="O493" s="135">
        <f t="shared" si="183"/>
        <v>0</v>
      </c>
      <c r="P493" s="132" t="str">
        <f t="shared" si="194"/>
        <v/>
      </c>
      <c r="Q493" s="132" t="str">
        <f t="shared" si="185"/>
        <v/>
      </c>
      <c r="R493" s="132" t="str">
        <f>IF(ISNUMBER(SEARCH("AHO",Import2[[#This Row],[Tenure]])),"AHO",Import2[[#This Row],[Tenure]])&amp;Import2[[#This Row],[Expected Physical Completion Year]]&amp;Import2[[#This Row],[Expected Physical Completion Month]]</f>
        <v>Open market housing</v>
      </c>
      <c r="S493" s="135">
        <f t="shared" si="184"/>
        <v>0</v>
      </c>
      <c r="T493" s="132" t="str">
        <f t="shared" si="191"/>
        <v/>
      </c>
      <c r="U493" s="132" t="str">
        <f t="shared" si="191"/>
        <v/>
      </c>
      <c r="V493" s="132" t="str">
        <f>IF(ISNUMBER(SEARCH("AHO",Import2[[#This Row],[Tenure]])),"AHO",Import2[[#This Row],[Tenure]])&amp;Import2[[#This Row],[Expected sale completion year]]&amp;Import2[[#This Row],[Expected sale completion month]]</f>
        <v>Open market housing</v>
      </c>
      <c r="W493" s="178">
        <f t="shared" si="195"/>
        <v>0</v>
      </c>
    </row>
    <row r="494" spans="1:23" ht="15" customHeight="1">
      <c r="A494" s="132">
        <f t="shared" si="176"/>
        <v>0</v>
      </c>
      <c r="B494" s="133">
        <v>491</v>
      </c>
      <c r="C494" s="132" t="str">
        <f t="shared" si="177"/>
        <v/>
      </c>
      <c r="D494" s="132">
        <f t="shared" si="189"/>
        <v>0</v>
      </c>
      <c r="E494" s="132">
        <f t="shared" si="189"/>
        <v>0</v>
      </c>
      <c r="F494" s="132">
        <f t="shared" si="178"/>
        <v>0</v>
      </c>
      <c r="G494" s="132" t="str">
        <f t="shared" si="189"/>
        <v>Open market housing</v>
      </c>
      <c r="H494" s="132">
        <f t="shared" si="179"/>
        <v>896440000</v>
      </c>
      <c r="I494" s="132" t="str">
        <f t="shared" si="192"/>
        <v>New build</v>
      </c>
      <c r="J494" s="132">
        <f t="shared" si="180"/>
        <v>391930000</v>
      </c>
      <c r="K494" s="132">
        <f t="shared" si="193"/>
        <v>0</v>
      </c>
      <c r="L494" s="132">
        <f t="shared" si="181"/>
        <v>0</v>
      </c>
      <c r="M494" s="132">
        <f t="shared" si="190"/>
        <v>0</v>
      </c>
      <c r="N494" s="134">
        <f t="shared" si="182"/>
        <v>0</v>
      </c>
      <c r="O494" s="135">
        <f t="shared" si="183"/>
        <v>0</v>
      </c>
      <c r="P494" s="132" t="str">
        <f t="shared" si="194"/>
        <v/>
      </c>
      <c r="Q494" s="132" t="str">
        <f t="shared" si="185"/>
        <v/>
      </c>
      <c r="R494" s="132" t="str">
        <f>IF(ISNUMBER(SEARCH("AHO",Import2[[#This Row],[Tenure]])),"AHO",Import2[[#This Row],[Tenure]])&amp;Import2[[#This Row],[Expected Physical Completion Year]]&amp;Import2[[#This Row],[Expected Physical Completion Month]]</f>
        <v>Open market housing</v>
      </c>
      <c r="S494" s="135">
        <f t="shared" si="184"/>
        <v>0</v>
      </c>
      <c r="T494" s="132" t="str">
        <f t="shared" si="191"/>
        <v/>
      </c>
      <c r="U494" s="132" t="str">
        <f t="shared" si="191"/>
        <v/>
      </c>
      <c r="V494" s="132" t="str">
        <f>IF(ISNUMBER(SEARCH("AHO",Import2[[#This Row],[Tenure]])),"AHO",Import2[[#This Row],[Tenure]])&amp;Import2[[#This Row],[Expected sale completion year]]&amp;Import2[[#This Row],[Expected sale completion month]]</f>
        <v>Open market housing</v>
      </c>
      <c r="W494" s="178">
        <f t="shared" si="195"/>
        <v>0</v>
      </c>
    </row>
    <row r="495" spans="1:23" ht="15" customHeight="1">
      <c r="A495" s="132">
        <f t="shared" si="176"/>
        <v>0</v>
      </c>
      <c r="B495" s="133">
        <v>492</v>
      </c>
      <c r="C495" s="132" t="str">
        <f t="shared" si="177"/>
        <v/>
      </c>
      <c r="D495" s="132">
        <f t="shared" si="189"/>
        <v>0</v>
      </c>
      <c r="E495" s="132">
        <f t="shared" si="189"/>
        <v>0</v>
      </c>
      <c r="F495" s="132">
        <f t="shared" si="178"/>
        <v>0</v>
      </c>
      <c r="G495" s="132" t="str">
        <f t="shared" si="189"/>
        <v>Open market housing</v>
      </c>
      <c r="H495" s="132">
        <f t="shared" si="179"/>
        <v>896440000</v>
      </c>
      <c r="I495" s="132" t="str">
        <f t="shared" si="192"/>
        <v>New build</v>
      </c>
      <c r="J495" s="132">
        <f t="shared" si="180"/>
        <v>391930000</v>
      </c>
      <c r="K495" s="132">
        <f t="shared" si="193"/>
        <v>0</v>
      </c>
      <c r="L495" s="132">
        <f t="shared" si="181"/>
        <v>0</v>
      </c>
      <c r="M495" s="132">
        <f t="shared" si="190"/>
        <v>0</v>
      </c>
      <c r="N495" s="134">
        <f t="shared" si="182"/>
        <v>0</v>
      </c>
      <c r="O495" s="135">
        <f t="shared" si="183"/>
        <v>0</v>
      </c>
      <c r="P495" s="132" t="str">
        <f t="shared" si="194"/>
        <v/>
      </c>
      <c r="Q495" s="132" t="str">
        <f t="shared" si="185"/>
        <v/>
      </c>
      <c r="R495" s="132" t="str">
        <f>IF(ISNUMBER(SEARCH("AHO",Import2[[#This Row],[Tenure]])),"AHO",Import2[[#This Row],[Tenure]])&amp;Import2[[#This Row],[Expected Physical Completion Year]]&amp;Import2[[#This Row],[Expected Physical Completion Month]]</f>
        <v>Open market housing</v>
      </c>
      <c r="S495" s="135">
        <f t="shared" si="184"/>
        <v>0</v>
      </c>
      <c r="T495" s="132" t="str">
        <f t="shared" si="191"/>
        <v/>
      </c>
      <c r="U495" s="132" t="str">
        <f t="shared" si="191"/>
        <v/>
      </c>
      <c r="V495" s="132" t="str">
        <f>IF(ISNUMBER(SEARCH("AHO",Import2[[#This Row],[Tenure]])),"AHO",Import2[[#This Row],[Tenure]])&amp;Import2[[#This Row],[Expected sale completion year]]&amp;Import2[[#This Row],[Expected sale completion month]]</f>
        <v>Open market housing</v>
      </c>
      <c r="W495" s="178">
        <f t="shared" si="195"/>
        <v>0</v>
      </c>
    </row>
    <row r="496" spans="1:23" ht="15" customHeight="1">
      <c r="A496" s="132">
        <f t="shared" si="176"/>
        <v>0</v>
      </c>
      <c r="B496" s="133">
        <v>493</v>
      </c>
      <c r="C496" s="132" t="str">
        <f t="shared" si="177"/>
        <v/>
      </c>
      <c r="D496" s="132">
        <f t="shared" si="189"/>
        <v>0</v>
      </c>
      <c r="E496" s="132">
        <f t="shared" si="189"/>
        <v>0</v>
      </c>
      <c r="F496" s="132">
        <f t="shared" si="178"/>
        <v>0</v>
      </c>
      <c r="G496" s="132" t="str">
        <f t="shared" si="189"/>
        <v>Open market housing</v>
      </c>
      <c r="H496" s="132">
        <f t="shared" si="179"/>
        <v>896440000</v>
      </c>
      <c r="I496" s="132" t="str">
        <f t="shared" si="192"/>
        <v>New build</v>
      </c>
      <c r="J496" s="132">
        <f t="shared" si="180"/>
        <v>391930000</v>
      </c>
      <c r="K496" s="132">
        <f t="shared" si="193"/>
        <v>0</v>
      </c>
      <c r="L496" s="132">
        <f t="shared" si="181"/>
        <v>0</v>
      </c>
      <c r="M496" s="132">
        <f t="shared" si="190"/>
        <v>0</v>
      </c>
      <c r="N496" s="134">
        <f t="shared" si="182"/>
        <v>0</v>
      </c>
      <c r="O496" s="135">
        <f t="shared" si="183"/>
        <v>0</v>
      </c>
      <c r="P496" s="132" t="str">
        <f t="shared" si="194"/>
        <v/>
      </c>
      <c r="Q496" s="132" t="str">
        <f t="shared" si="185"/>
        <v/>
      </c>
      <c r="R496" s="132" t="str">
        <f>IF(ISNUMBER(SEARCH("AHO",Import2[[#This Row],[Tenure]])),"AHO",Import2[[#This Row],[Tenure]])&amp;Import2[[#This Row],[Expected Physical Completion Year]]&amp;Import2[[#This Row],[Expected Physical Completion Month]]</f>
        <v>Open market housing</v>
      </c>
      <c r="S496" s="135">
        <f t="shared" si="184"/>
        <v>0</v>
      </c>
      <c r="T496" s="132" t="str">
        <f t="shared" si="191"/>
        <v/>
      </c>
      <c r="U496" s="132" t="str">
        <f t="shared" si="191"/>
        <v/>
      </c>
      <c r="V496" s="132" t="str">
        <f>IF(ISNUMBER(SEARCH("AHO",Import2[[#This Row],[Tenure]])),"AHO",Import2[[#This Row],[Tenure]])&amp;Import2[[#This Row],[Expected sale completion year]]&amp;Import2[[#This Row],[Expected sale completion month]]</f>
        <v>Open market housing</v>
      </c>
      <c r="W496" s="178">
        <f t="shared" si="195"/>
        <v>0</v>
      </c>
    </row>
    <row r="497" spans="1:23" ht="15" customHeight="1">
      <c r="A497" s="132">
        <f t="shared" si="176"/>
        <v>0</v>
      </c>
      <c r="B497" s="133">
        <v>494</v>
      </c>
      <c r="C497" s="132" t="str">
        <f t="shared" si="177"/>
        <v/>
      </c>
      <c r="D497" s="132">
        <f t="shared" si="189"/>
        <v>0</v>
      </c>
      <c r="E497" s="132">
        <f t="shared" si="189"/>
        <v>0</v>
      </c>
      <c r="F497" s="132">
        <f t="shared" si="178"/>
        <v>0</v>
      </c>
      <c r="G497" s="132" t="str">
        <f t="shared" si="189"/>
        <v>Open market housing</v>
      </c>
      <c r="H497" s="132">
        <f t="shared" si="179"/>
        <v>896440000</v>
      </c>
      <c r="I497" s="132" t="str">
        <f t="shared" si="192"/>
        <v>New build</v>
      </c>
      <c r="J497" s="132">
        <f t="shared" si="180"/>
        <v>391930000</v>
      </c>
      <c r="K497" s="132">
        <f t="shared" si="193"/>
        <v>0</v>
      </c>
      <c r="L497" s="132">
        <f t="shared" si="181"/>
        <v>0</v>
      </c>
      <c r="M497" s="132">
        <f t="shared" si="190"/>
        <v>0</v>
      </c>
      <c r="N497" s="134">
        <f t="shared" si="182"/>
        <v>0</v>
      </c>
      <c r="O497" s="135">
        <f t="shared" si="183"/>
        <v>0</v>
      </c>
      <c r="P497" s="132" t="str">
        <f t="shared" si="194"/>
        <v/>
      </c>
      <c r="Q497" s="132" t="str">
        <f t="shared" si="185"/>
        <v/>
      </c>
      <c r="R497" s="132" t="str">
        <f>IF(ISNUMBER(SEARCH("AHO",Import2[[#This Row],[Tenure]])),"AHO",Import2[[#This Row],[Tenure]])&amp;Import2[[#This Row],[Expected Physical Completion Year]]&amp;Import2[[#This Row],[Expected Physical Completion Month]]</f>
        <v>Open market housing</v>
      </c>
      <c r="S497" s="135">
        <f t="shared" si="184"/>
        <v>0</v>
      </c>
      <c r="T497" s="132" t="str">
        <f t="shared" si="191"/>
        <v/>
      </c>
      <c r="U497" s="132" t="str">
        <f t="shared" si="191"/>
        <v/>
      </c>
      <c r="V497" s="132" t="str">
        <f>IF(ISNUMBER(SEARCH("AHO",Import2[[#This Row],[Tenure]])),"AHO",Import2[[#This Row],[Tenure]])&amp;Import2[[#This Row],[Expected sale completion year]]&amp;Import2[[#This Row],[Expected sale completion month]]</f>
        <v>Open market housing</v>
      </c>
      <c r="W497" s="178">
        <f t="shared" si="195"/>
        <v>0</v>
      </c>
    </row>
    <row r="498" spans="1:23" ht="15" customHeight="1">
      <c r="A498" s="132">
        <f t="shared" si="176"/>
        <v>0</v>
      </c>
      <c r="B498" s="133">
        <v>495</v>
      </c>
      <c r="C498" s="132" t="str">
        <f t="shared" si="177"/>
        <v/>
      </c>
      <c r="D498" s="132">
        <f t="shared" si="189"/>
        <v>0</v>
      </c>
      <c r="E498" s="132">
        <f t="shared" si="189"/>
        <v>0</v>
      </c>
      <c r="F498" s="132">
        <f t="shared" si="178"/>
        <v>0</v>
      </c>
      <c r="G498" s="132" t="str">
        <f t="shared" si="189"/>
        <v>Open market housing</v>
      </c>
      <c r="H498" s="132">
        <f t="shared" si="179"/>
        <v>896440000</v>
      </c>
      <c r="I498" s="132" t="str">
        <f t="shared" si="192"/>
        <v>New build</v>
      </c>
      <c r="J498" s="132">
        <f t="shared" si="180"/>
        <v>391930000</v>
      </c>
      <c r="K498" s="132">
        <f t="shared" si="193"/>
        <v>0</v>
      </c>
      <c r="L498" s="132">
        <f t="shared" si="181"/>
        <v>0</v>
      </c>
      <c r="M498" s="132">
        <f t="shared" si="190"/>
        <v>0</v>
      </c>
      <c r="N498" s="134">
        <f t="shared" si="182"/>
        <v>0</v>
      </c>
      <c r="O498" s="135">
        <f t="shared" si="183"/>
        <v>0</v>
      </c>
      <c r="P498" s="132" t="str">
        <f t="shared" si="194"/>
        <v/>
      </c>
      <c r="Q498" s="132" t="str">
        <f t="shared" si="185"/>
        <v/>
      </c>
      <c r="R498" s="132" t="str">
        <f>IF(ISNUMBER(SEARCH("AHO",Import2[[#This Row],[Tenure]])),"AHO",Import2[[#This Row],[Tenure]])&amp;Import2[[#This Row],[Expected Physical Completion Year]]&amp;Import2[[#This Row],[Expected Physical Completion Month]]</f>
        <v>Open market housing</v>
      </c>
      <c r="S498" s="135">
        <f t="shared" si="184"/>
        <v>0</v>
      </c>
      <c r="T498" s="132" t="str">
        <f t="shared" si="191"/>
        <v/>
      </c>
      <c r="U498" s="132" t="str">
        <f t="shared" si="191"/>
        <v/>
      </c>
      <c r="V498" s="132" t="str">
        <f>IF(ISNUMBER(SEARCH("AHO",Import2[[#This Row],[Tenure]])),"AHO",Import2[[#This Row],[Tenure]])&amp;Import2[[#This Row],[Expected sale completion year]]&amp;Import2[[#This Row],[Expected sale completion month]]</f>
        <v>Open market housing</v>
      </c>
      <c r="W498" s="178">
        <f t="shared" si="195"/>
        <v>0</v>
      </c>
    </row>
    <row r="499" spans="1:23" ht="15" customHeight="1">
      <c r="A499" s="132">
        <f t="shared" si="176"/>
        <v>0</v>
      </c>
      <c r="B499" s="133">
        <v>496</v>
      </c>
      <c r="C499" s="132" t="str">
        <f t="shared" si="177"/>
        <v/>
      </c>
      <c r="D499" s="132">
        <f t="shared" si="189"/>
        <v>0</v>
      </c>
      <c r="E499" s="132">
        <f t="shared" si="189"/>
        <v>0</v>
      </c>
      <c r="F499" s="132">
        <f t="shared" si="178"/>
        <v>0</v>
      </c>
      <c r="G499" s="132" t="str">
        <f t="shared" si="189"/>
        <v>Open market housing</v>
      </c>
      <c r="H499" s="132">
        <f t="shared" si="179"/>
        <v>896440000</v>
      </c>
      <c r="I499" s="132" t="str">
        <f t="shared" si="192"/>
        <v>New build</v>
      </c>
      <c r="J499" s="132">
        <f t="shared" si="180"/>
        <v>391930000</v>
      </c>
      <c r="K499" s="132">
        <f t="shared" si="193"/>
        <v>0</v>
      </c>
      <c r="L499" s="132">
        <f t="shared" si="181"/>
        <v>0</v>
      </c>
      <c r="M499" s="132">
        <f t="shared" si="190"/>
        <v>0</v>
      </c>
      <c r="N499" s="134">
        <f t="shared" si="182"/>
        <v>0</v>
      </c>
      <c r="O499" s="135">
        <f t="shared" si="183"/>
        <v>0</v>
      </c>
      <c r="P499" s="132" t="str">
        <f t="shared" si="194"/>
        <v/>
      </c>
      <c r="Q499" s="132" t="str">
        <f t="shared" si="185"/>
        <v/>
      </c>
      <c r="R499" s="132" t="str">
        <f>IF(ISNUMBER(SEARCH("AHO",Import2[[#This Row],[Tenure]])),"AHO",Import2[[#This Row],[Tenure]])&amp;Import2[[#This Row],[Expected Physical Completion Year]]&amp;Import2[[#This Row],[Expected Physical Completion Month]]</f>
        <v>Open market housing</v>
      </c>
      <c r="S499" s="135">
        <f t="shared" si="184"/>
        <v>0</v>
      </c>
      <c r="T499" s="132" t="str">
        <f t="shared" si="191"/>
        <v/>
      </c>
      <c r="U499" s="132" t="str">
        <f t="shared" si="191"/>
        <v/>
      </c>
      <c r="V499" s="132" t="str">
        <f>IF(ISNUMBER(SEARCH("AHO",Import2[[#This Row],[Tenure]])),"AHO",Import2[[#This Row],[Tenure]])&amp;Import2[[#This Row],[Expected sale completion year]]&amp;Import2[[#This Row],[Expected sale completion month]]</f>
        <v>Open market housing</v>
      </c>
      <c r="W499" s="178">
        <f t="shared" si="195"/>
        <v>0</v>
      </c>
    </row>
    <row r="500" spans="1:23" ht="15" customHeight="1">
      <c r="A500" s="132">
        <f t="shared" si="176"/>
        <v>0</v>
      </c>
      <c r="B500" s="133">
        <v>497</v>
      </c>
      <c r="C500" s="132" t="str">
        <f t="shared" si="177"/>
        <v/>
      </c>
      <c r="D500" s="132">
        <f t="shared" si="189"/>
        <v>0</v>
      </c>
      <c r="E500" s="132">
        <f t="shared" si="189"/>
        <v>0</v>
      </c>
      <c r="F500" s="132">
        <f t="shared" si="178"/>
        <v>0</v>
      </c>
      <c r="G500" s="132" t="str">
        <f t="shared" si="189"/>
        <v>Open market housing</v>
      </c>
      <c r="H500" s="132">
        <f t="shared" si="179"/>
        <v>896440000</v>
      </c>
      <c r="I500" s="132" t="str">
        <f t="shared" si="192"/>
        <v>New build</v>
      </c>
      <c r="J500" s="132">
        <f t="shared" si="180"/>
        <v>391930000</v>
      </c>
      <c r="K500" s="132">
        <f t="shared" si="193"/>
        <v>0</v>
      </c>
      <c r="L500" s="132">
        <f t="shared" si="181"/>
        <v>0</v>
      </c>
      <c r="M500" s="132">
        <f t="shared" si="190"/>
        <v>0</v>
      </c>
      <c r="N500" s="134">
        <f t="shared" si="182"/>
        <v>0</v>
      </c>
      <c r="O500" s="135">
        <f t="shared" si="183"/>
        <v>0</v>
      </c>
      <c r="P500" s="132" t="str">
        <f t="shared" si="194"/>
        <v/>
      </c>
      <c r="Q500" s="132" t="str">
        <f t="shared" si="185"/>
        <v/>
      </c>
      <c r="R500" s="132" t="str">
        <f>IF(ISNUMBER(SEARCH("AHO",Import2[[#This Row],[Tenure]])),"AHO",Import2[[#This Row],[Tenure]])&amp;Import2[[#This Row],[Expected Physical Completion Year]]&amp;Import2[[#This Row],[Expected Physical Completion Month]]</f>
        <v>Open market housing</v>
      </c>
      <c r="S500" s="135">
        <f t="shared" si="184"/>
        <v>0</v>
      </c>
      <c r="T500" s="132" t="str">
        <f t="shared" si="191"/>
        <v/>
      </c>
      <c r="U500" s="132" t="str">
        <f t="shared" si="191"/>
        <v/>
      </c>
      <c r="V500" s="132" t="str">
        <f>IF(ISNUMBER(SEARCH("AHO",Import2[[#This Row],[Tenure]])),"AHO",Import2[[#This Row],[Tenure]])&amp;Import2[[#This Row],[Expected sale completion year]]&amp;Import2[[#This Row],[Expected sale completion month]]</f>
        <v>Open market housing</v>
      </c>
      <c r="W500" s="178">
        <f t="shared" si="195"/>
        <v>0</v>
      </c>
    </row>
    <row r="501" spans="1:23" ht="15" customHeight="1">
      <c r="A501" s="132">
        <f t="shared" si="176"/>
        <v>0</v>
      </c>
      <c r="B501" s="133">
        <v>498</v>
      </c>
      <c r="C501" s="132" t="str">
        <f t="shared" si="177"/>
        <v/>
      </c>
      <c r="D501" s="132">
        <f t="shared" si="189"/>
        <v>0</v>
      </c>
      <c r="E501" s="132">
        <f t="shared" si="189"/>
        <v>0</v>
      </c>
      <c r="F501" s="132">
        <f t="shared" si="178"/>
        <v>0</v>
      </c>
      <c r="G501" s="132" t="str">
        <f t="shared" si="189"/>
        <v>Open market housing</v>
      </c>
      <c r="H501" s="132">
        <f t="shared" si="179"/>
        <v>896440000</v>
      </c>
      <c r="I501" s="132" t="str">
        <f t="shared" si="192"/>
        <v>New build</v>
      </c>
      <c r="J501" s="132">
        <f t="shared" si="180"/>
        <v>391930000</v>
      </c>
      <c r="K501" s="132">
        <f t="shared" si="193"/>
        <v>0</v>
      </c>
      <c r="L501" s="132">
        <f t="shared" si="181"/>
        <v>0</v>
      </c>
      <c r="M501" s="132">
        <f t="shared" si="190"/>
        <v>0</v>
      </c>
      <c r="N501" s="134">
        <f t="shared" si="182"/>
        <v>0</v>
      </c>
      <c r="O501" s="135">
        <f t="shared" si="183"/>
        <v>0</v>
      </c>
      <c r="P501" s="132" t="str">
        <f t="shared" si="194"/>
        <v/>
      </c>
      <c r="Q501" s="132" t="str">
        <f t="shared" si="185"/>
        <v/>
      </c>
      <c r="R501" s="132" t="str">
        <f>IF(ISNUMBER(SEARCH("AHO",Import2[[#This Row],[Tenure]])),"AHO",Import2[[#This Row],[Tenure]])&amp;Import2[[#This Row],[Expected Physical Completion Year]]&amp;Import2[[#This Row],[Expected Physical Completion Month]]</f>
        <v>Open market housing</v>
      </c>
      <c r="S501" s="135">
        <f t="shared" si="184"/>
        <v>0</v>
      </c>
      <c r="T501" s="132" t="str">
        <f t="shared" si="191"/>
        <v/>
      </c>
      <c r="U501" s="132" t="str">
        <f t="shared" si="191"/>
        <v/>
      </c>
      <c r="V501" s="132" t="str">
        <f>IF(ISNUMBER(SEARCH("AHO",Import2[[#This Row],[Tenure]])),"AHO",Import2[[#This Row],[Tenure]])&amp;Import2[[#This Row],[Expected sale completion year]]&amp;Import2[[#This Row],[Expected sale completion month]]</f>
        <v>Open market housing</v>
      </c>
      <c r="W501" s="178">
        <f t="shared" si="195"/>
        <v>0</v>
      </c>
    </row>
    <row r="502" spans="1:23" ht="15" customHeight="1">
      <c r="A502" s="132">
        <f t="shared" si="176"/>
        <v>0</v>
      </c>
      <c r="B502" s="133">
        <v>499</v>
      </c>
      <c r="C502" s="132" t="str">
        <f t="shared" si="177"/>
        <v/>
      </c>
      <c r="D502" s="132">
        <f t="shared" si="189"/>
        <v>0</v>
      </c>
      <c r="E502" s="132">
        <f t="shared" si="189"/>
        <v>0</v>
      </c>
      <c r="F502" s="132">
        <f t="shared" si="178"/>
        <v>0</v>
      </c>
      <c r="G502" s="132" t="str">
        <f t="shared" si="189"/>
        <v>Open market housing</v>
      </c>
      <c r="H502" s="132">
        <f t="shared" si="179"/>
        <v>896440000</v>
      </c>
      <c r="I502" s="132" t="str">
        <f t="shared" si="192"/>
        <v>New build</v>
      </c>
      <c r="J502" s="132">
        <f t="shared" si="180"/>
        <v>391930000</v>
      </c>
      <c r="K502" s="132">
        <f t="shared" si="193"/>
        <v>0</v>
      </c>
      <c r="L502" s="132">
        <f t="shared" si="181"/>
        <v>0</v>
      </c>
      <c r="M502" s="132">
        <f t="shared" si="190"/>
        <v>0</v>
      </c>
      <c r="N502" s="134">
        <f t="shared" si="182"/>
        <v>0</v>
      </c>
      <c r="O502" s="135">
        <f t="shared" si="183"/>
        <v>0</v>
      </c>
      <c r="P502" s="132" t="str">
        <f t="shared" si="194"/>
        <v/>
      </c>
      <c r="Q502" s="132" t="str">
        <f t="shared" si="185"/>
        <v/>
      </c>
      <c r="R502" s="132" t="str">
        <f>IF(ISNUMBER(SEARCH("AHO",Import2[[#This Row],[Tenure]])),"AHO",Import2[[#This Row],[Tenure]])&amp;Import2[[#This Row],[Expected Physical Completion Year]]&amp;Import2[[#This Row],[Expected Physical Completion Month]]</f>
        <v>Open market housing</v>
      </c>
      <c r="S502" s="135">
        <f t="shared" si="184"/>
        <v>0</v>
      </c>
      <c r="T502" s="132" t="str">
        <f t="shared" si="191"/>
        <v/>
      </c>
      <c r="U502" s="132" t="str">
        <f t="shared" si="191"/>
        <v/>
      </c>
      <c r="V502" s="132" t="str">
        <f>IF(ISNUMBER(SEARCH("AHO",Import2[[#This Row],[Tenure]])),"AHO",Import2[[#This Row],[Tenure]])&amp;Import2[[#This Row],[Expected sale completion year]]&amp;Import2[[#This Row],[Expected sale completion month]]</f>
        <v>Open market housing</v>
      </c>
      <c r="W502" s="178">
        <f t="shared" si="195"/>
        <v>0</v>
      </c>
    </row>
    <row r="503" spans="1:23" ht="15" customHeight="1">
      <c r="A503" s="132">
        <f t="shared" si="176"/>
        <v>0</v>
      </c>
      <c r="B503" s="133">
        <v>500</v>
      </c>
      <c r="C503" s="132" t="str">
        <f t="shared" si="177"/>
        <v/>
      </c>
      <c r="D503" s="132">
        <f t="shared" si="189"/>
        <v>0</v>
      </c>
      <c r="E503" s="132">
        <f t="shared" si="189"/>
        <v>0</v>
      </c>
      <c r="F503" s="132">
        <f t="shared" si="178"/>
        <v>0</v>
      </c>
      <c r="G503" s="132" t="str">
        <f t="shared" si="189"/>
        <v>Open market housing</v>
      </c>
      <c r="H503" s="132">
        <f t="shared" si="179"/>
        <v>896440000</v>
      </c>
      <c r="I503" s="132" t="str">
        <f t="shared" si="192"/>
        <v>New build</v>
      </c>
      <c r="J503" s="132">
        <f t="shared" si="180"/>
        <v>391930000</v>
      </c>
      <c r="K503" s="132">
        <f t="shared" si="193"/>
        <v>0</v>
      </c>
      <c r="L503" s="132">
        <f t="shared" si="181"/>
        <v>0</v>
      </c>
      <c r="M503" s="132">
        <f t="shared" si="190"/>
        <v>0</v>
      </c>
      <c r="N503" s="134">
        <f t="shared" si="182"/>
        <v>0</v>
      </c>
      <c r="O503" s="135">
        <f t="shared" si="183"/>
        <v>0</v>
      </c>
      <c r="P503" s="132" t="str">
        <f t="shared" si="194"/>
        <v/>
      </c>
      <c r="Q503" s="132" t="str">
        <f t="shared" si="185"/>
        <v/>
      </c>
      <c r="R503" s="132" t="str">
        <f>IF(ISNUMBER(SEARCH("AHO",Import2[[#This Row],[Tenure]])),"AHO",Import2[[#This Row],[Tenure]])&amp;Import2[[#This Row],[Expected Physical Completion Year]]&amp;Import2[[#This Row],[Expected Physical Completion Month]]</f>
        <v>Open market housing</v>
      </c>
      <c r="S503" s="135">
        <f t="shared" si="184"/>
        <v>0</v>
      </c>
      <c r="T503" s="132" t="str">
        <f t="shared" si="191"/>
        <v/>
      </c>
      <c r="U503" s="132" t="str">
        <f t="shared" si="191"/>
        <v/>
      </c>
      <c r="V503" s="132" t="str">
        <f>IF(ISNUMBER(SEARCH("AHO",Import2[[#This Row],[Tenure]])),"AHO",Import2[[#This Row],[Tenure]])&amp;Import2[[#This Row],[Expected sale completion year]]&amp;Import2[[#This Row],[Expected sale completion month]]</f>
        <v>Open market housing</v>
      </c>
      <c r="W503" s="178">
        <f t="shared" si="195"/>
        <v>0</v>
      </c>
    </row>
    <row r="504" spans="1:23" ht="15" customHeight="1">
      <c r="A504" s="132">
        <f t="shared" si="176"/>
        <v>0</v>
      </c>
      <c r="B504" s="133">
        <v>501</v>
      </c>
      <c r="C504" s="132" t="str">
        <f t="shared" si="177"/>
        <v/>
      </c>
      <c r="D504" s="132">
        <f t="shared" ref="D504:G523" si="196">INDEX(PlotData,MATCH($B504,PlotNumber,0),MATCH(D$3,PlotTitles,0))</f>
        <v>0</v>
      </c>
      <c r="E504" s="132">
        <f t="shared" si="196"/>
        <v>0</v>
      </c>
      <c r="F504" s="132">
        <f t="shared" si="178"/>
        <v>0</v>
      </c>
      <c r="G504" s="132" t="str">
        <f t="shared" si="196"/>
        <v>Open market housing</v>
      </c>
      <c r="H504" s="132">
        <f t="shared" si="179"/>
        <v>896440000</v>
      </c>
      <c r="I504" s="132" t="str">
        <f t="shared" si="192"/>
        <v>New build</v>
      </c>
      <c r="J504" s="132">
        <f t="shared" si="180"/>
        <v>391930000</v>
      </c>
      <c r="K504" s="132">
        <f t="shared" si="193"/>
        <v>0</v>
      </c>
      <c r="L504" s="132">
        <f t="shared" si="181"/>
        <v>0</v>
      </c>
      <c r="M504" s="132">
        <f t="shared" ref="M504:M523" si="197">INDEX(PlotData,MATCH($B504,PlotNumber,0),MATCH(M$3,PlotTitles,0))</f>
        <v>0</v>
      </c>
      <c r="N504" s="134">
        <f t="shared" si="182"/>
        <v>0</v>
      </c>
      <c r="O504" s="135">
        <f t="shared" si="183"/>
        <v>0</v>
      </c>
      <c r="P504" s="132" t="str">
        <f t="shared" si="194"/>
        <v/>
      </c>
      <c r="Q504" s="132" t="str">
        <f t="shared" si="185"/>
        <v/>
      </c>
      <c r="R504" s="132" t="str">
        <f>IF(ISNUMBER(SEARCH("AHO",Import2[[#This Row],[Tenure]])),"AHO",Import2[[#This Row],[Tenure]])&amp;Import2[[#This Row],[Expected Physical Completion Year]]&amp;Import2[[#This Row],[Expected Physical Completion Month]]</f>
        <v>Open market housing</v>
      </c>
      <c r="S504" s="135">
        <f t="shared" si="184"/>
        <v>0</v>
      </c>
      <c r="T504" s="132" t="str">
        <f t="shared" ref="T504:U523" si="198">IF(INDEX(PlotData,MATCH($B504,PlotNumber,0),MATCH(T$3,PlotTitles,0))=0,"",INDEX(PlotData,MATCH($B504,PlotNumber,0),MATCH(T$3,PlotTitles,0)))</f>
        <v/>
      </c>
      <c r="U504" s="132" t="str">
        <f t="shared" si="198"/>
        <v/>
      </c>
      <c r="V504" s="132" t="str">
        <f>IF(ISNUMBER(SEARCH("AHO",Import2[[#This Row],[Tenure]])),"AHO",Import2[[#This Row],[Tenure]])&amp;Import2[[#This Row],[Expected sale completion year]]&amp;Import2[[#This Row],[Expected sale completion month]]</f>
        <v>Open market housing</v>
      </c>
      <c r="W504" s="178">
        <f t="shared" si="195"/>
        <v>0</v>
      </c>
    </row>
    <row r="505" spans="1:23" ht="15" customHeight="1">
      <c r="A505" s="132">
        <f t="shared" si="176"/>
        <v>0</v>
      </c>
      <c r="B505" s="133">
        <v>502</v>
      </c>
      <c r="C505" s="132" t="str">
        <f t="shared" si="177"/>
        <v/>
      </c>
      <c r="D505" s="132">
        <f t="shared" si="196"/>
        <v>0</v>
      </c>
      <c r="E505" s="132">
        <f t="shared" si="196"/>
        <v>0</v>
      </c>
      <c r="F505" s="132">
        <f t="shared" si="178"/>
        <v>0</v>
      </c>
      <c r="G505" s="132" t="str">
        <f t="shared" si="196"/>
        <v>Open market housing</v>
      </c>
      <c r="H505" s="132">
        <f t="shared" si="179"/>
        <v>896440000</v>
      </c>
      <c r="I505" s="132" t="str">
        <f t="shared" si="192"/>
        <v>New build</v>
      </c>
      <c r="J505" s="132">
        <f t="shared" si="180"/>
        <v>391930000</v>
      </c>
      <c r="K505" s="132">
        <f t="shared" si="193"/>
        <v>0</v>
      </c>
      <c r="L505" s="132">
        <f t="shared" si="181"/>
        <v>0</v>
      </c>
      <c r="M505" s="132">
        <f t="shared" si="197"/>
        <v>0</v>
      </c>
      <c r="N505" s="134">
        <f t="shared" si="182"/>
        <v>0</v>
      </c>
      <c r="O505" s="135">
        <f t="shared" si="183"/>
        <v>0</v>
      </c>
      <c r="P505" s="132" t="str">
        <f t="shared" si="194"/>
        <v/>
      </c>
      <c r="Q505" s="132" t="str">
        <f t="shared" si="185"/>
        <v/>
      </c>
      <c r="R505" s="132" t="str">
        <f>IF(ISNUMBER(SEARCH("AHO",Import2[[#This Row],[Tenure]])),"AHO",Import2[[#This Row],[Tenure]])&amp;Import2[[#This Row],[Expected Physical Completion Year]]&amp;Import2[[#This Row],[Expected Physical Completion Month]]</f>
        <v>Open market housing</v>
      </c>
      <c r="S505" s="135">
        <f t="shared" si="184"/>
        <v>0</v>
      </c>
      <c r="T505" s="132" t="str">
        <f t="shared" si="198"/>
        <v/>
      </c>
      <c r="U505" s="132" t="str">
        <f t="shared" si="198"/>
        <v/>
      </c>
      <c r="V505" s="132" t="str">
        <f>IF(ISNUMBER(SEARCH("AHO",Import2[[#This Row],[Tenure]])),"AHO",Import2[[#This Row],[Tenure]])&amp;Import2[[#This Row],[Expected sale completion year]]&amp;Import2[[#This Row],[Expected sale completion month]]</f>
        <v>Open market housing</v>
      </c>
      <c r="W505" s="178">
        <f t="shared" si="195"/>
        <v>0</v>
      </c>
    </row>
    <row r="506" spans="1:23" ht="15" customHeight="1">
      <c r="A506" s="132">
        <f t="shared" si="176"/>
        <v>0</v>
      </c>
      <c r="B506" s="133">
        <v>503</v>
      </c>
      <c r="C506" s="132" t="str">
        <f t="shared" si="177"/>
        <v/>
      </c>
      <c r="D506" s="132">
        <f t="shared" si="196"/>
        <v>0</v>
      </c>
      <c r="E506" s="132">
        <f t="shared" si="196"/>
        <v>0</v>
      </c>
      <c r="F506" s="132">
        <f t="shared" si="178"/>
        <v>0</v>
      </c>
      <c r="G506" s="132" t="str">
        <f t="shared" si="196"/>
        <v>Open market housing</v>
      </c>
      <c r="H506" s="132">
        <f t="shared" si="179"/>
        <v>896440000</v>
      </c>
      <c r="I506" s="132" t="str">
        <f t="shared" si="192"/>
        <v>New build</v>
      </c>
      <c r="J506" s="132">
        <f t="shared" si="180"/>
        <v>391930000</v>
      </c>
      <c r="K506" s="132">
        <f t="shared" si="193"/>
        <v>0</v>
      </c>
      <c r="L506" s="132">
        <f t="shared" si="181"/>
        <v>0</v>
      </c>
      <c r="M506" s="132">
        <f t="shared" si="197"/>
        <v>0</v>
      </c>
      <c r="N506" s="134">
        <f t="shared" si="182"/>
        <v>0</v>
      </c>
      <c r="O506" s="135">
        <f t="shared" si="183"/>
        <v>0</v>
      </c>
      <c r="P506" s="132" t="str">
        <f t="shared" si="194"/>
        <v/>
      </c>
      <c r="Q506" s="132" t="str">
        <f t="shared" si="185"/>
        <v/>
      </c>
      <c r="R506" s="132" t="str">
        <f>IF(ISNUMBER(SEARCH("AHO",Import2[[#This Row],[Tenure]])),"AHO",Import2[[#This Row],[Tenure]])&amp;Import2[[#This Row],[Expected Physical Completion Year]]&amp;Import2[[#This Row],[Expected Physical Completion Month]]</f>
        <v>Open market housing</v>
      </c>
      <c r="S506" s="135">
        <f t="shared" si="184"/>
        <v>0</v>
      </c>
      <c r="T506" s="132" t="str">
        <f t="shared" si="198"/>
        <v/>
      </c>
      <c r="U506" s="132" t="str">
        <f t="shared" si="198"/>
        <v/>
      </c>
      <c r="V506" s="132" t="str">
        <f>IF(ISNUMBER(SEARCH("AHO",Import2[[#This Row],[Tenure]])),"AHO",Import2[[#This Row],[Tenure]])&amp;Import2[[#This Row],[Expected sale completion year]]&amp;Import2[[#This Row],[Expected sale completion month]]</f>
        <v>Open market housing</v>
      </c>
      <c r="W506" s="178">
        <f t="shared" si="195"/>
        <v>0</v>
      </c>
    </row>
    <row r="507" spans="1:23" ht="15" customHeight="1">
      <c r="A507" s="132">
        <f t="shared" si="176"/>
        <v>0</v>
      </c>
      <c r="B507" s="133">
        <v>504</v>
      </c>
      <c r="C507" s="132" t="str">
        <f t="shared" si="177"/>
        <v/>
      </c>
      <c r="D507" s="132">
        <f t="shared" si="196"/>
        <v>0</v>
      </c>
      <c r="E507" s="132">
        <f t="shared" si="196"/>
        <v>0</v>
      </c>
      <c r="F507" s="132">
        <f t="shared" si="178"/>
        <v>0</v>
      </c>
      <c r="G507" s="132" t="str">
        <f t="shared" si="196"/>
        <v>Open market housing</v>
      </c>
      <c r="H507" s="132">
        <f t="shared" si="179"/>
        <v>896440000</v>
      </c>
      <c r="I507" s="132" t="str">
        <f t="shared" si="192"/>
        <v>New build</v>
      </c>
      <c r="J507" s="132">
        <f t="shared" si="180"/>
        <v>391930000</v>
      </c>
      <c r="K507" s="132">
        <f t="shared" si="193"/>
        <v>0</v>
      </c>
      <c r="L507" s="132">
        <f t="shared" si="181"/>
        <v>0</v>
      </c>
      <c r="M507" s="132">
        <f t="shared" si="197"/>
        <v>0</v>
      </c>
      <c r="N507" s="134">
        <f t="shared" si="182"/>
        <v>0</v>
      </c>
      <c r="O507" s="135">
        <f t="shared" si="183"/>
        <v>0</v>
      </c>
      <c r="P507" s="132" t="str">
        <f t="shared" si="194"/>
        <v/>
      </c>
      <c r="Q507" s="132" t="str">
        <f t="shared" si="185"/>
        <v/>
      </c>
      <c r="R507" s="132" t="str">
        <f>IF(ISNUMBER(SEARCH("AHO",Import2[[#This Row],[Tenure]])),"AHO",Import2[[#This Row],[Tenure]])&amp;Import2[[#This Row],[Expected Physical Completion Year]]&amp;Import2[[#This Row],[Expected Physical Completion Month]]</f>
        <v>Open market housing</v>
      </c>
      <c r="S507" s="135">
        <f t="shared" si="184"/>
        <v>0</v>
      </c>
      <c r="T507" s="132" t="str">
        <f t="shared" si="198"/>
        <v/>
      </c>
      <c r="U507" s="132" t="str">
        <f t="shared" si="198"/>
        <v/>
      </c>
      <c r="V507" s="132" t="str">
        <f>IF(ISNUMBER(SEARCH("AHO",Import2[[#This Row],[Tenure]])),"AHO",Import2[[#This Row],[Tenure]])&amp;Import2[[#This Row],[Expected sale completion year]]&amp;Import2[[#This Row],[Expected sale completion month]]</f>
        <v>Open market housing</v>
      </c>
      <c r="W507" s="178">
        <f t="shared" si="195"/>
        <v>0</v>
      </c>
    </row>
    <row r="508" spans="1:23" ht="15" customHeight="1">
      <c r="A508" s="132">
        <f t="shared" si="176"/>
        <v>0</v>
      </c>
      <c r="B508" s="133">
        <v>505</v>
      </c>
      <c r="C508" s="132" t="str">
        <f t="shared" si="177"/>
        <v/>
      </c>
      <c r="D508" s="132">
        <f t="shared" si="196"/>
        <v>0</v>
      </c>
      <c r="E508" s="132">
        <f t="shared" si="196"/>
        <v>0</v>
      </c>
      <c r="F508" s="132">
        <f t="shared" si="178"/>
        <v>0</v>
      </c>
      <c r="G508" s="132" t="str">
        <f t="shared" si="196"/>
        <v>Open market housing</v>
      </c>
      <c r="H508" s="132">
        <f t="shared" si="179"/>
        <v>896440000</v>
      </c>
      <c r="I508" s="132" t="str">
        <f t="shared" si="192"/>
        <v>New build</v>
      </c>
      <c r="J508" s="132">
        <f t="shared" si="180"/>
        <v>391930000</v>
      </c>
      <c r="K508" s="132">
        <f t="shared" si="193"/>
        <v>0</v>
      </c>
      <c r="L508" s="132">
        <f t="shared" si="181"/>
        <v>0</v>
      </c>
      <c r="M508" s="132">
        <f t="shared" si="197"/>
        <v>0</v>
      </c>
      <c r="N508" s="134">
        <f t="shared" si="182"/>
        <v>0</v>
      </c>
      <c r="O508" s="135">
        <f t="shared" si="183"/>
        <v>0</v>
      </c>
      <c r="P508" s="132" t="str">
        <f t="shared" si="194"/>
        <v/>
      </c>
      <c r="Q508" s="132" t="str">
        <f t="shared" si="185"/>
        <v/>
      </c>
      <c r="R508" s="132" t="str">
        <f>IF(ISNUMBER(SEARCH("AHO",Import2[[#This Row],[Tenure]])),"AHO",Import2[[#This Row],[Tenure]])&amp;Import2[[#This Row],[Expected Physical Completion Year]]&amp;Import2[[#This Row],[Expected Physical Completion Month]]</f>
        <v>Open market housing</v>
      </c>
      <c r="S508" s="135">
        <f t="shared" si="184"/>
        <v>0</v>
      </c>
      <c r="T508" s="132" t="str">
        <f t="shared" si="198"/>
        <v/>
      </c>
      <c r="U508" s="132" t="str">
        <f t="shared" si="198"/>
        <v/>
      </c>
      <c r="V508" s="132" t="str">
        <f>IF(ISNUMBER(SEARCH("AHO",Import2[[#This Row],[Tenure]])),"AHO",Import2[[#This Row],[Tenure]])&amp;Import2[[#This Row],[Expected sale completion year]]&amp;Import2[[#This Row],[Expected sale completion month]]</f>
        <v>Open market housing</v>
      </c>
      <c r="W508" s="178">
        <f t="shared" si="195"/>
        <v>0</v>
      </c>
    </row>
    <row r="509" spans="1:23" ht="15" customHeight="1">
      <c r="A509" s="132">
        <f t="shared" si="176"/>
        <v>0</v>
      </c>
      <c r="B509" s="133">
        <v>506</v>
      </c>
      <c r="C509" s="132" t="str">
        <f t="shared" si="177"/>
        <v/>
      </c>
      <c r="D509" s="132">
        <f t="shared" si="196"/>
        <v>0</v>
      </c>
      <c r="E509" s="132">
        <f t="shared" si="196"/>
        <v>0</v>
      </c>
      <c r="F509" s="132">
        <f t="shared" si="178"/>
        <v>0</v>
      </c>
      <c r="G509" s="132" t="str">
        <f t="shared" si="196"/>
        <v>Open market housing</v>
      </c>
      <c r="H509" s="132">
        <f t="shared" si="179"/>
        <v>896440000</v>
      </c>
      <c r="I509" s="132" t="str">
        <f t="shared" si="192"/>
        <v>New build</v>
      </c>
      <c r="J509" s="132">
        <f t="shared" si="180"/>
        <v>391930000</v>
      </c>
      <c r="K509" s="132">
        <f t="shared" si="193"/>
        <v>0</v>
      </c>
      <c r="L509" s="132">
        <f t="shared" si="181"/>
        <v>0</v>
      </c>
      <c r="M509" s="132">
        <f t="shared" si="197"/>
        <v>0</v>
      </c>
      <c r="N509" s="134">
        <f t="shared" si="182"/>
        <v>0</v>
      </c>
      <c r="O509" s="135">
        <f t="shared" si="183"/>
        <v>0</v>
      </c>
      <c r="P509" s="132" t="str">
        <f t="shared" si="194"/>
        <v/>
      </c>
      <c r="Q509" s="132" t="str">
        <f t="shared" si="185"/>
        <v/>
      </c>
      <c r="R509" s="132" t="str">
        <f>IF(ISNUMBER(SEARCH("AHO",Import2[[#This Row],[Tenure]])),"AHO",Import2[[#This Row],[Tenure]])&amp;Import2[[#This Row],[Expected Physical Completion Year]]&amp;Import2[[#This Row],[Expected Physical Completion Month]]</f>
        <v>Open market housing</v>
      </c>
      <c r="S509" s="135">
        <f t="shared" si="184"/>
        <v>0</v>
      </c>
      <c r="T509" s="132" t="str">
        <f t="shared" si="198"/>
        <v/>
      </c>
      <c r="U509" s="132" t="str">
        <f t="shared" si="198"/>
        <v/>
      </c>
      <c r="V509" s="132" t="str">
        <f>IF(ISNUMBER(SEARCH("AHO",Import2[[#This Row],[Tenure]])),"AHO",Import2[[#This Row],[Tenure]])&amp;Import2[[#This Row],[Expected sale completion year]]&amp;Import2[[#This Row],[Expected sale completion month]]</f>
        <v>Open market housing</v>
      </c>
      <c r="W509" s="178">
        <f t="shared" si="195"/>
        <v>0</v>
      </c>
    </row>
    <row r="510" spans="1:23" ht="15" customHeight="1">
      <c r="A510" s="132">
        <f t="shared" si="176"/>
        <v>0</v>
      </c>
      <c r="B510" s="133">
        <v>507</v>
      </c>
      <c r="C510" s="132" t="str">
        <f t="shared" si="177"/>
        <v/>
      </c>
      <c r="D510" s="132">
        <f t="shared" si="196"/>
        <v>0</v>
      </c>
      <c r="E510" s="132">
        <f t="shared" si="196"/>
        <v>0</v>
      </c>
      <c r="F510" s="132">
        <f t="shared" si="178"/>
        <v>0</v>
      </c>
      <c r="G510" s="132" t="str">
        <f t="shared" si="196"/>
        <v>Open market housing</v>
      </c>
      <c r="H510" s="132">
        <f t="shared" si="179"/>
        <v>896440000</v>
      </c>
      <c r="I510" s="132" t="str">
        <f t="shared" si="192"/>
        <v>New build</v>
      </c>
      <c r="J510" s="132">
        <f t="shared" si="180"/>
        <v>391930000</v>
      </c>
      <c r="K510" s="132">
        <f t="shared" si="193"/>
        <v>0</v>
      </c>
      <c r="L510" s="132">
        <f t="shared" si="181"/>
        <v>0</v>
      </c>
      <c r="M510" s="132">
        <f t="shared" si="197"/>
        <v>0</v>
      </c>
      <c r="N510" s="134">
        <f t="shared" si="182"/>
        <v>0</v>
      </c>
      <c r="O510" s="135">
        <f t="shared" si="183"/>
        <v>0</v>
      </c>
      <c r="P510" s="132" t="str">
        <f t="shared" si="194"/>
        <v/>
      </c>
      <c r="Q510" s="132" t="str">
        <f t="shared" si="185"/>
        <v/>
      </c>
      <c r="R510" s="132" t="str">
        <f>IF(ISNUMBER(SEARCH("AHO",Import2[[#This Row],[Tenure]])),"AHO",Import2[[#This Row],[Tenure]])&amp;Import2[[#This Row],[Expected Physical Completion Year]]&amp;Import2[[#This Row],[Expected Physical Completion Month]]</f>
        <v>Open market housing</v>
      </c>
      <c r="S510" s="135">
        <f t="shared" si="184"/>
        <v>0</v>
      </c>
      <c r="T510" s="132" t="str">
        <f t="shared" si="198"/>
        <v/>
      </c>
      <c r="U510" s="132" t="str">
        <f t="shared" si="198"/>
        <v/>
      </c>
      <c r="V510" s="132" t="str">
        <f>IF(ISNUMBER(SEARCH("AHO",Import2[[#This Row],[Tenure]])),"AHO",Import2[[#This Row],[Tenure]])&amp;Import2[[#This Row],[Expected sale completion year]]&amp;Import2[[#This Row],[Expected sale completion month]]</f>
        <v>Open market housing</v>
      </c>
      <c r="W510" s="178">
        <f t="shared" si="195"/>
        <v>0</v>
      </c>
    </row>
    <row r="511" spans="1:23" ht="15" customHeight="1">
      <c r="A511" s="132">
        <f t="shared" si="176"/>
        <v>0</v>
      </c>
      <c r="B511" s="133">
        <v>508</v>
      </c>
      <c r="C511" s="132" t="str">
        <f t="shared" si="177"/>
        <v/>
      </c>
      <c r="D511" s="132">
        <f t="shared" si="196"/>
        <v>0</v>
      </c>
      <c r="E511" s="132">
        <f t="shared" si="196"/>
        <v>0</v>
      </c>
      <c r="F511" s="132">
        <f t="shared" si="178"/>
        <v>0</v>
      </c>
      <c r="G511" s="132" t="str">
        <f t="shared" si="196"/>
        <v>Open market housing</v>
      </c>
      <c r="H511" s="132">
        <f t="shared" si="179"/>
        <v>896440000</v>
      </c>
      <c r="I511" s="132" t="str">
        <f t="shared" si="192"/>
        <v>New build</v>
      </c>
      <c r="J511" s="132">
        <f t="shared" si="180"/>
        <v>391930000</v>
      </c>
      <c r="K511" s="132">
        <f t="shared" si="193"/>
        <v>0</v>
      </c>
      <c r="L511" s="132">
        <f t="shared" si="181"/>
        <v>0</v>
      </c>
      <c r="M511" s="132">
        <f t="shared" si="197"/>
        <v>0</v>
      </c>
      <c r="N511" s="134">
        <f t="shared" si="182"/>
        <v>0</v>
      </c>
      <c r="O511" s="135">
        <f t="shared" si="183"/>
        <v>0</v>
      </c>
      <c r="P511" s="132" t="str">
        <f t="shared" si="194"/>
        <v/>
      </c>
      <c r="Q511" s="132" t="str">
        <f t="shared" si="185"/>
        <v/>
      </c>
      <c r="R511" s="132" t="str">
        <f>IF(ISNUMBER(SEARCH("AHO",Import2[[#This Row],[Tenure]])),"AHO",Import2[[#This Row],[Tenure]])&amp;Import2[[#This Row],[Expected Physical Completion Year]]&amp;Import2[[#This Row],[Expected Physical Completion Month]]</f>
        <v>Open market housing</v>
      </c>
      <c r="S511" s="135">
        <f t="shared" si="184"/>
        <v>0</v>
      </c>
      <c r="T511" s="132" t="str">
        <f t="shared" si="198"/>
        <v/>
      </c>
      <c r="U511" s="132" t="str">
        <f t="shared" si="198"/>
        <v/>
      </c>
      <c r="V511" s="132" t="str">
        <f>IF(ISNUMBER(SEARCH("AHO",Import2[[#This Row],[Tenure]])),"AHO",Import2[[#This Row],[Tenure]])&amp;Import2[[#This Row],[Expected sale completion year]]&amp;Import2[[#This Row],[Expected sale completion month]]</f>
        <v>Open market housing</v>
      </c>
      <c r="W511" s="178">
        <f t="shared" si="195"/>
        <v>0</v>
      </c>
    </row>
    <row r="512" spans="1:23" ht="15" customHeight="1">
      <c r="A512" s="132">
        <f t="shared" si="176"/>
        <v>0</v>
      </c>
      <c r="B512" s="133">
        <v>509</v>
      </c>
      <c r="C512" s="132" t="str">
        <f t="shared" si="177"/>
        <v/>
      </c>
      <c r="D512" s="132">
        <f t="shared" si="196"/>
        <v>0</v>
      </c>
      <c r="E512" s="132">
        <f t="shared" si="196"/>
        <v>0</v>
      </c>
      <c r="F512" s="132">
        <f t="shared" si="178"/>
        <v>0</v>
      </c>
      <c r="G512" s="132" t="str">
        <f t="shared" si="196"/>
        <v>Open market housing</v>
      </c>
      <c r="H512" s="132">
        <f t="shared" si="179"/>
        <v>896440000</v>
      </c>
      <c r="I512" s="132" t="str">
        <f t="shared" si="192"/>
        <v>New build</v>
      </c>
      <c r="J512" s="132">
        <f t="shared" si="180"/>
        <v>391930000</v>
      </c>
      <c r="K512" s="132">
        <f t="shared" si="193"/>
        <v>0</v>
      </c>
      <c r="L512" s="132">
        <f t="shared" si="181"/>
        <v>0</v>
      </c>
      <c r="M512" s="132">
        <f t="shared" si="197"/>
        <v>0</v>
      </c>
      <c r="N512" s="134">
        <f t="shared" si="182"/>
        <v>0</v>
      </c>
      <c r="O512" s="135">
        <f t="shared" si="183"/>
        <v>0</v>
      </c>
      <c r="P512" s="132" t="str">
        <f t="shared" si="194"/>
        <v/>
      </c>
      <c r="Q512" s="132" t="str">
        <f t="shared" si="185"/>
        <v/>
      </c>
      <c r="R512" s="132" t="str">
        <f>IF(ISNUMBER(SEARCH("AHO",Import2[[#This Row],[Tenure]])),"AHO",Import2[[#This Row],[Tenure]])&amp;Import2[[#This Row],[Expected Physical Completion Year]]&amp;Import2[[#This Row],[Expected Physical Completion Month]]</f>
        <v>Open market housing</v>
      </c>
      <c r="S512" s="135">
        <f t="shared" si="184"/>
        <v>0</v>
      </c>
      <c r="T512" s="132" t="str">
        <f t="shared" si="198"/>
        <v/>
      </c>
      <c r="U512" s="132" t="str">
        <f t="shared" si="198"/>
        <v/>
      </c>
      <c r="V512" s="132" t="str">
        <f>IF(ISNUMBER(SEARCH("AHO",Import2[[#This Row],[Tenure]])),"AHO",Import2[[#This Row],[Tenure]])&amp;Import2[[#This Row],[Expected sale completion year]]&amp;Import2[[#This Row],[Expected sale completion month]]</f>
        <v>Open market housing</v>
      </c>
      <c r="W512" s="178">
        <f t="shared" si="195"/>
        <v>0</v>
      </c>
    </row>
    <row r="513" spans="1:23" ht="15" customHeight="1">
      <c r="A513" s="132">
        <f t="shared" si="176"/>
        <v>0</v>
      </c>
      <c r="B513" s="133">
        <v>510</v>
      </c>
      <c r="C513" s="132" t="str">
        <f t="shared" si="177"/>
        <v/>
      </c>
      <c r="D513" s="132">
        <f t="shared" si="196"/>
        <v>0</v>
      </c>
      <c r="E513" s="132">
        <f t="shared" si="196"/>
        <v>0</v>
      </c>
      <c r="F513" s="132">
        <f t="shared" si="178"/>
        <v>0</v>
      </c>
      <c r="G513" s="132" t="str">
        <f t="shared" si="196"/>
        <v>Open market housing</v>
      </c>
      <c r="H513" s="132">
        <f t="shared" si="179"/>
        <v>896440000</v>
      </c>
      <c r="I513" s="132" t="str">
        <f t="shared" si="192"/>
        <v>New build</v>
      </c>
      <c r="J513" s="132">
        <f t="shared" si="180"/>
        <v>391930000</v>
      </c>
      <c r="K513" s="132">
        <f t="shared" si="193"/>
        <v>0</v>
      </c>
      <c r="L513" s="132">
        <f t="shared" si="181"/>
        <v>0</v>
      </c>
      <c r="M513" s="132">
        <f t="shared" si="197"/>
        <v>0</v>
      </c>
      <c r="N513" s="134">
        <f t="shared" si="182"/>
        <v>0</v>
      </c>
      <c r="O513" s="135">
        <f t="shared" si="183"/>
        <v>0</v>
      </c>
      <c r="P513" s="132" t="str">
        <f t="shared" si="194"/>
        <v/>
      </c>
      <c r="Q513" s="132" t="str">
        <f t="shared" si="185"/>
        <v/>
      </c>
      <c r="R513" s="132" t="str">
        <f>IF(ISNUMBER(SEARCH("AHO",Import2[[#This Row],[Tenure]])),"AHO",Import2[[#This Row],[Tenure]])&amp;Import2[[#This Row],[Expected Physical Completion Year]]&amp;Import2[[#This Row],[Expected Physical Completion Month]]</f>
        <v>Open market housing</v>
      </c>
      <c r="S513" s="135">
        <f t="shared" si="184"/>
        <v>0</v>
      </c>
      <c r="T513" s="132" t="str">
        <f t="shared" si="198"/>
        <v/>
      </c>
      <c r="U513" s="132" t="str">
        <f t="shared" si="198"/>
        <v/>
      </c>
      <c r="V513" s="132" t="str">
        <f>IF(ISNUMBER(SEARCH("AHO",Import2[[#This Row],[Tenure]])),"AHO",Import2[[#This Row],[Tenure]])&amp;Import2[[#This Row],[Expected sale completion year]]&amp;Import2[[#This Row],[Expected sale completion month]]</f>
        <v>Open market housing</v>
      </c>
      <c r="W513" s="178">
        <f t="shared" si="195"/>
        <v>0</v>
      </c>
    </row>
    <row r="514" spans="1:23" ht="15" customHeight="1">
      <c r="A514" s="132">
        <f t="shared" si="176"/>
        <v>0</v>
      </c>
      <c r="B514" s="133">
        <v>511</v>
      </c>
      <c r="C514" s="132" t="str">
        <f t="shared" si="177"/>
        <v/>
      </c>
      <c r="D514" s="132">
        <f t="shared" si="196"/>
        <v>0</v>
      </c>
      <c r="E514" s="132">
        <f t="shared" si="196"/>
        <v>0</v>
      </c>
      <c r="F514" s="132">
        <f t="shared" si="178"/>
        <v>0</v>
      </c>
      <c r="G514" s="132" t="str">
        <f t="shared" si="196"/>
        <v>Open market housing</v>
      </c>
      <c r="H514" s="132">
        <f t="shared" si="179"/>
        <v>896440000</v>
      </c>
      <c r="I514" s="132" t="str">
        <f t="shared" si="192"/>
        <v>New build</v>
      </c>
      <c r="J514" s="132">
        <f t="shared" si="180"/>
        <v>391930000</v>
      </c>
      <c r="K514" s="132">
        <f t="shared" si="193"/>
        <v>0</v>
      </c>
      <c r="L514" s="132">
        <f t="shared" si="181"/>
        <v>0</v>
      </c>
      <c r="M514" s="132">
        <f t="shared" si="197"/>
        <v>0</v>
      </c>
      <c r="N514" s="134">
        <f t="shared" si="182"/>
        <v>0</v>
      </c>
      <c r="O514" s="135">
        <f t="shared" si="183"/>
        <v>0</v>
      </c>
      <c r="P514" s="132" t="str">
        <f t="shared" si="194"/>
        <v/>
      </c>
      <c r="Q514" s="132" t="str">
        <f t="shared" si="185"/>
        <v/>
      </c>
      <c r="R514" s="132" t="str">
        <f>IF(ISNUMBER(SEARCH("AHO",Import2[[#This Row],[Tenure]])),"AHO",Import2[[#This Row],[Tenure]])&amp;Import2[[#This Row],[Expected Physical Completion Year]]&amp;Import2[[#This Row],[Expected Physical Completion Month]]</f>
        <v>Open market housing</v>
      </c>
      <c r="S514" s="135">
        <f t="shared" si="184"/>
        <v>0</v>
      </c>
      <c r="T514" s="132" t="str">
        <f t="shared" si="198"/>
        <v/>
      </c>
      <c r="U514" s="132" t="str">
        <f t="shared" si="198"/>
        <v/>
      </c>
      <c r="V514" s="132" t="str">
        <f>IF(ISNUMBER(SEARCH("AHO",Import2[[#This Row],[Tenure]])),"AHO",Import2[[#This Row],[Tenure]])&amp;Import2[[#This Row],[Expected sale completion year]]&amp;Import2[[#This Row],[Expected sale completion month]]</f>
        <v>Open market housing</v>
      </c>
      <c r="W514" s="178">
        <f t="shared" si="195"/>
        <v>0</v>
      </c>
    </row>
    <row r="515" spans="1:23" ht="15" customHeight="1">
      <c r="A515" s="132">
        <f t="shared" si="176"/>
        <v>0</v>
      </c>
      <c r="B515" s="133">
        <v>512</v>
      </c>
      <c r="C515" s="132" t="str">
        <f t="shared" si="177"/>
        <v/>
      </c>
      <c r="D515" s="132">
        <f t="shared" si="196"/>
        <v>0</v>
      </c>
      <c r="E515" s="132">
        <f t="shared" si="196"/>
        <v>0</v>
      </c>
      <c r="F515" s="132">
        <f t="shared" si="178"/>
        <v>0</v>
      </c>
      <c r="G515" s="132" t="str">
        <f t="shared" si="196"/>
        <v>Open market housing</v>
      </c>
      <c r="H515" s="132">
        <f t="shared" si="179"/>
        <v>896440000</v>
      </c>
      <c r="I515" s="132" t="str">
        <f t="shared" si="192"/>
        <v>New build</v>
      </c>
      <c r="J515" s="132">
        <f t="shared" si="180"/>
        <v>391930000</v>
      </c>
      <c r="K515" s="132">
        <f t="shared" si="193"/>
        <v>0</v>
      </c>
      <c r="L515" s="132">
        <f t="shared" si="181"/>
        <v>0</v>
      </c>
      <c r="M515" s="132">
        <f t="shared" si="197"/>
        <v>0</v>
      </c>
      <c r="N515" s="134">
        <f t="shared" si="182"/>
        <v>0</v>
      </c>
      <c r="O515" s="135">
        <f t="shared" si="183"/>
        <v>0</v>
      </c>
      <c r="P515" s="132" t="str">
        <f t="shared" si="194"/>
        <v/>
      </c>
      <c r="Q515" s="132" t="str">
        <f t="shared" si="185"/>
        <v/>
      </c>
      <c r="R515" s="132" t="str">
        <f>IF(ISNUMBER(SEARCH("AHO",Import2[[#This Row],[Tenure]])),"AHO",Import2[[#This Row],[Tenure]])&amp;Import2[[#This Row],[Expected Physical Completion Year]]&amp;Import2[[#This Row],[Expected Physical Completion Month]]</f>
        <v>Open market housing</v>
      </c>
      <c r="S515" s="135">
        <f t="shared" si="184"/>
        <v>0</v>
      </c>
      <c r="T515" s="132" t="str">
        <f t="shared" si="198"/>
        <v/>
      </c>
      <c r="U515" s="132" t="str">
        <f t="shared" si="198"/>
        <v/>
      </c>
      <c r="V515" s="132" t="str">
        <f>IF(ISNUMBER(SEARCH("AHO",Import2[[#This Row],[Tenure]])),"AHO",Import2[[#This Row],[Tenure]])&amp;Import2[[#This Row],[Expected sale completion year]]&amp;Import2[[#This Row],[Expected sale completion month]]</f>
        <v>Open market housing</v>
      </c>
      <c r="W515" s="178">
        <f t="shared" si="195"/>
        <v>0</v>
      </c>
    </row>
    <row r="516" spans="1:23" ht="15" customHeight="1">
      <c r="A516" s="132">
        <f t="shared" ref="A516:A579" si="199">IF((SUM($C516:$W516)-$H516-$J516)=0,0,1)</f>
        <v>0</v>
      </c>
      <c r="B516" s="133">
        <v>513</v>
      </c>
      <c r="C516" s="132" t="str">
        <f t="shared" ref="C516:C579" si="200">IF(INDEX(PlotData,MATCH($B516,PlotNumber,0),MATCH(C$3,PlotTitles,0))=0,"",INDEX(PlotData,MATCH($B516,PlotNumber,0),MATCH(C$3,PlotTitles,0)))</f>
        <v/>
      </c>
      <c r="D516" s="132">
        <f t="shared" si="196"/>
        <v>0</v>
      </c>
      <c r="E516" s="132">
        <f t="shared" si="196"/>
        <v>0</v>
      </c>
      <c r="F516" s="132">
        <f t="shared" ref="F516:F579" si="201">_xlfn.IFNA(INDEX(PropertyTypeRef,MATCH(E516,PropertyType,0),2),0)</f>
        <v>0</v>
      </c>
      <c r="G516" s="132" t="str">
        <f t="shared" si="196"/>
        <v>Open market housing</v>
      </c>
      <c r="H516" s="132">
        <f t="shared" ref="H516:H579" si="202">_xlfn.IFNA(INDEX(TenureRef,MATCH(G516,PlotCategory,0),2),0)</f>
        <v>896440000</v>
      </c>
      <c r="I516" s="132" t="str">
        <f t="shared" si="192"/>
        <v>New build</v>
      </c>
      <c r="J516" s="132">
        <f t="shared" ref="J516:J579" si="203">_xlfn.IFNA(INDEX(TenureDetailRef,MATCH(I516,TenureDetail,0),2),0)</f>
        <v>391930000</v>
      </c>
      <c r="K516" s="132">
        <f t="shared" si="193"/>
        <v>0</v>
      </c>
      <c r="L516" s="132">
        <f t="shared" ref="L516:L579" si="204">_xlfn.IFNA(INDEX(BuildTypeRef,MATCH(K516,BuildType,0),2),0)</f>
        <v>0</v>
      </c>
      <c r="M516" s="132">
        <f t="shared" si="197"/>
        <v>0</v>
      </c>
      <c r="N516" s="134">
        <f t="shared" ref="N516:N579" si="205">IF($M516=0,0,$M516*0.09290304)</f>
        <v>0</v>
      </c>
      <c r="O516" s="135">
        <f t="shared" ref="O516:O579" si="206">IF(OR($P516="",$Q516=""),0,(DATEVALUE($P516&amp;$Q516)))</f>
        <v>0</v>
      </c>
      <c r="P516" s="132" t="str">
        <f t="shared" si="194"/>
        <v/>
      </c>
      <c r="Q516" s="132" t="str">
        <f t="shared" si="185"/>
        <v/>
      </c>
      <c r="R516" s="132" t="str">
        <f>IF(ISNUMBER(SEARCH("AHO",Import2[[#This Row],[Tenure]])),"AHO",Import2[[#This Row],[Tenure]])&amp;Import2[[#This Row],[Expected Physical Completion Year]]&amp;Import2[[#This Row],[Expected Physical Completion Month]]</f>
        <v>Open market housing</v>
      </c>
      <c r="S516" s="135">
        <f t="shared" ref="S516:S579" si="207">IF(OR($T516="",$U516=""),0,(DATEVALUE($T516&amp;$U516)))</f>
        <v>0</v>
      </c>
      <c r="T516" s="132" t="str">
        <f t="shared" si="198"/>
        <v/>
      </c>
      <c r="U516" s="132" t="str">
        <f t="shared" si="198"/>
        <v/>
      </c>
      <c r="V516" s="132" t="str">
        <f>IF(ISNUMBER(SEARCH("AHO",Import2[[#This Row],[Tenure]])),"AHO",Import2[[#This Row],[Tenure]])&amp;Import2[[#This Row],[Expected sale completion year]]&amp;Import2[[#This Row],[Expected sale completion month]]</f>
        <v>Open market housing</v>
      </c>
      <c r="W516" s="178">
        <f t="shared" si="195"/>
        <v>0</v>
      </c>
    </row>
    <row r="517" spans="1:23" ht="15" customHeight="1">
      <c r="A517" s="132">
        <f t="shared" si="199"/>
        <v>0</v>
      </c>
      <c r="B517" s="133">
        <v>514</v>
      </c>
      <c r="C517" s="132" t="str">
        <f t="shared" si="200"/>
        <v/>
      </c>
      <c r="D517" s="132">
        <f t="shared" si="196"/>
        <v>0</v>
      </c>
      <c r="E517" s="132">
        <f t="shared" si="196"/>
        <v>0</v>
      </c>
      <c r="F517" s="132">
        <f t="shared" si="201"/>
        <v>0</v>
      </c>
      <c r="G517" s="132" t="str">
        <f t="shared" si="196"/>
        <v>Open market housing</v>
      </c>
      <c r="H517" s="132">
        <f t="shared" si="202"/>
        <v>896440000</v>
      </c>
      <c r="I517" s="132" t="str">
        <f t="shared" si="192"/>
        <v>New build</v>
      </c>
      <c r="J517" s="132">
        <f t="shared" si="203"/>
        <v>391930000</v>
      </c>
      <c r="K517" s="132">
        <f t="shared" si="193"/>
        <v>0</v>
      </c>
      <c r="L517" s="132">
        <f t="shared" si="204"/>
        <v>0</v>
      </c>
      <c r="M517" s="132">
        <f t="shared" si="197"/>
        <v>0</v>
      </c>
      <c r="N517" s="134">
        <f t="shared" si="205"/>
        <v>0</v>
      </c>
      <c r="O517" s="135">
        <f t="shared" si="206"/>
        <v>0</v>
      </c>
      <c r="P517" s="132" t="str">
        <f t="shared" si="194"/>
        <v/>
      </c>
      <c r="Q517" s="132" t="str">
        <f t="shared" si="185"/>
        <v/>
      </c>
      <c r="R517" s="132" t="str">
        <f>IF(ISNUMBER(SEARCH("AHO",Import2[[#This Row],[Tenure]])),"AHO",Import2[[#This Row],[Tenure]])&amp;Import2[[#This Row],[Expected Physical Completion Year]]&amp;Import2[[#This Row],[Expected Physical Completion Month]]</f>
        <v>Open market housing</v>
      </c>
      <c r="S517" s="135">
        <f t="shared" si="207"/>
        <v>0</v>
      </c>
      <c r="T517" s="132" t="str">
        <f t="shared" si="198"/>
        <v/>
      </c>
      <c r="U517" s="132" t="str">
        <f t="shared" si="198"/>
        <v/>
      </c>
      <c r="V517" s="132" t="str">
        <f>IF(ISNUMBER(SEARCH("AHO",Import2[[#This Row],[Tenure]])),"AHO",Import2[[#This Row],[Tenure]])&amp;Import2[[#This Row],[Expected sale completion year]]&amp;Import2[[#This Row],[Expected sale completion month]]</f>
        <v>Open market housing</v>
      </c>
      <c r="W517" s="178">
        <f t="shared" si="195"/>
        <v>0</v>
      </c>
    </row>
    <row r="518" spans="1:23" ht="15" customHeight="1">
      <c r="A518" s="132">
        <f t="shared" si="199"/>
        <v>0</v>
      </c>
      <c r="B518" s="133">
        <v>515</v>
      </c>
      <c r="C518" s="132" t="str">
        <f t="shared" si="200"/>
        <v/>
      </c>
      <c r="D518" s="132">
        <f t="shared" si="196"/>
        <v>0</v>
      </c>
      <c r="E518" s="132">
        <f t="shared" si="196"/>
        <v>0</v>
      </c>
      <c r="F518" s="132">
        <f t="shared" si="201"/>
        <v>0</v>
      </c>
      <c r="G518" s="132" t="str">
        <f t="shared" si="196"/>
        <v>Open market housing</v>
      </c>
      <c r="H518" s="132">
        <f t="shared" si="202"/>
        <v>896440000</v>
      </c>
      <c r="I518" s="132" t="str">
        <f t="shared" si="192"/>
        <v>New build</v>
      </c>
      <c r="J518" s="132">
        <f t="shared" si="203"/>
        <v>391930000</v>
      </c>
      <c r="K518" s="132">
        <f t="shared" si="193"/>
        <v>0</v>
      </c>
      <c r="L518" s="132">
        <f t="shared" si="204"/>
        <v>0</v>
      </c>
      <c r="M518" s="132">
        <f t="shared" si="197"/>
        <v>0</v>
      </c>
      <c r="N518" s="134">
        <f t="shared" si="205"/>
        <v>0</v>
      </c>
      <c r="O518" s="135">
        <f t="shared" si="206"/>
        <v>0</v>
      </c>
      <c r="P518" s="132" t="str">
        <f t="shared" si="194"/>
        <v/>
      </c>
      <c r="Q518" s="132" t="str">
        <f t="shared" ref="Q518:Q581" si="208">IF(INDEX(PlotData,MATCH($B518,PlotNumber,0),MATCH(Q$3,PlotTitles,0))=0,"",INDEX(PlotData,MATCH($B518,PlotNumber,0),MATCH(Q$3,PlotTitles,0)))</f>
        <v/>
      </c>
      <c r="R518" s="132" t="str">
        <f>IF(ISNUMBER(SEARCH("AHO",Import2[[#This Row],[Tenure]])),"AHO",Import2[[#This Row],[Tenure]])&amp;Import2[[#This Row],[Expected Physical Completion Year]]&amp;Import2[[#This Row],[Expected Physical Completion Month]]</f>
        <v>Open market housing</v>
      </c>
      <c r="S518" s="135">
        <f t="shared" si="207"/>
        <v>0</v>
      </c>
      <c r="T518" s="132" t="str">
        <f t="shared" si="198"/>
        <v/>
      </c>
      <c r="U518" s="132" t="str">
        <f t="shared" si="198"/>
        <v/>
      </c>
      <c r="V518" s="132" t="str">
        <f>IF(ISNUMBER(SEARCH("AHO",Import2[[#This Row],[Tenure]])),"AHO",Import2[[#This Row],[Tenure]])&amp;Import2[[#This Row],[Expected sale completion year]]&amp;Import2[[#This Row],[Expected sale completion month]]</f>
        <v>Open market housing</v>
      </c>
      <c r="W518" s="178">
        <f t="shared" si="195"/>
        <v>0</v>
      </c>
    </row>
    <row r="519" spans="1:23" ht="15" customHeight="1">
      <c r="A519" s="132">
        <f t="shared" si="199"/>
        <v>0</v>
      </c>
      <c r="B519" s="133">
        <v>516</v>
      </c>
      <c r="C519" s="132" t="str">
        <f t="shared" si="200"/>
        <v/>
      </c>
      <c r="D519" s="132">
        <f t="shared" si="196"/>
        <v>0</v>
      </c>
      <c r="E519" s="132">
        <f t="shared" si="196"/>
        <v>0</v>
      </c>
      <c r="F519" s="132">
        <f t="shared" si="201"/>
        <v>0</v>
      </c>
      <c r="G519" s="132" t="str">
        <f t="shared" si="196"/>
        <v>Open market housing</v>
      </c>
      <c r="H519" s="132">
        <f t="shared" si="202"/>
        <v>896440000</v>
      </c>
      <c r="I519" s="132" t="str">
        <f t="shared" si="192"/>
        <v>New build</v>
      </c>
      <c r="J519" s="132">
        <f t="shared" si="203"/>
        <v>391930000</v>
      </c>
      <c r="K519" s="132">
        <f t="shared" si="193"/>
        <v>0</v>
      </c>
      <c r="L519" s="132">
        <f t="shared" si="204"/>
        <v>0</v>
      </c>
      <c r="M519" s="132">
        <f t="shared" si="197"/>
        <v>0</v>
      </c>
      <c r="N519" s="134">
        <f t="shared" si="205"/>
        <v>0</v>
      </c>
      <c r="O519" s="135">
        <f t="shared" si="206"/>
        <v>0</v>
      </c>
      <c r="P519" s="132" t="str">
        <f t="shared" si="194"/>
        <v/>
      </c>
      <c r="Q519" s="132" t="str">
        <f t="shared" si="208"/>
        <v/>
      </c>
      <c r="R519" s="132" t="str">
        <f>IF(ISNUMBER(SEARCH("AHO",Import2[[#This Row],[Tenure]])),"AHO",Import2[[#This Row],[Tenure]])&amp;Import2[[#This Row],[Expected Physical Completion Year]]&amp;Import2[[#This Row],[Expected Physical Completion Month]]</f>
        <v>Open market housing</v>
      </c>
      <c r="S519" s="135">
        <f t="shared" si="207"/>
        <v>0</v>
      </c>
      <c r="T519" s="132" t="str">
        <f t="shared" si="198"/>
        <v/>
      </c>
      <c r="U519" s="132" t="str">
        <f t="shared" si="198"/>
        <v/>
      </c>
      <c r="V519" s="132" t="str">
        <f>IF(ISNUMBER(SEARCH("AHO",Import2[[#This Row],[Tenure]])),"AHO",Import2[[#This Row],[Tenure]])&amp;Import2[[#This Row],[Expected sale completion year]]&amp;Import2[[#This Row],[Expected sale completion month]]</f>
        <v>Open market housing</v>
      </c>
      <c r="W519" s="178">
        <f t="shared" si="195"/>
        <v>0</v>
      </c>
    </row>
    <row r="520" spans="1:23" ht="15" customHeight="1">
      <c r="A520" s="132">
        <f t="shared" si="199"/>
        <v>0</v>
      </c>
      <c r="B520" s="133">
        <v>517</v>
      </c>
      <c r="C520" s="132" t="str">
        <f t="shared" si="200"/>
        <v/>
      </c>
      <c r="D520" s="132">
        <f t="shared" si="196"/>
        <v>0</v>
      </c>
      <c r="E520" s="132">
        <f t="shared" si="196"/>
        <v>0</v>
      </c>
      <c r="F520" s="132">
        <f t="shared" si="201"/>
        <v>0</v>
      </c>
      <c r="G520" s="132" t="str">
        <f t="shared" si="196"/>
        <v>Open market housing</v>
      </c>
      <c r="H520" s="132">
        <f t="shared" si="202"/>
        <v>896440000</v>
      </c>
      <c r="I520" s="132" t="str">
        <f t="shared" si="192"/>
        <v>New build</v>
      </c>
      <c r="J520" s="132">
        <f t="shared" si="203"/>
        <v>391930000</v>
      </c>
      <c r="K520" s="132">
        <f t="shared" si="193"/>
        <v>0</v>
      </c>
      <c r="L520" s="132">
        <f t="shared" si="204"/>
        <v>0</v>
      </c>
      <c r="M520" s="132">
        <f t="shared" si="197"/>
        <v>0</v>
      </c>
      <c r="N520" s="134">
        <f t="shared" si="205"/>
        <v>0</v>
      </c>
      <c r="O520" s="135">
        <f t="shared" si="206"/>
        <v>0</v>
      </c>
      <c r="P520" s="132" t="str">
        <f t="shared" si="194"/>
        <v/>
      </c>
      <c r="Q520" s="132" t="str">
        <f t="shared" si="208"/>
        <v/>
      </c>
      <c r="R520" s="132" t="str">
        <f>IF(ISNUMBER(SEARCH("AHO",Import2[[#This Row],[Tenure]])),"AHO",Import2[[#This Row],[Tenure]])&amp;Import2[[#This Row],[Expected Physical Completion Year]]&amp;Import2[[#This Row],[Expected Physical Completion Month]]</f>
        <v>Open market housing</v>
      </c>
      <c r="S520" s="135">
        <f t="shared" si="207"/>
        <v>0</v>
      </c>
      <c r="T520" s="132" t="str">
        <f t="shared" si="198"/>
        <v/>
      </c>
      <c r="U520" s="132" t="str">
        <f t="shared" si="198"/>
        <v/>
      </c>
      <c r="V520" s="132" t="str">
        <f>IF(ISNUMBER(SEARCH("AHO",Import2[[#This Row],[Tenure]])),"AHO",Import2[[#This Row],[Tenure]])&amp;Import2[[#This Row],[Expected sale completion year]]&amp;Import2[[#This Row],[Expected sale completion month]]</f>
        <v>Open market housing</v>
      </c>
      <c r="W520" s="178">
        <f t="shared" si="195"/>
        <v>0</v>
      </c>
    </row>
    <row r="521" spans="1:23" ht="15" customHeight="1">
      <c r="A521" s="132">
        <f t="shared" si="199"/>
        <v>0</v>
      </c>
      <c r="B521" s="133">
        <v>518</v>
      </c>
      <c r="C521" s="132" t="str">
        <f t="shared" si="200"/>
        <v/>
      </c>
      <c r="D521" s="132">
        <f t="shared" si="196"/>
        <v>0</v>
      </c>
      <c r="E521" s="132">
        <f t="shared" si="196"/>
        <v>0</v>
      </c>
      <c r="F521" s="132">
        <f t="shared" si="201"/>
        <v>0</v>
      </c>
      <c r="G521" s="132" t="str">
        <f t="shared" si="196"/>
        <v>Open market housing</v>
      </c>
      <c r="H521" s="132">
        <f t="shared" si="202"/>
        <v>896440000</v>
      </c>
      <c r="I521" s="132" t="str">
        <f t="shared" si="192"/>
        <v>New build</v>
      </c>
      <c r="J521" s="132">
        <f t="shared" si="203"/>
        <v>391930000</v>
      </c>
      <c r="K521" s="132">
        <f t="shared" si="193"/>
        <v>0</v>
      </c>
      <c r="L521" s="132">
        <f t="shared" si="204"/>
        <v>0</v>
      </c>
      <c r="M521" s="132">
        <f t="shared" si="197"/>
        <v>0</v>
      </c>
      <c r="N521" s="134">
        <f t="shared" si="205"/>
        <v>0</v>
      </c>
      <c r="O521" s="135">
        <f t="shared" si="206"/>
        <v>0</v>
      </c>
      <c r="P521" s="132" t="str">
        <f t="shared" si="194"/>
        <v/>
      </c>
      <c r="Q521" s="132" t="str">
        <f t="shared" si="208"/>
        <v/>
      </c>
      <c r="R521" s="132" t="str">
        <f>IF(ISNUMBER(SEARCH("AHO",Import2[[#This Row],[Tenure]])),"AHO",Import2[[#This Row],[Tenure]])&amp;Import2[[#This Row],[Expected Physical Completion Year]]&amp;Import2[[#This Row],[Expected Physical Completion Month]]</f>
        <v>Open market housing</v>
      </c>
      <c r="S521" s="135">
        <f t="shared" si="207"/>
        <v>0</v>
      </c>
      <c r="T521" s="132" t="str">
        <f t="shared" si="198"/>
        <v/>
      </c>
      <c r="U521" s="132" t="str">
        <f t="shared" si="198"/>
        <v/>
      </c>
      <c r="V521" s="132" t="str">
        <f>IF(ISNUMBER(SEARCH("AHO",Import2[[#This Row],[Tenure]])),"AHO",Import2[[#This Row],[Tenure]])&amp;Import2[[#This Row],[Expected sale completion year]]&amp;Import2[[#This Row],[Expected sale completion month]]</f>
        <v>Open market housing</v>
      </c>
      <c r="W521" s="178">
        <f t="shared" si="195"/>
        <v>0</v>
      </c>
    </row>
    <row r="522" spans="1:23" ht="15" customHeight="1">
      <c r="A522" s="132">
        <f t="shared" si="199"/>
        <v>0</v>
      </c>
      <c r="B522" s="133">
        <v>519</v>
      </c>
      <c r="C522" s="132" t="str">
        <f t="shared" si="200"/>
        <v/>
      </c>
      <c r="D522" s="132">
        <f t="shared" si="196"/>
        <v>0</v>
      </c>
      <c r="E522" s="132">
        <f t="shared" si="196"/>
        <v>0</v>
      </c>
      <c r="F522" s="132">
        <f t="shared" si="201"/>
        <v>0</v>
      </c>
      <c r="G522" s="132" t="str">
        <f t="shared" si="196"/>
        <v>Open market housing</v>
      </c>
      <c r="H522" s="132">
        <f t="shared" si="202"/>
        <v>896440000</v>
      </c>
      <c r="I522" s="132" t="str">
        <f t="shared" si="192"/>
        <v>New build</v>
      </c>
      <c r="J522" s="132">
        <f t="shared" si="203"/>
        <v>391930000</v>
      </c>
      <c r="K522" s="132">
        <f t="shared" si="193"/>
        <v>0</v>
      </c>
      <c r="L522" s="132">
        <f t="shared" si="204"/>
        <v>0</v>
      </c>
      <c r="M522" s="132">
        <f t="shared" si="197"/>
        <v>0</v>
      </c>
      <c r="N522" s="134">
        <f t="shared" si="205"/>
        <v>0</v>
      </c>
      <c r="O522" s="135">
        <f t="shared" si="206"/>
        <v>0</v>
      </c>
      <c r="P522" s="132" t="str">
        <f t="shared" si="194"/>
        <v/>
      </c>
      <c r="Q522" s="132" t="str">
        <f t="shared" si="208"/>
        <v/>
      </c>
      <c r="R522" s="132" t="str">
        <f>IF(ISNUMBER(SEARCH("AHO",Import2[[#This Row],[Tenure]])),"AHO",Import2[[#This Row],[Tenure]])&amp;Import2[[#This Row],[Expected Physical Completion Year]]&amp;Import2[[#This Row],[Expected Physical Completion Month]]</f>
        <v>Open market housing</v>
      </c>
      <c r="S522" s="135">
        <f t="shared" si="207"/>
        <v>0</v>
      </c>
      <c r="T522" s="132" t="str">
        <f t="shared" si="198"/>
        <v/>
      </c>
      <c r="U522" s="132" t="str">
        <f t="shared" si="198"/>
        <v/>
      </c>
      <c r="V522" s="132" t="str">
        <f>IF(ISNUMBER(SEARCH("AHO",Import2[[#This Row],[Tenure]])),"AHO",Import2[[#This Row],[Tenure]])&amp;Import2[[#This Row],[Expected sale completion year]]&amp;Import2[[#This Row],[Expected sale completion month]]</f>
        <v>Open market housing</v>
      </c>
      <c r="W522" s="178">
        <f t="shared" si="195"/>
        <v>0</v>
      </c>
    </row>
    <row r="523" spans="1:23" ht="15" customHeight="1">
      <c r="A523" s="132">
        <f t="shared" si="199"/>
        <v>0</v>
      </c>
      <c r="B523" s="133">
        <v>520</v>
      </c>
      <c r="C523" s="132" t="str">
        <f t="shared" si="200"/>
        <v/>
      </c>
      <c r="D523" s="132">
        <f t="shared" si="196"/>
        <v>0</v>
      </c>
      <c r="E523" s="132">
        <f t="shared" si="196"/>
        <v>0</v>
      </c>
      <c r="F523" s="132">
        <f t="shared" si="201"/>
        <v>0</v>
      </c>
      <c r="G523" s="132" t="str">
        <f t="shared" si="196"/>
        <v>Open market housing</v>
      </c>
      <c r="H523" s="132">
        <f t="shared" si="202"/>
        <v>896440000</v>
      </c>
      <c r="I523" s="132" t="str">
        <f t="shared" si="192"/>
        <v>New build</v>
      </c>
      <c r="J523" s="132">
        <f t="shared" si="203"/>
        <v>391930000</v>
      </c>
      <c r="K523" s="132">
        <f t="shared" si="193"/>
        <v>0</v>
      </c>
      <c r="L523" s="132">
        <f t="shared" si="204"/>
        <v>0</v>
      </c>
      <c r="M523" s="132">
        <f t="shared" si="197"/>
        <v>0</v>
      </c>
      <c r="N523" s="134">
        <f t="shared" si="205"/>
        <v>0</v>
      </c>
      <c r="O523" s="135">
        <f t="shared" si="206"/>
        <v>0</v>
      </c>
      <c r="P523" s="132" t="str">
        <f t="shared" si="194"/>
        <v/>
      </c>
      <c r="Q523" s="132" t="str">
        <f t="shared" si="208"/>
        <v/>
      </c>
      <c r="R523" s="132" t="str">
        <f>IF(ISNUMBER(SEARCH("AHO",Import2[[#This Row],[Tenure]])),"AHO",Import2[[#This Row],[Tenure]])&amp;Import2[[#This Row],[Expected Physical Completion Year]]&amp;Import2[[#This Row],[Expected Physical Completion Month]]</f>
        <v>Open market housing</v>
      </c>
      <c r="S523" s="135">
        <f t="shared" si="207"/>
        <v>0</v>
      </c>
      <c r="T523" s="132" t="str">
        <f t="shared" si="198"/>
        <v/>
      </c>
      <c r="U523" s="132" t="str">
        <f t="shared" si="198"/>
        <v/>
      </c>
      <c r="V523" s="132" t="str">
        <f>IF(ISNUMBER(SEARCH("AHO",Import2[[#This Row],[Tenure]])),"AHO",Import2[[#This Row],[Tenure]])&amp;Import2[[#This Row],[Expected sale completion year]]&amp;Import2[[#This Row],[Expected sale completion month]]</f>
        <v>Open market housing</v>
      </c>
      <c r="W523" s="178">
        <f t="shared" si="195"/>
        <v>0</v>
      </c>
    </row>
    <row r="524" spans="1:23" ht="15" customHeight="1">
      <c r="A524" s="132">
        <f t="shared" si="199"/>
        <v>0</v>
      </c>
      <c r="B524" s="133">
        <v>521</v>
      </c>
      <c r="C524" s="132" t="str">
        <f t="shared" si="200"/>
        <v/>
      </c>
      <c r="D524" s="132">
        <f t="shared" ref="D524:G543" si="209">INDEX(PlotData,MATCH($B524,PlotNumber,0),MATCH(D$3,PlotTitles,0))</f>
        <v>0</v>
      </c>
      <c r="E524" s="132">
        <f t="shared" si="209"/>
        <v>0</v>
      </c>
      <c r="F524" s="132">
        <f t="shared" si="201"/>
        <v>0</v>
      </c>
      <c r="G524" s="132" t="str">
        <f t="shared" si="209"/>
        <v>Open market housing</v>
      </c>
      <c r="H524" s="132">
        <f t="shared" si="202"/>
        <v>896440000</v>
      </c>
      <c r="I524" s="132" t="str">
        <f t="shared" si="192"/>
        <v>New build</v>
      </c>
      <c r="J524" s="132">
        <f t="shared" si="203"/>
        <v>391930000</v>
      </c>
      <c r="K524" s="132">
        <f t="shared" si="193"/>
        <v>0</v>
      </c>
      <c r="L524" s="132">
        <f t="shared" si="204"/>
        <v>0</v>
      </c>
      <c r="M524" s="132">
        <f t="shared" ref="M524:M543" si="210">INDEX(PlotData,MATCH($B524,PlotNumber,0),MATCH(M$3,PlotTitles,0))</f>
        <v>0</v>
      </c>
      <c r="N524" s="134">
        <f t="shared" si="205"/>
        <v>0</v>
      </c>
      <c r="O524" s="135">
        <f t="shared" si="206"/>
        <v>0</v>
      </c>
      <c r="P524" s="132" t="str">
        <f t="shared" si="194"/>
        <v/>
      </c>
      <c r="Q524" s="132" t="str">
        <f t="shared" si="208"/>
        <v/>
      </c>
      <c r="R524" s="132" t="str">
        <f>IF(ISNUMBER(SEARCH("AHO",Import2[[#This Row],[Tenure]])),"AHO",Import2[[#This Row],[Tenure]])&amp;Import2[[#This Row],[Expected Physical Completion Year]]&amp;Import2[[#This Row],[Expected Physical Completion Month]]</f>
        <v>Open market housing</v>
      </c>
      <c r="S524" s="135">
        <f t="shared" si="207"/>
        <v>0</v>
      </c>
      <c r="T524" s="132" t="str">
        <f t="shared" ref="T524:U543" si="211">IF(INDEX(PlotData,MATCH($B524,PlotNumber,0),MATCH(T$3,PlotTitles,0))=0,"",INDEX(PlotData,MATCH($B524,PlotNumber,0),MATCH(T$3,PlotTitles,0)))</f>
        <v/>
      </c>
      <c r="U524" s="132" t="str">
        <f t="shared" si="211"/>
        <v/>
      </c>
      <c r="V524" s="132" t="str">
        <f>IF(ISNUMBER(SEARCH("AHO",Import2[[#This Row],[Tenure]])),"AHO",Import2[[#This Row],[Tenure]])&amp;Import2[[#This Row],[Expected sale completion year]]&amp;Import2[[#This Row],[Expected sale completion month]]</f>
        <v>Open market housing</v>
      </c>
      <c r="W524" s="178">
        <f t="shared" si="195"/>
        <v>0</v>
      </c>
    </row>
    <row r="525" spans="1:23" ht="15" customHeight="1">
      <c r="A525" s="132">
        <f t="shared" si="199"/>
        <v>0</v>
      </c>
      <c r="B525" s="133">
        <v>522</v>
      </c>
      <c r="C525" s="132" t="str">
        <f t="shared" si="200"/>
        <v/>
      </c>
      <c r="D525" s="132">
        <f t="shared" si="209"/>
        <v>0</v>
      </c>
      <c r="E525" s="132">
        <f t="shared" si="209"/>
        <v>0</v>
      </c>
      <c r="F525" s="132">
        <f t="shared" si="201"/>
        <v>0</v>
      </c>
      <c r="G525" s="132" t="str">
        <f t="shared" si="209"/>
        <v>Open market housing</v>
      </c>
      <c r="H525" s="132">
        <f t="shared" si="202"/>
        <v>896440000</v>
      </c>
      <c r="I525" s="132" t="str">
        <f t="shared" si="192"/>
        <v>New build</v>
      </c>
      <c r="J525" s="132">
        <f t="shared" si="203"/>
        <v>391930000</v>
      </c>
      <c r="K525" s="132">
        <f t="shared" si="193"/>
        <v>0</v>
      </c>
      <c r="L525" s="132">
        <f t="shared" si="204"/>
        <v>0</v>
      </c>
      <c r="M525" s="132">
        <f t="shared" si="210"/>
        <v>0</v>
      </c>
      <c r="N525" s="134">
        <f t="shared" si="205"/>
        <v>0</v>
      </c>
      <c r="O525" s="135">
        <f t="shared" si="206"/>
        <v>0</v>
      </c>
      <c r="P525" s="132" t="str">
        <f t="shared" si="194"/>
        <v/>
      </c>
      <c r="Q525" s="132" t="str">
        <f t="shared" si="208"/>
        <v/>
      </c>
      <c r="R525" s="132" t="str">
        <f>IF(ISNUMBER(SEARCH("AHO",Import2[[#This Row],[Tenure]])),"AHO",Import2[[#This Row],[Tenure]])&amp;Import2[[#This Row],[Expected Physical Completion Year]]&amp;Import2[[#This Row],[Expected Physical Completion Month]]</f>
        <v>Open market housing</v>
      </c>
      <c r="S525" s="135">
        <f t="shared" si="207"/>
        <v>0</v>
      </c>
      <c r="T525" s="132" t="str">
        <f t="shared" si="211"/>
        <v/>
      </c>
      <c r="U525" s="132" t="str">
        <f t="shared" si="211"/>
        <v/>
      </c>
      <c r="V525" s="132" t="str">
        <f>IF(ISNUMBER(SEARCH("AHO",Import2[[#This Row],[Tenure]])),"AHO",Import2[[#This Row],[Tenure]])&amp;Import2[[#This Row],[Expected sale completion year]]&amp;Import2[[#This Row],[Expected sale completion month]]</f>
        <v>Open market housing</v>
      </c>
      <c r="W525" s="178">
        <f t="shared" si="195"/>
        <v>0</v>
      </c>
    </row>
    <row r="526" spans="1:23" ht="15" customHeight="1">
      <c r="A526" s="132">
        <f t="shared" si="199"/>
        <v>0</v>
      </c>
      <c r="B526" s="133">
        <v>523</v>
      </c>
      <c r="C526" s="132" t="str">
        <f t="shared" si="200"/>
        <v/>
      </c>
      <c r="D526" s="132">
        <f t="shared" si="209"/>
        <v>0</v>
      </c>
      <c r="E526" s="132">
        <f t="shared" si="209"/>
        <v>0</v>
      </c>
      <c r="F526" s="132">
        <f t="shared" si="201"/>
        <v>0</v>
      </c>
      <c r="G526" s="132" t="str">
        <f t="shared" si="209"/>
        <v>Open market housing</v>
      </c>
      <c r="H526" s="132">
        <f t="shared" si="202"/>
        <v>896440000</v>
      </c>
      <c r="I526" s="132" t="str">
        <f t="shared" si="192"/>
        <v>New build</v>
      </c>
      <c r="J526" s="132">
        <f t="shared" si="203"/>
        <v>391930000</v>
      </c>
      <c r="K526" s="132">
        <f t="shared" si="193"/>
        <v>0</v>
      </c>
      <c r="L526" s="132">
        <f t="shared" si="204"/>
        <v>0</v>
      </c>
      <c r="M526" s="132">
        <f t="shared" si="210"/>
        <v>0</v>
      </c>
      <c r="N526" s="134">
        <f t="shared" si="205"/>
        <v>0</v>
      </c>
      <c r="O526" s="135">
        <f t="shared" si="206"/>
        <v>0</v>
      </c>
      <c r="P526" s="132" t="str">
        <f t="shared" si="194"/>
        <v/>
      </c>
      <c r="Q526" s="132" t="str">
        <f t="shared" si="208"/>
        <v/>
      </c>
      <c r="R526" s="132" t="str">
        <f>IF(ISNUMBER(SEARCH("AHO",Import2[[#This Row],[Tenure]])),"AHO",Import2[[#This Row],[Tenure]])&amp;Import2[[#This Row],[Expected Physical Completion Year]]&amp;Import2[[#This Row],[Expected Physical Completion Month]]</f>
        <v>Open market housing</v>
      </c>
      <c r="S526" s="135">
        <f t="shared" si="207"/>
        <v>0</v>
      </c>
      <c r="T526" s="132" t="str">
        <f t="shared" si="211"/>
        <v/>
      </c>
      <c r="U526" s="132" t="str">
        <f t="shared" si="211"/>
        <v/>
      </c>
      <c r="V526" s="132" t="str">
        <f>IF(ISNUMBER(SEARCH("AHO",Import2[[#This Row],[Tenure]])),"AHO",Import2[[#This Row],[Tenure]])&amp;Import2[[#This Row],[Expected sale completion year]]&amp;Import2[[#This Row],[Expected sale completion month]]</f>
        <v>Open market housing</v>
      </c>
      <c r="W526" s="178">
        <f t="shared" si="195"/>
        <v>0</v>
      </c>
    </row>
    <row r="527" spans="1:23" ht="15" customHeight="1">
      <c r="A527" s="132">
        <f t="shared" si="199"/>
        <v>0</v>
      </c>
      <c r="B527" s="133">
        <v>524</v>
      </c>
      <c r="C527" s="132" t="str">
        <f t="shared" si="200"/>
        <v/>
      </c>
      <c r="D527" s="132">
        <f t="shared" si="209"/>
        <v>0</v>
      </c>
      <c r="E527" s="132">
        <f t="shared" si="209"/>
        <v>0</v>
      </c>
      <c r="F527" s="132">
        <f t="shared" si="201"/>
        <v>0</v>
      </c>
      <c r="G527" s="132" t="str">
        <f t="shared" si="209"/>
        <v>Open market housing</v>
      </c>
      <c r="H527" s="132">
        <f t="shared" si="202"/>
        <v>896440000</v>
      </c>
      <c r="I527" s="132" t="str">
        <f t="shared" si="192"/>
        <v>New build</v>
      </c>
      <c r="J527" s="132">
        <f t="shared" si="203"/>
        <v>391930000</v>
      </c>
      <c r="K527" s="132">
        <f t="shared" si="193"/>
        <v>0</v>
      </c>
      <c r="L527" s="132">
        <f t="shared" si="204"/>
        <v>0</v>
      </c>
      <c r="M527" s="132">
        <f t="shared" si="210"/>
        <v>0</v>
      </c>
      <c r="N527" s="134">
        <f t="shared" si="205"/>
        <v>0</v>
      </c>
      <c r="O527" s="135">
        <f t="shared" si="206"/>
        <v>0</v>
      </c>
      <c r="P527" s="132" t="str">
        <f t="shared" si="194"/>
        <v/>
      </c>
      <c r="Q527" s="132" t="str">
        <f t="shared" si="208"/>
        <v/>
      </c>
      <c r="R527" s="132" t="str">
        <f>IF(ISNUMBER(SEARCH("AHO",Import2[[#This Row],[Tenure]])),"AHO",Import2[[#This Row],[Tenure]])&amp;Import2[[#This Row],[Expected Physical Completion Year]]&amp;Import2[[#This Row],[Expected Physical Completion Month]]</f>
        <v>Open market housing</v>
      </c>
      <c r="S527" s="135">
        <f t="shared" si="207"/>
        <v>0</v>
      </c>
      <c r="T527" s="132" t="str">
        <f t="shared" si="211"/>
        <v/>
      </c>
      <c r="U527" s="132" t="str">
        <f t="shared" si="211"/>
        <v/>
      </c>
      <c r="V527" s="132" t="str">
        <f>IF(ISNUMBER(SEARCH("AHO",Import2[[#This Row],[Tenure]])),"AHO",Import2[[#This Row],[Tenure]])&amp;Import2[[#This Row],[Expected sale completion year]]&amp;Import2[[#This Row],[Expected sale completion month]]</f>
        <v>Open market housing</v>
      </c>
      <c r="W527" s="178">
        <f t="shared" si="195"/>
        <v>0</v>
      </c>
    </row>
    <row r="528" spans="1:23" ht="15" customHeight="1">
      <c r="A528" s="132">
        <f t="shared" si="199"/>
        <v>0</v>
      </c>
      <c r="B528" s="133">
        <v>525</v>
      </c>
      <c r="C528" s="132" t="str">
        <f t="shared" si="200"/>
        <v/>
      </c>
      <c r="D528" s="132">
        <f t="shared" si="209"/>
        <v>0</v>
      </c>
      <c r="E528" s="132">
        <f t="shared" si="209"/>
        <v>0</v>
      </c>
      <c r="F528" s="132">
        <f t="shared" si="201"/>
        <v>0</v>
      </c>
      <c r="G528" s="132" t="str">
        <f t="shared" si="209"/>
        <v>Open market housing</v>
      </c>
      <c r="H528" s="132">
        <f t="shared" si="202"/>
        <v>896440000</v>
      </c>
      <c r="I528" s="132" t="str">
        <f t="shared" si="192"/>
        <v>New build</v>
      </c>
      <c r="J528" s="132">
        <f t="shared" si="203"/>
        <v>391930000</v>
      </c>
      <c r="K528" s="132">
        <f t="shared" si="193"/>
        <v>0</v>
      </c>
      <c r="L528" s="132">
        <f t="shared" si="204"/>
        <v>0</v>
      </c>
      <c r="M528" s="132">
        <f t="shared" si="210"/>
        <v>0</v>
      </c>
      <c r="N528" s="134">
        <f t="shared" si="205"/>
        <v>0</v>
      </c>
      <c r="O528" s="135">
        <f t="shared" si="206"/>
        <v>0</v>
      </c>
      <c r="P528" s="132" t="str">
        <f t="shared" si="194"/>
        <v/>
      </c>
      <c r="Q528" s="132" t="str">
        <f t="shared" si="208"/>
        <v/>
      </c>
      <c r="R528" s="132" t="str">
        <f>IF(ISNUMBER(SEARCH("AHO",Import2[[#This Row],[Tenure]])),"AHO",Import2[[#This Row],[Tenure]])&amp;Import2[[#This Row],[Expected Physical Completion Year]]&amp;Import2[[#This Row],[Expected Physical Completion Month]]</f>
        <v>Open market housing</v>
      </c>
      <c r="S528" s="135">
        <f t="shared" si="207"/>
        <v>0</v>
      </c>
      <c r="T528" s="132" t="str">
        <f t="shared" si="211"/>
        <v/>
      </c>
      <c r="U528" s="132" t="str">
        <f t="shared" si="211"/>
        <v/>
      </c>
      <c r="V528" s="132" t="str">
        <f>IF(ISNUMBER(SEARCH("AHO",Import2[[#This Row],[Tenure]])),"AHO",Import2[[#This Row],[Tenure]])&amp;Import2[[#This Row],[Expected sale completion year]]&amp;Import2[[#This Row],[Expected sale completion month]]</f>
        <v>Open market housing</v>
      </c>
      <c r="W528" s="178">
        <f t="shared" si="195"/>
        <v>0</v>
      </c>
    </row>
    <row r="529" spans="1:23" ht="15" customHeight="1">
      <c r="A529" s="132">
        <f t="shared" si="199"/>
        <v>0</v>
      </c>
      <c r="B529" s="133">
        <v>526</v>
      </c>
      <c r="C529" s="132" t="str">
        <f t="shared" si="200"/>
        <v/>
      </c>
      <c r="D529" s="132">
        <f t="shared" si="209"/>
        <v>0</v>
      </c>
      <c r="E529" s="132">
        <f t="shared" si="209"/>
        <v>0</v>
      </c>
      <c r="F529" s="132">
        <f t="shared" si="201"/>
        <v>0</v>
      </c>
      <c r="G529" s="132" t="str">
        <f t="shared" si="209"/>
        <v>Open market housing</v>
      </c>
      <c r="H529" s="132">
        <f t="shared" si="202"/>
        <v>896440000</v>
      </c>
      <c r="I529" s="132" t="str">
        <f t="shared" si="192"/>
        <v>New build</v>
      </c>
      <c r="J529" s="132">
        <f t="shared" si="203"/>
        <v>391930000</v>
      </c>
      <c r="K529" s="132">
        <f t="shared" si="193"/>
        <v>0</v>
      </c>
      <c r="L529" s="132">
        <f t="shared" si="204"/>
        <v>0</v>
      </c>
      <c r="M529" s="132">
        <f t="shared" si="210"/>
        <v>0</v>
      </c>
      <c r="N529" s="134">
        <f t="shared" si="205"/>
        <v>0</v>
      </c>
      <c r="O529" s="135">
        <f t="shared" si="206"/>
        <v>0</v>
      </c>
      <c r="P529" s="132" t="str">
        <f t="shared" si="194"/>
        <v/>
      </c>
      <c r="Q529" s="132" t="str">
        <f t="shared" si="208"/>
        <v/>
      </c>
      <c r="R529" s="132" t="str">
        <f>IF(ISNUMBER(SEARCH("AHO",Import2[[#This Row],[Tenure]])),"AHO",Import2[[#This Row],[Tenure]])&amp;Import2[[#This Row],[Expected Physical Completion Year]]&amp;Import2[[#This Row],[Expected Physical Completion Month]]</f>
        <v>Open market housing</v>
      </c>
      <c r="S529" s="135">
        <f t="shared" si="207"/>
        <v>0</v>
      </c>
      <c r="T529" s="132" t="str">
        <f t="shared" si="211"/>
        <v/>
      </c>
      <c r="U529" s="132" t="str">
        <f t="shared" si="211"/>
        <v/>
      </c>
      <c r="V529" s="132" t="str">
        <f>IF(ISNUMBER(SEARCH("AHO",Import2[[#This Row],[Tenure]])),"AHO",Import2[[#This Row],[Tenure]])&amp;Import2[[#This Row],[Expected sale completion year]]&amp;Import2[[#This Row],[Expected sale completion month]]</f>
        <v>Open market housing</v>
      </c>
      <c r="W529" s="178">
        <f t="shared" si="195"/>
        <v>0</v>
      </c>
    </row>
    <row r="530" spans="1:23" ht="15" customHeight="1">
      <c r="A530" s="132">
        <f t="shared" si="199"/>
        <v>0</v>
      </c>
      <c r="B530" s="133">
        <v>527</v>
      </c>
      <c r="C530" s="132" t="str">
        <f t="shared" si="200"/>
        <v/>
      </c>
      <c r="D530" s="132">
        <f t="shared" si="209"/>
        <v>0</v>
      </c>
      <c r="E530" s="132">
        <f t="shared" si="209"/>
        <v>0</v>
      </c>
      <c r="F530" s="132">
        <f t="shared" si="201"/>
        <v>0</v>
      </c>
      <c r="G530" s="132" t="str">
        <f t="shared" si="209"/>
        <v>Open market housing</v>
      </c>
      <c r="H530" s="132">
        <f t="shared" si="202"/>
        <v>896440000</v>
      </c>
      <c r="I530" s="132" t="str">
        <f t="shared" si="192"/>
        <v>New build</v>
      </c>
      <c r="J530" s="132">
        <f t="shared" si="203"/>
        <v>391930000</v>
      </c>
      <c r="K530" s="132">
        <f t="shared" si="193"/>
        <v>0</v>
      </c>
      <c r="L530" s="132">
        <f t="shared" si="204"/>
        <v>0</v>
      </c>
      <c r="M530" s="132">
        <f t="shared" si="210"/>
        <v>0</v>
      </c>
      <c r="N530" s="134">
        <f t="shared" si="205"/>
        <v>0</v>
      </c>
      <c r="O530" s="135">
        <f t="shared" si="206"/>
        <v>0</v>
      </c>
      <c r="P530" s="132" t="str">
        <f t="shared" si="194"/>
        <v/>
      </c>
      <c r="Q530" s="132" t="str">
        <f t="shared" si="208"/>
        <v/>
      </c>
      <c r="R530" s="132" t="str">
        <f>IF(ISNUMBER(SEARCH("AHO",Import2[[#This Row],[Tenure]])),"AHO",Import2[[#This Row],[Tenure]])&amp;Import2[[#This Row],[Expected Physical Completion Year]]&amp;Import2[[#This Row],[Expected Physical Completion Month]]</f>
        <v>Open market housing</v>
      </c>
      <c r="S530" s="135">
        <f t="shared" si="207"/>
        <v>0</v>
      </c>
      <c r="T530" s="132" t="str">
        <f t="shared" si="211"/>
        <v/>
      </c>
      <c r="U530" s="132" t="str">
        <f t="shared" si="211"/>
        <v/>
      </c>
      <c r="V530" s="132" t="str">
        <f>IF(ISNUMBER(SEARCH("AHO",Import2[[#This Row],[Tenure]])),"AHO",Import2[[#This Row],[Tenure]])&amp;Import2[[#This Row],[Expected sale completion year]]&amp;Import2[[#This Row],[Expected sale completion month]]</f>
        <v>Open market housing</v>
      </c>
      <c r="W530" s="178">
        <f t="shared" si="195"/>
        <v>0</v>
      </c>
    </row>
    <row r="531" spans="1:23" ht="15" customHeight="1">
      <c r="A531" s="132">
        <f t="shared" si="199"/>
        <v>0</v>
      </c>
      <c r="B531" s="133">
        <v>528</v>
      </c>
      <c r="C531" s="132" t="str">
        <f t="shared" si="200"/>
        <v/>
      </c>
      <c r="D531" s="132">
        <f t="shared" si="209"/>
        <v>0</v>
      </c>
      <c r="E531" s="132">
        <f t="shared" si="209"/>
        <v>0</v>
      </c>
      <c r="F531" s="132">
        <f t="shared" si="201"/>
        <v>0</v>
      </c>
      <c r="G531" s="132" t="str">
        <f t="shared" si="209"/>
        <v>Open market housing</v>
      </c>
      <c r="H531" s="132">
        <f t="shared" si="202"/>
        <v>896440000</v>
      </c>
      <c r="I531" s="132" t="str">
        <f t="shared" si="192"/>
        <v>New build</v>
      </c>
      <c r="J531" s="132">
        <f t="shared" si="203"/>
        <v>391930000</v>
      </c>
      <c r="K531" s="132">
        <f t="shared" si="193"/>
        <v>0</v>
      </c>
      <c r="L531" s="132">
        <f t="shared" si="204"/>
        <v>0</v>
      </c>
      <c r="M531" s="132">
        <f t="shared" si="210"/>
        <v>0</v>
      </c>
      <c r="N531" s="134">
        <f t="shared" si="205"/>
        <v>0</v>
      </c>
      <c r="O531" s="135">
        <f t="shared" si="206"/>
        <v>0</v>
      </c>
      <c r="P531" s="132" t="str">
        <f t="shared" si="194"/>
        <v/>
      </c>
      <c r="Q531" s="132" t="str">
        <f t="shared" si="208"/>
        <v/>
      </c>
      <c r="R531" s="132" t="str">
        <f>IF(ISNUMBER(SEARCH("AHO",Import2[[#This Row],[Tenure]])),"AHO",Import2[[#This Row],[Tenure]])&amp;Import2[[#This Row],[Expected Physical Completion Year]]&amp;Import2[[#This Row],[Expected Physical Completion Month]]</f>
        <v>Open market housing</v>
      </c>
      <c r="S531" s="135">
        <f t="shared" si="207"/>
        <v>0</v>
      </c>
      <c r="T531" s="132" t="str">
        <f t="shared" si="211"/>
        <v/>
      </c>
      <c r="U531" s="132" t="str">
        <f t="shared" si="211"/>
        <v/>
      </c>
      <c r="V531" s="132" t="str">
        <f>IF(ISNUMBER(SEARCH("AHO",Import2[[#This Row],[Tenure]])),"AHO",Import2[[#This Row],[Tenure]])&amp;Import2[[#This Row],[Expected sale completion year]]&amp;Import2[[#This Row],[Expected sale completion month]]</f>
        <v>Open market housing</v>
      </c>
      <c r="W531" s="178">
        <f t="shared" si="195"/>
        <v>0</v>
      </c>
    </row>
    <row r="532" spans="1:23" ht="15" customHeight="1">
      <c r="A532" s="132">
        <f t="shared" si="199"/>
        <v>0</v>
      </c>
      <c r="B532" s="133">
        <v>529</v>
      </c>
      <c r="C532" s="132" t="str">
        <f t="shared" si="200"/>
        <v/>
      </c>
      <c r="D532" s="132">
        <f t="shared" si="209"/>
        <v>0</v>
      </c>
      <c r="E532" s="132">
        <f t="shared" si="209"/>
        <v>0</v>
      </c>
      <c r="F532" s="132">
        <f t="shared" si="201"/>
        <v>0</v>
      </c>
      <c r="G532" s="132" t="str">
        <f t="shared" si="209"/>
        <v>Open market housing</v>
      </c>
      <c r="H532" s="132">
        <f t="shared" si="202"/>
        <v>896440000</v>
      </c>
      <c r="I532" s="132" t="str">
        <f t="shared" si="192"/>
        <v>New build</v>
      </c>
      <c r="J532" s="132">
        <f t="shared" si="203"/>
        <v>391930000</v>
      </c>
      <c r="K532" s="132">
        <f t="shared" si="193"/>
        <v>0</v>
      </c>
      <c r="L532" s="132">
        <f t="shared" si="204"/>
        <v>0</v>
      </c>
      <c r="M532" s="132">
        <f t="shared" si="210"/>
        <v>0</v>
      </c>
      <c r="N532" s="134">
        <f t="shared" si="205"/>
        <v>0</v>
      </c>
      <c r="O532" s="135">
        <f t="shared" si="206"/>
        <v>0</v>
      </c>
      <c r="P532" s="132" t="str">
        <f t="shared" si="194"/>
        <v/>
      </c>
      <c r="Q532" s="132" t="str">
        <f t="shared" si="208"/>
        <v/>
      </c>
      <c r="R532" s="132" t="str">
        <f>IF(ISNUMBER(SEARCH("AHO",Import2[[#This Row],[Tenure]])),"AHO",Import2[[#This Row],[Tenure]])&amp;Import2[[#This Row],[Expected Physical Completion Year]]&amp;Import2[[#This Row],[Expected Physical Completion Month]]</f>
        <v>Open market housing</v>
      </c>
      <c r="S532" s="135">
        <f t="shared" si="207"/>
        <v>0</v>
      </c>
      <c r="T532" s="132" t="str">
        <f t="shared" si="211"/>
        <v/>
      </c>
      <c r="U532" s="132" t="str">
        <f t="shared" si="211"/>
        <v/>
      </c>
      <c r="V532" s="132" t="str">
        <f>IF(ISNUMBER(SEARCH("AHO",Import2[[#This Row],[Tenure]])),"AHO",Import2[[#This Row],[Tenure]])&amp;Import2[[#This Row],[Expected sale completion year]]&amp;Import2[[#This Row],[Expected sale completion month]]</f>
        <v>Open market housing</v>
      </c>
      <c r="W532" s="178">
        <f t="shared" si="195"/>
        <v>0</v>
      </c>
    </row>
    <row r="533" spans="1:23" ht="15" customHeight="1">
      <c r="A533" s="132">
        <f t="shared" si="199"/>
        <v>0</v>
      </c>
      <c r="B533" s="133">
        <v>530</v>
      </c>
      <c r="C533" s="132" t="str">
        <f t="shared" si="200"/>
        <v/>
      </c>
      <c r="D533" s="132">
        <f t="shared" si="209"/>
        <v>0</v>
      </c>
      <c r="E533" s="132">
        <f t="shared" si="209"/>
        <v>0</v>
      </c>
      <c r="F533" s="132">
        <f t="shared" si="201"/>
        <v>0</v>
      </c>
      <c r="G533" s="132" t="str">
        <f t="shared" si="209"/>
        <v>Open market housing</v>
      </c>
      <c r="H533" s="132">
        <f t="shared" si="202"/>
        <v>896440000</v>
      </c>
      <c r="I533" s="132" t="str">
        <f t="shared" si="192"/>
        <v>New build</v>
      </c>
      <c r="J533" s="132">
        <f t="shared" si="203"/>
        <v>391930000</v>
      </c>
      <c r="K533" s="132">
        <f t="shared" si="193"/>
        <v>0</v>
      </c>
      <c r="L533" s="132">
        <f t="shared" si="204"/>
        <v>0</v>
      </c>
      <c r="M533" s="132">
        <f t="shared" si="210"/>
        <v>0</v>
      </c>
      <c r="N533" s="134">
        <f t="shared" si="205"/>
        <v>0</v>
      </c>
      <c r="O533" s="135">
        <f t="shared" si="206"/>
        <v>0</v>
      </c>
      <c r="P533" s="132" t="str">
        <f t="shared" si="194"/>
        <v/>
      </c>
      <c r="Q533" s="132" t="str">
        <f t="shared" si="208"/>
        <v/>
      </c>
      <c r="R533" s="132" t="str">
        <f>IF(ISNUMBER(SEARCH("AHO",Import2[[#This Row],[Tenure]])),"AHO",Import2[[#This Row],[Tenure]])&amp;Import2[[#This Row],[Expected Physical Completion Year]]&amp;Import2[[#This Row],[Expected Physical Completion Month]]</f>
        <v>Open market housing</v>
      </c>
      <c r="S533" s="135">
        <f t="shared" si="207"/>
        <v>0</v>
      </c>
      <c r="T533" s="132" t="str">
        <f t="shared" si="211"/>
        <v/>
      </c>
      <c r="U533" s="132" t="str">
        <f t="shared" si="211"/>
        <v/>
      </c>
      <c r="V533" s="132" t="str">
        <f>IF(ISNUMBER(SEARCH("AHO",Import2[[#This Row],[Tenure]])),"AHO",Import2[[#This Row],[Tenure]])&amp;Import2[[#This Row],[Expected sale completion year]]&amp;Import2[[#This Row],[Expected sale completion month]]</f>
        <v>Open market housing</v>
      </c>
      <c r="W533" s="178">
        <f t="shared" si="195"/>
        <v>0</v>
      </c>
    </row>
    <row r="534" spans="1:23" ht="15" customHeight="1">
      <c r="A534" s="132">
        <f t="shared" si="199"/>
        <v>0</v>
      </c>
      <c r="B534" s="133">
        <v>531</v>
      </c>
      <c r="C534" s="132" t="str">
        <f t="shared" si="200"/>
        <v/>
      </c>
      <c r="D534" s="132">
        <f t="shared" si="209"/>
        <v>0</v>
      </c>
      <c r="E534" s="132">
        <f t="shared" si="209"/>
        <v>0</v>
      </c>
      <c r="F534" s="132">
        <f t="shared" si="201"/>
        <v>0</v>
      </c>
      <c r="G534" s="132" t="str">
        <f t="shared" si="209"/>
        <v>Open market housing</v>
      </c>
      <c r="H534" s="132">
        <f t="shared" si="202"/>
        <v>896440000</v>
      </c>
      <c r="I534" s="132" t="str">
        <f t="shared" si="192"/>
        <v>New build</v>
      </c>
      <c r="J534" s="132">
        <f t="shared" si="203"/>
        <v>391930000</v>
      </c>
      <c r="K534" s="132">
        <f t="shared" si="193"/>
        <v>0</v>
      </c>
      <c r="L534" s="132">
        <f t="shared" si="204"/>
        <v>0</v>
      </c>
      <c r="M534" s="132">
        <f t="shared" si="210"/>
        <v>0</v>
      </c>
      <c r="N534" s="134">
        <f t="shared" si="205"/>
        <v>0</v>
      </c>
      <c r="O534" s="135">
        <f t="shared" si="206"/>
        <v>0</v>
      </c>
      <c r="P534" s="132" t="str">
        <f t="shared" si="194"/>
        <v/>
      </c>
      <c r="Q534" s="132" t="str">
        <f t="shared" si="208"/>
        <v/>
      </c>
      <c r="R534" s="132" t="str">
        <f>IF(ISNUMBER(SEARCH("AHO",Import2[[#This Row],[Tenure]])),"AHO",Import2[[#This Row],[Tenure]])&amp;Import2[[#This Row],[Expected Physical Completion Year]]&amp;Import2[[#This Row],[Expected Physical Completion Month]]</f>
        <v>Open market housing</v>
      </c>
      <c r="S534" s="135">
        <f t="shared" si="207"/>
        <v>0</v>
      </c>
      <c r="T534" s="132" t="str">
        <f t="shared" si="211"/>
        <v/>
      </c>
      <c r="U534" s="132" t="str">
        <f t="shared" si="211"/>
        <v/>
      </c>
      <c r="V534" s="132" t="str">
        <f>IF(ISNUMBER(SEARCH("AHO",Import2[[#This Row],[Tenure]])),"AHO",Import2[[#This Row],[Tenure]])&amp;Import2[[#This Row],[Expected sale completion year]]&amp;Import2[[#This Row],[Expected sale completion month]]</f>
        <v>Open market housing</v>
      </c>
      <c r="W534" s="178">
        <f t="shared" si="195"/>
        <v>0</v>
      </c>
    </row>
    <row r="535" spans="1:23" ht="15" customHeight="1">
      <c r="A535" s="132">
        <f t="shared" si="199"/>
        <v>0</v>
      </c>
      <c r="B535" s="133">
        <v>532</v>
      </c>
      <c r="C535" s="132" t="str">
        <f t="shared" si="200"/>
        <v/>
      </c>
      <c r="D535" s="132">
        <f t="shared" si="209"/>
        <v>0</v>
      </c>
      <c r="E535" s="132">
        <f t="shared" si="209"/>
        <v>0</v>
      </c>
      <c r="F535" s="132">
        <f t="shared" si="201"/>
        <v>0</v>
      </c>
      <c r="G535" s="132" t="str">
        <f t="shared" si="209"/>
        <v>Open market housing</v>
      </c>
      <c r="H535" s="132">
        <f t="shared" si="202"/>
        <v>896440000</v>
      </c>
      <c r="I535" s="132" t="str">
        <f t="shared" si="192"/>
        <v>New build</v>
      </c>
      <c r="J535" s="132">
        <f t="shared" si="203"/>
        <v>391930000</v>
      </c>
      <c r="K535" s="132">
        <f t="shared" si="193"/>
        <v>0</v>
      </c>
      <c r="L535" s="132">
        <f t="shared" si="204"/>
        <v>0</v>
      </c>
      <c r="M535" s="132">
        <f t="shared" si="210"/>
        <v>0</v>
      </c>
      <c r="N535" s="134">
        <f t="shared" si="205"/>
        <v>0</v>
      </c>
      <c r="O535" s="135">
        <f t="shared" si="206"/>
        <v>0</v>
      </c>
      <c r="P535" s="132" t="str">
        <f t="shared" si="194"/>
        <v/>
      </c>
      <c r="Q535" s="132" t="str">
        <f t="shared" si="208"/>
        <v/>
      </c>
      <c r="R535" s="132" t="str">
        <f>IF(ISNUMBER(SEARCH("AHO",Import2[[#This Row],[Tenure]])),"AHO",Import2[[#This Row],[Tenure]])&amp;Import2[[#This Row],[Expected Physical Completion Year]]&amp;Import2[[#This Row],[Expected Physical Completion Month]]</f>
        <v>Open market housing</v>
      </c>
      <c r="S535" s="135">
        <f t="shared" si="207"/>
        <v>0</v>
      </c>
      <c r="T535" s="132" t="str">
        <f t="shared" si="211"/>
        <v/>
      </c>
      <c r="U535" s="132" t="str">
        <f t="shared" si="211"/>
        <v/>
      </c>
      <c r="V535" s="132" t="str">
        <f>IF(ISNUMBER(SEARCH("AHO",Import2[[#This Row],[Tenure]])),"AHO",Import2[[#This Row],[Tenure]])&amp;Import2[[#This Row],[Expected sale completion year]]&amp;Import2[[#This Row],[Expected sale completion month]]</f>
        <v>Open market housing</v>
      </c>
      <c r="W535" s="178">
        <f t="shared" si="195"/>
        <v>0</v>
      </c>
    </row>
    <row r="536" spans="1:23" ht="15" customHeight="1">
      <c r="A536" s="132">
        <f t="shared" si="199"/>
        <v>0</v>
      </c>
      <c r="B536" s="133">
        <v>533</v>
      </c>
      <c r="C536" s="132" t="str">
        <f t="shared" si="200"/>
        <v/>
      </c>
      <c r="D536" s="132">
        <f t="shared" si="209"/>
        <v>0</v>
      </c>
      <c r="E536" s="132">
        <f t="shared" si="209"/>
        <v>0</v>
      </c>
      <c r="F536" s="132">
        <f t="shared" si="201"/>
        <v>0</v>
      </c>
      <c r="G536" s="132" t="str">
        <f t="shared" si="209"/>
        <v>Open market housing</v>
      </c>
      <c r="H536" s="132">
        <f t="shared" si="202"/>
        <v>896440000</v>
      </c>
      <c r="I536" s="132" t="str">
        <f t="shared" si="192"/>
        <v>New build</v>
      </c>
      <c r="J536" s="132">
        <f t="shared" si="203"/>
        <v>391930000</v>
      </c>
      <c r="K536" s="132">
        <f t="shared" si="193"/>
        <v>0</v>
      </c>
      <c r="L536" s="132">
        <f t="shared" si="204"/>
        <v>0</v>
      </c>
      <c r="M536" s="132">
        <f t="shared" si="210"/>
        <v>0</v>
      </c>
      <c r="N536" s="134">
        <f t="shared" si="205"/>
        <v>0</v>
      </c>
      <c r="O536" s="135">
        <f t="shared" si="206"/>
        <v>0</v>
      </c>
      <c r="P536" s="132" t="str">
        <f t="shared" si="194"/>
        <v/>
      </c>
      <c r="Q536" s="132" t="str">
        <f t="shared" si="208"/>
        <v/>
      </c>
      <c r="R536" s="132" t="str">
        <f>IF(ISNUMBER(SEARCH("AHO",Import2[[#This Row],[Tenure]])),"AHO",Import2[[#This Row],[Tenure]])&amp;Import2[[#This Row],[Expected Physical Completion Year]]&amp;Import2[[#This Row],[Expected Physical Completion Month]]</f>
        <v>Open market housing</v>
      </c>
      <c r="S536" s="135">
        <f t="shared" si="207"/>
        <v>0</v>
      </c>
      <c r="T536" s="132" t="str">
        <f t="shared" si="211"/>
        <v/>
      </c>
      <c r="U536" s="132" t="str">
        <f t="shared" si="211"/>
        <v/>
      </c>
      <c r="V536" s="132" t="str">
        <f>IF(ISNUMBER(SEARCH("AHO",Import2[[#This Row],[Tenure]])),"AHO",Import2[[#This Row],[Tenure]])&amp;Import2[[#This Row],[Expected sale completion year]]&amp;Import2[[#This Row],[Expected sale completion month]]</f>
        <v>Open market housing</v>
      </c>
      <c r="W536" s="178">
        <f t="shared" si="195"/>
        <v>0</v>
      </c>
    </row>
    <row r="537" spans="1:23" ht="15" customHeight="1">
      <c r="A537" s="132">
        <f t="shared" si="199"/>
        <v>0</v>
      </c>
      <c r="B537" s="133">
        <v>534</v>
      </c>
      <c r="C537" s="132" t="str">
        <f t="shared" si="200"/>
        <v/>
      </c>
      <c r="D537" s="132">
        <f t="shared" si="209"/>
        <v>0</v>
      </c>
      <c r="E537" s="132">
        <f t="shared" si="209"/>
        <v>0</v>
      </c>
      <c r="F537" s="132">
        <f t="shared" si="201"/>
        <v>0</v>
      </c>
      <c r="G537" s="132" t="str">
        <f t="shared" si="209"/>
        <v>Open market housing</v>
      </c>
      <c r="H537" s="132">
        <f t="shared" si="202"/>
        <v>896440000</v>
      </c>
      <c r="I537" s="132" t="str">
        <f t="shared" si="192"/>
        <v>New build</v>
      </c>
      <c r="J537" s="132">
        <f t="shared" si="203"/>
        <v>391930000</v>
      </c>
      <c r="K537" s="132">
        <f t="shared" si="193"/>
        <v>0</v>
      </c>
      <c r="L537" s="132">
        <f t="shared" si="204"/>
        <v>0</v>
      </c>
      <c r="M537" s="132">
        <f t="shared" si="210"/>
        <v>0</v>
      </c>
      <c r="N537" s="134">
        <f t="shared" si="205"/>
        <v>0</v>
      </c>
      <c r="O537" s="135">
        <f t="shared" si="206"/>
        <v>0</v>
      </c>
      <c r="P537" s="132" t="str">
        <f t="shared" si="194"/>
        <v/>
      </c>
      <c r="Q537" s="132" t="str">
        <f t="shared" si="208"/>
        <v/>
      </c>
      <c r="R537" s="132" t="str">
        <f>IF(ISNUMBER(SEARCH("AHO",Import2[[#This Row],[Tenure]])),"AHO",Import2[[#This Row],[Tenure]])&amp;Import2[[#This Row],[Expected Physical Completion Year]]&amp;Import2[[#This Row],[Expected Physical Completion Month]]</f>
        <v>Open market housing</v>
      </c>
      <c r="S537" s="135">
        <f t="shared" si="207"/>
        <v>0</v>
      </c>
      <c r="T537" s="132" t="str">
        <f t="shared" si="211"/>
        <v/>
      </c>
      <c r="U537" s="132" t="str">
        <f t="shared" si="211"/>
        <v/>
      </c>
      <c r="V537" s="132" t="str">
        <f>IF(ISNUMBER(SEARCH("AHO",Import2[[#This Row],[Tenure]])),"AHO",Import2[[#This Row],[Tenure]])&amp;Import2[[#This Row],[Expected sale completion year]]&amp;Import2[[#This Row],[Expected sale completion month]]</f>
        <v>Open market housing</v>
      </c>
      <c r="W537" s="178">
        <f t="shared" si="195"/>
        <v>0</v>
      </c>
    </row>
    <row r="538" spans="1:23" ht="15" customHeight="1">
      <c r="A538" s="132">
        <f t="shared" si="199"/>
        <v>0</v>
      </c>
      <c r="B538" s="133">
        <v>535</v>
      </c>
      <c r="C538" s="132" t="str">
        <f t="shared" si="200"/>
        <v/>
      </c>
      <c r="D538" s="132">
        <f t="shared" si="209"/>
        <v>0</v>
      </c>
      <c r="E538" s="132">
        <f t="shared" si="209"/>
        <v>0</v>
      </c>
      <c r="F538" s="132">
        <f t="shared" si="201"/>
        <v>0</v>
      </c>
      <c r="G538" s="132" t="str">
        <f t="shared" si="209"/>
        <v>Open market housing</v>
      </c>
      <c r="H538" s="132">
        <f t="shared" si="202"/>
        <v>896440000</v>
      </c>
      <c r="I538" s="132" t="str">
        <f t="shared" si="192"/>
        <v>New build</v>
      </c>
      <c r="J538" s="132">
        <f t="shared" si="203"/>
        <v>391930000</v>
      </c>
      <c r="K538" s="132">
        <f t="shared" si="193"/>
        <v>0</v>
      </c>
      <c r="L538" s="132">
        <f t="shared" si="204"/>
        <v>0</v>
      </c>
      <c r="M538" s="132">
        <f t="shared" si="210"/>
        <v>0</v>
      </c>
      <c r="N538" s="134">
        <f t="shared" si="205"/>
        <v>0</v>
      </c>
      <c r="O538" s="135">
        <f t="shared" si="206"/>
        <v>0</v>
      </c>
      <c r="P538" s="132" t="str">
        <f t="shared" si="194"/>
        <v/>
      </c>
      <c r="Q538" s="132" t="str">
        <f t="shared" si="208"/>
        <v/>
      </c>
      <c r="R538" s="132" t="str">
        <f>IF(ISNUMBER(SEARCH("AHO",Import2[[#This Row],[Tenure]])),"AHO",Import2[[#This Row],[Tenure]])&amp;Import2[[#This Row],[Expected Physical Completion Year]]&amp;Import2[[#This Row],[Expected Physical Completion Month]]</f>
        <v>Open market housing</v>
      </c>
      <c r="S538" s="135">
        <f t="shared" si="207"/>
        <v>0</v>
      </c>
      <c r="T538" s="132" t="str">
        <f t="shared" si="211"/>
        <v/>
      </c>
      <c r="U538" s="132" t="str">
        <f t="shared" si="211"/>
        <v/>
      </c>
      <c r="V538" s="132" t="str">
        <f>IF(ISNUMBER(SEARCH("AHO",Import2[[#This Row],[Tenure]])),"AHO",Import2[[#This Row],[Tenure]])&amp;Import2[[#This Row],[Expected sale completion year]]&amp;Import2[[#This Row],[Expected sale completion month]]</f>
        <v>Open market housing</v>
      </c>
      <c r="W538" s="178">
        <f t="shared" si="195"/>
        <v>0</v>
      </c>
    </row>
    <row r="539" spans="1:23" ht="15" customHeight="1">
      <c r="A539" s="132">
        <f t="shared" si="199"/>
        <v>0</v>
      </c>
      <c r="B539" s="133">
        <v>536</v>
      </c>
      <c r="C539" s="132" t="str">
        <f t="shared" si="200"/>
        <v/>
      </c>
      <c r="D539" s="132">
        <f t="shared" si="209"/>
        <v>0</v>
      </c>
      <c r="E539" s="132">
        <f t="shared" si="209"/>
        <v>0</v>
      </c>
      <c r="F539" s="132">
        <f t="shared" si="201"/>
        <v>0</v>
      </c>
      <c r="G539" s="132" t="str">
        <f t="shared" si="209"/>
        <v>Open market housing</v>
      </c>
      <c r="H539" s="132">
        <f t="shared" si="202"/>
        <v>896440000</v>
      </c>
      <c r="I539" s="132" t="str">
        <f t="shared" si="192"/>
        <v>New build</v>
      </c>
      <c r="J539" s="132">
        <f t="shared" si="203"/>
        <v>391930000</v>
      </c>
      <c r="K539" s="132">
        <f t="shared" si="193"/>
        <v>0</v>
      </c>
      <c r="L539" s="132">
        <f t="shared" si="204"/>
        <v>0</v>
      </c>
      <c r="M539" s="132">
        <f t="shared" si="210"/>
        <v>0</v>
      </c>
      <c r="N539" s="134">
        <f t="shared" si="205"/>
        <v>0</v>
      </c>
      <c r="O539" s="135">
        <f t="shared" si="206"/>
        <v>0</v>
      </c>
      <c r="P539" s="132" t="str">
        <f t="shared" si="194"/>
        <v/>
      </c>
      <c r="Q539" s="132" t="str">
        <f t="shared" si="208"/>
        <v/>
      </c>
      <c r="R539" s="132" t="str">
        <f>IF(ISNUMBER(SEARCH("AHO",Import2[[#This Row],[Tenure]])),"AHO",Import2[[#This Row],[Tenure]])&amp;Import2[[#This Row],[Expected Physical Completion Year]]&amp;Import2[[#This Row],[Expected Physical Completion Month]]</f>
        <v>Open market housing</v>
      </c>
      <c r="S539" s="135">
        <f t="shared" si="207"/>
        <v>0</v>
      </c>
      <c r="T539" s="132" t="str">
        <f t="shared" si="211"/>
        <v/>
      </c>
      <c r="U539" s="132" t="str">
        <f t="shared" si="211"/>
        <v/>
      </c>
      <c r="V539" s="132" t="str">
        <f>IF(ISNUMBER(SEARCH("AHO",Import2[[#This Row],[Tenure]])),"AHO",Import2[[#This Row],[Tenure]])&amp;Import2[[#This Row],[Expected sale completion year]]&amp;Import2[[#This Row],[Expected sale completion month]]</f>
        <v>Open market housing</v>
      </c>
      <c r="W539" s="178">
        <f t="shared" si="195"/>
        <v>0</v>
      </c>
    </row>
    <row r="540" spans="1:23" ht="15" customHeight="1">
      <c r="A540" s="132">
        <f t="shared" si="199"/>
        <v>0</v>
      </c>
      <c r="B540" s="133">
        <v>537</v>
      </c>
      <c r="C540" s="132" t="str">
        <f t="shared" si="200"/>
        <v/>
      </c>
      <c r="D540" s="132">
        <f t="shared" si="209"/>
        <v>0</v>
      </c>
      <c r="E540" s="132">
        <f t="shared" si="209"/>
        <v>0</v>
      </c>
      <c r="F540" s="132">
        <f t="shared" si="201"/>
        <v>0</v>
      </c>
      <c r="G540" s="132" t="str">
        <f t="shared" si="209"/>
        <v>Open market housing</v>
      </c>
      <c r="H540" s="132">
        <f t="shared" si="202"/>
        <v>896440000</v>
      </c>
      <c r="I540" s="132" t="str">
        <f t="shared" si="192"/>
        <v>New build</v>
      </c>
      <c r="J540" s="132">
        <f t="shared" si="203"/>
        <v>391930000</v>
      </c>
      <c r="K540" s="132">
        <f t="shared" si="193"/>
        <v>0</v>
      </c>
      <c r="L540" s="132">
        <f t="shared" si="204"/>
        <v>0</v>
      </c>
      <c r="M540" s="132">
        <f t="shared" si="210"/>
        <v>0</v>
      </c>
      <c r="N540" s="134">
        <f t="shared" si="205"/>
        <v>0</v>
      </c>
      <c r="O540" s="135">
        <f t="shared" si="206"/>
        <v>0</v>
      </c>
      <c r="P540" s="132" t="str">
        <f t="shared" si="194"/>
        <v/>
      </c>
      <c r="Q540" s="132" t="str">
        <f t="shared" si="208"/>
        <v/>
      </c>
      <c r="R540" s="132" t="str">
        <f>IF(ISNUMBER(SEARCH("AHO",Import2[[#This Row],[Tenure]])),"AHO",Import2[[#This Row],[Tenure]])&amp;Import2[[#This Row],[Expected Physical Completion Year]]&amp;Import2[[#This Row],[Expected Physical Completion Month]]</f>
        <v>Open market housing</v>
      </c>
      <c r="S540" s="135">
        <f t="shared" si="207"/>
        <v>0</v>
      </c>
      <c r="T540" s="132" t="str">
        <f t="shared" si="211"/>
        <v/>
      </c>
      <c r="U540" s="132" t="str">
        <f t="shared" si="211"/>
        <v/>
      </c>
      <c r="V540" s="132" t="str">
        <f>IF(ISNUMBER(SEARCH("AHO",Import2[[#This Row],[Tenure]])),"AHO",Import2[[#This Row],[Tenure]])&amp;Import2[[#This Row],[Expected sale completion year]]&amp;Import2[[#This Row],[Expected sale completion month]]</f>
        <v>Open market housing</v>
      </c>
      <c r="W540" s="178">
        <f t="shared" si="195"/>
        <v>0</v>
      </c>
    </row>
    <row r="541" spans="1:23" ht="15" customHeight="1">
      <c r="A541" s="132">
        <f t="shared" si="199"/>
        <v>0</v>
      </c>
      <c r="B541" s="133">
        <v>538</v>
      </c>
      <c r="C541" s="132" t="str">
        <f t="shared" si="200"/>
        <v/>
      </c>
      <c r="D541" s="132">
        <f t="shared" si="209"/>
        <v>0</v>
      </c>
      <c r="E541" s="132">
        <f t="shared" si="209"/>
        <v>0</v>
      </c>
      <c r="F541" s="132">
        <f t="shared" si="201"/>
        <v>0</v>
      </c>
      <c r="G541" s="132" t="str">
        <f t="shared" si="209"/>
        <v>Open market housing</v>
      </c>
      <c r="H541" s="132">
        <f t="shared" si="202"/>
        <v>896440000</v>
      </c>
      <c r="I541" s="132" t="str">
        <f t="shared" si="192"/>
        <v>New build</v>
      </c>
      <c r="J541" s="132">
        <f t="shared" si="203"/>
        <v>391930000</v>
      </c>
      <c r="K541" s="132">
        <f t="shared" si="193"/>
        <v>0</v>
      </c>
      <c r="L541" s="132">
        <f t="shared" si="204"/>
        <v>0</v>
      </c>
      <c r="M541" s="132">
        <f t="shared" si="210"/>
        <v>0</v>
      </c>
      <c r="N541" s="134">
        <f t="shared" si="205"/>
        <v>0</v>
      </c>
      <c r="O541" s="135">
        <f t="shared" si="206"/>
        <v>0</v>
      </c>
      <c r="P541" s="132" t="str">
        <f t="shared" si="194"/>
        <v/>
      </c>
      <c r="Q541" s="132" t="str">
        <f t="shared" si="208"/>
        <v/>
      </c>
      <c r="R541" s="132" t="str">
        <f>IF(ISNUMBER(SEARCH("AHO",Import2[[#This Row],[Tenure]])),"AHO",Import2[[#This Row],[Tenure]])&amp;Import2[[#This Row],[Expected Physical Completion Year]]&amp;Import2[[#This Row],[Expected Physical Completion Month]]</f>
        <v>Open market housing</v>
      </c>
      <c r="S541" s="135">
        <f t="shared" si="207"/>
        <v>0</v>
      </c>
      <c r="T541" s="132" t="str">
        <f t="shared" si="211"/>
        <v/>
      </c>
      <c r="U541" s="132" t="str">
        <f t="shared" si="211"/>
        <v/>
      </c>
      <c r="V541" s="132" t="str">
        <f>IF(ISNUMBER(SEARCH("AHO",Import2[[#This Row],[Tenure]])),"AHO",Import2[[#This Row],[Tenure]])&amp;Import2[[#This Row],[Expected sale completion year]]&amp;Import2[[#This Row],[Expected sale completion month]]</f>
        <v>Open market housing</v>
      </c>
      <c r="W541" s="178">
        <f t="shared" si="195"/>
        <v>0</v>
      </c>
    </row>
    <row r="542" spans="1:23" ht="15" customHeight="1">
      <c r="A542" s="132">
        <f t="shared" si="199"/>
        <v>0</v>
      </c>
      <c r="B542" s="133">
        <v>539</v>
      </c>
      <c r="C542" s="132" t="str">
        <f t="shared" si="200"/>
        <v/>
      </c>
      <c r="D542" s="132">
        <f t="shared" si="209"/>
        <v>0</v>
      </c>
      <c r="E542" s="132">
        <f t="shared" si="209"/>
        <v>0</v>
      </c>
      <c r="F542" s="132">
        <f t="shared" si="201"/>
        <v>0</v>
      </c>
      <c r="G542" s="132" t="str">
        <f t="shared" si="209"/>
        <v>Open market housing</v>
      </c>
      <c r="H542" s="132">
        <f t="shared" si="202"/>
        <v>896440000</v>
      </c>
      <c r="I542" s="132" t="str">
        <f t="shared" si="192"/>
        <v>New build</v>
      </c>
      <c r="J542" s="132">
        <f t="shared" si="203"/>
        <v>391930000</v>
      </c>
      <c r="K542" s="132">
        <f t="shared" si="193"/>
        <v>0</v>
      </c>
      <c r="L542" s="132">
        <f t="shared" si="204"/>
        <v>0</v>
      </c>
      <c r="M542" s="132">
        <f t="shared" si="210"/>
        <v>0</v>
      </c>
      <c r="N542" s="134">
        <f t="shared" si="205"/>
        <v>0</v>
      </c>
      <c r="O542" s="135">
        <f t="shared" si="206"/>
        <v>0</v>
      </c>
      <c r="P542" s="132" t="str">
        <f t="shared" si="194"/>
        <v/>
      </c>
      <c r="Q542" s="132" t="str">
        <f t="shared" si="208"/>
        <v/>
      </c>
      <c r="R542" s="132" t="str">
        <f>IF(ISNUMBER(SEARCH("AHO",Import2[[#This Row],[Tenure]])),"AHO",Import2[[#This Row],[Tenure]])&amp;Import2[[#This Row],[Expected Physical Completion Year]]&amp;Import2[[#This Row],[Expected Physical Completion Month]]</f>
        <v>Open market housing</v>
      </c>
      <c r="S542" s="135">
        <f t="shared" si="207"/>
        <v>0</v>
      </c>
      <c r="T542" s="132" t="str">
        <f t="shared" si="211"/>
        <v/>
      </c>
      <c r="U542" s="132" t="str">
        <f t="shared" si="211"/>
        <v/>
      </c>
      <c r="V542" s="132" t="str">
        <f>IF(ISNUMBER(SEARCH("AHO",Import2[[#This Row],[Tenure]])),"AHO",Import2[[#This Row],[Tenure]])&amp;Import2[[#This Row],[Expected sale completion year]]&amp;Import2[[#This Row],[Expected sale completion month]]</f>
        <v>Open market housing</v>
      </c>
      <c r="W542" s="178">
        <f t="shared" si="195"/>
        <v>0</v>
      </c>
    </row>
    <row r="543" spans="1:23" ht="15" customHeight="1">
      <c r="A543" s="132">
        <f t="shared" si="199"/>
        <v>0</v>
      </c>
      <c r="B543" s="133">
        <v>540</v>
      </c>
      <c r="C543" s="132" t="str">
        <f t="shared" si="200"/>
        <v/>
      </c>
      <c r="D543" s="132">
        <f t="shared" si="209"/>
        <v>0</v>
      </c>
      <c r="E543" s="132">
        <f t="shared" si="209"/>
        <v>0</v>
      </c>
      <c r="F543" s="132">
        <f t="shared" si="201"/>
        <v>0</v>
      </c>
      <c r="G543" s="132" t="str">
        <f t="shared" si="209"/>
        <v>Open market housing</v>
      </c>
      <c r="H543" s="132">
        <f t="shared" si="202"/>
        <v>896440000</v>
      </c>
      <c r="I543" s="132" t="str">
        <f t="shared" si="192"/>
        <v>New build</v>
      </c>
      <c r="J543" s="132">
        <f t="shared" si="203"/>
        <v>391930000</v>
      </c>
      <c r="K543" s="132">
        <f t="shared" si="193"/>
        <v>0</v>
      </c>
      <c r="L543" s="132">
        <f t="shared" si="204"/>
        <v>0</v>
      </c>
      <c r="M543" s="132">
        <f t="shared" si="210"/>
        <v>0</v>
      </c>
      <c r="N543" s="134">
        <f t="shared" si="205"/>
        <v>0</v>
      </c>
      <c r="O543" s="135">
        <f t="shared" si="206"/>
        <v>0</v>
      </c>
      <c r="P543" s="132" t="str">
        <f t="shared" si="194"/>
        <v/>
      </c>
      <c r="Q543" s="132" t="str">
        <f t="shared" si="208"/>
        <v/>
      </c>
      <c r="R543" s="132" t="str">
        <f>IF(ISNUMBER(SEARCH("AHO",Import2[[#This Row],[Tenure]])),"AHO",Import2[[#This Row],[Tenure]])&amp;Import2[[#This Row],[Expected Physical Completion Year]]&amp;Import2[[#This Row],[Expected Physical Completion Month]]</f>
        <v>Open market housing</v>
      </c>
      <c r="S543" s="135">
        <f t="shared" si="207"/>
        <v>0</v>
      </c>
      <c r="T543" s="132" t="str">
        <f t="shared" si="211"/>
        <v/>
      </c>
      <c r="U543" s="132" t="str">
        <f t="shared" si="211"/>
        <v/>
      </c>
      <c r="V543" s="132" t="str">
        <f>IF(ISNUMBER(SEARCH("AHO",Import2[[#This Row],[Tenure]])),"AHO",Import2[[#This Row],[Tenure]])&amp;Import2[[#This Row],[Expected sale completion year]]&amp;Import2[[#This Row],[Expected sale completion month]]</f>
        <v>Open market housing</v>
      </c>
      <c r="W543" s="178">
        <f t="shared" si="195"/>
        <v>0</v>
      </c>
    </row>
    <row r="544" spans="1:23" ht="15" customHeight="1">
      <c r="A544" s="132">
        <f t="shared" si="199"/>
        <v>0</v>
      </c>
      <c r="B544" s="133">
        <v>541</v>
      </c>
      <c r="C544" s="132" t="str">
        <f t="shared" si="200"/>
        <v/>
      </c>
      <c r="D544" s="132">
        <f t="shared" ref="D544:G563" si="212">INDEX(PlotData,MATCH($B544,PlotNumber,0),MATCH(D$3,PlotTitles,0))</f>
        <v>0</v>
      </c>
      <c r="E544" s="132">
        <f t="shared" si="212"/>
        <v>0</v>
      </c>
      <c r="F544" s="132">
        <f t="shared" si="201"/>
        <v>0</v>
      </c>
      <c r="G544" s="132" t="str">
        <f t="shared" si="212"/>
        <v>Open market housing</v>
      </c>
      <c r="H544" s="132">
        <f t="shared" si="202"/>
        <v>896440000</v>
      </c>
      <c r="I544" s="132" t="str">
        <f t="shared" si="192"/>
        <v>New build</v>
      </c>
      <c r="J544" s="132">
        <f t="shared" si="203"/>
        <v>391930000</v>
      </c>
      <c r="K544" s="132">
        <f t="shared" si="193"/>
        <v>0</v>
      </c>
      <c r="L544" s="132">
        <f t="shared" si="204"/>
        <v>0</v>
      </c>
      <c r="M544" s="132">
        <f t="shared" ref="M544:M563" si="213">INDEX(PlotData,MATCH($B544,PlotNumber,0),MATCH(M$3,PlotTitles,0))</f>
        <v>0</v>
      </c>
      <c r="N544" s="134">
        <f t="shared" si="205"/>
        <v>0</v>
      </c>
      <c r="O544" s="135">
        <f t="shared" si="206"/>
        <v>0</v>
      </c>
      <c r="P544" s="132" t="str">
        <f t="shared" si="194"/>
        <v/>
      </c>
      <c r="Q544" s="132" t="str">
        <f t="shared" si="208"/>
        <v/>
      </c>
      <c r="R544" s="132" t="str">
        <f>IF(ISNUMBER(SEARCH("AHO",Import2[[#This Row],[Tenure]])),"AHO",Import2[[#This Row],[Tenure]])&amp;Import2[[#This Row],[Expected Physical Completion Year]]&amp;Import2[[#This Row],[Expected Physical Completion Month]]</f>
        <v>Open market housing</v>
      </c>
      <c r="S544" s="135">
        <f t="shared" si="207"/>
        <v>0</v>
      </c>
      <c r="T544" s="132" t="str">
        <f t="shared" ref="T544:U563" si="214">IF(INDEX(PlotData,MATCH($B544,PlotNumber,0),MATCH(T$3,PlotTitles,0))=0,"",INDEX(PlotData,MATCH($B544,PlotNumber,0),MATCH(T$3,PlotTitles,0)))</f>
        <v/>
      </c>
      <c r="U544" s="132" t="str">
        <f t="shared" si="214"/>
        <v/>
      </c>
      <c r="V544" s="132" t="str">
        <f>IF(ISNUMBER(SEARCH("AHO",Import2[[#This Row],[Tenure]])),"AHO",Import2[[#This Row],[Tenure]])&amp;Import2[[#This Row],[Expected sale completion year]]&amp;Import2[[#This Row],[Expected sale completion month]]</f>
        <v>Open market housing</v>
      </c>
      <c r="W544" s="178">
        <f t="shared" si="195"/>
        <v>0</v>
      </c>
    </row>
    <row r="545" spans="1:23" ht="15" customHeight="1">
      <c r="A545" s="132">
        <f t="shared" si="199"/>
        <v>0</v>
      </c>
      <c r="B545" s="133">
        <v>542</v>
      </c>
      <c r="C545" s="132" t="str">
        <f t="shared" si="200"/>
        <v/>
      </c>
      <c r="D545" s="132">
        <f t="shared" si="212"/>
        <v>0</v>
      </c>
      <c r="E545" s="132">
        <f t="shared" si="212"/>
        <v>0</v>
      </c>
      <c r="F545" s="132">
        <f t="shared" si="201"/>
        <v>0</v>
      </c>
      <c r="G545" s="132" t="str">
        <f t="shared" si="212"/>
        <v>Open market housing</v>
      </c>
      <c r="H545" s="132">
        <f t="shared" si="202"/>
        <v>896440000</v>
      </c>
      <c r="I545" s="132" t="str">
        <f t="shared" si="192"/>
        <v>New build</v>
      </c>
      <c r="J545" s="132">
        <f t="shared" si="203"/>
        <v>391930000</v>
      </c>
      <c r="K545" s="132">
        <f t="shared" si="193"/>
        <v>0</v>
      </c>
      <c r="L545" s="132">
        <f t="shared" si="204"/>
        <v>0</v>
      </c>
      <c r="M545" s="132">
        <f t="shared" si="213"/>
        <v>0</v>
      </c>
      <c r="N545" s="134">
        <f t="shared" si="205"/>
        <v>0</v>
      </c>
      <c r="O545" s="135">
        <f t="shared" si="206"/>
        <v>0</v>
      </c>
      <c r="P545" s="132" t="str">
        <f t="shared" si="194"/>
        <v/>
      </c>
      <c r="Q545" s="132" t="str">
        <f t="shared" si="208"/>
        <v/>
      </c>
      <c r="R545" s="132" t="str">
        <f>IF(ISNUMBER(SEARCH("AHO",Import2[[#This Row],[Tenure]])),"AHO",Import2[[#This Row],[Tenure]])&amp;Import2[[#This Row],[Expected Physical Completion Year]]&amp;Import2[[#This Row],[Expected Physical Completion Month]]</f>
        <v>Open market housing</v>
      </c>
      <c r="S545" s="135">
        <f t="shared" si="207"/>
        <v>0</v>
      </c>
      <c r="T545" s="132" t="str">
        <f t="shared" si="214"/>
        <v/>
      </c>
      <c r="U545" s="132" t="str">
        <f t="shared" si="214"/>
        <v/>
      </c>
      <c r="V545" s="132" t="str">
        <f>IF(ISNUMBER(SEARCH("AHO",Import2[[#This Row],[Tenure]])),"AHO",Import2[[#This Row],[Tenure]])&amp;Import2[[#This Row],[Expected sale completion year]]&amp;Import2[[#This Row],[Expected sale completion month]]</f>
        <v>Open market housing</v>
      </c>
      <c r="W545" s="178">
        <f t="shared" si="195"/>
        <v>0</v>
      </c>
    </row>
    <row r="546" spans="1:23" ht="15" customHeight="1">
      <c r="A546" s="132">
        <f t="shared" si="199"/>
        <v>0</v>
      </c>
      <c r="B546" s="133">
        <v>543</v>
      </c>
      <c r="C546" s="132" t="str">
        <f t="shared" si="200"/>
        <v/>
      </c>
      <c r="D546" s="132">
        <f t="shared" si="212"/>
        <v>0</v>
      </c>
      <c r="E546" s="132">
        <f t="shared" si="212"/>
        <v>0</v>
      </c>
      <c r="F546" s="132">
        <f t="shared" si="201"/>
        <v>0</v>
      </c>
      <c r="G546" s="132" t="str">
        <f t="shared" si="212"/>
        <v>Open market housing</v>
      </c>
      <c r="H546" s="132">
        <f t="shared" si="202"/>
        <v>896440000</v>
      </c>
      <c r="I546" s="132" t="str">
        <f t="shared" si="192"/>
        <v>New build</v>
      </c>
      <c r="J546" s="132">
        <f t="shared" si="203"/>
        <v>391930000</v>
      </c>
      <c r="K546" s="132">
        <f t="shared" si="193"/>
        <v>0</v>
      </c>
      <c r="L546" s="132">
        <f t="shared" si="204"/>
        <v>0</v>
      </c>
      <c r="M546" s="132">
        <f t="shared" si="213"/>
        <v>0</v>
      </c>
      <c r="N546" s="134">
        <f t="shared" si="205"/>
        <v>0</v>
      </c>
      <c r="O546" s="135">
        <f t="shared" si="206"/>
        <v>0</v>
      </c>
      <c r="P546" s="132" t="str">
        <f t="shared" si="194"/>
        <v/>
      </c>
      <c r="Q546" s="132" t="str">
        <f t="shared" si="208"/>
        <v/>
      </c>
      <c r="R546" s="132" t="str">
        <f>IF(ISNUMBER(SEARCH("AHO",Import2[[#This Row],[Tenure]])),"AHO",Import2[[#This Row],[Tenure]])&amp;Import2[[#This Row],[Expected Physical Completion Year]]&amp;Import2[[#This Row],[Expected Physical Completion Month]]</f>
        <v>Open market housing</v>
      </c>
      <c r="S546" s="135">
        <f t="shared" si="207"/>
        <v>0</v>
      </c>
      <c r="T546" s="132" t="str">
        <f t="shared" si="214"/>
        <v/>
      </c>
      <c r="U546" s="132" t="str">
        <f t="shared" si="214"/>
        <v/>
      </c>
      <c r="V546" s="132" t="str">
        <f>IF(ISNUMBER(SEARCH("AHO",Import2[[#This Row],[Tenure]])),"AHO",Import2[[#This Row],[Tenure]])&amp;Import2[[#This Row],[Expected sale completion year]]&amp;Import2[[#This Row],[Expected sale completion month]]</f>
        <v>Open market housing</v>
      </c>
      <c r="W546" s="178">
        <f t="shared" si="195"/>
        <v>0</v>
      </c>
    </row>
    <row r="547" spans="1:23" ht="15" customHeight="1">
      <c r="A547" s="132">
        <f t="shared" si="199"/>
        <v>0</v>
      </c>
      <c r="B547" s="133">
        <v>544</v>
      </c>
      <c r="C547" s="132" t="str">
        <f t="shared" si="200"/>
        <v/>
      </c>
      <c r="D547" s="132">
        <f t="shared" si="212"/>
        <v>0</v>
      </c>
      <c r="E547" s="132">
        <f t="shared" si="212"/>
        <v>0</v>
      </c>
      <c r="F547" s="132">
        <f t="shared" si="201"/>
        <v>0</v>
      </c>
      <c r="G547" s="132" t="str">
        <f t="shared" si="212"/>
        <v>Open market housing</v>
      </c>
      <c r="H547" s="132">
        <f t="shared" si="202"/>
        <v>896440000</v>
      </c>
      <c r="I547" s="132" t="str">
        <f t="shared" si="192"/>
        <v>New build</v>
      </c>
      <c r="J547" s="132">
        <f t="shared" si="203"/>
        <v>391930000</v>
      </c>
      <c r="K547" s="132">
        <f t="shared" si="193"/>
        <v>0</v>
      </c>
      <c r="L547" s="132">
        <f t="shared" si="204"/>
        <v>0</v>
      </c>
      <c r="M547" s="132">
        <f t="shared" si="213"/>
        <v>0</v>
      </c>
      <c r="N547" s="134">
        <f t="shared" si="205"/>
        <v>0</v>
      </c>
      <c r="O547" s="135">
        <f t="shared" si="206"/>
        <v>0</v>
      </c>
      <c r="P547" s="132" t="str">
        <f t="shared" si="194"/>
        <v/>
      </c>
      <c r="Q547" s="132" t="str">
        <f t="shared" si="208"/>
        <v/>
      </c>
      <c r="R547" s="132" t="str">
        <f>IF(ISNUMBER(SEARCH("AHO",Import2[[#This Row],[Tenure]])),"AHO",Import2[[#This Row],[Tenure]])&amp;Import2[[#This Row],[Expected Physical Completion Year]]&amp;Import2[[#This Row],[Expected Physical Completion Month]]</f>
        <v>Open market housing</v>
      </c>
      <c r="S547" s="135">
        <f t="shared" si="207"/>
        <v>0</v>
      </c>
      <c r="T547" s="132" t="str">
        <f t="shared" si="214"/>
        <v/>
      </c>
      <c r="U547" s="132" t="str">
        <f t="shared" si="214"/>
        <v/>
      </c>
      <c r="V547" s="132" t="str">
        <f>IF(ISNUMBER(SEARCH("AHO",Import2[[#This Row],[Tenure]])),"AHO",Import2[[#This Row],[Tenure]])&amp;Import2[[#This Row],[Expected sale completion year]]&amp;Import2[[#This Row],[Expected sale completion month]]</f>
        <v>Open market housing</v>
      </c>
      <c r="W547" s="178">
        <f t="shared" si="195"/>
        <v>0</v>
      </c>
    </row>
    <row r="548" spans="1:23" ht="15" customHeight="1">
      <c r="A548" s="132">
        <f t="shared" si="199"/>
        <v>0</v>
      </c>
      <c r="B548" s="133">
        <v>545</v>
      </c>
      <c r="C548" s="132" t="str">
        <f t="shared" si="200"/>
        <v/>
      </c>
      <c r="D548" s="132">
        <f t="shared" si="212"/>
        <v>0</v>
      </c>
      <c r="E548" s="132">
        <f t="shared" si="212"/>
        <v>0</v>
      </c>
      <c r="F548" s="132">
        <f t="shared" si="201"/>
        <v>0</v>
      </c>
      <c r="G548" s="132" t="str">
        <f t="shared" si="212"/>
        <v>Open market housing</v>
      </c>
      <c r="H548" s="132">
        <f t="shared" si="202"/>
        <v>896440000</v>
      </c>
      <c r="I548" s="132" t="str">
        <f t="shared" si="192"/>
        <v>New build</v>
      </c>
      <c r="J548" s="132">
        <f t="shared" si="203"/>
        <v>391930000</v>
      </c>
      <c r="K548" s="132">
        <f t="shared" si="193"/>
        <v>0</v>
      </c>
      <c r="L548" s="132">
        <f t="shared" si="204"/>
        <v>0</v>
      </c>
      <c r="M548" s="132">
        <f t="shared" si="213"/>
        <v>0</v>
      </c>
      <c r="N548" s="134">
        <f t="shared" si="205"/>
        <v>0</v>
      </c>
      <c r="O548" s="135">
        <f t="shared" si="206"/>
        <v>0</v>
      </c>
      <c r="P548" s="132" t="str">
        <f t="shared" si="194"/>
        <v/>
      </c>
      <c r="Q548" s="132" t="str">
        <f t="shared" si="208"/>
        <v/>
      </c>
      <c r="R548" s="132" t="str">
        <f>IF(ISNUMBER(SEARCH("AHO",Import2[[#This Row],[Tenure]])),"AHO",Import2[[#This Row],[Tenure]])&amp;Import2[[#This Row],[Expected Physical Completion Year]]&amp;Import2[[#This Row],[Expected Physical Completion Month]]</f>
        <v>Open market housing</v>
      </c>
      <c r="S548" s="135">
        <f t="shared" si="207"/>
        <v>0</v>
      </c>
      <c r="T548" s="132" t="str">
        <f t="shared" si="214"/>
        <v/>
      </c>
      <c r="U548" s="132" t="str">
        <f t="shared" si="214"/>
        <v/>
      </c>
      <c r="V548" s="132" t="str">
        <f>IF(ISNUMBER(SEARCH("AHO",Import2[[#This Row],[Tenure]])),"AHO",Import2[[#This Row],[Tenure]])&amp;Import2[[#This Row],[Expected sale completion year]]&amp;Import2[[#This Row],[Expected sale completion month]]</f>
        <v>Open market housing</v>
      </c>
      <c r="W548" s="178">
        <f t="shared" si="195"/>
        <v>0</v>
      </c>
    </row>
    <row r="549" spans="1:23" ht="15" customHeight="1">
      <c r="A549" s="132">
        <f t="shared" si="199"/>
        <v>0</v>
      </c>
      <c r="B549" s="133">
        <v>546</v>
      </c>
      <c r="C549" s="132" t="str">
        <f t="shared" si="200"/>
        <v/>
      </c>
      <c r="D549" s="132">
        <f t="shared" si="212"/>
        <v>0</v>
      </c>
      <c r="E549" s="132">
        <f t="shared" si="212"/>
        <v>0</v>
      </c>
      <c r="F549" s="132">
        <f t="shared" si="201"/>
        <v>0</v>
      </c>
      <c r="G549" s="132" t="str">
        <f t="shared" si="212"/>
        <v>Open market housing</v>
      </c>
      <c r="H549" s="132">
        <f t="shared" si="202"/>
        <v>896440000</v>
      </c>
      <c r="I549" s="132" t="str">
        <f t="shared" si="192"/>
        <v>New build</v>
      </c>
      <c r="J549" s="132">
        <f t="shared" si="203"/>
        <v>391930000</v>
      </c>
      <c r="K549" s="132">
        <f t="shared" si="193"/>
        <v>0</v>
      </c>
      <c r="L549" s="132">
        <f t="shared" si="204"/>
        <v>0</v>
      </c>
      <c r="M549" s="132">
        <f t="shared" si="213"/>
        <v>0</v>
      </c>
      <c r="N549" s="134">
        <f t="shared" si="205"/>
        <v>0</v>
      </c>
      <c r="O549" s="135">
        <f t="shared" si="206"/>
        <v>0</v>
      </c>
      <c r="P549" s="132" t="str">
        <f t="shared" si="194"/>
        <v/>
      </c>
      <c r="Q549" s="132" t="str">
        <f t="shared" si="208"/>
        <v/>
      </c>
      <c r="R549" s="132" t="str">
        <f>IF(ISNUMBER(SEARCH("AHO",Import2[[#This Row],[Tenure]])),"AHO",Import2[[#This Row],[Tenure]])&amp;Import2[[#This Row],[Expected Physical Completion Year]]&amp;Import2[[#This Row],[Expected Physical Completion Month]]</f>
        <v>Open market housing</v>
      </c>
      <c r="S549" s="135">
        <f t="shared" si="207"/>
        <v>0</v>
      </c>
      <c r="T549" s="132" t="str">
        <f t="shared" si="214"/>
        <v/>
      </c>
      <c r="U549" s="132" t="str">
        <f t="shared" si="214"/>
        <v/>
      </c>
      <c r="V549" s="132" t="str">
        <f>IF(ISNUMBER(SEARCH("AHO",Import2[[#This Row],[Tenure]])),"AHO",Import2[[#This Row],[Tenure]])&amp;Import2[[#This Row],[Expected sale completion year]]&amp;Import2[[#This Row],[Expected sale completion month]]</f>
        <v>Open market housing</v>
      </c>
      <c r="W549" s="178">
        <f t="shared" si="195"/>
        <v>0</v>
      </c>
    </row>
    <row r="550" spans="1:23" ht="15" customHeight="1">
      <c r="A550" s="132">
        <f t="shared" si="199"/>
        <v>0</v>
      </c>
      <c r="B550" s="133">
        <v>547</v>
      </c>
      <c r="C550" s="132" t="str">
        <f t="shared" si="200"/>
        <v/>
      </c>
      <c r="D550" s="132">
        <f t="shared" si="212"/>
        <v>0</v>
      </c>
      <c r="E550" s="132">
        <f t="shared" si="212"/>
        <v>0</v>
      </c>
      <c r="F550" s="132">
        <f t="shared" si="201"/>
        <v>0</v>
      </c>
      <c r="G550" s="132" t="str">
        <f t="shared" si="212"/>
        <v>Open market housing</v>
      </c>
      <c r="H550" s="132">
        <f t="shared" si="202"/>
        <v>896440000</v>
      </c>
      <c r="I550" s="132" t="str">
        <f t="shared" si="192"/>
        <v>New build</v>
      </c>
      <c r="J550" s="132">
        <f t="shared" si="203"/>
        <v>391930000</v>
      </c>
      <c r="K550" s="132">
        <f t="shared" si="193"/>
        <v>0</v>
      </c>
      <c r="L550" s="132">
        <f t="shared" si="204"/>
        <v>0</v>
      </c>
      <c r="M550" s="132">
        <f t="shared" si="213"/>
        <v>0</v>
      </c>
      <c r="N550" s="134">
        <f t="shared" si="205"/>
        <v>0</v>
      </c>
      <c r="O550" s="135">
        <f t="shared" si="206"/>
        <v>0</v>
      </c>
      <c r="P550" s="132" t="str">
        <f t="shared" si="194"/>
        <v/>
      </c>
      <c r="Q550" s="132" t="str">
        <f t="shared" si="208"/>
        <v/>
      </c>
      <c r="R550" s="132" t="str">
        <f>IF(ISNUMBER(SEARCH("AHO",Import2[[#This Row],[Tenure]])),"AHO",Import2[[#This Row],[Tenure]])&amp;Import2[[#This Row],[Expected Physical Completion Year]]&amp;Import2[[#This Row],[Expected Physical Completion Month]]</f>
        <v>Open market housing</v>
      </c>
      <c r="S550" s="135">
        <f t="shared" si="207"/>
        <v>0</v>
      </c>
      <c r="T550" s="132" t="str">
        <f t="shared" si="214"/>
        <v/>
      </c>
      <c r="U550" s="132" t="str">
        <f t="shared" si="214"/>
        <v/>
      </c>
      <c r="V550" s="132" t="str">
        <f>IF(ISNUMBER(SEARCH("AHO",Import2[[#This Row],[Tenure]])),"AHO",Import2[[#This Row],[Tenure]])&amp;Import2[[#This Row],[Expected sale completion year]]&amp;Import2[[#This Row],[Expected sale completion month]]</f>
        <v>Open market housing</v>
      </c>
      <c r="W550" s="178">
        <f t="shared" si="195"/>
        <v>0</v>
      </c>
    </row>
    <row r="551" spans="1:23" ht="15" customHeight="1">
      <c r="A551" s="132">
        <f t="shared" si="199"/>
        <v>0</v>
      </c>
      <c r="B551" s="133">
        <v>548</v>
      </c>
      <c r="C551" s="132" t="str">
        <f t="shared" si="200"/>
        <v/>
      </c>
      <c r="D551" s="132">
        <f t="shared" si="212"/>
        <v>0</v>
      </c>
      <c r="E551" s="132">
        <f t="shared" si="212"/>
        <v>0</v>
      </c>
      <c r="F551" s="132">
        <f t="shared" si="201"/>
        <v>0</v>
      </c>
      <c r="G551" s="132" t="str">
        <f t="shared" si="212"/>
        <v>Open market housing</v>
      </c>
      <c r="H551" s="132">
        <f t="shared" si="202"/>
        <v>896440000</v>
      </c>
      <c r="I551" s="132" t="str">
        <f t="shared" si="192"/>
        <v>New build</v>
      </c>
      <c r="J551" s="132">
        <f t="shared" si="203"/>
        <v>391930000</v>
      </c>
      <c r="K551" s="132">
        <f t="shared" si="193"/>
        <v>0</v>
      </c>
      <c r="L551" s="132">
        <f t="shared" si="204"/>
        <v>0</v>
      </c>
      <c r="M551" s="132">
        <f t="shared" si="213"/>
        <v>0</v>
      </c>
      <c r="N551" s="134">
        <f t="shared" si="205"/>
        <v>0</v>
      </c>
      <c r="O551" s="135">
        <f t="shared" si="206"/>
        <v>0</v>
      </c>
      <c r="P551" s="132" t="str">
        <f t="shared" si="194"/>
        <v/>
      </c>
      <c r="Q551" s="132" t="str">
        <f t="shared" si="208"/>
        <v/>
      </c>
      <c r="R551" s="132" t="str">
        <f>IF(ISNUMBER(SEARCH("AHO",Import2[[#This Row],[Tenure]])),"AHO",Import2[[#This Row],[Tenure]])&amp;Import2[[#This Row],[Expected Physical Completion Year]]&amp;Import2[[#This Row],[Expected Physical Completion Month]]</f>
        <v>Open market housing</v>
      </c>
      <c r="S551" s="135">
        <f t="shared" si="207"/>
        <v>0</v>
      </c>
      <c r="T551" s="132" t="str">
        <f t="shared" si="214"/>
        <v/>
      </c>
      <c r="U551" s="132" t="str">
        <f t="shared" si="214"/>
        <v/>
      </c>
      <c r="V551" s="132" t="str">
        <f>IF(ISNUMBER(SEARCH("AHO",Import2[[#This Row],[Tenure]])),"AHO",Import2[[#This Row],[Tenure]])&amp;Import2[[#This Row],[Expected sale completion year]]&amp;Import2[[#This Row],[Expected sale completion month]]</f>
        <v>Open market housing</v>
      </c>
      <c r="W551" s="178">
        <f t="shared" si="195"/>
        <v>0</v>
      </c>
    </row>
    <row r="552" spans="1:23" ht="15" customHeight="1">
      <c r="A552" s="132">
        <f t="shared" si="199"/>
        <v>0</v>
      </c>
      <c r="B552" s="133">
        <v>549</v>
      </c>
      <c r="C552" s="132" t="str">
        <f t="shared" si="200"/>
        <v/>
      </c>
      <c r="D552" s="132">
        <f t="shared" si="212"/>
        <v>0</v>
      </c>
      <c r="E552" s="132">
        <f t="shared" si="212"/>
        <v>0</v>
      </c>
      <c r="F552" s="132">
        <f t="shared" si="201"/>
        <v>0</v>
      </c>
      <c r="G552" s="132" t="str">
        <f t="shared" si="212"/>
        <v>Open market housing</v>
      </c>
      <c r="H552" s="132">
        <f t="shared" si="202"/>
        <v>896440000</v>
      </c>
      <c r="I552" s="132" t="str">
        <f t="shared" ref="I552:I603" si="215">INDEX(PlotData,MATCH($B552,PlotNumber,0),MATCH(I$3,PlotTitles,0))</f>
        <v>New build</v>
      </c>
      <c r="J552" s="132">
        <f t="shared" si="203"/>
        <v>391930000</v>
      </c>
      <c r="K552" s="132">
        <f t="shared" ref="K552:K603" si="216">INDEX(PlotData,MATCH($B552,PlotNumber,0),MATCH(K$3,PlotTitles,0))</f>
        <v>0</v>
      </c>
      <c r="L552" s="132">
        <f t="shared" si="204"/>
        <v>0</v>
      </c>
      <c r="M552" s="132">
        <f t="shared" si="213"/>
        <v>0</v>
      </c>
      <c r="N552" s="134">
        <f t="shared" si="205"/>
        <v>0</v>
      </c>
      <c r="O552" s="135">
        <f t="shared" si="206"/>
        <v>0</v>
      </c>
      <c r="P552" s="132" t="str">
        <f t="shared" ref="P552:P603" si="217">IF(INDEX(PlotData,MATCH($B552,PlotNumber,0),MATCH(P$3,PlotTitles,0))=0,"",INDEX(PlotData,MATCH($B552,PlotNumber,0),MATCH(P$3,PlotTitles,0)))</f>
        <v/>
      </c>
      <c r="Q552" s="132" t="str">
        <f t="shared" si="208"/>
        <v/>
      </c>
      <c r="R552" s="132" t="str">
        <f>IF(ISNUMBER(SEARCH("AHO",Import2[[#This Row],[Tenure]])),"AHO",Import2[[#This Row],[Tenure]])&amp;Import2[[#This Row],[Expected Physical Completion Year]]&amp;Import2[[#This Row],[Expected Physical Completion Month]]</f>
        <v>Open market housing</v>
      </c>
      <c r="S552" s="135">
        <f t="shared" si="207"/>
        <v>0</v>
      </c>
      <c r="T552" s="132" t="str">
        <f t="shared" si="214"/>
        <v/>
      </c>
      <c r="U552" s="132" t="str">
        <f t="shared" si="214"/>
        <v/>
      </c>
      <c r="V552" s="132" t="str">
        <f>IF(ISNUMBER(SEARCH("AHO",Import2[[#This Row],[Tenure]])),"AHO",Import2[[#This Row],[Tenure]])&amp;Import2[[#This Row],[Expected sale completion year]]&amp;Import2[[#This Row],[Expected sale completion month]]</f>
        <v>Open market housing</v>
      </c>
      <c r="W552" s="178">
        <f t="shared" ref="W552:W603" si="218">INDEX(PlotData,MATCH($B552,PlotNumber,0),MATCH(W$3,PlotTitles,0))</f>
        <v>0</v>
      </c>
    </row>
    <row r="553" spans="1:23" ht="15" customHeight="1">
      <c r="A553" s="132">
        <f t="shared" si="199"/>
        <v>0</v>
      </c>
      <c r="B553" s="133">
        <v>550</v>
      </c>
      <c r="C553" s="132" t="str">
        <f t="shared" si="200"/>
        <v/>
      </c>
      <c r="D553" s="132">
        <f t="shared" si="212"/>
        <v>0</v>
      </c>
      <c r="E553" s="132">
        <f t="shared" si="212"/>
        <v>0</v>
      </c>
      <c r="F553" s="132">
        <f t="shared" si="201"/>
        <v>0</v>
      </c>
      <c r="G553" s="132" t="str">
        <f t="shared" si="212"/>
        <v>Open market housing</v>
      </c>
      <c r="H553" s="132">
        <f t="shared" si="202"/>
        <v>896440000</v>
      </c>
      <c r="I553" s="132" t="str">
        <f t="shared" si="215"/>
        <v>New build</v>
      </c>
      <c r="J553" s="132">
        <f t="shared" si="203"/>
        <v>391930000</v>
      </c>
      <c r="K553" s="132">
        <f t="shared" si="216"/>
        <v>0</v>
      </c>
      <c r="L553" s="132">
        <f t="shared" si="204"/>
        <v>0</v>
      </c>
      <c r="M553" s="132">
        <f t="shared" si="213"/>
        <v>0</v>
      </c>
      <c r="N553" s="134">
        <f t="shared" si="205"/>
        <v>0</v>
      </c>
      <c r="O553" s="135">
        <f t="shared" si="206"/>
        <v>0</v>
      </c>
      <c r="P553" s="132" t="str">
        <f t="shared" si="217"/>
        <v/>
      </c>
      <c r="Q553" s="132" t="str">
        <f t="shared" si="208"/>
        <v/>
      </c>
      <c r="R553" s="132" t="str">
        <f>IF(ISNUMBER(SEARCH("AHO",Import2[[#This Row],[Tenure]])),"AHO",Import2[[#This Row],[Tenure]])&amp;Import2[[#This Row],[Expected Physical Completion Year]]&amp;Import2[[#This Row],[Expected Physical Completion Month]]</f>
        <v>Open market housing</v>
      </c>
      <c r="S553" s="135">
        <f t="shared" si="207"/>
        <v>0</v>
      </c>
      <c r="T553" s="132" t="str">
        <f t="shared" si="214"/>
        <v/>
      </c>
      <c r="U553" s="132" t="str">
        <f t="shared" si="214"/>
        <v/>
      </c>
      <c r="V553" s="132" t="str">
        <f>IF(ISNUMBER(SEARCH("AHO",Import2[[#This Row],[Tenure]])),"AHO",Import2[[#This Row],[Tenure]])&amp;Import2[[#This Row],[Expected sale completion year]]&amp;Import2[[#This Row],[Expected sale completion month]]</f>
        <v>Open market housing</v>
      </c>
      <c r="W553" s="178">
        <f t="shared" si="218"/>
        <v>0</v>
      </c>
    </row>
    <row r="554" spans="1:23" ht="15" customHeight="1">
      <c r="A554" s="132">
        <f t="shared" si="199"/>
        <v>0</v>
      </c>
      <c r="B554" s="133">
        <v>551</v>
      </c>
      <c r="C554" s="132" t="str">
        <f t="shared" si="200"/>
        <v/>
      </c>
      <c r="D554" s="132">
        <f t="shared" si="212"/>
        <v>0</v>
      </c>
      <c r="E554" s="132">
        <f t="shared" si="212"/>
        <v>0</v>
      </c>
      <c r="F554" s="132">
        <f t="shared" si="201"/>
        <v>0</v>
      </c>
      <c r="G554" s="132" t="str">
        <f t="shared" si="212"/>
        <v>Open market housing</v>
      </c>
      <c r="H554" s="132">
        <f t="shared" si="202"/>
        <v>896440000</v>
      </c>
      <c r="I554" s="132" t="str">
        <f t="shared" si="215"/>
        <v>New build</v>
      </c>
      <c r="J554" s="132">
        <f t="shared" si="203"/>
        <v>391930000</v>
      </c>
      <c r="K554" s="132">
        <f t="shared" si="216"/>
        <v>0</v>
      </c>
      <c r="L554" s="132">
        <f t="shared" si="204"/>
        <v>0</v>
      </c>
      <c r="M554" s="132">
        <f t="shared" si="213"/>
        <v>0</v>
      </c>
      <c r="N554" s="134">
        <f t="shared" si="205"/>
        <v>0</v>
      </c>
      <c r="O554" s="135">
        <f t="shared" si="206"/>
        <v>0</v>
      </c>
      <c r="P554" s="132" t="str">
        <f t="shared" si="217"/>
        <v/>
      </c>
      <c r="Q554" s="132" t="str">
        <f t="shared" si="208"/>
        <v/>
      </c>
      <c r="R554" s="132" t="str">
        <f>IF(ISNUMBER(SEARCH("AHO",Import2[[#This Row],[Tenure]])),"AHO",Import2[[#This Row],[Tenure]])&amp;Import2[[#This Row],[Expected Physical Completion Year]]&amp;Import2[[#This Row],[Expected Physical Completion Month]]</f>
        <v>Open market housing</v>
      </c>
      <c r="S554" s="135">
        <f t="shared" si="207"/>
        <v>0</v>
      </c>
      <c r="T554" s="132" t="str">
        <f t="shared" si="214"/>
        <v/>
      </c>
      <c r="U554" s="132" t="str">
        <f t="shared" si="214"/>
        <v/>
      </c>
      <c r="V554" s="132" t="str">
        <f>IF(ISNUMBER(SEARCH("AHO",Import2[[#This Row],[Tenure]])),"AHO",Import2[[#This Row],[Tenure]])&amp;Import2[[#This Row],[Expected sale completion year]]&amp;Import2[[#This Row],[Expected sale completion month]]</f>
        <v>Open market housing</v>
      </c>
      <c r="W554" s="178">
        <f t="shared" si="218"/>
        <v>0</v>
      </c>
    </row>
    <row r="555" spans="1:23" ht="15" customHeight="1">
      <c r="A555" s="132">
        <f t="shared" si="199"/>
        <v>0</v>
      </c>
      <c r="B555" s="133">
        <v>552</v>
      </c>
      <c r="C555" s="132" t="str">
        <f t="shared" si="200"/>
        <v/>
      </c>
      <c r="D555" s="132">
        <f t="shared" si="212"/>
        <v>0</v>
      </c>
      <c r="E555" s="132">
        <f t="shared" si="212"/>
        <v>0</v>
      </c>
      <c r="F555" s="132">
        <f t="shared" si="201"/>
        <v>0</v>
      </c>
      <c r="G555" s="132" t="str">
        <f t="shared" si="212"/>
        <v>Open market housing</v>
      </c>
      <c r="H555" s="132">
        <f t="shared" si="202"/>
        <v>896440000</v>
      </c>
      <c r="I555" s="132" t="str">
        <f t="shared" si="215"/>
        <v>New build</v>
      </c>
      <c r="J555" s="132">
        <f t="shared" si="203"/>
        <v>391930000</v>
      </c>
      <c r="K555" s="132">
        <f t="shared" si="216"/>
        <v>0</v>
      </c>
      <c r="L555" s="132">
        <f t="shared" si="204"/>
        <v>0</v>
      </c>
      <c r="M555" s="132">
        <f t="shared" si="213"/>
        <v>0</v>
      </c>
      <c r="N555" s="134">
        <f t="shared" si="205"/>
        <v>0</v>
      </c>
      <c r="O555" s="135">
        <f t="shared" si="206"/>
        <v>0</v>
      </c>
      <c r="P555" s="132" t="str">
        <f t="shared" si="217"/>
        <v/>
      </c>
      <c r="Q555" s="132" t="str">
        <f t="shared" si="208"/>
        <v/>
      </c>
      <c r="R555" s="132" t="str">
        <f>IF(ISNUMBER(SEARCH("AHO",Import2[[#This Row],[Tenure]])),"AHO",Import2[[#This Row],[Tenure]])&amp;Import2[[#This Row],[Expected Physical Completion Year]]&amp;Import2[[#This Row],[Expected Physical Completion Month]]</f>
        <v>Open market housing</v>
      </c>
      <c r="S555" s="135">
        <f t="shared" si="207"/>
        <v>0</v>
      </c>
      <c r="T555" s="132" t="str">
        <f t="shared" si="214"/>
        <v/>
      </c>
      <c r="U555" s="132" t="str">
        <f t="shared" si="214"/>
        <v/>
      </c>
      <c r="V555" s="132" t="str">
        <f>IF(ISNUMBER(SEARCH("AHO",Import2[[#This Row],[Tenure]])),"AHO",Import2[[#This Row],[Tenure]])&amp;Import2[[#This Row],[Expected sale completion year]]&amp;Import2[[#This Row],[Expected sale completion month]]</f>
        <v>Open market housing</v>
      </c>
      <c r="W555" s="178">
        <f t="shared" si="218"/>
        <v>0</v>
      </c>
    </row>
    <row r="556" spans="1:23" ht="15" customHeight="1">
      <c r="A556" s="132">
        <f t="shared" si="199"/>
        <v>0</v>
      </c>
      <c r="B556" s="133">
        <v>553</v>
      </c>
      <c r="C556" s="132" t="str">
        <f t="shared" si="200"/>
        <v/>
      </c>
      <c r="D556" s="132">
        <f t="shared" si="212"/>
        <v>0</v>
      </c>
      <c r="E556" s="132">
        <f t="shared" si="212"/>
        <v>0</v>
      </c>
      <c r="F556" s="132">
        <f t="shared" si="201"/>
        <v>0</v>
      </c>
      <c r="G556" s="132" t="str">
        <f t="shared" si="212"/>
        <v>Open market housing</v>
      </c>
      <c r="H556" s="132">
        <f t="shared" si="202"/>
        <v>896440000</v>
      </c>
      <c r="I556" s="132" t="str">
        <f t="shared" si="215"/>
        <v>New build</v>
      </c>
      <c r="J556" s="132">
        <f t="shared" si="203"/>
        <v>391930000</v>
      </c>
      <c r="K556" s="132">
        <f t="shared" si="216"/>
        <v>0</v>
      </c>
      <c r="L556" s="132">
        <f t="shared" si="204"/>
        <v>0</v>
      </c>
      <c r="M556" s="132">
        <f t="shared" si="213"/>
        <v>0</v>
      </c>
      <c r="N556" s="134">
        <f t="shared" si="205"/>
        <v>0</v>
      </c>
      <c r="O556" s="135">
        <f t="shared" si="206"/>
        <v>0</v>
      </c>
      <c r="P556" s="132" t="str">
        <f t="shared" si="217"/>
        <v/>
      </c>
      <c r="Q556" s="132" t="str">
        <f t="shared" si="208"/>
        <v/>
      </c>
      <c r="R556" s="132" t="str">
        <f>IF(ISNUMBER(SEARCH("AHO",Import2[[#This Row],[Tenure]])),"AHO",Import2[[#This Row],[Tenure]])&amp;Import2[[#This Row],[Expected Physical Completion Year]]&amp;Import2[[#This Row],[Expected Physical Completion Month]]</f>
        <v>Open market housing</v>
      </c>
      <c r="S556" s="135">
        <f t="shared" si="207"/>
        <v>0</v>
      </c>
      <c r="T556" s="132" t="str">
        <f t="shared" si="214"/>
        <v/>
      </c>
      <c r="U556" s="132" t="str">
        <f t="shared" si="214"/>
        <v/>
      </c>
      <c r="V556" s="132" t="str">
        <f>IF(ISNUMBER(SEARCH("AHO",Import2[[#This Row],[Tenure]])),"AHO",Import2[[#This Row],[Tenure]])&amp;Import2[[#This Row],[Expected sale completion year]]&amp;Import2[[#This Row],[Expected sale completion month]]</f>
        <v>Open market housing</v>
      </c>
      <c r="W556" s="178">
        <f t="shared" si="218"/>
        <v>0</v>
      </c>
    </row>
    <row r="557" spans="1:23" ht="15" customHeight="1">
      <c r="A557" s="132">
        <f t="shared" si="199"/>
        <v>0</v>
      </c>
      <c r="B557" s="133">
        <v>554</v>
      </c>
      <c r="C557" s="132" t="str">
        <f t="shared" si="200"/>
        <v/>
      </c>
      <c r="D557" s="132">
        <f t="shared" si="212"/>
        <v>0</v>
      </c>
      <c r="E557" s="132">
        <f t="shared" si="212"/>
        <v>0</v>
      </c>
      <c r="F557" s="132">
        <f t="shared" si="201"/>
        <v>0</v>
      </c>
      <c r="G557" s="132" t="str">
        <f t="shared" si="212"/>
        <v>Open market housing</v>
      </c>
      <c r="H557" s="132">
        <f t="shared" si="202"/>
        <v>896440000</v>
      </c>
      <c r="I557" s="132" t="str">
        <f t="shared" si="215"/>
        <v>New build</v>
      </c>
      <c r="J557" s="132">
        <f t="shared" si="203"/>
        <v>391930000</v>
      </c>
      <c r="K557" s="132">
        <f t="shared" si="216"/>
        <v>0</v>
      </c>
      <c r="L557" s="132">
        <f t="shared" si="204"/>
        <v>0</v>
      </c>
      <c r="M557" s="132">
        <f t="shared" si="213"/>
        <v>0</v>
      </c>
      <c r="N557" s="134">
        <f t="shared" si="205"/>
        <v>0</v>
      </c>
      <c r="O557" s="135">
        <f t="shared" si="206"/>
        <v>0</v>
      </c>
      <c r="P557" s="132" t="str">
        <f t="shared" si="217"/>
        <v/>
      </c>
      <c r="Q557" s="132" t="str">
        <f t="shared" si="208"/>
        <v/>
      </c>
      <c r="R557" s="132" t="str">
        <f>IF(ISNUMBER(SEARCH("AHO",Import2[[#This Row],[Tenure]])),"AHO",Import2[[#This Row],[Tenure]])&amp;Import2[[#This Row],[Expected Physical Completion Year]]&amp;Import2[[#This Row],[Expected Physical Completion Month]]</f>
        <v>Open market housing</v>
      </c>
      <c r="S557" s="135">
        <f t="shared" si="207"/>
        <v>0</v>
      </c>
      <c r="T557" s="132" t="str">
        <f t="shared" si="214"/>
        <v/>
      </c>
      <c r="U557" s="132" t="str">
        <f t="shared" si="214"/>
        <v/>
      </c>
      <c r="V557" s="132" t="str">
        <f>IF(ISNUMBER(SEARCH("AHO",Import2[[#This Row],[Tenure]])),"AHO",Import2[[#This Row],[Tenure]])&amp;Import2[[#This Row],[Expected sale completion year]]&amp;Import2[[#This Row],[Expected sale completion month]]</f>
        <v>Open market housing</v>
      </c>
      <c r="W557" s="178">
        <f t="shared" si="218"/>
        <v>0</v>
      </c>
    </row>
    <row r="558" spans="1:23" ht="15" customHeight="1">
      <c r="A558" s="132">
        <f t="shared" si="199"/>
        <v>0</v>
      </c>
      <c r="B558" s="133">
        <v>555</v>
      </c>
      <c r="C558" s="132" t="str">
        <f t="shared" si="200"/>
        <v/>
      </c>
      <c r="D558" s="132">
        <f t="shared" si="212"/>
        <v>0</v>
      </c>
      <c r="E558" s="132">
        <f t="shared" si="212"/>
        <v>0</v>
      </c>
      <c r="F558" s="132">
        <f t="shared" si="201"/>
        <v>0</v>
      </c>
      <c r="G558" s="132" t="str">
        <f t="shared" si="212"/>
        <v>Open market housing</v>
      </c>
      <c r="H558" s="132">
        <f t="shared" si="202"/>
        <v>896440000</v>
      </c>
      <c r="I558" s="132" t="str">
        <f t="shared" si="215"/>
        <v>New build</v>
      </c>
      <c r="J558" s="132">
        <f t="shared" si="203"/>
        <v>391930000</v>
      </c>
      <c r="K558" s="132">
        <f t="shared" si="216"/>
        <v>0</v>
      </c>
      <c r="L558" s="132">
        <f t="shared" si="204"/>
        <v>0</v>
      </c>
      <c r="M558" s="132">
        <f t="shared" si="213"/>
        <v>0</v>
      </c>
      <c r="N558" s="134">
        <f t="shared" si="205"/>
        <v>0</v>
      </c>
      <c r="O558" s="135">
        <f t="shared" si="206"/>
        <v>0</v>
      </c>
      <c r="P558" s="132" t="str">
        <f t="shared" si="217"/>
        <v/>
      </c>
      <c r="Q558" s="132" t="str">
        <f t="shared" si="208"/>
        <v/>
      </c>
      <c r="R558" s="132" t="str">
        <f>IF(ISNUMBER(SEARCH("AHO",Import2[[#This Row],[Tenure]])),"AHO",Import2[[#This Row],[Tenure]])&amp;Import2[[#This Row],[Expected Physical Completion Year]]&amp;Import2[[#This Row],[Expected Physical Completion Month]]</f>
        <v>Open market housing</v>
      </c>
      <c r="S558" s="135">
        <f t="shared" si="207"/>
        <v>0</v>
      </c>
      <c r="T558" s="132" t="str">
        <f t="shared" si="214"/>
        <v/>
      </c>
      <c r="U558" s="132" t="str">
        <f t="shared" si="214"/>
        <v/>
      </c>
      <c r="V558" s="132" t="str">
        <f>IF(ISNUMBER(SEARCH("AHO",Import2[[#This Row],[Tenure]])),"AHO",Import2[[#This Row],[Tenure]])&amp;Import2[[#This Row],[Expected sale completion year]]&amp;Import2[[#This Row],[Expected sale completion month]]</f>
        <v>Open market housing</v>
      </c>
      <c r="W558" s="178">
        <f t="shared" si="218"/>
        <v>0</v>
      </c>
    </row>
    <row r="559" spans="1:23" ht="15" customHeight="1">
      <c r="A559" s="132">
        <f t="shared" si="199"/>
        <v>0</v>
      </c>
      <c r="B559" s="133">
        <v>556</v>
      </c>
      <c r="C559" s="132" t="str">
        <f t="shared" si="200"/>
        <v/>
      </c>
      <c r="D559" s="132">
        <f t="shared" si="212"/>
        <v>0</v>
      </c>
      <c r="E559" s="132">
        <f t="shared" si="212"/>
        <v>0</v>
      </c>
      <c r="F559" s="132">
        <f t="shared" si="201"/>
        <v>0</v>
      </c>
      <c r="G559" s="132" t="str">
        <f t="shared" si="212"/>
        <v>Open market housing</v>
      </c>
      <c r="H559" s="132">
        <f t="shared" si="202"/>
        <v>896440000</v>
      </c>
      <c r="I559" s="132" t="str">
        <f t="shared" si="215"/>
        <v>New build</v>
      </c>
      <c r="J559" s="132">
        <f t="shared" si="203"/>
        <v>391930000</v>
      </c>
      <c r="K559" s="132">
        <f t="shared" si="216"/>
        <v>0</v>
      </c>
      <c r="L559" s="132">
        <f t="shared" si="204"/>
        <v>0</v>
      </c>
      <c r="M559" s="132">
        <f t="shared" si="213"/>
        <v>0</v>
      </c>
      <c r="N559" s="134">
        <f t="shared" si="205"/>
        <v>0</v>
      </c>
      <c r="O559" s="135">
        <f t="shared" si="206"/>
        <v>0</v>
      </c>
      <c r="P559" s="132" t="str">
        <f t="shared" si="217"/>
        <v/>
      </c>
      <c r="Q559" s="132" t="str">
        <f t="shared" si="208"/>
        <v/>
      </c>
      <c r="R559" s="132" t="str">
        <f>IF(ISNUMBER(SEARCH("AHO",Import2[[#This Row],[Tenure]])),"AHO",Import2[[#This Row],[Tenure]])&amp;Import2[[#This Row],[Expected Physical Completion Year]]&amp;Import2[[#This Row],[Expected Physical Completion Month]]</f>
        <v>Open market housing</v>
      </c>
      <c r="S559" s="135">
        <f t="shared" si="207"/>
        <v>0</v>
      </c>
      <c r="T559" s="132" t="str">
        <f t="shared" si="214"/>
        <v/>
      </c>
      <c r="U559" s="132" t="str">
        <f t="shared" si="214"/>
        <v/>
      </c>
      <c r="V559" s="132" t="str">
        <f>IF(ISNUMBER(SEARCH("AHO",Import2[[#This Row],[Tenure]])),"AHO",Import2[[#This Row],[Tenure]])&amp;Import2[[#This Row],[Expected sale completion year]]&amp;Import2[[#This Row],[Expected sale completion month]]</f>
        <v>Open market housing</v>
      </c>
      <c r="W559" s="178">
        <f t="shared" si="218"/>
        <v>0</v>
      </c>
    </row>
    <row r="560" spans="1:23" ht="15" customHeight="1">
      <c r="A560" s="132">
        <f t="shared" si="199"/>
        <v>0</v>
      </c>
      <c r="B560" s="133">
        <v>557</v>
      </c>
      <c r="C560" s="132" t="str">
        <f t="shared" si="200"/>
        <v/>
      </c>
      <c r="D560" s="132">
        <f t="shared" si="212"/>
        <v>0</v>
      </c>
      <c r="E560" s="132">
        <f t="shared" si="212"/>
        <v>0</v>
      </c>
      <c r="F560" s="132">
        <f t="shared" si="201"/>
        <v>0</v>
      </c>
      <c r="G560" s="132" t="str">
        <f t="shared" si="212"/>
        <v>Open market housing</v>
      </c>
      <c r="H560" s="132">
        <f t="shared" si="202"/>
        <v>896440000</v>
      </c>
      <c r="I560" s="132" t="str">
        <f t="shared" si="215"/>
        <v>New build</v>
      </c>
      <c r="J560" s="132">
        <f t="shared" si="203"/>
        <v>391930000</v>
      </c>
      <c r="K560" s="132">
        <f t="shared" si="216"/>
        <v>0</v>
      </c>
      <c r="L560" s="132">
        <f t="shared" si="204"/>
        <v>0</v>
      </c>
      <c r="M560" s="132">
        <f t="shared" si="213"/>
        <v>0</v>
      </c>
      <c r="N560" s="134">
        <f t="shared" si="205"/>
        <v>0</v>
      </c>
      <c r="O560" s="135">
        <f t="shared" si="206"/>
        <v>0</v>
      </c>
      <c r="P560" s="132" t="str">
        <f t="shared" si="217"/>
        <v/>
      </c>
      <c r="Q560" s="132" t="str">
        <f t="shared" si="208"/>
        <v/>
      </c>
      <c r="R560" s="132" t="str">
        <f>IF(ISNUMBER(SEARCH("AHO",Import2[[#This Row],[Tenure]])),"AHO",Import2[[#This Row],[Tenure]])&amp;Import2[[#This Row],[Expected Physical Completion Year]]&amp;Import2[[#This Row],[Expected Physical Completion Month]]</f>
        <v>Open market housing</v>
      </c>
      <c r="S560" s="135">
        <f t="shared" si="207"/>
        <v>0</v>
      </c>
      <c r="T560" s="132" t="str">
        <f t="shared" si="214"/>
        <v/>
      </c>
      <c r="U560" s="132" t="str">
        <f t="shared" si="214"/>
        <v/>
      </c>
      <c r="V560" s="132" t="str">
        <f>IF(ISNUMBER(SEARCH("AHO",Import2[[#This Row],[Tenure]])),"AHO",Import2[[#This Row],[Tenure]])&amp;Import2[[#This Row],[Expected sale completion year]]&amp;Import2[[#This Row],[Expected sale completion month]]</f>
        <v>Open market housing</v>
      </c>
      <c r="W560" s="178">
        <f t="shared" si="218"/>
        <v>0</v>
      </c>
    </row>
    <row r="561" spans="1:23" ht="15" customHeight="1">
      <c r="A561" s="132">
        <f t="shared" si="199"/>
        <v>0</v>
      </c>
      <c r="B561" s="133">
        <v>558</v>
      </c>
      <c r="C561" s="132" t="str">
        <f t="shared" si="200"/>
        <v/>
      </c>
      <c r="D561" s="132">
        <f t="shared" si="212"/>
        <v>0</v>
      </c>
      <c r="E561" s="132">
        <f t="shared" si="212"/>
        <v>0</v>
      </c>
      <c r="F561" s="132">
        <f t="shared" si="201"/>
        <v>0</v>
      </c>
      <c r="G561" s="132" t="str">
        <f t="shared" si="212"/>
        <v>Open market housing</v>
      </c>
      <c r="H561" s="132">
        <f t="shared" si="202"/>
        <v>896440000</v>
      </c>
      <c r="I561" s="132" t="str">
        <f t="shared" si="215"/>
        <v>New build</v>
      </c>
      <c r="J561" s="132">
        <f t="shared" si="203"/>
        <v>391930000</v>
      </c>
      <c r="K561" s="132">
        <f t="shared" si="216"/>
        <v>0</v>
      </c>
      <c r="L561" s="132">
        <f t="shared" si="204"/>
        <v>0</v>
      </c>
      <c r="M561" s="132">
        <f t="shared" si="213"/>
        <v>0</v>
      </c>
      <c r="N561" s="134">
        <f t="shared" si="205"/>
        <v>0</v>
      </c>
      <c r="O561" s="135">
        <f t="shared" si="206"/>
        <v>0</v>
      </c>
      <c r="P561" s="132" t="str">
        <f t="shared" si="217"/>
        <v/>
      </c>
      <c r="Q561" s="132" t="str">
        <f t="shared" si="208"/>
        <v/>
      </c>
      <c r="R561" s="132" t="str">
        <f>IF(ISNUMBER(SEARCH("AHO",Import2[[#This Row],[Tenure]])),"AHO",Import2[[#This Row],[Tenure]])&amp;Import2[[#This Row],[Expected Physical Completion Year]]&amp;Import2[[#This Row],[Expected Physical Completion Month]]</f>
        <v>Open market housing</v>
      </c>
      <c r="S561" s="135">
        <f t="shared" si="207"/>
        <v>0</v>
      </c>
      <c r="T561" s="132" t="str">
        <f t="shared" si="214"/>
        <v/>
      </c>
      <c r="U561" s="132" t="str">
        <f t="shared" si="214"/>
        <v/>
      </c>
      <c r="V561" s="132" t="str">
        <f>IF(ISNUMBER(SEARCH("AHO",Import2[[#This Row],[Tenure]])),"AHO",Import2[[#This Row],[Tenure]])&amp;Import2[[#This Row],[Expected sale completion year]]&amp;Import2[[#This Row],[Expected sale completion month]]</f>
        <v>Open market housing</v>
      </c>
      <c r="W561" s="178">
        <f t="shared" si="218"/>
        <v>0</v>
      </c>
    </row>
    <row r="562" spans="1:23" ht="15" customHeight="1">
      <c r="A562" s="132">
        <f t="shared" si="199"/>
        <v>0</v>
      </c>
      <c r="B562" s="133">
        <v>559</v>
      </c>
      <c r="C562" s="132" t="str">
        <f t="shared" si="200"/>
        <v/>
      </c>
      <c r="D562" s="132">
        <f t="shared" si="212"/>
        <v>0</v>
      </c>
      <c r="E562" s="132">
        <f t="shared" si="212"/>
        <v>0</v>
      </c>
      <c r="F562" s="132">
        <f t="shared" si="201"/>
        <v>0</v>
      </c>
      <c r="G562" s="132" t="str">
        <f t="shared" si="212"/>
        <v>Open market housing</v>
      </c>
      <c r="H562" s="132">
        <f t="shared" si="202"/>
        <v>896440000</v>
      </c>
      <c r="I562" s="132" t="str">
        <f t="shared" si="215"/>
        <v>New build</v>
      </c>
      <c r="J562" s="132">
        <f t="shared" si="203"/>
        <v>391930000</v>
      </c>
      <c r="K562" s="132">
        <f t="shared" si="216"/>
        <v>0</v>
      </c>
      <c r="L562" s="132">
        <f t="shared" si="204"/>
        <v>0</v>
      </c>
      <c r="M562" s="132">
        <f t="shared" si="213"/>
        <v>0</v>
      </c>
      <c r="N562" s="134">
        <f t="shared" si="205"/>
        <v>0</v>
      </c>
      <c r="O562" s="135">
        <f t="shared" si="206"/>
        <v>0</v>
      </c>
      <c r="P562" s="132" t="str">
        <f t="shared" si="217"/>
        <v/>
      </c>
      <c r="Q562" s="132" t="str">
        <f t="shared" si="208"/>
        <v/>
      </c>
      <c r="R562" s="132" t="str">
        <f>IF(ISNUMBER(SEARCH("AHO",Import2[[#This Row],[Tenure]])),"AHO",Import2[[#This Row],[Tenure]])&amp;Import2[[#This Row],[Expected Physical Completion Year]]&amp;Import2[[#This Row],[Expected Physical Completion Month]]</f>
        <v>Open market housing</v>
      </c>
      <c r="S562" s="135">
        <f t="shared" si="207"/>
        <v>0</v>
      </c>
      <c r="T562" s="132" t="str">
        <f t="shared" si="214"/>
        <v/>
      </c>
      <c r="U562" s="132" t="str">
        <f t="shared" si="214"/>
        <v/>
      </c>
      <c r="V562" s="132" t="str">
        <f>IF(ISNUMBER(SEARCH("AHO",Import2[[#This Row],[Tenure]])),"AHO",Import2[[#This Row],[Tenure]])&amp;Import2[[#This Row],[Expected sale completion year]]&amp;Import2[[#This Row],[Expected sale completion month]]</f>
        <v>Open market housing</v>
      </c>
      <c r="W562" s="178">
        <f t="shared" si="218"/>
        <v>0</v>
      </c>
    </row>
    <row r="563" spans="1:23" ht="15" customHeight="1">
      <c r="A563" s="132">
        <f t="shared" si="199"/>
        <v>0</v>
      </c>
      <c r="B563" s="133">
        <v>560</v>
      </c>
      <c r="C563" s="132" t="str">
        <f t="shared" si="200"/>
        <v/>
      </c>
      <c r="D563" s="132">
        <f t="shared" si="212"/>
        <v>0</v>
      </c>
      <c r="E563" s="132">
        <f t="shared" si="212"/>
        <v>0</v>
      </c>
      <c r="F563" s="132">
        <f t="shared" si="201"/>
        <v>0</v>
      </c>
      <c r="G563" s="132" t="str">
        <f t="shared" si="212"/>
        <v>Open market housing</v>
      </c>
      <c r="H563" s="132">
        <f t="shared" si="202"/>
        <v>896440000</v>
      </c>
      <c r="I563" s="132" t="str">
        <f t="shared" si="215"/>
        <v>New build</v>
      </c>
      <c r="J563" s="132">
        <f t="shared" si="203"/>
        <v>391930000</v>
      </c>
      <c r="K563" s="132">
        <f t="shared" si="216"/>
        <v>0</v>
      </c>
      <c r="L563" s="132">
        <f t="shared" si="204"/>
        <v>0</v>
      </c>
      <c r="M563" s="132">
        <f t="shared" si="213"/>
        <v>0</v>
      </c>
      <c r="N563" s="134">
        <f t="shared" si="205"/>
        <v>0</v>
      </c>
      <c r="O563" s="135">
        <f t="shared" si="206"/>
        <v>0</v>
      </c>
      <c r="P563" s="132" t="str">
        <f t="shared" si="217"/>
        <v/>
      </c>
      <c r="Q563" s="132" t="str">
        <f t="shared" si="208"/>
        <v/>
      </c>
      <c r="R563" s="132" t="str">
        <f>IF(ISNUMBER(SEARCH("AHO",Import2[[#This Row],[Tenure]])),"AHO",Import2[[#This Row],[Tenure]])&amp;Import2[[#This Row],[Expected Physical Completion Year]]&amp;Import2[[#This Row],[Expected Physical Completion Month]]</f>
        <v>Open market housing</v>
      </c>
      <c r="S563" s="135">
        <f t="shared" si="207"/>
        <v>0</v>
      </c>
      <c r="T563" s="132" t="str">
        <f t="shared" si="214"/>
        <v/>
      </c>
      <c r="U563" s="132" t="str">
        <f t="shared" si="214"/>
        <v/>
      </c>
      <c r="V563" s="132" t="str">
        <f>IF(ISNUMBER(SEARCH("AHO",Import2[[#This Row],[Tenure]])),"AHO",Import2[[#This Row],[Tenure]])&amp;Import2[[#This Row],[Expected sale completion year]]&amp;Import2[[#This Row],[Expected sale completion month]]</f>
        <v>Open market housing</v>
      </c>
      <c r="W563" s="178">
        <f t="shared" si="218"/>
        <v>0</v>
      </c>
    </row>
    <row r="564" spans="1:23" ht="15" customHeight="1">
      <c r="A564" s="132">
        <f t="shared" si="199"/>
        <v>0</v>
      </c>
      <c r="B564" s="133">
        <v>561</v>
      </c>
      <c r="C564" s="132" t="str">
        <f t="shared" si="200"/>
        <v/>
      </c>
      <c r="D564" s="132">
        <f t="shared" ref="D564:G583" si="219">INDEX(PlotData,MATCH($B564,PlotNumber,0),MATCH(D$3,PlotTitles,0))</f>
        <v>0</v>
      </c>
      <c r="E564" s="132">
        <f t="shared" si="219"/>
        <v>0</v>
      </c>
      <c r="F564" s="132">
        <f t="shared" si="201"/>
        <v>0</v>
      </c>
      <c r="G564" s="132" t="str">
        <f t="shared" si="219"/>
        <v>Open market housing</v>
      </c>
      <c r="H564" s="132">
        <f t="shared" si="202"/>
        <v>896440000</v>
      </c>
      <c r="I564" s="132" t="str">
        <f t="shared" si="215"/>
        <v>New build</v>
      </c>
      <c r="J564" s="132">
        <f t="shared" si="203"/>
        <v>391930000</v>
      </c>
      <c r="K564" s="132">
        <f t="shared" si="216"/>
        <v>0</v>
      </c>
      <c r="L564" s="132">
        <f t="shared" si="204"/>
        <v>0</v>
      </c>
      <c r="M564" s="132">
        <f t="shared" ref="M564:M583" si="220">INDEX(PlotData,MATCH($B564,PlotNumber,0),MATCH(M$3,PlotTitles,0))</f>
        <v>0</v>
      </c>
      <c r="N564" s="134">
        <f t="shared" si="205"/>
        <v>0</v>
      </c>
      <c r="O564" s="135">
        <f t="shared" si="206"/>
        <v>0</v>
      </c>
      <c r="P564" s="132" t="str">
        <f t="shared" si="217"/>
        <v/>
      </c>
      <c r="Q564" s="132" t="str">
        <f t="shared" si="208"/>
        <v/>
      </c>
      <c r="R564" s="132" t="str">
        <f>IF(ISNUMBER(SEARCH("AHO",Import2[[#This Row],[Tenure]])),"AHO",Import2[[#This Row],[Tenure]])&amp;Import2[[#This Row],[Expected Physical Completion Year]]&amp;Import2[[#This Row],[Expected Physical Completion Month]]</f>
        <v>Open market housing</v>
      </c>
      <c r="S564" s="135">
        <f t="shared" si="207"/>
        <v>0</v>
      </c>
      <c r="T564" s="132" t="str">
        <f t="shared" ref="T564:U583" si="221">IF(INDEX(PlotData,MATCH($B564,PlotNumber,0),MATCH(T$3,PlotTitles,0))=0,"",INDEX(PlotData,MATCH($B564,PlotNumber,0),MATCH(T$3,PlotTitles,0)))</f>
        <v/>
      </c>
      <c r="U564" s="132" t="str">
        <f t="shared" si="221"/>
        <v/>
      </c>
      <c r="V564" s="132" t="str">
        <f>IF(ISNUMBER(SEARCH("AHO",Import2[[#This Row],[Tenure]])),"AHO",Import2[[#This Row],[Tenure]])&amp;Import2[[#This Row],[Expected sale completion year]]&amp;Import2[[#This Row],[Expected sale completion month]]</f>
        <v>Open market housing</v>
      </c>
      <c r="W564" s="178">
        <f t="shared" si="218"/>
        <v>0</v>
      </c>
    </row>
    <row r="565" spans="1:23" ht="15" customHeight="1">
      <c r="A565" s="132">
        <f t="shared" si="199"/>
        <v>0</v>
      </c>
      <c r="B565" s="133">
        <v>562</v>
      </c>
      <c r="C565" s="132" t="str">
        <f t="shared" si="200"/>
        <v/>
      </c>
      <c r="D565" s="132">
        <f t="shared" si="219"/>
        <v>0</v>
      </c>
      <c r="E565" s="132">
        <f t="shared" si="219"/>
        <v>0</v>
      </c>
      <c r="F565" s="132">
        <f t="shared" si="201"/>
        <v>0</v>
      </c>
      <c r="G565" s="132" t="str">
        <f t="shared" si="219"/>
        <v>Open market housing</v>
      </c>
      <c r="H565" s="132">
        <f t="shared" si="202"/>
        <v>896440000</v>
      </c>
      <c r="I565" s="132" t="str">
        <f t="shared" si="215"/>
        <v>New build</v>
      </c>
      <c r="J565" s="132">
        <f t="shared" si="203"/>
        <v>391930000</v>
      </c>
      <c r="K565" s="132">
        <f t="shared" si="216"/>
        <v>0</v>
      </c>
      <c r="L565" s="132">
        <f t="shared" si="204"/>
        <v>0</v>
      </c>
      <c r="M565" s="132">
        <f t="shared" si="220"/>
        <v>0</v>
      </c>
      <c r="N565" s="134">
        <f t="shared" si="205"/>
        <v>0</v>
      </c>
      <c r="O565" s="135">
        <f t="shared" si="206"/>
        <v>0</v>
      </c>
      <c r="P565" s="132" t="str">
        <f t="shared" si="217"/>
        <v/>
      </c>
      <c r="Q565" s="132" t="str">
        <f t="shared" si="208"/>
        <v/>
      </c>
      <c r="R565" s="132" t="str">
        <f>IF(ISNUMBER(SEARCH("AHO",Import2[[#This Row],[Tenure]])),"AHO",Import2[[#This Row],[Tenure]])&amp;Import2[[#This Row],[Expected Physical Completion Year]]&amp;Import2[[#This Row],[Expected Physical Completion Month]]</f>
        <v>Open market housing</v>
      </c>
      <c r="S565" s="135">
        <f t="shared" si="207"/>
        <v>0</v>
      </c>
      <c r="T565" s="132" t="str">
        <f t="shared" si="221"/>
        <v/>
      </c>
      <c r="U565" s="132" t="str">
        <f t="shared" si="221"/>
        <v/>
      </c>
      <c r="V565" s="132" t="str">
        <f>IF(ISNUMBER(SEARCH("AHO",Import2[[#This Row],[Tenure]])),"AHO",Import2[[#This Row],[Tenure]])&amp;Import2[[#This Row],[Expected sale completion year]]&amp;Import2[[#This Row],[Expected sale completion month]]</f>
        <v>Open market housing</v>
      </c>
      <c r="W565" s="178">
        <f t="shared" si="218"/>
        <v>0</v>
      </c>
    </row>
    <row r="566" spans="1:23" ht="15" customHeight="1">
      <c r="A566" s="132">
        <f t="shared" si="199"/>
        <v>0</v>
      </c>
      <c r="B566" s="133">
        <v>563</v>
      </c>
      <c r="C566" s="132" t="str">
        <f t="shared" si="200"/>
        <v/>
      </c>
      <c r="D566" s="132">
        <f t="shared" si="219"/>
        <v>0</v>
      </c>
      <c r="E566" s="132">
        <f t="shared" si="219"/>
        <v>0</v>
      </c>
      <c r="F566" s="132">
        <f t="shared" si="201"/>
        <v>0</v>
      </c>
      <c r="G566" s="132" t="str">
        <f t="shared" si="219"/>
        <v>Open market housing</v>
      </c>
      <c r="H566" s="132">
        <f t="shared" si="202"/>
        <v>896440000</v>
      </c>
      <c r="I566" s="132" t="str">
        <f t="shared" si="215"/>
        <v>New build</v>
      </c>
      <c r="J566" s="132">
        <f t="shared" si="203"/>
        <v>391930000</v>
      </c>
      <c r="K566" s="132">
        <f t="shared" si="216"/>
        <v>0</v>
      </c>
      <c r="L566" s="132">
        <f t="shared" si="204"/>
        <v>0</v>
      </c>
      <c r="M566" s="132">
        <f t="shared" si="220"/>
        <v>0</v>
      </c>
      <c r="N566" s="134">
        <f t="shared" si="205"/>
        <v>0</v>
      </c>
      <c r="O566" s="135">
        <f t="shared" si="206"/>
        <v>0</v>
      </c>
      <c r="P566" s="132" t="str">
        <f t="shared" si="217"/>
        <v/>
      </c>
      <c r="Q566" s="132" t="str">
        <f t="shared" si="208"/>
        <v/>
      </c>
      <c r="R566" s="132" t="str">
        <f>IF(ISNUMBER(SEARCH("AHO",Import2[[#This Row],[Tenure]])),"AHO",Import2[[#This Row],[Tenure]])&amp;Import2[[#This Row],[Expected Physical Completion Year]]&amp;Import2[[#This Row],[Expected Physical Completion Month]]</f>
        <v>Open market housing</v>
      </c>
      <c r="S566" s="135">
        <f t="shared" si="207"/>
        <v>0</v>
      </c>
      <c r="T566" s="132" t="str">
        <f t="shared" si="221"/>
        <v/>
      </c>
      <c r="U566" s="132" t="str">
        <f t="shared" si="221"/>
        <v/>
      </c>
      <c r="V566" s="132" t="str">
        <f>IF(ISNUMBER(SEARCH("AHO",Import2[[#This Row],[Tenure]])),"AHO",Import2[[#This Row],[Tenure]])&amp;Import2[[#This Row],[Expected sale completion year]]&amp;Import2[[#This Row],[Expected sale completion month]]</f>
        <v>Open market housing</v>
      </c>
      <c r="W566" s="178">
        <f t="shared" si="218"/>
        <v>0</v>
      </c>
    </row>
    <row r="567" spans="1:23" ht="15" customHeight="1">
      <c r="A567" s="132">
        <f t="shared" si="199"/>
        <v>0</v>
      </c>
      <c r="B567" s="133">
        <v>564</v>
      </c>
      <c r="C567" s="132" t="str">
        <f t="shared" si="200"/>
        <v/>
      </c>
      <c r="D567" s="132">
        <f t="shared" si="219"/>
        <v>0</v>
      </c>
      <c r="E567" s="132">
        <f t="shared" si="219"/>
        <v>0</v>
      </c>
      <c r="F567" s="132">
        <f t="shared" si="201"/>
        <v>0</v>
      </c>
      <c r="G567" s="132" t="str">
        <f t="shared" si="219"/>
        <v>Open market housing</v>
      </c>
      <c r="H567" s="132">
        <f t="shared" si="202"/>
        <v>896440000</v>
      </c>
      <c r="I567" s="132" t="str">
        <f t="shared" si="215"/>
        <v>New build</v>
      </c>
      <c r="J567" s="132">
        <f t="shared" si="203"/>
        <v>391930000</v>
      </c>
      <c r="K567" s="132">
        <f t="shared" si="216"/>
        <v>0</v>
      </c>
      <c r="L567" s="132">
        <f t="shared" si="204"/>
        <v>0</v>
      </c>
      <c r="M567" s="132">
        <f t="shared" si="220"/>
        <v>0</v>
      </c>
      <c r="N567" s="134">
        <f t="shared" si="205"/>
        <v>0</v>
      </c>
      <c r="O567" s="135">
        <f t="shared" si="206"/>
        <v>0</v>
      </c>
      <c r="P567" s="132" t="str">
        <f t="shared" si="217"/>
        <v/>
      </c>
      <c r="Q567" s="132" t="str">
        <f t="shared" si="208"/>
        <v/>
      </c>
      <c r="R567" s="132" t="str">
        <f>IF(ISNUMBER(SEARCH("AHO",Import2[[#This Row],[Tenure]])),"AHO",Import2[[#This Row],[Tenure]])&amp;Import2[[#This Row],[Expected Physical Completion Year]]&amp;Import2[[#This Row],[Expected Physical Completion Month]]</f>
        <v>Open market housing</v>
      </c>
      <c r="S567" s="135">
        <f t="shared" si="207"/>
        <v>0</v>
      </c>
      <c r="T567" s="132" t="str">
        <f t="shared" si="221"/>
        <v/>
      </c>
      <c r="U567" s="132" t="str">
        <f t="shared" si="221"/>
        <v/>
      </c>
      <c r="V567" s="132" t="str">
        <f>IF(ISNUMBER(SEARCH("AHO",Import2[[#This Row],[Tenure]])),"AHO",Import2[[#This Row],[Tenure]])&amp;Import2[[#This Row],[Expected sale completion year]]&amp;Import2[[#This Row],[Expected sale completion month]]</f>
        <v>Open market housing</v>
      </c>
      <c r="W567" s="178">
        <f t="shared" si="218"/>
        <v>0</v>
      </c>
    </row>
    <row r="568" spans="1:23" ht="15" customHeight="1">
      <c r="A568" s="132">
        <f t="shared" si="199"/>
        <v>0</v>
      </c>
      <c r="B568" s="133">
        <v>565</v>
      </c>
      <c r="C568" s="132" t="str">
        <f t="shared" si="200"/>
        <v/>
      </c>
      <c r="D568" s="132">
        <f t="shared" si="219"/>
        <v>0</v>
      </c>
      <c r="E568" s="132">
        <f t="shared" si="219"/>
        <v>0</v>
      </c>
      <c r="F568" s="132">
        <f t="shared" si="201"/>
        <v>0</v>
      </c>
      <c r="G568" s="132" t="str">
        <f t="shared" si="219"/>
        <v>Open market housing</v>
      </c>
      <c r="H568" s="132">
        <f t="shared" si="202"/>
        <v>896440000</v>
      </c>
      <c r="I568" s="132" t="str">
        <f t="shared" si="215"/>
        <v>New build</v>
      </c>
      <c r="J568" s="132">
        <f t="shared" si="203"/>
        <v>391930000</v>
      </c>
      <c r="K568" s="132">
        <f t="shared" si="216"/>
        <v>0</v>
      </c>
      <c r="L568" s="132">
        <f t="shared" si="204"/>
        <v>0</v>
      </c>
      <c r="M568" s="132">
        <f t="shared" si="220"/>
        <v>0</v>
      </c>
      <c r="N568" s="134">
        <f t="shared" si="205"/>
        <v>0</v>
      </c>
      <c r="O568" s="135">
        <f t="shared" si="206"/>
        <v>0</v>
      </c>
      <c r="P568" s="132" t="str">
        <f t="shared" si="217"/>
        <v/>
      </c>
      <c r="Q568" s="132" t="str">
        <f t="shared" si="208"/>
        <v/>
      </c>
      <c r="R568" s="132" t="str">
        <f>IF(ISNUMBER(SEARCH("AHO",Import2[[#This Row],[Tenure]])),"AHO",Import2[[#This Row],[Tenure]])&amp;Import2[[#This Row],[Expected Physical Completion Year]]&amp;Import2[[#This Row],[Expected Physical Completion Month]]</f>
        <v>Open market housing</v>
      </c>
      <c r="S568" s="135">
        <f t="shared" si="207"/>
        <v>0</v>
      </c>
      <c r="T568" s="132" t="str">
        <f t="shared" si="221"/>
        <v/>
      </c>
      <c r="U568" s="132" t="str">
        <f t="shared" si="221"/>
        <v/>
      </c>
      <c r="V568" s="132" t="str">
        <f>IF(ISNUMBER(SEARCH("AHO",Import2[[#This Row],[Tenure]])),"AHO",Import2[[#This Row],[Tenure]])&amp;Import2[[#This Row],[Expected sale completion year]]&amp;Import2[[#This Row],[Expected sale completion month]]</f>
        <v>Open market housing</v>
      </c>
      <c r="W568" s="178">
        <f t="shared" si="218"/>
        <v>0</v>
      </c>
    </row>
    <row r="569" spans="1:23" ht="15" customHeight="1">
      <c r="A569" s="132">
        <f t="shared" si="199"/>
        <v>0</v>
      </c>
      <c r="B569" s="133">
        <v>566</v>
      </c>
      <c r="C569" s="132" t="str">
        <f t="shared" si="200"/>
        <v/>
      </c>
      <c r="D569" s="132">
        <f t="shared" si="219"/>
        <v>0</v>
      </c>
      <c r="E569" s="132">
        <f t="shared" si="219"/>
        <v>0</v>
      </c>
      <c r="F569" s="132">
        <f t="shared" si="201"/>
        <v>0</v>
      </c>
      <c r="G569" s="132" t="str">
        <f t="shared" si="219"/>
        <v>Open market housing</v>
      </c>
      <c r="H569" s="132">
        <f t="shared" si="202"/>
        <v>896440000</v>
      </c>
      <c r="I569" s="132" t="str">
        <f t="shared" si="215"/>
        <v>New build</v>
      </c>
      <c r="J569" s="132">
        <f t="shared" si="203"/>
        <v>391930000</v>
      </c>
      <c r="K569" s="132">
        <f t="shared" si="216"/>
        <v>0</v>
      </c>
      <c r="L569" s="132">
        <f t="shared" si="204"/>
        <v>0</v>
      </c>
      <c r="M569" s="132">
        <f t="shared" si="220"/>
        <v>0</v>
      </c>
      <c r="N569" s="134">
        <f t="shared" si="205"/>
        <v>0</v>
      </c>
      <c r="O569" s="135">
        <f t="shared" si="206"/>
        <v>0</v>
      </c>
      <c r="P569" s="132" t="str">
        <f t="shared" si="217"/>
        <v/>
      </c>
      <c r="Q569" s="132" t="str">
        <f t="shared" si="208"/>
        <v/>
      </c>
      <c r="R569" s="132" t="str">
        <f>IF(ISNUMBER(SEARCH("AHO",Import2[[#This Row],[Tenure]])),"AHO",Import2[[#This Row],[Tenure]])&amp;Import2[[#This Row],[Expected Physical Completion Year]]&amp;Import2[[#This Row],[Expected Physical Completion Month]]</f>
        <v>Open market housing</v>
      </c>
      <c r="S569" s="135">
        <f t="shared" si="207"/>
        <v>0</v>
      </c>
      <c r="T569" s="132" t="str">
        <f t="shared" si="221"/>
        <v/>
      </c>
      <c r="U569" s="132" t="str">
        <f t="shared" si="221"/>
        <v/>
      </c>
      <c r="V569" s="132" t="str">
        <f>IF(ISNUMBER(SEARCH("AHO",Import2[[#This Row],[Tenure]])),"AHO",Import2[[#This Row],[Tenure]])&amp;Import2[[#This Row],[Expected sale completion year]]&amp;Import2[[#This Row],[Expected sale completion month]]</f>
        <v>Open market housing</v>
      </c>
      <c r="W569" s="178">
        <f t="shared" si="218"/>
        <v>0</v>
      </c>
    </row>
    <row r="570" spans="1:23" ht="15" customHeight="1">
      <c r="A570" s="132">
        <f t="shared" si="199"/>
        <v>0</v>
      </c>
      <c r="B570" s="133">
        <v>567</v>
      </c>
      <c r="C570" s="132" t="str">
        <f t="shared" si="200"/>
        <v/>
      </c>
      <c r="D570" s="132">
        <f t="shared" si="219"/>
        <v>0</v>
      </c>
      <c r="E570" s="132">
        <f t="shared" si="219"/>
        <v>0</v>
      </c>
      <c r="F570" s="132">
        <f t="shared" si="201"/>
        <v>0</v>
      </c>
      <c r="G570" s="132" t="str">
        <f t="shared" si="219"/>
        <v>Open market housing</v>
      </c>
      <c r="H570" s="132">
        <f t="shared" si="202"/>
        <v>896440000</v>
      </c>
      <c r="I570" s="132" t="str">
        <f t="shared" si="215"/>
        <v>New build</v>
      </c>
      <c r="J570" s="132">
        <f t="shared" si="203"/>
        <v>391930000</v>
      </c>
      <c r="K570" s="132">
        <f t="shared" si="216"/>
        <v>0</v>
      </c>
      <c r="L570" s="132">
        <f t="shared" si="204"/>
        <v>0</v>
      </c>
      <c r="M570" s="132">
        <f t="shared" si="220"/>
        <v>0</v>
      </c>
      <c r="N570" s="134">
        <f t="shared" si="205"/>
        <v>0</v>
      </c>
      <c r="O570" s="135">
        <f t="shared" si="206"/>
        <v>0</v>
      </c>
      <c r="P570" s="132" t="str">
        <f t="shared" si="217"/>
        <v/>
      </c>
      <c r="Q570" s="132" t="str">
        <f t="shared" si="208"/>
        <v/>
      </c>
      <c r="R570" s="132" t="str">
        <f>IF(ISNUMBER(SEARCH("AHO",Import2[[#This Row],[Tenure]])),"AHO",Import2[[#This Row],[Tenure]])&amp;Import2[[#This Row],[Expected Physical Completion Year]]&amp;Import2[[#This Row],[Expected Physical Completion Month]]</f>
        <v>Open market housing</v>
      </c>
      <c r="S570" s="135">
        <f t="shared" si="207"/>
        <v>0</v>
      </c>
      <c r="T570" s="132" t="str">
        <f t="shared" si="221"/>
        <v/>
      </c>
      <c r="U570" s="132" t="str">
        <f t="shared" si="221"/>
        <v/>
      </c>
      <c r="V570" s="132" t="str">
        <f>IF(ISNUMBER(SEARCH("AHO",Import2[[#This Row],[Tenure]])),"AHO",Import2[[#This Row],[Tenure]])&amp;Import2[[#This Row],[Expected sale completion year]]&amp;Import2[[#This Row],[Expected sale completion month]]</f>
        <v>Open market housing</v>
      </c>
      <c r="W570" s="178">
        <f t="shared" si="218"/>
        <v>0</v>
      </c>
    </row>
    <row r="571" spans="1:23" ht="15" customHeight="1">
      <c r="A571" s="132">
        <f t="shared" si="199"/>
        <v>0</v>
      </c>
      <c r="B571" s="133">
        <v>568</v>
      </c>
      <c r="C571" s="132" t="str">
        <f t="shared" si="200"/>
        <v/>
      </c>
      <c r="D571" s="132">
        <f t="shared" si="219"/>
        <v>0</v>
      </c>
      <c r="E571" s="132">
        <f t="shared" si="219"/>
        <v>0</v>
      </c>
      <c r="F571" s="132">
        <f t="shared" si="201"/>
        <v>0</v>
      </c>
      <c r="G571" s="132" t="str">
        <f t="shared" si="219"/>
        <v>Open market housing</v>
      </c>
      <c r="H571" s="132">
        <f t="shared" si="202"/>
        <v>896440000</v>
      </c>
      <c r="I571" s="132" t="str">
        <f t="shared" si="215"/>
        <v>New build</v>
      </c>
      <c r="J571" s="132">
        <f t="shared" si="203"/>
        <v>391930000</v>
      </c>
      <c r="K571" s="132">
        <f t="shared" si="216"/>
        <v>0</v>
      </c>
      <c r="L571" s="132">
        <f t="shared" si="204"/>
        <v>0</v>
      </c>
      <c r="M571" s="132">
        <f t="shared" si="220"/>
        <v>0</v>
      </c>
      <c r="N571" s="134">
        <f t="shared" si="205"/>
        <v>0</v>
      </c>
      <c r="O571" s="135">
        <f t="shared" si="206"/>
        <v>0</v>
      </c>
      <c r="P571" s="132" t="str">
        <f t="shared" si="217"/>
        <v/>
      </c>
      <c r="Q571" s="132" t="str">
        <f t="shared" si="208"/>
        <v/>
      </c>
      <c r="R571" s="132" t="str">
        <f>IF(ISNUMBER(SEARCH("AHO",Import2[[#This Row],[Tenure]])),"AHO",Import2[[#This Row],[Tenure]])&amp;Import2[[#This Row],[Expected Physical Completion Year]]&amp;Import2[[#This Row],[Expected Physical Completion Month]]</f>
        <v>Open market housing</v>
      </c>
      <c r="S571" s="135">
        <f t="shared" si="207"/>
        <v>0</v>
      </c>
      <c r="T571" s="132" t="str">
        <f t="shared" si="221"/>
        <v/>
      </c>
      <c r="U571" s="132" t="str">
        <f t="shared" si="221"/>
        <v/>
      </c>
      <c r="V571" s="132" t="str">
        <f>IF(ISNUMBER(SEARCH("AHO",Import2[[#This Row],[Tenure]])),"AHO",Import2[[#This Row],[Tenure]])&amp;Import2[[#This Row],[Expected sale completion year]]&amp;Import2[[#This Row],[Expected sale completion month]]</f>
        <v>Open market housing</v>
      </c>
      <c r="W571" s="178">
        <f t="shared" si="218"/>
        <v>0</v>
      </c>
    </row>
    <row r="572" spans="1:23" ht="15" customHeight="1">
      <c r="A572" s="132">
        <f t="shared" si="199"/>
        <v>0</v>
      </c>
      <c r="B572" s="133">
        <v>569</v>
      </c>
      <c r="C572" s="132" t="str">
        <f t="shared" si="200"/>
        <v/>
      </c>
      <c r="D572" s="132">
        <f t="shared" si="219"/>
        <v>0</v>
      </c>
      <c r="E572" s="132">
        <f t="shared" si="219"/>
        <v>0</v>
      </c>
      <c r="F572" s="132">
        <f t="shared" si="201"/>
        <v>0</v>
      </c>
      <c r="G572" s="132" t="str">
        <f t="shared" si="219"/>
        <v>Open market housing</v>
      </c>
      <c r="H572" s="132">
        <f t="shared" si="202"/>
        <v>896440000</v>
      </c>
      <c r="I572" s="132" t="str">
        <f t="shared" si="215"/>
        <v>New build</v>
      </c>
      <c r="J572" s="132">
        <f t="shared" si="203"/>
        <v>391930000</v>
      </c>
      <c r="K572" s="132">
        <f t="shared" si="216"/>
        <v>0</v>
      </c>
      <c r="L572" s="132">
        <f t="shared" si="204"/>
        <v>0</v>
      </c>
      <c r="M572" s="132">
        <f t="shared" si="220"/>
        <v>0</v>
      </c>
      <c r="N572" s="134">
        <f t="shared" si="205"/>
        <v>0</v>
      </c>
      <c r="O572" s="135">
        <f t="shared" si="206"/>
        <v>0</v>
      </c>
      <c r="P572" s="132" t="str">
        <f t="shared" si="217"/>
        <v/>
      </c>
      <c r="Q572" s="132" t="str">
        <f t="shared" si="208"/>
        <v/>
      </c>
      <c r="R572" s="132" t="str">
        <f>IF(ISNUMBER(SEARCH("AHO",Import2[[#This Row],[Tenure]])),"AHO",Import2[[#This Row],[Tenure]])&amp;Import2[[#This Row],[Expected Physical Completion Year]]&amp;Import2[[#This Row],[Expected Physical Completion Month]]</f>
        <v>Open market housing</v>
      </c>
      <c r="S572" s="135">
        <f t="shared" si="207"/>
        <v>0</v>
      </c>
      <c r="T572" s="132" t="str">
        <f t="shared" si="221"/>
        <v/>
      </c>
      <c r="U572" s="132" t="str">
        <f t="shared" si="221"/>
        <v/>
      </c>
      <c r="V572" s="132" t="str">
        <f>IF(ISNUMBER(SEARCH("AHO",Import2[[#This Row],[Tenure]])),"AHO",Import2[[#This Row],[Tenure]])&amp;Import2[[#This Row],[Expected sale completion year]]&amp;Import2[[#This Row],[Expected sale completion month]]</f>
        <v>Open market housing</v>
      </c>
      <c r="W572" s="178">
        <f t="shared" si="218"/>
        <v>0</v>
      </c>
    </row>
    <row r="573" spans="1:23" ht="15" customHeight="1">
      <c r="A573" s="132">
        <f t="shared" si="199"/>
        <v>0</v>
      </c>
      <c r="B573" s="133">
        <v>570</v>
      </c>
      <c r="C573" s="132" t="str">
        <f t="shared" si="200"/>
        <v/>
      </c>
      <c r="D573" s="132">
        <f t="shared" si="219"/>
        <v>0</v>
      </c>
      <c r="E573" s="132">
        <f t="shared" si="219"/>
        <v>0</v>
      </c>
      <c r="F573" s="132">
        <f t="shared" si="201"/>
        <v>0</v>
      </c>
      <c r="G573" s="132" t="str">
        <f t="shared" si="219"/>
        <v>Open market housing</v>
      </c>
      <c r="H573" s="132">
        <f t="shared" si="202"/>
        <v>896440000</v>
      </c>
      <c r="I573" s="132" t="str">
        <f t="shared" si="215"/>
        <v>New build</v>
      </c>
      <c r="J573" s="132">
        <f t="shared" si="203"/>
        <v>391930000</v>
      </c>
      <c r="K573" s="132">
        <f t="shared" si="216"/>
        <v>0</v>
      </c>
      <c r="L573" s="132">
        <f t="shared" si="204"/>
        <v>0</v>
      </c>
      <c r="M573" s="132">
        <f t="shared" si="220"/>
        <v>0</v>
      </c>
      <c r="N573" s="134">
        <f t="shared" si="205"/>
        <v>0</v>
      </c>
      <c r="O573" s="135">
        <f t="shared" si="206"/>
        <v>0</v>
      </c>
      <c r="P573" s="132" t="str">
        <f t="shared" si="217"/>
        <v/>
      </c>
      <c r="Q573" s="132" t="str">
        <f t="shared" si="208"/>
        <v/>
      </c>
      <c r="R573" s="132" t="str">
        <f>IF(ISNUMBER(SEARCH("AHO",Import2[[#This Row],[Tenure]])),"AHO",Import2[[#This Row],[Tenure]])&amp;Import2[[#This Row],[Expected Physical Completion Year]]&amp;Import2[[#This Row],[Expected Physical Completion Month]]</f>
        <v>Open market housing</v>
      </c>
      <c r="S573" s="135">
        <f t="shared" si="207"/>
        <v>0</v>
      </c>
      <c r="T573" s="132" t="str">
        <f t="shared" si="221"/>
        <v/>
      </c>
      <c r="U573" s="132" t="str">
        <f t="shared" si="221"/>
        <v/>
      </c>
      <c r="V573" s="132" t="str">
        <f>IF(ISNUMBER(SEARCH("AHO",Import2[[#This Row],[Tenure]])),"AHO",Import2[[#This Row],[Tenure]])&amp;Import2[[#This Row],[Expected sale completion year]]&amp;Import2[[#This Row],[Expected sale completion month]]</f>
        <v>Open market housing</v>
      </c>
      <c r="W573" s="178">
        <f t="shared" si="218"/>
        <v>0</v>
      </c>
    </row>
    <row r="574" spans="1:23" ht="15" customHeight="1">
      <c r="A574" s="132">
        <f t="shared" si="199"/>
        <v>0</v>
      </c>
      <c r="B574" s="133">
        <v>571</v>
      </c>
      <c r="C574" s="132" t="str">
        <f t="shared" si="200"/>
        <v/>
      </c>
      <c r="D574" s="132">
        <f t="shared" si="219"/>
        <v>0</v>
      </c>
      <c r="E574" s="132">
        <f t="shared" si="219"/>
        <v>0</v>
      </c>
      <c r="F574" s="132">
        <f t="shared" si="201"/>
        <v>0</v>
      </c>
      <c r="G574" s="132" t="str">
        <f t="shared" si="219"/>
        <v>Open market housing</v>
      </c>
      <c r="H574" s="132">
        <f t="shared" si="202"/>
        <v>896440000</v>
      </c>
      <c r="I574" s="132" t="str">
        <f t="shared" si="215"/>
        <v>New build</v>
      </c>
      <c r="J574" s="132">
        <f t="shared" si="203"/>
        <v>391930000</v>
      </c>
      <c r="K574" s="132">
        <f t="shared" si="216"/>
        <v>0</v>
      </c>
      <c r="L574" s="132">
        <f t="shared" si="204"/>
        <v>0</v>
      </c>
      <c r="M574" s="132">
        <f t="shared" si="220"/>
        <v>0</v>
      </c>
      <c r="N574" s="134">
        <f t="shared" si="205"/>
        <v>0</v>
      </c>
      <c r="O574" s="135">
        <f t="shared" si="206"/>
        <v>0</v>
      </c>
      <c r="P574" s="132" t="str">
        <f t="shared" si="217"/>
        <v/>
      </c>
      <c r="Q574" s="132" t="str">
        <f t="shared" si="208"/>
        <v/>
      </c>
      <c r="R574" s="132" t="str">
        <f>IF(ISNUMBER(SEARCH("AHO",Import2[[#This Row],[Tenure]])),"AHO",Import2[[#This Row],[Tenure]])&amp;Import2[[#This Row],[Expected Physical Completion Year]]&amp;Import2[[#This Row],[Expected Physical Completion Month]]</f>
        <v>Open market housing</v>
      </c>
      <c r="S574" s="135">
        <f t="shared" si="207"/>
        <v>0</v>
      </c>
      <c r="T574" s="132" t="str">
        <f t="shared" si="221"/>
        <v/>
      </c>
      <c r="U574" s="132" t="str">
        <f t="shared" si="221"/>
        <v/>
      </c>
      <c r="V574" s="132" t="str">
        <f>IF(ISNUMBER(SEARCH("AHO",Import2[[#This Row],[Tenure]])),"AHO",Import2[[#This Row],[Tenure]])&amp;Import2[[#This Row],[Expected sale completion year]]&amp;Import2[[#This Row],[Expected sale completion month]]</f>
        <v>Open market housing</v>
      </c>
      <c r="W574" s="178">
        <f t="shared" si="218"/>
        <v>0</v>
      </c>
    </row>
    <row r="575" spans="1:23" ht="15" customHeight="1">
      <c r="A575" s="132">
        <f t="shared" si="199"/>
        <v>0</v>
      </c>
      <c r="B575" s="133">
        <v>572</v>
      </c>
      <c r="C575" s="132" t="str">
        <f t="shared" si="200"/>
        <v/>
      </c>
      <c r="D575" s="132">
        <f t="shared" si="219"/>
        <v>0</v>
      </c>
      <c r="E575" s="132">
        <f t="shared" si="219"/>
        <v>0</v>
      </c>
      <c r="F575" s="132">
        <f t="shared" si="201"/>
        <v>0</v>
      </c>
      <c r="G575" s="132" t="str">
        <f t="shared" si="219"/>
        <v>Open market housing</v>
      </c>
      <c r="H575" s="132">
        <f t="shared" si="202"/>
        <v>896440000</v>
      </c>
      <c r="I575" s="132" t="str">
        <f t="shared" si="215"/>
        <v>New build</v>
      </c>
      <c r="J575" s="132">
        <f t="shared" si="203"/>
        <v>391930000</v>
      </c>
      <c r="K575" s="132">
        <f t="shared" si="216"/>
        <v>0</v>
      </c>
      <c r="L575" s="132">
        <f t="shared" si="204"/>
        <v>0</v>
      </c>
      <c r="M575" s="132">
        <f t="shared" si="220"/>
        <v>0</v>
      </c>
      <c r="N575" s="134">
        <f t="shared" si="205"/>
        <v>0</v>
      </c>
      <c r="O575" s="135">
        <f t="shared" si="206"/>
        <v>0</v>
      </c>
      <c r="P575" s="132" t="str">
        <f t="shared" si="217"/>
        <v/>
      </c>
      <c r="Q575" s="132" t="str">
        <f t="shared" si="208"/>
        <v/>
      </c>
      <c r="R575" s="132" t="str">
        <f>IF(ISNUMBER(SEARCH("AHO",Import2[[#This Row],[Tenure]])),"AHO",Import2[[#This Row],[Tenure]])&amp;Import2[[#This Row],[Expected Physical Completion Year]]&amp;Import2[[#This Row],[Expected Physical Completion Month]]</f>
        <v>Open market housing</v>
      </c>
      <c r="S575" s="135">
        <f t="shared" si="207"/>
        <v>0</v>
      </c>
      <c r="T575" s="132" t="str">
        <f t="shared" si="221"/>
        <v/>
      </c>
      <c r="U575" s="132" t="str">
        <f t="shared" si="221"/>
        <v/>
      </c>
      <c r="V575" s="132" t="str">
        <f>IF(ISNUMBER(SEARCH("AHO",Import2[[#This Row],[Tenure]])),"AHO",Import2[[#This Row],[Tenure]])&amp;Import2[[#This Row],[Expected sale completion year]]&amp;Import2[[#This Row],[Expected sale completion month]]</f>
        <v>Open market housing</v>
      </c>
      <c r="W575" s="178">
        <f t="shared" si="218"/>
        <v>0</v>
      </c>
    </row>
    <row r="576" spans="1:23" ht="15" customHeight="1">
      <c r="A576" s="132">
        <f t="shared" si="199"/>
        <v>0</v>
      </c>
      <c r="B576" s="133">
        <v>573</v>
      </c>
      <c r="C576" s="132" t="str">
        <f t="shared" si="200"/>
        <v/>
      </c>
      <c r="D576" s="132">
        <f t="shared" si="219"/>
        <v>0</v>
      </c>
      <c r="E576" s="132">
        <f t="shared" si="219"/>
        <v>0</v>
      </c>
      <c r="F576" s="132">
        <f t="shared" si="201"/>
        <v>0</v>
      </c>
      <c r="G576" s="132" t="str">
        <f t="shared" si="219"/>
        <v>Open market housing</v>
      </c>
      <c r="H576" s="132">
        <f t="shared" si="202"/>
        <v>896440000</v>
      </c>
      <c r="I576" s="132" t="str">
        <f t="shared" si="215"/>
        <v>New build</v>
      </c>
      <c r="J576" s="132">
        <f t="shared" si="203"/>
        <v>391930000</v>
      </c>
      <c r="K576" s="132">
        <f t="shared" si="216"/>
        <v>0</v>
      </c>
      <c r="L576" s="132">
        <f t="shared" si="204"/>
        <v>0</v>
      </c>
      <c r="M576" s="132">
        <f t="shared" si="220"/>
        <v>0</v>
      </c>
      <c r="N576" s="134">
        <f t="shared" si="205"/>
        <v>0</v>
      </c>
      <c r="O576" s="135">
        <f t="shared" si="206"/>
        <v>0</v>
      </c>
      <c r="P576" s="132" t="str">
        <f t="shared" si="217"/>
        <v/>
      </c>
      <c r="Q576" s="132" t="str">
        <f t="shared" si="208"/>
        <v/>
      </c>
      <c r="R576" s="132" t="str">
        <f>IF(ISNUMBER(SEARCH("AHO",Import2[[#This Row],[Tenure]])),"AHO",Import2[[#This Row],[Tenure]])&amp;Import2[[#This Row],[Expected Physical Completion Year]]&amp;Import2[[#This Row],[Expected Physical Completion Month]]</f>
        <v>Open market housing</v>
      </c>
      <c r="S576" s="135">
        <f t="shared" si="207"/>
        <v>0</v>
      </c>
      <c r="T576" s="132" t="str">
        <f t="shared" si="221"/>
        <v/>
      </c>
      <c r="U576" s="132" t="str">
        <f t="shared" si="221"/>
        <v/>
      </c>
      <c r="V576" s="132" t="str">
        <f>IF(ISNUMBER(SEARCH("AHO",Import2[[#This Row],[Tenure]])),"AHO",Import2[[#This Row],[Tenure]])&amp;Import2[[#This Row],[Expected sale completion year]]&amp;Import2[[#This Row],[Expected sale completion month]]</f>
        <v>Open market housing</v>
      </c>
      <c r="W576" s="178">
        <f t="shared" si="218"/>
        <v>0</v>
      </c>
    </row>
    <row r="577" spans="1:23" ht="15" customHeight="1">
      <c r="A577" s="132">
        <f t="shared" si="199"/>
        <v>0</v>
      </c>
      <c r="B577" s="133">
        <v>574</v>
      </c>
      <c r="C577" s="132" t="str">
        <f t="shared" si="200"/>
        <v/>
      </c>
      <c r="D577" s="132">
        <f t="shared" si="219"/>
        <v>0</v>
      </c>
      <c r="E577" s="132">
        <f t="shared" si="219"/>
        <v>0</v>
      </c>
      <c r="F577" s="132">
        <f t="shared" si="201"/>
        <v>0</v>
      </c>
      <c r="G577" s="132" t="str">
        <f t="shared" si="219"/>
        <v>Open market housing</v>
      </c>
      <c r="H577" s="132">
        <f t="shared" si="202"/>
        <v>896440000</v>
      </c>
      <c r="I577" s="132" t="str">
        <f t="shared" si="215"/>
        <v>New build</v>
      </c>
      <c r="J577" s="132">
        <f t="shared" si="203"/>
        <v>391930000</v>
      </c>
      <c r="K577" s="132">
        <f t="shared" si="216"/>
        <v>0</v>
      </c>
      <c r="L577" s="132">
        <f t="shared" si="204"/>
        <v>0</v>
      </c>
      <c r="M577" s="132">
        <f t="shared" si="220"/>
        <v>0</v>
      </c>
      <c r="N577" s="134">
        <f t="shared" si="205"/>
        <v>0</v>
      </c>
      <c r="O577" s="135">
        <f t="shared" si="206"/>
        <v>0</v>
      </c>
      <c r="P577" s="132" t="str">
        <f t="shared" si="217"/>
        <v/>
      </c>
      <c r="Q577" s="132" t="str">
        <f t="shared" si="208"/>
        <v/>
      </c>
      <c r="R577" s="132" t="str">
        <f>IF(ISNUMBER(SEARCH("AHO",Import2[[#This Row],[Tenure]])),"AHO",Import2[[#This Row],[Tenure]])&amp;Import2[[#This Row],[Expected Physical Completion Year]]&amp;Import2[[#This Row],[Expected Physical Completion Month]]</f>
        <v>Open market housing</v>
      </c>
      <c r="S577" s="135">
        <f t="shared" si="207"/>
        <v>0</v>
      </c>
      <c r="T577" s="132" t="str">
        <f t="shared" si="221"/>
        <v/>
      </c>
      <c r="U577" s="132" t="str">
        <f t="shared" si="221"/>
        <v/>
      </c>
      <c r="V577" s="132" t="str">
        <f>IF(ISNUMBER(SEARCH("AHO",Import2[[#This Row],[Tenure]])),"AHO",Import2[[#This Row],[Tenure]])&amp;Import2[[#This Row],[Expected sale completion year]]&amp;Import2[[#This Row],[Expected sale completion month]]</f>
        <v>Open market housing</v>
      </c>
      <c r="W577" s="178">
        <f t="shared" si="218"/>
        <v>0</v>
      </c>
    </row>
    <row r="578" spans="1:23" ht="15" customHeight="1">
      <c r="A578" s="132">
        <f t="shared" si="199"/>
        <v>0</v>
      </c>
      <c r="B578" s="133">
        <v>575</v>
      </c>
      <c r="C578" s="132" t="str">
        <f t="shared" si="200"/>
        <v/>
      </c>
      <c r="D578" s="132">
        <f t="shared" si="219"/>
        <v>0</v>
      </c>
      <c r="E578" s="132">
        <f t="shared" si="219"/>
        <v>0</v>
      </c>
      <c r="F578" s="132">
        <f t="shared" si="201"/>
        <v>0</v>
      </c>
      <c r="G578" s="132" t="str">
        <f t="shared" si="219"/>
        <v>Open market housing</v>
      </c>
      <c r="H578" s="132">
        <f t="shared" si="202"/>
        <v>896440000</v>
      </c>
      <c r="I578" s="132" t="str">
        <f t="shared" si="215"/>
        <v>New build</v>
      </c>
      <c r="J578" s="132">
        <f t="shared" si="203"/>
        <v>391930000</v>
      </c>
      <c r="K578" s="132">
        <f t="shared" si="216"/>
        <v>0</v>
      </c>
      <c r="L578" s="132">
        <f t="shared" si="204"/>
        <v>0</v>
      </c>
      <c r="M578" s="132">
        <f t="shared" si="220"/>
        <v>0</v>
      </c>
      <c r="N578" s="134">
        <f t="shared" si="205"/>
        <v>0</v>
      </c>
      <c r="O578" s="135">
        <f t="shared" si="206"/>
        <v>0</v>
      </c>
      <c r="P578" s="132" t="str">
        <f t="shared" si="217"/>
        <v/>
      </c>
      <c r="Q578" s="132" t="str">
        <f t="shared" si="208"/>
        <v/>
      </c>
      <c r="R578" s="132" t="str">
        <f>IF(ISNUMBER(SEARCH("AHO",Import2[[#This Row],[Tenure]])),"AHO",Import2[[#This Row],[Tenure]])&amp;Import2[[#This Row],[Expected Physical Completion Year]]&amp;Import2[[#This Row],[Expected Physical Completion Month]]</f>
        <v>Open market housing</v>
      </c>
      <c r="S578" s="135">
        <f t="shared" si="207"/>
        <v>0</v>
      </c>
      <c r="T578" s="132" t="str">
        <f t="shared" si="221"/>
        <v/>
      </c>
      <c r="U578" s="132" t="str">
        <f t="shared" si="221"/>
        <v/>
      </c>
      <c r="V578" s="132" t="str">
        <f>IF(ISNUMBER(SEARCH("AHO",Import2[[#This Row],[Tenure]])),"AHO",Import2[[#This Row],[Tenure]])&amp;Import2[[#This Row],[Expected sale completion year]]&amp;Import2[[#This Row],[Expected sale completion month]]</f>
        <v>Open market housing</v>
      </c>
      <c r="W578" s="178">
        <f t="shared" si="218"/>
        <v>0</v>
      </c>
    </row>
    <row r="579" spans="1:23" ht="15" customHeight="1">
      <c r="A579" s="132">
        <f t="shared" si="199"/>
        <v>0</v>
      </c>
      <c r="B579" s="133">
        <v>576</v>
      </c>
      <c r="C579" s="132" t="str">
        <f t="shared" si="200"/>
        <v/>
      </c>
      <c r="D579" s="132">
        <f t="shared" si="219"/>
        <v>0</v>
      </c>
      <c r="E579" s="132">
        <f t="shared" si="219"/>
        <v>0</v>
      </c>
      <c r="F579" s="132">
        <f t="shared" si="201"/>
        <v>0</v>
      </c>
      <c r="G579" s="132" t="str">
        <f t="shared" si="219"/>
        <v>Open market housing</v>
      </c>
      <c r="H579" s="132">
        <f t="shared" si="202"/>
        <v>896440000</v>
      </c>
      <c r="I579" s="132" t="str">
        <f t="shared" si="215"/>
        <v>New build</v>
      </c>
      <c r="J579" s="132">
        <f t="shared" si="203"/>
        <v>391930000</v>
      </c>
      <c r="K579" s="132">
        <f t="shared" si="216"/>
        <v>0</v>
      </c>
      <c r="L579" s="132">
        <f t="shared" si="204"/>
        <v>0</v>
      </c>
      <c r="M579" s="132">
        <f t="shared" si="220"/>
        <v>0</v>
      </c>
      <c r="N579" s="134">
        <f t="shared" si="205"/>
        <v>0</v>
      </c>
      <c r="O579" s="135">
        <f t="shared" si="206"/>
        <v>0</v>
      </c>
      <c r="P579" s="132" t="str">
        <f t="shared" si="217"/>
        <v/>
      </c>
      <c r="Q579" s="132" t="str">
        <f t="shared" si="208"/>
        <v/>
      </c>
      <c r="R579" s="132" t="str">
        <f>IF(ISNUMBER(SEARCH("AHO",Import2[[#This Row],[Tenure]])),"AHO",Import2[[#This Row],[Tenure]])&amp;Import2[[#This Row],[Expected Physical Completion Year]]&amp;Import2[[#This Row],[Expected Physical Completion Month]]</f>
        <v>Open market housing</v>
      </c>
      <c r="S579" s="135">
        <f t="shared" si="207"/>
        <v>0</v>
      </c>
      <c r="T579" s="132" t="str">
        <f t="shared" si="221"/>
        <v/>
      </c>
      <c r="U579" s="132" t="str">
        <f t="shared" si="221"/>
        <v/>
      </c>
      <c r="V579" s="132" t="str">
        <f>IF(ISNUMBER(SEARCH("AHO",Import2[[#This Row],[Tenure]])),"AHO",Import2[[#This Row],[Tenure]])&amp;Import2[[#This Row],[Expected sale completion year]]&amp;Import2[[#This Row],[Expected sale completion month]]</f>
        <v>Open market housing</v>
      </c>
      <c r="W579" s="178">
        <f t="shared" si="218"/>
        <v>0</v>
      </c>
    </row>
    <row r="580" spans="1:23" ht="15" customHeight="1">
      <c r="A580" s="132">
        <f t="shared" ref="A580:A603" si="222">IF((SUM($C580:$W580)-$H580-$J580)=0,0,1)</f>
        <v>0</v>
      </c>
      <c r="B580" s="133">
        <v>577</v>
      </c>
      <c r="C580" s="132" t="str">
        <f t="shared" ref="C580:C603" si="223">IF(INDEX(PlotData,MATCH($B580,PlotNumber,0),MATCH(C$3,PlotTitles,0))=0,"",INDEX(PlotData,MATCH($B580,PlotNumber,0),MATCH(C$3,PlotTitles,0)))</f>
        <v/>
      </c>
      <c r="D580" s="132">
        <f t="shared" si="219"/>
        <v>0</v>
      </c>
      <c r="E580" s="132">
        <f t="shared" si="219"/>
        <v>0</v>
      </c>
      <c r="F580" s="132">
        <f t="shared" ref="F580:F603" si="224">_xlfn.IFNA(INDEX(PropertyTypeRef,MATCH(E580,PropertyType,0),2),0)</f>
        <v>0</v>
      </c>
      <c r="G580" s="132" t="str">
        <f t="shared" si="219"/>
        <v>Open market housing</v>
      </c>
      <c r="H580" s="132">
        <f t="shared" ref="H580:H603" si="225">_xlfn.IFNA(INDEX(TenureRef,MATCH(G580,PlotCategory,0),2),0)</f>
        <v>896440000</v>
      </c>
      <c r="I580" s="132" t="str">
        <f t="shared" si="215"/>
        <v>New build</v>
      </c>
      <c r="J580" s="132">
        <f t="shared" ref="J580:J603" si="226">_xlfn.IFNA(INDEX(TenureDetailRef,MATCH(I580,TenureDetail,0),2),0)</f>
        <v>391930000</v>
      </c>
      <c r="K580" s="132">
        <f t="shared" si="216"/>
        <v>0</v>
      </c>
      <c r="L580" s="132">
        <f t="shared" ref="L580:L603" si="227">_xlfn.IFNA(INDEX(BuildTypeRef,MATCH(K580,BuildType,0),2),0)</f>
        <v>0</v>
      </c>
      <c r="M580" s="132">
        <f t="shared" si="220"/>
        <v>0</v>
      </c>
      <c r="N580" s="134">
        <f t="shared" ref="N580:N603" si="228">IF($M580=0,0,$M580*0.09290304)</f>
        <v>0</v>
      </c>
      <c r="O580" s="135">
        <f t="shared" ref="O580:O603" si="229">IF(OR($P580="",$Q580=""),0,(DATEVALUE($P580&amp;$Q580)))</f>
        <v>0</v>
      </c>
      <c r="P580" s="132" t="str">
        <f t="shared" si="217"/>
        <v/>
      </c>
      <c r="Q580" s="132" t="str">
        <f t="shared" si="208"/>
        <v/>
      </c>
      <c r="R580" s="132" t="str">
        <f>IF(ISNUMBER(SEARCH("AHO",Import2[[#This Row],[Tenure]])),"AHO",Import2[[#This Row],[Tenure]])&amp;Import2[[#This Row],[Expected Physical Completion Year]]&amp;Import2[[#This Row],[Expected Physical Completion Month]]</f>
        <v>Open market housing</v>
      </c>
      <c r="S580" s="135">
        <f t="shared" ref="S580:S603" si="230">IF(OR($T580="",$U580=""),0,(DATEVALUE($T580&amp;$U580)))</f>
        <v>0</v>
      </c>
      <c r="T580" s="132" t="str">
        <f t="shared" si="221"/>
        <v/>
      </c>
      <c r="U580" s="132" t="str">
        <f t="shared" si="221"/>
        <v/>
      </c>
      <c r="V580" s="132" t="str">
        <f>IF(ISNUMBER(SEARCH("AHO",Import2[[#This Row],[Tenure]])),"AHO",Import2[[#This Row],[Tenure]])&amp;Import2[[#This Row],[Expected sale completion year]]&amp;Import2[[#This Row],[Expected sale completion month]]</f>
        <v>Open market housing</v>
      </c>
      <c r="W580" s="178">
        <f t="shared" si="218"/>
        <v>0</v>
      </c>
    </row>
    <row r="581" spans="1:23" ht="15" customHeight="1">
      <c r="A581" s="132">
        <f t="shared" si="222"/>
        <v>0</v>
      </c>
      <c r="B581" s="133">
        <v>578</v>
      </c>
      <c r="C581" s="132" t="str">
        <f t="shared" si="223"/>
        <v/>
      </c>
      <c r="D581" s="132">
        <f t="shared" si="219"/>
        <v>0</v>
      </c>
      <c r="E581" s="132">
        <f t="shared" si="219"/>
        <v>0</v>
      </c>
      <c r="F581" s="132">
        <f t="shared" si="224"/>
        <v>0</v>
      </c>
      <c r="G581" s="132" t="str">
        <f t="shared" si="219"/>
        <v>Open market housing</v>
      </c>
      <c r="H581" s="132">
        <f t="shared" si="225"/>
        <v>896440000</v>
      </c>
      <c r="I581" s="132" t="str">
        <f t="shared" si="215"/>
        <v>New build</v>
      </c>
      <c r="J581" s="132">
        <f t="shared" si="226"/>
        <v>391930000</v>
      </c>
      <c r="K581" s="132">
        <f t="shared" si="216"/>
        <v>0</v>
      </c>
      <c r="L581" s="132">
        <f t="shared" si="227"/>
        <v>0</v>
      </c>
      <c r="M581" s="132">
        <f t="shared" si="220"/>
        <v>0</v>
      </c>
      <c r="N581" s="134">
        <f t="shared" si="228"/>
        <v>0</v>
      </c>
      <c r="O581" s="135">
        <f t="shared" si="229"/>
        <v>0</v>
      </c>
      <c r="P581" s="132" t="str">
        <f t="shared" si="217"/>
        <v/>
      </c>
      <c r="Q581" s="132" t="str">
        <f t="shared" si="208"/>
        <v/>
      </c>
      <c r="R581" s="132" t="str">
        <f>IF(ISNUMBER(SEARCH("AHO",Import2[[#This Row],[Tenure]])),"AHO",Import2[[#This Row],[Tenure]])&amp;Import2[[#This Row],[Expected Physical Completion Year]]&amp;Import2[[#This Row],[Expected Physical Completion Month]]</f>
        <v>Open market housing</v>
      </c>
      <c r="S581" s="135">
        <f t="shared" si="230"/>
        <v>0</v>
      </c>
      <c r="T581" s="132" t="str">
        <f t="shared" si="221"/>
        <v/>
      </c>
      <c r="U581" s="132" t="str">
        <f t="shared" si="221"/>
        <v/>
      </c>
      <c r="V581" s="132" t="str">
        <f>IF(ISNUMBER(SEARCH("AHO",Import2[[#This Row],[Tenure]])),"AHO",Import2[[#This Row],[Tenure]])&amp;Import2[[#This Row],[Expected sale completion year]]&amp;Import2[[#This Row],[Expected sale completion month]]</f>
        <v>Open market housing</v>
      </c>
      <c r="W581" s="178">
        <f t="shared" si="218"/>
        <v>0</v>
      </c>
    </row>
    <row r="582" spans="1:23" ht="15" customHeight="1">
      <c r="A582" s="132">
        <f t="shared" si="222"/>
        <v>0</v>
      </c>
      <c r="B582" s="133">
        <v>579</v>
      </c>
      <c r="C582" s="132" t="str">
        <f t="shared" si="223"/>
        <v/>
      </c>
      <c r="D582" s="132">
        <f t="shared" si="219"/>
        <v>0</v>
      </c>
      <c r="E582" s="132">
        <f t="shared" si="219"/>
        <v>0</v>
      </c>
      <c r="F582" s="132">
        <f t="shared" si="224"/>
        <v>0</v>
      </c>
      <c r="G582" s="132" t="str">
        <f t="shared" si="219"/>
        <v>Open market housing</v>
      </c>
      <c r="H582" s="132">
        <f t="shared" si="225"/>
        <v>896440000</v>
      </c>
      <c r="I582" s="132" t="str">
        <f t="shared" si="215"/>
        <v>New build</v>
      </c>
      <c r="J582" s="132">
        <f t="shared" si="226"/>
        <v>391930000</v>
      </c>
      <c r="K582" s="132">
        <f t="shared" si="216"/>
        <v>0</v>
      </c>
      <c r="L582" s="132">
        <f t="shared" si="227"/>
        <v>0</v>
      </c>
      <c r="M582" s="132">
        <f t="shared" si="220"/>
        <v>0</v>
      </c>
      <c r="N582" s="134">
        <f t="shared" si="228"/>
        <v>0</v>
      </c>
      <c r="O582" s="135">
        <f t="shared" si="229"/>
        <v>0</v>
      </c>
      <c r="P582" s="132" t="str">
        <f t="shared" si="217"/>
        <v/>
      </c>
      <c r="Q582" s="132" t="str">
        <f t="shared" ref="Q582:Q603" si="231">IF(INDEX(PlotData,MATCH($B582,PlotNumber,0),MATCH(Q$3,PlotTitles,0))=0,"",INDEX(PlotData,MATCH($B582,PlotNumber,0),MATCH(Q$3,PlotTitles,0)))</f>
        <v/>
      </c>
      <c r="R582" s="132" t="str">
        <f>IF(ISNUMBER(SEARCH("AHO",Import2[[#This Row],[Tenure]])),"AHO",Import2[[#This Row],[Tenure]])&amp;Import2[[#This Row],[Expected Physical Completion Year]]&amp;Import2[[#This Row],[Expected Physical Completion Month]]</f>
        <v>Open market housing</v>
      </c>
      <c r="S582" s="135">
        <f t="shared" si="230"/>
        <v>0</v>
      </c>
      <c r="T582" s="132" t="str">
        <f t="shared" si="221"/>
        <v/>
      </c>
      <c r="U582" s="132" t="str">
        <f t="shared" si="221"/>
        <v/>
      </c>
      <c r="V582" s="132" t="str">
        <f>IF(ISNUMBER(SEARCH("AHO",Import2[[#This Row],[Tenure]])),"AHO",Import2[[#This Row],[Tenure]])&amp;Import2[[#This Row],[Expected sale completion year]]&amp;Import2[[#This Row],[Expected sale completion month]]</f>
        <v>Open market housing</v>
      </c>
      <c r="W582" s="178">
        <f t="shared" si="218"/>
        <v>0</v>
      </c>
    </row>
    <row r="583" spans="1:23" ht="15" customHeight="1">
      <c r="A583" s="132">
        <f t="shared" si="222"/>
        <v>0</v>
      </c>
      <c r="B583" s="133">
        <v>580</v>
      </c>
      <c r="C583" s="132" t="str">
        <f t="shared" si="223"/>
        <v/>
      </c>
      <c r="D583" s="132">
        <f t="shared" si="219"/>
        <v>0</v>
      </c>
      <c r="E583" s="132">
        <f t="shared" si="219"/>
        <v>0</v>
      </c>
      <c r="F583" s="132">
        <f t="shared" si="224"/>
        <v>0</v>
      </c>
      <c r="G583" s="132" t="str">
        <f t="shared" si="219"/>
        <v>Open market housing</v>
      </c>
      <c r="H583" s="132">
        <f t="shared" si="225"/>
        <v>896440000</v>
      </c>
      <c r="I583" s="132" t="str">
        <f t="shared" si="215"/>
        <v>New build</v>
      </c>
      <c r="J583" s="132">
        <f t="shared" si="226"/>
        <v>391930000</v>
      </c>
      <c r="K583" s="132">
        <f t="shared" si="216"/>
        <v>0</v>
      </c>
      <c r="L583" s="132">
        <f t="shared" si="227"/>
        <v>0</v>
      </c>
      <c r="M583" s="132">
        <f t="shared" si="220"/>
        <v>0</v>
      </c>
      <c r="N583" s="134">
        <f t="shared" si="228"/>
        <v>0</v>
      </c>
      <c r="O583" s="135">
        <f t="shared" si="229"/>
        <v>0</v>
      </c>
      <c r="P583" s="132" t="str">
        <f t="shared" si="217"/>
        <v/>
      </c>
      <c r="Q583" s="132" t="str">
        <f t="shared" si="231"/>
        <v/>
      </c>
      <c r="R583" s="132" t="str">
        <f>IF(ISNUMBER(SEARCH("AHO",Import2[[#This Row],[Tenure]])),"AHO",Import2[[#This Row],[Tenure]])&amp;Import2[[#This Row],[Expected Physical Completion Year]]&amp;Import2[[#This Row],[Expected Physical Completion Month]]</f>
        <v>Open market housing</v>
      </c>
      <c r="S583" s="135">
        <f t="shared" si="230"/>
        <v>0</v>
      </c>
      <c r="T583" s="132" t="str">
        <f t="shared" si="221"/>
        <v/>
      </c>
      <c r="U583" s="132" t="str">
        <f t="shared" si="221"/>
        <v/>
      </c>
      <c r="V583" s="132" t="str">
        <f>IF(ISNUMBER(SEARCH("AHO",Import2[[#This Row],[Tenure]])),"AHO",Import2[[#This Row],[Tenure]])&amp;Import2[[#This Row],[Expected sale completion year]]&amp;Import2[[#This Row],[Expected sale completion month]]</f>
        <v>Open market housing</v>
      </c>
      <c r="W583" s="178">
        <f t="shared" si="218"/>
        <v>0</v>
      </c>
    </row>
    <row r="584" spans="1:23" ht="15" customHeight="1">
      <c r="A584" s="132">
        <f t="shared" si="222"/>
        <v>0</v>
      </c>
      <c r="B584" s="133">
        <v>581</v>
      </c>
      <c r="C584" s="132" t="str">
        <f t="shared" si="223"/>
        <v/>
      </c>
      <c r="D584" s="132">
        <f t="shared" ref="D584:G603" si="232">INDEX(PlotData,MATCH($B584,PlotNumber,0),MATCH(D$3,PlotTitles,0))</f>
        <v>0</v>
      </c>
      <c r="E584" s="132">
        <f t="shared" si="232"/>
        <v>0</v>
      </c>
      <c r="F584" s="132">
        <f t="shared" si="224"/>
        <v>0</v>
      </c>
      <c r="G584" s="132" t="str">
        <f t="shared" si="232"/>
        <v>Open market housing</v>
      </c>
      <c r="H584" s="132">
        <f t="shared" si="225"/>
        <v>896440000</v>
      </c>
      <c r="I584" s="132" t="str">
        <f t="shared" si="215"/>
        <v>New build</v>
      </c>
      <c r="J584" s="132">
        <f t="shared" si="226"/>
        <v>391930000</v>
      </c>
      <c r="K584" s="132">
        <f t="shared" si="216"/>
        <v>0</v>
      </c>
      <c r="L584" s="132">
        <f t="shared" si="227"/>
        <v>0</v>
      </c>
      <c r="M584" s="132">
        <f t="shared" ref="M584:M603" si="233">INDEX(PlotData,MATCH($B584,PlotNumber,0),MATCH(M$3,PlotTitles,0))</f>
        <v>0</v>
      </c>
      <c r="N584" s="134">
        <f t="shared" si="228"/>
        <v>0</v>
      </c>
      <c r="O584" s="135">
        <f t="shared" si="229"/>
        <v>0</v>
      </c>
      <c r="P584" s="132" t="str">
        <f t="shared" si="217"/>
        <v/>
      </c>
      <c r="Q584" s="132" t="str">
        <f t="shared" si="231"/>
        <v/>
      </c>
      <c r="R584" s="132" t="str">
        <f>IF(ISNUMBER(SEARCH("AHO",Import2[[#This Row],[Tenure]])),"AHO",Import2[[#This Row],[Tenure]])&amp;Import2[[#This Row],[Expected Physical Completion Year]]&amp;Import2[[#This Row],[Expected Physical Completion Month]]</f>
        <v>Open market housing</v>
      </c>
      <c r="S584" s="135">
        <f t="shared" si="230"/>
        <v>0</v>
      </c>
      <c r="T584" s="132" t="str">
        <f t="shared" ref="T584:U603" si="234">IF(INDEX(PlotData,MATCH($B584,PlotNumber,0),MATCH(T$3,PlotTitles,0))=0,"",INDEX(PlotData,MATCH($B584,PlotNumber,0),MATCH(T$3,PlotTitles,0)))</f>
        <v/>
      </c>
      <c r="U584" s="132" t="str">
        <f t="shared" si="234"/>
        <v/>
      </c>
      <c r="V584" s="132" t="str">
        <f>IF(ISNUMBER(SEARCH("AHO",Import2[[#This Row],[Tenure]])),"AHO",Import2[[#This Row],[Tenure]])&amp;Import2[[#This Row],[Expected sale completion year]]&amp;Import2[[#This Row],[Expected sale completion month]]</f>
        <v>Open market housing</v>
      </c>
      <c r="W584" s="178">
        <f t="shared" si="218"/>
        <v>0</v>
      </c>
    </row>
    <row r="585" spans="1:23" ht="15" customHeight="1">
      <c r="A585" s="132">
        <f t="shared" si="222"/>
        <v>0</v>
      </c>
      <c r="B585" s="133">
        <v>582</v>
      </c>
      <c r="C585" s="132" t="str">
        <f t="shared" si="223"/>
        <v/>
      </c>
      <c r="D585" s="132">
        <f t="shared" si="232"/>
        <v>0</v>
      </c>
      <c r="E585" s="132">
        <f t="shared" si="232"/>
        <v>0</v>
      </c>
      <c r="F585" s="132">
        <f t="shared" si="224"/>
        <v>0</v>
      </c>
      <c r="G585" s="132" t="str">
        <f t="shared" si="232"/>
        <v>Open market housing</v>
      </c>
      <c r="H585" s="132">
        <f t="shared" si="225"/>
        <v>896440000</v>
      </c>
      <c r="I585" s="132" t="str">
        <f t="shared" si="215"/>
        <v>New build</v>
      </c>
      <c r="J585" s="132">
        <f t="shared" si="226"/>
        <v>391930000</v>
      </c>
      <c r="K585" s="132">
        <f t="shared" si="216"/>
        <v>0</v>
      </c>
      <c r="L585" s="132">
        <f t="shared" si="227"/>
        <v>0</v>
      </c>
      <c r="M585" s="132">
        <f t="shared" si="233"/>
        <v>0</v>
      </c>
      <c r="N585" s="134">
        <f t="shared" si="228"/>
        <v>0</v>
      </c>
      <c r="O585" s="135">
        <f t="shared" si="229"/>
        <v>0</v>
      </c>
      <c r="P585" s="132" t="str">
        <f t="shared" si="217"/>
        <v/>
      </c>
      <c r="Q585" s="132" t="str">
        <f t="shared" si="231"/>
        <v/>
      </c>
      <c r="R585" s="132" t="str">
        <f>IF(ISNUMBER(SEARCH("AHO",Import2[[#This Row],[Tenure]])),"AHO",Import2[[#This Row],[Tenure]])&amp;Import2[[#This Row],[Expected Physical Completion Year]]&amp;Import2[[#This Row],[Expected Physical Completion Month]]</f>
        <v>Open market housing</v>
      </c>
      <c r="S585" s="135">
        <f t="shared" si="230"/>
        <v>0</v>
      </c>
      <c r="T585" s="132" t="str">
        <f t="shared" si="234"/>
        <v/>
      </c>
      <c r="U585" s="132" t="str">
        <f t="shared" si="234"/>
        <v/>
      </c>
      <c r="V585" s="132" t="str">
        <f>IF(ISNUMBER(SEARCH("AHO",Import2[[#This Row],[Tenure]])),"AHO",Import2[[#This Row],[Tenure]])&amp;Import2[[#This Row],[Expected sale completion year]]&amp;Import2[[#This Row],[Expected sale completion month]]</f>
        <v>Open market housing</v>
      </c>
      <c r="W585" s="178">
        <f t="shared" si="218"/>
        <v>0</v>
      </c>
    </row>
    <row r="586" spans="1:23" ht="15" customHeight="1">
      <c r="A586" s="132">
        <f t="shared" si="222"/>
        <v>0</v>
      </c>
      <c r="B586" s="133">
        <v>583</v>
      </c>
      <c r="C586" s="132" t="str">
        <f t="shared" si="223"/>
        <v/>
      </c>
      <c r="D586" s="132">
        <f t="shared" si="232"/>
        <v>0</v>
      </c>
      <c r="E586" s="132">
        <f t="shared" si="232"/>
        <v>0</v>
      </c>
      <c r="F586" s="132">
        <f t="shared" si="224"/>
        <v>0</v>
      </c>
      <c r="G586" s="132" t="str">
        <f t="shared" si="232"/>
        <v>Open market housing</v>
      </c>
      <c r="H586" s="132">
        <f t="shared" si="225"/>
        <v>896440000</v>
      </c>
      <c r="I586" s="132" t="str">
        <f t="shared" si="215"/>
        <v>New build</v>
      </c>
      <c r="J586" s="132">
        <f t="shared" si="226"/>
        <v>391930000</v>
      </c>
      <c r="K586" s="132">
        <f t="shared" si="216"/>
        <v>0</v>
      </c>
      <c r="L586" s="132">
        <f t="shared" si="227"/>
        <v>0</v>
      </c>
      <c r="M586" s="132">
        <f t="shared" si="233"/>
        <v>0</v>
      </c>
      <c r="N586" s="134">
        <f t="shared" si="228"/>
        <v>0</v>
      </c>
      <c r="O586" s="135">
        <f t="shared" si="229"/>
        <v>0</v>
      </c>
      <c r="P586" s="132" t="str">
        <f t="shared" si="217"/>
        <v/>
      </c>
      <c r="Q586" s="132" t="str">
        <f t="shared" si="231"/>
        <v/>
      </c>
      <c r="R586" s="132" t="str">
        <f>IF(ISNUMBER(SEARCH("AHO",Import2[[#This Row],[Tenure]])),"AHO",Import2[[#This Row],[Tenure]])&amp;Import2[[#This Row],[Expected Physical Completion Year]]&amp;Import2[[#This Row],[Expected Physical Completion Month]]</f>
        <v>Open market housing</v>
      </c>
      <c r="S586" s="135">
        <f t="shared" si="230"/>
        <v>0</v>
      </c>
      <c r="T586" s="132" t="str">
        <f t="shared" si="234"/>
        <v/>
      </c>
      <c r="U586" s="132" t="str">
        <f t="shared" si="234"/>
        <v/>
      </c>
      <c r="V586" s="132" t="str">
        <f>IF(ISNUMBER(SEARCH("AHO",Import2[[#This Row],[Tenure]])),"AHO",Import2[[#This Row],[Tenure]])&amp;Import2[[#This Row],[Expected sale completion year]]&amp;Import2[[#This Row],[Expected sale completion month]]</f>
        <v>Open market housing</v>
      </c>
      <c r="W586" s="178">
        <f t="shared" si="218"/>
        <v>0</v>
      </c>
    </row>
    <row r="587" spans="1:23" ht="15" customHeight="1">
      <c r="A587" s="132">
        <f t="shared" si="222"/>
        <v>0</v>
      </c>
      <c r="B587" s="133">
        <v>584</v>
      </c>
      <c r="C587" s="132" t="str">
        <f t="shared" si="223"/>
        <v/>
      </c>
      <c r="D587" s="132">
        <f t="shared" si="232"/>
        <v>0</v>
      </c>
      <c r="E587" s="132">
        <f t="shared" si="232"/>
        <v>0</v>
      </c>
      <c r="F587" s="132">
        <f t="shared" si="224"/>
        <v>0</v>
      </c>
      <c r="G587" s="132" t="str">
        <f t="shared" si="232"/>
        <v>Open market housing</v>
      </c>
      <c r="H587" s="132">
        <f t="shared" si="225"/>
        <v>896440000</v>
      </c>
      <c r="I587" s="132" t="str">
        <f t="shared" si="215"/>
        <v>New build</v>
      </c>
      <c r="J587" s="132">
        <f t="shared" si="226"/>
        <v>391930000</v>
      </c>
      <c r="K587" s="132">
        <f t="shared" si="216"/>
        <v>0</v>
      </c>
      <c r="L587" s="132">
        <f t="shared" si="227"/>
        <v>0</v>
      </c>
      <c r="M587" s="132">
        <f t="shared" si="233"/>
        <v>0</v>
      </c>
      <c r="N587" s="134">
        <f t="shared" si="228"/>
        <v>0</v>
      </c>
      <c r="O587" s="135">
        <f t="shared" si="229"/>
        <v>0</v>
      </c>
      <c r="P587" s="132" t="str">
        <f t="shared" si="217"/>
        <v/>
      </c>
      <c r="Q587" s="132" t="str">
        <f t="shared" si="231"/>
        <v/>
      </c>
      <c r="R587" s="132" t="str">
        <f>IF(ISNUMBER(SEARCH("AHO",Import2[[#This Row],[Tenure]])),"AHO",Import2[[#This Row],[Tenure]])&amp;Import2[[#This Row],[Expected Physical Completion Year]]&amp;Import2[[#This Row],[Expected Physical Completion Month]]</f>
        <v>Open market housing</v>
      </c>
      <c r="S587" s="135">
        <f t="shared" si="230"/>
        <v>0</v>
      </c>
      <c r="T587" s="132" t="str">
        <f t="shared" si="234"/>
        <v/>
      </c>
      <c r="U587" s="132" t="str">
        <f t="shared" si="234"/>
        <v/>
      </c>
      <c r="V587" s="132" t="str">
        <f>IF(ISNUMBER(SEARCH("AHO",Import2[[#This Row],[Tenure]])),"AHO",Import2[[#This Row],[Tenure]])&amp;Import2[[#This Row],[Expected sale completion year]]&amp;Import2[[#This Row],[Expected sale completion month]]</f>
        <v>Open market housing</v>
      </c>
      <c r="W587" s="178">
        <f t="shared" si="218"/>
        <v>0</v>
      </c>
    </row>
    <row r="588" spans="1:23" ht="15" customHeight="1">
      <c r="A588" s="132">
        <f t="shared" si="222"/>
        <v>0</v>
      </c>
      <c r="B588" s="133">
        <v>585</v>
      </c>
      <c r="C588" s="132" t="str">
        <f t="shared" si="223"/>
        <v/>
      </c>
      <c r="D588" s="132">
        <f t="shared" si="232"/>
        <v>0</v>
      </c>
      <c r="E588" s="132">
        <f t="shared" si="232"/>
        <v>0</v>
      </c>
      <c r="F588" s="132">
        <f t="shared" si="224"/>
        <v>0</v>
      </c>
      <c r="G588" s="132" t="str">
        <f t="shared" si="232"/>
        <v>Open market housing</v>
      </c>
      <c r="H588" s="132">
        <f t="shared" si="225"/>
        <v>896440000</v>
      </c>
      <c r="I588" s="132" t="str">
        <f t="shared" si="215"/>
        <v>New build</v>
      </c>
      <c r="J588" s="132">
        <f t="shared" si="226"/>
        <v>391930000</v>
      </c>
      <c r="K588" s="132">
        <f t="shared" si="216"/>
        <v>0</v>
      </c>
      <c r="L588" s="132">
        <f t="shared" si="227"/>
        <v>0</v>
      </c>
      <c r="M588" s="132">
        <f t="shared" si="233"/>
        <v>0</v>
      </c>
      <c r="N588" s="134">
        <f t="shared" si="228"/>
        <v>0</v>
      </c>
      <c r="O588" s="135">
        <f t="shared" si="229"/>
        <v>0</v>
      </c>
      <c r="P588" s="132" t="str">
        <f t="shared" si="217"/>
        <v/>
      </c>
      <c r="Q588" s="132" t="str">
        <f t="shared" si="231"/>
        <v/>
      </c>
      <c r="R588" s="132" t="str">
        <f>IF(ISNUMBER(SEARCH("AHO",Import2[[#This Row],[Tenure]])),"AHO",Import2[[#This Row],[Tenure]])&amp;Import2[[#This Row],[Expected Physical Completion Year]]&amp;Import2[[#This Row],[Expected Physical Completion Month]]</f>
        <v>Open market housing</v>
      </c>
      <c r="S588" s="135">
        <f t="shared" si="230"/>
        <v>0</v>
      </c>
      <c r="T588" s="132" t="str">
        <f t="shared" si="234"/>
        <v/>
      </c>
      <c r="U588" s="132" t="str">
        <f t="shared" si="234"/>
        <v/>
      </c>
      <c r="V588" s="132" t="str">
        <f>IF(ISNUMBER(SEARCH("AHO",Import2[[#This Row],[Tenure]])),"AHO",Import2[[#This Row],[Tenure]])&amp;Import2[[#This Row],[Expected sale completion year]]&amp;Import2[[#This Row],[Expected sale completion month]]</f>
        <v>Open market housing</v>
      </c>
      <c r="W588" s="178">
        <f t="shared" si="218"/>
        <v>0</v>
      </c>
    </row>
    <row r="589" spans="1:23" ht="15" customHeight="1">
      <c r="A589" s="132">
        <f t="shared" si="222"/>
        <v>0</v>
      </c>
      <c r="B589" s="133">
        <v>586</v>
      </c>
      <c r="C589" s="132" t="str">
        <f t="shared" si="223"/>
        <v/>
      </c>
      <c r="D589" s="132">
        <f t="shared" si="232"/>
        <v>0</v>
      </c>
      <c r="E589" s="132">
        <f t="shared" si="232"/>
        <v>0</v>
      </c>
      <c r="F589" s="132">
        <f t="shared" si="224"/>
        <v>0</v>
      </c>
      <c r="G589" s="132" t="str">
        <f t="shared" si="232"/>
        <v>Open market housing</v>
      </c>
      <c r="H589" s="132">
        <f t="shared" si="225"/>
        <v>896440000</v>
      </c>
      <c r="I589" s="132" t="str">
        <f t="shared" si="215"/>
        <v>New build</v>
      </c>
      <c r="J589" s="132">
        <f t="shared" si="226"/>
        <v>391930000</v>
      </c>
      <c r="K589" s="132">
        <f t="shared" si="216"/>
        <v>0</v>
      </c>
      <c r="L589" s="132">
        <f t="shared" si="227"/>
        <v>0</v>
      </c>
      <c r="M589" s="132">
        <f t="shared" si="233"/>
        <v>0</v>
      </c>
      <c r="N589" s="134">
        <f t="shared" si="228"/>
        <v>0</v>
      </c>
      <c r="O589" s="135">
        <f t="shared" si="229"/>
        <v>0</v>
      </c>
      <c r="P589" s="132" t="str">
        <f t="shared" si="217"/>
        <v/>
      </c>
      <c r="Q589" s="132" t="str">
        <f t="shared" si="231"/>
        <v/>
      </c>
      <c r="R589" s="132" t="str">
        <f>IF(ISNUMBER(SEARCH("AHO",Import2[[#This Row],[Tenure]])),"AHO",Import2[[#This Row],[Tenure]])&amp;Import2[[#This Row],[Expected Physical Completion Year]]&amp;Import2[[#This Row],[Expected Physical Completion Month]]</f>
        <v>Open market housing</v>
      </c>
      <c r="S589" s="135">
        <f t="shared" si="230"/>
        <v>0</v>
      </c>
      <c r="T589" s="132" t="str">
        <f t="shared" si="234"/>
        <v/>
      </c>
      <c r="U589" s="132" t="str">
        <f t="shared" si="234"/>
        <v/>
      </c>
      <c r="V589" s="132" t="str">
        <f>IF(ISNUMBER(SEARCH("AHO",Import2[[#This Row],[Tenure]])),"AHO",Import2[[#This Row],[Tenure]])&amp;Import2[[#This Row],[Expected sale completion year]]&amp;Import2[[#This Row],[Expected sale completion month]]</f>
        <v>Open market housing</v>
      </c>
      <c r="W589" s="178">
        <f t="shared" si="218"/>
        <v>0</v>
      </c>
    </row>
    <row r="590" spans="1:23" ht="15" customHeight="1">
      <c r="A590" s="132">
        <f t="shared" si="222"/>
        <v>0</v>
      </c>
      <c r="B590" s="133">
        <v>587</v>
      </c>
      <c r="C590" s="132" t="str">
        <f t="shared" si="223"/>
        <v/>
      </c>
      <c r="D590" s="132">
        <f t="shared" si="232"/>
        <v>0</v>
      </c>
      <c r="E590" s="132">
        <f t="shared" si="232"/>
        <v>0</v>
      </c>
      <c r="F590" s="132">
        <f t="shared" si="224"/>
        <v>0</v>
      </c>
      <c r="G590" s="132" t="str">
        <f t="shared" si="232"/>
        <v>Open market housing</v>
      </c>
      <c r="H590" s="132">
        <f t="shared" si="225"/>
        <v>896440000</v>
      </c>
      <c r="I590" s="132" t="str">
        <f t="shared" si="215"/>
        <v>New build</v>
      </c>
      <c r="J590" s="132">
        <f t="shared" si="226"/>
        <v>391930000</v>
      </c>
      <c r="K590" s="132">
        <f t="shared" si="216"/>
        <v>0</v>
      </c>
      <c r="L590" s="132">
        <f t="shared" si="227"/>
        <v>0</v>
      </c>
      <c r="M590" s="132">
        <f t="shared" si="233"/>
        <v>0</v>
      </c>
      <c r="N590" s="134">
        <f t="shared" si="228"/>
        <v>0</v>
      </c>
      <c r="O590" s="135">
        <f t="shared" si="229"/>
        <v>0</v>
      </c>
      <c r="P590" s="132" t="str">
        <f t="shared" si="217"/>
        <v/>
      </c>
      <c r="Q590" s="132" t="str">
        <f t="shared" si="231"/>
        <v/>
      </c>
      <c r="R590" s="132" t="str">
        <f>IF(ISNUMBER(SEARCH("AHO",Import2[[#This Row],[Tenure]])),"AHO",Import2[[#This Row],[Tenure]])&amp;Import2[[#This Row],[Expected Physical Completion Year]]&amp;Import2[[#This Row],[Expected Physical Completion Month]]</f>
        <v>Open market housing</v>
      </c>
      <c r="S590" s="135">
        <f t="shared" si="230"/>
        <v>0</v>
      </c>
      <c r="T590" s="132" t="str">
        <f t="shared" si="234"/>
        <v/>
      </c>
      <c r="U590" s="132" t="str">
        <f t="shared" si="234"/>
        <v/>
      </c>
      <c r="V590" s="132" t="str">
        <f>IF(ISNUMBER(SEARCH("AHO",Import2[[#This Row],[Tenure]])),"AHO",Import2[[#This Row],[Tenure]])&amp;Import2[[#This Row],[Expected sale completion year]]&amp;Import2[[#This Row],[Expected sale completion month]]</f>
        <v>Open market housing</v>
      </c>
      <c r="W590" s="178">
        <f t="shared" si="218"/>
        <v>0</v>
      </c>
    </row>
    <row r="591" spans="1:23" ht="15" customHeight="1">
      <c r="A591" s="132">
        <f t="shared" si="222"/>
        <v>0</v>
      </c>
      <c r="B591" s="133">
        <v>588</v>
      </c>
      <c r="C591" s="132" t="str">
        <f t="shared" si="223"/>
        <v/>
      </c>
      <c r="D591" s="132">
        <f t="shared" si="232"/>
        <v>0</v>
      </c>
      <c r="E591" s="132">
        <f t="shared" si="232"/>
        <v>0</v>
      </c>
      <c r="F591" s="132">
        <f t="shared" si="224"/>
        <v>0</v>
      </c>
      <c r="G591" s="132" t="str">
        <f t="shared" si="232"/>
        <v>Open market housing</v>
      </c>
      <c r="H591" s="132">
        <f t="shared" si="225"/>
        <v>896440000</v>
      </c>
      <c r="I591" s="132" t="str">
        <f t="shared" si="215"/>
        <v>New build</v>
      </c>
      <c r="J591" s="132">
        <f t="shared" si="226"/>
        <v>391930000</v>
      </c>
      <c r="K591" s="132">
        <f t="shared" si="216"/>
        <v>0</v>
      </c>
      <c r="L591" s="132">
        <f t="shared" si="227"/>
        <v>0</v>
      </c>
      <c r="M591" s="132">
        <f t="shared" si="233"/>
        <v>0</v>
      </c>
      <c r="N591" s="134">
        <f t="shared" si="228"/>
        <v>0</v>
      </c>
      <c r="O591" s="135">
        <f t="shared" si="229"/>
        <v>0</v>
      </c>
      <c r="P591" s="132" t="str">
        <f t="shared" si="217"/>
        <v/>
      </c>
      <c r="Q591" s="132" t="str">
        <f t="shared" si="231"/>
        <v/>
      </c>
      <c r="R591" s="132" t="str">
        <f>IF(ISNUMBER(SEARCH("AHO",Import2[[#This Row],[Tenure]])),"AHO",Import2[[#This Row],[Tenure]])&amp;Import2[[#This Row],[Expected Physical Completion Year]]&amp;Import2[[#This Row],[Expected Physical Completion Month]]</f>
        <v>Open market housing</v>
      </c>
      <c r="S591" s="135">
        <f t="shared" si="230"/>
        <v>0</v>
      </c>
      <c r="T591" s="132" t="str">
        <f t="shared" si="234"/>
        <v/>
      </c>
      <c r="U591" s="132" t="str">
        <f t="shared" si="234"/>
        <v/>
      </c>
      <c r="V591" s="132" t="str">
        <f>IF(ISNUMBER(SEARCH("AHO",Import2[[#This Row],[Tenure]])),"AHO",Import2[[#This Row],[Tenure]])&amp;Import2[[#This Row],[Expected sale completion year]]&amp;Import2[[#This Row],[Expected sale completion month]]</f>
        <v>Open market housing</v>
      </c>
      <c r="W591" s="178">
        <f t="shared" si="218"/>
        <v>0</v>
      </c>
    </row>
    <row r="592" spans="1:23" ht="15" customHeight="1">
      <c r="A592" s="132">
        <f t="shared" si="222"/>
        <v>0</v>
      </c>
      <c r="B592" s="133">
        <v>589</v>
      </c>
      <c r="C592" s="132" t="str">
        <f t="shared" si="223"/>
        <v/>
      </c>
      <c r="D592" s="132">
        <f t="shared" si="232"/>
        <v>0</v>
      </c>
      <c r="E592" s="132">
        <f t="shared" si="232"/>
        <v>0</v>
      </c>
      <c r="F592" s="132">
        <f t="shared" si="224"/>
        <v>0</v>
      </c>
      <c r="G592" s="132" t="str">
        <f t="shared" si="232"/>
        <v>Open market housing</v>
      </c>
      <c r="H592" s="132">
        <f t="shared" si="225"/>
        <v>896440000</v>
      </c>
      <c r="I592" s="132" t="str">
        <f t="shared" si="215"/>
        <v>New build</v>
      </c>
      <c r="J592" s="132">
        <f t="shared" si="226"/>
        <v>391930000</v>
      </c>
      <c r="K592" s="132">
        <f t="shared" si="216"/>
        <v>0</v>
      </c>
      <c r="L592" s="132">
        <f t="shared" si="227"/>
        <v>0</v>
      </c>
      <c r="M592" s="132">
        <f t="shared" si="233"/>
        <v>0</v>
      </c>
      <c r="N592" s="134">
        <f t="shared" si="228"/>
        <v>0</v>
      </c>
      <c r="O592" s="135">
        <f t="shared" si="229"/>
        <v>0</v>
      </c>
      <c r="P592" s="132" t="str">
        <f t="shared" si="217"/>
        <v/>
      </c>
      <c r="Q592" s="132" t="str">
        <f t="shared" si="231"/>
        <v/>
      </c>
      <c r="R592" s="132" t="str">
        <f>IF(ISNUMBER(SEARCH("AHO",Import2[[#This Row],[Tenure]])),"AHO",Import2[[#This Row],[Tenure]])&amp;Import2[[#This Row],[Expected Physical Completion Year]]&amp;Import2[[#This Row],[Expected Physical Completion Month]]</f>
        <v>Open market housing</v>
      </c>
      <c r="S592" s="135">
        <f t="shared" si="230"/>
        <v>0</v>
      </c>
      <c r="T592" s="132" t="str">
        <f t="shared" si="234"/>
        <v/>
      </c>
      <c r="U592" s="132" t="str">
        <f t="shared" si="234"/>
        <v/>
      </c>
      <c r="V592" s="132" t="str">
        <f>IF(ISNUMBER(SEARCH("AHO",Import2[[#This Row],[Tenure]])),"AHO",Import2[[#This Row],[Tenure]])&amp;Import2[[#This Row],[Expected sale completion year]]&amp;Import2[[#This Row],[Expected sale completion month]]</f>
        <v>Open market housing</v>
      </c>
      <c r="W592" s="178">
        <f t="shared" si="218"/>
        <v>0</v>
      </c>
    </row>
    <row r="593" spans="1:23" ht="15" customHeight="1">
      <c r="A593" s="132">
        <f t="shared" si="222"/>
        <v>0</v>
      </c>
      <c r="B593" s="133">
        <v>590</v>
      </c>
      <c r="C593" s="132" t="str">
        <f t="shared" si="223"/>
        <v/>
      </c>
      <c r="D593" s="132">
        <f t="shared" si="232"/>
        <v>0</v>
      </c>
      <c r="E593" s="132">
        <f t="shared" si="232"/>
        <v>0</v>
      </c>
      <c r="F593" s="132">
        <f t="shared" si="224"/>
        <v>0</v>
      </c>
      <c r="G593" s="132" t="str">
        <f t="shared" si="232"/>
        <v>Open market housing</v>
      </c>
      <c r="H593" s="132">
        <f t="shared" si="225"/>
        <v>896440000</v>
      </c>
      <c r="I593" s="132" t="str">
        <f t="shared" si="215"/>
        <v>New build</v>
      </c>
      <c r="J593" s="132">
        <f t="shared" si="226"/>
        <v>391930000</v>
      </c>
      <c r="K593" s="132">
        <f t="shared" si="216"/>
        <v>0</v>
      </c>
      <c r="L593" s="132">
        <f t="shared" si="227"/>
        <v>0</v>
      </c>
      <c r="M593" s="132">
        <f t="shared" si="233"/>
        <v>0</v>
      </c>
      <c r="N593" s="134">
        <f t="shared" si="228"/>
        <v>0</v>
      </c>
      <c r="O593" s="135">
        <f t="shared" si="229"/>
        <v>0</v>
      </c>
      <c r="P593" s="132" t="str">
        <f t="shared" si="217"/>
        <v/>
      </c>
      <c r="Q593" s="132" t="str">
        <f t="shared" si="231"/>
        <v/>
      </c>
      <c r="R593" s="132" t="str">
        <f>IF(ISNUMBER(SEARCH("AHO",Import2[[#This Row],[Tenure]])),"AHO",Import2[[#This Row],[Tenure]])&amp;Import2[[#This Row],[Expected Physical Completion Year]]&amp;Import2[[#This Row],[Expected Physical Completion Month]]</f>
        <v>Open market housing</v>
      </c>
      <c r="S593" s="135">
        <f t="shared" si="230"/>
        <v>0</v>
      </c>
      <c r="T593" s="132" t="str">
        <f t="shared" si="234"/>
        <v/>
      </c>
      <c r="U593" s="132" t="str">
        <f t="shared" si="234"/>
        <v/>
      </c>
      <c r="V593" s="132" t="str">
        <f>IF(ISNUMBER(SEARCH("AHO",Import2[[#This Row],[Tenure]])),"AHO",Import2[[#This Row],[Tenure]])&amp;Import2[[#This Row],[Expected sale completion year]]&amp;Import2[[#This Row],[Expected sale completion month]]</f>
        <v>Open market housing</v>
      </c>
      <c r="W593" s="178">
        <f t="shared" si="218"/>
        <v>0</v>
      </c>
    </row>
    <row r="594" spans="1:23" ht="15" customHeight="1">
      <c r="A594" s="132">
        <f t="shared" si="222"/>
        <v>0</v>
      </c>
      <c r="B594" s="133">
        <v>591</v>
      </c>
      <c r="C594" s="132" t="str">
        <f t="shared" si="223"/>
        <v/>
      </c>
      <c r="D594" s="132">
        <f t="shared" si="232"/>
        <v>0</v>
      </c>
      <c r="E594" s="132">
        <f t="shared" si="232"/>
        <v>0</v>
      </c>
      <c r="F594" s="132">
        <f t="shared" si="224"/>
        <v>0</v>
      </c>
      <c r="G594" s="132" t="str">
        <f t="shared" si="232"/>
        <v>Open market housing</v>
      </c>
      <c r="H594" s="132">
        <f t="shared" si="225"/>
        <v>896440000</v>
      </c>
      <c r="I594" s="132" t="str">
        <f t="shared" si="215"/>
        <v>New build</v>
      </c>
      <c r="J594" s="132">
        <f t="shared" si="226"/>
        <v>391930000</v>
      </c>
      <c r="K594" s="132">
        <f t="shared" si="216"/>
        <v>0</v>
      </c>
      <c r="L594" s="132">
        <f t="shared" si="227"/>
        <v>0</v>
      </c>
      <c r="M594" s="132">
        <f t="shared" si="233"/>
        <v>0</v>
      </c>
      <c r="N594" s="134">
        <f t="shared" si="228"/>
        <v>0</v>
      </c>
      <c r="O594" s="135">
        <f t="shared" si="229"/>
        <v>0</v>
      </c>
      <c r="P594" s="132" t="str">
        <f t="shared" si="217"/>
        <v/>
      </c>
      <c r="Q594" s="132" t="str">
        <f t="shared" si="231"/>
        <v/>
      </c>
      <c r="R594" s="132" t="str">
        <f>IF(ISNUMBER(SEARCH("AHO",Import2[[#This Row],[Tenure]])),"AHO",Import2[[#This Row],[Tenure]])&amp;Import2[[#This Row],[Expected Physical Completion Year]]&amp;Import2[[#This Row],[Expected Physical Completion Month]]</f>
        <v>Open market housing</v>
      </c>
      <c r="S594" s="135">
        <f t="shared" si="230"/>
        <v>0</v>
      </c>
      <c r="T594" s="132" t="str">
        <f t="shared" si="234"/>
        <v/>
      </c>
      <c r="U594" s="132" t="str">
        <f t="shared" si="234"/>
        <v/>
      </c>
      <c r="V594" s="132" t="str">
        <f>IF(ISNUMBER(SEARCH("AHO",Import2[[#This Row],[Tenure]])),"AHO",Import2[[#This Row],[Tenure]])&amp;Import2[[#This Row],[Expected sale completion year]]&amp;Import2[[#This Row],[Expected sale completion month]]</f>
        <v>Open market housing</v>
      </c>
      <c r="W594" s="178">
        <f t="shared" si="218"/>
        <v>0</v>
      </c>
    </row>
    <row r="595" spans="1:23" ht="15" customHeight="1">
      <c r="A595" s="132">
        <f t="shared" si="222"/>
        <v>0</v>
      </c>
      <c r="B595" s="133">
        <v>592</v>
      </c>
      <c r="C595" s="132" t="str">
        <f t="shared" si="223"/>
        <v/>
      </c>
      <c r="D595" s="132">
        <f t="shared" si="232"/>
        <v>0</v>
      </c>
      <c r="E595" s="132">
        <f t="shared" si="232"/>
        <v>0</v>
      </c>
      <c r="F595" s="132">
        <f t="shared" si="224"/>
        <v>0</v>
      </c>
      <c r="G595" s="132" t="str">
        <f t="shared" si="232"/>
        <v>Open market housing</v>
      </c>
      <c r="H595" s="132">
        <f t="shared" si="225"/>
        <v>896440000</v>
      </c>
      <c r="I595" s="132" t="str">
        <f t="shared" si="215"/>
        <v>New build</v>
      </c>
      <c r="J595" s="132">
        <f t="shared" si="226"/>
        <v>391930000</v>
      </c>
      <c r="K595" s="132">
        <f t="shared" si="216"/>
        <v>0</v>
      </c>
      <c r="L595" s="132">
        <f t="shared" si="227"/>
        <v>0</v>
      </c>
      <c r="M595" s="132">
        <f t="shared" si="233"/>
        <v>0</v>
      </c>
      <c r="N595" s="134">
        <f t="shared" si="228"/>
        <v>0</v>
      </c>
      <c r="O595" s="135">
        <f t="shared" si="229"/>
        <v>0</v>
      </c>
      <c r="P595" s="132" t="str">
        <f t="shared" si="217"/>
        <v/>
      </c>
      <c r="Q595" s="132" t="str">
        <f t="shared" si="231"/>
        <v/>
      </c>
      <c r="R595" s="132" t="str">
        <f>IF(ISNUMBER(SEARCH("AHO",Import2[[#This Row],[Tenure]])),"AHO",Import2[[#This Row],[Tenure]])&amp;Import2[[#This Row],[Expected Physical Completion Year]]&amp;Import2[[#This Row],[Expected Physical Completion Month]]</f>
        <v>Open market housing</v>
      </c>
      <c r="S595" s="135">
        <f t="shared" si="230"/>
        <v>0</v>
      </c>
      <c r="T595" s="132" t="str">
        <f t="shared" si="234"/>
        <v/>
      </c>
      <c r="U595" s="132" t="str">
        <f t="shared" si="234"/>
        <v/>
      </c>
      <c r="V595" s="132" t="str">
        <f>IF(ISNUMBER(SEARCH("AHO",Import2[[#This Row],[Tenure]])),"AHO",Import2[[#This Row],[Tenure]])&amp;Import2[[#This Row],[Expected sale completion year]]&amp;Import2[[#This Row],[Expected sale completion month]]</f>
        <v>Open market housing</v>
      </c>
      <c r="W595" s="178">
        <f t="shared" si="218"/>
        <v>0</v>
      </c>
    </row>
    <row r="596" spans="1:23" ht="15" customHeight="1">
      <c r="A596" s="132">
        <f t="shared" si="222"/>
        <v>0</v>
      </c>
      <c r="B596" s="133">
        <v>593</v>
      </c>
      <c r="C596" s="132" t="str">
        <f t="shared" si="223"/>
        <v/>
      </c>
      <c r="D596" s="132">
        <f t="shared" si="232"/>
        <v>0</v>
      </c>
      <c r="E596" s="132">
        <f t="shared" si="232"/>
        <v>0</v>
      </c>
      <c r="F596" s="132">
        <f t="shared" si="224"/>
        <v>0</v>
      </c>
      <c r="G596" s="132" t="str">
        <f t="shared" si="232"/>
        <v>Open market housing</v>
      </c>
      <c r="H596" s="132">
        <f t="shared" si="225"/>
        <v>896440000</v>
      </c>
      <c r="I596" s="132" t="str">
        <f t="shared" si="215"/>
        <v>New build</v>
      </c>
      <c r="J596" s="132">
        <f t="shared" si="226"/>
        <v>391930000</v>
      </c>
      <c r="K596" s="132">
        <f t="shared" si="216"/>
        <v>0</v>
      </c>
      <c r="L596" s="132">
        <f t="shared" si="227"/>
        <v>0</v>
      </c>
      <c r="M596" s="132">
        <f t="shared" si="233"/>
        <v>0</v>
      </c>
      <c r="N596" s="134">
        <f t="shared" si="228"/>
        <v>0</v>
      </c>
      <c r="O596" s="135">
        <f t="shared" si="229"/>
        <v>0</v>
      </c>
      <c r="P596" s="132" t="str">
        <f t="shared" si="217"/>
        <v/>
      </c>
      <c r="Q596" s="132" t="str">
        <f t="shared" si="231"/>
        <v/>
      </c>
      <c r="R596" s="132" t="str">
        <f>IF(ISNUMBER(SEARCH("AHO",Import2[[#This Row],[Tenure]])),"AHO",Import2[[#This Row],[Tenure]])&amp;Import2[[#This Row],[Expected Physical Completion Year]]&amp;Import2[[#This Row],[Expected Physical Completion Month]]</f>
        <v>Open market housing</v>
      </c>
      <c r="S596" s="135">
        <f t="shared" si="230"/>
        <v>0</v>
      </c>
      <c r="T596" s="132" t="str">
        <f t="shared" si="234"/>
        <v/>
      </c>
      <c r="U596" s="132" t="str">
        <f t="shared" si="234"/>
        <v/>
      </c>
      <c r="V596" s="132" t="str">
        <f>IF(ISNUMBER(SEARCH("AHO",Import2[[#This Row],[Tenure]])),"AHO",Import2[[#This Row],[Tenure]])&amp;Import2[[#This Row],[Expected sale completion year]]&amp;Import2[[#This Row],[Expected sale completion month]]</f>
        <v>Open market housing</v>
      </c>
      <c r="W596" s="178">
        <f t="shared" si="218"/>
        <v>0</v>
      </c>
    </row>
    <row r="597" spans="1:23" ht="15" customHeight="1">
      <c r="A597" s="132">
        <f t="shared" si="222"/>
        <v>0</v>
      </c>
      <c r="B597" s="133">
        <v>594</v>
      </c>
      <c r="C597" s="132" t="str">
        <f t="shared" si="223"/>
        <v/>
      </c>
      <c r="D597" s="132">
        <f t="shared" si="232"/>
        <v>0</v>
      </c>
      <c r="E597" s="132">
        <f t="shared" si="232"/>
        <v>0</v>
      </c>
      <c r="F597" s="132">
        <f t="shared" si="224"/>
        <v>0</v>
      </c>
      <c r="G597" s="132" t="str">
        <f t="shared" si="232"/>
        <v>Open market housing</v>
      </c>
      <c r="H597" s="132">
        <f t="shared" si="225"/>
        <v>896440000</v>
      </c>
      <c r="I597" s="132" t="str">
        <f t="shared" si="215"/>
        <v>New build</v>
      </c>
      <c r="J597" s="132">
        <f t="shared" si="226"/>
        <v>391930000</v>
      </c>
      <c r="K597" s="132">
        <f t="shared" si="216"/>
        <v>0</v>
      </c>
      <c r="L597" s="132">
        <f t="shared" si="227"/>
        <v>0</v>
      </c>
      <c r="M597" s="132">
        <f t="shared" si="233"/>
        <v>0</v>
      </c>
      <c r="N597" s="134">
        <f t="shared" si="228"/>
        <v>0</v>
      </c>
      <c r="O597" s="135">
        <f t="shared" si="229"/>
        <v>0</v>
      </c>
      <c r="P597" s="132" t="str">
        <f t="shared" si="217"/>
        <v/>
      </c>
      <c r="Q597" s="132" t="str">
        <f t="shared" si="231"/>
        <v/>
      </c>
      <c r="R597" s="132" t="str">
        <f>IF(ISNUMBER(SEARCH("AHO",Import2[[#This Row],[Tenure]])),"AHO",Import2[[#This Row],[Tenure]])&amp;Import2[[#This Row],[Expected Physical Completion Year]]&amp;Import2[[#This Row],[Expected Physical Completion Month]]</f>
        <v>Open market housing</v>
      </c>
      <c r="S597" s="135">
        <f t="shared" si="230"/>
        <v>0</v>
      </c>
      <c r="T597" s="132" t="str">
        <f t="shared" si="234"/>
        <v/>
      </c>
      <c r="U597" s="132" t="str">
        <f t="shared" si="234"/>
        <v/>
      </c>
      <c r="V597" s="132" t="str">
        <f>IF(ISNUMBER(SEARCH("AHO",Import2[[#This Row],[Tenure]])),"AHO",Import2[[#This Row],[Tenure]])&amp;Import2[[#This Row],[Expected sale completion year]]&amp;Import2[[#This Row],[Expected sale completion month]]</f>
        <v>Open market housing</v>
      </c>
      <c r="W597" s="178">
        <f t="shared" si="218"/>
        <v>0</v>
      </c>
    </row>
    <row r="598" spans="1:23" ht="15" customHeight="1">
      <c r="A598" s="132">
        <f t="shared" si="222"/>
        <v>0</v>
      </c>
      <c r="B598" s="133">
        <v>595</v>
      </c>
      <c r="C598" s="132" t="str">
        <f t="shared" si="223"/>
        <v/>
      </c>
      <c r="D598" s="132">
        <f t="shared" si="232"/>
        <v>0</v>
      </c>
      <c r="E598" s="132">
        <f t="shared" si="232"/>
        <v>0</v>
      </c>
      <c r="F598" s="132">
        <f t="shared" si="224"/>
        <v>0</v>
      </c>
      <c r="G598" s="132" t="str">
        <f t="shared" si="232"/>
        <v>Open market housing</v>
      </c>
      <c r="H598" s="132">
        <f t="shared" si="225"/>
        <v>896440000</v>
      </c>
      <c r="I598" s="132" t="str">
        <f t="shared" si="215"/>
        <v>New build</v>
      </c>
      <c r="J598" s="132">
        <f t="shared" si="226"/>
        <v>391930000</v>
      </c>
      <c r="K598" s="132">
        <f t="shared" si="216"/>
        <v>0</v>
      </c>
      <c r="L598" s="132">
        <f t="shared" si="227"/>
        <v>0</v>
      </c>
      <c r="M598" s="132">
        <f t="shared" si="233"/>
        <v>0</v>
      </c>
      <c r="N598" s="134">
        <f t="shared" si="228"/>
        <v>0</v>
      </c>
      <c r="O598" s="135">
        <f t="shared" si="229"/>
        <v>0</v>
      </c>
      <c r="P598" s="132" t="str">
        <f t="shared" si="217"/>
        <v/>
      </c>
      <c r="Q598" s="132" t="str">
        <f t="shared" si="231"/>
        <v/>
      </c>
      <c r="R598" s="132" t="str">
        <f>IF(ISNUMBER(SEARCH("AHO",Import2[[#This Row],[Tenure]])),"AHO",Import2[[#This Row],[Tenure]])&amp;Import2[[#This Row],[Expected Physical Completion Year]]&amp;Import2[[#This Row],[Expected Physical Completion Month]]</f>
        <v>Open market housing</v>
      </c>
      <c r="S598" s="135">
        <f t="shared" si="230"/>
        <v>0</v>
      </c>
      <c r="T598" s="132" t="str">
        <f t="shared" si="234"/>
        <v/>
      </c>
      <c r="U598" s="132" t="str">
        <f t="shared" si="234"/>
        <v/>
      </c>
      <c r="V598" s="132" t="str">
        <f>IF(ISNUMBER(SEARCH("AHO",Import2[[#This Row],[Tenure]])),"AHO",Import2[[#This Row],[Tenure]])&amp;Import2[[#This Row],[Expected sale completion year]]&amp;Import2[[#This Row],[Expected sale completion month]]</f>
        <v>Open market housing</v>
      </c>
      <c r="W598" s="178">
        <f t="shared" si="218"/>
        <v>0</v>
      </c>
    </row>
    <row r="599" spans="1:23" ht="15" customHeight="1">
      <c r="A599" s="132">
        <f t="shared" si="222"/>
        <v>0</v>
      </c>
      <c r="B599" s="133">
        <v>596</v>
      </c>
      <c r="C599" s="132" t="str">
        <f t="shared" si="223"/>
        <v/>
      </c>
      <c r="D599" s="132">
        <f t="shared" si="232"/>
        <v>0</v>
      </c>
      <c r="E599" s="132">
        <f t="shared" si="232"/>
        <v>0</v>
      </c>
      <c r="F599" s="132">
        <f t="shared" si="224"/>
        <v>0</v>
      </c>
      <c r="G599" s="132" t="str">
        <f t="shared" si="232"/>
        <v>Open market housing</v>
      </c>
      <c r="H599" s="132">
        <f t="shared" si="225"/>
        <v>896440000</v>
      </c>
      <c r="I599" s="132" t="str">
        <f t="shared" si="215"/>
        <v>New build</v>
      </c>
      <c r="J599" s="132">
        <f t="shared" si="226"/>
        <v>391930000</v>
      </c>
      <c r="K599" s="132">
        <f t="shared" si="216"/>
        <v>0</v>
      </c>
      <c r="L599" s="132">
        <f t="shared" si="227"/>
        <v>0</v>
      </c>
      <c r="M599" s="132">
        <f t="shared" si="233"/>
        <v>0</v>
      </c>
      <c r="N599" s="134">
        <f t="shared" si="228"/>
        <v>0</v>
      </c>
      <c r="O599" s="135">
        <f t="shared" si="229"/>
        <v>0</v>
      </c>
      <c r="P599" s="132" t="str">
        <f t="shared" si="217"/>
        <v/>
      </c>
      <c r="Q599" s="132" t="str">
        <f t="shared" si="231"/>
        <v/>
      </c>
      <c r="R599" s="132" t="str">
        <f>IF(ISNUMBER(SEARCH("AHO",Import2[[#This Row],[Tenure]])),"AHO",Import2[[#This Row],[Tenure]])&amp;Import2[[#This Row],[Expected Physical Completion Year]]&amp;Import2[[#This Row],[Expected Physical Completion Month]]</f>
        <v>Open market housing</v>
      </c>
      <c r="S599" s="135">
        <f t="shared" si="230"/>
        <v>0</v>
      </c>
      <c r="T599" s="132" t="str">
        <f t="shared" si="234"/>
        <v/>
      </c>
      <c r="U599" s="132" t="str">
        <f t="shared" si="234"/>
        <v/>
      </c>
      <c r="V599" s="132" t="str">
        <f>IF(ISNUMBER(SEARCH("AHO",Import2[[#This Row],[Tenure]])),"AHO",Import2[[#This Row],[Tenure]])&amp;Import2[[#This Row],[Expected sale completion year]]&amp;Import2[[#This Row],[Expected sale completion month]]</f>
        <v>Open market housing</v>
      </c>
      <c r="W599" s="178">
        <f t="shared" si="218"/>
        <v>0</v>
      </c>
    </row>
    <row r="600" spans="1:23" ht="15" customHeight="1">
      <c r="A600" s="132">
        <f t="shared" si="222"/>
        <v>0</v>
      </c>
      <c r="B600" s="133">
        <v>597</v>
      </c>
      <c r="C600" s="132" t="str">
        <f t="shared" si="223"/>
        <v/>
      </c>
      <c r="D600" s="132">
        <f t="shared" si="232"/>
        <v>0</v>
      </c>
      <c r="E600" s="132">
        <f t="shared" si="232"/>
        <v>0</v>
      </c>
      <c r="F600" s="132">
        <f t="shared" si="224"/>
        <v>0</v>
      </c>
      <c r="G600" s="132" t="str">
        <f t="shared" si="232"/>
        <v>Open market housing</v>
      </c>
      <c r="H600" s="132">
        <f t="shared" si="225"/>
        <v>896440000</v>
      </c>
      <c r="I600" s="132" t="str">
        <f t="shared" si="215"/>
        <v>New build</v>
      </c>
      <c r="J600" s="132">
        <f t="shared" si="226"/>
        <v>391930000</v>
      </c>
      <c r="K600" s="132">
        <f t="shared" si="216"/>
        <v>0</v>
      </c>
      <c r="L600" s="132">
        <f t="shared" si="227"/>
        <v>0</v>
      </c>
      <c r="M600" s="132">
        <f t="shared" si="233"/>
        <v>0</v>
      </c>
      <c r="N600" s="134">
        <f t="shared" si="228"/>
        <v>0</v>
      </c>
      <c r="O600" s="135">
        <f t="shared" si="229"/>
        <v>0</v>
      </c>
      <c r="P600" s="132" t="str">
        <f t="shared" si="217"/>
        <v/>
      </c>
      <c r="Q600" s="132" t="str">
        <f t="shared" si="231"/>
        <v/>
      </c>
      <c r="R600" s="132" t="str">
        <f>IF(ISNUMBER(SEARCH("AHO",Import2[[#This Row],[Tenure]])),"AHO",Import2[[#This Row],[Tenure]])&amp;Import2[[#This Row],[Expected Physical Completion Year]]&amp;Import2[[#This Row],[Expected Physical Completion Month]]</f>
        <v>Open market housing</v>
      </c>
      <c r="S600" s="135">
        <f t="shared" si="230"/>
        <v>0</v>
      </c>
      <c r="T600" s="132" t="str">
        <f t="shared" si="234"/>
        <v/>
      </c>
      <c r="U600" s="132" t="str">
        <f t="shared" si="234"/>
        <v/>
      </c>
      <c r="V600" s="132" t="str">
        <f>IF(ISNUMBER(SEARCH("AHO",Import2[[#This Row],[Tenure]])),"AHO",Import2[[#This Row],[Tenure]])&amp;Import2[[#This Row],[Expected sale completion year]]&amp;Import2[[#This Row],[Expected sale completion month]]</f>
        <v>Open market housing</v>
      </c>
      <c r="W600" s="178">
        <f t="shared" si="218"/>
        <v>0</v>
      </c>
    </row>
    <row r="601" spans="1:23" ht="15" customHeight="1">
      <c r="A601" s="132">
        <f t="shared" si="222"/>
        <v>0</v>
      </c>
      <c r="B601" s="133">
        <v>598</v>
      </c>
      <c r="C601" s="132" t="str">
        <f t="shared" si="223"/>
        <v/>
      </c>
      <c r="D601" s="132">
        <f t="shared" si="232"/>
        <v>0</v>
      </c>
      <c r="E601" s="132">
        <f t="shared" si="232"/>
        <v>0</v>
      </c>
      <c r="F601" s="132">
        <f t="shared" si="224"/>
        <v>0</v>
      </c>
      <c r="G601" s="132" t="str">
        <f t="shared" si="232"/>
        <v>Open market housing</v>
      </c>
      <c r="H601" s="132">
        <f t="shared" si="225"/>
        <v>896440000</v>
      </c>
      <c r="I601" s="132" t="str">
        <f t="shared" si="215"/>
        <v>New build</v>
      </c>
      <c r="J601" s="132">
        <f t="shared" si="226"/>
        <v>391930000</v>
      </c>
      <c r="K601" s="132">
        <f t="shared" si="216"/>
        <v>0</v>
      </c>
      <c r="L601" s="132">
        <f t="shared" si="227"/>
        <v>0</v>
      </c>
      <c r="M601" s="132">
        <f t="shared" si="233"/>
        <v>0</v>
      </c>
      <c r="N601" s="134">
        <f t="shared" si="228"/>
        <v>0</v>
      </c>
      <c r="O601" s="135">
        <f t="shared" si="229"/>
        <v>0</v>
      </c>
      <c r="P601" s="132" t="str">
        <f t="shared" si="217"/>
        <v/>
      </c>
      <c r="Q601" s="132" t="str">
        <f t="shared" si="231"/>
        <v/>
      </c>
      <c r="R601" s="132" t="str">
        <f>IF(ISNUMBER(SEARCH("AHO",Import2[[#This Row],[Tenure]])),"AHO",Import2[[#This Row],[Tenure]])&amp;Import2[[#This Row],[Expected Physical Completion Year]]&amp;Import2[[#This Row],[Expected Physical Completion Month]]</f>
        <v>Open market housing</v>
      </c>
      <c r="S601" s="135">
        <f t="shared" si="230"/>
        <v>0</v>
      </c>
      <c r="T601" s="132" t="str">
        <f t="shared" si="234"/>
        <v/>
      </c>
      <c r="U601" s="132" t="str">
        <f t="shared" si="234"/>
        <v/>
      </c>
      <c r="V601" s="132" t="str">
        <f>IF(ISNUMBER(SEARCH("AHO",Import2[[#This Row],[Tenure]])),"AHO",Import2[[#This Row],[Tenure]])&amp;Import2[[#This Row],[Expected sale completion year]]&amp;Import2[[#This Row],[Expected sale completion month]]</f>
        <v>Open market housing</v>
      </c>
      <c r="W601" s="178">
        <f t="shared" si="218"/>
        <v>0</v>
      </c>
    </row>
    <row r="602" spans="1:23" ht="15" customHeight="1">
      <c r="A602" s="132">
        <f t="shared" si="222"/>
        <v>0</v>
      </c>
      <c r="B602" s="133">
        <v>599</v>
      </c>
      <c r="C602" s="132" t="str">
        <f t="shared" si="223"/>
        <v/>
      </c>
      <c r="D602" s="132">
        <f t="shared" si="232"/>
        <v>0</v>
      </c>
      <c r="E602" s="132">
        <f t="shared" si="232"/>
        <v>0</v>
      </c>
      <c r="F602" s="132">
        <f t="shared" si="224"/>
        <v>0</v>
      </c>
      <c r="G602" s="132" t="str">
        <f t="shared" si="232"/>
        <v>Open market housing</v>
      </c>
      <c r="H602" s="132">
        <f t="shared" si="225"/>
        <v>896440000</v>
      </c>
      <c r="I602" s="132" t="str">
        <f t="shared" si="215"/>
        <v>New build</v>
      </c>
      <c r="J602" s="132">
        <f t="shared" si="226"/>
        <v>391930000</v>
      </c>
      <c r="K602" s="132">
        <f t="shared" si="216"/>
        <v>0</v>
      </c>
      <c r="L602" s="132">
        <f t="shared" si="227"/>
        <v>0</v>
      </c>
      <c r="M602" s="132">
        <f t="shared" si="233"/>
        <v>0</v>
      </c>
      <c r="N602" s="134">
        <f t="shared" si="228"/>
        <v>0</v>
      </c>
      <c r="O602" s="135">
        <f t="shared" si="229"/>
        <v>0</v>
      </c>
      <c r="P602" s="132" t="str">
        <f t="shared" si="217"/>
        <v/>
      </c>
      <c r="Q602" s="132" t="str">
        <f t="shared" si="231"/>
        <v/>
      </c>
      <c r="R602" s="132" t="str">
        <f>IF(ISNUMBER(SEARCH("AHO",Import2[[#This Row],[Tenure]])),"AHO",Import2[[#This Row],[Tenure]])&amp;Import2[[#This Row],[Expected Physical Completion Year]]&amp;Import2[[#This Row],[Expected Physical Completion Month]]</f>
        <v>Open market housing</v>
      </c>
      <c r="S602" s="135">
        <f t="shared" si="230"/>
        <v>0</v>
      </c>
      <c r="T602" s="132" t="str">
        <f t="shared" si="234"/>
        <v/>
      </c>
      <c r="U602" s="132" t="str">
        <f t="shared" si="234"/>
        <v/>
      </c>
      <c r="V602" s="132" t="str">
        <f>IF(ISNUMBER(SEARCH("AHO",Import2[[#This Row],[Tenure]])),"AHO",Import2[[#This Row],[Tenure]])&amp;Import2[[#This Row],[Expected sale completion year]]&amp;Import2[[#This Row],[Expected sale completion month]]</f>
        <v>Open market housing</v>
      </c>
      <c r="W602" s="178">
        <f t="shared" si="218"/>
        <v>0</v>
      </c>
    </row>
    <row r="603" spans="1:23" ht="15" customHeight="1">
      <c r="A603" s="132">
        <f t="shared" si="222"/>
        <v>0</v>
      </c>
      <c r="B603" s="133">
        <v>600</v>
      </c>
      <c r="C603" s="132" t="str">
        <f t="shared" si="223"/>
        <v/>
      </c>
      <c r="D603" s="132">
        <f t="shared" si="232"/>
        <v>0</v>
      </c>
      <c r="E603" s="132">
        <f t="shared" si="232"/>
        <v>0</v>
      </c>
      <c r="F603" s="132">
        <f t="shared" si="224"/>
        <v>0</v>
      </c>
      <c r="G603" s="132" t="str">
        <f t="shared" si="232"/>
        <v>Open market housing</v>
      </c>
      <c r="H603" s="132">
        <f t="shared" si="225"/>
        <v>896440000</v>
      </c>
      <c r="I603" s="132" t="str">
        <f t="shared" si="215"/>
        <v>New build</v>
      </c>
      <c r="J603" s="132">
        <f t="shared" si="226"/>
        <v>391930000</v>
      </c>
      <c r="K603" s="132">
        <f t="shared" si="216"/>
        <v>0</v>
      </c>
      <c r="L603" s="132">
        <f t="shared" si="227"/>
        <v>0</v>
      </c>
      <c r="M603" s="132">
        <f t="shared" si="233"/>
        <v>0</v>
      </c>
      <c r="N603" s="134">
        <f t="shared" si="228"/>
        <v>0</v>
      </c>
      <c r="O603" s="135">
        <f t="shared" si="229"/>
        <v>0</v>
      </c>
      <c r="P603" s="132" t="str">
        <f t="shared" si="217"/>
        <v/>
      </c>
      <c r="Q603" s="132" t="str">
        <f t="shared" si="231"/>
        <v/>
      </c>
      <c r="R603" s="132" t="str">
        <f>IF(ISNUMBER(SEARCH("AHO",Import2[[#This Row],[Tenure]])),"AHO",Import2[[#This Row],[Tenure]])&amp;Import2[[#This Row],[Expected Physical Completion Year]]&amp;Import2[[#This Row],[Expected Physical Completion Month]]</f>
        <v>Open market housing</v>
      </c>
      <c r="S603" s="135">
        <f t="shared" si="230"/>
        <v>0</v>
      </c>
      <c r="T603" s="132" t="str">
        <f t="shared" si="234"/>
        <v/>
      </c>
      <c r="U603" s="132" t="str">
        <f t="shared" si="234"/>
        <v/>
      </c>
      <c r="V603" s="132" t="str">
        <f>IF(ISNUMBER(SEARCH("AHO",Import2[[#This Row],[Tenure]])),"AHO",Import2[[#This Row],[Tenure]])&amp;Import2[[#This Row],[Expected sale completion year]]&amp;Import2[[#This Row],[Expected sale completion month]]</f>
        <v>Open market housing</v>
      </c>
      <c r="W603" s="178">
        <f t="shared" si="218"/>
        <v>0</v>
      </c>
    </row>
    <row r="604" spans="1:23" ht="15" customHeight="1">
      <c r="A604" s="46"/>
      <c r="B604" s="132"/>
      <c r="C604" s="126"/>
      <c r="D604" s="132"/>
      <c r="E604" s="132"/>
      <c r="F604" s="132"/>
      <c r="G604" s="132"/>
      <c r="H604" s="132"/>
      <c r="I604" s="132"/>
      <c r="J604" s="132"/>
      <c r="K604" s="132"/>
      <c r="L604" s="132"/>
      <c r="M604" s="132"/>
      <c r="N604" s="132"/>
      <c r="O604" s="137"/>
      <c r="P604" s="138"/>
      <c r="Q604" s="138"/>
      <c r="R604" s="138"/>
      <c r="S604" s="137"/>
      <c r="T604" s="132"/>
      <c r="U604" s="132"/>
      <c r="V604" s="132"/>
      <c r="W604" s="136"/>
    </row>
  </sheetData>
  <sheetProtection selectLockedCells="1" selectUnlockedCells="1"/>
  <phoneticPr fontId="4"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088D8-16E9-4FA5-BCCE-EDE5E41D52EA}">
  <sheetPr codeName="Sheet11">
    <tabColor rgb="FFFF0000"/>
  </sheetPr>
  <dimension ref="A1:S23"/>
  <sheetViews>
    <sheetView zoomScaleNormal="100" workbookViewId="0"/>
  </sheetViews>
  <sheetFormatPr defaultColWidth="8.81640625" defaultRowHeight="15.5"/>
  <cols>
    <col min="1" max="1" width="61" style="9" bestFit="1" customWidth="1"/>
    <col min="2" max="2" width="12.81640625" style="9" bestFit="1" customWidth="1"/>
    <col min="3" max="3" width="34.453125" style="9" bestFit="1" customWidth="1"/>
    <col min="4" max="4" width="12.81640625" style="9" bestFit="1" customWidth="1"/>
    <col min="5" max="5" width="23.453125" style="9" customWidth="1"/>
    <col min="6" max="6" width="13.453125" style="9" customWidth="1"/>
    <col min="7" max="7" width="31.453125" style="9" bestFit="1" customWidth="1"/>
    <col min="8" max="12" width="16.453125" style="9" customWidth="1"/>
    <col min="13" max="13" width="8.81640625" style="9"/>
    <col min="14" max="14" width="15.81640625" style="9" bestFit="1" customWidth="1"/>
    <col min="15" max="15" width="19.453125" style="9" bestFit="1" customWidth="1"/>
    <col min="16" max="16" width="11.81640625" style="9" bestFit="1" customWidth="1"/>
    <col min="17" max="17" width="8.81640625" style="9"/>
    <col min="18" max="18" width="23.54296875" style="9" bestFit="1" customWidth="1"/>
    <col min="19" max="19" width="12.26953125" style="9" bestFit="1" customWidth="1"/>
    <col min="20" max="16384" width="8.81640625" style="9"/>
  </cols>
  <sheetData>
    <row r="1" spans="1:19" s="18" customFormat="1" ht="21">
      <c r="A1" s="85" t="s">
        <v>322</v>
      </c>
    </row>
    <row r="3" spans="1:19" s="12" customFormat="1">
      <c r="A3" s="213" t="s">
        <v>45</v>
      </c>
      <c r="B3" s="213"/>
      <c r="C3" s="213" t="s">
        <v>293</v>
      </c>
      <c r="D3" s="213"/>
      <c r="E3" s="213" t="s">
        <v>323</v>
      </c>
      <c r="F3" s="213"/>
      <c r="G3" s="213" t="s">
        <v>324</v>
      </c>
      <c r="H3" s="213"/>
      <c r="I3" s="212" t="s">
        <v>325</v>
      </c>
      <c r="J3" s="212"/>
      <c r="K3" s="212" t="s">
        <v>326</v>
      </c>
      <c r="L3" s="212"/>
      <c r="M3" s="175"/>
      <c r="N3" s="11" t="s">
        <v>327</v>
      </c>
      <c r="O3" s="205" t="s">
        <v>475</v>
      </c>
      <c r="P3" s="11" t="s">
        <v>188</v>
      </c>
      <c r="R3" s="212" t="s">
        <v>427</v>
      </c>
      <c r="S3" s="212"/>
    </row>
    <row r="4" spans="1:19" ht="22.5" customHeight="1">
      <c r="A4" s="8" t="s">
        <v>55</v>
      </c>
      <c r="B4" s="8">
        <v>896440000</v>
      </c>
      <c r="C4" s="9" t="s">
        <v>56</v>
      </c>
      <c r="D4" s="9">
        <v>391930000</v>
      </c>
      <c r="E4" s="10" t="s">
        <v>328</v>
      </c>
      <c r="F4" s="9">
        <v>391930000</v>
      </c>
      <c r="G4" s="10" t="s">
        <v>329</v>
      </c>
      <c r="H4" s="9">
        <v>391930000</v>
      </c>
      <c r="I4" s="9" t="s">
        <v>330</v>
      </c>
      <c r="J4" s="9">
        <v>391930000</v>
      </c>
      <c r="K4" s="9" t="s">
        <v>330</v>
      </c>
      <c r="L4" s="9">
        <v>391930000</v>
      </c>
      <c r="N4" s="9">
        <f ca="1">YEAR(TODAY())</f>
        <v>2024</v>
      </c>
      <c r="O4" s="9">
        <f ca="1">YEAR(TODAY())-3</f>
        <v>2021</v>
      </c>
      <c r="P4" s="9" t="s">
        <v>32</v>
      </c>
      <c r="R4" s="9" t="s">
        <v>428</v>
      </c>
      <c r="S4" s="9">
        <v>391930000</v>
      </c>
    </row>
    <row r="5" spans="1:19" ht="22.5" customHeight="1">
      <c r="A5" s="8" t="s">
        <v>331</v>
      </c>
      <c r="B5" s="8">
        <v>896440001</v>
      </c>
      <c r="C5" s="9" t="s">
        <v>332</v>
      </c>
      <c r="D5" s="9">
        <v>391930001</v>
      </c>
      <c r="E5" s="10" t="s">
        <v>333</v>
      </c>
      <c r="F5" s="9">
        <v>391930001</v>
      </c>
      <c r="G5" s="10" t="s">
        <v>334</v>
      </c>
      <c r="H5" s="9">
        <v>391930001</v>
      </c>
      <c r="I5" s="9" t="s">
        <v>335</v>
      </c>
      <c r="J5" s="9">
        <v>391930001</v>
      </c>
      <c r="K5" s="9" t="s">
        <v>335</v>
      </c>
      <c r="L5" s="9">
        <v>391930001</v>
      </c>
      <c r="N5" s="9">
        <f ca="1">YEAR(EDATE(DATE(N4,1,1),12))</f>
        <v>2025</v>
      </c>
      <c r="O5" s="9">
        <f ca="1">YEAR(EDATE(DATE(O4,1,1),12))</f>
        <v>2022</v>
      </c>
      <c r="P5" s="9" t="s">
        <v>336</v>
      </c>
      <c r="R5" s="9" t="s">
        <v>426</v>
      </c>
      <c r="S5" s="9">
        <v>391930001</v>
      </c>
    </row>
    <row r="6" spans="1:19" ht="22.5" customHeight="1">
      <c r="A6" s="8" t="s">
        <v>337</v>
      </c>
      <c r="B6" s="8">
        <v>896440002</v>
      </c>
      <c r="C6" s="9" t="s">
        <v>338</v>
      </c>
      <c r="D6" s="9">
        <v>391930002</v>
      </c>
      <c r="E6" s="10" t="s">
        <v>339</v>
      </c>
      <c r="F6" s="9">
        <v>391930002</v>
      </c>
      <c r="G6" s="9" t="s">
        <v>57</v>
      </c>
      <c r="H6" s="9">
        <v>391930002</v>
      </c>
      <c r="I6" s="9" t="s">
        <v>340</v>
      </c>
      <c r="J6" s="9">
        <v>391930002</v>
      </c>
      <c r="N6" s="9">
        <f t="shared" ref="N6:O15" ca="1" si="0">YEAR(EDATE(DATE(N5,1,1),12))</f>
        <v>2026</v>
      </c>
      <c r="O6" s="9">
        <f t="shared" ca="1" si="0"/>
        <v>2023</v>
      </c>
      <c r="P6" s="9" t="s">
        <v>58</v>
      </c>
      <c r="R6" s="9" t="s">
        <v>429</v>
      </c>
      <c r="S6" s="9">
        <v>391930002</v>
      </c>
    </row>
    <row r="7" spans="1:19" ht="22.5" customHeight="1">
      <c r="A7" s="8" t="s">
        <v>341</v>
      </c>
      <c r="B7" s="8">
        <v>896440003</v>
      </c>
      <c r="C7" s="9" t="s">
        <v>342</v>
      </c>
      <c r="D7" s="9">
        <v>391930003</v>
      </c>
      <c r="E7" s="10" t="s">
        <v>54</v>
      </c>
      <c r="F7" s="9">
        <f>391930003</f>
        <v>391930003</v>
      </c>
      <c r="G7" s="10" t="s">
        <v>343</v>
      </c>
      <c r="H7" s="9">
        <v>391930003</v>
      </c>
      <c r="N7" s="9">
        <f t="shared" ca="1" si="0"/>
        <v>2027</v>
      </c>
      <c r="O7" s="9">
        <f t="shared" ca="1" si="0"/>
        <v>2024</v>
      </c>
      <c r="P7" s="9" t="s">
        <v>344</v>
      </c>
      <c r="R7" s="9" t="s">
        <v>445</v>
      </c>
      <c r="S7" s="9">
        <v>391930003</v>
      </c>
    </row>
    <row r="8" spans="1:19" ht="22.5" customHeight="1">
      <c r="A8" s="8" t="s">
        <v>345</v>
      </c>
      <c r="B8" s="8">
        <v>896440004</v>
      </c>
      <c r="E8" s="10" t="s">
        <v>346</v>
      </c>
      <c r="F8" s="9">
        <v>391930004</v>
      </c>
      <c r="N8" s="9">
        <f t="shared" ca="1" si="0"/>
        <v>2028</v>
      </c>
      <c r="O8" s="9">
        <f t="shared" ca="1" si="0"/>
        <v>2025</v>
      </c>
      <c r="P8" s="9" t="s">
        <v>347</v>
      </c>
    </row>
    <row r="9" spans="1:19">
      <c r="A9" s="8" t="s">
        <v>348</v>
      </c>
      <c r="B9" s="8">
        <v>896440005</v>
      </c>
      <c r="N9" s="9">
        <f t="shared" ca="1" si="0"/>
        <v>2029</v>
      </c>
      <c r="O9" s="9">
        <f t="shared" ca="1" si="0"/>
        <v>2026</v>
      </c>
      <c r="P9" s="9" t="s">
        <v>349</v>
      </c>
    </row>
    <row r="10" spans="1:19">
      <c r="A10" s="8" t="s">
        <v>350</v>
      </c>
      <c r="B10" s="8">
        <v>896440006</v>
      </c>
      <c r="N10" s="9">
        <f t="shared" ca="1" si="0"/>
        <v>2030</v>
      </c>
      <c r="O10" s="9">
        <f t="shared" ca="1" si="0"/>
        <v>2027</v>
      </c>
      <c r="P10" s="9" t="s">
        <v>351</v>
      </c>
    </row>
    <row r="11" spans="1:19">
      <c r="A11" s="8" t="s">
        <v>352</v>
      </c>
      <c r="B11" s="8">
        <v>896440007</v>
      </c>
      <c r="N11" s="9">
        <f t="shared" ca="1" si="0"/>
        <v>2031</v>
      </c>
      <c r="O11" s="9">
        <f t="shared" ca="1" si="0"/>
        <v>2028</v>
      </c>
      <c r="P11" s="9" t="s">
        <v>353</v>
      </c>
    </row>
    <row r="12" spans="1:19">
      <c r="A12" s="8" t="s">
        <v>354</v>
      </c>
      <c r="B12" s="8">
        <v>896440008</v>
      </c>
      <c r="N12" s="9">
        <f t="shared" ca="1" si="0"/>
        <v>2032</v>
      </c>
      <c r="O12" s="9">
        <f t="shared" ca="1" si="0"/>
        <v>2029</v>
      </c>
      <c r="P12" s="9" t="s">
        <v>355</v>
      </c>
    </row>
    <row r="13" spans="1:19">
      <c r="N13" s="9">
        <f t="shared" ca="1" si="0"/>
        <v>2033</v>
      </c>
      <c r="O13" s="9">
        <f t="shared" ca="1" si="0"/>
        <v>2030</v>
      </c>
      <c r="P13" s="9" t="s">
        <v>356</v>
      </c>
    </row>
    <row r="14" spans="1:19">
      <c r="N14" s="9">
        <f t="shared" ca="1" si="0"/>
        <v>2034</v>
      </c>
      <c r="O14" s="9">
        <f t="shared" ca="1" si="0"/>
        <v>2031</v>
      </c>
      <c r="P14" s="9" t="s">
        <v>357</v>
      </c>
    </row>
    <row r="15" spans="1:19">
      <c r="N15" s="9">
        <f t="shared" ca="1" si="0"/>
        <v>2035</v>
      </c>
      <c r="O15" s="9">
        <f t="shared" ca="1" si="0"/>
        <v>2032</v>
      </c>
      <c r="P15" s="9" t="s">
        <v>358</v>
      </c>
    </row>
    <row r="16" spans="1:19">
      <c r="O16" s="9">
        <f t="shared" ref="O16:O18" ca="1" si="1">YEAR(EDATE(DATE(O15,1,1),12))</f>
        <v>2033</v>
      </c>
    </row>
    <row r="17" spans="14:15">
      <c r="O17" s="9">
        <f t="shared" ca="1" si="1"/>
        <v>2034</v>
      </c>
    </row>
    <row r="18" spans="14:15">
      <c r="O18" s="9">
        <f t="shared" ca="1" si="1"/>
        <v>2035</v>
      </c>
    </row>
    <row r="22" spans="14:15">
      <c r="N22" s="106"/>
      <c r="O22" s="106"/>
    </row>
    <row r="23" spans="14:15">
      <c r="N23" s="105"/>
      <c r="O23" s="105"/>
    </row>
  </sheetData>
  <sheetProtection selectLockedCells="1" selectUnlockedCells="1"/>
  <mergeCells count="7">
    <mergeCell ref="R3:S3"/>
    <mergeCell ref="K3:L3"/>
    <mergeCell ref="E3:F3"/>
    <mergeCell ref="G3:H3"/>
    <mergeCell ref="A3:B3"/>
    <mergeCell ref="C3:D3"/>
    <mergeCell ref="I3:J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1F8E8-8E8B-4C19-A7B5-6308A125C74B}">
  <sheetPr codeName="Sheet9">
    <tabColor rgb="FFFF0000"/>
  </sheetPr>
  <dimension ref="A1:BC128"/>
  <sheetViews>
    <sheetView zoomScaleNormal="100" workbookViewId="0"/>
  </sheetViews>
  <sheetFormatPr defaultColWidth="8.81640625" defaultRowHeight="15.5"/>
  <cols>
    <col min="1" max="1" width="17" style="1" bestFit="1" customWidth="1"/>
    <col min="2" max="2" width="15.81640625" style="1" customWidth="1"/>
    <col min="3" max="3" width="9.453125" style="1" bestFit="1" customWidth="1"/>
    <col min="4" max="4" width="12.453125" style="1" bestFit="1" customWidth="1"/>
    <col min="5" max="5" width="9.453125" style="1" bestFit="1" customWidth="1"/>
    <col min="6" max="6" width="22.453125" style="176" bestFit="1" customWidth="1"/>
    <col min="7" max="7" width="22" style="176" bestFit="1" customWidth="1"/>
    <col min="8" max="8" width="18.1796875" style="176" bestFit="1" customWidth="1"/>
    <col min="9" max="9" width="12.453125" style="176" bestFit="1" customWidth="1"/>
    <col min="10" max="10" width="19.453125" style="176" bestFit="1" customWidth="1"/>
    <col min="11" max="11" width="15.453125" style="176" bestFit="1" customWidth="1"/>
    <col min="12" max="12" width="11.453125" style="176" bestFit="1" customWidth="1"/>
    <col min="13" max="13" width="18.453125" style="176" bestFit="1" customWidth="1"/>
    <col min="14" max="14" width="13" style="176" customWidth="1"/>
    <col min="15" max="15" width="9.453125" style="176" bestFit="1" customWidth="1"/>
    <col min="16" max="16" width="30.453125" style="176" bestFit="1" customWidth="1"/>
    <col min="17" max="21" width="13.81640625" style="176" customWidth="1"/>
    <col min="22" max="22" width="21.453125" style="176" bestFit="1" customWidth="1"/>
    <col min="23" max="24" width="8.81640625" style="1"/>
    <col min="25" max="25" width="15.453125" style="1" bestFit="1" customWidth="1"/>
    <col min="26" max="32" width="8.81640625" style="1"/>
    <col min="33" max="33" width="8.81640625" style="1" customWidth="1"/>
    <col min="34" max="16384" width="8.81640625" style="1"/>
  </cols>
  <sheetData>
    <row r="1" spans="1:55" s="14" customFormat="1" ht="21">
      <c r="A1" s="84" t="s">
        <v>359</v>
      </c>
      <c r="D1" s="184"/>
      <c r="F1" s="185"/>
      <c r="G1" s="186"/>
      <c r="H1" s="186"/>
      <c r="I1" s="187"/>
      <c r="J1" s="187"/>
      <c r="K1" s="187"/>
      <c r="L1" s="187"/>
      <c r="M1" s="188"/>
      <c r="N1" s="189"/>
      <c r="O1" s="189"/>
      <c r="P1" s="189"/>
      <c r="Q1" s="187"/>
      <c r="R1" s="187"/>
      <c r="S1" s="187"/>
      <c r="T1" s="187"/>
      <c r="U1" s="187"/>
      <c r="V1" s="187"/>
    </row>
    <row r="2" spans="1:55">
      <c r="E2" s="14"/>
      <c r="F2" s="14"/>
      <c r="H2" s="186"/>
      <c r="I2" s="187"/>
      <c r="J2" s="187"/>
      <c r="K2" s="187"/>
      <c r="L2" s="187"/>
      <c r="M2" s="187"/>
      <c r="N2" s="187"/>
      <c r="O2" s="187"/>
      <c r="P2" s="187"/>
      <c r="Q2" s="187"/>
      <c r="R2" s="187"/>
      <c r="S2" s="187"/>
      <c r="T2" s="187"/>
      <c r="U2" s="187"/>
      <c r="V2" s="187"/>
    </row>
    <row r="3" spans="1:55" s="33" customFormat="1" ht="45" customHeight="1">
      <c r="A3" s="128" t="s">
        <v>290</v>
      </c>
      <c r="B3" s="128" t="s">
        <v>360</v>
      </c>
      <c r="C3" s="128" t="s">
        <v>327</v>
      </c>
      <c r="D3" s="128" t="s">
        <v>188</v>
      </c>
      <c r="E3" s="128" t="s">
        <v>361</v>
      </c>
      <c r="F3" s="190" t="s">
        <v>190</v>
      </c>
      <c r="G3" s="128" t="s">
        <v>191</v>
      </c>
      <c r="H3" s="128" t="s">
        <v>192</v>
      </c>
      <c r="I3" s="128" t="s">
        <v>193</v>
      </c>
      <c r="J3" s="128" t="s">
        <v>194</v>
      </c>
      <c r="K3" s="128" t="s">
        <v>195</v>
      </c>
      <c r="L3" s="128" t="s">
        <v>199</v>
      </c>
      <c r="M3" s="128" t="s">
        <v>197</v>
      </c>
      <c r="N3" s="128" t="s">
        <v>200</v>
      </c>
      <c r="O3" s="128" t="s">
        <v>198</v>
      </c>
      <c r="P3" s="128" t="s">
        <v>196</v>
      </c>
      <c r="Q3" s="190" t="s">
        <v>303</v>
      </c>
      <c r="R3" s="190" t="s">
        <v>304</v>
      </c>
      <c r="S3" s="190" t="s">
        <v>305</v>
      </c>
      <c r="T3" s="190" t="s">
        <v>306</v>
      </c>
      <c r="U3" s="190" t="s">
        <v>307</v>
      </c>
      <c r="V3" s="190" t="s">
        <v>309</v>
      </c>
      <c r="W3" s="128" t="s">
        <v>362</v>
      </c>
      <c r="X3" s="128" t="s">
        <v>363</v>
      </c>
      <c r="Y3" s="128" t="s">
        <v>364</v>
      </c>
      <c r="Z3" s="128" t="s">
        <v>365</v>
      </c>
      <c r="AA3" s="128" t="s">
        <v>366</v>
      </c>
      <c r="AB3" s="128" t="s">
        <v>367</v>
      </c>
      <c r="AC3" s="128" t="s">
        <v>368</v>
      </c>
      <c r="AD3" s="128" t="s">
        <v>369</v>
      </c>
      <c r="AE3" s="128" t="s">
        <v>370</v>
      </c>
      <c r="AF3" s="128" t="s">
        <v>371</v>
      </c>
      <c r="AG3" s="128" t="s">
        <v>372</v>
      </c>
      <c r="AH3" s="128" t="s">
        <v>373</v>
      </c>
      <c r="AI3" s="128" t="s">
        <v>374</v>
      </c>
      <c r="AJ3" s="128" t="s">
        <v>375</v>
      </c>
      <c r="AK3" s="128" t="s">
        <v>376</v>
      </c>
      <c r="AL3" s="128" t="s">
        <v>377</v>
      </c>
      <c r="AM3" s="128" t="s">
        <v>378</v>
      </c>
      <c r="AN3" s="128" t="s">
        <v>379</v>
      </c>
      <c r="AO3" s="128" t="s">
        <v>380</v>
      </c>
      <c r="AP3" s="128" t="s">
        <v>381</v>
      </c>
      <c r="AQ3" s="128" t="s">
        <v>382</v>
      </c>
      <c r="AR3" s="128" t="s">
        <v>383</v>
      </c>
      <c r="AS3" s="128" t="s">
        <v>384</v>
      </c>
      <c r="AT3" s="128" t="s">
        <v>385</v>
      </c>
      <c r="AU3" s="128" t="s">
        <v>386</v>
      </c>
      <c r="AV3" s="128" t="s">
        <v>387</v>
      </c>
      <c r="AW3" s="128" t="s">
        <v>388</v>
      </c>
      <c r="AX3" s="128" t="s">
        <v>389</v>
      </c>
      <c r="AY3" s="128" t="s">
        <v>390</v>
      </c>
      <c r="AZ3" s="128" t="s">
        <v>391</v>
      </c>
      <c r="BA3" s="128" t="s">
        <v>392</v>
      </c>
      <c r="BB3" s="128" t="s">
        <v>393</v>
      </c>
      <c r="BC3" s="128" t="s">
        <v>394</v>
      </c>
    </row>
    <row r="4" spans="1:55">
      <c r="A4" s="1">
        <f t="shared" ref="A4:A35" si="0">IF(E4="",0,1)</f>
        <v>1</v>
      </c>
      <c r="B4" s="1" t="s">
        <v>63</v>
      </c>
      <c r="C4" s="1">
        <f>IF(E4="","",YEAR(E4))</f>
        <v>1901</v>
      </c>
      <c r="D4" s="1" t="str">
        <f t="shared" ref="D4:D35" si="1">IF(E4="","",TEXT(MONTH(E4)*28,"mmmm"))</f>
        <v>January</v>
      </c>
      <c r="E4" s="173">
        <v>367</v>
      </c>
      <c r="F4" s="176">
        <f t="shared" ref="F4:O13" si="2">IF($A4=1,INDEX(DevelopmentCosts,MATCH(F$3,TotalDevCostsList,0),MATCH($B4,DevelopmentCostTitle,0)),0)</f>
        <v>0</v>
      </c>
      <c r="G4" s="176">
        <f t="shared" si="2"/>
        <v>0</v>
      </c>
      <c r="H4" s="176">
        <f t="shared" si="2"/>
        <v>0</v>
      </c>
      <c r="I4" s="176">
        <f t="shared" si="2"/>
        <v>0</v>
      </c>
      <c r="J4" s="176">
        <f t="shared" si="2"/>
        <v>0</v>
      </c>
      <c r="K4" s="176">
        <f t="shared" si="2"/>
        <v>0</v>
      </c>
      <c r="L4" s="176">
        <f t="shared" si="2"/>
        <v>0</v>
      </c>
      <c r="M4" s="176">
        <f t="shared" si="2"/>
        <v>0</v>
      </c>
      <c r="N4" s="176">
        <f t="shared" si="2"/>
        <v>0</v>
      </c>
      <c r="O4" s="176">
        <f t="shared" si="2"/>
        <v>0</v>
      </c>
      <c r="P4" s="176">
        <f t="shared" ref="P4:P35" si="3">_xlfn.IFNA(IF($A4=1,INDEX(DevelopmentCosts,MATCH(P$3,TotalDevCostsList,0),MATCH($B4,DevelopmentCostTitle,0)),0),0)</f>
        <v>0</v>
      </c>
      <c r="Q4" s="176">
        <f t="shared" ref="Q4:Q35" si="4">_xlfn.IFNA(IF($A4=1,INDEX(DevelopmentCosts,MATCH(CustomCost1,TotalDevCostsList,0),MATCH($B4,DevelopmentCostTitle,0)),0),0)</f>
        <v>0</v>
      </c>
      <c r="R4" s="176">
        <f t="shared" ref="R4:R35" si="5">_xlfn.IFNA(IF($A4=1,INDEX(DevelopmentCosts,MATCH(CustomCost2,TotalDevCostsList,0),MATCH($B4,DevelopmentCostTitle,0)),0),0)</f>
        <v>0</v>
      </c>
      <c r="S4" s="176">
        <f t="shared" ref="S4:S35" si="6">_xlfn.IFNA(IF($A4=1,INDEX(DevelopmentCosts,MATCH(CustomCost3,TotalDevCostsList,0),MATCH($B4,DevelopmentCostTitle,0)),0),0)</f>
        <v>0</v>
      </c>
      <c r="T4" s="176">
        <f t="shared" ref="T4:T35" si="7">_xlfn.IFNA(IF($A4=1,INDEX(DevelopmentCosts,MATCH(CustomCost4,TotalDevCostsList,0),MATCH($B4,DevelopmentCostTitle,0)),0),0)</f>
        <v>0</v>
      </c>
      <c r="U4" s="176">
        <f t="shared" ref="U4:U35" si="8">_xlfn.IFNA(IF($A4=1,INDEX(DevelopmentCosts,MATCH(CustomCost5,TotalDevCostsList,0),MATCH($B4,DevelopmentCostTitle,0)),0),0)</f>
        <v>0</v>
      </c>
      <c r="V4" s="176">
        <f t="shared" ref="V4:V35" si="9">SUM(F4:U4)</f>
        <v>0</v>
      </c>
      <c r="W4" s="177">
        <f t="shared" ref="W4:W35" si="10">COUNTIF(CategorisedCompletionKey,(OpenMarketHousing&amp;$C4&amp;$D4))</f>
        <v>0</v>
      </c>
      <c r="X4" s="177">
        <f t="shared" ref="X4:X35" si="11">COUNTIF(CategorisedCompletionKey,(AffordableRent&amp;$C4&amp;$D4))</f>
        <v>0</v>
      </c>
      <c r="Y4" s="177">
        <f t="shared" ref="Y4:Y35" si="12">COUNTIF(CategorisedCompletionKey,(AHPSharedEquity&amp;$C4&amp;$D4))</f>
        <v>0</v>
      </c>
      <c r="Z4" s="177">
        <f t="shared" ref="Z4:Z35" si="13">COUNTIF(CategorisedCompletionKey,(AHPIntermediate&amp;$C4&amp;$D4))</f>
        <v>0</v>
      </c>
      <c r="AA4" s="177">
        <f t="shared" ref="AA4:AA35" si="14">COUNTIF(CategorisedCompletionKey,(AHPSharedOwnership&amp;$C4&amp;$D4))</f>
        <v>0</v>
      </c>
      <c r="AB4" s="177">
        <f t="shared" ref="AB4:AB35" si="15">COUNTIF(CategorisedCompletionKey,(NonAHPSharedEquity&amp;$C4&amp;$D4))</f>
        <v>0</v>
      </c>
      <c r="AC4" s="177">
        <f t="shared" ref="AC4:AC35" si="16">COUNTIF(CategorisedCompletionKey,(NonAHPIntermediateRent&amp;$C4&amp;$D4))</f>
        <v>0</v>
      </c>
      <c r="AD4" s="177">
        <f t="shared" ref="AD4:AD35" si="17">COUNTIF(CategorisedCompletionKey,(NonAHPSharedOwnership&amp;$C4&amp;$D4))</f>
        <v>0</v>
      </c>
      <c r="AE4" s="177">
        <f t="shared" ref="AE4:AE35" si="18">COUNTIF(CategorisedCompletionKey,(OtherTenure&amp;$C4&amp;$D4))</f>
        <v>0</v>
      </c>
      <c r="AF4" s="177">
        <f>SUM($X4:$AE4)</f>
        <v>0</v>
      </c>
      <c r="AG4" s="177">
        <f t="shared" ref="AG4:AH23" si="19">COUNTIF(CategorisedSaleKey,(OpenMarketHousing&amp;$C4&amp;$D4))</f>
        <v>0</v>
      </c>
      <c r="AH4" s="177">
        <f t="shared" si="19"/>
        <v>0</v>
      </c>
      <c r="AI4" s="177">
        <f t="shared" ref="AI4:AI35" si="20">COUNTIF(CategorisedSaleKey,(AffordableRent&amp;$C4&amp;$D4))</f>
        <v>0</v>
      </c>
      <c r="AJ4" s="177">
        <f t="shared" ref="AJ4:AJ35" si="21">COUNTIF(CategorisedSaleKey,(AHPSharedEquity&amp;$C4&amp;$D4))</f>
        <v>0</v>
      </c>
      <c r="AK4" s="177">
        <f t="shared" ref="AK4:AK35" si="22">COUNTIF(CategorisedSaleKey,(AHPIntermediate&amp;$C4&amp;$D4))</f>
        <v>0</v>
      </c>
      <c r="AL4" s="177">
        <f t="shared" ref="AL4:AL35" si="23">COUNTIF(CategorisedSaleKey,(AHPSharedOwnership&amp;$C4&amp;$D4))</f>
        <v>0</v>
      </c>
      <c r="AM4" s="177">
        <f t="shared" ref="AM4:AM35" si="24">COUNTIF(CategorisedSaleKey,(NonAHPSharedEquity&amp;$C4&amp;$D4))</f>
        <v>0</v>
      </c>
      <c r="AN4" s="177">
        <f t="shared" ref="AN4:AN35" si="25">COUNTIF(CategorisedSaleKey,(NonAHPIntermediateRent&amp;$C4&amp;$D4))</f>
        <v>0</v>
      </c>
      <c r="AO4" s="177">
        <f t="shared" ref="AO4:AO35" si="26">COUNTIF(CategorisedSaleKey,(NonAHPSharedOwnership&amp;$C4&amp;$D4))</f>
        <v>0</v>
      </c>
      <c r="AP4" s="177">
        <f t="shared" ref="AP4:AP35" si="27">COUNTIF(CategorisedSaleKey,(OtherTenure&amp;$C4&amp;$D4))</f>
        <v>0</v>
      </c>
      <c r="AQ4" s="177">
        <f>SUM($AI4:$AP4)</f>
        <v>0</v>
      </c>
      <c r="AR4" s="177">
        <f t="shared" ref="AR4:AR35" si="28">$AH4+$AQ4</f>
        <v>0</v>
      </c>
      <c r="AS4" s="176">
        <f t="shared" ref="AS4:AS35" si="29">SUMIF(CategorisedSaleKey,(OpenMarketHousing&amp;$C4&amp;$D4),ExpectedSales)</f>
        <v>0</v>
      </c>
      <c r="AT4" s="176">
        <f t="shared" ref="AT4:AT35" si="30">SUMIF(CategorisedSaleKey,(AffordableRent&amp;$C4&amp;$D4),ExpectedSales)</f>
        <v>0</v>
      </c>
      <c r="AU4" s="176">
        <f t="shared" ref="AU4:AU35" si="31">SUMIF(CategorisedSaleKey,(AHPSharedEquity&amp;$C4&amp;$D4),ExpectedSales)</f>
        <v>0</v>
      </c>
      <c r="AV4" s="176">
        <f t="shared" ref="AV4:AV35" si="32">SUMIF(CategorisedSaleKey,(AHPIntermediate&amp;$C4&amp;$D4),ExpectedSales)</f>
        <v>0</v>
      </c>
      <c r="AW4" s="176">
        <f t="shared" ref="AW4:AW35" si="33">SUMIF(CategorisedSaleKey,(AHPSharedOwnership&amp;$C4&amp;$D4),ExpectedSales)</f>
        <v>0</v>
      </c>
      <c r="AX4" s="176">
        <f t="shared" ref="AX4:AX35" si="34">SUMIF(CategorisedSaleKey,(NonAHPSharedEquity&amp;$C4&amp;$D4),ExpectedSales)</f>
        <v>0</v>
      </c>
      <c r="AY4" s="176">
        <f t="shared" ref="AY4:AY35" si="35">SUMIF(CategorisedSaleKey,(NonAHPIntermediateRent&amp;$C4&amp;$D4),ExpectedSales)</f>
        <v>0</v>
      </c>
      <c r="AZ4" s="176">
        <f t="shared" ref="AZ4:AZ35" si="36">SUMIF(CategorisedSaleKey,(NonAHPSharedOwnership&amp;$C4&amp;$D4),ExpectedSales)</f>
        <v>0</v>
      </c>
      <c r="BA4" s="176">
        <f t="shared" ref="BA4:BA35" si="37">SUMIF(CategorisedSaleKey,(OtherTenure&amp;$C4&amp;$D4),ExpectedSales)</f>
        <v>0</v>
      </c>
      <c r="BB4" s="176">
        <f t="shared" ref="BB4:BB67" si="38">SUM($AT4:$BA4)</f>
        <v>0</v>
      </c>
      <c r="BC4" s="176">
        <f t="shared" ref="BC4:BC35" si="39">$BB4+$AS4</f>
        <v>0</v>
      </c>
    </row>
    <row r="5" spans="1:55">
      <c r="A5" s="1">
        <f t="shared" ca="1" si="0"/>
        <v>0</v>
      </c>
      <c r="B5" s="1" t="s">
        <v>64</v>
      </c>
      <c r="C5" s="1" t="str">
        <f t="shared" ref="C5:C35" ca="1" si="40">IF(E5="","",YEAR(E5))</f>
        <v/>
      </c>
      <c r="D5" s="1" t="str">
        <f t="shared" ca="1" si="1"/>
        <v/>
      </c>
      <c r="E5" s="173" t="str">
        <f ca="1">IF(OR(ISBLANK(StartDateMonth),ISBLANK(StartDateYear)),"",IF(DATEVALUE(StartDateMonth&amp;StartDateYear)&lt;(DATEVALUE(TEXT(TODAY(),"DD")&amp;"/"&amp;TEXT(TODAY(),"MM")&amp;"/"&amp;TEXT(TODAY(),"YYYY"))),DATEVALUE(TEXT(TODAY(),"mmmm")&amp;TEXT(TODAY(),"YYYY")),DATEVALUE(StartDateMonth&amp;StartDateYear)))</f>
        <v/>
      </c>
      <c r="F5" s="176">
        <f t="shared" ca="1" si="2"/>
        <v>0</v>
      </c>
      <c r="G5" s="176">
        <f t="shared" ca="1" si="2"/>
        <v>0</v>
      </c>
      <c r="H5" s="176">
        <f t="shared" ca="1" si="2"/>
        <v>0</v>
      </c>
      <c r="I5" s="176">
        <f t="shared" ca="1" si="2"/>
        <v>0</v>
      </c>
      <c r="J5" s="176">
        <f t="shared" ca="1" si="2"/>
        <v>0</v>
      </c>
      <c r="K5" s="176">
        <f t="shared" ca="1" si="2"/>
        <v>0</v>
      </c>
      <c r="L5" s="176">
        <f t="shared" ca="1" si="2"/>
        <v>0</v>
      </c>
      <c r="M5" s="176">
        <f t="shared" ca="1" si="2"/>
        <v>0</v>
      </c>
      <c r="N5" s="176">
        <f t="shared" ca="1" si="2"/>
        <v>0</v>
      </c>
      <c r="O5" s="176">
        <f t="shared" ca="1" si="2"/>
        <v>0</v>
      </c>
      <c r="P5" s="176">
        <f t="shared" ca="1" si="3"/>
        <v>0</v>
      </c>
      <c r="Q5" s="176">
        <f t="shared" ca="1" si="4"/>
        <v>0</v>
      </c>
      <c r="R5" s="176">
        <f t="shared" ca="1" si="5"/>
        <v>0</v>
      </c>
      <c r="S5" s="176">
        <f t="shared" ca="1" si="6"/>
        <v>0</v>
      </c>
      <c r="T5" s="176">
        <f t="shared" ca="1" si="7"/>
        <v>0</v>
      </c>
      <c r="U5" s="176">
        <f t="shared" ca="1" si="8"/>
        <v>0</v>
      </c>
      <c r="V5" s="176">
        <f t="shared" ca="1" si="9"/>
        <v>0</v>
      </c>
      <c r="W5" s="177">
        <f t="shared" ca="1" si="10"/>
        <v>600</v>
      </c>
      <c r="X5" s="177">
        <f t="shared" ca="1" si="11"/>
        <v>0</v>
      </c>
      <c r="Y5" s="177">
        <f t="shared" ca="1" si="12"/>
        <v>0</v>
      </c>
      <c r="Z5" s="177">
        <f t="shared" ca="1" si="13"/>
        <v>0</v>
      </c>
      <c r="AA5" s="177">
        <f t="shared" ca="1" si="14"/>
        <v>0</v>
      </c>
      <c r="AB5" s="177">
        <f t="shared" ca="1" si="15"/>
        <v>0</v>
      </c>
      <c r="AC5" s="177">
        <f t="shared" ca="1" si="16"/>
        <v>0</v>
      </c>
      <c r="AD5" s="177">
        <f t="shared" ca="1" si="17"/>
        <v>0</v>
      </c>
      <c r="AE5" s="177">
        <f t="shared" ca="1" si="18"/>
        <v>0</v>
      </c>
      <c r="AF5" s="177">
        <f t="shared" ref="AF5:AF35" ca="1" si="41">SUM($X5:$AE5)</f>
        <v>0</v>
      </c>
      <c r="AG5" s="177">
        <f t="shared" ca="1" si="19"/>
        <v>600</v>
      </c>
      <c r="AH5" s="177">
        <f t="shared" ca="1" si="19"/>
        <v>600</v>
      </c>
      <c r="AI5" s="177">
        <f t="shared" ca="1" si="20"/>
        <v>0</v>
      </c>
      <c r="AJ5" s="177">
        <f t="shared" ca="1" si="21"/>
        <v>0</v>
      </c>
      <c r="AK5" s="177">
        <f t="shared" ca="1" si="22"/>
        <v>0</v>
      </c>
      <c r="AL5" s="177">
        <f t="shared" ca="1" si="23"/>
        <v>0</v>
      </c>
      <c r="AM5" s="177">
        <f t="shared" ca="1" si="24"/>
        <v>0</v>
      </c>
      <c r="AN5" s="177">
        <f t="shared" ca="1" si="25"/>
        <v>0</v>
      </c>
      <c r="AO5" s="177">
        <f t="shared" ca="1" si="26"/>
        <v>0</v>
      </c>
      <c r="AP5" s="177">
        <f t="shared" ca="1" si="27"/>
        <v>0</v>
      </c>
      <c r="AQ5" s="177">
        <f t="shared" ref="AQ5:AQ35" ca="1" si="42">SUM($AI5:$AP5)</f>
        <v>0</v>
      </c>
      <c r="AR5" s="177">
        <f t="shared" ca="1" si="28"/>
        <v>600</v>
      </c>
      <c r="AS5" s="176">
        <f t="shared" ca="1" si="29"/>
        <v>0</v>
      </c>
      <c r="AT5" s="176">
        <f t="shared" ca="1" si="30"/>
        <v>0</v>
      </c>
      <c r="AU5" s="176">
        <f t="shared" ca="1" si="31"/>
        <v>0</v>
      </c>
      <c r="AV5" s="176">
        <f t="shared" ca="1" si="32"/>
        <v>0</v>
      </c>
      <c r="AW5" s="176">
        <f t="shared" ca="1" si="33"/>
        <v>0</v>
      </c>
      <c r="AX5" s="176">
        <f t="shared" ca="1" si="34"/>
        <v>0</v>
      </c>
      <c r="AY5" s="176">
        <f t="shared" ca="1" si="35"/>
        <v>0</v>
      </c>
      <c r="AZ5" s="176">
        <f t="shared" ca="1" si="36"/>
        <v>0</v>
      </c>
      <c r="BA5" s="176">
        <f t="shared" ca="1" si="37"/>
        <v>0</v>
      </c>
      <c r="BB5" s="176">
        <f t="shared" ca="1" si="38"/>
        <v>0</v>
      </c>
      <c r="BC5" s="176">
        <f t="shared" ca="1" si="39"/>
        <v>0</v>
      </c>
    </row>
    <row r="6" spans="1:55">
      <c r="A6" s="1">
        <f t="shared" ca="1" si="0"/>
        <v>0</v>
      </c>
      <c r="B6" s="1" t="s">
        <v>65</v>
      </c>
      <c r="C6" s="1" t="str">
        <f t="shared" ca="1" si="40"/>
        <v/>
      </c>
      <c r="D6" s="1" t="str">
        <f t="shared" ca="1" si="1"/>
        <v/>
      </c>
      <c r="E6" s="173" t="str" cm="1">
        <f t="array" aca="1" ref="E6" ca="1">_xlfn.IFS(OR(ISBLANK(StartDateMonth),ISBLANK(StartDateYear)),"",E5&gt;=DATEVALUE(CompletionMonth&amp;CompletionYear)+1,"",TRUE,EDATE(E5,1))</f>
        <v/>
      </c>
      <c r="F6" s="176">
        <f t="shared" ca="1" si="2"/>
        <v>0</v>
      </c>
      <c r="G6" s="176">
        <f t="shared" ca="1" si="2"/>
        <v>0</v>
      </c>
      <c r="H6" s="176">
        <f t="shared" ca="1" si="2"/>
        <v>0</v>
      </c>
      <c r="I6" s="176">
        <f t="shared" ca="1" si="2"/>
        <v>0</v>
      </c>
      <c r="J6" s="176">
        <f t="shared" ca="1" si="2"/>
        <v>0</v>
      </c>
      <c r="K6" s="176">
        <f t="shared" ca="1" si="2"/>
        <v>0</v>
      </c>
      <c r="L6" s="176">
        <f t="shared" ca="1" si="2"/>
        <v>0</v>
      </c>
      <c r="M6" s="176">
        <f t="shared" ca="1" si="2"/>
        <v>0</v>
      </c>
      <c r="N6" s="176">
        <f t="shared" ca="1" si="2"/>
        <v>0</v>
      </c>
      <c r="O6" s="176">
        <f t="shared" ca="1" si="2"/>
        <v>0</v>
      </c>
      <c r="P6" s="176">
        <f t="shared" ca="1" si="3"/>
        <v>0</v>
      </c>
      <c r="Q6" s="176">
        <f t="shared" ca="1" si="4"/>
        <v>0</v>
      </c>
      <c r="R6" s="176">
        <f t="shared" ca="1" si="5"/>
        <v>0</v>
      </c>
      <c r="S6" s="176">
        <f t="shared" ca="1" si="6"/>
        <v>0</v>
      </c>
      <c r="T6" s="176">
        <f t="shared" ca="1" si="7"/>
        <v>0</v>
      </c>
      <c r="U6" s="176">
        <f t="shared" ca="1" si="8"/>
        <v>0</v>
      </c>
      <c r="V6" s="176">
        <f t="shared" ca="1" si="9"/>
        <v>0</v>
      </c>
      <c r="W6" s="177">
        <f t="shared" ca="1" si="10"/>
        <v>600</v>
      </c>
      <c r="X6" s="177">
        <f t="shared" ca="1" si="11"/>
        <v>0</v>
      </c>
      <c r="Y6" s="177">
        <f t="shared" ca="1" si="12"/>
        <v>0</v>
      </c>
      <c r="Z6" s="177">
        <f t="shared" ca="1" si="13"/>
        <v>0</v>
      </c>
      <c r="AA6" s="177">
        <f t="shared" ca="1" si="14"/>
        <v>0</v>
      </c>
      <c r="AB6" s="177">
        <f t="shared" ca="1" si="15"/>
        <v>0</v>
      </c>
      <c r="AC6" s="177">
        <f t="shared" ca="1" si="16"/>
        <v>0</v>
      </c>
      <c r="AD6" s="177">
        <f t="shared" ca="1" si="17"/>
        <v>0</v>
      </c>
      <c r="AE6" s="177">
        <f t="shared" ca="1" si="18"/>
        <v>0</v>
      </c>
      <c r="AF6" s="177">
        <f t="shared" ca="1" si="41"/>
        <v>0</v>
      </c>
      <c r="AG6" s="177">
        <f t="shared" ca="1" si="19"/>
        <v>600</v>
      </c>
      <c r="AH6" s="177">
        <f t="shared" ca="1" si="19"/>
        <v>600</v>
      </c>
      <c r="AI6" s="177">
        <f t="shared" ca="1" si="20"/>
        <v>0</v>
      </c>
      <c r="AJ6" s="177">
        <f t="shared" ca="1" si="21"/>
        <v>0</v>
      </c>
      <c r="AK6" s="177">
        <f t="shared" ca="1" si="22"/>
        <v>0</v>
      </c>
      <c r="AL6" s="177">
        <f t="shared" ca="1" si="23"/>
        <v>0</v>
      </c>
      <c r="AM6" s="177">
        <f t="shared" ca="1" si="24"/>
        <v>0</v>
      </c>
      <c r="AN6" s="177">
        <f t="shared" ca="1" si="25"/>
        <v>0</v>
      </c>
      <c r="AO6" s="177">
        <f t="shared" ca="1" si="26"/>
        <v>0</v>
      </c>
      <c r="AP6" s="177">
        <f t="shared" ca="1" si="27"/>
        <v>0</v>
      </c>
      <c r="AQ6" s="177">
        <f t="shared" ca="1" si="42"/>
        <v>0</v>
      </c>
      <c r="AR6" s="177">
        <f t="shared" ca="1" si="28"/>
        <v>600</v>
      </c>
      <c r="AS6" s="176">
        <f t="shared" ca="1" si="29"/>
        <v>0</v>
      </c>
      <c r="AT6" s="176">
        <f t="shared" ca="1" si="30"/>
        <v>0</v>
      </c>
      <c r="AU6" s="176">
        <f t="shared" ca="1" si="31"/>
        <v>0</v>
      </c>
      <c r="AV6" s="176">
        <f t="shared" ca="1" si="32"/>
        <v>0</v>
      </c>
      <c r="AW6" s="176">
        <f t="shared" ca="1" si="33"/>
        <v>0</v>
      </c>
      <c r="AX6" s="176">
        <f t="shared" ca="1" si="34"/>
        <v>0</v>
      </c>
      <c r="AY6" s="176">
        <f t="shared" ca="1" si="35"/>
        <v>0</v>
      </c>
      <c r="AZ6" s="176">
        <f t="shared" ca="1" si="36"/>
        <v>0</v>
      </c>
      <c r="BA6" s="176">
        <f t="shared" ca="1" si="37"/>
        <v>0</v>
      </c>
      <c r="BB6" s="176">
        <f t="shared" ca="1" si="38"/>
        <v>0</v>
      </c>
      <c r="BC6" s="176">
        <f t="shared" ca="1" si="39"/>
        <v>0</v>
      </c>
    </row>
    <row r="7" spans="1:55">
      <c r="A7" s="1">
        <f t="shared" ca="1" si="0"/>
        <v>0</v>
      </c>
      <c r="B7" s="1" t="s">
        <v>66</v>
      </c>
      <c r="C7" s="1" t="str">
        <f t="shared" ca="1" si="40"/>
        <v/>
      </c>
      <c r="D7" s="1" t="str">
        <f t="shared" ca="1" si="1"/>
        <v/>
      </c>
      <c r="E7" s="173" t="str" cm="1">
        <f t="array" aca="1" ref="E7" ca="1">_xlfn.IFS(OR(ISBLANK(StartDateMonth),ISBLANK(StartDateYear)),"",E6&gt;=DATEVALUE(CompletionMonth&amp;CompletionYear)+1,"",TRUE,EDATE(E6,1))</f>
        <v/>
      </c>
      <c r="F7" s="176">
        <f t="shared" ca="1" si="2"/>
        <v>0</v>
      </c>
      <c r="G7" s="176">
        <f t="shared" ca="1" si="2"/>
        <v>0</v>
      </c>
      <c r="H7" s="176">
        <f t="shared" ca="1" si="2"/>
        <v>0</v>
      </c>
      <c r="I7" s="176">
        <f t="shared" ca="1" si="2"/>
        <v>0</v>
      </c>
      <c r="J7" s="176">
        <f t="shared" ca="1" si="2"/>
        <v>0</v>
      </c>
      <c r="K7" s="176">
        <f t="shared" ca="1" si="2"/>
        <v>0</v>
      </c>
      <c r="L7" s="176">
        <f t="shared" ca="1" si="2"/>
        <v>0</v>
      </c>
      <c r="M7" s="176">
        <f t="shared" ca="1" si="2"/>
        <v>0</v>
      </c>
      <c r="N7" s="176">
        <f t="shared" ca="1" si="2"/>
        <v>0</v>
      </c>
      <c r="O7" s="176">
        <f t="shared" ca="1" si="2"/>
        <v>0</v>
      </c>
      <c r="P7" s="176">
        <f t="shared" ca="1" si="3"/>
        <v>0</v>
      </c>
      <c r="Q7" s="176">
        <f t="shared" ca="1" si="4"/>
        <v>0</v>
      </c>
      <c r="R7" s="176">
        <f t="shared" ca="1" si="5"/>
        <v>0</v>
      </c>
      <c r="S7" s="176">
        <f t="shared" ca="1" si="6"/>
        <v>0</v>
      </c>
      <c r="T7" s="176">
        <f t="shared" ca="1" si="7"/>
        <v>0</v>
      </c>
      <c r="U7" s="176">
        <f t="shared" ca="1" si="8"/>
        <v>0</v>
      </c>
      <c r="V7" s="176">
        <f t="shared" ca="1" si="9"/>
        <v>0</v>
      </c>
      <c r="W7" s="177">
        <f t="shared" ca="1" si="10"/>
        <v>600</v>
      </c>
      <c r="X7" s="177">
        <f t="shared" ca="1" si="11"/>
        <v>0</v>
      </c>
      <c r="Y7" s="177">
        <f t="shared" ca="1" si="12"/>
        <v>0</v>
      </c>
      <c r="Z7" s="177">
        <f t="shared" ca="1" si="13"/>
        <v>0</v>
      </c>
      <c r="AA7" s="177">
        <f t="shared" ca="1" si="14"/>
        <v>0</v>
      </c>
      <c r="AB7" s="177">
        <f t="shared" ca="1" si="15"/>
        <v>0</v>
      </c>
      <c r="AC7" s="177">
        <f t="shared" ca="1" si="16"/>
        <v>0</v>
      </c>
      <c r="AD7" s="177">
        <f t="shared" ca="1" si="17"/>
        <v>0</v>
      </c>
      <c r="AE7" s="177">
        <f t="shared" ca="1" si="18"/>
        <v>0</v>
      </c>
      <c r="AF7" s="177">
        <f t="shared" ca="1" si="41"/>
        <v>0</v>
      </c>
      <c r="AG7" s="177">
        <f t="shared" ca="1" si="19"/>
        <v>600</v>
      </c>
      <c r="AH7" s="177">
        <f t="shared" ca="1" si="19"/>
        <v>600</v>
      </c>
      <c r="AI7" s="177">
        <f t="shared" ca="1" si="20"/>
        <v>0</v>
      </c>
      <c r="AJ7" s="177">
        <f t="shared" ca="1" si="21"/>
        <v>0</v>
      </c>
      <c r="AK7" s="177">
        <f t="shared" ca="1" si="22"/>
        <v>0</v>
      </c>
      <c r="AL7" s="177">
        <f t="shared" ca="1" si="23"/>
        <v>0</v>
      </c>
      <c r="AM7" s="177">
        <f t="shared" ca="1" si="24"/>
        <v>0</v>
      </c>
      <c r="AN7" s="177">
        <f t="shared" ca="1" si="25"/>
        <v>0</v>
      </c>
      <c r="AO7" s="177">
        <f t="shared" ca="1" si="26"/>
        <v>0</v>
      </c>
      <c r="AP7" s="177">
        <f t="shared" ca="1" si="27"/>
        <v>0</v>
      </c>
      <c r="AQ7" s="177">
        <f t="shared" ca="1" si="42"/>
        <v>0</v>
      </c>
      <c r="AR7" s="177">
        <f t="shared" ca="1" si="28"/>
        <v>600</v>
      </c>
      <c r="AS7" s="176">
        <f t="shared" ca="1" si="29"/>
        <v>0</v>
      </c>
      <c r="AT7" s="176">
        <f t="shared" ca="1" si="30"/>
        <v>0</v>
      </c>
      <c r="AU7" s="176">
        <f t="shared" ca="1" si="31"/>
        <v>0</v>
      </c>
      <c r="AV7" s="176">
        <f t="shared" ca="1" si="32"/>
        <v>0</v>
      </c>
      <c r="AW7" s="176">
        <f t="shared" ca="1" si="33"/>
        <v>0</v>
      </c>
      <c r="AX7" s="176">
        <f t="shared" ca="1" si="34"/>
        <v>0</v>
      </c>
      <c r="AY7" s="176">
        <f t="shared" ca="1" si="35"/>
        <v>0</v>
      </c>
      <c r="AZ7" s="176">
        <f t="shared" ca="1" si="36"/>
        <v>0</v>
      </c>
      <c r="BA7" s="176">
        <f t="shared" ca="1" si="37"/>
        <v>0</v>
      </c>
      <c r="BB7" s="176">
        <f t="shared" ca="1" si="38"/>
        <v>0</v>
      </c>
      <c r="BC7" s="176">
        <f t="shared" ca="1" si="39"/>
        <v>0</v>
      </c>
    </row>
    <row r="8" spans="1:55">
      <c r="A8" s="1">
        <f t="shared" ca="1" si="0"/>
        <v>0</v>
      </c>
      <c r="B8" s="1" t="s">
        <v>67</v>
      </c>
      <c r="C8" s="1" t="str">
        <f t="shared" ca="1" si="40"/>
        <v/>
      </c>
      <c r="D8" s="1" t="str">
        <f t="shared" ca="1" si="1"/>
        <v/>
      </c>
      <c r="E8" s="173" t="str" cm="1">
        <f t="array" aca="1" ref="E8" ca="1">_xlfn.IFS(OR(ISBLANK(StartDateMonth),ISBLANK(StartDateYear)),"",E7&gt;=DATEVALUE(CompletionMonth&amp;CompletionYear)+1,"",TRUE,EDATE(E7,1))</f>
        <v/>
      </c>
      <c r="F8" s="176">
        <f t="shared" ca="1" si="2"/>
        <v>0</v>
      </c>
      <c r="G8" s="176">
        <f t="shared" ca="1" si="2"/>
        <v>0</v>
      </c>
      <c r="H8" s="176">
        <f t="shared" ca="1" si="2"/>
        <v>0</v>
      </c>
      <c r="I8" s="176">
        <f t="shared" ca="1" si="2"/>
        <v>0</v>
      </c>
      <c r="J8" s="176">
        <f t="shared" ca="1" si="2"/>
        <v>0</v>
      </c>
      <c r="K8" s="176">
        <f t="shared" ca="1" si="2"/>
        <v>0</v>
      </c>
      <c r="L8" s="176">
        <f t="shared" ca="1" si="2"/>
        <v>0</v>
      </c>
      <c r="M8" s="176">
        <f t="shared" ca="1" si="2"/>
        <v>0</v>
      </c>
      <c r="N8" s="176">
        <f t="shared" ca="1" si="2"/>
        <v>0</v>
      </c>
      <c r="O8" s="176">
        <f t="shared" ca="1" si="2"/>
        <v>0</v>
      </c>
      <c r="P8" s="176">
        <f t="shared" ca="1" si="3"/>
        <v>0</v>
      </c>
      <c r="Q8" s="176">
        <f t="shared" ca="1" si="4"/>
        <v>0</v>
      </c>
      <c r="R8" s="176">
        <f t="shared" ca="1" si="5"/>
        <v>0</v>
      </c>
      <c r="S8" s="176">
        <f t="shared" ca="1" si="6"/>
        <v>0</v>
      </c>
      <c r="T8" s="176">
        <f t="shared" ca="1" si="7"/>
        <v>0</v>
      </c>
      <c r="U8" s="176">
        <f t="shared" ca="1" si="8"/>
        <v>0</v>
      </c>
      <c r="V8" s="176">
        <f t="shared" ca="1" si="9"/>
        <v>0</v>
      </c>
      <c r="W8" s="177">
        <f t="shared" ca="1" si="10"/>
        <v>600</v>
      </c>
      <c r="X8" s="177">
        <f t="shared" ca="1" si="11"/>
        <v>0</v>
      </c>
      <c r="Y8" s="177">
        <f t="shared" ca="1" si="12"/>
        <v>0</v>
      </c>
      <c r="Z8" s="177">
        <f t="shared" ca="1" si="13"/>
        <v>0</v>
      </c>
      <c r="AA8" s="177">
        <f t="shared" ca="1" si="14"/>
        <v>0</v>
      </c>
      <c r="AB8" s="177">
        <f t="shared" ca="1" si="15"/>
        <v>0</v>
      </c>
      <c r="AC8" s="177">
        <f t="shared" ca="1" si="16"/>
        <v>0</v>
      </c>
      <c r="AD8" s="177">
        <f t="shared" ca="1" si="17"/>
        <v>0</v>
      </c>
      <c r="AE8" s="177">
        <f t="shared" ca="1" si="18"/>
        <v>0</v>
      </c>
      <c r="AF8" s="177">
        <f t="shared" ca="1" si="41"/>
        <v>0</v>
      </c>
      <c r="AG8" s="177">
        <f t="shared" ca="1" si="19"/>
        <v>600</v>
      </c>
      <c r="AH8" s="177">
        <f t="shared" ca="1" si="19"/>
        <v>600</v>
      </c>
      <c r="AI8" s="177">
        <f t="shared" ca="1" si="20"/>
        <v>0</v>
      </c>
      <c r="AJ8" s="177">
        <f t="shared" ca="1" si="21"/>
        <v>0</v>
      </c>
      <c r="AK8" s="177">
        <f t="shared" ca="1" si="22"/>
        <v>0</v>
      </c>
      <c r="AL8" s="177">
        <f t="shared" ca="1" si="23"/>
        <v>0</v>
      </c>
      <c r="AM8" s="177">
        <f t="shared" ca="1" si="24"/>
        <v>0</v>
      </c>
      <c r="AN8" s="177">
        <f t="shared" ca="1" si="25"/>
        <v>0</v>
      </c>
      <c r="AO8" s="177">
        <f t="shared" ca="1" si="26"/>
        <v>0</v>
      </c>
      <c r="AP8" s="177">
        <f t="shared" ca="1" si="27"/>
        <v>0</v>
      </c>
      <c r="AQ8" s="177">
        <f t="shared" ca="1" si="42"/>
        <v>0</v>
      </c>
      <c r="AR8" s="177">
        <f t="shared" ca="1" si="28"/>
        <v>600</v>
      </c>
      <c r="AS8" s="176">
        <f t="shared" ca="1" si="29"/>
        <v>0</v>
      </c>
      <c r="AT8" s="176">
        <f t="shared" ca="1" si="30"/>
        <v>0</v>
      </c>
      <c r="AU8" s="176">
        <f t="shared" ca="1" si="31"/>
        <v>0</v>
      </c>
      <c r="AV8" s="176">
        <f t="shared" ca="1" si="32"/>
        <v>0</v>
      </c>
      <c r="AW8" s="176">
        <f t="shared" ca="1" si="33"/>
        <v>0</v>
      </c>
      <c r="AX8" s="176">
        <f t="shared" ca="1" si="34"/>
        <v>0</v>
      </c>
      <c r="AY8" s="176">
        <f t="shared" ca="1" si="35"/>
        <v>0</v>
      </c>
      <c r="AZ8" s="176">
        <f t="shared" ca="1" si="36"/>
        <v>0</v>
      </c>
      <c r="BA8" s="176">
        <f t="shared" ca="1" si="37"/>
        <v>0</v>
      </c>
      <c r="BB8" s="176">
        <f t="shared" ca="1" si="38"/>
        <v>0</v>
      </c>
      <c r="BC8" s="176">
        <f t="shared" ca="1" si="39"/>
        <v>0</v>
      </c>
    </row>
    <row r="9" spans="1:55">
      <c r="A9" s="1">
        <f t="shared" ca="1" si="0"/>
        <v>0</v>
      </c>
      <c r="B9" s="1" t="s">
        <v>68</v>
      </c>
      <c r="C9" s="1" t="str">
        <f t="shared" ca="1" si="40"/>
        <v/>
      </c>
      <c r="D9" s="1" t="str">
        <f t="shared" ca="1" si="1"/>
        <v/>
      </c>
      <c r="E9" s="173" t="str" cm="1">
        <f t="array" aca="1" ref="E9" ca="1">_xlfn.IFS(OR(ISBLANK(StartDateMonth),ISBLANK(StartDateYear)),"",E8&gt;=DATEVALUE(CompletionMonth&amp;CompletionYear)+1,"",TRUE,EDATE(E8,1))</f>
        <v/>
      </c>
      <c r="F9" s="176">
        <f t="shared" ca="1" si="2"/>
        <v>0</v>
      </c>
      <c r="G9" s="176">
        <f t="shared" ca="1" si="2"/>
        <v>0</v>
      </c>
      <c r="H9" s="176">
        <f t="shared" ca="1" si="2"/>
        <v>0</v>
      </c>
      <c r="I9" s="176">
        <f t="shared" ca="1" si="2"/>
        <v>0</v>
      </c>
      <c r="J9" s="176">
        <f t="shared" ca="1" si="2"/>
        <v>0</v>
      </c>
      <c r="K9" s="176">
        <f t="shared" ca="1" si="2"/>
        <v>0</v>
      </c>
      <c r="L9" s="176">
        <f t="shared" ca="1" si="2"/>
        <v>0</v>
      </c>
      <c r="M9" s="176">
        <f t="shared" ca="1" si="2"/>
        <v>0</v>
      </c>
      <c r="N9" s="176">
        <f t="shared" ca="1" si="2"/>
        <v>0</v>
      </c>
      <c r="O9" s="176">
        <f t="shared" ca="1" si="2"/>
        <v>0</v>
      </c>
      <c r="P9" s="176">
        <f t="shared" ca="1" si="3"/>
        <v>0</v>
      </c>
      <c r="Q9" s="176">
        <f t="shared" ca="1" si="4"/>
        <v>0</v>
      </c>
      <c r="R9" s="176">
        <f t="shared" ca="1" si="5"/>
        <v>0</v>
      </c>
      <c r="S9" s="176">
        <f t="shared" ca="1" si="6"/>
        <v>0</v>
      </c>
      <c r="T9" s="176">
        <f t="shared" ca="1" si="7"/>
        <v>0</v>
      </c>
      <c r="U9" s="176">
        <f t="shared" ca="1" si="8"/>
        <v>0</v>
      </c>
      <c r="V9" s="176">
        <f t="shared" ca="1" si="9"/>
        <v>0</v>
      </c>
      <c r="W9" s="177">
        <f t="shared" ca="1" si="10"/>
        <v>600</v>
      </c>
      <c r="X9" s="177">
        <f t="shared" ca="1" si="11"/>
        <v>0</v>
      </c>
      <c r="Y9" s="177">
        <f t="shared" ca="1" si="12"/>
        <v>0</v>
      </c>
      <c r="Z9" s="177">
        <f t="shared" ca="1" si="13"/>
        <v>0</v>
      </c>
      <c r="AA9" s="177">
        <f t="shared" ca="1" si="14"/>
        <v>0</v>
      </c>
      <c r="AB9" s="177">
        <f t="shared" ca="1" si="15"/>
        <v>0</v>
      </c>
      <c r="AC9" s="177">
        <f t="shared" ca="1" si="16"/>
        <v>0</v>
      </c>
      <c r="AD9" s="177">
        <f t="shared" ca="1" si="17"/>
        <v>0</v>
      </c>
      <c r="AE9" s="177">
        <f t="shared" ca="1" si="18"/>
        <v>0</v>
      </c>
      <c r="AF9" s="177">
        <f t="shared" ca="1" si="41"/>
        <v>0</v>
      </c>
      <c r="AG9" s="177">
        <f t="shared" ca="1" si="19"/>
        <v>600</v>
      </c>
      <c r="AH9" s="177">
        <f t="shared" ca="1" si="19"/>
        <v>600</v>
      </c>
      <c r="AI9" s="177">
        <f t="shared" ca="1" si="20"/>
        <v>0</v>
      </c>
      <c r="AJ9" s="177">
        <f t="shared" ca="1" si="21"/>
        <v>0</v>
      </c>
      <c r="AK9" s="177">
        <f t="shared" ca="1" si="22"/>
        <v>0</v>
      </c>
      <c r="AL9" s="177">
        <f t="shared" ca="1" si="23"/>
        <v>0</v>
      </c>
      <c r="AM9" s="177">
        <f t="shared" ca="1" si="24"/>
        <v>0</v>
      </c>
      <c r="AN9" s="177">
        <f t="shared" ca="1" si="25"/>
        <v>0</v>
      </c>
      <c r="AO9" s="177">
        <f t="shared" ca="1" si="26"/>
        <v>0</v>
      </c>
      <c r="AP9" s="177">
        <f t="shared" ca="1" si="27"/>
        <v>0</v>
      </c>
      <c r="AQ9" s="177">
        <f t="shared" ca="1" si="42"/>
        <v>0</v>
      </c>
      <c r="AR9" s="177">
        <f t="shared" ca="1" si="28"/>
        <v>600</v>
      </c>
      <c r="AS9" s="176">
        <f t="shared" ca="1" si="29"/>
        <v>0</v>
      </c>
      <c r="AT9" s="176">
        <f t="shared" ca="1" si="30"/>
        <v>0</v>
      </c>
      <c r="AU9" s="176">
        <f t="shared" ca="1" si="31"/>
        <v>0</v>
      </c>
      <c r="AV9" s="176">
        <f t="shared" ca="1" si="32"/>
        <v>0</v>
      </c>
      <c r="AW9" s="176">
        <f t="shared" ca="1" si="33"/>
        <v>0</v>
      </c>
      <c r="AX9" s="176">
        <f t="shared" ca="1" si="34"/>
        <v>0</v>
      </c>
      <c r="AY9" s="176">
        <f t="shared" ca="1" si="35"/>
        <v>0</v>
      </c>
      <c r="AZ9" s="176">
        <f t="shared" ca="1" si="36"/>
        <v>0</v>
      </c>
      <c r="BA9" s="176">
        <f t="shared" ca="1" si="37"/>
        <v>0</v>
      </c>
      <c r="BB9" s="176">
        <f t="shared" ca="1" si="38"/>
        <v>0</v>
      </c>
      <c r="BC9" s="176">
        <f t="shared" ca="1" si="39"/>
        <v>0</v>
      </c>
    </row>
    <row r="10" spans="1:55">
      <c r="A10" s="1">
        <f t="shared" ca="1" si="0"/>
        <v>0</v>
      </c>
      <c r="B10" s="1" t="s">
        <v>69</v>
      </c>
      <c r="C10" s="1" t="str">
        <f t="shared" ca="1" si="40"/>
        <v/>
      </c>
      <c r="D10" s="1" t="str">
        <f t="shared" ca="1" si="1"/>
        <v/>
      </c>
      <c r="E10" s="173" t="str" cm="1">
        <f t="array" aca="1" ref="E10" ca="1">_xlfn.IFS(OR(ISBLANK(StartDateMonth),ISBLANK(StartDateYear)),"",E9&gt;=DATEVALUE(CompletionMonth&amp;CompletionYear)+1,"",TRUE,EDATE(E9,1))</f>
        <v/>
      </c>
      <c r="F10" s="176">
        <f t="shared" ca="1" si="2"/>
        <v>0</v>
      </c>
      <c r="G10" s="176">
        <f t="shared" ca="1" si="2"/>
        <v>0</v>
      </c>
      <c r="H10" s="176">
        <f t="shared" ca="1" si="2"/>
        <v>0</v>
      </c>
      <c r="I10" s="176">
        <f t="shared" ca="1" si="2"/>
        <v>0</v>
      </c>
      <c r="J10" s="176">
        <f t="shared" ca="1" si="2"/>
        <v>0</v>
      </c>
      <c r="K10" s="176">
        <f t="shared" ca="1" si="2"/>
        <v>0</v>
      </c>
      <c r="L10" s="176">
        <f t="shared" ca="1" si="2"/>
        <v>0</v>
      </c>
      <c r="M10" s="176">
        <f t="shared" ca="1" si="2"/>
        <v>0</v>
      </c>
      <c r="N10" s="176">
        <f t="shared" ca="1" si="2"/>
        <v>0</v>
      </c>
      <c r="O10" s="176">
        <f t="shared" ca="1" si="2"/>
        <v>0</v>
      </c>
      <c r="P10" s="176">
        <f t="shared" ca="1" si="3"/>
        <v>0</v>
      </c>
      <c r="Q10" s="176">
        <f t="shared" ca="1" si="4"/>
        <v>0</v>
      </c>
      <c r="R10" s="176">
        <f t="shared" ca="1" si="5"/>
        <v>0</v>
      </c>
      <c r="S10" s="176">
        <f t="shared" ca="1" si="6"/>
        <v>0</v>
      </c>
      <c r="T10" s="176">
        <f t="shared" ca="1" si="7"/>
        <v>0</v>
      </c>
      <c r="U10" s="176">
        <f t="shared" ca="1" si="8"/>
        <v>0</v>
      </c>
      <c r="V10" s="176">
        <f t="shared" ca="1" si="9"/>
        <v>0</v>
      </c>
      <c r="W10" s="177">
        <f t="shared" ca="1" si="10"/>
        <v>600</v>
      </c>
      <c r="X10" s="177">
        <f t="shared" ca="1" si="11"/>
        <v>0</v>
      </c>
      <c r="Y10" s="177">
        <f t="shared" ca="1" si="12"/>
        <v>0</v>
      </c>
      <c r="Z10" s="177">
        <f t="shared" ca="1" si="13"/>
        <v>0</v>
      </c>
      <c r="AA10" s="177">
        <f t="shared" ca="1" si="14"/>
        <v>0</v>
      </c>
      <c r="AB10" s="177">
        <f t="shared" ca="1" si="15"/>
        <v>0</v>
      </c>
      <c r="AC10" s="177">
        <f t="shared" ca="1" si="16"/>
        <v>0</v>
      </c>
      <c r="AD10" s="177">
        <f t="shared" ca="1" si="17"/>
        <v>0</v>
      </c>
      <c r="AE10" s="177">
        <f t="shared" ca="1" si="18"/>
        <v>0</v>
      </c>
      <c r="AF10" s="177">
        <f t="shared" ca="1" si="41"/>
        <v>0</v>
      </c>
      <c r="AG10" s="177">
        <f t="shared" ca="1" si="19"/>
        <v>600</v>
      </c>
      <c r="AH10" s="177">
        <f t="shared" ca="1" si="19"/>
        <v>600</v>
      </c>
      <c r="AI10" s="177">
        <f t="shared" ca="1" si="20"/>
        <v>0</v>
      </c>
      <c r="AJ10" s="177">
        <f t="shared" ca="1" si="21"/>
        <v>0</v>
      </c>
      <c r="AK10" s="177">
        <f t="shared" ca="1" si="22"/>
        <v>0</v>
      </c>
      <c r="AL10" s="177">
        <f t="shared" ca="1" si="23"/>
        <v>0</v>
      </c>
      <c r="AM10" s="177">
        <f t="shared" ca="1" si="24"/>
        <v>0</v>
      </c>
      <c r="AN10" s="177">
        <f t="shared" ca="1" si="25"/>
        <v>0</v>
      </c>
      <c r="AO10" s="177">
        <f t="shared" ca="1" si="26"/>
        <v>0</v>
      </c>
      <c r="AP10" s="177">
        <f t="shared" ca="1" si="27"/>
        <v>0</v>
      </c>
      <c r="AQ10" s="177">
        <f t="shared" ca="1" si="42"/>
        <v>0</v>
      </c>
      <c r="AR10" s="177">
        <f t="shared" ca="1" si="28"/>
        <v>600</v>
      </c>
      <c r="AS10" s="176">
        <f t="shared" ca="1" si="29"/>
        <v>0</v>
      </c>
      <c r="AT10" s="176">
        <f t="shared" ca="1" si="30"/>
        <v>0</v>
      </c>
      <c r="AU10" s="176">
        <f t="shared" ca="1" si="31"/>
        <v>0</v>
      </c>
      <c r="AV10" s="176">
        <f t="shared" ca="1" si="32"/>
        <v>0</v>
      </c>
      <c r="AW10" s="176">
        <f t="shared" ca="1" si="33"/>
        <v>0</v>
      </c>
      <c r="AX10" s="176">
        <f t="shared" ca="1" si="34"/>
        <v>0</v>
      </c>
      <c r="AY10" s="176">
        <f t="shared" ca="1" si="35"/>
        <v>0</v>
      </c>
      <c r="AZ10" s="176">
        <f t="shared" ca="1" si="36"/>
        <v>0</v>
      </c>
      <c r="BA10" s="176">
        <f t="shared" ca="1" si="37"/>
        <v>0</v>
      </c>
      <c r="BB10" s="176">
        <f t="shared" ca="1" si="38"/>
        <v>0</v>
      </c>
      <c r="BC10" s="176">
        <f t="shared" ca="1" si="39"/>
        <v>0</v>
      </c>
    </row>
    <row r="11" spans="1:55">
      <c r="A11" s="1">
        <f t="shared" ca="1" si="0"/>
        <v>0</v>
      </c>
      <c r="B11" s="1" t="s">
        <v>70</v>
      </c>
      <c r="C11" s="1" t="str">
        <f t="shared" ca="1" si="40"/>
        <v/>
      </c>
      <c r="D11" s="1" t="str">
        <f t="shared" ca="1" si="1"/>
        <v/>
      </c>
      <c r="E11" s="173" t="str" cm="1">
        <f t="array" aca="1" ref="E11" ca="1">_xlfn.IFS(OR(ISBLANK(StartDateMonth),ISBLANK(StartDateYear)),"",E10&gt;=DATEVALUE(CompletionMonth&amp;CompletionYear)+1,"",TRUE,EDATE(E10,1))</f>
        <v/>
      </c>
      <c r="F11" s="176">
        <f t="shared" ca="1" si="2"/>
        <v>0</v>
      </c>
      <c r="G11" s="176">
        <f t="shared" ca="1" si="2"/>
        <v>0</v>
      </c>
      <c r="H11" s="176">
        <f t="shared" ca="1" si="2"/>
        <v>0</v>
      </c>
      <c r="I11" s="176">
        <f t="shared" ca="1" si="2"/>
        <v>0</v>
      </c>
      <c r="J11" s="176">
        <f t="shared" ca="1" si="2"/>
        <v>0</v>
      </c>
      <c r="K11" s="176">
        <f t="shared" ca="1" si="2"/>
        <v>0</v>
      </c>
      <c r="L11" s="176">
        <f t="shared" ca="1" si="2"/>
        <v>0</v>
      </c>
      <c r="M11" s="176">
        <f t="shared" ca="1" si="2"/>
        <v>0</v>
      </c>
      <c r="N11" s="176">
        <f t="shared" ca="1" si="2"/>
        <v>0</v>
      </c>
      <c r="O11" s="176">
        <f t="shared" ca="1" si="2"/>
        <v>0</v>
      </c>
      <c r="P11" s="176">
        <f t="shared" ca="1" si="3"/>
        <v>0</v>
      </c>
      <c r="Q11" s="176">
        <f t="shared" ca="1" si="4"/>
        <v>0</v>
      </c>
      <c r="R11" s="176">
        <f t="shared" ca="1" si="5"/>
        <v>0</v>
      </c>
      <c r="S11" s="176">
        <f t="shared" ca="1" si="6"/>
        <v>0</v>
      </c>
      <c r="T11" s="176">
        <f t="shared" ca="1" si="7"/>
        <v>0</v>
      </c>
      <c r="U11" s="176">
        <f t="shared" ca="1" si="8"/>
        <v>0</v>
      </c>
      <c r="V11" s="176">
        <f t="shared" ca="1" si="9"/>
        <v>0</v>
      </c>
      <c r="W11" s="177">
        <f t="shared" ca="1" si="10"/>
        <v>600</v>
      </c>
      <c r="X11" s="177">
        <f t="shared" ca="1" si="11"/>
        <v>0</v>
      </c>
      <c r="Y11" s="177">
        <f t="shared" ca="1" si="12"/>
        <v>0</v>
      </c>
      <c r="Z11" s="177">
        <f t="shared" ca="1" si="13"/>
        <v>0</v>
      </c>
      <c r="AA11" s="177">
        <f t="shared" ca="1" si="14"/>
        <v>0</v>
      </c>
      <c r="AB11" s="177">
        <f t="shared" ca="1" si="15"/>
        <v>0</v>
      </c>
      <c r="AC11" s="177">
        <f t="shared" ca="1" si="16"/>
        <v>0</v>
      </c>
      <c r="AD11" s="177">
        <f t="shared" ca="1" si="17"/>
        <v>0</v>
      </c>
      <c r="AE11" s="177">
        <f t="shared" ca="1" si="18"/>
        <v>0</v>
      </c>
      <c r="AF11" s="177">
        <f t="shared" ca="1" si="41"/>
        <v>0</v>
      </c>
      <c r="AG11" s="177">
        <f t="shared" ca="1" si="19"/>
        <v>600</v>
      </c>
      <c r="AH11" s="177">
        <f t="shared" ca="1" si="19"/>
        <v>600</v>
      </c>
      <c r="AI11" s="177">
        <f t="shared" ca="1" si="20"/>
        <v>0</v>
      </c>
      <c r="AJ11" s="177">
        <f t="shared" ca="1" si="21"/>
        <v>0</v>
      </c>
      <c r="AK11" s="177">
        <f t="shared" ca="1" si="22"/>
        <v>0</v>
      </c>
      <c r="AL11" s="177">
        <f t="shared" ca="1" si="23"/>
        <v>0</v>
      </c>
      <c r="AM11" s="177">
        <f t="shared" ca="1" si="24"/>
        <v>0</v>
      </c>
      <c r="AN11" s="177">
        <f t="shared" ca="1" si="25"/>
        <v>0</v>
      </c>
      <c r="AO11" s="177">
        <f t="shared" ca="1" si="26"/>
        <v>0</v>
      </c>
      <c r="AP11" s="177">
        <f t="shared" ca="1" si="27"/>
        <v>0</v>
      </c>
      <c r="AQ11" s="177">
        <f t="shared" ca="1" si="42"/>
        <v>0</v>
      </c>
      <c r="AR11" s="177">
        <f t="shared" ca="1" si="28"/>
        <v>600</v>
      </c>
      <c r="AS11" s="176">
        <f t="shared" ca="1" si="29"/>
        <v>0</v>
      </c>
      <c r="AT11" s="176">
        <f t="shared" ca="1" si="30"/>
        <v>0</v>
      </c>
      <c r="AU11" s="176">
        <f t="shared" ca="1" si="31"/>
        <v>0</v>
      </c>
      <c r="AV11" s="176">
        <f t="shared" ca="1" si="32"/>
        <v>0</v>
      </c>
      <c r="AW11" s="176">
        <f t="shared" ca="1" si="33"/>
        <v>0</v>
      </c>
      <c r="AX11" s="176">
        <f t="shared" ca="1" si="34"/>
        <v>0</v>
      </c>
      <c r="AY11" s="176">
        <f t="shared" ca="1" si="35"/>
        <v>0</v>
      </c>
      <c r="AZ11" s="176">
        <f t="shared" ca="1" si="36"/>
        <v>0</v>
      </c>
      <c r="BA11" s="176">
        <f t="shared" ca="1" si="37"/>
        <v>0</v>
      </c>
      <c r="BB11" s="176">
        <f t="shared" ca="1" si="38"/>
        <v>0</v>
      </c>
      <c r="BC11" s="176">
        <f t="shared" ca="1" si="39"/>
        <v>0</v>
      </c>
    </row>
    <row r="12" spans="1:55">
      <c r="A12" s="1">
        <f t="shared" ca="1" si="0"/>
        <v>0</v>
      </c>
      <c r="B12" s="1" t="s">
        <v>71</v>
      </c>
      <c r="C12" s="1" t="str">
        <f t="shared" ca="1" si="40"/>
        <v/>
      </c>
      <c r="D12" s="1" t="str">
        <f t="shared" ca="1" si="1"/>
        <v/>
      </c>
      <c r="E12" s="173" t="str" cm="1">
        <f t="array" aca="1" ref="E12" ca="1">_xlfn.IFS(OR(ISBLANK(StartDateMonth),ISBLANK(StartDateYear)),"",E11&gt;=DATEVALUE(CompletionMonth&amp;CompletionYear)+1,"",TRUE,EDATE(E11,1))</f>
        <v/>
      </c>
      <c r="F12" s="176">
        <f t="shared" ca="1" si="2"/>
        <v>0</v>
      </c>
      <c r="G12" s="176">
        <f t="shared" ca="1" si="2"/>
        <v>0</v>
      </c>
      <c r="H12" s="176">
        <f t="shared" ca="1" si="2"/>
        <v>0</v>
      </c>
      <c r="I12" s="176">
        <f t="shared" ca="1" si="2"/>
        <v>0</v>
      </c>
      <c r="J12" s="176">
        <f t="shared" ca="1" si="2"/>
        <v>0</v>
      </c>
      <c r="K12" s="176">
        <f t="shared" ca="1" si="2"/>
        <v>0</v>
      </c>
      <c r="L12" s="176">
        <f t="shared" ca="1" si="2"/>
        <v>0</v>
      </c>
      <c r="M12" s="176">
        <f t="shared" ca="1" si="2"/>
        <v>0</v>
      </c>
      <c r="N12" s="176">
        <f t="shared" ca="1" si="2"/>
        <v>0</v>
      </c>
      <c r="O12" s="176">
        <f t="shared" ca="1" si="2"/>
        <v>0</v>
      </c>
      <c r="P12" s="176">
        <f t="shared" ca="1" si="3"/>
        <v>0</v>
      </c>
      <c r="Q12" s="176">
        <f t="shared" ca="1" si="4"/>
        <v>0</v>
      </c>
      <c r="R12" s="176">
        <f t="shared" ca="1" si="5"/>
        <v>0</v>
      </c>
      <c r="S12" s="176">
        <f t="shared" ca="1" si="6"/>
        <v>0</v>
      </c>
      <c r="T12" s="176">
        <f t="shared" ca="1" si="7"/>
        <v>0</v>
      </c>
      <c r="U12" s="176">
        <f t="shared" ca="1" si="8"/>
        <v>0</v>
      </c>
      <c r="V12" s="176">
        <f t="shared" ca="1" si="9"/>
        <v>0</v>
      </c>
      <c r="W12" s="177">
        <f t="shared" ca="1" si="10"/>
        <v>600</v>
      </c>
      <c r="X12" s="177">
        <f t="shared" ca="1" si="11"/>
        <v>0</v>
      </c>
      <c r="Y12" s="177">
        <f t="shared" ca="1" si="12"/>
        <v>0</v>
      </c>
      <c r="Z12" s="177">
        <f t="shared" ca="1" si="13"/>
        <v>0</v>
      </c>
      <c r="AA12" s="177">
        <f t="shared" ca="1" si="14"/>
        <v>0</v>
      </c>
      <c r="AB12" s="177">
        <f t="shared" ca="1" si="15"/>
        <v>0</v>
      </c>
      <c r="AC12" s="177">
        <f t="shared" ca="1" si="16"/>
        <v>0</v>
      </c>
      <c r="AD12" s="177">
        <f t="shared" ca="1" si="17"/>
        <v>0</v>
      </c>
      <c r="AE12" s="177">
        <f t="shared" ca="1" si="18"/>
        <v>0</v>
      </c>
      <c r="AF12" s="177">
        <f t="shared" ca="1" si="41"/>
        <v>0</v>
      </c>
      <c r="AG12" s="177">
        <f t="shared" ca="1" si="19"/>
        <v>600</v>
      </c>
      <c r="AH12" s="177">
        <f t="shared" ca="1" si="19"/>
        <v>600</v>
      </c>
      <c r="AI12" s="177">
        <f t="shared" ca="1" si="20"/>
        <v>0</v>
      </c>
      <c r="AJ12" s="177">
        <f t="shared" ca="1" si="21"/>
        <v>0</v>
      </c>
      <c r="AK12" s="177">
        <f t="shared" ca="1" si="22"/>
        <v>0</v>
      </c>
      <c r="AL12" s="177">
        <f t="shared" ca="1" si="23"/>
        <v>0</v>
      </c>
      <c r="AM12" s="177">
        <f t="shared" ca="1" si="24"/>
        <v>0</v>
      </c>
      <c r="AN12" s="177">
        <f t="shared" ca="1" si="25"/>
        <v>0</v>
      </c>
      <c r="AO12" s="177">
        <f t="shared" ca="1" si="26"/>
        <v>0</v>
      </c>
      <c r="AP12" s="177">
        <f t="shared" ca="1" si="27"/>
        <v>0</v>
      </c>
      <c r="AQ12" s="177">
        <f t="shared" ca="1" si="42"/>
        <v>0</v>
      </c>
      <c r="AR12" s="177">
        <f t="shared" ca="1" si="28"/>
        <v>600</v>
      </c>
      <c r="AS12" s="176">
        <f t="shared" ca="1" si="29"/>
        <v>0</v>
      </c>
      <c r="AT12" s="176">
        <f t="shared" ca="1" si="30"/>
        <v>0</v>
      </c>
      <c r="AU12" s="176">
        <f t="shared" ca="1" si="31"/>
        <v>0</v>
      </c>
      <c r="AV12" s="176">
        <f t="shared" ca="1" si="32"/>
        <v>0</v>
      </c>
      <c r="AW12" s="176">
        <f t="shared" ca="1" si="33"/>
        <v>0</v>
      </c>
      <c r="AX12" s="176">
        <f t="shared" ca="1" si="34"/>
        <v>0</v>
      </c>
      <c r="AY12" s="176">
        <f t="shared" ca="1" si="35"/>
        <v>0</v>
      </c>
      <c r="AZ12" s="176">
        <f t="shared" ca="1" si="36"/>
        <v>0</v>
      </c>
      <c r="BA12" s="176">
        <f t="shared" ca="1" si="37"/>
        <v>0</v>
      </c>
      <c r="BB12" s="176">
        <f t="shared" ca="1" si="38"/>
        <v>0</v>
      </c>
      <c r="BC12" s="176">
        <f t="shared" ca="1" si="39"/>
        <v>0</v>
      </c>
    </row>
    <row r="13" spans="1:55">
      <c r="A13" s="1">
        <f t="shared" ca="1" si="0"/>
        <v>0</v>
      </c>
      <c r="B13" s="1" t="s">
        <v>72</v>
      </c>
      <c r="C13" s="1" t="str">
        <f t="shared" ca="1" si="40"/>
        <v/>
      </c>
      <c r="D13" s="1" t="str">
        <f t="shared" ca="1" si="1"/>
        <v/>
      </c>
      <c r="E13" s="173" t="str" cm="1">
        <f t="array" aca="1" ref="E13" ca="1">_xlfn.IFS(OR(ISBLANK(StartDateMonth),ISBLANK(StartDateYear)),"",E12&gt;=DATEVALUE(CompletionMonth&amp;CompletionYear)+1,"",TRUE,EDATE(E12,1))</f>
        <v/>
      </c>
      <c r="F13" s="176">
        <f t="shared" ca="1" si="2"/>
        <v>0</v>
      </c>
      <c r="G13" s="176">
        <f t="shared" ca="1" si="2"/>
        <v>0</v>
      </c>
      <c r="H13" s="176">
        <f t="shared" ca="1" si="2"/>
        <v>0</v>
      </c>
      <c r="I13" s="176">
        <f t="shared" ca="1" si="2"/>
        <v>0</v>
      </c>
      <c r="J13" s="176">
        <f t="shared" ca="1" si="2"/>
        <v>0</v>
      </c>
      <c r="K13" s="176">
        <f t="shared" ca="1" si="2"/>
        <v>0</v>
      </c>
      <c r="L13" s="176">
        <f t="shared" ca="1" si="2"/>
        <v>0</v>
      </c>
      <c r="M13" s="176">
        <f t="shared" ca="1" si="2"/>
        <v>0</v>
      </c>
      <c r="N13" s="176">
        <f t="shared" ca="1" si="2"/>
        <v>0</v>
      </c>
      <c r="O13" s="176">
        <f t="shared" ca="1" si="2"/>
        <v>0</v>
      </c>
      <c r="P13" s="176">
        <f t="shared" ca="1" si="3"/>
        <v>0</v>
      </c>
      <c r="Q13" s="176">
        <f t="shared" ca="1" si="4"/>
        <v>0</v>
      </c>
      <c r="R13" s="176">
        <f t="shared" ca="1" si="5"/>
        <v>0</v>
      </c>
      <c r="S13" s="176">
        <f t="shared" ca="1" si="6"/>
        <v>0</v>
      </c>
      <c r="T13" s="176">
        <f t="shared" ca="1" si="7"/>
        <v>0</v>
      </c>
      <c r="U13" s="176">
        <f t="shared" ca="1" si="8"/>
        <v>0</v>
      </c>
      <c r="V13" s="176">
        <f t="shared" ca="1" si="9"/>
        <v>0</v>
      </c>
      <c r="W13" s="177">
        <f t="shared" ca="1" si="10"/>
        <v>600</v>
      </c>
      <c r="X13" s="177">
        <f t="shared" ca="1" si="11"/>
        <v>0</v>
      </c>
      <c r="Y13" s="177">
        <f t="shared" ca="1" si="12"/>
        <v>0</v>
      </c>
      <c r="Z13" s="177">
        <f t="shared" ca="1" si="13"/>
        <v>0</v>
      </c>
      <c r="AA13" s="177">
        <f t="shared" ca="1" si="14"/>
        <v>0</v>
      </c>
      <c r="AB13" s="177">
        <f t="shared" ca="1" si="15"/>
        <v>0</v>
      </c>
      <c r="AC13" s="177">
        <f t="shared" ca="1" si="16"/>
        <v>0</v>
      </c>
      <c r="AD13" s="177">
        <f t="shared" ca="1" si="17"/>
        <v>0</v>
      </c>
      <c r="AE13" s="177">
        <f t="shared" ca="1" si="18"/>
        <v>0</v>
      </c>
      <c r="AF13" s="177">
        <f t="shared" ca="1" si="41"/>
        <v>0</v>
      </c>
      <c r="AG13" s="177">
        <f t="shared" ca="1" si="19"/>
        <v>600</v>
      </c>
      <c r="AH13" s="177">
        <f t="shared" ca="1" si="19"/>
        <v>600</v>
      </c>
      <c r="AI13" s="177">
        <f t="shared" ca="1" si="20"/>
        <v>0</v>
      </c>
      <c r="AJ13" s="177">
        <f t="shared" ca="1" si="21"/>
        <v>0</v>
      </c>
      <c r="AK13" s="177">
        <f t="shared" ca="1" si="22"/>
        <v>0</v>
      </c>
      <c r="AL13" s="177">
        <f t="shared" ca="1" si="23"/>
        <v>0</v>
      </c>
      <c r="AM13" s="177">
        <f t="shared" ca="1" si="24"/>
        <v>0</v>
      </c>
      <c r="AN13" s="177">
        <f t="shared" ca="1" si="25"/>
        <v>0</v>
      </c>
      <c r="AO13" s="177">
        <f t="shared" ca="1" si="26"/>
        <v>0</v>
      </c>
      <c r="AP13" s="177">
        <f t="shared" ca="1" si="27"/>
        <v>0</v>
      </c>
      <c r="AQ13" s="177">
        <f t="shared" ca="1" si="42"/>
        <v>0</v>
      </c>
      <c r="AR13" s="177">
        <f t="shared" ca="1" si="28"/>
        <v>600</v>
      </c>
      <c r="AS13" s="176">
        <f t="shared" ca="1" si="29"/>
        <v>0</v>
      </c>
      <c r="AT13" s="176">
        <f t="shared" ca="1" si="30"/>
        <v>0</v>
      </c>
      <c r="AU13" s="176">
        <f t="shared" ca="1" si="31"/>
        <v>0</v>
      </c>
      <c r="AV13" s="176">
        <f t="shared" ca="1" si="32"/>
        <v>0</v>
      </c>
      <c r="AW13" s="176">
        <f t="shared" ca="1" si="33"/>
        <v>0</v>
      </c>
      <c r="AX13" s="176">
        <f t="shared" ca="1" si="34"/>
        <v>0</v>
      </c>
      <c r="AY13" s="176">
        <f t="shared" ca="1" si="35"/>
        <v>0</v>
      </c>
      <c r="AZ13" s="176">
        <f t="shared" ca="1" si="36"/>
        <v>0</v>
      </c>
      <c r="BA13" s="176">
        <f t="shared" ca="1" si="37"/>
        <v>0</v>
      </c>
      <c r="BB13" s="176">
        <f t="shared" ca="1" si="38"/>
        <v>0</v>
      </c>
      <c r="BC13" s="176">
        <f t="shared" ca="1" si="39"/>
        <v>0</v>
      </c>
    </row>
    <row r="14" spans="1:55">
      <c r="A14" s="1">
        <f t="shared" ca="1" si="0"/>
        <v>0</v>
      </c>
      <c r="B14" s="1" t="s">
        <v>73</v>
      </c>
      <c r="C14" s="1" t="str">
        <f t="shared" ca="1" si="40"/>
        <v/>
      </c>
      <c r="D14" s="1" t="str">
        <f t="shared" ca="1" si="1"/>
        <v/>
      </c>
      <c r="E14" s="173" t="str" cm="1">
        <f t="array" aca="1" ref="E14" ca="1">_xlfn.IFS(OR(ISBLANK(StartDateMonth),ISBLANK(StartDateYear)),"",E13&gt;=DATEVALUE(CompletionMonth&amp;CompletionYear)+1,"",TRUE,EDATE(E13,1))</f>
        <v/>
      </c>
      <c r="F14" s="176">
        <f t="shared" ref="F14:O23" ca="1" si="43">IF($A14=1,INDEX(DevelopmentCosts,MATCH(F$3,TotalDevCostsList,0),MATCH($B14,DevelopmentCostTitle,0)),0)</f>
        <v>0</v>
      </c>
      <c r="G14" s="176">
        <f t="shared" ca="1" si="43"/>
        <v>0</v>
      </c>
      <c r="H14" s="176">
        <f t="shared" ca="1" si="43"/>
        <v>0</v>
      </c>
      <c r="I14" s="176">
        <f t="shared" ca="1" si="43"/>
        <v>0</v>
      </c>
      <c r="J14" s="176">
        <f t="shared" ca="1" si="43"/>
        <v>0</v>
      </c>
      <c r="K14" s="176">
        <f t="shared" ca="1" si="43"/>
        <v>0</v>
      </c>
      <c r="L14" s="176">
        <f t="shared" ca="1" si="43"/>
        <v>0</v>
      </c>
      <c r="M14" s="176">
        <f t="shared" ca="1" si="43"/>
        <v>0</v>
      </c>
      <c r="N14" s="176">
        <f t="shared" ca="1" si="43"/>
        <v>0</v>
      </c>
      <c r="O14" s="176">
        <f t="shared" ca="1" si="43"/>
        <v>0</v>
      </c>
      <c r="P14" s="176">
        <f t="shared" ca="1" si="3"/>
        <v>0</v>
      </c>
      <c r="Q14" s="176">
        <f t="shared" ca="1" si="4"/>
        <v>0</v>
      </c>
      <c r="R14" s="176">
        <f t="shared" ca="1" si="5"/>
        <v>0</v>
      </c>
      <c r="S14" s="176">
        <f t="shared" ca="1" si="6"/>
        <v>0</v>
      </c>
      <c r="T14" s="176">
        <f t="shared" ca="1" si="7"/>
        <v>0</v>
      </c>
      <c r="U14" s="176">
        <f t="shared" ca="1" si="8"/>
        <v>0</v>
      </c>
      <c r="V14" s="176">
        <f t="shared" ca="1" si="9"/>
        <v>0</v>
      </c>
      <c r="W14" s="177">
        <f t="shared" ca="1" si="10"/>
        <v>600</v>
      </c>
      <c r="X14" s="177">
        <f t="shared" ca="1" si="11"/>
        <v>0</v>
      </c>
      <c r="Y14" s="177">
        <f t="shared" ca="1" si="12"/>
        <v>0</v>
      </c>
      <c r="Z14" s="177">
        <f t="shared" ca="1" si="13"/>
        <v>0</v>
      </c>
      <c r="AA14" s="177">
        <f t="shared" ca="1" si="14"/>
        <v>0</v>
      </c>
      <c r="AB14" s="177">
        <f t="shared" ca="1" si="15"/>
        <v>0</v>
      </c>
      <c r="AC14" s="177">
        <f t="shared" ca="1" si="16"/>
        <v>0</v>
      </c>
      <c r="AD14" s="177">
        <f t="shared" ca="1" si="17"/>
        <v>0</v>
      </c>
      <c r="AE14" s="177">
        <f t="shared" ca="1" si="18"/>
        <v>0</v>
      </c>
      <c r="AF14" s="177">
        <f t="shared" ca="1" si="41"/>
        <v>0</v>
      </c>
      <c r="AG14" s="177">
        <f t="shared" ca="1" si="19"/>
        <v>600</v>
      </c>
      <c r="AH14" s="177">
        <f t="shared" ca="1" si="19"/>
        <v>600</v>
      </c>
      <c r="AI14" s="177">
        <f t="shared" ca="1" si="20"/>
        <v>0</v>
      </c>
      <c r="AJ14" s="177">
        <f t="shared" ca="1" si="21"/>
        <v>0</v>
      </c>
      <c r="AK14" s="177">
        <f t="shared" ca="1" si="22"/>
        <v>0</v>
      </c>
      <c r="AL14" s="177">
        <f t="shared" ca="1" si="23"/>
        <v>0</v>
      </c>
      <c r="AM14" s="177">
        <f t="shared" ca="1" si="24"/>
        <v>0</v>
      </c>
      <c r="AN14" s="177">
        <f t="shared" ca="1" si="25"/>
        <v>0</v>
      </c>
      <c r="AO14" s="177">
        <f t="shared" ca="1" si="26"/>
        <v>0</v>
      </c>
      <c r="AP14" s="177">
        <f t="shared" ca="1" si="27"/>
        <v>0</v>
      </c>
      <c r="AQ14" s="177">
        <f t="shared" ca="1" si="42"/>
        <v>0</v>
      </c>
      <c r="AR14" s="177">
        <f t="shared" ca="1" si="28"/>
        <v>600</v>
      </c>
      <c r="AS14" s="176">
        <f t="shared" ca="1" si="29"/>
        <v>0</v>
      </c>
      <c r="AT14" s="176">
        <f t="shared" ca="1" si="30"/>
        <v>0</v>
      </c>
      <c r="AU14" s="176">
        <f t="shared" ca="1" si="31"/>
        <v>0</v>
      </c>
      <c r="AV14" s="176">
        <f t="shared" ca="1" si="32"/>
        <v>0</v>
      </c>
      <c r="AW14" s="176">
        <f t="shared" ca="1" si="33"/>
        <v>0</v>
      </c>
      <c r="AX14" s="176">
        <f t="shared" ca="1" si="34"/>
        <v>0</v>
      </c>
      <c r="AY14" s="176">
        <f t="shared" ca="1" si="35"/>
        <v>0</v>
      </c>
      <c r="AZ14" s="176">
        <f t="shared" ca="1" si="36"/>
        <v>0</v>
      </c>
      <c r="BA14" s="176">
        <f t="shared" ca="1" si="37"/>
        <v>0</v>
      </c>
      <c r="BB14" s="176">
        <f t="shared" ca="1" si="38"/>
        <v>0</v>
      </c>
      <c r="BC14" s="176">
        <f t="shared" ca="1" si="39"/>
        <v>0</v>
      </c>
    </row>
    <row r="15" spans="1:55">
      <c r="A15" s="1">
        <f t="shared" ca="1" si="0"/>
        <v>0</v>
      </c>
      <c r="B15" s="1" t="s">
        <v>74</v>
      </c>
      <c r="C15" s="1" t="str">
        <f t="shared" ca="1" si="40"/>
        <v/>
      </c>
      <c r="D15" s="1" t="str">
        <f t="shared" ca="1" si="1"/>
        <v/>
      </c>
      <c r="E15" s="173" t="str" cm="1">
        <f t="array" aca="1" ref="E15" ca="1">_xlfn.IFS(OR(ISBLANK(StartDateMonth),ISBLANK(StartDateYear)),"",E14&gt;=DATEVALUE(CompletionMonth&amp;CompletionYear)+1,"",TRUE,EDATE(E14,1))</f>
        <v/>
      </c>
      <c r="F15" s="176">
        <f t="shared" ca="1" si="43"/>
        <v>0</v>
      </c>
      <c r="G15" s="176">
        <f t="shared" ca="1" si="43"/>
        <v>0</v>
      </c>
      <c r="H15" s="176">
        <f t="shared" ca="1" si="43"/>
        <v>0</v>
      </c>
      <c r="I15" s="176">
        <f t="shared" ca="1" si="43"/>
        <v>0</v>
      </c>
      <c r="J15" s="176">
        <f t="shared" ca="1" si="43"/>
        <v>0</v>
      </c>
      <c r="K15" s="176">
        <f t="shared" ca="1" si="43"/>
        <v>0</v>
      </c>
      <c r="L15" s="176">
        <f t="shared" ca="1" si="43"/>
        <v>0</v>
      </c>
      <c r="M15" s="176">
        <f t="shared" ca="1" si="43"/>
        <v>0</v>
      </c>
      <c r="N15" s="176">
        <f t="shared" ca="1" si="43"/>
        <v>0</v>
      </c>
      <c r="O15" s="176">
        <f t="shared" ca="1" si="43"/>
        <v>0</v>
      </c>
      <c r="P15" s="176">
        <f t="shared" ca="1" si="3"/>
        <v>0</v>
      </c>
      <c r="Q15" s="176">
        <f t="shared" ca="1" si="4"/>
        <v>0</v>
      </c>
      <c r="R15" s="176">
        <f t="shared" ca="1" si="5"/>
        <v>0</v>
      </c>
      <c r="S15" s="176">
        <f t="shared" ca="1" si="6"/>
        <v>0</v>
      </c>
      <c r="T15" s="176">
        <f t="shared" ca="1" si="7"/>
        <v>0</v>
      </c>
      <c r="U15" s="176">
        <f t="shared" ca="1" si="8"/>
        <v>0</v>
      </c>
      <c r="V15" s="176">
        <f t="shared" ca="1" si="9"/>
        <v>0</v>
      </c>
      <c r="W15" s="177">
        <f t="shared" ca="1" si="10"/>
        <v>600</v>
      </c>
      <c r="X15" s="177">
        <f t="shared" ca="1" si="11"/>
        <v>0</v>
      </c>
      <c r="Y15" s="177">
        <f t="shared" ca="1" si="12"/>
        <v>0</v>
      </c>
      <c r="Z15" s="177">
        <f t="shared" ca="1" si="13"/>
        <v>0</v>
      </c>
      <c r="AA15" s="177">
        <f t="shared" ca="1" si="14"/>
        <v>0</v>
      </c>
      <c r="AB15" s="177">
        <f t="shared" ca="1" si="15"/>
        <v>0</v>
      </c>
      <c r="AC15" s="177">
        <f t="shared" ca="1" si="16"/>
        <v>0</v>
      </c>
      <c r="AD15" s="177">
        <f t="shared" ca="1" si="17"/>
        <v>0</v>
      </c>
      <c r="AE15" s="177">
        <f t="shared" ca="1" si="18"/>
        <v>0</v>
      </c>
      <c r="AF15" s="177">
        <f t="shared" ca="1" si="41"/>
        <v>0</v>
      </c>
      <c r="AG15" s="177">
        <f t="shared" ca="1" si="19"/>
        <v>600</v>
      </c>
      <c r="AH15" s="177">
        <f t="shared" ca="1" si="19"/>
        <v>600</v>
      </c>
      <c r="AI15" s="177">
        <f t="shared" ca="1" si="20"/>
        <v>0</v>
      </c>
      <c r="AJ15" s="177">
        <f t="shared" ca="1" si="21"/>
        <v>0</v>
      </c>
      <c r="AK15" s="177">
        <f t="shared" ca="1" si="22"/>
        <v>0</v>
      </c>
      <c r="AL15" s="177">
        <f t="shared" ca="1" si="23"/>
        <v>0</v>
      </c>
      <c r="AM15" s="177">
        <f t="shared" ca="1" si="24"/>
        <v>0</v>
      </c>
      <c r="AN15" s="177">
        <f t="shared" ca="1" si="25"/>
        <v>0</v>
      </c>
      <c r="AO15" s="177">
        <f t="shared" ca="1" si="26"/>
        <v>0</v>
      </c>
      <c r="AP15" s="177">
        <f t="shared" ca="1" si="27"/>
        <v>0</v>
      </c>
      <c r="AQ15" s="177">
        <f t="shared" ca="1" si="42"/>
        <v>0</v>
      </c>
      <c r="AR15" s="177">
        <f t="shared" ca="1" si="28"/>
        <v>600</v>
      </c>
      <c r="AS15" s="176">
        <f t="shared" ca="1" si="29"/>
        <v>0</v>
      </c>
      <c r="AT15" s="176">
        <f t="shared" ca="1" si="30"/>
        <v>0</v>
      </c>
      <c r="AU15" s="176">
        <f t="shared" ca="1" si="31"/>
        <v>0</v>
      </c>
      <c r="AV15" s="176">
        <f t="shared" ca="1" si="32"/>
        <v>0</v>
      </c>
      <c r="AW15" s="176">
        <f t="shared" ca="1" si="33"/>
        <v>0</v>
      </c>
      <c r="AX15" s="176">
        <f t="shared" ca="1" si="34"/>
        <v>0</v>
      </c>
      <c r="AY15" s="176">
        <f t="shared" ca="1" si="35"/>
        <v>0</v>
      </c>
      <c r="AZ15" s="176">
        <f t="shared" ca="1" si="36"/>
        <v>0</v>
      </c>
      <c r="BA15" s="176">
        <f t="shared" ca="1" si="37"/>
        <v>0</v>
      </c>
      <c r="BB15" s="176">
        <f t="shared" ca="1" si="38"/>
        <v>0</v>
      </c>
      <c r="BC15" s="176">
        <f t="shared" ca="1" si="39"/>
        <v>0</v>
      </c>
    </row>
    <row r="16" spans="1:55">
      <c r="A16" s="1">
        <f t="shared" ca="1" si="0"/>
        <v>0</v>
      </c>
      <c r="B16" s="1" t="s">
        <v>75</v>
      </c>
      <c r="C16" s="1" t="str">
        <f t="shared" ca="1" si="40"/>
        <v/>
      </c>
      <c r="D16" s="1" t="str">
        <f t="shared" ca="1" si="1"/>
        <v/>
      </c>
      <c r="E16" s="173" t="str" cm="1">
        <f t="array" aca="1" ref="E16" ca="1">_xlfn.IFS(OR(ISBLANK(StartDateMonth),ISBLANK(StartDateYear)),"",E15&gt;=DATEVALUE(CompletionMonth&amp;CompletionYear)+1,"",TRUE,EDATE(E15,1))</f>
        <v/>
      </c>
      <c r="F16" s="176">
        <f t="shared" ca="1" si="43"/>
        <v>0</v>
      </c>
      <c r="G16" s="176">
        <f t="shared" ca="1" si="43"/>
        <v>0</v>
      </c>
      <c r="H16" s="176">
        <f t="shared" ca="1" si="43"/>
        <v>0</v>
      </c>
      <c r="I16" s="176">
        <f t="shared" ca="1" si="43"/>
        <v>0</v>
      </c>
      <c r="J16" s="176">
        <f t="shared" ca="1" si="43"/>
        <v>0</v>
      </c>
      <c r="K16" s="176">
        <f t="shared" ca="1" si="43"/>
        <v>0</v>
      </c>
      <c r="L16" s="176">
        <f t="shared" ca="1" si="43"/>
        <v>0</v>
      </c>
      <c r="M16" s="176">
        <f t="shared" ca="1" si="43"/>
        <v>0</v>
      </c>
      <c r="N16" s="176">
        <f t="shared" ca="1" si="43"/>
        <v>0</v>
      </c>
      <c r="O16" s="176">
        <f t="shared" ca="1" si="43"/>
        <v>0</v>
      </c>
      <c r="P16" s="176">
        <f t="shared" ca="1" si="3"/>
        <v>0</v>
      </c>
      <c r="Q16" s="176">
        <f t="shared" ca="1" si="4"/>
        <v>0</v>
      </c>
      <c r="R16" s="176">
        <f t="shared" ca="1" si="5"/>
        <v>0</v>
      </c>
      <c r="S16" s="176">
        <f t="shared" ca="1" si="6"/>
        <v>0</v>
      </c>
      <c r="T16" s="176">
        <f t="shared" ca="1" si="7"/>
        <v>0</v>
      </c>
      <c r="U16" s="176">
        <f t="shared" ca="1" si="8"/>
        <v>0</v>
      </c>
      <c r="V16" s="176">
        <f t="shared" ca="1" si="9"/>
        <v>0</v>
      </c>
      <c r="W16" s="177">
        <f t="shared" ca="1" si="10"/>
        <v>600</v>
      </c>
      <c r="X16" s="177">
        <f t="shared" ca="1" si="11"/>
        <v>0</v>
      </c>
      <c r="Y16" s="177">
        <f t="shared" ca="1" si="12"/>
        <v>0</v>
      </c>
      <c r="Z16" s="177">
        <f t="shared" ca="1" si="13"/>
        <v>0</v>
      </c>
      <c r="AA16" s="177">
        <f t="shared" ca="1" si="14"/>
        <v>0</v>
      </c>
      <c r="AB16" s="177">
        <f t="shared" ca="1" si="15"/>
        <v>0</v>
      </c>
      <c r="AC16" s="177">
        <f t="shared" ca="1" si="16"/>
        <v>0</v>
      </c>
      <c r="AD16" s="177">
        <f t="shared" ca="1" si="17"/>
        <v>0</v>
      </c>
      <c r="AE16" s="177">
        <f t="shared" ca="1" si="18"/>
        <v>0</v>
      </c>
      <c r="AF16" s="177">
        <f t="shared" ca="1" si="41"/>
        <v>0</v>
      </c>
      <c r="AG16" s="177">
        <f t="shared" ca="1" si="19"/>
        <v>600</v>
      </c>
      <c r="AH16" s="177">
        <f t="shared" ca="1" si="19"/>
        <v>600</v>
      </c>
      <c r="AI16" s="177">
        <f t="shared" ca="1" si="20"/>
        <v>0</v>
      </c>
      <c r="AJ16" s="177">
        <f t="shared" ca="1" si="21"/>
        <v>0</v>
      </c>
      <c r="AK16" s="177">
        <f t="shared" ca="1" si="22"/>
        <v>0</v>
      </c>
      <c r="AL16" s="177">
        <f t="shared" ca="1" si="23"/>
        <v>0</v>
      </c>
      <c r="AM16" s="177">
        <f t="shared" ca="1" si="24"/>
        <v>0</v>
      </c>
      <c r="AN16" s="177">
        <f t="shared" ca="1" si="25"/>
        <v>0</v>
      </c>
      <c r="AO16" s="177">
        <f t="shared" ca="1" si="26"/>
        <v>0</v>
      </c>
      <c r="AP16" s="177">
        <f t="shared" ca="1" si="27"/>
        <v>0</v>
      </c>
      <c r="AQ16" s="177">
        <f t="shared" ca="1" si="42"/>
        <v>0</v>
      </c>
      <c r="AR16" s="177">
        <f t="shared" ca="1" si="28"/>
        <v>600</v>
      </c>
      <c r="AS16" s="176">
        <f t="shared" ca="1" si="29"/>
        <v>0</v>
      </c>
      <c r="AT16" s="176">
        <f t="shared" ca="1" si="30"/>
        <v>0</v>
      </c>
      <c r="AU16" s="176">
        <f t="shared" ca="1" si="31"/>
        <v>0</v>
      </c>
      <c r="AV16" s="176">
        <f t="shared" ca="1" si="32"/>
        <v>0</v>
      </c>
      <c r="AW16" s="176">
        <f t="shared" ca="1" si="33"/>
        <v>0</v>
      </c>
      <c r="AX16" s="176">
        <f t="shared" ca="1" si="34"/>
        <v>0</v>
      </c>
      <c r="AY16" s="176">
        <f t="shared" ca="1" si="35"/>
        <v>0</v>
      </c>
      <c r="AZ16" s="176">
        <f t="shared" ca="1" si="36"/>
        <v>0</v>
      </c>
      <c r="BA16" s="176">
        <f t="shared" ca="1" si="37"/>
        <v>0</v>
      </c>
      <c r="BB16" s="176">
        <f t="shared" ca="1" si="38"/>
        <v>0</v>
      </c>
      <c r="BC16" s="176">
        <f t="shared" ca="1" si="39"/>
        <v>0</v>
      </c>
    </row>
    <row r="17" spans="1:55">
      <c r="A17" s="1">
        <f t="shared" ca="1" si="0"/>
        <v>0</v>
      </c>
      <c r="B17" s="1" t="s">
        <v>76</v>
      </c>
      <c r="C17" s="1" t="str">
        <f t="shared" ca="1" si="40"/>
        <v/>
      </c>
      <c r="D17" s="1" t="str">
        <f t="shared" ca="1" si="1"/>
        <v/>
      </c>
      <c r="E17" s="173" t="str" cm="1">
        <f t="array" aca="1" ref="E17" ca="1">_xlfn.IFS(OR(ISBLANK(StartDateMonth),ISBLANK(StartDateYear)),"",E16&gt;=DATEVALUE(CompletionMonth&amp;CompletionYear)+1,"",TRUE,EDATE(E16,1))</f>
        <v/>
      </c>
      <c r="F17" s="176">
        <f t="shared" ca="1" si="43"/>
        <v>0</v>
      </c>
      <c r="G17" s="176">
        <f t="shared" ca="1" si="43"/>
        <v>0</v>
      </c>
      <c r="H17" s="176">
        <f t="shared" ca="1" si="43"/>
        <v>0</v>
      </c>
      <c r="I17" s="176">
        <f t="shared" ca="1" si="43"/>
        <v>0</v>
      </c>
      <c r="J17" s="176">
        <f t="shared" ca="1" si="43"/>
        <v>0</v>
      </c>
      <c r="K17" s="176">
        <f t="shared" ca="1" si="43"/>
        <v>0</v>
      </c>
      <c r="L17" s="176">
        <f t="shared" ca="1" si="43"/>
        <v>0</v>
      </c>
      <c r="M17" s="176">
        <f t="shared" ca="1" si="43"/>
        <v>0</v>
      </c>
      <c r="N17" s="176">
        <f t="shared" ca="1" si="43"/>
        <v>0</v>
      </c>
      <c r="O17" s="176">
        <f t="shared" ca="1" si="43"/>
        <v>0</v>
      </c>
      <c r="P17" s="176">
        <f t="shared" ca="1" si="3"/>
        <v>0</v>
      </c>
      <c r="Q17" s="176">
        <f t="shared" ca="1" si="4"/>
        <v>0</v>
      </c>
      <c r="R17" s="176">
        <f t="shared" ca="1" si="5"/>
        <v>0</v>
      </c>
      <c r="S17" s="176">
        <f t="shared" ca="1" si="6"/>
        <v>0</v>
      </c>
      <c r="T17" s="176">
        <f t="shared" ca="1" si="7"/>
        <v>0</v>
      </c>
      <c r="U17" s="176">
        <f t="shared" ca="1" si="8"/>
        <v>0</v>
      </c>
      <c r="V17" s="176">
        <f t="shared" ca="1" si="9"/>
        <v>0</v>
      </c>
      <c r="W17" s="177">
        <f t="shared" ca="1" si="10"/>
        <v>600</v>
      </c>
      <c r="X17" s="177">
        <f t="shared" ca="1" si="11"/>
        <v>0</v>
      </c>
      <c r="Y17" s="177">
        <f t="shared" ca="1" si="12"/>
        <v>0</v>
      </c>
      <c r="Z17" s="177">
        <f t="shared" ca="1" si="13"/>
        <v>0</v>
      </c>
      <c r="AA17" s="177">
        <f t="shared" ca="1" si="14"/>
        <v>0</v>
      </c>
      <c r="AB17" s="177">
        <f t="shared" ca="1" si="15"/>
        <v>0</v>
      </c>
      <c r="AC17" s="177">
        <f t="shared" ca="1" si="16"/>
        <v>0</v>
      </c>
      <c r="AD17" s="177">
        <f t="shared" ca="1" si="17"/>
        <v>0</v>
      </c>
      <c r="AE17" s="177">
        <f t="shared" ca="1" si="18"/>
        <v>0</v>
      </c>
      <c r="AF17" s="177">
        <f t="shared" ca="1" si="41"/>
        <v>0</v>
      </c>
      <c r="AG17" s="177">
        <f t="shared" ca="1" si="19"/>
        <v>600</v>
      </c>
      <c r="AH17" s="177">
        <f t="shared" ca="1" si="19"/>
        <v>600</v>
      </c>
      <c r="AI17" s="177">
        <f t="shared" ca="1" si="20"/>
        <v>0</v>
      </c>
      <c r="AJ17" s="177">
        <f t="shared" ca="1" si="21"/>
        <v>0</v>
      </c>
      <c r="AK17" s="177">
        <f t="shared" ca="1" si="22"/>
        <v>0</v>
      </c>
      <c r="AL17" s="177">
        <f t="shared" ca="1" si="23"/>
        <v>0</v>
      </c>
      <c r="AM17" s="177">
        <f t="shared" ca="1" si="24"/>
        <v>0</v>
      </c>
      <c r="AN17" s="177">
        <f t="shared" ca="1" si="25"/>
        <v>0</v>
      </c>
      <c r="AO17" s="177">
        <f t="shared" ca="1" si="26"/>
        <v>0</v>
      </c>
      <c r="AP17" s="177">
        <f t="shared" ca="1" si="27"/>
        <v>0</v>
      </c>
      <c r="AQ17" s="177">
        <f t="shared" ca="1" si="42"/>
        <v>0</v>
      </c>
      <c r="AR17" s="177">
        <f t="shared" ca="1" si="28"/>
        <v>600</v>
      </c>
      <c r="AS17" s="176">
        <f t="shared" ca="1" si="29"/>
        <v>0</v>
      </c>
      <c r="AT17" s="176">
        <f t="shared" ca="1" si="30"/>
        <v>0</v>
      </c>
      <c r="AU17" s="176">
        <f t="shared" ca="1" si="31"/>
        <v>0</v>
      </c>
      <c r="AV17" s="176">
        <f t="shared" ca="1" si="32"/>
        <v>0</v>
      </c>
      <c r="AW17" s="176">
        <f t="shared" ca="1" si="33"/>
        <v>0</v>
      </c>
      <c r="AX17" s="176">
        <f t="shared" ca="1" si="34"/>
        <v>0</v>
      </c>
      <c r="AY17" s="176">
        <f t="shared" ca="1" si="35"/>
        <v>0</v>
      </c>
      <c r="AZ17" s="176">
        <f t="shared" ca="1" si="36"/>
        <v>0</v>
      </c>
      <c r="BA17" s="176">
        <f t="shared" ca="1" si="37"/>
        <v>0</v>
      </c>
      <c r="BB17" s="176">
        <f t="shared" ca="1" si="38"/>
        <v>0</v>
      </c>
      <c r="BC17" s="176">
        <f t="shared" ca="1" si="39"/>
        <v>0</v>
      </c>
    </row>
    <row r="18" spans="1:55">
      <c r="A18" s="1">
        <f t="shared" ca="1" si="0"/>
        <v>0</v>
      </c>
      <c r="B18" s="1" t="s">
        <v>77</v>
      </c>
      <c r="C18" s="1" t="str">
        <f t="shared" ca="1" si="40"/>
        <v/>
      </c>
      <c r="D18" s="1" t="str">
        <f t="shared" ca="1" si="1"/>
        <v/>
      </c>
      <c r="E18" s="173" t="str" cm="1">
        <f t="array" aca="1" ref="E18" ca="1">_xlfn.IFS(OR(ISBLANK(StartDateMonth),ISBLANK(StartDateYear)),"",E17&gt;=DATEVALUE(CompletionMonth&amp;CompletionYear)+1,"",TRUE,EDATE(E17,1))</f>
        <v/>
      </c>
      <c r="F18" s="176">
        <f t="shared" ca="1" si="43"/>
        <v>0</v>
      </c>
      <c r="G18" s="176">
        <f t="shared" ca="1" si="43"/>
        <v>0</v>
      </c>
      <c r="H18" s="176">
        <f t="shared" ca="1" si="43"/>
        <v>0</v>
      </c>
      <c r="I18" s="176">
        <f t="shared" ca="1" si="43"/>
        <v>0</v>
      </c>
      <c r="J18" s="176">
        <f t="shared" ca="1" si="43"/>
        <v>0</v>
      </c>
      <c r="K18" s="176">
        <f t="shared" ca="1" si="43"/>
        <v>0</v>
      </c>
      <c r="L18" s="176">
        <f t="shared" ca="1" si="43"/>
        <v>0</v>
      </c>
      <c r="M18" s="176">
        <f t="shared" ca="1" si="43"/>
        <v>0</v>
      </c>
      <c r="N18" s="176">
        <f t="shared" ca="1" si="43"/>
        <v>0</v>
      </c>
      <c r="O18" s="176">
        <f t="shared" ca="1" si="43"/>
        <v>0</v>
      </c>
      <c r="P18" s="176">
        <f t="shared" ca="1" si="3"/>
        <v>0</v>
      </c>
      <c r="Q18" s="176">
        <f t="shared" ca="1" si="4"/>
        <v>0</v>
      </c>
      <c r="R18" s="176">
        <f t="shared" ca="1" si="5"/>
        <v>0</v>
      </c>
      <c r="S18" s="176">
        <f t="shared" ca="1" si="6"/>
        <v>0</v>
      </c>
      <c r="T18" s="176">
        <f t="shared" ca="1" si="7"/>
        <v>0</v>
      </c>
      <c r="U18" s="176">
        <f t="shared" ca="1" si="8"/>
        <v>0</v>
      </c>
      <c r="V18" s="176">
        <f t="shared" ca="1" si="9"/>
        <v>0</v>
      </c>
      <c r="W18" s="177">
        <f t="shared" ca="1" si="10"/>
        <v>600</v>
      </c>
      <c r="X18" s="177">
        <f t="shared" ca="1" si="11"/>
        <v>0</v>
      </c>
      <c r="Y18" s="177">
        <f t="shared" ca="1" si="12"/>
        <v>0</v>
      </c>
      <c r="Z18" s="177">
        <f t="shared" ca="1" si="13"/>
        <v>0</v>
      </c>
      <c r="AA18" s="177">
        <f t="shared" ca="1" si="14"/>
        <v>0</v>
      </c>
      <c r="AB18" s="177">
        <f t="shared" ca="1" si="15"/>
        <v>0</v>
      </c>
      <c r="AC18" s="177">
        <f t="shared" ca="1" si="16"/>
        <v>0</v>
      </c>
      <c r="AD18" s="177">
        <f t="shared" ca="1" si="17"/>
        <v>0</v>
      </c>
      <c r="AE18" s="177">
        <f t="shared" ca="1" si="18"/>
        <v>0</v>
      </c>
      <c r="AF18" s="177">
        <f t="shared" ca="1" si="41"/>
        <v>0</v>
      </c>
      <c r="AG18" s="177">
        <f t="shared" ca="1" si="19"/>
        <v>600</v>
      </c>
      <c r="AH18" s="177">
        <f t="shared" ca="1" si="19"/>
        <v>600</v>
      </c>
      <c r="AI18" s="177">
        <f t="shared" ca="1" si="20"/>
        <v>0</v>
      </c>
      <c r="AJ18" s="177">
        <f t="shared" ca="1" si="21"/>
        <v>0</v>
      </c>
      <c r="AK18" s="177">
        <f t="shared" ca="1" si="22"/>
        <v>0</v>
      </c>
      <c r="AL18" s="177">
        <f t="shared" ca="1" si="23"/>
        <v>0</v>
      </c>
      <c r="AM18" s="177">
        <f t="shared" ca="1" si="24"/>
        <v>0</v>
      </c>
      <c r="AN18" s="177">
        <f t="shared" ca="1" si="25"/>
        <v>0</v>
      </c>
      <c r="AO18" s="177">
        <f t="shared" ca="1" si="26"/>
        <v>0</v>
      </c>
      <c r="AP18" s="177">
        <f t="shared" ca="1" si="27"/>
        <v>0</v>
      </c>
      <c r="AQ18" s="177">
        <f t="shared" ca="1" si="42"/>
        <v>0</v>
      </c>
      <c r="AR18" s="177">
        <f t="shared" ca="1" si="28"/>
        <v>600</v>
      </c>
      <c r="AS18" s="176">
        <f t="shared" ca="1" si="29"/>
        <v>0</v>
      </c>
      <c r="AT18" s="176">
        <f t="shared" ca="1" si="30"/>
        <v>0</v>
      </c>
      <c r="AU18" s="176">
        <f t="shared" ca="1" si="31"/>
        <v>0</v>
      </c>
      <c r="AV18" s="176">
        <f t="shared" ca="1" si="32"/>
        <v>0</v>
      </c>
      <c r="AW18" s="176">
        <f t="shared" ca="1" si="33"/>
        <v>0</v>
      </c>
      <c r="AX18" s="176">
        <f t="shared" ca="1" si="34"/>
        <v>0</v>
      </c>
      <c r="AY18" s="176">
        <f t="shared" ca="1" si="35"/>
        <v>0</v>
      </c>
      <c r="AZ18" s="176">
        <f t="shared" ca="1" si="36"/>
        <v>0</v>
      </c>
      <c r="BA18" s="176">
        <f t="shared" ca="1" si="37"/>
        <v>0</v>
      </c>
      <c r="BB18" s="176">
        <f t="shared" ca="1" si="38"/>
        <v>0</v>
      </c>
      <c r="BC18" s="176">
        <f t="shared" ca="1" si="39"/>
        <v>0</v>
      </c>
    </row>
    <row r="19" spans="1:55">
      <c r="A19" s="1">
        <f t="shared" ca="1" si="0"/>
        <v>0</v>
      </c>
      <c r="B19" s="1" t="s">
        <v>78</v>
      </c>
      <c r="C19" s="1" t="str">
        <f t="shared" ca="1" si="40"/>
        <v/>
      </c>
      <c r="D19" s="1" t="str">
        <f t="shared" ca="1" si="1"/>
        <v/>
      </c>
      <c r="E19" s="173" t="str" cm="1">
        <f t="array" aca="1" ref="E19" ca="1">_xlfn.IFS(OR(ISBLANK(StartDateMonth),ISBLANK(StartDateYear)),"",E18&gt;=DATEVALUE(CompletionMonth&amp;CompletionYear)+1,"",TRUE,EDATE(E18,1))</f>
        <v/>
      </c>
      <c r="F19" s="176">
        <f t="shared" ca="1" si="43"/>
        <v>0</v>
      </c>
      <c r="G19" s="176">
        <f t="shared" ca="1" si="43"/>
        <v>0</v>
      </c>
      <c r="H19" s="176">
        <f t="shared" ca="1" si="43"/>
        <v>0</v>
      </c>
      <c r="I19" s="176">
        <f t="shared" ca="1" si="43"/>
        <v>0</v>
      </c>
      <c r="J19" s="176">
        <f t="shared" ca="1" si="43"/>
        <v>0</v>
      </c>
      <c r="K19" s="176">
        <f t="shared" ca="1" si="43"/>
        <v>0</v>
      </c>
      <c r="L19" s="176">
        <f t="shared" ca="1" si="43"/>
        <v>0</v>
      </c>
      <c r="M19" s="176">
        <f t="shared" ca="1" si="43"/>
        <v>0</v>
      </c>
      <c r="N19" s="176">
        <f t="shared" ca="1" si="43"/>
        <v>0</v>
      </c>
      <c r="O19" s="176">
        <f t="shared" ca="1" si="43"/>
        <v>0</v>
      </c>
      <c r="P19" s="176">
        <f t="shared" ca="1" si="3"/>
        <v>0</v>
      </c>
      <c r="Q19" s="176">
        <f t="shared" ca="1" si="4"/>
        <v>0</v>
      </c>
      <c r="R19" s="176">
        <f t="shared" ca="1" si="5"/>
        <v>0</v>
      </c>
      <c r="S19" s="176">
        <f t="shared" ca="1" si="6"/>
        <v>0</v>
      </c>
      <c r="T19" s="176">
        <f t="shared" ca="1" si="7"/>
        <v>0</v>
      </c>
      <c r="U19" s="176">
        <f t="shared" ca="1" si="8"/>
        <v>0</v>
      </c>
      <c r="V19" s="176">
        <f t="shared" ca="1" si="9"/>
        <v>0</v>
      </c>
      <c r="W19" s="177">
        <f t="shared" ca="1" si="10"/>
        <v>600</v>
      </c>
      <c r="X19" s="177">
        <f t="shared" ca="1" si="11"/>
        <v>0</v>
      </c>
      <c r="Y19" s="177">
        <f t="shared" ca="1" si="12"/>
        <v>0</v>
      </c>
      <c r="Z19" s="177">
        <f t="shared" ca="1" si="13"/>
        <v>0</v>
      </c>
      <c r="AA19" s="177">
        <f t="shared" ca="1" si="14"/>
        <v>0</v>
      </c>
      <c r="AB19" s="177">
        <f t="shared" ca="1" si="15"/>
        <v>0</v>
      </c>
      <c r="AC19" s="177">
        <f t="shared" ca="1" si="16"/>
        <v>0</v>
      </c>
      <c r="AD19" s="177">
        <f t="shared" ca="1" si="17"/>
        <v>0</v>
      </c>
      <c r="AE19" s="177">
        <f t="shared" ca="1" si="18"/>
        <v>0</v>
      </c>
      <c r="AF19" s="177">
        <f t="shared" ca="1" si="41"/>
        <v>0</v>
      </c>
      <c r="AG19" s="177">
        <f t="shared" ca="1" si="19"/>
        <v>600</v>
      </c>
      <c r="AH19" s="177">
        <f t="shared" ca="1" si="19"/>
        <v>600</v>
      </c>
      <c r="AI19" s="177">
        <f t="shared" ca="1" si="20"/>
        <v>0</v>
      </c>
      <c r="AJ19" s="177">
        <f t="shared" ca="1" si="21"/>
        <v>0</v>
      </c>
      <c r="AK19" s="177">
        <f t="shared" ca="1" si="22"/>
        <v>0</v>
      </c>
      <c r="AL19" s="177">
        <f t="shared" ca="1" si="23"/>
        <v>0</v>
      </c>
      <c r="AM19" s="177">
        <f t="shared" ca="1" si="24"/>
        <v>0</v>
      </c>
      <c r="AN19" s="177">
        <f t="shared" ca="1" si="25"/>
        <v>0</v>
      </c>
      <c r="AO19" s="177">
        <f t="shared" ca="1" si="26"/>
        <v>0</v>
      </c>
      <c r="AP19" s="177">
        <f t="shared" ca="1" si="27"/>
        <v>0</v>
      </c>
      <c r="AQ19" s="177">
        <f t="shared" ca="1" si="42"/>
        <v>0</v>
      </c>
      <c r="AR19" s="177">
        <f t="shared" ca="1" si="28"/>
        <v>600</v>
      </c>
      <c r="AS19" s="176">
        <f t="shared" ca="1" si="29"/>
        <v>0</v>
      </c>
      <c r="AT19" s="176">
        <f t="shared" ca="1" si="30"/>
        <v>0</v>
      </c>
      <c r="AU19" s="176">
        <f t="shared" ca="1" si="31"/>
        <v>0</v>
      </c>
      <c r="AV19" s="176">
        <f t="shared" ca="1" si="32"/>
        <v>0</v>
      </c>
      <c r="AW19" s="176">
        <f t="shared" ca="1" si="33"/>
        <v>0</v>
      </c>
      <c r="AX19" s="176">
        <f t="shared" ca="1" si="34"/>
        <v>0</v>
      </c>
      <c r="AY19" s="176">
        <f t="shared" ca="1" si="35"/>
        <v>0</v>
      </c>
      <c r="AZ19" s="176">
        <f t="shared" ca="1" si="36"/>
        <v>0</v>
      </c>
      <c r="BA19" s="176">
        <f t="shared" ca="1" si="37"/>
        <v>0</v>
      </c>
      <c r="BB19" s="176">
        <f t="shared" ca="1" si="38"/>
        <v>0</v>
      </c>
      <c r="BC19" s="176">
        <f t="shared" ca="1" si="39"/>
        <v>0</v>
      </c>
    </row>
    <row r="20" spans="1:55">
      <c r="A20" s="1">
        <f t="shared" ca="1" si="0"/>
        <v>0</v>
      </c>
      <c r="B20" s="1" t="s">
        <v>79</v>
      </c>
      <c r="C20" s="1" t="str">
        <f t="shared" ca="1" si="40"/>
        <v/>
      </c>
      <c r="D20" s="1" t="str">
        <f t="shared" ca="1" si="1"/>
        <v/>
      </c>
      <c r="E20" s="173" t="str" cm="1">
        <f t="array" aca="1" ref="E20" ca="1">_xlfn.IFS(OR(ISBLANK(StartDateMonth),ISBLANK(StartDateYear)),"",E19&gt;=DATEVALUE(CompletionMonth&amp;CompletionYear)+1,"",TRUE,EDATE(E19,1))</f>
        <v/>
      </c>
      <c r="F20" s="176">
        <f t="shared" ca="1" si="43"/>
        <v>0</v>
      </c>
      <c r="G20" s="176">
        <f t="shared" ca="1" si="43"/>
        <v>0</v>
      </c>
      <c r="H20" s="176">
        <f t="shared" ca="1" si="43"/>
        <v>0</v>
      </c>
      <c r="I20" s="176">
        <f t="shared" ca="1" si="43"/>
        <v>0</v>
      </c>
      <c r="J20" s="176">
        <f t="shared" ca="1" si="43"/>
        <v>0</v>
      </c>
      <c r="K20" s="176">
        <f t="shared" ca="1" si="43"/>
        <v>0</v>
      </c>
      <c r="L20" s="176">
        <f t="shared" ca="1" si="43"/>
        <v>0</v>
      </c>
      <c r="M20" s="176">
        <f t="shared" ca="1" si="43"/>
        <v>0</v>
      </c>
      <c r="N20" s="176">
        <f t="shared" ca="1" si="43"/>
        <v>0</v>
      </c>
      <c r="O20" s="176">
        <f t="shared" ca="1" si="43"/>
        <v>0</v>
      </c>
      <c r="P20" s="176">
        <f t="shared" ca="1" si="3"/>
        <v>0</v>
      </c>
      <c r="Q20" s="176">
        <f t="shared" ca="1" si="4"/>
        <v>0</v>
      </c>
      <c r="R20" s="176">
        <f t="shared" ca="1" si="5"/>
        <v>0</v>
      </c>
      <c r="S20" s="176">
        <f t="shared" ca="1" si="6"/>
        <v>0</v>
      </c>
      <c r="T20" s="176">
        <f t="shared" ca="1" si="7"/>
        <v>0</v>
      </c>
      <c r="U20" s="176">
        <f t="shared" ca="1" si="8"/>
        <v>0</v>
      </c>
      <c r="V20" s="176">
        <f t="shared" ca="1" si="9"/>
        <v>0</v>
      </c>
      <c r="W20" s="177">
        <f t="shared" ca="1" si="10"/>
        <v>600</v>
      </c>
      <c r="X20" s="177">
        <f t="shared" ca="1" si="11"/>
        <v>0</v>
      </c>
      <c r="Y20" s="177">
        <f t="shared" ca="1" si="12"/>
        <v>0</v>
      </c>
      <c r="Z20" s="177">
        <f t="shared" ca="1" si="13"/>
        <v>0</v>
      </c>
      <c r="AA20" s="177">
        <f t="shared" ca="1" si="14"/>
        <v>0</v>
      </c>
      <c r="AB20" s="177">
        <f t="shared" ca="1" si="15"/>
        <v>0</v>
      </c>
      <c r="AC20" s="177">
        <f t="shared" ca="1" si="16"/>
        <v>0</v>
      </c>
      <c r="AD20" s="177">
        <f t="shared" ca="1" si="17"/>
        <v>0</v>
      </c>
      <c r="AE20" s="177">
        <f t="shared" ca="1" si="18"/>
        <v>0</v>
      </c>
      <c r="AF20" s="177">
        <f t="shared" ca="1" si="41"/>
        <v>0</v>
      </c>
      <c r="AG20" s="177">
        <f t="shared" ca="1" si="19"/>
        <v>600</v>
      </c>
      <c r="AH20" s="177">
        <f t="shared" ca="1" si="19"/>
        <v>600</v>
      </c>
      <c r="AI20" s="177">
        <f t="shared" ca="1" si="20"/>
        <v>0</v>
      </c>
      <c r="AJ20" s="177">
        <f t="shared" ca="1" si="21"/>
        <v>0</v>
      </c>
      <c r="AK20" s="177">
        <f t="shared" ca="1" si="22"/>
        <v>0</v>
      </c>
      <c r="AL20" s="177">
        <f t="shared" ca="1" si="23"/>
        <v>0</v>
      </c>
      <c r="AM20" s="177">
        <f t="shared" ca="1" si="24"/>
        <v>0</v>
      </c>
      <c r="AN20" s="177">
        <f t="shared" ca="1" si="25"/>
        <v>0</v>
      </c>
      <c r="AO20" s="177">
        <f t="shared" ca="1" si="26"/>
        <v>0</v>
      </c>
      <c r="AP20" s="177">
        <f t="shared" ca="1" si="27"/>
        <v>0</v>
      </c>
      <c r="AQ20" s="177">
        <f t="shared" ca="1" si="42"/>
        <v>0</v>
      </c>
      <c r="AR20" s="177">
        <f t="shared" ca="1" si="28"/>
        <v>600</v>
      </c>
      <c r="AS20" s="176">
        <f t="shared" ca="1" si="29"/>
        <v>0</v>
      </c>
      <c r="AT20" s="176">
        <f t="shared" ca="1" si="30"/>
        <v>0</v>
      </c>
      <c r="AU20" s="176">
        <f t="shared" ca="1" si="31"/>
        <v>0</v>
      </c>
      <c r="AV20" s="176">
        <f t="shared" ca="1" si="32"/>
        <v>0</v>
      </c>
      <c r="AW20" s="176">
        <f t="shared" ca="1" si="33"/>
        <v>0</v>
      </c>
      <c r="AX20" s="176">
        <f t="shared" ca="1" si="34"/>
        <v>0</v>
      </c>
      <c r="AY20" s="176">
        <f t="shared" ca="1" si="35"/>
        <v>0</v>
      </c>
      <c r="AZ20" s="176">
        <f t="shared" ca="1" si="36"/>
        <v>0</v>
      </c>
      <c r="BA20" s="176">
        <f t="shared" ca="1" si="37"/>
        <v>0</v>
      </c>
      <c r="BB20" s="176">
        <f t="shared" ca="1" si="38"/>
        <v>0</v>
      </c>
      <c r="BC20" s="176">
        <f t="shared" ca="1" si="39"/>
        <v>0</v>
      </c>
    </row>
    <row r="21" spans="1:55">
      <c r="A21" s="1">
        <f t="shared" ca="1" si="0"/>
        <v>0</v>
      </c>
      <c r="B21" s="1" t="s">
        <v>80</v>
      </c>
      <c r="C21" s="1" t="str">
        <f t="shared" ca="1" si="40"/>
        <v/>
      </c>
      <c r="D21" s="1" t="str">
        <f t="shared" ca="1" si="1"/>
        <v/>
      </c>
      <c r="E21" s="173" t="str" cm="1">
        <f t="array" aca="1" ref="E21" ca="1">_xlfn.IFS(OR(ISBLANK(StartDateMonth),ISBLANK(StartDateYear)),"",E20&gt;=DATEVALUE(CompletionMonth&amp;CompletionYear)+1,"",TRUE,EDATE(E20,1))</f>
        <v/>
      </c>
      <c r="F21" s="176">
        <f t="shared" ca="1" si="43"/>
        <v>0</v>
      </c>
      <c r="G21" s="176">
        <f t="shared" ca="1" si="43"/>
        <v>0</v>
      </c>
      <c r="H21" s="176">
        <f t="shared" ca="1" si="43"/>
        <v>0</v>
      </c>
      <c r="I21" s="176">
        <f t="shared" ca="1" si="43"/>
        <v>0</v>
      </c>
      <c r="J21" s="176">
        <f t="shared" ca="1" si="43"/>
        <v>0</v>
      </c>
      <c r="K21" s="176">
        <f t="shared" ca="1" si="43"/>
        <v>0</v>
      </c>
      <c r="L21" s="176">
        <f t="shared" ca="1" si="43"/>
        <v>0</v>
      </c>
      <c r="M21" s="176">
        <f t="shared" ca="1" si="43"/>
        <v>0</v>
      </c>
      <c r="N21" s="176">
        <f t="shared" ca="1" si="43"/>
        <v>0</v>
      </c>
      <c r="O21" s="176">
        <f t="shared" ca="1" si="43"/>
        <v>0</v>
      </c>
      <c r="P21" s="176">
        <f t="shared" ca="1" si="3"/>
        <v>0</v>
      </c>
      <c r="Q21" s="176">
        <f t="shared" ca="1" si="4"/>
        <v>0</v>
      </c>
      <c r="R21" s="176">
        <f t="shared" ca="1" si="5"/>
        <v>0</v>
      </c>
      <c r="S21" s="176">
        <f t="shared" ca="1" si="6"/>
        <v>0</v>
      </c>
      <c r="T21" s="176">
        <f t="shared" ca="1" si="7"/>
        <v>0</v>
      </c>
      <c r="U21" s="176">
        <f t="shared" ca="1" si="8"/>
        <v>0</v>
      </c>
      <c r="V21" s="176">
        <f t="shared" ca="1" si="9"/>
        <v>0</v>
      </c>
      <c r="W21" s="177">
        <f t="shared" ca="1" si="10"/>
        <v>600</v>
      </c>
      <c r="X21" s="177">
        <f t="shared" ca="1" si="11"/>
        <v>0</v>
      </c>
      <c r="Y21" s="177">
        <f t="shared" ca="1" si="12"/>
        <v>0</v>
      </c>
      <c r="Z21" s="177">
        <f t="shared" ca="1" si="13"/>
        <v>0</v>
      </c>
      <c r="AA21" s="177">
        <f t="shared" ca="1" si="14"/>
        <v>0</v>
      </c>
      <c r="AB21" s="177">
        <f t="shared" ca="1" si="15"/>
        <v>0</v>
      </c>
      <c r="AC21" s="177">
        <f t="shared" ca="1" si="16"/>
        <v>0</v>
      </c>
      <c r="AD21" s="177">
        <f t="shared" ca="1" si="17"/>
        <v>0</v>
      </c>
      <c r="AE21" s="177">
        <f t="shared" ca="1" si="18"/>
        <v>0</v>
      </c>
      <c r="AF21" s="177">
        <f t="shared" ca="1" si="41"/>
        <v>0</v>
      </c>
      <c r="AG21" s="177">
        <f t="shared" ca="1" si="19"/>
        <v>600</v>
      </c>
      <c r="AH21" s="177">
        <f t="shared" ca="1" si="19"/>
        <v>600</v>
      </c>
      <c r="AI21" s="177">
        <f t="shared" ca="1" si="20"/>
        <v>0</v>
      </c>
      <c r="AJ21" s="177">
        <f t="shared" ca="1" si="21"/>
        <v>0</v>
      </c>
      <c r="AK21" s="177">
        <f t="shared" ca="1" si="22"/>
        <v>0</v>
      </c>
      <c r="AL21" s="177">
        <f t="shared" ca="1" si="23"/>
        <v>0</v>
      </c>
      <c r="AM21" s="177">
        <f t="shared" ca="1" si="24"/>
        <v>0</v>
      </c>
      <c r="AN21" s="177">
        <f t="shared" ca="1" si="25"/>
        <v>0</v>
      </c>
      <c r="AO21" s="177">
        <f t="shared" ca="1" si="26"/>
        <v>0</v>
      </c>
      <c r="AP21" s="177">
        <f t="shared" ca="1" si="27"/>
        <v>0</v>
      </c>
      <c r="AQ21" s="177">
        <f t="shared" ca="1" si="42"/>
        <v>0</v>
      </c>
      <c r="AR21" s="177">
        <f t="shared" ca="1" si="28"/>
        <v>600</v>
      </c>
      <c r="AS21" s="176">
        <f t="shared" ca="1" si="29"/>
        <v>0</v>
      </c>
      <c r="AT21" s="176">
        <f t="shared" ca="1" si="30"/>
        <v>0</v>
      </c>
      <c r="AU21" s="176">
        <f t="shared" ca="1" si="31"/>
        <v>0</v>
      </c>
      <c r="AV21" s="176">
        <f t="shared" ca="1" si="32"/>
        <v>0</v>
      </c>
      <c r="AW21" s="176">
        <f t="shared" ca="1" si="33"/>
        <v>0</v>
      </c>
      <c r="AX21" s="176">
        <f t="shared" ca="1" si="34"/>
        <v>0</v>
      </c>
      <c r="AY21" s="176">
        <f t="shared" ca="1" si="35"/>
        <v>0</v>
      </c>
      <c r="AZ21" s="176">
        <f t="shared" ca="1" si="36"/>
        <v>0</v>
      </c>
      <c r="BA21" s="176">
        <f t="shared" ca="1" si="37"/>
        <v>0</v>
      </c>
      <c r="BB21" s="176">
        <f t="shared" ca="1" si="38"/>
        <v>0</v>
      </c>
      <c r="BC21" s="176">
        <f t="shared" ca="1" si="39"/>
        <v>0</v>
      </c>
    </row>
    <row r="22" spans="1:55">
      <c r="A22" s="1">
        <f t="shared" ca="1" si="0"/>
        <v>0</v>
      </c>
      <c r="B22" s="1" t="s">
        <v>81</v>
      </c>
      <c r="C22" s="1" t="str">
        <f t="shared" ca="1" si="40"/>
        <v/>
      </c>
      <c r="D22" s="1" t="str">
        <f t="shared" ca="1" si="1"/>
        <v/>
      </c>
      <c r="E22" s="173" t="str" cm="1">
        <f t="array" aca="1" ref="E22" ca="1">_xlfn.IFS(OR(ISBLANK(StartDateMonth),ISBLANK(StartDateYear)),"",E21&gt;=DATEVALUE(CompletionMonth&amp;CompletionYear)+1,"",TRUE,EDATE(E21,1))</f>
        <v/>
      </c>
      <c r="F22" s="176">
        <f t="shared" ca="1" si="43"/>
        <v>0</v>
      </c>
      <c r="G22" s="176">
        <f t="shared" ca="1" si="43"/>
        <v>0</v>
      </c>
      <c r="H22" s="176">
        <f t="shared" ca="1" si="43"/>
        <v>0</v>
      </c>
      <c r="I22" s="176">
        <f t="shared" ca="1" si="43"/>
        <v>0</v>
      </c>
      <c r="J22" s="176">
        <f t="shared" ca="1" si="43"/>
        <v>0</v>
      </c>
      <c r="K22" s="176">
        <f t="shared" ca="1" si="43"/>
        <v>0</v>
      </c>
      <c r="L22" s="176">
        <f t="shared" ca="1" si="43"/>
        <v>0</v>
      </c>
      <c r="M22" s="176">
        <f t="shared" ca="1" si="43"/>
        <v>0</v>
      </c>
      <c r="N22" s="176">
        <f t="shared" ca="1" si="43"/>
        <v>0</v>
      </c>
      <c r="O22" s="176">
        <f t="shared" ca="1" si="43"/>
        <v>0</v>
      </c>
      <c r="P22" s="176">
        <f t="shared" ca="1" si="3"/>
        <v>0</v>
      </c>
      <c r="Q22" s="176">
        <f t="shared" ca="1" si="4"/>
        <v>0</v>
      </c>
      <c r="R22" s="176">
        <f t="shared" ca="1" si="5"/>
        <v>0</v>
      </c>
      <c r="S22" s="176">
        <f t="shared" ca="1" si="6"/>
        <v>0</v>
      </c>
      <c r="T22" s="176">
        <f t="shared" ca="1" si="7"/>
        <v>0</v>
      </c>
      <c r="U22" s="176">
        <f t="shared" ca="1" si="8"/>
        <v>0</v>
      </c>
      <c r="V22" s="176">
        <f t="shared" ca="1" si="9"/>
        <v>0</v>
      </c>
      <c r="W22" s="177">
        <f t="shared" ca="1" si="10"/>
        <v>600</v>
      </c>
      <c r="X22" s="177">
        <f t="shared" ca="1" si="11"/>
        <v>0</v>
      </c>
      <c r="Y22" s="177">
        <f t="shared" ca="1" si="12"/>
        <v>0</v>
      </c>
      <c r="Z22" s="177">
        <f t="shared" ca="1" si="13"/>
        <v>0</v>
      </c>
      <c r="AA22" s="177">
        <f t="shared" ca="1" si="14"/>
        <v>0</v>
      </c>
      <c r="AB22" s="177">
        <f t="shared" ca="1" si="15"/>
        <v>0</v>
      </c>
      <c r="AC22" s="177">
        <f t="shared" ca="1" si="16"/>
        <v>0</v>
      </c>
      <c r="AD22" s="177">
        <f t="shared" ca="1" si="17"/>
        <v>0</v>
      </c>
      <c r="AE22" s="177">
        <f t="shared" ca="1" si="18"/>
        <v>0</v>
      </c>
      <c r="AF22" s="177">
        <f t="shared" ca="1" si="41"/>
        <v>0</v>
      </c>
      <c r="AG22" s="177">
        <f t="shared" ca="1" si="19"/>
        <v>600</v>
      </c>
      <c r="AH22" s="177">
        <f t="shared" ca="1" si="19"/>
        <v>600</v>
      </c>
      <c r="AI22" s="177">
        <f t="shared" ca="1" si="20"/>
        <v>0</v>
      </c>
      <c r="AJ22" s="177">
        <f t="shared" ca="1" si="21"/>
        <v>0</v>
      </c>
      <c r="AK22" s="177">
        <f t="shared" ca="1" si="22"/>
        <v>0</v>
      </c>
      <c r="AL22" s="177">
        <f t="shared" ca="1" si="23"/>
        <v>0</v>
      </c>
      <c r="AM22" s="177">
        <f t="shared" ca="1" si="24"/>
        <v>0</v>
      </c>
      <c r="AN22" s="177">
        <f t="shared" ca="1" si="25"/>
        <v>0</v>
      </c>
      <c r="AO22" s="177">
        <f t="shared" ca="1" si="26"/>
        <v>0</v>
      </c>
      <c r="AP22" s="177">
        <f t="shared" ca="1" si="27"/>
        <v>0</v>
      </c>
      <c r="AQ22" s="177">
        <f t="shared" ca="1" si="42"/>
        <v>0</v>
      </c>
      <c r="AR22" s="177">
        <f t="shared" ca="1" si="28"/>
        <v>600</v>
      </c>
      <c r="AS22" s="176">
        <f t="shared" ca="1" si="29"/>
        <v>0</v>
      </c>
      <c r="AT22" s="176">
        <f t="shared" ca="1" si="30"/>
        <v>0</v>
      </c>
      <c r="AU22" s="176">
        <f t="shared" ca="1" si="31"/>
        <v>0</v>
      </c>
      <c r="AV22" s="176">
        <f t="shared" ca="1" si="32"/>
        <v>0</v>
      </c>
      <c r="AW22" s="176">
        <f t="shared" ca="1" si="33"/>
        <v>0</v>
      </c>
      <c r="AX22" s="176">
        <f t="shared" ca="1" si="34"/>
        <v>0</v>
      </c>
      <c r="AY22" s="176">
        <f t="shared" ca="1" si="35"/>
        <v>0</v>
      </c>
      <c r="AZ22" s="176">
        <f t="shared" ca="1" si="36"/>
        <v>0</v>
      </c>
      <c r="BA22" s="176">
        <f t="shared" ca="1" si="37"/>
        <v>0</v>
      </c>
      <c r="BB22" s="176">
        <f t="shared" ca="1" si="38"/>
        <v>0</v>
      </c>
      <c r="BC22" s="176">
        <f t="shared" ca="1" si="39"/>
        <v>0</v>
      </c>
    </row>
    <row r="23" spans="1:55">
      <c r="A23" s="1">
        <f t="shared" ca="1" si="0"/>
        <v>0</v>
      </c>
      <c r="B23" s="1" t="s">
        <v>82</v>
      </c>
      <c r="C23" s="1" t="str">
        <f t="shared" ca="1" si="40"/>
        <v/>
      </c>
      <c r="D23" s="1" t="str">
        <f t="shared" ca="1" si="1"/>
        <v/>
      </c>
      <c r="E23" s="173" t="str" cm="1">
        <f t="array" aca="1" ref="E23" ca="1">_xlfn.IFS(OR(ISBLANK(StartDateMonth),ISBLANK(StartDateYear)),"",E22&gt;=DATEVALUE(CompletionMonth&amp;CompletionYear)+1,"",TRUE,EDATE(E22,1))</f>
        <v/>
      </c>
      <c r="F23" s="176">
        <f t="shared" ca="1" si="43"/>
        <v>0</v>
      </c>
      <c r="G23" s="176">
        <f t="shared" ca="1" si="43"/>
        <v>0</v>
      </c>
      <c r="H23" s="176">
        <f t="shared" ca="1" si="43"/>
        <v>0</v>
      </c>
      <c r="I23" s="176">
        <f t="shared" ca="1" si="43"/>
        <v>0</v>
      </c>
      <c r="J23" s="176">
        <f t="shared" ca="1" si="43"/>
        <v>0</v>
      </c>
      <c r="K23" s="176">
        <f t="shared" ca="1" si="43"/>
        <v>0</v>
      </c>
      <c r="L23" s="176">
        <f t="shared" ca="1" si="43"/>
        <v>0</v>
      </c>
      <c r="M23" s="176">
        <f t="shared" ca="1" si="43"/>
        <v>0</v>
      </c>
      <c r="N23" s="176">
        <f t="shared" ca="1" si="43"/>
        <v>0</v>
      </c>
      <c r="O23" s="176">
        <f t="shared" ca="1" si="43"/>
        <v>0</v>
      </c>
      <c r="P23" s="176">
        <f t="shared" ca="1" si="3"/>
        <v>0</v>
      </c>
      <c r="Q23" s="176">
        <f t="shared" ca="1" si="4"/>
        <v>0</v>
      </c>
      <c r="R23" s="176">
        <f t="shared" ca="1" si="5"/>
        <v>0</v>
      </c>
      <c r="S23" s="176">
        <f t="shared" ca="1" si="6"/>
        <v>0</v>
      </c>
      <c r="T23" s="176">
        <f t="shared" ca="1" si="7"/>
        <v>0</v>
      </c>
      <c r="U23" s="176">
        <f t="shared" ca="1" si="8"/>
        <v>0</v>
      </c>
      <c r="V23" s="176">
        <f t="shared" ca="1" si="9"/>
        <v>0</v>
      </c>
      <c r="W23" s="177">
        <f t="shared" ca="1" si="10"/>
        <v>600</v>
      </c>
      <c r="X23" s="177">
        <f t="shared" ca="1" si="11"/>
        <v>0</v>
      </c>
      <c r="Y23" s="177">
        <f t="shared" ca="1" si="12"/>
        <v>0</v>
      </c>
      <c r="Z23" s="177">
        <f t="shared" ca="1" si="13"/>
        <v>0</v>
      </c>
      <c r="AA23" s="177">
        <f t="shared" ca="1" si="14"/>
        <v>0</v>
      </c>
      <c r="AB23" s="177">
        <f t="shared" ca="1" si="15"/>
        <v>0</v>
      </c>
      <c r="AC23" s="177">
        <f t="shared" ca="1" si="16"/>
        <v>0</v>
      </c>
      <c r="AD23" s="177">
        <f t="shared" ca="1" si="17"/>
        <v>0</v>
      </c>
      <c r="AE23" s="177">
        <f t="shared" ca="1" si="18"/>
        <v>0</v>
      </c>
      <c r="AF23" s="177">
        <f t="shared" ca="1" si="41"/>
        <v>0</v>
      </c>
      <c r="AG23" s="177">
        <f t="shared" ca="1" si="19"/>
        <v>600</v>
      </c>
      <c r="AH23" s="177">
        <f t="shared" ca="1" si="19"/>
        <v>600</v>
      </c>
      <c r="AI23" s="177">
        <f t="shared" ca="1" si="20"/>
        <v>0</v>
      </c>
      <c r="AJ23" s="177">
        <f t="shared" ca="1" si="21"/>
        <v>0</v>
      </c>
      <c r="AK23" s="177">
        <f t="shared" ca="1" si="22"/>
        <v>0</v>
      </c>
      <c r="AL23" s="177">
        <f t="shared" ca="1" si="23"/>
        <v>0</v>
      </c>
      <c r="AM23" s="177">
        <f t="shared" ca="1" si="24"/>
        <v>0</v>
      </c>
      <c r="AN23" s="177">
        <f t="shared" ca="1" si="25"/>
        <v>0</v>
      </c>
      <c r="AO23" s="177">
        <f t="shared" ca="1" si="26"/>
        <v>0</v>
      </c>
      <c r="AP23" s="177">
        <f t="shared" ca="1" si="27"/>
        <v>0</v>
      </c>
      <c r="AQ23" s="177">
        <f t="shared" ca="1" si="42"/>
        <v>0</v>
      </c>
      <c r="AR23" s="177">
        <f t="shared" ca="1" si="28"/>
        <v>600</v>
      </c>
      <c r="AS23" s="176">
        <f t="shared" ca="1" si="29"/>
        <v>0</v>
      </c>
      <c r="AT23" s="176">
        <f t="shared" ca="1" si="30"/>
        <v>0</v>
      </c>
      <c r="AU23" s="176">
        <f t="shared" ca="1" si="31"/>
        <v>0</v>
      </c>
      <c r="AV23" s="176">
        <f t="shared" ca="1" si="32"/>
        <v>0</v>
      </c>
      <c r="AW23" s="176">
        <f t="shared" ca="1" si="33"/>
        <v>0</v>
      </c>
      <c r="AX23" s="176">
        <f t="shared" ca="1" si="34"/>
        <v>0</v>
      </c>
      <c r="AY23" s="176">
        <f t="shared" ca="1" si="35"/>
        <v>0</v>
      </c>
      <c r="AZ23" s="176">
        <f t="shared" ca="1" si="36"/>
        <v>0</v>
      </c>
      <c r="BA23" s="176">
        <f t="shared" ca="1" si="37"/>
        <v>0</v>
      </c>
      <c r="BB23" s="176">
        <f t="shared" ca="1" si="38"/>
        <v>0</v>
      </c>
      <c r="BC23" s="176">
        <f t="shared" ca="1" si="39"/>
        <v>0</v>
      </c>
    </row>
    <row r="24" spans="1:55">
      <c r="A24" s="1">
        <f t="shared" ca="1" si="0"/>
        <v>0</v>
      </c>
      <c r="B24" s="1" t="s">
        <v>83</v>
      </c>
      <c r="C24" s="1" t="str">
        <f t="shared" ca="1" si="40"/>
        <v/>
      </c>
      <c r="D24" s="1" t="str">
        <f t="shared" ca="1" si="1"/>
        <v/>
      </c>
      <c r="E24" s="173" t="str" cm="1">
        <f t="array" aca="1" ref="E24" ca="1">_xlfn.IFS(OR(ISBLANK(StartDateMonth),ISBLANK(StartDateYear)),"",E23&gt;=DATEVALUE(CompletionMonth&amp;CompletionYear)+1,"",TRUE,EDATE(E23,1))</f>
        <v/>
      </c>
      <c r="F24" s="176">
        <f t="shared" ref="F24:O33" ca="1" si="44">IF($A24=1,INDEX(DevelopmentCosts,MATCH(F$3,TotalDevCostsList,0),MATCH($B24,DevelopmentCostTitle,0)),0)</f>
        <v>0</v>
      </c>
      <c r="G24" s="176">
        <f t="shared" ca="1" si="44"/>
        <v>0</v>
      </c>
      <c r="H24" s="176">
        <f t="shared" ca="1" si="44"/>
        <v>0</v>
      </c>
      <c r="I24" s="176">
        <f t="shared" ca="1" si="44"/>
        <v>0</v>
      </c>
      <c r="J24" s="176">
        <f t="shared" ca="1" si="44"/>
        <v>0</v>
      </c>
      <c r="K24" s="176">
        <f t="shared" ca="1" si="44"/>
        <v>0</v>
      </c>
      <c r="L24" s="176">
        <f t="shared" ca="1" si="44"/>
        <v>0</v>
      </c>
      <c r="M24" s="176">
        <f t="shared" ca="1" si="44"/>
        <v>0</v>
      </c>
      <c r="N24" s="176">
        <f t="shared" ca="1" si="44"/>
        <v>0</v>
      </c>
      <c r="O24" s="176">
        <f t="shared" ca="1" si="44"/>
        <v>0</v>
      </c>
      <c r="P24" s="176">
        <f t="shared" ca="1" si="3"/>
        <v>0</v>
      </c>
      <c r="Q24" s="176">
        <f t="shared" ca="1" si="4"/>
        <v>0</v>
      </c>
      <c r="R24" s="176">
        <f t="shared" ca="1" si="5"/>
        <v>0</v>
      </c>
      <c r="S24" s="176">
        <f t="shared" ca="1" si="6"/>
        <v>0</v>
      </c>
      <c r="T24" s="176">
        <f t="shared" ca="1" si="7"/>
        <v>0</v>
      </c>
      <c r="U24" s="176">
        <f t="shared" ca="1" si="8"/>
        <v>0</v>
      </c>
      <c r="V24" s="176">
        <f t="shared" ca="1" si="9"/>
        <v>0</v>
      </c>
      <c r="W24" s="177">
        <f t="shared" ca="1" si="10"/>
        <v>600</v>
      </c>
      <c r="X24" s="177">
        <f t="shared" ca="1" si="11"/>
        <v>0</v>
      </c>
      <c r="Y24" s="177">
        <f t="shared" ca="1" si="12"/>
        <v>0</v>
      </c>
      <c r="Z24" s="177">
        <f t="shared" ca="1" si="13"/>
        <v>0</v>
      </c>
      <c r="AA24" s="177">
        <f t="shared" ca="1" si="14"/>
        <v>0</v>
      </c>
      <c r="AB24" s="177">
        <f t="shared" ca="1" si="15"/>
        <v>0</v>
      </c>
      <c r="AC24" s="177">
        <f t="shared" ca="1" si="16"/>
        <v>0</v>
      </c>
      <c r="AD24" s="177">
        <f t="shared" ca="1" si="17"/>
        <v>0</v>
      </c>
      <c r="AE24" s="177">
        <f t="shared" ca="1" si="18"/>
        <v>0</v>
      </c>
      <c r="AF24" s="177">
        <f t="shared" ca="1" si="41"/>
        <v>0</v>
      </c>
      <c r="AG24" s="177">
        <f t="shared" ref="AG24:AH43" ca="1" si="45">COUNTIF(CategorisedSaleKey,(OpenMarketHousing&amp;$C24&amp;$D24))</f>
        <v>600</v>
      </c>
      <c r="AH24" s="177">
        <f t="shared" ca="1" si="45"/>
        <v>600</v>
      </c>
      <c r="AI24" s="177">
        <f t="shared" ca="1" si="20"/>
        <v>0</v>
      </c>
      <c r="AJ24" s="177">
        <f t="shared" ca="1" si="21"/>
        <v>0</v>
      </c>
      <c r="AK24" s="177">
        <f t="shared" ca="1" si="22"/>
        <v>0</v>
      </c>
      <c r="AL24" s="177">
        <f t="shared" ca="1" si="23"/>
        <v>0</v>
      </c>
      <c r="AM24" s="177">
        <f t="shared" ca="1" si="24"/>
        <v>0</v>
      </c>
      <c r="AN24" s="177">
        <f t="shared" ca="1" si="25"/>
        <v>0</v>
      </c>
      <c r="AO24" s="177">
        <f t="shared" ca="1" si="26"/>
        <v>0</v>
      </c>
      <c r="AP24" s="177">
        <f t="shared" ca="1" si="27"/>
        <v>0</v>
      </c>
      <c r="AQ24" s="177">
        <f t="shared" ca="1" si="42"/>
        <v>0</v>
      </c>
      <c r="AR24" s="177">
        <f t="shared" ca="1" si="28"/>
        <v>600</v>
      </c>
      <c r="AS24" s="176">
        <f t="shared" ca="1" si="29"/>
        <v>0</v>
      </c>
      <c r="AT24" s="176">
        <f t="shared" ca="1" si="30"/>
        <v>0</v>
      </c>
      <c r="AU24" s="176">
        <f t="shared" ca="1" si="31"/>
        <v>0</v>
      </c>
      <c r="AV24" s="176">
        <f t="shared" ca="1" si="32"/>
        <v>0</v>
      </c>
      <c r="AW24" s="176">
        <f t="shared" ca="1" si="33"/>
        <v>0</v>
      </c>
      <c r="AX24" s="176">
        <f t="shared" ca="1" si="34"/>
        <v>0</v>
      </c>
      <c r="AY24" s="176">
        <f t="shared" ca="1" si="35"/>
        <v>0</v>
      </c>
      <c r="AZ24" s="176">
        <f t="shared" ca="1" si="36"/>
        <v>0</v>
      </c>
      <c r="BA24" s="176">
        <f t="shared" ca="1" si="37"/>
        <v>0</v>
      </c>
      <c r="BB24" s="176">
        <f t="shared" ca="1" si="38"/>
        <v>0</v>
      </c>
      <c r="BC24" s="176">
        <f t="shared" ca="1" si="39"/>
        <v>0</v>
      </c>
    </row>
    <row r="25" spans="1:55">
      <c r="A25" s="1">
        <f t="shared" ca="1" si="0"/>
        <v>0</v>
      </c>
      <c r="B25" s="1" t="s">
        <v>84</v>
      </c>
      <c r="C25" s="1" t="str">
        <f t="shared" ca="1" si="40"/>
        <v/>
      </c>
      <c r="D25" s="1" t="str">
        <f t="shared" ca="1" si="1"/>
        <v/>
      </c>
      <c r="E25" s="173" t="str" cm="1">
        <f t="array" aca="1" ref="E25" ca="1">_xlfn.IFS(OR(ISBLANK(StartDateMonth),ISBLANK(StartDateYear)),"",E24&gt;=DATEVALUE(CompletionMonth&amp;CompletionYear)+1,"",TRUE,EDATE(E24,1))</f>
        <v/>
      </c>
      <c r="F25" s="176">
        <f t="shared" ca="1" si="44"/>
        <v>0</v>
      </c>
      <c r="G25" s="176">
        <f t="shared" ca="1" si="44"/>
        <v>0</v>
      </c>
      <c r="H25" s="176">
        <f t="shared" ca="1" si="44"/>
        <v>0</v>
      </c>
      <c r="I25" s="176">
        <f t="shared" ca="1" si="44"/>
        <v>0</v>
      </c>
      <c r="J25" s="176">
        <f t="shared" ca="1" si="44"/>
        <v>0</v>
      </c>
      <c r="K25" s="176">
        <f t="shared" ca="1" si="44"/>
        <v>0</v>
      </c>
      <c r="L25" s="176">
        <f t="shared" ca="1" si="44"/>
        <v>0</v>
      </c>
      <c r="M25" s="176">
        <f t="shared" ca="1" si="44"/>
        <v>0</v>
      </c>
      <c r="N25" s="176">
        <f t="shared" ca="1" si="44"/>
        <v>0</v>
      </c>
      <c r="O25" s="176">
        <f t="shared" ca="1" si="44"/>
        <v>0</v>
      </c>
      <c r="P25" s="176">
        <f t="shared" ca="1" si="3"/>
        <v>0</v>
      </c>
      <c r="Q25" s="176">
        <f t="shared" ca="1" si="4"/>
        <v>0</v>
      </c>
      <c r="R25" s="176">
        <f t="shared" ca="1" si="5"/>
        <v>0</v>
      </c>
      <c r="S25" s="176">
        <f t="shared" ca="1" si="6"/>
        <v>0</v>
      </c>
      <c r="T25" s="176">
        <f t="shared" ca="1" si="7"/>
        <v>0</v>
      </c>
      <c r="U25" s="176">
        <f t="shared" ca="1" si="8"/>
        <v>0</v>
      </c>
      <c r="V25" s="176">
        <f t="shared" ca="1" si="9"/>
        <v>0</v>
      </c>
      <c r="W25" s="177">
        <f t="shared" ca="1" si="10"/>
        <v>600</v>
      </c>
      <c r="X25" s="177">
        <f t="shared" ca="1" si="11"/>
        <v>0</v>
      </c>
      <c r="Y25" s="177">
        <f t="shared" ca="1" si="12"/>
        <v>0</v>
      </c>
      <c r="Z25" s="177">
        <f t="shared" ca="1" si="13"/>
        <v>0</v>
      </c>
      <c r="AA25" s="177">
        <f t="shared" ca="1" si="14"/>
        <v>0</v>
      </c>
      <c r="AB25" s="177">
        <f t="shared" ca="1" si="15"/>
        <v>0</v>
      </c>
      <c r="AC25" s="177">
        <f t="shared" ca="1" si="16"/>
        <v>0</v>
      </c>
      <c r="AD25" s="177">
        <f t="shared" ca="1" si="17"/>
        <v>0</v>
      </c>
      <c r="AE25" s="177">
        <f t="shared" ca="1" si="18"/>
        <v>0</v>
      </c>
      <c r="AF25" s="177">
        <f t="shared" ca="1" si="41"/>
        <v>0</v>
      </c>
      <c r="AG25" s="177">
        <f t="shared" ca="1" si="45"/>
        <v>600</v>
      </c>
      <c r="AH25" s="177">
        <f t="shared" ca="1" si="45"/>
        <v>600</v>
      </c>
      <c r="AI25" s="177">
        <f t="shared" ca="1" si="20"/>
        <v>0</v>
      </c>
      <c r="AJ25" s="177">
        <f t="shared" ca="1" si="21"/>
        <v>0</v>
      </c>
      <c r="AK25" s="177">
        <f t="shared" ca="1" si="22"/>
        <v>0</v>
      </c>
      <c r="AL25" s="177">
        <f t="shared" ca="1" si="23"/>
        <v>0</v>
      </c>
      <c r="AM25" s="177">
        <f t="shared" ca="1" si="24"/>
        <v>0</v>
      </c>
      <c r="AN25" s="177">
        <f t="shared" ca="1" si="25"/>
        <v>0</v>
      </c>
      <c r="AO25" s="177">
        <f t="shared" ca="1" si="26"/>
        <v>0</v>
      </c>
      <c r="AP25" s="177">
        <f t="shared" ca="1" si="27"/>
        <v>0</v>
      </c>
      <c r="AQ25" s="177">
        <f t="shared" ca="1" si="42"/>
        <v>0</v>
      </c>
      <c r="AR25" s="177">
        <f t="shared" ca="1" si="28"/>
        <v>600</v>
      </c>
      <c r="AS25" s="176">
        <f t="shared" ca="1" si="29"/>
        <v>0</v>
      </c>
      <c r="AT25" s="176">
        <f t="shared" ca="1" si="30"/>
        <v>0</v>
      </c>
      <c r="AU25" s="176">
        <f t="shared" ca="1" si="31"/>
        <v>0</v>
      </c>
      <c r="AV25" s="176">
        <f t="shared" ca="1" si="32"/>
        <v>0</v>
      </c>
      <c r="AW25" s="176">
        <f t="shared" ca="1" si="33"/>
        <v>0</v>
      </c>
      <c r="AX25" s="176">
        <f t="shared" ca="1" si="34"/>
        <v>0</v>
      </c>
      <c r="AY25" s="176">
        <f t="shared" ca="1" si="35"/>
        <v>0</v>
      </c>
      <c r="AZ25" s="176">
        <f t="shared" ca="1" si="36"/>
        <v>0</v>
      </c>
      <c r="BA25" s="176">
        <f t="shared" ca="1" si="37"/>
        <v>0</v>
      </c>
      <c r="BB25" s="176">
        <f t="shared" ca="1" si="38"/>
        <v>0</v>
      </c>
      <c r="BC25" s="176">
        <f t="shared" ca="1" si="39"/>
        <v>0</v>
      </c>
    </row>
    <row r="26" spans="1:55">
      <c r="A26" s="1">
        <f t="shared" ca="1" si="0"/>
        <v>0</v>
      </c>
      <c r="B26" s="1" t="s">
        <v>85</v>
      </c>
      <c r="C26" s="1" t="str">
        <f t="shared" ca="1" si="40"/>
        <v/>
      </c>
      <c r="D26" s="1" t="str">
        <f t="shared" ca="1" si="1"/>
        <v/>
      </c>
      <c r="E26" s="173" t="str" cm="1">
        <f t="array" aca="1" ref="E26" ca="1">_xlfn.IFS(OR(ISBLANK(StartDateMonth),ISBLANK(StartDateYear)),"",E25&gt;=DATEVALUE(CompletionMonth&amp;CompletionYear)+1,"",TRUE,EDATE(E25,1))</f>
        <v/>
      </c>
      <c r="F26" s="176">
        <f t="shared" ca="1" si="44"/>
        <v>0</v>
      </c>
      <c r="G26" s="176">
        <f t="shared" ca="1" si="44"/>
        <v>0</v>
      </c>
      <c r="H26" s="176">
        <f t="shared" ca="1" si="44"/>
        <v>0</v>
      </c>
      <c r="I26" s="176">
        <f t="shared" ca="1" si="44"/>
        <v>0</v>
      </c>
      <c r="J26" s="176">
        <f t="shared" ca="1" si="44"/>
        <v>0</v>
      </c>
      <c r="K26" s="176">
        <f t="shared" ca="1" si="44"/>
        <v>0</v>
      </c>
      <c r="L26" s="176">
        <f t="shared" ca="1" si="44"/>
        <v>0</v>
      </c>
      <c r="M26" s="176">
        <f t="shared" ca="1" si="44"/>
        <v>0</v>
      </c>
      <c r="N26" s="176">
        <f t="shared" ca="1" si="44"/>
        <v>0</v>
      </c>
      <c r="O26" s="176">
        <f t="shared" ca="1" si="44"/>
        <v>0</v>
      </c>
      <c r="P26" s="176">
        <f t="shared" ca="1" si="3"/>
        <v>0</v>
      </c>
      <c r="Q26" s="176">
        <f t="shared" ca="1" si="4"/>
        <v>0</v>
      </c>
      <c r="R26" s="176">
        <f t="shared" ca="1" si="5"/>
        <v>0</v>
      </c>
      <c r="S26" s="176">
        <f t="shared" ca="1" si="6"/>
        <v>0</v>
      </c>
      <c r="T26" s="176">
        <f t="shared" ca="1" si="7"/>
        <v>0</v>
      </c>
      <c r="U26" s="176">
        <f t="shared" ca="1" si="8"/>
        <v>0</v>
      </c>
      <c r="V26" s="176">
        <f t="shared" ca="1" si="9"/>
        <v>0</v>
      </c>
      <c r="W26" s="177">
        <f t="shared" ca="1" si="10"/>
        <v>600</v>
      </c>
      <c r="X26" s="177">
        <f t="shared" ca="1" si="11"/>
        <v>0</v>
      </c>
      <c r="Y26" s="177">
        <f t="shared" ca="1" si="12"/>
        <v>0</v>
      </c>
      <c r="Z26" s="177">
        <f t="shared" ca="1" si="13"/>
        <v>0</v>
      </c>
      <c r="AA26" s="177">
        <f t="shared" ca="1" si="14"/>
        <v>0</v>
      </c>
      <c r="AB26" s="177">
        <f t="shared" ca="1" si="15"/>
        <v>0</v>
      </c>
      <c r="AC26" s="177">
        <f t="shared" ca="1" si="16"/>
        <v>0</v>
      </c>
      <c r="AD26" s="177">
        <f t="shared" ca="1" si="17"/>
        <v>0</v>
      </c>
      <c r="AE26" s="177">
        <f t="shared" ca="1" si="18"/>
        <v>0</v>
      </c>
      <c r="AF26" s="177">
        <f t="shared" ca="1" si="41"/>
        <v>0</v>
      </c>
      <c r="AG26" s="177">
        <f t="shared" ca="1" si="45"/>
        <v>600</v>
      </c>
      <c r="AH26" s="177">
        <f t="shared" ca="1" si="45"/>
        <v>600</v>
      </c>
      <c r="AI26" s="177">
        <f t="shared" ca="1" si="20"/>
        <v>0</v>
      </c>
      <c r="AJ26" s="177">
        <f t="shared" ca="1" si="21"/>
        <v>0</v>
      </c>
      <c r="AK26" s="177">
        <f t="shared" ca="1" si="22"/>
        <v>0</v>
      </c>
      <c r="AL26" s="177">
        <f t="shared" ca="1" si="23"/>
        <v>0</v>
      </c>
      <c r="AM26" s="177">
        <f t="shared" ca="1" si="24"/>
        <v>0</v>
      </c>
      <c r="AN26" s="177">
        <f t="shared" ca="1" si="25"/>
        <v>0</v>
      </c>
      <c r="AO26" s="177">
        <f t="shared" ca="1" si="26"/>
        <v>0</v>
      </c>
      <c r="AP26" s="177">
        <f t="shared" ca="1" si="27"/>
        <v>0</v>
      </c>
      <c r="AQ26" s="177">
        <f t="shared" ca="1" si="42"/>
        <v>0</v>
      </c>
      <c r="AR26" s="177">
        <f t="shared" ca="1" si="28"/>
        <v>600</v>
      </c>
      <c r="AS26" s="176">
        <f t="shared" ca="1" si="29"/>
        <v>0</v>
      </c>
      <c r="AT26" s="176">
        <f t="shared" ca="1" si="30"/>
        <v>0</v>
      </c>
      <c r="AU26" s="176">
        <f t="shared" ca="1" si="31"/>
        <v>0</v>
      </c>
      <c r="AV26" s="176">
        <f t="shared" ca="1" si="32"/>
        <v>0</v>
      </c>
      <c r="AW26" s="176">
        <f t="shared" ca="1" si="33"/>
        <v>0</v>
      </c>
      <c r="AX26" s="176">
        <f t="shared" ca="1" si="34"/>
        <v>0</v>
      </c>
      <c r="AY26" s="176">
        <f t="shared" ca="1" si="35"/>
        <v>0</v>
      </c>
      <c r="AZ26" s="176">
        <f t="shared" ca="1" si="36"/>
        <v>0</v>
      </c>
      <c r="BA26" s="176">
        <f t="shared" ca="1" si="37"/>
        <v>0</v>
      </c>
      <c r="BB26" s="176">
        <f t="shared" ca="1" si="38"/>
        <v>0</v>
      </c>
      <c r="BC26" s="176">
        <f t="shared" ca="1" si="39"/>
        <v>0</v>
      </c>
    </row>
    <row r="27" spans="1:55">
      <c r="A27" s="1">
        <f t="shared" ca="1" si="0"/>
        <v>0</v>
      </c>
      <c r="B27" s="1" t="s">
        <v>86</v>
      </c>
      <c r="C27" s="1" t="str">
        <f t="shared" ca="1" si="40"/>
        <v/>
      </c>
      <c r="D27" s="1" t="str">
        <f t="shared" ca="1" si="1"/>
        <v/>
      </c>
      <c r="E27" s="173" t="str" cm="1">
        <f t="array" aca="1" ref="E27" ca="1">_xlfn.IFS(OR(ISBLANK(StartDateMonth),ISBLANK(StartDateYear)),"",E26&gt;=DATEVALUE(CompletionMonth&amp;CompletionYear)+1,"",TRUE,EDATE(E26,1))</f>
        <v/>
      </c>
      <c r="F27" s="176">
        <f t="shared" ca="1" si="44"/>
        <v>0</v>
      </c>
      <c r="G27" s="176">
        <f t="shared" ca="1" si="44"/>
        <v>0</v>
      </c>
      <c r="H27" s="176">
        <f t="shared" ca="1" si="44"/>
        <v>0</v>
      </c>
      <c r="I27" s="176">
        <f t="shared" ca="1" si="44"/>
        <v>0</v>
      </c>
      <c r="J27" s="176">
        <f t="shared" ca="1" si="44"/>
        <v>0</v>
      </c>
      <c r="K27" s="176">
        <f t="shared" ca="1" si="44"/>
        <v>0</v>
      </c>
      <c r="L27" s="176">
        <f t="shared" ca="1" si="44"/>
        <v>0</v>
      </c>
      <c r="M27" s="176">
        <f t="shared" ca="1" si="44"/>
        <v>0</v>
      </c>
      <c r="N27" s="176">
        <f t="shared" ca="1" si="44"/>
        <v>0</v>
      </c>
      <c r="O27" s="176">
        <f t="shared" ca="1" si="44"/>
        <v>0</v>
      </c>
      <c r="P27" s="176">
        <f t="shared" ca="1" si="3"/>
        <v>0</v>
      </c>
      <c r="Q27" s="176">
        <f t="shared" ca="1" si="4"/>
        <v>0</v>
      </c>
      <c r="R27" s="176">
        <f t="shared" ca="1" si="5"/>
        <v>0</v>
      </c>
      <c r="S27" s="176">
        <f t="shared" ca="1" si="6"/>
        <v>0</v>
      </c>
      <c r="T27" s="176">
        <f t="shared" ca="1" si="7"/>
        <v>0</v>
      </c>
      <c r="U27" s="176">
        <f t="shared" ca="1" si="8"/>
        <v>0</v>
      </c>
      <c r="V27" s="176">
        <f t="shared" ca="1" si="9"/>
        <v>0</v>
      </c>
      <c r="W27" s="177">
        <f t="shared" ca="1" si="10"/>
        <v>600</v>
      </c>
      <c r="X27" s="177">
        <f t="shared" ca="1" si="11"/>
        <v>0</v>
      </c>
      <c r="Y27" s="177">
        <f t="shared" ca="1" si="12"/>
        <v>0</v>
      </c>
      <c r="Z27" s="177">
        <f t="shared" ca="1" si="13"/>
        <v>0</v>
      </c>
      <c r="AA27" s="177">
        <f t="shared" ca="1" si="14"/>
        <v>0</v>
      </c>
      <c r="AB27" s="177">
        <f t="shared" ca="1" si="15"/>
        <v>0</v>
      </c>
      <c r="AC27" s="177">
        <f t="shared" ca="1" si="16"/>
        <v>0</v>
      </c>
      <c r="AD27" s="177">
        <f t="shared" ca="1" si="17"/>
        <v>0</v>
      </c>
      <c r="AE27" s="177">
        <f t="shared" ca="1" si="18"/>
        <v>0</v>
      </c>
      <c r="AF27" s="177">
        <f t="shared" ca="1" si="41"/>
        <v>0</v>
      </c>
      <c r="AG27" s="177">
        <f t="shared" ca="1" si="45"/>
        <v>600</v>
      </c>
      <c r="AH27" s="177">
        <f t="shared" ca="1" si="45"/>
        <v>600</v>
      </c>
      <c r="AI27" s="177">
        <f t="shared" ca="1" si="20"/>
        <v>0</v>
      </c>
      <c r="AJ27" s="177">
        <f t="shared" ca="1" si="21"/>
        <v>0</v>
      </c>
      <c r="AK27" s="177">
        <f t="shared" ca="1" si="22"/>
        <v>0</v>
      </c>
      <c r="AL27" s="177">
        <f t="shared" ca="1" si="23"/>
        <v>0</v>
      </c>
      <c r="AM27" s="177">
        <f t="shared" ca="1" si="24"/>
        <v>0</v>
      </c>
      <c r="AN27" s="177">
        <f t="shared" ca="1" si="25"/>
        <v>0</v>
      </c>
      <c r="AO27" s="177">
        <f t="shared" ca="1" si="26"/>
        <v>0</v>
      </c>
      <c r="AP27" s="177">
        <f t="shared" ca="1" si="27"/>
        <v>0</v>
      </c>
      <c r="AQ27" s="177">
        <f t="shared" ca="1" si="42"/>
        <v>0</v>
      </c>
      <c r="AR27" s="177">
        <f t="shared" ca="1" si="28"/>
        <v>600</v>
      </c>
      <c r="AS27" s="176">
        <f t="shared" ca="1" si="29"/>
        <v>0</v>
      </c>
      <c r="AT27" s="176">
        <f t="shared" ca="1" si="30"/>
        <v>0</v>
      </c>
      <c r="AU27" s="176">
        <f t="shared" ca="1" si="31"/>
        <v>0</v>
      </c>
      <c r="AV27" s="176">
        <f t="shared" ca="1" si="32"/>
        <v>0</v>
      </c>
      <c r="AW27" s="176">
        <f t="shared" ca="1" si="33"/>
        <v>0</v>
      </c>
      <c r="AX27" s="176">
        <f t="shared" ca="1" si="34"/>
        <v>0</v>
      </c>
      <c r="AY27" s="176">
        <f t="shared" ca="1" si="35"/>
        <v>0</v>
      </c>
      <c r="AZ27" s="176">
        <f t="shared" ca="1" si="36"/>
        <v>0</v>
      </c>
      <c r="BA27" s="176">
        <f t="shared" ca="1" si="37"/>
        <v>0</v>
      </c>
      <c r="BB27" s="176">
        <f t="shared" ca="1" si="38"/>
        <v>0</v>
      </c>
      <c r="BC27" s="176">
        <f t="shared" ca="1" si="39"/>
        <v>0</v>
      </c>
    </row>
    <row r="28" spans="1:55">
      <c r="A28" s="1">
        <f t="shared" ca="1" si="0"/>
        <v>0</v>
      </c>
      <c r="B28" s="1" t="s">
        <v>87</v>
      </c>
      <c r="C28" s="1" t="str">
        <f t="shared" ca="1" si="40"/>
        <v/>
      </c>
      <c r="D28" s="1" t="str">
        <f t="shared" ca="1" si="1"/>
        <v/>
      </c>
      <c r="E28" s="173" t="str" cm="1">
        <f t="array" aca="1" ref="E28" ca="1">_xlfn.IFS(OR(ISBLANK(StartDateMonth),ISBLANK(StartDateYear)),"",E27&gt;=DATEVALUE(CompletionMonth&amp;CompletionYear)+1,"",TRUE,EDATE(E27,1))</f>
        <v/>
      </c>
      <c r="F28" s="176">
        <f t="shared" ca="1" si="44"/>
        <v>0</v>
      </c>
      <c r="G28" s="176">
        <f t="shared" ca="1" si="44"/>
        <v>0</v>
      </c>
      <c r="H28" s="176">
        <f t="shared" ca="1" si="44"/>
        <v>0</v>
      </c>
      <c r="I28" s="176">
        <f t="shared" ca="1" si="44"/>
        <v>0</v>
      </c>
      <c r="J28" s="176">
        <f t="shared" ca="1" si="44"/>
        <v>0</v>
      </c>
      <c r="K28" s="176">
        <f t="shared" ca="1" si="44"/>
        <v>0</v>
      </c>
      <c r="L28" s="176">
        <f t="shared" ca="1" si="44"/>
        <v>0</v>
      </c>
      <c r="M28" s="176">
        <f t="shared" ca="1" si="44"/>
        <v>0</v>
      </c>
      <c r="N28" s="176">
        <f t="shared" ca="1" si="44"/>
        <v>0</v>
      </c>
      <c r="O28" s="176">
        <f t="shared" ca="1" si="44"/>
        <v>0</v>
      </c>
      <c r="P28" s="176">
        <f t="shared" ca="1" si="3"/>
        <v>0</v>
      </c>
      <c r="Q28" s="176">
        <f t="shared" ca="1" si="4"/>
        <v>0</v>
      </c>
      <c r="R28" s="176">
        <f t="shared" ca="1" si="5"/>
        <v>0</v>
      </c>
      <c r="S28" s="176">
        <f t="shared" ca="1" si="6"/>
        <v>0</v>
      </c>
      <c r="T28" s="176">
        <f t="shared" ca="1" si="7"/>
        <v>0</v>
      </c>
      <c r="U28" s="176">
        <f t="shared" ca="1" si="8"/>
        <v>0</v>
      </c>
      <c r="V28" s="176">
        <f t="shared" ca="1" si="9"/>
        <v>0</v>
      </c>
      <c r="W28" s="177">
        <f t="shared" ca="1" si="10"/>
        <v>600</v>
      </c>
      <c r="X28" s="177">
        <f t="shared" ca="1" si="11"/>
        <v>0</v>
      </c>
      <c r="Y28" s="177">
        <f t="shared" ca="1" si="12"/>
        <v>0</v>
      </c>
      <c r="Z28" s="177">
        <f t="shared" ca="1" si="13"/>
        <v>0</v>
      </c>
      <c r="AA28" s="177">
        <f t="shared" ca="1" si="14"/>
        <v>0</v>
      </c>
      <c r="AB28" s="177">
        <f t="shared" ca="1" si="15"/>
        <v>0</v>
      </c>
      <c r="AC28" s="177">
        <f t="shared" ca="1" si="16"/>
        <v>0</v>
      </c>
      <c r="AD28" s="177">
        <f t="shared" ca="1" si="17"/>
        <v>0</v>
      </c>
      <c r="AE28" s="177">
        <f t="shared" ca="1" si="18"/>
        <v>0</v>
      </c>
      <c r="AF28" s="177">
        <f t="shared" ca="1" si="41"/>
        <v>0</v>
      </c>
      <c r="AG28" s="177">
        <f t="shared" ca="1" si="45"/>
        <v>600</v>
      </c>
      <c r="AH28" s="177">
        <f t="shared" ca="1" si="45"/>
        <v>600</v>
      </c>
      <c r="AI28" s="177">
        <f t="shared" ca="1" si="20"/>
        <v>0</v>
      </c>
      <c r="AJ28" s="177">
        <f t="shared" ca="1" si="21"/>
        <v>0</v>
      </c>
      <c r="AK28" s="177">
        <f t="shared" ca="1" si="22"/>
        <v>0</v>
      </c>
      <c r="AL28" s="177">
        <f t="shared" ca="1" si="23"/>
        <v>0</v>
      </c>
      <c r="AM28" s="177">
        <f t="shared" ca="1" si="24"/>
        <v>0</v>
      </c>
      <c r="AN28" s="177">
        <f t="shared" ca="1" si="25"/>
        <v>0</v>
      </c>
      <c r="AO28" s="177">
        <f t="shared" ca="1" si="26"/>
        <v>0</v>
      </c>
      <c r="AP28" s="177">
        <f t="shared" ca="1" si="27"/>
        <v>0</v>
      </c>
      <c r="AQ28" s="177">
        <f t="shared" ca="1" si="42"/>
        <v>0</v>
      </c>
      <c r="AR28" s="177">
        <f t="shared" ca="1" si="28"/>
        <v>600</v>
      </c>
      <c r="AS28" s="176">
        <f t="shared" ca="1" si="29"/>
        <v>0</v>
      </c>
      <c r="AT28" s="176">
        <f t="shared" ca="1" si="30"/>
        <v>0</v>
      </c>
      <c r="AU28" s="176">
        <f t="shared" ca="1" si="31"/>
        <v>0</v>
      </c>
      <c r="AV28" s="176">
        <f t="shared" ca="1" si="32"/>
        <v>0</v>
      </c>
      <c r="AW28" s="176">
        <f t="shared" ca="1" si="33"/>
        <v>0</v>
      </c>
      <c r="AX28" s="176">
        <f t="shared" ca="1" si="34"/>
        <v>0</v>
      </c>
      <c r="AY28" s="176">
        <f t="shared" ca="1" si="35"/>
        <v>0</v>
      </c>
      <c r="AZ28" s="176">
        <f t="shared" ca="1" si="36"/>
        <v>0</v>
      </c>
      <c r="BA28" s="176">
        <f t="shared" ca="1" si="37"/>
        <v>0</v>
      </c>
      <c r="BB28" s="176">
        <f t="shared" ca="1" si="38"/>
        <v>0</v>
      </c>
      <c r="BC28" s="176">
        <f t="shared" ca="1" si="39"/>
        <v>0</v>
      </c>
    </row>
    <row r="29" spans="1:55">
      <c r="A29" s="1">
        <f t="shared" ca="1" si="0"/>
        <v>0</v>
      </c>
      <c r="B29" s="1" t="s">
        <v>88</v>
      </c>
      <c r="C29" s="1" t="str">
        <f t="shared" ca="1" si="40"/>
        <v/>
      </c>
      <c r="D29" s="1" t="str">
        <f t="shared" ca="1" si="1"/>
        <v/>
      </c>
      <c r="E29" s="173" t="str" cm="1">
        <f t="array" aca="1" ref="E29" ca="1">_xlfn.IFS(OR(ISBLANK(StartDateMonth),ISBLANK(StartDateYear)),"",E28&gt;=DATEVALUE(CompletionMonth&amp;CompletionYear)+1,"",TRUE,EDATE(E28,1))</f>
        <v/>
      </c>
      <c r="F29" s="176">
        <f t="shared" ca="1" si="44"/>
        <v>0</v>
      </c>
      <c r="G29" s="176">
        <f t="shared" ca="1" si="44"/>
        <v>0</v>
      </c>
      <c r="H29" s="176">
        <f t="shared" ca="1" si="44"/>
        <v>0</v>
      </c>
      <c r="I29" s="176">
        <f t="shared" ca="1" si="44"/>
        <v>0</v>
      </c>
      <c r="J29" s="176">
        <f t="shared" ca="1" si="44"/>
        <v>0</v>
      </c>
      <c r="K29" s="176">
        <f t="shared" ca="1" si="44"/>
        <v>0</v>
      </c>
      <c r="L29" s="176">
        <f t="shared" ca="1" si="44"/>
        <v>0</v>
      </c>
      <c r="M29" s="176">
        <f t="shared" ca="1" si="44"/>
        <v>0</v>
      </c>
      <c r="N29" s="176">
        <f t="shared" ca="1" si="44"/>
        <v>0</v>
      </c>
      <c r="O29" s="176">
        <f t="shared" ca="1" si="44"/>
        <v>0</v>
      </c>
      <c r="P29" s="176">
        <f t="shared" ca="1" si="3"/>
        <v>0</v>
      </c>
      <c r="Q29" s="176">
        <f t="shared" ca="1" si="4"/>
        <v>0</v>
      </c>
      <c r="R29" s="176">
        <f t="shared" ca="1" si="5"/>
        <v>0</v>
      </c>
      <c r="S29" s="176">
        <f t="shared" ca="1" si="6"/>
        <v>0</v>
      </c>
      <c r="T29" s="176">
        <f t="shared" ca="1" si="7"/>
        <v>0</v>
      </c>
      <c r="U29" s="176">
        <f t="shared" ca="1" si="8"/>
        <v>0</v>
      </c>
      <c r="V29" s="176">
        <f t="shared" ca="1" si="9"/>
        <v>0</v>
      </c>
      <c r="W29" s="177">
        <f t="shared" ca="1" si="10"/>
        <v>600</v>
      </c>
      <c r="X29" s="177">
        <f t="shared" ca="1" si="11"/>
        <v>0</v>
      </c>
      <c r="Y29" s="177">
        <f t="shared" ca="1" si="12"/>
        <v>0</v>
      </c>
      <c r="Z29" s="177">
        <f t="shared" ca="1" si="13"/>
        <v>0</v>
      </c>
      <c r="AA29" s="177">
        <f t="shared" ca="1" si="14"/>
        <v>0</v>
      </c>
      <c r="AB29" s="177">
        <f t="shared" ca="1" si="15"/>
        <v>0</v>
      </c>
      <c r="AC29" s="177">
        <f t="shared" ca="1" si="16"/>
        <v>0</v>
      </c>
      <c r="AD29" s="177">
        <f t="shared" ca="1" si="17"/>
        <v>0</v>
      </c>
      <c r="AE29" s="177">
        <f t="shared" ca="1" si="18"/>
        <v>0</v>
      </c>
      <c r="AF29" s="177">
        <f t="shared" ca="1" si="41"/>
        <v>0</v>
      </c>
      <c r="AG29" s="177">
        <f t="shared" ca="1" si="45"/>
        <v>600</v>
      </c>
      <c r="AH29" s="177">
        <f t="shared" ca="1" si="45"/>
        <v>600</v>
      </c>
      <c r="AI29" s="177">
        <f t="shared" ca="1" si="20"/>
        <v>0</v>
      </c>
      <c r="AJ29" s="177">
        <f t="shared" ca="1" si="21"/>
        <v>0</v>
      </c>
      <c r="AK29" s="177">
        <f t="shared" ca="1" si="22"/>
        <v>0</v>
      </c>
      <c r="AL29" s="177">
        <f t="shared" ca="1" si="23"/>
        <v>0</v>
      </c>
      <c r="AM29" s="177">
        <f t="shared" ca="1" si="24"/>
        <v>0</v>
      </c>
      <c r="AN29" s="177">
        <f t="shared" ca="1" si="25"/>
        <v>0</v>
      </c>
      <c r="AO29" s="177">
        <f t="shared" ca="1" si="26"/>
        <v>0</v>
      </c>
      <c r="AP29" s="177">
        <f t="shared" ca="1" si="27"/>
        <v>0</v>
      </c>
      <c r="AQ29" s="177">
        <f t="shared" ca="1" si="42"/>
        <v>0</v>
      </c>
      <c r="AR29" s="177">
        <f t="shared" ca="1" si="28"/>
        <v>600</v>
      </c>
      <c r="AS29" s="176">
        <f t="shared" ca="1" si="29"/>
        <v>0</v>
      </c>
      <c r="AT29" s="176">
        <f t="shared" ca="1" si="30"/>
        <v>0</v>
      </c>
      <c r="AU29" s="176">
        <f t="shared" ca="1" si="31"/>
        <v>0</v>
      </c>
      <c r="AV29" s="176">
        <f t="shared" ca="1" si="32"/>
        <v>0</v>
      </c>
      <c r="AW29" s="176">
        <f t="shared" ca="1" si="33"/>
        <v>0</v>
      </c>
      <c r="AX29" s="176">
        <f t="shared" ca="1" si="34"/>
        <v>0</v>
      </c>
      <c r="AY29" s="176">
        <f t="shared" ca="1" si="35"/>
        <v>0</v>
      </c>
      <c r="AZ29" s="176">
        <f t="shared" ca="1" si="36"/>
        <v>0</v>
      </c>
      <c r="BA29" s="176">
        <f t="shared" ca="1" si="37"/>
        <v>0</v>
      </c>
      <c r="BB29" s="176">
        <f t="shared" ca="1" si="38"/>
        <v>0</v>
      </c>
      <c r="BC29" s="176">
        <f t="shared" ca="1" si="39"/>
        <v>0</v>
      </c>
    </row>
    <row r="30" spans="1:55">
      <c r="A30" s="1">
        <f t="shared" ca="1" si="0"/>
        <v>0</v>
      </c>
      <c r="B30" s="1" t="s">
        <v>89</v>
      </c>
      <c r="C30" s="1" t="str">
        <f t="shared" ca="1" si="40"/>
        <v/>
      </c>
      <c r="D30" s="1" t="str">
        <f t="shared" ca="1" si="1"/>
        <v/>
      </c>
      <c r="E30" s="173" t="str" cm="1">
        <f t="array" aca="1" ref="E30" ca="1">_xlfn.IFS(OR(ISBLANK(StartDateMonth),ISBLANK(StartDateYear)),"",E29&gt;=DATEVALUE(CompletionMonth&amp;CompletionYear)+1,"",TRUE,EDATE(E29,1))</f>
        <v/>
      </c>
      <c r="F30" s="176">
        <f t="shared" ca="1" si="44"/>
        <v>0</v>
      </c>
      <c r="G30" s="176">
        <f t="shared" ca="1" si="44"/>
        <v>0</v>
      </c>
      <c r="H30" s="176">
        <f t="shared" ca="1" si="44"/>
        <v>0</v>
      </c>
      <c r="I30" s="176">
        <f t="shared" ca="1" si="44"/>
        <v>0</v>
      </c>
      <c r="J30" s="176">
        <f t="shared" ca="1" si="44"/>
        <v>0</v>
      </c>
      <c r="K30" s="176">
        <f t="shared" ca="1" si="44"/>
        <v>0</v>
      </c>
      <c r="L30" s="176">
        <f t="shared" ca="1" si="44"/>
        <v>0</v>
      </c>
      <c r="M30" s="176">
        <f t="shared" ca="1" si="44"/>
        <v>0</v>
      </c>
      <c r="N30" s="176">
        <f t="shared" ca="1" si="44"/>
        <v>0</v>
      </c>
      <c r="O30" s="176">
        <f t="shared" ca="1" si="44"/>
        <v>0</v>
      </c>
      <c r="P30" s="176">
        <f t="shared" ca="1" si="3"/>
        <v>0</v>
      </c>
      <c r="Q30" s="176">
        <f t="shared" ca="1" si="4"/>
        <v>0</v>
      </c>
      <c r="R30" s="176">
        <f t="shared" ca="1" si="5"/>
        <v>0</v>
      </c>
      <c r="S30" s="176">
        <f t="shared" ca="1" si="6"/>
        <v>0</v>
      </c>
      <c r="T30" s="176">
        <f t="shared" ca="1" si="7"/>
        <v>0</v>
      </c>
      <c r="U30" s="176">
        <f t="shared" ca="1" si="8"/>
        <v>0</v>
      </c>
      <c r="V30" s="176">
        <f t="shared" ca="1" si="9"/>
        <v>0</v>
      </c>
      <c r="W30" s="177">
        <f t="shared" ca="1" si="10"/>
        <v>600</v>
      </c>
      <c r="X30" s="177">
        <f t="shared" ca="1" si="11"/>
        <v>0</v>
      </c>
      <c r="Y30" s="177">
        <f t="shared" ca="1" si="12"/>
        <v>0</v>
      </c>
      <c r="Z30" s="177">
        <f t="shared" ca="1" si="13"/>
        <v>0</v>
      </c>
      <c r="AA30" s="177">
        <f t="shared" ca="1" si="14"/>
        <v>0</v>
      </c>
      <c r="AB30" s="177">
        <f t="shared" ca="1" si="15"/>
        <v>0</v>
      </c>
      <c r="AC30" s="177">
        <f t="shared" ca="1" si="16"/>
        <v>0</v>
      </c>
      <c r="AD30" s="177">
        <f t="shared" ca="1" si="17"/>
        <v>0</v>
      </c>
      <c r="AE30" s="177">
        <f t="shared" ca="1" si="18"/>
        <v>0</v>
      </c>
      <c r="AF30" s="177">
        <f t="shared" ca="1" si="41"/>
        <v>0</v>
      </c>
      <c r="AG30" s="177">
        <f t="shared" ca="1" si="45"/>
        <v>600</v>
      </c>
      <c r="AH30" s="177">
        <f t="shared" ca="1" si="45"/>
        <v>600</v>
      </c>
      <c r="AI30" s="177">
        <f t="shared" ca="1" si="20"/>
        <v>0</v>
      </c>
      <c r="AJ30" s="177">
        <f t="shared" ca="1" si="21"/>
        <v>0</v>
      </c>
      <c r="AK30" s="177">
        <f t="shared" ca="1" si="22"/>
        <v>0</v>
      </c>
      <c r="AL30" s="177">
        <f t="shared" ca="1" si="23"/>
        <v>0</v>
      </c>
      <c r="AM30" s="177">
        <f t="shared" ca="1" si="24"/>
        <v>0</v>
      </c>
      <c r="AN30" s="177">
        <f t="shared" ca="1" si="25"/>
        <v>0</v>
      </c>
      <c r="AO30" s="177">
        <f t="shared" ca="1" si="26"/>
        <v>0</v>
      </c>
      <c r="AP30" s="177">
        <f t="shared" ca="1" si="27"/>
        <v>0</v>
      </c>
      <c r="AQ30" s="177">
        <f t="shared" ca="1" si="42"/>
        <v>0</v>
      </c>
      <c r="AR30" s="177">
        <f t="shared" ca="1" si="28"/>
        <v>600</v>
      </c>
      <c r="AS30" s="176">
        <f t="shared" ca="1" si="29"/>
        <v>0</v>
      </c>
      <c r="AT30" s="176">
        <f t="shared" ca="1" si="30"/>
        <v>0</v>
      </c>
      <c r="AU30" s="176">
        <f t="shared" ca="1" si="31"/>
        <v>0</v>
      </c>
      <c r="AV30" s="176">
        <f t="shared" ca="1" si="32"/>
        <v>0</v>
      </c>
      <c r="AW30" s="176">
        <f t="shared" ca="1" si="33"/>
        <v>0</v>
      </c>
      <c r="AX30" s="176">
        <f t="shared" ca="1" si="34"/>
        <v>0</v>
      </c>
      <c r="AY30" s="176">
        <f t="shared" ca="1" si="35"/>
        <v>0</v>
      </c>
      <c r="AZ30" s="176">
        <f t="shared" ca="1" si="36"/>
        <v>0</v>
      </c>
      <c r="BA30" s="176">
        <f t="shared" ca="1" si="37"/>
        <v>0</v>
      </c>
      <c r="BB30" s="176">
        <f t="shared" ca="1" si="38"/>
        <v>0</v>
      </c>
      <c r="BC30" s="176">
        <f t="shared" ca="1" si="39"/>
        <v>0</v>
      </c>
    </row>
    <row r="31" spans="1:55">
      <c r="A31" s="1">
        <f t="shared" ca="1" si="0"/>
        <v>0</v>
      </c>
      <c r="B31" s="1" t="s">
        <v>90</v>
      </c>
      <c r="C31" s="1" t="str">
        <f t="shared" ca="1" si="40"/>
        <v/>
      </c>
      <c r="D31" s="1" t="str">
        <f t="shared" ca="1" si="1"/>
        <v/>
      </c>
      <c r="E31" s="173" t="str" cm="1">
        <f t="array" aca="1" ref="E31" ca="1">_xlfn.IFS(OR(ISBLANK(StartDateMonth),ISBLANK(StartDateYear)),"",E30&gt;=DATEVALUE(CompletionMonth&amp;CompletionYear)+1,"",TRUE,EDATE(E30,1))</f>
        <v/>
      </c>
      <c r="F31" s="176">
        <f t="shared" ca="1" si="44"/>
        <v>0</v>
      </c>
      <c r="G31" s="176">
        <f t="shared" ca="1" si="44"/>
        <v>0</v>
      </c>
      <c r="H31" s="176">
        <f t="shared" ca="1" si="44"/>
        <v>0</v>
      </c>
      <c r="I31" s="176">
        <f t="shared" ca="1" si="44"/>
        <v>0</v>
      </c>
      <c r="J31" s="176">
        <f t="shared" ca="1" si="44"/>
        <v>0</v>
      </c>
      <c r="K31" s="176">
        <f t="shared" ca="1" si="44"/>
        <v>0</v>
      </c>
      <c r="L31" s="176">
        <f t="shared" ca="1" si="44"/>
        <v>0</v>
      </c>
      <c r="M31" s="176">
        <f t="shared" ca="1" si="44"/>
        <v>0</v>
      </c>
      <c r="N31" s="176">
        <f t="shared" ca="1" si="44"/>
        <v>0</v>
      </c>
      <c r="O31" s="176">
        <f t="shared" ca="1" si="44"/>
        <v>0</v>
      </c>
      <c r="P31" s="176">
        <f t="shared" ca="1" si="3"/>
        <v>0</v>
      </c>
      <c r="Q31" s="176">
        <f t="shared" ca="1" si="4"/>
        <v>0</v>
      </c>
      <c r="R31" s="176">
        <f t="shared" ca="1" si="5"/>
        <v>0</v>
      </c>
      <c r="S31" s="176">
        <f t="shared" ca="1" si="6"/>
        <v>0</v>
      </c>
      <c r="T31" s="176">
        <f t="shared" ca="1" si="7"/>
        <v>0</v>
      </c>
      <c r="U31" s="176">
        <f t="shared" ca="1" si="8"/>
        <v>0</v>
      </c>
      <c r="V31" s="176">
        <f t="shared" ca="1" si="9"/>
        <v>0</v>
      </c>
      <c r="W31" s="177">
        <f t="shared" ca="1" si="10"/>
        <v>600</v>
      </c>
      <c r="X31" s="177">
        <f t="shared" ca="1" si="11"/>
        <v>0</v>
      </c>
      <c r="Y31" s="177">
        <f t="shared" ca="1" si="12"/>
        <v>0</v>
      </c>
      <c r="Z31" s="177">
        <f t="shared" ca="1" si="13"/>
        <v>0</v>
      </c>
      <c r="AA31" s="177">
        <f t="shared" ca="1" si="14"/>
        <v>0</v>
      </c>
      <c r="AB31" s="177">
        <f t="shared" ca="1" si="15"/>
        <v>0</v>
      </c>
      <c r="AC31" s="177">
        <f t="shared" ca="1" si="16"/>
        <v>0</v>
      </c>
      <c r="AD31" s="177">
        <f t="shared" ca="1" si="17"/>
        <v>0</v>
      </c>
      <c r="AE31" s="177">
        <f t="shared" ca="1" si="18"/>
        <v>0</v>
      </c>
      <c r="AF31" s="177">
        <f t="shared" ca="1" si="41"/>
        <v>0</v>
      </c>
      <c r="AG31" s="177">
        <f t="shared" ca="1" si="45"/>
        <v>600</v>
      </c>
      <c r="AH31" s="177">
        <f t="shared" ca="1" si="45"/>
        <v>600</v>
      </c>
      <c r="AI31" s="177">
        <f t="shared" ca="1" si="20"/>
        <v>0</v>
      </c>
      <c r="AJ31" s="177">
        <f t="shared" ca="1" si="21"/>
        <v>0</v>
      </c>
      <c r="AK31" s="177">
        <f t="shared" ca="1" si="22"/>
        <v>0</v>
      </c>
      <c r="AL31" s="177">
        <f t="shared" ca="1" si="23"/>
        <v>0</v>
      </c>
      <c r="AM31" s="177">
        <f t="shared" ca="1" si="24"/>
        <v>0</v>
      </c>
      <c r="AN31" s="177">
        <f t="shared" ca="1" si="25"/>
        <v>0</v>
      </c>
      <c r="AO31" s="177">
        <f t="shared" ca="1" si="26"/>
        <v>0</v>
      </c>
      <c r="AP31" s="177">
        <f t="shared" ca="1" si="27"/>
        <v>0</v>
      </c>
      <c r="AQ31" s="177">
        <f t="shared" ca="1" si="42"/>
        <v>0</v>
      </c>
      <c r="AR31" s="177">
        <f t="shared" ca="1" si="28"/>
        <v>600</v>
      </c>
      <c r="AS31" s="176">
        <f t="shared" ca="1" si="29"/>
        <v>0</v>
      </c>
      <c r="AT31" s="176">
        <f t="shared" ca="1" si="30"/>
        <v>0</v>
      </c>
      <c r="AU31" s="176">
        <f t="shared" ca="1" si="31"/>
        <v>0</v>
      </c>
      <c r="AV31" s="176">
        <f t="shared" ca="1" si="32"/>
        <v>0</v>
      </c>
      <c r="AW31" s="176">
        <f t="shared" ca="1" si="33"/>
        <v>0</v>
      </c>
      <c r="AX31" s="176">
        <f t="shared" ca="1" si="34"/>
        <v>0</v>
      </c>
      <c r="AY31" s="176">
        <f t="shared" ca="1" si="35"/>
        <v>0</v>
      </c>
      <c r="AZ31" s="176">
        <f t="shared" ca="1" si="36"/>
        <v>0</v>
      </c>
      <c r="BA31" s="176">
        <f t="shared" ca="1" si="37"/>
        <v>0</v>
      </c>
      <c r="BB31" s="176">
        <f t="shared" ca="1" si="38"/>
        <v>0</v>
      </c>
      <c r="BC31" s="176">
        <f t="shared" ca="1" si="39"/>
        <v>0</v>
      </c>
    </row>
    <row r="32" spans="1:55">
      <c r="A32" s="1">
        <f t="shared" ca="1" si="0"/>
        <v>0</v>
      </c>
      <c r="B32" s="1" t="s">
        <v>91</v>
      </c>
      <c r="C32" s="1" t="str">
        <f t="shared" ca="1" si="40"/>
        <v/>
      </c>
      <c r="D32" s="1" t="str">
        <f t="shared" ca="1" si="1"/>
        <v/>
      </c>
      <c r="E32" s="173" t="str" cm="1">
        <f t="array" aca="1" ref="E32" ca="1">_xlfn.IFS(OR(ISBLANK(StartDateMonth),ISBLANK(StartDateYear)),"",E31&gt;=DATEVALUE(CompletionMonth&amp;CompletionYear)+1,"",TRUE,EDATE(E31,1))</f>
        <v/>
      </c>
      <c r="F32" s="176">
        <f t="shared" ca="1" si="44"/>
        <v>0</v>
      </c>
      <c r="G32" s="176">
        <f t="shared" ca="1" si="44"/>
        <v>0</v>
      </c>
      <c r="H32" s="176">
        <f t="shared" ca="1" si="44"/>
        <v>0</v>
      </c>
      <c r="I32" s="176">
        <f t="shared" ca="1" si="44"/>
        <v>0</v>
      </c>
      <c r="J32" s="176">
        <f t="shared" ca="1" si="44"/>
        <v>0</v>
      </c>
      <c r="K32" s="176">
        <f t="shared" ca="1" si="44"/>
        <v>0</v>
      </c>
      <c r="L32" s="176">
        <f t="shared" ca="1" si="44"/>
        <v>0</v>
      </c>
      <c r="M32" s="176">
        <f t="shared" ca="1" si="44"/>
        <v>0</v>
      </c>
      <c r="N32" s="176">
        <f t="shared" ca="1" si="44"/>
        <v>0</v>
      </c>
      <c r="O32" s="176">
        <f t="shared" ca="1" si="44"/>
        <v>0</v>
      </c>
      <c r="P32" s="176">
        <f t="shared" ca="1" si="3"/>
        <v>0</v>
      </c>
      <c r="Q32" s="176">
        <f t="shared" ca="1" si="4"/>
        <v>0</v>
      </c>
      <c r="R32" s="176">
        <f t="shared" ca="1" si="5"/>
        <v>0</v>
      </c>
      <c r="S32" s="176">
        <f t="shared" ca="1" si="6"/>
        <v>0</v>
      </c>
      <c r="T32" s="176">
        <f t="shared" ca="1" si="7"/>
        <v>0</v>
      </c>
      <c r="U32" s="176">
        <f t="shared" ca="1" si="8"/>
        <v>0</v>
      </c>
      <c r="V32" s="176">
        <f t="shared" ca="1" si="9"/>
        <v>0</v>
      </c>
      <c r="W32" s="177">
        <f t="shared" ca="1" si="10"/>
        <v>600</v>
      </c>
      <c r="X32" s="177">
        <f t="shared" ca="1" si="11"/>
        <v>0</v>
      </c>
      <c r="Y32" s="177">
        <f t="shared" ca="1" si="12"/>
        <v>0</v>
      </c>
      <c r="Z32" s="177">
        <f t="shared" ca="1" si="13"/>
        <v>0</v>
      </c>
      <c r="AA32" s="177">
        <f t="shared" ca="1" si="14"/>
        <v>0</v>
      </c>
      <c r="AB32" s="177">
        <f t="shared" ca="1" si="15"/>
        <v>0</v>
      </c>
      <c r="AC32" s="177">
        <f t="shared" ca="1" si="16"/>
        <v>0</v>
      </c>
      <c r="AD32" s="177">
        <f t="shared" ca="1" si="17"/>
        <v>0</v>
      </c>
      <c r="AE32" s="177">
        <f t="shared" ca="1" si="18"/>
        <v>0</v>
      </c>
      <c r="AF32" s="177">
        <f t="shared" ca="1" si="41"/>
        <v>0</v>
      </c>
      <c r="AG32" s="177">
        <f t="shared" ca="1" si="45"/>
        <v>600</v>
      </c>
      <c r="AH32" s="177">
        <f t="shared" ca="1" si="45"/>
        <v>600</v>
      </c>
      <c r="AI32" s="177">
        <f t="shared" ca="1" si="20"/>
        <v>0</v>
      </c>
      <c r="AJ32" s="177">
        <f t="shared" ca="1" si="21"/>
        <v>0</v>
      </c>
      <c r="AK32" s="177">
        <f t="shared" ca="1" si="22"/>
        <v>0</v>
      </c>
      <c r="AL32" s="177">
        <f t="shared" ca="1" si="23"/>
        <v>0</v>
      </c>
      <c r="AM32" s="177">
        <f t="shared" ca="1" si="24"/>
        <v>0</v>
      </c>
      <c r="AN32" s="177">
        <f t="shared" ca="1" si="25"/>
        <v>0</v>
      </c>
      <c r="AO32" s="177">
        <f t="shared" ca="1" si="26"/>
        <v>0</v>
      </c>
      <c r="AP32" s="177">
        <f t="shared" ca="1" si="27"/>
        <v>0</v>
      </c>
      <c r="AQ32" s="177">
        <f t="shared" ca="1" si="42"/>
        <v>0</v>
      </c>
      <c r="AR32" s="177">
        <f t="shared" ca="1" si="28"/>
        <v>600</v>
      </c>
      <c r="AS32" s="176">
        <f t="shared" ca="1" si="29"/>
        <v>0</v>
      </c>
      <c r="AT32" s="176">
        <f t="shared" ca="1" si="30"/>
        <v>0</v>
      </c>
      <c r="AU32" s="176">
        <f t="shared" ca="1" si="31"/>
        <v>0</v>
      </c>
      <c r="AV32" s="176">
        <f t="shared" ca="1" si="32"/>
        <v>0</v>
      </c>
      <c r="AW32" s="176">
        <f t="shared" ca="1" si="33"/>
        <v>0</v>
      </c>
      <c r="AX32" s="176">
        <f t="shared" ca="1" si="34"/>
        <v>0</v>
      </c>
      <c r="AY32" s="176">
        <f t="shared" ca="1" si="35"/>
        <v>0</v>
      </c>
      <c r="AZ32" s="176">
        <f t="shared" ca="1" si="36"/>
        <v>0</v>
      </c>
      <c r="BA32" s="176">
        <f t="shared" ca="1" si="37"/>
        <v>0</v>
      </c>
      <c r="BB32" s="176">
        <f t="shared" ca="1" si="38"/>
        <v>0</v>
      </c>
      <c r="BC32" s="176">
        <f t="shared" ca="1" si="39"/>
        <v>0</v>
      </c>
    </row>
    <row r="33" spans="1:55">
      <c r="A33" s="1">
        <f t="shared" ca="1" si="0"/>
        <v>0</v>
      </c>
      <c r="B33" s="1" t="s">
        <v>92</v>
      </c>
      <c r="C33" s="1" t="str">
        <f t="shared" ca="1" si="40"/>
        <v/>
      </c>
      <c r="D33" s="1" t="str">
        <f t="shared" ca="1" si="1"/>
        <v/>
      </c>
      <c r="E33" s="173" t="str" cm="1">
        <f t="array" aca="1" ref="E33" ca="1">_xlfn.IFS(OR(ISBLANK(StartDateMonth),ISBLANK(StartDateYear)),"",E32&gt;=DATEVALUE(CompletionMonth&amp;CompletionYear)+1,"",TRUE,EDATE(E32,1))</f>
        <v/>
      </c>
      <c r="F33" s="176">
        <f t="shared" ca="1" si="44"/>
        <v>0</v>
      </c>
      <c r="G33" s="176">
        <f t="shared" ca="1" si="44"/>
        <v>0</v>
      </c>
      <c r="H33" s="176">
        <f t="shared" ca="1" si="44"/>
        <v>0</v>
      </c>
      <c r="I33" s="176">
        <f t="shared" ca="1" si="44"/>
        <v>0</v>
      </c>
      <c r="J33" s="176">
        <f t="shared" ca="1" si="44"/>
        <v>0</v>
      </c>
      <c r="K33" s="176">
        <f t="shared" ca="1" si="44"/>
        <v>0</v>
      </c>
      <c r="L33" s="176">
        <f t="shared" ca="1" si="44"/>
        <v>0</v>
      </c>
      <c r="M33" s="176">
        <f t="shared" ca="1" si="44"/>
        <v>0</v>
      </c>
      <c r="N33" s="176">
        <f t="shared" ca="1" si="44"/>
        <v>0</v>
      </c>
      <c r="O33" s="176">
        <f t="shared" ca="1" si="44"/>
        <v>0</v>
      </c>
      <c r="P33" s="176">
        <f t="shared" ca="1" si="3"/>
        <v>0</v>
      </c>
      <c r="Q33" s="176">
        <f t="shared" ca="1" si="4"/>
        <v>0</v>
      </c>
      <c r="R33" s="176">
        <f t="shared" ca="1" si="5"/>
        <v>0</v>
      </c>
      <c r="S33" s="176">
        <f t="shared" ca="1" si="6"/>
        <v>0</v>
      </c>
      <c r="T33" s="176">
        <f t="shared" ca="1" si="7"/>
        <v>0</v>
      </c>
      <c r="U33" s="176">
        <f t="shared" ca="1" si="8"/>
        <v>0</v>
      </c>
      <c r="V33" s="176">
        <f t="shared" ca="1" si="9"/>
        <v>0</v>
      </c>
      <c r="W33" s="177">
        <f t="shared" ca="1" si="10"/>
        <v>600</v>
      </c>
      <c r="X33" s="177">
        <f t="shared" ca="1" si="11"/>
        <v>0</v>
      </c>
      <c r="Y33" s="177">
        <f t="shared" ca="1" si="12"/>
        <v>0</v>
      </c>
      <c r="Z33" s="177">
        <f t="shared" ca="1" si="13"/>
        <v>0</v>
      </c>
      <c r="AA33" s="177">
        <f t="shared" ca="1" si="14"/>
        <v>0</v>
      </c>
      <c r="AB33" s="177">
        <f t="shared" ca="1" si="15"/>
        <v>0</v>
      </c>
      <c r="AC33" s="177">
        <f t="shared" ca="1" si="16"/>
        <v>0</v>
      </c>
      <c r="AD33" s="177">
        <f t="shared" ca="1" si="17"/>
        <v>0</v>
      </c>
      <c r="AE33" s="177">
        <f t="shared" ca="1" si="18"/>
        <v>0</v>
      </c>
      <c r="AF33" s="177">
        <f t="shared" ca="1" si="41"/>
        <v>0</v>
      </c>
      <c r="AG33" s="177">
        <f t="shared" ca="1" si="45"/>
        <v>600</v>
      </c>
      <c r="AH33" s="177">
        <f t="shared" ca="1" si="45"/>
        <v>600</v>
      </c>
      <c r="AI33" s="177">
        <f t="shared" ca="1" si="20"/>
        <v>0</v>
      </c>
      <c r="AJ33" s="177">
        <f t="shared" ca="1" si="21"/>
        <v>0</v>
      </c>
      <c r="AK33" s="177">
        <f t="shared" ca="1" si="22"/>
        <v>0</v>
      </c>
      <c r="AL33" s="177">
        <f t="shared" ca="1" si="23"/>
        <v>0</v>
      </c>
      <c r="AM33" s="177">
        <f t="shared" ca="1" si="24"/>
        <v>0</v>
      </c>
      <c r="AN33" s="177">
        <f t="shared" ca="1" si="25"/>
        <v>0</v>
      </c>
      <c r="AO33" s="177">
        <f t="shared" ca="1" si="26"/>
        <v>0</v>
      </c>
      <c r="AP33" s="177">
        <f t="shared" ca="1" si="27"/>
        <v>0</v>
      </c>
      <c r="AQ33" s="177">
        <f t="shared" ca="1" si="42"/>
        <v>0</v>
      </c>
      <c r="AR33" s="177">
        <f t="shared" ca="1" si="28"/>
        <v>600</v>
      </c>
      <c r="AS33" s="176">
        <f t="shared" ca="1" si="29"/>
        <v>0</v>
      </c>
      <c r="AT33" s="176">
        <f t="shared" ca="1" si="30"/>
        <v>0</v>
      </c>
      <c r="AU33" s="176">
        <f t="shared" ca="1" si="31"/>
        <v>0</v>
      </c>
      <c r="AV33" s="176">
        <f t="shared" ca="1" si="32"/>
        <v>0</v>
      </c>
      <c r="AW33" s="176">
        <f t="shared" ca="1" si="33"/>
        <v>0</v>
      </c>
      <c r="AX33" s="176">
        <f t="shared" ca="1" si="34"/>
        <v>0</v>
      </c>
      <c r="AY33" s="176">
        <f t="shared" ca="1" si="35"/>
        <v>0</v>
      </c>
      <c r="AZ33" s="176">
        <f t="shared" ca="1" si="36"/>
        <v>0</v>
      </c>
      <c r="BA33" s="176">
        <f t="shared" ca="1" si="37"/>
        <v>0</v>
      </c>
      <c r="BB33" s="176">
        <f t="shared" ca="1" si="38"/>
        <v>0</v>
      </c>
      <c r="BC33" s="176">
        <f t="shared" ca="1" si="39"/>
        <v>0</v>
      </c>
    </row>
    <row r="34" spans="1:55">
      <c r="A34" s="1">
        <f t="shared" ca="1" si="0"/>
        <v>0</v>
      </c>
      <c r="B34" s="1" t="s">
        <v>93</v>
      </c>
      <c r="C34" s="1" t="str">
        <f t="shared" ca="1" si="40"/>
        <v/>
      </c>
      <c r="D34" s="1" t="str">
        <f t="shared" ca="1" si="1"/>
        <v/>
      </c>
      <c r="E34" s="173" t="str" cm="1">
        <f t="array" aca="1" ref="E34" ca="1">_xlfn.IFS(OR(ISBLANK(StartDateMonth),ISBLANK(StartDateYear)),"",E33&gt;=DATEVALUE(CompletionMonth&amp;CompletionYear)+1,"",TRUE,EDATE(E33,1))</f>
        <v/>
      </c>
      <c r="F34" s="176">
        <f t="shared" ref="F34:O43" ca="1" si="46">IF($A34=1,INDEX(DevelopmentCosts,MATCH(F$3,TotalDevCostsList,0),MATCH($B34,DevelopmentCostTitle,0)),0)</f>
        <v>0</v>
      </c>
      <c r="G34" s="176">
        <f t="shared" ca="1" si="46"/>
        <v>0</v>
      </c>
      <c r="H34" s="176">
        <f t="shared" ca="1" si="46"/>
        <v>0</v>
      </c>
      <c r="I34" s="176">
        <f t="shared" ca="1" si="46"/>
        <v>0</v>
      </c>
      <c r="J34" s="176">
        <f t="shared" ca="1" si="46"/>
        <v>0</v>
      </c>
      <c r="K34" s="176">
        <f t="shared" ca="1" si="46"/>
        <v>0</v>
      </c>
      <c r="L34" s="176">
        <f t="shared" ca="1" si="46"/>
        <v>0</v>
      </c>
      <c r="M34" s="176">
        <f t="shared" ca="1" si="46"/>
        <v>0</v>
      </c>
      <c r="N34" s="176">
        <f t="shared" ca="1" si="46"/>
        <v>0</v>
      </c>
      <c r="O34" s="176">
        <f t="shared" ca="1" si="46"/>
        <v>0</v>
      </c>
      <c r="P34" s="176">
        <f t="shared" ca="1" si="3"/>
        <v>0</v>
      </c>
      <c r="Q34" s="176">
        <f t="shared" ca="1" si="4"/>
        <v>0</v>
      </c>
      <c r="R34" s="176">
        <f t="shared" ca="1" si="5"/>
        <v>0</v>
      </c>
      <c r="S34" s="176">
        <f t="shared" ca="1" si="6"/>
        <v>0</v>
      </c>
      <c r="T34" s="176">
        <f t="shared" ca="1" si="7"/>
        <v>0</v>
      </c>
      <c r="U34" s="176">
        <f t="shared" ca="1" si="8"/>
        <v>0</v>
      </c>
      <c r="V34" s="176">
        <f t="shared" ca="1" si="9"/>
        <v>0</v>
      </c>
      <c r="W34" s="177">
        <f t="shared" ca="1" si="10"/>
        <v>600</v>
      </c>
      <c r="X34" s="177">
        <f t="shared" ca="1" si="11"/>
        <v>0</v>
      </c>
      <c r="Y34" s="177">
        <f t="shared" ca="1" si="12"/>
        <v>0</v>
      </c>
      <c r="Z34" s="177">
        <f t="shared" ca="1" si="13"/>
        <v>0</v>
      </c>
      <c r="AA34" s="177">
        <f t="shared" ca="1" si="14"/>
        <v>0</v>
      </c>
      <c r="AB34" s="177">
        <f t="shared" ca="1" si="15"/>
        <v>0</v>
      </c>
      <c r="AC34" s="177">
        <f t="shared" ca="1" si="16"/>
        <v>0</v>
      </c>
      <c r="AD34" s="177">
        <f t="shared" ca="1" si="17"/>
        <v>0</v>
      </c>
      <c r="AE34" s="177">
        <f t="shared" ca="1" si="18"/>
        <v>0</v>
      </c>
      <c r="AF34" s="177">
        <f t="shared" ca="1" si="41"/>
        <v>0</v>
      </c>
      <c r="AG34" s="177">
        <f t="shared" ca="1" si="45"/>
        <v>600</v>
      </c>
      <c r="AH34" s="177">
        <f t="shared" ca="1" si="45"/>
        <v>600</v>
      </c>
      <c r="AI34" s="177">
        <f t="shared" ca="1" si="20"/>
        <v>0</v>
      </c>
      <c r="AJ34" s="177">
        <f t="shared" ca="1" si="21"/>
        <v>0</v>
      </c>
      <c r="AK34" s="177">
        <f t="shared" ca="1" si="22"/>
        <v>0</v>
      </c>
      <c r="AL34" s="177">
        <f t="shared" ca="1" si="23"/>
        <v>0</v>
      </c>
      <c r="AM34" s="177">
        <f t="shared" ca="1" si="24"/>
        <v>0</v>
      </c>
      <c r="AN34" s="177">
        <f t="shared" ca="1" si="25"/>
        <v>0</v>
      </c>
      <c r="AO34" s="177">
        <f t="shared" ca="1" si="26"/>
        <v>0</v>
      </c>
      <c r="AP34" s="177">
        <f t="shared" ca="1" si="27"/>
        <v>0</v>
      </c>
      <c r="AQ34" s="177">
        <f t="shared" ca="1" si="42"/>
        <v>0</v>
      </c>
      <c r="AR34" s="177">
        <f t="shared" ca="1" si="28"/>
        <v>600</v>
      </c>
      <c r="AS34" s="176">
        <f t="shared" ca="1" si="29"/>
        <v>0</v>
      </c>
      <c r="AT34" s="176">
        <f t="shared" ca="1" si="30"/>
        <v>0</v>
      </c>
      <c r="AU34" s="176">
        <f t="shared" ca="1" si="31"/>
        <v>0</v>
      </c>
      <c r="AV34" s="176">
        <f t="shared" ca="1" si="32"/>
        <v>0</v>
      </c>
      <c r="AW34" s="176">
        <f t="shared" ca="1" si="33"/>
        <v>0</v>
      </c>
      <c r="AX34" s="176">
        <f t="shared" ca="1" si="34"/>
        <v>0</v>
      </c>
      <c r="AY34" s="176">
        <f t="shared" ca="1" si="35"/>
        <v>0</v>
      </c>
      <c r="AZ34" s="176">
        <f t="shared" ca="1" si="36"/>
        <v>0</v>
      </c>
      <c r="BA34" s="176">
        <f t="shared" ca="1" si="37"/>
        <v>0</v>
      </c>
      <c r="BB34" s="176">
        <f t="shared" ca="1" si="38"/>
        <v>0</v>
      </c>
      <c r="BC34" s="176">
        <f t="shared" ca="1" si="39"/>
        <v>0</v>
      </c>
    </row>
    <row r="35" spans="1:55">
      <c r="A35" s="1">
        <f t="shared" ca="1" si="0"/>
        <v>0</v>
      </c>
      <c r="B35" s="1" t="s">
        <v>94</v>
      </c>
      <c r="C35" s="1" t="str">
        <f t="shared" ca="1" si="40"/>
        <v/>
      </c>
      <c r="D35" s="1" t="str">
        <f t="shared" ca="1" si="1"/>
        <v/>
      </c>
      <c r="E35" s="173" t="str" cm="1">
        <f t="array" aca="1" ref="E35" ca="1">_xlfn.IFS(OR(ISBLANK(StartDateMonth),ISBLANK(StartDateYear)),"",E34&gt;=DATEVALUE(CompletionMonth&amp;CompletionYear)+1,"",TRUE,EDATE(E34,1))</f>
        <v/>
      </c>
      <c r="F35" s="176">
        <f t="shared" ca="1" si="46"/>
        <v>0</v>
      </c>
      <c r="G35" s="176">
        <f t="shared" ca="1" si="46"/>
        <v>0</v>
      </c>
      <c r="H35" s="176">
        <f t="shared" ca="1" si="46"/>
        <v>0</v>
      </c>
      <c r="I35" s="176">
        <f t="shared" ca="1" si="46"/>
        <v>0</v>
      </c>
      <c r="J35" s="176">
        <f t="shared" ca="1" si="46"/>
        <v>0</v>
      </c>
      <c r="K35" s="176">
        <f t="shared" ca="1" si="46"/>
        <v>0</v>
      </c>
      <c r="L35" s="176">
        <f t="shared" ca="1" si="46"/>
        <v>0</v>
      </c>
      <c r="M35" s="176">
        <f t="shared" ca="1" si="46"/>
        <v>0</v>
      </c>
      <c r="N35" s="176">
        <f t="shared" ca="1" si="46"/>
        <v>0</v>
      </c>
      <c r="O35" s="176">
        <f t="shared" ca="1" si="46"/>
        <v>0</v>
      </c>
      <c r="P35" s="176">
        <f t="shared" ca="1" si="3"/>
        <v>0</v>
      </c>
      <c r="Q35" s="176">
        <f t="shared" ca="1" si="4"/>
        <v>0</v>
      </c>
      <c r="R35" s="176">
        <f t="shared" ca="1" si="5"/>
        <v>0</v>
      </c>
      <c r="S35" s="176">
        <f t="shared" ca="1" si="6"/>
        <v>0</v>
      </c>
      <c r="T35" s="176">
        <f t="shared" ca="1" si="7"/>
        <v>0</v>
      </c>
      <c r="U35" s="176">
        <f t="shared" ca="1" si="8"/>
        <v>0</v>
      </c>
      <c r="V35" s="176">
        <f t="shared" ca="1" si="9"/>
        <v>0</v>
      </c>
      <c r="W35" s="177">
        <f t="shared" ca="1" si="10"/>
        <v>600</v>
      </c>
      <c r="X35" s="177">
        <f t="shared" ca="1" si="11"/>
        <v>0</v>
      </c>
      <c r="Y35" s="177">
        <f t="shared" ca="1" si="12"/>
        <v>0</v>
      </c>
      <c r="Z35" s="177">
        <f t="shared" ca="1" si="13"/>
        <v>0</v>
      </c>
      <c r="AA35" s="177">
        <f t="shared" ca="1" si="14"/>
        <v>0</v>
      </c>
      <c r="AB35" s="177">
        <f t="shared" ca="1" si="15"/>
        <v>0</v>
      </c>
      <c r="AC35" s="177">
        <f t="shared" ca="1" si="16"/>
        <v>0</v>
      </c>
      <c r="AD35" s="177">
        <f t="shared" ca="1" si="17"/>
        <v>0</v>
      </c>
      <c r="AE35" s="177">
        <f t="shared" ca="1" si="18"/>
        <v>0</v>
      </c>
      <c r="AF35" s="177">
        <f t="shared" ca="1" si="41"/>
        <v>0</v>
      </c>
      <c r="AG35" s="177">
        <f t="shared" ca="1" si="45"/>
        <v>600</v>
      </c>
      <c r="AH35" s="177">
        <f t="shared" ca="1" si="45"/>
        <v>600</v>
      </c>
      <c r="AI35" s="177">
        <f t="shared" ca="1" si="20"/>
        <v>0</v>
      </c>
      <c r="AJ35" s="177">
        <f t="shared" ca="1" si="21"/>
        <v>0</v>
      </c>
      <c r="AK35" s="177">
        <f t="shared" ca="1" si="22"/>
        <v>0</v>
      </c>
      <c r="AL35" s="177">
        <f t="shared" ca="1" si="23"/>
        <v>0</v>
      </c>
      <c r="AM35" s="177">
        <f t="shared" ca="1" si="24"/>
        <v>0</v>
      </c>
      <c r="AN35" s="177">
        <f t="shared" ca="1" si="25"/>
        <v>0</v>
      </c>
      <c r="AO35" s="177">
        <f t="shared" ca="1" si="26"/>
        <v>0</v>
      </c>
      <c r="AP35" s="177">
        <f t="shared" ca="1" si="27"/>
        <v>0</v>
      </c>
      <c r="AQ35" s="177">
        <f t="shared" ca="1" si="42"/>
        <v>0</v>
      </c>
      <c r="AR35" s="177">
        <f t="shared" ca="1" si="28"/>
        <v>600</v>
      </c>
      <c r="AS35" s="176">
        <f t="shared" ca="1" si="29"/>
        <v>0</v>
      </c>
      <c r="AT35" s="176">
        <f t="shared" ca="1" si="30"/>
        <v>0</v>
      </c>
      <c r="AU35" s="176">
        <f t="shared" ca="1" si="31"/>
        <v>0</v>
      </c>
      <c r="AV35" s="176">
        <f t="shared" ca="1" si="32"/>
        <v>0</v>
      </c>
      <c r="AW35" s="176">
        <f t="shared" ca="1" si="33"/>
        <v>0</v>
      </c>
      <c r="AX35" s="176">
        <f t="shared" ca="1" si="34"/>
        <v>0</v>
      </c>
      <c r="AY35" s="176">
        <f t="shared" ca="1" si="35"/>
        <v>0</v>
      </c>
      <c r="AZ35" s="176">
        <f t="shared" ca="1" si="36"/>
        <v>0</v>
      </c>
      <c r="BA35" s="176">
        <f t="shared" ca="1" si="37"/>
        <v>0</v>
      </c>
      <c r="BB35" s="176">
        <f t="shared" ca="1" si="38"/>
        <v>0</v>
      </c>
      <c r="BC35" s="176">
        <f t="shared" ca="1" si="39"/>
        <v>0</v>
      </c>
    </row>
    <row r="36" spans="1:55">
      <c r="A36" s="1">
        <f t="shared" ref="A36:A67" ca="1" si="47">IF(E36="",0,1)</f>
        <v>0</v>
      </c>
      <c r="B36" s="1" t="s">
        <v>95</v>
      </c>
      <c r="C36" s="1" t="str">
        <f t="shared" ref="C36:C67" ca="1" si="48">IF(E36="","",YEAR(E36))</f>
        <v/>
      </c>
      <c r="D36" s="1" t="str">
        <f t="shared" ref="D36:D67" ca="1" si="49">IF(E36="","",TEXT(MONTH(E36)*28,"mmmm"))</f>
        <v/>
      </c>
      <c r="E36" s="173" t="str" cm="1">
        <f t="array" aca="1" ref="E36" ca="1">_xlfn.IFS(OR(ISBLANK(StartDateMonth),ISBLANK(StartDateYear)),"",E35&gt;=DATEVALUE(CompletionMonth&amp;CompletionYear)+1,"",TRUE,EDATE(E35,1))</f>
        <v/>
      </c>
      <c r="F36" s="176">
        <f t="shared" ca="1" si="46"/>
        <v>0</v>
      </c>
      <c r="G36" s="176">
        <f t="shared" ca="1" si="46"/>
        <v>0</v>
      </c>
      <c r="H36" s="176">
        <f t="shared" ca="1" si="46"/>
        <v>0</v>
      </c>
      <c r="I36" s="176">
        <f t="shared" ca="1" si="46"/>
        <v>0</v>
      </c>
      <c r="J36" s="176">
        <f t="shared" ca="1" si="46"/>
        <v>0</v>
      </c>
      <c r="K36" s="176">
        <f t="shared" ca="1" si="46"/>
        <v>0</v>
      </c>
      <c r="L36" s="176">
        <f t="shared" ca="1" si="46"/>
        <v>0</v>
      </c>
      <c r="M36" s="176">
        <f t="shared" ca="1" si="46"/>
        <v>0</v>
      </c>
      <c r="N36" s="176">
        <f t="shared" ca="1" si="46"/>
        <v>0</v>
      </c>
      <c r="O36" s="176">
        <f t="shared" ca="1" si="46"/>
        <v>0</v>
      </c>
      <c r="P36" s="176">
        <f t="shared" ref="P36:P67" ca="1" si="50">_xlfn.IFNA(IF($A36=1,INDEX(DevelopmentCosts,MATCH(P$3,TotalDevCostsList,0),MATCH($B36,DevelopmentCostTitle,0)),0),0)</f>
        <v>0</v>
      </c>
      <c r="Q36" s="176">
        <f t="shared" ref="Q36:Q67" ca="1" si="51">_xlfn.IFNA(IF($A36=1,INDEX(DevelopmentCosts,MATCH(CustomCost1,TotalDevCostsList,0),MATCH($B36,DevelopmentCostTitle,0)),0),0)</f>
        <v>0</v>
      </c>
      <c r="R36" s="176">
        <f t="shared" ref="R36:R67" ca="1" si="52">_xlfn.IFNA(IF($A36=1,INDEX(DevelopmentCosts,MATCH(CustomCost2,TotalDevCostsList,0),MATCH($B36,DevelopmentCostTitle,0)),0),0)</f>
        <v>0</v>
      </c>
      <c r="S36" s="176">
        <f t="shared" ref="S36:S67" ca="1" si="53">_xlfn.IFNA(IF($A36=1,INDEX(DevelopmentCosts,MATCH(CustomCost3,TotalDevCostsList,0),MATCH($B36,DevelopmentCostTitle,0)),0),0)</f>
        <v>0</v>
      </c>
      <c r="T36" s="176">
        <f t="shared" ref="T36:T67" ca="1" si="54">_xlfn.IFNA(IF($A36=1,INDEX(DevelopmentCosts,MATCH(CustomCost4,TotalDevCostsList,0),MATCH($B36,DevelopmentCostTitle,0)),0),0)</f>
        <v>0</v>
      </c>
      <c r="U36" s="176">
        <f t="shared" ref="U36:U67" ca="1" si="55">_xlfn.IFNA(IF($A36=1,INDEX(DevelopmentCosts,MATCH(CustomCost5,TotalDevCostsList,0),MATCH($B36,DevelopmentCostTitle,0)),0),0)</f>
        <v>0</v>
      </c>
      <c r="V36" s="176">
        <f t="shared" ref="V36:V67" ca="1" si="56">SUM(F36:U36)</f>
        <v>0</v>
      </c>
      <c r="W36" s="177">
        <f t="shared" ref="W36:W67" ca="1" si="57">COUNTIF(CategorisedCompletionKey,(OpenMarketHousing&amp;$C36&amp;$D36))</f>
        <v>600</v>
      </c>
      <c r="X36" s="177">
        <f t="shared" ref="X36:X67" ca="1" si="58">COUNTIF(CategorisedCompletionKey,(AffordableRent&amp;$C36&amp;$D36))</f>
        <v>0</v>
      </c>
      <c r="Y36" s="177">
        <f t="shared" ref="Y36:Y67" ca="1" si="59">COUNTIF(CategorisedCompletionKey,(AHPSharedEquity&amp;$C36&amp;$D36))</f>
        <v>0</v>
      </c>
      <c r="Z36" s="177">
        <f t="shared" ref="Z36:Z67" ca="1" si="60">COUNTIF(CategorisedCompletionKey,(AHPIntermediate&amp;$C36&amp;$D36))</f>
        <v>0</v>
      </c>
      <c r="AA36" s="177">
        <f t="shared" ref="AA36:AA67" ca="1" si="61">COUNTIF(CategorisedCompletionKey,(AHPSharedOwnership&amp;$C36&amp;$D36))</f>
        <v>0</v>
      </c>
      <c r="AB36" s="177">
        <f t="shared" ref="AB36:AB67" ca="1" si="62">COUNTIF(CategorisedCompletionKey,(NonAHPSharedEquity&amp;$C36&amp;$D36))</f>
        <v>0</v>
      </c>
      <c r="AC36" s="177">
        <f t="shared" ref="AC36:AC67" ca="1" si="63">COUNTIF(CategorisedCompletionKey,(NonAHPIntermediateRent&amp;$C36&amp;$D36))</f>
        <v>0</v>
      </c>
      <c r="AD36" s="177">
        <f t="shared" ref="AD36:AD67" ca="1" si="64">COUNTIF(CategorisedCompletionKey,(NonAHPSharedOwnership&amp;$C36&amp;$D36))</f>
        <v>0</v>
      </c>
      <c r="AE36" s="177">
        <f t="shared" ref="AE36:AE67" ca="1" si="65">COUNTIF(CategorisedCompletionKey,(OtherTenure&amp;$C36&amp;$D36))</f>
        <v>0</v>
      </c>
      <c r="AF36" s="177">
        <f t="shared" ref="AF36:AF67" ca="1" si="66">SUM($X36:$AE36)</f>
        <v>0</v>
      </c>
      <c r="AG36" s="177">
        <f t="shared" ca="1" si="45"/>
        <v>600</v>
      </c>
      <c r="AH36" s="177">
        <f t="shared" ca="1" si="45"/>
        <v>600</v>
      </c>
      <c r="AI36" s="177">
        <f t="shared" ref="AI36:AI67" ca="1" si="67">COUNTIF(CategorisedSaleKey,(AffordableRent&amp;$C36&amp;$D36))</f>
        <v>0</v>
      </c>
      <c r="AJ36" s="177">
        <f t="shared" ref="AJ36:AJ67" ca="1" si="68">COUNTIF(CategorisedSaleKey,(AHPSharedEquity&amp;$C36&amp;$D36))</f>
        <v>0</v>
      </c>
      <c r="AK36" s="177">
        <f t="shared" ref="AK36:AK67" ca="1" si="69">COUNTIF(CategorisedSaleKey,(AHPIntermediate&amp;$C36&amp;$D36))</f>
        <v>0</v>
      </c>
      <c r="AL36" s="177">
        <f t="shared" ref="AL36:AL67" ca="1" si="70">COUNTIF(CategorisedSaleKey,(AHPSharedOwnership&amp;$C36&amp;$D36))</f>
        <v>0</v>
      </c>
      <c r="AM36" s="177">
        <f t="shared" ref="AM36:AM67" ca="1" si="71">COUNTIF(CategorisedSaleKey,(NonAHPSharedEquity&amp;$C36&amp;$D36))</f>
        <v>0</v>
      </c>
      <c r="AN36" s="177">
        <f t="shared" ref="AN36:AN67" ca="1" si="72">COUNTIF(CategorisedSaleKey,(NonAHPIntermediateRent&amp;$C36&amp;$D36))</f>
        <v>0</v>
      </c>
      <c r="AO36" s="177">
        <f t="shared" ref="AO36:AO67" ca="1" si="73">COUNTIF(CategorisedSaleKey,(NonAHPSharedOwnership&amp;$C36&amp;$D36))</f>
        <v>0</v>
      </c>
      <c r="AP36" s="177">
        <f t="shared" ref="AP36:AP67" ca="1" si="74">COUNTIF(CategorisedSaleKey,(OtherTenure&amp;$C36&amp;$D36))</f>
        <v>0</v>
      </c>
      <c r="AQ36" s="177">
        <f t="shared" ref="AQ36:AQ67" ca="1" si="75">SUM($AI36:$AP36)</f>
        <v>0</v>
      </c>
      <c r="AR36" s="177">
        <f t="shared" ref="AR36:AR67" ca="1" si="76">$AH36+$AQ36</f>
        <v>600</v>
      </c>
      <c r="AS36" s="176">
        <f t="shared" ref="AS36:AS67" ca="1" si="77">SUMIF(CategorisedSaleKey,(OpenMarketHousing&amp;$C36&amp;$D36),ExpectedSales)</f>
        <v>0</v>
      </c>
      <c r="AT36" s="176">
        <f t="shared" ref="AT36:AT67" ca="1" si="78">SUMIF(CategorisedSaleKey,(AffordableRent&amp;$C36&amp;$D36),ExpectedSales)</f>
        <v>0</v>
      </c>
      <c r="AU36" s="176">
        <f t="shared" ref="AU36:AU67" ca="1" si="79">SUMIF(CategorisedSaleKey,(AHPSharedEquity&amp;$C36&amp;$D36),ExpectedSales)</f>
        <v>0</v>
      </c>
      <c r="AV36" s="176">
        <f t="shared" ref="AV36:AV67" ca="1" si="80">SUMIF(CategorisedSaleKey,(AHPIntermediate&amp;$C36&amp;$D36),ExpectedSales)</f>
        <v>0</v>
      </c>
      <c r="AW36" s="176">
        <f t="shared" ref="AW36:AW67" ca="1" si="81">SUMIF(CategorisedSaleKey,(AHPSharedOwnership&amp;$C36&amp;$D36),ExpectedSales)</f>
        <v>0</v>
      </c>
      <c r="AX36" s="176">
        <f t="shared" ref="AX36:AX67" ca="1" si="82">SUMIF(CategorisedSaleKey,(NonAHPSharedEquity&amp;$C36&amp;$D36),ExpectedSales)</f>
        <v>0</v>
      </c>
      <c r="AY36" s="176">
        <f t="shared" ref="AY36:AY67" ca="1" si="83">SUMIF(CategorisedSaleKey,(NonAHPIntermediateRent&amp;$C36&amp;$D36),ExpectedSales)</f>
        <v>0</v>
      </c>
      <c r="AZ36" s="176">
        <f t="shared" ref="AZ36:AZ67" ca="1" si="84">SUMIF(CategorisedSaleKey,(NonAHPSharedOwnership&amp;$C36&amp;$D36),ExpectedSales)</f>
        <v>0</v>
      </c>
      <c r="BA36" s="176">
        <f t="shared" ref="BA36:BA67" ca="1" si="85">SUMIF(CategorisedSaleKey,(OtherTenure&amp;$C36&amp;$D36),ExpectedSales)</f>
        <v>0</v>
      </c>
      <c r="BB36" s="176">
        <f t="shared" ca="1" si="38"/>
        <v>0</v>
      </c>
      <c r="BC36" s="176">
        <f t="shared" ref="BC36:BC67" ca="1" si="86">$BB36+$AS36</f>
        <v>0</v>
      </c>
    </row>
    <row r="37" spans="1:55">
      <c r="A37" s="1">
        <f t="shared" ca="1" si="47"/>
        <v>0</v>
      </c>
      <c r="B37" s="1" t="s">
        <v>96</v>
      </c>
      <c r="C37" s="1" t="str">
        <f t="shared" ca="1" si="48"/>
        <v/>
      </c>
      <c r="D37" s="1" t="str">
        <f t="shared" ca="1" si="49"/>
        <v/>
      </c>
      <c r="E37" s="173" t="str" cm="1">
        <f t="array" aca="1" ref="E37" ca="1">_xlfn.IFS(OR(ISBLANK(StartDateMonth),ISBLANK(StartDateYear)),"",E36&gt;=DATEVALUE(CompletionMonth&amp;CompletionYear)+1,"",TRUE,EDATE(E36,1))</f>
        <v/>
      </c>
      <c r="F37" s="176">
        <f t="shared" ca="1" si="46"/>
        <v>0</v>
      </c>
      <c r="G37" s="176">
        <f t="shared" ca="1" si="46"/>
        <v>0</v>
      </c>
      <c r="H37" s="176">
        <f t="shared" ca="1" si="46"/>
        <v>0</v>
      </c>
      <c r="I37" s="176">
        <f t="shared" ca="1" si="46"/>
        <v>0</v>
      </c>
      <c r="J37" s="176">
        <f t="shared" ca="1" si="46"/>
        <v>0</v>
      </c>
      <c r="K37" s="176">
        <f t="shared" ca="1" si="46"/>
        <v>0</v>
      </c>
      <c r="L37" s="176">
        <f t="shared" ca="1" si="46"/>
        <v>0</v>
      </c>
      <c r="M37" s="176">
        <f t="shared" ca="1" si="46"/>
        <v>0</v>
      </c>
      <c r="N37" s="176">
        <f t="shared" ca="1" si="46"/>
        <v>0</v>
      </c>
      <c r="O37" s="176">
        <f t="shared" ca="1" si="46"/>
        <v>0</v>
      </c>
      <c r="P37" s="176">
        <f t="shared" ca="1" si="50"/>
        <v>0</v>
      </c>
      <c r="Q37" s="176">
        <f t="shared" ca="1" si="51"/>
        <v>0</v>
      </c>
      <c r="R37" s="176">
        <f t="shared" ca="1" si="52"/>
        <v>0</v>
      </c>
      <c r="S37" s="176">
        <f t="shared" ca="1" si="53"/>
        <v>0</v>
      </c>
      <c r="T37" s="176">
        <f t="shared" ca="1" si="54"/>
        <v>0</v>
      </c>
      <c r="U37" s="176">
        <f t="shared" ca="1" si="55"/>
        <v>0</v>
      </c>
      <c r="V37" s="176">
        <f t="shared" ca="1" si="56"/>
        <v>0</v>
      </c>
      <c r="W37" s="177">
        <f t="shared" ca="1" si="57"/>
        <v>600</v>
      </c>
      <c r="X37" s="177">
        <f t="shared" ca="1" si="58"/>
        <v>0</v>
      </c>
      <c r="Y37" s="177">
        <f t="shared" ca="1" si="59"/>
        <v>0</v>
      </c>
      <c r="Z37" s="177">
        <f t="shared" ca="1" si="60"/>
        <v>0</v>
      </c>
      <c r="AA37" s="177">
        <f t="shared" ca="1" si="61"/>
        <v>0</v>
      </c>
      <c r="AB37" s="177">
        <f t="shared" ca="1" si="62"/>
        <v>0</v>
      </c>
      <c r="AC37" s="177">
        <f t="shared" ca="1" si="63"/>
        <v>0</v>
      </c>
      <c r="AD37" s="177">
        <f t="shared" ca="1" si="64"/>
        <v>0</v>
      </c>
      <c r="AE37" s="177">
        <f t="shared" ca="1" si="65"/>
        <v>0</v>
      </c>
      <c r="AF37" s="177">
        <f t="shared" ca="1" si="66"/>
        <v>0</v>
      </c>
      <c r="AG37" s="177">
        <f t="shared" ca="1" si="45"/>
        <v>600</v>
      </c>
      <c r="AH37" s="177">
        <f t="shared" ca="1" si="45"/>
        <v>600</v>
      </c>
      <c r="AI37" s="177">
        <f t="shared" ca="1" si="67"/>
        <v>0</v>
      </c>
      <c r="AJ37" s="177">
        <f t="shared" ca="1" si="68"/>
        <v>0</v>
      </c>
      <c r="AK37" s="177">
        <f t="shared" ca="1" si="69"/>
        <v>0</v>
      </c>
      <c r="AL37" s="177">
        <f t="shared" ca="1" si="70"/>
        <v>0</v>
      </c>
      <c r="AM37" s="177">
        <f t="shared" ca="1" si="71"/>
        <v>0</v>
      </c>
      <c r="AN37" s="177">
        <f t="shared" ca="1" si="72"/>
        <v>0</v>
      </c>
      <c r="AO37" s="177">
        <f t="shared" ca="1" si="73"/>
        <v>0</v>
      </c>
      <c r="AP37" s="177">
        <f t="shared" ca="1" si="74"/>
        <v>0</v>
      </c>
      <c r="AQ37" s="177">
        <f t="shared" ca="1" si="75"/>
        <v>0</v>
      </c>
      <c r="AR37" s="177">
        <f t="shared" ca="1" si="76"/>
        <v>600</v>
      </c>
      <c r="AS37" s="176">
        <f t="shared" ca="1" si="77"/>
        <v>0</v>
      </c>
      <c r="AT37" s="176">
        <f t="shared" ca="1" si="78"/>
        <v>0</v>
      </c>
      <c r="AU37" s="176">
        <f t="shared" ca="1" si="79"/>
        <v>0</v>
      </c>
      <c r="AV37" s="176">
        <f t="shared" ca="1" si="80"/>
        <v>0</v>
      </c>
      <c r="AW37" s="176">
        <f t="shared" ca="1" si="81"/>
        <v>0</v>
      </c>
      <c r="AX37" s="176">
        <f t="shared" ca="1" si="82"/>
        <v>0</v>
      </c>
      <c r="AY37" s="176">
        <f t="shared" ca="1" si="83"/>
        <v>0</v>
      </c>
      <c r="AZ37" s="176">
        <f t="shared" ca="1" si="84"/>
        <v>0</v>
      </c>
      <c r="BA37" s="176">
        <f t="shared" ca="1" si="85"/>
        <v>0</v>
      </c>
      <c r="BB37" s="176">
        <f t="shared" ca="1" si="38"/>
        <v>0</v>
      </c>
      <c r="BC37" s="176">
        <f t="shared" ca="1" si="86"/>
        <v>0</v>
      </c>
    </row>
    <row r="38" spans="1:55">
      <c r="A38" s="1">
        <f t="shared" ca="1" si="47"/>
        <v>0</v>
      </c>
      <c r="B38" s="1" t="s">
        <v>97</v>
      </c>
      <c r="C38" s="1" t="str">
        <f t="shared" ca="1" si="48"/>
        <v/>
      </c>
      <c r="D38" s="1" t="str">
        <f t="shared" ca="1" si="49"/>
        <v/>
      </c>
      <c r="E38" s="173" t="str" cm="1">
        <f t="array" aca="1" ref="E38" ca="1">_xlfn.IFS(OR(ISBLANK(StartDateMonth),ISBLANK(StartDateYear)),"",E37&gt;=DATEVALUE(CompletionMonth&amp;CompletionYear)+1,"",TRUE,EDATE(E37,1))</f>
        <v/>
      </c>
      <c r="F38" s="176">
        <f t="shared" ca="1" si="46"/>
        <v>0</v>
      </c>
      <c r="G38" s="176">
        <f t="shared" ca="1" si="46"/>
        <v>0</v>
      </c>
      <c r="H38" s="176">
        <f t="shared" ca="1" si="46"/>
        <v>0</v>
      </c>
      <c r="I38" s="176">
        <f t="shared" ca="1" si="46"/>
        <v>0</v>
      </c>
      <c r="J38" s="176">
        <f t="shared" ca="1" si="46"/>
        <v>0</v>
      </c>
      <c r="K38" s="176">
        <f t="shared" ca="1" si="46"/>
        <v>0</v>
      </c>
      <c r="L38" s="176">
        <f t="shared" ca="1" si="46"/>
        <v>0</v>
      </c>
      <c r="M38" s="176">
        <f t="shared" ca="1" si="46"/>
        <v>0</v>
      </c>
      <c r="N38" s="176">
        <f t="shared" ca="1" si="46"/>
        <v>0</v>
      </c>
      <c r="O38" s="176">
        <f t="shared" ca="1" si="46"/>
        <v>0</v>
      </c>
      <c r="P38" s="176">
        <f t="shared" ca="1" si="50"/>
        <v>0</v>
      </c>
      <c r="Q38" s="176">
        <f t="shared" ca="1" si="51"/>
        <v>0</v>
      </c>
      <c r="R38" s="176">
        <f t="shared" ca="1" si="52"/>
        <v>0</v>
      </c>
      <c r="S38" s="176">
        <f t="shared" ca="1" si="53"/>
        <v>0</v>
      </c>
      <c r="T38" s="176">
        <f t="shared" ca="1" si="54"/>
        <v>0</v>
      </c>
      <c r="U38" s="176">
        <f t="shared" ca="1" si="55"/>
        <v>0</v>
      </c>
      <c r="V38" s="176">
        <f t="shared" ca="1" si="56"/>
        <v>0</v>
      </c>
      <c r="W38" s="177">
        <f t="shared" ca="1" si="57"/>
        <v>600</v>
      </c>
      <c r="X38" s="177">
        <f t="shared" ca="1" si="58"/>
        <v>0</v>
      </c>
      <c r="Y38" s="177">
        <f t="shared" ca="1" si="59"/>
        <v>0</v>
      </c>
      <c r="Z38" s="177">
        <f t="shared" ca="1" si="60"/>
        <v>0</v>
      </c>
      <c r="AA38" s="177">
        <f t="shared" ca="1" si="61"/>
        <v>0</v>
      </c>
      <c r="AB38" s="177">
        <f t="shared" ca="1" si="62"/>
        <v>0</v>
      </c>
      <c r="AC38" s="177">
        <f t="shared" ca="1" si="63"/>
        <v>0</v>
      </c>
      <c r="AD38" s="177">
        <f t="shared" ca="1" si="64"/>
        <v>0</v>
      </c>
      <c r="AE38" s="177">
        <f t="shared" ca="1" si="65"/>
        <v>0</v>
      </c>
      <c r="AF38" s="177">
        <f t="shared" ca="1" si="66"/>
        <v>0</v>
      </c>
      <c r="AG38" s="177">
        <f t="shared" ca="1" si="45"/>
        <v>600</v>
      </c>
      <c r="AH38" s="177">
        <f t="shared" ca="1" si="45"/>
        <v>600</v>
      </c>
      <c r="AI38" s="177">
        <f t="shared" ca="1" si="67"/>
        <v>0</v>
      </c>
      <c r="AJ38" s="177">
        <f t="shared" ca="1" si="68"/>
        <v>0</v>
      </c>
      <c r="AK38" s="177">
        <f t="shared" ca="1" si="69"/>
        <v>0</v>
      </c>
      <c r="AL38" s="177">
        <f t="shared" ca="1" si="70"/>
        <v>0</v>
      </c>
      <c r="AM38" s="177">
        <f t="shared" ca="1" si="71"/>
        <v>0</v>
      </c>
      <c r="AN38" s="177">
        <f t="shared" ca="1" si="72"/>
        <v>0</v>
      </c>
      <c r="AO38" s="177">
        <f t="shared" ca="1" si="73"/>
        <v>0</v>
      </c>
      <c r="AP38" s="177">
        <f t="shared" ca="1" si="74"/>
        <v>0</v>
      </c>
      <c r="AQ38" s="177">
        <f t="shared" ca="1" si="75"/>
        <v>0</v>
      </c>
      <c r="AR38" s="177">
        <f t="shared" ca="1" si="76"/>
        <v>600</v>
      </c>
      <c r="AS38" s="176">
        <f t="shared" ca="1" si="77"/>
        <v>0</v>
      </c>
      <c r="AT38" s="176">
        <f t="shared" ca="1" si="78"/>
        <v>0</v>
      </c>
      <c r="AU38" s="176">
        <f t="shared" ca="1" si="79"/>
        <v>0</v>
      </c>
      <c r="AV38" s="176">
        <f t="shared" ca="1" si="80"/>
        <v>0</v>
      </c>
      <c r="AW38" s="176">
        <f t="shared" ca="1" si="81"/>
        <v>0</v>
      </c>
      <c r="AX38" s="176">
        <f t="shared" ca="1" si="82"/>
        <v>0</v>
      </c>
      <c r="AY38" s="176">
        <f t="shared" ca="1" si="83"/>
        <v>0</v>
      </c>
      <c r="AZ38" s="176">
        <f t="shared" ca="1" si="84"/>
        <v>0</v>
      </c>
      <c r="BA38" s="176">
        <f t="shared" ca="1" si="85"/>
        <v>0</v>
      </c>
      <c r="BB38" s="176">
        <f t="shared" ca="1" si="38"/>
        <v>0</v>
      </c>
      <c r="BC38" s="176">
        <f t="shared" ca="1" si="86"/>
        <v>0</v>
      </c>
    </row>
    <row r="39" spans="1:55">
      <c r="A39" s="1">
        <f t="shared" ca="1" si="47"/>
        <v>0</v>
      </c>
      <c r="B39" s="1" t="s">
        <v>98</v>
      </c>
      <c r="C39" s="1" t="str">
        <f t="shared" ca="1" si="48"/>
        <v/>
      </c>
      <c r="D39" s="1" t="str">
        <f t="shared" ca="1" si="49"/>
        <v/>
      </c>
      <c r="E39" s="173" t="str" cm="1">
        <f t="array" aca="1" ref="E39" ca="1">_xlfn.IFS(OR(ISBLANK(StartDateMonth),ISBLANK(StartDateYear)),"",E38&gt;=DATEVALUE(CompletionMonth&amp;CompletionYear)+1,"",TRUE,EDATE(E38,1))</f>
        <v/>
      </c>
      <c r="F39" s="176">
        <f t="shared" ca="1" si="46"/>
        <v>0</v>
      </c>
      <c r="G39" s="176">
        <f t="shared" ca="1" si="46"/>
        <v>0</v>
      </c>
      <c r="H39" s="176">
        <f t="shared" ca="1" si="46"/>
        <v>0</v>
      </c>
      <c r="I39" s="176">
        <f t="shared" ca="1" si="46"/>
        <v>0</v>
      </c>
      <c r="J39" s="176">
        <f t="shared" ca="1" si="46"/>
        <v>0</v>
      </c>
      <c r="K39" s="176">
        <f t="shared" ca="1" si="46"/>
        <v>0</v>
      </c>
      <c r="L39" s="176">
        <f t="shared" ca="1" si="46"/>
        <v>0</v>
      </c>
      <c r="M39" s="176">
        <f t="shared" ca="1" si="46"/>
        <v>0</v>
      </c>
      <c r="N39" s="176">
        <f t="shared" ca="1" si="46"/>
        <v>0</v>
      </c>
      <c r="O39" s="176">
        <f t="shared" ca="1" si="46"/>
        <v>0</v>
      </c>
      <c r="P39" s="176">
        <f t="shared" ca="1" si="50"/>
        <v>0</v>
      </c>
      <c r="Q39" s="176">
        <f t="shared" ca="1" si="51"/>
        <v>0</v>
      </c>
      <c r="R39" s="176">
        <f t="shared" ca="1" si="52"/>
        <v>0</v>
      </c>
      <c r="S39" s="176">
        <f t="shared" ca="1" si="53"/>
        <v>0</v>
      </c>
      <c r="T39" s="176">
        <f t="shared" ca="1" si="54"/>
        <v>0</v>
      </c>
      <c r="U39" s="176">
        <f t="shared" ca="1" si="55"/>
        <v>0</v>
      </c>
      <c r="V39" s="176">
        <f t="shared" ca="1" si="56"/>
        <v>0</v>
      </c>
      <c r="W39" s="177">
        <f t="shared" ca="1" si="57"/>
        <v>600</v>
      </c>
      <c r="X39" s="177">
        <f t="shared" ca="1" si="58"/>
        <v>0</v>
      </c>
      <c r="Y39" s="177">
        <f t="shared" ca="1" si="59"/>
        <v>0</v>
      </c>
      <c r="Z39" s="177">
        <f t="shared" ca="1" si="60"/>
        <v>0</v>
      </c>
      <c r="AA39" s="177">
        <f t="shared" ca="1" si="61"/>
        <v>0</v>
      </c>
      <c r="AB39" s="177">
        <f t="shared" ca="1" si="62"/>
        <v>0</v>
      </c>
      <c r="AC39" s="177">
        <f t="shared" ca="1" si="63"/>
        <v>0</v>
      </c>
      <c r="AD39" s="177">
        <f t="shared" ca="1" si="64"/>
        <v>0</v>
      </c>
      <c r="AE39" s="177">
        <f t="shared" ca="1" si="65"/>
        <v>0</v>
      </c>
      <c r="AF39" s="177">
        <f t="shared" ca="1" si="66"/>
        <v>0</v>
      </c>
      <c r="AG39" s="177">
        <f t="shared" ca="1" si="45"/>
        <v>600</v>
      </c>
      <c r="AH39" s="177">
        <f t="shared" ca="1" si="45"/>
        <v>600</v>
      </c>
      <c r="AI39" s="177">
        <f t="shared" ca="1" si="67"/>
        <v>0</v>
      </c>
      <c r="AJ39" s="177">
        <f t="shared" ca="1" si="68"/>
        <v>0</v>
      </c>
      <c r="AK39" s="177">
        <f t="shared" ca="1" si="69"/>
        <v>0</v>
      </c>
      <c r="AL39" s="177">
        <f t="shared" ca="1" si="70"/>
        <v>0</v>
      </c>
      <c r="AM39" s="177">
        <f t="shared" ca="1" si="71"/>
        <v>0</v>
      </c>
      <c r="AN39" s="177">
        <f t="shared" ca="1" si="72"/>
        <v>0</v>
      </c>
      <c r="AO39" s="177">
        <f t="shared" ca="1" si="73"/>
        <v>0</v>
      </c>
      <c r="AP39" s="177">
        <f t="shared" ca="1" si="74"/>
        <v>0</v>
      </c>
      <c r="AQ39" s="177">
        <f t="shared" ca="1" si="75"/>
        <v>0</v>
      </c>
      <c r="AR39" s="177">
        <f t="shared" ca="1" si="76"/>
        <v>600</v>
      </c>
      <c r="AS39" s="176">
        <f t="shared" ca="1" si="77"/>
        <v>0</v>
      </c>
      <c r="AT39" s="176">
        <f t="shared" ca="1" si="78"/>
        <v>0</v>
      </c>
      <c r="AU39" s="176">
        <f t="shared" ca="1" si="79"/>
        <v>0</v>
      </c>
      <c r="AV39" s="176">
        <f t="shared" ca="1" si="80"/>
        <v>0</v>
      </c>
      <c r="AW39" s="176">
        <f t="shared" ca="1" si="81"/>
        <v>0</v>
      </c>
      <c r="AX39" s="176">
        <f t="shared" ca="1" si="82"/>
        <v>0</v>
      </c>
      <c r="AY39" s="176">
        <f t="shared" ca="1" si="83"/>
        <v>0</v>
      </c>
      <c r="AZ39" s="176">
        <f t="shared" ca="1" si="84"/>
        <v>0</v>
      </c>
      <c r="BA39" s="176">
        <f t="shared" ca="1" si="85"/>
        <v>0</v>
      </c>
      <c r="BB39" s="176">
        <f t="shared" ca="1" si="38"/>
        <v>0</v>
      </c>
      <c r="BC39" s="176">
        <f t="shared" ca="1" si="86"/>
        <v>0</v>
      </c>
    </row>
    <row r="40" spans="1:55">
      <c r="A40" s="1">
        <f t="shared" ca="1" si="47"/>
        <v>0</v>
      </c>
      <c r="B40" s="1" t="s">
        <v>99</v>
      </c>
      <c r="C40" s="1" t="str">
        <f t="shared" ca="1" si="48"/>
        <v/>
      </c>
      <c r="D40" s="1" t="str">
        <f t="shared" ca="1" si="49"/>
        <v/>
      </c>
      <c r="E40" s="173" t="str" cm="1">
        <f t="array" aca="1" ref="E40" ca="1">_xlfn.IFS(OR(ISBLANK(StartDateMonth),ISBLANK(StartDateYear)),"",E39&gt;=DATEVALUE(CompletionMonth&amp;CompletionYear)+1,"",TRUE,EDATE(E39,1))</f>
        <v/>
      </c>
      <c r="F40" s="176">
        <f t="shared" ca="1" si="46"/>
        <v>0</v>
      </c>
      <c r="G40" s="176">
        <f t="shared" ca="1" si="46"/>
        <v>0</v>
      </c>
      <c r="H40" s="176">
        <f t="shared" ca="1" si="46"/>
        <v>0</v>
      </c>
      <c r="I40" s="176">
        <f t="shared" ca="1" si="46"/>
        <v>0</v>
      </c>
      <c r="J40" s="176">
        <f t="shared" ca="1" si="46"/>
        <v>0</v>
      </c>
      <c r="K40" s="176">
        <f t="shared" ca="1" si="46"/>
        <v>0</v>
      </c>
      <c r="L40" s="176">
        <f t="shared" ca="1" si="46"/>
        <v>0</v>
      </c>
      <c r="M40" s="176">
        <f t="shared" ca="1" si="46"/>
        <v>0</v>
      </c>
      <c r="N40" s="176">
        <f t="shared" ca="1" si="46"/>
        <v>0</v>
      </c>
      <c r="O40" s="176">
        <f t="shared" ca="1" si="46"/>
        <v>0</v>
      </c>
      <c r="P40" s="176">
        <f t="shared" ca="1" si="50"/>
        <v>0</v>
      </c>
      <c r="Q40" s="176">
        <f t="shared" ca="1" si="51"/>
        <v>0</v>
      </c>
      <c r="R40" s="176">
        <f t="shared" ca="1" si="52"/>
        <v>0</v>
      </c>
      <c r="S40" s="176">
        <f t="shared" ca="1" si="53"/>
        <v>0</v>
      </c>
      <c r="T40" s="176">
        <f t="shared" ca="1" si="54"/>
        <v>0</v>
      </c>
      <c r="U40" s="176">
        <f t="shared" ca="1" si="55"/>
        <v>0</v>
      </c>
      <c r="V40" s="176">
        <f t="shared" ca="1" si="56"/>
        <v>0</v>
      </c>
      <c r="W40" s="177">
        <f t="shared" ca="1" si="57"/>
        <v>600</v>
      </c>
      <c r="X40" s="177">
        <f t="shared" ca="1" si="58"/>
        <v>0</v>
      </c>
      <c r="Y40" s="177">
        <f t="shared" ca="1" si="59"/>
        <v>0</v>
      </c>
      <c r="Z40" s="177">
        <f t="shared" ca="1" si="60"/>
        <v>0</v>
      </c>
      <c r="AA40" s="177">
        <f t="shared" ca="1" si="61"/>
        <v>0</v>
      </c>
      <c r="AB40" s="177">
        <f t="shared" ca="1" si="62"/>
        <v>0</v>
      </c>
      <c r="AC40" s="177">
        <f t="shared" ca="1" si="63"/>
        <v>0</v>
      </c>
      <c r="AD40" s="177">
        <f t="shared" ca="1" si="64"/>
        <v>0</v>
      </c>
      <c r="AE40" s="177">
        <f t="shared" ca="1" si="65"/>
        <v>0</v>
      </c>
      <c r="AF40" s="177">
        <f t="shared" ca="1" si="66"/>
        <v>0</v>
      </c>
      <c r="AG40" s="177">
        <f t="shared" ca="1" si="45"/>
        <v>600</v>
      </c>
      <c r="AH40" s="177">
        <f t="shared" ca="1" si="45"/>
        <v>600</v>
      </c>
      <c r="AI40" s="177">
        <f t="shared" ca="1" si="67"/>
        <v>0</v>
      </c>
      <c r="AJ40" s="177">
        <f t="shared" ca="1" si="68"/>
        <v>0</v>
      </c>
      <c r="AK40" s="177">
        <f t="shared" ca="1" si="69"/>
        <v>0</v>
      </c>
      <c r="AL40" s="177">
        <f t="shared" ca="1" si="70"/>
        <v>0</v>
      </c>
      <c r="AM40" s="177">
        <f t="shared" ca="1" si="71"/>
        <v>0</v>
      </c>
      <c r="AN40" s="177">
        <f t="shared" ca="1" si="72"/>
        <v>0</v>
      </c>
      <c r="AO40" s="177">
        <f t="shared" ca="1" si="73"/>
        <v>0</v>
      </c>
      <c r="AP40" s="177">
        <f t="shared" ca="1" si="74"/>
        <v>0</v>
      </c>
      <c r="AQ40" s="177">
        <f t="shared" ca="1" si="75"/>
        <v>0</v>
      </c>
      <c r="AR40" s="177">
        <f t="shared" ca="1" si="76"/>
        <v>600</v>
      </c>
      <c r="AS40" s="176">
        <f t="shared" ca="1" si="77"/>
        <v>0</v>
      </c>
      <c r="AT40" s="176">
        <f t="shared" ca="1" si="78"/>
        <v>0</v>
      </c>
      <c r="AU40" s="176">
        <f t="shared" ca="1" si="79"/>
        <v>0</v>
      </c>
      <c r="AV40" s="176">
        <f t="shared" ca="1" si="80"/>
        <v>0</v>
      </c>
      <c r="AW40" s="176">
        <f t="shared" ca="1" si="81"/>
        <v>0</v>
      </c>
      <c r="AX40" s="176">
        <f t="shared" ca="1" si="82"/>
        <v>0</v>
      </c>
      <c r="AY40" s="176">
        <f t="shared" ca="1" si="83"/>
        <v>0</v>
      </c>
      <c r="AZ40" s="176">
        <f t="shared" ca="1" si="84"/>
        <v>0</v>
      </c>
      <c r="BA40" s="176">
        <f t="shared" ca="1" si="85"/>
        <v>0</v>
      </c>
      <c r="BB40" s="176">
        <f t="shared" ca="1" si="38"/>
        <v>0</v>
      </c>
      <c r="BC40" s="176">
        <f t="shared" ca="1" si="86"/>
        <v>0</v>
      </c>
    </row>
    <row r="41" spans="1:55">
      <c r="A41" s="1">
        <f t="shared" ca="1" si="47"/>
        <v>0</v>
      </c>
      <c r="B41" s="1" t="s">
        <v>100</v>
      </c>
      <c r="C41" s="1" t="str">
        <f t="shared" ca="1" si="48"/>
        <v/>
      </c>
      <c r="D41" s="1" t="str">
        <f t="shared" ca="1" si="49"/>
        <v/>
      </c>
      <c r="E41" s="173" t="str" cm="1">
        <f t="array" aca="1" ref="E41" ca="1">_xlfn.IFS(OR(ISBLANK(StartDateMonth),ISBLANK(StartDateYear)),"",E40&gt;=DATEVALUE(CompletionMonth&amp;CompletionYear)+1,"",TRUE,EDATE(E40,1))</f>
        <v/>
      </c>
      <c r="F41" s="176">
        <f t="shared" ca="1" si="46"/>
        <v>0</v>
      </c>
      <c r="G41" s="176">
        <f t="shared" ca="1" si="46"/>
        <v>0</v>
      </c>
      <c r="H41" s="176">
        <f t="shared" ca="1" si="46"/>
        <v>0</v>
      </c>
      <c r="I41" s="176">
        <f t="shared" ca="1" si="46"/>
        <v>0</v>
      </c>
      <c r="J41" s="176">
        <f t="shared" ca="1" si="46"/>
        <v>0</v>
      </c>
      <c r="K41" s="176">
        <f t="shared" ca="1" si="46"/>
        <v>0</v>
      </c>
      <c r="L41" s="176">
        <f t="shared" ca="1" si="46"/>
        <v>0</v>
      </c>
      <c r="M41" s="176">
        <f t="shared" ca="1" si="46"/>
        <v>0</v>
      </c>
      <c r="N41" s="176">
        <f t="shared" ca="1" si="46"/>
        <v>0</v>
      </c>
      <c r="O41" s="176">
        <f t="shared" ca="1" si="46"/>
        <v>0</v>
      </c>
      <c r="P41" s="176">
        <f t="shared" ca="1" si="50"/>
        <v>0</v>
      </c>
      <c r="Q41" s="176">
        <f t="shared" ca="1" si="51"/>
        <v>0</v>
      </c>
      <c r="R41" s="176">
        <f t="shared" ca="1" si="52"/>
        <v>0</v>
      </c>
      <c r="S41" s="176">
        <f t="shared" ca="1" si="53"/>
        <v>0</v>
      </c>
      <c r="T41" s="176">
        <f t="shared" ca="1" si="54"/>
        <v>0</v>
      </c>
      <c r="U41" s="176">
        <f t="shared" ca="1" si="55"/>
        <v>0</v>
      </c>
      <c r="V41" s="176">
        <f t="shared" ca="1" si="56"/>
        <v>0</v>
      </c>
      <c r="W41" s="177">
        <f t="shared" ca="1" si="57"/>
        <v>600</v>
      </c>
      <c r="X41" s="177">
        <f t="shared" ca="1" si="58"/>
        <v>0</v>
      </c>
      <c r="Y41" s="177">
        <f t="shared" ca="1" si="59"/>
        <v>0</v>
      </c>
      <c r="Z41" s="177">
        <f t="shared" ca="1" si="60"/>
        <v>0</v>
      </c>
      <c r="AA41" s="177">
        <f t="shared" ca="1" si="61"/>
        <v>0</v>
      </c>
      <c r="AB41" s="177">
        <f t="shared" ca="1" si="62"/>
        <v>0</v>
      </c>
      <c r="AC41" s="177">
        <f t="shared" ca="1" si="63"/>
        <v>0</v>
      </c>
      <c r="AD41" s="177">
        <f t="shared" ca="1" si="64"/>
        <v>0</v>
      </c>
      <c r="AE41" s="177">
        <f t="shared" ca="1" si="65"/>
        <v>0</v>
      </c>
      <c r="AF41" s="177">
        <f t="shared" ca="1" si="66"/>
        <v>0</v>
      </c>
      <c r="AG41" s="177">
        <f t="shared" ca="1" si="45"/>
        <v>600</v>
      </c>
      <c r="AH41" s="177">
        <f t="shared" ca="1" si="45"/>
        <v>600</v>
      </c>
      <c r="AI41" s="177">
        <f t="shared" ca="1" si="67"/>
        <v>0</v>
      </c>
      <c r="AJ41" s="177">
        <f t="shared" ca="1" si="68"/>
        <v>0</v>
      </c>
      <c r="AK41" s="177">
        <f t="shared" ca="1" si="69"/>
        <v>0</v>
      </c>
      <c r="AL41" s="177">
        <f t="shared" ca="1" si="70"/>
        <v>0</v>
      </c>
      <c r="AM41" s="177">
        <f t="shared" ca="1" si="71"/>
        <v>0</v>
      </c>
      <c r="AN41" s="177">
        <f t="shared" ca="1" si="72"/>
        <v>0</v>
      </c>
      <c r="AO41" s="177">
        <f t="shared" ca="1" si="73"/>
        <v>0</v>
      </c>
      <c r="AP41" s="177">
        <f t="shared" ca="1" si="74"/>
        <v>0</v>
      </c>
      <c r="AQ41" s="177">
        <f t="shared" ca="1" si="75"/>
        <v>0</v>
      </c>
      <c r="AR41" s="177">
        <f t="shared" ca="1" si="76"/>
        <v>600</v>
      </c>
      <c r="AS41" s="176">
        <f t="shared" ca="1" si="77"/>
        <v>0</v>
      </c>
      <c r="AT41" s="176">
        <f t="shared" ca="1" si="78"/>
        <v>0</v>
      </c>
      <c r="AU41" s="176">
        <f t="shared" ca="1" si="79"/>
        <v>0</v>
      </c>
      <c r="AV41" s="176">
        <f t="shared" ca="1" si="80"/>
        <v>0</v>
      </c>
      <c r="AW41" s="176">
        <f t="shared" ca="1" si="81"/>
        <v>0</v>
      </c>
      <c r="AX41" s="176">
        <f t="shared" ca="1" si="82"/>
        <v>0</v>
      </c>
      <c r="AY41" s="176">
        <f t="shared" ca="1" si="83"/>
        <v>0</v>
      </c>
      <c r="AZ41" s="176">
        <f t="shared" ca="1" si="84"/>
        <v>0</v>
      </c>
      <c r="BA41" s="176">
        <f t="shared" ca="1" si="85"/>
        <v>0</v>
      </c>
      <c r="BB41" s="176">
        <f t="shared" ca="1" si="38"/>
        <v>0</v>
      </c>
      <c r="BC41" s="176">
        <f t="shared" ca="1" si="86"/>
        <v>0</v>
      </c>
    </row>
    <row r="42" spans="1:55">
      <c r="A42" s="1">
        <f t="shared" ca="1" si="47"/>
        <v>0</v>
      </c>
      <c r="B42" s="1" t="s">
        <v>101</v>
      </c>
      <c r="C42" s="1" t="str">
        <f t="shared" ca="1" si="48"/>
        <v/>
      </c>
      <c r="D42" s="1" t="str">
        <f t="shared" ca="1" si="49"/>
        <v/>
      </c>
      <c r="E42" s="173" t="str" cm="1">
        <f t="array" aca="1" ref="E42" ca="1">_xlfn.IFS(OR(ISBLANK(StartDateMonth),ISBLANK(StartDateYear)),"",E41&gt;=DATEVALUE(CompletionMonth&amp;CompletionYear)+1,"",TRUE,EDATE(E41,1))</f>
        <v/>
      </c>
      <c r="F42" s="176">
        <f t="shared" ca="1" si="46"/>
        <v>0</v>
      </c>
      <c r="G42" s="176">
        <f t="shared" ca="1" si="46"/>
        <v>0</v>
      </c>
      <c r="H42" s="176">
        <f t="shared" ca="1" si="46"/>
        <v>0</v>
      </c>
      <c r="I42" s="176">
        <f t="shared" ca="1" si="46"/>
        <v>0</v>
      </c>
      <c r="J42" s="176">
        <f t="shared" ca="1" si="46"/>
        <v>0</v>
      </c>
      <c r="K42" s="176">
        <f t="shared" ca="1" si="46"/>
        <v>0</v>
      </c>
      <c r="L42" s="176">
        <f t="shared" ca="1" si="46"/>
        <v>0</v>
      </c>
      <c r="M42" s="176">
        <f t="shared" ca="1" si="46"/>
        <v>0</v>
      </c>
      <c r="N42" s="176">
        <f t="shared" ca="1" si="46"/>
        <v>0</v>
      </c>
      <c r="O42" s="176">
        <f t="shared" ca="1" si="46"/>
        <v>0</v>
      </c>
      <c r="P42" s="176">
        <f t="shared" ca="1" si="50"/>
        <v>0</v>
      </c>
      <c r="Q42" s="176">
        <f t="shared" ca="1" si="51"/>
        <v>0</v>
      </c>
      <c r="R42" s="176">
        <f t="shared" ca="1" si="52"/>
        <v>0</v>
      </c>
      <c r="S42" s="176">
        <f t="shared" ca="1" si="53"/>
        <v>0</v>
      </c>
      <c r="T42" s="176">
        <f t="shared" ca="1" si="54"/>
        <v>0</v>
      </c>
      <c r="U42" s="176">
        <f t="shared" ca="1" si="55"/>
        <v>0</v>
      </c>
      <c r="V42" s="176">
        <f t="shared" ca="1" si="56"/>
        <v>0</v>
      </c>
      <c r="W42" s="177">
        <f t="shared" ca="1" si="57"/>
        <v>600</v>
      </c>
      <c r="X42" s="177">
        <f t="shared" ca="1" si="58"/>
        <v>0</v>
      </c>
      <c r="Y42" s="177">
        <f t="shared" ca="1" si="59"/>
        <v>0</v>
      </c>
      <c r="Z42" s="177">
        <f t="shared" ca="1" si="60"/>
        <v>0</v>
      </c>
      <c r="AA42" s="177">
        <f t="shared" ca="1" si="61"/>
        <v>0</v>
      </c>
      <c r="AB42" s="177">
        <f t="shared" ca="1" si="62"/>
        <v>0</v>
      </c>
      <c r="AC42" s="177">
        <f t="shared" ca="1" si="63"/>
        <v>0</v>
      </c>
      <c r="AD42" s="177">
        <f t="shared" ca="1" si="64"/>
        <v>0</v>
      </c>
      <c r="AE42" s="177">
        <f t="shared" ca="1" si="65"/>
        <v>0</v>
      </c>
      <c r="AF42" s="177">
        <f t="shared" ca="1" si="66"/>
        <v>0</v>
      </c>
      <c r="AG42" s="177">
        <f t="shared" ca="1" si="45"/>
        <v>600</v>
      </c>
      <c r="AH42" s="177">
        <f t="shared" ca="1" si="45"/>
        <v>600</v>
      </c>
      <c r="AI42" s="177">
        <f t="shared" ca="1" si="67"/>
        <v>0</v>
      </c>
      <c r="AJ42" s="177">
        <f t="shared" ca="1" si="68"/>
        <v>0</v>
      </c>
      <c r="AK42" s="177">
        <f t="shared" ca="1" si="69"/>
        <v>0</v>
      </c>
      <c r="AL42" s="177">
        <f t="shared" ca="1" si="70"/>
        <v>0</v>
      </c>
      <c r="AM42" s="177">
        <f t="shared" ca="1" si="71"/>
        <v>0</v>
      </c>
      <c r="AN42" s="177">
        <f t="shared" ca="1" si="72"/>
        <v>0</v>
      </c>
      <c r="AO42" s="177">
        <f t="shared" ca="1" si="73"/>
        <v>0</v>
      </c>
      <c r="AP42" s="177">
        <f t="shared" ca="1" si="74"/>
        <v>0</v>
      </c>
      <c r="AQ42" s="177">
        <f t="shared" ca="1" si="75"/>
        <v>0</v>
      </c>
      <c r="AR42" s="177">
        <f t="shared" ca="1" si="76"/>
        <v>600</v>
      </c>
      <c r="AS42" s="176">
        <f t="shared" ca="1" si="77"/>
        <v>0</v>
      </c>
      <c r="AT42" s="176">
        <f t="shared" ca="1" si="78"/>
        <v>0</v>
      </c>
      <c r="AU42" s="176">
        <f t="shared" ca="1" si="79"/>
        <v>0</v>
      </c>
      <c r="AV42" s="176">
        <f t="shared" ca="1" si="80"/>
        <v>0</v>
      </c>
      <c r="AW42" s="176">
        <f t="shared" ca="1" si="81"/>
        <v>0</v>
      </c>
      <c r="AX42" s="176">
        <f t="shared" ca="1" si="82"/>
        <v>0</v>
      </c>
      <c r="AY42" s="176">
        <f t="shared" ca="1" si="83"/>
        <v>0</v>
      </c>
      <c r="AZ42" s="176">
        <f t="shared" ca="1" si="84"/>
        <v>0</v>
      </c>
      <c r="BA42" s="176">
        <f t="shared" ca="1" si="85"/>
        <v>0</v>
      </c>
      <c r="BB42" s="176">
        <f t="shared" ca="1" si="38"/>
        <v>0</v>
      </c>
      <c r="BC42" s="176">
        <f t="shared" ca="1" si="86"/>
        <v>0</v>
      </c>
    </row>
    <row r="43" spans="1:55">
      <c r="A43" s="1">
        <f t="shared" ca="1" si="47"/>
        <v>0</v>
      </c>
      <c r="B43" s="1" t="s">
        <v>102</v>
      </c>
      <c r="C43" s="1" t="str">
        <f t="shared" ca="1" si="48"/>
        <v/>
      </c>
      <c r="D43" s="1" t="str">
        <f t="shared" ca="1" si="49"/>
        <v/>
      </c>
      <c r="E43" s="173" t="str" cm="1">
        <f t="array" aca="1" ref="E43" ca="1">_xlfn.IFS(OR(ISBLANK(StartDateMonth),ISBLANK(StartDateYear)),"",E42&gt;=DATEVALUE(CompletionMonth&amp;CompletionYear)+1,"",TRUE,EDATE(E42,1))</f>
        <v/>
      </c>
      <c r="F43" s="176">
        <f t="shared" ca="1" si="46"/>
        <v>0</v>
      </c>
      <c r="G43" s="176">
        <f t="shared" ca="1" si="46"/>
        <v>0</v>
      </c>
      <c r="H43" s="176">
        <f t="shared" ca="1" si="46"/>
        <v>0</v>
      </c>
      <c r="I43" s="176">
        <f t="shared" ca="1" si="46"/>
        <v>0</v>
      </c>
      <c r="J43" s="176">
        <f t="shared" ca="1" si="46"/>
        <v>0</v>
      </c>
      <c r="K43" s="176">
        <f t="shared" ca="1" si="46"/>
        <v>0</v>
      </c>
      <c r="L43" s="176">
        <f t="shared" ca="1" si="46"/>
        <v>0</v>
      </c>
      <c r="M43" s="176">
        <f t="shared" ca="1" si="46"/>
        <v>0</v>
      </c>
      <c r="N43" s="176">
        <f t="shared" ca="1" si="46"/>
        <v>0</v>
      </c>
      <c r="O43" s="176">
        <f t="shared" ca="1" si="46"/>
        <v>0</v>
      </c>
      <c r="P43" s="176">
        <f t="shared" ca="1" si="50"/>
        <v>0</v>
      </c>
      <c r="Q43" s="176">
        <f t="shared" ca="1" si="51"/>
        <v>0</v>
      </c>
      <c r="R43" s="176">
        <f t="shared" ca="1" si="52"/>
        <v>0</v>
      </c>
      <c r="S43" s="176">
        <f t="shared" ca="1" si="53"/>
        <v>0</v>
      </c>
      <c r="T43" s="176">
        <f t="shared" ca="1" si="54"/>
        <v>0</v>
      </c>
      <c r="U43" s="176">
        <f t="shared" ca="1" si="55"/>
        <v>0</v>
      </c>
      <c r="V43" s="176">
        <f t="shared" ca="1" si="56"/>
        <v>0</v>
      </c>
      <c r="W43" s="177">
        <f t="shared" ca="1" si="57"/>
        <v>600</v>
      </c>
      <c r="X43" s="177">
        <f t="shared" ca="1" si="58"/>
        <v>0</v>
      </c>
      <c r="Y43" s="177">
        <f t="shared" ca="1" si="59"/>
        <v>0</v>
      </c>
      <c r="Z43" s="177">
        <f t="shared" ca="1" si="60"/>
        <v>0</v>
      </c>
      <c r="AA43" s="177">
        <f t="shared" ca="1" si="61"/>
        <v>0</v>
      </c>
      <c r="AB43" s="177">
        <f t="shared" ca="1" si="62"/>
        <v>0</v>
      </c>
      <c r="AC43" s="177">
        <f t="shared" ca="1" si="63"/>
        <v>0</v>
      </c>
      <c r="AD43" s="177">
        <f t="shared" ca="1" si="64"/>
        <v>0</v>
      </c>
      <c r="AE43" s="177">
        <f t="shared" ca="1" si="65"/>
        <v>0</v>
      </c>
      <c r="AF43" s="177">
        <f t="shared" ca="1" si="66"/>
        <v>0</v>
      </c>
      <c r="AG43" s="177">
        <f t="shared" ca="1" si="45"/>
        <v>600</v>
      </c>
      <c r="AH43" s="177">
        <f t="shared" ca="1" si="45"/>
        <v>600</v>
      </c>
      <c r="AI43" s="177">
        <f t="shared" ca="1" si="67"/>
        <v>0</v>
      </c>
      <c r="AJ43" s="177">
        <f t="shared" ca="1" si="68"/>
        <v>0</v>
      </c>
      <c r="AK43" s="177">
        <f t="shared" ca="1" si="69"/>
        <v>0</v>
      </c>
      <c r="AL43" s="177">
        <f t="shared" ca="1" si="70"/>
        <v>0</v>
      </c>
      <c r="AM43" s="177">
        <f t="shared" ca="1" si="71"/>
        <v>0</v>
      </c>
      <c r="AN43" s="177">
        <f t="shared" ca="1" si="72"/>
        <v>0</v>
      </c>
      <c r="AO43" s="177">
        <f t="shared" ca="1" si="73"/>
        <v>0</v>
      </c>
      <c r="AP43" s="177">
        <f t="shared" ca="1" si="74"/>
        <v>0</v>
      </c>
      <c r="AQ43" s="177">
        <f t="shared" ca="1" si="75"/>
        <v>0</v>
      </c>
      <c r="AR43" s="177">
        <f t="shared" ca="1" si="76"/>
        <v>600</v>
      </c>
      <c r="AS43" s="176">
        <f t="shared" ca="1" si="77"/>
        <v>0</v>
      </c>
      <c r="AT43" s="176">
        <f t="shared" ca="1" si="78"/>
        <v>0</v>
      </c>
      <c r="AU43" s="176">
        <f t="shared" ca="1" si="79"/>
        <v>0</v>
      </c>
      <c r="AV43" s="176">
        <f t="shared" ca="1" si="80"/>
        <v>0</v>
      </c>
      <c r="AW43" s="176">
        <f t="shared" ca="1" si="81"/>
        <v>0</v>
      </c>
      <c r="AX43" s="176">
        <f t="shared" ca="1" si="82"/>
        <v>0</v>
      </c>
      <c r="AY43" s="176">
        <f t="shared" ca="1" si="83"/>
        <v>0</v>
      </c>
      <c r="AZ43" s="176">
        <f t="shared" ca="1" si="84"/>
        <v>0</v>
      </c>
      <c r="BA43" s="176">
        <f t="shared" ca="1" si="85"/>
        <v>0</v>
      </c>
      <c r="BB43" s="176">
        <f t="shared" ca="1" si="38"/>
        <v>0</v>
      </c>
      <c r="BC43" s="176">
        <f t="shared" ca="1" si="86"/>
        <v>0</v>
      </c>
    </row>
    <row r="44" spans="1:55">
      <c r="A44" s="1">
        <f t="shared" ca="1" si="47"/>
        <v>0</v>
      </c>
      <c r="B44" s="1" t="s">
        <v>103</v>
      </c>
      <c r="C44" s="1" t="str">
        <f t="shared" ca="1" si="48"/>
        <v/>
      </c>
      <c r="D44" s="1" t="str">
        <f t="shared" ca="1" si="49"/>
        <v/>
      </c>
      <c r="E44" s="173" t="str" cm="1">
        <f t="array" aca="1" ref="E44" ca="1">_xlfn.IFS(OR(ISBLANK(StartDateMonth),ISBLANK(StartDateYear)),"",E43&gt;=DATEVALUE(CompletionMonth&amp;CompletionYear)+1,"",TRUE,EDATE(E43,1))</f>
        <v/>
      </c>
      <c r="F44" s="176">
        <f t="shared" ref="F44:O53" ca="1" si="87">IF($A44=1,INDEX(DevelopmentCosts,MATCH(F$3,TotalDevCostsList,0),MATCH($B44,DevelopmentCostTitle,0)),0)</f>
        <v>0</v>
      </c>
      <c r="G44" s="176">
        <f t="shared" ca="1" si="87"/>
        <v>0</v>
      </c>
      <c r="H44" s="176">
        <f t="shared" ca="1" si="87"/>
        <v>0</v>
      </c>
      <c r="I44" s="176">
        <f t="shared" ca="1" si="87"/>
        <v>0</v>
      </c>
      <c r="J44" s="176">
        <f t="shared" ca="1" si="87"/>
        <v>0</v>
      </c>
      <c r="K44" s="176">
        <f t="shared" ca="1" si="87"/>
        <v>0</v>
      </c>
      <c r="L44" s="176">
        <f t="shared" ca="1" si="87"/>
        <v>0</v>
      </c>
      <c r="M44" s="176">
        <f t="shared" ca="1" si="87"/>
        <v>0</v>
      </c>
      <c r="N44" s="176">
        <f t="shared" ca="1" si="87"/>
        <v>0</v>
      </c>
      <c r="O44" s="176">
        <f t="shared" ca="1" si="87"/>
        <v>0</v>
      </c>
      <c r="P44" s="176">
        <f t="shared" ca="1" si="50"/>
        <v>0</v>
      </c>
      <c r="Q44" s="176">
        <f t="shared" ca="1" si="51"/>
        <v>0</v>
      </c>
      <c r="R44" s="176">
        <f t="shared" ca="1" si="52"/>
        <v>0</v>
      </c>
      <c r="S44" s="176">
        <f t="shared" ca="1" si="53"/>
        <v>0</v>
      </c>
      <c r="T44" s="176">
        <f t="shared" ca="1" si="54"/>
        <v>0</v>
      </c>
      <c r="U44" s="176">
        <f t="shared" ca="1" si="55"/>
        <v>0</v>
      </c>
      <c r="V44" s="176">
        <f t="shared" ca="1" si="56"/>
        <v>0</v>
      </c>
      <c r="W44" s="177">
        <f t="shared" ca="1" si="57"/>
        <v>600</v>
      </c>
      <c r="X44" s="177">
        <f t="shared" ca="1" si="58"/>
        <v>0</v>
      </c>
      <c r="Y44" s="177">
        <f t="shared" ca="1" si="59"/>
        <v>0</v>
      </c>
      <c r="Z44" s="177">
        <f t="shared" ca="1" si="60"/>
        <v>0</v>
      </c>
      <c r="AA44" s="177">
        <f t="shared" ca="1" si="61"/>
        <v>0</v>
      </c>
      <c r="AB44" s="177">
        <f t="shared" ca="1" si="62"/>
        <v>0</v>
      </c>
      <c r="AC44" s="177">
        <f t="shared" ca="1" si="63"/>
        <v>0</v>
      </c>
      <c r="AD44" s="177">
        <f t="shared" ca="1" si="64"/>
        <v>0</v>
      </c>
      <c r="AE44" s="177">
        <f t="shared" ca="1" si="65"/>
        <v>0</v>
      </c>
      <c r="AF44" s="177">
        <f t="shared" ca="1" si="66"/>
        <v>0</v>
      </c>
      <c r="AG44" s="177">
        <f t="shared" ref="AG44:AH63" ca="1" si="88">COUNTIF(CategorisedSaleKey,(OpenMarketHousing&amp;$C44&amp;$D44))</f>
        <v>600</v>
      </c>
      <c r="AH44" s="177">
        <f t="shared" ca="1" si="88"/>
        <v>600</v>
      </c>
      <c r="AI44" s="177">
        <f t="shared" ca="1" si="67"/>
        <v>0</v>
      </c>
      <c r="AJ44" s="177">
        <f t="shared" ca="1" si="68"/>
        <v>0</v>
      </c>
      <c r="AK44" s="177">
        <f t="shared" ca="1" si="69"/>
        <v>0</v>
      </c>
      <c r="AL44" s="177">
        <f t="shared" ca="1" si="70"/>
        <v>0</v>
      </c>
      <c r="AM44" s="177">
        <f t="shared" ca="1" si="71"/>
        <v>0</v>
      </c>
      <c r="AN44" s="177">
        <f t="shared" ca="1" si="72"/>
        <v>0</v>
      </c>
      <c r="AO44" s="177">
        <f t="shared" ca="1" si="73"/>
        <v>0</v>
      </c>
      <c r="AP44" s="177">
        <f t="shared" ca="1" si="74"/>
        <v>0</v>
      </c>
      <c r="AQ44" s="177">
        <f t="shared" ca="1" si="75"/>
        <v>0</v>
      </c>
      <c r="AR44" s="177">
        <f t="shared" ca="1" si="76"/>
        <v>600</v>
      </c>
      <c r="AS44" s="176">
        <f t="shared" ca="1" si="77"/>
        <v>0</v>
      </c>
      <c r="AT44" s="176">
        <f t="shared" ca="1" si="78"/>
        <v>0</v>
      </c>
      <c r="AU44" s="176">
        <f t="shared" ca="1" si="79"/>
        <v>0</v>
      </c>
      <c r="AV44" s="176">
        <f t="shared" ca="1" si="80"/>
        <v>0</v>
      </c>
      <c r="AW44" s="176">
        <f t="shared" ca="1" si="81"/>
        <v>0</v>
      </c>
      <c r="AX44" s="176">
        <f t="shared" ca="1" si="82"/>
        <v>0</v>
      </c>
      <c r="AY44" s="176">
        <f t="shared" ca="1" si="83"/>
        <v>0</v>
      </c>
      <c r="AZ44" s="176">
        <f t="shared" ca="1" si="84"/>
        <v>0</v>
      </c>
      <c r="BA44" s="176">
        <f t="shared" ca="1" si="85"/>
        <v>0</v>
      </c>
      <c r="BB44" s="176">
        <f t="shared" ca="1" si="38"/>
        <v>0</v>
      </c>
      <c r="BC44" s="176">
        <f t="shared" ca="1" si="86"/>
        <v>0</v>
      </c>
    </row>
    <row r="45" spans="1:55">
      <c r="A45" s="1">
        <f t="shared" ca="1" si="47"/>
        <v>0</v>
      </c>
      <c r="B45" s="1" t="s">
        <v>104</v>
      </c>
      <c r="C45" s="1" t="str">
        <f t="shared" ca="1" si="48"/>
        <v/>
      </c>
      <c r="D45" s="1" t="str">
        <f t="shared" ca="1" si="49"/>
        <v/>
      </c>
      <c r="E45" s="173" t="str" cm="1">
        <f t="array" aca="1" ref="E45" ca="1">_xlfn.IFS(OR(ISBLANK(StartDateMonth),ISBLANK(StartDateYear)),"",E44&gt;=DATEVALUE(CompletionMonth&amp;CompletionYear)+1,"",TRUE,EDATE(E44,1))</f>
        <v/>
      </c>
      <c r="F45" s="176">
        <f t="shared" ca="1" si="87"/>
        <v>0</v>
      </c>
      <c r="G45" s="176">
        <f t="shared" ca="1" si="87"/>
        <v>0</v>
      </c>
      <c r="H45" s="176">
        <f t="shared" ca="1" si="87"/>
        <v>0</v>
      </c>
      <c r="I45" s="176">
        <f t="shared" ca="1" si="87"/>
        <v>0</v>
      </c>
      <c r="J45" s="176">
        <f t="shared" ca="1" si="87"/>
        <v>0</v>
      </c>
      <c r="K45" s="176">
        <f t="shared" ca="1" si="87"/>
        <v>0</v>
      </c>
      <c r="L45" s="176">
        <f t="shared" ca="1" si="87"/>
        <v>0</v>
      </c>
      <c r="M45" s="176">
        <f t="shared" ca="1" si="87"/>
        <v>0</v>
      </c>
      <c r="N45" s="176">
        <f t="shared" ca="1" si="87"/>
        <v>0</v>
      </c>
      <c r="O45" s="176">
        <f t="shared" ca="1" si="87"/>
        <v>0</v>
      </c>
      <c r="P45" s="176">
        <f t="shared" ca="1" si="50"/>
        <v>0</v>
      </c>
      <c r="Q45" s="176">
        <f t="shared" ca="1" si="51"/>
        <v>0</v>
      </c>
      <c r="R45" s="176">
        <f t="shared" ca="1" si="52"/>
        <v>0</v>
      </c>
      <c r="S45" s="176">
        <f t="shared" ca="1" si="53"/>
        <v>0</v>
      </c>
      <c r="T45" s="176">
        <f t="shared" ca="1" si="54"/>
        <v>0</v>
      </c>
      <c r="U45" s="176">
        <f t="shared" ca="1" si="55"/>
        <v>0</v>
      </c>
      <c r="V45" s="176">
        <f t="shared" ca="1" si="56"/>
        <v>0</v>
      </c>
      <c r="W45" s="177">
        <f t="shared" ca="1" si="57"/>
        <v>600</v>
      </c>
      <c r="X45" s="177">
        <f t="shared" ca="1" si="58"/>
        <v>0</v>
      </c>
      <c r="Y45" s="177">
        <f t="shared" ca="1" si="59"/>
        <v>0</v>
      </c>
      <c r="Z45" s="177">
        <f t="shared" ca="1" si="60"/>
        <v>0</v>
      </c>
      <c r="AA45" s="177">
        <f t="shared" ca="1" si="61"/>
        <v>0</v>
      </c>
      <c r="AB45" s="177">
        <f t="shared" ca="1" si="62"/>
        <v>0</v>
      </c>
      <c r="AC45" s="177">
        <f t="shared" ca="1" si="63"/>
        <v>0</v>
      </c>
      <c r="AD45" s="177">
        <f t="shared" ca="1" si="64"/>
        <v>0</v>
      </c>
      <c r="AE45" s="177">
        <f t="shared" ca="1" si="65"/>
        <v>0</v>
      </c>
      <c r="AF45" s="177">
        <f t="shared" ca="1" si="66"/>
        <v>0</v>
      </c>
      <c r="AG45" s="177">
        <f t="shared" ca="1" si="88"/>
        <v>600</v>
      </c>
      <c r="AH45" s="177">
        <f t="shared" ca="1" si="88"/>
        <v>600</v>
      </c>
      <c r="AI45" s="177">
        <f t="shared" ca="1" si="67"/>
        <v>0</v>
      </c>
      <c r="AJ45" s="177">
        <f t="shared" ca="1" si="68"/>
        <v>0</v>
      </c>
      <c r="AK45" s="177">
        <f t="shared" ca="1" si="69"/>
        <v>0</v>
      </c>
      <c r="AL45" s="177">
        <f t="shared" ca="1" si="70"/>
        <v>0</v>
      </c>
      <c r="AM45" s="177">
        <f t="shared" ca="1" si="71"/>
        <v>0</v>
      </c>
      <c r="AN45" s="177">
        <f t="shared" ca="1" si="72"/>
        <v>0</v>
      </c>
      <c r="AO45" s="177">
        <f t="shared" ca="1" si="73"/>
        <v>0</v>
      </c>
      <c r="AP45" s="177">
        <f t="shared" ca="1" si="74"/>
        <v>0</v>
      </c>
      <c r="AQ45" s="177">
        <f t="shared" ca="1" si="75"/>
        <v>0</v>
      </c>
      <c r="AR45" s="177">
        <f t="shared" ca="1" si="76"/>
        <v>600</v>
      </c>
      <c r="AS45" s="176">
        <f t="shared" ca="1" si="77"/>
        <v>0</v>
      </c>
      <c r="AT45" s="176">
        <f t="shared" ca="1" si="78"/>
        <v>0</v>
      </c>
      <c r="AU45" s="176">
        <f t="shared" ca="1" si="79"/>
        <v>0</v>
      </c>
      <c r="AV45" s="176">
        <f t="shared" ca="1" si="80"/>
        <v>0</v>
      </c>
      <c r="AW45" s="176">
        <f t="shared" ca="1" si="81"/>
        <v>0</v>
      </c>
      <c r="AX45" s="176">
        <f t="shared" ca="1" si="82"/>
        <v>0</v>
      </c>
      <c r="AY45" s="176">
        <f t="shared" ca="1" si="83"/>
        <v>0</v>
      </c>
      <c r="AZ45" s="176">
        <f t="shared" ca="1" si="84"/>
        <v>0</v>
      </c>
      <c r="BA45" s="176">
        <f t="shared" ca="1" si="85"/>
        <v>0</v>
      </c>
      <c r="BB45" s="176">
        <f t="shared" ca="1" si="38"/>
        <v>0</v>
      </c>
      <c r="BC45" s="176">
        <f t="shared" ca="1" si="86"/>
        <v>0</v>
      </c>
    </row>
    <row r="46" spans="1:55">
      <c r="A46" s="1">
        <f t="shared" ca="1" si="47"/>
        <v>0</v>
      </c>
      <c r="B46" s="1" t="s">
        <v>105</v>
      </c>
      <c r="C46" s="1" t="str">
        <f t="shared" ca="1" si="48"/>
        <v/>
      </c>
      <c r="D46" s="1" t="str">
        <f t="shared" ca="1" si="49"/>
        <v/>
      </c>
      <c r="E46" s="173" t="str" cm="1">
        <f t="array" aca="1" ref="E46" ca="1">_xlfn.IFS(OR(ISBLANK(StartDateMonth),ISBLANK(StartDateYear)),"",E45&gt;=DATEVALUE(CompletionMonth&amp;CompletionYear)+1,"",TRUE,EDATE(E45,1))</f>
        <v/>
      </c>
      <c r="F46" s="176">
        <f t="shared" ca="1" si="87"/>
        <v>0</v>
      </c>
      <c r="G46" s="176">
        <f t="shared" ca="1" si="87"/>
        <v>0</v>
      </c>
      <c r="H46" s="176">
        <f t="shared" ca="1" si="87"/>
        <v>0</v>
      </c>
      <c r="I46" s="176">
        <f t="shared" ca="1" si="87"/>
        <v>0</v>
      </c>
      <c r="J46" s="176">
        <f t="shared" ca="1" si="87"/>
        <v>0</v>
      </c>
      <c r="K46" s="176">
        <f t="shared" ca="1" si="87"/>
        <v>0</v>
      </c>
      <c r="L46" s="176">
        <f t="shared" ca="1" si="87"/>
        <v>0</v>
      </c>
      <c r="M46" s="176">
        <f t="shared" ca="1" si="87"/>
        <v>0</v>
      </c>
      <c r="N46" s="176">
        <f t="shared" ca="1" si="87"/>
        <v>0</v>
      </c>
      <c r="O46" s="176">
        <f t="shared" ca="1" si="87"/>
        <v>0</v>
      </c>
      <c r="P46" s="176">
        <f t="shared" ca="1" si="50"/>
        <v>0</v>
      </c>
      <c r="Q46" s="176">
        <f t="shared" ca="1" si="51"/>
        <v>0</v>
      </c>
      <c r="R46" s="176">
        <f t="shared" ca="1" si="52"/>
        <v>0</v>
      </c>
      <c r="S46" s="176">
        <f t="shared" ca="1" si="53"/>
        <v>0</v>
      </c>
      <c r="T46" s="176">
        <f t="shared" ca="1" si="54"/>
        <v>0</v>
      </c>
      <c r="U46" s="176">
        <f t="shared" ca="1" si="55"/>
        <v>0</v>
      </c>
      <c r="V46" s="176">
        <f t="shared" ca="1" si="56"/>
        <v>0</v>
      </c>
      <c r="W46" s="177">
        <f t="shared" ca="1" si="57"/>
        <v>600</v>
      </c>
      <c r="X46" s="177">
        <f t="shared" ca="1" si="58"/>
        <v>0</v>
      </c>
      <c r="Y46" s="177">
        <f t="shared" ca="1" si="59"/>
        <v>0</v>
      </c>
      <c r="Z46" s="177">
        <f t="shared" ca="1" si="60"/>
        <v>0</v>
      </c>
      <c r="AA46" s="177">
        <f t="shared" ca="1" si="61"/>
        <v>0</v>
      </c>
      <c r="AB46" s="177">
        <f t="shared" ca="1" si="62"/>
        <v>0</v>
      </c>
      <c r="AC46" s="177">
        <f t="shared" ca="1" si="63"/>
        <v>0</v>
      </c>
      <c r="AD46" s="177">
        <f t="shared" ca="1" si="64"/>
        <v>0</v>
      </c>
      <c r="AE46" s="177">
        <f t="shared" ca="1" si="65"/>
        <v>0</v>
      </c>
      <c r="AF46" s="177">
        <f t="shared" ca="1" si="66"/>
        <v>0</v>
      </c>
      <c r="AG46" s="177">
        <f t="shared" ca="1" si="88"/>
        <v>600</v>
      </c>
      <c r="AH46" s="177">
        <f t="shared" ca="1" si="88"/>
        <v>600</v>
      </c>
      <c r="AI46" s="177">
        <f t="shared" ca="1" si="67"/>
        <v>0</v>
      </c>
      <c r="AJ46" s="177">
        <f t="shared" ca="1" si="68"/>
        <v>0</v>
      </c>
      <c r="AK46" s="177">
        <f t="shared" ca="1" si="69"/>
        <v>0</v>
      </c>
      <c r="AL46" s="177">
        <f t="shared" ca="1" si="70"/>
        <v>0</v>
      </c>
      <c r="AM46" s="177">
        <f t="shared" ca="1" si="71"/>
        <v>0</v>
      </c>
      <c r="AN46" s="177">
        <f t="shared" ca="1" si="72"/>
        <v>0</v>
      </c>
      <c r="AO46" s="177">
        <f t="shared" ca="1" si="73"/>
        <v>0</v>
      </c>
      <c r="AP46" s="177">
        <f t="shared" ca="1" si="74"/>
        <v>0</v>
      </c>
      <c r="AQ46" s="177">
        <f t="shared" ca="1" si="75"/>
        <v>0</v>
      </c>
      <c r="AR46" s="177">
        <f t="shared" ca="1" si="76"/>
        <v>600</v>
      </c>
      <c r="AS46" s="176">
        <f t="shared" ca="1" si="77"/>
        <v>0</v>
      </c>
      <c r="AT46" s="176">
        <f t="shared" ca="1" si="78"/>
        <v>0</v>
      </c>
      <c r="AU46" s="176">
        <f t="shared" ca="1" si="79"/>
        <v>0</v>
      </c>
      <c r="AV46" s="176">
        <f t="shared" ca="1" si="80"/>
        <v>0</v>
      </c>
      <c r="AW46" s="176">
        <f t="shared" ca="1" si="81"/>
        <v>0</v>
      </c>
      <c r="AX46" s="176">
        <f t="shared" ca="1" si="82"/>
        <v>0</v>
      </c>
      <c r="AY46" s="176">
        <f t="shared" ca="1" si="83"/>
        <v>0</v>
      </c>
      <c r="AZ46" s="176">
        <f t="shared" ca="1" si="84"/>
        <v>0</v>
      </c>
      <c r="BA46" s="176">
        <f t="shared" ca="1" si="85"/>
        <v>0</v>
      </c>
      <c r="BB46" s="176">
        <f t="shared" ca="1" si="38"/>
        <v>0</v>
      </c>
      <c r="BC46" s="176">
        <f t="shared" ca="1" si="86"/>
        <v>0</v>
      </c>
    </row>
    <row r="47" spans="1:55">
      <c r="A47" s="1">
        <f t="shared" ca="1" si="47"/>
        <v>0</v>
      </c>
      <c r="B47" s="1" t="s">
        <v>106</v>
      </c>
      <c r="C47" s="1" t="str">
        <f t="shared" ca="1" si="48"/>
        <v/>
      </c>
      <c r="D47" s="1" t="str">
        <f t="shared" ca="1" si="49"/>
        <v/>
      </c>
      <c r="E47" s="173" t="str" cm="1">
        <f t="array" aca="1" ref="E47" ca="1">_xlfn.IFS(OR(ISBLANK(StartDateMonth),ISBLANK(StartDateYear)),"",E46&gt;=DATEVALUE(CompletionMonth&amp;CompletionYear)+1,"",TRUE,EDATE(E46,1))</f>
        <v/>
      </c>
      <c r="F47" s="176">
        <f t="shared" ca="1" si="87"/>
        <v>0</v>
      </c>
      <c r="G47" s="176">
        <f t="shared" ca="1" si="87"/>
        <v>0</v>
      </c>
      <c r="H47" s="176">
        <f t="shared" ca="1" si="87"/>
        <v>0</v>
      </c>
      <c r="I47" s="176">
        <f t="shared" ca="1" si="87"/>
        <v>0</v>
      </c>
      <c r="J47" s="176">
        <f t="shared" ca="1" si="87"/>
        <v>0</v>
      </c>
      <c r="K47" s="176">
        <f t="shared" ca="1" si="87"/>
        <v>0</v>
      </c>
      <c r="L47" s="176">
        <f t="shared" ca="1" si="87"/>
        <v>0</v>
      </c>
      <c r="M47" s="176">
        <f t="shared" ca="1" si="87"/>
        <v>0</v>
      </c>
      <c r="N47" s="176">
        <f t="shared" ca="1" si="87"/>
        <v>0</v>
      </c>
      <c r="O47" s="176">
        <f t="shared" ca="1" si="87"/>
        <v>0</v>
      </c>
      <c r="P47" s="176">
        <f t="shared" ca="1" si="50"/>
        <v>0</v>
      </c>
      <c r="Q47" s="176">
        <f t="shared" ca="1" si="51"/>
        <v>0</v>
      </c>
      <c r="R47" s="176">
        <f t="shared" ca="1" si="52"/>
        <v>0</v>
      </c>
      <c r="S47" s="176">
        <f t="shared" ca="1" si="53"/>
        <v>0</v>
      </c>
      <c r="T47" s="176">
        <f t="shared" ca="1" si="54"/>
        <v>0</v>
      </c>
      <c r="U47" s="176">
        <f t="shared" ca="1" si="55"/>
        <v>0</v>
      </c>
      <c r="V47" s="176">
        <f t="shared" ca="1" si="56"/>
        <v>0</v>
      </c>
      <c r="W47" s="177">
        <f t="shared" ca="1" si="57"/>
        <v>600</v>
      </c>
      <c r="X47" s="177">
        <f t="shared" ca="1" si="58"/>
        <v>0</v>
      </c>
      <c r="Y47" s="177">
        <f t="shared" ca="1" si="59"/>
        <v>0</v>
      </c>
      <c r="Z47" s="177">
        <f t="shared" ca="1" si="60"/>
        <v>0</v>
      </c>
      <c r="AA47" s="177">
        <f t="shared" ca="1" si="61"/>
        <v>0</v>
      </c>
      <c r="AB47" s="177">
        <f t="shared" ca="1" si="62"/>
        <v>0</v>
      </c>
      <c r="AC47" s="177">
        <f t="shared" ca="1" si="63"/>
        <v>0</v>
      </c>
      <c r="AD47" s="177">
        <f t="shared" ca="1" si="64"/>
        <v>0</v>
      </c>
      <c r="AE47" s="177">
        <f t="shared" ca="1" si="65"/>
        <v>0</v>
      </c>
      <c r="AF47" s="177">
        <f t="shared" ca="1" si="66"/>
        <v>0</v>
      </c>
      <c r="AG47" s="177">
        <f t="shared" ca="1" si="88"/>
        <v>600</v>
      </c>
      <c r="AH47" s="177">
        <f t="shared" ca="1" si="88"/>
        <v>600</v>
      </c>
      <c r="AI47" s="177">
        <f t="shared" ca="1" si="67"/>
        <v>0</v>
      </c>
      <c r="AJ47" s="177">
        <f t="shared" ca="1" si="68"/>
        <v>0</v>
      </c>
      <c r="AK47" s="177">
        <f t="shared" ca="1" si="69"/>
        <v>0</v>
      </c>
      <c r="AL47" s="177">
        <f t="shared" ca="1" si="70"/>
        <v>0</v>
      </c>
      <c r="AM47" s="177">
        <f t="shared" ca="1" si="71"/>
        <v>0</v>
      </c>
      <c r="AN47" s="177">
        <f t="shared" ca="1" si="72"/>
        <v>0</v>
      </c>
      <c r="AO47" s="177">
        <f t="shared" ca="1" si="73"/>
        <v>0</v>
      </c>
      <c r="AP47" s="177">
        <f t="shared" ca="1" si="74"/>
        <v>0</v>
      </c>
      <c r="AQ47" s="177">
        <f t="shared" ca="1" si="75"/>
        <v>0</v>
      </c>
      <c r="AR47" s="177">
        <f t="shared" ca="1" si="76"/>
        <v>600</v>
      </c>
      <c r="AS47" s="176">
        <f t="shared" ca="1" si="77"/>
        <v>0</v>
      </c>
      <c r="AT47" s="176">
        <f t="shared" ca="1" si="78"/>
        <v>0</v>
      </c>
      <c r="AU47" s="176">
        <f t="shared" ca="1" si="79"/>
        <v>0</v>
      </c>
      <c r="AV47" s="176">
        <f t="shared" ca="1" si="80"/>
        <v>0</v>
      </c>
      <c r="AW47" s="176">
        <f t="shared" ca="1" si="81"/>
        <v>0</v>
      </c>
      <c r="AX47" s="176">
        <f t="shared" ca="1" si="82"/>
        <v>0</v>
      </c>
      <c r="AY47" s="176">
        <f t="shared" ca="1" si="83"/>
        <v>0</v>
      </c>
      <c r="AZ47" s="176">
        <f t="shared" ca="1" si="84"/>
        <v>0</v>
      </c>
      <c r="BA47" s="176">
        <f t="shared" ca="1" si="85"/>
        <v>0</v>
      </c>
      <c r="BB47" s="176">
        <f t="shared" ca="1" si="38"/>
        <v>0</v>
      </c>
      <c r="BC47" s="176">
        <f t="shared" ca="1" si="86"/>
        <v>0</v>
      </c>
    </row>
    <row r="48" spans="1:55">
      <c r="A48" s="1">
        <f t="shared" ca="1" si="47"/>
        <v>0</v>
      </c>
      <c r="B48" s="1" t="s">
        <v>107</v>
      </c>
      <c r="C48" s="1" t="str">
        <f t="shared" ca="1" si="48"/>
        <v/>
      </c>
      <c r="D48" s="1" t="str">
        <f t="shared" ca="1" si="49"/>
        <v/>
      </c>
      <c r="E48" s="173" t="str" cm="1">
        <f t="array" aca="1" ref="E48" ca="1">_xlfn.IFS(OR(ISBLANK(StartDateMonth),ISBLANK(StartDateYear)),"",E47&gt;=DATEVALUE(CompletionMonth&amp;CompletionYear)+1,"",TRUE,EDATE(E47,1))</f>
        <v/>
      </c>
      <c r="F48" s="176">
        <f t="shared" ca="1" si="87"/>
        <v>0</v>
      </c>
      <c r="G48" s="176">
        <f t="shared" ca="1" si="87"/>
        <v>0</v>
      </c>
      <c r="H48" s="176">
        <f t="shared" ca="1" si="87"/>
        <v>0</v>
      </c>
      <c r="I48" s="176">
        <f t="shared" ca="1" si="87"/>
        <v>0</v>
      </c>
      <c r="J48" s="176">
        <f t="shared" ca="1" si="87"/>
        <v>0</v>
      </c>
      <c r="K48" s="176">
        <f t="shared" ca="1" si="87"/>
        <v>0</v>
      </c>
      <c r="L48" s="176">
        <f t="shared" ca="1" si="87"/>
        <v>0</v>
      </c>
      <c r="M48" s="176">
        <f t="shared" ca="1" si="87"/>
        <v>0</v>
      </c>
      <c r="N48" s="176">
        <f t="shared" ca="1" si="87"/>
        <v>0</v>
      </c>
      <c r="O48" s="176">
        <f t="shared" ca="1" si="87"/>
        <v>0</v>
      </c>
      <c r="P48" s="176">
        <f t="shared" ca="1" si="50"/>
        <v>0</v>
      </c>
      <c r="Q48" s="176">
        <f t="shared" ca="1" si="51"/>
        <v>0</v>
      </c>
      <c r="R48" s="176">
        <f t="shared" ca="1" si="52"/>
        <v>0</v>
      </c>
      <c r="S48" s="176">
        <f t="shared" ca="1" si="53"/>
        <v>0</v>
      </c>
      <c r="T48" s="176">
        <f t="shared" ca="1" si="54"/>
        <v>0</v>
      </c>
      <c r="U48" s="176">
        <f t="shared" ca="1" si="55"/>
        <v>0</v>
      </c>
      <c r="V48" s="176">
        <f t="shared" ca="1" si="56"/>
        <v>0</v>
      </c>
      <c r="W48" s="177">
        <f t="shared" ca="1" si="57"/>
        <v>600</v>
      </c>
      <c r="X48" s="177">
        <f t="shared" ca="1" si="58"/>
        <v>0</v>
      </c>
      <c r="Y48" s="177">
        <f t="shared" ca="1" si="59"/>
        <v>0</v>
      </c>
      <c r="Z48" s="177">
        <f t="shared" ca="1" si="60"/>
        <v>0</v>
      </c>
      <c r="AA48" s="177">
        <f t="shared" ca="1" si="61"/>
        <v>0</v>
      </c>
      <c r="AB48" s="177">
        <f t="shared" ca="1" si="62"/>
        <v>0</v>
      </c>
      <c r="AC48" s="177">
        <f t="shared" ca="1" si="63"/>
        <v>0</v>
      </c>
      <c r="AD48" s="177">
        <f t="shared" ca="1" si="64"/>
        <v>0</v>
      </c>
      <c r="AE48" s="177">
        <f t="shared" ca="1" si="65"/>
        <v>0</v>
      </c>
      <c r="AF48" s="177">
        <f t="shared" ca="1" si="66"/>
        <v>0</v>
      </c>
      <c r="AG48" s="177">
        <f t="shared" ca="1" si="88"/>
        <v>600</v>
      </c>
      <c r="AH48" s="177">
        <f t="shared" ca="1" si="88"/>
        <v>600</v>
      </c>
      <c r="AI48" s="177">
        <f t="shared" ca="1" si="67"/>
        <v>0</v>
      </c>
      <c r="AJ48" s="177">
        <f t="shared" ca="1" si="68"/>
        <v>0</v>
      </c>
      <c r="AK48" s="177">
        <f t="shared" ca="1" si="69"/>
        <v>0</v>
      </c>
      <c r="AL48" s="177">
        <f t="shared" ca="1" si="70"/>
        <v>0</v>
      </c>
      <c r="AM48" s="177">
        <f t="shared" ca="1" si="71"/>
        <v>0</v>
      </c>
      <c r="AN48" s="177">
        <f t="shared" ca="1" si="72"/>
        <v>0</v>
      </c>
      <c r="AO48" s="177">
        <f t="shared" ca="1" si="73"/>
        <v>0</v>
      </c>
      <c r="AP48" s="177">
        <f t="shared" ca="1" si="74"/>
        <v>0</v>
      </c>
      <c r="AQ48" s="177">
        <f t="shared" ca="1" si="75"/>
        <v>0</v>
      </c>
      <c r="AR48" s="177">
        <f t="shared" ca="1" si="76"/>
        <v>600</v>
      </c>
      <c r="AS48" s="176">
        <f t="shared" ca="1" si="77"/>
        <v>0</v>
      </c>
      <c r="AT48" s="176">
        <f t="shared" ca="1" si="78"/>
        <v>0</v>
      </c>
      <c r="AU48" s="176">
        <f t="shared" ca="1" si="79"/>
        <v>0</v>
      </c>
      <c r="AV48" s="176">
        <f t="shared" ca="1" si="80"/>
        <v>0</v>
      </c>
      <c r="AW48" s="176">
        <f t="shared" ca="1" si="81"/>
        <v>0</v>
      </c>
      <c r="AX48" s="176">
        <f t="shared" ca="1" si="82"/>
        <v>0</v>
      </c>
      <c r="AY48" s="176">
        <f t="shared" ca="1" si="83"/>
        <v>0</v>
      </c>
      <c r="AZ48" s="176">
        <f t="shared" ca="1" si="84"/>
        <v>0</v>
      </c>
      <c r="BA48" s="176">
        <f t="shared" ca="1" si="85"/>
        <v>0</v>
      </c>
      <c r="BB48" s="176">
        <f t="shared" ca="1" si="38"/>
        <v>0</v>
      </c>
      <c r="BC48" s="176">
        <f t="shared" ca="1" si="86"/>
        <v>0</v>
      </c>
    </row>
    <row r="49" spans="1:55">
      <c r="A49" s="1">
        <f t="shared" ca="1" si="47"/>
        <v>0</v>
      </c>
      <c r="B49" s="1" t="s">
        <v>108</v>
      </c>
      <c r="C49" s="1" t="str">
        <f t="shared" ca="1" si="48"/>
        <v/>
      </c>
      <c r="D49" s="1" t="str">
        <f t="shared" ca="1" si="49"/>
        <v/>
      </c>
      <c r="E49" s="173" t="str" cm="1">
        <f t="array" aca="1" ref="E49" ca="1">_xlfn.IFS(OR(ISBLANK(StartDateMonth),ISBLANK(StartDateYear)),"",E48&gt;=DATEVALUE(CompletionMonth&amp;CompletionYear)+1,"",TRUE,EDATE(E48,1))</f>
        <v/>
      </c>
      <c r="F49" s="176">
        <f t="shared" ca="1" si="87"/>
        <v>0</v>
      </c>
      <c r="G49" s="176">
        <f t="shared" ca="1" si="87"/>
        <v>0</v>
      </c>
      <c r="H49" s="176">
        <f t="shared" ca="1" si="87"/>
        <v>0</v>
      </c>
      <c r="I49" s="176">
        <f t="shared" ca="1" si="87"/>
        <v>0</v>
      </c>
      <c r="J49" s="176">
        <f t="shared" ca="1" si="87"/>
        <v>0</v>
      </c>
      <c r="K49" s="176">
        <f t="shared" ca="1" si="87"/>
        <v>0</v>
      </c>
      <c r="L49" s="176">
        <f t="shared" ca="1" si="87"/>
        <v>0</v>
      </c>
      <c r="M49" s="176">
        <f t="shared" ca="1" si="87"/>
        <v>0</v>
      </c>
      <c r="N49" s="176">
        <f t="shared" ca="1" si="87"/>
        <v>0</v>
      </c>
      <c r="O49" s="176">
        <f t="shared" ca="1" si="87"/>
        <v>0</v>
      </c>
      <c r="P49" s="176">
        <f t="shared" ca="1" si="50"/>
        <v>0</v>
      </c>
      <c r="Q49" s="176">
        <f t="shared" ca="1" si="51"/>
        <v>0</v>
      </c>
      <c r="R49" s="176">
        <f t="shared" ca="1" si="52"/>
        <v>0</v>
      </c>
      <c r="S49" s="176">
        <f t="shared" ca="1" si="53"/>
        <v>0</v>
      </c>
      <c r="T49" s="176">
        <f t="shared" ca="1" si="54"/>
        <v>0</v>
      </c>
      <c r="U49" s="176">
        <f t="shared" ca="1" si="55"/>
        <v>0</v>
      </c>
      <c r="V49" s="176">
        <f t="shared" ca="1" si="56"/>
        <v>0</v>
      </c>
      <c r="W49" s="177">
        <f t="shared" ca="1" si="57"/>
        <v>600</v>
      </c>
      <c r="X49" s="177">
        <f t="shared" ca="1" si="58"/>
        <v>0</v>
      </c>
      <c r="Y49" s="177">
        <f t="shared" ca="1" si="59"/>
        <v>0</v>
      </c>
      <c r="Z49" s="177">
        <f t="shared" ca="1" si="60"/>
        <v>0</v>
      </c>
      <c r="AA49" s="177">
        <f t="shared" ca="1" si="61"/>
        <v>0</v>
      </c>
      <c r="AB49" s="177">
        <f t="shared" ca="1" si="62"/>
        <v>0</v>
      </c>
      <c r="AC49" s="177">
        <f t="shared" ca="1" si="63"/>
        <v>0</v>
      </c>
      <c r="AD49" s="177">
        <f t="shared" ca="1" si="64"/>
        <v>0</v>
      </c>
      <c r="AE49" s="177">
        <f t="shared" ca="1" si="65"/>
        <v>0</v>
      </c>
      <c r="AF49" s="177">
        <f t="shared" ca="1" si="66"/>
        <v>0</v>
      </c>
      <c r="AG49" s="177">
        <f t="shared" ca="1" si="88"/>
        <v>600</v>
      </c>
      <c r="AH49" s="177">
        <f t="shared" ca="1" si="88"/>
        <v>600</v>
      </c>
      <c r="AI49" s="177">
        <f t="shared" ca="1" si="67"/>
        <v>0</v>
      </c>
      <c r="AJ49" s="177">
        <f t="shared" ca="1" si="68"/>
        <v>0</v>
      </c>
      <c r="AK49" s="177">
        <f t="shared" ca="1" si="69"/>
        <v>0</v>
      </c>
      <c r="AL49" s="177">
        <f t="shared" ca="1" si="70"/>
        <v>0</v>
      </c>
      <c r="AM49" s="177">
        <f t="shared" ca="1" si="71"/>
        <v>0</v>
      </c>
      <c r="AN49" s="177">
        <f t="shared" ca="1" si="72"/>
        <v>0</v>
      </c>
      <c r="AO49" s="177">
        <f t="shared" ca="1" si="73"/>
        <v>0</v>
      </c>
      <c r="AP49" s="177">
        <f t="shared" ca="1" si="74"/>
        <v>0</v>
      </c>
      <c r="AQ49" s="177">
        <f t="shared" ca="1" si="75"/>
        <v>0</v>
      </c>
      <c r="AR49" s="177">
        <f t="shared" ca="1" si="76"/>
        <v>600</v>
      </c>
      <c r="AS49" s="176">
        <f t="shared" ca="1" si="77"/>
        <v>0</v>
      </c>
      <c r="AT49" s="176">
        <f t="shared" ca="1" si="78"/>
        <v>0</v>
      </c>
      <c r="AU49" s="176">
        <f t="shared" ca="1" si="79"/>
        <v>0</v>
      </c>
      <c r="AV49" s="176">
        <f t="shared" ca="1" si="80"/>
        <v>0</v>
      </c>
      <c r="AW49" s="176">
        <f t="shared" ca="1" si="81"/>
        <v>0</v>
      </c>
      <c r="AX49" s="176">
        <f t="shared" ca="1" si="82"/>
        <v>0</v>
      </c>
      <c r="AY49" s="176">
        <f t="shared" ca="1" si="83"/>
        <v>0</v>
      </c>
      <c r="AZ49" s="176">
        <f t="shared" ca="1" si="84"/>
        <v>0</v>
      </c>
      <c r="BA49" s="176">
        <f t="shared" ca="1" si="85"/>
        <v>0</v>
      </c>
      <c r="BB49" s="176">
        <f t="shared" ca="1" si="38"/>
        <v>0</v>
      </c>
      <c r="BC49" s="176">
        <f t="shared" ca="1" si="86"/>
        <v>0</v>
      </c>
    </row>
    <row r="50" spans="1:55">
      <c r="A50" s="1">
        <f t="shared" ca="1" si="47"/>
        <v>0</v>
      </c>
      <c r="B50" s="1" t="s">
        <v>109</v>
      </c>
      <c r="C50" s="1" t="str">
        <f t="shared" ca="1" si="48"/>
        <v/>
      </c>
      <c r="D50" s="1" t="str">
        <f t="shared" ca="1" si="49"/>
        <v/>
      </c>
      <c r="E50" s="173" t="str" cm="1">
        <f t="array" aca="1" ref="E50" ca="1">_xlfn.IFS(OR(ISBLANK(StartDateMonth),ISBLANK(StartDateYear)),"",E49&gt;=DATEVALUE(CompletionMonth&amp;CompletionYear)+1,"",TRUE,EDATE(E49,1))</f>
        <v/>
      </c>
      <c r="F50" s="176">
        <f t="shared" ca="1" si="87"/>
        <v>0</v>
      </c>
      <c r="G50" s="176">
        <f t="shared" ca="1" si="87"/>
        <v>0</v>
      </c>
      <c r="H50" s="176">
        <f t="shared" ca="1" si="87"/>
        <v>0</v>
      </c>
      <c r="I50" s="176">
        <f t="shared" ca="1" si="87"/>
        <v>0</v>
      </c>
      <c r="J50" s="176">
        <f t="shared" ca="1" si="87"/>
        <v>0</v>
      </c>
      <c r="K50" s="176">
        <f t="shared" ca="1" si="87"/>
        <v>0</v>
      </c>
      <c r="L50" s="176">
        <f t="shared" ca="1" si="87"/>
        <v>0</v>
      </c>
      <c r="M50" s="176">
        <f t="shared" ca="1" si="87"/>
        <v>0</v>
      </c>
      <c r="N50" s="176">
        <f t="shared" ca="1" si="87"/>
        <v>0</v>
      </c>
      <c r="O50" s="176">
        <f t="shared" ca="1" si="87"/>
        <v>0</v>
      </c>
      <c r="P50" s="176">
        <f t="shared" ca="1" si="50"/>
        <v>0</v>
      </c>
      <c r="Q50" s="176">
        <f t="shared" ca="1" si="51"/>
        <v>0</v>
      </c>
      <c r="R50" s="176">
        <f t="shared" ca="1" si="52"/>
        <v>0</v>
      </c>
      <c r="S50" s="176">
        <f t="shared" ca="1" si="53"/>
        <v>0</v>
      </c>
      <c r="T50" s="176">
        <f t="shared" ca="1" si="54"/>
        <v>0</v>
      </c>
      <c r="U50" s="176">
        <f t="shared" ca="1" si="55"/>
        <v>0</v>
      </c>
      <c r="V50" s="176">
        <f t="shared" ca="1" si="56"/>
        <v>0</v>
      </c>
      <c r="W50" s="177">
        <f t="shared" ca="1" si="57"/>
        <v>600</v>
      </c>
      <c r="X50" s="177">
        <f t="shared" ca="1" si="58"/>
        <v>0</v>
      </c>
      <c r="Y50" s="177">
        <f t="shared" ca="1" si="59"/>
        <v>0</v>
      </c>
      <c r="Z50" s="177">
        <f t="shared" ca="1" si="60"/>
        <v>0</v>
      </c>
      <c r="AA50" s="177">
        <f t="shared" ca="1" si="61"/>
        <v>0</v>
      </c>
      <c r="AB50" s="177">
        <f t="shared" ca="1" si="62"/>
        <v>0</v>
      </c>
      <c r="AC50" s="177">
        <f t="shared" ca="1" si="63"/>
        <v>0</v>
      </c>
      <c r="AD50" s="177">
        <f t="shared" ca="1" si="64"/>
        <v>0</v>
      </c>
      <c r="AE50" s="177">
        <f t="shared" ca="1" si="65"/>
        <v>0</v>
      </c>
      <c r="AF50" s="177">
        <f t="shared" ca="1" si="66"/>
        <v>0</v>
      </c>
      <c r="AG50" s="177">
        <f t="shared" ca="1" si="88"/>
        <v>600</v>
      </c>
      <c r="AH50" s="177">
        <f t="shared" ca="1" si="88"/>
        <v>600</v>
      </c>
      <c r="AI50" s="177">
        <f t="shared" ca="1" si="67"/>
        <v>0</v>
      </c>
      <c r="AJ50" s="177">
        <f t="shared" ca="1" si="68"/>
        <v>0</v>
      </c>
      <c r="AK50" s="177">
        <f t="shared" ca="1" si="69"/>
        <v>0</v>
      </c>
      <c r="AL50" s="177">
        <f t="shared" ca="1" si="70"/>
        <v>0</v>
      </c>
      <c r="AM50" s="177">
        <f t="shared" ca="1" si="71"/>
        <v>0</v>
      </c>
      <c r="AN50" s="177">
        <f t="shared" ca="1" si="72"/>
        <v>0</v>
      </c>
      <c r="AO50" s="177">
        <f t="shared" ca="1" si="73"/>
        <v>0</v>
      </c>
      <c r="AP50" s="177">
        <f t="shared" ca="1" si="74"/>
        <v>0</v>
      </c>
      <c r="AQ50" s="177">
        <f t="shared" ca="1" si="75"/>
        <v>0</v>
      </c>
      <c r="AR50" s="177">
        <f t="shared" ca="1" si="76"/>
        <v>600</v>
      </c>
      <c r="AS50" s="176">
        <f t="shared" ca="1" si="77"/>
        <v>0</v>
      </c>
      <c r="AT50" s="176">
        <f t="shared" ca="1" si="78"/>
        <v>0</v>
      </c>
      <c r="AU50" s="176">
        <f t="shared" ca="1" si="79"/>
        <v>0</v>
      </c>
      <c r="AV50" s="176">
        <f t="shared" ca="1" si="80"/>
        <v>0</v>
      </c>
      <c r="AW50" s="176">
        <f t="shared" ca="1" si="81"/>
        <v>0</v>
      </c>
      <c r="AX50" s="176">
        <f t="shared" ca="1" si="82"/>
        <v>0</v>
      </c>
      <c r="AY50" s="176">
        <f t="shared" ca="1" si="83"/>
        <v>0</v>
      </c>
      <c r="AZ50" s="176">
        <f t="shared" ca="1" si="84"/>
        <v>0</v>
      </c>
      <c r="BA50" s="176">
        <f t="shared" ca="1" si="85"/>
        <v>0</v>
      </c>
      <c r="BB50" s="176">
        <f t="shared" ca="1" si="38"/>
        <v>0</v>
      </c>
      <c r="BC50" s="176">
        <f t="shared" ca="1" si="86"/>
        <v>0</v>
      </c>
    </row>
    <row r="51" spans="1:55">
      <c r="A51" s="1">
        <f t="shared" ca="1" si="47"/>
        <v>0</v>
      </c>
      <c r="B51" s="1" t="s">
        <v>110</v>
      </c>
      <c r="C51" s="1" t="str">
        <f t="shared" ca="1" si="48"/>
        <v/>
      </c>
      <c r="D51" s="1" t="str">
        <f t="shared" ca="1" si="49"/>
        <v/>
      </c>
      <c r="E51" s="173" t="str" cm="1">
        <f t="array" aca="1" ref="E51" ca="1">_xlfn.IFS(OR(ISBLANK(StartDateMonth),ISBLANK(StartDateYear)),"",E50&gt;=DATEVALUE(CompletionMonth&amp;CompletionYear)+1,"",TRUE,EDATE(E50,1))</f>
        <v/>
      </c>
      <c r="F51" s="176">
        <f t="shared" ca="1" si="87"/>
        <v>0</v>
      </c>
      <c r="G51" s="176">
        <f t="shared" ca="1" si="87"/>
        <v>0</v>
      </c>
      <c r="H51" s="176">
        <f t="shared" ca="1" si="87"/>
        <v>0</v>
      </c>
      <c r="I51" s="176">
        <f t="shared" ca="1" si="87"/>
        <v>0</v>
      </c>
      <c r="J51" s="176">
        <f t="shared" ca="1" si="87"/>
        <v>0</v>
      </c>
      <c r="K51" s="176">
        <f t="shared" ca="1" si="87"/>
        <v>0</v>
      </c>
      <c r="L51" s="176">
        <f t="shared" ca="1" si="87"/>
        <v>0</v>
      </c>
      <c r="M51" s="176">
        <f t="shared" ca="1" si="87"/>
        <v>0</v>
      </c>
      <c r="N51" s="176">
        <f t="shared" ca="1" si="87"/>
        <v>0</v>
      </c>
      <c r="O51" s="176">
        <f t="shared" ca="1" si="87"/>
        <v>0</v>
      </c>
      <c r="P51" s="176">
        <f t="shared" ca="1" si="50"/>
        <v>0</v>
      </c>
      <c r="Q51" s="176">
        <f t="shared" ca="1" si="51"/>
        <v>0</v>
      </c>
      <c r="R51" s="176">
        <f t="shared" ca="1" si="52"/>
        <v>0</v>
      </c>
      <c r="S51" s="176">
        <f t="shared" ca="1" si="53"/>
        <v>0</v>
      </c>
      <c r="T51" s="176">
        <f t="shared" ca="1" si="54"/>
        <v>0</v>
      </c>
      <c r="U51" s="176">
        <f t="shared" ca="1" si="55"/>
        <v>0</v>
      </c>
      <c r="V51" s="176">
        <f t="shared" ca="1" si="56"/>
        <v>0</v>
      </c>
      <c r="W51" s="177">
        <f t="shared" ca="1" si="57"/>
        <v>600</v>
      </c>
      <c r="X51" s="177">
        <f t="shared" ca="1" si="58"/>
        <v>0</v>
      </c>
      <c r="Y51" s="177">
        <f t="shared" ca="1" si="59"/>
        <v>0</v>
      </c>
      <c r="Z51" s="177">
        <f t="shared" ca="1" si="60"/>
        <v>0</v>
      </c>
      <c r="AA51" s="177">
        <f t="shared" ca="1" si="61"/>
        <v>0</v>
      </c>
      <c r="AB51" s="177">
        <f t="shared" ca="1" si="62"/>
        <v>0</v>
      </c>
      <c r="AC51" s="177">
        <f t="shared" ca="1" si="63"/>
        <v>0</v>
      </c>
      <c r="AD51" s="177">
        <f t="shared" ca="1" si="64"/>
        <v>0</v>
      </c>
      <c r="AE51" s="177">
        <f t="shared" ca="1" si="65"/>
        <v>0</v>
      </c>
      <c r="AF51" s="177">
        <f t="shared" ca="1" si="66"/>
        <v>0</v>
      </c>
      <c r="AG51" s="177">
        <f t="shared" ca="1" si="88"/>
        <v>600</v>
      </c>
      <c r="AH51" s="177">
        <f t="shared" ca="1" si="88"/>
        <v>600</v>
      </c>
      <c r="AI51" s="177">
        <f t="shared" ca="1" si="67"/>
        <v>0</v>
      </c>
      <c r="AJ51" s="177">
        <f t="shared" ca="1" si="68"/>
        <v>0</v>
      </c>
      <c r="AK51" s="177">
        <f t="shared" ca="1" si="69"/>
        <v>0</v>
      </c>
      <c r="AL51" s="177">
        <f t="shared" ca="1" si="70"/>
        <v>0</v>
      </c>
      <c r="AM51" s="177">
        <f t="shared" ca="1" si="71"/>
        <v>0</v>
      </c>
      <c r="AN51" s="177">
        <f t="shared" ca="1" si="72"/>
        <v>0</v>
      </c>
      <c r="AO51" s="177">
        <f t="shared" ca="1" si="73"/>
        <v>0</v>
      </c>
      <c r="AP51" s="177">
        <f t="shared" ca="1" si="74"/>
        <v>0</v>
      </c>
      <c r="AQ51" s="177">
        <f t="shared" ca="1" si="75"/>
        <v>0</v>
      </c>
      <c r="AR51" s="177">
        <f t="shared" ca="1" si="76"/>
        <v>600</v>
      </c>
      <c r="AS51" s="176">
        <f t="shared" ca="1" si="77"/>
        <v>0</v>
      </c>
      <c r="AT51" s="176">
        <f t="shared" ca="1" si="78"/>
        <v>0</v>
      </c>
      <c r="AU51" s="176">
        <f t="shared" ca="1" si="79"/>
        <v>0</v>
      </c>
      <c r="AV51" s="176">
        <f t="shared" ca="1" si="80"/>
        <v>0</v>
      </c>
      <c r="AW51" s="176">
        <f t="shared" ca="1" si="81"/>
        <v>0</v>
      </c>
      <c r="AX51" s="176">
        <f t="shared" ca="1" si="82"/>
        <v>0</v>
      </c>
      <c r="AY51" s="176">
        <f t="shared" ca="1" si="83"/>
        <v>0</v>
      </c>
      <c r="AZ51" s="176">
        <f t="shared" ca="1" si="84"/>
        <v>0</v>
      </c>
      <c r="BA51" s="176">
        <f t="shared" ca="1" si="85"/>
        <v>0</v>
      </c>
      <c r="BB51" s="176">
        <f t="shared" ca="1" si="38"/>
        <v>0</v>
      </c>
      <c r="BC51" s="176">
        <f t="shared" ca="1" si="86"/>
        <v>0</v>
      </c>
    </row>
    <row r="52" spans="1:55">
      <c r="A52" s="1">
        <f t="shared" ca="1" si="47"/>
        <v>0</v>
      </c>
      <c r="B52" s="1" t="s">
        <v>111</v>
      </c>
      <c r="C52" s="1" t="str">
        <f t="shared" ca="1" si="48"/>
        <v/>
      </c>
      <c r="D52" s="1" t="str">
        <f t="shared" ca="1" si="49"/>
        <v/>
      </c>
      <c r="E52" s="173" t="str" cm="1">
        <f t="array" aca="1" ref="E52" ca="1">_xlfn.IFS(OR(ISBLANK(StartDateMonth),ISBLANK(StartDateYear)),"",E51&gt;=DATEVALUE(CompletionMonth&amp;CompletionYear)+1,"",TRUE,EDATE(E51,1))</f>
        <v/>
      </c>
      <c r="F52" s="176">
        <f t="shared" ca="1" si="87"/>
        <v>0</v>
      </c>
      <c r="G52" s="176">
        <f t="shared" ca="1" si="87"/>
        <v>0</v>
      </c>
      <c r="H52" s="176">
        <f t="shared" ca="1" si="87"/>
        <v>0</v>
      </c>
      <c r="I52" s="176">
        <f t="shared" ca="1" si="87"/>
        <v>0</v>
      </c>
      <c r="J52" s="176">
        <f t="shared" ca="1" si="87"/>
        <v>0</v>
      </c>
      <c r="K52" s="176">
        <f t="shared" ca="1" si="87"/>
        <v>0</v>
      </c>
      <c r="L52" s="176">
        <f t="shared" ca="1" si="87"/>
        <v>0</v>
      </c>
      <c r="M52" s="176">
        <f t="shared" ca="1" si="87"/>
        <v>0</v>
      </c>
      <c r="N52" s="176">
        <f t="shared" ca="1" si="87"/>
        <v>0</v>
      </c>
      <c r="O52" s="176">
        <f t="shared" ca="1" si="87"/>
        <v>0</v>
      </c>
      <c r="P52" s="176">
        <f t="shared" ca="1" si="50"/>
        <v>0</v>
      </c>
      <c r="Q52" s="176">
        <f t="shared" ca="1" si="51"/>
        <v>0</v>
      </c>
      <c r="R52" s="176">
        <f t="shared" ca="1" si="52"/>
        <v>0</v>
      </c>
      <c r="S52" s="176">
        <f t="shared" ca="1" si="53"/>
        <v>0</v>
      </c>
      <c r="T52" s="176">
        <f t="shared" ca="1" si="54"/>
        <v>0</v>
      </c>
      <c r="U52" s="176">
        <f t="shared" ca="1" si="55"/>
        <v>0</v>
      </c>
      <c r="V52" s="176">
        <f t="shared" ca="1" si="56"/>
        <v>0</v>
      </c>
      <c r="W52" s="177">
        <f t="shared" ca="1" si="57"/>
        <v>600</v>
      </c>
      <c r="X52" s="177">
        <f t="shared" ca="1" si="58"/>
        <v>0</v>
      </c>
      <c r="Y52" s="177">
        <f t="shared" ca="1" si="59"/>
        <v>0</v>
      </c>
      <c r="Z52" s="177">
        <f t="shared" ca="1" si="60"/>
        <v>0</v>
      </c>
      <c r="AA52" s="177">
        <f t="shared" ca="1" si="61"/>
        <v>0</v>
      </c>
      <c r="AB52" s="177">
        <f t="shared" ca="1" si="62"/>
        <v>0</v>
      </c>
      <c r="AC52" s="177">
        <f t="shared" ca="1" si="63"/>
        <v>0</v>
      </c>
      <c r="AD52" s="177">
        <f t="shared" ca="1" si="64"/>
        <v>0</v>
      </c>
      <c r="AE52" s="177">
        <f t="shared" ca="1" si="65"/>
        <v>0</v>
      </c>
      <c r="AF52" s="177">
        <f t="shared" ca="1" si="66"/>
        <v>0</v>
      </c>
      <c r="AG52" s="177">
        <f t="shared" ca="1" si="88"/>
        <v>600</v>
      </c>
      <c r="AH52" s="177">
        <f t="shared" ca="1" si="88"/>
        <v>600</v>
      </c>
      <c r="AI52" s="177">
        <f t="shared" ca="1" si="67"/>
        <v>0</v>
      </c>
      <c r="AJ52" s="177">
        <f t="shared" ca="1" si="68"/>
        <v>0</v>
      </c>
      <c r="AK52" s="177">
        <f t="shared" ca="1" si="69"/>
        <v>0</v>
      </c>
      <c r="AL52" s="177">
        <f t="shared" ca="1" si="70"/>
        <v>0</v>
      </c>
      <c r="AM52" s="177">
        <f t="shared" ca="1" si="71"/>
        <v>0</v>
      </c>
      <c r="AN52" s="177">
        <f t="shared" ca="1" si="72"/>
        <v>0</v>
      </c>
      <c r="AO52" s="177">
        <f t="shared" ca="1" si="73"/>
        <v>0</v>
      </c>
      <c r="AP52" s="177">
        <f t="shared" ca="1" si="74"/>
        <v>0</v>
      </c>
      <c r="AQ52" s="177">
        <f t="shared" ca="1" si="75"/>
        <v>0</v>
      </c>
      <c r="AR52" s="177">
        <f t="shared" ca="1" si="76"/>
        <v>600</v>
      </c>
      <c r="AS52" s="176">
        <f t="shared" ca="1" si="77"/>
        <v>0</v>
      </c>
      <c r="AT52" s="176">
        <f t="shared" ca="1" si="78"/>
        <v>0</v>
      </c>
      <c r="AU52" s="176">
        <f t="shared" ca="1" si="79"/>
        <v>0</v>
      </c>
      <c r="AV52" s="176">
        <f t="shared" ca="1" si="80"/>
        <v>0</v>
      </c>
      <c r="AW52" s="176">
        <f t="shared" ca="1" si="81"/>
        <v>0</v>
      </c>
      <c r="AX52" s="176">
        <f t="shared" ca="1" si="82"/>
        <v>0</v>
      </c>
      <c r="AY52" s="176">
        <f t="shared" ca="1" si="83"/>
        <v>0</v>
      </c>
      <c r="AZ52" s="176">
        <f t="shared" ca="1" si="84"/>
        <v>0</v>
      </c>
      <c r="BA52" s="176">
        <f t="shared" ca="1" si="85"/>
        <v>0</v>
      </c>
      <c r="BB52" s="176">
        <f t="shared" ca="1" si="38"/>
        <v>0</v>
      </c>
      <c r="BC52" s="176">
        <f t="shared" ca="1" si="86"/>
        <v>0</v>
      </c>
    </row>
    <row r="53" spans="1:55">
      <c r="A53" s="1">
        <f t="shared" ca="1" si="47"/>
        <v>0</v>
      </c>
      <c r="B53" s="1" t="s">
        <v>112</v>
      </c>
      <c r="C53" s="1" t="str">
        <f t="shared" ca="1" si="48"/>
        <v/>
      </c>
      <c r="D53" s="1" t="str">
        <f t="shared" ca="1" si="49"/>
        <v/>
      </c>
      <c r="E53" s="173" t="str" cm="1">
        <f t="array" aca="1" ref="E53" ca="1">_xlfn.IFS(OR(ISBLANK(StartDateMonth),ISBLANK(StartDateYear)),"",E52&gt;=DATEVALUE(CompletionMonth&amp;CompletionYear)+1,"",TRUE,EDATE(E52,1))</f>
        <v/>
      </c>
      <c r="F53" s="176">
        <f t="shared" ca="1" si="87"/>
        <v>0</v>
      </c>
      <c r="G53" s="176">
        <f t="shared" ca="1" si="87"/>
        <v>0</v>
      </c>
      <c r="H53" s="176">
        <f t="shared" ca="1" si="87"/>
        <v>0</v>
      </c>
      <c r="I53" s="176">
        <f t="shared" ca="1" si="87"/>
        <v>0</v>
      </c>
      <c r="J53" s="176">
        <f t="shared" ca="1" si="87"/>
        <v>0</v>
      </c>
      <c r="K53" s="176">
        <f t="shared" ca="1" si="87"/>
        <v>0</v>
      </c>
      <c r="L53" s="176">
        <f t="shared" ca="1" si="87"/>
        <v>0</v>
      </c>
      <c r="M53" s="176">
        <f t="shared" ca="1" si="87"/>
        <v>0</v>
      </c>
      <c r="N53" s="176">
        <f t="shared" ca="1" si="87"/>
        <v>0</v>
      </c>
      <c r="O53" s="176">
        <f t="shared" ca="1" si="87"/>
        <v>0</v>
      </c>
      <c r="P53" s="176">
        <f t="shared" ca="1" si="50"/>
        <v>0</v>
      </c>
      <c r="Q53" s="176">
        <f t="shared" ca="1" si="51"/>
        <v>0</v>
      </c>
      <c r="R53" s="176">
        <f t="shared" ca="1" si="52"/>
        <v>0</v>
      </c>
      <c r="S53" s="176">
        <f t="shared" ca="1" si="53"/>
        <v>0</v>
      </c>
      <c r="T53" s="176">
        <f t="shared" ca="1" si="54"/>
        <v>0</v>
      </c>
      <c r="U53" s="176">
        <f t="shared" ca="1" si="55"/>
        <v>0</v>
      </c>
      <c r="V53" s="176">
        <f t="shared" ca="1" si="56"/>
        <v>0</v>
      </c>
      <c r="W53" s="177">
        <f t="shared" ca="1" si="57"/>
        <v>600</v>
      </c>
      <c r="X53" s="177">
        <f t="shared" ca="1" si="58"/>
        <v>0</v>
      </c>
      <c r="Y53" s="177">
        <f t="shared" ca="1" si="59"/>
        <v>0</v>
      </c>
      <c r="Z53" s="177">
        <f t="shared" ca="1" si="60"/>
        <v>0</v>
      </c>
      <c r="AA53" s="177">
        <f t="shared" ca="1" si="61"/>
        <v>0</v>
      </c>
      <c r="AB53" s="177">
        <f t="shared" ca="1" si="62"/>
        <v>0</v>
      </c>
      <c r="AC53" s="177">
        <f t="shared" ca="1" si="63"/>
        <v>0</v>
      </c>
      <c r="AD53" s="177">
        <f t="shared" ca="1" si="64"/>
        <v>0</v>
      </c>
      <c r="AE53" s="177">
        <f t="shared" ca="1" si="65"/>
        <v>0</v>
      </c>
      <c r="AF53" s="177">
        <f t="shared" ca="1" si="66"/>
        <v>0</v>
      </c>
      <c r="AG53" s="177">
        <f t="shared" ca="1" si="88"/>
        <v>600</v>
      </c>
      <c r="AH53" s="177">
        <f t="shared" ca="1" si="88"/>
        <v>600</v>
      </c>
      <c r="AI53" s="177">
        <f t="shared" ca="1" si="67"/>
        <v>0</v>
      </c>
      <c r="AJ53" s="177">
        <f t="shared" ca="1" si="68"/>
        <v>0</v>
      </c>
      <c r="AK53" s="177">
        <f t="shared" ca="1" si="69"/>
        <v>0</v>
      </c>
      <c r="AL53" s="177">
        <f t="shared" ca="1" si="70"/>
        <v>0</v>
      </c>
      <c r="AM53" s="177">
        <f t="shared" ca="1" si="71"/>
        <v>0</v>
      </c>
      <c r="AN53" s="177">
        <f t="shared" ca="1" si="72"/>
        <v>0</v>
      </c>
      <c r="AO53" s="177">
        <f t="shared" ca="1" si="73"/>
        <v>0</v>
      </c>
      <c r="AP53" s="177">
        <f t="shared" ca="1" si="74"/>
        <v>0</v>
      </c>
      <c r="AQ53" s="177">
        <f t="shared" ca="1" si="75"/>
        <v>0</v>
      </c>
      <c r="AR53" s="177">
        <f t="shared" ca="1" si="76"/>
        <v>600</v>
      </c>
      <c r="AS53" s="176">
        <f t="shared" ca="1" si="77"/>
        <v>0</v>
      </c>
      <c r="AT53" s="176">
        <f t="shared" ca="1" si="78"/>
        <v>0</v>
      </c>
      <c r="AU53" s="176">
        <f t="shared" ca="1" si="79"/>
        <v>0</v>
      </c>
      <c r="AV53" s="176">
        <f t="shared" ca="1" si="80"/>
        <v>0</v>
      </c>
      <c r="AW53" s="176">
        <f t="shared" ca="1" si="81"/>
        <v>0</v>
      </c>
      <c r="AX53" s="176">
        <f t="shared" ca="1" si="82"/>
        <v>0</v>
      </c>
      <c r="AY53" s="176">
        <f t="shared" ca="1" si="83"/>
        <v>0</v>
      </c>
      <c r="AZ53" s="176">
        <f t="shared" ca="1" si="84"/>
        <v>0</v>
      </c>
      <c r="BA53" s="176">
        <f t="shared" ca="1" si="85"/>
        <v>0</v>
      </c>
      <c r="BB53" s="176">
        <f t="shared" ca="1" si="38"/>
        <v>0</v>
      </c>
      <c r="BC53" s="176">
        <f t="shared" ca="1" si="86"/>
        <v>0</v>
      </c>
    </row>
    <row r="54" spans="1:55">
      <c r="A54" s="1">
        <f t="shared" ca="1" si="47"/>
        <v>0</v>
      </c>
      <c r="B54" s="1" t="s">
        <v>113</v>
      </c>
      <c r="C54" s="1" t="str">
        <f t="shared" ca="1" si="48"/>
        <v/>
      </c>
      <c r="D54" s="1" t="str">
        <f t="shared" ca="1" si="49"/>
        <v/>
      </c>
      <c r="E54" s="173" t="str" cm="1">
        <f t="array" aca="1" ref="E54" ca="1">_xlfn.IFS(OR(ISBLANK(StartDateMonth),ISBLANK(StartDateYear)),"",E53&gt;=DATEVALUE(CompletionMonth&amp;CompletionYear)+1,"",TRUE,EDATE(E53,1))</f>
        <v/>
      </c>
      <c r="F54" s="176">
        <f t="shared" ref="F54:O63" ca="1" si="89">IF($A54=1,INDEX(DevelopmentCosts,MATCH(F$3,TotalDevCostsList,0),MATCH($B54,DevelopmentCostTitle,0)),0)</f>
        <v>0</v>
      </c>
      <c r="G54" s="176">
        <f t="shared" ca="1" si="89"/>
        <v>0</v>
      </c>
      <c r="H54" s="176">
        <f t="shared" ca="1" si="89"/>
        <v>0</v>
      </c>
      <c r="I54" s="176">
        <f t="shared" ca="1" si="89"/>
        <v>0</v>
      </c>
      <c r="J54" s="176">
        <f t="shared" ca="1" si="89"/>
        <v>0</v>
      </c>
      <c r="K54" s="176">
        <f t="shared" ca="1" si="89"/>
        <v>0</v>
      </c>
      <c r="L54" s="176">
        <f t="shared" ca="1" si="89"/>
        <v>0</v>
      </c>
      <c r="M54" s="176">
        <f t="shared" ca="1" si="89"/>
        <v>0</v>
      </c>
      <c r="N54" s="176">
        <f t="shared" ca="1" si="89"/>
        <v>0</v>
      </c>
      <c r="O54" s="176">
        <f t="shared" ca="1" si="89"/>
        <v>0</v>
      </c>
      <c r="P54" s="176">
        <f t="shared" ca="1" si="50"/>
        <v>0</v>
      </c>
      <c r="Q54" s="176">
        <f t="shared" ca="1" si="51"/>
        <v>0</v>
      </c>
      <c r="R54" s="176">
        <f t="shared" ca="1" si="52"/>
        <v>0</v>
      </c>
      <c r="S54" s="176">
        <f t="shared" ca="1" si="53"/>
        <v>0</v>
      </c>
      <c r="T54" s="176">
        <f t="shared" ca="1" si="54"/>
        <v>0</v>
      </c>
      <c r="U54" s="176">
        <f t="shared" ca="1" si="55"/>
        <v>0</v>
      </c>
      <c r="V54" s="176">
        <f t="shared" ca="1" si="56"/>
        <v>0</v>
      </c>
      <c r="W54" s="177">
        <f t="shared" ca="1" si="57"/>
        <v>600</v>
      </c>
      <c r="X54" s="177">
        <f t="shared" ca="1" si="58"/>
        <v>0</v>
      </c>
      <c r="Y54" s="177">
        <f t="shared" ca="1" si="59"/>
        <v>0</v>
      </c>
      <c r="Z54" s="177">
        <f t="shared" ca="1" si="60"/>
        <v>0</v>
      </c>
      <c r="AA54" s="177">
        <f t="shared" ca="1" si="61"/>
        <v>0</v>
      </c>
      <c r="AB54" s="177">
        <f t="shared" ca="1" si="62"/>
        <v>0</v>
      </c>
      <c r="AC54" s="177">
        <f t="shared" ca="1" si="63"/>
        <v>0</v>
      </c>
      <c r="AD54" s="177">
        <f t="shared" ca="1" si="64"/>
        <v>0</v>
      </c>
      <c r="AE54" s="177">
        <f t="shared" ca="1" si="65"/>
        <v>0</v>
      </c>
      <c r="AF54" s="177">
        <f t="shared" ca="1" si="66"/>
        <v>0</v>
      </c>
      <c r="AG54" s="177">
        <f t="shared" ca="1" si="88"/>
        <v>600</v>
      </c>
      <c r="AH54" s="177">
        <f t="shared" ca="1" si="88"/>
        <v>600</v>
      </c>
      <c r="AI54" s="177">
        <f t="shared" ca="1" si="67"/>
        <v>0</v>
      </c>
      <c r="AJ54" s="177">
        <f t="shared" ca="1" si="68"/>
        <v>0</v>
      </c>
      <c r="AK54" s="177">
        <f t="shared" ca="1" si="69"/>
        <v>0</v>
      </c>
      <c r="AL54" s="177">
        <f t="shared" ca="1" si="70"/>
        <v>0</v>
      </c>
      <c r="AM54" s="177">
        <f t="shared" ca="1" si="71"/>
        <v>0</v>
      </c>
      <c r="AN54" s="177">
        <f t="shared" ca="1" si="72"/>
        <v>0</v>
      </c>
      <c r="AO54" s="177">
        <f t="shared" ca="1" si="73"/>
        <v>0</v>
      </c>
      <c r="AP54" s="177">
        <f t="shared" ca="1" si="74"/>
        <v>0</v>
      </c>
      <c r="AQ54" s="177">
        <f t="shared" ca="1" si="75"/>
        <v>0</v>
      </c>
      <c r="AR54" s="177">
        <f t="shared" ca="1" si="76"/>
        <v>600</v>
      </c>
      <c r="AS54" s="176">
        <f t="shared" ca="1" si="77"/>
        <v>0</v>
      </c>
      <c r="AT54" s="176">
        <f t="shared" ca="1" si="78"/>
        <v>0</v>
      </c>
      <c r="AU54" s="176">
        <f t="shared" ca="1" si="79"/>
        <v>0</v>
      </c>
      <c r="AV54" s="176">
        <f t="shared" ca="1" si="80"/>
        <v>0</v>
      </c>
      <c r="AW54" s="176">
        <f t="shared" ca="1" si="81"/>
        <v>0</v>
      </c>
      <c r="AX54" s="176">
        <f t="shared" ca="1" si="82"/>
        <v>0</v>
      </c>
      <c r="AY54" s="176">
        <f t="shared" ca="1" si="83"/>
        <v>0</v>
      </c>
      <c r="AZ54" s="176">
        <f t="shared" ca="1" si="84"/>
        <v>0</v>
      </c>
      <c r="BA54" s="176">
        <f t="shared" ca="1" si="85"/>
        <v>0</v>
      </c>
      <c r="BB54" s="176">
        <f t="shared" ca="1" si="38"/>
        <v>0</v>
      </c>
      <c r="BC54" s="176">
        <f t="shared" ca="1" si="86"/>
        <v>0</v>
      </c>
    </row>
    <row r="55" spans="1:55">
      <c r="A55" s="1">
        <f t="shared" ca="1" si="47"/>
        <v>0</v>
      </c>
      <c r="B55" s="1" t="s">
        <v>114</v>
      </c>
      <c r="C55" s="1" t="str">
        <f t="shared" ca="1" si="48"/>
        <v/>
      </c>
      <c r="D55" s="1" t="str">
        <f t="shared" ca="1" si="49"/>
        <v/>
      </c>
      <c r="E55" s="173" t="str" cm="1">
        <f t="array" aca="1" ref="E55" ca="1">_xlfn.IFS(OR(ISBLANK(StartDateMonth),ISBLANK(StartDateYear)),"",E54&gt;=DATEVALUE(CompletionMonth&amp;CompletionYear)+1,"",TRUE,EDATE(E54,1))</f>
        <v/>
      </c>
      <c r="F55" s="176">
        <f t="shared" ca="1" si="89"/>
        <v>0</v>
      </c>
      <c r="G55" s="176">
        <f t="shared" ca="1" si="89"/>
        <v>0</v>
      </c>
      <c r="H55" s="176">
        <f t="shared" ca="1" si="89"/>
        <v>0</v>
      </c>
      <c r="I55" s="176">
        <f t="shared" ca="1" si="89"/>
        <v>0</v>
      </c>
      <c r="J55" s="176">
        <f t="shared" ca="1" si="89"/>
        <v>0</v>
      </c>
      <c r="K55" s="176">
        <f t="shared" ca="1" si="89"/>
        <v>0</v>
      </c>
      <c r="L55" s="176">
        <f t="shared" ca="1" si="89"/>
        <v>0</v>
      </c>
      <c r="M55" s="176">
        <f t="shared" ca="1" si="89"/>
        <v>0</v>
      </c>
      <c r="N55" s="176">
        <f t="shared" ca="1" si="89"/>
        <v>0</v>
      </c>
      <c r="O55" s="176">
        <f t="shared" ca="1" si="89"/>
        <v>0</v>
      </c>
      <c r="P55" s="176">
        <f t="shared" ca="1" si="50"/>
        <v>0</v>
      </c>
      <c r="Q55" s="176">
        <f t="shared" ca="1" si="51"/>
        <v>0</v>
      </c>
      <c r="R55" s="176">
        <f t="shared" ca="1" si="52"/>
        <v>0</v>
      </c>
      <c r="S55" s="176">
        <f t="shared" ca="1" si="53"/>
        <v>0</v>
      </c>
      <c r="T55" s="176">
        <f t="shared" ca="1" si="54"/>
        <v>0</v>
      </c>
      <c r="U55" s="176">
        <f t="shared" ca="1" si="55"/>
        <v>0</v>
      </c>
      <c r="V55" s="176">
        <f t="shared" ca="1" si="56"/>
        <v>0</v>
      </c>
      <c r="W55" s="177">
        <f t="shared" ca="1" si="57"/>
        <v>600</v>
      </c>
      <c r="X55" s="177">
        <f t="shared" ca="1" si="58"/>
        <v>0</v>
      </c>
      <c r="Y55" s="177">
        <f t="shared" ca="1" si="59"/>
        <v>0</v>
      </c>
      <c r="Z55" s="177">
        <f t="shared" ca="1" si="60"/>
        <v>0</v>
      </c>
      <c r="AA55" s="177">
        <f t="shared" ca="1" si="61"/>
        <v>0</v>
      </c>
      <c r="AB55" s="177">
        <f t="shared" ca="1" si="62"/>
        <v>0</v>
      </c>
      <c r="AC55" s="177">
        <f t="shared" ca="1" si="63"/>
        <v>0</v>
      </c>
      <c r="AD55" s="177">
        <f t="shared" ca="1" si="64"/>
        <v>0</v>
      </c>
      <c r="AE55" s="177">
        <f t="shared" ca="1" si="65"/>
        <v>0</v>
      </c>
      <c r="AF55" s="177">
        <f t="shared" ca="1" si="66"/>
        <v>0</v>
      </c>
      <c r="AG55" s="177">
        <f t="shared" ca="1" si="88"/>
        <v>600</v>
      </c>
      <c r="AH55" s="177">
        <f t="shared" ca="1" si="88"/>
        <v>600</v>
      </c>
      <c r="AI55" s="177">
        <f t="shared" ca="1" si="67"/>
        <v>0</v>
      </c>
      <c r="AJ55" s="177">
        <f t="shared" ca="1" si="68"/>
        <v>0</v>
      </c>
      <c r="AK55" s="177">
        <f t="shared" ca="1" si="69"/>
        <v>0</v>
      </c>
      <c r="AL55" s="177">
        <f t="shared" ca="1" si="70"/>
        <v>0</v>
      </c>
      <c r="AM55" s="177">
        <f t="shared" ca="1" si="71"/>
        <v>0</v>
      </c>
      <c r="AN55" s="177">
        <f t="shared" ca="1" si="72"/>
        <v>0</v>
      </c>
      <c r="AO55" s="177">
        <f t="shared" ca="1" si="73"/>
        <v>0</v>
      </c>
      <c r="AP55" s="177">
        <f t="shared" ca="1" si="74"/>
        <v>0</v>
      </c>
      <c r="AQ55" s="177">
        <f t="shared" ca="1" si="75"/>
        <v>0</v>
      </c>
      <c r="AR55" s="177">
        <f t="shared" ca="1" si="76"/>
        <v>600</v>
      </c>
      <c r="AS55" s="176">
        <f t="shared" ca="1" si="77"/>
        <v>0</v>
      </c>
      <c r="AT55" s="176">
        <f t="shared" ca="1" si="78"/>
        <v>0</v>
      </c>
      <c r="AU55" s="176">
        <f t="shared" ca="1" si="79"/>
        <v>0</v>
      </c>
      <c r="AV55" s="176">
        <f t="shared" ca="1" si="80"/>
        <v>0</v>
      </c>
      <c r="AW55" s="176">
        <f t="shared" ca="1" si="81"/>
        <v>0</v>
      </c>
      <c r="AX55" s="176">
        <f t="shared" ca="1" si="82"/>
        <v>0</v>
      </c>
      <c r="AY55" s="176">
        <f t="shared" ca="1" si="83"/>
        <v>0</v>
      </c>
      <c r="AZ55" s="176">
        <f t="shared" ca="1" si="84"/>
        <v>0</v>
      </c>
      <c r="BA55" s="176">
        <f t="shared" ca="1" si="85"/>
        <v>0</v>
      </c>
      <c r="BB55" s="176">
        <f t="shared" ca="1" si="38"/>
        <v>0</v>
      </c>
      <c r="BC55" s="176">
        <f t="shared" ca="1" si="86"/>
        <v>0</v>
      </c>
    </row>
    <row r="56" spans="1:55">
      <c r="A56" s="1">
        <f t="shared" ca="1" si="47"/>
        <v>0</v>
      </c>
      <c r="B56" s="1" t="s">
        <v>115</v>
      </c>
      <c r="C56" s="1" t="str">
        <f t="shared" ca="1" si="48"/>
        <v/>
      </c>
      <c r="D56" s="1" t="str">
        <f t="shared" ca="1" si="49"/>
        <v/>
      </c>
      <c r="E56" s="173" t="str" cm="1">
        <f t="array" aca="1" ref="E56" ca="1">_xlfn.IFS(OR(ISBLANK(StartDateMonth),ISBLANK(StartDateYear)),"",E55&gt;=DATEVALUE(CompletionMonth&amp;CompletionYear)+1,"",TRUE,EDATE(E55,1))</f>
        <v/>
      </c>
      <c r="F56" s="176">
        <f t="shared" ca="1" si="89"/>
        <v>0</v>
      </c>
      <c r="G56" s="176">
        <f t="shared" ca="1" si="89"/>
        <v>0</v>
      </c>
      <c r="H56" s="176">
        <f t="shared" ca="1" si="89"/>
        <v>0</v>
      </c>
      <c r="I56" s="176">
        <f t="shared" ca="1" si="89"/>
        <v>0</v>
      </c>
      <c r="J56" s="176">
        <f t="shared" ca="1" si="89"/>
        <v>0</v>
      </c>
      <c r="K56" s="176">
        <f t="shared" ca="1" si="89"/>
        <v>0</v>
      </c>
      <c r="L56" s="176">
        <f t="shared" ca="1" si="89"/>
        <v>0</v>
      </c>
      <c r="M56" s="176">
        <f t="shared" ca="1" si="89"/>
        <v>0</v>
      </c>
      <c r="N56" s="176">
        <f t="shared" ca="1" si="89"/>
        <v>0</v>
      </c>
      <c r="O56" s="176">
        <f t="shared" ca="1" si="89"/>
        <v>0</v>
      </c>
      <c r="P56" s="176">
        <f t="shared" ca="1" si="50"/>
        <v>0</v>
      </c>
      <c r="Q56" s="176">
        <f t="shared" ca="1" si="51"/>
        <v>0</v>
      </c>
      <c r="R56" s="176">
        <f t="shared" ca="1" si="52"/>
        <v>0</v>
      </c>
      <c r="S56" s="176">
        <f t="shared" ca="1" si="53"/>
        <v>0</v>
      </c>
      <c r="T56" s="176">
        <f t="shared" ca="1" si="54"/>
        <v>0</v>
      </c>
      <c r="U56" s="176">
        <f t="shared" ca="1" si="55"/>
        <v>0</v>
      </c>
      <c r="V56" s="176">
        <f t="shared" ca="1" si="56"/>
        <v>0</v>
      </c>
      <c r="W56" s="177">
        <f t="shared" ca="1" si="57"/>
        <v>600</v>
      </c>
      <c r="X56" s="177">
        <f t="shared" ca="1" si="58"/>
        <v>0</v>
      </c>
      <c r="Y56" s="177">
        <f t="shared" ca="1" si="59"/>
        <v>0</v>
      </c>
      <c r="Z56" s="177">
        <f t="shared" ca="1" si="60"/>
        <v>0</v>
      </c>
      <c r="AA56" s="177">
        <f t="shared" ca="1" si="61"/>
        <v>0</v>
      </c>
      <c r="AB56" s="177">
        <f t="shared" ca="1" si="62"/>
        <v>0</v>
      </c>
      <c r="AC56" s="177">
        <f t="shared" ca="1" si="63"/>
        <v>0</v>
      </c>
      <c r="AD56" s="177">
        <f t="shared" ca="1" si="64"/>
        <v>0</v>
      </c>
      <c r="AE56" s="177">
        <f t="shared" ca="1" si="65"/>
        <v>0</v>
      </c>
      <c r="AF56" s="177">
        <f t="shared" ca="1" si="66"/>
        <v>0</v>
      </c>
      <c r="AG56" s="177">
        <f t="shared" ca="1" si="88"/>
        <v>600</v>
      </c>
      <c r="AH56" s="177">
        <f t="shared" ca="1" si="88"/>
        <v>600</v>
      </c>
      <c r="AI56" s="177">
        <f t="shared" ca="1" si="67"/>
        <v>0</v>
      </c>
      <c r="AJ56" s="177">
        <f t="shared" ca="1" si="68"/>
        <v>0</v>
      </c>
      <c r="AK56" s="177">
        <f t="shared" ca="1" si="69"/>
        <v>0</v>
      </c>
      <c r="AL56" s="177">
        <f t="shared" ca="1" si="70"/>
        <v>0</v>
      </c>
      <c r="AM56" s="177">
        <f t="shared" ca="1" si="71"/>
        <v>0</v>
      </c>
      <c r="AN56" s="177">
        <f t="shared" ca="1" si="72"/>
        <v>0</v>
      </c>
      <c r="AO56" s="177">
        <f t="shared" ca="1" si="73"/>
        <v>0</v>
      </c>
      <c r="AP56" s="177">
        <f t="shared" ca="1" si="74"/>
        <v>0</v>
      </c>
      <c r="AQ56" s="177">
        <f t="shared" ca="1" si="75"/>
        <v>0</v>
      </c>
      <c r="AR56" s="177">
        <f t="shared" ca="1" si="76"/>
        <v>600</v>
      </c>
      <c r="AS56" s="176">
        <f t="shared" ca="1" si="77"/>
        <v>0</v>
      </c>
      <c r="AT56" s="176">
        <f t="shared" ca="1" si="78"/>
        <v>0</v>
      </c>
      <c r="AU56" s="176">
        <f t="shared" ca="1" si="79"/>
        <v>0</v>
      </c>
      <c r="AV56" s="176">
        <f t="shared" ca="1" si="80"/>
        <v>0</v>
      </c>
      <c r="AW56" s="176">
        <f t="shared" ca="1" si="81"/>
        <v>0</v>
      </c>
      <c r="AX56" s="176">
        <f t="shared" ca="1" si="82"/>
        <v>0</v>
      </c>
      <c r="AY56" s="176">
        <f t="shared" ca="1" si="83"/>
        <v>0</v>
      </c>
      <c r="AZ56" s="176">
        <f t="shared" ca="1" si="84"/>
        <v>0</v>
      </c>
      <c r="BA56" s="176">
        <f t="shared" ca="1" si="85"/>
        <v>0</v>
      </c>
      <c r="BB56" s="176">
        <f t="shared" ca="1" si="38"/>
        <v>0</v>
      </c>
      <c r="BC56" s="176">
        <f t="shared" ca="1" si="86"/>
        <v>0</v>
      </c>
    </row>
    <row r="57" spans="1:55">
      <c r="A57" s="1">
        <f t="shared" ca="1" si="47"/>
        <v>0</v>
      </c>
      <c r="B57" s="1" t="s">
        <v>116</v>
      </c>
      <c r="C57" s="1" t="str">
        <f t="shared" ca="1" si="48"/>
        <v/>
      </c>
      <c r="D57" s="1" t="str">
        <f t="shared" ca="1" si="49"/>
        <v/>
      </c>
      <c r="E57" s="173" t="str" cm="1">
        <f t="array" aca="1" ref="E57" ca="1">_xlfn.IFS(OR(ISBLANK(StartDateMonth),ISBLANK(StartDateYear)),"",E56&gt;=DATEVALUE(CompletionMonth&amp;CompletionYear)+1,"",TRUE,EDATE(E56,1))</f>
        <v/>
      </c>
      <c r="F57" s="176">
        <f t="shared" ca="1" si="89"/>
        <v>0</v>
      </c>
      <c r="G57" s="176">
        <f t="shared" ca="1" si="89"/>
        <v>0</v>
      </c>
      <c r="H57" s="176">
        <f t="shared" ca="1" si="89"/>
        <v>0</v>
      </c>
      <c r="I57" s="176">
        <f t="shared" ca="1" si="89"/>
        <v>0</v>
      </c>
      <c r="J57" s="176">
        <f t="shared" ca="1" si="89"/>
        <v>0</v>
      </c>
      <c r="K57" s="176">
        <f t="shared" ca="1" si="89"/>
        <v>0</v>
      </c>
      <c r="L57" s="176">
        <f t="shared" ca="1" si="89"/>
        <v>0</v>
      </c>
      <c r="M57" s="176">
        <f t="shared" ca="1" si="89"/>
        <v>0</v>
      </c>
      <c r="N57" s="176">
        <f t="shared" ca="1" si="89"/>
        <v>0</v>
      </c>
      <c r="O57" s="176">
        <f t="shared" ca="1" si="89"/>
        <v>0</v>
      </c>
      <c r="P57" s="176">
        <f t="shared" ca="1" si="50"/>
        <v>0</v>
      </c>
      <c r="Q57" s="176">
        <f t="shared" ca="1" si="51"/>
        <v>0</v>
      </c>
      <c r="R57" s="176">
        <f t="shared" ca="1" si="52"/>
        <v>0</v>
      </c>
      <c r="S57" s="176">
        <f t="shared" ca="1" si="53"/>
        <v>0</v>
      </c>
      <c r="T57" s="176">
        <f t="shared" ca="1" si="54"/>
        <v>0</v>
      </c>
      <c r="U57" s="176">
        <f t="shared" ca="1" si="55"/>
        <v>0</v>
      </c>
      <c r="V57" s="176">
        <f t="shared" ca="1" si="56"/>
        <v>0</v>
      </c>
      <c r="W57" s="177">
        <f t="shared" ca="1" si="57"/>
        <v>600</v>
      </c>
      <c r="X57" s="177">
        <f t="shared" ca="1" si="58"/>
        <v>0</v>
      </c>
      <c r="Y57" s="177">
        <f t="shared" ca="1" si="59"/>
        <v>0</v>
      </c>
      <c r="Z57" s="177">
        <f t="shared" ca="1" si="60"/>
        <v>0</v>
      </c>
      <c r="AA57" s="177">
        <f t="shared" ca="1" si="61"/>
        <v>0</v>
      </c>
      <c r="AB57" s="177">
        <f t="shared" ca="1" si="62"/>
        <v>0</v>
      </c>
      <c r="AC57" s="177">
        <f t="shared" ca="1" si="63"/>
        <v>0</v>
      </c>
      <c r="AD57" s="177">
        <f t="shared" ca="1" si="64"/>
        <v>0</v>
      </c>
      <c r="AE57" s="177">
        <f t="shared" ca="1" si="65"/>
        <v>0</v>
      </c>
      <c r="AF57" s="177">
        <f t="shared" ca="1" si="66"/>
        <v>0</v>
      </c>
      <c r="AG57" s="177">
        <f t="shared" ca="1" si="88"/>
        <v>600</v>
      </c>
      <c r="AH57" s="177">
        <f t="shared" ca="1" si="88"/>
        <v>600</v>
      </c>
      <c r="AI57" s="177">
        <f t="shared" ca="1" si="67"/>
        <v>0</v>
      </c>
      <c r="AJ57" s="177">
        <f t="shared" ca="1" si="68"/>
        <v>0</v>
      </c>
      <c r="AK57" s="177">
        <f t="shared" ca="1" si="69"/>
        <v>0</v>
      </c>
      <c r="AL57" s="177">
        <f t="shared" ca="1" si="70"/>
        <v>0</v>
      </c>
      <c r="AM57" s="177">
        <f t="shared" ca="1" si="71"/>
        <v>0</v>
      </c>
      <c r="AN57" s="177">
        <f t="shared" ca="1" si="72"/>
        <v>0</v>
      </c>
      <c r="AO57" s="177">
        <f t="shared" ca="1" si="73"/>
        <v>0</v>
      </c>
      <c r="AP57" s="177">
        <f t="shared" ca="1" si="74"/>
        <v>0</v>
      </c>
      <c r="AQ57" s="177">
        <f t="shared" ca="1" si="75"/>
        <v>0</v>
      </c>
      <c r="AR57" s="177">
        <f t="shared" ca="1" si="76"/>
        <v>600</v>
      </c>
      <c r="AS57" s="176">
        <f t="shared" ca="1" si="77"/>
        <v>0</v>
      </c>
      <c r="AT57" s="176">
        <f t="shared" ca="1" si="78"/>
        <v>0</v>
      </c>
      <c r="AU57" s="176">
        <f t="shared" ca="1" si="79"/>
        <v>0</v>
      </c>
      <c r="AV57" s="176">
        <f t="shared" ca="1" si="80"/>
        <v>0</v>
      </c>
      <c r="AW57" s="176">
        <f t="shared" ca="1" si="81"/>
        <v>0</v>
      </c>
      <c r="AX57" s="176">
        <f t="shared" ca="1" si="82"/>
        <v>0</v>
      </c>
      <c r="AY57" s="176">
        <f t="shared" ca="1" si="83"/>
        <v>0</v>
      </c>
      <c r="AZ57" s="176">
        <f t="shared" ca="1" si="84"/>
        <v>0</v>
      </c>
      <c r="BA57" s="176">
        <f t="shared" ca="1" si="85"/>
        <v>0</v>
      </c>
      <c r="BB57" s="176">
        <f t="shared" ca="1" si="38"/>
        <v>0</v>
      </c>
      <c r="BC57" s="176">
        <f t="shared" ca="1" si="86"/>
        <v>0</v>
      </c>
    </row>
    <row r="58" spans="1:55">
      <c r="A58" s="1">
        <f t="shared" ca="1" si="47"/>
        <v>0</v>
      </c>
      <c r="B58" s="1" t="s">
        <v>117</v>
      </c>
      <c r="C58" s="1" t="str">
        <f t="shared" ca="1" si="48"/>
        <v/>
      </c>
      <c r="D58" s="1" t="str">
        <f t="shared" ca="1" si="49"/>
        <v/>
      </c>
      <c r="E58" s="173" t="str" cm="1">
        <f t="array" aca="1" ref="E58" ca="1">_xlfn.IFS(OR(ISBLANK(StartDateMonth),ISBLANK(StartDateYear)),"",E57&gt;=DATEVALUE(CompletionMonth&amp;CompletionYear)+1,"",TRUE,EDATE(E57,1))</f>
        <v/>
      </c>
      <c r="F58" s="176">
        <f t="shared" ca="1" si="89"/>
        <v>0</v>
      </c>
      <c r="G58" s="176">
        <f t="shared" ca="1" si="89"/>
        <v>0</v>
      </c>
      <c r="H58" s="176">
        <f t="shared" ca="1" si="89"/>
        <v>0</v>
      </c>
      <c r="I58" s="176">
        <f t="shared" ca="1" si="89"/>
        <v>0</v>
      </c>
      <c r="J58" s="176">
        <f t="shared" ca="1" si="89"/>
        <v>0</v>
      </c>
      <c r="K58" s="176">
        <f t="shared" ca="1" si="89"/>
        <v>0</v>
      </c>
      <c r="L58" s="176">
        <f t="shared" ca="1" si="89"/>
        <v>0</v>
      </c>
      <c r="M58" s="176">
        <f t="shared" ca="1" si="89"/>
        <v>0</v>
      </c>
      <c r="N58" s="176">
        <f t="shared" ca="1" si="89"/>
        <v>0</v>
      </c>
      <c r="O58" s="176">
        <f t="shared" ca="1" si="89"/>
        <v>0</v>
      </c>
      <c r="P58" s="176">
        <f t="shared" ca="1" si="50"/>
        <v>0</v>
      </c>
      <c r="Q58" s="176">
        <f t="shared" ca="1" si="51"/>
        <v>0</v>
      </c>
      <c r="R58" s="176">
        <f t="shared" ca="1" si="52"/>
        <v>0</v>
      </c>
      <c r="S58" s="176">
        <f t="shared" ca="1" si="53"/>
        <v>0</v>
      </c>
      <c r="T58" s="176">
        <f t="shared" ca="1" si="54"/>
        <v>0</v>
      </c>
      <c r="U58" s="176">
        <f t="shared" ca="1" si="55"/>
        <v>0</v>
      </c>
      <c r="V58" s="176">
        <f t="shared" ca="1" si="56"/>
        <v>0</v>
      </c>
      <c r="W58" s="177">
        <f t="shared" ca="1" si="57"/>
        <v>600</v>
      </c>
      <c r="X58" s="177">
        <f t="shared" ca="1" si="58"/>
        <v>0</v>
      </c>
      <c r="Y58" s="177">
        <f t="shared" ca="1" si="59"/>
        <v>0</v>
      </c>
      <c r="Z58" s="177">
        <f t="shared" ca="1" si="60"/>
        <v>0</v>
      </c>
      <c r="AA58" s="177">
        <f t="shared" ca="1" si="61"/>
        <v>0</v>
      </c>
      <c r="AB58" s="177">
        <f t="shared" ca="1" si="62"/>
        <v>0</v>
      </c>
      <c r="AC58" s="177">
        <f t="shared" ca="1" si="63"/>
        <v>0</v>
      </c>
      <c r="AD58" s="177">
        <f t="shared" ca="1" si="64"/>
        <v>0</v>
      </c>
      <c r="AE58" s="177">
        <f t="shared" ca="1" si="65"/>
        <v>0</v>
      </c>
      <c r="AF58" s="177">
        <f t="shared" ca="1" si="66"/>
        <v>0</v>
      </c>
      <c r="AG58" s="177">
        <f t="shared" ca="1" si="88"/>
        <v>600</v>
      </c>
      <c r="AH58" s="177">
        <f t="shared" ca="1" si="88"/>
        <v>600</v>
      </c>
      <c r="AI58" s="177">
        <f t="shared" ca="1" si="67"/>
        <v>0</v>
      </c>
      <c r="AJ58" s="177">
        <f t="shared" ca="1" si="68"/>
        <v>0</v>
      </c>
      <c r="AK58" s="177">
        <f t="shared" ca="1" si="69"/>
        <v>0</v>
      </c>
      <c r="AL58" s="177">
        <f t="shared" ca="1" si="70"/>
        <v>0</v>
      </c>
      <c r="AM58" s="177">
        <f t="shared" ca="1" si="71"/>
        <v>0</v>
      </c>
      <c r="AN58" s="177">
        <f t="shared" ca="1" si="72"/>
        <v>0</v>
      </c>
      <c r="AO58" s="177">
        <f t="shared" ca="1" si="73"/>
        <v>0</v>
      </c>
      <c r="AP58" s="177">
        <f t="shared" ca="1" si="74"/>
        <v>0</v>
      </c>
      <c r="AQ58" s="177">
        <f t="shared" ca="1" si="75"/>
        <v>0</v>
      </c>
      <c r="AR58" s="177">
        <f t="shared" ca="1" si="76"/>
        <v>600</v>
      </c>
      <c r="AS58" s="176">
        <f t="shared" ca="1" si="77"/>
        <v>0</v>
      </c>
      <c r="AT58" s="176">
        <f t="shared" ca="1" si="78"/>
        <v>0</v>
      </c>
      <c r="AU58" s="176">
        <f t="shared" ca="1" si="79"/>
        <v>0</v>
      </c>
      <c r="AV58" s="176">
        <f t="shared" ca="1" si="80"/>
        <v>0</v>
      </c>
      <c r="AW58" s="176">
        <f t="shared" ca="1" si="81"/>
        <v>0</v>
      </c>
      <c r="AX58" s="176">
        <f t="shared" ca="1" si="82"/>
        <v>0</v>
      </c>
      <c r="AY58" s="176">
        <f t="shared" ca="1" si="83"/>
        <v>0</v>
      </c>
      <c r="AZ58" s="176">
        <f t="shared" ca="1" si="84"/>
        <v>0</v>
      </c>
      <c r="BA58" s="176">
        <f t="shared" ca="1" si="85"/>
        <v>0</v>
      </c>
      <c r="BB58" s="176">
        <f t="shared" ca="1" si="38"/>
        <v>0</v>
      </c>
      <c r="BC58" s="176">
        <f t="shared" ca="1" si="86"/>
        <v>0</v>
      </c>
    </row>
    <row r="59" spans="1:55">
      <c r="A59" s="1">
        <f t="shared" ca="1" si="47"/>
        <v>0</v>
      </c>
      <c r="B59" s="1" t="s">
        <v>118</v>
      </c>
      <c r="C59" s="1" t="str">
        <f t="shared" ca="1" si="48"/>
        <v/>
      </c>
      <c r="D59" s="1" t="str">
        <f t="shared" ca="1" si="49"/>
        <v/>
      </c>
      <c r="E59" s="173" t="str" cm="1">
        <f t="array" aca="1" ref="E59" ca="1">_xlfn.IFS(OR(ISBLANK(StartDateMonth),ISBLANK(StartDateYear)),"",E58&gt;=DATEVALUE(CompletionMonth&amp;CompletionYear)+1,"",TRUE,EDATE(E58,1))</f>
        <v/>
      </c>
      <c r="F59" s="176">
        <f t="shared" ca="1" si="89"/>
        <v>0</v>
      </c>
      <c r="G59" s="176">
        <f t="shared" ca="1" si="89"/>
        <v>0</v>
      </c>
      <c r="H59" s="176">
        <f t="shared" ca="1" si="89"/>
        <v>0</v>
      </c>
      <c r="I59" s="176">
        <f t="shared" ca="1" si="89"/>
        <v>0</v>
      </c>
      <c r="J59" s="176">
        <f t="shared" ca="1" si="89"/>
        <v>0</v>
      </c>
      <c r="K59" s="176">
        <f t="shared" ca="1" si="89"/>
        <v>0</v>
      </c>
      <c r="L59" s="176">
        <f t="shared" ca="1" si="89"/>
        <v>0</v>
      </c>
      <c r="M59" s="176">
        <f t="shared" ca="1" si="89"/>
        <v>0</v>
      </c>
      <c r="N59" s="176">
        <f t="shared" ca="1" si="89"/>
        <v>0</v>
      </c>
      <c r="O59" s="176">
        <f t="shared" ca="1" si="89"/>
        <v>0</v>
      </c>
      <c r="P59" s="176">
        <f t="shared" ca="1" si="50"/>
        <v>0</v>
      </c>
      <c r="Q59" s="176">
        <f t="shared" ca="1" si="51"/>
        <v>0</v>
      </c>
      <c r="R59" s="176">
        <f t="shared" ca="1" si="52"/>
        <v>0</v>
      </c>
      <c r="S59" s="176">
        <f t="shared" ca="1" si="53"/>
        <v>0</v>
      </c>
      <c r="T59" s="176">
        <f t="shared" ca="1" si="54"/>
        <v>0</v>
      </c>
      <c r="U59" s="176">
        <f t="shared" ca="1" si="55"/>
        <v>0</v>
      </c>
      <c r="V59" s="176">
        <f t="shared" ca="1" si="56"/>
        <v>0</v>
      </c>
      <c r="W59" s="177">
        <f t="shared" ca="1" si="57"/>
        <v>600</v>
      </c>
      <c r="X59" s="177">
        <f t="shared" ca="1" si="58"/>
        <v>0</v>
      </c>
      <c r="Y59" s="177">
        <f t="shared" ca="1" si="59"/>
        <v>0</v>
      </c>
      <c r="Z59" s="177">
        <f t="shared" ca="1" si="60"/>
        <v>0</v>
      </c>
      <c r="AA59" s="177">
        <f t="shared" ca="1" si="61"/>
        <v>0</v>
      </c>
      <c r="AB59" s="177">
        <f t="shared" ca="1" si="62"/>
        <v>0</v>
      </c>
      <c r="AC59" s="177">
        <f t="shared" ca="1" si="63"/>
        <v>0</v>
      </c>
      <c r="AD59" s="177">
        <f t="shared" ca="1" si="64"/>
        <v>0</v>
      </c>
      <c r="AE59" s="177">
        <f t="shared" ca="1" si="65"/>
        <v>0</v>
      </c>
      <c r="AF59" s="177">
        <f t="shared" ca="1" si="66"/>
        <v>0</v>
      </c>
      <c r="AG59" s="177">
        <f t="shared" ca="1" si="88"/>
        <v>600</v>
      </c>
      <c r="AH59" s="177">
        <f t="shared" ca="1" si="88"/>
        <v>600</v>
      </c>
      <c r="AI59" s="177">
        <f t="shared" ca="1" si="67"/>
        <v>0</v>
      </c>
      <c r="AJ59" s="177">
        <f t="shared" ca="1" si="68"/>
        <v>0</v>
      </c>
      <c r="AK59" s="177">
        <f t="shared" ca="1" si="69"/>
        <v>0</v>
      </c>
      <c r="AL59" s="177">
        <f t="shared" ca="1" si="70"/>
        <v>0</v>
      </c>
      <c r="AM59" s="177">
        <f t="shared" ca="1" si="71"/>
        <v>0</v>
      </c>
      <c r="AN59" s="177">
        <f t="shared" ca="1" si="72"/>
        <v>0</v>
      </c>
      <c r="AO59" s="177">
        <f t="shared" ca="1" si="73"/>
        <v>0</v>
      </c>
      <c r="AP59" s="177">
        <f t="shared" ca="1" si="74"/>
        <v>0</v>
      </c>
      <c r="AQ59" s="177">
        <f t="shared" ca="1" si="75"/>
        <v>0</v>
      </c>
      <c r="AR59" s="177">
        <f t="shared" ca="1" si="76"/>
        <v>600</v>
      </c>
      <c r="AS59" s="176">
        <f t="shared" ca="1" si="77"/>
        <v>0</v>
      </c>
      <c r="AT59" s="176">
        <f t="shared" ca="1" si="78"/>
        <v>0</v>
      </c>
      <c r="AU59" s="176">
        <f t="shared" ca="1" si="79"/>
        <v>0</v>
      </c>
      <c r="AV59" s="176">
        <f t="shared" ca="1" si="80"/>
        <v>0</v>
      </c>
      <c r="AW59" s="176">
        <f t="shared" ca="1" si="81"/>
        <v>0</v>
      </c>
      <c r="AX59" s="176">
        <f t="shared" ca="1" si="82"/>
        <v>0</v>
      </c>
      <c r="AY59" s="176">
        <f t="shared" ca="1" si="83"/>
        <v>0</v>
      </c>
      <c r="AZ59" s="176">
        <f t="shared" ca="1" si="84"/>
        <v>0</v>
      </c>
      <c r="BA59" s="176">
        <f t="shared" ca="1" si="85"/>
        <v>0</v>
      </c>
      <c r="BB59" s="176">
        <f t="shared" ca="1" si="38"/>
        <v>0</v>
      </c>
      <c r="BC59" s="176">
        <f t="shared" ca="1" si="86"/>
        <v>0</v>
      </c>
    </row>
    <row r="60" spans="1:55">
      <c r="A60" s="1">
        <f t="shared" ca="1" si="47"/>
        <v>0</v>
      </c>
      <c r="B60" s="1" t="s">
        <v>119</v>
      </c>
      <c r="C60" s="1" t="str">
        <f t="shared" ca="1" si="48"/>
        <v/>
      </c>
      <c r="D60" s="1" t="str">
        <f t="shared" ca="1" si="49"/>
        <v/>
      </c>
      <c r="E60" s="173" t="str" cm="1">
        <f t="array" aca="1" ref="E60" ca="1">_xlfn.IFS(OR(ISBLANK(StartDateMonth),ISBLANK(StartDateYear)),"",E59&gt;=DATEVALUE(CompletionMonth&amp;CompletionYear)+1,"",TRUE,EDATE(E59,1))</f>
        <v/>
      </c>
      <c r="F60" s="176">
        <f t="shared" ca="1" si="89"/>
        <v>0</v>
      </c>
      <c r="G60" s="176">
        <f t="shared" ca="1" si="89"/>
        <v>0</v>
      </c>
      <c r="H60" s="176">
        <f t="shared" ca="1" si="89"/>
        <v>0</v>
      </c>
      <c r="I60" s="176">
        <f t="shared" ca="1" si="89"/>
        <v>0</v>
      </c>
      <c r="J60" s="176">
        <f t="shared" ca="1" si="89"/>
        <v>0</v>
      </c>
      <c r="K60" s="176">
        <f t="shared" ca="1" si="89"/>
        <v>0</v>
      </c>
      <c r="L60" s="176">
        <f t="shared" ca="1" si="89"/>
        <v>0</v>
      </c>
      <c r="M60" s="176">
        <f t="shared" ca="1" si="89"/>
        <v>0</v>
      </c>
      <c r="N60" s="176">
        <f t="shared" ca="1" si="89"/>
        <v>0</v>
      </c>
      <c r="O60" s="176">
        <f t="shared" ca="1" si="89"/>
        <v>0</v>
      </c>
      <c r="P60" s="176">
        <f t="shared" ca="1" si="50"/>
        <v>0</v>
      </c>
      <c r="Q60" s="176">
        <f t="shared" ca="1" si="51"/>
        <v>0</v>
      </c>
      <c r="R60" s="176">
        <f t="shared" ca="1" si="52"/>
        <v>0</v>
      </c>
      <c r="S60" s="176">
        <f t="shared" ca="1" si="53"/>
        <v>0</v>
      </c>
      <c r="T60" s="176">
        <f t="shared" ca="1" si="54"/>
        <v>0</v>
      </c>
      <c r="U60" s="176">
        <f t="shared" ca="1" si="55"/>
        <v>0</v>
      </c>
      <c r="V60" s="176">
        <f t="shared" ca="1" si="56"/>
        <v>0</v>
      </c>
      <c r="W60" s="177">
        <f t="shared" ca="1" si="57"/>
        <v>600</v>
      </c>
      <c r="X60" s="177">
        <f t="shared" ca="1" si="58"/>
        <v>0</v>
      </c>
      <c r="Y60" s="177">
        <f t="shared" ca="1" si="59"/>
        <v>0</v>
      </c>
      <c r="Z60" s="177">
        <f t="shared" ca="1" si="60"/>
        <v>0</v>
      </c>
      <c r="AA60" s="177">
        <f t="shared" ca="1" si="61"/>
        <v>0</v>
      </c>
      <c r="AB60" s="177">
        <f t="shared" ca="1" si="62"/>
        <v>0</v>
      </c>
      <c r="AC60" s="177">
        <f t="shared" ca="1" si="63"/>
        <v>0</v>
      </c>
      <c r="AD60" s="177">
        <f t="shared" ca="1" si="64"/>
        <v>0</v>
      </c>
      <c r="AE60" s="177">
        <f t="shared" ca="1" si="65"/>
        <v>0</v>
      </c>
      <c r="AF60" s="177">
        <f t="shared" ca="1" si="66"/>
        <v>0</v>
      </c>
      <c r="AG60" s="177">
        <f t="shared" ca="1" si="88"/>
        <v>600</v>
      </c>
      <c r="AH60" s="177">
        <f t="shared" ca="1" si="88"/>
        <v>600</v>
      </c>
      <c r="AI60" s="177">
        <f t="shared" ca="1" si="67"/>
        <v>0</v>
      </c>
      <c r="AJ60" s="177">
        <f t="shared" ca="1" si="68"/>
        <v>0</v>
      </c>
      <c r="AK60" s="177">
        <f t="shared" ca="1" si="69"/>
        <v>0</v>
      </c>
      <c r="AL60" s="177">
        <f t="shared" ca="1" si="70"/>
        <v>0</v>
      </c>
      <c r="AM60" s="177">
        <f t="shared" ca="1" si="71"/>
        <v>0</v>
      </c>
      <c r="AN60" s="177">
        <f t="shared" ca="1" si="72"/>
        <v>0</v>
      </c>
      <c r="AO60" s="177">
        <f t="shared" ca="1" si="73"/>
        <v>0</v>
      </c>
      <c r="AP60" s="177">
        <f t="shared" ca="1" si="74"/>
        <v>0</v>
      </c>
      <c r="AQ60" s="177">
        <f t="shared" ca="1" si="75"/>
        <v>0</v>
      </c>
      <c r="AR60" s="177">
        <f t="shared" ca="1" si="76"/>
        <v>600</v>
      </c>
      <c r="AS60" s="176">
        <f t="shared" ca="1" si="77"/>
        <v>0</v>
      </c>
      <c r="AT60" s="176">
        <f t="shared" ca="1" si="78"/>
        <v>0</v>
      </c>
      <c r="AU60" s="176">
        <f t="shared" ca="1" si="79"/>
        <v>0</v>
      </c>
      <c r="AV60" s="176">
        <f t="shared" ca="1" si="80"/>
        <v>0</v>
      </c>
      <c r="AW60" s="176">
        <f t="shared" ca="1" si="81"/>
        <v>0</v>
      </c>
      <c r="AX60" s="176">
        <f t="shared" ca="1" si="82"/>
        <v>0</v>
      </c>
      <c r="AY60" s="176">
        <f t="shared" ca="1" si="83"/>
        <v>0</v>
      </c>
      <c r="AZ60" s="176">
        <f t="shared" ca="1" si="84"/>
        <v>0</v>
      </c>
      <c r="BA60" s="176">
        <f t="shared" ca="1" si="85"/>
        <v>0</v>
      </c>
      <c r="BB60" s="176">
        <f t="shared" ca="1" si="38"/>
        <v>0</v>
      </c>
      <c r="BC60" s="176">
        <f t="shared" ca="1" si="86"/>
        <v>0</v>
      </c>
    </row>
    <row r="61" spans="1:55">
      <c r="A61" s="1">
        <f t="shared" ca="1" si="47"/>
        <v>0</v>
      </c>
      <c r="B61" s="1" t="s">
        <v>120</v>
      </c>
      <c r="C61" s="1" t="str">
        <f t="shared" ca="1" si="48"/>
        <v/>
      </c>
      <c r="D61" s="1" t="str">
        <f t="shared" ca="1" si="49"/>
        <v/>
      </c>
      <c r="E61" s="173" t="str" cm="1">
        <f t="array" aca="1" ref="E61" ca="1">_xlfn.IFS(OR(ISBLANK(StartDateMonth),ISBLANK(StartDateYear)),"",E60&gt;=DATEVALUE(CompletionMonth&amp;CompletionYear)+1,"",TRUE,EDATE(E60,1))</f>
        <v/>
      </c>
      <c r="F61" s="176">
        <f t="shared" ca="1" si="89"/>
        <v>0</v>
      </c>
      <c r="G61" s="176">
        <f t="shared" ca="1" si="89"/>
        <v>0</v>
      </c>
      <c r="H61" s="176">
        <f t="shared" ca="1" si="89"/>
        <v>0</v>
      </c>
      <c r="I61" s="176">
        <f t="shared" ca="1" si="89"/>
        <v>0</v>
      </c>
      <c r="J61" s="176">
        <f t="shared" ca="1" si="89"/>
        <v>0</v>
      </c>
      <c r="K61" s="176">
        <f t="shared" ca="1" si="89"/>
        <v>0</v>
      </c>
      <c r="L61" s="176">
        <f t="shared" ca="1" si="89"/>
        <v>0</v>
      </c>
      <c r="M61" s="176">
        <f t="shared" ca="1" si="89"/>
        <v>0</v>
      </c>
      <c r="N61" s="176">
        <f t="shared" ca="1" si="89"/>
        <v>0</v>
      </c>
      <c r="O61" s="176">
        <f t="shared" ca="1" si="89"/>
        <v>0</v>
      </c>
      <c r="P61" s="176">
        <f t="shared" ca="1" si="50"/>
        <v>0</v>
      </c>
      <c r="Q61" s="176">
        <f t="shared" ca="1" si="51"/>
        <v>0</v>
      </c>
      <c r="R61" s="176">
        <f t="shared" ca="1" si="52"/>
        <v>0</v>
      </c>
      <c r="S61" s="176">
        <f t="shared" ca="1" si="53"/>
        <v>0</v>
      </c>
      <c r="T61" s="176">
        <f t="shared" ca="1" si="54"/>
        <v>0</v>
      </c>
      <c r="U61" s="176">
        <f t="shared" ca="1" si="55"/>
        <v>0</v>
      </c>
      <c r="V61" s="176">
        <f t="shared" ca="1" si="56"/>
        <v>0</v>
      </c>
      <c r="W61" s="177">
        <f t="shared" ca="1" si="57"/>
        <v>600</v>
      </c>
      <c r="X61" s="177">
        <f t="shared" ca="1" si="58"/>
        <v>0</v>
      </c>
      <c r="Y61" s="177">
        <f t="shared" ca="1" si="59"/>
        <v>0</v>
      </c>
      <c r="Z61" s="177">
        <f t="shared" ca="1" si="60"/>
        <v>0</v>
      </c>
      <c r="AA61" s="177">
        <f t="shared" ca="1" si="61"/>
        <v>0</v>
      </c>
      <c r="AB61" s="177">
        <f t="shared" ca="1" si="62"/>
        <v>0</v>
      </c>
      <c r="AC61" s="177">
        <f t="shared" ca="1" si="63"/>
        <v>0</v>
      </c>
      <c r="AD61" s="177">
        <f t="shared" ca="1" si="64"/>
        <v>0</v>
      </c>
      <c r="AE61" s="177">
        <f t="shared" ca="1" si="65"/>
        <v>0</v>
      </c>
      <c r="AF61" s="177">
        <f t="shared" ca="1" si="66"/>
        <v>0</v>
      </c>
      <c r="AG61" s="177">
        <f t="shared" ca="1" si="88"/>
        <v>600</v>
      </c>
      <c r="AH61" s="177">
        <f t="shared" ca="1" si="88"/>
        <v>600</v>
      </c>
      <c r="AI61" s="177">
        <f t="shared" ca="1" si="67"/>
        <v>0</v>
      </c>
      <c r="AJ61" s="177">
        <f t="shared" ca="1" si="68"/>
        <v>0</v>
      </c>
      <c r="AK61" s="177">
        <f t="shared" ca="1" si="69"/>
        <v>0</v>
      </c>
      <c r="AL61" s="177">
        <f t="shared" ca="1" si="70"/>
        <v>0</v>
      </c>
      <c r="AM61" s="177">
        <f t="shared" ca="1" si="71"/>
        <v>0</v>
      </c>
      <c r="AN61" s="177">
        <f t="shared" ca="1" si="72"/>
        <v>0</v>
      </c>
      <c r="AO61" s="177">
        <f t="shared" ca="1" si="73"/>
        <v>0</v>
      </c>
      <c r="AP61" s="177">
        <f t="shared" ca="1" si="74"/>
        <v>0</v>
      </c>
      <c r="AQ61" s="177">
        <f t="shared" ca="1" si="75"/>
        <v>0</v>
      </c>
      <c r="AR61" s="177">
        <f t="shared" ca="1" si="76"/>
        <v>600</v>
      </c>
      <c r="AS61" s="176">
        <f t="shared" ca="1" si="77"/>
        <v>0</v>
      </c>
      <c r="AT61" s="176">
        <f t="shared" ca="1" si="78"/>
        <v>0</v>
      </c>
      <c r="AU61" s="176">
        <f t="shared" ca="1" si="79"/>
        <v>0</v>
      </c>
      <c r="AV61" s="176">
        <f t="shared" ca="1" si="80"/>
        <v>0</v>
      </c>
      <c r="AW61" s="176">
        <f t="shared" ca="1" si="81"/>
        <v>0</v>
      </c>
      <c r="AX61" s="176">
        <f t="shared" ca="1" si="82"/>
        <v>0</v>
      </c>
      <c r="AY61" s="176">
        <f t="shared" ca="1" si="83"/>
        <v>0</v>
      </c>
      <c r="AZ61" s="176">
        <f t="shared" ca="1" si="84"/>
        <v>0</v>
      </c>
      <c r="BA61" s="176">
        <f t="shared" ca="1" si="85"/>
        <v>0</v>
      </c>
      <c r="BB61" s="176">
        <f t="shared" ca="1" si="38"/>
        <v>0</v>
      </c>
      <c r="BC61" s="176">
        <f t="shared" ca="1" si="86"/>
        <v>0</v>
      </c>
    </row>
    <row r="62" spans="1:55">
      <c r="A62" s="1">
        <f t="shared" ca="1" si="47"/>
        <v>0</v>
      </c>
      <c r="B62" s="1" t="s">
        <v>121</v>
      </c>
      <c r="C62" s="1" t="str">
        <f t="shared" ca="1" si="48"/>
        <v/>
      </c>
      <c r="D62" s="1" t="str">
        <f t="shared" ca="1" si="49"/>
        <v/>
      </c>
      <c r="E62" s="173" t="str" cm="1">
        <f t="array" aca="1" ref="E62" ca="1">_xlfn.IFS(OR(ISBLANK(StartDateMonth),ISBLANK(StartDateYear)),"",E61&gt;=DATEVALUE(CompletionMonth&amp;CompletionYear)+1,"",TRUE,EDATE(E61,1))</f>
        <v/>
      </c>
      <c r="F62" s="176">
        <f t="shared" ca="1" si="89"/>
        <v>0</v>
      </c>
      <c r="G62" s="176">
        <f t="shared" ca="1" si="89"/>
        <v>0</v>
      </c>
      <c r="H62" s="176">
        <f t="shared" ca="1" si="89"/>
        <v>0</v>
      </c>
      <c r="I62" s="176">
        <f t="shared" ca="1" si="89"/>
        <v>0</v>
      </c>
      <c r="J62" s="176">
        <f t="shared" ca="1" si="89"/>
        <v>0</v>
      </c>
      <c r="K62" s="176">
        <f t="shared" ca="1" si="89"/>
        <v>0</v>
      </c>
      <c r="L62" s="176">
        <f t="shared" ca="1" si="89"/>
        <v>0</v>
      </c>
      <c r="M62" s="176">
        <f t="shared" ca="1" si="89"/>
        <v>0</v>
      </c>
      <c r="N62" s="176">
        <f t="shared" ca="1" si="89"/>
        <v>0</v>
      </c>
      <c r="O62" s="176">
        <f t="shared" ca="1" si="89"/>
        <v>0</v>
      </c>
      <c r="P62" s="176">
        <f t="shared" ca="1" si="50"/>
        <v>0</v>
      </c>
      <c r="Q62" s="176">
        <f t="shared" ca="1" si="51"/>
        <v>0</v>
      </c>
      <c r="R62" s="176">
        <f t="shared" ca="1" si="52"/>
        <v>0</v>
      </c>
      <c r="S62" s="176">
        <f t="shared" ca="1" si="53"/>
        <v>0</v>
      </c>
      <c r="T62" s="176">
        <f t="shared" ca="1" si="54"/>
        <v>0</v>
      </c>
      <c r="U62" s="176">
        <f t="shared" ca="1" si="55"/>
        <v>0</v>
      </c>
      <c r="V62" s="176">
        <f t="shared" ca="1" si="56"/>
        <v>0</v>
      </c>
      <c r="W62" s="177">
        <f t="shared" ca="1" si="57"/>
        <v>600</v>
      </c>
      <c r="X62" s="177">
        <f t="shared" ca="1" si="58"/>
        <v>0</v>
      </c>
      <c r="Y62" s="177">
        <f t="shared" ca="1" si="59"/>
        <v>0</v>
      </c>
      <c r="Z62" s="177">
        <f t="shared" ca="1" si="60"/>
        <v>0</v>
      </c>
      <c r="AA62" s="177">
        <f t="shared" ca="1" si="61"/>
        <v>0</v>
      </c>
      <c r="AB62" s="177">
        <f t="shared" ca="1" si="62"/>
        <v>0</v>
      </c>
      <c r="AC62" s="177">
        <f t="shared" ca="1" si="63"/>
        <v>0</v>
      </c>
      <c r="AD62" s="177">
        <f t="shared" ca="1" si="64"/>
        <v>0</v>
      </c>
      <c r="AE62" s="177">
        <f t="shared" ca="1" si="65"/>
        <v>0</v>
      </c>
      <c r="AF62" s="177">
        <f t="shared" ca="1" si="66"/>
        <v>0</v>
      </c>
      <c r="AG62" s="177">
        <f t="shared" ca="1" si="88"/>
        <v>600</v>
      </c>
      <c r="AH62" s="177">
        <f t="shared" ca="1" si="88"/>
        <v>600</v>
      </c>
      <c r="AI62" s="177">
        <f t="shared" ca="1" si="67"/>
        <v>0</v>
      </c>
      <c r="AJ62" s="177">
        <f t="shared" ca="1" si="68"/>
        <v>0</v>
      </c>
      <c r="AK62" s="177">
        <f t="shared" ca="1" si="69"/>
        <v>0</v>
      </c>
      <c r="AL62" s="177">
        <f t="shared" ca="1" si="70"/>
        <v>0</v>
      </c>
      <c r="AM62" s="177">
        <f t="shared" ca="1" si="71"/>
        <v>0</v>
      </c>
      <c r="AN62" s="177">
        <f t="shared" ca="1" si="72"/>
        <v>0</v>
      </c>
      <c r="AO62" s="177">
        <f t="shared" ca="1" si="73"/>
        <v>0</v>
      </c>
      <c r="AP62" s="177">
        <f t="shared" ca="1" si="74"/>
        <v>0</v>
      </c>
      <c r="AQ62" s="177">
        <f t="shared" ca="1" si="75"/>
        <v>0</v>
      </c>
      <c r="AR62" s="177">
        <f t="shared" ca="1" si="76"/>
        <v>600</v>
      </c>
      <c r="AS62" s="176">
        <f t="shared" ca="1" si="77"/>
        <v>0</v>
      </c>
      <c r="AT62" s="176">
        <f t="shared" ca="1" si="78"/>
        <v>0</v>
      </c>
      <c r="AU62" s="176">
        <f t="shared" ca="1" si="79"/>
        <v>0</v>
      </c>
      <c r="AV62" s="176">
        <f t="shared" ca="1" si="80"/>
        <v>0</v>
      </c>
      <c r="AW62" s="176">
        <f t="shared" ca="1" si="81"/>
        <v>0</v>
      </c>
      <c r="AX62" s="176">
        <f t="shared" ca="1" si="82"/>
        <v>0</v>
      </c>
      <c r="AY62" s="176">
        <f t="shared" ca="1" si="83"/>
        <v>0</v>
      </c>
      <c r="AZ62" s="176">
        <f t="shared" ca="1" si="84"/>
        <v>0</v>
      </c>
      <c r="BA62" s="176">
        <f t="shared" ca="1" si="85"/>
        <v>0</v>
      </c>
      <c r="BB62" s="176">
        <f t="shared" ca="1" si="38"/>
        <v>0</v>
      </c>
      <c r="BC62" s="176">
        <f t="shared" ca="1" si="86"/>
        <v>0</v>
      </c>
    </row>
    <row r="63" spans="1:55">
      <c r="A63" s="1">
        <f t="shared" ca="1" si="47"/>
        <v>0</v>
      </c>
      <c r="B63" s="1" t="s">
        <v>122</v>
      </c>
      <c r="C63" s="1" t="str">
        <f t="shared" ca="1" si="48"/>
        <v/>
      </c>
      <c r="D63" s="1" t="str">
        <f t="shared" ca="1" si="49"/>
        <v/>
      </c>
      <c r="E63" s="173" t="str" cm="1">
        <f t="array" aca="1" ref="E63" ca="1">_xlfn.IFS(OR(ISBLANK(StartDateMonth),ISBLANK(StartDateYear)),"",E62&gt;=DATEVALUE(CompletionMonth&amp;CompletionYear)+1,"",TRUE,EDATE(E62,1))</f>
        <v/>
      </c>
      <c r="F63" s="176">
        <f t="shared" ca="1" si="89"/>
        <v>0</v>
      </c>
      <c r="G63" s="176">
        <f t="shared" ca="1" si="89"/>
        <v>0</v>
      </c>
      <c r="H63" s="176">
        <f t="shared" ca="1" si="89"/>
        <v>0</v>
      </c>
      <c r="I63" s="176">
        <f t="shared" ca="1" si="89"/>
        <v>0</v>
      </c>
      <c r="J63" s="176">
        <f t="shared" ca="1" si="89"/>
        <v>0</v>
      </c>
      <c r="K63" s="176">
        <f t="shared" ca="1" si="89"/>
        <v>0</v>
      </c>
      <c r="L63" s="176">
        <f t="shared" ca="1" si="89"/>
        <v>0</v>
      </c>
      <c r="M63" s="176">
        <f t="shared" ca="1" si="89"/>
        <v>0</v>
      </c>
      <c r="N63" s="176">
        <f t="shared" ca="1" si="89"/>
        <v>0</v>
      </c>
      <c r="O63" s="176">
        <f t="shared" ca="1" si="89"/>
        <v>0</v>
      </c>
      <c r="P63" s="176">
        <f t="shared" ca="1" si="50"/>
        <v>0</v>
      </c>
      <c r="Q63" s="176">
        <f t="shared" ca="1" si="51"/>
        <v>0</v>
      </c>
      <c r="R63" s="176">
        <f t="shared" ca="1" si="52"/>
        <v>0</v>
      </c>
      <c r="S63" s="176">
        <f t="shared" ca="1" si="53"/>
        <v>0</v>
      </c>
      <c r="T63" s="176">
        <f t="shared" ca="1" si="54"/>
        <v>0</v>
      </c>
      <c r="U63" s="176">
        <f t="shared" ca="1" si="55"/>
        <v>0</v>
      </c>
      <c r="V63" s="176">
        <f t="shared" ca="1" si="56"/>
        <v>0</v>
      </c>
      <c r="W63" s="177">
        <f t="shared" ca="1" si="57"/>
        <v>600</v>
      </c>
      <c r="X63" s="177">
        <f t="shared" ca="1" si="58"/>
        <v>0</v>
      </c>
      <c r="Y63" s="177">
        <f t="shared" ca="1" si="59"/>
        <v>0</v>
      </c>
      <c r="Z63" s="177">
        <f t="shared" ca="1" si="60"/>
        <v>0</v>
      </c>
      <c r="AA63" s="177">
        <f t="shared" ca="1" si="61"/>
        <v>0</v>
      </c>
      <c r="AB63" s="177">
        <f t="shared" ca="1" si="62"/>
        <v>0</v>
      </c>
      <c r="AC63" s="177">
        <f t="shared" ca="1" si="63"/>
        <v>0</v>
      </c>
      <c r="AD63" s="177">
        <f t="shared" ca="1" si="64"/>
        <v>0</v>
      </c>
      <c r="AE63" s="177">
        <f t="shared" ca="1" si="65"/>
        <v>0</v>
      </c>
      <c r="AF63" s="177">
        <f t="shared" ca="1" si="66"/>
        <v>0</v>
      </c>
      <c r="AG63" s="177">
        <f t="shared" ca="1" si="88"/>
        <v>600</v>
      </c>
      <c r="AH63" s="177">
        <f t="shared" ca="1" si="88"/>
        <v>600</v>
      </c>
      <c r="AI63" s="177">
        <f t="shared" ca="1" si="67"/>
        <v>0</v>
      </c>
      <c r="AJ63" s="177">
        <f t="shared" ca="1" si="68"/>
        <v>0</v>
      </c>
      <c r="AK63" s="177">
        <f t="shared" ca="1" si="69"/>
        <v>0</v>
      </c>
      <c r="AL63" s="177">
        <f t="shared" ca="1" si="70"/>
        <v>0</v>
      </c>
      <c r="AM63" s="177">
        <f t="shared" ca="1" si="71"/>
        <v>0</v>
      </c>
      <c r="AN63" s="177">
        <f t="shared" ca="1" si="72"/>
        <v>0</v>
      </c>
      <c r="AO63" s="177">
        <f t="shared" ca="1" si="73"/>
        <v>0</v>
      </c>
      <c r="AP63" s="177">
        <f t="shared" ca="1" si="74"/>
        <v>0</v>
      </c>
      <c r="AQ63" s="177">
        <f t="shared" ca="1" si="75"/>
        <v>0</v>
      </c>
      <c r="AR63" s="177">
        <f t="shared" ca="1" si="76"/>
        <v>600</v>
      </c>
      <c r="AS63" s="176">
        <f t="shared" ca="1" si="77"/>
        <v>0</v>
      </c>
      <c r="AT63" s="176">
        <f t="shared" ca="1" si="78"/>
        <v>0</v>
      </c>
      <c r="AU63" s="176">
        <f t="shared" ca="1" si="79"/>
        <v>0</v>
      </c>
      <c r="AV63" s="176">
        <f t="shared" ca="1" si="80"/>
        <v>0</v>
      </c>
      <c r="AW63" s="176">
        <f t="shared" ca="1" si="81"/>
        <v>0</v>
      </c>
      <c r="AX63" s="176">
        <f t="shared" ca="1" si="82"/>
        <v>0</v>
      </c>
      <c r="AY63" s="176">
        <f t="shared" ca="1" si="83"/>
        <v>0</v>
      </c>
      <c r="AZ63" s="176">
        <f t="shared" ca="1" si="84"/>
        <v>0</v>
      </c>
      <c r="BA63" s="176">
        <f t="shared" ca="1" si="85"/>
        <v>0</v>
      </c>
      <c r="BB63" s="176">
        <f t="shared" ca="1" si="38"/>
        <v>0</v>
      </c>
      <c r="BC63" s="176">
        <f t="shared" ca="1" si="86"/>
        <v>0</v>
      </c>
    </row>
    <row r="64" spans="1:55">
      <c r="A64" s="1">
        <f t="shared" ca="1" si="47"/>
        <v>0</v>
      </c>
      <c r="B64" s="1" t="s">
        <v>123</v>
      </c>
      <c r="C64" s="1" t="str">
        <f t="shared" ca="1" si="48"/>
        <v/>
      </c>
      <c r="D64" s="1" t="str">
        <f t="shared" ca="1" si="49"/>
        <v/>
      </c>
      <c r="E64" s="173" t="str" cm="1">
        <f t="array" aca="1" ref="E64" ca="1">_xlfn.IFS(OR(ISBLANK(StartDateMonth),ISBLANK(StartDateYear)),"",E63&gt;=DATEVALUE(CompletionMonth&amp;CompletionYear)+1,"",TRUE,EDATE(E63,1))</f>
        <v/>
      </c>
      <c r="F64" s="176">
        <f t="shared" ref="F64:O73" ca="1" si="90">IF($A64=1,INDEX(DevelopmentCosts,MATCH(F$3,TotalDevCostsList,0),MATCH($B64,DevelopmentCostTitle,0)),0)</f>
        <v>0</v>
      </c>
      <c r="G64" s="176">
        <f t="shared" ca="1" si="90"/>
        <v>0</v>
      </c>
      <c r="H64" s="176">
        <f t="shared" ca="1" si="90"/>
        <v>0</v>
      </c>
      <c r="I64" s="176">
        <f t="shared" ca="1" si="90"/>
        <v>0</v>
      </c>
      <c r="J64" s="176">
        <f t="shared" ca="1" si="90"/>
        <v>0</v>
      </c>
      <c r="K64" s="176">
        <f t="shared" ca="1" si="90"/>
        <v>0</v>
      </c>
      <c r="L64" s="176">
        <f t="shared" ca="1" si="90"/>
        <v>0</v>
      </c>
      <c r="M64" s="176">
        <f t="shared" ca="1" si="90"/>
        <v>0</v>
      </c>
      <c r="N64" s="176">
        <f t="shared" ca="1" si="90"/>
        <v>0</v>
      </c>
      <c r="O64" s="176">
        <f t="shared" ca="1" si="90"/>
        <v>0</v>
      </c>
      <c r="P64" s="176">
        <f t="shared" ca="1" si="50"/>
        <v>0</v>
      </c>
      <c r="Q64" s="176">
        <f t="shared" ca="1" si="51"/>
        <v>0</v>
      </c>
      <c r="R64" s="176">
        <f t="shared" ca="1" si="52"/>
        <v>0</v>
      </c>
      <c r="S64" s="176">
        <f t="shared" ca="1" si="53"/>
        <v>0</v>
      </c>
      <c r="T64" s="176">
        <f t="shared" ca="1" si="54"/>
        <v>0</v>
      </c>
      <c r="U64" s="176">
        <f t="shared" ca="1" si="55"/>
        <v>0</v>
      </c>
      <c r="V64" s="176">
        <f t="shared" ca="1" si="56"/>
        <v>0</v>
      </c>
      <c r="W64" s="177">
        <f t="shared" ca="1" si="57"/>
        <v>600</v>
      </c>
      <c r="X64" s="177">
        <f t="shared" ca="1" si="58"/>
        <v>0</v>
      </c>
      <c r="Y64" s="177">
        <f t="shared" ca="1" si="59"/>
        <v>0</v>
      </c>
      <c r="Z64" s="177">
        <f t="shared" ca="1" si="60"/>
        <v>0</v>
      </c>
      <c r="AA64" s="177">
        <f t="shared" ca="1" si="61"/>
        <v>0</v>
      </c>
      <c r="AB64" s="177">
        <f t="shared" ca="1" si="62"/>
        <v>0</v>
      </c>
      <c r="AC64" s="177">
        <f t="shared" ca="1" si="63"/>
        <v>0</v>
      </c>
      <c r="AD64" s="177">
        <f t="shared" ca="1" si="64"/>
        <v>0</v>
      </c>
      <c r="AE64" s="177">
        <f t="shared" ca="1" si="65"/>
        <v>0</v>
      </c>
      <c r="AF64" s="177">
        <f t="shared" ca="1" si="66"/>
        <v>0</v>
      </c>
      <c r="AG64" s="177">
        <f t="shared" ref="AG64:AH83" ca="1" si="91">COUNTIF(CategorisedSaleKey,(OpenMarketHousing&amp;$C64&amp;$D64))</f>
        <v>600</v>
      </c>
      <c r="AH64" s="177">
        <f t="shared" ca="1" si="91"/>
        <v>600</v>
      </c>
      <c r="AI64" s="177">
        <f t="shared" ca="1" si="67"/>
        <v>0</v>
      </c>
      <c r="AJ64" s="177">
        <f t="shared" ca="1" si="68"/>
        <v>0</v>
      </c>
      <c r="AK64" s="177">
        <f t="shared" ca="1" si="69"/>
        <v>0</v>
      </c>
      <c r="AL64" s="177">
        <f t="shared" ca="1" si="70"/>
        <v>0</v>
      </c>
      <c r="AM64" s="177">
        <f t="shared" ca="1" si="71"/>
        <v>0</v>
      </c>
      <c r="AN64" s="177">
        <f t="shared" ca="1" si="72"/>
        <v>0</v>
      </c>
      <c r="AO64" s="177">
        <f t="shared" ca="1" si="73"/>
        <v>0</v>
      </c>
      <c r="AP64" s="177">
        <f t="shared" ca="1" si="74"/>
        <v>0</v>
      </c>
      <c r="AQ64" s="177">
        <f t="shared" ca="1" si="75"/>
        <v>0</v>
      </c>
      <c r="AR64" s="177">
        <f t="shared" ca="1" si="76"/>
        <v>600</v>
      </c>
      <c r="AS64" s="176">
        <f t="shared" ca="1" si="77"/>
        <v>0</v>
      </c>
      <c r="AT64" s="176">
        <f t="shared" ca="1" si="78"/>
        <v>0</v>
      </c>
      <c r="AU64" s="176">
        <f t="shared" ca="1" si="79"/>
        <v>0</v>
      </c>
      <c r="AV64" s="176">
        <f t="shared" ca="1" si="80"/>
        <v>0</v>
      </c>
      <c r="AW64" s="176">
        <f t="shared" ca="1" si="81"/>
        <v>0</v>
      </c>
      <c r="AX64" s="176">
        <f t="shared" ca="1" si="82"/>
        <v>0</v>
      </c>
      <c r="AY64" s="176">
        <f t="shared" ca="1" si="83"/>
        <v>0</v>
      </c>
      <c r="AZ64" s="176">
        <f t="shared" ca="1" si="84"/>
        <v>0</v>
      </c>
      <c r="BA64" s="176">
        <f t="shared" ca="1" si="85"/>
        <v>0</v>
      </c>
      <c r="BB64" s="176">
        <f t="shared" ca="1" si="38"/>
        <v>0</v>
      </c>
      <c r="BC64" s="176">
        <f t="shared" ca="1" si="86"/>
        <v>0</v>
      </c>
    </row>
    <row r="65" spans="1:55">
      <c r="A65" s="1">
        <f t="shared" ca="1" si="47"/>
        <v>0</v>
      </c>
      <c r="B65" s="1" t="s">
        <v>124</v>
      </c>
      <c r="C65" s="1" t="str">
        <f t="shared" ca="1" si="48"/>
        <v/>
      </c>
      <c r="D65" s="1" t="str">
        <f t="shared" ca="1" si="49"/>
        <v/>
      </c>
      <c r="E65" s="173" t="str" cm="1">
        <f t="array" aca="1" ref="E65" ca="1">_xlfn.IFS(OR(ISBLANK(StartDateMonth),ISBLANK(StartDateYear)),"",E64&gt;=DATEVALUE(CompletionMonth&amp;CompletionYear)+1,"",TRUE,EDATE(E64,1))</f>
        <v/>
      </c>
      <c r="F65" s="176">
        <f t="shared" ca="1" si="90"/>
        <v>0</v>
      </c>
      <c r="G65" s="176">
        <f t="shared" ca="1" si="90"/>
        <v>0</v>
      </c>
      <c r="H65" s="176">
        <f t="shared" ca="1" si="90"/>
        <v>0</v>
      </c>
      <c r="I65" s="176">
        <f t="shared" ca="1" si="90"/>
        <v>0</v>
      </c>
      <c r="J65" s="176">
        <f t="shared" ca="1" si="90"/>
        <v>0</v>
      </c>
      <c r="K65" s="176">
        <f t="shared" ca="1" si="90"/>
        <v>0</v>
      </c>
      <c r="L65" s="176">
        <f t="shared" ca="1" si="90"/>
        <v>0</v>
      </c>
      <c r="M65" s="176">
        <f t="shared" ca="1" si="90"/>
        <v>0</v>
      </c>
      <c r="N65" s="176">
        <f t="shared" ca="1" si="90"/>
        <v>0</v>
      </c>
      <c r="O65" s="176">
        <f t="shared" ca="1" si="90"/>
        <v>0</v>
      </c>
      <c r="P65" s="176">
        <f t="shared" ca="1" si="50"/>
        <v>0</v>
      </c>
      <c r="Q65" s="176">
        <f t="shared" ca="1" si="51"/>
        <v>0</v>
      </c>
      <c r="R65" s="176">
        <f t="shared" ca="1" si="52"/>
        <v>0</v>
      </c>
      <c r="S65" s="176">
        <f t="shared" ca="1" si="53"/>
        <v>0</v>
      </c>
      <c r="T65" s="176">
        <f t="shared" ca="1" si="54"/>
        <v>0</v>
      </c>
      <c r="U65" s="176">
        <f t="shared" ca="1" si="55"/>
        <v>0</v>
      </c>
      <c r="V65" s="176">
        <f t="shared" ca="1" si="56"/>
        <v>0</v>
      </c>
      <c r="W65" s="177">
        <f t="shared" ca="1" si="57"/>
        <v>600</v>
      </c>
      <c r="X65" s="177">
        <f t="shared" ca="1" si="58"/>
        <v>0</v>
      </c>
      <c r="Y65" s="177">
        <f t="shared" ca="1" si="59"/>
        <v>0</v>
      </c>
      <c r="Z65" s="177">
        <f t="shared" ca="1" si="60"/>
        <v>0</v>
      </c>
      <c r="AA65" s="177">
        <f t="shared" ca="1" si="61"/>
        <v>0</v>
      </c>
      <c r="AB65" s="177">
        <f t="shared" ca="1" si="62"/>
        <v>0</v>
      </c>
      <c r="AC65" s="177">
        <f t="shared" ca="1" si="63"/>
        <v>0</v>
      </c>
      <c r="AD65" s="177">
        <f t="shared" ca="1" si="64"/>
        <v>0</v>
      </c>
      <c r="AE65" s="177">
        <f t="shared" ca="1" si="65"/>
        <v>0</v>
      </c>
      <c r="AF65" s="177">
        <f t="shared" ca="1" si="66"/>
        <v>0</v>
      </c>
      <c r="AG65" s="177">
        <f t="shared" ca="1" si="91"/>
        <v>600</v>
      </c>
      <c r="AH65" s="177">
        <f t="shared" ca="1" si="91"/>
        <v>600</v>
      </c>
      <c r="AI65" s="177">
        <f t="shared" ca="1" si="67"/>
        <v>0</v>
      </c>
      <c r="AJ65" s="177">
        <f t="shared" ca="1" si="68"/>
        <v>0</v>
      </c>
      <c r="AK65" s="177">
        <f t="shared" ca="1" si="69"/>
        <v>0</v>
      </c>
      <c r="AL65" s="177">
        <f t="shared" ca="1" si="70"/>
        <v>0</v>
      </c>
      <c r="AM65" s="177">
        <f t="shared" ca="1" si="71"/>
        <v>0</v>
      </c>
      <c r="AN65" s="177">
        <f t="shared" ca="1" si="72"/>
        <v>0</v>
      </c>
      <c r="AO65" s="177">
        <f t="shared" ca="1" si="73"/>
        <v>0</v>
      </c>
      <c r="AP65" s="177">
        <f t="shared" ca="1" si="74"/>
        <v>0</v>
      </c>
      <c r="AQ65" s="177">
        <f t="shared" ca="1" si="75"/>
        <v>0</v>
      </c>
      <c r="AR65" s="177">
        <f t="shared" ca="1" si="76"/>
        <v>600</v>
      </c>
      <c r="AS65" s="176">
        <f t="shared" ca="1" si="77"/>
        <v>0</v>
      </c>
      <c r="AT65" s="176">
        <f t="shared" ca="1" si="78"/>
        <v>0</v>
      </c>
      <c r="AU65" s="176">
        <f t="shared" ca="1" si="79"/>
        <v>0</v>
      </c>
      <c r="AV65" s="176">
        <f t="shared" ca="1" si="80"/>
        <v>0</v>
      </c>
      <c r="AW65" s="176">
        <f t="shared" ca="1" si="81"/>
        <v>0</v>
      </c>
      <c r="AX65" s="176">
        <f t="shared" ca="1" si="82"/>
        <v>0</v>
      </c>
      <c r="AY65" s="176">
        <f t="shared" ca="1" si="83"/>
        <v>0</v>
      </c>
      <c r="AZ65" s="176">
        <f t="shared" ca="1" si="84"/>
        <v>0</v>
      </c>
      <c r="BA65" s="176">
        <f t="shared" ca="1" si="85"/>
        <v>0</v>
      </c>
      <c r="BB65" s="176">
        <f t="shared" ca="1" si="38"/>
        <v>0</v>
      </c>
      <c r="BC65" s="176">
        <f t="shared" ca="1" si="86"/>
        <v>0</v>
      </c>
    </row>
    <row r="66" spans="1:55">
      <c r="A66" s="1">
        <f t="shared" ca="1" si="47"/>
        <v>0</v>
      </c>
      <c r="B66" s="1" t="s">
        <v>125</v>
      </c>
      <c r="C66" s="1" t="str">
        <f t="shared" ca="1" si="48"/>
        <v/>
      </c>
      <c r="D66" s="1" t="str">
        <f t="shared" ca="1" si="49"/>
        <v/>
      </c>
      <c r="E66" s="173" t="str" cm="1">
        <f t="array" aca="1" ref="E66" ca="1">_xlfn.IFS(OR(ISBLANK(StartDateMonth),ISBLANK(StartDateYear)),"",E65&gt;=DATEVALUE(CompletionMonth&amp;CompletionYear)+1,"",TRUE,EDATE(E65,1))</f>
        <v/>
      </c>
      <c r="F66" s="176">
        <f t="shared" ca="1" si="90"/>
        <v>0</v>
      </c>
      <c r="G66" s="176">
        <f t="shared" ca="1" si="90"/>
        <v>0</v>
      </c>
      <c r="H66" s="176">
        <f t="shared" ca="1" si="90"/>
        <v>0</v>
      </c>
      <c r="I66" s="176">
        <f t="shared" ca="1" si="90"/>
        <v>0</v>
      </c>
      <c r="J66" s="176">
        <f t="shared" ca="1" si="90"/>
        <v>0</v>
      </c>
      <c r="K66" s="176">
        <f t="shared" ca="1" si="90"/>
        <v>0</v>
      </c>
      <c r="L66" s="176">
        <f t="shared" ca="1" si="90"/>
        <v>0</v>
      </c>
      <c r="M66" s="176">
        <f t="shared" ca="1" si="90"/>
        <v>0</v>
      </c>
      <c r="N66" s="176">
        <f t="shared" ca="1" si="90"/>
        <v>0</v>
      </c>
      <c r="O66" s="176">
        <f t="shared" ca="1" si="90"/>
        <v>0</v>
      </c>
      <c r="P66" s="176">
        <f t="shared" ca="1" si="50"/>
        <v>0</v>
      </c>
      <c r="Q66" s="176">
        <f t="shared" ca="1" si="51"/>
        <v>0</v>
      </c>
      <c r="R66" s="176">
        <f t="shared" ca="1" si="52"/>
        <v>0</v>
      </c>
      <c r="S66" s="176">
        <f t="shared" ca="1" si="53"/>
        <v>0</v>
      </c>
      <c r="T66" s="176">
        <f t="shared" ca="1" si="54"/>
        <v>0</v>
      </c>
      <c r="U66" s="176">
        <f t="shared" ca="1" si="55"/>
        <v>0</v>
      </c>
      <c r="V66" s="176">
        <f t="shared" ca="1" si="56"/>
        <v>0</v>
      </c>
      <c r="W66" s="177">
        <f t="shared" ca="1" si="57"/>
        <v>600</v>
      </c>
      <c r="X66" s="177">
        <f t="shared" ca="1" si="58"/>
        <v>0</v>
      </c>
      <c r="Y66" s="177">
        <f t="shared" ca="1" si="59"/>
        <v>0</v>
      </c>
      <c r="Z66" s="177">
        <f t="shared" ca="1" si="60"/>
        <v>0</v>
      </c>
      <c r="AA66" s="177">
        <f t="shared" ca="1" si="61"/>
        <v>0</v>
      </c>
      <c r="AB66" s="177">
        <f t="shared" ca="1" si="62"/>
        <v>0</v>
      </c>
      <c r="AC66" s="177">
        <f t="shared" ca="1" si="63"/>
        <v>0</v>
      </c>
      <c r="AD66" s="177">
        <f t="shared" ca="1" si="64"/>
        <v>0</v>
      </c>
      <c r="AE66" s="177">
        <f t="shared" ca="1" si="65"/>
        <v>0</v>
      </c>
      <c r="AF66" s="177">
        <f t="shared" ca="1" si="66"/>
        <v>0</v>
      </c>
      <c r="AG66" s="177">
        <f t="shared" ca="1" si="91"/>
        <v>600</v>
      </c>
      <c r="AH66" s="177">
        <f t="shared" ca="1" si="91"/>
        <v>600</v>
      </c>
      <c r="AI66" s="177">
        <f t="shared" ca="1" si="67"/>
        <v>0</v>
      </c>
      <c r="AJ66" s="177">
        <f t="shared" ca="1" si="68"/>
        <v>0</v>
      </c>
      <c r="AK66" s="177">
        <f t="shared" ca="1" si="69"/>
        <v>0</v>
      </c>
      <c r="AL66" s="177">
        <f t="shared" ca="1" si="70"/>
        <v>0</v>
      </c>
      <c r="AM66" s="177">
        <f t="shared" ca="1" si="71"/>
        <v>0</v>
      </c>
      <c r="AN66" s="177">
        <f t="shared" ca="1" si="72"/>
        <v>0</v>
      </c>
      <c r="AO66" s="177">
        <f t="shared" ca="1" si="73"/>
        <v>0</v>
      </c>
      <c r="AP66" s="177">
        <f t="shared" ca="1" si="74"/>
        <v>0</v>
      </c>
      <c r="AQ66" s="177">
        <f t="shared" ca="1" si="75"/>
        <v>0</v>
      </c>
      <c r="AR66" s="177">
        <f t="shared" ca="1" si="76"/>
        <v>600</v>
      </c>
      <c r="AS66" s="176">
        <f t="shared" ca="1" si="77"/>
        <v>0</v>
      </c>
      <c r="AT66" s="176">
        <f t="shared" ca="1" si="78"/>
        <v>0</v>
      </c>
      <c r="AU66" s="176">
        <f t="shared" ca="1" si="79"/>
        <v>0</v>
      </c>
      <c r="AV66" s="176">
        <f t="shared" ca="1" si="80"/>
        <v>0</v>
      </c>
      <c r="AW66" s="176">
        <f t="shared" ca="1" si="81"/>
        <v>0</v>
      </c>
      <c r="AX66" s="176">
        <f t="shared" ca="1" si="82"/>
        <v>0</v>
      </c>
      <c r="AY66" s="176">
        <f t="shared" ca="1" si="83"/>
        <v>0</v>
      </c>
      <c r="AZ66" s="176">
        <f t="shared" ca="1" si="84"/>
        <v>0</v>
      </c>
      <c r="BA66" s="176">
        <f t="shared" ca="1" si="85"/>
        <v>0</v>
      </c>
      <c r="BB66" s="176">
        <f t="shared" ca="1" si="38"/>
        <v>0</v>
      </c>
      <c r="BC66" s="176">
        <f t="shared" ca="1" si="86"/>
        <v>0</v>
      </c>
    </row>
    <row r="67" spans="1:55">
      <c r="A67" s="1">
        <f t="shared" ca="1" si="47"/>
        <v>0</v>
      </c>
      <c r="B67" s="1" t="s">
        <v>126</v>
      </c>
      <c r="C67" s="1" t="str">
        <f t="shared" ca="1" si="48"/>
        <v/>
      </c>
      <c r="D67" s="1" t="str">
        <f t="shared" ca="1" si="49"/>
        <v/>
      </c>
      <c r="E67" s="173" t="str" cm="1">
        <f t="array" aca="1" ref="E67" ca="1">_xlfn.IFS(OR(ISBLANK(StartDateMonth),ISBLANK(StartDateYear)),"",E66&gt;=DATEVALUE(CompletionMonth&amp;CompletionYear)+1,"",TRUE,EDATE(E66,1))</f>
        <v/>
      </c>
      <c r="F67" s="176">
        <f t="shared" ca="1" si="90"/>
        <v>0</v>
      </c>
      <c r="G67" s="176">
        <f t="shared" ca="1" si="90"/>
        <v>0</v>
      </c>
      <c r="H67" s="176">
        <f t="shared" ca="1" si="90"/>
        <v>0</v>
      </c>
      <c r="I67" s="176">
        <f t="shared" ca="1" si="90"/>
        <v>0</v>
      </c>
      <c r="J67" s="176">
        <f t="shared" ca="1" si="90"/>
        <v>0</v>
      </c>
      <c r="K67" s="176">
        <f t="shared" ca="1" si="90"/>
        <v>0</v>
      </c>
      <c r="L67" s="176">
        <f t="shared" ca="1" si="90"/>
        <v>0</v>
      </c>
      <c r="M67" s="176">
        <f t="shared" ca="1" si="90"/>
        <v>0</v>
      </c>
      <c r="N67" s="176">
        <f t="shared" ca="1" si="90"/>
        <v>0</v>
      </c>
      <c r="O67" s="176">
        <f t="shared" ca="1" si="90"/>
        <v>0</v>
      </c>
      <c r="P67" s="176">
        <f t="shared" ca="1" si="50"/>
        <v>0</v>
      </c>
      <c r="Q67" s="176">
        <f t="shared" ca="1" si="51"/>
        <v>0</v>
      </c>
      <c r="R67" s="176">
        <f t="shared" ca="1" si="52"/>
        <v>0</v>
      </c>
      <c r="S67" s="176">
        <f t="shared" ca="1" si="53"/>
        <v>0</v>
      </c>
      <c r="T67" s="176">
        <f t="shared" ca="1" si="54"/>
        <v>0</v>
      </c>
      <c r="U67" s="176">
        <f t="shared" ca="1" si="55"/>
        <v>0</v>
      </c>
      <c r="V67" s="176">
        <f t="shared" ca="1" si="56"/>
        <v>0</v>
      </c>
      <c r="W67" s="177">
        <f t="shared" ca="1" si="57"/>
        <v>600</v>
      </c>
      <c r="X67" s="177">
        <f t="shared" ca="1" si="58"/>
        <v>0</v>
      </c>
      <c r="Y67" s="177">
        <f t="shared" ca="1" si="59"/>
        <v>0</v>
      </c>
      <c r="Z67" s="177">
        <f t="shared" ca="1" si="60"/>
        <v>0</v>
      </c>
      <c r="AA67" s="177">
        <f t="shared" ca="1" si="61"/>
        <v>0</v>
      </c>
      <c r="AB67" s="177">
        <f t="shared" ca="1" si="62"/>
        <v>0</v>
      </c>
      <c r="AC67" s="177">
        <f t="shared" ca="1" si="63"/>
        <v>0</v>
      </c>
      <c r="AD67" s="177">
        <f t="shared" ca="1" si="64"/>
        <v>0</v>
      </c>
      <c r="AE67" s="177">
        <f t="shared" ca="1" si="65"/>
        <v>0</v>
      </c>
      <c r="AF67" s="177">
        <f t="shared" ca="1" si="66"/>
        <v>0</v>
      </c>
      <c r="AG67" s="177">
        <f t="shared" ca="1" si="91"/>
        <v>600</v>
      </c>
      <c r="AH67" s="177">
        <f t="shared" ca="1" si="91"/>
        <v>600</v>
      </c>
      <c r="AI67" s="177">
        <f t="shared" ca="1" si="67"/>
        <v>0</v>
      </c>
      <c r="AJ67" s="177">
        <f t="shared" ca="1" si="68"/>
        <v>0</v>
      </c>
      <c r="AK67" s="177">
        <f t="shared" ca="1" si="69"/>
        <v>0</v>
      </c>
      <c r="AL67" s="177">
        <f t="shared" ca="1" si="70"/>
        <v>0</v>
      </c>
      <c r="AM67" s="177">
        <f t="shared" ca="1" si="71"/>
        <v>0</v>
      </c>
      <c r="AN67" s="177">
        <f t="shared" ca="1" si="72"/>
        <v>0</v>
      </c>
      <c r="AO67" s="177">
        <f t="shared" ca="1" si="73"/>
        <v>0</v>
      </c>
      <c r="AP67" s="177">
        <f t="shared" ca="1" si="74"/>
        <v>0</v>
      </c>
      <c r="AQ67" s="177">
        <f t="shared" ca="1" si="75"/>
        <v>0</v>
      </c>
      <c r="AR67" s="177">
        <f t="shared" ca="1" si="76"/>
        <v>600</v>
      </c>
      <c r="AS67" s="176">
        <f t="shared" ca="1" si="77"/>
        <v>0</v>
      </c>
      <c r="AT67" s="176">
        <f t="shared" ca="1" si="78"/>
        <v>0</v>
      </c>
      <c r="AU67" s="176">
        <f t="shared" ca="1" si="79"/>
        <v>0</v>
      </c>
      <c r="AV67" s="176">
        <f t="shared" ca="1" si="80"/>
        <v>0</v>
      </c>
      <c r="AW67" s="176">
        <f t="shared" ca="1" si="81"/>
        <v>0</v>
      </c>
      <c r="AX67" s="176">
        <f t="shared" ca="1" si="82"/>
        <v>0</v>
      </c>
      <c r="AY67" s="176">
        <f t="shared" ca="1" si="83"/>
        <v>0</v>
      </c>
      <c r="AZ67" s="176">
        <f t="shared" ca="1" si="84"/>
        <v>0</v>
      </c>
      <c r="BA67" s="176">
        <f t="shared" ca="1" si="85"/>
        <v>0</v>
      </c>
      <c r="BB67" s="176">
        <f t="shared" ca="1" si="38"/>
        <v>0</v>
      </c>
      <c r="BC67" s="176">
        <f t="shared" ca="1" si="86"/>
        <v>0</v>
      </c>
    </row>
    <row r="68" spans="1:55">
      <c r="A68" s="1">
        <f t="shared" ref="A68:A99" ca="1" si="92">IF(E68="",0,1)</f>
        <v>0</v>
      </c>
      <c r="B68" s="1" t="s">
        <v>127</v>
      </c>
      <c r="C68" s="1" t="str">
        <f t="shared" ref="C68:C99" ca="1" si="93">IF(E68="","",YEAR(E68))</f>
        <v/>
      </c>
      <c r="D68" s="1" t="str">
        <f t="shared" ref="D68:D99" ca="1" si="94">IF(E68="","",TEXT(MONTH(E68)*28,"mmmm"))</f>
        <v/>
      </c>
      <c r="E68" s="173" t="str" cm="1">
        <f t="array" aca="1" ref="E68" ca="1">_xlfn.IFS(OR(ISBLANK(StartDateMonth),ISBLANK(StartDateYear)),"",E67&gt;=DATEVALUE(CompletionMonth&amp;CompletionYear)+1,"",TRUE,EDATE(E67,1))</f>
        <v/>
      </c>
      <c r="F68" s="176">
        <f t="shared" ca="1" si="90"/>
        <v>0</v>
      </c>
      <c r="G68" s="176">
        <f t="shared" ca="1" si="90"/>
        <v>0</v>
      </c>
      <c r="H68" s="176">
        <f t="shared" ca="1" si="90"/>
        <v>0</v>
      </c>
      <c r="I68" s="176">
        <f t="shared" ca="1" si="90"/>
        <v>0</v>
      </c>
      <c r="J68" s="176">
        <f t="shared" ca="1" si="90"/>
        <v>0</v>
      </c>
      <c r="K68" s="176">
        <f t="shared" ca="1" si="90"/>
        <v>0</v>
      </c>
      <c r="L68" s="176">
        <f t="shared" ca="1" si="90"/>
        <v>0</v>
      </c>
      <c r="M68" s="176">
        <f t="shared" ca="1" si="90"/>
        <v>0</v>
      </c>
      <c r="N68" s="176">
        <f t="shared" ca="1" si="90"/>
        <v>0</v>
      </c>
      <c r="O68" s="176">
        <f t="shared" ca="1" si="90"/>
        <v>0</v>
      </c>
      <c r="P68" s="176">
        <f t="shared" ref="P68:P99" ca="1" si="95">_xlfn.IFNA(IF($A68=1,INDEX(DevelopmentCosts,MATCH(P$3,TotalDevCostsList,0),MATCH($B68,DevelopmentCostTitle,0)),0),0)</f>
        <v>0</v>
      </c>
      <c r="Q68" s="176">
        <f t="shared" ref="Q68:Q99" ca="1" si="96">_xlfn.IFNA(IF($A68=1,INDEX(DevelopmentCosts,MATCH(CustomCost1,TotalDevCostsList,0),MATCH($B68,DevelopmentCostTitle,0)),0),0)</f>
        <v>0</v>
      </c>
      <c r="R68" s="176">
        <f t="shared" ref="R68:R99" ca="1" si="97">_xlfn.IFNA(IF($A68=1,INDEX(DevelopmentCosts,MATCH(CustomCost2,TotalDevCostsList,0),MATCH($B68,DevelopmentCostTitle,0)),0),0)</f>
        <v>0</v>
      </c>
      <c r="S68" s="176">
        <f t="shared" ref="S68:S99" ca="1" si="98">_xlfn.IFNA(IF($A68=1,INDEX(DevelopmentCosts,MATCH(CustomCost3,TotalDevCostsList,0),MATCH($B68,DevelopmentCostTitle,0)),0),0)</f>
        <v>0</v>
      </c>
      <c r="T68" s="176">
        <f t="shared" ref="T68:T99" ca="1" si="99">_xlfn.IFNA(IF($A68=1,INDEX(DevelopmentCosts,MATCH(CustomCost4,TotalDevCostsList,0),MATCH($B68,DevelopmentCostTitle,0)),0),0)</f>
        <v>0</v>
      </c>
      <c r="U68" s="176">
        <f t="shared" ref="U68:U99" ca="1" si="100">_xlfn.IFNA(IF($A68=1,INDEX(DevelopmentCosts,MATCH(CustomCost5,TotalDevCostsList,0),MATCH($B68,DevelopmentCostTitle,0)),0),0)</f>
        <v>0</v>
      </c>
      <c r="V68" s="176">
        <f t="shared" ref="V68:V99" ca="1" si="101">SUM(F68:U68)</f>
        <v>0</v>
      </c>
      <c r="W68" s="177">
        <f t="shared" ref="W68:W99" ca="1" si="102">COUNTIF(CategorisedCompletionKey,(OpenMarketHousing&amp;$C68&amp;$D68))</f>
        <v>600</v>
      </c>
      <c r="X68" s="177">
        <f t="shared" ref="X68:X99" ca="1" si="103">COUNTIF(CategorisedCompletionKey,(AffordableRent&amp;$C68&amp;$D68))</f>
        <v>0</v>
      </c>
      <c r="Y68" s="177">
        <f t="shared" ref="Y68:Y99" ca="1" si="104">COUNTIF(CategorisedCompletionKey,(AHPSharedEquity&amp;$C68&amp;$D68))</f>
        <v>0</v>
      </c>
      <c r="Z68" s="177">
        <f t="shared" ref="Z68:Z99" ca="1" si="105">COUNTIF(CategorisedCompletionKey,(AHPIntermediate&amp;$C68&amp;$D68))</f>
        <v>0</v>
      </c>
      <c r="AA68" s="177">
        <f t="shared" ref="AA68:AA99" ca="1" si="106">COUNTIF(CategorisedCompletionKey,(AHPSharedOwnership&amp;$C68&amp;$D68))</f>
        <v>0</v>
      </c>
      <c r="AB68" s="177">
        <f t="shared" ref="AB68:AB99" ca="1" si="107">COUNTIF(CategorisedCompletionKey,(NonAHPSharedEquity&amp;$C68&amp;$D68))</f>
        <v>0</v>
      </c>
      <c r="AC68" s="177">
        <f t="shared" ref="AC68:AC99" ca="1" si="108">COUNTIF(CategorisedCompletionKey,(NonAHPIntermediateRent&amp;$C68&amp;$D68))</f>
        <v>0</v>
      </c>
      <c r="AD68" s="177">
        <f t="shared" ref="AD68:AD99" ca="1" si="109">COUNTIF(CategorisedCompletionKey,(NonAHPSharedOwnership&amp;$C68&amp;$D68))</f>
        <v>0</v>
      </c>
      <c r="AE68" s="177">
        <f t="shared" ref="AE68:AE99" ca="1" si="110">COUNTIF(CategorisedCompletionKey,(OtherTenure&amp;$C68&amp;$D68))</f>
        <v>0</v>
      </c>
      <c r="AF68" s="177">
        <f t="shared" ref="AF68:AF99" ca="1" si="111">SUM($X68:$AE68)</f>
        <v>0</v>
      </c>
      <c r="AG68" s="177">
        <f t="shared" ca="1" si="91"/>
        <v>600</v>
      </c>
      <c r="AH68" s="177">
        <f t="shared" ca="1" si="91"/>
        <v>600</v>
      </c>
      <c r="AI68" s="177">
        <f t="shared" ref="AI68:AI99" ca="1" si="112">COUNTIF(CategorisedSaleKey,(AffordableRent&amp;$C68&amp;$D68))</f>
        <v>0</v>
      </c>
      <c r="AJ68" s="177">
        <f t="shared" ref="AJ68:AJ99" ca="1" si="113">COUNTIF(CategorisedSaleKey,(AHPSharedEquity&amp;$C68&amp;$D68))</f>
        <v>0</v>
      </c>
      <c r="AK68" s="177">
        <f t="shared" ref="AK68:AK99" ca="1" si="114">COUNTIF(CategorisedSaleKey,(AHPIntermediate&amp;$C68&amp;$D68))</f>
        <v>0</v>
      </c>
      <c r="AL68" s="177">
        <f t="shared" ref="AL68:AL99" ca="1" si="115">COUNTIF(CategorisedSaleKey,(AHPSharedOwnership&amp;$C68&amp;$D68))</f>
        <v>0</v>
      </c>
      <c r="AM68" s="177">
        <f t="shared" ref="AM68:AM99" ca="1" si="116">COUNTIF(CategorisedSaleKey,(NonAHPSharedEquity&amp;$C68&amp;$D68))</f>
        <v>0</v>
      </c>
      <c r="AN68" s="177">
        <f t="shared" ref="AN68:AN99" ca="1" si="117">COUNTIF(CategorisedSaleKey,(NonAHPIntermediateRent&amp;$C68&amp;$D68))</f>
        <v>0</v>
      </c>
      <c r="AO68" s="177">
        <f t="shared" ref="AO68:AO99" ca="1" si="118">COUNTIF(CategorisedSaleKey,(NonAHPSharedOwnership&amp;$C68&amp;$D68))</f>
        <v>0</v>
      </c>
      <c r="AP68" s="177">
        <f t="shared" ref="AP68:AP99" ca="1" si="119">COUNTIF(CategorisedSaleKey,(OtherTenure&amp;$C68&amp;$D68))</f>
        <v>0</v>
      </c>
      <c r="AQ68" s="177">
        <f t="shared" ref="AQ68:AQ99" ca="1" si="120">SUM($AI68:$AP68)</f>
        <v>0</v>
      </c>
      <c r="AR68" s="177">
        <f t="shared" ref="AR68:AR99" ca="1" si="121">$AH68+$AQ68</f>
        <v>600</v>
      </c>
      <c r="AS68" s="176">
        <f t="shared" ref="AS68:AS99" ca="1" si="122">SUMIF(CategorisedSaleKey,(OpenMarketHousing&amp;$C68&amp;$D68),ExpectedSales)</f>
        <v>0</v>
      </c>
      <c r="AT68" s="176">
        <f t="shared" ref="AT68:AT99" ca="1" si="123">SUMIF(CategorisedSaleKey,(AffordableRent&amp;$C68&amp;$D68),ExpectedSales)</f>
        <v>0</v>
      </c>
      <c r="AU68" s="176">
        <f t="shared" ref="AU68:AU99" ca="1" si="124">SUMIF(CategorisedSaleKey,(AHPSharedEquity&amp;$C68&amp;$D68),ExpectedSales)</f>
        <v>0</v>
      </c>
      <c r="AV68" s="176">
        <f t="shared" ref="AV68:AV99" ca="1" si="125">SUMIF(CategorisedSaleKey,(AHPIntermediate&amp;$C68&amp;$D68),ExpectedSales)</f>
        <v>0</v>
      </c>
      <c r="AW68" s="176">
        <f t="shared" ref="AW68:AW99" ca="1" si="126">SUMIF(CategorisedSaleKey,(AHPSharedOwnership&amp;$C68&amp;$D68),ExpectedSales)</f>
        <v>0</v>
      </c>
      <c r="AX68" s="176">
        <f t="shared" ref="AX68:AX99" ca="1" si="127">SUMIF(CategorisedSaleKey,(NonAHPSharedEquity&amp;$C68&amp;$D68),ExpectedSales)</f>
        <v>0</v>
      </c>
      <c r="AY68" s="176">
        <f t="shared" ref="AY68:AY99" ca="1" si="128">SUMIF(CategorisedSaleKey,(NonAHPIntermediateRent&amp;$C68&amp;$D68),ExpectedSales)</f>
        <v>0</v>
      </c>
      <c r="AZ68" s="176">
        <f t="shared" ref="AZ68:AZ99" ca="1" si="129">SUMIF(CategorisedSaleKey,(NonAHPSharedOwnership&amp;$C68&amp;$D68),ExpectedSales)</f>
        <v>0</v>
      </c>
      <c r="BA68" s="176">
        <f t="shared" ref="BA68:BA99" ca="1" si="130">SUMIF(CategorisedSaleKey,(OtherTenure&amp;$C68&amp;$D68),ExpectedSales)</f>
        <v>0</v>
      </c>
      <c r="BB68" s="176">
        <f t="shared" ref="BB68:BB128" ca="1" si="131">SUM($AT68:$BA68)</f>
        <v>0</v>
      </c>
      <c r="BC68" s="176">
        <f t="shared" ref="BC68:BC99" ca="1" si="132">$BB68+$AS68</f>
        <v>0</v>
      </c>
    </row>
    <row r="69" spans="1:55">
      <c r="A69" s="1">
        <f t="shared" ca="1" si="92"/>
        <v>0</v>
      </c>
      <c r="B69" s="1" t="s">
        <v>128</v>
      </c>
      <c r="C69" s="1" t="str">
        <f t="shared" ca="1" si="93"/>
        <v/>
      </c>
      <c r="D69" s="1" t="str">
        <f t="shared" ca="1" si="94"/>
        <v/>
      </c>
      <c r="E69" s="173" t="str" cm="1">
        <f t="array" aca="1" ref="E69" ca="1">_xlfn.IFS(OR(ISBLANK(StartDateMonth),ISBLANK(StartDateYear)),"",E68&gt;=DATEVALUE(CompletionMonth&amp;CompletionYear)+1,"",TRUE,EDATE(E68,1))</f>
        <v/>
      </c>
      <c r="F69" s="176">
        <f t="shared" ca="1" si="90"/>
        <v>0</v>
      </c>
      <c r="G69" s="176">
        <f t="shared" ca="1" si="90"/>
        <v>0</v>
      </c>
      <c r="H69" s="176">
        <f t="shared" ca="1" si="90"/>
        <v>0</v>
      </c>
      <c r="I69" s="176">
        <f t="shared" ca="1" si="90"/>
        <v>0</v>
      </c>
      <c r="J69" s="176">
        <f t="shared" ca="1" si="90"/>
        <v>0</v>
      </c>
      <c r="K69" s="176">
        <f t="shared" ca="1" si="90"/>
        <v>0</v>
      </c>
      <c r="L69" s="176">
        <f t="shared" ca="1" si="90"/>
        <v>0</v>
      </c>
      <c r="M69" s="176">
        <f t="shared" ca="1" si="90"/>
        <v>0</v>
      </c>
      <c r="N69" s="176">
        <f t="shared" ca="1" si="90"/>
        <v>0</v>
      </c>
      <c r="O69" s="176">
        <f t="shared" ca="1" si="90"/>
        <v>0</v>
      </c>
      <c r="P69" s="176">
        <f t="shared" ca="1" si="95"/>
        <v>0</v>
      </c>
      <c r="Q69" s="176">
        <f t="shared" ca="1" si="96"/>
        <v>0</v>
      </c>
      <c r="R69" s="176">
        <f t="shared" ca="1" si="97"/>
        <v>0</v>
      </c>
      <c r="S69" s="176">
        <f t="shared" ca="1" si="98"/>
        <v>0</v>
      </c>
      <c r="T69" s="176">
        <f t="shared" ca="1" si="99"/>
        <v>0</v>
      </c>
      <c r="U69" s="176">
        <f t="shared" ca="1" si="100"/>
        <v>0</v>
      </c>
      <c r="V69" s="176">
        <f t="shared" ca="1" si="101"/>
        <v>0</v>
      </c>
      <c r="W69" s="177">
        <f t="shared" ca="1" si="102"/>
        <v>600</v>
      </c>
      <c r="X69" s="177">
        <f t="shared" ca="1" si="103"/>
        <v>0</v>
      </c>
      <c r="Y69" s="177">
        <f t="shared" ca="1" si="104"/>
        <v>0</v>
      </c>
      <c r="Z69" s="177">
        <f t="shared" ca="1" si="105"/>
        <v>0</v>
      </c>
      <c r="AA69" s="177">
        <f t="shared" ca="1" si="106"/>
        <v>0</v>
      </c>
      <c r="AB69" s="177">
        <f t="shared" ca="1" si="107"/>
        <v>0</v>
      </c>
      <c r="AC69" s="177">
        <f t="shared" ca="1" si="108"/>
        <v>0</v>
      </c>
      <c r="AD69" s="177">
        <f t="shared" ca="1" si="109"/>
        <v>0</v>
      </c>
      <c r="AE69" s="177">
        <f t="shared" ca="1" si="110"/>
        <v>0</v>
      </c>
      <c r="AF69" s="177">
        <f t="shared" ca="1" si="111"/>
        <v>0</v>
      </c>
      <c r="AG69" s="177">
        <f t="shared" ca="1" si="91"/>
        <v>600</v>
      </c>
      <c r="AH69" s="177">
        <f t="shared" ca="1" si="91"/>
        <v>600</v>
      </c>
      <c r="AI69" s="177">
        <f t="shared" ca="1" si="112"/>
        <v>0</v>
      </c>
      <c r="AJ69" s="177">
        <f t="shared" ca="1" si="113"/>
        <v>0</v>
      </c>
      <c r="AK69" s="177">
        <f t="shared" ca="1" si="114"/>
        <v>0</v>
      </c>
      <c r="AL69" s="177">
        <f t="shared" ca="1" si="115"/>
        <v>0</v>
      </c>
      <c r="AM69" s="177">
        <f t="shared" ca="1" si="116"/>
        <v>0</v>
      </c>
      <c r="AN69" s="177">
        <f t="shared" ca="1" si="117"/>
        <v>0</v>
      </c>
      <c r="AO69" s="177">
        <f t="shared" ca="1" si="118"/>
        <v>0</v>
      </c>
      <c r="AP69" s="177">
        <f t="shared" ca="1" si="119"/>
        <v>0</v>
      </c>
      <c r="AQ69" s="177">
        <f t="shared" ca="1" si="120"/>
        <v>0</v>
      </c>
      <c r="AR69" s="177">
        <f t="shared" ca="1" si="121"/>
        <v>600</v>
      </c>
      <c r="AS69" s="176">
        <f t="shared" ca="1" si="122"/>
        <v>0</v>
      </c>
      <c r="AT69" s="176">
        <f t="shared" ca="1" si="123"/>
        <v>0</v>
      </c>
      <c r="AU69" s="176">
        <f t="shared" ca="1" si="124"/>
        <v>0</v>
      </c>
      <c r="AV69" s="176">
        <f t="shared" ca="1" si="125"/>
        <v>0</v>
      </c>
      <c r="AW69" s="176">
        <f t="shared" ca="1" si="126"/>
        <v>0</v>
      </c>
      <c r="AX69" s="176">
        <f t="shared" ca="1" si="127"/>
        <v>0</v>
      </c>
      <c r="AY69" s="176">
        <f t="shared" ca="1" si="128"/>
        <v>0</v>
      </c>
      <c r="AZ69" s="176">
        <f t="shared" ca="1" si="129"/>
        <v>0</v>
      </c>
      <c r="BA69" s="176">
        <f t="shared" ca="1" si="130"/>
        <v>0</v>
      </c>
      <c r="BB69" s="176">
        <f t="shared" ca="1" si="131"/>
        <v>0</v>
      </c>
      <c r="BC69" s="176">
        <f t="shared" ca="1" si="132"/>
        <v>0</v>
      </c>
    </row>
    <row r="70" spans="1:55">
      <c r="A70" s="1">
        <f t="shared" ca="1" si="92"/>
        <v>0</v>
      </c>
      <c r="B70" s="1" t="s">
        <v>129</v>
      </c>
      <c r="C70" s="1" t="str">
        <f t="shared" ca="1" si="93"/>
        <v/>
      </c>
      <c r="D70" s="1" t="str">
        <f t="shared" ca="1" si="94"/>
        <v/>
      </c>
      <c r="E70" s="173" t="str" cm="1">
        <f t="array" aca="1" ref="E70" ca="1">_xlfn.IFS(OR(ISBLANK(StartDateMonth),ISBLANK(StartDateYear)),"",E69&gt;=DATEVALUE(CompletionMonth&amp;CompletionYear)+1,"",TRUE,EDATE(E69,1))</f>
        <v/>
      </c>
      <c r="F70" s="176">
        <f t="shared" ca="1" si="90"/>
        <v>0</v>
      </c>
      <c r="G70" s="176">
        <f t="shared" ca="1" si="90"/>
        <v>0</v>
      </c>
      <c r="H70" s="176">
        <f t="shared" ca="1" si="90"/>
        <v>0</v>
      </c>
      <c r="I70" s="176">
        <f t="shared" ca="1" si="90"/>
        <v>0</v>
      </c>
      <c r="J70" s="176">
        <f t="shared" ca="1" si="90"/>
        <v>0</v>
      </c>
      <c r="K70" s="176">
        <f t="shared" ca="1" si="90"/>
        <v>0</v>
      </c>
      <c r="L70" s="176">
        <f t="shared" ca="1" si="90"/>
        <v>0</v>
      </c>
      <c r="M70" s="176">
        <f t="shared" ca="1" si="90"/>
        <v>0</v>
      </c>
      <c r="N70" s="176">
        <f t="shared" ca="1" si="90"/>
        <v>0</v>
      </c>
      <c r="O70" s="176">
        <f t="shared" ca="1" si="90"/>
        <v>0</v>
      </c>
      <c r="P70" s="176">
        <f t="shared" ca="1" si="95"/>
        <v>0</v>
      </c>
      <c r="Q70" s="176">
        <f t="shared" ca="1" si="96"/>
        <v>0</v>
      </c>
      <c r="R70" s="176">
        <f t="shared" ca="1" si="97"/>
        <v>0</v>
      </c>
      <c r="S70" s="176">
        <f t="shared" ca="1" si="98"/>
        <v>0</v>
      </c>
      <c r="T70" s="176">
        <f t="shared" ca="1" si="99"/>
        <v>0</v>
      </c>
      <c r="U70" s="176">
        <f t="shared" ca="1" si="100"/>
        <v>0</v>
      </c>
      <c r="V70" s="176">
        <f t="shared" ca="1" si="101"/>
        <v>0</v>
      </c>
      <c r="W70" s="177">
        <f t="shared" ca="1" si="102"/>
        <v>600</v>
      </c>
      <c r="X70" s="177">
        <f t="shared" ca="1" si="103"/>
        <v>0</v>
      </c>
      <c r="Y70" s="177">
        <f t="shared" ca="1" si="104"/>
        <v>0</v>
      </c>
      <c r="Z70" s="177">
        <f t="shared" ca="1" si="105"/>
        <v>0</v>
      </c>
      <c r="AA70" s="177">
        <f t="shared" ca="1" si="106"/>
        <v>0</v>
      </c>
      <c r="AB70" s="177">
        <f t="shared" ca="1" si="107"/>
        <v>0</v>
      </c>
      <c r="AC70" s="177">
        <f t="shared" ca="1" si="108"/>
        <v>0</v>
      </c>
      <c r="AD70" s="177">
        <f t="shared" ca="1" si="109"/>
        <v>0</v>
      </c>
      <c r="AE70" s="177">
        <f t="shared" ca="1" si="110"/>
        <v>0</v>
      </c>
      <c r="AF70" s="177">
        <f t="shared" ca="1" si="111"/>
        <v>0</v>
      </c>
      <c r="AG70" s="177">
        <f t="shared" ca="1" si="91"/>
        <v>600</v>
      </c>
      <c r="AH70" s="177">
        <f t="shared" ca="1" si="91"/>
        <v>600</v>
      </c>
      <c r="AI70" s="177">
        <f t="shared" ca="1" si="112"/>
        <v>0</v>
      </c>
      <c r="AJ70" s="177">
        <f t="shared" ca="1" si="113"/>
        <v>0</v>
      </c>
      <c r="AK70" s="177">
        <f t="shared" ca="1" si="114"/>
        <v>0</v>
      </c>
      <c r="AL70" s="177">
        <f t="shared" ca="1" si="115"/>
        <v>0</v>
      </c>
      <c r="AM70" s="177">
        <f t="shared" ca="1" si="116"/>
        <v>0</v>
      </c>
      <c r="AN70" s="177">
        <f t="shared" ca="1" si="117"/>
        <v>0</v>
      </c>
      <c r="AO70" s="177">
        <f t="shared" ca="1" si="118"/>
        <v>0</v>
      </c>
      <c r="AP70" s="177">
        <f t="shared" ca="1" si="119"/>
        <v>0</v>
      </c>
      <c r="AQ70" s="177">
        <f t="shared" ca="1" si="120"/>
        <v>0</v>
      </c>
      <c r="AR70" s="177">
        <f t="shared" ca="1" si="121"/>
        <v>600</v>
      </c>
      <c r="AS70" s="176">
        <f t="shared" ca="1" si="122"/>
        <v>0</v>
      </c>
      <c r="AT70" s="176">
        <f t="shared" ca="1" si="123"/>
        <v>0</v>
      </c>
      <c r="AU70" s="176">
        <f t="shared" ca="1" si="124"/>
        <v>0</v>
      </c>
      <c r="AV70" s="176">
        <f t="shared" ca="1" si="125"/>
        <v>0</v>
      </c>
      <c r="AW70" s="176">
        <f t="shared" ca="1" si="126"/>
        <v>0</v>
      </c>
      <c r="AX70" s="176">
        <f t="shared" ca="1" si="127"/>
        <v>0</v>
      </c>
      <c r="AY70" s="176">
        <f t="shared" ca="1" si="128"/>
        <v>0</v>
      </c>
      <c r="AZ70" s="176">
        <f t="shared" ca="1" si="129"/>
        <v>0</v>
      </c>
      <c r="BA70" s="176">
        <f t="shared" ca="1" si="130"/>
        <v>0</v>
      </c>
      <c r="BB70" s="176">
        <f t="shared" ca="1" si="131"/>
        <v>0</v>
      </c>
      <c r="BC70" s="176">
        <f t="shared" ca="1" si="132"/>
        <v>0</v>
      </c>
    </row>
    <row r="71" spans="1:55">
      <c r="A71" s="1">
        <f t="shared" ca="1" si="92"/>
        <v>0</v>
      </c>
      <c r="B71" s="1" t="s">
        <v>130</v>
      </c>
      <c r="C71" s="1" t="str">
        <f t="shared" ca="1" si="93"/>
        <v/>
      </c>
      <c r="D71" s="1" t="str">
        <f t="shared" ca="1" si="94"/>
        <v/>
      </c>
      <c r="E71" s="173" t="str" cm="1">
        <f t="array" aca="1" ref="E71" ca="1">_xlfn.IFS(OR(ISBLANK(StartDateMonth),ISBLANK(StartDateYear)),"",E70&gt;=DATEVALUE(CompletionMonth&amp;CompletionYear)+1,"",TRUE,EDATE(E70,1))</f>
        <v/>
      </c>
      <c r="F71" s="176">
        <f t="shared" ca="1" si="90"/>
        <v>0</v>
      </c>
      <c r="G71" s="176">
        <f t="shared" ca="1" si="90"/>
        <v>0</v>
      </c>
      <c r="H71" s="176">
        <f t="shared" ca="1" si="90"/>
        <v>0</v>
      </c>
      <c r="I71" s="176">
        <f t="shared" ca="1" si="90"/>
        <v>0</v>
      </c>
      <c r="J71" s="176">
        <f t="shared" ca="1" si="90"/>
        <v>0</v>
      </c>
      <c r="K71" s="176">
        <f t="shared" ca="1" si="90"/>
        <v>0</v>
      </c>
      <c r="L71" s="176">
        <f t="shared" ca="1" si="90"/>
        <v>0</v>
      </c>
      <c r="M71" s="176">
        <f t="shared" ca="1" si="90"/>
        <v>0</v>
      </c>
      <c r="N71" s="176">
        <f t="shared" ca="1" si="90"/>
        <v>0</v>
      </c>
      <c r="O71" s="176">
        <f t="shared" ca="1" si="90"/>
        <v>0</v>
      </c>
      <c r="P71" s="176">
        <f t="shared" ca="1" si="95"/>
        <v>0</v>
      </c>
      <c r="Q71" s="176">
        <f t="shared" ca="1" si="96"/>
        <v>0</v>
      </c>
      <c r="R71" s="176">
        <f t="shared" ca="1" si="97"/>
        <v>0</v>
      </c>
      <c r="S71" s="176">
        <f t="shared" ca="1" si="98"/>
        <v>0</v>
      </c>
      <c r="T71" s="176">
        <f t="shared" ca="1" si="99"/>
        <v>0</v>
      </c>
      <c r="U71" s="176">
        <f t="shared" ca="1" si="100"/>
        <v>0</v>
      </c>
      <c r="V71" s="176">
        <f t="shared" ca="1" si="101"/>
        <v>0</v>
      </c>
      <c r="W71" s="177">
        <f t="shared" ca="1" si="102"/>
        <v>600</v>
      </c>
      <c r="X71" s="177">
        <f t="shared" ca="1" si="103"/>
        <v>0</v>
      </c>
      <c r="Y71" s="177">
        <f t="shared" ca="1" si="104"/>
        <v>0</v>
      </c>
      <c r="Z71" s="177">
        <f t="shared" ca="1" si="105"/>
        <v>0</v>
      </c>
      <c r="AA71" s="177">
        <f t="shared" ca="1" si="106"/>
        <v>0</v>
      </c>
      <c r="AB71" s="177">
        <f t="shared" ca="1" si="107"/>
        <v>0</v>
      </c>
      <c r="AC71" s="177">
        <f t="shared" ca="1" si="108"/>
        <v>0</v>
      </c>
      <c r="AD71" s="177">
        <f t="shared" ca="1" si="109"/>
        <v>0</v>
      </c>
      <c r="AE71" s="177">
        <f t="shared" ca="1" si="110"/>
        <v>0</v>
      </c>
      <c r="AF71" s="177">
        <f t="shared" ca="1" si="111"/>
        <v>0</v>
      </c>
      <c r="AG71" s="177">
        <f t="shared" ca="1" si="91"/>
        <v>600</v>
      </c>
      <c r="AH71" s="177">
        <f t="shared" ca="1" si="91"/>
        <v>600</v>
      </c>
      <c r="AI71" s="177">
        <f t="shared" ca="1" si="112"/>
        <v>0</v>
      </c>
      <c r="AJ71" s="177">
        <f t="shared" ca="1" si="113"/>
        <v>0</v>
      </c>
      <c r="AK71" s="177">
        <f t="shared" ca="1" si="114"/>
        <v>0</v>
      </c>
      <c r="AL71" s="177">
        <f t="shared" ca="1" si="115"/>
        <v>0</v>
      </c>
      <c r="AM71" s="177">
        <f t="shared" ca="1" si="116"/>
        <v>0</v>
      </c>
      <c r="AN71" s="177">
        <f t="shared" ca="1" si="117"/>
        <v>0</v>
      </c>
      <c r="AO71" s="177">
        <f t="shared" ca="1" si="118"/>
        <v>0</v>
      </c>
      <c r="AP71" s="177">
        <f t="shared" ca="1" si="119"/>
        <v>0</v>
      </c>
      <c r="AQ71" s="177">
        <f t="shared" ca="1" si="120"/>
        <v>0</v>
      </c>
      <c r="AR71" s="177">
        <f t="shared" ca="1" si="121"/>
        <v>600</v>
      </c>
      <c r="AS71" s="176">
        <f t="shared" ca="1" si="122"/>
        <v>0</v>
      </c>
      <c r="AT71" s="176">
        <f t="shared" ca="1" si="123"/>
        <v>0</v>
      </c>
      <c r="AU71" s="176">
        <f t="shared" ca="1" si="124"/>
        <v>0</v>
      </c>
      <c r="AV71" s="176">
        <f t="shared" ca="1" si="125"/>
        <v>0</v>
      </c>
      <c r="AW71" s="176">
        <f t="shared" ca="1" si="126"/>
        <v>0</v>
      </c>
      <c r="AX71" s="176">
        <f t="shared" ca="1" si="127"/>
        <v>0</v>
      </c>
      <c r="AY71" s="176">
        <f t="shared" ca="1" si="128"/>
        <v>0</v>
      </c>
      <c r="AZ71" s="176">
        <f t="shared" ca="1" si="129"/>
        <v>0</v>
      </c>
      <c r="BA71" s="176">
        <f t="shared" ca="1" si="130"/>
        <v>0</v>
      </c>
      <c r="BB71" s="176">
        <f t="shared" ca="1" si="131"/>
        <v>0</v>
      </c>
      <c r="BC71" s="176">
        <f t="shared" ca="1" si="132"/>
        <v>0</v>
      </c>
    </row>
    <row r="72" spans="1:55">
      <c r="A72" s="1">
        <f t="shared" ca="1" si="92"/>
        <v>0</v>
      </c>
      <c r="B72" s="1" t="s">
        <v>131</v>
      </c>
      <c r="C72" s="1" t="str">
        <f t="shared" ca="1" si="93"/>
        <v/>
      </c>
      <c r="D72" s="1" t="str">
        <f t="shared" ca="1" si="94"/>
        <v/>
      </c>
      <c r="E72" s="173" t="str" cm="1">
        <f t="array" aca="1" ref="E72" ca="1">_xlfn.IFS(OR(ISBLANK(StartDateMonth),ISBLANK(StartDateYear)),"",E71&gt;=DATEVALUE(CompletionMonth&amp;CompletionYear)+1,"",TRUE,EDATE(E71,1))</f>
        <v/>
      </c>
      <c r="F72" s="176">
        <f t="shared" ca="1" si="90"/>
        <v>0</v>
      </c>
      <c r="G72" s="176">
        <f t="shared" ca="1" si="90"/>
        <v>0</v>
      </c>
      <c r="H72" s="176">
        <f t="shared" ca="1" si="90"/>
        <v>0</v>
      </c>
      <c r="I72" s="176">
        <f t="shared" ca="1" si="90"/>
        <v>0</v>
      </c>
      <c r="J72" s="176">
        <f t="shared" ca="1" si="90"/>
        <v>0</v>
      </c>
      <c r="K72" s="176">
        <f t="shared" ca="1" si="90"/>
        <v>0</v>
      </c>
      <c r="L72" s="176">
        <f t="shared" ca="1" si="90"/>
        <v>0</v>
      </c>
      <c r="M72" s="176">
        <f t="shared" ca="1" si="90"/>
        <v>0</v>
      </c>
      <c r="N72" s="176">
        <f t="shared" ca="1" si="90"/>
        <v>0</v>
      </c>
      <c r="O72" s="176">
        <f t="shared" ca="1" si="90"/>
        <v>0</v>
      </c>
      <c r="P72" s="176">
        <f t="shared" ca="1" si="95"/>
        <v>0</v>
      </c>
      <c r="Q72" s="176">
        <f t="shared" ca="1" si="96"/>
        <v>0</v>
      </c>
      <c r="R72" s="176">
        <f t="shared" ca="1" si="97"/>
        <v>0</v>
      </c>
      <c r="S72" s="176">
        <f t="shared" ca="1" si="98"/>
        <v>0</v>
      </c>
      <c r="T72" s="176">
        <f t="shared" ca="1" si="99"/>
        <v>0</v>
      </c>
      <c r="U72" s="176">
        <f t="shared" ca="1" si="100"/>
        <v>0</v>
      </c>
      <c r="V72" s="176">
        <f t="shared" ca="1" si="101"/>
        <v>0</v>
      </c>
      <c r="W72" s="177">
        <f t="shared" ca="1" si="102"/>
        <v>600</v>
      </c>
      <c r="X72" s="177">
        <f t="shared" ca="1" si="103"/>
        <v>0</v>
      </c>
      <c r="Y72" s="177">
        <f t="shared" ca="1" si="104"/>
        <v>0</v>
      </c>
      <c r="Z72" s="177">
        <f t="shared" ca="1" si="105"/>
        <v>0</v>
      </c>
      <c r="AA72" s="177">
        <f t="shared" ca="1" si="106"/>
        <v>0</v>
      </c>
      <c r="AB72" s="177">
        <f t="shared" ca="1" si="107"/>
        <v>0</v>
      </c>
      <c r="AC72" s="177">
        <f t="shared" ca="1" si="108"/>
        <v>0</v>
      </c>
      <c r="AD72" s="177">
        <f t="shared" ca="1" si="109"/>
        <v>0</v>
      </c>
      <c r="AE72" s="177">
        <f t="shared" ca="1" si="110"/>
        <v>0</v>
      </c>
      <c r="AF72" s="177">
        <f t="shared" ca="1" si="111"/>
        <v>0</v>
      </c>
      <c r="AG72" s="177">
        <f t="shared" ca="1" si="91"/>
        <v>600</v>
      </c>
      <c r="AH72" s="177">
        <f t="shared" ca="1" si="91"/>
        <v>600</v>
      </c>
      <c r="AI72" s="177">
        <f t="shared" ca="1" si="112"/>
        <v>0</v>
      </c>
      <c r="AJ72" s="177">
        <f t="shared" ca="1" si="113"/>
        <v>0</v>
      </c>
      <c r="AK72" s="177">
        <f t="shared" ca="1" si="114"/>
        <v>0</v>
      </c>
      <c r="AL72" s="177">
        <f t="shared" ca="1" si="115"/>
        <v>0</v>
      </c>
      <c r="AM72" s="177">
        <f t="shared" ca="1" si="116"/>
        <v>0</v>
      </c>
      <c r="AN72" s="177">
        <f t="shared" ca="1" si="117"/>
        <v>0</v>
      </c>
      <c r="AO72" s="177">
        <f t="shared" ca="1" si="118"/>
        <v>0</v>
      </c>
      <c r="AP72" s="177">
        <f t="shared" ca="1" si="119"/>
        <v>0</v>
      </c>
      <c r="AQ72" s="177">
        <f t="shared" ca="1" si="120"/>
        <v>0</v>
      </c>
      <c r="AR72" s="177">
        <f t="shared" ca="1" si="121"/>
        <v>600</v>
      </c>
      <c r="AS72" s="176">
        <f t="shared" ca="1" si="122"/>
        <v>0</v>
      </c>
      <c r="AT72" s="176">
        <f t="shared" ca="1" si="123"/>
        <v>0</v>
      </c>
      <c r="AU72" s="176">
        <f t="shared" ca="1" si="124"/>
        <v>0</v>
      </c>
      <c r="AV72" s="176">
        <f t="shared" ca="1" si="125"/>
        <v>0</v>
      </c>
      <c r="AW72" s="176">
        <f t="shared" ca="1" si="126"/>
        <v>0</v>
      </c>
      <c r="AX72" s="176">
        <f t="shared" ca="1" si="127"/>
        <v>0</v>
      </c>
      <c r="AY72" s="176">
        <f t="shared" ca="1" si="128"/>
        <v>0</v>
      </c>
      <c r="AZ72" s="176">
        <f t="shared" ca="1" si="129"/>
        <v>0</v>
      </c>
      <c r="BA72" s="176">
        <f t="shared" ca="1" si="130"/>
        <v>0</v>
      </c>
      <c r="BB72" s="176">
        <f t="shared" ca="1" si="131"/>
        <v>0</v>
      </c>
      <c r="BC72" s="176">
        <f t="shared" ca="1" si="132"/>
        <v>0</v>
      </c>
    </row>
    <row r="73" spans="1:55">
      <c r="A73" s="1">
        <f t="shared" ca="1" si="92"/>
        <v>0</v>
      </c>
      <c r="B73" s="1" t="s">
        <v>132</v>
      </c>
      <c r="C73" s="1" t="str">
        <f t="shared" ca="1" si="93"/>
        <v/>
      </c>
      <c r="D73" s="1" t="str">
        <f t="shared" ca="1" si="94"/>
        <v/>
      </c>
      <c r="E73" s="173" t="str" cm="1">
        <f t="array" aca="1" ref="E73" ca="1">_xlfn.IFS(OR(ISBLANK(StartDateMonth),ISBLANK(StartDateYear)),"",E72&gt;=DATEVALUE(CompletionMonth&amp;CompletionYear)+1,"",TRUE,EDATE(E72,1))</f>
        <v/>
      </c>
      <c r="F73" s="176">
        <f t="shared" ca="1" si="90"/>
        <v>0</v>
      </c>
      <c r="G73" s="176">
        <f t="shared" ca="1" si="90"/>
        <v>0</v>
      </c>
      <c r="H73" s="176">
        <f t="shared" ca="1" si="90"/>
        <v>0</v>
      </c>
      <c r="I73" s="176">
        <f t="shared" ca="1" si="90"/>
        <v>0</v>
      </c>
      <c r="J73" s="176">
        <f t="shared" ca="1" si="90"/>
        <v>0</v>
      </c>
      <c r="K73" s="176">
        <f t="shared" ca="1" si="90"/>
        <v>0</v>
      </c>
      <c r="L73" s="176">
        <f t="shared" ca="1" si="90"/>
        <v>0</v>
      </c>
      <c r="M73" s="176">
        <f t="shared" ca="1" si="90"/>
        <v>0</v>
      </c>
      <c r="N73" s="176">
        <f t="shared" ca="1" si="90"/>
        <v>0</v>
      </c>
      <c r="O73" s="176">
        <f t="shared" ca="1" si="90"/>
        <v>0</v>
      </c>
      <c r="P73" s="176">
        <f t="shared" ca="1" si="95"/>
        <v>0</v>
      </c>
      <c r="Q73" s="176">
        <f t="shared" ca="1" si="96"/>
        <v>0</v>
      </c>
      <c r="R73" s="176">
        <f t="shared" ca="1" si="97"/>
        <v>0</v>
      </c>
      <c r="S73" s="176">
        <f t="shared" ca="1" si="98"/>
        <v>0</v>
      </c>
      <c r="T73" s="176">
        <f t="shared" ca="1" si="99"/>
        <v>0</v>
      </c>
      <c r="U73" s="176">
        <f t="shared" ca="1" si="100"/>
        <v>0</v>
      </c>
      <c r="V73" s="176">
        <f t="shared" ca="1" si="101"/>
        <v>0</v>
      </c>
      <c r="W73" s="177">
        <f t="shared" ca="1" si="102"/>
        <v>600</v>
      </c>
      <c r="X73" s="177">
        <f t="shared" ca="1" si="103"/>
        <v>0</v>
      </c>
      <c r="Y73" s="177">
        <f t="shared" ca="1" si="104"/>
        <v>0</v>
      </c>
      <c r="Z73" s="177">
        <f t="shared" ca="1" si="105"/>
        <v>0</v>
      </c>
      <c r="AA73" s="177">
        <f t="shared" ca="1" si="106"/>
        <v>0</v>
      </c>
      <c r="AB73" s="177">
        <f t="shared" ca="1" si="107"/>
        <v>0</v>
      </c>
      <c r="AC73" s="177">
        <f t="shared" ca="1" si="108"/>
        <v>0</v>
      </c>
      <c r="AD73" s="177">
        <f t="shared" ca="1" si="109"/>
        <v>0</v>
      </c>
      <c r="AE73" s="177">
        <f t="shared" ca="1" si="110"/>
        <v>0</v>
      </c>
      <c r="AF73" s="177">
        <f t="shared" ca="1" si="111"/>
        <v>0</v>
      </c>
      <c r="AG73" s="177">
        <f t="shared" ca="1" si="91"/>
        <v>600</v>
      </c>
      <c r="AH73" s="177">
        <f t="shared" ca="1" si="91"/>
        <v>600</v>
      </c>
      <c r="AI73" s="177">
        <f t="shared" ca="1" si="112"/>
        <v>0</v>
      </c>
      <c r="AJ73" s="177">
        <f t="shared" ca="1" si="113"/>
        <v>0</v>
      </c>
      <c r="AK73" s="177">
        <f t="shared" ca="1" si="114"/>
        <v>0</v>
      </c>
      <c r="AL73" s="177">
        <f t="shared" ca="1" si="115"/>
        <v>0</v>
      </c>
      <c r="AM73" s="177">
        <f t="shared" ca="1" si="116"/>
        <v>0</v>
      </c>
      <c r="AN73" s="177">
        <f t="shared" ca="1" si="117"/>
        <v>0</v>
      </c>
      <c r="AO73" s="177">
        <f t="shared" ca="1" si="118"/>
        <v>0</v>
      </c>
      <c r="AP73" s="177">
        <f t="shared" ca="1" si="119"/>
        <v>0</v>
      </c>
      <c r="AQ73" s="177">
        <f t="shared" ca="1" si="120"/>
        <v>0</v>
      </c>
      <c r="AR73" s="177">
        <f t="shared" ca="1" si="121"/>
        <v>600</v>
      </c>
      <c r="AS73" s="176">
        <f t="shared" ca="1" si="122"/>
        <v>0</v>
      </c>
      <c r="AT73" s="176">
        <f t="shared" ca="1" si="123"/>
        <v>0</v>
      </c>
      <c r="AU73" s="176">
        <f t="shared" ca="1" si="124"/>
        <v>0</v>
      </c>
      <c r="AV73" s="176">
        <f t="shared" ca="1" si="125"/>
        <v>0</v>
      </c>
      <c r="AW73" s="176">
        <f t="shared" ca="1" si="126"/>
        <v>0</v>
      </c>
      <c r="AX73" s="176">
        <f t="shared" ca="1" si="127"/>
        <v>0</v>
      </c>
      <c r="AY73" s="176">
        <f t="shared" ca="1" si="128"/>
        <v>0</v>
      </c>
      <c r="AZ73" s="176">
        <f t="shared" ca="1" si="129"/>
        <v>0</v>
      </c>
      <c r="BA73" s="176">
        <f t="shared" ca="1" si="130"/>
        <v>0</v>
      </c>
      <c r="BB73" s="176">
        <f t="shared" ca="1" si="131"/>
        <v>0</v>
      </c>
      <c r="BC73" s="176">
        <f t="shared" ca="1" si="132"/>
        <v>0</v>
      </c>
    </row>
    <row r="74" spans="1:55">
      <c r="A74" s="1">
        <f t="shared" ca="1" si="92"/>
        <v>0</v>
      </c>
      <c r="B74" s="1" t="s">
        <v>133</v>
      </c>
      <c r="C74" s="1" t="str">
        <f t="shared" ca="1" si="93"/>
        <v/>
      </c>
      <c r="D74" s="1" t="str">
        <f t="shared" ca="1" si="94"/>
        <v/>
      </c>
      <c r="E74" s="173" t="str" cm="1">
        <f t="array" aca="1" ref="E74" ca="1">_xlfn.IFS(OR(ISBLANK(StartDateMonth),ISBLANK(StartDateYear)),"",E73&gt;=DATEVALUE(CompletionMonth&amp;CompletionYear)+1,"",TRUE,EDATE(E73,1))</f>
        <v/>
      </c>
      <c r="F74" s="176">
        <f t="shared" ref="F74:O83" ca="1" si="133">IF($A74=1,INDEX(DevelopmentCosts,MATCH(F$3,TotalDevCostsList,0),MATCH($B74,DevelopmentCostTitle,0)),0)</f>
        <v>0</v>
      </c>
      <c r="G74" s="176">
        <f t="shared" ca="1" si="133"/>
        <v>0</v>
      </c>
      <c r="H74" s="176">
        <f t="shared" ca="1" si="133"/>
        <v>0</v>
      </c>
      <c r="I74" s="176">
        <f t="shared" ca="1" si="133"/>
        <v>0</v>
      </c>
      <c r="J74" s="176">
        <f t="shared" ca="1" si="133"/>
        <v>0</v>
      </c>
      <c r="K74" s="176">
        <f t="shared" ca="1" si="133"/>
        <v>0</v>
      </c>
      <c r="L74" s="176">
        <f t="shared" ca="1" si="133"/>
        <v>0</v>
      </c>
      <c r="M74" s="176">
        <f t="shared" ca="1" si="133"/>
        <v>0</v>
      </c>
      <c r="N74" s="176">
        <f t="shared" ca="1" si="133"/>
        <v>0</v>
      </c>
      <c r="O74" s="176">
        <f t="shared" ca="1" si="133"/>
        <v>0</v>
      </c>
      <c r="P74" s="176">
        <f t="shared" ca="1" si="95"/>
        <v>0</v>
      </c>
      <c r="Q74" s="176">
        <f t="shared" ca="1" si="96"/>
        <v>0</v>
      </c>
      <c r="R74" s="176">
        <f t="shared" ca="1" si="97"/>
        <v>0</v>
      </c>
      <c r="S74" s="176">
        <f t="shared" ca="1" si="98"/>
        <v>0</v>
      </c>
      <c r="T74" s="176">
        <f t="shared" ca="1" si="99"/>
        <v>0</v>
      </c>
      <c r="U74" s="176">
        <f t="shared" ca="1" si="100"/>
        <v>0</v>
      </c>
      <c r="V74" s="176">
        <f t="shared" ca="1" si="101"/>
        <v>0</v>
      </c>
      <c r="W74" s="177">
        <f t="shared" ca="1" si="102"/>
        <v>600</v>
      </c>
      <c r="X74" s="177">
        <f t="shared" ca="1" si="103"/>
        <v>0</v>
      </c>
      <c r="Y74" s="177">
        <f t="shared" ca="1" si="104"/>
        <v>0</v>
      </c>
      <c r="Z74" s="177">
        <f t="shared" ca="1" si="105"/>
        <v>0</v>
      </c>
      <c r="AA74" s="177">
        <f t="shared" ca="1" si="106"/>
        <v>0</v>
      </c>
      <c r="AB74" s="177">
        <f t="shared" ca="1" si="107"/>
        <v>0</v>
      </c>
      <c r="AC74" s="177">
        <f t="shared" ca="1" si="108"/>
        <v>0</v>
      </c>
      <c r="AD74" s="177">
        <f t="shared" ca="1" si="109"/>
        <v>0</v>
      </c>
      <c r="AE74" s="177">
        <f t="shared" ca="1" si="110"/>
        <v>0</v>
      </c>
      <c r="AF74" s="177">
        <f t="shared" ca="1" si="111"/>
        <v>0</v>
      </c>
      <c r="AG74" s="177">
        <f t="shared" ca="1" si="91"/>
        <v>600</v>
      </c>
      <c r="AH74" s="177">
        <f t="shared" ca="1" si="91"/>
        <v>600</v>
      </c>
      <c r="AI74" s="177">
        <f t="shared" ca="1" si="112"/>
        <v>0</v>
      </c>
      <c r="AJ74" s="177">
        <f t="shared" ca="1" si="113"/>
        <v>0</v>
      </c>
      <c r="AK74" s="177">
        <f t="shared" ca="1" si="114"/>
        <v>0</v>
      </c>
      <c r="AL74" s="177">
        <f t="shared" ca="1" si="115"/>
        <v>0</v>
      </c>
      <c r="AM74" s="177">
        <f t="shared" ca="1" si="116"/>
        <v>0</v>
      </c>
      <c r="AN74" s="177">
        <f t="shared" ca="1" si="117"/>
        <v>0</v>
      </c>
      <c r="AO74" s="177">
        <f t="shared" ca="1" si="118"/>
        <v>0</v>
      </c>
      <c r="AP74" s="177">
        <f t="shared" ca="1" si="119"/>
        <v>0</v>
      </c>
      <c r="AQ74" s="177">
        <f t="shared" ca="1" si="120"/>
        <v>0</v>
      </c>
      <c r="AR74" s="177">
        <f t="shared" ca="1" si="121"/>
        <v>600</v>
      </c>
      <c r="AS74" s="176">
        <f t="shared" ca="1" si="122"/>
        <v>0</v>
      </c>
      <c r="AT74" s="176">
        <f t="shared" ca="1" si="123"/>
        <v>0</v>
      </c>
      <c r="AU74" s="176">
        <f t="shared" ca="1" si="124"/>
        <v>0</v>
      </c>
      <c r="AV74" s="176">
        <f t="shared" ca="1" si="125"/>
        <v>0</v>
      </c>
      <c r="AW74" s="176">
        <f t="shared" ca="1" si="126"/>
        <v>0</v>
      </c>
      <c r="AX74" s="176">
        <f t="shared" ca="1" si="127"/>
        <v>0</v>
      </c>
      <c r="AY74" s="176">
        <f t="shared" ca="1" si="128"/>
        <v>0</v>
      </c>
      <c r="AZ74" s="176">
        <f t="shared" ca="1" si="129"/>
        <v>0</v>
      </c>
      <c r="BA74" s="176">
        <f t="shared" ca="1" si="130"/>
        <v>0</v>
      </c>
      <c r="BB74" s="176">
        <f t="shared" ca="1" si="131"/>
        <v>0</v>
      </c>
      <c r="BC74" s="176">
        <f t="shared" ca="1" si="132"/>
        <v>0</v>
      </c>
    </row>
    <row r="75" spans="1:55">
      <c r="A75" s="1">
        <f t="shared" ca="1" si="92"/>
        <v>0</v>
      </c>
      <c r="B75" s="1" t="s">
        <v>134</v>
      </c>
      <c r="C75" s="1" t="str">
        <f t="shared" ca="1" si="93"/>
        <v/>
      </c>
      <c r="D75" s="1" t="str">
        <f t="shared" ca="1" si="94"/>
        <v/>
      </c>
      <c r="E75" s="173" t="str" cm="1">
        <f t="array" aca="1" ref="E75" ca="1">_xlfn.IFS(OR(ISBLANK(StartDateMonth),ISBLANK(StartDateYear)),"",E74&gt;=DATEVALUE(CompletionMonth&amp;CompletionYear)+1,"",TRUE,EDATE(E74,1))</f>
        <v/>
      </c>
      <c r="F75" s="176">
        <f t="shared" ca="1" si="133"/>
        <v>0</v>
      </c>
      <c r="G75" s="176">
        <f t="shared" ca="1" si="133"/>
        <v>0</v>
      </c>
      <c r="H75" s="176">
        <f t="shared" ca="1" si="133"/>
        <v>0</v>
      </c>
      <c r="I75" s="176">
        <f t="shared" ca="1" si="133"/>
        <v>0</v>
      </c>
      <c r="J75" s="176">
        <f t="shared" ca="1" si="133"/>
        <v>0</v>
      </c>
      <c r="K75" s="176">
        <f t="shared" ca="1" si="133"/>
        <v>0</v>
      </c>
      <c r="L75" s="176">
        <f t="shared" ca="1" si="133"/>
        <v>0</v>
      </c>
      <c r="M75" s="176">
        <f t="shared" ca="1" si="133"/>
        <v>0</v>
      </c>
      <c r="N75" s="176">
        <f t="shared" ca="1" si="133"/>
        <v>0</v>
      </c>
      <c r="O75" s="176">
        <f t="shared" ca="1" si="133"/>
        <v>0</v>
      </c>
      <c r="P75" s="176">
        <f t="shared" ca="1" si="95"/>
        <v>0</v>
      </c>
      <c r="Q75" s="176">
        <f t="shared" ca="1" si="96"/>
        <v>0</v>
      </c>
      <c r="R75" s="176">
        <f t="shared" ca="1" si="97"/>
        <v>0</v>
      </c>
      <c r="S75" s="176">
        <f t="shared" ca="1" si="98"/>
        <v>0</v>
      </c>
      <c r="T75" s="176">
        <f t="shared" ca="1" si="99"/>
        <v>0</v>
      </c>
      <c r="U75" s="176">
        <f t="shared" ca="1" si="100"/>
        <v>0</v>
      </c>
      <c r="V75" s="176">
        <f t="shared" ca="1" si="101"/>
        <v>0</v>
      </c>
      <c r="W75" s="177">
        <f t="shared" ca="1" si="102"/>
        <v>600</v>
      </c>
      <c r="X75" s="177">
        <f t="shared" ca="1" si="103"/>
        <v>0</v>
      </c>
      <c r="Y75" s="177">
        <f t="shared" ca="1" si="104"/>
        <v>0</v>
      </c>
      <c r="Z75" s="177">
        <f t="shared" ca="1" si="105"/>
        <v>0</v>
      </c>
      <c r="AA75" s="177">
        <f t="shared" ca="1" si="106"/>
        <v>0</v>
      </c>
      <c r="AB75" s="177">
        <f t="shared" ca="1" si="107"/>
        <v>0</v>
      </c>
      <c r="AC75" s="177">
        <f t="shared" ca="1" si="108"/>
        <v>0</v>
      </c>
      <c r="AD75" s="177">
        <f t="shared" ca="1" si="109"/>
        <v>0</v>
      </c>
      <c r="AE75" s="177">
        <f t="shared" ca="1" si="110"/>
        <v>0</v>
      </c>
      <c r="AF75" s="177">
        <f t="shared" ca="1" si="111"/>
        <v>0</v>
      </c>
      <c r="AG75" s="177">
        <f t="shared" ca="1" si="91"/>
        <v>600</v>
      </c>
      <c r="AH75" s="177">
        <f t="shared" ca="1" si="91"/>
        <v>600</v>
      </c>
      <c r="AI75" s="177">
        <f t="shared" ca="1" si="112"/>
        <v>0</v>
      </c>
      <c r="AJ75" s="177">
        <f t="shared" ca="1" si="113"/>
        <v>0</v>
      </c>
      <c r="AK75" s="177">
        <f t="shared" ca="1" si="114"/>
        <v>0</v>
      </c>
      <c r="AL75" s="177">
        <f t="shared" ca="1" si="115"/>
        <v>0</v>
      </c>
      <c r="AM75" s="177">
        <f t="shared" ca="1" si="116"/>
        <v>0</v>
      </c>
      <c r="AN75" s="177">
        <f t="shared" ca="1" si="117"/>
        <v>0</v>
      </c>
      <c r="AO75" s="177">
        <f t="shared" ca="1" si="118"/>
        <v>0</v>
      </c>
      <c r="AP75" s="177">
        <f t="shared" ca="1" si="119"/>
        <v>0</v>
      </c>
      <c r="AQ75" s="177">
        <f t="shared" ca="1" si="120"/>
        <v>0</v>
      </c>
      <c r="AR75" s="177">
        <f t="shared" ca="1" si="121"/>
        <v>600</v>
      </c>
      <c r="AS75" s="176">
        <f t="shared" ca="1" si="122"/>
        <v>0</v>
      </c>
      <c r="AT75" s="176">
        <f t="shared" ca="1" si="123"/>
        <v>0</v>
      </c>
      <c r="AU75" s="176">
        <f t="shared" ca="1" si="124"/>
        <v>0</v>
      </c>
      <c r="AV75" s="176">
        <f t="shared" ca="1" si="125"/>
        <v>0</v>
      </c>
      <c r="AW75" s="176">
        <f t="shared" ca="1" si="126"/>
        <v>0</v>
      </c>
      <c r="AX75" s="176">
        <f t="shared" ca="1" si="127"/>
        <v>0</v>
      </c>
      <c r="AY75" s="176">
        <f t="shared" ca="1" si="128"/>
        <v>0</v>
      </c>
      <c r="AZ75" s="176">
        <f t="shared" ca="1" si="129"/>
        <v>0</v>
      </c>
      <c r="BA75" s="176">
        <f t="shared" ca="1" si="130"/>
        <v>0</v>
      </c>
      <c r="BB75" s="176">
        <f t="shared" ca="1" si="131"/>
        <v>0</v>
      </c>
      <c r="BC75" s="176">
        <f t="shared" ca="1" si="132"/>
        <v>0</v>
      </c>
    </row>
    <row r="76" spans="1:55">
      <c r="A76" s="1">
        <f t="shared" ca="1" si="92"/>
        <v>0</v>
      </c>
      <c r="B76" s="1" t="s">
        <v>135</v>
      </c>
      <c r="C76" s="1" t="str">
        <f t="shared" ca="1" si="93"/>
        <v/>
      </c>
      <c r="D76" s="1" t="str">
        <f t="shared" ca="1" si="94"/>
        <v/>
      </c>
      <c r="E76" s="173" t="str" cm="1">
        <f t="array" aca="1" ref="E76" ca="1">_xlfn.IFS(OR(ISBLANK(StartDateMonth),ISBLANK(StartDateYear)),"",E75&gt;=DATEVALUE(CompletionMonth&amp;CompletionYear)+1,"",TRUE,EDATE(E75,1))</f>
        <v/>
      </c>
      <c r="F76" s="176">
        <f t="shared" ca="1" si="133"/>
        <v>0</v>
      </c>
      <c r="G76" s="176">
        <f t="shared" ca="1" si="133"/>
        <v>0</v>
      </c>
      <c r="H76" s="176">
        <f t="shared" ca="1" si="133"/>
        <v>0</v>
      </c>
      <c r="I76" s="176">
        <f t="shared" ca="1" si="133"/>
        <v>0</v>
      </c>
      <c r="J76" s="176">
        <f t="shared" ca="1" si="133"/>
        <v>0</v>
      </c>
      <c r="K76" s="176">
        <f t="shared" ca="1" si="133"/>
        <v>0</v>
      </c>
      <c r="L76" s="176">
        <f t="shared" ca="1" si="133"/>
        <v>0</v>
      </c>
      <c r="M76" s="176">
        <f t="shared" ca="1" si="133"/>
        <v>0</v>
      </c>
      <c r="N76" s="176">
        <f t="shared" ca="1" si="133"/>
        <v>0</v>
      </c>
      <c r="O76" s="176">
        <f t="shared" ca="1" si="133"/>
        <v>0</v>
      </c>
      <c r="P76" s="176">
        <f t="shared" ca="1" si="95"/>
        <v>0</v>
      </c>
      <c r="Q76" s="176">
        <f t="shared" ca="1" si="96"/>
        <v>0</v>
      </c>
      <c r="R76" s="176">
        <f t="shared" ca="1" si="97"/>
        <v>0</v>
      </c>
      <c r="S76" s="176">
        <f t="shared" ca="1" si="98"/>
        <v>0</v>
      </c>
      <c r="T76" s="176">
        <f t="shared" ca="1" si="99"/>
        <v>0</v>
      </c>
      <c r="U76" s="176">
        <f t="shared" ca="1" si="100"/>
        <v>0</v>
      </c>
      <c r="V76" s="176">
        <f t="shared" ca="1" si="101"/>
        <v>0</v>
      </c>
      <c r="W76" s="177">
        <f t="shared" ca="1" si="102"/>
        <v>600</v>
      </c>
      <c r="X76" s="177">
        <f t="shared" ca="1" si="103"/>
        <v>0</v>
      </c>
      <c r="Y76" s="177">
        <f t="shared" ca="1" si="104"/>
        <v>0</v>
      </c>
      <c r="Z76" s="177">
        <f t="shared" ca="1" si="105"/>
        <v>0</v>
      </c>
      <c r="AA76" s="177">
        <f t="shared" ca="1" si="106"/>
        <v>0</v>
      </c>
      <c r="AB76" s="177">
        <f t="shared" ca="1" si="107"/>
        <v>0</v>
      </c>
      <c r="AC76" s="177">
        <f t="shared" ca="1" si="108"/>
        <v>0</v>
      </c>
      <c r="AD76" s="177">
        <f t="shared" ca="1" si="109"/>
        <v>0</v>
      </c>
      <c r="AE76" s="177">
        <f t="shared" ca="1" si="110"/>
        <v>0</v>
      </c>
      <c r="AF76" s="177">
        <f t="shared" ca="1" si="111"/>
        <v>0</v>
      </c>
      <c r="AG76" s="177">
        <f t="shared" ca="1" si="91"/>
        <v>600</v>
      </c>
      <c r="AH76" s="177">
        <f t="shared" ca="1" si="91"/>
        <v>600</v>
      </c>
      <c r="AI76" s="177">
        <f t="shared" ca="1" si="112"/>
        <v>0</v>
      </c>
      <c r="AJ76" s="177">
        <f t="shared" ca="1" si="113"/>
        <v>0</v>
      </c>
      <c r="AK76" s="177">
        <f t="shared" ca="1" si="114"/>
        <v>0</v>
      </c>
      <c r="AL76" s="177">
        <f t="shared" ca="1" si="115"/>
        <v>0</v>
      </c>
      <c r="AM76" s="177">
        <f t="shared" ca="1" si="116"/>
        <v>0</v>
      </c>
      <c r="AN76" s="177">
        <f t="shared" ca="1" si="117"/>
        <v>0</v>
      </c>
      <c r="AO76" s="177">
        <f t="shared" ca="1" si="118"/>
        <v>0</v>
      </c>
      <c r="AP76" s="177">
        <f t="shared" ca="1" si="119"/>
        <v>0</v>
      </c>
      <c r="AQ76" s="177">
        <f t="shared" ca="1" si="120"/>
        <v>0</v>
      </c>
      <c r="AR76" s="177">
        <f t="shared" ca="1" si="121"/>
        <v>600</v>
      </c>
      <c r="AS76" s="176">
        <f t="shared" ca="1" si="122"/>
        <v>0</v>
      </c>
      <c r="AT76" s="176">
        <f t="shared" ca="1" si="123"/>
        <v>0</v>
      </c>
      <c r="AU76" s="176">
        <f t="shared" ca="1" si="124"/>
        <v>0</v>
      </c>
      <c r="AV76" s="176">
        <f t="shared" ca="1" si="125"/>
        <v>0</v>
      </c>
      <c r="AW76" s="176">
        <f t="shared" ca="1" si="126"/>
        <v>0</v>
      </c>
      <c r="AX76" s="176">
        <f t="shared" ca="1" si="127"/>
        <v>0</v>
      </c>
      <c r="AY76" s="176">
        <f t="shared" ca="1" si="128"/>
        <v>0</v>
      </c>
      <c r="AZ76" s="176">
        <f t="shared" ca="1" si="129"/>
        <v>0</v>
      </c>
      <c r="BA76" s="176">
        <f t="shared" ca="1" si="130"/>
        <v>0</v>
      </c>
      <c r="BB76" s="176">
        <f t="shared" ca="1" si="131"/>
        <v>0</v>
      </c>
      <c r="BC76" s="176">
        <f t="shared" ca="1" si="132"/>
        <v>0</v>
      </c>
    </row>
    <row r="77" spans="1:55">
      <c r="A77" s="1">
        <f t="shared" ca="1" si="92"/>
        <v>0</v>
      </c>
      <c r="B77" s="1" t="s">
        <v>136</v>
      </c>
      <c r="C77" s="1" t="str">
        <f t="shared" ca="1" si="93"/>
        <v/>
      </c>
      <c r="D77" s="1" t="str">
        <f t="shared" ca="1" si="94"/>
        <v/>
      </c>
      <c r="E77" s="173" t="str" cm="1">
        <f t="array" aca="1" ref="E77" ca="1">_xlfn.IFS(OR(ISBLANK(StartDateMonth),ISBLANK(StartDateYear)),"",E76&gt;=DATEVALUE(CompletionMonth&amp;CompletionYear)+1,"",TRUE,EDATE(E76,1))</f>
        <v/>
      </c>
      <c r="F77" s="176">
        <f t="shared" ca="1" si="133"/>
        <v>0</v>
      </c>
      <c r="G77" s="176">
        <f t="shared" ca="1" si="133"/>
        <v>0</v>
      </c>
      <c r="H77" s="176">
        <f t="shared" ca="1" si="133"/>
        <v>0</v>
      </c>
      <c r="I77" s="176">
        <f t="shared" ca="1" si="133"/>
        <v>0</v>
      </c>
      <c r="J77" s="176">
        <f t="shared" ca="1" si="133"/>
        <v>0</v>
      </c>
      <c r="K77" s="176">
        <f t="shared" ca="1" si="133"/>
        <v>0</v>
      </c>
      <c r="L77" s="176">
        <f t="shared" ca="1" si="133"/>
        <v>0</v>
      </c>
      <c r="M77" s="176">
        <f t="shared" ca="1" si="133"/>
        <v>0</v>
      </c>
      <c r="N77" s="176">
        <f t="shared" ca="1" si="133"/>
        <v>0</v>
      </c>
      <c r="O77" s="176">
        <f t="shared" ca="1" si="133"/>
        <v>0</v>
      </c>
      <c r="P77" s="176">
        <f t="shared" ca="1" si="95"/>
        <v>0</v>
      </c>
      <c r="Q77" s="176">
        <f t="shared" ca="1" si="96"/>
        <v>0</v>
      </c>
      <c r="R77" s="176">
        <f t="shared" ca="1" si="97"/>
        <v>0</v>
      </c>
      <c r="S77" s="176">
        <f t="shared" ca="1" si="98"/>
        <v>0</v>
      </c>
      <c r="T77" s="176">
        <f t="shared" ca="1" si="99"/>
        <v>0</v>
      </c>
      <c r="U77" s="176">
        <f t="shared" ca="1" si="100"/>
        <v>0</v>
      </c>
      <c r="V77" s="176">
        <f t="shared" ca="1" si="101"/>
        <v>0</v>
      </c>
      <c r="W77" s="177">
        <f t="shared" ca="1" si="102"/>
        <v>600</v>
      </c>
      <c r="X77" s="177">
        <f t="shared" ca="1" si="103"/>
        <v>0</v>
      </c>
      <c r="Y77" s="177">
        <f t="shared" ca="1" si="104"/>
        <v>0</v>
      </c>
      <c r="Z77" s="177">
        <f t="shared" ca="1" si="105"/>
        <v>0</v>
      </c>
      <c r="AA77" s="177">
        <f t="shared" ca="1" si="106"/>
        <v>0</v>
      </c>
      <c r="AB77" s="177">
        <f t="shared" ca="1" si="107"/>
        <v>0</v>
      </c>
      <c r="AC77" s="177">
        <f t="shared" ca="1" si="108"/>
        <v>0</v>
      </c>
      <c r="AD77" s="177">
        <f t="shared" ca="1" si="109"/>
        <v>0</v>
      </c>
      <c r="AE77" s="177">
        <f t="shared" ca="1" si="110"/>
        <v>0</v>
      </c>
      <c r="AF77" s="177">
        <f t="shared" ca="1" si="111"/>
        <v>0</v>
      </c>
      <c r="AG77" s="177">
        <f t="shared" ca="1" si="91"/>
        <v>600</v>
      </c>
      <c r="AH77" s="177">
        <f t="shared" ca="1" si="91"/>
        <v>600</v>
      </c>
      <c r="AI77" s="177">
        <f t="shared" ca="1" si="112"/>
        <v>0</v>
      </c>
      <c r="AJ77" s="177">
        <f t="shared" ca="1" si="113"/>
        <v>0</v>
      </c>
      <c r="AK77" s="177">
        <f t="shared" ca="1" si="114"/>
        <v>0</v>
      </c>
      <c r="AL77" s="177">
        <f t="shared" ca="1" si="115"/>
        <v>0</v>
      </c>
      <c r="AM77" s="177">
        <f t="shared" ca="1" si="116"/>
        <v>0</v>
      </c>
      <c r="AN77" s="177">
        <f t="shared" ca="1" si="117"/>
        <v>0</v>
      </c>
      <c r="AO77" s="177">
        <f t="shared" ca="1" si="118"/>
        <v>0</v>
      </c>
      <c r="AP77" s="177">
        <f t="shared" ca="1" si="119"/>
        <v>0</v>
      </c>
      <c r="AQ77" s="177">
        <f t="shared" ca="1" si="120"/>
        <v>0</v>
      </c>
      <c r="AR77" s="177">
        <f t="shared" ca="1" si="121"/>
        <v>600</v>
      </c>
      <c r="AS77" s="176">
        <f t="shared" ca="1" si="122"/>
        <v>0</v>
      </c>
      <c r="AT77" s="176">
        <f t="shared" ca="1" si="123"/>
        <v>0</v>
      </c>
      <c r="AU77" s="176">
        <f t="shared" ca="1" si="124"/>
        <v>0</v>
      </c>
      <c r="AV77" s="176">
        <f t="shared" ca="1" si="125"/>
        <v>0</v>
      </c>
      <c r="AW77" s="176">
        <f t="shared" ca="1" si="126"/>
        <v>0</v>
      </c>
      <c r="AX77" s="176">
        <f t="shared" ca="1" si="127"/>
        <v>0</v>
      </c>
      <c r="AY77" s="176">
        <f t="shared" ca="1" si="128"/>
        <v>0</v>
      </c>
      <c r="AZ77" s="176">
        <f t="shared" ca="1" si="129"/>
        <v>0</v>
      </c>
      <c r="BA77" s="176">
        <f t="shared" ca="1" si="130"/>
        <v>0</v>
      </c>
      <c r="BB77" s="176">
        <f t="shared" ca="1" si="131"/>
        <v>0</v>
      </c>
      <c r="BC77" s="176">
        <f t="shared" ca="1" si="132"/>
        <v>0</v>
      </c>
    </row>
    <row r="78" spans="1:55">
      <c r="A78" s="1">
        <f t="shared" ca="1" si="92"/>
        <v>0</v>
      </c>
      <c r="B78" s="1" t="s">
        <v>137</v>
      </c>
      <c r="C78" s="1" t="str">
        <f t="shared" ca="1" si="93"/>
        <v/>
      </c>
      <c r="D78" s="1" t="str">
        <f t="shared" ca="1" si="94"/>
        <v/>
      </c>
      <c r="E78" s="173" t="str" cm="1">
        <f t="array" aca="1" ref="E78" ca="1">_xlfn.IFS(OR(ISBLANK(StartDateMonth),ISBLANK(StartDateYear)),"",E77&gt;=DATEVALUE(CompletionMonth&amp;CompletionYear)+1,"",TRUE,EDATE(E77,1))</f>
        <v/>
      </c>
      <c r="F78" s="176">
        <f t="shared" ca="1" si="133"/>
        <v>0</v>
      </c>
      <c r="G78" s="176">
        <f t="shared" ca="1" si="133"/>
        <v>0</v>
      </c>
      <c r="H78" s="176">
        <f t="shared" ca="1" si="133"/>
        <v>0</v>
      </c>
      <c r="I78" s="176">
        <f t="shared" ca="1" si="133"/>
        <v>0</v>
      </c>
      <c r="J78" s="176">
        <f t="shared" ca="1" si="133"/>
        <v>0</v>
      </c>
      <c r="K78" s="176">
        <f t="shared" ca="1" si="133"/>
        <v>0</v>
      </c>
      <c r="L78" s="176">
        <f t="shared" ca="1" si="133"/>
        <v>0</v>
      </c>
      <c r="M78" s="176">
        <f t="shared" ca="1" si="133"/>
        <v>0</v>
      </c>
      <c r="N78" s="176">
        <f t="shared" ca="1" si="133"/>
        <v>0</v>
      </c>
      <c r="O78" s="176">
        <f t="shared" ca="1" si="133"/>
        <v>0</v>
      </c>
      <c r="P78" s="176">
        <f t="shared" ca="1" si="95"/>
        <v>0</v>
      </c>
      <c r="Q78" s="176">
        <f t="shared" ca="1" si="96"/>
        <v>0</v>
      </c>
      <c r="R78" s="176">
        <f t="shared" ca="1" si="97"/>
        <v>0</v>
      </c>
      <c r="S78" s="176">
        <f t="shared" ca="1" si="98"/>
        <v>0</v>
      </c>
      <c r="T78" s="176">
        <f t="shared" ca="1" si="99"/>
        <v>0</v>
      </c>
      <c r="U78" s="176">
        <f t="shared" ca="1" si="100"/>
        <v>0</v>
      </c>
      <c r="V78" s="176">
        <f t="shared" ca="1" si="101"/>
        <v>0</v>
      </c>
      <c r="W78" s="177">
        <f t="shared" ca="1" si="102"/>
        <v>600</v>
      </c>
      <c r="X78" s="177">
        <f t="shared" ca="1" si="103"/>
        <v>0</v>
      </c>
      <c r="Y78" s="177">
        <f t="shared" ca="1" si="104"/>
        <v>0</v>
      </c>
      <c r="Z78" s="177">
        <f t="shared" ca="1" si="105"/>
        <v>0</v>
      </c>
      <c r="AA78" s="177">
        <f t="shared" ca="1" si="106"/>
        <v>0</v>
      </c>
      <c r="AB78" s="177">
        <f t="shared" ca="1" si="107"/>
        <v>0</v>
      </c>
      <c r="AC78" s="177">
        <f t="shared" ca="1" si="108"/>
        <v>0</v>
      </c>
      <c r="AD78" s="177">
        <f t="shared" ca="1" si="109"/>
        <v>0</v>
      </c>
      <c r="AE78" s="177">
        <f t="shared" ca="1" si="110"/>
        <v>0</v>
      </c>
      <c r="AF78" s="177">
        <f t="shared" ca="1" si="111"/>
        <v>0</v>
      </c>
      <c r="AG78" s="177">
        <f t="shared" ca="1" si="91"/>
        <v>600</v>
      </c>
      <c r="AH78" s="177">
        <f t="shared" ca="1" si="91"/>
        <v>600</v>
      </c>
      <c r="AI78" s="177">
        <f t="shared" ca="1" si="112"/>
        <v>0</v>
      </c>
      <c r="AJ78" s="177">
        <f t="shared" ca="1" si="113"/>
        <v>0</v>
      </c>
      <c r="AK78" s="177">
        <f t="shared" ca="1" si="114"/>
        <v>0</v>
      </c>
      <c r="AL78" s="177">
        <f t="shared" ca="1" si="115"/>
        <v>0</v>
      </c>
      <c r="AM78" s="177">
        <f t="shared" ca="1" si="116"/>
        <v>0</v>
      </c>
      <c r="AN78" s="177">
        <f t="shared" ca="1" si="117"/>
        <v>0</v>
      </c>
      <c r="AO78" s="177">
        <f t="shared" ca="1" si="118"/>
        <v>0</v>
      </c>
      <c r="AP78" s="177">
        <f t="shared" ca="1" si="119"/>
        <v>0</v>
      </c>
      <c r="AQ78" s="177">
        <f t="shared" ca="1" si="120"/>
        <v>0</v>
      </c>
      <c r="AR78" s="177">
        <f t="shared" ca="1" si="121"/>
        <v>600</v>
      </c>
      <c r="AS78" s="176">
        <f t="shared" ca="1" si="122"/>
        <v>0</v>
      </c>
      <c r="AT78" s="176">
        <f t="shared" ca="1" si="123"/>
        <v>0</v>
      </c>
      <c r="AU78" s="176">
        <f t="shared" ca="1" si="124"/>
        <v>0</v>
      </c>
      <c r="AV78" s="176">
        <f t="shared" ca="1" si="125"/>
        <v>0</v>
      </c>
      <c r="AW78" s="176">
        <f t="shared" ca="1" si="126"/>
        <v>0</v>
      </c>
      <c r="AX78" s="176">
        <f t="shared" ca="1" si="127"/>
        <v>0</v>
      </c>
      <c r="AY78" s="176">
        <f t="shared" ca="1" si="128"/>
        <v>0</v>
      </c>
      <c r="AZ78" s="176">
        <f t="shared" ca="1" si="129"/>
        <v>0</v>
      </c>
      <c r="BA78" s="176">
        <f t="shared" ca="1" si="130"/>
        <v>0</v>
      </c>
      <c r="BB78" s="176">
        <f t="shared" ca="1" si="131"/>
        <v>0</v>
      </c>
      <c r="BC78" s="176">
        <f t="shared" ca="1" si="132"/>
        <v>0</v>
      </c>
    </row>
    <row r="79" spans="1:55">
      <c r="A79" s="1">
        <f t="shared" ca="1" si="92"/>
        <v>0</v>
      </c>
      <c r="B79" s="1" t="s">
        <v>138</v>
      </c>
      <c r="C79" s="1" t="str">
        <f t="shared" ca="1" si="93"/>
        <v/>
      </c>
      <c r="D79" s="1" t="str">
        <f t="shared" ca="1" si="94"/>
        <v/>
      </c>
      <c r="E79" s="173" t="str" cm="1">
        <f t="array" aca="1" ref="E79" ca="1">_xlfn.IFS(OR(ISBLANK(StartDateMonth),ISBLANK(StartDateYear)),"",E78&gt;=DATEVALUE(CompletionMonth&amp;CompletionYear)+1,"",TRUE,EDATE(E78,1))</f>
        <v/>
      </c>
      <c r="F79" s="176">
        <f t="shared" ca="1" si="133"/>
        <v>0</v>
      </c>
      <c r="G79" s="176">
        <f t="shared" ca="1" si="133"/>
        <v>0</v>
      </c>
      <c r="H79" s="176">
        <f t="shared" ca="1" si="133"/>
        <v>0</v>
      </c>
      <c r="I79" s="176">
        <f t="shared" ca="1" si="133"/>
        <v>0</v>
      </c>
      <c r="J79" s="176">
        <f t="shared" ca="1" si="133"/>
        <v>0</v>
      </c>
      <c r="K79" s="176">
        <f t="shared" ca="1" si="133"/>
        <v>0</v>
      </c>
      <c r="L79" s="176">
        <f t="shared" ca="1" si="133"/>
        <v>0</v>
      </c>
      <c r="M79" s="176">
        <f t="shared" ca="1" si="133"/>
        <v>0</v>
      </c>
      <c r="N79" s="176">
        <f t="shared" ca="1" si="133"/>
        <v>0</v>
      </c>
      <c r="O79" s="176">
        <f t="shared" ca="1" si="133"/>
        <v>0</v>
      </c>
      <c r="P79" s="176">
        <f t="shared" ca="1" si="95"/>
        <v>0</v>
      </c>
      <c r="Q79" s="176">
        <f t="shared" ca="1" si="96"/>
        <v>0</v>
      </c>
      <c r="R79" s="176">
        <f t="shared" ca="1" si="97"/>
        <v>0</v>
      </c>
      <c r="S79" s="176">
        <f t="shared" ca="1" si="98"/>
        <v>0</v>
      </c>
      <c r="T79" s="176">
        <f t="shared" ca="1" si="99"/>
        <v>0</v>
      </c>
      <c r="U79" s="176">
        <f t="shared" ca="1" si="100"/>
        <v>0</v>
      </c>
      <c r="V79" s="176">
        <f t="shared" ca="1" si="101"/>
        <v>0</v>
      </c>
      <c r="W79" s="177">
        <f t="shared" ca="1" si="102"/>
        <v>600</v>
      </c>
      <c r="X79" s="177">
        <f t="shared" ca="1" si="103"/>
        <v>0</v>
      </c>
      <c r="Y79" s="177">
        <f t="shared" ca="1" si="104"/>
        <v>0</v>
      </c>
      <c r="Z79" s="177">
        <f t="shared" ca="1" si="105"/>
        <v>0</v>
      </c>
      <c r="AA79" s="177">
        <f t="shared" ca="1" si="106"/>
        <v>0</v>
      </c>
      <c r="AB79" s="177">
        <f t="shared" ca="1" si="107"/>
        <v>0</v>
      </c>
      <c r="AC79" s="177">
        <f t="shared" ca="1" si="108"/>
        <v>0</v>
      </c>
      <c r="AD79" s="177">
        <f t="shared" ca="1" si="109"/>
        <v>0</v>
      </c>
      <c r="AE79" s="177">
        <f t="shared" ca="1" si="110"/>
        <v>0</v>
      </c>
      <c r="AF79" s="177">
        <f t="shared" ca="1" si="111"/>
        <v>0</v>
      </c>
      <c r="AG79" s="177">
        <f t="shared" ca="1" si="91"/>
        <v>600</v>
      </c>
      <c r="AH79" s="177">
        <f t="shared" ca="1" si="91"/>
        <v>600</v>
      </c>
      <c r="AI79" s="177">
        <f t="shared" ca="1" si="112"/>
        <v>0</v>
      </c>
      <c r="AJ79" s="177">
        <f t="shared" ca="1" si="113"/>
        <v>0</v>
      </c>
      <c r="AK79" s="177">
        <f t="shared" ca="1" si="114"/>
        <v>0</v>
      </c>
      <c r="AL79" s="177">
        <f t="shared" ca="1" si="115"/>
        <v>0</v>
      </c>
      <c r="AM79" s="177">
        <f t="shared" ca="1" si="116"/>
        <v>0</v>
      </c>
      <c r="AN79" s="177">
        <f t="shared" ca="1" si="117"/>
        <v>0</v>
      </c>
      <c r="AO79" s="177">
        <f t="shared" ca="1" si="118"/>
        <v>0</v>
      </c>
      <c r="AP79" s="177">
        <f t="shared" ca="1" si="119"/>
        <v>0</v>
      </c>
      <c r="AQ79" s="177">
        <f t="shared" ca="1" si="120"/>
        <v>0</v>
      </c>
      <c r="AR79" s="177">
        <f t="shared" ca="1" si="121"/>
        <v>600</v>
      </c>
      <c r="AS79" s="176">
        <f t="shared" ca="1" si="122"/>
        <v>0</v>
      </c>
      <c r="AT79" s="176">
        <f t="shared" ca="1" si="123"/>
        <v>0</v>
      </c>
      <c r="AU79" s="176">
        <f t="shared" ca="1" si="124"/>
        <v>0</v>
      </c>
      <c r="AV79" s="176">
        <f t="shared" ca="1" si="125"/>
        <v>0</v>
      </c>
      <c r="AW79" s="176">
        <f t="shared" ca="1" si="126"/>
        <v>0</v>
      </c>
      <c r="AX79" s="176">
        <f t="shared" ca="1" si="127"/>
        <v>0</v>
      </c>
      <c r="AY79" s="176">
        <f t="shared" ca="1" si="128"/>
        <v>0</v>
      </c>
      <c r="AZ79" s="176">
        <f t="shared" ca="1" si="129"/>
        <v>0</v>
      </c>
      <c r="BA79" s="176">
        <f t="shared" ca="1" si="130"/>
        <v>0</v>
      </c>
      <c r="BB79" s="176">
        <f t="shared" ca="1" si="131"/>
        <v>0</v>
      </c>
      <c r="BC79" s="176">
        <f t="shared" ca="1" si="132"/>
        <v>0</v>
      </c>
    </row>
    <row r="80" spans="1:55">
      <c r="A80" s="1">
        <f t="shared" ca="1" si="92"/>
        <v>0</v>
      </c>
      <c r="B80" s="1" t="s">
        <v>139</v>
      </c>
      <c r="C80" s="1" t="str">
        <f t="shared" ca="1" si="93"/>
        <v/>
      </c>
      <c r="D80" s="1" t="str">
        <f t="shared" ca="1" si="94"/>
        <v/>
      </c>
      <c r="E80" s="173" t="str" cm="1">
        <f t="array" aca="1" ref="E80" ca="1">_xlfn.IFS(OR(ISBLANK(StartDateMonth),ISBLANK(StartDateYear)),"",E79&gt;=DATEVALUE(CompletionMonth&amp;CompletionYear)+1,"",TRUE,EDATE(E79,1))</f>
        <v/>
      </c>
      <c r="F80" s="176">
        <f t="shared" ca="1" si="133"/>
        <v>0</v>
      </c>
      <c r="G80" s="176">
        <f t="shared" ca="1" si="133"/>
        <v>0</v>
      </c>
      <c r="H80" s="176">
        <f t="shared" ca="1" si="133"/>
        <v>0</v>
      </c>
      <c r="I80" s="176">
        <f t="shared" ca="1" si="133"/>
        <v>0</v>
      </c>
      <c r="J80" s="176">
        <f t="shared" ca="1" si="133"/>
        <v>0</v>
      </c>
      <c r="K80" s="176">
        <f t="shared" ca="1" si="133"/>
        <v>0</v>
      </c>
      <c r="L80" s="176">
        <f t="shared" ca="1" si="133"/>
        <v>0</v>
      </c>
      <c r="M80" s="176">
        <f t="shared" ca="1" si="133"/>
        <v>0</v>
      </c>
      <c r="N80" s="176">
        <f t="shared" ca="1" si="133"/>
        <v>0</v>
      </c>
      <c r="O80" s="176">
        <f t="shared" ca="1" si="133"/>
        <v>0</v>
      </c>
      <c r="P80" s="176">
        <f t="shared" ca="1" si="95"/>
        <v>0</v>
      </c>
      <c r="Q80" s="176">
        <f t="shared" ca="1" si="96"/>
        <v>0</v>
      </c>
      <c r="R80" s="176">
        <f t="shared" ca="1" si="97"/>
        <v>0</v>
      </c>
      <c r="S80" s="176">
        <f t="shared" ca="1" si="98"/>
        <v>0</v>
      </c>
      <c r="T80" s="176">
        <f t="shared" ca="1" si="99"/>
        <v>0</v>
      </c>
      <c r="U80" s="176">
        <f t="shared" ca="1" si="100"/>
        <v>0</v>
      </c>
      <c r="V80" s="176">
        <f t="shared" ca="1" si="101"/>
        <v>0</v>
      </c>
      <c r="W80" s="177">
        <f t="shared" ca="1" si="102"/>
        <v>600</v>
      </c>
      <c r="X80" s="177">
        <f t="shared" ca="1" si="103"/>
        <v>0</v>
      </c>
      <c r="Y80" s="177">
        <f t="shared" ca="1" si="104"/>
        <v>0</v>
      </c>
      <c r="Z80" s="177">
        <f t="shared" ca="1" si="105"/>
        <v>0</v>
      </c>
      <c r="AA80" s="177">
        <f t="shared" ca="1" si="106"/>
        <v>0</v>
      </c>
      <c r="AB80" s="177">
        <f t="shared" ca="1" si="107"/>
        <v>0</v>
      </c>
      <c r="AC80" s="177">
        <f t="shared" ca="1" si="108"/>
        <v>0</v>
      </c>
      <c r="AD80" s="177">
        <f t="shared" ca="1" si="109"/>
        <v>0</v>
      </c>
      <c r="AE80" s="177">
        <f t="shared" ca="1" si="110"/>
        <v>0</v>
      </c>
      <c r="AF80" s="177">
        <f t="shared" ca="1" si="111"/>
        <v>0</v>
      </c>
      <c r="AG80" s="177">
        <f t="shared" ca="1" si="91"/>
        <v>600</v>
      </c>
      <c r="AH80" s="177">
        <f t="shared" ca="1" si="91"/>
        <v>600</v>
      </c>
      <c r="AI80" s="177">
        <f t="shared" ca="1" si="112"/>
        <v>0</v>
      </c>
      <c r="AJ80" s="177">
        <f t="shared" ca="1" si="113"/>
        <v>0</v>
      </c>
      <c r="AK80" s="177">
        <f t="shared" ca="1" si="114"/>
        <v>0</v>
      </c>
      <c r="AL80" s="177">
        <f t="shared" ca="1" si="115"/>
        <v>0</v>
      </c>
      <c r="AM80" s="177">
        <f t="shared" ca="1" si="116"/>
        <v>0</v>
      </c>
      <c r="AN80" s="177">
        <f t="shared" ca="1" si="117"/>
        <v>0</v>
      </c>
      <c r="AO80" s="177">
        <f t="shared" ca="1" si="118"/>
        <v>0</v>
      </c>
      <c r="AP80" s="177">
        <f t="shared" ca="1" si="119"/>
        <v>0</v>
      </c>
      <c r="AQ80" s="177">
        <f t="shared" ca="1" si="120"/>
        <v>0</v>
      </c>
      <c r="AR80" s="177">
        <f t="shared" ca="1" si="121"/>
        <v>600</v>
      </c>
      <c r="AS80" s="176">
        <f t="shared" ca="1" si="122"/>
        <v>0</v>
      </c>
      <c r="AT80" s="176">
        <f t="shared" ca="1" si="123"/>
        <v>0</v>
      </c>
      <c r="AU80" s="176">
        <f t="shared" ca="1" si="124"/>
        <v>0</v>
      </c>
      <c r="AV80" s="176">
        <f t="shared" ca="1" si="125"/>
        <v>0</v>
      </c>
      <c r="AW80" s="176">
        <f t="shared" ca="1" si="126"/>
        <v>0</v>
      </c>
      <c r="AX80" s="176">
        <f t="shared" ca="1" si="127"/>
        <v>0</v>
      </c>
      <c r="AY80" s="176">
        <f t="shared" ca="1" si="128"/>
        <v>0</v>
      </c>
      <c r="AZ80" s="176">
        <f t="shared" ca="1" si="129"/>
        <v>0</v>
      </c>
      <c r="BA80" s="176">
        <f t="shared" ca="1" si="130"/>
        <v>0</v>
      </c>
      <c r="BB80" s="176">
        <f t="shared" ca="1" si="131"/>
        <v>0</v>
      </c>
      <c r="BC80" s="176">
        <f t="shared" ca="1" si="132"/>
        <v>0</v>
      </c>
    </row>
    <row r="81" spans="1:55">
      <c r="A81" s="1">
        <f t="shared" ca="1" si="92"/>
        <v>0</v>
      </c>
      <c r="B81" s="1" t="s">
        <v>140</v>
      </c>
      <c r="C81" s="1" t="str">
        <f t="shared" ca="1" si="93"/>
        <v/>
      </c>
      <c r="D81" s="1" t="str">
        <f t="shared" ca="1" si="94"/>
        <v/>
      </c>
      <c r="E81" s="173" t="str" cm="1">
        <f t="array" aca="1" ref="E81" ca="1">_xlfn.IFS(OR(ISBLANK(StartDateMonth),ISBLANK(StartDateYear)),"",E80&gt;=DATEVALUE(CompletionMonth&amp;CompletionYear)+1,"",TRUE,EDATE(E80,1))</f>
        <v/>
      </c>
      <c r="F81" s="176">
        <f t="shared" ca="1" si="133"/>
        <v>0</v>
      </c>
      <c r="G81" s="176">
        <f t="shared" ca="1" si="133"/>
        <v>0</v>
      </c>
      <c r="H81" s="176">
        <f t="shared" ca="1" si="133"/>
        <v>0</v>
      </c>
      <c r="I81" s="176">
        <f t="shared" ca="1" si="133"/>
        <v>0</v>
      </c>
      <c r="J81" s="176">
        <f t="shared" ca="1" si="133"/>
        <v>0</v>
      </c>
      <c r="K81" s="176">
        <f t="shared" ca="1" si="133"/>
        <v>0</v>
      </c>
      <c r="L81" s="176">
        <f t="shared" ca="1" si="133"/>
        <v>0</v>
      </c>
      <c r="M81" s="176">
        <f t="shared" ca="1" si="133"/>
        <v>0</v>
      </c>
      <c r="N81" s="176">
        <f t="shared" ca="1" si="133"/>
        <v>0</v>
      </c>
      <c r="O81" s="176">
        <f t="shared" ca="1" si="133"/>
        <v>0</v>
      </c>
      <c r="P81" s="176">
        <f t="shared" ca="1" si="95"/>
        <v>0</v>
      </c>
      <c r="Q81" s="176">
        <f t="shared" ca="1" si="96"/>
        <v>0</v>
      </c>
      <c r="R81" s="176">
        <f t="shared" ca="1" si="97"/>
        <v>0</v>
      </c>
      <c r="S81" s="176">
        <f t="shared" ca="1" si="98"/>
        <v>0</v>
      </c>
      <c r="T81" s="176">
        <f t="shared" ca="1" si="99"/>
        <v>0</v>
      </c>
      <c r="U81" s="176">
        <f t="shared" ca="1" si="100"/>
        <v>0</v>
      </c>
      <c r="V81" s="176">
        <f t="shared" ca="1" si="101"/>
        <v>0</v>
      </c>
      <c r="W81" s="177">
        <f t="shared" ca="1" si="102"/>
        <v>600</v>
      </c>
      <c r="X81" s="177">
        <f t="shared" ca="1" si="103"/>
        <v>0</v>
      </c>
      <c r="Y81" s="177">
        <f t="shared" ca="1" si="104"/>
        <v>0</v>
      </c>
      <c r="Z81" s="177">
        <f t="shared" ca="1" si="105"/>
        <v>0</v>
      </c>
      <c r="AA81" s="177">
        <f t="shared" ca="1" si="106"/>
        <v>0</v>
      </c>
      <c r="AB81" s="177">
        <f t="shared" ca="1" si="107"/>
        <v>0</v>
      </c>
      <c r="AC81" s="177">
        <f t="shared" ca="1" si="108"/>
        <v>0</v>
      </c>
      <c r="AD81" s="177">
        <f t="shared" ca="1" si="109"/>
        <v>0</v>
      </c>
      <c r="AE81" s="177">
        <f t="shared" ca="1" si="110"/>
        <v>0</v>
      </c>
      <c r="AF81" s="177">
        <f t="shared" ca="1" si="111"/>
        <v>0</v>
      </c>
      <c r="AG81" s="177">
        <f t="shared" ca="1" si="91"/>
        <v>600</v>
      </c>
      <c r="AH81" s="177">
        <f t="shared" ca="1" si="91"/>
        <v>600</v>
      </c>
      <c r="AI81" s="177">
        <f t="shared" ca="1" si="112"/>
        <v>0</v>
      </c>
      <c r="AJ81" s="177">
        <f t="shared" ca="1" si="113"/>
        <v>0</v>
      </c>
      <c r="AK81" s="177">
        <f t="shared" ca="1" si="114"/>
        <v>0</v>
      </c>
      <c r="AL81" s="177">
        <f t="shared" ca="1" si="115"/>
        <v>0</v>
      </c>
      <c r="AM81" s="177">
        <f t="shared" ca="1" si="116"/>
        <v>0</v>
      </c>
      <c r="AN81" s="177">
        <f t="shared" ca="1" si="117"/>
        <v>0</v>
      </c>
      <c r="AO81" s="177">
        <f t="shared" ca="1" si="118"/>
        <v>0</v>
      </c>
      <c r="AP81" s="177">
        <f t="shared" ca="1" si="119"/>
        <v>0</v>
      </c>
      <c r="AQ81" s="177">
        <f t="shared" ca="1" si="120"/>
        <v>0</v>
      </c>
      <c r="AR81" s="177">
        <f t="shared" ca="1" si="121"/>
        <v>600</v>
      </c>
      <c r="AS81" s="176">
        <f t="shared" ca="1" si="122"/>
        <v>0</v>
      </c>
      <c r="AT81" s="176">
        <f t="shared" ca="1" si="123"/>
        <v>0</v>
      </c>
      <c r="AU81" s="176">
        <f t="shared" ca="1" si="124"/>
        <v>0</v>
      </c>
      <c r="AV81" s="176">
        <f t="shared" ca="1" si="125"/>
        <v>0</v>
      </c>
      <c r="AW81" s="176">
        <f t="shared" ca="1" si="126"/>
        <v>0</v>
      </c>
      <c r="AX81" s="176">
        <f t="shared" ca="1" si="127"/>
        <v>0</v>
      </c>
      <c r="AY81" s="176">
        <f t="shared" ca="1" si="128"/>
        <v>0</v>
      </c>
      <c r="AZ81" s="176">
        <f t="shared" ca="1" si="129"/>
        <v>0</v>
      </c>
      <c r="BA81" s="176">
        <f t="shared" ca="1" si="130"/>
        <v>0</v>
      </c>
      <c r="BB81" s="176">
        <f t="shared" ca="1" si="131"/>
        <v>0</v>
      </c>
      <c r="BC81" s="176">
        <f t="shared" ca="1" si="132"/>
        <v>0</v>
      </c>
    </row>
    <row r="82" spans="1:55">
      <c r="A82" s="1">
        <f t="shared" ca="1" si="92"/>
        <v>0</v>
      </c>
      <c r="B82" s="1" t="s">
        <v>141</v>
      </c>
      <c r="C82" s="1" t="str">
        <f t="shared" ca="1" si="93"/>
        <v/>
      </c>
      <c r="D82" s="1" t="str">
        <f t="shared" ca="1" si="94"/>
        <v/>
      </c>
      <c r="E82" s="173" t="str" cm="1">
        <f t="array" aca="1" ref="E82" ca="1">_xlfn.IFS(OR(ISBLANK(StartDateMonth),ISBLANK(StartDateYear)),"",E81&gt;=DATEVALUE(CompletionMonth&amp;CompletionYear)+1,"",TRUE,EDATE(E81,1))</f>
        <v/>
      </c>
      <c r="F82" s="176">
        <f t="shared" ca="1" si="133"/>
        <v>0</v>
      </c>
      <c r="G82" s="176">
        <f t="shared" ca="1" si="133"/>
        <v>0</v>
      </c>
      <c r="H82" s="176">
        <f t="shared" ca="1" si="133"/>
        <v>0</v>
      </c>
      <c r="I82" s="176">
        <f t="shared" ca="1" si="133"/>
        <v>0</v>
      </c>
      <c r="J82" s="176">
        <f t="shared" ca="1" si="133"/>
        <v>0</v>
      </c>
      <c r="K82" s="176">
        <f t="shared" ca="1" si="133"/>
        <v>0</v>
      </c>
      <c r="L82" s="176">
        <f t="shared" ca="1" si="133"/>
        <v>0</v>
      </c>
      <c r="M82" s="176">
        <f t="shared" ca="1" si="133"/>
        <v>0</v>
      </c>
      <c r="N82" s="176">
        <f t="shared" ca="1" si="133"/>
        <v>0</v>
      </c>
      <c r="O82" s="176">
        <f t="shared" ca="1" si="133"/>
        <v>0</v>
      </c>
      <c r="P82" s="176">
        <f t="shared" ca="1" si="95"/>
        <v>0</v>
      </c>
      <c r="Q82" s="176">
        <f t="shared" ca="1" si="96"/>
        <v>0</v>
      </c>
      <c r="R82" s="176">
        <f t="shared" ca="1" si="97"/>
        <v>0</v>
      </c>
      <c r="S82" s="176">
        <f t="shared" ca="1" si="98"/>
        <v>0</v>
      </c>
      <c r="T82" s="176">
        <f t="shared" ca="1" si="99"/>
        <v>0</v>
      </c>
      <c r="U82" s="176">
        <f t="shared" ca="1" si="100"/>
        <v>0</v>
      </c>
      <c r="V82" s="176">
        <f t="shared" ca="1" si="101"/>
        <v>0</v>
      </c>
      <c r="W82" s="177">
        <f t="shared" ca="1" si="102"/>
        <v>600</v>
      </c>
      <c r="X82" s="177">
        <f t="shared" ca="1" si="103"/>
        <v>0</v>
      </c>
      <c r="Y82" s="177">
        <f t="shared" ca="1" si="104"/>
        <v>0</v>
      </c>
      <c r="Z82" s="177">
        <f t="shared" ca="1" si="105"/>
        <v>0</v>
      </c>
      <c r="AA82" s="177">
        <f t="shared" ca="1" si="106"/>
        <v>0</v>
      </c>
      <c r="AB82" s="177">
        <f t="shared" ca="1" si="107"/>
        <v>0</v>
      </c>
      <c r="AC82" s="177">
        <f t="shared" ca="1" si="108"/>
        <v>0</v>
      </c>
      <c r="AD82" s="177">
        <f t="shared" ca="1" si="109"/>
        <v>0</v>
      </c>
      <c r="AE82" s="177">
        <f t="shared" ca="1" si="110"/>
        <v>0</v>
      </c>
      <c r="AF82" s="177">
        <f t="shared" ca="1" si="111"/>
        <v>0</v>
      </c>
      <c r="AG82" s="177">
        <f t="shared" ca="1" si="91"/>
        <v>600</v>
      </c>
      <c r="AH82" s="177">
        <f t="shared" ca="1" si="91"/>
        <v>600</v>
      </c>
      <c r="AI82" s="177">
        <f t="shared" ca="1" si="112"/>
        <v>0</v>
      </c>
      <c r="AJ82" s="177">
        <f t="shared" ca="1" si="113"/>
        <v>0</v>
      </c>
      <c r="AK82" s="177">
        <f t="shared" ca="1" si="114"/>
        <v>0</v>
      </c>
      <c r="AL82" s="177">
        <f t="shared" ca="1" si="115"/>
        <v>0</v>
      </c>
      <c r="AM82" s="177">
        <f t="shared" ca="1" si="116"/>
        <v>0</v>
      </c>
      <c r="AN82" s="177">
        <f t="shared" ca="1" si="117"/>
        <v>0</v>
      </c>
      <c r="AO82" s="177">
        <f t="shared" ca="1" si="118"/>
        <v>0</v>
      </c>
      <c r="AP82" s="177">
        <f t="shared" ca="1" si="119"/>
        <v>0</v>
      </c>
      <c r="AQ82" s="177">
        <f t="shared" ca="1" si="120"/>
        <v>0</v>
      </c>
      <c r="AR82" s="177">
        <f t="shared" ca="1" si="121"/>
        <v>600</v>
      </c>
      <c r="AS82" s="176">
        <f t="shared" ca="1" si="122"/>
        <v>0</v>
      </c>
      <c r="AT82" s="176">
        <f t="shared" ca="1" si="123"/>
        <v>0</v>
      </c>
      <c r="AU82" s="176">
        <f t="shared" ca="1" si="124"/>
        <v>0</v>
      </c>
      <c r="AV82" s="176">
        <f t="shared" ca="1" si="125"/>
        <v>0</v>
      </c>
      <c r="AW82" s="176">
        <f t="shared" ca="1" si="126"/>
        <v>0</v>
      </c>
      <c r="AX82" s="176">
        <f t="shared" ca="1" si="127"/>
        <v>0</v>
      </c>
      <c r="AY82" s="176">
        <f t="shared" ca="1" si="128"/>
        <v>0</v>
      </c>
      <c r="AZ82" s="176">
        <f t="shared" ca="1" si="129"/>
        <v>0</v>
      </c>
      <c r="BA82" s="176">
        <f t="shared" ca="1" si="130"/>
        <v>0</v>
      </c>
      <c r="BB82" s="176">
        <f t="shared" ca="1" si="131"/>
        <v>0</v>
      </c>
      <c r="BC82" s="176">
        <f t="shared" ca="1" si="132"/>
        <v>0</v>
      </c>
    </row>
    <row r="83" spans="1:55">
      <c r="A83" s="1">
        <f t="shared" ca="1" si="92"/>
        <v>0</v>
      </c>
      <c r="B83" s="1" t="s">
        <v>142</v>
      </c>
      <c r="C83" s="1" t="str">
        <f t="shared" ca="1" si="93"/>
        <v/>
      </c>
      <c r="D83" s="1" t="str">
        <f t="shared" ca="1" si="94"/>
        <v/>
      </c>
      <c r="E83" s="173" t="str" cm="1">
        <f t="array" aca="1" ref="E83" ca="1">_xlfn.IFS(OR(ISBLANK(StartDateMonth),ISBLANK(StartDateYear)),"",E82&gt;=DATEVALUE(CompletionMonth&amp;CompletionYear)+1,"",TRUE,EDATE(E82,1))</f>
        <v/>
      </c>
      <c r="F83" s="176">
        <f t="shared" ca="1" si="133"/>
        <v>0</v>
      </c>
      <c r="G83" s="176">
        <f t="shared" ca="1" si="133"/>
        <v>0</v>
      </c>
      <c r="H83" s="176">
        <f t="shared" ca="1" si="133"/>
        <v>0</v>
      </c>
      <c r="I83" s="176">
        <f t="shared" ca="1" si="133"/>
        <v>0</v>
      </c>
      <c r="J83" s="176">
        <f t="shared" ca="1" si="133"/>
        <v>0</v>
      </c>
      <c r="K83" s="176">
        <f t="shared" ca="1" si="133"/>
        <v>0</v>
      </c>
      <c r="L83" s="176">
        <f t="shared" ca="1" si="133"/>
        <v>0</v>
      </c>
      <c r="M83" s="176">
        <f t="shared" ca="1" si="133"/>
        <v>0</v>
      </c>
      <c r="N83" s="176">
        <f t="shared" ca="1" si="133"/>
        <v>0</v>
      </c>
      <c r="O83" s="176">
        <f t="shared" ca="1" si="133"/>
        <v>0</v>
      </c>
      <c r="P83" s="176">
        <f t="shared" ca="1" si="95"/>
        <v>0</v>
      </c>
      <c r="Q83" s="176">
        <f t="shared" ca="1" si="96"/>
        <v>0</v>
      </c>
      <c r="R83" s="176">
        <f t="shared" ca="1" si="97"/>
        <v>0</v>
      </c>
      <c r="S83" s="176">
        <f t="shared" ca="1" si="98"/>
        <v>0</v>
      </c>
      <c r="T83" s="176">
        <f t="shared" ca="1" si="99"/>
        <v>0</v>
      </c>
      <c r="U83" s="176">
        <f t="shared" ca="1" si="100"/>
        <v>0</v>
      </c>
      <c r="V83" s="176">
        <f t="shared" ca="1" si="101"/>
        <v>0</v>
      </c>
      <c r="W83" s="177">
        <f t="shared" ca="1" si="102"/>
        <v>600</v>
      </c>
      <c r="X83" s="177">
        <f t="shared" ca="1" si="103"/>
        <v>0</v>
      </c>
      <c r="Y83" s="177">
        <f t="shared" ca="1" si="104"/>
        <v>0</v>
      </c>
      <c r="Z83" s="177">
        <f t="shared" ca="1" si="105"/>
        <v>0</v>
      </c>
      <c r="AA83" s="177">
        <f t="shared" ca="1" si="106"/>
        <v>0</v>
      </c>
      <c r="AB83" s="177">
        <f t="shared" ca="1" si="107"/>
        <v>0</v>
      </c>
      <c r="AC83" s="177">
        <f t="shared" ca="1" si="108"/>
        <v>0</v>
      </c>
      <c r="AD83" s="177">
        <f t="shared" ca="1" si="109"/>
        <v>0</v>
      </c>
      <c r="AE83" s="177">
        <f t="shared" ca="1" si="110"/>
        <v>0</v>
      </c>
      <c r="AF83" s="177">
        <f t="shared" ca="1" si="111"/>
        <v>0</v>
      </c>
      <c r="AG83" s="177">
        <f t="shared" ca="1" si="91"/>
        <v>600</v>
      </c>
      <c r="AH83" s="177">
        <f t="shared" ca="1" si="91"/>
        <v>600</v>
      </c>
      <c r="AI83" s="177">
        <f t="shared" ca="1" si="112"/>
        <v>0</v>
      </c>
      <c r="AJ83" s="177">
        <f t="shared" ca="1" si="113"/>
        <v>0</v>
      </c>
      <c r="AK83" s="177">
        <f t="shared" ca="1" si="114"/>
        <v>0</v>
      </c>
      <c r="AL83" s="177">
        <f t="shared" ca="1" si="115"/>
        <v>0</v>
      </c>
      <c r="AM83" s="177">
        <f t="shared" ca="1" si="116"/>
        <v>0</v>
      </c>
      <c r="AN83" s="177">
        <f t="shared" ca="1" si="117"/>
        <v>0</v>
      </c>
      <c r="AO83" s="177">
        <f t="shared" ca="1" si="118"/>
        <v>0</v>
      </c>
      <c r="AP83" s="177">
        <f t="shared" ca="1" si="119"/>
        <v>0</v>
      </c>
      <c r="AQ83" s="177">
        <f t="shared" ca="1" si="120"/>
        <v>0</v>
      </c>
      <c r="AR83" s="177">
        <f t="shared" ca="1" si="121"/>
        <v>600</v>
      </c>
      <c r="AS83" s="176">
        <f t="shared" ca="1" si="122"/>
        <v>0</v>
      </c>
      <c r="AT83" s="176">
        <f t="shared" ca="1" si="123"/>
        <v>0</v>
      </c>
      <c r="AU83" s="176">
        <f t="shared" ca="1" si="124"/>
        <v>0</v>
      </c>
      <c r="AV83" s="176">
        <f t="shared" ca="1" si="125"/>
        <v>0</v>
      </c>
      <c r="AW83" s="176">
        <f t="shared" ca="1" si="126"/>
        <v>0</v>
      </c>
      <c r="AX83" s="176">
        <f t="shared" ca="1" si="127"/>
        <v>0</v>
      </c>
      <c r="AY83" s="176">
        <f t="shared" ca="1" si="128"/>
        <v>0</v>
      </c>
      <c r="AZ83" s="176">
        <f t="shared" ca="1" si="129"/>
        <v>0</v>
      </c>
      <c r="BA83" s="176">
        <f t="shared" ca="1" si="130"/>
        <v>0</v>
      </c>
      <c r="BB83" s="176">
        <f t="shared" ca="1" si="131"/>
        <v>0</v>
      </c>
      <c r="BC83" s="176">
        <f t="shared" ca="1" si="132"/>
        <v>0</v>
      </c>
    </row>
    <row r="84" spans="1:55">
      <c r="A84" s="1">
        <f t="shared" ca="1" si="92"/>
        <v>0</v>
      </c>
      <c r="B84" s="1" t="s">
        <v>143</v>
      </c>
      <c r="C84" s="1" t="str">
        <f t="shared" ca="1" si="93"/>
        <v/>
      </c>
      <c r="D84" s="1" t="str">
        <f t="shared" ca="1" si="94"/>
        <v/>
      </c>
      <c r="E84" s="173" t="str" cm="1">
        <f t="array" aca="1" ref="E84" ca="1">_xlfn.IFS(OR(ISBLANK(StartDateMonth),ISBLANK(StartDateYear)),"",E83&gt;=DATEVALUE(CompletionMonth&amp;CompletionYear)+1,"",TRUE,EDATE(E83,1))</f>
        <v/>
      </c>
      <c r="F84" s="176">
        <f t="shared" ref="F84:O93" ca="1" si="134">IF($A84=1,INDEX(DevelopmentCosts,MATCH(F$3,TotalDevCostsList,0),MATCH($B84,DevelopmentCostTitle,0)),0)</f>
        <v>0</v>
      </c>
      <c r="G84" s="176">
        <f t="shared" ca="1" si="134"/>
        <v>0</v>
      </c>
      <c r="H84" s="176">
        <f t="shared" ca="1" si="134"/>
        <v>0</v>
      </c>
      <c r="I84" s="176">
        <f t="shared" ca="1" si="134"/>
        <v>0</v>
      </c>
      <c r="J84" s="176">
        <f t="shared" ca="1" si="134"/>
        <v>0</v>
      </c>
      <c r="K84" s="176">
        <f t="shared" ca="1" si="134"/>
        <v>0</v>
      </c>
      <c r="L84" s="176">
        <f t="shared" ca="1" si="134"/>
        <v>0</v>
      </c>
      <c r="M84" s="176">
        <f t="shared" ca="1" si="134"/>
        <v>0</v>
      </c>
      <c r="N84" s="176">
        <f t="shared" ca="1" si="134"/>
        <v>0</v>
      </c>
      <c r="O84" s="176">
        <f t="shared" ca="1" si="134"/>
        <v>0</v>
      </c>
      <c r="P84" s="176">
        <f t="shared" ca="1" si="95"/>
        <v>0</v>
      </c>
      <c r="Q84" s="176">
        <f t="shared" ca="1" si="96"/>
        <v>0</v>
      </c>
      <c r="R84" s="176">
        <f t="shared" ca="1" si="97"/>
        <v>0</v>
      </c>
      <c r="S84" s="176">
        <f t="shared" ca="1" si="98"/>
        <v>0</v>
      </c>
      <c r="T84" s="176">
        <f t="shared" ca="1" si="99"/>
        <v>0</v>
      </c>
      <c r="U84" s="176">
        <f t="shared" ca="1" si="100"/>
        <v>0</v>
      </c>
      <c r="V84" s="176">
        <f t="shared" ca="1" si="101"/>
        <v>0</v>
      </c>
      <c r="W84" s="177">
        <f t="shared" ca="1" si="102"/>
        <v>600</v>
      </c>
      <c r="X84" s="177">
        <f t="shared" ca="1" si="103"/>
        <v>0</v>
      </c>
      <c r="Y84" s="177">
        <f t="shared" ca="1" si="104"/>
        <v>0</v>
      </c>
      <c r="Z84" s="177">
        <f t="shared" ca="1" si="105"/>
        <v>0</v>
      </c>
      <c r="AA84" s="177">
        <f t="shared" ca="1" si="106"/>
        <v>0</v>
      </c>
      <c r="AB84" s="177">
        <f t="shared" ca="1" si="107"/>
        <v>0</v>
      </c>
      <c r="AC84" s="177">
        <f t="shared" ca="1" si="108"/>
        <v>0</v>
      </c>
      <c r="AD84" s="177">
        <f t="shared" ca="1" si="109"/>
        <v>0</v>
      </c>
      <c r="AE84" s="177">
        <f t="shared" ca="1" si="110"/>
        <v>0</v>
      </c>
      <c r="AF84" s="177">
        <f t="shared" ca="1" si="111"/>
        <v>0</v>
      </c>
      <c r="AG84" s="177">
        <f t="shared" ref="AG84:AH103" ca="1" si="135">COUNTIF(CategorisedSaleKey,(OpenMarketHousing&amp;$C84&amp;$D84))</f>
        <v>600</v>
      </c>
      <c r="AH84" s="177">
        <f t="shared" ca="1" si="135"/>
        <v>600</v>
      </c>
      <c r="AI84" s="177">
        <f t="shared" ca="1" si="112"/>
        <v>0</v>
      </c>
      <c r="AJ84" s="177">
        <f t="shared" ca="1" si="113"/>
        <v>0</v>
      </c>
      <c r="AK84" s="177">
        <f t="shared" ca="1" si="114"/>
        <v>0</v>
      </c>
      <c r="AL84" s="177">
        <f t="shared" ca="1" si="115"/>
        <v>0</v>
      </c>
      <c r="AM84" s="177">
        <f t="shared" ca="1" si="116"/>
        <v>0</v>
      </c>
      <c r="AN84" s="177">
        <f t="shared" ca="1" si="117"/>
        <v>0</v>
      </c>
      <c r="AO84" s="177">
        <f t="shared" ca="1" si="118"/>
        <v>0</v>
      </c>
      <c r="AP84" s="177">
        <f t="shared" ca="1" si="119"/>
        <v>0</v>
      </c>
      <c r="AQ84" s="177">
        <f t="shared" ca="1" si="120"/>
        <v>0</v>
      </c>
      <c r="AR84" s="177">
        <f t="shared" ca="1" si="121"/>
        <v>600</v>
      </c>
      <c r="AS84" s="176">
        <f t="shared" ca="1" si="122"/>
        <v>0</v>
      </c>
      <c r="AT84" s="176">
        <f t="shared" ca="1" si="123"/>
        <v>0</v>
      </c>
      <c r="AU84" s="176">
        <f t="shared" ca="1" si="124"/>
        <v>0</v>
      </c>
      <c r="AV84" s="176">
        <f t="shared" ca="1" si="125"/>
        <v>0</v>
      </c>
      <c r="AW84" s="176">
        <f t="shared" ca="1" si="126"/>
        <v>0</v>
      </c>
      <c r="AX84" s="176">
        <f t="shared" ca="1" si="127"/>
        <v>0</v>
      </c>
      <c r="AY84" s="176">
        <f t="shared" ca="1" si="128"/>
        <v>0</v>
      </c>
      <c r="AZ84" s="176">
        <f t="shared" ca="1" si="129"/>
        <v>0</v>
      </c>
      <c r="BA84" s="176">
        <f t="shared" ca="1" si="130"/>
        <v>0</v>
      </c>
      <c r="BB84" s="176">
        <f t="shared" ca="1" si="131"/>
        <v>0</v>
      </c>
      <c r="BC84" s="176">
        <f t="shared" ca="1" si="132"/>
        <v>0</v>
      </c>
    </row>
    <row r="85" spans="1:55">
      <c r="A85" s="1">
        <f t="shared" ca="1" si="92"/>
        <v>0</v>
      </c>
      <c r="B85" s="1" t="s">
        <v>144</v>
      </c>
      <c r="C85" s="1" t="str">
        <f t="shared" ca="1" si="93"/>
        <v/>
      </c>
      <c r="D85" s="1" t="str">
        <f t="shared" ca="1" si="94"/>
        <v/>
      </c>
      <c r="E85" s="173" t="str" cm="1">
        <f t="array" aca="1" ref="E85" ca="1">_xlfn.IFS(OR(ISBLANK(StartDateMonth),ISBLANK(StartDateYear)),"",E84&gt;=DATEVALUE(CompletionMonth&amp;CompletionYear)+1,"",TRUE,EDATE(E84,1))</f>
        <v/>
      </c>
      <c r="F85" s="176">
        <f t="shared" ca="1" si="134"/>
        <v>0</v>
      </c>
      <c r="G85" s="176">
        <f t="shared" ca="1" si="134"/>
        <v>0</v>
      </c>
      <c r="H85" s="176">
        <f t="shared" ca="1" si="134"/>
        <v>0</v>
      </c>
      <c r="I85" s="176">
        <f t="shared" ca="1" si="134"/>
        <v>0</v>
      </c>
      <c r="J85" s="176">
        <f t="shared" ca="1" si="134"/>
        <v>0</v>
      </c>
      <c r="K85" s="176">
        <f t="shared" ca="1" si="134"/>
        <v>0</v>
      </c>
      <c r="L85" s="176">
        <f t="shared" ca="1" si="134"/>
        <v>0</v>
      </c>
      <c r="M85" s="176">
        <f t="shared" ca="1" si="134"/>
        <v>0</v>
      </c>
      <c r="N85" s="176">
        <f t="shared" ca="1" si="134"/>
        <v>0</v>
      </c>
      <c r="O85" s="176">
        <f t="shared" ca="1" si="134"/>
        <v>0</v>
      </c>
      <c r="P85" s="176">
        <f t="shared" ca="1" si="95"/>
        <v>0</v>
      </c>
      <c r="Q85" s="176">
        <f t="shared" ca="1" si="96"/>
        <v>0</v>
      </c>
      <c r="R85" s="176">
        <f t="shared" ca="1" si="97"/>
        <v>0</v>
      </c>
      <c r="S85" s="176">
        <f t="shared" ca="1" si="98"/>
        <v>0</v>
      </c>
      <c r="T85" s="176">
        <f t="shared" ca="1" si="99"/>
        <v>0</v>
      </c>
      <c r="U85" s="176">
        <f t="shared" ca="1" si="100"/>
        <v>0</v>
      </c>
      <c r="V85" s="176">
        <f t="shared" ca="1" si="101"/>
        <v>0</v>
      </c>
      <c r="W85" s="177">
        <f t="shared" ca="1" si="102"/>
        <v>600</v>
      </c>
      <c r="X85" s="177">
        <f t="shared" ca="1" si="103"/>
        <v>0</v>
      </c>
      <c r="Y85" s="177">
        <f t="shared" ca="1" si="104"/>
        <v>0</v>
      </c>
      <c r="Z85" s="177">
        <f t="shared" ca="1" si="105"/>
        <v>0</v>
      </c>
      <c r="AA85" s="177">
        <f t="shared" ca="1" si="106"/>
        <v>0</v>
      </c>
      <c r="AB85" s="177">
        <f t="shared" ca="1" si="107"/>
        <v>0</v>
      </c>
      <c r="AC85" s="177">
        <f t="shared" ca="1" si="108"/>
        <v>0</v>
      </c>
      <c r="AD85" s="177">
        <f t="shared" ca="1" si="109"/>
        <v>0</v>
      </c>
      <c r="AE85" s="177">
        <f t="shared" ca="1" si="110"/>
        <v>0</v>
      </c>
      <c r="AF85" s="177">
        <f t="shared" ca="1" si="111"/>
        <v>0</v>
      </c>
      <c r="AG85" s="177">
        <f t="shared" ca="1" si="135"/>
        <v>600</v>
      </c>
      <c r="AH85" s="177">
        <f t="shared" ca="1" si="135"/>
        <v>600</v>
      </c>
      <c r="AI85" s="177">
        <f t="shared" ca="1" si="112"/>
        <v>0</v>
      </c>
      <c r="AJ85" s="177">
        <f t="shared" ca="1" si="113"/>
        <v>0</v>
      </c>
      <c r="AK85" s="177">
        <f t="shared" ca="1" si="114"/>
        <v>0</v>
      </c>
      <c r="AL85" s="177">
        <f t="shared" ca="1" si="115"/>
        <v>0</v>
      </c>
      <c r="AM85" s="177">
        <f t="shared" ca="1" si="116"/>
        <v>0</v>
      </c>
      <c r="AN85" s="177">
        <f t="shared" ca="1" si="117"/>
        <v>0</v>
      </c>
      <c r="AO85" s="177">
        <f t="shared" ca="1" si="118"/>
        <v>0</v>
      </c>
      <c r="AP85" s="177">
        <f t="shared" ca="1" si="119"/>
        <v>0</v>
      </c>
      <c r="AQ85" s="177">
        <f t="shared" ca="1" si="120"/>
        <v>0</v>
      </c>
      <c r="AR85" s="177">
        <f t="shared" ca="1" si="121"/>
        <v>600</v>
      </c>
      <c r="AS85" s="176">
        <f t="shared" ca="1" si="122"/>
        <v>0</v>
      </c>
      <c r="AT85" s="176">
        <f t="shared" ca="1" si="123"/>
        <v>0</v>
      </c>
      <c r="AU85" s="176">
        <f t="shared" ca="1" si="124"/>
        <v>0</v>
      </c>
      <c r="AV85" s="176">
        <f t="shared" ca="1" si="125"/>
        <v>0</v>
      </c>
      <c r="AW85" s="176">
        <f t="shared" ca="1" si="126"/>
        <v>0</v>
      </c>
      <c r="AX85" s="176">
        <f t="shared" ca="1" si="127"/>
        <v>0</v>
      </c>
      <c r="AY85" s="176">
        <f t="shared" ca="1" si="128"/>
        <v>0</v>
      </c>
      <c r="AZ85" s="176">
        <f t="shared" ca="1" si="129"/>
        <v>0</v>
      </c>
      <c r="BA85" s="176">
        <f t="shared" ca="1" si="130"/>
        <v>0</v>
      </c>
      <c r="BB85" s="176">
        <f t="shared" ca="1" si="131"/>
        <v>0</v>
      </c>
      <c r="BC85" s="176">
        <f t="shared" ca="1" si="132"/>
        <v>0</v>
      </c>
    </row>
    <row r="86" spans="1:55">
      <c r="A86" s="1">
        <f t="shared" ca="1" si="92"/>
        <v>0</v>
      </c>
      <c r="B86" s="1" t="s">
        <v>145</v>
      </c>
      <c r="C86" s="1" t="str">
        <f t="shared" ca="1" si="93"/>
        <v/>
      </c>
      <c r="D86" s="1" t="str">
        <f t="shared" ca="1" si="94"/>
        <v/>
      </c>
      <c r="E86" s="173" t="str" cm="1">
        <f t="array" aca="1" ref="E86" ca="1">_xlfn.IFS(OR(ISBLANK(StartDateMonth),ISBLANK(StartDateYear)),"",E85&gt;=DATEVALUE(CompletionMonth&amp;CompletionYear)+1,"",TRUE,EDATE(E85,1))</f>
        <v/>
      </c>
      <c r="F86" s="176">
        <f t="shared" ca="1" si="134"/>
        <v>0</v>
      </c>
      <c r="G86" s="176">
        <f t="shared" ca="1" si="134"/>
        <v>0</v>
      </c>
      <c r="H86" s="176">
        <f t="shared" ca="1" si="134"/>
        <v>0</v>
      </c>
      <c r="I86" s="176">
        <f t="shared" ca="1" si="134"/>
        <v>0</v>
      </c>
      <c r="J86" s="176">
        <f t="shared" ca="1" si="134"/>
        <v>0</v>
      </c>
      <c r="K86" s="176">
        <f t="shared" ca="1" si="134"/>
        <v>0</v>
      </c>
      <c r="L86" s="176">
        <f t="shared" ca="1" si="134"/>
        <v>0</v>
      </c>
      <c r="M86" s="176">
        <f t="shared" ca="1" si="134"/>
        <v>0</v>
      </c>
      <c r="N86" s="176">
        <f t="shared" ca="1" si="134"/>
        <v>0</v>
      </c>
      <c r="O86" s="176">
        <f t="shared" ca="1" si="134"/>
        <v>0</v>
      </c>
      <c r="P86" s="176">
        <f t="shared" ca="1" si="95"/>
        <v>0</v>
      </c>
      <c r="Q86" s="176">
        <f t="shared" ca="1" si="96"/>
        <v>0</v>
      </c>
      <c r="R86" s="176">
        <f t="shared" ca="1" si="97"/>
        <v>0</v>
      </c>
      <c r="S86" s="176">
        <f t="shared" ca="1" si="98"/>
        <v>0</v>
      </c>
      <c r="T86" s="176">
        <f t="shared" ca="1" si="99"/>
        <v>0</v>
      </c>
      <c r="U86" s="176">
        <f t="shared" ca="1" si="100"/>
        <v>0</v>
      </c>
      <c r="V86" s="176">
        <f t="shared" ca="1" si="101"/>
        <v>0</v>
      </c>
      <c r="W86" s="177">
        <f t="shared" ca="1" si="102"/>
        <v>600</v>
      </c>
      <c r="X86" s="177">
        <f t="shared" ca="1" si="103"/>
        <v>0</v>
      </c>
      <c r="Y86" s="177">
        <f t="shared" ca="1" si="104"/>
        <v>0</v>
      </c>
      <c r="Z86" s="177">
        <f t="shared" ca="1" si="105"/>
        <v>0</v>
      </c>
      <c r="AA86" s="177">
        <f t="shared" ca="1" si="106"/>
        <v>0</v>
      </c>
      <c r="AB86" s="177">
        <f t="shared" ca="1" si="107"/>
        <v>0</v>
      </c>
      <c r="AC86" s="177">
        <f t="shared" ca="1" si="108"/>
        <v>0</v>
      </c>
      <c r="AD86" s="177">
        <f t="shared" ca="1" si="109"/>
        <v>0</v>
      </c>
      <c r="AE86" s="177">
        <f t="shared" ca="1" si="110"/>
        <v>0</v>
      </c>
      <c r="AF86" s="177">
        <f t="shared" ca="1" si="111"/>
        <v>0</v>
      </c>
      <c r="AG86" s="177">
        <f t="shared" ca="1" si="135"/>
        <v>600</v>
      </c>
      <c r="AH86" s="177">
        <f t="shared" ca="1" si="135"/>
        <v>600</v>
      </c>
      <c r="AI86" s="177">
        <f t="shared" ca="1" si="112"/>
        <v>0</v>
      </c>
      <c r="AJ86" s="177">
        <f t="shared" ca="1" si="113"/>
        <v>0</v>
      </c>
      <c r="AK86" s="177">
        <f t="shared" ca="1" si="114"/>
        <v>0</v>
      </c>
      <c r="AL86" s="177">
        <f t="shared" ca="1" si="115"/>
        <v>0</v>
      </c>
      <c r="AM86" s="177">
        <f t="shared" ca="1" si="116"/>
        <v>0</v>
      </c>
      <c r="AN86" s="177">
        <f t="shared" ca="1" si="117"/>
        <v>0</v>
      </c>
      <c r="AO86" s="177">
        <f t="shared" ca="1" si="118"/>
        <v>0</v>
      </c>
      <c r="AP86" s="177">
        <f t="shared" ca="1" si="119"/>
        <v>0</v>
      </c>
      <c r="AQ86" s="177">
        <f t="shared" ca="1" si="120"/>
        <v>0</v>
      </c>
      <c r="AR86" s="177">
        <f t="shared" ca="1" si="121"/>
        <v>600</v>
      </c>
      <c r="AS86" s="176">
        <f t="shared" ca="1" si="122"/>
        <v>0</v>
      </c>
      <c r="AT86" s="176">
        <f t="shared" ca="1" si="123"/>
        <v>0</v>
      </c>
      <c r="AU86" s="176">
        <f t="shared" ca="1" si="124"/>
        <v>0</v>
      </c>
      <c r="AV86" s="176">
        <f t="shared" ca="1" si="125"/>
        <v>0</v>
      </c>
      <c r="AW86" s="176">
        <f t="shared" ca="1" si="126"/>
        <v>0</v>
      </c>
      <c r="AX86" s="176">
        <f t="shared" ca="1" si="127"/>
        <v>0</v>
      </c>
      <c r="AY86" s="176">
        <f t="shared" ca="1" si="128"/>
        <v>0</v>
      </c>
      <c r="AZ86" s="176">
        <f t="shared" ca="1" si="129"/>
        <v>0</v>
      </c>
      <c r="BA86" s="176">
        <f t="shared" ca="1" si="130"/>
        <v>0</v>
      </c>
      <c r="BB86" s="176">
        <f t="shared" ca="1" si="131"/>
        <v>0</v>
      </c>
      <c r="BC86" s="176">
        <f t="shared" ca="1" si="132"/>
        <v>0</v>
      </c>
    </row>
    <row r="87" spans="1:55">
      <c r="A87" s="1">
        <f t="shared" ca="1" si="92"/>
        <v>0</v>
      </c>
      <c r="B87" s="1" t="s">
        <v>146</v>
      </c>
      <c r="C87" s="1" t="str">
        <f t="shared" ca="1" si="93"/>
        <v/>
      </c>
      <c r="D87" s="1" t="str">
        <f t="shared" ca="1" si="94"/>
        <v/>
      </c>
      <c r="E87" s="173" t="str" cm="1">
        <f t="array" aca="1" ref="E87" ca="1">_xlfn.IFS(OR(ISBLANK(StartDateMonth),ISBLANK(StartDateYear)),"",E86&gt;=DATEVALUE(CompletionMonth&amp;CompletionYear)+1,"",TRUE,EDATE(E86,1))</f>
        <v/>
      </c>
      <c r="F87" s="176">
        <f t="shared" ca="1" si="134"/>
        <v>0</v>
      </c>
      <c r="G87" s="176">
        <f t="shared" ca="1" si="134"/>
        <v>0</v>
      </c>
      <c r="H87" s="176">
        <f t="shared" ca="1" si="134"/>
        <v>0</v>
      </c>
      <c r="I87" s="176">
        <f t="shared" ca="1" si="134"/>
        <v>0</v>
      </c>
      <c r="J87" s="176">
        <f t="shared" ca="1" si="134"/>
        <v>0</v>
      </c>
      <c r="K87" s="176">
        <f t="shared" ca="1" si="134"/>
        <v>0</v>
      </c>
      <c r="L87" s="176">
        <f t="shared" ca="1" si="134"/>
        <v>0</v>
      </c>
      <c r="M87" s="176">
        <f t="shared" ca="1" si="134"/>
        <v>0</v>
      </c>
      <c r="N87" s="176">
        <f t="shared" ca="1" si="134"/>
        <v>0</v>
      </c>
      <c r="O87" s="176">
        <f t="shared" ca="1" si="134"/>
        <v>0</v>
      </c>
      <c r="P87" s="176">
        <f t="shared" ca="1" si="95"/>
        <v>0</v>
      </c>
      <c r="Q87" s="176">
        <f t="shared" ca="1" si="96"/>
        <v>0</v>
      </c>
      <c r="R87" s="176">
        <f t="shared" ca="1" si="97"/>
        <v>0</v>
      </c>
      <c r="S87" s="176">
        <f t="shared" ca="1" si="98"/>
        <v>0</v>
      </c>
      <c r="T87" s="176">
        <f t="shared" ca="1" si="99"/>
        <v>0</v>
      </c>
      <c r="U87" s="176">
        <f t="shared" ca="1" si="100"/>
        <v>0</v>
      </c>
      <c r="V87" s="176">
        <f t="shared" ca="1" si="101"/>
        <v>0</v>
      </c>
      <c r="W87" s="177">
        <f t="shared" ca="1" si="102"/>
        <v>600</v>
      </c>
      <c r="X87" s="177">
        <f t="shared" ca="1" si="103"/>
        <v>0</v>
      </c>
      <c r="Y87" s="177">
        <f t="shared" ca="1" si="104"/>
        <v>0</v>
      </c>
      <c r="Z87" s="177">
        <f t="shared" ca="1" si="105"/>
        <v>0</v>
      </c>
      <c r="AA87" s="177">
        <f t="shared" ca="1" si="106"/>
        <v>0</v>
      </c>
      <c r="AB87" s="177">
        <f t="shared" ca="1" si="107"/>
        <v>0</v>
      </c>
      <c r="AC87" s="177">
        <f t="shared" ca="1" si="108"/>
        <v>0</v>
      </c>
      <c r="AD87" s="177">
        <f t="shared" ca="1" si="109"/>
        <v>0</v>
      </c>
      <c r="AE87" s="177">
        <f t="shared" ca="1" si="110"/>
        <v>0</v>
      </c>
      <c r="AF87" s="177">
        <f t="shared" ca="1" si="111"/>
        <v>0</v>
      </c>
      <c r="AG87" s="177">
        <f t="shared" ca="1" si="135"/>
        <v>600</v>
      </c>
      <c r="AH87" s="177">
        <f t="shared" ca="1" si="135"/>
        <v>600</v>
      </c>
      <c r="AI87" s="177">
        <f t="shared" ca="1" si="112"/>
        <v>0</v>
      </c>
      <c r="AJ87" s="177">
        <f t="shared" ca="1" si="113"/>
        <v>0</v>
      </c>
      <c r="AK87" s="177">
        <f t="shared" ca="1" si="114"/>
        <v>0</v>
      </c>
      <c r="AL87" s="177">
        <f t="shared" ca="1" si="115"/>
        <v>0</v>
      </c>
      <c r="AM87" s="177">
        <f t="shared" ca="1" si="116"/>
        <v>0</v>
      </c>
      <c r="AN87" s="177">
        <f t="shared" ca="1" si="117"/>
        <v>0</v>
      </c>
      <c r="AO87" s="177">
        <f t="shared" ca="1" si="118"/>
        <v>0</v>
      </c>
      <c r="AP87" s="177">
        <f t="shared" ca="1" si="119"/>
        <v>0</v>
      </c>
      <c r="AQ87" s="177">
        <f t="shared" ca="1" si="120"/>
        <v>0</v>
      </c>
      <c r="AR87" s="177">
        <f t="shared" ca="1" si="121"/>
        <v>600</v>
      </c>
      <c r="AS87" s="176">
        <f t="shared" ca="1" si="122"/>
        <v>0</v>
      </c>
      <c r="AT87" s="176">
        <f t="shared" ca="1" si="123"/>
        <v>0</v>
      </c>
      <c r="AU87" s="176">
        <f t="shared" ca="1" si="124"/>
        <v>0</v>
      </c>
      <c r="AV87" s="176">
        <f t="shared" ca="1" si="125"/>
        <v>0</v>
      </c>
      <c r="AW87" s="176">
        <f t="shared" ca="1" si="126"/>
        <v>0</v>
      </c>
      <c r="AX87" s="176">
        <f t="shared" ca="1" si="127"/>
        <v>0</v>
      </c>
      <c r="AY87" s="176">
        <f t="shared" ca="1" si="128"/>
        <v>0</v>
      </c>
      <c r="AZ87" s="176">
        <f t="shared" ca="1" si="129"/>
        <v>0</v>
      </c>
      <c r="BA87" s="176">
        <f t="shared" ca="1" si="130"/>
        <v>0</v>
      </c>
      <c r="BB87" s="176">
        <f t="shared" ca="1" si="131"/>
        <v>0</v>
      </c>
      <c r="BC87" s="176">
        <f t="shared" ca="1" si="132"/>
        <v>0</v>
      </c>
    </row>
    <row r="88" spans="1:55">
      <c r="A88" s="1">
        <f t="shared" ca="1" si="92"/>
        <v>0</v>
      </c>
      <c r="B88" s="1" t="s">
        <v>147</v>
      </c>
      <c r="C88" s="1" t="str">
        <f t="shared" ca="1" si="93"/>
        <v/>
      </c>
      <c r="D88" s="1" t="str">
        <f t="shared" ca="1" si="94"/>
        <v/>
      </c>
      <c r="E88" s="173" t="str" cm="1">
        <f t="array" aca="1" ref="E88" ca="1">_xlfn.IFS(OR(ISBLANK(StartDateMonth),ISBLANK(StartDateYear)),"",E87&gt;=DATEVALUE(CompletionMonth&amp;CompletionYear)+1,"",TRUE,EDATE(E87,1))</f>
        <v/>
      </c>
      <c r="F88" s="176">
        <f t="shared" ca="1" si="134"/>
        <v>0</v>
      </c>
      <c r="G88" s="176">
        <f t="shared" ca="1" si="134"/>
        <v>0</v>
      </c>
      <c r="H88" s="176">
        <f t="shared" ca="1" si="134"/>
        <v>0</v>
      </c>
      <c r="I88" s="176">
        <f t="shared" ca="1" si="134"/>
        <v>0</v>
      </c>
      <c r="J88" s="176">
        <f t="shared" ca="1" si="134"/>
        <v>0</v>
      </c>
      <c r="K88" s="176">
        <f t="shared" ca="1" si="134"/>
        <v>0</v>
      </c>
      <c r="L88" s="176">
        <f t="shared" ca="1" si="134"/>
        <v>0</v>
      </c>
      <c r="M88" s="176">
        <f t="shared" ca="1" si="134"/>
        <v>0</v>
      </c>
      <c r="N88" s="176">
        <f t="shared" ca="1" si="134"/>
        <v>0</v>
      </c>
      <c r="O88" s="176">
        <f t="shared" ca="1" si="134"/>
        <v>0</v>
      </c>
      <c r="P88" s="176">
        <f t="shared" ca="1" si="95"/>
        <v>0</v>
      </c>
      <c r="Q88" s="176">
        <f t="shared" ca="1" si="96"/>
        <v>0</v>
      </c>
      <c r="R88" s="176">
        <f t="shared" ca="1" si="97"/>
        <v>0</v>
      </c>
      <c r="S88" s="176">
        <f t="shared" ca="1" si="98"/>
        <v>0</v>
      </c>
      <c r="T88" s="176">
        <f t="shared" ca="1" si="99"/>
        <v>0</v>
      </c>
      <c r="U88" s="176">
        <f t="shared" ca="1" si="100"/>
        <v>0</v>
      </c>
      <c r="V88" s="176">
        <f t="shared" ca="1" si="101"/>
        <v>0</v>
      </c>
      <c r="W88" s="177">
        <f t="shared" ca="1" si="102"/>
        <v>600</v>
      </c>
      <c r="X88" s="177">
        <f t="shared" ca="1" si="103"/>
        <v>0</v>
      </c>
      <c r="Y88" s="177">
        <f t="shared" ca="1" si="104"/>
        <v>0</v>
      </c>
      <c r="Z88" s="177">
        <f t="shared" ca="1" si="105"/>
        <v>0</v>
      </c>
      <c r="AA88" s="177">
        <f t="shared" ca="1" si="106"/>
        <v>0</v>
      </c>
      <c r="AB88" s="177">
        <f t="shared" ca="1" si="107"/>
        <v>0</v>
      </c>
      <c r="AC88" s="177">
        <f t="shared" ca="1" si="108"/>
        <v>0</v>
      </c>
      <c r="AD88" s="177">
        <f t="shared" ca="1" si="109"/>
        <v>0</v>
      </c>
      <c r="AE88" s="177">
        <f t="shared" ca="1" si="110"/>
        <v>0</v>
      </c>
      <c r="AF88" s="177">
        <f t="shared" ca="1" si="111"/>
        <v>0</v>
      </c>
      <c r="AG88" s="177">
        <f t="shared" ca="1" si="135"/>
        <v>600</v>
      </c>
      <c r="AH88" s="177">
        <f t="shared" ca="1" si="135"/>
        <v>600</v>
      </c>
      <c r="AI88" s="177">
        <f t="shared" ca="1" si="112"/>
        <v>0</v>
      </c>
      <c r="AJ88" s="177">
        <f t="shared" ca="1" si="113"/>
        <v>0</v>
      </c>
      <c r="AK88" s="177">
        <f t="shared" ca="1" si="114"/>
        <v>0</v>
      </c>
      <c r="AL88" s="177">
        <f t="shared" ca="1" si="115"/>
        <v>0</v>
      </c>
      <c r="AM88" s="177">
        <f t="shared" ca="1" si="116"/>
        <v>0</v>
      </c>
      <c r="AN88" s="177">
        <f t="shared" ca="1" si="117"/>
        <v>0</v>
      </c>
      <c r="AO88" s="177">
        <f t="shared" ca="1" si="118"/>
        <v>0</v>
      </c>
      <c r="AP88" s="177">
        <f t="shared" ca="1" si="119"/>
        <v>0</v>
      </c>
      <c r="AQ88" s="177">
        <f t="shared" ca="1" si="120"/>
        <v>0</v>
      </c>
      <c r="AR88" s="177">
        <f t="shared" ca="1" si="121"/>
        <v>600</v>
      </c>
      <c r="AS88" s="176">
        <f t="shared" ca="1" si="122"/>
        <v>0</v>
      </c>
      <c r="AT88" s="176">
        <f t="shared" ca="1" si="123"/>
        <v>0</v>
      </c>
      <c r="AU88" s="176">
        <f t="shared" ca="1" si="124"/>
        <v>0</v>
      </c>
      <c r="AV88" s="176">
        <f t="shared" ca="1" si="125"/>
        <v>0</v>
      </c>
      <c r="AW88" s="176">
        <f t="shared" ca="1" si="126"/>
        <v>0</v>
      </c>
      <c r="AX88" s="176">
        <f t="shared" ca="1" si="127"/>
        <v>0</v>
      </c>
      <c r="AY88" s="176">
        <f t="shared" ca="1" si="128"/>
        <v>0</v>
      </c>
      <c r="AZ88" s="176">
        <f t="shared" ca="1" si="129"/>
        <v>0</v>
      </c>
      <c r="BA88" s="176">
        <f t="shared" ca="1" si="130"/>
        <v>0</v>
      </c>
      <c r="BB88" s="176">
        <f t="shared" ca="1" si="131"/>
        <v>0</v>
      </c>
      <c r="BC88" s="176">
        <f t="shared" ca="1" si="132"/>
        <v>0</v>
      </c>
    </row>
    <row r="89" spans="1:55">
      <c r="A89" s="1">
        <f t="shared" ca="1" si="92"/>
        <v>0</v>
      </c>
      <c r="B89" s="1" t="s">
        <v>148</v>
      </c>
      <c r="C89" s="1" t="str">
        <f t="shared" ca="1" si="93"/>
        <v/>
      </c>
      <c r="D89" s="1" t="str">
        <f t="shared" ca="1" si="94"/>
        <v/>
      </c>
      <c r="E89" s="173" t="str" cm="1">
        <f t="array" aca="1" ref="E89" ca="1">_xlfn.IFS(OR(ISBLANK(StartDateMonth),ISBLANK(StartDateYear)),"",E88&gt;=DATEVALUE(CompletionMonth&amp;CompletionYear)+1,"",TRUE,EDATE(E88,1))</f>
        <v/>
      </c>
      <c r="F89" s="176">
        <f t="shared" ca="1" si="134"/>
        <v>0</v>
      </c>
      <c r="G89" s="176">
        <f t="shared" ca="1" si="134"/>
        <v>0</v>
      </c>
      <c r="H89" s="176">
        <f t="shared" ca="1" si="134"/>
        <v>0</v>
      </c>
      <c r="I89" s="176">
        <f t="shared" ca="1" si="134"/>
        <v>0</v>
      </c>
      <c r="J89" s="176">
        <f t="shared" ca="1" si="134"/>
        <v>0</v>
      </c>
      <c r="K89" s="176">
        <f t="shared" ca="1" si="134"/>
        <v>0</v>
      </c>
      <c r="L89" s="176">
        <f t="shared" ca="1" si="134"/>
        <v>0</v>
      </c>
      <c r="M89" s="176">
        <f t="shared" ca="1" si="134"/>
        <v>0</v>
      </c>
      <c r="N89" s="176">
        <f t="shared" ca="1" si="134"/>
        <v>0</v>
      </c>
      <c r="O89" s="176">
        <f t="shared" ca="1" si="134"/>
        <v>0</v>
      </c>
      <c r="P89" s="176">
        <f t="shared" ca="1" si="95"/>
        <v>0</v>
      </c>
      <c r="Q89" s="176">
        <f t="shared" ca="1" si="96"/>
        <v>0</v>
      </c>
      <c r="R89" s="176">
        <f t="shared" ca="1" si="97"/>
        <v>0</v>
      </c>
      <c r="S89" s="176">
        <f t="shared" ca="1" si="98"/>
        <v>0</v>
      </c>
      <c r="T89" s="176">
        <f t="shared" ca="1" si="99"/>
        <v>0</v>
      </c>
      <c r="U89" s="176">
        <f t="shared" ca="1" si="100"/>
        <v>0</v>
      </c>
      <c r="V89" s="176">
        <f t="shared" ca="1" si="101"/>
        <v>0</v>
      </c>
      <c r="W89" s="177">
        <f t="shared" ca="1" si="102"/>
        <v>600</v>
      </c>
      <c r="X89" s="177">
        <f t="shared" ca="1" si="103"/>
        <v>0</v>
      </c>
      <c r="Y89" s="177">
        <f t="shared" ca="1" si="104"/>
        <v>0</v>
      </c>
      <c r="Z89" s="177">
        <f t="shared" ca="1" si="105"/>
        <v>0</v>
      </c>
      <c r="AA89" s="177">
        <f t="shared" ca="1" si="106"/>
        <v>0</v>
      </c>
      <c r="AB89" s="177">
        <f t="shared" ca="1" si="107"/>
        <v>0</v>
      </c>
      <c r="AC89" s="177">
        <f t="shared" ca="1" si="108"/>
        <v>0</v>
      </c>
      <c r="AD89" s="177">
        <f t="shared" ca="1" si="109"/>
        <v>0</v>
      </c>
      <c r="AE89" s="177">
        <f t="shared" ca="1" si="110"/>
        <v>0</v>
      </c>
      <c r="AF89" s="177">
        <f t="shared" ca="1" si="111"/>
        <v>0</v>
      </c>
      <c r="AG89" s="177">
        <f t="shared" ca="1" si="135"/>
        <v>600</v>
      </c>
      <c r="AH89" s="177">
        <f t="shared" ca="1" si="135"/>
        <v>600</v>
      </c>
      <c r="AI89" s="177">
        <f t="shared" ca="1" si="112"/>
        <v>0</v>
      </c>
      <c r="AJ89" s="177">
        <f t="shared" ca="1" si="113"/>
        <v>0</v>
      </c>
      <c r="AK89" s="177">
        <f t="shared" ca="1" si="114"/>
        <v>0</v>
      </c>
      <c r="AL89" s="177">
        <f t="shared" ca="1" si="115"/>
        <v>0</v>
      </c>
      <c r="AM89" s="177">
        <f t="shared" ca="1" si="116"/>
        <v>0</v>
      </c>
      <c r="AN89" s="177">
        <f t="shared" ca="1" si="117"/>
        <v>0</v>
      </c>
      <c r="AO89" s="177">
        <f t="shared" ca="1" si="118"/>
        <v>0</v>
      </c>
      <c r="AP89" s="177">
        <f t="shared" ca="1" si="119"/>
        <v>0</v>
      </c>
      <c r="AQ89" s="177">
        <f t="shared" ca="1" si="120"/>
        <v>0</v>
      </c>
      <c r="AR89" s="177">
        <f t="shared" ca="1" si="121"/>
        <v>600</v>
      </c>
      <c r="AS89" s="176">
        <f t="shared" ca="1" si="122"/>
        <v>0</v>
      </c>
      <c r="AT89" s="176">
        <f t="shared" ca="1" si="123"/>
        <v>0</v>
      </c>
      <c r="AU89" s="176">
        <f t="shared" ca="1" si="124"/>
        <v>0</v>
      </c>
      <c r="AV89" s="176">
        <f t="shared" ca="1" si="125"/>
        <v>0</v>
      </c>
      <c r="AW89" s="176">
        <f t="shared" ca="1" si="126"/>
        <v>0</v>
      </c>
      <c r="AX89" s="176">
        <f t="shared" ca="1" si="127"/>
        <v>0</v>
      </c>
      <c r="AY89" s="176">
        <f t="shared" ca="1" si="128"/>
        <v>0</v>
      </c>
      <c r="AZ89" s="176">
        <f t="shared" ca="1" si="129"/>
        <v>0</v>
      </c>
      <c r="BA89" s="176">
        <f t="shared" ca="1" si="130"/>
        <v>0</v>
      </c>
      <c r="BB89" s="176">
        <f t="shared" ca="1" si="131"/>
        <v>0</v>
      </c>
      <c r="BC89" s="176">
        <f t="shared" ca="1" si="132"/>
        <v>0</v>
      </c>
    </row>
    <row r="90" spans="1:55">
      <c r="A90" s="1">
        <f t="shared" ca="1" si="92"/>
        <v>0</v>
      </c>
      <c r="B90" s="1" t="s">
        <v>149</v>
      </c>
      <c r="C90" s="1" t="str">
        <f t="shared" ca="1" si="93"/>
        <v/>
      </c>
      <c r="D90" s="1" t="str">
        <f t="shared" ca="1" si="94"/>
        <v/>
      </c>
      <c r="E90" s="173" t="str" cm="1">
        <f t="array" aca="1" ref="E90" ca="1">_xlfn.IFS(OR(ISBLANK(StartDateMonth),ISBLANK(StartDateYear)),"",E89&gt;=DATEVALUE(CompletionMonth&amp;CompletionYear)+1,"",TRUE,EDATE(E89,1))</f>
        <v/>
      </c>
      <c r="F90" s="176">
        <f t="shared" ca="1" si="134"/>
        <v>0</v>
      </c>
      <c r="G90" s="176">
        <f t="shared" ca="1" si="134"/>
        <v>0</v>
      </c>
      <c r="H90" s="176">
        <f t="shared" ca="1" si="134"/>
        <v>0</v>
      </c>
      <c r="I90" s="176">
        <f t="shared" ca="1" si="134"/>
        <v>0</v>
      </c>
      <c r="J90" s="176">
        <f t="shared" ca="1" si="134"/>
        <v>0</v>
      </c>
      <c r="K90" s="176">
        <f t="shared" ca="1" si="134"/>
        <v>0</v>
      </c>
      <c r="L90" s="176">
        <f t="shared" ca="1" si="134"/>
        <v>0</v>
      </c>
      <c r="M90" s="176">
        <f t="shared" ca="1" si="134"/>
        <v>0</v>
      </c>
      <c r="N90" s="176">
        <f t="shared" ca="1" si="134"/>
        <v>0</v>
      </c>
      <c r="O90" s="176">
        <f t="shared" ca="1" si="134"/>
        <v>0</v>
      </c>
      <c r="P90" s="176">
        <f t="shared" ca="1" si="95"/>
        <v>0</v>
      </c>
      <c r="Q90" s="176">
        <f t="shared" ca="1" si="96"/>
        <v>0</v>
      </c>
      <c r="R90" s="176">
        <f t="shared" ca="1" si="97"/>
        <v>0</v>
      </c>
      <c r="S90" s="176">
        <f t="shared" ca="1" si="98"/>
        <v>0</v>
      </c>
      <c r="T90" s="176">
        <f t="shared" ca="1" si="99"/>
        <v>0</v>
      </c>
      <c r="U90" s="176">
        <f t="shared" ca="1" si="100"/>
        <v>0</v>
      </c>
      <c r="V90" s="176">
        <f t="shared" ca="1" si="101"/>
        <v>0</v>
      </c>
      <c r="W90" s="177">
        <f t="shared" ca="1" si="102"/>
        <v>600</v>
      </c>
      <c r="X90" s="177">
        <f t="shared" ca="1" si="103"/>
        <v>0</v>
      </c>
      <c r="Y90" s="177">
        <f t="shared" ca="1" si="104"/>
        <v>0</v>
      </c>
      <c r="Z90" s="177">
        <f t="shared" ca="1" si="105"/>
        <v>0</v>
      </c>
      <c r="AA90" s="177">
        <f t="shared" ca="1" si="106"/>
        <v>0</v>
      </c>
      <c r="AB90" s="177">
        <f t="shared" ca="1" si="107"/>
        <v>0</v>
      </c>
      <c r="AC90" s="177">
        <f t="shared" ca="1" si="108"/>
        <v>0</v>
      </c>
      <c r="AD90" s="177">
        <f t="shared" ca="1" si="109"/>
        <v>0</v>
      </c>
      <c r="AE90" s="177">
        <f t="shared" ca="1" si="110"/>
        <v>0</v>
      </c>
      <c r="AF90" s="177">
        <f t="shared" ca="1" si="111"/>
        <v>0</v>
      </c>
      <c r="AG90" s="177">
        <f t="shared" ca="1" si="135"/>
        <v>600</v>
      </c>
      <c r="AH90" s="177">
        <f t="shared" ca="1" si="135"/>
        <v>600</v>
      </c>
      <c r="AI90" s="177">
        <f t="shared" ca="1" si="112"/>
        <v>0</v>
      </c>
      <c r="AJ90" s="177">
        <f t="shared" ca="1" si="113"/>
        <v>0</v>
      </c>
      <c r="AK90" s="177">
        <f t="shared" ca="1" si="114"/>
        <v>0</v>
      </c>
      <c r="AL90" s="177">
        <f t="shared" ca="1" si="115"/>
        <v>0</v>
      </c>
      <c r="AM90" s="177">
        <f t="shared" ca="1" si="116"/>
        <v>0</v>
      </c>
      <c r="AN90" s="177">
        <f t="shared" ca="1" si="117"/>
        <v>0</v>
      </c>
      <c r="AO90" s="177">
        <f t="shared" ca="1" si="118"/>
        <v>0</v>
      </c>
      <c r="AP90" s="177">
        <f t="shared" ca="1" si="119"/>
        <v>0</v>
      </c>
      <c r="AQ90" s="177">
        <f t="shared" ca="1" si="120"/>
        <v>0</v>
      </c>
      <c r="AR90" s="177">
        <f t="shared" ca="1" si="121"/>
        <v>600</v>
      </c>
      <c r="AS90" s="176">
        <f t="shared" ca="1" si="122"/>
        <v>0</v>
      </c>
      <c r="AT90" s="176">
        <f t="shared" ca="1" si="123"/>
        <v>0</v>
      </c>
      <c r="AU90" s="176">
        <f t="shared" ca="1" si="124"/>
        <v>0</v>
      </c>
      <c r="AV90" s="176">
        <f t="shared" ca="1" si="125"/>
        <v>0</v>
      </c>
      <c r="AW90" s="176">
        <f t="shared" ca="1" si="126"/>
        <v>0</v>
      </c>
      <c r="AX90" s="176">
        <f t="shared" ca="1" si="127"/>
        <v>0</v>
      </c>
      <c r="AY90" s="176">
        <f t="shared" ca="1" si="128"/>
        <v>0</v>
      </c>
      <c r="AZ90" s="176">
        <f t="shared" ca="1" si="129"/>
        <v>0</v>
      </c>
      <c r="BA90" s="176">
        <f t="shared" ca="1" si="130"/>
        <v>0</v>
      </c>
      <c r="BB90" s="176">
        <f t="shared" ca="1" si="131"/>
        <v>0</v>
      </c>
      <c r="BC90" s="176">
        <f t="shared" ca="1" si="132"/>
        <v>0</v>
      </c>
    </row>
    <row r="91" spans="1:55">
      <c r="A91" s="1">
        <f t="shared" ca="1" si="92"/>
        <v>0</v>
      </c>
      <c r="B91" s="1" t="s">
        <v>150</v>
      </c>
      <c r="C91" s="1" t="str">
        <f t="shared" ca="1" si="93"/>
        <v/>
      </c>
      <c r="D91" s="1" t="str">
        <f t="shared" ca="1" si="94"/>
        <v/>
      </c>
      <c r="E91" s="173" t="str" cm="1">
        <f t="array" aca="1" ref="E91" ca="1">_xlfn.IFS(OR(ISBLANK(StartDateMonth),ISBLANK(StartDateYear)),"",E90&gt;=DATEVALUE(CompletionMonth&amp;CompletionYear)+1,"",TRUE,EDATE(E90,1))</f>
        <v/>
      </c>
      <c r="F91" s="176">
        <f t="shared" ca="1" si="134"/>
        <v>0</v>
      </c>
      <c r="G91" s="176">
        <f t="shared" ca="1" si="134"/>
        <v>0</v>
      </c>
      <c r="H91" s="176">
        <f t="shared" ca="1" si="134"/>
        <v>0</v>
      </c>
      <c r="I91" s="176">
        <f t="shared" ca="1" si="134"/>
        <v>0</v>
      </c>
      <c r="J91" s="176">
        <f t="shared" ca="1" si="134"/>
        <v>0</v>
      </c>
      <c r="K91" s="176">
        <f t="shared" ca="1" si="134"/>
        <v>0</v>
      </c>
      <c r="L91" s="176">
        <f t="shared" ca="1" si="134"/>
        <v>0</v>
      </c>
      <c r="M91" s="176">
        <f t="shared" ca="1" si="134"/>
        <v>0</v>
      </c>
      <c r="N91" s="176">
        <f t="shared" ca="1" si="134"/>
        <v>0</v>
      </c>
      <c r="O91" s="176">
        <f t="shared" ca="1" si="134"/>
        <v>0</v>
      </c>
      <c r="P91" s="176">
        <f t="shared" ca="1" si="95"/>
        <v>0</v>
      </c>
      <c r="Q91" s="176">
        <f t="shared" ca="1" si="96"/>
        <v>0</v>
      </c>
      <c r="R91" s="176">
        <f t="shared" ca="1" si="97"/>
        <v>0</v>
      </c>
      <c r="S91" s="176">
        <f t="shared" ca="1" si="98"/>
        <v>0</v>
      </c>
      <c r="T91" s="176">
        <f t="shared" ca="1" si="99"/>
        <v>0</v>
      </c>
      <c r="U91" s="176">
        <f t="shared" ca="1" si="100"/>
        <v>0</v>
      </c>
      <c r="V91" s="176">
        <f t="shared" ca="1" si="101"/>
        <v>0</v>
      </c>
      <c r="W91" s="177">
        <f t="shared" ca="1" si="102"/>
        <v>600</v>
      </c>
      <c r="X91" s="177">
        <f t="shared" ca="1" si="103"/>
        <v>0</v>
      </c>
      <c r="Y91" s="177">
        <f t="shared" ca="1" si="104"/>
        <v>0</v>
      </c>
      <c r="Z91" s="177">
        <f t="shared" ca="1" si="105"/>
        <v>0</v>
      </c>
      <c r="AA91" s="177">
        <f t="shared" ca="1" si="106"/>
        <v>0</v>
      </c>
      <c r="AB91" s="177">
        <f t="shared" ca="1" si="107"/>
        <v>0</v>
      </c>
      <c r="AC91" s="177">
        <f t="shared" ca="1" si="108"/>
        <v>0</v>
      </c>
      <c r="AD91" s="177">
        <f t="shared" ca="1" si="109"/>
        <v>0</v>
      </c>
      <c r="AE91" s="177">
        <f t="shared" ca="1" si="110"/>
        <v>0</v>
      </c>
      <c r="AF91" s="177">
        <f t="shared" ca="1" si="111"/>
        <v>0</v>
      </c>
      <c r="AG91" s="177">
        <f t="shared" ca="1" si="135"/>
        <v>600</v>
      </c>
      <c r="AH91" s="177">
        <f t="shared" ca="1" si="135"/>
        <v>600</v>
      </c>
      <c r="AI91" s="177">
        <f t="shared" ca="1" si="112"/>
        <v>0</v>
      </c>
      <c r="AJ91" s="177">
        <f t="shared" ca="1" si="113"/>
        <v>0</v>
      </c>
      <c r="AK91" s="177">
        <f t="shared" ca="1" si="114"/>
        <v>0</v>
      </c>
      <c r="AL91" s="177">
        <f t="shared" ca="1" si="115"/>
        <v>0</v>
      </c>
      <c r="AM91" s="177">
        <f t="shared" ca="1" si="116"/>
        <v>0</v>
      </c>
      <c r="AN91" s="177">
        <f t="shared" ca="1" si="117"/>
        <v>0</v>
      </c>
      <c r="AO91" s="177">
        <f t="shared" ca="1" si="118"/>
        <v>0</v>
      </c>
      <c r="AP91" s="177">
        <f t="shared" ca="1" si="119"/>
        <v>0</v>
      </c>
      <c r="AQ91" s="177">
        <f t="shared" ca="1" si="120"/>
        <v>0</v>
      </c>
      <c r="AR91" s="177">
        <f t="shared" ca="1" si="121"/>
        <v>600</v>
      </c>
      <c r="AS91" s="176">
        <f t="shared" ca="1" si="122"/>
        <v>0</v>
      </c>
      <c r="AT91" s="176">
        <f t="shared" ca="1" si="123"/>
        <v>0</v>
      </c>
      <c r="AU91" s="176">
        <f t="shared" ca="1" si="124"/>
        <v>0</v>
      </c>
      <c r="AV91" s="176">
        <f t="shared" ca="1" si="125"/>
        <v>0</v>
      </c>
      <c r="AW91" s="176">
        <f t="shared" ca="1" si="126"/>
        <v>0</v>
      </c>
      <c r="AX91" s="176">
        <f t="shared" ca="1" si="127"/>
        <v>0</v>
      </c>
      <c r="AY91" s="176">
        <f t="shared" ca="1" si="128"/>
        <v>0</v>
      </c>
      <c r="AZ91" s="176">
        <f t="shared" ca="1" si="129"/>
        <v>0</v>
      </c>
      <c r="BA91" s="176">
        <f t="shared" ca="1" si="130"/>
        <v>0</v>
      </c>
      <c r="BB91" s="176">
        <f t="shared" ca="1" si="131"/>
        <v>0</v>
      </c>
      <c r="BC91" s="176">
        <f t="shared" ca="1" si="132"/>
        <v>0</v>
      </c>
    </row>
    <row r="92" spans="1:55">
      <c r="A92" s="1">
        <f t="shared" ca="1" si="92"/>
        <v>0</v>
      </c>
      <c r="B92" s="1" t="s">
        <v>151</v>
      </c>
      <c r="C92" s="1" t="str">
        <f t="shared" ca="1" si="93"/>
        <v/>
      </c>
      <c r="D92" s="1" t="str">
        <f t="shared" ca="1" si="94"/>
        <v/>
      </c>
      <c r="E92" s="173" t="str" cm="1">
        <f t="array" aca="1" ref="E92" ca="1">_xlfn.IFS(OR(ISBLANK(StartDateMonth),ISBLANK(StartDateYear)),"",E91&gt;=DATEVALUE(CompletionMonth&amp;CompletionYear)+1,"",TRUE,EDATE(E91,1))</f>
        <v/>
      </c>
      <c r="F92" s="176">
        <f t="shared" ca="1" si="134"/>
        <v>0</v>
      </c>
      <c r="G92" s="176">
        <f t="shared" ca="1" si="134"/>
        <v>0</v>
      </c>
      <c r="H92" s="176">
        <f t="shared" ca="1" si="134"/>
        <v>0</v>
      </c>
      <c r="I92" s="176">
        <f t="shared" ca="1" si="134"/>
        <v>0</v>
      </c>
      <c r="J92" s="176">
        <f t="shared" ca="1" si="134"/>
        <v>0</v>
      </c>
      <c r="K92" s="176">
        <f t="shared" ca="1" si="134"/>
        <v>0</v>
      </c>
      <c r="L92" s="176">
        <f t="shared" ca="1" si="134"/>
        <v>0</v>
      </c>
      <c r="M92" s="176">
        <f t="shared" ca="1" si="134"/>
        <v>0</v>
      </c>
      <c r="N92" s="176">
        <f t="shared" ca="1" si="134"/>
        <v>0</v>
      </c>
      <c r="O92" s="176">
        <f t="shared" ca="1" si="134"/>
        <v>0</v>
      </c>
      <c r="P92" s="176">
        <f t="shared" ca="1" si="95"/>
        <v>0</v>
      </c>
      <c r="Q92" s="176">
        <f t="shared" ca="1" si="96"/>
        <v>0</v>
      </c>
      <c r="R92" s="176">
        <f t="shared" ca="1" si="97"/>
        <v>0</v>
      </c>
      <c r="S92" s="176">
        <f t="shared" ca="1" si="98"/>
        <v>0</v>
      </c>
      <c r="T92" s="176">
        <f t="shared" ca="1" si="99"/>
        <v>0</v>
      </c>
      <c r="U92" s="176">
        <f t="shared" ca="1" si="100"/>
        <v>0</v>
      </c>
      <c r="V92" s="176">
        <f t="shared" ca="1" si="101"/>
        <v>0</v>
      </c>
      <c r="W92" s="177">
        <f t="shared" ca="1" si="102"/>
        <v>600</v>
      </c>
      <c r="X92" s="177">
        <f t="shared" ca="1" si="103"/>
        <v>0</v>
      </c>
      <c r="Y92" s="177">
        <f t="shared" ca="1" si="104"/>
        <v>0</v>
      </c>
      <c r="Z92" s="177">
        <f t="shared" ca="1" si="105"/>
        <v>0</v>
      </c>
      <c r="AA92" s="177">
        <f t="shared" ca="1" si="106"/>
        <v>0</v>
      </c>
      <c r="AB92" s="177">
        <f t="shared" ca="1" si="107"/>
        <v>0</v>
      </c>
      <c r="AC92" s="177">
        <f t="shared" ca="1" si="108"/>
        <v>0</v>
      </c>
      <c r="AD92" s="177">
        <f t="shared" ca="1" si="109"/>
        <v>0</v>
      </c>
      <c r="AE92" s="177">
        <f t="shared" ca="1" si="110"/>
        <v>0</v>
      </c>
      <c r="AF92" s="177">
        <f t="shared" ca="1" si="111"/>
        <v>0</v>
      </c>
      <c r="AG92" s="177">
        <f t="shared" ca="1" si="135"/>
        <v>600</v>
      </c>
      <c r="AH92" s="177">
        <f t="shared" ca="1" si="135"/>
        <v>600</v>
      </c>
      <c r="AI92" s="177">
        <f t="shared" ca="1" si="112"/>
        <v>0</v>
      </c>
      <c r="AJ92" s="177">
        <f t="shared" ca="1" si="113"/>
        <v>0</v>
      </c>
      <c r="AK92" s="177">
        <f t="shared" ca="1" si="114"/>
        <v>0</v>
      </c>
      <c r="AL92" s="177">
        <f t="shared" ca="1" si="115"/>
        <v>0</v>
      </c>
      <c r="AM92" s="177">
        <f t="shared" ca="1" si="116"/>
        <v>0</v>
      </c>
      <c r="AN92" s="177">
        <f t="shared" ca="1" si="117"/>
        <v>0</v>
      </c>
      <c r="AO92" s="177">
        <f t="shared" ca="1" si="118"/>
        <v>0</v>
      </c>
      <c r="AP92" s="177">
        <f t="shared" ca="1" si="119"/>
        <v>0</v>
      </c>
      <c r="AQ92" s="177">
        <f t="shared" ca="1" si="120"/>
        <v>0</v>
      </c>
      <c r="AR92" s="177">
        <f t="shared" ca="1" si="121"/>
        <v>600</v>
      </c>
      <c r="AS92" s="176">
        <f t="shared" ca="1" si="122"/>
        <v>0</v>
      </c>
      <c r="AT92" s="176">
        <f t="shared" ca="1" si="123"/>
        <v>0</v>
      </c>
      <c r="AU92" s="176">
        <f t="shared" ca="1" si="124"/>
        <v>0</v>
      </c>
      <c r="AV92" s="176">
        <f t="shared" ca="1" si="125"/>
        <v>0</v>
      </c>
      <c r="AW92" s="176">
        <f t="shared" ca="1" si="126"/>
        <v>0</v>
      </c>
      <c r="AX92" s="176">
        <f t="shared" ca="1" si="127"/>
        <v>0</v>
      </c>
      <c r="AY92" s="176">
        <f t="shared" ca="1" si="128"/>
        <v>0</v>
      </c>
      <c r="AZ92" s="176">
        <f t="shared" ca="1" si="129"/>
        <v>0</v>
      </c>
      <c r="BA92" s="176">
        <f t="shared" ca="1" si="130"/>
        <v>0</v>
      </c>
      <c r="BB92" s="176">
        <f t="shared" ca="1" si="131"/>
        <v>0</v>
      </c>
      <c r="BC92" s="176">
        <f t="shared" ca="1" si="132"/>
        <v>0</v>
      </c>
    </row>
    <row r="93" spans="1:55">
      <c r="A93" s="1">
        <f t="shared" ca="1" si="92"/>
        <v>0</v>
      </c>
      <c r="B93" s="1" t="s">
        <v>152</v>
      </c>
      <c r="C93" s="1" t="str">
        <f t="shared" ca="1" si="93"/>
        <v/>
      </c>
      <c r="D93" s="1" t="str">
        <f t="shared" ca="1" si="94"/>
        <v/>
      </c>
      <c r="E93" s="173" t="str" cm="1">
        <f t="array" aca="1" ref="E93" ca="1">_xlfn.IFS(OR(ISBLANK(StartDateMonth),ISBLANK(StartDateYear)),"",E92&gt;=DATEVALUE(CompletionMonth&amp;CompletionYear)+1,"",TRUE,EDATE(E92,1))</f>
        <v/>
      </c>
      <c r="F93" s="176">
        <f t="shared" ca="1" si="134"/>
        <v>0</v>
      </c>
      <c r="G93" s="176">
        <f t="shared" ca="1" si="134"/>
        <v>0</v>
      </c>
      <c r="H93" s="176">
        <f t="shared" ca="1" si="134"/>
        <v>0</v>
      </c>
      <c r="I93" s="176">
        <f t="shared" ca="1" si="134"/>
        <v>0</v>
      </c>
      <c r="J93" s="176">
        <f t="shared" ca="1" si="134"/>
        <v>0</v>
      </c>
      <c r="K93" s="176">
        <f t="shared" ca="1" si="134"/>
        <v>0</v>
      </c>
      <c r="L93" s="176">
        <f t="shared" ca="1" si="134"/>
        <v>0</v>
      </c>
      <c r="M93" s="176">
        <f t="shared" ca="1" si="134"/>
        <v>0</v>
      </c>
      <c r="N93" s="176">
        <f t="shared" ca="1" si="134"/>
        <v>0</v>
      </c>
      <c r="O93" s="176">
        <f t="shared" ca="1" si="134"/>
        <v>0</v>
      </c>
      <c r="P93" s="176">
        <f t="shared" ca="1" si="95"/>
        <v>0</v>
      </c>
      <c r="Q93" s="176">
        <f t="shared" ca="1" si="96"/>
        <v>0</v>
      </c>
      <c r="R93" s="176">
        <f t="shared" ca="1" si="97"/>
        <v>0</v>
      </c>
      <c r="S93" s="176">
        <f t="shared" ca="1" si="98"/>
        <v>0</v>
      </c>
      <c r="T93" s="176">
        <f t="shared" ca="1" si="99"/>
        <v>0</v>
      </c>
      <c r="U93" s="176">
        <f t="shared" ca="1" si="100"/>
        <v>0</v>
      </c>
      <c r="V93" s="176">
        <f t="shared" ca="1" si="101"/>
        <v>0</v>
      </c>
      <c r="W93" s="177">
        <f t="shared" ca="1" si="102"/>
        <v>600</v>
      </c>
      <c r="X93" s="177">
        <f t="shared" ca="1" si="103"/>
        <v>0</v>
      </c>
      <c r="Y93" s="177">
        <f t="shared" ca="1" si="104"/>
        <v>0</v>
      </c>
      <c r="Z93" s="177">
        <f t="shared" ca="1" si="105"/>
        <v>0</v>
      </c>
      <c r="AA93" s="177">
        <f t="shared" ca="1" si="106"/>
        <v>0</v>
      </c>
      <c r="AB93" s="177">
        <f t="shared" ca="1" si="107"/>
        <v>0</v>
      </c>
      <c r="AC93" s="177">
        <f t="shared" ca="1" si="108"/>
        <v>0</v>
      </c>
      <c r="AD93" s="177">
        <f t="shared" ca="1" si="109"/>
        <v>0</v>
      </c>
      <c r="AE93" s="177">
        <f t="shared" ca="1" si="110"/>
        <v>0</v>
      </c>
      <c r="AF93" s="177">
        <f t="shared" ca="1" si="111"/>
        <v>0</v>
      </c>
      <c r="AG93" s="177">
        <f t="shared" ca="1" si="135"/>
        <v>600</v>
      </c>
      <c r="AH93" s="177">
        <f t="shared" ca="1" si="135"/>
        <v>600</v>
      </c>
      <c r="AI93" s="177">
        <f t="shared" ca="1" si="112"/>
        <v>0</v>
      </c>
      <c r="AJ93" s="177">
        <f t="shared" ca="1" si="113"/>
        <v>0</v>
      </c>
      <c r="AK93" s="177">
        <f t="shared" ca="1" si="114"/>
        <v>0</v>
      </c>
      <c r="AL93" s="177">
        <f t="shared" ca="1" si="115"/>
        <v>0</v>
      </c>
      <c r="AM93" s="177">
        <f t="shared" ca="1" si="116"/>
        <v>0</v>
      </c>
      <c r="AN93" s="177">
        <f t="shared" ca="1" si="117"/>
        <v>0</v>
      </c>
      <c r="AO93" s="177">
        <f t="shared" ca="1" si="118"/>
        <v>0</v>
      </c>
      <c r="AP93" s="177">
        <f t="shared" ca="1" si="119"/>
        <v>0</v>
      </c>
      <c r="AQ93" s="177">
        <f t="shared" ca="1" si="120"/>
        <v>0</v>
      </c>
      <c r="AR93" s="177">
        <f t="shared" ca="1" si="121"/>
        <v>600</v>
      </c>
      <c r="AS93" s="176">
        <f t="shared" ca="1" si="122"/>
        <v>0</v>
      </c>
      <c r="AT93" s="176">
        <f t="shared" ca="1" si="123"/>
        <v>0</v>
      </c>
      <c r="AU93" s="176">
        <f t="shared" ca="1" si="124"/>
        <v>0</v>
      </c>
      <c r="AV93" s="176">
        <f t="shared" ca="1" si="125"/>
        <v>0</v>
      </c>
      <c r="AW93" s="176">
        <f t="shared" ca="1" si="126"/>
        <v>0</v>
      </c>
      <c r="AX93" s="176">
        <f t="shared" ca="1" si="127"/>
        <v>0</v>
      </c>
      <c r="AY93" s="176">
        <f t="shared" ca="1" si="128"/>
        <v>0</v>
      </c>
      <c r="AZ93" s="176">
        <f t="shared" ca="1" si="129"/>
        <v>0</v>
      </c>
      <c r="BA93" s="176">
        <f t="shared" ca="1" si="130"/>
        <v>0</v>
      </c>
      <c r="BB93" s="176">
        <f t="shared" ca="1" si="131"/>
        <v>0</v>
      </c>
      <c r="BC93" s="176">
        <f t="shared" ca="1" si="132"/>
        <v>0</v>
      </c>
    </row>
    <row r="94" spans="1:55">
      <c r="A94" s="1">
        <f t="shared" ca="1" si="92"/>
        <v>0</v>
      </c>
      <c r="B94" s="1" t="s">
        <v>153</v>
      </c>
      <c r="C94" s="1" t="str">
        <f t="shared" ca="1" si="93"/>
        <v/>
      </c>
      <c r="D94" s="1" t="str">
        <f t="shared" ca="1" si="94"/>
        <v/>
      </c>
      <c r="E94" s="173" t="str" cm="1">
        <f t="array" aca="1" ref="E94" ca="1">_xlfn.IFS(OR(ISBLANK(StartDateMonth),ISBLANK(StartDateYear)),"",E93&gt;=DATEVALUE(CompletionMonth&amp;CompletionYear)+1,"",TRUE,EDATE(E93,1))</f>
        <v/>
      </c>
      <c r="F94" s="176">
        <f t="shared" ref="F94:O103" ca="1" si="136">IF($A94=1,INDEX(DevelopmentCosts,MATCH(F$3,TotalDevCostsList,0),MATCH($B94,DevelopmentCostTitle,0)),0)</f>
        <v>0</v>
      </c>
      <c r="G94" s="176">
        <f t="shared" ca="1" si="136"/>
        <v>0</v>
      </c>
      <c r="H94" s="176">
        <f t="shared" ca="1" si="136"/>
        <v>0</v>
      </c>
      <c r="I94" s="176">
        <f t="shared" ca="1" si="136"/>
        <v>0</v>
      </c>
      <c r="J94" s="176">
        <f t="shared" ca="1" si="136"/>
        <v>0</v>
      </c>
      <c r="K94" s="176">
        <f t="shared" ca="1" si="136"/>
        <v>0</v>
      </c>
      <c r="L94" s="176">
        <f t="shared" ca="1" si="136"/>
        <v>0</v>
      </c>
      <c r="M94" s="176">
        <f t="shared" ca="1" si="136"/>
        <v>0</v>
      </c>
      <c r="N94" s="176">
        <f t="shared" ca="1" si="136"/>
        <v>0</v>
      </c>
      <c r="O94" s="176">
        <f t="shared" ca="1" si="136"/>
        <v>0</v>
      </c>
      <c r="P94" s="176">
        <f t="shared" ca="1" si="95"/>
        <v>0</v>
      </c>
      <c r="Q94" s="176">
        <f t="shared" ca="1" si="96"/>
        <v>0</v>
      </c>
      <c r="R94" s="176">
        <f t="shared" ca="1" si="97"/>
        <v>0</v>
      </c>
      <c r="S94" s="176">
        <f t="shared" ca="1" si="98"/>
        <v>0</v>
      </c>
      <c r="T94" s="176">
        <f t="shared" ca="1" si="99"/>
        <v>0</v>
      </c>
      <c r="U94" s="176">
        <f t="shared" ca="1" si="100"/>
        <v>0</v>
      </c>
      <c r="V94" s="176">
        <f t="shared" ca="1" si="101"/>
        <v>0</v>
      </c>
      <c r="W94" s="177">
        <f t="shared" ca="1" si="102"/>
        <v>600</v>
      </c>
      <c r="X94" s="177">
        <f t="shared" ca="1" si="103"/>
        <v>0</v>
      </c>
      <c r="Y94" s="177">
        <f t="shared" ca="1" si="104"/>
        <v>0</v>
      </c>
      <c r="Z94" s="177">
        <f t="shared" ca="1" si="105"/>
        <v>0</v>
      </c>
      <c r="AA94" s="177">
        <f t="shared" ca="1" si="106"/>
        <v>0</v>
      </c>
      <c r="AB94" s="177">
        <f t="shared" ca="1" si="107"/>
        <v>0</v>
      </c>
      <c r="AC94" s="177">
        <f t="shared" ca="1" si="108"/>
        <v>0</v>
      </c>
      <c r="AD94" s="177">
        <f t="shared" ca="1" si="109"/>
        <v>0</v>
      </c>
      <c r="AE94" s="177">
        <f t="shared" ca="1" si="110"/>
        <v>0</v>
      </c>
      <c r="AF94" s="177">
        <f t="shared" ca="1" si="111"/>
        <v>0</v>
      </c>
      <c r="AG94" s="177">
        <f t="shared" ca="1" si="135"/>
        <v>600</v>
      </c>
      <c r="AH94" s="177">
        <f t="shared" ca="1" si="135"/>
        <v>600</v>
      </c>
      <c r="AI94" s="177">
        <f t="shared" ca="1" si="112"/>
        <v>0</v>
      </c>
      <c r="AJ94" s="177">
        <f t="shared" ca="1" si="113"/>
        <v>0</v>
      </c>
      <c r="AK94" s="177">
        <f t="shared" ca="1" si="114"/>
        <v>0</v>
      </c>
      <c r="AL94" s="177">
        <f t="shared" ca="1" si="115"/>
        <v>0</v>
      </c>
      <c r="AM94" s="177">
        <f t="shared" ca="1" si="116"/>
        <v>0</v>
      </c>
      <c r="AN94" s="177">
        <f t="shared" ca="1" si="117"/>
        <v>0</v>
      </c>
      <c r="AO94" s="177">
        <f t="shared" ca="1" si="118"/>
        <v>0</v>
      </c>
      <c r="AP94" s="177">
        <f t="shared" ca="1" si="119"/>
        <v>0</v>
      </c>
      <c r="AQ94" s="177">
        <f t="shared" ca="1" si="120"/>
        <v>0</v>
      </c>
      <c r="AR94" s="177">
        <f t="shared" ca="1" si="121"/>
        <v>600</v>
      </c>
      <c r="AS94" s="176">
        <f t="shared" ca="1" si="122"/>
        <v>0</v>
      </c>
      <c r="AT94" s="176">
        <f t="shared" ca="1" si="123"/>
        <v>0</v>
      </c>
      <c r="AU94" s="176">
        <f t="shared" ca="1" si="124"/>
        <v>0</v>
      </c>
      <c r="AV94" s="176">
        <f t="shared" ca="1" si="125"/>
        <v>0</v>
      </c>
      <c r="AW94" s="176">
        <f t="shared" ca="1" si="126"/>
        <v>0</v>
      </c>
      <c r="AX94" s="176">
        <f t="shared" ca="1" si="127"/>
        <v>0</v>
      </c>
      <c r="AY94" s="176">
        <f t="shared" ca="1" si="128"/>
        <v>0</v>
      </c>
      <c r="AZ94" s="176">
        <f t="shared" ca="1" si="129"/>
        <v>0</v>
      </c>
      <c r="BA94" s="176">
        <f t="shared" ca="1" si="130"/>
        <v>0</v>
      </c>
      <c r="BB94" s="176">
        <f t="shared" ca="1" si="131"/>
        <v>0</v>
      </c>
      <c r="BC94" s="176">
        <f t="shared" ca="1" si="132"/>
        <v>0</v>
      </c>
    </row>
    <row r="95" spans="1:55">
      <c r="A95" s="1">
        <f t="shared" ca="1" si="92"/>
        <v>0</v>
      </c>
      <c r="B95" s="1" t="s">
        <v>154</v>
      </c>
      <c r="C95" s="1" t="str">
        <f t="shared" ca="1" si="93"/>
        <v/>
      </c>
      <c r="D95" s="1" t="str">
        <f t="shared" ca="1" si="94"/>
        <v/>
      </c>
      <c r="E95" s="173" t="str" cm="1">
        <f t="array" aca="1" ref="E95" ca="1">_xlfn.IFS(OR(ISBLANK(StartDateMonth),ISBLANK(StartDateYear)),"",E94&gt;=DATEVALUE(CompletionMonth&amp;CompletionYear)+1,"",TRUE,EDATE(E94,1))</f>
        <v/>
      </c>
      <c r="F95" s="176">
        <f t="shared" ca="1" si="136"/>
        <v>0</v>
      </c>
      <c r="G95" s="176">
        <f t="shared" ca="1" si="136"/>
        <v>0</v>
      </c>
      <c r="H95" s="176">
        <f t="shared" ca="1" si="136"/>
        <v>0</v>
      </c>
      <c r="I95" s="176">
        <f t="shared" ca="1" si="136"/>
        <v>0</v>
      </c>
      <c r="J95" s="176">
        <f t="shared" ca="1" si="136"/>
        <v>0</v>
      </c>
      <c r="K95" s="176">
        <f t="shared" ca="1" si="136"/>
        <v>0</v>
      </c>
      <c r="L95" s="176">
        <f t="shared" ca="1" si="136"/>
        <v>0</v>
      </c>
      <c r="M95" s="176">
        <f t="shared" ca="1" si="136"/>
        <v>0</v>
      </c>
      <c r="N95" s="176">
        <f t="shared" ca="1" si="136"/>
        <v>0</v>
      </c>
      <c r="O95" s="176">
        <f t="shared" ca="1" si="136"/>
        <v>0</v>
      </c>
      <c r="P95" s="176">
        <f t="shared" ca="1" si="95"/>
        <v>0</v>
      </c>
      <c r="Q95" s="176">
        <f t="shared" ca="1" si="96"/>
        <v>0</v>
      </c>
      <c r="R95" s="176">
        <f t="shared" ca="1" si="97"/>
        <v>0</v>
      </c>
      <c r="S95" s="176">
        <f t="shared" ca="1" si="98"/>
        <v>0</v>
      </c>
      <c r="T95" s="176">
        <f t="shared" ca="1" si="99"/>
        <v>0</v>
      </c>
      <c r="U95" s="176">
        <f t="shared" ca="1" si="100"/>
        <v>0</v>
      </c>
      <c r="V95" s="176">
        <f t="shared" ca="1" si="101"/>
        <v>0</v>
      </c>
      <c r="W95" s="177">
        <f t="shared" ca="1" si="102"/>
        <v>600</v>
      </c>
      <c r="X95" s="177">
        <f t="shared" ca="1" si="103"/>
        <v>0</v>
      </c>
      <c r="Y95" s="177">
        <f t="shared" ca="1" si="104"/>
        <v>0</v>
      </c>
      <c r="Z95" s="177">
        <f t="shared" ca="1" si="105"/>
        <v>0</v>
      </c>
      <c r="AA95" s="177">
        <f t="shared" ca="1" si="106"/>
        <v>0</v>
      </c>
      <c r="AB95" s="177">
        <f t="shared" ca="1" si="107"/>
        <v>0</v>
      </c>
      <c r="AC95" s="177">
        <f t="shared" ca="1" si="108"/>
        <v>0</v>
      </c>
      <c r="AD95" s="177">
        <f t="shared" ca="1" si="109"/>
        <v>0</v>
      </c>
      <c r="AE95" s="177">
        <f t="shared" ca="1" si="110"/>
        <v>0</v>
      </c>
      <c r="AF95" s="177">
        <f t="shared" ca="1" si="111"/>
        <v>0</v>
      </c>
      <c r="AG95" s="177">
        <f t="shared" ca="1" si="135"/>
        <v>600</v>
      </c>
      <c r="AH95" s="177">
        <f t="shared" ca="1" si="135"/>
        <v>600</v>
      </c>
      <c r="AI95" s="177">
        <f t="shared" ca="1" si="112"/>
        <v>0</v>
      </c>
      <c r="AJ95" s="177">
        <f t="shared" ca="1" si="113"/>
        <v>0</v>
      </c>
      <c r="AK95" s="177">
        <f t="shared" ca="1" si="114"/>
        <v>0</v>
      </c>
      <c r="AL95" s="177">
        <f t="shared" ca="1" si="115"/>
        <v>0</v>
      </c>
      <c r="AM95" s="177">
        <f t="shared" ca="1" si="116"/>
        <v>0</v>
      </c>
      <c r="AN95" s="177">
        <f t="shared" ca="1" si="117"/>
        <v>0</v>
      </c>
      <c r="AO95" s="177">
        <f t="shared" ca="1" si="118"/>
        <v>0</v>
      </c>
      <c r="AP95" s="177">
        <f t="shared" ca="1" si="119"/>
        <v>0</v>
      </c>
      <c r="AQ95" s="177">
        <f t="shared" ca="1" si="120"/>
        <v>0</v>
      </c>
      <c r="AR95" s="177">
        <f t="shared" ca="1" si="121"/>
        <v>600</v>
      </c>
      <c r="AS95" s="176">
        <f t="shared" ca="1" si="122"/>
        <v>0</v>
      </c>
      <c r="AT95" s="176">
        <f t="shared" ca="1" si="123"/>
        <v>0</v>
      </c>
      <c r="AU95" s="176">
        <f t="shared" ca="1" si="124"/>
        <v>0</v>
      </c>
      <c r="AV95" s="176">
        <f t="shared" ca="1" si="125"/>
        <v>0</v>
      </c>
      <c r="AW95" s="176">
        <f t="shared" ca="1" si="126"/>
        <v>0</v>
      </c>
      <c r="AX95" s="176">
        <f t="shared" ca="1" si="127"/>
        <v>0</v>
      </c>
      <c r="AY95" s="176">
        <f t="shared" ca="1" si="128"/>
        <v>0</v>
      </c>
      <c r="AZ95" s="176">
        <f t="shared" ca="1" si="129"/>
        <v>0</v>
      </c>
      <c r="BA95" s="176">
        <f t="shared" ca="1" si="130"/>
        <v>0</v>
      </c>
      <c r="BB95" s="176">
        <f t="shared" ca="1" si="131"/>
        <v>0</v>
      </c>
      <c r="BC95" s="176">
        <f t="shared" ca="1" si="132"/>
        <v>0</v>
      </c>
    </row>
    <row r="96" spans="1:55">
      <c r="A96" s="1">
        <f t="shared" ca="1" si="92"/>
        <v>0</v>
      </c>
      <c r="B96" s="1" t="s">
        <v>155</v>
      </c>
      <c r="C96" s="1" t="str">
        <f t="shared" ca="1" si="93"/>
        <v/>
      </c>
      <c r="D96" s="1" t="str">
        <f t="shared" ca="1" si="94"/>
        <v/>
      </c>
      <c r="E96" s="173" t="str" cm="1">
        <f t="array" aca="1" ref="E96" ca="1">_xlfn.IFS(OR(ISBLANK(StartDateMonth),ISBLANK(StartDateYear)),"",E95&gt;=DATEVALUE(CompletionMonth&amp;CompletionYear)+1,"",TRUE,EDATE(E95,1))</f>
        <v/>
      </c>
      <c r="F96" s="176">
        <f t="shared" ca="1" si="136"/>
        <v>0</v>
      </c>
      <c r="G96" s="176">
        <f t="shared" ca="1" si="136"/>
        <v>0</v>
      </c>
      <c r="H96" s="176">
        <f t="shared" ca="1" si="136"/>
        <v>0</v>
      </c>
      <c r="I96" s="176">
        <f t="shared" ca="1" si="136"/>
        <v>0</v>
      </c>
      <c r="J96" s="176">
        <f t="shared" ca="1" si="136"/>
        <v>0</v>
      </c>
      <c r="K96" s="176">
        <f t="shared" ca="1" si="136"/>
        <v>0</v>
      </c>
      <c r="L96" s="176">
        <f t="shared" ca="1" si="136"/>
        <v>0</v>
      </c>
      <c r="M96" s="176">
        <f t="shared" ca="1" si="136"/>
        <v>0</v>
      </c>
      <c r="N96" s="176">
        <f t="shared" ca="1" si="136"/>
        <v>0</v>
      </c>
      <c r="O96" s="176">
        <f t="shared" ca="1" si="136"/>
        <v>0</v>
      </c>
      <c r="P96" s="176">
        <f t="shared" ca="1" si="95"/>
        <v>0</v>
      </c>
      <c r="Q96" s="176">
        <f t="shared" ca="1" si="96"/>
        <v>0</v>
      </c>
      <c r="R96" s="176">
        <f t="shared" ca="1" si="97"/>
        <v>0</v>
      </c>
      <c r="S96" s="176">
        <f t="shared" ca="1" si="98"/>
        <v>0</v>
      </c>
      <c r="T96" s="176">
        <f t="shared" ca="1" si="99"/>
        <v>0</v>
      </c>
      <c r="U96" s="176">
        <f t="shared" ca="1" si="100"/>
        <v>0</v>
      </c>
      <c r="V96" s="176">
        <f t="shared" ca="1" si="101"/>
        <v>0</v>
      </c>
      <c r="W96" s="177">
        <f t="shared" ca="1" si="102"/>
        <v>600</v>
      </c>
      <c r="X96" s="177">
        <f t="shared" ca="1" si="103"/>
        <v>0</v>
      </c>
      <c r="Y96" s="177">
        <f t="shared" ca="1" si="104"/>
        <v>0</v>
      </c>
      <c r="Z96" s="177">
        <f t="shared" ca="1" si="105"/>
        <v>0</v>
      </c>
      <c r="AA96" s="177">
        <f t="shared" ca="1" si="106"/>
        <v>0</v>
      </c>
      <c r="AB96" s="177">
        <f t="shared" ca="1" si="107"/>
        <v>0</v>
      </c>
      <c r="AC96" s="177">
        <f t="shared" ca="1" si="108"/>
        <v>0</v>
      </c>
      <c r="AD96" s="177">
        <f t="shared" ca="1" si="109"/>
        <v>0</v>
      </c>
      <c r="AE96" s="177">
        <f t="shared" ca="1" si="110"/>
        <v>0</v>
      </c>
      <c r="AF96" s="177">
        <f t="shared" ca="1" si="111"/>
        <v>0</v>
      </c>
      <c r="AG96" s="177">
        <f t="shared" ca="1" si="135"/>
        <v>600</v>
      </c>
      <c r="AH96" s="177">
        <f t="shared" ca="1" si="135"/>
        <v>600</v>
      </c>
      <c r="AI96" s="177">
        <f t="shared" ca="1" si="112"/>
        <v>0</v>
      </c>
      <c r="AJ96" s="177">
        <f t="shared" ca="1" si="113"/>
        <v>0</v>
      </c>
      <c r="AK96" s="177">
        <f t="shared" ca="1" si="114"/>
        <v>0</v>
      </c>
      <c r="AL96" s="177">
        <f t="shared" ca="1" si="115"/>
        <v>0</v>
      </c>
      <c r="AM96" s="177">
        <f t="shared" ca="1" si="116"/>
        <v>0</v>
      </c>
      <c r="AN96" s="177">
        <f t="shared" ca="1" si="117"/>
        <v>0</v>
      </c>
      <c r="AO96" s="177">
        <f t="shared" ca="1" si="118"/>
        <v>0</v>
      </c>
      <c r="AP96" s="177">
        <f t="shared" ca="1" si="119"/>
        <v>0</v>
      </c>
      <c r="AQ96" s="177">
        <f t="shared" ca="1" si="120"/>
        <v>0</v>
      </c>
      <c r="AR96" s="177">
        <f t="shared" ca="1" si="121"/>
        <v>600</v>
      </c>
      <c r="AS96" s="176">
        <f t="shared" ca="1" si="122"/>
        <v>0</v>
      </c>
      <c r="AT96" s="176">
        <f t="shared" ca="1" si="123"/>
        <v>0</v>
      </c>
      <c r="AU96" s="176">
        <f t="shared" ca="1" si="124"/>
        <v>0</v>
      </c>
      <c r="AV96" s="176">
        <f t="shared" ca="1" si="125"/>
        <v>0</v>
      </c>
      <c r="AW96" s="176">
        <f t="shared" ca="1" si="126"/>
        <v>0</v>
      </c>
      <c r="AX96" s="176">
        <f t="shared" ca="1" si="127"/>
        <v>0</v>
      </c>
      <c r="AY96" s="176">
        <f t="shared" ca="1" si="128"/>
        <v>0</v>
      </c>
      <c r="AZ96" s="176">
        <f t="shared" ca="1" si="129"/>
        <v>0</v>
      </c>
      <c r="BA96" s="176">
        <f t="shared" ca="1" si="130"/>
        <v>0</v>
      </c>
      <c r="BB96" s="176">
        <f t="shared" ca="1" si="131"/>
        <v>0</v>
      </c>
      <c r="BC96" s="176">
        <f t="shared" ca="1" si="132"/>
        <v>0</v>
      </c>
    </row>
    <row r="97" spans="1:55">
      <c r="A97" s="1">
        <f t="shared" ca="1" si="92"/>
        <v>0</v>
      </c>
      <c r="B97" s="1" t="s">
        <v>156</v>
      </c>
      <c r="C97" s="1" t="str">
        <f t="shared" ca="1" si="93"/>
        <v/>
      </c>
      <c r="D97" s="1" t="str">
        <f t="shared" ca="1" si="94"/>
        <v/>
      </c>
      <c r="E97" s="173" t="str" cm="1">
        <f t="array" aca="1" ref="E97" ca="1">_xlfn.IFS(OR(ISBLANK(StartDateMonth),ISBLANK(StartDateYear)),"",E96&gt;=DATEVALUE(CompletionMonth&amp;CompletionYear)+1,"",TRUE,EDATE(E96,1))</f>
        <v/>
      </c>
      <c r="F97" s="176">
        <f t="shared" ca="1" si="136"/>
        <v>0</v>
      </c>
      <c r="G97" s="176">
        <f t="shared" ca="1" si="136"/>
        <v>0</v>
      </c>
      <c r="H97" s="176">
        <f t="shared" ca="1" si="136"/>
        <v>0</v>
      </c>
      <c r="I97" s="176">
        <f t="shared" ca="1" si="136"/>
        <v>0</v>
      </c>
      <c r="J97" s="176">
        <f t="shared" ca="1" si="136"/>
        <v>0</v>
      </c>
      <c r="K97" s="176">
        <f t="shared" ca="1" si="136"/>
        <v>0</v>
      </c>
      <c r="L97" s="176">
        <f t="shared" ca="1" si="136"/>
        <v>0</v>
      </c>
      <c r="M97" s="176">
        <f t="shared" ca="1" si="136"/>
        <v>0</v>
      </c>
      <c r="N97" s="176">
        <f t="shared" ca="1" si="136"/>
        <v>0</v>
      </c>
      <c r="O97" s="176">
        <f t="shared" ca="1" si="136"/>
        <v>0</v>
      </c>
      <c r="P97" s="176">
        <f t="shared" ca="1" si="95"/>
        <v>0</v>
      </c>
      <c r="Q97" s="176">
        <f t="shared" ca="1" si="96"/>
        <v>0</v>
      </c>
      <c r="R97" s="176">
        <f t="shared" ca="1" si="97"/>
        <v>0</v>
      </c>
      <c r="S97" s="176">
        <f t="shared" ca="1" si="98"/>
        <v>0</v>
      </c>
      <c r="T97" s="176">
        <f t="shared" ca="1" si="99"/>
        <v>0</v>
      </c>
      <c r="U97" s="176">
        <f t="shared" ca="1" si="100"/>
        <v>0</v>
      </c>
      <c r="V97" s="176">
        <f t="shared" ca="1" si="101"/>
        <v>0</v>
      </c>
      <c r="W97" s="177">
        <f t="shared" ca="1" si="102"/>
        <v>600</v>
      </c>
      <c r="X97" s="177">
        <f t="shared" ca="1" si="103"/>
        <v>0</v>
      </c>
      <c r="Y97" s="177">
        <f t="shared" ca="1" si="104"/>
        <v>0</v>
      </c>
      <c r="Z97" s="177">
        <f t="shared" ca="1" si="105"/>
        <v>0</v>
      </c>
      <c r="AA97" s="177">
        <f t="shared" ca="1" si="106"/>
        <v>0</v>
      </c>
      <c r="AB97" s="177">
        <f t="shared" ca="1" si="107"/>
        <v>0</v>
      </c>
      <c r="AC97" s="177">
        <f t="shared" ca="1" si="108"/>
        <v>0</v>
      </c>
      <c r="AD97" s="177">
        <f t="shared" ca="1" si="109"/>
        <v>0</v>
      </c>
      <c r="AE97" s="177">
        <f t="shared" ca="1" si="110"/>
        <v>0</v>
      </c>
      <c r="AF97" s="177">
        <f t="shared" ca="1" si="111"/>
        <v>0</v>
      </c>
      <c r="AG97" s="177">
        <f t="shared" ca="1" si="135"/>
        <v>600</v>
      </c>
      <c r="AH97" s="177">
        <f t="shared" ca="1" si="135"/>
        <v>600</v>
      </c>
      <c r="AI97" s="177">
        <f t="shared" ca="1" si="112"/>
        <v>0</v>
      </c>
      <c r="AJ97" s="177">
        <f t="shared" ca="1" si="113"/>
        <v>0</v>
      </c>
      <c r="AK97" s="177">
        <f t="shared" ca="1" si="114"/>
        <v>0</v>
      </c>
      <c r="AL97" s="177">
        <f t="shared" ca="1" si="115"/>
        <v>0</v>
      </c>
      <c r="AM97" s="177">
        <f t="shared" ca="1" si="116"/>
        <v>0</v>
      </c>
      <c r="AN97" s="177">
        <f t="shared" ca="1" si="117"/>
        <v>0</v>
      </c>
      <c r="AO97" s="177">
        <f t="shared" ca="1" si="118"/>
        <v>0</v>
      </c>
      <c r="AP97" s="177">
        <f t="shared" ca="1" si="119"/>
        <v>0</v>
      </c>
      <c r="AQ97" s="177">
        <f t="shared" ca="1" si="120"/>
        <v>0</v>
      </c>
      <c r="AR97" s="177">
        <f t="shared" ca="1" si="121"/>
        <v>600</v>
      </c>
      <c r="AS97" s="176">
        <f t="shared" ca="1" si="122"/>
        <v>0</v>
      </c>
      <c r="AT97" s="176">
        <f t="shared" ca="1" si="123"/>
        <v>0</v>
      </c>
      <c r="AU97" s="176">
        <f t="shared" ca="1" si="124"/>
        <v>0</v>
      </c>
      <c r="AV97" s="176">
        <f t="shared" ca="1" si="125"/>
        <v>0</v>
      </c>
      <c r="AW97" s="176">
        <f t="shared" ca="1" si="126"/>
        <v>0</v>
      </c>
      <c r="AX97" s="176">
        <f t="shared" ca="1" si="127"/>
        <v>0</v>
      </c>
      <c r="AY97" s="176">
        <f t="shared" ca="1" si="128"/>
        <v>0</v>
      </c>
      <c r="AZ97" s="176">
        <f t="shared" ca="1" si="129"/>
        <v>0</v>
      </c>
      <c r="BA97" s="176">
        <f t="shared" ca="1" si="130"/>
        <v>0</v>
      </c>
      <c r="BB97" s="176">
        <f t="shared" ca="1" si="131"/>
        <v>0</v>
      </c>
      <c r="BC97" s="176">
        <f t="shared" ca="1" si="132"/>
        <v>0</v>
      </c>
    </row>
    <row r="98" spans="1:55">
      <c r="A98" s="1">
        <f t="shared" ca="1" si="92"/>
        <v>0</v>
      </c>
      <c r="B98" s="1" t="s">
        <v>157</v>
      </c>
      <c r="C98" s="1" t="str">
        <f t="shared" ca="1" si="93"/>
        <v/>
      </c>
      <c r="D98" s="1" t="str">
        <f t="shared" ca="1" si="94"/>
        <v/>
      </c>
      <c r="E98" s="173" t="str" cm="1">
        <f t="array" aca="1" ref="E98" ca="1">_xlfn.IFS(OR(ISBLANK(StartDateMonth),ISBLANK(StartDateYear)),"",E97&gt;=DATEVALUE(CompletionMonth&amp;CompletionYear)+1,"",TRUE,EDATE(E97,1))</f>
        <v/>
      </c>
      <c r="F98" s="176">
        <f t="shared" ca="1" si="136"/>
        <v>0</v>
      </c>
      <c r="G98" s="176">
        <f t="shared" ca="1" si="136"/>
        <v>0</v>
      </c>
      <c r="H98" s="176">
        <f t="shared" ca="1" si="136"/>
        <v>0</v>
      </c>
      <c r="I98" s="176">
        <f t="shared" ca="1" si="136"/>
        <v>0</v>
      </c>
      <c r="J98" s="176">
        <f t="shared" ca="1" si="136"/>
        <v>0</v>
      </c>
      <c r="K98" s="176">
        <f t="shared" ca="1" si="136"/>
        <v>0</v>
      </c>
      <c r="L98" s="176">
        <f t="shared" ca="1" si="136"/>
        <v>0</v>
      </c>
      <c r="M98" s="176">
        <f t="shared" ca="1" si="136"/>
        <v>0</v>
      </c>
      <c r="N98" s="176">
        <f t="shared" ca="1" si="136"/>
        <v>0</v>
      </c>
      <c r="O98" s="176">
        <f t="shared" ca="1" si="136"/>
        <v>0</v>
      </c>
      <c r="P98" s="176">
        <f t="shared" ca="1" si="95"/>
        <v>0</v>
      </c>
      <c r="Q98" s="176">
        <f t="shared" ca="1" si="96"/>
        <v>0</v>
      </c>
      <c r="R98" s="176">
        <f t="shared" ca="1" si="97"/>
        <v>0</v>
      </c>
      <c r="S98" s="176">
        <f t="shared" ca="1" si="98"/>
        <v>0</v>
      </c>
      <c r="T98" s="176">
        <f t="shared" ca="1" si="99"/>
        <v>0</v>
      </c>
      <c r="U98" s="176">
        <f t="shared" ca="1" si="100"/>
        <v>0</v>
      </c>
      <c r="V98" s="176">
        <f t="shared" ca="1" si="101"/>
        <v>0</v>
      </c>
      <c r="W98" s="177">
        <f t="shared" ca="1" si="102"/>
        <v>600</v>
      </c>
      <c r="X98" s="177">
        <f t="shared" ca="1" si="103"/>
        <v>0</v>
      </c>
      <c r="Y98" s="177">
        <f t="shared" ca="1" si="104"/>
        <v>0</v>
      </c>
      <c r="Z98" s="177">
        <f t="shared" ca="1" si="105"/>
        <v>0</v>
      </c>
      <c r="AA98" s="177">
        <f t="shared" ca="1" si="106"/>
        <v>0</v>
      </c>
      <c r="AB98" s="177">
        <f t="shared" ca="1" si="107"/>
        <v>0</v>
      </c>
      <c r="AC98" s="177">
        <f t="shared" ca="1" si="108"/>
        <v>0</v>
      </c>
      <c r="AD98" s="177">
        <f t="shared" ca="1" si="109"/>
        <v>0</v>
      </c>
      <c r="AE98" s="177">
        <f t="shared" ca="1" si="110"/>
        <v>0</v>
      </c>
      <c r="AF98" s="177">
        <f t="shared" ca="1" si="111"/>
        <v>0</v>
      </c>
      <c r="AG98" s="177">
        <f t="shared" ca="1" si="135"/>
        <v>600</v>
      </c>
      <c r="AH98" s="177">
        <f t="shared" ca="1" si="135"/>
        <v>600</v>
      </c>
      <c r="AI98" s="177">
        <f t="shared" ca="1" si="112"/>
        <v>0</v>
      </c>
      <c r="AJ98" s="177">
        <f t="shared" ca="1" si="113"/>
        <v>0</v>
      </c>
      <c r="AK98" s="177">
        <f t="shared" ca="1" si="114"/>
        <v>0</v>
      </c>
      <c r="AL98" s="177">
        <f t="shared" ca="1" si="115"/>
        <v>0</v>
      </c>
      <c r="AM98" s="177">
        <f t="shared" ca="1" si="116"/>
        <v>0</v>
      </c>
      <c r="AN98" s="177">
        <f t="shared" ca="1" si="117"/>
        <v>0</v>
      </c>
      <c r="AO98" s="177">
        <f t="shared" ca="1" si="118"/>
        <v>0</v>
      </c>
      <c r="AP98" s="177">
        <f t="shared" ca="1" si="119"/>
        <v>0</v>
      </c>
      <c r="AQ98" s="177">
        <f t="shared" ca="1" si="120"/>
        <v>0</v>
      </c>
      <c r="AR98" s="177">
        <f t="shared" ca="1" si="121"/>
        <v>600</v>
      </c>
      <c r="AS98" s="176">
        <f t="shared" ca="1" si="122"/>
        <v>0</v>
      </c>
      <c r="AT98" s="176">
        <f t="shared" ca="1" si="123"/>
        <v>0</v>
      </c>
      <c r="AU98" s="176">
        <f t="shared" ca="1" si="124"/>
        <v>0</v>
      </c>
      <c r="AV98" s="176">
        <f t="shared" ca="1" si="125"/>
        <v>0</v>
      </c>
      <c r="AW98" s="176">
        <f t="shared" ca="1" si="126"/>
        <v>0</v>
      </c>
      <c r="AX98" s="176">
        <f t="shared" ca="1" si="127"/>
        <v>0</v>
      </c>
      <c r="AY98" s="176">
        <f t="shared" ca="1" si="128"/>
        <v>0</v>
      </c>
      <c r="AZ98" s="176">
        <f t="shared" ca="1" si="129"/>
        <v>0</v>
      </c>
      <c r="BA98" s="176">
        <f t="shared" ca="1" si="130"/>
        <v>0</v>
      </c>
      <c r="BB98" s="176">
        <f t="shared" ca="1" si="131"/>
        <v>0</v>
      </c>
      <c r="BC98" s="176">
        <f t="shared" ca="1" si="132"/>
        <v>0</v>
      </c>
    </row>
    <row r="99" spans="1:55">
      <c r="A99" s="1">
        <f t="shared" ca="1" si="92"/>
        <v>0</v>
      </c>
      <c r="B99" s="1" t="s">
        <v>158</v>
      </c>
      <c r="C99" s="1" t="str">
        <f t="shared" ca="1" si="93"/>
        <v/>
      </c>
      <c r="D99" s="1" t="str">
        <f t="shared" ca="1" si="94"/>
        <v/>
      </c>
      <c r="E99" s="173" t="str" cm="1">
        <f t="array" aca="1" ref="E99" ca="1">_xlfn.IFS(OR(ISBLANK(StartDateMonth),ISBLANK(StartDateYear)),"",E98&gt;=DATEVALUE(CompletionMonth&amp;CompletionYear)+1,"",TRUE,EDATE(E98,1))</f>
        <v/>
      </c>
      <c r="F99" s="176">
        <f t="shared" ca="1" si="136"/>
        <v>0</v>
      </c>
      <c r="G99" s="176">
        <f t="shared" ca="1" si="136"/>
        <v>0</v>
      </c>
      <c r="H99" s="176">
        <f t="shared" ca="1" si="136"/>
        <v>0</v>
      </c>
      <c r="I99" s="176">
        <f t="shared" ca="1" si="136"/>
        <v>0</v>
      </c>
      <c r="J99" s="176">
        <f t="shared" ca="1" si="136"/>
        <v>0</v>
      </c>
      <c r="K99" s="176">
        <f t="shared" ca="1" si="136"/>
        <v>0</v>
      </c>
      <c r="L99" s="176">
        <f t="shared" ca="1" si="136"/>
        <v>0</v>
      </c>
      <c r="M99" s="176">
        <f t="shared" ca="1" si="136"/>
        <v>0</v>
      </c>
      <c r="N99" s="176">
        <f t="shared" ca="1" si="136"/>
        <v>0</v>
      </c>
      <c r="O99" s="176">
        <f t="shared" ca="1" si="136"/>
        <v>0</v>
      </c>
      <c r="P99" s="176">
        <f t="shared" ca="1" si="95"/>
        <v>0</v>
      </c>
      <c r="Q99" s="176">
        <f t="shared" ca="1" si="96"/>
        <v>0</v>
      </c>
      <c r="R99" s="176">
        <f t="shared" ca="1" si="97"/>
        <v>0</v>
      </c>
      <c r="S99" s="176">
        <f t="shared" ca="1" si="98"/>
        <v>0</v>
      </c>
      <c r="T99" s="176">
        <f t="shared" ca="1" si="99"/>
        <v>0</v>
      </c>
      <c r="U99" s="176">
        <f t="shared" ca="1" si="100"/>
        <v>0</v>
      </c>
      <c r="V99" s="176">
        <f t="shared" ca="1" si="101"/>
        <v>0</v>
      </c>
      <c r="W99" s="177">
        <f t="shared" ca="1" si="102"/>
        <v>600</v>
      </c>
      <c r="X99" s="177">
        <f t="shared" ca="1" si="103"/>
        <v>0</v>
      </c>
      <c r="Y99" s="177">
        <f t="shared" ca="1" si="104"/>
        <v>0</v>
      </c>
      <c r="Z99" s="177">
        <f t="shared" ca="1" si="105"/>
        <v>0</v>
      </c>
      <c r="AA99" s="177">
        <f t="shared" ca="1" si="106"/>
        <v>0</v>
      </c>
      <c r="AB99" s="177">
        <f t="shared" ca="1" si="107"/>
        <v>0</v>
      </c>
      <c r="AC99" s="177">
        <f t="shared" ca="1" si="108"/>
        <v>0</v>
      </c>
      <c r="AD99" s="177">
        <f t="shared" ca="1" si="109"/>
        <v>0</v>
      </c>
      <c r="AE99" s="177">
        <f t="shared" ca="1" si="110"/>
        <v>0</v>
      </c>
      <c r="AF99" s="177">
        <f t="shared" ca="1" si="111"/>
        <v>0</v>
      </c>
      <c r="AG99" s="177">
        <f t="shared" ca="1" si="135"/>
        <v>600</v>
      </c>
      <c r="AH99" s="177">
        <f t="shared" ca="1" si="135"/>
        <v>600</v>
      </c>
      <c r="AI99" s="177">
        <f t="shared" ca="1" si="112"/>
        <v>0</v>
      </c>
      <c r="AJ99" s="177">
        <f t="shared" ca="1" si="113"/>
        <v>0</v>
      </c>
      <c r="AK99" s="177">
        <f t="shared" ca="1" si="114"/>
        <v>0</v>
      </c>
      <c r="AL99" s="177">
        <f t="shared" ca="1" si="115"/>
        <v>0</v>
      </c>
      <c r="AM99" s="177">
        <f t="shared" ca="1" si="116"/>
        <v>0</v>
      </c>
      <c r="AN99" s="177">
        <f t="shared" ca="1" si="117"/>
        <v>0</v>
      </c>
      <c r="AO99" s="177">
        <f t="shared" ca="1" si="118"/>
        <v>0</v>
      </c>
      <c r="AP99" s="177">
        <f t="shared" ca="1" si="119"/>
        <v>0</v>
      </c>
      <c r="AQ99" s="177">
        <f t="shared" ca="1" si="120"/>
        <v>0</v>
      </c>
      <c r="AR99" s="177">
        <f t="shared" ca="1" si="121"/>
        <v>600</v>
      </c>
      <c r="AS99" s="176">
        <f t="shared" ca="1" si="122"/>
        <v>0</v>
      </c>
      <c r="AT99" s="176">
        <f t="shared" ca="1" si="123"/>
        <v>0</v>
      </c>
      <c r="AU99" s="176">
        <f t="shared" ca="1" si="124"/>
        <v>0</v>
      </c>
      <c r="AV99" s="176">
        <f t="shared" ca="1" si="125"/>
        <v>0</v>
      </c>
      <c r="AW99" s="176">
        <f t="shared" ca="1" si="126"/>
        <v>0</v>
      </c>
      <c r="AX99" s="176">
        <f t="shared" ca="1" si="127"/>
        <v>0</v>
      </c>
      <c r="AY99" s="176">
        <f t="shared" ca="1" si="128"/>
        <v>0</v>
      </c>
      <c r="AZ99" s="176">
        <f t="shared" ca="1" si="129"/>
        <v>0</v>
      </c>
      <c r="BA99" s="176">
        <f t="shared" ca="1" si="130"/>
        <v>0</v>
      </c>
      <c r="BB99" s="176">
        <f t="shared" ca="1" si="131"/>
        <v>0</v>
      </c>
      <c r="BC99" s="176">
        <f t="shared" ca="1" si="132"/>
        <v>0</v>
      </c>
    </row>
    <row r="100" spans="1:55">
      <c r="A100" s="1">
        <f t="shared" ref="A100:A128" ca="1" si="137">IF(E100="",0,1)</f>
        <v>0</v>
      </c>
      <c r="B100" s="1" t="s">
        <v>159</v>
      </c>
      <c r="C100" s="1" t="str">
        <f t="shared" ref="C100:C128" ca="1" si="138">IF(E100="","",YEAR(E100))</f>
        <v/>
      </c>
      <c r="D100" s="1" t="str">
        <f t="shared" ref="D100:D128" ca="1" si="139">IF(E100="","",TEXT(MONTH(E100)*28,"mmmm"))</f>
        <v/>
      </c>
      <c r="E100" s="173" t="str" cm="1">
        <f t="array" aca="1" ref="E100" ca="1">_xlfn.IFS(OR(ISBLANK(StartDateMonth),ISBLANK(StartDateYear)),"",E99&gt;=DATEVALUE(CompletionMonth&amp;CompletionYear)+1,"",TRUE,EDATE(E99,1))</f>
        <v/>
      </c>
      <c r="F100" s="176">
        <f t="shared" ca="1" si="136"/>
        <v>0</v>
      </c>
      <c r="G100" s="176">
        <f t="shared" ca="1" si="136"/>
        <v>0</v>
      </c>
      <c r="H100" s="176">
        <f t="shared" ca="1" si="136"/>
        <v>0</v>
      </c>
      <c r="I100" s="176">
        <f t="shared" ca="1" si="136"/>
        <v>0</v>
      </c>
      <c r="J100" s="176">
        <f t="shared" ca="1" si="136"/>
        <v>0</v>
      </c>
      <c r="K100" s="176">
        <f t="shared" ca="1" si="136"/>
        <v>0</v>
      </c>
      <c r="L100" s="176">
        <f t="shared" ca="1" si="136"/>
        <v>0</v>
      </c>
      <c r="M100" s="176">
        <f t="shared" ca="1" si="136"/>
        <v>0</v>
      </c>
      <c r="N100" s="176">
        <f t="shared" ca="1" si="136"/>
        <v>0</v>
      </c>
      <c r="O100" s="176">
        <f t="shared" ca="1" si="136"/>
        <v>0</v>
      </c>
      <c r="P100" s="176">
        <f t="shared" ref="P100:P128" ca="1" si="140">_xlfn.IFNA(IF($A100=1,INDEX(DevelopmentCosts,MATCH(P$3,TotalDevCostsList,0),MATCH($B100,DevelopmentCostTitle,0)),0),0)</f>
        <v>0</v>
      </c>
      <c r="Q100" s="176">
        <f t="shared" ref="Q100:Q128" ca="1" si="141">_xlfn.IFNA(IF($A100=1,INDEX(DevelopmentCosts,MATCH(CustomCost1,TotalDevCostsList,0),MATCH($B100,DevelopmentCostTitle,0)),0),0)</f>
        <v>0</v>
      </c>
      <c r="R100" s="176">
        <f t="shared" ref="R100:R128" ca="1" si="142">_xlfn.IFNA(IF($A100=1,INDEX(DevelopmentCosts,MATCH(CustomCost2,TotalDevCostsList,0),MATCH($B100,DevelopmentCostTitle,0)),0),0)</f>
        <v>0</v>
      </c>
      <c r="S100" s="176">
        <f t="shared" ref="S100:S128" ca="1" si="143">_xlfn.IFNA(IF($A100=1,INDEX(DevelopmentCosts,MATCH(CustomCost3,TotalDevCostsList,0),MATCH($B100,DevelopmentCostTitle,0)),0),0)</f>
        <v>0</v>
      </c>
      <c r="T100" s="176">
        <f t="shared" ref="T100:T128" ca="1" si="144">_xlfn.IFNA(IF($A100=1,INDEX(DevelopmentCosts,MATCH(CustomCost4,TotalDevCostsList,0),MATCH($B100,DevelopmentCostTitle,0)),0),0)</f>
        <v>0</v>
      </c>
      <c r="U100" s="176">
        <f t="shared" ref="U100:U128" ca="1" si="145">_xlfn.IFNA(IF($A100=1,INDEX(DevelopmentCosts,MATCH(CustomCost5,TotalDevCostsList,0),MATCH($B100,DevelopmentCostTitle,0)),0),0)</f>
        <v>0</v>
      </c>
      <c r="V100" s="176">
        <f t="shared" ref="V100:V128" ca="1" si="146">SUM(F100:U100)</f>
        <v>0</v>
      </c>
      <c r="W100" s="177">
        <f t="shared" ref="W100:W128" ca="1" si="147">COUNTIF(CategorisedCompletionKey,(OpenMarketHousing&amp;$C100&amp;$D100))</f>
        <v>600</v>
      </c>
      <c r="X100" s="177">
        <f t="shared" ref="X100:X128" ca="1" si="148">COUNTIF(CategorisedCompletionKey,(AffordableRent&amp;$C100&amp;$D100))</f>
        <v>0</v>
      </c>
      <c r="Y100" s="177">
        <f t="shared" ref="Y100:Y128" ca="1" si="149">COUNTIF(CategorisedCompletionKey,(AHPSharedEquity&amp;$C100&amp;$D100))</f>
        <v>0</v>
      </c>
      <c r="Z100" s="177">
        <f t="shared" ref="Z100:Z128" ca="1" si="150">COUNTIF(CategorisedCompletionKey,(AHPIntermediate&amp;$C100&amp;$D100))</f>
        <v>0</v>
      </c>
      <c r="AA100" s="177">
        <f t="shared" ref="AA100:AA128" ca="1" si="151">COUNTIF(CategorisedCompletionKey,(AHPSharedOwnership&amp;$C100&amp;$D100))</f>
        <v>0</v>
      </c>
      <c r="AB100" s="177">
        <f t="shared" ref="AB100:AB128" ca="1" si="152">COUNTIF(CategorisedCompletionKey,(NonAHPSharedEquity&amp;$C100&amp;$D100))</f>
        <v>0</v>
      </c>
      <c r="AC100" s="177">
        <f t="shared" ref="AC100:AC128" ca="1" si="153">COUNTIF(CategorisedCompletionKey,(NonAHPIntermediateRent&amp;$C100&amp;$D100))</f>
        <v>0</v>
      </c>
      <c r="AD100" s="177">
        <f t="shared" ref="AD100:AD128" ca="1" si="154">COUNTIF(CategorisedCompletionKey,(NonAHPSharedOwnership&amp;$C100&amp;$D100))</f>
        <v>0</v>
      </c>
      <c r="AE100" s="177">
        <f t="shared" ref="AE100:AE128" ca="1" si="155">COUNTIF(CategorisedCompletionKey,(OtherTenure&amp;$C100&amp;$D100))</f>
        <v>0</v>
      </c>
      <c r="AF100" s="177">
        <f t="shared" ref="AF100:AF128" ca="1" si="156">SUM($X100:$AE100)</f>
        <v>0</v>
      </c>
      <c r="AG100" s="177">
        <f t="shared" ca="1" si="135"/>
        <v>600</v>
      </c>
      <c r="AH100" s="177">
        <f t="shared" ca="1" si="135"/>
        <v>600</v>
      </c>
      <c r="AI100" s="177">
        <f t="shared" ref="AI100:AI128" ca="1" si="157">COUNTIF(CategorisedSaleKey,(AffordableRent&amp;$C100&amp;$D100))</f>
        <v>0</v>
      </c>
      <c r="AJ100" s="177">
        <f t="shared" ref="AJ100:AJ128" ca="1" si="158">COUNTIF(CategorisedSaleKey,(AHPSharedEquity&amp;$C100&amp;$D100))</f>
        <v>0</v>
      </c>
      <c r="AK100" s="177">
        <f t="shared" ref="AK100:AK128" ca="1" si="159">COUNTIF(CategorisedSaleKey,(AHPIntermediate&amp;$C100&amp;$D100))</f>
        <v>0</v>
      </c>
      <c r="AL100" s="177">
        <f t="shared" ref="AL100:AL128" ca="1" si="160">COUNTIF(CategorisedSaleKey,(AHPSharedOwnership&amp;$C100&amp;$D100))</f>
        <v>0</v>
      </c>
      <c r="AM100" s="177">
        <f t="shared" ref="AM100:AM128" ca="1" si="161">COUNTIF(CategorisedSaleKey,(NonAHPSharedEquity&amp;$C100&amp;$D100))</f>
        <v>0</v>
      </c>
      <c r="AN100" s="177">
        <f t="shared" ref="AN100:AN128" ca="1" si="162">COUNTIF(CategorisedSaleKey,(NonAHPIntermediateRent&amp;$C100&amp;$D100))</f>
        <v>0</v>
      </c>
      <c r="AO100" s="177">
        <f t="shared" ref="AO100:AO128" ca="1" si="163">COUNTIF(CategorisedSaleKey,(NonAHPSharedOwnership&amp;$C100&amp;$D100))</f>
        <v>0</v>
      </c>
      <c r="AP100" s="177">
        <f t="shared" ref="AP100:AP128" ca="1" si="164">COUNTIF(CategorisedSaleKey,(OtherTenure&amp;$C100&amp;$D100))</f>
        <v>0</v>
      </c>
      <c r="AQ100" s="177">
        <f t="shared" ref="AQ100:AQ128" ca="1" si="165">SUM($AI100:$AP100)</f>
        <v>0</v>
      </c>
      <c r="AR100" s="177">
        <f t="shared" ref="AR100:AR128" ca="1" si="166">$AH100+$AQ100</f>
        <v>600</v>
      </c>
      <c r="AS100" s="176">
        <f t="shared" ref="AS100:AS128" ca="1" si="167">SUMIF(CategorisedSaleKey,(OpenMarketHousing&amp;$C100&amp;$D100),ExpectedSales)</f>
        <v>0</v>
      </c>
      <c r="AT100" s="176">
        <f t="shared" ref="AT100:AT128" ca="1" si="168">SUMIF(CategorisedSaleKey,(AffordableRent&amp;$C100&amp;$D100),ExpectedSales)</f>
        <v>0</v>
      </c>
      <c r="AU100" s="176">
        <f t="shared" ref="AU100:AU128" ca="1" si="169">SUMIF(CategorisedSaleKey,(AHPSharedEquity&amp;$C100&amp;$D100),ExpectedSales)</f>
        <v>0</v>
      </c>
      <c r="AV100" s="176">
        <f t="shared" ref="AV100:AV128" ca="1" si="170">SUMIF(CategorisedSaleKey,(AHPIntermediate&amp;$C100&amp;$D100),ExpectedSales)</f>
        <v>0</v>
      </c>
      <c r="AW100" s="176">
        <f t="shared" ref="AW100:AW128" ca="1" si="171">SUMIF(CategorisedSaleKey,(AHPSharedOwnership&amp;$C100&amp;$D100),ExpectedSales)</f>
        <v>0</v>
      </c>
      <c r="AX100" s="176">
        <f t="shared" ref="AX100:AX128" ca="1" si="172">SUMIF(CategorisedSaleKey,(NonAHPSharedEquity&amp;$C100&amp;$D100),ExpectedSales)</f>
        <v>0</v>
      </c>
      <c r="AY100" s="176">
        <f t="shared" ref="AY100:AY128" ca="1" si="173">SUMIF(CategorisedSaleKey,(NonAHPIntermediateRent&amp;$C100&amp;$D100),ExpectedSales)</f>
        <v>0</v>
      </c>
      <c r="AZ100" s="176">
        <f t="shared" ref="AZ100:AZ128" ca="1" si="174">SUMIF(CategorisedSaleKey,(NonAHPSharedOwnership&amp;$C100&amp;$D100),ExpectedSales)</f>
        <v>0</v>
      </c>
      <c r="BA100" s="176">
        <f t="shared" ref="BA100:BA128" ca="1" si="175">SUMIF(CategorisedSaleKey,(OtherTenure&amp;$C100&amp;$D100),ExpectedSales)</f>
        <v>0</v>
      </c>
      <c r="BB100" s="176">
        <f t="shared" ca="1" si="131"/>
        <v>0</v>
      </c>
      <c r="BC100" s="176">
        <f t="shared" ref="BC100:BC128" ca="1" si="176">$BB100+$AS100</f>
        <v>0</v>
      </c>
    </row>
    <row r="101" spans="1:55">
      <c r="A101" s="1">
        <f t="shared" ca="1" si="137"/>
        <v>0</v>
      </c>
      <c r="B101" s="1" t="s">
        <v>160</v>
      </c>
      <c r="C101" s="1" t="str">
        <f t="shared" ca="1" si="138"/>
        <v/>
      </c>
      <c r="D101" s="1" t="str">
        <f t="shared" ca="1" si="139"/>
        <v/>
      </c>
      <c r="E101" s="173" t="str" cm="1">
        <f t="array" aca="1" ref="E101" ca="1">_xlfn.IFS(OR(ISBLANK(StartDateMonth),ISBLANK(StartDateYear)),"",E100&gt;=DATEVALUE(CompletionMonth&amp;CompletionYear)+1,"",TRUE,EDATE(E100,1))</f>
        <v/>
      </c>
      <c r="F101" s="176">
        <f t="shared" ca="1" si="136"/>
        <v>0</v>
      </c>
      <c r="G101" s="176">
        <f t="shared" ca="1" si="136"/>
        <v>0</v>
      </c>
      <c r="H101" s="176">
        <f t="shared" ca="1" si="136"/>
        <v>0</v>
      </c>
      <c r="I101" s="176">
        <f t="shared" ca="1" si="136"/>
        <v>0</v>
      </c>
      <c r="J101" s="176">
        <f t="shared" ca="1" si="136"/>
        <v>0</v>
      </c>
      <c r="K101" s="176">
        <f t="shared" ca="1" si="136"/>
        <v>0</v>
      </c>
      <c r="L101" s="176">
        <f t="shared" ca="1" si="136"/>
        <v>0</v>
      </c>
      <c r="M101" s="176">
        <f t="shared" ca="1" si="136"/>
        <v>0</v>
      </c>
      <c r="N101" s="176">
        <f t="shared" ca="1" si="136"/>
        <v>0</v>
      </c>
      <c r="O101" s="176">
        <f t="shared" ca="1" si="136"/>
        <v>0</v>
      </c>
      <c r="P101" s="176">
        <f t="shared" ca="1" si="140"/>
        <v>0</v>
      </c>
      <c r="Q101" s="176">
        <f t="shared" ca="1" si="141"/>
        <v>0</v>
      </c>
      <c r="R101" s="176">
        <f t="shared" ca="1" si="142"/>
        <v>0</v>
      </c>
      <c r="S101" s="176">
        <f t="shared" ca="1" si="143"/>
        <v>0</v>
      </c>
      <c r="T101" s="176">
        <f t="shared" ca="1" si="144"/>
        <v>0</v>
      </c>
      <c r="U101" s="176">
        <f t="shared" ca="1" si="145"/>
        <v>0</v>
      </c>
      <c r="V101" s="176">
        <f t="shared" ca="1" si="146"/>
        <v>0</v>
      </c>
      <c r="W101" s="177">
        <f t="shared" ca="1" si="147"/>
        <v>600</v>
      </c>
      <c r="X101" s="177">
        <f t="shared" ca="1" si="148"/>
        <v>0</v>
      </c>
      <c r="Y101" s="177">
        <f t="shared" ca="1" si="149"/>
        <v>0</v>
      </c>
      <c r="Z101" s="177">
        <f t="shared" ca="1" si="150"/>
        <v>0</v>
      </c>
      <c r="AA101" s="177">
        <f t="shared" ca="1" si="151"/>
        <v>0</v>
      </c>
      <c r="AB101" s="177">
        <f t="shared" ca="1" si="152"/>
        <v>0</v>
      </c>
      <c r="AC101" s="177">
        <f t="shared" ca="1" si="153"/>
        <v>0</v>
      </c>
      <c r="AD101" s="177">
        <f t="shared" ca="1" si="154"/>
        <v>0</v>
      </c>
      <c r="AE101" s="177">
        <f t="shared" ca="1" si="155"/>
        <v>0</v>
      </c>
      <c r="AF101" s="177">
        <f t="shared" ca="1" si="156"/>
        <v>0</v>
      </c>
      <c r="AG101" s="177">
        <f t="shared" ca="1" si="135"/>
        <v>600</v>
      </c>
      <c r="AH101" s="177">
        <f t="shared" ca="1" si="135"/>
        <v>600</v>
      </c>
      <c r="AI101" s="177">
        <f t="shared" ca="1" si="157"/>
        <v>0</v>
      </c>
      <c r="AJ101" s="177">
        <f t="shared" ca="1" si="158"/>
        <v>0</v>
      </c>
      <c r="AK101" s="177">
        <f t="shared" ca="1" si="159"/>
        <v>0</v>
      </c>
      <c r="AL101" s="177">
        <f t="shared" ca="1" si="160"/>
        <v>0</v>
      </c>
      <c r="AM101" s="177">
        <f t="shared" ca="1" si="161"/>
        <v>0</v>
      </c>
      <c r="AN101" s="177">
        <f t="shared" ca="1" si="162"/>
        <v>0</v>
      </c>
      <c r="AO101" s="177">
        <f t="shared" ca="1" si="163"/>
        <v>0</v>
      </c>
      <c r="AP101" s="177">
        <f t="shared" ca="1" si="164"/>
        <v>0</v>
      </c>
      <c r="AQ101" s="177">
        <f t="shared" ca="1" si="165"/>
        <v>0</v>
      </c>
      <c r="AR101" s="177">
        <f t="shared" ca="1" si="166"/>
        <v>600</v>
      </c>
      <c r="AS101" s="176">
        <f t="shared" ca="1" si="167"/>
        <v>0</v>
      </c>
      <c r="AT101" s="176">
        <f t="shared" ca="1" si="168"/>
        <v>0</v>
      </c>
      <c r="AU101" s="176">
        <f t="shared" ca="1" si="169"/>
        <v>0</v>
      </c>
      <c r="AV101" s="176">
        <f t="shared" ca="1" si="170"/>
        <v>0</v>
      </c>
      <c r="AW101" s="176">
        <f t="shared" ca="1" si="171"/>
        <v>0</v>
      </c>
      <c r="AX101" s="176">
        <f t="shared" ca="1" si="172"/>
        <v>0</v>
      </c>
      <c r="AY101" s="176">
        <f t="shared" ca="1" si="173"/>
        <v>0</v>
      </c>
      <c r="AZ101" s="176">
        <f t="shared" ca="1" si="174"/>
        <v>0</v>
      </c>
      <c r="BA101" s="176">
        <f t="shared" ca="1" si="175"/>
        <v>0</v>
      </c>
      <c r="BB101" s="176">
        <f t="shared" ca="1" si="131"/>
        <v>0</v>
      </c>
      <c r="BC101" s="176">
        <f t="shared" ca="1" si="176"/>
        <v>0</v>
      </c>
    </row>
    <row r="102" spans="1:55">
      <c r="A102" s="1">
        <f t="shared" ca="1" si="137"/>
        <v>0</v>
      </c>
      <c r="B102" s="1" t="s">
        <v>161</v>
      </c>
      <c r="C102" s="1" t="str">
        <f t="shared" ca="1" si="138"/>
        <v/>
      </c>
      <c r="D102" s="1" t="str">
        <f t="shared" ca="1" si="139"/>
        <v/>
      </c>
      <c r="E102" s="173" t="str" cm="1">
        <f t="array" aca="1" ref="E102" ca="1">_xlfn.IFS(OR(ISBLANK(StartDateMonth),ISBLANK(StartDateYear)),"",E101&gt;=DATEVALUE(CompletionMonth&amp;CompletionYear)+1,"",TRUE,EDATE(E101,1))</f>
        <v/>
      </c>
      <c r="F102" s="176">
        <f t="shared" ca="1" si="136"/>
        <v>0</v>
      </c>
      <c r="G102" s="176">
        <f t="shared" ca="1" si="136"/>
        <v>0</v>
      </c>
      <c r="H102" s="176">
        <f t="shared" ca="1" si="136"/>
        <v>0</v>
      </c>
      <c r="I102" s="176">
        <f t="shared" ca="1" si="136"/>
        <v>0</v>
      </c>
      <c r="J102" s="176">
        <f t="shared" ca="1" si="136"/>
        <v>0</v>
      </c>
      <c r="K102" s="176">
        <f t="shared" ca="1" si="136"/>
        <v>0</v>
      </c>
      <c r="L102" s="176">
        <f t="shared" ca="1" si="136"/>
        <v>0</v>
      </c>
      <c r="M102" s="176">
        <f t="shared" ca="1" si="136"/>
        <v>0</v>
      </c>
      <c r="N102" s="176">
        <f t="shared" ca="1" si="136"/>
        <v>0</v>
      </c>
      <c r="O102" s="176">
        <f t="shared" ca="1" si="136"/>
        <v>0</v>
      </c>
      <c r="P102" s="176">
        <f t="shared" ca="1" si="140"/>
        <v>0</v>
      </c>
      <c r="Q102" s="176">
        <f t="shared" ca="1" si="141"/>
        <v>0</v>
      </c>
      <c r="R102" s="176">
        <f t="shared" ca="1" si="142"/>
        <v>0</v>
      </c>
      <c r="S102" s="176">
        <f t="shared" ca="1" si="143"/>
        <v>0</v>
      </c>
      <c r="T102" s="176">
        <f t="shared" ca="1" si="144"/>
        <v>0</v>
      </c>
      <c r="U102" s="176">
        <f t="shared" ca="1" si="145"/>
        <v>0</v>
      </c>
      <c r="V102" s="176">
        <f t="shared" ca="1" si="146"/>
        <v>0</v>
      </c>
      <c r="W102" s="177">
        <f t="shared" ca="1" si="147"/>
        <v>600</v>
      </c>
      <c r="X102" s="177">
        <f t="shared" ca="1" si="148"/>
        <v>0</v>
      </c>
      <c r="Y102" s="177">
        <f t="shared" ca="1" si="149"/>
        <v>0</v>
      </c>
      <c r="Z102" s="177">
        <f t="shared" ca="1" si="150"/>
        <v>0</v>
      </c>
      <c r="AA102" s="177">
        <f t="shared" ca="1" si="151"/>
        <v>0</v>
      </c>
      <c r="AB102" s="177">
        <f t="shared" ca="1" si="152"/>
        <v>0</v>
      </c>
      <c r="AC102" s="177">
        <f t="shared" ca="1" si="153"/>
        <v>0</v>
      </c>
      <c r="AD102" s="177">
        <f t="shared" ca="1" si="154"/>
        <v>0</v>
      </c>
      <c r="AE102" s="177">
        <f t="shared" ca="1" si="155"/>
        <v>0</v>
      </c>
      <c r="AF102" s="177">
        <f t="shared" ca="1" si="156"/>
        <v>0</v>
      </c>
      <c r="AG102" s="177">
        <f t="shared" ca="1" si="135"/>
        <v>600</v>
      </c>
      <c r="AH102" s="177">
        <f t="shared" ca="1" si="135"/>
        <v>600</v>
      </c>
      <c r="AI102" s="177">
        <f t="shared" ca="1" si="157"/>
        <v>0</v>
      </c>
      <c r="AJ102" s="177">
        <f t="shared" ca="1" si="158"/>
        <v>0</v>
      </c>
      <c r="AK102" s="177">
        <f t="shared" ca="1" si="159"/>
        <v>0</v>
      </c>
      <c r="AL102" s="177">
        <f t="shared" ca="1" si="160"/>
        <v>0</v>
      </c>
      <c r="AM102" s="177">
        <f t="shared" ca="1" si="161"/>
        <v>0</v>
      </c>
      <c r="AN102" s="177">
        <f t="shared" ca="1" si="162"/>
        <v>0</v>
      </c>
      <c r="AO102" s="177">
        <f t="shared" ca="1" si="163"/>
        <v>0</v>
      </c>
      <c r="AP102" s="177">
        <f t="shared" ca="1" si="164"/>
        <v>0</v>
      </c>
      <c r="AQ102" s="177">
        <f t="shared" ca="1" si="165"/>
        <v>0</v>
      </c>
      <c r="AR102" s="177">
        <f t="shared" ca="1" si="166"/>
        <v>600</v>
      </c>
      <c r="AS102" s="176">
        <f t="shared" ca="1" si="167"/>
        <v>0</v>
      </c>
      <c r="AT102" s="176">
        <f t="shared" ca="1" si="168"/>
        <v>0</v>
      </c>
      <c r="AU102" s="176">
        <f t="shared" ca="1" si="169"/>
        <v>0</v>
      </c>
      <c r="AV102" s="176">
        <f t="shared" ca="1" si="170"/>
        <v>0</v>
      </c>
      <c r="AW102" s="176">
        <f t="shared" ca="1" si="171"/>
        <v>0</v>
      </c>
      <c r="AX102" s="176">
        <f t="shared" ca="1" si="172"/>
        <v>0</v>
      </c>
      <c r="AY102" s="176">
        <f t="shared" ca="1" si="173"/>
        <v>0</v>
      </c>
      <c r="AZ102" s="176">
        <f t="shared" ca="1" si="174"/>
        <v>0</v>
      </c>
      <c r="BA102" s="176">
        <f t="shared" ca="1" si="175"/>
        <v>0</v>
      </c>
      <c r="BB102" s="176">
        <f t="shared" ca="1" si="131"/>
        <v>0</v>
      </c>
      <c r="BC102" s="176">
        <f t="shared" ca="1" si="176"/>
        <v>0</v>
      </c>
    </row>
    <row r="103" spans="1:55">
      <c r="A103" s="1">
        <f t="shared" ca="1" si="137"/>
        <v>0</v>
      </c>
      <c r="B103" s="1" t="s">
        <v>162</v>
      </c>
      <c r="C103" s="1" t="str">
        <f t="shared" ca="1" si="138"/>
        <v/>
      </c>
      <c r="D103" s="1" t="str">
        <f t="shared" ca="1" si="139"/>
        <v/>
      </c>
      <c r="E103" s="173" t="str" cm="1">
        <f t="array" aca="1" ref="E103" ca="1">_xlfn.IFS(OR(ISBLANK(StartDateMonth),ISBLANK(StartDateYear)),"",E102&gt;=DATEVALUE(CompletionMonth&amp;CompletionYear)+1,"",TRUE,EDATE(E102,1))</f>
        <v/>
      </c>
      <c r="F103" s="176">
        <f t="shared" ca="1" si="136"/>
        <v>0</v>
      </c>
      <c r="G103" s="176">
        <f t="shared" ca="1" si="136"/>
        <v>0</v>
      </c>
      <c r="H103" s="176">
        <f t="shared" ca="1" si="136"/>
        <v>0</v>
      </c>
      <c r="I103" s="176">
        <f t="shared" ca="1" si="136"/>
        <v>0</v>
      </c>
      <c r="J103" s="176">
        <f t="shared" ca="1" si="136"/>
        <v>0</v>
      </c>
      <c r="K103" s="176">
        <f t="shared" ca="1" si="136"/>
        <v>0</v>
      </c>
      <c r="L103" s="176">
        <f t="shared" ca="1" si="136"/>
        <v>0</v>
      </c>
      <c r="M103" s="176">
        <f t="shared" ca="1" si="136"/>
        <v>0</v>
      </c>
      <c r="N103" s="176">
        <f t="shared" ca="1" si="136"/>
        <v>0</v>
      </c>
      <c r="O103" s="176">
        <f t="shared" ca="1" si="136"/>
        <v>0</v>
      </c>
      <c r="P103" s="176">
        <f t="shared" ca="1" si="140"/>
        <v>0</v>
      </c>
      <c r="Q103" s="176">
        <f t="shared" ca="1" si="141"/>
        <v>0</v>
      </c>
      <c r="R103" s="176">
        <f t="shared" ca="1" si="142"/>
        <v>0</v>
      </c>
      <c r="S103" s="176">
        <f t="shared" ca="1" si="143"/>
        <v>0</v>
      </c>
      <c r="T103" s="176">
        <f t="shared" ca="1" si="144"/>
        <v>0</v>
      </c>
      <c r="U103" s="176">
        <f t="shared" ca="1" si="145"/>
        <v>0</v>
      </c>
      <c r="V103" s="176">
        <f t="shared" ca="1" si="146"/>
        <v>0</v>
      </c>
      <c r="W103" s="177">
        <f t="shared" ca="1" si="147"/>
        <v>600</v>
      </c>
      <c r="X103" s="177">
        <f t="shared" ca="1" si="148"/>
        <v>0</v>
      </c>
      <c r="Y103" s="177">
        <f t="shared" ca="1" si="149"/>
        <v>0</v>
      </c>
      <c r="Z103" s="177">
        <f t="shared" ca="1" si="150"/>
        <v>0</v>
      </c>
      <c r="AA103" s="177">
        <f t="shared" ca="1" si="151"/>
        <v>0</v>
      </c>
      <c r="AB103" s="177">
        <f t="shared" ca="1" si="152"/>
        <v>0</v>
      </c>
      <c r="AC103" s="177">
        <f t="shared" ca="1" si="153"/>
        <v>0</v>
      </c>
      <c r="AD103" s="177">
        <f t="shared" ca="1" si="154"/>
        <v>0</v>
      </c>
      <c r="AE103" s="177">
        <f t="shared" ca="1" si="155"/>
        <v>0</v>
      </c>
      <c r="AF103" s="177">
        <f t="shared" ca="1" si="156"/>
        <v>0</v>
      </c>
      <c r="AG103" s="177">
        <f t="shared" ca="1" si="135"/>
        <v>600</v>
      </c>
      <c r="AH103" s="177">
        <f t="shared" ca="1" si="135"/>
        <v>600</v>
      </c>
      <c r="AI103" s="177">
        <f t="shared" ca="1" si="157"/>
        <v>0</v>
      </c>
      <c r="AJ103" s="177">
        <f t="shared" ca="1" si="158"/>
        <v>0</v>
      </c>
      <c r="AK103" s="177">
        <f t="shared" ca="1" si="159"/>
        <v>0</v>
      </c>
      <c r="AL103" s="177">
        <f t="shared" ca="1" si="160"/>
        <v>0</v>
      </c>
      <c r="AM103" s="177">
        <f t="shared" ca="1" si="161"/>
        <v>0</v>
      </c>
      <c r="AN103" s="177">
        <f t="shared" ca="1" si="162"/>
        <v>0</v>
      </c>
      <c r="AO103" s="177">
        <f t="shared" ca="1" si="163"/>
        <v>0</v>
      </c>
      <c r="AP103" s="177">
        <f t="shared" ca="1" si="164"/>
        <v>0</v>
      </c>
      <c r="AQ103" s="177">
        <f t="shared" ca="1" si="165"/>
        <v>0</v>
      </c>
      <c r="AR103" s="177">
        <f t="shared" ca="1" si="166"/>
        <v>600</v>
      </c>
      <c r="AS103" s="176">
        <f t="shared" ca="1" si="167"/>
        <v>0</v>
      </c>
      <c r="AT103" s="176">
        <f t="shared" ca="1" si="168"/>
        <v>0</v>
      </c>
      <c r="AU103" s="176">
        <f t="shared" ca="1" si="169"/>
        <v>0</v>
      </c>
      <c r="AV103" s="176">
        <f t="shared" ca="1" si="170"/>
        <v>0</v>
      </c>
      <c r="AW103" s="176">
        <f t="shared" ca="1" si="171"/>
        <v>0</v>
      </c>
      <c r="AX103" s="176">
        <f t="shared" ca="1" si="172"/>
        <v>0</v>
      </c>
      <c r="AY103" s="176">
        <f t="shared" ca="1" si="173"/>
        <v>0</v>
      </c>
      <c r="AZ103" s="176">
        <f t="shared" ca="1" si="174"/>
        <v>0</v>
      </c>
      <c r="BA103" s="176">
        <f t="shared" ca="1" si="175"/>
        <v>0</v>
      </c>
      <c r="BB103" s="176">
        <f t="shared" ca="1" si="131"/>
        <v>0</v>
      </c>
      <c r="BC103" s="176">
        <f t="shared" ca="1" si="176"/>
        <v>0</v>
      </c>
    </row>
    <row r="104" spans="1:55">
      <c r="A104" s="1">
        <f t="shared" ca="1" si="137"/>
        <v>0</v>
      </c>
      <c r="B104" s="1" t="s">
        <v>163</v>
      </c>
      <c r="C104" s="1" t="str">
        <f t="shared" ca="1" si="138"/>
        <v/>
      </c>
      <c r="D104" s="1" t="str">
        <f t="shared" ca="1" si="139"/>
        <v/>
      </c>
      <c r="E104" s="173" t="str" cm="1">
        <f t="array" aca="1" ref="E104" ca="1">_xlfn.IFS(OR(ISBLANK(StartDateMonth),ISBLANK(StartDateYear)),"",E103&gt;=DATEVALUE(CompletionMonth&amp;CompletionYear)+1,"",TRUE,EDATE(E103,1))</f>
        <v/>
      </c>
      <c r="F104" s="176">
        <f t="shared" ref="F104:O113" ca="1" si="177">IF($A104=1,INDEX(DevelopmentCosts,MATCH(F$3,TotalDevCostsList,0),MATCH($B104,DevelopmentCostTitle,0)),0)</f>
        <v>0</v>
      </c>
      <c r="G104" s="176">
        <f t="shared" ca="1" si="177"/>
        <v>0</v>
      </c>
      <c r="H104" s="176">
        <f t="shared" ca="1" si="177"/>
        <v>0</v>
      </c>
      <c r="I104" s="176">
        <f t="shared" ca="1" si="177"/>
        <v>0</v>
      </c>
      <c r="J104" s="176">
        <f t="shared" ca="1" si="177"/>
        <v>0</v>
      </c>
      <c r="K104" s="176">
        <f t="shared" ca="1" si="177"/>
        <v>0</v>
      </c>
      <c r="L104" s="176">
        <f t="shared" ca="1" si="177"/>
        <v>0</v>
      </c>
      <c r="M104" s="176">
        <f t="shared" ca="1" si="177"/>
        <v>0</v>
      </c>
      <c r="N104" s="176">
        <f t="shared" ca="1" si="177"/>
        <v>0</v>
      </c>
      <c r="O104" s="176">
        <f t="shared" ca="1" si="177"/>
        <v>0</v>
      </c>
      <c r="P104" s="176">
        <f t="shared" ca="1" si="140"/>
        <v>0</v>
      </c>
      <c r="Q104" s="176">
        <f t="shared" ca="1" si="141"/>
        <v>0</v>
      </c>
      <c r="R104" s="176">
        <f t="shared" ca="1" si="142"/>
        <v>0</v>
      </c>
      <c r="S104" s="176">
        <f t="shared" ca="1" si="143"/>
        <v>0</v>
      </c>
      <c r="T104" s="176">
        <f t="shared" ca="1" si="144"/>
        <v>0</v>
      </c>
      <c r="U104" s="176">
        <f t="shared" ca="1" si="145"/>
        <v>0</v>
      </c>
      <c r="V104" s="176">
        <f t="shared" ca="1" si="146"/>
        <v>0</v>
      </c>
      <c r="W104" s="177">
        <f t="shared" ca="1" si="147"/>
        <v>600</v>
      </c>
      <c r="X104" s="177">
        <f t="shared" ca="1" si="148"/>
        <v>0</v>
      </c>
      <c r="Y104" s="177">
        <f t="shared" ca="1" si="149"/>
        <v>0</v>
      </c>
      <c r="Z104" s="177">
        <f t="shared" ca="1" si="150"/>
        <v>0</v>
      </c>
      <c r="AA104" s="177">
        <f t="shared" ca="1" si="151"/>
        <v>0</v>
      </c>
      <c r="AB104" s="177">
        <f t="shared" ca="1" si="152"/>
        <v>0</v>
      </c>
      <c r="AC104" s="177">
        <f t="shared" ca="1" si="153"/>
        <v>0</v>
      </c>
      <c r="AD104" s="177">
        <f t="shared" ca="1" si="154"/>
        <v>0</v>
      </c>
      <c r="AE104" s="177">
        <f t="shared" ca="1" si="155"/>
        <v>0</v>
      </c>
      <c r="AF104" s="177">
        <f t="shared" ca="1" si="156"/>
        <v>0</v>
      </c>
      <c r="AG104" s="177">
        <f t="shared" ref="AG104:AH128" ca="1" si="178">COUNTIF(CategorisedSaleKey,(OpenMarketHousing&amp;$C104&amp;$D104))</f>
        <v>600</v>
      </c>
      <c r="AH104" s="177">
        <f t="shared" ca="1" si="178"/>
        <v>600</v>
      </c>
      <c r="AI104" s="177">
        <f t="shared" ca="1" si="157"/>
        <v>0</v>
      </c>
      <c r="AJ104" s="177">
        <f t="shared" ca="1" si="158"/>
        <v>0</v>
      </c>
      <c r="AK104" s="177">
        <f t="shared" ca="1" si="159"/>
        <v>0</v>
      </c>
      <c r="AL104" s="177">
        <f t="shared" ca="1" si="160"/>
        <v>0</v>
      </c>
      <c r="AM104" s="177">
        <f t="shared" ca="1" si="161"/>
        <v>0</v>
      </c>
      <c r="AN104" s="177">
        <f t="shared" ca="1" si="162"/>
        <v>0</v>
      </c>
      <c r="AO104" s="177">
        <f t="shared" ca="1" si="163"/>
        <v>0</v>
      </c>
      <c r="AP104" s="177">
        <f t="shared" ca="1" si="164"/>
        <v>0</v>
      </c>
      <c r="AQ104" s="177">
        <f t="shared" ca="1" si="165"/>
        <v>0</v>
      </c>
      <c r="AR104" s="177">
        <f t="shared" ca="1" si="166"/>
        <v>600</v>
      </c>
      <c r="AS104" s="176">
        <f t="shared" ca="1" si="167"/>
        <v>0</v>
      </c>
      <c r="AT104" s="176">
        <f t="shared" ca="1" si="168"/>
        <v>0</v>
      </c>
      <c r="AU104" s="176">
        <f t="shared" ca="1" si="169"/>
        <v>0</v>
      </c>
      <c r="AV104" s="176">
        <f t="shared" ca="1" si="170"/>
        <v>0</v>
      </c>
      <c r="AW104" s="176">
        <f t="shared" ca="1" si="171"/>
        <v>0</v>
      </c>
      <c r="AX104" s="176">
        <f t="shared" ca="1" si="172"/>
        <v>0</v>
      </c>
      <c r="AY104" s="176">
        <f t="shared" ca="1" si="173"/>
        <v>0</v>
      </c>
      <c r="AZ104" s="176">
        <f t="shared" ca="1" si="174"/>
        <v>0</v>
      </c>
      <c r="BA104" s="176">
        <f t="shared" ca="1" si="175"/>
        <v>0</v>
      </c>
      <c r="BB104" s="176">
        <f t="shared" ca="1" si="131"/>
        <v>0</v>
      </c>
      <c r="BC104" s="176">
        <f t="shared" ca="1" si="176"/>
        <v>0</v>
      </c>
    </row>
    <row r="105" spans="1:55">
      <c r="A105" s="1">
        <f t="shared" ca="1" si="137"/>
        <v>0</v>
      </c>
      <c r="B105" s="1" t="s">
        <v>164</v>
      </c>
      <c r="C105" s="1" t="str">
        <f t="shared" ca="1" si="138"/>
        <v/>
      </c>
      <c r="D105" s="1" t="str">
        <f t="shared" ca="1" si="139"/>
        <v/>
      </c>
      <c r="E105" s="173" t="str" cm="1">
        <f t="array" aca="1" ref="E105" ca="1">_xlfn.IFS(OR(ISBLANK(StartDateMonth),ISBLANK(StartDateYear)),"",E104&gt;=DATEVALUE(CompletionMonth&amp;CompletionYear)+1,"",TRUE,EDATE(E104,1))</f>
        <v/>
      </c>
      <c r="F105" s="176">
        <f t="shared" ca="1" si="177"/>
        <v>0</v>
      </c>
      <c r="G105" s="176">
        <f t="shared" ca="1" si="177"/>
        <v>0</v>
      </c>
      <c r="H105" s="176">
        <f t="shared" ca="1" si="177"/>
        <v>0</v>
      </c>
      <c r="I105" s="176">
        <f t="shared" ca="1" si="177"/>
        <v>0</v>
      </c>
      <c r="J105" s="176">
        <f t="shared" ca="1" si="177"/>
        <v>0</v>
      </c>
      <c r="K105" s="176">
        <f t="shared" ca="1" si="177"/>
        <v>0</v>
      </c>
      <c r="L105" s="176">
        <f t="shared" ca="1" si="177"/>
        <v>0</v>
      </c>
      <c r="M105" s="176">
        <f t="shared" ca="1" si="177"/>
        <v>0</v>
      </c>
      <c r="N105" s="176">
        <f t="shared" ca="1" si="177"/>
        <v>0</v>
      </c>
      <c r="O105" s="176">
        <f t="shared" ca="1" si="177"/>
        <v>0</v>
      </c>
      <c r="P105" s="176">
        <f t="shared" ca="1" si="140"/>
        <v>0</v>
      </c>
      <c r="Q105" s="176">
        <f t="shared" ca="1" si="141"/>
        <v>0</v>
      </c>
      <c r="R105" s="176">
        <f t="shared" ca="1" si="142"/>
        <v>0</v>
      </c>
      <c r="S105" s="176">
        <f t="shared" ca="1" si="143"/>
        <v>0</v>
      </c>
      <c r="T105" s="176">
        <f t="shared" ca="1" si="144"/>
        <v>0</v>
      </c>
      <c r="U105" s="176">
        <f t="shared" ca="1" si="145"/>
        <v>0</v>
      </c>
      <c r="V105" s="176">
        <f t="shared" ca="1" si="146"/>
        <v>0</v>
      </c>
      <c r="W105" s="177">
        <f t="shared" ca="1" si="147"/>
        <v>600</v>
      </c>
      <c r="X105" s="177">
        <f t="shared" ca="1" si="148"/>
        <v>0</v>
      </c>
      <c r="Y105" s="177">
        <f t="shared" ca="1" si="149"/>
        <v>0</v>
      </c>
      <c r="Z105" s="177">
        <f t="shared" ca="1" si="150"/>
        <v>0</v>
      </c>
      <c r="AA105" s="177">
        <f t="shared" ca="1" si="151"/>
        <v>0</v>
      </c>
      <c r="AB105" s="177">
        <f t="shared" ca="1" si="152"/>
        <v>0</v>
      </c>
      <c r="AC105" s="177">
        <f t="shared" ca="1" si="153"/>
        <v>0</v>
      </c>
      <c r="AD105" s="177">
        <f t="shared" ca="1" si="154"/>
        <v>0</v>
      </c>
      <c r="AE105" s="177">
        <f t="shared" ca="1" si="155"/>
        <v>0</v>
      </c>
      <c r="AF105" s="177">
        <f t="shared" ca="1" si="156"/>
        <v>0</v>
      </c>
      <c r="AG105" s="177">
        <f t="shared" ca="1" si="178"/>
        <v>600</v>
      </c>
      <c r="AH105" s="177">
        <f t="shared" ca="1" si="178"/>
        <v>600</v>
      </c>
      <c r="AI105" s="177">
        <f t="shared" ca="1" si="157"/>
        <v>0</v>
      </c>
      <c r="AJ105" s="177">
        <f t="shared" ca="1" si="158"/>
        <v>0</v>
      </c>
      <c r="AK105" s="177">
        <f t="shared" ca="1" si="159"/>
        <v>0</v>
      </c>
      <c r="AL105" s="177">
        <f t="shared" ca="1" si="160"/>
        <v>0</v>
      </c>
      <c r="AM105" s="177">
        <f t="shared" ca="1" si="161"/>
        <v>0</v>
      </c>
      <c r="AN105" s="177">
        <f t="shared" ca="1" si="162"/>
        <v>0</v>
      </c>
      <c r="AO105" s="177">
        <f t="shared" ca="1" si="163"/>
        <v>0</v>
      </c>
      <c r="AP105" s="177">
        <f t="shared" ca="1" si="164"/>
        <v>0</v>
      </c>
      <c r="AQ105" s="177">
        <f t="shared" ca="1" si="165"/>
        <v>0</v>
      </c>
      <c r="AR105" s="177">
        <f t="shared" ca="1" si="166"/>
        <v>600</v>
      </c>
      <c r="AS105" s="176">
        <f t="shared" ca="1" si="167"/>
        <v>0</v>
      </c>
      <c r="AT105" s="176">
        <f t="shared" ca="1" si="168"/>
        <v>0</v>
      </c>
      <c r="AU105" s="176">
        <f t="shared" ca="1" si="169"/>
        <v>0</v>
      </c>
      <c r="AV105" s="176">
        <f t="shared" ca="1" si="170"/>
        <v>0</v>
      </c>
      <c r="AW105" s="176">
        <f t="shared" ca="1" si="171"/>
        <v>0</v>
      </c>
      <c r="AX105" s="176">
        <f t="shared" ca="1" si="172"/>
        <v>0</v>
      </c>
      <c r="AY105" s="176">
        <f t="shared" ca="1" si="173"/>
        <v>0</v>
      </c>
      <c r="AZ105" s="176">
        <f t="shared" ca="1" si="174"/>
        <v>0</v>
      </c>
      <c r="BA105" s="176">
        <f t="shared" ca="1" si="175"/>
        <v>0</v>
      </c>
      <c r="BB105" s="176">
        <f t="shared" ca="1" si="131"/>
        <v>0</v>
      </c>
      <c r="BC105" s="176">
        <f t="shared" ca="1" si="176"/>
        <v>0</v>
      </c>
    </row>
    <row r="106" spans="1:55">
      <c r="A106" s="1">
        <f t="shared" ca="1" si="137"/>
        <v>0</v>
      </c>
      <c r="B106" s="1" t="s">
        <v>165</v>
      </c>
      <c r="C106" s="1" t="str">
        <f t="shared" ca="1" si="138"/>
        <v/>
      </c>
      <c r="D106" s="1" t="str">
        <f t="shared" ca="1" si="139"/>
        <v/>
      </c>
      <c r="E106" s="173" t="str" cm="1">
        <f t="array" aca="1" ref="E106" ca="1">_xlfn.IFS(OR(ISBLANK(StartDateMonth),ISBLANK(StartDateYear)),"",E105&gt;=DATEVALUE(CompletionMonth&amp;CompletionYear)+1,"",TRUE,EDATE(E105,1))</f>
        <v/>
      </c>
      <c r="F106" s="176">
        <f t="shared" ca="1" si="177"/>
        <v>0</v>
      </c>
      <c r="G106" s="176">
        <f t="shared" ca="1" si="177"/>
        <v>0</v>
      </c>
      <c r="H106" s="176">
        <f t="shared" ca="1" si="177"/>
        <v>0</v>
      </c>
      <c r="I106" s="176">
        <f t="shared" ca="1" si="177"/>
        <v>0</v>
      </c>
      <c r="J106" s="176">
        <f t="shared" ca="1" si="177"/>
        <v>0</v>
      </c>
      <c r="K106" s="176">
        <f t="shared" ca="1" si="177"/>
        <v>0</v>
      </c>
      <c r="L106" s="176">
        <f t="shared" ca="1" si="177"/>
        <v>0</v>
      </c>
      <c r="M106" s="176">
        <f t="shared" ca="1" si="177"/>
        <v>0</v>
      </c>
      <c r="N106" s="176">
        <f t="shared" ca="1" si="177"/>
        <v>0</v>
      </c>
      <c r="O106" s="176">
        <f t="shared" ca="1" si="177"/>
        <v>0</v>
      </c>
      <c r="P106" s="176">
        <f t="shared" ca="1" si="140"/>
        <v>0</v>
      </c>
      <c r="Q106" s="176">
        <f t="shared" ca="1" si="141"/>
        <v>0</v>
      </c>
      <c r="R106" s="176">
        <f t="shared" ca="1" si="142"/>
        <v>0</v>
      </c>
      <c r="S106" s="176">
        <f t="shared" ca="1" si="143"/>
        <v>0</v>
      </c>
      <c r="T106" s="176">
        <f t="shared" ca="1" si="144"/>
        <v>0</v>
      </c>
      <c r="U106" s="176">
        <f t="shared" ca="1" si="145"/>
        <v>0</v>
      </c>
      <c r="V106" s="176">
        <f t="shared" ca="1" si="146"/>
        <v>0</v>
      </c>
      <c r="W106" s="177">
        <f t="shared" ca="1" si="147"/>
        <v>600</v>
      </c>
      <c r="X106" s="177">
        <f t="shared" ca="1" si="148"/>
        <v>0</v>
      </c>
      <c r="Y106" s="177">
        <f t="shared" ca="1" si="149"/>
        <v>0</v>
      </c>
      <c r="Z106" s="177">
        <f t="shared" ca="1" si="150"/>
        <v>0</v>
      </c>
      <c r="AA106" s="177">
        <f t="shared" ca="1" si="151"/>
        <v>0</v>
      </c>
      <c r="AB106" s="177">
        <f t="shared" ca="1" si="152"/>
        <v>0</v>
      </c>
      <c r="AC106" s="177">
        <f t="shared" ca="1" si="153"/>
        <v>0</v>
      </c>
      <c r="AD106" s="177">
        <f t="shared" ca="1" si="154"/>
        <v>0</v>
      </c>
      <c r="AE106" s="177">
        <f t="shared" ca="1" si="155"/>
        <v>0</v>
      </c>
      <c r="AF106" s="177">
        <f t="shared" ca="1" si="156"/>
        <v>0</v>
      </c>
      <c r="AG106" s="177">
        <f t="shared" ca="1" si="178"/>
        <v>600</v>
      </c>
      <c r="AH106" s="177">
        <f t="shared" ca="1" si="178"/>
        <v>600</v>
      </c>
      <c r="AI106" s="177">
        <f t="shared" ca="1" si="157"/>
        <v>0</v>
      </c>
      <c r="AJ106" s="177">
        <f t="shared" ca="1" si="158"/>
        <v>0</v>
      </c>
      <c r="AK106" s="177">
        <f t="shared" ca="1" si="159"/>
        <v>0</v>
      </c>
      <c r="AL106" s="177">
        <f t="shared" ca="1" si="160"/>
        <v>0</v>
      </c>
      <c r="AM106" s="177">
        <f t="shared" ca="1" si="161"/>
        <v>0</v>
      </c>
      <c r="AN106" s="177">
        <f t="shared" ca="1" si="162"/>
        <v>0</v>
      </c>
      <c r="AO106" s="177">
        <f t="shared" ca="1" si="163"/>
        <v>0</v>
      </c>
      <c r="AP106" s="177">
        <f t="shared" ca="1" si="164"/>
        <v>0</v>
      </c>
      <c r="AQ106" s="177">
        <f t="shared" ca="1" si="165"/>
        <v>0</v>
      </c>
      <c r="AR106" s="177">
        <f t="shared" ca="1" si="166"/>
        <v>600</v>
      </c>
      <c r="AS106" s="176">
        <f t="shared" ca="1" si="167"/>
        <v>0</v>
      </c>
      <c r="AT106" s="176">
        <f t="shared" ca="1" si="168"/>
        <v>0</v>
      </c>
      <c r="AU106" s="176">
        <f t="shared" ca="1" si="169"/>
        <v>0</v>
      </c>
      <c r="AV106" s="176">
        <f t="shared" ca="1" si="170"/>
        <v>0</v>
      </c>
      <c r="AW106" s="176">
        <f t="shared" ca="1" si="171"/>
        <v>0</v>
      </c>
      <c r="AX106" s="176">
        <f t="shared" ca="1" si="172"/>
        <v>0</v>
      </c>
      <c r="AY106" s="176">
        <f t="shared" ca="1" si="173"/>
        <v>0</v>
      </c>
      <c r="AZ106" s="176">
        <f t="shared" ca="1" si="174"/>
        <v>0</v>
      </c>
      <c r="BA106" s="176">
        <f t="shared" ca="1" si="175"/>
        <v>0</v>
      </c>
      <c r="BB106" s="176">
        <f t="shared" ca="1" si="131"/>
        <v>0</v>
      </c>
      <c r="BC106" s="176">
        <f t="shared" ca="1" si="176"/>
        <v>0</v>
      </c>
    </row>
    <row r="107" spans="1:55">
      <c r="A107" s="1">
        <f t="shared" ca="1" si="137"/>
        <v>0</v>
      </c>
      <c r="B107" s="1" t="s">
        <v>166</v>
      </c>
      <c r="C107" s="1" t="str">
        <f t="shared" ca="1" si="138"/>
        <v/>
      </c>
      <c r="D107" s="1" t="str">
        <f t="shared" ca="1" si="139"/>
        <v/>
      </c>
      <c r="E107" s="173" t="str" cm="1">
        <f t="array" aca="1" ref="E107" ca="1">_xlfn.IFS(OR(ISBLANK(StartDateMonth),ISBLANK(StartDateYear)),"",E106&gt;=DATEVALUE(CompletionMonth&amp;CompletionYear)+1,"",TRUE,EDATE(E106,1))</f>
        <v/>
      </c>
      <c r="F107" s="176">
        <f t="shared" ca="1" si="177"/>
        <v>0</v>
      </c>
      <c r="G107" s="176">
        <f t="shared" ca="1" si="177"/>
        <v>0</v>
      </c>
      <c r="H107" s="176">
        <f t="shared" ca="1" si="177"/>
        <v>0</v>
      </c>
      <c r="I107" s="176">
        <f t="shared" ca="1" si="177"/>
        <v>0</v>
      </c>
      <c r="J107" s="176">
        <f t="shared" ca="1" si="177"/>
        <v>0</v>
      </c>
      <c r="K107" s="176">
        <f t="shared" ca="1" si="177"/>
        <v>0</v>
      </c>
      <c r="L107" s="176">
        <f t="shared" ca="1" si="177"/>
        <v>0</v>
      </c>
      <c r="M107" s="176">
        <f t="shared" ca="1" si="177"/>
        <v>0</v>
      </c>
      <c r="N107" s="176">
        <f t="shared" ca="1" si="177"/>
        <v>0</v>
      </c>
      <c r="O107" s="176">
        <f t="shared" ca="1" si="177"/>
        <v>0</v>
      </c>
      <c r="P107" s="176">
        <f t="shared" ca="1" si="140"/>
        <v>0</v>
      </c>
      <c r="Q107" s="176">
        <f t="shared" ca="1" si="141"/>
        <v>0</v>
      </c>
      <c r="R107" s="176">
        <f t="shared" ca="1" si="142"/>
        <v>0</v>
      </c>
      <c r="S107" s="176">
        <f t="shared" ca="1" si="143"/>
        <v>0</v>
      </c>
      <c r="T107" s="176">
        <f t="shared" ca="1" si="144"/>
        <v>0</v>
      </c>
      <c r="U107" s="176">
        <f t="shared" ca="1" si="145"/>
        <v>0</v>
      </c>
      <c r="V107" s="176">
        <f t="shared" ca="1" si="146"/>
        <v>0</v>
      </c>
      <c r="W107" s="177">
        <f t="shared" ca="1" si="147"/>
        <v>600</v>
      </c>
      <c r="X107" s="177">
        <f t="shared" ca="1" si="148"/>
        <v>0</v>
      </c>
      <c r="Y107" s="177">
        <f t="shared" ca="1" si="149"/>
        <v>0</v>
      </c>
      <c r="Z107" s="177">
        <f t="shared" ca="1" si="150"/>
        <v>0</v>
      </c>
      <c r="AA107" s="177">
        <f t="shared" ca="1" si="151"/>
        <v>0</v>
      </c>
      <c r="AB107" s="177">
        <f t="shared" ca="1" si="152"/>
        <v>0</v>
      </c>
      <c r="AC107" s="177">
        <f t="shared" ca="1" si="153"/>
        <v>0</v>
      </c>
      <c r="AD107" s="177">
        <f t="shared" ca="1" si="154"/>
        <v>0</v>
      </c>
      <c r="AE107" s="177">
        <f t="shared" ca="1" si="155"/>
        <v>0</v>
      </c>
      <c r="AF107" s="177">
        <f t="shared" ca="1" si="156"/>
        <v>0</v>
      </c>
      <c r="AG107" s="177">
        <f t="shared" ca="1" si="178"/>
        <v>600</v>
      </c>
      <c r="AH107" s="177">
        <f t="shared" ca="1" si="178"/>
        <v>600</v>
      </c>
      <c r="AI107" s="177">
        <f t="shared" ca="1" si="157"/>
        <v>0</v>
      </c>
      <c r="AJ107" s="177">
        <f t="shared" ca="1" si="158"/>
        <v>0</v>
      </c>
      <c r="AK107" s="177">
        <f t="shared" ca="1" si="159"/>
        <v>0</v>
      </c>
      <c r="AL107" s="177">
        <f t="shared" ca="1" si="160"/>
        <v>0</v>
      </c>
      <c r="AM107" s="177">
        <f t="shared" ca="1" si="161"/>
        <v>0</v>
      </c>
      <c r="AN107" s="177">
        <f t="shared" ca="1" si="162"/>
        <v>0</v>
      </c>
      <c r="AO107" s="177">
        <f t="shared" ca="1" si="163"/>
        <v>0</v>
      </c>
      <c r="AP107" s="177">
        <f t="shared" ca="1" si="164"/>
        <v>0</v>
      </c>
      <c r="AQ107" s="177">
        <f t="shared" ca="1" si="165"/>
        <v>0</v>
      </c>
      <c r="AR107" s="177">
        <f t="shared" ca="1" si="166"/>
        <v>600</v>
      </c>
      <c r="AS107" s="176">
        <f t="shared" ca="1" si="167"/>
        <v>0</v>
      </c>
      <c r="AT107" s="176">
        <f t="shared" ca="1" si="168"/>
        <v>0</v>
      </c>
      <c r="AU107" s="176">
        <f t="shared" ca="1" si="169"/>
        <v>0</v>
      </c>
      <c r="AV107" s="176">
        <f t="shared" ca="1" si="170"/>
        <v>0</v>
      </c>
      <c r="AW107" s="176">
        <f t="shared" ca="1" si="171"/>
        <v>0</v>
      </c>
      <c r="AX107" s="176">
        <f t="shared" ca="1" si="172"/>
        <v>0</v>
      </c>
      <c r="AY107" s="176">
        <f t="shared" ca="1" si="173"/>
        <v>0</v>
      </c>
      <c r="AZ107" s="176">
        <f t="shared" ca="1" si="174"/>
        <v>0</v>
      </c>
      <c r="BA107" s="176">
        <f t="shared" ca="1" si="175"/>
        <v>0</v>
      </c>
      <c r="BB107" s="176">
        <f t="shared" ca="1" si="131"/>
        <v>0</v>
      </c>
      <c r="BC107" s="176">
        <f t="shared" ca="1" si="176"/>
        <v>0</v>
      </c>
    </row>
    <row r="108" spans="1:55">
      <c r="A108" s="1">
        <f t="shared" ca="1" si="137"/>
        <v>0</v>
      </c>
      <c r="B108" s="1" t="s">
        <v>167</v>
      </c>
      <c r="C108" s="1" t="str">
        <f t="shared" ca="1" si="138"/>
        <v/>
      </c>
      <c r="D108" s="1" t="str">
        <f t="shared" ca="1" si="139"/>
        <v/>
      </c>
      <c r="E108" s="173" t="str" cm="1">
        <f t="array" aca="1" ref="E108" ca="1">_xlfn.IFS(OR(ISBLANK(StartDateMonth),ISBLANK(StartDateYear)),"",E107&gt;=DATEVALUE(CompletionMonth&amp;CompletionYear)+1,"",TRUE,EDATE(E107,1))</f>
        <v/>
      </c>
      <c r="F108" s="176">
        <f t="shared" ca="1" si="177"/>
        <v>0</v>
      </c>
      <c r="G108" s="176">
        <f t="shared" ca="1" si="177"/>
        <v>0</v>
      </c>
      <c r="H108" s="176">
        <f t="shared" ca="1" si="177"/>
        <v>0</v>
      </c>
      <c r="I108" s="176">
        <f t="shared" ca="1" si="177"/>
        <v>0</v>
      </c>
      <c r="J108" s="176">
        <f t="shared" ca="1" si="177"/>
        <v>0</v>
      </c>
      <c r="K108" s="176">
        <f t="shared" ca="1" si="177"/>
        <v>0</v>
      </c>
      <c r="L108" s="176">
        <f t="shared" ca="1" si="177"/>
        <v>0</v>
      </c>
      <c r="M108" s="176">
        <f t="shared" ca="1" si="177"/>
        <v>0</v>
      </c>
      <c r="N108" s="176">
        <f t="shared" ca="1" si="177"/>
        <v>0</v>
      </c>
      <c r="O108" s="176">
        <f t="shared" ca="1" si="177"/>
        <v>0</v>
      </c>
      <c r="P108" s="176">
        <f t="shared" ca="1" si="140"/>
        <v>0</v>
      </c>
      <c r="Q108" s="176">
        <f t="shared" ca="1" si="141"/>
        <v>0</v>
      </c>
      <c r="R108" s="176">
        <f t="shared" ca="1" si="142"/>
        <v>0</v>
      </c>
      <c r="S108" s="176">
        <f t="shared" ca="1" si="143"/>
        <v>0</v>
      </c>
      <c r="T108" s="176">
        <f t="shared" ca="1" si="144"/>
        <v>0</v>
      </c>
      <c r="U108" s="176">
        <f t="shared" ca="1" si="145"/>
        <v>0</v>
      </c>
      <c r="V108" s="176">
        <f t="shared" ca="1" si="146"/>
        <v>0</v>
      </c>
      <c r="W108" s="177">
        <f t="shared" ca="1" si="147"/>
        <v>600</v>
      </c>
      <c r="X108" s="177">
        <f t="shared" ca="1" si="148"/>
        <v>0</v>
      </c>
      <c r="Y108" s="177">
        <f t="shared" ca="1" si="149"/>
        <v>0</v>
      </c>
      <c r="Z108" s="177">
        <f t="shared" ca="1" si="150"/>
        <v>0</v>
      </c>
      <c r="AA108" s="177">
        <f t="shared" ca="1" si="151"/>
        <v>0</v>
      </c>
      <c r="AB108" s="177">
        <f t="shared" ca="1" si="152"/>
        <v>0</v>
      </c>
      <c r="AC108" s="177">
        <f t="shared" ca="1" si="153"/>
        <v>0</v>
      </c>
      <c r="AD108" s="177">
        <f t="shared" ca="1" si="154"/>
        <v>0</v>
      </c>
      <c r="AE108" s="177">
        <f t="shared" ca="1" si="155"/>
        <v>0</v>
      </c>
      <c r="AF108" s="177">
        <f t="shared" ca="1" si="156"/>
        <v>0</v>
      </c>
      <c r="AG108" s="177">
        <f t="shared" ca="1" si="178"/>
        <v>600</v>
      </c>
      <c r="AH108" s="177">
        <f t="shared" ca="1" si="178"/>
        <v>600</v>
      </c>
      <c r="AI108" s="177">
        <f t="shared" ca="1" si="157"/>
        <v>0</v>
      </c>
      <c r="AJ108" s="177">
        <f t="shared" ca="1" si="158"/>
        <v>0</v>
      </c>
      <c r="AK108" s="177">
        <f t="shared" ca="1" si="159"/>
        <v>0</v>
      </c>
      <c r="AL108" s="177">
        <f t="shared" ca="1" si="160"/>
        <v>0</v>
      </c>
      <c r="AM108" s="177">
        <f t="shared" ca="1" si="161"/>
        <v>0</v>
      </c>
      <c r="AN108" s="177">
        <f t="shared" ca="1" si="162"/>
        <v>0</v>
      </c>
      <c r="AO108" s="177">
        <f t="shared" ca="1" si="163"/>
        <v>0</v>
      </c>
      <c r="AP108" s="177">
        <f t="shared" ca="1" si="164"/>
        <v>0</v>
      </c>
      <c r="AQ108" s="177">
        <f t="shared" ca="1" si="165"/>
        <v>0</v>
      </c>
      <c r="AR108" s="177">
        <f t="shared" ca="1" si="166"/>
        <v>600</v>
      </c>
      <c r="AS108" s="176">
        <f t="shared" ca="1" si="167"/>
        <v>0</v>
      </c>
      <c r="AT108" s="176">
        <f t="shared" ca="1" si="168"/>
        <v>0</v>
      </c>
      <c r="AU108" s="176">
        <f t="shared" ca="1" si="169"/>
        <v>0</v>
      </c>
      <c r="AV108" s="176">
        <f t="shared" ca="1" si="170"/>
        <v>0</v>
      </c>
      <c r="AW108" s="176">
        <f t="shared" ca="1" si="171"/>
        <v>0</v>
      </c>
      <c r="AX108" s="176">
        <f t="shared" ca="1" si="172"/>
        <v>0</v>
      </c>
      <c r="AY108" s="176">
        <f t="shared" ca="1" si="173"/>
        <v>0</v>
      </c>
      <c r="AZ108" s="176">
        <f t="shared" ca="1" si="174"/>
        <v>0</v>
      </c>
      <c r="BA108" s="176">
        <f t="shared" ca="1" si="175"/>
        <v>0</v>
      </c>
      <c r="BB108" s="176">
        <f t="shared" ca="1" si="131"/>
        <v>0</v>
      </c>
      <c r="BC108" s="176">
        <f t="shared" ca="1" si="176"/>
        <v>0</v>
      </c>
    </row>
    <row r="109" spans="1:55">
      <c r="A109" s="1">
        <f t="shared" ca="1" si="137"/>
        <v>0</v>
      </c>
      <c r="B109" s="1" t="s">
        <v>168</v>
      </c>
      <c r="C109" s="1" t="str">
        <f t="shared" ca="1" si="138"/>
        <v/>
      </c>
      <c r="D109" s="1" t="str">
        <f t="shared" ca="1" si="139"/>
        <v/>
      </c>
      <c r="E109" s="173" t="str" cm="1">
        <f t="array" aca="1" ref="E109" ca="1">_xlfn.IFS(OR(ISBLANK(StartDateMonth),ISBLANK(StartDateYear)),"",E108&gt;=DATEVALUE(CompletionMonth&amp;CompletionYear)+1,"",TRUE,EDATE(E108,1))</f>
        <v/>
      </c>
      <c r="F109" s="176">
        <f t="shared" ca="1" si="177"/>
        <v>0</v>
      </c>
      <c r="G109" s="176">
        <f t="shared" ca="1" si="177"/>
        <v>0</v>
      </c>
      <c r="H109" s="176">
        <f t="shared" ca="1" si="177"/>
        <v>0</v>
      </c>
      <c r="I109" s="176">
        <f t="shared" ca="1" si="177"/>
        <v>0</v>
      </c>
      <c r="J109" s="176">
        <f t="shared" ca="1" si="177"/>
        <v>0</v>
      </c>
      <c r="K109" s="176">
        <f t="shared" ca="1" si="177"/>
        <v>0</v>
      </c>
      <c r="L109" s="176">
        <f t="shared" ca="1" si="177"/>
        <v>0</v>
      </c>
      <c r="M109" s="176">
        <f t="shared" ca="1" si="177"/>
        <v>0</v>
      </c>
      <c r="N109" s="176">
        <f t="shared" ca="1" si="177"/>
        <v>0</v>
      </c>
      <c r="O109" s="176">
        <f t="shared" ca="1" si="177"/>
        <v>0</v>
      </c>
      <c r="P109" s="176">
        <f t="shared" ca="1" si="140"/>
        <v>0</v>
      </c>
      <c r="Q109" s="176">
        <f t="shared" ca="1" si="141"/>
        <v>0</v>
      </c>
      <c r="R109" s="176">
        <f t="shared" ca="1" si="142"/>
        <v>0</v>
      </c>
      <c r="S109" s="176">
        <f t="shared" ca="1" si="143"/>
        <v>0</v>
      </c>
      <c r="T109" s="176">
        <f t="shared" ca="1" si="144"/>
        <v>0</v>
      </c>
      <c r="U109" s="176">
        <f t="shared" ca="1" si="145"/>
        <v>0</v>
      </c>
      <c r="V109" s="176">
        <f t="shared" ca="1" si="146"/>
        <v>0</v>
      </c>
      <c r="W109" s="177">
        <f t="shared" ca="1" si="147"/>
        <v>600</v>
      </c>
      <c r="X109" s="177">
        <f t="shared" ca="1" si="148"/>
        <v>0</v>
      </c>
      <c r="Y109" s="177">
        <f t="shared" ca="1" si="149"/>
        <v>0</v>
      </c>
      <c r="Z109" s="177">
        <f t="shared" ca="1" si="150"/>
        <v>0</v>
      </c>
      <c r="AA109" s="177">
        <f t="shared" ca="1" si="151"/>
        <v>0</v>
      </c>
      <c r="AB109" s="177">
        <f t="shared" ca="1" si="152"/>
        <v>0</v>
      </c>
      <c r="AC109" s="177">
        <f t="shared" ca="1" si="153"/>
        <v>0</v>
      </c>
      <c r="AD109" s="177">
        <f t="shared" ca="1" si="154"/>
        <v>0</v>
      </c>
      <c r="AE109" s="177">
        <f t="shared" ca="1" si="155"/>
        <v>0</v>
      </c>
      <c r="AF109" s="177">
        <f t="shared" ca="1" si="156"/>
        <v>0</v>
      </c>
      <c r="AG109" s="177">
        <f t="shared" ca="1" si="178"/>
        <v>600</v>
      </c>
      <c r="AH109" s="177">
        <f t="shared" ca="1" si="178"/>
        <v>600</v>
      </c>
      <c r="AI109" s="177">
        <f t="shared" ca="1" si="157"/>
        <v>0</v>
      </c>
      <c r="AJ109" s="177">
        <f t="shared" ca="1" si="158"/>
        <v>0</v>
      </c>
      <c r="AK109" s="177">
        <f t="shared" ca="1" si="159"/>
        <v>0</v>
      </c>
      <c r="AL109" s="177">
        <f t="shared" ca="1" si="160"/>
        <v>0</v>
      </c>
      <c r="AM109" s="177">
        <f t="shared" ca="1" si="161"/>
        <v>0</v>
      </c>
      <c r="AN109" s="177">
        <f t="shared" ca="1" si="162"/>
        <v>0</v>
      </c>
      <c r="AO109" s="177">
        <f t="shared" ca="1" si="163"/>
        <v>0</v>
      </c>
      <c r="AP109" s="177">
        <f t="shared" ca="1" si="164"/>
        <v>0</v>
      </c>
      <c r="AQ109" s="177">
        <f t="shared" ca="1" si="165"/>
        <v>0</v>
      </c>
      <c r="AR109" s="177">
        <f t="shared" ca="1" si="166"/>
        <v>600</v>
      </c>
      <c r="AS109" s="176">
        <f t="shared" ca="1" si="167"/>
        <v>0</v>
      </c>
      <c r="AT109" s="176">
        <f t="shared" ca="1" si="168"/>
        <v>0</v>
      </c>
      <c r="AU109" s="176">
        <f t="shared" ca="1" si="169"/>
        <v>0</v>
      </c>
      <c r="AV109" s="176">
        <f t="shared" ca="1" si="170"/>
        <v>0</v>
      </c>
      <c r="AW109" s="176">
        <f t="shared" ca="1" si="171"/>
        <v>0</v>
      </c>
      <c r="AX109" s="176">
        <f t="shared" ca="1" si="172"/>
        <v>0</v>
      </c>
      <c r="AY109" s="176">
        <f t="shared" ca="1" si="173"/>
        <v>0</v>
      </c>
      <c r="AZ109" s="176">
        <f t="shared" ca="1" si="174"/>
        <v>0</v>
      </c>
      <c r="BA109" s="176">
        <f t="shared" ca="1" si="175"/>
        <v>0</v>
      </c>
      <c r="BB109" s="176">
        <f t="shared" ca="1" si="131"/>
        <v>0</v>
      </c>
      <c r="BC109" s="176">
        <f t="shared" ca="1" si="176"/>
        <v>0</v>
      </c>
    </row>
    <row r="110" spans="1:55">
      <c r="A110" s="1">
        <f t="shared" ca="1" si="137"/>
        <v>0</v>
      </c>
      <c r="B110" s="1" t="s">
        <v>169</v>
      </c>
      <c r="C110" s="1" t="str">
        <f t="shared" ca="1" si="138"/>
        <v/>
      </c>
      <c r="D110" s="1" t="str">
        <f t="shared" ca="1" si="139"/>
        <v/>
      </c>
      <c r="E110" s="173" t="str" cm="1">
        <f t="array" aca="1" ref="E110" ca="1">_xlfn.IFS(OR(ISBLANK(StartDateMonth),ISBLANK(StartDateYear)),"",E109&gt;=DATEVALUE(CompletionMonth&amp;CompletionYear)+1,"",TRUE,EDATE(E109,1))</f>
        <v/>
      </c>
      <c r="F110" s="176">
        <f t="shared" ca="1" si="177"/>
        <v>0</v>
      </c>
      <c r="G110" s="176">
        <f t="shared" ca="1" si="177"/>
        <v>0</v>
      </c>
      <c r="H110" s="176">
        <f t="shared" ca="1" si="177"/>
        <v>0</v>
      </c>
      <c r="I110" s="176">
        <f t="shared" ca="1" si="177"/>
        <v>0</v>
      </c>
      <c r="J110" s="176">
        <f t="shared" ca="1" si="177"/>
        <v>0</v>
      </c>
      <c r="K110" s="176">
        <f t="shared" ca="1" si="177"/>
        <v>0</v>
      </c>
      <c r="L110" s="176">
        <f t="shared" ca="1" si="177"/>
        <v>0</v>
      </c>
      <c r="M110" s="176">
        <f t="shared" ca="1" si="177"/>
        <v>0</v>
      </c>
      <c r="N110" s="176">
        <f t="shared" ca="1" si="177"/>
        <v>0</v>
      </c>
      <c r="O110" s="176">
        <f t="shared" ca="1" si="177"/>
        <v>0</v>
      </c>
      <c r="P110" s="176">
        <f t="shared" ca="1" si="140"/>
        <v>0</v>
      </c>
      <c r="Q110" s="176">
        <f t="shared" ca="1" si="141"/>
        <v>0</v>
      </c>
      <c r="R110" s="176">
        <f t="shared" ca="1" si="142"/>
        <v>0</v>
      </c>
      <c r="S110" s="176">
        <f t="shared" ca="1" si="143"/>
        <v>0</v>
      </c>
      <c r="T110" s="176">
        <f t="shared" ca="1" si="144"/>
        <v>0</v>
      </c>
      <c r="U110" s="176">
        <f t="shared" ca="1" si="145"/>
        <v>0</v>
      </c>
      <c r="V110" s="176">
        <f t="shared" ca="1" si="146"/>
        <v>0</v>
      </c>
      <c r="W110" s="177">
        <f t="shared" ca="1" si="147"/>
        <v>600</v>
      </c>
      <c r="X110" s="177">
        <f t="shared" ca="1" si="148"/>
        <v>0</v>
      </c>
      <c r="Y110" s="177">
        <f t="shared" ca="1" si="149"/>
        <v>0</v>
      </c>
      <c r="Z110" s="177">
        <f t="shared" ca="1" si="150"/>
        <v>0</v>
      </c>
      <c r="AA110" s="177">
        <f t="shared" ca="1" si="151"/>
        <v>0</v>
      </c>
      <c r="AB110" s="177">
        <f t="shared" ca="1" si="152"/>
        <v>0</v>
      </c>
      <c r="AC110" s="177">
        <f t="shared" ca="1" si="153"/>
        <v>0</v>
      </c>
      <c r="AD110" s="177">
        <f t="shared" ca="1" si="154"/>
        <v>0</v>
      </c>
      <c r="AE110" s="177">
        <f t="shared" ca="1" si="155"/>
        <v>0</v>
      </c>
      <c r="AF110" s="177">
        <f t="shared" ca="1" si="156"/>
        <v>0</v>
      </c>
      <c r="AG110" s="177">
        <f t="shared" ca="1" si="178"/>
        <v>600</v>
      </c>
      <c r="AH110" s="177">
        <f t="shared" ca="1" si="178"/>
        <v>600</v>
      </c>
      <c r="AI110" s="177">
        <f t="shared" ca="1" si="157"/>
        <v>0</v>
      </c>
      <c r="AJ110" s="177">
        <f t="shared" ca="1" si="158"/>
        <v>0</v>
      </c>
      <c r="AK110" s="177">
        <f t="shared" ca="1" si="159"/>
        <v>0</v>
      </c>
      <c r="AL110" s="177">
        <f t="shared" ca="1" si="160"/>
        <v>0</v>
      </c>
      <c r="AM110" s="177">
        <f t="shared" ca="1" si="161"/>
        <v>0</v>
      </c>
      <c r="AN110" s="177">
        <f t="shared" ca="1" si="162"/>
        <v>0</v>
      </c>
      <c r="AO110" s="177">
        <f t="shared" ca="1" si="163"/>
        <v>0</v>
      </c>
      <c r="AP110" s="177">
        <f t="shared" ca="1" si="164"/>
        <v>0</v>
      </c>
      <c r="AQ110" s="177">
        <f t="shared" ca="1" si="165"/>
        <v>0</v>
      </c>
      <c r="AR110" s="177">
        <f t="shared" ca="1" si="166"/>
        <v>600</v>
      </c>
      <c r="AS110" s="176">
        <f t="shared" ca="1" si="167"/>
        <v>0</v>
      </c>
      <c r="AT110" s="176">
        <f t="shared" ca="1" si="168"/>
        <v>0</v>
      </c>
      <c r="AU110" s="176">
        <f t="shared" ca="1" si="169"/>
        <v>0</v>
      </c>
      <c r="AV110" s="176">
        <f t="shared" ca="1" si="170"/>
        <v>0</v>
      </c>
      <c r="AW110" s="176">
        <f t="shared" ca="1" si="171"/>
        <v>0</v>
      </c>
      <c r="AX110" s="176">
        <f t="shared" ca="1" si="172"/>
        <v>0</v>
      </c>
      <c r="AY110" s="176">
        <f t="shared" ca="1" si="173"/>
        <v>0</v>
      </c>
      <c r="AZ110" s="176">
        <f t="shared" ca="1" si="174"/>
        <v>0</v>
      </c>
      <c r="BA110" s="176">
        <f t="shared" ca="1" si="175"/>
        <v>0</v>
      </c>
      <c r="BB110" s="176">
        <f t="shared" ca="1" si="131"/>
        <v>0</v>
      </c>
      <c r="BC110" s="176">
        <f t="shared" ca="1" si="176"/>
        <v>0</v>
      </c>
    </row>
    <row r="111" spans="1:55">
      <c r="A111" s="1">
        <f t="shared" ca="1" si="137"/>
        <v>0</v>
      </c>
      <c r="B111" s="1" t="s">
        <v>170</v>
      </c>
      <c r="C111" s="1" t="str">
        <f t="shared" ca="1" si="138"/>
        <v/>
      </c>
      <c r="D111" s="1" t="str">
        <f t="shared" ca="1" si="139"/>
        <v/>
      </c>
      <c r="E111" s="173" t="str" cm="1">
        <f t="array" aca="1" ref="E111" ca="1">_xlfn.IFS(OR(ISBLANK(StartDateMonth),ISBLANK(StartDateYear)),"",E110&gt;=DATEVALUE(CompletionMonth&amp;CompletionYear)+1,"",TRUE,EDATE(E110,1))</f>
        <v/>
      </c>
      <c r="F111" s="176">
        <f t="shared" ca="1" si="177"/>
        <v>0</v>
      </c>
      <c r="G111" s="176">
        <f t="shared" ca="1" si="177"/>
        <v>0</v>
      </c>
      <c r="H111" s="176">
        <f t="shared" ca="1" si="177"/>
        <v>0</v>
      </c>
      <c r="I111" s="176">
        <f t="shared" ca="1" si="177"/>
        <v>0</v>
      </c>
      <c r="J111" s="176">
        <f t="shared" ca="1" si="177"/>
        <v>0</v>
      </c>
      <c r="K111" s="176">
        <f t="shared" ca="1" si="177"/>
        <v>0</v>
      </c>
      <c r="L111" s="176">
        <f t="shared" ca="1" si="177"/>
        <v>0</v>
      </c>
      <c r="M111" s="176">
        <f t="shared" ca="1" si="177"/>
        <v>0</v>
      </c>
      <c r="N111" s="176">
        <f t="shared" ca="1" si="177"/>
        <v>0</v>
      </c>
      <c r="O111" s="176">
        <f t="shared" ca="1" si="177"/>
        <v>0</v>
      </c>
      <c r="P111" s="176">
        <f t="shared" ca="1" si="140"/>
        <v>0</v>
      </c>
      <c r="Q111" s="176">
        <f t="shared" ca="1" si="141"/>
        <v>0</v>
      </c>
      <c r="R111" s="176">
        <f t="shared" ca="1" si="142"/>
        <v>0</v>
      </c>
      <c r="S111" s="176">
        <f t="shared" ca="1" si="143"/>
        <v>0</v>
      </c>
      <c r="T111" s="176">
        <f t="shared" ca="1" si="144"/>
        <v>0</v>
      </c>
      <c r="U111" s="176">
        <f t="shared" ca="1" si="145"/>
        <v>0</v>
      </c>
      <c r="V111" s="176">
        <f t="shared" ca="1" si="146"/>
        <v>0</v>
      </c>
      <c r="W111" s="177">
        <f t="shared" ca="1" si="147"/>
        <v>600</v>
      </c>
      <c r="X111" s="177">
        <f t="shared" ca="1" si="148"/>
        <v>0</v>
      </c>
      <c r="Y111" s="177">
        <f t="shared" ca="1" si="149"/>
        <v>0</v>
      </c>
      <c r="Z111" s="177">
        <f t="shared" ca="1" si="150"/>
        <v>0</v>
      </c>
      <c r="AA111" s="177">
        <f t="shared" ca="1" si="151"/>
        <v>0</v>
      </c>
      <c r="AB111" s="177">
        <f t="shared" ca="1" si="152"/>
        <v>0</v>
      </c>
      <c r="AC111" s="177">
        <f t="shared" ca="1" si="153"/>
        <v>0</v>
      </c>
      <c r="AD111" s="177">
        <f t="shared" ca="1" si="154"/>
        <v>0</v>
      </c>
      <c r="AE111" s="177">
        <f t="shared" ca="1" si="155"/>
        <v>0</v>
      </c>
      <c r="AF111" s="177">
        <f t="shared" ca="1" si="156"/>
        <v>0</v>
      </c>
      <c r="AG111" s="177">
        <f t="shared" ca="1" si="178"/>
        <v>600</v>
      </c>
      <c r="AH111" s="177">
        <f t="shared" ca="1" si="178"/>
        <v>600</v>
      </c>
      <c r="AI111" s="177">
        <f t="shared" ca="1" si="157"/>
        <v>0</v>
      </c>
      <c r="AJ111" s="177">
        <f t="shared" ca="1" si="158"/>
        <v>0</v>
      </c>
      <c r="AK111" s="177">
        <f t="shared" ca="1" si="159"/>
        <v>0</v>
      </c>
      <c r="AL111" s="177">
        <f t="shared" ca="1" si="160"/>
        <v>0</v>
      </c>
      <c r="AM111" s="177">
        <f t="shared" ca="1" si="161"/>
        <v>0</v>
      </c>
      <c r="AN111" s="177">
        <f t="shared" ca="1" si="162"/>
        <v>0</v>
      </c>
      <c r="AO111" s="177">
        <f t="shared" ca="1" si="163"/>
        <v>0</v>
      </c>
      <c r="AP111" s="177">
        <f t="shared" ca="1" si="164"/>
        <v>0</v>
      </c>
      <c r="AQ111" s="177">
        <f t="shared" ca="1" si="165"/>
        <v>0</v>
      </c>
      <c r="AR111" s="177">
        <f t="shared" ca="1" si="166"/>
        <v>600</v>
      </c>
      <c r="AS111" s="176">
        <f t="shared" ca="1" si="167"/>
        <v>0</v>
      </c>
      <c r="AT111" s="176">
        <f t="shared" ca="1" si="168"/>
        <v>0</v>
      </c>
      <c r="AU111" s="176">
        <f t="shared" ca="1" si="169"/>
        <v>0</v>
      </c>
      <c r="AV111" s="176">
        <f t="shared" ca="1" si="170"/>
        <v>0</v>
      </c>
      <c r="AW111" s="176">
        <f t="shared" ca="1" si="171"/>
        <v>0</v>
      </c>
      <c r="AX111" s="176">
        <f t="shared" ca="1" si="172"/>
        <v>0</v>
      </c>
      <c r="AY111" s="176">
        <f t="shared" ca="1" si="173"/>
        <v>0</v>
      </c>
      <c r="AZ111" s="176">
        <f t="shared" ca="1" si="174"/>
        <v>0</v>
      </c>
      <c r="BA111" s="176">
        <f t="shared" ca="1" si="175"/>
        <v>0</v>
      </c>
      <c r="BB111" s="176">
        <f t="shared" ca="1" si="131"/>
        <v>0</v>
      </c>
      <c r="BC111" s="176">
        <f t="shared" ca="1" si="176"/>
        <v>0</v>
      </c>
    </row>
    <row r="112" spans="1:55">
      <c r="A112" s="1">
        <f t="shared" ca="1" si="137"/>
        <v>0</v>
      </c>
      <c r="B112" s="1" t="s">
        <v>171</v>
      </c>
      <c r="C112" s="1" t="str">
        <f t="shared" ca="1" si="138"/>
        <v/>
      </c>
      <c r="D112" s="1" t="str">
        <f t="shared" ca="1" si="139"/>
        <v/>
      </c>
      <c r="E112" s="173" t="str" cm="1">
        <f t="array" aca="1" ref="E112" ca="1">_xlfn.IFS(OR(ISBLANK(StartDateMonth),ISBLANK(StartDateYear)),"",E111&gt;=DATEVALUE(CompletionMonth&amp;CompletionYear)+1,"",TRUE,EDATE(E111,1))</f>
        <v/>
      </c>
      <c r="F112" s="176">
        <f t="shared" ca="1" si="177"/>
        <v>0</v>
      </c>
      <c r="G112" s="176">
        <f t="shared" ca="1" si="177"/>
        <v>0</v>
      </c>
      <c r="H112" s="176">
        <f t="shared" ca="1" si="177"/>
        <v>0</v>
      </c>
      <c r="I112" s="176">
        <f t="shared" ca="1" si="177"/>
        <v>0</v>
      </c>
      <c r="J112" s="176">
        <f t="shared" ca="1" si="177"/>
        <v>0</v>
      </c>
      <c r="K112" s="176">
        <f t="shared" ca="1" si="177"/>
        <v>0</v>
      </c>
      <c r="L112" s="176">
        <f t="shared" ca="1" si="177"/>
        <v>0</v>
      </c>
      <c r="M112" s="176">
        <f t="shared" ca="1" si="177"/>
        <v>0</v>
      </c>
      <c r="N112" s="176">
        <f t="shared" ca="1" si="177"/>
        <v>0</v>
      </c>
      <c r="O112" s="176">
        <f t="shared" ca="1" si="177"/>
        <v>0</v>
      </c>
      <c r="P112" s="176">
        <f t="shared" ca="1" si="140"/>
        <v>0</v>
      </c>
      <c r="Q112" s="176">
        <f t="shared" ca="1" si="141"/>
        <v>0</v>
      </c>
      <c r="R112" s="176">
        <f t="shared" ca="1" si="142"/>
        <v>0</v>
      </c>
      <c r="S112" s="176">
        <f t="shared" ca="1" si="143"/>
        <v>0</v>
      </c>
      <c r="T112" s="176">
        <f t="shared" ca="1" si="144"/>
        <v>0</v>
      </c>
      <c r="U112" s="176">
        <f t="shared" ca="1" si="145"/>
        <v>0</v>
      </c>
      <c r="V112" s="176">
        <f t="shared" ca="1" si="146"/>
        <v>0</v>
      </c>
      <c r="W112" s="177">
        <f t="shared" ca="1" si="147"/>
        <v>600</v>
      </c>
      <c r="X112" s="177">
        <f t="shared" ca="1" si="148"/>
        <v>0</v>
      </c>
      <c r="Y112" s="177">
        <f t="shared" ca="1" si="149"/>
        <v>0</v>
      </c>
      <c r="Z112" s="177">
        <f t="shared" ca="1" si="150"/>
        <v>0</v>
      </c>
      <c r="AA112" s="177">
        <f t="shared" ca="1" si="151"/>
        <v>0</v>
      </c>
      <c r="AB112" s="177">
        <f t="shared" ca="1" si="152"/>
        <v>0</v>
      </c>
      <c r="AC112" s="177">
        <f t="shared" ca="1" si="153"/>
        <v>0</v>
      </c>
      <c r="AD112" s="177">
        <f t="shared" ca="1" si="154"/>
        <v>0</v>
      </c>
      <c r="AE112" s="177">
        <f t="shared" ca="1" si="155"/>
        <v>0</v>
      </c>
      <c r="AF112" s="177">
        <f t="shared" ca="1" si="156"/>
        <v>0</v>
      </c>
      <c r="AG112" s="177">
        <f t="shared" ca="1" si="178"/>
        <v>600</v>
      </c>
      <c r="AH112" s="177">
        <f t="shared" ca="1" si="178"/>
        <v>600</v>
      </c>
      <c r="AI112" s="177">
        <f t="shared" ca="1" si="157"/>
        <v>0</v>
      </c>
      <c r="AJ112" s="177">
        <f t="shared" ca="1" si="158"/>
        <v>0</v>
      </c>
      <c r="AK112" s="177">
        <f t="shared" ca="1" si="159"/>
        <v>0</v>
      </c>
      <c r="AL112" s="177">
        <f t="shared" ca="1" si="160"/>
        <v>0</v>
      </c>
      <c r="AM112" s="177">
        <f t="shared" ca="1" si="161"/>
        <v>0</v>
      </c>
      <c r="AN112" s="177">
        <f t="shared" ca="1" si="162"/>
        <v>0</v>
      </c>
      <c r="AO112" s="177">
        <f t="shared" ca="1" si="163"/>
        <v>0</v>
      </c>
      <c r="AP112" s="177">
        <f t="shared" ca="1" si="164"/>
        <v>0</v>
      </c>
      <c r="AQ112" s="177">
        <f t="shared" ca="1" si="165"/>
        <v>0</v>
      </c>
      <c r="AR112" s="177">
        <f t="shared" ca="1" si="166"/>
        <v>600</v>
      </c>
      <c r="AS112" s="176">
        <f t="shared" ca="1" si="167"/>
        <v>0</v>
      </c>
      <c r="AT112" s="176">
        <f t="shared" ca="1" si="168"/>
        <v>0</v>
      </c>
      <c r="AU112" s="176">
        <f t="shared" ca="1" si="169"/>
        <v>0</v>
      </c>
      <c r="AV112" s="176">
        <f t="shared" ca="1" si="170"/>
        <v>0</v>
      </c>
      <c r="AW112" s="176">
        <f t="shared" ca="1" si="171"/>
        <v>0</v>
      </c>
      <c r="AX112" s="176">
        <f t="shared" ca="1" si="172"/>
        <v>0</v>
      </c>
      <c r="AY112" s="176">
        <f t="shared" ca="1" si="173"/>
        <v>0</v>
      </c>
      <c r="AZ112" s="176">
        <f t="shared" ca="1" si="174"/>
        <v>0</v>
      </c>
      <c r="BA112" s="176">
        <f t="shared" ca="1" si="175"/>
        <v>0</v>
      </c>
      <c r="BB112" s="176">
        <f t="shared" ca="1" si="131"/>
        <v>0</v>
      </c>
      <c r="BC112" s="176">
        <f t="shared" ca="1" si="176"/>
        <v>0</v>
      </c>
    </row>
    <row r="113" spans="1:55">
      <c r="A113" s="1">
        <f t="shared" ca="1" si="137"/>
        <v>0</v>
      </c>
      <c r="B113" s="1" t="s">
        <v>172</v>
      </c>
      <c r="C113" s="1" t="str">
        <f t="shared" ca="1" si="138"/>
        <v/>
      </c>
      <c r="D113" s="1" t="str">
        <f t="shared" ca="1" si="139"/>
        <v/>
      </c>
      <c r="E113" s="173" t="str" cm="1">
        <f t="array" aca="1" ref="E113" ca="1">_xlfn.IFS(OR(ISBLANK(StartDateMonth),ISBLANK(StartDateYear)),"",E112&gt;=DATEVALUE(CompletionMonth&amp;CompletionYear)+1,"",TRUE,EDATE(E112,1))</f>
        <v/>
      </c>
      <c r="F113" s="176">
        <f t="shared" ca="1" si="177"/>
        <v>0</v>
      </c>
      <c r="G113" s="176">
        <f t="shared" ca="1" si="177"/>
        <v>0</v>
      </c>
      <c r="H113" s="176">
        <f t="shared" ca="1" si="177"/>
        <v>0</v>
      </c>
      <c r="I113" s="176">
        <f t="shared" ca="1" si="177"/>
        <v>0</v>
      </c>
      <c r="J113" s="176">
        <f t="shared" ca="1" si="177"/>
        <v>0</v>
      </c>
      <c r="K113" s="176">
        <f t="shared" ca="1" si="177"/>
        <v>0</v>
      </c>
      <c r="L113" s="176">
        <f t="shared" ca="1" si="177"/>
        <v>0</v>
      </c>
      <c r="M113" s="176">
        <f t="shared" ca="1" si="177"/>
        <v>0</v>
      </c>
      <c r="N113" s="176">
        <f t="shared" ca="1" si="177"/>
        <v>0</v>
      </c>
      <c r="O113" s="176">
        <f t="shared" ca="1" si="177"/>
        <v>0</v>
      </c>
      <c r="P113" s="176">
        <f t="shared" ca="1" si="140"/>
        <v>0</v>
      </c>
      <c r="Q113" s="176">
        <f t="shared" ca="1" si="141"/>
        <v>0</v>
      </c>
      <c r="R113" s="176">
        <f t="shared" ca="1" si="142"/>
        <v>0</v>
      </c>
      <c r="S113" s="176">
        <f t="shared" ca="1" si="143"/>
        <v>0</v>
      </c>
      <c r="T113" s="176">
        <f t="shared" ca="1" si="144"/>
        <v>0</v>
      </c>
      <c r="U113" s="176">
        <f t="shared" ca="1" si="145"/>
        <v>0</v>
      </c>
      <c r="V113" s="176">
        <f t="shared" ca="1" si="146"/>
        <v>0</v>
      </c>
      <c r="W113" s="177">
        <f t="shared" ca="1" si="147"/>
        <v>600</v>
      </c>
      <c r="X113" s="177">
        <f t="shared" ca="1" si="148"/>
        <v>0</v>
      </c>
      <c r="Y113" s="177">
        <f t="shared" ca="1" si="149"/>
        <v>0</v>
      </c>
      <c r="Z113" s="177">
        <f t="shared" ca="1" si="150"/>
        <v>0</v>
      </c>
      <c r="AA113" s="177">
        <f t="shared" ca="1" si="151"/>
        <v>0</v>
      </c>
      <c r="AB113" s="177">
        <f t="shared" ca="1" si="152"/>
        <v>0</v>
      </c>
      <c r="AC113" s="177">
        <f t="shared" ca="1" si="153"/>
        <v>0</v>
      </c>
      <c r="AD113" s="177">
        <f t="shared" ca="1" si="154"/>
        <v>0</v>
      </c>
      <c r="AE113" s="177">
        <f t="shared" ca="1" si="155"/>
        <v>0</v>
      </c>
      <c r="AF113" s="177">
        <f t="shared" ca="1" si="156"/>
        <v>0</v>
      </c>
      <c r="AG113" s="177">
        <f t="shared" ca="1" si="178"/>
        <v>600</v>
      </c>
      <c r="AH113" s="177">
        <f t="shared" ca="1" si="178"/>
        <v>600</v>
      </c>
      <c r="AI113" s="177">
        <f t="shared" ca="1" si="157"/>
        <v>0</v>
      </c>
      <c r="AJ113" s="177">
        <f t="shared" ca="1" si="158"/>
        <v>0</v>
      </c>
      <c r="AK113" s="177">
        <f t="shared" ca="1" si="159"/>
        <v>0</v>
      </c>
      <c r="AL113" s="177">
        <f t="shared" ca="1" si="160"/>
        <v>0</v>
      </c>
      <c r="AM113" s="177">
        <f t="shared" ca="1" si="161"/>
        <v>0</v>
      </c>
      <c r="AN113" s="177">
        <f t="shared" ca="1" si="162"/>
        <v>0</v>
      </c>
      <c r="AO113" s="177">
        <f t="shared" ca="1" si="163"/>
        <v>0</v>
      </c>
      <c r="AP113" s="177">
        <f t="shared" ca="1" si="164"/>
        <v>0</v>
      </c>
      <c r="AQ113" s="177">
        <f t="shared" ca="1" si="165"/>
        <v>0</v>
      </c>
      <c r="AR113" s="177">
        <f t="shared" ca="1" si="166"/>
        <v>600</v>
      </c>
      <c r="AS113" s="176">
        <f t="shared" ca="1" si="167"/>
        <v>0</v>
      </c>
      <c r="AT113" s="176">
        <f t="shared" ca="1" si="168"/>
        <v>0</v>
      </c>
      <c r="AU113" s="176">
        <f t="shared" ca="1" si="169"/>
        <v>0</v>
      </c>
      <c r="AV113" s="176">
        <f t="shared" ca="1" si="170"/>
        <v>0</v>
      </c>
      <c r="AW113" s="176">
        <f t="shared" ca="1" si="171"/>
        <v>0</v>
      </c>
      <c r="AX113" s="176">
        <f t="shared" ca="1" si="172"/>
        <v>0</v>
      </c>
      <c r="AY113" s="176">
        <f t="shared" ca="1" si="173"/>
        <v>0</v>
      </c>
      <c r="AZ113" s="176">
        <f t="shared" ca="1" si="174"/>
        <v>0</v>
      </c>
      <c r="BA113" s="176">
        <f t="shared" ca="1" si="175"/>
        <v>0</v>
      </c>
      <c r="BB113" s="176">
        <f t="shared" ca="1" si="131"/>
        <v>0</v>
      </c>
      <c r="BC113" s="176">
        <f t="shared" ca="1" si="176"/>
        <v>0</v>
      </c>
    </row>
    <row r="114" spans="1:55">
      <c r="A114" s="1">
        <f t="shared" ca="1" si="137"/>
        <v>0</v>
      </c>
      <c r="B114" s="1" t="s">
        <v>173</v>
      </c>
      <c r="C114" s="1" t="str">
        <f t="shared" ca="1" si="138"/>
        <v/>
      </c>
      <c r="D114" s="1" t="str">
        <f t="shared" ca="1" si="139"/>
        <v/>
      </c>
      <c r="E114" s="173" t="str" cm="1">
        <f t="array" aca="1" ref="E114" ca="1">_xlfn.IFS(OR(ISBLANK(StartDateMonth),ISBLANK(StartDateYear)),"",E113&gt;=DATEVALUE(CompletionMonth&amp;CompletionYear)+1,"",TRUE,EDATE(E113,1))</f>
        <v/>
      </c>
      <c r="F114" s="176">
        <f t="shared" ref="F114:O128" ca="1" si="179">IF($A114=1,INDEX(DevelopmentCosts,MATCH(F$3,TotalDevCostsList,0),MATCH($B114,DevelopmentCostTitle,0)),0)</f>
        <v>0</v>
      </c>
      <c r="G114" s="176">
        <f t="shared" ca="1" si="179"/>
        <v>0</v>
      </c>
      <c r="H114" s="176">
        <f t="shared" ca="1" si="179"/>
        <v>0</v>
      </c>
      <c r="I114" s="176">
        <f t="shared" ca="1" si="179"/>
        <v>0</v>
      </c>
      <c r="J114" s="176">
        <f t="shared" ca="1" si="179"/>
        <v>0</v>
      </c>
      <c r="K114" s="176">
        <f t="shared" ca="1" si="179"/>
        <v>0</v>
      </c>
      <c r="L114" s="176">
        <f t="shared" ca="1" si="179"/>
        <v>0</v>
      </c>
      <c r="M114" s="176">
        <f t="shared" ca="1" si="179"/>
        <v>0</v>
      </c>
      <c r="N114" s="176">
        <f t="shared" ca="1" si="179"/>
        <v>0</v>
      </c>
      <c r="O114" s="176">
        <f t="shared" ca="1" si="179"/>
        <v>0</v>
      </c>
      <c r="P114" s="176">
        <f t="shared" ca="1" si="140"/>
        <v>0</v>
      </c>
      <c r="Q114" s="176">
        <f t="shared" ca="1" si="141"/>
        <v>0</v>
      </c>
      <c r="R114" s="176">
        <f t="shared" ca="1" si="142"/>
        <v>0</v>
      </c>
      <c r="S114" s="176">
        <f t="shared" ca="1" si="143"/>
        <v>0</v>
      </c>
      <c r="T114" s="176">
        <f t="shared" ca="1" si="144"/>
        <v>0</v>
      </c>
      <c r="U114" s="176">
        <f t="shared" ca="1" si="145"/>
        <v>0</v>
      </c>
      <c r="V114" s="176">
        <f t="shared" ca="1" si="146"/>
        <v>0</v>
      </c>
      <c r="W114" s="177">
        <f t="shared" ca="1" si="147"/>
        <v>600</v>
      </c>
      <c r="X114" s="177">
        <f t="shared" ca="1" si="148"/>
        <v>0</v>
      </c>
      <c r="Y114" s="177">
        <f t="shared" ca="1" si="149"/>
        <v>0</v>
      </c>
      <c r="Z114" s="177">
        <f t="shared" ca="1" si="150"/>
        <v>0</v>
      </c>
      <c r="AA114" s="177">
        <f t="shared" ca="1" si="151"/>
        <v>0</v>
      </c>
      <c r="AB114" s="177">
        <f t="shared" ca="1" si="152"/>
        <v>0</v>
      </c>
      <c r="AC114" s="177">
        <f t="shared" ca="1" si="153"/>
        <v>0</v>
      </c>
      <c r="AD114" s="177">
        <f t="shared" ca="1" si="154"/>
        <v>0</v>
      </c>
      <c r="AE114" s="177">
        <f t="shared" ca="1" si="155"/>
        <v>0</v>
      </c>
      <c r="AF114" s="177">
        <f t="shared" ca="1" si="156"/>
        <v>0</v>
      </c>
      <c r="AG114" s="177">
        <f t="shared" ca="1" si="178"/>
        <v>600</v>
      </c>
      <c r="AH114" s="177">
        <f t="shared" ca="1" si="178"/>
        <v>600</v>
      </c>
      <c r="AI114" s="177">
        <f t="shared" ca="1" si="157"/>
        <v>0</v>
      </c>
      <c r="AJ114" s="177">
        <f t="shared" ca="1" si="158"/>
        <v>0</v>
      </c>
      <c r="AK114" s="177">
        <f t="shared" ca="1" si="159"/>
        <v>0</v>
      </c>
      <c r="AL114" s="177">
        <f t="shared" ca="1" si="160"/>
        <v>0</v>
      </c>
      <c r="AM114" s="177">
        <f t="shared" ca="1" si="161"/>
        <v>0</v>
      </c>
      <c r="AN114" s="177">
        <f t="shared" ca="1" si="162"/>
        <v>0</v>
      </c>
      <c r="AO114" s="177">
        <f t="shared" ca="1" si="163"/>
        <v>0</v>
      </c>
      <c r="AP114" s="177">
        <f t="shared" ca="1" si="164"/>
        <v>0</v>
      </c>
      <c r="AQ114" s="177">
        <f t="shared" ca="1" si="165"/>
        <v>0</v>
      </c>
      <c r="AR114" s="177">
        <f t="shared" ca="1" si="166"/>
        <v>600</v>
      </c>
      <c r="AS114" s="176">
        <f t="shared" ca="1" si="167"/>
        <v>0</v>
      </c>
      <c r="AT114" s="176">
        <f t="shared" ca="1" si="168"/>
        <v>0</v>
      </c>
      <c r="AU114" s="176">
        <f t="shared" ca="1" si="169"/>
        <v>0</v>
      </c>
      <c r="AV114" s="176">
        <f t="shared" ca="1" si="170"/>
        <v>0</v>
      </c>
      <c r="AW114" s="176">
        <f t="shared" ca="1" si="171"/>
        <v>0</v>
      </c>
      <c r="AX114" s="176">
        <f t="shared" ca="1" si="172"/>
        <v>0</v>
      </c>
      <c r="AY114" s="176">
        <f t="shared" ca="1" si="173"/>
        <v>0</v>
      </c>
      <c r="AZ114" s="176">
        <f t="shared" ca="1" si="174"/>
        <v>0</v>
      </c>
      <c r="BA114" s="176">
        <f t="shared" ca="1" si="175"/>
        <v>0</v>
      </c>
      <c r="BB114" s="176">
        <f t="shared" ca="1" si="131"/>
        <v>0</v>
      </c>
      <c r="BC114" s="176">
        <f t="shared" ca="1" si="176"/>
        <v>0</v>
      </c>
    </row>
    <row r="115" spans="1:55">
      <c r="A115" s="1">
        <f t="shared" ca="1" si="137"/>
        <v>0</v>
      </c>
      <c r="B115" s="1" t="s">
        <v>174</v>
      </c>
      <c r="C115" s="1" t="str">
        <f t="shared" ca="1" si="138"/>
        <v/>
      </c>
      <c r="D115" s="1" t="str">
        <f t="shared" ca="1" si="139"/>
        <v/>
      </c>
      <c r="E115" s="173" t="str" cm="1">
        <f t="array" aca="1" ref="E115" ca="1">_xlfn.IFS(OR(ISBLANK(StartDateMonth),ISBLANK(StartDateYear)),"",E114&gt;=DATEVALUE(CompletionMonth&amp;CompletionYear)+1,"",TRUE,EDATE(E114,1))</f>
        <v/>
      </c>
      <c r="F115" s="176">
        <f t="shared" ca="1" si="179"/>
        <v>0</v>
      </c>
      <c r="G115" s="176">
        <f t="shared" ca="1" si="179"/>
        <v>0</v>
      </c>
      <c r="H115" s="176">
        <f t="shared" ca="1" si="179"/>
        <v>0</v>
      </c>
      <c r="I115" s="176">
        <f t="shared" ca="1" si="179"/>
        <v>0</v>
      </c>
      <c r="J115" s="176">
        <f t="shared" ca="1" si="179"/>
        <v>0</v>
      </c>
      <c r="K115" s="176">
        <f t="shared" ca="1" si="179"/>
        <v>0</v>
      </c>
      <c r="L115" s="176">
        <f t="shared" ca="1" si="179"/>
        <v>0</v>
      </c>
      <c r="M115" s="176">
        <f t="shared" ca="1" si="179"/>
        <v>0</v>
      </c>
      <c r="N115" s="176">
        <f t="shared" ca="1" si="179"/>
        <v>0</v>
      </c>
      <c r="O115" s="176">
        <f t="shared" ca="1" si="179"/>
        <v>0</v>
      </c>
      <c r="P115" s="176">
        <f t="shared" ca="1" si="140"/>
        <v>0</v>
      </c>
      <c r="Q115" s="176">
        <f t="shared" ca="1" si="141"/>
        <v>0</v>
      </c>
      <c r="R115" s="176">
        <f t="shared" ca="1" si="142"/>
        <v>0</v>
      </c>
      <c r="S115" s="176">
        <f t="shared" ca="1" si="143"/>
        <v>0</v>
      </c>
      <c r="T115" s="176">
        <f t="shared" ca="1" si="144"/>
        <v>0</v>
      </c>
      <c r="U115" s="176">
        <f t="shared" ca="1" si="145"/>
        <v>0</v>
      </c>
      <c r="V115" s="176">
        <f t="shared" ca="1" si="146"/>
        <v>0</v>
      </c>
      <c r="W115" s="177">
        <f t="shared" ca="1" si="147"/>
        <v>600</v>
      </c>
      <c r="X115" s="177">
        <f t="shared" ca="1" si="148"/>
        <v>0</v>
      </c>
      <c r="Y115" s="177">
        <f t="shared" ca="1" si="149"/>
        <v>0</v>
      </c>
      <c r="Z115" s="177">
        <f t="shared" ca="1" si="150"/>
        <v>0</v>
      </c>
      <c r="AA115" s="177">
        <f t="shared" ca="1" si="151"/>
        <v>0</v>
      </c>
      <c r="AB115" s="177">
        <f t="shared" ca="1" si="152"/>
        <v>0</v>
      </c>
      <c r="AC115" s="177">
        <f t="shared" ca="1" si="153"/>
        <v>0</v>
      </c>
      <c r="AD115" s="177">
        <f t="shared" ca="1" si="154"/>
        <v>0</v>
      </c>
      <c r="AE115" s="177">
        <f t="shared" ca="1" si="155"/>
        <v>0</v>
      </c>
      <c r="AF115" s="177">
        <f t="shared" ca="1" si="156"/>
        <v>0</v>
      </c>
      <c r="AG115" s="177">
        <f t="shared" ca="1" si="178"/>
        <v>600</v>
      </c>
      <c r="AH115" s="177">
        <f t="shared" ca="1" si="178"/>
        <v>600</v>
      </c>
      <c r="AI115" s="177">
        <f t="shared" ca="1" si="157"/>
        <v>0</v>
      </c>
      <c r="AJ115" s="177">
        <f t="shared" ca="1" si="158"/>
        <v>0</v>
      </c>
      <c r="AK115" s="177">
        <f t="shared" ca="1" si="159"/>
        <v>0</v>
      </c>
      <c r="AL115" s="177">
        <f t="shared" ca="1" si="160"/>
        <v>0</v>
      </c>
      <c r="AM115" s="177">
        <f t="shared" ca="1" si="161"/>
        <v>0</v>
      </c>
      <c r="AN115" s="177">
        <f t="shared" ca="1" si="162"/>
        <v>0</v>
      </c>
      <c r="AO115" s="177">
        <f t="shared" ca="1" si="163"/>
        <v>0</v>
      </c>
      <c r="AP115" s="177">
        <f t="shared" ca="1" si="164"/>
        <v>0</v>
      </c>
      <c r="AQ115" s="177">
        <f t="shared" ca="1" si="165"/>
        <v>0</v>
      </c>
      <c r="AR115" s="177">
        <f t="shared" ca="1" si="166"/>
        <v>600</v>
      </c>
      <c r="AS115" s="176">
        <f t="shared" ca="1" si="167"/>
        <v>0</v>
      </c>
      <c r="AT115" s="176">
        <f t="shared" ca="1" si="168"/>
        <v>0</v>
      </c>
      <c r="AU115" s="176">
        <f t="shared" ca="1" si="169"/>
        <v>0</v>
      </c>
      <c r="AV115" s="176">
        <f t="shared" ca="1" si="170"/>
        <v>0</v>
      </c>
      <c r="AW115" s="176">
        <f t="shared" ca="1" si="171"/>
        <v>0</v>
      </c>
      <c r="AX115" s="176">
        <f t="shared" ca="1" si="172"/>
        <v>0</v>
      </c>
      <c r="AY115" s="176">
        <f t="shared" ca="1" si="173"/>
        <v>0</v>
      </c>
      <c r="AZ115" s="176">
        <f t="shared" ca="1" si="174"/>
        <v>0</v>
      </c>
      <c r="BA115" s="176">
        <f t="shared" ca="1" si="175"/>
        <v>0</v>
      </c>
      <c r="BB115" s="176">
        <f t="shared" ca="1" si="131"/>
        <v>0</v>
      </c>
      <c r="BC115" s="176">
        <f t="shared" ca="1" si="176"/>
        <v>0</v>
      </c>
    </row>
    <row r="116" spans="1:55">
      <c r="A116" s="1">
        <f t="shared" ca="1" si="137"/>
        <v>0</v>
      </c>
      <c r="B116" s="1" t="s">
        <v>175</v>
      </c>
      <c r="C116" s="1" t="str">
        <f t="shared" ca="1" si="138"/>
        <v/>
      </c>
      <c r="D116" s="1" t="str">
        <f t="shared" ca="1" si="139"/>
        <v/>
      </c>
      <c r="E116" s="173" t="str" cm="1">
        <f t="array" aca="1" ref="E116" ca="1">_xlfn.IFS(OR(ISBLANK(StartDateMonth),ISBLANK(StartDateYear)),"",E115&gt;=DATEVALUE(CompletionMonth&amp;CompletionYear)+1,"",TRUE,EDATE(E115,1))</f>
        <v/>
      </c>
      <c r="F116" s="176">
        <f t="shared" ca="1" si="179"/>
        <v>0</v>
      </c>
      <c r="G116" s="176">
        <f t="shared" ca="1" si="179"/>
        <v>0</v>
      </c>
      <c r="H116" s="176">
        <f t="shared" ca="1" si="179"/>
        <v>0</v>
      </c>
      <c r="I116" s="176">
        <f t="shared" ca="1" si="179"/>
        <v>0</v>
      </c>
      <c r="J116" s="176">
        <f t="shared" ca="1" si="179"/>
        <v>0</v>
      </c>
      <c r="K116" s="176">
        <f t="shared" ca="1" si="179"/>
        <v>0</v>
      </c>
      <c r="L116" s="176">
        <f t="shared" ca="1" si="179"/>
        <v>0</v>
      </c>
      <c r="M116" s="176">
        <f t="shared" ca="1" si="179"/>
        <v>0</v>
      </c>
      <c r="N116" s="176">
        <f t="shared" ca="1" si="179"/>
        <v>0</v>
      </c>
      <c r="O116" s="176">
        <f t="shared" ca="1" si="179"/>
        <v>0</v>
      </c>
      <c r="P116" s="176">
        <f t="shared" ca="1" si="140"/>
        <v>0</v>
      </c>
      <c r="Q116" s="176">
        <f t="shared" ca="1" si="141"/>
        <v>0</v>
      </c>
      <c r="R116" s="176">
        <f t="shared" ca="1" si="142"/>
        <v>0</v>
      </c>
      <c r="S116" s="176">
        <f t="shared" ca="1" si="143"/>
        <v>0</v>
      </c>
      <c r="T116" s="176">
        <f t="shared" ca="1" si="144"/>
        <v>0</v>
      </c>
      <c r="U116" s="176">
        <f t="shared" ca="1" si="145"/>
        <v>0</v>
      </c>
      <c r="V116" s="176">
        <f t="shared" ca="1" si="146"/>
        <v>0</v>
      </c>
      <c r="W116" s="177">
        <f t="shared" ca="1" si="147"/>
        <v>600</v>
      </c>
      <c r="X116" s="177">
        <f t="shared" ca="1" si="148"/>
        <v>0</v>
      </c>
      <c r="Y116" s="177">
        <f t="shared" ca="1" si="149"/>
        <v>0</v>
      </c>
      <c r="Z116" s="177">
        <f t="shared" ca="1" si="150"/>
        <v>0</v>
      </c>
      <c r="AA116" s="177">
        <f t="shared" ca="1" si="151"/>
        <v>0</v>
      </c>
      <c r="AB116" s="177">
        <f t="shared" ca="1" si="152"/>
        <v>0</v>
      </c>
      <c r="AC116" s="177">
        <f t="shared" ca="1" si="153"/>
        <v>0</v>
      </c>
      <c r="AD116" s="177">
        <f t="shared" ca="1" si="154"/>
        <v>0</v>
      </c>
      <c r="AE116" s="177">
        <f t="shared" ca="1" si="155"/>
        <v>0</v>
      </c>
      <c r="AF116" s="177">
        <f t="shared" ca="1" si="156"/>
        <v>0</v>
      </c>
      <c r="AG116" s="177">
        <f t="shared" ca="1" si="178"/>
        <v>600</v>
      </c>
      <c r="AH116" s="177">
        <f t="shared" ca="1" si="178"/>
        <v>600</v>
      </c>
      <c r="AI116" s="177">
        <f t="shared" ca="1" si="157"/>
        <v>0</v>
      </c>
      <c r="AJ116" s="177">
        <f t="shared" ca="1" si="158"/>
        <v>0</v>
      </c>
      <c r="AK116" s="177">
        <f t="shared" ca="1" si="159"/>
        <v>0</v>
      </c>
      <c r="AL116" s="177">
        <f t="shared" ca="1" si="160"/>
        <v>0</v>
      </c>
      <c r="AM116" s="177">
        <f t="shared" ca="1" si="161"/>
        <v>0</v>
      </c>
      <c r="AN116" s="177">
        <f t="shared" ca="1" si="162"/>
        <v>0</v>
      </c>
      <c r="AO116" s="177">
        <f t="shared" ca="1" si="163"/>
        <v>0</v>
      </c>
      <c r="AP116" s="177">
        <f t="shared" ca="1" si="164"/>
        <v>0</v>
      </c>
      <c r="AQ116" s="177">
        <f t="shared" ca="1" si="165"/>
        <v>0</v>
      </c>
      <c r="AR116" s="177">
        <f t="shared" ca="1" si="166"/>
        <v>600</v>
      </c>
      <c r="AS116" s="176">
        <f t="shared" ca="1" si="167"/>
        <v>0</v>
      </c>
      <c r="AT116" s="176">
        <f t="shared" ca="1" si="168"/>
        <v>0</v>
      </c>
      <c r="AU116" s="176">
        <f t="shared" ca="1" si="169"/>
        <v>0</v>
      </c>
      <c r="AV116" s="176">
        <f t="shared" ca="1" si="170"/>
        <v>0</v>
      </c>
      <c r="AW116" s="176">
        <f t="shared" ca="1" si="171"/>
        <v>0</v>
      </c>
      <c r="AX116" s="176">
        <f t="shared" ca="1" si="172"/>
        <v>0</v>
      </c>
      <c r="AY116" s="176">
        <f t="shared" ca="1" si="173"/>
        <v>0</v>
      </c>
      <c r="AZ116" s="176">
        <f t="shared" ca="1" si="174"/>
        <v>0</v>
      </c>
      <c r="BA116" s="176">
        <f t="shared" ca="1" si="175"/>
        <v>0</v>
      </c>
      <c r="BB116" s="176">
        <f t="shared" ca="1" si="131"/>
        <v>0</v>
      </c>
      <c r="BC116" s="176">
        <f t="shared" ca="1" si="176"/>
        <v>0</v>
      </c>
    </row>
    <row r="117" spans="1:55">
      <c r="A117" s="1">
        <f t="shared" ca="1" si="137"/>
        <v>0</v>
      </c>
      <c r="B117" s="1" t="s">
        <v>176</v>
      </c>
      <c r="C117" s="1" t="str">
        <f t="shared" ca="1" si="138"/>
        <v/>
      </c>
      <c r="D117" s="1" t="str">
        <f t="shared" ca="1" si="139"/>
        <v/>
      </c>
      <c r="E117" s="173" t="str" cm="1">
        <f t="array" aca="1" ref="E117" ca="1">_xlfn.IFS(OR(ISBLANK(StartDateMonth),ISBLANK(StartDateYear)),"",E116&gt;=DATEVALUE(CompletionMonth&amp;CompletionYear)+1,"",TRUE,EDATE(E116,1))</f>
        <v/>
      </c>
      <c r="F117" s="176">
        <f t="shared" ca="1" si="179"/>
        <v>0</v>
      </c>
      <c r="G117" s="176">
        <f t="shared" ca="1" si="179"/>
        <v>0</v>
      </c>
      <c r="H117" s="176">
        <f t="shared" ca="1" si="179"/>
        <v>0</v>
      </c>
      <c r="I117" s="176">
        <f t="shared" ca="1" si="179"/>
        <v>0</v>
      </c>
      <c r="J117" s="176">
        <f t="shared" ca="1" si="179"/>
        <v>0</v>
      </c>
      <c r="K117" s="176">
        <f t="shared" ca="1" si="179"/>
        <v>0</v>
      </c>
      <c r="L117" s="176">
        <f t="shared" ca="1" si="179"/>
        <v>0</v>
      </c>
      <c r="M117" s="176">
        <f t="shared" ca="1" si="179"/>
        <v>0</v>
      </c>
      <c r="N117" s="176">
        <f t="shared" ca="1" si="179"/>
        <v>0</v>
      </c>
      <c r="O117" s="176">
        <f t="shared" ca="1" si="179"/>
        <v>0</v>
      </c>
      <c r="P117" s="176">
        <f t="shared" ca="1" si="140"/>
        <v>0</v>
      </c>
      <c r="Q117" s="176">
        <f t="shared" ca="1" si="141"/>
        <v>0</v>
      </c>
      <c r="R117" s="176">
        <f t="shared" ca="1" si="142"/>
        <v>0</v>
      </c>
      <c r="S117" s="176">
        <f t="shared" ca="1" si="143"/>
        <v>0</v>
      </c>
      <c r="T117" s="176">
        <f t="shared" ca="1" si="144"/>
        <v>0</v>
      </c>
      <c r="U117" s="176">
        <f t="shared" ca="1" si="145"/>
        <v>0</v>
      </c>
      <c r="V117" s="176">
        <f t="shared" ca="1" si="146"/>
        <v>0</v>
      </c>
      <c r="W117" s="177">
        <f t="shared" ca="1" si="147"/>
        <v>600</v>
      </c>
      <c r="X117" s="177">
        <f t="shared" ca="1" si="148"/>
        <v>0</v>
      </c>
      <c r="Y117" s="177">
        <f t="shared" ca="1" si="149"/>
        <v>0</v>
      </c>
      <c r="Z117" s="177">
        <f t="shared" ca="1" si="150"/>
        <v>0</v>
      </c>
      <c r="AA117" s="177">
        <f t="shared" ca="1" si="151"/>
        <v>0</v>
      </c>
      <c r="AB117" s="177">
        <f t="shared" ca="1" si="152"/>
        <v>0</v>
      </c>
      <c r="AC117" s="177">
        <f t="shared" ca="1" si="153"/>
        <v>0</v>
      </c>
      <c r="AD117" s="177">
        <f t="shared" ca="1" si="154"/>
        <v>0</v>
      </c>
      <c r="AE117" s="177">
        <f t="shared" ca="1" si="155"/>
        <v>0</v>
      </c>
      <c r="AF117" s="177">
        <f t="shared" ca="1" si="156"/>
        <v>0</v>
      </c>
      <c r="AG117" s="177">
        <f t="shared" ca="1" si="178"/>
        <v>600</v>
      </c>
      <c r="AH117" s="177">
        <f t="shared" ca="1" si="178"/>
        <v>600</v>
      </c>
      <c r="AI117" s="177">
        <f t="shared" ca="1" si="157"/>
        <v>0</v>
      </c>
      <c r="AJ117" s="177">
        <f t="shared" ca="1" si="158"/>
        <v>0</v>
      </c>
      <c r="AK117" s="177">
        <f t="shared" ca="1" si="159"/>
        <v>0</v>
      </c>
      <c r="AL117" s="177">
        <f t="shared" ca="1" si="160"/>
        <v>0</v>
      </c>
      <c r="AM117" s="177">
        <f t="shared" ca="1" si="161"/>
        <v>0</v>
      </c>
      <c r="AN117" s="177">
        <f t="shared" ca="1" si="162"/>
        <v>0</v>
      </c>
      <c r="AO117" s="177">
        <f t="shared" ca="1" si="163"/>
        <v>0</v>
      </c>
      <c r="AP117" s="177">
        <f t="shared" ca="1" si="164"/>
        <v>0</v>
      </c>
      <c r="AQ117" s="177">
        <f t="shared" ca="1" si="165"/>
        <v>0</v>
      </c>
      <c r="AR117" s="177">
        <f t="shared" ca="1" si="166"/>
        <v>600</v>
      </c>
      <c r="AS117" s="176">
        <f t="shared" ca="1" si="167"/>
        <v>0</v>
      </c>
      <c r="AT117" s="176">
        <f t="shared" ca="1" si="168"/>
        <v>0</v>
      </c>
      <c r="AU117" s="176">
        <f t="shared" ca="1" si="169"/>
        <v>0</v>
      </c>
      <c r="AV117" s="176">
        <f t="shared" ca="1" si="170"/>
        <v>0</v>
      </c>
      <c r="AW117" s="176">
        <f t="shared" ca="1" si="171"/>
        <v>0</v>
      </c>
      <c r="AX117" s="176">
        <f t="shared" ca="1" si="172"/>
        <v>0</v>
      </c>
      <c r="AY117" s="176">
        <f t="shared" ca="1" si="173"/>
        <v>0</v>
      </c>
      <c r="AZ117" s="176">
        <f t="shared" ca="1" si="174"/>
        <v>0</v>
      </c>
      <c r="BA117" s="176">
        <f t="shared" ca="1" si="175"/>
        <v>0</v>
      </c>
      <c r="BB117" s="176">
        <f t="shared" ca="1" si="131"/>
        <v>0</v>
      </c>
      <c r="BC117" s="176">
        <f t="shared" ca="1" si="176"/>
        <v>0</v>
      </c>
    </row>
    <row r="118" spans="1:55">
      <c r="A118" s="1">
        <f t="shared" ca="1" si="137"/>
        <v>0</v>
      </c>
      <c r="B118" s="1" t="s">
        <v>177</v>
      </c>
      <c r="C118" s="1" t="str">
        <f t="shared" ca="1" si="138"/>
        <v/>
      </c>
      <c r="D118" s="1" t="str">
        <f t="shared" ca="1" si="139"/>
        <v/>
      </c>
      <c r="E118" s="173" t="str" cm="1">
        <f t="array" aca="1" ref="E118" ca="1">_xlfn.IFS(OR(ISBLANK(StartDateMonth),ISBLANK(StartDateYear)),"",E117&gt;=DATEVALUE(CompletionMonth&amp;CompletionYear)+1,"",TRUE,EDATE(E117,1))</f>
        <v/>
      </c>
      <c r="F118" s="176">
        <f t="shared" ca="1" si="179"/>
        <v>0</v>
      </c>
      <c r="G118" s="176">
        <f t="shared" ca="1" si="179"/>
        <v>0</v>
      </c>
      <c r="H118" s="176">
        <f t="shared" ca="1" si="179"/>
        <v>0</v>
      </c>
      <c r="I118" s="176">
        <f t="shared" ca="1" si="179"/>
        <v>0</v>
      </c>
      <c r="J118" s="176">
        <f t="shared" ca="1" si="179"/>
        <v>0</v>
      </c>
      <c r="K118" s="176">
        <f t="shared" ca="1" si="179"/>
        <v>0</v>
      </c>
      <c r="L118" s="176">
        <f t="shared" ca="1" si="179"/>
        <v>0</v>
      </c>
      <c r="M118" s="176">
        <f t="shared" ca="1" si="179"/>
        <v>0</v>
      </c>
      <c r="N118" s="176">
        <f t="shared" ca="1" si="179"/>
        <v>0</v>
      </c>
      <c r="O118" s="176">
        <f t="shared" ca="1" si="179"/>
        <v>0</v>
      </c>
      <c r="P118" s="176">
        <f t="shared" ca="1" si="140"/>
        <v>0</v>
      </c>
      <c r="Q118" s="176">
        <f t="shared" ca="1" si="141"/>
        <v>0</v>
      </c>
      <c r="R118" s="176">
        <f t="shared" ca="1" si="142"/>
        <v>0</v>
      </c>
      <c r="S118" s="176">
        <f t="shared" ca="1" si="143"/>
        <v>0</v>
      </c>
      <c r="T118" s="176">
        <f t="shared" ca="1" si="144"/>
        <v>0</v>
      </c>
      <c r="U118" s="176">
        <f t="shared" ca="1" si="145"/>
        <v>0</v>
      </c>
      <c r="V118" s="176">
        <f t="shared" ca="1" si="146"/>
        <v>0</v>
      </c>
      <c r="W118" s="177">
        <f t="shared" ca="1" si="147"/>
        <v>600</v>
      </c>
      <c r="X118" s="177">
        <f t="shared" ca="1" si="148"/>
        <v>0</v>
      </c>
      <c r="Y118" s="177">
        <f t="shared" ca="1" si="149"/>
        <v>0</v>
      </c>
      <c r="Z118" s="177">
        <f t="shared" ca="1" si="150"/>
        <v>0</v>
      </c>
      <c r="AA118" s="177">
        <f t="shared" ca="1" si="151"/>
        <v>0</v>
      </c>
      <c r="AB118" s="177">
        <f t="shared" ca="1" si="152"/>
        <v>0</v>
      </c>
      <c r="AC118" s="177">
        <f t="shared" ca="1" si="153"/>
        <v>0</v>
      </c>
      <c r="AD118" s="177">
        <f t="shared" ca="1" si="154"/>
        <v>0</v>
      </c>
      <c r="AE118" s="177">
        <f t="shared" ca="1" si="155"/>
        <v>0</v>
      </c>
      <c r="AF118" s="177">
        <f t="shared" ca="1" si="156"/>
        <v>0</v>
      </c>
      <c r="AG118" s="177">
        <f t="shared" ca="1" si="178"/>
        <v>600</v>
      </c>
      <c r="AH118" s="177">
        <f t="shared" ca="1" si="178"/>
        <v>600</v>
      </c>
      <c r="AI118" s="177">
        <f t="shared" ca="1" si="157"/>
        <v>0</v>
      </c>
      <c r="AJ118" s="177">
        <f t="shared" ca="1" si="158"/>
        <v>0</v>
      </c>
      <c r="AK118" s="177">
        <f t="shared" ca="1" si="159"/>
        <v>0</v>
      </c>
      <c r="AL118" s="177">
        <f t="shared" ca="1" si="160"/>
        <v>0</v>
      </c>
      <c r="AM118" s="177">
        <f t="shared" ca="1" si="161"/>
        <v>0</v>
      </c>
      <c r="AN118" s="177">
        <f t="shared" ca="1" si="162"/>
        <v>0</v>
      </c>
      <c r="AO118" s="177">
        <f t="shared" ca="1" si="163"/>
        <v>0</v>
      </c>
      <c r="AP118" s="177">
        <f t="shared" ca="1" si="164"/>
        <v>0</v>
      </c>
      <c r="AQ118" s="177">
        <f t="shared" ca="1" si="165"/>
        <v>0</v>
      </c>
      <c r="AR118" s="177">
        <f t="shared" ca="1" si="166"/>
        <v>600</v>
      </c>
      <c r="AS118" s="176">
        <f t="shared" ca="1" si="167"/>
        <v>0</v>
      </c>
      <c r="AT118" s="176">
        <f t="shared" ca="1" si="168"/>
        <v>0</v>
      </c>
      <c r="AU118" s="176">
        <f t="shared" ca="1" si="169"/>
        <v>0</v>
      </c>
      <c r="AV118" s="176">
        <f t="shared" ca="1" si="170"/>
        <v>0</v>
      </c>
      <c r="AW118" s="176">
        <f t="shared" ca="1" si="171"/>
        <v>0</v>
      </c>
      <c r="AX118" s="176">
        <f t="shared" ca="1" si="172"/>
        <v>0</v>
      </c>
      <c r="AY118" s="176">
        <f t="shared" ca="1" si="173"/>
        <v>0</v>
      </c>
      <c r="AZ118" s="176">
        <f t="shared" ca="1" si="174"/>
        <v>0</v>
      </c>
      <c r="BA118" s="176">
        <f t="shared" ca="1" si="175"/>
        <v>0</v>
      </c>
      <c r="BB118" s="176">
        <f t="shared" ca="1" si="131"/>
        <v>0</v>
      </c>
      <c r="BC118" s="176">
        <f t="shared" ca="1" si="176"/>
        <v>0</v>
      </c>
    </row>
    <row r="119" spans="1:55">
      <c r="A119" s="1">
        <f t="shared" ca="1" si="137"/>
        <v>0</v>
      </c>
      <c r="B119" s="1" t="s">
        <v>178</v>
      </c>
      <c r="C119" s="1" t="str">
        <f t="shared" ca="1" si="138"/>
        <v/>
      </c>
      <c r="D119" s="1" t="str">
        <f t="shared" ca="1" si="139"/>
        <v/>
      </c>
      <c r="E119" s="173" t="str" cm="1">
        <f t="array" aca="1" ref="E119" ca="1">_xlfn.IFS(OR(ISBLANK(StartDateMonth),ISBLANK(StartDateYear)),"",E118&gt;=DATEVALUE(CompletionMonth&amp;CompletionYear)+1,"",TRUE,EDATE(E118,1))</f>
        <v/>
      </c>
      <c r="F119" s="176">
        <f t="shared" ca="1" si="179"/>
        <v>0</v>
      </c>
      <c r="G119" s="176">
        <f t="shared" ca="1" si="179"/>
        <v>0</v>
      </c>
      <c r="H119" s="176">
        <f t="shared" ca="1" si="179"/>
        <v>0</v>
      </c>
      <c r="I119" s="176">
        <f t="shared" ca="1" si="179"/>
        <v>0</v>
      </c>
      <c r="J119" s="176">
        <f t="shared" ca="1" si="179"/>
        <v>0</v>
      </c>
      <c r="K119" s="176">
        <f t="shared" ca="1" si="179"/>
        <v>0</v>
      </c>
      <c r="L119" s="176">
        <f t="shared" ca="1" si="179"/>
        <v>0</v>
      </c>
      <c r="M119" s="176">
        <f t="shared" ca="1" si="179"/>
        <v>0</v>
      </c>
      <c r="N119" s="176">
        <f t="shared" ca="1" si="179"/>
        <v>0</v>
      </c>
      <c r="O119" s="176">
        <f t="shared" ca="1" si="179"/>
        <v>0</v>
      </c>
      <c r="P119" s="176">
        <f t="shared" ca="1" si="140"/>
        <v>0</v>
      </c>
      <c r="Q119" s="176">
        <f t="shared" ca="1" si="141"/>
        <v>0</v>
      </c>
      <c r="R119" s="176">
        <f t="shared" ca="1" si="142"/>
        <v>0</v>
      </c>
      <c r="S119" s="176">
        <f t="shared" ca="1" si="143"/>
        <v>0</v>
      </c>
      <c r="T119" s="176">
        <f t="shared" ca="1" si="144"/>
        <v>0</v>
      </c>
      <c r="U119" s="176">
        <f t="shared" ca="1" si="145"/>
        <v>0</v>
      </c>
      <c r="V119" s="176">
        <f t="shared" ca="1" si="146"/>
        <v>0</v>
      </c>
      <c r="W119" s="177">
        <f t="shared" ca="1" si="147"/>
        <v>600</v>
      </c>
      <c r="X119" s="177">
        <f t="shared" ca="1" si="148"/>
        <v>0</v>
      </c>
      <c r="Y119" s="177">
        <f t="shared" ca="1" si="149"/>
        <v>0</v>
      </c>
      <c r="Z119" s="177">
        <f t="shared" ca="1" si="150"/>
        <v>0</v>
      </c>
      <c r="AA119" s="177">
        <f t="shared" ca="1" si="151"/>
        <v>0</v>
      </c>
      <c r="AB119" s="177">
        <f t="shared" ca="1" si="152"/>
        <v>0</v>
      </c>
      <c r="AC119" s="177">
        <f t="shared" ca="1" si="153"/>
        <v>0</v>
      </c>
      <c r="AD119" s="177">
        <f t="shared" ca="1" si="154"/>
        <v>0</v>
      </c>
      <c r="AE119" s="177">
        <f t="shared" ca="1" si="155"/>
        <v>0</v>
      </c>
      <c r="AF119" s="177">
        <f t="shared" ca="1" si="156"/>
        <v>0</v>
      </c>
      <c r="AG119" s="177">
        <f t="shared" ca="1" si="178"/>
        <v>600</v>
      </c>
      <c r="AH119" s="177">
        <f t="shared" ca="1" si="178"/>
        <v>600</v>
      </c>
      <c r="AI119" s="177">
        <f t="shared" ca="1" si="157"/>
        <v>0</v>
      </c>
      <c r="AJ119" s="177">
        <f t="shared" ca="1" si="158"/>
        <v>0</v>
      </c>
      <c r="AK119" s="177">
        <f t="shared" ca="1" si="159"/>
        <v>0</v>
      </c>
      <c r="AL119" s="177">
        <f t="shared" ca="1" si="160"/>
        <v>0</v>
      </c>
      <c r="AM119" s="177">
        <f t="shared" ca="1" si="161"/>
        <v>0</v>
      </c>
      <c r="AN119" s="177">
        <f t="shared" ca="1" si="162"/>
        <v>0</v>
      </c>
      <c r="AO119" s="177">
        <f t="shared" ca="1" si="163"/>
        <v>0</v>
      </c>
      <c r="AP119" s="177">
        <f t="shared" ca="1" si="164"/>
        <v>0</v>
      </c>
      <c r="AQ119" s="177">
        <f t="shared" ca="1" si="165"/>
        <v>0</v>
      </c>
      <c r="AR119" s="177">
        <f t="shared" ca="1" si="166"/>
        <v>600</v>
      </c>
      <c r="AS119" s="176">
        <f t="shared" ca="1" si="167"/>
        <v>0</v>
      </c>
      <c r="AT119" s="176">
        <f t="shared" ca="1" si="168"/>
        <v>0</v>
      </c>
      <c r="AU119" s="176">
        <f t="shared" ca="1" si="169"/>
        <v>0</v>
      </c>
      <c r="AV119" s="176">
        <f t="shared" ca="1" si="170"/>
        <v>0</v>
      </c>
      <c r="AW119" s="176">
        <f t="shared" ca="1" si="171"/>
        <v>0</v>
      </c>
      <c r="AX119" s="176">
        <f t="shared" ca="1" si="172"/>
        <v>0</v>
      </c>
      <c r="AY119" s="176">
        <f t="shared" ca="1" si="173"/>
        <v>0</v>
      </c>
      <c r="AZ119" s="176">
        <f t="shared" ca="1" si="174"/>
        <v>0</v>
      </c>
      <c r="BA119" s="176">
        <f t="shared" ca="1" si="175"/>
        <v>0</v>
      </c>
      <c r="BB119" s="176">
        <f t="shared" ca="1" si="131"/>
        <v>0</v>
      </c>
      <c r="BC119" s="176">
        <f t="shared" ca="1" si="176"/>
        <v>0</v>
      </c>
    </row>
    <row r="120" spans="1:55">
      <c r="A120" s="1">
        <f t="shared" ca="1" si="137"/>
        <v>0</v>
      </c>
      <c r="B120" s="1" t="s">
        <v>179</v>
      </c>
      <c r="C120" s="1" t="str">
        <f t="shared" ca="1" si="138"/>
        <v/>
      </c>
      <c r="D120" s="1" t="str">
        <f t="shared" ca="1" si="139"/>
        <v/>
      </c>
      <c r="E120" s="173" t="str" cm="1">
        <f t="array" aca="1" ref="E120" ca="1">_xlfn.IFS(OR(ISBLANK(StartDateMonth),ISBLANK(StartDateYear)),"",E119&gt;=DATEVALUE(CompletionMonth&amp;CompletionYear)+1,"",TRUE,EDATE(E119,1))</f>
        <v/>
      </c>
      <c r="F120" s="176">
        <f t="shared" ca="1" si="179"/>
        <v>0</v>
      </c>
      <c r="G120" s="176">
        <f t="shared" ca="1" si="179"/>
        <v>0</v>
      </c>
      <c r="H120" s="176">
        <f t="shared" ca="1" si="179"/>
        <v>0</v>
      </c>
      <c r="I120" s="176">
        <f t="shared" ca="1" si="179"/>
        <v>0</v>
      </c>
      <c r="J120" s="176">
        <f t="shared" ca="1" si="179"/>
        <v>0</v>
      </c>
      <c r="K120" s="176">
        <f t="shared" ca="1" si="179"/>
        <v>0</v>
      </c>
      <c r="L120" s="176">
        <f t="shared" ca="1" si="179"/>
        <v>0</v>
      </c>
      <c r="M120" s="176">
        <f t="shared" ca="1" si="179"/>
        <v>0</v>
      </c>
      <c r="N120" s="176">
        <f t="shared" ca="1" si="179"/>
        <v>0</v>
      </c>
      <c r="O120" s="176">
        <f t="shared" ca="1" si="179"/>
        <v>0</v>
      </c>
      <c r="P120" s="176">
        <f t="shared" ca="1" si="140"/>
        <v>0</v>
      </c>
      <c r="Q120" s="176">
        <f t="shared" ca="1" si="141"/>
        <v>0</v>
      </c>
      <c r="R120" s="176">
        <f t="shared" ca="1" si="142"/>
        <v>0</v>
      </c>
      <c r="S120" s="176">
        <f t="shared" ca="1" si="143"/>
        <v>0</v>
      </c>
      <c r="T120" s="176">
        <f t="shared" ca="1" si="144"/>
        <v>0</v>
      </c>
      <c r="U120" s="176">
        <f t="shared" ca="1" si="145"/>
        <v>0</v>
      </c>
      <c r="V120" s="176">
        <f t="shared" ca="1" si="146"/>
        <v>0</v>
      </c>
      <c r="W120" s="177">
        <f t="shared" ca="1" si="147"/>
        <v>600</v>
      </c>
      <c r="X120" s="177">
        <f t="shared" ca="1" si="148"/>
        <v>0</v>
      </c>
      <c r="Y120" s="177">
        <f t="shared" ca="1" si="149"/>
        <v>0</v>
      </c>
      <c r="Z120" s="177">
        <f t="shared" ca="1" si="150"/>
        <v>0</v>
      </c>
      <c r="AA120" s="177">
        <f t="shared" ca="1" si="151"/>
        <v>0</v>
      </c>
      <c r="AB120" s="177">
        <f t="shared" ca="1" si="152"/>
        <v>0</v>
      </c>
      <c r="AC120" s="177">
        <f t="shared" ca="1" si="153"/>
        <v>0</v>
      </c>
      <c r="AD120" s="177">
        <f t="shared" ca="1" si="154"/>
        <v>0</v>
      </c>
      <c r="AE120" s="177">
        <f t="shared" ca="1" si="155"/>
        <v>0</v>
      </c>
      <c r="AF120" s="177">
        <f t="shared" ca="1" si="156"/>
        <v>0</v>
      </c>
      <c r="AG120" s="177">
        <f t="shared" ca="1" si="178"/>
        <v>600</v>
      </c>
      <c r="AH120" s="177">
        <f t="shared" ca="1" si="178"/>
        <v>600</v>
      </c>
      <c r="AI120" s="177">
        <f t="shared" ca="1" si="157"/>
        <v>0</v>
      </c>
      <c r="AJ120" s="177">
        <f t="shared" ca="1" si="158"/>
        <v>0</v>
      </c>
      <c r="AK120" s="177">
        <f t="shared" ca="1" si="159"/>
        <v>0</v>
      </c>
      <c r="AL120" s="177">
        <f t="shared" ca="1" si="160"/>
        <v>0</v>
      </c>
      <c r="AM120" s="177">
        <f t="shared" ca="1" si="161"/>
        <v>0</v>
      </c>
      <c r="AN120" s="177">
        <f t="shared" ca="1" si="162"/>
        <v>0</v>
      </c>
      <c r="AO120" s="177">
        <f t="shared" ca="1" si="163"/>
        <v>0</v>
      </c>
      <c r="AP120" s="177">
        <f t="shared" ca="1" si="164"/>
        <v>0</v>
      </c>
      <c r="AQ120" s="177">
        <f t="shared" ca="1" si="165"/>
        <v>0</v>
      </c>
      <c r="AR120" s="177">
        <f t="shared" ca="1" si="166"/>
        <v>600</v>
      </c>
      <c r="AS120" s="176">
        <f t="shared" ca="1" si="167"/>
        <v>0</v>
      </c>
      <c r="AT120" s="176">
        <f t="shared" ca="1" si="168"/>
        <v>0</v>
      </c>
      <c r="AU120" s="176">
        <f t="shared" ca="1" si="169"/>
        <v>0</v>
      </c>
      <c r="AV120" s="176">
        <f t="shared" ca="1" si="170"/>
        <v>0</v>
      </c>
      <c r="AW120" s="176">
        <f t="shared" ca="1" si="171"/>
        <v>0</v>
      </c>
      <c r="AX120" s="176">
        <f t="shared" ca="1" si="172"/>
        <v>0</v>
      </c>
      <c r="AY120" s="176">
        <f t="shared" ca="1" si="173"/>
        <v>0</v>
      </c>
      <c r="AZ120" s="176">
        <f t="shared" ca="1" si="174"/>
        <v>0</v>
      </c>
      <c r="BA120" s="176">
        <f t="shared" ca="1" si="175"/>
        <v>0</v>
      </c>
      <c r="BB120" s="176">
        <f t="shared" ca="1" si="131"/>
        <v>0</v>
      </c>
      <c r="BC120" s="176">
        <f t="shared" ca="1" si="176"/>
        <v>0</v>
      </c>
    </row>
    <row r="121" spans="1:55">
      <c r="A121" s="1">
        <f t="shared" ca="1" si="137"/>
        <v>0</v>
      </c>
      <c r="B121" s="1" t="s">
        <v>180</v>
      </c>
      <c r="C121" s="1" t="str">
        <f t="shared" ca="1" si="138"/>
        <v/>
      </c>
      <c r="D121" s="1" t="str">
        <f t="shared" ca="1" si="139"/>
        <v/>
      </c>
      <c r="E121" s="173" t="str" cm="1">
        <f t="array" aca="1" ref="E121" ca="1">_xlfn.IFS(OR(ISBLANK(StartDateMonth),ISBLANK(StartDateYear)),"",E120&gt;=DATEVALUE(CompletionMonth&amp;CompletionYear)+1,"",TRUE,EDATE(E120,1))</f>
        <v/>
      </c>
      <c r="F121" s="176">
        <f t="shared" ca="1" si="179"/>
        <v>0</v>
      </c>
      <c r="G121" s="176">
        <f t="shared" ca="1" si="179"/>
        <v>0</v>
      </c>
      <c r="H121" s="176">
        <f t="shared" ca="1" si="179"/>
        <v>0</v>
      </c>
      <c r="I121" s="176">
        <f t="shared" ca="1" si="179"/>
        <v>0</v>
      </c>
      <c r="J121" s="176">
        <f t="shared" ca="1" si="179"/>
        <v>0</v>
      </c>
      <c r="K121" s="176">
        <f t="shared" ca="1" si="179"/>
        <v>0</v>
      </c>
      <c r="L121" s="176">
        <f t="shared" ca="1" si="179"/>
        <v>0</v>
      </c>
      <c r="M121" s="176">
        <f t="shared" ca="1" si="179"/>
        <v>0</v>
      </c>
      <c r="N121" s="176">
        <f t="shared" ca="1" si="179"/>
        <v>0</v>
      </c>
      <c r="O121" s="176">
        <f t="shared" ca="1" si="179"/>
        <v>0</v>
      </c>
      <c r="P121" s="176">
        <f t="shared" ca="1" si="140"/>
        <v>0</v>
      </c>
      <c r="Q121" s="176">
        <f t="shared" ca="1" si="141"/>
        <v>0</v>
      </c>
      <c r="R121" s="176">
        <f t="shared" ca="1" si="142"/>
        <v>0</v>
      </c>
      <c r="S121" s="176">
        <f t="shared" ca="1" si="143"/>
        <v>0</v>
      </c>
      <c r="T121" s="176">
        <f t="shared" ca="1" si="144"/>
        <v>0</v>
      </c>
      <c r="U121" s="176">
        <f t="shared" ca="1" si="145"/>
        <v>0</v>
      </c>
      <c r="V121" s="176">
        <f t="shared" ca="1" si="146"/>
        <v>0</v>
      </c>
      <c r="W121" s="177">
        <f t="shared" ca="1" si="147"/>
        <v>600</v>
      </c>
      <c r="X121" s="177">
        <f t="shared" ca="1" si="148"/>
        <v>0</v>
      </c>
      <c r="Y121" s="177">
        <f t="shared" ca="1" si="149"/>
        <v>0</v>
      </c>
      <c r="Z121" s="177">
        <f t="shared" ca="1" si="150"/>
        <v>0</v>
      </c>
      <c r="AA121" s="177">
        <f t="shared" ca="1" si="151"/>
        <v>0</v>
      </c>
      <c r="AB121" s="177">
        <f t="shared" ca="1" si="152"/>
        <v>0</v>
      </c>
      <c r="AC121" s="177">
        <f t="shared" ca="1" si="153"/>
        <v>0</v>
      </c>
      <c r="AD121" s="177">
        <f t="shared" ca="1" si="154"/>
        <v>0</v>
      </c>
      <c r="AE121" s="177">
        <f t="shared" ca="1" si="155"/>
        <v>0</v>
      </c>
      <c r="AF121" s="177">
        <f t="shared" ca="1" si="156"/>
        <v>0</v>
      </c>
      <c r="AG121" s="177">
        <f t="shared" ca="1" si="178"/>
        <v>600</v>
      </c>
      <c r="AH121" s="177">
        <f t="shared" ca="1" si="178"/>
        <v>600</v>
      </c>
      <c r="AI121" s="177">
        <f t="shared" ca="1" si="157"/>
        <v>0</v>
      </c>
      <c r="AJ121" s="177">
        <f t="shared" ca="1" si="158"/>
        <v>0</v>
      </c>
      <c r="AK121" s="177">
        <f t="shared" ca="1" si="159"/>
        <v>0</v>
      </c>
      <c r="AL121" s="177">
        <f t="shared" ca="1" si="160"/>
        <v>0</v>
      </c>
      <c r="AM121" s="177">
        <f t="shared" ca="1" si="161"/>
        <v>0</v>
      </c>
      <c r="AN121" s="177">
        <f t="shared" ca="1" si="162"/>
        <v>0</v>
      </c>
      <c r="AO121" s="177">
        <f t="shared" ca="1" si="163"/>
        <v>0</v>
      </c>
      <c r="AP121" s="177">
        <f t="shared" ca="1" si="164"/>
        <v>0</v>
      </c>
      <c r="AQ121" s="177">
        <f t="shared" ca="1" si="165"/>
        <v>0</v>
      </c>
      <c r="AR121" s="177">
        <f t="shared" ca="1" si="166"/>
        <v>600</v>
      </c>
      <c r="AS121" s="176">
        <f t="shared" ca="1" si="167"/>
        <v>0</v>
      </c>
      <c r="AT121" s="176">
        <f t="shared" ca="1" si="168"/>
        <v>0</v>
      </c>
      <c r="AU121" s="176">
        <f t="shared" ca="1" si="169"/>
        <v>0</v>
      </c>
      <c r="AV121" s="176">
        <f t="shared" ca="1" si="170"/>
        <v>0</v>
      </c>
      <c r="AW121" s="176">
        <f t="shared" ca="1" si="171"/>
        <v>0</v>
      </c>
      <c r="AX121" s="176">
        <f t="shared" ca="1" si="172"/>
        <v>0</v>
      </c>
      <c r="AY121" s="176">
        <f t="shared" ca="1" si="173"/>
        <v>0</v>
      </c>
      <c r="AZ121" s="176">
        <f t="shared" ca="1" si="174"/>
        <v>0</v>
      </c>
      <c r="BA121" s="176">
        <f t="shared" ca="1" si="175"/>
        <v>0</v>
      </c>
      <c r="BB121" s="176">
        <f t="shared" ca="1" si="131"/>
        <v>0</v>
      </c>
      <c r="BC121" s="176">
        <f t="shared" ca="1" si="176"/>
        <v>0</v>
      </c>
    </row>
    <row r="122" spans="1:55">
      <c r="A122" s="1">
        <f t="shared" ca="1" si="137"/>
        <v>0</v>
      </c>
      <c r="B122" s="1" t="s">
        <v>181</v>
      </c>
      <c r="C122" s="1" t="str">
        <f t="shared" ca="1" si="138"/>
        <v/>
      </c>
      <c r="D122" s="1" t="str">
        <f t="shared" ca="1" si="139"/>
        <v/>
      </c>
      <c r="E122" s="173" t="str" cm="1">
        <f t="array" aca="1" ref="E122" ca="1">_xlfn.IFS(OR(ISBLANK(StartDateMonth),ISBLANK(StartDateYear)),"",E121&gt;=DATEVALUE(CompletionMonth&amp;CompletionYear)+1,"",TRUE,EDATE(E121,1))</f>
        <v/>
      </c>
      <c r="F122" s="176">
        <f t="shared" ca="1" si="179"/>
        <v>0</v>
      </c>
      <c r="G122" s="176">
        <f t="shared" ca="1" si="179"/>
        <v>0</v>
      </c>
      <c r="H122" s="176">
        <f t="shared" ca="1" si="179"/>
        <v>0</v>
      </c>
      <c r="I122" s="176">
        <f t="shared" ca="1" si="179"/>
        <v>0</v>
      </c>
      <c r="J122" s="176">
        <f t="shared" ca="1" si="179"/>
        <v>0</v>
      </c>
      <c r="K122" s="176">
        <f t="shared" ca="1" si="179"/>
        <v>0</v>
      </c>
      <c r="L122" s="176">
        <f t="shared" ca="1" si="179"/>
        <v>0</v>
      </c>
      <c r="M122" s="176">
        <f t="shared" ca="1" si="179"/>
        <v>0</v>
      </c>
      <c r="N122" s="176">
        <f t="shared" ca="1" si="179"/>
        <v>0</v>
      </c>
      <c r="O122" s="176">
        <f t="shared" ca="1" si="179"/>
        <v>0</v>
      </c>
      <c r="P122" s="176">
        <f t="shared" ca="1" si="140"/>
        <v>0</v>
      </c>
      <c r="Q122" s="176">
        <f t="shared" ca="1" si="141"/>
        <v>0</v>
      </c>
      <c r="R122" s="176">
        <f t="shared" ca="1" si="142"/>
        <v>0</v>
      </c>
      <c r="S122" s="176">
        <f t="shared" ca="1" si="143"/>
        <v>0</v>
      </c>
      <c r="T122" s="176">
        <f t="shared" ca="1" si="144"/>
        <v>0</v>
      </c>
      <c r="U122" s="176">
        <f t="shared" ca="1" si="145"/>
        <v>0</v>
      </c>
      <c r="V122" s="176">
        <f t="shared" ca="1" si="146"/>
        <v>0</v>
      </c>
      <c r="W122" s="177">
        <f t="shared" ca="1" si="147"/>
        <v>600</v>
      </c>
      <c r="X122" s="177">
        <f t="shared" ca="1" si="148"/>
        <v>0</v>
      </c>
      <c r="Y122" s="177">
        <f t="shared" ca="1" si="149"/>
        <v>0</v>
      </c>
      <c r="Z122" s="177">
        <f t="shared" ca="1" si="150"/>
        <v>0</v>
      </c>
      <c r="AA122" s="177">
        <f t="shared" ca="1" si="151"/>
        <v>0</v>
      </c>
      <c r="AB122" s="177">
        <f t="shared" ca="1" si="152"/>
        <v>0</v>
      </c>
      <c r="AC122" s="177">
        <f t="shared" ca="1" si="153"/>
        <v>0</v>
      </c>
      <c r="AD122" s="177">
        <f t="shared" ca="1" si="154"/>
        <v>0</v>
      </c>
      <c r="AE122" s="177">
        <f t="shared" ca="1" si="155"/>
        <v>0</v>
      </c>
      <c r="AF122" s="177">
        <f t="shared" ca="1" si="156"/>
        <v>0</v>
      </c>
      <c r="AG122" s="177">
        <f t="shared" ca="1" si="178"/>
        <v>600</v>
      </c>
      <c r="AH122" s="177">
        <f t="shared" ca="1" si="178"/>
        <v>600</v>
      </c>
      <c r="AI122" s="177">
        <f t="shared" ca="1" si="157"/>
        <v>0</v>
      </c>
      <c r="AJ122" s="177">
        <f t="shared" ca="1" si="158"/>
        <v>0</v>
      </c>
      <c r="AK122" s="177">
        <f t="shared" ca="1" si="159"/>
        <v>0</v>
      </c>
      <c r="AL122" s="177">
        <f t="shared" ca="1" si="160"/>
        <v>0</v>
      </c>
      <c r="AM122" s="177">
        <f t="shared" ca="1" si="161"/>
        <v>0</v>
      </c>
      <c r="AN122" s="177">
        <f t="shared" ca="1" si="162"/>
        <v>0</v>
      </c>
      <c r="AO122" s="177">
        <f t="shared" ca="1" si="163"/>
        <v>0</v>
      </c>
      <c r="AP122" s="177">
        <f t="shared" ca="1" si="164"/>
        <v>0</v>
      </c>
      <c r="AQ122" s="177">
        <f t="shared" ca="1" si="165"/>
        <v>0</v>
      </c>
      <c r="AR122" s="177">
        <f t="shared" ca="1" si="166"/>
        <v>600</v>
      </c>
      <c r="AS122" s="176">
        <f t="shared" ca="1" si="167"/>
        <v>0</v>
      </c>
      <c r="AT122" s="176">
        <f t="shared" ca="1" si="168"/>
        <v>0</v>
      </c>
      <c r="AU122" s="176">
        <f t="shared" ca="1" si="169"/>
        <v>0</v>
      </c>
      <c r="AV122" s="176">
        <f t="shared" ca="1" si="170"/>
        <v>0</v>
      </c>
      <c r="AW122" s="176">
        <f t="shared" ca="1" si="171"/>
        <v>0</v>
      </c>
      <c r="AX122" s="176">
        <f t="shared" ca="1" si="172"/>
        <v>0</v>
      </c>
      <c r="AY122" s="176">
        <f t="shared" ca="1" si="173"/>
        <v>0</v>
      </c>
      <c r="AZ122" s="176">
        <f t="shared" ca="1" si="174"/>
        <v>0</v>
      </c>
      <c r="BA122" s="176">
        <f t="shared" ca="1" si="175"/>
        <v>0</v>
      </c>
      <c r="BB122" s="176">
        <f t="shared" ca="1" si="131"/>
        <v>0</v>
      </c>
      <c r="BC122" s="176">
        <f t="shared" ca="1" si="176"/>
        <v>0</v>
      </c>
    </row>
    <row r="123" spans="1:55">
      <c r="A123" s="1">
        <f t="shared" ca="1" si="137"/>
        <v>0</v>
      </c>
      <c r="B123" s="1" t="s">
        <v>182</v>
      </c>
      <c r="C123" s="1" t="str">
        <f t="shared" ca="1" si="138"/>
        <v/>
      </c>
      <c r="D123" s="1" t="str">
        <f t="shared" ca="1" si="139"/>
        <v/>
      </c>
      <c r="E123" s="173" t="str" cm="1">
        <f t="array" aca="1" ref="E123" ca="1">_xlfn.IFS(OR(ISBLANK(StartDateMonth),ISBLANK(StartDateYear)),"",E122&gt;=DATEVALUE(CompletionMonth&amp;CompletionYear)+1,"",TRUE,EDATE(E122,1))</f>
        <v/>
      </c>
      <c r="F123" s="176">
        <f t="shared" ca="1" si="179"/>
        <v>0</v>
      </c>
      <c r="G123" s="176">
        <f t="shared" ca="1" si="179"/>
        <v>0</v>
      </c>
      <c r="H123" s="176">
        <f t="shared" ca="1" si="179"/>
        <v>0</v>
      </c>
      <c r="I123" s="176">
        <f t="shared" ca="1" si="179"/>
        <v>0</v>
      </c>
      <c r="J123" s="176">
        <f t="shared" ca="1" si="179"/>
        <v>0</v>
      </c>
      <c r="K123" s="176">
        <f t="shared" ca="1" si="179"/>
        <v>0</v>
      </c>
      <c r="L123" s="176">
        <f t="shared" ca="1" si="179"/>
        <v>0</v>
      </c>
      <c r="M123" s="176">
        <f t="shared" ca="1" si="179"/>
        <v>0</v>
      </c>
      <c r="N123" s="176">
        <f t="shared" ca="1" si="179"/>
        <v>0</v>
      </c>
      <c r="O123" s="176">
        <f t="shared" ca="1" si="179"/>
        <v>0</v>
      </c>
      <c r="P123" s="176">
        <f t="shared" ca="1" si="140"/>
        <v>0</v>
      </c>
      <c r="Q123" s="176">
        <f t="shared" ca="1" si="141"/>
        <v>0</v>
      </c>
      <c r="R123" s="176">
        <f t="shared" ca="1" si="142"/>
        <v>0</v>
      </c>
      <c r="S123" s="176">
        <f t="shared" ca="1" si="143"/>
        <v>0</v>
      </c>
      <c r="T123" s="176">
        <f t="shared" ca="1" si="144"/>
        <v>0</v>
      </c>
      <c r="U123" s="176">
        <f t="shared" ca="1" si="145"/>
        <v>0</v>
      </c>
      <c r="V123" s="176">
        <f t="shared" ca="1" si="146"/>
        <v>0</v>
      </c>
      <c r="W123" s="177">
        <f t="shared" ca="1" si="147"/>
        <v>600</v>
      </c>
      <c r="X123" s="177">
        <f t="shared" ca="1" si="148"/>
        <v>0</v>
      </c>
      <c r="Y123" s="177">
        <f t="shared" ca="1" si="149"/>
        <v>0</v>
      </c>
      <c r="Z123" s="177">
        <f t="shared" ca="1" si="150"/>
        <v>0</v>
      </c>
      <c r="AA123" s="177">
        <f t="shared" ca="1" si="151"/>
        <v>0</v>
      </c>
      <c r="AB123" s="177">
        <f t="shared" ca="1" si="152"/>
        <v>0</v>
      </c>
      <c r="AC123" s="177">
        <f t="shared" ca="1" si="153"/>
        <v>0</v>
      </c>
      <c r="AD123" s="177">
        <f t="shared" ca="1" si="154"/>
        <v>0</v>
      </c>
      <c r="AE123" s="177">
        <f t="shared" ca="1" si="155"/>
        <v>0</v>
      </c>
      <c r="AF123" s="177">
        <f t="shared" ca="1" si="156"/>
        <v>0</v>
      </c>
      <c r="AG123" s="177">
        <f t="shared" ca="1" si="178"/>
        <v>600</v>
      </c>
      <c r="AH123" s="177">
        <f t="shared" ca="1" si="178"/>
        <v>600</v>
      </c>
      <c r="AI123" s="177">
        <f t="shared" ca="1" si="157"/>
        <v>0</v>
      </c>
      <c r="AJ123" s="177">
        <f t="shared" ca="1" si="158"/>
        <v>0</v>
      </c>
      <c r="AK123" s="177">
        <f t="shared" ca="1" si="159"/>
        <v>0</v>
      </c>
      <c r="AL123" s="177">
        <f t="shared" ca="1" si="160"/>
        <v>0</v>
      </c>
      <c r="AM123" s="177">
        <f t="shared" ca="1" si="161"/>
        <v>0</v>
      </c>
      <c r="AN123" s="177">
        <f t="shared" ca="1" si="162"/>
        <v>0</v>
      </c>
      <c r="AO123" s="177">
        <f t="shared" ca="1" si="163"/>
        <v>0</v>
      </c>
      <c r="AP123" s="177">
        <f t="shared" ca="1" si="164"/>
        <v>0</v>
      </c>
      <c r="AQ123" s="177">
        <f t="shared" ca="1" si="165"/>
        <v>0</v>
      </c>
      <c r="AR123" s="177">
        <f t="shared" ca="1" si="166"/>
        <v>600</v>
      </c>
      <c r="AS123" s="176">
        <f t="shared" ca="1" si="167"/>
        <v>0</v>
      </c>
      <c r="AT123" s="176">
        <f t="shared" ca="1" si="168"/>
        <v>0</v>
      </c>
      <c r="AU123" s="176">
        <f t="shared" ca="1" si="169"/>
        <v>0</v>
      </c>
      <c r="AV123" s="176">
        <f t="shared" ca="1" si="170"/>
        <v>0</v>
      </c>
      <c r="AW123" s="176">
        <f t="shared" ca="1" si="171"/>
        <v>0</v>
      </c>
      <c r="AX123" s="176">
        <f t="shared" ca="1" si="172"/>
        <v>0</v>
      </c>
      <c r="AY123" s="176">
        <f t="shared" ca="1" si="173"/>
        <v>0</v>
      </c>
      <c r="AZ123" s="176">
        <f t="shared" ca="1" si="174"/>
        <v>0</v>
      </c>
      <c r="BA123" s="176">
        <f t="shared" ca="1" si="175"/>
        <v>0</v>
      </c>
      <c r="BB123" s="176">
        <f t="shared" ca="1" si="131"/>
        <v>0</v>
      </c>
      <c r="BC123" s="176">
        <f t="shared" ca="1" si="176"/>
        <v>0</v>
      </c>
    </row>
    <row r="124" spans="1:55">
      <c r="A124" s="1">
        <f t="shared" ca="1" si="137"/>
        <v>0</v>
      </c>
      <c r="B124" s="1" t="s">
        <v>183</v>
      </c>
      <c r="C124" s="1" t="str">
        <f t="shared" ca="1" si="138"/>
        <v/>
      </c>
      <c r="D124" s="1" t="str">
        <f t="shared" ca="1" si="139"/>
        <v/>
      </c>
      <c r="E124" s="173" t="str" cm="1">
        <f t="array" aca="1" ref="E124" ca="1">_xlfn.IFS(OR(ISBLANK(StartDateMonth),ISBLANK(StartDateYear)),"",E123&gt;=DATEVALUE(CompletionMonth&amp;CompletionYear)+1,"",TRUE,EDATE(E123,1))</f>
        <v/>
      </c>
      <c r="F124" s="176">
        <f t="shared" ca="1" si="179"/>
        <v>0</v>
      </c>
      <c r="G124" s="176">
        <f t="shared" ca="1" si="179"/>
        <v>0</v>
      </c>
      <c r="H124" s="176">
        <f t="shared" ca="1" si="179"/>
        <v>0</v>
      </c>
      <c r="I124" s="176">
        <f t="shared" ca="1" si="179"/>
        <v>0</v>
      </c>
      <c r="J124" s="176">
        <f t="shared" ca="1" si="179"/>
        <v>0</v>
      </c>
      <c r="K124" s="176">
        <f t="shared" ca="1" si="179"/>
        <v>0</v>
      </c>
      <c r="L124" s="176">
        <f t="shared" ca="1" si="179"/>
        <v>0</v>
      </c>
      <c r="M124" s="176">
        <f t="shared" ca="1" si="179"/>
        <v>0</v>
      </c>
      <c r="N124" s="176">
        <f t="shared" ca="1" si="179"/>
        <v>0</v>
      </c>
      <c r="O124" s="176">
        <f t="shared" ca="1" si="179"/>
        <v>0</v>
      </c>
      <c r="P124" s="176">
        <f t="shared" ca="1" si="140"/>
        <v>0</v>
      </c>
      <c r="Q124" s="176">
        <f t="shared" ca="1" si="141"/>
        <v>0</v>
      </c>
      <c r="R124" s="176">
        <f t="shared" ca="1" si="142"/>
        <v>0</v>
      </c>
      <c r="S124" s="176">
        <f t="shared" ca="1" si="143"/>
        <v>0</v>
      </c>
      <c r="T124" s="176">
        <f t="shared" ca="1" si="144"/>
        <v>0</v>
      </c>
      <c r="U124" s="176">
        <f t="shared" ca="1" si="145"/>
        <v>0</v>
      </c>
      <c r="V124" s="176">
        <f t="shared" ca="1" si="146"/>
        <v>0</v>
      </c>
      <c r="W124" s="177">
        <f t="shared" ca="1" si="147"/>
        <v>600</v>
      </c>
      <c r="X124" s="177">
        <f t="shared" ca="1" si="148"/>
        <v>0</v>
      </c>
      <c r="Y124" s="177">
        <f t="shared" ca="1" si="149"/>
        <v>0</v>
      </c>
      <c r="Z124" s="177">
        <f t="shared" ca="1" si="150"/>
        <v>0</v>
      </c>
      <c r="AA124" s="177">
        <f t="shared" ca="1" si="151"/>
        <v>0</v>
      </c>
      <c r="AB124" s="177">
        <f t="shared" ca="1" si="152"/>
        <v>0</v>
      </c>
      <c r="AC124" s="177">
        <f t="shared" ca="1" si="153"/>
        <v>0</v>
      </c>
      <c r="AD124" s="177">
        <f t="shared" ca="1" si="154"/>
        <v>0</v>
      </c>
      <c r="AE124" s="177">
        <f t="shared" ca="1" si="155"/>
        <v>0</v>
      </c>
      <c r="AF124" s="177">
        <f t="shared" ca="1" si="156"/>
        <v>0</v>
      </c>
      <c r="AG124" s="177">
        <f t="shared" ca="1" si="178"/>
        <v>600</v>
      </c>
      <c r="AH124" s="177">
        <f t="shared" ca="1" si="178"/>
        <v>600</v>
      </c>
      <c r="AI124" s="177">
        <f t="shared" ca="1" si="157"/>
        <v>0</v>
      </c>
      <c r="AJ124" s="177">
        <f t="shared" ca="1" si="158"/>
        <v>0</v>
      </c>
      <c r="AK124" s="177">
        <f t="shared" ca="1" si="159"/>
        <v>0</v>
      </c>
      <c r="AL124" s="177">
        <f t="shared" ca="1" si="160"/>
        <v>0</v>
      </c>
      <c r="AM124" s="177">
        <f t="shared" ca="1" si="161"/>
        <v>0</v>
      </c>
      <c r="AN124" s="177">
        <f t="shared" ca="1" si="162"/>
        <v>0</v>
      </c>
      <c r="AO124" s="177">
        <f t="shared" ca="1" si="163"/>
        <v>0</v>
      </c>
      <c r="AP124" s="177">
        <f t="shared" ca="1" si="164"/>
        <v>0</v>
      </c>
      <c r="AQ124" s="177">
        <f t="shared" ca="1" si="165"/>
        <v>0</v>
      </c>
      <c r="AR124" s="177">
        <f t="shared" ca="1" si="166"/>
        <v>600</v>
      </c>
      <c r="AS124" s="176">
        <f t="shared" ca="1" si="167"/>
        <v>0</v>
      </c>
      <c r="AT124" s="176">
        <f t="shared" ca="1" si="168"/>
        <v>0</v>
      </c>
      <c r="AU124" s="176">
        <f t="shared" ca="1" si="169"/>
        <v>0</v>
      </c>
      <c r="AV124" s="176">
        <f t="shared" ca="1" si="170"/>
        <v>0</v>
      </c>
      <c r="AW124" s="176">
        <f t="shared" ca="1" si="171"/>
        <v>0</v>
      </c>
      <c r="AX124" s="176">
        <f t="shared" ca="1" si="172"/>
        <v>0</v>
      </c>
      <c r="AY124" s="176">
        <f t="shared" ca="1" si="173"/>
        <v>0</v>
      </c>
      <c r="AZ124" s="176">
        <f t="shared" ca="1" si="174"/>
        <v>0</v>
      </c>
      <c r="BA124" s="176">
        <f t="shared" ca="1" si="175"/>
        <v>0</v>
      </c>
      <c r="BB124" s="176">
        <f t="shared" ca="1" si="131"/>
        <v>0</v>
      </c>
      <c r="BC124" s="176">
        <f t="shared" ca="1" si="176"/>
        <v>0</v>
      </c>
    </row>
    <row r="125" spans="1:55">
      <c r="A125" s="1">
        <f t="shared" ca="1" si="137"/>
        <v>0</v>
      </c>
      <c r="B125" s="1" t="s">
        <v>184</v>
      </c>
      <c r="C125" s="1" t="str">
        <f t="shared" ca="1" si="138"/>
        <v/>
      </c>
      <c r="D125" s="1" t="str">
        <f t="shared" ca="1" si="139"/>
        <v/>
      </c>
      <c r="E125" s="173" t="str" cm="1">
        <f t="array" aca="1" ref="E125" ca="1">_xlfn.IFS(OR(ISBLANK(StartDateMonth),ISBLANK(StartDateYear)),"",E124&gt;=DATEVALUE(CompletionMonth&amp;CompletionYear)+1,"",TRUE,EDATE(E124,1))</f>
        <v/>
      </c>
      <c r="F125" s="176">
        <f t="shared" ca="1" si="179"/>
        <v>0</v>
      </c>
      <c r="G125" s="176">
        <f t="shared" ca="1" si="179"/>
        <v>0</v>
      </c>
      <c r="H125" s="176">
        <f t="shared" ca="1" si="179"/>
        <v>0</v>
      </c>
      <c r="I125" s="176">
        <f t="shared" ca="1" si="179"/>
        <v>0</v>
      </c>
      <c r="J125" s="176">
        <f t="shared" ca="1" si="179"/>
        <v>0</v>
      </c>
      <c r="K125" s="176">
        <f t="shared" ca="1" si="179"/>
        <v>0</v>
      </c>
      <c r="L125" s="176">
        <f t="shared" ca="1" si="179"/>
        <v>0</v>
      </c>
      <c r="M125" s="176">
        <f t="shared" ca="1" si="179"/>
        <v>0</v>
      </c>
      <c r="N125" s="176">
        <f t="shared" ca="1" si="179"/>
        <v>0</v>
      </c>
      <c r="O125" s="176">
        <f t="shared" ca="1" si="179"/>
        <v>0</v>
      </c>
      <c r="P125" s="176">
        <f t="shared" ca="1" si="140"/>
        <v>0</v>
      </c>
      <c r="Q125" s="176">
        <f t="shared" ca="1" si="141"/>
        <v>0</v>
      </c>
      <c r="R125" s="176">
        <f t="shared" ca="1" si="142"/>
        <v>0</v>
      </c>
      <c r="S125" s="176">
        <f t="shared" ca="1" si="143"/>
        <v>0</v>
      </c>
      <c r="T125" s="176">
        <f t="shared" ca="1" si="144"/>
        <v>0</v>
      </c>
      <c r="U125" s="176">
        <f t="shared" ca="1" si="145"/>
        <v>0</v>
      </c>
      <c r="V125" s="176">
        <f t="shared" ca="1" si="146"/>
        <v>0</v>
      </c>
      <c r="W125" s="177">
        <f t="shared" ca="1" si="147"/>
        <v>600</v>
      </c>
      <c r="X125" s="177">
        <f t="shared" ca="1" si="148"/>
        <v>0</v>
      </c>
      <c r="Y125" s="177">
        <f t="shared" ca="1" si="149"/>
        <v>0</v>
      </c>
      <c r="Z125" s="177">
        <f t="shared" ca="1" si="150"/>
        <v>0</v>
      </c>
      <c r="AA125" s="177">
        <f t="shared" ca="1" si="151"/>
        <v>0</v>
      </c>
      <c r="AB125" s="177">
        <f t="shared" ca="1" si="152"/>
        <v>0</v>
      </c>
      <c r="AC125" s="177">
        <f t="shared" ca="1" si="153"/>
        <v>0</v>
      </c>
      <c r="AD125" s="177">
        <f t="shared" ca="1" si="154"/>
        <v>0</v>
      </c>
      <c r="AE125" s="177">
        <f t="shared" ca="1" si="155"/>
        <v>0</v>
      </c>
      <c r="AF125" s="177">
        <f t="shared" ca="1" si="156"/>
        <v>0</v>
      </c>
      <c r="AG125" s="177">
        <f t="shared" ca="1" si="178"/>
        <v>600</v>
      </c>
      <c r="AH125" s="177">
        <f t="shared" ca="1" si="178"/>
        <v>600</v>
      </c>
      <c r="AI125" s="177">
        <f t="shared" ca="1" si="157"/>
        <v>0</v>
      </c>
      <c r="AJ125" s="177">
        <f t="shared" ca="1" si="158"/>
        <v>0</v>
      </c>
      <c r="AK125" s="177">
        <f t="shared" ca="1" si="159"/>
        <v>0</v>
      </c>
      <c r="AL125" s="177">
        <f t="shared" ca="1" si="160"/>
        <v>0</v>
      </c>
      <c r="AM125" s="177">
        <f t="shared" ca="1" si="161"/>
        <v>0</v>
      </c>
      <c r="AN125" s="177">
        <f t="shared" ca="1" si="162"/>
        <v>0</v>
      </c>
      <c r="AO125" s="177">
        <f t="shared" ca="1" si="163"/>
        <v>0</v>
      </c>
      <c r="AP125" s="177">
        <f t="shared" ca="1" si="164"/>
        <v>0</v>
      </c>
      <c r="AQ125" s="177">
        <f t="shared" ca="1" si="165"/>
        <v>0</v>
      </c>
      <c r="AR125" s="177">
        <f t="shared" ca="1" si="166"/>
        <v>600</v>
      </c>
      <c r="AS125" s="176">
        <f t="shared" ca="1" si="167"/>
        <v>0</v>
      </c>
      <c r="AT125" s="176">
        <f t="shared" ca="1" si="168"/>
        <v>0</v>
      </c>
      <c r="AU125" s="176">
        <f t="shared" ca="1" si="169"/>
        <v>0</v>
      </c>
      <c r="AV125" s="176">
        <f t="shared" ca="1" si="170"/>
        <v>0</v>
      </c>
      <c r="AW125" s="176">
        <f t="shared" ca="1" si="171"/>
        <v>0</v>
      </c>
      <c r="AX125" s="176">
        <f t="shared" ca="1" si="172"/>
        <v>0</v>
      </c>
      <c r="AY125" s="176">
        <f t="shared" ca="1" si="173"/>
        <v>0</v>
      </c>
      <c r="AZ125" s="176">
        <f t="shared" ca="1" si="174"/>
        <v>0</v>
      </c>
      <c r="BA125" s="176">
        <f t="shared" ca="1" si="175"/>
        <v>0</v>
      </c>
      <c r="BB125" s="176">
        <f t="shared" ca="1" si="131"/>
        <v>0</v>
      </c>
      <c r="BC125" s="176">
        <f t="shared" ca="1" si="176"/>
        <v>0</v>
      </c>
    </row>
    <row r="126" spans="1:55">
      <c r="A126" s="1">
        <f t="shared" ca="1" si="137"/>
        <v>0</v>
      </c>
      <c r="B126" s="1" t="s">
        <v>185</v>
      </c>
      <c r="C126" s="1" t="str">
        <f t="shared" ca="1" si="138"/>
        <v/>
      </c>
      <c r="D126" s="1" t="str">
        <f t="shared" ca="1" si="139"/>
        <v/>
      </c>
      <c r="E126" s="173" t="str" cm="1">
        <f t="array" aca="1" ref="E126" ca="1">_xlfn.IFS(OR(ISBLANK(StartDateMonth),ISBLANK(StartDateYear)),"",E125&gt;=DATEVALUE(CompletionMonth&amp;CompletionYear)+1,"",TRUE,EDATE(E125,1))</f>
        <v/>
      </c>
      <c r="F126" s="176">
        <f t="shared" ca="1" si="179"/>
        <v>0</v>
      </c>
      <c r="G126" s="176">
        <f t="shared" ca="1" si="179"/>
        <v>0</v>
      </c>
      <c r="H126" s="176">
        <f t="shared" ca="1" si="179"/>
        <v>0</v>
      </c>
      <c r="I126" s="176">
        <f t="shared" ca="1" si="179"/>
        <v>0</v>
      </c>
      <c r="J126" s="176">
        <f t="shared" ca="1" si="179"/>
        <v>0</v>
      </c>
      <c r="K126" s="176">
        <f t="shared" ca="1" si="179"/>
        <v>0</v>
      </c>
      <c r="L126" s="176">
        <f t="shared" ca="1" si="179"/>
        <v>0</v>
      </c>
      <c r="M126" s="176">
        <f t="shared" ca="1" si="179"/>
        <v>0</v>
      </c>
      <c r="N126" s="176">
        <f t="shared" ca="1" si="179"/>
        <v>0</v>
      </c>
      <c r="O126" s="176">
        <f t="shared" ca="1" si="179"/>
        <v>0</v>
      </c>
      <c r="P126" s="176">
        <f t="shared" ca="1" si="140"/>
        <v>0</v>
      </c>
      <c r="Q126" s="176">
        <f t="shared" ca="1" si="141"/>
        <v>0</v>
      </c>
      <c r="R126" s="176">
        <f t="shared" ca="1" si="142"/>
        <v>0</v>
      </c>
      <c r="S126" s="176">
        <f t="shared" ca="1" si="143"/>
        <v>0</v>
      </c>
      <c r="T126" s="176">
        <f t="shared" ca="1" si="144"/>
        <v>0</v>
      </c>
      <c r="U126" s="176">
        <f t="shared" ca="1" si="145"/>
        <v>0</v>
      </c>
      <c r="V126" s="176">
        <f t="shared" ca="1" si="146"/>
        <v>0</v>
      </c>
      <c r="W126" s="177">
        <f t="shared" ca="1" si="147"/>
        <v>600</v>
      </c>
      <c r="X126" s="177">
        <f t="shared" ca="1" si="148"/>
        <v>0</v>
      </c>
      <c r="Y126" s="177">
        <f t="shared" ca="1" si="149"/>
        <v>0</v>
      </c>
      <c r="Z126" s="177">
        <f t="shared" ca="1" si="150"/>
        <v>0</v>
      </c>
      <c r="AA126" s="177">
        <f t="shared" ca="1" si="151"/>
        <v>0</v>
      </c>
      <c r="AB126" s="177">
        <f t="shared" ca="1" si="152"/>
        <v>0</v>
      </c>
      <c r="AC126" s="177">
        <f t="shared" ca="1" si="153"/>
        <v>0</v>
      </c>
      <c r="AD126" s="177">
        <f t="shared" ca="1" si="154"/>
        <v>0</v>
      </c>
      <c r="AE126" s="177">
        <f t="shared" ca="1" si="155"/>
        <v>0</v>
      </c>
      <c r="AF126" s="177">
        <f t="shared" ca="1" si="156"/>
        <v>0</v>
      </c>
      <c r="AG126" s="177">
        <f t="shared" ca="1" si="178"/>
        <v>600</v>
      </c>
      <c r="AH126" s="177">
        <f t="shared" ca="1" si="178"/>
        <v>600</v>
      </c>
      <c r="AI126" s="177">
        <f t="shared" ca="1" si="157"/>
        <v>0</v>
      </c>
      <c r="AJ126" s="177">
        <f t="shared" ca="1" si="158"/>
        <v>0</v>
      </c>
      <c r="AK126" s="177">
        <f t="shared" ca="1" si="159"/>
        <v>0</v>
      </c>
      <c r="AL126" s="177">
        <f t="shared" ca="1" si="160"/>
        <v>0</v>
      </c>
      <c r="AM126" s="177">
        <f t="shared" ca="1" si="161"/>
        <v>0</v>
      </c>
      <c r="AN126" s="177">
        <f t="shared" ca="1" si="162"/>
        <v>0</v>
      </c>
      <c r="AO126" s="177">
        <f t="shared" ca="1" si="163"/>
        <v>0</v>
      </c>
      <c r="AP126" s="177">
        <f t="shared" ca="1" si="164"/>
        <v>0</v>
      </c>
      <c r="AQ126" s="177">
        <f t="shared" ca="1" si="165"/>
        <v>0</v>
      </c>
      <c r="AR126" s="177">
        <f t="shared" ca="1" si="166"/>
        <v>600</v>
      </c>
      <c r="AS126" s="176">
        <f t="shared" ca="1" si="167"/>
        <v>0</v>
      </c>
      <c r="AT126" s="176">
        <f t="shared" ca="1" si="168"/>
        <v>0</v>
      </c>
      <c r="AU126" s="176">
        <f t="shared" ca="1" si="169"/>
        <v>0</v>
      </c>
      <c r="AV126" s="176">
        <f t="shared" ca="1" si="170"/>
        <v>0</v>
      </c>
      <c r="AW126" s="176">
        <f t="shared" ca="1" si="171"/>
        <v>0</v>
      </c>
      <c r="AX126" s="176">
        <f t="shared" ca="1" si="172"/>
        <v>0</v>
      </c>
      <c r="AY126" s="176">
        <f t="shared" ca="1" si="173"/>
        <v>0</v>
      </c>
      <c r="AZ126" s="176">
        <f t="shared" ca="1" si="174"/>
        <v>0</v>
      </c>
      <c r="BA126" s="176">
        <f t="shared" ca="1" si="175"/>
        <v>0</v>
      </c>
      <c r="BB126" s="176">
        <f t="shared" ca="1" si="131"/>
        <v>0</v>
      </c>
      <c r="BC126" s="176">
        <f t="shared" ca="1" si="176"/>
        <v>0</v>
      </c>
    </row>
    <row r="127" spans="1:55">
      <c r="A127" s="1">
        <f t="shared" ca="1" si="137"/>
        <v>0</v>
      </c>
      <c r="B127" s="1" t="s">
        <v>186</v>
      </c>
      <c r="C127" s="1" t="str">
        <f t="shared" ca="1" si="138"/>
        <v/>
      </c>
      <c r="D127" s="1" t="str">
        <f t="shared" ca="1" si="139"/>
        <v/>
      </c>
      <c r="E127" s="173" t="str" cm="1">
        <f t="array" aca="1" ref="E127" ca="1">_xlfn.IFS(OR(ISBLANK(StartDateMonth),ISBLANK(StartDateYear)),"",E126&gt;=DATEVALUE(CompletionMonth&amp;CompletionYear)+1,"",TRUE,EDATE(E126,1))</f>
        <v/>
      </c>
      <c r="F127" s="176">
        <f t="shared" ca="1" si="179"/>
        <v>0</v>
      </c>
      <c r="G127" s="176">
        <f t="shared" ca="1" si="179"/>
        <v>0</v>
      </c>
      <c r="H127" s="176">
        <f t="shared" ca="1" si="179"/>
        <v>0</v>
      </c>
      <c r="I127" s="176">
        <f t="shared" ca="1" si="179"/>
        <v>0</v>
      </c>
      <c r="J127" s="176">
        <f t="shared" ca="1" si="179"/>
        <v>0</v>
      </c>
      <c r="K127" s="176">
        <f t="shared" ca="1" si="179"/>
        <v>0</v>
      </c>
      <c r="L127" s="176">
        <f t="shared" ca="1" si="179"/>
        <v>0</v>
      </c>
      <c r="M127" s="176">
        <f t="shared" ca="1" si="179"/>
        <v>0</v>
      </c>
      <c r="N127" s="176">
        <f t="shared" ca="1" si="179"/>
        <v>0</v>
      </c>
      <c r="O127" s="176">
        <f t="shared" ca="1" si="179"/>
        <v>0</v>
      </c>
      <c r="P127" s="176">
        <f t="shared" ca="1" si="140"/>
        <v>0</v>
      </c>
      <c r="Q127" s="176">
        <f t="shared" ca="1" si="141"/>
        <v>0</v>
      </c>
      <c r="R127" s="176">
        <f t="shared" ca="1" si="142"/>
        <v>0</v>
      </c>
      <c r="S127" s="176">
        <f t="shared" ca="1" si="143"/>
        <v>0</v>
      </c>
      <c r="T127" s="176">
        <f t="shared" ca="1" si="144"/>
        <v>0</v>
      </c>
      <c r="U127" s="176">
        <f t="shared" ca="1" si="145"/>
        <v>0</v>
      </c>
      <c r="V127" s="176">
        <f t="shared" ca="1" si="146"/>
        <v>0</v>
      </c>
      <c r="W127" s="177">
        <f t="shared" ca="1" si="147"/>
        <v>600</v>
      </c>
      <c r="X127" s="177">
        <f t="shared" ca="1" si="148"/>
        <v>0</v>
      </c>
      <c r="Y127" s="177">
        <f t="shared" ca="1" si="149"/>
        <v>0</v>
      </c>
      <c r="Z127" s="177">
        <f t="shared" ca="1" si="150"/>
        <v>0</v>
      </c>
      <c r="AA127" s="177">
        <f t="shared" ca="1" si="151"/>
        <v>0</v>
      </c>
      <c r="AB127" s="177">
        <f t="shared" ca="1" si="152"/>
        <v>0</v>
      </c>
      <c r="AC127" s="177">
        <f t="shared" ca="1" si="153"/>
        <v>0</v>
      </c>
      <c r="AD127" s="177">
        <f t="shared" ca="1" si="154"/>
        <v>0</v>
      </c>
      <c r="AE127" s="177">
        <f t="shared" ca="1" si="155"/>
        <v>0</v>
      </c>
      <c r="AF127" s="177">
        <f t="shared" ca="1" si="156"/>
        <v>0</v>
      </c>
      <c r="AG127" s="177">
        <f t="shared" ca="1" si="178"/>
        <v>600</v>
      </c>
      <c r="AH127" s="177">
        <f t="shared" ca="1" si="178"/>
        <v>600</v>
      </c>
      <c r="AI127" s="177">
        <f t="shared" ca="1" si="157"/>
        <v>0</v>
      </c>
      <c r="AJ127" s="177">
        <f t="shared" ca="1" si="158"/>
        <v>0</v>
      </c>
      <c r="AK127" s="177">
        <f t="shared" ca="1" si="159"/>
        <v>0</v>
      </c>
      <c r="AL127" s="177">
        <f t="shared" ca="1" si="160"/>
        <v>0</v>
      </c>
      <c r="AM127" s="177">
        <f t="shared" ca="1" si="161"/>
        <v>0</v>
      </c>
      <c r="AN127" s="177">
        <f t="shared" ca="1" si="162"/>
        <v>0</v>
      </c>
      <c r="AO127" s="177">
        <f t="shared" ca="1" si="163"/>
        <v>0</v>
      </c>
      <c r="AP127" s="177">
        <f t="shared" ca="1" si="164"/>
        <v>0</v>
      </c>
      <c r="AQ127" s="177">
        <f t="shared" ca="1" si="165"/>
        <v>0</v>
      </c>
      <c r="AR127" s="177">
        <f t="shared" ca="1" si="166"/>
        <v>600</v>
      </c>
      <c r="AS127" s="176">
        <f t="shared" ca="1" si="167"/>
        <v>0</v>
      </c>
      <c r="AT127" s="176">
        <f t="shared" ca="1" si="168"/>
        <v>0</v>
      </c>
      <c r="AU127" s="176">
        <f t="shared" ca="1" si="169"/>
        <v>0</v>
      </c>
      <c r="AV127" s="176">
        <f t="shared" ca="1" si="170"/>
        <v>0</v>
      </c>
      <c r="AW127" s="176">
        <f t="shared" ca="1" si="171"/>
        <v>0</v>
      </c>
      <c r="AX127" s="176">
        <f t="shared" ca="1" si="172"/>
        <v>0</v>
      </c>
      <c r="AY127" s="176">
        <f t="shared" ca="1" si="173"/>
        <v>0</v>
      </c>
      <c r="AZ127" s="176">
        <f t="shared" ca="1" si="174"/>
        <v>0</v>
      </c>
      <c r="BA127" s="176">
        <f t="shared" ca="1" si="175"/>
        <v>0</v>
      </c>
      <c r="BB127" s="176">
        <f t="shared" ca="1" si="131"/>
        <v>0</v>
      </c>
      <c r="BC127" s="176">
        <f t="shared" ca="1" si="176"/>
        <v>0</v>
      </c>
    </row>
    <row r="128" spans="1:55">
      <c r="A128" s="1">
        <f t="shared" ca="1" si="137"/>
        <v>0</v>
      </c>
      <c r="B128" s="1" t="s">
        <v>187</v>
      </c>
      <c r="C128" s="1" t="str">
        <f t="shared" ca="1" si="138"/>
        <v/>
      </c>
      <c r="D128" s="1" t="str">
        <f t="shared" ca="1" si="139"/>
        <v/>
      </c>
      <c r="E128" s="173" t="str" cm="1">
        <f t="array" aca="1" ref="E128" ca="1">_xlfn.IFS(OR(ISBLANK(StartDateMonth),ISBLANK(StartDateYear)),"",E127&gt;=DATEVALUE(CompletionMonth&amp;CompletionYear)+1,"",TRUE,EDATE(E127,1))</f>
        <v/>
      </c>
      <c r="F128" s="176">
        <f t="shared" ca="1" si="179"/>
        <v>0</v>
      </c>
      <c r="G128" s="176">
        <f t="shared" ca="1" si="179"/>
        <v>0</v>
      </c>
      <c r="H128" s="176">
        <f t="shared" ca="1" si="179"/>
        <v>0</v>
      </c>
      <c r="I128" s="176">
        <f t="shared" ca="1" si="179"/>
        <v>0</v>
      </c>
      <c r="J128" s="176">
        <f t="shared" ca="1" si="179"/>
        <v>0</v>
      </c>
      <c r="K128" s="176">
        <f t="shared" ca="1" si="179"/>
        <v>0</v>
      </c>
      <c r="L128" s="176">
        <f t="shared" ca="1" si="179"/>
        <v>0</v>
      </c>
      <c r="M128" s="176">
        <f t="shared" ca="1" si="179"/>
        <v>0</v>
      </c>
      <c r="N128" s="176">
        <f t="shared" ca="1" si="179"/>
        <v>0</v>
      </c>
      <c r="O128" s="176">
        <f t="shared" ca="1" si="179"/>
        <v>0</v>
      </c>
      <c r="P128" s="176">
        <f t="shared" ca="1" si="140"/>
        <v>0</v>
      </c>
      <c r="Q128" s="176">
        <f t="shared" ca="1" si="141"/>
        <v>0</v>
      </c>
      <c r="R128" s="176">
        <f t="shared" ca="1" si="142"/>
        <v>0</v>
      </c>
      <c r="S128" s="176">
        <f t="shared" ca="1" si="143"/>
        <v>0</v>
      </c>
      <c r="T128" s="176">
        <f t="shared" ca="1" si="144"/>
        <v>0</v>
      </c>
      <c r="U128" s="176">
        <f t="shared" ca="1" si="145"/>
        <v>0</v>
      </c>
      <c r="V128" s="176">
        <f t="shared" ca="1" si="146"/>
        <v>0</v>
      </c>
      <c r="W128" s="177">
        <f t="shared" ca="1" si="147"/>
        <v>600</v>
      </c>
      <c r="X128" s="177">
        <f t="shared" ca="1" si="148"/>
        <v>0</v>
      </c>
      <c r="Y128" s="177">
        <f t="shared" ca="1" si="149"/>
        <v>0</v>
      </c>
      <c r="Z128" s="177">
        <f t="shared" ca="1" si="150"/>
        <v>0</v>
      </c>
      <c r="AA128" s="177">
        <f t="shared" ca="1" si="151"/>
        <v>0</v>
      </c>
      <c r="AB128" s="177">
        <f t="shared" ca="1" si="152"/>
        <v>0</v>
      </c>
      <c r="AC128" s="177">
        <f t="shared" ca="1" si="153"/>
        <v>0</v>
      </c>
      <c r="AD128" s="177">
        <f t="shared" ca="1" si="154"/>
        <v>0</v>
      </c>
      <c r="AE128" s="177">
        <f t="shared" ca="1" si="155"/>
        <v>0</v>
      </c>
      <c r="AF128" s="177">
        <f t="shared" ca="1" si="156"/>
        <v>0</v>
      </c>
      <c r="AG128" s="177">
        <f t="shared" ca="1" si="178"/>
        <v>600</v>
      </c>
      <c r="AH128" s="177">
        <f t="shared" ca="1" si="178"/>
        <v>600</v>
      </c>
      <c r="AI128" s="177">
        <f t="shared" ca="1" si="157"/>
        <v>0</v>
      </c>
      <c r="AJ128" s="177">
        <f t="shared" ca="1" si="158"/>
        <v>0</v>
      </c>
      <c r="AK128" s="177">
        <f t="shared" ca="1" si="159"/>
        <v>0</v>
      </c>
      <c r="AL128" s="177">
        <f t="shared" ca="1" si="160"/>
        <v>0</v>
      </c>
      <c r="AM128" s="177">
        <f t="shared" ca="1" si="161"/>
        <v>0</v>
      </c>
      <c r="AN128" s="177">
        <f t="shared" ca="1" si="162"/>
        <v>0</v>
      </c>
      <c r="AO128" s="177">
        <f t="shared" ca="1" si="163"/>
        <v>0</v>
      </c>
      <c r="AP128" s="177">
        <f t="shared" ca="1" si="164"/>
        <v>0</v>
      </c>
      <c r="AQ128" s="177">
        <f t="shared" ca="1" si="165"/>
        <v>0</v>
      </c>
      <c r="AR128" s="177">
        <f t="shared" ca="1" si="166"/>
        <v>600</v>
      </c>
      <c r="AS128" s="176">
        <f t="shared" ca="1" si="167"/>
        <v>0</v>
      </c>
      <c r="AT128" s="176">
        <f t="shared" ca="1" si="168"/>
        <v>0</v>
      </c>
      <c r="AU128" s="176">
        <f t="shared" ca="1" si="169"/>
        <v>0</v>
      </c>
      <c r="AV128" s="176">
        <f t="shared" ca="1" si="170"/>
        <v>0</v>
      </c>
      <c r="AW128" s="176">
        <f t="shared" ca="1" si="171"/>
        <v>0</v>
      </c>
      <c r="AX128" s="176">
        <f t="shared" ca="1" si="172"/>
        <v>0</v>
      </c>
      <c r="AY128" s="176">
        <f t="shared" ca="1" si="173"/>
        <v>0</v>
      </c>
      <c r="AZ128" s="176">
        <f t="shared" ca="1" si="174"/>
        <v>0</v>
      </c>
      <c r="BA128" s="176">
        <f t="shared" ca="1" si="175"/>
        <v>0</v>
      </c>
      <c r="BB128" s="176">
        <f t="shared" ca="1" si="131"/>
        <v>0</v>
      </c>
      <c r="BC128" s="176">
        <f t="shared" ca="1" si="176"/>
        <v>0</v>
      </c>
    </row>
  </sheetData>
  <sheetProtection selectLockedCells="1" selectUnlockedCells="1"/>
  <phoneticPr fontId="4"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AE5F0-DA5F-44BF-8AE7-5012403BD021}">
  <sheetPr codeName="Sheet13">
    <tabColor rgb="FFFF0000"/>
  </sheetPr>
  <dimension ref="A1:N11"/>
  <sheetViews>
    <sheetView topLeftCell="G1" workbookViewId="0">
      <selection activeCell="M4" sqref="M4"/>
    </sheetView>
  </sheetViews>
  <sheetFormatPr defaultRowHeight="14.5"/>
  <cols>
    <col min="1" max="1" width="19.7265625" bestFit="1" customWidth="1"/>
    <col min="2" max="2" width="22.1796875" customWidth="1"/>
    <col min="3" max="3" width="34.7265625" customWidth="1"/>
    <col min="4" max="4" width="24.36328125" bestFit="1" customWidth="1"/>
    <col min="5" max="5" width="21.7265625" customWidth="1"/>
    <col min="6" max="6" width="27.1796875" bestFit="1" customWidth="1"/>
    <col min="7" max="7" width="27.81640625" customWidth="1"/>
    <col min="8" max="9" width="26.1796875" bestFit="1" customWidth="1"/>
    <col min="10" max="10" width="30.90625" bestFit="1" customWidth="1"/>
    <col min="11" max="11" width="26.1796875" bestFit="1" customWidth="1"/>
    <col min="12" max="12" width="39" bestFit="1" customWidth="1"/>
  </cols>
  <sheetData>
    <row r="1" spans="1:14" ht="21">
      <c r="A1" s="85" t="s">
        <v>395</v>
      </c>
    </row>
    <row r="3" spans="1:14" s="171" customFormat="1" ht="43.5">
      <c r="A3" s="171" t="s">
        <v>396</v>
      </c>
      <c r="B3" s="171" t="s">
        <v>215</v>
      </c>
      <c r="C3" s="171" t="s">
        <v>216</v>
      </c>
      <c r="D3" s="171" t="s">
        <v>216</v>
      </c>
      <c r="E3" s="171" t="s">
        <v>217</v>
      </c>
      <c r="F3" s="171" t="s">
        <v>217</v>
      </c>
      <c r="G3" s="171" t="s">
        <v>218</v>
      </c>
      <c r="I3" s="171" t="s">
        <v>219</v>
      </c>
      <c r="J3" s="171" t="s">
        <v>219</v>
      </c>
      <c r="K3" s="171" t="s">
        <v>220</v>
      </c>
    </row>
    <row r="4" spans="1:14">
      <c r="A4" s="170" t="s">
        <v>290</v>
      </c>
      <c r="B4" s="170" t="s">
        <v>397</v>
      </c>
      <c r="C4" s="170" t="s">
        <v>398</v>
      </c>
      <c r="D4" s="170" t="s">
        <v>476</v>
      </c>
      <c r="E4" s="170" t="s">
        <v>399</v>
      </c>
      <c r="F4" s="170" t="s">
        <v>477</v>
      </c>
      <c r="G4" s="170" t="s">
        <v>400</v>
      </c>
      <c r="H4" s="170" t="s">
        <v>481</v>
      </c>
      <c r="I4" s="170" t="s">
        <v>401</v>
      </c>
      <c r="J4" s="170" t="s">
        <v>402</v>
      </c>
      <c r="K4" s="170" t="s">
        <v>478</v>
      </c>
      <c r="L4" s="170" t="s">
        <v>403</v>
      </c>
      <c r="M4" s="170" t="s">
        <v>480</v>
      </c>
      <c r="N4" s="170" t="s">
        <v>404</v>
      </c>
    </row>
    <row r="5" spans="1:14">
      <c r="A5">
        <v>1</v>
      </c>
      <c r="B5">
        <f>INDEX(FundingDetails[],MATCH(B$3,FundingQuestions,0),3)</f>
        <v>0</v>
      </c>
      <c r="C5">
        <f>INDEX(FundingDetails[],MATCH(C$3,FundingQuestions,0),3)</f>
        <v>0</v>
      </c>
      <c r="D5">
        <f>IF(INDEX(FundingDetails[],MATCH(D$3,FundingQuestions,0),4)="Enter the equity available",0,1)</f>
        <v>0</v>
      </c>
      <c r="E5">
        <f>INDEX(FundingDetails[],MATCH(E$3,FundingQuestions,0),3)</f>
        <v>0</v>
      </c>
      <c r="F5">
        <f>IF(INDEX(FundingDetails[],MATCH(F$3,FundingQuestions,0),4)="Enter the current land value",0,1)</f>
        <v>0</v>
      </c>
      <c r="G5">
        <f>INDEX(FundingDetails[],MATCH(G$3,FundingQuestions,0),3)</f>
        <v>0</v>
      </c>
      <c r="H5">
        <f>IF(G5=0,0,1)</f>
        <v>0</v>
      </c>
      <c r="I5" t="str">
        <f>IF(G5=0,"",INDEX(YesNoNA,MATCH(G5,YesNo,0),2))</f>
        <v/>
      </c>
      <c r="J5">
        <f>INDEX(FundingDetails[],MATCH(I$3,FundingQuestions,0),3)</f>
        <v>0</v>
      </c>
      <c r="K5">
        <f>IF(INDEX(FundingDetails[],MATCH(J$3,FundingQuestions,0),4)="Enter the number of other loans",0,1)</f>
        <v>0</v>
      </c>
      <c r="L5">
        <f>INDEX(FundingDetails[],MATCH(K$3,FundingQuestions,0),3)</f>
        <v>0</v>
      </c>
      <c r="M5">
        <f>IF(L5=0,0,1)</f>
        <v>0</v>
      </c>
      <c r="N5" t="str">
        <f>IF(L5=0,"",INDEX(YesNoNA,MATCH(L5,YesNo,0),2))</f>
        <v/>
      </c>
    </row>
    <row r="7" spans="1:14" s="171" customFormat="1" ht="29">
      <c r="A7" s="171" t="s">
        <v>396</v>
      </c>
      <c r="B7" s="171" t="s">
        <v>405</v>
      </c>
      <c r="C7" s="171" t="s">
        <v>221</v>
      </c>
      <c r="D7" s="171" t="s">
        <v>222</v>
      </c>
      <c r="E7" s="171" t="s">
        <v>223</v>
      </c>
      <c r="F7" s="171" t="s">
        <v>224</v>
      </c>
      <c r="G7" s="171" t="s">
        <v>225</v>
      </c>
    </row>
    <row r="8" spans="1:14">
      <c r="A8" s="170" t="s">
        <v>290</v>
      </c>
      <c r="B8" s="170" t="s">
        <v>406</v>
      </c>
      <c r="C8" s="170" t="s">
        <v>407</v>
      </c>
      <c r="D8" s="170" t="s">
        <v>408</v>
      </c>
      <c r="E8" s="170" t="s">
        <v>409</v>
      </c>
      <c r="F8" s="170" t="s">
        <v>410</v>
      </c>
      <c r="G8" s="170" t="s">
        <v>411</v>
      </c>
      <c r="H8" s="170" t="s">
        <v>412</v>
      </c>
    </row>
    <row r="9" spans="1:14" ht="15.5">
      <c r="A9">
        <f>IF(AND(NOT(ISBLANK(C9)),D9&gt;0),1,0)</f>
        <v>0</v>
      </c>
      <c r="B9">
        <v>1</v>
      </c>
      <c r="C9">
        <f>INDEX(Loan1Details[],MATCH(C$7,Loan1Questions,0),3)</f>
        <v>0</v>
      </c>
      <c r="D9">
        <f>INDEX(Loan1Details[],MATCH(D$7,Loan1Questions,0),3)</f>
        <v>0</v>
      </c>
      <c r="E9">
        <f>INDEX(Loan1Details[],MATCH(E$7,Loan1Questions,0),3)</f>
        <v>0</v>
      </c>
      <c r="F9">
        <f>INDEX(Loan1Details[],MATCH(F$7,Loan1Questions,0),3)</f>
        <v>0</v>
      </c>
      <c r="G9">
        <f>INDEX(Loan1Details[],MATCH(G$7,Loan1Questions,0),3)</f>
        <v>0</v>
      </c>
      <c r="H9" s="172">
        <f>IF(OR(F9=0,G9=0),0,DATEVALUE(F9&amp;G9))</f>
        <v>0</v>
      </c>
    </row>
    <row r="10" spans="1:14" ht="15.5">
      <c r="A10">
        <f t="shared" ref="A10:A11" si="0">IF(AND(NOT(ISBLANK(C10)),D10&gt;0),1,0)</f>
        <v>0</v>
      </c>
      <c r="B10">
        <v>2</v>
      </c>
      <c r="C10">
        <f>INDEX(Loan2Details[],MATCH(C$7,Loan2Questions,0),3)</f>
        <v>0</v>
      </c>
      <c r="D10">
        <f>INDEX(Loan2Details[],MATCH(D$7,Loan2Questions,0),3)</f>
        <v>0</v>
      </c>
      <c r="E10">
        <f>INDEX(Loan2Details[],MATCH(E$7,Loan2Questions,0),3)</f>
        <v>0</v>
      </c>
      <c r="F10">
        <f>INDEX(Loan2Details[],MATCH(F$7,Loan2Questions,0),3)</f>
        <v>0</v>
      </c>
      <c r="G10">
        <f>INDEX(Loan2Details[],MATCH(G$7,Loan2Questions,0),3)</f>
        <v>0</v>
      </c>
      <c r="H10" s="172">
        <f>IF(OR(F10=0,G10=0),0,DATEVALUE(F10&amp;G10))</f>
        <v>0</v>
      </c>
    </row>
    <row r="11" spans="1:14" ht="15.5">
      <c r="A11">
        <f t="shared" si="0"/>
        <v>0</v>
      </c>
      <c r="B11">
        <v>3</v>
      </c>
      <c r="C11">
        <f>INDEX(Loan3Details[],MATCH(C$7,Loan3Questions,0),3)</f>
        <v>0</v>
      </c>
      <c r="D11">
        <f>INDEX(Loan3Details[],MATCH(D$7,Loan3Questions,0),3)</f>
        <v>0</v>
      </c>
      <c r="E11">
        <f>INDEX(Loan3Details[],MATCH(E$7,Loan3Questions,0),3)</f>
        <v>0</v>
      </c>
      <c r="F11">
        <f>INDEX(Loan3Details[],MATCH(F$7,Loan3Questions,0),3)</f>
        <v>0</v>
      </c>
      <c r="G11">
        <f>INDEX(Loan3Details[],MATCH(G$7,Loan3Questions,0),3)</f>
        <v>0</v>
      </c>
      <c r="H11" s="172">
        <f t="shared" ref="H11" si="1">IF(OR(F11=0,G11=0),0,DATEVALUE(F11&amp;G11))</f>
        <v>0</v>
      </c>
    </row>
  </sheetData>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b83f3e3-4a4f-45ad-a0d0-bd3faab02ce5" xsi:nil="true"/>
    <lcf76f155ced4ddcb4097134ff3c332f xmlns="b0b4900e-916d-48cb-b2d7-f472da9f89ec">
      <Terms xmlns="http://schemas.microsoft.com/office/infopath/2007/PartnerControls"/>
    </lcf76f155ced4ddcb4097134ff3c332f>
    <Comments xmlns="b0b4900e-916d-48cb-b2d7-f472da9f89ec" xsi:nil="true"/>
    <Status xmlns="b0b4900e-916d-48cb-b2d7-f472da9f89ec" xsi:nil="true"/>
    <SharedWithUsers xmlns="6b83f3e3-4a4f-45ad-a0d0-bd3faab02ce5">
      <UserInfo>
        <DisplayName>Rosie Stubbington</DisplayName>
        <AccountId>1499</AccountId>
        <AccountType/>
      </UserInfo>
      <UserInfo>
        <DisplayName>Jenny Robinson</DisplayName>
        <AccountId>1737</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C9D9E2A5EC4D246A5D144684078866C" ma:contentTypeVersion="23" ma:contentTypeDescription="Create a new document." ma:contentTypeScope="" ma:versionID="b2a2826cd68aedcc1e9578f6695ad24f">
  <xsd:schema xmlns:xsd="http://www.w3.org/2001/XMLSchema" xmlns:xs="http://www.w3.org/2001/XMLSchema" xmlns:p="http://schemas.microsoft.com/office/2006/metadata/properties" xmlns:ns2="b0b4900e-916d-48cb-b2d7-f472da9f89ec" xmlns:ns3="6b83f3e3-4a4f-45ad-a0d0-bd3faab02ce5" targetNamespace="http://schemas.microsoft.com/office/2006/metadata/properties" ma:root="true" ma:fieldsID="0eb349db6240db26390dd313bb0c2745" ns2:_="" ns3:_="">
    <xsd:import namespace="b0b4900e-916d-48cb-b2d7-f472da9f89ec"/>
    <xsd:import namespace="6b83f3e3-4a4f-45ad-a0d0-bd3faab02ce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Comments" minOccurs="0"/>
                <xsd:element ref="ns2:MediaServiceObjectDetectorVersions"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b4900e-916d-48cb-b2d7-f472da9f89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AutoTags" ma:index="14" nillable="true" ma:displayName="Tags" ma:hidden="true" ma:internalName="MediaServiceAutoTags" ma:readOnly="true">
      <xsd:simpleType>
        <xsd:restriction base="dms:Text"/>
      </xsd:simpleType>
    </xsd:element>
    <xsd:element name="MediaServiceOCR" ma:index="15" nillable="true" ma:displayName="Extracted Text" ma:hidden="true" ma:internalName="MediaServiceOCR"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d4c1d3b-d9aa-4f37-be29-3290db4bf1bb" ma:termSetId="09814cd3-568e-fe90-9814-8d621ff8fb84" ma:anchorId="fba54fb3-c3e1-fe81-a776-ca4b69148c4d" ma:open="true" ma:isKeyword="false">
      <xsd:complexType>
        <xsd:sequence>
          <xsd:element ref="pc:Terms" minOccurs="0" maxOccurs="1"/>
        </xsd:sequence>
      </xsd:complexType>
    </xsd:element>
    <xsd:element name="Comments" ma:index="23" nillable="true" ma:displayName="Comments" ma:format="Dropdown" ma:internalName="Comments">
      <xsd:simpleType>
        <xsd:restriction base="dms:Text">
          <xsd:maxLength value="255"/>
        </xsd:restrictio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Status" ma:index="25" nillable="true" ma:displayName="Status" ma:format="Dropdown" ma:internalName="Status">
      <xsd:simpleType>
        <xsd:restriction base="dms:Choice">
          <xsd:enumeration value="Draft"/>
          <xsd:enumeration value="In Review"/>
          <xsd:enumeration value="Approved"/>
          <xsd:enumeration value="Rejected"/>
        </xsd:restrictio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83f3e3-4a4f-45ad-a0d0-bd3faab02ce5" elementFormDefault="qualified">
    <xsd:import namespace="http://schemas.microsoft.com/office/2006/documentManagement/types"/>
    <xsd:import namespace="http://schemas.microsoft.com/office/infopath/2007/PartnerControls"/>
    <xsd:element name="SharedWithUsers" ma:index="12"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hidden="true" ma:internalName="SharedWithDetails" ma:readOnly="true">
      <xsd:simpleType>
        <xsd:restriction base="dms:Note"/>
      </xsd:simpleType>
    </xsd:element>
    <xsd:element name="TaxCatchAll" ma:index="22" nillable="true" ma:displayName="Taxonomy Catch All Column" ma:hidden="true" ma:list="{af753212-166d-41ab-aa8d-57a02647b105}" ma:internalName="TaxCatchAll" ma:readOnly="false" ma:showField="CatchAllData" ma:web="6b83f3e3-4a4f-45ad-a0d0-bd3faab02c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17314F-7D71-4B64-9DC6-B4DEB477C38B}">
  <ds:schemaRefs>
    <ds:schemaRef ds:uri="http://schemas.microsoft.com/office/2006/documentManagement/types"/>
    <ds:schemaRef ds:uri="b0b4900e-916d-48cb-b2d7-f472da9f89ec"/>
    <ds:schemaRef ds:uri="http://purl.org/dc/dcmitype/"/>
    <ds:schemaRef ds:uri="http://schemas.microsoft.com/office/2006/metadata/properties"/>
    <ds:schemaRef ds:uri="http://purl.org/dc/elements/1.1/"/>
    <ds:schemaRef ds:uri="http://schemas.microsoft.com/office/infopath/2007/PartnerControls"/>
    <ds:schemaRef ds:uri="http://purl.org/dc/terms/"/>
    <ds:schemaRef ds:uri="http://schemas.openxmlformats.org/package/2006/metadata/core-properties"/>
    <ds:schemaRef ds:uri="6b83f3e3-4a4f-45ad-a0d0-bd3faab02ce5"/>
    <ds:schemaRef ds:uri="http://www.w3.org/XML/1998/namespace"/>
  </ds:schemaRefs>
</ds:datastoreItem>
</file>

<file path=customXml/itemProps2.xml><?xml version="1.0" encoding="utf-8"?>
<ds:datastoreItem xmlns:ds="http://schemas.openxmlformats.org/officeDocument/2006/customXml" ds:itemID="{3BD45B56-73AF-44E6-80D6-492A6F9C639E}">
  <ds:schemaRefs>
    <ds:schemaRef ds:uri="http://schemas.microsoft.com/sharepoint/v3/contenttype/forms"/>
  </ds:schemaRefs>
</ds:datastoreItem>
</file>

<file path=customXml/itemProps3.xml><?xml version="1.0" encoding="utf-8"?>
<ds:datastoreItem xmlns:ds="http://schemas.openxmlformats.org/officeDocument/2006/customXml" ds:itemID="{336A4DB9-60CE-4AC8-9FCC-5051B75806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b4900e-916d-48cb-b2d7-f472da9f89ec"/>
    <ds:schemaRef ds:uri="6b83f3e3-4a4f-45ad-a0d0-bd3faab02c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82</vt:i4>
      </vt:variant>
    </vt:vector>
  </HeadingPairs>
  <TitlesOfParts>
    <vt:vector size="95" baseType="lpstr">
      <vt:lpstr>CoverSheet</vt:lpstr>
      <vt:lpstr>1_SetUp</vt:lpstr>
      <vt:lpstr>2_Homes</vt:lpstr>
      <vt:lpstr>3_ProjectCosts</vt:lpstr>
      <vt:lpstr>4_Funding</vt:lpstr>
      <vt:lpstr>FinancialSummary</vt:lpstr>
      <vt:lpstr>ErrorChecks</vt:lpstr>
      <vt:lpstr>ErrorImport</vt:lpstr>
      <vt:lpstr>ImportLabels</vt:lpstr>
      <vt:lpstr>ImportPlots</vt:lpstr>
      <vt:lpstr>ReferenceData</vt:lpstr>
      <vt:lpstr>ImportCosts</vt:lpstr>
      <vt:lpstr>ImportFunding</vt:lpstr>
      <vt:lpstr>AffordableRent</vt:lpstr>
      <vt:lpstr>AHPIntermediate</vt:lpstr>
      <vt:lpstr>AHPSharedEquity</vt:lpstr>
      <vt:lpstr>AHPSharedOwnership</vt:lpstr>
      <vt:lpstr>BuildType</vt:lpstr>
      <vt:lpstr>BuildTypeCategoryCode</vt:lpstr>
      <vt:lpstr>BuildTypeRef</vt:lpstr>
      <vt:lpstr>CategorisedCompletionKey</vt:lpstr>
      <vt:lpstr>CategorisedSaleKey</vt:lpstr>
      <vt:lpstr>CompletionMonth</vt:lpstr>
      <vt:lpstr>CompletionYear</vt:lpstr>
      <vt:lpstr>CustomCost1</vt:lpstr>
      <vt:lpstr>CustomCost2</vt:lpstr>
      <vt:lpstr>CustomCost3</vt:lpstr>
      <vt:lpstr>CustomCost4</vt:lpstr>
      <vt:lpstr>CustomCost5</vt:lpstr>
      <vt:lpstr>DevelopmentCosts</vt:lpstr>
      <vt:lpstr>DevelopmentCostTitle</vt:lpstr>
      <vt:lpstr>DevelopmentName</vt:lpstr>
      <vt:lpstr>ErrorCheck</vt:lpstr>
      <vt:lpstr>ErrorCheckPlotNumber</vt:lpstr>
      <vt:lpstr>ErrorCheckTitle</vt:lpstr>
      <vt:lpstr>ExpectedSales</vt:lpstr>
      <vt:lpstr>FundingErrorChecks</vt:lpstr>
      <vt:lpstr>FundingQuestions</vt:lpstr>
      <vt:lpstr>HomeCompletionDate</vt:lpstr>
      <vt:lpstr>HomesImports</vt:lpstr>
      <vt:lpstr>Import</vt:lpstr>
      <vt:lpstr>ImportCosts</vt:lpstr>
      <vt:lpstr>ImportTitles</vt:lpstr>
      <vt:lpstr>IssueCode</vt:lpstr>
      <vt:lpstr>IssueType</vt:lpstr>
      <vt:lpstr>IssueTypeName</vt:lpstr>
      <vt:lpstr>Loan1Questions</vt:lpstr>
      <vt:lpstr>Loan2Questions</vt:lpstr>
      <vt:lpstr>Loan3Questions</vt:lpstr>
      <vt:lpstr>MMCYesNo</vt:lpstr>
      <vt:lpstr>MMCYesNoLookUp</vt:lpstr>
      <vt:lpstr>Months</vt:lpstr>
      <vt:lpstr>NonAHPIntermediateRent</vt:lpstr>
      <vt:lpstr>NonAHPSharedEquity</vt:lpstr>
      <vt:lpstr>NonAHPSharedOwnership</vt:lpstr>
      <vt:lpstr>NumberOfLoans</vt:lpstr>
      <vt:lpstr>NumberOfPlots</vt:lpstr>
      <vt:lpstr>OpenMarketHousing</vt:lpstr>
      <vt:lpstr>OtherLoansErrorCheck1</vt:lpstr>
      <vt:lpstr>OtherLoansErrorCheck2</vt:lpstr>
      <vt:lpstr>OtherLoansErrorCheck3</vt:lpstr>
      <vt:lpstr>OtherTenure</vt:lpstr>
      <vt:lpstr>PlotCategory</vt:lpstr>
      <vt:lpstr>PlotData</vt:lpstr>
      <vt:lpstr>PlotExpectedSales</vt:lpstr>
      <vt:lpstr>PlotID</vt:lpstr>
      <vt:lpstr>PlotNumber</vt:lpstr>
      <vt:lpstr>PlotsBuildType</vt:lpstr>
      <vt:lpstr>PlotsSquFeet</vt:lpstr>
      <vt:lpstr>PlotsSquMetres</vt:lpstr>
      <vt:lpstr>PlotTitles</vt:lpstr>
      <vt:lpstr>ProfitSummaryTable</vt:lpstr>
      <vt:lpstr>ProfitSummaryTitles</vt:lpstr>
      <vt:lpstr>ProjectDuration</vt:lpstr>
      <vt:lpstr>ProjectMetrics</vt:lpstr>
      <vt:lpstr>ProjectMetricsTitles</vt:lpstr>
      <vt:lpstr>ProjectStartYears</vt:lpstr>
      <vt:lpstr>PropertyType</vt:lpstr>
      <vt:lpstr>PropertyTypeRef</vt:lpstr>
      <vt:lpstr>SaleCompletionDate</vt:lpstr>
      <vt:lpstr>SetUpErrorChecks</vt:lpstr>
      <vt:lpstr>StartDateMonth</vt:lpstr>
      <vt:lpstr>StartDateYear</vt:lpstr>
      <vt:lpstr>SumAffordableHousing</vt:lpstr>
      <vt:lpstr>SumCostsIncurredDate</vt:lpstr>
      <vt:lpstr>TenureDetail</vt:lpstr>
      <vt:lpstr>TenureDetailRef</vt:lpstr>
      <vt:lpstr>TenureRef</vt:lpstr>
      <vt:lpstr>TotalBuild</vt:lpstr>
      <vt:lpstr>TotalDevCostsCat</vt:lpstr>
      <vt:lpstr>TotalDevCostsList</vt:lpstr>
      <vt:lpstr>TotalDevCostsTitles</vt:lpstr>
      <vt:lpstr>Years</vt:lpstr>
      <vt:lpstr>YesNo</vt:lpstr>
      <vt:lpstr>YesNoNA</vt:lpstr>
    </vt:vector>
  </TitlesOfParts>
  <Manager/>
  <Company>PricewaterhouseCoopers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A Lloyd</dc:creator>
  <cp:keywords/>
  <dc:description/>
  <cp:lastModifiedBy>Alice O'Keeffe (UK)</cp:lastModifiedBy>
  <cp:revision/>
  <dcterms:created xsi:type="dcterms:W3CDTF">2023-08-14T07:48:39Z</dcterms:created>
  <dcterms:modified xsi:type="dcterms:W3CDTF">2024-03-28T11:06:11Z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0x0101001C9D9E2A5EC4D246A5D144684078866C</vt:lpwstr>
  </property>
  <property fmtid="{D5CDD505-2E9C-101B-9397-08002B2CF9AE}" pid="3" name="MediaServiceImageTags">
    <vt:lpwstr/>
  </property>
  <property fmtid="{D5CDD505-2E9C-101B-9397-08002B2CF9AE}" pid="4" name="MSIP_Label_727fb50e-81d5-40a5-b712-4eff31972ce4_Enabled">
    <vt:lpwstr>true</vt:lpwstr>
  </property>
  <property fmtid="{D5CDD505-2E9C-101B-9397-08002B2CF9AE}" pid="5" name="MSIP_Label_727fb50e-81d5-40a5-b712-4eff31972ce4_SetDate">
    <vt:lpwstr>2023-10-05T10:05:07Z</vt:lpwstr>
  </property>
  <property fmtid="{D5CDD505-2E9C-101B-9397-08002B2CF9AE}" pid="6" name="MSIP_Label_727fb50e-81d5-40a5-b712-4eff31972ce4_Method">
    <vt:lpwstr>Standard</vt:lpwstr>
  </property>
  <property fmtid="{D5CDD505-2E9C-101B-9397-08002B2CF9AE}" pid="7" name="MSIP_Label_727fb50e-81d5-40a5-b712-4eff31972ce4_Name">
    <vt:lpwstr>727fb50e-81d5-40a5-b712-4eff31972ce4</vt:lpwstr>
  </property>
  <property fmtid="{D5CDD505-2E9C-101B-9397-08002B2CF9AE}" pid="8" name="MSIP_Label_727fb50e-81d5-40a5-b712-4eff31972ce4_SiteId">
    <vt:lpwstr>faa8e269-0811-4538-82e7-4d29009219bf</vt:lpwstr>
  </property>
  <property fmtid="{D5CDD505-2E9C-101B-9397-08002B2CF9AE}" pid="9" name="MSIP_Label_727fb50e-81d5-40a5-b712-4eff31972ce4_ActionId">
    <vt:lpwstr>64623a5f-4ca9-45fd-bebe-efaf80a00f70</vt:lpwstr>
  </property>
  <property fmtid="{D5CDD505-2E9C-101B-9397-08002B2CF9AE}" pid="10" name="MSIP_Label_727fb50e-81d5-40a5-b712-4eff31972ce4_ContentBits">
    <vt:lpwstr>2</vt:lpwstr>
  </property>
</Properties>
</file>